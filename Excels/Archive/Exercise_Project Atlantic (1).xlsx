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ntxpartners-my.sharepoint.com/personal/borja_tejedor_ntxpartners_com/Documents/Escritorio/BTP/Personal/Otros/Clases/UPM - MEFI/Materiales/3. Modulos/LBO analysis and value creation/"/>
    </mc:Choice>
  </mc:AlternateContent>
  <xr:revisionPtr revIDLastSave="149" documentId="8_{BF114575-C918-4276-A515-ADDC81A926D6}" xr6:coauthVersionLast="47" xr6:coauthVersionMax="47" xr10:uidLastSave="{EE6B1EAB-34E3-421A-A507-53864ECE966E}"/>
  <bookViews>
    <workbookView xWindow="-5124" yWindow="-21708" windowWidth="38616" windowHeight="21216" tabRatio="882" firstSheet="1" activeTab="4" xr2:uid="{887CEBEE-96E0-43B3-9B02-D0DA5E0FA39E}"/>
  </bookViews>
  <sheets>
    <sheet name="Check" sheetId="473" state="hidden" r:id="rId1"/>
    <sheet name="Cover" sheetId="474" r:id="rId2"/>
    <sheet name="LBO Model &gt;" sheetId="494" r:id="rId3"/>
    <sheet name="LBO" sheetId="512" r:id="rId4"/>
    <sheet name="Debt Summary" sheetId="490" r:id="rId5"/>
    <sheet name="Model" sheetId="491" r:id="rId6"/>
    <sheet name="Debt Structure" sheetId="492" r:id="rId7"/>
    <sheet name="Active Case" sheetId="499" r:id="rId8"/>
    <sheet name="Tax Model" sheetId="502" r:id="rId9"/>
    <sheet name="UPSLIDE_UndoFormatting" sheetId="504" state="hidden" r:id="rId10"/>
    <sheet name="UPSLIDE_Undo" sheetId="503" state="hidden" r:id="rId11"/>
  </sheets>
  <externalReferences>
    <externalReference r:id="rId12"/>
    <externalReference r:id="rId13"/>
    <externalReference r:id="rId14"/>
    <externalReference r:id="rId15"/>
    <externalReference r:id="rId16"/>
  </externalReferences>
  <definedNames>
    <definedName name="\" localSheetId="8" hidden="1">{"detail",#N/A,FALSE,"mfg";"summary",#N/A,FALSE,"mfg"}</definedName>
    <definedName name="\" hidden="1">{"detail",#N/A,FALSE,"mfg";"summary",#N/A,FALSE,"mfg"}</definedName>
    <definedName name="_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__________________________f" localSheetId="8" hidden="1">{#N/A,#N/A,FALSE,"Venta"}</definedName>
    <definedName name="___________________________f" hidden="1">{#N/A,#N/A,FALSE,"Venta"}</definedName>
    <definedName name="___________________________R" localSheetId="8" hidden="1">{#N/A,#N/A,FALSE,"Venta"}</definedName>
    <definedName name="___________________________R" hidden="1">{#N/A,#N/A,FALSE,"Venta"}</definedName>
    <definedName name="_________________________f" localSheetId="8" hidden="1">{#N/A,#N/A,FALSE,"Venta"}</definedName>
    <definedName name="_________________________f" hidden="1">{#N/A,#N/A,FALSE,"Venta"}</definedName>
    <definedName name="_________________________R" localSheetId="8" hidden="1">{#N/A,#N/A,FALSE,"Venta"}</definedName>
    <definedName name="_________________________R" hidden="1">{#N/A,#N/A,FALSE,"Venta"}</definedName>
    <definedName name="________________________f" localSheetId="8" hidden="1">{#N/A,#N/A,FALSE,"Venta"}</definedName>
    <definedName name="________________________f" hidden="1">{#N/A,#N/A,FALSE,"Venta"}</definedName>
    <definedName name="________________________R" localSheetId="8" hidden="1">{#N/A,#N/A,FALSE,"Venta"}</definedName>
    <definedName name="________________________R" hidden="1">{#N/A,#N/A,FALSE,"Venta"}</definedName>
    <definedName name="______________________f" localSheetId="8" hidden="1">{#N/A,#N/A,FALSE,"Venta"}</definedName>
    <definedName name="______________________f" hidden="1">{#N/A,#N/A,FALSE,"Venta"}</definedName>
    <definedName name="______________________R" localSheetId="8" hidden="1">{#N/A,#N/A,FALSE,"Venta"}</definedName>
    <definedName name="______________________R" hidden="1">{#N/A,#N/A,FALSE,"Venta"}</definedName>
    <definedName name="_____________________f" localSheetId="8" hidden="1">{#N/A,#N/A,FALSE,"Venta"}</definedName>
    <definedName name="_____________________f" hidden="1">{#N/A,#N/A,FALSE,"Venta"}</definedName>
    <definedName name="_____________________R" localSheetId="8" hidden="1">{#N/A,#N/A,FALSE,"Venta"}</definedName>
    <definedName name="_____________________R" hidden="1">{#N/A,#N/A,FALSE,"Venta"}</definedName>
    <definedName name="___________________BAL1" hidden="1">{"pq_dr",#N/A,FALSE,"PQ"}</definedName>
    <definedName name="___________________f" localSheetId="8" hidden="1">{#N/A,#N/A,FALSE,"Venta"}</definedName>
    <definedName name="___________________f" hidden="1">{#N/A,#N/A,FALSE,"Venta"}</definedName>
    <definedName name="___________________R" localSheetId="8" hidden="1">{#N/A,#N/A,FALSE,"Venta"}</definedName>
    <definedName name="___________________R" hidden="1">{#N/A,#N/A,FALSE,"Venta"}</definedName>
    <definedName name="__________________BAL1" hidden="1">{"pq_dr",#N/A,FALSE,"PQ"}</definedName>
    <definedName name="__________________f" localSheetId="8" hidden="1">{#N/A,#N/A,FALSE,"Venta"}</definedName>
    <definedName name="__________________f" hidden="1">{#N/A,#N/A,FALSE,"Venta"}</definedName>
    <definedName name="__________________R" localSheetId="8" hidden="1">{#N/A,#N/A,FALSE,"Venta"}</definedName>
    <definedName name="__________________R" hidden="1">{#N/A,#N/A,FALSE,"Venta"}</definedName>
    <definedName name="_________________BAL1" hidden="1">{"pq_dr",#N/A,FALSE,"PQ"}</definedName>
    <definedName name="_________________f" localSheetId="8" hidden="1">{#N/A,#N/A,FALSE,"Venta"}</definedName>
    <definedName name="_________________f" hidden="1">{#N/A,#N/A,FALSE,"Venta"}</definedName>
    <definedName name="_________________key1" hidden="1">#REF!</definedName>
    <definedName name="_________________R" localSheetId="8" hidden="1">{#N/A,#N/A,FALSE,"Venta"}</definedName>
    <definedName name="_________________R" hidden="1">{#N/A,#N/A,FALSE,"Venta"}</definedName>
    <definedName name="________________BAL1" hidden="1">{"pq_dr",#N/A,FALSE,"PQ"}</definedName>
    <definedName name="________________cp010103" localSheetId="8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________cp010103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________ftu222" localSheetId="8" hidden="1">{#N/A,#N/A,FALSE,"Aging Summary";#N/A,#N/A,FALSE,"Ratio Analysis";#N/A,#N/A,FALSE,"Test 120 Day Accts";#N/A,#N/A,FALSE,"Tickmarks"}</definedName>
    <definedName name="________________ftu222" hidden="1">{#N/A,#N/A,FALSE,"Aging Summary";#N/A,#N/A,FALSE,"Ratio Analysis";#N/A,#N/A,FALSE,"Test 120 Day Accts";#N/A,#N/A,FALSE,"Tickmarks"}</definedName>
    <definedName name="________________key1" hidden="1">#REF!</definedName>
    <definedName name="________________PPM1" localSheetId="8" hidden="1">{#N/A,#N/A,FALSE,"Aging Summary";#N/A,#N/A,FALSE,"Ratio Analysis";#N/A,#N/A,FALSE,"Test 120 Day Accts";#N/A,#N/A,FALSE,"Tickmarks"}</definedName>
    <definedName name="________________PPM1" hidden="1">{#N/A,#N/A,FALSE,"Aging Summary";#N/A,#N/A,FALSE,"Ratio Analysis";#N/A,#N/A,FALSE,"Test 120 Day Accts";#N/A,#N/A,FALSE,"Tickmarks"}</definedName>
    <definedName name="________________t81" localSheetId="8" hidden="1">{#N/A,#N/A,FALSE,"Aging Summary";#N/A,#N/A,FALSE,"Ratio Analysis";#N/A,#N/A,FALSE,"Test 120 Day Accts";#N/A,#N/A,FALSE,"Tickmarks"}</definedName>
    <definedName name="________________t81" hidden="1">{#N/A,#N/A,FALSE,"Aging Summary";#N/A,#N/A,FALSE,"Ratio Analysis";#N/A,#N/A,FALSE,"Test 120 Day Accts";#N/A,#N/A,FALSE,"Tickmarks"}</definedName>
    <definedName name="_______________BAL1" hidden="1">{"pq_dr",#N/A,FALSE,"PQ"}</definedName>
    <definedName name="_______________f" localSheetId="8" hidden="1">{#N/A,#N/A,FALSE,"Venta"}</definedName>
    <definedName name="_______________f" hidden="1">{#N/A,#N/A,FALSE,"Venta"}</definedName>
    <definedName name="_______________key1" hidden="1">#REF!</definedName>
    <definedName name="_______________R" localSheetId="8" hidden="1">{#N/A,#N/A,FALSE,"Venta"}</definedName>
    <definedName name="_______________R" hidden="1">{#N/A,#N/A,FALSE,"Venta"}</definedName>
    <definedName name="______________BAL1" hidden="1">{"pq_dr",#N/A,FALSE,"PQ"}</definedName>
    <definedName name="______________cp010103" localSheetId="8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______cp010103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______ftu222" localSheetId="8" hidden="1">{#N/A,#N/A,FALSE,"Aging Summary";#N/A,#N/A,FALSE,"Ratio Analysis";#N/A,#N/A,FALSE,"Test 120 Day Accts";#N/A,#N/A,FALSE,"Tickmarks"}</definedName>
    <definedName name="______________ftu222" hidden="1">{#N/A,#N/A,FALSE,"Aging Summary";#N/A,#N/A,FALSE,"Ratio Analysis";#N/A,#N/A,FALSE,"Test 120 Day Accts";#N/A,#N/A,FALSE,"Tickmarks"}</definedName>
    <definedName name="______________key1" hidden="1">#REF!</definedName>
    <definedName name="______________PPM1" localSheetId="8" hidden="1">{#N/A,#N/A,FALSE,"Aging Summary";#N/A,#N/A,FALSE,"Ratio Analysis";#N/A,#N/A,FALSE,"Test 120 Day Accts";#N/A,#N/A,FALSE,"Tickmarks"}</definedName>
    <definedName name="______________PPM1" hidden="1">{#N/A,#N/A,FALSE,"Aging Summary";#N/A,#N/A,FALSE,"Ratio Analysis";#N/A,#N/A,FALSE,"Test 120 Day Accts";#N/A,#N/A,FALSE,"Tickmarks"}</definedName>
    <definedName name="______________t81" localSheetId="8" hidden="1">{#N/A,#N/A,FALSE,"Aging Summary";#N/A,#N/A,FALSE,"Ratio Analysis";#N/A,#N/A,FALSE,"Test 120 Day Accts";#N/A,#N/A,FALSE,"Tickmarks"}</definedName>
    <definedName name="______________t81" hidden="1">{#N/A,#N/A,FALSE,"Aging Summary";#N/A,#N/A,FALSE,"Ratio Analysis";#N/A,#N/A,FALSE,"Test 120 Day Accts";#N/A,#N/A,FALSE,"Tickmarks"}</definedName>
    <definedName name="_____________BAL1" hidden="1">{"pq_dr",#N/A,FALSE,"PQ"}</definedName>
    <definedName name="_____________f" localSheetId="8" hidden="1">{#N/A,#N/A,FALSE,"Venta"}</definedName>
    <definedName name="_____________f" hidden="1">{#N/A,#N/A,FALSE,"Venta"}</definedName>
    <definedName name="_____________key1" hidden="1">#REF!</definedName>
    <definedName name="_____________R" localSheetId="8" hidden="1">{#N/A,#N/A,FALSE,"Venta"}</definedName>
    <definedName name="_____________R" hidden="1">{#N/A,#N/A,FALSE,"Venta"}</definedName>
    <definedName name="____________abc1" localSheetId="8" hidden="1">{"detail",#N/A,FALSE,"mfg";"summary",#N/A,FALSE,"mfg"}</definedName>
    <definedName name="____________abc1" hidden="1">{"detail",#N/A,FALSE,"mfg";"summary",#N/A,FALSE,"mfg"}</definedName>
    <definedName name="____________abc2" localSheetId="8" hidden="1">{"detail",#N/A,FALSE,"mfg";"summary",#N/A,FALSE,"mfg"}</definedName>
    <definedName name="____________abc2" hidden="1">{"detail",#N/A,FALSE,"mfg";"summary",#N/A,FALSE,"mfg"}</definedName>
    <definedName name="____________BAL1" hidden="1">{"pq_dr",#N/A,FALSE,"PQ"}</definedName>
    <definedName name="____________cp010103" localSheetId="8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____cp010103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____f" localSheetId="8" hidden="1">{#N/A,#N/A,FALSE,"Venta"}</definedName>
    <definedName name="____________f" hidden="1">{#N/A,#N/A,FALSE,"Venta"}</definedName>
    <definedName name="____________ftu222" localSheetId="8" hidden="1">{#N/A,#N/A,FALSE,"Aging Summary";#N/A,#N/A,FALSE,"Ratio Analysis";#N/A,#N/A,FALSE,"Test 120 Day Accts";#N/A,#N/A,FALSE,"Tickmarks"}</definedName>
    <definedName name="____________ftu222" hidden="1">{#N/A,#N/A,FALSE,"Aging Summary";#N/A,#N/A,FALSE,"Ratio Analysis";#N/A,#N/A,FALSE,"Test 120 Day Accts";#N/A,#N/A,FALSE,"Tickmarks"}</definedName>
    <definedName name="____________key1" hidden="1">#REF!</definedName>
    <definedName name="____________PPM1" localSheetId="8" hidden="1">{#N/A,#N/A,FALSE,"Aging Summary";#N/A,#N/A,FALSE,"Ratio Analysis";#N/A,#N/A,FALSE,"Test 120 Day Accts";#N/A,#N/A,FALSE,"Tickmarks"}</definedName>
    <definedName name="____________PPM1" hidden="1">{#N/A,#N/A,FALSE,"Aging Summary";#N/A,#N/A,FALSE,"Ratio Analysis";#N/A,#N/A,FALSE,"Test 120 Day Accts";#N/A,#N/A,FALSE,"Tickmarks"}</definedName>
    <definedName name="____________R" localSheetId="8" hidden="1">{#N/A,#N/A,FALSE,"Venta"}</definedName>
    <definedName name="____________R" hidden="1">{#N/A,#N/A,FALSE,"Venta"}</definedName>
    <definedName name="____________t81" localSheetId="8" hidden="1">{#N/A,#N/A,FALSE,"Aging Summary";#N/A,#N/A,FALSE,"Ratio Analysis";#N/A,#N/A,FALSE,"Test 120 Day Accts";#N/A,#N/A,FALSE,"Tickmarks"}</definedName>
    <definedName name="____________t81" hidden="1">{#N/A,#N/A,FALSE,"Aging Summary";#N/A,#N/A,FALSE,"Ratio Analysis";#N/A,#N/A,FALSE,"Test 120 Day Accts";#N/A,#N/A,FALSE,"Tickmarks"}</definedName>
    <definedName name="____________z12" localSheetId="8" hidden="1">{"pro_view",#N/A,FALSE,"EEFSNAP2";"rep_view",#N/A,FALSE,"EEFSNAP2"}</definedName>
    <definedName name="____________z12" hidden="1">{"pro_view",#N/A,FALSE,"EEFSNAP2";"rep_view",#N/A,FALSE,"EEFSNAP2"}</definedName>
    <definedName name="____________z2" localSheetId="8" hidden="1">{"Sch00",#N/A,FALSE,"1";"Contents",#N/A,FALSE,"1"}</definedName>
    <definedName name="____________z2" hidden="1">{"Sch00",#N/A,FALSE,"1";"Contents",#N/A,FALSE,"1"}</definedName>
    <definedName name="____________z22" localSheetId="8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_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_____z25" localSheetId="8" hidden="1">{"detail",#N/A,FALSE,"mfg";"summary",#N/A,FALSE,"mfg"}</definedName>
    <definedName name="____________z25" hidden="1">{"detail",#N/A,FALSE,"mfg";"summary",#N/A,FALSE,"mfg"}</definedName>
    <definedName name="____________z3" localSheetId="8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_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_____zz3" localSheetId="8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_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____abc1" localSheetId="8" hidden="1">{"detail",#N/A,FALSE,"mfg";"summary",#N/A,FALSE,"mfg"}</definedName>
    <definedName name="___________abc1" hidden="1">{"detail",#N/A,FALSE,"mfg";"summary",#N/A,FALSE,"mfg"}</definedName>
    <definedName name="___________abc2" localSheetId="8" hidden="1">{"detail",#N/A,FALSE,"mfg";"summary",#N/A,FALSE,"mfg"}</definedName>
    <definedName name="___________abc2" hidden="1">{"detail",#N/A,FALSE,"mfg";"summary",#N/A,FALSE,"mfg"}</definedName>
    <definedName name="___________BAL1" hidden="1">{"pq_dr",#N/A,FALSE,"PQ"}</definedName>
    <definedName name="___________f" localSheetId="8" hidden="1">{#N/A,#N/A,FALSE,"Venta"}</definedName>
    <definedName name="___________f" hidden="1">{#N/A,#N/A,FALSE,"Venta"}</definedName>
    <definedName name="___________key1" hidden="1">#REF!</definedName>
    <definedName name="___________R" localSheetId="8" hidden="1">{#N/A,#N/A,FALSE,"Venta"}</definedName>
    <definedName name="___________R" hidden="1">{#N/A,#N/A,FALSE,"Venta"}</definedName>
    <definedName name="___________z12" localSheetId="8" hidden="1">{"pro_view",#N/A,FALSE,"EEFSNAP2";"rep_view",#N/A,FALSE,"EEFSNAP2"}</definedName>
    <definedName name="___________z12" hidden="1">{"pro_view",#N/A,FALSE,"EEFSNAP2";"rep_view",#N/A,FALSE,"EEFSNAP2"}</definedName>
    <definedName name="___________z2" localSheetId="8" hidden="1">{"Sch00",#N/A,FALSE,"1";"Contents",#N/A,FALSE,"1"}</definedName>
    <definedName name="___________z2" hidden="1">{"Sch00",#N/A,FALSE,"1";"Contents",#N/A,FALSE,"1"}</definedName>
    <definedName name="___________z22" localSheetId="8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____z25" localSheetId="8" hidden="1">{"detail",#N/A,FALSE,"mfg";"summary",#N/A,FALSE,"mfg"}</definedName>
    <definedName name="___________z25" hidden="1">{"detail",#N/A,FALSE,"mfg";"summary",#N/A,FALSE,"mfg"}</definedName>
    <definedName name="___________z3" localSheetId="8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____zz3" localSheetId="8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___abc1" localSheetId="8" hidden="1">{"detail",#N/A,FALSE,"mfg";"summary",#N/A,FALSE,"mfg"}</definedName>
    <definedName name="__________abc1" hidden="1">{"detail",#N/A,FALSE,"mfg";"summary",#N/A,FALSE,"mfg"}</definedName>
    <definedName name="__________abc2" localSheetId="8" hidden="1">{"detail",#N/A,FALSE,"mfg";"summary",#N/A,FALSE,"mfg"}</definedName>
    <definedName name="__________abc2" hidden="1">{"detail",#N/A,FALSE,"mfg";"summary",#N/A,FALSE,"mfg"}</definedName>
    <definedName name="__________BAL1" hidden="1">{"pq_dr",#N/A,FALSE,"PQ"}</definedName>
    <definedName name="__________cp010103" localSheetId="8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__cp010103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__f" localSheetId="8" hidden="1">{#N/A,#N/A,FALSE,"Venta"}</definedName>
    <definedName name="__________f" hidden="1">{#N/A,#N/A,FALSE,"Venta"}</definedName>
    <definedName name="__________ftu222" localSheetId="8" hidden="1">{#N/A,#N/A,FALSE,"Aging Summary";#N/A,#N/A,FALSE,"Ratio Analysis";#N/A,#N/A,FALSE,"Test 120 Day Accts";#N/A,#N/A,FALSE,"Tickmarks"}</definedName>
    <definedName name="__________ftu222" hidden="1">{#N/A,#N/A,FALSE,"Aging Summary";#N/A,#N/A,FALSE,"Ratio Analysis";#N/A,#N/A,FALSE,"Test 120 Day Accts";#N/A,#N/A,FALSE,"Tickmarks"}</definedName>
    <definedName name="__________key1" localSheetId="8" hidden="1">#REF!</definedName>
    <definedName name="__________key1" hidden="1">#REF!</definedName>
    <definedName name="__________mcm2" localSheetId="8" hidden="1">{"Pèrdues i Guanys analític.Català",#N/A,FALSE,"Català";"Pèrdues i G. analític.castellà",#N/A,FALSE,"Castellà"}</definedName>
    <definedName name="__________mcm2" hidden="1">{"Pèrdues i Guanys analític.Català",#N/A,FALSE,"Català";"Pèrdues i G. analític.castellà",#N/A,FALSE,"Castellà"}</definedName>
    <definedName name="__________PPM1" localSheetId="8" hidden="1">{#N/A,#N/A,FALSE,"Aging Summary";#N/A,#N/A,FALSE,"Ratio Analysis";#N/A,#N/A,FALSE,"Test 120 Day Accts";#N/A,#N/A,FALSE,"Tickmarks"}</definedName>
    <definedName name="__________PPM1" hidden="1">{#N/A,#N/A,FALSE,"Aging Summary";#N/A,#N/A,FALSE,"Ratio Analysis";#N/A,#N/A,FALSE,"Test 120 Day Accts";#N/A,#N/A,FALSE,"Tickmarks"}</definedName>
    <definedName name="__________R" localSheetId="8" hidden="1">{#N/A,#N/A,FALSE,"Venta"}</definedName>
    <definedName name="__________R" hidden="1">{#N/A,#N/A,FALSE,"Venta"}</definedName>
    <definedName name="__________t81" localSheetId="8" hidden="1">{#N/A,#N/A,FALSE,"Aging Summary";#N/A,#N/A,FALSE,"Ratio Analysis";#N/A,#N/A,FALSE,"Test 120 Day Accts";#N/A,#N/A,FALSE,"Tickmarks"}</definedName>
    <definedName name="__________t81" hidden="1">{#N/A,#N/A,FALSE,"Aging Summary";#N/A,#N/A,FALSE,"Ratio Analysis";#N/A,#N/A,FALSE,"Test 120 Day Accts";#N/A,#N/A,FALSE,"Tickmarks"}</definedName>
    <definedName name="__________z12" localSheetId="8" hidden="1">{"pro_view",#N/A,FALSE,"EEFSNAP2";"rep_view",#N/A,FALSE,"EEFSNAP2"}</definedName>
    <definedName name="__________z12" hidden="1">{"pro_view",#N/A,FALSE,"EEFSNAP2";"rep_view",#N/A,FALSE,"EEFSNAP2"}</definedName>
    <definedName name="__________z2" localSheetId="8" hidden="1">{"Sch00",#N/A,FALSE,"1";"Contents",#N/A,FALSE,"1"}</definedName>
    <definedName name="__________z2" hidden="1">{"Sch00",#N/A,FALSE,"1";"Contents",#N/A,FALSE,"1"}</definedName>
    <definedName name="__________z22" localSheetId="8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___z25" localSheetId="8" hidden="1">{"detail",#N/A,FALSE,"mfg";"summary",#N/A,FALSE,"mfg"}</definedName>
    <definedName name="__________z25" hidden="1">{"detail",#N/A,FALSE,"mfg";"summary",#N/A,FALSE,"mfg"}</definedName>
    <definedName name="__________z3" localSheetId="8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___zz3" localSheetId="8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__abc1" localSheetId="8" hidden="1">{"detail",#N/A,FALSE,"mfg";"summary",#N/A,FALSE,"mfg"}</definedName>
    <definedName name="_________abc1" hidden="1">{"detail",#N/A,FALSE,"mfg";"summary",#N/A,FALSE,"mfg"}</definedName>
    <definedName name="_________abc2" localSheetId="8" hidden="1">{"detail",#N/A,FALSE,"mfg";"summary",#N/A,FALSE,"mfg"}</definedName>
    <definedName name="_________abc2" hidden="1">{"detail",#N/A,FALSE,"mfg";"summary",#N/A,FALSE,"mfg"}</definedName>
    <definedName name="_________BAL1" hidden="1">{"pq_dr",#N/A,FALSE,"PQ"}</definedName>
    <definedName name="_________cp010103" localSheetId="8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_cp010103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_f" localSheetId="8" hidden="1">{#N/A,#N/A,FALSE,"Venta"}</definedName>
    <definedName name="_________f" hidden="1">{#N/A,#N/A,FALSE,"Venta"}</definedName>
    <definedName name="_________ftu222" localSheetId="8" hidden="1">{#N/A,#N/A,FALSE,"Aging Summary";#N/A,#N/A,FALSE,"Ratio Analysis";#N/A,#N/A,FALSE,"Test 120 Day Accts";#N/A,#N/A,FALSE,"Tickmarks"}</definedName>
    <definedName name="_________ftu222" hidden="1">{#N/A,#N/A,FALSE,"Aging Summary";#N/A,#N/A,FALSE,"Ratio Analysis";#N/A,#N/A,FALSE,"Test 120 Day Accts";#N/A,#N/A,FALSE,"Tickmarks"}</definedName>
    <definedName name="_________key1" localSheetId="8" hidden="1">#REF!</definedName>
    <definedName name="_________key1" hidden="1">#REF!</definedName>
    <definedName name="_________PPM1" localSheetId="8" hidden="1">{#N/A,#N/A,FALSE,"Aging Summary";#N/A,#N/A,FALSE,"Ratio Analysis";#N/A,#N/A,FALSE,"Test 120 Day Accts";#N/A,#N/A,FALSE,"Tickmarks"}</definedName>
    <definedName name="_________PPM1" hidden="1">{#N/A,#N/A,FALSE,"Aging Summary";#N/A,#N/A,FALSE,"Ratio Analysis";#N/A,#N/A,FALSE,"Test 120 Day Accts";#N/A,#N/A,FALSE,"Tickmarks"}</definedName>
    <definedName name="_________R" localSheetId="8" hidden="1">{#N/A,#N/A,FALSE,"Venta"}</definedName>
    <definedName name="_________R" hidden="1">{#N/A,#N/A,FALSE,"Venta"}</definedName>
    <definedName name="_________t81" localSheetId="8" hidden="1">{#N/A,#N/A,FALSE,"Aging Summary";#N/A,#N/A,FALSE,"Ratio Analysis";#N/A,#N/A,FALSE,"Test 120 Day Accts";#N/A,#N/A,FALSE,"Tickmarks"}</definedName>
    <definedName name="_________t81" hidden="1">{#N/A,#N/A,FALSE,"Aging Summary";#N/A,#N/A,FALSE,"Ratio Analysis";#N/A,#N/A,FALSE,"Test 120 Day Accts";#N/A,#N/A,FALSE,"Tickmarks"}</definedName>
    <definedName name="_________z12" localSheetId="8" hidden="1">{"pro_view",#N/A,FALSE,"EEFSNAP2";"rep_view",#N/A,FALSE,"EEFSNAP2"}</definedName>
    <definedName name="_________z12" hidden="1">{"pro_view",#N/A,FALSE,"EEFSNAP2";"rep_view",#N/A,FALSE,"EEFSNAP2"}</definedName>
    <definedName name="_________z2" localSheetId="8" hidden="1">{"Sch00",#N/A,FALSE,"1";"Contents",#N/A,FALSE,"1"}</definedName>
    <definedName name="_________z2" hidden="1">{"Sch00",#N/A,FALSE,"1";"Contents",#N/A,FALSE,"1"}</definedName>
    <definedName name="_________z22" localSheetId="8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__z25" localSheetId="8" hidden="1">{"detail",#N/A,FALSE,"mfg";"summary",#N/A,FALSE,"mfg"}</definedName>
    <definedName name="_________z25" hidden="1">{"detail",#N/A,FALSE,"mfg";"summary",#N/A,FALSE,"mfg"}</definedName>
    <definedName name="_________z3" localSheetId="8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__zz3" localSheetId="8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_a1" localSheetId="8" hidden="1">{#N/A,#N/A,FALSE,"Pharm";#N/A,#N/A,FALSE,"WWCM"}</definedName>
    <definedName name="________a1" hidden="1">{#N/A,#N/A,FALSE,"Pharm";#N/A,#N/A,FALSE,"WWCM"}</definedName>
    <definedName name="________A11" localSheetId="8" hidden="1">{#N/A,#N/A,FALSE,"Umsatz 99";#N/A,#N/A,FALSE,"ER 99 "}</definedName>
    <definedName name="________A11" hidden="1">{#N/A,#N/A,FALSE,"Umsatz 99";#N/A,#N/A,FALSE,"ER 99 "}</definedName>
    <definedName name="________aaa1" localSheetId="8" hidden="1">{#N/A,#N/A,FALSE,"REPORT"}</definedName>
    <definedName name="________aaa1" hidden="1">{#N/A,#N/A,FALSE,"REPORT"}</definedName>
    <definedName name="________aas1" localSheetId="8" hidden="1">{#N/A,#N/A,FALSE,"REPORT"}</definedName>
    <definedName name="________aas1" hidden="1">{#N/A,#N/A,FALSE,"REPORT"}</definedName>
    <definedName name="________abc1" localSheetId="8" hidden="1">{"detail",#N/A,FALSE,"mfg";"summary",#N/A,FALSE,"mfg"}</definedName>
    <definedName name="________abc1" hidden="1">{"detail",#N/A,FALSE,"mfg";"summary",#N/A,FALSE,"mfg"}</definedName>
    <definedName name="________abc2" localSheetId="8" hidden="1">{"detail",#N/A,FALSE,"mfg";"summary",#N/A,FALSE,"mfg"}</definedName>
    <definedName name="________abc2" hidden="1">{"detail",#N/A,FALSE,"mfg";"summary",#N/A,FALSE,"mfg"}</definedName>
    <definedName name="________ACS2000" localSheetId="8" hidden="1">{#N/A,#N/A,FALSE,"REPORT"}</definedName>
    <definedName name="________ACS2000" hidden="1">{#N/A,#N/A,FALSE,"REPORT"}</definedName>
    <definedName name="________BAL1" hidden="1">{"pq_dr",#N/A,FALSE,"PQ"}</definedName>
    <definedName name="________c" localSheetId="8" hidden="1">{"Fiesta Facer Page",#N/A,FALSE,"Q_C_S";"Fiesta Main Page",#N/A,FALSE,"V_L";"Fiesta 95BP Struct",#N/A,FALSE,"StructBP";"Fiesta Post 95BP Struct",#N/A,FALSE,"AdjStructBP"}</definedName>
    <definedName name="________c" hidden="1">{"Fiesta Facer Page",#N/A,FALSE,"Q_C_S";"Fiesta Main Page",#N/A,FALSE,"V_L";"Fiesta 95BP Struct",#N/A,FALSE,"StructBP";"Fiesta Post 95BP Struct",#N/A,FALSE,"AdjStructBP"}</definedName>
    <definedName name="________CuN3" localSheetId="8" hidden="1">{#N/A,#N/A,FALSE,"WOBE_DE.XLS";#N/A,#N/A,FALSE,"WOB_1.XLS";#N/A,#N/A,FALSE,"WOB_2.XLS";#N/A,#N/A,FALSE,"WOB_3.XLS";#N/A,#N/A,FALSE,"WOB_4.XLS";#N/A,#N/A,FALSE,"WOB_5.XLS"}</definedName>
    <definedName name="________CuN3" hidden="1">{#N/A,#N/A,FALSE,"WOBE_DE.XLS";#N/A,#N/A,FALSE,"WOB_1.XLS";#N/A,#N/A,FALSE,"WOB_2.XLS";#N/A,#N/A,FALSE,"WOB_3.XLS";#N/A,#N/A,FALSE,"WOB_4.XLS";#N/A,#N/A,FALSE,"WOB_5.XLS"}</definedName>
    <definedName name="________dem2" localSheetId="8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________dem2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________dem2_1" localSheetId="8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________dem2_1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________dem3" localSheetId="8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________dem3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________dem3_1" localSheetId="8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________dem3_1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________f" localSheetId="8" hidden="1">{#N/A,#N/A,FALSE,"Venta"}</definedName>
    <definedName name="________f" hidden="1">{#N/A,#N/A,FALSE,"Venta"}</definedName>
    <definedName name="________key1" localSheetId="8" hidden="1">#REF!</definedName>
    <definedName name="________key1" hidden="1">#REF!</definedName>
    <definedName name="________mcm2" localSheetId="8" hidden="1">{"Pèrdues i Guanys analític.Català",#N/A,FALSE,"Català";"Pèrdues i G. analític.castellà",#N/A,FALSE,"Castellà"}</definedName>
    <definedName name="________mcm2" hidden="1">{"Pèrdues i Guanys analític.Català",#N/A,FALSE,"Català";"Pèrdues i G. analític.castellà",#N/A,FALSE,"Castellà"}</definedName>
    <definedName name="________new1" localSheetId="8" hidden="1">{#N/A,#N/A,FALSE,"Pharm";#N/A,#N/A,FALSE,"WWCM"}</definedName>
    <definedName name="________new1" hidden="1">{#N/A,#N/A,FALSE,"Pharm";#N/A,#N/A,FALSE,"WWCM"}</definedName>
    <definedName name="________ok1" localSheetId="8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______ok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______ok1_1" localSheetId="8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______ok1_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______r" localSheetId="8" hidden="1">{#N/A,#N/A,FALSE,"Pharm";#N/A,#N/A,FALSE,"WWCM"}</definedName>
    <definedName name="________r" hidden="1">{#N/A,#N/A,FALSE,"Pharm";#N/A,#N/A,FALSE,"WWCM"}</definedName>
    <definedName name="________ss1" localSheetId="8" hidden="1">{#N/A,#N/A,FALSE,"P&amp;L-BS-CF"}</definedName>
    <definedName name="________ss1" hidden="1">{#N/A,#N/A,FALSE,"P&amp;L-BS-CF"}</definedName>
    <definedName name="________ss1_1" localSheetId="8" hidden="1">{#N/A,#N/A,FALSE,"P&amp;L-BS-CF"}</definedName>
    <definedName name="________ss1_1" hidden="1">{#N/A,#N/A,FALSE,"P&amp;L-BS-CF"}</definedName>
    <definedName name="________T1" localSheetId="8" hidden="1">{"'EARLY LIFE SAVINGS - COSTS '!$A$1:$N$56"}</definedName>
    <definedName name="________T1" hidden="1">{"'EARLY LIFE SAVINGS - COSTS '!$A$1:$N$56"}</definedName>
    <definedName name="________T2" localSheetId="8" hidden="1">{"'EARLY LIFE SAVINGS - COSTS '!$A$1:$N$56"}</definedName>
    <definedName name="________T2" hidden="1">{"'EARLY LIFE SAVINGS - COSTS '!$A$1:$N$56"}</definedName>
    <definedName name="________tm1" localSheetId="8" hidden="1">{#N/A,#N/A,FALSE,"Pharm";#N/A,#N/A,FALSE,"WWCM"}</definedName>
    <definedName name="________tm1" hidden="1">{#N/A,#N/A,FALSE,"Pharm";#N/A,#N/A,FALSE,"WWCM"}</definedName>
    <definedName name="________z12" localSheetId="8" hidden="1">{"pro_view",#N/A,FALSE,"EEFSNAP2";"rep_view",#N/A,FALSE,"EEFSNAP2"}</definedName>
    <definedName name="________z12" hidden="1">{"pro_view",#N/A,FALSE,"EEFSNAP2";"rep_view",#N/A,FALSE,"EEFSNAP2"}</definedName>
    <definedName name="________z2" localSheetId="8" hidden="1">{"Sch00",#N/A,FALSE,"1";"Contents",#N/A,FALSE,"1"}</definedName>
    <definedName name="________z2" hidden="1">{"Sch00",#N/A,FALSE,"1";"Contents",#N/A,FALSE,"1"}</definedName>
    <definedName name="________z22" localSheetId="8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_z25" localSheetId="8" hidden="1">{"detail",#N/A,FALSE,"mfg";"summary",#N/A,FALSE,"mfg"}</definedName>
    <definedName name="________z25" hidden="1">{"detail",#N/A,FALSE,"mfg";"summary",#N/A,FALSE,"mfg"}</definedName>
    <definedName name="________z3" localSheetId="8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_zz3" localSheetId="8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a1" localSheetId="8" hidden="1">{#N/A,#N/A,FALSE,"Pharm";#N/A,#N/A,FALSE,"WWCM"}</definedName>
    <definedName name="_______a1" hidden="1">{#N/A,#N/A,FALSE,"Pharm";#N/A,#N/A,FALSE,"WWCM"}</definedName>
    <definedName name="_______a123" localSheetId="8" hidden="1">{#N/A,#N/A,FALSE,"cover";#N/A,#N/A,FALSE,"Content ";#N/A,#N/A,FALSE,"E&amp;C Op Stat";#N/A,#N/A,FALSE,"Telcos Op Stat";#N/A,#N/A,FALSE,"Media Op Stat";#N/A,#N/A,FALSE,"Oil Op Stat";#N/A,#N/A,FALSE,"Utilities Op Stat";#N/A,#N/A,FALSE,"E&amp;C Ord An";#N/A,#N/A,FALSE,"E&amp;C Debt Nar";#N/A,#N/A,FALSE,"E&amp;C Debtors";#N/A,#N/A,FALSE,"E&amp;C CO Debt";#N/A,#N/A,FALSE,"Telcos Presales";#N/A,#N/A,FALSE,"Oil Presales";#N/A,#N/A,FALSE,"Utilities Presales"}</definedName>
    <definedName name="_______a123" hidden="1">{#N/A,#N/A,FALSE,"cover";#N/A,#N/A,FALSE,"Content ";#N/A,#N/A,FALSE,"E&amp;C Op Stat";#N/A,#N/A,FALSE,"Telcos Op Stat";#N/A,#N/A,FALSE,"Media Op Stat";#N/A,#N/A,FALSE,"Oil Op Stat";#N/A,#N/A,FALSE,"Utilities Op Stat";#N/A,#N/A,FALSE,"E&amp;C Ord An";#N/A,#N/A,FALSE,"E&amp;C Debt Nar";#N/A,#N/A,FALSE,"E&amp;C Debtors";#N/A,#N/A,FALSE,"E&amp;C CO Debt";#N/A,#N/A,FALSE,"Telcos Presales";#N/A,#N/A,FALSE,"Oil Presales";#N/A,#N/A,FALSE,"Utilities Presales"}</definedName>
    <definedName name="_______aaa1" localSheetId="8" hidden="1">{#N/A,#N/A,FALSE,"REPORT"}</definedName>
    <definedName name="_______aaa1" hidden="1">{#N/A,#N/A,FALSE,"REPORT"}</definedName>
    <definedName name="_______aas1" localSheetId="8" hidden="1">{#N/A,#N/A,FALSE,"REPORT"}</definedName>
    <definedName name="_______aas1" hidden="1">{#N/A,#N/A,FALSE,"REPORT"}</definedName>
    <definedName name="_______abc1" localSheetId="8" hidden="1">{"detail",#N/A,FALSE,"mfg";"summary",#N/A,FALSE,"mfg"}</definedName>
    <definedName name="_______abc1" hidden="1">{"detail",#N/A,FALSE,"mfg";"summary",#N/A,FALSE,"mfg"}</definedName>
    <definedName name="_______abc2" localSheetId="8" hidden="1">{"detail",#N/A,FALSE,"mfg";"summary",#N/A,FALSE,"mfg"}</definedName>
    <definedName name="_______abc2" hidden="1">{"detail",#N/A,FALSE,"mfg";"summary",#N/A,FALSE,"mfg"}</definedName>
    <definedName name="_______ACS2000" localSheetId="8" hidden="1">{#N/A,#N/A,FALSE,"REPORT"}</definedName>
    <definedName name="_______ACS2000" hidden="1">{#N/A,#N/A,FALSE,"REPORT"}</definedName>
    <definedName name="_______BAL1" hidden="1">{"pq_dr",#N/A,FALSE,"PQ"}</definedName>
    <definedName name="_______cp010103" localSheetId="8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cp010103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dem2" localSheetId="8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_______dem2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_______dem2_1" localSheetId="8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_______dem2_1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_______dem3" localSheetId="8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_______dem3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_______dem3_1" localSheetId="8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_______dem3_1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_______f" localSheetId="8" hidden="1">{#N/A,#N/A,FALSE,"Venta"}</definedName>
    <definedName name="_______f" hidden="1">{#N/A,#N/A,FALSE,"Venta"}</definedName>
    <definedName name="_______ftu222" localSheetId="8" hidden="1">{#N/A,#N/A,FALSE,"Aging Summary";#N/A,#N/A,FALSE,"Ratio Analysis";#N/A,#N/A,FALSE,"Test 120 Day Accts";#N/A,#N/A,FALSE,"Tickmarks"}</definedName>
    <definedName name="_______ftu222" hidden="1">{#N/A,#N/A,FALSE,"Aging Summary";#N/A,#N/A,FALSE,"Ratio Analysis";#N/A,#N/A,FALSE,"Test 120 Day Accts";#N/A,#N/A,FALSE,"Tickmarks"}</definedName>
    <definedName name="_______key1" localSheetId="8" hidden="1">#REF!</definedName>
    <definedName name="_______key1" hidden="1">#REF!</definedName>
    <definedName name="_______new1" localSheetId="8" hidden="1">{#N/A,#N/A,FALSE,"Pharm";#N/A,#N/A,FALSE,"WWCM"}</definedName>
    <definedName name="_______new1" hidden="1">{#N/A,#N/A,FALSE,"Pharm";#N/A,#N/A,FALSE,"WWCM"}</definedName>
    <definedName name="_______ok1" localSheetId="8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_____ok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_____ok1_1" localSheetId="8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_____ok1_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_____PPM1" localSheetId="8" hidden="1">{#N/A,#N/A,FALSE,"Aging Summary";#N/A,#N/A,FALSE,"Ratio Analysis";#N/A,#N/A,FALSE,"Test 120 Day Accts";#N/A,#N/A,FALSE,"Tickmarks"}</definedName>
    <definedName name="_______PPM1" hidden="1">{#N/A,#N/A,FALSE,"Aging Summary";#N/A,#N/A,FALSE,"Ratio Analysis";#N/A,#N/A,FALSE,"Test 120 Day Accts";#N/A,#N/A,FALSE,"Tickmarks"}</definedName>
    <definedName name="_______pub2" hidden="1">"L10003649.xls"</definedName>
    <definedName name="_______r" localSheetId="8" hidden="1">{#N/A,#N/A,FALSE,"Pharm";#N/A,#N/A,FALSE,"WWCM"}</definedName>
    <definedName name="_______r" hidden="1">{#N/A,#N/A,FALSE,"Pharm";#N/A,#N/A,FALSE,"WWCM"}</definedName>
    <definedName name="_______ss1" localSheetId="8" hidden="1">{#N/A,#N/A,FALSE,"P&amp;L-BS-CF"}</definedName>
    <definedName name="_______ss1" hidden="1">{#N/A,#N/A,FALSE,"P&amp;L-BS-CF"}</definedName>
    <definedName name="_______ss1_1" localSheetId="8" hidden="1">{#N/A,#N/A,FALSE,"P&amp;L-BS-CF"}</definedName>
    <definedName name="_______ss1_1" hidden="1">{#N/A,#N/A,FALSE,"P&amp;L-BS-CF"}</definedName>
    <definedName name="_______T1" localSheetId="8" hidden="1">{"'EARLY LIFE SAVINGS - COSTS '!$A$1:$N$56"}</definedName>
    <definedName name="_______T1" hidden="1">{"'EARLY LIFE SAVINGS - COSTS '!$A$1:$N$56"}</definedName>
    <definedName name="_______T2" localSheetId="8" hidden="1">{"'EARLY LIFE SAVINGS - COSTS '!$A$1:$N$56"}</definedName>
    <definedName name="_______T2" hidden="1">{"'EARLY LIFE SAVINGS - COSTS '!$A$1:$N$56"}</definedName>
    <definedName name="_______t81" localSheetId="8" hidden="1">{#N/A,#N/A,FALSE,"Aging Summary";#N/A,#N/A,FALSE,"Ratio Analysis";#N/A,#N/A,FALSE,"Test 120 Day Accts";#N/A,#N/A,FALSE,"Tickmarks"}</definedName>
    <definedName name="_______t81" hidden="1">{#N/A,#N/A,FALSE,"Aging Summary";#N/A,#N/A,FALSE,"Ratio Analysis";#N/A,#N/A,FALSE,"Test 120 Day Accts";#N/A,#N/A,FALSE,"Tickmarks"}</definedName>
    <definedName name="_______tm1" localSheetId="8" hidden="1">{#N/A,#N/A,FALSE,"Pharm";#N/A,#N/A,FALSE,"WWCM"}</definedName>
    <definedName name="_______tm1" hidden="1">{#N/A,#N/A,FALSE,"Pharm";#N/A,#N/A,FALSE,"WWCM"}</definedName>
    <definedName name="_______z12" localSheetId="8" hidden="1">{"pro_view",#N/A,FALSE,"EEFSNAP2";"rep_view",#N/A,FALSE,"EEFSNAP2"}</definedName>
    <definedName name="_______z12" hidden="1">{"pro_view",#N/A,FALSE,"EEFSNAP2";"rep_view",#N/A,FALSE,"EEFSNAP2"}</definedName>
    <definedName name="_______z2" localSheetId="8" hidden="1">{"Sch00",#N/A,FALSE,"1";"Contents",#N/A,FALSE,"1"}</definedName>
    <definedName name="_______z2" hidden="1">{"Sch00",#N/A,FALSE,"1";"Contents",#N/A,FALSE,"1"}</definedName>
    <definedName name="_______z22" localSheetId="8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z25" localSheetId="8" hidden="1">{"detail",#N/A,FALSE,"mfg";"summary",#N/A,FALSE,"mfg"}</definedName>
    <definedName name="_______z25" hidden="1">{"detail",#N/A,FALSE,"mfg";"summary",#N/A,FALSE,"mfg"}</definedName>
    <definedName name="_______z3" localSheetId="8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zz3" localSheetId="8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a1" localSheetId="8" hidden="1">{#N/A,#N/A,FALSE,"Pharm";#N/A,#N/A,FALSE,"WWCM"}</definedName>
    <definedName name="______a1" hidden="1">{#N/A,#N/A,FALSE,"Pharm";#N/A,#N/A,FALSE,"WWCM"}</definedName>
    <definedName name="______a123" localSheetId="8" hidden="1">{#N/A,#N/A,FALSE,"cover";#N/A,#N/A,FALSE,"Content ";#N/A,#N/A,FALSE,"E&amp;C Op Stat";#N/A,#N/A,FALSE,"Telcos Op Stat";#N/A,#N/A,FALSE,"Media Op Stat";#N/A,#N/A,FALSE,"Oil Op Stat";#N/A,#N/A,FALSE,"Utilities Op Stat";#N/A,#N/A,FALSE,"E&amp;C Ord An";#N/A,#N/A,FALSE,"E&amp;C Debt Nar";#N/A,#N/A,FALSE,"E&amp;C Debtors";#N/A,#N/A,FALSE,"E&amp;C CO Debt";#N/A,#N/A,FALSE,"Telcos Presales";#N/A,#N/A,FALSE,"Oil Presales";#N/A,#N/A,FALSE,"Utilities Presales"}</definedName>
    <definedName name="______a123" hidden="1">{#N/A,#N/A,FALSE,"cover";#N/A,#N/A,FALSE,"Content ";#N/A,#N/A,FALSE,"E&amp;C Op Stat";#N/A,#N/A,FALSE,"Telcos Op Stat";#N/A,#N/A,FALSE,"Media Op Stat";#N/A,#N/A,FALSE,"Oil Op Stat";#N/A,#N/A,FALSE,"Utilities Op Stat";#N/A,#N/A,FALSE,"E&amp;C Ord An";#N/A,#N/A,FALSE,"E&amp;C Debt Nar";#N/A,#N/A,FALSE,"E&amp;C Debtors";#N/A,#N/A,FALSE,"E&amp;C CO Debt";#N/A,#N/A,FALSE,"Telcos Presales";#N/A,#N/A,FALSE,"Oil Presales";#N/A,#N/A,FALSE,"Utilities Presales"}</definedName>
    <definedName name="______aaa1" localSheetId="8" hidden="1">{#N/A,#N/A,FALSE,"REPORT"}</definedName>
    <definedName name="______aaa1" hidden="1">{#N/A,#N/A,FALSE,"REPORT"}</definedName>
    <definedName name="______aas1" localSheetId="8" hidden="1">{#N/A,#N/A,FALSE,"REPORT"}</definedName>
    <definedName name="______aas1" hidden="1">{#N/A,#N/A,FALSE,"REPORT"}</definedName>
    <definedName name="______ACS2000" localSheetId="8" hidden="1">{#N/A,#N/A,FALSE,"REPORT"}</definedName>
    <definedName name="______ACS2000" hidden="1">{#N/A,#N/A,FALSE,"REPORT"}</definedName>
    <definedName name="______b111" localSheetId="8" hidden="1">{#N/A,#N/A,FALSE,"Pharm";#N/A,#N/A,FALSE,"WWCM"}</definedName>
    <definedName name="______b111" hidden="1">{#N/A,#N/A,FALSE,"Pharm";#N/A,#N/A,FALSE,"WWCM"}</definedName>
    <definedName name="______BAL1" hidden="1">{"pq_dr",#N/A,FALSE,"PQ"}</definedName>
    <definedName name="______c" localSheetId="8" hidden="1">{#N/A,#N/A,FALSE,"WOB_1.XLS";#N/A,#N/A,FALSE,"WOB_2.XLS";#N/A,#N/A,FALSE,"WOB_3.XLS";#N/A,#N/A,FALSE,"WOB_4.XLS";#N/A,#N/A,FALSE,"WOB_5.XLS"}</definedName>
    <definedName name="______c" hidden="1">{#N/A,#N/A,FALSE,"WOB_1.XLS";#N/A,#N/A,FALSE,"WOB_2.XLS";#N/A,#N/A,FALSE,"WOB_3.XLS";#N/A,#N/A,FALSE,"WOB_4.XLS";#N/A,#N/A,FALSE,"WOB_5.XLS"}</definedName>
    <definedName name="______CuN3" localSheetId="8" hidden="1">{#N/A,#N/A,FALSE,"WOBE_DE.XLS";#N/A,#N/A,FALSE,"WOB_1.XLS";#N/A,#N/A,FALSE,"WOB_2.XLS";#N/A,#N/A,FALSE,"WOB_3.XLS";#N/A,#N/A,FALSE,"WOB_4.XLS";#N/A,#N/A,FALSE,"WOB_5.XLS"}</definedName>
    <definedName name="______CuN3" hidden="1">{#N/A,#N/A,FALSE,"WOBE_DE.XLS";#N/A,#N/A,FALSE,"WOB_1.XLS";#N/A,#N/A,FALSE,"WOB_2.XLS";#N/A,#N/A,FALSE,"WOB_3.XLS";#N/A,#N/A,FALSE,"WOB_4.XLS";#N/A,#N/A,FALSE,"WOB_5.XLS"}</definedName>
    <definedName name="______dem2" localSheetId="8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______dem2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______dem2_1" localSheetId="8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______dem2_1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______dem3" localSheetId="8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______dem3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______dem3_1" localSheetId="8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______dem3_1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______f" localSheetId="8" hidden="1">{#N/A,#N/A,FALSE,"Venta"}</definedName>
    <definedName name="______f" hidden="1">{#N/A,#N/A,FALSE,"Venta"}</definedName>
    <definedName name="______key1" localSheetId="8" hidden="1">#REF!</definedName>
    <definedName name="______key1" hidden="1">#REF!</definedName>
    <definedName name="______mcm2" localSheetId="8" hidden="1">{"Pèrdues i Guanys analític.Català",#N/A,FALSE,"Català";"Pèrdues i G. analític.castellà",#N/A,FALSE,"Castellà"}</definedName>
    <definedName name="______mcm2" hidden="1">{"Pèrdues i Guanys analític.Català",#N/A,FALSE,"Català";"Pèrdues i G. analític.castellà",#N/A,FALSE,"Castellà"}</definedName>
    <definedName name="______new1" localSheetId="8" hidden="1">{#N/A,#N/A,FALSE,"Pharm";#N/A,#N/A,FALSE,"WWCM"}</definedName>
    <definedName name="______new1" hidden="1">{#N/A,#N/A,FALSE,"Pharm";#N/A,#N/A,FALSE,"WWCM"}</definedName>
    <definedName name="______New2" localSheetId="8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______New2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______ok1" localSheetId="8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____ok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____ok1_1" localSheetId="8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____ok1_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____OSX2" localSheetId="8" hidden="1">{"Area1",#N/A,FALSE,"OREWACC";"Area2",#N/A,FALSE,"OREWACC"}</definedName>
    <definedName name="______OSX2" hidden="1">{"Area1",#N/A,FALSE,"OREWACC";"Area2",#N/A,FALSE,"OREWACC"}</definedName>
    <definedName name="______pub2" hidden="1">"L10003649.xls"</definedName>
    <definedName name="______r" localSheetId="8" hidden="1">{#N/A,#N/A,FALSE,"Pharm";#N/A,#N/A,FALSE,"WWCM"}</definedName>
    <definedName name="______r" hidden="1">{#N/A,#N/A,FALSE,"Pharm";#N/A,#N/A,FALSE,"WWCM"}</definedName>
    <definedName name="______ss1" localSheetId="8" hidden="1">{#N/A,#N/A,FALSE,"P&amp;L-BS-CF"}</definedName>
    <definedName name="______ss1" hidden="1">{#N/A,#N/A,FALSE,"P&amp;L-BS-CF"}</definedName>
    <definedName name="______ss1_1" localSheetId="8" hidden="1">{#N/A,#N/A,FALSE,"P&amp;L-BS-CF"}</definedName>
    <definedName name="______ss1_1" hidden="1">{#N/A,#N/A,FALSE,"P&amp;L-BS-CF"}</definedName>
    <definedName name="______T1" localSheetId="8" hidden="1">{"'EARLY LIFE SAVINGS - COSTS '!$A$1:$N$56"}</definedName>
    <definedName name="______T1" hidden="1">{"'EARLY LIFE SAVINGS - COSTS '!$A$1:$N$56"}</definedName>
    <definedName name="______T2" localSheetId="8" hidden="1">{"'EARLY LIFE SAVINGS - COSTS '!$A$1:$N$56"}</definedName>
    <definedName name="______T2" hidden="1">{"'EARLY LIFE SAVINGS - COSTS '!$A$1:$N$56"}</definedName>
    <definedName name="______tm1" localSheetId="8" hidden="1">{#N/A,#N/A,FALSE,"Pharm";#N/A,#N/A,FALSE,"WWCM"}</definedName>
    <definedName name="______tm1" hidden="1">{#N/A,#N/A,FALSE,"Pharm";#N/A,#N/A,FALSE,"WWCM"}</definedName>
    <definedName name="______X2" localSheetId="8" hidden="1">{#N/A,#N/A,FALSE,"Other";#N/A,#N/A,FALSE,"Ace";#N/A,#N/A,FALSE,"Derm"}</definedName>
    <definedName name="______X2" hidden="1">{#N/A,#N/A,FALSE,"Other";#N/A,#N/A,FALSE,"Ace";#N/A,#N/A,FALSE,"Derm"}</definedName>
    <definedName name="______z2" localSheetId="8" hidden="1">{"Sch00",#N/A,FALSE,"1";"Contents",#N/A,FALSE,"1"}</definedName>
    <definedName name="______z2" hidden="1">{"Sch00",#N/A,FALSE,"1";"Contents",#N/A,FALSE,"1"}</definedName>
    <definedName name="______z3" localSheetId="8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zz3" localSheetId="8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a1" localSheetId="8" hidden="1">{#N/A,#N/A,FALSE,"Pharm";#N/A,#N/A,FALSE,"WWCM"}</definedName>
    <definedName name="_____a1" hidden="1">{#N/A,#N/A,FALSE,"Pharm";#N/A,#N/A,FALSE,"WWCM"}</definedName>
    <definedName name="_____a123" localSheetId="8" hidden="1">{#N/A,#N/A,FALSE,"cover";#N/A,#N/A,FALSE,"Content ";#N/A,#N/A,FALSE,"E&amp;C Op Stat";#N/A,#N/A,FALSE,"Telcos Op Stat";#N/A,#N/A,FALSE,"Media Op Stat";#N/A,#N/A,FALSE,"Oil Op Stat";#N/A,#N/A,FALSE,"Utilities Op Stat";#N/A,#N/A,FALSE,"E&amp;C Ord An";#N/A,#N/A,FALSE,"E&amp;C Debt Nar";#N/A,#N/A,FALSE,"E&amp;C Debtors";#N/A,#N/A,FALSE,"E&amp;C CO Debt";#N/A,#N/A,FALSE,"Telcos Presales";#N/A,#N/A,FALSE,"Oil Presales";#N/A,#N/A,FALSE,"Utilities Presales"}</definedName>
    <definedName name="_____a123" hidden="1">{#N/A,#N/A,FALSE,"cover";#N/A,#N/A,FALSE,"Content ";#N/A,#N/A,FALSE,"E&amp;C Op Stat";#N/A,#N/A,FALSE,"Telcos Op Stat";#N/A,#N/A,FALSE,"Media Op Stat";#N/A,#N/A,FALSE,"Oil Op Stat";#N/A,#N/A,FALSE,"Utilities Op Stat";#N/A,#N/A,FALSE,"E&amp;C Ord An";#N/A,#N/A,FALSE,"E&amp;C Debt Nar";#N/A,#N/A,FALSE,"E&amp;C Debtors";#N/A,#N/A,FALSE,"E&amp;C CO Debt";#N/A,#N/A,FALSE,"Telcos Presales";#N/A,#N/A,FALSE,"Oil Presales";#N/A,#N/A,FALSE,"Utilities Presales"}</definedName>
    <definedName name="_____aaa1" localSheetId="8" hidden="1">{#N/A,#N/A,FALSE,"REPORT"}</definedName>
    <definedName name="_____aaa1" hidden="1">{#N/A,#N/A,FALSE,"REPORT"}</definedName>
    <definedName name="_____aas1" localSheetId="8" hidden="1">{#N/A,#N/A,FALSE,"REPORT"}</definedName>
    <definedName name="_____aas1" hidden="1">{#N/A,#N/A,FALSE,"REPORT"}</definedName>
    <definedName name="_____abc1" localSheetId="8" hidden="1">{"detail",#N/A,FALSE,"mfg";"summary",#N/A,FALSE,"mfg"}</definedName>
    <definedName name="_____abc1" hidden="1">{"detail",#N/A,FALSE,"mfg";"summary",#N/A,FALSE,"mfg"}</definedName>
    <definedName name="_____abc2" localSheetId="8" hidden="1">{"detail",#N/A,FALSE,"mfg";"summary",#N/A,FALSE,"mfg"}</definedName>
    <definedName name="_____abc2" hidden="1">{"detail",#N/A,FALSE,"mfg";"summary",#N/A,FALSE,"mfg"}</definedName>
    <definedName name="_____ACS2000" localSheetId="8" hidden="1">{#N/A,#N/A,FALSE,"REPORT"}</definedName>
    <definedName name="_____ACS2000" hidden="1">{#N/A,#N/A,FALSE,"REPORT"}</definedName>
    <definedName name="_____BAL1" hidden="1">{"pq_dr",#N/A,FALSE,"PQ"}</definedName>
    <definedName name="_____c" localSheetId="8" hidden="1">{#N/A,#N/A,FALSE,"WOB_1.XLS";#N/A,#N/A,FALSE,"WOB_2.XLS";#N/A,#N/A,FALSE,"WOB_3.XLS";#N/A,#N/A,FALSE,"WOB_4.XLS";#N/A,#N/A,FALSE,"WOB_5.XLS"}</definedName>
    <definedName name="_____c" hidden="1">{#N/A,#N/A,FALSE,"WOB_1.XLS";#N/A,#N/A,FALSE,"WOB_2.XLS";#N/A,#N/A,FALSE,"WOB_3.XLS";#N/A,#N/A,FALSE,"WOB_4.XLS";#N/A,#N/A,FALSE,"WOB_5.XLS"}</definedName>
    <definedName name="_____cp010103" localSheetId="8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cp010103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CuN3" localSheetId="8" hidden="1">{#N/A,#N/A,FALSE,"WOBE_DE.XLS";#N/A,#N/A,FALSE,"WOB_1.XLS";#N/A,#N/A,FALSE,"WOB_2.XLS";#N/A,#N/A,FALSE,"WOB_3.XLS";#N/A,#N/A,FALSE,"WOB_4.XLS";#N/A,#N/A,FALSE,"WOB_5.XLS"}</definedName>
    <definedName name="_____CuN3" hidden="1">{#N/A,#N/A,FALSE,"WOBE_DE.XLS";#N/A,#N/A,FALSE,"WOB_1.XLS";#N/A,#N/A,FALSE,"WOB_2.XLS";#N/A,#N/A,FALSE,"WOB_3.XLS";#N/A,#N/A,FALSE,"WOB_4.XLS";#N/A,#N/A,FALSE,"WOB_5.XLS"}</definedName>
    <definedName name="_____CVK6712" localSheetId="8" hidden="1">{#N/A,#N/A,FALSE,"UNIT";#N/A,#N/A,FALSE,"UNIT";#N/A,#N/A,FALSE,"계정"}</definedName>
    <definedName name="_____CVK6712" hidden="1">{#N/A,#N/A,FALSE,"UNIT";#N/A,#N/A,FALSE,"UNIT";#N/A,#N/A,FALSE,"계정"}</definedName>
    <definedName name="_____DCF1" localSheetId="8" hidden="1">{#N/A,#N/A,FALSE,"DCF Summary";#N/A,#N/A,FALSE,"Casema";#N/A,#N/A,FALSE,"Casema NoTel";#N/A,#N/A,FALSE,"UK";#N/A,#N/A,FALSE,"RCF";#N/A,#N/A,FALSE,"Intercable CZ";#N/A,#N/A,FALSE,"Interkabel P"}</definedName>
    <definedName name="_____DCF1" hidden="1">{#N/A,#N/A,FALSE,"DCF Summary";#N/A,#N/A,FALSE,"Casema";#N/A,#N/A,FALSE,"Casema NoTel";#N/A,#N/A,FALSE,"UK";#N/A,#N/A,FALSE,"RCF";#N/A,#N/A,FALSE,"Intercable CZ";#N/A,#N/A,FALSE,"Interkabel P"}</definedName>
    <definedName name="_____DCF1_1" localSheetId="8" hidden="1">{#N/A,#N/A,FALSE,"DCF Summary";#N/A,#N/A,FALSE,"Casema";#N/A,#N/A,FALSE,"Casema NoTel";#N/A,#N/A,FALSE,"UK";#N/A,#N/A,FALSE,"RCF";#N/A,#N/A,FALSE,"Intercable CZ";#N/A,#N/A,FALSE,"Interkabel P"}</definedName>
    <definedName name="_____DCF1_1" hidden="1">{#N/A,#N/A,FALSE,"DCF Summary";#N/A,#N/A,FALSE,"Casema";#N/A,#N/A,FALSE,"Casema NoTel";#N/A,#N/A,FALSE,"UK";#N/A,#N/A,FALSE,"RCF";#N/A,#N/A,FALSE,"Intercable CZ";#N/A,#N/A,FALSE,"Interkabel P"}</definedName>
    <definedName name="_____dem2" localSheetId="8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_____dem2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_____dem2_1" localSheetId="8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_____dem2_1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_____dem3" localSheetId="8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_____dem3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_____dem3_1" localSheetId="8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_____dem3_1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_____ECS2" localSheetId="8" hidden="1">{#N/A,#N/A,FALSE,"EC&amp;AFLTPLAN";#N/A,#N/A,FALSE,"EC&amp;AFLT1";#N/A,#N/A,FALSE,"EC&amp;AFLT2";#N/A,#N/A,FALSE,"SUMMARY"}</definedName>
    <definedName name="_____ECS2" hidden="1">{#N/A,#N/A,FALSE,"EC&amp;AFLTPLAN";#N/A,#N/A,FALSE,"EC&amp;AFLT1";#N/A,#N/A,FALSE,"EC&amp;AFLT2";#N/A,#N/A,FALSE,"SUMMARY"}</definedName>
    <definedName name="_____f" localSheetId="8" hidden="1">{#N/A,#N/A,FALSE,"Venta"}</definedName>
    <definedName name="_____f" hidden="1">{#N/A,#N/A,FALSE,"Venta"}</definedName>
    <definedName name="_____f1" localSheetId="8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f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ftu222" localSheetId="8" hidden="1">{#N/A,#N/A,FALSE,"Aging Summary";#N/A,#N/A,FALSE,"Ratio Analysis";#N/A,#N/A,FALSE,"Test 120 Day Accts";#N/A,#N/A,FALSE,"Tickmarks"}</definedName>
    <definedName name="_____ftu222" hidden="1">{#N/A,#N/A,FALSE,"Aging Summary";#N/A,#N/A,FALSE,"Ratio Analysis";#N/A,#N/A,FALSE,"Test 120 Day Accts";#N/A,#N/A,FALSE,"Tickmarks"}</definedName>
    <definedName name="_____Inv3" localSheetId="8" hidden="1">{#N/A,#N/A,FALSE,"CAPA";#N/A,#N/A,FALSE,"INDICES";#N/A,#N/A,FALSE,"RES-GER-CONS";#N/A,#N/A,FALSE,"MAQ-S1";#N/A,#N/A,FALSE,"MAQ-S2";#N/A,#N/A,FALSE,"MAQ-S3";#N/A,#N/A,FALSE,"PROD-VEN";#N/A,#N/A,FALSE,"PRECOS";#N/A,#N/A,FALSE,"BILAN";#N/A,#N/A,FALSE,"CASH-FLOW";#N/A,#N/A,FALSE,"SP4-5"}</definedName>
    <definedName name="_____Inv3" hidden="1">{#N/A,#N/A,FALSE,"CAPA";#N/A,#N/A,FALSE,"INDICES";#N/A,#N/A,FALSE,"RES-GER-CONS";#N/A,#N/A,FALSE,"MAQ-S1";#N/A,#N/A,FALSE,"MAQ-S2";#N/A,#N/A,FALSE,"MAQ-S3";#N/A,#N/A,FALSE,"PROD-VEN";#N/A,#N/A,FALSE,"PRECOS";#N/A,#N/A,FALSE,"BILAN";#N/A,#N/A,FALSE,"CASH-FLOW";#N/A,#N/A,FALSE,"SP4-5"}</definedName>
    <definedName name="_____Inv3_1" localSheetId="8" hidden="1">{#N/A,#N/A,FALSE,"CAPA";#N/A,#N/A,FALSE,"INDICES";#N/A,#N/A,FALSE,"RES-GER-CONS";#N/A,#N/A,FALSE,"MAQ-S1";#N/A,#N/A,FALSE,"MAQ-S2";#N/A,#N/A,FALSE,"MAQ-S3";#N/A,#N/A,FALSE,"PROD-VEN";#N/A,#N/A,FALSE,"PRECOS";#N/A,#N/A,FALSE,"BILAN";#N/A,#N/A,FALSE,"CASH-FLOW";#N/A,#N/A,FALSE,"SP4-5"}</definedName>
    <definedName name="_____Inv3_1" hidden="1">{#N/A,#N/A,FALSE,"CAPA";#N/A,#N/A,FALSE,"INDICES";#N/A,#N/A,FALSE,"RES-GER-CONS";#N/A,#N/A,FALSE,"MAQ-S1";#N/A,#N/A,FALSE,"MAQ-S2";#N/A,#N/A,FALSE,"MAQ-S3";#N/A,#N/A,FALSE,"PROD-VEN";#N/A,#N/A,FALSE,"PRECOS";#N/A,#N/A,FALSE,"BILAN";#N/A,#N/A,FALSE,"CASH-FLOW";#N/A,#N/A,FALSE,"SP4-5"}</definedName>
    <definedName name="_____key1" localSheetId="8" hidden="1">#REF!</definedName>
    <definedName name="_____key1" hidden="1">#REF!</definedName>
    <definedName name="_____mcm2" localSheetId="8" hidden="1">{"Pèrdues i Guanys analític.Català",#N/A,FALSE,"Català";"Pèrdues i G. analític.castellà",#N/A,FALSE,"Castellà"}</definedName>
    <definedName name="_____mcm2" hidden="1">{"Pèrdues i Guanys analític.Català",#N/A,FALSE,"Català";"Pèrdues i G. analític.castellà",#N/A,FALSE,"Castellà"}</definedName>
    <definedName name="_____new1" localSheetId="8" hidden="1">{#N/A,#N/A,FALSE,"Pharm";#N/A,#N/A,FALSE,"WWCM"}</definedName>
    <definedName name="_____new1" hidden="1">{#N/A,#N/A,FALSE,"Pharm";#N/A,#N/A,FALSE,"WWCM"}</definedName>
    <definedName name="_____ok1" localSheetId="8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___ok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___ok1_1" localSheetId="8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___ok1_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___OMM95" localSheetId="8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OMM95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OMM96" localSheetId="8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OMM96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PPM1" localSheetId="8" hidden="1">{#N/A,#N/A,FALSE,"Aging Summary";#N/A,#N/A,FALSE,"Ratio Analysis";#N/A,#N/A,FALSE,"Test 120 Day Accts";#N/A,#N/A,FALSE,"Tickmarks"}</definedName>
    <definedName name="_____PPM1" hidden="1">{#N/A,#N/A,FALSE,"Aging Summary";#N/A,#N/A,FALSE,"Ratio Analysis";#N/A,#N/A,FALSE,"Test 120 Day Accts";#N/A,#N/A,FALSE,"Tickmarks"}</definedName>
    <definedName name="_____pub2" hidden="1">"L10003649.xls"</definedName>
    <definedName name="_____Q2" localSheetId="8" hidden="1">{#N/A,#N/A,FALSE,"UNIT";#N/A,#N/A,FALSE,"UNIT";#N/A,#N/A,FALSE,"계정"}</definedName>
    <definedName name="_____Q2" hidden="1">{#N/A,#N/A,FALSE,"UNIT";#N/A,#N/A,FALSE,"UNIT";#N/A,#N/A,FALSE,"계정"}</definedName>
    <definedName name="_____Q3" localSheetId="8" hidden="1">{#N/A,#N/A,FALSE,"OMM III";#N/A,#N/A,FALSE,"1995 PLAN";#N/A,#N/A,FALSE,"1995 TARGET";#N/A,#N/A,FALSE,"1995 ADJUSTED"}</definedName>
    <definedName name="_____Q3" hidden="1">{#N/A,#N/A,FALSE,"OMM III";#N/A,#N/A,FALSE,"1995 PLAN";#N/A,#N/A,FALSE,"1995 TARGET";#N/A,#N/A,FALSE,"1995 ADJUSTED"}</definedName>
    <definedName name="_____r" localSheetId="8" hidden="1">{"consolidated",#N/A,FALSE,"Sheet1";"cms",#N/A,FALSE,"Sheet1";"fse",#N/A,FALSE,"Sheet1"}</definedName>
    <definedName name="_____r" hidden="1">{"consolidated",#N/A,FALSE,"Sheet1";"cms",#N/A,FALSE,"Sheet1";"fse",#N/A,FALSE,"Sheet1"}</definedName>
    <definedName name="_____r_1" localSheetId="8" hidden="1">{"consolidated",#N/A,FALSE,"Sheet1";"cms",#N/A,FALSE,"Sheet1";"fse",#N/A,FALSE,"Sheet1"}</definedName>
    <definedName name="_____r_1" hidden="1">{"consolidated",#N/A,FALSE,"Sheet1";"cms",#N/A,FALSE,"Sheet1";"fse",#N/A,FALSE,"Sheet1"}</definedName>
    <definedName name="_____ss1" localSheetId="8" hidden="1">{#N/A,#N/A,FALSE,"P&amp;L-BS-CF"}</definedName>
    <definedName name="_____ss1" hidden="1">{#N/A,#N/A,FALSE,"P&amp;L-BS-CF"}</definedName>
    <definedName name="_____ss1_1" localSheetId="8" hidden="1">{#N/A,#N/A,FALSE,"P&amp;L-BS-CF"}</definedName>
    <definedName name="_____ss1_1" hidden="1">{#N/A,#N/A,FALSE,"P&amp;L-BS-CF"}</definedName>
    <definedName name="_____T1" localSheetId="8" hidden="1">{"'EARLY LIFE SAVINGS - COSTS '!$A$1:$N$56"}</definedName>
    <definedName name="_____T1" hidden="1">{"'EARLY LIFE SAVINGS - COSTS '!$A$1:$N$56"}</definedName>
    <definedName name="_____T2" localSheetId="8" hidden="1">{"'EARLY LIFE SAVINGS - COSTS '!$A$1:$N$56"}</definedName>
    <definedName name="_____T2" hidden="1">{"'EARLY LIFE SAVINGS - COSTS '!$A$1:$N$56"}</definedName>
    <definedName name="_____t81" localSheetId="8" hidden="1">{#N/A,#N/A,FALSE,"Aging Summary";#N/A,#N/A,FALSE,"Ratio Analysis";#N/A,#N/A,FALSE,"Test 120 Day Accts";#N/A,#N/A,FALSE,"Tickmarks"}</definedName>
    <definedName name="_____t81" hidden="1">{#N/A,#N/A,FALSE,"Aging Summary";#N/A,#N/A,FALSE,"Ratio Analysis";#N/A,#N/A,FALSE,"Test 120 Day Accts";#N/A,#N/A,FALSE,"Tickmarks"}</definedName>
    <definedName name="_____tm1" localSheetId="8" hidden="1">{#N/A,#N/A,FALSE,"Pharm";#N/A,#N/A,FALSE,"WWCM"}</definedName>
    <definedName name="_____tm1" hidden="1">{#N/A,#N/A,FALSE,"Pharm";#N/A,#N/A,FALSE,"WWCM"}</definedName>
    <definedName name="_____v1" localSheetId="8" hidden="1">{TRUE,TRUE,-1.25,-15.5,604.5,369.75,FALSE,TRUE,TRUE,TRUE,0,1,#N/A,1,#N/A,36.96875,22.9444444444444,1,FALSE,FALSE,3,TRUE,1,FALSE,100,"Swvu.provision.","ACwvu.provision.",1,FALSE,FALSE,0.75,0.75,2.02,1,2,"&amp;C&amp;""Helvetica""&amp;18&amp;BDELL COMPUTER CORPORATION
SERVICE OPERATIONS - FINANCE&amp;""MS Sans Serif""&amp;10&amp;B
&amp;""Helvetica""&amp;14&amp;BParts Provision vs. Write-offs","&amp;L&amp;""Helvetica""&amp;9Bob Ross&amp;C&amp;""Helvetica""&amp;9&amp;F&amp;R&amp;""Helvetica""&amp;9&amp;D     &amp;T",FALSE,FALSE,FALSE,FALSE,1,110,#N/A,#N/A,"=R7C1:R26C36",FALSE,"Rwvu.provision.",#N/A,FALSE,FALSE}</definedName>
    <definedName name="_____v1" hidden="1">{TRUE,TRUE,-1.25,-15.5,604.5,369.75,FALSE,TRUE,TRUE,TRUE,0,1,#N/A,1,#N/A,36.96875,22.9444444444444,1,FALSE,FALSE,3,TRUE,1,FALSE,100,"Swvu.provision.","ACwvu.provision.",1,FALSE,FALSE,0.75,0.75,2.02,1,2,"&amp;C&amp;""Helvetica""&amp;18&amp;BDELL COMPUTER CORPORATION
SERVICE OPERATIONS - FINANCE&amp;""MS Sans Serif""&amp;10&amp;B
&amp;""Helvetica""&amp;14&amp;BParts Provision vs. Write-offs","&amp;L&amp;""Helvetica""&amp;9Bob Ross&amp;C&amp;""Helvetica""&amp;9&amp;F&amp;R&amp;""Helvetica""&amp;9&amp;D     &amp;T",FALSE,FALSE,FALSE,FALSE,1,110,#N/A,#N/A,"=R7C1:R26C36",FALSE,"Rwvu.provision.",#N/A,FALSE,FALSE}</definedName>
    <definedName name="_____v2" localSheetId="8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_____v2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_____x1" hidden="1">1</definedName>
    <definedName name="_____z12" localSheetId="8" hidden="1">{"pro_view",#N/A,FALSE,"EEFSNAP2";"rep_view",#N/A,FALSE,"EEFSNAP2"}</definedName>
    <definedName name="_____z12" hidden="1">{"pro_view",#N/A,FALSE,"EEFSNAP2";"rep_view",#N/A,FALSE,"EEFSNAP2"}</definedName>
    <definedName name="_____z2" localSheetId="8" hidden="1">{"Sch00",#N/A,FALSE,"1";"Contents",#N/A,FALSE,"1"}</definedName>
    <definedName name="_____z2" hidden="1">{"Sch00",#N/A,FALSE,"1";"Contents",#N/A,FALSE,"1"}</definedName>
    <definedName name="_____z22" localSheetId="8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z25" localSheetId="8" hidden="1">{"detail",#N/A,FALSE,"mfg";"summary",#N/A,FALSE,"mfg"}</definedName>
    <definedName name="_____z25" hidden="1">{"detail",#N/A,FALSE,"mfg";"summary",#N/A,FALSE,"mfg"}</definedName>
    <definedName name="_____z3" localSheetId="8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zz3" localSheetId="8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a1" localSheetId="8" hidden="1">{#N/A,#N/A,FALSE,"Pharm";#N/A,#N/A,FALSE,"WWCM"}</definedName>
    <definedName name="____a1" hidden="1">{#N/A,#N/A,FALSE,"Pharm";#N/A,#N/A,FALSE,"WWCM"}</definedName>
    <definedName name="____a123" localSheetId="8" hidden="1">{#N/A,#N/A,FALSE,"cover";#N/A,#N/A,FALSE,"Content ";#N/A,#N/A,FALSE,"E&amp;C Op Stat";#N/A,#N/A,FALSE,"Telcos Op Stat";#N/A,#N/A,FALSE,"Media Op Stat";#N/A,#N/A,FALSE,"Oil Op Stat";#N/A,#N/A,FALSE,"Utilities Op Stat";#N/A,#N/A,FALSE,"E&amp;C Ord An";#N/A,#N/A,FALSE,"E&amp;C Debt Nar";#N/A,#N/A,FALSE,"E&amp;C Debtors";#N/A,#N/A,FALSE,"E&amp;C CO Debt";#N/A,#N/A,FALSE,"Telcos Presales";#N/A,#N/A,FALSE,"Oil Presales";#N/A,#N/A,FALSE,"Utilities Presales"}</definedName>
    <definedName name="____a123" hidden="1">{#N/A,#N/A,FALSE,"cover";#N/A,#N/A,FALSE,"Content ";#N/A,#N/A,FALSE,"E&amp;C Op Stat";#N/A,#N/A,FALSE,"Telcos Op Stat";#N/A,#N/A,FALSE,"Media Op Stat";#N/A,#N/A,FALSE,"Oil Op Stat";#N/A,#N/A,FALSE,"Utilities Op Stat";#N/A,#N/A,FALSE,"E&amp;C Ord An";#N/A,#N/A,FALSE,"E&amp;C Debt Nar";#N/A,#N/A,FALSE,"E&amp;C Debtors";#N/A,#N/A,FALSE,"E&amp;C CO Debt";#N/A,#N/A,FALSE,"Telcos Presales";#N/A,#N/A,FALSE,"Oil Presales";#N/A,#N/A,FALSE,"Utilities Presales"}</definedName>
    <definedName name="____a2" localSheetId="8" hidden="1">{#N/A,#N/A,TRUE,"Voorblad B";#N/A,#N/A,TRUE,"Table of Content FinCom B";#N/A,#N/A,TRUE,"A3-P&amp;L by Bus.Unt-Serv.Unt";#N/A,#N/A,TRUE,"Summary carrier service";#N/A,#N/A,TRUE,"Summary Large accounts";#N/A,#N/A,TRUE,"Summary Consumer";#N/A,#N/A,TRUE,"Mobile";#N/A,#N/A,TRUE,"B5-Mobile(1) ";#N/A,#N/A,TRUE,"B4-GM per Product";#N/A,#N/A,TRUE,"Summary N&amp;S";#N/A,#N/A,TRUE,"B15-Network ";#N/A,#N/A,TRUE,"Summary ITbilling";#N/A,#N/A,TRUE,"Billing backlog";#N/A,#N/A,TRUE,"Summary Corporate";#N/A,#N/A,TRUE,"A5-Bal_Sheet CF";#N/A,#N/A,TRUE,"A6-Bal_Sheet CF by Old org. ";#N/A,#N/A,TRUE,"P13-Funding- Inter.";#N/A,#N/A,TRUE,"P14-Risk &amp; Fraud Fixed";#N/A,#N/A,TRUE,"P14-Risk &amp; Fraud Mobile";#N/A,#N/A,TRUE,"Accounts payable"}</definedName>
    <definedName name="____a2" hidden="1">{#N/A,#N/A,TRUE,"Voorblad B";#N/A,#N/A,TRUE,"Table of Content FinCom B";#N/A,#N/A,TRUE,"A3-P&amp;L by Bus.Unt-Serv.Unt";#N/A,#N/A,TRUE,"Summary carrier service";#N/A,#N/A,TRUE,"Summary Large accounts";#N/A,#N/A,TRUE,"Summary Consumer";#N/A,#N/A,TRUE,"Mobile";#N/A,#N/A,TRUE,"B5-Mobile(1) ";#N/A,#N/A,TRUE,"B4-GM per Product";#N/A,#N/A,TRUE,"Summary N&amp;S";#N/A,#N/A,TRUE,"B15-Network ";#N/A,#N/A,TRUE,"Summary ITbilling";#N/A,#N/A,TRUE,"Billing backlog";#N/A,#N/A,TRUE,"Summary Corporate";#N/A,#N/A,TRUE,"A5-Bal_Sheet CF";#N/A,#N/A,TRUE,"A6-Bal_Sheet CF by Old org. ";#N/A,#N/A,TRUE,"P13-Funding- Inter.";#N/A,#N/A,TRUE,"P14-Risk &amp; Fraud Fixed";#N/A,#N/A,TRUE,"P14-Risk &amp; Fraud Mobile";#N/A,#N/A,TRUE,"Accounts payable"}</definedName>
    <definedName name="____aaa1" localSheetId="8" hidden="1">{#N/A,#N/A,FALSE,"REPORT"}</definedName>
    <definedName name="____aaa1" hidden="1">{#N/A,#N/A,FALSE,"REPORT"}</definedName>
    <definedName name="____aas1" localSheetId="8" hidden="1">{#N/A,#N/A,FALSE,"REPORT"}</definedName>
    <definedName name="____aas1" hidden="1">{#N/A,#N/A,FALSE,"REPORT"}</definedName>
    <definedName name="____abc1" localSheetId="8" hidden="1">{"detail",#N/A,FALSE,"mfg";"summary",#N/A,FALSE,"mfg"}</definedName>
    <definedName name="____abc1" hidden="1">{"detail",#N/A,FALSE,"mfg";"summary",#N/A,FALSE,"mfg"}</definedName>
    <definedName name="____abc2" localSheetId="8" hidden="1">{"detail",#N/A,FALSE,"mfg";"summary",#N/A,FALSE,"mfg"}</definedName>
    <definedName name="____abc2" hidden="1">{"detail",#N/A,FALSE,"mfg";"summary",#N/A,FALSE,"mfg"}</definedName>
    <definedName name="____ACS2000" localSheetId="8" hidden="1">{#N/A,#N/A,FALSE,"REPORT"}</definedName>
    <definedName name="____ACS2000" hidden="1">{#N/A,#N/A,FALSE,"REPORT"}</definedName>
    <definedName name="____age1" localSheetId="8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age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BAL1" hidden="1">{"pq_dr",#N/A,FALSE,"PQ"}</definedName>
    <definedName name="____c" localSheetId="8" hidden="1">{#N/A,#N/A,FALSE,"WOB_1.XLS";#N/A,#N/A,FALSE,"WOB_2.XLS";#N/A,#N/A,FALSE,"WOB_3.XLS";#N/A,#N/A,FALSE,"WOB_4.XLS";#N/A,#N/A,FALSE,"WOB_5.XLS"}</definedName>
    <definedName name="____c" hidden="1">{#N/A,#N/A,FALSE,"WOB_1.XLS";#N/A,#N/A,FALSE,"WOB_2.XLS";#N/A,#N/A,FALSE,"WOB_3.XLS";#N/A,#N/A,FALSE,"WOB_4.XLS";#N/A,#N/A,FALSE,"WOB_5.XLS"}</definedName>
    <definedName name="____c123" localSheetId="8" hidden="1">{#N/A,#N/A,TRUE,"Voorblad";#N/A,#N/A,TRUE,"Table of Content A";#N/A,#N/A,TRUE,"A1-Summ- Key Figures";#N/A,#N/A,TRUE,"A2-Summ Month Man";#N/A,#N/A,TRUE,"A3-P&amp;L by Bus.Unt-Serv.Unt";#N/A,#N/A,TRUE,"A4-P&amp;L by Old org.";#N/A,#N/A,TRUE,"A6-Bal_Sheet CF by Old org. ";#N/A,#N/A,TRUE,"A8-Headc.Funct."}</definedName>
    <definedName name="____c123" hidden="1">{#N/A,#N/A,TRUE,"Voorblad";#N/A,#N/A,TRUE,"Table of Content A";#N/A,#N/A,TRUE,"A1-Summ- Key Figures";#N/A,#N/A,TRUE,"A2-Summ Month Man";#N/A,#N/A,TRUE,"A3-P&amp;L by Bus.Unt-Serv.Unt";#N/A,#N/A,TRUE,"A4-P&amp;L by Old org.";#N/A,#N/A,TRUE,"A6-Bal_Sheet CF by Old org. ";#N/A,#N/A,TRUE,"A8-Headc.Funct."}</definedName>
    <definedName name="____c23" localSheetId="8" hidden="1">{#N/A,#N/A,FALSE,"Appendicesfinvoorblad";#N/A,#N/A,FALSE,"appendix a";#N/A,#N/A,FALSE,"appendix b";#N/A,#N/A,FALSE,"appendix c";#N/A,#N/A,FALSE,"appendix d";#N/A,#N/A,FALSE,"appendix e";#N/A,#N/A,FALSE,"appendix f";#N/A,#N/A,FALSE,"appendix g";#N/A,#N/A,FALSE,"appendix g2";#N/A,#N/A,FALSE,"appendix h";#N/A,#N/A,FALSE,"appendix i";#N/A,#N/A,FALSE,"appendix i-2";#N/A,#N/A,FALSE,"appendix j";#N/A,#N/A,FALSE,"appendicesprocesses";#N/A,#N/A,FALSE,"appendix k";#N/A,#N/A,FALSE,"appendix l"}</definedName>
    <definedName name="____c23" hidden="1">{#N/A,#N/A,FALSE,"Appendicesfinvoorblad";#N/A,#N/A,FALSE,"appendix a";#N/A,#N/A,FALSE,"appendix b";#N/A,#N/A,FALSE,"appendix c";#N/A,#N/A,FALSE,"appendix d";#N/A,#N/A,FALSE,"appendix e";#N/A,#N/A,FALSE,"appendix f";#N/A,#N/A,FALSE,"appendix g";#N/A,#N/A,FALSE,"appendix g2";#N/A,#N/A,FALSE,"appendix h";#N/A,#N/A,FALSE,"appendix i";#N/A,#N/A,FALSE,"appendix i-2";#N/A,#N/A,FALSE,"appendix j";#N/A,#N/A,FALSE,"appendicesprocesses";#N/A,#N/A,FALSE,"appendix k";#N/A,#N/A,FALSE,"appendix l"}</definedName>
    <definedName name="____c3" localSheetId="8" hidden="1">{#N/A,#N/A,TRUE,"Voorblad";#N/A,#N/A,TRUE,"Table of Content A";#N/A,#N/A,TRUE,"A1-Summ- Key Figures";#N/A,#N/A,TRUE,"A2-Summ Month Man";#N/A,#N/A,TRUE,"A3-P&amp;L by Bus.Unt-Serv.Unt";#N/A,#N/A,TRUE,"A4-P&amp;L by Old org.";#N/A,#N/A,TRUE,"A6-Bal_Sheet CF by Old org. ";#N/A,#N/A,TRUE,"A8-Headc.Funct."}</definedName>
    <definedName name="____c3" hidden="1">{#N/A,#N/A,TRUE,"Voorblad";#N/A,#N/A,TRUE,"Table of Content A";#N/A,#N/A,TRUE,"A1-Summ- Key Figures";#N/A,#N/A,TRUE,"A2-Summ Month Man";#N/A,#N/A,TRUE,"A3-P&amp;L by Bus.Unt-Serv.Unt";#N/A,#N/A,TRUE,"A4-P&amp;L by Old org.";#N/A,#N/A,TRUE,"A6-Bal_Sheet CF by Old org. ";#N/A,#N/A,TRUE,"A8-Headc.Funct."}</definedName>
    <definedName name="____c8" localSheetId="8" hidden="1">{#N/A,#N/A,TRUE,"Voorblad";#N/A,#N/A,TRUE,"Table of Content A";#N/A,#N/A,TRUE,"A1-Summ- Key Figures";#N/A,#N/A,TRUE,"A2-Summ Month Man";#N/A,#N/A,TRUE,"A3-P&amp;L by Bus.Unt-Serv.Unt";#N/A,#N/A,TRUE,"A4-P&amp;L by Old org.";#N/A,#N/A,TRUE,"A6-Bal_Sheet CF by Old org. ";#N/A,#N/A,TRUE,"A8-Headc.Funct."}</definedName>
    <definedName name="____c8" hidden="1">{#N/A,#N/A,TRUE,"Voorblad";#N/A,#N/A,TRUE,"Table of Content A";#N/A,#N/A,TRUE,"A1-Summ- Key Figures";#N/A,#N/A,TRUE,"A2-Summ Month Man";#N/A,#N/A,TRUE,"A3-P&amp;L by Bus.Unt-Serv.Unt";#N/A,#N/A,TRUE,"A4-P&amp;L by Old org.";#N/A,#N/A,TRUE,"A6-Bal_Sheet CF by Old org. ";#N/A,#N/A,TRUE,"A8-Headc.Funct."}</definedName>
    <definedName name="____c9" localSheetId="8" hidden="1">{#N/A,#N/A,TRUE,"Voorblad B";#N/A,#N/A,TRUE,"Table of Content FinCom B";#N/A,#N/A,TRUE,"A3-P&amp;L by Bus.Unt-Serv.Unt";#N/A,#N/A,TRUE,"Summary carrier service";#N/A,#N/A,TRUE,"Summary Large accounts";#N/A,#N/A,TRUE,"Summary Consumer";#N/A,#N/A,TRUE,"Mobile";#N/A,#N/A,TRUE,"B5-Mobile(1) ";#N/A,#N/A,TRUE,"B4-GM per Product";#N/A,#N/A,TRUE,"Summary N&amp;S";#N/A,#N/A,TRUE,"B15-Network ";#N/A,#N/A,TRUE,"Summary ITbilling";#N/A,#N/A,TRUE,"Billing backlog";#N/A,#N/A,TRUE,"Summary Corporate";#N/A,#N/A,TRUE,"A5-Bal_Sheet CF";#N/A,#N/A,TRUE,"A6-Bal_Sheet CF by Old org. ";#N/A,#N/A,TRUE,"P13-Funding- Inter.";#N/A,#N/A,TRUE,"P14-Risk &amp; Fraud Fixed";#N/A,#N/A,TRUE,"P14-Risk &amp; Fraud Mobile";#N/A,#N/A,TRUE,"Accounts payable"}</definedName>
    <definedName name="____c9" hidden="1">{#N/A,#N/A,TRUE,"Voorblad B";#N/A,#N/A,TRUE,"Table of Content FinCom B";#N/A,#N/A,TRUE,"A3-P&amp;L by Bus.Unt-Serv.Unt";#N/A,#N/A,TRUE,"Summary carrier service";#N/A,#N/A,TRUE,"Summary Large accounts";#N/A,#N/A,TRUE,"Summary Consumer";#N/A,#N/A,TRUE,"Mobile";#N/A,#N/A,TRUE,"B5-Mobile(1) ";#N/A,#N/A,TRUE,"B4-GM per Product";#N/A,#N/A,TRUE,"Summary N&amp;S";#N/A,#N/A,TRUE,"B15-Network ";#N/A,#N/A,TRUE,"Summary ITbilling";#N/A,#N/A,TRUE,"Billing backlog";#N/A,#N/A,TRUE,"Summary Corporate";#N/A,#N/A,TRUE,"A5-Bal_Sheet CF";#N/A,#N/A,TRUE,"A6-Bal_Sheet CF by Old org. ";#N/A,#N/A,TRUE,"P13-Funding- Inter.";#N/A,#N/A,TRUE,"P14-Risk &amp; Fraud Fixed";#N/A,#N/A,TRUE,"P14-Risk &amp; Fraud Mobile";#N/A,#N/A,TRUE,"Accounts payable"}</definedName>
    <definedName name="____CC2" localSheetId="8" hidden="1">{#N/A,#N/A,FALSE,"Exhibits 5-7"}</definedName>
    <definedName name="____CC2" hidden="1">{#N/A,#N/A,FALSE,"Exhibits 5-7"}</definedName>
    <definedName name="____CEN30" hidden="1">{#N/A,#N/A,FALSE,"SIM95"}</definedName>
    <definedName name="____CEN300" hidden="1">{#N/A,#N/A,FALSE,"SIM95"}</definedName>
    <definedName name="____cen301" hidden="1">{#N/A,#N/A,FALSE,"SIM95"}</definedName>
    <definedName name="____cen31" hidden="1">{#N/A,#N/A,FALSE,"SIM95"}</definedName>
    <definedName name="____cp010103" localSheetId="8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cp010103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CuN3" localSheetId="8" hidden="1">{#N/A,#N/A,FALSE,"WOBE_DE.XLS";#N/A,#N/A,FALSE,"WOB_1.XLS";#N/A,#N/A,FALSE,"WOB_2.XLS";#N/A,#N/A,FALSE,"WOB_3.XLS";#N/A,#N/A,FALSE,"WOB_4.XLS";#N/A,#N/A,FALSE,"WOB_5.XLS"}</definedName>
    <definedName name="____CuN3" hidden="1">{#N/A,#N/A,FALSE,"WOBE_DE.XLS";#N/A,#N/A,FALSE,"WOB_1.XLS";#N/A,#N/A,FALSE,"WOB_2.XLS";#N/A,#N/A,FALSE,"WOB_3.XLS";#N/A,#N/A,FALSE,"WOB_4.XLS";#N/A,#N/A,FALSE,"WOB_5.XLS"}</definedName>
    <definedName name="____DCF1" localSheetId="8" hidden="1">{#N/A,#N/A,FALSE,"DCF Summary";#N/A,#N/A,FALSE,"Casema";#N/A,#N/A,FALSE,"Casema NoTel";#N/A,#N/A,FALSE,"UK";#N/A,#N/A,FALSE,"RCF";#N/A,#N/A,FALSE,"Intercable CZ";#N/A,#N/A,FALSE,"Interkabel P"}</definedName>
    <definedName name="____DCF1" hidden="1">{#N/A,#N/A,FALSE,"DCF Summary";#N/A,#N/A,FALSE,"Casema";#N/A,#N/A,FALSE,"Casema NoTel";#N/A,#N/A,FALSE,"UK";#N/A,#N/A,FALSE,"RCF";#N/A,#N/A,FALSE,"Intercable CZ";#N/A,#N/A,FALSE,"Interkabel P"}</definedName>
    <definedName name="____DCF1_1" localSheetId="8" hidden="1">{#N/A,#N/A,FALSE,"DCF Summary";#N/A,#N/A,FALSE,"Casema";#N/A,#N/A,FALSE,"Casema NoTel";#N/A,#N/A,FALSE,"UK";#N/A,#N/A,FALSE,"RCF";#N/A,#N/A,FALSE,"Intercable CZ";#N/A,#N/A,FALSE,"Interkabel P"}</definedName>
    <definedName name="____DCF1_1" hidden="1">{#N/A,#N/A,FALSE,"DCF Summary";#N/A,#N/A,FALSE,"Casema";#N/A,#N/A,FALSE,"Casema NoTel";#N/A,#N/A,FALSE,"UK";#N/A,#N/A,FALSE,"RCF";#N/A,#N/A,FALSE,"Intercable CZ";#N/A,#N/A,FALSE,"Interkabel P"}</definedName>
    <definedName name="____dem2" localSheetId="8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____dem2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____dem2_1" localSheetId="8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____dem2_1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____dem3" localSheetId="8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____dem3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____dem3_1" localSheetId="8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____dem3_1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____dfk1" localSheetId="8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dfk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djd1" localSheetId="8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djd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dkj1" localSheetId="8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dkj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f" localSheetId="8" hidden="1">{#N/A,#N/A,FALSE,"Venta"}</definedName>
    <definedName name="____f" hidden="1">{#N/A,#N/A,FALSE,"Venta"}</definedName>
    <definedName name="____FR2" localSheetId="8" hidden="1">{#N/A,#N/A,FALSE,"Exhibits 5-7"}</definedName>
    <definedName name="____FR2" hidden="1">{#N/A,#N/A,FALSE,"Exhibits 5-7"}</definedName>
    <definedName name="____ftu222" localSheetId="8" hidden="1">{#N/A,#N/A,FALSE,"Aging Summary";#N/A,#N/A,FALSE,"Ratio Analysis";#N/A,#N/A,FALSE,"Test 120 Day Accts";#N/A,#N/A,FALSE,"Tickmarks"}</definedName>
    <definedName name="____ftu222" hidden="1">{#N/A,#N/A,FALSE,"Aging Summary";#N/A,#N/A,FALSE,"Ratio Analysis";#N/A,#N/A,FALSE,"Test 120 Day Accts";#N/A,#N/A,FALSE,"Tickmarks"}</definedName>
    <definedName name="____gh2" localSheetId="8" hidden="1">{"'100'!$A$1:$M$83"}</definedName>
    <definedName name="____gh2" hidden="1">{"'100'!$A$1:$M$83"}</definedName>
    <definedName name="____Inv3" localSheetId="8" hidden="1">{#N/A,#N/A,FALSE,"CAPA";#N/A,#N/A,FALSE,"INDICES";#N/A,#N/A,FALSE,"RES-GER-CONS";#N/A,#N/A,FALSE,"MAQ-S1";#N/A,#N/A,FALSE,"MAQ-S2";#N/A,#N/A,FALSE,"MAQ-S3";#N/A,#N/A,FALSE,"PROD-VEN";#N/A,#N/A,FALSE,"PRECOS";#N/A,#N/A,FALSE,"BILAN";#N/A,#N/A,FALSE,"CASH-FLOW";#N/A,#N/A,FALSE,"SP4-5"}</definedName>
    <definedName name="____Inv3" hidden="1">{#N/A,#N/A,FALSE,"CAPA";#N/A,#N/A,FALSE,"INDICES";#N/A,#N/A,FALSE,"RES-GER-CONS";#N/A,#N/A,FALSE,"MAQ-S1";#N/A,#N/A,FALSE,"MAQ-S2";#N/A,#N/A,FALSE,"MAQ-S3";#N/A,#N/A,FALSE,"PROD-VEN";#N/A,#N/A,FALSE,"PRECOS";#N/A,#N/A,FALSE,"BILAN";#N/A,#N/A,FALSE,"CASH-FLOW";#N/A,#N/A,FALSE,"SP4-5"}</definedName>
    <definedName name="____Inv3_1" localSheetId="8" hidden="1">{#N/A,#N/A,FALSE,"CAPA";#N/A,#N/A,FALSE,"INDICES";#N/A,#N/A,FALSE,"RES-GER-CONS";#N/A,#N/A,FALSE,"MAQ-S1";#N/A,#N/A,FALSE,"MAQ-S2";#N/A,#N/A,FALSE,"MAQ-S3";#N/A,#N/A,FALSE,"PROD-VEN";#N/A,#N/A,FALSE,"PRECOS";#N/A,#N/A,FALSE,"BILAN";#N/A,#N/A,FALSE,"CASH-FLOW";#N/A,#N/A,FALSE,"SP4-5"}</definedName>
    <definedName name="____Inv3_1" hidden="1">{#N/A,#N/A,FALSE,"CAPA";#N/A,#N/A,FALSE,"INDICES";#N/A,#N/A,FALSE,"RES-GER-CONS";#N/A,#N/A,FALSE,"MAQ-S1";#N/A,#N/A,FALSE,"MAQ-S2";#N/A,#N/A,FALSE,"MAQ-S3";#N/A,#N/A,FALSE,"PROD-VEN";#N/A,#N/A,FALSE,"PRECOS";#N/A,#N/A,FALSE,"BILAN";#N/A,#N/A,FALSE,"CASH-FLOW";#N/A,#N/A,FALSE,"SP4-5"}</definedName>
    <definedName name="____key1" localSheetId="8" hidden="1">#REF!</definedName>
    <definedName name="____key1" hidden="1">#REF!</definedName>
    <definedName name="____ktb2" localSheetId="8" hidden="1">{#N/A,#N/A,FALSE,"Exhibits 5-7"}</definedName>
    <definedName name="____ktb2" hidden="1">{#N/A,#N/A,FALSE,"Exhibits 5-7"}</definedName>
    <definedName name="____mcm2" localSheetId="8" hidden="1">{"Pèrdues i Guanys analític.Català",#N/A,FALSE,"Català";"Pèrdues i G. analític.castellà",#N/A,FALSE,"Castellà"}</definedName>
    <definedName name="____mcm2" hidden="1">{"Pèrdues i Guanys analític.Català",#N/A,FALSE,"Català";"Pèrdues i G. analític.castellà",#N/A,FALSE,"Castellà"}</definedName>
    <definedName name="____new1" localSheetId="8" hidden="1">{#N/A,#N/A,FALSE,"Pharm";#N/A,#N/A,FALSE,"WWCM"}</definedName>
    <definedName name="____new1" hidden="1">{#N/A,#N/A,FALSE,"Pharm";#N/A,#N/A,FALSE,"WWCM"}</definedName>
    <definedName name="____New2" localSheetId="8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____New2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____o1" localSheetId="8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ok1" localSheetId="8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__ok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__ok1_1" localSheetId="8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__ok1_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__OSX2" localSheetId="8" hidden="1">{"Area1",#N/A,FALSE,"OREWACC";"Area2",#N/A,FALSE,"OREWACC"}</definedName>
    <definedName name="____OSX2" hidden="1">{"Area1",#N/A,FALSE,"OREWACC";"Area2",#N/A,FALSE,"OREWACC"}</definedName>
    <definedName name="____OTD2" localSheetId="8" hidden="1">{#N/A,#N/A,FALSE,"Exhibits 5-7"}</definedName>
    <definedName name="____OTD2" hidden="1">{#N/A,#N/A,FALSE,"Exhibits 5-7"}</definedName>
    <definedName name="____PPM1" localSheetId="8" hidden="1">{#N/A,#N/A,FALSE,"Aging Summary";#N/A,#N/A,FALSE,"Ratio Analysis";#N/A,#N/A,FALSE,"Test 120 Day Accts";#N/A,#N/A,FALSE,"Tickmarks"}</definedName>
    <definedName name="____PPM1" hidden="1">{#N/A,#N/A,FALSE,"Aging Summary";#N/A,#N/A,FALSE,"Ratio Analysis";#N/A,#N/A,FALSE,"Test 120 Day Accts";#N/A,#N/A,FALSE,"Tickmarks"}</definedName>
    <definedName name="____pub2" hidden="1">"L10003649.xls"</definedName>
    <definedName name="____r" localSheetId="8" hidden="1">{#N/A,#N/A,FALSE,"Pharm";#N/A,#N/A,FALSE,"WWCM"}</definedName>
    <definedName name="____r" hidden="1">{#N/A,#N/A,FALSE,"Pharm";#N/A,#N/A,FALSE,"WWCM"}</definedName>
    <definedName name="____rc" localSheetId="8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____rc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____RR2" localSheetId="8" hidden="1">{#N/A,#N/A,FALSE,"Exhibits 5-7"}</definedName>
    <definedName name="____RR2" hidden="1">{#N/A,#N/A,FALSE,"Exhibits 5-7"}</definedName>
    <definedName name="____sar2" localSheetId="8" hidden="1">{#N/A,#N/A,FALSE,"Aging Summary";#N/A,#N/A,FALSE,"Ratio Analysis";#N/A,#N/A,FALSE,"Test 120 Day Accts";#N/A,#N/A,FALSE,"Tickmarks"}</definedName>
    <definedName name="____sar2" hidden="1">{#N/A,#N/A,FALSE,"Aging Summary";#N/A,#N/A,FALSE,"Ratio Analysis";#N/A,#N/A,FALSE,"Test 120 Day Accts";#N/A,#N/A,FALSE,"Tickmarks"}</definedName>
    <definedName name="____sar2_1" localSheetId="8" hidden="1">{#N/A,#N/A,FALSE,"Aging Summary";#N/A,#N/A,FALSE,"Ratio Analysis";#N/A,#N/A,FALSE,"Test 120 Day Accts";#N/A,#N/A,FALSE,"Tickmarks"}</definedName>
    <definedName name="____sar2_1" hidden="1">{#N/A,#N/A,FALSE,"Aging Summary";#N/A,#N/A,FALSE,"Ratio Analysis";#N/A,#N/A,FALSE,"Test 120 Day Accts";#N/A,#N/A,FALSE,"Tickmarks"}</definedName>
    <definedName name="____ss1" localSheetId="8" hidden="1">{#N/A,#N/A,FALSE,"P&amp;L-BS-CF"}</definedName>
    <definedName name="____ss1" hidden="1">{#N/A,#N/A,FALSE,"P&amp;L-BS-CF"}</definedName>
    <definedName name="____ss1_1" localSheetId="8" hidden="1">{#N/A,#N/A,FALSE,"P&amp;L-BS-CF"}</definedName>
    <definedName name="____ss1_1" hidden="1">{#N/A,#N/A,FALSE,"P&amp;L-BS-CF"}</definedName>
    <definedName name="____T1" localSheetId="8" hidden="1">{"'EARLY LIFE SAVINGS - COSTS '!$A$1:$N$56"}</definedName>
    <definedName name="____T1" hidden="1">{"'EARLY LIFE SAVINGS - COSTS '!$A$1:$N$56"}</definedName>
    <definedName name="____T2" localSheetId="8" hidden="1">{"'EARLY LIFE SAVINGS - COSTS '!$A$1:$N$56"}</definedName>
    <definedName name="____T2" hidden="1">{"'EARLY LIFE SAVINGS - COSTS '!$A$1:$N$56"}</definedName>
    <definedName name="____t81" localSheetId="8" hidden="1">{#N/A,#N/A,FALSE,"Aging Summary";#N/A,#N/A,FALSE,"Ratio Analysis";#N/A,#N/A,FALSE,"Test 120 Day Accts";#N/A,#N/A,FALSE,"Tickmarks"}</definedName>
    <definedName name="____t81" hidden="1">{#N/A,#N/A,FALSE,"Aging Summary";#N/A,#N/A,FALSE,"Ratio Analysis";#N/A,#N/A,FALSE,"Test 120 Day Accts";#N/A,#N/A,FALSE,"Tickmarks"}</definedName>
    <definedName name="____Tes6" localSheetId="8" hidden="1">{"'SIVA Pricing Model'!$A$1:$F$39"}</definedName>
    <definedName name="____Tes6" hidden="1">{"'SIVA Pricing Model'!$A$1:$F$39"}</definedName>
    <definedName name="____tm1" localSheetId="8" hidden="1">{#N/A,#N/A,FALSE,"Pharm";#N/A,#N/A,FALSE,"WWCM"}</definedName>
    <definedName name="____tm1" hidden="1">{#N/A,#N/A,FALSE,"Pharm";#N/A,#N/A,FALSE,"WWCM"}</definedName>
    <definedName name="____v4" localSheetId="8" hidden="1">{"français",#N/A,FALSE,"Intro";"français",#N/A,FALSE,"Index";#N/A,#N/A,FALSE,"3-Incor";#N/A,#N/A,FALSE,"4-Corpo"}</definedName>
    <definedName name="____v4" hidden="1">{"français",#N/A,FALSE,"Intro";"français",#N/A,FALSE,"Index";#N/A,#N/A,FALSE,"3-Incor";#N/A,#N/A,FALSE,"4-Corpo"}</definedName>
    <definedName name="____x1" localSheetId="8" hidden="1">{"detail",#N/A,FALSE,"mfg";"summary",#N/A,FALSE,"mfg"}</definedName>
    <definedName name="____x1" hidden="1">{"detail",#N/A,FALSE,"mfg";"summary",#N/A,FALSE,"mfg"}</definedName>
    <definedName name="____x2" localSheetId="8" hidden="1">{#N/A,"PURCHM",FALSE,"Business Analysis";#N/A,"SPADD",FALSE,"Business Analysis"}</definedName>
    <definedName name="____x2" hidden="1">{#N/A,"PURCHM",FALSE,"Business Analysis";#N/A,"SPADD",FALSE,"Business Analysis"}</definedName>
    <definedName name="____x3" localSheetId="8" hidden="1">{"detail",#N/A,FALSE,"mfg";"summary",#N/A,FALSE,"mfg"}</definedName>
    <definedName name="____x3" hidden="1">{"detail",#N/A,FALSE,"mfg";"summary",#N/A,FALSE,"mfg"}</definedName>
    <definedName name="____x4" localSheetId="8" hidden="1">{#N/A,"PURCHM",FALSE,"Business Analysis";#N/A,"SPADD",FALSE,"Business Analysis"}</definedName>
    <definedName name="____x4" hidden="1">{#N/A,"PURCHM",FALSE,"Business Analysis";#N/A,"SPADD",FALSE,"Business Analysis"}</definedName>
    <definedName name="____x5" localSheetId="8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x5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xlfn.BAHTTEXT" hidden="1">#NAME?</definedName>
    <definedName name="____xx10" localSheetId="8" hidden="1">{#N/A,"PURCHM",FALSE,"Business Analysis";#N/A,"SPADD",FALSE,"Business Analysis"}</definedName>
    <definedName name="____xx10" hidden="1">{#N/A,"PURCHM",FALSE,"Business Analysis";#N/A,"SPADD",FALSE,"Business Analysis"}</definedName>
    <definedName name="____xx3" localSheetId="8" hidden="1">{"detail",#N/A,FALSE,"mfg";"summary",#N/A,FALSE,"mfg"}</definedName>
    <definedName name="____xx3" hidden="1">{"detail",#N/A,FALSE,"mfg";"summary",#N/A,FALSE,"mfg"}</definedName>
    <definedName name="____xx4" localSheetId="8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____xx4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____xx5" localSheetId="8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____xx5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____xx6" localSheetId="8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____xx6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____xx7" localSheetId="8" hidden="1">{"oct_res_comm",#N/A,FALSE,"VarToBud"}</definedName>
    <definedName name="____xx7" hidden="1">{"oct_res_comm",#N/A,FALSE,"VarToBud"}</definedName>
    <definedName name="____xx8" localSheetId="8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____xx8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____xx9" localSheetId="8" hidden="1">{"AS REP",#N/A,FALSE,"EEFSNAP2";"PROP",#N/A,FALSE,"EEFSNAP2";"RISKS",#N/A,FALSE,"EEFSNAP2";"VIEW ALL",#N/A,FALSE,"EEFSNAP2"}</definedName>
    <definedName name="____xx9" hidden="1">{"AS REP",#N/A,FALSE,"EEFSNAP2";"PROP",#N/A,FALSE,"EEFSNAP2";"RISKS",#N/A,FALSE,"EEFSNAP2";"VIEW ALL",#N/A,FALSE,"EEFSNAP2"}</definedName>
    <definedName name="____z12" localSheetId="8" hidden="1">{"pro_view",#N/A,FALSE,"EEFSNAP2";"rep_view",#N/A,FALSE,"EEFSNAP2"}</definedName>
    <definedName name="____z12" hidden="1">{"pro_view",#N/A,FALSE,"EEFSNAP2";"rep_view",#N/A,FALSE,"EEFSNAP2"}</definedName>
    <definedName name="____z2" localSheetId="8" hidden="1">{"Sch00",#N/A,FALSE,"1";"Contents",#N/A,FALSE,"1"}</definedName>
    <definedName name="____z2" hidden="1">{"Sch00",#N/A,FALSE,"1";"Contents",#N/A,FALSE,"1"}</definedName>
    <definedName name="____z22" localSheetId="8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z25" localSheetId="8" hidden="1">{"detail",#N/A,FALSE,"mfg";"summary",#N/A,FALSE,"mfg"}</definedName>
    <definedName name="____z25" hidden="1">{"detail",#N/A,FALSE,"mfg";"summary",#N/A,FALSE,"mfg"}</definedName>
    <definedName name="____z3" localSheetId="8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zz1" localSheetId="8" hidden="1">{"pro_view",#N/A,FALSE,"EEFSNAP2";"rep_view",#N/A,FALSE,"EEFSNAP2"}</definedName>
    <definedName name="____zz1" hidden="1">{"pro_view",#N/A,FALSE,"EEFSNAP2";"rep_view",#N/A,FALSE,"EEFSNAP2"}</definedName>
    <definedName name="____zz2" localSheetId="8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zz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zz3" localSheetId="8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123Graph__AA" localSheetId="8" hidden="1">#REF!</definedName>
    <definedName name="___123Graph__AA" hidden="1">#REF!</definedName>
    <definedName name="___a1" localSheetId="8" hidden="1">{#N/A,#N/A,FALSE,"Pharm";#N/A,#N/A,FALSE,"WWCM"}</definedName>
    <definedName name="___a1" hidden="1">{#N/A,#N/A,FALSE,"Pharm";#N/A,#N/A,FALSE,"WWCM"}</definedName>
    <definedName name="___a123" localSheetId="8" hidden="1">{#N/A,#N/A,FALSE,"cover";#N/A,#N/A,FALSE,"Content ";#N/A,#N/A,FALSE,"E&amp;C Op Stat";#N/A,#N/A,FALSE,"Telcos Op Stat";#N/A,#N/A,FALSE,"Media Op Stat";#N/A,#N/A,FALSE,"Oil Op Stat";#N/A,#N/A,FALSE,"Utilities Op Stat";#N/A,#N/A,FALSE,"E&amp;C Ord An";#N/A,#N/A,FALSE,"E&amp;C Debt Nar";#N/A,#N/A,FALSE,"E&amp;C Debtors";#N/A,#N/A,FALSE,"E&amp;C CO Debt";#N/A,#N/A,FALSE,"Telcos Presales";#N/A,#N/A,FALSE,"Oil Presales";#N/A,#N/A,FALSE,"Utilities Presales"}</definedName>
    <definedName name="___a123" hidden="1">{#N/A,#N/A,FALSE,"cover";#N/A,#N/A,FALSE,"Content ";#N/A,#N/A,FALSE,"E&amp;C Op Stat";#N/A,#N/A,FALSE,"Telcos Op Stat";#N/A,#N/A,FALSE,"Media Op Stat";#N/A,#N/A,FALSE,"Oil Op Stat";#N/A,#N/A,FALSE,"Utilities Op Stat";#N/A,#N/A,FALSE,"E&amp;C Ord An";#N/A,#N/A,FALSE,"E&amp;C Debt Nar";#N/A,#N/A,FALSE,"E&amp;C Debtors";#N/A,#N/A,FALSE,"E&amp;C CO Debt";#N/A,#N/A,FALSE,"Telcos Presales";#N/A,#N/A,FALSE,"Oil Presales";#N/A,#N/A,FALSE,"Utilities Presales"}</definedName>
    <definedName name="___a2" localSheetId="8" hidden="1">{"mgmt forecast",#N/A,FALSE,"Mgmt Forecast";"dcf table",#N/A,FALSE,"Mgmt Forecast";"sensitivity",#N/A,FALSE,"Mgmt Forecast";"table inputs",#N/A,FALSE,"Mgmt Forecast";"calculations",#N/A,FALSE,"Mgmt Forecast"}</definedName>
    <definedName name="___a2" hidden="1">{"mgmt forecast",#N/A,FALSE,"Mgmt Forecast";"dcf table",#N/A,FALSE,"Mgmt Forecast";"sensitivity",#N/A,FALSE,"Mgmt Forecast";"table inputs",#N/A,FALSE,"Mgmt Forecast";"calculations",#N/A,FALSE,"Mgmt Forecast"}</definedName>
    <definedName name="___aaa1" localSheetId="8" hidden="1">{#N/A,#N/A,FALSE,"REPORT"}</definedName>
    <definedName name="___aaa1" hidden="1">{#N/A,#N/A,FALSE,"REPORT"}</definedName>
    <definedName name="___aas1" localSheetId="8" hidden="1">{#N/A,#N/A,FALSE,"REPORT"}</definedName>
    <definedName name="___aas1" hidden="1">{#N/A,#N/A,FALSE,"REPORT"}</definedName>
    <definedName name="___abc1" localSheetId="8" hidden="1">{"detail",#N/A,FALSE,"mfg";"summary",#N/A,FALSE,"mfg"}</definedName>
    <definedName name="___abc1" hidden="1">{"detail",#N/A,FALSE,"mfg";"summary",#N/A,FALSE,"mfg"}</definedName>
    <definedName name="___abc123" hidden="1">#REF!</definedName>
    <definedName name="___abc2" localSheetId="8" hidden="1">{"detail",#N/A,FALSE,"mfg";"summary",#N/A,FALSE,"mfg"}</definedName>
    <definedName name="___abc2" hidden="1">{"detail",#N/A,FALSE,"mfg";"summary",#N/A,FALSE,"mfg"}</definedName>
    <definedName name="___ACS2000" localSheetId="8" hidden="1">{#N/A,#N/A,FALSE,"REPORT"}</definedName>
    <definedName name="___ACS2000" hidden="1">{#N/A,#N/A,FALSE,"REPORT"}</definedName>
    <definedName name="___b13" localSheetId="8" hidden="1">{#N/A,#N/A,FALSE,"Cover";#N/A,#N/A,FALSE,"OFF";#N/A,#N/A,FALSE," ON";#N/A,#N/A,FALSE,"SUM";#N/A,#N/A,FALSE,"VPOP-POP"}</definedName>
    <definedName name="___b13" hidden="1">{#N/A,#N/A,FALSE,"Cover";#N/A,#N/A,FALSE,"OFF";#N/A,#N/A,FALSE," ON";#N/A,#N/A,FALSE,"SUM";#N/A,#N/A,FALSE,"VPOP-POP"}</definedName>
    <definedName name="___b5" localSheetId="8" hidden="1">{#N/A,#N/A,FALSE,"Cover";#N/A,#N/A,FALSE,"OFF";#N/A,#N/A,FALSE," ON";#N/A,#N/A,FALSE,"SUM";#N/A,#N/A,FALSE,"VPOP-POP"}</definedName>
    <definedName name="___b5" hidden="1">{#N/A,#N/A,FALSE,"Cover";#N/A,#N/A,FALSE,"OFF";#N/A,#N/A,FALSE," ON";#N/A,#N/A,FALSE,"SUM";#N/A,#N/A,FALSE,"VPOP-POP"}</definedName>
    <definedName name="___b6" localSheetId="8" hidden="1">{#N/A,#N/A,FALSE,"Cover";#N/A,#N/A,FALSE,"OFF";#N/A,#N/A,FALSE," ON";#N/A,#N/A,FALSE,"SUM";#N/A,#N/A,FALSE,"VPOP-POP"}</definedName>
    <definedName name="___b6" hidden="1">{#N/A,#N/A,FALSE,"Cover";#N/A,#N/A,FALSE,"OFF";#N/A,#N/A,FALSE," ON";#N/A,#N/A,FALSE,"SUM";#N/A,#N/A,FALSE,"VPOP-POP"}</definedName>
    <definedName name="___b8" localSheetId="8" hidden="1">{#N/A,#N/A,FALSE,"Cover";#N/A,#N/A,FALSE,"OFF";#N/A,#N/A,FALSE," ON";#N/A,#N/A,FALSE,"SUM";#N/A,#N/A,FALSE,"VPOP-POP"}</definedName>
    <definedName name="___b8" hidden="1">{#N/A,#N/A,FALSE,"Cover";#N/A,#N/A,FALSE,"OFF";#N/A,#N/A,FALSE," ON";#N/A,#N/A,FALSE,"SUM";#N/A,#N/A,FALSE,"VPOP-POP"}</definedName>
    <definedName name="___BAL1" hidden="1">{"pq_dr",#N/A,FALSE,"PQ"}</definedName>
    <definedName name="___c" localSheetId="8" hidden="1">{"Fiesta Facer Page",#N/A,FALSE,"Q_C_S";"Fiesta Main Page",#N/A,FALSE,"V_L";"Fiesta 95BP Struct",#N/A,FALSE,"StructBP";"Fiesta Post 95BP Struct",#N/A,FALSE,"AdjStructBP"}</definedName>
    <definedName name="___c" hidden="1">{"Fiesta Facer Page",#N/A,FALSE,"Q_C_S";"Fiesta Main Page",#N/A,FALSE,"V_L";"Fiesta 95BP Struct",#N/A,FALSE,"StructBP";"Fiesta Post 95BP Struct",#N/A,FALSE,"AdjStructBP"}</definedName>
    <definedName name="___c_1" localSheetId="8" hidden="1">{"Fiesta Facer Page",#N/A,FALSE,"Q_C_S";"Fiesta Main Page",#N/A,FALSE,"V_L";"Fiesta 95BP Struct",#N/A,FALSE,"StructBP";"Fiesta Post 95BP Struct",#N/A,FALSE,"AdjStructBP"}</definedName>
    <definedName name="___c_1" hidden="1">{"Fiesta Facer Page",#N/A,FALSE,"Q_C_S";"Fiesta Main Page",#N/A,FALSE,"V_L";"Fiesta 95BP Struct",#N/A,FALSE,"StructBP";"Fiesta Post 95BP Struct",#N/A,FALSE,"AdjStructBP"}</definedName>
    <definedName name="___CC2" localSheetId="8" hidden="1">{#N/A,#N/A,FALSE,"Exhibits 5-7"}</definedName>
    <definedName name="___CC2" hidden="1">{#N/A,#N/A,FALSE,"Exhibits 5-7"}</definedName>
    <definedName name="___CEN30" hidden="1">{#N/A,#N/A,FALSE,"SIM95"}</definedName>
    <definedName name="___CEN300" hidden="1">{#N/A,#N/A,FALSE,"SIM95"}</definedName>
    <definedName name="___cen301" hidden="1">{#N/A,#N/A,FALSE,"SIM95"}</definedName>
    <definedName name="___cen31" hidden="1">{#N/A,#N/A,FALSE,"SIM95"}</definedName>
    <definedName name="___cp010103" localSheetId="8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cp010103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CuN3" localSheetId="8" hidden="1">{#N/A,#N/A,FALSE,"WOBE_DE.XLS";#N/A,#N/A,FALSE,"WOB_1.XLS";#N/A,#N/A,FALSE,"WOB_2.XLS";#N/A,#N/A,FALSE,"WOB_3.XLS";#N/A,#N/A,FALSE,"WOB_4.XLS";#N/A,#N/A,FALSE,"WOB_5.XLS"}</definedName>
    <definedName name="___CuN3" hidden="1">{#N/A,#N/A,FALSE,"WOBE_DE.XLS";#N/A,#N/A,FALSE,"WOB_1.XLS";#N/A,#N/A,FALSE,"WOB_2.XLS";#N/A,#N/A,FALSE,"WOB_3.XLS";#N/A,#N/A,FALSE,"WOB_4.XLS";#N/A,#N/A,FALSE,"WOB_5.XLS"}</definedName>
    <definedName name="___CVK6712" localSheetId="8" hidden="1">{#N/A,#N/A,FALSE,"UNIT";#N/A,#N/A,FALSE,"UNIT";#N/A,#N/A,FALSE,"계정"}</definedName>
    <definedName name="___CVK6712" hidden="1">{#N/A,#N/A,FALSE,"UNIT";#N/A,#N/A,FALSE,"UNIT";#N/A,#N/A,FALSE,"계정"}</definedName>
    <definedName name="___DCF1" localSheetId="8" hidden="1">{#N/A,#N/A,FALSE,"DCF Summary";#N/A,#N/A,FALSE,"Casema";#N/A,#N/A,FALSE,"Casema NoTel";#N/A,#N/A,FALSE,"UK";#N/A,#N/A,FALSE,"RCF";#N/A,#N/A,FALSE,"Intercable CZ";#N/A,#N/A,FALSE,"Interkabel P"}</definedName>
    <definedName name="___DCF1" hidden="1">{#N/A,#N/A,FALSE,"DCF Summary";#N/A,#N/A,FALSE,"Casema";#N/A,#N/A,FALSE,"Casema NoTel";#N/A,#N/A,FALSE,"UK";#N/A,#N/A,FALSE,"RCF";#N/A,#N/A,FALSE,"Intercable CZ";#N/A,#N/A,FALSE,"Interkabel P"}</definedName>
    <definedName name="___DCF1_1" localSheetId="8" hidden="1">{#N/A,#N/A,FALSE,"DCF Summary";#N/A,#N/A,FALSE,"Casema";#N/A,#N/A,FALSE,"Casema NoTel";#N/A,#N/A,FALSE,"UK";#N/A,#N/A,FALSE,"RCF";#N/A,#N/A,FALSE,"Intercable CZ";#N/A,#N/A,FALSE,"Interkabel P"}</definedName>
    <definedName name="___DCF1_1" hidden="1">{#N/A,#N/A,FALSE,"DCF Summary";#N/A,#N/A,FALSE,"Casema";#N/A,#N/A,FALSE,"Casema NoTel";#N/A,#N/A,FALSE,"UK";#N/A,#N/A,FALSE,"RCF";#N/A,#N/A,FALSE,"Intercable CZ";#N/A,#N/A,FALSE,"Interkabel P"}</definedName>
    <definedName name="___ECS2" localSheetId="8" hidden="1">{#N/A,#N/A,FALSE,"EC&amp;AFLTPLAN";#N/A,#N/A,FALSE,"EC&amp;AFLT1";#N/A,#N/A,FALSE,"EC&amp;AFLT2";#N/A,#N/A,FALSE,"SUMMARY"}</definedName>
    <definedName name="___ECS2" hidden="1">{#N/A,#N/A,FALSE,"EC&amp;AFLTPLAN";#N/A,#N/A,FALSE,"EC&amp;AFLT1";#N/A,#N/A,FALSE,"EC&amp;AFLT2";#N/A,#N/A,FALSE,"SUMMARY"}</definedName>
    <definedName name="___f" localSheetId="8" hidden="1">{#N/A,#N/A,FALSE,"CA";#N/A,#N/A,FALSE,"CN";#N/A,#N/A,FALSE,"Inv";#N/A,#N/A,FALSE,"Inv Acc";"Miguel_balance",#N/A,FALSE,"Bal";#N/A,#N/A,FALSE,"Plantilla";#N/A,#N/A,FALSE,"CA (2)";#N/A,#N/A,FALSE,"CN (2)"}</definedName>
    <definedName name="___f" hidden="1">{#N/A,#N/A,FALSE,"CA";#N/A,#N/A,FALSE,"CN";#N/A,#N/A,FALSE,"Inv";#N/A,#N/A,FALSE,"Inv Acc";"Miguel_balance",#N/A,FALSE,"Bal";#N/A,#N/A,FALSE,"Plantilla";#N/A,#N/A,FALSE,"CA (2)";#N/A,#N/A,FALSE,"CN (2)"}</definedName>
    <definedName name="___f1" localSheetId="8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f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FR2" localSheetId="8" hidden="1">{#N/A,#N/A,FALSE,"Exhibits 5-7"}</definedName>
    <definedName name="___FR2" hidden="1">{#N/A,#N/A,FALSE,"Exhibits 5-7"}</definedName>
    <definedName name="___ftu222" localSheetId="8" hidden="1">{#N/A,#N/A,FALSE,"Aging Summary";#N/A,#N/A,FALSE,"Ratio Analysis";#N/A,#N/A,FALSE,"Test 120 Day Accts";#N/A,#N/A,FALSE,"Tickmarks"}</definedName>
    <definedName name="___ftu222" hidden="1">{#N/A,#N/A,FALSE,"Aging Summary";#N/A,#N/A,FALSE,"Ratio Analysis";#N/A,#N/A,FALSE,"Test 120 Day Accts";#N/A,#N/A,FALSE,"Tickmarks"}</definedName>
    <definedName name="___gh2" localSheetId="8" hidden="1">{"'100'!$A$1:$M$83"}</definedName>
    <definedName name="___gh2" hidden="1">{"'100'!$A$1:$M$83"}</definedName>
    <definedName name="___Inv3" localSheetId="8" hidden="1">{#N/A,#N/A,FALSE,"CAPA";#N/A,#N/A,FALSE,"INDICES";#N/A,#N/A,FALSE,"RES-GER-CONS";#N/A,#N/A,FALSE,"MAQ-S1";#N/A,#N/A,FALSE,"MAQ-S2";#N/A,#N/A,FALSE,"MAQ-S3";#N/A,#N/A,FALSE,"PROD-VEN";#N/A,#N/A,FALSE,"PRECOS";#N/A,#N/A,FALSE,"BILAN";#N/A,#N/A,FALSE,"CASH-FLOW";#N/A,#N/A,FALSE,"SP4-5"}</definedName>
    <definedName name="___Inv3" hidden="1">{#N/A,#N/A,FALSE,"CAPA";#N/A,#N/A,FALSE,"INDICES";#N/A,#N/A,FALSE,"RES-GER-CONS";#N/A,#N/A,FALSE,"MAQ-S1";#N/A,#N/A,FALSE,"MAQ-S2";#N/A,#N/A,FALSE,"MAQ-S3";#N/A,#N/A,FALSE,"PROD-VEN";#N/A,#N/A,FALSE,"PRECOS";#N/A,#N/A,FALSE,"BILAN";#N/A,#N/A,FALSE,"CASH-FLOW";#N/A,#N/A,FALSE,"SP4-5"}</definedName>
    <definedName name="___Inv3_1" localSheetId="8" hidden="1">{#N/A,#N/A,FALSE,"CAPA";#N/A,#N/A,FALSE,"INDICES";#N/A,#N/A,FALSE,"RES-GER-CONS";#N/A,#N/A,FALSE,"MAQ-S1";#N/A,#N/A,FALSE,"MAQ-S2";#N/A,#N/A,FALSE,"MAQ-S3";#N/A,#N/A,FALSE,"PROD-VEN";#N/A,#N/A,FALSE,"PRECOS";#N/A,#N/A,FALSE,"BILAN";#N/A,#N/A,FALSE,"CASH-FLOW";#N/A,#N/A,FALSE,"SP4-5"}</definedName>
    <definedName name="___Inv3_1" hidden="1">{#N/A,#N/A,FALSE,"CAPA";#N/A,#N/A,FALSE,"INDICES";#N/A,#N/A,FALSE,"RES-GER-CONS";#N/A,#N/A,FALSE,"MAQ-S1";#N/A,#N/A,FALSE,"MAQ-S2";#N/A,#N/A,FALSE,"MAQ-S3";#N/A,#N/A,FALSE,"PROD-VEN";#N/A,#N/A,FALSE,"PRECOS";#N/A,#N/A,FALSE,"BILAN";#N/A,#N/A,FALSE,"CASH-FLOW";#N/A,#N/A,FALSE,"SP4-5"}</definedName>
    <definedName name="___key1" localSheetId="8" hidden="1">#REF!</definedName>
    <definedName name="___key1" hidden="1">#REF!</definedName>
    <definedName name="___ktb2" localSheetId="8" hidden="1">{#N/A,#N/A,FALSE,"Exhibits 5-7"}</definedName>
    <definedName name="___ktb2" hidden="1">{#N/A,#N/A,FALSE,"Exhibits 5-7"}</definedName>
    <definedName name="___mcm2" localSheetId="8" hidden="1">{"Pèrdues i Guanys analític.Català",#N/A,FALSE,"Català";"Pèrdues i G. analític.castellà",#N/A,FALSE,"Castellà"}</definedName>
    <definedName name="___mcm2" hidden="1">{"Pèrdues i Guanys analític.Català",#N/A,FALSE,"Català";"Pèrdues i G. analític.castellà",#N/A,FALSE,"Castellà"}</definedName>
    <definedName name="___mdstype___" hidden="1">12</definedName>
    <definedName name="___new1" localSheetId="8" hidden="1">{#N/A,#N/A,FALSE,"Pharm";#N/A,#N/A,FALSE,"WWCM"}</definedName>
    <definedName name="___new1" hidden="1">{#N/A,#N/A,FALSE,"Pharm";#N/A,#N/A,FALSE,"WWCM"}</definedName>
    <definedName name="___NOV9" localSheetId="8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NOV9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o1" localSheetId="8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OMM95" localSheetId="8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OMM95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OMM96" localSheetId="8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OMM96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OTD2" localSheetId="8" hidden="1">{#N/A,#N/A,FALSE,"Exhibits 5-7"}</definedName>
    <definedName name="___OTD2" hidden="1">{#N/A,#N/A,FALSE,"Exhibits 5-7"}</definedName>
    <definedName name="___PPM1" localSheetId="8" hidden="1">{#N/A,#N/A,FALSE,"Aging Summary";#N/A,#N/A,FALSE,"Ratio Analysis";#N/A,#N/A,FALSE,"Test 120 Day Accts";#N/A,#N/A,FALSE,"Tickmarks"}</definedName>
    <definedName name="___PPM1" hidden="1">{#N/A,#N/A,FALSE,"Aging Summary";#N/A,#N/A,FALSE,"Ratio Analysis";#N/A,#N/A,FALSE,"Test 120 Day Accts";#N/A,#N/A,FALSE,"Tickmarks"}</definedName>
    <definedName name="___pub2" hidden="1">"L10003649.xls"</definedName>
    <definedName name="___Q2" localSheetId="8" hidden="1">{#N/A,#N/A,FALSE,"UNIT";#N/A,#N/A,FALSE,"UNIT";#N/A,#N/A,FALSE,"계정"}</definedName>
    <definedName name="___Q2" hidden="1">{#N/A,#N/A,FALSE,"UNIT";#N/A,#N/A,FALSE,"UNIT";#N/A,#N/A,FALSE,"계정"}</definedName>
    <definedName name="___q3" hidden="1">#REF!</definedName>
    <definedName name="___r" localSheetId="7" hidden="1">{#N/A,#N/A,FALSE,"Aging Summary";#N/A,#N/A,FALSE,"Ratio Analysis";#N/A,#N/A,FALSE,"Test 120 Day Accts";#N/A,#N/A,FALSE,"Tickmarks"}</definedName>
    <definedName name="___r" localSheetId="8" hidden="1">{#N/A,#N/A,FALSE,"Aging Summary";#N/A,#N/A,FALSE,"Ratio Analysis";#N/A,#N/A,FALSE,"Test 120 Day Accts";#N/A,#N/A,FALSE,"Tickmarks"}</definedName>
    <definedName name="___r" hidden="1">{#N/A,#N/A,FALSE,"Pharm";#N/A,#N/A,FALSE,"WWCM"}</definedName>
    <definedName name="___RR2" localSheetId="8" hidden="1">{#N/A,#N/A,FALSE,"Exhibits 5-7"}</definedName>
    <definedName name="___RR2" hidden="1">{#N/A,#N/A,FALSE,"Exhibits 5-7"}</definedName>
    <definedName name="___sar2" localSheetId="8" hidden="1">{#N/A,#N/A,FALSE,"Aging Summary";#N/A,#N/A,FALSE,"Ratio Analysis";#N/A,#N/A,FALSE,"Test 120 Day Accts";#N/A,#N/A,FALSE,"Tickmarks"}</definedName>
    <definedName name="___sar2" hidden="1">{#N/A,#N/A,FALSE,"Aging Summary";#N/A,#N/A,FALSE,"Ratio Analysis";#N/A,#N/A,FALSE,"Test 120 Day Accts";#N/A,#N/A,FALSE,"Tickmarks"}</definedName>
    <definedName name="___sar2_1" localSheetId="8" hidden="1">{#N/A,#N/A,FALSE,"Aging Summary";#N/A,#N/A,FALSE,"Ratio Analysis";#N/A,#N/A,FALSE,"Test 120 Day Accts";#N/A,#N/A,FALSE,"Tickmarks"}</definedName>
    <definedName name="___sar2_1" hidden="1">{#N/A,#N/A,FALSE,"Aging Summary";#N/A,#N/A,FALSE,"Ratio Analysis";#N/A,#N/A,FALSE,"Test 120 Day Accts";#N/A,#N/A,FALSE,"Tickmarks"}</definedName>
    <definedName name="___T1" localSheetId="8" hidden="1">{"'EARLY LIFE SAVINGS - COSTS '!$A$1:$N$56"}</definedName>
    <definedName name="___T1" hidden="1">{"'EARLY LIFE SAVINGS - COSTS '!$A$1:$N$56"}</definedName>
    <definedName name="___T2" localSheetId="8" hidden="1">{"'EARLY LIFE SAVINGS - COSTS '!$A$1:$N$56"}</definedName>
    <definedName name="___T2" hidden="1">{"'EARLY LIFE SAVINGS - COSTS '!$A$1:$N$56"}</definedName>
    <definedName name="___t81" localSheetId="8" hidden="1">{#N/A,#N/A,FALSE,"Aging Summary";#N/A,#N/A,FALSE,"Ratio Analysis";#N/A,#N/A,FALSE,"Test 120 Day Accts";#N/A,#N/A,FALSE,"Tickmarks"}</definedName>
    <definedName name="___t81" hidden="1">{#N/A,#N/A,FALSE,"Aging Summary";#N/A,#N/A,FALSE,"Ratio Analysis";#N/A,#N/A,FALSE,"Test 120 Day Accts";#N/A,#N/A,FALSE,"Tickmarks"}</definedName>
    <definedName name="___tm1" localSheetId="8" hidden="1">{#N/A,#N/A,FALSE,"Pharm";#N/A,#N/A,FALSE,"WWCM"}</definedName>
    <definedName name="___tm1" hidden="1">{#N/A,#N/A,FALSE,"Pharm";#N/A,#N/A,FALSE,"WWCM"}</definedName>
    <definedName name="___v1" localSheetId="8" hidden="1">{TRUE,TRUE,-1.25,-15.5,604.5,369.75,FALSE,TRUE,TRUE,TRUE,0,1,#N/A,1,#N/A,36.96875,22.9444444444444,1,FALSE,FALSE,3,TRUE,1,FALSE,100,"Swvu.provision.","ACwvu.provision.",1,FALSE,FALSE,0.75,0.75,2.02,1,2,"&amp;C&amp;""Helvetica""&amp;18&amp;BDELL COMPUTER CORPORATION
SERVICE OPERATIONS - FINANCE&amp;""MS Sans Serif""&amp;10&amp;B
&amp;""Helvetica""&amp;14&amp;BParts Provision vs. Write-offs","&amp;L&amp;""Helvetica""&amp;9Bob Ross&amp;C&amp;""Helvetica""&amp;9&amp;F&amp;R&amp;""Helvetica""&amp;9&amp;D     &amp;T",FALSE,FALSE,FALSE,FALSE,1,110,#N/A,#N/A,"=R7C1:R26C36",FALSE,"Rwvu.provision.",#N/A,FALSE,FALSE}</definedName>
    <definedName name="___v1" hidden="1">{TRUE,TRUE,-1.25,-15.5,604.5,369.75,FALSE,TRUE,TRUE,TRUE,0,1,#N/A,1,#N/A,36.96875,22.9444444444444,1,FALSE,FALSE,3,TRUE,1,FALSE,100,"Swvu.provision.","ACwvu.provision.",1,FALSE,FALSE,0.75,0.75,2.02,1,2,"&amp;C&amp;""Helvetica""&amp;18&amp;BDELL COMPUTER CORPORATION
SERVICE OPERATIONS - FINANCE&amp;""MS Sans Serif""&amp;10&amp;B
&amp;""Helvetica""&amp;14&amp;BParts Provision vs. Write-offs","&amp;L&amp;""Helvetica""&amp;9Bob Ross&amp;C&amp;""Helvetica""&amp;9&amp;F&amp;R&amp;""Helvetica""&amp;9&amp;D     &amp;T",FALSE,FALSE,FALSE,FALSE,1,110,#N/A,#N/A,"=R7C1:R26C36",FALSE,"Rwvu.provision.",#N/A,FALSE,FALSE}</definedName>
    <definedName name="___v2" localSheetId="8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___v2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___v4" localSheetId="8" hidden="1">{"français",#N/A,FALSE,"Intro";"français",#N/A,FALSE,"Index";#N/A,#N/A,FALSE,"3-Incor";#N/A,#N/A,FALSE,"4-Corpo"}</definedName>
    <definedName name="___v4" hidden="1">{"français",#N/A,FALSE,"Intro";"français",#N/A,FALSE,"Index";#N/A,#N/A,FALSE,"3-Incor";#N/A,#N/A,FALSE,"4-Corpo"}</definedName>
    <definedName name="___x1" hidden="1">1</definedName>
    <definedName name="___xlc_DefaultDisplayOption___" hidden="1">"caption"</definedName>
    <definedName name="___xlc_DisplayNullValues___" hidden="1">TRUE</definedName>
    <definedName name="___xlc_DisplayNullValuesAs___" hidden="1">"___xlc_DisplayNullValuesAs_empty___"</definedName>
    <definedName name="___xlc_PromptForInsertOnDrill___" hidden="1">FALSE</definedName>
    <definedName name="___xlc_SuppressNULLSOnDrill___" hidden="1">TRUE</definedName>
    <definedName name="___xlc_SuppressZerosOnDrill___" hidden="1">FALSE</definedName>
    <definedName name="___xlfn.BAHTTEXT" hidden="1">#NAME?</definedName>
    <definedName name="___xlfn.IFERROR" hidden="1">#NAME?</definedName>
    <definedName name="___z" localSheetId="8" hidden="1">{#N/A,#N/A,FALSE,"IC Annex";#N/A,#N/A,FALSE,"Sensitivity";#N/A,#N/A,FALSE,"P&amp;L";#N/A,#N/A,FALSE,"Balance Sheet";#N/A,#N/A,FALSE,"Cash Flow";#N/A,#N/A,FALSE,"Key Assumptions";#N/A,#N/A,FALSE,"Global Assumptions";#N/A,#N/A,FALSE,"Graphs"}</definedName>
    <definedName name="___z" hidden="1">{#N/A,#N/A,FALSE,"IC Annex";#N/A,#N/A,FALSE,"Sensitivity";#N/A,#N/A,FALSE,"P&amp;L";#N/A,#N/A,FALSE,"Balance Sheet";#N/A,#N/A,FALSE,"Cash Flow";#N/A,#N/A,FALSE,"Key Assumptions";#N/A,#N/A,FALSE,"Global Assumptions";#N/A,#N/A,FALSE,"Graphs"}</definedName>
    <definedName name="___z12" localSheetId="8" hidden="1">{"pro_view",#N/A,FALSE,"EEFSNAP2";"rep_view",#N/A,FALSE,"EEFSNAP2"}</definedName>
    <definedName name="___z12" hidden="1">{"pro_view",#N/A,FALSE,"EEFSNAP2";"rep_view",#N/A,FALSE,"EEFSNAP2"}</definedName>
    <definedName name="___z2" localSheetId="8" hidden="1">{"Sch00",#N/A,FALSE,"1";"Contents",#N/A,FALSE,"1"}</definedName>
    <definedName name="___z2" hidden="1">{"Sch00",#N/A,FALSE,"1";"Contents",#N/A,FALSE,"1"}</definedName>
    <definedName name="___z22" localSheetId="8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z25" localSheetId="8" hidden="1">{"detail",#N/A,FALSE,"mfg";"summary",#N/A,FALSE,"mfg"}</definedName>
    <definedName name="___z25" hidden="1">{"detail",#N/A,FALSE,"mfg";"summary",#N/A,FALSE,"mfg"}</definedName>
    <definedName name="___z3" localSheetId="8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zz3" localSheetId="8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1___123Graph_ACHART_1" hidden="1">#REF!</definedName>
    <definedName name="__1__123Graph_ACHART_1" hidden="1">#REF!</definedName>
    <definedName name="__1__123Graph_AGRAFICO_1" hidden="1">#REF!</definedName>
    <definedName name="__10__123Graph_BCHART_1" hidden="1">#REF!</definedName>
    <definedName name="__11__123Graph_BCHART_3" hidden="1">#REF!</definedName>
    <definedName name="__11__123Graph_CCHART_1" hidden="1">#REF!</definedName>
    <definedName name="__1111" hidden="1">#REF!</definedName>
    <definedName name="__12__123Graph_BCHART_4" hidden="1">#REF!</definedName>
    <definedName name="__12__123Graph_DCHART_1" hidden="1">#REF!</definedName>
    <definedName name="__123Grapgh__s" localSheetId="8" hidden="1">'[1]AOP Summary-2'!$C$2:$C$14</definedName>
    <definedName name="__123Grapgh__s" hidden="1">#REF!</definedName>
    <definedName name="__123Graph_A" localSheetId="7" hidden="1">[2]IRR!$E$31:$E$35</definedName>
    <definedName name="__123Graph_A" localSheetId="8" hidden="1">#REF!</definedName>
    <definedName name="__123Graph_A" hidden="1">#REF!</definedName>
    <definedName name="__123Graph_AAGO" hidden="1">#REF!</definedName>
    <definedName name="__123Graph_AAPR" hidden="1">#REF!</definedName>
    <definedName name="__123Graph_AB92DET" hidden="1">#REF!</definedName>
    <definedName name="__123Graph_AB92STEP" hidden="1">#REF!</definedName>
    <definedName name="__123Graph_AB93STEP" hidden="1">#REF!</definedName>
    <definedName name="__123Graph_AB94STEP" hidden="1">#REF!</definedName>
    <definedName name="__123Graph_ACASHFLOW" hidden="1">#N/A</definedName>
    <definedName name="__123Graph_AChart1" localSheetId="8" hidden="1">#REF!</definedName>
    <definedName name="__123Graph_AChart1" hidden="1">#REF!</definedName>
    <definedName name="__123Graph_AChart2" localSheetId="8" hidden="1">#REF!</definedName>
    <definedName name="__123Graph_AChart2" hidden="1">#REF!</definedName>
    <definedName name="__123Graph_AChart3" localSheetId="8" hidden="1">#REF!</definedName>
    <definedName name="__123Graph_AChart3" hidden="1">#REF!</definedName>
    <definedName name="__123Graph_AChart4" localSheetId="8" hidden="1">#REF!</definedName>
    <definedName name="__123Graph_AChart4" hidden="1">#REF!</definedName>
    <definedName name="__123Graph_AChart5" localSheetId="8" hidden="1">#REF!</definedName>
    <definedName name="__123Graph_AChart5" hidden="1">#REF!</definedName>
    <definedName name="__123Graph_AChart6" localSheetId="8" hidden="1">#REF!</definedName>
    <definedName name="__123Graph_AChart6" hidden="1">#REF!</definedName>
    <definedName name="__123Graph_AChart7" localSheetId="8" hidden="1">#REF!</definedName>
    <definedName name="__123Graph_AChart7" hidden="1">#REF!</definedName>
    <definedName name="__123Graph_AChart8" localSheetId="8" hidden="1">#REF!</definedName>
    <definedName name="__123Graph_AChart8" hidden="1">#REF!</definedName>
    <definedName name="__123Graph_AChart9" localSheetId="8" hidden="1">#REF!</definedName>
    <definedName name="__123Graph_AChart9" hidden="1">#REF!</definedName>
    <definedName name="__123Graph_ACOMP" hidden="1">#REF!</definedName>
    <definedName name="__123Graph_ACOMPARAT" hidden="1">#REF!</definedName>
    <definedName name="__123Graph_ACOMPARATACUM" hidden="1">#REF!</definedName>
    <definedName name="__123Graph_ACUMPO" hidden="1">#REF!</definedName>
    <definedName name="__123Graph_ACurrent" localSheetId="7" hidden="1">[3]SALARIES!#REF!</definedName>
    <definedName name="__123Graph_ACurrent" localSheetId="8" hidden="1">#REF!</definedName>
    <definedName name="__123Graph_ACURRENT" hidden="1">#REF!</definedName>
    <definedName name="__123Graph_ADELCODET" hidden="1">#REF!</definedName>
    <definedName name="__123Graph_ADELCOSTE" hidden="1">#REF!</definedName>
    <definedName name="__123Graph_ADELDET" hidden="1">#REF!</definedName>
    <definedName name="__123Graph_ADETSTEP" hidden="1">#REF!</definedName>
    <definedName name="__123Graph_ADIC" hidden="1">#REF!</definedName>
    <definedName name="__123Graph_ADRIVER2" hidden="1">#N/A</definedName>
    <definedName name="__123Graph_AFEB" hidden="1">#REF!</definedName>
    <definedName name="__123Graph_AGEN" hidden="1">#REF!</definedName>
    <definedName name="__123Graph_AGIU" hidden="1">#REF!</definedName>
    <definedName name="__123Graph_AGRAF1" localSheetId="8" hidden="1">#REF!</definedName>
    <definedName name="__123Graph_AGRAF1" hidden="1">#REF!</definedName>
    <definedName name="__123Graph_AGRAF2" localSheetId="8" hidden="1">#REF!</definedName>
    <definedName name="__123Graph_AGRAF2" hidden="1">#REF!</definedName>
    <definedName name="__123Graph_AGRAF3" localSheetId="8" hidden="1">#REF!</definedName>
    <definedName name="__123Graph_AGRAF3" hidden="1">#REF!</definedName>
    <definedName name="__123Graph_AGRAF4" localSheetId="8" hidden="1">#REF!</definedName>
    <definedName name="__123Graph_AGRAF4" hidden="1">#REF!</definedName>
    <definedName name="__123Graph_AGRAFICO1" hidden="1">#REF!</definedName>
    <definedName name="__123Graph_AGRAFICO2" hidden="1">#REF!</definedName>
    <definedName name="__123Graph_AGRAFICO3" hidden="1">#REF!</definedName>
    <definedName name="__123Graph_AGraph1" hidden="1">#REF!</definedName>
    <definedName name="__123Graph_AGraph10" hidden="1">#REF!</definedName>
    <definedName name="__123Graph_AGraph11" hidden="1">#REF!</definedName>
    <definedName name="__123Graph_AGraph3" hidden="1">#REF!</definedName>
    <definedName name="__123Graph_AGraph5" hidden="1">#REF!</definedName>
    <definedName name="__123Graph_AGraph6" hidden="1">#REF!</definedName>
    <definedName name="__123Graph_AGraph7" hidden="1">#REF!</definedName>
    <definedName name="__123Graph_AGraph8" hidden="1">#REF!</definedName>
    <definedName name="__123Graph_AHISTORY" hidden="1">#REF!</definedName>
    <definedName name="__123Graph_AHSRINT2" hidden="1">#N/A</definedName>
    <definedName name="__123Graph_AINCOME1" hidden="1">#N/A</definedName>
    <definedName name="__123Graph_AINCOME2" hidden="1">#N/A</definedName>
    <definedName name="__123Graph_ALIJN" hidden="1">#REF!</definedName>
    <definedName name="__123Graph_ALOSS" hidden="1">#REF!</definedName>
    <definedName name="__123Graph_ALTA" hidden="1">#REF!</definedName>
    <definedName name="__123Graph_ALUG" hidden="1">#REF!</definedName>
    <definedName name="__123Graph_AMAG" hidden="1">#REF!</definedName>
    <definedName name="__123Graph_AMAR" hidden="1">#REF!</definedName>
    <definedName name="__123Graph_ANG_INCIDENZE" hidden="1">#REF!</definedName>
    <definedName name="__123Graph_ANOV" hidden="1">#REF!</definedName>
    <definedName name="__123Graph_AOG_INCIDENZE" hidden="1">#REF!</definedName>
    <definedName name="__123Graph_AOTT" hidden="1">#REF!</definedName>
    <definedName name="__123Graph_APRINCIPAL" localSheetId="7" hidden="1">#REF!</definedName>
    <definedName name="__123Graph_APRINCIPAL" hidden="1">#REF!</definedName>
    <definedName name="__123Graph_AR13497" hidden="1">#REF!</definedName>
    <definedName name="__123Graph_AR2297" hidden="1">#REF!</definedName>
    <definedName name="__123Graph_AR404A97" hidden="1">#REF!</definedName>
    <definedName name="__123Graph_ASET" hidden="1">#REF!</definedName>
    <definedName name="__123Graph_AST92" hidden="1">#REF!</definedName>
    <definedName name="__123Graph_AST94" hidden="1">#REF!</definedName>
    <definedName name="__123Graph_ASTGLOBE" hidden="1">#REF!</definedName>
    <definedName name="__123Graph_ATOALE" hidden="1">#REF!</definedName>
    <definedName name="__123Graph_AVENTAS" hidden="1">#REF!</definedName>
    <definedName name="__123Graph_B" localSheetId="7" hidden="1">[2]IRR!$F$31:$F$35</definedName>
    <definedName name="__123Graph_B" localSheetId="8" hidden="1">#REF!</definedName>
    <definedName name="__123Graph_B" hidden="1">#REF!</definedName>
    <definedName name="__123Graph_BCASHFLOW" hidden="1">#N/A</definedName>
    <definedName name="__123Graph_BCOMP" hidden="1">#REF!</definedName>
    <definedName name="__123Graph_BCOMPARAT" hidden="1">#REF!</definedName>
    <definedName name="__123Graph_BCOMPARATACUM" hidden="1">#REF!</definedName>
    <definedName name="__123Graph_BCURRENT" localSheetId="7" hidden="1">#REF!</definedName>
    <definedName name="__123Graph_BCURRENT" localSheetId="8" hidden="1">#REF!</definedName>
    <definedName name="__123Graph_BCURRENT" hidden="1">#REF!</definedName>
    <definedName name="__123Graph_BDRIVER2" hidden="1">#N/A</definedName>
    <definedName name="__123Graph_BGRAF3" localSheetId="8" hidden="1">#REF!</definedName>
    <definedName name="__123Graph_BGRAF3" hidden="1">#REF!</definedName>
    <definedName name="__123Graph_BGRAF4" localSheetId="8" hidden="1">#REF!</definedName>
    <definedName name="__123Graph_BGRAF4" hidden="1">#REF!</definedName>
    <definedName name="__123Graph_BGRAFICO1" hidden="1">#REF!</definedName>
    <definedName name="__123Graph_BGRAFICO2" hidden="1">#REF!</definedName>
    <definedName name="__123Graph_BGRAFICO3" hidden="1">#REF!</definedName>
    <definedName name="__123Graph_BGraph8" hidden="1">#REF!</definedName>
    <definedName name="__123Graph_BHSRINT2" hidden="1">#N/A</definedName>
    <definedName name="__123Graph_BINCOME1" hidden="1">#N/A</definedName>
    <definedName name="__123Graph_BINCOME2" hidden="1">#N/A</definedName>
    <definedName name="__123Graph_BLOSS" hidden="1">#REF!</definedName>
    <definedName name="__123Graph_BNG_INCIDENZE" hidden="1">#REF!</definedName>
    <definedName name="__123Graph_BOG_INCIDENZE" hidden="1">#REF!</definedName>
    <definedName name="__123Graph_BPRINCIPAL" hidden="1">#REF!</definedName>
    <definedName name="__123Graph_BR13497" hidden="1">#REF!</definedName>
    <definedName name="__123Graph_BR2297" hidden="1">#REF!</definedName>
    <definedName name="__123Graph_BR404A97" hidden="1">#REF!</definedName>
    <definedName name="__123Graph_BRELIAB" hidden="1">#REF!</definedName>
    <definedName name="__123Graph_BST91" hidden="1">#REF!</definedName>
    <definedName name="__123Graph_BST92" hidden="1">#REF!</definedName>
    <definedName name="__123Graph_BST94" hidden="1">#REF!</definedName>
    <definedName name="__123Graph_BSTGLOBE" hidden="1">#REF!</definedName>
    <definedName name="__123Graph_BVENTAS" hidden="1">#REF!</definedName>
    <definedName name="__123Graph_C" localSheetId="7" hidden="1">[2]IRR!$G$31:$G$35</definedName>
    <definedName name="__123Graph_C" localSheetId="8" hidden="1">#REF!</definedName>
    <definedName name="__123Graph_C" hidden="1">#REF!</definedName>
    <definedName name="__123Graph_C1" hidden="1">#REF!</definedName>
    <definedName name="__123Graph_CCOMP" hidden="1">#REF!</definedName>
    <definedName name="__123Graph_CCURRENT" localSheetId="7" hidden="1">#REF!</definedName>
    <definedName name="__123Graph_CCURRENT" localSheetId="8" hidden="1">#REF!</definedName>
    <definedName name="__123Graph_CCURRENT" hidden="1">#REF!</definedName>
    <definedName name="__123Graph_CGRAF3" localSheetId="8" hidden="1">#REF!</definedName>
    <definedName name="__123Graph_CGRAF3" hidden="1">#REF!</definedName>
    <definedName name="__123Graph_CGRAF4" localSheetId="8" hidden="1">#REF!</definedName>
    <definedName name="__123Graph_CGRAF4" hidden="1">#REF!</definedName>
    <definedName name="__123Graph_CGRAFICO3" hidden="1">#REF!</definedName>
    <definedName name="__123Graph_CGraph8" hidden="1">#REF!</definedName>
    <definedName name="__123Graph_CHSRINT2" hidden="1">#N/A</definedName>
    <definedName name="__123Graph_CNG_INCIDENZE" hidden="1">#REF!</definedName>
    <definedName name="__123Graph_COG_INCIDENZE" hidden="1">#REF!</definedName>
    <definedName name="__123Graph_CRELIAB" hidden="1">#REF!</definedName>
    <definedName name="__123Graph_CST91" hidden="1">#REF!</definedName>
    <definedName name="__123Graph_CST92" hidden="1">#REF!</definedName>
    <definedName name="__123Graph_CST94" hidden="1">#REF!</definedName>
    <definedName name="__123Graph_CSTGLOBE" hidden="1">#REF!</definedName>
    <definedName name="__123Graph_D" localSheetId="7" hidden="1">#REF!</definedName>
    <definedName name="__123Graph_D" localSheetId="8" hidden="1">#REF!</definedName>
    <definedName name="__123Graph_D" hidden="1">#REF!</definedName>
    <definedName name="__123Graph_D1" hidden="1">#REF!</definedName>
    <definedName name="__123Graph_DCOMP" hidden="1">#REF!</definedName>
    <definedName name="__123Graph_DCURRENT" localSheetId="7" hidden="1">#REF!</definedName>
    <definedName name="__123Graph_DCURRENT" localSheetId="8" hidden="1">#REF!</definedName>
    <definedName name="__123Graph_DCURRENT" hidden="1">#REF!</definedName>
    <definedName name="__123Graph_DGRAF3" localSheetId="8" hidden="1">#REF!</definedName>
    <definedName name="__123Graph_DGRAF3" hidden="1">#REF!</definedName>
    <definedName name="__123Graph_DGRAF4" localSheetId="8" hidden="1">#REF!</definedName>
    <definedName name="__123Graph_DGRAF4" hidden="1">#REF!</definedName>
    <definedName name="__123Graph_DGraph8" hidden="1">#REF!</definedName>
    <definedName name="__123Graph_DLOSS" hidden="1">#REF!</definedName>
    <definedName name="__123Graph_DLTA" hidden="1">#REF!</definedName>
    <definedName name="__123Graph_DRELIAB" hidden="1">#REF!</definedName>
    <definedName name="__123Graph_DST91" hidden="1">#REF!</definedName>
    <definedName name="__123Graph_DST92" hidden="1">#REF!</definedName>
    <definedName name="__123Graph_DST94" hidden="1">#REF!</definedName>
    <definedName name="__123Graph_E" localSheetId="7" hidden="1">#REF!</definedName>
    <definedName name="__123Graph_E" localSheetId="8" hidden="1">#REF!</definedName>
    <definedName name="__123Graph_E" hidden="1">#REF!</definedName>
    <definedName name="__123Graph_ECOMP" hidden="1">#REF!</definedName>
    <definedName name="__123Graph_ECURRENT" localSheetId="7" hidden="1">#REF!</definedName>
    <definedName name="__123Graph_ECURRENT" localSheetId="8" hidden="1">#REF!</definedName>
    <definedName name="__123Graph_ECURRENT" hidden="1">#REF!</definedName>
    <definedName name="__123Graph_EGRAF3" localSheetId="8" hidden="1">#REF!</definedName>
    <definedName name="__123Graph_EGRAF3" hidden="1">#REF!</definedName>
    <definedName name="__123Graph_EGRAF4" localSheetId="8" hidden="1">#REF!</definedName>
    <definedName name="__123Graph_EGRAF4" hidden="1">#REF!</definedName>
    <definedName name="__123Graph_ELOSS" hidden="1">#REF!</definedName>
    <definedName name="__123Graph_ELTA" hidden="1">#REF!</definedName>
    <definedName name="__123Graph_ERELIAB" hidden="1">#REF!</definedName>
    <definedName name="__123Graph_EST92" hidden="1">#REF!</definedName>
    <definedName name="__123Graph_EST94" hidden="1">#REF!</definedName>
    <definedName name="__123Graph_F" localSheetId="7" hidden="1">#REF!</definedName>
    <definedName name="__123Graph_F" localSheetId="8" hidden="1">#REF!</definedName>
    <definedName name="__123Graph_F" hidden="1">#REF!</definedName>
    <definedName name="__123Graph_FCURRENT" hidden="1">#REF!</definedName>
    <definedName name="__123Graph_FRELIAB" hidden="1">#REF!</definedName>
    <definedName name="__123Graph_LBL_A" hidden="1">#REF!</definedName>
    <definedName name="__123Graph_LBL_AB94STEP" hidden="1">#REF!</definedName>
    <definedName name="__123Graph_LBL_ACOMP" hidden="1">#REF!</definedName>
    <definedName name="__123Graph_LBL_ACOMPARAT" hidden="1">#REF!</definedName>
    <definedName name="__123Graph_LBL_ACOMPARATACUM" hidden="1">#REF!</definedName>
    <definedName name="__123Graph_LBL_AGRAF4" localSheetId="8" hidden="1">#REF!</definedName>
    <definedName name="__123Graph_LBL_AGRAF4" hidden="1">#REF!</definedName>
    <definedName name="__123Graph_LBL_AHISTORY" hidden="1">#REF!</definedName>
    <definedName name="__123Graph_LBL_ALOSS" hidden="1">#REF!</definedName>
    <definedName name="__123Graph_LBL_ALTA" hidden="1">#REF!</definedName>
    <definedName name="__123Graph_LBL_ANG_INCIDENZE" hidden="1">#REF!</definedName>
    <definedName name="__123Graph_LBL_AOG_INCIDENZE" hidden="1">#REF!</definedName>
    <definedName name="__123Graph_LBL_APRINCIPAL" localSheetId="7" hidden="1">#REF!</definedName>
    <definedName name="__123Graph_LBL_APRINCIPAL" hidden="1">#REF!</definedName>
    <definedName name="__123Graph_LBL_AVENTAS" hidden="1">#REF!</definedName>
    <definedName name="__123Graph_LBL_B" hidden="1">#REF!</definedName>
    <definedName name="__123Graph_LBL_BCOMP" hidden="1">#REF!</definedName>
    <definedName name="__123Graph_LBL_BCOMPARAT" hidden="1">#REF!</definedName>
    <definedName name="__123Graph_LBL_BCOMPARATACUM" hidden="1">#REF!</definedName>
    <definedName name="__123Graph_LBL_BGRAF4" localSheetId="8" hidden="1">#REF!</definedName>
    <definedName name="__123Graph_LBL_BGRAF4" hidden="1">#REF!</definedName>
    <definedName name="__123Graph_LBL_BLOSS" hidden="1">#REF!</definedName>
    <definedName name="__123Graph_LBL_BPRINCIPAL" hidden="1">#REF!</definedName>
    <definedName name="__123Graph_LBL_BRELIAB" hidden="1">#REF!</definedName>
    <definedName name="__123Graph_LBL_BVENTAS" hidden="1">#REF!</definedName>
    <definedName name="__123Graph_LBL_C" hidden="1">#REF!</definedName>
    <definedName name="__123Graph_LBL_CCOMP" hidden="1">#REF!</definedName>
    <definedName name="__123Graph_LBL_CGRAF4" localSheetId="8" hidden="1">#REF!</definedName>
    <definedName name="__123Graph_LBL_CGRAF4" hidden="1">#REF!</definedName>
    <definedName name="__123Graph_LBL_CNG_INCIDENZE" hidden="1">#REF!</definedName>
    <definedName name="__123Graph_LBL_COG_INCIDENZE" hidden="1">#REF!</definedName>
    <definedName name="__123Graph_LBL_D" hidden="1">#REF!</definedName>
    <definedName name="__123Graph_LBL_DCOMP" hidden="1">#REF!</definedName>
    <definedName name="__123Graph_LBL_DGRAF4" localSheetId="8" hidden="1">#REF!</definedName>
    <definedName name="__123Graph_LBL_DGRAF4" hidden="1">#REF!</definedName>
    <definedName name="__123Graph_LBL_DLOSS" hidden="1">#REF!</definedName>
    <definedName name="__123Graph_LBL_DLTA" hidden="1">#REF!</definedName>
    <definedName name="__123Graph_LBL_DRELIAB" hidden="1">#REF!</definedName>
    <definedName name="__123Graph_LBL_E" hidden="1">#REF!</definedName>
    <definedName name="__123Graph_LBL_ECOMP" hidden="1">#REF!</definedName>
    <definedName name="__123Graph_LBL_EGRAF4" localSheetId="8" hidden="1">#REF!</definedName>
    <definedName name="__123Graph_LBL_EGRAF4" hidden="1">#REF!</definedName>
    <definedName name="__123Graph_LBL_ELTA" hidden="1">#REF!</definedName>
    <definedName name="__123Graph_LBL_ERELIAB" hidden="1">#REF!</definedName>
    <definedName name="__123Graph_LBL_FGRAF4" localSheetId="8" hidden="1">#REF!</definedName>
    <definedName name="__123Graph_LBL_FGRAF4" hidden="1">#REF!</definedName>
    <definedName name="__123Graph_X" localSheetId="7" hidden="1">'[4]AOP Summary-2'!$A$2:$A$14</definedName>
    <definedName name="__123Graph_X" localSheetId="8" hidden="1">#REF!</definedName>
    <definedName name="__123Graph_X" hidden="1">#REF!</definedName>
    <definedName name="__123Graph_XAGO" hidden="1">#REF!</definedName>
    <definedName name="__123Graph_XAPR" hidden="1">#REF!</definedName>
    <definedName name="__123Graph_XB92DET" hidden="1">#REF!</definedName>
    <definedName name="__123Graph_XB92STEP" hidden="1">#REF!</definedName>
    <definedName name="__123Graph_XB93STEP" hidden="1">#REF!</definedName>
    <definedName name="__123Graph_XB94STEP" hidden="1">#REF!</definedName>
    <definedName name="__123Graph_XCASHFLOW" hidden="1">#N/A</definedName>
    <definedName name="__123Graph_XChart1" localSheetId="8" hidden="1">#REF!</definedName>
    <definedName name="__123Graph_XChart1" hidden="1">#REF!</definedName>
    <definedName name="__123Graph_XChart2" localSheetId="8" hidden="1">#REF!</definedName>
    <definedName name="__123Graph_XChart2" hidden="1">#REF!</definedName>
    <definedName name="__123Graph_XChart3" localSheetId="8" hidden="1">#REF!</definedName>
    <definedName name="__123Graph_XChart3" hidden="1">#REF!</definedName>
    <definedName name="__123Graph_XChart4" localSheetId="8" hidden="1">#REF!</definedName>
    <definedName name="__123Graph_XChart4" hidden="1">#REF!</definedName>
    <definedName name="__123Graph_XChart5" localSheetId="8" hidden="1">#REF!</definedName>
    <definedName name="__123Graph_XChart5" hidden="1">#REF!</definedName>
    <definedName name="__123Graph_XChart6" localSheetId="8" hidden="1">#REF!</definedName>
    <definedName name="__123Graph_XChart6" hidden="1">#REF!</definedName>
    <definedName name="__123Graph_XChart7" localSheetId="8" hidden="1">#REF!</definedName>
    <definedName name="__123Graph_XChart7" hidden="1">#REF!</definedName>
    <definedName name="__123Graph_XChart8" localSheetId="8" hidden="1">#REF!</definedName>
    <definedName name="__123Graph_XChart8" hidden="1">#REF!</definedName>
    <definedName name="__123Graph_XChart9" localSheetId="8" hidden="1">#REF!</definedName>
    <definedName name="__123Graph_XChart9" hidden="1">#REF!</definedName>
    <definedName name="__123Graph_XCOMP" hidden="1">#REF!</definedName>
    <definedName name="__123Graph_XCOMPARAT" hidden="1">#REF!</definedName>
    <definedName name="__123Graph_XCOMPARATACUM" hidden="1">#REF!</definedName>
    <definedName name="__123Graph_XCUMPO" hidden="1">#REF!</definedName>
    <definedName name="__123Graph_XCurrent" localSheetId="8" hidden="1">#REF!</definedName>
    <definedName name="__123Graph_XCurrent" hidden="1">#REF!</definedName>
    <definedName name="__123Graph_XDELCODET" hidden="1">#REF!</definedName>
    <definedName name="__123Graph_XDELCOSTE" hidden="1">#REF!</definedName>
    <definedName name="__123Graph_XDELDET" hidden="1">#REF!</definedName>
    <definedName name="__123Graph_XDETSTEP" hidden="1">#REF!</definedName>
    <definedName name="__123Graph_XDIC" hidden="1">#REF!</definedName>
    <definedName name="__123Graph_XDRIVER2" hidden="1">#N/A</definedName>
    <definedName name="__123Graph_XFEB" hidden="1">#REF!</definedName>
    <definedName name="__123Graph_XGEN" hidden="1">#REF!</definedName>
    <definedName name="__123Graph_XGIU" hidden="1">#REF!</definedName>
    <definedName name="__123Graph_XGRAF3" localSheetId="8" hidden="1">#REF!</definedName>
    <definedName name="__123Graph_XGRAF3" hidden="1">#REF!</definedName>
    <definedName name="__123Graph_XGRAF4" localSheetId="8" hidden="1">#REF!</definedName>
    <definedName name="__123Graph_XGRAF4" hidden="1">#REF!</definedName>
    <definedName name="__123Graph_XGRAFICO1" hidden="1">#REF!</definedName>
    <definedName name="__123Graph_XGRAFICO2" hidden="1">#REF!</definedName>
    <definedName name="__123Graph_XGRAFICO3" hidden="1">#REF!</definedName>
    <definedName name="__123Graph_XGraph11" hidden="1">#REF!</definedName>
    <definedName name="__123Graph_XGraph3" hidden="1">#REF!</definedName>
    <definedName name="__123Graph_XGraph5" hidden="1">#REF!</definedName>
    <definedName name="__123Graph_XHISTORY" hidden="1">#REF!</definedName>
    <definedName name="__123Graph_XINCOME1" hidden="1">#N/A</definedName>
    <definedName name="__123Graph_XINCOME2" hidden="1">#N/A</definedName>
    <definedName name="__123Graph_XLIJN" hidden="1">#REF!</definedName>
    <definedName name="__123Graph_XLOSS" hidden="1">#REF!</definedName>
    <definedName name="__123Graph_XLTA" hidden="1">#REF!</definedName>
    <definedName name="__123Graph_XLUG" hidden="1">#REF!</definedName>
    <definedName name="__123Graph_XMAG" hidden="1">#REF!</definedName>
    <definedName name="__123Graph_XMAR" hidden="1">#REF!</definedName>
    <definedName name="__123Graph_XNG_INCIDENZE" hidden="1">#REF!</definedName>
    <definedName name="__123Graph_XNOV" hidden="1">#REF!</definedName>
    <definedName name="__123Graph_XOG_INCIDENZE" hidden="1">#REF!</definedName>
    <definedName name="__123Graph_XOTT" hidden="1">#REF!</definedName>
    <definedName name="__123Graph_XPRINCIPAL" hidden="1">#REF!</definedName>
    <definedName name="__123Graph_XR13497" hidden="1">#REF!</definedName>
    <definedName name="__123Graph_XR2297" hidden="1">#REF!</definedName>
    <definedName name="__123Graph_XR404A97" hidden="1">#REF!</definedName>
    <definedName name="__123Graph_XRELIAB" hidden="1">#REF!</definedName>
    <definedName name="__123Graph_XSET" hidden="1">#REF!</definedName>
    <definedName name="__123Graph_XST91" hidden="1">#REF!</definedName>
    <definedName name="__123Graph_XST92" hidden="1">#REF!</definedName>
    <definedName name="__123Graph_XST94" hidden="1">#REF!</definedName>
    <definedName name="__123Graph_XSTGLOBE" hidden="1">#REF!</definedName>
    <definedName name="__123Graph_XTOALE" hidden="1">#REF!</definedName>
    <definedName name="__123Graph_XVENTAS" hidden="1">#REF!</definedName>
    <definedName name="__13__123Graph_BCHART_6" hidden="1">#REF!</definedName>
    <definedName name="__13__123Graph_ECHART_1" hidden="1">#REF!</definedName>
    <definedName name="__14__123Graph_BCHART_7" hidden="1">#REF!</definedName>
    <definedName name="__14__123Graph_XCHART_2" hidden="1">#REF!</definedName>
    <definedName name="__15__123Graph_BCHART_8" hidden="1">#REF!</definedName>
    <definedName name="__16__123Graph_CCHART_4" hidden="1">#REF!</definedName>
    <definedName name="__17__123Graph_CCHART_6" hidden="1">#REF!</definedName>
    <definedName name="__18__123Graph_CCHART_7" hidden="1">#REF!</definedName>
    <definedName name="__19__123Graph_DCHART_7" hidden="1">#REF!</definedName>
    <definedName name="__2___123Graph_ACHART_2" hidden="1">#REF!</definedName>
    <definedName name="__2__123Graph_ACHART_2" hidden="1">#REF!</definedName>
    <definedName name="__2__123Graph_CGRAFICO_1" hidden="1">#REF!</definedName>
    <definedName name="__20__123Graph_ECHART_7" hidden="1">#REF!</definedName>
    <definedName name="__21__123Graph_XCHART_6" hidden="1">#REF!</definedName>
    <definedName name="__22__123Graph_XCHART_8" hidden="1">#REF!</definedName>
    <definedName name="__3___123Graph_BCHART_1" hidden="1">#REF!</definedName>
    <definedName name="__3__123Graph_BCHART_1" hidden="1">#REF!</definedName>
    <definedName name="__32__123Graph_BCHART_1" hidden="1">#REF!</definedName>
    <definedName name="__4___123Graph_CCHART_1" hidden="1">#REF!</definedName>
    <definedName name="__4__123Graph_CCHART_1" hidden="1">#REF!</definedName>
    <definedName name="__5___123Graph_DCHART_1" hidden="1">#REF!</definedName>
    <definedName name="__5__123Graph_ACHART_1" hidden="1">#REF!</definedName>
    <definedName name="__5__123Graph_DCHART_1" hidden="1">#REF!</definedName>
    <definedName name="__6___123Graph_ECHART_1" hidden="1">#REF!</definedName>
    <definedName name="__6__123Graph_ACHART_4" hidden="1">#REF!</definedName>
    <definedName name="__6__123Graph_ECHART_1" hidden="1">#REF!</definedName>
    <definedName name="__7___123Graph_XCHART_2" hidden="1">#REF!</definedName>
    <definedName name="__7__123Graph_ACHART_6" hidden="1">#REF!</definedName>
    <definedName name="__7__123Graph_XCHART_2" hidden="1">#REF!</definedName>
    <definedName name="__8__123Graph_ACHART_1" hidden="1">#REF!</definedName>
    <definedName name="__8__123Graph_ACHART_7" hidden="1">#REF!</definedName>
    <definedName name="__9__123Graph_ACHART_2" hidden="1">#REF!</definedName>
    <definedName name="__9__123Graph_ACHART_8" hidden="1">#REF!</definedName>
    <definedName name="__a1" localSheetId="7" hidden="1">{#N/A,#N/A,FALSE,"Pharm";#N/A,#N/A,FALSE,"WWCM"}</definedName>
    <definedName name="__a1" localSheetId="8" hidden="1">{#N/A,#N/A,FALSE,"Pharm";#N/A,#N/A,FALSE,"WWCM"}</definedName>
    <definedName name="__a1" hidden="1">{#N/A,#N/A,FALSE,"Pharm";#N/A,#N/A,FALSE,"WWCM"}</definedName>
    <definedName name="__A11" localSheetId="7" hidden="1">{#N/A,#N/A,FALSE,"Umsatz 99";#N/A,#N/A,FALSE,"ER 99 "}</definedName>
    <definedName name="__A11" localSheetId="8" hidden="1">{#N/A,#N/A,FALSE,"Umsatz 99";#N/A,#N/A,FALSE,"ER 99 "}</definedName>
    <definedName name="__A11" hidden="1">{#N/A,#N/A,FALSE,"Umsatz 99";#N/A,#N/A,FALSE,"ER 99 "}</definedName>
    <definedName name="__a123" localSheetId="8" hidden="1">{#N/A,#N/A,FALSE,"cover";#N/A,#N/A,FALSE,"Content ";#N/A,#N/A,FALSE,"E&amp;C Op Stat";#N/A,#N/A,FALSE,"Telcos Op Stat";#N/A,#N/A,FALSE,"Media Op Stat";#N/A,#N/A,FALSE,"Oil Op Stat";#N/A,#N/A,FALSE,"Utilities Op Stat";#N/A,#N/A,FALSE,"E&amp;C Ord An";#N/A,#N/A,FALSE,"E&amp;C Debt Nar";#N/A,#N/A,FALSE,"E&amp;C Debtors";#N/A,#N/A,FALSE,"E&amp;C CO Debt";#N/A,#N/A,FALSE,"Telcos Presales";#N/A,#N/A,FALSE,"Oil Presales";#N/A,#N/A,FALSE,"Utilities Presales"}</definedName>
    <definedName name="__a123" hidden="1">{#N/A,#N/A,FALSE,"cover";#N/A,#N/A,FALSE,"Content ";#N/A,#N/A,FALSE,"E&amp;C Op Stat";#N/A,#N/A,FALSE,"Telcos Op Stat";#N/A,#N/A,FALSE,"Media Op Stat";#N/A,#N/A,FALSE,"Oil Op Stat";#N/A,#N/A,FALSE,"Utilities Op Stat";#N/A,#N/A,FALSE,"E&amp;C Ord An";#N/A,#N/A,FALSE,"E&amp;C Debt Nar";#N/A,#N/A,FALSE,"E&amp;C Debtors";#N/A,#N/A,FALSE,"E&amp;C CO Debt";#N/A,#N/A,FALSE,"Telcos Presales";#N/A,#N/A,FALSE,"Oil Presales";#N/A,#N/A,FALSE,"Utilities Presales"}</definedName>
    <definedName name="__a123456" localSheetId="8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a123456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a2" localSheetId="8" hidden="1">{#N/A,#N/A,TRUE,"Voorblad B";#N/A,#N/A,TRUE,"Table of Content FinCom B";#N/A,#N/A,TRUE,"A3-P&amp;L by Bus.Unt-Serv.Unt";#N/A,#N/A,TRUE,"Summary carrier service";#N/A,#N/A,TRUE,"Summary Large accounts";#N/A,#N/A,TRUE,"Summary Consumer";#N/A,#N/A,TRUE,"Mobile";#N/A,#N/A,TRUE,"B5-Mobile(1) ";#N/A,#N/A,TRUE,"B4-GM per Product";#N/A,#N/A,TRUE,"Summary N&amp;S";#N/A,#N/A,TRUE,"B15-Network ";#N/A,#N/A,TRUE,"Summary ITbilling";#N/A,#N/A,TRUE,"Billing backlog";#N/A,#N/A,TRUE,"Summary Corporate";#N/A,#N/A,TRUE,"A5-Bal_Sheet CF";#N/A,#N/A,TRUE,"A6-Bal_Sheet CF by Old org. ";#N/A,#N/A,TRUE,"P13-Funding- Inter.";#N/A,#N/A,TRUE,"P14-Risk &amp; Fraud Fixed";#N/A,#N/A,TRUE,"P14-Risk &amp; Fraud Mobile";#N/A,#N/A,TRUE,"Accounts payable"}</definedName>
    <definedName name="__a2" hidden="1">{#N/A,#N/A,TRUE,"Voorblad B";#N/A,#N/A,TRUE,"Table of Content FinCom B";#N/A,#N/A,TRUE,"A3-P&amp;L by Bus.Unt-Serv.Unt";#N/A,#N/A,TRUE,"Summary carrier service";#N/A,#N/A,TRUE,"Summary Large accounts";#N/A,#N/A,TRUE,"Summary Consumer";#N/A,#N/A,TRUE,"Mobile";#N/A,#N/A,TRUE,"B5-Mobile(1) ";#N/A,#N/A,TRUE,"B4-GM per Product";#N/A,#N/A,TRUE,"Summary N&amp;S";#N/A,#N/A,TRUE,"B15-Network ";#N/A,#N/A,TRUE,"Summary ITbilling";#N/A,#N/A,TRUE,"Billing backlog";#N/A,#N/A,TRUE,"Summary Corporate";#N/A,#N/A,TRUE,"A5-Bal_Sheet CF";#N/A,#N/A,TRUE,"A6-Bal_Sheet CF by Old org. ";#N/A,#N/A,TRUE,"P13-Funding- Inter.";#N/A,#N/A,TRUE,"P14-Risk &amp; Fraud Fixed";#N/A,#N/A,TRUE,"P14-Risk &amp; Fraud Mobile";#N/A,#N/A,TRUE,"Accounts payable"}</definedName>
    <definedName name="__a234" localSheetId="8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a234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a345" localSheetId="8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a345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a456" localSheetId="8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a456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a567" localSheetId="8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a567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a678" localSheetId="8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a678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a789" localSheetId="8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a789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a890" localSheetId="8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a89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aa1" localSheetId="8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aa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aaa1" localSheetId="7" hidden="1">{#N/A,#N/A,FALSE,"REPORT"}</definedName>
    <definedName name="__aaa1" localSheetId="8" hidden="1">{#N/A,#N/A,FALSE,"REPORT"}</definedName>
    <definedName name="__aaa1" hidden="1">{#N/A,#N/A,FALSE,"REPORT"}</definedName>
    <definedName name="__aas1" localSheetId="7" hidden="1">{#N/A,#N/A,FALSE,"REPORT"}</definedName>
    <definedName name="__aas1" localSheetId="8" hidden="1">{#N/A,#N/A,FALSE,"REPORT"}</definedName>
    <definedName name="__aas1" hidden="1">{#N/A,#N/A,FALSE,"REPORT"}</definedName>
    <definedName name="__abc1" localSheetId="8" hidden="1">{"detail",#N/A,FALSE,"mfg";"summary",#N/A,FALSE,"mfg"}</definedName>
    <definedName name="__abc1" hidden="1">{"detail",#N/A,FALSE,"mfg";"summary",#N/A,FALSE,"mfg"}</definedName>
    <definedName name="__abc2" localSheetId="8" hidden="1">{"detail",#N/A,FALSE,"mfg";"summary",#N/A,FALSE,"mfg"}</definedName>
    <definedName name="__abc2" hidden="1">{"detail",#N/A,FALSE,"mfg";"summary",#N/A,FALSE,"mfg"}</definedName>
    <definedName name="__abc2_1" localSheetId="8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__abc2_1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__abc3" localSheetId="8" hidden="1">{"detail",#N/A,FALSE,"mfg";"summary",#N/A,FALSE,"mfg"}</definedName>
    <definedName name="__abc3" hidden="1">{"detail",#N/A,FALSE,"mfg";"summary",#N/A,FALSE,"mfg"}</definedName>
    <definedName name="__ac1" localSheetId="8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__ac1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__ACS2000" localSheetId="7" hidden="1">{#N/A,#N/A,FALSE,"REPORT"}</definedName>
    <definedName name="__ACS2000" localSheetId="8" hidden="1">{#N/A,#N/A,FALSE,"REPORT"}</definedName>
    <definedName name="__ACS2000" hidden="1">{#N/A,#N/A,FALSE,"REPORT"}</definedName>
    <definedName name="__adf1" localSheetId="8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_adf1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_ap2" localSheetId="8" hidden="1">{"detail",#N/A,FALSE,"mfg";"summary",#N/A,FALSE,"mfg"}</definedName>
    <definedName name="__ap2" hidden="1">{"detail",#N/A,FALSE,"mfg";"summary",#N/A,FALSE,"mfg"}</definedName>
    <definedName name="__APW_RESTORE_DATA1000__" hidden="1">#REF!,#REF!,#REF!,#REF!,#REF!,#REF!,#REF!,#REF!,#REF!,#REF!,#REF!,#REF!,#REF!,#REF!,#REF!</definedName>
    <definedName name="__APW_RESTORE_DATA1001__" hidden="1">#REF!,#REF!,#REF!,#REF!,#REF!,#REF!,#REF!,#REF!,#REF!,#REF!,#REF!,#REF!,#REF!,#REF!,#REF!</definedName>
    <definedName name="__APW_RESTORE_DATA1002__" hidden="1">#REF!,#REF!,#REF!,#REF!,#REF!,#REF!,#REF!,#REF!,#REF!,#REF!,#REF!,#REF!,#REF!,#REF!,#REF!</definedName>
    <definedName name="__APW_RESTORE_DATA1003__" hidden="1">#REF!,#REF!,#REF!,#REF!,#REF!,#REF!,#REF!,#REF!,#REF!,#REF!,#REF!,#REF!,#REF!,#REF!,#REF!</definedName>
    <definedName name="__APW_RESTORE_DATA1004__" hidden="1">#REF!,#REF!,#REF!,#REF!,#REF!,#REF!,#REF!,#REF!,#REF!,#REF!,#REF!,#REF!,#REF!,#REF!,#REF!</definedName>
    <definedName name="__APW_RESTORE_DATA1005__" hidden="1">#REF!,#REF!,#REF!,#REF!,#REF!,#REF!,#REF!,#REF!,#REF!,#REF!,#REF!,#REF!,#REF!,#REF!,#REF!</definedName>
    <definedName name="__APW_RESTORE_DATA1006__" hidden="1">#REF!,#REF!,#REF!,#REF!,#REF!,#REF!,#REF!,#REF!,#REF!,#REF!,#REF!,#REF!,#REF!,#REF!,#REF!</definedName>
    <definedName name="__APW_RESTORE_DATA1007__" hidden="1">#REF!,#REF!,#REF!,#REF!,#REF!,#REF!,#REF!,#REF!,#REF!,#REF!,#REF!,#REF!,#REF!,#REF!,#REF!</definedName>
    <definedName name="__APW_RESTORE_DATA1008__" hidden="1">#REF!,#REF!,#REF!,#REF!,#REF!,#REF!,#REF!,#REF!,#REF!,#REF!,#REF!,#REF!,#REF!,#REF!,#REF!</definedName>
    <definedName name="__APW_RESTORE_DATA1009__" hidden="1">#REF!,#REF!,#REF!,#REF!,#REF!,#REF!,#REF!,#REF!,#REF!,#REF!,#REF!,#REF!,#REF!,#REF!,#REF!</definedName>
    <definedName name="__APW_RESTORE_DATA1010__" hidden="1">#REF!,#REF!,#REF!,#REF!,#REF!,#REF!,#REF!,#REF!,#REF!,#REF!,#REF!,#REF!,#REF!,#REF!,#REF!</definedName>
    <definedName name="__APW_RESTORE_DATA1011__" hidden="1">#REF!,#REF!,#REF!,#REF!,#REF!,#REF!,#REF!,#REF!,#REF!,#REF!,#REF!,#REF!,#REF!,#REF!,#REF!</definedName>
    <definedName name="__APW_RESTORE_DATA1012__" hidden="1">#REF!,#REF!,#REF!,#REF!,#REF!,#REF!,#REF!,#REF!,#REF!,#REF!,#REF!,#REF!,#REF!,#REF!,#REF!</definedName>
    <definedName name="__APW_RESTORE_DATA1013__" hidden="1">#REF!,#REF!,#REF!,#REF!,#REF!,#REF!,#REF!,#REF!,#REF!,#REF!,#REF!,#REF!,#REF!,#REF!,#REF!</definedName>
    <definedName name="__APW_RESTORE_DATA1014__" hidden="1">#REF!,#REF!,#REF!,#REF!,#REF!,#REF!,#REF!,#REF!,#REF!,#REF!,#REF!,#REF!,#REF!,#REF!,#REF!</definedName>
    <definedName name="__APW_RESTORE_DATA1015__" hidden="1">#REF!,#REF!,#REF!,#REF!,#REF!,#REF!,#REF!,#REF!,#REF!,#REF!,#REF!,#REF!,#REF!,#REF!,#REF!</definedName>
    <definedName name="__APW_RESTORE_DATA1016__" hidden="1">#REF!,#REF!,#REF!,#REF!,#REF!,#REF!,#REF!,#REF!,#REF!,#REF!,#REF!,#REF!,#REF!,#REF!,#REF!</definedName>
    <definedName name="__APW_RESTORE_DATA1017__" hidden="1">#REF!,#REF!,#REF!,#REF!,#REF!,#REF!,#REF!,#REF!,#REF!,#REF!,#REF!,#REF!,#REF!,#REF!,#REF!</definedName>
    <definedName name="__APW_RESTORE_DATA1018__" hidden="1">#REF!,#REF!,#REF!,#REF!,#REF!,#REF!,#REF!,#REF!,#REF!,#REF!,#REF!,#REF!,#REF!,#REF!,#REF!</definedName>
    <definedName name="__APW_RESTORE_DATA1019__" hidden="1">#REF!,#REF!,#REF!,#REF!,#REF!,#REF!,#REF!,#REF!,#REF!,#REF!,#REF!,#REF!,#REF!,#REF!,#REF!</definedName>
    <definedName name="__APW_RESTORE_DATA1020__" hidden="1">#REF!,#REF!,#REF!,#REF!,#REF!,#REF!,#REF!,#REF!,#REF!,#REF!,#REF!,#REF!,#REF!,#REF!,#REF!</definedName>
    <definedName name="__APW_RESTORE_DATA1021__" hidden="1">#REF!,#REF!,#REF!,#REF!,#REF!,#REF!,#REF!,#REF!,#REF!,#REF!,#REF!,#REF!,#REF!,#REF!,#REF!</definedName>
    <definedName name="__APW_RESTORE_DATA1022__" hidden="1">#REF!,#REF!,#REF!,#REF!,#REF!,#REF!,#REF!,#REF!,#REF!,#REF!,#REF!,#REF!,#REF!,#REF!,#REF!</definedName>
    <definedName name="__APW_RESTORE_DATA1023__" hidden="1">#REF!,#REF!,#REF!,#REF!,#REF!,#REF!,#REF!,#REF!,#REF!,#REF!,#REF!,#REF!,#REF!,#REF!,#REF!</definedName>
    <definedName name="__APW_RESTORE_DATA1024__" hidden="1">#REF!,#REF!,#REF!,#REF!,#REF!,#REF!,#REF!,#REF!,#REF!,#REF!,#REF!,#REF!,#REF!,#REF!,#REF!</definedName>
    <definedName name="__APW_RESTORE_DATA1025__" hidden="1">#REF!,#REF!,#REF!,#REF!,#REF!,#REF!,#REF!,#REF!,#REF!,#REF!,#REF!,#REF!,#REF!,#REF!,#REF!</definedName>
    <definedName name="__APW_RESTORE_DATA1026__" hidden="1">#REF!,#REF!,#REF!,#REF!,#REF!,#REF!,#REF!,#REF!,#REF!,#REF!,#REF!,#REF!,#REF!,#REF!,#REF!</definedName>
    <definedName name="__APW_RESTORE_DATA1027__" hidden="1">#REF!,#REF!,#REF!,#REF!,#REF!,#REF!,#REF!,#REF!,#REF!,#REF!,#REF!,#REF!,#REF!,#REF!,#REF!</definedName>
    <definedName name="__APW_RESTORE_DATA1028__" hidden="1">#REF!,#REF!,#REF!,#REF!,#REF!,#REF!,#REF!,#REF!,#REF!,#REF!,#REF!,#REF!,#REF!,#REF!,#REF!</definedName>
    <definedName name="__APW_RESTORE_DATA1029__" hidden="1">#REF!,#REF!,#REF!,#REF!,#REF!,#REF!,#REF!,#REF!,#REF!,#REF!,#REF!,#REF!,#REF!,#REF!,#REF!</definedName>
    <definedName name="__APW_RESTORE_DATA1030__" hidden="1">#REF!,#REF!,#REF!,#REF!,#REF!,#REF!,#REF!,#REF!,#REF!,#REF!,#REF!,#REF!,#REF!,#REF!,#REF!</definedName>
    <definedName name="__APW_RESTORE_DATA1031__" hidden="1">#REF!,#REF!,#REF!,#REF!,#REF!,#REF!,#REF!,#REF!,#REF!,#REF!,#REF!,#REF!,#REF!,#REF!,#REF!</definedName>
    <definedName name="__APW_RESTORE_DATA1032__" hidden="1">#REF!,#REF!,#REF!,#REF!,#REF!,#REF!,#REF!,#REF!,#REF!,#REF!,#REF!,#REF!,#REF!,#REF!,#REF!</definedName>
    <definedName name="__APW_RESTORE_DATA1033__" hidden="1">#REF!,#REF!,#REF!,#REF!,#REF!,#REF!,#REF!,#REF!,#REF!,#REF!,#REF!,#REF!,#REF!,#REF!,#REF!</definedName>
    <definedName name="__APW_RESTORE_DATA1034__" hidden="1">#REF!,#REF!,#REF!,#REF!,#REF!,#REF!,#REF!,#REF!,#REF!,#REF!,#REF!,#REF!,#REF!,#REF!,#REF!</definedName>
    <definedName name="__APW_RESTORE_DATA1035__" hidden="1">#REF!,#REF!,#REF!,#REF!,#REF!,#REF!,#REF!,#REF!,#REF!,#REF!,#REF!,#REF!,#REF!,#REF!,#REF!</definedName>
    <definedName name="__APW_RESTORE_DATA1036__" hidden="1">#REF!,#REF!,#REF!,#REF!,#REF!,#REF!,#REF!,#REF!,#REF!,#REF!,#REF!,#REF!,#REF!,#REF!,#REF!</definedName>
    <definedName name="__APW_RESTORE_DATA1037__" hidden="1">#REF!,#REF!,#REF!,#REF!,#REF!,#REF!,#REF!,#REF!,#REF!,#REF!,#REF!,#REF!,#REF!,#REF!,#REF!</definedName>
    <definedName name="__APW_RESTORE_DATA1038__" hidden="1">#REF!,#REF!,#REF!,#REF!,#REF!,#REF!,#REF!,#REF!,#REF!,#REF!,#REF!,#REF!,#REF!,#REF!,#REF!</definedName>
    <definedName name="__APW_RESTORE_DATA1039__" hidden="1">#REF!,#REF!,#REF!,#REF!,#REF!,#REF!,#REF!,#REF!,#REF!,#REF!,#REF!,#REF!,#REF!,#REF!,#REF!</definedName>
    <definedName name="__APW_RESTORE_DATA1040__" hidden="1">#REF!,#REF!,#REF!,#REF!,#REF!,#REF!,#REF!,#REF!,#REF!,#REF!,#REF!,#REF!,#REF!,#REF!,#REF!</definedName>
    <definedName name="__APW_RESTORE_DATA1041__" hidden="1">#REF!,#REF!,#REF!,#REF!,#REF!,#REF!,#REF!,#REF!,#REF!,#REF!,#REF!,#REF!,#REF!,#REF!,#REF!</definedName>
    <definedName name="__APW_RESTORE_DATA1042__" hidden="1">#REF!,#REF!,#REF!,#REF!,#REF!,#REF!,#REF!,#REF!,#REF!,#REF!,#REF!,#REF!,#REF!,#REF!,#REF!</definedName>
    <definedName name="__APW_RESTORE_DATA1043__" hidden="1">#REF!,#REF!,#REF!,#REF!,#REF!,#REF!,#REF!,#REF!,#REF!,#REF!,#REF!,#REF!,#REF!,#REF!,#REF!</definedName>
    <definedName name="__APW_RESTORE_DATA1044__" hidden="1">#REF!,#REF!,#REF!,#REF!,#REF!,#REF!,#REF!,#REF!,#REF!,#REF!,#REF!,#REF!,#REF!,#REF!,#REF!</definedName>
    <definedName name="__APW_RESTORE_DATA1045__" hidden="1">#REF!,#REF!,#REF!,#REF!,#REF!,#REF!,#REF!,#REF!,#REF!,#REF!,#REF!,#REF!,#REF!,#REF!,#REF!</definedName>
    <definedName name="__APW_RESTORE_DATA1046__" hidden="1">#REF!,#REF!,#REF!,#REF!,#REF!</definedName>
    <definedName name="__APW_RESTORE_DATA1048__" hidden="1">#REF!,#REF!,#REF!,#REF!,#REF!</definedName>
    <definedName name="__APW_RESTORE_DATA1049__" hidden="1">#REF!,#REF!,#REF!,#REF!,#REF!,#REF!,#REF!,#REF!,#REF!,#REF!,#REF!,#REF!,#REF!,#REF!,#REF!,#REF!</definedName>
    <definedName name="__APW_RESTORE_DATA1050__" hidden="1">#REF!,#REF!,#REF!,#REF!,#REF!,#REF!,#REF!,#REF!,#REF!,#REF!,#REF!,#REF!,#REF!,#REF!,#REF!,#REF!</definedName>
    <definedName name="__APW_RESTORE_DATA1051__" hidden="1">#REF!,#REF!,#REF!,#REF!,#REF!,#REF!,#REF!,#REF!,#REF!,#REF!,#REF!,#REF!,#REF!,#REF!,#REF!,#REF!</definedName>
    <definedName name="__APW_RESTORE_DATA1052__" hidden="1">#REF!,#REF!,#REF!,#REF!,#REF!,#REF!,#REF!,#REF!,#REF!,#REF!,#REF!,#REF!,#REF!,#REF!,#REF!,#REF!</definedName>
    <definedName name="__APW_RESTORE_DATA1053__" hidden="1">#REF!,#REF!,#REF!,#REF!,#REF!,#REF!,#REF!,#REF!,#REF!,#REF!,#REF!,#REF!,#REF!,#REF!,#REF!,#REF!</definedName>
    <definedName name="__APW_RESTORE_DATA1054__" hidden="1">#REF!,#REF!,#REF!,#REF!,#REF!,#REF!,#REF!,#REF!,#REF!,#REF!,#REF!,#REF!,#REF!,#REF!,#REF!</definedName>
    <definedName name="__APW_RESTORE_DATA1055__" hidden="1">#REF!,#REF!,#REF!,#REF!,#REF!,#REF!,#REF!,#REF!,#REF!,#REF!,#REF!,#REF!,#REF!,#REF!,#REF!</definedName>
    <definedName name="__APW_RESTORE_DATA1056__" hidden="1">#REF!,#REF!,#REF!,#REF!,#REF!,#REF!,#REF!,#REF!,#REF!,#REF!,#REF!,#REF!,#REF!,#REF!,#REF!</definedName>
    <definedName name="__APW_RESTORE_DATA1057__" hidden="1">#REF!,#REF!,#REF!,#REF!,#REF!,#REF!,#REF!,#REF!,#REF!,#REF!,#REF!,#REF!,#REF!,#REF!,#REF!</definedName>
    <definedName name="__APW_RESTORE_DATA1058__" hidden="1">#REF!,#REF!,#REF!,#REF!,#REF!,#REF!,#REF!,#REF!,#REF!,#REF!,#REF!,#REF!,#REF!,#REF!,#REF!</definedName>
    <definedName name="__APW_RESTORE_DATA1059__" hidden="1">#REF!,#REF!,#REF!,#REF!,#REF!,#REF!,#REF!,#REF!,#REF!,#REF!,#REF!,#REF!,#REF!,#REF!,#REF!</definedName>
    <definedName name="__APW_RESTORE_DATA1060__" hidden="1">#REF!,#REF!,#REF!,#REF!,#REF!,#REF!,#REF!,#REF!,#REF!,#REF!,#REF!,#REF!,#REF!,#REF!,#REF!</definedName>
    <definedName name="__APW_RESTORE_DATA1061__" hidden="1">#REF!,#REF!,#REF!,#REF!,#REF!,#REF!,#REF!,#REF!,#REF!,#REF!,#REF!,#REF!,#REF!,#REF!,#REF!</definedName>
    <definedName name="__APW_RESTORE_DATA1062__" hidden="1">#REF!,#REF!,#REF!,#REF!,#REF!,#REF!,#REF!,#REF!,#REF!,#REF!,#REF!,#REF!,#REF!,#REF!,#REF!</definedName>
    <definedName name="__APW_RESTORE_DATA1063__" hidden="1">#REF!,#REF!,#REF!,#REF!,#REF!,#REF!,#REF!,#REF!,#REF!,#REF!,#REF!,#REF!,#REF!,#REF!,#REF!</definedName>
    <definedName name="__APW_RESTORE_DATA1064__" hidden="1">#REF!,#REF!,#REF!,#REF!,#REF!,#REF!,#REF!,#REF!,#REF!,#REF!,#REF!,#REF!,#REF!,#REF!,#REF!</definedName>
    <definedName name="__APW_RESTORE_DATA1065__" hidden="1">#REF!,#REF!,#REF!,#REF!,#REF!,#REF!,#REF!,#REF!,#REF!,#REF!</definedName>
    <definedName name="__APW_RESTORE_DATA1066__" hidden="1">#REF!,#REF!,#REF!,#REF!,#REF!,#REF!,#REF!,#REF!,#REF!,#REF!,#REF!,#REF!,#REF!,#REF!,#REF!,#REF!</definedName>
    <definedName name="__APW_RESTORE_DATA1067__" hidden="1">#REF!,#REF!,#REF!,#REF!,#REF!,#REF!,#REF!,#REF!,#REF!,#REF!,#REF!,#REF!,#REF!,#REF!,#REF!,#REF!</definedName>
    <definedName name="__APW_RESTORE_DATA1068__" hidden="1">#REF!,#REF!,#REF!,#REF!,#REF!,#REF!,#REF!,#REF!,#REF!,#REF!,#REF!,#REF!,#REF!,#REF!,#REF!,#REF!</definedName>
    <definedName name="__APW_RESTORE_DATA1069__" hidden="1">#REF!,#REF!,#REF!,#REF!,#REF!,#REF!,#REF!,#REF!,#REF!,#REF!,#REF!,#REF!,#REF!,#REF!,#REF!,#REF!</definedName>
    <definedName name="__APW_RESTORE_DATA1070__" hidden="1">#REF!,#REF!,#REF!,#REF!,#REF!,#REF!,#REF!,#REF!,#REF!,#REF!,#REF!,#REF!,#REF!,#REF!,#REF!,#REF!</definedName>
    <definedName name="__APW_RESTORE_DATA1071__" hidden="1">#REF!,#REF!,#REF!,#REF!,#REF!,#REF!,#REF!,#REF!,#REF!,#REF!,#REF!,#REF!,#REF!,#REF!,#REF!,#REF!</definedName>
    <definedName name="__APW_RESTORE_DATA1072__" hidden="1">#REF!,#REF!,#REF!,#REF!,#REF!,#REF!,#REF!,#REF!,#REF!,#REF!,#REF!,#REF!,#REF!,#REF!,#REF!,#REF!</definedName>
    <definedName name="__APW_RESTORE_DATA1073__" hidden="1">#REF!,#REF!,#REF!,#REF!,#REF!,#REF!,#REF!,#REF!,#REF!,#REF!,#REF!,#REF!,#REF!,#REF!,#REF!,#REF!</definedName>
    <definedName name="__APW_RESTORE_DATA1074__" hidden="1">#REF!,#REF!,#REF!,#REF!,#REF!,#REF!,#REF!,#REF!,#REF!,#REF!,#REF!,#REF!,#REF!,#REF!,#REF!,#REF!</definedName>
    <definedName name="__APW_RESTORE_DATA1075__" hidden="1">#REF!,#REF!,#REF!,#REF!,#REF!,#REF!,#REF!,#REF!,#REF!,#REF!,#REF!,#REF!,#REF!,#REF!,#REF!,#REF!</definedName>
    <definedName name="__APW_RESTORE_DATA1076__" hidden="1">#REF!,#REF!,#REF!,#REF!,#REF!,#REF!,#REF!,#REF!,#REF!,#REF!,#REF!,#REF!,#REF!,#REF!,#REF!,#REF!</definedName>
    <definedName name="__APW_RESTORE_DATA1077__" hidden="1">#REF!,#REF!,#REF!,#REF!,#REF!,#REF!,#REF!,#REF!,#REF!,#REF!,#REF!,#REF!,#REF!,#REF!,#REF!,#REF!</definedName>
    <definedName name="__APW_RESTORE_DATA1078__" hidden="1">#REF!,#REF!,#REF!,#REF!,#REF!,#REF!,#REF!,#REF!,#REF!,#REF!,#REF!,#REF!,#REF!,#REF!,#REF!,#REF!</definedName>
    <definedName name="__APW_RESTORE_DATA1079__" hidden="1">#REF!,#REF!,#REF!,#REF!,#REF!,#REF!,#REF!,#REF!,#REF!,#REF!,#REF!,#REF!,#REF!,#REF!,#REF!,#REF!</definedName>
    <definedName name="__APW_RESTORE_DATA1080__" hidden="1">#REF!,#REF!,#REF!,#REF!,#REF!,#REF!,#REF!,#REF!,#REF!,#REF!,#REF!,#REF!,#REF!,#REF!,#REF!,#REF!</definedName>
    <definedName name="__APW_RESTORE_DATA1081__" hidden="1">#REF!,#REF!,#REF!,#REF!,#REF!,#REF!,#REF!,#REF!,#REF!,#REF!,#REF!,#REF!,#REF!,#REF!,#REF!,#REF!</definedName>
    <definedName name="__APW_RESTORE_DATA1082__" hidden="1">#REF!,#REF!,#REF!,#REF!,#REF!,#REF!,#REF!,#REF!,#REF!,#REF!,#REF!,#REF!,#REF!,#REF!,#REF!,#REF!</definedName>
    <definedName name="__APW_RESTORE_DATA1083__" hidden="1">#REF!,#REF!,#REF!,#REF!,#REF!,#REF!,#REF!,#REF!,#REF!,#REF!,#REF!,#REF!,#REF!,#REF!,#REF!,#REF!</definedName>
    <definedName name="__APW_RESTORE_DATA1084__" hidden="1">#REF!,#REF!,#REF!,#REF!,#REF!,#REF!,#REF!,#REF!,#REF!,#REF!,#REF!,#REF!,#REF!,#REF!,#REF!,#REF!</definedName>
    <definedName name="__APW_RESTORE_DATA1085__" hidden="1">#REF!,#REF!,#REF!,#REF!,#REF!,#REF!,#REF!,#REF!,#REF!,#REF!,#REF!,#REF!,#REF!,#REF!,#REF!,#REF!</definedName>
    <definedName name="__APW_RESTORE_DATA1086__" hidden="1">#REF!,#REF!,#REF!,#REF!,#REF!,#REF!,#REF!,#REF!,#REF!,#REF!,#REF!,#REF!,#REF!,#REF!,#REF!,#REF!</definedName>
    <definedName name="__APW_RESTORE_DATA1087__" hidden="1">#REF!,#REF!,#REF!,#REF!,#REF!,#REF!,#REF!,#REF!,#REF!,#REF!,#REF!,#REF!,#REF!,#REF!,#REF!,#REF!</definedName>
    <definedName name="__APW_RESTORE_DATA1088__" hidden="1">#REF!,#REF!,#REF!,#REF!,#REF!,#REF!,#REF!,#REF!,#REF!,#REF!,#REF!,#REF!,#REF!,#REF!,#REF!,#REF!</definedName>
    <definedName name="__APW_RESTORE_DATA1089__" hidden="1">#REF!,#REF!,#REF!,#REF!,#REF!,#REF!,#REF!,#REF!,#REF!,#REF!,#REF!,#REF!,#REF!,#REF!,#REF!,#REF!</definedName>
    <definedName name="__APW_RESTORE_DATA1090__" hidden="1">#REF!,#REF!,#REF!,#REF!,#REF!,#REF!,#REF!,#REF!,#REF!,#REF!,#REF!,#REF!,#REF!,#REF!,#REF!,#REF!</definedName>
    <definedName name="__APW_RESTORE_DATA1091__" hidden="1">#REF!,#REF!,#REF!,#REF!,#REF!,#REF!,#REF!,#REF!,#REF!,#REF!,#REF!,#REF!,#REF!,#REF!,#REF!</definedName>
    <definedName name="__APW_RESTORE_DATA1092__" hidden="1">#REF!,#REF!,#REF!,#REF!,#REF!,#REF!,#REF!,#REF!,#REF!,#REF!,#REF!,#REF!,#REF!,#REF!,#REF!</definedName>
    <definedName name="__APW_RESTORE_DATA1093__" hidden="1">#REF!,#REF!,#REF!,#REF!,#REF!,#REF!,#REF!,#REF!,#REF!,#REF!,#REF!,#REF!,#REF!,#REF!,#REF!</definedName>
    <definedName name="__APW_RESTORE_DATA1094__" hidden="1">#REF!,#REF!,#REF!,#REF!,#REF!,#REF!,#REF!,#REF!,#REF!,#REF!,#REF!,#REF!,#REF!,#REF!,#REF!</definedName>
    <definedName name="__APW_RESTORE_DATA1095__" hidden="1">#REF!,#REF!,#REF!,#REF!,#REF!,#REF!,#REF!,#REF!,#REF!,#REF!,#REF!,#REF!,#REF!,#REF!,#REF!</definedName>
    <definedName name="__APW_RESTORE_DATA1096__" hidden="1">#REF!,#REF!,#REF!,#REF!,#REF!,#REF!,#REF!,#REF!,#REF!,#REF!,#REF!,#REF!,#REF!,#REF!,#REF!</definedName>
    <definedName name="__APW_RESTORE_DATA1097__" hidden="1">#REF!,#REF!,#REF!,#REF!,#REF!,#REF!,#REF!,#REF!,#REF!,#REF!,#REF!,#REF!,#REF!,#REF!,#REF!</definedName>
    <definedName name="__APW_RESTORE_DATA1098__" hidden="1">#REF!,#REF!,#REF!,#REF!,#REF!,#REF!,#REF!,#REF!,#REF!,#REF!,#REF!,#REF!,#REF!,#REF!,#REF!</definedName>
    <definedName name="__APW_RESTORE_DATA1099__" hidden="1">#REF!,#REF!,#REF!,#REF!,#REF!,#REF!,#REF!,#REF!,#REF!,#REF!,#REF!,#REF!,#REF!,#REF!,#REF!</definedName>
    <definedName name="__APW_RESTORE_DATA1100__" hidden="1">#REF!,#REF!,#REF!,#REF!,#REF!,#REF!,#REF!,#REF!,#REF!,#REF!,#REF!,#REF!,#REF!,#REF!,#REF!</definedName>
    <definedName name="__APW_RESTORE_DATA1101__" hidden="1">#REF!,#REF!,#REF!,#REF!,#REF!,#REF!,#REF!,#REF!,#REF!,#REF!,#REF!,#REF!,#REF!,#REF!,#REF!</definedName>
    <definedName name="__APW_RESTORE_DATA1102__" hidden="1">#REF!,#REF!,#REF!,#REF!,#REF!,#REF!,#REF!,#REF!,#REF!,#REF!,#REF!,#REF!,#REF!,#REF!,#REF!</definedName>
    <definedName name="__APW_RESTORE_DATA1103__" hidden="1">#REF!,#REF!,#REF!,#REF!,#REF!,#REF!,#REF!,#REF!,#REF!,#REF!,#REF!,#REF!,#REF!,#REF!,#REF!</definedName>
    <definedName name="__APW_RESTORE_DATA1104__" hidden="1">#REF!,#REF!,#REF!,#REF!,#REF!,#REF!,#REF!,#REF!,#REF!,#REF!,#REF!,#REF!,#REF!,#REF!,#REF!</definedName>
    <definedName name="__APW_RESTORE_DATA1105__" hidden="1">#REF!,#REF!,#REF!,#REF!,#REF!,#REF!,#REF!,#REF!,#REF!,#REF!,#REF!,#REF!,#REF!,#REF!,#REF!</definedName>
    <definedName name="__APW_RESTORE_DATA1106__" hidden="1">#REF!,#REF!,#REF!,#REF!,#REF!,#REF!,#REF!,#REF!,#REF!,#REF!,#REF!,#REF!,#REF!,#REF!,#REF!</definedName>
    <definedName name="__APW_RESTORE_DATA1107__" hidden="1">#REF!,#REF!,#REF!,#REF!,#REF!,#REF!,#REF!,#REF!,#REF!,#REF!,#REF!,#REF!,#REF!,#REF!,#REF!</definedName>
    <definedName name="__APW_RESTORE_DATA1108__" hidden="1">#REF!,#REF!,#REF!,#REF!,#REF!,#REF!,#REF!,#REF!,#REF!,#REF!,#REF!,#REF!,#REF!,#REF!,#REF!</definedName>
    <definedName name="__APW_RESTORE_DATA1109__" hidden="1">#REF!,#REF!,#REF!,#REF!,#REF!,#REF!,#REF!,#REF!,#REF!,#REF!,#REF!,#REF!,#REF!,#REF!,#REF!</definedName>
    <definedName name="__APW_RESTORE_DATA1110__" hidden="1">#REF!,#REF!,#REF!,#REF!,#REF!,#REF!,#REF!,#REF!,#REF!,#REF!,#REF!,#REF!,#REF!,#REF!,#REF!</definedName>
    <definedName name="__APW_RESTORE_DATA1111__" hidden="1">#REF!,#REF!,#REF!,#REF!,#REF!,#REF!,#REF!,#REF!,#REF!,#REF!,#REF!,#REF!,#REF!,#REF!,#REF!</definedName>
    <definedName name="__APW_RESTORE_DATA1112__" hidden="1">#REF!,#REF!,#REF!,#REF!,#REF!,#REF!,#REF!,#REF!,#REF!,#REF!,#REF!,#REF!,#REF!,#REF!,#REF!</definedName>
    <definedName name="__APW_RESTORE_DATA1113__" hidden="1">#REF!,#REF!,#REF!,#REF!,#REF!,#REF!,#REF!,#REF!,#REF!,#REF!,#REF!,#REF!,#REF!,#REF!,#REF!</definedName>
    <definedName name="__APW_RESTORE_DATA1114__" hidden="1">#REF!,#REF!,#REF!,#REF!,#REF!,#REF!,#REF!,#REF!,#REF!,#REF!,#REF!,#REF!,#REF!,#REF!,#REF!</definedName>
    <definedName name="__APW_RESTORE_DATA1115__" hidden="1">#REF!,#REF!,#REF!,#REF!,#REF!,#REF!,#REF!,#REF!,#REF!,#REF!,#REF!,#REF!,#REF!,#REF!,#REF!</definedName>
    <definedName name="__APW_RESTORE_DATA1116__" hidden="1">#REF!,#REF!,#REF!,#REF!,#REF!,#REF!,#REF!,#REF!,#REF!,#REF!,#REF!,#REF!,#REF!,#REF!,#REF!</definedName>
    <definedName name="__APW_RESTORE_DATA1117__" hidden="1">#REF!,#REF!,#REF!,#REF!,#REF!,#REF!,#REF!,#REF!,#REF!,#REF!,#REF!,#REF!,#REF!,#REF!,#REF!</definedName>
    <definedName name="__APW_RESTORE_DATA1118__" hidden="1">#REF!,#REF!,#REF!,#REF!,#REF!,#REF!,#REF!,#REF!,#REF!,#REF!,#REF!,#REF!,#REF!,#REF!,#REF!</definedName>
    <definedName name="__APW_RESTORE_DATA1119__" hidden="1">#REF!,#REF!,#REF!,#REF!,#REF!,#REF!,#REF!,#REF!,#REF!,#REF!,#REF!,#REF!,#REF!,#REF!,#REF!</definedName>
    <definedName name="__APW_RESTORE_DATA1120__" hidden="1">#REF!,#REF!,#REF!,#REF!,#REF!,#REF!,#REF!,#REF!,#REF!,#REF!,#REF!,#REF!,#REF!,#REF!,#REF!</definedName>
    <definedName name="__APW_RESTORE_DATA1121__" hidden="1">#REF!,#REF!,#REF!,#REF!,#REF!,#REF!,#REF!,#REF!,#REF!,#REF!,#REF!,#REF!,#REF!,#REF!,#REF!</definedName>
    <definedName name="__APW_RESTORE_DATA1122__" hidden="1">#REF!,#REF!,#REF!,#REF!,#REF!,#REF!,#REF!,#REF!,#REF!,#REF!,#REF!,#REF!,#REF!,#REF!,#REF!</definedName>
    <definedName name="__APW_RESTORE_DATA1123__" hidden="1">#REF!,#REF!,#REF!,#REF!,#REF!,#REF!,#REF!,#REF!,#REF!,#REF!,#REF!,#REF!,#REF!,#REF!,#REF!</definedName>
    <definedName name="__APW_RESTORE_DATA1124__" hidden="1">#REF!,#REF!,#REF!,#REF!,#REF!,#REF!,#REF!,#REF!,#REF!,#REF!,#REF!,#REF!,#REF!,#REF!,#REF!</definedName>
    <definedName name="__APW_RESTORE_DATA1125__" hidden="1">#REF!,#REF!,#REF!,#REF!,#REF!,#REF!,#REF!,#REF!,#REF!,#REF!,#REF!,#REF!,#REF!,#REF!,#REF!</definedName>
    <definedName name="__APW_RESTORE_DATA1126__" hidden="1">#REF!,#REF!,#REF!,#REF!,#REF!,#REF!,#REF!,#REF!,#REF!,#REF!,#REF!,#REF!,#REF!,#REF!,#REF!</definedName>
    <definedName name="__APW_RESTORE_DATA1127__" hidden="1">#REF!,#REF!,#REF!,#REF!,#REF!,#REF!,#REF!,#REF!,#REF!,#REF!,#REF!,#REF!,#REF!,#REF!,#REF!</definedName>
    <definedName name="__APW_RESTORE_DATA1128__" hidden="1">#REF!,#REF!,#REF!,#REF!,#REF!,#REF!,#REF!,#REF!,#REF!,#REF!,#REF!,#REF!,#REF!,#REF!,#REF!</definedName>
    <definedName name="__APW_RESTORE_DATA1129__" hidden="1">#REF!,#REF!,#REF!,#REF!,#REF!,#REF!,#REF!,#REF!,#REF!,#REF!,#REF!,#REF!,#REF!,#REF!,#REF!</definedName>
    <definedName name="__APW_RESTORE_DATA1130__" hidden="1">#REF!,#REF!,#REF!,#REF!,#REF!,#REF!,#REF!,#REF!,#REF!,#REF!,#REF!,#REF!,#REF!,#REF!,#REF!</definedName>
    <definedName name="__APW_RESTORE_DATA1131__" hidden="1">#REF!,#REF!,#REF!,#REF!,#REF!,#REF!,#REF!,#REF!,#REF!,#REF!,#REF!,#REF!,#REF!,#REF!,#REF!</definedName>
    <definedName name="__APW_RESTORE_DATA1132__" hidden="1">#REF!,#REF!,#REF!,#REF!,#REF!,#REF!,#REF!,#REF!,#REF!,#REF!,#REF!,#REF!,#REF!,#REF!,#REF!</definedName>
    <definedName name="__APW_RESTORE_DATA1133__" hidden="1">#REF!,#REF!,#REF!,#REF!,#REF!,#REF!,#REF!,#REF!,#REF!,#REF!,#REF!,#REF!,#REF!,#REF!,#REF!</definedName>
    <definedName name="__APW_RESTORE_DATA1134__" hidden="1">#REF!,#REF!,#REF!,#REF!,#REF!,#REF!,#REF!,#REF!,#REF!,#REF!,#REF!,#REF!,#REF!,#REF!,#REF!</definedName>
    <definedName name="__APW_RESTORE_DATA1135__" hidden="1">#REF!,#REF!,#REF!,#REF!,#REF!,#REF!,#REF!,#REF!,#REF!,#REF!,#REF!,#REF!,#REF!,#REF!,#REF!</definedName>
    <definedName name="__APW_RESTORE_DATA1136__" hidden="1">#REF!,#REF!,#REF!,#REF!,#REF!,#REF!,#REF!,#REF!,#REF!,#REF!,#REF!,#REF!,#REF!,#REF!,#REF!</definedName>
    <definedName name="__APW_RESTORE_DATA1137__" hidden="1">#REF!,#REF!,#REF!,#REF!,#REF!,#REF!,#REF!,#REF!,#REF!,#REF!,#REF!,#REF!,#REF!,#REF!,#REF!</definedName>
    <definedName name="__APW_RESTORE_DATA1138__" hidden="1">#REF!,#REF!,#REF!,#REF!,#REF!,#REF!,#REF!,#REF!,#REF!,#REF!,#REF!,#REF!,#REF!,#REF!,#REF!</definedName>
    <definedName name="__APW_RESTORE_DATA1139__" hidden="1">#REF!,#REF!,#REF!,#REF!,#REF!,#REF!,#REF!,#REF!,#REF!,#REF!,#REF!,#REF!,#REF!,#REF!,#REF!</definedName>
    <definedName name="__APW_RESTORE_DATA1140__" hidden="1">#REF!,#REF!,#REF!,#REF!,#REF!,#REF!,#REF!,#REF!,#REF!,#REF!,#REF!,#REF!,#REF!,#REF!,#REF!</definedName>
    <definedName name="__APW_RESTORE_DATA1141__" hidden="1">#REF!,#REF!,#REF!,#REF!,#REF!,#REF!,#REF!,#REF!,#REF!,#REF!,#REF!,#REF!,#REF!,#REF!,#REF!</definedName>
    <definedName name="__APW_RESTORE_DATA1142__" hidden="1">#REF!,#REF!,#REF!,#REF!,#REF!,#REF!,#REF!,#REF!,#REF!,#REF!,#REF!,#REF!,#REF!,#REF!,#REF!</definedName>
    <definedName name="__APW_RESTORE_DATA1143__" hidden="1">#REF!,#REF!,#REF!,#REF!,#REF!,#REF!,#REF!,#REF!,#REF!,#REF!,#REF!,#REF!,#REF!,#REF!,#REF!</definedName>
    <definedName name="__APW_RESTORE_DATA1144__" hidden="1">#REF!,#REF!,#REF!,#REF!,#REF!,#REF!,#REF!,#REF!,#REF!,#REF!,#REF!,#REF!,#REF!,#REF!,#REF!</definedName>
    <definedName name="__APW_RESTORE_DATA1145__" hidden="1">#REF!,#REF!,#REF!,#REF!,#REF!,#REF!,#REF!,#REF!,#REF!,#REF!,#REF!,#REF!,#REF!,#REF!,#REF!</definedName>
    <definedName name="__APW_RESTORE_DATA1146__" hidden="1">#REF!,#REF!,#REF!,#REF!,#REF!,#REF!,#REF!,#REF!,#REF!,#REF!,#REF!,#REF!,#REF!,#REF!,#REF!</definedName>
    <definedName name="__APW_RESTORE_DATA1147__" hidden="1">#REF!,#REF!,#REF!,#REF!,#REF!,#REF!,#REF!,#REF!,#REF!,#REF!,#REF!,#REF!,#REF!,#REF!,#REF!</definedName>
    <definedName name="__APW_RESTORE_DATA1148__" hidden="1">#REF!,#REF!,#REF!,#REF!,#REF!,#REF!,#REF!,#REF!,#REF!,#REF!,#REF!,#REF!,#REF!,#REF!,#REF!</definedName>
    <definedName name="__APW_RESTORE_DATA1149__" hidden="1">#REF!,#REF!,#REF!,#REF!,#REF!</definedName>
    <definedName name="__APW_RESTORE_DATA1182__" hidden="1">#REF!,#REF!,#REF!,#REF!,#REF!</definedName>
    <definedName name="__APW_RESTORE_DATA945__" hidden="1">#REF!,#REF!,#REF!,#REF!,#REF!</definedName>
    <definedName name="__APW_RESTORE_DATA946__" hidden="1">#REF!,#REF!,#REF!,#REF!,#REF!,#REF!,#REF!,#REF!,#REF!,#REF!,#REF!,#REF!,#REF!,#REF!,#REF!,#REF!</definedName>
    <definedName name="__APW_RESTORE_DATA947__" hidden="1">#REF!,#REF!,#REF!,#REF!,#REF!,#REF!,#REF!,#REF!,#REF!,#REF!,#REF!,#REF!,#REF!,#REF!,#REF!,#REF!</definedName>
    <definedName name="__APW_RESTORE_DATA948__" hidden="1">#REF!,#REF!,#REF!,#REF!,#REF!,#REF!,#REF!,#REF!,#REF!,#REF!,#REF!,#REF!,#REF!,#REF!,#REF!,#REF!</definedName>
    <definedName name="__APW_RESTORE_DATA949__" hidden="1">#REF!,#REF!,#REF!,#REF!,#REF!,#REF!,#REF!,#REF!,#REF!,#REF!,#REF!,#REF!,#REF!,#REF!,#REF!,#REF!</definedName>
    <definedName name="__APW_RESTORE_DATA950__" hidden="1">#REF!,#REF!,#REF!,#REF!,#REF!,#REF!,#REF!,#REF!,#REF!,#REF!,#REF!,#REF!,#REF!,#REF!,#REF!,#REF!</definedName>
    <definedName name="__APW_RESTORE_DATA951__" hidden="1">#REF!,#REF!,#REF!,#REF!,#REF!,#REF!,#REF!,#REF!,#REF!,#REF!,#REF!,#REF!,#REF!,#REF!,#REF!</definedName>
    <definedName name="__APW_RESTORE_DATA952__" hidden="1">#REF!,#REF!,#REF!,#REF!,#REF!,#REF!,#REF!,#REF!,#REF!,#REF!,#REF!,#REF!,#REF!,#REF!,#REF!</definedName>
    <definedName name="__APW_RESTORE_DATA953__" hidden="1">#REF!,#REF!,#REF!,#REF!,#REF!,#REF!,#REF!,#REF!,#REF!,#REF!,#REF!,#REF!,#REF!,#REF!,#REF!</definedName>
    <definedName name="__APW_RESTORE_DATA954__" hidden="1">#REF!,#REF!,#REF!,#REF!,#REF!,#REF!,#REF!,#REF!,#REF!,#REF!,#REF!,#REF!,#REF!,#REF!,#REF!</definedName>
    <definedName name="__APW_RESTORE_DATA955__" hidden="1">#REF!,#REF!,#REF!,#REF!,#REF!,#REF!,#REF!,#REF!,#REF!,#REF!,#REF!,#REF!,#REF!,#REF!,#REF!</definedName>
    <definedName name="__APW_RESTORE_DATA956__" hidden="1">#REF!,#REF!,#REF!,#REF!,#REF!,#REF!,#REF!,#REF!,#REF!,#REF!,#REF!,#REF!,#REF!,#REF!,#REF!</definedName>
    <definedName name="__APW_RESTORE_DATA957__" hidden="1">#REF!,#REF!,#REF!,#REF!,#REF!,#REF!,#REF!,#REF!,#REF!,#REF!,#REF!,#REF!,#REF!,#REF!,#REF!</definedName>
    <definedName name="__APW_RESTORE_DATA958__" hidden="1">#REF!,#REF!,#REF!,#REF!,#REF!,#REF!,#REF!,#REF!,#REF!,#REF!,#REF!,#REF!,#REF!,#REF!,#REF!</definedName>
    <definedName name="__APW_RESTORE_DATA959__" hidden="1">#REF!,#REF!,#REF!,#REF!,#REF!,#REF!,#REF!,#REF!,#REF!,#REF!,#REF!,#REF!,#REF!,#REF!,#REF!</definedName>
    <definedName name="__APW_RESTORE_DATA960__" hidden="1">#REF!,#REF!,#REF!,#REF!,#REF!,#REF!,#REF!,#REF!,#REF!,#REF!,#REF!,#REF!,#REF!,#REF!,#REF!</definedName>
    <definedName name="__APW_RESTORE_DATA961__" hidden="1">#REF!,#REF!,#REF!,#REF!,#REF!,#REF!,#REF!,#REF!,#REF!,#REF!,#REF!,#REF!,#REF!,#REF!,#REF!</definedName>
    <definedName name="__APW_RESTORE_DATA962__" hidden="1">#REF!,#REF!,#REF!,#REF!,#REF!,#REF!,#REF!,#REF!,#REF!,#REF!</definedName>
    <definedName name="__APW_RESTORE_DATA963__" hidden="1">#REF!,#REF!,#REF!,#REF!,#REF!,#REF!,#REF!,#REF!,#REF!,#REF!,#REF!,#REF!,#REF!,#REF!,#REF!,#REF!</definedName>
    <definedName name="__APW_RESTORE_DATA964__" hidden="1">#REF!,#REF!,#REF!,#REF!,#REF!,#REF!,#REF!,#REF!,#REF!,#REF!,#REF!,#REF!,#REF!,#REF!,#REF!,#REF!</definedName>
    <definedName name="__APW_RESTORE_DATA965__" hidden="1">#REF!,#REF!,#REF!,#REF!,#REF!,#REF!,#REF!,#REF!,#REF!,#REF!,#REF!,#REF!,#REF!,#REF!,#REF!,#REF!</definedName>
    <definedName name="__APW_RESTORE_DATA966__" hidden="1">#REF!,#REF!,#REF!,#REF!,#REF!,#REF!,#REF!,#REF!,#REF!,#REF!,#REF!,#REF!,#REF!,#REF!,#REF!,#REF!</definedName>
    <definedName name="__APW_RESTORE_DATA967__" hidden="1">#REF!,#REF!,#REF!,#REF!,#REF!,#REF!,#REF!,#REF!,#REF!,#REF!,#REF!,#REF!,#REF!,#REF!,#REF!,#REF!</definedName>
    <definedName name="__APW_RESTORE_DATA968__" hidden="1">#REF!,#REF!,#REF!,#REF!,#REF!,#REF!,#REF!,#REF!,#REF!,#REF!,#REF!,#REF!,#REF!,#REF!,#REF!,#REF!</definedName>
    <definedName name="__APW_RESTORE_DATA969__" hidden="1">#REF!,#REF!,#REF!,#REF!,#REF!,#REF!,#REF!,#REF!,#REF!,#REF!,#REF!,#REF!,#REF!,#REF!,#REF!,#REF!</definedName>
    <definedName name="__APW_RESTORE_DATA970__" hidden="1">#REF!,#REF!,#REF!,#REF!,#REF!,#REF!,#REF!,#REF!,#REF!,#REF!,#REF!,#REF!,#REF!,#REF!,#REF!,#REF!</definedName>
    <definedName name="__APW_RESTORE_DATA971__" hidden="1">#REF!,#REF!,#REF!,#REF!,#REF!,#REF!,#REF!,#REF!,#REF!,#REF!,#REF!,#REF!,#REF!,#REF!,#REF!,#REF!</definedName>
    <definedName name="__APW_RESTORE_DATA972__" hidden="1">#REF!,#REF!,#REF!,#REF!,#REF!,#REF!,#REF!,#REF!,#REF!,#REF!,#REF!,#REF!,#REF!,#REF!,#REF!,#REF!</definedName>
    <definedName name="__APW_RESTORE_DATA973__" hidden="1">#REF!,#REF!,#REF!,#REF!,#REF!,#REF!,#REF!,#REF!,#REF!,#REF!,#REF!,#REF!,#REF!,#REF!,#REF!,#REF!</definedName>
    <definedName name="__APW_RESTORE_DATA974__" hidden="1">#REF!,#REF!,#REF!,#REF!,#REF!,#REF!,#REF!,#REF!,#REF!,#REF!,#REF!,#REF!,#REF!,#REF!,#REF!,#REF!</definedName>
    <definedName name="__APW_RESTORE_DATA975__" hidden="1">#REF!,#REF!,#REF!,#REF!,#REF!,#REF!,#REF!,#REF!,#REF!,#REF!,#REF!,#REF!,#REF!,#REF!,#REF!,#REF!</definedName>
    <definedName name="__APW_RESTORE_DATA976__" hidden="1">#REF!,#REF!,#REF!,#REF!,#REF!,#REF!,#REF!,#REF!,#REF!,#REF!,#REF!,#REF!,#REF!,#REF!,#REF!,#REF!</definedName>
    <definedName name="__APW_RESTORE_DATA977__" hidden="1">#REF!,#REF!,#REF!,#REF!,#REF!,#REF!,#REF!,#REF!,#REF!,#REF!,#REF!,#REF!,#REF!,#REF!,#REF!,#REF!</definedName>
    <definedName name="__APW_RESTORE_DATA978__" hidden="1">#REF!,#REF!,#REF!,#REF!,#REF!,#REF!,#REF!,#REF!,#REF!,#REF!,#REF!,#REF!,#REF!,#REF!,#REF!,#REF!</definedName>
    <definedName name="__APW_RESTORE_DATA979__" hidden="1">#REF!,#REF!,#REF!,#REF!,#REF!,#REF!,#REF!,#REF!,#REF!,#REF!,#REF!,#REF!,#REF!,#REF!,#REF!,#REF!</definedName>
    <definedName name="__APW_RESTORE_DATA980__" hidden="1">#REF!,#REF!,#REF!,#REF!,#REF!,#REF!,#REF!,#REF!,#REF!,#REF!,#REF!,#REF!,#REF!,#REF!,#REF!,#REF!</definedName>
    <definedName name="__APW_RESTORE_DATA981__" hidden="1">#REF!,#REF!,#REF!,#REF!,#REF!,#REF!,#REF!,#REF!,#REF!,#REF!,#REF!,#REF!,#REF!,#REF!,#REF!,#REF!</definedName>
    <definedName name="__APW_RESTORE_DATA982__" hidden="1">#REF!,#REF!,#REF!,#REF!,#REF!,#REF!,#REF!,#REF!,#REF!,#REF!,#REF!,#REF!,#REF!,#REF!,#REF!,#REF!</definedName>
    <definedName name="__APW_RESTORE_DATA983__" hidden="1">#REF!,#REF!,#REF!,#REF!,#REF!,#REF!,#REF!,#REF!,#REF!,#REF!,#REF!,#REF!,#REF!,#REF!,#REF!,#REF!</definedName>
    <definedName name="__APW_RESTORE_DATA984__" hidden="1">#REF!,#REF!,#REF!,#REF!,#REF!,#REF!,#REF!,#REF!,#REF!,#REF!,#REF!,#REF!,#REF!,#REF!,#REF!,#REF!</definedName>
    <definedName name="__APW_RESTORE_DATA985__" hidden="1">#REF!,#REF!,#REF!,#REF!,#REF!,#REF!,#REF!,#REF!,#REF!,#REF!,#REF!,#REF!,#REF!,#REF!,#REF!,#REF!</definedName>
    <definedName name="__APW_RESTORE_DATA986__" hidden="1">#REF!,#REF!,#REF!,#REF!,#REF!,#REF!,#REF!,#REF!,#REF!,#REF!,#REF!,#REF!,#REF!,#REF!,#REF!,#REF!</definedName>
    <definedName name="__APW_RESTORE_DATA987__" hidden="1">#REF!,#REF!,#REF!,#REF!,#REF!,#REF!,#REF!,#REF!,#REF!,#REF!,#REF!,#REF!,#REF!,#REF!,#REF!,#REF!</definedName>
    <definedName name="__APW_RESTORE_DATA988__" hidden="1">#REF!,#REF!,#REF!,#REF!,#REF!,#REF!,#REF!,#REF!,#REF!,#REF!,#REF!,#REF!,#REF!,#REF!,#REF!</definedName>
    <definedName name="__APW_RESTORE_DATA989__" hidden="1">#REF!,#REF!,#REF!,#REF!,#REF!,#REF!,#REF!,#REF!,#REF!,#REF!,#REF!,#REF!,#REF!,#REF!,#REF!</definedName>
    <definedName name="__APW_RESTORE_DATA990__" hidden="1">#REF!,#REF!,#REF!,#REF!,#REF!,#REF!,#REF!,#REF!,#REF!,#REF!,#REF!,#REF!,#REF!,#REF!,#REF!</definedName>
    <definedName name="__APW_RESTORE_DATA991__" hidden="1">#REF!,#REF!,#REF!,#REF!,#REF!,#REF!,#REF!,#REF!,#REF!,#REF!,#REF!,#REF!,#REF!,#REF!,#REF!</definedName>
    <definedName name="__APW_RESTORE_DATA992__" hidden="1">#REF!,#REF!,#REF!,#REF!,#REF!,#REF!,#REF!,#REF!,#REF!,#REF!,#REF!,#REF!,#REF!,#REF!,#REF!</definedName>
    <definedName name="__APW_RESTORE_DATA993__" hidden="1">#REF!,#REF!,#REF!,#REF!,#REF!,#REF!,#REF!,#REF!,#REF!,#REF!,#REF!,#REF!,#REF!,#REF!,#REF!</definedName>
    <definedName name="__APW_RESTORE_DATA994__" hidden="1">#REF!,#REF!,#REF!,#REF!,#REF!,#REF!,#REF!,#REF!,#REF!,#REF!,#REF!,#REF!,#REF!,#REF!,#REF!</definedName>
    <definedName name="__APW_RESTORE_DATA995__" hidden="1">#REF!,#REF!,#REF!,#REF!,#REF!,#REF!,#REF!,#REF!,#REF!,#REF!,#REF!,#REF!,#REF!,#REF!,#REF!</definedName>
    <definedName name="__APW_RESTORE_DATA996__" hidden="1">#REF!,#REF!,#REF!,#REF!,#REF!,#REF!,#REF!,#REF!,#REF!,#REF!,#REF!,#REF!,#REF!,#REF!,#REF!</definedName>
    <definedName name="__APW_RESTORE_DATA997__" hidden="1">#REF!,#REF!,#REF!,#REF!,#REF!,#REF!,#REF!,#REF!,#REF!,#REF!,#REF!,#REF!,#REF!,#REF!,#REF!</definedName>
    <definedName name="__APW_RESTORE_DATA998__" hidden="1">#REF!,#REF!,#REF!,#REF!,#REF!,#REF!,#REF!,#REF!,#REF!,#REF!,#REF!,#REF!,#REF!,#REF!,#REF!</definedName>
    <definedName name="__APW_RESTORE_DATA999__" hidden="1">#REF!,#REF!,#REF!,#REF!,#REF!,#REF!,#REF!,#REF!,#REF!,#REF!,#REF!,#REF!,#REF!,#REF!,#REF!</definedName>
    <definedName name="__b111" localSheetId="7" hidden="1">{#N/A,#N/A,FALSE,"Pharm";#N/A,#N/A,FALSE,"WWCM"}</definedName>
    <definedName name="__b111" localSheetId="8" hidden="1">{#N/A,#N/A,FALSE,"Pharm";#N/A,#N/A,FALSE,"WWCM"}</definedName>
    <definedName name="__b111" hidden="1">{#N/A,#N/A,FALSE,"Pharm";#N/A,#N/A,FALSE,"WWCM"}</definedName>
    <definedName name="__b13" localSheetId="8" hidden="1">{#N/A,#N/A,FALSE,"Cover";#N/A,#N/A,FALSE,"OFF";#N/A,#N/A,FALSE," ON";#N/A,#N/A,FALSE,"SUM";#N/A,#N/A,FALSE,"VPOP-POP"}</definedName>
    <definedName name="__b13" hidden="1">{#N/A,#N/A,FALSE,"Cover";#N/A,#N/A,FALSE,"OFF";#N/A,#N/A,FALSE," ON";#N/A,#N/A,FALSE,"SUM";#N/A,#N/A,FALSE,"VPOP-POP"}</definedName>
    <definedName name="__b5" localSheetId="8" hidden="1">{#N/A,#N/A,FALSE,"Cover";#N/A,#N/A,FALSE,"OFF";#N/A,#N/A,FALSE," ON";#N/A,#N/A,FALSE,"SUM";#N/A,#N/A,FALSE,"VPOP-POP"}</definedName>
    <definedName name="__b5" hidden="1">{#N/A,#N/A,FALSE,"Cover";#N/A,#N/A,FALSE,"OFF";#N/A,#N/A,FALSE," ON";#N/A,#N/A,FALSE,"SUM";#N/A,#N/A,FALSE,"VPOP-POP"}</definedName>
    <definedName name="__b6" localSheetId="8" hidden="1">{#N/A,#N/A,FALSE,"Cover";#N/A,#N/A,FALSE,"OFF";#N/A,#N/A,FALSE," ON";#N/A,#N/A,FALSE,"SUM";#N/A,#N/A,FALSE,"VPOP-POP"}</definedName>
    <definedName name="__b6" hidden="1">{#N/A,#N/A,FALSE,"Cover";#N/A,#N/A,FALSE,"OFF";#N/A,#N/A,FALSE," ON";#N/A,#N/A,FALSE,"SUM";#N/A,#N/A,FALSE,"VPOP-POP"}</definedName>
    <definedName name="__b8" localSheetId="8" hidden="1">{#N/A,#N/A,FALSE,"Cover";#N/A,#N/A,FALSE,"OFF";#N/A,#N/A,FALSE," ON";#N/A,#N/A,FALSE,"SUM";#N/A,#N/A,FALSE,"VPOP-POP"}</definedName>
    <definedName name="__b8" hidden="1">{#N/A,#N/A,FALSE,"Cover";#N/A,#N/A,FALSE,"OFF";#N/A,#N/A,FALSE," ON";#N/A,#N/A,FALSE,"SUM";#N/A,#N/A,FALSE,"VPOP-POP"}</definedName>
    <definedName name="__BAL1" hidden="1">{"pq_dr",#N/A,FALSE,"PQ"}</definedName>
    <definedName name="__bbb2" localSheetId="8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__bbb2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__bbb2_1" localSheetId="8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__bbb2_1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__c" localSheetId="7" hidden="1">{"Fiesta Facer Page",#N/A,FALSE,"Q_C_S";"Fiesta Main Page",#N/A,FALSE,"V_L";"Fiesta 95BP Struct",#N/A,FALSE,"StructBP";"Fiesta Post 95BP Struct",#N/A,FALSE,"AdjStructBP"}</definedName>
    <definedName name="__c" localSheetId="8" hidden="1">{"Fiesta Facer Page",#N/A,FALSE,"Q_C_S";"Fiesta Main Page",#N/A,FALSE,"V_L";"Fiesta 95BP Struct",#N/A,FALSE,"StructBP";"Fiesta Post 95BP Struct",#N/A,FALSE,"AdjStructBP"}</definedName>
    <definedName name="__c" hidden="1">{"Fiesta Facer Page",#N/A,FALSE,"Q_C_S";"Fiesta Main Page",#N/A,FALSE,"V_L";"Fiesta 95BP Struct",#N/A,FALSE,"StructBP";"Fiesta Post 95BP Struct",#N/A,FALSE,"AdjStructBP"}</definedName>
    <definedName name="__c123" localSheetId="8" hidden="1">{#N/A,#N/A,TRUE,"Voorblad";#N/A,#N/A,TRUE,"Table of Content A";#N/A,#N/A,TRUE,"A1-Summ- Key Figures";#N/A,#N/A,TRUE,"A2-Summ Month Man";#N/A,#N/A,TRUE,"A3-P&amp;L by Bus.Unt-Serv.Unt";#N/A,#N/A,TRUE,"A4-P&amp;L by Old org.";#N/A,#N/A,TRUE,"A6-Bal_Sheet CF by Old org. ";#N/A,#N/A,TRUE,"A8-Headc.Funct."}</definedName>
    <definedName name="__c123" hidden="1">{#N/A,#N/A,TRUE,"Voorblad";#N/A,#N/A,TRUE,"Table of Content A";#N/A,#N/A,TRUE,"A1-Summ- Key Figures";#N/A,#N/A,TRUE,"A2-Summ Month Man";#N/A,#N/A,TRUE,"A3-P&amp;L by Bus.Unt-Serv.Unt";#N/A,#N/A,TRUE,"A4-P&amp;L by Old org.";#N/A,#N/A,TRUE,"A6-Bal_Sheet CF by Old org. ";#N/A,#N/A,TRUE,"A8-Headc.Funct."}</definedName>
    <definedName name="__c23" localSheetId="8" hidden="1">{#N/A,#N/A,FALSE,"Appendicesfinvoorblad";#N/A,#N/A,FALSE,"appendix a";#N/A,#N/A,FALSE,"appendix b";#N/A,#N/A,FALSE,"appendix c";#N/A,#N/A,FALSE,"appendix d";#N/A,#N/A,FALSE,"appendix e";#N/A,#N/A,FALSE,"appendix f";#N/A,#N/A,FALSE,"appendix g";#N/A,#N/A,FALSE,"appendix g2";#N/A,#N/A,FALSE,"appendix h";#N/A,#N/A,FALSE,"appendix i";#N/A,#N/A,FALSE,"appendix i-2";#N/A,#N/A,FALSE,"appendix j";#N/A,#N/A,FALSE,"appendicesprocesses";#N/A,#N/A,FALSE,"appendix k";#N/A,#N/A,FALSE,"appendix l"}</definedName>
    <definedName name="__c23" hidden="1">{#N/A,#N/A,FALSE,"Appendicesfinvoorblad";#N/A,#N/A,FALSE,"appendix a";#N/A,#N/A,FALSE,"appendix b";#N/A,#N/A,FALSE,"appendix c";#N/A,#N/A,FALSE,"appendix d";#N/A,#N/A,FALSE,"appendix e";#N/A,#N/A,FALSE,"appendix f";#N/A,#N/A,FALSE,"appendix g";#N/A,#N/A,FALSE,"appendix g2";#N/A,#N/A,FALSE,"appendix h";#N/A,#N/A,FALSE,"appendix i";#N/A,#N/A,FALSE,"appendix i-2";#N/A,#N/A,FALSE,"appendix j";#N/A,#N/A,FALSE,"appendicesprocesses";#N/A,#N/A,FALSE,"appendix k";#N/A,#N/A,FALSE,"appendix l"}</definedName>
    <definedName name="__c3" localSheetId="8" hidden="1">{#N/A,#N/A,TRUE,"Voorblad";#N/A,#N/A,TRUE,"Table of Content A";#N/A,#N/A,TRUE,"A1-Summ- Key Figures";#N/A,#N/A,TRUE,"A2-Summ Month Man";#N/A,#N/A,TRUE,"A3-P&amp;L by Bus.Unt-Serv.Unt";#N/A,#N/A,TRUE,"A4-P&amp;L by Old org.";#N/A,#N/A,TRUE,"A6-Bal_Sheet CF by Old org. ";#N/A,#N/A,TRUE,"A8-Headc.Funct."}</definedName>
    <definedName name="__c3" hidden="1">{#N/A,#N/A,TRUE,"Voorblad";#N/A,#N/A,TRUE,"Table of Content A";#N/A,#N/A,TRUE,"A1-Summ- Key Figures";#N/A,#N/A,TRUE,"A2-Summ Month Man";#N/A,#N/A,TRUE,"A3-P&amp;L by Bus.Unt-Serv.Unt";#N/A,#N/A,TRUE,"A4-P&amp;L by Old org.";#N/A,#N/A,TRUE,"A6-Bal_Sheet CF by Old org. ";#N/A,#N/A,TRUE,"A8-Headc.Funct."}</definedName>
    <definedName name="__c8" localSheetId="8" hidden="1">{#N/A,#N/A,TRUE,"Voorblad";#N/A,#N/A,TRUE,"Table of Content A";#N/A,#N/A,TRUE,"A1-Summ- Key Figures";#N/A,#N/A,TRUE,"A2-Summ Month Man";#N/A,#N/A,TRUE,"A3-P&amp;L by Bus.Unt-Serv.Unt";#N/A,#N/A,TRUE,"A4-P&amp;L by Old org.";#N/A,#N/A,TRUE,"A6-Bal_Sheet CF by Old org. ";#N/A,#N/A,TRUE,"A8-Headc.Funct."}</definedName>
    <definedName name="__c8" hidden="1">{#N/A,#N/A,TRUE,"Voorblad";#N/A,#N/A,TRUE,"Table of Content A";#N/A,#N/A,TRUE,"A1-Summ- Key Figures";#N/A,#N/A,TRUE,"A2-Summ Month Man";#N/A,#N/A,TRUE,"A3-P&amp;L by Bus.Unt-Serv.Unt";#N/A,#N/A,TRUE,"A4-P&amp;L by Old org.";#N/A,#N/A,TRUE,"A6-Bal_Sheet CF by Old org. ";#N/A,#N/A,TRUE,"A8-Headc.Funct."}</definedName>
    <definedName name="__c9" localSheetId="8" hidden="1">{#N/A,#N/A,TRUE,"Voorblad B";#N/A,#N/A,TRUE,"Table of Content FinCom B";#N/A,#N/A,TRUE,"A3-P&amp;L by Bus.Unt-Serv.Unt";#N/A,#N/A,TRUE,"Summary carrier service";#N/A,#N/A,TRUE,"Summary Large accounts";#N/A,#N/A,TRUE,"Summary Consumer";#N/A,#N/A,TRUE,"Mobile";#N/A,#N/A,TRUE,"B5-Mobile(1) ";#N/A,#N/A,TRUE,"B4-GM per Product";#N/A,#N/A,TRUE,"Summary N&amp;S";#N/A,#N/A,TRUE,"B15-Network ";#N/A,#N/A,TRUE,"Summary ITbilling";#N/A,#N/A,TRUE,"Billing backlog";#N/A,#N/A,TRUE,"Summary Corporate";#N/A,#N/A,TRUE,"A5-Bal_Sheet CF";#N/A,#N/A,TRUE,"A6-Bal_Sheet CF by Old org. ";#N/A,#N/A,TRUE,"P13-Funding- Inter.";#N/A,#N/A,TRUE,"P14-Risk &amp; Fraud Fixed";#N/A,#N/A,TRUE,"P14-Risk &amp; Fraud Mobile";#N/A,#N/A,TRUE,"Accounts payable"}</definedName>
    <definedName name="__c9" hidden="1">{#N/A,#N/A,TRUE,"Voorblad B";#N/A,#N/A,TRUE,"Table of Content FinCom B";#N/A,#N/A,TRUE,"A3-P&amp;L by Bus.Unt-Serv.Unt";#N/A,#N/A,TRUE,"Summary carrier service";#N/A,#N/A,TRUE,"Summary Large accounts";#N/A,#N/A,TRUE,"Summary Consumer";#N/A,#N/A,TRUE,"Mobile";#N/A,#N/A,TRUE,"B5-Mobile(1) ";#N/A,#N/A,TRUE,"B4-GM per Product";#N/A,#N/A,TRUE,"Summary N&amp;S";#N/A,#N/A,TRUE,"B15-Network ";#N/A,#N/A,TRUE,"Summary ITbilling";#N/A,#N/A,TRUE,"Billing backlog";#N/A,#N/A,TRUE,"Summary Corporate";#N/A,#N/A,TRUE,"A5-Bal_Sheet CF";#N/A,#N/A,TRUE,"A6-Bal_Sheet CF by Old org. ";#N/A,#N/A,TRUE,"P13-Funding- Inter.";#N/A,#N/A,TRUE,"P14-Risk &amp; Fraud Fixed";#N/A,#N/A,TRUE,"P14-Risk &amp; Fraud Mobile";#N/A,#N/A,TRUE,"Accounts payable"}</definedName>
    <definedName name="__CC2" localSheetId="8" hidden="1">{#N/A,#N/A,FALSE,"Exhibits 5-7"}</definedName>
    <definedName name="__CC2" hidden="1">{#N/A,#N/A,FALSE,"Exhibits 5-7"}</definedName>
    <definedName name="__CEN30" hidden="1">{#N/A,#N/A,FALSE,"SIM95"}</definedName>
    <definedName name="__CEN300" hidden="1">{#N/A,#N/A,FALSE,"SIM95"}</definedName>
    <definedName name="__cen301" hidden="1">{#N/A,#N/A,FALSE,"SIM95"}</definedName>
    <definedName name="__cen31" hidden="1">{#N/A,#N/A,FALSE,"SIM95"}</definedName>
    <definedName name="__Co50" localSheetId="8" hidden="1">{#N/A,"DR",FALSE,"increm pf";#N/A,"MAMSI",FALSE,"increm pf";#N/A,"MAXI",FALSE,"increm pf";#N/A,"PCAM",FALSE,"increm pf";#N/A,"PHSV",FALSE,"increm pf";#N/A,"SIE",FALSE,"increm pf"}</definedName>
    <definedName name="__Co50" hidden="1">{#N/A,"DR",FALSE,"increm pf";#N/A,"MAMSI",FALSE,"increm pf";#N/A,"MAXI",FALSE,"increm pf";#N/A,"PCAM",FALSE,"increm pf";#N/A,"PHSV",FALSE,"increm pf";#N/A,"SIE",FALSE,"increm pf"}</definedName>
    <definedName name="__cp010103" localSheetId="8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cp010103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CuN3" localSheetId="8" hidden="1">{#N/A,#N/A,FALSE,"WOBE_DE.XLS";#N/A,#N/A,FALSE,"WOB_1.XLS";#N/A,#N/A,FALSE,"WOB_2.XLS";#N/A,#N/A,FALSE,"WOB_3.XLS";#N/A,#N/A,FALSE,"WOB_4.XLS";#N/A,#N/A,FALSE,"WOB_5.XLS"}</definedName>
    <definedName name="__CuN3" hidden="1">{#N/A,#N/A,FALSE,"WOBE_DE.XLS";#N/A,#N/A,FALSE,"WOB_1.XLS";#N/A,#N/A,FALSE,"WOB_2.XLS";#N/A,#N/A,FALSE,"WOB_3.XLS";#N/A,#N/A,FALSE,"WOB_4.XLS";#N/A,#N/A,FALSE,"WOB_5.XLS"}</definedName>
    <definedName name="__DCF1" localSheetId="8" hidden="1">{#N/A,#N/A,FALSE,"DCF Summary";#N/A,#N/A,FALSE,"Casema";#N/A,#N/A,FALSE,"Casema NoTel";#N/A,#N/A,FALSE,"UK";#N/A,#N/A,FALSE,"RCF";#N/A,#N/A,FALSE,"Intercable CZ";#N/A,#N/A,FALSE,"Interkabel P"}</definedName>
    <definedName name="__DCF1" hidden="1">{#N/A,#N/A,FALSE,"DCF Summary";#N/A,#N/A,FALSE,"Casema";#N/A,#N/A,FALSE,"Casema NoTel";#N/A,#N/A,FALSE,"UK";#N/A,#N/A,FALSE,"RCF";#N/A,#N/A,FALSE,"Intercable CZ";#N/A,#N/A,FALSE,"Interkabel P"}</definedName>
    <definedName name="__DCF1_1" localSheetId="8" hidden="1">{#N/A,#N/A,FALSE,"DCF Summary";#N/A,#N/A,FALSE,"Casema";#N/A,#N/A,FALSE,"Casema NoTel";#N/A,#N/A,FALSE,"UK";#N/A,#N/A,FALSE,"RCF";#N/A,#N/A,FALSE,"Intercable CZ";#N/A,#N/A,FALSE,"Interkabel P"}</definedName>
    <definedName name="__DCF1_1" hidden="1">{#N/A,#N/A,FALSE,"DCF Summary";#N/A,#N/A,FALSE,"Casema";#N/A,#N/A,FALSE,"Casema NoTel";#N/A,#N/A,FALSE,"UK";#N/A,#N/A,FALSE,"RCF";#N/A,#N/A,FALSE,"Intercable CZ";#N/A,#N/A,FALSE,"Interkabel P"}</definedName>
    <definedName name="__dem2" localSheetId="8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__dem2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__dem2_1" localSheetId="8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__dem2_1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__dem3" localSheetId="8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__dem3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__dem3_1" localSheetId="8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__dem3_1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__DIM1" hidden="1">" "</definedName>
    <definedName name="__DIM2" hidden="1">" "</definedName>
    <definedName name="__DIM3" hidden="1">" "</definedName>
    <definedName name="__DIM4" hidden="1">" "</definedName>
    <definedName name="__dwa1" localSheetId="8" hidden="1">{#N/A,"PURCHM",FALSE,"Business Analysis";#N/A,"SPADD",FALSE,"Business Analysis"}</definedName>
    <definedName name="__dwa1" hidden="1">{#N/A,"PURCHM",FALSE,"Business Analysis";#N/A,"SPADD",FALSE,"Business Analysis"}</definedName>
    <definedName name="__e5" localSheetId="8" hidden="1">{"Eilbericht_UBA",#N/A,FALSE,"EB"}</definedName>
    <definedName name="__e5" hidden="1">{"Eilbericht_UBA",#N/A,FALSE,"EB"}</definedName>
    <definedName name="__e5_1" localSheetId="8" hidden="1">{"Eilbericht_UBA",#N/A,FALSE,"EB"}</definedName>
    <definedName name="__e5_1" hidden="1">{"Eilbericht_UBA",#N/A,FALSE,"EB"}</definedName>
    <definedName name="__eee1" localSheetId="8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eee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emi2" localSheetId="8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emi2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emi3" localSheetId="8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emi3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emi4" localSheetId="8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emi4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emi5" localSheetId="8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emi5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emi6" localSheetId="8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emi6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et1" localSheetId="8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__et1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__eu93" localSheetId="8" hidden="1">{"Comp_of_Price_Effect",#N/A,FALSE,"QTRDPVAR"}</definedName>
    <definedName name="__eu93" hidden="1">{"Comp_of_Price_Effect",#N/A,FALSE,"QTRDPVAR"}</definedName>
    <definedName name="__f" localSheetId="8" hidden="1">{#N/A,#N/A,FALSE,"CA";#N/A,#N/A,FALSE,"CN";#N/A,#N/A,FALSE,"Inv";#N/A,#N/A,FALSE,"Inv Acc";"Miguel_balance",#N/A,FALSE,"Bal";#N/A,#N/A,FALSE,"Plantilla";#N/A,#N/A,FALSE,"CA (2)";#N/A,#N/A,FALSE,"CN (2)"}</definedName>
    <definedName name="__f" hidden="1">{#N/A,#N/A,FALSE,"CA";#N/A,#N/A,FALSE,"CN";#N/A,#N/A,FALSE,"Inv";#N/A,#N/A,FALSE,"Inv Acc";"Miguel_balance",#N/A,FALSE,"Bal";#N/A,#N/A,FALSE,"Plantilla";#N/A,#N/A,FALSE,"CA (2)";#N/A,#N/A,FALSE,"CN (2)"}</definedName>
    <definedName name="__FDS_HYPERLINK_TOGGLE_STATE__" hidden="1">"ON"</definedName>
    <definedName name="__FDS_UNIQUE_RANGE_ID_GENERATOR_COUNTER" localSheetId="8" hidden="1">1</definedName>
    <definedName name="__FDS_UNIQUE_RANGE_ID_GENERATOR_COUNTER" hidden="1">720</definedName>
    <definedName name="__FDS_USED_FOR_REUSING_RANGE_IDS_RECYCLE" localSheetId="7" hidden="1">{152,168,338,189,173,195,158,390,7,11,232,378,159,175,261,183,177,129,8,155,265,394,57}</definedName>
    <definedName name="__FDS_USED_FOR_REUSING_RANGE_IDS_RECYCLE" localSheetId="8" hidden="1">{152,168,338,189,173,195,158,390,7,11,232,378,159,175,261,183,177,129,8,155,265,394,57}</definedName>
    <definedName name="__FDS_USED_FOR_REUSING_RANGE_IDS_RECYCLE" hidden="1">{704,690,655,525,621,527,635,529,641,531,708,676,660,535,632,537,586,539,602,541,714,680,666,545,615,547,606,549,571,551,697,686,648,555,631,557,612,559,577,561,703,719,654,564,590,566,580,568,596,570,717,669,633,630,644,315,716,691,668,310,629,331,638,320,643,340,718,693,670,177,634,179,639,181,645,183,715,667,186,628,637,189,642,191,713,681,665,459,616,408,607,379,572,309,707,677,659,460,627,421,587,380,603,329,702,671,653,461,591,409,581,381,597,317,712,682,664,456,617,419,608,376,573,330,696,687,647,457,626,407,613,377,578,318,701,672,652,458,592,420,582,378,598,338,700,673,651,453,593,405,609,373,599,319,706,678,658,454,625,418,588,374,604,339,711,683,663,455,618,406,583,375,574,325,710,684,662,450,619,416,610,370,575,332,695,688,646,451,624,404,614,371,579,334,699,674,650,452,594,417,584,372,600,306,698,675,649,447,595,402,611,367,601,335,705,679,657,448,623,415,589,368,605,307,709,685,661,449,620,403,585,369,576,311,694,689,656,4,622,6,636,8,640,10}</definedName>
    <definedName name="__FDS_USED_FOR_REUSING_RANGE_IDS_RECYCLE_1" localSheetId="8" hidden="1">{194,255,121,260,128,234,139,177,199,247,202,125,256,156,140,175,180,178,183,190,184,191,189,214,200,222,216,203,224,207,210,209,186,221,220,197,244,237,249,253,242,251,182,259,264,193,225,258,198,133,185,205,262,119,173,211,213,239,240,135,118,176,245,179,236,215,219,223,217,196,204,227,188,187,248,228,230,195,250,254,252,241,261,265,206,232,263,172,174,212,238,235,974,975,976,1038,1026,1037,977,978,979,980,981,982,983,984,985,1025,1035,1024,986,987,988,989,990,991,992,993,1034,1022,1033,994,995,996,997,998,999,1000,1001,1002,1021,1031,1020,1003,1004,1005,1006,1007,1008,1009,1010,1030,1019,1029,1011,1012,1013,1014,1015,1016,1028,1017,1018,495,496,498,499,500,501,372,348,335,358,333,327,371,345,334,347,332,324,356,320,359,357,274,315,494,492,305,291,344,368,346,331,323,326,341,367,343,330,383,325,319,355,377,349,313,272,490,487,290,304,502,503,504,505,506,507,354,508,270,311,509,303,289,340,362,342,329,382,322,339,361,337,328,379,321,318,353,373,386,309,268,486,483,288,302,510,511,512,513,514,515,516,517,518,519,352,520,266,307,521,301,287,338,336,378,317,370,306,485,286,292,380,825,919,397,416,360,363,275,316,497,493,351,350,314,273,491,488,522,523,271,312,524,525,376,387,310,269,489,484,526,527,267,308,528,529,285,375,300,284,299,392,374,390,890,833,938,921,922,923,298,388,283,297,282,369,385,366,940,941,942,925,926,927,281,530,296,280,531,532,533,944,945,946,929,930,931,295,384,279,294,278,364,381,365,948,949,950,933,934,935,277,549,293,276,550,551,552,951,952,953,936,937,396,405,395,404,415,424,414,423,403,394,401,391,422,413,420,410,542,543,544,545,546,547,548,400,389,398,478,419,409,417,406,558,559,560,561,562,563,564,440}</definedName>
    <definedName name="__FDS_USED_FOR_REUSING_RANGE_IDS_RECYCLE_1" hidden="1">{194,255,121,260,128,234,139,177,199,247,202,125,256,156,140,175,180,178,183,190,184,191,189,214,200,222,216,203,224,207,210,209,186,221,220,197,244,237,249,253,242,251,182,259,264,193,225,258,198,133,185,205,262,119,173,211,213,239,240,135,118,176,245,179,236,215,219,223,217,196,204,227,188,187,248,228,230,195,250,254,252,241,261,265,206,232,263,172,174,212,238,235,974,975,976,1038,1026,1037,977,978,979,980,981,982,983,984,985,1025,1035,1024,986,987,988,989,990,991,992,993,1034,1022,1033,994,995,996,997,998,999,1000,1001,1002,1021,1031,1020,1003,1004,1005,1006,1007,1008,1009,1010,1030,1019,1029,1011,1012,1013,1014,1015,1016,1028,1017,1018,495,496,498,499,500,501,372,348,335,358,333,327,371,345,334,347,332,324,356,320,359,357,274,315,494,492,305,291,344,368,346,331,323,326,341,367,343,330,383,325,319,355,377,349,313,272,490,487,290,304,502,503,504,505,506,507,354,508,270,311,509,303,289,340,362,342,329,382,322,339,361,337,328,379,321,318,353,373,386,309,268,486,483,288,302,510,511,512,513,514,515,516,517,518,519,352,520,266,307,521,301,287,338,336,378,317,370,306,485,286,292,380,825,919,397,416,360,363,275,316,497,493,351,350,314,273,491,488,522,523,271,312,524,525,376,387,310,269,489,484,526,527,267,308,528,529,285,375,300,284,299,392,374,390,890,833,938,921,922,923,298,388,283,297,282,369,385,366,940,941,942,925,926,927,281,530,296,280,531,532,533,944,945,946,929,930,931,295,384,279,294,278,364,381,365,948,949,950,933,934,935,277,549,293,276,550,551,552,951,952,953,936,937,396,405,395,404,415,424,414,423,403,394,401,391,422,413,420,410,542,543,544,545,546,547,548,400,389,398,478,419,409,417,406,558,559,560,561,562,563,564,440}</definedName>
    <definedName name="__FR2" localSheetId="8" hidden="1">{#N/A,#N/A,FALSE,"Exhibits 5-7"}</definedName>
    <definedName name="__FR2" hidden="1">{#N/A,#N/A,FALSE,"Exhibits 5-7"}</definedName>
    <definedName name="__ftu222" localSheetId="8" hidden="1">{#N/A,#N/A,FALSE,"Aging Summary";#N/A,#N/A,FALSE,"Ratio Analysis";#N/A,#N/A,FALSE,"Test 120 Day Accts";#N/A,#N/A,FALSE,"Tickmarks"}</definedName>
    <definedName name="__ftu222" hidden="1">{#N/A,#N/A,FALSE,"Aging Summary";#N/A,#N/A,FALSE,"Ratio Analysis";#N/A,#N/A,FALSE,"Test 120 Day Accts";#N/A,#N/A,FALSE,"Tickmarks"}</definedName>
    <definedName name="__GCr2" localSheetId="8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GCr2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GCr21" localSheetId="8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GCr2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GEI2" localSheetId="8" hidden="1">{#N/A,#N/A,FALSE,"Datos";#N/A,#N/A,FALSE,"PartCap";#N/A,#N/A,FALSE,"Gtos-II";#N/A,#N/A,FALSE,"Inm.Mat1";#N/A,#N/A,FALSE,"Inm.Mat2";#N/A,#N/A,FALSE,"Inm.Fin";#N/A,#N/A,FALSE,"DeudAcre";#N/A,#N/A,FALSE,"Exist.Prov";#N/A,#N/A,FALSE,"Patrim.";#N/A,#N/A,FALSE,"IaD ";#N/A,#N/A,FALSE,"IptoSdes1";#N/A,#N/A,FALSE,"IptoSdes2";#N/A,#N/A,FALSE,"Ajust.IM";#N/A,#N/A,FALSE,"Ajust.Exi";#N/A,#N/A,FALSE,"Ajust.Div";#N/A,#N/A,FALSE,"Ajust.IF";#N/A,#N/A,FALSE,"Compvta";#N/A,#N/A,FALSE,"Avales";#N/A,#N/A,FALSE,"Conting.";#N/A,#N/A,FALSE,"Otra infor.1";#N/A,#N/A,FALSE,"Otra infor.2"}</definedName>
    <definedName name="__GEI2" hidden="1">{#N/A,#N/A,FALSE,"Datos";#N/A,#N/A,FALSE,"PartCap";#N/A,#N/A,FALSE,"Gtos-II";#N/A,#N/A,FALSE,"Inm.Mat1";#N/A,#N/A,FALSE,"Inm.Mat2";#N/A,#N/A,FALSE,"Inm.Fin";#N/A,#N/A,FALSE,"DeudAcre";#N/A,#N/A,FALSE,"Exist.Prov";#N/A,#N/A,FALSE,"Patrim.";#N/A,#N/A,FALSE,"IaD ";#N/A,#N/A,FALSE,"IptoSdes1";#N/A,#N/A,FALSE,"IptoSdes2";#N/A,#N/A,FALSE,"Ajust.IM";#N/A,#N/A,FALSE,"Ajust.Exi";#N/A,#N/A,FALSE,"Ajust.Div";#N/A,#N/A,FALSE,"Ajust.IF";#N/A,#N/A,FALSE,"Compvta";#N/A,#N/A,FALSE,"Avales";#N/A,#N/A,FALSE,"Conting.";#N/A,#N/A,FALSE,"Otra infor.1";#N/A,#N/A,FALSE,"Otra infor.2"}</definedName>
    <definedName name="__gh2" localSheetId="8" hidden="1">{"'100'!$A$1:$M$83"}</definedName>
    <definedName name="__gh2" hidden="1">{"'100'!$A$1:$M$83"}</definedName>
    <definedName name="__h2" localSheetId="8" hidden="1">{#N/A,#N/A,TRUE,"Index";#N/A,#N/A,TRUE,"1";#N/A,#N/A,TRUE,"2";#N/A,#N/A,TRUE,"3";#N/A,#N/A,TRUE,"4";#N/A,#N/A,TRUE,"5";#N/A,#N/A,TRUE,"6";#N/A,#N/A,TRUE,"7";#N/A,#N/A,TRUE,"8";#N/A,#N/A,TRUE,"9";#N/A,#N/A,TRUE,"10";#N/A,#N/A,TRUE,"11";#N/A,#N/A,TRUE,"12";#N/A,#N/A,TRUE,"13";#N/A,#N/A,TRUE,"14";#N/A,#N/A,TRUE,"15";#N/A,#N/A,TRUE,"16";#N/A,#N/A,TRUE,"17";#N/A,#N/A,TRUE,"18";#N/A,#N/A,TRUE,"19";#N/A,#N/A,TRUE,"20";#N/A,#N/A,TRUE,"21";#N/A,#N/A,TRUE,"22";#N/A,#N/A,TRUE,"23";#N/A,#N/A,TRUE,"24";#N/A,#N/A,TRUE,"25";#N/A,#N/A,TRUE,"26";#N/A,#N/A,TRUE,"27";#N/A,#N/A,TRUE,"28";#N/A,#N/A,TRUE,"29";#N/A,#N/A,TRUE,"30";#N/A,#N/A,TRUE,"31";#N/A,#N/A,TRUE,"32";#N/A,#N/A,TRUE,"33";#N/A,#N/A,TRUE,"34";#N/A,#N/A,TRUE,"35";#N/A,#N/A,TRUE,"36";#N/A,#N/A,TRUE,"37";#N/A,#N/A,TRUE,"38";#N/A,#N/A,TRUE,"39";#N/A,#N/A,TRUE,"40";#N/A,#N/A,TRUE,"41";#N/A,#N/A,TRUE,"42";#N/A,#N/A,TRUE,"43";#N/A,#N/A,TRUE,"44";#N/A,#N/A,TRUE,"45"}</definedName>
    <definedName name="__h2" hidden="1">{#N/A,#N/A,TRUE,"Index";#N/A,#N/A,TRUE,"1";#N/A,#N/A,TRUE,"2";#N/A,#N/A,TRUE,"3";#N/A,#N/A,TRUE,"4";#N/A,#N/A,TRUE,"5";#N/A,#N/A,TRUE,"6";#N/A,#N/A,TRUE,"7";#N/A,#N/A,TRUE,"8";#N/A,#N/A,TRUE,"9";#N/A,#N/A,TRUE,"10";#N/A,#N/A,TRUE,"11";#N/A,#N/A,TRUE,"12";#N/A,#N/A,TRUE,"13";#N/A,#N/A,TRUE,"14";#N/A,#N/A,TRUE,"15";#N/A,#N/A,TRUE,"16";#N/A,#N/A,TRUE,"17";#N/A,#N/A,TRUE,"18";#N/A,#N/A,TRUE,"19";#N/A,#N/A,TRUE,"20";#N/A,#N/A,TRUE,"21";#N/A,#N/A,TRUE,"22";#N/A,#N/A,TRUE,"23";#N/A,#N/A,TRUE,"24";#N/A,#N/A,TRUE,"25";#N/A,#N/A,TRUE,"26";#N/A,#N/A,TRUE,"27";#N/A,#N/A,TRUE,"28";#N/A,#N/A,TRUE,"29";#N/A,#N/A,TRUE,"30";#N/A,#N/A,TRUE,"31";#N/A,#N/A,TRUE,"32";#N/A,#N/A,TRUE,"33";#N/A,#N/A,TRUE,"34";#N/A,#N/A,TRUE,"35";#N/A,#N/A,TRUE,"36";#N/A,#N/A,TRUE,"37";#N/A,#N/A,TRUE,"38";#N/A,#N/A,TRUE,"39";#N/A,#N/A,TRUE,"40";#N/A,#N/A,TRUE,"41";#N/A,#N/A,TRUE,"42";#N/A,#N/A,TRUE,"43";#N/A,#N/A,TRUE,"44";#N/A,#N/A,TRUE,"45"}</definedName>
    <definedName name="__hg2" localSheetId="8" hidden="1">{"'100'!$A$1:$M$83"}</definedName>
    <definedName name="__hg2" hidden="1">{"'100'!$A$1:$M$83"}</definedName>
    <definedName name="__IntlFixup" hidden="1">TRUE</definedName>
    <definedName name="__IntlFixupTable" localSheetId="7" hidden="1">#REF!</definedName>
    <definedName name="__IntlFixupTable" hidden="1">#REF!</definedName>
    <definedName name="__Inv3" localSheetId="8" hidden="1">{#N/A,#N/A,FALSE,"CAPA";#N/A,#N/A,FALSE,"INDICES";#N/A,#N/A,FALSE,"RES-GER-CONS";#N/A,#N/A,FALSE,"MAQ-S1";#N/A,#N/A,FALSE,"MAQ-S2";#N/A,#N/A,FALSE,"MAQ-S3";#N/A,#N/A,FALSE,"PROD-VEN";#N/A,#N/A,FALSE,"PRECOS";#N/A,#N/A,FALSE,"BILAN";#N/A,#N/A,FALSE,"CASH-FLOW";#N/A,#N/A,FALSE,"SP4-5"}</definedName>
    <definedName name="__Inv3" hidden="1">{#N/A,#N/A,FALSE,"CAPA";#N/A,#N/A,FALSE,"INDICES";#N/A,#N/A,FALSE,"RES-GER-CONS";#N/A,#N/A,FALSE,"MAQ-S1";#N/A,#N/A,FALSE,"MAQ-S2";#N/A,#N/A,FALSE,"MAQ-S3";#N/A,#N/A,FALSE,"PROD-VEN";#N/A,#N/A,FALSE,"PRECOS";#N/A,#N/A,FALSE,"BILAN";#N/A,#N/A,FALSE,"CASH-FLOW";#N/A,#N/A,FALSE,"SP4-5"}</definedName>
    <definedName name="__Inv3_1" localSheetId="8" hidden="1">{#N/A,#N/A,FALSE,"CAPA";#N/A,#N/A,FALSE,"INDICES";#N/A,#N/A,FALSE,"RES-GER-CONS";#N/A,#N/A,FALSE,"MAQ-S1";#N/A,#N/A,FALSE,"MAQ-S2";#N/A,#N/A,FALSE,"MAQ-S3";#N/A,#N/A,FALSE,"PROD-VEN";#N/A,#N/A,FALSE,"PRECOS";#N/A,#N/A,FALSE,"BILAN";#N/A,#N/A,FALSE,"CASH-FLOW";#N/A,#N/A,FALSE,"SP4-5"}</definedName>
    <definedName name="__Inv3_1" hidden="1">{#N/A,#N/A,FALSE,"CAPA";#N/A,#N/A,FALSE,"INDICES";#N/A,#N/A,FALSE,"RES-GER-CONS";#N/A,#N/A,FALSE,"MAQ-S1";#N/A,#N/A,FALSE,"MAQ-S2";#N/A,#N/A,FALSE,"MAQ-S3";#N/A,#N/A,FALSE,"PROD-VEN";#N/A,#N/A,FALSE,"PRECOS";#N/A,#N/A,FALSE,"BILAN";#N/A,#N/A,FALSE,"CASH-FLOW";#N/A,#N/A,FALSE,"SP4-5"}</definedName>
    <definedName name="__jh2" localSheetId="8" hidden="1">{"'100'!$A$1:$M$83"}</definedName>
    <definedName name="__jh2" hidden="1">{"'100'!$A$1:$M$83"}</definedName>
    <definedName name="__key1" localSheetId="8" hidden="1">#REF!</definedName>
    <definedName name="__key1" hidden="1">#REF!</definedName>
    <definedName name="__kk2" localSheetId="8" hidden="1">{"'100'!$A$1:$M$83"}</definedName>
    <definedName name="__kk2" hidden="1">{"'100'!$A$1:$M$83"}</definedName>
    <definedName name="__ktb2" localSheetId="8" hidden="1">{#N/A,#N/A,FALSE,"Exhibits 5-7"}</definedName>
    <definedName name="__ktb2" hidden="1">{#N/A,#N/A,FALSE,"Exhibits 5-7"}</definedName>
    <definedName name="__ll1" localSheetId="8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__ll1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__lll1" localSheetId="8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__lll1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__lo2" localSheetId="8" hidden="1">{"'100'!$A$1:$M$83"}</definedName>
    <definedName name="__lo2" hidden="1">{"'100'!$A$1:$M$83"}</definedName>
    <definedName name="__mac2" localSheetId="8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__mac2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__mcm2" localSheetId="8" hidden="1">{"Pèrdues i Guanys analític.Català",#N/A,FALSE,"Català";"Pèrdues i G. analític.castellà",#N/A,FALSE,"Castellà"}</definedName>
    <definedName name="__mcm2" hidden="1">{"Pèrdues i Guanys analític.Català",#N/A,FALSE,"Català";"Pèrdues i G. analític.castellà",#N/A,FALSE,"Castellà"}</definedName>
    <definedName name="__mno9" localSheetId="8" hidden="1">{"detail",#N/A,FALSE,"mfg";"summary",#N/A,FALSE,"mfg"}</definedName>
    <definedName name="__mno9" hidden="1">{"detail",#N/A,FALSE,"mfg";"summary",#N/A,FALSE,"mfg"}</definedName>
    <definedName name="__new1" localSheetId="7" hidden="1">{#N/A,#N/A,FALSE,"Pharm";#N/A,#N/A,FALSE,"WWCM"}</definedName>
    <definedName name="__new1" localSheetId="8" hidden="1">{#N/A,#N/A,FALSE,"Pharm";#N/A,#N/A,FALSE,"WWCM"}</definedName>
    <definedName name="__new1" hidden="1">{#N/A,#N/A,FALSE,"Pharm";#N/A,#N/A,FALSE,"WWCM"}</definedName>
    <definedName name="__new2" hidden="1">#N/A</definedName>
    <definedName name="__new3" hidden="1">#N/A</definedName>
    <definedName name="__nn2" localSheetId="8" hidden="1">{"'100'!$A$1:$M$83"}</definedName>
    <definedName name="__nn2" hidden="1">{"'100'!$A$1:$M$83"}</definedName>
    <definedName name="__nnn3" localSheetId="8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nnn3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NOV9" localSheetId="8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NOV9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o1" localSheetId="8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ok1" localSheetId="8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ok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ok1_1" localSheetId="8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ok1_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OSX2" localSheetId="8" hidden="1">{"Area1",#N/A,FALSE,"OREWACC";"Area2",#N/A,FALSE,"OREWACC"}</definedName>
    <definedName name="__OSX2" hidden="1">{"Area1",#N/A,FALSE,"OREWACC";"Area2",#N/A,FALSE,"OREWACC"}</definedName>
    <definedName name="__OTD2" localSheetId="8" hidden="1">{#N/A,#N/A,FALSE,"Exhibits 5-7"}</definedName>
    <definedName name="__OTD2" hidden="1">{#N/A,#N/A,FALSE,"Exhibits 5-7"}</definedName>
    <definedName name="__PPM1" localSheetId="8" hidden="1">{#N/A,#N/A,FALSE,"Aging Summary";#N/A,#N/A,FALSE,"Ratio Analysis";#N/A,#N/A,FALSE,"Test 120 Day Accts";#N/A,#N/A,FALSE,"Tickmarks"}</definedName>
    <definedName name="__PPM1" hidden="1">{#N/A,#N/A,FALSE,"Aging Summary";#N/A,#N/A,FALSE,"Ratio Analysis";#N/A,#N/A,FALSE,"Test 120 Day Accts";#N/A,#N/A,FALSE,"Tickmarks"}</definedName>
    <definedName name="__pub2" hidden="1">"L10003649.xls"</definedName>
    <definedName name="__q1" localSheetId="8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q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q2" localSheetId="8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q2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q3" hidden="1">#REF!</definedName>
    <definedName name="__q4" localSheetId="8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q4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q5" localSheetId="8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q5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q6" localSheetId="8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q6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r" localSheetId="7" hidden="1">{#N/A,#N/A,FALSE,"Pharm";#N/A,#N/A,FALSE,"WWCM"}</definedName>
    <definedName name="__r" localSheetId="8" hidden="1">{#N/A,#N/A,FALSE,"Pharm";#N/A,#N/A,FALSE,"WWCM"}</definedName>
    <definedName name="__r" hidden="1">{#N/A,#N/A,FALSE,"Pharm";#N/A,#N/A,FALSE,"WWCM"}</definedName>
    <definedName name="__r_1" localSheetId="8" hidden="1">{"consolidated",#N/A,FALSE,"Sheet1";"cms",#N/A,FALSE,"Sheet1";"fse",#N/A,FALSE,"Sheet1"}</definedName>
    <definedName name="__r_1" hidden="1">{"consolidated",#N/A,FALSE,"Sheet1";"cms",#N/A,FALSE,"Sheet1";"fse",#N/A,FALSE,"Sheet1"}</definedName>
    <definedName name="__rc" localSheetId="8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__rc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__ref10" localSheetId="8" hidden="1">{"first",#N/A,FALSE,"A";"second",#N/A,FALSE,"A"}</definedName>
    <definedName name="__ref10" hidden="1">{"first",#N/A,FALSE,"A";"second",#N/A,FALSE,"A"}</definedName>
    <definedName name="__rr1" localSheetId="8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rr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RR2" localSheetId="8" hidden="1">{#N/A,#N/A,FALSE,"Exhibits 5-7"}</definedName>
    <definedName name="__RR2" hidden="1">{#N/A,#N/A,FALSE,"Exhibits 5-7"}</definedName>
    <definedName name="__rty1" localSheetId="8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rty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s1" localSheetId="8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__s1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__s34" localSheetId="8" hidden="1">{"QTD_GENERALH2",#N/A,FALSE,"QTD"}</definedName>
    <definedName name="__s34" hidden="1">{"QTD_GENERALH2",#N/A,FALSE,"QTD"}</definedName>
    <definedName name="__sar2" localSheetId="8" hidden="1">{#N/A,#N/A,FALSE,"Aging Summary";#N/A,#N/A,FALSE,"Ratio Analysis";#N/A,#N/A,FALSE,"Test 120 Day Accts";#N/A,#N/A,FALSE,"Tickmarks"}</definedName>
    <definedName name="__sar2" hidden="1">{#N/A,#N/A,FALSE,"Aging Summary";#N/A,#N/A,FALSE,"Ratio Analysis";#N/A,#N/A,FALSE,"Test 120 Day Accts";#N/A,#N/A,FALSE,"Tickmarks"}</definedName>
    <definedName name="__sar2_1" localSheetId="8" hidden="1">{#N/A,#N/A,FALSE,"Aging Summary";#N/A,#N/A,FALSE,"Ratio Analysis";#N/A,#N/A,FALSE,"Test 120 Day Accts";#N/A,#N/A,FALSE,"Tickmarks"}</definedName>
    <definedName name="__sar2_1" hidden="1">{#N/A,#N/A,FALSE,"Aging Summary";#N/A,#N/A,FALSE,"Ratio Analysis";#N/A,#N/A,FALSE,"Test 120 Day Accts";#N/A,#N/A,FALSE,"Tickmarks"}</definedName>
    <definedName name="__sd34" localSheetId="8" hidden="1">{"QTD",#N/A,FALSE,"SUM"}</definedName>
    <definedName name="__sd34" hidden="1">{"QTD",#N/A,FALSE,"SUM"}</definedName>
    <definedName name="__set1" localSheetId="8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set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set10" localSheetId="8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set10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set11" localSheetId="8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set1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set12" localSheetId="8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set12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set13" localSheetId="8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set13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set14" localSheetId="8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set14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set15" localSheetId="8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set15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set16" localSheetId="8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set16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set17" localSheetId="8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set17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set18" localSheetId="8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set18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set19" localSheetId="8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set19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set2" localSheetId="8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set2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set20" localSheetId="8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set20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set21" localSheetId="8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set2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set22" localSheetId="8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set22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set23" localSheetId="8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set23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set3" localSheetId="8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set3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set4" localSheetId="8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set4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set5" localSheetId="8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set5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set6" localSheetId="8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set6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set7" localSheetId="8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set7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set8" localSheetId="8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set8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set9" localSheetId="8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set9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ss1" localSheetId="8" hidden="1">{#N/A,#N/A,FALSE,"P&amp;L-BS-CF"}</definedName>
    <definedName name="__ss1" hidden="1">{#N/A,#N/A,FALSE,"P&amp;L-BS-CF"}</definedName>
    <definedName name="__ss1_1" localSheetId="8" hidden="1">{#N/A,#N/A,FALSE,"P&amp;L-BS-CF"}</definedName>
    <definedName name="__ss1_1" hidden="1">{#N/A,#N/A,FALSE,"P&amp;L-BS-CF"}</definedName>
    <definedName name="__T1" localSheetId="8" hidden="1">{"'EARLY LIFE SAVINGS - COSTS '!$A$1:$N$56"}</definedName>
    <definedName name="__T1" hidden="1">{"'EARLY LIFE SAVINGS - COSTS '!$A$1:$N$56"}</definedName>
    <definedName name="__T2" localSheetId="8" hidden="1">{"'EARLY LIFE SAVINGS - COSTS '!$A$1:$N$56"}</definedName>
    <definedName name="__T2" hidden="1">{"'EARLY LIFE SAVINGS - COSTS '!$A$1:$N$56"}</definedName>
    <definedName name="__t81" localSheetId="8" hidden="1">{#N/A,#N/A,FALSE,"Aging Summary";#N/A,#N/A,FALSE,"Ratio Analysis";#N/A,#N/A,FALSE,"Test 120 Day Accts";#N/A,#N/A,FALSE,"Tickmarks"}</definedName>
    <definedName name="__t81" hidden="1">{#N/A,#N/A,FALSE,"Aging Summary";#N/A,#N/A,FALSE,"Ratio Analysis";#N/A,#N/A,FALSE,"Test 120 Day Accts";#N/A,#N/A,FALSE,"Tickmarks"}</definedName>
    <definedName name="__te2" localSheetId="8" hidden="1">{"'100'!$A$1:$M$83"}</definedName>
    <definedName name="__te2" hidden="1">{"'100'!$A$1:$M$83"}</definedName>
    <definedName name="__Tes6" localSheetId="8" hidden="1">{"'SIVA Pricing Model'!$A$1:$F$39"}</definedName>
    <definedName name="__Tes6" hidden="1">{"'SIVA Pricing Model'!$A$1:$F$39"}</definedName>
    <definedName name="__tl2" localSheetId="8" hidden="1">{"'100'!$A$1:$M$83"}</definedName>
    <definedName name="__tl2" hidden="1">{"'100'!$A$1:$M$83"}</definedName>
    <definedName name="__tm1" localSheetId="7" hidden="1">{#N/A,#N/A,FALSE,"Pharm";#N/A,#N/A,FALSE,"WWCM"}</definedName>
    <definedName name="__tm1" localSheetId="8" hidden="1">{#N/A,#N/A,FALSE,"Pharm";#N/A,#N/A,FALSE,"WWCM"}</definedName>
    <definedName name="__tm1" hidden="1">{#N/A,#N/A,FALSE,"Pharm";#N/A,#N/A,FALSE,"WWCM"}</definedName>
    <definedName name="__uu2" localSheetId="8" hidden="1">{"'100'!$A$1:$M$83"}</definedName>
    <definedName name="__uu2" hidden="1">{"'100'!$A$1:$M$83"}</definedName>
    <definedName name="__v4" localSheetId="8" hidden="1">{"français",#N/A,FALSE,"Intro";"français",#N/A,FALSE,"Index";#N/A,#N/A,FALSE,"3-Incor";#N/A,#N/A,FALSE,"4-Corpo"}</definedName>
    <definedName name="__v4" hidden="1">{"français",#N/A,FALSE,"Intro";"français",#N/A,FALSE,"Index";#N/A,#N/A,FALSE,"3-Incor";#N/A,#N/A,FALSE,"4-Corpo"}</definedName>
    <definedName name="__wr1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1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1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1_1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1_1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1_1_1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1_1_1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1_1_2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1_1_2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1_1_3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1_1_3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1_1_4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1_1_4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1_1_5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1_1_5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1_2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1_2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1_2_1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1_2_1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1_2_2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1_2_2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1_2_3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1_2_3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1_2_4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1_2_4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1_2_5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1_2_5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1_3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1_3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1_3_1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1_3_1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1_3_2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1_3_2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1_3_3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1_3_3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1_3_4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1_3_4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1_3_5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1_3_5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1_4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1_4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1_4_1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1_4_1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1_4_2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1_4_2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1_4_3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1_4_3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1_4_4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1_4_4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1_4_5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1_4_5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1_5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1_5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1_5_1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1_5_1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1_5_2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1_5_2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1_5_3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1_5_3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1_5_4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1_5_4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1_5_5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1_5_5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2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2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2_1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2_1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2_1_1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2_1_1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2_1_2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2_1_2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2_1_3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2_1_3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2_1_4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2_1_4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2_1_5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2_1_5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2_2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2_2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2_2_1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2_2_1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2_2_2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2_2_2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2_2_3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2_2_3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2_2_4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2_2_4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2_2_5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2_2_5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2_3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2_3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2_3_1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2_3_1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2_3_2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2_3_2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2_3_3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2_3_3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2_3_4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2_3_4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2_3_5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2_3_5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2_4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2_4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2_4_1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2_4_1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2_4_2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2_4_2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2_4_3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2_4_3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2_4_4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2_4_4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2_4_5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2_4_5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2_5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2_5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2_5_1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2_5_1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2_5_2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2_5_2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2_5_3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2_5_3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2_5_4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2_5_4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2_5_5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2_5_5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3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3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3_1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3_1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3_1_1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3_1_1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3_1_2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3_1_2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3_1_3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3_1_3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3_1_4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3_1_4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3_1_5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3_1_5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3_2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3_2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3_2_1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3_2_1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3_2_2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3_2_2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3_2_3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3_2_3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3_2_4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3_2_4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3_2_5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3_2_5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3_3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3_3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3_3_1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3_3_1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3_3_2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3_3_2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3_3_3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3_3_3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3_3_4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3_3_4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3_3_5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3_3_5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3_4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3_4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3_4_1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3_4_1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3_4_2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3_4_2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3_4_3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3_4_3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3_4_4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3_4_4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3_4_5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3_4_5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3_5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3_5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3_5_1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3_5_1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3_5_2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3_5_2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3_5_3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3_5_3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3_5_4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3_5_4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3_5_5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3_5_5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4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4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4_1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4_1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4_1_1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4_1_1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4_1_2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4_1_2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4_1_3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4_1_3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4_1_4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4_1_4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4_1_5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4_1_5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4_2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4_2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4_2_1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4_2_1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4_2_2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4_2_2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4_2_3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4_2_3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4_2_4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4_2_4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4_2_5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4_2_5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4_3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4_3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4_3_1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4_3_1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4_3_2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4_3_2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4_3_3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4_3_3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4_3_4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4_3_4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4_3_5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4_3_5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4_4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4_4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4_4_1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4_4_1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4_4_2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4_4_2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4_4_3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4_4_3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4_4_4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4_4_4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4_4_5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4_4_5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4_5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4_5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4_5_1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4_5_1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4_5_2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4_5_2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4_5_3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4_5_3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4_5_4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4_5_4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4_5_5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4_5_5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5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5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5_1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5_1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5_1_1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5_1_1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5_1_2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5_1_2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5_1_3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5_1_3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5_1_4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5_1_4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5_1_5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5_1_5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5_2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5_2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5_2_1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5_2_1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5_2_2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5_2_2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5_2_3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5_2_3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5_2_4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5_2_4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5_2_5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5_2_5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5_3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5_3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5_3_1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5_3_1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5_3_2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5_3_2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5_3_3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5_3_3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5_3_4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5_3_4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5_3_5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5_3_5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5_4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5_4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5_4_1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5_4_1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5_4_2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5_4_2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5_4_3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5_4_3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5_4_4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5_4_4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5_4_5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5_4_5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5_5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5_5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5_5_1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5_5_1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5_5_2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5_5_2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5_5_3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5_5_3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5_5_4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5_5_4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5_5_5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_5_5_5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2" localSheetId="8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wr2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wsd2" localSheetId="8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__wsd2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__x1" localSheetId="8" hidden="1">{"detail",#N/A,FALSE,"mfg";"summary",#N/A,FALSE,"mfg"}</definedName>
    <definedName name="__x1" hidden="1">{"detail",#N/A,FALSE,"mfg";"summary",#N/A,FALSE,"mfg"}</definedName>
    <definedName name="__X2" localSheetId="7" hidden="1">{#N/A,#N/A,FALSE,"Other";#N/A,#N/A,FALSE,"Ace";#N/A,#N/A,FALSE,"Derm"}</definedName>
    <definedName name="__X2" localSheetId="8" hidden="1">{#N/A,#N/A,FALSE,"Other";#N/A,#N/A,FALSE,"Ace";#N/A,#N/A,FALSE,"Derm"}</definedName>
    <definedName name="__X2" hidden="1">{#N/A,#N/A,FALSE,"Other";#N/A,#N/A,FALSE,"Ace";#N/A,#N/A,FALSE,"Derm"}</definedName>
    <definedName name="__x3" localSheetId="8" hidden="1">{"detail",#N/A,FALSE,"mfg";"summary",#N/A,FALSE,"mfg"}</definedName>
    <definedName name="__x3" hidden="1">{"detail",#N/A,FALSE,"mfg";"summary",#N/A,FALSE,"mfg"}</definedName>
    <definedName name="__x4" localSheetId="8" hidden="1">{#N/A,"PURCHM",FALSE,"Business Analysis";#N/A,"SPADD",FALSE,"Business Analysis"}</definedName>
    <definedName name="__x4" hidden="1">{#N/A,"PURCHM",FALSE,"Business Analysis";#N/A,"SPADD",FALSE,"Business Analysis"}</definedName>
    <definedName name="__x5" localSheetId="8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x5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xlfn.BAHTTEXT" hidden="1">#NAME?</definedName>
    <definedName name="__xlfn.IFERROR" hidden="1">#NAME?</definedName>
    <definedName name="__xx10" localSheetId="8" hidden="1">{#N/A,"PURCHM",FALSE,"Business Analysis";#N/A,"SPADD",FALSE,"Business Analysis"}</definedName>
    <definedName name="__xx10" hidden="1">{#N/A,"PURCHM",FALSE,"Business Analysis";#N/A,"SPADD",FALSE,"Business Analysis"}</definedName>
    <definedName name="__xx3" localSheetId="8" hidden="1">{"detail",#N/A,FALSE,"mfg";"summary",#N/A,FALSE,"mfg"}</definedName>
    <definedName name="__xx3" hidden="1">{"detail",#N/A,FALSE,"mfg";"summary",#N/A,FALSE,"mfg"}</definedName>
    <definedName name="__xx4" localSheetId="8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__xx4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__xx5" localSheetId="8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__xx5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__xx6" localSheetId="8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__xx6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__xx7" localSheetId="8" hidden="1">{"oct_res_comm",#N/A,FALSE,"VarToBud"}</definedName>
    <definedName name="__xx7" hidden="1">{"oct_res_comm",#N/A,FALSE,"VarToBud"}</definedName>
    <definedName name="__xx8" localSheetId="8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__xx8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__xx9" localSheetId="8" hidden="1">{"AS REP",#N/A,FALSE,"EEFSNAP2";"PROP",#N/A,FALSE,"EEFSNAP2";"RISKS",#N/A,FALSE,"EEFSNAP2";"VIEW ALL",#N/A,FALSE,"EEFSNAP2"}</definedName>
    <definedName name="__xx9" hidden="1">{"AS REP",#N/A,FALSE,"EEFSNAP2";"PROP",#N/A,FALSE,"EEFSNAP2";"RISKS",#N/A,FALSE,"EEFSNAP2";"VIEW ALL",#N/A,FALSE,"EEFSNAP2"}</definedName>
    <definedName name="__z" localSheetId="8" hidden="1">{#N/A,#N/A,FALSE,"IC Annex";#N/A,#N/A,FALSE,"Sensitivity";#N/A,#N/A,FALSE,"P&amp;L";#N/A,#N/A,FALSE,"Balance Sheet";#N/A,#N/A,FALSE,"Cash Flow";#N/A,#N/A,FALSE,"Key Assumptions";#N/A,#N/A,FALSE,"Global Assumptions";#N/A,#N/A,FALSE,"Graphs"}</definedName>
    <definedName name="__z" hidden="1">{#N/A,#N/A,FALSE,"IC Annex";#N/A,#N/A,FALSE,"Sensitivity";#N/A,#N/A,FALSE,"P&amp;L";#N/A,#N/A,FALSE,"Balance Sheet";#N/A,#N/A,FALSE,"Cash Flow";#N/A,#N/A,FALSE,"Key Assumptions";#N/A,#N/A,FALSE,"Global Assumptions";#N/A,#N/A,FALSE,"Graphs"}</definedName>
    <definedName name="__z12" localSheetId="8" hidden="1">{"pro_view",#N/A,FALSE,"EEFSNAP2";"rep_view",#N/A,FALSE,"EEFSNAP2"}</definedName>
    <definedName name="__z12" hidden="1">{"pro_view",#N/A,FALSE,"EEFSNAP2";"rep_view",#N/A,FALSE,"EEFSNAP2"}</definedName>
    <definedName name="__z2" localSheetId="8" hidden="1">{"Sch00",#N/A,FALSE,"1";"Contents",#N/A,FALSE,"1"}</definedName>
    <definedName name="__z2" hidden="1">{"Sch00",#N/A,FALSE,"1";"Contents",#N/A,FALSE,"1"}</definedName>
    <definedName name="__z22" localSheetId="8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z25" localSheetId="8" hidden="1">{"detail",#N/A,FALSE,"mfg";"summary",#N/A,FALSE,"mfg"}</definedName>
    <definedName name="__z25" hidden="1">{"detail",#N/A,FALSE,"mfg";"summary",#N/A,FALSE,"mfg"}</definedName>
    <definedName name="__z3" localSheetId="8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zz1" localSheetId="8" hidden="1">{"pro_view",#N/A,FALSE,"EEFSNAP2";"rep_view",#N/A,FALSE,"EEFSNAP2"}</definedName>
    <definedName name="__zz1" hidden="1">{"pro_view",#N/A,FALSE,"EEFSNAP2";"rep_view",#N/A,FALSE,"EEFSNAP2"}</definedName>
    <definedName name="__zz2" localSheetId="8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zz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zz3" localSheetId="8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1___123Graph_ACHART_1" hidden="1">#REF!</definedName>
    <definedName name="_1__123Graph_ACHART_1" localSheetId="7" hidden="1">[5]Seasonality!$B$19:$M$19</definedName>
    <definedName name="_1__123Graph_ACHART_1" localSheetId="8" hidden="1">#REF!</definedName>
    <definedName name="_1__123Graph_ACHART_1" hidden="1">#REF!</definedName>
    <definedName name="_1__123Graph_ACHART_11" hidden="1">#REF!</definedName>
    <definedName name="_1__123Graph_ACHART_13" hidden="1">#REF!</definedName>
    <definedName name="_1__123Graph_ACHART_15" hidden="1">#REF!</definedName>
    <definedName name="_1__123Graph_ACHART_8" hidden="1">#REF!</definedName>
    <definedName name="_1__123Graph_AGRAFICO_1" localSheetId="8" hidden="1">#REF!</definedName>
    <definedName name="_1__123Graph_AGRAFICO_1" hidden="1">#REF!</definedName>
    <definedName name="_1__123Graph_AGRAFICO_20" hidden="1">#REF!</definedName>
    <definedName name="_1__123Graph_ANG_CONFRONT_INC" hidden="1">#REF!</definedName>
    <definedName name="_1__123Graph_BCHART_1" hidden="1">#REF!</definedName>
    <definedName name="_1__123Graph_BCHART_5" localSheetId="8" hidden="1">#REF!</definedName>
    <definedName name="_1__123Graph_BCHART_5" hidden="1">#REF!</definedName>
    <definedName name="_1__FDSAUDITLINK__" localSheetId="8" hidden="1">{"fdsup://Directions/FactSet Auditing Viewer?action=AUDIT_VALUE&amp;DB=129&amp;ID1=591344&amp;VALUEID=04601&amp;SDATE=2007&amp;PERIODTYPE=ANN_STD&amp;window=popup_no_bar&amp;width=385&amp;height=120&amp;START_MAXIMIZED=FALSE&amp;creator=factset&amp;display_string=Audit"}</definedName>
    <definedName name="_1__FDSAUDITLINK__" hidden="1">{"fdsup://directions/FAT Viewer?action=UPDATE&amp;creator=factset&amp;DYN_ARGS=TRUE&amp;DOC_NAME=FAT:FQL_AUDITING_CLIENT_TEMPLATE.FAT&amp;display_string=Audit&amp;VAR:KEY=LIVCFCTIDA&amp;VAR:QUERY=RkZfRU5UUlBSX1ZBTF9EQUlMWSg0MTExMCwsLCwsJ0RJTCcp&amp;WINDOW=FIRST_POPUP&amp;HEIGHT=450&amp;WIDTH=","450&amp;START_MAXIMIZED=FALSE&amp;VAR:CALENDAR=US&amp;VAR:SYMBOL=711075&amp;VAR:INDEX=0"}</definedName>
    <definedName name="_1__FDSAUDITLINK___1" localSheetId="8" hidden="1">{"fdsup://Directions/FactSet Auditing Viewer?action=AUDIT_VALUE&amp;DB=129&amp;ID1=591344&amp;VALUEID=04601&amp;SDATE=2007&amp;PERIODTYPE=ANN_STD&amp;window=popup_no_bar&amp;width=385&amp;height=120&amp;START_MAXIMIZED=FALSE&amp;creator=factset&amp;display_string=Audit"}</definedName>
    <definedName name="_1__FDSAUDITLINK___1" hidden="1">{"fdsup://Directions/FactSet Auditing Viewer?action=AUDIT_VALUE&amp;DB=129&amp;ID1=591344&amp;VALUEID=04601&amp;SDATE=2007&amp;PERIODTYPE=ANN_STD&amp;window=popup_no_bar&amp;width=385&amp;height=120&amp;START_MAXIMIZED=FALSE&amp;creator=factset&amp;display_string=Audit"}</definedName>
    <definedName name="_10__123Graph_ACHART_2" hidden="1">#REF!</definedName>
    <definedName name="_10__123Graph_ACHART_21" hidden="1">#REF!</definedName>
    <definedName name="_10__123Graph_ACHART_5" hidden="1">#REF!</definedName>
    <definedName name="_10__123Graph_AGRAFICO_6" localSheetId="8" hidden="1">#REF!</definedName>
    <definedName name="_10__123Graph_AGRAFICO_6" hidden="1">#REF!</definedName>
    <definedName name="_10__123Graph_BCHART_1" localSheetId="7" hidden="1">#REF!</definedName>
    <definedName name="_10__123Graph_BCHART_1" localSheetId="8" hidden="1">#REF!</definedName>
    <definedName name="_10__123Graph_BCHART_1" hidden="1">#REF!</definedName>
    <definedName name="_10__123Graph_BCHART_2" localSheetId="7" hidden="1">#REF!</definedName>
    <definedName name="_10__123Graph_BCHART_2" localSheetId="8" hidden="1">#REF!</definedName>
    <definedName name="_10__123Graph_BCHART_2" hidden="1">#REF!</definedName>
    <definedName name="_10__123Graph_BChart_3" hidden="1">#REF!</definedName>
    <definedName name="_10__123Graph_BCHART_6" hidden="1">#REF!</definedName>
    <definedName name="_10__123Graph_CGRAFICO_20" hidden="1">#REF!</definedName>
    <definedName name="_10__123Graph_EGRAFICO_20" hidden="1">#REF!</definedName>
    <definedName name="_10__123Graph_FGRAFICO_20" hidden="1">#REF!</definedName>
    <definedName name="_10__123Graph_LBL_ACHART_2" hidden="1">#REF!</definedName>
    <definedName name="_10__123Graph_LBL_BCONTRIB_II" hidden="1">#N/A</definedName>
    <definedName name="_10__123Graph_LBL_BNG_CONFRONT_INC" hidden="1">#REF!</definedName>
    <definedName name="_10__123Graph_XCHART_15" hidden="1">#REF!</definedName>
    <definedName name="_10__FDSAUDITLINK__" localSheetId="8" hidden="1">{"fdsup://directions/FAT Viewer?action=UPDATE&amp;creator=factset&amp;DYN_ARGS=TRUE&amp;DOC_NAME=FAT:FQL_AUDITING_CLIENT_TEMPLATE.FAT&amp;display_string=Audit&amp;VAR:KEY=WBKZCTURYL&amp;VAR:QUERY=RkZfRUJJVF9JQihBTk4sNDAxNzgsLCwsRVVSKQ==&amp;WINDOW=FIRST_POPUP&amp;HEIGHT=450&amp;WIDTH=450&amp;STAR","T_MAXIMIZED=FALSE&amp;VAR:CALENDAR=FIVEDAY&amp;VAR:SYMBOL=591344&amp;VAR:INDEX=0"}</definedName>
    <definedName name="_10__FDSAUDITLINK__" hidden="1">{"fdsup://directions/FAT Viewer?action=UPDATE&amp;creator=factset&amp;DYN_ARGS=TRUE&amp;DOC_NAME=FAT:FQL_AUDITING_CLIENT_TEMPLATE.FAT&amp;display_string=Audit&amp;VAR:KEY=WBKZCTURYL&amp;VAR:QUERY=RkZfRUJJVF9JQihBTk4sNDAxNzgsLCwsRVVSKQ==&amp;WINDOW=FIRST_POPUP&amp;HEIGHT=450&amp;WIDTH=450&amp;STAR","T_MAXIMIZED=FALSE&amp;VAR:CALENDAR=FIVEDAY&amp;VAR:SYMBOL=591344&amp;VAR:INDEX=0"}</definedName>
    <definedName name="_10__FDSAUDITLINK___1" localSheetId="8" hidden="1">{"fdsup://directions/FAT Viewer?action=UPDATE&amp;creator=factset&amp;DYN_ARGS=TRUE&amp;DOC_NAME=FAT:FQL_AUDITING_CLIENT_TEMPLATE.FAT&amp;display_string=Audit&amp;VAR:KEY=WBKZCTURYL&amp;VAR:QUERY=RkZfRUJJVF9JQihBTk4sNDAxNzgsLCwsRVVSKQ==&amp;WINDOW=FIRST_POPUP&amp;HEIGHT=450&amp;WIDTH=450&amp;STAR","T_MAXIMIZED=FALSE&amp;VAR:CALENDAR=FIVEDAY&amp;VAR:SYMBOL=591344&amp;VAR:INDEX=0"}</definedName>
    <definedName name="_10__FDSAUDITLINK___1" hidden="1">{"fdsup://directions/FAT Viewer?action=UPDATE&amp;creator=factset&amp;DYN_ARGS=TRUE&amp;DOC_NAME=FAT:FQL_AUDITING_CLIENT_TEMPLATE.FAT&amp;display_string=Audit&amp;VAR:KEY=WBKZCTURYL&amp;VAR:QUERY=RkZfRUJJVF9JQihBTk4sNDAxNzgsLCwsRVVSKQ==&amp;WINDOW=FIRST_POPUP&amp;HEIGHT=450&amp;WIDTH=450&amp;STAR","T_MAXIMIZED=FALSE&amp;VAR:CALENDAR=FIVEDAY&amp;VAR:SYMBOL=591344&amp;VAR:INDEX=0"}</definedName>
    <definedName name="_10_123Graph_LB" hidden="1">#REF!</definedName>
    <definedName name="_100__123Graph_LBL_ACHART_14" hidden="1">#REF!</definedName>
    <definedName name="_100__123Graph_XCHART_10" localSheetId="8" hidden="1">#REF!</definedName>
    <definedName name="_100__123Graph_XCHART_10" hidden="1">#REF!</definedName>
    <definedName name="_100__123Graph_XCHART_13" hidden="1">#REF!</definedName>
    <definedName name="_100__123Graph_XCHART_3" hidden="1">#REF!</definedName>
    <definedName name="_100__FDSAUDITLINK__" localSheetId="8" hidden="1">{"fdsup://directions/FAT Viewer?action=UPDATE&amp;creator=factset&amp;DYN_ARGS=TRUE&amp;DOC_NAME=FAT:FQL_AUDITING_CLIENT_TEMPLATE.FAT&amp;display_string=Audit&amp;VAR:KEY=DUPOTGNQZA&amp;VAR:QUERY=RkZfRUJJVF9JQignQU5OJywzOTA4MiwsLCwnU0VLJyk=&amp;WINDOW=FIRST_POPUP&amp;HEIGHT=450&amp;WIDTH=450&amp;","START_MAXIMIZED=FALSE&amp;VAR:CALENDAR=FIVEDAY&amp;VAR:SYMBOL=454047&amp;VAR:INDEX=0"}</definedName>
    <definedName name="_100__FDSAUDITLINK__" hidden="1">{"fdsup://directions/FAT Viewer?action=UPDATE&amp;creator=factset&amp;DYN_ARGS=TRUE&amp;DOC_NAME=FAT:FQL_AUDITING_CLIENT_TEMPLATE.FAT&amp;display_string=Audit&amp;VAR:KEY=PENCTKNITE&amp;VAR:QUERY=RkZfRVBTX0RJTChDQUwsMjAxMSk=&amp;WINDOW=FIRST_POPUP&amp;HEIGHT=450&amp;WIDTH=450&amp;START_MAXIMIZED=","FALSE&amp;VAR:CALENDAR=US&amp;VAR:SYMBOL=450270&amp;VAR:INDEX=0"}</definedName>
    <definedName name="_100__FDSAUDITLINK___1" localSheetId="8" hidden="1">{"fdsup://directions/FAT Viewer?action=UPDATE&amp;creator=factset&amp;DYN_ARGS=TRUE&amp;DOC_NAME=FAT:FQL_AUDITING_CLIENT_TEMPLATE.FAT&amp;display_string=Audit&amp;VAR:KEY=DUPOTGNQZA&amp;VAR:QUERY=RkZfRUJJVF9JQignQU5OJywzOTA4MiwsLCwnU0VLJyk=&amp;WINDOW=FIRST_POPUP&amp;HEIGHT=450&amp;WIDTH=450&amp;","START_MAXIMIZED=FALSE&amp;VAR:CALENDAR=FIVEDAY&amp;VAR:SYMBOL=454047&amp;VAR:INDEX=0"}</definedName>
    <definedName name="_100__FDSAUDITLINK___1" hidden="1">{"fdsup://directions/FAT Viewer?action=UPDATE&amp;creator=factset&amp;DYN_ARGS=TRUE&amp;DOC_NAME=FAT:FQL_AUDITING_CLIENT_TEMPLATE.FAT&amp;display_string=Audit&amp;VAR:KEY=DUPOTGNQZA&amp;VAR:QUERY=RkZfRUJJVF9JQignQU5OJywzOTA4MiwsLCwnU0VLJyk=&amp;WINDOW=FIRST_POPUP&amp;HEIGHT=450&amp;WIDTH=450&amp;","START_MAXIMIZED=FALSE&amp;VAR:CALENDAR=FIVEDAY&amp;VAR:SYMBOL=454047&amp;VAR:INDEX=0"}</definedName>
    <definedName name="_1000__FDSAUDITLINK__" localSheetId="8" hidden="1">{"fdsup://IBCentral/FAT Viewer?action=UPDATE&amp;creator=factset&amp;DOC_NAME=fat:reuters_qtrly_source_window.fat&amp;display_string=Audit&amp;DYN_ARGS=TRUE&amp;VAR:ID1=221353&amp;VAR:RCODE=LMIN&amp;VAR:SDATE=20060999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000__FDSAUDITLINK__" hidden="1">{"fdsup://IBCentral/FAT Viewer?action=UPDATE&amp;creator=factset&amp;DOC_NAME=fat:reuters_qtrly_source_window.fat&amp;display_string=Audit&amp;DYN_ARGS=TRUE&amp;VAR:ID1=221353&amp;VAR:RCODE=LMIN&amp;VAR:SDATE=20060999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001__FDSAUDITLINK__" localSheetId="8" hidden="1">{"fdsup://IBCentral/FAT Viewer?action=UPDATE&amp;creator=factset&amp;DOC_NAME=fat:reuters_qtrly_source_window.fat&amp;display_string=Audit&amp;DYN_ARGS=TRUE&amp;VAR:ID1=221353&amp;VAR:RCODE=STLD&amp;VAR:SDATE=20060999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001__FDSAUDITLINK__" hidden="1">{"fdsup://IBCentral/FAT Viewer?action=UPDATE&amp;creator=factset&amp;DOC_NAME=fat:reuters_qtrly_source_window.fat&amp;display_string=Audit&amp;DYN_ARGS=TRUE&amp;VAR:ID1=221353&amp;VAR:RCODE=STLD&amp;VAR:SDATE=20060999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002__FDSAUDITLINK__" localSheetId="8" hidden="1">{"fdsup://IBCentral/FAT Viewer?action=UPDATE&amp;creator=factset&amp;DOC_NAME=fat:reuters_qtrly_source_window.fat&amp;display_string=Audit&amp;DYN_ARGS=TRUE&amp;VAR:ID1=221353&amp;VAR:RCODE=SCSI&amp;VAR:SDATE=20060999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002__FDSAUDITLINK__" hidden="1">{"fdsup://IBCentral/FAT Viewer?action=UPDATE&amp;creator=factset&amp;DOC_NAME=fat:reuters_qtrly_source_window.fat&amp;display_string=Audit&amp;DYN_ARGS=TRUE&amp;VAR:ID1=221353&amp;VAR:RCODE=SCSI&amp;VAR:SDATE=20060999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003__FDSAUDITLINK__" localSheetId="8" hidden="1">{"fdsup://IBCentral/FAT Viewer?action=UPDATE&amp;creator=factset&amp;DOC_NAME=fat:reuters_annual_source_window.fat&amp;display_string=Audit&amp;DYN_ARGS=TRUE&amp;VAR:ID1=221353&amp;VAR:RCODE=FDSPFDSTKTOTAL&amp;VAR:SDATE=20051299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003__FDSAUDITLINK__" hidden="1">{"fdsup://IBCentral/FAT Viewer?action=UPDATE&amp;creator=factset&amp;DOC_NAME=fat:reuters_annual_source_window.fat&amp;display_string=Audit&amp;DYN_ARGS=TRUE&amp;VAR:ID1=221353&amp;VAR:RCODE=FDSPFDSTKTOTAL&amp;VAR:SDATE=20051299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004__FDSAUDITLINK__" localSheetId="8" hidden="1">{"fdsup://IBCentral/FAT Viewer?action=UPDATE&amp;creator=factset&amp;DOC_NAME=fat:reuters_annual_source_window.fat&amp;display_string=Audit&amp;DYN_ARGS=TRUE&amp;VAR:ID1=221353&amp;VAR:RCODE=AEQI&amp;VAR:SDATE=20051299&amp;VAR:FREQ=Y&amp;VAR:RELITEM=RP&amp;VAR:CURRENCY=USD&amp;VAR:CURRSOURCE=EXSHARE&amp;","VAR:NATFREQ=ANNUAL&amp;VAR:RFIELD=FINALIZED&amp;VAR:DB_TYPE=&amp;VAR:UNITS=M&amp;window=popup&amp;width=450&amp;height=300&amp;START_MAXIMIZED=FALSE"}</definedName>
    <definedName name="_1004__FDSAUDITLINK__" hidden="1">{"fdsup://IBCentral/FAT Viewer?action=UPDATE&amp;creator=factset&amp;DOC_NAME=fat:reuters_annual_source_window.fat&amp;display_string=Audit&amp;DYN_ARGS=TRUE&amp;VAR:ID1=221353&amp;VAR:RCODE=AEQI&amp;VAR:SDATE=20051299&amp;VAR:FREQ=Y&amp;VAR:RELITEM=RP&amp;VAR:CURRENCY=USD&amp;VAR:CURRSOURCE=EXSHARE&amp;","VAR:NATFREQ=ANNUAL&amp;VAR:RFIELD=FINALIZED&amp;VAR:DB_TYPE=&amp;VAR:UNITS=M&amp;window=popup&amp;width=450&amp;height=300&amp;START_MAXIMIZED=FALSE"}</definedName>
    <definedName name="_1005__FDSAUDITLINK__" localSheetId="8" hidden="1">{"fdsup://IBCentral/FAT Viewer?action=UPDATE&amp;creator=factset&amp;DOC_NAME=fat:reuters_qtrly_source_window.fat&amp;display_string=Audit&amp;DYN_ARGS=TRUE&amp;VAR:ID1=221353&amp;VAR:RCODE=LMIN&amp;VAR:SDATE=20060999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005__FDSAUDITLINK__" hidden="1">{"fdsup://IBCentral/FAT Viewer?action=UPDATE&amp;creator=factset&amp;DOC_NAME=fat:reuters_qtrly_source_window.fat&amp;display_string=Audit&amp;DYN_ARGS=TRUE&amp;VAR:ID1=221353&amp;VAR:RCODE=LMIN&amp;VAR:SDATE=20060999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006__FDSAUDITLINK__" localSheetId="8" hidden="1">{"fdsup://IBCentral/FAT Viewer?action=UPDATE&amp;creator=factset&amp;DOC_NAME=fat:reuters_qtrly_source_window.fat&amp;display_string=Audit&amp;DYN_ARGS=TRUE&amp;VAR:ID1=221353&amp;VAR:RCODE=STLD&amp;VAR:SDATE=20060999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006__FDSAUDITLINK__" hidden="1">{"fdsup://IBCentral/FAT Viewer?action=UPDATE&amp;creator=factset&amp;DOC_NAME=fat:reuters_qtrly_source_window.fat&amp;display_string=Audit&amp;DYN_ARGS=TRUE&amp;VAR:ID1=221353&amp;VAR:RCODE=STLD&amp;VAR:SDATE=20060999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007__FDSAUDITLINK__" localSheetId="8" hidden="1">{"fdsup://IBCentral/FAT Viewer?action=UPDATE&amp;creator=factset&amp;DOC_NAME=fat:reuters_qtrly_source_window.fat&amp;display_string=Audit&amp;DYN_ARGS=TRUE&amp;VAR:ID1=221353&amp;VAR:RCODE=SCSI&amp;VAR:SDATE=20060999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007__FDSAUDITLINK__" hidden="1">{"fdsup://IBCentral/FAT Viewer?action=UPDATE&amp;creator=factset&amp;DOC_NAME=fat:reuters_qtrly_source_window.fat&amp;display_string=Audit&amp;DYN_ARGS=TRUE&amp;VAR:ID1=221353&amp;VAR:RCODE=SCSI&amp;VAR:SDATE=20060999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008__FDSAUDITLINK__" localSheetId="8" hidden="1">{"fdsup://IBCentral/FAT Viewer?action=UPDATE&amp;creator=factset&amp;DOC_NAME=fat:reuters_annual_source_window.fat&amp;display_string=Audit&amp;DYN_ARGS=TRUE&amp;VAR:ID1=221353&amp;VAR:RCODE=FDSPFDSTKTOTAL&amp;VAR:SDATE=20051299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008__FDSAUDITLINK__" hidden="1">{"fdsup://IBCentral/FAT Viewer?action=UPDATE&amp;creator=factset&amp;DOC_NAME=fat:reuters_annual_source_window.fat&amp;display_string=Audit&amp;DYN_ARGS=TRUE&amp;VAR:ID1=221353&amp;VAR:RCODE=FDSPFDSTKTOTAL&amp;VAR:SDATE=20051299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009__FDSAUDITLINK__" localSheetId="8" hidden="1">{"fdsup://IBCentral/FAT Viewer?action=UPDATE&amp;creator=factset&amp;DOC_NAME=fat:reuters_annual_source_window.fat&amp;display_string=Audit&amp;DYN_ARGS=TRUE&amp;VAR:ID1=221353&amp;VAR:RCODE=AEQI&amp;VAR:SDATE=20051299&amp;VAR:FREQ=Y&amp;VAR:RELITEM=RP&amp;VAR:CURRENCY=USD&amp;VAR:CURRSOURCE=EXSHARE&amp;","VAR:NATFREQ=ANNUAL&amp;VAR:RFIELD=FINALIZED&amp;VAR:DB_TYPE=&amp;VAR:UNITS=M&amp;window=popup&amp;width=450&amp;height=300&amp;START_MAXIMIZED=FALSE"}</definedName>
    <definedName name="_1009__FDSAUDITLINK__" hidden="1">{"fdsup://IBCentral/FAT Viewer?action=UPDATE&amp;creator=factset&amp;DOC_NAME=fat:reuters_annual_source_window.fat&amp;display_string=Audit&amp;DYN_ARGS=TRUE&amp;VAR:ID1=221353&amp;VAR:RCODE=AEQI&amp;VAR:SDATE=20051299&amp;VAR:FREQ=Y&amp;VAR:RELITEM=RP&amp;VAR:CURRENCY=USD&amp;VAR:CURRSOURCE=EXSHARE&amp;","VAR:NATFREQ=ANNUAL&amp;VAR:RFIELD=FINALIZED&amp;VAR:DB_TYPE=&amp;VAR:UNITS=M&amp;window=popup&amp;width=450&amp;height=300&amp;START_MAXIMIZED=FALSE"}</definedName>
    <definedName name="_101__123Graph_LBL_ACHART_15" hidden="1">#REF!</definedName>
    <definedName name="_101__123Graph_XCHART_15" hidden="1">#REF!</definedName>
    <definedName name="_101__FDSAUDITLINK__" localSheetId="8" hidden="1">{"fdsup://directions/FAT Viewer?action=UPDATE&amp;creator=factset&amp;DYN_ARGS=TRUE&amp;DOC_NAME=FAT:FQL_AUDITING_CLIENT_TEMPLATE.FAT&amp;display_string=Audit&amp;VAR:KEY=ZALWFUJCVI&amp;VAR:QUERY=RkZfRUJJVF9JQignQU5OJywzODcxNywsLCwnU0VLJyk=&amp;WINDOW=FIRST_POPUP&amp;HEIGHT=450&amp;WIDTH=450&amp;","START_MAXIMIZED=FALSE&amp;VAR:CALENDAR=FIVEDAY&amp;VAR:SYMBOL=454047&amp;VAR:INDEX=0"}</definedName>
    <definedName name="_101__FDSAUDITLINK__" hidden="1">{"fdsup://directions/FAT Viewer?action=UPDATE&amp;creator=factset&amp;DYN_ARGS=TRUE&amp;DOC_NAME=FAT:FQL_AUDITING_CLIENT_TEMPLATE.FAT&amp;display_string=Audit&amp;VAR:KEY=MPMPKPUTIV&amp;VAR:QUERY=RkZfRVBTX0RJTChDQUwsMjAxMSk=&amp;WINDOW=FIRST_POPUP&amp;HEIGHT=450&amp;WIDTH=450&amp;START_MAXIMIZED=","FALSE&amp;VAR:CALENDAR=US&amp;VAR:SYMBOL=BLDR&amp;VAR:INDEX=0"}</definedName>
    <definedName name="_101__FDSAUDITLINK___1" localSheetId="8" hidden="1">{"fdsup://directions/FAT Viewer?action=UPDATE&amp;creator=factset&amp;DYN_ARGS=TRUE&amp;DOC_NAME=FAT:FQL_AUDITING_CLIENT_TEMPLATE.FAT&amp;display_string=Audit&amp;VAR:KEY=ZALWFUJCVI&amp;VAR:QUERY=RkZfRUJJVF9JQignQU5OJywzODcxNywsLCwnU0VLJyk=&amp;WINDOW=FIRST_POPUP&amp;HEIGHT=450&amp;WIDTH=450&amp;","START_MAXIMIZED=FALSE&amp;VAR:CALENDAR=FIVEDAY&amp;VAR:SYMBOL=454047&amp;VAR:INDEX=0"}</definedName>
    <definedName name="_101__FDSAUDITLINK___1" hidden="1">{"fdsup://directions/FAT Viewer?action=UPDATE&amp;creator=factset&amp;DYN_ARGS=TRUE&amp;DOC_NAME=FAT:FQL_AUDITING_CLIENT_TEMPLATE.FAT&amp;display_string=Audit&amp;VAR:KEY=ZALWFUJCVI&amp;VAR:QUERY=RkZfRUJJVF9JQignQU5OJywzODcxNywsLCwnU0VLJyk=&amp;WINDOW=FIRST_POPUP&amp;HEIGHT=450&amp;WIDTH=450&amp;","START_MAXIMIZED=FALSE&amp;VAR:CALENDAR=FIVEDAY&amp;VAR:SYMBOL=454047&amp;VAR:INDEX=0"}</definedName>
    <definedName name="_1010__FDSAUDITLINK__" localSheetId="8" hidden="1">{"fdsup://IBCentral/FAT Viewer?action=UPDATE&amp;creator=factset&amp;DOC_NAME=fat:reuters_qtrly_source_window.fat&amp;display_string=Audit&amp;DYN_ARGS=TRUE&amp;VAR:ID1=221353&amp;VAR:RCODE=LMIN&amp;VAR:SDATE=20060999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010__FDSAUDITLINK__" hidden="1">{"fdsup://IBCentral/FAT Viewer?action=UPDATE&amp;creator=factset&amp;DOC_NAME=fat:reuters_qtrly_source_window.fat&amp;display_string=Audit&amp;DYN_ARGS=TRUE&amp;VAR:ID1=221353&amp;VAR:RCODE=LMIN&amp;VAR:SDATE=20060999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011__FDSAUDITLINK__" localSheetId="8" hidden="1">{"fdsup://IBCentral/FAT Viewer?action=UPDATE&amp;creator=factset&amp;DOC_NAME=fat:reuters_qtrly_source_window.fat&amp;display_string=Audit&amp;DYN_ARGS=TRUE&amp;VAR:ID1=221353&amp;VAR:RCODE=STLD&amp;VAR:SDATE=20060999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011__FDSAUDITLINK__" hidden="1">{"fdsup://IBCentral/FAT Viewer?action=UPDATE&amp;creator=factset&amp;DOC_NAME=fat:reuters_qtrly_source_window.fat&amp;display_string=Audit&amp;DYN_ARGS=TRUE&amp;VAR:ID1=221353&amp;VAR:RCODE=STLD&amp;VAR:SDATE=20060999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012__FDSAUDITLINK__" localSheetId="8" hidden="1">{"fdsup://IBCentral/FAT Viewer?action=UPDATE&amp;creator=factset&amp;DOC_NAME=fat:reuters_qtrly_source_window.fat&amp;display_string=Audit&amp;DYN_ARGS=TRUE&amp;VAR:ID1=221353&amp;VAR:RCODE=SCSI&amp;VAR:SDATE=20060999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012__FDSAUDITLINK__" hidden="1">{"fdsup://IBCentral/FAT Viewer?action=UPDATE&amp;creator=factset&amp;DOC_NAME=fat:reuters_qtrly_source_window.fat&amp;display_string=Audit&amp;DYN_ARGS=TRUE&amp;VAR:ID1=221353&amp;VAR:RCODE=SCSI&amp;VAR:SDATE=20060999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013__FDSAUDITLINK__" localSheetId="8" hidden="1">{"fdsup://IBCentral/FAT Viewer?action=UPDATE&amp;creator=factset&amp;DOC_NAME=fat:reuters_annual_source_window.fat&amp;display_string=Audit&amp;DYN_ARGS=TRUE&amp;VAR:ID1=221353&amp;VAR:RCODE=FDSPFDSTKTOTAL&amp;VAR:SDATE=20051299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013__FDSAUDITLINK__" hidden="1">{"fdsup://IBCentral/FAT Viewer?action=UPDATE&amp;creator=factset&amp;DOC_NAME=fat:reuters_annual_source_window.fat&amp;display_string=Audit&amp;DYN_ARGS=TRUE&amp;VAR:ID1=221353&amp;VAR:RCODE=FDSPFDSTKTOTAL&amp;VAR:SDATE=20051299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014__FDSAUDITLINK__" localSheetId="8" hidden="1">{"fdsup://IBCentral/FAT Viewer?action=UPDATE&amp;creator=factset&amp;DOC_NAME=fat:reuters_annual_source_window.fat&amp;display_string=Audit&amp;DYN_ARGS=TRUE&amp;VAR:ID1=221353&amp;VAR:RCODE=AEQI&amp;VAR:SDATE=20051299&amp;VAR:FREQ=Y&amp;VAR:RELITEM=RP&amp;VAR:CURRENCY=USD&amp;VAR:CURRSOURCE=EXSHARE&amp;","VAR:NATFREQ=ANNUAL&amp;VAR:RFIELD=FINALIZED&amp;VAR:DB_TYPE=&amp;VAR:UNITS=M&amp;window=popup&amp;width=450&amp;height=300&amp;START_MAXIMIZED=FALSE"}</definedName>
    <definedName name="_1014__FDSAUDITLINK__" hidden="1">{"fdsup://IBCentral/FAT Viewer?action=UPDATE&amp;creator=factset&amp;DOC_NAME=fat:reuters_annual_source_window.fat&amp;display_string=Audit&amp;DYN_ARGS=TRUE&amp;VAR:ID1=221353&amp;VAR:RCODE=AEQI&amp;VAR:SDATE=20051299&amp;VAR:FREQ=Y&amp;VAR:RELITEM=RP&amp;VAR:CURRENCY=USD&amp;VAR:CURRSOURCE=EXSHARE&amp;","VAR:NATFREQ=ANNUAL&amp;VAR:RFIELD=FINALIZED&amp;VAR:DB_TYPE=&amp;VAR:UNITS=M&amp;window=popup&amp;width=450&amp;height=300&amp;START_MAXIMIZED=FALSE"}</definedName>
    <definedName name="_1015__FDSAUDITLINK__" localSheetId="8" hidden="1">{"fdsup://IBCentral/FAT Viewer?action=UPDATE&amp;creator=factset&amp;DOC_NAME=fat:reuters_qtrly_source_window.fat&amp;display_string=Audit&amp;DYN_ARGS=TRUE&amp;VAR:ID1=221353&amp;VAR:RCODE=LMIN&amp;VAR:SDATE=20060999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015__FDSAUDITLINK__" hidden="1">{"fdsup://IBCentral/FAT Viewer?action=UPDATE&amp;creator=factset&amp;DOC_NAME=fat:reuters_qtrly_source_window.fat&amp;display_string=Audit&amp;DYN_ARGS=TRUE&amp;VAR:ID1=221353&amp;VAR:RCODE=LMIN&amp;VAR:SDATE=20060999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016__FDSAUDITLINK__" localSheetId="8" hidden="1">{"fdsup://IBCentral/FAT Viewer?action=UPDATE&amp;creator=factset&amp;DOC_NAME=fat:reuters_qtrly_source_window.fat&amp;display_string=Audit&amp;DYN_ARGS=TRUE&amp;VAR:ID1=221353&amp;VAR:RCODE=STLD&amp;VAR:SDATE=20060999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016__FDSAUDITLINK__" hidden="1">{"fdsup://IBCentral/FAT Viewer?action=UPDATE&amp;creator=factset&amp;DOC_NAME=fat:reuters_qtrly_source_window.fat&amp;display_string=Audit&amp;DYN_ARGS=TRUE&amp;VAR:ID1=221353&amp;VAR:RCODE=STLD&amp;VAR:SDATE=20060999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017__FDSAUDITLINK__" localSheetId="8" hidden="1">{"fdsup://IBCentral/FAT Viewer?action=UPDATE&amp;creator=factset&amp;DOC_NAME=fat:reuters_qtrly_source_window.fat&amp;display_string=Audit&amp;DYN_ARGS=TRUE&amp;VAR:ID1=221353&amp;VAR:RCODE=SCSI&amp;VAR:SDATE=20060999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017__FDSAUDITLINK__" hidden="1">{"fdsup://IBCentral/FAT Viewer?action=UPDATE&amp;creator=factset&amp;DOC_NAME=fat:reuters_qtrly_source_window.fat&amp;display_string=Audit&amp;DYN_ARGS=TRUE&amp;VAR:ID1=221353&amp;VAR:RCODE=SCSI&amp;VAR:SDATE=20060999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018__FDSAUDITLINK__" localSheetId="8" hidden="1">{"fdsup://IBCentral/FAT Viewer?action=UPDATE&amp;creator=factset&amp;DOC_NAME=fat:reuters_annual_source_window.fat&amp;display_string=Audit&amp;DYN_ARGS=TRUE&amp;VAR:ID1=221353&amp;VAR:RCODE=FDSPFDSTKTOTAL&amp;VAR:SDATE=20051299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018__FDSAUDITLINK__" hidden="1">{"fdsup://IBCentral/FAT Viewer?action=UPDATE&amp;creator=factset&amp;DOC_NAME=fat:reuters_annual_source_window.fat&amp;display_string=Audit&amp;DYN_ARGS=TRUE&amp;VAR:ID1=221353&amp;VAR:RCODE=FDSPFDSTKTOTAL&amp;VAR:SDATE=20051299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019__FDSAUDITLINK__" localSheetId="8" hidden="1">{"fdsup://IBCentral/FAT Viewer?action=UPDATE&amp;creator=factset&amp;DOC_NAME=fat:reuters_annual_source_window.fat&amp;display_string=Audit&amp;DYN_ARGS=TRUE&amp;VAR:ID1=221353&amp;VAR:RCODE=AEQI&amp;VAR:SDATE=20051299&amp;VAR:FREQ=Y&amp;VAR:RELITEM=RP&amp;VAR:CURRENCY=USD&amp;VAR:CURRSOURCE=EXSHARE&amp;","VAR:NATFREQ=ANNUAL&amp;VAR:RFIELD=FINALIZED&amp;VAR:DB_TYPE=&amp;VAR:UNITS=M&amp;window=popup&amp;width=450&amp;height=300&amp;START_MAXIMIZED=FALSE"}</definedName>
    <definedName name="_1019__FDSAUDITLINK__" hidden="1">{"fdsup://IBCentral/FAT Viewer?action=UPDATE&amp;creator=factset&amp;DOC_NAME=fat:reuters_annual_source_window.fat&amp;display_string=Audit&amp;DYN_ARGS=TRUE&amp;VAR:ID1=221353&amp;VAR:RCODE=AEQI&amp;VAR:SDATE=20051299&amp;VAR:FREQ=Y&amp;VAR:RELITEM=RP&amp;VAR:CURRENCY=USD&amp;VAR:CURRSOURCE=EXSHARE&amp;","VAR:NATFREQ=ANNUAL&amp;VAR:RFIELD=FINALIZED&amp;VAR:DB_TYPE=&amp;VAR:UNITS=M&amp;window=popup&amp;width=450&amp;height=300&amp;START_MAXIMIZED=FALSE"}</definedName>
    <definedName name="_102__123Graph_LBL_ACHART_16" hidden="1">#REF!</definedName>
    <definedName name="_102__123Graph_XCHART_16" hidden="1">#REF!</definedName>
    <definedName name="_102__FDSAUDITLINK__" localSheetId="8" hidden="1">{"fdsup://directions/FAT Viewer?action=UPDATE&amp;creator=factset&amp;DYN_ARGS=TRUE&amp;DOC_NAME=FAT:FQL_AUDITING_CLIENT_TEMPLATE.FAT&amp;display_string=Audit&amp;VAR:KEY=VUFGLCJSJG&amp;VAR:QUERY=RkZfRUJJVF9JQignQU5OJywzODM1MiwsLCwnU0VLJyk=&amp;WINDOW=FIRST_POPUP&amp;HEIGHT=450&amp;WIDTH=450&amp;","START_MAXIMIZED=FALSE&amp;VAR:CALENDAR=FIVEDAY&amp;VAR:SYMBOL=454047&amp;VAR:INDEX=0"}</definedName>
    <definedName name="_102__FDSAUDITLINK__" hidden="1">{"fdsup://directions/FAT Viewer?action=UPDATE&amp;creator=factset&amp;DYN_ARGS=TRUE&amp;DOC_NAME=FAT:FQL_AUDITING_CLIENT_TEMPLATE.FAT&amp;display_string=Audit&amp;VAR:KEY=ATSTEPSNYT&amp;VAR:QUERY=RkZfRVBTX0RJTChDQUwsMjAxMSk=&amp;WINDOW=FIRST_POPUP&amp;HEIGHT=450&amp;WIDTH=450&amp;START_MAXIMIZED=","FALSE&amp;VAR:CALENDAR=US&amp;VAR:SYMBOL=VMC&amp;VAR:INDEX=0"}</definedName>
    <definedName name="_102__FDSAUDITLINK___1" localSheetId="8" hidden="1">{"fdsup://directions/FAT Viewer?action=UPDATE&amp;creator=factset&amp;DYN_ARGS=TRUE&amp;DOC_NAME=FAT:FQL_AUDITING_CLIENT_TEMPLATE.FAT&amp;display_string=Audit&amp;VAR:KEY=VUFGLCJSJG&amp;VAR:QUERY=RkZfRUJJVF9JQignQU5OJywzODM1MiwsLCwnU0VLJyk=&amp;WINDOW=FIRST_POPUP&amp;HEIGHT=450&amp;WIDTH=450&amp;","START_MAXIMIZED=FALSE&amp;VAR:CALENDAR=FIVEDAY&amp;VAR:SYMBOL=454047&amp;VAR:INDEX=0"}</definedName>
    <definedName name="_102__FDSAUDITLINK___1" hidden="1">{"fdsup://directions/FAT Viewer?action=UPDATE&amp;creator=factset&amp;DYN_ARGS=TRUE&amp;DOC_NAME=FAT:FQL_AUDITING_CLIENT_TEMPLATE.FAT&amp;display_string=Audit&amp;VAR:KEY=VUFGLCJSJG&amp;VAR:QUERY=RkZfRUJJVF9JQignQU5OJywzODM1MiwsLCwnU0VLJyk=&amp;WINDOW=FIRST_POPUP&amp;HEIGHT=450&amp;WIDTH=450&amp;","START_MAXIMIZED=FALSE&amp;VAR:CALENDAR=FIVEDAY&amp;VAR:SYMBOL=454047&amp;VAR:INDEX=0"}</definedName>
    <definedName name="_1020__FDSAUDITLINK__" localSheetId="8" hidden="1">{"fdsup://IBCentral/FAT Viewer?action=UPDATE&amp;creator=factset&amp;DOC_NAME=fat:reuters_qtrly_source_window.fat&amp;display_string=Audit&amp;DYN_ARGS=TRUE&amp;VAR:ID1=221353&amp;VAR:RCODE=LMIN&amp;VAR:SDATE=20060999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020__FDSAUDITLINK__" hidden="1">{"fdsup://IBCentral/FAT Viewer?action=UPDATE&amp;creator=factset&amp;DOC_NAME=fat:reuters_qtrly_source_window.fat&amp;display_string=Audit&amp;DYN_ARGS=TRUE&amp;VAR:ID1=221353&amp;VAR:RCODE=LMIN&amp;VAR:SDATE=20060999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021__FDSAUDITLINK__" localSheetId="8" hidden="1">{"fdsup://IBCentral/FAT Viewer?action=UPDATE&amp;creator=factset&amp;DOC_NAME=fat:reuters_qtrly_source_window.fat&amp;display_string=Audit&amp;DYN_ARGS=TRUE&amp;VAR:ID1=221353&amp;VAR:RCODE=STLD&amp;VAR:SDATE=20060999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021__FDSAUDITLINK__" hidden="1">{"fdsup://IBCentral/FAT Viewer?action=UPDATE&amp;creator=factset&amp;DOC_NAME=fat:reuters_qtrly_source_window.fat&amp;display_string=Audit&amp;DYN_ARGS=TRUE&amp;VAR:ID1=221353&amp;VAR:RCODE=STLD&amp;VAR:SDATE=20060999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022__FDSAUDITLINK__" localSheetId="8" hidden="1">{"fdsup://IBCentral/FAT Viewer?action=UPDATE&amp;creator=factset&amp;DOC_NAME=fat:reuters_qtrly_source_window.fat&amp;display_string=Audit&amp;DYN_ARGS=TRUE&amp;VAR:ID1=221353&amp;VAR:RCODE=SCSI&amp;VAR:SDATE=20060999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022__FDSAUDITLINK__" hidden="1">{"fdsup://IBCentral/FAT Viewer?action=UPDATE&amp;creator=factset&amp;DOC_NAME=fat:reuters_qtrly_source_window.fat&amp;display_string=Audit&amp;DYN_ARGS=TRUE&amp;VAR:ID1=221353&amp;VAR:RCODE=SCSI&amp;VAR:SDATE=20060999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023__FDSAUDITLINK__" localSheetId="8" hidden="1">{"fdsup://directions/FAT Viewer?action=UPDATE&amp;creator=factset&amp;DYN_ARGS=TRUE&amp;DOC_NAME=FAT:FQL_AUDITING_CLIENT_TEMPLATE.FAT&amp;display_string=Audit&amp;VAR:KEY=ETQDMXUTCX&amp;VAR:QUERY=RkZfRUJJVF9PUEVSKEFOTiwyMDEwKQ==&amp;WINDOW=FIRST_POPUP&amp;HEIGHT=450&amp;WIDTH=450&amp;START_MAXIMI","ZED=FALSE&amp;VAR:CALENDAR=FIVEDAY&amp;VAR:SYMBOL=B61G9L&amp;VAR:INDEX=0"}</definedName>
    <definedName name="_1023__FDSAUDITLINK__" hidden="1">{"fdsup://directions/FAT Viewer?action=UPDATE&amp;creator=factset&amp;DYN_ARGS=TRUE&amp;DOC_NAME=FAT:FQL_AUDITING_CLIENT_TEMPLATE.FAT&amp;display_string=Audit&amp;VAR:KEY=ETQDMXUTCX&amp;VAR:QUERY=RkZfRUJJVF9PUEVSKEFOTiwyMDEwKQ==&amp;WINDOW=FIRST_POPUP&amp;HEIGHT=450&amp;WIDTH=450&amp;START_MAXIMI","ZED=FALSE&amp;VAR:CALENDAR=FIVEDAY&amp;VAR:SYMBOL=B61G9L&amp;VAR:INDEX=0"}</definedName>
    <definedName name="_1023__FDSAUDITLINK___1" localSheetId="8" hidden="1">{"fdsup://directions/FAT Viewer?action=UPDATE&amp;creator=factset&amp;DYN_ARGS=TRUE&amp;DOC_NAME=FAT:FQL_AUDITING_CLIENT_TEMPLATE.FAT&amp;display_string=Audit&amp;VAR:KEY=ETQDMXUTCX&amp;VAR:QUERY=RkZfRUJJVF9PUEVSKEFOTiwyMDEwKQ==&amp;WINDOW=FIRST_POPUP&amp;HEIGHT=450&amp;WIDTH=450&amp;START_MAXIMI","ZED=FALSE&amp;VAR:CALENDAR=FIVEDAY&amp;VAR:SYMBOL=B61G9L&amp;VAR:INDEX=0"}</definedName>
    <definedName name="_1023__FDSAUDITLINK___1" hidden="1">{"fdsup://directions/FAT Viewer?action=UPDATE&amp;creator=factset&amp;DYN_ARGS=TRUE&amp;DOC_NAME=FAT:FQL_AUDITING_CLIENT_TEMPLATE.FAT&amp;display_string=Audit&amp;VAR:KEY=ETQDMXUTCX&amp;VAR:QUERY=RkZfRUJJVF9PUEVSKEFOTiwyMDEwKQ==&amp;WINDOW=FIRST_POPUP&amp;HEIGHT=450&amp;WIDTH=450&amp;START_MAXIMI","ZED=FALSE&amp;VAR:CALENDAR=FIVEDAY&amp;VAR:SYMBOL=B61G9L&amp;VAR:INDEX=0"}</definedName>
    <definedName name="_1024__FDSAUDITLINK__" localSheetId="8" hidden="1">{"fdsup://IBCentral/FAT Viewer?action=UPDATE&amp;creator=factset&amp;DOC_NAME=fat:reuters_annual_source_window.fat&amp;display_string=Audit&amp;DYN_ARGS=TRUE&amp;VAR:ID1=221353&amp;VAR:RCODE=AEQI&amp;VAR:SDATE=20061299&amp;VAR:FREQ=Y&amp;VAR:RELITEM=RP&amp;VAR:CURRENCY=USD&amp;VAR:CURRSOURCE=EXSHARE&amp;","VAR:NATFREQ=ANNUAL&amp;VAR:RFIELD=FINALIZED&amp;VAR:DB_TYPE=&amp;VAR:UNITS=M&amp;window=popup&amp;width=450&amp;height=300&amp;START_MAXIMIZED=FALSE"}</definedName>
    <definedName name="_1024__FDSAUDITLINK__" hidden="1">{"fdsup://IBCentral/FAT Viewer?action=UPDATE&amp;creator=factset&amp;DOC_NAME=fat:reuters_annual_source_window.fat&amp;display_string=Audit&amp;DYN_ARGS=TRUE&amp;VAR:ID1=221353&amp;VAR:RCODE=AEQI&amp;VAR:SDATE=20061299&amp;VAR:FREQ=Y&amp;VAR:RELITEM=RP&amp;VAR:CURRENCY=USD&amp;VAR:CURRSOURCE=EXSHARE&amp;","VAR:NATFREQ=ANNUAL&amp;VAR:RFIELD=FINALIZED&amp;VAR:DB_TYPE=&amp;VAR:UNITS=M&amp;window=popup&amp;width=450&amp;height=300&amp;START_MAXIMIZED=FALSE"}</definedName>
    <definedName name="_1025__FDSAUDITLINK__" localSheetId="8" hidden="1">{"fdsup://IBCentral/FAT Viewer?action=UPDATE&amp;creator=factset&amp;DOC_NAME=fat:reuters_qtrly_source_window.fat&amp;display_string=Audit&amp;DYN_ARGS=TRUE&amp;VAR:ID1=221353&amp;VAR:RCODE=LMIN&amp;VAR:SDATE=20061299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025__FDSAUDITLINK__" hidden="1">{"fdsup://IBCentral/FAT Viewer?action=UPDATE&amp;creator=factset&amp;DOC_NAME=fat:reuters_qtrly_source_window.fat&amp;display_string=Audit&amp;DYN_ARGS=TRUE&amp;VAR:ID1=221353&amp;VAR:RCODE=LMIN&amp;VAR:SDATE=20061299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026__FDSAUDITLINK__" localSheetId="8" hidden="1">{"fdsup://IBCentral/FAT Viewer?action=UPDATE&amp;creator=factset&amp;DOC_NAME=fat:reuters_qtrly_source_window.fat&amp;display_string=Audit&amp;DYN_ARGS=TRUE&amp;VAR:ID1=221353&amp;VAR:RCODE=STLD&amp;VAR:SDATE=20061299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026__FDSAUDITLINK__" hidden="1">{"fdsup://IBCentral/FAT Viewer?action=UPDATE&amp;creator=factset&amp;DOC_NAME=fat:reuters_qtrly_source_window.fat&amp;display_string=Audit&amp;DYN_ARGS=TRUE&amp;VAR:ID1=221353&amp;VAR:RCODE=STLD&amp;VAR:SDATE=20061299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027__FDSAUDITLINK__" localSheetId="8" hidden="1">{"fdsup://directions/FAT Viewer?action=UPDATE&amp;creator=factset&amp;DYN_ARGS=TRUE&amp;DOC_NAME=FAT:FQL_AUDITING_CLIENT_TEMPLATE.FAT&amp;display_string=Audit&amp;VAR:KEY=AVWFMXYJCR&amp;VAR:QUERY=RkZfTkVUX0lOQyhBTk4sMjAxMSk=&amp;WINDOW=FIRST_POPUP&amp;HEIGHT=450&amp;WIDTH=450&amp;START_MAXIMIZED=","FALSE&amp;VAR:CALENDAR=FIVEDAY&amp;VAR:SYMBOL=B61G9L&amp;VAR:INDEX=0"}</definedName>
    <definedName name="_1027__FDSAUDITLINK__" hidden="1">{"fdsup://directions/FAT Viewer?action=UPDATE&amp;creator=factset&amp;DYN_ARGS=TRUE&amp;DOC_NAME=FAT:FQL_AUDITING_CLIENT_TEMPLATE.FAT&amp;display_string=Audit&amp;VAR:KEY=AVWFMXYJCR&amp;VAR:QUERY=RkZfTkVUX0lOQyhBTk4sMjAxMSk=&amp;WINDOW=FIRST_POPUP&amp;HEIGHT=450&amp;WIDTH=450&amp;START_MAXIMIZED=","FALSE&amp;VAR:CALENDAR=FIVEDAY&amp;VAR:SYMBOL=B61G9L&amp;VAR:INDEX=0"}</definedName>
    <definedName name="_1027__FDSAUDITLINK___1" localSheetId="8" hidden="1">{"fdsup://directions/FAT Viewer?action=UPDATE&amp;creator=factset&amp;DYN_ARGS=TRUE&amp;DOC_NAME=FAT:FQL_AUDITING_CLIENT_TEMPLATE.FAT&amp;display_string=Audit&amp;VAR:KEY=AVWFMXYJCR&amp;VAR:QUERY=RkZfTkVUX0lOQyhBTk4sMjAxMSk=&amp;WINDOW=FIRST_POPUP&amp;HEIGHT=450&amp;WIDTH=450&amp;START_MAXIMIZED=","FALSE&amp;VAR:CALENDAR=FIVEDAY&amp;VAR:SYMBOL=B61G9L&amp;VAR:INDEX=0"}</definedName>
    <definedName name="_1027__FDSAUDITLINK___1" hidden="1">{"fdsup://directions/FAT Viewer?action=UPDATE&amp;creator=factset&amp;DYN_ARGS=TRUE&amp;DOC_NAME=FAT:FQL_AUDITING_CLIENT_TEMPLATE.FAT&amp;display_string=Audit&amp;VAR:KEY=AVWFMXYJCR&amp;VAR:QUERY=RkZfTkVUX0lOQyhBTk4sMjAxMSk=&amp;WINDOW=FIRST_POPUP&amp;HEIGHT=450&amp;WIDTH=450&amp;START_MAXIMIZED=","FALSE&amp;VAR:CALENDAR=FIVEDAY&amp;VAR:SYMBOL=B61G9L&amp;VAR:INDEX=0"}</definedName>
    <definedName name="_1028__FDSAUDITLINK__" localSheetId="8" hidden="1">{"fdsup://IBCentral/FAT Viewer?action=UPDATE&amp;creator=factset&amp;DOC_NAME=fat:reuters_annual_source_window.fat&amp;display_string=Audit&amp;DYN_ARGS=TRUE&amp;VAR:ID1=221353&amp;VAR:RCODE=FDSPFDSTKTOTAL&amp;VAR:SDATE=20061299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028__FDSAUDITLINK__" hidden="1">{"fdsup://IBCentral/FAT Viewer?action=UPDATE&amp;creator=factset&amp;DOC_NAME=fat:reuters_annual_source_window.fat&amp;display_string=Audit&amp;DYN_ARGS=TRUE&amp;VAR:ID1=221353&amp;VAR:RCODE=FDSPFDSTKTOTAL&amp;VAR:SDATE=20061299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029__FDSAUDITLINK__" localSheetId="8" hidden="1">{"fdsup://IBCentral/FAT Viewer?action=UPDATE&amp;creator=factset&amp;DOC_NAME=fat:reuters_annual_source_window.fat&amp;display_string=Audit&amp;DYN_ARGS=TRUE&amp;VAR:ID1=221353&amp;VAR:RCODE=AEQI&amp;VAR:SDATE=20061299&amp;VAR:FREQ=Y&amp;VAR:RELITEM=RP&amp;VAR:CURRENCY=USD&amp;VAR:CURRSOURCE=EXSHARE&amp;","VAR:NATFREQ=ANNUAL&amp;VAR:RFIELD=FINALIZED&amp;VAR:DB_TYPE=&amp;VAR:UNITS=M&amp;window=popup&amp;width=450&amp;height=300&amp;START_MAXIMIZED=FALSE"}</definedName>
    <definedName name="_1029__FDSAUDITLINK__" hidden="1">{"fdsup://IBCentral/FAT Viewer?action=UPDATE&amp;creator=factset&amp;DOC_NAME=fat:reuters_annual_source_window.fat&amp;display_string=Audit&amp;DYN_ARGS=TRUE&amp;VAR:ID1=221353&amp;VAR:RCODE=AEQI&amp;VAR:SDATE=20061299&amp;VAR:FREQ=Y&amp;VAR:RELITEM=RP&amp;VAR:CURRENCY=USD&amp;VAR:CURRSOURCE=EXSHARE&amp;","VAR:NATFREQ=ANNUAL&amp;VAR:RFIELD=FINALIZED&amp;VAR:DB_TYPE=&amp;VAR:UNITS=M&amp;window=popup&amp;width=450&amp;height=300&amp;START_MAXIMIZED=FALSE"}</definedName>
    <definedName name="_103__123Graph_XCHART_20" hidden="1">#REF!</definedName>
    <definedName name="_103__FDSAUDITLINK__" localSheetId="8" hidden="1">{"fdsup://directions/FAT Viewer?action=UPDATE&amp;creator=factset&amp;DYN_ARGS=TRUE&amp;DOC_NAME=FAT:FQL_AUDITING_CLIENT_TEMPLATE.FAT&amp;display_string=Audit&amp;VAR:KEY=TWBMTSXWRG&amp;VAR:QUERY=RkZfRUJJVF9JQignQU5OJywzNzk4NiwsLCwnU0VLJyk=&amp;WINDOW=FIRST_POPUP&amp;HEIGHT=450&amp;WIDTH=450&amp;","START_MAXIMIZED=FALSE&amp;VAR:CALENDAR=FIVEDAY&amp;VAR:SYMBOL=454047&amp;VAR:INDEX=0"}</definedName>
    <definedName name="_103__FDSAUDITLINK__" hidden="1">{"fdsup://directions/FAT Viewer?action=UPDATE&amp;creator=factset&amp;DYN_ARGS=TRUE&amp;DOC_NAME=FAT:FQL_AUDITING_CLIENT_TEMPLATE.FAT&amp;display_string=Audit&amp;VAR:KEY=MPQJGRENEX&amp;VAR:QUERY=RkZfRVBTX0RJTChDQUwsMjAxMSk=&amp;WINDOW=FIRST_POPUP&amp;HEIGHT=450&amp;WIDTH=450&amp;START_MAXIMIZED=","FALSE&amp;VAR:CALENDAR=US&amp;VAR:SYMBOL=MCEM&amp;VAR:INDEX=0"}</definedName>
    <definedName name="_103__FDSAUDITLINK___1" localSheetId="8" hidden="1">{"fdsup://directions/FAT Viewer?action=UPDATE&amp;creator=factset&amp;DYN_ARGS=TRUE&amp;DOC_NAME=FAT:FQL_AUDITING_CLIENT_TEMPLATE.FAT&amp;display_string=Audit&amp;VAR:KEY=TWBMTSXWRG&amp;VAR:QUERY=RkZfRUJJVF9JQignQU5OJywzNzk4NiwsLCwnU0VLJyk=&amp;WINDOW=FIRST_POPUP&amp;HEIGHT=450&amp;WIDTH=450&amp;","START_MAXIMIZED=FALSE&amp;VAR:CALENDAR=FIVEDAY&amp;VAR:SYMBOL=454047&amp;VAR:INDEX=0"}</definedName>
    <definedName name="_103__FDSAUDITLINK___1" hidden="1">{"fdsup://directions/FAT Viewer?action=UPDATE&amp;creator=factset&amp;DYN_ARGS=TRUE&amp;DOC_NAME=FAT:FQL_AUDITING_CLIENT_TEMPLATE.FAT&amp;display_string=Audit&amp;VAR:KEY=TWBMTSXWRG&amp;VAR:QUERY=RkZfRUJJVF9JQignQU5OJywzNzk4NiwsLCwnU0VLJyk=&amp;WINDOW=FIRST_POPUP&amp;HEIGHT=450&amp;WIDTH=450&amp;","START_MAXIMIZED=FALSE&amp;VAR:CALENDAR=FIVEDAY&amp;VAR:SYMBOL=454047&amp;VAR:INDEX=0"}</definedName>
    <definedName name="_1030__FDSAUDITLINK__" localSheetId="8" hidden="1">{"fdsup://IBCentral/FAT Viewer?action=UPDATE&amp;creator=factset&amp;DOC_NAME=fat:reuters_qtrly_source_window.fat&amp;display_string=Audit&amp;DYN_ARGS=TRUE&amp;VAR:ID1=221353&amp;VAR:RCODE=LMIN&amp;VAR:SDATE=20061299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030__FDSAUDITLINK__" hidden="1">{"fdsup://IBCentral/FAT Viewer?action=UPDATE&amp;creator=factset&amp;DOC_NAME=fat:reuters_qtrly_source_window.fat&amp;display_string=Audit&amp;DYN_ARGS=TRUE&amp;VAR:ID1=221353&amp;VAR:RCODE=LMIN&amp;VAR:SDATE=20061299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031__FDSAUDITLINK__" localSheetId="8" hidden="1">{"fdsup://IBCentral/FAT Viewer?action=UPDATE&amp;creator=factset&amp;DOC_NAME=fat:reuters_qtrly_source_window.fat&amp;display_string=Audit&amp;DYN_ARGS=TRUE&amp;VAR:ID1=221353&amp;VAR:RCODE=STLD&amp;VAR:SDATE=20061299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031__FDSAUDITLINK__" hidden="1">{"fdsup://IBCentral/FAT Viewer?action=UPDATE&amp;creator=factset&amp;DOC_NAME=fat:reuters_qtrly_source_window.fat&amp;display_string=Audit&amp;DYN_ARGS=TRUE&amp;VAR:ID1=221353&amp;VAR:RCODE=STLD&amp;VAR:SDATE=20061299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032__FDSAUDITLINK__" localSheetId="8" hidden="1">{"fdsup://directions/FAT Viewer?action=UPDATE&amp;creator=factset&amp;DYN_ARGS=TRUE&amp;DOC_NAME=FAT:FQL_AUDITING_CLIENT_TEMPLATE.FAT&amp;display_string=Audit&amp;VAR:KEY=KPSXWBOPQV&amp;VAR:QUERY=RkZfRUJJVERBX09QRVIoQU5OLDIwMTEp&amp;WINDOW=FIRST_POPUP&amp;HEIGHT=450&amp;WIDTH=450&amp;START_MAXIMI","ZED=FALSE&amp;VAR:CALENDAR=FIVEDAY&amp;VAR:SYMBOL=B61G9L&amp;VAR:INDEX=0"}</definedName>
    <definedName name="_1032__FDSAUDITLINK__" hidden="1">{"fdsup://directions/FAT Viewer?action=UPDATE&amp;creator=factset&amp;DYN_ARGS=TRUE&amp;DOC_NAME=FAT:FQL_AUDITING_CLIENT_TEMPLATE.FAT&amp;display_string=Audit&amp;VAR:KEY=KPSXWBOPQV&amp;VAR:QUERY=RkZfRUJJVERBX09QRVIoQU5OLDIwMTEp&amp;WINDOW=FIRST_POPUP&amp;HEIGHT=450&amp;WIDTH=450&amp;START_MAXIMI","ZED=FALSE&amp;VAR:CALENDAR=FIVEDAY&amp;VAR:SYMBOL=B61G9L&amp;VAR:INDEX=0"}</definedName>
    <definedName name="_1032__FDSAUDITLINK___1" localSheetId="8" hidden="1">{"fdsup://directions/FAT Viewer?action=UPDATE&amp;creator=factset&amp;DYN_ARGS=TRUE&amp;DOC_NAME=FAT:FQL_AUDITING_CLIENT_TEMPLATE.FAT&amp;display_string=Audit&amp;VAR:KEY=KPSXWBOPQV&amp;VAR:QUERY=RkZfRUJJVERBX09QRVIoQU5OLDIwMTEp&amp;WINDOW=FIRST_POPUP&amp;HEIGHT=450&amp;WIDTH=450&amp;START_MAXIMI","ZED=FALSE&amp;VAR:CALENDAR=FIVEDAY&amp;VAR:SYMBOL=B61G9L&amp;VAR:INDEX=0"}</definedName>
    <definedName name="_1032__FDSAUDITLINK___1" hidden="1">{"fdsup://directions/FAT Viewer?action=UPDATE&amp;creator=factset&amp;DYN_ARGS=TRUE&amp;DOC_NAME=FAT:FQL_AUDITING_CLIENT_TEMPLATE.FAT&amp;display_string=Audit&amp;VAR:KEY=KPSXWBOPQV&amp;VAR:QUERY=RkZfRUJJVERBX09QRVIoQU5OLDIwMTEp&amp;WINDOW=FIRST_POPUP&amp;HEIGHT=450&amp;WIDTH=450&amp;START_MAXIMI","ZED=FALSE&amp;VAR:CALENDAR=FIVEDAY&amp;VAR:SYMBOL=B61G9L&amp;VAR:INDEX=0"}</definedName>
    <definedName name="_1033__FDSAUDITLINK__" localSheetId="8" hidden="1">{"fdsup://IBCentral/FAT Viewer?action=UPDATE&amp;creator=factset&amp;DOC_NAME=fat:reuters_annual_source_window.fat&amp;display_string=Audit&amp;DYN_ARGS=TRUE&amp;VAR:ID1=221353&amp;VAR:RCODE=FDSPFDSTKTOTAL&amp;VAR:SDATE=20061299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033__FDSAUDITLINK__" hidden="1">{"fdsup://IBCentral/FAT Viewer?action=UPDATE&amp;creator=factset&amp;DOC_NAME=fat:reuters_annual_source_window.fat&amp;display_string=Audit&amp;DYN_ARGS=TRUE&amp;VAR:ID1=221353&amp;VAR:RCODE=FDSPFDSTKTOTAL&amp;VAR:SDATE=20061299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034__FDSAUDITLINK__" localSheetId="8" hidden="1">{"fdsup://IBCentral/FAT Viewer?action=UPDATE&amp;creator=factset&amp;DOC_NAME=fat:reuters_annual_source_window.fat&amp;display_string=Audit&amp;DYN_ARGS=TRUE&amp;VAR:ID1=221353&amp;VAR:RCODE=AEQI&amp;VAR:SDATE=20061299&amp;VAR:FREQ=Y&amp;VAR:RELITEM=RP&amp;VAR:CURRENCY=USD&amp;VAR:CURRSOURCE=EXSHARE&amp;","VAR:NATFREQ=ANNUAL&amp;VAR:RFIELD=FINALIZED&amp;VAR:DB_TYPE=&amp;VAR:UNITS=M&amp;window=popup&amp;width=450&amp;height=300&amp;START_MAXIMIZED=FALSE"}</definedName>
    <definedName name="_1034__FDSAUDITLINK__" hidden="1">{"fdsup://IBCentral/FAT Viewer?action=UPDATE&amp;creator=factset&amp;DOC_NAME=fat:reuters_annual_source_window.fat&amp;display_string=Audit&amp;DYN_ARGS=TRUE&amp;VAR:ID1=221353&amp;VAR:RCODE=AEQI&amp;VAR:SDATE=20061299&amp;VAR:FREQ=Y&amp;VAR:RELITEM=RP&amp;VAR:CURRENCY=USD&amp;VAR:CURRSOURCE=EXSHARE&amp;","VAR:NATFREQ=ANNUAL&amp;VAR:RFIELD=FINALIZED&amp;VAR:DB_TYPE=&amp;VAR:UNITS=M&amp;window=popup&amp;width=450&amp;height=300&amp;START_MAXIMIZED=FALSE"}</definedName>
    <definedName name="_1035__FDSAUDITLINK__" localSheetId="8" hidden="1">{"fdsup://IBCentral/FAT Viewer?action=UPDATE&amp;creator=factset&amp;DOC_NAME=fat:reuters_qtrly_source_window.fat&amp;display_string=Audit&amp;DYN_ARGS=TRUE&amp;VAR:ID1=221353&amp;VAR:RCODE=LMIN&amp;VAR:SDATE=20061299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035__FDSAUDITLINK__" hidden="1">{"fdsup://IBCentral/FAT Viewer?action=UPDATE&amp;creator=factset&amp;DOC_NAME=fat:reuters_qtrly_source_window.fat&amp;display_string=Audit&amp;DYN_ARGS=TRUE&amp;VAR:ID1=221353&amp;VAR:RCODE=LMIN&amp;VAR:SDATE=20061299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036__FDSAUDITLINK__" localSheetId="8" hidden="1">{"fdsup://directions/FAT Viewer?action=UPDATE&amp;creator=factset&amp;DYN_ARGS=TRUE&amp;DOC_NAME=FAT:FQL_AUDITING_CLIENT_TEMPLATE.FAT&amp;display_string=Audit&amp;VAR:KEY=UVWLOZIHUN&amp;VAR:QUERY=RkZfQ0FQRVgoQU5OLDIwMTEp&amp;WINDOW=FIRST_POPUP&amp;HEIGHT=450&amp;WIDTH=450&amp;START_MAXIMIZED=FALS","E&amp;VAR:CALENDAR=FIVEDAY&amp;VAR:SYMBOL=B61G9L&amp;VAR:INDEX=0"}</definedName>
    <definedName name="_1036__FDSAUDITLINK__" hidden="1">{"fdsup://directions/FAT Viewer?action=UPDATE&amp;creator=factset&amp;DYN_ARGS=TRUE&amp;DOC_NAME=FAT:FQL_AUDITING_CLIENT_TEMPLATE.FAT&amp;display_string=Audit&amp;VAR:KEY=UVWLOZIHUN&amp;VAR:QUERY=RkZfQ0FQRVgoQU5OLDIwMTEp&amp;WINDOW=FIRST_POPUP&amp;HEIGHT=450&amp;WIDTH=450&amp;START_MAXIMIZED=FALS","E&amp;VAR:CALENDAR=FIVEDAY&amp;VAR:SYMBOL=B61G9L&amp;VAR:INDEX=0"}</definedName>
    <definedName name="_1036__FDSAUDITLINK___1" localSheetId="8" hidden="1">{"fdsup://directions/FAT Viewer?action=UPDATE&amp;creator=factset&amp;DYN_ARGS=TRUE&amp;DOC_NAME=FAT:FQL_AUDITING_CLIENT_TEMPLATE.FAT&amp;display_string=Audit&amp;VAR:KEY=UVWLOZIHUN&amp;VAR:QUERY=RkZfQ0FQRVgoQU5OLDIwMTEp&amp;WINDOW=FIRST_POPUP&amp;HEIGHT=450&amp;WIDTH=450&amp;START_MAXIMIZED=FALS","E&amp;VAR:CALENDAR=FIVEDAY&amp;VAR:SYMBOL=B61G9L&amp;VAR:INDEX=0"}</definedName>
    <definedName name="_1036__FDSAUDITLINK___1" hidden="1">{"fdsup://directions/FAT Viewer?action=UPDATE&amp;creator=factset&amp;DYN_ARGS=TRUE&amp;DOC_NAME=FAT:FQL_AUDITING_CLIENT_TEMPLATE.FAT&amp;display_string=Audit&amp;VAR:KEY=UVWLOZIHUN&amp;VAR:QUERY=RkZfQ0FQRVgoQU5OLDIwMTEp&amp;WINDOW=FIRST_POPUP&amp;HEIGHT=450&amp;WIDTH=450&amp;START_MAXIMIZED=FALS","E&amp;VAR:CALENDAR=FIVEDAY&amp;VAR:SYMBOL=B61G9L&amp;VAR:INDEX=0"}</definedName>
    <definedName name="_1037__FDSAUDITLINK__" localSheetId="8" hidden="1">{"fdsup://IBCentral/FAT Viewer?action=UPDATE&amp;creator=factset&amp;DOC_NAME=fat:reuters_qtrly_source_window.fat&amp;display_string=Audit&amp;DYN_ARGS=TRUE&amp;VAR:ID1=221353&amp;VAR:RCODE=SCSI&amp;VAR:SDATE=20061299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037__FDSAUDITLINK__" hidden="1">{"fdsup://IBCentral/FAT Viewer?action=UPDATE&amp;creator=factset&amp;DOC_NAME=fat:reuters_qtrly_source_window.fat&amp;display_string=Audit&amp;DYN_ARGS=TRUE&amp;VAR:ID1=221353&amp;VAR:RCODE=SCSI&amp;VAR:SDATE=20061299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038__FDSAUDITLINK__" localSheetId="8" hidden="1">{"fdsup://IBCentral/FAT Viewer?action=UPDATE&amp;creator=factset&amp;DOC_NAME=fat:reuters_annual_source_window.fat&amp;display_string=Audit&amp;DYN_ARGS=TRUE&amp;VAR:ID1=221353&amp;VAR:RCODE=FDSPFDSTKTOTAL&amp;VAR:SDATE=20061299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038__FDSAUDITLINK__" hidden="1">{"fdsup://IBCentral/FAT Viewer?action=UPDATE&amp;creator=factset&amp;DOC_NAME=fat:reuters_annual_source_window.fat&amp;display_string=Audit&amp;DYN_ARGS=TRUE&amp;VAR:ID1=221353&amp;VAR:RCODE=FDSPFDSTKTOTAL&amp;VAR:SDATE=20061299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039__FDSAUDITLINK__" localSheetId="8" hidden="1">{"fdsup://IBCentral/FAT Viewer?action=UPDATE&amp;creator=factset&amp;DOC_NAME=fat:reuters_annual_source_window.fat&amp;display_string=Audit&amp;DYN_ARGS=TRUE&amp;VAR:ID1=221353&amp;VAR:RCODE=AEQI&amp;VAR:SDATE=20061299&amp;VAR:FREQ=Y&amp;VAR:RELITEM=RP&amp;VAR:CURRENCY=USD&amp;VAR:CURRSOURCE=EXSHARE&amp;","VAR:NATFREQ=ANNUAL&amp;VAR:RFIELD=FINALIZED&amp;VAR:DB_TYPE=&amp;VAR:UNITS=M&amp;window=popup&amp;width=450&amp;height=300&amp;START_MAXIMIZED=FALSE"}</definedName>
    <definedName name="_1039__FDSAUDITLINK__" hidden="1">{"fdsup://IBCentral/FAT Viewer?action=UPDATE&amp;creator=factset&amp;DOC_NAME=fat:reuters_annual_source_window.fat&amp;display_string=Audit&amp;DYN_ARGS=TRUE&amp;VAR:ID1=221353&amp;VAR:RCODE=AEQI&amp;VAR:SDATE=20061299&amp;VAR:FREQ=Y&amp;VAR:RELITEM=RP&amp;VAR:CURRENCY=USD&amp;VAR:CURRSOURCE=EXSHARE&amp;","VAR:NATFREQ=ANNUAL&amp;VAR:RFIELD=FINALIZED&amp;VAR:DB_TYPE=&amp;VAR:UNITS=M&amp;window=popup&amp;width=450&amp;height=300&amp;START_MAXIMIZED=FALSE"}</definedName>
    <definedName name="_104__123Graph_XCHART_21" hidden="1">#REF!</definedName>
    <definedName name="_104__FDSAUDITLINK__" localSheetId="8" hidden="1">{"fdsup://directions/FAT Viewer?action=UPDATE&amp;creator=factset&amp;DYN_ARGS=TRUE&amp;DOC_NAME=FAT:FQL_AUDITING_CLIENT_TEMPLATE.FAT&amp;display_string=Audit&amp;VAR:KEY=BMFWJEHAVY&amp;VAR:QUERY=RkZfRUJJVF9JQignQU5OJywzNzYyMSwsLCwnU0VLJyk=&amp;WINDOW=FIRST_POPUP&amp;HEIGHT=450&amp;WIDTH=450&amp;","START_MAXIMIZED=FALSE&amp;VAR:CALENDAR=FIVEDAY&amp;VAR:SYMBOL=454047&amp;VAR:INDEX=0"}</definedName>
    <definedName name="_104__FDSAUDITLINK__" hidden="1">{"fdsup://directions/FAT Viewer?action=UPDATE&amp;creator=factset&amp;DYN_ARGS=TRUE&amp;DOC_NAME=FAT:FQL_AUDITING_CLIENT_TEMPLATE.FAT&amp;display_string=Audit&amp;VAR:KEY=WJGJUNIDSN&amp;VAR:QUERY=RkZfRVBTX0RJTChDQUwsMjAxMSk=&amp;WINDOW=FIRST_POPUP&amp;HEIGHT=450&amp;WIDTH=450&amp;START_MAXIMIZED=","FALSE&amp;VAR:CALENDAR=US&amp;VAR:SYMBOL=TXI&amp;VAR:INDEX=0"}</definedName>
    <definedName name="_104__FDSAUDITLINK___1" localSheetId="8" hidden="1">{"fdsup://directions/FAT Viewer?action=UPDATE&amp;creator=factset&amp;DYN_ARGS=TRUE&amp;DOC_NAME=FAT:FQL_AUDITING_CLIENT_TEMPLATE.FAT&amp;display_string=Audit&amp;VAR:KEY=BMFWJEHAVY&amp;VAR:QUERY=RkZfRUJJVF9JQignQU5OJywzNzYyMSwsLCwnU0VLJyk=&amp;WINDOW=FIRST_POPUP&amp;HEIGHT=450&amp;WIDTH=450&amp;","START_MAXIMIZED=FALSE&amp;VAR:CALENDAR=FIVEDAY&amp;VAR:SYMBOL=454047&amp;VAR:INDEX=0"}</definedName>
    <definedName name="_104__FDSAUDITLINK___1" hidden="1">{"fdsup://directions/FAT Viewer?action=UPDATE&amp;creator=factset&amp;DYN_ARGS=TRUE&amp;DOC_NAME=FAT:FQL_AUDITING_CLIENT_TEMPLATE.FAT&amp;display_string=Audit&amp;VAR:KEY=BMFWJEHAVY&amp;VAR:QUERY=RkZfRUJJVF9JQignQU5OJywzNzYyMSwsLCwnU0VLJyk=&amp;WINDOW=FIRST_POPUP&amp;HEIGHT=450&amp;WIDTH=450&amp;","START_MAXIMIZED=FALSE&amp;VAR:CALENDAR=FIVEDAY&amp;VAR:SYMBOL=454047&amp;VAR:INDEX=0"}</definedName>
    <definedName name="_1040__FDSAUDITLINK__" localSheetId="8" hidden="1">{"fdsup://IBCentral/FAT Viewer?action=UPDATE&amp;creator=factset&amp;DOC_NAME=fat:reuters_qtrly_source_window.fat&amp;display_string=Audit&amp;DYN_ARGS=TRUE&amp;VAR:ID1=221353&amp;VAR:RCODE=LMIN&amp;VAR:SDATE=20061299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040__FDSAUDITLINK__" hidden="1">{"fdsup://IBCentral/FAT Viewer?action=UPDATE&amp;creator=factset&amp;DOC_NAME=fat:reuters_qtrly_source_window.fat&amp;display_string=Audit&amp;DYN_ARGS=TRUE&amp;VAR:ID1=221353&amp;VAR:RCODE=LMIN&amp;VAR:SDATE=20061299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041__FDSAUDITLINK__" localSheetId="8" hidden="1">{"fdsup://IBCentral/FAT Viewer?action=UPDATE&amp;creator=factset&amp;DOC_NAME=fat:reuters_qtrly_source_window.fat&amp;display_string=Audit&amp;DYN_ARGS=TRUE&amp;VAR:ID1=221353&amp;VAR:RCODE=STLD&amp;VAR:SDATE=20061299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041__FDSAUDITLINK__" hidden="1">{"fdsup://IBCentral/FAT Viewer?action=UPDATE&amp;creator=factset&amp;DOC_NAME=fat:reuters_qtrly_source_window.fat&amp;display_string=Audit&amp;DYN_ARGS=TRUE&amp;VAR:ID1=221353&amp;VAR:RCODE=STLD&amp;VAR:SDATE=20061299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042__FDSAUDITLINK__" localSheetId="8" hidden="1">{"fdsup://IBCentral/FAT Viewer?action=UPDATE&amp;creator=factset&amp;DOC_NAME=fat:reuters_qtrly_source_window.fat&amp;display_string=Audit&amp;DYN_ARGS=TRUE&amp;VAR:ID1=221353&amp;VAR:RCODE=SCSI&amp;VAR:SDATE=20061299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042__FDSAUDITLINK__" hidden="1">{"fdsup://IBCentral/FAT Viewer?action=UPDATE&amp;creator=factset&amp;DOC_NAME=fat:reuters_qtrly_source_window.fat&amp;display_string=Audit&amp;DYN_ARGS=TRUE&amp;VAR:ID1=221353&amp;VAR:RCODE=SCSI&amp;VAR:SDATE=20061299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043__FDSAUDITLINK__" localSheetId="8" hidden="1">{"fdsup://IBCentral/FAT Viewer?action=UPDATE&amp;creator=factset&amp;DOC_NAME=fat:reuters_annual_source_window.fat&amp;display_string=Audit&amp;DYN_ARGS=TRUE&amp;VAR:ID1=221353&amp;VAR:RCODE=FDSPFDSTKTOTAL&amp;VAR:SDATE=20061299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043__FDSAUDITLINK__" hidden="1">{"fdsup://IBCentral/FAT Viewer?action=UPDATE&amp;creator=factset&amp;DOC_NAME=fat:reuters_annual_source_window.fat&amp;display_string=Audit&amp;DYN_ARGS=TRUE&amp;VAR:ID1=221353&amp;VAR:RCODE=FDSPFDSTKTOTAL&amp;VAR:SDATE=20061299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044__FDSAUDITLINK__" localSheetId="8" hidden="1">{"fdsup://IBCentral/FAT Viewer?action=UPDATE&amp;creator=factset&amp;DOC_NAME=fat:reuters_annual_source_window.fat&amp;display_string=Audit&amp;DYN_ARGS=TRUE&amp;VAR:ID1=221353&amp;VAR:RCODE=AEQI&amp;VAR:SDATE=20061299&amp;VAR:FREQ=Y&amp;VAR:RELITEM=RP&amp;VAR:CURRENCY=USD&amp;VAR:CURRSOURCE=EXSHARE&amp;","VAR:NATFREQ=ANNUAL&amp;VAR:RFIELD=FINALIZED&amp;VAR:DB_TYPE=&amp;VAR:UNITS=M&amp;window=popup&amp;width=450&amp;height=300&amp;START_MAXIMIZED=FALSE"}</definedName>
    <definedName name="_1044__FDSAUDITLINK__" hidden="1">{"fdsup://IBCentral/FAT Viewer?action=UPDATE&amp;creator=factset&amp;DOC_NAME=fat:reuters_annual_source_window.fat&amp;display_string=Audit&amp;DYN_ARGS=TRUE&amp;VAR:ID1=221353&amp;VAR:RCODE=AEQI&amp;VAR:SDATE=20061299&amp;VAR:FREQ=Y&amp;VAR:RELITEM=RP&amp;VAR:CURRENCY=USD&amp;VAR:CURRSOURCE=EXSHARE&amp;","VAR:NATFREQ=ANNUAL&amp;VAR:RFIELD=FINALIZED&amp;VAR:DB_TYPE=&amp;VAR:UNITS=M&amp;window=popup&amp;width=450&amp;height=300&amp;START_MAXIMIZED=FALSE"}</definedName>
    <definedName name="_1045__FDSAUDITLINK__" localSheetId="8" hidden="1">{"fdsup://IBCentral/FAT Viewer?action=UPDATE&amp;creator=factset&amp;DOC_NAME=fat:reuters_qtrly_source_window.fat&amp;display_string=Audit&amp;DYN_ARGS=TRUE&amp;VAR:ID1=221353&amp;VAR:RCODE=LMIN&amp;VAR:SDATE=20061299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045__FDSAUDITLINK__" hidden="1">{"fdsup://IBCentral/FAT Viewer?action=UPDATE&amp;creator=factset&amp;DOC_NAME=fat:reuters_qtrly_source_window.fat&amp;display_string=Audit&amp;DYN_ARGS=TRUE&amp;VAR:ID1=221353&amp;VAR:RCODE=LMIN&amp;VAR:SDATE=20061299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046__FDSAUDITLINK__" localSheetId="8" hidden="1">{"fdsup://IBCentral/FAT Viewer?action=UPDATE&amp;creator=factset&amp;DOC_NAME=fat:reuters_qtrly_source_window.fat&amp;display_string=Audit&amp;DYN_ARGS=TRUE&amp;VAR:ID1=221353&amp;VAR:RCODE=STLD&amp;VAR:SDATE=20061299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046__FDSAUDITLINK__" hidden="1">{"fdsup://IBCentral/FAT Viewer?action=UPDATE&amp;creator=factset&amp;DOC_NAME=fat:reuters_qtrly_source_window.fat&amp;display_string=Audit&amp;DYN_ARGS=TRUE&amp;VAR:ID1=221353&amp;VAR:RCODE=STLD&amp;VAR:SDATE=20061299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047__FDSAUDITLINK__" localSheetId="8" hidden="1">{"fdsup://IBCentral/FAT Viewer?action=UPDATE&amp;creator=factset&amp;DOC_NAME=fat:reuters_qtrly_source_window.fat&amp;display_string=Audit&amp;DYN_ARGS=TRUE&amp;VAR:ID1=221353&amp;VAR:RCODE=SCSI&amp;VAR:SDATE=20061299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047__FDSAUDITLINK__" hidden="1">{"fdsup://IBCentral/FAT Viewer?action=UPDATE&amp;creator=factset&amp;DOC_NAME=fat:reuters_qtrly_source_window.fat&amp;display_string=Audit&amp;DYN_ARGS=TRUE&amp;VAR:ID1=221353&amp;VAR:RCODE=SCSI&amp;VAR:SDATE=20061299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048__FDSAUDITLINK__" localSheetId="8" hidden="1">{"fdsup://IBCentral/FAT Viewer?action=UPDATE&amp;creator=factset&amp;DOC_NAME=fat:reuters_annual_source_window.fat&amp;display_string=Audit&amp;DYN_ARGS=TRUE&amp;VAR:ID1=221353&amp;VAR:RCODE=FDSPFDSTKTOTAL&amp;VAR:SDATE=20061299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048__FDSAUDITLINK__" hidden="1">{"fdsup://IBCentral/FAT Viewer?action=UPDATE&amp;creator=factset&amp;DOC_NAME=fat:reuters_annual_source_window.fat&amp;display_string=Audit&amp;DYN_ARGS=TRUE&amp;VAR:ID1=221353&amp;VAR:RCODE=FDSPFDSTKTOTAL&amp;VAR:SDATE=20061299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049__FDSAUDITLINK__" localSheetId="8" hidden="1">{"fdsup://IBCentral/FAT Viewer?action=UPDATE&amp;creator=factset&amp;DOC_NAME=fat:reuters_annual_source_window.fat&amp;display_string=Audit&amp;DYN_ARGS=TRUE&amp;VAR:ID1=221353&amp;VAR:RCODE=AEQI&amp;VAR:SDATE=20061299&amp;VAR:FREQ=Y&amp;VAR:RELITEM=RP&amp;VAR:CURRENCY=USD&amp;VAR:CURRSOURCE=EXSHARE&amp;","VAR:NATFREQ=ANNUAL&amp;VAR:RFIELD=FINALIZED&amp;VAR:DB_TYPE=&amp;VAR:UNITS=M&amp;window=popup&amp;width=450&amp;height=300&amp;START_MAXIMIZED=FALSE"}</definedName>
    <definedName name="_1049__FDSAUDITLINK__" hidden="1">{"fdsup://IBCentral/FAT Viewer?action=UPDATE&amp;creator=factset&amp;DOC_NAME=fat:reuters_annual_source_window.fat&amp;display_string=Audit&amp;DYN_ARGS=TRUE&amp;VAR:ID1=221353&amp;VAR:RCODE=AEQI&amp;VAR:SDATE=20061299&amp;VAR:FREQ=Y&amp;VAR:RELITEM=RP&amp;VAR:CURRENCY=USD&amp;VAR:CURRSOURCE=EXSHARE&amp;","VAR:NATFREQ=ANNUAL&amp;VAR:RFIELD=FINALIZED&amp;VAR:DB_TYPE=&amp;VAR:UNITS=M&amp;window=popup&amp;width=450&amp;height=300&amp;START_MAXIMIZED=FALSE"}</definedName>
    <definedName name="_105__123Graph_XCHART_22" hidden="1">#REF!</definedName>
    <definedName name="_105__FDSAUDITLINK__" localSheetId="8" hidden="1">{"fdsup://directions/FAT Viewer?action=UPDATE&amp;creator=factset&amp;DYN_ARGS=TRUE&amp;DOC_NAME=FAT:FQL_AUDITING_CLIENT_TEMPLATE.FAT&amp;display_string=Audit&amp;VAR:KEY=LKXSRAZYVC&amp;VAR:QUERY=RkZfRUJJVF9JQignQU5OJywzNzI1NiwsLCwnU0VLJyk=&amp;WINDOW=FIRST_POPUP&amp;HEIGHT=450&amp;WIDTH=450&amp;","START_MAXIMIZED=FALSE&amp;VAR:CALENDAR=FIVEDAY&amp;VAR:SYMBOL=454047&amp;VAR:INDEX=0"}</definedName>
    <definedName name="_105__FDSAUDITLINK__" hidden="1">{"fdsup://directions/FAT Viewer?action=UPDATE&amp;creator=factset&amp;DYN_ARGS=TRUE&amp;DOC_NAME=FAT:FQL_AUDITING_CLIENT_TEMPLATE.FAT&amp;display_string=Audit&amp;VAR:KEY=APWLUDADYJ&amp;VAR:QUERY=RkZfRVBTX0RJTChDQUwsMjAxMSk=&amp;WINDOW=FIRST_POPUP&amp;HEIGHT=450&amp;WIDTH=450&amp;START_MAXIMIZED=","FALSE&amp;VAR:CALENDAR=US&amp;VAR:SYMBOL=USCR&amp;VAR:INDEX=0"}</definedName>
    <definedName name="_105__FDSAUDITLINK___1" localSheetId="8" hidden="1">{"fdsup://directions/FAT Viewer?action=UPDATE&amp;creator=factset&amp;DYN_ARGS=TRUE&amp;DOC_NAME=FAT:FQL_AUDITING_CLIENT_TEMPLATE.FAT&amp;display_string=Audit&amp;VAR:KEY=LKXSRAZYVC&amp;VAR:QUERY=RkZfRUJJVF9JQignQU5OJywzNzI1NiwsLCwnU0VLJyk=&amp;WINDOW=FIRST_POPUP&amp;HEIGHT=450&amp;WIDTH=450&amp;","START_MAXIMIZED=FALSE&amp;VAR:CALENDAR=FIVEDAY&amp;VAR:SYMBOL=454047&amp;VAR:INDEX=0"}</definedName>
    <definedName name="_105__FDSAUDITLINK___1" hidden="1">{"fdsup://directions/FAT Viewer?action=UPDATE&amp;creator=factset&amp;DYN_ARGS=TRUE&amp;DOC_NAME=FAT:FQL_AUDITING_CLIENT_TEMPLATE.FAT&amp;display_string=Audit&amp;VAR:KEY=LKXSRAZYVC&amp;VAR:QUERY=RkZfRUJJVF9JQignQU5OJywzNzI1NiwsLCwnU0VLJyk=&amp;WINDOW=FIRST_POPUP&amp;HEIGHT=450&amp;WIDTH=450&amp;","START_MAXIMIZED=FALSE&amp;VAR:CALENDAR=FIVEDAY&amp;VAR:SYMBOL=454047&amp;VAR:INDEX=0"}</definedName>
    <definedName name="_1050__FDSAUDITLINK__" localSheetId="8" hidden="1">{"fdsup://IBCentral/FAT Viewer?action=UPDATE&amp;creator=factset&amp;DOC_NAME=fat:reuters_qtrly_source_window.fat&amp;display_string=Audit&amp;DYN_ARGS=TRUE&amp;VAR:ID1=221353&amp;VAR:RCODE=LMIN&amp;VAR:SDATE=20061299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050__FDSAUDITLINK__" hidden="1">{"fdsup://IBCentral/FAT Viewer?action=UPDATE&amp;creator=factset&amp;DOC_NAME=fat:reuters_qtrly_source_window.fat&amp;display_string=Audit&amp;DYN_ARGS=TRUE&amp;VAR:ID1=221353&amp;VAR:RCODE=LMIN&amp;VAR:SDATE=20061299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051__FDSAUDITLINK__" localSheetId="8" hidden="1">{"fdsup://IBCentral/FAT Viewer?action=UPDATE&amp;creator=factset&amp;DOC_NAME=fat:reuters_qtrly_source_window.fat&amp;display_string=Audit&amp;DYN_ARGS=TRUE&amp;VAR:ID1=221353&amp;VAR:RCODE=STLD&amp;VAR:SDATE=20061299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051__FDSAUDITLINK__" hidden="1">{"fdsup://IBCentral/FAT Viewer?action=UPDATE&amp;creator=factset&amp;DOC_NAME=fat:reuters_qtrly_source_window.fat&amp;display_string=Audit&amp;DYN_ARGS=TRUE&amp;VAR:ID1=221353&amp;VAR:RCODE=STLD&amp;VAR:SDATE=20061299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052__FDSAUDITLINK__" localSheetId="8" hidden="1">{"fdsup://IBCentral/FAT Viewer?action=UPDATE&amp;creator=factset&amp;DOC_NAME=fat:reuters_qtrly_source_window.fat&amp;display_string=Audit&amp;DYN_ARGS=TRUE&amp;VAR:ID1=221353&amp;VAR:RCODE=SCSI&amp;VAR:SDATE=20061299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052__FDSAUDITLINK__" hidden="1">{"fdsup://IBCentral/FAT Viewer?action=UPDATE&amp;creator=factset&amp;DOC_NAME=fat:reuters_qtrly_source_window.fat&amp;display_string=Audit&amp;DYN_ARGS=TRUE&amp;VAR:ID1=221353&amp;VAR:RCODE=SCSI&amp;VAR:SDATE=20061299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053__FDSAUDITLINK__" localSheetId="8" hidden="1">{"fdsup://IBCentral/FAT Viewer?action=UPDATE&amp;creator=factset&amp;DOC_NAME=fat:reuters_annual_source_window.fat&amp;display_string=Audit&amp;DYN_ARGS=TRUE&amp;VAR:ID1=221353&amp;VAR:RCODE=FDSPFDSTKTOTAL&amp;VAR:SDATE=20061299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053__FDSAUDITLINK__" hidden="1">{"fdsup://IBCentral/FAT Viewer?action=UPDATE&amp;creator=factset&amp;DOC_NAME=fat:reuters_annual_source_window.fat&amp;display_string=Audit&amp;DYN_ARGS=TRUE&amp;VAR:ID1=221353&amp;VAR:RCODE=FDSPFDSTKTOTAL&amp;VAR:SDATE=20061299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054__FDSAUDITLINK__" localSheetId="8" hidden="1">{"fdsup://IBCentral/FAT Viewer?action=UPDATE&amp;creator=factset&amp;DOC_NAME=fat:reuters_annual_source_window.fat&amp;display_string=Audit&amp;DYN_ARGS=TRUE&amp;VAR:ID1=221353&amp;VAR:RCODE=AEQI&amp;VAR:SDATE=20061299&amp;VAR:FREQ=Y&amp;VAR:RELITEM=RP&amp;VAR:CURRENCY=USD&amp;VAR:CURRSOURCE=EXSHARE&amp;","VAR:NATFREQ=ANNUAL&amp;VAR:RFIELD=FINALIZED&amp;VAR:DB_TYPE=&amp;VAR:UNITS=M&amp;window=popup&amp;width=450&amp;height=300&amp;START_MAXIMIZED=FALSE"}</definedName>
    <definedName name="_1054__FDSAUDITLINK__" hidden="1">{"fdsup://IBCentral/FAT Viewer?action=UPDATE&amp;creator=factset&amp;DOC_NAME=fat:reuters_annual_source_window.fat&amp;display_string=Audit&amp;DYN_ARGS=TRUE&amp;VAR:ID1=221353&amp;VAR:RCODE=AEQI&amp;VAR:SDATE=20061299&amp;VAR:FREQ=Y&amp;VAR:RELITEM=RP&amp;VAR:CURRENCY=USD&amp;VAR:CURRSOURCE=EXSHARE&amp;","VAR:NATFREQ=ANNUAL&amp;VAR:RFIELD=FINALIZED&amp;VAR:DB_TYPE=&amp;VAR:UNITS=M&amp;window=popup&amp;width=450&amp;height=300&amp;START_MAXIMIZED=FALSE"}</definedName>
    <definedName name="_1055__FDSAUDITLINK__" localSheetId="8" hidden="1">{"fdsup://IBCentral/FAT Viewer?action=UPDATE&amp;creator=factset&amp;DOC_NAME=fat:reuters_qtrly_source_window.fat&amp;display_string=Audit&amp;DYN_ARGS=TRUE&amp;VAR:ID1=221353&amp;VAR:RCODE=LMIN&amp;VAR:SDATE=20061299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055__FDSAUDITLINK__" hidden="1">{"fdsup://IBCentral/FAT Viewer?action=UPDATE&amp;creator=factset&amp;DOC_NAME=fat:reuters_qtrly_source_window.fat&amp;display_string=Audit&amp;DYN_ARGS=TRUE&amp;VAR:ID1=221353&amp;VAR:RCODE=LMIN&amp;VAR:SDATE=20061299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056__FDSAUDITLINK__" localSheetId="8" hidden="1">{"fdsup://IBCentral/FAT Viewer?action=UPDATE&amp;creator=factset&amp;DOC_NAME=fat:reuters_qtrly_source_window.fat&amp;display_string=Audit&amp;DYN_ARGS=TRUE&amp;VAR:ID1=221353&amp;VAR:RCODE=STLD&amp;VAR:SDATE=20061299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056__FDSAUDITLINK__" hidden="1">{"fdsup://IBCentral/FAT Viewer?action=UPDATE&amp;creator=factset&amp;DOC_NAME=fat:reuters_qtrly_source_window.fat&amp;display_string=Audit&amp;DYN_ARGS=TRUE&amp;VAR:ID1=221353&amp;VAR:RCODE=STLD&amp;VAR:SDATE=20061299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057__FDSAUDITLINK__" localSheetId="8" hidden="1">{"fdsup://IBCentral/FAT Viewer?action=UPDATE&amp;creator=factset&amp;DOC_NAME=fat:reuters_qtrly_source_window.fat&amp;display_string=Audit&amp;DYN_ARGS=TRUE&amp;VAR:ID1=221353&amp;VAR:RCODE=SCSI&amp;VAR:SDATE=20061299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057__FDSAUDITLINK__" hidden="1">{"fdsup://IBCentral/FAT Viewer?action=UPDATE&amp;creator=factset&amp;DOC_NAME=fat:reuters_qtrly_source_window.fat&amp;display_string=Audit&amp;DYN_ARGS=TRUE&amp;VAR:ID1=221353&amp;VAR:RCODE=SCSI&amp;VAR:SDATE=20061299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058__FDSAUDITLINK__" localSheetId="8" hidden="1">{"fdsup://IBCentral/FAT Viewer?action=UPDATE&amp;creator=factset&amp;DOC_NAME=fat:reuters_annual_source_window.fat&amp;display_string=Audit&amp;DYN_ARGS=TRUE&amp;VAR:ID1=221353&amp;VAR:RCODE=FDSPFDSTKTOTAL&amp;VAR:SDATE=20061299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058__FDSAUDITLINK__" hidden="1">{"fdsup://IBCentral/FAT Viewer?action=UPDATE&amp;creator=factset&amp;DOC_NAME=fat:reuters_annual_source_window.fat&amp;display_string=Audit&amp;DYN_ARGS=TRUE&amp;VAR:ID1=221353&amp;VAR:RCODE=FDSPFDSTKTOTAL&amp;VAR:SDATE=20061299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059__FDSAUDITLINK__" localSheetId="8" hidden="1">{"fdsup://IBCentral/FAT Viewer?action=UPDATE&amp;creator=factset&amp;DOC_NAME=fat:reuters_annual_source_window.fat&amp;display_string=Audit&amp;DYN_ARGS=TRUE&amp;VAR:ID1=221353&amp;VAR:RCODE=AEQI&amp;VAR:SDATE=20061299&amp;VAR:FREQ=Y&amp;VAR:RELITEM=RP&amp;VAR:CURRENCY=USD&amp;VAR:CURRSOURCE=EXSHARE&amp;","VAR:NATFREQ=ANNUAL&amp;VAR:RFIELD=FINALIZED&amp;VAR:DB_TYPE=&amp;VAR:UNITS=M&amp;window=popup&amp;width=450&amp;height=300&amp;START_MAXIMIZED=FALSE"}</definedName>
    <definedName name="_1059__FDSAUDITLINK__" hidden="1">{"fdsup://IBCentral/FAT Viewer?action=UPDATE&amp;creator=factset&amp;DOC_NAME=fat:reuters_annual_source_window.fat&amp;display_string=Audit&amp;DYN_ARGS=TRUE&amp;VAR:ID1=221353&amp;VAR:RCODE=AEQI&amp;VAR:SDATE=20061299&amp;VAR:FREQ=Y&amp;VAR:RELITEM=RP&amp;VAR:CURRENCY=USD&amp;VAR:CURRSOURCE=EXSHARE&amp;","VAR:NATFREQ=ANNUAL&amp;VAR:RFIELD=FINALIZED&amp;VAR:DB_TYPE=&amp;VAR:UNITS=M&amp;window=popup&amp;width=450&amp;height=300&amp;START_MAXIMIZED=FALSE"}</definedName>
    <definedName name="_106__123Graph_XCHART_7" hidden="1">#REF!</definedName>
    <definedName name="_106__FDSAUDITLINK__" localSheetId="8" hidden="1">{"fdsup://directions/FAT Viewer?action=UPDATE&amp;creator=factset&amp;DYN_ARGS=TRUE&amp;DOC_NAME=FAT:FQL_AUDITING_CLIENT_TEMPLATE.FAT&amp;display_string=Audit&amp;VAR:KEY=VYHSRWLEHO&amp;VAR:QUERY=RkZfRUJJVF9JQignQU5OJywzNjg5MSwsLCwnU0VLJyk=&amp;WINDOW=FIRST_POPUP&amp;HEIGHT=450&amp;WIDTH=450&amp;","START_MAXIMIZED=FALSE&amp;VAR:CALENDAR=FIVEDAY&amp;VAR:SYMBOL=454047&amp;VAR:INDEX=0"}</definedName>
    <definedName name="_106__FDSAUDITLINK__" hidden="1">{"fdsup://directions/FAT Viewer?action=UPDATE&amp;creator=factset&amp;DYN_ARGS=TRUE&amp;DOC_NAME=FAT:FQL_AUDITING_CLIENT_TEMPLATE.FAT&amp;display_string=Audit&amp;VAR:KEY=GPQXOZOPUV&amp;VAR:QUERY=RkZfRVBTX0RJTChDQUwsMjAxMSk=&amp;WINDOW=FIRST_POPUP&amp;HEIGHT=450&amp;WIDTH=450&amp;START_MAXIMIZED=","FALSE&amp;VAR:CALENDAR=US&amp;VAR:SYMBOL=MLM&amp;VAR:INDEX=0"}</definedName>
    <definedName name="_106__FDSAUDITLINK___1" localSheetId="8" hidden="1">{"fdsup://directions/FAT Viewer?action=UPDATE&amp;creator=factset&amp;DYN_ARGS=TRUE&amp;DOC_NAME=FAT:FQL_AUDITING_CLIENT_TEMPLATE.FAT&amp;display_string=Audit&amp;VAR:KEY=VYHSRWLEHO&amp;VAR:QUERY=RkZfRUJJVF9JQignQU5OJywzNjg5MSwsLCwnU0VLJyk=&amp;WINDOW=FIRST_POPUP&amp;HEIGHT=450&amp;WIDTH=450&amp;","START_MAXIMIZED=FALSE&amp;VAR:CALENDAR=FIVEDAY&amp;VAR:SYMBOL=454047&amp;VAR:INDEX=0"}</definedName>
    <definedName name="_106__FDSAUDITLINK___1" hidden="1">{"fdsup://directions/FAT Viewer?action=UPDATE&amp;creator=factset&amp;DYN_ARGS=TRUE&amp;DOC_NAME=FAT:FQL_AUDITING_CLIENT_TEMPLATE.FAT&amp;display_string=Audit&amp;VAR:KEY=VYHSRWLEHO&amp;VAR:QUERY=RkZfRUJJVF9JQignQU5OJywzNjg5MSwsLCwnU0VLJyk=&amp;WINDOW=FIRST_POPUP&amp;HEIGHT=450&amp;WIDTH=450&amp;","START_MAXIMIZED=FALSE&amp;VAR:CALENDAR=FIVEDAY&amp;VAR:SYMBOL=454047&amp;VAR:INDEX=0"}</definedName>
    <definedName name="_1060__FDSAUDITLINK__" localSheetId="8" hidden="1">{"fdsup://IBCentral/FAT Viewer?action=UPDATE&amp;creator=factset&amp;DOC_NAME=fat:reuters_qtrly_source_window.fat&amp;display_string=Audit&amp;DYN_ARGS=TRUE&amp;VAR:ID1=221353&amp;VAR:RCODE=LMIN&amp;VAR:SDATE=20061299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060__FDSAUDITLINK__" hidden="1">{"fdsup://IBCentral/FAT Viewer?action=UPDATE&amp;creator=factset&amp;DOC_NAME=fat:reuters_qtrly_source_window.fat&amp;display_string=Audit&amp;DYN_ARGS=TRUE&amp;VAR:ID1=221353&amp;VAR:RCODE=LMIN&amp;VAR:SDATE=20061299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061__FDSAUDITLINK__" localSheetId="8" hidden="1">{"fdsup://IBCentral/FAT Viewer?action=UPDATE&amp;creator=factset&amp;DOC_NAME=fat:reuters_qtrly_source_window.fat&amp;display_string=Audit&amp;DYN_ARGS=TRUE&amp;VAR:ID1=221353&amp;VAR:RCODE=STLD&amp;VAR:SDATE=20061299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061__FDSAUDITLINK__" hidden="1">{"fdsup://IBCentral/FAT Viewer?action=UPDATE&amp;creator=factset&amp;DOC_NAME=fat:reuters_qtrly_source_window.fat&amp;display_string=Audit&amp;DYN_ARGS=TRUE&amp;VAR:ID1=221353&amp;VAR:RCODE=STLD&amp;VAR:SDATE=20061299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062__FDSAUDITLINK__" localSheetId="8" hidden="1">{"fdsup://IBCentral/FAT Viewer?action=UPDATE&amp;creator=factset&amp;DOC_NAME=fat:reuters_qtrly_source_window.fat&amp;display_string=Audit&amp;DYN_ARGS=TRUE&amp;VAR:ID1=221353&amp;VAR:RCODE=SCSI&amp;VAR:SDATE=20061299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062__FDSAUDITLINK__" hidden="1">{"fdsup://IBCentral/FAT Viewer?action=UPDATE&amp;creator=factset&amp;DOC_NAME=fat:reuters_qtrly_source_window.fat&amp;display_string=Audit&amp;DYN_ARGS=TRUE&amp;VAR:ID1=221353&amp;VAR:RCODE=SCSI&amp;VAR:SDATE=20061299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063__FDSAUDITLINK__" localSheetId="8" hidden="1">{"fdsup://IBCentral/FAT Viewer?action=UPDATE&amp;creator=factset&amp;DOC_NAME=fat:reuters_annual_source_window.fat&amp;display_string=Audit&amp;DYN_ARGS=TRUE&amp;VAR:ID1=221353&amp;VAR:RCODE=FDSPFDSTKTOTAL&amp;VAR:SDATE=20061299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063__FDSAUDITLINK__" hidden="1">{"fdsup://IBCentral/FAT Viewer?action=UPDATE&amp;creator=factset&amp;DOC_NAME=fat:reuters_annual_source_window.fat&amp;display_string=Audit&amp;DYN_ARGS=TRUE&amp;VAR:ID1=221353&amp;VAR:RCODE=FDSPFDSTKTOTAL&amp;VAR:SDATE=20061299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064__FDSAUDITLINK__" localSheetId="8" hidden="1">{"fdsup://IBCentral/FAT Viewer?action=UPDATE&amp;creator=factset&amp;DOC_NAME=fat:reuters_annual_source_window.fat&amp;display_string=Audit&amp;DYN_ARGS=TRUE&amp;VAR:ID1=221353&amp;VAR:RCODE=AEQI&amp;VAR:SDATE=20061299&amp;VAR:FREQ=Y&amp;VAR:RELITEM=RP&amp;VAR:CURRENCY=USD&amp;VAR:CURRSOURCE=EXSHARE&amp;","VAR:NATFREQ=ANNUAL&amp;VAR:RFIELD=FINALIZED&amp;VAR:DB_TYPE=&amp;VAR:UNITS=M&amp;window=popup&amp;width=450&amp;height=300&amp;START_MAXIMIZED=FALSE"}</definedName>
    <definedName name="_1064__FDSAUDITLINK__" hidden="1">{"fdsup://IBCentral/FAT Viewer?action=UPDATE&amp;creator=factset&amp;DOC_NAME=fat:reuters_annual_source_window.fat&amp;display_string=Audit&amp;DYN_ARGS=TRUE&amp;VAR:ID1=221353&amp;VAR:RCODE=AEQI&amp;VAR:SDATE=20061299&amp;VAR:FREQ=Y&amp;VAR:RELITEM=RP&amp;VAR:CURRENCY=USD&amp;VAR:CURRSOURCE=EXSHARE&amp;","VAR:NATFREQ=ANNUAL&amp;VAR:RFIELD=FINALIZED&amp;VAR:DB_TYPE=&amp;VAR:UNITS=M&amp;window=popup&amp;width=450&amp;height=300&amp;START_MAXIMIZED=FALSE"}</definedName>
    <definedName name="_1065__FDSAUDITLINK__" localSheetId="8" hidden="1">{"fdsup://IBCentral/FAT Viewer?action=UPDATE&amp;creator=factset&amp;DOC_NAME=fat:reuters_qtrly_source_window.fat&amp;display_string=Audit&amp;DYN_ARGS=TRUE&amp;VAR:ID1=221353&amp;VAR:RCODE=LMIN&amp;VAR:SDATE=20061299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065__FDSAUDITLINK__" hidden="1">{"fdsup://IBCentral/FAT Viewer?action=UPDATE&amp;creator=factset&amp;DOC_NAME=fat:reuters_qtrly_source_window.fat&amp;display_string=Audit&amp;DYN_ARGS=TRUE&amp;VAR:ID1=221353&amp;VAR:RCODE=LMIN&amp;VAR:SDATE=20061299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066__FDSAUDITLINK__" localSheetId="8" hidden="1">{"fdsup://IBCentral/FAT Viewer?action=UPDATE&amp;creator=factset&amp;DOC_NAME=fat:reuters_qtrly_source_window.fat&amp;display_string=Audit&amp;DYN_ARGS=TRUE&amp;VAR:ID1=221353&amp;VAR:RCODE=STLD&amp;VAR:SDATE=20061299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066__FDSAUDITLINK__" hidden="1">{"fdsup://IBCentral/FAT Viewer?action=UPDATE&amp;creator=factset&amp;DOC_NAME=fat:reuters_qtrly_source_window.fat&amp;display_string=Audit&amp;DYN_ARGS=TRUE&amp;VAR:ID1=221353&amp;VAR:RCODE=STLD&amp;VAR:SDATE=20061299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067__FDSAUDITLINK__" localSheetId="8" hidden="1">{"fdsup://IBCentral/FAT Viewer?action=UPDATE&amp;creator=factset&amp;DOC_NAME=fat:reuters_qtrly_source_window.fat&amp;display_string=Audit&amp;DYN_ARGS=TRUE&amp;VAR:ID1=221353&amp;VAR:RCODE=SCSI&amp;VAR:SDATE=20061299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067__FDSAUDITLINK__" hidden="1">{"fdsup://IBCentral/FAT Viewer?action=UPDATE&amp;creator=factset&amp;DOC_NAME=fat:reuters_qtrly_source_window.fat&amp;display_string=Audit&amp;DYN_ARGS=TRUE&amp;VAR:ID1=221353&amp;VAR:RCODE=SCSI&amp;VAR:SDATE=20061299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068__FDSAUDITLINK__" localSheetId="8" hidden="1">{"fdsup://IBCentral/FAT Viewer?action=UPDATE&amp;creator=factset&amp;DOC_NAME=fat:reuters_annual_source_window.fat&amp;display_string=Audit&amp;DYN_ARGS=TRUE&amp;VAR:ID1=221353&amp;VAR:RCODE=FDSPFDSTKTOTAL&amp;VAR:SDATE=20061299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068__FDSAUDITLINK__" hidden="1">{"fdsup://IBCentral/FAT Viewer?action=UPDATE&amp;creator=factset&amp;DOC_NAME=fat:reuters_annual_source_window.fat&amp;display_string=Audit&amp;DYN_ARGS=TRUE&amp;VAR:ID1=221353&amp;VAR:RCODE=FDSPFDSTKTOTAL&amp;VAR:SDATE=20061299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069__FDSAUDITLINK__" localSheetId="8" hidden="1">{"fdsup://IBCentral/FAT Viewer?action=UPDATE&amp;creator=factset&amp;DOC_NAME=fat:reuters_annual_source_window.fat&amp;display_string=Audit&amp;DYN_ARGS=TRUE&amp;VAR:ID1=221353&amp;VAR:RCODE=AEQI&amp;VAR:SDATE=20061299&amp;VAR:FREQ=Y&amp;VAR:RELITEM=RP&amp;VAR:CURRENCY=USD&amp;VAR:CURRSOURCE=EXSHARE&amp;","VAR:NATFREQ=ANNUAL&amp;VAR:RFIELD=FINALIZED&amp;VAR:DB_TYPE=&amp;VAR:UNITS=M&amp;window=popup&amp;width=450&amp;height=300&amp;START_MAXIMIZED=FALSE"}</definedName>
    <definedName name="_1069__FDSAUDITLINK__" hidden="1">{"fdsup://IBCentral/FAT Viewer?action=UPDATE&amp;creator=factset&amp;DOC_NAME=fat:reuters_annual_source_window.fat&amp;display_string=Audit&amp;DYN_ARGS=TRUE&amp;VAR:ID1=221353&amp;VAR:RCODE=AEQI&amp;VAR:SDATE=20061299&amp;VAR:FREQ=Y&amp;VAR:RELITEM=RP&amp;VAR:CURRENCY=USD&amp;VAR:CURRSOURCE=EXSHARE&amp;","VAR:NATFREQ=ANNUAL&amp;VAR:RFIELD=FINALIZED&amp;VAR:DB_TYPE=&amp;VAR:UNITS=M&amp;window=popup&amp;width=450&amp;height=300&amp;START_MAXIMIZED=FALSE"}</definedName>
    <definedName name="_107__123Graph_XCHART_8" hidden="1">#REF!</definedName>
    <definedName name="_107__FDSAUDITLINK__" localSheetId="8" hidden="1">{"fdsup://directions/FAT Viewer?action=UPDATE&amp;creator=factset&amp;DYN_ARGS=TRUE&amp;DOC_NAME=FAT:FQL_AUDITING_CLIENT_TEMPLATE.FAT&amp;display_string=Audit&amp;VAR:KEY=TWXMFCLOJQ&amp;VAR:QUERY=RkZfRUJJVF9JQignQU5OJywzNjUyNSwsLCwnU0VLJyk=&amp;WINDOW=FIRST_POPUP&amp;HEIGHT=450&amp;WIDTH=450&amp;","START_MAXIMIZED=FALSE&amp;VAR:CALENDAR=FIVEDAY&amp;VAR:SYMBOL=454047&amp;VAR:INDEX=0"}</definedName>
    <definedName name="_107__FDSAUDITLINK__" hidden="1">{"fdsup://directions/FAT Viewer?action=UPDATE&amp;creator=factset&amp;DYN_ARGS=TRUE&amp;DOC_NAME=FAT:FQL_AUDITING_CLIENT_TEMPLATE.FAT&amp;display_string=Audit&amp;VAR:KEY=SJMRWHQTSF&amp;VAR:QUERY=RkZfRVBTX0RJTChDQUwsMjAxMSk=&amp;WINDOW=FIRST_POPUP&amp;HEIGHT=450&amp;WIDTH=450&amp;START_MAXIMIZED=","FALSE&amp;VAR:CALENDAR=US&amp;VAR:SYMBOL=EXP&amp;VAR:INDEX=0"}</definedName>
    <definedName name="_107__FDSAUDITLINK___1" localSheetId="8" hidden="1">{"fdsup://directions/FAT Viewer?action=UPDATE&amp;creator=factset&amp;DYN_ARGS=TRUE&amp;DOC_NAME=FAT:FQL_AUDITING_CLIENT_TEMPLATE.FAT&amp;display_string=Audit&amp;VAR:KEY=TWXMFCLOJQ&amp;VAR:QUERY=RkZfRUJJVF9JQignQU5OJywzNjUyNSwsLCwnU0VLJyk=&amp;WINDOW=FIRST_POPUP&amp;HEIGHT=450&amp;WIDTH=450&amp;","START_MAXIMIZED=FALSE&amp;VAR:CALENDAR=FIVEDAY&amp;VAR:SYMBOL=454047&amp;VAR:INDEX=0"}</definedName>
    <definedName name="_107__FDSAUDITLINK___1" hidden="1">{"fdsup://directions/FAT Viewer?action=UPDATE&amp;creator=factset&amp;DYN_ARGS=TRUE&amp;DOC_NAME=FAT:FQL_AUDITING_CLIENT_TEMPLATE.FAT&amp;display_string=Audit&amp;VAR:KEY=TWXMFCLOJQ&amp;VAR:QUERY=RkZfRUJJVF9JQignQU5OJywzNjUyNSwsLCwnU0VLJyk=&amp;WINDOW=FIRST_POPUP&amp;HEIGHT=450&amp;WIDTH=450&amp;","START_MAXIMIZED=FALSE&amp;VAR:CALENDAR=FIVEDAY&amp;VAR:SYMBOL=454047&amp;VAR:INDEX=0"}</definedName>
    <definedName name="_1070__FDSAUDITLINK__" localSheetId="8" hidden="1">{"fdsup://IBCentral/FAT Viewer?action=UPDATE&amp;creator=factset&amp;DOC_NAME=fat:reuters_qtrly_source_window.fat&amp;display_string=Audit&amp;DYN_ARGS=TRUE&amp;VAR:ID1=221353&amp;VAR:RCODE=LMIN&amp;VAR:SDATE=20061299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070__FDSAUDITLINK__" hidden="1">{"fdsup://IBCentral/FAT Viewer?action=UPDATE&amp;creator=factset&amp;DOC_NAME=fat:reuters_qtrly_source_window.fat&amp;display_string=Audit&amp;DYN_ARGS=TRUE&amp;VAR:ID1=221353&amp;VAR:RCODE=LMIN&amp;VAR:SDATE=20061299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071__FDSAUDITLINK__" localSheetId="8" hidden="1">{"fdsup://IBCentral/FAT Viewer?action=UPDATE&amp;creator=factset&amp;DOC_NAME=fat:reuters_qtrly_source_window.fat&amp;display_string=Audit&amp;DYN_ARGS=TRUE&amp;VAR:ID1=221353&amp;VAR:RCODE=STLD&amp;VAR:SDATE=20061299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071__FDSAUDITLINK__" hidden="1">{"fdsup://IBCentral/FAT Viewer?action=UPDATE&amp;creator=factset&amp;DOC_NAME=fat:reuters_qtrly_source_window.fat&amp;display_string=Audit&amp;DYN_ARGS=TRUE&amp;VAR:ID1=221353&amp;VAR:RCODE=STLD&amp;VAR:SDATE=20061299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072__FDSAUDITLINK__" localSheetId="8" hidden="1">{"fdsup://IBCentral/FAT Viewer?action=UPDATE&amp;creator=factset&amp;DOC_NAME=fat:reuters_qtrly_source_window.fat&amp;display_string=Audit&amp;DYN_ARGS=TRUE&amp;VAR:ID1=221353&amp;VAR:RCODE=SCSI&amp;VAR:SDATE=20061299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072__FDSAUDITLINK__" hidden="1">{"fdsup://IBCentral/FAT Viewer?action=UPDATE&amp;creator=factset&amp;DOC_NAME=fat:reuters_qtrly_source_window.fat&amp;display_string=Audit&amp;DYN_ARGS=TRUE&amp;VAR:ID1=221353&amp;VAR:RCODE=SCSI&amp;VAR:SDATE=20061299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073__FDSAUDITLINK__" localSheetId="8" hidden="1">{"fdsup://IBCentral/FAT Viewer?action=UPDATE&amp;creator=factset&amp;DOC_NAME=fat:reuters_annual_source_window.fat&amp;display_string=Audit&amp;DYN_ARGS=TRUE&amp;VAR:ID1=221353&amp;VAR:RCODE=FDSPFDSTKTOTAL&amp;VAR:SDATE=20061299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073__FDSAUDITLINK__" hidden="1">{"fdsup://IBCentral/FAT Viewer?action=UPDATE&amp;creator=factset&amp;DOC_NAME=fat:reuters_annual_source_window.fat&amp;display_string=Audit&amp;DYN_ARGS=TRUE&amp;VAR:ID1=221353&amp;VAR:RCODE=FDSPFDSTKTOTAL&amp;VAR:SDATE=20061299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074__FDSAUDITLINK__" localSheetId="8" hidden="1">{"fdsup://IBCentral/FAT Viewer?action=UPDATE&amp;creator=factset&amp;DOC_NAME=fat:reuters_annual_source_window.fat&amp;display_string=Audit&amp;DYN_ARGS=TRUE&amp;VAR:ID1=221353&amp;VAR:RCODE=AEQI&amp;VAR:SDATE=20061299&amp;VAR:FREQ=Y&amp;VAR:RELITEM=RP&amp;VAR:CURRENCY=USD&amp;VAR:CURRSOURCE=EXSHARE&amp;","VAR:NATFREQ=ANNUAL&amp;VAR:RFIELD=FINALIZED&amp;VAR:DB_TYPE=&amp;VAR:UNITS=M&amp;window=popup&amp;width=450&amp;height=300&amp;START_MAXIMIZED=FALSE"}</definedName>
    <definedName name="_1074__FDSAUDITLINK__" hidden="1">{"fdsup://IBCentral/FAT Viewer?action=UPDATE&amp;creator=factset&amp;DOC_NAME=fat:reuters_annual_source_window.fat&amp;display_string=Audit&amp;DYN_ARGS=TRUE&amp;VAR:ID1=221353&amp;VAR:RCODE=AEQI&amp;VAR:SDATE=20061299&amp;VAR:FREQ=Y&amp;VAR:RELITEM=RP&amp;VAR:CURRENCY=USD&amp;VAR:CURRSOURCE=EXSHARE&amp;","VAR:NATFREQ=ANNUAL&amp;VAR:RFIELD=FINALIZED&amp;VAR:DB_TYPE=&amp;VAR:UNITS=M&amp;window=popup&amp;width=450&amp;height=300&amp;START_MAXIMIZED=FALSE"}</definedName>
    <definedName name="_1075__FDSAUDITLINK__" localSheetId="8" hidden="1">{"fdsup://IBCentral/FAT Viewer?action=UPDATE&amp;creator=factset&amp;DOC_NAME=fat:reuters_qtrly_source_window.fat&amp;display_string=Audit&amp;DYN_ARGS=TRUE&amp;VAR:ID1=221353&amp;VAR:RCODE=LMIN&amp;VAR:SDATE=20061299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075__FDSAUDITLINK__" hidden="1">{"fdsup://IBCentral/FAT Viewer?action=UPDATE&amp;creator=factset&amp;DOC_NAME=fat:reuters_qtrly_source_window.fat&amp;display_string=Audit&amp;DYN_ARGS=TRUE&amp;VAR:ID1=221353&amp;VAR:RCODE=LMIN&amp;VAR:SDATE=20061299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076__FDSAUDITLINK__" localSheetId="8" hidden="1">{"fdsup://IBCentral/FAT Viewer?action=UPDATE&amp;creator=factset&amp;DOC_NAME=fat:reuters_qtrly_source_window.fat&amp;display_string=Audit&amp;DYN_ARGS=TRUE&amp;VAR:ID1=221353&amp;VAR:RCODE=STLD&amp;VAR:SDATE=20061299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076__FDSAUDITLINK__" hidden="1">{"fdsup://IBCentral/FAT Viewer?action=UPDATE&amp;creator=factset&amp;DOC_NAME=fat:reuters_qtrly_source_window.fat&amp;display_string=Audit&amp;DYN_ARGS=TRUE&amp;VAR:ID1=221353&amp;VAR:RCODE=STLD&amp;VAR:SDATE=20061299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077__FDSAUDITLINK__" localSheetId="8" hidden="1">{"fdsup://IBCentral/FAT Viewer?action=UPDATE&amp;creator=factset&amp;DOC_NAME=fat:reuters_qtrly_source_window.fat&amp;display_string=Audit&amp;DYN_ARGS=TRUE&amp;VAR:ID1=221353&amp;VAR:RCODE=SCSI&amp;VAR:SDATE=20061299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077__FDSAUDITLINK__" hidden="1">{"fdsup://IBCentral/FAT Viewer?action=UPDATE&amp;creator=factset&amp;DOC_NAME=fat:reuters_qtrly_source_window.fat&amp;display_string=Audit&amp;DYN_ARGS=TRUE&amp;VAR:ID1=221353&amp;VAR:RCODE=SCSI&amp;VAR:SDATE=20061299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078__FDSAUDITLINK__" localSheetId="8" hidden="1">{"fdsup://IBCentral/FAT Viewer?action=UPDATE&amp;creator=factset&amp;DOC_NAME=fat:reuters_annual_source_window.fat&amp;display_string=Audit&amp;DYN_ARGS=TRUE&amp;VAR:ID1=221353&amp;VAR:RCODE=FDSPFDSTKTOTAL&amp;VAR:SDATE=20061299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078__FDSAUDITLINK__" hidden="1">{"fdsup://IBCentral/FAT Viewer?action=UPDATE&amp;creator=factset&amp;DOC_NAME=fat:reuters_annual_source_window.fat&amp;display_string=Audit&amp;DYN_ARGS=TRUE&amp;VAR:ID1=221353&amp;VAR:RCODE=FDSPFDSTKTOTAL&amp;VAR:SDATE=20061299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079__FDSAUDITLINK__" localSheetId="8" hidden="1">{"fdsup://IBCentral/FAT Viewer?action=UPDATE&amp;creator=factset&amp;DOC_NAME=fat:reuters_annual_source_window.fat&amp;display_string=Audit&amp;DYN_ARGS=TRUE&amp;VAR:ID1=221353&amp;VAR:RCODE=AEQI&amp;VAR:SDATE=20061299&amp;VAR:FREQ=Y&amp;VAR:RELITEM=RP&amp;VAR:CURRENCY=USD&amp;VAR:CURRSOURCE=EXSHARE&amp;","VAR:NATFREQ=ANNUAL&amp;VAR:RFIELD=FINALIZED&amp;VAR:DB_TYPE=&amp;VAR:UNITS=M&amp;window=popup&amp;width=450&amp;height=300&amp;START_MAXIMIZED=FALSE"}</definedName>
    <definedName name="_1079__FDSAUDITLINK__" hidden="1">{"fdsup://IBCentral/FAT Viewer?action=UPDATE&amp;creator=factset&amp;DOC_NAME=fat:reuters_annual_source_window.fat&amp;display_string=Audit&amp;DYN_ARGS=TRUE&amp;VAR:ID1=221353&amp;VAR:RCODE=AEQI&amp;VAR:SDATE=20061299&amp;VAR:FREQ=Y&amp;VAR:RELITEM=RP&amp;VAR:CURRENCY=USD&amp;VAR:CURRSOURCE=EXSHARE&amp;","VAR:NATFREQ=ANNUAL&amp;VAR:RFIELD=FINALIZED&amp;VAR:DB_TYPE=&amp;VAR:UNITS=M&amp;window=popup&amp;width=450&amp;height=300&amp;START_MAXIMIZED=FALSE"}</definedName>
    <definedName name="_108__123Graph_XCHART_18" localSheetId="8" hidden="1">#REF!</definedName>
    <definedName name="_108__123Graph_XCHART_18" hidden="1">#REF!</definedName>
    <definedName name="_108__123Graph_XCHART_9" hidden="1">#REF!</definedName>
    <definedName name="_108__FDSAUDITLINK__" localSheetId="8" hidden="1">{"fdsup://directions/FAT Viewer?action=UPDATE&amp;creator=factset&amp;DYN_ARGS=TRUE&amp;DOC_NAME=FAT:FQL_AUDITING_CLIENT_TEMPLATE.FAT&amp;display_string=Audit&amp;VAR:KEY=JKHMTQJMLW&amp;VAR:QUERY=RkZfRUJJVF9JQignQU5OJywzNjE2MCwsLCwnU0VLJyk=&amp;WINDOW=FIRST_POPUP&amp;HEIGHT=450&amp;WIDTH=450&amp;","START_MAXIMIZED=FALSE&amp;VAR:CALENDAR=FIVEDAY&amp;VAR:SYMBOL=454047&amp;VAR:INDEX=0"}</definedName>
    <definedName name="_108__FDSAUDITLINK__" hidden="1">{"fdsup://directions/FAT Viewer?action=UPDATE&amp;creator=factset&amp;DYN_ARGS=TRUE&amp;DOC_NAME=FAT:FQL_AUDITING_CLIENT_TEMPLATE.FAT&amp;display_string=Audit&amp;VAR:KEY=UXCPUBCFSN&amp;VAR:QUERY=RkZfRVBTX0RJTChDQUwsMjAxMCk=&amp;WINDOW=FIRST_POPUP&amp;HEIGHT=450&amp;WIDTH=450&amp;START_MAXIMIZED=","FALSE&amp;VAR:CALENDAR=US&amp;VAR:SYMBOL=711075&amp;VAR:INDEX=0"}</definedName>
    <definedName name="_108__FDSAUDITLINK___1" localSheetId="8" hidden="1">{"fdsup://directions/FAT Viewer?action=UPDATE&amp;creator=factset&amp;DYN_ARGS=TRUE&amp;DOC_NAME=FAT:FQL_AUDITING_CLIENT_TEMPLATE.FAT&amp;display_string=Audit&amp;VAR:KEY=JKHMTQJMLW&amp;VAR:QUERY=RkZfRUJJVF9JQignQU5OJywzNjE2MCwsLCwnU0VLJyk=&amp;WINDOW=FIRST_POPUP&amp;HEIGHT=450&amp;WIDTH=450&amp;","START_MAXIMIZED=FALSE&amp;VAR:CALENDAR=FIVEDAY&amp;VAR:SYMBOL=454047&amp;VAR:INDEX=0"}</definedName>
    <definedName name="_108__FDSAUDITLINK___1" hidden="1">{"fdsup://directions/FAT Viewer?action=UPDATE&amp;creator=factset&amp;DYN_ARGS=TRUE&amp;DOC_NAME=FAT:FQL_AUDITING_CLIENT_TEMPLATE.FAT&amp;display_string=Audit&amp;VAR:KEY=JKHMTQJMLW&amp;VAR:QUERY=RkZfRUJJVF9JQignQU5OJywzNjE2MCwsLCwnU0VLJyk=&amp;WINDOW=FIRST_POPUP&amp;HEIGHT=450&amp;WIDTH=450&amp;","START_MAXIMIZED=FALSE&amp;VAR:CALENDAR=FIVEDAY&amp;VAR:SYMBOL=454047&amp;VAR:INDEX=0"}</definedName>
    <definedName name="_1080__FDSAUDITLINK__" localSheetId="8" hidden="1">{"fdsup://IBCentral/FAT Viewer?action=UPDATE&amp;creator=factset&amp;DOC_NAME=fat:reuters_qtrly_source_window.fat&amp;display_string=Audit&amp;DYN_ARGS=TRUE&amp;VAR:ID1=221353&amp;VAR:RCODE=LMIN&amp;VAR:SDATE=20061299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080__FDSAUDITLINK__" hidden="1">{"fdsup://IBCentral/FAT Viewer?action=UPDATE&amp;creator=factset&amp;DOC_NAME=fat:reuters_qtrly_source_window.fat&amp;display_string=Audit&amp;DYN_ARGS=TRUE&amp;VAR:ID1=221353&amp;VAR:RCODE=LMIN&amp;VAR:SDATE=20061299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081__FDSAUDITLINK__" localSheetId="8" hidden="1">{"fdsup://IBCentral/FAT Viewer?action=UPDATE&amp;creator=factset&amp;DOC_NAME=fat:reuters_qtrly_source_window.fat&amp;display_string=Audit&amp;DYN_ARGS=TRUE&amp;VAR:ID1=221353&amp;VAR:RCODE=STLD&amp;VAR:SDATE=20061299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081__FDSAUDITLINK__" hidden="1">{"fdsup://IBCentral/FAT Viewer?action=UPDATE&amp;creator=factset&amp;DOC_NAME=fat:reuters_qtrly_source_window.fat&amp;display_string=Audit&amp;DYN_ARGS=TRUE&amp;VAR:ID1=221353&amp;VAR:RCODE=STLD&amp;VAR:SDATE=20061299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082__FDSAUDITLINK__" localSheetId="8" hidden="1">{"fdsup://IBCentral/FAT Viewer?action=UPDATE&amp;creator=factset&amp;DOC_NAME=fat:reuters_qtrly_source_window.fat&amp;display_string=Audit&amp;DYN_ARGS=TRUE&amp;VAR:ID1=221353&amp;VAR:RCODE=SCSI&amp;VAR:SDATE=20061299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082__FDSAUDITLINK__" hidden="1">{"fdsup://IBCentral/FAT Viewer?action=UPDATE&amp;creator=factset&amp;DOC_NAME=fat:reuters_qtrly_source_window.fat&amp;display_string=Audit&amp;DYN_ARGS=TRUE&amp;VAR:ID1=221353&amp;VAR:RCODE=SCSI&amp;VAR:SDATE=20061299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083__FDSAUDITLINK__" localSheetId="8" hidden="1">{"fdsup://IBCentral/FAT Viewer?action=UPDATE&amp;creator=factset&amp;DOC_NAME=fat:reuters_annual_source_window.fat&amp;display_string=Audit&amp;DYN_ARGS=TRUE&amp;VAR:ID1=221353&amp;VAR:RCODE=FDSPFDSTKTOTAL&amp;VAR:SDATE=20061299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083__FDSAUDITLINK__" hidden="1">{"fdsup://IBCentral/FAT Viewer?action=UPDATE&amp;creator=factset&amp;DOC_NAME=fat:reuters_annual_source_window.fat&amp;display_string=Audit&amp;DYN_ARGS=TRUE&amp;VAR:ID1=221353&amp;VAR:RCODE=FDSPFDSTKTOTAL&amp;VAR:SDATE=20061299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084__FDSAUDITLINK__" localSheetId="8" hidden="1">{"fdsup://IBCentral/FAT Viewer?action=UPDATE&amp;creator=factset&amp;DOC_NAME=fat:reuters_annual_source_window.fat&amp;display_string=Audit&amp;DYN_ARGS=TRUE&amp;VAR:ID1=221353&amp;VAR:RCODE=AEQI&amp;VAR:SDATE=20061299&amp;VAR:FREQ=Y&amp;VAR:RELITEM=RP&amp;VAR:CURRENCY=USD&amp;VAR:CURRSOURCE=EXSHARE&amp;","VAR:NATFREQ=ANNUAL&amp;VAR:RFIELD=FINALIZED&amp;VAR:DB_TYPE=&amp;VAR:UNITS=M&amp;window=popup&amp;width=450&amp;height=300&amp;START_MAXIMIZED=FALSE"}</definedName>
    <definedName name="_1084__FDSAUDITLINK__" hidden="1">{"fdsup://IBCentral/FAT Viewer?action=UPDATE&amp;creator=factset&amp;DOC_NAME=fat:reuters_annual_source_window.fat&amp;display_string=Audit&amp;DYN_ARGS=TRUE&amp;VAR:ID1=221353&amp;VAR:RCODE=AEQI&amp;VAR:SDATE=20061299&amp;VAR:FREQ=Y&amp;VAR:RELITEM=RP&amp;VAR:CURRENCY=USD&amp;VAR:CURRSOURCE=EXSHARE&amp;","VAR:NATFREQ=ANNUAL&amp;VAR:RFIELD=FINALIZED&amp;VAR:DB_TYPE=&amp;VAR:UNITS=M&amp;window=popup&amp;width=450&amp;height=300&amp;START_MAXIMIZED=FALSE"}</definedName>
    <definedName name="_1085__FDSAUDITLINK__" localSheetId="8" hidden="1">{"fdsup://IBCentral/FAT Viewer?action=UPDATE&amp;creator=factset&amp;DOC_NAME=fat:reuters_qtrly_source_window.fat&amp;display_string=Audit&amp;DYN_ARGS=TRUE&amp;VAR:ID1=221353&amp;VAR:RCODE=LMIN&amp;VAR:SDATE=20061299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085__FDSAUDITLINK__" hidden="1">{"fdsup://IBCentral/FAT Viewer?action=UPDATE&amp;creator=factset&amp;DOC_NAME=fat:reuters_qtrly_source_window.fat&amp;display_string=Audit&amp;DYN_ARGS=TRUE&amp;VAR:ID1=221353&amp;VAR:RCODE=LMIN&amp;VAR:SDATE=20061299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086__FDSAUDITLINK__" localSheetId="8" hidden="1">{"fdsup://IBCentral/FAT Viewer?action=UPDATE&amp;creator=factset&amp;DOC_NAME=fat:reuters_qtrly_source_window.fat&amp;display_string=Audit&amp;DYN_ARGS=TRUE&amp;VAR:ID1=221353&amp;VAR:RCODE=STLD&amp;VAR:SDATE=20061299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086__FDSAUDITLINK__" hidden="1">{"fdsup://IBCentral/FAT Viewer?action=UPDATE&amp;creator=factset&amp;DOC_NAME=fat:reuters_qtrly_source_window.fat&amp;display_string=Audit&amp;DYN_ARGS=TRUE&amp;VAR:ID1=221353&amp;VAR:RCODE=STLD&amp;VAR:SDATE=20061299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087__FDSAUDITLINK__" localSheetId="8" hidden="1">{"fdsup://IBCentral/FAT Viewer?action=UPDATE&amp;creator=factset&amp;DOC_NAME=fat:reuters_qtrly_source_window.fat&amp;display_string=Audit&amp;DYN_ARGS=TRUE&amp;VAR:ID1=221353&amp;VAR:RCODE=SCSI&amp;VAR:SDATE=20061299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087__FDSAUDITLINK__" hidden="1">{"fdsup://IBCentral/FAT Viewer?action=UPDATE&amp;creator=factset&amp;DOC_NAME=fat:reuters_qtrly_source_window.fat&amp;display_string=Audit&amp;DYN_ARGS=TRUE&amp;VAR:ID1=221353&amp;VAR:RCODE=SCSI&amp;VAR:SDATE=20061299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088__FDSAUDITLINK__" localSheetId="8" hidden="1">{"fdsup://IBCentral/FAT Viewer?action=UPDATE&amp;creator=factset&amp;DOC_NAME=fat:reuters_annual_source_window.fat&amp;display_string=Audit&amp;DYN_ARGS=TRUE&amp;VAR:ID1=221353&amp;VAR:RCODE=FDSPFDSTKTOTAL&amp;VAR:SDATE=20061299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088__FDSAUDITLINK__" hidden="1">{"fdsup://IBCentral/FAT Viewer?action=UPDATE&amp;creator=factset&amp;DOC_NAME=fat:reuters_annual_source_window.fat&amp;display_string=Audit&amp;DYN_ARGS=TRUE&amp;VAR:ID1=221353&amp;VAR:RCODE=FDSPFDSTKTOTAL&amp;VAR:SDATE=20061299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089__FDSAUDITLINK__" localSheetId="8" hidden="1">{"fdsup://IBCentral/FAT Viewer?action=UPDATE&amp;creator=factset&amp;DOC_NAME=fat:reuters_annual_source_window.fat&amp;display_string=Audit&amp;DYN_ARGS=TRUE&amp;VAR:ID1=221353&amp;VAR:RCODE=AEQI&amp;VAR:SDATE=20061299&amp;VAR:FREQ=Y&amp;VAR:RELITEM=RP&amp;VAR:CURRENCY=USD&amp;VAR:CURRSOURCE=EXSHARE&amp;","VAR:NATFREQ=ANNUAL&amp;VAR:RFIELD=FINALIZED&amp;VAR:DB_TYPE=&amp;VAR:UNITS=M&amp;window=popup&amp;width=450&amp;height=300&amp;START_MAXIMIZED=FALSE"}</definedName>
    <definedName name="_1089__FDSAUDITLINK__" hidden="1">{"fdsup://IBCentral/FAT Viewer?action=UPDATE&amp;creator=factset&amp;DOC_NAME=fat:reuters_annual_source_window.fat&amp;display_string=Audit&amp;DYN_ARGS=TRUE&amp;VAR:ID1=221353&amp;VAR:RCODE=AEQI&amp;VAR:SDATE=20061299&amp;VAR:FREQ=Y&amp;VAR:RELITEM=RP&amp;VAR:CURRENCY=USD&amp;VAR:CURRSOURCE=EXSHARE&amp;","VAR:NATFREQ=ANNUAL&amp;VAR:RFIELD=FINALIZED&amp;VAR:DB_TYPE=&amp;VAR:UNITS=M&amp;window=popup&amp;width=450&amp;height=300&amp;START_MAXIMIZED=FALSE"}</definedName>
    <definedName name="_109__123Graph_LBL_ACHART_19" hidden="1">#REF!</definedName>
    <definedName name="_109__123Graph_XCHART_19" localSheetId="8" hidden="1">#REF!</definedName>
    <definedName name="_109__123Graph_XCHART_19" hidden="1">#REF!</definedName>
    <definedName name="_109__FDSAUDITLINK__" localSheetId="8" hidden="1">{"fdsup://directions/FAT Viewer?action=UPDATE&amp;creator=factset&amp;DYN_ARGS=TRUE&amp;DOC_NAME=FAT:FQL_AUDITING_CLIENT_TEMPLATE.FAT&amp;display_string=Audit&amp;VAR:KEY=RSZAHITYPS&amp;VAR:QUERY=RkZfRUJJVF9JQignQU5OJywzNTc5NSwsLCwnU0VLJyk=&amp;WINDOW=FIRST_POPUP&amp;HEIGHT=450&amp;WIDTH=450&amp;","START_MAXIMIZED=FALSE&amp;VAR:CALENDAR=FIVEDAY&amp;VAR:SYMBOL=454047&amp;VAR:INDEX=0"}</definedName>
    <definedName name="_109__FDSAUDITLINK__" hidden="1">{"fdsup://directions/FAT Viewer?action=UPDATE&amp;creator=factset&amp;DYN_ARGS=TRUE&amp;DOC_NAME=FAT:FQL_AUDITING_CLIENT_TEMPLATE.FAT&amp;display_string=Audit&amp;VAR:KEY=NQTMLOJWRA&amp;VAR:QUERY=RkZfRVBTX0RJTChDQUwsMjAxMCk=&amp;WINDOW=FIRST_POPUP&amp;HEIGHT=450&amp;WIDTH=450&amp;START_MAXIMIZED=","FALSE&amp;VAR:CALENDAR=US&amp;VAR:SYMBOL=CX&amp;VAR:INDEX=0"}</definedName>
    <definedName name="_109__FDSAUDITLINK___1" localSheetId="8" hidden="1">{"fdsup://directions/FAT Viewer?action=UPDATE&amp;creator=factset&amp;DYN_ARGS=TRUE&amp;DOC_NAME=FAT:FQL_AUDITING_CLIENT_TEMPLATE.FAT&amp;display_string=Audit&amp;VAR:KEY=RSZAHITYPS&amp;VAR:QUERY=RkZfRUJJVF9JQignQU5OJywzNTc5NSwsLCwnU0VLJyk=&amp;WINDOW=FIRST_POPUP&amp;HEIGHT=450&amp;WIDTH=450&amp;","START_MAXIMIZED=FALSE&amp;VAR:CALENDAR=FIVEDAY&amp;VAR:SYMBOL=454047&amp;VAR:INDEX=0"}</definedName>
    <definedName name="_109__FDSAUDITLINK___1" hidden="1">{"fdsup://directions/FAT Viewer?action=UPDATE&amp;creator=factset&amp;DYN_ARGS=TRUE&amp;DOC_NAME=FAT:FQL_AUDITING_CLIENT_TEMPLATE.FAT&amp;display_string=Audit&amp;VAR:KEY=RSZAHITYPS&amp;VAR:QUERY=RkZfRUJJVF9JQignQU5OJywzNTc5NSwsLCwnU0VLJyk=&amp;WINDOW=FIRST_POPUP&amp;HEIGHT=450&amp;WIDTH=450&amp;","START_MAXIMIZED=FALSE&amp;VAR:CALENDAR=FIVEDAY&amp;VAR:SYMBOL=454047&amp;VAR:INDEX=0"}</definedName>
    <definedName name="_1090__FDSAUDITLINK__" localSheetId="8" hidden="1">{"fdsup://IBCentral/FAT Viewer?action=UPDATE&amp;creator=factset&amp;DOC_NAME=fat:reuters_qtrly_source_window.fat&amp;display_string=Audit&amp;DYN_ARGS=TRUE&amp;VAR:ID1=221353&amp;VAR:RCODE=LMIN&amp;VAR:SDATE=20070399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090__FDSAUDITLINK__" hidden="1">{"fdsup://IBCentral/FAT Viewer?action=UPDATE&amp;creator=factset&amp;DOC_NAME=fat:reuters_qtrly_source_window.fat&amp;display_string=Audit&amp;DYN_ARGS=TRUE&amp;VAR:ID1=221353&amp;VAR:RCODE=LMIN&amp;VAR:SDATE=20070399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091__FDSAUDITLINK__" localSheetId="8" hidden="1">{"fdsup://IBCentral/FAT Viewer?action=UPDATE&amp;creator=factset&amp;DOC_NAME=fat:reuters_qtrly_source_window.fat&amp;display_string=Audit&amp;DYN_ARGS=TRUE&amp;VAR:ID1=221353&amp;VAR:RCODE=STLD&amp;VAR:SDATE=20070399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091__FDSAUDITLINK__" hidden="1">{"fdsup://IBCentral/FAT Viewer?action=UPDATE&amp;creator=factset&amp;DOC_NAME=fat:reuters_qtrly_source_window.fat&amp;display_string=Audit&amp;DYN_ARGS=TRUE&amp;VAR:ID1=221353&amp;VAR:RCODE=STLD&amp;VAR:SDATE=20070399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092__FDSAUDITLINK__" localSheetId="8" hidden="1">{"fdsup://IBCentral/FAT Viewer?action=UPDATE&amp;creator=factset&amp;DOC_NAME=fat:reuters_qtrly_source_window.fat&amp;display_string=Audit&amp;DYN_ARGS=TRUE&amp;VAR:ID1=221353&amp;VAR:RCODE=SCSI&amp;VAR:SDATE=20070399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092__FDSAUDITLINK__" hidden="1">{"fdsup://IBCentral/FAT Viewer?action=UPDATE&amp;creator=factset&amp;DOC_NAME=fat:reuters_qtrly_source_window.fat&amp;display_string=Audit&amp;DYN_ARGS=TRUE&amp;VAR:ID1=221353&amp;VAR:RCODE=SCSI&amp;VAR:SDATE=20070399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093__FDSAUDITLINK__" localSheetId="8" hidden="1">{"fdsup://IBCentral/FAT Viewer?action=UPDATE&amp;creator=factset&amp;DOC_NAME=fat:reuters_annual_source_window.fat&amp;display_string=Audit&amp;DYN_ARGS=TRUE&amp;VAR:ID1=221353&amp;VAR:RCODE=FDSPFDSTKTOTAL&amp;VAR:SDATE=20061299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093__FDSAUDITLINK__" hidden="1">{"fdsup://IBCentral/FAT Viewer?action=UPDATE&amp;creator=factset&amp;DOC_NAME=fat:reuters_annual_source_window.fat&amp;display_string=Audit&amp;DYN_ARGS=TRUE&amp;VAR:ID1=221353&amp;VAR:RCODE=FDSPFDSTKTOTAL&amp;VAR:SDATE=20061299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094__FDSAUDITLINK__" localSheetId="8" hidden="1">{"fdsup://IBCentral/FAT Viewer?action=UPDATE&amp;creator=factset&amp;DOC_NAME=fat:reuters_annual_source_window.fat&amp;display_string=Audit&amp;DYN_ARGS=TRUE&amp;VAR:ID1=221353&amp;VAR:RCODE=AEQI&amp;VAR:SDATE=20061299&amp;VAR:FREQ=Y&amp;VAR:RELITEM=RP&amp;VAR:CURRENCY=USD&amp;VAR:CURRSOURCE=EXSHARE&amp;","VAR:NATFREQ=ANNUAL&amp;VAR:RFIELD=FINALIZED&amp;VAR:DB_TYPE=&amp;VAR:UNITS=M&amp;window=popup&amp;width=450&amp;height=300&amp;START_MAXIMIZED=FALSE"}</definedName>
    <definedName name="_1094__FDSAUDITLINK__" hidden="1">{"fdsup://IBCentral/FAT Viewer?action=UPDATE&amp;creator=factset&amp;DOC_NAME=fat:reuters_annual_source_window.fat&amp;display_string=Audit&amp;DYN_ARGS=TRUE&amp;VAR:ID1=221353&amp;VAR:RCODE=AEQI&amp;VAR:SDATE=20061299&amp;VAR:FREQ=Y&amp;VAR:RELITEM=RP&amp;VAR:CURRENCY=USD&amp;VAR:CURRSOURCE=EXSHARE&amp;","VAR:NATFREQ=ANNUAL&amp;VAR:RFIELD=FINALIZED&amp;VAR:DB_TYPE=&amp;VAR:UNITS=M&amp;window=popup&amp;width=450&amp;height=300&amp;START_MAXIMIZED=FALSE"}</definedName>
    <definedName name="_1095__FDSAUDITLINK__" localSheetId="8" hidden="1">{"fdsup://IBCentral/FAT Viewer?action=UPDATE&amp;creator=factset&amp;DOC_NAME=fat:reuters_qtrly_source_window.fat&amp;display_string=Audit&amp;DYN_ARGS=TRUE&amp;VAR:ID1=221353&amp;VAR:RCODE=LMIN&amp;VAR:SDATE=20070399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095__FDSAUDITLINK__" hidden="1">{"fdsup://IBCentral/FAT Viewer?action=UPDATE&amp;creator=factset&amp;DOC_NAME=fat:reuters_qtrly_source_window.fat&amp;display_string=Audit&amp;DYN_ARGS=TRUE&amp;VAR:ID1=221353&amp;VAR:RCODE=LMIN&amp;VAR:SDATE=20070399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096__FDSAUDITLINK__" localSheetId="8" hidden="1">{"fdsup://IBCentral/FAT Viewer?action=UPDATE&amp;creator=factset&amp;DOC_NAME=fat:reuters_qtrly_source_window.fat&amp;display_string=Audit&amp;DYN_ARGS=TRUE&amp;VAR:ID1=221353&amp;VAR:RCODE=STLD&amp;VAR:SDATE=20070399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096__FDSAUDITLINK__" hidden="1">{"fdsup://IBCentral/FAT Viewer?action=UPDATE&amp;creator=factset&amp;DOC_NAME=fat:reuters_qtrly_source_window.fat&amp;display_string=Audit&amp;DYN_ARGS=TRUE&amp;VAR:ID1=221353&amp;VAR:RCODE=STLD&amp;VAR:SDATE=20070399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097__FDSAUDITLINK__" localSheetId="8" hidden="1">{"fdsup://IBCentral/FAT Viewer?action=UPDATE&amp;creator=factset&amp;DOC_NAME=fat:reuters_qtrly_source_window.fat&amp;display_string=Audit&amp;DYN_ARGS=TRUE&amp;VAR:ID1=221353&amp;VAR:RCODE=SCSI&amp;VAR:SDATE=20070399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097__FDSAUDITLINK__" hidden="1">{"fdsup://IBCentral/FAT Viewer?action=UPDATE&amp;creator=factset&amp;DOC_NAME=fat:reuters_qtrly_source_window.fat&amp;display_string=Audit&amp;DYN_ARGS=TRUE&amp;VAR:ID1=221353&amp;VAR:RCODE=SCSI&amp;VAR:SDATE=20070399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098__FDSAUDITLINK__" localSheetId="8" hidden="1">{"fdsup://IBCentral/FAT Viewer?action=UPDATE&amp;creator=factset&amp;DOC_NAME=fat:reuters_annual_source_window.fat&amp;display_string=Audit&amp;DYN_ARGS=TRUE&amp;VAR:ID1=221353&amp;VAR:RCODE=FDSPFDSTKTOTAL&amp;VAR:SDATE=20061299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098__FDSAUDITLINK__" hidden="1">{"fdsup://IBCentral/FAT Viewer?action=UPDATE&amp;creator=factset&amp;DOC_NAME=fat:reuters_annual_source_window.fat&amp;display_string=Audit&amp;DYN_ARGS=TRUE&amp;VAR:ID1=221353&amp;VAR:RCODE=FDSPFDSTKTOTAL&amp;VAR:SDATE=20061299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099__FDSAUDITLINK__" localSheetId="8" hidden="1">{"fdsup://IBCentral/FAT Viewer?action=UPDATE&amp;creator=factset&amp;DOC_NAME=fat:reuters_annual_source_window.fat&amp;display_string=Audit&amp;DYN_ARGS=TRUE&amp;VAR:ID1=221353&amp;VAR:RCODE=AEQI&amp;VAR:SDATE=20061299&amp;VAR:FREQ=Y&amp;VAR:RELITEM=RP&amp;VAR:CURRENCY=USD&amp;VAR:CURRSOURCE=EXSHARE&amp;","VAR:NATFREQ=ANNUAL&amp;VAR:RFIELD=FINALIZED&amp;VAR:DB_TYPE=&amp;VAR:UNITS=M&amp;window=popup&amp;width=450&amp;height=300&amp;START_MAXIMIZED=FALSE"}</definedName>
    <definedName name="_1099__FDSAUDITLINK__" hidden="1">{"fdsup://IBCentral/FAT Viewer?action=UPDATE&amp;creator=factset&amp;DOC_NAME=fat:reuters_annual_source_window.fat&amp;display_string=Audit&amp;DYN_ARGS=TRUE&amp;VAR:ID1=221353&amp;VAR:RCODE=AEQI&amp;VAR:SDATE=20061299&amp;VAR:FREQ=Y&amp;VAR:RELITEM=RP&amp;VAR:CURRENCY=USD&amp;VAR:CURRSOURCE=EXSHARE&amp;","VAR:NATFREQ=ANNUAL&amp;VAR:RFIELD=FINALIZED&amp;VAR:DB_TYPE=&amp;VAR:UNITS=M&amp;window=popup&amp;width=450&amp;height=300&amp;START_MAXIMIZED=FALSE"}</definedName>
    <definedName name="_11__123Graph_ACHART_20" localSheetId="8" hidden="1">#REF!</definedName>
    <definedName name="_11__123Graph_ACHART_20" hidden="1">#REF!</definedName>
    <definedName name="_11__123Graph_ACHART_22" hidden="1">#REF!</definedName>
    <definedName name="_11__123Graph_ACHART_6" hidden="1">#REF!</definedName>
    <definedName name="_11__123Graph_BCHART_2" localSheetId="8" hidden="1">#REF!</definedName>
    <definedName name="_11__123Graph_BCHART_2" hidden="1">#REF!</definedName>
    <definedName name="_11__123Graph_BCHART_3" localSheetId="7" hidden="1">#REF!</definedName>
    <definedName name="_11__123Graph_BCHART_3" localSheetId="8" hidden="1">#REF!</definedName>
    <definedName name="_11__123Graph_BCHART_3" hidden="1">#REF!</definedName>
    <definedName name="_11__123Graph_BChart_4" hidden="1">#REF!</definedName>
    <definedName name="_11__123Graph_BCHART_7" hidden="1">#REF!</definedName>
    <definedName name="_11__123Graph_BGRAFICO_1" localSheetId="8" hidden="1">#REF!</definedName>
    <definedName name="_11__123Graph_BGRAFICO_1" hidden="1">#REF!</definedName>
    <definedName name="_11__123Graph_CCHART_1" hidden="1">#REF!</definedName>
    <definedName name="_11__123Graph_DGRAFICO_20" hidden="1">#REF!</definedName>
    <definedName name="_11__123Graph_FGRAFICO_20" hidden="1">#REF!</definedName>
    <definedName name="_11__123Graph_LBL_ACHART_3" hidden="1">#REF!</definedName>
    <definedName name="_11__123Graph_LBL_AGRAFICO_20" hidden="1">#REF!</definedName>
    <definedName name="_11__123Graph_LBL_BOG_CONFRONT_INC" hidden="1">#REF!</definedName>
    <definedName name="_11__FDSAUDITLINK__" localSheetId="8" hidden="1">{"fdsup://directions/FAT Viewer?action=UPDATE&amp;creator=factset&amp;DYN_ARGS=TRUE&amp;DOC_NAME=FAT:FQL_AUDITING_CLIENT_TEMPLATE.FAT&amp;display_string=Audit&amp;VAR:KEY=SHOLSBKRAV&amp;VAR:QUERY=RkZfRUJJVF9JQihBTk4sMzk4MTMsLCwsRVVSKQ==&amp;WINDOW=FIRST_POPUP&amp;HEIGHT=450&amp;WIDTH=450&amp;STAR","T_MAXIMIZED=FALSE&amp;VAR:CALENDAR=FIVEDAY&amp;VAR:SYMBOL=591344&amp;VAR:INDEX=0"}</definedName>
    <definedName name="_11__FDSAUDITLINK__" hidden="1">{"fdsup://directions/FAT Viewer?action=UPDATE&amp;creator=factset&amp;DYN_ARGS=TRUE&amp;DOC_NAME=FAT:FQL_AUDITING_CLIENT_TEMPLATE.FAT&amp;display_string=Audit&amp;VAR:KEY=YPOZOFULET&amp;VAR:QUERY=RkZfU0FMRVMoQ0FMLDIwMTEp&amp;WINDOW=FIRST_POPUP&amp;HEIGHT=450&amp;WIDTH=450&amp;START_MAXIMIZED=FALS","E&amp;VAR:CALENDAR=US&amp;VAR:SYMBOL=711075&amp;VAR:INDEX=0"}</definedName>
    <definedName name="_11__FDSAUDITLINK___1" localSheetId="8" hidden="1">{"fdsup://directions/FAT Viewer?action=UPDATE&amp;creator=factset&amp;DYN_ARGS=TRUE&amp;DOC_NAME=FAT:FQL_AUDITING_CLIENT_TEMPLATE.FAT&amp;display_string=Audit&amp;VAR:KEY=SHOLSBKRAV&amp;VAR:QUERY=RkZfRUJJVF9JQihBTk4sMzk4MTMsLCwsRVVSKQ==&amp;WINDOW=FIRST_POPUP&amp;HEIGHT=450&amp;WIDTH=450&amp;STAR","T_MAXIMIZED=FALSE&amp;VAR:CALENDAR=FIVEDAY&amp;VAR:SYMBOL=591344&amp;VAR:INDEX=0"}</definedName>
    <definedName name="_11__FDSAUDITLINK___1" hidden="1">{"fdsup://directions/FAT Viewer?action=UPDATE&amp;creator=factset&amp;DYN_ARGS=TRUE&amp;DOC_NAME=FAT:FQL_AUDITING_CLIENT_TEMPLATE.FAT&amp;display_string=Audit&amp;VAR:KEY=SHOLSBKRAV&amp;VAR:QUERY=RkZfRUJJVF9JQihBTk4sMzk4MTMsLCwsRVVSKQ==&amp;WINDOW=FIRST_POPUP&amp;HEIGHT=450&amp;WIDTH=450&amp;STAR","T_MAXIMIZED=FALSE&amp;VAR:CALENDAR=FIVEDAY&amp;VAR:SYMBOL=591344&amp;VAR:INDEX=0"}</definedName>
    <definedName name="_11_123Graph_LBL_AB94S" hidden="1">#REF!</definedName>
    <definedName name="_11_123Graph_LBL_ACHART_4" hidden="1">#REF!</definedName>
    <definedName name="_110__123Graph_LBL_ACHART_2" hidden="1">#REF!</definedName>
    <definedName name="_110__FDSAUDITLINK__" localSheetId="8" hidden="1">{"fdsup://directions/FAT Viewer?action=UPDATE&amp;creator=factset&amp;DYN_ARGS=TRUE&amp;DOC_NAME=FAT:FQL_AUDITING_CLIENT_TEMPLATE.FAT&amp;display_string=Audit&amp;VAR:KEY=ZEJYBCTQPQ&amp;VAR:QUERY=RkZfRUJJVF9JQignQU5OJywzNTQzMCwsLCwnU0VLJyk=&amp;WINDOW=FIRST_POPUP&amp;HEIGHT=450&amp;WIDTH=450&amp;","START_MAXIMIZED=FALSE&amp;VAR:CALENDAR=FIVEDAY&amp;VAR:SYMBOL=454047&amp;VAR:INDEX=0"}</definedName>
    <definedName name="_110__FDSAUDITLINK__" hidden="1">{"fdsup://directions/FAT Viewer?action=UPDATE&amp;creator=factset&amp;DYN_ARGS=TRUE&amp;DOC_NAME=FAT:FQL_AUDITING_CLIENT_TEMPLATE.FAT&amp;display_string=Audit&amp;VAR:KEY=LAJKZABGXW&amp;VAR:QUERY=RkZfRVBTX0RJTChDQUwsMjAxMCk=&amp;WINDOW=FIRST_POPUP&amp;HEIGHT=450&amp;WIDTH=450&amp;START_MAXIMIZED=","FALSE&amp;VAR:CALENDAR=US&amp;VAR:SYMBOL=450270&amp;VAR:INDEX=0"}</definedName>
    <definedName name="_110__FDSAUDITLINK___1" localSheetId="8" hidden="1">{"fdsup://directions/FAT Viewer?action=UPDATE&amp;creator=factset&amp;DYN_ARGS=TRUE&amp;DOC_NAME=FAT:FQL_AUDITING_CLIENT_TEMPLATE.FAT&amp;display_string=Audit&amp;VAR:KEY=ZEJYBCTQPQ&amp;VAR:QUERY=RkZfRUJJVF9JQignQU5OJywzNTQzMCwsLCwnU0VLJyk=&amp;WINDOW=FIRST_POPUP&amp;HEIGHT=450&amp;WIDTH=450&amp;","START_MAXIMIZED=FALSE&amp;VAR:CALENDAR=FIVEDAY&amp;VAR:SYMBOL=454047&amp;VAR:INDEX=0"}</definedName>
    <definedName name="_110__FDSAUDITLINK___1" hidden="1">{"fdsup://directions/FAT Viewer?action=UPDATE&amp;creator=factset&amp;DYN_ARGS=TRUE&amp;DOC_NAME=FAT:FQL_AUDITING_CLIENT_TEMPLATE.FAT&amp;display_string=Audit&amp;VAR:KEY=ZEJYBCTQPQ&amp;VAR:QUERY=RkZfRUJJVF9JQignQU5OJywzNTQzMCwsLCwnU0VLJyk=&amp;WINDOW=FIRST_POPUP&amp;HEIGHT=450&amp;WIDTH=450&amp;","START_MAXIMIZED=FALSE&amp;VAR:CALENDAR=FIVEDAY&amp;VAR:SYMBOL=454047&amp;VAR:INDEX=0"}</definedName>
    <definedName name="_1100__FDSAUDITLINK__" localSheetId="8" hidden="1">{"fdsup://IBCentral/FAT Viewer?action=UPDATE&amp;creator=factset&amp;DOC_NAME=fat:reuters_qtrly_source_window.fat&amp;display_string=Audit&amp;DYN_ARGS=TRUE&amp;VAR:ID1=221353&amp;VAR:RCODE=LMIN&amp;VAR:SDATE=20070399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100__FDSAUDITLINK__" hidden="1">{"fdsup://IBCentral/FAT Viewer?action=UPDATE&amp;creator=factset&amp;DOC_NAME=fat:reuters_qtrly_source_window.fat&amp;display_string=Audit&amp;DYN_ARGS=TRUE&amp;VAR:ID1=221353&amp;VAR:RCODE=LMIN&amp;VAR:SDATE=20070399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101__FDSAUDITLINK__" localSheetId="8" hidden="1">{"fdsup://IBCentral/FAT Viewer?action=UPDATE&amp;creator=factset&amp;DOC_NAME=fat:reuters_qtrly_source_window.fat&amp;display_string=Audit&amp;DYN_ARGS=TRUE&amp;VAR:ID1=221353&amp;VAR:RCODE=STLD&amp;VAR:SDATE=20070399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101__FDSAUDITLINK__" hidden="1">{"fdsup://IBCentral/FAT Viewer?action=UPDATE&amp;creator=factset&amp;DOC_NAME=fat:reuters_qtrly_source_window.fat&amp;display_string=Audit&amp;DYN_ARGS=TRUE&amp;VAR:ID1=221353&amp;VAR:RCODE=STLD&amp;VAR:SDATE=20070399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102__FDSAUDITLINK__" localSheetId="8" hidden="1">{"fdsup://IBCentral/FAT Viewer?action=UPDATE&amp;creator=factset&amp;DOC_NAME=fat:reuters_qtrly_source_window.fat&amp;display_string=Audit&amp;DYN_ARGS=TRUE&amp;VAR:ID1=221353&amp;VAR:RCODE=SCSI&amp;VAR:SDATE=20070399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102__FDSAUDITLINK__" hidden="1">{"fdsup://IBCentral/FAT Viewer?action=UPDATE&amp;creator=factset&amp;DOC_NAME=fat:reuters_qtrly_source_window.fat&amp;display_string=Audit&amp;DYN_ARGS=TRUE&amp;VAR:ID1=221353&amp;VAR:RCODE=SCSI&amp;VAR:SDATE=20070399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103__FDSAUDITLINK__" localSheetId="8" hidden="1">{"fdsup://IBCentral/FAT Viewer?action=UPDATE&amp;creator=factset&amp;DOC_NAME=fat:reuters_annual_source_window.fat&amp;display_string=Audit&amp;DYN_ARGS=TRUE&amp;VAR:ID1=221353&amp;VAR:RCODE=FDSPFDSTKTOTAL&amp;VAR:SDATE=20061299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103__FDSAUDITLINK__" hidden="1">{"fdsup://IBCentral/FAT Viewer?action=UPDATE&amp;creator=factset&amp;DOC_NAME=fat:reuters_annual_source_window.fat&amp;display_string=Audit&amp;DYN_ARGS=TRUE&amp;VAR:ID1=221353&amp;VAR:RCODE=FDSPFDSTKTOTAL&amp;VAR:SDATE=20061299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104__FDSAUDITLINK__" localSheetId="8" hidden="1">{"fdsup://IBCentral/FAT Viewer?action=UPDATE&amp;creator=factset&amp;DOC_NAME=fat:reuters_annual_source_window.fat&amp;display_string=Audit&amp;DYN_ARGS=TRUE&amp;VAR:ID1=221353&amp;VAR:RCODE=AEQI&amp;VAR:SDATE=20061299&amp;VAR:FREQ=Y&amp;VAR:RELITEM=RP&amp;VAR:CURRENCY=USD&amp;VAR:CURRSOURCE=EXSHARE&amp;","VAR:NATFREQ=ANNUAL&amp;VAR:RFIELD=FINALIZED&amp;VAR:DB_TYPE=&amp;VAR:UNITS=M&amp;window=popup&amp;width=450&amp;height=300&amp;START_MAXIMIZED=FALSE"}</definedName>
    <definedName name="_1104__FDSAUDITLINK__" hidden="1">{"fdsup://IBCentral/FAT Viewer?action=UPDATE&amp;creator=factset&amp;DOC_NAME=fat:reuters_annual_source_window.fat&amp;display_string=Audit&amp;DYN_ARGS=TRUE&amp;VAR:ID1=221353&amp;VAR:RCODE=AEQI&amp;VAR:SDATE=20061299&amp;VAR:FREQ=Y&amp;VAR:RELITEM=RP&amp;VAR:CURRENCY=USD&amp;VAR:CURRSOURCE=EXSHARE&amp;","VAR:NATFREQ=ANNUAL&amp;VAR:RFIELD=FINALIZED&amp;VAR:DB_TYPE=&amp;VAR:UNITS=M&amp;window=popup&amp;width=450&amp;height=300&amp;START_MAXIMIZED=FALSE"}</definedName>
    <definedName name="_1105__FDSAUDITLINK__" localSheetId="8" hidden="1">{"fdsup://IBCentral/FAT Viewer?action=UPDATE&amp;creator=factset&amp;DOC_NAME=fat:reuters_qtrly_source_window.fat&amp;display_string=Audit&amp;DYN_ARGS=TRUE&amp;VAR:ID1=221353&amp;VAR:RCODE=LMIN&amp;VAR:SDATE=20070399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105__FDSAUDITLINK__" hidden="1">{"fdsup://IBCentral/FAT Viewer?action=UPDATE&amp;creator=factset&amp;DOC_NAME=fat:reuters_qtrly_source_window.fat&amp;display_string=Audit&amp;DYN_ARGS=TRUE&amp;VAR:ID1=221353&amp;VAR:RCODE=LMIN&amp;VAR:SDATE=20070399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106__FDSAUDITLINK__" localSheetId="8" hidden="1">{"fdsup://IBCentral/FAT Viewer?action=UPDATE&amp;creator=factset&amp;DOC_NAME=fat:reuters_qtrly_source_window.fat&amp;display_string=Audit&amp;DYN_ARGS=TRUE&amp;VAR:ID1=221353&amp;VAR:RCODE=STLD&amp;VAR:SDATE=20070399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106__FDSAUDITLINK__" hidden="1">{"fdsup://IBCentral/FAT Viewer?action=UPDATE&amp;creator=factset&amp;DOC_NAME=fat:reuters_qtrly_source_window.fat&amp;display_string=Audit&amp;DYN_ARGS=TRUE&amp;VAR:ID1=221353&amp;VAR:RCODE=STLD&amp;VAR:SDATE=20070399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107__FDSAUDITLINK__" localSheetId="8" hidden="1">{"fdsup://IBCentral/FAT Viewer?action=UPDATE&amp;creator=factset&amp;DOC_NAME=fat:reuters_qtrly_source_window.fat&amp;display_string=Audit&amp;DYN_ARGS=TRUE&amp;VAR:ID1=221353&amp;VAR:RCODE=SCSI&amp;VAR:SDATE=20070399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107__FDSAUDITLINK__" hidden="1">{"fdsup://IBCentral/FAT Viewer?action=UPDATE&amp;creator=factset&amp;DOC_NAME=fat:reuters_qtrly_source_window.fat&amp;display_string=Audit&amp;DYN_ARGS=TRUE&amp;VAR:ID1=221353&amp;VAR:RCODE=SCSI&amp;VAR:SDATE=20070399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108__FDSAUDITLINK__" localSheetId="8" hidden="1">{"fdsup://IBCentral/FAT Viewer?action=UPDATE&amp;creator=factset&amp;DOC_NAME=fat:reuters_annual_source_window.fat&amp;display_string=Audit&amp;DYN_ARGS=TRUE&amp;VAR:ID1=221353&amp;VAR:RCODE=FDSPFDSTKTOTAL&amp;VAR:SDATE=20061299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108__FDSAUDITLINK__" hidden="1">{"fdsup://IBCentral/FAT Viewer?action=UPDATE&amp;creator=factset&amp;DOC_NAME=fat:reuters_annual_source_window.fat&amp;display_string=Audit&amp;DYN_ARGS=TRUE&amp;VAR:ID1=221353&amp;VAR:RCODE=FDSPFDSTKTOTAL&amp;VAR:SDATE=20061299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109__FDSAUDITLINK__" localSheetId="8" hidden="1">{"fdsup://IBCentral/FAT Viewer?action=UPDATE&amp;creator=factset&amp;DOC_NAME=fat:reuters_annual_source_window.fat&amp;display_string=Audit&amp;DYN_ARGS=TRUE&amp;VAR:ID1=221353&amp;VAR:RCODE=AEQI&amp;VAR:SDATE=20061299&amp;VAR:FREQ=Y&amp;VAR:RELITEM=RP&amp;VAR:CURRENCY=USD&amp;VAR:CURRSOURCE=EXSHARE&amp;","VAR:NATFREQ=ANNUAL&amp;VAR:RFIELD=FINALIZED&amp;VAR:DB_TYPE=&amp;VAR:UNITS=M&amp;window=popup&amp;width=450&amp;height=300&amp;START_MAXIMIZED=FALSE"}</definedName>
    <definedName name="_1109__FDSAUDITLINK__" hidden="1">{"fdsup://IBCentral/FAT Viewer?action=UPDATE&amp;creator=factset&amp;DOC_NAME=fat:reuters_annual_source_window.fat&amp;display_string=Audit&amp;DYN_ARGS=TRUE&amp;VAR:ID1=221353&amp;VAR:RCODE=AEQI&amp;VAR:SDATE=20061299&amp;VAR:FREQ=Y&amp;VAR:RELITEM=RP&amp;VAR:CURRENCY=USD&amp;VAR:CURRSOURCE=EXSHARE&amp;","VAR:NATFREQ=ANNUAL&amp;VAR:RFIELD=FINALIZED&amp;VAR:DB_TYPE=&amp;VAR:UNITS=M&amp;window=popup&amp;width=450&amp;height=300&amp;START_MAXIMIZED=FALSE"}</definedName>
    <definedName name="_111__123Graph_XCHART_20" localSheetId="8" hidden="1">#REF!</definedName>
    <definedName name="_111__123Graph_XCHART_20" hidden="1">#REF!</definedName>
    <definedName name="_111__FDSAUDITLINK__" localSheetId="8" hidden="1">{"fdsup://directions/FAT Viewer?action=UPDATE&amp;creator=factset&amp;DYN_ARGS=TRUE&amp;DOC_NAME=FAT:FQL_AUDITING_CLIENT_TEMPLATE.FAT&amp;display_string=Audit&amp;VAR:KEY=XGROBGVQFC&amp;VAR:QUERY=RkZfRUJJVF9JQignQU5OJywzNTA2NCwsLCwnU0VLJyk=&amp;WINDOW=FIRST_POPUP&amp;HEIGHT=450&amp;WIDTH=450&amp;","START_MAXIMIZED=FALSE&amp;VAR:CALENDAR=FIVEDAY&amp;VAR:SYMBOL=454047&amp;VAR:INDEX=0"}</definedName>
    <definedName name="_111__FDSAUDITLINK__" hidden="1">{"fdsup://directions/FAT Viewer?action=UPDATE&amp;creator=factset&amp;DYN_ARGS=TRUE&amp;DOC_NAME=FAT:FQL_AUDITING_CLIENT_TEMPLATE.FAT&amp;display_string=Audit&amp;VAR:KEY=OTOXYXCTUH&amp;VAR:QUERY=RkZfRVBTX0RJTChDQUwsMjAxMCk=&amp;WINDOW=FIRST_POPUP&amp;HEIGHT=450&amp;WIDTH=450&amp;START_MAXIMIZED=","FALSE&amp;VAR:CALENDAR=US&amp;VAR:SYMBOL=BLDR&amp;VAR:INDEX=0"}</definedName>
    <definedName name="_111__FDSAUDITLINK___1" localSheetId="8" hidden="1">{"fdsup://directions/FAT Viewer?action=UPDATE&amp;creator=factset&amp;DYN_ARGS=TRUE&amp;DOC_NAME=FAT:FQL_AUDITING_CLIENT_TEMPLATE.FAT&amp;display_string=Audit&amp;VAR:KEY=XGROBGVQFC&amp;VAR:QUERY=RkZfRUJJVF9JQignQU5OJywzNTA2NCwsLCwnU0VLJyk=&amp;WINDOW=FIRST_POPUP&amp;HEIGHT=450&amp;WIDTH=450&amp;","START_MAXIMIZED=FALSE&amp;VAR:CALENDAR=FIVEDAY&amp;VAR:SYMBOL=454047&amp;VAR:INDEX=0"}</definedName>
    <definedName name="_111__FDSAUDITLINK___1" hidden="1">{"fdsup://directions/FAT Viewer?action=UPDATE&amp;creator=factset&amp;DYN_ARGS=TRUE&amp;DOC_NAME=FAT:FQL_AUDITING_CLIENT_TEMPLATE.FAT&amp;display_string=Audit&amp;VAR:KEY=XGROBGVQFC&amp;VAR:QUERY=RkZfRUJJVF9JQignQU5OJywzNTA2NCwsLCwnU0VLJyk=&amp;WINDOW=FIRST_POPUP&amp;HEIGHT=450&amp;WIDTH=450&amp;","START_MAXIMIZED=FALSE&amp;VAR:CALENDAR=FIVEDAY&amp;VAR:SYMBOL=454047&amp;VAR:INDEX=0"}</definedName>
    <definedName name="_1110__FDSAUDITLINK__" localSheetId="8" hidden="1">{"fdsup://IBCentral/FAT Viewer?action=UPDATE&amp;creator=factset&amp;DOC_NAME=fat:reuters_qtrly_source_window.fat&amp;display_string=Audit&amp;DYN_ARGS=TRUE&amp;VAR:ID1=221353&amp;VAR:RCODE=LMIN&amp;VAR:SDATE=20070399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110__FDSAUDITLINK__" hidden="1">{"fdsup://IBCentral/FAT Viewer?action=UPDATE&amp;creator=factset&amp;DOC_NAME=fat:reuters_qtrly_source_window.fat&amp;display_string=Audit&amp;DYN_ARGS=TRUE&amp;VAR:ID1=221353&amp;VAR:RCODE=LMIN&amp;VAR:SDATE=20070399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111__FDSAUDITLINK__" localSheetId="8" hidden="1">{"fdsup://IBCentral/FAT Viewer?action=UPDATE&amp;creator=factset&amp;DOC_NAME=fat:reuters_qtrly_source_window.fat&amp;display_string=Audit&amp;DYN_ARGS=TRUE&amp;VAR:ID1=221353&amp;VAR:RCODE=STLD&amp;VAR:SDATE=20070399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111__FDSAUDITLINK__" hidden="1">{"fdsup://IBCentral/FAT Viewer?action=UPDATE&amp;creator=factset&amp;DOC_NAME=fat:reuters_qtrly_source_window.fat&amp;display_string=Audit&amp;DYN_ARGS=TRUE&amp;VAR:ID1=221353&amp;VAR:RCODE=STLD&amp;VAR:SDATE=20070399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112__FDSAUDITLINK__" localSheetId="8" hidden="1">{"fdsup://IBCentral/FAT Viewer?action=UPDATE&amp;creator=factset&amp;DOC_NAME=fat:reuters_qtrly_source_window.fat&amp;display_string=Audit&amp;DYN_ARGS=TRUE&amp;VAR:ID1=221353&amp;VAR:RCODE=SCSI&amp;VAR:SDATE=20070399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112__FDSAUDITLINK__" hidden="1">{"fdsup://IBCentral/FAT Viewer?action=UPDATE&amp;creator=factset&amp;DOC_NAME=fat:reuters_qtrly_source_window.fat&amp;display_string=Audit&amp;DYN_ARGS=TRUE&amp;VAR:ID1=221353&amp;VAR:RCODE=SCSI&amp;VAR:SDATE=20070399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113__FDSAUDITLINK__" localSheetId="8" hidden="1">{"fdsup://IBCentral/FAT Viewer?action=UPDATE&amp;creator=factset&amp;DOC_NAME=fat:reuters_annual_source_window.fat&amp;display_string=Audit&amp;DYN_ARGS=TRUE&amp;VAR:ID1=221353&amp;VAR:RCODE=FDSPFDSTKTOTAL&amp;VAR:SDATE=20061299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113__FDSAUDITLINK__" hidden="1">{"fdsup://IBCentral/FAT Viewer?action=UPDATE&amp;creator=factset&amp;DOC_NAME=fat:reuters_annual_source_window.fat&amp;display_string=Audit&amp;DYN_ARGS=TRUE&amp;VAR:ID1=221353&amp;VAR:RCODE=FDSPFDSTKTOTAL&amp;VAR:SDATE=20061299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114__FDSAUDITLINK__" localSheetId="8" hidden="1">{"fdsup://IBCentral/FAT Viewer?action=UPDATE&amp;creator=factset&amp;DOC_NAME=fat:reuters_annual_source_window.fat&amp;display_string=Audit&amp;DYN_ARGS=TRUE&amp;VAR:ID1=221353&amp;VAR:RCODE=AEQI&amp;VAR:SDATE=20061299&amp;VAR:FREQ=Y&amp;VAR:RELITEM=RP&amp;VAR:CURRENCY=USD&amp;VAR:CURRSOURCE=EXSHARE&amp;","VAR:NATFREQ=ANNUAL&amp;VAR:RFIELD=FINALIZED&amp;VAR:DB_TYPE=&amp;VAR:UNITS=M&amp;window=popup&amp;width=450&amp;height=300&amp;START_MAXIMIZED=FALSE"}</definedName>
    <definedName name="_1114__FDSAUDITLINK__" hidden="1">{"fdsup://IBCentral/FAT Viewer?action=UPDATE&amp;creator=factset&amp;DOC_NAME=fat:reuters_annual_source_window.fat&amp;display_string=Audit&amp;DYN_ARGS=TRUE&amp;VAR:ID1=221353&amp;VAR:RCODE=AEQI&amp;VAR:SDATE=20061299&amp;VAR:FREQ=Y&amp;VAR:RELITEM=RP&amp;VAR:CURRENCY=USD&amp;VAR:CURRSOURCE=EXSHARE&amp;","VAR:NATFREQ=ANNUAL&amp;VAR:RFIELD=FINALIZED&amp;VAR:DB_TYPE=&amp;VAR:UNITS=M&amp;window=popup&amp;width=450&amp;height=300&amp;START_MAXIMIZED=FALSE"}</definedName>
    <definedName name="_1115__FDSAUDITLINK__" localSheetId="8" hidden="1">{"fdsup://IBCentral/FAT Viewer?action=UPDATE&amp;creator=factset&amp;DOC_NAME=fat:reuters_qtrly_source_window.fat&amp;display_string=Audit&amp;DYN_ARGS=TRUE&amp;VAR:ID1=221353&amp;VAR:RCODE=LMIN&amp;VAR:SDATE=20070399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115__FDSAUDITLINK__" hidden="1">{"fdsup://IBCentral/FAT Viewer?action=UPDATE&amp;creator=factset&amp;DOC_NAME=fat:reuters_qtrly_source_window.fat&amp;display_string=Audit&amp;DYN_ARGS=TRUE&amp;VAR:ID1=221353&amp;VAR:RCODE=LMIN&amp;VAR:SDATE=20070399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116__FDSAUDITLINK__" localSheetId="8" hidden="1">{"fdsup://IBCentral/FAT Viewer?action=UPDATE&amp;creator=factset&amp;DOC_NAME=fat:reuters_qtrly_source_window.fat&amp;display_string=Audit&amp;DYN_ARGS=TRUE&amp;VAR:ID1=221353&amp;VAR:RCODE=STLD&amp;VAR:SDATE=20070399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116__FDSAUDITLINK__" hidden="1">{"fdsup://IBCentral/FAT Viewer?action=UPDATE&amp;creator=factset&amp;DOC_NAME=fat:reuters_qtrly_source_window.fat&amp;display_string=Audit&amp;DYN_ARGS=TRUE&amp;VAR:ID1=221353&amp;VAR:RCODE=STLD&amp;VAR:SDATE=20070399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117__FDSAUDITLINK__" localSheetId="8" hidden="1">{"fdsup://IBCentral/FAT Viewer?action=UPDATE&amp;creator=factset&amp;DOC_NAME=fat:reuters_qtrly_source_window.fat&amp;display_string=Audit&amp;DYN_ARGS=TRUE&amp;VAR:ID1=221353&amp;VAR:RCODE=SCSI&amp;VAR:SDATE=20070399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117__FDSAUDITLINK__" hidden="1">{"fdsup://IBCentral/FAT Viewer?action=UPDATE&amp;creator=factset&amp;DOC_NAME=fat:reuters_qtrly_source_window.fat&amp;display_string=Audit&amp;DYN_ARGS=TRUE&amp;VAR:ID1=221353&amp;VAR:RCODE=SCSI&amp;VAR:SDATE=20070399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118__FDSAUDITLINK__" localSheetId="8" hidden="1">{"fdsup://IBCentral/FAT Viewer?action=UPDATE&amp;creator=factset&amp;DOC_NAME=fat:reuters_annual_source_window.fat&amp;display_string=Audit&amp;DYN_ARGS=TRUE&amp;VAR:ID1=221353&amp;VAR:RCODE=FDSPFDSTKTOTAL&amp;VAR:SDATE=20061299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118__FDSAUDITLINK__" hidden="1">{"fdsup://IBCentral/FAT Viewer?action=UPDATE&amp;creator=factset&amp;DOC_NAME=fat:reuters_annual_source_window.fat&amp;display_string=Audit&amp;DYN_ARGS=TRUE&amp;VAR:ID1=221353&amp;VAR:RCODE=FDSPFDSTKTOTAL&amp;VAR:SDATE=20061299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119__FDSAUDITLINK__" localSheetId="8" hidden="1">{"fdsup://IBCentral/FAT Viewer?action=UPDATE&amp;creator=factset&amp;DOC_NAME=fat:reuters_annual_source_window.fat&amp;display_string=Audit&amp;DYN_ARGS=TRUE&amp;VAR:ID1=221353&amp;VAR:RCODE=AEQI&amp;VAR:SDATE=20061299&amp;VAR:FREQ=Y&amp;VAR:RELITEM=RP&amp;VAR:CURRENCY=USD&amp;VAR:CURRSOURCE=EXSHARE&amp;","VAR:NATFREQ=ANNUAL&amp;VAR:RFIELD=FINALIZED&amp;VAR:DB_TYPE=&amp;VAR:UNITS=M&amp;window=popup&amp;width=450&amp;height=300&amp;START_MAXIMIZED=FALSE"}</definedName>
    <definedName name="_1119__FDSAUDITLINK__" hidden="1">{"fdsup://IBCentral/FAT Viewer?action=UPDATE&amp;creator=factset&amp;DOC_NAME=fat:reuters_annual_source_window.fat&amp;display_string=Audit&amp;DYN_ARGS=TRUE&amp;VAR:ID1=221353&amp;VAR:RCODE=AEQI&amp;VAR:SDATE=20061299&amp;VAR:FREQ=Y&amp;VAR:RELITEM=RP&amp;VAR:CURRENCY=USD&amp;VAR:CURRSOURCE=EXSHARE&amp;","VAR:NATFREQ=ANNUAL&amp;VAR:RFIELD=FINALIZED&amp;VAR:DB_TYPE=&amp;VAR:UNITS=M&amp;window=popup&amp;width=450&amp;height=300&amp;START_MAXIMIZED=FALSE"}</definedName>
    <definedName name="_112__123Graph_XCHART_21" localSheetId="8" hidden="1">#REF!</definedName>
    <definedName name="_112__123Graph_XCHART_21" hidden="1">#REF!</definedName>
    <definedName name="_112__FDSAUDITLINK__" localSheetId="7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__FDSAUDITLINK__" localSheetId="8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__FDSAUDITLINK__" hidden="1">{"fdsup://directions/FAT Viewer?action=UPDATE&amp;creator=factset&amp;DYN_ARGS=TRUE&amp;DOC_NAME=FAT:FQL_AUDITING_CLIENT_TEMPLATE.FAT&amp;display_string=Audit&amp;VAR:KEY=SHURAZATYH&amp;VAR:QUERY=RkZfRVBTX0RJTChDQUwsMjAxMCk=&amp;WINDOW=FIRST_POPUP&amp;HEIGHT=450&amp;WIDTH=450&amp;START_MAXIMIZED=","FALSE&amp;VAR:CALENDAR=US&amp;VAR:SYMBOL=VMC&amp;VAR:INDEX=0"}</definedName>
    <definedName name="_112__FDSAUDITLINK___1" localSheetId="8" hidden="1">{"fdsup://directions/FAT Viewer?action=UPDATE&amp;creator=factset&amp;DYN_ARGS=TRUE&amp;DOC_NAME=FAT:FQL_AUDITING_CLIENT_TEMPLATE.FAT&amp;display_string=Audit&amp;VAR:KEY=PKDQVKRQPO&amp;VAR:QUERY=RkZfRUJJVF9JQignQU5OJywzNDY5OSwsLCwnU0VLJyk=&amp;WINDOW=FIRST_POPUP&amp;HEIGHT=450&amp;WIDTH=450&amp;","START_MAXIMIZED=FALSE&amp;VAR:CALENDAR=FIVEDAY&amp;VAR:SYMBOL=454047&amp;VAR:INDEX=0"}</definedName>
    <definedName name="_112__FDSAUDITLINK___1" hidden="1">{"fdsup://directions/FAT Viewer?action=UPDATE&amp;creator=factset&amp;DYN_ARGS=TRUE&amp;DOC_NAME=FAT:FQL_AUDITING_CLIENT_TEMPLATE.FAT&amp;display_string=Audit&amp;VAR:KEY=PKDQVKRQPO&amp;VAR:QUERY=RkZfRUJJVF9JQignQU5OJywzNDY5OSwsLCwnU0VLJyk=&amp;WINDOW=FIRST_POPUP&amp;HEIGHT=450&amp;WIDTH=450&amp;","START_MAXIMIZED=FALSE&amp;VAR:CALENDAR=FIVEDAY&amp;VAR:SYMBOL=454047&amp;VAR:INDEX=0"}</definedName>
    <definedName name="_1120__FDSAUDITLINK__" localSheetId="8" hidden="1">{"fdsup://IBCentral/FAT Viewer?action=UPDATE&amp;creator=factset&amp;DOC_NAME=fat:reuters_qtrly_source_window.fat&amp;display_string=Audit&amp;DYN_ARGS=TRUE&amp;VAR:ID1=221353&amp;VAR:RCODE=LMIN&amp;VAR:SDATE=20070399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120__FDSAUDITLINK__" hidden="1">{"fdsup://IBCentral/FAT Viewer?action=UPDATE&amp;creator=factset&amp;DOC_NAME=fat:reuters_qtrly_source_window.fat&amp;display_string=Audit&amp;DYN_ARGS=TRUE&amp;VAR:ID1=221353&amp;VAR:RCODE=LMIN&amp;VAR:SDATE=20070399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121__FDSAUDITLINK__" localSheetId="8" hidden="1">{"fdsup://IBCentral/FAT Viewer?action=UPDATE&amp;creator=factset&amp;DOC_NAME=fat:reuters_qtrly_source_window.fat&amp;display_string=Audit&amp;DYN_ARGS=TRUE&amp;VAR:ID1=221353&amp;VAR:RCODE=STLD&amp;VAR:SDATE=20070399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121__FDSAUDITLINK__" hidden="1">{"fdsup://IBCentral/FAT Viewer?action=UPDATE&amp;creator=factset&amp;DOC_NAME=fat:reuters_qtrly_source_window.fat&amp;display_string=Audit&amp;DYN_ARGS=TRUE&amp;VAR:ID1=221353&amp;VAR:RCODE=STLD&amp;VAR:SDATE=20070399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122__FDSAUDITLINK__" localSheetId="8" hidden="1">{"fdsup://IBCentral/FAT Viewer?action=UPDATE&amp;creator=factset&amp;DOC_NAME=fat:reuters_qtrly_source_window.fat&amp;display_string=Audit&amp;DYN_ARGS=TRUE&amp;VAR:ID1=221353&amp;VAR:RCODE=SCSI&amp;VAR:SDATE=20070399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122__FDSAUDITLINK__" hidden="1">{"fdsup://IBCentral/FAT Viewer?action=UPDATE&amp;creator=factset&amp;DOC_NAME=fat:reuters_qtrly_source_window.fat&amp;display_string=Audit&amp;DYN_ARGS=TRUE&amp;VAR:ID1=221353&amp;VAR:RCODE=SCSI&amp;VAR:SDATE=20070399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123__FDSAUDITLINK__" localSheetId="8" hidden="1">{"fdsup://IBCentral/FAT Viewer?action=UPDATE&amp;creator=factset&amp;DOC_NAME=fat:reuters_annual_source_window.fat&amp;display_string=Audit&amp;DYN_ARGS=TRUE&amp;VAR:ID1=221353&amp;VAR:RCODE=FDSPFDSTKTOTAL&amp;VAR:SDATE=20061299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123__FDSAUDITLINK__" hidden="1">{"fdsup://IBCentral/FAT Viewer?action=UPDATE&amp;creator=factset&amp;DOC_NAME=fat:reuters_annual_source_window.fat&amp;display_string=Audit&amp;DYN_ARGS=TRUE&amp;VAR:ID1=221353&amp;VAR:RCODE=FDSPFDSTKTOTAL&amp;VAR:SDATE=20061299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124__FDSAUDITLINK__" localSheetId="8" hidden="1">{"fdsup://IBCentral/FAT Viewer?action=UPDATE&amp;creator=factset&amp;DOC_NAME=fat:reuters_annual_source_window.fat&amp;display_string=Audit&amp;DYN_ARGS=TRUE&amp;VAR:ID1=221353&amp;VAR:RCODE=AEQI&amp;VAR:SDATE=20061299&amp;VAR:FREQ=Y&amp;VAR:RELITEM=RP&amp;VAR:CURRENCY=USD&amp;VAR:CURRSOURCE=EXSHARE&amp;","VAR:NATFREQ=ANNUAL&amp;VAR:RFIELD=FINALIZED&amp;VAR:DB_TYPE=&amp;VAR:UNITS=M&amp;window=popup&amp;width=450&amp;height=300&amp;START_MAXIMIZED=FALSE"}</definedName>
    <definedName name="_1124__FDSAUDITLINK__" hidden="1">{"fdsup://IBCentral/FAT Viewer?action=UPDATE&amp;creator=factset&amp;DOC_NAME=fat:reuters_annual_source_window.fat&amp;display_string=Audit&amp;DYN_ARGS=TRUE&amp;VAR:ID1=221353&amp;VAR:RCODE=AEQI&amp;VAR:SDATE=20061299&amp;VAR:FREQ=Y&amp;VAR:RELITEM=RP&amp;VAR:CURRENCY=USD&amp;VAR:CURRSOURCE=EXSHARE&amp;","VAR:NATFREQ=ANNUAL&amp;VAR:RFIELD=FINALIZED&amp;VAR:DB_TYPE=&amp;VAR:UNITS=M&amp;window=popup&amp;width=450&amp;height=300&amp;START_MAXIMIZED=FALSE"}</definedName>
    <definedName name="_1125__FDSAUDITLINK__" localSheetId="8" hidden="1">{"fdsup://IBCentral/FAT Viewer?action=UPDATE&amp;creator=factset&amp;DOC_NAME=fat:reuters_qtrly_source_window.fat&amp;display_string=Audit&amp;DYN_ARGS=TRUE&amp;VAR:ID1=221353&amp;VAR:RCODE=LMIN&amp;VAR:SDATE=20070399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125__FDSAUDITLINK__" hidden="1">{"fdsup://IBCentral/FAT Viewer?action=UPDATE&amp;creator=factset&amp;DOC_NAME=fat:reuters_qtrly_source_window.fat&amp;display_string=Audit&amp;DYN_ARGS=TRUE&amp;VAR:ID1=221353&amp;VAR:RCODE=LMIN&amp;VAR:SDATE=20070399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126__FDSAUDITLINK__" localSheetId="8" hidden="1">{"fdsup://IBCentral/FAT Viewer?action=UPDATE&amp;creator=factset&amp;DOC_NAME=fat:reuters_qtrly_source_window.fat&amp;display_string=Audit&amp;DYN_ARGS=TRUE&amp;VAR:ID1=221353&amp;VAR:RCODE=STLD&amp;VAR:SDATE=20070399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126__FDSAUDITLINK__" hidden="1">{"fdsup://IBCentral/FAT Viewer?action=UPDATE&amp;creator=factset&amp;DOC_NAME=fat:reuters_qtrly_source_window.fat&amp;display_string=Audit&amp;DYN_ARGS=TRUE&amp;VAR:ID1=221353&amp;VAR:RCODE=STLD&amp;VAR:SDATE=20070399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127__FDSAUDITLINK__" localSheetId="8" hidden="1">{"fdsup://IBCentral/FAT Viewer?action=UPDATE&amp;creator=factset&amp;DOC_NAME=fat:reuters_qtrly_source_window.fat&amp;display_string=Audit&amp;DYN_ARGS=TRUE&amp;VAR:ID1=221353&amp;VAR:RCODE=SCSI&amp;VAR:SDATE=20070399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127__FDSAUDITLINK__" hidden="1">{"fdsup://IBCentral/FAT Viewer?action=UPDATE&amp;creator=factset&amp;DOC_NAME=fat:reuters_qtrly_source_window.fat&amp;display_string=Audit&amp;DYN_ARGS=TRUE&amp;VAR:ID1=221353&amp;VAR:RCODE=SCSI&amp;VAR:SDATE=20070399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128__FDSAUDITLINK__" localSheetId="8" hidden="1">{"fdsup://IBCentral/FAT Viewer?action=UPDATE&amp;creator=factset&amp;DOC_NAME=fat:reuters_annual_source_window.fat&amp;display_string=Audit&amp;DYN_ARGS=TRUE&amp;VAR:ID1=221353&amp;VAR:RCODE=FDSPFDSTKTOTAL&amp;VAR:SDATE=20061299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128__FDSAUDITLINK__" hidden="1">{"fdsup://IBCentral/FAT Viewer?action=UPDATE&amp;creator=factset&amp;DOC_NAME=fat:reuters_annual_source_window.fat&amp;display_string=Audit&amp;DYN_ARGS=TRUE&amp;VAR:ID1=221353&amp;VAR:RCODE=FDSPFDSTKTOTAL&amp;VAR:SDATE=20061299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129__FDSAUDITLINK__" localSheetId="8" hidden="1">{"fdsup://IBCentral/FAT Viewer?action=UPDATE&amp;creator=factset&amp;DOC_NAME=fat:reuters_annual_source_window.fat&amp;display_string=Audit&amp;DYN_ARGS=TRUE&amp;VAR:ID1=221353&amp;VAR:RCODE=AEQI&amp;VAR:SDATE=20061299&amp;VAR:FREQ=Y&amp;VAR:RELITEM=RP&amp;VAR:CURRENCY=USD&amp;VAR:CURRSOURCE=EXSHARE&amp;","VAR:NATFREQ=ANNUAL&amp;VAR:RFIELD=FINALIZED&amp;VAR:DB_TYPE=&amp;VAR:UNITS=M&amp;window=popup&amp;width=450&amp;height=300&amp;START_MAXIMIZED=FALSE"}</definedName>
    <definedName name="_1129__FDSAUDITLINK__" hidden="1">{"fdsup://IBCentral/FAT Viewer?action=UPDATE&amp;creator=factset&amp;DOC_NAME=fat:reuters_annual_source_window.fat&amp;display_string=Audit&amp;DYN_ARGS=TRUE&amp;VAR:ID1=221353&amp;VAR:RCODE=AEQI&amp;VAR:SDATE=20061299&amp;VAR:FREQ=Y&amp;VAR:RELITEM=RP&amp;VAR:CURRENCY=USD&amp;VAR:CURRSOURCE=EXSHARE&amp;","VAR:NATFREQ=ANNUAL&amp;VAR:RFIELD=FINALIZED&amp;VAR:DB_TYPE=&amp;VAR:UNITS=M&amp;window=popup&amp;width=450&amp;height=300&amp;START_MAXIMIZED=FALSE"}</definedName>
    <definedName name="_113__123Graph_XCHART_22" localSheetId="8" hidden="1">#REF!</definedName>
    <definedName name="_113__123Graph_XCHART_22" hidden="1">#REF!</definedName>
    <definedName name="_113__FDSAUDITLINK__" localSheetId="8" hidden="1">{"fdsup://directions/FAT Viewer?action=UPDATE&amp;creator=factset&amp;DYN_ARGS=TRUE&amp;DOC_NAME=FAT:FQL_AUDITING_CLIENT_TEMPLATE.FAT&amp;display_string=Audit&amp;VAR:KEY=HKHORIZGDQ&amp;VAR:QUERY=RkZfRUJJVF9JQignQU5OJywzNDMzNCwsLCwnU0VLJyk=&amp;WINDOW=FIRST_POPUP&amp;HEIGHT=450&amp;WIDTH=450&amp;","START_MAXIMIZED=FALSE&amp;VAR:CALENDAR=FIVEDAY&amp;VAR:SYMBOL=454047&amp;VAR:INDEX=0"}</definedName>
    <definedName name="_113__FDSAUDITLINK__" hidden="1">{"fdsup://directions/FAT Viewer?action=UPDATE&amp;creator=factset&amp;DYN_ARGS=TRUE&amp;DOC_NAME=FAT:FQL_AUDITING_CLIENT_TEMPLATE.FAT&amp;display_string=Audit&amp;VAR:KEY=IVQXIJQDGF&amp;VAR:QUERY=RkZfRVBTX0RJTChDQUwsMjAxMCk=&amp;WINDOW=FIRST_POPUP&amp;HEIGHT=450&amp;WIDTH=450&amp;START_MAXIMIZED=","FALSE&amp;VAR:CALENDAR=US&amp;VAR:SYMBOL=MCEM&amp;VAR:INDEX=0"}</definedName>
    <definedName name="_113__FDSAUDITLINK___1" localSheetId="8" hidden="1">{"fdsup://directions/FAT Viewer?action=UPDATE&amp;creator=factset&amp;DYN_ARGS=TRUE&amp;DOC_NAME=FAT:FQL_AUDITING_CLIENT_TEMPLATE.FAT&amp;display_string=Audit&amp;VAR:KEY=HKHORIZGDQ&amp;VAR:QUERY=RkZfRUJJVF9JQignQU5OJywzNDMzNCwsLCwnU0VLJyk=&amp;WINDOW=FIRST_POPUP&amp;HEIGHT=450&amp;WIDTH=450&amp;","START_MAXIMIZED=FALSE&amp;VAR:CALENDAR=FIVEDAY&amp;VAR:SYMBOL=454047&amp;VAR:INDEX=0"}</definedName>
    <definedName name="_113__FDSAUDITLINK___1" hidden="1">{"fdsup://directions/FAT Viewer?action=UPDATE&amp;creator=factset&amp;DYN_ARGS=TRUE&amp;DOC_NAME=FAT:FQL_AUDITING_CLIENT_TEMPLATE.FAT&amp;display_string=Audit&amp;VAR:KEY=HKHORIZGDQ&amp;VAR:QUERY=RkZfRUJJVF9JQignQU5OJywzNDMzNCwsLCwnU0VLJyk=&amp;WINDOW=FIRST_POPUP&amp;HEIGHT=450&amp;WIDTH=450&amp;","START_MAXIMIZED=FALSE&amp;VAR:CALENDAR=FIVEDAY&amp;VAR:SYMBOL=454047&amp;VAR:INDEX=0"}</definedName>
    <definedName name="_1130__FDSAUDITLINK__" localSheetId="8" hidden="1">{"fdsup://IBCentral/FAT Viewer?action=UPDATE&amp;creator=factset&amp;DOC_NAME=fat:reuters_qtrly_source_window.fat&amp;display_string=Audit&amp;DYN_ARGS=TRUE&amp;VAR:ID1=221353&amp;VAR:RCODE=LMIN&amp;VAR:SDATE=20070399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130__FDSAUDITLINK__" hidden="1">{"fdsup://IBCentral/FAT Viewer?action=UPDATE&amp;creator=factset&amp;DOC_NAME=fat:reuters_qtrly_source_window.fat&amp;display_string=Audit&amp;DYN_ARGS=TRUE&amp;VAR:ID1=221353&amp;VAR:RCODE=LMIN&amp;VAR:SDATE=20070399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131__FDSAUDITLINK__" localSheetId="8" hidden="1">{"fdsup://IBCentral/FAT Viewer?action=UPDATE&amp;creator=factset&amp;DOC_NAME=fat:reuters_qtrly_source_window.fat&amp;display_string=Audit&amp;DYN_ARGS=TRUE&amp;VAR:ID1=221353&amp;VAR:RCODE=STLD&amp;VAR:SDATE=20070399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131__FDSAUDITLINK__" hidden="1">{"fdsup://IBCentral/FAT Viewer?action=UPDATE&amp;creator=factset&amp;DOC_NAME=fat:reuters_qtrly_source_window.fat&amp;display_string=Audit&amp;DYN_ARGS=TRUE&amp;VAR:ID1=221353&amp;VAR:RCODE=STLD&amp;VAR:SDATE=20070399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132__FDSAUDITLINK__" localSheetId="8" hidden="1">{"fdsup://IBCentral/FAT Viewer?action=UPDATE&amp;creator=factset&amp;DOC_NAME=fat:reuters_qtrly_source_window.fat&amp;display_string=Audit&amp;DYN_ARGS=TRUE&amp;VAR:ID1=221353&amp;VAR:RCODE=SCSI&amp;VAR:SDATE=20070399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132__FDSAUDITLINK__" hidden="1">{"fdsup://IBCentral/FAT Viewer?action=UPDATE&amp;creator=factset&amp;DOC_NAME=fat:reuters_qtrly_source_window.fat&amp;display_string=Audit&amp;DYN_ARGS=TRUE&amp;VAR:ID1=221353&amp;VAR:RCODE=SCSI&amp;VAR:SDATE=20070399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133__FDSAUDITLINK__" localSheetId="8" hidden="1">{"fdsup://IBCentral/FAT Viewer?action=UPDATE&amp;creator=factset&amp;DOC_NAME=fat:reuters_annual_source_window.fat&amp;display_string=Audit&amp;DYN_ARGS=TRUE&amp;VAR:ID1=221353&amp;VAR:RCODE=FDSPFDSTKTOTAL&amp;VAR:SDATE=20061299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133__FDSAUDITLINK__" hidden="1">{"fdsup://IBCentral/FAT Viewer?action=UPDATE&amp;creator=factset&amp;DOC_NAME=fat:reuters_annual_source_window.fat&amp;display_string=Audit&amp;DYN_ARGS=TRUE&amp;VAR:ID1=221353&amp;VAR:RCODE=FDSPFDSTKTOTAL&amp;VAR:SDATE=20061299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134__FDSAUDITLINK__" localSheetId="8" hidden="1">{"fdsup://IBCentral/FAT Viewer?action=UPDATE&amp;creator=factset&amp;DOC_NAME=fat:reuters_annual_source_window.fat&amp;display_string=Audit&amp;DYN_ARGS=TRUE&amp;VAR:ID1=221353&amp;VAR:RCODE=AEQI&amp;VAR:SDATE=20061299&amp;VAR:FREQ=Y&amp;VAR:RELITEM=RP&amp;VAR:CURRENCY=USD&amp;VAR:CURRSOURCE=EXSHARE&amp;","VAR:NATFREQ=ANNUAL&amp;VAR:RFIELD=FINALIZED&amp;VAR:DB_TYPE=&amp;VAR:UNITS=M&amp;window=popup&amp;width=450&amp;height=300&amp;START_MAXIMIZED=FALSE"}</definedName>
    <definedName name="_1134__FDSAUDITLINK__" hidden="1">{"fdsup://IBCentral/FAT Viewer?action=UPDATE&amp;creator=factset&amp;DOC_NAME=fat:reuters_annual_source_window.fat&amp;display_string=Audit&amp;DYN_ARGS=TRUE&amp;VAR:ID1=221353&amp;VAR:RCODE=AEQI&amp;VAR:SDATE=20061299&amp;VAR:FREQ=Y&amp;VAR:RELITEM=RP&amp;VAR:CURRENCY=USD&amp;VAR:CURRSOURCE=EXSHARE&amp;","VAR:NATFREQ=ANNUAL&amp;VAR:RFIELD=FINALIZED&amp;VAR:DB_TYPE=&amp;VAR:UNITS=M&amp;window=popup&amp;width=450&amp;height=300&amp;START_MAXIMIZED=FALSE"}</definedName>
    <definedName name="_1135__FDSAUDITLINK__" localSheetId="8" hidden="1">{"fdsup://IBCentral/FAT Viewer?action=UPDATE&amp;creator=factset&amp;DOC_NAME=fat:reuters_qtrly_source_window.fat&amp;display_string=Audit&amp;DYN_ARGS=TRUE&amp;VAR:ID1=221353&amp;VAR:RCODE=LMIN&amp;VAR:SDATE=20070399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135__FDSAUDITLINK__" hidden="1">{"fdsup://IBCentral/FAT Viewer?action=UPDATE&amp;creator=factset&amp;DOC_NAME=fat:reuters_qtrly_source_window.fat&amp;display_string=Audit&amp;DYN_ARGS=TRUE&amp;VAR:ID1=221353&amp;VAR:RCODE=LMIN&amp;VAR:SDATE=20070399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136__FDSAUDITLINK__" localSheetId="8" hidden="1">{"fdsup://IBCentral/FAT Viewer?action=UPDATE&amp;creator=factset&amp;DOC_NAME=fat:reuters_qtrly_source_window.fat&amp;display_string=Audit&amp;DYN_ARGS=TRUE&amp;VAR:ID1=221353&amp;VAR:RCODE=STLD&amp;VAR:SDATE=20070399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136__FDSAUDITLINK__" hidden="1">{"fdsup://IBCentral/FAT Viewer?action=UPDATE&amp;creator=factset&amp;DOC_NAME=fat:reuters_qtrly_source_window.fat&amp;display_string=Audit&amp;DYN_ARGS=TRUE&amp;VAR:ID1=221353&amp;VAR:RCODE=STLD&amp;VAR:SDATE=20070399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137__FDSAUDITLINK__" localSheetId="8" hidden="1">{"fdsup://IBCentral/FAT Viewer?action=UPDATE&amp;creator=factset&amp;DOC_NAME=fat:reuters_qtrly_source_window.fat&amp;display_string=Audit&amp;DYN_ARGS=TRUE&amp;VAR:ID1=221353&amp;VAR:RCODE=SCSI&amp;VAR:SDATE=20070399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137__FDSAUDITLINK__" hidden="1">{"fdsup://IBCentral/FAT Viewer?action=UPDATE&amp;creator=factset&amp;DOC_NAME=fat:reuters_qtrly_source_window.fat&amp;display_string=Audit&amp;DYN_ARGS=TRUE&amp;VAR:ID1=221353&amp;VAR:RCODE=SCSI&amp;VAR:SDATE=20070399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138__FDSAUDITLINK__" localSheetId="8" hidden="1">{"fdsup://IBCentral/FAT Viewer?action=UPDATE&amp;creator=factset&amp;DOC_NAME=fat:reuters_annual_source_window.fat&amp;display_string=Audit&amp;DYN_ARGS=TRUE&amp;VAR:ID1=221353&amp;VAR:RCODE=FDSPFDSTKTOTAL&amp;VAR:SDATE=20061299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138__FDSAUDITLINK__" hidden="1">{"fdsup://IBCentral/FAT Viewer?action=UPDATE&amp;creator=factset&amp;DOC_NAME=fat:reuters_annual_source_window.fat&amp;display_string=Audit&amp;DYN_ARGS=TRUE&amp;VAR:ID1=221353&amp;VAR:RCODE=FDSPFDSTKTOTAL&amp;VAR:SDATE=20061299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139__FDSAUDITLINK__" localSheetId="8" hidden="1">{"fdsup://IBCentral/FAT Viewer?action=UPDATE&amp;creator=factset&amp;DOC_NAME=fat:reuters_annual_source_window.fat&amp;display_string=Audit&amp;DYN_ARGS=TRUE&amp;VAR:ID1=221353&amp;VAR:RCODE=AEQI&amp;VAR:SDATE=20061299&amp;VAR:FREQ=Y&amp;VAR:RELITEM=RP&amp;VAR:CURRENCY=USD&amp;VAR:CURRSOURCE=EXSHARE&amp;","VAR:NATFREQ=ANNUAL&amp;VAR:RFIELD=FINALIZED&amp;VAR:DB_TYPE=&amp;VAR:UNITS=M&amp;window=popup&amp;width=450&amp;height=300&amp;START_MAXIMIZED=FALSE"}</definedName>
    <definedName name="_1139__FDSAUDITLINK__" hidden="1">{"fdsup://IBCentral/FAT Viewer?action=UPDATE&amp;creator=factset&amp;DOC_NAME=fat:reuters_annual_source_window.fat&amp;display_string=Audit&amp;DYN_ARGS=TRUE&amp;VAR:ID1=221353&amp;VAR:RCODE=AEQI&amp;VAR:SDATE=20061299&amp;VAR:FREQ=Y&amp;VAR:RELITEM=RP&amp;VAR:CURRENCY=USD&amp;VAR:CURRSOURCE=EXSHARE&amp;","VAR:NATFREQ=ANNUAL&amp;VAR:RFIELD=FINALIZED&amp;VAR:DB_TYPE=&amp;VAR:UNITS=M&amp;window=popup&amp;width=450&amp;height=300&amp;START_MAXIMIZED=FALSE"}</definedName>
    <definedName name="_114__123Graph_XCHART_23" localSheetId="8" hidden="1">#REF!</definedName>
    <definedName name="_114__123Graph_XCHART_23" hidden="1">#REF!</definedName>
    <definedName name="_114__FDSAUDITLINK__" localSheetId="8" hidden="1">{"fdsup://directions/FAT Viewer?action=UPDATE&amp;creator=factset&amp;DYN_ARGS=TRUE&amp;DOC_NAME=FAT:FQL_AUDITING_CLIENT_TEMPLATE.FAT&amp;display_string=Audit&amp;VAR:KEY=ZKLMRSLIVQ&amp;VAR:QUERY=RkZfRUJJVF9JQignQU5OJywzMzk2OSwsLCwnU0VLJyk=&amp;WINDOW=FIRST_POPUP&amp;HEIGHT=450&amp;WIDTH=450&amp;","START_MAXIMIZED=FALSE&amp;VAR:CALENDAR=FIVEDAY&amp;VAR:SYMBOL=454047&amp;VAR:INDEX=0"}</definedName>
    <definedName name="_114__FDSAUDITLINK__" hidden="1">{"fdsup://directions/FAT Viewer?action=UPDATE&amp;creator=factset&amp;DYN_ARGS=TRUE&amp;DOC_NAME=FAT:FQL_AUDITING_CLIENT_TEMPLATE.FAT&amp;display_string=Audit&amp;VAR:KEY=QTKVQXUVQJ&amp;VAR:QUERY=RkZfRVBTX0RJTChDQUwsMjAxMCk=&amp;WINDOW=FIRST_POPUP&amp;HEIGHT=450&amp;WIDTH=450&amp;START_MAXIMIZED=","FALSE&amp;VAR:CALENDAR=US&amp;VAR:SYMBOL=TXI&amp;VAR:INDEX=0"}</definedName>
    <definedName name="_114__FDSAUDITLINK___1" localSheetId="8" hidden="1">{"fdsup://directions/FAT Viewer?action=UPDATE&amp;creator=factset&amp;DYN_ARGS=TRUE&amp;DOC_NAME=FAT:FQL_AUDITING_CLIENT_TEMPLATE.FAT&amp;display_string=Audit&amp;VAR:KEY=ZKLMRSLIVQ&amp;VAR:QUERY=RkZfRUJJVF9JQignQU5OJywzMzk2OSwsLCwnU0VLJyk=&amp;WINDOW=FIRST_POPUP&amp;HEIGHT=450&amp;WIDTH=450&amp;","START_MAXIMIZED=FALSE&amp;VAR:CALENDAR=FIVEDAY&amp;VAR:SYMBOL=454047&amp;VAR:INDEX=0"}</definedName>
    <definedName name="_114__FDSAUDITLINK___1" hidden="1">{"fdsup://directions/FAT Viewer?action=UPDATE&amp;creator=factset&amp;DYN_ARGS=TRUE&amp;DOC_NAME=FAT:FQL_AUDITING_CLIENT_TEMPLATE.FAT&amp;display_string=Audit&amp;VAR:KEY=ZKLMRSLIVQ&amp;VAR:QUERY=RkZfRUJJVF9JQignQU5OJywzMzk2OSwsLCwnU0VLJyk=&amp;WINDOW=FIRST_POPUP&amp;HEIGHT=450&amp;WIDTH=450&amp;","START_MAXIMIZED=FALSE&amp;VAR:CALENDAR=FIVEDAY&amp;VAR:SYMBOL=454047&amp;VAR:INDEX=0"}</definedName>
    <definedName name="_1140__FDSAUDITLINK__" localSheetId="8" hidden="1">{"fdsup://IBCentral/FAT Viewer?action=UPDATE&amp;creator=factset&amp;DOC_NAME=fat:reuters_qtrly_source_window.fat&amp;display_string=Audit&amp;DYN_ARGS=TRUE&amp;VAR:ID1=221353&amp;VAR:RCODE=LMIN&amp;VAR:SDATE=20070399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140__FDSAUDITLINK__" hidden="1">{"fdsup://IBCentral/FAT Viewer?action=UPDATE&amp;creator=factset&amp;DOC_NAME=fat:reuters_qtrly_source_window.fat&amp;display_string=Audit&amp;DYN_ARGS=TRUE&amp;VAR:ID1=221353&amp;VAR:RCODE=LMIN&amp;VAR:SDATE=20070399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141__FDSAUDITLINK__" localSheetId="8" hidden="1">{"fdsup://IBCentral/FAT Viewer?action=UPDATE&amp;creator=factset&amp;DOC_NAME=fat:reuters_qtrly_source_window.fat&amp;display_string=Audit&amp;DYN_ARGS=TRUE&amp;VAR:ID1=221353&amp;VAR:RCODE=STLD&amp;VAR:SDATE=20070399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141__FDSAUDITLINK__" hidden="1">{"fdsup://IBCentral/FAT Viewer?action=UPDATE&amp;creator=factset&amp;DOC_NAME=fat:reuters_qtrly_source_window.fat&amp;display_string=Audit&amp;DYN_ARGS=TRUE&amp;VAR:ID1=221353&amp;VAR:RCODE=STLD&amp;VAR:SDATE=20070399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142__FDSAUDITLINK__" localSheetId="8" hidden="1">{"fdsup://IBCentral/FAT Viewer?action=UPDATE&amp;creator=factset&amp;DOC_NAME=fat:reuters_qtrly_source_window.fat&amp;display_string=Audit&amp;DYN_ARGS=TRUE&amp;VAR:ID1=221353&amp;VAR:RCODE=SCSI&amp;VAR:SDATE=20070399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142__FDSAUDITLINK__" hidden="1">{"fdsup://IBCentral/FAT Viewer?action=UPDATE&amp;creator=factset&amp;DOC_NAME=fat:reuters_qtrly_source_window.fat&amp;display_string=Audit&amp;DYN_ARGS=TRUE&amp;VAR:ID1=221353&amp;VAR:RCODE=SCSI&amp;VAR:SDATE=20070399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143__FDSAUDITLINK__" localSheetId="8" hidden="1">{"fdsup://IBCentral/FAT Viewer?action=UPDATE&amp;creator=factset&amp;DOC_NAME=fat:reuters_annual_source_window.fat&amp;display_string=Audit&amp;DYN_ARGS=TRUE&amp;VAR:ID1=221353&amp;VAR:RCODE=FDSPFDSTKTOTAL&amp;VAR:SDATE=20061299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143__FDSAUDITLINK__" hidden="1">{"fdsup://IBCentral/FAT Viewer?action=UPDATE&amp;creator=factset&amp;DOC_NAME=fat:reuters_annual_source_window.fat&amp;display_string=Audit&amp;DYN_ARGS=TRUE&amp;VAR:ID1=221353&amp;VAR:RCODE=FDSPFDSTKTOTAL&amp;VAR:SDATE=20061299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144__FDSAUDITLINK__" localSheetId="8" hidden="1">{"fdsup://IBCentral/FAT Viewer?action=UPDATE&amp;creator=factset&amp;DOC_NAME=fat:reuters_annual_source_window.fat&amp;display_string=Audit&amp;DYN_ARGS=TRUE&amp;VAR:ID1=221353&amp;VAR:RCODE=AEQI&amp;VAR:SDATE=20061299&amp;VAR:FREQ=Y&amp;VAR:RELITEM=RP&amp;VAR:CURRENCY=USD&amp;VAR:CURRSOURCE=EXSHARE&amp;","VAR:NATFREQ=ANNUAL&amp;VAR:RFIELD=FINALIZED&amp;VAR:DB_TYPE=&amp;VAR:UNITS=M&amp;window=popup&amp;width=450&amp;height=300&amp;START_MAXIMIZED=FALSE"}</definedName>
    <definedName name="_1144__FDSAUDITLINK__" hidden="1">{"fdsup://IBCentral/FAT Viewer?action=UPDATE&amp;creator=factset&amp;DOC_NAME=fat:reuters_annual_source_window.fat&amp;display_string=Audit&amp;DYN_ARGS=TRUE&amp;VAR:ID1=221353&amp;VAR:RCODE=AEQI&amp;VAR:SDATE=20061299&amp;VAR:FREQ=Y&amp;VAR:RELITEM=RP&amp;VAR:CURRENCY=USD&amp;VAR:CURRSOURCE=EXSHARE&amp;","VAR:NATFREQ=ANNUAL&amp;VAR:RFIELD=FINALIZED&amp;VAR:DB_TYPE=&amp;VAR:UNITS=M&amp;window=popup&amp;width=450&amp;height=300&amp;START_MAXIMIZED=FALSE"}</definedName>
    <definedName name="_1145__FDSAUDITLINK__" localSheetId="8" hidden="1">{"fdsup://IBCentral/FAT Viewer?action=UPDATE&amp;creator=factset&amp;DOC_NAME=fat:reuters_qtrly_source_window.fat&amp;display_string=Audit&amp;DYN_ARGS=TRUE&amp;VAR:ID1=221353&amp;VAR:RCODE=LMIN&amp;VAR:SDATE=20070399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145__FDSAUDITLINK__" hidden="1">{"fdsup://IBCentral/FAT Viewer?action=UPDATE&amp;creator=factset&amp;DOC_NAME=fat:reuters_qtrly_source_window.fat&amp;display_string=Audit&amp;DYN_ARGS=TRUE&amp;VAR:ID1=221353&amp;VAR:RCODE=LMIN&amp;VAR:SDATE=20070399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146__FDSAUDITLINK__" localSheetId="8" hidden="1">{"fdsup://IBCentral/FAT Viewer?action=UPDATE&amp;creator=factset&amp;DOC_NAME=fat:reuters_qtrly_source_window.fat&amp;display_string=Audit&amp;DYN_ARGS=TRUE&amp;VAR:ID1=221353&amp;VAR:RCODE=STLD&amp;VAR:SDATE=20070399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146__FDSAUDITLINK__" hidden="1">{"fdsup://IBCentral/FAT Viewer?action=UPDATE&amp;creator=factset&amp;DOC_NAME=fat:reuters_qtrly_source_window.fat&amp;display_string=Audit&amp;DYN_ARGS=TRUE&amp;VAR:ID1=221353&amp;VAR:RCODE=STLD&amp;VAR:SDATE=20070399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147__FDSAUDITLINK__" localSheetId="8" hidden="1">{"fdsup://IBCentral/FAT Viewer?action=UPDATE&amp;creator=factset&amp;DOC_NAME=fat:reuters_qtrly_source_window.fat&amp;display_string=Audit&amp;DYN_ARGS=TRUE&amp;VAR:ID1=221353&amp;VAR:RCODE=SCSI&amp;VAR:SDATE=20070399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147__FDSAUDITLINK__" hidden="1">{"fdsup://IBCentral/FAT Viewer?action=UPDATE&amp;creator=factset&amp;DOC_NAME=fat:reuters_qtrly_source_window.fat&amp;display_string=Audit&amp;DYN_ARGS=TRUE&amp;VAR:ID1=221353&amp;VAR:RCODE=SCSI&amp;VAR:SDATE=20070399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148__FDSAUDITLINK__" localSheetId="8" hidden="1">{"fdsup://IBCentral/FAT Viewer?action=UPDATE&amp;creator=factset&amp;DOC_NAME=fat:reuters_annual_source_window.fat&amp;display_string=Audit&amp;DYN_ARGS=TRUE&amp;VAR:ID1=221353&amp;VAR:RCODE=FDSPFDSTKTOTAL&amp;VAR:SDATE=20061299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148__FDSAUDITLINK__" hidden="1">{"fdsup://IBCentral/FAT Viewer?action=UPDATE&amp;creator=factset&amp;DOC_NAME=fat:reuters_annual_source_window.fat&amp;display_string=Audit&amp;DYN_ARGS=TRUE&amp;VAR:ID1=221353&amp;VAR:RCODE=FDSPFDSTKTOTAL&amp;VAR:SDATE=20061299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149__FDSAUDITLINK__" localSheetId="8" hidden="1">{"fdsup://IBCentral/FAT Viewer?action=UPDATE&amp;creator=factset&amp;DOC_NAME=fat:reuters_annual_source_window.fat&amp;display_string=Audit&amp;DYN_ARGS=TRUE&amp;VAR:ID1=221353&amp;VAR:RCODE=AEQI&amp;VAR:SDATE=20061299&amp;VAR:FREQ=Y&amp;VAR:RELITEM=RP&amp;VAR:CURRENCY=USD&amp;VAR:CURRSOURCE=EXSHARE&amp;","VAR:NATFREQ=ANNUAL&amp;VAR:RFIELD=FINALIZED&amp;VAR:DB_TYPE=&amp;VAR:UNITS=M&amp;window=popup&amp;width=450&amp;height=300&amp;START_MAXIMIZED=FALSE"}</definedName>
    <definedName name="_1149__FDSAUDITLINK__" hidden="1">{"fdsup://IBCentral/FAT Viewer?action=UPDATE&amp;creator=factset&amp;DOC_NAME=fat:reuters_annual_source_window.fat&amp;display_string=Audit&amp;DYN_ARGS=TRUE&amp;VAR:ID1=221353&amp;VAR:RCODE=AEQI&amp;VAR:SDATE=20061299&amp;VAR:FREQ=Y&amp;VAR:RELITEM=RP&amp;VAR:CURRENCY=USD&amp;VAR:CURRSOURCE=EXSHARE&amp;","VAR:NATFREQ=ANNUAL&amp;VAR:RFIELD=FINALIZED&amp;VAR:DB_TYPE=&amp;VAR:UNITS=M&amp;window=popup&amp;width=450&amp;height=300&amp;START_MAXIMIZED=FALSE"}</definedName>
    <definedName name="_115__123Graph_XCHART_24" localSheetId="8" hidden="1">#REF!</definedName>
    <definedName name="_115__123Graph_XCHART_24" hidden="1">#REF!</definedName>
    <definedName name="_115__FDSAUDITLINK__" localSheetId="8" hidden="1">{"fdsup://directions/FAT Viewer?action=UPDATE&amp;creator=factset&amp;DYN_ARGS=TRUE&amp;DOC_NAME=FAT:FQL_AUDITING_CLIENT_TEMPLATE.FAT&amp;display_string=Audit&amp;VAR:KEY=JINULGXUZY&amp;VAR:QUERY=RkZfRUJJVF9JQignQU5OJywzMzYwMywsLCwnU0VLJyk=&amp;WINDOW=FIRST_POPUP&amp;HEIGHT=450&amp;WIDTH=450&amp;","START_MAXIMIZED=FALSE&amp;VAR:CALENDAR=FIVEDAY&amp;VAR:SYMBOL=454047&amp;VAR:INDEX=0"}</definedName>
    <definedName name="_115__FDSAUDITLINK__" hidden="1">{"fdsup://directions/FAT Viewer?action=UPDATE&amp;creator=factset&amp;DYN_ARGS=TRUE&amp;DOC_NAME=FAT:FQL_AUDITING_CLIENT_TEMPLATE.FAT&amp;display_string=Audit&amp;VAR:KEY=YPAFOBATMF&amp;VAR:QUERY=RkZfRVBTX0RJTChDQUwsMjAxMCk=&amp;WINDOW=FIRST_POPUP&amp;HEIGHT=450&amp;WIDTH=450&amp;START_MAXIMIZED=","FALSE&amp;VAR:CALENDAR=US&amp;VAR:SYMBOL=USCR&amp;VAR:INDEX=0"}</definedName>
    <definedName name="_115__FDSAUDITLINK___1" localSheetId="8" hidden="1">{"fdsup://directions/FAT Viewer?action=UPDATE&amp;creator=factset&amp;DYN_ARGS=TRUE&amp;DOC_NAME=FAT:FQL_AUDITING_CLIENT_TEMPLATE.FAT&amp;display_string=Audit&amp;VAR:KEY=JINULGXUZY&amp;VAR:QUERY=RkZfRUJJVF9JQignQU5OJywzMzYwMywsLCwnU0VLJyk=&amp;WINDOW=FIRST_POPUP&amp;HEIGHT=450&amp;WIDTH=450&amp;","START_MAXIMIZED=FALSE&amp;VAR:CALENDAR=FIVEDAY&amp;VAR:SYMBOL=454047&amp;VAR:INDEX=0"}</definedName>
    <definedName name="_115__FDSAUDITLINK___1" hidden="1">{"fdsup://directions/FAT Viewer?action=UPDATE&amp;creator=factset&amp;DYN_ARGS=TRUE&amp;DOC_NAME=FAT:FQL_AUDITING_CLIENT_TEMPLATE.FAT&amp;display_string=Audit&amp;VAR:KEY=JINULGXUZY&amp;VAR:QUERY=RkZfRUJJVF9JQignQU5OJywzMzYwMywsLCwnU0VLJyk=&amp;WINDOW=FIRST_POPUP&amp;HEIGHT=450&amp;WIDTH=450&amp;","START_MAXIMIZED=FALSE&amp;VAR:CALENDAR=FIVEDAY&amp;VAR:SYMBOL=454047&amp;VAR:INDEX=0"}</definedName>
    <definedName name="_1150__FDSAUDITLINK__" localSheetId="8" hidden="1">{"fdsup://IBCentral/FAT Viewer?action=UPDATE&amp;creator=factset&amp;DOC_NAME=fat:reuters_qtrly_source_window.fat&amp;display_string=Audit&amp;DYN_ARGS=TRUE&amp;VAR:ID1=221353&amp;VAR:RCODE=LMIN&amp;VAR:SDATE=20070399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150__FDSAUDITLINK__" hidden="1">{"fdsup://IBCentral/FAT Viewer?action=UPDATE&amp;creator=factset&amp;DOC_NAME=fat:reuters_qtrly_source_window.fat&amp;display_string=Audit&amp;DYN_ARGS=TRUE&amp;VAR:ID1=221353&amp;VAR:RCODE=LMIN&amp;VAR:SDATE=20070399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151__FDSAUDITLINK__" localSheetId="8" hidden="1">{"fdsup://IBCentral/FAT Viewer?action=UPDATE&amp;creator=factset&amp;DOC_NAME=fat:reuters_qtrly_source_window.fat&amp;display_string=Audit&amp;DYN_ARGS=TRUE&amp;VAR:ID1=221353&amp;VAR:RCODE=STLD&amp;VAR:SDATE=20070399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151__FDSAUDITLINK__" hidden="1">{"fdsup://IBCentral/FAT Viewer?action=UPDATE&amp;creator=factset&amp;DOC_NAME=fat:reuters_qtrly_source_window.fat&amp;display_string=Audit&amp;DYN_ARGS=TRUE&amp;VAR:ID1=221353&amp;VAR:RCODE=STLD&amp;VAR:SDATE=20070399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152__FDSAUDITLINK__" localSheetId="8" hidden="1">{"fdsup://IBCentral/FAT Viewer?action=UPDATE&amp;creator=factset&amp;DOC_NAME=fat:reuters_qtrly_source_window.fat&amp;display_string=Audit&amp;DYN_ARGS=TRUE&amp;VAR:ID1=221353&amp;VAR:RCODE=SCSI&amp;VAR:SDATE=20070399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152__FDSAUDITLINK__" hidden="1">{"fdsup://IBCentral/FAT Viewer?action=UPDATE&amp;creator=factset&amp;DOC_NAME=fat:reuters_qtrly_source_window.fat&amp;display_string=Audit&amp;DYN_ARGS=TRUE&amp;VAR:ID1=221353&amp;VAR:RCODE=SCSI&amp;VAR:SDATE=20070399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153__FDSAUDITLINK__" localSheetId="8" hidden="1">{"fdsup://IBCentral/FAT Viewer?action=UPDATE&amp;creator=factset&amp;DOC_NAME=fat:reuters_annual_source_window.fat&amp;display_string=Audit&amp;DYN_ARGS=TRUE&amp;VAR:ID1=221353&amp;VAR:RCODE=FDSPFDSTKTOTAL&amp;VAR:SDATE=20061299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153__FDSAUDITLINK__" hidden="1">{"fdsup://IBCentral/FAT Viewer?action=UPDATE&amp;creator=factset&amp;DOC_NAME=fat:reuters_annual_source_window.fat&amp;display_string=Audit&amp;DYN_ARGS=TRUE&amp;VAR:ID1=221353&amp;VAR:RCODE=FDSPFDSTKTOTAL&amp;VAR:SDATE=20061299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154__FDSAUDITLINK__" localSheetId="8" hidden="1">{"fdsup://IBCentral/FAT Viewer?action=UPDATE&amp;creator=factset&amp;DOC_NAME=fat:reuters_annual_source_window.fat&amp;display_string=Audit&amp;DYN_ARGS=TRUE&amp;VAR:ID1=221353&amp;VAR:RCODE=AEQI&amp;VAR:SDATE=20061299&amp;VAR:FREQ=Y&amp;VAR:RELITEM=RP&amp;VAR:CURRENCY=USD&amp;VAR:CURRSOURCE=EXSHARE&amp;","VAR:NATFREQ=ANNUAL&amp;VAR:RFIELD=FINALIZED&amp;VAR:DB_TYPE=&amp;VAR:UNITS=M&amp;window=popup&amp;width=450&amp;height=300&amp;START_MAXIMIZED=FALSE"}</definedName>
    <definedName name="_1154__FDSAUDITLINK__" hidden="1">{"fdsup://IBCentral/FAT Viewer?action=UPDATE&amp;creator=factset&amp;DOC_NAME=fat:reuters_annual_source_window.fat&amp;display_string=Audit&amp;DYN_ARGS=TRUE&amp;VAR:ID1=221353&amp;VAR:RCODE=AEQI&amp;VAR:SDATE=20061299&amp;VAR:FREQ=Y&amp;VAR:RELITEM=RP&amp;VAR:CURRENCY=USD&amp;VAR:CURRSOURCE=EXSHARE&amp;","VAR:NATFREQ=ANNUAL&amp;VAR:RFIELD=FINALIZED&amp;VAR:DB_TYPE=&amp;VAR:UNITS=M&amp;window=popup&amp;width=450&amp;height=300&amp;START_MAXIMIZED=FALSE"}</definedName>
    <definedName name="_1155__FDSAUDITLINK__" localSheetId="8" hidden="1">{"fdsup://IBCentral/FAT Viewer?action=UPDATE&amp;creator=factset&amp;DOC_NAME=fat:reuters_qtrly_source_window.fat&amp;display_string=Audit&amp;DYN_ARGS=TRUE&amp;VAR:ID1=221353&amp;VAR:RCODE=LMIN&amp;VAR:SDATE=20070699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155__FDSAUDITLINK__" hidden="1">{"fdsup://IBCentral/FAT Viewer?action=UPDATE&amp;creator=factset&amp;DOC_NAME=fat:reuters_qtrly_source_window.fat&amp;display_string=Audit&amp;DYN_ARGS=TRUE&amp;VAR:ID1=221353&amp;VAR:RCODE=LMIN&amp;VAR:SDATE=20070699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156__FDSAUDITLINK__" localSheetId="8" hidden="1">{"fdsup://IBCentral/FAT Viewer?action=UPDATE&amp;creator=factset&amp;DOC_NAME=fat:reuters_qtrly_source_window.fat&amp;display_string=Audit&amp;DYN_ARGS=TRUE&amp;VAR:ID1=221353&amp;VAR:RCODE=STLD&amp;VAR:SDATE=20070699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156__FDSAUDITLINK__" hidden="1">{"fdsup://IBCentral/FAT Viewer?action=UPDATE&amp;creator=factset&amp;DOC_NAME=fat:reuters_qtrly_source_window.fat&amp;display_string=Audit&amp;DYN_ARGS=TRUE&amp;VAR:ID1=221353&amp;VAR:RCODE=STLD&amp;VAR:SDATE=20070699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157__FDSAUDITLINK__" localSheetId="8" hidden="1">{"fdsup://IBCentral/FAT Viewer?action=UPDATE&amp;creator=factset&amp;DOC_NAME=fat:reuters_qtrly_source_window.fat&amp;display_string=Audit&amp;DYN_ARGS=TRUE&amp;VAR:ID1=221353&amp;VAR:RCODE=SCSI&amp;VAR:SDATE=20070699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157__FDSAUDITLINK__" hidden="1">{"fdsup://IBCentral/FAT Viewer?action=UPDATE&amp;creator=factset&amp;DOC_NAME=fat:reuters_qtrly_source_window.fat&amp;display_string=Audit&amp;DYN_ARGS=TRUE&amp;VAR:ID1=221353&amp;VAR:RCODE=SCSI&amp;VAR:SDATE=20070699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158__FDSAUDITLINK__" localSheetId="8" hidden="1">{"fdsup://IBCentral/FAT Viewer?action=UPDATE&amp;creator=factset&amp;DOC_NAME=fat:reuters_annual_source_window.fat&amp;display_string=Audit&amp;DYN_ARGS=TRUE&amp;VAR:ID1=221353&amp;VAR:RCODE=FDSPFDSTKTOTAL&amp;VAR:SDATE=20061299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158__FDSAUDITLINK__" hidden="1">{"fdsup://IBCentral/FAT Viewer?action=UPDATE&amp;creator=factset&amp;DOC_NAME=fat:reuters_annual_source_window.fat&amp;display_string=Audit&amp;DYN_ARGS=TRUE&amp;VAR:ID1=221353&amp;VAR:RCODE=FDSPFDSTKTOTAL&amp;VAR:SDATE=20061299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159__FDSAUDITLINK__" localSheetId="8" hidden="1">{"fdsup://IBCentral/FAT Viewer?action=UPDATE&amp;creator=factset&amp;DOC_NAME=fat:reuters_annual_source_window.fat&amp;display_string=Audit&amp;DYN_ARGS=TRUE&amp;VAR:ID1=221353&amp;VAR:RCODE=AEQI&amp;VAR:SDATE=20061299&amp;VAR:FREQ=Y&amp;VAR:RELITEM=RP&amp;VAR:CURRENCY=USD&amp;VAR:CURRSOURCE=EXSHARE&amp;","VAR:NATFREQ=ANNUAL&amp;VAR:RFIELD=FINALIZED&amp;VAR:DB_TYPE=&amp;VAR:UNITS=M&amp;window=popup&amp;width=450&amp;height=300&amp;START_MAXIMIZED=FALSE"}</definedName>
    <definedName name="_1159__FDSAUDITLINK__" hidden="1">{"fdsup://IBCentral/FAT Viewer?action=UPDATE&amp;creator=factset&amp;DOC_NAME=fat:reuters_annual_source_window.fat&amp;display_string=Audit&amp;DYN_ARGS=TRUE&amp;VAR:ID1=221353&amp;VAR:RCODE=AEQI&amp;VAR:SDATE=20061299&amp;VAR:FREQ=Y&amp;VAR:RELITEM=RP&amp;VAR:CURRENCY=USD&amp;VAR:CURRSOURCE=EXSHARE&amp;","VAR:NATFREQ=ANNUAL&amp;VAR:RFIELD=FINALIZED&amp;VAR:DB_TYPE=&amp;VAR:UNITS=M&amp;window=popup&amp;width=450&amp;height=300&amp;START_MAXIMIZED=FALSE"}</definedName>
    <definedName name="_116__123Graph_XCHART_25" localSheetId="8" hidden="1">#REF!</definedName>
    <definedName name="_116__123Graph_XCHART_25" hidden="1">#REF!</definedName>
    <definedName name="_116__FDSAUDITLINK__" localSheetId="8" hidden="1">{"fdsup://directions/FAT Viewer?action=UPDATE&amp;creator=factset&amp;DYN_ARGS=TRUE&amp;DOC_NAME=FAT:FQL_AUDITING_CLIENT_TEMPLATE.FAT&amp;display_string=Audit&amp;VAR:KEY=ZINYBSFIHK&amp;VAR:QUERY=RkZfRUJJVF9JQignQU5OJywzMzIzOCwsLCwnU0VLJyk=&amp;WINDOW=FIRST_POPUP&amp;HEIGHT=450&amp;WIDTH=450&amp;","START_MAXIMIZED=FALSE&amp;VAR:CALENDAR=FIVEDAY&amp;VAR:SYMBOL=454047&amp;VAR:INDEX=0"}</definedName>
    <definedName name="_116__FDSAUDITLINK__" hidden="1">{"fdsup://directions/FAT Viewer?action=UPDATE&amp;creator=factset&amp;DYN_ARGS=TRUE&amp;DOC_NAME=FAT:FQL_AUDITING_CLIENT_TEMPLATE.FAT&amp;display_string=Audit&amp;VAR:KEY=UFOFGZKHKX&amp;VAR:QUERY=RkZfRVBTX0RJTChDQUwsMjAxMCk=&amp;WINDOW=FIRST_POPUP&amp;HEIGHT=450&amp;WIDTH=450&amp;START_MAXIMIZED=","FALSE&amp;VAR:CALENDAR=US&amp;VAR:SYMBOL=MLM&amp;VAR:INDEX=0"}</definedName>
    <definedName name="_116__FDSAUDITLINK___1" localSheetId="8" hidden="1">{"fdsup://directions/FAT Viewer?action=UPDATE&amp;creator=factset&amp;DYN_ARGS=TRUE&amp;DOC_NAME=FAT:FQL_AUDITING_CLIENT_TEMPLATE.FAT&amp;display_string=Audit&amp;VAR:KEY=ZINYBSFIHK&amp;VAR:QUERY=RkZfRUJJVF9JQignQU5OJywzMzIzOCwsLCwnU0VLJyk=&amp;WINDOW=FIRST_POPUP&amp;HEIGHT=450&amp;WIDTH=450&amp;","START_MAXIMIZED=FALSE&amp;VAR:CALENDAR=FIVEDAY&amp;VAR:SYMBOL=454047&amp;VAR:INDEX=0"}</definedName>
    <definedName name="_116__FDSAUDITLINK___1" hidden="1">{"fdsup://directions/FAT Viewer?action=UPDATE&amp;creator=factset&amp;DYN_ARGS=TRUE&amp;DOC_NAME=FAT:FQL_AUDITING_CLIENT_TEMPLATE.FAT&amp;display_string=Audit&amp;VAR:KEY=ZINYBSFIHK&amp;VAR:QUERY=RkZfRUJJVF9JQignQU5OJywzMzIzOCwsLCwnU0VLJyk=&amp;WINDOW=FIRST_POPUP&amp;HEIGHT=450&amp;WIDTH=450&amp;","START_MAXIMIZED=FALSE&amp;VAR:CALENDAR=FIVEDAY&amp;VAR:SYMBOL=454047&amp;VAR:INDEX=0"}</definedName>
    <definedName name="_1160__FDSAUDITLINK__" localSheetId="8" hidden="1">{"fdsup://IBCentral/FAT Viewer?action=UPDATE&amp;creator=factset&amp;DOC_NAME=fat:reuters_qtrly_source_window.fat&amp;display_string=Audit&amp;DYN_ARGS=TRUE&amp;VAR:ID1=221353&amp;VAR:RCODE=LMIN&amp;VAR:SDATE=20070699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160__FDSAUDITLINK__" hidden="1">{"fdsup://IBCentral/FAT Viewer?action=UPDATE&amp;creator=factset&amp;DOC_NAME=fat:reuters_qtrly_source_window.fat&amp;display_string=Audit&amp;DYN_ARGS=TRUE&amp;VAR:ID1=221353&amp;VAR:RCODE=LMIN&amp;VAR:SDATE=20070699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161__FDSAUDITLINK__" localSheetId="8" hidden="1">{"fdsup://IBCentral/FAT Viewer?action=UPDATE&amp;creator=factset&amp;DOC_NAME=fat:reuters_qtrly_source_window.fat&amp;display_string=Audit&amp;DYN_ARGS=TRUE&amp;VAR:ID1=221353&amp;VAR:RCODE=STLD&amp;VAR:SDATE=20070699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161__FDSAUDITLINK__" hidden="1">{"fdsup://IBCentral/FAT Viewer?action=UPDATE&amp;creator=factset&amp;DOC_NAME=fat:reuters_qtrly_source_window.fat&amp;display_string=Audit&amp;DYN_ARGS=TRUE&amp;VAR:ID1=221353&amp;VAR:RCODE=STLD&amp;VAR:SDATE=20070699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162__FDSAUDITLINK__" localSheetId="8" hidden="1">{"fdsup://IBCentral/FAT Viewer?action=UPDATE&amp;creator=factset&amp;DOC_NAME=fat:reuters_qtrly_source_window.fat&amp;display_string=Audit&amp;DYN_ARGS=TRUE&amp;VAR:ID1=221353&amp;VAR:RCODE=SCSI&amp;VAR:SDATE=20070699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162__FDSAUDITLINK__" hidden="1">{"fdsup://IBCentral/FAT Viewer?action=UPDATE&amp;creator=factset&amp;DOC_NAME=fat:reuters_qtrly_source_window.fat&amp;display_string=Audit&amp;DYN_ARGS=TRUE&amp;VAR:ID1=221353&amp;VAR:RCODE=SCSI&amp;VAR:SDATE=20070699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163__FDSAUDITLINK__" localSheetId="8" hidden="1">{"fdsup://IBCentral/FAT Viewer?action=UPDATE&amp;creator=factset&amp;DOC_NAME=fat:reuters_annual_source_window.fat&amp;display_string=Audit&amp;DYN_ARGS=TRUE&amp;VAR:ID1=221353&amp;VAR:RCODE=FDSPFDSTKTOTAL&amp;VAR:SDATE=20061299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163__FDSAUDITLINK__" hidden="1">{"fdsup://IBCentral/FAT Viewer?action=UPDATE&amp;creator=factset&amp;DOC_NAME=fat:reuters_annual_source_window.fat&amp;display_string=Audit&amp;DYN_ARGS=TRUE&amp;VAR:ID1=221353&amp;VAR:RCODE=FDSPFDSTKTOTAL&amp;VAR:SDATE=20061299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164__FDSAUDITLINK__" localSheetId="8" hidden="1">{"fdsup://IBCentral/FAT Viewer?action=UPDATE&amp;creator=factset&amp;DOC_NAME=fat:reuters_annual_source_window.fat&amp;display_string=Audit&amp;DYN_ARGS=TRUE&amp;VAR:ID1=221353&amp;VAR:RCODE=AEQI&amp;VAR:SDATE=20061299&amp;VAR:FREQ=Y&amp;VAR:RELITEM=RP&amp;VAR:CURRENCY=USD&amp;VAR:CURRSOURCE=EXSHARE&amp;","VAR:NATFREQ=ANNUAL&amp;VAR:RFIELD=FINALIZED&amp;VAR:DB_TYPE=&amp;VAR:UNITS=M&amp;window=popup&amp;width=450&amp;height=300&amp;START_MAXIMIZED=FALSE"}</definedName>
    <definedName name="_1164__FDSAUDITLINK__" hidden="1">{"fdsup://IBCentral/FAT Viewer?action=UPDATE&amp;creator=factset&amp;DOC_NAME=fat:reuters_annual_source_window.fat&amp;display_string=Audit&amp;DYN_ARGS=TRUE&amp;VAR:ID1=221353&amp;VAR:RCODE=AEQI&amp;VAR:SDATE=20061299&amp;VAR:FREQ=Y&amp;VAR:RELITEM=RP&amp;VAR:CURRENCY=USD&amp;VAR:CURRSOURCE=EXSHARE&amp;","VAR:NATFREQ=ANNUAL&amp;VAR:RFIELD=FINALIZED&amp;VAR:DB_TYPE=&amp;VAR:UNITS=M&amp;window=popup&amp;width=450&amp;height=300&amp;START_MAXIMIZED=FALSE"}</definedName>
    <definedName name="_1165__FDSAUDITLINK__" localSheetId="8" hidden="1">{"fdsup://IBCentral/FAT Viewer?action=UPDATE&amp;creator=factset&amp;DOC_NAME=fat:reuters_qtrly_source_window.fat&amp;display_string=Audit&amp;DYN_ARGS=TRUE&amp;VAR:ID1=221353&amp;VAR:RCODE=LMIN&amp;VAR:SDATE=20070699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165__FDSAUDITLINK__" hidden="1">{"fdsup://IBCentral/FAT Viewer?action=UPDATE&amp;creator=factset&amp;DOC_NAME=fat:reuters_qtrly_source_window.fat&amp;display_string=Audit&amp;DYN_ARGS=TRUE&amp;VAR:ID1=221353&amp;VAR:RCODE=LMIN&amp;VAR:SDATE=20070699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166__FDSAUDITLINK__" localSheetId="8" hidden="1">{"fdsup://IBCentral/FAT Viewer?action=UPDATE&amp;creator=factset&amp;DOC_NAME=fat:reuters_qtrly_source_window.fat&amp;display_string=Audit&amp;DYN_ARGS=TRUE&amp;VAR:ID1=221353&amp;VAR:RCODE=STLD&amp;VAR:SDATE=20070699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166__FDSAUDITLINK__" hidden="1">{"fdsup://IBCentral/FAT Viewer?action=UPDATE&amp;creator=factset&amp;DOC_NAME=fat:reuters_qtrly_source_window.fat&amp;display_string=Audit&amp;DYN_ARGS=TRUE&amp;VAR:ID1=221353&amp;VAR:RCODE=STLD&amp;VAR:SDATE=20070699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167__FDSAUDITLINK__" localSheetId="8" hidden="1">{"fdsup://IBCentral/FAT Viewer?action=UPDATE&amp;creator=factset&amp;DOC_NAME=fat:reuters_qtrly_source_window.fat&amp;display_string=Audit&amp;DYN_ARGS=TRUE&amp;VAR:ID1=221353&amp;VAR:RCODE=SCSI&amp;VAR:SDATE=20070699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167__FDSAUDITLINK__" hidden="1">{"fdsup://IBCentral/FAT Viewer?action=UPDATE&amp;creator=factset&amp;DOC_NAME=fat:reuters_qtrly_source_window.fat&amp;display_string=Audit&amp;DYN_ARGS=TRUE&amp;VAR:ID1=221353&amp;VAR:RCODE=SCSI&amp;VAR:SDATE=20070699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168__FDSAUDITLINK__" localSheetId="8" hidden="1">{"fdsup://IBCentral/FAT Viewer?action=UPDATE&amp;creator=factset&amp;DOC_NAME=fat:reuters_annual_source_window.fat&amp;display_string=Audit&amp;DYN_ARGS=TRUE&amp;VAR:ID1=221353&amp;VAR:RCODE=FDSPFDSTKTOTAL&amp;VAR:SDATE=20061299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168__FDSAUDITLINK__" hidden="1">{"fdsup://IBCentral/FAT Viewer?action=UPDATE&amp;creator=factset&amp;DOC_NAME=fat:reuters_annual_source_window.fat&amp;display_string=Audit&amp;DYN_ARGS=TRUE&amp;VAR:ID1=221353&amp;VAR:RCODE=FDSPFDSTKTOTAL&amp;VAR:SDATE=20061299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169__FDSAUDITLINK__" localSheetId="8" hidden="1">{"fdsup://IBCentral/FAT Viewer?action=UPDATE&amp;creator=factset&amp;DOC_NAME=fat:reuters_annual_source_window.fat&amp;display_string=Audit&amp;DYN_ARGS=TRUE&amp;VAR:ID1=221353&amp;VAR:RCODE=AEQI&amp;VAR:SDATE=20061299&amp;VAR:FREQ=Y&amp;VAR:RELITEM=RP&amp;VAR:CURRENCY=USD&amp;VAR:CURRSOURCE=EXSHARE&amp;","VAR:NATFREQ=ANNUAL&amp;VAR:RFIELD=FINALIZED&amp;VAR:DB_TYPE=&amp;VAR:UNITS=M&amp;window=popup&amp;width=450&amp;height=300&amp;START_MAXIMIZED=FALSE"}</definedName>
    <definedName name="_1169__FDSAUDITLINK__" hidden="1">{"fdsup://IBCentral/FAT Viewer?action=UPDATE&amp;creator=factset&amp;DOC_NAME=fat:reuters_annual_source_window.fat&amp;display_string=Audit&amp;DYN_ARGS=TRUE&amp;VAR:ID1=221353&amp;VAR:RCODE=AEQI&amp;VAR:SDATE=20061299&amp;VAR:FREQ=Y&amp;VAR:RELITEM=RP&amp;VAR:CURRENCY=USD&amp;VAR:CURRSOURCE=EXSHARE&amp;","VAR:NATFREQ=ANNUAL&amp;VAR:RFIELD=FINALIZED&amp;VAR:DB_TYPE=&amp;VAR:UNITS=M&amp;window=popup&amp;width=450&amp;height=300&amp;START_MAXIMIZED=FALSE"}</definedName>
    <definedName name="_117__123Graph_LBL_ACHART_20" hidden="1">#REF!</definedName>
    <definedName name="_117__123Graph_XCHART_26" localSheetId="8" hidden="1">#REF!</definedName>
    <definedName name="_117__123Graph_XCHART_26" hidden="1">#REF!</definedName>
    <definedName name="_117__FDSAUDITLINK__" localSheetId="8" hidden="1">{"fdsup://directions/FAT Viewer?action=UPDATE&amp;creator=factset&amp;DYN_ARGS=TRUE&amp;DOC_NAME=FAT:FQL_AUDITING_CLIENT_TEMPLATE.FAT&amp;display_string=Audit&amp;VAR:KEY=JOBARKJUTA&amp;VAR:QUERY=RkZfRUJJVF9JQignQU5OJyw0MDA4NiwsLCwnR0JQJyk=&amp;WINDOW=FIRST_POPUP&amp;HEIGHT=450&amp;WIDTH=450&amp;","START_MAXIMIZED=FALSE&amp;VAR:CALENDAR=FIVEDAY&amp;VAR:SYMBOL=080216&amp;VAR:INDEX=0"}</definedName>
    <definedName name="_117__FDSAUDITLINK__" hidden="1">{"fdsup://directions/FAT Viewer?action=UPDATE&amp;creator=factset&amp;DYN_ARGS=TRUE&amp;DOC_NAME=FAT:FQL_AUDITING_CLIENT_TEMPLATE.FAT&amp;display_string=Audit&amp;VAR:KEY=WVEBOZOZCR&amp;VAR:QUERY=RkZfRVBTX0RJTChDQUwsMjAxMCk=&amp;WINDOW=FIRST_POPUP&amp;HEIGHT=450&amp;WIDTH=450&amp;START_MAXIMIZED=","FALSE&amp;VAR:CALENDAR=US&amp;VAR:SYMBOL=EXP&amp;VAR:INDEX=0"}</definedName>
    <definedName name="_117__FDSAUDITLINK___1" localSheetId="8" hidden="1">{"fdsup://directions/FAT Viewer?action=UPDATE&amp;creator=factset&amp;DYN_ARGS=TRUE&amp;DOC_NAME=FAT:FQL_AUDITING_CLIENT_TEMPLATE.FAT&amp;display_string=Audit&amp;VAR:KEY=JOBARKJUTA&amp;VAR:QUERY=RkZfRUJJVF9JQignQU5OJyw0MDA4NiwsLCwnR0JQJyk=&amp;WINDOW=FIRST_POPUP&amp;HEIGHT=450&amp;WIDTH=450&amp;","START_MAXIMIZED=FALSE&amp;VAR:CALENDAR=FIVEDAY&amp;VAR:SYMBOL=080216&amp;VAR:INDEX=0"}</definedName>
    <definedName name="_117__FDSAUDITLINK___1" hidden="1">{"fdsup://directions/FAT Viewer?action=UPDATE&amp;creator=factset&amp;DYN_ARGS=TRUE&amp;DOC_NAME=FAT:FQL_AUDITING_CLIENT_TEMPLATE.FAT&amp;display_string=Audit&amp;VAR:KEY=JOBARKJUTA&amp;VAR:QUERY=RkZfRUJJVF9JQignQU5OJyw0MDA4NiwsLCwnR0JQJyk=&amp;WINDOW=FIRST_POPUP&amp;HEIGHT=450&amp;WIDTH=450&amp;","START_MAXIMIZED=FALSE&amp;VAR:CALENDAR=FIVEDAY&amp;VAR:SYMBOL=080216&amp;VAR:INDEX=0"}</definedName>
    <definedName name="_1170__FDSAUDITLINK__" localSheetId="8" hidden="1">{"fdsup://IBCentral/FAT Viewer?action=UPDATE&amp;creator=factset&amp;DOC_NAME=fat:reuters_qtrly_source_window.fat&amp;display_string=Audit&amp;DYN_ARGS=TRUE&amp;VAR:ID1=221353&amp;VAR:RCODE=LMIN&amp;VAR:SDATE=20070699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170__FDSAUDITLINK__" hidden="1">{"fdsup://IBCentral/FAT Viewer?action=UPDATE&amp;creator=factset&amp;DOC_NAME=fat:reuters_qtrly_source_window.fat&amp;display_string=Audit&amp;DYN_ARGS=TRUE&amp;VAR:ID1=221353&amp;VAR:RCODE=LMIN&amp;VAR:SDATE=20070699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171__FDSAUDITLINK__" localSheetId="8" hidden="1">{"fdsup://IBCentral/FAT Viewer?action=UPDATE&amp;creator=factset&amp;DOC_NAME=fat:reuters_qtrly_source_window.fat&amp;display_string=Audit&amp;DYN_ARGS=TRUE&amp;VAR:ID1=221353&amp;VAR:RCODE=STLD&amp;VAR:SDATE=20070699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171__FDSAUDITLINK__" hidden="1">{"fdsup://IBCentral/FAT Viewer?action=UPDATE&amp;creator=factset&amp;DOC_NAME=fat:reuters_qtrly_source_window.fat&amp;display_string=Audit&amp;DYN_ARGS=TRUE&amp;VAR:ID1=221353&amp;VAR:RCODE=STLD&amp;VAR:SDATE=20070699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172__FDSAUDITLINK__" localSheetId="8" hidden="1">{"fdsup://IBCentral/FAT Viewer?action=UPDATE&amp;creator=factset&amp;DOC_NAME=fat:reuters_qtrly_source_window.fat&amp;display_string=Audit&amp;DYN_ARGS=TRUE&amp;VAR:ID1=221353&amp;VAR:RCODE=SCSI&amp;VAR:SDATE=20070699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172__FDSAUDITLINK__" hidden="1">{"fdsup://IBCentral/FAT Viewer?action=UPDATE&amp;creator=factset&amp;DOC_NAME=fat:reuters_qtrly_source_window.fat&amp;display_string=Audit&amp;DYN_ARGS=TRUE&amp;VAR:ID1=221353&amp;VAR:RCODE=SCSI&amp;VAR:SDATE=20070699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173__FDSAUDITLINK__" localSheetId="8" hidden="1">{"fdsup://IBCentral/FAT Viewer?action=UPDATE&amp;creator=factset&amp;DOC_NAME=fat:reuters_annual_source_window.fat&amp;display_string=Audit&amp;DYN_ARGS=TRUE&amp;VAR:ID1=221353&amp;VAR:RCODE=FDSPFDSTKTOTAL&amp;VAR:SDATE=20061299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173__FDSAUDITLINK__" hidden="1">{"fdsup://IBCentral/FAT Viewer?action=UPDATE&amp;creator=factset&amp;DOC_NAME=fat:reuters_annual_source_window.fat&amp;display_string=Audit&amp;DYN_ARGS=TRUE&amp;VAR:ID1=221353&amp;VAR:RCODE=FDSPFDSTKTOTAL&amp;VAR:SDATE=20061299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174__FDSAUDITLINK__" localSheetId="8" hidden="1">{"fdsup://IBCentral/FAT Viewer?action=UPDATE&amp;creator=factset&amp;DOC_NAME=fat:reuters_annual_source_window.fat&amp;display_string=Audit&amp;DYN_ARGS=TRUE&amp;VAR:ID1=221353&amp;VAR:RCODE=AEQI&amp;VAR:SDATE=20061299&amp;VAR:FREQ=Y&amp;VAR:RELITEM=RP&amp;VAR:CURRENCY=USD&amp;VAR:CURRSOURCE=EXSHARE&amp;","VAR:NATFREQ=ANNUAL&amp;VAR:RFIELD=FINALIZED&amp;VAR:DB_TYPE=&amp;VAR:UNITS=M&amp;window=popup&amp;width=450&amp;height=300&amp;START_MAXIMIZED=FALSE"}</definedName>
    <definedName name="_1174__FDSAUDITLINK__" hidden="1">{"fdsup://IBCentral/FAT Viewer?action=UPDATE&amp;creator=factset&amp;DOC_NAME=fat:reuters_annual_source_window.fat&amp;display_string=Audit&amp;DYN_ARGS=TRUE&amp;VAR:ID1=221353&amp;VAR:RCODE=AEQI&amp;VAR:SDATE=20061299&amp;VAR:FREQ=Y&amp;VAR:RELITEM=RP&amp;VAR:CURRENCY=USD&amp;VAR:CURRSOURCE=EXSHARE&amp;","VAR:NATFREQ=ANNUAL&amp;VAR:RFIELD=FINALIZED&amp;VAR:DB_TYPE=&amp;VAR:UNITS=M&amp;window=popup&amp;width=450&amp;height=300&amp;START_MAXIMIZED=FALSE"}</definedName>
    <definedName name="_1175__FDSAUDITLINK__" localSheetId="8" hidden="1">{"fdsup://IBCentral/FAT Viewer?action=UPDATE&amp;creator=factset&amp;DOC_NAME=fat:reuters_qtrly_source_window.fat&amp;display_string=Audit&amp;DYN_ARGS=TRUE&amp;VAR:ID1=221353&amp;VAR:RCODE=LMIN&amp;VAR:SDATE=20070699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175__FDSAUDITLINK__" hidden="1">{"fdsup://IBCentral/FAT Viewer?action=UPDATE&amp;creator=factset&amp;DOC_NAME=fat:reuters_qtrly_source_window.fat&amp;display_string=Audit&amp;DYN_ARGS=TRUE&amp;VAR:ID1=221353&amp;VAR:RCODE=LMIN&amp;VAR:SDATE=20070699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176__FDSAUDITLINK__" localSheetId="8" hidden="1">{"fdsup://IBCentral/FAT Viewer?action=UPDATE&amp;creator=factset&amp;DOC_NAME=fat:reuters_qtrly_source_window.fat&amp;display_string=Audit&amp;DYN_ARGS=TRUE&amp;VAR:ID1=221353&amp;VAR:RCODE=STLD&amp;VAR:SDATE=20070699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176__FDSAUDITLINK__" hidden="1">{"fdsup://IBCentral/FAT Viewer?action=UPDATE&amp;creator=factset&amp;DOC_NAME=fat:reuters_qtrly_source_window.fat&amp;display_string=Audit&amp;DYN_ARGS=TRUE&amp;VAR:ID1=221353&amp;VAR:RCODE=STLD&amp;VAR:SDATE=20070699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177__FDSAUDITLINK__" localSheetId="8" hidden="1">{"fdsup://IBCentral/FAT Viewer?action=UPDATE&amp;creator=factset&amp;DOC_NAME=fat:reuters_qtrly_source_window.fat&amp;display_string=Audit&amp;DYN_ARGS=TRUE&amp;VAR:ID1=221353&amp;VAR:RCODE=SCSI&amp;VAR:SDATE=20070699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177__FDSAUDITLINK__" hidden="1">{"fdsup://IBCentral/FAT Viewer?action=UPDATE&amp;creator=factset&amp;DOC_NAME=fat:reuters_qtrly_source_window.fat&amp;display_string=Audit&amp;DYN_ARGS=TRUE&amp;VAR:ID1=221353&amp;VAR:RCODE=SCSI&amp;VAR:SDATE=20070699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178__FDSAUDITLINK__" localSheetId="8" hidden="1">{"fdsup://IBCentral/FAT Viewer?action=UPDATE&amp;creator=factset&amp;DOC_NAME=fat:reuters_annual_source_window.fat&amp;display_string=Audit&amp;DYN_ARGS=TRUE&amp;VAR:ID1=221353&amp;VAR:RCODE=FDSPFDSTKTOTAL&amp;VAR:SDATE=20061299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178__FDSAUDITLINK__" hidden="1">{"fdsup://IBCentral/FAT Viewer?action=UPDATE&amp;creator=factset&amp;DOC_NAME=fat:reuters_annual_source_window.fat&amp;display_string=Audit&amp;DYN_ARGS=TRUE&amp;VAR:ID1=221353&amp;VAR:RCODE=FDSPFDSTKTOTAL&amp;VAR:SDATE=20061299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179__FDSAUDITLINK__" localSheetId="8" hidden="1">{"fdsup://IBCentral/FAT Viewer?action=UPDATE&amp;creator=factset&amp;DOC_NAME=fat:reuters_annual_source_window.fat&amp;display_string=Audit&amp;DYN_ARGS=TRUE&amp;VAR:ID1=221353&amp;VAR:RCODE=AEQI&amp;VAR:SDATE=20061299&amp;VAR:FREQ=Y&amp;VAR:RELITEM=RP&amp;VAR:CURRENCY=USD&amp;VAR:CURRSOURCE=EXSHARE&amp;","VAR:NATFREQ=ANNUAL&amp;VAR:RFIELD=FINALIZED&amp;VAR:DB_TYPE=&amp;VAR:UNITS=M&amp;window=popup&amp;width=450&amp;height=300&amp;START_MAXIMIZED=FALSE"}</definedName>
    <definedName name="_1179__FDSAUDITLINK__" hidden="1">{"fdsup://IBCentral/FAT Viewer?action=UPDATE&amp;creator=factset&amp;DOC_NAME=fat:reuters_annual_source_window.fat&amp;display_string=Audit&amp;DYN_ARGS=TRUE&amp;VAR:ID1=221353&amp;VAR:RCODE=AEQI&amp;VAR:SDATE=20061299&amp;VAR:FREQ=Y&amp;VAR:RELITEM=RP&amp;VAR:CURRENCY=USD&amp;VAR:CURRSOURCE=EXSHARE&amp;","VAR:NATFREQ=ANNUAL&amp;VAR:RFIELD=FINALIZED&amp;VAR:DB_TYPE=&amp;VAR:UNITS=M&amp;window=popup&amp;width=450&amp;height=300&amp;START_MAXIMIZED=FALSE"}</definedName>
    <definedName name="_118__123Graph_XCHART_27" localSheetId="8" hidden="1">#REF!</definedName>
    <definedName name="_118__123Graph_XCHART_27" hidden="1">#REF!</definedName>
    <definedName name="_118__FDSAUDITLINK__" localSheetId="8" hidden="1">{"fdsup://directions/FAT Viewer?action=UPDATE&amp;creator=factset&amp;DYN_ARGS=TRUE&amp;DOC_NAME=FAT:FQL_AUDITING_CLIENT_TEMPLATE.FAT&amp;display_string=Audit&amp;VAR:KEY=XSXYFKLYNI&amp;VAR:QUERY=RkZfRUJJVF9JQignQU5OJywzOTcyMSwsLCwnR0JQJyk=&amp;WINDOW=FIRST_POPUP&amp;HEIGHT=450&amp;WIDTH=450&amp;","START_MAXIMIZED=FALSE&amp;VAR:CALENDAR=FIVEDAY&amp;VAR:SYMBOL=080216&amp;VAR:INDEX=0"}</definedName>
    <definedName name="_118__FDSAUDITLINK__" hidden="1">{"fdsup://directions/FAT Viewer?action=UPDATE&amp;creator=factset&amp;DYN_ARGS=TRUE&amp;DOC_NAME=FAT:FQL_AUDITING_CLIENT_TEMPLATE.FAT&amp;display_string=Audit&amp;VAR:KEY=GPKVMVSROX&amp;VAR:QUERY=RkZfRVBTX0RJTChDQUwsMjAwOSk=&amp;WINDOW=FIRST_POPUP&amp;HEIGHT=450&amp;WIDTH=450&amp;START_MAXIMIZED=","FALSE&amp;VAR:CALENDAR=US&amp;VAR:SYMBOL=711075&amp;VAR:INDEX=0"}</definedName>
    <definedName name="_118__FDSAUDITLINK___1" localSheetId="8" hidden="1">{"fdsup://directions/FAT Viewer?action=UPDATE&amp;creator=factset&amp;DYN_ARGS=TRUE&amp;DOC_NAME=FAT:FQL_AUDITING_CLIENT_TEMPLATE.FAT&amp;display_string=Audit&amp;VAR:KEY=XSXYFKLYNI&amp;VAR:QUERY=RkZfRUJJVF9JQignQU5OJywzOTcyMSwsLCwnR0JQJyk=&amp;WINDOW=FIRST_POPUP&amp;HEIGHT=450&amp;WIDTH=450&amp;","START_MAXIMIZED=FALSE&amp;VAR:CALENDAR=FIVEDAY&amp;VAR:SYMBOL=080216&amp;VAR:INDEX=0"}</definedName>
    <definedName name="_118__FDSAUDITLINK___1" hidden="1">{"fdsup://directions/FAT Viewer?action=UPDATE&amp;creator=factset&amp;DYN_ARGS=TRUE&amp;DOC_NAME=FAT:FQL_AUDITING_CLIENT_TEMPLATE.FAT&amp;display_string=Audit&amp;VAR:KEY=XSXYFKLYNI&amp;VAR:QUERY=RkZfRUJJVF9JQignQU5OJywzOTcyMSwsLCwnR0JQJyk=&amp;WINDOW=FIRST_POPUP&amp;HEIGHT=450&amp;WIDTH=450&amp;","START_MAXIMIZED=FALSE&amp;VAR:CALENDAR=FIVEDAY&amp;VAR:SYMBOL=080216&amp;VAR:INDEX=0"}</definedName>
    <definedName name="_1180__FDSAUDITLINK__" localSheetId="8" hidden="1">{"fdsup://IBCentral/FAT Viewer?action=UPDATE&amp;creator=factset&amp;DOC_NAME=fat:reuters_qtrly_source_window.fat&amp;display_string=Audit&amp;DYN_ARGS=TRUE&amp;VAR:ID1=221353&amp;VAR:RCODE=LMIN&amp;VAR:SDATE=20070699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180__FDSAUDITLINK__" hidden="1">{"fdsup://IBCentral/FAT Viewer?action=UPDATE&amp;creator=factset&amp;DOC_NAME=fat:reuters_qtrly_source_window.fat&amp;display_string=Audit&amp;DYN_ARGS=TRUE&amp;VAR:ID1=221353&amp;VAR:RCODE=LMIN&amp;VAR:SDATE=20070699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181__FDSAUDITLINK__" localSheetId="8" hidden="1">{"fdsup://IBCentral/FAT Viewer?action=UPDATE&amp;creator=factset&amp;DOC_NAME=fat:reuters_qtrly_source_window.fat&amp;display_string=Audit&amp;DYN_ARGS=TRUE&amp;VAR:ID1=221353&amp;VAR:RCODE=STLD&amp;VAR:SDATE=20070699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181__FDSAUDITLINK__" hidden="1">{"fdsup://IBCentral/FAT Viewer?action=UPDATE&amp;creator=factset&amp;DOC_NAME=fat:reuters_qtrly_source_window.fat&amp;display_string=Audit&amp;DYN_ARGS=TRUE&amp;VAR:ID1=221353&amp;VAR:RCODE=STLD&amp;VAR:SDATE=20070699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182__FDSAUDITLINK__" localSheetId="8" hidden="1">{"fdsup://IBCentral/FAT Viewer?action=UPDATE&amp;creator=factset&amp;DOC_NAME=fat:reuters_qtrly_source_window.fat&amp;display_string=Audit&amp;DYN_ARGS=TRUE&amp;VAR:ID1=221353&amp;VAR:RCODE=SCSI&amp;VAR:SDATE=20070699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182__FDSAUDITLINK__" hidden="1">{"fdsup://IBCentral/FAT Viewer?action=UPDATE&amp;creator=factset&amp;DOC_NAME=fat:reuters_qtrly_source_window.fat&amp;display_string=Audit&amp;DYN_ARGS=TRUE&amp;VAR:ID1=221353&amp;VAR:RCODE=SCSI&amp;VAR:SDATE=20070699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183__FDSAUDITLINK__" localSheetId="8" hidden="1">{"fdsup://IBCentral/FAT Viewer?action=UPDATE&amp;creator=factset&amp;DOC_NAME=fat:reuters_annual_source_window.fat&amp;display_string=Audit&amp;DYN_ARGS=TRUE&amp;VAR:ID1=221353&amp;VAR:RCODE=FDSPFDSTKTOTAL&amp;VAR:SDATE=20061299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183__FDSAUDITLINK__" hidden="1">{"fdsup://IBCentral/FAT Viewer?action=UPDATE&amp;creator=factset&amp;DOC_NAME=fat:reuters_annual_source_window.fat&amp;display_string=Audit&amp;DYN_ARGS=TRUE&amp;VAR:ID1=221353&amp;VAR:RCODE=FDSPFDSTKTOTAL&amp;VAR:SDATE=20061299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184__FDSAUDITLINK__" localSheetId="8" hidden="1">{"fdsup://IBCentral/FAT Viewer?action=UPDATE&amp;creator=factset&amp;DOC_NAME=fat:reuters_annual_source_window.fat&amp;display_string=Audit&amp;DYN_ARGS=TRUE&amp;VAR:ID1=221353&amp;VAR:RCODE=AEQI&amp;VAR:SDATE=20061299&amp;VAR:FREQ=Y&amp;VAR:RELITEM=RP&amp;VAR:CURRENCY=USD&amp;VAR:CURRSOURCE=EXSHARE&amp;","VAR:NATFREQ=ANNUAL&amp;VAR:RFIELD=FINALIZED&amp;VAR:DB_TYPE=&amp;VAR:UNITS=M&amp;window=popup&amp;width=450&amp;height=300&amp;START_MAXIMIZED=FALSE"}</definedName>
    <definedName name="_1184__FDSAUDITLINK__" hidden="1">{"fdsup://IBCentral/FAT Viewer?action=UPDATE&amp;creator=factset&amp;DOC_NAME=fat:reuters_annual_source_window.fat&amp;display_string=Audit&amp;DYN_ARGS=TRUE&amp;VAR:ID1=221353&amp;VAR:RCODE=AEQI&amp;VAR:SDATE=20061299&amp;VAR:FREQ=Y&amp;VAR:RELITEM=RP&amp;VAR:CURRENCY=USD&amp;VAR:CURRSOURCE=EXSHARE&amp;","VAR:NATFREQ=ANNUAL&amp;VAR:RFIELD=FINALIZED&amp;VAR:DB_TYPE=&amp;VAR:UNITS=M&amp;window=popup&amp;width=450&amp;height=300&amp;START_MAXIMIZED=FALSE"}</definedName>
    <definedName name="_1185__FDSAUDITLINK__" localSheetId="8" hidden="1">{"fdsup://IBCentral/FAT Viewer?action=UPDATE&amp;creator=factset&amp;DOC_NAME=fat:reuters_qtrly_source_window.fat&amp;display_string=Audit&amp;DYN_ARGS=TRUE&amp;VAR:ID1=221353&amp;VAR:RCODE=LMIN&amp;VAR:SDATE=20070699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185__FDSAUDITLINK__" hidden="1">{"fdsup://IBCentral/FAT Viewer?action=UPDATE&amp;creator=factset&amp;DOC_NAME=fat:reuters_qtrly_source_window.fat&amp;display_string=Audit&amp;DYN_ARGS=TRUE&amp;VAR:ID1=221353&amp;VAR:RCODE=LMIN&amp;VAR:SDATE=20070699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186__FDSAUDITLINK__" localSheetId="8" hidden="1">{"fdsup://IBCentral/FAT Viewer?action=UPDATE&amp;creator=factset&amp;DOC_NAME=fat:reuters_qtrly_source_window.fat&amp;display_string=Audit&amp;DYN_ARGS=TRUE&amp;VAR:ID1=221353&amp;VAR:RCODE=STLD&amp;VAR:SDATE=20070699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186__FDSAUDITLINK__" hidden="1">{"fdsup://IBCentral/FAT Viewer?action=UPDATE&amp;creator=factset&amp;DOC_NAME=fat:reuters_qtrly_source_window.fat&amp;display_string=Audit&amp;DYN_ARGS=TRUE&amp;VAR:ID1=221353&amp;VAR:RCODE=STLD&amp;VAR:SDATE=20070699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187__FDSAUDITLINK__" localSheetId="8" hidden="1">{"fdsup://IBCentral/FAT Viewer?action=UPDATE&amp;creator=factset&amp;DOC_NAME=fat:reuters_qtrly_source_window.fat&amp;display_string=Audit&amp;DYN_ARGS=TRUE&amp;VAR:ID1=221353&amp;VAR:RCODE=SCSI&amp;VAR:SDATE=20070699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187__FDSAUDITLINK__" hidden="1">{"fdsup://IBCentral/FAT Viewer?action=UPDATE&amp;creator=factset&amp;DOC_NAME=fat:reuters_qtrly_source_window.fat&amp;display_string=Audit&amp;DYN_ARGS=TRUE&amp;VAR:ID1=221353&amp;VAR:RCODE=SCSI&amp;VAR:SDATE=20070699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188__FDSAUDITLINK__" localSheetId="8" hidden="1">{"fdsup://IBCentral/FAT Viewer?action=UPDATE&amp;creator=factset&amp;DOC_NAME=fat:reuters_annual_source_window.fat&amp;display_string=Audit&amp;DYN_ARGS=TRUE&amp;VAR:ID1=221353&amp;VAR:RCODE=FDSPFDSTKTOTAL&amp;VAR:SDATE=20061299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188__FDSAUDITLINK__" hidden="1">{"fdsup://IBCentral/FAT Viewer?action=UPDATE&amp;creator=factset&amp;DOC_NAME=fat:reuters_annual_source_window.fat&amp;display_string=Audit&amp;DYN_ARGS=TRUE&amp;VAR:ID1=221353&amp;VAR:RCODE=FDSPFDSTKTOTAL&amp;VAR:SDATE=20061299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189__FDSAUDITLINK__" localSheetId="8" hidden="1">{"fdsup://IBCentral/FAT Viewer?action=UPDATE&amp;creator=factset&amp;DOC_NAME=fat:reuters_annual_source_window.fat&amp;display_string=Audit&amp;DYN_ARGS=TRUE&amp;VAR:ID1=221353&amp;VAR:RCODE=AEQI&amp;VAR:SDATE=20061299&amp;VAR:FREQ=Y&amp;VAR:RELITEM=RP&amp;VAR:CURRENCY=USD&amp;VAR:CURRSOURCE=EXSHARE&amp;","VAR:NATFREQ=ANNUAL&amp;VAR:RFIELD=FINALIZED&amp;VAR:DB_TYPE=&amp;VAR:UNITS=M&amp;window=popup&amp;width=450&amp;height=300&amp;START_MAXIMIZED=FALSE"}</definedName>
    <definedName name="_1189__FDSAUDITLINK__" hidden="1">{"fdsup://IBCentral/FAT Viewer?action=UPDATE&amp;creator=factset&amp;DOC_NAME=fat:reuters_annual_source_window.fat&amp;display_string=Audit&amp;DYN_ARGS=TRUE&amp;VAR:ID1=221353&amp;VAR:RCODE=AEQI&amp;VAR:SDATE=20061299&amp;VAR:FREQ=Y&amp;VAR:RELITEM=RP&amp;VAR:CURRENCY=USD&amp;VAR:CURRSOURCE=EXSHARE&amp;","VAR:NATFREQ=ANNUAL&amp;VAR:RFIELD=FINALIZED&amp;VAR:DB_TYPE=&amp;VAR:UNITS=M&amp;window=popup&amp;width=450&amp;height=300&amp;START_MAXIMIZED=FALSE"}</definedName>
    <definedName name="_119__123Graph_XCHART_28" localSheetId="8" hidden="1">#REF!</definedName>
    <definedName name="_119__123Graph_XCHART_28" hidden="1">#REF!</definedName>
    <definedName name="_119__FDSAUDITLINK__" localSheetId="8" hidden="1">{"fdsup://directions/FAT Viewer?action=UPDATE&amp;creator=factset&amp;DYN_ARGS=TRUE&amp;DOC_NAME=FAT:FQL_AUDITING_CLIENT_TEMPLATE.FAT&amp;display_string=Audit&amp;VAR:KEY=LCDERABOTC&amp;VAR:QUERY=RkZfRUJJVF9JQignQU5OJywzOTM1NSwsLCwnR0JQJyk=&amp;WINDOW=FIRST_POPUP&amp;HEIGHT=450&amp;WIDTH=450&amp;","START_MAXIMIZED=FALSE&amp;VAR:CALENDAR=FIVEDAY&amp;VAR:SYMBOL=080216&amp;VAR:INDEX=0"}</definedName>
    <definedName name="_119__FDSAUDITLINK__" hidden="1">{"fdsup://directions/FAT Viewer?action=UPDATE&amp;creator=factset&amp;DYN_ARGS=TRUE&amp;DOC_NAME=FAT:FQL_AUDITING_CLIENT_TEMPLATE.FAT&amp;display_string=Audit&amp;VAR:KEY=HMRALYLCFE&amp;VAR:QUERY=RkZfRVBTX0RJTChDQUwsMjAwOSk=&amp;WINDOW=FIRST_POPUP&amp;HEIGHT=450&amp;WIDTH=450&amp;START_MAXIMIZED=","FALSE&amp;VAR:CALENDAR=US&amp;VAR:SYMBOL=CX&amp;VAR:INDEX=0"}</definedName>
    <definedName name="_119__FDSAUDITLINK___1" localSheetId="8" hidden="1">{"fdsup://directions/FAT Viewer?action=UPDATE&amp;creator=factset&amp;DYN_ARGS=TRUE&amp;DOC_NAME=FAT:FQL_AUDITING_CLIENT_TEMPLATE.FAT&amp;display_string=Audit&amp;VAR:KEY=LCDERABOTC&amp;VAR:QUERY=RkZfRUJJVF9JQignQU5OJywzOTM1NSwsLCwnR0JQJyk=&amp;WINDOW=FIRST_POPUP&amp;HEIGHT=450&amp;WIDTH=450&amp;","START_MAXIMIZED=FALSE&amp;VAR:CALENDAR=FIVEDAY&amp;VAR:SYMBOL=080216&amp;VAR:INDEX=0"}</definedName>
    <definedName name="_119__FDSAUDITLINK___1" hidden="1">{"fdsup://directions/FAT Viewer?action=UPDATE&amp;creator=factset&amp;DYN_ARGS=TRUE&amp;DOC_NAME=FAT:FQL_AUDITING_CLIENT_TEMPLATE.FAT&amp;display_string=Audit&amp;VAR:KEY=LCDERABOTC&amp;VAR:QUERY=RkZfRUJJVF9JQignQU5OJywzOTM1NSwsLCwnR0JQJyk=&amp;WINDOW=FIRST_POPUP&amp;HEIGHT=450&amp;WIDTH=450&amp;","START_MAXIMIZED=FALSE&amp;VAR:CALENDAR=FIVEDAY&amp;VAR:SYMBOL=080216&amp;VAR:INDEX=0"}</definedName>
    <definedName name="_1190__FDSAUDITLINK__" localSheetId="8" hidden="1">{"fdsup://IBCentral/FAT Viewer?action=UPDATE&amp;creator=factset&amp;DOC_NAME=fat:reuters_qtrly_source_window.fat&amp;display_string=Audit&amp;DYN_ARGS=TRUE&amp;VAR:ID1=221353&amp;VAR:RCODE=LMIN&amp;VAR:SDATE=20070699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190__FDSAUDITLINK__" hidden="1">{"fdsup://IBCentral/FAT Viewer?action=UPDATE&amp;creator=factset&amp;DOC_NAME=fat:reuters_qtrly_source_window.fat&amp;display_string=Audit&amp;DYN_ARGS=TRUE&amp;VAR:ID1=221353&amp;VAR:RCODE=LMIN&amp;VAR:SDATE=20070699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191__FDSAUDITLINK__" localSheetId="8" hidden="1">{"fdsup://IBCentral/FAT Viewer?action=UPDATE&amp;creator=factset&amp;DOC_NAME=fat:reuters_qtrly_source_window.fat&amp;display_string=Audit&amp;DYN_ARGS=TRUE&amp;VAR:ID1=221353&amp;VAR:RCODE=STLD&amp;VAR:SDATE=20070699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191__FDSAUDITLINK__" hidden="1">{"fdsup://IBCentral/FAT Viewer?action=UPDATE&amp;creator=factset&amp;DOC_NAME=fat:reuters_qtrly_source_window.fat&amp;display_string=Audit&amp;DYN_ARGS=TRUE&amp;VAR:ID1=221353&amp;VAR:RCODE=STLD&amp;VAR:SDATE=20070699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192__FDSAUDITLINK__" localSheetId="8" hidden="1">{"fdsup://IBCentral/FAT Viewer?action=UPDATE&amp;creator=factset&amp;DOC_NAME=fat:reuters_qtrly_source_window.fat&amp;display_string=Audit&amp;DYN_ARGS=TRUE&amp;VAR:ID1=221353&amp;VAR:RCODE=SCSI&amp;VAR:SDATE=20070699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192__FDSAUDITLINK__" hidden="1">{"fdsup://IBCentral/FAT Viewer?action=UPDATE&amp;creator=factset&amp;DOC_NAME=fat:reuters_qtrly_source_window.fat&amp;display_string=Audit&amp;DYN_ARGS=TRUE&amp;VAR:ID1=221353&amp;VAR:RCODE=SCSI&amp;VAR:SDATE=20070699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193__FDSAUDITLINK__" localSheetId="8" hidden="1">{"fdsup://IBCentral/FAT Viewer?action=UPDATE&amp;creator=factset&amp;DOC_NAME=fat:reuters_annual_source_window.fat&amp;display_string=Audit&amp;DYN_ARGS=TRUE&amp;VAR:ID1=221353&amp;VAR:RCODE=FDSPFDSTKTOTAL&amp;VAR:SDATE=20061299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193__FDSAUDITLINK__" hidden="1">{"fdsup://IBCentral/FAT Viewer?action=UPDATE&amp;creator=factset&amp;DOC_NAME=fat:reuters_annual_source_window.fat&amp;display_string=Audit&amp;DYN_ARGS=TRUE&amp;VAR:ID1=221353&amp;VAR:RCODE=FDSPFDSTKTOTAL&amp;VAR:SDATE=20061299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194__FDSAUDITLINK__" localSheetId="8" hidden="1">{"fdsup://IBCentral/FAT Viewer?action=UPDATE&amp;creator=factset&amp;DOC_NAME=fat:reuters_annual_source_window.fat&amp;display_string=Audit&amp;DYN_ARGS=TRUE&amp;VAR:ID1=221353&amp;VAR:RCODE=AEQI&amp;VAR:SDATE=20061299&amp;VAR:FREQ=Y&amp;VAR:RELITEM=RP&amp;VAR:CURRENCY=USD&amp;VAR:CURRSOURCE=EXSHARE&amp;","VAR:NATFREQ=ANNUAL&amp;VAR:RFIELD=FINALIZED&amp;VAR:DB_TYPE=&amp;VAR:UNITS=M&amp;window=popup&amp;width=450&amp;height=300&amp;START_MAXIMIZED=FALSE"}</definedName>
    <definedName name="_1194__FDSAUDITLINK__" hidden="1">{"fdsup://IBCentral/FAT Viewer?action=UPDATE&amp;creator=factset&amp;DOC_NAME=fat:reuters_annual_source_window.fat&amp;display_string=Audit&amp;DYN_ARGS=TRUE&amp;VAR:ID1=221353&amp;VAR:RCODE=AEQI&amp;VAR:SDATE=20061299&amp;VAR:FREQ=Y&amp;VAR:RELITEM=RP&amp;VAR:CURRENCY=USD&amp;VAR:CURRSOURCE=EXSHARE&amp;","VAR:NATFREQ=ANNUAL&amp;VAR:RFIELD=FINALIZED&amp;VAR:DB_TYPE=&amp;VAR:UNITS=M&amp;window=popup&amp;width=450&amp;height=300&amp;START_MAXIMIZED=FALSE"}</definedName>
    <definedName name="_1195__FDSAUDITLINK__" localSheetId="8" hidden="1">{"fdsup://IBCentral/FAT Viewer?action=UPDATE&amp;creator=factset&amp;DOC_NAME=fat:reuters_qtrly_source_window.fat&amp;display_string=Audit&amp;DYN_ARGS=TRUE&amp;VAR:ID1=221353&amp;VAR:RCODE=LMIN&amp;VAR:SDATE=20070699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195__FDSAUDITLINK__" hidden="1">{"fdsup://IBCentral/FAT Viewer?action=UPDATE&amp;creator=factset&amp;DOC_NAME=fat:reuters_qtrly_source_window.fat&amp;display_string=Audit&amp;DYN_ARGS=TRUE&amp;VAR:ID1=221353&amp;VAR:RCODE=LMIN&amp;VAR:SDATE=20070699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196__FDSAUDITLINK__" localSheetId="8" hidden="1">{"fdsup://IBCentral/FAT Viewer?action=UPDATE&amp;creator=factset&amp;DOC_NAME=fat:reuters_qtrly_source_window.fat&amp;display_string=Audit&amp;DYN_ARGS=TRUE&amp;VAR:ID1=221353&amp;VAR:RCODE=STLD&amp;VAR:SDATE=20070699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196__FDSAUDITLINK__" hidden="1">{"fdsup://IBCentral/FAT Viewer?action=UPDATE&amp;creator=factset&amp;DOC_NAME=fat:reuters_qtrly_source_window.fat&amp;display_string=Audit&amp;DYN_ARGS=TRUE&amp;VAR:ID1=221353&amp;VAR:RCODE=STLD&amp;VAR:SDATE=20070699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197__FDSAUDITLINK__" localSheetId="8" hidden="1">{"fdsup://IBCentral/FAT Viewer?action=UPDATE&amp;creator=factset&amp;DOC_NAME=fat:reuters_qtrly_source_window.fat&amp;display_string=Audit&amp;DYN_ARGS=TRUE&amp;VAR:ID1=221353&amp;VAR:RCODE=SCSI&amp;VAR:SDATE=20070699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197__FDSAUDITLINK__" hidden="1">{"fdsup://IBCentral/FAT Viewer?action=UPDATE&amp;creator=factset&amp;DOC_NAME=fat:reuters_qtrly_source_window.fat&amp;display_string=Audit&amp;DYN_ARGS=TRUE&amp;VAR:ID1=221353&amp;VAR:RCODE=SCSI&amp;VAR:SDATE=20070699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198__FDSAUDITLINK__" localSheetId="8" hidden="1">{"fdsup://IBCentral/FAT Viewer?action=UPDATE&amp;creator=factset&amp;DOC_NAME=fat:reuters_annual_source_window.fat&amp;display_string=Audit&amp;DYN_ARGS=TRUE&amp;VAR:ID1=221353&amp;VAR:RCODE=FDSPFDSTKTOTAL&amp;VAR:SDATE=20061299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198__FDSAUDITLINK__" hidden="1">{"fdsup://IBCentral/FAT Viewer?action=UPDATE&amp;creator=factset&amp;DOC_NAME=fat:reuters_annual_source_window.fat&amp;display_string=Audit&amp;DYN_ARGS=TRUE&amp;VAR:ID1=221353&amp;VAR:RCODE=FDSPFDSTKTOTAL&amp;VAR:SDATE=20061299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199__FDSAUDITLINK__" localSheetId="8" hidden="1">{"fdsup://IBCentral/FAT Viewer?action=UPDATE&amp;creator=factset&amp;DOC_NAME=fat:reuters_annual_source_window.fat&amp;display_string=Audit&amp;DYN_ARGS=TRUE&amp;VAR:ID1=221353&amp;VAR:RCODE=AEQI&amp;VAR:SDATE=20061299&amp;VAR:FREQ=Y&amp;VAR:RELITEM=RP&amp;VAR:CURRENCY=USD&amp;VAR:CURRSOURCE=EXSHARE&amp;","VAR:NATFREQ=ANNUAL&amp;VAR:RFIELD=FINALIZED&amp;VAR:DB_TYPE=&amp;VAR:UNITS=M&amp;window=popup&amp;width=450&amp;height=300&amp;START_MAXIMIZED=FALSE"}</definedName>
    <definedName name="_1199__FDSAUDITLINK__" hidden="1">{"fdsup://IBCentral/FAT Viewer?action=UPDATE&amp;creator=factset&amp;DOC_NAME=fat:reuters_annual_source_window.fat&amp;display_string=Audit&amp;DYN_ARGS=TRUE&amp;VAR:ID1=221353&amp;VAR:RCODE=AEQI&amp;VAR:SDATE=20061299&amp;VAR:FREQ=Y&amp;VAR:RELITEM=RP&amp;VAR:CURRENCY=USD&amp;VAR:CURRSOURCE=EXSHARE&amp;","VAR:NATFREQ=ANNUAL&amp;VAR:RFIELD=FINALIZED&amp;VAR:DB_TYPE=&amp;VAR:UNITS=M&amp;window=popup&amp;width=450&amp;height=300&amp;START_MAXIMIZED=FALSE"}</definedName>
    <definedName name="_12__123Graph_ACHART_22" localSheetId="8" hidden="1">#REF!</definedName>
    <definedName name="_12__123Graph_ACHART_22" hidden="1">#REF!</definedName>
    <definedName name="_12__123Graph_ACHART_23" hidden="1">#REF!</definedName>
    <definedName name="_12__123Graph_ACHART_7" hidden="1">#REF!</definedName>
    <definedName name="_12__123Graph_BCHART_3" localSheetId="8" hidden="1">#REF!</definedName>
    <definedName name="_12__123Graph_BCHART_3" hidden="1">#REF!</definedName>
    <definedName name="_12__123Graph_BCHART_4" hidden="1">#REF!</definedName>
    <definedName name="_12__123Graph_BCHART_8" hidden="1">#REF!</definedName>
    <definedName name="_12__123Graph_BGRAFICO_16" localSheetId="8" hidden="1">#REF!</definedName>
    <definedName name="_12__123Graph_BGRAFICO_16" hidden="1">#REF!</definedName>
    <definedName name="_12__123Graph_DCHART_1" hidden="1">#REF!</definedName>
    <definedName name="_12__123Graph_EGRAFICO_20" hidden="1">#REF!</definedName>
    <definedName name="_12__123Graph_LBL_AGRAFICO_20" hidden="1">#REF!</definedName>
    <definedName name="_12__123Graph_LBL_BGRAFICO_20" hidden="1">#REF!</definedName>
    <definedName name="_12__123Graph_LBL_CCONTRIB_II" hidden="1">#N/A</definedName>
    <definedName name="_12__123Graph_LBL_CNG_CONFRONT_INC" hidden="1">#REF!</definedName>
    <definedName name="_12__123Graph_LBL_DCHART_1" hidden="1">#REF!</definedName>
    <definedName name="_12__123Graph_XChart_2" hidden="1">#REF!</definedName>
    <definedName name="_12__FDSAUDITLINK__" localSheetId="8" hidden="1">{"fdsup://directions/FAT Viewer?action=UPDATE&amp;creator=factset&amp;DYN_ARGS=TRUE&amp;DOC_NAME=FAT:FQL_AUDITING_CLIENT_TEMPLATE.FAT&amp;display_string=Audit&amp;VAR:KEY=ALUVYTMJAJ&amp;VAR:QUERY=RkZfRUJJVF9JQihBTk4sMzk0NDcsLCwsRVVSKQ==&amp;WINDOW=FIRST_POPUP&amp;HEIGHT=450&amp;WIDTH=450&amp;STAR","T_MAXIMIZED=FALSE&amp;VAR:CALENDAR=FIVEDAY&amp;VAR:SYMBOL=591344&amp;VAR:INDEX=0"}</definedName>
    <definedName name="_12__FDSAUDITLINK__" hidden="1">{"fdsup://directions/FAT Viewer?action=UPDATE&amp;creator=factset&amp;DYN_ARGS=TRUE&amp;DOC_NAME=FAT:FQL_AUDITING_CLIENT_TEMPLATE.FAT&amp;display_string=Audit&amp;VAR:KEY=JWXIXQNSRE&amp;VAR:QUERY=RkZfU0FMRVMoQ0FMLDIwMTEp&amp;WINDOW=FIRST_POPUP&amp;HEIGHT=450&amp;WIDTH=450&amp;START_MAXIMIZED=FALS","E&amp;VAR:CALENDAR=US&amp;VAR:SYMBOL=450270&amp;VAR:INDEX=0"}</definedName>
    <definedName name="_12__FDSAUDITLINK___1" localSheetId="8" hidden="1">{"fdsup://directions/FAT Viewer?action=UPDATE&amp;creator=factset&amp;DYN_ARGS=TRUE&amp;DOC_NAME=FAT:FQL_AUDITING_CLIENT_TEMPLATE.FAT&amp;display_string=Audit&amp;VAR:KEY=ALUVYTMJAJ&amp;VAR:QUERY=RkZfRUJJVF9JQihBTk4sMzk0NDcsLCwsRVVSKQ==&amp;WINDOW=FIRST_POPUP&amp;HEIGHT=450&amp;WIDTH=450&amp;STAR","T_MAXIMIZED=FALSE&amp;VAR:CALENDAR=FIVEDAY&amp;VAR:SYMBOL=591344&amp;VAR:INDEX=0"}</definedName>
    <definedName name="_12__FDSAUDITLINK___1" hidden="1">{"fdsup://directions/FAT Viewer?action=UPDATE&amp;creator=factset&amp;DYN_ARGS=TRUE&amp;DOC_NAME=FAT:FQL_AUDITING_CLIENT_TEMPLATE.FAT&amp;display_string=Audit&amp;VAR:KEY=ALUVYTMJAJ&amp;VAR:QUERY=RkZfRUJJVF9JQihBTk4sMzk0NDcsLCwsRVVSKQ==&amp;WINDOW=FIRST_POPUP&amp;HEIGHT=450&amp;WIDTH=450&amp;STAR","T_MAXIMIZED=FALSE&amp;VAR:CALENDAR=FIVEDAY&amp;VAR:SYMBOL=591344&amp;VAR:INDEX=0"}</definedName>
    <definedName name="_12_0_S" localSheetId="8" hidden="1">#REF!</definedName>
    <definedName name="_12_0_S" hidden="1">#REF!</definedName>
    <definedName name="_12_123Graph_XB92" hidden="1">#REF!</definedName>
    <definedName name="_120__123Graph_XCHART_3" localSheetId="8" hidden="1">#REF!</definedName>
    <definedName name="_120__123Graph_XCHART_3" hidden="1">#REF!</definedName>
    <definedName name="_120__FDSAUDITLINK__" localSheetId="7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__FDSAUDITLINK__" localSheetId="8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__FDSAUDITLINK__" hidden="1">{"fdsup://directions/FAT Viewer?action=UPDATE&amp;creator=factset&amp;DYN_ARGS=TRUE&amp;DOC_NAME=FAT:FQL_AUDITING_CLIENT_TEMPLATE.FAT&amp;display_string=Audit&amp;VAR:KEY=ZUZIRSZMPE&amp;VAR:QUERY=RkZfRVBTX0RJTChDQUwsMjAwOSk=&amp;WINDOW=FIRST_POPUP&amp;HEIGHT=450&amp;WIDTH=450&amp;START_MAXIMIZED=","FALSE&amp;VAR:CALENDAR=US&amp;VAR:SYMBOL=450270&amp;VAR:INDEX=0"}</definedName>
    <definedName name="_120__FDSAUDITLINK___1" localSheetId="8" hidden="1">{"fdsup://directions/FAT Viewer?action=UPDATE&amp;creator=factset&amp;DYN_ARGS=TRUE&amp;DOC_NAME=FAT:FQL_AUDITING_CLIENT_TEMPLATE.FAT&amp;display_string=Audit&amp;VAR:KEY=RAPOTKPCBM&amp;VAR:QUERY=RkZfRUJJVF9JQignQU5OJywzODk5MCwsLCwnR0JQJyk=&amp;WINDOW=FIRST_POPUP&amp;HEIGHT=450&amp;WIDTH=450&amp;","START_MAXIMIZED=FALSE&amp;VAR:CALENDAR=FIVEDAY&amp;VAR:SYMBOL=080216&amp;VAR:INDEX=0"}</definedName>
    <definedName name="_120__FDSAUDITLINK___1" hidden="1">{"fdsup://directions/FAT Viewer?action=UPDATE&amp;creator=factset&amp;DYN_ARGS=TRUE&amp;DOC_NAME=FAT:FQL_AUDITING_CLIENT_TEMPLATE.FAT&amp;display_string=Audit&amp;VAR:KEY=RAPOTKPCBM&amp;VAR:QUERY=RkZfRUJJVF9JQignQU5OJywzODk5MCwsLCwnR0JQJyk=&amp;WINDOW=FIRST_POPUP&amp;HEIGHT=450&amp;WIDTH=450&amp;","START_MAXIMIZED=FALSE&amp;VAR:CALENDAR=FIVEDAY&amp;VAR:SYMBOL=080216&amp;VAR:INDEX=0"}</definedName>
    <definedName name="_1200__FDSAUDITLINK__" localSheetId="8" hidden="1">{"fdsup://IBCentral/FAT Viewer?action=UPDATE&amp;creator=factset&amp;DOC_NAME=fat:reuters_qtrly_source_window.fat&amp;display_string=Audit&amp;DYN_ARGS=TRUE&amp;VAR:ID1=221353&amp;VAR:RCODE=LMIN&amp;VAR:SDATE=20070699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200__FDSAUDITLINK__" hidden="1">{"fdsup://IBCentral/FAT Viewer?action=UPDATE&amp;creator=factset&amp;DOC_NAME=fat:reuters_qtrly_source_window.fat&amp;display_string=Audit&amp;DYN_ARGS=TRUE&amp;VAR:ID1=221353&amp;VAR:RCODE=LMIN&amp;VAR:SDATE=20070699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201__FDSAUDITLINK__" localSheetId="8" hidden="1">{"fdsup://IBCentral/FAT Viewer?action=UPDATE&amp;creator=factset&amp;DOC_NAME=fat:reuters_qtrly_source_window.fat&amp;display_string=Audit&amp;DYN_ARGS=TRUE&amp;VAR:ID1=221353&amp;VAR:RCODE=STLD&amp;VAR:SDATE=20070699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201__FDSAUDITLINK__" hidden="1">{"fdsup://IBCentral/FAT Viewer?action=UPDATE&amp;creator=factset&amp;DOC_NAME=fat:reuters_qtrly_source_window.fat&amp;display_string=Audit&amp;DYN_ARGS=TRUE&amp;VAR:ID1=221353&amp;VAR:RCODE=STLD&amp;VAR:SDATE=20070699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202__FDSAUDITLINK__" localSheetId="8" hidden="1">{"fdsup://IBCentral/FAT Viewer?action=UPDATE&amp;creator=factset&amp;DOC_NAME=fat:reuters_qtrly_source_window.fat&amp;display_string=Audit&amp;DYN_ARGS=TRUE&amp;VAR:ID1=221353&amp;VAR:RCODE=SCSI&amp;VAR:SDATE=20070699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202__FDSAUDITLINK__" hidden="1">{"fdsup://IBCentral/FAT Viewer?action=UPDATE&amp;creator=factset&amp;DOC_NAME=fat:reuters_qtrly_source_window.fat&amp;display_string=Audit&amp;DYN_ARGS=TRUE&amp;VAR:ID1=221353&amp;VAR:RCODE=SCSI&amp;VAR:SDATE=20070699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203__FDSAUDITLINK__" localSheetId="8" hidden="1">{"fdsup://IBCentral/FAT Viewer?action=UPDATE&amp;creator=factset&amp;DOC_NAME=fat:reuters_annual_source_window.fat&amp;display_string=Audit&amp;DYN_ARGS=TRUE&amp;VAR:ID1=221353&amp;VAR:RCODE=FDSPFDSTKTOTAL&amp;VAR:SDATE=20061299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203__FDSAUDITLINK__" hidden="1">{"fdsup://IBCentral/FAT Viewer?action=UPDATE&amp;creator=factset&amp;DOC_NAME=fat:reuters_annual_source_window.fat&amp;display_string=Audit&amp;DYN_ARGS=TRUE&amp;VAR:ID1=221353&amp;VAR:RCODE=FDSPFDSTKTOTAL&amp;VAR:SDATE=20061299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204__FDSAUDITLINK__" localSheetId="8" hidden="1">{"fdsup://IBCentral/FAT Viewer?action=UPDATE&amp;creator=factset&amp;DOC_NAME=fat:reuters_annual_source_window.fat&amp;display_string=Audit&amp;DYN_ARGS=TRUE&amp;VAR:ID1=221353&amp;VAR:RCODE=AEQI&amp;VAR:SDATE=20061299&amp;VAR:FREQ=Y&amp;VAR:RELITEM=RP&amp;VAR:CURRENCY=USD&amp;VAR:CURRSOURCE=EXSHARE&amp;","VAR:NATFREQ=ANNUAL&amp;VAR:RFIELD=FINALIZED&amp;VAR:DB_TYPE=&amp;VAR:UNITS=M&amp;window=popup&amp;width=450&amp;height=300&amp;START_MAXIMIZED=FALSE"}</definedName>
    <definedName name="_1204__FDSAUDITLINK__" hidden="1">{"fdsup://IBCentral/FAT Viewer?action=UPDATE&amp;creator=factset&amp;DOC_NAME=fat:reuters_annual_source_window.fat&amp;display_string=Audit&amp;DYN_ARGS=TRUE&amp;VAR:ID1=221353&amp;VAR:RCODE=AEQI&amp;VAR:SDATE=20061299&amp;VAR:FREQ=Y&amp;VAR:RELITEM=RP&amp;VAR:CURRENCY=USD&amp;VAR:CURRSOURCE=EXSHARE&amp;","VAR:NATFREQ=ANNUAL&amp;VAR:RFIELD=FINALIZED&amp;VAR:DB_TYPE=&amp;VAR:UNITS=M&amp;window=popup&amp;width=450&amp;height=300&amp;START_MAXIMIZED=FALSE"}</definedName>
    <definedName name="_1205__FDSAUDITLINK__" localSheetId="8" hidden="1">{"fdsup://IBCentral/FAT Viewer?action=UPDATE&amp;creator=factset&amp;DOC_NAME=fat:reuters_qtrly_source_window.fat&amp;display_string=Audit&amp;DYN_ARGS=TRUE&amp;VAR:ID1=221353&amp;VAR:RCODE=LMIN&amp;VAR:SDATE=20070699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205__FDSAUDITLINK__" hidden="1">{"fdsup://IBCentral/FAT Viewer?action=UPDATE&amp;creator=factset&amp;DOC_NAME=fat:reuters_qtrly_source_window.fat&amp;display_string=Audit&amp;DYN_ARGS=TRUE&amp;VAR:ID1=221353&amp;VAR:RCODE=LMIN&amp;VAR:SDATE=20070699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206__FDSAUDITLINK__" localSheetId="8" hidden="1">{"fdsup://IBCentral/FAT Viewer?action=UPDATE&amp;creator=factset&amp;DOC_NAME=fat:reuters_qtrly_source_window.fat&amp;display_string=Audit&amp;DYN_ARGS=TRUE&amp;VAR:ID1=221353&amp;VAR:RCODE=STLD&amp;VAR:SDATE=20070699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206__FDSAUDITLINK__" hidden="1">{"fdsup://IBCentral/FAT Viewer?action=UPDATE&amp;creator=factset&amp;DOC_NAME=fat:reuters_qtrly_source_window.fat&amp;display_string=Audit&amp;DYN_ARGS=TRUE&amp;VAR:ID1=221353&amp;VAR:RCODE=STLD&amp;VAR:SDATE=20070699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207__FDSAUDITLINK__" localSheetId="8" hidden="1">{"fdsup://IBCentral/FAT Viewer?action=UPDATE&amp;creator=factset&amp;DOC_NAME=fat:reuters_qtrly_source_window.fat&amp;display_string=Audit&amp;DYN_ARGS=TRUE&amp;VAR:ID1=221353&amp;VAR:RCODE=SCSI&amp;VAR:SDATE=20070699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207__FDSAUDITLINK__" hidden="1">{"fdsup://IBCentral/FAT Viewer?action=UPDATE&amp;creator=factset&amp;DOC_NAME=fat:reuters_qtrly_source_window.fat&amp;display_string=Audit&amp;DYN_ARGS=TRUE&amp;VAR:ID1=221353&amp;VAR:RCODE=SCSI&amp;VAR:SDATE=20070699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208__FDSAUDITLINK__" localSheetId="8" hidden="1">{"fdsup://IBCentral/FAT Viewer?action=UPDATE&amp;creator=factset&amp;DOC_NAME=fat:reuters_annual_source_window.fat&amp;display_string=Audit&amp;DYN_ARGS=TRUE&amp;VAR:ID1=221353&amp;VAR:RCODE=FDSPFDSTKTOTAL&amp;VAR:SDATE=20061299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208__FDSAUDITLINK__" hidden="1">{"fdsup://IBCentral/FAT Viewer?action=UPDATE&amp;creator=factset&amp;DOC_NAME=fat:reuters_annual_source_window.fat&amp;display_string=Audit&amp;DYN_ARGS=TRUE&amp;VAR:ID1=221353&amp;VAR:RCODE=FDSPFDSTKTOTAL&amp;VAR:SDATE=20061299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209__FDSAUDITLINK__" localSheetId="8" hidden="1">{"fdsup://IBCentral/FAT Viewer?action=UPDATE&amp;creator=factset&amp;DOC_NAME=fat:reuters_annual_source_window.fat&amp;display_string=Audit&amp;DYN_ARGS=TRUE&amp;VAR:ID1=221353&amp;VAR:RCODE=AEQI&amp;VAR:SDATE=20061299&amp;VAR:FREQ=Y&amp;VAR:RELITEM=RP&amp;VAR:CURRENCY=USD&amp;VAR:CURRSOURCE=EXSHARE&amp;","VAR:NATFREQ=ANNUAL&amp;VAR:RFIELD=FINALIZED&amp;VAR:DB_TYPE=&amp;VAR:UNITS=M&amp;window=popup&amp;width=450&amp;height=300&amp;START_MAXIMIZED=FALSE"}</definedName>
    <definedName name="_1209__FDSAUDITLINK__" hidden="1">{"fdsup://IBCentral/FAT Viewer?action=UPDATE&amp;creator=factset&amp;DOC_NAME=fat:reuters_annual_source_window.fat&amp;display_string=Audit&amp;DYN_ARGS=TRUE&amp;VAR:ID1=221353&amp;VAR:RCODE=AEQI&amp;VAR:SDATE=20061299&amp;VAR:FREQ=Y&amp;VAR:RELITEM=RP&amp;VAR:CURRENCY=USD&amp;VAR:CURRSOURCE=EXSHARE&amp;","VAR:NATFREQ=ANNUAL&amp;VAR:RFIELD=FINALIZED&amp;VAR:DB_TYPE=&amp;VAR:UNITS=M&amp;window=popup&amp;width=450&amp;height=300&amp;START_MAXIMIZED=FALSE"}</definedName>
    <definedName name="_121__123Graph_XCHART_32" localSheetId="8" hidden="1">#REF!</definedName>
    <definedName name="_121__123Graph_XCHART_32" hidden="1">#REF!</definedName>
    <definedName name="_121__FDSAUDITLINK__" localSheetId="8" hidden="1">{"fdsup://directions/FAT Viewer?action=UPDATE&amp;creator=factset&amp;DYN_ARGS=TRUE&amp;DOC_NAME=FAT:FQL_AUDITING_CLIENT_TEMPLATE.FAT&amp;display_string=Audit&amp;VAR:KEY=VQTQHIFOJM&amp;VAR:QUERY=RkZfRUJJVF9JQignQU5OJywzODYyNSwsLCwnR0JQJyk=&amp;WINDOW=FIRST_POPUP&amp;HEIGHT=450&amp;WIDTH=450&amp;","START_MAXIMIZED=FALSE&amp;VAR:CALENDAR=FIVEDAY&amp;VAR:SYMBOL=080216&amp;VAR:INDEX=0"}</definedName>
    <definedName name="_121__FDSAUDITLINK__" hidden="1">{"fdsup://directions/FAT Viewer?action=UPDATE&amp;creator=factset&amp;DYN_ARGS=TRUE&amp;DOC_NAME=FAT:FQL_AUDITING_CLIENT_TEMPLATE.FAT&amp;display_string=Audit&amp;VAR:KEY=YZEBATKXKR&amp;VAR:QUERY=RkZfRVBTX0RJTChDQUwsMjAwOSk=&amp;WINDOW=FIRST_POPUP&amp;HEIGHT=450&amp;WIDTH=450&amp;START_MAXIMIZED=","FALSE&amp;VAR:CALENDAR=US&amp;VAR:SYMBOL=BLDR&amp;VAR:INDEX=0"}</definedName>
    <definedName name="_121__FDSAUDITLINK___1" localSheetId="8" hidden="1">{"fdsup://directions/FAT Viewer?action=UPDATE&amp;creator=factset&amp;DYN_ARGS=TRUE&amp;DOC_NAME=FAT:FQL_AUDITING_CLIENT_TEMPLATE.FAT&amp;display_string=Audit&amp;VAR:KEY=VQTQHIFOJM&amp;VAR:QUERY=RkZfRUJJVF9JQignQU5OJywzODYyNSwsLCwnR0JQJyk=&amp;WINDOW=FIRST_POPUP&amp;HEIGHT=450&amp;WIDTH=450&amp;","START_MAXIMIZED=FALSE&amp;VAR:CALENDAR=FIVEDAY&amp;VAR:SYMBOL=080216&amp;VAR:INDEX=0"}</definedName>
    <definedName name="_121__FDSAUDITLINK___1" hidden="1">{"fdsup://directions/FAT Viewer?action=UPDATE&amp;creator=factset&amp;DYN_ARGS=TRUE&amp;DOC_NAME=FAT:FQL_AUDITING_CLIENT_TEMPLATE.FAT&amp;display_string=Audit&amp;VAR:KEY=VQTQHIFOJM&amp;VAR:QUERY=RkZfRUJJVF9JQignQU5OJywzODYyNSwsLCwnR0JQJyk=&amp;WINDOW=FIRST_POPUP&amp;HEIGHT=450&amp;WIDTH=450&amp;","START_MAXIMIZED=FALSE&amp;VAR:CALENDAR=FIVEDAY&amp;VAR:SYMBOL=080216&amp;VAR:INDEX=0"}</definedName>
    <definedName name="_1210__FDSAUDITLINK__" localSheetId="8" hidden="1">{"fdsup://IBCentral/FAT Viewer?action=UPDATE&amp;creator=factset&amp;DOC_NAME=fat:reuters_qtrly_source_window.fat&amp;display_string=Audit&amp;DYN_ARGS=TRUE&amp;VAR:ID1=221353&amp;VAR:RCODE=LMIN&amp;VAR:SDATE=20070699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210__FDSAUDITLINK__" hidden="1">{"fdsup://IBCentral/FAT Viewer?action=UPDATE&amp;creator=factset&amp;DOC_NAME=fat:reuters_qtrly_source_window.fat&amp;display_string=Audit&amp;DYN_ARGS=TRUE&amp;VAR:ID1=221353&amp;VAR:RCODE=LMIN&amp;VAR:SDATE=20070699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211__FDSAUDITLINK__" localSheetId="8" hidden="1">{"fdsup://IBCentral/FAT Viewer?action=UPDATE&amp;creator=factset&amp;DOC_NAME=fat:reuters_qtrly_source_window.fat&amp;display_string=Audit&amp;DYN_ARGS=TRUE&amp;VAR:ID1=221353&amp;VAR:RCODE=STLD&amp;VAR:SDATE=20070699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211__FDSAUDITLINK__" hidden="1">{"fdsup://IBCentral/FAT Viewer?action=UPDATE&amp;creator=factset&amp;DOC_NAME=fat:reuters_qtrly_source_window.fat&amp;display_string=Audit&amp;DYN_ARGS=TRUE&amp;VAR:ID1=221353&amp;VAR:RCODE=STLD&amp;VAR:SDATE=20070699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212__FDSAUDITLINK__" localSheetId="8" hidden="1">{"fdsup://IBCentral/FAT Viewer?action=UPDATE&amp;creator=factset&amp;DOC_NAME=fat:reuters_qtrly_source_window.fat&amp;display_string=Audit&amp;DYN_ARGS=TRUE&amp;VAR:ID1=221353&amp;VAR:RCODE=SCSI&amp;VAR:SDATE=20070699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212__FDSAUDITLINK__" hidden="1">{"fdsup://IBCentral/FAT Viewer?action=UPDATE&amp;creator=factset&amp;DOC_NAME=fat:reuters_qtrly_source_window.fat&amp;display_string=Audit&amp;DYN_ARGS=TRUE&amp;VAR:ID1=221353&amp;VAR:RCODE=SCSI&amp;VAR:SDATE=20070699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213__FDSAUDITLINK__" localSheetId="8" hidden="1">{"fdsup://IBCentral/FAT Viewer?action=UPDATE&amp;creator=factset&amp;DOC_NAME=fat:reuters_annual_source_window.fat&amp;display_string=Audit&amp;DYN_ARGS=TRUE&amp;VAR:ID1=221353&amp;VAR:RCODE=FDSPFDSTKTOTAL&amp;VAR:SDATE=20061299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213__FDSAUDITLINK__" hidden="1">{"fdsup://IBCentral/FAT Viewer?action=UPDATE&amp;creator=factset&amp;DOC_NAME=fat:reuters_annual_source_window.fat&amp;display_string=Audit&amp;DYN_ARGS=TRUE&amp;VAR:ID1=221353&amp;VAR:RCODE=FDSPFDSTKTOTAL&amp;VAR:SDATE=20061299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214__FDSAUDITLINK__" localSheetId="8" hidden="1">{"fdsup://IBCentral/FAT Viewer?action=UPDATE&amp;creator=factset&amp;DOC_NAME=fat:reuters_annual_source_window.fat&amp;display_string=Audit&amp;DYN_ARGS=TRUE&amp;VAR:ID1=221353&amp;VAR:RCODE=AEQI&amp;VAR:SDATE=20061299&amp;VAR:FREQ=Y&amp;VAR:RELITEM=RP&amp;VAR:CURRENCY=USD&amp;VAR:CURRSOURCE=EXSHARE&amp;","VAR:NATFREQ=ANNUAL&amp;VAR:RFIELD=FINALIZED&amp;VAR:DB_TYPE=&amp;VAR:UNITS=M&amp;window=popup&amp;width=450&amp;height=300&amp;START_MAXIMIZED=FALSE"}</definedName>
    <definedName name="_1214__FDSAUDITLINK__" hidden="1">{"fdsup://IBCentral/FAT Viewer?action=UPDATE&amp;creator=factset&amp;DOC_NAME=fat:reuters_annual_source_window.fat&amp;display_string=Audit&amp;DYN_ARGS=TRUE&amp;VAR:ID1=221353&amp;VAR:RCODE=AEQI&amp;VAR:SDATE=20061299&amp;VAR:FREQ=Y&amp;VAR:RELITEM=RP&amp;VAR:CURRENCY=USD&amp;VAR:CURRSOURCE=EXSHARE&amp;","VAR:NATFREQ=ANNUAL&amp;VAR:RFIELD=FINALIZED&amp;VAR:DB_TYPE=&amp;VAR:UNITS=M&amp;window=popup&amp;width=450&amp;height=300&amp;START_MAXIMIZED=FALSE"}</definedName>
    <definedName name="_1215__FDSAUDITLINK__" localSheetId="8" hidden="1">{"fdsup://IBCentral/FAT Viewer?action=UPDATE&amp;creator=factset&amp;DOC_NAME=fat:reuters_qtrly_source_window.fat&amp;display_string=Audit&amp;DYN_ARGS=TRUE&amp;VAR:ID1=221353&amp;VAR:RCODE=LMIN&amp;VAR:SDATE=20070699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215__FDSAUDITLINK__" hidden="1">{"fdsup://IBCentral/FAT Viewer?action=UPDATE&amp;creator=factset&amp;DOC_NAME=fat:reuters_qtrly_source_window.fat&amp;display_string=Audit&amp;DYN_ARGS=TRUE&amp;VAR:ID1=221353&amp;VAR:RCODE=LMIN&amp;VAR:SDATE=20070699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216__FDSAUDITLINK__" localSheetId="8" hidden="1">{"fdsup://IBCentral/FAT Viewer?action=UPDATE&amp;creator=factset&amp;DOC_NAME=fat:reuters_qtrly_source_window.fat&amp;display_string=Audit&amp;DYN_ARGS=TRUE&amp;VAR:ID1=221353&amp;VAR:RCODE=STLD&amp;VAR:SDATE=20070699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216__FDSAUDITLINK__" hidden="1">{"fdsup://IBCentral/FAT Viewer?action=UPDATE&amp;creator=factset&amp;DOC_NAME=fat:reuters_qtrly_source_window.fat&amp;display_string=Audit&amp;DYN_ARGS=TRUE&amp;VAR:ID1=221353&amp;VAR:RCODE=STLD&amp;VAR:SDATE=20070699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217__FDSAUDITLINK__" localSheetId="8" hidden="1">{"fdsup://IBCentral/FAT Viewer?action=UPDATE&amp;creator=factset&amp;DOC_NAME=fat:reuters_qtrly_source_window.fat&amp;display_string=Audit&amp;DYN_ARGS=TRUE&amp;VAR:ID1=221353&amp;VAR:RCODE=SCSI&amp;VAR:SDATE=20070699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217__FDSAUDITLINK__" hidden="1">{"fdsup://IBCentral/FAT Viewer?action=UPDATE&amp;creator=factset&amp;DOC_NAME=fat:reuters_qtrly_source_window.fat&amp;display_string=Audit&amp;DYN_ARGS=TRUE&amp;VAR:ID1=221353&amp;VAR:RCODE=SCSI&amp;VAR:SDATE=20070699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218__FDSAUDITLINK__" localSheetId="8" hidden="1">{"fdsup://IBCentral/FAT Viewer?action=UPDATE&amp;creator=factset&amp;DOC_NAME=fat:reuters_annual_source_window.fat&amp;display_string=Audit&amp;DYN_ARGS=TRUE&amp;VAR:ID1=221353&amp;VAR:RCODE=FDSPFDSTKTOTAL&amp;VAR:SDATE=20061299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218__FDSAUDITLINK__" hidden="1">{"fdsup://IBCentral/FAT Viewer?action=UPDATE&amp;creator=factset&amp;DOC_NAME=fat:reuters_annual_source_window.fat&amp;display_string=Audit&amp;DYN_ARGS=TRUE&amp;VAR:ID1=221353&amp;VAR:RCODE=FDSPFDSTKTOTAL&amp;VAR:SDATE=20061299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219__FDSAUDITLINK__" localSheetId="8" hidden="1">{"fdsup://IBCentral/FAT Viewer?action=UPDATE&amp;creator=factset&amp;DOC_NAME=fat:reuters_annual_source_window.fat&amp;display_string=Audit&amp;DYN_ARGS=TRUE&amp;VAR:ID1=221353&amp;VAR:RCODE=AEQI&amp;VAR:SDATE=20061299&amp;VAR:FREQ=Y&amp;VAR:RELITEM=RP&amp;VAR:CURRENCY=USD&amp;VAR:CURRSOURCE=EXSHARE&amp;","VAR:NATFREQ=ANNUAL&amp;VAR:RFIELD=FINALIZED&amp;VAR:DB_TYPE=&amp;VAR:UNITS=M&amp;window=popup&amp;width=450&amp;height=300&amp;START_MAXIMIZED=FALSE"}</definedName>
    <definedName name="_1219__FDSAUDITLINK__" hidden="1">{"fdsup://IBCentral/FAT Viewer?action=UPDATE&amp;creator=factset&amp;DOC_NAME=fat:reuters_annual_source_window.fat&amp;display_string=Audit&amp;DYN_ARGS=TRUE&amp;VAR:ID1=221353&amp;VAR:RCODE=AEQI&amp;VAR:SDATE=20061299&amp;VAR:FREQ=Y&amp;VAR:RELITEM=RP&amp;VAR:CURRENCY=USD&amp;VAR:CURRSOURCE=EXSHARE&amp;","VAR:NATFREQ=ANNUAL&amp;VAR:RFIELD=FINALIZED&amp;VAR:DB_TYPE=&amp;VAR:UNITS=M&amp;window=popup&amp;width=450&amp;height=300&amp;START_MAXIMIZED=FALSE"}</definedName>
    <definedName name="_122__123Graph_XCHART_33" localSheetId="8" hidden="1">#REF!</definedName>
    <definedName name="_122__123Graph_XCHART_33" hidden="1">#REF!</definedName>
    <definedName name="_122__FDSAUDITLINK__" localSheetId="8" hidden="1">{"fdsup://directions/FAT Viewer?action=UPDATE&amp;creator=factset&amp;DYN_ARGS=TRUE&amp;DOC_NAME=FAT:FQL_AUDITING_CLIENT_TEMPLATE.FAT&amp;display_string=Audit&amp;VAR:KEY=POTQLWBSHA&amp;VAR:QUERY=RkZfRUJJVF9JQignQU5OJywzODI2MCwsLCwnR0JQJyk=&amp;WINDOW=FIRST_POPUP&amp;HEIGHT=450&amp;WIDTH=450&amp;","START_MAXIMIZED=FALSE&amp;VAR:CALENDAR=FIVEDAY&amp;VAR:SYMBOL=080216&amp;VAR:INDEX=0"}</definedName>
    <definedName name="_122__FDSAUDITLINK__" hidden="1">{"fdsup://directions/FAT Viewer?action=UPDATE&amp;creator=factset&amp;DYN_ARGS=TRUE&amp;DOC_NAME=FAT:FQL_AUDITING_CLIENT_TEMPLATE.FAT&amp;display_string=Audit&amp;VAR:KEY=CHADKZUXMF&amp;VAR:QUERY=RkZfRVBTX0RJTChDQUwsMjAwOSk=&amp;WINDOW=FIRST_POPUP&amp;HEIGHT=450&amp;WIDTH=450&amp;START_MAXIMIZED=","FALSE&amp;VAR:CALENDAR=US&amp;VAR:SYMBOL=VMC&amp;VAR:INDEX=0"}</definedName>
    <definedName name="_122__FDSAUDITLINK___1" localSheetId="8" hidden="1">{"fdsup://directions/FAT Viewer?action=UPDATE&amp;creator=factset&amp;DYN_ARGS=TRUE&amp;DOC_NAME=FAT:FQL_AUDITING_CLIENT_TEMPLATE.FAT&amp;display_string=Audit&amp;VAR:KEY=POTQLWBSHA&amp;VAR:QUERY=RkZfRUJJVF9JQignQU5OJywzODI2MCwsLCwnR0JQJyk=&amp;WINDOW=FIRST_POPUP&amp;HEIGHT=450&amp;WIDTH=450&amp;","START_MAXIMIZED=FALSE&amp;VAR:CALENDAR=FIVEDAY&amp;VAR:SYMBOL=080216&amp;VAR:INDEX=0"}</definedName>
    <definedName name="_122__FDSAUDITLINK___1" hidden="1">{"fdsup://directions/FAT Viewer?action=UPDATE&amp;creator=factset&amp;DYN_ARGS=TRUE&amp;DOC_NAME=FAT:FQL_AUDITING_CLIENT_TEMPLATE.FAT&amp;display_string=Audit&amp;VAR:KEY=POTQLWBSHA&amp;VAR:QUERY=RkZfRUJJVF9JQignQU5OJywzODI2MCwsLCwnR0JQJyk=&amp;WINDOW=FIRST_POPUP&amp;HEIGHT=450&amp;WIDTH=450&amp;","START_MAXIMIZED=FALSE&amp;VAR:CALENDAR=FIVEDAY&amp;VAR:SYMBOL=080216&amp;VAR:INDEX=0"}</definedName>
    <definedName name="_1220__FDSAUDITLINK__" localSheetId="8" hidden="1">{"fdsup://IBCentral/FAT Viewer?action=UPDATE&amp;creator=factset&amp;DOC_NAME=fat:reuters_qtrly_source_window.fat&amp;display_string=Audit&amp;DYN_ARGS=TRUE&amp;VAR:ID1=221353&amp;VAR:RCODE=LMIN&amp;VAR:SDATE=20070999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220__FDSAUDITLINK__" hidden="1">{"fdsup://IBCentral/FAT Viewer?action=UPDATE&amp;creator=factset&amp;DOC_NAME=fat:reuters_qtrly_source_window.fat&amp;display_string=Audit&amp;DYN_ARGS=TRUE&amp;VAR:ID1=221353&amp;VAR:RCODE=LMIN&amp;VAR:SDATE=20070999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221__FDSAUDITLINK__" localSheetId="8" hidden="1">{"fdsup://IBCentral/FAT Viewer?action=UPDATE&amp;creator=factset&amp;DOC_NAME=fat:reuters_qtrly_source_window.fat&amp;display_string=Audit&amp;DYN_ARGS=TRUE&amp;VAR:ID1=221353&amp;VAR:RCODE=STLD&amp;VAR:SDATE=20070999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221__FDSAUDITLINK__" hidden="1">{"fdsup://IBCentral/FAT Viewer?action=UPDATE&amp;creator=factset&amp;DOC_NAME=fat:reuters_qtrly_source_window.fat&amp;display_string=Audit&amp;DYN_ARGS=TRUE&amp;VAR:ID1=221353&amp;VAR:RCODE=STLD&amp;VAR:SDATE=20070999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222__FDSAUDITLINK__" localSheetId="8" hidden="1">{"fdsup://IBCentral/FAT Viewer?action=UPDATE&amp;creator=factset&amp;DOC_NAME=fat:reuters_qtrly_source_window.fat&amp;display_string=Audit&amp;DYN_ARGS=TRUE&amp;VAR:ID1=221353&amp;VAR:RCODE=SCSI&amp;VAR:SDATE=20070999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222__FDSAUDITLINK__" hidden="1">{"fdsup://IBCentral/FAT Viewer?action=UPDATE&amp;creator=factset&amp;DOC_NAME=fat:reuters_qtrly_source_window.fat&amp;display_string=Audit&amp;DYN_ARGS=TRUE&amp;VAR:ID1=221353&amp;VAR:RCODE=SCSI&amp;VAR:SDATE=20070999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223__FDSAUDITLINK__" localSheetId="8" hidden="1">{"fdsup://IBCentral/FAT Viewer?action=UPDATE&amp;creator=factset&amp;DOC_NAME=fat:reuters_annual_source_window.fat&amp;display_string=Audit&amp;DYN_ARGS=TRUE&amp;VAR:ID1=221353&amp;VAR:RCODE=FDSPFDSTKTOTAL&amp;VAR:SDATE=20061299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223__FDSAUDITLINK__" hidden="1">{"fdsup://IBCentral/FAT Viewer?action=UPDATE&amp;creator=factset&amp;DOC_NAME=fat:reuters_annual_source_window.fat&amp;display_string=Audit&amp;DYN_ARGS=TRUE&amp;VAR:ID1=221353&amp;VAR:RCODE=FDSPFDSTKTOTAL&amp;VAR:SDATE=20061299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224__FDSAUDITLINK__" localSheetId="8" hidden="1">{"fdsup://IBCentral/FAT Viewer?action=UPDATE&amp;creator=factset&amp;DOC_NAME=fat:reuters_annual_source_window.fat&amp;display_string=Audit&amp;DYN_ARGS=TRUE&amp;VAR:ID1=221353&amp;VAR:RCODE=AEQI&amp;VAR:SDATE=20061299&amp;VAR:FREQ=Y&amp;VAR:RELITEM=RP&amp;VAR:CURRENCY=USD&amp;VAR:CURRSOURCE=EXSHARE&amp;","VAR:NATFREQ=ANNUAL&amp;VAR:RFIELD=FINALIZED&amp;VAR:DB_TYPE=&amp;VAR:UNITS=M&amp;window=popup&amp;width=450&amp;height=300&amp;START_MAXIMIZED=FALSE"}</definedName>
    <definedName name="_1224__FDSAUDITLINK__" hidden="1">{"fdsup://IBCentral/FAT Viewer?action=UPDATE&amp;creator=factset&amp;DOC_NAME=fat:reuters_annual_source_window.fat&amp;display_string=Audit&amp;DYN_ARGS=TRUE&amp;VAR:ID1=221353&amp;VAR:RCODE=AEQI&amp;VAR:SDATE=20061299&amp;VAR:FREQ=Y&amp;VAR:RELITEM=RP&amp;VAR:CURRENCY=USD&amp;VAR:CURRSOURCE=EXSHARE&amp;","VAR:NATFREQ=ANNUAL&amp;VAR:RFIELD=FINALIZED&amp;VAR:DB_TYPE=&amp;VAR:UNITS=M&amp;window=popup&amp;width=450&amp;height=300&amp;START_MAXIMIZED=FALSE"}</definedName>
    <definedName name="_1225__FDSAUDITLINK__" localSheetId="8" hidden="1">{"fdsup://IBCentral/FAT Viewer?action=UPDATE&amp;creator=factset&amp;DOC_NAME=fat:reuters_qtrly_source_window.fat&amp;display_string=Audit&amp;DYN_ARGS=TRUE&amp;VAR:ID1=221353&amp;VAR:RCODE=LMIN&amp;VAR:SDATE=20070999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225__FDSAUDITLINK__" hidden="1">{"fdsup://IBCentral/FAT Viewer?action=UPDATE&amp;creator=factset&amp;DOC_NAME=fat:reuters_qtrly_source_window.fat&amp;display_string=Audit&amp;DYN_ARGS=TRUE&amp;VAR:ID1=221353&amp;VAR:RCODE=LMIN&amp;VAR:SDATE=20070999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226__FDSAUDITLINK__" localSheetId="8" hidden="1">{"fdsup://IBCentral/FAT Viewer?action=UPDATE&amp;creator=factset&amp;DOC_NAME=fat:reuters_qtrly_source_window.fat&amp;display_string=Audit&amp;DYN_ARGS=TRUE&amp;VAR:ID1=221353&amp;VAR:RCODE=STLD&amp;VAR:SDATE=20070999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226__FDSAUDITLINK__" hidden="1">{"fdsup://IBCentral/FAT Viewer?action=UPDATE&amp;creator=factset&amp;DOC_NAME=fat:reuters_qtrly_source_window.fat&amp;display_string=Audit&amp;DYN_ARGS=TRUE&amp;VAR:ID1=221353&amp;VAR:RCODE=STLD&amp;VAR:SDATE=20070999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227__FDSAUDITLINK__" localSheetId="8" hidden="1">{"fdsup://IBCentral/FAT Viewer?action=UPDATE&amp;creator=factset&amp;DOC_NAME=fat:reuters_qtrly_source_window.fat&amp;display_string=Audit&amp;DYN_ARGS=TRUE&amp;VAR:ID1=221353&amp;VAR:RCODE=SCSI&amp;VAR:SDATE=20070999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227__FDSAUDITLINK__" hidden="1">{"fdsup://IBCentral/FAT Viewer?action=UPDATE&amp;creator=factset&amp;DOC_NAME=fat:reuters_qtrly_source_window.fat&amp;display_string=Audit&amp;DYN_ARGS=TRUE&amp;VAR:ID1=221353&amp;VAR:RCODE=SCSI&amp;VAR:SDATE=20070999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228__FDSAUDITLINK__" localSheetId="8" hidden="1">{"fdsup://IBCentral/FAT Viewer?action=UPDATE&amp;creator=factset&amp;DOC_NAME=fat:reuters_annual_source_window.fat&amp;display_string=Audit&amp;DYN_ARGS=TRUE&amp;VAR:ID1=221353&amp;VAR:RCODE=FDSPFDSTKTOTAL&amp;VAR:SDATE=20061299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228__FDSAUDITLINK__" hidden="1">{"fdsup://IBCentral/FAT Viewer?action=UPDATE&amp;creator=factset&amp;DOC_NAME=fat:reuters_annual_source_window.fat&amp;display_string=Audit&amp;DYN_ARGS=TRUE&amp;VAR:ID1=221353&amp;VAR:RCODE=FDSPFDSTKTOTAL&amp;VAR:SDATE=20061299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229__FDSAUDITLINK__" localSheetId="8" hidden="1">{"fdsup://IBCentral/FAT Viewer?action=UPDATE&amp;creator=factset&amp;DOC_NAME=fat:reuters_annual_source_window.fat&amp;display_string=Audit&amp;DYN_ARGS=TRUE&amp;VAR:ID1=221353&amp;VAR:RCODE=AEQI&amp;VAR:SDATE=20061299&amp;VAR:FREQ=Y&amp;VAR:RELITEM=RP&amp;VAR:CURRENCY=USD&amp;VAR:CURRSOURCE=EXSHARE&amp;","VAR:NATFREQ=ANNUAL&amp;VAR:RFIELD=FINALIZED&amp;VAR:DB_TYPE=&amp;VAR:UNITS=M&amp;window=popup&amp;width=450&amp;height=300&amp;START_MAXIMIZED=FALSE"}</definedName>
    <definedName name="_1229__FDSAUDITLINK__" hidden="1">{"fdsup://IBCentral/FAT Viewer?action=UPDATE&amp;creator=factset&amp;DOC_NAME=fat:reuters_annual_source_window.fat&amp;display_string=Audit&amp;DYN_ARGS=TRUE&amp;VAR:ID1=221353&amp;VAR:RCODE=AEQI&amp;VAR:SDATE=20061299&amp;VAR:FREQ=Y&amp;VAR:RELITEM=RP&amp;VAR:CURRENCY=USD&amp;VAR:CURRSOURCE=EXSHARE&amp;","VAR:NATFREQ=ANNUAL&amp;VAR:RFIELD=FINALIZED&amp;VAR:DB_TYPE=&amp;VAR:UNITS=M&amp;window=popup&amp;width=450&amp;height=300&amp;START_MAXIMIZED=FALSE"}</definedName>
    <definedName name="_123" hidden="1">#REF!</definedName>
    <definedName name="_123__123Graph_XCHART_34" localSheetId="8" hidden="1">#REF!</definedName>
    <definedName name="_123__123Graph_XCHART_34" hidden="1">#REF!</definedName>
    <definedName name="_123__FDSAUDITLINK__" localSheetId="8" hidden="1">{"fdsup://directions/FAT Viewer?action=UPDATE&amp;creator=factset&amp;DYN_ARGS=TRUE&amp;DOC_NAME=FAT:FQL_AUDITING_CLIENT_TEMPLATE.FAT&amp;display_string=Audit&amp;VAR:KEY=DEHMBMPQFE&amp;VAR:QUERY=RkZfRUJJVF9JQignQU5OJywzNzg5NCwsLCwnR0JQJyk=&amp;WINDOW=FIRST_POPUP&amp;HEIGHT=450&amp;WIDTH=450&amp;","START_MAXIMIZED=FALSE&amp;VAR:CALENDAR=FIVEDAY&amp;VAR:SYMBOL=080216&amp;VAR:INDEX=0"}</definedName>
    <definedName name="_123__FDSAUDITLINK__" hidden="1">{"fdsup://directions/FAT Viewer?action=UPDATE&amp;creator=factset&amp;DYN_ARGS=TRUE&amp;DOC_NAME=FAT:FQL_AUDITING_CLIENT_TEMPLATE.FAT&amp;display_string=Audit&amp;VAR:KEY=WNCNYBILAP&amp;VAR:QUERY=RkZfRVBTX0RJTChDQUwsMjAwOSk=&amp;WINDOW=FIRST_POPUP&amp;HEIGHT=450&amp;WIDTH=450&amp;START_MAXIMIZED=","FALSE&amp;VAR:CALENDAR=US&amp;VAR:SYMBOL=MCEM&amp;VAR:INDEX=0"}</definedName>
    <definedName name="_123__FDSAUDITLINK___1" localSheetId="8" hidden="1">{"fdsup://directions/FAT Viewer?action=UPDATE&amp;creator=factset&amp;DYN_ARGS=TRUE&amp;DOC_NAME=FAT:FQL_AUDITING_CLIENT_TEMPLATE.FAT&amp;display_string=Audit&amp;VAR:KEY=DEHMBMPQFE&amp;VAR:QUERY=RkZfRUJJVF9JQignQU5OJywzNzg5NCwsLCwnR0JQJyk=&amp;WINDOW=FIRST_POPUP&amp;HEIGHT=450&amp;WIDTH=450&amp;","START_MAXIMIZED=FALSE&amp;VAR:CALENDAR=FIVEDAY&amp;VAR:SYMBOL=080216&amp;VAR:INDEX=0"}</definedName>
    <definedName name="_123__FDSAUDITLINK___1" hidden="1">{"fdsup://directions/FAT Viewer?action=UPDATE&amp;creator=factset&amp;DYN_ARGS=TRUE&amp;DOC_NAME=FAT:FQL_AUDITING_CLIENT_TEMPLATE.FAT&amp;display_string=Audit&amp;VAR:KEY=DEHMBMPQFE&amp;VAR:QUERY=RkZfRUJJVF9JQignQU5OJywzNzg5NCwsLCwnR0JQJyk=&amp;WINDOW=FIRST_POPUP&amp;HEIGHT=450&amp;WIDTH=450&amp;","START_MAXIMIZED=FALSE&amp;VAR:CALENDAR=FIVEDAY&amp;VAR:SYMBOL=080216&amp;VAR:INDEX=0"}</definedName>
    <definedName name="_1230__FDSAUDITLINK__" localSheetId="8" hidden="1">{"fdsup://IBCentral/FAT Viewer?action=UPDATE&amp;creator=factset&amp;DOC_NAME=fat:reuters_qtrly_source_window.fat&amp;display_string=Audit&amp;DYN_ARGS=TRUE&amp;VAR:ID1=221353&amp;VAR:RCODE=LMIN&amp;VAR:SDATE=20070999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230__FDSAUDITLINK__" hidden="1">{"fdsup://IBCentral/FAT Viewer?action=UPDATE&amp;creator=factset&amp;DOC_NAME=fat:reuters_qtrly_source_window.fat&amp;display_string=Audit&amp;DYN_ARGS=TRUE&amp;VAR:ID1=221353&amp;VAR:RCODE=LMIN&amp;VAR:SDATE=20070999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231__FDSAUDITLINK__" localSheetId="8" hidden="1">{"fdsup://IBCentral/FAT Viewer?action=UPDATE&amp;creator=factset&amp;DOC_NAME=fat:reuters_qtrly_source_window.fat&amp;display_string=Audit&amp;DYN_ARGS=TRUE&amp;VAR:ID1=221353&amp;VAR:RCODE=STLD&amp;VAR:SDATE=20070999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231__FDSAUDITLINK__" hidden="1">{"fdsup://IBCentral/FAT Viewer?action=UPDATE&amp;creator=factset&amp;DOC_NAME=fat:reuters_qtrly_source_window.fat&amp;display_string=Audit&amp;DYN_ARGS=TRUE&amp;VAR:ID1=221353&amp;VAR:RCODE=STLD&amp;VAR:SDATE=20070999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232__FDSAUDITLINK__" localSheetId="8" hidden="1">{"fdsup://IBCentral/FAT Viewer?action=UPDATE&amp;creator=factset&amp;DOC_NAME=fat:reuters_qtrly_source_window.fat&amp;display_string=Audit&amp;DYN_ARGS=TRUE&amp;VAR:ID1=221353&amp;VAR:RCODE=SCSI&amp;VAR:SDATE=20070999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232__FDSAUDITLINK__" hidden="1">{"fdsup://IBCentral/FAT Viewer?action=UPDATE&amp;creator=factset&amp;DOC_NAME=fat:reuters_qtrly_source_window.fat&amp;display_string=Audit&amp;DYN_ARGS=TRUE&amp;VAR:ID1=221353&amp;VAR:RCODE=SCSI&amp;VAR:SDATE=20070999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233__FDSAUDITLINK__" localSheetId="8" hidden="1">{"fdsup://IBCentral/FAT Viewer?action=UPDATE&amp;creator=factset&amp;DOC_NAME=fat:reuters_annual_source_window.fat&amp;display_string=Audit&amp;DYN_ARGS=TRUE&amp;VAR:ID1=221353&amp;VAR:RCODE=FDSPFDSTKTOTAL&amp;VAR:SDATE=20061299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233__FDSAUDITLINK__" hidden="1">{"fdsup://IBCentral/FAT Viewer?action=UPDATE&amp;creator=factset&amp;DOC_NAME=fat:reuters_annual_source_window.fat&amp;display_string=Audit&amp;DYN_ARGS=TRUE&amp;VAR:ID1=221353&amp;VAR:RCODE=FDSPFDSTKTOTAL&amp;VAR:SDATE=20061299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234__FDSAUDITLINK__" localSheetId="8" hidden="1">{"fdsup://IBCentral/FAT Viewer?action=UPDATE&amp;creator=factset&amp;DOC_NAME=fat:reuters_annual_source_window.fat&amp;display_string=Audit&amp;DYN_ARGS=TRUE&amp;VAR:ID1=221353&amp;VAR:RCODE=AEQI&amp;VAR:SDATE=20061299&amp;VAR:FREQ=Y&amp;VAR:RELITEM=RP&amp;VAR:CURRENCY=USD&amp;VAR:CURRSOURCE=EXSHARE&amp;","VAR:NATFREQ=ANNUAL&amp;VAR:RFIELD=FINALIZED&amp;VAR:DB_TYPE=&amp;VAR:UNITS=M&amp;window=popup&amp;width=450&amp;height=300&amp;START_MAXIMIZED=FALSE"}</definedName>
    <definedName name="_1234__FDSAUDITLINK__" hidden="1">{"fdsup://IBCentral/FAT Viewer?action=UPDATE&amp;creator=factset&amp;DOC_NAME=fat:reuters_annual_source_window.fat&amp;display_string=Audit&amp;DYN_ARGS=TRUE&amp;VAR:ID1=221353&amp;VAR:RCODE=AEQI&amp;VAR:SDATE=20061299&amp;VAR:FREQ=Y&amp;VAR:RELITEM=RP&amp;VAR:CURRENCY=USD&amp;VAR:CURRSOURCE=EXSHARE&amp;","VAR:NATFREQ=ANNUAL&amp;VAR:RFIELD=FINALIZED&amp;VAR:DB_TYPE=&amp;VAR:UNITS=M&amp;window=popup&amp;width=450&amp;height=300&amp;START_MAXIMIZED=FALSE"}</definedName>
    <definedName name="_1234Grafh_F" hidden="1">#REF!</definedName>
    <definedName name="_1235__FDSAUDITLINK__" localSheetId="8" hidden="1">{"fdsup://IBCentral/FAT Viewer?action=UPDATE&amp;creator=factset&amp;DOC_NAME=fat:reuters_qtrly_source_window.fat&amp;display_string=Audit&amp;DYN_ARGS=TRUE&amp;VAR:ID1=221353&amp;VAR:RCODE=LMIN&amp;VAR:SDATE=20070999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235__FDSAUDITLINK__" hidden="1">{"fdsup://IBCentral/FAT Viewer?action=UPDATE&amp;creator=factset&amp;DOC_NAME=fat:reuters_qtrly_source_window.fat&amp;display_string=Audit&amp;DYN_ARGS=TRUE&amp;VAR:ID1=221353&amp;VAR:RCODE=LMIN&amp;VAR:SDATE=20070999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236__FDSAUDITLINK__" localSheetId="8" hidden="1">{"fdsup://IBCentral/FAT Viewer?action=UPDATE&amp;creator=factset&amp;DOC_NAME=fat:reuters_qtrly_source_window.fat&amp;display_string=Audit&amp;DYN_ARGS=TRUE&amp;VAR:ID1=221353&amp;VAR:RCODE=STLD&amp;VAR:SDATE=20070999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236__FDSAUDITLINK__" hidden="1">{"fdsup://IBCentral/FAT Viewer?action=UPDATE&amp;creator=factset&amp;DOC_NAME=fat:reuters_qtrly_source_window.fat&amp;display_string=Audit&amp;DYN_ARGS=TRUE&amp;VAR:ID1=221353&amp;VAR:RCODE=STLD&amp;VAR:SDATE=20070999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237__FDSAUDITLINK__" localSheetId="8" hidden="1">{"fdsup://IBCentral/FAT Viewer?action=UPDATE&amp;creator=factset&amp;DOC_NAME=fat:reuters_qtrly_source_window.fat&amp;display_string=Audit&amp;DYN_ARGS=TRUE&amp;VAR:ID1=221353&amp;VAR:RCODE=SCSI&amp;VAR:SDATE=20070999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237__FDSAUDITLINK__" hidden="1">{"fdsup://IBCentral/FAT Viewer?action=UPDATE&amp;creator=factset&amp;DOC_NAME=fat:reuters_qtrly_source_window.fat&amp;display_string=Audit&amp;DYN_ARGS=TRUE&amp;VAR:ID1=221353&amp;VAR:RCODE=SCSI&amp;VAR:SDATE=20070999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238__FDSAUDITLINK__" localSheetId="8" hidden="1">{"fdsup://IBCentral/FAT Viewer?action=UPDATE&amp;creator=factset&amp;DOC_NAME=fat:reuters_annual_source_window.fat&amp;display_string=Audit&amp;DYN_ARGS=TRUE&amp;VAR:ID1=221353&amp;VAR:RCODE=FDSPFDSTKTOTAL&amp;VAR:SDATE=20061299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238__FDSAUDITLINK__" hidden="1">{"fdsup://IBCentral/FAT Viewer?action=UPDATE&amp;creator=factset&amp;DOC_NAME=fat:reuters_annual_source_window.fat&amp;display_string=Audit&amp;DYN_ARGS=TRUE&amp;VAR:ID1=221353&amp;VAR:RCODE=FDSPFDSTKTOTAL&amp;VAR:SDATE=20061299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239__FDSAUDITLINK__" localSheetId="8" hidden="1">{"fdsup://IBCentral/FAT Viewer?action=UPDATE&amp;creator=factset&amp;DOC_NAME=fat:reuters_annual_source_window.fat&amp;display_string=Audit&amp;DYN_ARGS=TRUE&amp;VAR:ID1=221353&amp;VAR:RCODE=AEQI&amp;VAR:SDATE=20061299&amp;VAR:FREQ=Y&amp;VAR:RELITEM=RP&amp;VAR:CURRENCY=USD&amp;VAR:CURRSOURCE=EXSHARE&amp;","VAR:NATFREQ=ANNUAL&amp;VAR:RFIELD=FINALIZED&amp;VAR:DB_TYPE=&amp;VAR:UNITS=M&amp;window=popup&amp;width=450&amp;height=300&amp;START_MAXIMIZED=FALSE"}</definedName>
    <definedName name="_1239__FDSAUDITLINK__" hidden="1">{"fdsup://IBCentral/FAT Viewer?action=UPDATE&amp;creator=factset&amp;DOC_NAME=fat:reuters_annual_source_window.fat&amp;display_string=Audit&amp;DYN_ARGS=TRUE&amp;VAR:ID1=221353&amp;VAR:RCODE=AEQI&amp;VAR:SDATE=20061299&amp;VAR:FREQ=Y&amp;VAR:RELITEM=RP&amp;VAR:CURRENCY=USD&amp;VAR:CURRSOURCE=EXSHARE&amp;","VAR:NATFREQ=ANNUAL&amp;VAR:RFIELD=FINALIZED&amp;VAR:DB_TYPE=&amp;VAR:UNITS=M&amp;window=popup&amp;width=450&amp;height=300&amp;START_MAXIMIZED=FALSE"}</definedName>
    <definedName name="_123Graph_AChart2" hidden="1">#REF!</definedName>
    <definedName name="_123Graph_B" localSheetId="8" hidden="1">#REF!</definedName>
    <definedName name="_123Graph_B" hidden="1">#REF!</definedName>
    <definedName name="_124__123Graph_LBL_ACHART_21" hidden="1">#REF!</definedName>
    <definedName name="_124__123Graph_XCHART_4" localSheetId="8" hidden="1">#REF!</definedName>
    <definedName name="_124__123Graph_XCHART_4" hidden="1">#REF!</definedName>
    <definedName name="_124__FDSAUDITLINK__" localSheetId="8" hidden="1">{"fdsup://directions/FAT Viewer?action=UPDATE&amp;creator=factset&amp;DYN_ARGS=TRUE&amp;DOC_NAME=FAT:FQL_AUDITING_CLIENT_TEMPLATE.FAT&amp;display_string=Audit&amp;VAR:KEY=HONEDELMRS&amp;VAR:QUERY=RkZfRUJJVF9JQignQU5OJywzNzUyOSwsLCwnR0JQJyk=&amp;WINDOW=FIRST_POPUP&amp;HEIGHT=450&amp;WIDTH=450&amp;","START_MAXIMIZED=FALSE&amp;VAR:CALENDAR=FIVEDAY&amp;VAR:SYMBOL=080216&amp;VAR:INDEX=0"}</definedName>
    <definedName name="_124__FDSAUDITLINK__" hidden="1">{"fdsup://directions/FAT Viewer?action=UPDATE&amp;creator=factset&amp;DYN_ARGS=TRUE&amp;DOC_NAME=FAT:FQL_AUDITING_CLIENT_TEMPLATE.FAT&amp;display_string=Audit&amp;VAR:KEY=WZGVWRYDEH&amp;VAR:QUERY=RkZfRVBTX0RJTChDQUwsMjAwOSk=&amp;WINDOW=FIRST_POPUP&amp;HEIGHT=450&amp;WIDTH=450&amp;START_MAXIMIZED=","FALSE&amp;VAR:CALENDAR=US&amp;VAR:SYMBOL=TXI&amp;VAR:INDEX=0"}</definedName>
    <definedName name="_124__FDSAUDITLINK___1" localSheetId="8" hidden="1">{"fdsup://directions/FAT Viewer?action=UPDATE&amp;creator=factset&amp;DYN_ARGS=TRUE&amp;DOC_NAME=FAT:FQL_AUDITING_CLIENT_TEMPLATE.FAT&amp;display_string=Audit&amp;VAR:KEY=HONEDELMRS&amp;VAR:QUERY=RkZfRUJJVF9JQignQU5OJywzNzUyOSwsLCwnR0JQJyk=&amp;WINDOW=FIRST_POPUP&amp;HEIGHT=450&amp;WIDTH=450&amp;","START_MAXIMIZED=FALSE&amp;VAR:CALENDAR=FIVEDAY&amp;VAR:SYMBOL=080216&amp;VAR:INDEX=0"}</definedName>
    <definedName name="_124__FDSAUDITLINK___1" hidden="1">{"fdsup://directions/FAT Viewer?action=UPDATE&amp;creator=factset&amp;DYN_ARGS=TRUE&amp;DOC_NAME=FAT:FQL_AUDITING_CLIENT_TEMPLATE.FAT&amp;display_string=Audit&amp;VAR:KEY=HONEDELMRS&amp;VAR:QUERY=RkZfRUJJVF9JQignQU5OJywzNzUyOSwsLCwnR0JQJyk=&amp;WINDOW=FIRST_POPUP&amp;HEIGHT=450&amp;WIDTH=450&amp;","START_MAXIMIZED=FALSE&amp;VAR:CALENDAR=FIVEDAY&amp;VAR:SYMBOL=080216&amp;VAR:INDEX=0"}</definedName>
    <definedName name="_1240__FDSAUDITLINK__" localSheetId="8" hidden="1">{"fdsup://IBCentral/FAT Viewer?action=UPDATE&amp;creator=factset&amp;DOC_NAME=fat:reuters_qtrly_source_window.fat&amp;display_string=Audit&amp;DYN_ARGS=TRUE&amp;VAR:ID1=221353&amp;VAR:RCODE=LMIN&amp;VAR:SDATE=20070999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240__FDSAUDITLINK__" hidden="1">{"fdsup://IBCentral/FAT Viewer?action=UPDATE&amp;creator=factset&amp;DOC_NAME=fat:reuters_qtrly_source_window.fat&amp;display_string=Audit&amp;DYN_ARGS=TRUE&amp;VAR:ID1=221353&amp;VAR:RCODE=LMIN&amp;VAR:SDATE=20070999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241__FDSAUDITLINK__" localSheetId="8" hidden="1">{"fdsup://IBCentral/FAT Viewer?action=UPDATE&amp;creator=factset&amp;DOC_NAME=fat:reuters_qtrly_source_window.fat&amp;display_string=Audit&amp;DYN_ARGS=TRUE&amp;VAR:ID1=221353&amp;VAR:RCODE=STLD&amp;VAR:SDATE=20070999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241__FDSAUDITLINK__" hidden="1">{"fdsup://IBCentral/FAT Viewer?action=UPDATE&amp;creator=factset&amp;DOC_NAME=fat:reuters_qtrly_source_window.fat&amp;display_string=Audit&amp;DYN_ARGS=TRUE&amp;VAR:ID1=221353&amp;VAR:RCODE=STLD&amp;VAR:SDATE=20070999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242__FDSAUDITLINK__" localSheetId="8" hidden="1">{"fdsup://IBCentral/FAT Viewer?action=UPDATE&amp;creator=factset&amp;DOC_NAME=fat:reuters_qtrly_source_window.fat&amp;display_string=Audit&amp;DYN_ARGS=TRUE&amp;VAR:ID1=221353&amp;VAR:RCODE=SCSI&amp;VAR:SDATE=20070999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242__FDSAUDITLINK__" hidden="1">{"fdsup://IBCentral/FAT Viewer?action=UPDATE&amp;creator=factset&amp;DOC_NAME=fat:reuters_qtrly_source_window.fat&amp;display_string=Audit&amp;DYN_ARGS=TRUE&amp;VAR:ID1=221353&amp;VAR:RCODE=SCSI&amp;VAR:SDATE=20070999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243__FDSAUDITLINK__" localSheetId="8" hidden="1">{"fdsup://IBCentral/FAT Viewer?action=UPDATE&amp;creator=factset&amp;DOC_NAME=fat:reuters_annual_source_window.fat&amp;display_string=Audit&amp;DYN_ARGS=TRUE&amp;VAR:ID1=221353&amp;VAR:RCODE=FDSPFDSTKTOTAL&amp;VAR:SDATE=20061299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243__FDSAUDITLINK__" hidden="1">{"fdsup://IBCentral/FAT Viewer?action=UPDATE&amp;creator=factset&amp;DOC_NAME=fat:reuters_annual_source_window.fat&amp;display_string=Audit&amp;DYN_ARGS=TRUE&amp;VAR:ID1=221353&amp;VAR:RCODE=FDSPFDSTKTOTAL&amp;VAR:SDATE=20061299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244__FDSAUDITLINK__" localSheetId="8" hidden="1">{"fdsup://IBCentral/FAT Viewer?action=UPDATE&amp;creator=factset&amp;DOC_NAME=fat:reuters_annual_source_window.fat&amp;display_string=Audit&amp;DYN_ARGS=TRUE&amp;VAR:ID1=221353&amp;VAR:RCODE=AEQI&amp;VAR:SDATE=20061299&amp;VAR:FREQ=Y&amp;VAR:RELITEM=RP&amp;VAR:CURRENCY=USD&amp;VAR:CURRSOURCE=EXSHARE&amp;","VAR:NATFREQ=ANNUAL&amp;VAR:RFIELD=FINALIZED&amp;VAR:DB_TYPE=&amp;VAR:UNITS=M&amp;window=popup&amp;width=450&amp;height=300&amp;START_MAXIMIZED=FALSE"}</definedName>
    <definedName name="_1244__FDSAUDITLINK__" hidden="1">{"fdsup://IBCentral/FAT Viewer?action=UPDATE&amp;creator=factset&amp;DOC_NAME=fat:reuters_annual_source_window.fat&amp;display_string=Audit&amp;DYN_ARGS=TRUE&amp;VAR:ID1=221353&amp;VAR:RCODE=AEQI&amp;VAR:SDATE=20061299&amp;VAR:FREQ=Y&amp;VAR:RELITEM=RP&amp;VAR:CURRENCY=USD&amp;VAR:CURRSOURCE=EXSHARE&amp;","VAR:NATFREQ=ANNUAL&amp;VAR:RFIELD=FINALIZED&amp;VAR:DB_TYPE=&amp;VAR:UNITS=M&amp;window=popup&amp;width=450&amp;height=300&amp;START_MAXIMIZED=FALSE"}</definedName>
    <definedName name="_1245__FDSAUDITLINK__" localSheetId="8" hidden="1">{"fdsup://IBCentral/FAT Viewer?action=UPDATE&amp;creator=factset&amp;DOC_NAME=fat:reuters_qtrly_source_window.fat&amp;display_string=Audit&amp;DYN_ARGS=TRUE&amp;VAR:ID1=221353&amp;VAR:RCODE=LMIN&amp;VAR:SDATE=20070999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245__FDSAUDITLINK__" hidden="1">{"fdsup://IBCentral/FAT Viewer?action=UPDATE&amp;creator=factset&amp;DOC_NAME=fat:reuters_qtrly_source_window.fat&amp;display_string=Audit&amp;DYN_ARGS=TRUE&amp;VAR:ID1=221353&amp;VAR:RCODE=LMIN&amp;VAR:SDATE=20070999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246__FDSAUDITLINK__" localSheetId="8" hidden="1">{"fdsup://IBCentral/FAT Viewer?action=UPDATE&amp;creator=factset&amp;DOC_NAME=fat:reuters_qtrly_source_window.fat&amp;display_string=Audit&amp;DYN_ARGS=TRUE&amp;VAR:ID1=221353&amp;VAR:RCODE=STLD&amp;VAR:SDATE=20070999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246__FDSAUDITLINK__" hidden="1">{"fdsup://IBCentral/FAT Viewer?action=UPDATE&amp;creator=factset&amp;DOC_NAME=fat:reuters_qtrly_source_window.fat&amp;display_string=Audit&amp;DYN_ARGS=TRUE&amp;VAR:ID1=221353&amp;VAR:RCODE=STLD&amp;VAR:SDATE=20070999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247__FDSAUDITLINK__" localSheetId="8" hidden="1">{"fdsup://IBCentral/FAT Viewer?action=UPDATE&amp;creator=factset&amp;DOC_NAME=fat:reuters_qtrly_source_window.fat&amp;display_string=Audit&amp;DYN_ARGS=TRUE&amp;VAR:ID1=221353&amp;VAR:RCODE=SCSI&amp;VAR:SDATE=20070999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247__FDSAUDITLINK__" hidden="1">{"fdsup://IBCentral/FAT Viewer?action=UPDATE&amp;creator=factset&amp;DOC_NAME=fat:reuters_qtrly_source_window.fat&amp;display_string=Audit&amp;DYN_ARGS=TRUE&amp;VAR:ID1=221353&amp;VAR:RCODE=SCSI&amp;VAR:SDATE=20070999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248__FDSAUDITLINK__" localSheetId="8" hidden="1">{"fdsup://IBCentral/FAT Viewer?action=UPDATE&amp;creator=factset&amp;DOC_NAME=fat:reuters_annual_source_window.fat&amp;display_string=Audit&amp;DYN_ARGS=TRUE&amp;VAR:ID1=221353&amp;VAR:RCODE=FDSPFDSTKTOTAL&amp;VAR:SDATE=20061299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248__FDSAUDITLINK__" hidden="1">{"fdsup://IBCentral/FAT Viewer?action=UPDATE&amp;creator=factset&amp;DOC_NAME=fat:reuters_annual_source_window.fat&amp;display_string=Audit&amp;DYN_ARGS=TRUE&amp;VAR:ID1=221353&amp;VAR:RCODE=FDSPFDSTKTOTAL&amp;VAR:SDATE=20061299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249__FDSAUDITLINK__" localSheetId="8" hidden="1">{"fdsup://IBCentral/FAT Viewer?action=UPDATE&amp;creator=factset&amp;DOC_NAME=fat:reuters_annual_source_window.fat&amp;display_string=Audit&amp;DYN_ARGS=TRUE&amp;VAR:ID1=221353&amp;VAR:RCODE=AEQI&amp;VAR:SDATE=20061299&amp;VAR:FREQ=Y&amp;VAR:RELITEM=RP&amp;VAR:CURRENCY=USD&amp;VAR:CURRSOURCE=EXSHARE&amp;","VAR:NATFREQ=ANNUAL&amp;VAR:RFIELD=FINALIZED&amp;VAR:DB_TYPE=&amp;VAR:UNITS=M&amp;window=popup&amp;width=450&amp;height=300&amp;START_MAXIMIZED=FALSE"}</definedName>
    <definedName name="_1249__FDSAUDITLINK__" hidden="1">{"fdsup://IBCentral/FAT Viewer?action=UPDATE&amp;creator=factset&amp;DOC_NAME=fat:reuters_annual_source_window.fat&amp;display_string=Audit&amp;DYN_ARGS=TRUE&amp;VAR:ID1=221353&amp;VAR:RCODE=AEQI&amp;VAR:SDATE=20061299&amp;VAR:FREQ=Y&amp;VAR:RELITEM=RP&amp;VAR:CURRENCY=USD&amp;VAR:CURRSOURCE=EXSHARE&amp;","VAR:NATFREQ=ANNUAL&amp;VAR:RFIELD=FINALIZED&amp;VAR:DB_TYPE=&amp;VAR:UNITS=M&amp;window=popup&amp;width=450&amp;height=300&amp;START_MAXIMIZED=FALSE"}</definedName>
    <definedName name="_125__123Graph_XCHART_5" localSheetId="8" hidden="1">#REF!</definedName>
    <definedName name="_125__123Graph_XCHART_5" hidden="1">#REF!</definedName>
    <definedName name="_125__FDSAUDITLINK__" localSheetId="8" hidden="1">{"fdsup://directions/FAT Viewer?action=UPDATE&amp;creator=factset&amp;DYN_ARGS=TRUE&amp;DOC_NAME=FAT:FQL_AUDITING_CLIENT_TEMPLATE.FAT&amp;display_string=Audit&amp;VAR:KEY=JUVSNURWNC&amp;VAR:QUERY=RkZfRUJJVF9JQignQU5OJywzNzE2NCwsLCwnR0JQJyk=&amp;WINDOW=FIRST_POPUP&amp;HEIGHT=450&amp;WIDTH=450&amp;","START_MAXIMIZED=FALSE&amp;VAR:CALENDAR=FIVEDAY&amp;VAR:SYMBOL=080216&amp;VAR:INDEX=0"}</definedName>
    <definedName name="_125__FDSAUDITLINK__" hidden="1">{"fdsup://directions/FAT Viewer?action=UPDATE&amp;creator=factset&amp;DYN_ARGS=TRUE&amp;DOC_NAME=FAT:FQL_AUDITING_CLIENT_TEMPLATE.FAT&amp;display_string=Audit&amp;VAR:KEY=WDOZCLABCV&amp;VAR:QUERY=RkZfRVBTX0RJTChDQUwsMjAwOSk=&amp;WINDOW=FIRST_POPUP&amp;HEIGHT=450&amp;WIDTH=450&amp;START_MAXIMIZED=","FALSE&amp;VAR:CALENDAR=US&amp;VAR:SYMBOL=USCR&amp;VAR:INDEX=0"}</definedName>
    <definedName name="_125__FDSAUDITLINK___1" localSheetId="8" hidden="1">{"fdsup://directions/FAT Viewer?action=UPDATE&amp;creator=factset&amp;DYN_ARGS=TRUE&amp;DOC_NAME=FAT:FQL_AUDITING_CLIENT_TEMPLATE.FAT&amp;display_string=Audit&amp;VAR:KEY=JUVSNURWNC&amp;VAR:QUERY=RkZfRUJJVF9JQignQU5OJywzNzE2NCwsLCwnR0JQJyk=&amp;WINDOW=FIRST_POPUP&amp;HEIGHT=450&amp;WIDTH=450&amp;","START_MAXIMIZED=FALSE&amp;VAR:CALENDAR=FIVEDAY&amp;VAR:SYMBOL=080216&amp;VAR:INDEX=0"}</definedName>
    <definedName name="_125__FDSAUDITLINK___1" hidden="1">{"fdsup://directions/FAT Viewer?action=UPDATE&amp;creator=factset&amp;DYN_ARGS=TRUE&amp;DOC_NAME=FAT:FQL_AUDITING_CLIENT_TEMPLATE.FAT&amp;display_string=Audit&amp;VAR:KEY=JUVSNURWNC&amp;VAR:QUERY=RkZfRUJJVF9JQignQU5OJywzNzE2NCwsLCwnR0JQJyk=&amp;WINDOW=FIRST_POPUP&amp;HEIGHT=450&amp;WIDTH=450&amp;","START_MAXIMIZED=FALSE&amp;VAR:CALENDAR=FIVEDAY&amp;VAR:SYMBOL=080216&amp;VAR:INDEX=0"}</definedName>
    <definedName name="_1250__FDSAUDITLINK__" localSheetId="8" hidden="1">{"fdsup://IBCentral/FAT Viewer?action=UPDATE&amp;creator=factset&amp;DOC_NAME=fat:reuters_qtrly_source_window.fat&amp;display_string=Audit&amp;DYN_ARGS=TRUE&amp;VAR:ID1=221353&amp;VAR:RCODE=LMIN&amp;VAR:SDATE=20070999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250__FDSAUDITLINK__" hidden="1">{"fdsup://IBCentral/FAT Viewer?action=UPDATE&amp;creator=factset&amp;DOC_NAME=fat:reuters_qtrly_source_window.fat&amp;display_string=Audit&amp;DYN_ARGS=TRUE&amp;VAR:ID1=221353&amp;VAR:RCODE=LMIN&amp;VAR:SDATE=20070999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251__FDSAUDITLINK__" localSheetId="8" hidden="1">{"fdsup://IBCentral/FAT Viewer?action=UPDATE&amp;creator=factset&amp;DOC_NAME=fat:reuters_qtrly_source_window.fat&amp;display_string=Audit&amp;DYN_ARGS=TRUE&amp;VAR:ID1=221353&amp;VAR:RCODE=STLD&amp;VAR:SDATE=20070999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251__FDSAUDITLINK__" hidden="1">{"fdsup://IBCentral/FAT Viewer?action=UPDATE&amp;creator=factset&amp;DOC_NAME=fat:reuters_qtrly_source_window.fat&amp;display_string=Audit&amp;DYN_ARGS=TRUE&amp;VAR:ID1=221353&amp;VAR:RCODE=STLD&amp;VAR:SDATE=20070999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252__FDSAUDITLINK__" localSheetId="8" hidden="1">{"fdsup://IBCentral/FAT Viewer?action=UPDATE&amp;creator=factset&amp;DOC_NAME=fat:reuters_qtrly_source_window.fat&amp;display_string=Audit&amp;DYN_ARGS=TRUE&amp;VAR:ID1=221353&amp;VAR:RCODE=SCSI&amp;VAR:SDATE=20070999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252__FDSAUDITLINK__" hidden="1">{"fdsup://IBCentral/FAT Viewer?action=UPDATE&amp;creator=factset&amp;DOC_NAME=fat:reuters_qtrly_source_window.fat&amp;display_string=Audit&amp;DYN_ARGS=TRUE&amp;VAR:ID1=221353&amp;VAR:RCODE=SCSI&amp;VAR:SDATE=20070999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253__FDSAUDITLINK__" localSheetId="8" hidden="1">{"fdsup://IBCentral/FAT Viewer?action=UPDATE&amp;creator=factset&amp;DOC_NAME=fat:reuters_annual_source_window.fat&amp;display_string=Audit&amp;DYN_ARGS=TRUE&amp;VAR:ID1=221353&amp;VAR:RCODE=FDSPFDSTKTOTAL&amp;VAR:SDATE=20061299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253__FDSAUDITLINK__" hidden="1">{"fdsup://IBCentral/FAT Viewer?action=UPDATE&amp;creator=factset&amp;DOC_NAME=fat:reuters_annual_source_window.fat&amp;display_string=Audit&amp;DYN_ARGS=TRUE&amp;VAR:ID1=221353&amp;VAR:RCODE=FDSPFDSTKTOTAL&amp;VAR:SDATE=20061299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254__FDSAUDITLINK__" localSheetId="8" hidden="1">{"fdsup://IBCentral/FAT Viewer?action=UPDATE&amp;creator=factset&amp;DOC_NAME=fat:reuters_annual_source_window.fat&amp;display_string=Audit&amp;DYN_ARGS=TRUE&amp;VAR:ID1=221353&amp;VAR:RCODE=AEQI&amp;VAR:SDATE=20061299&amp;VAR:FREQ=Y&amp;VAR:RELITEM=RP&amp;VAR:CURRENCY=USD&amp;VAR:CURRSOURCE=EXSHARE&amp;","VAR:NATFREQ=ANNUAL&amp;VAR:RFIELD=FINALIZED&amp;VAR:DB_TYPE=&amp;VAR:UNITS=M&amp;window=popup&amp;width=450&amp;height=300&amp;START_MAXIMIZED=FALSE"}</definedName>
    <definedName name="_1254__FDSAUDITLINK__" hidden="1">{"fdsup://IBCentral/FAT Viewer?action=UPDATE&amp;creator=factset&amp;DOC_NAME=fat:reuters_annual_source_window.fat&amp;display_string=Audit&amp;DYN_ARGS=TRUE&amp;VAR:ID1=221353&amp;VAR:RCODE=AEQI&amp;VAR:SDATE=20061299&amp;VAR:FREQ=Y&amp;VAR:RELITEM=RP&amp;VAR:CURRENCY=USD&amp;VAR:CURRSOURCE=EXSHARE&amp;","VAR:NATFREQ=ANNUAL&amp;VAR:RFIELD=FINALIZED&amp;VAR:DB_TYPE=&amp;VAR:UNITS=M&amp;window=popup&amp;width=450&amp;height=300&amp;START_MAXIMIZED=FALSE"}</definedName>
    <definedName name="_1255__FDSAUDITLINK__" localSheetId="8" hidden="1">{"fdsup://IBCentral/FAT Viewer?action=UPDATE&amp;creator=factset&amp;DOC_NAME=fat:reuters_qtrly_source_window.fat&amp;display_string=Audit&amp;DYN_ARGS=TRUE&amp;VAR:ID1=221353&amp;VAR:RCODE=LMIN&amp;VAR:SDATE=20070999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255__FDSAUDITLINK__" hidden="1">{"fdsup://IBCentral/FAT Viewer?action=UPDATE&amp;creator=factset&amp;DOC_NAME=fat:reuters_qtrly_source_window.fat&amp;display_string=Audit&amp;DYN_ARGS=TRUE&amp;VAR:ID1=221353&amp;VAR:RCODE=LMIN&amp;VAR:SDATE=20070999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256__FDSAUDITLINK__" localSheetId="8" hidden="1">{"fdsup://IBCentral/FAT Viewer?action=UPDATE&amp;creator=factset&amp;DOC_NAME=fat:reuters_qtrly_source_window.fat&amp;display_string=Audit&amp;DYN_ARGS=TRUE&amp;VAR:ID1=221353&amp;VAR:RCODE=STLD&amp;VAR:SDATE=20070999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256__FDSAUDITLINK__" hidden="1">{"fdsup://IBCentral/FAT Viewer?action=UPDATE&amp;creator=factset&amp;DOC_NAME=fat:reuters_qtrly_source_window.fat&amp;display_string=Audit&amp;DYN_ARGS=TRUE&amp;VAR:ID1=221353&amp;VAR:RCODE=STLD&amp;VAR:SDATE=20070999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257__FDSAUDITLINK__" localSheetId="8" hidden="1">{"fdsup://IBCentral/FAT Viewer?action=UPDATE&amp;creator=factset&amp;DOC_NAME=fat:reuters_qtrly_source_window.fat&amp;display_string=Audit&amp;DYN_ARGS=TRUE&amp;VAR:ID1=221353&amp;VAR:RCODE=SCSI&amp;VAR:SDATE=20070999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257__FDSAUDITLINK__" hidden="1">{"fdsup://IBCentral/FAT Viewer?action=UPDATE&amp;creator=factset&amp;DOC_NAME=fat:reuters_qtrly_source_window.fat&amp;display_string=Audit&amp;DYN_ARGS=TRUE&amp;VAR:ID1=221353&amp;VAR:RCODE=SCSI&amp;VAR:SDATE=20070999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258__FDSAUDITLINK__" localSheetId="8" hidden="1">{"fdsup://IBCentral/FAT Viewer?action=UPDATE&amp;creator=factset&amp;DOC_NAME=fat:reuters_annual_source_window.fat&amp;display_string=Audit&amp;DYN_ARGS=TRUE&amp;VAR:ID1=221353&amp;VAR:RCODE=FDSPFDSTKTOTAL&amp;VAR:SDATE=20061299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258__FDSAUDITLINK__" hidden="1">{"fdsup://IBCentral/FAT Viewer?action=UPDATE&amp;creator=factset&amp;DOC_NAME=fat:reuters_annual_source_window.fat&amp;display_string=Audit&amp;DYN_ARGS=TRUE&amp;VAR:ID1=221353&amp;VAR:RCODE=FDSPFDSTKTOTAL&amp;VAR:SDATE=20061299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259__FDSAUDITLINK__" localSheetId="8" hidden="1">{"fdsup://IBCentral/FAT Viewer?action=UPDATE&amp;creator=factset&amp;DOC_NAME=fat:reuters_annual_source_window.fat&amp;display_string=Audit&amp;DYN_ARGS=TRUE&amp;VAR:ID1=221353&amp;VAR:RCODE=AEQI&amp;VAR:SDATE=20061299&amp;VAR:FREQ=Y&amp;VAR:RELITEM=RP&amp;VAR:CURRENCY=USD&amp;VAR:CURRSOURCE=EXSHARE&amp;","VAR:NATFREQ=ANNUAL&amp;VAR:RFIELD=FINALIZED&amp;VAR:DB_TYPE=&amp;VAR:UNITS=M&amp;window=popup&amp;width=450&amp;height=300&amp;START_MAXIMIZED=FALSE"}</definedName>
    <definedName name="_1259__FDSAUDITLINK__" hidden="1">{"fdsup://IBCentral/FAT Viewer?action=UPDATE&amp;creator=factset&amp;DOC_NAME=fat:reuters_annual_source_window.fat&amp;display_string=Audit&amp;DYN_ARGS=TRUE&amp;VAR:ID1=221353&amp;VAR:RCODE=AEQI&amp;VAR:SDATE=20061299&amp;VAR:FREQ=Y&amp;VAR:RELITEM=RP&amp;VAR:CURRENCY=USD&amp;VAR:CURRSOURCE=EXSHARE&amp;","VAR:NATFREQ=ANNUAL&amp;VAR:RFIELD=FINALIZED&amp;VAR:DB_TYPE=&amp;VAR:UNITS=M&amp;window=popup&amp;width=450&amp;height=300&amp;START_MAXIMIZED=FALSE"}</definedName>
    <definedName name="_126__FDSAUDITLINK__" localSheetId="8" hidden="1">{"fdsup://directions/FAT Viewer?action=UPDATE&amp;creator=factset&amp;DYN_ARGS=TRUE&amp;DOC_NAME=FAT:FQL_AUDITING_CLIENT_TEMPLATE.FAT&amp;display_string=Audit&amp;VAR:KEY=VAFGNANIPO&amp;VAR:QUERY=RkZfRUJJVF9JQignQU5OJywzNjc5OSwsLCwnR0JQJyk=&amp;WINDOW=FIRST_POPUP&amp;HEIGHT=450&amp;WIDTH=450&amp;","START_MAXIMIZED=FALSE&amp;VAR:CALENDAR=FIVEDAY&amp;VAR:SYMBOL=080216&amp;VAR:INDEX=0"}</definedName>
    <definedName name="_126__FDSAUDITLINK__" hidden="1">{"fdsup://directions/FAT Viewer?action=UPDATE&amp;creator=factset&amp;DYN_ARGS=TRUE&amp;DOC_NAME=FAT:FQL_AUDITING_CLIENT_TEMPLATE.FAT&amp;display_string=Audit&amp;VAR:KEY=CROBGJGXWH&amp;VAR:QUERY=RkZfRVBTX0RJTChDQUwsMjAwOSk=&amp;WINDOW=FIRST_POPUP&amp;HEIGHT=450&amp;WIDTH=450&amp;START_MAXIMIZED=","FALSE&amp;VAR:CALENDAR=US&amp;VAR:SYMBOL=MLM&amp;VAR:INDEX=0"}</definedName>
    <definedName name="_126__FDSAUDITLINK___1" localSheetId="8" hidden="1">{"fdsup://directions/FAT Viewer?action=UPDATE&amp;creator=factset&amp;DYN_ARGS=TRUE&amp;DOC_NAME=FAT:FQL_AUDITING_CLIENT_TEMPLATE.FAT&amp;display_string=Audit&amp;VAR:KEY=VAFGNANIPO&amp;VAR:QUERY=RkZfRUJJVF9JQignQU5OJywzNjc5OSwsLCwnR0JQJyk=&amp;WINDOW=FIRST_POPUP&amp;HEIGHT=450&amp;WIDTH=450&amp;","START_MAXIMIZED=FALSE&amp;VAR:CALENDAR=FIVEDAY&amp;VAR:SYMBOL=080216&amp;VAR:INDEX=0"}</definedName>
    <definedName name="_126__FDSAUDITLINK___1" hidden="1">{"fdsup://directions/FAT Viewer?action=UPDATE&amp;creator=factset&amp;DYN_ARGS=TRUE&amp;DOC_NAME=FAT:FQL_AUDITING_CLIENT_TEMPLATE.FAT&amp;display_string=Audit&amp;VAR:KEY=VAFGNANIPO&amp;VAR:QUERY=RkZfRUJJVF9JQignQU5OJywzNjc5OSwsLCwnR0JQJyk=&amp;WINDOW=FIRST_POPUP&amp;HEIGHT=450&amp;WIDTH=450&amp;","START_MAXIMIZED=FALSE&amp;VAR:CALENDAR=FIVEDAY&amp;VAR:SYMBOL=080216&amp;VAR:INDEX=0"}</definedName>
    <definedName name="_1260__FDSAUDITLINK__" localSheetId="8" hidden="1">{"fdsup://IBCentral/FAT Viewer?action=UPDATE&amp;creator=factset&amp;DOC_NAME=fat:reuters_qtrly_source_window.fat&amp;display_string=Audit&amp;DYN_ARGS=TRUE&amp;VAR:ID1=221353&amp;VAR:RCODE=LMIN&amp;VAR:SDATE=20070999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260__FDSAUDITLINK__" hidden="1">{"fdsup://IBCentral/FAT Viewer?action=UPDATE&amp;creator=factset&amp;DOC_NAME=fat:reuters_qtrly_source_window.fat&amp;display_string=Audit&amp;DYN_ARGS=TRUE&amp;VAR:ID1=221353&amp;VAR:RCODE=LMIN&amp;VAR:SDATE=20070999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261__FDSAUDITLINK__" localSheetId="8" hidden="1">{"fdsup://IBCentral/FAT Viewer?action=UPDATE&amp;creator=factset&amp;DOC_NAME=fat:reuters_qtrly_source_window.fat&amp;display_string=Audit&amp;DYN_ARGS=TRUE&amp;VAR:ID1=221353&amp;VAR:RCODE=STLD&amp;VAR:SDATE=20070999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261__FDSAUDITLINK__" hidden="1">{"fdsup://IBCentral/FAT Viewer?action=UPDATE&amp;creator=factset&amp;DOC_NAME=fat:reuters_qtrly_source_window.fat&amp;display_string=Audit&amp;DYN_ARGS=TRUE&amp;VAR:ID1=221353&amp;VAR:RCODE=STLD&amp;VAR:SDATE=20070999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262__FDSAUDITLINK__" localSheetId="8" hidden="1">{"fdsup://IBCentral/FAT Viewer?action=UPDATE&amp;creator=factset&amp;DOC_NAME=fat:reuters_qtrly_source_window.fat&amp;display_string=Audit&amp;DYN_ARGS=TRUE&amp;VAR:ID1=221353&amp;VAR:RCODE=SCSI&amp;VAR:SDATE=20070999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262__FDSAUDITLINK__" hidden="1">{"fdsup://IBCentral/FAT Viewer?action=UPDATE&amp;creator=factset&amp;DOC_NAME=fat:reuters_qtrly_source_window.fat&amp;display_string=Audit&amp;DYN_ARGS=TRUE&amp;VAR:ID1=221353&amp;VAR:RCODE=SCSI&amp;VAR:SDATE=20070999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263__FDSAUDITLINK__" localSheetId="8" hidden="1">{"fdsup://IBCentral/FAT Viewer?action=UPDATE&amp;creator=factset&amp;DOC_NAME=fat:reuters_annual_source_window.fat&amp;display_string=Audit&amp;DYN_ARGS=TRUE&amp;VAR:ID1=221353&amp;VAR:RCODE=FDSPFDSTKTOTAL&amp;VAR:SDATE=20061299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263__FDSAUDITLINK__" hidden="1">{"fdsup://IBCentral/FAT Viewer?action=UPDATE&amp;creator=factset&amp;DOC_NAME=fat:reuters_annual_source_window.fat&amp;display_string=Audit&amp;DYN_ARGS=TRUE&amp;VAR:ID1=221353&amp;VAR:RCODE=FDSPFDSTKTOTAL&amp;VAR:SDATE=20061299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264__FDSAUDITLINK__" localSheetId="8" hidden="1">{"fdsup://IBCentral/FAT Viewer?action=UPDATE&amp;creator=factset&amp;DOC_NAME=fat:reuters_annual_source_window.fat&amp;display_string=Audit&amp;DYN_ARGS=TRUE&amp;VAR:ID1=221353&amp;VAR:RCODE=AEQI&amp;VAR:SDATE=20061299&amp;VAR:FREQ=Y&amp;VAR:RELITEM=RP&amp;VAR:CURRENCY=USD&amp;VAR:CURRSOURCE=EXSHARE&amp;","VAR:NATFREQ=ANNUAL&amp;VAR:RFIELD=FINALIZED&amp;VAR:DB_TYPE=&amp;VAR:UNITS=M&amp;window=popup&amp;width=450&amp;height=300&amp;START_MAXIMIZED=FALSE"}</definedName>
    <definedName name="_1264__FDSAUDITLINK__" hidden="1">{"fdsup://IBCentral/FAT Viewer?action=UPDATE&amp;creator=factset&amp;DOC_NAME=fat:reuters_annual_source_window.fat&amp;display_string=Audit&amp;DYN_ARGS=TRUE&amp;VAR:ID1=221353&amp;VAR:RCODE=AEQI&amp;VAR:SDATE=20061299&amp;VAR:FREQ=Y&amp;VAR:RELITEM=RP&amp;VAR:CURRENCY=USD&amp;VAR:CURRSOURCE=EXSHARE&amp;","VAR:NATFREQ=ANNUAL&amp;VAR:RFIELD=FINALIZED&amp;VAR:DB_TYPE=&amp;VAR:UNITS=M&amp;window=popup&amp;width=450&amp;height=300&amp;START_MAXIMIZED=FALSE"}</definedName>
    <definedName name="_1265__FDSAUDITLINK__" localSheetId="8" hidden="1">{"fdsup://IBCentral/FAT Viewer?action=UPDATE&amp;creator=factset&amp;DOC_NAME=fat:reuters_qtrly_source_window.fat&amp;display_string=Audit&amp;DYN_ARGS=TRUE&amp;VAR:ID1=221353&amp;VAR:RCODE=LMIN&amp;VAR:SDATE=20070999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265__FDSAUDITLINK__" hidden="1">{"fdsup://IBCentral/FAT Viewer?action=UPDATE&amp;creator=factset&amp;DOC_NAME=fat:reuters_qtrly_source_window.fat&amp;display_string=Audit&amp;DYN_ARGS=TRUE&amp;VAR:ID1=221353&amp;VAR:RCODE=LMIN&amp;VAR:SDATE=20070999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266__FDSAUDITLINK__" localSheetId="8" hidden="1">{"fdsup://IBCentral/FAT Viewer?action=UPDATE&amp;creator=factset&amp;DOC_NAME=fat:reuters_qtrly_source_window.fat&amp;display_string=Audit&amp;DYN_ARGS=TRUE&amp;VAR:ID1=221353&amp;VAR:RCODE=STLD&amp;VAR:SDATE=20070999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266__FDSAUDITLINK__" hidden="1">{"fdsup://IBCentral/FAT Viewer?action=UPDATE&amp;creator=factset&amp;DOC_NAME=fat:reuters_qtrly_source_window.fat&amp;display_string=Audit&amp;DYN_ARGS=TRUE&amp;VAR:ID1=221353&amp;VAR:RCODE=STLD&amp;VAR:SDATE=20070999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267__FDSAUDITLINK__" localSheetId="8" hidden="1">{"fdsup://IBCentral/FAT Viewer?action=UPDATE&amp;creator=factset&amp;DOC_NAME=fat:reuters_qtrly_source_window.fat&amp;display_string=Audit&amp;DYN_ARGS=TRUE&amp;VAR:ID1=221353&amp;VAR:RCODE=SCSI&amp;VAR:SDATE=20070999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267__FDSAUDITLINK__" hidden="1">{"fdsup://IBCentral/FAT Viewer?action=UPDATE&amp;creator=factset&amp;DOC_NAME=fat:reuters_qtrly_source_window.fat&amp;display_string=Audit&amp;DYN_ARGS=TRUE&amp;VAR:ID1=221353&amp;VAR:RCODE=SCSI&amp;VAR:SDATE=20070999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268__FDSAUDITLINK__" localSheetId="8" hidden="1">{"fdsup://IBCentral/FAT Viewer?action=UPDATE&amp;creator=factset&amp;DOC_NAME=fat:reuters_annual_source_window.fat&amp;display_string=Audit&amp;DYN_ARGS=TRUE&amp;VAR:ID1=221353&amp;VAR:RCODE=FDSPFDSTKTOTAL&amp;VAR:SDATE=20061299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268__FDSAUDITLINK__" hidden="1">{"fdsup://IBCentral/FAT Viewer?action=UPDATE&amp;creator=factset&amp;DOC_NAME=fat:reuters_annual_source_window.fat&amp;display_string=Audit&amp;DYN_ARGS=TRUE&amp;VAR:ID1=221353&amp;VAR:RCODE=FDSPFDSTKTOTAL&amp;VAR:SDATE=20061299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269__FDSAUDITLINK__" localSheetId="8" hidden="1">{"fdsup://IBCentral/FAT Viewer?action=UPDATE&amp;creator=factset&amp;DOC_NAME=fat:reuters_annual_source_window.fat&amp;display_string=Audit&amp;DYN_ARGS=TRUE&amp;VAR:ID1=221353&amp;VAR:RCODE=AEQI&amp;VAR:SDATE=20061299&amp;VAR:FREQ=Y&amp;VAR:RELITEM=RP&amp;VAR:CURRENCY=USD&amp;VAR:CURRSOURCE=EXSHARE&amp;","VAR:NATFREQ=ANNUAL&amp;VAR:RFIELD=FINALIZED&amp;VAR:DB_TYPE=&amp;VAR:UNITS=M&amp;window=popup&amp;width=450&amp;height=300&amp;START_MAXIMIZED=FALSE"}</definedName>
    <definedName name="_1269__FDSAUDITLINK__" hidden="1">{"fdsup://IBCentral/FAT Viewer?action=UPDATE&amp;creator=factset&amp;DOC_NAME=fat:reuters_annual_source_window.fat&amp;display_string=Audit&amp;DYN_ARGS=TRUE&amp;VAR:ID1=221353&amp;VAR:RCODE=AEQI&amp;VAR:SDATE=20061299&amp;VAR:FREQ=Y&amp;VAR:RELITEM=RP&amp;VAR:CURRENCY=USD&amp;VAR:CURRSOURCE=EXSHARE&amp;","VAR:NATFREQ=ANNUAL&amp;VAR:RFIELD=FINALIZED&amp;VAR:DB_TYPE=&amp;VAR:UNITS=M&amp;window=popup&amp;width=450&amp;height=300&amp;START_MAXIMIZED=FALSE"}</definedName>
    <definedName name="_127__123Graph_XCHART_7" localSheetId="8" hidden="1">#REF!</definedName>
    <definedName name="_127__123Graph_XCHART_7" hidden="1">#REF!</definedName>
    <definedName name="_127__FDSAUDITLINK__" localSheetId="8" hidden="1">{"fdsup://directions/FAT Viewer?action=UPDATE&amp;creator=factset&amp;DYN_ARGS=TRUE&amp;DOC_NAME=FAT:FQL_AUDITING_CLIENT_TEMPLATE.FAT&amp;display_string=Audit&amp;VAR:KEY=HYFQHUFABI&amp;VAR:QUERY=RkZfRUJJVF9JQignQU5OJywzNjQzMywsLCwnR0JQJyk=&amp;WINDOW=FIRST_POPUP&amp;HEIGHT=450&amp;WIDTH=450&amp;","START_MAXIMIZED=FALSE&amp;VAR:CALENDAR=FIVEDAY&amp;VAR:SYMBOL=080216&amp;VAR:INDEX=0"}</definedName>
    <definedName name="_127__FDSAUDITLINK__" hidden="1">{"fdsup://directions/FAT Viewer?action=UPDATE&amp;creator=factset&amp;DYN_ARGS=TRUE&amp;DOC_NAME=FAT:FQL_AUDITING_CLIENT_TEMPLATE.FAT&amp;display_string=Audit&amp;VAR:KEY=KLSZGJIPAJ&amp;VAR:QUERY=RkZfRVBTX0RJTChDQUwsMjAwOSk=&amp;WINDOW=FIRST_POPUP&amp;HEIGHT=450&amp;WIDTH=450&amp;START_MAXIMIZED=","FALSE&amp;VAR:CALENDAR=US&amp;VAR:SYMBOL=EXP&amp;VAR:INDEX=0"}</definedName>
    <definedName name="_127__FDSAUDITLINK___1" localSheetId="8" hidden="1">{"fdsup://directions/FAT Viewer?action=UPDATE&amp;creator=factset&amp;DYN_ARGS=TRUE&amp;DOC_NAME=FAT:FQL_AUDITING_CLIENT_TEMPLATE.FAT&amp;display_string=Audit&amp;VAR:KEY=HYFQHUFABI&amp;VAR:QUERY=RkZfRUJJVF9JQignQU5OJywzNjQzMywsLCwnR0JQJyk=&amp;WINDOW=FIRST_POPUP&amp;HEIGHT=450&amp;WIDTH=450&amp;","START_MAXIMIZED=FALSE&amp;VAR:CALENDAR=FIVEDAY&amp;VAR:SYMBOL=080216&amp;VAR:INDEX=0"}</definedName>
    <definedName name="_127__FDSAUDITLINK___1" hidden="1">{"fdsup://directions/FAT Viewer?action=UPDATE&amp;creator=factset&amp;DYN_ARGS=TRUE&amp;DOC_NAME=FAT:FQL_AUDITING_CLIENT_TEMPLATE.FAT&amp;display_string=Audit&amp;VAR:KEY=HYFQHUFABI&amp;VAR:QUERY=RkZfRUJJVF9JQignQU5OJywzNjQzMywsLCwnR0JQJyk=&amp;WINDOW=FIRST_POPUP&amp;HEIGHT=450&amp;WIDTH=450&amp;","START_MAXIMIZED=FALSE&amp;VAR:CALENDAR=FIVEDAY&amp;VAR:SYMBOL=080216&amp;VAR:INDEX=0"}</definedName>
    <definedName name="_1270__FDSAUDITLINK__" localSheetId="8" hidden="1">{"fdsup://IBCentral/FAT Viewer?action=UPDATE&amp;creator=factset&amp;DOC_NAME=fat:reuters_qtrly_source_window.fat&amp;display_string=Audit&amp;DYN_ARGS=TRUE&amp;VAR:ID1=221353&amp;VAR:RCODE=LMIN&amp;VAR:SDATE=20070999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270__FDSAUDITLINK__" hidden="1">{"fdsup://IBCentral/FAT Viewer?action=UPDATE&amp;creator=factset&amp;DOC_NAME=fat:reuters_qtrly_source_window.fat&amp;display_string=Audit&amp;DYN_ARGS=TRUE&amp;VAR:ID1=221353&amp;VAR:RCODE=LMIN&amp;VAR:SDATE=20070999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271__FDSAUDITLINK__" localSheetId="8" hidden="1">{"fdsup://IBCentral/FAT Viewer?action=UPDATE&amp;creator=factset&amp;DOC_NAME=fat:reuters_qtrly_source_window.fat&amp;display_string=Audit&amp;DYN_ARGS=TRUE&amp;VAR:ID1=221353&amp;VAR:RCODE=STLD&amp;VAR:SDATE=20070999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271__FDSAUDITLINK__" hidden="1">{"fdsup://IBCentral/FAT Viewer?action=UPDATE&amp;creator=factset&amp;DOC_NAME=fat:reuters_qtrly_source_window.fat&amp;display_string=Audit&amp;DYN_ARGS=TRUE&amp;VAR:ID1=221353&amp;VAR:RCODE=STLD&amp;VAR:SDATE=20070999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272__FDSAUDITLINK__" localSheetId="8" hidden="1">{"fdsup://IBCentral/FAT Viewer?action=UPDATE&amp;creator=factset&amp;DOC_NAME=fat:reuters_qtrly_source_window.fat&amp;display_string=Audit&amp;DYN_ARGS=TRUE&amp;VAR:ID1=221353&amp;VAR:RCODE=SCSI&amp;VAR:SDATE=20070999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272__FDSAUDITLINK__" hidden="1">{"fdsup://IBCentral/FAT Viewer?action=UPDATE&amp;creator=factset&amp;DOC_NAME=fat:reuters_qtrly_source_window.fat&amp;display_string=Audit&amp;DYN_ARGS=TRUE&amp;VAR:ID1=221353&amp;VAR:RCODE=SCSI&amp;VAR:SDATE=20070999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273__FDSAUDITLINK__" localSheetId="8" hidden="1">{"fdsup://IBCentral/FAT Viewer?action=UPDATE&amp;creator=factset&amp;DOC_NAME=fat:reuters_annual_source_window.fat&amp;display_string=Audit&amp;DYN_ARGS=TRUE&amp;VAR:ID1=221353&amp;VAR:RCODE=FDSPFDSTKTOTAL&amp;VAR:SDATE=20061299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273__FDSAUDITLINK__" hidden="1">{"fdsup://IBCentral/FAT Viewer?action=UPDATE&amp;creator=factset&amp;DOC_NAME=fat:reuters_annual_source_window.fat&amp;display_string=Audit&amp;DYN_ARGS=TRUE&amp;VAR:ID1=221353&amp;VAR:RCODE=FDSPFDSTKTOTAL&amp;VAR:SDATE=20061299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274__FDSAUDITLINK__" localSheetId="8" hidden="1">{"fdsup://IBCentral/FAT Viewer?action=UPDATE&amp;creator=factset&amp;DOC_NAME=fat:reuters_annual_source_window.fat&amp;display_string=Audit&amp;DYN_ARGS=TRUE&amp;VAR:ID1=221353&amp;VAR:RCODE=AEQI&amp;VAR:SDATE=20061299&amp;VAR:FREQ=Y&amp;VAR:RELITEM=RP&amp;VAR:CURRENCY=USD&amp;VAR:CURRSOURCE=EXSHARE&amp;","VAR:NATFREQ=ANNUAL&amp;VAR:RFIELD=FINALIZED&amp;VAR:DB_TYPE=&amp;VAR:UNITS=M&amp;window=popup&amp;width=450&amp;height=300&amp;START_MAXIMIZED=FALSE"}</definedName>
    <definedName name="_1274__FDSAUDITLINK__" hidden="1">{"fdsup://IBCentral/FAT Viewer?action=UPDATE&amp;creator=factset&amp;DOC_NAME=fat:reuters_annual_source_window.fat&amp;display_string=Audit&amp;DYN_ARGS=TRUE&amp;VAR:ID1=221353&amp;VAR:RCODE=AEQI&amp;VAR:SDATE=20061299&amp;VAR:FREQ=Y&amp;VAR:RELITEM=RP&amp;VAR:CURRENCY=USD&amp;VAR:CURRSOURCE=EXSHARE&amp;","VAR:NATFREQ=ANNUAL&amp;VAR:RFIELD=FINALIZED&amp;VAR:DB_TYPE=&amp;VAR:UNITS=M&amp;window=popup&amp;width=450&amp;height=300&amp;START_MAXIMIZED=FALSE"}</definedName>
    <definedName name="_1275__FDSAUDITLINK__" localSheetId="8" hidden="1">{"fdsup://IBCentral/FAT Viewer?action=UPDATE&amp;creator=factset&amp;DOC_NAME=fat:reuters_qtrly_source_window.fat&amp;display_string=Audit&amp;DYN_ARGS=TRUE&amp;VAR:ID1=221353&amp;VAR:RCODE=LMIN&amp;VAR:SDATE=20070999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275__FDSAUDITLINK__" hidden="1">{"fdsup://IBCentral/FAT Viewer?action=UPDATE&amp;creator=factset&amp;DOC_NAME=fat:reuters_qtrly_source_window.fat&amp;display_string=Audit&amp;DYN_ARGS=TRUE&amp;VAR:ID1=221353&amp;VAR:RCODE=LMIN&amp;VAR:SDATE=20070999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276__FDSAUDITLINK__" localSheetId="8" hidden="1">{"fdsup://IBCentral/FAT Viewer?action=UPDATE&amp;creator=factset&amp;DOC_NAME=fat:reuters_qtrly_source_window.fat&amp;display_string=Audit&amp;DYN_ARGS=TRUE&amp;VAR:ID1=221353&amp;VAR:RCODE=STLD&amp;VAR:SDATE=20070999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276__FDSAUDITLINK__" hidden="1">{"fdsup://IBCentral/FAT Viewer?action=UPDATE&amp;creator=factset&amp;DOC_NAME=fat:reuters_qtrly_source_window.fat&amp;display_string=Audit&amp;DYN_ARGS=TRUE&amp;VAR:ID1=221353&amp;VAR:RCODE=STLD&amp;VAR:SDATE=20070999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277__FDSAUDITLINK__" localSheetId="8" hidden="1">{"fdsup://IBCentral/FAT Viewer?action=UPDATE&amp;creator=factset&amp;DOC_NAME=fat:reuters_qtrly_source_window.fat&amp;display_string=Audit&amp;DYN_ARGS=TRUE&amp;VAR:ID1=221353&amp;VAR:RCODE=SCSI&amp;VAR:SDATE=20070999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277__FDSAUDITLINK__" hidden="1">{"fdsup://IBCentral/FAT Viewer?action=UPDATE&amp;creator=factset&amp;DOC_NAME=fat:reuters_qtrly_source_window.fat&amp;display_string=Audit&amp;DYN_ARGS=TRUE&amp;VAR:ID1=221353&amp;VAR:RCODE=SCSI&amp;VAR:SDATE=20070999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278__FDSAUDITLINK__" localSheetId="8" hidden="1">{"fdsup://IBCentral/FAT Viewer?action=UPDATE&amp;creator=factset&amp;DOC_NAME=fat:reuters_annual_source_window.fat&amp;display_string=Audit&amp;DYN_ARGS=TRUE&amp;VAR:ID1=221353&amp;VAR:RCODE=FDSPFDSTKTOTAL&amp;VAR:SDATE=20061299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278__FDSAUDITLINK__" hidden="1">{"fdsup://IBCentral/FAT Viewer?action=UPDATE&amp;creator=factset&amp;DOC_NAME=fat:reuters_annual_source_window.fat&amp;display_string=Audit&amp;DYN_ARGS=TRUE&amp;VAR:ID1=221353&amp;VAR:RCODE=FDSPFDSTKTOTAL&amp;VAR:SDATE=20061299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279__FDSAUDITLINK__" localSheetId="8" hidden="1">{"fdsup://IBCentral/FAT Viewer?action=UPDATE&amp;creator=factset&amp;DOC_NAME=fat:reuters_annual_source_window.fat&amp;display_string=Audit&amp;DYN_ARGS=TRUE&amp;VAR:ID1=221353&amp;VAR:RCODE=AEQI&amp;VAR:SDATE=20061299&amp;VAR:FREQ=Y&amp;VAR:RELITEM=RP&amp;VAR:CURRENCY=USD&amp;VAR:CURRSOURCE=EXSHARE&amp;","VAR:NATFREQ=ANNUAL&amp;VAR:RFIELD=FINALIZED&amp;VAR:DB_TYPE=&amp;VAR:UNITS=M&amp;window=popup&amp;width=450&amp;height=300&amp;START_MAXIMIZED=FALSE"}</definedName>
    <definedName name="_1279__FDSAUDITLINK__" hidden="1">{"fdsup://IBCentral/FAT Viewer?action=UPDATE&amp;creator=factset&amp;DOC_NAME=fat:reuters_annual_source_window.fat&amp;display_string=Audit&amp;DYN_ARGS=TRUE&amp;VAR:ID1=221353&amp;VAR:RCODE=AEQI&amp;VAR:SDATE=20061299&amp;VAR:FREQ=Y&amp;VAR:RELITEM=RP&amp;VAR:CURRENCY=USD&amp;VAR:CURRSOURCE=EXSHARE&amp;","VAR:NATFREQ=ANNUAL&amp;VAR:RFIELD=FINALIZED&amp;VAR:DB_TYPE=&amp;VAR:UNITS=M&amp;window=popup&amp;width=450&amp;height=300&amp;START_MAXIMIZED=FALSE"}</definedName>
    <definedName name="_128__123Graph_XCHART_8" localSheetId="8" hidden="1">#REF!</definedName>
    <definedName name="_128__123Graph_XCHART_8" hidden="1">#REF!</definedName>
    <definedName name="_128__FDSAUDITLINK__" localSheetId="8" hidden="1">{"fdsup://directions/FAT Viewer?action=UPDATE&amp;creator=factset&amp;DYN_ARGS=TRUE&amp;DOC_NAME=FAT:FQL_AUDITING_CLIENT_TEMPLATE.FAT&amp;display_string=Audit&amp;VAR:KEY=LOFCNKPSDS&amp;VAR:QUERY=RkZfRUJJVF9JQignQU5OJywzNjA2OCwsLCwnR0JQJyk=&amp;WINDOW=FIRST_POPUP&amp;HEIGHT=450&amp;WIDTH=450&amp;","START_MAXIMIZED=FALSE&amp;VAR:CALENDAR=FIVEDAY&amp;VAR:SYMBOL=080216&amp;VAR:INDEX=0"}</definedName>
    <definedName name="_128__FDSAUDITLINK__" hidden="1">{"fdsup://directions/FAT Viewer?action=UPDATE&amp;creator=factset&amp;DYN_ARGS=TRUE&amp;DOC_NAME=FAT:FQL_AUDITING_CLIENT_TEMPLATE.FAT&amp;display_string=Audit&amp;VAR:KEY=OPCBGBCTQF&amp;VAR:QUERY=RkZfTkVUX0lOQyhDQUwsMjAxMSk=&amp;WINDOW=FIRST_POPUP&amp;HEIGHT=450&amp;WIDTH=450&amp;START_MAXIMIZED=","FALSE&amp;VAR:CALENDAR=US&amp;VAR:SYMBOL=711075&amp;VAR:INDEX=0"}</definedName>
    <definedName name="_128__FDSAUDITLINK___1" localSheetId="8" hidden="1">{"fdsup://directions/FAT Viewer?action=UPDATE&amp;creator=factset&amp;DYN_ARGS=TRUE&amp;DOC_NAME=FAT:FQL_AUDITING_CLIENT_TEMPLATE.FAT&amp;display_string=Audit&amp;VAR:KEY=LOFCNKPSDS&amp;VAR:QUERY=RkZfRUJJVF9JQignQU5OJywzNjA2OCwsLCwnR0JQJyk=&amp;WINDOW=FIRST_POPUP&amp;HEIGHT=450&amp;WIDTH=450&amp;","START_MAXIMIZED=FALSE&amp;VAR:CALENDAR=FIVEDAY&amp;VAR:SYMBOL=080216&amp;VAR:INDEX=0"}</definedName>
    <definedName name="_128__FDSAUDITLINK___1" hidden="1">{"fdsup://directions/FAT Viewer?action=UPDATE&amp;creator=factset&amp;DYN_ARGS=TRUE&amp;DOC_NAME=FAT:FQL_AUDITING_CLIENT_TEMPLATE.FAT&amp;display_string=Audit&amp;VAR:KEY=LOFCNKPSDS&amp;VAR:QUERY=RkZfRUJJVF9JQignQU5OJywzNjA2OCwsLCwnR0JQJyk=&amp;WINDOW=FIRST_POPUP&amp;HEIGHT=450&amp;WIDTH=450&amp;","START_MAXIMIZED=FALSE&amp;VAR:CALENDAR=FIVEDAY&amp;VAR:SYMBOL=080216&amp;VAR:INDEX=0"}</definedName>
    <definedName name="_1280__FDSAUDITLINK__" localSheetId="8" hidden="1">{"fdsup://IBCentral/FAT Viewer?action=UPDATE&amp;creator=factset&amp;DOC_NAME=fat:reuters_qtrly_source_window.fat&amp;display_string=Audit&amp;DYN_ARGS=TRUE&amp;VAR:ID1=221353&amp;VAR:RCODE=LMIN&amp;VAR:SDATE=20070999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280__FDSAUDITLINK__" hidden="1">{"fdsup://IBCentral/FAT Viewer?action=UPDATE&amp;creator=factset&amp;DOC_NAME=fat:reuters_qtrly_source_window.fat&amp;display_string=Audit&amp;DYN_ARGS=TRUE&amp;VAR:ID1=221353&amp;VAR:RCODE=LMIN&amp;VAR:SDATE=20070999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281__FDSAUDITLINK__" localSheetId="8" hidden="1">{"fdsup://IBCentral/FAT Viewer?action=UPDATE&amp;creator=factset&amp;DOC_NAME=fat:reuters_qtrly_source_window.fat&amp;display_string=Audit&amp;DYN_ARGS=TRUE&amp;VAR:ID1=221353&amp;VAR:RCODE=STLD&amp;VAR:SDATE=20070999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281__FDSAUDITLINK__" hidden="1">{"fdsup://IBCentral/FAT Viewer?action=UPDATE&amp;creator=factset&amp;DOC_NAME=fat:reuters_qtrly_source_window.fat&amp;display_string=Audit&amp;DYN_ARGS=TRUE&amp;VAR:ID1=221353&amp;VAR:RCODE=STLD&amp;VAR:SDATE=20070999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282__FDSAUDITLINK__" localSheetId="8" hidden="1">{"fdsup://IBCentral/FAT Viewer?action=UPDATE&amp;creator=factset&amp;DOC_NAME=fat:reuters_qtrly_source_window.fat&amp;display_string=Audit&amp;DYN_ARGS=TRUE&amp;VAR:ID1=221353&amp;VAR:RCODE=SCSI&amp;VAR:SDATE=20070999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282__FDSAUDITLINK__" hidden="1">{"fdsup://IBCentral/FAT Viewer?action=UPDATE&amp;creator=factset&amp;DOC_NAME=fat:reuters_qtrly_source_window.fat&amp;display_string=Audit&amp;DYN_ARGS=TRUE&amp;VAR:ID1=221353&amp;VAR:RCODE=SCSI&amp;VAR:SDATE=20070999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283__FDSAUDITLINK__" localSheetId="8" hidden="1">{"fdsup://IBCentral/FAT Viewer?action=UPDATE&amp;creator=factset&amp;DOC_NAME=fat:reuters_annual_source_window.fat&amp;display_string=Audit&amp;DYN_ARGS=TRUE&amp;VAR:ID1=221353&amp;VAR:RCODE=FDSPFDSTKTOTAL&amp;VAR:SDATE=20061299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283__FDSAUDITLINK__" hidden="1">{"fdsup://IBCentral/FAT Viewer?action=UPDATE&amp;creator=factset&amp;DOC_NAME=fat:reuters_annual_source_window.fat&amp;display_string=Audit&amp;DYN_ARGS=TRUE&amp;VAR:ID1=221353&amp;VAR:RCODE=FDSPFDSTKTOTAL&amp;VAR:SDATE=20061299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284__FDSAUDITLINK__" localSheetId="8" hidden="1">{"fdsup://IBCentral/FAT Viewer?action=UPDATE&amp;creator=factset&amp;DOC_NAME=fat:reuters_annual_source_window.fat&amp;display_string=Audit&amp;DYN_ARGS=TRUE&amp;VAR:ID1=221353&amp;VAR:RCODE=AEQI&amp;VAR:SDATE=20061299&amp;VAR:FREQ=Y&amp;VAR:RELITEM=RP&amp;VAR:CURRENCY=USD&amp;VAR:CURRSOURCE=EXSHARE&amp;","VAR:NATFREQ=ANNUAL&amp;VAR:RFIELD=FINALIZED&amp;VAR:DB_TYPE=&amp;VAR:UNITS=M&amp;window=popup&amp;width=450&amp;height=300&amp;START_MAXIMIZED=FALSE"}</definedName>
    <definedName name="_1284__FDSAUDITLINK__" hidden="1">{"fdsup://IBCentral/FAT Viewer?action=UPDATE&amp;creator=factset&amp;DOC_NAME=fat:reuters_annual_source_window.fat&amp;display_string=Audit&amp;DYN_ARGS=TRUE&amp;VAR:ID1=221353&amp;VAR:RCODE=AEQI&amp;VAR:SDATE=20061299&amp;VAR:FREQ=Y&amp;VAR:RELITEM=RP&amp;VAR:CURRENCY=USD&amp;VAR:CURRSOURCE=EXSHARE&amp;","VAR:NATFREQ=ANNUAL&amp;VAR:RFIELD=FINALIZED&amp;VAR:DB_TYPE=&amp;VAR:UNITS=M&amp;window=popup&amp;width=450&amp;height=300&amp;START_MAXIMIZED=FALSE"}</definedName>
    <definedName name="_1285__FDSAUDITLINK__" localSheetId="8" hidden="1">{"fdsup://IBCentral/FAT Viewer?action=UPDATE&amp;creator=factset&amp;DOC_NAME=fat:reuters_qtrly_source_window.fat&amp;display_string=Audit&amp;DYN_ARGS=TRUE&amp;VAR:ID1=221353&amp;VAR:RCODE=LMIN&amp;VAR:SDATE=20070999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285__FDSAUDITLINK__" hidden="1">{"fdsup://IBCentral/FAT Viewer?action=UPDATE&amp;creator=factset&amp;DOC_NAME=fat:reuters_qtrly_source_window.fat&amp;display_string=Audit&amp;DYN_ARGS=TRUE&amp;VAR:ID1=221353&amp;VAR:RCODE=LMIN&amp;VAR:SDATE=20070999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286__FDSAUDITLINK__" localSheetId="8" hidden="1">{"fdsup://IBCentral/FAT Viewer?action=UPDATE&amp;creator=factset&amp;DOC_NAME=fat:reuters_qtrly_source_window.fat&amp;display_string=Audit&amp;DYN_ARGS=TRUE&amp;VAR:ID1=221353&amp;VAR:RCODE=STLD&amp;VAR:SDATE=20070999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286__FDSAUDITLINK__" hidden="1">{"fdsup://IBCentral/FAT Viewer?action=UPDATE&amp;creator=factset&amp;DOC_NAME=fat:reuters_qtrly_source_window.fat&amp;display_string=Audit&amp;DYN_ARGS=TRUE&amp;VAR:ID1=221353&amp;VAR:RCODE=STLD&amp;VAR:SDATE=20070999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287__FDSAUDITLINK__" localSheetId="8" hidden="1">{"fdsup://IBCentral/FAT Viewer?action=UPDATE&amp;creator=factset&amp;DOC_NAME=fat:reuters_qtrly_source_window.fat&amp;display_string=Audit&amp;DYN_ARGS=TRUE&amp;VAR:ID1=221353&amp;VAR:RCODE=SCSI&amp;VAR:SDATE=20070999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287__FDSAUDITLINK__" hidden="1">{"fdsup://IBCentral/FAT Viewer?action=UPDATE&amp;creator=factset&amp;DOC_NAME=fat:reuters_qtrly_source_window.fat&amp;display_string=Audit&amp;DYN_ARGS=TRUE&amp;VAR:ID1=221353&amp;VAR:RCODE=SCSI&amp;VAR:SDATE=20070999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288__FDSAUDITLINK__" localSheetId="8" hidden="1">{"fdsup://IBCentral/FAT Viewer?action=UPDATE&amp;creator=factset&amp;DOC_NAME=fat:reuters_annual_source_window.fat&amp;display_string=Audit&amp;DYN_ARGS=TRUE&amp;VAR:ID1=221353&amp;VAR:RCODE=FDSPFDSTKTOTAL&amp;VAR:SDATE=20071299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288__FDSAUDITLINK__" hidden="1">{"fdsup://IBCentral/FAT Viewer?action=UPDATE&amp;creator=factset&amp;DOC_NAME=fat:reuters_annual_source_window.fat&amp;display_string=Audit&amp;DYN_ARGS=TRUE&amp;VAR:ID1=221353&amp;VAR:RCODE=FDSPFDSTKTOTAL&amp;VAR:SDATE=20071299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289__FDSAUDITLINK__" localSheetId="8" hidden="1">{"fdsup://IBCentral/FAT Viewer?action=UPDATE&amp;creator=factset&amp;DOC_NAME=fat:reuters_annual_source_window.fat&amp;display_string=Audit&amp;DYN_ARGS=TRUE&amp;VAR:ID1=221353&amp;VAR:RCODE=AEQI&amp;VAR:SDATE=20071299&amp;VAR:FREQ=Y&amp;VAR:RELITEM=RP&amp;VAR:CURRENCY=USD&amp;VAR:CURRSOURCE=EXSHARE&amp;","VAR:NATFREQ=ANNUAL&amp;VAR:RFIELD=FINALIZED&amp;VAR:DB_TYPE=&amp;VAR:UNITS=M&amp;window=popup&amp;width=450&amp;height=300&amp;START_MAXIMIZED=FALSE"}</definedName>
    <definedName name="_1289__FDSAUDITLINK__" hidden="1">{"fdsup://IBCentral/FAT Viewer?action=UPDATE&amp;creator=factset&amp;DOC_NAME=fat:reuters_annual_source_window.fat&amp;display_string=Audit&amp;DYN_ARGS=TRUE&amp;VAR:ID1=221353&amp;VAR:RCODE=AEQI&amp;VAR:SDATE=20071299&amp;VAR:FREQ=Y&amp;VAR:RELITEM=RP&amp;VAR:CURRENCY=USD&amp;VAR:CURRSOURCE=EXSHARE&amp;","VAR:NATFREQ=ANNUAL&amp;VAR:RFIELD=FINALIZED&amp;VAR:DB_TYPE=&amp;VAR:UNITS=M&amp;window=popup&amp;width=450&amp;height=300&amp;START_MAXIMIZED=FALSE"}</definedName>
    <definedName name="_129__FDSAUDITLINK__" localSheetId="8" hidden="1">{"fdsup://directions/FAT Viewer?action=UPDATE&amp;creator=factset&amp;DYN_ARGS=TRUE&amp;DOC_NAME=FAT:FQL_AUDITING_CLIENT_TEMPLATE.FAT&amp;display_string=Audit&amp;VAR:KEY=LUDQJADGBG&amp;VAR:QUERY=RkZfRUJJVF9JQignQU5OJywzNTcwMywsLCwnR0JQJyk=&amp;WINDOW=FIRST_POPUP&amp;HEIGHT=450&amp;WIDTH=450&amp;","START_MAXIMIZED=FALSE&amp;VAR:CALENDAR=FIVEDAY&amp;VAR:SYMBOL=080216&amp;VAR:INDEX=0"}</definedName>
    <definedName name="_129__FDSAUDITLINK__" hidden="1">{"fdsup://directions/FAT Viewer?action=UPDATE&amp;creator=factset&amp;DYN_ARGS=TRUE&amp;DOC_NAME=FAT:FQL_AUDITING_CLIENT_TEMPLATE.FAT&amp;display_string=Audit&amp;VAR:KEY=XQRGDYXOPW&amp;VAR:QUERY=RkZfTkVUX0lOQyhDQUwsMjAxMSk=&amp;WINDOW=FIRST_POPUP&amp;HEIGHT=450&amp;WIDTH=450&amp;START_MAXIMIZED=","FALSE&amp;VAR:CALENDAR=US&amp;VAR:SYMBOL=CX&amp;VAR:INDEX=0"}</definedName>
    <definedName name="_129__FDSAUDITLINK___1" localSheetId="8" hidden="1">{"fdsup://directions/FAT Viewer?action=UPDATE&amp;creator=factset&amp;DYN_ARGS=TRUE&amp;DOC_NAME=FAT:FQL_AUDITING_CLIENT_TEMPLATE.FAT&amp;display_string=Audit&amp;VAR:KEY=LUDQJADGBG&amp;VAR:QUERY=RkZfRUJJVF9JQignQU5OJywzNTcwMywsLCwnR0JQJyk=&amp;WINDOW=FIRST_POPUP&amp;HEIGHT=450&amp;WIDTH=450&amp;","START_MAXIMIZED=FALSE&amp;VAR:CALENDAR=FIVEDAY&amp;VAR:SYMBOL=080216&amp;VAR:INDEX=0"}</definedName>
    <definedName name="_129__FDSAUDITLINK___1" hidden="1">{"fdsup://directions/FAT Viewer?action=UPDATE&amp;creator=factset&amp;DYN_ARGS=TRUE&amp;DOC_NAME=FAT:FQL_AUDITING_CLIENT_TEMPLATE.FAT&amp;display_string=Audit&amp;VAR:KEY=LUDQJADGBG&amp;VAR:QUERY=RkZfRUJJVF9JQignQU5OJywzNTcwMywsLCwnR0JQJyk=&amp;WINDOW=FIRST_POPUP&amp;HEIGHT=450&amp;WIDTH=450&amp;","START_MAXIMIZED=FALSE&amp;VAR:CALENDAR=FIVEDAY&amp;VAR:SYMBOL=080216&amp;VAR:INDEX=0"}</definedName>
    <definedName name="_1290__FDSAUDITLINK__" localSheetId="8" hidden="1">{"fdsup://IBCentral/FAT Viewer?action=UPDATE&amp;creator=factset&amp;DOC_NAME=fat:reuters_qtrly_source_window.fat&amp;display_string=Audit&amp;DYN_ARGS=TRUE&amp;VAR:ID1=221353&amp;VAR:RCODE=LMIN&amp;VAR:SDATE=20071299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290__FDSAUDITLINK__" hidden="1">{"fdsup://IBCentral/FAT Viewer?action=UPDATE&amp;creator=factset&amp;DOC_NAME=fat:reuters_qtrly_source_window.fat&amp;display_string=Audit&amp;DYN_ARGS=TRUE&amp;VAR:ID1=221353&amp;VAR:RCODE=LMIN&amp;VAR:SDATE=20071299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291__FDSAUDITLINK__" localSheetId="8" hidden="1">{"fdsup://IBCentral/FAT Viewer?action=UPDATE&amp;creator=factset&amp;DOC_NAME=fat:reuters_qtrly_source_window.fat&amp;display_string=Audit&amp;DYN_ARGS=TRUE&amp;VAR:ID1=221353&amp;VAR:RCODE=STLD&amp;VAR:SDATE=20071299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291__FDSAUDITLINK__" hidden="1">{"fdsup://IBCentral/FAT Viewer?action=UPDATE&amp;creator=factset&amp;DOC_NAME=fat:reuters_qtrly_source_window.fat&amp;display_string=Audit&amp;DYN_ARGS=TRUE&amp;VAR:ID1=221353&amp;VAR:RCODE=STLD&amp;VAR:SDATE=20071299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292__FDSAUDITLINK__" localSheetId="8" hidden="1">{"fdsup://IBCentral/FAT Viewer?action=UPDATE&amp;creator=factset&amp;DOC_NAME=fat:reuters_qtrly_source_window.fat&amp;display_string=Audit&amp;DYN_ARGS=TRUE&amp;VAR:ID1=221353&amp;VAR:RCODE=SCSI&amp;VAR:SDATE=20071299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292__FDSAUDITLINK__" hidden="1">{"fdsup://IBCentral/FAT Viewer?action=UPDATE&amp;creator=factset&amp;DOC_NAME=fat:reuters_qtrly_source_window.fat&amp;display_string=Audit&amp;DYN_ARGS=TRUE&amp;VAR:ID1=221353&amp;VAR:RCODE=SCSI&amp;VAR:SDATE=20071299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293__FDSAUDITLINK__" localSheetId="8" hidden="1">{"fdsup://IBCentral/FAT Viewer?action=UPDATE&amp;creator=factset&amp;DOC_NAME=fat:reuters_annual_source_window.fat&amp;display_string=Audit&amp;DYN_ARGS=TRUE&amp;VAR:ID1=221353&amp;VAR:RCODE=FDSPFDSTKTOTAL&amp;VAR:SDATE=20071299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293__FDSAUDITLINK__" hidden="1">{"fdsup://IBCentral/FAT Viewer?action=UPDATE&amp;creator=factset&amp;DOC_NAME=fat:reuters_annual_source_window.fat&amp;display_string=Audit&amp;DYN_ARGS=TRUE&amp;VAR:ID1=221353&amp;VAR:RCODE=FDSPFDSTKTOTAL&amp;VAR:SDATE=20071299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294__FDSAUDITLINK__" localSheetId="8" hidden="1">{"fdsup://IBCentral/FAT Viewer?action=UPDATE&amp;creator=factset&amp;DOC_NAME=fat:reuters_annual_source_window.fat&amp;display_string=Audit&amp;DYN_ARGS=TRUE&amp;VAR:ID1=221353&amp;VAR:RCODE=AEQI&amp;VAR:SDATE=20071299&amp;VAR:FREQ=Y&amp;VAR:RELITEM=RP&amp;VAR:CURRENCY=USD&amp;VAR:CURRSOURCE=EXSHARE&amp;","VAR:NATFREQ=ANNUAL&amp;VAR:RFIELD=FINALIZED&amp;VAR:DB_TYPE=&amp;VAR:UNITS=M&amp;window=popup&amp;width=450&amp;height=300&amp;START_MAXIMIZED=FALSE"}</definedName>
    <definedName name="_1294__FDSAUDITLINK__" hidden="1">{"fdsup://IBCentral/FAT Viewer?action=UPDATE&amp;creator=factset&amp;DOC_NAME=fat:reuters_annual_source_window.fat&amp;display_string=Audit&amp;DYN_ARGS=TRUE&amp;VAR:ID1=221353&amp;VAR:RCODE=AEQI&amp;VAR:SDATE=20071299&amp;VAR:FREQ=Y&amp;VAR:RELITEM=RP&amp;VAR:CURRENCY=USD&amp;VAR:CURRSOURCE=EXSHARE&amp;","VAR:NATFREQ=ANNUAL&amp;VAR:RFIELD=FINALIZED&amp;VAR:DB_TYPE=&amp;VAR:UNITS=M&amp;window=popup&amp;width=450&amp;height=300&amp;START_MAXIMIZED=FALSE"}</definedName>
    <definedName name="_1295__FDSAUDITLINK__" localSheetId="8" hidden="1">{"fdsup://IBCentral/FAT Viewer?action=UPDATE&amp;creator=factset&amp;DOC_NAME=fat:reuters_qtrly_source_window.fat&amp;display_string=Audit&amp;DYN_ARGS=TRUE&amp;VAR:ID1=221353&amp;VAR:RCODE=LMIN&amp;VAR:SDATE=20071299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295__FDSAUDITLINK__" hidden="1">{"fdsup://IBCentral/FAT Viewer?action=UPDATE&amp;creator=factset&amp;DOC_NAME=fat:reuters_qtrly_source_window.fat&amp;display_string=Audit&amp;DYN_ARGS=TRUE&amp;VAR:ID1=221353&amp;VAR:RCODE=LMIN&amp;VAR:SDATE=20071299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296__FDSAUDITLINK__" localSheetId="8" hidden="1">{"fdsup://IBCentral/FAT Viewer?action=UPDATE&amp;creator=factset&amp;DOC_NAME=fat:reuters_qtrly_source_window.fat&amp;display_string=Audit&amp;DYN_ARGS=TRUE&amp;VAR:ID1=221353&amp;VAR:RCODE=STLD&amp;VAR:SDATE=20071299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296__FDSAUDITLINK__" hidden="1">{"fdsup://IBCentral/FAT Viewer?action=UPDATE&amp;creator=factset&amp;DOC_NAME=fat:reuters_qtrly_source_window.fat&amp;display_string=Audit&amp;DYN_ARGS=TRUE&amp;VAR:ID1=221353&amp;VAR:RCODE=STLD&amp;VAR:SDATE=20071299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297__FDSAUDITLINK__" localSheetId="8" hidden="1">{"fdsup://IBCentral/FAT Viewer?action=UPDATE&amp;creator=factset&amp;DOC_NAME=fat:reuters_qtrly_source_window.fat&amp;display_string=Audit&amp;DYN_ARGS=TRUE&amp;VAR:ID1=221353&amp;VAR:RCODE=SCSI&amp;VAR:SDATE=20071299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297__FDSAUDITLINK__" hidden="1">{"fdsup://IBCentral/FAT Viewer?action=UPDATE&amp;creator=factset&amp;DOC_NAME=fat:reuters_qtrly_source_window.fat&amp;display_string=Audit&amp;DYN_ARGS=TRUE&amp;VAR:ID1=221353&amp;VAR:RCODE=SCSI&amp;VAR:SDATE=20071299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298__FDSAUDITLINK__" localSheetId="8" hidden="1">{"fdsup://IBCentral/FAT Viewer?action=UPDATE&amp;creator=factset&amp;DOC_NAME=fat:reuters_annual_source_window.fat&amp;display_string=Audit&amp;DYN_ARGS=TRUE&amp;VAR:ID1=221353&amp;VAR:RCODE=FDSPFDSTKTOTAL&amp;VAR:SDATE=20071299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298__FDSAUDITLINK__" hidden="1">{"fdsup://IBCentral/FAT Viewer?action=UPDATE&amp;creator=factset&amp;DOC_NAME=fat:reuters_annual_source_window.fat&amp;display_string=Audit&amp;DYN_ARGS=TRUE&amp;VAR:ID1=221353&amp;VAR:RCODE=FDSPFDSTKTOTAL&amp;VAR:SDATE=20071299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299__FDSAUDITLINK__" localSheetId="8" hidden="1">{"fdsup://IBCentral/FAT Viewer?action=UPDATE&amp;creator=factset&amp;DOC_NAME=fat:reuters_annual_source_window.fat&amp;display_string=Audit&amp;DYN_ARGS=TRUE&amp;VAR:ID1=221353&amp;VAR:RCODE=AEQI&amp;VAR:SDATE=20071299&amp;VAR:FREQ=Y&amp;VAR:RELITEM=RP&amp;VAR:CURRENCY=USD&amp;VAR:CURRSOURCE=EXSHARE&amp;","VAR:NATFREQ=ANNUAL&amp;VAR:RFIELD=FINALIZED&amp;VAR:DB_TYPE=&amp;VAR:UNITS=M&amp;window=popup&amp;width=450&amp;height=300&amp;START_MAXIMIZED=FALSE"}</definedName>
    <definedName name="_1299__FDSAUDITLINK__" hidden="1">{"fdsup://IBCentral/FAT Viewer?action=UPDATE&amp;creator=factset&amp;DOC_NAME=fat:reuters_annual_source_window.fat&amp;display_string=Audit&amp;DYN_ARGS=TRUE&amp;VAR:ID1=221353&amp;VAR:RCODE=AEQI&amp;VAR:SDATE=20071299&amp;VAR:FREQ=Y&amp;VAR:RELITEM=RP&amp;VAR:CURRENCY=USD&amp;VAR:CURRSOURCE=EXSHARE&amp;","VAR:NATFREQ=ANNUAL&amp;VAR:RFIELD=FINALIZED&amp;VAR:DB_TYPE=&amp;VAR:UNITS=M&amp;window=popup&amp;width=450&amp;height=300&amp;START_MAXIMIZED=FALSE"}</definedName>
    <definedName name="_13__123Graph_ACHART_13" hidden="1">#REF!</definedName>
    <definedName name="_13__123Graph_ACHART_19" hidden="1">#REF!</definedName>
    <definedName name="_13__123Graph_ACHART_23" localSheetId="8" hidden="1">#REF!</definedName>
    <definedName name="_13__123Graph_ACHART_23" hidden="1">#REF!</definedName>
    <definedName name="_13__123Graph_ACHART_3" hidden="1">#REF!</definedName>
    <definedName name="_13__123Graph_ACHART_8" hidden="1">#REF!</definedName>
    <definedName name="_13__123Graph_BCHART_5" localSheetId="8" hidden="1">#REF!</definedName>
    <definedName name="_13__123Graph_BCHART_5" hidden="1">#REF!</definedName>
    <definedName name="_13__123Graph_BCHART_6" hidden="1">#REF!</definedName>
    <definedName name="_13__123Graph_BGRAFICO_2" localSheetId="8" hidden="1">#REF!</definedName>
    <definedName name="_13__123Graph_BGRAFICO_2" hidden="1">#REF!</definedName>
    <definedName name="_13__123Graph_CCHART_4" hidden="1">#REF!</definedName>
    <definedName name="_13__123Graph_DCHART_2" hidden="1">#REF!</definedName>
    <definedName name="_13__123Graph_ECHART_1" hidden="1">#REF!</definedName>
    <definedName name="_13__123Graph_FGRAFICO_20" hidden="1">#REF!</definedName>
    <definedName name="_13__123Graph_LBL_BGRAFICO_20" hidden="1">#REF!</definedName>
    <definedName name="_13__123Graph_LBL_CGRAFICO_20" hidden="1">#REF!</definedName>
    <definedName name="_13__123Graph_LBL_COG_CONFRONT_INC" hidden="1">#REF!</definedName>
    <definedName name="_13__123Graph_LBL_DCHART_2" hidden="1">#REF!</definedName>
    <definedName name="_13__123Graph_XChart_3" hidden="1">#REF!</definedName>
    <definedName name="_13__FDSAUDITLINK__" localSheetId="8" hidden="1">{"fdsup://directions/FAT Viewer?action=UPDATE&amp;creator=factset&amp;DYN_ARGS=TRUE&amp;DOC_NAME=FAT:FQL_AUDITING_CLIENT_TEMPLATE.FAT&amp;display_string=Audit&amp;VAR:KEY=AHSNSZUNML&amp;VAR:QUERY=RkZfRUJJVF9JQihBTk4sMzkwODIsLCwsRVVSKQ==&amp;WINDOW=FIRST_POPUP&amp;HEIGHT=450&amp;WIDTH=450&amp;STAR","T_MAXIMIZED=FALSE&amp;VAR:CALENDAR=FIVEDAY&amp;VAR:SYMBOL=591344&amp;VAR:INDEX=0"}</definedName>
    <definedName name="_13__FDSAUDITLINK__" hidden="1">{"fdsup://directions/FAT Viewer?action=UPDATE&amp;creator=factset&amp;DYN_ARGS=TRUE&amp;DOC_NAME=FAT:FQL_AUDITING_CLIENT_TEMPLATE.FAT&amp;display_string=Audit&amp;VAR:KEY=ITOHSTKTIN&amp;VAR:QUERY=RkZfU0FMRVMoQ0FMLDIwMTEp&amp;WINDOW=FIRST_POPUP&amp;HEIGHT=450&amp;WIDTH=450&amp;START_MAXIMIZED=FALS","E&amp;VAR:CALENDAR=US&amp;VAR:SYMBOL=BLDR&amp;VAR:INDEX=0"}</definedName>
    <definedName name="_13__FDSAUDITLINK___1" localSheetId="8" hidden="1">{"fdsup://directions/FAT Viewer?action=UPDATE&amp;creator=factset&amp;DYN_ARGS=TRUE&amp;DOC_NAME=FAT:FQL_AUDITING_CLIENT_TEMPLATE.FAT&amp;display_string=Audit&amp;VAR:KEY=AHSNSZUNML&amp;VAR:QUERY=RkZfRUJJVF9JQihBTk4sMzkwODIsLCwsRVVSKQ==&amp;WINDOW=FIRST_POPUP&amp;HEIGHT=450&amp;WIDTH=450&amp;STAR","T_MAXIMIZED=FALSE&amp;VAR:CALENDAR=FIVEDAY&amp;VAR:SYMBOL=591344&amp;VAR:INDEX=0"}</definedName>
    <definedName name="_13__FDSAUDITLINK___1" hidden="1">{"fdsup://directions/FAT Viewer?action=UPDATE&amp;creator=factset&amp;DYN_ARGS=TRUE&amp;DOC_NAME=FAT:FQL_AUDITING_CLIENT_TEMPLATE.FAT&amp;display_string=Audit&amp;VAR:KEY=AHSNSZUNML&amp;VAR:QUERY=RkZfRUJJVF9JQihBTk4sMzkwODIsLCwsRVVSKQ==&amp;WINDOW=FIRST_POPUP&amp;HEIGHT=450&amp;WIDTH=450&amp;STAR","T_MAXIMIZED=FALSE&amp;VAR:CALENDAR=FIVEDAY&amp;VAR:SYMBOL=591344&amp;VAR:INDEX=0"}</definedName>
    <definedName name="_13_0_S" localSheetId="8" hidden="1">#REF!</definedName>
    <definedName name="_13_0_S" hidden="1">#REF!</definedName>
    <definedName name="_13_123Graph_XB92S" hidden="1">#REF!</definedName>
    <definedName name="_130__FDSAUDITLINK__" localSheetId="8" hidden="1">{"fdsup://directions/FAT Viewer?action=UPDATE&amp;creator=factset&amp;DYN_ARGS=TRUE&amp;DOC_NAME=FAT:FQL_AUDITING_CLIENT_TEMPLATE.FAT&amp;display_string=Audit&amp;VAR:KEY=DUXSNQLWDC&amp;VAR:QUERY=RkZfRUJJVF9JQignQU5OJywzNTMzOCwsLCwnR0JQJyk=&amp;WINDOW=FIRST_POPUP&amp;HEIGHT=450&amp;WIDTH=450&amp;","START_MAXIMIZED=FALSE&amp;VAR:CALENDAR=FIVEDAY&amp;VAR:SYMBOL=080216&amp;VAR:INDEX=0"}</definedName>
    <definedName name="_130__FDSAUDITLINK__" hidden="1">{"fdsup://directions/FAT Viewer?action=UPDATE&amp;creator=factset&amp;DYN_ARGS=TRUE&amp;DOC_NAME=FAT:FQL_AUDITING_CLIENT_TEMPLATE.FAT&amp;display_string=Audit&amp;VAR:KEY=NYJMZQNCRE&amp;VAR:QUERY=RkZfTkVUX0lOQyhDQUwsMjAxMSk=&amp;WINDOW=FIRST_POPUP&amp;HEIGHT=450&amp;WIDTH=450&amp;START_MAXIMIZED=","FALSE&amp;VAR:CALENDAR=US&amp;VAR:SYMBOL=450270&amp;VAR:INDEX=0"}</definedName>
    <definedName name="_130__FDSAUDITLINK___1" localSheetId="8" hidden="1">{"fdsup://directions/FAT Viewer?action=UPDATE&amp;creator=factset&amp;DYN_ARGS=TRUE&amp;DOC_NAME=FAT:FQL_AUDITING_CLIENT_TEMPLATE.FAT&amp;display_string=Audit&amp;VAR:KEY=DUXSNQLWDC&amp;VAR:QUERY=RkZfRUJJVF9JQignQU5OJywzNTMzOCwsLCwnR0JQJyk=&amp;WINDOW=FIRST_POPUP&amp;HEIGHT=450&amp;WIDTH=450&amp;","START_MAXIMIZED=FALSE&amp;VAR:CALENDAR=FIVEDAY&amp;VAR:SYMBOL=080216&amp;VAR:INDEX=0"}</definedName>
    <definedName name="_130__FDSAUDITLINK___1" hidden="1">{"fdsup://directions/FAT Viewer?action=UPDATE&amp;creator=factset&amp;DYN_ARGS=TRUE&amp;DOC_NAME=FAT:FQL_AUDITING_CLIENT_TEMPLATE.FAT&amp;display_string=Audit&amp;VAR:KEY=DUXSNQLWDC&amp;VAR:QUERY=RkZfRUJJVF9JQignQU5OJywzNTMzOCwsLCwnR0JQJyk=&amp;WINDOW=FIRST_POPUP&amp;HEIGHT=450&amp;WIDTH=450&amp;","START_MAXIMIZED=FALSE&amp;VAR:CALENDAR=FIVEDAY&amp;VAR:SYMBOL=080216&amp;VAR:INDEX=0"}</definedName>
    <definedName name="_1300__FDSAUDITLINK__" localSheetId="8" hidden="1">{"fdsup://IBCentral/FAT Viewer?action=UPDATE&amp;creator=factset&amp;DOC_NAME=fat:reuters_qtrly_source_window.fat&amp;display_string=Audit&amp;DYN_ARGS=TRUE&amp;VAR:ID1=221353&amp;VAR:RCODE=LMIN&amp;VAR:SDATE=20071299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300__FDSAUDITLINK__" hidden="1">{"fdsup://IBCentral/FAT Viewer?action=UPDATE&amp;creator=factset&amp;DOC_NAME=fat:reuters_qtrly_source_window.fat&amp;display_string=Audit&amp;DYN_ARGS=TRUE&amp;VAR:ID1=221353&amp;VAR:RCODE=LMIN&amp;VAR:SDATE=20071299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301__FDSAUDITLINK__" localSheetId="8" hidden="1">{"fdsup://IBCentral/FAT Viewer?action=UPDATE&amp;creator=factset&amp;DOC_NAME=fat:reuters_qtrly_source_window.fat&amp;display_string=Audit&amp;DYN_ARGS=TRUE&amp;VAR:ID1=221353&amp;VAR:RCODE=STLD&amp;VAR:SDATE=20071299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301__FDSAUDITLINK__" hidden="1">{"fdsup://IBCentral/FAT Viewer?action=UPDATE&amp;creator=factset&amp;DOC_NAME=fat:reuters_qtrly_source_window.fat&amp;display_string=Audit&amp;DYN_ARGS=TRUE&amp;VAR:ID1=221353&amp;VAR:RCODE=STLD&amp;VAR:SDATE=20071299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302__FDSAUDITLINK__" localSheetId="8" hidden="1">{"fdsup://IBCentral/FAT Viewer?action=UPDATE&amp;creator=factset&amp;DOC_NAME=fat:reuters_qtrly_source_window.fat&amp;display_string=Audit&amp;DYN_ARGS=TRUE&amp;VAR:ID1=221353&amp;VAR:RCODE=SCSI&amp;VAR:SDATE=20071299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302__FDSAUDITLINK__" hidden="1">{"fdsup://IBCentral/FAT Viewer?action=UPDATE&amp;creator=factset&amp;DOC_NAME=fat:reuters_qtrly_source_window.fat&amp;display_string=Audit&amp;DYN_ARGS=TRUE&amp;VAR:ID1=221353&amp;VAR:RCODE=SCSI&amp;VAR:SDATE=20071299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303__FDSAUDITLINK__" localSheetId="8" hidden="1">{"fdsup://IBCentral/FAT Viewer?action=UPDATE&amp;creator=factset&amp;DOC_NAME=fat:reuters_annual_source_window.fat&amp;display_string=Audit&amp;DYN_ARGS=TRUE&amp;VAR:ID1=221353&amp;VAR:RCODE=FDSPFDSTKTOTAL&amp;VAR:SDATE=20071299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303__FDSAUDITLINK__" hidden="1">{"fdsup://IBCentral/FAT Viewer?action=UPDATE&amp;creator=factset&amp;DOC_NAME=fat:reuters_annual_source_window.fat&amp;display_string=Audit&amp;DYN_ARGS=TRUE&amp;VAR:ID1=221353&amp;VAR:RCODE=FDSPFDSTKTOTAL&amp;VAR:SDATE=20071299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304__FDSAUDITLINK__" localSheetId="8" hidden="1">{"fdsup://IBCentral/FAT Viewer?action=UPDATE&amp;creator=factset&amp;DOC_NAME=fat:reuters_annual_source_window.fat&amp;display_string=Audit&amp;DYN_ARGS=TRUE&amp;VAR:ID1=221353&amp;VAR:RCODE=AEQI&amp;VAR:SDATE=20071299&amp;VAR:FREQ=Y&amp;VAR:RELITEM=RP&amp;VAR:CURRENCY=USD&amp;VAR:CURRSOURCE=EXSHARE&amp;","VAR:NATFREQ=ANNUAL&amp;VAR:RFIELD=FINALIZED&amp;VAR:DB_TYPE=&amp;VAR:UNITS=M&amp;window=popup&amp;width=450&amp;height=300&amp;START_MAXIMIZED=FALSE"}</definedName>
    <definedName name="_1304__FDSAUDITLINK__" hidden="1">{"fdsup://IBCentral/FAT Viewer?action=UPDATE&amp;creator=factset&amp;DOC_NAME=fat:reuters_annual_source_window.fat&amp;display_string=Audit&amp;DYN_ARGS=TRUE&amp;VAR:ID1=221353&amp;VAR:RCODE=AEQI&amp;VAR:SDATE=20071299&amp;VAR:FREQ=Y&amp;VAR:RELITEM=RP&amp;VAR:CURRENCY=USD&amp;VAR:CURRSOURCE=EXSHARE&amp;","VAR:NATFREQ=ANNUAL&amp;VAR:RFIELD=FINALIZED&amp;VAR:DB_TYPE=&amp;VAR:UNITS=M&amp;window=popup&amp;width=450&amp;height=300&amp;START_MAXIMIZED=FALSE"}</definedName>
    <definedName name="_1305__FDSAUDITLINK__" localSheetId="8" hidden="1">{"fdsup://IBCentral/FAT Viewer?action=UPDATE&amp;creator=factset&amp;DOC_NAME=fat:reuters_qtrly_source_window.fat&amp;display_string=Audit&amp;DYN_ARGS=TRUE&amp;VAR:ID1=221353&amp;VAR:RCODE=LMIN&amp;VAR:SDATE=20071299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305__FDSAUDITLINK__" hidden="1">{"fdsup://IBCentral/FAT Viewer?action=UPDATE&amp;creator=factset&amp;DOC_NAME=fat:reuters_qtrly_source_window.fat&amp;display_string=Audit&amp;DYN_ARGS=TRUE&amp;VAR:ID1=221353&amp;VAR:RCODE=LMIN&amp;VAR:SDATE=20071299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306__FDSAUDITLINK__" localSheetId="8" hidden="1">{"fdsup://IBCentral/FAT Viewer?action=UPDATE&amp;creator=factset&amp;DOC_NAME=fat:reuters_qtrly_source_window.fat&amp;display_string=Audit&amp;DYN_ARGS=TRUE&amp;VAR:ID1=221353&amp;VAR:RCODE=STLD&amp;VAR:SDATE=20071299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306__FDSAUDITLINK__" hidden="1">{"fdsup://IBCentral/FAT Viewer?action=UPDATE&amp;creator=factset&amp;DOC_NAME=fat:reuters_qtrly_source_window.fat&amp;display_string=Audit&amp;DYN_ARGS=TRUE&amp;VAR:ID1=221353&amp;VAR:RCODE=STLD&amp;VAR:SDATE=20071299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307__FDSAUDITLINK__" localSheetId="8" hidden="1">{"fdsup://IBCentral/FAT Viewer?action=UPDATE&amp;creator=factset&amp;DOC_NAME=fat:reuters_qtrly_source_window.fat&amp;display_string=Audit&amp;DYN_ARGS=TRUE&amp;VAR:ID1=221353&amp;VAR:RCODE=SCSI&amp;VAR:SDATE=20071299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307__FDSAUDITLINK__" hidden="1">{"fdsup://IBCentral/FAT Viewer?action=UPDATE&amp;creator=factset&amp;DOC_NAME=fat:reuters_qtrly_source_window.fat&amp;display_string=Audit&amp;DYN_ARGS=TRUE&amp;VAR:ID1=221353&amp;VAR:RCODE=SCSI&amp;VAR:SDATE=20071299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308__FDSAUDITLINK__" localSheetId="8" hidden="1">{"fdsup://IBCentral/FAT Viewer?action=UPDATE&amp;creator=factset&amp;DOC_NAME=fat:reuters_annual_source_window.fat&amp;display_string=Audit&amp;DYN_ARGS=TRUE&amp;VAR:ID1=221353&amp;VAR:RCODE=FDSPFDSTKTOTAL&amp;VAR:SDATE=20071299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308__FDSAUDITLINK__" hidden="1">{"fdsup://IBCentral/FAT Viewer?action=UPDATE&amp;creator=factset&amp;DOC_NAME=fat:reuters_annual_source_window.fat&amp;display_string=Audit&amp;DYN_ARGS=TRUE&amp;VAR:ID1=221353&amp;VAR:RCODE=FDSPFDSTKTOTAL&amp;VAR:SDATE=20071299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309__FDSAUDITLINK__" localSheetId="8" hidden="1">{"fdsup://IBCentral/FAT Viewer?action=UPDATE&amp;creator=factset&amp;DOC_NAME=fat:reuters_annual_source_window.fat&amp;display_string=Audit&amp;DYN_ARGS=TRUE&amp;VAR:ID1=221353&amp;VAR:RCODE=AEQI&amp;VAR:SDATE=20071299&amp;VAR:FREQ=Y&amp;VAR:RELITEM=RP&amp;VAR:CURRENCY=USD&amp;VAR:CURRSOURCE=EXSHARE&amp;","VAR:NATFREQ=ANNUAL&amp;VAR:RFIELD=FINALIZED&amp;VAR:DB_TYPE=&amp;VAR:UNITS=M&amp;window=popup&amp;width=450&amp;height=300&amp;START_MAXIMIZED=FALSE"}</definedName>
    <definedName name="_1309__FDSAUDITLINK__" hidden="1">{"fdsup://IBCentral/FAT Viewer?action=UPDATE&amp;creator=factset&amp;DOC_NAME=fat:reuters_annual_source_window.fat&amp;display_string=Audit&amp;DYN_ARGS=TRUE&amp;VAR:ID1=221353&amp;VAR:RCODE=AEQI&amp;VAR:SDATE=20071299&amp;VAR:FREQ=Y&amp;VAR:RELITEM=RP&amp;VAR:CURRENCY=USD&amp;VAR:CURRSOURCE=EXSHARE&amp;","VAR:NATFREQ=ANNUAL&amp;VAR:RFIELD=FINALIZED&amp;VAR:DB_TYPE=&amp;VAR:UNITS=M&amp;window=popup&amp;width=450&amp;height=300&amp;START_MAXIMIZED=FALSE"}</definedName>
    <definedName name="_131__123Graph_LBL_ACHART_22" hidden="1">#REF!</definedName>
    <definedName name="_131__FDSAUDITLINK__" localSheetId="8" hidden="1">{"fdsup://directions/FAT Viewer?action=UPDATE&amp;creator=factset&amp;DYN_ARGS=TRUE&amp;DOC_NAME=FAT:FQL_AUDITING_CLIENT_TEMPLATE.FAT&amp;display_string=Audit&amp;VAR:KEY=BONKDQVUVY&amp;VAR:QUERY=RkZfRUJJVF9JQignQU5OJywzNDk3MiwsLCwnR0JQJyk=&amp;WINDOW=FIRST_POPUP&amp;HEIGHT=450&amp;WIDTH=450&amp;","START_MAXIMIZED=FALSE&amp;VAR:CALENDAR=FIVEDAY&amp;VAR:SYMBOL=080216&amp;VAR:INDEX=0"}</definedName>
    <definedName name="_131__FDSAUDITLINK__" hidden="1">{"fdsup://directions/FAT Viewer?action=UPDATE&amp;creator=factset&amp;DYN_ARGS=TRUE&amp;DOC_NAME=FAT:FQL_AUDITING_CLIENT_TEMPLATE.FAT&amp;display_string=Audit&amp;VAR:KEY=ALQRSPMPGV&amp;VAR:QUERY=RkZfTkVUX0lOQyhDQUwsMjAxMSk=&amp;WINDOW=FIRST_POPUP&amp;HEIGHT=450&amp;WIDTH=450&amp;START_MAXIMIZED=","FALSE&amp;VAR:CALENDAR=US&amp;VAR:SYMBOL=BLDR&amp;VAR:INDEX=0"}</definedName>
    <definedName name="_131__FDSAUDITLINK___1" localSheetId="8" hidden="1">{"fdsup://directions/FAT Viewer?action=UPDATE&amp;creator=factset&amp;DYN_ARGS=TRUE&amp;DOC_NAME=FAT:FQL_AUDITING_CLIENT_TEMPLATE.FAT&amp;display_string=Audit&amp;VAR:KEY=BONKDQVUVY&amp;VAR:QUERY=RkZfRUJJVF9JQignQU5OJywzNDk3MiwsLCwnR0JQJyk=&amp;WINDOW=FIRST_POPUP&amp;HEIGHT=450&amp;WIDTH=450&amp;","START_MAXIMIZED=FALSE&amp;VAR:CALENDAR=FIVEDAY&amp;VAR:SYMBOL=080216&amp;VAR:INDEX=0"}</definedName>
    <definedName name="_131__FDSAUDITLINK___1" hidden="1">{"fdsup://directions/FAT Viewer?action=UPDATE&amp;creator=factset&amp;DYN_ARGS=TRUE&amp;DOC_NAME=FAT:FQL_AUDITING_CLIENT_TEMPLATE.FAT&amp;display_string=Audit&amp;VAR:KEY=BONKDQVUVY&amp;VAR:QUERY=RkZfRUJJVF9JQignQU5OJywzNDk3MiwsLCwnR0JQJyk=&amp;WINDOW=FIRST_POPUP&amp;HEIGHT=450&amp;WIDTH=450&amp;","START_MAXIMIZED=FALSE&amp;VAR:CALENDAR=FIVEDAY&amp;VAR:SYMBOL=080216&amp;VAR:INDEX=0"}</definedName>
    <definedName name="_1310__FDSAUDITLINK__" localSheetId="8" hidden="1">{"fdsup://IBCentral/FAT Viewer?action=UPDATE&amp;creator=factset&amp;DOC_NAME=fat:reuters_qtrly_source_window.fat&amp;display_string=Audit&amp;DYN_ARGS=TRUE&amp;VAR:ID1=221353&amp;VAR:RCODE=LMIN&amp;VAR:SDATE=20071299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310__FDSAUDITLINK__" hidden="1">{"fdsup://IBCentral/FAT Viewer?action=UPDATE&amp;creator=factset&amp;DOC_NAME=fat:reuters_qtrly_source_window.fat&amp;display_string=Audit&amp;DYN_ARGS=TRUE&amp;VAR:ID1=221353&amp;VAR:RCODE=LMIN&amp;VAR:SDATE=20071299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311__FDSAUDITLINK__" localSheetId="8" hidden="1">{"fdsup://IBCentral/FAT Viewer?action=UPDATE&amp;creator=factset&amp;DOC_NAME=fat:reuters_qtrly_source_window.fat&amp;display_string=Audit&amp;DYN_ARGS=TRUE&amp;VAR:ID1=221353&amp;VAR:RCODE=STLD&amp;VAR:SDATE=20071299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311__FDSAUDITLINK__" hidden="1">{"fdsup://IBCentral/FAT Viewer?action=UPDATE&amp;creator=factset&amp;DOC_NAME=fat:reuters_qtrly_source_window.fat&amp;display_string=Audit&amp;DYN_ARGS=TRUE&amp;VAR:ID1=221353&amp;VAR:RCODE=STLD&amp;VAR:SDATE=20071299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312__FDSAUDITLINK__" localSheetId="8" hidden="1">{"fdsup://IBCentral/FAT Viewer?action=UPDATE&amp;creator=factset&amp;DOC_NAME=fat:reuters_qtrly_source_window.fat&amp;display_string=Audit&amp;DYN_ARGS=TRUE&amp;VAR:ID1=221353&amp;VAR:RCODE=SCSI&amp;VAR:SDATE=20071299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312__FDSAUDITLINK__" hidden="1">{"fdsup://IBCentral/FAT Viewer?action=UPDATE&amp;creator=factset&amp;DOC_NAME=fat:reuters_qtrly_source_window.fat&amp;display_string=Audit&amp;DYN_ARGS=TRUE&amp;VAR:ID1=221353&amp;VAR:RCODE=SCSI&amp;VAR:SDATE=20071299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313__FDSAUDITLINK__" localSheetId="8" hidden="1">{"fdsup://IBCentral/FAT Viewer?action=UPDATE&amp;creator=factset&amp;DOC_NAME=fat:reuters_annual_source_window.fat&amp;display_string=Audit&amp;DYN_ARGS=TRUE&amp;VAR:ID1=221353&amp;VAR:RCODE=FDSPFDSTKTOTAL&amp;VAR:SDATE=20071299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313__FDSAUDITLINK__" hidden="1">{"fdsup://IBCentral/FAT Viewer?action=UPDATE&amp;creator=factset&amp;DOC_NAME=fat:reuters_annual_source_window.fat&amp;display_string=Audit&amp;DYN_ARGS=TRUE&amp;VAR:ID1=221353&amp;VAR:RCODE=FDSPFDSTKTOTAL&amp;VAR:SDATE=20071299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314__FDSAUDITLINK__" localSheetId="8" hidden="1">{"fdsup://IBCentral/FAT Viewer?action=UPDATE&amp;creator=factset&amp;DOC_NAME=fat:reuters_annual_source_window.fat&amp;display_string=Audit&amp;DYN_ARGS=TRUE&amp;VAR:ID1=221353&amp;VAR:RCODE=AEQI&amp;VAR:SDATE=20071299&amp;VAR:FREQ=Y&amp;VAR:RELITEM=RP&amp;VAR:CURRENCY=USD&amp;VAR:CURRSOURCE=EXSHARE&amp;","VAR:NATFREQ=ANNUAL&amp;VAR:RFIELD=FINALIZED&amp;VAR:DB_TYPE=&amp;VAR:UNITS=M&amp;window=popup&amp;width=450&amp;height=300&amp;START_MAXIMIZED=FALSE"}</definedName>
    <definedName name="_1314__FDSAUDITLINK__" hidden="1">{"fdsup://IBCentral/FAT Viewer?action=UPDATE&amp;creator=factset&amp;DOC_NAME=fat:reuters_annual_source_window.fat&amp;display_string=Audit&amp;DYN_ARGS=TRUE&amp;VAR:ID1=221353&amp;VAR:RCODE=AEQI&amp;VAR:SDATE=20071299&amp;VAR:FREQ=Y&amp;VAR:RELITEM=RP&amp;VAR:CURRENCY=USD&amp;VAR:CURRSOURCE=EXSHARE&amp;","VAR:NATFREQ=ANNUAL&amp;VAR:RFIELD=FINALIZED&amp;VAR:DB_TYPE=&amp;VAR:UNITS=M&amp;window=popup&amp;width=450&amp;height=300&amp;START_MAXIMIZED=FALSE"}</definedName>
    <definedName name="_1315__FDSAUDITLINK__" localSheetId="8" hidden="1">{"fdsup://IBCentral/FAT Viewer?action=UPDATE&amp;creator=factset&amp;DOC_NAME=fat:reuters_qtrly_source_window.fat&amp;display_string=Audit&amp;DYN_ARGS=TRUE&amp;VAR:ID1=221353&amp;VAR:RCODE=LMIN&amp;VAR:SDATE=20071299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315__FDSAUDITLINK__" hidden="1">{"fdsup://IBCentral/FAT Viewer?action=UPDATE&amp;creator=factset&amp;DOC_NAME=fat:reuters_qtrly_source_window.fat&amp;display_string=Audit&amp;DYN_ARGS=TRUE&amp;VAR:ID1=221353&amp;VAR:RCODE=LMIN&amp;VAR:SDATE=20071299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316__FDSAUDITLINK__" localSheetId="8" hidden="1">{"fdsup://IBCentral/FAT Viewer?action=UPDATE&amp;creator=factset&amp;DOC_NAME=fat:reuters_qtrly_source_window.fat&amp;display_string=Audit&amp;DYN_ARGS=TRUE&amp;VAR:ID1=221353&amp;VAR:RCODE=STLD&amp;VAR:SDATE=20071299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316__FDSAUDITLINK__" hidden="1">{"fdsup://IBCentral/FAT Viewer?action=UPDATE&amp;creator=factset&amp;DOC_NAME=fat:reuters_qtrly_source_window.fat&amp;display_string=Audit&amp;DYN_ARGS=TRUE&amp;VAR:ID1=221353&amp;VAR:RCODE=STLD&amp;VAR:SDATE=20071299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317__FDSAUDITLINK__" localSheetId="8" hidden="1">{"fdsup://IBCentral/FAT Viewer?action=UPDATE&amp;creator=factset&amp;DOC_NAME=fat:reuters_qtrly_source_window.fat&amp;display_string=Audit&amp;DYN_ARGS=TRUE&amp;VAR:ID1=221353&amp;VAR:RCODE=SCSI&amp;VAR:SDATE=20071299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317__FDSAUDITLINK__" hidden="1">{"fdsup://IBCentral/FAT Viewer?action=UPDATE&amp;creator=factset&amp;DOC_NAME=fat:reuters_qtrly_source_window.fat&amp;display_string=Audit&amp;DYN_ARGS=TRUE&amp;VAR:ID1=221353&amp;VAR:RCODE=SCSI&amp;VAR:SDATE=20071299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318__FDSAUDITLINK__" localSheetId="8" hidden="1">{"fdsup://IBCentral/FAT Viewer?action=UPDATE&amp;creator=factset&amp;DOC_NAME=fat:reuters_annual_source_window.fat&amp;display_string=Audit&amp;DYN_ARGS=TRUE&amp;VAR:ID1=221353&amp;VAR:RCODE=FDSPFDSTKTOTAL&amp;VAR:SDATE=20071299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318__FDSAUDITLINK__" hidden="1">{"fdsup://IBCentral/FAT Viewer?action=UPDATE&amp;creator=factset&amp;DOC_NAME=fat:reuters_annual_source_window.fat&amp;display_string=Audit&amp;DYN_ARGS=TRUE&amp;VAR:ID1=221353&amp;VAR:RCODE=FDSPFDSTKTOTAL&amp;VAR:SDATE=20071299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319__FDSAUDITLINK__" localSheetId="8" hidden="1">{"fdsup://IBCentral/FAT Viewer?action=UPDATE&amp;creator=factset&amp;DOC_NAME=fat:reuters_annual_source_window.fat&amp;display_string=Audit&amp;DYN_ARGS=TRUE&amp;VAR:ID1=221353&amp;VAR:RCODE=AEQI&amp;VAR:SDATE=20071299&amp;VAR:FREQ=Y&amp;VAR:RELITEM=RP&amp;VAR:CURRENCY=USD&amp;VAR:CURRSOURCE=EXSHARE&amp;","VAR:NATFREQ=ANNUAL&amp;VAR:RFIELD=FINALIZED&amp;VAR:DB_TYPE=&amp;VAR:UNITS=M&amp;window=popup&amp;width=450&amp;height=300&amp;START_MAXIMIZED=FALSE"}</definedName>
    <definedName name="_1319__FDSAUDITLINK__" hidden="1">{"fdsup://IBCentral/FAT Viewer?action=UPDATE&amp;creator=factset&amp;DOC_NAME=fat:reuters_annual_source_window.fat&amp;display_string=Audit&amp;DYN_ARGS=TRUE&amp;VAR:ID1=221353&amp;VAR:RCODE=AEQI&amp;VAR:SDATE=20071299&amp;VAR:FREQ=Y&amp;VAR:RELITEM=RP&amp;VAR:CURRENCY=USD&amp;VAR:CURRSOURCE=EXSHARE&amp;","VAR:NATFREQ=ANNUAL&amp;VAR:RFIELD=FINALIZED&amp;VAR:DB_TYPE=&amp;VAR:UNITS=M&amp;window=popup&amp;width=450&amp;height=300&amp;START_MAXIMIZED=FALSE"}</definedName>
    <definedName name="_132__123Graph_LBL_ACHART_23" hidden="1">#REF!</definedName>
    <definedName name="_132__FDSAUDITLINK__" localSheetId="8" hidden="1">{"fdsup://directions/FAT Viewer?action=UPDATE&amp;creator=factset&amp;DYN_ARGS=TRUE&amp;DOC_NAME=FAT:FQL_AUDITING_CLIENT_TEMPLATE.FAT&amp;display_string=Audit&amp;VAR:KEY=PWFYVSDULW&amp;VAR:QUERY=RkZfRUJJVF9JQignQU5OJywzNDYwNywsLCwnR0JQJyk=&amp;WINDOW=FIRST_POPUP&amp;HEIGHT=450&amp;WIDTH=450&amp;","START_MAXIMIZED=FALSE&amp;VAR:CALENDAR=FIVEDAY&amp;VAR:SYMBOL=080216&amp;VAR:INDEX=0"}</definedName>
    <definedName name="_132__FDSAUDITLINK__" hidden="1">{"fdsup://directions/FAT Viewer?action=UPDATE&amp;creator=factset&amp;DYN_ARGS=TRUE&amp;DOC_NAME=FAT:FQL_AUDITING_CLIENT_TEMPLATE.FAT&amp;display_string=Audit&amp;VAR:KEY=SXUFYDWVSP&amp;VAR:QUERY=RkZfTkVUX0lOQyhDQUwsMjAxMSk=&amp;WINDOW=FIRST_POPUP&amp;HEIGHT=450&amp;WIDTH=450&amp;START_MAXIMIZED=","FALSE&amp;VAR:CALENDAR=US&amp;VAR:SYMBOL=VMC&amp;VAR:INDEX=0"}</definedName>
    <definedName name="_132__FDSAUDITLINK___1" localSheetId="8" hidden="1">{"fdsup://directions/FAT Viewer?action=UPDATE&amp;creator=factset&amp;DYN_ARGS=TRUE&amp;DOC_NAME=FAT:FQL_AUDITING_CLIENT_TEMPLATE.FAT&amp;display_string=Audit&amp;VAR:KEY=PWFYVSDULW&amp;VAR:QUERY=RkZfRUJJVF9JQignQU5OJywzNDYwNywsLCwnR0JQJyk=&amp;WINDOW=FIRST_POPUP&amp;HEIGHT=450&amp;WIDTH=450&amp;","START_MAXIMIZED=FALSE&amp;VAR:CALENDAR=FIVEDAY&amp;VAR:SYMBOL=080216&amp;VAR:INDEX=0"}</definedName>
    <definedName name="_132__FDSAUDITLINK___1" hidden="1">{"fdsup://directions/FAT Viewer?action=UPDATE&amp;creator=factset&amp;DYN_ARGS=TRUE&amp;DOC_NAME=FAT:FQL_AUDITING_CLIENT_TEMPLATE.FAT&amp;display_string=Audit&amp;VAR:KEY=PWFYVSDULW&amp;VAR:QUERY=RkZfRUJJVF9JQignQU5OJywzNDYwNywsLCwnR0JQJyk=&amp;WINDOW=FIRST_POPUP&amp;HEIGHT=450&amp;WIDTH=450&amp;","START_MAXIMIZED=FALSE&amp;VAR:CALENDAR=FIVEDAY&amp;VAR:SYMBOL=080216&amp;VAR:INDEX=0"}</definedName>
    <definedName name="_1320__FDSAUDITLINK__" localSheetId="8" hidden="1">{"fdsup://IBCentral/FAT Viewer?action=UPDATE&amp;creator=factset&amp;DOC_NAME=fat:reuters_qtrly_source_window.fat&amp;display_string=Audit&amp;DYN_ARGS=TRUE&amp;VAR:ID1=221353&amp;VAR:RCODE=LMIN&amp;VAR:SDATE=20071299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320__FDSAUDITLINK__" hidden="1">{"fdsup://IBCentral/FAT Viewer?action=UPDATE&amp;creator=factset&amp;DOC_NAME=fat:reuters_qtrly_source_window.fat&amp;display_string=Audit&amp;DYN_ARGS=TRUE&amp;VAR:ID1=221353&amp;VAR:RCODE=LMIN&amp;VAR:SDATE=20071299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321__FDSAUDITLINK__" localSheetId="8" hidden="1">{"fdsup://IBCentral/FAT Viewer?action=UPDATE&amp;creator=factset&amp;DOC_NAME=fat:reuters_qtrly_source_window.fat&amp;display_string=Audit&amp;DYN_ARGS=TRUE&amp;VAR:ID1=221353&amp;VAR:RCODE=STLD&amp;VAR:SDATE=20071299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321__FDSAUDITLINK__" hidden="1">{"fdsup://IBCentral/FAT Viewer?action=UPDATE&amp;creator=factset&amp;DOC_NAME=fat:reuters_qtrly_source_window.fat&amp;display_string=Audit&amp;DYN_ARGS=TRUE&amp;VAR:ID1=221353&amp;VAR:RCODE=STLD&amp;VAR:SDATE=20071299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322__FDSAUDITLINK__" localSheetId="8" hidden="1">{"fdsup://IBCentral/FAT Viewer?action=UPDATE&amp;creator=factset&amp;DOC_NAME=fat:reuters_qtrly_source_window.fat&amp;display_string=Audit&amp;DYN_ARGS=TRUE&amp;VAR:ID1=221353&amp;VAR:RCODE=SCSI&amp;VAR:SDATE=20071299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322__FDSAUDITLINK__" hidden="1">{"fdsup://IBCentral/FAT Viewer?action=UPDATE&amp;creator=factset&amp;DOC_NAME=fat:reuters_qtrly_source_window.fat&amp;display_string=Audit&amp;DYN_ARGS=TRUE&amp;VAR:ID1=221353&amp;VAR:RCODE=SCSI&amp;VAR:SDATE=20071299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323__FDSAUDITLINK__" localSheetId="8" hidden="1">{"fdsup://IBCentral/FAT Viewer?action=UPDATE&amp;creator=factset&amp;DOC_NAME=fat:reuters_annual_source_window.fat&amp;display_string=Audit&amp;DYN_ARGS=TRUE&amp;VAR:ID1=221353&amp;VAR:RCODE=FDSPFDSTKTOTAL&amp;VAR:SDATE=20071299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323__FDSAUDITLINK__" hidden="1">{"fdsup://IBCentral/FAT Viewer?action=UPDATE&amp;creator=factset&amp;DOC_NAME=fat:reuters_annual_source_window.fat&amp;display_string=Audit&amp;DYN_ARGS=TRUE&amp;VAR:ID1=221353&amp;VAR:RCODE=FDSPFDSTKTOTAL&amp;VAR:SDATE=20071299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324__FDSAUDITLINK__" localSheetId="8" hidden="1">{"fdsup://IBCentral/FAT Viewer?action=UPDATE&amp;creator=factset&amp;DOC_NAME=fat:reuters_annual_source_window.fat&amp;display_string=Audit&amp;DYN_ARGS=TRUE&amp;VAR:ID1=221353&amp;VAR:RCODE=AEQI&amp;VAR:SDATE=20071299&amp;VAR:FREQ=Y&amp;VAR:RELITEM=RP&amp;VAR:CURRENCY=USD&amp;VAR:CURRSOURCE=EXSHARE&amp;","VAR:NATFREQ=ANNUAL&amp;VAR:RFIELD=FINALIZED&amp;VAR:DB_TYPE=&amp;VAR:UNITS=M&amp;window=popup&amp;width=450&amp;height=300&amp;START_MAXIMIZED=FALSE"}</definedName>
    <definedName name="_1324__FDSAUDITLINK__" hidden="1">{"fdsup://IBCentral/FAT Viewer?action=UPDATE&amp;creator=factset&amp;DOC_NAME=fat:reuters_annual_source_window.fat&amp;display_string=Audit&amp;DYN_ARGS=TRUE&amp;VAR:ID1=221353&amp;VAR:RCODE=AEQI&amp;VAR:SDATE=20071299&amp;VAR:FREQ=Y&amp;VAR:RELITEM=RP&amp;VAR:CURRENCY=USD&amp;VAR:CURRSOURCE=EXSHARE&amp;","VAR:NATFREQ=ANNUAL&amp;VAR:RFIELD=FINALIZED&amp;VAR:DB_TYPE=&amp;VAR:UNITS=M&amp;window=popup&amp;width=450&amp;height=300&amp;START_MAXIMIZED=FALSE"}</definedName>
    <definedName name="_1325__FDSAUDITLINK__" localSheetId="8" hidden="1">{"fdsup://IBCentral/FAT Viewer?action=UPDATE&amp;creator=factset&amp;DOC_NAME=fat:reuters_qtrly_source_window.fat&amp;display_string=Audit&amp;DYN_ARGS=TRUE&amp;VAR:ID1=221353&amp;VAR:RCODE=LMIN&amp;VAR:SDATE=20071299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325__FDSAUDITLINK__" hidden="1">{"fdsup://IBCentral/FAT Viewer?action=UPDATE&amp;creator=factset&amp;DOC_NAME=fat:reuters_qtrly_source_window.fat&amp;display_string=Audit&amp;DYN_ARGS=TRUE&amp;VAR:ID1=221353&amp;VAR:RCODE=LMIN&amp;VAR:SDATE=20071299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326__FDSAUDITLINK__" localSheetId="8" hidden="1">{"fdsup://IBCentral/FAT Viewer?action=UPDATE&amp;creator=factset&amp;DOC_NAME=fat:reuters_qtrly_source_window.fat&amp;display_string=Audit&amp;DYN_ARGS=TRUE&amp;VAR:ID1=221353&amp;VAR:RCODE=STLD&amp;VAR:SDATE=20071299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326__FDSAUDITLINK__" hidden="1">{"fdsup://IBCentral/FAT Viewer?action=UPDATE&amp;creator=factset&amp;DOC_NAME=fat:reuters_qtrly_source_window.fat&amp;display_string=Audit&amp;DYN_ARGS=TRUE&amp;VAR:ID1=221353&amp;VAR:RCODE=STLD&amp;VAR:SDATE=20071299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327__FDSAUDITLINK__" localSheetId="8" hidden="1">{"fdsup://IBCentral/FAT Viewer?action=UPDATE&amp;creator=factset&amp;DOC_NAME=fat:reuters_qtrly_source_window.fat&amp;display_string=Audit&amp;DYN_ARGS=TRUE&amp;VAR:ID1=221353&amp;VAR:RCODE=SCSI&amp;VAR:SDATE=20071299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327__FDSAUDITLINK__" hidden="1">{"fdsup://IBCentral/FAT Viewer?action=UPDATE&amp;creator=factset&amp;DOC_NAME=fat:reuters_qtrly_source_window.fat&amp;display_string=Audit&amp;DYN_ARGS=TRUE&amp;VAR:ID1=221353&amp;VAR:RCODE=SCSI&amp;VAR:SDATE=20071299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328__FDSAUDITLINK__" localSheetId="8" hidden="1">{"fdsup://IBCentral/FAT Viewer?action=UPDATE&amp;creator=factset&amp;DOC_NAME=fat:reuters_annual_source_window.fat&amp;display_string=Audit&amp;DYN_ARGS=TRUE&amp;VAR:ID1=221353&amp;VAR:RCODE=FDSPFDSTKTOTAL&amp;VAR:SDATE=20071299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328__FDSAUDITLINK__" hidden="1">{"fdsup://IBCentral/FAT Viewer?action=UPDATE&amp;creator=factset&amp;DOC_NAME=fat:reuters_annual_source_window.fat&amp;display_string=Audit&amp;DYN_ARGS=TRUE&amp;VAR:ID1=221353&amp;VAR:RCODE=FDSPFDSTKTOTAL&amp;VAR:SDATE=20071299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329__FDSAUDITLINK__" localSheetId="8" hidden="1">{"fdsup://IBCentral/FAT Viewer?action=UPDATE&amp;creator=factset&amp;DOC_NAME=fat:reuters_annual_source_window.fat&amp;display_string=Audit&amp;DYN_ARGS=TRUE&amp;VAR:ID1=221353&amp;VAR:RCODE=AEQI&amp;VAR:SDATE=20071299&amp;VAR:FREQ=Y&amp;VAR:RELITEM=RP&amp;VAR:CURRENCY=USD&amp;VAR:CURRSOURCE=EXSHARE&amp;","VAR:NATFREQ=ANNUAL&amp;VAR:RFIELD=FINALIZED&amp;VAR:DB_TYPE=&amp;VAR:UNITS=M&amp;window=popup&amp;width=450&amp;height=300&amp;START_MAXIMIZED=FALSE"}</definedName>
    <definedName name="_1329__FDSAUDITLINK__" hidden="1">{"fdsup://IBCentral/FAT Viewer?action=UPDATE&amp;creator=factset&amp;DOC_NAME=fat:reuters_annual_source_window.fat&amp;display_string=Audit&amp;DYN_ARGS=TRUE&amp;VAR:ID1=221353&amp;VAR:RCODE=AEQI&amp;VAR:SDATE=20071299&amp;VAR:FREQ=Y&amp;VAR:RELITEM=RP&amp;VAR:CURRENCY=USD&amp;VAR:CURRSOURCE=EXSHARE&amp;","VAR:NATFREQ=ANNUAL&amp;VAR:RFIELD=FINALIZED&amp;VAR:DB_TYPE=&amp;VAR:UNITS=M&amp;window=popup&amp;width=450&amp;height=300&amp;START_MAXIMIZED=FALSE"}</definedName>
    <definedName name="_133__123Graph_LBL_ACHART_3" hidden="1">#REF!</definedName>
    <definedName name="_133__FDSAUDITLINK__" localSheetId="8" hidden="1">{"fdsup://directions/FAT Viewer?action=UPDATE&amp;creator=factset&amp;DYN_ARGS=TRUE&amp;DOC_NAME=FAT:FQL_AUDITING_CLIENT_TEMPLATE.FAT&amp;display_string=Audit&amp;VAR:KEY=NQDMVMJALK&amp;VAR:QUERY=RkZfRUJJVF9JQignQU5OJywzNDI0MiwsLCwnR0JQJyk=&amp;WINDOW=FIRST_POPUP&amp;HEIGHT=450&amp;WIDTH=450&amp;","START_MAXIMIZED=FALSE&amp;VAR:CALENDAR=FIVEDAY&amp;VAR:SYMBOL=080216&amp;VAR:INDEX=0"}</definedName>
    <definedName name="_133__FDSAUDITLINK__" hidden="1">{"fdsup://directions/FAT Viewer?action=UPDATE&amp;creator=factset&amp;DYN_ARGS=TRUE&amp;DOC_NAME=FAT:FQL_AUDITING_CLIENT_TEMPLATE.FAT&amp;display_string=Audit&amp;VAR:KEY=CRKVOFUFIR&amp;VAR:QUERY=RkZfTkVUX0lOQyhDQUwsMjAxMSk=&amp;WINDOW=FIRST_POPUP&amp;HEIGHT=450&amp;WIDTH=450&amp;START_MAXIMIZED=","FALSE&amp;VAR:CALENDAR=US&amp;VAR:SYMBOL=MCEM&amp;VAR:INDEX=0"}</definedName>
    <definedName name="_133__FDSAUDITLINK___1" localSheetId="8" hidden="1">{"fdsup://directions/FAT Viewer?action=UPDATE&amp;creator=factset&amp;DYN_ARGS=TRUE&amp;DOC_NAME=FAT:FQL_AUDITING_CLIENT_TEMPLATE.FAT&amp;display_string=Audit&amp;VAR:KEY=NQDMVMJALK&amp;VAR:QUERY=RkZfRUJJVF9JQignQU5OJywzNDI0MiwsLCwnR0JQJyk=&amp;WINDOW=FIRST_POPUP&amp;HEIGHT=450&amp;WIDTH=450&amp;","START_MAXIMIZED=FALSE&amp;VAR:CALENDAR=FIVEDAY&amp;VAR:SYMBOL=080216&amp;VAR:INDEX=0"}</definedName>
    <definedName name="_133__FDSAUDITLINK___1" hidden="1">{"fdsup://directions/FAT Viewer?action=UPDATE&amp;creator=factset&amp;DYN_ARGS=TRUE&amp;DOC_NAME=FAT:FQL_AUDITING_CLIENT_TEMPLATE.FAT&amp;display_string=Audit&amp;VAR:KEY=NQDMVMJALK&amp;VAR:QUERY=RkZfRUJJVF9JQignQU5OJywzNDI0MiwsLCwnR0JQJyk=&amp;WINDOW=FIRST_POPUP&amp;HEIGHT=450&amp;WIDTH=450&amp;","START_MAXIMIZED=FALSE&amp;VAR:CALENDAR=FIVEDAY&amp;VAR:SYMBOL=080216&amp;VAR:INDEX=0"}</definedName>
    <definedName name="_1330__FDSAUDITLINK__" localSheetId="8" hidden="1">{"fdsup://IBCentral/FAT Viewer?action=UPDATE&amp;creator=factset&amp;DOC_NAME=fat:reuters_qtrly_source_window.fat&amp;display_string=Audit&amp;DYN_ARGS=TRUE&amp;VAR:ID1=221353&amp;VAR:RCODE=LMIN&amp;VAR:SDATE=20071299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330__FDSAUDITLINK__" hidden="1">{"fdsup://IBCentral/FAT Viewer?action=UPDATE&amp;creator=factset&amp;DOC_NAME=fat:reuters_qtrly_source_window.fat&amp;display_string=Audit&amp;DYN_ARGS=TRUE&amp;VAR:ID1=221353&amp;VAR:RCODE=LMIN&amp;VAR:SDATE=20071299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331__FDSAUDITLINK__" localSheetId="8" hidden="1">{"fdsup://IBCentral/FAT Viewer?action=UPDATE&amp;creator=factset&amp;DOC_NAME=fat:reuters_qtrly_source_window.fat&amp;display_string=Audit&amp;DYN_ARGS=TRUE&amp;VAR:ID1=221353&amp;VAR:RCODE=STLD&amp;VAR:SDATE=20071299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331__FDSAUDITLINK__" hidden="1">{"fdsup://IBCentral/FAT Viewer?action=UPDATE&amp;creator=factset&amp;DOC_NAME=fat:reuters_qtrly_source_window.fat&amp;display_string=Audit&amp;DYN_ARGS=TRUE&amp;VAR:ID1=221353&amp;VAR:RCODE=STLD&amp;VAR:SDATE=20071299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332__FDSAUDITLINK__" localSheetId="8" hidden="1">{"fdsup://IBCentral/FAT Viewer?action=UPDATE&amp;creator=factset&amp;DOC_NAME=fat:reuters_qtrly_source_window.fat&amp;display_string=Audit&amp;DYN_ARGS=TRUE&amp;VAR:ID1=221353&amp;VAR:RCODE=SCSI&amp;VAR:SDATE=20071299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332__FDSAUDITLINK__" hidden="1">{"fdsup://IBCentral/FAT Viewer?action=UPDATE&amp;creator=factset&amp;DOC_NAME=fat:reuters_qtrly_source_window.fat&amp;display_string=Audit&amp;DYN_ARGS=TRUE&amp;VAR:ID1=221353&amp;VAR:RCODE=SCSI&amp;VAR:SDATE=20071299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333__FDSAUDITLINK__" localSheetId="8" hidden="1">{"fdsup://IBCentral/FAT Viewer?action=UPDATE&amp;creator=factset&amp;DOC_NAME=fat:reuters_annual_source_window.fat&amp;display_string=Audit&amp;DYN_ARGS=TRUE&amp;VAR:ID1=221353&amp;VAR:RCODE=FDSPFDSTKTOTAL&amp;VAR:SDATE=20071299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333__FDSAUDITLINK__" hidden="1">{"fdsup://IBCentral/FAT Viewer?action=UPDATE&amp;creator=factset&amp;DOC_NAME=fat:reuters_annual_source_window.fat&amp;display_string=Audit&amp;DYN_ARGS=TRUE&amp;VAR:ID1=221353&amp;VAR:RCODE=FDSPFDSTKTOTAL&amp;VAR:SDATE=20071299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334__FDSAUDITLINK__" localSheetId="8" hidden="1">{"fdsup://IBCentral/FAT Viewer?action=UPDATE&amp;creator=factset&amp;DOC_NAME=fat:reuters_annual_source_window.fat&amp;display_string=Audit&amp;DYN_ARGS=TRUE&amp;VAR:ID1=221353&amp;VAR:RCODE=AEQI&amp;VAR:SDATE=20071299&amp;VAR:FREQ=Y&amp;VAR:RELITEM=RP&amp;VAR:CURRENCY=USD&amp;VAR:CURRSOURCE=EXSHARE&amp;","VAR:NATFREQ=ANNUAL&amp;VAR:RFIELD=FINALIZED&amp;VAR:DB_TYPE=&amp;VAR:UNITS=M&amp;window=popup&amp;width=450&amp;height=300&amp;START_MAXIMIZED=FALSE"}</definedName>
    <definedName name="_1334__FDSAUDITLINK__" hidden="1">{"fdsup://IBCentral/FAT Viewer?action=UPDATE&amp;creator=factset&amp;DOC_NAME=fat:reuters_annual_source_window.fat&amp;display_string=Audit&amp;DYN_ARGS=TRUE&amp;VAR:ID1=221353&amp;VAR:RCODE=AEQI&amp;VAR:SDATE=20071299&amp;VAR:FREQ=Y&amp;VAR:RELITEM=RP&amp;VAR:CURRENCY=USD&amp;VAR:CURRSOURCE=EXSHARE&amp;","VAR:NATFREQ=ANNUAL&amp;VAR:RFIELD=FINALIZED&amp;VAR:DB_TYPE=&amp;VAR:UNITS=M&amp;window=popup&amp;width=450&amp;height=300&amp;START_MAXIMIZED=FALSE"}</definedName>
    <definedName name="_1335__FDSAUDITLINK__" localSheetId="8" hidden="1">{"fdsup://IBCentral/FAT Viewer?action=UPDATE&amp;creator=factset&amp;DOC_NAME=fat:reuters_qtrly_source_window.fat&amp;display_string=Audit&amp;DYN_ARGS=TRUE&amp;VAR:ID1=221353&amp;VAR:RCODE=LMIN&amp;VAR:SDATE=20071299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335__FDSAUDITLINK__" hidden="1">{"fdsup://IBCentral/FAT Viewer?action=UPDATE&amp;creator=factset&amp;DOC_NAME=fat:reuters_qtrly_source_window.fat&amp;display_string=Audit&amp;DYN_ARGS=TRUE&amp;VAR:ID1=221353&amp;VAR:RCODE=LMIN&amp;VAR:SDATE=20071299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336__FDSAUDITLINK__" localSheetId="8" hidden="1">{"fdsup://IBCentral/FAT Viewer?action=UPDATE&amp;creator=factset&amp;DOC_NAME=fat:reuters_qtrly_source_window.fat&amp;display_string=Audit&amp;DYN_ARGS=TRUE&amp;VAR:ID1=221353&amp;VAR:RCODE=STLD&amp;VAR:SDATE=20071299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336__FDSAUDITLINK__" hidden="1">{"fdsup://IBCentral/FAT Viewer?action=UPDATE&amp;creator=factset&amp;DOC_NAME=fat:reuters_qtrly_source_window.fat&amp;display_string=Audit&amp;DYN_ARGS=TRUE&amp;VAR:ID1=221353&amp;VAR:RCODE=STLD&amp;VAR:SDATE=20071299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337__FDSAUDITLINK__" localSheetId="8" hidden="1">{"fdsup://IBCentral/FAT Viewer?action=UPDATE&amp;creator=factset&amp;DOC_NAME=fat:reuters_qtrly_source_window.fat&amp;display_string=Audit&amp;DYN_ARGS=TRUE&amp;VAR:ID1=221353&amp;VAR:RCODE=SCSI&amp;VAR:SDATE=20071299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337__FDSAUDITLINK__" hidden="1">{"fdsup://IBCentral/FAT Viewer?action=UPDATE&amp;creator=factset&amp;DOC_NAME=fat:reuters_qtrly_source_window.fat&amp;display_string=Audit&amp;DYN_ARGS=TRUE&amp;VAR:ID1=221353&amp;VAR:RCODE=SCSI&amp;VAR:SDATE=20071299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338__FDSAUDITLINK__" localSheetId="8" hidden="1">{"fdsup://IBCentral/FAT Viewer?action=UPDATE&amp;creator=factset&amp;DOC_NAME=fat:reuters_annual_source_window.fat&amp;display_string=Audit&amp;DYN_ARGS=TRUE&amp;VAR:ID1=221353&amp;VAR:RCODE=FDSPFDSTKTOTAL&amp;VAR:SDATE=20071299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338__FDSAUDITLINK__" hidden="1">{"fdsup://IBCentral/FAT Viewer?action=UPDATE&amp;creator=factset&amp;DOC_NAME=fat:reuters_annual_source_window.fat&amp;display_string=Audit&amp;DYN_ARGS=TRUE&amp;VAR:ID1=221353&amp;VAR:RCODE=FDSPFDSTKTOTAL&amp;VAR:SDATE=20071299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339__FDSAUDITLINK__" localSheetId="8" hidden="1">{"fdsup://IBCentral/FAT Viewer?action=UPDATE&amp;creator=factset&amp;DOC_NAME=fat:reuters_annual_source_window.fat&amp;display_string=Audit&amp;DYN_ARGS=TRUE&amp;VAR:ID1=221353&amp;VAR:RCODE=AEQI&amp;VAR:SDATE=20071299&amp;VAR:FREQ=Y&amp;VAR:RELITEM=RP&amp;VAR:CURRENCY=USD&amp;VAR:CURRSOURCE=EXSHARE&amp;","VAR:NATFREQ=ANNUAL&amp;VAR:RFIELD=FINALIZED&amp;VAR:DB_TYPE=&amp;VAR:UNITS=M&amp;window=popup&amp;width=450&amp;height=300&amp;START_MAXIMIZED=FALSE"}</definedName>
    <definedName name="_1339__FDSAUDITLINK__" hidden="1">{"fdsup://IBCentral/FAT Viewer?action=UPDATE&amp;creator=factset&amp;DOC_NAME=fat:reuters_annual_source_window.fat&amp;display_string=Audit&amp;DYN_ARGS=TRUE&amp;VAR:ID1=221353&amp;VAR:RCODE=AEQI&amp;VAR:SDATE=20071299&amp;VAR:FREQ=Y&amp;VAR:RELITEM=RP&amp;VAR:CURRENCY=USD&amp;VAR:CURRSOURCE=EXSHARE&amp;","VAR:NATFREQ=ANNUAL&amp;VAR:RFIELD=FINALIZED&amp;VAR:DB_TYPE=&amp;VAR:UNITS=M&amp;window=popup&amp;width=450&amp;height=300&amp;START_MAXIMIZED=FALSE"}</definedName>
    <definedName name="_134__123Graph_LBL_ACHART_4" hidden="1">#REF!</definedName>
    <definedName name="_134__FDSAUDITLINK__" localSheetId="8" hidden="1">{"fdsup://directions/FAT Viewer?action=UPDATE&amp;creator=factset&amp;DYN_ARGS=TRUE&amp;DOC_NAME=FAT:FQL_AUDITING_CLIENT_TEMPLATE.FAT&amp;display_string=Audit&amp;VAR:KEY=XITERSBGFK&amp;VAR:QUERY=RkZfRUJJVF9JQignQU5OJywzMzg3NywsLCwnR0JQJyk=&amp;WINDOW=FIRST_POPUP&amp;HEIGHT=450&amp;WIDTH=450&amp;","START_MAXIMIZED=FALSE&amp;VAR:CALENDAR=FIVEDAY&amp;VAR:SYMBOL=080216&amp;VAR:INDEX=0"}</definedName>
    <definedName name="_134__FDSAUDITLINK__" hidden="1">{"fdsup://directions/FAT Viewer?action=UPDATE&amp;creator=factset&amp;DYN_ARGS=TRUE&amp;DOC_NAME=FAT:FQL_AUDITING_CLIENT_TEMPLATE.FAT&amp;display_string=Audit&amp;VAR:KEY=WVSHITGRWD&amp;VAR:QUERY=RkZfTkVUX0lOQyhDQUwsMjAxMSk=&amp;WINDOW=FIRST_POPUP&amp;HEIGHT=450&amp;WIDTH=450&amp;START_MAXIMIZED=","FALSE&amp;VAR:CALENDAR=US&amp;VAR:SYMBOL=TXI&amp;VAR:INDEX=0"}</definedName>
    <definedName name="_134__FDSAUDITLINK___1" localSheetId="8" hidden="1">{"fdsup://directions/FAT Viewer?action=UPDATE&amp;creator=factset&amp;DYN_ARGS=TRUE&amp;DOC_NAME=FAT:FQL_AUDITING_CLIENT_TEMPLATE.FAT&amp;display_string=Audit&amp;VAR:KEY=XITERSBGFK&amp;VAR:QUERY=RkZfRUJJVF9JQignQU5OJywzMzg3NywsLCwnR0JQJyk=&amp;WINDOW=FIRST_POPUP&amp;HEIGHT=450&amp;WIDTH=450&amp;","START_MAXIMIZED=FALSE&amp;VAR:CALENDAR=FIVEDAY&amp;VAR:SYMBOL=080216&amp;VAR:INDEX=0"}</definedName>
    <definedName name="_134__FDSAUDITLINK___1" hidden="1">{"fdsup://directions/FAT Viewer?action=UPDATE&amp;creator=factset&amp;DYN_ARGS=TRUE&amp;DOC_NAME=FAT:FQL_AUDITING_CLIENT_TEMPLATE.FAT&amp;display_string=Audit&amp;VAR:KEY=XITERSBGFK&amp;VAR:QUERY=RkZfRUJJVF9JQignQU5OJywzMzg3NywsLCwnR0JQJyk=&amp;WINDOW=FIRST_POPUP&amp;HEIGHT=450&amp;WIDTH=450&amp;","START_MAXIMIZED=FALSE&amp;VAR:CALENDAR=FIVEDAY&amp;VAR:SYMBOL=080216&amp;VAR:INDEX=0"}</definedName>
    <definedName name="_1340__FDSAUDITLINK__" localSheetId="8" hidden="1">{"fdsup://IBCentral/FAT Viewer?action=UPDATE&amp;creator=factset&amp;DOC_NAME=fat:reuters_qtrly_source_window.fat&amp;display_string=Audit&amp;DYN_ARGS=TRUE&amp;VAR:ID1=221353&amp;VAR:RCODE=LMIN&amp;VAR:SDATE=20071299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340__FDSAUDITLINK__" hidden="1">{"fdsup://IBCentral/FAT Viewer?action=UPDATE&amp;creator=factset&amp;DOC_NAME=fat:reuters_qtrly_source_window.fat&amp;display_string=Audit&amp;DYN_ARGS=TRUE&amp;VAR:ID1=221353&amp;VAR:RCODE=LMIN&amp;VAR:SDATE=20071299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341__FDSAUDITLINK__" localSheetId="8" hidden="1">{"fdsup://IBCentral/FAT Viewer?action=UPDATE&amp;creator=factset&amp;DOC_NAME=fat:reuters_qtrly_source_window.fat&amp;display_string=Audit&amp;DYN_ARGS=TRUE&amp;VAR:ID1=221353&amp;VAR:RCODE=STLD&amp;VAR:SDATE=20071299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341__FDSAUDITLINK__" hidden="1">{"fdsup://IBCentral/FAT Viewer?action=UPDATE&amp;creator=factset&amp;DOC_NAME=fat:reuters_qtrly_source_window.fat&amp;display_string=Audit&amp;DYN_ARGS=TRUE&amp;VAR:ID1=221353&amp;VAR:RCODE=STLD&amp;VAR:SDATE=20071299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342__FDSAUDITLINK__" localSheetId="8" hidden="1">{"fdsup://IBCentral/FAT Viewer?action=UPDATE&amp;creator=factset&amp;DOC_NAME=fat:reuters_qtrly_source_window.fat&amp;display_string=Audit&amp;DYN_ARGS=TRUE&amp;VAR:ID1=221353&amp;VAR:RCODE=SCSI&amp;VAR:SDATE=20071299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342__FDSAUDITLINK__" hidden="1">{"fdsup://IBCentral/FAT Viewer?action=UPDATE&amp;creator=factset&amp;DOC_NAME=fat:reuters_qtrly_source_window.fat&amp;display_string=Audit&amp;DYN_ARGS=TRUE&amp;VAR:ID1=221353&amp;VAR:RCODE=SCSI&amp;VAR:SDATE=20071299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343__FDSAUDITLINK__" localSheetId="8" hidden="1">{"fdsup://IBCentral/FAT Viewer?action=UPDATE&amp;creator=factset&amp;DOC_NAME=fat:reuters_annual_source_window.fat&amp;display_string=Audit&amp;DYN_ARGS=TRUE&amp;VAR:ID1=221353&amp;VAR:RCODE=FDSPFDSTKTOTAL&amp;VAR:SDATE=20071299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343__FDSAUDITLINK__" hidden="1">{"fdsup://IBCentral/FAT Viewer?action=UPDATE&amp;creator=factset&amp;DOC_NAME=fat:reuters_annual_source_window.fat&amp;display_string=Audit&amp;DYN_ARGS=TRUE&amp;VAR:ID1=221353&amp;VAR:RCODE=FDSPFDSTKTOTAL&amp;VAR:SDATE=20071299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344__FDSAUDITLINK__" localSheetId="8" hidden="1">{"fdsup://IBCentral/FAT Viewer?action=UPDATE&amp;creator=factset&amp;DOC_NAME=fat:reuters_annual_source_window.fat&amp;display_string=Audit&amp;DYN_ARGS=TRUE&amp;VAR:ID1=221353&amp;VAR:RCODE=AEQI&amp;VAR:SDATE=20071299&amp;VAR:FREQ=Y&amp;VAR:RELITEM=RP&amp;VAR:CURRENCY=USD&amp;VAR:CURRSOURCE=EXSHARE&amp;","VAR:NATFREQ=ANNUAL&amp;VAR:RFIELD=FINALIZED&amp;VAR:DB_TYPE=&amp;VAR:UNITS=M&amp;window=popup&amp;width=450&amp;height=300&amp;START_MAXIMIZED=FALSE"}</definedName>
    <definedName name="_1344__FDSAUDITLINK__" hidden="1">{"fdsup://IBCentral/FAT Viewer?action=UPDATE&amp;creator=factset&amp;DOC_NAME=fat:reuters_annual_source_window.fat&amp;display_string=Audit&amp;DYN_ARGS=TRUE&amp;VAR:ID1=221353&amp;VAR:RCODE=AEQI&amp;VAR:SDATE=20071299&amp;VAR:FREQ=Y&amp;VAR:RELITEM=RP&amp;VAR:CURRENCY=USD&amp;VAR:CURRSOURCE=EXSHARE&amp;","VAR:NATFREQ=ANNUAL&amp;VAR:RFIELD=FINALIZED&amp;VAR:DB_TYPE=&amp;VAR:UNITS=M&amp;window=popup&amp;width=450&amp;height=300&amp;START_MAXIMIZED=FALSE"}</definedName>
    <definedName name="_1345__FDSAUDITLINK__" localSheetId="8" hidden="1">{"fdsup://IBCentral/FAT Viewer?action=UPDATE&amp;creator=factset&amp;DOC_NAME=fat:reuters_qtrly_source_window.fat&amp;display_string=Audit&amp;DYN_ARGS=TRUE&amp;VAR:ID1=221353&amp;VAR:RCODE=LMIN&amp;VAR:SDATE=20071299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345__FDSAUDITLINK__" hidden="1">{"fdsup://IBCentral/FAT Viewer?action=UPDATE&amp;creator=factset&amp;DOC_NAME=fat:reuters_qtrly_source_window.fat&amp;display_string=Audit&amp;DYN_ARGS=TRUE&amp;VAR:ID1=221353&amp;VAR:RCODE=LMIN&amp;VAR:SDATE=20071299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346__FDSAUDITLINK__" localSheetId="8" hidden="1">{"fdsup://IBCentral/FAT Viewer?action=UPDATE&amp;creator=factset&amp;DOC_NAME=fat:reuters_qtrly_source_window.fat&amp;display_string=Audit&amp;DYN_ARGS=TRUE&amp;VAR:ID1=221353&amp;VAR:RCODE=STLD&amp;VAR:SDATE=20071299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346__FDSAUDITLINK__" hidden="1">{"fdsup://IBCentral/FAT Viewer?action=UPDATE&amp;creator=factset&amp;DOC_NAME=fat:reuters_qtrly_source_window.fat&amp;display_string=Audit&amp;DYN_ARGS=TRUE&amp;VAR:ID1=221353&amp;VAR:RCODE=STLD&amp;VAR:SDATE=20071299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347__FDSAUDITLINK__" localSheetId="8" hidden="1">{"fdsup://IBCentral/FAT Viewer?action=UPDATE&amp;creator=factset&amp;DOC_NAME=fat:reuters_qtrly_source_window.fat&amp;display_string=Audit&amp;DYN_ARGS=TRUE&amp;VAR:ID1=221353&amp;VAR:RCODE=SCSI&amp;VAR:SDATE=20071299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347__FDSAUDITLINK__" hidden="1">{"fdsup://IBCentral/FAT Viewer?action=UPDATE&amp;creator=factset&amp;DOC_NAME=fat:reuters_qtrly_source_window.fat&amp;display_string=Audit&amp;DYN_ARGS=TRUE&amp;VAR:ID1=221353&amp;VAR:RCODE=SCSI&amp;VAR:SDATE=20071299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348__FDSAUDITLINK__" localSheetId="8" hidden="1">{"fdsup://IBCentral/FAT Viewer?action=UPDATE&amp;creator=factset&amp;DOC_NAME=fat:reuters_annual_source_window.fat&amp;display_string=Audit&amp;DYN_ARGS=TRUE&amp;VAR:ID1=221353&amp;VAR:RCODE=FDSPFDSTKTOTAL&amp;VAR:SDATE=20071299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348__FDSAUDITLINK__" hidden="1">{"fdsup://IBCentral/FAT Viewer?action=UPDATE&amp;creator=factset&amp;DOC_NAME=fat:reuters_annual_source_window.fat&amp;display_string=Audit&amp;DYN_ARGS=TRUE&amp;VAR:ID1=221353&amp;VAR:RCODE=FDSPFDSTKTOTAL&amp;VAR:SDATE=20071299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349__FDSAUDITLINK__" localSheetId="8" hidden="1">{"fdsup://IBCentral/FAT Viewer?action=UPDATE&amp;creator=factset&amp;DOC_NAME=fat:reuters_annual_source_window.fat&amp;display_string=Audit&amp;DYN_ARGS=TRUE&amp;VAR:ID1=221353&amp;VAR:RCODE=AEQI&amp;VAR:SDATE=20071299&amp;VAR:FREQ=Y&amp;VAR:RELITEM=RP&amp;VAR:CURRENCY=USD&amp;VAR:CURRSOURCE=EXSHARE&amp;","VAR:NATFREQ=ANNUAL&amp;VAR:RFIELD=FINALIZED&amp;VAR:DB_TYPE=&amp;VAR:UNITS=M&amp;window=popup&amp;width=450&amp;height=300&amp;START_MAXIMIZED=FALSE"}</definedName>
    <definedName name="_1349__FDSAUDITLINK__" hidden="1">{"fdsup://IBCentral/FAT Viewer?action=UPDATE&amp;creator=factset&amp;DOC_NAME=fat:reuters_annual_source_window.fat&amp;display_string=Audit&amp;DYN_ARGS=TRUE&amp;VAR:ID1=221353&amp;VAR:RCODE=AEQI&amp;VAR:SDATE=20071299&amp;VAR:FREQ=Y&amp;VAR:RELITEM=RP&amp;VAR:CURRENCY=USD&amp;VAR:CURRSOURCE=EXSHARE&amp;","VAR:NATFREQ=ANNUAL&amp;VAR:RFIELD=FINALIZED&amp;VAR:DB_TYPE=&amp;VAR:UNITS=M&amp;window=popup&amp;width=450&amp;height=300&amp;START_MAXIMIZED=FALSE"}</definedName>
    <definedName name="_135__123Graph_LBL_ACHART_7" hidden="1">#REF!</definedName>
    <definedName name="_135__FDSAUDITLINK__" localSheetId="8" hidden="1">{"fdsup://directions/FAT Viewer?action=UPDATE&amp;creator=factset&amp;DYN_ARGS=TRUE&amp;DOC_NAME=FAT:FQL_AUDITING_CLIENT_TEMPLATE.FAT&amp;display_string=Audit&amp;VAR:KEY=XERKNMHYBG&amp;VAR:QUERY=RkZfRUJJVF9JQignQU5OJywzMzUxMSwsLCwnR0JQJyk=&amp;WINDOW=FIRST_POPUP&amp;HEIGHT=450&amp;WIDTH=450&amp;","START_MAXIMIZED=FALSE&amp;VAR:CALENDAR=FIVEDAY&amp;VAR:SYMBOL=080216&amp;VAR:INDEX=0"}</definedName>
    <definedName name="_135__FDSAUDITLINK__" hidden="1">{"fdsup://directions/FAT Viewer?action=UPDATE&amp;creator=factset&amp;DYN_ARGS=TRUE&amp;DOC_NAME=FAT:FQL_AUDITING_CLIENT_TEMPLATE.FAT&amp;display_string=Audit&amp;VAR:KEY=CVAXOHSPIN&amp;VAR:QUERY=RkZfTkVUX0lOQyhDQUwsMjAxMSk=&amp;WINDOW=FIRST_POPUP&amp;HEIGHT=450&amp;WIDTH=450&amp;START_MAXIMIZED=","FALSE&amp;VAR:CALENDAR=US&amp;VAR:SYMBOL=USCR&amp;VAR:INDEX=0"}</definedName>
    <definedName name="_135__FDSAUDITLINK___1" localSheetId="8" hidden="1">{"fdsup://directions/FAT Viewer?action=UPDATE&amp;creator=factset&amp;DYN_ARGS=TRUE&amp;DOC_NAME=FAT:FQL_AUDITING_CLIENT_TEMPLATE.FAT&amp;display_string=Audit&amp;VAR:KEY=XERKNMHYBG&amp;VAR:QUERY=RkZfRUJJVF9JQignQU5OJywzMzUxMSwsLCwnR0JQJyk=&amp;WINDOW=FIRST_POPUP&amp;HEIGHT=450&amp;WIDTH=450&amp;","START_MAXIMIZED=FALSE&amp;VAR:CALENDAR=FIVEDAY&amp;VAR:SYMBOL=080216&amp;VAR:INDEX=0"}</definedName>
    <definedName name="_135__FDSAUDITLINK___1" hidden="1">{"fdsup://directions/FAT Viewer?action=UPDATE&amp;creator=factset&amp;DYN_ARGS=TRUE&amp;DOC_NAME=FAT:FQL_AUDITING_CLIENT_TEMPLATE.FAT&amp;display_string=Audit&amp;VAR:KEY=XERKNMHYBG&amp;VAR:QUERY=RkZfRUJJVF9JQignQU5OJywzMzUxMSwsLCwnR0JQJyk=&amp;WINDOW=FIRST_POPUP&amp;HEIGHT=450&amp;WIDTH=450&amp;","START_MAXIMIZED=FALSE&amp;VAR:CALENDAR=FIVEDAY&amp;VAR:SYMBOL=080216&amp;VAR:INDEX=0"}</definedName>
    <definedName name="_1350__FDSAUDITLINK__" localSheetId="8" hidden="1">{"fdsup://IBCentral/FAT Viewer?action=UPDATE&amp;creator=factset&amp;DOC_NAME=fat:reuters_qtrly_source_window.fat&amp;display_string=Audit&amp;DYN_ARGS=TRUE&amp;VAR:ID1=221353&amp;VAR:RCODE=LMIN&amp;VAR:SDATE=20071299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350__FDSAUDITLINK__" hidden="1">{"fdsup://IBCentral/FAT Viewer?action=UPDATE&amp;creator=factset&amp;DOC_NAME=fat:reuters_qtrly_source_window.fat&amp;display_string=Audit&amp;DYN_ARGS=TRUE&amp;VAR:ID1=221353&amp;VAR:RCODE=LMIN&amp;VAR:SDATE=20071299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351__FDSAUDITLINK__" localSheetId="8" hidden="1">{"fdsup://IBCentral/FAT Viewer?action=UPDATE&amp;creator=factset&amp;DOC_NAME=fat:reuters_qtrly_source_window.fat&amp;display_string=Audit&amp;DYN_ARGS=TRUE&amp;VAR:ID1=221353&amp;VAR:RCODE=STLD&amp;VAR:SDATE=20071299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351__FDSAUDITLINK__" hidden="1">{"fdsup://IBCentral/FAT Viewer?action=UPDATE&amp;creator=factset&amp;DOC_NAME=fat:reuters_qtrly_source_window.fat&amp;display_string=Audit&amp;DYN_ARGS=TRUE&amp;VAR:ID1=221353&amp;VAR:RCODE=STLD&amp;VAR:SDATE=20071299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352__FDSAUDITLINK__" localSheetId="8" hidden="1">{"fdsup://IBCentral/FAT Viewer?action=UPDATE&amp;creator=factset&amp;DOC_NAME=fat:reuters_qtrly_source_window.fat&amp;display_string=Audit&amp;DYN_ARGS=TRUE&amp;VAR:ID1=221353&amp;VAR:RCODE=SCSI&amp;VAR:SDATE=20071299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352__FDSAUDITLINK__" hidden="1">{"fdsup://IBCentral/FAT Viewer?action=UPDATE&amp;creator=factset&amp;DOC_NAME=fat:reuters_qtrly_source_window.fat&amp;display_string=Audit&amp;DYN_ARGS=TRUE&amp;VAR:ID1=221353&amp;VAR:RCODE=SCSI&amp;VAR:SDATE=20071299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353__FDSAUDITLINK__" localSheetId="8" hidden="1">{"fdsup://IBCentral/FAT Viewer?action=UPDATE&amp;creator=factset&amp;DOC_NAME=fat:reuters_annual_source_window.fat&amp;display_string=Audit&amp;DYN_ARGS=TRUE&amp;VAR:ID1=221353&amp;VAR:RCODE=FDSPFDSTKTOTAL&amp;VAR:SDATE=20071299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353__FDSAUDITLINK__" hidden="1">{"fdsup://IBCentral/FAT Viewer?action=UPDATE&amp;creator=factset&amp;DOC_NAME=fat:reuters_annual_source_window.fat&amp;display_string=Audit&amp;DYN_ARGS=TRUE&amp;VAR:ID1=221353&amp;VAR:RCODE=FDSPFDSTKTOTAL&amp;VAR:SDATE=20071299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354__FDSAUDITLINK__" localSheetId="8" hidden="1">{"fdsup://IBCentral/FAT Viewer?action=UPDATE&amp;creator=factset&amp;DOC_NAME=fat:reuters_qtrly_source_window.fat&amp;display_string=Audit&amp;DYN_ARGS=TRUE&amp;VAR:ID1=221353&amp;VAR:RCODE=AEQI&amp;VAR:SDATE=20080399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354__FDSAUDITLINK__" hidden="1">{"fdsup://IBCentral/FAT Viewer?action=UPDATE&amp;creator=factset&amp;DOC_NAME=fat:reuters_qtrly_source_window.fat&amp;display_string=Audit&amp;DYN_ARGS=TRUE&amp;VAR:ID1=221353&amp;VAR:RCODE=AEQI&amp;VAR:SDATE=20080399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355__FDSAUDITLINK__" localSheetId="8" hidden="1">{"fdsup://IBCentral/FAT Viewer?action=UPDATE&amp;creator=factset&amp;DOC_NAME=fat:reuters_qtrly_source_window.fat&amp;display_string=Audit&amp;DYN_ARGS=TRUE&amp;VAR:ID1=221353&amp;VAR:RCODE=LMIN&amp;VAR:SDATE=20080399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355__FDSAUDITLINK__" hidden="1">{"fdsup://IBCentral/FAT Viewer?action=UPDATE&amp;creator=factset&amp;DOC_NAME=fat:reuters_qtrly_source_window.fat&amp;display_string=Audit&amp;DYN_ARGS=TRUE&amp;VAR:ID1=221353&amp;VAR:RCODE=LMIN&amp;VAR:SDATE=20080399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356__FDSAUDITLINK__" localSheetId="8" hidden="1">{"fdsup://IBCentral/FAT Viewer?action=UPDATE&amp;creator=factset&amp;DOC_NAME=fat:reuters_qtrly_source_window.fat&amp;display_string=Audit&amp;DYN_ARGS=TRUE&amp;VAR:ID1=221353&amp;VAR:RCODE=STLD&amp;VAR:SDATE=20080399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356__FDSAUDITLINK__" hidden="1">{"fdsup://IBCentral/FAT Viewer?action=UPDATE&amp;creator=factset&amp;DOC_NAME=fat:reuters_qtrly_source_window.fat&amp;display_string=Audit&amp;DYN_ARGS=TRUE&amp;VAR:ID1=221353&amp;VAR:RCODE=STLD&amp;VAR:SDATE=20080399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357__FDSAUDITLINK__" localSheetId="8" hidden="1">{"fdsup://IBCentral/FAT Viewer?action=UPDATE&amp;creator=factset&amp;DOC_NAME=fat:reuters_qtrly_source_window.fat&amp;display_string=Audit&amp;DYN_ARGS=TRUE&amp;VAR:ID1=221353&amp;VAR:RCODE=SCSI&amp;VAR:SDATE=20080399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357__FDSAUDITLINK__" hidden="1">{"fdsup://IBCentral/FAT Viewer?action=UPDATE&amp;creator=factset&amp;DOC_NAME=fat:reuters_qtrly_source_window.fat&amp;display_string=Audit&amp;DYN_ARGS=TRUE&amp;VAR:ID1=221353&amp;VAR:RCODE=SCSI&amp;VAR:SDATE=20080399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358__FDSAUDITLINK__" localSheetId="8" hidden="1">{"fdsup://IBCentral/FAT Viewer?action=UPDATE&amp;creator=factset&amp;DOC_NAME=fat:reuters_annual_source_window.fat&amp;display_string=Audit&amp;DYN_ARGS=TRUE&amp;VAR:ID1=221353&amp;VAR:RCODE=FDSPFDSTKTOTAL&amp;VAR:SDATE=20071299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358__FDSAUDITLINK__" hidden="1">{"fdsup://IBCentral/FAT Viewer?action=UPDATE&amp;creator=factset&amp;DOC_NAME=fat:reuters_annual_source_window.fat&amp;display_string=Audit&amp;DYN_ARGS=TRUE&amp;VAR:ID1=221353&amp;VAR:RCODE=FDSPFDSTKTOTAL&amp;VAR:SDATE=20071299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359__FDSAUDITLINK__" localSheetId="8" hidden="1">{"fdsup://IBCentral/FAT Viewer?action=UPDATE&amp;creator=factset&amp;DOC_NAME=fat:reuters_qtrly_source_window.fat&amp;display_string=Audit&amp;DYN_ARGS=TRUE&amp;VAR:ID1=221353&amp;VAR:RCODE=AEQI&amp;VAR:SDATE=20080399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359__FDSAUDITLINK__" hidden="1">{"fdsup://IBCentral/FAT Viewer?action=UPDATE&amp;creator=factset&amp;DOC_NAME=fat:reuters_qtrly_source_window.fat&amp;display_string=Audit&amp;DYN_ARGS=TRUE&amp;VAR:ID1=221353&amp;VAR:RCODE=AEQI&amp;VAR:SDATE=20080399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36__123Graph_LBL_ACHART_8" hidden="1">#REF!</definedName>
    <definedName name="_136__FDSAUDITLINK__" localSheetId="8" hidden="1">{"fdsup://directions/FAT Viewer?action=UPDATE&amp;creator=factset&amp;DYN_ARGS=TRUE&amp;DOC_NAME=FAT:FQL_AUDITING_CLIENT_TEMPLATE.FAT&amp;display_string=Audit&amp;VAR:KEY=JMVIZQRQDS&amp;VAR:QUERY=RkZfRUJJVF9JQignQU5OJywzMzE0NiwsLCwnR0JQJyk=&amp;WINDOW=FIRST_POPUP&amp;HEIGHT=450&amp;WIDTH=450&amp;","START_MAXIMIZED=FALSE&amp;VAR:CALENDAR=FIVEDAY&amp;VAR:SYMBOL=080216&amp;VAR:INDEX=0"}</definedName>
    <definedName name="_136__FDSAUDITLINK__" hidden="1">{"fdsup://directions/FAT Viewer?action=UPDATE&amp;creator=factset&amp;DYN_ARGS=TRUE&amp;DOC_NAME=FAT:FQL_AUDITING_CLIENT_TEMPLATE.FAT&amp;display_string=Audit&amp;VAR:KEY=ULQLIVMFUX&amp;VAR:QUERY=RkZfTkVUX0lOQyhDQUwsMjAxMSk=&amp;WINDOW=FIRST_POPUP&amp;HEIGHT=450&amp;WIDTH=450&amp;START_MAXIMIZED=","FALSE&amp;VAR:CALENDAR=US&amp;VAR:SYMBOL=MLM&amp;VAR:INDEX=0"}</definedName>
    <definedName name="_136__FDSAUDITLINK___1" localSheetId="8" hidden="1">{"fdsup://directions/FAT Viewer?action=UPDATE&amp;creator=factset&amp;DYN_ARGS=TRUE&amp;DOC_NAME=FAT:FQL_AUDITING_CLIENT_TEMPLATE.FAT&amp;display_string=Audit&amp;VAR:KEY=JMVIZQRQDS&amp;VAR:QUERY=RkZfRUJJVF9JQignQU5OJywzMzE0NiwsLCwnR0JQJyk=&amp;WINDOW=FIRST_POPUP&amp;HEIGHT=450&amp;WIDTH=450&amp;","START_MAXIMIZED=FALSE&amp;VAR:CALENDAR=FIVEDAY&amp;VAR:SYMBOL=080216&amp;VAR:INDEX=0"}</definedName>
    <definedName name="_136__FDSAUDITLINK___1" hidden="1">{"fdsup://directions/FAT Viewer?action=UPDATE&amp;creator=factset&amp;DYN_ARGS=TRUE&amp;DOC_NAME=FAT:FQL_AUDITING_CLIENT_TEMPLATE.FAT&amp;display_string=Audit&amp;VAR:KEY=JMVIZQRQDS&amp;VAR:QUERY=RkZfRUJJVF9JQignQU5OJywzMzE0NiwsLCwnR0JQJyk=&amp;WINDOW=FIRST_POPUP&amp;HEIGHT=450&amp;WIDTH=450&amp;","START_MAXIMIZED=FALSE&amp;VAR:CALENDAR=FIVEDAY&amp;VAR:SYMBOL=080216&amp;VAR:INDEX=0"}</definedName>
    <definedName name="_1360__FDSAUDITLINK__" localSheetId="8" hidden="1">{"fdsup://IBCentral/FAT Viewer?action=UPDATE&amp;creator=factset&amp;DOC_NAME=fat:reuters_qtrly_source_window.fat&amp;display_string=Audit&amp;DYN_ARGS=TRUE&amp;VAR:ID1=221353&amp;VAR:RCODE=LMIN&amp;VAR:SDATE=20080399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360__FDSAUDITLINK__" hidden="1">{"fdsup://IBCentral/FAT Viewer?action=UPDATE&amp;creator=factset&amp;DOC_NAME=fat:reuters_qtrly_source_window.fat&amp;display_string=Audit&amp;DYN_ARGS=TRUE&amp;VAR:ID1=221353&amp;VAR:RCODE=LMIN&amp;VAR:SDATE=20080399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361__FDSAUDITLINK__" localSheetId="8" hidden="1">{"fdsup://IBCentral/FAT Viewer?action=UPDATE&amp;creator=factset&amp;DOC_NAME=fat:reuters_qtrly_source_window.fat&amp;display_string=Audit&amp;DYN_ARGS=TRUE&amp;VAR:ID1=221353&amp;VAR:RCODE=STLD&amp;VAR:SDATE=20080399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361__FDSAUDITLINK__" hidden="1">{"fdsup://IBCentral/FAT Viewer?action=UPDATE&amp;creator=factset&amp;DOC_NAME=fat:reuters_qtrly_source_window.fat&amp;display_string=Audit&amp;DYN_ARGS=TRUE&amp;VAR:ID1=221353&amp;VAR:RCODE=STLD&amp;VAR:SDATE=20080399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362__FDSAUDITLINK__" localSheetId="8" hidden="1">{"fdsup://IBCentral/FAT Viewer?action=UPDATE&amp;creator=factset&amp;DOC_NAME=fat:reuters_qtrly_source_window.fat&amp;display_string=Audit&amp;DYN_ARGS=TRUE&amp;VAR:ID1=221353&amp;VAR:RCODE=SCSI&amp;VAR:SDATE=20080399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362__FDSAUDITLINK__" hidden="1">{"fdsup://IBCentral/FAT Viewer?action=UPDATE&amp;creator=factset&amp;DOC_NAME=fat:reuters_qtrly_source_window.fat&amp;display_string=Audit&amp;DYN_ARGS=TRUE&amp;VAR:ID1=221353&amp;VAR:RCODE=SCSI&amp;VAR:SDATE=20080399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363__FDSAUDITLINK__" localSheetId="8" hidden="1">{"fdsup://IBCentral/FAT Viewer?action=UPDATE&amp;creator=factset&amp;DOC_NAME=fat:reuters_annual_source_window.fat&amp;display_string=Audit&amp;DYN_ARGS=TRUE&amp;VAR:ID1=221353&amp;VAR:RCODE=FDSPFDSTKTOTAL&amp;VAR:SDATE=20071299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363__FDSAUDITLINK__" hidden="1">{"fdsup://IBCentral/FAT Viewer?action=UPDATE&amp;creator=factset&amp;DOC_NAME=fat:reuters_annual_source_window.fat&amp;display_string=Audit&amp;DYN_ARGS=TRUE&amp;VAR:ID1=221353&amp;VAR:RCODE=FDSPFDSTKTOTAL&amp;VAR:SDATE=20071299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364__FDSAUDITLINK__" localSheetId="8" hidden="1">{"fdsup://IBCentral/FAT Viewer?action=UPDATE&amp;creator=factset&amp;DOC_NAME=fat:reuters_qtrly_source_window.fat&amp;display_string=Audit&amp;DYN_ARGS=TRUE&amp;VAR:ID1=221353&amp;VAR:RCODE=AEQI&amp;VAR:SDATE=20080399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364__FDSAUDITLINK__" hidden="1">{"fdsup://IBCentral/FAT Viewer?action=UPDATE&amp;creator=factset&amp;DOC_NAME=fat:reuters_qtrly_source_window.fat&amp;display_string=Audit&amp;DYN_ARGS=TRUE&amp;VAR:ID1=221353&amp;VAR:RCODE=AEQI&amp;VAR:SDATE=20080399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365__FDSAUDITLINK__" localSheetId="8" hidden="1">{"fdsup://IBCentral/FAT Viewer?action=UPDATE&amp;creator=factset&amp;DOC_NAME=fat:reuters_qtrly_source_window.fat&amp;display_string=Audit&amp;DYN_ARGS=TRUE&amp;VAR:ID1=221353&amp;VAR:RCODE=LMIN&amp;VAR:SDATE=20080399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365__FDSAUDITLINK__" hidden="1">{"fdsup://IBCentral/FAT Viewer?action=UPDATE&amp;creator=factset&amp;DOC_NAME=fat:reuters_qtrly_source_window.fat&amp;display_string=Audit&amp;DYN_ARGS=TRUE&amp;VAR:ID1=221353&amp;VAR:RCODE=LMIN&amp;VAR:SDATE=20080399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366__FDSAUDITLINK__" localSheetId="8" hidden="1">{"fdsup://IBCentral/FAT Viewer?action=UPDATE&amp;creator=factset&amp;DOC_NAME=fat:reuters_qtrly_source_window.fat&amp;display_string=Audit&amp;DYN_ARGS=TRUE&amp;VAR:ID1=221353&amp;VAR:RCODE=STLD&amp;VAR:SDATE=20080399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366__FDSAUDITLINK__" hidden="1">{"fdsup://IBCentral/FAT Viewer?action=UPDATE&amp;creator=factset&amp;DOC_NAME=fat:reuters_qtrly_source_window.fat&amp;display_string=Audit&amp;DYN_ARGS=TRUE&amp;VAR:ID1=221353&amp;VAR:RCODE=STLD&amp;VAR:SDATE=20080399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367__FDSAUDITLINK__" localSheetId="8" hidden="1">{"fdsup://IBCentral/FAT Viewer?action=UPDATE&amp;creator=factset&amp;DOC_NAME=fat:reuters_qtrly_source_window.fat&amp;display_string=Audit&amp;DYN_ARGS=TRUE&amp;VAR:ID1=221353&amp;VAR:RCODE=SCSI&amp;VAR:SDATE=20080399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367__FDSAUDITLINK__" hidden="1">{"fdsup://IBCentral/FAT Viewer?action=UPDATE&amp;creator=factset&amp;DOC_NAME=fat:reuters_qtrly_source_window.fat&amp;display_string=Audit&amp;DYN_ARGS=TRUE&amp;VAR:ID1=221353&amp;VAR:RCODE=SCSI&amp;VAR:SDATE=20080399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368__FDSAUDITLINK__" localSheetId="8" hidden="1">{"fdsup://IBCentral/FAT Viewer?action=UPDATE&amp;creator=factset&amp;DOC_NAME=fat:reuters_annual_source_window.fat&amp;display_string=Audit&amp;DYN_ARGS=TRUE&amp;VAR:ID1=221353&amp;VAR:RCODE=FDSPFDSTKTOTAL&amp;VAR:SDATE=20071299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368__FDSAUDITLINK__" hidden="1">{"fdsup://IBCentral/FAT Viewer?action=UPDATE&amp;creator=factset&amp;DOC_NAME=fat:reuters_annual_source_window.fat&amp;display_string=Audit&amp;DYN_ARGS=TRUE&amp;VAR:ID1=221353&amp;VAR:RCODE=FDSPFDSTKTOTAL&amp;VAR:SDATE=20071299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369__FDSAUDITLINK__" localSheetId="8" hidden="1">{"fdsup://IBCentral/FAT Viewer?action=UPDATE&amp;creator=factset&amp;DOC_NAME=fat:reuters_qtrly_source_window.fat&amp;display_string=Audit&amp;DYN_ARGS=TRUE&amp;VAR:ID1=221353&amp;VAR:RCODE=AEQI&amp;VAR:SDATE=20080399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369__FDSAUDITLINK__" hidden="1">{"fdsup://IBCentral/FAT Viewer?action=UPDATE&amp;creator=factset&amp;DOC_NAME=fat:reuters_qtrly_source_window.fat&amp;display_string=Audit&amp;DYN_ARGS=TRUE&amp;VAR:ID1=221353&amp;VAR:RCODE=AEQI&amp;VAR:SDATE=20080399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37__123Graph_LBL_ACHART_9" hidden="1">#REF!</definedName>
    <definedName name="_137__FDSAUDITLINK__" localSheetId="8" hidden="1">{"fdsup://directions/FAT Viewer?action=UPDATE&amp;creator=factset&amp;DYN_ARGS=TRUE&amp;DOC_NAME=FAT:FQL_AUDITING_CLIENT_TEMPLATE.FAT&amp;display_string=Audit&amp;VAR:KEY=PKRGHQBMXK&amp;VAR:QUERY=RkZfRUJJVF9JQignQU5OJywzOTgxMywsLCwnR0JQJyk=&amp;WINDOW=FIRST_POPUP&amp;HEIGHT=450&amp;WIDTH=450&amp;","START_MAXIMIZED=FALSE&amp;VAR:CALENDAR=FIVEDAY&amp;VAR:SYMBOL=075902&amp;VAR:INDEX=0"}</definedName>
    <definedName name="_137__FDSAUDITLINK__" hidden="1">{"fdsup://directions/FAT Viewer?action=UPDATE&amp;creator=factset&amp;DYN_ARGS=TRUE&amp;DOC_NAME=FAT:FQL_AUDITING_CLIENT_TEMPLATE.FAT&amp;display_string=Audit&amp;VAR:KEY=GBKXCXUZEH&amp;VAR:QUERY=RkZfTkVUX0lOQyhDQUwsMjAxMSk=&amp;WINDOW=FIRST_POPUP&amp;HEIGHT=450&amp;WIDTH=450&amp;START_MAXIMIZED=","FALSE&amp;VAR:CALENDAR=US&amp;VAR:SYMBOL=EXP&amp;VAR:INDEX=0"}</definedName>
    <definedName name="_137__FDSAUDITLINK___1" localSheetId="8" hidden="1">{"fdsup://directions/FAT Viewer?action=UPDATE&amp;creator=factset&amp;DYN_ARGS=TRUE&amp;DOC_NAME=FAT:FQL_AUDITING_CLIENT_TEMPLATE.FAT&amp;display_string=Audit&amp;VAR:KEY=PKRGHQBMXK&amp;VAR:QUERY=RkZfRUJJVF9JQignQU5OJywzOTgxMywsLCwnR0JQJyk=&amp;WINDOW=FIRST_POPUP&amp;HEIGHT=450&amp;WIDTH=450&amp;","START_MAXIMIZED=FALSE&amp;VAR:CALENDAR=FIVEDAY&amp;VAR:SYMBOL=075902&amp;VAR:INDEX=0"}</definedName>
    <definedName name="_137__FDSAUDITLINK___1" hidden="1">{"fdsup://directions/FAT Viewer?action=UPDATE&amp;creator=factset&amp;DYN_ARGS=TRUE&amp;DOC_NAME=FAT:FQL_AUDITING_CLIENT_TEMPLATE.FAT&amp;display_string=Audit&amp;VAR:KEY=PKRGHQBMXK&amp;VAR:QUERY=RkZfRUJJVF9JQignQU5OJywzOTgxMywsLCwnR0JQJyk=&amp;WINDOW=FIRST_POPUP&amp;HEIGHT=450&amp;WIDTH=450&amp;","START_MAXIMIZED=FALSE&amp;VAR:CALENDAR=FIVEDAY&amp;VAR:SYMBOL=075902&amp;VAR:INDEX=0"}</definedName>
    <definedName name="_1370__FDSAUDITLINK__" localSheetId="8" hidden="1">{"fdsup://IBCentral/FAT Viewer?action=UPDATE&amp;creator=factset&amp;DOC_NAME=fat:reuters_qtrly_source_window.fat&amp;display_string=Audit&amp;DYN_ARGS=TRUE&amp;VAR:ID1=221353&amp;VAR:RCODE=LMIN&amp;VAR:SDATE=20080399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370__FDSAUDITLINK__" hidden="1">{"fdsup://IBCentral/FAT Viewer?action=UPDATE&amp;creator=factset&amp;DOC_NAME=fat:reuters_qtrly_source_window.fat&amp;display_string=Audit&amp;DYN_ARGS=TRUE&amp;VAR:ID1=221353&amp;VAR:RCODE=LMIN&amp;VAR:SDATE=20080399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371__FDSAUDITLINK__" localSheetId="8" hidden="1">{"fdsup://IBCentral/FAT Viewer?action=UPDATE&amp;creator=factset&amp;DOC_NAME=fat:reuters_qtrly_source_window.fat&amp;display_string=Audit&amp;DYN_ARGS=TRUE&amp;VAR:ID1=221353&amp;VAR:RCODE=STLD&amp;VAR:SDATE=20080399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371__FDSAUDITLINK__" hidden="1">{"fdsup://IBCentral/FAT Viewer?action=UPDATE&amp;creator=factset&amp;DOC_NAME=fat:reuters_qtrly_source_window.fat&amp;display_string=Audit&amp;DYN_ARGS=TRUE&amp;VAR:ID1=221353&amp;VAR:RCODE=STLD&amp;VAR:SDATE=20080399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372__FDSAUDITLINK__" localSheetId="8" hidden="1">{"fdsup://IBCentral/FAT Viewer?action=UPDATE&amp;creator=factset&amp;DOC_NAME=fat:reuters_qtrly_source_window.fat&amp;display_string=Audit&amp;DYN_ARGS=TRUE&amp;VAR:ID1=221353&amp;VAR:RCODE=SCSI&amp;VAR:SDATE=20080399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372__FDSAUDITLINK__" hidden="1">{"fdsup://IBCentral/FAT Viewer?action=UPDATE&amp;creator=factset&amp;DOC_NAME=fat:reuters_qtrly_source_window.fat&amp;display_string=Audit&amp;DYN_ARGS=TRUE&amp;VAR:ID1=221353&amp;VAR:RCODE=SCSI&amp;VAR:SDATE=20080399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373__FDSAUDITLINK__" localSheetId="8" hidden="1">{"fdsup://IBCentral/FAT Viewer?action=UPDATE&amp;creator=factset&amp;DOC_NAME=fat:reuters_annual_source_window.fat&amp;display_string=Audit&amp;DYN_ARGS=TRUE&amp;VAR:ID1=221353&amp;VAR:RCODE=FDSPFDSTKTOTAL&amp;VAR:SDATE=20071299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373__FDSAUDITLINK__" hidden="1">{"fdsup://IBCentral/FAT Viewer?action=UPDATE&amp;creator=factset&amp;DOC_NAME=fat:reuters_annual_source_window.fat&amp;display_string=Audit&amp;DYN_ARGS=TRUE&amp;VAR:ID1=221353&amp;VAR:RCODE=FDSPFDSTKTOTAL&amp;VAR:SDATE=20071299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374__FDSAUDITLINK__" localSheetId="8" hidden="1">{"fdsup://IBCentral/FAT Viewer?action=UPDATE&amp;creator=factset&amp;DOC_NAME=fat:reuters_qtrly_source_window.fat&amp;display_string=Audit&amp;DYN_ARGS=TRUE&amp;VAR:ID1=221353&amp;VAR:RCODE=AEQI&amp;VAR:SDATE=20080399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374__FDSAUDITLINK__" hidden="1">{"fdsup://IBCentral/FAT Viewer?action=UPDATE&amp;creator=factset&amp;DOC_NAME=fat:reuters_qtrly_source_window.fat&amp;display_string=Audit&amp;DYN_ARGS=TRUE&amp;VAR:ID1=221353&amp;VAR:RCODE=AEQI&amp;VAR:SDATE=20080399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375__FDSAUDITLINK__" localSheetId="8" hidden="1">{"fdsup://IBCentral/FAT Viewer?action=UPDATE&amp;creator=factset&amp;DOC_NAME=fat:reuters_qtrly_source_window.fat&amp;display_string=Audit&amp;DYN_ARGS=TRUE&amp;VAR:ID1=221353&amp;VAR:RCODE=LMIN&amp;VAR:SDATE=20080399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375__FDSAUDITLINK__" hidden="1">{"fdsup://IBCentral/FAT Viewer?action=UPDATE&amp;creator=factset&amp;DOC_NAME=fat:reuters_qtrly_source_window.fat&amp;display_string=Audit&amp;DYN_ARGS=TRUE&amp;VAR:ID1=221353&amp;VAR:RCODE=LMIN&amp;VAR:SDATE=20080399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376__FDSAUDITLINK__" localSheetId="8" hidden="1">{"fdsup://IBCentral/FAT Viewer?action=UPDATE&amp;creator=factset&amp;DOC_NAME=fat:reuters_qtrly_source_window.fat&amp;display_string=Audit&amp;DYN_ARGS=TRUE&amp;VAR:ID1=221353&amp;VAR:RCODE=STLD&amp;VAR:SDATE=20080399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376__FDSAUDITLINK__" hidden="1">{"fdsup://IBCentral/FAT Viewer?action=UPDATE&amp;creator=factset&amp;DOC_NAME=fat:reuters_qtrly_source_window.fat&amp;display_string=Audit&amp;DYN_ARGS=TRUE&amp;VAR:ID1=221353&amp;VAR:RCODE=STLD&amp;VAR:SDATE=20080399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377__FDSAUDITLINK__" localSheetId="8" hidden="1">{"fdsup://IBCentral/FAT Viewer?action=UPDATE&amp;creator=factset&amp;DOC_NAME=fat:reuters_qtrly_source_window.fat&amp;display_string=Audit&amp;DYN_ARGS=TRUE&amp;VAR:ID1=221353&amp;VAR:RCODE=SCSI&amp;VAR:SDATE=20080399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377__FDSAUDITLINK__" hidden="1">{"fdsup://IBCentral/FAT Viewer?action=UPDATE&amp;creator=factset&amp;DOC_NAME=fat:reuters_qtrly_source_window.fat&amp;display_string=Audit&amp;DYN_ARGS=TRUE&amp;VAR:ID1=221353&amp;VAR:RCODE=SCSI&amp;VAR:SDATE=20080399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378__FDSAUDITLINK__" localSheetId="8" hidden="1">{"fdsup://IBCentral/FAT Viewer?action=UPDATE&amp;creator=factset&amp;DOC_NAME=fat:reuters_annual_source_window.fat&amp;display_string=Audit&amp;DYN_ARGS=TRUE&amp;VAR:ID1=221353&amp;VAR:RCODE=FDSPFDSTKTOTAL&amp;VAR:SDATE=20071299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378__FDSAUDITLINK__" hidden="1">{"fdsup://IBCentral/FAT Viewer?action=UPDATE&amp;creator=factset&amp;DOC_NAME=fat:reuters_annual_source_window.fat&amp;display_string=Audit&amp;DYN_ARGS=TRUE&amp;VAR:ID1=221353&amp;VAR:RCODE=FDSPFDSTKTOTAL&amp;VAR:SDATE=20071299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379__FDSAUDITLINK__" localSheetId="8" hidden="1">{"fdsup://IBCentral/FAT Viewer?action=UPDATE&amp;creator=factset&amp;DOC_NAME=fat:reuters_qtrly_source_window.fat&amp;display_string=Audit&amp;DYN_ARGS=TRUE&amp;VAR:ID1=221353&amp;VAR:RCODE=AEQI&amp;VAR:SDATE=20080399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379__FDSAUDITLINK__" hidden="1">{"fdsup://IBCentral/FAT Viewer?action=UPDATE&amp;creator=factset&amp;DOC_NAME=fat:reuters_qtrly_source_window.fat&amp;display_string=Audit&amp;DYN_ARGS=TRUE&amp;VAR:ID1=221353&amp;VAR:RCODE=AEQI&amp;VAR:SDATE=20080399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38__123Graph_LBL_BCHART_1" hidden="1">#REF!</definedName>
    <definedName name="_138__FDSAUDITLINK__" localSheetId="8" hidden="1">{"fdsup://directions/FAT Viewer?action=UPDATE&amp;creator=factset&amp;DYN_ARGS=TRUE&amp;DOC_NAME=FAT:FQL_AUDITING_CLIENT_TEMPLATE.FAT&amp;display_string=Audit&amp;VAR:KEY=BCJILOFEJW&amp;VAR:QUERY=RkZfRUJJVF9JQignQU5OJywzOTQ0NywsLCwnR0JQJyk=&amp;WINDOW=FIRST_POPUP&amp;HEIGHT=450&amp;WIDTH=450&amp;","START_MAXIMIZED=FALSE&amp;VAR:CALENDAR=FIVEDAY&amp;VAR:SYMBOL=075902&amp;VAR:INDEX=0"}</definedName>
    <definedName name="_138__FDSAUDITLINK__" hidden="1">{"fdsup://directions/FAT Viewer?action=UPDATE&amp;creator=factset&amp;DYN_ARGS=TRUE&amp;DOC_NAME=FAT:FQL_AUDITING_CLIENT_TEMPLATE.FAT&amp;display_string=Audit&amp;VAR:KEY=QPABEJQBEH&amp;VAR:QUERY=RkZfTkVUX0lOQyhDQUwsMjAxMCk=&amp;WINDOW=FIRST_POPUP&amp;HEIGHT=450&amp;WIDTH=450&amp;START_MAXIMIZED=","FALSE&amp;VAR:CALENDAR=US&amp;VAR:SYMBOL=711075&amp;VAR:INDEX=0"}</definedName>
    <definedName name="_138__FDSAUDITLINK___1" localSheetId="8" hidden="1">{"fdsup://directions/FAT Viewer?action=UPDATE&amp;creator=factset&amp;DYN_ARGS=TRUE&amp;DOC_NAME=FAT:FQL_AUDITING_CLIENT_TEMPLATE.FAT&amp;display_string=Audit&amp;VAR:KEY=BCJILOFEJW&amp;VAR:QUERY=RkZfRUJJVF9JQignQU5OJywzOTQ0NywsLCwnR0JQJyk=&amp;WINDOW=FIRST_POPUP&amp;HEIGHT=450&amp;WIDTH=450&amp;","START_MAXIMIZED=FALSE&amp;VAR:CALENDAR=FIVEDAY&amp;VAR:SYMBOL=075902&amp;VAR:INDEX=0"}</definedName>
    <definedName name="_138__FDSAUDITLINK___1" hidden="1">{"fdsup://directions/FAT Viewer?action=UPDATE&amp;creator=factset&amp;DYN_ARGS=TRUE&amp;DOC_NAME=FAT:FQL_AUDITING_CLIENT_TEMPLATE.FAT&amp;display_string=Audit&amp;VAR:KEY=BCJILOFEJW&amp;VAR:QUERY=RkZfRUJJVF9JQignQU5OJywzOTQ0NywsLCwnR0JQJyk=&amp;WINDOW=FIRST_POPUP&amp;HEIGHT=450&amp;WIDTH=450&amp;","START_MAXIMIZED=FALSE&amp;VAR:CALENDAR=FIVEDAY&amp;VAR:SYMBOL=075902&amp;VAR:INDEX=0"}</definedName>
    <definedName name="_1380__FDSAUDITLINK__" localSheetId="8" hidden="1">{"fdsup://IBCentral/FAT Viewer?action=UPDATE&amp;creator=factset&amp;DOC_NAME=fat:reuters_qtrly_source_window.fat&amp;display_string=Audit&amp;DYN_ARGS=TRUE&amp;VAR:ID1=221353&amp;VAR:RCODE=LMIN&amp;VAR:SDATE=20080399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380__FDSAUDITLINK__" hidden="1">{"fdsup://IBCentral/FAT Viewer?action=UPDATE&amp;creator=factset&amp;DOC_NAME=fat:reuters_qtrly_source_window.fat&amp;display_string=Audit&amp;DYN_ARGS=TRUE&amp;VAR:ID1=221353&amp;VAR:RCODE=LMIN&amp;VAR:SDATE=20080399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381__FDSAUDITLINK__" localSheetId="8" hidden="1">{"fdsup://IBCentral/FAT Viewer?action=UPDATE&amp;creator=factset&amp;DOC_NAME=fat:reuters_qtrly_source_window.fat&amp;display_string=Audit&amp;DYN_ARGS=TRUE&amp;VAR:ID1=221353&amp;VAR:RCODE=STLD&amp;VAR:SDATE=20080399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381__FDSAUDITLINK__" hidden="1">{"fdsup://IBCentral/FAT Viewer?action=UPDATE&amp;creator=factset&amp;DOC_NAME=fat:reuters_qtrly_source_window.fat&amp;display_string=Audit&amp;DYN_ARGS=TRUE&amp;VAR:ID1=221353&amp;VAR:RCODE=STLD&amp;VAR:SDATE=20080399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382__FDSAUDITLINK__" localSheetId="8" hidden="1">{"fdsup://IBCentral/FAT Viewer?action=UPDATE&amp;creator=factset&amp;DOC_NAME=fat:reuters_qtrly_source_window.fat&amp;display_string=Audit&amp;DYN_ARGS=TRUE&amp;VAR:ID1=221353&amp;VAR:RCODE=SCSI&amp;VAR:SDATE=20080399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382__FDSAUDITLINK__" hidden="1">{"fdsup://IBCentral/FAT Viewer?action=UPDATE&amp;creator=factset&amp;DOC_NAME=fat:reuters_qtrly_source_window.fat&amp;display_string=Audit&amp;DYN_ARGS=TRUE&amp;VAR:ID1=221353&amp;VAR:RCODE=SCSI&amp;VAR:SDATE=20080399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383__FDSAUDITLINK__" localSheetId="8" hidden="1">{"fdsup://IBCentral/FAT Viewer?action=UPDATE&amp;creator=factset&amp;DOC_NAME=fat:reuters_annual_source_window.fat&amp;display_string=Audit&amp;DYN_ARGS=TRUE&amp;VAR:ID1=221353&amp;VAR:RCODE=FDSPFDSTKTOTAL&amp;VAR:SDATE=20071299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383__FDSAUDITLINK__" hidden="1">{"fdsup://IBCentral/FAT Viewer?action=UPDATE&amp;creator=factset&amp;DOC_NAME=fat:reuters_annual_source_window.fat&amp;display_string=Audit&amp;DYN_ARGS=TRUE&amp;VAR:ID1=221353&amp;VAR:RCODE=FDSPFDSTKTOTAL&amp;VAR:SDATE=20071299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384__FDSAUDITLINK__" localSheetId="8" hidden="1">{"fdsup://IBCentral/FAT Viewer?action=UPDATE&amp;creator=factset&amp;DOC_NAME=fat:reuters_qtrly_source_window.fat&amp;display_string=Audit&amp;DYN_ARGS=TRUE&amp;VAR:ID1=221353&amp;VAR:RCODE=AEQI&amp;VAR:SDATE=20080399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384__FDSAUDITLINK__" hidden="1">{"fdsup://IBCentral/FAT Viewer?action=UPDATE&amp;creator=factset&amp;DOC_NAME=fat:reuters_qtrly_source_window.fat&amp;display_string=Audit&amp;DYN_ARGS=TRUE&amp;VAR:ID1=221353&amp;VAR:RCODE=AEQI&amp;VAR:SDATE=20080399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385__FDSAUDITLINK__" localSheetId="8" hidden="1">{"fdsup://IBCentral/FAT Viewer?action=UPDATE&amp;creator=factset&amp;DOC_NAME=fat:reuters_qtrly_source_window.fat&amp;display_string=Audit&amp;DYN_ARGS=TRUE&amp;VAR:ID1=221353&amp;VAR:RCODE=LMIN&amp;VAR:SDATE=20080399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385__FDSAUDITLINK__" hidden="1">{"fdsup://IBCentral/FAT Viewer?action=UPDATE&amp;creator=factset&amp;DOC_NAME=fat:reuters_qtrly_source_window.fat&amp;display_string=Audit&amp;DYN_ARGS=TRUE&amp;VAR:ID1=221353&amp;VAR:RCODE=LMIN&amp;VAR:SDATE=20080399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386__FDSAUDITLINK__" localSheetId="8" hidden="1">{"fdsup://IBCentral/FAT Viewer?action=UPDATE&amp;creator=factset&amp;DOC_NAME=fat:reuters_qtrly_source_window.fat&amp;display_string=Audit&amp;DYN_ARGS=TRUE&amp;VAR:ID1=221353&amp;VAR:RCODE=STLD&amp;VAR:SDATE=20080399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386__FDSAUDITLINK__" hidden="1">{"fdsup://IBCentral/FAT Viewer?action=UPDATE&amp;creator=factset&amp;DOC_NAME=fat:reuters_qtrly_source_window.fat&amp;display_string=Audit&amp;DYN_ARGS=TRUE&amp;VAR:ID1=221353&amp;VAR:RCODE=STLD&amp;VAR:SDATE=20080399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387__FDSAUDITLINK__" localSheetId="8" hidden="1">{"fdsup://IBCentral/FAT Viewer?action=UPDATE&amp;creator=factset&amp;DOC_NAME=fat:reuters_qtrly_source_window.fat&amp;display_string=Audit&amp;DYN_ARGS=TRUE&amp;VAR:ID1=221353&amp;VAR:RCODE=SCSI&amp;VAR:SDATE=20080399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387__FDSAUDITLINK__" hidden="1">{"fdsup://IBCentral/FAT Viewer?action=UPDATE&amp;creator=factset&amp;DOC_NAME=fat:reuters_qtrly_source_window.fat&amp;display_string=Audit&amp;DYN_ARGS=TRUE&amp;VAR:ID1=221353&amp;VAR:RCODE=SCSI&amp;VAR:SDATE=20080399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388__FDSAUDITLINK__" localSheetId="8" hidden="1">{"fdsup://IBCentral/FAT Viewer?action=UPDATE&amp;creator=factset&amp;DOC_NAME=fat:reuters_annual_source_window.fat&amp;display_string=Audit&amp;DYN_ARGS=TRUE&amp;VAR:ID1=221353&amp;VAR:RCODE=FDSPFDSTKTOTAL&amp;VAR:SDATE=20071299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388__FDSAUDITLINK__" hidden="1">{"fdsup://IBCentral/FAT Viewer?action=UPDATE&amp;creator=factset&amp;DOC_NAME=fat:reuters_annual_source_window.fat&amp;display_string=Audit&amp;DYN_ARGS=TRUE&amp;VAR:ID1=221353&amp;VAR:RCODE=FDSPFDSTKTOTAL&amp;VAR:SDATE=20071299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389__FDSAUDITLINK__" localSheetId="8" hidden="1">{"fdsup://IBCentral/FAT Viewer?action=UPDATE&amp;creator=factset&amp;DOC_NAME=fat:reuters_qtrly_source_window.fat&amp;display_string=Audit&amp;DYN_ARGS=TRUE&amp;VAR:ID1=221353&amp;VAR:RCODE=AEQI&amp;VAR:SDATE=20080399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389__FDSAUDITLINK__" hidden="1">{"fdsup://IBCentral/FAT Viewer?action=UPDATE&amp;creator=factset&amp;DOC_NAME=fat:reuters_qtrly_source_window.fat&amp;display_string=Audit&amp;DYN_ARGS=TRUE&amp;VAR:ID1=221353&amp;VAR:RCODE=AEQI&amp;VAR:SDATE=20080399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39__123Graph_LBL_BCHART_11" hidden="1">#REF!</definedName>
    <definedName name="_139__FDSAUDITLINK__" localSheetId="8" hidden="1">{"fdsup://directions/FAT Viewer?action=UPDATE&amp;creator=factset&amp;DYN_ARGS=TRUE&amp;DOC_NAME=FAT:FQL_AUDITING_CLIENT_TEMPLATE.FAT&amp;display_string=Audit&amp;VAR:KEY=HCPSRUTADC&amp;VAR:QUERY=RkZfRUJJVF9JQignQU5OJywzOTA4MiwsLCwnR0JQJyk=&amp;WINDOW=FIRST_POPUP&amp;HEIGHT=450&amp;WIDTH=450&amp;","START_MAXIMIZED=FALSE&amp;VAR:CALENDAR=FIVEDAY&amp;VAR:SYMBOL=075902&amp;VAR:INDEX=0"}</definedName>
    <definedName name="_139__FDSAUDITLINK__" hidden="1">{"fdsup://directions/FAT Viewer?action=UPDATE&amp;creator=factset&amp;DYN_ARGS=TRUE&amp;DOC_NAME=FAT:FQL_AUDITING_CLIENT_TEMPLATE.FAT&amp;display_string=Audit&amp;VAR:KEY=JUPGZMFATY&amp;VAR:QUERY=RkZfTkVUX0lOQyhDQUwsMjAxMCk=&amp;WINDOW=FIRST_POPUP&amp;HEIGHT=450&amp;WIDTH=450&amp;START_MAXIMIZED=","FALSE&amp;VAR:CALENDAR=US&amp;VAR:SYMBOL=CX&amp;VAR:INDEX=0"}</definedName>
    <definedName name="_139__FDSAUDITLINK___1" localSheetId="8" hidden="1">{"fdsup://directions/FAT Viewer?action=UPDATE&amp;creator=factset&amp;DYN_ARGS=TRUE&amp;DOC_NAME=FAT:FQL_AUDITING_CLIENT_TEMPLATE.FAT&amp;display_string=Audit&amp;VAR:KEY=HCPSRUTADC&amp;VAR:QUERY=RkZfRUJJVF9JQignQU5OJywzOTA4MiwsLCwnR0JQJyk=&amp;WINDOW=FIRST_POPUP&amp;HEIGHT=450&amp;WIDTH=450&amp;","START_MAXIMIZED=FALSE&amp;VAR:CALENDAR=FIVEDAY&amp;VAR:SYMBOL=075902&amp;VAR:INDEX=0"}</definedName>
    <definedName name="_139__FDSAUDITLINK___1" hidden="1">{"fdsup://directions/FAT Viewer?action=UPDATE&amp;creator=factset&amp;DYN_ARGS=TRUE&amp;DOC_NAME=FAT:FQL_AUDITING_CLIENT_TEMPLATE.FAT&amp;display_string=Audit&amp;VAR:KEY=HCPSRUTADC&amp;VAR:QUERY=RkZfRUJJVF9JQignQU5OJywzOTA4MiwsLCwnR0JQJyk=&amp;WINDOW=FIRST_POPUP&amp;HEIGHT=450&amp;WIDTH=450&amp;","START_MAXIMIZED=FALSE&amp;VAR:CALENDAR=FIVEDAY&amp;VAR:SYMBOL=075902&amp;VAR:INDEX=0"}</definedName>
    <definedName name="_1390__FDSAUDITLINK__" localSheetId="8" hidden="1">{"fdsup://IBCentral/FAT Viewer?action=UPDATE&amp;creator=factset&amp;DOC_NAME=fat:reuters_qtrly_source_window.fat&amp;display_string=Audit&amp;DYN_ARGS=TRUE&amp;VAR:ID1=221353&amp;VAR:RCODE=LMIN&amp;VAR:SDATE=20080399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390__FDSAUDITLINK__" hidden="1">{"fdsup://IBCentral/FAT Viewer?action=UPDATE&amp;creator=factset&amp;DOC_NAME=fat:reuters_qtrly_source_window.fat&amp;display_string=Audit&amp;DYN_ARGS=TRUE&amp;VAR:ID1=221353&amp;VAR:RCODE=LMIN&amp;VAR:SDATE=20080399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391__FDSAUDITLINK__" localSheetId="8" hidden="1">{"fdsup://IBCentral/FAT Viewer?action=UPDATE&amp;creator=factset&amp;DOC_NAME=fat:reuters_qtrly_source_window.fat&amp;display_string=Audit&amp;DYN_ARGS=TRUE&amp;VAR:ID1=221353&amp;VAR:RCODE=STLD&amp;VAR:SDATE=20080399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391__FDSAUDITLINK__" hidden="1">{"fdsup://IBCentral/FAT Viewer?action=UPDATE&amp;creator=factset&amp;DOC_NAME=fat:reuters_qtrly_source_window.fat&amp;display_string=Audit&amp;DYN_ARGS=TRUE&amp;VAR:ID1=221353&amp;VAR:RCODE=STLD&amp;VAR:SDATE=20080399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392__FDSAUDITLINK__" localSheetId="8" hidden="1">{"fdsup://IBCentral/FAT Viewer?action=UPDATE&amp;creator=factset&amp;DOC_NAME=fat:reuters_qtrly_source_window.fat&amp;display_string=Audit&amp;DYN_ARGS=TRUE&amp;VAR:ID1=221353&amp;VAR:RCODE=SCSI&amp;VAR:SDATE=20080399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392__FDSAUDITLINK__" hidden="1">{"fdsup://IBCentral/FAT Viewer?action=UPDATE&amp;creator=factset&amp;DOC_NAME=fat:reuters_qtrly_source_window.fat&amp;display_string=Audit&amp;DYN_ARGS=TRUE&amp;VAR:ID1=221353&amp;VAR:RCODE=SCSI&amp;VAR:SDATE=20080399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393__FDSAUDITLINK__" localSheetId="8" hidden="1">{"fdsup://IBCentral/FAT Viewer?action=UPDATE&amp;creator=factset&amp;DOC_NAME=fat:reuters_annual_source_window.fat&amp;display_string=Audit&amp;DYN_ARGS=TRUE&amp;VAR:ID1=221353&amp;VAR:RCODE=FDSPFDSTKTOTAL&amp;VAR:SDATE=20071299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393__FDSAUDITLINK__" hidden="1">{"fdsup://IBCentral/FAT Viewer?action=UPDATE&amp;creator=factset&amp;DOC_NAME=fat:reuters_annual_source_window.fat&amp;display_string=Audit&amp;DYN_ARGS=TRUE&amp;VAR:ID1=221353&amp;VAR:RCODE=FDSPFDSTKTOTAL&amp;VAR:SDATE=20071299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394__FDSAUDITLINK__" localSheetId="8" hidden="1">{"fdsup://IBCentral/FAT Viewer?action=UPDATE&amp;creator=factset&amp;DOC_NAME=fat:reuters_qtrly_source_window.fat&amp;display_string=Audit&amp;DYN_ARGS=TRUE&amp;VAR:ID1=221353&amp;VAR:RCODE=AEQI&amp;VAR:SDATE=20080399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394__FDSAUDITLINK__" hidden="1">{"fdsup://IBCentral/FAT Viewer?action=UPDATE&amp;creator=factset&amp;DOC_NAME=fat:reuters_qtrly_source_window.fat&amp;display_string=Audit&amp;DYN_ARGS=TRUE&amp;VAR:ID1=221353&amp;VAR:RCODE=AEQI&amp;VAR:SDATE=20080399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395__FDSAUDITLINK__" localSheetId="8" hidden="1">{"fdsup://IBCentral/FAT Viewer?action=UPDATE&amp;creator=factset&amp;DOC_NAME=fat:reuters_qtrly_source_window.fat&amp;display_string=Audit&amp;DYN_ARGS=TRUE&amp;VAR:ID1=221353&amp;VAR:RCODE=LMIN&amp;VAR:SDATE=20080399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395__FDSAUDITLINK__" hidden="1">{"fdsup://IBCentral/FAT Viewer?action=UPDATE&amp;creator=factset&amp;DOC_NAME=fat:reuters_qtrly_source_window.fat&amp;display_string=Audit&amp;DYN_ARGS=TRUE&amp;VAR:ID1=221353&amp;VAR:RCODE=LMIN&amp;VAR:SDATE=20080399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396__FDSAUDITLINK__" localSheetId="8" hidden="1">{"fdsup://IBCentral/FAT Viewer?action=UPDATE&amp;creator=factset&amp;DOC_NAME=fat:reuters_qtrly_source_window.fat&amp;display_string=Audit&amp;DYN_ARGS=TRUE&amp;VAR:ID1=221353&amp;VAR:RCODE=STLD&amp;VAR:SDATE=20080399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396__FDSAUDITLINK__" hidden="1">{"fdsup://IBCentral/FAT Viewer?action=UPDATE&amp;creator=factset&amp;DOC_NAME=fat:reuters_qtrly_source_window.fat&amp;display_string=Audit&amp;DYN_ARGS=TRUE&amp;VAR:ID1=221353&amp;VAR:RCODE=STLD&amp;VAR:SDATE=20080399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397__FDSAUDITLINK__" localSheetId="8" hidden="1">{"fdsup://IBCentral/FAT Viewer?action=UPDATE&amp;creator=factset&amp;DOC_NAME=fat:reuters_qtrly_source_window.fat&amp;display_string=Audit&amp;DYN_ARGS=TRUE&amp;VAR:ID1=221353&amp;VAR:RCODE=SCSI&amp;VAR:SDATE=20080399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397__FDSAUDITLINK__" hidden="1">{"fdsup://IBCentral/FAT Viewer?action=UPDATE&amp;creator=factset&amp;DOC_NAME=fat:reuters_qtrly_source_window.fat&amp;display_string=Audit&amp;DYN_ARGS=TRUE&amp;VAR:ID1=221353&amp;VAR:RCODE=SCSI&amp;VAR:SDATE=20080399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398__FDSAUDITLINK__" localSheetId="8" hidden="1">{"fdsup://IBCentral/FAT Viewer?action=UPDATE&amp;creator=factset&amp;DOC_NAME=fat:reuters_annual_source_window.fat&amp;display_string=Audit&amp;DYN_ARGS=TRUE&amp;VAR:ID1=221353&amp;VAR:RCODE=FDSPFDSTKTOTAL&amp;VAR:SDATE=20071299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398__FDSAUDITLINK__" hidden="1">{"fdsup://IBCentral/FAT Viewer?action=UPDATE&amp;creator=factset&amp;DOC_NAME=fat:reuters_annual_source_window.fat&amp;display_string=Audit&amp;DYN_ARGS=TRUE&amp;VAR:ID1=221353&amp;VAR:RCODE=FDSPFDSTKTOTAL&amp;VAR:SDATE=20071299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399__FDSAUDITLINK__" localSheetId="8" hidden="1">{"fdsup://IBCentral/FAT Viewer?action=UPDATE&amp;creator=factset&amp;DOC_NAME=fat:reuters_qtrly_source_window.fat&amp;display_string=Audit&amp;DYN_ARGS=TRUE&amp;VAR:ID1=221353&amp;VAR:RCODE=AEQI&amp;VAR:SDATE=20080399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399__FDSAUDITLINK__" hidden="1">{"fdsup://IBCentral/FAT Viewer?action=UPDATE&amp;creator=factset&amp;DOC_NAME=fat:reuters_qtrly_source_window.fat&amp;display_string=Audit&amp;DYN_ARGS=TRUE&amp;VAR:ID1=221353&amp;VAR:RCODE=AEQI&amp;VAR:SDATE=20080399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4__123Graph_ACHART_1" hidden="1">#REF!</definedName>
    <definedName name="_14__123Graph_ACHART_2" hidden="1">#REF!</definedName>
    <definedName name="_14__123Graph_ACHART_24" localSheetId="8" hidden="1">#REF!</definedName>
    <definedName name="_14__123Graph_ACHART_24" hidden="1">#REF!</definedName>
    <definedName name="_14__123Graph_ACHART_4" hidden="1">#REF!</definedName>
    <definedName name="_14__123Graph_ACHART_9" hidden="1">#REF!</definedName>
    <definedName name="_14__123Graph_BCHART_7" hidden="1">#REF!</definedName>
    <definedName name="_14__123Graph_BGRAFICO_29" localSheetId="8" hidden="1">#REF!</definedName>
    <definedName name="_14__123Graph_BGRAFICO_29" hidden="1">#REF!</definedName>
    <definedName name="_14__123Graph_CCHART_6" hidden="1">#REF!</definedName>
    <definedName name="_14__123Graph_LBL_ACHART_1" hidden="1">#REF!</definedName>
    <definedName name="_14__123Graph_LBL_AGRAFICO_20" hidden="1">#REF!</definedName>
    <definedName name="_14__123Graph_LBL_CGRAFICO_20" hidden="1">#REF!</definedName>
    <definedName name="_14__123Graph_LBL_DGRAFICO_20" hidden="1">#REF!</definedName>
    <definedName name="_14__123Graph_LBL_DOG_CONFRONT_INC" hidden="1">#REF!</definedName>
    <definedName name="_14__123Graph_XCHART_2" hidden="1">#REF!</definedName>
    <definedName name="_14__123Graph_XChart_4" hidden="1">#REF!</definedName>
    <definedName name="_14__FDSAUDITLINK__" localSheetId="8" hidden="1">{"fdsup://directions/FAT Viewer?action=UPDATE&amp;creator=factset&amp;DYN_ARGS=TRUE&amp;DOC_NAME=FAT:FQL_AUDITING_CLIENT_TEMPLATE.FAT&amp;display_string=Audit&amp;VAR:KEY=GPKTQLKLEP&amp;VAR:QUERY=RkZfRUJJVF9JQihBTk4sMzg3MTcsLCwsRVVSKQ==&amp;WINDOW=FIRST_POPUP&amp;HEIGHT=450&amp;WIDTH=450&amp;STAR","T_MAXIMIZED=FALSE&amp;VAR:CALENDAR=FIVEDAY&amp;VAR:SYMBOL=591344&amp;VAR:INDEX=0"}</definedName>
    <definedName name="_14__FDSAUDITLINK__" hidden="1">{"fdsup://directions/FAT Viewer?action=UPDATE&amp;creator=factset&amp;DYN_ARGS=TRUE&amp;DOC_NAME=FAT:FQL_AUDITING_CLIENT_TEMPLATE.FAT&amp;display_string=Audit&amp;VAR:KEY=UNOTYBALSD&amp;VAR:QUERY=RkZfU0FMRVMoQ0FMLDIwMTEp&amp;WINDOW=FIRST_POPUP&amp;HEIGHT=450&amp;WIDTH=450&amp;START_MAXIMIZED=FALS","E&amp;VAR:CALENDAR=US&amp;VAR:SYMBOL=VMC&amp;VAR:INDEX=0"}</definedName>
    <definedName name="_14__FDSAUDITLINK___1" localSheetId="8" hidden="1">{"fdsup://directions/FAT Viewer?action=UPDATE&amp;creator=factset&amp;DYN_ARGS=TRUE&amp;DOC_NAME=FAT:FQL_AUDITING_CLIENT_TEMPLATE.FAT&amp;display_string=Audit&amp;VAR:KEY=GPKTQLKLEP&amp;VAR:QUERY=RkZfRUJJVF9JQihBTk4sMzg3MTcsLCwsRVVSKQ==&amp;WINDOW=FIRST_POPUP&amp;HEIGHT=450&amp;WIDTH=450&amp;STAR","T_MAXIMIZED=FALSE&amp;VAR:CALENDAR=FIVEDAY&amp;VAR:SYMBOL=591344&amp;VAR:INDEX=0"}</definedName>
    <definedName name="_14__FDSAUDITLINK___1" hidden="1">{"fdsup://directions/FAT Viewer?action=UPDATE&amp;creator=factset&amp;DYN_ARGS=TRUE&amp;DOC_NAME=FAT:FQL_AUDITING_CLIENT_TEMPLATE.FAT&amp;display_string=Audit&amp;VAR:KEY=GPKTQLKLEP&amp;VAR:QUERY=RkZfRUJJVF9JQihBTk4sMzg3MTcsLCwsRVVSKQ==&amp;WINDOW=FIRST_POPUP&amp;HEIGHT=450&amp;WIDTH=450&amp;STAR","T_MAXIMIZED=FALSE&amp;VAR:CALENDAR=FIVEDAY&amp;VAR:SYMBOL=591344&amp;VAR:INDEX=0"}</definedName>
    <definedName name="_14_0_S" localSheetId="8" hidden="1">#REF!</definedName>
    <definedName name="_14_0_S" hidden="1">#REF!</definedName>
    <definedName name="_14_0ACwvu.Pag" hidden="1">#REF!</definedName>
    <definedName name="_14_123Graph_XB93S" hidden="1">#REF!</definedName>
    <definedName name="_140__123Graph_LBL_BCHART_12" hidden="1">#REF!</definedName>
    <definedName name="_140__FDSAUDITLINK__" localSheetId="8" hidden="1">{"fdsup://directions/FAT Viewer?action=UPDATE&amp;creator=factset&amp;DYN_ARGS=TRUE&amp;DOC_NAME=FAT:FQL_AUDITING_CLIENT_TEMPLATE.FAT&amp;display_string=Audit&amp;VAR:KEY=NMJIVINARA&amp;VAR:QUERY=RkZfRUJJVF9JQignQU5OJywzODcxNywsLCwnR0JQJyk=&amp;WINDOW=FIRST_POPUP&amp;HEIGHT=450&amp;WIDTH=450&amp;","START_MAXIMIZED=FALSE&amp;VAR:CALENDAR=FIVEDAY&amp;VAR:SYMBOL=075902&amp;VAR:INDEX=0"}</definedName>
    <definedName name="_140__FDSAUDITLINK__" hidden="1">{"fdsup://directions/FAT Viewer?action=UPDATE&amp;creator=factset&amp;DYN_ARGS=TRUE&amp;DOC_NAME=FAT:FQL_AUDITING_CLIENT_TEMPLATE.FAT&amp;display_string=Audit&amp;VAR:KEY=NCVANSPUTO&amp;VAR:QUERY=RkZfTkVUX0lOQyhDQUwsMjAxMCk=&amp;WINDOW=FIRST_POPUP&amp;HEIGHT=450&amp;WIDTH=450&amp;START_MAXIMIZED=","FALSE&amp;VAR:CALENDAR=US&amp;VAR:SYMBOL=450270&amp;VAR:INDEX=0"}</definedName>
    <definedName name="_140__FDSAUDITLINK___1" localSheetId="8" hidden="1">{"fdsup://directions/FAT Viewer?action=UPDATE&amp;creator=factset&amp;DYN_ARGS=TRUE&amp;DOC_NAME=FAT:FQL_AUDITING_CLIENT_TEMPLATE.FAT&amp;display_string=Audit&amp;VAR:KEY=NMJIVINARA&amp;VAR:QUERY=RkZfRUJJVF9JQignQU5OJywzODcxNywsLCwnR0JQJyk=&amp;WINDOW=FIRST_POPUP&amp;HEIGHT=450&amp;WIDTH=450&amp;","START_MAXIMIZED=FALSE&amp;VAR:CALENDAR=FIVEDAY&amp;VAR:SYMBOL=075902&amp;VAR:INDEX=0"}</definedName>
    <definedName name="_140__FDSAUDITLINK___1" hidden="1">{"fdsup://directions/FAT Viewer?action=UPDATE&amp;creator=factset&amp;DYN_ARGS=TRUE&amp;DOC_NAME=FAT:FQL_AUDITING_CLIENT_TEMPLATE.FAT&amp;display_string=Audit&amp;VAR:KEY=NMJIVINARA&amp;VAR:QUERY=RkZfRUJJVF9JQignQU5OJywzODcxNywsLCwnR0JQJyk=&amp;WINDOW=FIRST_POPUP&amp;HEIGHT=450&amp;WIDTH=450&amp;","START_MAXIMIZED=FALSE&amp;VAR:CALENDAR=FIVEDAY&amp;VAR:SYMBOL=075902&amp;VAR:INDEX=0"}</definedName>
    <definedName name="_1400__FDSAUDITLINK__" localSheetId="8" hidden="1">{"fdsup://IBCentral/FAT Viewer?action=UPDATE&amp;creator=factset&amp;DOC_NAME=fat:reuters_qtrly_source_window.fat&amp;display_string=Audit&amp;DYN_ARGS=TRUE&amp;VAR:ID1=221353&amp;VAR:RCODE=LMIN&amp;VAR:SDATE=20080399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400__FDSAUDITLINK__" hidden="1">{"fdsup://IBCentral/FAT Viewer?action=UPDATE&amp;creator=factset&amp;DOC_NAME=fat:reuters_qtrly_source_window.fat&amp;display_string=Audit&amp;DYN_ARGS=TRUE&amp;VAR:ID1=221353&amp;VAR:RCODE=LMIN&amp;VAR:SDATE=20080399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401__FDSAUDITLINK__" localSheetId="8" hidden="1">{"fdsup://IBCentral/FAT Viewer?action=UPDATE&amp;creator=factset&amp;DOC_NAME=fat:reuters_qtrly_source_window.fat&amp;display_string=Audit&amp;DYN_ARGS=TRUE&amp;VAR:ID1=221353&amp;VAR:RCODE=STLD&amp;VAR:SDATE=20080399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401__FDSAUDITLINK__" hidden="1">{"fdsup://IBCentral/FAT Viewer?action=UPDATE&amp;creator=factset&amp;DOC_NAME=fat:reuters_qtrly_source_window.fat&amp;display_string=Audit&amp;DYN_ARGS=TRUE&amp;VAR:ID1=221353&amp;VAR:RCODE=STLD&amp;VAR:SDATE=20080399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402__FDSAUDITLINK__" localSheetId="8" hidden="1">{"fdsup://IBCentral/FAT Viewer?action=UPDATE&amp;creator=factset&amp;DOC_NAME=fat:reuters_qtrly_source_window.fat&amp;display_string=Audit&amp;DYN_ARGS=TRUE&amp;VAR:ID1=221353&amp;VAR:RCODE=SCSI&amp;VAR:SDATE=20080399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402__FDSAUDITLINK__" hidden="1">{"fdsup://IBCentral/FAT Viewer?action=UPDATE&amp;creator=factset&amp;DOC_NAME=fat:reuters_qtrly_source_window.fat&amp;display_string=Audit&amp;DYN_ARGS=TRUE&amp;VAR:ID1=221353&amp;VAR:RCODE=SCSI&amp;VAR:SDATE=20080399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403__FDSAUDITLINK__" localSheetId="8" hidden="1">{"fdsup://IBCentral/FAT Viewer?action=UPDATE&amp;creator=factset&amp;DOC_NAME=fat:reuters_annual_source_window.fat&amp;display_string=Audit&amp;DYN_ARGS=TRUE&amp;VAR:ID1=221353&amp;VAR:RCODE=FDSPFDSTKTOTAL&amp;VAR:SDATE=20071299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403__FDSAUDITLINK__" hidden="1">{"fdsup://IBCentral/FAT Viewer?action=UPDATE&amp;creator=factset&amp;DOC_NAME=fat:reuters_annual_source_window.fat&amp;display_string=Audit&amp;DYN_ARGS=TRUE&amp;VAR:ID1=221353&amp;VAR:RCODE=FDSPFDSTKTOTAL&amp;VAR:SDATE=20071299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404__FDSAUDITLINK__" localSheetId="8" hidden="1">{"fdsup://IBCentral/FAT Viewer?action=UPDATE&amp;creator=factset&amp;DOC_NAME=fat:reuters_qtrly_source_window.fat&amp;display_string=Audit&amp;DYN_ARGS=TRUE&amp;VAR:ID1=221353&amp;VAR:RCODE=AEQI&amp;VAR:SDATE=20080399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404__FDSAUDITLINK__" hidden="1">{"fdsup://IBCentral/FAT Viewer?action=UPDATE&amp;creator=factset&amp;DOC_NAME=fat:reuters_qtrly_source_window.fat&amp;display_string=Audit&amp;DYN_ARGS=TRUE&amp;VAR:ID1=221353&amp;VAR:RCODE=AEQI&amp;VAR:SDATE=20080399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405__FDSAUDITLINK__" localSheetId="8" hidden="1">{"fdsup://IBCentral/FAT Viewer?action=UPDATE&amp;creator=factset&amp;DOC_NAME=fat:reuters_qtrly_source_window.fat&amp;display_string=Audit&amp;DYN_ARGS=TRUE&amp;VAR:ID1=221353&amp;VAR:RCODE=LMIN&amp;VAR:SDATE=20080399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405__FDSAUDITLINK__" hidden="1">{"fdsup://IBCentral/FAT Viewer?action=UPDATE&amp;creator=factset&amp;DOC_NAME=fat:reuters_qtrly_source_window.fat&amp;display_string=Audit&amp;DYN_ARGS=TRUE&amp;VAR:ID1=221353&amp;VAR:RCODE=LMIN&amp;VAR:SDATE=20080399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406__FDSAUDITLINK__" localSheetId="8" hidden="1">{"fdsup://IBCentral/FAT Viewer?action=UPDATE&amp;creator=factset&amp;DOC_NAME=fat:reuters_qtrly_source_window.fat&amp;display_string=Audit&amp;DYN_ARGS=TRUE&amp;VAR:ID1=221353&amp;VAR:RCODE=STLD&amp;VAR:SDATE=20080399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406__FDSAUDITLINK__" hidden="1">{"fdsup://IBCentral/FAT Viewer?action=UPDATE&amp;creator=factset&amp;DOC_NAME=fat:reuters_qtrly_source_window.fat&amp;display_string=Audit&amp;DYN_ARGS=TRUE&amp;VAR:ID1=221353&amp;VAR:RCODE=STLD&amp;VAR:SDATE=20080399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407__FDSAUDITLINK__" localSheetId="8" hidden="1">{"fdsup://IBCentral/FAT Viewer?action=UPDATE&amp;creator=factset&amp;DOC_NAME=fat:reuters_qtrly_source_window.fat&amp;display_string=Audit&amp;DYN_ARGS=TRUE&amp;VAR:ID1=221353&amp;VAR:RCODE=SCSI&amp;VAR:SDATE=20080399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407__FDSAUDITLINK__" hidden="1">{"fdsup://IBCentral/FAT Viewer?action=UPDATE&amp;creator=factset&amp;DOC_NAME=fat:reuters_qtrly_source_window.fat&amp;display_string=Audit&amp;DYN_ARGS=TRUE&amp;VAR:ID1=221353&amp;VAR:RCODE=SCSI&amp;VAR:SDATE=20080399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408__FDSAUDITLINK__" localSheetId="8" hidden="1">{"fdsup://IBCentral/FAT Viewer?action=UPDATE&amp;creator=factset&amp;DOC_NAME=fat:reuters_annual_source_window.fat&amp;display_string=Audit&amp;DYN_ARGS=TRUE&amp;VAR:ID1=221353&amp;VAR:RCODE=FDSPFDSTKTOTAL&amp;VAR:SDATE=20071299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408__FDSAUDITLINK__" hidden="1">{"fdsup://IBCentral/FAT Viewer?action=UPDATE&amp;creator=factset&amp;DOC_NAME=fat:reuters_annual_source_window.fat&amp;display_string=Audit&amp;DYN_ARGS=TRUE&amp;VAR:ID1=221353&amp;VAR:RCODE=FDSPFDSTKTOTAL&amp;VAR:SDATE=20071299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409__FDSAUDITLINK__" localSheetId="8" hidden="1">{"fdsup://IBCentral/FAT Viewer?action=UPDATE&amp;creator=factset&amp;DOC_NAME=fat:reuters_qtrly_source_window.fat&amp;display_string=Audit&amp;DYN_ARGS=TRUE&amp;VAR:ID1=221353&amp;VAR:RCODE=AEQI&amp;VAR:SDATE=20080399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409__FDSAUDITLINK__" hidden="1">{"fdsup://IBCentral/FAT Viewer?action=UPDATE&amp;creator=factset&amp;DOC_NAME=fat:reuters_qtrly_source_window.fat&amp;display_string=Audit&amp;DYN_ARGS=TRUE&amp;VAR:ID1=221353&amp;VAR:RCODE=AEQI&amp;VAR:SDATE=20080399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41__123Graph_LBL_BCHART_13" hidden="1">#REF!</definedName>
    <definedName name="_141__FDSAUDITLINK__" localSheetId="8" hidden="1">{"fdsup://directions/FAT Viewer?action=UPDATE&amp;creator=factset&amp;DYN_ARGS=TRUE&amp;DOC_NAME=FAT:FQL_AUDITING_CLIENT_TEMPLATE.FAT&amp;display_string=Audit&amp;VAR:KEY=ZURAXGDCFE&amp;VAR:QUERY=RkZfRUJJVF9JQignQU5OJywzODM1MiwsLCwnR0JQJyk=&amp;WINDOW=FIRST_POPUP&amp;HEIGHT=450&amp;WIDTH=450&amp;","START_MAXIMIZED=FALSE&amp;VAR:CALENDAR=FIVEDAY&amp;VAR:SYMBOL=075902&amp;VAR:INDEX=0"}</definedName>
    <definedName name="_141__FDSAUDITLINK__" hidden="1">{"fdsup://directions/FAT Viewer?action=UPDATE&amp;creator=factset&amp;DYN_ARGS=TRUE&amp;DOC_NAME=FAT:FQL_AUDITING_CLIENT_TEMPLATE.FAT&amp;display_string=Audit&amp;VAR:KEY=YDQNYTMTQT&amp;VAR:QUERY=RkZfTkVUX0lOQyhDQUwsMjAxMCk=&amp;WINDOW=FIRST_POPUP&amp;HEIGHT=450&amp;WIDTH=450&amp;START_MAXIMIZED=","FALSE&amp;VAR:CALENDAR=US&amp;VAR:SYMBOL=BLDR&amp;VAR:INDEX=0"}</definedName>
    <definedName name="_141__FDSAUDITLINK___1" localSheetId="8" hidden="1">{"fdsup://directions/FAT Viewer?action=UPDATE&amp;creator=factset&amp;DYN_ARGS=TRUE&amp;DOC_NAME=FAT:FQL_AUDITING_CLIENT_TEMPLATE.FAT&amp;display_string=Audit&amp;VAR:KEY=ZURAXGDCFE&amp;VAR:QUERY=RkZfRUJJVF9JQignQU5OJywzODM1MiwsLCwnR0JQJyk=&amp;WINDOW=FIRST_POPUP&amp;HEIGHT=450&amp;WIDTH=450&amp;","START_MAXIMIZED=FALSE&amp;VAR:CALENDAR=FIVEDAY&amp;VAR:SYMBOL=075902&amp;VAR:INDEX=0"}</definedName>
    <definedName name="_141__FDSAUDITLINK___1" hidden="1">{"fdsup://directions/FAT Viewer?action=UPDATE&amp;creator=factset&amp;DYN_ARGS=TRUE&amp;DOC_NAME=FAT:FQL_AUDITING_CLIENT_TEMPLATE.FAT&amp;display_string=Audit&amp;VAR:KEY=ZURAXGDCFE&amp;VAR:QUERY=RkZfRUJJVF9JQignQU5OJywzODM1MiwsLCwnR0JQJyk=&amp;WINDOW=FIRST_POPUP&amp;HEIGHT=450&amp;WIDTH=450&amp;","START_MAXIMIZED=FALSE&amp;VAR:CALENDAR=FIVEDAY&amp;VAR:SYMBOL=075902&amp;VAR:INDEX=0"}</definedName>
    <definedName name="_1410__FDSAUDITLINK__" localSheetId="8" hidden="1">{"fdsup://IBCentral/FAT Viewer?action=UPDATE&amp;creator=factset&amp;DOC_NAME=fat:reuters_qtrly_source_window.fat&amp;display_string=Audit&amp;DYN_ARGS=TRUE&amp;VAR:ID1=221353&amp;VAR:RCODE=LMIN&amp;VAR:SDATE=20080399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410__FDSAUDITLINK__" hidden="1">{"fdsup://IBCentral/FAT Viewer?action=UPDATE&amp;creator=factset&amp;DOC_NAME=fat:reuters_qtrly_source_window.fat&amp;display_string=Audit&amp;DYN_ARGS=TRUE&amp;VAR:ID1=221353&amp;VAR:RCODE=LMIN&amp;VAR:SDATE=20080399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411__FDSAUDITLINK__" localSheetId="8" hidden="1">{"fdsup://IBCentral/FAT Viewer?action=UPDATE&amp;creator=factset&amp;DOC_NAME=fat:reuters_qtrly_source_window.fat&amp;display_string=Audit&amp;DYN_ARGS=TRUE&amp;VAR:ID1=221353&amp;VAR:RCODE=STLD&amp;VAR:SDATE=20080399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411__FDSAUDITLINK__" hidden="1">{"fdsup://IBCentral/FAT Viewer?action=UPDATE&amp;creator=factset&amp;DOC_NAME=fat:reuters_qtrly_source_window.fat&amp;display_string=Audit&amp;DYN_ARGS=TRUE&amp;VAR:ID1=221353&amp;VAR:RCODE=STLD&amp;VAR:SDATE=20080399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412__FDSAUDITLINK__" localSheetId="8" hidden="1">{"fdsup://IBCentral/FAT Viewer?action=UPDATE&amp;creator=factset&amp;DOC_NAME=fat:reuters_qtrly_source_window.fat&amp;display_string=Audit&amp;DYN_ARGS=TRUE&amp;VAR:ID1=221353&amp;VAR:RCODE=SCSI&amp;VAR:SDATE=20080399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412__FDSAUDITLINK__" hidden="1">{"fdsup://IBCentral/FAT Viewer?action=UPDATE&amp;creator=factset&amp;DOC_NAME=fat:reuters_qtrly_source_window.fat&amp;display_string=Audit&amp;DYN_ARGS=TRUE&amp;VAR:ID1=221353&amp;VAR:RCODE=SCSI&amp;VAR:SDATE=20080399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413__FDSAUDITLINK__" localSheetId="8" hidden="1">{"fdsup://IBCentral/FAT Viewer?action=UPDATE&amp;creator=factset&amp;DOC_NAME=fat:reuters_annual_source_window.fat&amp;display_string=Audit&amp;DYN_ARGS=TRUE&amp;VAR:ID1=221353&amp;VAR:RCODE=FDSPFDSTKTOTAL&amp;VAR:SDATE=20071299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413__FDSAUDITLINK__" hidden="1">{"fdsup://IBCentral/FAT Viewer?action=UPDATE&amp;creator=factset&amp;DOC_NAME=fat:reuters_annual_source_window.fat&amp;display_string=Audit&amp;DYN_ARGS=TRUE&amp;VAR:ID1=221353&amp;VAR:RCODE=FDSPFDSTKTOTAL&amp;VAR:SDATE=20071299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414__FDSAUDITLINK__" localSheetId="8" hidden="1">{"fdsup://IBCentral/FAT Viewer?action=UPDATE&amp;creator=factset&amp;DOC_NAME=fat:reuters_qtrly_source_window.fat&amp;display_string=Audit&amp;DYN_ARGS=TRUE&amp;VAR:ID1=221353&amp;VAR:RCODE=AEQI&amp;VAR:SDATE=20080399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414__FDSAUDITLINK__" hidden="1">{"fdsup://IBCentral/FAT Viewer?action=UPDATE&amp;creator=factset&amp;DOC_NAME=fat:reuters_qtrly_source_window.fat&amp;display_string=Audit&amp;DYN_ARGS=TRUE&amp;VAR:ID1=221353&amp;VAR:RCODE=AEQI&amp;VAR:SDATE=20080399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415__FDSAUDITLINK__" localSheetId="8" hidden="1">{"fdsup://IBCentral/FAT Viewer?action=UPDATE&amp;creator=factset&amp;DOC_NAME=fat:reuters_qtrly_source_window.fat&amp;display_string=Audit&amp;DYN_ARGS=TRUE&amp;VAR:ID1=221353&amp;VAR:RCODE=LMIN&amp;VAR:SDATE=20080399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415__FDSAUDITLINK__" hidden="1">{"fdsup://IBCentral/FAT Viewer?action=UPDATE&amp;creator=factset&amp;DOC_NAME=fat:reuters_qtrly_source_window.fat&amp;display_string=Audit&amp;DYN_ARGS=TRUE&amp;VAR:ID1=221353&amp;VAR:RCODE=LMIN&amp;VAR:SDATE=20080399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416__FDSAUDITLINK__" localSheetId="8" hidden="1">{"fdsup://IBCentral/FAT Viewer?action=UPDATE&amp;creator=factset&amp;DOC_NAME=fat:reuters_qtrly_source_window.fat&amp;display_string=Audit&amp;DYN_ARGS=TRUE&amp;VAR:ID1=221353&amp;VAR:RCODE=STLD&amp;VAR:SDATE=20080399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416__FDSAUDITLINK__" hidden="1">{"fdsup://IBCentral/FAT Viewer?action=UPDATE&amp;creator=factset&amp;DOC_NAME=fat:reuters_qtrly_source_window.fat&amp;display_string=Audit&amp;DYN_ARGS=TRUE&amp;VAR:ID1=221353&amp;VAR:RCODE=STLD&amp;VAR:SDATE=20080399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417__FDSAUDITLINK__" localSheetId="8" hidden="1">{"fdsup://IBCentral/FAT Viewer?action=UPDATE&amp;creator=factset&amp;DOC_NAME=fat:reuters_qtrly_source_window.fat&amp;display_string=Audit&amp;DYN_ARGS=TRUE&amp;VAR:ID1=221353&amp;VAR:RCODE=SCSI&amp;VAR:SDATE=20080399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417__FDSAUDITLINK__" hidden="1">{"fdsup://IBCentral/FAT Viewer?action=UPDATE&amp;creator=factset&amp;DOC_NAME=fat:reuters_qtrly_source_window.fat&amp;display_string=Audit&amp;DYN_ARGS=TRUE&amp;VAR:ID1=221353&amp;VAR:RCODE=SCSI&amp;VAR:SDATE=20080399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418__FDSAUDITLINK__" localSheetId="8" hidden="1">{"fdsup://IBCentral/FAT Viewer?action=UPDATE&amp;creator=factset&amp;DOC_NAME=fat:reuters_annual_source_window.fat&amp;display_string=Audit&amp;DYN_ARGS=TRUE&amp;VAR:ID1=221353&amp;VAR:RCODE=FDSPFDSTKTOTAL&amp;VAR:SDATE=20071299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418__FDSAUDITLINK__" hidden="1">{"fdsup://IBCentral/FAT Viewer?action=UPDATE&amp;creator=factset&amp;DOC_NAME=fat:reuters_annual_source_window.fat&amp;display_string=Audit&amp;DYN_ARGS=TRUE&amp;VAR:ID1=221353&amp;VAR:RCODE=FDSPFDSTKTOTAL&amp;VAR:SDATE=20071299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419__FDSAUDITLINK__" localSheetId="8" hidden="1">{"fdsup://IBCentral/FAT Viewer?action=UPDATE&amp;creator=factset&amp;DOC_NAME=fat:reuters_qtrly_source_window.fat&amp;display_string=Audit&amp;DYN_ARGS=TRUE&amp;VAR:ID1=221353&amp;VAR:RCODE=AEQI&amp;VAR:SDATE=20080699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419__FDSAUDITLINK__" hidden="1">{"fdsup://IBCentral/FAT Viewer?action=UPDATE&amp;creator=factset&amp;DOC_NAME=fat:reuters_qtrly_source_window.fat&amp;display_string=Audit&amp;DYN_ARGS=TRUE&amp;VAR:ID1=221353&amp;VAR:RCODE=AEQI&amp;VAR:SDATE=20080699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42__123Graph_LBL_BCHART_14" hidden="1">#REF!</definedName>
    <definedName name="_142__FDSAUDITLINK__" localSheetId="8" hidden="1">{"fdsup://directions/FAT Viewer?action=UPDATE&amp;creator=factset&amp;DYN_ARGS=TRUE&amp;DOC_NAME=FAT:FQL_AUDITING_CLIENT_TEMPLATE.FAT&amp;display_string=Audit&amp;VAR:KEY=PQLEHWXCDI&amp;VAR:QUERY=RkZfRUJJVF9JQignQU5OJywzNzk4NiwsLCwnR0JQJyk=&amp;WINDOW=FIRST_POPUP&amp;HEIGHT=450&amp;WIDTH=450&amp;","START_MAXIMIZED=FALSE&amp;VAR:CALENDAR=FIVEDAY&amp;VAR:SYMBOL=075902&amp;VAR:INDEX=0"}</definedName>
    <definedName name="_142__FDSAUDITLINK__" hidden="1">{"fdsup://directions/FAT Viewer?action=UPDATE&amp;creator=factset&amp;DYN_ARGS=TRUE&amp;DOC_NAME=FAT:FQL_AUDITING_CLIENT_TEMPLATE.FAT&amp;display_string=Audit&amp;VAR:KEY=WTMTQHGFGZ&amp;VAR:QUERY=RkZfTkVUX0lOQyhDQUwsMjAxMCk=&amp;WINDOW=FIRST_POPUP&amp;HEIGHT=450&amp;WIDTH=450&amp;START_MAXIMIZED=","FALSE&amp;VAR:CALENDAR=US&amp;VAR:SYMBOL=VMC&amp;VAR:INDEX=0"}</definedName>
    <definedName name="_142__FDSAUDITLINK___1" localSheetId="8" hidden="1">{"fdsup://directions/FAT Viewer?action=UPDATE&amp;creator=factset&amp;DYN_ARGS=TRUE&amp;DOC_NAME=FAT:FQL_AUDITING_CLIENT_TEMPLATE.FAT&amp;display_string=Audit&amp;VAR:KEY=PQLEHWXCDI&amp;VAR:QUERY=RkZfRUJJVF9JQignQU5OJywzNzk4NiwsLCwnR0JQJyk=&amp;WINDOW=FIRST_POPUP&amp;HEIGHT=450&amp;WIDTH=450&amp;","START_MAXIMIZED=FALSE&amp;VAR:CALENDAR=FIVEDAY&amp;VAR:SYMBOL=075902&amp;VAR:INDEX=0"}</definedName>
    <definedName name="_142__FDSAUDITLINK___1" hidden="1">{"fdsup://directions/FAT Viewer?action=UPDATE&amp;creator=factset&amp;DYN_ARGS=TRUE&amp;DOC_NAME=FAT:FQL_AUDITING_CLIENT_TEMPLATE.FAT&amp;display_string=Audit&amp;VAR:KEY=PQLEHWXCDI&amp;VAR:QUERY=RkZfRUJJVF9JQignQU5OJywzNzk4NiwsLCwnR0JQJyk=&amp;WINDOW=FIRST_POPUP&amp;HEIGHT=450&amp;WIDTH=450&amp;","START_MAXIMIZED=FALSE&amp;VAR:CALENDAR=FIVEDAY&amp;VAR:SYMBOL=075902&amp;VAR:INDEX=0"}</definedName>
    <definedName name="_1420__FDSAUDITLINK__" localSheetId="8" hidden="1">{"fdsup://IBCentral/FAT Viewer?action=UPDATE&amp;creator=factset&amp;DOC_NAME=fat:reuters_qtrly_source_window.fat&amp;display_string=Audit&amp;DYN_ARGS=TRUE&amp;VAR:ID1=221353&amp;VAR:RCODE=LMIN&amp;VAR:SDATE=20080699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420__FDSAUDITLINK__" hidden="1">{"fdsup://IBCentral/FAT Viewer?action=UPDATE&amp;creator=factset&amp;DOC_NAME=fat:reuters_qtrly_source_window.fat&amp;display_string=Audit&amp;DYN_ARGS=TRUE&amp;VAR:ID1=221353&amp;VAR:RCODE=LMIN&amp;VAR:SDATE=20080699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421__FDSAUDITLINK__" localSheetId="8" hidden="1">{"fdsup://IBCentral/FAT Viewer?action=UPDATE&amp;creator=factset&amp;DOC_NAME=fat:reuters_qtrly_source_window.fat&amp;display_string=Audit&amp;DYN_ARGS=TRUE&amp;VAR:ID1=221353&amp;VAR:RCODE=STLD&amp;VAR:SDATE=20080699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421__FDSAUDITLINK__" hidden="1">{"fdsup://IBCentral/FAT Viewer?action=UPDATE&amp;creator=factset&amp;DOC_NAME=fat:reuters_qtrly_source_window.fat&amp;display_string=Audit&amp;DYN_ARGS=TRUE&amp;VAR:ID1=221353&amp;VAR:RCODE=STLD&amp;VAR:SDATE=20080699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422__FDSAUDITLINK__" localSheetId="8" hidden="1">{"fdsup://IBCentral/FAT Viewer?action=UPDATE&amp;creator=factset&amp;DOC_NAME=fat:reuters_qtrly_source_window.fat&amp;display_string=Audit&amp;DYN_ARGS=TRUE&amp;VAR:ID1=221353&amp;VAR:RCODE=SCSI&amp;VAR:SDATE=20080699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422__FDSAUDITLINK__" hidden="1">{"fdsup://IBCentral/FAT Viewer?action=UPDATE&amp;creator=factset&amp;DOC_NAME=fat:reuters_qtrly_source_window.fat&amp;display_string=Audit&amp;DYN_ARGS=TRUE&amp;VAR:ID1=221353&amp;VAR:RCODE=SCSI&amp;VAR:SDATE=20080699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423__FDSAUDITLINK__" localSheetId="8" hidden="1">{"fdsup://IBCentral/FAT Viewer?action=UPDATE&amp;creator=factset&amp;DOC_NAME=fat:reuters_annual_source_window.fat&amp;display_string=Audit&amp;DYN_ARGS=TRUE&amp;VAR:ID1=221353&amp;VAR:RCODE=FDSPFDSTKTOTAL&amp;VAR:SDATE=20071299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423__FDSAUDITLINK__" hidden="1">{"fdsup://IBCentral/FAT Viewer?action=UPDATE&amp;creator=factset&amp;DOC_NAME=fat:reuters_annual_source_window.fat&amp;display_string=Audit&amp;DYN_ARGS=TRUE&amp;VAR:ID1=221353&amp;VAR:RCODE=FDSPFDSTKTOTAL&amp;VAR:SDATE=20071299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424__FDSAUDITLINK__" localSheetId="8" hidden="1">{"fdsup://IBCentral/FAT Viewer?action=UPDATE&amp;creator=factset&amp;DOC_NAME=fat:reuters_qtrly_source_window.fat&amp;display_string=Audit&amp;DYN_ARGS=TRUE&amp;VAR:ID1=221353&amp;VAR:RCODE=AEQI&amp;VAR:SDATE=20080699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424__FDSAUDITLINK__" hidden="1">{"fdsup://IBCentral/FAT Viewer?action=UPDATE&amp;creator=factset&amp;DOC_NAME=fat:reuters_qtrly_source_window.fat&amp;display_string=Audit&amp;DYN_ARGS=TRUE&amp;VAR:ID1=221353&amp;VAR:RCODE=AEQI&amp;VAR:SDATE=20080699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425__FDSAUDITLINK__" localSheetId="8" hidden="1">{"fdsup://IBCentral/FAT Viewer?action=UPDATE&amp;creator=factset&amp;DOC_NAME=fat:reuters_qtrly_source_window.fat&amp;display_string=Audit&amp;DYN_ARGS=TRUE&amp;VAR:ID1=221353&amp;VAR:RCODE=LMIN&amp;VAR:SDATE=20080699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425__FDSAUDITLINK__" hidden="1">{"fdsup://IBCentral/FAT Viewer?action=UPDATE&amp;creator=factset&amp;DOC_NAME=fat:reuters_qtrly_source_window.fat&amp;display_string=Audit&amp;DYN_ARGS=TRUE&amp;VAR:ID1=221353&amp;VAR:RCODE=LMIN&amp;VAR:SDATE=20080699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426__FDSAUDITLINK__" localSheetId="8" hidden="1">{"fdsup://IBCentral/FAT Viewer?action=UPDATE&amp;creator=factset&amp;DOC_NAME=fat:reuters_qtrly_source_window.fat&amp;display_string=Audit&amp;DYN_ARGS=TRUE&amp;VAR:ID1=221353&amp;VAR:RCODE=STLD&amp;VAR:SDATE=20080699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426__FDSAUDITLINK__" hidden="1">{"fdsup://IBCentral/FAT Viewer?action=UPDATE&amp;creator=factset&amp;DOC_NAME=fat:reuters_qtrly_source_window.fat&amp;display_string=Audit&amp;DYN_ARGS=TRUE&amp;VAR:ID1=221353&amp;VAR:RCODE=STLD&amp;VAR:SDATE=20080699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427__FDSAUDITLINK__" localSheetId="8" hidden="1">{"fdsup://IBCentral/FAT Viewer?action=UPDATE&amp;creator=factset&amp;DOC_NAME=fat:reuters_qtrly_source_window.fat&amp;display_string=Audit&amp;DYN_ARGS=TRUE&amp;VAR:ID1=221353&amp;VAR:RCODE=SCSI&amp;VAR:SDATE=20080699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427__FDSAUDITLINK__" hidden="1">{"fdsup://IBCentral/FAT Viewer?action=UPDATE&amp;creator=factset&amp;DOC_NAME=fat:reuters_qtrly_source_window.fat&amp;display_string=Audit&amp;DYN_ARGS=TRUE&amp;VAR:ID1=221353&amp;VAR:RCODE=SCSI&amp;VAR:SDATE=20080699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428__FDSAUDITLINK__" localSheetId="8" hidden="1">{"fdsup://IBCentral/FAT Viewer?action=UPDATE&amp;creator=factset&amp;DOC_NAME=fat:reuters_annual_source_window.fat&amp;display_string=Audit&amp;DYN_ARGS=TRUE&amp;VAR:ID1=221353&amp;VAR:RCODE=FDSPFDSTKTOTAL&amp;VAR:SDATE=20071299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428__FDSAUDITLINK__" hidden="1">{"fdsup://IBCentral/FAT Viewer?action=UPDATE&amp;creator=factset&amp;DOC_NAME=fat:reuters_annual_source_window.fat&amp;display_string=Audit&amp;DYN_ARGS=TRUE&amp;VAR:ID1=221353&amp;VAR:RCODE=FDSPFDSTKTOTAL&amp;VAR:SDATE=20071299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429__FDSAUDITLINK__" localSheetId="8" hidden="1">{"fdsup://IBCentral/FAT Viewer?action=UPDATE&amp;creator=factset&amp;DOC_NAME=fat:reuters_qtrly_source_window.fat&amp;display_string=Audit&amp;DYN_ARGS=TRUE&amp;VAR:ID1=221353&amp;VAR:RCODE=AEQI&amp;VAR:SDATE=20080699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429__FDSAUDITLINK__" hidden="1">{"fdsup://IBCentral/FAT Viewer?action=UPDATE&amp;creator=factset&amp;DOC_NAME=fat:reuters_qtrly_source_window.fat&amp;display_string=Audit&amp;DYN_ARGS=TRUE&amp;VAR:ID1=221353&amp;VAR:RCODE=AEQI&amp;VAR:SDATE=20080699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43__123Graph_LBL_BCHART_15" hidden="1">#REF!</definedName>
    <definedName name="_143__FDSAUDITLINK__" localSheetId="8" hidden="1">{"fdsup://directions/FAT Viewer?action=UPDATE&amp;creator=factset&amp;DYN_ARGS=TRUE&amp;DOC_NAME=FAT:FQL_AUDITING_CLIENT_TEMPLATE.FAT&amp;display_string=Audit&amp;VAR:KEY=HEROHIVMZU&amp;VAR:QUERY=RkZfRUJJVF9JQignQU5OJywzNzYyMSwsLCwnR0JQJyk=&amp;WINDOW=FIRST_POPUP&amp;HEIGHT=450&amp;WIDTH=450&amp;","START_MAXIMIZED=FALSE&amp;VAR:CALENDAR=FIVEDAY&amp;VAR:SYMBOL=075902&amp;VAR:INDEX=0"}</definedName>
    <definedName name="_143__FDSAUDITLINK__" hidden="1">{"fdsup://directions/FAT Viewer?action=UPDATE&amp;creator=factset&amp;DYN_ARGS=TRUE&amp;DOC_NAME=FAT:FQL_AUDITING_CLIENT_TEMPLATE.FAT&amp;display_string=Audit&amp;VAR:KEY=WZQRCTGJIJ&amp;VAR:QUERY=RkZfTkVUX0lOQyhDQUwsMjAxMCk=&amp;WINDOW=FIRST_POPUP&amp;HEIGHT=450&amp;WIDTH=450&amp;START_MAXIMIZED=","FALSE&amp;VAR:CALENDAR=US&amp;VAR:SYMBOL=MCEM&amp;VAR:INDEX=0"}</definedName>
    <definedName name="_143__FDSAUDITLINK___1" localSheetId="8" hidden="1">{"fdsup://directions/FAT Viewer?action=UPDATE&amp;creator=factset&amp;DYN_ARGS=TRUE&amp;DOC_NAME=FAT:FQL_AUDITING_CLIENT_TEMPLATE.FAT&amp;display_string=Audit&amp;VAR:KEY=HEROHIVMZU&amp;VAR:QUERY=RkZfRUJJVF9JQignQU5OJywzNzYyMSwsLCwnR0JQJyk=&amp;WINDOW=FIRST_POPUP&amp;HEIGHT=450&amp;WIDTH=450&amp;","START_MAXIMIZED=FALSE&amp;VAR:CALENDAR=FIVEDAY&amp;VAR:SYMBOL=075902&amp;VAR:INDEX=0"}</definedName>
    <definedName name="_143__FDSAUDITLINK___1" hidden="1">{"fdsup://directions/FAT Viewer?action=UPDATE&amp;creator=factset&amp;DYN_ARGS=TRUE&amp;DOC_NAME=FAT:FQL_AUDITING_CLIENT_TEMPLATE.FAT&amp;display_string=Audit&amp;VAR:KEY=HEROHIVMZU&amp;VAR:QUERY=RkZfRUJJVF9JQignQU5OJywzNzYyMSwsLCwnR0JQJyk=&amp;WINDOW=FIRST_POPUP&amp;HEIGHT=450&amp;WIDTH=450&amp;","START_MAXIMIZED=FALSE&amp;VAR:CALENDAR=FIVEDAY&amp;VAR:SYMBOL=075902&amp;VAR:INDEX=0"}</definedName>
    <definedName name="_1430__FDSAUDITLINK__" localSheetId="8" hidden="1">{"fdsup://IBCentral/FAT Viewer?action=UPDATE&amp;creator=factset&amp;DOC_NAME=fat:reuters_qtrly_source_window.fat&amp;display_string=Audit&amp;DYN_ARGS=TRUE&amp;VAR:ID1=221353&amp;VAR:RCODE=LMIN&amp;VAR:SDATE=20080699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430__FDSAUDITLINK__" hidden="1">{"fdsup://IBCentral/FAT Viewer?action=UPDATE&amp;creator=factset&amp;DOC_NAME=fat:reuters_qtrly_source_window.fat&amp;display_string=Audit&amp;DYN_ARGS=TRUE&amp;VAR:ID1=221353&amp;VAR:RCODE=LMIN&amp;VAR:SDATE=20080699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431__FDSAUDITLINK__" localSheetId="8" hidden="1">{"fdsup://IBCentral/FAT Viewer?action=UPDATE&amp;creator=factset&amp;DOC_NAME=fat:reuters_qtrly_source_window.fat&amp;display_string=Audit&amp;DYN_ARGS=TRUE&amp;VAR:ID1=221353&amp;VAR:RCODE=STLD&amp;VAR:SDATE=20080699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431__FDSAUDITLINK__" hidden="1">{"fdsup://IBCentral/FAT Viewer?action=UPDATE&amp;creator=factset&amp;DOC_NAME=fat:reuters_qtrly_source_window.fat&amp;display_string=Audit&amp;DYN_ARGS=TRUE&amp;VAR:ID1=221353&amp;VAR:RCODE=STLD&amp;VAR:SDATE=20080699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432__FDSAUDITLINK__" localSheetId="8" hidden="1">{"fdsup://IBCentral/FAT Viewer?action=UPDATE&amp;creator=factset&amp;DOC_NAME=fat:reuters_qtrly_source_window.fat&amp;display_string=Audit&amp;DYN_ARGS=TRUE&amp;VAR:ID1=221353&amp;VAR:RCODE=SCSI&amp;VAR:SDATE=20080699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432__FDSAUDITLINK__" hidden="1">{"fdsup://IBCentral/FAT Viewer?action=UPDATE&amp;creator=factset&amp;DOC_NAME=fat:reuters_qtrly_source_window.fat&amp;display_string=Audit&amp;DYN_ARGS=TRUE&amp;VAR:ID1=221353&amp;VAR:RCODE=SCSI&amp;VAR:SDATE=20080699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433__FDSAUDITLINK__" localSheetId="8" hidden="1">{"fdsup://IBCentral/FAT Viewer?action=UPDATE&amp;creator=factset&amp;DOC_NAME=fat:reuters_annual_source_window.fat&amp;display_string=Audit&amp;DYN_ARGS=TRUE&amp;VAR:ID1=221353&amp;VAR:RCODE=FDSPFDSTKTOTAL&amp;VAR:SDATE=20071299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433__FDSAUDITLINK__" hidden="1">{"fdsup://IBCentral/FAT Viewer?action=UPDATE&amp;creator=factset&amp;DOC_NAME=fat:reuters_annual_source_window.fat&amp;display_string=Audit&amp;DYN_ARGS=TRUE&amp;VAR:ID1=221353&amp;VAR:RCODE=FDSPFDSTKTOTAL&amp;VAR:SDATE=20071299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434__FDSAUDITLINK__" localSheetId="8" hidden="1">{"fdsup://IBCentral/FAT Viewer?action=UPDATE&amp;creator=factset&amp;DOC_NAME=fat:reuters_qtrly_source_window.fat&amp;display_string=Audit&amp;DYN_ARGS=TRUE&amp;VAR:ID1=221353&amp;VAR:RCODE=AEQI&amp;VAR:SDATE=20080699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434__FDSAUDITLINK__" hidden="1">{"fdsup://IBCentral/FAT Viewer?action=UPDATE&amp;creator=factset&amp;DOC_NAME=fat:reuters_qtrly_source_window.fat&amp;display_string=Audit&amp;DYN_ARGS=TRUE&amp;VAR:ID1=221353&amp;VAR:RCODE=AEQI&amp;VAR:SDATE=20080699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435__FDSAUDITLINK__" localSheetId="8" hidden="1">{"fdsup://IBCentral/FAT Viewer?action=UPDATE&amp;creator=factset&amp;DOC_NAME=fat:reuters_qtrly_source_window.fat&amp;display_string=Audit&amp;DYN_ARGS=TRUE&amp;VAR:ID1=221353&amp;VAR:RCODE=LMIN&amp;VAR:SDATE=20080699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435__FDSAUDITLINK__" hidden="1">{"fdsup://IBCentral/FAT Viewer?action=UPDATE&amp;creator=factset&amp;DOC_NAME=fat:reuters_qtrly_source_window.fat&amp;display_string=Audit&amp;DYN_ARGS=TRUE&amp;VAR:ID1=221353&amp;VAR:RCODE=LMIN&amp;VAR:SDATE=20080699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436__FDSAUDITLINK__" localSheetId="8" hidden="1">{"fdsup://IBCentral/FAT Viewer?action=UPDATE&amp;creator=factset&amp;DOC_NAME=fat:reuters_qtrly_source_window.fat&amp;display_string=Audit&amp;DYN_ARGS=TRUE&amp;VAR:ID1=221353&amp;VAR:RCODE=STLD&amp;VAR:SDATE=20080699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436__FDSAUDITLINK__" hidden="1">{"fdsup://IBCentral/FAT Viewer?action=UPDATE&amp;creator=factset&amp;DOC_NAME=fat:reuters_qtrly_source_window.fat&amp;display_string=Audit&amp;DYN_ARGS=TRUE&amp;VAR:ID1=221353&amp;VAR:RCODE=STLD&amp;VAR:SDATE=20080699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437__FDSAUDITLINK__" localSheetId="8" hidden="1">{"fdsup://IBCentral/FAT Viewer?action=UPDATE&amp;creator=factset&amp;DOC_NAME=fat:reuters_qtrly_source_window.fat&amp;display_string=Audit&amp;DYN_ARGS=TRUE&amp;VAR:ID1=221353&amp;VAR:RCODE=SCSI&amp;VAR:SDATE=20080699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437__FDSAUDITLINK__" hidden="1">{"fdsup://IBCentral/FAT Viewer?action=UPDATE&amp;creator=factset&amp;DOC_NAME=fat:reuters_qtrly_source_window.fat&amp;display_string=Audit&amp;DYN_ARGS=TRUE&amp;VAR:ID1=221353&amp;VAR:RCODE=SCSI&amp;VAR:SDATE=20080699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438__FDSAUDITLINK__" localSheetId="8" hidden="1">{"fdsup://IBCentral/FAT Viewer?action=UPDATE&amp;creator=factset&amp;DOC_NAME=fat:reuters_annual_source_window.fat&amp;display_string=Audit&amp;DYN_ARGS=TRUE&amp;VAR:ID1=221353&amp;VAR:RCODE=FDSPFDSTKTOTAL&amp;VAR:SDATE=20071299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438__FDSAUDITLINK__" hidden="1">{"fdsup://IBCentral/FAT Viewer?action=UPDATE&amp;creator=factset&amp;DOC_NAME=fat:reuters_annual_source_window.fat&amp;display_string=Audit&amp;DYN_ARGS=TRUE&amp;VAR:ID1=221353&amp;VAR:RCODE=FDSPFDSTKTOTAL&amp;VAR:SDATE=20071299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439__FDSAUDITLINK__" localSheetId="8" hidden="1">{"fdsup://IBCentral/FAT Viewer?action=UPDATE&amp;creator=factset&amp;DOC_NAME=fat:reuters_qtrly_source_window.fat&amp;display_string=Audit&amp;DYN_ARGS=TRUE&amp;VAR:ID1=221353&amp;VAR:RCODE=AEQI&amp;VAR:SDATE=20080699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439__FDSAUDITLINK__" hidden="1">{"fdsup://IBCentral/FAT Viewer?action=UPDATE&amp;creator=factset&amp;DOC_NAME=fat:reuters_qtrly_source_window.fat&amp;display_string=Audit&amp;DYN_ARGS=TRUE&amp;VAR:ID1=221353&amp;VAR:RCODE=AEQI&amp;VAR:SDATE=20080699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44__123Graph_LBL_BCHART_16" hidden="1">#REF!</definedName>
    <definedName name="_144__FDSAUDITLINK__" localSheetId="7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__FDSAUDITLINK__" localSheetId="8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__FDSAUDITLINK__" hidden="1">{"fdsup://directions/FAT Viewer?action=UPDATE&amp;creator=factset&amp;DYN_ARGS=TRUE&amp;DOC_NAME=FAT:FQL_AUDITING_CLIENT_TEMPLATE.FAT&amp;display_string=Audit&amp;VAR:KEY=OLABQZEHYR&amp;VAR:QUERY=RkZfTkVUX0lOQyhDQUwsMjAxMCk=&amp;WINDOW=FIRST_POPUP&amp;HEIGHT=450&amp;WIDTH=450&amp;START_MAXIMIZED=","FALSE&amp;VAR:CALENDAR=US&amp;VAR:SYMBOL=TXI&amp;VAR:INDEX=0"}</definedName>
    <definedName name="_144__FDSAUDITLINK___1" localSheetId="8" hidden="1">{"fdsup://directions/FAT Viewer?action=UPDATE&amp;creator=factset&amp;DYN_ARGS=TRUE&amp;DOC_NAME=FAT:FQL_AUDITING_CLIENT_TEMPLATE.FAT&amp;display_string=Audit&amp;VAR:KEY=NGZKFKJMHQ&amp;VAR:QUERY=RkZfRUJJVF9JQignQU5OJywzNzI1NiwsLCwnR0JQJyk=&amp;WINDOW=FIRST_POPUP&amp;HEIGHT=450&amp;WIDTH=450&amp;","START_MAXIMIZED=FALSE&amp;VAR:CALENDAR=FIVEDAY&amp;VAR:SYMBOL=075902&amp;VAR:INDEX=0"}</definedName>
    <definedName name="_144__FDSAUDITLINK___1" hidden="1">{"fdsup://directions/FAT Viewer?action=UPDATE&amp;creator=factset&amp;DYN_ARGS=TRUE&amp;DOC_NAME=FAT:FQL_AUDITING_CLIENT_TEMPLATE.FAT&amp;display_string=Audit&amp;VAR:KEY=NGZKFKJMHQ&amp;VAR:QUERY=RkZfRUJJVF9JQignQU5OJywzNzI1NiwsLCwnR0JQJyk=&amp;WINDOW=FIRST_POPUP&amp;HEIGHT=450&amp;WIDTH=450&amp;","START_MAXIMIZED=FALSE&amp;VAR:CALENDAR=FIVEDAY&amp;VAR:SYMBOL=075902&amp;VAR:INDEX=0"}</definedName>
    <definedName name="_1440__FDSAUDITLINK__" localSheetId="8" hidden="1">{"fdsup://IBCentral/FAT Viewer?action=UPDATE&amp;creator=factset&amp;DOC_NAME=fat:reuters_qtrly_source_window.fat&amp;display_string=Audit&amp;DYN_ARGS=TRUE&amp;VAR:ID1=221353&amp;VAR:RCODE=LMIN&amp;VAR:SDATE=20080699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440__FDSAUDITLINK__" hidden="1">{"fdsup://IBCentral/FAT Viewer?action=UPDATE&amp;creator=factset&amp;DOC_NAME=fat:reuters_qtrly_source_window.fat&amp;display_string=Audit&amp;DYN_ARGS=TRUE&amp;VAR:ID1=221353&amp;VAR:RCODE=LMIN&amp;VAR:SDATE=20080699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441__FDSAUDITLINK__" localSheetId="8" hidden="1">{"fdsup://IBCentral/FAT Viewer?action=UPDATE&amp;creator=factset&amp;DOC_NAME=fat:reuters_qtrly_source_window.fat&amp;display_string=Audit&amp;DYN_ARGS=TRUE&amp;VAR:ID1=221353&amp;VAR:RCODE=STLD&amp;VAR:SDATE=20080699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441__FDSAUDITLINK__" hidden="1">{"fdsup://IBCentral/FAT Viewer?action=UPDATE&amp;creator=factset&amp;DOC_NAME=fat:reuters_qtrly_source_window.fat&amp;display_string=Audit&amp;DYN_ARGS=TRUE&amp;VAR:ID1=221353&amp;VAR:RCODE=STLD&amp;VAR:SDATE=20080699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442__FDSAUDITLINK__" localSheetId="8" hidden="1">{"fdsup://IBCentral/FAT Viewer?action=UPDATE&amp;creator=factset&amp;DOC_NAME=fat:reuters_qtrly_source_window.fat&amp;display_string=Audit&amp;DYN_ARGS=TRUE&amp;VAR:ID1=221353&amp;VAR:RCODE=SCSI&amp;VAR:SDATE=20080699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442__FDSAUDITLINK__" hidden="1">{"fdsup://IBCentral/FAT Viewer?action=UPDATE&amp;creator=factset&amp;DOC_NAME=fat:reuters_qtrly_source_window.fat&amp;display_string=Audit&amp;DYN_ARGS=TRUE&amp;VAR:ID1=221353&amp;VAR:RCODE=SCSI&amp;VAR:SDATE=20080699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443__FDSAUDITLINK__" localSheetId="8" hidden="1">{"fdsup://IBCentral/FAT Viewer?action=UPDATE&amp;creator=factset&amp;DOC_NAME=fat:reuters_annual_source_window.fat&amp;display_string=Audit&amp;DYN_ARGS=TRUE&amp;VAR:ID1=221353&amp;VAR:RCODE=FDSPFDSTKTOTAL&amp;VAR:SDATE=20071299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443__FDSAUDITLINK__" hidden="1">{"fdsup://IBCentral/FAT Viewer?action=UPDATE&amp;creator=factset&amp;DOC_NAME=fat:reuters_annual_source_window.fat&amp;display_string=Audit&amp;DYN_ARGS=TRUE&amp;VAR:ID1=221353&amp;VAR:RCODE=FDSPFDSTKTOTAL&amp;VAR:SDATE=20071299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444__FDSAUDITLINK__" localSheetId="8" hidden="1">{"fdsup://IBCentral/FAT Viewer?action=UPDATE&amp;creator=factset&amp;DOC_NAME=fat:reuters_qtrly_source_window.fat&amp;display_string=Audit&amp;DYN_ARGS=TRUE&amp;VAR:ID1=221353&amp;VAR:RCODE=AEQI&amp;VAR:SDATE=20080699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444__FDSAUDITLINK__" hidden="1">{"fdsup://IBCentral/FAT Viewer?action=UPDATE&amp;creator=factset&amp;DOC_NAME=fat:reuters_qtrly_source_window.fat&amp;display_string=Audit&amp;DYN_ARGS=TRUE&amp;VAR:ID1=221353&amp;VAR:RCODE=AEQI&amp;VAR:SDATE=20080699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445__FDSAUDITLINK__" localSheetId="8" hidden="1">{"fdsup://IBCentral/FAT Viewer?action=UPDATE&amp;creator=factset&amp;DOC_NAME=fat:reuters_qtrly_source_window.fat&amp;display_string=Audit&amp;DYN_ARGS=TRUE&amp;VAR:ID1=221353&amp;VAR:RCODE=LMIN&amp;VAR:SDATE=20080699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445__FDSAUDITLINK__" hidden="1">{"fdsup://IBCentral/FAT Viewer?action=UPDATE&amp;creator=factset&amp;DOC_NAME=fat:reuters_qtrly_source_window.fat&amp;display_string=Audit&amp;DYN_ARGS=TRUE&amp;VAR:ID1=221353&amp;VAR:RCODE=LMIN&amp;VAR:SDATE=20080699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446__FDSAUDITLINK__" localSheetId="8" hidden="1">{"fdsup://IBCentral/FAT Viewer?action=UPDATE&amp;creator=factset&amp;DOC_NAME=fat:reuters_qtrly_source_window.fat&amp;display_string=Audit&amp;DYN_ARGS=TRUE&amp;VAR:ID1=221353&amp;VAR:RCODE=STLD&amp;VAR:SDATE=20080699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446__FDSAUDITLINK__" hidden="1">{"fdsup://IBCentral/FAT Viewer?action=UPDATE&amp;creator=factset&amp;DOC_NAME=fat:reuters_qtrly_source_window.fat&amp;display_string=Audit&amp;DYN_ARGS=TRUE&amp;VAR:ID1=221353&amp;VAR:RCODE=STLD&amp;VAR:SDATE=20080699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447__FDSAUDITLINK__" localSheetId="8" hidden="1">{"fdsup://IBCentral/FAT Viewer?action=UPDATE&amp;creator=factset&amp;DOC_NAME=fat:reuters_qtrly_source_window.fat&amp;display_string=Audit&amp;DYN_ARGS=TRUE&amp;VAR:ID1=221353&amp;VAR:RCODE=SCSI&amp;VAR:SDATE=20080699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447__FDSAUDITLINK__" hidden="1">{"fdsup://IBCentral/FAT Viewer?action=UPDATE&amp;creator=factset&amp;DOC_NAME=fat:reuters_qtrly_source_window.fat&amp;display_string=Audit&amp;DYN_ARGS=TRUE&amp;VAR:ID1=221353&amp;VAR:RCODE=SCSI&amp;VAR:SDATE=20080699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448__FDSAUDITLINK__" localSheetId="8" hidden="1">{"fdsup://IBCentral/FAT Viewer?action=UPDATE&amp;creator=factset&amp;DOC_NAME=fat:reuters_annual_source_window.fat&amp;display_string=Audit&amp;DYN_ARGS=TRUE&amp;VAR:ID1=221353&amp;VAR:RCODE=FDSPFDSTKTOTAL&amp;VAR:SDATE=20071299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448__FDSAUDITLINK__" hidden="1">{"fdsup://IBCentral/FAT Viewer?action=UPDATE&amp;creator=factset&amp;DOC_NAME=fat:reuters_annual_source_window.fat&amp;display_string=Audit&amp;DYN_ARGS=TRUE&amp;VAR:ID1=221353&amp;VAR:RCODE=FDSPFDSTKTOTAL&amp;VAR:SDATE=20071299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449__FDSAUDITLINK__" localSheetId="8" hidden="1">{"fdsup://IBCentral/FAT Viewer?action=UPDATE&amp;creator=factset&amp;DOC_NAME=fat:reuters_qtrly_source_window.fat&amp;display_string=Audit&amp;DYN_ARGS=TRUE&amp;VAR:ID1=221353&amp;VAR:RCODE=AEQI&amp;VAR:SDATE=20080699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449__FDSAUDITLINK__" hidden="1">{"fdsup://IBCentral/FAT Viewer?action=UPDATE&amp;creator=factset&amp;DOC_NAME=fat:reuters_qtrly_source_window.fat&amp;display_string=Audit&amp;DYN_ARGS=TRUE&amp;VAR:ID1=221353&amp;VAR:RCODE=AEQI&amp;VAR:SDATE=20080699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45__FDSAUDITLINK__" localSheetId="8" hidden="1">{"fdsup://directions/FAT Viewer?action=UPDATE&amp;creator=factset&amp;DYN_ARGS=TRUE&amp;DOC_NAME=FAT:FQL_AUDITING_CLIENT_TEMPLATE.FAT&amp;display_string=Audit&amp;VAR:KEY=VMHWPAFGBW&amp;VAR:QUERY=RkZfRUJJVF9JQignQU5OJywzNjg5MSwsLCwnR0JQJyk=&amp;WINDOW=FIRST_POPUP&amp;HEIGHT=450&amp;WIDTH=450&amp;","START_MAXIMIZED=FALSE&amp;VAR:CALENDAR=FIVEDAY&amp;VAR:SYMBOL=075902&amp;VAR:INDEX=0"}</definedName>
    <definedName name="_145__FDSAUDITLINK__" hidden="1">{"fdsup://directions/FAT Viewer?action=UPDATE&amp;creator=factset&amp;DYN_ARGS=TRUE&amp;DOC_NAME=FAT:FQL_AUDITING_CLIENT_TEMPLATE.FAT&amp;display_string=Audit&amp;VAR:KEY=SPURWJEVKJ&amp;VAR:QUERY=RkZfTkVUX0lOQyhDQUwsMjAxMCk=&amp;WINDOW=FIRST_POPUP&amp;HEIGHT=450&amp;WIDTH=450&amp;START_MAXIMIZED=","FALSE&amp;VAR:CALENDAR=US&amp;VAR:SYMBOL=USCR&amp;VAR:INDEX=0"}</definedName>
    <definedName name="_145__FDSAUDITLINK___1" localSheetId="8" hidden="1">{"fdsup://directions/FAT Viewer?action=UPDATE&amp;creator=factset&amp;DYN_ARGS=TRUE&amp;DOC_NAME=FAT:FQL_AUDITING_CLIENT_TEMPLATE.FAT&amp;display_string=Audit&amp;VAR:KEY=VMHWPAFGBW&amp;VAR:QUERY=RkZfRUJJVF9JQignQU5OJywzNjg5MSwsLCwnR0JQJyk=&amp;WINDOW=FIRST_POPUP&amp;HEIGHT=450&amp;WIDTH=450&amp;","START_MAXIMIZED=FALSE&amp;VAR:CALENDAR=FIVEDAY&amp;VAR:SYMBOL=075902&amp;VAR:INDEX=0"}</definedName>
    <definedName name="_145__FDSAUDITLINK___1" hidden="1">{"fdsup://directions/FAT Viewer?action=UPDATE&amp;creator=factset&amp;DYN_ARGS=TRUE&amp;DOC_NAME=FAT:FQL_AUDITING_CLIENT_TEMPLATE.FAT&amp;display_string=Audit&amp;VAR:KEY=VMHWPAFGBW&amp;VAR:QUERY=RkZfRUJJVF9JQignQU5OJywzNjg5MSwsLCwnR0JQJyk=&amp;WINDOW=FIRST_POPUP&amp;HEIGHT=450&amp;WIDTH=450&amp;","START_MAXIMIZED=FALSE&amp;VAR:CALENDAR=FIVEDAY&amp;VAR:SYMBOL=075902&amp;VAR:INDEX=0"}</definedName>
    <definedName name="_1450__FDSAUDITLINK__" localSheetId="8" hidden="1">{"fdsup://IBCentral/FAT Viewer?action=UPDATE&amp;creator=factset&amp;DOC_NAME=fat:reuters_qtrly_source_window.fat&amp;display_string=Audit&amp;DYN_ARGS=TRUE&amp;VAR:ID1=221353&amp;VAR:RCODE=LMIN&amp;VAR:SDATE=20080699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450__FDSAUDITLINK__" hidden="1">{"fdsup://IBCentral/FAT Viewer?action=UPDATE&amp;creator=factset&amp;DOC_NAME=fat:reuters_qtrly_source_window.fat&amp;display_string=Audit&amp;DYN_ARGS=TRUE&amp;VAR:ID1=221353&amp;VAR:RCODE=LMIN&amp;VAR:SDATE=20080699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451__FDSAUDITLINK__" localSheetId="8" hidden="1">{"fdsup://IBCentral/FAT Viewer?action=UPDATE&amp;creator=factset&amp;DOC_NAME=fat:reuters_qtrly_source_window.fat&amp;display_string=Audit&amp;DYN_ARGS=TRUE&amp;VAR:ID1=221353&amp;VAR:RCODE=STLD&amp;VAR:SDATE=20080699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451__FDSAUDITLINK__" hidden="1">{"fdsup://IBCentral/FAT Viewer?action=UPDATE&amp;creator=factset&amp;DOC_NAME=fat:reuters_qtrly_source_window.fat&amp;display_string=Audit&amp;DYN_ARGS=TRUE&amp;VAR:ID1=221353&amp;VAR:RCODE=STLD&amp;VAR:SDATE=20080699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452__FDSAUDITLINK__" localSheetId="8" hidden="1">{"fdsup://IBCentral/FAT Viewer?action=UPDATE&amp;creator=factset&amp;DOC_NAME=fat:reuters_qtrly_source_window.fat&amp;display_string=Audit&amp;DYN_ARGS=TRUE&amp;VAR:ID1=221353&amp;VAR:RCODE=SCSI&amp;VAR:SDATE=20080699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452__FDSAUDITLINK__" hidden="1">{"fdsup://IBCentral/FAT Viewer?action=UPDATE&amp;creator=factset&amp;DOC_NAME=fat:reuters_qtrly_source_window.fat&amp;display_string=Audit&amp;DYN_ARGS=TRUE&amp;VAR:ID1=221353&amp;VAR:RCODE=SCSI&amp;VAR:SDATE=20080699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453__FDSAUDITLINK__" localSheetId="8" hidden="1">{"fdsup://IBCentral/FAT Viewer?action=UPDATE&amp;creator=factset&amp;DOC_NAME=fat:reuters_annual_source_window.fat&amp;display_string=Audit&amp;DYN_ARGS=TRUE&amp;VAR:ID1=221353&amp;VAR:RCODE=FDSPFDSTKTOTAL&amp;VAR:SDATE=20071299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453__FDSAUDITLINK__" hidden="1">{"fdsup://IBCentral/FAT Viewer?action=UPDATE&amp;creator=factset&amp;DOC_NAME=fat:reuters_annual_source_window.fat&amp;display_string=Audit&amp;DYN_ARGS=TRUE&amp;VAR:ID1=221353&amp;VAR:RCODE=FDSPFDSTKTOTAL&amp;VAR:SDATE=20071299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454__FDSAUDITLINK__" localSheetId="8" hidden="1">{"fdsup://IBCentral/FAT Viewer?action=UPDATE&amp;creator=factset&amp;DOC_NAME=fat:reuters_qtrly_source_window.fat&amp;display_string=Audit&amp;DYN_ARGS=TRUE&amp;VAR:ID1=221353&amp;VAR:RCODE=AEQI&amp;VAR:SDATE=20080699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454__FDSAUDITLINK__" hidden="1">{"fdsup://IBCentral/FAT Viewer?action=UPDATE&amp;creator=factset&amp;DOC_NAME=fat:reuters_qtrly_source_window.fat&amp;display_string=Audit&amp;DYN_ARGS=TRUE&amp;VAR:ID1=221353&amp;VAR:RCODE=AEQI&amp;VAR:SDATE=20080699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455__FDSAUDITLINK__" localSheetId="8" hidden="1">{"fdsup://IBCentral/FAT Viewer?action=UPDATE&amp;creator=factset&amp;DOC_NAME=fat:reuters_qtrly_source_window.fat&amp;display_string=Audit&amp;DYN_ARGS=TRUE&amp;VAR:ID1=221353&amp;VAR:RCODE=LMIN&amp;VAR:SDATE=20080699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455__FDSAUDITLINK__" hidden="1">{"fdsup://IBCentral/FAT Viewer?action=UPDATE&amp;creator=factset&amp;DOC_NAME=fat:reuters_qtrly_source_window.fat&amp;display_string=Audit&amp;DYN_ARGS=TRUE&amp;VAR:ID1=221353&amp;VAR:RCODE=LMIN&amp;VAR:SDATE=20080699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456__FDSAUDITLINK__" localSheetId="8" hidden="1">{"fdsup://IBCentral/FAT Viewer?action=UPDATE&amp;creator=factset&amp;DOC_NAME=fat:reuters_qtrly_source_window.fat&amp;display_string=Audit&amp;DYN_ARGS=TRUE&amp;VAR:ID1=221353&amp;VAR:RCODE=STLD&amp;VAR:SDATE=20080699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456__FDSAUDITLINK__" hidden="1">{"fdsup://IBCentral/FAT Viewer?action=UPDATE&amp;creator=factset&amp;DOC_NAME=fat:reuters_qtrly_source_window.fat&amp;display_string=Audit&amp;DYN_ARGS=TRUE&amp;VAR:ID1=221353&amp;VAR:RCODE=STLD&amp;VAR:SDATE=20080699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457__FDSAUDITLINK__" localSheetId="8" hidden="1">{"fdsup://IBCentral/FAT Viewer?action=UPDATE&amp;creator=factset&amp;DOC_NAME=fat:reuters_qtrly_source_window.fat&amp;display_string=Audit&amp;DYN_ARGS=TRUE&amp;VAR:ID1=221353&amp;VAR:RCODE=SCSI&amp;VAR:SDATE=20080699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457__FDSAUDITLINK__" hidden="1">{"fdsup://IBCentral/FAT Viewer?action=UPDATE&amp;creator=factset&amp;DOC_NAME=fat:reuters_qtrly_source_window.fat&amp;display_string=Audit&amp;DYN_ARGS=TRUE&amp;VAR:ID1=221353&amp;VAR:RCODE=SCSI&amp;VAR:SDATE=20080699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458__FDSAUDITLINK__" localSheetId="8" hidden="1">{"fdsup://IBCentral/FAT Viewer?action=UPDATE&amp;creator=factset&amp;DOC_NAME=fat:reuters_annual_source_window.fat&amp;display_string=Audit&amp;DYN_ARGS=TRUE&amp;VAR:ID1=221353&amp;VAR:RCODE=FDSPFDSTKTOTAL&amp;VAR:SDATE=20071299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458__FDSAUDITLINK__" hidden="1">{"fdsup://IBCentral/FAT Viewer?action=UPDATE&amp;creator=factset&amp;DOC_NAME=fat:reuters_annual_source_window.fat&amp;display_string=Audit&amp;DYN_ARGS=TRUE&amp;VAR:ID1=221353&amp;VAR:RCODE=FDSPFDSTKTOTAL&amp;VAR:SDATE=20071299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459__FDSAUDITLINK__" localSheetId="8" hidden="1">{"fdsup://IBCentral/FAT Viewer?action=UPDATE&amp;creator=factset&amp;DOC_NAME=fat:reuters_qtrly_source_window.fat&amp;display_string=Audit&amp;DYN_ARGS=TRUE&amp;VAR:ID1=221353&amp;VAR:RCODE=AEQI&amp;VAR:SDATE=20080699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459__FDSAUDITLINK__" hidden="1">{"fdsup://IBCentral/FAT Viewer?action=UPDATE&amp;creator=factset&amp;DOC_NAME=fat:reuters_qtrly_source_window.fat&amp;display_string=Audit&amp;DYN_ARGS=TRUE&amp;VAR:ID1=221353&amp;VAR:RCODE=AEQI&amp;VAR:SDATE=20080699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46__FDSAUDITLINK__" localSheetId="8" hidden="1">{"fdsup://directions/FAT Viewer?action=UPDATE&amp;creator=factset&amp;DYN_ARGS=TRUE&amp;DOC_NAME=FAT:FQL_AUDITING_CLIENT_TEMPLATE.FAT&amp;display_string=Audit&amp;VAR:KEY=HCXEFYPYJM&amp;VAR:QUERY=RkZfRUJJVF9JQignQU5OJywzNjUyNSwsLCwnR0JQJyk=&amp;WINDOW=FIRST_POPUP&amp;HEIGHT=450&amp;WIDTH=450&amp;","START_MAXIMIZED=FALSE&amp;VAR:CALENDAR=FIVEDAY&amp;VAR:SYMBOL=075902&amp;VAR:INDEX=0"}</definedName>
    <definedName name="_146__FDSAUDITLINK__" hidden="1">{"fdsup://directions/FAT Viewer?action=UPDATE&amp;creator=factset&amp;DYN_ARGS=TRUE&amp;DOC_NAME=FAT:FQL_AUDITING_CLIENT_TEMPLATE.FAT&amp;display_string=Audit&amp;VAR:KEY=GTEHEDOZYR&amp;VAR:QUERY=RkZfTkVUX0lOQyhDQUwsMjAxMCk=&amp;WINDOW=FIRST_POPUP&amp;HEIGHT=450&amp;WIDTH=450&amp;START_MAXIMIZED=","FALSE&amp;VAR:CALENDAR=US&amp;VAR:SYMBOL=MLM&amp;VAR:INDEX=0"}</definedName>
    <definedName name="_146__FDSAUDITLINK___1" localSheetId="8" hidden="1">{"fdsup://directions/FAT Viewer?action=UPDATE&amp;creator=factset&amp;DYN_ARGS=TRUE&amp;DOC_NAME=FAT:FQL_AUDITING_CLIENT_TEMPLATE.FAT&amp;display_string=Audit&amp;VAR:KEY=HCXEFYPYJM&amp;VAR:QUERY=RkZfRUJJVF9JQignQU5OJywzNjUyNSwsLCwnR0JQJyk=&amp;WINDOW=FIRST_POPUP&amp;HEIGHT=450&amp;WIDTH=450&amp;","START_MAXIMIZED=FALSE&amp;VAR:CALENDAR=FIVEDAY&amp;VAR:SYMBOL=075902&amp;VAR:INDEX=0"}</definedName>
    <definedName name="_146__FDSAUDITLINK___1" hidden="1">{"fdsup://directions/FAT Viewer?action=UPDATE&amp;creator=factset&amp;DYN_ARGS=TRUE&amp;DOC_NAME=FAT:FQL_AUDITING_CLIENT_TEMPLATE.FAT&amp;display_string=Audit&amp;VAR:KEY=HCXEFYPYJM&amp;VAR:QUERY=RkZfRUJJVF9JQignQU5OJywzNjUyNSwsLCwnR0JQJyk=&amp;WINDOW=FIRST_POPUP&amp;HEIGHT=450&amp;WIDTH=450&amp;","START_MAXIMIZED=FALSE&amp;VAR:CALENDAR=FIVEDAY&amp;VAR:SYMBOL=075902&amp;VAR:INDEX=0"}</definedName>
    <definedName name="_1460__FDSAUDITLINK__" localSheetId="8" hidden="1">{"fdsup://IBCentral/FAT Viewer?action=UPDATE&amp;creator=factset&amp;DOC_NAME=fat:reuters_qtrly_source_window.fat&amp;display_string=Audit&amp;DYN_ARGS=TRUE&amp;VAR:ID1=221353&amp;VAR:RCODE=LMIN&amp;VAR:SDATE=20080699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460__FDSAUDITLINK__" hidden="1">{"fdsup://IBCentral/FAT Viewer?action=UPDATE&amp;creator=factset&amp;DOC_NAME=fat:reuters_qtrly_source_window.fat&amp;display_string=Audit&amp;DYN_ARGS=TRUE&amp;VAR:ID1=221353&amp;VAR:RCODE=LMIN&amp;VAR:SDATE=20080699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461__FDSAUDITLINK__" localSheetId="8" hidden="1">{"fdsup://IBCentral/FAT Viewer?action=UPDATE&amp;creator=factset&amp;DOC_NAME=fat:reuters_qtrly_source_window.fat&amp;display_string=Audit&amp;DYN_ARGS=TRUE&amp;VAR:ID1=221353&amp;VAR:RCODE=STLD&amp;VAR:SDATE=20080699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461__FDSAUDITLINK__" hidden="1">{"fdsup://IBCentral/FAT Viewer?action=UPDATE&amp;creator=factset&amp;DOC_NAME=fat:reuters_qtrly_source_window.fat&amp;display_string=Audit&amp;DYN_ARGS=TRUE&amp;VAR:ID1=221353&amp;VAR:RCODE=STLD&amp;VAR:SDATE=20080699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462__FDSAUDITLINK__" localSheetId="8" hidden="1">{"fdsup://IBCentral/FAT Viewer?action=UPDATE&amp;creator=factset&amp;DOC_NAME=fat:reuters_qtrly_source_window.fat&amp;display_string=Audit&amp;DYN_ARGS=TRUE&amp;VAR:ID1=221353&amp;VAR:RCODE=SCSI&amp;VAR:SDATE=20080699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462__FDSAUDITLINK__" hidden="1">{"fdsup://IBCentral/FAT Viewer?action=UPDATE&amp;creator=factset&amp;DOC_NAME=fat:reuters_qtrly_source_window.fat&amp;display_string=Audit&amp;DYN_ARGS=TRUE&amp;VAR:ID1=221353&amp;VAR:RCODE=SCSI&amp;VAR:SDATE=20080699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463__FDSAUDITLINK__" localSheetId="8" hidden="1">{"fdsup://IBCentral/FAT Viewer?action=UPDATE&amp;creator=factset&amp;DOC_NAME=fat:reuters_annual_source_window.fat&amp;display_string=Audit&amp;DYN_ARGS=TRUE&amp;VAR:ID1=221353&amp;VAR:RCODE=FDSPFDSTKTOTAL&amp;VAR:SDATE=20071299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463__FDSAUDITLINK__" hidden="1">{"fdsup://IBCentral/FAT Viewer?action=UPDATE&amp;creator=factset&amp;DOC_NAME=fat:reuters_annual_source_window.fat&amp;display_string=Audit&amp;DYN_ARGS=TRUE&amp;VAR:ID1=221353&amp;VAR:RCODE=FDSPFDSTKTOTAL&amp;VAR:SDATE=20071299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464__FDSAUDITLINK__" localSheetId="8" hidden="1">{"fdsup://IBCentral/FAT Viewer?action=UPDATE&amp;creator=factset&amp;DOC_NAME=fat:reuters_qtrly_source_window.fat&amp;display_string=Audit&amp;DYN_ARGS=TRUE&amp;VAR:ID1=221353&amp;VAR:RCODE=AEQI&amp;VAR:SDATE=20080699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464__FDSAUDITLINK__" hidden="1">{"fdsup://IBCentral/FAT Viewer?action=UPDATE&amp;creator=factset&amp;DOC_NAME=fat:reuters_qtrly_source_window.fat&amp;display_string=Audit&amp;DYN_ARGS=TRUE&amp;VAR:ID1=221353&amp;VAR:RCODE=AEQI&amp;VAR:SDATE=20080699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465__FDSAUDITLINK__" localSheetId="8" hidden="1">{"fdsup://IBCentral/FAT Viewer?action=UPDATE&amp;creator=factset&amp;DOC_NAME=fat:reuters_qtrly_source_window.fat&amp;display_string=Audit&amp;DYN_ARGS=TRUE&amp;VAR:ID1=221353&amp;VAR:RCODE=LMIN&amp;VAR:SDATE=20080699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465__FDSAUDITLINK__" hidden="1">{"fdsup://IBCentral/FAT Viewer?action=UPDATE&amp;creator=factset&amp;DOC_NAME=fat:reuters_qtrly_source_window.fat&amp;display_string=Audit&amp;DYN_ARGS=TRUE&amp;VAR:ID1=221353&amp;VAR:RCODE=LMIN&amp;VAR:SDATE=20080699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466__FDSAUDITLINK__" localSheetId="8" hidden="1">{"fdsup://IBCentral/FAT Viewer?action=UPDATE&amp;creator=factset&amp;DOC_NAME=fat:reuters_qtrly_source_window.fat&amp;display_string=Audit&amp;DYN_ARGS=TRUE&amp;VAR:ID1=221353&amp;VAR:RCODE=STLD&amp;VAR:SDATE=20080699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466__FDSAUDITLINK__" hidden="1">{"fdsup://IBCentral/FAT Viewer?action=UPDATE&amp;creator=factset&amp;DOC_NAME=fat:reuters_qtrly_source_window.fat&amp;display_string=Audit&amp;DYN_ARGS=TRUE&amp;VAR:ID1=221353&amp;VAR:RCODE=STLD&amp;VAR:SDATE=20080699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467__FDSAUDITLINK__" localSheetId="8" hidden="1">{"fdsup://IBCentral/FAT Viewer?action=UPDATE&amp;creator=factset&amp;DOC_NAME=fat:reuters_qtrly_source_window.fat&amp;display_string=Audit&amp;DYN_ARGS=TRUE&amp;VAR:ID1=221353&amp;VAR:RCODE=SCSI&amp;VAR:SDATE=20080699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467__FDSAUDITLINK__" hidden="1">{"fdsup://IBCentral/FAT Viewer?action=UPDATE&amp;creator=factset&amp;DOC_NAME=fat:reuters_qtrly_source_window.fat&amp;display_string=Audit&amp;DYN_ARGS=TRUE&amp;VAR:ID1=221353&amp;VAR:RCODE=SCSI&amp;VAR:SDATE=20080699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468__FDSAUDITLINK__" localSheetId="8" hidden="1">{"fdsup://IBCentral/FAT Viewer?action=UPDATE&amp;creator=factset&amp;DOC_NAME=fat:reuters_annual_source_window.fat&amp;display_string=Audit&amp;DYN_ARGS=TRUE&amp;VAR:ID1=221353&amp;VAR:RCODE=FDSPFDSTKTOTAL&amp;VAR:SDATE=20071299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468__FDSAUDITLINK__" hidden="1">{"fdsup://IBCentral/FAT Viewer?action=UPDATE&amp;creator=factset&amp;DOC_NAME=fat:reuters_annual_source_window.fat&amp;display_string=Audit&amp;DYN_ARGS=TRUE&amp;VAR:ID1=221353&amp;VAR:RCODE=FDSPFDSTKTOTAL&amp;VAR:SDATE=20071299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469__FDSAUDITLINK__" localSheetId="8" hidden="1">{"fdsup://IBCentral/FAT Viewer?action=UPDATE&amp;creator=factset&amp;DOC_NAME=fat:reuters_qtrly_source_window.fat&amp;display_string=Audit&amp;DYN_ARGS=TRUE&amp;VAR:ID1=221353&amp;VAR:RCODE=AEQI&amp;VAR:SDATE=20080699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469__FDSAUDITLINK__" hidden="1">{"fdsup://IBCentral/FAT Viewer?action=UPDATE&amp;creator=factset&amp;DOC_NAME=fat:reuters_qtrly_source_window.fat&amp;display_string=Audit&amp;DYN_ARGS=TRUE&amp;VAR:ID1=221353&amp;VAR:RCODE=AEQI&amp;VAR:SDATE=20080699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47__FDSAUDITLINK__" localSheetId="8" hidden="1">{"fdsup://directions/FAT Viewer?action=UPDATE&amp;creator=factset&amp;DYN_ARGS=TRUE&amp;DOC_NAME=FAT:FQL_AUDITING_CLIENT_TEMPLATE.FAT&amp;display_string=Audit&amp;VAR:KEY=JYJQNYDOTW&amp;VAR:QUERY=RkZfRUJJVF9JQignQU5OJywzNjE2MCwsLCwnR0JQJyk=&amp;WINDOW=FIRST_POPUP&amp;HEIGHT=450&amp;WIDTH=450&amp;","START_MAXIMIZED=FALSE&amp;VAR:CALENDAR=FIVEDAY&amp;VAR:SYMBOL=075902&amp;VAR:INDEX=0"}</definedName>
    <definedName name="_147__FDSAUDITLINK__" hidden="1">{"fdsup://directions/FAT Viewer?action=UPDATE&amp;creator=factset&amp;DYN_ARGS=TRUE&amp;DOC_NAME=FAT:FQL_AUDITING_CLIENT_TEMPLATE.FAT&amp;display_string=Audit&amp;VAR:KEY=ENKNIPERKF&amp;VAR:QUERY=RkZfTkVUX0lOQyhDQUwsMjAxMCk=&amp;WINDOW=FIRST_POPUP&amp;HEIGHT=450&amp;WIDTH=450&amp;START_MAXIMIZED=","FALSE&amp;VAR:CALENDAR=US&amp;VAR:SYMBOL=EXP&amp;VAR:INDEX=0"}</definedName>
    <definedName name="_147__FDSAUDITLINK___1" localSheetId="8" hidden="1">{"fdsup://directions/FAT Viewer?action=UPDATE&amp;creator=factset&amp;DYN_ARGS=TRUE&amp;DOC_NAME=FAT:FQL_AUDITING_CLIENT_TEMPLATE.FAT&amp;display_string=Audit&amp;VAR:KEY=JYJQNYDOTW&amp;VAR:QUERY=RkZfRUJJVF9JQignQU5OJywzNjE2MCwsLCwnR0JQJyk=&amp;WINDOW=FIRST_POPUP&amp;HEIGHT=450&amp;WIDTH=450&amp;","START_MAXIMIZED=FALSE&amp;VAR:CALENDAR=FIVEDAY&amp;VAR:SYMBOL=075902&amp;VAR:INDEX=0"}</definedName>
    <definedName name="_147__FDSAUDITLINK___1" hidden="1">{"fdsup://directions/FAT Viewer?action=UPDATE&amp;creator=factset&amp;DYN_ARGS=TRUE&amp;DOC_NAME=FAT:FQL_AUDITING_CLIENT_TEMPLATE.FAT&amp;display_string=Audit&amp;VAR:KEY=JYJQNYDOTW&amp;VAR:QUERY=RkZfRUJJVF9JQignQU5OJywzNjE2MCwsLCwnR0JQJyk=&amp;WINDOW=FIRST_POPUP&amp;HEIGHT=450&amp;WIDTH=450&amp;","START_MAXIMIZED=FALSE&amp;VAR:CALENDAR=FIVEDAY&amp;VAR:SYMBOL=075902&amp;VAR:INDEX=0"}</definedName>
    <definedName name="_1470__FDSAUDITLINK__" localSheetId="8" hidden="1">{"fdsup://IBCentral/FAT Viewer?action=UPDATE&amp;creator=factset&amp;DOC_NAME=fat:reuters_qtrly_source_window.fat&amp;display_string=Audit&amp;DYN_ARGS=TRUE&amp;VAR:ID1=221353&amp;VAR:RCODE=LMIN&amp;VAR:SDATE=20080699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470__FDSAUDITLINK__" hidden="1">{"fdsup://IBCentral/FAT Viewer?action=UPDATE&amp;creator=factset&amp;DOC_NAME=fat:reuters_qtrly_source_window.fat&amp;display_string=Audit&amp;DYN_ARGS=TRUE&amp;VAR:ID1=221353&amp;VAR:RCODE=LMIN&amp;VAR:SDATE=20080699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471__FDSAUDITLINK__" localSheetId="8" hidden="1">{"fdsup://IBCentral/FAT Viewer?action=UPDATE&amp;creator=factset&amp;DOC_NAME=fat:reuters_qtrly_source_window.fat&amp;display_string=Audit&amp;DYN_ARGS=TRUE&amp;VAR:ID1=221353&amp;VAR:RCODE=STLD&amp;VAR:SDATE=20080699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471__FDSAUDITLINK__" hidden="1">{"fdsup://IBCentral/FAT Viewer?action=UPDATE&amp;creator=factset&amp;DOC_NAME=fat:reuters_qtrly_source_window.fat&amp;display_string=Audit&amp;DYN_ARGS=TRUE&amp;VAR:ID1=221353&amp;VAR:RCODE=STLD&amp;VAR:SDATE=20080699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472__FDSAUDITLINK__" localSheetId="8" hidden="1">{"fdsup://IBCentral/FAT Viewer?action=UPDATE&amp;creator=factset&amp;DOC_NAME=fat:reuters_qtrly_source_window.fat&amp;display_string=Audit&amp;DYN_ARGS=TRUE&amp;VAR:ID1=221353&amp;VAR:RCODE=SCSI&amp;VAR:SDATE=20080699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472__FDSAUDITLINK__" hidden="1">{"fdsup://IBCentral/FAT Viewer?action=UPDATE&amp;creator=factset&amp;DOC_NAME=fat:reuters_qtrly_source_window.fat&amp;display_string=Audit&amp;DYN_ARGS=TRUE&amp;VAR:ID1=221353&amp;VAR:RCODE=SCSI&amp;VAR:SDATE=20080699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473__FDSAUDITLINK__" localSheetId="8" hidden="1">{"fdsup://IBCentral/FAT Viewer?action=UPDATE&amp;creator=factset&amp;DOC_NAME=fat:reuters_annual_source_window.fat&amp;display_string=Audit&amp;DYN_ARGS=TRUE&amp;VAR:ID1=221353&amp;VAR:RCODE=FDSPFDSTKTOTAL&amp;VAR:SDATE=20071299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473__FDSAUDITLINK__" hidden="1">{"fdsup://IBCentral/FAT Viewer?action=UPDATE&amp;creator=factset&amp;DOC_NAME=fat:reuters_annual_source_window.fat&amp;display_string=Audit&amp;DYN_ARGS=TRUE&amp;VAR:ID1=221353&amp;VAR:RCODE=FDSPFDSTKTOTAL&amp;VAR:SDATE=20071299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474__FDSAUDITLINK__" localSheetId="8" hidden="1">{"fdsup://IBCentral/FAT Viewer?action=UPDATE&amp;creator=factset&amp;DOC_NAME=fat:reuters_qtrly_source_window.fat&amp;display_string=Audit&amp;DYN_ARGS=TRUE&amp;VAR:ID1=221353&amp;VAR:RCODE=AEQI&amp;VAR:SDATE=20080699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474__FDSAUDITLINK__" hidden="1">{"fdsup://IBCentral/FAT Viewer?action=UPDATE&amp;creator=factset&amp;DOC_NAME=fat:reuters_qtrly_source_window.fat&amp;display_string=Audit&amp;DYN_ARGS=TRUE&amp;VAR:ID1=221353&amp;VAR:RCODE=AEQI&amp;VAR:SDATE=20080699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475__FDSAUDITLINK__" localSheetId="8" hidden="1">{"fdsup://IBCentral/FAT Viewer?action=UPDATE&amp;creator=factset&amp;DOC_NAME=fat:reuters_qtrly_source_window.fat&amp;display_string=Audit&amp;DYN_ARGS=TRUE&amp;VAR:ID1=221353&amp;VAR:RCODE=LMIN&amp;VAR:SDATE=20080699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475__FDSAUDITLINK__" hidden="1">{"fdsup://IBCentral/FAT Viewer?action=UPDATE&amp;creator=factset&amp;DOC_NAME=fat:reuters_qtrly_source_window.fat&amp;display_string=Audit&amp;DYN_ARGS=TRUE&amp;VAR:ID1=221353&amp;VAR:RCODE=LMIN&amp;VAR:SDATE=20080699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476__FDSAUDITLINK__" localSheetId="8" hidden="1">{"fdsup://IBCentral/FAT Viewer?action=UPDATE&amp;creator=factset&amp;DOC_NAME=fat:reuters_qtrly_source_window.fat&amp;display_string=Audit&amp;DYN_ARGS=TRUE&amp;VAR:ID1=221353&amp;VAR:RCODE=STLD&amp;VAR:SDATE=20080699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476__FDSAUDITLINK__" hidden="1">{"fdsup://IBCentral/FAT Viewer?action=UPDATE&amp;creator=factset&amp;DOC_NAME=fat:reuters_qtrly_source_window.fat&amp;display_string=Audit&amp;DYN_ARGS=TRUE&amp;VAR:ID1=221353&amp;VAR:RCODE=STLD&amp;VAR:SDATE=20080699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477__FDSAUDITLINK__" localSheetId="8" hidden="1">{"fdsup://IBCentral/FAT Viewer?action=UPDATE&amp;creator=factset&amp;DOC_NAME=fat:reuters_qtrly_source_window.fat&amp;display_string=Audit&amp;DYN_ARGS=TRUE&amp;VAR:ID1=221353&amp;VAR:RCODE=SCSI&amp;VAR:SDATE=20080699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477__FDSAUDITLINK__" hidden="1">{"fdsup://IBCentral/FAT Viewer?action=UPDATE&amp;creator=factset&amp;DOC_NAME=fat:reuters_qtrly_source_window.fat&amp;display_string=Audit&amp;DYN_ARGS=TRUE&amp;VAR:ID1=221353&amp;VAR:RCODE=SCSI&amp;VAR:SDATE=20080699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478__FDSAUDITLINK__" localSheetId="8" hidden="1">{"fdsup://IBCentral/FAT Viewer?action=UPDATE&amp;creator=factset&amp;DOC_NAME=fat:reuters_annual_source_window.fat&amp;display_string=Audit&amp;DYN_ARGS=TRUE&amp;VAR:ID1=221353&amp;VAR:RCODE=FDSPFDSTKTOTAL&amp;VAR:SDATE=20071299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478__FDSAUDITLINK__" hidden="1">{"fdsup://IBCentral/FAT Viewer?action=UPDATE&amp;creator=factset&amp;DOC_NAME=fat:reuters_annual_source_window.fat&amp;display_string=Audit&amp;DYN_ARGS=TRUE&amp;VAR:ID1=221353&amp;VAR:RCODE=FDSPFDSTKTOTAL&amp;VAR:SDATE=20071299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479__FDSAUDITLINK__" localSheetId="8" hidden="1">{"fdsup://IBCentral/FAT Viewer?action=UPDATE&amp;creator=factset&amp;DOC_NAME=fat:reuters_qtrly_source_window.fat&amp;display_string=Audit&amp;DYN_ARGS=TRUE&amp;VAR:ID1=221353&amp;VAR:RCODE=AEQI&amp;VAR:SDATE=20080699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479__FDSAUDITLINK__" hidden="1">{"fdsup://IBCentral/FAT Viewer?action=UPDATE&amp;creator=factset&amp;DOC_NAME=fat:reuters_qtrly_source_window.fat&amp;display_string=Audit&amp;DYN_ARGS=TRUE&amp;VAR:ID1=221353&amp;VAR:RCODE=AEQI&amp;VAR:SDATE=20080699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48__FDSAUDITLINK__" localSheetId="8" hidden="1">{"fdsup://directions/FAT Viewer?action=UPDATE&amp;creator=factset&amp;DYN_ARGS=TRUE&amp;DOC_NAME=FAT:FQL_AUDITING_CLIENT_TEMPLATE.FAT&amp;display_string=Audit&amp;VAR:KEY=PGZWXWZEPI&amp;VAR:QUERY=RkZfRUJJVF9JQignQU5OJywzNTc5NSwsLCwnR0JQJyk=&amp;WINDOW=FIRST_POPUP&amp;HEIGHT=450&amp;WIDTH=450&amp;","START_MAXIMIZED=FALSE&amp;VAR:CALENDAR=FIVEDAY&amp;VAR:SYMBOL=075902&amp;VAR:INDEX=0"}</definedName>
    <definedName name="_148__FDSAUDITLINK__" hidden="1">{"fdsup://directions/FAT Viewer?action=UPDATE&amp;creator=factset&amp;DYN_ARGS=TRUE&amp;DOC_NAME=FAT:FQL_AUDITING_CLIENT_TEMPLATE.FAT&amp;display_string=Audit&amp;VAR:KEY=AFCPKZWPYF&amp;VAR:QUERY=RkZfTkVUX0lOQyhDQUwsMjAwOSk=&amp;WINDOW=FIRST_POPUP&amp;HEIGHT=450&amp;WIDTH=450&amp;START_MAXIMIZED=","FALSE&amp;VAR:CALENDAR=US&amp;VAR:SYMBOL=711075&amp;VAR:INDEX=0"}</definedName>
    <definedName name="_148__FDSAUDITLINK___1" localSheetId="8" hidden="1">{"fdsup://directions/FAT Viewer?action=UPDATE&amp;creator=factset&amp;DYN_ARGS=TRUE&amp;DOC_NAME=FAT:FQL_AUDITING_CLIENT_TEMPLATE.FAT&amp;display_string=Audit&amp;VAR:KEY=PGZWXWZEPI&amp;VAR:QUERY=RkZfRUJJVF9JQignQU5OJywzNTc5NSwsLCwnR0JQJyk=&amp;WINDOW=FIRST_POPUP&amp;HEIGHT=450&amp;WIDTH=450&amp;","START_MAXIMIZED=FALSE&amp;VAR:CALENDAR=FIVEDAY&amp;VAR:SYMBOL=075902&amp;VAR:INDEX=0"}</definedName>
    <definedName name="_148__FDSAUDITLINK___1" hidden="1">{"fdsup://directions/FAT Viewer?action=UPDATE&amp;creator=factset&amp;DYN_ARGS=TRUE&amp;DOC_NAME=FAT:FQL_AUDITING_CLIENT_TEMPLATE.FAT&amp;display_string=Audit&amp;VAR:KEY=PGZWXWZEPI&amp;VAR:QUERY=RkZfRUJJVF9JQignQU5OJywzNTc5NSwsLCwnR0JQJyk=&amp;WINDOW=FIRST_POPUP&amp;HEIGHT=450&amp;WIDTH=450&amp;","START_MAXIMIZED=FALSE&amp;VAR:CALENDAR=FIVEDAY&amp;VAR:SYMBOL=075902&amp;VAR:INDEX=0"}</definedName>
    <definedName name="_1480__FDSAUDITLINK__" localSheetId="8" hidden="1">{"fdsup://IBCentral/FAT Viewer?action=UPDATE&amp;creator=factset&amp;DOC_NAME=fat:reuters_qtrly_source_window.fat&amp;display_string=Audit&amp;DYN_ARGS=TRUE&amp;VAR:ID1=221353&amp;VAR:RCODE=LMIN&amp;VAR:SDATE=20080699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480__FDSAUDITLINK__" hidden="1">{"fdsup://IBCentral/FAT Viewer?action=UPDATE&amp;creator=factset&amp;DOC_NAME=fat:reuters_qtrly_source_window.fat&amp;display_string=Audit&amp;DYN_ARGS=TRUE&amp;VAR:ID1=221353&amp;VAR:RCODE=LMIN&amp;VAR:SDATE=20080699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481__FDSAUDITLINK__" localSheetId="8" hidden="1">{"fdsup://IBCentral/FAT Viewer?action=UPDATE&amp;creator=factset&amp;DOC_NAME=fat:reuters_qtrly_source_window.fat&amp;display_string=Audit&amp;DYN_ARGS=TRUE&amp;VAR:ID1=221353&amp;VAR:RCODE=STLD&amp;VAR:SDATE=20080699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481__FDSAUDITLINK__" hidden="1">{"fdsup://IBCentral/FAT Viewer?action=UPDATE&amp;creator=factset&amp;DOC_NAME=fat:reuters_qtrly_source_window.fat&amp;display_string=Audit&amp;DYN_ARGS=TRUE&amp;VAR:ID1=221353&amp;VAR:RCODE=STLD&amp;VAR:SDATE=20080699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482__FDSAUDITLINK__" localSheetId="8" hidden="1">{"fdsup://IBCentral/FAT Viewer?action=UPDATE&amp;creator=factset&amp;DOC_NAME=fat:reuters_qtrly_source_window.fat&amp;display_string=Audit&amp;DYN_ARGS=TRUE&amp;VAR:ID1=221353&amp;VAR:RCODE=SCSI&amp;VAR:SDATE=20080699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482__FDSAUDITLINK__" hidden="1">{"fdsup://IBCentral/FAT Viewer?action=UPDATE&amp;creator=factset&amp;DOC_NAME=fat:reuters_qtrly_source_window.fat&amp;display_string=Audit&amp;DYN_ARGS=TRUE&amp;VAR:ID1=221353&amp;VAR:RCODE=SCSI&amp;VAR:SDATE=20080699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483__FDSAUDITLINK__" localSheetId="8" hidden="1">{"fdsup://IBCentral/FAT Viewer?action=UPDATE&amp;creator=factset&amp;DOC_NAME=fat:reuters_annual_source_window.fat&amp;display_string=Audit&amp;DYN_ARGS=TRUE&amp;VAR:ID1=221353&amp;VAR:RCODE=FDSPFDSTKTOTAL&amp;VAR:SDATE=20071299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483__FDSAUDITLINK__" hidden="1">{"fdsup://IBCentral/FAT Viewer?action=UPDATE&amp;creator=factset&amp;DOC_NAME=fat:reuters_annual_source_window.fat&amp;display_string=Audit&amp;DYN_ARGS=TRUE&amp;VAR:ID1=221353&amp;VAR:RCODE=FDSPFDSTKTOTAL&amp;VAR:SDATE=20071299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484__FDSAUDITLINK__" localSheetId="8" hidden="1">{"fdsup://IBCentral/FAT Viewer?action=UPDATE&amp;creator=factset&amp;DOC_NAME=fat:reuters_qtrly_source_window.fat&amp;display_string=Audit&amp;DYN_ARGS=TRUE&amp;VAR:ID1=221353&amp;VAR:RCODE=AEQI&amp;VAR:SDATE=20080999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484__FDSAUDITLINK__" hidden="1">{"fdsup://IBCentral/FAT Viewer?action=UPDATE&amp;creator=factset&amp;DOC_NAME=fat:reuters_qtrly_source_window.fat&amp;display_string=Audit&amp;DYN_ARGS=TRUE&amp;VAR:ID1=221353&amp;VAR:RCODE=AEQI&amp;VAR:SDATE=20080999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485__FDSAUDITLINK__" localSheetId="8" hidden="1">{"fdsup://IBCentral/FAT Viewer?action=UPDATE&amp;creator=factset&amp;DOC_NAME=fat:reuters_qtrly_source_window.fat&amp;display_string=Audit&amp;DYN_ARGS=TRUE&amp;VAR:ID1=221353&amp;VAR:RCODE=LMIN&amp;VAR:SDATE=20080999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485__FDSAUDITLINK__" hidden="1">{"fdsup://IBCentral/FAT Viewer?action=UPDATE&amp;creator=factset&amp;DOC_NAME=fat:reuters_qtrly_source_window.fat&amp;display_string=Audit&amp;DYN_ARGS=TRUE&amp;VAR:ID1=221353&amp;VAR:RCODE=LMIN&amp;VAR:SDATE=20080999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486__FDSAUDITLINK__" localSheetId="8" hidden="1">{"fdsup://IBCentral/FAT Viewer?action=UPDATE&amp;creator=factset&amp;DOC_NAME=fat:reuters_qtrly_source_window.fat&amp;display_string=Audit&amp;DYN_ARGS=TRUE&amp;VAR:ID1=221353&amp;VAR:RCODE=STLD&amp;VAR:SDATE=20080999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486__FDSAUDITLINK__" hidden="1">{"fdsup://IBCentral/FAT Viewer?action=UPDATE&amp;creator=factset&amp;DOC_NAME=fat:reuters_qtrly_source_window.fat&amp;display_string=Audit&amp;DYN_ARGS=TRUE&amp;VAR:ID1=221353&amp;VAR:RCODE=STLD&amp;VAR:SDATE=20080999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487__FDSAUDITLINK__" localSheetId="8" hidden="1">{"fdsup://IBCentral/FAT Viewer?action=UPDATE&amp;creator=factset&amp;DOC_NAME=fat:reuters_qtrly_source_window.fat&amp;display_string=Audit&amp;DYN_ARGS=TRUE&amp;VAR:ID1=221353&amp;VAR:RCODE=SCSI&amp;VAR:SDATE=20080999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487__FDSAUDITLINK__" hidden="1">{"fdsup://IBCentral/FAT Viewer?action=UPDATE&amp;creator=factset&amp;DOC_NAME=fat:reuters_qtrly_source_window.fat&amp;display_string=Audit&amp;DYN_ARGS=TRUE&amp;VAR:ID1=221353&amp;VAR:RCODE=SCSI&amp;VAR:SDATE=20080999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488__FDSAUDITLINK__" localSheetId="8" hidden="1">{"fdsup://IBCentral/FAT Viewer?action=UPDATE&amp;creator=factset&amp;DOC_NAME=fat:reuters_annual_source_window.fat&amp;display_string=Audit&amp;DYN_ARGS=TRUE&amp;VAR:ID1=221353&amp;VAR:RCODE=FDSPFDSTKTOTAL&amp;VAR:SDATE=20071299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488__FDSAUDITLINK__" hidden="1">{"fdsup://IBCentral/FAT Viewer?action=UPDATE&amp;creator=factset&amp;DOC_NAME=fat:reuters_annual_source_window.fat&amp;display_string=Audit&amp;DYN_ARGS=TRUE&amp;VAR:ID1=221353&amp;VAR:RCODE=FDSPFDSTKTOTAL&amp;VAR:SDATE=20071299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489__FDSAUDITLINK__" localSheetId="8" hidden="1">{"fdsup://IBCentral/FAT Viewer?action=UPDATE&amp;creator=factset&amp;DOC_NAME=fat:reuters_qtrly_source_window.fat&amp;display_string=Audit&amp;DYN_ARGS=TRUE&amp;VAR:ID1=221353&amp;VAR:RCODE=AEQI&amp;VAR:SDATE=20080999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489__FDSAUDITLINK__" hidden="1">{"fdsup://IBCentral/FAT Viewer?action=UPDATE&amp;creator=factset&amp;DOC_NAME=fat:reuters_qtrly_source_window.fat&amp;display_string=Audit&amp;DYN_ARGS=TRUE&amp;VAR:ID1=221353&amp;VAR:RCODE=AEQI&amp;VAR:SDATE=20080999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49__FDSAUDITLINK__" localSheetId="8" hidden="1">{"fdsup://directions/FAT Viewer?action=UPDATE&amp;creator=factset&amp;DYN_ARGS=TRUE&amp;DOC_NAME=FAT:FQL_AUDITING_CLIENT_TEMPLATE.FAT&amp;display_string=Audit&amp;VAR:KEY=LOTCROBILA&amp;VAR:QUERY=RkZfRUJJVF9JQignQU5OJywzNTQzMCwsLCwnR0JQJyk=&amp;WINDOW=FIRST_POPUP&amp;HEIGHT=450&amp;WIDTH=450&amp;","START_MAXIMIZED=FALSE&amp;VAR:CALENDAR=FIVEDAY&amp;VAR:SYMBOL=075902&amp;VAR:INDEX=0"}</definedName>
    <definedName name="_149__FDSAUDITLINK__" hidden="1">{"fdsup://directions/FAT Viewer?action=UPDATE&amp;creator=factset&amp;DYN_ARGS=TRUE&amp;DOC_NAME=FAT:FQL_AUDITING_CLIENT_TEMPLATE.FAT&amp;display_string=Audit&amp;VAR:KEY=TSHGRYBCPU&amp;VAR:QUERY=RkZfTkVUX0lOQyhDQUwsMjAwOSk=&amp;WINDOW=FIRST_POPUP&amp;HEIGHT=450&amp;WIDTH=450&amp;START_MAXIMIZED=","FALSE&amp;VAR:CALENDAR=US&amp;VAR:SYMBOL=CX&amp;VAR:INDEX=0"}</definedName>
    <definedName name="_149__FDSAUDITLINK___1" localSheetId="8" hidden="1">{"fdsup://directions/FAT Viewer?action=UPDATE&amp;creator=factset&amp;DYN_ARGS=TRUE&amp;DOC_NAME=FAT:FQL_AUDITING_CLIENT_TEMPLATE.FAT&amp;display_string=Audit&amp;VAR:KEY=LOTCROBILA&amp;VAR:QUERY=RkZfRUJJVF9JQignQU5OJywzNTQzMCwsLCwnR0JQJyk=&amp;WINDOW=FIRST_POPUP&amp;HEIGHT=450&amp;WIDTH=450&amp;","START_MAXIMIZED=FALSE&amp;VAR:CALENDAR=FIVEDAY&amp;VAR:SYMBOL=075902&amp;VAR:INDEX=0"}</definedName>
    <definedName name="_149__FDSAUDITLINK___1" hidden="1">{"fdsup://directions/FAT Viewer?action=UPDATE&amp;creator=factset&amp;DYN_ARGS=TRUE&amp;DOC_NAME=FAT:FQL_AUDITING_CLIENT_TEMPLATE.FAT&amp;display_string=Audit&amp;VAR:KEY=LOTCROBILA&amp;VAR:QUERY=RkZfRUJJVF9JQignQU5OJywzNTQzMCwsLCwnR0JQJyk=&amp;WINDOW=FIRST_POPUP&amp;HEIGHT=450&amp;WIDTH=450&amp;","START_MAXIMIZED=FALSE&amp;VAR:CALENDAR=FIVEDAY&amp;VAR:SYMBOL=075902&amp;VAR:INDEX=0"}</definedName>
    <definedName name="_1490__FDSAUDITLINK__" localSheetId="8" hidden="1">{"fdsup://IBCentral/FAT Viewer?action=UPDATE&amp;creator=factset&amp;DOC_NAME=fat:reuters_qtrly_source_window.fat&amp;display_string=Audit&amp;DYN_ARGS=TRUE&amp;VAR:ID1=221353&amp;VAR:RCODE=LMIN&amp;VAR:SDATE=20080999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490__FDSAUDITLINK__" hidden="1">{"fdsup://IBCentral/FAT Viewer?action=UPDATE&amp;creator=factset&amp;DOC_NAME=fat:reuters_qtrly_source_window.fat&amp;display_string=Audit&amp;DYN_ARGS=TRUE&amp;VAR:ID1=221353&amp;VAR:RCODE=LMIN&amp;VAR:SDATE=20080999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491__FDSAUDITLINK__" localSheetId="8" hidden="1">{"fdsup://IBCentral/FAT Viewer?action=UPDATE&amp;creator=factset&amp;DOC_NAME=fat:reuters_qtrly_source_window.fat&amp;display_string=Audit&amp;DYN_ARGS=TRUE&amp;VAR:ID1=221353&amp;VAR:RCODE=STLD&amp;VAR:SDATE=20080999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491__FDSAUDITLINK__" hidden="1">{"fdsup://IBCentral/FAT Viewer?action=UPDATE&amp;creator=factset&amp;DOC_NAME=fat:reuters_qtrly_source_window.fat&amp;display_string=Audit&amp;DYN_ARGS=TRUE&amp;VAR:ID1=221353&amp;VAR:RCODE=STLD&amp;VAR:SDATE=20080999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492__FDSAUDITLINK__" localSheetId="8" hidden="1">{"fdsup://IBCentral/FAT Viewer?action=UPDATE&amp;creator=factset&amp;DOC_NAME=fat:reuters_qtrly_source_window.fat&amp;display_string=Audit&amp;DYN_ARGS=TRUE&amp;VAR:ID1=221353&amp;VAR:RCODE=SCSI&amp;VAR:SDATE=20080999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492__FDSAUDITLINK__" hidden="1">{"fdsup://IBCentral/FAT Viewer?action=UPDATE&amp;creator=factset&amp;DOC_NAME=fat:reuters_qtrly_source_window.fat&amp;display_string=Audit&amp;DYN_ARGS=TRUE&amp;VAR:ID1=221353&amp;VAR:RCODE=SCSI&amp;VAR:SDATE=20080999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493__FDSAUDITLINK__" localSheetId="8" hidden="1">{"fdsup://IBCentral/FAT Viewer?action=UPDATE&amp;creator=factset&amp;DOC_NAME=fat:reuters_annual_source_window.fat&amp;display_string=Audit&amp;DYN_ARGS=TRUE&amp;VAR:ID1=221353&amp;VAR:RCODE=FDSPFDSTKTOTAL&amp;VAR:SDATE=20071299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493__FDSAUDITLINK__" hidden="1">{"fdsup://IBCentral/FAT Viewer?action=UPDATE&amp;creator=factset&amp;DOC_NAME=fat:reuters_annual_source_window.fat&amp;display_string=Audit&amp;DYN_ARGS=TRUE&amp;VAR:ID1=221353&amp;VAR:RCODE=FDSPFDSTKTOTAL&amp;VAR:SDATE=20071299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494__FDSAUDITLINK__" localSheetId="8" hidden="1">{"fdsup://IBCentral/FAT Viewer?action=UPDATE&amp;creator=factset&amp;DOC_NAME=fat:reuters_qtrly_source_window.fat&amp;display_string=Audit&amp;DYN_ARGS=TRUE&amp;VAR:ID1=221353&amp;VAR:RCODE=AEQI&amp;VAR:SDATE=20080999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494__FDSAUDITLINK__" hidden="1">{"fdsup://IBCentral/FAT Viewer?action=UPDATE&amp;creator=factset&amp;DOC_NAME=fat:reuters_qtrly_source_window.fat&amp;display_string=Audit&amp;DYN_ARGS=TRUE&amp;VAR:ID1=221353&amp;VAR:RCODE=AEQI&amp;VAR:SDATE=20080999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495__FDSAUDITLINK__" localSheetId="8" hidden="1">{"fdsup://IBCentral/FAT Viewer?action=UPDATE&amp;creator=factset&amp;DOC_NAME=fat:reuters_qtrly_source_window.fat&amp;display_string=Audit&amp;DYN_ARGS=TRUE&amp;VAR:ID1=221353&amp;VAR:RCODE=LMIN&amp;VAR:SDATE=20080999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495__FDSAUDITLINK__" hidden="1">{"fdsup://IBCentral/FAT Viewer?action=UPDATE&amp;creator=factset&amp;DOC_NAME=fat:reuters_qtrly_source_window.fat&amp;display_string=Audit&amp;DYN_ARGS=TRUE&amp;VAR:ID1=221353&amp;VAR:RCODE=LMIN&amp;VAR:SDATE=20080999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496__FDSAUDITLINK__" localSheetId="8" hidden="1">{"fdsup://IBCentral/FAT Viewer?action=UPDATE&amp;creator=factset&amp;DOC_NAME=fat:reuters_qtrly_source_window.fat&amp;display_string=Audit&amp;DYN_ARGS=TRUE&amp;VAR:ID1=221353&amp;VAR:RCODE=STLD&amp;VAR:SDATE=20080999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496__FDSAUDITLINK__" hidden="1">{"fdsup://IBCentral/FAT Viewer?action=UPDATE&amp;creator=factset&amp;DOC_NAME=fat:reuters_qtrly_source_window.fat&amp;display_string=Audit&amp;DYN_ARGS=TRUE&amp;VAR:ID1=221353&amp;VAR:RCODE=STLD&amp;VAR:SDATE=20080999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497__FDSAUDITLINK__" localSheetId="8" hidden="1">{"fdsup://IBCentral/FAT Viewer?action=UPDATE&amp;creator=factset&amp;DOC_NAME=fat:reuters_qtrly_source_window.fat&amp;display_string=Audit&amp;DYN_ARGS=TRUE&amp;VAR:ID1=221353&amp;VAR:RCODE=SCSI&amp;VAR:SDATE=20080999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497__FDSAUDITLINK__" hidden="1">{"fdsup://IBCentral/FAT Viewer?action=UPDATE&amp;creator=factset&amp;DOC_NAME=fat:reuters_qtrly_source_window.fat&amp;display_string=Audit&amp;DYN_ARGS=TRUE&amp;VAR:ID1=221353&amp;VAR:RCODE=SCSI&amp;VAR:SDATE=20080999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498__FDSAUDITLINK__" localSheetId="8" hidden="1">{"fdsup://IBCentral/FAT Viewer?action=UPDATE&amp;creator=factset&amp;DOC_NAME=fat:reuters_annual_source_window.fat&amp;display_string=Audit&amp;DYN_ARGS=TRUE&amp;VAR:ID1=221353&amp;VAR:RCODE=FDSPFDSTKTOTAL&amp;VAR:SDATE=20071299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498__FDSAUDITLINK__" hidden="1">{"fdsup://IBCentral/FAT Viewer?action=UPDATE&amp;creator=factset&amp;DOC_NAME=fat:reuters_annual_source_window.fat&amp;display_string=Audit&amp;DYN_ARGS=TRUE&amp;VAR:ID1=221353&amp;VAR:RCODE=FDSPFDSTKTOTAL&amp;VAR:SDATE=20071299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499__FDSAUDITLINK__" localSheetId="8" hidden="1">{"fdsup://IBCentral/FAT Viewer?action=UPDATE&amp;creator=factset&amp;DOC_NAME=fat:reuters_qtrly_source_window.fat&amp;display_string=Audit&amp;DYN_ARGS=TRUE&amp;VAR:ID1=221353&amp;VAR:RCODE=AEQI&amp;VAR:SDATE=20080999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499__FDSAUDITLINK__" hidden="1">{"fdsup://IBCentral/FAT Viewer?action=UPDATE&amp;creator=factset&amp;DOC_NAME=fat:reuters_qtrly_source_window.fat&amp;display_string=Audit&amp;DYN_ARGS=TRUE&amp;VAR:ID1=221353&amp;VAR:RCODE=AEQI&amp;VAR:SDATE=20080999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5__123Graph_ACHART_1" hidden="1">#N/A</definedName>
    <definedName name="_15__123Graph_ACHART_25" localSheetId="8" hidden="1">#REF!</definedName>
    <definedName name="_15__123Graph_ACHART_25" hidden="1">#REF!</definedName>
    <definedName name="_15__123Graph_ACHART_4" hidden="1">#REF!</definedName>
    <definedName name="_15__123Graph_ACHART_7" hidden="1">#REF!</definedName>
    <definedName name="_15__123Graph_BCHART_1" hidden="1">#REF!</definedName>
    <definedName name="_15__123Graph_BCHART_5" localSheetId="8" hidden="1">#REF!</definedName>
    <definedName name="_15__123Graph_BCHART_5" hidden="1">#REF!</definedName>
    <definedName name="_15__123Graph_BCHART_7" localSheetId="8" hidden="1">#REF!</definedName>
    <definedName name="_15__123Graph_BCHART_7" hidden="1">#REF!</definedName>
    <definedName name="_15__123Graph_BCHART_8" hidden="1">#REF!</definedName>
    <definedName name="_15__123Graph_BGRAFICO_3" localSheetId="8" hidden="1">#REF!</definedName>
    <definedName name="_15__123Graph_BGRAFICO_3" hidden="1">#REF!</definedName>
    <definedName name="_15__123Graph_CCHART_7" hidden="1">#REF!</definedName>
    <definedName name="_15__123Graph_LBL_ACHART_2" hidden="1">#REF!</definedName>
    <definedName name="_15__123Graph_LBL_ACHART_5" hidden="1">#REF!</definedName>
    <definedName name="_15__123Graph_LBL_BGRAFICO_20" hidden="1">#REF!</definedName>
    <definedName name="_15__123Graph_LBL_DGRAFICO_20" hidden="1">#REF!</definedName>
    <definedName name="_15__123Graph_LBL_EGRAFICO_20" hidden="1">#REF!</definedName>
    <definedName name="_15__123Graph_XNG_CONFRONT_INC" hidden="1">#REF!</definedName>
    <definedName name="_15__FDSAUDITLINK__" localSheetId="8" hidden="1">{"fdsup://directions/FAT Viewer?action=UPDATE&amp;creator=factset&amp;DYN_ARGS=TRUE&amp;DOC_NAME=FAT:FQL_AUDITING_CLIENT_TEMPLATE.FAT&amp;display_string=Audit&amp;VAR:KEY=GFAZGNAFAX&amp;VAR:QUERY=RkZfRUJJVF9JQihBTk4sMzgzNTIsLCwsRVVSKQ==&amp;WINDOW=FIRST_POPUP&amp;HEIGHT=450&amp;WIDTH=450&amp;STAR","T_MAXIMIZED=FALSE&amp;VAR:CALENDAR=FIVEDAY&amp;VAR:SYMBOL=591344&amp;VAR:INDEX=0"}</definedName>
    <definedName name="_15__FDSAUDITLINK__" hidden="1">{"fdsup://directions/FAT Viewer?action=UPDATE&amp;creator=factset&amp;DYN_ARGS=TRUE&amp;DOC_NAME=FAT:FQL_AUDITING_CLIENT_TEMPLATE.FAT&amp;display_string=Audit&amp;VAR:KEY=CNUVSNYZEZ&amp;VAR:QUERY=RkZfU0FMRVMoQ0FMLDIwMTEp&amp;WINDOW=FIRST_POPUP&amp;HEIGHT=450&amp;WIDTH=450&amp;START_MAXIMIZED=FALS","E&amp;VAR:CALENDAR=US&amp;VAR:SYMBOL=MCEM&amp;VAR:INDEX=0"}</definedName>
    <definedName name="_15__FDSAUDITLINK___1" localSheetId="8" hidden="1">{"fdsup://directions/FAT Viewer?action=UPDATE&amp;creator=factset&amp;DYN_ARGS=TRUE&amp;DOC_NAME=FAT:FQL_AUDITING_CLIENT_TEMPLATE.FAT&amp;display_string=Audit&amp;VAR:KEY=GFAZGNAFAX&amp;VAR:QUERY=RkZfRUJJVF9JQihBTk4sMzgzNTIsLCwsRVVSKQ==&amp;WINDOW=FIRST_POPUP&amp;HEIGHT=450&amp;WIDTH=450&amp;STAR","T_MAXIMIZED=FALSE&amp;VAR:CALENDAR=FIVEDAY&amp;VAR:SYMBOL=591344&amp;VAR:INDEX=0"}</definedName>
    <definedName name="_15__FDSAUDITLINK___1" hidden="1">{"fdsup://directions/FAT Viewer?action=UPDATE&amp;creator=factset&amp;DYN_ARGS=TRUE&amp;DOC_NAME=FAT:FQL_AUDITING_CLIENT_TEMPLATE.FAT&amp;display_string=Audit&amp;VAR:KEY=GFAZGNAFAX&amp;VAR:QUERY=RkZfRUJJVF9JQihBTk4sMzgzNTIsLCwsRVVSKQ==&amp;WINDOW=FIRST_POPUP&amp;HEIGHT=450&amp;WIDTH=450&amp;STAR","T_MAXIMIZED=FALSE&amp;VAR:CALENDAR=FIVEDAY&amp;VAR:SYMBOL=591344&amp;VAR:INDEX=0"}</definedName>
    <definedName name="_15_123Graph_XB94S" hidden="1">#REF!</definedName>
    <definedName name="_150__FDSAUDITLINK__" localSheetId="8" hidden="1">{"fdsup://directions/FAT Viewer?action=UPDATE&amp;creator=factset&amp;DYN_ARGS=TRUE&amp;DOC_NAME=FAT:FQL_AUDITING_CLIENT_TEMPLATE.FAT&amp;display_string=Audit&amp;VAR:KEY=XIDQNGPYHK&amp;VAR:QUERY=RkZfRUJJVF9JQignQU5OJywzNTA2NCwsLCwnR0JQJyk=&amp;WINDOW=FIRST_POPUP&amp;HEIGHT=450&amp;WIDTH=450&amp;","START_MAXIMIZED=FALSE&amp;VAR:CALENDAR=FIVEDAY&amp;VAR:SYMBOL=075902&amp;VAR:INDEX=0"}</definedName>
    <definedName name="_150__FDSAUDITLINK__" hidden="1">{"fdsup://directions/FAT Viewer?action=UPDATE&amp;creator=factset&amp;DYN_ARGS=TRUE&amp;DOC_NAME=FAT:FQL_AUDITING_CLIENT_TEMPLATE.FAT&amp;display_string=Audit&amp;VAR:KEY=DMLYTOPSBE&amp;VAR:QUERY=RkZfTkVUX0lOQyhDQUwsMjAwOSk=&amp;WINDOW=FIRST_POPUP&amp;HEIGHT=450&amp;WIDTH=450&amp;START_MAXIMIZED=","FALSE&amp;VAR:CALENDAR=US&amp;VAR:SYMBOL=450270&amp;VAR:INDEX=0"}</definedName>
    <definedName name="_150__FDSAUDITLINK___1" localSheetId="8" hidden="1">{"fdsup://directions/FAT Viewer?action=UPDATE&amp;creator=factset&amp;DYN_ARGS=TRUE&amp;DOC_NAME=FAT:FQL_AUDITING_CLIENT_TEMPLATE.FAT&amp;display_string=Audit&amp;VAR:KEY=XIDQNGPYHK&amp;VAR:QUERY=RkZfRUJJVF9JQignQU5OJywzNTA2NCwsLCwnR0JQJyk=&amp;WINDOW=FIRST_POPUP&amp;HEIGHT=450&amp;WIDTH=450&amp;","START_MAXIMIZED=FALSE&amp;VAR:CALENDAR=FIVEDAY&amp;VAR:SYMBOL=075902&amp;VAR:INDEX=0"}</definedName>
    <definedName name="_150__FDSAUDITLINK___1" hidden="1">{"fdsup://directions/FAT Viewer?action=UPDATE&amp;creator=factset&amp;DYN_ARGS=TRUE&amp;DOC_NAME=FAT:FQL_AUDITING_CLIENT_TEMPLATE.FAT&amp;display_string=Audit&amp;VAR:KEY=XIDQNGPYHK&amp;VAR:QUERY=RkZfRUJJVF9JQignQU5OJywzNTA2NCwsLCwnR0JQJyk=&amp;WINDOW=FIRST_POPUP&amp;HEIGHT=450&amp;WIDTH=450&amp;","START_MAXIMIZED=FALSE&amp;VAR:CALENDAR=FIVEDAY&amp;VAR:SYMBOL=075902&amp;VAR:INDEX=0"}</definedName>
    <definedName name="_1500__FDSAUDITLINK__" localSheetId="8" hidden="1">{"fdsup://IBCentral/FAT Viewer?action=UPDATE&amp;creator=factset&amp;DOC_NAME=fat:reuters_qtrly_source_window.fat&amp;display_string=Audit&amp;DYN_ARGS=TRUE&amp;VAR:ID1=221353&amp;VAR:RCODE=LMIN&amp;VAR:SDATE=20080999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500__FDSAUDITLINK__" hidden="1">{"fdsup://IBCentral/FAT Viewer?action=UPDATE&amp;creator=factset&amp;DOC_NAME=fat:reuters_qtrly_source_window.fat&amp;display_string=Audit&amp;DYN_ARGS=TRUE&amp;VAR:ID1=221353&amp;VAR:RCODE=LMIN&amp;VAR:SDATE=20080999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501__FDSAUDITLINK__" localSheetId="8" hidden="1">{"fdsup://IBCentral/FAT Viewer?action=UPDATE&amp;creator=factset&amp;DOC_NAME=fat:reuters_qtrly_source_window.fat&amp;display_string=Audit&amp;DYN_ARGS=TRUE&amp;VAR:ID1=221353&amp;VAR:RCODE=STLD&amp;VAR:SDATE=20080999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501__FDSAUDITLINK__" hidden="1">{"fdsup://IBCentral/FAT Viewer?action=UPDATE&amp;creator=factset&amp;DOC_NAME=fat:reuters_qtrly_source_window.fat&amp;display_string=Audit&amp;DYN_ARGS=TRUE&amp;VAR:ID1=221353&amp;VAR:RCODE=STLD&amp;VAR:SDATE=20080999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502__FDSAUDITLINK__" localSheetId="8" hidden="1">{"fdsup://IBCentral/FAT Viewer?action=UPDATE&amp;creator=factset&amp;DOC_NAME=fat:reuters_qtrly_source_window.fat&amp;display_string=Audit&amp;DYN_ARGS=TRUE&amp;VAR:ID1=221353&amp;VAR:RCODE=SCSI&amp;VAR:SDATE=20080999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502__FDSAUDITLINK__" hidden="1">{"fdsup://IBCentral/FAT Viewer?action=UPDATE&amp;creator=factset&amp;DOC_NAME=fat:reuters_qtrly_source_window.fat&amp;display_string=Audit&amp;DYN_ARGS=TRUE&amp;VAR:ID1=221353&amp;VAR:RCODE=SCSI&amp;VAR:SDATE=20080999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503__FDSAUDITLINK__" localSheetId="8" hidden="1">{"fdsup://IBCentral/FAT Viewer?action=UPDATE&amp;creator=factset&amp;DOC_NAME=fat:reuters_annual_source_window.fat&amp;display_string=Audit&amp;DYN_ARGS=TRUE&amp;VAR:ID1=221353&amp;VAR:RCODE=FDSPFDSTKTOTAL&amp;VAR:SDATE=20071299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503__FDSAUDITLINK__" hidden="1">{"fdsup://IBCentral/FAT Viewer?action=UPDATE&amp;creator=factset&amp;DOC_NAME=fat:reuters_annual_source_window.fat&amp;display_string=Audit&amp;DYN_ARGS=TRUE&amp;VAR:ID1=221353&amp;VAR:RCODE=FDSPFDSTKTOTAL&amp;VAR:SDATE=20071299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504__FDSAUDITLINK__" localSheetId="8" hidden="1">{"fdsup://IBCentral/FAT Viewer?action=UPDATE&amp;creator=factset&amp;DOC_NAME=fat:reuters_qtrly_source_window.fat&amp;display_string=Audit&amp;DYN_ARGS=TRUE&amp;VAR:ID1=221353&amp;VAR:RCODE=AEQI&amp;VAR:SDATE=20080999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504__FDSAUDITLINK__" hidden="1">{"fdsup://IBCentral/FAT Viewer?action=UPDATE&amp;creator=factset&amp;DOC_NAME=fat:reuters_qtrly_source_window.fat&amp;display_string=Audit&amp;DYN_ARGS=TRUE&amp;VAR:ID1=221353&amp;VAR:RCODE=AEQI&amp;VAR:SDATE=20080999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505__FDSAUDITLINK__" localSheetId="8" hidden="1">{"fdsup://IBCentral/FAT Viewer?action=UPDATE&amp;creator=factset&amp;DOC_NAME=fat:reuters_qtrly_source_window.fat&amp;display_string=Audit&amp;DYN_ARGS=TRUE&amp;VAR:ID1=221353&amp;VAR:RCODE=LMIN&amp;VAR:SDATE=20080999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505__FDSAUDITLINK__" hidden="1">{"fdsup://IBCentral/FAT Viewer?action=UPDATE&amp;creator=factset&amp;DOC_NAME=fat:reuters_qtrly_source_window.fat&amp;display_string=Audit&amp;DYN_ARGS=TRUE&amp;VAR:ID1=221353&amp;VAR:RCODE=LMIN&amp;VAR:SDATE=20080999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506__FDSAUDITLINK__" localSheetId="8" hidden="1">{"fdsup://IBCentral/FAT Viewer?action=UPDATE&amp;creator=factset&amp;DOC_NAME=fat:reuters_qtrly_source_window.fat&amp;display_string=Audit&amp;DYN_ARGS=TRUE&amp;VAR:ID1=221353&amp;VAR:RCODE=STLD&amp;VAR:SDATE=20080999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506__FDSAUDITLINK__" hidden="1">{"fdsup://IBCentral/FAT Viewer?action=UPDATE&amp;creator=factset&amp;DOC_NAME=fat:reuters_qtrly_source_window.fat&amp;display_string=Audit&amp;DYN_ARGS=TRUE&amp;VAR:ID1=221353&amp;VAR:RCODE=STLD&amp;VAR:SDATE=20080999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507__FDSAUDITLINK__" localSheetId="8" hidden="1">{"fdsup://IBCentral/FAT Viewer?action=UPDATE&amp;creator=factset&amp;DOC_NAME=fat:reuters_qtrly_source_window.fat&amp;display_string=Audit&amp;DYN_ARGS=TRUE&amp;VAR:ID1=221353&amp;VAR:RCODE=SCSI&amp;VAR:SDATE=20080999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507__FDSAUDITLINK__" hidden="1">{"fdsup://IBCentral/FAT Viewer?action=UPDATE&amp;creator=factset&amp;DOC_NAME=fat:reuters_qtrly_source_window.fat&amp;display_string=Audit&amp;DYN_ARGS=TRUE&amp;VAR:ID1=221353&amp;VAR:RCODE=SCSI&amp;VAR:SDATE=20080999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508__FDSAUDITLINK__" localSheetId="8" hidden="1">{"fdsup://IBCentral/FAT Viewer?action=UPDATE&amp;creator=factset&amp;DOC_NAME=fat:reuters_annual_source_window.fat&amp;display_string=Audit&amp;DYN_ARGS=TRUE&amp;VAR:ID1=221353&amp;VAR:RCODE=FDSPFDSTKTOTAL&amp;VAR:SDATE=20071299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508__FDSAUDITLINK__" hidden="1">{"fdsup://IBCentral/FAT Viewer?action=UPDATE&amp;creator=factset&amp;DOC_NAME=fat:reuters_annual_source_window.fat&amp;display_string=Audit&amp;DYN_ARGS=TRUE&amp;VAR:ID1=221353&amp;VAR:RCODE=FDSPFDSTKTOTAL&amp;VAR:SDATE=20071299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509__FDSAUDITLINK__" localSheetId="8" hidden="1">{"fdsup://IBCentral/FAT Viewer?action=UPDATE&amp;creator=factset&amp;DOC_NAME=fat:reuters_qtrly_source_window.fat&amp;display_string=Audit&amp;DYN_ARGS=TRUE&amp;VAR:ID1=221353&amp;VAR:RCODE=AEQI&amp;VAR:SDATE=20080999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509__FDSAUDITLINK__" hidden="1">{"fdsup://IBCentral/FAT Viewer?action=UPDATE&amp;creator=factset&amp;DOC_NAME=fat:reuters_qtrly_source_window.fat&amp;display_string=Audit&amp;DYN_ARGS=TRUE&amp;VAR:ID1=221353&amp;VAR:RCODE=AEQI&amp;VAR:SDATE=20080999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51__123Graph_LBL_BCHART_19" hidden="1">#REF!</definedName>
    <definedName name="_151__FDSAUDITLINK__" localSheetId="8" hidden="1">{"fdsup://directions/FAT Viewer?action=UPDATE&amp;creator=factset&amp;DYN_ARGS=TRUE&amp;DOC_NAME=FAT:FQL_AUDITING_CLIENT_TEMPLATE.FAT&amp;display_string=Audit&amp;VAR:KEY=TYXWNIPADY&amp;VAR:QUERY=RkZfRUJJVF9JQignQU5OJywzNDY5OSwsLCwnR0JQJyk=&amp;WINDOW=FIRST_POPUP&amp;HEIGHT=450&amp;WIDTH=450&amp;","START_MAXIMIZED=FALSE&amp;VAR:CALENDAR=FIVEDAY&amp;VAR:SYMBOL=075902&amp;VAR:INDEX=0"}</definedName>
    <definedName name="_151__FDSAUDITLINK__" hidden="1">{"fdsup://directions/FAT Viewer?action=UPDATE&amp;creator=factset&amp;DYN_ARGS=TRUE&amp;DOC_NAME=FAT:FQL_AUDITING_CLIENT_TEMPLATE.FAT&amp;display_string=Audit&amp;VAR:KEY=AXKHAVGBIP&amp;VAR:QUERY=RkZfTkVUX0lOQyhDQUwsMjAwOSk=&amp;WINDOW=FIRST_POPUP&amp;HEIGHT=450&amp;WIDTH=450&amp;START_MAXIMIZED=","FALSE&amp;VAR:CALENDAR=US&amp;VAR:SYMBOL=BLDR&amp;VAR:INDEX=0"}</definedName>
    <definedName name="_151__FDSAUDITLINK___1" localSheetId="8" hidden="1">{"fdsup://directions/FAT Viewer?action=UPDATE&amp;creator=factset&amp;DYN_ARGS=TRUE&amp;DOC_NAME=FAT:FQL_AUDITING_CLIENT_TEMPLATE.FAT&amp;display_string=Audit&amp;VAR:KEY=TYXWNIPADY&amp;VAR:QUERY=RkZfRUJJVF9JQignQU5OJywzNDY5OSwsLCwnR0JQJyk=&amp;WINDOW=FIRST_POPUP&amp;HEIGHT=450&amp;WIDTH=450&amp;","START_MAXIMIZED=FALSE&amp;VAR:CALENDAR=FIVEDAY&amp;VAR:SYMBOL=075902&amp;VAR:INDEX=0"}</definedName>
    <definedName name="_151__FDSAUDITLINK___1" hidden="1">{"fdsup://directions/FAT Viewer?action=UPDATE&amp;creator=factset&amp;DYN_ARGS=TRUE&amp;DOC_NAME=FAT:FQL_AUDITING_CLIENT_TEMPLATE.FAT&amp;display_string=Audit&amp;VAR:KEY=TYXWNIPADY&amp;VAR:QUERY=RkZfRUJJVF9JQignQU5OJywzNDY5OSwsLCwnR0JQJyk=&amp;WINDOW=FIRST_POPUP&amp;HEIGHT=450&amp;WIDTH=450&amp;","START_MAXIMIZED=FALSE&amp;VAR:CALENDAR=FIVEDAY&amp;VAR:SYMBOL=075902&amp;VAR:INDEX=0"}</definedName>
    <definedName name="_1510__FDSAUDITLINK__" localSheetId="8" hidden="1">{"fdsup://IBCentral/FAT Viewer?action=UPDATE&amp;creator=factset&amp;DOC_NAME=fat:reuters_qtrly_source_window.fat&amp;display_string=Audit&amp;DYN_ARGS=TRUE&amp;VAR:ID1=221353&amp;VAR:RCODE=LMIN&amp;VAR:SDATE=20080999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510__FDSAUDITLINK__" hidden="1">{"fdsup://IBCentral/FAT Viewer?action=UPDATE&amp;creator=factset&amp;DOC_NAME=fat:reuters_qtrly_source_window.fat&amp;display_string=Audit&amp;DYN_ARGS=TRUE&amp;VAR:ID1=221353&amp;VAR:RCODE=LMIN&amp;VAR:SDATE=20080999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511__FDSAUDITLINK__" localSheetId="8" hidden="1">{"fdsup://IBCentral/FAT Viewer?action=UPDATE&amp;creator=factset&amp;DOC_NAME=fat:reuters_qtrly_source_window.fat&amp;display_string=Audit&amp;DYN_ARGS=TRUE&amp;VAR:ID1=221353&amp;VAR:RCODE=STLD&amp;VAR:SDATE=20080999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511__FDSAUDITLINK__" hidden="1">{"fdsup://IBCentral/FAT Viewer?action=UPDATE&amp;creator=factset&amp;DOC_NAME=fat:reuters_qtrly_source_window.fat&amp;display_string=Audit&amp;DYN_ARGS=TRUE&amp;VAR:ID1=221353&amp;VAR:RCODE=STLD&amp;VAR:SDATE=20080999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512__FDSAUDITLINK__" localSheetId="8" hidden="1">{"fdsup://IBCentral/FAT Viewer?action=UPDATE&amp;creator=factset&amp;DOC_NAME=fat:reuters_qtrly_source_window.fat&amp;display_string=Audit&amp;DYN_ARGS=TRUE&amp;VAR:ID1=221353&amp;VAR:RCODE=SCSI&amp;VAR:SDATE=20080999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512__FDSAUDITLINK__" hidden="1">{"fdsup://IBCentral/FAT Viewer?action=UPDATE&amp;creator=factset&amp;DOC_NAME=fat:reuters_qtrly_source_window.fat&amp;display_string=Audit&amp;DYN_ARGS=TRUE&amp;VAR:ID1=221353&amp;VAR:RCODE=SCSI&amp;VAR:SDATE=20080999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513__FDSAUDITLINK__" localSheetId="8" hidden="1">{"fdsup://IBCentral/FAT Viewer?action=UPDATE&amp;creator=factset&amp;DOC_NAME=fat:reuters_annual_source_window.fat&amp;display_string=Audit&amp;DYN_ARGS=TRUE&amp;VAR:ID1=221353&amp;VAR:RCODE=FDSPFDSTKTOTAL&amp;VAR:SDATE=20071299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513__FDSAUDITLINK__" hidden="1">{"fdsup://IBCentral/FAT Viewer?action=UPDATE&amp;creator=factset&amp;DOC_NAME=fat:reuters_annual_source_window.fat&amp;display_string=Audit&amp;DYN_ARGS=TRUE&amp;VAR:ID1=221353&amp;VAR:RCODE=FDSPFDSTKTOTAL&amp;VAR:SDATE=20071299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514__FDSAUDITLINK__" localSheetId="8" hidden="1">{"fdsup://IBCentral/FAT Viewer?action=UPDATE&amp;creator=factset&amp;DOC_NAME=fat:reuters_qtrly_source_window.fat&amp;display_string=Audit&amp;DYN_ARGS=TRUE&amp;VAR:ID1=221353&amp;VAR:RCODE=AEQI&amp;VAR:SDATE=20080999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514__FDSAUDITLINK__" hidden="1">{"fdsup://IBCentral/FAT Viewer?action=UPDATE&amp;creator=factset&amp;DOC_NAME=fat:reuters_qtrly_source_window.fat&amp;display_string=Audit&amp;DYN_ARGS=TRUE&amp;VAR:ID1=221353&amp;VAR:RCODE=AEQI&amp;VAR:SDATE=20080999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515__FDSAUDITLINK__" localSheetId="8" hidden="1">{"fdsup://IBCentral/FAT Viewer?action=UPDATE&amp;creator=factset&amp;DOC_NAME=fat:reuters_qtrly_source_window.fat&amp;display_string=Audit&amp;DYN_ARGS=TRUE&amp;VAR:ID1=221353&amp;VAR:RCODE=LMIN&amp;VAR:SDATE=20080999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515__FDSAUDITLINK__" hidden="1">{"fdsup://IBCentral/FAT Viewer?action=UPDATE&amp;creator=factset&amp;DOC_NAME=fat:reuters_qtrly_source_window.fat&amp;display_string=Audit&amp;DYN_ARGS=TRUE&amp;VAR:ID1=221353&amp;VAR:RCODE=LMIN&amp;VAR:SDATE=20080999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516__FDSAUDITLINK__" localSheetId="8" hidden="1">{"fdsup://IBCentral/FAT Viewer?action=UPDATE&amp;creator=factset&amp;DOC_NAME=fat:reuters_qtrly_source_window.fat&amp;display_string=Audit&amp;DYN_ARGS=TRUE&amp;VAR:ID1=221353&amp;VAR:RCODE=STLD&amp;VAR:SDATE=20080999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516__FDSAUDITLINK__" hidden="1">{"fdsup://IBCentral/FAT Viewer?action=UPDATE&amp;creator=factset&amp;DOC_NAME=fat:reuters_qtrly_source_window.fat&amp;display_string=Audit&amp;DYN_ARGS=TRUE&amp;VAR:ID1=221353&amp;VAR:RCODE=STLD&amp;VAR:SDATE=20080999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517__FDSAUDITLINK__" localSheetId="8" hidden="1">{"fdsup://IBCentral/FAT Viewer?action=UPDATE&amp;creator=factset&amp;DOC_NAME=fat:reuters_qtrly_source_window.fat&amp;display_string=Audit&amp;DYN_ARGS=TRUE&amp;VAR:ID1=221353&amp;VAR:RCODE=SCSI&amp;VAR:SDATE=20080999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517__FDSAUDITLINK__" hidden="1">{"fdsup://IBCentral/FAT Viewer?action=UPDATE&amp;creator=factset&amp;DOC_NAME=fat:reuters_qtrly_source_window.fat&amp;display_string=Audit&amp;DYN_ARGS=TRUE&amp;VAR:ID1=221353&amp;VAR:RCODE=SCSI&amp;VAR:SDATE=20080999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518__FDSAUDITLINK__" localSheetId="8" hidden="1">{"fdsup://IBCentral/FAT Viewer?action=UPDATE&amp;creator=factset&amp;DOC_NAME=fat:reuters_annual_source_window.fat&amp;display_string=Audit&amp;DYN_ARGS=TRUE&amp;VAR:ID1=221353&amp;VAR:RCODE=FDSPFDSTKTOTAL&amp;VAR:SDATE=20071299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518__FDSAUDITLINK__" hidden="1">{"fdsup://IBCentral/FAT Viewer?action=UPDATE&amp;creator=factset&amp;DOC_NAME=fat:reuters_annual_source_window.fat&amp;display_string=Audit&amp;DYN_ARGS=TRUE&amp;VAR:ID1=221353&amp;VAR:RCODE=FDSPFDSTKTOTAL&amp;VAR:SDATE=20071299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519__FDSAUDITLINK__" localSheetId="8" hidden="1">{"fdsup://IBCentral/FAT Viewer?action=UPDATE&amp;creator=factset&amp;DOC_NAME=fat:reuters_qtrly_source_window.fat&amp;display_string=Audit&amp;DYN_ARGS=TRUE&amp;VAR:ID1=221353&amp;VAR:RCODE=AEQI&amp;VAR:SDATE=20080999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519__FDSAUDITLINK__" hidden="1">{"fdsup://IBCentral/FAT Viewer?action=UPDATE&amp;creator=factset&amp;DOC_NAME=fat:reuters_qtrly_source_window.fat&amp;display_string=Audit&amp;DYN_ARGS=TRUE&amp;VAR:ID1=221353&amp;VAR:RCODE=AEQI&amp;VAR:SDATE=20080999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52__123Graph_LBL_BCHART_2" hidden="1">#REF!</definedName>
    <definedName name="_152__FDSAUDITLINK__" localSheetId="8" hidden="1">{"fdsup://directions/FAT Viewer?action=UPDATE&amp;creator=factset&amp;DYN_ARGS=TRUE&amp;DOC_NAME=FAT:FQL_AUDITING_CLIENT_TEMPLATE.FAT&amp;display_string=Audit&amp;VAR:KEY=XGBYJUJGZU&amp;VAR:QUERY=RkZfRUJJVF9JQignQU5OJywzNDMzNCwsLCwnR0JQJyk=&amp;WINDOW=FIRST_POPUP&amp;HEIGHT=450&amp;WIDTH=450&amp;","START_MAXIMIZED=FALSE&amp;VAR:CALENDAR=FIVEDAY&amp;VAR:SYMBOL=075902&amp;VAR:INDEX=0"}</definedName>
    <definedName name="_152__FDSAUDITLINK__" hidden="1">{"fdsup://directions/FAT Viewer?action=UPDATE&amp;creator=factset&amp;DYN_ARGS=TRUE&amp;DOC_NAME=FAT:FQL_AUDITING_CLIENT_TEMPLATE.FAT&amp;display_string=Audit&amp;VAR:KEY=SXYNIBYPWN&amp;VAR:QUERY=RkZfTkVUX0lOQyhDQUwsMjAwOSk=&amp;WINDOW=FIRST_POPUP&amp;HEIGHT=450&amp;WIDTH=450&amp;START_MAXIMIZED=","FALSE&amp;VAR:CALENDAR=US&amp;VAR:SYMBOL=VMC&amp;VAR:INDEX=0"}</definedName>
    <definedName name="_152__FDSAUDITLINK___1" localSheetId="8" hidden="1">{"fdsup://directions/FAT Viewer?action=UPDATE&amp;creator=factset&amp;DYN_ARGS=TRUE&amp;DOC_NAME=FAT:FQL_AUDITING_CLIENT_TEMPLATE.FAT&amp;display_string=Audit&amp;VAR:KEY=XGBYJUJGZU&amp;VAR:QUERY=RkZfRUJJVF9JQignQU5OJywzNDMzNCwsLCwnR0JQJyk=&amp;WINDOW=FIRST_POPUP&amp;HEIGHT=450&amp;WIDTH=450&amp;","START_MAXIMIZED=FALSE&amp;VAR:CALENDAR=FIVEDAY&amp;VAR:SYMBOL=075902&amp;VAR:INDEX=0"}</definedName>
    <definedName name="_152__FDSAUDITLINK___1" hidden="1">{"fdsup://directions/FAT Viewer?action=UPDATE&amp;creator=factset&amp;DYN_ARGS=TRUE&amp;DOC_NAME=FAT:FQL_AUDITING_CLIENT_TEMPLATE.FAT&amp;display_string=Audit&amp;VAR:KEY=XGBYJUJGZU&amp;VAR:QUERY=RkZfRUJJVF9JQignQU5OJywzNDMzNCwsLCwnR0JQJyk=&amp;WINDOW=FIRST_POPUP&amp;HEIGHT=450&amp;WIDTH=450&amp;","START_MAXIMIZED=FALSE&amp;VAR:CALENDAR=FIVEDAY&amp;VAR:SYMBOL=075902&amp;VAR:INDEX=0"}</definedName>
    <definedName name="_1520__FDSAUDITLINK__" localSheetId="8" hidden="1">{"fdsup://IBCentral/FAT Viewer?action=UPDATE&amp;creator=factset&amp;DOC_NAME=fat:reuters_qtrly_source_window.fat&amp;display_string=Audit&amp;DYN_ARGS=TRUE&amp;VAR:ID1=221353&amp;VAR:RCODE=LMIN&amp;VAR:SDATE=20080999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520__FDSAUDITLINK__" hidden="1">{"fdsup://IBCentral/FAT Viewer?action=UPDATE&amp;creator=factset&amp;DOC_NAME=fat:reuters_qtrly_source_window.fat&amp;display_string=Audit&amp;DYN_ARGS=TRUE&amp;VAR:ID1=221353&amp;VAR:RCODE=LMIN&amp;VAR:SDATE=20080999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521__FDSAUDITLINK__" localSheetId="8" hidden="1">{"fdsup://IBCentral/FAT Viewer?action=UPDATE&amp;creator=factset&amp;DOC_NAME=fat:reuters_qtrly_source_window.fat&amp;display_string=Audit&amp;DYN_ARGS=TRUE&amp;VAR:ID1=221353&amp;VAR:RCODE=STLD&amp;VAR:SDATE=20080999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521__FDSAUDITLINK__" hidden="1">{"fdsup://IBCentral/FAT Viewer?action=UPDATE&amp;creator=factset&amp;DOC_NAME=fat:reuters_qtrly_source_window.fat&amp;display_string=Audit&amp;DYN_ARGS=TRUE&amp;VAR:ID1=221353&amp;VAR:RCODE=STLD&amp;VAR:SDATE=20080999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522__FDSAUDITLINK__" localSheetId="8" hidden="1">{"fdsup://IBCentral/FAT Viewer?action=UPDATE&amp;creator=factset&amp;DOC_NAME=fat:reuters_qtrly_source_window.fat&amp;display_string=Audit&amp;DYN_ARGS=TRUE&amp;VAR:ID1=221353&amp;VAR:RCODE=SCSI&amp;VAR:SDATE=20080999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522__FDSAUDITLINK__" hidden="1">{"fdsup://IBCentral/FAT Viewer?action=UPDATE&amp;creator=factset&amp;DOC_NAME=fat:reuters_qtrly_source_window.fat&amp;display_string=Audit&amp;DYN_ARGS=TRUE&amp;VAR:ID1=221353&amp;VAR:RCODE=SCSI&amp;VAR:SDATE=20080999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523__FDSAUDITLINK__" localSheetId="8" hidden="1">{"fdsup://IBCentral/FAT Viewer?action=UPDATE&amp;creator=factset&amp;DOC_NAME=fat:reuters_annual_source_window.fat&amp;display_string=Audit&amp;DYN_ARGS=TRUE&amp;VAR:ID1=221353&amp;VAR:RCODE=FDSPFDSTKTOTAL&amp;VAR:SDATE=20071299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523__FDSAUDITLINK__" hidden="1">{"fdsup://IBCentral/FAT Viewer?action=UPDATE&amp;creator=factset&amp;DOC_NAME=fat:reuters_annual_source_window.fat&amp;display_string=Audit&amp;DYN_ARGS=TRUE&amp;VAR:ID1=221353&amp;VAR:RCODE=FDSPFDSTKTOTAL&amp;VAR:SDATE=20071299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524__FDSAUDITLINK__" localSheetId="8" hidden="1">{"fdsup://IBCentral/FAT Viewer?action=UPDATE&amp;creator=factset&amp;DOC_NAME=fat:reuters_qtrly_source_window.fat&amp;display_string=Audit&amp;DYN_ARGS=TRUE&amp;VAR:ID1=221353&amp;VAR:RCODE=AEQI&amp;VAR:SDATE=20080999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524__FDSAUDITLINK__" hidden="1">{"fdsup://IBCentral/FAT Viewer?action=UPDATE&amp;creator=factset&amp;DOC_NAME=fat:reuters_qtrly_source_window.fat&amp;display_string=Audit&amp;DYN_ARGS=TRUE&amp;VAR:ID1=221353&amp;VAR:RCODE=AEQI&amp;VAR:SDATE=20080999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525__FDSAUDITLINK__" localSheetId="8" hidden="1">{"fdsup://IBCentral/FAT Viewer?action=UPDATE&amp;creator=factset&amp;DOC_NAME=fat:reuters_qtrly_source_window.fat&amp;display_string=Audit&amp;DYN_ARGS=TRUE&amp;VAR:ID1=221353&amp;VAR:RCODE=LMIN&amp;VAR:SDATE=20080999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525__FDSAUDITLINK__" hidden="1">{"fdsup://IBCentral/FAT Viewer?action=UPDATE&amp;creator=factset&amp;DOC_NAME=fat:reuters_qtrly_source_window.fat&amp;display_string=Audit&amp;DYN_ARGS=TRUE&amp;VAR:ID1=221353&amp;VAR:RCODE=LMIN&amp;VAR:SDATE=20080999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526__FDSAUDITLINK__" localSheetId="8" hidden="1">{"fdsup://IBCentral/FAT Viewer?action=UPDATE&amp;creator=factset&amp;DOC_NAME=fat:reuters_qtrly_source_window.fat&amp;display_string=Audit&amp;DYN_ARGS=TRUE&amp;VAR:ID1=221353&amp;VAR:RCODE=STLD&amp;VAR:SDATE=20080999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526__FDSAUDITLINK__" hidden="1">{"fdsup://IBCentral/FAT Viewer?action=UPDATE&amp;creator=factset&amp;DOC_NAME=fat:reuters_qtrly_source_window.fat&amp;display_string=Audit&amp;DYN_ARGS=TRUE&amp;VAR:ID1=221353&amp;VAR:RCODE=STLD&amp;VAR:SDATE=20080999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527__FDSAUDITLINK__" localSheetId="8" hidden="1">{"fdsup://IBCentral/FAT Viewer?action=UPDATE&amp;creator=factset&amp;DOC_NAME=fat:reuters_qtrly_source_window.fat&amp;display_string=Audit&amp;DYN_ARGS=TRUE&amp;VAR:ID1=221353&amp;VAR:RCODE=SCSI&amp;VAR:SDATE=20080999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527__FDSAUDITLINK__" hidden="1">{"fdsup://IBCentral/FAT Viewer?action=UPDATE&amp;creator=factset&amp;DOC_NAME=fat:reuters_qtrly_source_window.fat&amp;display_string=Audit&amp;DYN_ARGS=TRUE&amp;VAR:ID1=221353&amp;VAR:RCODE=SCSI&amp;VAR:SDATE=20080999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528__FDSAUDITLINK__" localSheetId="8" hidden="1">{"fdsup://IBCentral/FAT Viewer?action=UPDATE&amp;creator=factset&amp;DOC_NAME=fat:reuters_annual_source_window.fat&amp;display_string=Audit&amp;DYN_ARGS=TRUE&amp;VAR:ID1=221353&amp;VAR:RCODE=FDSPFDSTKTOTAL&amp;VAR:SDATE=20071299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528__FDSAUDITLINK__" hidden="1">{"fdsup://IBCentral/FAT Viewer?action=UPDATE&amp;creator=factset&amp;DOC_NAME=fat:reuters_annual_source_window.fat&amp;display_string=Audit&amp;DYN_ARGS=TRUE&amp;VAR:ID1=221353&amp;VAR:RCODE=FDSPFDSTKTOTAL&amp;VAR:SDATE=20071299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529__FDSAUDITLINK__" localSheetId="8" hidden="1">{"fdsup://IBCentral/FAT Viewer?action=UPDATE&amp;creator=factset&amp;DOC_NAME=fat:reuters_qtrly_source_window.fat&amp;display_string=Audit&amp;DYN_ARGS=TRUE&amp;VAR:ID1=221353&amp;VAR:RCODE=AEQI&amp;VAR:SDATE=20080999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529__FDSAUDITLINK__" hidden="1">{"fdsup://IBCentral/FAT Viewer?action=UPDATE&amp;creator=factset&amp;DOC_NAME=fat:reuters_qtrly_source_window.fat&amp;display_string=Audit&amp;DYN_ARGS=TRUE&amp;VAR:ID1=221353&amp;VAR:RCODE=AEQI&amp;VAR:SDATE=20080999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53__FDSAUDITLINK__" localSheetId="8" hidden="1">{"fdsup://directions/FAT Viewer?action=UPDATE&amp;creator=factset&amp;DYN_ARGS=TRUE&amp;DOC_NAME=FAT:FQL_AUDITING_CLIENT_TEMPLATE.FAT&amp;display_string=Audit&amp;VAR:KEY=TODMZUFGRW&amp;VAR:QUERY=RkZfRUJJVF9JQignQU5OJywzMzk2OSwsLCwnR0JQJyk=&amp;WINDOW=FIRST_POPUP&amp;HEIGHT=450&amp;WIDTH=450&amp;","START_MAXIMIZED=FALSE&amp;VAR:CALENDAR=FIVEDAY&amp;VAR:SYMBOL=075902&amp;VAR:INDEX=0"}</definedName>
    <definedName name="_153__FDSAUDITLINK__" hidden="1">{"fdsup://directions/FAT Viewer?action=UPDATE&amp;creator=factset&amp;DYN_ARGS=TRUE&amp;DOC_NAME=FAT:FQL_AUDITING_CLIENT_TEMPLATE.FAT&amp;display_string=Audit&amp;VAR:KEY=MBOHCPQFSB&amp;VAR:QUERY=RkZfTkVUX0lOQyhDQUwsMjAwOSk=&amp;WINDOW=FIRST_POPUP&amp;HEIGHT=450&amp;WIDTH=450&amp;START_MAXIMIZED=","FALSE&amp;VAR:CALENDAR=US&amp;VAR:SYMBOL=MCEM&amp;VAR:INDEX=0"}</definedName>
    <definedName name="_153__FDSAUDITLINK___1" localSheetId="8" hidden="1">{"fdsup://directions/FAT Viewer?action=UPDATE&amp;creator=factset&amp;DYN_ARGS=TRUE&amp;DOC_NAME=FAT:FQL_AUDITING_CLIENT_TEMPLATE.FAT&amp;display_string=Audit&amp;VAR:KEY=TODMZUFGRW&amp;VAR:QUERY=RkZfRUJJVF9JQignQU5OJywzMzk2OSwsLCwnR0JQJyk=&amp;WINDOW=FIRST_POPUP&amp;HEIGHT=450&amp;WIDTH=450&amp;","START_MAXIMIZED=FALSE&amp;VAR:CALENDAR=FIVEDAY&amp;VAR:SYMBOL=075902&amp;VAR:INDEX=0"}</definedName>
    <definedName name="_153__FDSAUDITLINK___1" hidden="1">{"fdsup://directions/FAT Viewer?action=UPDATE&amp;creator=factset&amp;DYN_ARGS=TRUE&amp;DOC_NAME=FAT:FQL_AUDITING_CLIENT_TEMPLATE.FAT&amp;display_string=Audit&amp;VAR:KEY=TODMZUFGRW&amp;VAR:QUERY=RkZfRUJJVF9JQignQU5OJywzMzk2OSwsLCwnR0JQJyk=&amp;WINDOW=FIRST_POPUP&amp;HEIGHT=450&amp;WIDTH=450&amp;","START_MAXIMIZED=FALSE&amp;VAR:CALENDAR=FIVEDAY&amp;VAR:SYMBOL=075902&amp;VAR:INDEX=0"}</definedName>
    <definedName name="_1530__FDSAUDITLINK__" localSheetId="8" hidden="1">{"fdsup://IBCentral/FAT Viewer?action=UPDATE&amp;creator=factset&amp;DOC_NAME=fat:reuters_qtrly_source_window.fat&amp;display_string=Audit&amp;DYN_ARGS=TRUE&amp;VAR:ID1=221353&amp;VAR:RCODE=LMIN&amp;VAR:SDATE=20080999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530__FDSAUDITLINK__" hidden="1">{"fdsup://IBCentral/FAT Viewer?action=UPDATE&amp;creator=factset&amp;DOC_NAME=fat:reuters_qtrly_source_window.fat&amp;display_string=Audit&amp;DYN_ARGS=TRUE&amp;VAR:ID1=221353&amp;VAR:RCODE=LMIN&amp;VAR:SDATE=20080999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531__FDSAUDITLINK__" localSheetId="8" hidden="1">{"fdsup://IBCentral/FAT Viewer?action=UPDATE&amp;creator=factset&amp;DOC_NAME=fat:reuters_qtrly_source_window.fat&amp;display_string=Audit&amp;DYN_ARGS=TRUE&amp;VAR:ID1=221353&amp;VAR:RCODE=STLD&amp;VAR:SDATE=20080999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531__FDSAUDITLINK__" hidden="1">{"fdsup://IBCentral/FAT Viewer?action=UPDATE&amp;creator=factset&amp;DOC_NAME=fat:reuters_qtrly_source_window.fat&amp;display_string=Audit&amp;DYN_ARGS=TRUE&amp;VAR:ID1=221353&amp;VAR:RCODE=STLD&amp;VAR:SDATE=20080999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532__FDSAUDITLINK__" localSheetId="8" hidden="1">{"fdsup://IBCentral/FAT Viewer?action=UPDATE&amp;creator=factset&amp;DOC_NAME=fat:reuters_qtrly_source_window.fat&amp;display_string=Audit&amp;DYN_ARGS=TRUE&amp;VAR:ID1=221353&amp;VAR:RCODE=SCSI&amp;VAR:SDATE=20080999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532__FDSAUDITLINK__" hidden="1">{"fdsup://IBCentral/FAT Viewer?action=UPDATE&amp;creator=factset&amp;DOC_NAME=fat:reuters_qtrly_source_window.fat&amp;display_string=Audit&amp;DYN_ARGS=TRUE&amp;VAR:ID1=221353&amp;VAR:RCODE=SCSI&amp;VAR:SDATE=20080999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533__FDSAUDITLINK__" localSheetId="8" hidden="1">{"fdsup://IBCentral/FAT Viewer?action=UPDATE&amp;creator=factset&amp;DOC_NAME=fat:reuters_annual_source_window.fat&amp;display_string=Audit&amp;DYN_ARGS=TRUE&amp;VAR:ID1=221353&amp;VAR:RCODE=FDSPFDSTKTOTAL&amp;VAR:SDATE=20071299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533__FDSAUDITLINK__" hidden="1">{"fdsup://IBCentral/FAT Viewer?action=UPDATE&amp;creator=factset&amp;DOC_NAME=fat:reuters_annual_source_window.fat&amp;display_string=Audit&amp;DYN_ARGS=TRUE&amp;VAR:ID1=221353&amp;VAR:RCODE=FDSPFDSTKTOTAL&amp;VAR:SDATE=20071299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534__FDSAUDITLINK__" localSheetId="8" hidden="1">{"fdsup://IBCentral/FAT Viewer?action=UPDATE&amp;creator=factset&amp;DOC_NAME=fat:reuters_qtrly_source_window.fat&amp;display_string=Audit&amp;DYN_ARGS=TRUE&amp;VAR:ID1=221353&amp;VAR:RCODE=AEQI&amp;VAR:SDATE=20080999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534__FDSAUDITLINK__" hidden="1">{"fdsup://IBCentral/FAT Viewer?action=UPDATE&amp;creator=factset&amp;DOC_NAME=fat:reuters_qtrly_source_window.fat&amp;display_string=Audit&amp;DYN_ARGS=TRUE&amp;VAR:ID1=221353&amp;VAR:RCODE=AEQI&amp;VAR:SDATE=20080999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535__FDSAUDITLINK__" localSheetId="8" hidden="1">{"fdsup://IBCentral/FAT Viewer?action=UPDATE&amp;creator=factset&amp;DOC_NAME=fat:reuters_qtrly_source_window.fat&amp;display_string=Audit&amp;DYN_ARGS=TRUE&amp;VAR:ID1=221353&amp;VAR:RCODE=LMIN&amp;VAR:SDATE=20080999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535__FDSAUDITLINK__" hidden="1">{"fdsup://IBCentral/FAT Viewer?action=UPDATE&amp;creator=factset&amp;DOC_NAME=fat:reuters_qtrly_source_window.fat&amp;display_string=Audit&amp;DYN_ARGS=TRUE&amp;VAR:ID1=221353&amp;VAR:RCODE=LMIN&amp;VAR:SDATE=20080999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536__FDSAUDITLINK__" localSheetId="8" hidden="1">{"fdsup://IBCentral/FAT Viewer?action=UPDATE&amp;creator=factset&amp;DOC_NAME=fat:reuters_qtrly_source_window.fat&amp;display_string=Audit&amp;DYN_ARGS=TRUE&amp;VAR:ID1=221353&amp;VAR:RCODE=STLD&amp;VAR:SDATE=20080999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536__FDSAUDITLINK__" hidden="1">{"fdsup://IBCentral/FAT Viewer?action=UPDATE&amp;creator=factset&amp;DOC_NAME=fat:reuters_qtrly_source_window.fat&amp;display_string=Audit&amp;DYN_ARGS=TRUE&amp;VAR:ID1=221353&amp;VAR:RCODE=STLD&amp;VAR:SDATE=20080999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537__FDSAUDITLINK__" localSheetId="8" hidden="1">{"fdsup://IBCentral/FAT Viewer?action=UPDATE&amp;creator=factset&amp;DOC_NAME=fat:reuters_qtrly_source_window.fat&amp;display_string=Audit&amp;DYN_ARGS=TRUE&amp;VAR:ID1=221353&amp;VAR:RCODE=SCSI&amp;VAR:SDATE=20080999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537__FDSAUDITLINK__" hidden="1">{"fdsup://IBCentral/FAT Viewer?action=UPDATE&amp;creator=factset&amp;DOC_NAME=fat:reuters_qtrly_source_window.fat&amp;display_string=Audit&amp;DYN_ARGS=TRUE&amp;VAR:ID1=221353&amp;VAR:RCODE=SCSI&amp;VAR:SDATE=20080999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538__FDSAUDITLINK__" localSheetId="8" hidden="1">{"fdsup://IBCentral/FAT Viewer?action=UPDATE&amp;creator=factset&amp;DOC_NAME=fat:reuters_annual_source_window.fat&amp;display_string=Audit&amp;DYN_ARGS=TRUE&amp;VAR:ID1=221353&amp;VAR:RCODE=FDSPFDSTKTOTAL&amp;VAR:SDATE=20071299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538__FDSAUDITLINK__" hidden="1">{"fdsup://IBCentral/FAT Viewer?action=UPDATE&amp;creator=factset&amp;DOC_NAME=fat:reuters_annual_source_window.fat&amp;display_string=Audit&amp;DYN_ARGS=TRUE&amp;VAR:ID1=221353&amp;VAR:RCODE=FDSPFDSTKTOTAL&amp;VAR:SDATE=20071299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539__FDSAUDITLINK__" localSheetId="8" hidden="1">{"fdsup://IBCentral/FAT Viewer?action=UPDATE&amp;creator=factset&amp;DOC_NAME=fat:reuters_qtrly_source_window.fat&amp;display_string=Audit&amp;DYN_ARGS=TRUE&amp;VAR:ID1=221353&amp;VAR:RCODE=AEQI&amp;VAR:SDATE=20080999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539__FDSAUDITLINK__" hidden="1">{"fdsup://IBCentral/FAT Viewer?action=UPDATE&amp;creator=factset&amp;DOC_NAME=fat:reuters_qtrly_source_window.fat&amp;display_string=Audit&amp;DYN_ARGS=TRUE&amp;VAR:ID1=221353&amp;VAR:RCODE=AEQI&amp;VAR:SDATE=20080999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54__FDSAUDITLINK__" localSheetId="8" hidden="1">{"fdsup://directions/FAT Viewer?action=UPDATE&amp;creator=factset&amp;DYN_ARGS=TRUE&amp;DOC_NAME=FAT:FQL_AUDITING_CLIENT_TEMPLATE.FAT&amp;display_string=Audit&amp;VAR:KEY=RMTWDEDCTW&amp;VAR:QUERY=RkZfRUJJVF9JQignQU5OJywzMzYwMywsLCwnR0JQJyk=&amp;WINDOW=FIRST_POPUP&amp;HEIGHT=450&amp;WIDTH=450&amp;","START_MAXIMIZED=FALSE&amp;VAR:CALENDAR=FIVEDAY&amp;VAR:SYMBOL=075902&amp;VAR:INDEX=0"}</definedName>
    <definedName name="_154__FDSAUDITLINK__" hidden="1">{"fdsup://directions/FAT Viewer?action=UPDATE&amp;creator=factset&amp;DYN_ARGS=TRUE&amp;DOC_NAME=FAT:FQL_AUDITING_CLIENT_TEMPLATE.FAT&amp;display_string=Audit&amp;VAR:KEY=YDAVWLMBWT&amp;VAR:QUERY=RkZfTkVUX0lOQyhDQUwsMjAwOSk=&amp;WINDOW=FIRST_POPUP&amp;HEIGHT=450&amp;WIDTH=450&amp;START_MAXIMIZED=","FALSE&amp;VAR:CALENDAR=US&amp;VAR:SYMBOL=TXI&amp;VAR:INDEX=0"}</definedName>
    <definedName name="_154__FDSAUDITLINK___1" localSheetId="8" hidden="1">{"fdsup://directions/FAT Viewer?action=UPDATE&amp;creator=factset&amp;DYN_ARGS=TRUE&amp;DOC_NAME=FAT:FQL_AUDITING_CLIENT_TEMPLATE.FAT&amp;display_string=Audit&amp;VAR:KEY=RMTWDEDCTW&amp;VAR:QUERY=RkZfRUJJVF9JQignQU5OJywzMzYwMywsLCwnR0JQJyk=&amp;WINDOW=FIRST_POPUP&amp;HEIGHT=450&amp;WIDTH=450&amp;","START_MAXIMIZED=FALSE&amp;VAR:CALENDAR=FIVEDAY&amp;VAR:SYMBOL=075902&amp;VAR:INDEX=0"}</definedName>
    <definedName name="_154__FDSAUDITLINK___1" hidden="1">{"fdsup://directions/FAT Viewer?action=UPDATE&amp;creator=factset&amp;DYN_ARGS=TRUE&amp;DOC_NAME=FAT:FQL_AUDITING_CLIENT_TEMPLATE.FAT&amp;display_string=Audit&amp;VAR:KEY=RMTWDEDCTW&amp;VAR:QUERY=RkZfRUJJVF9JQignQU5OJywzMzYwMywsLCwnR0JQJyk=&amp;WINDOW=FIRST_POPUP&amp;HEIGHT=450&amp;WIDTH=450&amp;","START_MAXIMIZED=FALSE&amp;VAR:CALENDAR=FIVEDAY&amp;VAR:SYMBOL=075902&amp;VAR:INDEX=0"}</definedName>
    <definedName name="_1540__FDSAUDITLINK__" localSheetId="8" hidden="1">{"fdsup://IBCentral/FAT Viewer?action=UPDATE&amp;creator=factset&amp;DOC_NAME=fat:reuters_qtrly_source_window.fat&amp;display_string=Audit&amp;DYN_ARGS=TRUE&amp;VAR:ID1=221353&amp;VAR:RCODE=LMIN&amp;VAR:SDATE=20080999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540__FDSAUDITLINK__" hidden="1">{"fdsup://IBCentral/FAT Viewer?action=UPDATE&amp;creator=factset&amp;DOC_NAME=fat:reuters_qtrly_source_window.fat&amp;display_string=Audit&amp;DYN_ARGS=TRUE&amp;VAR:ID1=221353&amp;VAR:RCODE=LMIN&amp;VAR:SDATE=20080999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541__FDSAUDITLINK__" localSheetId="8" hidden="1">{"fdsup://IBCentral/FAT Viewer?action=UPDATE&amp;creator=factset&amp;DOC_NAME=fat:reuters_qtrly_source_window.fat&amp;display_string=Audit&amp;DYN_ARGS=TRUE&amp;VAR:ID1=221353&amp;VAR:RCODE=STLD&amp;VAR:SDATE=20080999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541__FDSAUDITLINK__" hidden="1">{"fdsup://IBCentral/FAT Viewer?action=UPDATE&amp;creator=factset&amp;DOC_NAME=fat:reuters_qtrly_source_window.fat&amp;display_string=Audit&amp;DYN_ARGS=TRUE&amp;VAR:ID1=221353&amp;VAR:RCODE=STLD&amp;VAR:SDATE=20080999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542__FDSAUDITLINK__" localSheetId="8" hidden="1">{"fdsup://IBCentral/FAT Viewer?action=UPDATE&amp;creator=factset&amp;DOC_NAME=fat:reuters_qtrly_source_window.fat&amp;display_string=Audit&amp;DYN_ARGS=TRUE&amp;VAR:ID1=221353&amp;VAR:RCODE=SCSI&amp;VAR:SDATE=20080999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542__FDSAUDITLINK__" hidden="1">{"fdsup://IBCentral/FAT Viewer?action=UPDATE&amp;creator=factset&amp;DOC_NAME=fat:reuters_qtrly_source_window.fat&amp;display_string=Audit&amp;DYN_ARGS=TRUE&amp;VAR:ID1=221353&amp;VAR:RCODE=SCSI&amp;VAR:SDATE=20080999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543__FDSAUDITLINK__" localSheetId="8" hidden="1">{"fdsup://IBCentral/FAT Viewer?action=UPDATE&amp;creator=factset&amp;DOC_NAME=fat:reuters_annual_source_window.fat&amp;display_string=Audit&amp;DYN_ARGS=TRUE&amp;VAR:ID1=221353&amp;VAR:RCODE=FDSPFDSTKTOTAL&amp;VAR:SDATE=20071299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543__FDSAUDITLINK__" hidden="1">{"fdsup://IBCentral/FAT Viewer?action=UPDATE&amp;creator=factset&amp;DOC_NAME=fat:reuters_annual_source_window.fat&amp;display_string=Audit&amp;DYN_ARGS=TRUE&amp;VAR:ID1=221353&amp;VAR:RCODE=FDSPFDSTKTOTAL&amp;VAR:SDATE=20071299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544__FDSAUDITLINK__" localSheetId="8" hidden="1">{"fdsup://IBCentral/FAT Viewer?action=UPDATE&amp;creator=factset&amp;DOC_NAME=fat:reuters_qtrly_source_window.fat&amp;display_string=Audit&amp;DYN_ARGS=TRUE&amp;VAR:ID1=221353&amp;VAR:RCODE=AEQI&amp;VAR:SDATE=20080999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544__FDSAUDITLINK__" hidden="1">{"fdsup://IBCentral/FAT Viewer?action=UPDATE&amp;creator=factset&amp;DOC_NAME=fat:reuters_qtrly_source_window.fat&amp;display_string=Audit&amp;DYN_ARGS=TRUE&amp;VAR:ID1=221353&amp;VAR:RCODE=AEQI&amp;VAR:SDATE=20080999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545__FDSAUDITLINK__" localSheetId="8" hidden="1">{"fdsup://IBCentral/FAT Viewer?action=UPDATE&amp;creator=factset&amp;DOC_NAME=fat:reuters_qtrly_source_window.fat&amp;display_string=Audit&amp;DYN_ARGS=TRUE&amp;VAR:ID1=221353&amp;VAR:RCODE=LMIN&amp;VAR:SDATE=20080999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545__FDSAUDITLINK__" hidden="1">{"fdsup://IBCentral/FAT Viewer?action=UPDATE&amp;creator=factset&amp;DOC_NAME=fat:reuters_qtrly_source_window.fat&amp;display_string=Audit&amp;DYN_ARGS=TRUE&amp;VAR:ID1=221353&amp;VAR:RCODE=LMIN&amp;VAR:SDATE=20080999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546__FDSAUDITLINK__" localSheetId="8" hidden="1">{"fdsup://IBCentral/FAT Viewer?action=UPDATE&amp;creator=factset&amp;DOC_NAME=fat:reuters_qtrly_source_window.fat&amp;display_string=Audit&amp;DYN_ARGS=TRUE&amp;VAR:ID1=221353&amp;VAR:RCODE=STLD&amp;VAR:SDATE=20080999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546__FDSAUDITLINK__" hidden="1">{"fdsup://IBCentral/FAT Viewer?action=UPDATE&amp;creator=factset&amp;DOC_NAME=fat:reuters_qtrly_source_window.fat&amp;display_string=Audit&amp;DYN_ARGS=TRUE&amp;VAR:ID1=221353&amp;VAR:RCODE=STLD&amp;VAR:SDATE=20080999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547__FDSAUDITLINK__" localSheetId="8" hidden="1">{"fdsup://IBCentral/FAT Viewer?action=UPDATE&amp;creator=factset&amp;DOC_NAME=fat:reuters_qtrly_source_window.fat&amp;display_string=Audit&amp;DYN_ARGS=TRUE&amp;VAR:ID1=221353&amp;VAR:RCODE=SCSI&amp;VAR:SDATE=20080999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547__FDSAUDITLINK__" hidden="1">{"fdsup://IBCentral/FAT Viewer?action=UPDATE&amp;creator=factset&amp;DOC_NAME=fat:reuters_qtrly_source_window.fat&amp;display_string=Audit&amp;DYN_ARGS=TRUE&amp;VAR:ID1=221353&amp;VAR:RCODE=SCSI&amp;VAR:SDATE=20080999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548__FDSAUDITLINK__" localSheetId="8" hidden="1">{"fdsup://IBCentral/FAT Viewer?action=UPDATE&amp;creator=factset&amp;DOC_NAME=fat:reuters_annual_source_window.fat&amp;display_string=Audit&amp;DYN_ARGS=TRUE&amp;VAR:ID1=221353&amp;VAR:RCODE=FDSPFDSTKTOTAL&amp;VAR:SDATE=20081299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548__FDSAUDITLINK__" hidden="1">{"fdsup://IBCentral/FAT Viewer?action=UPDATE&amp;creator=factset&amp;DOC_NAME=fat:reuters_annual_source_window.fat&amp;display_string=Audit&amp;DYN_ARGS=TRUE&amp;VAR:ID1=221353&amp;VAR:RCODE=FDSPFDSTKTOTAL&amp;VAR:SDATE=20081299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549__FDSAUDITLINK__" localSheetId="8" hidden="1">{"fdsup://IBCentral/FAT Viewer?action=UPDATE&amp;creator=factset&amp;DOC_NAME=fat:reuters_qtrly_source_window.fat&amp;display_string=Audit&amp;DYN_ARGS=TRUE&amp;VAR:ID1=221353&amp;VAR:RCODE=AEQI&amp;VAR:SDATE=20081299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549__FDSAUDITLINK__" hidden="1">{"fdsup://IBCentral/FAT Viewer?action=UPDATE&amp;creator=factset&amp;DOC_NAME=fat:reuters_qtrly_source_window.fat&amp;display_string=Audit&amp;DYN_ARGS=TRUE&amp;VAR:ID1=221353&amp;VAR:RCODE=AEQI&amp;VAR:SDATE=20081299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55__FDSAUDITLINK__" localSheetId="8" hidden="1">{"fdsup://directions/FAT Viewer?action=UPDATE&amp;creator=factset&amp;DYN_ARGS=TRUE&amp;DOC_NAME=FAT:FQL_AUDITING_CLIENT_TEMPLATE.FAT&amp;display_string=Audit&amp;VAR:KEY=NERWDGHOVQ&amp;VAR:QUERY=RkZfRUJJVF9JQignQU5OJywzMzIzOCwsLCwnR0JQJyk=&amp;WINDOW=FIRST_POPUP&amp;HEIGHT=450&amp;WIDTH=450&amp;","START_MAXIMIZED=FALSE&amp;VAR:CALENDAR=FIVEDAY&amp;VAR:SYMBOL=075902&amp;VAR:INDEX=0"}</definedName>
    <definedName name="_155__FDSAUDITLINK__" hidden="1">{"fdsup://directions/FAT Viewer?action=UPDATE&amp;creator=factset&amp;DYN_ARGS=TRUE&amp;DOC_NAME=FAT:FQL_AUDITING_CLIENT_TEMPLATE.FAT&amp;display_string=Audit&amp;VAR:KEY=ANYNGRINED&amp;VAR:QUERY=RkZfTkVUX0lOQyhDQUwsMjAwOSk=&amp;WINDOW=FIRST_POPUP&amp;HEIGHT=450&amp;WIDTH=450&amp;START_MAXIMIZED=","FALSE&amp;VAR:CALENDAR=US&amp;VAR:SYMBOL=USCR&amp;VAR:INDEX=0"}</definedName>
    <definedName name="_155__FDSAUDITLINK___1" localSheetId="8" hidden="1">{"fdsup://directions/FAT Viewer?action=UPDATE&amp;creator=factset&amp;DYN_ARGS=TRUE&amp;DOC_NAME=FAT:FQL_AUDITING_CLIENT_TEMPLATE.FAT&amp;display_string=Audit&amp;VAR:KEY=NERWDGHOVQ&amp;VAR:QUERY=RkZfRUJJVF9JQignQU5OJywzMzIzOCwsLCwnR0JQJyk=&amp;WINDOW=FIRST_POPUP&amp;HEIGHT=450&amp;WIDTH=450&amp;","START_MAXIMIZED=FALSE&amp;VAR:CALENDAR=FIVEDAY&amp;VAR:SYMBOL=075902&amp;VAR:INDEX=0"}</definedName>
    <definedName name="_155__FDSAUDITLINK___1" hidden="1">{"fdsup://directions/FAT Viewer?action=UPDATE&amp;creator=factset&amp;DYN_ARGS=TRUE&amp;DOC_NAME=FAT:FQL_AUDITING_CLIENT_TEMPLATE.FAT&amp;display_string=Audit&amp;VAR:KEY=NERWDGHOVQ&amp;VAR:QUERY=RkZfRUJJVF9JQignQU5OJywzMzIzOCwsLCwnR0JQJyk=&amp;WINDOW=FIRST_POPUP&amp;HEIGHT=450&amp;WIDTH=450&amp;","START_MAXIMIZED=FALSE&amp;VAR:CALENDAR=FIVEDAY&amp;VAR:SYMBOL=075902&amp;VAR:INDEX=0"}</definedName>
    <definedName name="_1550__FDSAUDITLINK__" localSheetId="8" hidden="1">{"fdsup://IBCentral/FAT Viewer?action=UPDATE&amp;creator=factset&amp;DOC_NAME=fat:reuters_qtrly_source_window.fat&amp;display_string=Audit&amp;DYN_ARGS=TRUE&amp;VAR:ID1=221353&amp;VAR:RCODE=LMIN&amp;VAR:SDATE=20081299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550__FDSAUDITLINK__" hidden="1">{"fdsup://IBCentral/FAT Viewer?action=UPDATE&amp;creator=factset&amp;DOC_NAME=fat:reuters_qtrly_source_window.fat&amp;display_string=Audit&amp;DYN_ARGS=TRUE&amp;VAR:ID1=221353&amp;VAR:RCODE=LMIN&amp;VAR:SDATE=20081299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551__FDSAUDITLINK__" localSheetId="8" hidden="1">{"fdsup://IBCentral/FAT Viewer?action=UPDATE&amp;creator=factset&amp;DOC_NAME=fat:reuters_qtrly_source_window.fat&amp;display_string=Audit&amp;DYN_ARGS=TRUE&amp;VAR:ID1=221353&amp;VAR:RCODE=STLD&amp;VAR:SDATE=20081299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551__FDSAUDITLINK__" hidden="1">{"fdsup://IBCentral/FAT Viewer?action=UPDATE&amp;creator=factset&amp;DOC_NAME=fat:reuters_qtrly_source_window.fat&amp;display_string=Audit&amp;DYN_ARGS=TRUE&amp;VAR:ID1=221353&amp;VAR:RCODE=STLD&amp;VAR:SDATE=20081299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552__FDSAUDITLINK__" localSheetId="8" hidden="1">{"fdsup://IBCentral/FAT Viewer?action=UPDATE&amp;creator=factset&amp;DOC_NAME=fat:reuters_qtrly_source_window.fat&amp;display_string=Audit&amp;DYN_ARGS=TRUE&amp;VAR:ID1=221353&amp;VAR:RCODE=SCSI&amp;VAR:SDATE=20081299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552__FDSAUDITLINK__" hidden="1">{"fdsup://IBCentral/FAT Viewer?action=UPDATE&amp;creator=factset&amp;DOC_NAME=fat:reuters_qtrly_source_window.fat&amp;display_string=Audit&amp;DYN_ARGS=TRUE&amp;VAR:ID1=221353&amp;VAR:RCODE=SCSI&amp;VAR:SDATE=20081299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553__FDSAUDITLINK__" localSheetId="8" hidden="1">{"fdsup://IBCentral/FAT Viewer?action=UPDATE&amp;creator=factset&amp;DOC_NAME=fat:reuters_annual_source_window.fat&amp;display_string=Audit&amp;DYN_ARGS=TRUE&amp;VAR:ID1=221353&amp;VAR:RCODE=FDSPFDSTKTOTAL&amp;VAR:SDATE=20081299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553__FDSAUDITLINK__" hidden="1">{"fdsup://IBCentral/FAT Viewer?action=UPDATE&amp;creator=factset&amp;DOC_NAME=fat:reuters_annual_source_window.fat&amp;display_string=Audit&amp;DYN_ARGS=TRUE&amp;VAR:ID1=221353&amp;VAR:RCODE=FDSPFDSTKTOTAL&amp;VAR:SDATE=20081299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554__FDSAUDITLINK__" localSheetId="8" hidden="1">{"fdsup://IBCentral/FAT Viewer?action=UPDATE&amp;creator=factset&amp;DOC_NAME=fat:reuters_qtrly_source_window.fat&amp;display_string=Audit&amp;DYN_ARGS=TRUE&amp;VAR:ID1=221353&amp;VAR:RCODE=AEQI&amp;VAR:SDATE=20081299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554__FDSAUDITLINK__" hidden="1">{"fdsup://IBCentral/FAT Viewer?action=UPDATE&amp;creator=factset&amp;DOC_NAME=fat:reuters_qtrly_source_window.fat&amp;display_string=Audit&amp;DYN_ARGS=TRUE&amp;VAR:ID1=221353&amp;VAR:RCODE=AEQI&amp;VAR:SDATE=20081299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555__FDSAUDITLINK__" localSheetId="8" hidden="1">{"fdsup://IBCentral/FAT Viewer?action=UPDATE&amp;creator=factset&amp;DOC_NAME=fat:reuters_qtrly_source_window.fat&amp;display_string=Audit&amp;DYN_ARGS=TRUE&amp;VAR:ID1=221353&amp;VAR:RCODE=LMIN&amp;VAR:SDATE=20081299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555__FDSAUDITLINK__" hidden="1">{"fdsup://IBCentral/FAT Viewer?action=UPDATE&amp;creator=factset&amp;DOC_NAME=fat:reuters_qtrly_source_window.fat&amp;display_string=Audit&amp;DYN_ARGS=TRUE&amp;VAR:ID1=221353&amp;VAR:RCODE=LMIN&amp;VAR:SDATE=20081299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556__FDSAUDITLINK__" localSheetId="8" hidden="1">{"fdsup://IBCentral/FAT Viewer?action=UPDATE&amp;creator=factset&amp;DOC_NAME=fat:reuters_qtrly_source_window.fat&amp;display_string=Audit&amp;DYN_ARGS=TRUE&amp;VAR:ID1=221353&amp;VAR:RCODE=STLD&amp;VAR:SDATE=20081299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556__FDSAUDITLINK__" hidden="1">{"fdsup://IBCentral/FAT Viewer?action=UPDATE&amp;creator=factset&amp;DOC_NAME=fat:reuters_qtrly_source_window.fat&amp;display_string=Audit&amp;DYN_ARGS=TRUE&amp;VAR:ID1=221353&amp;VAR:RCODE=STLD&amp;VAR:SDATE=20081299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557__FDSAUDITLINK__" localSheetId="8" hidden="1">{"fdsup://IBCentral/FAT Viewer?action=UPDATE&amp;creator=factset&amp;DOC_NAME=fat:reuters_qtrly_source_window.fat&amp;display_string=Audit&amp;DYN_ARGS=TRUE&amp;VAR:ID1=221353&amp;VAR:RCODE=SCSI&amp;VAR:SDATE=20081299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557__FDSAUDITLINK__" hidden="1">{"fdsup://IBCentral/FAT Viewer?action=UPDATE&amp;creator=factset&amp;DOC_NAME=fat:reuters_qtrly_source_window.fat&amp;display_string=Audit&amp;DYN_ARGS=TRUE&amp;VAR:ID1=221353&amp;VAR:RCODE=SCSI&amp;VAR:SDATE=20081299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558__FDSAUDITLINK__" localSheetId="8" hidden="1">{"fdsup://IBCentral/FAT Viewer?action=UPDATE&amp;creator=factset&amp;DOC_NAME=fat:reuters_annual_source_window.fat&amp;display_string=Audit&amp;DYN_ARGS=TRUE&amp;VAR:ID1=221353&amp;VAR:RCODE=FDSPFDSTKTOTAL&amp;VAR:SDATE=20081299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558__FDSAUDITLINK__" hidden="1">{"fdsup://IBCentral/FAT Viewer?action=UPDATE&amp;creator=factset&amp;DOC_NAME=fat:reuters_annual_source_window.fat&amp;display_string=Audit&amp;DYN_ARGS=TRUE&amp;VAR:ID1=221353&amp;VAR:RCODE=FDSPFDSTKTOTAL&amp;VAR:SDATE=20081299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559__FDSAUDITLINK__" localSheetId="8" hidden="1">{"fdsup://IBCentral/FAT Viewer?action=UPDATE&amp;creator=factset&amp;DOC_NAME=fat:reuters_qtrly_source_window.fat&amp;display_string=Audit&amp;DYN_ARGS=TRUE&amp;VAR:ID1=221353&amp;VAR:RCODE=AEQI&amp;VAR:SDATE=20081299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559__FDSAUDITLINK__" hidden="1">{"fdsup://IBCentral/FAT Viewer?action=UPDATE&amp;creator=factset&amp;DOC_NAME=fat:reuters_qtrly_source_window.fat&amp;display_string=Audit&amp;DYN_ARGS=TRUE&amp;VAR:ID1=221353&amp;VAR:RCODE=AEQI&amp;VAR:SDATE=20081299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56__FDSAUDITLINK__" localSheetId="8" hidden="1">{"fdsup://directions/FAT Viewer?action=UPDATE&amp;creator=factset&amp;DYN_ARGS=TRUE&amp;DOC_NAME=FAT:FQL_AUDITING_CLIENT_TEMPLATE.FAT&amp;display_string=Audit&amp;VAR:KEY=NKTELCTUXS&amp;VAR:QUERY=RkZfRUJJVF9JQignQU5OJywzMjg3MywsLCwnR0JQJyk=&amp;WINDOW=FIRST_POPUP&amp;HEIGHT=450&amp;WIDTH=450&amp;","START_MAXIMIZED=FALSE&amp;VAR:CALENDAR=FIVEDAY&amp;VAR:SYMBOL=075902&amp;VAR:INDEX=0"}</definedName>
    <definedName name="_156__FDSAUDITLINK__" hidden="1">{"fdsup://directions/FAT Viewer?action=UPDATE&amp;creator=factset&amp;DYN_ARGS=TRUE&amp;DOC_NAME=FAT:FQL_AUDITING_CLIENT_TEMPLATE.FAT&amp;display_string=Audit&amp;VAR:KEY=WFEFGPWRWT&amp;VAR:QUERY=RkZfTkVUX0lOQyhDQUwsMjAwOSk=&amp;WINDOW=FIRST_POPUP&amp;HEIGHT=450&amp;WIDTH=450&amp;START_MAXIMIZED=","FALSE&amp;VAR:CALENDAR=US&amp;VAR:SYMBOL=MLM&amp;VAR:INDEX=0"}</definedName>
    <definedName name="_156__FDSAUDITLINK___1" localSheetId="8" hidden="1">{"fdsup://directions/FAT Viewer?action=UPDATE&amp;creator=factset&amp;DYN_ARGS=TRUE&amp;DOC_NAME=FAT:FQL_AUDITING_CLIENT_TEMPLATE.FAT&amp;display_string=Audit&amp;VAR:KEY=NKTELCTUXS&amp;VAR:QUERY=RkZfRUJJVF9JQignQU5OJywzMjg3MywsLCwnR0JQJyk=&amp;WINDOW=FIRST_POPUP&amp;HEIGHT=450&amp;WIDTH=450&amp;","START_MAXIMIZED=FALSE&amp;VAR:CALENDAR=FIVEDAY&amp;VAR:SYMBOL=075902&amp;VAR:INDEX=0"}</definedName>
    <definedName name="_156__FDSAUDITLINK___1" hidden="1">{"fdsup://directions/FAT Viewer?action=UPDATE&amp;creator=factset&amp;DYN_ARGS=TRUE&amp;DOC_NAME=FAT:FQL_AUDITING_CLIENT_TEMPLATE.FAT&amp;display_string=Audit&amp;VAR:KEY=NKTELCTUXS&amp;VAR:QUERY=RkZfRUJJVF9JQignQU5OJywzMjg3MywsLCwnR0JQJyk=&amp;WINDOW=FIRST_POPUP&amp;HEIGHT=450&amp;WIDTH=450&amp;","START_MAXIMIZED=FALSE&amp;VAR:CALENDAR=FIVEDAY&amp;VAR:SYMBOL=075902&amp;VAR:INDEX=0"}</definedName>
    <definedName name="_1560__FDSAUDITLINK__" localSheetId="8" hidden="1">{"fdsup://IBCentral/FAT Viewer?action=UPDATE&amp;creator=factset&amp;DOC_NAME=fat:reuters_qtrly_source_window.fat&amp;display_string=Audit&amp;DYN_ARGS=TRUE&amp;VAR:ID1=221353&amp;VAR:RCODE=LMIN&amp;VAR:SDATE=20081299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560__FDSAUDITLINK__" hidden="1">{"fdsup://IBCentral/FAT Viewer?action=UPDATE&amp;creator=factset&amp;DOC_NAME=fat:reuters_qtrly_source_window.fat&amp;display_string=Audit&amp;DYN_ARGS=TRUE&amp;VAR:ID1=221353&amp;VAR:RCODE=LMIN&amp;VAR:SDATE=20081299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561__FDSAUDITLINK__" localSheetId="8" hidden="1">{"fdsup://IBCentral/FAT Viewer?action=UPDATE&amp;creator=factset&amp;DOC_NAME=fat:reuters_qtrly_source_window.fat&amp;display_string=Audit&amp;DYN_ARGS=TRUE&amp;VAR:ID1=221353&amp;VAR:RCODE=STLD&amp;VAR:SDATE=20081299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561__FDSAUDITLINK__" hidden="1">{"fdsup://IBCentral/FAT Viewer?action=UPDATE&amp;creator=factset&amp;DOC_NAME=fat:reuters_qtrly_source_window.fat&amp;display_string=Audit&amp;DYN_ARGS=TRUE&amp;VAR:ID1=221353&amp;VAR:RCODE=STLD&amp;VAR:SDATE=20081299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562__FDSAUDITLINK__" localSheetId="8" hidden="1">{"fdsup://IBCentral/FAT Viewer?action=UPDATE&amp;creator=factset&amp;DOC_NAME=fat:reuters_qtrly_source_window.fat&amp;display_string=Audit&amp;DYN_ARGS=TRUE&amp;VAR:ID1=221353&amp;VAR:RCODE=SCSI&amp;VAR:SDATE=20081299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562__FDSAUDITLINK__" hidden="1">{"fdsup://IBCentral/FAT Viewer?action=UPDATE&amp;creator=factset&amp;DOC_NAME=fat:reuters_qtrly_source_window.fat&amp;display_string=Audit&amp;DYN_ARGS=TRUE&amp;VAR:ID1=221353&amp;VAR:RCODE=SCSI&amp;VAR:SDATE=20081299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563__FDSAUDITLINK__" localSheetId="8" hidden="1">{"fdsup://IBCentral/FAT Viewer?action=UPDATE&amp;creator=factset&amp;DOC_NAME=fat:reuters_annual_source_window.fat&amp;display_string=Audit&amp;DYN_ARGS=TRUE&amp;VAR:ID1=221353&amp;VAR:RCODE=FDSPFDSTKTOTAL&amp;VAR:SDATE=20081299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563__FDSAUDITLINK__" hidden="1">{"fdsup://IBCentral/FAT Viewer?action=UPDATE&amp;creator=factset&amp;DOC_NAME=fat:reuters_annual_source_window.fat&amp;display_string=Audit&amp;DYN_ARGS=TRUE&amp;VAR:ID1=221353&amp;VAR:RCODE=FDSPFDSTKTOTAL&amp;VAR:SDATE=20081299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564__FDSAUDITLINK__" localSheetId="8" hidden="1">{"fdsup://IBCentral/FAT Viewer?action=UPDATE&amp;creator=factset&amp;DOC_NAME=fat:reuters_qtrly_source_window.fat&amp;display_string=Audit&amp;DYN_ARGS=TRUE&amp;VAR:ID1=221353&amp;VAR:RCODE=AEQI&amp;VAR:SDATE=20081299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564__FDSAUDITLINK__" hidden="1">{"fdsup://IBCentral/FAT Viewer?action=UPDATE&amp;creator=factset&amp;DOC_NAME=fat:reuters_qtrly_source_window.fat&amp;display_string=Audit&amp;DYN_ARGS=TRUE&amp;VAR:ID1=221353&amp;VAR:RCODE=AEQI&amp;VAR:SDATE=20081299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565__FDSAUDITLINK__" localSheetId="8" hidden="1">{"fdsup://IBCentral/FAT Viewer?action=UPDATE&amp;creator=factset&amp;DOC_NAME=fat:reuters_qtrly_source_window.fat&amp;display_string=Audit&amp;DYN_ARGS=TRUE&amp;VAR:ID1=221353&amp;VAR:RCODE=LMIN&amp;VAR:SDATE=20081299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565__FDSAUDITLINK__" hidden="1">{"fdsup://IBCentral/FAT Viewer?action=UPDATE&amp;creator=factset&amp;DOC_NAME=fat:reuters_qtrly_source_window.fat&amp;display_string=Audit&amp;DYN_ARGS=TRUE&amp;VAR:ID1=221353&amp;VAR:RCODE=LMIN&amp;VAR:SDATE=20081299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566__FDSAUDITLINK__" localSheetId="8" hidden="1">{"fdsup://IBCentral/FAT Viewer?action=UPDATE&amp;creator=factset&amp;DOC_NAME=fat:reuters_qtrly_source_window.fat&amp;display_string=Audit&amp;DYN_ARGS=TRUE&amp;VAR:ID1=221353&amp;VAR:RCODE=STLD&amp;VAR:SDATE=20081299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566__FDSAUDITLINK__" hidden="1">{"fdsup://IBCentral/FAT Viewer?action=UPDATE&amp;creator=factset&amp;DOC_NAME=fat:reuters_qtrly_source_window.fat&amp;display_string=Audit&amp;DYN_ARGS=TRUE&amp;VAR:ID1=221353&amp;VAR:RCODE=STLD&amp;VAR:SDATE=20081299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567__FDSAUDITLINK__" localSheetId="8" hidden="1">{"fdsup://IBCentral/FAT Viewer?action=UPDATE&amp;creator=factset&amp;DOC_NAME=fat:reuters_qtrly_source_window.fat&amp;display_string=Audit&amp;DYN_ARGS=TRUE&amp;VAR:ID1=221353&amp;VAR:RCODE=SCSI&amp;VAR:SDATE=20081299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567__FDSAUDITLINK__" hidden="1">{"fdsup://IBCentral/FAT Viewer?action=UPDATE&amp;creator=factset&amp;DOC_NAME=fat:reuters_qtrly_source_window.fat&amp;display_string=Audit&amp;DYN_ARGS=TRUE&amp;VAR:ID1=221353&amp;VAR:RCODE=SCSI&amp;VAR:SDATE=20081299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568__FDSAUDITLINK__" localSheetId="8" hidden="1">{"fdsup://IBCentral/FAT Viewer?action=UPDATE&amp;creator=factset&amp;DOC_NAME=fat:reuters_annual_source_window.fat&amp;display_string=Audit&amp;DYN_ARGS=TRUE&amp;VAR:ID1=221353&amp;VAR:RCODE=FDSPFDSTKTOTAL&amp;VAR:SDATE=20081299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568__FDSAUDITLINK__" hidden="1">{"fdsup://IBCentral/FAT Viewer?action=UPDATE&amp;creator=factset&amp;DOC_NAME=fat:reuters_annual_source_window.fat&amp;display_string=Audit&amp;DYN_ARGS=TRUE&amp;VAR:ID1=221353&amp;VAR:RCODE=FDSPFDSTKTOTAL&amp;VAR:SDATE=20081299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569__FDSAUDITLINK__" localSheetId="8" hidden="1">{"fdsup://IBCentral/FAT Viewer?action=UPDATE&amp;creator=factset&amp;DOC_NAME=fat:reuters_qtrly_source_window.fat&amp;display_string=Audit&amp;DYN_ARGS=TRUE&amp;VAR:ID1=221353&amp;VAR:RCODE=AEQI&amp;VAR:SDATE=20081299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569__FDSAUDITLINK__" hidden="1">{"fdsup://IBCentral/FAT Viewer?action=UPDATE&amp;creator=factset&amp;DOC_NAME=fat:reuters_qtrly_source_window.fat&amp;display_string=Audit&amp;DYN_ARGS=TRUE&amp;VAR:ID1=221353&amp;VAR:RCODE=AEQI&amp;VAR:SDATE=20081299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57__FDSAUDITLINK__" localSheetId="8" hidden="1">{"fdsup://directions/FAT Viewer?action=UPDATE&amp;creator=factset&amp;DYN_ARGS=TRUE&amp;DOC_NAME=FAT:FQL_AUDITING_CLIENT_TEMPLATE.FAT&amp;display_string=Audit&amp;VAR:KEY=LQFSZQNAPY&amp;VAR:QUERY=RkZfRUJJVF9JQignQU5OJywzOTgxMywsLCwnR0JQJyk=&amp;WINDOW=FIRST_POPUP&amp;HEIGHT=450&amp;WIDTH=450&amp;","START_MAXIMIZED=FALSE&amp;VAR:CALENDAR=FIVEDAY&amp;VAR:SYMBOL=063002&amp;VAR:INDEX=0"}</definedName>
    <definedName name="_157__FDSAUDITLINK__" hidden="1">{"fdsup://directions/FAT Viewer?action=UPDATE&amp;creator=factset&amp;DYN_ARGS=TRUE&amp;DOC_NAME=FAT:FQL_AUDITING_CLIENT_TEMPLATE.FAT&amp;display_string=Audit&amp;VAR:KEY=YLYHYHGFMD&amp;VAR:QUERY=RkZfTkVUX0lOQyhDQUwsMjAwOSk=&amp;WINDOW=FIRST_POPUP&amp;HEIGHT=450&amp;WIDTH=450&amp;START_MAXIMIZED=","FALSE&amp;VAR:CALENDAR=US&amp;VAR:SYMBOL=EXP&amp;VAR:INDEX=0"}</definedName>
    <definedName name="_157__FDSAUDITLINK___1" localSheetId="8" hidden="1">{"fdsup://directions/FAT Viewer?action=UPDATE&amp;creator=factset&amp;DYN_ARGS=TRUE&amp;DOC_NAME=FAT:FQL_AUDITING_CLIENT_TEMPLATE.FAT&amp;display_string=Audit&amp;VAR:KEY=LQFSZQNAPY&amp;VAR:QUERY=RkZfRUJJVF9JQignQU5OJywzOTgxMywsLCwnR0JQJyk=&amp;WINDOW=FIRST_POPUP&amp;HEIGHT=450&amp;WIDTH=450&amp;","START_MAXIMIZED=FALSE&amp;VAR:CALENDAR=FIVEDAY&amp;VAR:SYMBOL=063002&amp;VAR:INDEX=0"}</definedName>
    <definedName name="_157__FDSAUDITLINK___1" hidden="1">{"fdsup://directions/FAT Viewer?action=UPDATE&amp;creator=factset&amp;DYN_ARGS=TRUE&amp;DOC_NAME=FAT:FQL_AUDITING_CLIENT_TEMPLATE.FAT&amp;display_string=Audit&amp;VAR:KEY=LQFSZQNAPY&amp;VAR:QUERY=RkZfRUJJVF9JQignQU5OJywzOTgxMywsLCwnR0JQJyk=&amp;WINDOW=FIRST_POPUP&amp;HEIGHT=450&amp;WIDTH=450&amp;","START_MAXIMIZED=FALSE&amp;VAR:CALENDAR=FIVEDAY&amp;VAR:SYMBOL=063002&amp;VAR:INDEX=0"}</definedName>
    <definedName name="_1570__FDSAUDITLINK__" localSheetId="8" hidden="1">{"fdsup://IBCentral/FAT Viewer?action=UPDATE&amp;creator=factset&amp;DOC_NAME=fat:reuters_qtrly_source_window.fat&amp;display_string=Audit&amp;DYN_ARGS=TRUE&amp;VAR:ID1=221353&amp;VAR:RCODE=LMIN&amp;VAR:SDATE=20081299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570__FDSAUDITLINK__" hidden="1">{"fdsup://IBCentral/FAT Viewer?action=UPDATE&amp;creator=factset&amp;DOC_NAME=fat:reuters_qtrly_source_window.fat&amp;display_string=Audit&amp;DYN_ARGS=TRUE&amp;VAR:ID1=221353&amp;VAR:RCODE=LMIN&amp;VAR:SDATE=20081299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571__FDSAUDITLINK__" localSheetId="8" hidden="1">{"fdsup://IBCentral/FAT Viewer?action=UPDATE&amp;creator=factset&amp;DOC_NAME=fat:reuters_qtrly_source_window.fat&amp;display_string=Audit&amp;DYN_ARGS=TRUE&amp;VAR:ID1=221353&amp;VAR:RCODE=STLD&amp;VAR:SDATE=20081299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571__FDSAUDITLINK__" hidden="1">{"fdsup://IBCentral/FAT Viewer?action=UPDATE&amp;creator=factset&amp;DOC_NAME=fat:reuters_qtrly_source_window.fat&amp;display_string=Audit&amp;DYN_ARGS=TRUE&amp;VAR:ID1=221353&amp;VAR:RCODE=STLD&amp;VAR:SDATE=20081299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572__FDSAUDITLINK__" localSheetId="8" hidden="1">{"fdsup://IBCentral/FAT Viewer?action=UPDATE&amp;creator=factset&amp;DOC_NAME=fat:reuters_qtrly_source_window.fat&amp;display_string=Audit&amp;DYN_ARGS=TRUE&amp;VAR:ID1=221353&amp;VAR:RCODE=SCSI&amp;VAR:SDATE=20081299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572__FDSAUDITLINK__" hidden="1">{"fdsup://IBCentral/FAT Viewer?action=UPDATE&amp;creator=factset&amp;DOC_NAME=fat:reuters_qtrly_source_window.fat&amp;display_string=Audit&amp;DYN_ARGS=TRUE&amp;VAR:ID1=221353&amp;VAR:RCODE=SCSI&amp;VAR:SDATE=20081299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573__FDSAUDITLINK__" localSheetId="8" hidden="1">{"fdsup://IBCentral/FAT Viewer?action=UPDATE&amp;creator=factset&amp;DOC_NAME=fat:reuters_annual_source_window.fat&amp;display_string=Audit&amp;DYN_ARGS=TRUE&amp;VAR:ID1=221353&amp;VAR:RCODE=FDSPFDSTKTOTAL&amp;VAR:SDATE=20081299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573__FDSAUDITLINK__" hidden="1">{"fdsup://IBCentral/FAT Viewer?action=UPDATE&amp;creator=factset&amp;DOC_NAME=fat:reuters_annual_source_window.fat&amp;display_string=Audit&amp;DYN_ARGS=TRUE&amp;VAR:ID1=221353&amp;VAR:RCODE=FDSPFDSTKTOTAL&amp;VAR:SDATE=20081299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574__FDSAUDITLINK__" localSheetId="8" hidden="1">{"fdsup://IBCentral/FAT Viewer?action=UPDATE&amp;creator=factset&amp;DOC_NAME=fat:reuters_qtrly_source_window.fat&amp;display_string=Audit&amp;DYN_ARGS=TRUE&amp;VAR:ID1=221353&amp;VAR:RCODE=AEQI&amp;VAR:SDATE=20081299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574__FDSAUDITLINK__" hidden="1">{"fdsup://IBCentral/FAT Viewer?action=UPDATE&amp;creator=factset&amp;DOC_NAME=fat:reuters_qtrly_source_window.fat&amp;display_string=Audit&amp;DYN_ARGS=TRUE&amp;VAR:ID1=221353&amp;VAR:RCODE=AEQI&amp;VAR:SDATE=20081299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575__FDSAUDITLINK__" localSheetId="8" hidden="1">{"fdsup://IBCentral/FAT Viewer?action=UPDATE&amp;creator=factset&amp;DOC_NAME=fat:reuters_qtrly_source_window.fat&amp;display_string=Audit&amp;DYN_ARGS=TRUE&amp;VAR:ID1=221353&amp;VAR:RCODE=LMIN&amp;VAR:SDATE=20081299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575__FDSAUDITLINK__" hidden="1">{"fdsup://IBCentral/FAT Viewer?action=UPDATE&amp;creator=factset&amp;DOC_NAME=fat:reuters_qtrly_source_window.fat&amp;display_string=Audit&amp;DYN_ARGS=TRUE&amp;VAR:ID1=221353&amp;VAR:RCODE=LMIN&amp;VAR:SDATE=20081299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576__FDSAUDITLINK__" localSheetId="8" hidden="1">{"fdsup://IBCentral/FAT Viewer?action=UPDATE&amp;creator=factset&amp;DOC_NAME=fat:reuters_qtrly_source_window.fat&amp;display_string=Audit&amp;DYN_ARGS=TRUE&amp;VAR:ID1=221353&amp;VAR:RCODE=STLD&amp;VAR:SDATE=20081299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576__FDSAUDITLINK__" hidden="1">{"fdsup://IBCentral/FAT Viewer?action=UPDATE&amp;creator=factset&amp;DOC_NAME=fat:reuters_qtrly_source_window.fat&amp;display_string=Audit&amp;DYN_ARGS=TRUE&amp;VAR:ID1=221353&amp;VAR:RCODE=STLD&amp;VAR:SDATE=20081299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577__FDSAUDITLINK__" localSheetId="8" hidden="1">{"fdsup://IBCentral/FAT Viewer?action=UPDATE&amp;creator=factset&amp;DOC_NAME=fat:reuters_qtrly_source_window.fat&amp;display_string=Audit&amp;DYN_ARGS=TRUE&amp;VAR:ID1=221353&amp;VAR:RCODE=SCSI&amp;VAR:SDATE=20081299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577__FDSAUDITLINK__" hidden="1">{"fdsup://IBCentral/FAT Viewer?action=UPDATE&amp;creator=factset&amp;DOC_NAME=fat:reuters_qtrly_source_window.fat&amp;display_string=Audit&amp;DYN_ARGS=TRUE&amp;VAR:ID1=221353&amp;VAR:RCODE=SCSI&amp;VAR:SDATE=20081299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578__FDSAUDITLINK__" localSheetId="8" hidden="1">{"fdsup://IBCentral/FAT Viewer?action=UPDATE&amp;creator=factset&amp;DOC_NAME=fat:reuters_annual_source_window.fat&amp;display_string=Audit&amp;DYN_ARGS=TRUE&amp;VAR:ID1=221353&amp;VAR:RCODE=FDSPFDSTKTOTAL&amp;VAR:SDATE=20081299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578__FDSAUDITLINK__" hidden="1">{"fdsup://IBCentral/FAT Viewer?action=UPDATE&amp;creator=factset&amp;DOC_NAME=fat:reuters_annual_source_window.fat&amp;display_string=Audit&amp;DYN_ARGS=TRUE&amp;VAR:ID1=221353&amp;VAR:RCODE=FDSPFDSTKTOTAL&amp;VAR:SDATE=20081299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579__FDSAUDITLINK__" localSheetId="8" hidden="1">{"fdsup://IBCentral/FAT Viewer?action=UPDATE&amp;creator=factset&amp;DOC_NAME=fat:reuters_qtrly_source_window.fat&amp;display_string=Audit&amp;DYN_ARGS=TRUE&amp;VAR:ID1=221353&amp;VAR:RCODE=AEQI&amp;VAR:SDATE=20081299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579__FDSAUDITLINK__" hidden="1">{"fdsup://IBCentral/FAT Viewer?action=UPDATE&amp;creator=factset&amp;DOC_NAME=fat:reuters_qtrly_source_window.fat&amp;display_string=Audit&amp;DYN_ARGS=TRUE&amp;VAR:ID1=221353&amp;VAR:RCODE=AEQI&amp;VAR:SDATE=20081299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58__FDSAUDITLINK__" localSheetId="8" hidden="1">{"fdsup://directions/FAT Viewer?action=UPDATE&amp;creator=factset&amp;DYN_ARGS=TRUE&amp;DOC_NAME=FAT:FQL_AUDITING_CLIENT_TEMPLATE.FAT&amp;display_string=Audit&amp;VAR:KEY=BCXAHWLOJO&amp;VAR:QUERY=RkZfRUJJVF9JQignQU5OJywzOTQ0NywsLCwnR0JQJyk=&amp;WINDOW=FIRST_POPUP&amp;HEIGHT=450&amp;WIDTH=450&amp;","START_MAXIMIZED=FALSE&amp;VAR:CALENDAR=FIVEDAY&amp;VAR:SYMBOL=063002&amp;VAR:INDEX=0"}</definedName>
    <definedName name="_158__FDSAUDITLINK__" hidden="1">{"fdsup://Directions/FactSet Auditing Viewer?action=AUDIT_VALUE&amp;DB=129&amp;ID1=711075&amp;VALUEID=01149&amp;SDATE=2011&amp;PERIODTYPE=ANN_STD&amp;SCFT=3&amp;window=popup_no_bar&amp;width=385&amp;height=120&amp;START_MAXIMIZED=FALSE&amp;creator=factset&amp;display_string=Audit"}</definedName>
    <definedName name="_158__FDSAUDITLINK___1" localSheetId="8" hidden="1">{"fdsup://directions/FAT Viewer?action=UPDATE&amp;creator=factset&amp;DYN_ARGS=TRUE&amp;DOC_NAME=FAT:FQL_AUDITING_CLIENT_TEMPLATE.FAT&amp;display_string=Audit&amp;VAR:KEY=BCXAHWLOJO&amp;VAR:QUERY=RkZfRUJJVF9JQignQU5OJywzOTQ0NywsLCwnR0JQJyk=&amp;WINDOW=FIRST_POPUP&amp;HEIGHT=450&amp;WIDTH=450&amp;","START_MAXIMIZED=FALSE&amp;VAR:CALENDAR=FIVEDAY&amp;VAR:SYMBOL=063002&amp;VAR:INDEX=0"}</definedName>
    <definedName name="_158__FDSAUDITLINK___1" hidden="1">{"fdsup://directions/FAT Viewer?action=UPDATE&amp;creator=factset&amp;DYN_ARGS=TRUE&amp;DOC_NAME=FAT:FQL_AUDITING_CLIENT_TEMPLATE.FAT&amp;display_string=Audit&amp;VAR:KEY=BCXAHWLOJO&amp;VAR:QUERY=RkZfRUJJVF9JQignQU5OJywzOTQ0NywsLCwnR0JQJyk=&amp;WINDOW=FIRST_POPUP&amp;HEIGHT=450&amp;WIDTH=450&amp;","START_MAXIMIZED=FALSE&amp;VAR:CALENDAR=FIVEDAY&amp;VAR:SYMBOL=063002&amp;VAR:INDEX=0"}</definedName>
    <definedName name="_1580__FDSAUDITLINK__" localSheetId="8" hidden="1">{"fdsup://IBCentral/FAT Viewer?action=UPDATE&amp;creator=factset&amp;DOC_NAME=fat:reuters_qtrly_source_window.fat&amp;display_string=Audit&amp;DYN_ARGS=TRUE&amp;VAR:ID1=221353&amp;VAR:RCODE=LMIN&amp;VAR:SDATE=20081299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580__FDSAUDITLINK__" hidden="1">{"fdsup://IBCentral/FAT Viewer?action=UPDATE&amp;creator=factset&amp;DOC_NAME=fat:reuters_qtrly_source_window.fat&amp;display_string=Audit&amp;DYN_ARGS=TRUE&amp;VAR:ID1=221353&amp;VAR:RCODE=LMIN&amp;VAR:SDATE=20081299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581__FDSAUDITLINK__" localSheetId="8" hidden="1">{"fdsup://IBCentral/FAT Viewer?action=UPDATE&amp;creator=factset&amp;DOC_NAME=fat:reuters_qtrly_source_window.fat&amp;display_string=Audit&amp;DYN_ARGS=TRUE&amp;VAR:ID1=221353&amp;VAR:RCODE=STLD&amp;VAR:SDATE=20081299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581__FDSAUDITLINK__" hidden="1">{"fdsup://IBCentral/FAT Viewer?action=UPDATE&amp;creator=factset&amp;DOC_NAME=fat:reuters_qtrly_source_window.fat&amp;display_string=Audit&amp;DYN_ARGS=TRUE&amp;VAR:ID1=221353&amp;VAR:RCODE=STLD&amp;VAR:SDATE=20081299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582__FDSAUDITLINK__" localSheetId="8" hidden="1">{"fdsup://IBCentral/FAT Viewer?action=UPDATE&amp;creator=factset&amp;DOC_NAME=fat:reuters_qtrly_source_window.fat&amp;display_string=Audit&amp;DYN_ARGS=TRUE&amp;VAR:ID1=221353&amp;VAR:RCODE=SCSI&amp;VAR:SDATE=20081299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582__FDSAUDITLINK__" hidden="1">{"fdsup://IBCentral/FAT Viewer?action=UPDATE&amp;creator=factset&amp;DOC_NAME=fat:reuters_qtrly_source_window.fat&amp;display_string=Audit&amp;DYN_ARGS=TRUE&amp;VAR:ID1=221353&amp;VAR:RCODE=SCSI&amp;VAR:SDATE=20081299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583__FDSAUDITLINK__" localSheetId="8" hidden="1">{"fdsup://IBCentral/FAT Viewer?action=UPDATE&amp;creator=factset&amp;DOC_NAME=fat:reuters_annual_source_window.fat&amp;display_string=Audit&amp;DYN_ARGS=TRUE&amp;VAR:ID1=221353&amp;VAR:RCODE=FDSPFDSTKTOTAL&amp;VAR:SDATE=20081299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583__FDSAUDITLINK__" hidden="1">{"fdsup://IBCentral/FAT Viewer?action=UPDATE&amp;creator=factset&amp;DOC_NAME=fat:reuters_annual_source_window.fat&amp;display_string=Audit&amp;DYN_ARGS=TRUE&amp;VAR:ID1=221353&amp;VAR:RCODE=FDSPFDSTKTOTAL&amp;VAR:SDATE=20081299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584__FDSAUDITLINK__" localSheetId="8" hidden="1">{"fdsup://IBCentral/FAT Viewer?action=UPDATE&amp;creator=factset&amp;DOC_NAME=fat:reuters_qtrly_source_window.fat&amp;display_string=Audit&amp;DYN_ARGS=TRUE&amp;VAR:ID1=221353&amp;VAR:RCODE=AEQI&amp;VAR:SDATE=20081299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584__FDSAUDITLINK__" hidden="1">{"fdsup://IBCentral/FAT Viewer?action=UPDATE&amp;creator=factset&amp;DOC_NAME=fat:reuters_qtrly_source_window.fat&amp;display_string=Audit&amp;DYN_ARGS=TRUE&amp;VAR:ID1=221353&amp;VAR:RCODE=AEQI&amp;VAR:SDATE=20081299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585__FDSAUDITLINK__" localSheetId="8" hidden="1">{"fdsup://IBCentral/FAT Viewer?action=UPDATE&amp;creator=factset&amp;DOC_NAME=fat:reuters_qtrly_source_window.fat&amp;display_string=Audit&amp;DYN_ARGS=TRUE&amp;VAR:ID1=221353&amp;VAR:RCODE=LMIN&amp;VAR:SDATE=20081299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585__FDSAUDITLINK__" hidden="1">{"fdsup://IBCentral/FAT Viewer?action=UPDATE&amp;creator=factset&amp;DOC_NAME=fat:reuters_qtrly_source_window.fat&amp;display_string=Audit&amp;DYN_ARGS=TRUE&amp;VAR:ID1=221353&amp;VAR:RCODE=LMIN&amp;VAR:SDATE=20081299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586__FDSAUDITLINK__" localSheetId="8" hidden="1">{"fdsup://IBCentral/FAT Viewer?action=UPDATE&amp;creator=factset&amp;DOC_NAME=fat:reuters_qtrly_source_window.fat&amp;display_string=Audit&amp;DYN_ARGS=TRUE&amp;VAR:ID1=221353&amp;VAR:RCODE=STLD&amp;VAR:SDATE=20081299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586__FDSAUDITLINK__" hidden="1">{"fdsup://IBCentral/FAT Viewer?action=UPDATE&amp;creator=factset&amp;DOC_NAME=fat:reuters_qtrly_source_window.fat&amp;display_string=Audit&amp;DYN_ARGS=TRUE&amp;VAR:ID1=221353&amp;VAR:RCODE=STLD&amp;VAR:SDATE=20081299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587__FDSAUDITLINK__" localSheetId="8" hidden="1">{"fdsup://IBCentral/FAT Viewer?action=UPDATE&amp;creator=factset&amp;DOC_NAME=fat:reuters_qtrly_source_window.fat&amp;display_string=Audit&amp;DYN_ARGS=TRUE&amp;VAR:ID1=221353&amp;VAR:RCODE=SCSI&amp;VAR:SDATE=20081299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587__FDSAUDITLINK__" hidden="1">{"fdsup://IBCentral/FAT Viewer?action=UPDATE&amp;creator=factset&amp;DOC_NAME=fat:reuters_qtrly_source_window.fat&amp;display_string=Audit&amp;DYN_ARGS=TRUE&amp;VAR:ID1=221353&amp;VAR:RCODE=SCSI&amp;VAR:SDATE=20081299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588__FDSAUDITLINK__" localSheetId="8" hidden="1">{"fdsup://IBCentral/FAT Viewer?action=UPDATE&amp;creator=factset&amp;DOC_NAME=fat:reuters_annual_source_window.fat&amp;display_string=Audit&amp;DYN_ARGS=TRUE&amp;VAR:ID1=221353&amp;VAR:RCODE=FDSPFDSTKTOTAL&amp;VAR:SDATE=20081299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588__FDSAUDITLINK__" hidden="1">{"fdsup://IBCentral/FAT Viewer?action=UPDATE&amp;creator=factset&amp;DOC_NAME=fat:reuters_annual_source_window.fat&amp;display_string=Audit&amp;DYN_ARGS=TRUE&amp;VAR:ID1=221353&amp;VAR:RCODE=FDSPFDSTKTOTAL&amp;VAR:SDATE=20081299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589__FDSAUDITLINK__" localSheetId="8" hidden="1">{"fdsup://IBCentral/FAT Viewer?action=UPDATE&amp;creator=factset&amp;DOC_NAME=fat:reuters_qtrly_source_window.fat&amp;display_string=Audit&amp;DYN_ARGS=TRUE&amp;VAR:ID1=221353&amp;VAR:RCODE=AEQI&amp;VAR:SDATE=20081299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589__FDSAUDITLINK__" hidden="1">{"fdsup://IBCentral/FAT Viewer?action=UPDATE&amp;creator=factset&amp;DOC_NAME=fat:reuters_qtrly_source_window.fat&amp;display_string=Audit&amp;DYN_ARGS=TRUE&amp;VAR:ID1=221353&amp;VAR:RCODE=AEQI&amp;VAR:SDATE=20081299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59__123Graph_LBL_BCHART_20" hidden="1">#REF!</definedName>
    <definedName name="_159__FDSAUDITLINK__" localSheetId="8" hidden="1">{"fdsup://directions/FAT Viewer?action=UPDATE&amp;creator=factset&amp;DYN_ARGS=TRUE&amp;DOC_NAME=FAT:FQL_AUDITING_CLIENT_TEMPLATE.FAT&amp;display_string=Audit&amp;VAR:KEY=DMLUVKVURU&amp;VAR:QUERY=RkZfRUJJVF9JQignQU5OJywzOTA4MiwsLCwnR0JQJyk=&amp;WINDOW=FIRST_POPUP&amp;HEIGHT=450&amp;WIDTH=450&amp;","START_MAXIMIZED=FALSE&amp;VAR:CALENDAR=FIVEDAY&amp;VAR:SYMBOL=063002&amp;VAR:INDEX=0"}</definedName>
    <definedName name="_159__FDSAUDITLINK__" hidden="1">{"fdsup://Directions/FactSet Auditing Viewer?action=AUDIT_VALUE&amp;DB=129&amp;ID1=450270&amp;VALUEID=01149&amp;SDATE=2011&amp;PERIODTYPE=ANN_STD&amp;SCFT=3&amp;window=popup_no_bar&amp;width=385&amp;height=120&amp;START_MAXIMIZED=FALSE&amp;creator=factset&amp;display_string=Audit"}</definedName>
    <definedName name="_159__FDSAUDITLINK___1" localSheetId="8" hidden="1">{"fdsup://directions/FAT Viewer?action=UPDATE&amp;creator=factset&amp;DYN_ARGS=TRUE&amp;DOC_NAME=FAT:FQL_AUDITING_CLIENT_TEMPLATE.FAT&amp;display_string=Audit&amp;VAR:KEY=DMLUVKVURU&amp;VAR:QUERY=RkZfRUJJVF9JQignQU5OJywzOTA4MiwsLCwnR0JQJyk=&amp;WINDOW=FIRST_POPUP&amp;HEIGHT=450&amp;WIDTH=450&amp;","START_MAXIMIZED=FALSE&amp;VAR:CALENDAR=FIVEDAY&amp;VAR:SYMBOL=063002&amp;VAR:INDEX=0"}</definedName>
    <definedName name="_159__FDSAUDITLINK___1" hidden="1">{"fdsup://directions/FAT Viewer?action=UPDATE&amp;creator=factset&amp;DYN_ARGS=TRUE&amp;DOC_NAME=FAT:FQL_AUDITING_CLIENT_TEMPLATE.FAT&amp;display_string=Audit&amp;VAR:KEY=DMLUVKVURU&amp;VAR:QUERY=RkZfRUJJVF9JQignQU5OJywzOTA4MiwsLCwnR0JQJyk=&amp;WINDOW=FIRST_POPUP&amp;HEIGHT=450&amp;WIDTH=450&amp;","START_MAXIMIZED=FALSE&amp;VAR:CALENDAR=FIVEDAY&amp;VAR:SYMBOL=063002&amp;VAR:INDEX=0"}</definedName>
    <definedName name="_1590__FDSAUDITLINK__" localSheetId="8" hidden="1">{"fdsup://IBCentral/FAT Viewer?action=UPDATE&amp;creator=factset&amp;DOC_NAME=fat:reuters_qtrly_source_window.fat&amp;display_string=Audit&amp;DYN_ARGS=TRUE&amp;VAR:ID1=221353&amp;VAR:RCODE=LMIN&amp;VAR:SDATE=20081299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590__FDSAUDITLINK__" hidden="1">{"fdsup://IBCentral/FAT Viewer?action=UPDATE&amp;creator=factset&amp;DOC_NAME=fat:reuters_qtrly_source_window.fat&amp;display_string=Audit&amp;DYN_ARGS=TRUE&amp;VAR:ID1=221353&amp;VAR:RCODE=LMIN&amp;VAR:SDATE=20081299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591__FDSAUDITLINK__" localSheetId="8" hidden="1">{"fdsup://IBCentral/FAT Viewer?action=UPDATE&amp;creator=factset&amp;DOC_NAME=fat:reuters_qtrly_source_window.fat&amp;display_string=Audit&amp;DYN_ARGS=TRUE&amp;VAR:ID1=221353&amp;VAR:RCODE=STLD&amp;VAR:SDATE=20081299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591__FDSAUDITLINK__" hidden="1">{"fdsup://IBCentral/FAT Viewer?action=UPDATE&amp;creator=factset&amp;DOC_NAME=fat:reuters_qtrly_source_window.fat&amp;display_string=Audit&amp;DYN_ARGS=TRUE&amp;VAR:ID1=221353&amp;VAR:RCODE=STLD&amp;VAR:SDATE=20081299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592__FDSAUDITLINK__" localSheetId="8" hidden="1">{"fdsup://IBCentral/FAT Viewer?action=UPDATE&amp;creator=factset&amp;DOC_NAME=fat:reuters_qtrly_source_window.fat&amp;display_string=Audit&amp;DYN_ARGS=TRUE&amp;VAR:ID1=221353&amp;VAR:RCODE=SCSI&amp;VAR:SDATE=20081299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592__FDSAUDITLINK__" hidden="1">{"fdsup://IBCentral/FAT Viewer?action=UPDATE&amp;creator=factset&amp;DOC_NAME=fat:reuters_qtrly_source_window.fat&amp;display_string=Audit&amp;DYN_ARGS=TRUE&amp;VAR:ID1=221353&amp;VAR:RCODE=SCSI&amp;VAR:SDATE=20081299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593__FDSAUDITLINK__" localSheetId="8" hidden="1">{"fdsup://IBCentral/FAT Viewer?action=UPDATE&amp;creator=factset&amp;DOC_NAME=fat:reuters_annual_source_window.fat&amp;display_string=Audit&amp;DYN_ARGS=TRUE&amp;VAR:ID1=221353&amp;VAR:RCODE=FDSPFDSTKTOTAL&amp;VAR:SDATE=20081299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593__FDSAUDITLINK__" hidden="1">{"fdsup://IBCentral/FAT Viewer?action=UPDATE&amp;creator=factset&amp;DOC_NAME=fat:reuters_annual_source_window.fat&amp;display_string=Audit&amp;DYN_ARGS=TRUE&amp;VAR:ID1=221353&amp;VAR:RCODE=FDSPFDSTKTOTAL&amp;VAR:SDATE=20081299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594__FDSAUDITLINK__" localSheetId="8" hidden="1">{"fdsup://IBCentral/FAT Viewer?action=UPDATE&amp;creator=factset&amp;DOC_NAME=fat:reuters_qtrly_source_window.fat&amp;display_string=Audit&amp;DYN_ARGS=TRUE&amp;VAR:ID1=221353&amp;VAR:RCODE=AEQI&amp;VAR:SDATE=20081299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594__FDSAUDITLINK__" hidden="1">{"fdsup://IBCentral/FAT Viewer?action=UPDATE&amp;creator=factset&amp;DOC_NAME=fat:reuters_qtrly_source_window.fat&amp;display_string=Audit&amp;DYN_ARGS=TRUE&amp;VAR:ID1=221353&amp;VAR:RCODE=AEQI&amp;VAR:SDATE=20081299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595__FDSAUDITLINK__" localSheetId="8" hidden="1">{"fdsup://IBCentral/FAT Viewer?action=UPDATE&amp;creator=factset&amp;DOC_NAME=fat:reuters_qtrly_source_window.fat&amp;display_string=Audit&amp;DYN_ARGS=TRUE&amp;VAR:ID1=221353&amp;VAR:RCODE=LMIN&amp;VAR:SDATE=20081299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595__FDSAUDITLINK__" hidden="1">{"fdsup://IBCentral/FAT Viewer?action=UPDATE&amp;creator=factset&amp;DOC_NAME=fat:reuters_qtrly_source_window.fat&amp;display_string=Audit&amp;DYN_ARGS=TRUE&amp;VAR:ID1=221353&amp;VAR:RCODE=LMIN&amp;VAR:SDATE=20081299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596__FDSAUDITLINK__" localSheetId="8" hidden="1">{"fdsup://IBCentral/FAT Viewer?action=UPDATE&amp;creator=factset&amp;DOC_NAME=fat:reuters_qtrly_source_window.fat&amp;display_string=Audit&amp;DYN_ARGS=TRUE&amp;VAR:ID1=221353&amp;VAR:RCODE=STLD&amp;VAR:SDATE=20081299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596__FDSAUDITLINK__" hidden="1">{"fdsup://IBCentral/FAT Viewer?action=UPDATE&amp;creator=factset&amp;DOC_NAME=fat:reuters_qtrly_source_window.fat&amp;display_string=Audit&amp;DYN_ARGS=TRUE&amp;VAR:ID1=221353&amp;VAR:RCODE=STLD&amp;VAR:SDATE=20081299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597__FDSAUDITLINK__" localSheetId="8" hidden="1">{"fdsup://IBCentral/FAT Viewer?action=UPDATE&amp;creator=factset&amp;DOC_NAME=fat:reuters_qtrly_source_window.fat&amp;display_string=Audit&amp;DYN_ARGS=TRUE&amp;VAR:ID1=221353&amp;VAR:RCODE=SCSI&amp;VAR:SDATE=20081299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597__FDSAUDITLINK__" hidden="1">{"fdsup://IBCentral/FAT Viewer?action=UPDATE&amp;creator=factset&amp;DOC_NAME=fat:reuters_qtrly_source_window.fat&amp;display_string=Audit&amp;DYN_ARGS=TRUE&amp;VAR:ID1=221353&amp;VAR:RCODE=SCSI&amp;VAR:SDATE=20081299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598__FDSAUDITLINK__" localSheetId="8" hidden="1">{"fdsup://IBCentral/FAT Viewer?action=UPDATE&amp;creator=factset&amp;DOC_NAME=fat:reuters_annual_source_window.fat&amp;display_string=Audit&amp;DYN_ARGS=TRUE&amp;VAR:ID1=221353&amp;VAR:RCODE=FDSPFDSTKTOTAL&amp;VAR:SDATE=20081299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598__FDSAUDITLINK__" hidden="1">{"fdsup://IBCentral/FAT Viewer?action=UPDATE&amp;creator=factset&amp;DOC_NAME=fat:reuters_annual_source_window.fat&amp;display_string=Audit&amp;DYN_ARGS=TRUE&amp;VAR:ID1=221353&amp;VAR:RCODE=FDSPFDSTKTOTAL&amp;VAR:SDATE=20081299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599__FDSAUDITLINK__" localSheetId="8" hidden="1">{"fdsup://IBCentral/FAT Viewer?action=UPDATE&amp;creator=factset&amp;DOC_NAME=fat:reuters_qtrly_source_window.fat&amp;display_string=Audit&amp;DYN_ARGS=TRUE&amp;VAR:ID1=221353&amp;VAR:RCODE=AEQI&amp;VAR:SDATE=20081299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599__FDSAUDITLINK__" hidden="1">{"fdsup://IBCentral/FAT Viewer?action=UPDATE&amp;creator=factset&amp;DOC_NAME=fat:reuters_qtrly_source_window.fat&amp;display_string=Audit&amp;DYN_ARGS=TRUE&amp;VAR:ID1=221353&amp;VAR:RCODE=AEQI&amp;VAR:SDATE=20081299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6__123Graph_ACHART_2" hidden="1">#N/A</definedName>
    <definedName name="_16__123Graph_ACHART_26" localSheetId="8" hidden="1">#REF!</definedName>
    <definedName name="_16__123Graph_ACHART_26" hidden="1">#REF!</definedName>
    <definedName name="_16__123Graph_ACHART_6" hidden="1">#REF!</definedName>
    <definedName name="_16__123Graph_ACHART_8" hidden="1">#REF!</definedName>
    <definedName name="_16__123Graph_BCHART_6" localSheetId="8" hidden="1">#REF!</definedName>
    <definedName name="_16__123Graph_BCHART_6" hidden="1">#REF!</definedName>
    <definedName name="_16__123Graph_BCHART_8" localSheetId="8" hidden="1">#REF!</definedName>
    <definedName name="_16__123Graph_BCHART_8" hidden="1">#REF!</definedName>
    <definedName name="_16__123Graph_BGRAFICO_30" localSheetId="8" hidden="1">#REF!</definedName>
    <definedName name="_16__123Graph_BGRAFICO_30" hidden="1">#REF!</definedName>
    <definedName name="_16__123Graph_CCHART_4" hidden="1">#REF!</definedName>
    <definedName name="_16__123Graph_DCHART_7" hidden="1">#REF!</definedName>
    <definedName name="_16__123Graph_LBL_ACHART_3" hidden="1">#REF!</definedName>
    <definedName name="_16__123Graph_LBL_ACHART_6" hidden="1">#REF!</definedName>
    <definedName name="_16__123Graph_LBL_CGRAFICO_20" hidden="1">#REF!</definedName>
    <definedName name="_16__123Graph_LBL_EGRAFICO_20" hidden="1">#REF!</definedName>
    <definedName name="_16__123Graph_LBL_FGRAFICO_20" hidden="1">#REF!</definedName>
    <definedName name="_16__123Graph_XOG_CONFRONT_INC" hidden="1">#REF!</definedName>
    <definedName name="_16__FDSAUDITLINK__" localSheetId="8" hidden="1">{"fdsup://directions/FAT Viewer?action=UPDATE&amp;creator=factset&amp;DYN_ARGS=TRUE&amp;DOC_NAME=FAT:FQL_AUDITING_CLIENT_TEMPLATE.FAT&amp;display_string=Audit&amp;VAR:KEY=KJQZUXSJQF&amp;VAR:QUERY=RkZfRUJJVF9JQihBTk4sMzc5ODYsLCwsRVVSKQ==&amp;WINDOW=FIRST_POPUP&amp;HEIGHT=450&amp;WIDTH=450&amp;STAR","T_MAXIMIZED=FALSE&amp;VAR:CALENDAR=FIVEDAY&amp;VAR:SYMBOL=591344&amp;VAR:INDEX=0"}</definedName>
    <definedName name="_16__FDSAUDITLINK__" hidden="1">{"fdsup://directions/FAT Viewer?action=UPDATE&amp;creator=factset&amp;DYN_ARGS=TRUE&amp;DOC_NAME=FAT:FQL_AUDITING_CLIENT_TEMPLATE.FAT&amp;display_string=Audit&amp;VAR:KEY=QHMLYXQTYP&amp;VAR:QUERY=RkZfU0FMRVMoQ0FMLDIwMTEp&amp;WINDOW=FIRST_POPUP&amp;HEIGHT=450&amp;WIDTH=450&amp;START_MAXIMIZED=FALS","E&amp;VAR:CALENDAR=US&amp;VAR:SYMBOL=TXI&amp;VAR:INDEX=0"}</definedName>
    <definedName name="_16__FDSAUDITLINK___1" localSheetId="8" hidden="1">{"fdsup://directions/FAT Viewer?action=UPDATE&amp;creator=factset&amp;DYN_ARGS=TRUE&amp;DOC_NAME=FAT:FQL_AUDITING_CLIENT_TEMPLATE.FAT&amp;display_string=Audit&amp;VAR:KEY=KJQZUXSJQF&amp;VAR:QUERY=RkZfRUJJVF9JQihBTk4sMzc5ODYsLCwsRVVSKQ==&amp;WINDOW=FIRST_POPUP&amp;HEIGHT=450&amp;WIDTH=450&amp;STAR","T_MAXIMIZED=FALSE&amp;VAR:CALENDAR=FIVEDAY&amp;VAR:SYMBOL=591344&amp;VAR:INDEX=0"}</definedName>
    <definedName name="_16__FDSAUDITLINK___1" hidden="1">{"fdsup://directions/FAT Viewer?action=UPDATE&amp;creator=factset&amp;DYN_ARGS=TRUE&amp;DOC_NAME=FAT:FQL_AUDITING_CLIENT_TEMPLATE.FAT&amp;display_string=Audit&amp;VAR:KEY=KJQZUXSJQF&amp;VAR:QUERY=RkZfRUJJVF9JQihBTk4sMzc5ODYsLCwsRVVSKQ==&amp;WINDOW=FIRST_POPUP&amp;HEIGHT=450&amp;WIDTH=450&amp;STAR","T_MAXIMIZED=FALSE&amp;VAR:CALENDAR=FIVEDAY&amp;VAR:SYMBOL=591344&amp;VAR:INDEX=0"}</definedName>
    <definedName name="_16_0Swvu.Pag" hidden="1">#REF!</definedName>
    <definedName name="_16_123Graph_XDEL" hidden="1">#REF!</definedName>
    <definedName name="_160__FDSAUDITLINK__" localSheetId="7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__FDSAUDITLINK__" localSheetId="8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__FDSAUDITLINK__" hidden="1">{"fdsup://Directions/FactSet Auditing Viewer?action=AUDIT_VALUE&amp;DB=129&amp;ID1=12008R10&amp;VALUEID=01149&amp;SDATE=2011&amp;PERIODTYPE=ANN_STD&amp;SCFT=3&amp;window=popup_no_bar&amp;width=385&amp;height=120&amp;START_MAXIMIZED=FALSE&amp;creator=factset&amp;display_string=Audit"}</definedName>
    <definedName name="_160__FDSAUDITLINK___1" localSheetId="8" hidden="1">{"fdsup://directions/FAT Viewer?action=UPDATE&amp;creator=factset&amp;DYN_ARGS=TRUE&amp;DOC_NAME=FAT:FQL_AUDITING_CLIENT_TEMPLATE.FAT&amp;display_string=Audit&amp;VAR:KEY=BOXSNYXMDW&amp;VAR:QUERY=RkZfRUJJVF9JQignQU5OJywzODcxNywsLCwnR0JQJyk=&amp;WINDOW=FIRST_POPUP&amp;HEIGHT=450&amp;WIDTH=450&amp;","START_MAXIMIZED=FALSE&amp;VAR:CALENDAR=FIVEDAY&amp;VAR:SYMBOL=063002&amp;VAR:INDEX=0"}</definedName>
    <definedName name="_160__FDSAUDITLINK___1" hidden="1">{"fdsup://directions/FAT Viewer?action=UPDATE&amp;creator=factset&amp;DYN_ARGS=TRUE&amp;DOC_NAME=FAT:FQL_AUDITING_CLIENT_TEMPLATE.FAT&amp;display_string=Audit&amp;VAR:KEY=BOXSNYXMDW&amp;VAR:QUERY=RkZfRUJJVF9JQignQU5OJywzODcxNywsLCwnR0JQJyk=&amp;WINDOW=FIRST_POPUP&amp;HEIGHT=450&amp;WIDTH=450&amp;","START_MAXIMIZED=FALSE&amp;VAR:CALENDAR=FIVEDAY&amp;VAR:SYMBOL=063002&amp;VAR:INDEX=0"}</definedName>
    <definedName name="_1600__FDSAUDITLINK__" localSheetId="8" hidden="1">{"fdsup://IBCentral/FAT Viewer?action=UPDATE&amp;creator=factset&amp;DOC_NAME=fat:reuters_qtrly_source_window.fat&amp;display_string=Audit&amp;DYN_ARGS=TRUE&amp;VAR:ID1=221353&amp;VAR:RCODE=LMIN&amp;VAR:SDATE=20081299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600__FDSAUDITLINK__" hidden="1">{"fdsup://IBCentral/FAT Viewer?action=UPDATE&amp;creator=factset&amp;DOC_NAME=fat:reuters_qtrly_source_window.fat&amp;display_string=Audit&amp;DYN_ARGS=TRUE&amp;VAR:ID1=221353&amp;VAR:RCODE=LMIN&amp;VAR:SDATE=20081299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601__FDSAUDITLINK__" localSheetId="8" hidden="1">{"fdsup://IBCentral/FAT Viewer?action=UPDATE&amp;creator=factset&amp;DOC_NAME=fat:reuters_qtrly_source_window.fat&amp;display_string=Audit&amp;DYN_ARGS=TRUE&amp;VAR:ID1=221353&amp;VAR:RCODE=STLD&amp;VAR:SDATE=20081299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601__FDSAUDITLINK__" hidden="1">{"fdsup://IBCentral/FAT Viewer?action=UPDATE&amp;creator=factset&amp;DOC_NAME=fat:reuters_qtrly_source_window.fat&amp;display_string=Audit&amp;DYN_ARGS=TRUE&amp;VAR:ID1=221353&amp;VAR:RCODE=STLD&amp;VAR:SDATE=20081299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602__FDSAUDITLINK__" localSheetId="8" hidden="1">{"fdsup://IBCentral/FAT Viewer?action=UPDATE&amp;creator=factset&amp;DOC_NAME=fat:reuters_qtrly_source_window.fat&amp;display_string=Audit&amp;DYN_ARGS=TRUE&amp;VAR:ID1=221353&amp;VAR:RCODE=SCSI&amp;VAR:SDATE=20081299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602__FDSAUDITLINK__" hidden="1">{"fdsup://IBCentral/FAT Viewer?action=UPDATE&amp;creator=factset&amp;DOC_NAME=fat:reuters_qtrly_source_window.fat&amp;display_string=Audit&amp;DYN_ARGS=TRUE&amp;VAR:ID1=221353&amp;VAR:RCODE=SCSI&amp;VAR:SDATE=20081299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603__FDSAUDITLINK__" localSheetId="8" hidden="1">{"fdsup://IBCentral/FAT Viewer?action=UPDATE&amp;creator=factset&amp;DOC_NAME=fat:reuters_annual_source_window.fat&amp;display_string=Audit&amp;DYN_ARGS=TRUE&amp;VAR:ID1=221353&amp;VAR:RCODE=FDSPFDSTKTOTAL&amp;VAR:SDATE=20081299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603__FDSAUDITLINK__" hidden="1">{"fdsup://IBCentral/FAT Viewer?action=UPDATE&amp;creator=factset&amp;DOC_NAME=fat:reuters_annual_source_window.fat&amp;display_string=Audit&amp;DYN_ARGS=TRUE&amp;VAR:ID1=221353&amp;VAR:RCODE=FDSPFDSTKTOTAL&amp;VAR:SDATE=20081299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604__FDSAUDITLINK__" localSheetId="8" hidden="1">{"fdsup://IBCentral/FAT Viewer?action=UPDATE&amp;creator=factset&amp;DOC_NAME=fat:reuters_qtrly_source_window.fat&amp;display_string=Audit&amp;DYN_ARGS=TRUE&amp;VAR:ID1=221353&amp;VAR:RCODE=AEQI&amp;VAR:SDATE=20081299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604__FDSAUDITLINK__" hidden="1">{"fdsup://IBCentral/FAT Viewer?action=UPDATE&amp;creator=factset&amp;DOC_NAME=fat:reuters_qtrly_source_window.fat&amp;display_string=Audit&amp;DYN_ARGS=TRUE&amp;VAR:ID1=221353&amp;VAR:RCODE=AEQI&amp;VAR:SDATE=20081299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605__FDSAUDITLINK__" localSheetId="8" hidden="1">{"fdsup://IBCentral/FAT Viewer?action=UPDATE&amp;creator=factset&amp;DOC_NAME=fat:reuters_qtrly_source_window.fat&amp;display_string=Audit&amp;DYN_ARGS=TRUE&amp;VAR:ID1=221353&amp;VAR:RCODE=LMIN&amp;VAR:SDATE=20081299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605__FDSAUDITLINK__" hidden="1">{"fdsup://IBCentral/FAT Viewer?action=UPDATE&amp;creator=factset&amp;DOC_NAME=fat:reuters_qtrly_source_window.fat&amp;display_string=Audit&amp;DYN_ARGS=TRUE&amp;VAR:ID1=221353&amp;VAR:RCODE=LMIN&amp;VAR:SDATE=20081299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606__FDSAUDITLINK__" localSheetId="8" hidden="1">{"fdsup://IBCentral/FAT Viewer?action=UPDATE&amp;creator=factset&amp;DOC_NAME=fat:reuters_qtrly_source_window.fat&amp;display_string=Audit&amp;DYN_ARGS=TRUE&amp;VAR:ID1=221353&amp;VAR:RCODE=STLD&amp;VAR:SDATE=20081299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606__FDSAUDITLINK__" hidden="1">{"fdsup://IBCentral/FAT Viewer?action=UPDATE&amp;creator=factset&amp;DOC_NAME=fat:reuters_qtrly_source_window.fat&amp;display_string=Audit&amp;DYN_ARGS=TRUE&amp;VAR:ID1=221353&amp;VAR:RCODE=STLD&amp;VAR:SDATE=20081299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607__FDSAUDITLINK__" localSheetId="8" hidden="1">{"fdsup://IBCentral/FAT Viewer?action=UPDATE&amp;creator=factset&amp;DOC_NAME=fat:reuters_qtrly_source_window.fat&amp;display_string=Audit&amp;DYN_ARGS=TRUE&amp;VAR:ID1=221353&amp;VAR:RCODE=SCSI&amp;VAR:SDATE=20081299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607__FDSAUDITLINK__" hidden="1">{"fdsup://IBCentral/FAT Viewer?action=UPDATE&amp;creator=factset&amp;DOC_NAME=fat:reuters_qtrly_source_window.fat&amp;display_string=Audit&amp;DYN_ARGS=TRUE&amp;VAR:ID1=221353&amp;VAR:RCODE=SCSI&amp;VAR:SDATE=20081299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608__FDSAUDITLINK__" localSheetId="8" hidden="1">{"fdsup://IBCentral/FAT Viewer?action=UPDATE&amp;creator=factset&amp;DOC_NAME=fat:reuters_annual_source_window.fat&amp;display_string=Audit&amp;DYN_ARGS=TRUE&amp;VAR:ID1=221353&amp;VAR:RCODE=FDSPFDSTKTOTAL&amp;VAR:SDATE=20081299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608__FDSAUDITLINK__" hidden="1">{"fdsup://IBCentral/FAT Viewer?action=UPDATE&amp;creator=factset&amp;DOC_NAME=fat:reuters_annual_source_window.fat&amp;display_string=Audit&amp;DYN_ARGS=TRUE&amp;VAR:ID1=221353&amp;VAR:RCODE=FDSPFDSTKTOTAL&amp;VAR:SDATE=20081299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609__FDSAUDITLINK__" localSheetId="8" hidden="1">{"fdsup://IBCentral/FAT Viewer?action=UPDATE&amp;creator=factset&amp;DOC_NAME=fat:reuters_qtrly_source_window.fat&amp;display_string=Audit&amp;DYN_ARGS=TRUE&amp;VAR:ID1=221353&amp;VAR:RCODE=AEQI&amp;VAR:SDATE=20081299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609__FDSAUDITLINK__" hidden="1">{"fdsup://IBCentral/FAT Viewer?action=UPDATE&amp;creator=factset&amp;DOC_NAME=fat:reuters_qtrly_source_window.fat&amp;display_string=Audit&amp;DYN_ARGS=TRUE&amp;VAR:ID1=221353&amp;VAR:RCODE=AEQI&amp;VAR:SDATE=20081299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61__FDSAUDITLINK__" localSheetId="8" hidden="1">{"fdsup://directions/FAT Viewer?action=UPDATE&amp;creator=factset&amp;DYN_ARGS=TRUE&amp;DOC_NAME=FAT:FQL_AUDITING_CLIENT_TEMPLATE.FAT&amp;display_string=Audit&amp;VAR:KEY=VMNWZERMFC&amp;VAR:QUERY=RkZfRUJJVF9JQignQU5OJywzODM1MiwsLCwnR0JQJyk=&amp;WINDOW=FIRST_POPUP&amp;HEIGHT=450&amp;WIDTH=450&amp;","START_MAXIMIZED=FALSE&amp;VAR:CALENDAR=FIVEDAY&amp;VAR:SYMBOL=063002&amp;VAR:INDEX=0"}</definedName>
    <definedName name="_161__FDSAUDITLINK__" hidden="1">{"fdsup://Directions/FactSet Auditing Viewer?action=AUDIT_VALUE&amp;DB=129&amp;ID1=92916010&amp;VALUEID=01149&amp;SDATE=2011&amp;PERIODTYPE=ANN_STD&amp;SCFT=3&amp;window=popup_no_bar&amp;width=385&amp;height=120&amp;START_MAXIMIZED=FALSE&amp;creator=factset&amp;display_string=Audit"}</definedName>
    <definedName name="_161__FDSAUDITLINK___1" localSheetId="8" hidden="1">{"fdsup://directions/FAT Viewer?action=UPDATE&amp;creator=factset&amp;DYN_ARGS=TRUE&amp;DOC_NAME=FAT:FQL_AUDITING_CLIENT_TEMPLATE.FAT&amp;display_string=Audit&amp;VAR:KEY=VMNWZERMFC&amp;VAR:QUERY=RkZfRUJJVF9JQignQU5OJywzODM1MiwsLCwnR0JQJyk=&amp;WINDOW=FIRST_POPUP&amp;HEIGHT=450&amp;WIDTH=450&amp;","START_MAXIMIZED=FALSE&amp;VAR:CALENDAR=FIVEDAY&amp;VAR:SYMBOL=063002&amp;VAR:INDEX=0"}</definedName>
    <definedName name="_161__FDSAUDITLINK___1" hidden="1">{"fdsup://directions/FAT Viewer?action=UPDATE&amp;creator=factset&amp;DYN_ARGS=TRUE&amp;DOC_NAME=FAT:FQL_AUDITING_CLIENT_TEMPLATE.FAT&amp;display_string=Audit&amp;VAR:KEY=VMNWZERMFC&amp;VAR:QUERY=RkZfRUJJVF9JQignQU5OJywzODM1MiwsLCwnR0JQJyk=&amp;WINDOW=FIRST_POPUP&amp;HEIGHT=450&amp;WIDTH=450&amp;","START_MAXIMIZED=FALSE&amp;VAR:CALENDAR=FIVEDAY&amp;VAR:SYMBOL=063002&amp;VAR:INDEX=0"}</definedName>
    <definedName name="_1610__FDSAUDITLINK__" localSheetId="8" hidden="1">{"fdsup://IBCentral/FAT Viewer?action=UPDATE&amp;creator=factset&amp;DOC_NAME=fat:reuters_qtrly_source_window.fat&amp;display_string=Audit&amp;DYN_ARGS=TRUE&amp;VAR:ID1=221353&amp;VAR:RCODE=LMIN&amp;VAR:SDATE=20081299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610__FDSAUDITLINK__" hidden="1">{"fdsup://IBCentral/FAT Viewer?action=UPDATE&amp;creator=factset&amp;DOC_NAME=fat:reuters_qtrly_source_window.fat&amp;display_string=Audit&amp;DYN_ARGS=TRUE&amp;VAR:ID1=221353&amp;VAR:RCODE=LMIN&amp;VAR:SDATE=20081299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611__FDSAUDITLINK__" localSheetId="8" hidden="1">{"fdsup://IBCentral/FAT Viewer?action=UPDATE&amp;creator=factset&amp;DOC_NAME=fat:reuters_qtrly_source_window.fat&amp;display_string=Audit&amp;DYN_ARGS=TRUE&amp;VAR:ID1=221353&amp;VAR:RCODE=STLD&amp;VAR:SDATE=20081299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611__FDSAUDITLINK__" hidden="1">{"fdsup://IBCentral/FAT Viewer?action=UPDATE&amp;creator=factset&amp;DOC_NAME=fat:reuters_qtrly_source_window.fat&amp;display_string=Audit&amp;DYN_ARGS=TRUE&amp;VAR:ID1=221353&amp;VAR:RCODE=STLD&amp;VAR:SDATE=20081299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612__FDSAUDITLINK__" localSheetId="8" hidden="1">{"fdsup://IBCentral/FAT Viewer?action=UPDATE&amp;creator=factset&amp;DOC_NAME=fat:reuters_qtrly_source_window.fat&amp;display_string=Audit&amp;DYN_ARGS=TRUE&amp;VAR:ID1=221353&amp;VAR:RCODE=SCSI&amp;VAR:SDATE=20081299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612__FDSAUDITLINK__" hidden="1">{"fdsup://IBCentral/FAT Viewer?action=UPDATE&amp;creator=factset&amp;DOC_NAME=fat:reuters_qtrly_source_window.fat&amp;display_string=Audit&amp;DYN_ARGS=TRUE&amp;VAR:ID1=221353&amp;VAR:RCODE=SCSI&amp;VAR:SDATE=20081299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613__FDSAUDITLINK__" localSheetId="8" hidden="1">{"fdsup://IBCentral/FAT Viewer?action=UPDATE&amp;creator=factset&amp;DOC_NAME=fat:reuters_annual_source_window.fat&amp;display_string=Audit&amp;DYN_ARGS=TRUE&amp;VAR:ID1=221353&amp;VAR:RCODE=FDSPFDSTKTOTAL&amp;VAR:SDATE=20081299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613__FDSAUDITLINK__" hidden="1">{"fdsup://IBCentral/FAT Viewer?action=UPDATE&amp;creator=factset&amp;DOC_NAME=fat:reuters_annual_source_window.fat&amp;display_string=Audit&amp;DYN_ARGS=TRUE&amp;VAR:ID1=221353&amp;VAR:RCODE=FDSPFDSTKTOTAL&amp;VAR:SDATE=20081299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614__FDSAUDITLINK__" localSheetId="8" hidden="1">{"fdsup://IBCentral/FAT Viewer?action=UPDATE&amp;creator=factset&amp;DOC_NAME=fat:reuters_qtrly_source_window.fat&amp;display_string=Audit&amp;DYN_ARGS=TRUE&amp;VAR:ID1=221353&amp;VAR:RCODE=AEQI&amp;VAR:SDATE=20090399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614__FDSAUDITLINK__" hidden="1">{"fdsup://IBCentral/FAT Viewer?action=UPDATE&amp;creator=factset&amp;DOC_NAME=fat:reuters_qtrly_source_window.fat&amp;display_string=Audit&amp;DYN_ARGS=TRUE&amp;VAR:ID1=221353&amp;VAR:RCODE=AEQI&amp;VAR:SDATE=20090399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615__FDSAUDITLINK__" localSheetId="8" hidden="1">{"fdsup://IBCentral/FAT Viewer?action=UPDATE&amp;creator=factset&amp;DOC_NAME=fat:reuters_qtrly_source_window.fat&amp;display_string=Audit&amp;DYN_ARGS=TRUE&amp;VAR:ID1=221353&amp;VAR:RCODE=LMIN&amp;VAR:SDATE=20090399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615__FDSAUDITLINK__" hidden="1">{"fdsup://IBCentral/FAT Viewer?action=UPDATE&amp;creator=factset&amp;DOC_NAME=fat:reuters_qtrly_source_window.fat&amp;display_string=Audit&amp;DYN_ARGS=TRUE&amp;VAR:ID1=221353&amp;VAR:RCODE=LMIN&amp;VAR:SDATE=20090399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616__FDSAUDITLINK__" localSheetId="8" hidden="1">{"fdsup://IBCentral/FAT Viewer?action=UPDATE&amp;creator=factset&amp;DOC_NAME=fat:reuters_qtrly_source_window.fat&amp;display_string=Audit&amp;DYN_ARGS=TRUE&amp;VAR:ID1=221353&amp;VAR:RCODE=STLD&amp;VAR:SDATE=20090399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616__FDSAUDITLINK__" hidden="1">{"fdsup://IBCentral/FAT Viewer?action=UPDATE&amp;creator=factset&amp;DOC_NAME=fat:reuters_qtrly_source_window.fat&amp;display_string=Audit&amp;DYN_ARGS=TRUE&amp;VAR:ID1=221353&amp;VAR:RCODE=STLD&amp;VAR:SDATE=20090399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617__FDSAUDITLINK__" localSheetId="8" hidden="1">{"fdsup://IBCentral/FAT Viewer?action=UPDATE&amp;creator=factset&amp;DOC_NAME=fat:reuters_qtrly_source_window.fat&amp;display_string=Audit&amp;DYN_ARGS=TRUE&amp;VAR:ID1=221353&amp;VAR:RCODE=SCSI&amp;VAR:SDATE=20090399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617__FDSAUDITLINK__" hidden="1">{"fdsup://IBCentral/FAT Viewer?action=UPDATE&amp;creator=factset&amp;DOC_NAME=fat:reuters_qtrly_source_window.fat&amp;display_string=Audit&amp;DYN_ARGS=TRUE&amp;VAR:ID1=221353&amp;VAR:RCODE=SCSI&amp;VAR:SDATE=20090399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618__FDSAUDITLINK__" localSheetId="8" hidden="1">{"fdsup://IBCentral/FAT Viewer?action=UPDATE&amp;creator=factset&amp;DOC_NAME=fat:reuters_annual_source_window.fat&amp;display_string=Audit&amp;DYN_ARGS=TRUE&amp;VAR:ID1=221353&amp;VAR:RCODE=FDSPFDSTKTOTAL&amp;VAR:SDATE=20081299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618__FDSAUDITLINK__" hidden="1">{"fdsup://IBCentral/FAT Viewer?action=UPDATE&amp;creator=factset&amp;DOC_NAME=fat:reuters_annual_source_window.fat&amp;display_string=Audit&amp;DYN_ARGS=TRUE&amp;VAR:ID1=221353&amp;VAR:RCODE=FDSPFDSTKTOTAL&amp;VAR:SDATE=20081299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619__FDSAUDITLINK__" localSheetId="8" hidden="1">{"fdsup://IBCentral/FAT Viewer?action=UPDATE&amp;creator=factset&amp;DOC_NAME=fat:reuters_qtrly_source_window.fat&amp;display_string=Audit&amp;DYN_ARGS=TRUE&amp;VAR:ID1=221353&amp;VAR:RCODE=AEQI&amp;VAR:SDATE=20090399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619__FDSAUDITLINK__" hidden="1">{"fdsup://IBCentral/FAT Viewer?action=UPDATE&amp;creator=factset&amp;DOC_NAME=fat:reuters_qtrly_source_window.fat&amp;display_string=Audit&amp;DYN_ARGS=TRUE&amp;VAR:ID1=221353&amp;VAR:RCODE=AEQI&amp;VAR:SDATE=20090399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62__FDSAUDITLINK__" localSheetId="8" hidden="1">{"fdsup://directions/FAT Viewer?action=UPDATE&amp;creator=factset&amp;DYN_ARGS=TRUE&amp;DOC_NAME=FAT:FQL_AUDITING_CLIENT_TEMPLATE.FAT&amp;display_string=Audit&amp;VAR:KEY=FWFYZIVCJW&amp;VAR:QUERY=RkZfRUJJVF9JQignQU5OJywzNzk4NiwsLCwnR0JQJyk=&amp;WINDOW=FIRST_POPUP&amp;HEIGHT=450&amp;WIDTH=450&amp;","START_MAXIMIZED=FALSE&amp;VAR:CALENDAR=FIVEDAY&amp;VAR:SYMBOL=063002&amp;VAR:INDEX=0"}</definedName>
    <definedName name="_162__FDSAUDITLINK__" hidden="1">{"fdsup://Directions/FactSet Auditing Viewer?action=AUDIT_VALUE&amp;DB=129&amp;ID1=57328410&amp;VALUEID=01149&amp;SDATE=2011&amp;PERIODTYPE=ANN_STD&amp;SCFT=3&amp;window=popup_no_bar&amp;width=385&amp;height=120&amp;START_MAXIMIZED=FALSE&amp;creator=factset&amp;display_string=Audit"}</definedName>
    <definedName name="_162__FDSAUDITLINK___1" localSheetId="8" hidden="1">{"fdsup://directions/FAT Viewer?action=UPDATE&amp;creator=factset&amp;DYN_ARGS=TRUE&amp;DOC_NAME=FAT:FQL_AUDITING_CLIENT_TEMPLATE.FAT&amp;display_string=Audit&amp;VAR:KEY=FWFYZIVCJW&amp;VAR:QUERY=RkZfRUJJVF9JQignQU5OJywzNzk4NiwsLCwnR0JQJyk=&amp;WINDOW=FIRST_POPUP&amp;HEIGHT=450&amp;WIDTH=450&amp;","START_MAXIMIZED=FALSE&amp;VAR:CALENDAR=FIVEDAY&amp;VAR:SYMBOL=063002&amp;VAR:INDEX=0"}</definedName>
    <definedName name="_162__FDSAUDITLINK___1" hidden="1">{"fdsup://directions/FAT Viewer?action=UPDATE&amp;creator=factset&amp;DYN_ARGS=TRUE&amp;DOC_NAME=FAT:FQL_AUDITING_CLIENT_TEMPLATE.FAT&amp;display_string=Audit&amp;VAR:KEY=FWFYZIVCJW&amp;VAR:QUERY=RkZfRUJJVF9JQignQU5OJywzNzk4NiwsLCwnR0JQJyk=&amp;WINDOW=FIRST_POPUP&amp;HEIGHT=450&amp;WIDTH=450&amp;","START_MAXIMIZED=FALSE&amp;VAR:CALENDAR=FIVEDAY&amp;VAR:SYMBOL=063002&amp;VAR:INDEX=0"}</definedName>
    <definedName name="_1620__FDSAUDITLINK__" localSheetId="8" hidden="1">{"fdsup://IBCentral/FAT Viewer?action=UPDATE&amp;creator=factset&amp;DOC_NAME=fat:reuters_qtrly_source_window.fat&amp;display_string=Audit&amp;DYN_ARGS=TRUE&amp;VAR:ID1=221353&amp;VAR:RCODE=LMIN&amp;VAR:SDATE=20090399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620__FDSAUDITLINK__" hidden="1">{"fdsup://IBCentral/FAT Viewer?action=UPDATE&amp;creator=factset&amp;DOC_NAME=fat:reuters_qtrly_source_window.fat&amp;display_string=Audit&amp;DYN_ARGS=TRUE&amp;VAR:ID1=221353&amp;VAR:RCODE=LMIN&amp;VAR:SDATE=20090399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621__FDSAUDITLINK__" localSheetId="8" hidden="1">{"fdsup://IBCentral/FAT Viewer?action=UPDATE&amp;creator=factset&amp;DOC_NAME=fat:reuters_qtrly_source_window.fat&amp;display_string=Audit&amp;DYN_ARGS=TRUE&amp;VAR:ID1=221353&amp;VAR:RCODE=STLD&amp;VAR:SDATE=20090399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621__FDSAUDITLINK__" hidden="1">{"fdsup://IBCentral/FAT Viewer?action=UPDATE&amp;creator=factset&amp;DOC_NAME=fat:reuters_qtrly_source_window.fat&amp;display_string=Audit&amp;DYN_ARGS=TRUE&amp;VAR:ID1=221353&amp;VAR:RCODE=STLD&amp;VAR:SDATE=20090399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622__FDSAUDITLINK__" localSheetId="8" hidden="1">{"fdsup://IBCentral/FAT Viewer?action=UPDATE&amp;creator=factset&amp;DOC_NAME=fat:reuters_qtrly_source_window.fat&amp;display_string=Audit&amp;DYN_ARGS=TRUE&amp;VAR:ID1=221353&amp;VAR:RCODE=SCSI&amp;VAR:SDATE=20090399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622__FDSAUDITLINK__" hidden="1">{"fdsup://IBCentral/FAT Viewer?action=UPDATE&amp;creator=factset&amp;DOC_NAME=fat:reuters_qtrly_source_window.fat&amp;display_string=Audit&amp;DYN_ARGS=TRUE&amp;VAR:ID1=221353&amp;VAR:RCODE=SCSI&amp;VAR:SDATE=20090399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623__FDSAUDITLINK__" localSheetId="8" hidden="1">{"fdsup://IBCentral/FAT Viewer?action=UPDATE&amp;creator=factset&amp;DOC_NAME=fat:reuters_annual_source_window.fat&amp;display_string=Audit&amp;DYN_ARGS=TRUE&amp;VAR:ID1=221353&amp;VAR:RCODE=FDSPFDSTKTOTAL&amp;VAR:SDATE=20081299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623__FDSAUDITLINK__" hidden="1">{"fdsup://IBCentral/FAT Viewer?action=UPDATE&amp;creator=factset&amp;DOC_NAME=fat:reuters_annual_source_window.fat&amp;display_string=Audit&amp;DYN_ARGS=TRUE&amp;VAR:ID1=221353&amp;VAR:RCODE=FDSPFDSTKTOTAL&amp;VAR:SDATE=20081299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624__FDSAUDITLINK__" localSheetId="8" hidden="1">{"fdsup://IBCentral/FAT Viewer?action=UPDATE&amp;creator=factset&amp;DOC_NAME=fat:reuters_qtrly_source_window.fat&amp;display_string=Audit&amp;DYN_ARGS=TRUE&amp;VAR:ID1=221353&amp;VAR:RCODE=AEQI&amp;VAR:SDATE=20090399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624__FDSAUDITLINK__" hidden="1">{"fdsup://IBCentral/FAT Viewer?action=UPDATE&amp;creator=factset&amp;DOC_NAME=fat:reuters_qtrly_source_window.fat&amp;display_string=Audit&amp;DYN_ARGS=TRUE&amp;VAR:ID1=221353&amp;VAR:RCODE=AEQI&amp;VAR:SDATE=20090399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625__FDSAUDITLINK__" localSheetId="8" hidden="1">{"fdsup://IBCentral/FAT Viewer?action=UPDATE&amp;creator=factset&amp;DOC_NAME=fat:reuters_qtrly_source_window.fat&amp;display_string=Audit&amp;DYN_ARGS=TRUE&amp;VAR:ID1=221353&amp;VAR:RCODE=LMIN&amp;VAR:SDATE=20090399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625__FDSAUDITLINK__" hidden="1">{"fdsup://IBCentral/FAT Viewer?action=UPDATE&amp;creator=factset&amp;DOC_NAME=fat:reuters_qtrly_source_window.fat&amp;display_string=Audit&amp;DYN_ARGS=TRUE&amp;VAR:ID1=221353&amp;VAR:RCODE=LMIN&amp;VAR:SDATE=20090399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626__FDSAUDITLINK__" localSheetId="8" hidden="1">{"fdsup://IBCentral/FAT Viewer?action=UPDATE&amp;creator=factset&amp;DOC_NAME=fat:reuters_qtrly_source_window.fat&amp;display_string=Audit&amp;DYN_ARGS=TRUE&amp;VAR:ID1=221353&amp;VAR:RCODE=STLD&amp;VAR:SDATE=20090399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626__FDSAUDITLINK__" hidden="1">{"fdsup://IBCentral/FAT Viewer?action=UPDATE&amp;creator=factset&amp;DOC_NAME=fat:reuters_qtrly_source_window.fat&amp;display_string=Audit&amp;DYN_ARGS=TRUE&amp;VAR:ID1=221353&amp;VAR:RCODE=STLD&amp;VAR:SDATE=20090399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627__FDSAUDITLINK__" localSheetId="8" hidden="1">{"fdsup://IBCentral/FAT Viewer?action=UPDATE&amp;creator=factset&amp;DOC_NAME=fat:reuters_qtrly_source_window.fat&amp;display_string=Audit&amp;DYN_ARGS=TRUE&amp;VAR:ID1=221353&amp;VAR:RCODE=SCSI&amp;VAR:SDATE=20090399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627__FDSAUDITLINK__" hidden="1">{"fdsup://IBCentral/FAT Viewer?action=UPDATE&amp;creator=factset&amp;DOC_NAME=fat:reuters_qtrly_source_window.fat&amp;display_string=Audit&amp;DYN_ARGS=TRUE&amp;VAR:ID1=221353&amp;VAR:RCODE=SCSI&amp;VAR:SDATE=20090399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628__FDSAUDITLINK__" localSheetId="8" hidden="1">{"fdsup://IBCentral/FAT Viewer?action=UPDATE&amp;creator=factset&amp;DOC_NAME=fat:reuters_annual_source_window.fat&amp;display_string=Audit&amp;DYN_ARGS=TRUE&amp;VAR:ID1=221353&amp;VAR:RCODE=FDSPFDSTKTOTAL&amp;VAR:SDATE=20081299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628__FDSAUDITLINK__" hidden="1">{"fdsup://IBCentral/FAT Viewer?action=UPDATE&amp;creator=factset&amp;DOC_NAME=fat:reuters_annual_source_window.fat&amp;display_string=Audit&amp;DYN_ARGS=TRUE&amp;VAR:ID1=221353&amp;VAR:RCODE=FDSPFDSTKTOTAL&amp;VAR:SDATE=20081299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629__FDSAUDITLINK__" localSheetId="8" hidden="1">{"fdsup://IBCentral/FAT Viewer?action=UPDATE&amp;creator=factset&amp;DOC_NAME=fat:reuters_qtrly_source_window.fat&amp;display_string=Audit&amp;DYN_ARGS=TRUE&amp;VAR:ID1=221353&amp;VAR:RCODE=AEQI&amp;VAR:SDATE=20090399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629__FDSAUDITLINK__" hidden="1">{"fdsup://IBCentral/FAT Viewer?action=UPDATE&amp;creator=factset&amp;DOC_NAME=fat:reuters_qtrly_source_window.fat&amp;display_string=Audit&amp;DYN_ARGS=TRUE&amp;VAR:ID1=221353&amp;VAR:RCODE=AEQI&amp;VAR:SDATE=20090399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63__FDSAUDITLINK__" localSheetId="8" hidden="1">{"fdsup://directions/FAT Viewer?action=UPDATE&amp;creator=factset&amp;DYN_ARGS=TRUE&amp;DOC_NAME=FAT:FQL_AUDITING_CLIENT_TEMPLATE.FAT&amp;display_string=Audit&amp;VAR:KEY=JCTSPKZGDW&amp;VAR:QUERY=RkZfRUJJVF9JQignQU5OJywzNzYyMSwsLCwnR0JQJyk=&amp;WINDOW=FIRST_POPUP&amp;HEIGHT=450&amp;WIDTH=450&amp;","START_MAXIMIZED=FALSE&amp;VAR:CALENDAR=FIVEDAY&amp;VAR:SYMBOL=063002&amp;VAR:INDEX=0"}</definedName>
    <definedName name="_163__FDSAUDITLINK__" hidden="1">{"fdsup://Directions/FactSet Auditing Viewer?action=AUDIT_VALUE&amp;DB=129&amp;ID1=26969P10&amp;VALUEID=01149&amp;SDATE=2011&amp;PERIODTYPE=ANN_STD&amp;SCFT=3&amp;window=popup_no_bar&amp;width=385&amp;height=120&amp;START_MAXIMIZED=FALSE&amp;creator=factset&amp;display_string=Audit"}</definedName>
    <definedName name="_163__FDSAUDITLINK___1" localSheetId="8" hidden="1">{"fdsup://directions/FAT Viewer?action=UPDATE&amp;creator=factset&amp;DYN_ARGS=TRUE&amp;DOC_NAME=FAT:FQL_AUDITING_CLIENT_TEMPLATE.FAT&amp;display_string=Audit&amp;VAR:KEY=JCTSPKZGDW&amp;VAR:QUERY=RkZfRUJJVF9JQignQU5OJywzNzYyMSwsLCwnR0JQJyk=&amp;WINDOW=FIRST_POPUP&amp;HEIGHT=450&amp;WIDTH=450&amp;","START_MAXIMIZED=FALSE&amp;VAR:CALENDAR=FIVEDAY&amp;VAR:SYMBOL=063002&amp;VAR:INDEX=0"}</definedName>
    <definedName name="_163__FDSAUDITLINK___1" hidden="1">{"fdsup://directions/FAT Viewer?action=UPDATE&amp;creator=factset&amp;DYN_ARGS=TRUE&amp;DOC_NAME=FAT:FQL_AUDITING_CLIENT_TEMPLATE.FAT&amp;display_string=Audit&amp;VAR:KEY=JCTSPKZGDW&amp;VAR:QUERY=RkZfRUJJVF9JQignQU5OJywzNzYyMSwsLCwnR0JQJyk=&amp;WINDOW=FIRST_POPUP&amp;HEIGHT=450&amp;WIDTH=450&amp;","START_MAXIMIZED=FALSE&amp;VAR:CALENDAR=FIVEDAY&amp;VAR:SYMBOL=063002&amp;VAR:INDEX=0"}</definedName>
    <definedName name="_1630__FDSAUDITLINK__" localSheetId="8" hidden="1">{"fdsup://IBCentral/FAT Viewer?action=UPDATE&amp;creator=factset&amp;DOC_NAME=fat:reuters_qtrly_source_window.fat&amp;display_string=Audit&amp;DYN_ARGS=TRUE&amp;VAR:ID1=221353&amp;VAR:RCODE=LMIN&amp;VAR:SDATE=20090399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630__FDSAUDITLINK__" hidden="1">{"fdsup://IBCentral/FAT Viewer?action=UPDATE&amp;creator=factset&amp;DOC_NAME=fat:reuters_qtrly_source_window.fat&amp;display_string=Audit&amp;DYN_ARGS=TRUE&amp;VAR:ID1=221353&amp;VAR:RCODE=LMIN&amp;VAR:SDATE=20090399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631__FDSAUDITLINK__" localSheetId="8" hidden="1">{"fdsup://IBCentral/FAT Viewer?action=UPDATE&amp;creator=factset&amp;DOC_NAME=fat:reuters_qtrly_source_window.fat&amp;display_string=Audit&amp;DYN_ARGS=TRUE&amp;VAR:ID1=221353&amp;VAR:RCODE=STLD&amp;VAR:SDATE=20090399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631__FDSAUDITLINK__" hidden="1">{"fdsup://IBCentral/FAT Viewer?action=UPDATE&amp;creator=factset&amp;DOC_NAME=fat:reuters_qtrly_source_window.fat&amp;display_string=Audit&amp;DYN_ARGS=TRUE&amp;VAR:ID1=221353&amp;VAR:RCODE=STLD&amp;VAR:SDATE=20090399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632__FDSAUDITLINK__" localSheetId="8" hidden="1">{"fdsup://IBCentral/FAT Viewer?action=UPDATE&amp;creator=factset&amp;DOC_NAME=fat:reuters_qtrly_source_window.fat&amp;display_string=Audit&amp;DYN_ARGS=TRUE&amp;VAR:ID1=221353&amp;VAR:RCODE=SCSI&amp;VAR:SDATE=20090399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632__FDSAUDITLINK__" hidden="1">{"fdsup://IBCentral/FAT Viewer?action=UPDATE&amp;creator=factset&amp;DOC_NAME=fat:reuters_qtrly_source_window.fat&amp;display_string=Audit&amp;DYN_ARGS=TRUE&amp;VAR:ID1=221353&amp;VAR:RCODE=SCSI&amp;VAR:SDATE=20090399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633__FDSAUDITLINK__" localSheetId="8" hidden="1">{"fdsup://IBCentral/FAT Viewer?action=UPDATE&amp;creator=factset&amp;DOC_NAME=fat:reuters_annual_source_window.fat&amp;display_string=Audit&amp;DYN_ARGS=TRUE&amp;VAR:ID1=221353&amp;VAR:RCODE=FDSPFDSTKTOTAL&amp;VAR:SDATE=20081299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633__FDSAUDITLINK__" hidden="1">{"fdsup://IBCentral/FAT Viewer?action=UPDATE&amp;creator=factset&amp;DOC_NAME=fat:reuters_annual_source_window.fat&amp;display_string=Audit&amp;DYN_ARGS=TRUE&amp;VAR:ID1=221353&amp;VAR:RCODE=FDSPFDSTKTOTAL&amp;VAR:SDATE=20081299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634__FDSAUDITLINK__" localSheetId="8" hidden="1">{"fdsup://IBCentral/FAT Viewer?action=UPDATE&amp;creator=factset&amp;DOC_NAME=fat:reuters_qtrly_source_window.fat&amp;display_string=Audit&amp;DYN_ARGS=TRUE&amp;VAR:ID1=221353&amp;VAR:RCODE=AEQI&amp;VAR:SDATE=20090399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634__FDSAUDITLINK__" hidden="1">{"fdsup://IBCentral/FAT Viewer?action=UPDATE&amp;creator=factset&amp;DOC_NAME=fat:reuters_qtrly_source_window.fat&amp;display_string=Audit&amp;DYN_ARGS=TRUE&amp;VAR:ID1=221353&amp;VAR:RCODE=AEQI&amp;VAR:SDATE=20090399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635__FDSAUDITLINK__" localSheetId="8" hidden="1">{"fdsup://IBCentral/FAT Viewer?action=UPDATE&amp;creator=factset&amp;DOC_NAME=fat:reuters_qtrly_source_window.fat&amp;display_string=Audit&amp;DYN_ARGS=TRUE&amp;VAR:ID1=221353&amp;VAR:RCODE=LMIN&amp;VAR:SDATE=20090399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635__FDSAUDITLINK__" hidden="1">{"fdsup://IBCentral/FAT Viewer?action=UPDATE&amp;creator=factset&amp;DOC_NAME=fat:reuters_qtrly_source_window.fat&amp;display_string=Audit&amp;DYN_ARGS=TRUE&amp;VAR:ID1=221353&amp;VAR:RCODE=LMIN&amp;VAR:SDATE=20090399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636__FDSAUDITLINK__" localSheetId="8" hidden="1">{"fdsup://IBCentral/FAT Viewer?action=UPDATE&amp;creator=factset&amp;DOC_NAME=fat:reuters_qtrly_source_window.fat&amp;display_string=Audit&amp;DYN_ARGS=TRUE&amp;VAR:ID1=221353&amp;VAR:RCODE=STLD&amp;VAR:SDATE=20090399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636__FDSAUDITLINK__" hidden="1">{"fdsup://IBCentral/FAT Viewer?action=UPDATE&amp;creator=factset&amp;DOC_NAME=fat:reuters_qtrly_source_window.fat&amp;display_string=Audit&amp;DYN_ARGS=TRUE&amp;VAR:ID1=221353&amp;VAR:RCODE=STLD&amp;VAR:SDATE=20090399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637__FDSAUDITLINK__" localSheetId="8" hidden="1">{"fdsup://IBCentral/FAT Viewer?action=UPDATE&amp;creator=factset&amp;DOC_NAME=fat:reuters_qtrly_source_window.fat&amp;display_string=Audit&amp;DYN_ARGS=TRUE&amp;VAR:ID1=221353&amp;VAR:RCODE=SCSI&amp;VAR:SDATE=20090399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637__FDSAUDITLINK__" hidden="1">{"fdsup://IBCentral/FAT Viewer?action=UPDATE&amp;creator=factset&amp;DOC_NAME=fat:reuters_qtrly_source_window.fat&amp;display_string=Audit&amp;DYN_ARGS=TRUE&amp;VAR:ID1=221353&amp;VAR:RCODE=SCSI&amp;VAR:SDATE=20090399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638__FDSAUDITLINK__" localSheetId="8" hidden="1">{"fdsup://IBCentral/FAT Viewer?action=UPDATE&amp;creator=factset&amp;DOC_NAME=fat:reuters_annual_source_window.fat&amp;display_string=Audit&amp;DYN_ARGS=TRUE&amp;VAR:ID1=221353&amp;VAR:RCODE=FDSPFDSTKTOTAL&amp;VAR:SDATE=20081299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638__FDSAUDITLINK__" hidden="1">{"fdsup://IBCentral/FAT Viewer?action=UPDATE&amp;creator=factset&amp;DOC_NAME=fat:reuters_annual_source_window.fat&amp;display_string=Audit&amp;DYN_ARGS=TRUE&amp;VAR:ID1=221353&amp;VAR:RCODE=FDSPFDSTKTOTAL&amp;VAR:SDATE=20081299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639__FDSAUDITLINK__" localSheetId="8" hidden="1">{"fdsup://IBCentral/FAT Viewer?action=UPDATE&amp;creator=factset&amp;DOC_NAME=fat:reuters_qtrly_source_window.fat&amp;display_string=Audit&amp;DYN_ARGS=TRUE&amp;VAR:ID1=221353&amp;VAR:RCODE=AEQI&amp;VAR:SDATE=20090399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639__FDSAUDITLINK__" hidden="1">{"fdsup://IBCentral/FAT Viewer?action=UPDATE&amp;creator=factset&amp;DOC_NAME=fat:reuters_qtrly_source_window.fat&amp;display_string=Audit&amp;DYN_ARGS=TRUE&amp;VAR:ID1=221353&amp;VAR:RCODE=AEQI&amp;VAR:SDATE=20090399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64__FDSAUDITLINK__" localSheetId="8" hidden="1">{"fdsup://directions/FAT Viewer?action=UPDATE&amp;creator=factset&amp;DYN_ARGS=TRUE&amp;DOC_NAME=FAT:FQL_AUDITING_CLIENT_TEMPLATE.FAT&amp;display_string=Audit&amp;VAR:KEY=NGLWNIFQVU&amp;VAR:QUERY=RkZfRUJJVF9JQignQU5OJywzNzI1NiwsLCwnR0JQJyk=&amp;WINDOW=FIRST_POPUP&amp;HEIGHT=450&amp;WIDTH=450&amp;","START_MAXIMIZED=FALSE&amp;VAR:CALENDAR=FIVEDAY&amp;VAR:SYMBOL=063002&amp;VAR:INDEX=0"}</definedName>
    <definedName name="_164__FDSAUDITLINK__" hidden="1">{"fdsup://directions/FAT Viewer?action=UPDATE&amp;creator=factset&amp;DYN_ARGS=TRUE&amp;DOC_NAME=FAT:FQL_AUDITING_CLIENT_TEMPLATE.FAT&amp;display_string=Audit&amp;VAR:KEY=MNSTYBKHIJ&amp;VAR:QUERY=RkZfSU5UX0VYUF9ORVQoTFRNLDQxMDM2KQ==&amp;WINDOW=FIRST_POPUP&amp;HEIGHT=450&amp;WIDTH=450&amp;START_MA","XIMIZED=FALSE&amp;VAR:CALENDAR=US&amp;VAR:SYMBOL=711075&amp;VAR:INDEX=0"}</definedName>
    <definedName name="_164__FDSAUDITLINK___1" localSheetId="8" hidden="1">{"fdsup://directions/FAT Viewer?action=UPDATE&amp;creator=factset&amp;DYN_ARGS=TRUE&amp;DOC_NAME=FAT:FQL_AUDITING_CLIENT_TEMPLATE.FAT&amp;display_string=Audit&amp;VAR:KEY=NGLWNIFQVU&amp;VAR:QUERY=RkZfRUJJVF9JQignQU5OJywzNzI1NiwsLCwnR0JQJyk=&amp;WINDOW=FIRST_POPUP&amp;HEIGHT=450&amp;WIDTH=450&amp;","START_MAXIMIZED=FALSE&amp;VAR:CALENDAR=FIVEDAY&amp;VAR:SYMBOL=063002&amp;VAR:INDEX=0"}</definedName>
    <definedName name="_164__FDSAUDITLINK___1" hidden="1">{"fdsup://directions/FAT Viewer?action=UPDATE&amp;creator=factset&amp;DYN_ARGS=TRUE&amp;DOC_NAME=FAT:FQL_AUDITING_CLIENT_TEMPLATE.FAT&amp;display_string=Audit&amp;VAR:KEY=NGLWNIFQVU&amp;VAR:QUERY=RkZfRUJJVF9JQignQU5OJywzNzI1NiwsLCwnR0JQJyk=&amp;WINDOW=FIRST_POPUP&amp;HEIGHT=450&amp;WIDTH=450&amp;","START_MAXIMIZED=FALSE&amp;VAR:CALENDAR=FIVEDAY&amp;VAR:SYMBOL=063002&amp;VAR:INDEX=0"}</definedName>
    <definedName name="_1640__FDSAUDITLINK__" localSheetId="8" hidden="1">{"fdsup://IBCentral/FAT Viewer?action=UPDATE&amp;creator=factset&amp;DOC_NAME=fat:reuters_qtrly_source_window.fat&amp;display_string=Audit&amp;DYN_ARGS=TRUE&amp;VAR:ID1=221353&amp;VAR:RCODE=LMIN&amp;VAR:SDATE=20090399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640__FDSAUDITLINK__" hidden="1">{"fdsup://IBCentral/FAT Viewer?action=UPDATE&amp;creator=factset&amp;DOC_NAME=fat:reuters_qtrly_source_window.fat&amp;display_string=Audit&amp;DYN_ARGS=TRUE&amp;VAR:ID1=221353&amp;VAR:RCODE=LMIN&amp;VAR:SDATE=20090399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641__FDSAUDITLINK__" localSheetId="8" hidden="1">{"fdsup://IBCentral/FAT Viewer?action=UPDATE&amp;creator=factset&amp;DOC_NAME=fat:reuters_qtrly_source_window.fat&amp;display_string=Audit&amp;DYN_ARGS=TRUE&amp;VAR:ID1=221353&amp;VAR:RCODE=STLD&amp;VAR:SDATE=20090399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641__FDSAUDITLINK__" hidden="1">{"fdsup://IBCentral/FAT Viewer?action=UPDATE&amp;creator=factset&amp;DOC_NAME=fat:reuters_qtrly_source_window.fat&amp;display_string=Audit&amp;DYN_ARGS=TRUE&amp;VAR:ID1=221353&amp;VAR:RCODE=STLD&amp;VAR:SDATE=20090399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642__FDSAUDITLINK__" localSheetId="8" hidden="1">{"fdsup://IBCentral/FAT Viewer?action=UPDATE&amp;creator=factset&amp;DOC_NAME=fat:reuters_qtrly_source_window.fat&amp;display_string=Audit&amp;DYN_ARGS=TRUE&amp;VAR:ID1=221353&amp;VAR:RCODE=SCSI&amp;VAR:SDATE=20090399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642__FDSAUDITLINK__" hidden="1">{"fdsup://IBCentral/FAT Viewer?action=UPDATE&amp;creator=factset&amp;DOC_NAME=fat:reuters_qtrly_source_window.fat&amp;display_string=Audit&amp;DYN_ARGS=TRUE&amp;VAR:ID1=221353&amp;VAR:RCODE=SCSI&amp;VAR:SDATE=20090399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643__FDSAUDITLINK__" localSheetId="8" hidden="1">{"fdsup://IBCentral/FAT Viewer?action=UPDATE&amp;creator=factset&amp;DOC_NAME=fat:reuters_annual_source_window.fat&amp;display_string=Audit&amp;DYN_ARGS=TRUE&amp;VAR:ID1=221353&amp;VAR:RCODE=FDSPFDSTKTOTAL&amp;VAR:SDATE=20081299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643__FDSAUDITLINK__" hidden="1">{"fdsup://IBCentral/FAT Viewer?action=UPDATE&amp;creator=factset&amp;DOC_NAME=fat:reuters_annual_source_window.fat&amp;display_string=Audit&amp;DYN_ARGS=TRUE&amp;VAR:ID1=221353&amp;VAR:RCODE=FDSPFDSTKTOTAL&amp;VAR:SDATE=20081299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644__FDSAUDITLINK__" localSheetId="8" hidden="1">{"fdsup://IBCentral/FAT Viewer?action=UPDATE&amp;creator=factset&amp;DOC_NAME=fat:reuters_qtrly_source_window.fat&amp;display_string=Audit&amp;DYN_ARGS=TRUE&amp;VAR:ID1=221353&amp;VAR:RCODE=AEQI&amp;VAR:SDATE=20090399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644__FDSAUDITLINK__" hidden="1">{"fdsup://IBCentral/FAT Viewer?action=UPDATE&amp;creator=factset&amp;DOC_NAME=fat:reuters_qtrly_source_window.fat&amp;display_string=Audit&amp;DYN_ARGS=TRUE&amp;VAR:ID1=221353&amp;VAR:RCODE=AEQI&amp;VAR:SDATE=20090399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645__FDSAUDITLINK__" localSheetId="8" hidden="1">{"fdsup://IBCentral/FAT Viewer?action=UPDATE&amp;creator=factset&amp;DOC_NAME=fat:reuters_qtrly_source_window.fat&amp;display_string=Audit&amp;DYN_ARGS=TRUE&amp;VAR:ID1=221353&amp;VAR:RCODE=LMIN&amp;VAR:SDATE=20090399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645__FDSAUDITLINK__" hidden="1">{"fdsup://IBCentral/FAT Viewer?action=UPDATE&amp;creator=factset&amp;DOC_NAME=fat:reuters_qtrly_source_window.fat&amp;display_string=Audit&amp;DYN_ARGS=TRUE&amp;VAR:ID1=221353&amp;VAR:RCODE=LMIN&amp;VAR:SDATE=20090399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646__FDSAUDITLINK__" localSheetId="8" hidden="1">{"fdsup://IBCentral/FAT Viewer?action=UPDATE&amp;creator=factset&amp;DOC_NAME=fat:reuters_qtrly_source_window.fat&amp;display_string=Audit&amp;DYN_ARGS=TRUE&amp;VAR:ID1=221353&amp;VAR:RCODE=STLD&amp;VAR:SDATE=20090399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646__FDSAUDITLINK__" hidden="1">{"fdsup://IBCentral/FAT Viewer?action=UPDATE&amp;creator=factset&amp;DOC_NAME=fat:reuters_qtrly_source_window.fat&amp;display_string=Audit&amp;DYN_ARGS=TRUE&amp;VAR:ID1=221353&amp;VAR:RCODE=STLD&amp;VAR:SDATE=20090399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647__FDSAUDITLINK__" localSheetId="8" hidden="1">{"fdsup://IBCentral/FAT Viewer?action=UPDATE&amp;creator=factset&amp;DOC_NAME=fat:reuters_qtrly_source_window.fat&amp;display_string=Audit&amp;DYN_ARGS=TRUE&amp;VAR:ID1=221353&amp;VAR:RCODE=SCSI&amp;VAR:SDATE=20090399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647__FDSAUDITLINK__" hidden="1">{"fdsup://IBCentral/FAT Viewer?action=UPDATE&amp;creator=factset&amp;DOC_NAME=fat:reuters_qtrly_source_window.fat&amp;display_string=Audit&amp;DYN_ARGS=TRUE&amp;VAR:ID1=221353&amp;VAR:RCODE=SCSI&amp;VAR:SDATE=20090399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648__FDSAUDITLINK__" localSheetId="8" hidden="1">{"fdsup://IBCentral/FAT Viewer?action=UPDATE&amp;creator=factset&amp;DOC_NAME=fat:reuters_annual_source_window.fat&amp;display_string=Audit&amp;DYN_ARGS=TRUE&amp;VAR:ID1=221353&amp;VAR:RCODE=FDSPFDSTKTOTAL&amp;VAR:SDATE=20081299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648__FDSAUDITLINK__" hidden="1">{"fdsup://IBCentral/FAT Viewer?action=UPDATE&amp;creator=factset&amp;DOC_NAME=fat:reuters_annual_source_window.fat&amp;display_string=Audit&amp;DYN_ARGS=TRUE&amp;VAR:ID1=221353&amp;VAR:RCODE=FDSPFDSTKTOTAL&amp;VAR:SDATE=20081299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649__FDSAUDITLINK__" localSheetId="8" hidden="1">{"fdsup://IBCentral/FAT Viewer?action=UPDATE&amp;creator=factset&amp;DOC_NAME=fat:reuters_qtrly_source_window.fat&amp;display_string=Audit&amp;DYN_ARGS=TRUE&amp;VAR:ID1=221353&amp;VAR:RCODE=AEQI&amp;VAR:SDATE=20090399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649__FDSAUDITLINK__" hidden="1">{"fdsup://IBCentral/FAT Viewer?action=UPDATE&amp;creator=factset&amp;DOC_NAME=fat:reuters_qtrly_source_window.fat&amp;display_string=Audit&amp;DYN_ARGS=TRUE&amp;VAR:ID1=221353&amp;VAR:RCODE=AEQI&amp;VAR:SDATE=20090399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65__FDSAUDITLINK__" localSheetId="8" hidden="1">{"fdsup://directions/FAT Viewer?action=UPDATE&amp;creator=factset&amp;DYN_ARGS=TRUE&amp;DOC_NAME=FAT:FQL_AUDITING_CLIENT_TEMPLATE.FAT&amp;display_string=Audit&amp;VAR:KEY=VADWDEDIVE&amp;VAR:QUERY=RkZfRUJJVF9JQignQU5OJywzNjg5MSwsLCwnR0JQJyk=&amp;WINDOW=FIRST_POPUP&amp;HEIGHT=450&amp;WIDTH=450&amp;","START_MAXIMIZED=FALSE&amp;VAR:CALENDAR=FIVEDAY&amp;VAR:SYMBOL=063002&amp;VAR:INDEX=0"}</definedName>
    <definedName name="_165__FDSAUDITLINK__" hidden="1">{"fdsup://directions/FAT Viewer?action=UPDATE&amp;creator=factset&amp;DYN_ARGS=TRUE&amp;DOC_NAME=FAT:FQL_AUDITING_CLIENT_TEMPLATE.FAT&amp;display_string=Audit&amp;VAR:KEY=FORCBMLINK&amp;VAR:QUERY=RkZfSU5UX0VYUF9ORVQoTFRNLDQxMDM2KQ==&amp;WINDOW=FIRST_POPUP&amp;HEIGHT=450&amp;WIDTH=450&amp;START_MA","XIMIZED=FALSE&amp;VAR:CALENDAR=US&amp;VAR:SYMBOL=CX&amp;VAR:INDEX=0"}</definedName>
    <definedName name="_165__FDSAUDITLINK___1" localSheetId="8" hidden="1">{"fdsup://directions/FAT Viewer?action=UPDATE&amp;creator=factset&amp;DYN_ARGS=TRUE&amp;DOC_NAME=FAT:FQL_AUDITING_CLIENT_TEMPLATE.FAT&amp;display_string=Audit&amp;VAR:KEY=VADWDEDIVE&amp;VAR:QUERY=RkZfRUJJVF9JQignQU5OJywzNjg5MSwsLCwnR0JQJyk=&amp;WINDOW=FIRST_POPUP&amp;HEIGHT=450&amp;WIDTH=450&amp;","START_MAXIMIZED=FALSE&amp;VAR:CALENDAR=FIVEDAY&amp;VAR:SYMBOL=063002&amp;VAR:INDEX=0"}</definedName>
    <definedName name="_165__FDSAUDITLINK___1" hidden="1">{"fdsup://directions/FAT Viewer?action=UPDATE&amp;creator=factset&amp;DYN_ARGS=TRUE&amp;DOC_NAME=FAT:FQL_AUDITING_CLIENT_TEMPLATE.FAT&amp;display_string=Audit&amp;VAR:KEY=VADWDEDIVE&amp;VAR:QUERY=RkZfRUJJVF9JQignQU5OJywzNjg5MSwsLCwnR0JQJyk=&amp;WINDOW=FIRST_POPUP&amp;HEIGHT=450&amp;WIDTH=450&amp;","START_MAXIMIZED=FALSE&amp;VAR:CALENDAR=FIVEDAY&amp;VAR:SYMBOL=063002&amp;VAR:INDEX=0"}</definedName>
    <definedName name="_1650__FDSAUDITLINK__" localSheetId="8" hidden="1">{"fdsup://IBCentral/FAT Viewer?action=UPDATE&amp;creator=factset&amp;DOC_NAME=fat:reuters_qtrly_source_window.fat&amp;display_string=Audit&amp;DYN_ARGS=TRUE&amp;VAR:ID1=221353&amp;VAR:RCODE=LMIN&amp;VAR:SDATE=20090399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650__FDSAUDITLINK__" hidden="1">{"fdsup://IBCentral/FAT Viewer?action=UPDATE&amp;creator=factset&amp;DOC_NAME=fat:reuters_qtrly_source_window.fat&amp;display_string=Audit&amp;DYN_ARGS=TRUE&amp;VAR:ID1=221353&amp;VAR:RCODE=LMIN&amp;VAR:SDATE=20090399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651__FDSAUDITLINK__" localSheetId="8" hidden="1">{"fdsup://IBCentral/FAT Viewer?action=UPDATE&amp;creator=factset&amp;DOC_NAME=fat:reuters_qtrly_source_window.fat&amp;display_string=Audit&amp;DYN_ARGS=TRUE&amp;VAR:ID1=221353&amp;VAR:RCODE=STLD&amp;VAR:SDATE=20090399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651__FDSAUDITLINK__" hidden="1">{"fdsup://IBCentral/FAT Viewer?action=UPDATE&amp;creator=factset&amp;DOC_NAME=fat:reuters_qtrly_source_window.fat&amp;display_string=Audit&amp;DYN_ARGS=TRUE&amp;VAR:ID1=221353&amp;VAR:RCODE=STLD&amp;VAR:SDATE=20090399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652__FDSAUDITLINK__" localSheetId="8" hidden="1">{"fdsup://IBCentral/FAT Viewer?action=UPDATE&amp;creator=factset&amp;DOC_NAME=fat:reuters_qtrly_source_window.fat&amp;display_string=Audit&amp;DYN_ARGS=TRUE&amp;VAR:ID1=221353&amp;VAR:RCODE=SCSI&amp;VAR:SDATE=20090399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652__FDSAUDITLINK__" hidden="1">{"fdsup://IBCentral/FAT Viewer?action=UPDATE&amp;creator=factset&amp;DOC_NAME=fat:reuters_qtrly_source_window.fat&amp;display_string=Audit&amp;DYN_ARGS=TRUE&amp;VAR:ID1=221353&amp;VAR:RCODE=SCSI&amp;VAR:SDATE=20090399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653__FDSAUDITLINK__" localSheetId="8" hidden="1">{"fdsup://IBCentral/FAT Viewer?action=UPDATE&amp;creator=factset&amp;DOC_NAME=fat:reuters_annual_source_window.fat&amp;display_string=Audit&amp;DYN_ARGS=TRUE&amp;VAR:ID1=221353&amp;VAR:RCODE=FDSPFDSTKTOTAL&amp;VAR:SDATE=20081299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653__FDSAUDITLINK__" hidden="1">{"fdsup://IBCentral/FAT Viewer?action=UPDATE&amp;creator=factset&amp;DOC_NAME=fat:reuters_annual_source_window.fat&amp;display_string=Audit&amp;DYN_ARGS=TRUE&amp;VAR:ID1=221353&amp;VAR:RCODE=FDSPFDSTKTOTAL&amp;VAR:SDATE=20081299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654__FDSAUDITLINK__" localSheetId="8" hidden="1">{"fdsup://IBCentral/FAT Viewer?action=UPDATE&amp;creator=factset&amp;DOC_NAME=fat:reuters_qtrly_source_window.fat&amp;display_string=Audit&amp;DYN_ARGS=TRUE&amp;VAR:ID1=221353&amp;VAR:RCODE=AEQI&amp;VAR:SDATE=20090399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654__FDSAUDITLINK__" hidden="1">{"fdsup://IBCentral/FAT Viewer?action=UPDATE&amp;creator=factset&amp;DOC_NAME=fat:reuters_qtrly_source_window.fat&amp;display_string=Audit&amp;DYN_ARGS=TRUE&amp;VAR:ID1=221353&amp;VAR:RCODE=AEQI&amp;VAR:SDATE=20090399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655__FDSAUDITLINK__" localSheetId="8" hidden="1">{"fdsup://IBCentral/FAT Viewer?action=UPDATE&amp;creator=factset&amp;DOC_NAME=fat:reuters_qtrly_source_window.fat&amp;display_string=Audit&amp;DYN_ARGS=TRUE&amp;VAR:ID1=221353&amp;VAR:RCODE=LMIN&amp;VAR:SDATE=20090399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655__FDSAUDITLINK__" hidden="1">{"fdsup://IBCentral/FAT Viewer?action=UPDATE&amp;creator=factset&amp;DOC_NAME=fat:reuters_qtrly_source_window.fat&amp;display_string=Audit&amp;DYN_ARGS=TRUE&amp;VAR:ID1=221353&amp;VAR:RCODE=LMIN&amp;VAR:SDATE=20090399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656__FDSAUDITLINK__" localSheetId="8" hidden="1">{"fdsup://IBCentral/FAT Viewer?action=UPDATE&amp;creator=factset&amp;DOC_NAME=fat:reuters_qtrly_source_window.fat&amp;display_string=Audit&amp;DYN_ARGS=TRUE&amp;VAR:ID1=221353&amp;VAR:RCODE=STLD&amp;VAR:SDATE=20090399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656__FDSAUDITLINK__" hidden="1">{"fdsup://IBCentral/FAT Viewer?action=UPDATE&amp;creator=factset&amp;DOC_NAME=fat:reuters_qtrly_source_window.fat&amp;display_string=Audit&amp;DYN_ARGS=TRUE&amp;VAR:ID1=221353&amp;VAR:RCODE=STLD&amp;VAR:SDATE=20090399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657__FDSAUDITLINK__" localSheetId="8" hidden="1">{"fdsup://IBCentral/FAT Viewer?action=UPDATE&amp;creator=factset&amp;DOC_NAME=fat:reuters_qtrly_source_window.fat&amp;display_string=Audit&amp;DYN_ARGS=TRUE&amp;VAR:ID1=221353&amp;VAR:RCODE=SCSI&amp;VAR:SDATE=20090399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657__FDSAUDITLINK__" hidden="1">{"fdsup://IBCentral/FAT Viewer?action=UPDATE&amp;creator=factset&amp;DOC_NAME=fat:reuters_qtrly_source_window.fat&amp;display_string=Audit&amp;DYN_ARGS=TRUE&amp;VAR:ID1=221353&amp;VAR:RCODE=SCSI&amp;VAR:SDATE=20090399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658__FDSAUDITLINK__" localSheetId="8" hidden="1">{"fdsup://IBCentral/FAT Viewer?action=UPDATE&amp;creator=factset&amp;DOC_NAME=fat:reuters_annual_source_window.fat&amp;display_string=Audit&amp;DYN_ARGS=TRUE&amp;VAR:ID1=221353&amp;VAR:RCODE=FDSPFDSTKTOTAL&amp;VAR:SDATE=20081299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658__FDSAUDITLINK__" hidden="1">{"fdsup://IBCentral/FAT Viewer?action=UPDATE&amp;creator=factset&amp;DOC_NAME=fat:reuters_annual_source_window.fat&amp;display_string=Audit&amp;DYN_ARGS=TRUE&amp;VAR:ID1=221353&amp;VAR:RCODE=FDSPFDSTKTOTAL&amp;VAR:SDATE=20081299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659__FDSAUDITLINK__" localSheetId="8" hidden="1">{"fdsup://IBCentral/FAT Viewer?action=UPDATE&amp;creator=factset&amp;DOC_NAME=fat:reuters_qtrly_source_window.fat&amp;display_string=Audit&amp;DYN_ARGS=TRUE&amp;VAR:ID1=221353&amp;VAR:RCODE=AEQI&amp;VAR:SDATE=20090399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659__FDSAUDITLINK__" hidden="1">{"fdsup://IBCentral/FAT Viewer?action=UPDATE&amp;creator=factset&amp;DOC_NAME=fat:reuters_qtrly_source_window.fat&amp;display_string=Audit&amp;DYN_ARGS=TRUE&amp;VAR:ID1=221353&amp;VAR:RCODE=AEQI&amp;VAR:SDATE=20090399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66__123Graph_LBL_BCHART_21" hidden="1">#REF!</definedName>
    <definedName name="_166__FDSAUDITLINK__" localSheetId="8" hidden="1">{"fdsup://directions/FAT Viewer?action=UPDATE&amp;creator=factset&amp;DYN_ARGS=TRUE&amp;DOC_NAME=FAT:FQL_AUDITING_CLIENT_TEMPLATE.FAT&amp;display_string=Audit&amp;VAR:KEY=NYLGXYBEDM&amp;VAR:QUERY=RkZfRUJJVF9JQignQU5OJywzNjUyNSwsLCwnR0JQJyk=&amp;WINDOW=FIRST_POPUP&amp;HEIGHT=450&amp;WIDTH=450&amp;","START_MAXIMIZED=FALSE&amp;VAR:CALENDAR=FIVEDAY&amp;VAR:SYMBOL=063002&amp;VAR:INDEX=0"}</definedName>
    <definedName name="_166__FDSAUDITLINK__" hidden="1">{"fdsup://directions/FAT Viewer?action=UPDATE&amp;creator=factset&amp;DYN_ARGS=TRUE&amp;DOC_NAME=FAT:FQL_AUDITING_CLIENT_TEMPLATE.FAT&amp;display_string=Audit&amp;VAR:KEY=HYJMJEXQZG&amp;VAR:QUERY=RkZfSU5UX0VYUF9ORVQoTFRNLDQxMDM2KQ==&amp;WINDOW=FIRST_POPUP&amp;HEIGHT=450&amp;WIDTH=450&amp;START_MA","XIMIZED=FALSE&amp;VAR:CALENDAR=US&amp;VAR:SYMBOL=450270&amp;VAR:INDEX=0"}</definedName>
    <definedName name="_166__FDSAUDITLINK___1" localSheetId="8" hidden="1">{"fdsup://directions/FAT Viewer?action=UPDATE&amp;creator=factset&amp;DYN_ARGS=TRUE&amp;DOC_NAME=FAT:FQL_AUDITING_CLIENT_TEMPLATE.FAT&amp;display_string=Audit&amp;VAR:KEY=NYLGXYBEDM&amp;VAR:QUERY=RkZfRUJJVF9JQignQU5OJywzNjUyNSwsLCwnR0JQJyk=&amp;WINDOW=FIRST_POPUP&amp;HEIGHT=450&amp;WIDTH=450&amp;","START_MAXIMIZED=FALSE&amp;VAR:CALENDAR=FIVEDAY&amp;VAR:SYMBOL=063002&amp;VAR:INDEX=0"}</definedName>
    <definedName name="_166__FDSAUDITLINK___1" hidden="1">{"fdsup://directions/FAT Viewer?action=UPDATE&amp;creator=factset&amp;DYN_ARGS=TRUE&amp;DOC_NAME=FAT:FQL_AUDITING_CLIENT_TEMPLATE.FAT&amp;display_string=Audit&amp;VAR:KEY=NYLGXYBEDM&amp;VAR:QUERY=RkZfRUJJVF9JQignQU5OJywzNjUyNSwsLCwnR0JQJyk=&amp;WINDOW=FIRST_POPUP&amp;HEIGHT=450&amp;WIDTH=450&amp;","START_MAXIMIZED=FALSE&amp;VAR:CALENDAR=FIVEDAY&amp;VAR:SYMBOL=063002&amp;VAR:INDEX=0"}</definedName>
    <definedName name="_1660__FDSAUDITLINK__" localSheetId="8" hidden="1">{"fdsup://IBCentral/FAT Viewer?action=UPDATE&amp;creator=factset&amp;DOC_NAME=fat:reuters_qtrly_source_window.fat&amp;display_string=Audit&amp;DYN_ARGS=TRUE&amp;VAR:ID1=221353&amp;VAR:RCODE=LMIN&amp;VAR:SDATE=20090399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660__FDSAUDITLINK__" hidden="1">{"fdsup://IBCentral/FAT Viewer?action=UPDATE&amp;creator=factset&amp;DOC_NAME=fat:reuters_qtrly_source_window.fat&amp;display_string=Audit&amp;DYN_ARGS=TRUE&amp;VAR:ID1=221353&amp;VAR:RCODE=LMIN&amp;VAR:SDATE=20090399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661__FDSAUDITLINK__" localSheetId="8" hidden="1">{"fdsup://IBCentral/FAT Viewer?action=UPDATE&amp;creator=factset&amp;DOC_NAME=fat:reuters_qtrly_source_window.fat&amp;display_string=Audit&amp;DYN_ARGS=TRUE&amp;VAR:ID1=221353&amp;VAR:RCODE=STLD&amp;VAR:SDATE=20090399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661__FDSAUDITLINK__" hidden="1">{"fdsup://IBCentral/FAT Viewer?action=UPDATE&amp;creator=factset&amp;DOC_NAME=fat:reuters_qtrly_source_window.fat&amp;display_string=Audit&amp;DYN_ARGS=TRUE&amp;VAR:ID1=221353&amp;VAR:RCODE=STLD&amp;VAR:SDATE=20090399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662__FDSAUDITLINK__" localSheetId="8" hidden="1">{"fdsup://IBCentral/FAT Viewer?action=UPDATE&amp;creator=factset&amp;DOC_NAME=fat:reuters_qtrly_source_window.fat&amp;display_string=Audit&amp;DYN_ARGS=TRUE&amp;VAR:ID1=221353&amp;VAR:RCODE=SCSI&amp;VAR:SDATE=20090399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662__FDSAUDITLINK__" hidden="1">{"fdsup://IBCentral/FAT Viewer?action=UPDATE&amp;creator=factset&amp;DOC_NAME=fat:reuters_qtrly_source_window.fat&amp;display_string=Audit&amp;DYN_ARGS=TRUE&amp;VAR:ID1=221353&amp;VAR:RCODE=SCSI&amp;VAR:SDATE=20090399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663__FDSAUDITLINK__" localSheetId="8" hidden="1">{"fdsup://IBCentral/FAT Viewer?action=UPDATE&amp;creator=factset&amp;DOC_NAME=fat:reuters_annual_source_window.fat&amp;display_string=Audit&amp;DYN_ARGS=TRUE&amp;VAR:ID1=221353&amp;VAR:RCODE=FDSPFDSTKTOTAL&amp;VAR:SDATE=20081299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663__FDSAUDITLINK__" hidden="1">{"fdsup://IBCentral/FAT Viewer?action=UPDATE&amp;creator=factset&amp;DOC_NAME=fat:reuters_annual_source_window.fat&amp;display_string=Audit&amp;DYN_ARGS=TRUE&amp;VAR:ID1=221353&amp;VAR:RCODE=FDSPFDSTKTOTAL&amp;VAR:SDATE=20081299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664__FDSAUDITLINK__" localSheetId="8" hidden="1">{"fdsup://IBCentral/FAT Viewer?action=UPDATE&amp;creator=factset&amp;DOC_NAME=fat:reuters_qtrly_source_window.fat&amp;display_string=Audit&amp;DYN_ARGS=TRUE&amp;VAR:ID1=221353&amp;VAR:RCODE=AEQI&amp;VAR:SDATE=20090399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664__FDSAUDITLINK__" hidden="1">{"fdsup://IBCentral/FAT Viewer?action=UPDATE&amp;creator=factset&amp;DOC_NAME=fat:reuters_qtrly_source_window.fat&amp;display_string=Audit&amp;DYN_ARGS=TRUE&amp;VAR:ID1=221353&amp;VAR:RCODE=AEQI&amp;VAR:SDATE=20090399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665__FDSAUDITLINK__" localSheetId="8" hidden="1">{"fdsup://IBCentral/FAT Viewer?action=UPDATE&amp;creator=factset&amp;DOC_NAME=fat:reuters_qtrly_source_window.fat&amp;display_string=Audit&amp;DYN_ARGS=TRUE&amp;VAR:ID1=221353&amp;VAR:RCODE=LMIN&amp;VAR:SDATE=20090399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665__FDSAUDITLINK__" hidden="1">{"fdsup://IBCentral/FAT Viewer?action=UPDATE&amp;creator=factset&amp;DOC_NAME=fat:reuters_qtrly_source_window.fat&amp;display_string=Audit&amp;DYN_ARGS=TRUE&amp;VAR:ID1=221353&amp;VAR:RCODE=LMIN&amp;VAR:SDATE=20090399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666__FDSAUDITLINK__" localSheetId="8" hidden="1">{"fdsup://IBCentral/FAT Viewer?action=UPDATE&amp;creator=factset&amp;DOC_NAME=fat:reuters_qtrly_source_window.fat&amp;display_string=Audit&amp;DYN_ARGS=TRUE&amp;VAR:ID1=221353&amp;VAR:RCODE=STLD&amp;VAR:SDATE=20090399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666__FDSAUDITLINK__" hidden="1">{"fdsup://IBCentral/FAT Viewer?action=UPDATE&amp;creator=factset&amp;DOC_NAME=fat:reuters_qtrly_source_window.fat&amp;display_string=Audit&amp;DYN_ARGS=TRUE&amp;VAR:ID1=221353&amp;VAR:RCODE=STLD&amp;VAR:SDATE=20090399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667__FDSAUDITLINK__" localSheetId="8" hidden="1">{"fdsup://IBCentral/FAT Viewer?action=UPDATE&amp;creator=factset&amp;DOC_NAME=fat:reuters_qtrly_source_window.fat&amp;display_string=Audit&amp;DYN_ARGS=TRUE&amp;VAR:ID1=221353&amp;VAR:RCODE=SCSI&amp;VAR:SDATE=20090399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667__FDSAUDITLINK__" hidden="1">{"fdsup://IBCentral/FAT Viewer?action=UPDATE&amp;creator=factset&amp;DOC_NAME=fat:reuters_qtrly_source_window.fat&amp;display_string=Audit&amp;DYN_ARGS=TRUE&amp;VAR:ID1=221353&amp;VAR:RCODE=SCSI&amp;VAR:SDATE=20090399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668__FDSAUDITLINK__" localSheetId="8" hidden="1">{"fdsup://IBCentral/FAT Viewer?action=UPDATE&amp;creator=factset&amp;DOC_NAME=fat:reuters_annual_source_window.fat&amp;display_string=Audit&amp;DYN_ARGS=TRUE&amp;VAR:ID1=221353&amp;VAR:RCODE=FDSPFDSTKTOTAL&amp;VAR:SDATE=20081299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668__FDSAUDITLINK__" hidden="1">{"fdsup://IBCentral/FAT Viewer?action=UPDATE&amp;creator=factset&amp;DOC_NAME=fat:reuters_annual_source_window.fat&amp;display_string=Audit&amp;DYN_ARGS=TRUE&amp;VAR:ID1=221353&amp;VAR:RCODE=FDSPFDSTKTOTAL&amp;VAR:SDATE=20081299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669__FDSAUDITLINK__" localSheetId="8" hidden="1">{"fdsup://IBCentral/FAT Viewer?action=UPDATE&amp;creator=factset&amp;DOC_NAME=fat:reuters_qtrly_source_window.fat&amp;display_string=Audit&amp;DYN_ARGS=TRUE&amp;VAR:ID1=221353&amp;VAR:RCODE=AEQI&amp;VAR:SDATE=20090399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669__FDSAUDITLINK__" hidden="1">{"fdsup://IBCentral/FAT Viewer?action=UPDATE&amp;creator=factset&amp;DOC_NAME=fat:reuters_qtrly_source_window.fat&amp;display_string=Audit&amp;DYN_ARGS=TRUE&amp;VAR:ID1=221353&amp;VAR:RCODE=AEQI&amp;VAR:SDATE=20090399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67__FDSAUDITLINK__" localSheetId="8" hidden="1">{"fdsup://directions/FAT Viewer?action=UPDATE&amp;creator=factset&amp;DYN_ARGS=TRUE&amp;DOC_NAME=FAT:FQL_AUDITING_CLIENT_TEMPLATE.FAT&amp;display_string=Audit&amp;VAR:KEY=ZUTCPGNCPO&amp;VAR:QUERY=RkZfRUJJVF9JQignQU5OJywzNjE2MCwsLCwnR0JQJyk=&amp;WINDOW=FIRST_POPUP&amp;HEIGHT=450&amp;WIDTH=450&amp;","START_MAXIMIZED=FALSE&amp;VAR:CALENDAR=FIVEDAY&amp;VAR:SYMBOL=063002&amp;VAR:INDEX=0"}</definedName>
    <definedName name="_167__FDSAUDITLINK__" hidden="1">{"fdsup://directions/FAT Viewer?action=UPDATE&amp;creator=factset&amp;DYN_ARGS=TRUE&amp;DOC_NAME=FAT:FQL_AUDITING_CLIENT_TEMPLATE.FAT&amp;display_string=Audit&amp;VAR:KEY=SRCPOBMTEF&amp;VAR:QUERY=RkZfSU5UX0VYUF9ORVQoTFRNLDQxMDM2KQ==&amp;WINDOW=FIRST_POPUP&amp;HEIGHT=450&amp;WIDTH=450&amp;START_MA","XIMIZED=FALSE&amp;VAR:CALENDAR=US&amp;VAR:SYMBOL=BLDR&amp;VAR:INDEX=0"}</definedName>
    <definedName name="_167__FDSAUDITLINK___1" localSheetId="8" hidden="1">{"fdsup://directions/FAT Viewer?action=UPDATE&amp;creator=factset&amp;DYN_ARGS=TRUE&amp;DOC_NAME=FAT:FQL_AUDITING_CLIENT_TEMPLATE.FAT&amp;display_string=Audit&amp;VAR:KEY=ZUTCPGNCPO&amp;VAR:QUERY=RkZfRUJJVF9JQignQU5OJywzNjE2MCwsLCwnR0JQJyk=&amp;WINDOW=FIRST_POPUP&amp;HEIGHT=450&amp;WIDTH=450&amp;","START_MAXIMIZED=FALSE&amp;VAR:CALENDAR=FIVEDAY&amp;VAR:SYMBOL=063002&amp;VAR:INDEX=0"}</definedName>
    <definedName name="_167__FDSAUDITLINK___1" hidden="1">{"fdsup://directions/FAT Viewer?action=UPDATE&amp;creator=factset&amp;DYN_ARGS=TRUE&amp;DOC_NAME=FAT:FQL_AUDITING_CLIENT_TEMPLATE.FAT&amp;display_string=Audit&amp;VAR:KEY=ZUTCPGNCPO&amp;VAR:QUERY=RkZfRUJJVF9JQignQU5OJywzNjE2MCwsLCwnR0JQJyk=&amp;WINDOW=FIRST_POPUP&amp;HEIGHT=450&amp;WIDTH=450&amp;","START_MAXIMIZED=FALSE&amp;VAR:CALENDAR=FIVEDAY&amp;VAR:SYMBOL=063002&amp;VAR:INDEX=0"}</definedName>
    <definedName name="_1670__FDSAUDITLINK__" localSheetId="8" hidden="1">{"fdsup://IBCentral/FAT Viewer?action=UPDATE&amp;creator=factset&amp;DOC_NAME=fat:reuters_qtrly_source_window.fat&amp;display_string=Audit&amp;DYN_ARGS=TRUE&amp;VAR:ID1=221353&amp;VAR:RCODE=LMIN&amp;VAR:SDATE=20090399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670__FDSAUDITLINK__" hidden="1">{"fdsup://IBCentral/FAT Viewer?action=UPDATE&amp;creator=factset&amp;DOC_NAME=fat:reuters_qtrly_source_window.fat&amp;display_string=Audit&amp;DYN_ARGS=TRUE&amp;VAR:ID1=221353&amp;VAR:RCODE=LMIN&amp;VAR:SDATE=20090399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671__FDSAUDITLINK__" localSheetId="8" hidden="1">{"fdsup://IBCentral/FAT Viewer?action=UPDATE&amp;creator=factset&amp;DOC_NAME=fat:reuters_qtrly_source_window.fat&amp;display_string=Audit&amp;DYN_ARGS=TRUE&amp;VAR:ID1=221353&amp;VAR:RCODE=STLD&amp;VAR:SDATE=20090399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671__FDSAUDITLINK__" hidden="1">{"fdsup://IBCentral/FAT Viewer?action=UPDATE&amp;creator=factset&amp;DOC_NAME=fat:reuters_qtrly_source_window.fat&amp;display_string=Audit&amp;DYN_ARGS=TRUE&amp;VAR:ID1=221353&amp;VAR:RCODE=STLD&amp;VAR:SDATE=20090399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672__FDSAUDITLINK__" localSheetId="8" hidden="1">{"fdsup://IBCentral/FAT Viewer?action=UPDATE&amp;creator=factset&amp;DOC_NAME=fat:reuters_qtrly_source_window.fat&amp;display_string=Audit&amp;DYN_ARGS=TRUE&amp;VAR:ID1=221353&amp;VAR:RCODE=SCSI&amp;VAR:SDATE=20090399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672__FDSAUDITLINK__" hidden="1">{"fdsup://IBCentral/FAT Viewer?action=UPDATE&amp;creator=factset&amp;DOC_NAME=fat:reuters_qtrly_source_window.fat&amp;display_string=Audit&amp;DYN_ARGS=TRUE&amp;VAR:ID1=221353&amp;VAR:RCODE=SCSI&amp;VAR:SDATE=20090399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673__FDSAUDITLINK__" localSheetId="8" hidden="1">{"fdsup://IBCentral/FAT Viewer?action=UPDATE&amp;creator=factset&amp;DOC_NAME=fat:reuters_annual_source_window.fat&amp;display_string=Audit&amp;DYN_ARGS=TRUE&amp;VAR:ID1=221353&amp;VAR:RCODE=FDSPFDSTKTOTAL&amp;VAR:SDATE=20081299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673__FDSAUDITLINK__" hidden="1">{"fdsup://IBCentral/FAT Viewer?action=UPDATE&amp;creator=factset&amp;DOC_NAME=fat:reuters_annual_source_window.fat&amp;display_string=Audit&amp;DYN_ARGS=TRUE&amp;VAR:ID1=221353&amp;VAR:RCODE=FDSPFDSTKTOTAL&amp;VAR:SDATE=20081299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674__FDSAUDITLINK__" localSheetId="8" hidden="1">{"fdsup://IBCentral/FAT Viewer?action=UPDATE&amp;creator=factset&amp;DOC_NAME=fat:reuters_qtrly_source_window.fat&amp;display_string=Audit&amp;DYN_ARGS=TRUE&amp;VAR:ID1=221353&amp;VAR:RCODE=AEQI&amp;VAR:SDATE=20090399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674__FDSAUDITLINK__" hidden="1">{"fdsup://IBCentral/FAT Viewer?action=UPDATE&amp;creator=factset&amp;DOC_NAME=fat:reuters_qtrly_source_window.fat&amp;display_string=Audit&amp;DYN_ARGS=TRUE&amp;VAR:ID1=221353&amp;VAR:RCODE=AEQI&amp;VAR:SDATE=20090399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675__FDSAUDITLINK__" localSheetId="8" hidden="1">{"fdsup://IBCentral/FAT Viewer?action=UPDATE&amp;creator=factset&amp;DOC_NAME=fat:reuters_qtrly_source_window.fat&amp;display_string=Audit&amp;DYN_ARGS=TRUE&amp;VAR:ID1=221353&amp;VAR:RCODE=LMIN&amp;VAR:SDATE=20090399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675__FDSAUDITLINK__" hidden="1">{"fdsup://IBCentral/FAT Viewer?action=UPDATE&amp;creator=factset&amp;DOC_NAME=fat:reuters_qtrly_source_window.fat&amp;display_string=Audit&amp;DYN_ARGS=TRUE&amp;VAR:ID1=221353&amp;VAR:RCODE=LMIN&amp;VAR:SDATE=20090399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676__FDSAUDITLINK__" localSheetId="8" hidden="1">{"fdsup://IBCentral/FAT Viewer?action=UPDATE&amp;creator=factset&amp;DOC_NAME=fat:reuters_qtrly_source_window.fat&amp;display_string=Audit&amp;DYN_ARGS=TRUE&amp;VAR:ID1=221353&amp;VAR:RCODE=STLD&amp;VAR:SDATE=20090399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676__FDSAUDITLINK__" hidden="1">{"fdsup://IBCentral/FAT Viewer?action=UPDATE&amp;creator=factset&amp;DOC_NAME=fat:reuters_qtrly_source_window.fat&amp;display_string=Audit&amp;DYN_ARGS=TRUE&amp;VAR:ID1=221353&amp;VAR:RCODE=STLD&amp;VAR:SDATE=20090399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677__FDSAUDITLINK__" localSheetId="8" hidden="1">{"fdsup://IBCentral/FAT Viewer?action=UPDATE&amp;creator=factset&amp;DOC_NAME=fat:reuters_qtrly_source_window.fat&amp;display_string=Audit&amp;DYN_ARGS=TRUE&amp;VAR:ID1=221353&amp;VAR:RCODE=SCSI&amp;VAR:SDATE=20090399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677__FDSAUDITLINK__" hidden="1">{"fdsup://IBCentral/FAT Viewer?action=UPDATE&amp;creator=factset&amp;DOC_NAME=fat:reuters_qtrly_source_window.fat&amp;display_string=Audit&amp;DYN_ARGS=TRUE&amp;VAR:ID1=221353&amp;VAR:RCODE=SCSI&amp;VAR:SDATE=20090399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678__FDSAUDITLINK__" localSheetId="8" hidden="1">{"fdsup://IBCentral/FAT Viewer?action=UPDATE&amp;creator=factset&amp;DOC_NAME=fat:reuters_annual_source_window.fat&amp;display_string=Audit&amp;DYN_ARGS=TRUE&amp;VAR:ID1=221353&amp;VAR:RCODE=FDSPFDSTKTOTAL&amp;VAR:SDATE=20081299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678__FDSAUDITLINK__" hidden="1">{"fdsup://IBCentral/FAT Viewer?action=UPDATE&amp;creator=factset&amp;DOC_NAME=fat:reuters_annual_source_window.fat&amp;display_string=Audit&amp;DYN_ARGS=TRUE&amp;VAR:ID1=221353&amp;VAR:RCODE=FDSPFDSTKTOTAL&amp;VAR:SDATE=20081299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679__FDSAUDITLINK__" localSheetId="8" hidden="1">{"fdsup://IBCentral/FAT Viewer?action=UPDATE&amp;creator=factset&amp;DOC_NAME=fat:reuters_qtrly_source_window.fat&amp;display_string=Audit&amp;DYN_ARGS=TRUE&amp;VAR:ID1=221353&amp;VAR:RCODE=AEQI&amp;VAR:SDATE=20090699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679__FDSAUDITLINK__" hidden="1">{"fdsup://IBCentral/FAT Viewer?action=UPDATE&amp;creator=factset&amp;DOC_NAME=fat:reuters_qtrly_source_window.fat&amp;display_string=Audit&amp;DYN_ARGS=TRUE&amp;VAR:ID1=221353&amp;VAR:RCODE=AEQI&amp;VAR:SDATE=20090699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68__FDSAUDITLINK__" localSheetId="8" hidden="1">{"fdsup://directions/FAT Viewer?action=UPDATE&amp;creator=factset&amp;DYN_ARGS=TRUE&amp;DOC_NAME=FAT:FQL_AUDITING_CLIENT_TEMPLATE.FAT&amp;display_string=Audit&amp;VAR:KEY=ZGDGPGXSPQ&amp;VAR:QUERY=RkZfRUJJVF9JQignQU5OJywzNTc5NSwsLCwnR0JQJyk=&amp;WINDOW=FIRST_POPUP&amp;HEIGHT=450&amp;WIDTH=450&amp;","START_MAXIMIZED=FALSE&amp;VAR:CALENDAR=FIVEDAY&amp;VAR:SYMBOL=063002&amp;VAR:INDEX=0"}</definedName>
    <definedName name="_168__FDSAUDITLINK__" hidden="1">{"fdsup://directions/FAT Viewer?action=UPDATE&amp;creator=factset&amp;DYN_ARGS=TRUE&amp;DOC_NAME=FAT:FQL_AUDITING_CLIENT_TEMPLATE.FAT&amp;display_string=Audit&amp;VAR:KEY=WRIHEZWXUL&amp;VAR:QUERY=RkZfSU5UX0VYUF9ORVQoTFRNLDQxMDM2KQ==&amp;WINDOW=FIRST_POPUP&amp;HEIGHT=450&amp;WIDTH=450&amp;START_MA","XIMIZED=FALSE&amp;VAR:CALENDAR=US&amp;VAR:SYMBOL=VMC&amp;VAR:INDEX=0"}</definedName>
    <definedName name="_168__FDSAUDITLINK___1" localSheetId="8" hidden="1">{"fdsup://directions/FAT Viewer?action=UPDATE&amp;creator=factset&amp;DYN_ARGS=TRUE&amp;DOC_NAME=FAT:FQL_AUDITING_CLIENT_TEMPLATE.FAT&amp;display_string=Audit&amp;VAR:KEY=ZGDGPGXSPQ&amp;VAR:QUERY=RkZfRUJJVF9JQignQU5OJywzNTc5NSwsLCwnR0JQJyk=&amp;WINDOW=FIRST_POPUP&amp;HEIGHT=450&amp;WIDTH=450&amp;","START_MAXIMIZED=FALSE&amp;VAR:CALENDAR=FIVEDAY&amp;VAR:SYMBOL=063002&amp;VAR:INDEX=0"}</definedName>
    <definedName name="_168__FDSAUDITLINK___1" hidden="1">{"fdsup://directions/FAT Viewer?action=UPDATE&amp;creator=factset&amp;DYN_ARGS=TRUE&amp;DOC_NAME=FAT:FQL_AUDITING_CLIENT_TEMPLATE.FAT&amp;display_string=Audit&amp;VAR:KEY=ZGDGPGXSPQ&amp;VAR:QUERY=RkZfRUJJVF9JQignQU5OJywzNTc5NSwsLCwnR0JQJyk=&amp;WINDOW=FIRST_POPUP&amp;HEIGHT=450&amp;WIDTH=450&amp;","START_MAXIMIZED=FALSE&amp;VAR:CALENDAR=FIVEDAY&amp;VAR:SYMBOL=063002&amp;VAR:INDEX=0"}</definedName>
    <definedName name="_1680__FDSAUDITLINK__" localSheetId="8" hidden="1">{"fdsup://IBCentral/FAT Viewer?action=UPDATE&amp;creator=factset&amp;DOC_NAME=fat:reuters_qtrly_source_window.fat&amp;display_string=Audit&amp;DYN_ARGS=TRUE&amp;VAR:ID1=221353&amp;VAR:RCODE=LMIN&amp;VAR:SDATE=20090699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680__FDSAUDITLINK__" hidden="1">{"fdsup://IBCentral/FAT Viewer?action=UPDATE&amp;creator=factset&amp;DOC_NAME=fat:reuters_qtrly_source_window.fat&amp;display_string=Audit&amp;DYN_ARGS=TRUE&amp;VAR:ID1=221353&amp;VAR:RCODE=LMIN&amp;VAR:SDATE=20090699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681__FDSAUDITLINK__" localSheetId="8" hidden="1">{"fdsup://IBCentral/FAT Viewer?action=UPDATE&amp;creator=factset&amp;DOC_NAME=fat:reuters_qtrly_source_window.fat&amp;display_string=Audit&amp;DYN_ARGS=TRUE&amp;VAR:ID1=221353&amp;VAR:RCODE=STLD&amp;VAR:SDATE=20090699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681__FDSAUDITLINK__" hidden="1">{"fdsup://IBCentral/FAT Viewer?action=UPDATE&amp;creator=factset&amp;DOC_NAME=fat:reuters_qtrly_source_window.fat&amp;display_string=Audit&amp;DYN_ARGS=TRUE&amp;VAR:ID1=221353&amp;VAR:RCODE=STLD&amp;VAR:SDATE=20090699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682__FDSAUDITLINK__" localSheetId="8" hidden="1">{"fdsup://IBCentral/FAT Viewer?action=UPDATE&amp;creator=factset&amp;DOC_NAME=fat:reuters_qtrly_source_window.fat&amp;display_string=Audit&amp;DYN_ARGS=TRUE&amp;VAR:ID1=221353&amp;VAR:RCODE=SCSI&amp;VAR:SDATE=20090699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682__FDSAUDITLINK__" hidden="1">{"fdsup://IBCentral/FAT Viewer?action=UPDATE&amp;creator=factset&amp;DOC_NAME=fat:reuters_qtrly_source_window.fat&amp;display_string=Audit&amp;DYN_ARGS=TRUE&amp;VAR:ID1=221353&amp;VAR:RCODE=SCSI&amp;VAR:SDATE=20090699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683__FDSAUDITLINK__" localSheetId="8" hidden="1">{"fdsup://IBCentral/FAT Viewer?action=UPDATE&amp;creator=factset&amp;DOC_NAME=fat:reuters_annual_source_window.fat&amp;display_string=Audit&amp;DYN_ARGS=TRUE&amp;VAR:ID1=221353&amp;VAR:RCODE=FDSPFDSTKTOTAL&amp;VAR:SDATE=20081299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683__FDSAUDITLINK__" hidden="1">{"fdsup://IBCentral/FAT Viewer?action=UPDATE&amp;creator=factset&amp;DOC_NAME=fat:reuters_annual_source_window.fat&amp;display_string=Audit&amp;DYN_ARGS=TRUE&amp;VAR:ID1=221353&amp;VAR:RCODE=FDSPFDSTKTOTAL&amp;VAR:SDATE=20081299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684__FDSAUDITLINK__" localSheetId="8" hidden="1">{"fdsup://IBCentral/FAT Viewer?action=UPDATE&amp;creator=factset&amp;DOC_NAME=fat:reuters_qtrly_source_window.fat&amp;display_string=Audit&amp;DYN_ARGS=TRUE&amp;VAR:ID1=221353&amp;VAR:RCODE=AEQI&amp;VAR:SDATE=20090699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684__FDSAUDITLINK__" hidden="1">{"fdsup://IBCentral/FAT Viewer?action=UPDATE&amp;creator=factset&amp;DOC_NAME=fat:reuters_qtrly_source_window.fat&amp;display_string=Audit&amp;DYN_ARGS=TRUE&amp;VAR:ID1=221353&amp;VAR:RCODE=AEQI&amp;VAR:SDATE=20090699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685__FDSAUDITLINK__" localSheetId="8" hidden="1">{"fdsup://IBCentral/FAT Viewer?action=UPDATE&amp;creator=factset&amp;DOC_NAME=fat:reuters_qtrly_source_window.fat&amp;display_string=Audit&amp;DYN_ARGS=TRUE&amp;VAR:ID1=221353&amp;VAR:RCODE=LMIN&amp;VAR:SDATE=20090699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685__FDSAUDITLINK__" hidden="1">{"fdsup://IBCentral/FAT Viewer?action=UPDATE&amp;creator=factset&amp;DOC_NAME=fat:reuters_qtrly_source_window.fat&amp;display_string=Audit&amp;DYN_ARGS=TRUE&amp;VAR:ID1=221353&amp;VAR:RCODE=LMIN&amp;VAR:SDATE=20090699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686__FDSAUDITLINK__" localSheetId="8" hidden="1">{"fdsup://IBCentral/FAT Viewer?action=UPDATE&amp;creator=factset&amp;DOC_NAME=fat:reuters_qtrly_source_window.fat&amp;display_string=Audit&amp;DYN_ARGS=TRUE&amp;VAR:ID1=221353&amp;VAR:RCODE=STLD&amp;VAR:SDATE=20090699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686__FDSAUDITLINK__" hidden="1">{"fdsup://IBCentral/FAT Viewer?action=UPDATE&amp;creator=factset&amp;DOC_NAME=fat:reuters_qtrly_source_window.fat&amp;display_string=Audit&amp;DYN_ARGS=TRUE&amp;VAR:ID1=221353&amp;VAR:RCODE=STLD&amp;VAR:SDATE=20090699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687__FDSAUDITLINK__" localSheetId="8" hidden="1">{"fdsup://IBCentral/FAT Viewer?action=UPDATE&amp;creator=factset&amp;DOC_NAME=fat:reuters_qtrly_source_window.fat&amp;display_string=Audit&amp;DYN_ARGS=TRUE&amp;VAR:ID1=221353&amp;VAR:RCODE=SCSI&amp;VAR:SDATE=20090699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687__FDSAUDITLINK__" hidden="1">{"fdsup://IBCentral/FAT Viewer?action=UPDATE&amp;creator=factset&amp;DOC_NAME=fat:reuters_qtrly_source_window.fat&amp;display_string=Audit&amp;DYN_ARGS=TRUE&amp;VAR:ID1=221353&amp;VAR:RCODE=SCSI&amp;VAR:SDATE=20090699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688__FDSAUDITLINK__" localSheetId="8" hidden="1">{"fdsup://IBCentral/FAT Viewer?action=UPDATE&amp;creator=factset&amp;DOC_NAME=fat:reuters_annual_source_window.fat&amp;display_string=Audit&amp;DYN_ARGS=TRUE&amp;VAR:ID1=221353&amp;VAR:RCODE=FDSPFDSTKTOTAL&amp;VAR:SDATE=20081299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688__FDSAUDITLINK__" hidden="1">{"fdsup://IBCentral/FAT Viewer?action=UPDATE&amp;creator=factset&amp;DOC_NAME=fat:reuters_annual_source_window.fat&amp;display_string=Audit&amp;DYN_ARGS=TRUE&amp;VAR:ID1=221353&amp;VAR:RCODE=FDSPFDSTKTOTAL&amp;VAR:SDATE=20081299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689__FDSAUDITLINK__" localSheetId="8" hidden="1">{"fdsup://IBCentral/FAT Viewer?action=UPDATE&amp;creator=factset&amp;DOC_NAME=fat:reuters_qtrly_source_window.fat&amp;display_string=Audit&amp;DYN_ARGS=TRUE&amp;VAR:ID1=221353&amp;VAR:RCODE=AEQI&amp;VAR:SDATE=20090699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689__FDSAUDITLINK__" hidden="1">{"fdsup://IBCentral/FAT Viewer?action=UPDATE&amp;creator=factset&amp;DOC_NAME=fat:reuters_qtrly_source_window.fat&amp;display_string=Audit&amp;DYN_ARGS=TRUE&amp;VAR:ID1=221353&amp;VAR:RCODE=AEQI&amp;VAR:SDATE=20090699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69__FDSAUDITLINK__" localSheetId="8" hidden="1">{"fdsup://directions/FAT Viewer?action=UPDATE&amp;creator=factset&amp;DYN_ARGS=TRUE&amp;DOC_NAME=FAT:FQL_AUDITING_CLIENT_TEMPLATE.FAT&amp;display_string=Audit&amp;VAR:KEY=DIXWXWHOPI&amp;VAR:QUERY=RkZfRUJJVF9JQignQU5OJywzNTQzMCwsLCwnR0JQJyk=&amp;WINDOW=FIRST_POPUP&amp;HEIGHT=450&amp;WIDTH=450&amp;","START_MAXIMIZED=FALSE&amp;VAR:CALENDAR=FIVEDAY&amp;VAR:SYMBOL=063002&amp;VAR:INDEX=0"}</definedName>
    <definedName name="_169__FDSAUDITLINK__" hidden="1">{"fdsup://directions/FAT Viewer?action=UPDATE&amp;creator=factset&amp;DYN_ARGS=TRUE&amp;DOC_NAME=FAT:FQL_AUDITING_CLIENT_TEMPLATE.FAT&amp;display_string=Audit&amp;VAR:KEY=SVATAJGNWN&amp;VAR:QUERY=RkZfSU5UX0VYUF9ORVQoTFRNLDQxMDM2KQ==&amp;WINDOW=FIRST_POPUP&amp;HEIGHT=450&amp;WIDTH=450&amp;START_MA","XIMIZED=FALSE&amp;VAR:CALENDAR=US&amp;VAR:SYMBOL=MCEM&amp;VAR:INDEX=0"}</definedName>
    <definedName name="_169__FDSAUDITLINK___1" localSheetId="8" hidden="1">{"fdsup://directions/FAT Viewer?action=UPDATE&amp;creator=factset&amp;DYN_ARGS=TRUE&amp;DOC_NAME=FAT:FQL_AUDITING_CLIENT_TEMPLATE.FAT&amp;display_string=Audit&amp;VAR:KEY=DIXWXWHOPI&amp;VAR:QUERY=RkZfRUJJVF9JQignQU5OJywzNTQzMCwsLCwnR0JQJyk=&amp;WINDOW=FIRST_POPUP&amp;HEIGHT=450&amp;WIDTH=450&amp;","START_MAXIMIZED=FALSE&amp;VAR:CALENDAR=FIVEDAY&amp;VAR:SYMBOL=063002&amp;VAR:INDEX=0"}</definedName>
    <definedName name="_169__FDSAUDITLINK___1" hidden="1">{"fdsup://directions/FAT Viewer?action=UPDATE&amp;creator=factset&amp;DYN_ARGS=TRUE&amp;DOC_NAME=FAT:FQL_AUDITING_CLIENT_TEMPLATE.FAT&amp;display_string=Audit&amp;VAR:KEY=DIXWXWHOPI&amp;VAR:QUERY=RkZfRUJJVF9JQignQU5OJywzNTQzMCwsLCwnR0JQJyk=&amp;WINDOW=FIRST_POPUP&amp;HEIGHT=450&amp;WIDTH=450&amp;","START_MAXIMIZED=FALSE&amp;VAR:CALENDAR=FIVEDAY&amp;VAR:SYMBOL=063002&amp;VAR:INDEX=0"}</definedName>
    <definedName name="_1690__FDSAUDITLINK__" localSheetId="8" hidden="1">{"fdsup://IBCentral/FAT Viewer?action=UPDATE&amp;creator=factset&amp;DOC_NAME=fat:reuters_qtrly_source_window.fat&amp;display_string=Audit&amp;DYN_ARGS=TRUE&amp;VAR:ID1=221353&amp;VAR:RCODE=LMIN&amp;VAR:SDATE=20090699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690__FDSAUDITLINK__" hidden="1">{"fdsup://IBCentral/FAT Viewer?action=UPDATE&amp;creator=factset&amp;DOC_NAME=fat:reuters_qtrly_source_window.fat&amp;display_string=Audit&amp;DYN_ARGS=TRUE&amp;VAR:ID1=221353&amp;VAR:RCODE=LMIN&amp;VAR:SDATE=20090699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691__FDSAUDITLINK__" localSheetId="8" hidden="1">{"fdsup://IBCentral/FAT Viewer?action=UPDATE&amp;creator=factset&amp;DOC_NAME=fat:reuters_qtrly_source_window.fat&amp;display_string=Audit&amp;DYN_ARGS=TRUE&amp;VAR:ID1=221353&amp;VAR:RCODE=STLD&amp;VAR:SDATE=20090699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691__FDSAUDITLINK__" hidden="1">{"fdsup://IBCentral/FAT Viewer?action=UPDATE&amp;creator=factset&amp;DOC_NAME=fat:reuters_qtrly_source_window.fat&amp;display_string=Audit&amp;DYN_ARGS=TRUE&amp;VAR:ID1=221353&amp;VAR:RCODE=STLD&amp;VAR:SDATE=20090699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692__FDSAUDITLINK__" localSheetId="8" hidden="1">{"fdsup://IBCentral/FAT Viewer?action=UPDATE&amp;creator=factset&amp;DOC_NAME=fat:reuters_qtrly_source_window.fat&amp;display_string=Audit&amp;DYN_ARGS=TRUE&amp;VAR:ID1=221353&amp;VAR:RCODE=SCSI&amp;VAR:SDATE=20090699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692__FDSAUDITLINK__" hidden="1">{"fdsup://IBCentral/FAT Viewer?action=UPDATE&amp;creator=factset&amp;DOC_NAME=fat:reuters_qtrly_source_window.fat&amp;display_string=Audit&amp;DYN_ARGS=TRUE&amp;VAR:ID1=221353&amp;VAR:RCODE=SCSI&amp;VAR:SDATE=20090699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693__FDSAUDITLINK__" localSheetId="8" hidden="1">{"fdsup://IBCentral/FAT Viewer?action=UPDATE&amp;creator=factset&amp;DOC_NAME=fat:reuters_annual_source_window.fat&amp;display_string=Audit&amp;DYN_ARGS=TRUE&amp;VAR:ID1=221353&amp;VAR:RCODE=FDSPFDSTKTOTAL&amp;VAR:SDATE=20081299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693__FDSAUDITLINK__" hidden="1">{"fdsup://IBCentral/FAT Viewer?action=UPDATE&amp;creator=factset&amp;DOC_NAME=fat:reuters_annual_source_window.fat&amp;display_string=Audit&amp;DYN_ARGS=TRUE&amp;VAR:ID1=221353&amp;VAR:RCODE=FDSPFDSTKTOTAL&amp;VAR:SDATE=20081299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694__FDSAUDITLINK__" localSheetId="8" hidden="1">{"fdsup://IBCentral/FAT Viewer?action=UPDATE&amp;creator=factset&amp;DOC_NAME=fat:reuters_qtrly_source_window.fat&amp;display_string=Audit&amp;DYN_ARGS=TRUE&amp;VAR:ID1=221353&amp;VAR:RCODE=AEQI&amp;VAR:SDATE=20090699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694__FDSAUDITLINK__" hidden="1">{"fdsup://IBCentral/FAT Viewer?action=UPDATE&amp;creator=factset&amp;DOC_NAME=fat:reuters_qtrly_source_window.fat&amp;display_string=Audit&amp;DYN_ARGS=TRUE&amp;VAR:ID1=221353&amp;VAR:RCODE=AEQI&amp;VAR:SDATE=20090699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695__FDSAUDITLINK__" localSheetId="8" hidden="1">{"fdsup://IBCentral/FAT Viewer?action=UPDATE&amp;creator=factset&amp;DOC_NAME=fat:reuters_qtrly_source_window.fat&amp;display_string=Audit&amp;DYN_ARGS=TRUE&amp;VAR:ID1=221353&amp;VAR:RCODE=LMIN&amp;VAR:SDATE=20090699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695__FDSAUDITLINK__" hidden="1">{"fdsup://IBCentral/FAT Viewer?action=UPDATE&amp;creator=factset&amp;DOC_NAME=fat:reuters_qtrly_source_window.fat&amp;display_string=Audit&amp;DYN_ARGS=TRUE&amp;VAR:ID1=221353&amp;VAR:RCODE=LMIN&amp;VAR:SDATE=20090699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696__FDSAUDITLINK__" localSheetId="8" hidden="1">{"fdsup://IBCentral/FAT Viewer?action=UPDATE&amp;creator=factset&amp;DOC_NAME=fat:reuters_qtrly_source_window.fat&amp;display_string=Audit&amp;DYN_ARGS=TRUE&amp;VAR:ID1=221353&amp;VAR:RCODE=STLD&amp;VAR:SDATE=20090699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696__FDSAUDITLINK__" hidden="1">{"fdsup://IBCentral/FAT Viewer?action=UPDATE&amp;creator=factset&amp;DOC_NAME=fat:reuters_qtrly_source_window.fat&amp;display_string=Audit&amp;DYN_ARGS=TRUE&amp;VAR:ID1=221353&amp;VAR:RCODE=STLD&amp;VAR:SDATE=20090699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697__FDSAUDITLINK__" localSheetId="8" hidden="1">{"fdsup://IBCentral/FAT Viewer?action=UPDATE&amp;creator=factset&amp;DOC_NAME=fat:reuters_qtrly_source_window.fat&amp;display_string=Audit&amp;DYN_ARGS=TRUE&amp;VAR:ID1=221353&amp;VAR:RCODE=SCSI&amp;VAR:SDATE=20090699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697__FDSAUDITLINK__" hidden="1">{"fdsup://IBCentral/FAT Viewer?action=UPDATE&amp;creator=factset&amp;DOC_NAME=fat:reuters_qtrly_source_window.fat&amp;display_string=Audit&amp;DYN_ARGS=TRUE&amp;VAR:ID1=221353&amp;VAR:RCODE=SCSI&amp;VAR:SDATE=20090699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698__FDSAUDITLINK__" localSheetId="8" hidden="1">{"fdsup://IBCentral/FAT Viewer?action=UPDATE&amp;creator=factset&amp;DOC_NAME=fat:reuters_annual_source_window.fat&amp;display_string=Audit&amp;DYN_ARGS=TRUE&amp;VAR:ID1=221353&amp;VAR:RCODE=FDSPFDSTKTOTAL&amp;VAR:SDATE=20081299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698__FDSAUDITLINK__" hidden="1">{"fdsup://IBCentral/FAT Viewer?action=UPDATE&amp;creator=factset&amp;DOC_NAME=fat:reuters_annual_source_window.fat&amp;display_string=Audit&amp;DYN_ARGS=TRUE&amp;VAR:ID1=221353&amp;VAR:RCODE=FDSPFDSTKTOTAL&amp;VAR:SDATE=20081299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699__FDSAUDITLINK__" localSheetId="8" hidden="1">{"fdsup://IBCentral/FAT Viewer?action=UPDATE&amp;creator=factset&amp;DOC_NAME=fat:reuters_qtrly_source_window.fat&amp;display_string=Audit&amp;DYN_ARGS=TRUE&amp;VAR:ID1=221353&amp;VAR:RCODE=AEQI&amp;VAR:SDATE=20090699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699__FDSAUDITLINK__" hidden="1">{"fdsup://IBCentral/FAT Viewer?action=UPDATE&amp;creator=factset&amp;DOC_NAME=fat:reuters_qtrly_source_window.fat&amp;display_string=Audit&amp;DYN_ARGS=TRUE&amp;VAR:ID1=221353&amp;VAR:RCODE=AEQI&amp;VAR:SDATE=20090699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__123Graph_ACHART_27" localSheetId="8" hidden="1">#REF!</definedName>
    <definedName name="_17__123Graph_ACHART_27" hidden="1">#REF!</definedName>
    <definedName name="_17__123Graph_ACHART_3" hidden="1">#N/A</definedName>
    <definedName name="_17__123Graph_ACHART_7" hidden="1">#REF!</definedName>
    <definedName name="_17__123Graph_ACHART_9" hidden="1">#REF!</definedName>
    <definedName name="_17__123Graph_BCHART_7" localSheetId="8" hidden="1">#REF!</definedName>
    <definedName name="_17__123Graph_BCHART_7" hidden="1">#REF!</definedName>
    <definedName name="_17__123Graph_BGRAFICO_31" localSheetId="8" hidden="1">#REF!</definedName>
    <definedName name="_17__123Graph_BGRAFICO_31" hidden="1">#REF!</definedName>
    <definedName name="_17__123Graph_CCHART_6" hidden="1">#REF!</definedName>
    <definedName name="_17__123Graph_ECHART_7" hidden="1">#REF!</definedName>
    <definedName name="_17__123Graph_LBL_ACHART_7" hidden="1">#REF!</definedName>
    <definedName name="_17__123Graph_LBL_DCHART_1" hidden="1">#REF!</definedName>
    <definedName name="_17__123Graph_LBL_DGRAFICO_20" hidden="1">#REF!</definedName>
    <definedName name="_17__123Graph_LBL_FGRAFICO_20" hidden="1">#REF!</definedName>
    <definedName name="_17__123Graph_XGRAFICO_8" hidden="1">#REF!</definedName>
    <definedName name="_17__FDSAUDITLINK__" localSheetId="8" hidden="1">{"fdsup://directions/FAT Viewer?action=UPDATE&amp;creator=factset&amp;DYN_ARGS=TRUE&amp;DOC_NAME=FAT:FQL_AUDITING_CLIENT_TEMPLATE.FAT&amp;display_string=Audit&amp;VAR:KEY=QLOLCRCXEP&amp;VAR:QUERY=RkZfRUJJVF9JQihBTk4sMzc2MjEsLCwsRVVSKQ==&amp;WINDOW=FIRST_POPUP&amp;HEIGHT=450&amp;WIDTH=450&amp;STAR","T_MAXIMIZED=FALSE&amp;VAR:CALENDAR=FIVEDAY&amp;VAR:SYMBOL=591344&amp;VAR:INDEX=0"}</definedName>
    <definedName name="_17__FDSAUDITLINK__" hidden="1">{"fdsup://directions/FAT Viewer?action=UPDATE&amp;creator=factset&amp;DYN_ARGS=TRUE&amp;DOC_NAME=FAT:FQL_AUDITING_CLIENT_TEMPLATE.FAT&amp;display_string=Audit&amp;VAR:KEY=IPMVATGXUJ&amp;VAR:QUERY=RkZfU0FMRVMoQ0FMLDIwMTEp&amp;WINDOW=FIRST_POPUP&amp;HEIGHT=450&amp;WIDTH=450&amp;START_MAXIMIZED=FALS","E&amp;VAR:CALENDAR=US&amp;VAR:SYMBOL=USCR&amp;VAR:INDEX=0"}</definedName>
    <definedName name="_17__FDSAUDITLINK___1" localSheetId="8" hidden="1">{"fdsup://directions/FAT Viewer?action=UPDATE&amp;creator=factset&amp;DYN_ARGS=TRUE&amp;DOC_NAME=FAT:FQL_AUDITING_CLIENT_TEMPLATE.FAT&amp;display_string=Audit&amp;VAR:KEY=QLOLCRCXEP&amp;VAR:QUERY=RkZfRUJJVF9JQihBTk4sMzc2MjEsLCwsRVVSKQ==&amp;WINDOW=FIRST_POPUP&amp;HEIGHT=450&amp;WIDTH=450&amp;STAR","T_MAXIMIZED=FALSE&amp;VAR:CALENDAR=FIVEDAY&amp;VAR:SYMBOL=591344&amp;VAR:INDEX=0"}</definedName>
    <definedName name="_17__FDSAUDITLINK___1" hidden="1">{"fdsup://directions/FAT Viewer?action=UPDATE&amp;creator=factset&amp;DYN_ARGS=TRUE&amp;DOC_NAME=FAT:FQL_AUDITING_CLIENT_TEMPLATE.FAT&amp;display_string=Audit&amp;VAR:KEY=QLOLCRCXEP&amp;VAR:QUERY=RkZfRUJJVF9JQihBTk4sMzc2MjEsLCwsRVVSKQ==&amp;WINDOW=FIRST_POPUP&amp;HEIGHT=450&amp;WIDTH=450&amp;STAR","T_MAXIMIZED=FALSE&amp;VAR:CALENDAR=FIVEDAY&amp;VAR:SYMBOL=591344&amp;VAR:INDEX=0"}</definedName>
    <definedName name="_17_123Graph_XDELCO" hidden="1">#REF!</definedName>
    <definedName name="_170__FDSAUDITLINK__" localSheetId="8" hidden="1">{"fdsup://directions/FAT Viewer?action=UPDATE&amp;creator=factset&amp;DYN_ARGS=TRUE&amp;DOC_NAME=FAT:FQL_AUDITING_CLIENT_TEMPLATE.FAT&amp;display_string=Audit&amp;VAR:KEY=NGVQRYPWZM&amp;VAR:QUERY=RkZfRUJJVF9JQignQU5OJywzNTA2NCwsLCwnR0JQJyk=&amp;WINDOW=FIRST_POPUP&amp;HEIGHT=450&amp;WIDTH=450&amp;","START_MAXIMIZED=FALSE&amp;VAR:CALENDAR=FIVEDAY&amp;VAR:SYMBOL=063002&amp;VAR:INDEX=0"}</definedName>
    <definedName name="_170__FDSAUDITLINK__" hidden="1">{"fdsup://directions/FAT Viewer?action=UPDATE&amp;creator=factset&amp;DYN_ARGS=TRUE&amp;DOC_NAME=FAT:FQL_AUDITING_CLIENT_TEMPLATE.FAT&amp;display_string=Audit&amp;VAR:KEY=IXIXQZCDEB&amp;VAR:QUERY=RkZfSU5UX0VYUF9ORVQoTFRNLDQxMDM2KQ==&amp;WINDOW=FIRST_POPUP&amp;HEIGHT=450&amp;WIDTH=450&amp;START_MA","XIMIZED=FALSE&amp;VAR:CALENDAR=US&amp;VAR:SYMBOL=TXI&amp;VAR:INDEX=0"}</definedName>
    <definedName name="_170__FDSAUDITLINK___1" localSheetId="8" hidden="1">{"fdsup://directions/FAT Viewer?action=UPDATE&amp;creator=factset&amp;DYN_ARGS=TRUE&amp;DOC_NAME=FAT:FQL_AUDITING_CLIENT_TEMPLATE.FAT&amp;display_string=Audit&amp;VAR:KEY=NGVQRYPWZM&amp;VAR:QUERY=RkZfRUJJVF9JQignQU5OJywzNTA2NCwsLCwnR0JQJyk=&amp;WINDOW=FIRST_POPUP&amp;HEIGHT=450&amp;WIDTH=450&amp;","START_MAXIMIZED=FALSE&amp;VAR:CALENDAR=FIVEDAY&amp;VAR:SYMBOL=063002&amp;VAR:INDEX=0"}</definedName>
    <definedName name="_170__FDSAUDITLINK___1" hidden="1">{"fdsup://directions/FAT Viewer?action=UPDATE&amp;creator=factset&amp;DYN_ARGS=TRUE&amp;DOC_NAME=FAT:FQL_AUDITING_CLIENT_TEMPLATE.FAT&amp;display_string=Audit&amp;VAR:KEY=NGVQRYPWZM&amp;VAR:QUERY=RkZfRUJJVF9JQignQU5OJywzNTA2NCwsLCwnR0JQJyk=&amp;WINDOW=FIRST_POPUP&amp;HEIGHT=450&amp;WIDTH=450&amp;","START_MAXIMIZED=FALSE&amp;VAR:CALENDAR=FIVEDAY&amp;VAR:SYMBOL=063002&amp;VAR:INDEX=0"}</definedName>
    <definedName name="_1700__FDSAUDITLINK__" localSheetId="8" hidden="1">{"fdsup://IBCentral/FAT Viewer?action=UPDATE&amp;creator=factset&amp;DOC_NAME=fat:reuters_qtrly_source_window.fat&amp;display_string=Audit&amp;DYN_ARGS=TRUE&amp;VAR:ID1=221353&amp;VAR:RCODE=LMIN&amp;VAR:SDATE=20090699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00__FDSAUDITLINK__" hidden="1">{"fdsup://IBCentral/FAT Viewer?action=UPDATE&amp;creator=factset&amp;DOC_NAME=fat:reuters_qtrly_source_window.fat&amp;display_string=Audit&amp;DYN_ARGS=TRUE&amp;VAR:ID1=221353&amp;VAR:RCODE=LMIN&amp;VAR:SDATE=20090699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01__FDSAUDITLINK__" localSheetId="8" hidden="1">{"fdsup://IBCentral/FAT Viewer?action=UPDATE&amp;creator=factset&amp;DOC_NAME=fat:reuters_qtrly_source_window.fat&amp;display_string=Audit&amp;DYN_ARGS=TRUE&amp;VAR:ID1=221353&amp;VAR:RCODE=STLD&amp;VAR:SDATE=20090699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01__FDSAUDITLINK__" hidden="1">{"fdsup://IBCentral/FAT Viewer?action=UPDATE&amp;creator=factset&amp;DOC_NAME=fat:reuters_qtrly_source_window.fat&amp;display_string=Audit&amp;DYN_ARGS=TRUE&amp;VAR:ID1=221353&amp;VAR:RCODE=STLD&amp;VAR:SDATE=20090699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02__FDSAUDITLINK__" localSheetId="8" hidden="1">{"fdsup://IBCentral/FAT Viewer?action=UPDATE&amp;creator=factset&amp;DOC_NAME=fat:reuters_qtrly_source_window.fat&amp;display_string=Audit&amp;DYN_ARGS=TRUE&amp;VAR:ID1=221353&amp;VAR:RCODE=SCSI&amp;VAR:SDATE=20090699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02__FDSAUDITLINK__" hidden="1">{"fdsup://IBCentral/FAT Viewer?action=UPDATE&amp;creator=factset&amp;DOC_NAME=fat:reuters_qtrly_source_window.fat&amp;display_string=Audit&amp;DYN_ARGS=TRUE&amp;VAR:ID1=221353&amp;VAR:RCODE=SCSI&amp;VAR:SDATE=20090699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03__FDSAUDITLINK__" localSheetId="8" hidden="1">{"fdsup://IBCentral/FAT Viewer?action=UPDATE&amp;creator=factset&amp;DOC_NAME=fat:reuters_annual_source_window.fat&amp;display_string=Audit&amp;DYN_ARGS=TRUE&amp;VAR:ID1=221353&amp;VAR:RCODE=FDSPFDSTKTOTAL&amp;VAR:SDATE=20081299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703__FDSAUDITLINK__" hidden="1">{"fdsup://IBCentral/FAT Viewer?action=UPDATE&amp;creator=factset&amp;DOC_NAME=fat:reuters_annual_source_window.fat&amp;display_string=Audit&amp;DYN_ARGS=TRUE&amp;VAR:ID1=221353&amp;VAR:RCODE=FDSPFDSTKTOTAL&amp;VAR:SDATE=20081299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704__FDSAUDITLINK__" localSheetId="8" hidden="1">{"fdsup://IBCentral/FAT Viewer?action=UPDATE&amp;creator=factset&amp;DOC_NAME=fat:reuters_qtrly_source_window.fat&amp;display_string=Audit&amp;DYN_ARGS=TRUE&amp;VAR:ID1=221353&amp;VAR:RCODE=AEQI&amp;VAR:SDATE=20090699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04__FDSAUDITLINK__" hidden="1">{"fdsup://IBCentral/FAT Viewer?action=UPDATE&amp;creator=factset&amp;DOC_NAME=fat:reuters_qtrly_source_window.fat&amp;display_string=Audit&amp;DYN_ARGS=TRUE&amp;VAR:ID1=221353&amp;VAR:RCODE=AEQI&amp;VAR:SDATE=20090699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05__FDSAUDITLINK__" localSheetId="8" hidden="1">{"fdsup://IBCentral/FAT Viewer?action=UPDATE&amp;creator=factset&amp;DOC_NAME=fat:reuters_qtrly_source_window.fat&amp;display_string=Audit&amp;DYN_ARGS=TRUE&amp;VAR:ID1=221353&amp;VAR:RCODE=LMIN&amp;VAR:SDATE=20090699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05__FDSAUDITLINK__" hidden="1">{"fdsup://IBCentral/FAT Viewer?action=UPDATE&amp;creator=factset&amp;DOC_NAME=fat:reuters_qtrly_source_window.fat&amp;display_string=Audit&amp;DYN_ARGS=TRUE&amp;VAR:ID1=221353&amp;VAR:RCODE=LMIN&amp;VAR:SDATE=20090699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06__FDSAUDITLINK__" localSheetId="8" hidden="1">{"fdsup://IBCentral/FAT Viewer?action=UPDATE&amp;creator=factset&amp;DOC_NAME=fat:reuters_qtrly_source_window.fat&amp;display_string=Audit&amp;DYN_ARGS=TRUE&amp;VAR:ID1=221353&amp;VAR:RCODE=STLD&amp;VAR:SDATE=20090699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06__FDSAUDITLINK__" hidden="1">{"fdsup://IBCentral/FAT Viewer?action=UPDATE&amp;creator=factset&amp;DOC_NAME=fat:reuters_qtrly_source_window.fat&amp;display_string=Audit&amp;DYN_ARGS=TRUE&amp;VAR:ID1=221353&amp;VAR:RCODE=STLD&amp;VAR:SDATE=20090699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07__FDSAUDITLINK__" localSheetId="8" hidden="1">{"fdsup://IBCentral/FAT Viewer?action=UPDATE&amp;creator=factset&amp;DOC_NAME=fat:reuters_qtrly_source_window.fat&amp;display_string=Audit&amp;DYN_ARGS=TRUE&amp;VAR:ID1=221353&amp;VAR:RCODE=SCSI&amp;VAR:SDATE=20090699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07__FDSAUDITLINK__" hidden="1">{"fdsup://IBCentral/FAT Viewer?action=UPDATE&amp;creator=factset&amp;DOC_NAME=fat:reuters_qtrly_source_window.fat&amp;display_string=Audit&amp;DYN_ARGS=TRUE&amp;VAR:ID1=221353&amp;VAR:RCODE=SCSI&amp;VAR:SDATE=20090699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08__FDSAUDITLINK__" localSheetId="8" hidden="1">{"fdsup://IBCentral/FAT Viewer?action=UPDATE&amp;creator=factset&amp;DOC_NAME=fat:reuters_annual_source_window.fat&amp;display_string=Audit&amp;DYN_ARGS=TRUE&amp;VAR:ID1=221353&amp;VAR:RCODE=FDSPFDSTKTOTAL&amp;VAR:SDATE=20081299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708__FDSAUDITLINK__" hidden="1">{"fdsup://IBCentral/FAT Viewer?action=UPDATE&amp;creator=factset&amp;DOC_NAME=fat:reuters_annual_source_window.fat&amp;display_string=Audit&amp;DYN_ARGS=TRUE&amp;VAR:ID1=221353&amp;VAR:RCODE=FDSPFDSTKTOTAL&amp;VAR:SDATE=20081299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709__FDSAUDITLINK__" localSheetId="8" hidden="1">{"fdsup://IBCentral/FAT Viewer?action=UPDATE&amp;creator=factset&amp;DOC_NAME=fat:reuters_qtrly_source_window.fat&amp;display_string=Audit&amp;DYN_ARGS=TRUE&amp;VAR:ID1=221353&amp;VAR:RCODE=AEQI&amp;VAR:SDATE=20090699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09__FDSAUDITLINK__" hidden="1">{"fdsup://IBCentral/FAT Viewer?action=UPDATE&amp;creator=factset&amp;DOC_NAME=fat:reuters_qtrly_source_window.fat&amp;display_string=Audit&amp;DYN_ARGS=TRUE&amp;VAR:ID1=221353&amp;VAR:RCODE=AEQI&amp;VAR:SDATE=20090699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1__FDSAUDITLINK__" localSheetId="8" hidden="1">{"fdsup://directions/FAT Viewer?action=UPDATE&amp;creator=factset&amp;DYN_ARGS=TRUE&amp;DOC_NAME=FAT:FQL_AUDITING_CLIENT_TEMPLATE.FAT&amp;display_string=Audit&amp;VAR:KEY=BWJSDAZOZQ&amp;VAR:QUERY=RkZfRUJJVF9JQignQU5OJywzNDY5OSwsLCwnR0JQJyk=&amp;WINDOW=FIRST_POPUP&amp;HEIGHT=450&amp;WIDTH=450&amp;","START_MAXIMIZED=FALSE&amp;VAR:CALENDAR=FIVEDAY&amp;VAR:SYMBOL=063002&amp;VAR:INDEX=0"}</definedName>
    <definedName name="_171__FDSAUDITLINK__" hidden="1">{"fdsup://directions/FAT Viewer?action=UPDATE&amp;creator=factset&amp;DYN_ARGS=TRUE&amp;DOC_NAME=FAT:FQL_AUDITING_CLIENT_TEMPLATE.FAT&amp;display_string=Audit&amp;VAR:KEY=ATAFEBMLKN&amp;VAR:QUERY=RkZfSU5UX0VYUF9ORVQoTFRNLDQxMDM2KQ==&amp;WINDOW=FIRST_POPUP&amp;HEIGHT=450&amp;WIDTH=450&amp;START_MA","XIMIZED=FALSE&amp;VAR:CALENDAR=US&amp;VAR:SYMBOL=USCR&amp;VAR:INDEX=0"}</definedName>
    <definedName name="_171__FDSAUDITLINK___1" localSheetId="8" hidden="1">{"fdsup://directions/FAT Viewer?action=UPDATE&amp;creator=factset&amp;DYN_ARGS=TRUE&amp;DOC_NAME=FAT:FQL_AUDITING_CLIENT_TEMPLATE.FAT&amp;display_string=Audit&amp;VAR:KEY=BWJSDAZOZQ&amp;VAR:QUERY=RkZfRUJJVF9JQignQU5OJywzNDY5OSwsLCwnR0JQJyk=&amp;WINDOW=FIRST_POPUP&amp;HEIGHT=450&amp;WIDTH=450&amp;","START_MAXIMIZED=FALSE&amp;VAR:CALENDAR=FIVEDAY&amp;VAR:SYMBOL=063002&amp;VAR:INDEX=0"}</definedName>
    <definedName name="_171__FDSAUDITLINK___1" hidden="1">{"fdsup://directions/FAT Viewer?action=UPDATE&amp;creator=factset&amp;DYN_ARGS=TRUE&amp;DOC_NAME=FAT:FQL_AUDITING_CLIENT_TEMPLATE.FAT&amp;display_string=Audit&amp;VAR:KEY=BWJSDAZOZQ&amp;VAR:QUERY=RkZfRUJJVF9JQignQU5OJywzNDY5OSwsLCwnR0JQJyk=&amp;WINDOW=FIRST_POPUP&amp;HEIGHT=450&amp;WIDTH=450&amp;","START_MAXIMIZED=FALSE&amp;VAR:CALENDAR=FIVEDAY&amp;VAR:SYMBOL=063002&amp;VAR:INDEX=0"}</definedName>
    <definedName name="_1710__FDSAUDITLINK__" localSheetId="8" hidden="1">{"fdsup://IBCentral/FAT Viewer?action=UPDATE&amp;creator=factset&amp;DOC_NAME=fat:reuters_qtrly_source_window.fat&amp;display_string=Audit&amp;DYN_ARGS=TRUE&amp;VAR:ID1=221353&amp;VAR:RCODE=LMIN&amp;VAR:SDATE=20090699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10__FDSAUDITLINK__" hidden="1">{"fdsup://IBCentral/FAT Viewer?action=UPDATE&amp;creator=factset&amp;DOC_NAME=fat:reuters_qtrly_source_window.fat&amp;display_string=Audit&amp;DYN_ARGS=TRUE&amp;VAR:ID1=221353&amp;VAR:RCODE=LMIN&amp;VAR:SDATE=20090699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11__FDSAUDITLINK__" localSheetId="8" hidden="1">{"fdsup://IBCentral/FAT Viewer?action=UPDATE&amp;creator=factset&amp;DOC_NAME=fat:reuters_qtrly_source_window.fat&amp;display_string=Audit&amp;DYN_ARGS=TRUE&amp;VAR:ID1=221353&amp;VAR:RCODE=STLD&amp;VAR:SDATE=20090699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11__FDSAUDITLINK__" hidden="1">{"fdsup://IBCentral/FAT Viewer?action=UPDATE&amp;creator=factset&amp;DOC_NAME=fat:reuters_qtrly_source_window.fat&amp;display_string=Audit&amp;DYN_ARGS=TRUE&amp;VAR:ID1=221353&amp;VAR:RCODE=STLD&amp;VAR:SDATE=20090699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12__FDSAUDITLINK__" localSheetId="8" hidden="1">{"fdsup://IBCentral/FAT Viewer?action=UPDATE&amp;creator=factset&amp;DOC_NAME=fat:reuters_qtrly_source_window.fat&amp;display_string=Audit&amp;DYN_ARGS=TRUE&amp;VAR:ID1=221353&amp;VAR:RCODE=SCSI&amp;VAR:SDATE=20090699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12__FDSAUDITLINK__" hidden="1">{"fdsup://IBCentral/FAT Viewer?action=UPDATE&amp;creator=factset&amp;DOC_NAME=fat:reuters_qtrly_source_window.fat&amp;display_string=Audit&amp;DYN_ARGS=TRUE&amp;VAR:ID1=221353&amp;VAR:RCODE=SCSI&amp;VAR:SDATE=20090699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13__FDSAUDITLINK__" localSheetId="8" hidden="1">{"fdsup://IBCentral/FAT Viewer?action=UPDATE&amp;creator=factset&amp;DOC_NAME=fat:reuters_annual_source_window.fat&amp;display_string=Audit&amp;DYN_ARGS=TRUE&amp;VAR:ID1=221353&amp;VAR:RCODE=FDSPFDSTKTOTAL&amp;VAR:SDATE=20081299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713__FDSAUDITLINK__" hidden="1">{"fdsup://IBCentral/FAT Viewer?action=UPDATE&amp;creator=factset&amp;DOC_NAME=fat:reuters_annual_source_window.fat&amp;display_string=Audit&amp;DYN_ARGS=TRUE&amp;VAR:ID1=221353&amp;VAR:RCODE=FDSPFDSTKTOTAL&amp;VAR:SDATE=20081299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714__FDSAUDITLINK__" localSheetId="8" hidden="1">{"fdsup://IBCentral/FAT Viewer?action=UPDATE&amp;creator=factset&amp;DOC_NAME=fat:reuters_qtrly_source_window.fat&amp;display_string=Audit&amp;DYN_ARGS=TRUE&amp;VAR:ID1=221353&amp;VAR:RCODE=AEQI&amp;VAR:SDATE=20090699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14__FDSAUDITLINK__" hidden="1">{"fdsup://IBCentral/FAT Viewer?action=UPDATE&amp;creator=factset&amp;DOC_NAME=fat:reuters_qtrly_source_window.fat&amp;display_string=Audit&amp;DYN_ARGS=TRUE&amp;VAR:ID1=221353&amp;VAR:RCODE=AEQI&amp;VAR:SDATE=20090699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15__FDSAUDITLINK__" localSheetId="8" hidden="1">{"fdsup://IBCentral/FAT Viewer?action=UPDATE&amp;creator=factset&amp;DOC_NAME=fat:reuters_qtrly_source_window.fat&amp;display_string=Audit&amp;DYN_ARGS=TRUE&amp;VAR:ID1=221353&amp;VAR:RCODE=LMIN&amp;VAR:SDATE=20090699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15__FDSAUDITLINK__" hidden="1">{"fdsup://IBCentral/FAT Viewer?action=UPDATE&amp;creator=factset&amp;DOC_NAME=fat:reuters_qtrly_source_window.fat&amp;display_string=Audit&amp;DYN_ARGS=TRUE&amp;VAR:ID1=221353&amp;VAR:RCODE=LMIN&amp;VAR:SDATE=20090699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16__FDSAUDITLINK__" localSheetId="8" hidden="1">{"fdsup://IBCentral/FAT Viewer?action=UPDATE&amp;creator=factset&amp;DOC_NAME=fat:reuters_qtrly_source_window.fat&amp;display_string=Audit&amp;DYN_ARGS=TRUE&amp;VAR:ID1=221353&amp;VAR:RCODE=STLD&amp;VAR:SDATE=20090699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16__FDSAUDITLINK__" hidden="1">{"fdsup://IBCentral/FAT Viewer?action=UPDATE&amp;creator=factset&amp;DOC_NAME=fat:reuters_qtrly_source_window.fat&amp;display_string=Audit&amp;DYN_ARGS=TRUE&amp;VAR:ID1=221353&amp;VAR:RCODE=STLD&amp;VAR:SDATE=20090699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17__FDSAUDITLINK__" localSheetId="8" hidden="1">{"fdsup://IBCentral/FAT Viewer?action=UPDATE&amp;creator=factset&amp;DOC_NAME=fat:reuters_qtrly_source_window.fat&amp;display_string=Audit&amp;DYN_ARGS=TRUE&amp;VAR:ID1=221353&amp;VAR:RCODE=SCSI&amp;VAR:SDATE=20090699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17__FDSAUDITLINK__" hidden="1">{"fdsup://IBCentral/FAT Viewer?action=UPDATE&amp;creator=factset&amp;DOC_NAME=fat:reuters_qtrly_source_window.fat&amp;display_string=Audit&amp;DYN_ARGS=TRUE&amp;VAR:ID1=221353&amp;VAR:RCODE=SCSI&amp;VAR:SDATE=20090699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18__FDSAUDITLINK__" localSheetId="8" hidden="1">{"fdsup://IBCentral/FAT Viewer?action=UPDATE&amp;creator=factset&amp;DOC_NAME=fat:reuters_annual_source_window.fat&amp;display_string=Audit&amp;DYN_ARGS=TRUE&amp;VAR:ID1=221353&amp;VAR:RCODE=FDSPFDSTKTOTAL&amp;VAR:SDATE=20081299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718__FDSAUDITLINK__" hidden="1">{"fdsup://IBCentral/FAT Viewer?action=UPDATE&amp;creator=factset&amp;DOC_NAME=fat:reuters_annual_source_window.fat&amp;display_string=Audit&amp;DYN_ARGS=TRUE&amp;VAR:ID1=221353&amp;VAR:RCODE=FDSPFDSTKTOTAL&amp;VAR:SDATE=20081299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719__FDSAUDITLINK__" localSheetId="8" hidden="1">{"fdsup://IBCentral/FAT Viewer?action=UPDATE&amp;creator=factset&amp;DOC_NAME=fat:reuters_qtrly_source_window.fat&amp;display_string=Audit&amp;DYN_ARGS=TRUE&amp;VAR:ID1=221353&amp;VAR:RCODE=AEQI&amp;VAR:SDATE=20090699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19__FDSAUDITLINK__" hidden="1">{"fdsup://IBCentral/FAT Viewer?action=UPDATE&amp;creator=factset&amp;DOC_NAME=fat:reuters_qtrly_source_window.fat&amp;display_string=Audit&amp;DYN_ARGS=TRUE&amp;VAR:ID1=221353&amp;VAR:RCODE=AEQI&amp;VAR:SDATE=20090699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2__FDSAUDITLINK__" localSheetId="8" hidden="1">{"fdsup://directions/FAT Viewer?action=UPDATE&amp;creator=factset&amp;DYN_ARGS=TRUE&amp;DOC_NAME=FAT:FQL_AUDITING_CLIENT_TEMPLATE.FAT&amp;display_string=Audit&amp;VAR:KEY=VMFORUHSXU&amp;VAR:QUERY=RkZfRUJJVF9JQignQU5OJywzNDMzNCwsLCwnR0JQJyk=&amp;WINDOW=FIRST_POPUP&amp;HEIGHT=450&amp;WIDTH=450&amp;","START_MAXIMIZED=FALSE&amp;VAR:CALENDAR=FIVEDAY&amp;VAR:SYMBOL=063002&amp;VAR:INDEX=0"}</definedName>
    <definedName name="_172__FDSAUDITLINK__" hidden="1">{"fdsup://directions/FAT Viewer?action=UPDATE&amp;creator=factset&amp;DYN_ARGS=TRUE&amp;DOC_NAME=FAT:FQL_AUDITING_CLIENT_TEMPLATE.FAT&amp;display_string=Audit&amp;VAR:KEY=ILCBQBMBGL&amp;VAR:QUERY=RkZfSU5UX0VYUF9ORVQoTFRNLDQxMDM2KQ==&amp;WINDOW=FIRST_POPUP&amp;HEIGHT=450&amp;WIDTH=450&amp;START_MA","XIMIZED=FALSE&amp;VAR:CALENDAR=US&amp;VAR:SYMBOL=MLM&amp;VAR:INDEX=0"}</definedName>
    <definedName name="_172__FDSAUDITLINK___1" localSheetId="8" hidden="1">{"fdsup://directions/FAT Viewer?action=UPDATE&amp;creator=factset&amp;DYN_ARGS=TRUE&amp;DOC_NAME=FAT:FQL_AUDITING_CLIENT_TEMPLATE.FAT&amp;display_string=Audit&amp;VAR:KEY=VMFORUHSXU&amp;VAR:QUERY=RkZfRUJJVF9JQignQU5OJywzNDMzNCwsLCwnR0JQJyk=&amp;WINDOW=FIRST_POPUP&amp;HEIGHT=450&amp;WIDTH=450&amp;","START_MAXIMIZED=FALSE&amp;VAR:CALENDAR=FIVEDAY&amp;VAR:SYMBOL=063002&amp;VAR:INDEX=0"}</definedName>
    <definedName name="_172__FDSAUDITLINK___1" hidden="1">{"fdsup://directions/FAT Viewer?action=UPDATE&amp;creator=factset&amp;DYN_ARGS=TRUE&amp;DOC_NAME=FAT:FQL_AUDITING_CLIENT_TEMPLATE.FAT&amp;display_string=Audit&amp;VAR:KEY=VMFORUHSXU&amp;VAR:QUERY=RkZfRUJJVF9JQignQU5OJywzNDMzNCwsLCwnR0JQJyk=&amp;WINDOW=FIRST_POPUP&amp;HEIGHT=450&amp;WIDTH=450&amp;","START_MAXIMIZED=FALSE&amp;VAR:CALENDAR=FIVEDAY&amp;VAR:SYMBOL=063002&amp;VAR:INDEX=0"}</definedName>
    <definedName name="_1720__FDSAUDITLINK__" localSheetId="8" hidden="1">{"fdsup://IBCentral/FAT Viewer?action=UPDATE&amp;creator=factset&amp;DOC_NAME=fat:reuters_qtrly_source_window.fat&amp;display_string=Audit&amp;DYN_ARGS=TRUE&amp;VAR:ID1=221353&amp;VAR:RCODE=LMIN&amp;VAR:SDATE=20090699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20__FDSAUDITLINK__" hidden="1">{"fdsup://IBCentral/FAT Viewer?action=UPDATE&amp;creator=factset&amp;DOC_NAME=fat:reuters_qtrly_source_window.fat&amp;display_string=Audit&amp;DYN_ARGS=TRUE&amp;VAR:ID1=221353&amp;VAR:RCODE=LMIN&amp;VAR:SDATE=20090699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21__FDSAUDITLINK__" localSheetId="8" hidden="1">{"fdsup://IBCentral/FAT Viewer?action=UPDATE&amp;creator=factset&amp;DOC_NAME=fat:reuters_qtrly_source_window.fat&amp;display_string=Audit&amp;DYN_ARGS=TRUE&amp;VAR:ID1=221353&amp;VAR:RCODE=STLD&amp;VAR:SDATE=20090699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21__FDSAUDITLINK__" hidden="1">{"fdsup://IBCentral/FAT Viewer?action=UPDATE&amp;creator=factset&amp;DOC_NAME=fat:reuters_qtrly_source_window.fat&amp;display_string=Audit&amp;DYN_ARGS=TRUE&amp;VAR:ID1=221353&amp;VAR:RCODE=STLD&amp;VAR:SDATE=20090699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22__FDSAUDITLINK__" localSheetId="8" hidden="1">{"fdsup://IBCentral/FAT Viewer?action=UPDATE&amp;creator=factset&amp;DOC_NAME=fat:reuters_qtrly_source_window.fat&amp;display_string=Audit&amp;DYN_ARGS=TRUE&amp;VAR:ID1=221353&amp;VAR:RCODE=SCSI&amp;VAR:SDATE=20090699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22__FDSAUDITLINK__" hidden="1">{"fdsup://IBCentral/FAT Viewer?action=UPDATE&amp;creator=factset&amp;DOC_NAME=fat:reuters_qtrly_source_window.fat&amp;display_string=Audit&amp;DYN_ARGS=TRUE&amp;VAR:ID1=221353&amp;VAR:RCODE=SCSI&amp;VAR:SDATE=20090699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23__FDSAUDITLINK__" localSheetId="8" hidden="1">{"fdsup://IBCentral/FAT Viewer?action=UPDATE&amp;creator=factset&amp;DOC_NAME=fat:reuters_annual_source_window.fat&amp;display_string=Audit&amp;DYN_ARGS=TRUE&amp;VAR:ID1=221353&amp;VAR:RCODE=FDSPFDSTKTOTAL&amp;VAR:SDATE=20081299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723__FDSAUDITLINK__" hidden="1">{"fdsup://IBCentral/FAT Viewer?action=UPDATE&amp;creator=factset&amp;DOC_NAME=fat:reuters_annual_source_window.fat&amp;display_string=Audit&amp;DYN_ARGS=TRUE&amp;VAR:ID1=221353&amp;VAR:RCODE=FDSPFDSTKTOTAL&amp;VAR:SDATE=20081299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724__FDSAUDITLINK__" localSheetId="8" hidden="1">{"fdsup://IBCentral/FAT Viewer?action=UPDATE&amp;creator=factset&amp;DOC_NAME=fat:reuters_qtrly_source_window.fat&amp;display_string=Audit&amp;DYN_ARGS=TRUE&amp;VAR:ID1=221353&amp;VAR:RCODE=AEQI&amp;VAR:SDATE=20090699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24__FDSAUDITLINK__" hidden="1">{"fdsup://IBCentral/FAT Viewer?action=UPDATE&amp;creator=factset&amp;DOC_NAME=fat:reuters_qtrly_source_window.fat&amp;display_string=Audit&amp;DYN_ARGS=TRUE&amp;VAR:ID1=221353&amp;VAR:RCODE=AEQI&amp;VAR:SDATE=20090699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25__FDSAUDITLINK__" localSheetId="8" hidden="1">{"fdsup://IBCentral/FAT Viewer?action=UPDATE&amp;creator=factset&amp;DOC_NAME=fat:reuters_qtrly_source_window.fat&amp;display_string=Audit&amp;DYN_ARGS=TRUE&amp;VAR:ID1=221353&amp;VAR:RCODE=LMIN&amp;VAR:SDATE=20090699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25__FDSAUDITLINK__" hidden="1">{"fdsup://IBCentral/FAT Viewer?action=UPDATE&amp;creator=factset&amp;DOC_NAME=fat:reuters_qtrly_source_window.fat&amp;display_string=Audit&amp;DYN_ARGS=TRUE&amp;VAR:ID1=221353&amp;VAR:RCODE=LMIN&amp;VAR:SDATE=20090699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26__FDSAUDITLINK__" localSheetId="8" hidden="1">{"fdsup://IBCentral/FAT Viewer?action=UPDATE&amp;creator=factset&amp;DOC_NAME=fat:reuters_qtrly_source_window.fat&amp;display_string=Audit&amp;DYN_ARGS=TRUE&amp;VAR:ID1=221353&amp;VAR:RCODE=STLD&amp;VAR:SDATE=20090699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26__FDSAUDITLINK__" hidden="1">{"fdsup://IBCentral/FAT Viewer?action=UPDATE&amp;creator=factset&amp;DOC_NAME=fat:reuters_qtrly_source_window.fat&amp;display_string=Audit&amp;DYN_ARGS=TRUE&amp;VAR:ID1=221353&amp;VAR:RCODE=STLD&amp;VAR:SDATE=20090699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27__FDSAUDITLINK__" localSheetId="8" hidden="1">{"fdsup://IBCentral/FAT Viewer?action=UPDATE&amp;creator=factset&amp;DOC_NAME=fat:reuters_qtrly_source_window.fat&amp;display_string=Audit&amp;DYN_ARGS=TRUE&amp;VAR:ID1=221353&amp;VAR:RCODE=SCSI&amp;VAR:SDATE=20090699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27__FDSAUDITLINK__" hidden="1">{"fdsup://IBCentral/FAT Viewer?action=UPDATE&amp;creator=factset&amp;DOC_NAME=fat:reuters_qtrly_source_window.fat&amp;display_string=Audit&amp;DYN_ARGS=TRUE&amp;VAR:ID1=221353&amp;VAR:RCODE=SCSI&amp;VAR:SDATE=20090699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28__FDSAUDITLINK__" localSheetId="8" hidden="1">{"fdsup://IBCentral/FAT Viewer?action=UPDATE&amp;creator=factset&amp;DOC_NAME=fat:reuters_annual_source_window.fat&amp;display_string=Audit&amp;DYN_ARGS=TRUE&amp;VAR:ID1=221353&amp;VAR:RCODE=FDSPFDSTKTOTAL&amp;VAR:SDATE=20081299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728__FDSAUDITLINK__" hidden="1">{"fdsup://IBCentral/FAT Viewer?action=UPDATE&amp;creator=factset&amp;DOC_NAME=fat:reuters_annual_source_window.fat&amp;display_string=Audit&amp;DYN_ARGS=TRUE&amp;VAR:ID1=221353&amp;VAR:RCODE=FDSPFDSTKTOTAL&amp;VAR:SDATE=20081299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729__FDSAUDITLINK__" localSheetId="8" hidden="1">{"fdsup://IBCentral/FAT Viewer?action=UPDATE&amp;creator=factset&amp;DOC_NAME=fat:reuters_qtrly_source_window.fat&amp;display_string=Audit&amp;DYN_ARGS=TRUE&amp;VAR:ID1=221353&amp;VAR:RCODE=AEQI&amp;VAR:SDATE=20090699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29__FDSAUDITLINK__" hidden="1">{"fdsup://IBCentral/FAT Viewer?action=UPDATE&amp;creator=factset&amp;DOC_NAME=fat:reuters_qtrly_source_window.fat&amp;display_string=Audit&amp;DYN_ARGS=TRUE&amp;VAR:ID1=221353&amp;VAR:RCODE=AEQI&amp;VAR:SDATE=20090699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3__123Graph_LBL_BCHART_22" hidden="1">#REF!</definedName>
    <definedName name="_173__FDSAUDITLINK__" localSheetId="8" hidden="1">{"fdsup://directions/FAT Viewer?action=UPDATE&amp;creator=factset&amp;DYN_ARGS=TRUE&amp;DOC_NAME=FAT:FQL_AUDITING_CLIENT_TEMPLATE.FAT&amp;display_string=Audit&amp;VAR:KEY=FYHGFGTGZY&amp;VAR:QUERY=RkZfRUJJVF9JQignQU5OJywzMzk2OSwsLCwnR0JQJyk=&amp;WINDOW=FIRST_POPUP&amp;HEIGHT=450&amp;WIDTH=450&amp;","START_MAXIMIZED=FALSE&amp;VAR:CALENDAR=FIVEDAY&amp;VAR:SYMBOL=063002&amp;VAR:INDEX=0"}</definedName>
    <definedName name="_173__FDSAUDITLINK__" hidden="1">{"fdsup://directions/FAT Viewer?action=UPDATE&amp;creator=factset&amp;DYN_ARGS=TRUE&amp;DOC_NAME=FAT:FQL_AUDITING_CLIENT_TEMPLATE.FAT&amp;display_string=Audit&amp;VAR:KEY=GPILSNMVSJ&amp;VAR:QUERY=RkZfSU5UX0VYUF9ORVQoTFRNLDQxMDM2KQ==&amp;WINDOW=FIRST_POPUP&amp;HEIGHT=450&amp;WIDTH=450&amp;START_MA","XIMIZED=FALSE&amp;VAR:CALENDAR=US&amp;VAR:SYMBOL=EXP&amp;VAR:INDEX=0"}</definedName>
    <definedName name="_173__FDSAUDITLINK___1" localSheetId="8" hidden="1">{"fdsup://directions/FAT Viewer?action=UPDATE&amp;creator=factset&amp;DYN_ARGS=TRUE&amp;DOC_NAME=FAT:FQL_AUDITING_CLIENT_TEMPLATE.FAT&amp;display_string=Audit&amp;VAR:KEY=FYHGFGTGZY&amp;VAR:QUERY=RkZfRUJJVF9JQignQU5OJywzMzk2OSwsLCwnR0JQJyk=&amp;WINDOW=FIRST_POPUP&amp;HEIGHT=450&amp;WIDTH=450&amp;","START_MAXIMIZED=FALSE&amp;VAR:CALENDAR=FIVEDAY&amp;VAR:SYMBOL=063002&amp;VAR:INDEX=0"}</definedName>
    <definedName name="_173__FDSAUDITLINK___1" hidden="1">{"fdsup://directions/FAT Viewer?action=UPDATE&amp;creator=factset&amp;DYN_ARGS=TRUE&amp;DOC_NAME=FAT:FQL_AUDITING_CLIENT_TEMPLATE.FAT&amp;display_string=Audit&amp;VAR:KEY=FYHGFGTGZY&amp;VAR:QUERY=RkZfRUJJVF9JQignQU5OJywzMzk2OSwsLCwnR0JQJyk=&amp;WINDOW=FIRST_POPUP&amp;HEIGHT=450&amp;WIDTH=450&amp;","START_MAXIMIZED=FALSE&amp;VAR:CALENDAR=FIVEDAY&amp;VAR:SYMBOL=063002&amp;VAR:INDEX=0"}</definedName>
    <definedName name="_1730__FDSAUDITLINK__" localSheetId="8" hidden="1">{"fdsup://IBCentral/FAT Viewer?action=UPDATE&amp;creator=factset&amp;DOC_NAME=fat:reuters_qtrly_source_window.fat&amp;display_string=Audit&amp;DYN_ARGS=TRUE&amp;VAR:ID1=221353&amp;VAR:RCODE=LMIN&amp;VAR:SDATE=20090699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30__FDSAUDITLINK__" hidden="1">{"fdsup://IBCentral/FAT Viewer?action=UPDATE&amp;creator=factset&amp;DOC_NAME=fat:reuters_qtrly_source_window.fat&amp;display_string=Audit&amp;DYN_ARGS=TRUE&amp;VAR:ID1=221353&amp;VAR:RCODE=LMIN&amp;VAR:SDATE=20090699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31__FDSAUDITLINK__" localSheetId="8" hidden="1">{"fdsup://IBCentral/FAT Viewer?action=UPDATE&amp;creator=factset&amp;DOC_NAME=fat:reuters_qtrly_source_window.fat&amp;display_string=Audit&amp;DYN_ARGS=TRUE&amp;VAR:ID1=221353&amp;VAR:RCODE=STLD&amp;VAR:SDATE=20090699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31__FDSAUDITLINK__" hidden="1">{"fdsup://IBCentral/FAT Viewer?action=UPDATE&amp;creator=factset&amp;DOC_NAME=fat:reuters_qtrly_source_window.fat&amp;display_string=Audit&amp;DYN_ARGS=TRUE&amp;VAR:ID1=221353&amp;VAR:RCODE=STLD&amp;VAR:SDATE=20090699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32__FDSAUDITLINK__" localSheetId="8" hidden="1">{"fdsup://IBCentral/FAT Viewer?action=UPDATE&amp;creator=factset&amp;DOC_NAME=fat:reuters_qtrly_source_window.fat&amp;display_string=Audit&amp;DYN_ARGS=TRUE&amp;VAR:ID1=221353&amp;VAR:RCODE=SCSI&amp;VAR:SDATE=20090699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32__FDSAUDITLINK__" hidden="1">{"fdsup://IBCentral/FAT Viewer?action=UPDATE&amp;creator=factset&amp;DOC_NAME=fat:reuters_qtrly_source_window.fat&amp;display_string=Audit&amp;DYN_ARGS=TRUE&amp;VAR:ID1=221353&amp;VAR:RCODE=SCSI&amp;VAR:SDATE=20090699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33__FDSAUDITLINK__" localSheetId="8" hidden="1">{"fdsup://IBCentral/FAT Viewer?action=UPDATE&amp;creator=factset&amp;DOC_NAME=fat:reuters_annual_source_window.fat&amp;display_string=Audit&amp;DYN_ARGS=TRUE&amp;VAR:ID1=221353&amp;VAR:RCODE=FDSPFDSTKTOTAL&amp;VAR:SDATE=20081299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733__FDSAUDITLINK__" hidden="1">{"fdsup://IBCentral/FAT Viewer?action=UPDATE&amp;creator=factset&amp;DOC_NAME=fat:reuters_annual_source_window.fat&amp;display_string=Audit&amp;DYN_ARGS=TRUE&amp;VAR:ID1=221353&amp;VAR:RCODE=FDSPFDSTKTOTAL&amp;VAR:SDATE=20081299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734__FDSAUDITLINK__" localSheetId="8" hidden="1">{"fdsup://IBCentral/FAT Viewer?action=UPDATE&amp;creator=factset&amp;DOC_NAME=fat:reuters_qtrly_source_window.fat&amp;display_string=Audit&amp;DYN_ARGS=TRUE&amp;VAR:ID1=221353&amp;VAR:RCODE=AEQI&amp;VAR:SDATE=20090699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34__FDSAUDITLINK__" hidden="1">{"fdsup://IBCentral/FAT Viewer?action=UPDATE&amp;creator=factset&amp;DOC_NAME=fat:reuters_qtrly_source_window.fat&amp;display_string=Audit&amp;DYN_ARGS=TRUE&amp;VAR:ID1=221353&amp;VAR:RCODE=AEQI&amp;VAR:SDATE=20090699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35__FDSAUDITLINK__" localSheetId="8" hidden="1">{"fdsup://IBCentral/FAT Viewer?action=UPDATE&amp;creator=factset&amp;DOC_NAME=fat:reuters_qtrly_source_window.fat&amp;display_string=Audit&amp;DYN_ARGS=TRUE&amp;VAR:ID1=221353&amp;VAR:RCODE=LMIN&amp;VAR:SDATE=20090699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35__FDSAUDITLINK__" hidden="1">{"fdsup://IBCentral/FAT Viewer?action=UPDATE&amp;creator=factset&amp;DOC_NAME=fat:reuters_qtrly_source_window.fat&amp;display_string=Audit&amp;DYN_ARGS=TRUE&amp;VAR:ID1=221353&amp;VAR:RCODE=LMIN&amp;VAR:SDATE=20090699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36__FDSAUDITLINK__" localSheetId="8" hidden="1">{"fdsup://IBCentral/FAT Viewer?action=UPDATE&amp;creator=factset&amp;DOC_NAME=fat:reuters_qtrly_source_window.fat&amp;display_string=Audit&amp;DYN_ARGS=TRUE&amp;VAR:ID1=221353&amp;VAR:RCODE=STLD&amp;VAR:SDATE=20090699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36__FDSAUDITLINK__" hidden="1">{"fdsup://IBCentral/FAT Viewer?action=UPDATE&amp;creator=factset&amp;DOC_NAME=fat:reuters_qtrly_source_window.fat&amp;display_string=Audit&amp;DYN_ARGS=TRUE&amp;VAR:ID1=221353&amp;VAR:RCODE=STLD&amp;VAR:SDATE=20090699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37__FDSAUDITLINK__" localSheetId="8" hidden="1">{"fdsup://IBCentral/FAT Viewer?action=UPDATE&amp;creator=factset&amp;DOC_NAME=fat:reuters_qtrly_source_window.fat&amp;display_string=Audit&amp;DYN_ARGS=TRUE&amp;VAR:ID1=221353&amp;VAR:RCODE=SCSI&amp;VAR:SDATE=20090699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37__FDSAUDITLINK__" hidden="1">{"fdsup://IBCentral/FAT Viewer?action=UPDATE&amp;creator=factset&amp;DOC_NAME=fat:reuters_qtrly_source_window.fat&amp;display_string=Audit&amp;DYN_ARGS=TRUE&amp;VAR:ID1=221353&amp;VAR:RCODE=SCSI&amp;VAR:SDATE=20090699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38__FDSAUDITLINK__" localSheetId="8" hidden="1">{"fdsup://IBCentral/FAT Viewer?action=UPDATE&amp;creator=factset&amp;DOC_NAME=fat:reuters_annual_source_window.fat&amp;display_string=Audit&amp;DYN_ARGS=TRUE&amp;VAR:ID1=221353&amp;VAR:RCODE=FDSPFDSTKTOTAL&amp;VAR:SDATE=20081299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738__FDSAUDITLINK__" hidden="1">{"fdsup://IBCentral/FAT Viewer?action=UPDATE&amp;creator=factset&amp;DOC_NAME=fat:reuters_annual_source_window.fat&amp;display_string=Audit&amp;DYN_ARGS=TRUE&amp;VAR:ID1=221353&amp;VAR:RCODE=FDSPFDSTKTOTAL&amp;VAR:SDATE=20081299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739__FDSAUDITLINK__" localSheetId="8" hidden="1">{"fdsup://IBCentral/FAT Viewer?action=UPDATE&amp;creator=factset&amp;DOC_NAME=fat:reuters_qtrly_source_window.fat&amp;display_string=Audit&amp;DYN_ARGS=TRUE&amp;VAR:ID1=221353&amp;VAR:RCODE=AEQI&amp;VAR:SDATE=20090699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39__FDSAUDITLINK__" hidden="1">{"fdsup://IBCentral/FAT Viewer?action=UPDATE&amp;creator=factset&amp;DOC_NAME=fat:reuters_qtrly_source_window.fat&amp;display_string=Audit&amp;DYN_ARGS=TRUE&amp;VAR:ID1=221353&amp;VAR:RCODE=AEQI&amp;VAR:SDATE=20090699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4__123Graph_LBL_BCHART_23" hidden="1">#REF!</definedName>
    <definedName name="_174__FDSAUDITLINK__" localSheetId="8" hidden="1">{"fdsup://directions/FAT Viewer?action=UPDATE&amp;creator=factset&amp;DYN_ARGS=TRUE&amp;DOC_NAME=FAT:FQL_AUDITING_CLIENT_TEMPLATE.FAT&amp;display_string=Audit&amp;VAR:KEY=NUNGFYPGVG&amp;VAR:QUERY=RkZfRUJJVF9JQignQU5OJywzMzYwMywsLCwnR0JQJyk=&amp;WINDOW=FIRST_POPUP&amp;HEIGHT=450&amp;WIDTH=450&amp;","START_MAXIMIZED=FALSE&amp;VAR:CALENDAR=FIVEDAY&amp;VAR:SYMBOL=063002&amp;VAR:INDEX=0"}</definedName>
    <definedName name="_174__FDSAUDITLINK__" hidden="1">{"fdsup://directions/FAT Viewer?action=UPDATE&amp;creator=factset&amp;DYN_ARGS=TRUE&amp;DOC_NAME=FAT:FQL_AUDITING_CLIENT_TEMPLATE.FAT&amp;display_string=Audit&amp;VAR:KEY=RKTCDENGVE&amp;VAR:QUERY=RkZfT1BFUl9MRUFTRV9FWFAoTFRNLDQxMTEwLCwsLFVTRCk=&amp;WINDOW=FIRST_POPUP&amp;HEIGHT=450&amp;WIDTH=","450&amp;START_MAXIMIZED=FALSE&amp;VAR:CALENDAR=US&amp;VAR:SYMBOL=711075&amp;VAR:INDEX=0"}</definedName>
    <definedName name="_174__FDSAUDITLINK___1" localSheetId="8" hidden="1">{"fdsup://directions/FAT Viewer?action=UPDATE&amp;creator=factset&amp;DYN_ARGS=TRUE&amp;DOC_NAME=FAT:FQL_AUDITING_CLIENT_TEMPLATE.FAT&amp;display_string=Audit&amp;VAR:KEY=NUNGFYPGVG&amp;VAR:QUERY=RkZfRUJJVF9JQignQU5OJywzMzYwMywsLCwnR0JQJyk=&amp;WINDOW=FIRST_POPUP&amp;HEIGHT=450&amp;WIDTH=450&amp;","START_MAXIMIZED=FALSE&amp;VAR:CALENDAR=FIVEDAY&amp;VAR:SYMBOL=063002&amp;VAR:INDEX=0"}</definedName>
    <definedName name="_174__FDSAUDITLINK___1" hidden="1">{"fdsup://directions/FAT Viewer?action=UPDATE&amp;creator=factset&amp;DYN_ARGS=TRUE&amp;DOC_NAME=FAT:FQL_AUDITING_CLIENT_TEMPLATE.FAT&amp;display_string=Audit&amp;VAR:KEY=NUNGFYPGVG&amp;VAR:QUERY=RkZfRUJJVF9JQignQU5OJywzMzYwMywsLCwnR0JQJyk=&amp;WINDOW=FIRST_POPUP&amp;HEIGHT=450&amp;WIDTH=450&amp;","START_MAXIMIZED=FALSE&amp;VAR:CALENDAR=FIVEDAY&amp;VAR:SYMBOL=063002&amp;VAR:INDEX=0"}</definedName>
    <definedName name="_1740__FDSAUDITLINK__" localSheetId="8" hidden="1">{"fdsup://IBCentral/FAT Viewer?action=UPDATE&amp;creator=factset&amp;DOC_NAME=fat:reuters_qtrly_source_window.fat&amp;display_string=Audit&amp;DYN_ARGS=TRUE&amp;VAR:ID1=221353&amp;VAR:RCODE=LMIN&amp;VAR:SDATE=20090699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40__FDSAUDITLINK__" hidden="1">{"fdsup://IBCentral/FAT Viewer?action=UPDATE&amp;creator=factset&amp;DOC_NAME=fat:reuters_qtrly_source_window.fat&amp;display_string=Audit&amp;DYN_ARGS=TRUE&amp;VAR:ID1=221353&amp;VAR:RCODE=LMIN&amp;VAR:SDATE=20090699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41__FDSAUDITLINK__" localSheetId="8" hidden="1">{"fdsup://IBCentral/FAT Viewer?action=UPDATE&amp;creator=factset&amp;DOC_NAME=fat:reuters_qtrly_source_window.fat&amp;display_string=Audit&amp;DYN_ARGS=TRUE&amp;VAR:ID1=221353&amp;VAR:RCODE=STLD&amp;VAR:SDATE=20090699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41__FDSAUDITLINK__" hidden="1">{"fdsup://IBCentral/FAT Viewer?action=UPDATE&amp;creator=factset&amp;DOC_NAME=fat:reuters_qtrly_source_window.fat&amp;display_string=Audit&amp;DYN_ARGS=TRUE&amp;VAR:ID1=221353&amp;VAR:RCODE=STLD&amp;VAR:SDATE=20090699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42__FDSAUDITLINK__" localSheetId="8" hidden="1">{"fdsup://IBCentral/FAT Viewer?action=UPDATE&amp;creator=factset&amp;DOC_NAME=fat:reuters_qtrly_source_window.fat&amp;display_string=Audit&amp;DYN_ARGS=TRUE&amp;VAR:ID1=221353&amp;VAR:RCODE=SCSI&amp;VAR:SDATE=20090699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42__FDSAUDITLINK__" hidden="1">{"fdsup://IBCentral/FAT Viewer?action=UPDATE&amp;creator=factset&amp;DOC_NAME=fat:reuters_qtrly_source_window.fat&amp;display_string=Audit&amp;DYN_ARGS=TRUE&amp;VAR:ID1=221353&amp;VAR:RCODE=SCSI&amp;VAR:SDATE=20090699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43__FDSAUDITLINK__" localSheetId="8" hidden="1">{"fdsup://IBCentral/FAT Viewer?action=UPDATE&amp;creator=factset&amp;DOC_NAME=fat:reuters_annual_source_window.fat&amp;display_string=Audit&amp;DYN_ARGS=TRUE&amp;VAR:ID1=221353&amp;VAR:RCODE=FDSPFDSTKTOTAL&amp;VAR:SDATE=20081299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743__FDSAUDITLINK__" hidden="1">{"fdsup://IBCentral/FAT Viewer?action=UPDATE&amp;creator=factset&amp;DOC_NAME=fat:reuters_annual_source_window.fat&amp;display_string=Audit&amp;DYN_ARGS=TRUE&amp;VAR:ID1=221353&amp;VAR:RCODE=FDSPFDSTKTOTAL&amp;VAR:SDATE=20081299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744__FDSAUDITLINK__" localSheetId="8" hidden="1">{"fdsup://IBCentral/FAT Viewer?action=UPDATE&amp;creator=factset&amp;DOC_NAME=fat:reuters_qtrly_source_window.fat&amp;display_string=Audit&amp;DYN_ARGS=TRUE&amp;VAR:ID1=221353&amp;VAR:RCODE=AEQI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44__FDSAUDITLINK__" hidden="1">{"fdsup://IBCentral/FAT Viewer?action=UPDATE&amp;creator=factset&amp;DOC_NAME=fat:reuters_qtrly_source_window.fat&amp;display_string=Audit&amp;DYN_ARGS=TRUE&amp;VAR:ID1=221353&amp;VAR:RCODE=AEQI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45__FDSAUDITLINK__" localSheetId="8" hidden="1">{"fdsup://IBCentral/FAT Viewer?action=UPDATE&amp;creator=factset&amp;DOC_NAME=fat:reuters_qtrly_source_window.fat&amp;display_string=Audit&amp;DYN_ARGS=TRUE&amp;VAR:ID1=221353&amp;VAR:RCODE=LMIN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45__FDSAUDITLINK__" hidden="1">{"fdsup://IBCentral/FAT Viewer?action=UPDATE&amp;creator=factset&amp;DOC_NAME=fat:reuters_qtrly_source_window.fat&amp;display_string=Audit&amp;DYN_ARGS=TRUE&amp;VAR:ID1=221353&amp;VAR:RCODE=LMIN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46__FDSAUDITLINK__" localSheetId="8" hidden="1">{"fdsup://IBCentral/FAT Viewer?action=UPDATE&amp;creator=factset&amp;DOC_NAME=fat:reuters_qtrly_source_window.fat&amp;display_string=Audit&amp;DYN_ARGS=TRUE&amp;VAR:ID1=221353&amp;VAR:RCODE=STLD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46__FDSAUDITLINK__" hidden="1">{"fdsup://IBCentral/FAT Viewer?action=UPDATE&amp;creator=factset&amp;DOC_NAME=fat:reuters_qtrly_source_window.fat&amp;display_string=Audit&amp;DYN_ARGS=TRUE&amp;VAR:ID1=221353&amp;VAR:RCODE=STLD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47__FDSAUDITLINK__" localSheetId="8" hidden="1">{"fdsup://IBCentral/FAT Viewer?action=UPDATE&amp;creator=factset&amp;DOC_NAME=fat:reuters_qtrly_source_window.fat&amp;display_string=Audit&amp;DYN_ARGS=TRUE&amp;VAR:ID1=221353&amp;VAR:RCODE=SCSI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47__FDSAUDITLINK__" hidden="1">{"fdsup://IBCentral/FAT Viewer?action=UPDATE&amp;creator=factset&amp;DOC_NAME=fat:reuters_qtrly_source_window.fat&amp;display_string=Audit&amp;DYN_ARGS=TRUE&amp;VAR:ID1=221353&amp;VAR:RCODE=SCSI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48__FDSAUDITLINK__" localSheetId="8" hidden="1">{"fdsup://IBCentral/FAT Viewer?action=UPDATE&amp;creator=factset&amp;DOC_NAME=fat:reuters_annual_source_window.fat&amp;display_string=Audit&amp;DYN_ARGS=TRUE&amp;VAR:ID1=221353&amp;VAR:RCODE=FDSPFDSTKTOTAL&amp;VAR:SDATE=20081299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748__FDSAUDITLINK__" hidden="1">{"fdsup://IBCentral/FAT Viewer?action=UPDATE&amp;creator=factset&amp;DOC_NAME=fat:reuters_annual_source_window.fat&amp;display_string=Audit&amp;DYN_ARGS=TRUE&amp;VAR:ID1=221353&amp;VAR:RCODE=FDSPFDSTKTOTAL&amp;VAR:SDATE=20081299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749__FDSAUDITLINK__" localSheetId="8" hidden="1">{"fdsup://IBCentral/FAT Viewer?action=UPDATE&amp;creator=factset&amp;DOC_NAME=fat:reuters_qtrly_source_window.fat&amp;display_string=Audit&amp;DYN_ARGS=TRUE&amp;VAR:ID1=221353&amp;VAR:RCODE=AEQI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49__FDSAUDITLINK__" hidden="1">{"fdsup://IBCentral/FAT Viewer?action=UPDATE&amp;creator=factset&amp;DOC_NAME=fat:reuters_qtrly_source_window.fat&amp;display_string=Audit&amp;DYN_ARGS=TRUE&amp;VAR:ID1=221353&amp;VAR:RCODE=AEQI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5__123Graph_LBL_BCHART_3" hidden="1">#REF!</definedName>
    <definedName name="_175__FDSAUDITLINK__" localSheetId="8" hidden="1">{"fdsup://directions/FAT Viewer?action=UPDATE&amp;creator=factset&amp;DYN_ARGS=TRUE&amp;DOC_NAME=FAT:FQL_AUDITING_CLIENT_TEMPLATE.FAT&amp;display_string=Audit&amp;VAR:KEY=HQDYXGXYTA&amp;VAR:QUERY=RkZfRUJJVF9JQignQU5OJywzMzIzOCwsLCwnR0JQJyk=&amp;WINDOW=FIRST_POPUP&amp;HEIGHT=450&amp;WIDTH=450&amp;","START_MAXIMIZED=FALSE&amp;VAR:CALENDAR=FIVEDAY&amp;VAR:SYMBOL=063002&amp;VAR:INDEX=0"}</definedName>
    <definedName name="_175__FDSAUDITLINK__" hidden="1">{"fdsup://directions/FAT Viewer?action=UPDATE&amp;creator=factset&amp;DYN_ARGS=TRUE&amp;DOC_NAME=FAT:FQL_AUDITING_CLIENT_TEMPLATE.FAT&amp;display_string=Audit&amp;VAR:KEY=MNKDKLGFIF&amp;VAR:QUERY=RkZfT1BFUl9MRUFTRV9FWFAoTFRNLDQxMTEwLCwsLFVTRCk=&amp;WINDOW=FIRST_POPUP&amp;HEIGHT=450&amp;WIDTH=","450&amp;START_MAXIMIZED=FALSE&amp;VAR:CALENDAR=US&amp;VAR:SYMBOL=CX&amp;VAR:INDEX=0"}</definedName>
    <definedName name="_175__FDSAUDITLINK___1" localSheetId="8" hidden="1">{"fdsup://directions/FAT Viewer?action=UPDATE&amp;creator=factset&amp;DYN_ARGS=TRUE&amp;DOC_NAME=FAT:FQL_AUDITING_CLIENT_TEMPLATE.FAT&amp;display_string=Audit&amp;VAR:KEY=HQDYXGXYTA&amp;VAR:QUERY=RkZfRUJJVF9JQignQU5OJywzMzIzOCwsLCwnR0JQJyk=&amp;WINDOW=FIRST_POPUP&amp;HEIGHT=450&amp;WIDTH=450&amp;","START_MAXIMIZED=FALSE&amp;VAR:CALENDAR=FIVEDAY&amp;VAR:SYMBOL=063002&amp;VAR:INDEX=0"}</definedName>
    <definedName name="_175__FDSAUDITLINK___1" hidden="1">{"fdsup://directions/FAT Viewer?action=UPDATE&amp;creator=factset&amp;DYN_ARGS=TRUE&amp;DOC_NAME=FAT:FQL_AUDITING_CLIENT_TEMPLATE.FAT&amp;display_string=Audit&amp;VAR:KEY=HQDYXGXYTA&amp;VAR:QUERY=RkZfRUJJVF9JQignQU5OJywzMzIzOCwsLCwnR0JQJyk=&amp;WINDOW=FIRST_POPUP&amp;HEIGHT=450&amp;WIDTH=450&amp;","START_MAXIMIZED=FALSE&amp;VAR:CALENDAR=FIVEDAY&amp;VAR:SYMBOL=063002&amp;VAR:INDEX=0"}</definedName>
    <definedName name="_1750__FDSAUDITLINK__" localSheetId="8" hidden="1">{"fdsup://IBCentral/FAT Viewer?action=UPDATE&amp;creator=factset&amp;DOC_NAME=fat:reuters_qtrly_source_window.fat&amp;display_string=Audit&amp;DYN_ARGS=TRUE&amp;VAR:ID1=221353&amp;VAR:RCODE=LMIN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50__FDSAUDITLINK__" hidden="1">{"fdsup://IBCentral/FAT Viewer?action=UPDATE&amp;creator=factset&amp;DOC_NAME=fat:reuters_qtrly_source_window.fat&amp;display_string=Audit&amp;DYN_ARGS=TRUE&amp;VAR:ID1=221353&amp;VAR:RCODE=LMIN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51__FDSAUDITLINK__" localSheetId="8" hidden="1">{"fdsup://IBCentral/FAT Viewer?action=UPDATE&amp;creator=factset&amp;DOC_NAME=fat:reuters_qtrly_source_window.fat&amp;display_string=Audit&amp;DYN_ARGS=TRUE&amp;VAR:ID1=221353&amp;VAR:RCODE=STLD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51__FDSAUDITLINK__" hidden="1">{"fdsup://IBCentral/FAT Viewer?action=UPDATE&amp;creator=factset&amp;DOC_NAME=fat:reuters_qtrly_source_window.fat&amp;display_string=Audit&amp;DYN_ARGS=TRUE&amp;VAR:ID1=221353&amp;VAR:RCODE=STLD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52__FDSAUDITLINK__" localSheetId="8" hidden="1">{"fdsup://IBCentral/FAT Viewer?action=UPDATE&amp;creator=factset&amp;DOC_NAME=fat:reuters_qtrly_source_window.fat&amp;display_string=Audit&amp;DYN_ARGS=TRUE&amp;VAR:ID1=221353&amp;VAR:RCODE=SCSI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52__FDSAUDITLINK__" hidden="1">{"fdsup://IBCentral/FAT Viewer?action=UPDATE&amp;creator=factset&amp;DOC_NAME=fat:reuters_qtrly_source_window.fat&amp;display_string=Audit&amp;DYN_ARGS=TRUE&amp;VAR:ID1=221353&amp;VAR:RCODE=SCSI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53__FDSAUDITLINK__" localSheetId="8" hidden="1">{"fdsup://IBCentral/FAT Viewer?action=UPDATE&amp;creator=factset&amp;DOC_NAME=fat:reuters_annual_source_window.fat&amp;display_string=Audit&amp;DYN_ARGS=TRUE&amp;VAR:ID1=221353&amp;VAR:RCODE=FDSPFDSTKTOTAL&amp;VAR:SDATE=20081299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753__FDSAUDITLINK__" hidden="1">{"fdsup://IBCentral/FAT Viewer?action=UPDATE&amp;creator=factset&amp;DOC_NAME=fat:reuters_annual_source_window.fat&amp;display_string=Audit&amp;DYN_ARGS=TRUE&amp;VAR:ID1=221353&amp;VAR:RCODE=FDSPFDSTKTOTAL&amp;VAR:SDATE=20081299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754__FDSAUDITLINK__" localSheetId="8" hidden="1">{"fdsup://IBCentral/FAT Viewer?action=UPDATE&amp;creator=factset&amp;DOC_NAME=fat:reuters_qtrly_source_window.fat&amp;display_string=Audit&amp;DYN_ARGS=TRUE&amp;VAR:ID1=221353&amp;VAR:RCODE=AEQI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54__FDSAUDITLINK__" hidden="1">{"fdsup://IBCentral/FAT Viewer?action=UPDATE&amp;creator=factset&amp;DOC_NAME=fat:reuters_qtrly_source_window.fat&amp;display_string=Audit&amp;DYN_ARGS=TRUE&amp;VAR:ID1=221353&amp;VAR:RCODE=AEQI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55__FDSAUDITLINK__" localSheetId="8" hidden="1">{"fdsup://IBCentral/FAT Viewer?action=UPDATE&amp;creator=factset&amp;DOC_NAME=fat:reuters_qtrly_source_window.fat&amp;display_string=Audit&amp;DYN_ARGS=TRUE&amp;VAR:ID1=221353&amp;VAR:RCODE=LMIN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55__FDSAUDITLINK__" hidden="1">{"fdsup://IBCentral/FAT Viewer?action=UPDATE&amp;creator=factset&amp;DOC_NAME=fat:reuters_qtrly_source_window.fat&amp;display_string=Audit&amp;DYN_ARGS=TRUE&amp;VAR:ID1=221353&amp;VAR:RCODE=LMIN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56__FDSAUDITLINK__" localSheetId="8" hidden="1">{"fdsup://IBCentral/FAT Viewer?action=UPDATE&amp;creator=factset&amp;DOC_NAME=fat:reuters_qtrly_source_window.fat&amp;display_string=Audit&amp;DYN_ARGS=TRUE&amp;VAR:ID1=221353&amp;VAR:RCODE=STLD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56__FDSAUDITLINK__" hidden="1">{"fdsup://IBCentral/FAT Viewer?action=UPDATE&amp;creator=factset&amp;DOC_NAME=fat:reuters_qtrly_source_window.fat&amp;display_string=Audit&amp;DYN_ARGS=TRUE&amp;VAR:ID1=221353&amp;VAR:RCODE=STLD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57__FDSAUDITLINK__" localSheetId="8" hidden="1">{"fdsup://IBCentral/FAT Viewer?action=UPDATE&amp;creator=factset&amp;DOC_NAME=fat:reuters_qtrly_source_window.fat&amp;display_string=Audit&amp;DYN_ARGS=TRUE&amp;VAR:ID1=221353&amp;VAR:RCODE=SCSI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57__FDSAUDITLINK__" hidden="1">{"fdsup://IBCentral/FAT Viewer?action=UPDATE&amp;creator=factset&amp;DOC_NAME=fat:reuters_qtrly_source_window.fat&amp;display_string=Audit&amp;DYN_ARGS=TRUE&amp;VAR:ID1=221353&amp;VAR:RCODE=SCSI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58__FDSAUDITLINK__" localSheetId="8" hidden="1">{"fdsup://IBCentral/FAT Viewer?action=UPDATE&amp;creator=factset&amp;DOC_NAME=fat:reuters_annual_source_window.fat&amp;display_string=Audit&amp;DYN_ARGS=TRUE&amp;VAR:ID1=221353&amp;VAR:RCODE=FDSPFDSTKTOTAL&amp;VAR:SDATE=20081299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758__FDSAUDITLINK__" hidden="1">{"fdsup://IBCentral/FAT Viewer?action=UPDATE&amp;creator=factset&amp;DOC_NAME=fat:reuters_annual_source_window.fat&amp;display_string=Audit&amp;DYN_ARGS=TRUE&amp;VAR:ID1=221353&amp;VAR:RCODE=FDSPFDSTKTOTAL&amp;VAR:SDATE=20081299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759__FDSAUDITLINK__" localSheetId="8" hidden="1">{"fdsup://IBCentral/FAT Viewer?action=UPDATE&amp;creator=factset&amp;DOC_NAME=fat:reuters_qtrly_source_window.fat&amp;display_string=Audit&amp;DYN_ARGS=TRUE&amp;VAR:ID1=221353&amp;VAR:RCODE=AEQI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59__FDSAUDITLINK__" hidden="1">{"fdsup://IBCentral/FAT Viewer?action=UPDATE&amp;creator=factset&amp;DOC_NAME=fat:reuters_qtrly_source_window.fat&amp;display_string=Audit&amp;DYN_ARGS=TRUE&amp;VAR:ID1=221353&amp;VAR:RCODE=AEQI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6__123Graph_LBL_BCHART_4" hidden="1">#REF!</definedName>
    <definedName name="_176__FDSAUDITLINK__" localSheetId="8" hidden="1">{"fdsup://directions/FAT Viewer?action=UPDATE&amp;creator=factset&amp;DYN_ARGS=TRUE&amp;DOC_NAME=FAT:FQL_AUDITING_CLIENT_TEMPLATE.FAT&amp;display_string=Audit&amp;VAR:KEY=BQHADELQLA&amp;VAR:QUERY=RkZfRUJJVF9JQignQU5OJywzMjg3MywsLCwnR0JQJyk=&amp;WINDOW=FIRST_POPUP&amp;HEIGHT=450&amp;WIDTH=450&amp;","START_MAXIMIZED=FALSE&amp;VAR:CALENDAR=FIVEDAY&amp;VAR:SYMBOL=063002&amp;VAR:INDEX=0"}</definedName>
    <definedName name="_176__FDSAUDITLINK__" hidden="1">{"fdsup://directions/FAT Viewer?action=UPDATE&amp;creator=factset&amp;DYN_ARGS=TRUE&amp;DOC_NAME=FAT:FQL_AUDITING_CLIENT_TEMPLATE.FAT&amp;display_string=Audit&amp;VAR:KEY=UPSZGXINWV&amp;VAR:QUERY=RkZfT1BFUl9MRUFTRV9FWFAoTFRNLDQxMTEwLCwsLFVTRCk=&amp;WINDOW=FIRST_POPUP&amp;HEIGHT=450&amp;WIDTH=","450&amp;START_MAXIMIZED=FALSE&amp;VAR:CALENDAR=US&amp;VAR:SYMBOL=450270&amp;VAR:INDEX=0"}</definedName>
    <definedName name="_176__FDSAUDITLINK___1" localSheetId="8" hidden="1">{"fdsup://directions/FAT Viewer?action=UPDATE&amp;creator=factset&amp;DYN_ARGS=TRUE&amp;DOC_NAME=FAT:FQL_AUDITING_CLIENT_TEMPLATE.FAT&amp;display_string=Audit&amp;VAR:KEY=BQHADELQLA&amp;VAR:QUERY=RkZfRUJJVF9JQignQU5OJywzMjg3MywsLCwnR0JQJyk=&amp;WINDOW=FIRST_POPUP&amp;HEIGHT=450&amp;WIDTH=450&amp;","START_MAXIMIZED=FALSE&amp;VAR:CALENDAR=FIVEDAY&amp;VAR:SYMBOL=063002&amp;VAR:INDEX=0"}</definedName>
    <definedName name="_176__FDSAUDITLINK___1" hidden="1">{"fdsup://directions/FAT Viewer?action=UPDATE&amp;creator=factset&amp;DYN_ARGS=TRUE&amp;DOC_NAME=FAT:FQL_AUDITING_CLIENT_TEMPLATE.FAT&amp;display_string=Audit&amp;VAR:KEY=BQHADELQLA&amp;VAR:QUERY=RkZfRUJJVF9JQignQU5OJywzMjg3MywsLCwnR0JQJyk=&amp;WINDOW=FIRST_POPUP&amp;HEIGHT=450&amp;WIDTH=450&amp;","START_MAXIMIZED=FALSE&amp;VAR:CALENDAR=FIVEDAY&amp;VAR:SYMBOL=063002&amp;VAR:INDEX=0"}</definedName>
    <definedName name="_1760__FDSAUDITLINK__" localSheetId="8" hidden="1">{"fdsup://IBCentral/FAT Viewer?action=UPDATE&amp;creator=factset&amp;DOC_NAME=fat:reuters_qtrly_source_window.fat&amp;display_string=Audit&amp;DYN_ARGS=TRUE&amp;VAR:ID1=221353&amp;VAR:RCODE=LMIN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60__FDSAUDITLINK__" hidden="1">{"fdsup://IBCentral/FAT Viewer?action=UPDATE&amp;creator=factset&amp;DOC_NAME=fat:reuters_qtrly_source_window.fat&amp;display_string=Audit&amp;DYN_ARGS=TRUE&amp;VAR:ID1=221353&amp;VAR:RCODE=LMIN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61__FDSAUDITLINK__" localSheetId="8" hidden="1">{"fdsup://IBCentral/FAT Viewer?action=UPDATE&amp;creator=factset&amp;DOC_NAME=fat:reuters_qtrly_source_window.fat&amp;display_string=Audit&amp;DYN_ARGS=TRUE&amp;VAR:ID1=221353&amp;VAR:RCODE=STLD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61__FDSAUDITLINK__" hidden="1">{"fdsup://IBCentral/FAT Viewer?action=UPDATE&amp;creator=factset&amp;DOC_NAME=fat:reuters_qtrly_source_window.fat&amp;display_string=Audit&amp;DYN_ARGS=TRUE&amp;VAR:ID1=221353&amp;VAR:RCODE=STLD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62__FDSAUDITLINK__" localSheetId="8" hidden="1">{"fdsup://IBCentral/FAT Viewer?action=UPDATE&amp;creator=factset&amp;DOC_NAME=fat:reuters_qtrly_source_window.fat&amp;display_string=Audit&amp;DYN_ARGS=TRUE&amp;VAR:ID1=221353&amp;VAR:RCODE=SCSI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62__FDSAUDITLINK__" hidden="1">{"fdsup://IBCentral/FAT Viewer?action=UPDATE&amp;creator=factset&amp;DOC_NAME=fat:reuters_qtrly_source_window.fat&amp;display_string=Audit&amp;DYN_ARGS=TRUE&amp;VAR:ID1=221353&amp;VAR:RCODE=SCSI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63__FDSAUDITLINK__" localSheetId="8" hidden="1">{"fdsup://IBCentral/FAT Viewer?action=UPDATE&amp;creator=factset&amp;DOC_NAME=fat:reuters_annual_source_window.fat&amp;display_string=Audit&amp;DYN_ARGS=TRUE&amp;VAR:ID1=221353&amp;VAR:RCODE=FDSPFDSTKTOTAL&amp;VAR:SDATE=20081299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763__FDSAUDITLINK__" hidden="1">{"fdsup://IBCentral/FAT Viewer?action=UPDATE&amp;creator=factset&amp;DOC_NAME=fat:reuters_annual_source_window.fat&amp;display_string=Audit&amp;DYN_ARGS=TRUE&amp;VAR:ID1=221353&amp;VAR:RCODE=FDSPFDSTKTOTAL&amp;VAR:SDATE=20081299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764__FDSAUDITLINK__" localSheetId="8" hidden="1">{"fdsup://IBCentral/FAT Viewer?action=UPDATE&amp;creator=factset&amp;DOC_NAME=fat:reuters_qtrly_source_window.fat&amp;display_string=Audit&amp;DYN_ARGS=TRUE&amp;VAR:ID1=221353&amp;VAR:RCODE=AEQI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64__FDSAUDITLINK__" hidden="1">{"fdsup://IBCentral/FAT Viewer?action=UPDATE&amp;creator=factset&amp;DOC_NAME=fat:reuters_qtrly_source_window.fat&amp;display_string=Audit&amp;DYN_ARGS=TRUE&amp;VAR:ID1=221353&amp;VAR:RCODE=AEQI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65__FDSAUDITLINK__" localSheetId="8" hidden="1">{"fdsup://IBCentral/FAT Viewer?action=UPDATE&amp;creator=factset&amp;DOC_NAME=fat:reuters_qtrly_source_window.fat&amp;display_string=Audit&amp;DYN_ARGS=TRUE&amp;VAR:ID1=221353&amp;VAR:RCODE=LMIN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65__FDSAUDITLINK__" hidden="1">{"fdsup://IBCentral/FAT Viewer?action=UPDATE&amp;creator=factset&amp;DOC_NAME=fat:reuters_qtrly_source_window.fat&amp;display_string=Audit&amp;DYN_ARGS=TRUE&amp;VAR:ID1=221353&amp;VAR:RCODE=LMIN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66__FDSAUDITLINK__" localSheetId="8" hidden="1">{"fdsup://IBCentral/FAT Viewer?action=UPDATE&amp;creator=factset&amp;DOC_NAME=fat:reuters_qtrly_source_window.fat&amp;display_string=Audit&amp;DYN_ARGS=TRUE&amp;VAR:ID1=221353&amp;VAR:RCODE=STLD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66__FDSAUDITLINK__" hidden="1">{"fdsup://IBCentral/FAT Viewer?action=UPDATE&amp;creator=factset&amp;DOC_NAME=fat:reuters_qtrly_source_window.fat&amp;display_string=Audit&amp;DYN_ARGS=TRUE&amp;VAR:ID1=221353&amp;VAR:RCODE=STLD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67__FDSAUDITLINK__" localSheetId="8" hidden="1">{"fdsup://IBCentral/FAT Viewer?action=UPDATE&amp;creator=factset&amp;DOC_NAME=fat:reuters_qtrly_source_window.fat&amp;display_string=Audit&amp;DYN_ARGS=TRUE&amp;VAR:ID1=221353&amp;VAR:RCODE=SCSI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67__FDSAUDITLINK__" hidden="1">{"fdsup://IBCentral/FAT Viewer?action=UPDATE&amp;creator=factset&amp;DOC_NAME=fat:reuters_qtrly_source_window.fat&amp;display_string=Audit&amp;DYN_ARGS=TRUE&amp;VAR:ID1=221353&amp;VAR:RCODE=SCSI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68__FDSAUDITLINK__" localSheetId="8" hidden="1">{"fdsup://IBCentral/FAT Viewer?action=UPDATE&amp;creator=factset&amp;DOC_NAME=fat:reuters_annual_source_window.fat&amp;display_string=Audit&amp;DYN_ARGS=TRUE&amp;VAR:ID1=221353&amp;VAR:RCODE=FDSPFDSTKTOTAL&amp;VAR:SDATE=20081299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768__FDSAUDITLINK__" hidden="1">{"fdsup://IBCentral/FAT Viewer?action=UPDATE&amp;creator=factset&amp;DOC_NAME=fat:reuters_annual_source_window.fat&amp;display_string=Audit&amp;DYN_ARGS=TRUE&amp;VAR:ID1=221353&amp;VAR:RCODE=FDSPFDSTKTOTAL&amp;VAR:SDATE=20081299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769__FDSAUDITLINK__" localSheetId="8" hidden="1">{"fdsup://IBCentral/FAT Viewer?action=UPDATE&amp;creator=factset&amp;DOC_NAME=fat:reuters_qtrly_source_window.fat&amp;display_string=Audit&amp;DYN_ARGS=TRUE&amp;VAR:ID1=221353&amp;VAR:RCODE=AEQI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69__FDSAUDITLINK__" hidden="1">{"fdsup://IBCentral/FAT Viewer?action=UPDATE&amp;creator=factset&amp;DOC_NAME=fat:reuters_qtrly_source_window.fat&amp;display_string=Audit&amp;DYN_ARGS=TRUE&amp;VAR:ID1=221353&amp;VAR:RCODE=AEQI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7__123Graph_LBL_BCHART_7" hidden="1">#REF!</definedName>
    <definedName name="_177__FDSAUDITLINK__" localSheetId="8" hidden="1">{"fdsup://directions/FAT Viewer?action=UPDATE&amp;creator=factset&amp;DYN_ARGS=TRUE&amp;DOC_NAME=FAT:FQL_AUDITING_CLIENT_TEMPLATE.FAT&amp;display_string=Audit&amp;VAR:KEY=LMRWVUDCBM&amp;VAR:QUERY=RkZfRUJJVF9JQignQU5OJywzOTk5NCwsLCwnR0JQJyk=&amp;WINDOW=FIRST_POPUP&amp;HEIGHT=450&amp;WIDTH=450&amp;","START_MAXIMIZED=FALSE&amp;VAR:CALENDAR=FIVEDAY&amp;VAR:SYMBOL=B2425G&amp;VAR:INDEX=0"}</definedName>
    <definedName name="_177__FDSAUDITLINK__" hidden="1">{"fdsup://directions/FAT Viewer?action=UPDATE&amp;creator=factset&amp;DYN_ARGS=TRUE&amp;DOC_NAME=FAT:FQL_AUDITING_CLIENT_TEMPLATE.FAT&amp;display_string=Audit&amp;VAR:KEY=LMRWVUDCBM&amp;VAR:QUERY=RkZfRUJJVF9JQignQU5OJywzOTk5NCwsLCwnR0JQJyk=&amp;WINDOW=FIRST_POPUP&amp;HEIGHT=450&amp;WIDTH=450&amp;","START_MAXIMIZED=FALSE&amp;VAR:CALENDAR=FIVEDAY&amp;VAR:SYMBOL=B2425G&amp;VAR:INDEX=0"}</definedName>
    <definedName name="_177__FDSAUDITLINK___1" localSheetId="8" hidden="1">{"fdsup://directions/FAT Viewer?action=UPDATE&amp;creator=factset&amp;DYN_ARGS=TRUE&amp;DOC_NAME=FAT:FQL_AUDITING_CLIENT_TEMPLATE.FAT&amp;display_string=Audit&amp;VAR:KEY=LMRWVUDCBM&amp;VAR:QUERY=RkZfRUJJVF9JQignQU5OJywzOTk5NCwsLCwnR0JQJyk=&amp;WINDOW=FIRST_POPUP&amp;HEIGHT=450&amp;WIDTH=450&amp;","START_MAXIMIZED=FALSE&amp;VAR:CALENDAR=FIVEDAY&amp;VAR:SYMBOL=B2425G&amp;VAR:INDEX=0"}</definedName>
    <definedName name="_177__FDSAUDITLINK___1" hidden="1">{"fdsup://directions/FAT Viewer?action=UPDATE&amp;creator=factset&amp;DYN_ARGS=TRUE&amp;DOC_NAME=FAT:FQL_AUDITING_CLIENT_TEMPLATE.FAT&amp;display_string=Audit&amp;VAR:KEY=LMRWVUDCBM&amp;VAR:QUERY=RkZfRUJJVF9JQignQU5OJywzOTk5NCwsLCwnR0JQJyk=&amp;WINDOW=FIRST_POPUP&amp;HEIGHT=450&amp;WIDTH=450&amp;","START_MAXIMIZED=FALSE&amp;VAR:CALENDAR=FIVEDAY&amp;VAR:SYMBOL=B2425G&amp;VAR:INDEX=0"}</definedName>
    <definedName name="_1770__FDSAUDITLINK__" localSheetId="8" hidden="1">{"fdsup://IBCentral/FAT Viewer?action=UPDATE&amp;creator=factset&amp;DOC_NAME=fat:reuters_qtrly_source_window.fat&amp;display_string=Audit&amp;DYN_ARGS=TRUE&amp;VAR:ID1=221353&amp;VAR:RCODE=LMIN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70__FDSAUDITLINK__" hidden="1">{"fdsup://IBCentral/FAT Viewer?action=UPDATE&amp;creator=factset&amp;DOC_NAME=fat:reuters_qtrly_source_window.fat&amp;display_string=Audit&amp;DYN_ARGS=TRUE&amp;VAR:ID1=221353&amp;VAR:RCODE=LMIN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71__FDSAUDITLINK__" localSheetId="8" hidden="1">{"fdsup://IBCentral/FAT Viewer?action=UPDATE&amp;creator=factset&amp;DOC_NAME=fat:reuters_qtrly_source_window.fat&amp;display_string=Audit&amp;DYN_ARGS=TRUE&amp;VAR:ID1=221353&amp;VAR:RCODE=STLD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71__FDSAUDITLINK__" hidden="1">{"fdsup://IBCentral/FAT Viewer?action=UPDATE&amp;creator=factset&amp;DOC_NAME=fat:reuters_qtrly_source_window.fat&amp;display_string=Audit&amp;DYN_ARGS=TRUE&amp;VAR:ID1=221353&amp;VAR:RCODE=STLD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72__FDSAUDITLINK__" localSheetId="8" hidden="1">{"fdsup://IBCentral/FAT Viewer?action=UPDATE&amp;creator=factset&amp;DOC_NAME=fat:reuters_qtrly_source_window.fat&amp;display_string=Audit&amp;DYN_ARGS=TRUE&amp;VAR:ID1=221353&amp;VAR:RCODE=SCSI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72__FDSAUDITLINK__" hidden="1">{"fdsup://IBCentral/FAT Viewer?action=UPDATE&amp;creator=factset&amp;DOC_NAME=fat:reuters_qtrly_source_window.fat&amp;display_string=Audit&amp;DYN_ARGS=TRUE&amp;VAR:ID1=221353&amp;VAR:RCODE=SCSI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73__FDSAUDITLINK__" localSheetId="8" hidden="1">{"fdsup://IBCentral/FAT Viewer?action=UPDATE&amp;creator=factset&amp;DOC_NAME=fat:reuters_annual_source_window.fat&amp;display_string=Audit&amp;DYN_ARGS=TRUE&amp;VAR:ID1=221353&amp;VAR:RCODE=FDSPFDSTKTOTAL&amp;VAR:SDATE=20081299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773__FDSAUDITLINK__" hidden="1">{"fdsup://IBCentral/FAT Viewer?action=UPDATE&amp;creator=factset&amp;DOC_NAME=fat:reuters_annual_source_window.fat&amp;display_string=Audit&amp;DYN_ARGS=TRUE&amp;VAR:ID1=221353&amp;VAR:RCODE=FDSPFDSTKTOTAL&amp;VAR:SDATE=20081299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774__FDSAUDITLINK__" localSheetId="8" hidden="1">{"fdsup://IBCentral/FAT Viewer?action=UPDATE&amp;creator=factset&amp;DOC_NAME=fat:reuters_qtrly_source_window.fat&amp;display_string=Audit&amp;DYN_ARGS=TRUE&amp;VAR:ID1=221353&amp;VAR:RCODE=AEQI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74__FDSAUDITLINK__" hidden="1">{"fdsup://IBCentral/FAT Viewer?action=UPDATE&amp;creator=factset&amp;DOC_NAME=fat:reuters_qtrly_source_window.fat&amp;display_string=Audit&amp;DYN_ARGS=TRUE&amp;VAR:ID1=221353&amp;VAR:RCODE=AEQI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75__FDSAUDITLINK__" localSheetId="8" hidden="1">{"fdsup://IBCentral/FAT Viewer?action=UPDATE&amp;creator=factset&amp;DOC_NAME=fat:reuters_qtrly_source_window.fat&amp;display_string=Audit&amp;DYN_ARGS=TRUE&amp;VAR:ID1=221353&amp;VAR:RCODE=LMIN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75__FDSAUDITLINK__" hidden="1">{"fdsup://IBCentral/FAT Viewer?action=UPDATE&amp;creator=factset&amp;DOC_NAME=fat:reuters_qtrly_source_window.fat&amp;display_string=Audit&amp;DYN_ARGS=TRUE&amp;VAR:ID1=221353&amp;VAR:RCODE=LMIN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76__FDSAUDITLINK__" localSheetId="8" hidden="1">{"fdsup://IBCentral/FAT Viewer?action=UPDATE&amp;creator=factset&amp;DOC_NAME=fat:reuters_qtrly_source_window.fat&amp;display_string=Audit&amp;DYN_ARGS=TRUE&amp;VAR:ID1=221353&amp;VAR:RCODE=STLD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76__FDSAUDITLINK__" hidden="1">{"fdsup://IBCentral/FAT Viewer?action=UPDATE&amp;creator=factset&amp;DOC_NAME=fat:reuters_qtrly_source_window.fat&amp;display_string=Audit&amp;DYN_ARGS=TRUE&amp;VAR:ID1=221353&amp;VAR:RCODE=STLD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77__FDSAUDITLINK__" localSheetId="8" hidden="1">{"fdsup://IBCentral/FAT Viewer?action=UPDATE&amp;creator=factset&amp;DOC_NAME=fat:reuters_qtrly_source_window.fat&amp;display_string=Audit&amp;DYN_ARGS=TRUE&amp;VAR:ID1=221353&amp;VAR:RCODE=SCSI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77__FDSAUDITLINK__" hidden="1">{"fdsup://IBCentral/FAT Viewer?action=UPDATE&amp;creator=factset&amp;DOC_NAME=fat:reuters_qtrly_source_window.fat&amp;display_string=Audit&amp;DYN_ARGS=TRUE&amp;VAR:ID1=221353&amp;VAR:RCODE=SCSI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78__FDSAUDITLINK__" localSheetId="8" hidden="1">{"fdsup://IBCentral/FAT Viewer?action=UPDATE&amp;creator=factset&amp;DOC_NAME=fat:reuters_annual_source_window.fat&amp;display_string=Audit&amp;DYN_ARGS=TRUE&amp;VAR:ID1=221353&amp;VAR:RCODE=FDSPFDSTKTOTAL&amp;VAR:SDATE=20081299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778__FDSAUDITLINK__" hidden="1">{"fdsup://IBCentral/FAT Viewer?action=UPDATE&amp;creator=factset&amp;DOC_NAME=fat:reuters_annual_source_window.fat&amp;display_string=Audit&amp;DYN_ARGS=TRUE&amp;VAR:ID1=221353&amp;VAR:RCODE=FDSPFDSTKTOTAL&amp;VAR:SDATE=20081299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779__FDSAUDITLINK__" localSheetId="8" hidden="1">{"fdsup://IBCentral/FAT Viewer?action=UPDATE&amp;creator=factset&amp;DOC_NAME=fat:reuters_qtrly_source_window.fat&amp;display_string=Audit&amp;DYN_ARGS=TRUE&amp;VAR:ID1=221353&amp;VAR:RCODE=AEQI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79__FDSAUDITLINK__" hidden="1">{"fdsup://IBCentral/FAT Viewer?action=UPDATE&amp;creator=factset&amp;DOC_NAME=fat:reuters_qtrly_source_window.fat&amp;display_string=Audit&amp;DYN_ARGS=TRUE&amp;VAR:ID1=221353&amp;VAR:RCODE=AEQI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8__123Graph_LBL_BCHART_8" hidden="1">#REF!</definedName>
    <definedName name="_178__FDSAUDITLINK__" localSheetId="8" hidden="1">{"fdsup://directions/FAT Viewer?action=UPDATE&amp;creator=factset&amp;DYN_ARGS=TRUE&amp;DOC_NAME=FAT:FQL_AUDITING_CLIENT_TEMPLATE.FAT&amp;display_string=Audit&amp;VAR:KEY=DKVOZIROJS&amp;VAR:QUERY=RkZfRUJJVF9JQignQU5OJywzOTYyOSwsLCwnR0JQJyk=&amp;WINDOW=FIRST_POPUP&amp;HEIGHT=450&amp;WIDTH=450&amp;","START_MAXIMIZED=FALSE&amp;VAR:CALENDAR=FIVEDAY&amp;VAR:SYMBOL=B2425G&amp;VAR:INDEX=0"}</definedName>
    <definedName name="_178__FDSAUDITLINK__" hidden="1">{"fdsup://directions/FAT Viewer?action=UPDATE&amp;creator=factset&amp;DYN_ARGS=TRUE&amp;DOC_NAME=FAT:FQL_AUDITING_CLIENT_TEMPLATE.FAT&amp;display_string=Audit&amp;VAR:KEY=XSXWVYXOPW&amp;VAR:QUERY=RkZfT1BFUl9MRUFTRV9FWFAoTFRNLDQxMTEwLCwsLFVTRCk=&amp;WINDOW=FIRST_POPUP&amp;HEIGHT=450&amp;WIDTH=","450&amp;START_MAXIMIZED=FALSE&amp;VAR:CALENDAR=US&amp;VAR:SYMBOL=VMC&amp;VAR:INDEX=0"}</definedName>
    <definedName name="_178__FDSAUDITLINK___1" localSheetId="8" hidden="1">{"fdsup://directions/FAT Viewer?action=UPDATE&amp;creator=factset&amp;DYN_ARGS=TRUE&amp;DOC_NAME=FAT:FQL_AUDITING_CLIENT_TEMPLATE.FAT&amp;display_string=Audit&amp;VAR:KEY=DKVOZIROJS&amp;VAR:QUERY=RkZfRUJJVF9JQignQU5OJywzOTYyOSwsLCwnR0JQJyk=&amp;WINDOW=FIRST_POPUP&amp;HEIGHT=450&amp;WIDTH=450&amp;","START_MAXIMIZED=FALSE&amp;VAR:CALENDAR=FIVEDAY&amp;VAR:SYMBOL=B2425G&amp;VAR:INDEX=0"}</definedName>
    <definedName name="_178__FDSAUDITLINK___1" hidden="1">{"fdsup://directions/FAT Viewer?action=UPDATE&amp;creator=factset&amp;DYN_ARGS=TRUE&amp;DOC_NAME=FAT:FQL_AUDITING_CLIENT_TEMPLATE.FAT&amp;display_string=Audit&amp;VAR:KEY=DKVOZIROJS&amp;VAR:QUERY=RkZfRUJJVF9JQignQU5OJywzOTYyOSwsLCwnR0JQJyk=&amp;WINDOW=FIRST_POPUP&amp;HEIGHT=450&amp;WIDTH=450&amp;","START_MAXIMIZED=FALSE&amp;VAR:CALENDAR=FIVEDAY&amp;VAR:SYMBOL=B2425G&amp;VAR:INDEX=0"}</definedName>
    <definedName name="_1780__FDSAUDITLINK__" localSheetId="8" hidden="1">{"fdsup://IBCentral/FAT Viewer?action=UPDATE&amp;creator=factset&amp;DOC_NAME=fat:reuters_qtrly_source_window.fat&amp;display_string=Audit&amp;DYN_ARGS=TRUE&amp;VAR:ID1=221353&amp;VAR:RCODE=LMIN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80__FDSAUDITLINK__" hidden="1">{"fdsup://IBCentral/FAT Viewer?action=UPDATE&amp;creator=factset&amp;DOC_NAME=fat:reuters_qtrly_source_window.fat&amp;display_string=Audit&amp;DYN_ARGS=TRUE&amp;VAR:ID1=221353&amp;VAR:RCODE=LMIN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81__FDSAUDITLINK__" localSheetId="8" hidden="1">{"fdsup://IBCentral/FAT Viewer?action=UPDATE&amp;creator=factset&amp;DOC_NAME=fat:reuters_qtrly_source_window.fat&amp;display_string=Audit&amp;DYN_ARGS=TRUE&amp;VAR:ID1=221353&amp;VAR:RCODE=STLD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81__FDSAUDITLINK__" hidden="1">{"fdsup://IBCentral/FAT Viewer?action=UPDATE&amp;creator=factset&amp;DOC_NAME=fat:reuters_qtrly_source_window.fat&amp;display_string=Audit&amp;DYN_ARGS=TRUE&amp;VAR:ID1=221353&amp;VAR:RCODE=STLD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82__FDSAUDITLINK__" localSheetId="8" hidden="1">{"fdsup://IBCentral/FAT Viewer?action=UPDATE&amp;creator=factset&amp;DOC_NAME=fat:reuters_qtrly_source_window.fat&amp;display_string=Audit&amp;DYN_ARGS=TRUE&amp;VAR:ID1=221353&amp;VAR:RCODE=SCSI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82__FDSAUDITLINK__" hidden="1">{"fdsup://IBCentral/FAT Viewer?action=UPDATE&amp;creator=factset&amp;DOC_NAME=fat:reuters_qtrly_source_window.fat&amp;display_string=Audit&amp;DYN_ARGS=TRUE&amp;VAR:ID1=221353&amp;VAR:RCODE=SCSI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83__FDSAUDITLINK__" localSheetId="8" hidden="1">{"fdsup://IBCentral/FAT Viewer?action=UPDATE&amp;creator=factset&amp;DOC_NAME=fat:reuters_annual_source_window.fat&amp;display_string=Audit&amp;DYN_ARGS=TRUE&amp;VAR:ID1=221353&amp;VAR:RCODE=FDSPFDSTKTOTAL&amp;VAR:SDATE=20081299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783__FDSAUDITLINK__" hidden="1">{"fdsup://IBCentral/FAT Viewer?action=UPDATE&amp;creator=factset&amp;DOC_NAME=fat:reuters_annual_source_window.fat&amp;display_string=Audit&amp;DYN_ARGS=TRUE&amp;VAR:ID1=221353&amp;VAR:RCODE=FDSPFDSTKTOTAL&amp;VAR:SDATE=20081299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784__FDSAUDITLINK__" localSheetId="8" hidden="1">{"fdsup://IBCentral/FAT Viewer?action=UPDATE&amp;creator=factset&amp;DOC_NAME=fat:reuters_qtrly_source_window.fat&amp;display_string=Audit&amp;DYN_ARGS=TRUE&amp;VAR:ID1=221353&amp;VAR:RCODE=AEQI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84__FDSAUDITLINK__" hidden="1">{"fdsup://IBCentral/FAT Viewer?action=UPDATE&amp;creator=factset&amp;DOC_NAME=fat:reuters_qtrly_source_window.fat&amp;display_string=Audit&amp;DYN_ARGS=TRUE&amp;VAR:ID1=221353&amp;VAR:RCODE=AEQI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85__FDSAUDITLINK__" localSheetId="8" hidden="1">{"fdsup://IBCentral/FAT Viewer?action=UPDATE&amp;creator=factset&amp;DOC_NAME=fat:reuters_qtrly_source_window.fat&amp;display_string=Audit&amp;DYN_ARGS=TRUE&amp;VAR:ID1=221353&amp;VAR:RCODE=LMIN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85__FDSAUDITLINK__" hidden="1">{"fdsup://IBCentral/FAT Viewer?action=UPDATE&amp;creator=factset&amp;DOC_NAME=fat:reuters_qtrly_source_window.fat&amp;display_string=Audit&amp;DYN_ARGS=TRUE&amp;VAR:ID1=221353&amp;VAR:RCODE=LMIN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86__FDSAUDITLINK__" localSheetId="8" hidden="1">{"fdsup://IBCentral/FAT Viewer?action=UPDATE&amp;creator=factset&amp;DOC_NAME=fat:reuters_qtrly_source_window.fat&amp;display_string=Audit&amp;DYN_ARGS=TRUE&amp;VAR:ID1=221353&amp;VAR:RCODE=STLD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86__FDSAUDITLINK__" hidden="1">{"fdsup://IBCentral/FAT Viewer?action=UPDATE&amp;creator=factset&amp;DOC_NAME=fat:reuters_qtrly_source_window.fat&amp;display_string=Audit&amp;DYN_ARGS=TRUE&amp;VAR:ID1=221353&amp;VAR:RCODE=STLD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87__FDSAUDITLINK__" localSheetId="8" hidden="1">{"fdsup://IBCentral/FAT Viewer?action=UPDATE&amp;creator=factset&amp;DOC_NAME=fat:reuters_qtrly_source_window.fat&amp;display_string=Audit&amp;DYN_ARGS=TRUE&amp;VAR:ID1=221353&amp;VAR:RCODE=SCSI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87__FDSAUDITLINK__" hidden="1">{"fdsup://IBCentral/FAT Viewer?action=UPDATE&amp;creator=factset&amp;DOC_NAME=fat:reuters_qtrly_source_window.fat&amp;display_string=Audit&amp;DYN_ARGS=TRUE&amp;VAR:ID1=221353&amp;VAR:RCODE=SCSI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88__FDSAUDITLINK__" localSheetId="8" hidden="1">{"fdsup://IBCentral/FAT Viewer?action=UPDATE&amp;creator=factset&amp;DOC_NAME=fat:reuters_annual_source_window.fat&amp;display_string=Audit&amp;DYN_ARGS=TRUE&amp;VAR:ID1=221353&amp;VAR:RCODE=FDSPFDSTKTOTAL&amp;VAR:SDATE=20081299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788__FDSAUDITLINK__" hidden="1">{"fdsup://IBCentral/FAT Viewer?action=UPDATE&amp;creator=factset&amp;DOC_NAME=fat:reuters_annual_source_window.fat&amp;display_string=Audit&amp;DYN_ARGS=TRUE&amp;VAR:ID1=221353&amp;VAR:RCODE=FDSPFDSTKTOTAL&amp;VAR:SDATE=20081299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789__FDSAUDITLINK__" localSheetId="8" hidden="1">{"fdsup://IBCentral/FAT Viewer?action=UPDATE&amp;creator=factset&amp;DOC_NAME=fat:reuters_qtrly_source_window.fat&amp;display_string=Audit&amp;DYN_ARGS=TRUE&amp;VAR:ID1=221353&amp;VAR:RCODE=AEQI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89__FDSAUDITLINK__" hidden="1">{"fdsup://IBCentral/FAT Viewer?action=UPDATE&amp;creator=factset&amp;DOC_NAME=fat:reuters_qtrly_source_window.fat&amp;display_string=Audit&amp;DYN_ARGS=TRUE&amp;VAR:ID1=221353&amp;VAR:RCODE=AEQI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9__123Graph_LBL_BCHART_9" hidden="1">#REF!</definedName>
    <definedName name="_179__FDSAUDITLINK__" localSheetId="8" hidden="1">{"fdsup://directions/FAT Viewer?action=UPDATE&amp;creator=factset&amp;DYN_ARGS=TRUE&amp;DOC_NAME=FAT:FQL_AUDITING_CLIENT_TEMPLATE.FAT&amp;display_string=Audit&amp;VAR:KEY=NQNURCPMFC&amp;VAR:QUERY=RkZfRUJJVF9JQignQU5OJywzOTI2MywsLCwnR0JQJyk=&amp;WINDOW=FIRST_POPUP&amp;HEIGHT=450&amp;WIDTH=450&amp;","START_MAXIMIZED=FALSE&amp;VAR:CALENDAR=FIVEDAY&amp;VAR:SYMBOL=B2425G&amp;VAR:INDEX=0"}</definedName>
    <definedName name="_179__FDSAUDITLINK__" hidden="1">{"fdsup://directions/FAT Viewer?action=UPDATE&amp;creator=factset&amp;DYN_ARGS=TRUE&amp;DOC_NAME=FAT:FQL_AUDITING_CLIENT_TEMPLATE.FAT&amp;display_string=Audit&amp;VAR:KEY=NQNURCPMFC&amp;VAR:QUERY=RkZfRUJJVF9JQignQU5OJywzOTI2MywsLCwnR0JQJyk=&amp;WINDOW=FIRST_POPUP&amp;HEIGHT=450&amp;WIDTH=450&amp;","START_MAXIMIZED=FALSE&amp;VAR:CALENDAR=FIVEDAY&amp;VAR:SYMBOL=B2425G&amp;VAR:INDEX=0"}</definedName>
    <definedName name="_179__FDSAUDITLINK___1" localSheetId="8" hidden="1">{"fdsup://directions/FAT Viewer?action=UPDATE&amp;creator=factset&amp;DYN_ARGS=TRUE&amp;DOC_NAME=FAT:FQL_AUDITING_CLIENT_TEMPLATE.FAT&amp;display_string=Audit&amp;VAR:KEY=NQNURCPMFC&amp;VAR:QUERY=RkZfRUJJVF9JQignQU5OJywzOTI2MywsLCwnR0JQJyk=&amp;WINDOW=FIRST_POPUP&amp;HEIGHT=450&amp;WIDTH=450&amp;","START_MAXIMIZED=FALSE&amp;VAR:CALENDAR=FIVEDAY&amp;VAR:SYMBOL=B2425G&amp;VAR:INDEX=0"}</definedName>
    <definedName name="_179__FDSAUDITLINK___1" hidden="1">{"fdsup://directions/FAT Viewer?action=UPDATE&amp;creator=factset&amp;DYN_ARGS=TRUE&amp;DOC_NAME=FAT:FQL_AUDITING_CLIENT_TEMPLATE.FAT&amp;display_string=Audit&amp;VAR:KEY=NQNURCPMFC&amp;VAR:QUERY=RkZfRUJJVF9JQignQU5OJywzOTI2MywsLCwnR0JQJyk=&amp;WINDOW=FIRST_POPUP&amp;HEIGHT=450&amp;WIDTH=450&amp;","START_MAXIMIZED=FALSE&amp;VAR:CALENDAR=FIVEDAY&amp;VAR:SYMBOL=B2425G&amp;VAR:INDEX=0"}</definedName>
    <definedName name="_1790__FDSAUDITLINK__" localSheetId="8" hidden="1">{"fdsup://IBCentral/FAT Viewer?action=UPDATE&amp;creator=factset&amp;DOC_NAME=fat:reuters_qtrly_source_window.fat&amp;display_string=Audit&amp;DYN_ARGS=TRUE&amp;VAR:ID1=221353&amp;VAR:RCODE=LMIN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90__FDSAUDITLINK__" hidden="1">{"fdsup://IBCentral/FAT Viewer?action=UPDATE&amp;creator=factset&amp;DOC_NAME=fat:reuters_qtrly_source_window.fat&amp;display_string=Audit&amp;DYN_ARGS=TRUE&amp;VAR:ID1=221353&amp;VAR:RCODE=LMIN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91__FDSAUDITLINK__" localSheetId="8" hidden="1">{"fdsup://IBCentral/FAT Viewer?action=UPDATE&amp;creator=factset&amp;DOC_NAME=fat:reuters_qtrly_source_window.fat&amp;display_string=Audit&amp;DYN_ARGS=TRUE&amp;VAR:ID1=221353&amp;VAR:RCODE=STLD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91__FDSAUDITLINK__" hidden="1">{"fdsup://IBCentral/FAT Viewer?action=UPDATE&amp;creator=factset&amp;DOC_NAME=fat:reuters_qtrly_source_window.fat&amp;display_string=Audit&amp;DYN_ARGS=TRUE&amp;VAR:ID1=221353&amp;VAR:RCODE=STLD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92__FDSAUDITLINK__" localSheetId="8" hidden="1">{"fdsup://IBCentral/FAT Viewer?action=UPDATE&amp;creator=factset&amp;DOC_NAME=fat:reuters_qtrly_source_window.fat&amp;display_string=Audit&amp;DYN_ARGS=TRUE&amp;VAR:ID1=221353&amp;VAR:RCODE=SCSI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92__FDSAUDITLINK__" hidden="1">{"fdsup://IBCentral/FAT Viewer?action=UPDATE&amp;creator=factset&amp;DOC_NAME=fat:reuters_qtrly_source_window.fat&amp;display_string=Audit&amp;DYN_ARGS=TRUE&amp;VAR:ID1=221353&amp;VAR:RCODE=SCSI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93__FDSAUDITLINK__" localSheetId="8" hidden="1">{"fdsup://IBCentral/FAT Viewer?action=UPDATE&amp;creator=factset&amp;DOC_NAME=fat:reuters_annual_source_window.fat&amp;display_string=Audit&amp;DYN_ARGS=TRUE&amp;VAR:ID1=221353&amp;VAR:RCODE=FDSPFDSTKTOTAL&amp;VAR:SDATE=20081299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793__FDSAUDITLINK__" hidden="1">{"fdsup://IBCentral/FAT Viewer?action=UPDATE&amp;creator=factset&amp;DOC_NAME=fat:reuters_annual_source_window.fat&amp;display_string=Audit&amp;DYN_ARGS=TRUE&amp;VAR:ID1=221353&amp;VAR:RCODE=FDSPFDSTKTOTAL&amp;VAR:SDATE=20081299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794__FDSAUDITLINK__" localSheetId="8" hidden="1">{"fdsup://IBCentral/FAT Viewer?action=UPDATE&amp;creator=factset&amp;DOC_NAME=fat:reuters_qtrly_source_window.fat&amp;display_string=Audit&amp;DYN_ARGS=TRUE&amp;VAR:ID1=221353&amp;VAR:RCODE=AEQI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94__FDSAUDITLINK__" hidden="1">{"fdsup://IBCentral/FAT Viewer?action=UPDATE&amp;creator=factset&amp;DOC_NAME=fat:reuters_qtrly_source_window.fat&amp;display_string=Audit&amp;DYN_ARGS=TRUE&amp;VAR:ID1=221353&amp;VAR:RCODE=AEQI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95__FDSAUDITLINK__" localSheetId="8" hidden="1">{"fdsup://IBCentral/FAT Viewer?action=UPDATE&amp;creator=factset&amp;DOC_NAME=fat:reuters_qtrly_source_window.fat&amp;display_string=Audit&amp;DYN_ARGS=TRUE&amp;VAR:ID1=221353&amp;VAR:RCODE=LMIN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95__FDSAUDITLINK__" hidden="1">{"fdsup://IBCentral/FAT Viewer?action=UPDATE&amp;creator=factset&amp;DOC_NAME=fat:reuters_qtrly_source_window.fat&amp;display_string=Audit&amp;DYN_ARGS=TRUE&amp;VAR:ID1=221353&amp;VAR:RCODE=LMIN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96__FDSAUDITLINK__" localSheetId="8" hidden="1">{"fdsup://IBCentral/FAT Viewer?action=UPDATE&amp;creator=factset&amp;DOC_NAME=fat:reuters_qtrly_source_window.fat&amp;display_string=Audit&amp;DYN_ARGS=TRUE&amp;VAR:ID1=221353&amp;VAR:RCODE=STLD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96__FDSAUDITLINK__" hidden="1">{"fdsup://IBCentral/FAT Viewer?action=UPDATE&amp;creator=factset&amp;DOC_NAME=fat:reuters_qtrly_source_window.fat&amp;display_string=Audit&amp;DYN_ARGS=TRUE&amp;VAR:ID1=221353&amp;VAR:RCODE=STLD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97__FDSAUDITLINK__" localSheetId="8" hidden="1">{"fdsup://IBCentral/FAT Viewer?action=UPDATE&amp;creator=factset&amp;DOC_NAME=fat:reuters_qtrly_source_window.fat&amp;display_string=Audit&amp;DYN_ARGS=TRUE&amp;VAR:ID1=221353&amp;VAR:RCODE=SCSI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97__FDSAUDITLINK__" hidden="1">{"fdsup://IBCentral/FAT Viewer?action=UPDATE&amp;creator=factset&amp;DOC_NAME=fat:reuters_qtrly_source_window.fat&amp;display_string=Audit&amp;DYN_ARGS=TRUE&amp;VAR:ID1=221353&amp;VAR:RCODE=SCSI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98__FDSAUDITLINK__" localSheetId="8" hidden="1">{"fdsup://IBCentral/FAT Viewer?action=UPDATE&amp;creator=factset&amp;DOC_NAME=fat:reuters_annual_source_window.fat&amp;display_string=Audit&amp;DYN_ARGS=TRUE&amp;VAR:ID1=221353&amp;VAR:RCODE=FDSPFDSTKTOTAL&amp;VAR:SDATE=20081299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798__FDSAUDITLINK__" hidden="1">{"fdsup://IBCentral/FAT Viewer?action=UPDATE&amp;creator=factset&amp;DOC_NAME=fat:reuters_annual_source_window.fat&amp;display_string=Audit&amp;DYN_ARGS=TRUE&amp;VAR:ID1=221353&amp;VAR:RCODE=FDSPFDSTKTOTAL&amp;VAR:SDATE=20081299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799__FDSAUDITLINK__" localSheetId="8" hidden="1">{"fdsup://IBCentral/FAT Viewer?action=UPDATE&amp;creator=factset&amp;DOC_NAME=fat:reuters_qtrly_source_window.fat&amp;display_string=Audit&amp;DYN_ARGS=TRUE&amp;VAR:ID1=221353&amp;VAR:RCODE=AEQI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99__FDSAUDITLINK__" hidden="1">{"fdsup://IBCentral/FAT Viewer?action=UPDATE&amp;creator=factset&amp;DOC_NAME=fat:reuters_qtrly_source_window.fat&amp;display_string=Audit&amp;DYN_ARGS=TRUE&amp;VAR:ID1=221353&amp;VAR:RCODE=AEQI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__123Graph_ACHART_28" localSheetId="8" hidden="1">#REF!</definedName>
    <definedName name="_18__123Graph_ACHART_28" hidden="1">#REF!</definedName>
    <definedName name="_18__123Graph_ACHART_5" hidden="1">#N/A</definedName>
    <definedName name="_18__123Graph_ACHART_8" hidden="1">#REF!</definedName>
    <definedName name="_18__123Graph_BCHART_11" hidden="1">#REF!</definedName>
    <definedName name="_18__123Graph_BGRAFICO_33" localSheetId="8" hidden="1">#REF!</definedName>
    <definedName name="_18__123Graph_BGRAFICO_33" hidden="1">#REF!</definedName>
    <definedName name="_18__123Graph_CCHART_5" localSheetId="8" hidden="1">#REF!</definedName>
    <definedName name="_18__123Graph_CCHART_5" hidden="1">#REF!</definedName>
    <definedName name="_18__123Graph_CCHART_7" hidden="1">#REF!</definedName>
    <definedName name="_18__123Graph_LBL_ACHART_2" hidden="1">#REF!</definedName>
    <definedName name="_18__123Graph_LBL_DCHART_2" hidden="1">#REF!</definedName>
    <definedName name="_18__123Graph_LBL_EGRAFICO_20" hidden="1">#REF!</definedName>
    <definedName name="_18__123Graph_XCHART_10" hidden="1">#REF!</definedName>
    <definedName name="_18__123Graph_XGRAFICO_8" hidden="1">#REF!</definedName>
    <definedName name="_18__FDSAUDITLINK__" localSheetId="8" hidden="1">{"fdsup://directions/FAT Viewer?action=UPDATE&amp;creator=factset&amp;DYN_ARGS=TRUE&amp;DOC_NAME=FAT:FQL_AUDITING_CLIENT_TEMPLATE.FAT&amp;display_string=Audit&amp;VAR:KEY=ULGXWFWZEB&amp;VAR:QUERY=RkZfRUJJVF9JQihBTk4sMzcyNTYsLCwsRVVSKQ==&amp;WINDOW=FIRST_POPUP&amp;HEIGHT=450&amp;WIDTH=450&amp;STAR","T_MAXIMIZED=FALSE&amp;VAR:CALENDAR=FIVEDAY&amp;VAR:SYMBOL=591344&amp;VAR:INDEX=0"}</definedName>
    <definedName name="_18__FDSAUDITLINK__" hidden="1">{"fdsup://directions/FAT Viewer?action=UPDATE&amp;creator=factset&amp;DYN_ARGS=TRUE&amp;DOC_NAME=FAT:FQL_AUDITING_CLIENT_TEMPLATE.FAT&amp;display_string=Audit&amp;VAR:KEY=GFSDIFMPWH&amp;VAR:QUERY=RkZfU0FMRVMoQ0FMLDIwMTEp&amp;WINDOW=FIRST_POPUP&amp;HEIGHT=450&amp;WIDTH=450&amp;START_MAXIMIZED=FALS","E&amp;VAR:CALENDAR=US&amp;VAR:SYMBOL=MLM&amp;VAR:INDEX=0"}</definedName>
    <definedName name="_18__FDSAUDITLINK___1" localSheetId="8" hidden="1">{"fdsup://directions/FAT Viewer?action=UPDATE&amp;creator=factset&amp;DYN_ARGS=TRUE&amp;DOC_NAME=FAT:FQL_AUDITING_CLIENT_TEMPLATE.FAT&amp;display_string=Audit&amp;VAR:KEY=ULGXWFWZEB&amp;VAR:QUERY=RkZfRUJJVF9JQihBTk4sMzcyNTYsLCwsRVVSKQ==&amp;WINDOW=FIRST_POPUP&amp;HEIGHT=450&amp;WIDTH=450&amp;STAR","T_MAXIMIZED=FALSE&amp;VAR:CALENDAR=FIVEDAY&amp;VAR:SYMBOL=591344&amp;VAR:INDEX=0"}</definedName>
    <definedName name="_18__FDSAUDITLINK___1" hidden="1">{"fdsup://directions/FAT Viewer?action=UPDATE&amp;creator=factset&amp;DYN_ARGS=TRUE&amp;DOC_NAME=FAT:FQL_AUDITING_CLIENT_TEMPLATE.FAT&amp;display_string=Audit&amp;VAR:KEY=ULGXWFWZEB&amp;VAR:QUERY=RkZfRUJJVF9JQihBTk4sMzcyNTYsLCwsRVVSKQ==&amp;WINDOW=FIRST_POPUP&amp;HEIGHT=450&amp;WIDTH=450&amp;STAR","T_MAXIMIZED=FALSE&amp;VAR:CALENDAR=FIVEDAY&amp;VAR:SYMBOL=591344&amp;VAR:INDEX=0"}</definedName>
    <definedName name="_18_123Graph_XDETS" hidden="1">#REF!</definedName>
    <definedName name="_180__123Graph_LBL_CCHART_1" hidden="1">#REF!</definedName>
    <definedName name="_180__FDSAUDITLINK__" localSheetId="8" hidden="1">{"fdsup://directions/FAT Viewer?action=UPDATE&amp;creator=factset&amp;DYN_ARGS=TRUE&amp;DOC_NAME=FAT:FQL_AUDITING_CLIENT_TEMPLATE.FAT&amp;display_string=Audit&amp;VAR:KEY=VOBSBUTWZG&amp;VAR:QUERY=RkZfRUJJVF9JQignQU5OJywzODg5OCwsLCwnR0JQJyk=&amp;WINDOW=FIRST_POPUP&amp;HEIGHT=450&amp;WIDTH=450&amp;","START_MAXIMIZED=FALSE&amp;VAR:CALENDAR=FIVEDAY&amp;VAR:SYMBOL=B2425G&amp;VAR:INDEX=0"}</definedName>
    <definedName name="_180__FDSAUDITLINK__" hidden="1">{"fdsup://Directions/FactSet Auditing Viewer?action=AUDIT_VALUE&amp;DB=129&amp;ID1=88249110&amp;VALUEID=18140&amp;SDATE=2011&amp;PERIODTYPE=ANN_STD&amp;SCFT=3&amp;window=popup_no_bar&amp;width=385&amp;height=120&amp;START_MAXIMIZED=FALSE&amp;creator=factset&amp;display_string=Audit"}</definedName>
    <definedName name="_180__FDSAUDITLINK___1" localSheetId="8" hidden="1">{"fdsup://directions/FAT Viewer?action=UPDATE&amp;creator=factset&amp;DYN_ARGS=TRUE&amp;DOC_NAME=FAT:FQL_AUDITING_CLIENT_TEMPLATE.FAT&amp;display_string=Audit&amp;VAR:KEY=VOBSBUTWZG&amp;VAR:QUERY=RkZfRUJJVF9JQignQU5OJywzODg5OCwsLCwnR0JQJyk=&amp;WINDOW=FIRST_POPUP&amp;HEIGHT=450&amp;WIDTH=450&amp;","START_MAXIMIZED=FALSE&amp;VAR:CALENDAR=FIVEDAY&amp;VAR:SYMBOL=B2425G&amp;VAR:INDEX=0"}</definedName>
    <definedName name="_180__FDSAUDITLINK___1" hidden="1">{"fdsup://directions/FAT Viewer?action=UPDATE&amp;creator=factset&amp;DYN_ARGS=TRUE&amp;DOC_NAME=FAT:FQL_AUDITING_CLIENT_TEMPLATE.FAT&amp;display_string=Audit&amp;VAR:KEY=VOBSBUTWZG&amp;VAR:QUERY=RkZfRUJJVF9JQignQU5OJywzODg5OCwsLCwnR0JQJyk=&amp;WINDOW=FIRST_POPUP&amp;HEIGHT=450&amp;WIDTH=450&amp;","START_MAXIMIZED=FALSE&amp;VAR:CALENDAR=FIVEDAY&amp;VAR:SYMBOL=B2425G&amp;VAR:INDEX=0"}</definedName>
    <definedName name="_1800__FDSAUDITLINK__" localSheetId="8" hidden="1">{"fdsup://IBCentral/FAT Viewer?action=UPDATE&amp;creator=factset&amp;DOC_NAME=fat:reuters_qtrly_source_window.fat&amp;display_string=Audit&amp;DYN_ARGS=TRUE&amp;VAR:ID1=221353&amp;VAR:RCODE=LMIN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00__FDSAUDITLINK__" hidden="1">{"fdsup://IBCentral/FAT Viewer?action=UPDATE&amp;creator=factset&amp;DOC_NAME=fat:reuters_qtrly_source_window.fat&amp;display_string=Audit&amp;DYN_ARGS=TRUE&amp;VAR:ID1=221353&amp;VAR:RCODE=LMIN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01__FDSAUDITLINK__" localSheetId="8" hidden="1">{"fdsup://IBCentral/FAT Viewer?action=UPDATE&amp;creator=factset&amp;DOC_NAME=fat:reuters_qtrly_source_window.fat&amp;display_string=Audit&amp;DYN_ARGS=TRUE&amp;VAR:ID1=221353&amp;VAR:RCODE=STLD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01__FDSAUDITLINK__" hidden="1">{"fdsup://IBCentral/FAT Viewer?action=UPDATE&amp;creator=factset&amp;DOC_NAME=fat:reuters_qtrly_source_window.fat&amp;display_string=Audit&amp;DYN_ARGS=TRUE&amp;VAR:ID1=221353&amp;VAR:RCODE=STLD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02__FDSAUDITLINK__" localSheetId="8" hidden="1">{"fdsup://IBCentral/FAT Viewer?action=UPDATE&amp;creator=factset&amp;DOC_NAME=fat:reuters_qtrly_source_window.fat&amp;display_string=Audit&amp;DYN_ARGS=TRUE&amp;VAR:ID1=221353&amp;VAR:RCODE=SCSI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02__FDSAUDITLINK__" hidden="1">{"fdsup://IBCentral/FAT Viewer?action=UPDATE&amp;creator=factset&amp;DOC_NAME=fat:reuters_qtrly_source_window.fat&amp;display_string=Audit&amp;DYN_ARGS=TRUE&amp;VAR:ID1=221353&amp;VAR:RCODE=SCSI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03__FDSAUDITLINK__" localSheetId="8" hidden="1">{"fdsup://IBCentral/FAT Viewer?action=UPDATE&amp;creator=factset&amp;DOC_NAME=fat:reuters_annual_source_window.fat&amp;display_string=Audit&amp;DYN_ARGS=TRUE&amp;VAR:ID1=221353&amp;VAR:RCODE=FDSPFDSTKTOTAL&amp;VAR:SDATE=20081299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803__FDSAUDITLINK__" hidden="1">{"fdsup://IBCentral/FAT Viewer?action=UPDATE&amp;creator=factset&amp;DOC_NAME=fat:reuters_annual_source_window.fat&amp;display_string=Audit&amp;DYN_ARGS=TRUE&amp;VAR:ID1=221353&amp;VAR:RCODE=FDSPFDSTKTOTAL&amp;VAR:SDATE=20081299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804__FDSAUDITLINK__" localSheetId="8" hidden="1">{"fdsup://IBCentral/FAT Viewer?action=UPDATE&amp;creator=factset&amp;DOC_NAME=fat:reuters_qtrly_source_window.fat&amp;display_string=Audit&amp;DYN_ARGS=TRUE&amp;VAR:ID1=221353&amp;VAR:RCODE=AEQI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04__FDSAUDITLINK__" hidden="1">{"fdsup://IBCentral/FAT Viewer?action=UPDATE&amp;creator=factset&amp;DOC_NAME=fat:reuters_qtrly_source_window.fat&amp;display_string=Audit&amp;DYN_ARGS=TRUE&amp;VAR:ID1=221353&amp;VAR:RCODE=AEQI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05__FDSAUDITLINK__" localSheetId="8" hidden="1">{"fdsup://IBCentral/FAT Viewer?action=UPDATE&amp;creator=factset&amp;DOC_NAME=fat:reuters_qtrly_source_window.fat&amp;display_string=Audit&amp;DYN_ARGS=TRUE&amp;VAR:ID1=221353&amp;VAR:RCODE=LMIN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05__FDSAUDITLINK__" hidden="1">{"fdsup://IBCentral/FAT Viewer?action=UPDATE&amp;creator=factset&amp;DOC_NAME=fat:reuters_qtrly_source_window.fat&amp;display_string=Audit&amp;DYN_ARGS=TRUE&amp;VAR:ID1=221353&amp;VAR:RCODE=LMIN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06__FDSAUDITLINK__" localSheetId="8" hidden="1">{"fdsup://IBCentral/FAT Viewer?action=UPDATE&amp;creator=factset&amp;DOC_NAME=fat:reuters_qtrly_source_window.fat&amp;display_string=Audit&amp;DYN_ARGS=TRUE&amp;VAR:ID1=221353&amp;VAR:RCODE=STLD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06__FDSAUDITLINK__" hidden="1">{"fdsup://IBCentral/FAT Viewer?action=UPDATE&amp;creator=factset&amp;DOC_NAME=fat:reuters_qtrly_source_window.fat&amp;display_string=Audit&amp;DYN_ARGS=TRUE&amp;VAR:ID1=221353&amp;VAR:RCODE=STLD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07__FDSAUDITLINK__" localSheetId="8" hidden="1">{"fdsup://IBCentral/FAT Viewer?action=UPDATE&amp;creator=factset&amp;DOC_NAME=fat:reuters_qtrly_source_window.fat&amp;display_string=Audit&amp;DYN_ARGS=TRUE&amp;VAR:ID1=221353&amp;VAR:RCODE=SCSI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07__FDSAUDITLINK__" hidden="1">{"fdsup://IBCentral/FAT Viewer?action=UPDATE&amp;creator=factset&amp;DOC_NAME=fat:reuters_qtrly_source_window.fat&amp;display_string=Audit&amp;DYN_ARGS=TRUE&amp;VAR:ID1=221353&amp;VAR:RCODE=SCSI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08__FDSAUDITLINK__" localSheetId="8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808__FDSAUDITLINK__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809__FDSAUDITLINK__" localSheetId="8" hidden="1">{"fdsup://IBCentral/FAT Viewer?action=UPDATE&amp;creator=factset&amp;DOC_NAME=fat:reuters_qtrly_source_window.fat&amp;display_string=Audit&amp;DYN_ARGS=TRUE&amp;VAR:ID1=221353&amp;VAR:RCODE=AEQI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09__FDSAUDITLINK__" hidden="1">{"fdsup://IBCentral/FAT Viewer?action=UPDATE&amp;creator=factset&amp;DOC_NAME=fat:reuters_qtrly_source_window.fat&amp;display_string=Audit&amp;DYN_ARGS=TRUE&amp;VAR:ID1=221353&amp;VAR:RCODE=AEQI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1__123Graph_LBL_CCHART_12" hidden="1">#REF!</definedName>
    <definedName name="_181__FDSAUDITLINK__" localSheetId="8" hidden="1">{"fdsup://directions/FAT Viewer?action=UPDATE&amp;creator=factset&amp;DYN_ARGS=TRUE&amp;DOC_NAME=FAT:FQL_AUDITING_CLIENT_TEMPLATE.FAT&amp;display_string=Audit&amp;VAR:KEY=BQDMJEDMHU&amp;VAR:QUERY=RkZfRUJJVF9JQignQU5OJywzODUzMywsLCwnR0JQJyk=&amp;WINDOW=FIRST_POPUP&amp;HEIGHT=450&amp;WIDTH=450&amp;","START_MAXIMIZED=FALSE&amp;VAR:CALENDAR=FIVEDAY&amp;VAR:SYMBOL=B2425G&amp;VAR:INDEX=0"}</definedName>
    <definedName name="_181__FDSAUDITLINK__" hidden="1">{"fdsup://directions/FAT Viewer?action=UPDATE&amp;creator=factset&amp;DYN_ARGS=TRUE&amp;DOC_NAME=FAT:FQL_AUDITING_CLIENT_TEMPLATE.FAT&amp;display_string=Audit&amp;VAR:KEY=BQDMJEDMHU&amp;VAR:QUERY=RkZfRUJJVF9JQignQU5OJywzODUzMywsLCwnR0JQJyk=&amp;WINDOW=FIRST_POPUP&amp;HEIGHT=450&amp;WIDTH=450&amp;","START_MAXIMIZED=FALSE&amp;VAR:CALENDAR=FIVEDAY&amp;VAR:SYMBOL=B2425G&amp;VAR:INDEX=0"}</definedName>
    <definedName name="_181__FDSAUDITLINK___1" localSheetId="8" hidden="1">{"fdsup://directions/FAT Viewer?action=UPDATE&amp;creator=factset&amp;DYN_ARGS=TRUE&amp;DOC_NAME=FAT:FQL_AUDITING_CLIENT_TEMPLATE.FAT&amp;display_string=Audit&amp;VAR:KEY=BQDMJEDMHU&amp;VAR:QUERY=RkZfRUJJVF9JQignQU5OJywzODUzMywsLCwnR0JQJyk=&amp;WINDOW=FIRST_POPUP&amp;HEIGHT=450&amp;WIDTH=450&amp;","START_MAXIMIZED=FALSE&amp;VAR:CALENDAR=FIVEDAY&amp;VAR:SYMBOL=B2425G&amp;VAR:INDEX=0"}</definedName>
    <definedName name="_181__FDSAUDITLINK___1" hidden="1">{"fdsup://directions/FAT Viewer?action=UPDATE&amp;creator=factset&amp;DYN_ARGS=TRUE&amp;DOC_NAME=FAT:FQL_AUDITING_CLIENT_TEMPLATE.FAT&amp;display_string=Audit&amp;VAR:KEY=BQDMJEDMHU&amp;VAR:QUERY=RkZfRUJJVF9JQignQU5OJywzODUzMywsLCwnR0JQJyk=&amp;WINDOW=FIRST_POPUP&amp;HEIGHT=450&amp;WIDTH=450&amp;","START_MAXIMIZED=FALSE&amp;VAR:CALENDAR=FIVEDAY&amp;VAR:SYMBOL=B2425G&amp;VAR:INDEX=0"}</definedName>
    <definedName name="_1810__FDSAUDITLINK__" localSheetId="8" hidden="1">{"fdsup://IBCentral/FAT Viewer?action=UPDATE&amp;creator=factset&amp;DOC_NAME=fat:reuters_qtrly_source_window.fat&amp;display_string=Audit&amp;DYN_ARGS=TRUE&amp;VAR:ID1=221353&amp;VAR:RCODE=LMIN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10__FDSAUDITLINK__" hidden="1">{"fdsup://IBCentral/FAT Viewer?action=UPDATE&amp;creator=factset&amp;DOC_NAME=fat:reuters_qtrly_source_window.fat&amp;display_string=Audit&amp;DYN_ARGS=TRUE&amp;VAR:ID1=221353&amp;VAR:RCODE=LMIN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11__FDSAUDITLINK__" localSheetId="8" hidden="1">{"fdsup://IBCentral/FAT Viewer?action=UPDATE&amp;creator=factset&amp;DOC_NAME=fat:reuters_qtrly_source_window.fat&amp;display_string=Audit&amp;DYN_ARGS=TRUE&amp;VAR:ID1=221353&amp;VAR:RCODE=STLD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11__FDSAUDITLINK__" hidden="1">{"fdsup://IBCentral/FAT Viewer?action=UPDATE&amp;creator=factset&amp;DOC_NAME=fat:reuters_qtrly_source_window.fat&amp;display_string=Audit&amp;DYN_ARGS=TRUE&amp;VAR:ID1=221353&amp;VAR:RCODE=STLD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12__FDSAUDITLINK__" localSheetId="8" hidden="1">{"fdsup://IBCentral/FAT Viewer?action=UPDATE&amp;creator=factset&amp;DOC_NAME=fat:reuters_qtrly_source_window.fat&amp;display_string=Audit&amp;DYN_ARGS=TRUE&amp;VAR:ID1=221353&amp;VAR:RCODE=SCSI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12__FDSAUDITLINK__" hidden="1">{"fdsup://IBCentral/FAT Viewer?action=UPDATE&amp;creator=factset&amp;DOC_NAME=fat:reuters_qtrly_source_window.fat&amp;display_string=Audit&amp;DYN_ARGS=TRUE&amp;VAR:ID1=221353&amp;VAR:RCODE=SCSI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13__FDSAUDITLINK__" localSheetId="8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813__FDSAUDITLINK__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814__FDSAUDITLINK__" localSheetId="8" hidden="1">{"fdsup://IBCentral/FAT Viewer?action=UPDATE&amp;creator=factset&amp;DOC_NAME=fat:reuters_qtrly_source_window.fat&amp;display_string=Audit&amp;DYN_ARGS=TRUE&amp;VAR:ID1=221353&amp;VAR:RCODE=AEQI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14__FDSAUDITLINK__" hidden="1">{"fdsup://IBCentral/FAT Viewer?action=UPDATE&amp;creator=factset&amp;DOC_NAME=fat:reuters_qtrly_source_window.fat&amp;display_string=Audit&amp;DYN_ARGS=TRUE&amp;VAR:ID1=221353&amp;VAR:RCODE=AEQI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15__FDSAUDITLINK__" localSheetId="8" hidden="1">{"fdsup://IBCentral/FAT Viewer?action=UPDATE&amp;creator=factset&amp;DOC_NAME=fat:reuters_qtrly_source_window.fat&amp;display_string=Audit&amp;DYN_ARGS=TRUE&amp;VAR:ID1=221353&amp;VAR:RCODE=LMIN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15__FDSAUDITLINK__" hidden="1">{"fdsup://IBCentral/FAT Viewer?action=UPDATE&amp;creator=factset&amp;DOC_NAME=fat:reuters_qtrly_source_window.fat&amp;display_string=Audit&amp;DYN_ARGS=TRUE&amp;VAR:ID1=221353&amp;VAR:RCODE=LMIN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16__FDSAUDITLINK__" localSheetId="8" hidden="1">{"fdsup://IBCentral/FAT Viewer?action=UPDATE&amp;creator=factset&amp;DOC_NAME=fat:reuters_qtrly_source_window.fat&amp;display_string=Audit&amp;DYN_ARGS=TRUE&amp;VAR:ID1=221353&amp;VAR:RCODE=STLD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16__FDSAUDITLINK__" hidden="1">{"fdsup://IBCentral/FAT Viewer?action=UPDATE&amp;creator=factset&amp;DOC_NAME=fat:reuters_qtrly_source_window.fat&amp;display_string=Audit&amp;DYN_ARGS=TRUE&amp;VAR:ID1=221353&amp;VAR:RCODE=STLD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17__FDSAUDITLINK__" localSheetId="8" hidden="1">{"fdsup://IBCentral/FAT Viewer?action=UPDATE&amp;creator=factset&amp;DOC_NAME=fat:reuters_qtrly_source_window.fat&amp;display_string=Audit&amp;DYN_ARGS=TRUE&amp;VAR:ID1=221353&amp;VAR:RCODE=SCSI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17__FDSAUDITLINK__" hidden="1">{"fdsup://IBCentral/FAT Viewer?action=UPDATE&amp;creator=factset&amp;DOC_NAME=fat:reuters_qtrly_source_window.fat&amp;display_string=Audit&amp;DYN_ARGS=TRUE&amp;VAR:ID1=221353&amp;VAR:RCODE=SCSI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18__FDSAUDITLINK__" localSheetId="8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818__FDSAUDITLINK__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819__FDSAUDITLINK__" localSheetId="8" hidden="1">{"fdsup://IBCentral/FAT Viewer?action=UPDATE&amp;creator=factset&amp;DOC_NAME=fat:reuters_qtrly_source_window.fat&amp;display_string=Audit&amp;DYN_ARGS=TRUE&amp;VAR:ID1=221353&amp;VAR:RCODE=AEQI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19__FDSAUDITLINK__" hidden="1">{"fdsup://IBCentral/FAT Viewer?action=UPDATE&amp;creator=factset&amp;DOC_NAME=fat:reuters_qtrly_source_window.fat&amp;display_string=Audit&amp;DYN_ARGS=TRUE&amp;VAR:ID1=221353&amp;VAR:RCODE=AEQI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2__123Graph_LBL_CCHART_13" hidden="1">#REF!</definedName>
    <definedName name="_182__FDSAUDITLINK__" localSheetId="8" hidden="1">{"fdsup://directions/FAT Viewer?action=UPDATE&amp;creator=factset&amp;DYN_ARGS=TRUE&amp;DOC_NAME=FAT:FQL_AUDITING_CLIENT_TEMPLATE.FAT&amp;display_string=Audit&amp;VAR:KEY=NSFCBYBQLO&amp;VAR:QUERY=RkZfRUJJVF9JQignQU5OJywzODE2OCwsLCwnR0JQJyk=&amp;WINDOW=FIRST_POPUP&amp;HEIGHT=450&amp;WIDTH=450&amp;","START_MAXIMIZED=FALSE&amp;VAR:CALENDAR=FIVEDAY&amp;VAR:SYMBOL=B2425G&amp;VAR:INDEX=0"}</definedName>
    <definedName name="_182__FDSAUDITLINK__" hidden="1">{"fdsup://directions/FAT Viewer?action=UPDATE&amp;creator=factset&amp;DYN_ARGS=TRUE&amp;DOC_NAME=FAT:FQL_AUDITING_CLIENT_TEMPLATE.FAT&amp;display_string=Audit&amp;VAR:KEY=NODUFGPUPE&amp;VAR:QUERY=RkZfT1BFUl9MRUFTRV9FWFAoTFRNLDQxMTEwLCwsLFVTRCk=&amp;WINDOW=FIRST_POPUP&amp;HEIGHT=450&amp;WIDTH=","450&amp;START_MAXIMIZED=FALSE&amp;VAR:CALENDAR=US&amp;VAR:SYMBOL=MLM&amp;VAR:INDEX=0"}</definedName>
    <definedName name="_182__FDSAUDITLINK___1" localSheetId="8" hidden="1">{"fdsup://directions/FAT Viewer?action=UPDATE&amp;creator=factset&amp;DYN_ARGS=TRUE&amp;DOC_NAME=FAT:FQL_AUDITING_CLIENT_TEMPLATE.FAT&amp;display_string=Audit&amp;VAR:KEY=NSFCBYBQLO&amp;VAR:QUERY=RkZfRUJJVF9JQignQU5OJywzODE2OCwsLCwnR0JQJyk=&amp;WINDOW=FIRST_POPUP&amp;HEIGHT=450&amp;WIDTH=450&amp;","START_MAXIMIZED=FALSE&amp;VAR:CALENDAR=FIVEDAY&amp;VAR:SYMBOL=B2425G&amp;VAR:INDEX=0"}</definedName>
    <definedName name="_182__FDSAUDITLINK___1" hidden="1">{"fdsup://directions/FAT Viewer?action=UPDATE&amp;creator=factset&amp;DYN_ARGS=TRUE&amp;DOC_NAME=FAT:FQL_AUDITING_CLIENT_TEMPLATE.FAT&amp;display_string=Audit&amp;VAR:KEY=NSFCBYBQLO&amp;VAR:QUERY=RkZfRUJJVF9JQignQU5OJywzODE2OCwsLCwnR0JQJyk=&amp;WINDOW=FIRST_POPUP&amp;HEIGHT=450&amp;WIDTH=450&amp;","START_MAXIMIZED=FALSE&amp;VAR:CALENDAR=FIVEDAY&amp;VAR:SYMBOL=B2425G&amp;VAR:INDEX=0"}</definedName>
    <definedName name="_1820__FDSAUDITLINK__" localSheetId="8" hidden="1">{"fdsup://IBCentral/FAT Viewer?action=UPDATE&amp;creator=factset&amp;DOC_NAME=fat:reuters_qtrly_source_window.fat&amp;display_string=Audit&amp;DYN_ARGS=TRUE&amp;VAR:ID1=221353&amp;VAR:RCODE=LMIN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20__FDSAUDITLINK__" hidden="1">{"fdsup://IBCentral/FAT Viewer?action=UPDATE&amp;creator=factset&amp;DOC_NAME=fat:reuters_qtrly_source_window.fat&amp;display_string=Audit&amp;DYN_ARGS=TRUE&amp;VAR:ID1=221353&amp;VAR:RCODE=LMIN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21__FDSAUDITLINK__" localSheetId="8" hidden="1">{"fdsup://IBCentral/FAT Viewer?action=UPDATE&amp;creator=factset&amp;DOC_NAME=fat:reuters_qtrly_source_window.fat&amp;display_string=Audit&amp;DYN_ARGS=TRUE&amp;VAR:ID1=221353&amp;VAR:RCODE=STLD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21__FDSAUDITLINK__" hidden="1">{"fdsup://IBCentral/FAT Viewer?action=UPDATE&amp;creator=factset&amp;DOC_NAME=fat:reuters_qtrly_source_window.fat&amp;display_string=Audit&amp;DYN_ARGS=TRUE&amp;VAR:ID1=221353&amp;VAR:RCODE=STLD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22__FDSAUDITLINK__" localSheetId="8" hidden="1">{"fdsup://IBCentral/FAT Viewer?action=UPDATE&amp;creator=factset&amp;DOC_NAME=fat:reuters_qtrly_source_window.fat&amp;display_string=Audit&amp;DYN_ARGS=TRUE&amp;VAR:ID1=221353&amp;VAR:RCODE=SCSI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22__FDSAUDITLINK__" hidden="1">{"fdsup://IBCentral/FAT Viewer?action=UPDATE&amp;creator=factset&amp;DOC_NAME=fat:reuters_qtrly_source_window.fat&amp;display_string=Audit&amp;DYN_ARGS=TRUE&amp;VAR:ID1=221353&amp;VAR:RCODE=SCSI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23__FDSAUDITLINK__" localSheetId="8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823__FDSAUDITLINK__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824__FDSAUDITLINK__" localSheetId="8" hidden="1">{"fdsup://IBCentral/FAT Viewer?action=UPDATE&amp;creator=factset&amp;DOC_NAME=fat:reuters_qtrly_source_window.fat&amp;display_string=Audit&amp;DYN_ARGS=TRUE&amp;VAR:ID1=221353&amp;VAR:RCODE=AEQI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24__FDSAUDITLINK__" hidden="1">{"fdsup://IBCentral/FAT Viewer?action=UPDATE&amp;creator=factset&amp;DOC_NAME=fat:reuters_qtrly_source_window.fat&amp;display_string=Audit&amp;DYN_ARGS=TRUE&amp;VAR:ID1=221353&amp;VAR:RCODE=AEQI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25__FDSAUDITLINK__" localSheetId="8" hidden="1">{"fdsup://IBCentral/FAT Viewer?action=UPDATE&amp;creator=factset&amp;DOC_NAME=fat:reuters_qtrly_source_window.fat&amp;display_string=Audit&amp;DYN_ARGS=TRUE&amp;VAR:ID1=221353&amp;VAR:RCODE=LMIN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25__FDSAUDITLINK__" hidden="1">{"fdsup://IBCentral/FAT Viewer?action=UPDATE&amp;creator=factset&amp;DOC_NAME=fat:reuters_qtrly_source_window.fat&amp;display_string=Audit&amp;DYN_ARGS=TRUE&amp;VAR:ID1=221353&amp;VAR:RCODE=LMIN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26__FDSAUDITLINK__" localSheetId="8" hidden="1">{"fdsup://IBCentral/FAT Viewer?action=UPDATE&amp;creator=factset&amp;DOC_NAME=fat:reuters_qtrly_source_window.fat&amp;display_string=Audit&amp;DYN_ARGS=TRUE&amp;VAR:ID1=221353&amp;VAR:RCODE=STLD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26__FDSAUDITLINK__" hidden="1">{"fdsup://IBCentral/FAT Viewer?action=UPDATE&amp;creator=factset&amp;DOC_NAME=fat:reuters_qtrly_source_window.fat&amp;display_string=Audit&amp;DYN_ARGS=TRUE&amp;VAR:ID1=221353&amp;VAR:RCODE=STLD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27__FDSAUDITLINK__" localSheetId="8" hidden="1">{"fdsup://IBCentral/FAT Viewer?action=UPDATE&amp;creator=factset&amp;DOC_NAME=fat:reuters_qtrly_source_window.fat&amp;display_string=Audit&amp;DYN_ARGS=TRUE&amp;VAR:ID1=221353&amp;VAR:RCODE=SCSI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27__FDSAUDITLINK__" hidden="1">{"fdsup://IBCentral/FAT Viewer?action=UPDATE&amp;creator=factset&amp;DOC_NAME=fat:reuters_qtrly_source_window.fat&amp;display_string=Audit&amp;DYN_ARGS=TRUE&amp;VAR:ID1=221353&amp;VAR:RCODE=SCSI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28__FDSAUDITLINK__" localSheetId="8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828__FDSAUDITLINK__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829__FDSAUDITLINK__" localSheetId="8" hidden="1">{"fdsup://IBCentral/FAT Viewer?action=UPDATE&amp;creator=factset&amp;DOC_NAME=fat:reuters_qtrly_source_window.fat&amp;display_string=Audit&amp;DYN_ARGS=TRUE&amp;VAR:ID1=221353&amp;VAR:RCODE=AEQI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29__FDSAUDITLINK__" hidden="1">{"fdsup://IBCentral/FAT Viewer?action=UPDATE&amp;creator=factset&amp;DOC_NAME=fat:reuters_qtrly_source_window.fat&amp;display_string=Audit&amp;DYN_ARGS=TRUE&amp;VAR:ID1=221353&amp;VAR:RCODE=AEQI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3__123Graph_LBL_CCHART_14" hidden="1">#REF!</definedName>
    <definedName name="_183__FDSAUDITLINK__" localSheetId="8" hidden="1">{"fdsup://directions/FAT Viewer?action=UPDATE&amp;creator=factset&amp;DYN_ARGS=TRUE&amp;DOC_NAME=FAT:FQL_AUDITING_CLIENT_TEMPLATE.FAT&amp;display_string=Audit&amp;VAR:KEY=NWBQFAXAHU&amp;VAR:QUERY=RkZfRUJJVF9JQignQU5OJywzNzgwMiwsLCwnR0JQJyk=&amp;WINDOW=FIRST_POPUP&amp;HEIGHT=450&amp;WIDTH=450&amp;","START_MAXIMIZED=FALSE&amp;VAR:CALENDAR=FIVEDAY&amp;VAR:SYMBOL=B2425G&amp;VAR:INDEX=0"}</definedName>
    <definedName name="_183__FDSAUDITLINK__" hidden="1">{"fdsup://directions/FAT Viewer?action=UPDATE&amp;creator=factset&amp;DYN_ARGS=TRUE&amp;DOC_NAME=FAT:FQL_AUDITING_CLIENT_TEMPLATE.FAT&amp;display_string=Audit&amp;VAR:KEY=NWBQFAXAHU&amp;VAR:QUERY=RkZfRUJJVF9JQignQU5OJywzNzgwMiwsLCwnR0JQJyk=&amp;WINDOW=FIRST_POPUP&amp;HEIGHT=450&amp;WIDTH=450&amp;","START_MAXIMIZED=FALSE&amp;VAR:CALENDAR=FIVEDAY&amp;VAR:SYMBOL=B2425G&amp;VAR:INDEX=0"}</definedName>
    <definedName name="_183__FDSAUDITLINK___1" localSheetId="8" hidden="1">{"fdsup://directions/FAT Viewer?action=UPDATE&amp;creator=factset&amp;DYN_ARGS=TRUE&amp;DOC_NAME=FAT:FQL_AUDITING_CLIENT_TEMPLATE.FAT&amp;display_string=Audit&amp;VAR:KEY=NWBQFAXAHU&amp;VAR:QUERY=RkZfRUJJVF9JQignQU5OJywzNzgwMiwsLCwnR0JQJyk=&amp;WINDOW=FIRST_POPUP&amp;HEIGHT=450&amp;WIDTH=450&amp;","START_MAXIMIZED=FALSE&amp;VAR:CALENDAR=FIVEDAY&amp;VAR:SYMBOL=B2425G&amp;VAR:INDEX=0"}</definedName>
    <definedName name="_183__FDSAUDITLINK___1" hidden="1">{"fdsup://directions/FAT Viewer?action=UPDATE&amp;creator=factset&amp;DYN_ARGS=TRUE&amp;DOC_NAME=FAT:FQL_AUDITING_CLIENT_TEMPLATE.FAT&amp;display_string=Audit&amp;VAR:KEY=NWBQFAXAHU&amp;VAR:QUERY=RkZfRUJJVF9JQignQU5OJywzNzgwMiwsLCwnR0JQJyk=&amp;WINDOW=FIRST_POPUP&amp;HEIGHT=450&amp;WIDTH=450&amp;","START_MAXIMIZED=FALSE&amp;VAR:CALENDAR=FIVEDAY&amp;VAR:SYMBOL=B2425G&amp;VAR:INDEX=0"}</definedName>
    <definedName name="_1830__FDSAUDITLINK__" localSheetId="8" hidden="1">{"fdsup://IBCentral/FAT Viewer?action=UPDATE&amp;creator=factset&amp;DOC_NAME=fat:reuters_qtrly_source_window.fat&amp;display_string=Audit&amp;DYN_ARGS=TRUE&amp;VAR:ID1=221353&amp;VAR:RCODE=LMIN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30__FDSAUDITLINK__" hidden="1">{"fdsup://IBCentral/FAT Viewer?action=UPDATE&amp;creator=factset&amp;DOC_NAME=fat:reuters_qtrly_source_window.fat&amp;display_string=Audit&amp;DYN_ARGS=TRUE&amp;VAR:ID1=221353&amp;VAR:RCODE=LMIN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31__FDSAUDITLINK__" localSheetId="8" hidden="1">{"fdsup://IBCentral/FAT Viewer?action=UPDATE&amp;creator=factset&amp;DOC_NAME=fat:reuters_qtrly_source_window.fat&amp;display_string=Audit&amp;DYN_ARGS=TRUE&amp;VAR:ID1=221353&amp;VAR:RCODE=STLD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31__FDSAUDITLINK__" hidden="1">{"fdsup://IBCentral/FAT Viewer?action=UPDATE&amp;creator=factset&amp;DOC_NAME=fat:reuters_qtrly_source_window.fat&amp;display_string=Audit&amp;DYN_ARGS=TRUE&amp;VAR:ID1=221353&amp;VAR:RCODE=STLD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32__FDSAUDITLINK__" localSheetId="8" hidden="1">{"fdsup://IBCentral/FAT Viewer?action=UPDATE&amp;creator=factset&amp;DOC_NAME=fat:reuters_qtrly_source_window.fat&amp;display_string=Audit&amp;DYN_ARGS=TRUE&amp;VAR:ID1=221353&amp;VAR:RCODE=SCSI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32__FDSAUDITLINK__" hidden="1">{"fdsup://IBCentral/FAT Viewer?action=UPDATE&amp;creator=factset&amp;DOC_NAME=fat:reuters_qtrly_source_window.fat&amp;display_string=Audit&amp;DYN_ARGS=TRUE&amp;VAR:ID1=221353&amp;VAR:RCODE=SCSI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33__FDSAUDITLINK__" localSheetId="8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833__FDSAUDITLINK__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834__FDSAUDITLINK__" localSheetId="8" hidden="1">{"fdsup://IBCentral/FAT Viewer?action=UPDATE&amp;creator=factset&amp;DOC_NAME=fat:reuters_qtrly_source_window.fat&amp;display_string=Audit&amp;DYN_ARGS=TRUE&amp;VAR:ID1=221353&amp;VAR:RCODE=AEQI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34__FDSAUDITLINK__" hidden="1">{"fdsup://IBCentral/FAT Viewer?action=UPDATE&amp;creator=factset&amp;DOC_NAME=fat:reuters_qtrly_source_window.fat&amp;display_string=Audit&amp;DYN_ARGS=TRUE&amp;VAR:ID1=221353&amp;VAR:RCODE=AEQI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35__FDSAUDITLINK__" localSheetId="8" hidden="1">{"fdsup://IBCentral/FAT Viewer?action=UPDATE&amp;creator=factset&amp;DOC_NAME=fat:reuters_qtrly_source_window.fat&amp;display_string=Audit&amp;DYN_ARGS=TRUE&amp;VAR:ID1=221353&amp;VAR:RCODE=LMIN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35__FDSAUDITLINK__" hidden="1">{"fdsup://IBCentral/FAT Viewer?action=UPDATE&amp;creator=factset&amp;DOC_NAME=fat:reuters_qtrly_source_window.fat&amp;display_string=Audit&amp;DYN_ARGS=TRUE&amp;VAR:ID1=221353&amp;VAR:RCODE=LMIN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36__FDSAUDITLINK__" localSheetId="8" hidden="1">{"fdsup://IBCentral/FAT Viewer?action=UPDATE&amp;creator=factset&amp;DOC_NAME=fat:reuters_qtrly_source_window.fat&amp;display_string=Audit&amp;DYN_ARGS=TRUE&amp;VAR:ID1=221353&amp;VAR:RCODE=STLD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36__FDSAUDITLINK__" hidden="1">{"fdsup://IBCentral/FAT Viewer?action=UPDATE&amp;creator=factset&amp;DOC_NAME=fat:reuters_qtrly_source_window.fat&amp;display_string=Audit&amp;DYN_ARGS=TRUE&amp;VAR:ID1=221353&amp;VAR:RCODE=STLD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37__FDSAUDITLINK__" localSheetId="8" hidden="1">{"fdsup://IBCentral/FAT Viewer?action=UPDATE&amp;creator=factset&amp;DOC_NAME=fat:reuters_qtrly_source_window.fat&amp;display_string=Audit&amp;DYN_ARGS=TRUE&amp;VAR:ID1=221353&amp;VAR:RCODE=SCSI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37__FDSAUDITLINK__" hidden="1">{"fdsup://IBCentral/FAT Viewer?action=UPDATE&amp;creator=factset&amp;DOC_NAME=fat:reuters_qtrly_source_window.fat&amp;display_string=Audit&amp;DYN_ARGS=TRUE&amp;VAR:ID1=221353&amp;VAR:RCODE=SCSI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38__FDSAUDITLINK__" localSheetId="8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838__FDSAUDITLINK__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839__FDSAUDITLINK__" localSheetId="8" hidden="1">{"fdsup://IBCentral/FAT Viewer?action=UPDATE&amp;creator=factset&amp;DOC_NAME=fat:reuters_qtrly_source_window.fat&amp;display_string=Audit&amp;DYN_ARGS=TRUE&amp;VAR:ID1=221353&amp;VAR:RCODE=AEQI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39__FDSAUDITLINK__" hidden="1">{"fdsup://IBCentral/FAT Viewer?action=UPDATE&amp;creator=factset&amp;DOC_NAME=fat:reuters_qtrly_source_window.fat&amp;display_string=Audit&amp;DYN_ARGS=TRUE&amp;VAR:ID1=221353&amp;VAR:RCODE=AEQI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4__123Graph_LBL_CCHART_15" hidden="1">#REF!</definedName>
    <definedName name="_184__FDSAUDITLINK__" localSheetId="8" hidden="1">{"fdsup://directions/FAT Viewer?action=UPDATE&amp;creator=factset&amp;DYN_ARGS=TRUE&amp;DOC_NAME=FAT:FQL_AUDITING_CLIENT_TEMPLATE.FAT&amp;display_string=Audit&amp;VAR:KEY=BQLKPYFYNO&amp;VAR:QUERY=RkZfRUJJVF9JQignQU5OJywzNzQzNywsLCwnR0JQJyk=&amp;WINDOW=FIRST_POPUP&amp;HEIGHT=450&amp;WIDTH=450&amp;","START_MAXIMIZED=FALSE&amp;VAR:CALENDAR=FIVEDAY&amp;VAR:SYMBOL=B2425G&amp;VAR:INDEX=0"}</definedName>
    <definedName name="_184__FDSAUDITLINK__" hidden="1">{"fdsup://Directions/FactSet Auditing Viewer?action=AUDIT_VALUE&amp;DB=129&amp;ID1=711075&amp;VALUEID=18280&amp;SDATE=2011&amp;PERIODTYPE=ANN_STD&amp;SCFT=3&amp;window=popup_no_bar&amp;width=385&amp;height=120&amp;START_MAXIMIZED=FALSE&amp;creator=factset&amp;display_string=Audit"}</definedName>
    <definedName name="_184__FDSAUDITLINK___1" localSheetId="8" hidden="1">{"fdsup://directions/FAT Viewer?action=UPDATE&amp;creator=factset&amp;DYN_ARGS=TRUE&amp;DOC_NAME=FAT:FQL_AUDITING_CLIENT_TEMPLATE.FAT&amp;display_string=Audit&amp;VAR:KEY=BQLKPYFYNO&amp;VAR:QUERY=RkZfRUJJVF9JQignQU5OJywzNzQzNywsLCwnR0JQJyk=&amp;WINDOW=FIRST_POPUP&amp;HEIGHT=450&amp;WIDTH=450&amp;","START_MAXIMIZED=FALSE&amp;VAR:CALENDAR=FIVEDAY&amp;VAR:SYMBOL=B2425G&amp;VAR:INDEX=0"}</definedName>
    <definedName name="_184__FDSAUDITLINK___1" hidden="1">{"fdsup://directions/FAT Viewer?action=UPDATE&amp;creator=factset&amp;DYN_ARGS=TRUE&amp;DOC_NAME=FAT:FQL_AUDITING_CLIENT_TEMPLATE.FAT&amp;display_string=Audit&amp;VAR:KEY=BQLKPYFYNO&amp;VAR:QUERY=RkZfRUJJVF9JQignQU5OJywzNzQzNywsLCwnR0JQJyk=&amp;WINDOW=FIRST_POPUP&amp;HEIGHT=450&amp;WIDTH=450&amp;","START_MAXIMIZED=FALSE&amp;VAR:CALENDAR=FIVEDAY&amp;VAR:SYMBOL=B2425G&amp;VAR:INDEX=0"}</definedName>
    <definedName name="_1840__FDSAUDITLINK__" localSheetId="8" hidden="1">{"fdsup://IBCentral/FAT Viewer?action=UPDATE&amp;creator=factset&amp;DOC_NAME=fat:reuters_qtrly_source_window.fat&amp;display_string=Audit&amp;DYN_ARGS=TRUE&amp;VAR:ID1=221353&amp;VAR:RCODE=LMIN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40__FDSAUDITLINK__" hidden="1">{"fdsup://IBCentral/FAT Viewer?action=UPDATE&amp;creator=factset&amp;DOC_NAME=fat:reuters_qtrly_source_window.fat&amp;display_string=Audit&amp;DYN_ARGS=TRUE&amp;VAR:ID1=221353&amp;VAR:RCODE=LMIN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41__FDSAUDITLINK__" localSheetId="8" hidden="1">{"fdsup://IBCentral/FAT Viewer?action=UPDATE&amp;creator=factset&amp;DOC_NAME=fat:reuters_qtrly_source_window.fat&amp;display_string=Audit&amp;DYN_ARGS=TRUE&amp;VAR:ID1=221353&amp;VAR:RCODE=STLD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41__FDSAUDITLINK__" hidden="1">{"fdsup://IBCentral/FAT Viewer?action=UPDATE&amp;creator=factset&amp;DOC_NAME=fat:reuters_qtrly_source_window.fat&amp;display_string=Audit&amp;DYN_ARGS=TRUE&amp;VAR:ID1=221353&amp;VAR:RCODE=STLD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42__FDSAUDITLINK__" localSheetId="8" hidden="1">{"fdsup://IBCentral/FAT Viewer?action=UPDATE&amp;creator=factset&amp;DOC_NAME=fat:reuters_qtrly_source_window.fat&amp;display_string=Audit&amp;DYN_ARGS=TRUE&amp;VAR:ID1=221353&amp;VAR:RCODE=SCSI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42__FDSAUDITLINK__" hidden="1">{"fdsup://IBCentral/FAT Viewer?action=UPDATE&amp;creator=factset&amp;DOC_NAME=fat:reuters_qtrly_source_window.fat&amp;display_string=Audit&amp;DYN_ARGS=TRUE&amp;VAR:ID1=221353&amp;VAR:RCODE=SCSI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43__FDSAUDITLINK__" localSheetId="8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843__FDSAUDITLINK__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844__FDSAUDITLINK__" localSheetId="8" hidden="1">{"fdsup://IBCentral/FAT Viewer?action=UPDATE&amp;creator=factset&amp;DOC_NAME=fat:reuters_qtrly_source_window.fat&amp;display_string=Audit&amp;DYN_ARGS=TRUE&amp;VAR:ID1=221353&amp;VAR:RCODE=AEQI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44__FDSAUDITLINK__" hidden="1">{"fdsup://IBCentral/FAT Viewer?action=UPDATE&amp;creator=factset&amp;DOC_NAME=fat:reuters_qtrly_source_window.fat&amp;display_string=Audit&amp;DYN_ARGS=TRUE&amp;VAR:ID1=221353&amp;VAR:RCODE=AEQI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45__FDSAUDITLINK__" localSheetId="8" hidden="1">{"fdsup://IBCentral/FAT Viewer?action=UPDATE&amp;creator=factset&amp;DOC_NAME=fat:reuters_qtrly_source_window.fat&amp;display_string=Audit&amp;DYN_ARGS=TRUE&amp;VAR:ID1=221353&amp;VAR:RCODE=LMIN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45__FDSAUDITLINK__" hidden="1">{"fdsup://IBCentral/FAT Viewer?action=UPDATE&amp;creator=factset&amp;DOC_NAME=fat:reuters_qtrly_source_window.fat&amp;display_string=Audit&amp;DYN_ARGS=TRUE&amp;VAR:ID1=221353&amp;VAR:RCODE=LMIN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46__FDSAUDITLINK__" localSheetId="8" hidden="1">{"fdsup://IBCentral/FAT Viewer?action=UPDATE&amp;creator=factset&amp;DOC_NAME=fat:reuters_qtrly_source_window.fat&amp;display_string=Audit&amp;DYN_ARGS=TRUE&amp;VAR:ID1=221353&amp;VAR:RCODE=STLD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46__FDSAUDITLINK__" hidden="1">{"fdsup://IBCentral/FAT Viewer?action=UPDATE&amp;creator=factset&amp;DOC_NAME=fat:reuters_qtrly_source_window.fat&amp;display_string=Audit&amp;DYN_ARGS=TRUE&amp;VAR:ID1=221353&amp;VAR:RCODE=STLD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47__FDSAUDITLINK__" localSheetId="8" hidden="1">{"fdsup://IBCentral/FAT Viewer?action=UPDATE&amp;creator=factset&amp;DOC_NAME=fat:reuters_qtrly_source_window.fat&amp;display_string=Audit&amp;DYN_ARGS=TRUE&amp;VAR:ID1=221353&amp;VAR:RCODE=SCSI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47__FDSAUDITLINK__" hidden="1">{"fdsup://IBCentral/FAT Viewer?action=UPDATE&amp;creator=factset&amp;DOC_NAME=fat:reuters_qtrly_source_window.fat&amp;display_string=Audit&amp;DYN_ARGS=TRUE&amp;VAR:ID1=221353&amp;VAR:RCODE=SCSI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48__FDSAUDITLINK__" localSheetId="8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848__FDSAUDITLINK__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849__FDSAUDITLINK__" localSheetId="8" hidden="1">{"fdsup://IBCentral/FAT Viewer?action=UPDATE&amp;creator=factset&amp;DOC_NAME=fat:reuters_qtrly_source_window.fat&amp;display_string=Audit&amp;DYN_ARGS=TRUE&amp;VAR:ID1=221353&amp;VAR:RCODE=AEQI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49__FDSAUDITLINK__" hidden="1">{"fdsup://IBCentral/FAT Viewer?action=UPDATE&amp;creator=factset&amp;DOC_NAME=fat:reuters_qtrly_source_window.fat&amp;display_string=Audit&amp;DYN_ARGS=TRUE&amp;VAR:ID1=221353&amp;VAR:RCODE=AEQI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5__123Graph_LBL_CCHART_16" hidden="1">#REF!</definedName>
    <definedName name="_185__FDSAUDITLINK__" localSheetId="8" hidden="1">{"fdsup://directions/FAT Viewer?action=UPDATE&amp;creator=factset&amp;DYN_ARGS=TRUE&amp;DOC_NAME=FAT:FQL_AUDITING_CLIENT_TEMPLATE.FAT&amp;display_string=Audit&amp;VAR:KEY=ZYFGLALYDG&amp;VAR:QUERY=RkZfRUJJVF9JQignQU5OJywzNzA3MiwsLCwnR0JQJyk=&amp;WINDOW=FIRST_POPUP&amp;HEIGHT=450&amp;WIDTH=450&amp;","START_MAXIMIZED=FALSE&amp;VAR:CALENDAR=FIVEDAY&amp;VAR:SYMBOL=B2425G&amp;VAR:INDEX=0"}</definedName>
    <definedName name="_185__FDSAUDITLINK__" hidden="1">{"fdsup://Directions/FactSet Auditing Viewer?action=AUDIT_VALUE&amp;DB=129&amp;ID1=450270&amp;VALUEID=18280&amp;SDATE=2011&amp;PERIODTYPE=ANN_STD&amp;SCFT=3&amp;window=popup_no_bar&amp;width=385&amp;height=120&amp;START_MAXIMIZED=FALSE&amp;creator=factset&amp;display_string=Audit"}</definedName>
    <definedName name="_185__FDSAUDITLINK___1" localSheetId="8" hidden="1">{"fdsup://directions/FAT Viewer?action=UPDATE&amp;creator=factset&amp;DYN_ARGS=TRUE&amp;DOC_NAME=FAT:FQL_AUDITING_CLIENT_TEMPLATE.FAT&amp;display_string=Audit&amp;VAR:KEY=ZYFGLALYDG&amp;VAR:QUERY=RkZfRUJJVF9JQignQU5OJywzNzA3MiwsLCwnR0JQJyk=&amp;WINDOW=FIRST_POPUP&amp;HEIGHT=450&amp;WIDTH=450&amp;","START_MAXIMIZED=FALSE&amp;VAR:CALENDAR=FIVEDAY&amp;VAR:SYMBOL=B2425G&amp;VAR:INDEX=0"}</definedName>
    <definedName name="_185__FDSAUDITLINK___1" hidden="1">{"fdsup://directions/FAT Viewer?action=UPDATE&amp;creator=factset&amp;DYN_ARGS=TRUE&amp;DOC_NAME=FAT:FQL_AUDITING_CLIENT_TEMPLATE.FAT&amp;display_string=Audit&amp;VAR:KEY=ZYFGLALYDG&amp;VAR:QUERY=RkZfRUJJVF9JQignQU5OJywzNzA3MiwsLCwnR0JQJyk=&amp;WINDOW=FIRST_POPUP&amp;HEIGHT=450&amp;WIDTH=450&amp;","START_MAXIMIZED=FALSE&amp;VAR:CALENDAR=FIVEDAY&amp;VAR:SYMBOL=B2425G&amp;VAR:INDEX=0"}</definedName>
    <definedName name="_1850__FDSAUDITLINK__" localSheetId="8" hidden="1">{"fdsup://IBCentral/FAT Viewer?action=UPDATE&amp;creator=factset&amp;DOC_NAME=fat:reuters_qtrly_source_window.fat&amp;display_string=Audit&amp;DYN_ARGS=TRUE&amp;VAR:ID1=221353&amp;VAR:RCODE=LMIN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50__FDSAUDITLINK__" hidden="1">{"fdsup://IBCentral/FAT Viewer?action=UPDATE&amp;creator=factset&amp;DOC_NAME=fat:reuters_qtrly_source_window.fat&amp;display_string=Audit&amp;DYN_ARGS=TRUE&amp;VAR:ID1=221353&amp;VAR:RCODE=LMIN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51__FDSAUDITLINK__" localSheetId="8" hidden="1">{"fdsup://IBCentral/FAT Viewer?action=UPDATE&amp;creator=factset&amp;DOC_NAME=fat:reuters_qtrly_source_window.fat&amp;display_string=Audit&amp;DYN_ARGS=TRUE&amp;VAR:ID1=221353&amp;VAR:RCODE=STLD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51__FDSAUDITLINK__" hidden="1">{"fdsup://IBCentral/FAT Viewer?action=UPDATE&amp;creator=factset&amp;DOC_NAME=fat:reuters_qtrly_source_window.fat&amp;display_string=Audit&amp;DYN_ARGS=TRUE&amp;VAR:ID1=221353&amp;VAR:RCODE=STLD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52__FDSAUDITLINK__" localSheetId="8" hidden="1">{"fdsup://IBCentral/FAT Viewer?action=UPDATE&amp;creator=factset&amp;DOC_NAME=fat:reuters_qtrly_source_window.fat&amp;display_string=Audit&amp;DYN_ARGS=TRUE&amp;VAR:ID1=221353&amp;VAR:RCODE=SCSI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52__FDSAUDITLINK__" hidden="1">{"fdsup://IBCentral/FAT Viewer?action=UPDATE&amp;creator=factset&amp;DOC_NAME=fat:reuters_qtrly_source_window.fat&amp;display_string=Audit&amp;DYN_ARGS=TRUE&amp;VAR:ID1=221353&amp;VAR:RCODE=SCSI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53__FDSAUDITLINK__" localSheetId="8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853__FDSAUDITLINK__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854__FDSAUDITLINK__" localSheetId="8" hidden="1">{"fdsup://IBCentral/FAT Viewer?action=UPDATE&amp;creator=factset&amp;DOC_NAME=fat:reuters_qtrly_source_window.fat&amp;display_string=Audit&amp;DYN_ARGS=TRUE&amp;VAR:ID1=221353&amp;VAR:RCODE=AEQI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54__FDSAUDITLINK__" hidden="1">{"fdsup://IBCentral/FAT Viewer?action=UPDATE&amp;creator=factset&amp;DOC_NAME=fat:reuters_qtrly_source_window.fat&amp;display_string=Audit&amp;DYN_ARGS=TRUE&amp;VAR:ID1=221353&amp;VAR:RCODE=AEQI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55__FDSAUDITLINK__" localSheetId="8" hidden="1">{"fdsup://IBCentral/FAT Viewer?action=UPDATE&amp;creator=factset&amp;DOC_NAME=fat:reuters_qtrly_source_window.fat&amp;display_string=Audit&amp;DYN_ARGS=TRUE&amp;VAR:ID1=221353&amp;VAR:RCODE=LMIN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55__FDSAUDITLINK__" hidden="1">{"fdsup://IBCentral/FAT Viewer?action=UPDATE&amp;creator=factset&amp;DOC_NAME=fat:reuters_qtrly_source_window.fat&amp;display_string=Audit&amp;DYN_ARGS=TRUE&amp;VAR:ID1=221353&amp;VAR:RCODE=LMIN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56__FDSAUDITLINK__" localSheetId="8" hidden="1">{"fdsup://IBCentral/FAT Viewer?action=UPDATE&amp;creator=factset&amp;DOC_NAME=fat:reuters_qtrly_source_window.fat&amp;display_string=Audit&amp;DYN_ARGS=TRUE&amp;VAR:ID1=221353&amp;VAR:RCODE=STLD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56__FDSAUDITLINK__" hidden="1">{"fdsup://IBCentral/FAT Viewer?action=UPDATE&amp;creator=factset&amp;DOC_NAME=fat:reuters_qtrly_source_window.fat&amp;display_string=Audit&amp;DYN_ARGS=TRUE&amp;VAR:ID1=221353&amp;VAR:RCODE=STLD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57__FDSAUDITLINK__" localSheetId="8" hidden="1">{"fdsup://IBCentral/FAT Viewer?action=UPDATE&amp;creator=factset&amp;DOC_NAME=fat:reuters_qtrly_source_window.fat&amp;display_string=Audit&amp;DYN_ARGS=TRUE&amp;VAR:ID1=221353&amp;VAR:RCODE=SCSI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57__FDSAUDITLINK__" hidden="1">{"fdsup://IBCentral/FAT Viewer?action=UPDATE&amp;creator=factset&amp;DOC_NAME=fat:reuters_qtrly_source_window.fat&amp;display_string=Audit&amp;DYN_ARGS=TRUE&amp;VAR:ID1=221353&amp;VAR:RCODE=SCSI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58__FDSAUDITLINK__" localSheetId="8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858__FDSAUDITLINK__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859__FDSAUDITLINK__" localSheetId="8" hidden="1">{"fdsup://IBCentral/FAT Viewer?action=UPDATE&amp;creator=factset&amp;DOC_NAME=fat:reuters_qtrly_source_window.fat&amp;display_string=Audit&amp;DYN_ARGS=TRUE&amp;VAR:ID1=221353&amp;VAR:RCODE=AEQI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59__FDSAUDITLINK__" hidden="1">{"fdsup://IBCentral/FAT Viewer?action=UPDATE&amp;creator=factset&amp;DOC_NAME=fat:reuters_qtrly_source_window.fat&amp;display_string=Audit&amp;DYN_ARGS=TRUE&amp;VAR:ID1=221353&amp;VAR:RCODE=AEQI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6__123Graph_LBL_CCHART_2" hidden="1">#REF!</definedName>
    <definedName name="_186__FDSAUDITLINK__" localSheetId="8" hidden="1">{"fdsup://directions/FAT Viewer?action=UPDATE&amp;creator=factset&amp;DYN_ARGS=TRUE&amp;DOC_NAME=FAT:FQL_AUDITING_CLIENT_TEMPLATE.FAT&amp;display_string=Audit&amp;VAR:KEY=VGNAZYXQZK&amp;VAR:QUERY=RkZfRUJJVF9JQignQU5OJywzNjcwNywsLCwnR0JQJyk=&amp;WINDOW=FIRST_POPUP&amp;HEIGHT=450&amp;WIDTH=450&amp;","START_MAXIMIZED=FALSE&amp;VAR:CALENDAR=FIVEDAY&amp;VAR:SYMBOL=B2425G&amp;VAR:INDEX=0"}</definedName>
    <definedName name="_186__FDSAUDITLINK__" hidden="1">{"fdsup://directions/FAT Viewer?action=UPDATE&amp;creator=factset&amp;DYN_ARGS=TRUE&amp;DOC_NAME=FAT:FQL_AUDITING_CLIENT_TEMPLATE.FAT&amp;display_string=Audit&amp;VAR:KEY=VGNAZYXQZK&amp;VAR:QUERY=RkZfRUJJVF9JQignQU5OJywzNjcwNywsLCwnR0JQJyk=&amp;WINDOW=FIRST_POPUP&amp;HEIGHT=450&amp;WIDTH=450&amp;","START_MAXIMIZED=FALSE&amp;VAR:CALENDAR=FIVEDAY&amp;VAR:SYMBOL=B2425G&amp;VAR:INDEX=0"}</definedName>
    <definedName name="_186__FDSAUDITLINK___1" localSheetId="8" hidden="1">{"fdsup://directions/FAT Viewer?action=UPDATE&amp;creator=factset&amp;DYN_ARGS=TRUE&amp;DOC_NAME=FAT:FQL_AUDITING_CLIENT_TEMPLATE.FAT&amp;display_string=Audit&amp;VAR:KEY=VGNAZYXQZK&amp;VAR:QUERY=RkZfRUJJVF9JQignQU5OJywzNjcwNywsLCwnR0JQJyk=&amp;WINDOW=FIRST_POPUP&amp;HEIGHT=450&amp;WIDTH=450&amp;","START_MAXIMIZED=FALSE&amp;VAR:CALENDAR=FIVEDAY&amp;VAR:SYMBOL=B2425G&amp;VAR:INDEX=0"}</definedName>
    <definedName name="_186__FDSAUDITLINK___1" hidden="1">{"fdsup://directions/FAT Viewer?action=UPDATE&amp;creator=factset&amp;DYN_ARGS=TRUE&amp;DOC_NAME=FAT:FQL_AUDITING_CLIENT_TEMPLATE.FAT&amp;display_string=Audit&amp;VAR:KEY=VGNAZYXQZK&amp;VAR:QUERY=RkZfRUJJVF9JQignQU5OJywzNjcwNywsLCwnR0JQJyk=&amp;WINDOW=FIRST_POPUP&amp;HEIGHT=450&amp;WIDTH=450&amp;","START_MAXIMIZED=FALSE&amp;VAR:CALENDAR=FIVEDAY&amp;VAR:SYMBOL=B2425G&amp;VAR:INDEX=0"}</definedName>
    <definedName name="_1860__FDSAUDITLINK__" localSheetId="8" hidden="1">{"fdsup://IBCentral/FAT Viewer?action=UPDATE&amp;creator=factset&amp;DOC_NAME=fat:reuters_qtrly_source_window.fat&amp;display_string=Audit&amp;DYN_ARGS=TRUE&amp;VAR:ID1=221353&amp;VAR:RCODE=LMIN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60__FDSAUDITLINK__" hidden="1">{"fdsup://IBCentral/FAT Viewer?action=UPDATE&amp;creator=factset&amp;DOC_NAME=fat:reuters_qtrly_source_window.fat&amp;display_string=Audit&amp;DYN_ARGS=TRUE&amp;VAR:ID1=221353&amp;VAR:RCODE=LMIN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61__FDSAUDITLINK__" localSheetId="8" hidden="1">{"fdsup://IBCentral/FAT Viewer?action=UPDATE&amp;creator=factset&amp;DOC_NAME=fat:reuters_qtrly_source_window.fat&amp;display_string=Audit&amp;DYN_ARGS=TRUE&amp;VAR:ID1=221353&amp;VAR:RCODE=STLD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61__FDSAUDITLINK__" hidden="1">{"fdsup://IBCentral/FAT Viewer?action=UPDATE&amp;creator=factset&amp;DOC_NAME=fat:reuters_qtrly_source_window.fat&amp;display_string=Audit&amp;DYN_ARGS=TRUE&amp;VAR:ID1=221353&amp;VAR:RCODE=STLD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62__FDSAUDITLINK__" localSheetId="8" hidden="1">{"fdsup://IBCentral/FAT Viewer?action=UPDATE&amp;creator=factset&amp;DOC_NAME=fat:reuters_qtrly_source_window.fat&amp;display_string=Audit&amp;DYN_ARGS=TRUE&amp;VAR:ID1=221353&amp;VAR:RCODE=SCSI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62__FDSAUDITLINK__" hidden="1">{"fdsup://IBCentral/FAT Viewer?action=UPDATE&amp;creator=factset&amp;DOC_NAME=fat:reuters_qtrly_source_window.fat&amp;display_string=Audit&amp;DYN_ARGS=TRUE&amp;VAR:ID1=221353&amp;VAR:RCODE=SCSI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63__FDSAUDITLINK__" localSheetId="8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863__FDSAUDITLINK__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864__FDSAUDITLINK__" localSheetId="8" hidden="1">{"fdsup://IBCentral/FAT Viewer?action=UPDATE&amp;creator=factset&amp;DOC_NAME=fat:reuters_qtrly_source_window.fat&amp;display_string=Audit&amp;DYN_ARGS=TRUE&amp;VAR:ID1=221353&amp;VAR:RCODE=AEQI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64__FDSAUDITLINK__" hidden="1">{"fdsup://IBCentral/FAT Viewer?action=UPDATE&amp;creator=factset&amp;DOC_NAME=fat:reuters_qtrly_source_window.fat&amp;display_string=Audit&amp;DYN_ARGS=TRUE&amp;VAR:ID1=221353&amp;VAR:RCODE=AEQI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65__FDSAUDITLINK__" localSheetId="8" hidden="1">{"fdsup://IBCentral/FAT Viewer?action=UPDATE&amp;creator=factset&amp;DOC_NAME=fat:reuters_qtrly_source_window.fat&amp;display_string=Audit&amp;DYN_ARGS=TRUE&amp;VAR:ID1=221353&amp;VAR:RCODE=LMIN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65__FDSAUDITLINK__" hidden="1">{"fdsup://IBCentral/FAT Viewer?action=UPDATE&amp;creator=factset&amp;DOC_NAME=fat:reuters_qtrly_source_window.fat&amp;display_string=Audit&amp;DYN_ARGS=TRUE&amp;VAR:ID1=221353&amp;VAR:RCODE=LMIN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66__FDSAUDITLINK__" localSheetId="8" hidden="1">{"fdsup://IBCentral/FAT Viewer?action=UPDATE&amp;creator=factset&amp;DOC_NAME=fat:reuters_qtrly_source_window.fat&amp;display_string=Audit&amp;DYN_ARGS=TRUE&amp;VAR:ID1=221353&amp;VAR:RCODE=STLD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66__FDSAUDITLINK__" hidden="1">{"fdsup://IBCentral/FAT Viewer?action=UPDATE&amp;creator=factset&amp;DOC_NAME=fat:reuters_qtrly_source_window.fat&amp;display_string=Audit&amp;DYN_ARGS=TRUE&amp;VAR:ID1=221353&amp;VAR:RCODE=STLD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67__FDSAUDITLINK__" localSheetId="8" hidden="1">{"fdsup://IBCentral/FAT Viewer?action=UPDATE&amp;creator=factset&amp;DOC_NAME=fat:reuters_qtrly_source_window.fat&amp;display_string=Audit&amp;DYN_ARGS=TRUE&amp;VAR:ID1=221353&amp;VAR:RCODE=SCSI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67__FDSAUDITLINK__" hidden="1">{"fdsup://IBCentral/FAT Viewer?action=UPDATE&amp;creator=factset&amp;DOC_NAME=fat:reuters_qtrly_source_window.fat&amp;display_string=Audit&amp;DYN_ARGS=TRUE&amp;VAR:ID1=221353&amp;VAR:RCODE=SCSI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68__FDSAUDITLINK__" localSheetId="8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868__FDSAUDITLINK__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869__FDSAUDITLINK__" localSheetId="8" hidden="1">{"fdsup://IBCentral/FAT Viewer?action=UPDATE&amp;creator=factset&amp;DOC_NAME=fat:reuters_qtrly_source_window.fat&amp;display_string=Audit&amp;DYN_ARGS=TRUE&amp;VAR:ID1=221353&amp;VAR:RCODE=AEQI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69__FDSAUDITLINK__" hidden="1">{"fdsup://IBCentral/FAT Viewer?action=UPDATE&amp;creator=factset&amp;DOC_NAME=fat:reuters_qtrly_source_window.fat&amp;display_string=Audit&amp;DYN_ARGS=TRUE&amp;VAR:ID1=221353&amp;VAR:RCODE=AEQI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7__123Graph_LBL_CCHART_23" hidden="1">#REF!</definedName>
    <definedName name="_187__FDSAUDITLINK__" localSheetId="8" hidden="1">{"fdsup://directions/FAT Viewer?action=UPDATE&amp;creator=factset&amp;DYN_ARGS=TRUE&amp;DOC_NAME=FAT:FQL_AUDITING_CLIENT_TEMPLATE.FAT&amp;display_string=Audit&amp;VAR:KEY=DCJWZCVYNW&amp;VAR:QUERY=RkZfRUJJVF9JQignQU5OJywzNjM0MSwsLCwnR0JQJyk=&amp;WINDOW=FIRST_POPUP&amp;HEIGHT=450&amp;WIDTH=450&amp;","START_MAXIMIZED=FALSE&amp;VAR:CALENDAR=FIVEDAY&amp;VAR:SYMBOL=B2425G&amp;VAR:INDEX=0"}</definedName>
    <definedName name="_187__FDSAUDITLINK__" hidden="1">{"fdsup://Directions/FactSet Auditing Viewer?action=AUDIT_VALUE&amp;DB=129&amp;ID1=92916010&amp;VALUEID=18280&amp;SDATE=2011&amp;PERIODTYPE=ANN_STD&amp;SCFT=3&amp;window=popup_no_bar&amp;width=385&amp;height=120&amp;START_MAXIMIZED=FALSE&amp;creator=factset&amp;display_string=Audit"}</definedName>
    <definedName name="_187__FDSAUDITLINK___1" localSheetId="8" hidden="1">{"fdsup://directions/FAT Viewer?action=UPDATE&amp;creator=factset&amp;DYN_ARGS=TRUE&amp;DOC_NAME=FAT:FQL_AUDITING_CLIENT_TEMPLATE.FAT&amp;display_string=Audit&amp;VAR:KEY=DCJWZCVYNW&amp;VAR:QUERY=RkZfRUJJVF9JQignQU5OJywzNjM0MSwsLCwnR0JQJyk=&amp;WINDOW=FIRST_POPUP&amp;HEIGHT=450&amp;WIDTH=450&amp;","START_MAXIMIZED=FALSE&amp;VAR:CALENDAR=FIVEDAY&amp;VAR:SYMBOL=B2425G&amp;VAR:INDEX=0"}</definedName>
    <definedName name="_187__FDSAUDITLINK___1" hidden="1">{"fdsup://directions/FAT Viewer?action=UPDATE&amp;creator=factset&amp;DYN_ARGS=TRUE&amp;DOC_NAME=FAT:FQL_AUDITING_CLIENT_TEMPLATE.FAT&amp;display_string=Audit&amp;VAR:KEY=DCJWZCVYNW&amp;VAR:QUERY=RkZfRUJJVF9JQignQU5OJywzNjM0MSwsLCwnR0JQJyk=&amp;WINDOW=FIRST_POPUP&amp;HEIGHT=450&amp;WIDTH=450&amp;","START_MAXIMIZED=FALSE&amp;VAR:CALENDAR=FIVEDAY&amp;VAR:SYMBOL=B2425G&amp;VAR:INDEX=0"}</definedName>
    <definedName name="_1870__FDSAUDITLINK__" localSheetId="8" hidden="1">{"fdsup://IBCentral/FAT Viewer?action=UPDATE&amp;creator=factset&amp;DOC_NAME=fat:reuters_qtrly_source_window.fat&amp;display_string=Audit&amp;DYN_ARGS=TRUE&amp;VAR:ID1=221353&amp;VAR:RCODE=LMIN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70__FDSAUDITLINK__" hidden="1">{"fdsup://IBCentral/FAT Viewer?action=UPDATE&amp;creator=factset&amp;DOC_NAME=fat:reuters_qtrly_source_window.fat&amp;display_string=Audit&amp;DYN_ARGS=TRUE&amp;VAR:ID1=221353&amp;VAR:RCODE=LMIN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71__FDSAUDITLINK__" localSheetId="8" hidden="1">{"fdsup://IBCentral/FAT Viewer?action=UPDATE&amp;creator=factset&amp;DOC_NAME=fat:reuters_qtrly_source_window.fat&amp;display_string=Audit&amp;DYN_ARGS=TRUE&amp;VAR:ID1=221353&amp;VAR:RCODE=STLD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71__FDSAUDITLINK__" hidden="1">{"fdsup://IBCentral/FAT Viewer?action=UPDATE&amp;creator=factset&amp;DOC_NAME=fat:reuters_qtrly_source_window.fat&amp;display_string=Audit&amp;DYN_ARGS=TRUE&amp;VAR:ID1=221353&amp;VAR:RCODE=STLD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72__FDSAUDITLINK__" localSheetId="8" hidden="1">{"fdsup://IBCentral/FAT Viewer?action=UPDATE&amp;creator=factset&amp;DOC_NAME=fat:reuters_qtrly_source_window.fat&amp;display_string=Audit&amp;DYN_ARGS=TRUE&amp;VAR:ID1=221353&amp;VAR:RCODE=SCSI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72__FDSAUDITLINK__" hidden="1">{"fdsup://IBCentral/FAT Viewer?action=UPDATE&amp;creator=factset&amp;DOC_NAME=fat:reuters_qtrly_source_window.fat&amp;display_string=Audit&amp;DYN_ARGS=TRUE&amp;VAR:ID1=221353&amp;VAR:RCODE=SCSI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73__FDSAUDITLINK__" localSheetId="8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873__FDSAUDITLINK__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874__FDSAUDITLINK__" localSheetId="8" hidden="1">{"fdsup://IBCentral/FAT Viewer?action=UPDATE&amp;creator=factset&amp;DOC_NAME=fat:reuters_qtrly_source_window.fat&amp;display_string=Audit&amp;DYN_ARGS=TRUE&amp;VAR:ID1=221353&amp;VAR:RCODE=AEQI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74__FDSAUDITLINK__" hidden="1">{"fdsup://IBCentral/FAT Viewer?action=UPDATE&amp;creator=factset&amp;DOC_NAME=fat:reuters_qtrly_source_window.fat&amp;display_string=Audit&amp;DYN_ARGS=TRUE&amp;VAR:ID1=221353&amp;VAR:RCODE=AEQI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75__FDSAUDITLINK__" localSheetId="8" hidden="1">{"fdsup://IBCentral/FAT Viewer?action=UPDATE&amp;creator=factset&amp;DOC_NAME=fat:reuters_qtrly_source_window.fat&amp;display_string=Audit&amp;DYN_ARGS=TRUE&amp;VAR:ID1=221353&amp;VAR:RCODE=LMIN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75__FDSAUDITLINK__" hidden="1">{"fdsup://IBCentral/FAT Viewer?action=UPDATE&amp;creator=factset&amp;DOC_NAME=fat:reuters_qtrly_source_window.fat&amp;display_string=Audit&amp;DYN_ARGS=TRUE&amp;VAR:ID1=221353&amp;VAR:RCODE=LMIN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76__FDSAUDITLINK__" localSheetId="8" hidden="1">{"fdsup://IBCentral/FAT Viewer?action=UPDATE&amp;creator=factset&amp;DOC_NAME=fat:reuters_qtrly_source_window.fat&amp;display_string=Audit&amp;DYN_ARGS=TRUE&amp;VAR:ID1=221353&amp;VAR:RCODE=STLD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76__FDSAUDITLINK__" hidden="1">{"fdsup://IBCentral/FAT Viewer?action=UPDATE&amp;creator=factset&amp;DOC_NAME=fat:reuters_qtrly_source_window.fat&amp;display_string=Audit&amp;DYN_ARGS=TRUE&amp;VAR:ID1=221353&amp;VAR:RCODE=STLD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77__FDSAUDITLINK__" localSheetId="8" hidden="1">{"fdsup://IBCentral/FAT Viewer?action=UPDATE&amp;creator=factset&amp;DOC_NAME=fat:reuters_qtrly_source_window.fat&amp;display_string=Audit&amp;DYN_ARGS=TRUE&amp;VAR:ID1=221353&amp;VAR:RCODE=SCSI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77__FDSAUDITLINK__" hidden="1">{"fdsup://IBCentral/FAT Viewer?action=UPDATE&amp;creator=factset&amp;DOC_NAME=fat:reuters_qtrly_source_window.fat&amp;display_string=Audit&amp;DYN_ARGS=TRUE&amp;VAR:ID1=221353&amp;VAR:RCODE=SCSI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78__FDSAUDITLINK__" localSheetId="8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878__FDSAUDITLINK__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879__FDSAUDITLINK__" localSheetId="8" hidden="1">{"fdsup://IBCentral/FAT Viewer?action=UPDATE&amp;creator=factset&amp;DOC_NAME=fat:reuters_qtrly_source_window.fat&amp;display_string=Audit&amp;DYN_ARGS=TRUE&amp;VAR:ID1=221353&amp;VAR:RCODE=AEQI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79__FDSAUDITLINK__" hidden="1">{"fdsup://IBCentral/FAT Viewer?action=UPDATE&amp;creator=factset&amp;DOC_NAME=fat:reuters_qtrly_source_window.fat&amp;display_string=Audit&amp;DYN_ARGS=TRUE&amp;VAR:ID1=221353&amp;VAR:RCODE=AEQI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8__123Graph_LBL_CCHART_3" hidden="1">#REF!</definedName>
    <definedName name="_188__FDSAUDITLINK__" localSheetId="8" hidden="1">{"fdsup://directions/FAT Viewer?action=UPDATE&amp;creator=factset&amp;DYN_ARGS=TRUE&amp;DOC_NAME=FAT:FQL_AUDITING_CLIENT_TEMPLATE.FAT&amp;display_string=Audit&amp;VAR:KEY=TYZGVGNYZE&amp;VAR:QUERY=RkZfRUJJVF9JQignQU5OJywzNTk3NiwsLCwnR0JQJyk=&amp;WINDOW=FIRST_POPUP&amp;HEIGHT=450&amp;WIDTH=450&amp;","START_MAXIMIZED=FALSE&amp;VAR:CALENDAR=FIVEDAY&amp;VAR:SYMBOL=B2425G&amp;VAR:INDEX=0"}</definedName>
    <definedName name="_188__FDSAUDITLINK__" hidden="1">{"fdsup://Directions/FactSet Auditing Viewer?action=AUDIT_VALUE&amp;DB=129&amp;ID1=88249110&amp;VALUEID=18280&amp;SDATE=2011&amp;PERIODTYPE=ANN_STD&amp;SCFT=3&amp;window=popup_no_bar&amp;width=385&amp;height=120&amp;START_MAXIMIZED=FALSE&amp;creator=factset&amp;display_string=Audit"}</definedName>
    <definedName name="_188__FDSAUDITLINK___1" localSheetId="8" hidden="1">{"fdsup://directions/FAT Viewer?action=UPDATE&amp;creator=factset&amp;DYN_ARGS=TRUE&amp;DOC_NAME=FAT:FQL_AUDITING_CLIENT_TEMPLATE.FAT&amp;display_string=Audit&amp;VAR:KEY=TYZGVGNYZE&amp;VAR:QUERY=RkZfRUJJVF9JQignQU5OJywzNTk3NiwsLCwnR0JQJyk=&amp;WINDOW=FIRST_POPUP&amp;HEIGHT=450&amp;WIDTH=450&amp;","START_MAXIMIZED=FALSE&amp;VAR:CALENDAR=FIVEDAY&amp;VAR:SYMBOL=B2425G&amp;VAR:INDEX=0"}</definedName>
    <definedName name="_188__FDSAUDITLINK___1" hidden="1">{"fdsup://directions/FAT Viewer?action=UPDATE&amp;creator=factset&amp;DYN_ARGS=TRUE&amp;DOC_NAME=FAT:FQL_AUDITING_CLIENT_TEMPLATE.FAT&amp;display_string=Audit&amp;VAR:KEY=TYZGVGNYZE&amp;VAR:QUERY=RkZfRUJJVF9JQignQU5OJywzNTk3NiwsLCwnR0JQJyk=&amp;WINDOW=FIRST_POPUP&amp;HEIGHT=450&amp;WIDTH=450&amp;","START_MAXIMIZED=FALSE&amp;VAR:CALENDAR=FIVEDAY&amp;VAR:SYMBOL=B2425G&amp;VAR:INDEX=0"}</definedName>
    <definedName name="_1880__FDSAUDITLINK__" localSheetId="8" hidden="1">{"fdsup://IBCentral/FAT Viewer?action=UPDATE&amp;creator=factset&amp;DOC_NAME=fat:reuters_qtrly_source_window.fat&amp;display_string=Audit&amp;DYN_ARGS=TRUE&amp;VAR:ID1=221353&amp;VAR:RCODE=LMIN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80__FDSAUDITLINK__" hidden="1">{"fdsup://IBCentral/FAT Viewer?action=UPDATE&amp;creator=factset&amp;DOC_NAME=fat:reuters_qtrly_source_window.fat&amp;display_string=Audit&amp;DYN_ARGS=TRUE&amp;VAR:ID1=221353&amp;VAR:RCODE=LMIN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81__FDSAUDITLINK__" localSheetId="8" hidden="1">{"fdsup://IBCentral/FAT Viewer?action=UPDATE&amp;creator=factset&amp;DOC_NAME=fat:reuters_qtrly_source_window.fat&amp;display_string=Audit&amp;DYN_ARGS=TRUE&amp;VAR:ID1=221353&amp;VAR:RCODE=STLD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81__FDSAUDITLINK__" hidden="1">{"fdsup://IBCentral/FAT Viewer?action=UPDATE&amp;creator=factset&amp;DOC_NAME=fat:reuters_qtrly_source_window.fat&amp;display_string=Audit&amp;DYN_ARGS=TRUE&amp;VAR:ID1=221353&amp;VAR:RCODE=STLD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82__FDSAUDITLINK__" localSheetId="8" hidden="1">{"fdsup://IBCentral/FAT Viewer?action=UPDATE&amp;creator=factset&amp;DOC_NAME=fat:reuters_qtrly_source_window.fat&amp;display_string=Audit&amp;DYN_ARGS=TRUE&amp;VAR:ID1=221353&amp;VAR:RCODE=SCSI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82__FDSAUDITLINK__" hidden="1">{"fdsup://IBCentral/FAT Viewer?action=UPDATE&amp;creator=factset&amp;DOC_NAME=fat:reuters_qtrly_source_window.fat&amp;display_string=Audit&amp;DYN_ARGS=TRUE&amp;VAR:ID1=221353&amp;VAR:RCODE=SCSI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83__FDSAUDITLINK__" localSheetId="8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883__FDSAUDITLINK__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884__FDSAUDITLINK__" localSheetId="8" hidden="1">{"fdsup://IBCentral/FAT Viewer?action=UPDATE&amp;creator=factset&amp;DOC_NAME=fat:reuters_qtrly_source_window.fat&amp;display_string=Audit&amp;DYN_ARGS=TRUE&amp;VAR:ID1=221353&amp;VAR:RCODE=AEQI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84__FDSAUDITLINK__" hidden="1">{"fdsup://IBCentral/FAT Viewer?action=UPDATE&amp;creator=factset&amp;DOC_NAME=fat:reuters_qtrly_source_window.fat&amp;display_string=Audit&amp;DYN_ARGS=TRUE&amp;VAR:ID1=221353&amp;VAR:RCODE=AEQI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85__FDSAUDITLINK__" localSheetId="8" hidden="1">{"fdsup://IBCentral/FAT Viewer?action=UPDATE&amp;creator=factset&amp;DOC_NAME=fat:reuters_qtrly_source_window.fat&amp;display_string=Audit&amp;DYN_ARGS=TRUE&amp;VAR:ID1=221353&amp;VAR:RCODE=LMIN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85__FDSAUDITLINK__" hidden="1">{"fdsup://IBCentral/FAT Viewer?action=UPDATE&amp;creator=factset&amp;DOC_NAME=fat:reuters_qtrly_source_window.fat&amp;display_string=Audit&amp;DYN_ARGS=TRUE&amp;VAR:ID1=221353&amp;VAR:RCODE=LMIN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86__FDSAUDITLINK__" localSheetId="8" hidden="1">{"fdsup://IBCentral/FAT Viewer?action=UPDATE&amp;creator=factset&amp;DOC_NAME=fat:reuters_qtrly_source_window.fat&amp;display_string=Audit&amp;DYN_ARGS=TRUE&amp;VAR:ID1=221353&amp;VAR:RCODE=STLD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86__FDSAUDITLINK__" hidden="1">{"fdsup://IBCentral/FAT Viewer?action=UPDATE&amp;creator=factset&amp;DOC_NAME=fat:reuters_qtrly_source_window.fat&amp;display_string=Audit&amp;DYN_ARGS=TRUE&amp;VAR:ID1=221353&amp;VAR:RCODE=STLD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87__FDSAUDITLINK__" localSheetId="8" hidden="1">{"fdsup://IBCentral/FAT Viewer?action=UPDATE&amp;creator=factset&amp;DOC_NAME=fat:reuters_qtrly_source_window.fat&amp;display_string=Audit&amp;DYN_ARGS=TRUE&amp;VAR:ID1=221353&amp;VAR:RCODE=SCSI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87__FDSAUDITLINK__" hidden="1">{"fdsup://IBCentral/FAT Viewer?action=UPDATE&amp;creator=factset&amp;DOC_NAME=fat:reuters_qtrly_source_window.fat&amp;display_string=Audit&amp;DYN_ARGS=TRUE&amp;VAR:ID1=221353&amp;VAR:RCODE=SCSI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88__FDSAUDITLINK__" localSheetId="8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888__FDSAUDITLINK__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889__FDSAUDITLINK__" localSheetId="8" hidden="1">{"fdsup://IBCentral/FAT Viewer?action=UPDATE&amp;creator=factset&amp;DOC_NAME=fat:reuters_qtrly_source_window.fat&amp;display_string=Audit&amp;DYN_ARGS=TRUE&amp;VAR:ID1=221353&amp;VAR:RCODE=AEQI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89__FDSAUDITLINK__" hidden="1">{"fdsup://IBCentral/FAT Viewer?action=UPDATE&amp;creator=factset&amp;DOC_NAME=fat:reuters_qtrly_source_window.fat&amp;display_string=Audit&amp;DYN_ARGS=TRUE&amp;VAR:ID1=221353&amp;VAR:RCODE=AEQI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9__123Graph_LBL_CCHART_4" hidden="1">#REF!</definedName>
    <definedName name="_189__FDSAUDITLINK__" localSheetId="8" hidden="1">{"fdsup://directions/FAT Viewer?action=UPDATE&amp;creator=factset&amp;DYN_ARGS=TRUE&amp;DOC_NAME=FAT:FQL_AUDITING_CLIENT_TEMPLATE.FAT&amp;display_string=Audit&amp;VAR:KEY=JGLOJMXGJS&amp;VAR:QUERY=RkZfRUJJVF9JQignQU5OJywzNTYxMSwsLCwnR0JQJyk=&amp;WINDOW=FIRST_POPUP&amp;HEIGHT=450&amp;WIDTH=450&amp;","START_MAXIMIZED=FALSE&amp;VAR:CALENDAR=FIVEDAY&amp;VAR:SYMBOL=B2425G&amp;VAR:INDEX=0"}</definedName>
    <definedName name="_189__FDSAUDITLINK__" hidden="1">{"fdsup://directions/FAT Viewer?action=UPDATE&amp;creator=factset&amp;DYN_ARGS=TRUE&amp;DOC_NAME=FAT:FQL_AUDITING_CLIENT_TEMPLATE.FAT&amp;display_string=Audit&amp;VAR:KEY=JGLOJMXGJS&amp;VAR:QUERY=RkZfRUJJVF9JQignQU5OJywzNTYxMSwsLCwnR0JQJyk=&amp;WINDOW=FIRST_POPUP&amp;HEIGHT=450&amp;WIDTH=450&amp;","START_MAXIMIZED=FALSE&amp;VAR:CALENDAR=FIVEDAY&amp;VAR:SYMBOL=B2425G&amp;VAR:INDEX=0"}</definedName>
    <definedName name="_189__FDSAUDITLINK___1" localSheetId="8" hidden="1">{"fdsup://directions/FAT Viewer?action=UPDATE&amp;creator=factset&amp;DYN_ARGS=TRUE&amp;DOC_NAME=FAT:FQL_AUDITING_CLIENT_TEMPLATE.FAT&amp;display_string=Audit&amp;VAR:KEY=JGLOJMXGJS&amp;VAR:QUERY=RkZfRUJJVF9JQignQU5OJywzNTYxMSwsLCwnR0JQJyk=&amp;WINDOW=FIRST_POPUP&amp;HEIGHT=450&amp;WIDTH=450&amp;","START_MAXIMIZED=FALSE&amp;VAR:CALENDAR=FIVEDAY&amp;VAR:SYMBOL=B2425G&amp;VAR:INDEX=0"}</definedName>
    <definedName name="_189__FDSAUDITLINK___1" hidden="1">{"fdsup://directions/FAT Viewer?action=UPDATE&amp;creator=factset&amp;DYN_ARGS=TRUE&amp;DOC_NAME=FAT:FQL_AUDITING_CLIENT_TEMPLATE.FAT&amp;display_string=Audit&amp;VAR:KEY=JGLOJMXGJS&amp;VAR:QUERY=RkZfRUJJVF9JQignQU5OJywzNTYxMSwsLCwnR0JQJyk=&amp;WINDOW=FIRST_POPUP&amp;HEIGHT=450&amp;WIDTH=450&amp;","START_MAXIMIZED=FALSE&amp;VAR:CALENDAR=FIVEDAY&amp;VAR:SYMBOL=B2425G&amp;VAR:INDEX=0"}</definedName>
    <definedName name="_1890__FDSAUDITLINK__" localSheetId="8" hidden="1">{"fdsup://IBCentral/FAT Viewer?action=UPDATE&amp;creator=factset&amp;DOC_NAME=fat:reuters_qtrly_source_window.fat&amp;display_string=Audit&amp;DYN_ARGS=TRUE&amp;VAR:ID1=221353&amp;VAR:RCODE=LMIN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90__FDSAUDITLINK__" hidden="1">{"fdsup://IBCentral/FAT Viewer?action=UPDATE&amp;creator=factset&amp;DOC_NAME=fat:reuters_qtrly_source_window.fat&amp;display_string=Audit&amp;DYN_ARGS=TRUE&amp;VAR:ID1=221353&amp;VAR:RCODE=LMIN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91__FDSAUDITLINK__" localSheetId="8" hidden="1">{"fdsup://IBCentral/FAT Viewer?action=UPDATE&amp;creator=factset&amp;DOC_NAME=fat:reuters_qtrly_source_window.fat&amp;display_string=Audit&amp;DYN_ARGS=TRUE&amp;VAR:ID1=221353&amp;VAR:RCODE=STLD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91__FDSAUDITLINK__" hidden="1">{"fdsup://IBCentral/FAT Viewer?action=UPDATE&amp;creator=factset&amp;DOC_NAME=fat:reuters_qtrly_source_window.fat&amp;display_string=Audit&amp;DYN_ARGS=TRUE&amp;VAR:ID1=221353&amp;VAR:RCODE=STLD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92__FDSAUDITLINK__" localSheetId="8" hidden="1">{"fdsup://IBCentral/FAT Viewer?action=UPDATE&amp;creator=factset&amp;DOC_NAME=fat:reuters_qtrly_source_window.fat&amp;display_string=Audit&amp;DYN_ARGS=TRUE&amp;VAR:ID1=221353&amp;VAR:RCODE=SCSI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92__FDSAUDITLINK__" hidden="1">{"fdsup://IBCentral/FAT Viewer?action=UPDATE&amp;creator=factset&amp;DOC_NAME=fat:reuters_qtrly_source_window.fat&amp;display_string=Audit&amp;DYN_ARGS=TRUE&amp;VAR:ID1=221353&amp;VAR:RCODE=SCSI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93__FDSAUDITLINK__" localSheetId="8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893__FDSAUDITLINK__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894__FDSAUDITLINK__" localSheetId="8" hidden="1">{"fdsup://IBCentral/FAT Viewer?action=UPDATE&amp;creator=factset&amp;DOC_NAME=fat:reuters_qtrly_source_window.fat&amp;display_string=Audit&amp;DYN_ARGS=TRUE&amp;VAR:ID1=221353&amp;VAR:RCODE=AEQI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94__FDSAUDITLINK__" hidden="1">{"fdsup://IBCentral/FAT Viewer?action=UPDATE&amp;creator=factset&amp;DOC_NAME=fat:reuters_qtrly_source_window.fat&amp;display_string=Audit&amp;DYN_ARGS=TRUE&amp;VAR:ID1=221353&amp;VAR:RCODE=AEQI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95__FDSAUDITLINK__" localSheetId="8" hidden="1">{"fdsup://IBCentral/FAT Viewer?action=UPDATE&amp;creator=factset&amp;DOC_NAME=fat:reuters_qtrly_source_window.fat&amp;display_string=Audit&amp;DYN_ARGS=TRUE&amp;VAR:ID1=221353&amp;VAR:RCODE=LMIN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95__FDSAUDITLINK__" hidden="1">{"fdsup://IBCentral/FAT Viewer?action=UPDATE&amp;creator=factset&amp;DOC_NAME=fat:reuters_qtrly_source_window.fat&amp;display_string=Audit&amp;DYN_ARGS=TRUE&amp;VAR:ID1=221353&amp;VAR:RCODE=LMIN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96__FDSAUDITLINK__" localSheetId="8" hidden="1">{"fdsup://IBCentral/FAT Viewer?action=UPDATE&amp;creator=factset&amp;DOC_NAME=fat:reuters_qtrly_source_window.fat&amp;display_string=Audit&amp;DYN_ARGS=TRUE&amp;VAR:ID1=221353&amp;VAR:RCODE=STLD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96__FDSAUDITLINK__" hidden="1">{"fdsup://IBCentral/FAT Viewer?action=UPDATE&amp;creator=factset&amp;DOC_NAME=fat:reuters_qtrly_source_window.fat&amp;display_string=Audit&amp;DYN_ARGS=TRUE&amp;VAR:ID1=221353&amp;VAR:RCODE=STLD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97__FDSAUDITLINK__" localSheetId="8" hidden="1">{"fdsup://IBCentral/FAT Viewer?action=UPDATE&amp;creator=factset&amp;DOC_NAME=fat:reuters_qtrly_source_window.fat&amp;display_string=Audit&amp;DYN_ARGS=TRUE&amp;VAR:ID1=221353&amp;VAR:RCODE=SCSI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97__FDSAUDITLINK__" hidden="1">{"fdsup://IBCentral/FAT Viewer?action=UPDATE&amp;creator=factset&amp;DOC_NAME=fat:reuters_qtrly_source_window.fat&amp;display_string=Audit&amp;DYN_ARGS=TRUE&amp;VAR:ID1=221353&amp;VAR:RCODE=SCSI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98__FDSAUDITLINK__" localSheetId="8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898__FDSAUDITLINK__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899__FDSAUDITLINK__" localSheetId="8" hidden="1">{"fdsup://IBCentral/FAT Viewer?action=UPDATE&amp;creator=factset&amp;DOC_NAME=fat:reuters_qtrly_source_window.fat&amp;display_string=Audit&amp;DYN_ARGS=TRUE&amp;VAR:ID1=221353&amp;VAR:RCODE=AEQI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99__FDSAUDITLINK__" hidden="1">{"fdsup://IBCentral/FAT Viewer?action=UPDATE&amp;creator=factset&amp;DOC_NAME=fat:reuters_qtrly_source_window.fat&amp;display_string=Audit&amp;DYN_ARGS=TRUE&amp;VAR:ID1=221353&amp;VAR:RCODE=AEQI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ACwvu.Pag" hidden="1">#REF!</definedName>
    <definedName name="_19__123Graph_ACHART_14" hidden="1">#REF!</definedName>
    <definedName name="_19__123Graph_ACHART_3" localSheetId="8" hidden="1">#REF!</definedName>
    <definedName name="_19__123Graph_ACHART_3" hidden="1">#REF!</definedName>
    <definedName name="_19__123Graph_ACHART_6" hidden="1">#N/A</definedName>
    <definedName name="_19__123Graph_BCHART_1" hidden="1">#REF!</definedName>
    <definedName name="_19__123Graph_BCHART_12" hidden="1">#REF!</definedName>
    <definedName name="_19__123Graph_BGRAFICO_4" localSheetId="8" hidden="1">#REF!</definedName>
    <definedName name="_19__123Graph_BGRAFICO_4" hidden="1">#REF!</definedName>
    <definedName name="_19__123Graph_CCHART_6" localSheetId="8" hidden="1">#REF!</definedName>
    <definedName name="_19__123Graph_CCHART_6" hidden="1">#REF!</definedName>
    <definedName name="_19__123Graph_DCHART_7" hidden="1">#REF!</definedName>
    <definedName name="_19__123Graph_LBL_FGRAFICO_20" hidden="1">#REF!</definedName>
    <definedName name="_19__123Graph_XCHART_11" hidden="1">#REF!</definedName>
    <definedName name="_19__123Graph_XCHART_6" hidden="1">#REF!</definedName>
    <definedName name="_19__FDSAUDITLINK__" localSheetId="8" hidden="1">{"fdsup://directions/FAT Viewer?action=UPDATE&amp;creator=factset&amp;DYN_ARGS=TRUE&amp;DOC_NAME=FAT:FQL_AUDITING_CLIENT_TEMPLATE.FAT&amp;display_string=Audit&amp;VAR:KEY=YVQRQPQRIH&amp;VAR:QUERY=RkZfRUJJVF9JQihBTk4sMzY4OTEsLCwsRVVSKQ==&amp;WINDOW=FIRST_POPUP&amp;HEIGHT=450&amp;WIDTH=450&amp;STAR","T_MAXIMIZED=FALSE&amp;VAR:CALENDAR=FIVEDAY&amp;VAR:SYMBOL=591344&amp;VAR:INDEX=0"}</definedName>
    <definedName name="_19__FDSAUDITLINK__" hidden="1">{"fdsup://directions/FAT Viewer?action=UPDATE&amp;creator=factset&amp;DYN_ARGS=TRUE&amp;DOC_NAME=FAT:FQL_AUDITING_CLIENT_TEMPLATE.FAT&amp;display_string=Audit&amp;VAR:KEY=WRWLAVWXMZ&amp;VAR:QUERY=RkZfU0FMRVMoQ0FMLDIwMTEp&amp;WINDOW=FIRST_POPUP&amp;HEIGHT=450&amp;WIDTH=450&amp;START_MAXIMIZED=FALS","E&amp;VAR:CALENDAR=US&amp;VAR:SYMBOL=EXP&amp;VAR:INDEX=0"}</definedName>
    <definedName name="_19__FDSAUDITLINK___1" localSheetId="8" hidden="1">{"fdsup://directions/FAT Viewer?action=UPDATE&amp;creator=factset&amp;DYN_ARGS=TRUE&amp;DOC_NAME=FAT:FQL_AUDITING_CLIENT_TEMPLATE.FAT&amp;display_string=Audit&amp;VAR:KEY=YVQRQPQRIH&amp;VAR:QUERY=RkZfRUJJVF9JQihBTk4sMzY4OTEsLCwsRVVSKQ==&amp;WINDOW=FIRST_POPUP&amp;HEIGHT=450&amp;WIDTH=450&amp;STAR","T_MAXIMIZED=FALSE&amp;VAR:CALENDAR=FIVEDAY&amp;VAR:SYMBOL=591344&amp;VAR:INDEX=0"}</definedName>
    <definedName name="_19__FDSAUDITLINK___1" hidden="1">{"fdsup://directions/FAT Viewer?action=UPDATE&amp;creator=factset&amp;DYN_ARGS=TRUE&amp;DOC_NAME=FAT:FQL_AUDITING_CLIENT_TEMPLATE.FAT&amp;display_string=Audit&amp;VAR:KEY=YVQRQPQRIH&amp;VAR:QUERY=RkZfRUJJVF9JQihBTk4sMzY4OTEsLCwsRVVSKQ==&amp;WINDOW=FIRST_POPUP&amp;HEIGHT=450&amp;WIDTH=450&amp;STAR","T_MAXIMIZED=FALSE&amp;VAR:CALENDAR=FIVEDAY&amp;VAR:SYMBOL=591344&amp;VAR:INDEX=0"}</definedName>
    <definedName name="_19_0_0_K" hidden="1">#REF!</definedName>
    <definedName name="_190__123Graph_LBL_CCHART_7" hidden="1">#REF!</definedName>
    <definedName name="_190__FDSAUDITLINK__" localSheetId="8" hidden="1">{"fdsup://directions/FAT Viewer?action=UPDATE&amp;creator=factset&amp;DYN_ARGS=TRUE&amp;DOC_NAME=FAT:FQL_AUDITING_CLIENT_TEMPLATE.FAT&amp;display_string=Audit&amp;VAR:KEY=JQLORCDEJA&amp;VAR:QUERY=RkZfRUJJVF9JQignQU5OJywzNTI0NiwsLCwnR0JQJyk=&amp;WINDOW=FIRST_POPUP&amp;HEIGHT=450&amp;WIDTH=450&amp;","START_MAXIMIZED=FALSE&amp;VAR:CALENDAR=FIVEDAY&amp;VAR:SYMBOL=B2425G&amp;VAR:INDEX=0"}</definedName>
    <definedName name="_190__FDSAUDITLINK__" hidden="1">{"fdsup://Directions/FactSet Auditing Viewer?action=AUDIT_VALUE&amp;DB=129&amp;ID1=57328410&amp;VALUEID=18280&amp;SDATE=2011&amp;PERIODTYPE=ANN_STD&amp;SCFT=3&amp;window=popup_no_bar&amp;width=385&amp;height=120&amp;START_MAXIMIZED=FALSE&amp;creator=factset&amp;display_string=Audit"}</definedName>
    <definedName name="_190__FDSAUDITLINK___1" localSheetId="8" hidden="1">{"fdsup://directions/FAT Viewer?action=UPDATE&amp;creator=factset&amp;DYN_ARGS=TRUE&amp;DOC_NAME=FAT:FQL_AUDITING_CLIENT_TEMPLATE.FAT&amp;display_string=Audit&amp;VAR:KEY=JQLORCDEJA&amp;VAR:QUERY=RkZfRUJJVF9JQignQU5OJywzNTI0NiwsLCwnR0JQJyk=&amp;WINDOW=FIRST_POPUP&amp;HEIGHT=450&amp;WIDTH=450&amp;","START_MAXIMIZED=FALSE&amp;VAR:CALENDAR=FIVEDAY&amp;VAR:SYMBOL=B2425G&amp;VAR:INDEX=0"}</definedName>
    <definedName name="_190__FDSAUDITLINK___1" hidden="1">{"fdsup://directions/FAT Viewer?action=UPDATE&amp;creator=factset&amp;DYN_ARGS=TRUE&amp;DOC_NAME=FAT:FQL_AUDITING_CLIENT_TEMPLATE.FAT&amp;display_string=Audit&amp;VAR:KEY=JQLORCDEJA&amp;VAR:QUERY=RkZfRUJJVF9JQignQU5OJywzNTI0NiwsLCwnR0JQJyk=&amp;WINDOW=FIRST_POPUP&amp;HEIGHT=450&amp;WIDTH=450&amp;","START_MAXIMIZED=FALSE&amp;VAR:CALENDAR=FIVEDAY&amp;VAR:SYMBOL=B2425G&amp;VAR:INDEX=0"}</definedName>
    <definedName name="_1900__FDSAUDITLINK__" localSheetId="8" hidden="1">{"fdsup://IBCentral/FAT Viewer?action=UPDATE&amp;creator=factset&amp;DOC_NAME=fat:reuters_qtrly_source_window.fat&amp;display_string=Audit&amp;DYN_ARGS=TRUE&amp;VAR:ID1=221353&amp;VAR:RCODE=LMIN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00__FDSAUDITLINK__" hidden="1">{"fdsup://IBCentral/FAT Viewer?action=UPDATE&amp;creator=factset&amp;DOC_NAME=fat:reuters_qtrly_source_window.fat&amp;display_string=Audit&amp;DYN_ARGS=TRUE&amp;VAR:ID1=221353&amp;VAR:RCODE=LMIN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01__FDSAUDITLINK__" localSheetId="8" hidden="1">{"fdsup://IBCentral/FAT Viewer?action=UPDATE&amp;creator=factset&amp;DOC_NAME=fat:reuters_qtrly_source_window.fat&amp;display_string=Audit&amp;DYN_ARGS=TRUE&amp;VAR:ID1=221353&amp;VAR:RCODE=STLD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01__FDSAUDITLINK__" hidden="1">{"fdsup://IBCentral/FAT Viewer?action=UPDATE&amp;creator=factset&amp;DOC_NAME=fat:reuters_qtrly_source_window.fat&amp;display_string=Audit&amp;DYN_ARGS=TRUE&amp;VAR:ID1=221353&amp;VAR:RCODE=STLD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02__FDSAUDITLINK__" localSheetId="8" hidden="1">{"fdsup://IBCentral/FAT Viewer?action=UPDATE&amp;creator=factset&amp;DOC_NAME=fat:reuters_qtrly_source_window.fat&amp;display_string=Audit&amp;DYN_ARGS=TRUE&amp;VAR:ID1=221353&amp;VAR:RCODE=SCSI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02__FDSAUDITLINK__" hidden="1">{"fdsup://IBCentral/FAT Viewer?action=UPDATE&amp;creator=factset&amp;DOC_NAME=fat:reuters_qtrly_source_window.fat&amp;display_string=Audit&amp;DYN_ARGS=TRUE&amp;VAR:ID1=221353&amp;VAR:RCODE=SCSI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03__FDSAUDITLINK__" localSheetId="8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903__FDSAUDITLINK__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904__FDSAUDITLINK__" localSheetId="8" hidden="1">{"fdsup://IBCentral/FAT Viewer?action=UPDATE&amp;creator=factset&amp;DOC_NAME=fat:reuters_qtrly_source_window.fat&amp;display_string=Audit&amp;DYN_ARGS=TRUE&amp;VAR:ID1=221353&amp;VAR:RCODE=AEQI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04__FDSAUDITLINK__" hidden="1">{"fdsup://IBCentral/FAT Viewer?action=UPDATE&amp;creator=factset&amp;DOC_NAME=fat:reuters_qtrly_source_window.fat&amp;display_string=Audit&amp;DYN_ARGS=TRUE&amp;VAR:ID1=221353&amp;VAR:RCODE=AEQI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05__FDSAUDITLINK__" localSheetId="8" hidden="1">{"fdsup://IBCentral/FAT Viewer?action=UPDATE&amp;creator=factset&amp;DOC_NAME=fat:reuters_qtrly_source_window.fat&amp;display_string=Audit&amp;DYN_ARGS=TRUE&amp;VAR:ID1=221353&amp;VAR:RCODE=LMIN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05__FDSAUDITLINK__" hidden="1">{"fdsup://IBCentral/FAT Viewer?action=UPDATE&amp;creator=factset&amp;DOC_NAME=fat:reuters_qtrly_source_window.fat&amp;display_string=Audit&amp;DYN_ARGS=TRUE&amp;VAR:ID1=221353&amp;VAR:RCODE=LMIN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06__FDSAUDITLINK__" localSheetId="8" hidden="1">{"fdsup://IBCentral/FAT Viewer?action=UPDATE&amp;creator=factset&amp;DOC_NAME=fat:reuters_qtrly_source_window.fat&amp;display_string=Audit&amp;DYN_ARGS=TRUE&amp;VAR:ID1=221353&amp;VAR:RCODE=STLD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06__FDSAUDITLINK__" hidden="1">{"fdsup://IBCentral/FAT Viewer?action=UPDATE&amp;creator=factset&amp;DOC_NAME=fat:reuters_qtrly_source_window.fat&amp;display_string=Audit&amp;DYN_ARGS=TRUE&amp;VAR:ID1=221353&amp;VAR:RCODE=STLD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07__FDSAUDITLINK__" localSheetId="8" hidden="1">{"fdsup://IBCentral/FAT Viewer?action=UPDATE&amp;creator=factset&amp;DOC_NAME=fat:reuters_qtrly_source_window.fat&amp;display_string=Audit&amp;DYN_ARGS=TRUE&amp;VAR:ID1=221353&amp;VAR:RCODE=SCSI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07__FDSAUDITLINK__" hidden="1">{"fdsup://IBCentral/FAT Viewer?action=UPDATE&amp;creator=factset&amp;DOC_NAME=fat:reuters_qtrly_source_window.fat&amp;display_string=Audit&amp;DYN_ARGS=TRUE&amp;VAR:ID1=221353&amp;VAR:RCODE=SCSI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08__FDSAUDITLINK__" localSheetId="8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908__FDSAUDITLINK__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909__FDSAUDITLINK__" localSheetId="8" hidden="1">{"fdsup://IBCentral/FAT Viewer?action=UPDATE&amp;creator=factset&amp;DOC_NAME=fat:reuters_qtrly_source_window.fat&amp;display_string=Audit&amp;DYN_ARGS=TRUE&amp;VAR:ID1=221353&amp;VAR:RCODE=AEQI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09__FDSAUDITLINK__" hidden="1">{"fdsup://IBCentral/FAT Viewer?action=UPDATE&amp;creator=factset&amp;DOC_NAME=fat:reuters_qtrly_source_window.fat&amp;display_string=Audit&amp;DYN_ARGS=TRUE&amp;VAR:ID1=221353&amp;VAR:RCODE=AEQI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1__123Graph_LBL_CCHART_8" hidden="1">#REF!</definedName>
    <definedName name="_191__FDSAUDITLINK__" localSheetId="8" hidden="1">{"fdsup://directions/FAT Viewer?action=UPDATE&amp;creator=factset&amp;DYN_ARGS=TRUE&amp;DOC_NAME=FAT:FQL_AUDITING_CLIENT_TEMPLATE.FAT&amp;display_string=Audit&amp;VAR:KEY=FSVOLSFMZE&amp;VAR:QUERY=RkZfRUJJVF9JQignQU5OJywzNDg4MCwsLCwnR0JQJyk=&amp;WINDOW=FIRST_POPUP&amp;HEIGHT=450&amp;WIDTH=450&amp;","START_MAXIMIZED=FALSE&amp;VAR:CALENDAR=FIVEDAY&amp;VAR:SYMBOL=B2425G&amp;VAR:INDEX=0"}</definedName>
    <definedName name="_191__FDSAUDITLINK__" hidden="1">{"fdsup://directions/FAT Viewer?action=UPDATE&amp;creator=factset&amp;DYN_ARGS=TRUE&amp;DOC_NAME=FAT:FQL_AUDITING_CLIENT_TEMPLATE.FAT&amp;display_string=Audit&amp;VAR:KEY=FSVOLSFMZE&amp;VAR:QUERY=RkZfRUJJVF9JQignQU5OJywzNDg4MCwsLCwnR0JQJyk=&amp;WINDOW=FIRST_POPUP&amp;HEIGHT=450&amp;WIDTH=450&amp;","START_MAXIMIZED=FALSE&amp;VAR:CALENDAR=FIVEDAY&amp;VAR:SYMBOL=B2425G&amp;VAR:INDEX=0"}</definedName>
    <definedName name="_191__FDSAUDITLINK___1" localSheetId="8" hidden="1">{"fdsup://directions/FAT Viewer?action=UPDATE&amp;creator=factset&amp;DYN_ARGS=TRUE&amp;DOC_NAME=FAT:FQL_AUDITING_CLIENT_TEMPLATE.FAT&amp;display_string=Audit&amp;VAR:KEY=FSVOLSFMZE&amp;VAR:QUERY=RkZfRUJJVF9JQignQU5OJywzNDg4MCwsLCwnR0JQJyk=&amp;WINDOW=FIRST_POPUP&amp;HEIGHT=450&amp;WIDTH=450&amp;","START_MAXIMIZED=FALSE&amp;VAR:CALENDAR=FIVEDAY&amp;VAR:SYMBOL=B2425G&amp;VAR:INDEX=0"}</definedName>
    <definedName name="_191__FDSAUDITLINK___1" hidden="1">{"fdsup://directions/FAT Viewer?action=UPDATE&amp;creator=factset&amp;DYN_ARGS=TRUE&amp;DOC_NAME=FAT:FQL_AUDITING_CLIENT_TEMPLATE.FAT&amp;display_string=Audit&amp;VAR:KEY=FSVOLSFMZE&amp;VAR:QUERY=RkZfRUJJVF9JQignQU5OJywzNDg4MCwsLCwnR0JQJyk=&amp;WINDOW=FIRST_POPUP&amp;HEIGHT=450&amp;WIDTH=450&amp;","START_MAXIMIZED=FALSE&amp;VAR:CALENDAR=FIVEDAY&amp;VAR:SYMBOL=B2425G&amp;VAR:INDEX=0"}</definedName>
    <definedName name="_1910__FDSAUDITLINK__" localSheetId="8" hidden="1">{"fdsup://IBCentral/FAT Viewer?action=UPDATE&amp;creator=factset&amp;DOC_NAME=fat:reuters_qtrly_source_window.fat&amp;display_string=Audit&amp;DYN_ARGS=TRUE&amp;VAR:ID1=221353&amp;VAR:RCODE=LMIN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10__FDSAUDITLINK__" hidden="1">{"fdsup://IBCentral/FAT Viewer?action=UPDATE&amp;creator=factset&amp;DOC_NAME=fat:reuters_qtrly_source_window.fat&amp;display_string=Audit&amp;DYN_ARGS=TRUE&amp;VAR:ID1=221353&amp;VAR:RCODE=LMIN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11__FDSAUDITLINK__" localSheetId="8" hidden="1">{"fdsup://IBCentral/FAT Viewer?action=UPDATE&amp;creator=factset&amp;DOC_NAME=fat:reuters_qtrly_source_window.fat&amp;display_string=Audit&amp;DYN_ARGS=TRUE&amp;VAR:ID1=221353&amp;VAR:RCODE=STLD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11__FDSAUDITLINK__" hidden="1">{"fdsup://IBCentral/FAT Viewer?action=UPDATE&amp;creator=factset&amp;DOC_NAME=fat:reuters_qtrly_source_window.fat&amp;display_string=Audit&amp;DYN_ARGS=TRUE&amp;VAR:ID1=221353&amp;VAR:RCODE=STLD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12__FDSAUDITLINK__" localSheetId="8" hidden="1">{"fdsup://IBCentral/FAT Viewer?action=UPDATE&amp;creator=factset&amp;DOC_NAME=fat:reuters_qtrly_source_window.fat&amp;display_string=Audit&amp;DYN_ARGS=TRUE&amp;VAR:ID1=221353&amp;VAR:RCODE=SCSI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12__FDSAUDITLINK__" hidden="1">{"fdsup://IBCentral/FAT Viewer?action=UPDATE&amp;creator=factset&amp;DOC_NAME=fat:reuters_qtrly_source_window.fat&amp;display_string=Audit&amp;DYN_ARGS=TRUE&amp;VAR:ID1=221353&amp;VAR:RCODE=SCSI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13__FDSAUDITLINK__" localSheetId="8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913__FDSAUDITLINK__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914__FDSAUDITLINK__" localSheetId="8" hidden="1">{"fdsup://IBCentral/FAT Viewer?action=UPDATE&amp;creator=factset&amp;DOC_NAME=fat:reuters_qtrly_source_window.fat&amp;display_string=Audit&amp;DYN_ARGS=TRUE&amp;VAR:ID1=221353&amp;VAR:RCODE=AEQI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14__FDSAUDITLINK__" hidden="1">{"fdsup://IBCentral/FAT Viewer?action=UPDATE&amp;creator=factset&amp;DOC_NAME=fat:reuters_qtrly_source_window.fat&amp;display_string=Audit&amp;DYN_ARGS=TRUE&amp;VAR:ID1=221353&amp;VAR:RCODE=AEQI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15__FDSAUDITLINK__" localSheetId="8" hidden="1">{"fdsup://IBCentral/FAT Viewer?action=UPDATE&amp;creator=factset&amp;DOC_NAME=fat:reuters_qtrly_source_window.fat&amp;display_string=Audit&amp;DYN_ARGS=TRUE&amp;VAR:ID1=221353&amp;VAR:RCODE=LMIN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15__FDSAUDITLINK__" hidden="1">{"fdsup://IBCentral/FAT Viewer?action=UPDATE&amp;creator=factset&amp;DOC_NAME=fat:reuters_qtrly_source_window.fat&amp;display_string=Audit&amp;DYN_ARGS=TRUE&amp;VAR:ID1=221353&amp;VAR:RCODE=LMIN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16__FDSAUDITLINK__" localSheetId="8" hidden="1">{"fdsup://IBCentral/FAT Viewer?action=UPDATE&amp;creator=factset&amp;DOC_NAME=fat:reuters_qtrly_source_window.fat&amp;display_string=Audit&amp;DYN_ARGS=TRUE&amp;VAR:ID1=221353&amp;VAR:RCODE=STLD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16__FDSAUDITLINK__" hidden="1">{"fdsup://IBCentral/FAT Viewer?action=UPDATE&amp;creator=factset&amp;DOC_NAME=fat:reuters_qtrly_source_window.fat&amp;display_string=Audit&amp;DYN_ARGS=TRUE&amp;VAR:ID1=221353&amp;VAR:RCODE=STLD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17__FDSAUDITLINK__" localSheetId="8" hidden="1">{"fdsup://IBCentral/FAT Viewer?action=UPDATE&amp;creator=factset&amp;DOC_NAME=fat:reuters_qtrly_source_window.fat&amp;display_string=Audit&amp;DYN_ARGS=TRUE&amp;VAR:ID1=221353&amp;VAR:RCODE=SCSI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17__FDSAUDITLINK__" hidden="1">{"fdsup://IBCentral/FAT Viewer?action=UPDATE&amp;creator=factset&amp;DOC_NAME=fat:reuters_qtrly_source_window.fat&amp;display_string=Audit&amp;DYN_ARGS=TRUE&amp;VAR:ID1=221353&amp;VAR:RCODE=SCSI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18__FDSAUDITLINK__" localSheetId="8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918__FDSAUDITLINK__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919__FDSAUDITLINK__" localSheetId="8" hidden="1">{"fdsup://IBCentral/FAT Viewer?action=UPDATE&amp;creator=factset&amp;DOC_NAME=fat:reuters_qtrly_source_window.fat&amp;display_string=Audit&amp;DYN_ARGS=TRUE&amp;VAR:ID1=221353&amp;VAR:RCODE=AEQI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19__FDSAUDITLINK__" hidden="1">{"fdsup://IBCentral/FAT Viewer?action=UPDATE&amp;creator=factset&amp;DOC_NAME=fat:reuters_qtrly_source_window.fat&amp;display_string=Audit&amp;DYN_ARGS=TRUE&amp;VAR:ID1=221353&amp;VAR:RCODE=AEQI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2__123Graph_LBL_DCHART_2" hidden="1">#REF!</definedName>
    <definedName name="_192__FDSAUDITLINK__" localSheetId="8" hidden="1">{"fdsup://directions/FAT Viewer?action=UPDATE&amp;creator=factset&amp;DYN_ARGS=TRUE&amp;DOC_NAME=FAT:FQL_AUDITING_CLIENT_TEMPLATE.FAT&amp;display_string=Audit&amp;VAR:KEY=PKPCJQZCTQ&amp;VAR:QUERY=RkZfRUJJVF9JQignQU5OJywzNDUxNSwsLCwnR0JQJyk=&amp;WINDOW=FIRST_POPUP&amp;HEIGHT=450&amp;WIDTH=450&amp;","START_MAXIMIZED=FALSE&amp;VAR:CALENDAR=FIVEDAY&amp;VAR:SYMBOL=B2425G&amp;VAR:INDEX=0"}</definedName>
    <definedName name="_192__FDSAUDITLINK__" hidden="1">{"fdsup://directions/FAT Viewer?action=UPDATE&amp;creator=factset&amp;DYN_ARGS=TRUE&amp;DOC_NAME=FAT:FQL_AUDITING_CLIENT_TEMPLATE.FAT&amp;display_string=Audit&amp;VAR:KEY=ILCBQBMBGL&amp;VAR:QUERY=RkZfSU5UX0VYUF9ORVQoTFRNLDQxMDM2KQ==&amp;WINDOW=FIRST_POPUP&amp;HEIGHT=450&amp;WIDTH=450&amp;START_MA","XIMIZED=FALSE&amp;VAR:CALENDAR=US&amp;VAR:SYMBOL=MLM&amp;VAR:INDEX=0"}</definedName>
    <definedName name="_192__FDSAUDITLINK___1" localSheetId="8" hidden="1">{"fdsup://directions/FAT Viewer?action=UPDATE&amp;creator=factset&amp;DYN_ARGS=TRUE&amp;DOC_NAME=FAT:FQL_AUDITING_CLIENT_TEMPLATE.FAT&amp;display_string=Audit&amp;VAR:KEY=PKPCJQZCTQ&amp;VAR:QUERY=RkZfRUJJVF9JQignQU5OJywzNDUxNSwsLCwnR0JQJyk=&amp;WINDOW=FIRST_POPUP&amp;HEIGHT=450&amp;WIDTH=450&amp;","START_MAXIMIZED=FALSE&amp;VAR:CALENDAR=FIVEDAY&amp;VAR:SYMBOL=B2425G&amp;VAR:INDEX=0"}</definedName>
    <definedName name="_192__FDSAUDITLINK___1" hidden="1">{"fdsup://directions/FAT Viewer?action=UPDATE&amp;creator=factset&amp;DYN_ARGS=TRUE&amp;DOC_NAME=FAT:FQL_AUDITING_CLIENT_TEMPLATE.FAT&amp;display_string=Audit&amp;VAR:KEY=PKPCJQZCTQ&amp;VAR:QUERY=RkZfRUJJVF9JQignQU5OJywzNDUxNSwsLCwnR0JQJyk=&amp;WINDOW=FIRST_POPUP&amp;HEIGHT=450&amp;WIDTH=450&amp;","START_MAXIMIZED=FALSE&amp;VAR:CALENDAR=FIVEDAY&amp;VAR:SYMBOL=B2425G&amp;VAR:INDEX=0"}</definedName>
    <definedName name="_1920__FDSAUDITLINK__" localSheetId="8" hidden="1">{"fdsup://IBCentral/FAT Viewer?action=UPDATE&amp;creator=factset&amp;DOC_NAME=fat:reuters_qtrly_source_window.fat&amp;display_string=Audit&amp;DYN_ARGS=TRUE&amp;VAR:ID1=221353&amp;VAR:RCODE=LMIN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20__FDSAUDITLINK__" hidden="1">{"fdsup://IBCentral/FAT Viewer?action=UPDATE&amp;creator=factset&amp;DOC_NAME=fat:reuters_qtrly_source_window.fat&amp;display_string=Audit&amp;DYN_ARGS=TRUE&amp;VAR:ID1=221353&amp;VAR:RCODE=LMIN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21__FDSAUDITLINK__" localSheetId="8" hidden="1">{"fdsup://IBCentral/FAT Viewer?action=UPDATE&amp;creator=factset&amp;DOC_NAME=fat:reuters_qtrly_source_window.fat&amp;display_string=Audit&amp;DYN_ARGS=TRUE&amp;VAR:ID1=221353&amp;VAR:RCODE=STLD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21__FDSAUDITLINK__" hidden="1">{"fdsup://IBCentral/FAT Viewer?action=UPDATE&amp;creator=factset&amp;DOC_NAME=fat:reuters_qtrly_source_window.fat&amp;display_string=Audit&amp;DYN_ARGS=TRUE&amp;VAR:ID1=221353&amp;VAR:RCODE=STLD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22__FDSAUDITLINK__" localSheetId="8" hidden="1">{"fdsup://IBCentral/FAT Viewer?action=UPDATE&amp;creator=factset&amp;DOC_NAME=fat:reuters_qtrly_source_window.fat&amp;display_string=Audit&amp;DYN_ARGS=TRUE&amp;VAR:ID1=221353&amp;VAR:RCODE=SCSI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22__FDSAUDITLINK__" hidden="1">{"fdsup://IBCentral/FAT Viewer?action=UPDATE&amp;creator=factset&amp;DOC_NAME=fat:reuters_qtrly_source_window.fat&amp;display_string=Audit&amp;DYN_ARGS=TRUE&amp;VAR:ID1=221353&amp;VAR:RCODE=SCSI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23__FDSAUDITLINK__" localSheetId="8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923__FDSAUDITLINK__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924__FDSAUDITLINK__" localSheetId="8" hidden="1">{"fdsup://IBCentral/FAT Viewer?action=UPDATE&amp;creator=factset&amp;DOC_NAME=fat:reuters_qtrly_source_window.fat&amp;display_string=Audit&amp;DYN_ARGS=TRUE&amp;VAR:ID1=221353&amp;VAR:RCODE=AEQI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24__FDSAUDITLINK__" hidden="1">{"fdsup://IBCentral/FAT Viewer?action=UPDATE&amp;creator=factset&amp;DOC_NAME=fat:reuters_qtrly_source_window.fat&amp;display_string=Audit&amp;DYN_ARGS=TRUE&amp;VAR:ID1=221353&amp;VAR:RCODE=AEQI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25__FDSAUDITLINK__" localSheetId="8" hidden="1">{"fdsup://IBCentral/FAT Viewer?action=UPDATE&amp;creator=factset&amp;DOC_NAME=fat:reuters_qtrly_source_window.fat&amp;display_string=Audit&amp;DYN_ARGS=TRUE&amp;VAR:ID1=221353&amp;VAR:RCODE=LMIN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25__FDSAUDITLINK__" hidden="1">{"fdsup://IBCentral/FAT Viewer?action=UPDATE&amp;creator=factset&amp;DOC_NAME=fat:reuters_qtrly_source_window.fat&amp;display_string=Audit&amp;DYN_ARGS=TRUE&amp;VAR:ID1=221353&amp;VAR:RCODE=LMIN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26__FDSAUDITLINK__" localSheetId="8" hidden="1">{"fdsup://IBCentral/FAT Viewer?action=UPDATE&amp;creator=factset&amp;DOC_NAME=fat:reuters_qtrly_source_window.fat&amp;display_string=Audit&amp;DYN_ARGS=TRUE&amp;VAR:ID1=221353&amp;VAR:RCODE=STLD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26__FDSAUDITLINK__" hidden="1">{"fdsup://IBCentral/FAT Viewer?action=UPDATE&amp;creator=factset&amp;DOC_NAME=fat:reuters_qtrly_source_window.fat&amp;display_string=Audit&amp;DYN_ARGS=TRUE&amp;VAR:ID1=221353&amp;VAR:RCODE=STLD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27__FDSAUDITLINK__" localSheetId="8" hidden="1">{"fdsup://IBCentral/FAT Viewer?action=UPDATE&amp;creator=factset&amp;DOC_NAME=fat:reuters_qtrly_source_window.fat&amp;display_string=Audit&amp;DYN_ARGS=TRUE&amp;VAR:ID1=221353&amp;VAR:RCODE=SCSI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27__FDSAUDITLINK__" hidden="1">{"fdsup://IBCentral/FAT Viewer?action=UPDATE&amp;creator=factset&amp;DOC_NAME=fat:reuters_qtrly_source_window.fat&amp;display_string=Audit&amp;DYN_ARGS=TRUE&amp;VAR:ID1=221353&amp;VAR:RCODE=SCSI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28__FDSAUDITLINK__" localSheetId="8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928__FDSAUDITLINK__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929__FDSAUDITLINK__" localSheetId="8" hidden="1">{"fdsup://IBCentral/FAT Viewer?action=UPDATE&amp;creator=factset&amp;DOC_NAME=fat:reuters_qtrly_source_window.fat&amp;display_string=Audit&amp;DYN_ARGS=TRUE&amp;VAR:ID1=221353&amp;VAR:RCODE=AEQI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29__FDSAUDITLINK__" hidden="1">{"fdsup://IBCentral/FAT Viewer?action=UPDATE&amp;creator=factset&amp;DOC_NAME=fat:reuters_qtrly_source_window.fat&amp;display_string=Audit&amp;DYN_ARGS=TRUE&amp;VAR:ID1=221353&amp;VAR:RCODE=AEQI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3__123Graph_LBL_DCHART_3" hidden="1">#REF!</definedName>
    <definedName name="_193__FDSAUDITLINK__" localSheetId="8" hidden="1">{"fdsup://directions/FAT Viewer?action=UPDATE&amp;creator=factset&amp;DYN_ARGS=TRUE&amp;DOC_NAME=FAT:FQL_AUDITING_CLIENT_TEMPLATE.FAT&amp;display_string=Audit&amp;VAR:KEY=FAFMVARAZE&amp;VAR:QUERY=RkZfRUJJVF9JQignQU5OJywzNDE1MCwsLCwnR0JQJyk=&amp;WINDOW=FIRST_POPUP&amp;HEIGHT=450&amp;WIDTH=450&amp;","START_MAXIMIZED=FALSE&amp;VAR:CALENDAR=FIVEDAY&amp;VAR:SYMBOL=B2425G&amp;VAR:INDEX=0"}</definedName>
    <definedName name="_193__FDSAUDITLINK__" hidden="1">{"fdsup://directions/FAT Viewer?action=UPDATE&amp;creator=factset&amp;DYN_ARGS=TRUE&amp;DOC_NAME=FAT:FQL_AUDITING_CLIENT_TEMPLATE.FAT&amp;display_string=Audit&amp;VAR:KEY=WRIHEZWXUL&amp;VAR:QUERY=RkZfSU5UX0VYUF9ORVQoTFRNLDQxMDM2KQ==&amp;WINDOW=FIRST_POPUP&amp;HEIGHT=450&amp;WIDTH=450&amp;START_MA","XIMIZED=FALSE&amp;VAR:CALENDAR=US&amp;VAR:SYMBOL=VMC&amp;VAR:INDEX=0"}</definedName>
    <definedName name="_193__FDSAUDITLINK___1" localSheetId="8" hidden="1">{"fdsup://directions/FAT Viewer?action=UPDATE&amp;creator=factset&amp;DYN_ARGS=TRUE&amp;DOC_NAME=FAT:FQL_AUDITING_CLIENT_TEMPLATE.FAT&amp;display_string=Audit&amp;VAR:KEY=FAFMVARAZE&amp;VAR:QUERY=RkZfRUJJVF9JQignQU5OJywzNDE1MCwsLCwnR0JQJyk=&amp;WINDOW=FIRST_POPUP&amp;HEIGHT=450&amp;WIDTH=450&amp;","START_MAXIMIZED=FALSE&amp;VAR:CALENDAR=FIVEDAY&amp;VAR:SYMBOL=B2425G&amp;VAR:INDEX=0"}</definedName>
    <definedName name="_193__FDSAUDITLINK___1" hidden="1">{"fdsup://directions/FAT Viewer?action=UPDATE&amp;creator=factset&amp;DYN_ARGS=TRUE&amp;DOC_NAME=FAT:FQL_AUDITING_CLIENT_TEMPLATE.FAT&amp;display_string=Audit&amp;VAR:KEY=FAFMVARAZE&amp;VAR:QUERY=RkZfRUJJVF9JQignQU5OJywzNDE1MCwsLCwnR0JQJyk=&amp;WINDOW=FIRST_POPUP&amp;HEIGHT=450&amp;WIDTH=450&amp;","START_MAXIMIZED=FALSE&amp;VAR:CALENDAR=FIVEDAY&amp;VAR:SYMBOL=B2425G&amp;VAR:INDEX=0"}</definedName>
    <definedName name="_1930__FDSAUDITLINK__" localSheetId="8" hidden="1">{"fdsup://IBCentral/FAT Viewer?action=UPDATE&amp;creator=factset&amp;DOC_NAME=fat:reuters_qtrly_source_window.fat&amp;display_string=Audit&amp;DYN_ARGS=TRUE&amp;VAR:ID1=221353&amp;VAR:RCODE=LMIN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30__FDSAUDITLINK__" hidden="1">{"fdsup://IBCentral/FAT Viewer?action=UPDATE&amp;creator=factset&amp;DOC_NAME=fat:reuters_qtrly_source_window.fat&amp;display_string=Audit&amp;DYN_ARGS=TRUE&amp;VAR:ID1=221353&amp;VAR:RCODE=LMIN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31__FDSAUDITLINK__" localSheetId="8" hidden="1">{"fdsup://IBCentral/FAT Viewer?action=UPDATE&amp;creator=factset&amp;DOC_NAME=fat:reuters_qtrly_source_window.fat&amp;display_string=Audit&amp;DYN_ARGS=TRUE&amp;VAR:ID1=221353&amp;VAR:RCODE=STLD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31__FDSAUDITLINK__" hidden="1">{"fdsup://IBCentral/FAT Viewer?action=UPDATE&amp;creator=factset&amp;DOC_NAME=fat:reuters_qtrly_source_window.fat&amp;display_string=Audit&amp;DYN_ARGS=TRUE&amp;VAR:ID1=221353&amp;VAR:RCODE=STLD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32__FDSAUDITLINK__" localSheetId="8" hidden="1">{"fdsup://IBCentral/FAT Viewer?action=UPDATE&amp;creator=factset&amp;DOC_NAME=fat:reuters_qtrly_source_window.fat&amp;display_string=Audit&amp;DYN_ARGS=TRUE&amp;VAR:ID1=221353&amp;VAR:RCODE=SCSI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32__FDSAUDITLINK__" hidden="1">{"fdsup://IBCentral/FAT Viewer?action=UPDATE&amp;creator=factset&amp;DOC_NAME=fat:reuters_qtrly_source_window.fat&amp;display_string=Audit&amp;DYN_ARGS=TRUE&amp;VAR:ID1=221353&amp;VAR:RCODE=SCSI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33__FDSAUDITLINK__" localSheetId="8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933__FDSAUDITLINK__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934__FDSAUDITLINK__" localSheetId="8" hidden="1">{"fdsup://IBCentral/FAT Viewer?action=UPDATE&amp;creator=factset&amp;DOC_NAME=fat:reuters_qtrly_source_window.fat&amp;display_string=Audit&amp;DYN_ARGS=TRUE&amp;VAR:ID1=221353&amp;VAR:RCODE=AEQI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34__FDSAUDITLINK__" hidden="1">{"fdsup://IBCentral/FAT Viewer?action=UPDATE&amp;creator=factset&amp;DOC_NAME=fat:reuters_qtrly_source_window.fat&amp;display_string=Audit&amp;DYN_ARGS=TRUE&amp;VAR:ID1=221353&amp;VAR:RCODE=AEQI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35__FDSAUDITLINK__" localSheetId="8" hidden="1">{"fdsup://IBCentral/FAT Viewer?action=UPDATE&amp;creator=factset&amp;DOC_NAME=fat:reuters_qtrly_source_window.fat&amp;display_string=Audit&amp;DYN_ARGS=TRUE&amp;VAR:ID1=221353&amp;VAR:RCODE=LMIN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35__FDSAUDITLINK__" hidden="1">{"fdsup://IBCentral/FAT Viewer?action=UPDATE&amp;creator=factset&amp;DOC_NAME=fat:reuters_qtrly_source_window.fat&amp;display_string=Audit&amp;DYN_ARGS=TRUE&amp;VAR:ID1=221353&amp;VAR:RCODE=LMIN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36__FDSAUDITLINK__" localSheetId="8" hidden="1">{"fdsup://IBCentral/FAT Viewer?action=UPDATE&amp;creator=factset&amp;DOC_NAME=fat:reuters_qtrly_source_window.fat&amp;display_string=Audit&amp;DYN_ARGS=TRUE&amp;VAR:ID1=221353&amp;VAR:RCODE=STLD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36__FDSAUDITLINK__" hidden="1">{"fdsup://IBCentral/FAT Viewer?action=UPDATE&amp;creator=factset&amp;DOC_NAME=fat:reuters_qtrly_source_window.fat&amp;display_string=Audit&amp;DYN_ARGS=TRUE&amp;VAR:ID1=221353&amp;VAR:RCODE=STLD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37__FDSAUDITLINK__" localSheetId="8" hidden="1">{"fdsup://IBCentral/FAT Viewer?action=UPDATE&amp;creator=factset&amp;DOC_NAME=fat:reuters_qtrly_source_window.fat&amp;display_string=Audit&amp;DYN_ARGS=TRUE&amp;VAR:ID1=221353&amp;VAR:RCODE=SCSI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37__FDSAUDITLINK__" hidden="1">{"fdsup://IBCentral/FAT Viewer?action=UPDATE&amp;creator=factset&amp;DOC_NAME=fat:reuters_qtrly_source_window.fat&amp;display_string=Audit&amp;DYN_ARGS=TRUE&amp;VAR:ID1=221353&amp;VAR:RCODE=SCSI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38__FDSAUDITLINK__" localSheetId="8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938__FDSAUDITLINK__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939__FDSAUDITLINK__" localSheetId="8" hidden="1">{"fdsup://IBCentral/FAT Viewer?action=UPDATE&amp;creator=factset&amp;DOC_NAME=fat:reuters_qtrly_source_window.fat&amp;display_string=Audit&amp;DYN_ARGS=TRUE&amp;VAR:ID1=221353&amp;VAR:RCODE=AEQI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39__FDSAUDITLINK__" hidden="1">{"fdsup://IBCentral/FAT Viewer?action=UPDATE&amp;creator=factset&amp;DOC_NAME=fat:reuters_qtrly_source_window.fat&amp;display_string=Audit&amp;DYN_ARGS=TRUE&amp;VAR:ID1=221353&amp;VAR:RCODE=AEQI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4__123Graph_LBL_ECHART_2" hidden="1">#REF!</definedName>
    <definedName name="_194__FDSAUDITLINK__" localSheetId="8" hidden="1">{"fdsup://directions/FAT Viewer?action=UPDATE&amp;creator=factset&amp;DYN_ARGS=TRUE&amp;DOC_NAME=FAT:FQL_AUDITING_CLIENT_TEMPLATE.FAT&amp;display_string=Audit&amp;VAR:KEY=JGTODQHIZA&amp;VAR:QUERY=RkZfRUJJVF9JQignQU5OJywzMzc4NSwsLCwnR0JQJyk=&amp;WINDOW=FIRST_POPUP&amp;HEIGHT=450&amp;WIDTH=450&amp;","START_MAXIMIZED=FALSE&amp;VAR:CALENDAR=FIVEDAY&amp;VAR:SYMBOL=B2425G&amp;VAR:INDEX=0"}</definedName>
    <definedName name="_194__FDSAUDITLINK__" hidden="1">{"fdsup://directions/FAT Viewer?action=UPDATE&amp;creator=factset&amp;DYN_ARGS=TRUE&amp;DOC_NAME=FAT:FQL_AUDITING_CLIENT_TEMPLATE.FAT&amp;display_string=Audit&amp;VAR:KEY=MNSTYBKHIJ&amp;VAR:QUERY=RkZfSU5UX0VYUF9ORVQoTFRNLDQxMDM2KQ==&amp;WINDOW=FIRST_POPUP&amp;HEIGHT=450&amp;WIDTH=450&amp;START_MA","XIMIZED=FALSE&amp;VAR:CALENDAR=US&amp;VAR:SYMBOL=711075&amp;VAR:INDEX=0"}</definedName>
    <definedName name="_194__FDSAUDITLINK___1" localSheetId="8" hidden="1">{"fdsup://directions/FAT Viewer?action=UPDATE&amp;creator=factset&amp;DYN_ARGS=TRUE&amp;DOC_NAME=FAT:FQL_AUDITING_CLIENT_TEMPLATE.FAT&amp;display_string=Audit&amp;VAR:KEY=JGTODQHIZA&amp;VAR:QUERY=RkZfRUJJVF9JQignQU5OJywzMzc4NSwsLCwnR0JQJyk=&amp;WINDOW=FIRST_POPUP&amp;HEIGHT=450&amp;WIDTH=450&amp;","START_MAXIMIZED=FALSE&amp;VAR:CALENDAR=FIVEDAY&amp;VAR:SYMBOL=B2425G&amp;VAR:INDEX=0"}</definedName>
    <definedName name="_194__FDSAUDITLINK___1" hidden="1">{"fdsup://directions/FAT Viewer?action=UPDATE&amp;creator=factset&amp;DYN_ARGS=TRUE&amp;DOC_NAME=FAT:FQL_AUDITING_CLIENT_TEMPLATE.FAT&amp;display_string=Audit&amp;VAR:KEY=JGTODQHIZA&amp;VAR:QUERY=RkZfRUJJVF9JQignQU5OJywzMzc4NSwsLCwnR0JQJyk=&amp;WINDOW=FIRST_POPUP&amp;HEIGHT=450&amp;WIDTH=450&amp;","START_MAXIMIZED=FALSE&amp;VAR:CALENDAR=FIVEDAY&amp;VAR:SYMBOL=B2425G&amp;VAR:INDEX=0"}</definedName>
    <definedName name="_1940__FDSAUDITLINK__" localSheetId="8" hidden="1">{"fdsup://IBCentral/FAT Viewer?action=UPDATE&amp;creator=factset&amp;DOC_NAME=fat:reuters_qtrly_source_window.fat&amp;display_string=Audit&amp;DYN_ARGS=TRUE&amp;VAR:ID1=221353&amp;VAR:RCODE=LMIN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40__FDSAUDITLINK__" hidden="1">{"fdsup://IBCentral/FAT Viewer?action=UPDATE&amp;creator=factset&amp;DOC_NAME=fat:reuters_qtrly_source_window.fat&amp;display_string=Audit&amp;DYN_ARGS=TRUE&amp;VAR:ID1=221353&amp;VAR:RCODE=LMIN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41__FDSAUDITLINK__" localSheetId="8" hidden="1">{"fdsup://IBCentral/FAT Viewer?action=UPDATE&amp;creator=factset&amp;DOC_NAME=fat:reuters_qtrly_source_window.fat&amp;display_string=Audit&amp;DYN_ARGS=TRUE&amp;VAR:ID1=221353&amp;VAR:RCODE=STLD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41__FDSAUDITLINK__" hidden="1">{"fdsup://IBCentral/FAT Viewer?action=UPDATE&amp;creator=factset&amp;DOC_NAME=fat:reuters_qtrly_source_window.fat&amp;display_string=Audit&amp;DYN_ARGS=TRUE&amp;VAR:ID1=221353&amp;VAR:RCODE=STLD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42__FDSAUDITLINK__" localSheetId="8" hidden="1">{"fdsup://IBCentral/FAT Viewer?action=UPDATE&amp;creator=factset&amp;DOC_NAME=fat:reuters_qtrly_source_window.fat&amp;display_string=Audit&amp;DYN_ARGS=TRUE&amp;VAR:ID1=221353&amp;VAR:RCODE=SCSI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42__FDSAUDITLINK__" hidden="1">{"fdsup://IBCentral/FAT Viewer?action=UPDATE&amp;creator=factset&amp;DOC_NAME=fat:reuters_qtrly_source_window.fat&amp;display_string=Audit&amp;DYN_ARGS=TRUE&amp;VAR:ID1=221353&amp;VAR:RCODE=SCSI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43__FDSAUDITLINK__" localSheetId="8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943__FDSAUDITLINK__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944__FDSAUDITLINK__" localSheetId="8" hidden="1">{"fdsup://IBCentral/FAT Viewer?action=UPDATE&amp;creator=factset&amp;DOC_NAME=fat:reuters_qtrly_source_window.fat&amp;display_string=Audit&amp;DYN_ARGS=TRUE&amp;VAR:ID1=221353&amp;VAR:RCODE=AEQI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44__FDSAUDITLINK__" hidden="1">{"fdsup://IBCentral/FAT Viewer?action=UPDATE&amp;creator=factset&amp;DOC_NAME=fat:reuters_qtrly_source_window.fat&amp;display_string=Audit&amp;DYN_ARGS=TRUE&amp;VAR:ID1=221353&amp;VAR:RCODE=AEQI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45__FDSAUDITLINK__" localSheetId="8" hidden="1">{"fdsup://IBCentral/FAT Viewer?action=UPDATE&amp;creator=factset&amp;DOC_NAME=fat:reuters_qtrly_source_window.fat&amp;display_string=Audit&amp;DYN_ARGS=TRUE&amp;VAR:ID1=221353&amp;VAR:RCODE=LMIN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45__FDSAUDITLINK__" hidden="1">{"fdsup://IBCentral/FAT Viewer?action=UPDATE&amp;creator=factset&amp;DOC_NAME=fat:reuters_qtrly_source_window.fat&amp;display_string=Audit&amp;DYN_ARGS=TRUE&amp;VAR:ID1=221353&amp;VAR:RCODE=LMIN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46__FDSAUDITLINK__" localSheetId="8" hidden="1">{"fdsup://IBCentral/FAT Viewer?action=UPDATE&amp;creator=factset&amp;DOC_NAME=fat:reuters_qtrly_source_window.fat&amp;display_string=Audit&amp;DYN_ARGS=TRUE&amp;VAR:ID1=221353&amp;VAR:RCODE=STLD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46__FDSAUDITLINK__" hidden="1">{"fdsup://IBCentral/FAT Viewer?action=UPDATE&amp;creator=factset&amp;DOC_NAME=fat:reuters_qtrly_source_window.fat&amp;display_string=Audit&amp;DYN_ARGS=TRUE&amp;VAR:ID1=221353&amp;VAR:RCODE=STLD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47__FDSAUDITLINK__" localSheetId="8" hidden="1">{"fdsup://IBCentral/FAT Viewer?action=UPDATE&amp;creator=factset&amp;DOC_NAME=fat:reuters_qtrly_source_window.fat&amp;display_string=Audit&amp;DYN_ARGS=TRUE&amp;VAR:ID1=221353&amp;VAR:RCODE=SCSI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47__FDSAUDITLINK__" hidden="1">{"fdsup://IBCentral/FAT Viewer?action=UPDATE&amp;creator=factset&amp;DOC_NAME=fat:reuters_qtrly_source_window.fat&amp;display_string=Audit&amp;DYN_ARGS=TRUE&amp;VAR:ID1=221353&amp;VAR:RCODE=SCSI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48__FDSAUDITLINK__" localSheetId="8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948__FDSAUDITLINK__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949__FDSAUDITLINK__" localSheetId="8" hidden="1">{"fdsup://IBCentral/FAT Viewer?action=UPDATE&amp;creator=factset&amp;DOC_NAME=fat:reuters_qtrly_source_window.fat&amp;display_string=Audit&amp;DYN_ARGS=TRUE&amp;VAR:ID1=221353&amp;VAR:RCODE=AEQI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49__FDSAUDITLINK__" hidden="1">{"fdsup://IBCentral/FAT Viewer?action=UPDATE&amp;creator=factset&amp;DOC_NAME=fat:reuters_qtrly_source_window.fat&amp;display_string=Audit&amp;DYN_ARGS=TRUE&amp;VAR:ID1=221353&amp;VAR:RCODE=AEQI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5__123Graph_XCHART_12" hidden="1">#REF!</definedName>
    <definedName name="_195__FDSAUDITLINK__" localSheetId="8" hidden="1">{"fdsup://directions/FAT Viewer?action=UPDATE&amp;creator=factset&amp;DYN_ARGS=TRUE&amp;DOC_NAME=FAT:FQL_AUDITING_CLIENT_TEMPLATE.FAT&amp;display_string=Audit&amp;VAR:KEY=BOFAZUVEJC&amp;VAR:QUERY=RkZfRUJJVF9JQignQU5OJywzMzQxOSwsLCwnR0JQJyk=&amp;WINDOW=FIRST_POPUP&amp;HEIGHT=450&amp;WIDTH=450&amp;","START_MAXIMIZED=FALSE&amp;VAR:CALENDAR=FIVEDAY&amp;VAR:SYMBOL=B2425G&amp;VAR:INDEX=0"}</definedName>
    <definedName name="_195__FDSAUDITLINK__" hidden="1">{"fdsup://directions/FAT Viewer?action=UPDATE&amp;creator=factset&amp;DYN_ARGS=TRUE&amp;DOC_NAME=FAT:FQL_AUDITING_CLIENT_TEMPLATE.FAT&amp;display_string=Audit&amp;VAR:KEY=GPILSNMVSJ&amp;VAR:QUERY=RkZfSU5UX0VYUF9ORVQoTFRNLDQxMDM2KQ==&amp;WINDOW=FIRST_POPUP&amp;HEIGHT=450&amp;WIDTH=450&amp;START_MA","XIMIZED=FALSE&amp;VAR:CALENDAR=US&amp;VAR:SYMBOL=EXP&amp;VAR:INDEX=0"}</definedName>
    <definedName name="_195__FDSAUDITLINK___1" localSheetId="8" hidden="1">{"fdsup://directions/FAT Viewer?action=UPDATE&amp;creator=factset&amp;DYN_ARGS=TRUE&amp;DOC_NAME=FAT:FQL_AUDITING_CLIENT_TEMPLATE.FAT&amp;display_string=Audit&amp;VAR:KEY=BOFAZUVEJC&amp;VAR:QUERY=RkZfRUJJVF9JQignQU5OJywzMzQxOSwsLCwnR0JQJyk=&amp;WINDOW=FIRST_POPUP&amp;HEIGHT=450&amp;WIDTH=450&amp;","START_MAXIMIZED=FALSE&amp;VAR:CALENDAR=FIVEDAY&amp;VAR:SYMBOL=B2425G&amp;VAR:INDEX=0"}</definedName>
    <definedName name="_195__FDSAUDITLINK___1" hidden="1">{"fdsup://directions/FAT Viewer?action=UPDATE&amp;creator=factset&amp;DYN_ARGS=TRUE&amp;DOC_NAME=FAT:FQL_AUDITING_CLIENT_TEMPLATE.FAT&amp;display_string=Audit&amp;VAR:KEY=BOFAZUVEJC&amp;VAR:QUERY=RkZfRUJJVF9JQignQU5OJywzMzQxOSwsLCwnR0JQJyk=&amp;WINDOW=FIRST_POPUP&amp;HEIGHT=450&amp;WIDTH=450&amp;","START_MAXIMIZED=FALSE&amp;VAR:CALENDAR=FIVEDAY&amp;VAR:SYMBOL=B2425G&amp;VAR:INDEX=0"}</definedName>
    <definedName name="_1950__FDSAUDITLINK__" localSheetId="8" hidden="1">{"fdsup://IBCentral/FAT Viewer?action=UPDATE&amp;creator=factset&amp;DOC_NAME=fat:reuters_qtrly_source_window.fat&amp;display_string=Audit&amp;DYN_ARGS=TRUE&amp;VAR:ID1=221353&amp;VAR:RCODE=LMIN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50__FDSAUDITLINK__" hidden="1">{"fdsup://IBCentral/FAT Viewer?action=UPDATE&amp;creator=factset&amp;DOC_NAME=fat:reuters_qtrly_source_window.fat&amp;display_string=Audit&amp;DYN_ARGS=TRUE&amp;VAR:ID1=221353&amp;VAR:RCODE=LMIN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51__FDSAUDITLINK__" localSheetId="8" hidden="1">{"fdsup://IBCentral/FAT Viewer?action=UPDATE&amp;creator=factset&amp;DOC_NAME=fat:reuters_qtrly_source_window.fat&amp;display_string=Audit&amp;DYN_ARGS=TRUE&amp;VAR:ID1=221353&amp;VAR:RCODE=STLD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51__FDSAUDITLINK__" hidden="1">{"fdsup://IBCentral/FAT Viewer?action=UPDATE&amp;creator=factset&amp;DOC_NAME=fat:reuters_qtrly_source_window.fat&amp;display_string=Audit&amp;DYN_ARGS=TRUE&amp;VAR:ID1=221353&amp;VAR:RCODE=STLD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52__FDSAUDITLINK__" localSheetId="8" hidden="1">{"fdsup://IBCentral/FAT Viewer?action=UPDATE&amp;creator=factset&amp;DOC_NAME=fat:reuters_qtrly_source_window.fat&amp;display_string=Audit&amp;DYN_ARGS=TRUE&amp;VAR:ID1=221353&amp;VAR:RCODE=SCSI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52__FDSAUDITLINK__" hidden="1">{"fdsup://IBCentral/FAT Viewer?action=UPDATE&amp;creator=factset&amp;DOC_NAME=fat:reuters_qtrly_source_window.fat&amp;display_string=Audit&amp;DYN_ARGS=TRUE&amp;VAR:ID1=221353&amp;VAR:RCODE=SCSI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53__FDSAUDITLINK__" localSheetId="8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953__FDSAUDITLINK__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954__FDSAUDITLINK__" localSheetId="8" hidden="1">{"fdsup://IBCentral/FAT Viewer?action=UPDATE&amp;creator=factset&amp;DOC_NAME=fat:reuters_qtrly_source_window.fat&amp;display_string=Audit&amp;DYN_ARGS=TRUE&amp;VAR:ID1=221353&amp;VAR:RCODE=AEQI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54__FDSAUDITLINK__" hidden="1">{"fdsup://IBCentral/FAT Viewer?action=UPDATE&amp;creator=factset&amp;DOC_NAME=fat:reuters_qtrly_source_window.fat&amp;display_string=Audit&amp;DYN_ARGS=TRUE&amp;VAR:ID1=221353&amp;VAR:RCODE=AEQI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55__FDSAUDITLINK__" localSheetId="8" hidden="1">{"fdsup://IBCentral/FAT Viewer?action=UPDATE&amp;creator=factset&amp;DOC_NAME=fat:reuters_qtrly_source_window.fat&amp;display_string=Audit&amp;DYN_ARGS=TRUE&amp;VAR:ID1=221353&amp;VAR:RCODE=LMIN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55__FDSAUDITLINK__" hidden="1">{"fdsup://IBCentral/FAT Viewer?action=UPDATE&amp;creator=factset&amp;DOC_NAME=fat:reuters_qtrly_source_window.fat&amp;display_string=Audit&amp;DYN_ARGS=TRUE&amp;VAR:ID1=221353&amp;VAR:RCODE=LMIN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56__FDSAUDITLINK__" localSheetId="8" hidden="1">{"fdsup://IBCentral/FAT Viewer?action=UPDATE&amp;creator=factset&amp;DOC_NAME=fat:reuters_qtrly_source_window.fat&amp;display_string=Audit&amp;DYN_ARGS=TRUE&amp;VAR:ID1=221353&amp;VAR:RCODE=STLD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56__FDSAUDITLINK__" hidden="1">{"fdsup://IBCentral/FAT Viewer?action=UPDATE&amp;creator=factset&amp;DOC_NAME=fat:reuters_qtrly_source_window.fat&amp;display_string=Audit&amp;DYN_ARGS=TRUE&amp;VAR:ID1=221353&amp;VAR:RCODE=STLD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57__FDSAUDITLINK__" localSheetId="8" hidden="1">{"fdsup://IBCentral/FAT Viewer?action=UPDATE&amp;creator=factset&amp;DOC_NAME=fat:reuters_qtrly_source_window.fat&amp;display_string=Audit&amp;DYN_ARGS=TRUE&amp;VAR:ID1=221353&amp;VAR:RCODE=SCSI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57__FDSAUDITLINK__" hidden="1">{"fdsup://IBCentral/FAT Viewer?action=UPDATE&amp;creator=factset&amp;DOC_NAME=fat:reuters_qtrly_source_window.fat&amp;display_string=Audit&amp;DYN_ARGS=TRUE&amp;VAR:ID1=221353&amp;VAR:RCODE=SCSI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58__FDSAUDITLINK__" localSheetId="8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958__FDSAUDITLINK__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959__FDSAUDITLINK__" localSheetId="8" hidden="1">{"fdsup://IBCentral/FAT Viewer?action=UPDATE&amp;creator=factset&amp;DOC_NAME=fat:reuters_qtrly_source_window.fat&amp;display_string=Audit&amp;DYN_ARGS=TRUE&amp;VAR:ID1=221353&amp;VAR:RCODE=AEQI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59__FDSAUDITLINK__" hidden="1">{"fdsup://IBCentral/FAT Viewer?action=UPDATE&amp;creator=factset&amp;DOC_NAME=fat:reuters_qtrly_source_window.fat&amp;display_string=Audit&amp;DYN_ARGS=TRUE&amp;VAR:ID1=221353&amp;VAR:RCODE=AEQI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6__123Graph_XCHART_13" hidden="1">#REF!</definedName>
    <definedName name="_196__FDSAUDITLINK__" localSheetId="8" hidden="1">{"fdsup://directions/FAT Viewer?action=UPDATE&amp;creator=factset&amp;DYN_ARGS=TRUE&amp;DOC_NAME=FAT:FQL_AUDITING_CLIENT_TEMPLATE.FAT&amp;display_string=Audit&amp;VAR:KEY=RUTWNGFOTQ&amp;VAR:QUERY=RkZfRUJJVF9JQignQU5OJywzMzA1NCwsLCwnR0JQJyk=&amp;WINDOW=FIRST_POPUP&amp;HEIGHT=450&amp;WIDTH=450&amp;","START_MAXIMIZED=FALSE&amp;VAR:CALENDAR=FIVEDAY&amp;VAR:SYMBOL=B2425G&amp;VAR:INDEX=0"}</definedName>
    <definedName name="_196__FDSAUDITLINK__" hidden="1">{"fdsup://directions/FAT Viewer?action=UPDATE&amp;creator=factset&amp;DYN_ARGS=TRUE&amp;DOC_NAME=FAT:FQL_AUDITING_CLIENT_TEMPLATE.FAT&amp;display_string=Audit&amp;VAR:KEY=SVATAJGNWN&amp;VAR:QUERY=RkZfSU5UX0VYUF9ORVQoTFRNLDQxMDM2KQ==&amp;WINDOW=FIRST_POPUP&amp;HEIGHT=450&amp;WIDTH=450&amp;START_MA","XIMIZED=FALSE&amp;VAR:CALENDAR=US&amp;VAR:SYMBOL=MCEM&amp;VAR:INDEX=0"}</definedName>
    <definedName name="_196__FDSAUDITLINK___1" localSheetId="8" hidden="1">{"fdsup://directions/FAT Viewer?action=UPDATE&amp;creator=factset&amp;DYN_ARGS=TRUE&amp;DOC_NAME=FAT:FQL_AUDITING_CLIENT_TEMPLATE.FAT&amp;display_string=Audit&amp;VAR:KEY=RUTWNGFOTQ&amp;VAR:QUERY=RkZfRUJJVF9JQignQU5OJywzMzA1NCwsLCwnR0JQJyk=&amp;WINDOW=FIRST_POPUP&amp;HEIGHT=450&amp;WIDTH=450&amp;","START_MAXIMIZED=FALSE&amp;VAR:CALENDAR=FIVEDAY&amp;VAR:SYMBOL=B2425G&amp;VAR:INDEX=0"}</definedName>
    <definedName name="_196__FDSAUDITLINK___1" hidden="1">{"fdsup://directions/FAT Viewer?action=UPDATE&amp;creator=factset&amp;DYN_ARGS=TRUE&amp;DOC_NAME=FAT:FQL_AUDITING_CLIENT_TEMPLATE.FAT&amp;display_string=Audit&amp;VAR:KEY=RUTWNGFOTQ&amp;VAR:QUERY=RkZfRUJJVF9JQignQU5OJywzMzA1NCwsLCwnR0JQJyk=&amp;WINDOW=FIRST_POPUP&amp;HEIGHT=450&amp;WIDTH=450&amp;","START_MAXIMIZED=FALSE&amp;VAR:CALENDAR=FIVEDAY&amp;VAR:SYMBOL=B2425G&amp;VAR:INDEX=0"}</definedName>
    <definedName name="_1960__FDSAUDITLINK__" localSheetId="8" hidden="1">{"fdsup://IBCentral/FAT Viewer?action=UPDATE&amp;creator=factset&amp;DOC_NAME=fat:reuters_qtrly_source_window.fat&amp;display_string=Audit&amp;DYN_ARGS=TRUE&amp;VAR:ID1=221353&amp;VAR:RCODE=LMIN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60__FDSAUDITLINK__" hidden="1">{"fdsup://IBCentral/FAT Viewer?action=UPDATE&amp;creator=factset&amp;DOC_NAME=fat:reuters_qtrly_source_window.fat&amp;display_string=Audit&amp;DYN_ARGS=TRUE&amp;VAR:ID1=221353&amp;VAR:RCODE=LMIN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61__FDSAUDITLINK__" localSheetId="8" hidden="1">{"fdsup://IBCentral/FAT Viewer?action=UPDATE&amp;creator=factset&amp;DOC_NAME=fat:reuters_qtrly_source_window.fat&amp;display_string=Audit&amp;DYN_ARGS=TRUE&amp;VAR:ID1=221353&amp;VAR:RCODE=STLD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61__FDSAUDITLINK__" hidden="1">{"fdsup://IBCentral/FAT Viewer?action=UPDATE&amp;creator=factset&amp;DOC_NAME=fat:reuters_qtrly_source_window.fat&amp;display_string=Audit&amp;DYN_ARGS=TRUE&amp;VAR:ID1=221353&amp;VAR:RCODE=STLD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62__FDSAUDITLINK__" localSheetId="8" hidden="1">{"fdsup://IBCentral/FAT Viewer?action=UPDATE&amp;creator=factset&amp;DOC_NAME=fat:reuters_qtrly_source_window.fat&amp;display_string=Audit&amp;DYN_ARGS=TRUE&amp;VAR:ID1=221353&amp;VAR:RCODE=SCSI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62__FDSAUDITLINK__" hidden="1">{"fdsup://IBCentral/FAT Viewer?action=UPDATE&amp;creator=factset&amp;DOC_NAME=fat:reuters_qtrly_source_window.fat&amp;display_string=Audit&amp;DYN_ARGS=TRUE&amp;VAR:ID1=221353&amp;VAR:RCODE=SCSI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63__FDSAUDITLINK__" localSheetId="8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963__FDSAUDITLINK__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964__FDSAUDITLINK__" localSheetId="8" hidden="1">{"fdsup://IBCentral/FAT Viewer?action=UPDATE&amp;creator=factset&amp;DOC_NAME=fat:reuters_qtrly_source_window.fat&amp;display_string=Audit&amp;DYN_ARGS=TRUE&amp;VAR:ID1=221353&amp;VAR:RCODE=AEQI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64__FDSAUDITLINK__" hidden="1">{"fdsup://IBCentral/FAT Viewer?action=UPDATE&amp;creator=factset&amp;DOC_NAME=fat:reuters_qtrly_source_window.fat&amp;display_string=Audit&amp;DYN_ARGS=TRUE&amp;VAR:ID1=221353&amp;VAR:RCODE=AEQI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65__FDSAUDITLINK__" localSheetId="8" hidden="1">{"fdsup://IBCentral/FAT Viewer?action=UPDATE&amp;creator=factset&amp;DOC_NAME=fat:reuters_qtrly_source_window.fat&amp;display_string=Audit&amp;DYN_ARGS=TRUE&amp;VAR:ID1=221353&amp;VAR:RCODE=LMIN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65__FDSAUDITLINK__" hidden="1">{"fdsup://IBCentral/FAT Viewer?action=UPDATE&amp;creator=factset&amp;DOC_NAME=fat:reuters_qtrly_source_window.fat&amp;display_string=Audit&amp;DYN_ARGS=TRUE&amp;VAR:ID1=221353&amp;VAR:RCODE=LMIN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66__FDSAUDITLINK__" localSheetId="8" hidden="1">{"fdsup://IBCentral/FAT Viewer?action=UPDATE&amp;creator=factset&amp;DOC_NAME=fat:reuters_qtrly_source_window.fat&amp;display_string=Audit&amp;DYN_ARGS=TRUE&amp;VAR:ID1=221353&amp;VAR:RCODE=STLD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66__FDSAUDITLINK__" hidden="1">{"fdsup://IBCentral/FAT Viewer?action=UPDATE&amp;creator=factset&amp;DOC_NAME=fat:reuters_qtrly_source_window.fat&amp;display_string=Audit&amp;DYN_ARGS=TRUE&amp;VAR:ID1=221353&amp;VAR:RCODE=STLD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67__FDSAUDITLINK__" localSheetId="8" hidden="1">{"fdsup://IBCentral/FAT Viewer?action=UPDATE&amp;creator=factset&amp;DOC_NAME=fat:reuters_qtrly_source_window.fat&amp;display_string=Audit&amp;DYN_ARGS=TRUE&amp;VAR:ID1=221353&amp;VAR:RCODE=SCSI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67__FDSAUDITLINK__" hidden="1">{"fdsup://IBCentral/FAT Viewer?action=UPDATE&amp;creator=factset&amp;DOC_NAME=fat:reuters_qtrly_source_window.fat&amp;display_string=Audit&amp;DYN_ARGS=TRUE&amp;VAR:ID1=221353&amp;VAR:RCODE=SCSI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68__FDSAUDITLINK__" localSheetId="8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968__FDSAUDITLINK__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969__FDSAUDITLINK__" localSheetId="8" hidden="1">{"fdsup://IBCentral/FAT Viewer?action=UPDATE&amp;creator=factset&amp;DOC_NAME=fat:reuters_qtrly_source_window.fat&amp;display_string=Audit&amp;DYN_ARGS=TRUE&amp;VAR:ID1=221353&amp;VAR:RCODE=AEQI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69__FDSAUDITLINK__" hidden="1">{"fdsup://IBCentral/FAT Viewer?action=UPDATE&amp;creator=factset&amp;DOC_NAME=fat:reuters_qtrly_source_window.fat&amp;display_string=Audit&amp;DYN_ARGS=TRUE&amp;VAR:ID1=221353&amp;VAR:RCODE=AEQI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7__123Graph_XCHART_15" hidden="1">#REF!</definedName>
    <definedName name="_197__FDSAUDITLINK__" localSheetId="8" hidden="1">{"fdsup://directions/FAT Viewer?action=UPDATE&amp;creator=factset&amp;DYN_ARGS=TRUE&amp;DOC_NAME=FAT:FQL_AUDITING_CLIENT_TEMPLATE.FAT&amp;display_string=Audit&amp;VAR:KEY=XURCROJEBQ&amp;VAR:QUERY=RkZfRUJJVF9JQignQU5OJywzOTkwMywsLCwnR0JQJyk=&amp;WINDOW=FIRST_POPUP&amp;HEIGHT=450&amp;WIDTH=450&amp;","START_MAXIMIZED=FALSE&amp;VAR:CALENDAR=FIVEDAY&amp;VAR:SYMBOL=073833&amp;VAR:INDEX=0"}</definedName>
    <definedName name="_197__FDSAUDITLINK__" hidden="1">{"fdsup://directions/FAT Viewer?action=UPDATE&amp;creator=factset&amp;DYN_ARGS=TRUE&amp;DOC_NAME=FAT:FQL_AUDITING_CLIENT_TEMPLATE.FAT&amp;display_string=Audit&amp;VAR:KEY=FORCBMLINK&amp;VAR:QUERY=RkZfSU5UX0VYUF9ORVQoTFRNLDQxMDM2KQ==&amp;WINDOW=FIRST_POPUP&amp;HEIGHT=450&amp;WIDTH=450&amp;START_MA","XIMIZED=FALSE&amp;VAR:CALENDAR=US&amp;VAR:SYMBOL=CX&amp;VAR:INDEX=0"}</definedName>
    <definedName name="_197__FDSAUDITLINK___1" localSheetId="8" hidden="1">{"fdsup://directions/FAT Viewer?action=UPDATE&amp;creator=factset&amp;DYN_ARGS=TRUE&amp;DOC_NAME=FAT:FQL_AUDITING_CLIENT_TEMPLATE.FAT&amp;display_string=Audit&amp;VAR:KEY=XURCROJEBQ&amp;VAR:QUERY=RkZfRUJJVF9JQignQU5OJywzOTkwMywsLCwnR0JQJyk=&amp;WINDOW=FIRST_POPUP&amp;HEIGHT=450&amp;WIDTH=450&amp;","START_MAXIMIZED=FALSE&amp;VAR:CALENDAR=FIVEDAY&amp;VAR:SYMBOL=073833&amp;VAR:INDEX=0"}</definedName>
    <definedName name="_197__FDSAUDITLINK___1" hidden="1">{"fdsup://directions/FAT Viewer?action=UPDATE&amp;creator=factset&amp;DYN_ARGS=TRUE&amp;DOC_NAME=FAT:FQL_AUDITING_CLIENT_TEMPLATE.FAT&amp;display_string=Audit&amp;VAR:KEY=XURCROJEBQ&amp;VAR:QUERY=RkZfRUJJVF9JQignQU5OJywzOTkwMywsLCwnR0JQJyk=&amp;WINDOW=FIRST_POPUP&amp;HEIGHT=450&amp;WIDTH=450&amp;","START_MAXIMIZED=FALSE&amp;VAR:CALENDAR=FIVEDAY&amp;VAR:SYMBOL=073833&amp;VAR:INDEX=0"}</definedName>
    <definedName name="_1970__FDSAUDITLINK__" localSheetId="8" hidden="1">{"fdsup://IBCentral/FAT Viewer?action=UPDATE&amp;creator=factset&amp;DOC_NAME=fat:reuters_qtrly_source_window.fat&amp;display_string=Audit&amp;DYN_ARGS=TRUE&amp;VAR:ID1=221353&amp;VAR:RCODE=LMIN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70__FDSAUDITLINK__" hidden="1">{"fdsup://IBCentral/FAT Viewer?action=UPDATE&amp;creator=factset&amp;DOC_NAME=fat:reuters_qtrly_source_window.fat&amp;display_string=Audit&amp;DYN_ARGS=TRUE&amp;VAR:ID1=221353&amp;VAR:RCODE=LMIN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71__FDSAUDITLINK__" localSheetId="8" hidden="1">{"fdsup://IBCentral/FAT Viewer?action=UPDATE&amp;creator=factset&amp;DOC_NAME=fat:reuters_qtrly_source_window.fat&amp;display_string=Audit&amp;DYN_ARGS=TRUE&amp;VAR:ID1=221353&amp;VAR:RCODE=STLD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71__FDSAUDITLINK__" hidden="1">{"fdsup://IBCentral/FAT Viewer?action=UPDATE&amp;creator=factset&amp;DOC_NAME=fat:reuters_qtrly_source_window.fat&amp;display_string=Audit&amp;DYN_ARGS=TRUE&amp;VAR:ID1=221353&amp;VAR:RCODE=STLD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72__FDSAUDITLINK__" localSheetId="8" hidden="1">{"fdsup://IBCentral/FAT Viewer?action=UPDATE&amp;creator=factset&amp;DOC_NAME=fat:reuters_qtrly_source_window.fat&amp;display_string=Audit&amp;DYN_ARGS=TRUE&amp;VAR:ID1=221353&amp;VAR:RCODE=SCSI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72__FDSAUDITLINK__" hidden="1">{"fdsup://IBCentral/FAT Viewer?action=UPDATE&amp;creator=factset&amp;DOC_NAME=fat:reuters_qtrly_source_window.fat&amp;display_string=Audit&amp;DYN_ARGS=TRUE&amp;VAR:ID1=221353&amp;VAR:RCODE=SCSI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73__FDSAUDITLINK__" localSheetId="8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973__FDSAUDITLINK__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974__FDSAUDITLINK__" localSheetId="8" hidden="1">{"fdsup://IBCentral/FAT Viewer?action=UPDATE&amp;creator=factset&amp;DOC_NAME=fat:reuters_qtrly_source_window.fat&amp;display_string=Audit&amp;DYN_ARGS=TRUE&amp;VAR:ID1=221353&amp;VAR:RCODE=AEQI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74__FDSAUDITLINK__" hidden="1">{"fdsup://IBCentral/FAT Viewer?action=UPDATE&amp;creator=factset&amp;DOC_NAME=fat:reuters_qtrly_source_window.fat&amp;display_string=Audit&amp;DYN_ARGS=TRUE&amp;VAR:ID1=221353&amp;VAR:RCODE=AEQI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75__FDSAUDITLINK__" localSheetId="8" hidden="1">{"fdsup://IBCentral/FAT Viewer?action=UPDATE&amp;creator=factset&amp;DOC_NAME=fat:reuters_qtrly_source_window.fat&amp;display_string=Audit&amp;DYN_ARGS=TRUE&amp;VAR:ID1=221353&amp;VAR:RCODE=LMIN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75__FDSAUDITLINK__" hidden="1">{"fdsup://IBCentral/FAT Viewer?action=UPDATE&amp;creator=factset&amp;DOC_NAME=fat:reuters_qtrly_source_window.fat&amp;display_string=Audit&amp;DYN_ARGS=TRUE&amp;VAR:ID1=221353&amp;VAR:RCODE=LMIN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76__FDSAUDITLINK__" localSheetId="8" hidden="1">{"fdsup://IBCentral/FAT Viewer?action=UPDATE&amp;creator=factset&amp;DOC_NAME=fat:reuters_qtrly_source_window.fat&amp;display_string=Audit&amp;DYN_ARGS=TRUE&amp;VAR:ID1=221353&amp;VAR:RCODE=STLD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76__FDSAUDITLINK__" hidden="1">{"fdsup://IBCentral/FAT Viewer?action=UPDATE&amp;creator=factset&amp;DOC_NAME=fat:reuters_qtrly_source_window.fat&amp;display_string=Audit&amp;DYN_ARGS=TRUE&amp;VAR:ID1=221353&amp;VAR:RCODE=STLD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77__FDSAUDITLINK__" localSheetId="8" hidden="1">{"fdsup://IBCentral/FAT Viewer?action=UPDATE&amp;creator=factset&amp;DOC_NAME=fat:reuters_qtrly_source_window.fat&amp;display_string=Audit&amp;DYN_ARGS=TRUE&amp;VAR:ID1=221353&amp;VAR:RCODE=SCSI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77__FDSAUDITLINK__" hidden="1">{"fdsup://IBCentral/FAT Viewer?action=UPDATE&amp;creator=factset&amp;DOC_NAME=fat:reuters_qtrly_source_window.fat&amp;display_string=Audit&amp;DYN_ARGS=TRUE&amp;VAR:ID1=221353&amp;VAR:RCODE=SCSI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78__FDSAUDITLINK__" localSheetId="8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978__FDSAUDITLINK__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979__FDSAUDITLINK__" localSheetId="8" hidden="1">{"fdsup://IBCentral/FAT Viewer?action=UPDATE&amp;creator=factset&amp;DOC_NAME=fat:reuters_qtrly_source_window.fat&amp;display_string=Audit&amp;DYN_ARGS=TRUE&amp;VAR:ID1=221353&amp;VAR:RCODE=AEQI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79__FDSAUDITLINK__" hidden="1">{"fdsup://IBCentral/FAT Viewer?action=UPDATE&amp;creator=factset&amp;DOC_NAME=fat:reuters_qtrly_source_window.fat&amp;display_string=Audit&amp;DYN_ARGS=TRUE&amp;VAR:ID1=221353&amp;VAR:RCODE=AEQI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8__123Graph_XCHART_16" hidden="1">#REF!</definedName>
    <definedName name="_198__FDSAUDITLINK__" localSheetId="8" hidden="1">{"fdsup://directions/FAT Viewer?action=UPDATE&amp;creator=factset&amp;DYN_ARGS=TRUE&amp;DOC_NAME=FAT:FQL_AUDITING_CLIENT_TEMPLATE.FAT&amp;display_string=Audit&amp;VAR:KEY=BYDOBCVUFU&amp;VAR:QUERY=RkZfRUJJVF9JQignQU5OJywzOTUzOCwsLCwnR0JQJyk=&amp;WINDOW=FIRST_POPUP&amp;HEIGHT=450&amp;WIDTH=450&amp;","START_MAXIMIZED=FALSE&amp;VAR:CALENDAR=FIVEDAY&amp;VAR:SYMBOL=073833&amp;VAR:INDEX=0"}</definedName>
    <definedName name="_198__FDSAUDITLINK__" hidden="1">{"fdsup://directions/FAT Viewer?action=UPDATE&amp;creator=factset&amp;DYN_ARGS=TRUE&amp;DOC_NAME=FAT:FQL_AUDITING_CLIENT_TEMPLATE.FAT&amp;display_string=Audit&amp;VAR:KEY=IXIXQZCDEB&amp;VAR:QUERY=RkZfSU5UX0VYUF9ORVQoTFRNLDQxMDM2KQ==&amp;WINDOW=FIRST_POPUP&amp;HEIGHT=450&amp;WIDTH=450&amp;START_MA","XIMIZED=FALSE&amp;VAR:CALENDAR=US&amp;VAR:SYMBOL=TXI&amp;VAR:INDEX=0"}</definedName>
    <definedName name="_198__FDSAUDITLINK___1" localSheetId="8" hidden="1">{"fdsup://directions/FAT Viewer?action=UPDATE&amp;creator=factset&amp;DYN_ARGS=TRUE&amp;DOC_NAME=FAT:FQL_AUDITING_CLIENT_TEMPLATE.FAT&amp;display_string=Audit&amp;VAR:KEY=BYDOBCVUFU&amp;VAR:QUERY=RkZfRUJJVF9JQignQU5OJywzOTUzOCwsLCwnR0JQJyk=&amp;WINDOW=FIRST_POPUP&amp;HEIGHT=450&amp;WIDTH=450&amp;","START_MAXIMIZED=FALSE&amp;VAR:CALENDAR=FIVEDAY&amp;VAR:SYMBOL=073833&amp;VAR:INDEX=0"}</definedName>
    <definedName name="_198__FDSAUDITLINK___1" hidden="1">{"fdsup://directions/FAT Viewer?action=UPDATE&amp;creator=factset&amp;DYN_ARGS=TRUE&amp;DOC_NAME=FAT:FQL_AUDITING_CLIENT_TEMPLATE.FAT&amp;display_string=Audit&amp;VAR:KEY=BYDOBCVUFU&amp;VAR:QUERY=RkZfRUJJVF9JQignQU5OJywzOTUzOCwsLCwnR0JQJyk=&amp;WINDOW=FIRST_POPUP&amp;HEIGHT=450&amp;WIDTH=450&amp;","START_MAXIMIZED=FALSE&amp;VAR:CALENDAR=FIVEDAY&amp;VAR:SYMBOL=073833&amp;VAR:INDEX=0"}</definedName>
    <definedName name="_1980__FDSAUDITLINK__" localSheetId="8" hidden="1">{"fdsup://IBCentral/FAT Viewer?action=UPDATE&amp;creator=factset&amp;DOC_NAME=fat:reuters_qtrly_source_window.fat&amp;display_string=Audit&amp;DYN_ARGS=TRUE&amp;VAR:ID1=221353&amp;VAR:RCODE=LMIN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80__FDSAUDITLINK__" hidden="1">{"fdsup://IBCentral/FAT Viewer?action=UPDATE&amp;creator=factset&amp;DOC_NAME=fat:reuters_qtrly_source_window.fat&amp;display_string=Audit&amp;DYN_ARGS=TRUE&amp;VAR:ID1=221353&amp;VAR:RCODE=LMIN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81__FDSAUDITLINK__" localSheetId="8" hidden="1">{"fdsup://IBCentral/FAT Viewer?action=UPDATE&amp;creator=factset&amp;DOC_NAME=fat:reuters_qtrly_source_window.fat&amp;display_string=Audit&amp;DYN_ARGS=TRUE&amp;VAR:ID1=221353&amp;VAR:RCODE=STLD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81__FDSAUDITLINK__" hidden="1">{"fdsup://IBCentral/FAT Viewer?action=UPDATE&amp;creator=factset&amp;DOC_NAME=fat:reuters_qtrly_source_window.fat&amp;display_string=Audit&amp;DYN_ARGS=TRUE&amp;VAR:ID1=221353&amp;VAR:RCODE=STLD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82__FDSAUDITLINK__" localSheetId="8" hidden="1">{"fdsup://IBCentral/FAT Viewer?action=UPDATE&amp;creator=factset&amp;DOC_NAME=fat:reuters_qtrly_source_window.fat&amp;display_string=Audit&amp;DYN_ARGS=TRUE&amp;VAR:ID1=221353&amp;VAR:RCODE=SCSI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82__FDSAUDITLINK__" hidden="1">{"fdsup://IBCentral/FAT Viewer?action=UPDATE&amp;creator=factset&amp;DOC_NAME=fat:reuters_qtrly_source_window.fat&amp;display_string=Audit&amp;DYN_ARGS=TRUE&amp;VAR:ID1=221353&amp;VAR:RCODE=SCSI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83__FDSAUDITLINK__" localSheetId="8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983__FDSAUDITLINK__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984__FDSAUDITLINK__" localSheetId="8" hidden="1">{"fdsup://IBCentral/FAT Viewer?action=UPDATE&amp;creator=factset&amp;DOC_NAME=fat:reuters_qtrly_source_window.fat&amp;display_string=Audit&amp;DYN_ARGS=TRUE&amp;VAR:ID1=221353&amp;VAR:RCODE=AEQI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84__FDSAUDITLINK__" hidden="1">{"fdsup://IBCentral/FAT Viewer?action=UPDATE&amp;creator=factset&amp;DOC_NAME=fat:reuters_qtrly_source_window.fat&amp;display_string=Audit&amp;DYN_ARGS=TRUE&amp;VAR:ID1=221353&amp;VAR:RCODE=AEQI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85__FDSAUDITLINK__" localSheetId="8" hidden="1">{"fdsup://IBCentral/FAT Viewer?action=UPDATE&amp;creator=factset&amp;DOC_NAME=fat:reuters_qtrly_source_window.fat&amp;display_string=Audit&amp;DYN_ARGS=TRUE&amp;VAR:ID1=221353&amp;VAR:RCODE=LMIN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85__FDSAUDITLINK__" hidden="1">{"fdsup://IBCentral/FAT Viewer?action=UPDATE&amp;creator=factset&amp;DOC_NAME=fat:reuters_qtrly_source_window.fat&amp;display_string=Audit&amp;DYN_ARGS=TRUE&amp;VAR:ID1=221353&amp;VAR:RCODE=LMIN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86__FDSAUDITLINK__" localSheetId="8" hidden="1">{"fdsup://IBCentral/FAT Viewer?action=UPDATE&amp;creator=factset&amp;DOC_NAME=fat:reuters_qtrly_source_window.fat&amp;display_string=Audit&amp;DYN_ARGS=TRUE&amp;VAR:ID1=221353&amp;VAR:RCODE=STLD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86__FDSAUDITLINK__" hidden="1">{"fdsup://IBCentral/FAT Viewer?action=UPDATE&amp;creator=factset&amp;DOC_NAME=fat:reuters_qtrly_source_window.fat&amp;display_string=Audit&amp;DYN_ARGS=TRUE&amp;VAR:ID1=221353&amp;VAR:RCODE=STLD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87__FDSAUDITLINK__" localSheetId="8" hidden="1">{"fdsup://IBCentral/FAT Viewer?action=UPDATE&amp;creator=factset&amp;DOC_NAME=fat:reuters_qtrly_source_window.fat&amp;display_string=Audit&amp;DYN_ARGS=TRUE&amp;VAR:ID1=221353&amp;VAR:RCODE=SCSI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87__FDSAUDITLINK__" hidden="1">{"fdsup://IBCentral/FAT Viewer?action=UPDATE&amp;creator=factset&amp;DOC_NAME=fat:reuters_qtrly_source_window.fat&amp;display_string=Audit&amp;DYN_ARGS=TRUE&amp;VAR:ID1=221353&amp;VAR:RCODE=SCSI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88__FDSAUDITLINK__" localSheetId="8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988__FDSAUDITLINK__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989__FDSAUDITLINK__" localSheetId="8" hidden="1">{"fdsup://IBCentral/FAT Viewer?action=UPDATE&amp;creator=factset&amp;DOC_NAME=fat:reuters_qtrly_source_window.fat&amp;display_string=Audit&amp;DYN_ARGS=TRUE&amp;VAR:ID1=221353&amp;VAR:RCODE=AEQI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89__FDSAUDITLINK__" hidden="1">{"fdsup://IBCentral/FAT Viewer?action=UPDATE&amp;creator=factset&amp;DOC_NAME=fat:reuters_qtrly_source_window.fat&amp;display_string=Audit&amp;DYN_ARGS=TRUE&amp;VAR:ID1=221353&amp;VAR:RCODE=AEQI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9__FDSAUDITLINK__" localSheetId="8" hidden="1">{"fdsup://directions/FAT Viewer?action=UPDATE&amp;creator=factset&amp;DYN_ARGS=TRUE&amp;DOC_NAME=FAT:FQL_AUDITING_CLIENT_TEMPLATE.FAT&amp;display_string=Audit&amp;VAR:KEY=JWNAPSXAXQ&amp;VAR:QUERY=RkZfRUJJVF9JQignQU5OJywzOTE3MiwsLCwnR0JQJyk=&amp;WINDOW=FIRST_POPUP&amp;HEIGHT=450&amp;WIDTH=450&amp;","START_MAXIMIZED=FALSE&amp;VAR:CALENDAR=FIVEDAY&amp;VAR:SYMBOL=073833&amp;VAR:INDEX=0"}</definedName>
    <definedName name="_199__FDSAUDITLINK__" hidden="1">{"fdsup://directions/FAT Viewer?action=UPDATE&amp;creator=factset&amp;DYN_ARGS=TRUE&amp;DOC_NAME=FAT:FQL_AUDITING_CLIENT_TEMPLATE.FAT&amp;display_string=Audit&amp;VAR:KEY=HYJMJEXQZG&amp;VAR:QUERY=RkZfSU5UX0VYUF9ORVQoTFRNLDQxMDM2KQ==&amp;WINDOW=FIRST_POPUP&amp;HEIGHT=450&amp;WIDTH=450&amp;START_MA","XIMIZED=FALSE&amp;VAR:CALENDAR=US&amp;VAR:SYMBOL=450270&amp;VAR:INDEX=0"}</definedName>
    <definedName name="_199__FDSAUDITLINK___1" localSheetId="8" hidden="1">{"fdsup://directions/FAT Viewer?action=UPDATE&amp;creator=factset&amp;DYN_ARGS=TRUE&amp;DOC_NAME=FAT:FQL_AUDITING_CLIENT_TEMPLATE.FAT&amp;display_string=Audit&amp;VAR:KEY=JWNAPSXAXQ&amp;VAR:QUERY=RkZfRUJJVF9JQignQU5OJywzOTE3MiwsLCwnR0JQJyk=&amp;WINDOW=FIRST_POPUP&amp;HEIGHT=450&amp;WIDTH=450&amp;","START_MAXIMIZED=FALSE&amp;VAR:CALENDAR=FIVEDAY&amp;VAR:SYMBOL=073833&amp;VAR:INDEX=0"}</definedName>
    <definedName name="_199__FDSAUDITLINK___1" hidden="1">{"fdsup://directions/FAT Viewer?action=UPDATE&amp;creator=factset&amp;DYN_ARGS=TRUE&amp;DOC_NAME=FAT:FQL_AUDITING_CLIENT_TEMPLATE.FAT&amp;display_string=Audit&amp;VAR:KEY=JWNAPSXAXQ&amp;VAR:QUERY=RkZfRUJJVF9JQignQU5OJywzOTE3MiwsLCwnR0JQJyk=&amp;WINDOW=FIRST_POPUP&amp;HEIGHT=450&amp;WIDTH=450&amp;","START_MAXIMIZED=FALSE&amp;VAR:CALENDAR=FIVEDAY&amp;VAR:SYMBOL=073833&amp;VAR:INDEX=0"}</definedName>
    <definedName name="_1990__FDSAUDITLINK__" localSheetId="8" hidden="1">{"fdsup://IBCentral/FAT Viewer?action=UPDATE&amp;creator=factset&amp;DOC_NAME=fat:reuters_qtrly_source_window.fat&amp;display_string=Audit&amp;DYN_ARGS=TRUE&amp;VAR:ID1=221353&amp;VAR:RCODE=LMIN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90__FDSAUDITLINK__" hidden="1">{"fdsup://IBCentral/FAT Viewer?action=UPDATE&amp;creator=factset&amp;DOC_NAME=fat:reuters_qtrly_source_window.fat&amp;display_string=Audit&amp;DYN_ARGS=TRUE&amp;VAR:ID1=221353&amp;VAR:RCODE=LMIN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91__FDSAUDITLINK__" localSheetId="8" hidden="1">{"fdsup://IBCentral/FAT Viewer?action=UPDATE&amp;creator=factset&amp;DOC_NAME=fat:reuters_qtrly_source_window.fat&amp;display_string=Audit&amp;DYN_ARGS=TRUE&amp;VAR:ID1=221353&amp;VAR:RCODE=STLD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91__FDSAUDITLINK__" hidden="1">{"fdsup://IBCentral/FAT Viewer?action=UPDATE&amp;creator=factset&amp;DOC_NAME=fat:reuters_qtrly_source_window.fat&amp;display_string=Audit&amp;DYN_ARGS=TRUE&amp;VAR:ID1=221353&amp;VAR:RCODE=STLD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92__FDSAUDITLINK__" localSheetId="8" hidden="1">{"fdsup://IBCentral/FAT Viewer?action=UPDATE&amp;creator=factset&amp;DOC_NAME=fat:reuters_qtrly_source_window.fat&amp;display_string=Audit&amp;DYN_ARGS=TRUE&amp;VAR:ID1=221353&amp;VAR:RCODE=SCSI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92__FDSAUDITLINK__" hidden="1">{"fdsup://IBCentral/FAT Viewer?action=UPDATE&amp;creator=factset&amp;DOC_NAME=fat:reuters_qtrly_source_window.fat&amp;display_string=Audit&amp;DYN_ARGS=TRUE&amp;VAR:ID1=221353&amp;VAR:RCODE=SCSI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93__FDSAUDITLINK__" localSheetId="8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993__FDSAUDITLINK__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994__FDSAUDITLINK__" localSheetId="8" hidden="1">{"fdsup://IBCentral/FAT Viewer?action=UPDATE&amp;creator=factset&amp;DOC_NAME=fat:reuters_qtrly_source_window.fat&amp;display_string=Audit&amp;DYN_ARGS=TRUE&amp;VAR:ID1=221353&amp;VAR:RCODE=AEQI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94__FDSAUDITLINK__" hidden="1">{"fdsup://IBCentral/FAT Viewer?action=UPDATE&amp;creator=factset&amp;DOC_NAME=fat:reuters_qtrly_source_window.fat&amp;display_string=Audit&amp;DYN_ARGS=TRUE&amp;VAR:ID1=221353&amp;VAR:RCODE=AEQI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95__FDSAUDITLINK__" localSheetId="8" hidden="1">{"fdsup://IBCentral/FAT Viewer?action=UPDATE&amp;creator=factset&amp;DOC_NAME=fat:reuters_qtrly_source_window.fat&amp;display_string=Audit&amp;DYN_ARGS=TRUE&amp;VAR:ID1=221353&amp;VAR:RCODE=LMIN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95__FDSAUDITLINK__" hidden="1">{"fdsup://IBCentral/FAT Viewer?action=UPDATE&amp;creator=factset&amp;DOC_NAME=fat:reuters_qtrly_source_window.fat&amp;display_string=Audit&amp;DYN_ARGS=TRUE&amp;VAR:ID1=221353&amp;VAR:RCODE=LMIN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96__FDSAUDITLINK__" localSheetId="8" hidden="1">{"fdsup://IBCentral/FAT Viewer?action=UPDATE&amp;creator=factset&amp;DOC_NAME=fat:reuters_qtrly_source_window.fat&amp;display_string=Audit&amp;DYN_ARGS=TRUE&amp;VAR:ID1=221353&amp;VAR:RCODE=STLD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96__FDSAUDITLINK__" hidden="1">{"fdsup://IBCentral/FAT Viewer?action=UPDATE&amp;creator=factset&amp;DOC_NAME=fat:reuters_qtrly_source_window.fat&amp;display_string=Audit&amp;DYN_ARGS=TRUE&amp;VAR:ID1=221353&amp;VAR:RCODE=STLD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97__FDSAUDITLINK__" localSheetId="8" hidden="1">{"fdsup://IBCentral/FAT Viewer?action=UPDATE&amp;creator=factset&amp;DOC_NAME=fat:reuters_qtrly_source_window.fat&amp;display_string=Audit&amp;DYN_ARGS=TRUE&amp;VAR:ID1=221353&amp;VAR:RCODE=SCSI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97__FDSAUDITLINK__" hidden="1">{"fdsup://IBCentral/FAT Viewer?action=UPDATE&amp;creator=factset&amp;DOC_NAME=fat:reuters_qtrly_source_window.fat&amp;display_string=Audit&amp;DYN_ARGS=TRUE&amp;VAR:ID1=221353&amp;VAR:RCODE=SCSI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98__FDSAUDITLINK__" localSheetId="8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998__FDSAUDITLINK__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999__FDSAUDITLINK__" localSheetId="8" hidden="1">{"fdsup://IBCentral/FAT Viewer?action=UPDATE&amp;creator=factset&amp;DOC_NAME=fat:reuters_qtrly_source_window.fat&amp;display_string=Audit&amp;DYN_ARGS=TRUE&amp;VAR:ID1=221353&amp;VAR:RCODE=AEQI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99__FDSAUDITLINK__" hidden="1">{"fdsup://IBCentral/FAT Viewer?action=UPDATE&amp;creator=factset&amp;DOC_NAME=fat:reuters_qtrly_source_window.fat&amp;display_string=Audit&amp;DYN_ARGS=TRUE&amp;VAR:ID1=221353&amp;VAR:RCODE=AEQI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IQ_INSIDDD__EE__S" hidden="1">"c579"</definedName>
    <definedName name="_2___123Graph_ACHART_2" hidden="1">#REF!</definedName>
    <definedName name="_2__123Graph_AChart_1" hidden="1">#REF!</definedName>
    <definedName name="_2__123Graph_ACHART_12" hidden="1">#REF!</definedName>
    <definedName name="_2__123Graph_ACHART_14" hidden="1">#REF!</definedName>
    <definedName name="_2__123Graph_ACHART_2" localSheetId="7" hidden="1">#REF!</definedName>
    <definedName name="_2__123Graph_ACHART_2" localSheetId="8" hidden="1">#REF!</definedName>
    <definedName name="_2__123Graph_ACHART_2" hidden="1">#REF!</definedName>
    <definedName name="_2__123Graph_ACHART_3" hidden="1">#REF!</definedName>
    <definedName name="_2__123Graph_AGRAFICO_16" localSheetId="8" hidden="1">#REF!</definedName>
    <definedName name="_2__123Graph_AGRAFICO_16" hidden="1">#REF!</definedName>
    <definedName name="_2__123Graph_AGRAFICO_20" hidden="1">#REF!</definedName>
    <definedName name="_2__123Graph_AGRAFICO_7" hidden="1">#REF!</definedName>
    <definedName name="_2__123Graph_AOG_CONFRONT_INC" hidden="1">#REF!</definedName>
    <definedName name="_2__123Graph_BCHART_10" hidden="1">#REF!</definedName>
    <definedName name="_2__123Graph_CCHART_1" hidden="1">#REF!</definedName>
    <definedName name="_2__123Graph_CGRAFICO_1" hidden="1">#REF!</definedName>
    <definedName name="_2__FDSAUDITLINK__" localSheetId="8" hidden="1">{"fdsup://directions/FAT Viewer?action=UPDATE&amp;creator=factset&amp;DYN_ARGS=TRUE&amp;DOC_NAME=FAT:FQL_AUDITING_CLIENT_TEMPLATE.FAT&amp;display_string=Audit&amp;VAR:KEY=INSFMDWTWV&amp;VAR:QUERY=RkZfRUJJVF9JQihBTk4sMzk0NDcsLCxFVVIp&amp;WINDOW=FIRST_POPUP&amp;HEIGHT=450&amp;WIDTH=450&amp;START_MA","XIMIZED=FALSE&amp;VAR:CALENDAR=FIVEDAY&amp;VAR:SYMBOL=591344&amp;VAR:INDEX=0"}</definedName>
    <definedName name="_2__FDSAUDITLINK__" hidden="1">{"fdsup://directions/FAT Viewer?action=UPDATE&amp;creator=factset&amp;DYN_ARGS=TRUE&amp;DOC_NAME=FAT:FQL_AUDITING_CLIENT_TEMPLATE.FAT&amp;display_string=Audit&amp;VAR:KEY=HKFGBUVSHI&amp;VAR:QUERY=RkZfRU5UUlBSX1ZBTF9EQUlMWSg0MTExMCwsLCwsJ0RJTCcp&amp;WINDOW=FIRST_POPUP&amp;HEIGHT=450&amp;WIDTH=","450&amp;START_MAXIMIZED=FALSE&amp;VAR:CALENDAR=US&amp;VAR:SYMBOL=CX&amp;VAR:INDEX=0"}</definedName>
    <definedName name="_2__FDSAUDITLINK___1" localSheetId="8" hidden="1">{"fdsup://directions/FAT Viewer?action=UPDATE&amp;creator=factset&amp;DYN_ARGS=TRUE&amp;DOC_NAME=FAT:FQL_AUDITING_CLIENT_TEMPLATE.FAT&amp;display_string=Audit&amp;VAR:KEY=INSFMDWTWV&amp;VAR:QUERY=RkZfRUJJVF9JQihBTk4sMzk0NDcsLCxFVVIp&amp;WINDOW=FIRST_POPUP&amp;HEIGHT=450&amp;WIDTH=450&amp;START_MA","XIMIZED=FALSE&amp;VAR:CALENDAR=FIVEDAY&amp;VAR:SYMBOL=591344&amp;VAR:INDEX=0"}</definedName>
    <definedName name="_2__FDSAUDITLINK___1" hidden="1">{"fdsup://directions/FAT Viewer?action=UPDATE&amp;creator=factset&amp;DYN_ARGS=TRUE&amp;DOC_NAME=FAT:FQL_AUDITING_CLIENT_TEMPLATE.FAT&amp;display_string=Audit&amp;VAR:KEY=INSFMDWTWV&amp;VAR:QUERY=RkZfRUJJVF9JQihBTk4sMzk0NDcsLCxFVVIp&amp;WINDOW=FIRST_POPUP&amp;HEIGHT=450&amp;WIDTH=450&amp;START_MA","XIMIZED=FALSE&amp;VAR:CALENDAR=FIVEDAY&amp;VAR:SYMBOL=591344&amp;VAR:INDEX=0"}</definedName>
    <definedName name="_2_123Grap" hidden="1">#REF!</definedName>
    <definedName name="_20__123Graph_ACHART_2" hidden="1">#REF!</definedName>
    <definedName name="_20__123Graph_ACHART_31" localSheetId="8" hidden="1">#REF!</definedName>
    <definedName name="_20__123Graph_ACHART_31" hidden="1">#REF!</definedName>
    <definedName name="_20__123Graph_BCHART_1" hidden="1">#N/A</definedName>
    <definedName name="_20__123Graph_BCHART_13" hidden="1">#REF!</definedName>
    <definedName name="_20__123Graph_BCHART_3" hidden="1">#REF!</definedName>
    <definedName name="_20__123Graph_BGRAFICO_6" localSheetId="8" hidden="1">#REF!</definedName>
    <definedName name="_20__123Graph_BGRAFICO_6" hidden="1">#REF!</definedName>
    <definedName name="_20__123Graph_CCHART_1" hidden="1">#REF!</definedName>
    <definedName name="_20__123Graph_ECHART_7" hidden="1">#REF!</definedName>
    <definedName name="_20__123Graph_XChart_11" hidden="1">#REF!</definedName>
    <definedName name="_20__123Graph_XCHART_12" hidden="1">#REF!</definedName>
    <definedName name="_20__123Graph_XCHART_8" hidden="1">#REF!</definedName>
    <definedName name="_20__FDSAUDITLINK__" localSheetId="8" hidden="1">{"fdsup://directions/FAT Viewer?action=UPDATE&amp;creator=factset&amp;DYN_ARGS=TRUE&amp;DOC_NAME=FAT:FQL_AUDITING_CLIENT_TEMPLATE.FAT&amp;display_string=Audit&amp;VAR:KEY=SHIPKBCXCT&amp;VAR:QUERY=RkZfRUJJVF9JQihBTk4sMzY1MjUsLCwsRVVSKQ==&amp;WINDOW=FIRST_POPUP&amp;HEIGHT=450&amp;WIDTH=450&amp;STAR","T_MAXIMIZED=FALSE&amp;VAR:CALENDAR=FIVEDAY&amp;VAR:SYMBOL=591344&amp;VAR:INDEX=0"}</definedName>
    <definedName name="_20__FDSAUDITLINK__" hidden="1">{"fdsup://directions/FAT Viewer?action=UPDATE&amp;creator=factset&amp;DYN_ARGS=TRUE&amp;DOC_NAME=FAT:FQL_AUDITING_CLIENT_TEMPLATE.FAT&amp;display_string=Audit&amp;VAR:KEY=EROBUTMZCF&amp;VAR:QUERY=RkZfU0FMRVMoQ0FMLDIwMTAp&amp;WINDOW=FIRST_POPUP&amp;HEIGHT=450&amp;WIDTH=450&amp;START_MAXIMIZED=FALS","E&amp;VAR:CALENDAR=US&amp;VAR:SYMBOL=711075&amp;VAR:INDEX=0"}</definedName>
    <definedName name="_20__FDSAUDITLINK___1" localSheetId="8" hidden="1">{"fdsup://directions/FAT Viewer?action=UPDATE&amp;creator=factset&amp;DYN_ARGS=TRUE&amp;DOC_NAME=FAT:FQL_AUDITING_CLIENT_TEMPLATE.FAT&amp;display_string=Audit&amp;VAR:KEY=SHIPKBCXCT&amp;VAR:QUERY=RkZfRUJJVF9JQihBTk4sMzY1MjUsLCwsRVVSKQ==&amp;WINDOW=FIRST_POPUP&amp;HEIGHT=450&amp;WIDTH=450&amp;STAR","T_MAXIMIZED=FALSE&amp;VAR:CALENDAR=FIVEDAY&amp;VAR:SYMBOL=591344&amp;VAR:INDEX=0"}</definedName>
    <definedName name="_20__FDSAUDITLINK___1" hidden="1">{"fdsup://directions/FAT Viewer?action=UPDATE&amp;creator=factset&amp;DYN_ARGS=TRUE&amp;DOC_NAME=FAT:FQL_AUDITING_CLIENT_TEMPLATE.FAT&amp;display_string=Audit&amp;VAR:KEY=SHIPKBCXCT&amp;VAR:QUERY=RkZfRUJJVF9JQihBTk4sMzY1MjUsLCwsRVVSKQ==&amp;WINDOW=FIRST_POPUP&amp;HEIGHT=450&amp;WIDTH=450&amp;STAR","T_MAXIMIZED=FALSE&amp;VAR:CALENDAR=FIVEDAY&amp;VAR:SYMBOL=591344&amp;VAR:INDEX=0"}</definedName>
    <definedName name="_20_0_0_K" hidden="1">#REF!</definedName>
    <definedName name="_200__FDSAUDITLINK__" localSheetId="8" hidden="1">{"fdsup://directions/FAT Viewer?action=UPDATE&amp;creator=factset&amp;DYN_ARGS=TRUE&amp;DOC_NAME=FAT:FQL_AUDITING_CLIENT_TEMPLATE.FAT&amp;display_string=Audit&amp;VAR:KEY=LKZORCREJK&amp;VAR:QUERY=RkZfRUJJVF9JQignQU5OJywzODgwNywsLCwnR0JQJyk=&amp;WINDOW=FIRST_POPUP&amp;HEIGHT=450&amp;WIDTH=450&amp;","START_MAXIMIZED=FALSE&amp;VAR:CALENDAR=FIVEDAY&amp;VAR:SYMBOL=073833&amp;VAR:INDEX=0"}</definedName>
    <definedName name="_200__FDSAUDITLINK__" hidden="1">{"fdsup://directions/FAT Viewer?action=UPDATE&amp;creator=factset&amp;DYN_ARGS=TRUE&amp;DOC_NAME=FAT:FQL_AUDITING_CLIENT_TEMPLATE.FAT&amp;display_string=Audit&amp;VAR:KEY=ATAFEBMLKN&amp;VAR:QUERY=RkZfSU5UX0VYUF9ORVQoTFRNLDQxMDM2KQ==&amp;WINDOW=FIRST_POPUP&amp;HEIGHT=450&amp;WIDTH=450&amp;START_MA","XIMIZED=FALSE&amp;VAR:CALENDAR=US&amp;VAR:SYMBOL=USCR&amp;VAR:INDEX=0"}</definedName>
    <definedName name="_200__FDSAUDITLINK___1" localSheetId="8" hidden="1">{"fdsup://directions/FAT Viewer?action=UPDATE&amp;creator=factset&amp;DYN_ARGS=TRUE&amp;DOC_NAME=FAT:FQL_AUDITING_CLIENT_TEMPLATE.FAT&amp;display_string=Audit&amp;VAR:KEY=LKZORCREJK&amp;VAR:QUERY=RkZfRUJJVF9JQignQU5OJywzODgwNywsLCwnR0JQJyk=&amp;WINDOW=FIRST_POPUP&amp;HEIGHT=450&amp;WIDTH=450&amp;","START_MAXIMIZED=FALSE&amp;VAR:CALENDAR=FIVEDAY&amp;VAR:SYMBOL=073833&amp;VAR:INDEX=0"}</definedName>
    <definedName name="_200__FDSAUDITLINK___1" hidden="1">{"fdsup://directions/FAT Viewer?action=UPDATE&amp;creator=factset&amp;DYN_ARGS=TRUE&amp;DOC_NAME=FAT:FQL_AUDITING_CLIENT_TEMPLATE.FAT&amp;display_string=Audit&amp;VAR:KEY=LKZORCREJK&amp;VAR:QUERY=RkZfRUJJVF9JQignQU5OJywzODgwNywsLCwnR0JQJyk=&amp;WINDOW=FIRST_POPUP&amp;HEIGHT=450&amp;WIDTH=450&amp;","START_MAXIMIZED=FALSE&amp;VAR:CALENDAR=FIVEDAY&amp;VAR:SYMBOL=073833&amp;VAR:INDEX=0"}</definedName>
    <definedName name="_2000__FDSAUDITLINK__" localSheetId="8" hidden="1">{"fdsup://IBCentral/FAT Viewer?action=UPDATE&amp;creator=factset&amp;DOC_NAME=fat:reuters_qtrly_source_window.fat&amp;display_string=Audit&amp;DYN_ARGS=TRUE&amp;VAR:ID1=221353&amp;VAR:RCODE=LMIN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00__FDSAUDITLINK__" hidden="1">{"fdsup://IBCentral/FAT Viewer?action=UPDATE&amp;creator=factset&amp;DOC_NAME=fat:reuters_qtrly_source_window.fat&amp;display_string=Audit&amp;DYN_ARGS=TRUE&amp;VAR:ID1=221353&amp;VAR:RCODE=LMIN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01__FDSAUDITLINK__" localSheetId="8" hidden="1">{"fdsup://IBCentral/FAT Viewer?action=UPDATE&amp;creator=factset&amp;DOC_NAME=fat:reuters_qtrly_source_window.fat&amp;display_string=Audit&amp;DYN_ARGS=TRUE&amp;VAR:ID1=221353&amp;VAR:RCODE=STLD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01__FDSAUDITLINK__" hidden="1">{"fdsup://IBCentral/FAT Viewer?action=UPDATE&amp;creator=factset&amp;DOC_NAME=fat:reuters_qtrly_source_window.fat&amp;display_string=Audit&amp;DYN_ARGS=TRUE&amp;VAR:ID1=221353&amp;VAR:RCODE=STLD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02__FDSAUDITLINK__" localSheetId="8" hidden="1">{"fdsup://IBCentral/FAT Viewer?action=UPDATE&amp;creator=factset&amp;DOC_NAME=fat:reuters_qtrly_source_window.fat&amp;display_string=Audit&amp;DYN_ARGS=TRUE&amp;VAR:ID1=221353&amp;VAR:RCODE=SCSI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02__FDSAUDITLINK__" hidden="1">{"fdsup://IBCentral/FAT Viewer?action=UPDATE&amp;creator=factset&amp;DOC_NAME=fat:reuters_qtrly_source_window.fat&amp;display_string=Audit&amp;DYN_ARGS=TRUE&amp;VAR:ID1=221353&amp;VAR:RCODE=SCSI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03__FDSAUDITLINK__" localSheetId="8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2003__FDSAUDITLINK__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2004__FDSAUDITLINK__" localSheetId="8" hidden="1">{"fdsup://IBCentral/FAT Viewer?action=UPDATE&amp;creator=factset&amp;DOC_NAME=fat:reuters_qtrly_source_window.fat&amp;display_string=Audit&amp;DYN_ARGS=TRUE&amp;VAR:ID1=221353&amp;VAR:RCODE=AEQI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04__FDSAUDITLINK__" hidden="1">{"fdsup://IBCentral/FAT Viewer?action=UPDATE&amp;creator=factset&amp;DOC_NAME=fat:reuters_qtrly_source_window.fat&amp;display_string=Audit&amp;DYN_ARGS=TRUE&amp;VAR:ID1=221353&amp;VAR:RCODE=AEQI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05__FDSAUDITLINK__" localSheetId="8" hidden="1">{"fdsup://IBCentral/FAT Viewer?action=UPDATE&amp;creator=factset&amp;DOC_NAME=fat:reuters_qtrly_source_window.fat&amp;display_string=Audit&amp;DYN_ARGS=TRUE&amp;VAR:ID1=221353&amp;VAR:RCODE=LMIN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05__FDSAUDITLINK__" hidden="1">{"fdsup://IBCentral/FAT Viewer?action=UPDATE&amp;creator=factset&amp;DOC_NAME=fat:reuters_qtrly_source_window.fat&amp;display_string=Audit&amp;DYN_ARGS=TRUE&amp;VAR:ID1=221353&amp;VAR:RCODE=LMIN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06__FDSAUDITLINK__" localSheetId="8" hidden="1">{"fdsup://IBCentral/FAT Viewer?action=UPDATE&amp;creator=factset&amp;DOC_NAME=fat:reuters_qtrly_source_window.fat&amp;display_string=Audit&amp;DYN_ARGS=TRUE&amp;VAR:ID1=221353&amp;VAR:RCODE=STLD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06__FDSAUDITLINK__" hidden="1">{"fdsup://IBCentral/FAT Viewer?action=UPDATE&amp;creator=factset&amp;DOC_NAME=fat:reuters_qtrly_source_window.fat&amp;display_string=Audit&amp;DYN_ARGS=TRUE&amp;VAR:ID1=221353&amp;VAR:RCODE=STLD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07__FDSAUDITLINK__" localSheetId="8" hidden="1">{"fdsup://IBCentral/FAT Viewer?action=UPDATE&amp;creator=factset&amp;DOC_NAME=fat:reuters_qtrly_source_window.fat&amp;display_string=Audit&amp;DYN_ARGS=TRUE&amp;VAR:ID1=221353&amp;VAR:RCODE=SCSI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07__FDSAUDITLINK__" hidden="1">{"fdsup://IBCentral/FAT Viewer?action=UPDATE&amp;creator=factset&amp;DOC_NAME=fat:reuters_qtrly_source_window.fat&amp;display_string=Audit&amp;DYN_ARGS=TRUE&amp;VAR:ID1=221353&amp;VAR:RCODE=SCSI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08__FDSAUDITLINK__" localSheetId="8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2008__FDSAUDITLINK__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2009__FDSAUDITLINK__" localSheetId="8" hidden="1">{"fdsup://IBCentral/FAT Viewer?action=UPDATE&amp;creator=factset&amp;DOC_NAME=fat:reuters_qtrly_source_window.fat&amp;display_string=Audit&amp;DYN_ARGS=TRUE&amp;VAR:ID1=221353&amp;VAR:RCODE=AEQI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09__FDSAUDITLINK__" hidden="1">{"fdsup://IBCentral/FAT Viewer?action=UPDATE&amp;creator=factset&amp;DOC_NAME=fat:reuters_qtrly_source_window.fat&amp;display_string=Audit&amp;DYN_ARGS=TRUE&amp;VAR:ID1=221353&amp;VAR:RCODE=AEQI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1__FDSAUDITLINK__" localSheetId="8" hidden="1">{"fdsup://directions/FAT Viewer?action=UPDATE&amp;creator=factset&amp;DYN_ARGS=TRUE&amp;DOC_NAME=FAT:FQL_AUDITING_CLIENT_TEMPLATE.FAT&amp;display_string=Audit&amp;VAR:KEY=DGJYJWZAFO&amp;VAR:QUERY=RkZfRUJJVF9JQignQU5OJywzODQ0MiwsLCwnR0JQJyk=&amp;WINDOW=FIRST_POPUP&amp;HEIGHT=450&amp;WIDTH=450&amp;","START_MAXIMIZED=FALSE&amp;VAR:CALENDAR=FIVEDAY&amp;VAR:SYMBOL=073833&amp;VAR:INDEX=0"}</definedName>
    <definedName name="_201__FDSAUDITLINK__" hidden="1">{"fdsup://directions/FAT Viewer?action=UPDATE&amp;creator=factset&amp;DYN_ARGS=TRUE&amp;DOC_NAME=FAT:FQL_AUDITING_CLIENT_TEMPLATE.FAT&amp;display_string=Audit&amp;VAR:KEY=SRCPOBMTEF&amp;VAR:QUERY=RkZfSU5UX0VYUF9ORVQoTFRNLDQxMDM2KQ==&amp;WINDOW=FIRST_POPUP&amp;HEIGHT=450&amp;WIDTH=450&amp;START_MA","XIMIZED=FALSE&amp;VAR:CALENDAR=US&amp;VAR:SYMBOL=BLDR&amp;VAR:INDEX=0"}</definedName>
    <definedName name="_201__FDSAUDITLINK___1" localSheetId="8" hidden="1">{"fdsup://directions/FAT Viewer?action=UPDATE&amp;creator=factset&amp;DYN_ARGS=TRUE&amp;DOC_NAME=FAT:FQL_AUDITING_CLIENT_TEMPLATE.FAT&amp;display_string=Audit&amp;VAR:KEY=DGJYJWZAFO&amp;VAR:QUERY=RkZfRUJJVF9JQignQU5OJywzODQ0MiwsLCwnR0JQJyk=&amp;WINDOW=FIRST_POPUP&amp;HEIGHT=450&amp;WIDTH=450&amp;","START_MAXIMIZED=FALSE&amp;VAR:CALENDAR=FIVEDAY&amp;VAR:SYMBOL=073833&amp;VAR:INDEX=0"}</definedName>
    <definedName name="_201__FDSAUDITLINK___1" hidden="1">{"fdsup://directions/FAT Viewer?action=UPDATE&amp;creator=factset&amp;DYN_ARGS=TRUE&amp;DOC_NAME=FAT:FQL_AUDITING_CLIENT_TEMPLATE.FAT&amp;display_string=Audit&amp;VAR:KEY=DGJYJWZAFO&amp;VAR:QUERY=RkZfRUJJVF9JQignQU5OJywzODQ0MiwsLCwnR0JQJyk=&amp;WINDOW=FIRST_POPUP&amp;HEIGHT=450&amp;WIDTH=450&amp;","START_MAXIMIZED=FALSE&amp;VAR:CALENDAR=FIVEDAY&amp;VAR:SYMBOL=073833&amp;VAR:INDEX=0"}</definedName>
    <definedName name="_2010__FDSAUDITLINK__" localSheetId="8" hidden="1">{"fdsup://IBCentral/FAT Viewer?action=UPDATE&amp;creator=factset&amp;DOC_NAME=fat:reuters_qtrly_source_window.fat&amp;display_string=Audit&amp;DYN_ARGS=TRUE&amp;VAR:ID1=221353&amp;VAR:RCODE=LMIN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10__FDSAUDITLINK__" hidden="1">{"fdsup://IBCentral/FAT Viewer?action=UPDATE&amp;creator=factset&amp;DOC_NAME=fat:reuters_qtrly_source_window.fat&amp;display_string=Audit&amp;DYN_ARGS=TRUE&amp;VAR:ID1=221353&amp;VAR:RCODE=LMIN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11__FDSAUDITLINK__" localSheetId="8" hidden="1">{"fdsup://IBCentral/FAT Viewer?action=UPDATE&amp;creator=factset&amp;DOC_NAME=fat:reuters_qtrly_source_window.fat&amp;display_string=Audit&amp;DYN_ARGS=TRUE&amp;VAR:ID1=221353&amp;VAR:RCODE=STLD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11__FDSAUDITLINK__" hidden="1">{"fdsup://IBCentral/FAT Viewer?action=UPDATE&amp;creator=factset&amp;DOC_NAME=fat:reuters_qtrly_source_window.fat&amp;display_string=Audit&amp;DYN_ARGS=TRUE&amp;VAR:ID1=221353&amp;VAR:RCODE=STLD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12__FDSAUDITLINK__" localSheetId="8" hidden="1">{"fdsup://IBCentral/FAT Viewer?action=UPDATE&amp;creator=factset&amp;DOC_NAME=fat:reuters_qtrly_source_window.fat&amp;display_string=Audit&amp;DYN_ARGS=TRUE&amp;VAR:ID1=221353&amp;VAR:RCODE=SCSI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12__FDSAUDITLINK__" hidden="1">{"fdsup://IBCentral/FAT Viewer?action=UPDATE&amp;creator=factset&amp;DOC_NAME=fat:reuters_qtrly_source_window.fat&amp;display_string=Audit&amp;DYN_ARGS=TRUE&amp;VAR:ID1=221353&amp;VAR:RCODE=SCSI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13__FDSAUDITLINK__" localSheetId="8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2013__FDSAUDITLINK__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2014__FDSAUDITLINK__" localSheetId="8" hidden="1">{"fdsup://IBCentral/FAT Viewer?action=UPDATE&amp;creator=factset&amp;DOC_NAME=fat:reuters_qtrly_source_window.fat&amp;display_string=Audit&amp;DYN_ARGS=TRUE&amp;VAR:ID1=221353&amp;VAR:RCODE=AEQI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14__FDSAUDITLINK__" hidden="1">{"fdsup://IBCentral/FAT Viewer?action=UPDATE&amp;creator=factset&amp;DOC_NAME=fat:reuters_qtrly_source_window.fat&amp;display_string=Audit&amp;DYN_ARGS=TRUE&amp;VAR:ID1=221353&amp;VAR:RCODE=AEQI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15__FDSAUDITLINK__" localSheetId="8" hidden="1">{"fdsup://IBCentral/FAT Viewer?action=UPDATE&amp;creator=factset&amp;DOC_NAME=fat:reuters_qtrly_source_window.fat&amp;display_string=Audit&amp;DYN_ARGS=TRUE&amp;VAR:ID1=221353&amp;VAR:RCODE=LMIN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15__FDSAUDITLINK__" hidden="1">{"fdsup://IBCentral/FAT Viewer?action=UPDATE&amp;creator=factset&amp;DOC_NAME=fat:reuters_qtrly_source_window.fat&amp;display_string=Audit&amp;DYN_ARGS=TRUE&amp;VAR:ID1=221353&amp;VAR:RCODE=LMIN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16__FDSAUDITLINK__" localSheetId="8" hidden="1">{"fdsup://IBCentral/FAT Viewer?action=UPDATE&amp;creator=factset&amp;DOC_NAME=fat:reuters_qtrly_source_window.fat&amp;display_string=Audit&amp;DYN_ARGS=TRUE&amp;VAR:ID1=221353&amp;VAR:RCODE=STLD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16__FDSAUDITLINK__" hidden="1">{"fdsup://IBCentral/FAT Viewer?action=UPDATE&amp;creator=factset&amp;DOC_NAME=fat:reuters_qtrly_source_window.fat&amp;display_string=Audit&amp;DYN_ARGS=TRUE&amp;VAR:ID1=221353&amp;VAR:RCODE=STLD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17__FDSAUDITLINK__" localSheetId="8" hidden="1">{"fdsup://IBCentral/FAT Viewer?action=UPDATE&amp;creator=factset&amp;DOC_NAME=fat:reuters_qtrly_source_window.fat&amp;display_string=Audit&amp;DYN_ARGS=TRUE&amp;VAR:ID1=221353&amp;VAR:RCODE=SCSI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17__FDSAUDITLINK__" hidden="1">{"fdsup://IBCentral/FAT Viewer?action=UPDATE&amp;creator=factset&amp;DOC_NAME=fat:reuters_qtrly_source_window.fat&amp;display_string=Audit&amp;DYN_ARGS=TRUE&amp;VAR:ID1=221353&amp;VAR:RCODE=SCSI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18__FDSAUDITLINK__" localSheetId="8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2018__FDSAUDITLINK__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2019__FDSAUDITLINK__" localSheetId="8" hidden="1">{"fdsup://IBCentral/FAT Viewer?action=UPDATE&amp;creator=factset&amp;DOC_NAME=fat:reuters_qtrly_source_window.fat&amp;display_string=Audit&amp;DYN_ARGS=TRUE&amp;VAR:ID1=221353&amp;VAR:RCODE=AEQI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19__FDSAUDITLINK__" hidden="1">{"fdsup://IBCentral/FAT Viewer?action=UPDATE&amp;creator=factset&amp;DOC_NAME=fat:reuters_qtrly_source_window.fat&amp;display_string=Audit&amp;DYN_ARGS=TRUE&amp;VAR:ID1=221353&amp;VAR:RCODE=AEQI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2__FDSAUDITLINK__" localSheetId="8" hidden="1">{"fdsup://directions/FAT Viewer?action=UPDATE&amp;creator=factset&amp;DYN_ARGS=TRUE&amp;DOC_NAME=FAT:FQL_AUDITING_CLIENT_TEMPLATE.FAT&amp;display_string=Audit&amp;VAR:KEY=JYXYZGDCXW&amp;VAR:QUERY=RkZfRUJJVF9JQignQU5OJywzODA3NywsLCwnR0JQJyk=&amp;WINDOW=FIRST_POPUP&amp;HEIGHT=450&amp;WIDTH=450&amp;","START_MAXIMIZED=FALSE&amp;VAR:CALENDAR=FIVEDAY&amp;VAR:SYMBOL=073833&amp;VAR:INDEX=0"}</definedName>
    <definedName name="_202__FDSAUDITLINK__" hidden="1">{"fdsup://directions/FAT Viewer?action=UPDATE&amp;creator=factset&amp;DYN_ARGS=TRUE&amp;DOC_NAME=FAT:FQL_AUDITING_CLIENT_TEMPLATE.FAT&amp;display_string=Audit&amp;VAR:KEY=KTCVGJINMZ&amp;VAR:QUERY=RkZfTkVUX0lOQyhMVE0sNDEwMzYp&amp;WINDOW=FIRST_POPUP&amp;HEIGHT=450&amp;WIDTH=450&amp;START_MAXIMIZED=","FALSE&amp;VAR:CALENDAR=US&amp;VAR:SYMBOL=711075&amp;VAR:INDEX=0"}</definedName>
    <definedName name="_202__FDSAUDITLINK___1" localSheetId="8" hidden="1">{"fdsup://directions/FAT Viewer?action=UPDATE&amp;creator=factset&amp;DYN_ARGS=TRUE&amp;DOC_NAME=FAT:FQL_AUDITING_CLIENT_TEMPLATE.FAT&amp;display_string=Audit&amp;VAR:KEY=JYXYZGDCXW&amp;VAR:QUERY=RkZfRUJJVF9JQignQU5OJywzODA3NywsLCwnR0JQJyk=&amp;WINDOW=FIRST_POPUP&amp;HEIGHT=450&amp;WIDTH=450&amp;","START_MAXIMIZED=FALSE&amp;VAR:CALENDAR=FIVEDAY&amp;VAR:SYMBOL=073833&amp;VAR:INDEX=0"}</definedName>
    <definedName name="_202__FDSAUDITLINK___1" hidden="1">{"fdsup://directions/FAT Viewer?action=UPDATE&amp;creator=factset&amp;DYN_ARGS=TRUE&amp;DOC_NAME=FAT:FQL_AUDITING_CLIENT_TEMPLATE.FAT&amp;display_string=Audit&amp;VAR:KEY=JYXYZGDCXW&amp;VAR:QUERY=RkZfRUJJVF9JQignQU5OJywzODA3NywsLCwnR0JQJyk=&amp;WINDOW=FIRST_POPUP&amp;HEIGHT=450&amp;WIDTH=450&amp;","START_MAXIMIZED=FALSE&amp;VAR:CALENDAR=FIVEDAY&amp;VAR:SYMBOL=073833&amp;VAR:INDEX=0"}</definedName>
    <definedName name="_2020__FDSAUDITLINK__" localSheetId="8" hidden="1">{"fdsup://IBCentral/FAT Viewer?action=UPDATE&amp;creator=factset&amp;DOC_NAME=fat:reuters_qtrly_source_window.fat&amp;display_string=Audit&amp;DYN_ARGS=TRUE&amp;VAR:ID1=221353&amp;VAR:RCODE=LMIN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20__FDSAUDITLINK__" hidden="1">{"fdsup://IBCentral/FAT Viewer?action=UPDATE&amp;creator=factset&amp;DOC_NAME=fat:reuters_qtrly_source_window.fat&amp;display_string=Audit&amp;DYN_ARGS=TRUE&amp;VAR:ID1=221353&amp;VAR:RCODE=LMIN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21__FDSAUDITLINK__" localSheetId="8" hidden="1">{"fdsup://IBCentral/FAT Viewer?action=UPDATE&amp;creator=factset&amp;DOC_NAME=fat:reuters_qtrly_source_window.fat&amp;display_string=Audit&amp;DYN_ARGS=TRUE&amp;VAR:ID1=221353&amp;VAR:RCODE=STLD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21__FDSAUDITLINK__" hidden="1">{"fdsup://IBCentral/FAT Viewer?action=UPDATE&amp;creator=factset&amp;DOC_NAME=fat:reuters_qtrly_source_window.fat&amp;display_string=Audit&amp;DYN_ARGS=TRUE&amp;VAR:ID1=221353&amp;VAR:RCODE=STLD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22__FDSAUDITLINK__" localSheetId="8" hidden="1">{"fdsup://IBCentral/FAT Viewer?action=UPDATE&amp;creator=factset&amp;DOC_NAME=fat:reuters_qtrly_source_window.fat&amp;display_string=Audit&amp;DYN_ARGS=TRUE&amp;VAR:ID1=221353&amp;VAR:RCODE=SCSI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22__FDSAUDITLINK__" hidden="1">{"fdsup://IBCentral/FAT Viewer?action=UPDATE&amp;creator=factset&amp;DOC_NAME=fat:reuters_qtrly_source_window.fat&amp;display_string=Audit&amp;DYN_ARGS=TRUE&amp;VAR:ID1=221353&amp;VAR:RCODE=SCSI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23__FDSAUDITLINK__" localSheetId="8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2023__FDSAUDITLINK__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2024__FDSAUDITLINK__" localSheetId="8" hidden="1">{"fdsup://IBCentral/FAT Viewer?action=UPDATE&amp;creator=factset&amp;DOC_NAME=fat:reuters_qtrly_source_window.fat&amp;display_string=Audit&amp;DYN_ARGS=TRUE&amp;VAR:ID1=221353&amp;VAR:RCODE=AEQI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24__FDSAUDITLINK__" hidden="1">{"fdsup://IBCentral/FAT Viewer?action=UPDATE&amp;creator=factset&amp;DOC_NAME=fat:reuters_qtrly_source_window.fat&amp;display_string=Audit&amp;DYN_ARGS=TRUE&amp;VAR:ID1=221353&amp;VAR:RCODE=AEQI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25__FDSAUDITLINK__" localSheetId="8" hidden="1">{"fdsup://IBCentral/FAT Viewer?action=UPDATE&amp;creator=factset&amp;DOC_NAME=fat:reuters_qtrly_source_window.fat&amp;display_string=Audit&amp;DYN_ARGS=TRUE&amp;VAR:ID1=221353&amp;VAR:RCODE=LMIN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25__FDSAUDITLINK__" hidden="1">{"fdsup://IBCentral/FAT Viewer?action=UPDATE&amp;creator=factset&amp;DOC_NAME=fat:reuters_qtrly_source_window.fat&amp;display_string=Audit&amp;DYN_ARGS=TRUE&amp;VAR:ID1=221353&amp;VAR:RCODE=LMIN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26__FDSAUDITLINK__" localSheetId="8" hidden="1">{"fdsup://IBCentral/FAT Viewer?action=UPDATE&amp;creator=factset&amp;DOC_NAME=fat:reuters_qtrly_source_window.fat&amp;display_string=Audit&amp;DYN_ARGS=TRUE&amp;VAR:ID1=221353&amp;VAR:RCODE=STLD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26__FDSAUDITLINK__" hidden="1">{"fdsup://IBCentral/FAT Viewer?action=UPDATE&amp;creator=factset&amp;DOC_NAME=fat:reuters_qtrly_source_window.fat&amp;display_string=Audit&amp;DYN_ARGS=TRUE&amp;VAR:ID1=221353&amp;VAR:RCODE=STLD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27__FDSAUDITLINK__" localSheetId="8" hidden="1">{"fdsup://IBCentral/FAT Viewer?action=UPDATE&amp;creator=factset&amp;DOC_NAME=fat:reuters_qtrly_source_window.fat&amp;display_string=Audit&amp;DYN_ARGS=TRUE&amp;VAR:ID1=221353&amp;VAR:RCODE=SCSI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27__FDSAUDITLINK__" hidden="1">{"fdsup://IBCentral/FAT Viewer?action=UPDATE&amp;creator=factset&amp;DOC_NAME=fat:reuters_qtrly_source_window.fat&amp;display_string=Audit&amp;DYN_ARGS=TRUE&amp;VAR:ID1=221353&amp;VAR:RCODE=SCSI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28__FDSAUDITLINK__" localSheetId="8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2028__FDSAUDITLINK__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2029__FDSAUDITLINK__" localSheetId="8" hidden="1">{"fdsup://IBCentral/FAT Viewer?action=UPDATE&amp;creator=factset&amp;DOC_NAME=fat:reuters_qtrly_source_window.fat&amp;display_string=Audit&amp;DYN_ARGS=TRUE&amp;VAR:ID1=221353&amp;VAR:RCODE=AEQI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29__FDSAUDITLINK__" hidden="1">{"fdsup://IBCentral/FAT Viewer?action=UPDATE&amp;creator=factset&amp;DOC_NAME=fat:reuters_qtrly_source_window.fat&amp;display_string=Audit&amp;DYN_ARGS=TRUE&amp;VAR:ID1=221353&amp;VAR:RCODE=AEQI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3__FDSAUDITLINK__" localSheetId="8" hidden="1">{"fdsup://directions/FAT Viewer?action=UPDATE&amp;creator=factset&amp;DYN_ARGS=TRUE&amp;DOC_NAME=FAT:FQL_AUDITING_CLIENT_TEMPLATE.FAT&amp;display_string=Audit&amp;VAR:KEY=JUFALAFYNI&amp;VAR:QUERY=RkZfRUJJVF9JQignQU5OJywzNzcxMSwsLCwnR0JQJyk=&amp;WINDOW=FIRST_POPUP&amp;HEIGHT=450&amp;WIDTH=450&amp;","START_MAXIMIZED=FALSE&amp;VAR:CALENDAR=FIVEDAY&amp;VAR:SYMBOL=073833&amp;VAR:INDEX=0"}</definedName>
    <definedName name="_203__FDSAUDITLINK__" hidden="1">{"fdsup://directions/FAT Viewer?action=UPDATE&amp;creator=factset&amp;DYN_ARGS=TRUE&amp;DOC_NAME=FAT:FQL_AUDITING_CLIENT_TEMPLATE.FAT&amp;display_string=Audit&amp;VAR:KEY=NQNQNSTKVA&amp;VAR:QUERY=RkZfTkVUX0lOQyhMVE0sNDEwMzYp&amp;WINDOW=FIRST_POPUP&amp;HEIGHT=450&amp;WIDTH=450&amp;START_MAXIMIZED=","FALSE&amp;VAR:CALENDAR=US&amp;VAR:SYMBOL=CX&amp;VAR:INDEX=0"}</definedName>
    <definedName name="_203__FDSAUDITLINK___1" localSheetId="8" hidden="1">{"fdsup://directions/FAT Viewer?action=UPDATE&amp;creator=factset&amp;DYN_ARGS=TRUE&amp;DOC_NAME=FAT:FQL_AUDITING_CLIENT_TEMPLATE.FAT&amp;display_string=Audit&amp;VAR:KEY=JUFALAFYNI&amp;VAR:QUERY=RkZfRUJJVF9JQignQU5OJywzNzcxMSwsLCwnR0JQJyk=&amp;WINDOW=FIRST_POPUP&amp;HEIGHT=450&amp;WIDTH=450&amp;","START_MAXIMIZED=FALSE&amp;VAR:CALENDAR=FIVEDAY&amp;VAR:SYMBOL=073833&amp;VAR:INDEX=0"}</definedName>
    <definedName name="_203__FDSAUDITLINK___1" hidden="1">{"fdsup://directions/FAT Viewer?action=UPDATE&amp;creator=factset&amp;DYN_ARGS=TRUE&amp;DOC_NAME=FAT:FQL_AUDITING_CLIENT_TEMPLATE.FAT&amp;display_string=Audit&amp;VAR:KEY=JUFALAFYNI&amp;VAR:QUERY=RkZfRUJJVF9JQignQU5OJywzNzcxMSwsLCwnR0JQJyk=&amp;WINDOW=FIRST_POPUP&amp;HEIGHT=450&amp;WIDTH=450&amp;","START_MAXIMIZED=FALSE&amp;VAR:CALENDAR=FIVEDAY&amp;VAR:SYMBOL=073833&amp;VAR:INDEX=0"}</definedName>
    <definedName name="_2030__FDSAUDITLINK__" localSheetId="8" hidden="1">{"fdsup://IBCentral/FAT Viewer?action=UPDATE&amp;creator=factset&amp;DOC_NAME=fat:reuters_qtrly_source_window.fat&amp;display_string=Audit&amp;DYN_ARGS=TRUE&amp;VAR:ID1=221353&amp;VAR:RCODE=LMIN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30__FDSAUDITLINK__" hidden="1">{"fdsup://IBCentral/FAT Viewer?action=UPDATE&amp;creator=factset&amp;DOC_NAME=fat:reuters_qtrly_source_window.fat&amp;display_string=Audit&amp;DYN_ARGS=TRUE&amp;VAR:ID1=221353&amp;VAR:RCODE=LMIN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31__FDSAUDITLINK__" localSheetId="8" hidden="1">{"fdsup://IBCentral/FAT Viewer?action=UPDATE&amp;creator=factset&amp;DOC_NAME=fat:reuters_qtrly_source_window.fat&amp;display_string=Audit&amp;DYN_ARGS=TRUE&amp;VAR:ID1=221353&amp;VAR:RCODE=STLD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31__FDSAUDITLINK__" hidden="1">{"fdsup://IBCentral/FAT Viewer?action=UPDATE&amp;creator=factset&amp;DOC_NAME=fat:reuters_qtrly_source_window.fat&amp;display_string=Audit&amp;DYN_ARGS=TRUE&amp;VAR:ID1=221353&amp;VAR:RCODE=STLD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32__FDSAUDITLINK__" localSheetId="8" hidden="1">{"fdsup://IBCentral/FAT Viewer?action=UPDATE&amp;creator=factset&amp;DOC_NAME=fat:reuters_qtrly_source_window.fat&amp;display_string=Audit&amp;DYN_ARGS=TRUE&amp;VAR:ID1=221353&amp;VAR:RCODE=SCSI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32__FDSAUDITLINK__" hidden="1">{"fdsup://IBCentral/FAT Viewer?action=UPDATE&amp;creator=factset&amp;DOC_NAME=fat:reuters_qtrly_source_window.fat&amp;display_string=Audit&amp;DYN_ARGS=TRUE&amp;VAR:ID1=221353&amp;VAR:RCODE=SCSI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33__FDSAUDITLINK__" localSheetId="8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2033__FDSAUDITLINK__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2034__FDSAUDITLINK__" localSheetId="8" hidden="1">{"fdsup://IBCentral/FAT Viewer?action=UPDATE&amp;creator=factset&amp;DOC_NAME=fat:reuters_qtrly_source_window.fat&amp;display_string=Audit&amp;DYN_ARGS=TRUE&amp;VAR:ID1=221353&amp;VAR:RCODE=AEQI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34__FDSAUDITLINK__" hidden="1">{"fdsup://IBCentral/FAT Viewer?action=UPDATE&amp;creator=factset&amp;DOC_NAME=fat:reuters_qtrly_source_window.fat&amp;display_string=Audit&amp;DYN_ARGS=TRUE&amp;VAR:ID1=221353&amp;VAR:RCODE=AEQI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35__FDSAUDITLINK__" localSheetId="8" hidden="1">{"fdsup://IBCentral/FAT Viewer?action=UPDATE&amp;creator=factset&amp;DOC_NAME=fat:reuters_qtrly_source_window.fat&amp;display_string=Audit&amp;DYN_ARGS=TRUE&amp;VAR:ID1=221353&amp;VAR:RCODE=LMIN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35__FDSAUDITLINK__" hidden="1">{"fdsup://IBCentral/FAT Viewer?action=UPDATE&amp;creator=factset&amp;DOC_NAME=fat:reuters_qtrly_source_window.fat&amp;display_string=Audit&amp;DYN_ARGS=TRUE&amp;VAR:ID1=221353&amp;VAR:RCODE=LMIN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36__FDSAUDITLINK__" localSheetId="8" hidden="1">{"fdsup://IBCentral/FAT Viewer?action=UPDATE&amp;creator=factset&amp;DOC_NAME=fat:reuters_qtrly_source_window.fat&amp;display_string=Audit&amp;DYN_ARGS=TRUE&amp;VAR:ID1=221353&amp;VAR:RCODE=STLD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36__FDSAUDITLINK__" hidden="1">{"fdsup://IBCentral/FAT Viewer?action=UPDATE&amp;creator=factset&amp;DOC_NAME=fat:reuters_qtrly_source_window.fat&amp;display_string=Audit&amp;DYN_ARGS=TRUE&amp;VAR:ID1=221353&amp;VAR:RCODE=STLD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37__FDSAUDITLINK__" localSheetId="8" hidden="1">{"fdsup://IBCentral/FAT Viewer?action=UPDATE&amp;creator=factset&amp;DOC_NAME=fat:reuters_qtrly_source_window.fat&amp;display_string=Audit&amp;DYN_ARGS=TRUE&amp;VAR:ID1=221353&amp;VAR:RCODE=SCSI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37__FDSAUDITLINK__" hidden="1">{"fdsup://IBCentral/FAT Viewer?action=UPDATE&amp;creator=factset&amp;DOC_NAME=fat:reuters_qtrly_source_window.fat&amp;display_string=Audit&amp;DYN_ARGS=TRUE&amp;VAR:ID1=221353&amp;VAR:RCODE=SCSI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38__FDSAUDITLINK__" localSheetId="8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2038__FDSAUDITLINK__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2039__FDSAUDITLINK__" localSheetId="8" hidden="1">{"fdsup://IBCentral/FAT Viewer?action=UPDATE&amp;creator=factset&amp;DOC_NAME=fat:reuters_qtrly_source_window.fat&amp;display_string=Audit&amp;DYN_ARGS=TRUE&amp;VAR:ID1=221353&amp;VAR:RCODE=AEQI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39__FDSAUDITLINK__" hidden="1">{"fdsup://IBCentral/FAT Viewer?action=UPDATE&amp;creator=factset&amp;DOC_NAME=fat:reuters_qtrly_source_window.fat&amp;display_string=Audit&amp;DYN_ARGS=TRUE&amp;VAR:ID1=221353&amp;VAR:RCODE=AEQI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4__FDSAUDITLINK__" localSheetId="8" hidden="1">{"fdsup://directions/FAT Viewer?action=UPDATE&amp;creator=factset&amp;DYN_ARGS=TRUE&amp;DOC_NAME=FAT:FQL_AUDITING_CLIENT_TEMPLATE.FAT&amp;display_string=Audit&amp;VAR:KEY=LYVOLWRWDU&amp;VAR:QUERY=RkZfRUJJVF9JQignQU5OJywzNzM0NiwsLCwnR0JQJyk=&amp;WINDOW=FIRST_POPUP&amp;HEIGHT=450&amp;WIDTH=450&amp;","START_MAXIMIZED=FALSE&amp;VAR:CALENDAR=FIVEDAY&amp;VAR:SYMBOL=073833&amp;VAR:INDEX=0"}</definedName>
    <definedName name="_204__FDSAUDITLINK__" hidden="1">{"fdsup://directions/FAT Viewer?action=UPDATE&amp;creator=factset&amp;DYN_ARGS=TRUE&amp;DOC_NAME=FAT:FQL_AUDITING_CLIENT_TEMPLATE.FAT&amp;display_string=Audit&amp;VAR:KEY=BGPYFQJEXS&amp;VAR:QUERY=RkZfTkVUX0lOQyhMVE0sNDEwMzYp&amp;WINDOW=FIRST_POPUP&amp;HEIGHT=450&amp;WIDTH=450&amp;START_MAXIMIZED=","FALSE&amp;VAR:CALENDAR=US&amp;VAR:SYMBOL=450270&amp;VAR:INDEX=0"}</definedName>
    <definedName name="_204__FDSAUDITLINK___1" localSheetId="8" hidden="1">{"fdsup://directions/FAT Viewer?action=UPDATE&amp;creator=factset&amp;DYN_ARGS=TRUE&amp;DOC_NAME=FAT:FQL_AUDITING_CLIENT_TEMPLATE.FAT&amp;display_string=Audit&amp;VAR:KEY=LYVOLWRWDU&amp;VAR:QUERY=RkZfRUJJVF9JQignQU5OJywzNzM0NiwsLCwnR0JQJyk=&amp;WINDOW=FIRST_POPUP&amp;HEIGHT=450&amp;WIDTH=450&amp;","START_MAXIMIZED=FALSE&amp;VAR:CALENDAR=FIVEDAY&amp;VAR:SYMBOL=073833&amp;VAR:INDEX=0"}</definedName>
    <definedName name="_204__FDSAUDITLINK___1" hidden="1">{"fdsup://directions/FAT Viewer?action=UPDATE&amp;creator=factset&amp;DYN_ARGS=TRUE&amp;DOC_NAME=FAT:FQL_AUDITING_CLIENT_TEMPLATE.FAT&amp;display_string=Audit&amp;VAR:KEY=LYVOLWRWDU&amp;VAR:QUERY=RkZfRUJJVF9JQignQU5OJywzNzM0NiwsLCwnR0JQJyk=&amp;WINDOW=FIRST_POPUP&amp;HEIGHT=450&amp;WIDTH=450&amp;","START_MAXIMIZED=FALSE&amp;VAR:CALENDAR=FIVEDAY&amp;VAR:SYMBOL=073833&amp;VAR:INDEX=0"}</definedName>
    <definedName name="_2040__FDSAUDITLINK__" localSheetId="8" hidden="1">{"fdsup://IBCentral/FAT Viewer?action=UPDATE&amp;creator=factset&amp;DOC_NAME=fat:reuters_qtrly_source_window.fat&amp;display_string=Audit&amp;DYN_ARGS=TRUE&amp;VAR:ID1=221353&amp;VAR:RCODE=LMIN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40__FDSAUDITLINK__" hidden="1">{"fdsup://IBCentral/FAT Viewer?action=UPDATE&amp;creator=factset&amp;DOC_NAME=fat:reuters_qtrly_source_window.fat&amp;display_string=Audit&amp;DYN_ARGS=TRUE&amp;VAR:ID1=221353&amp;VAR:RCODE=LMIN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41__FDSAUDITLINK__" localSheetId="8" hidden="1">{"fdsup://IBCentral/FAT Viewer?action=UPDATE&amp;creator=factset&amp;DOC_NAME=fat:reuters_qtrly_source_window.fat&amp;display_string=Audit&amp;DYN_ARGS=TRUE&amp;VAR:ID1=221353&amp;VAR:RCODE=STLD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41__FDSAUDITLINK__" hidden="1">{"fdsup://IBCentral/FAT Viewer?action=UPDATE&amp;creator=factset&amp;DOC_NAME=fat:reuters_qtrly_source_window.fat&amp;display_string=Audit&amp;DYN_ARGS=TRUE&amp;VAR:ID1=221353&amp;VAR:RCODE=STLD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42__FDSAUDITLINK__" localSheetId="8" hidden="1">{"fdsup://IBCentral/FAT Viewer?action=UPDATE&amp;creator=factset&amp;DOC_NAME=fat:reuters_qtrly_source_window.fat&amp;display_string=Audit&amp;DYN_ARGS=TRUE&amp;VAR:ID1=221353&amp;VAR:RCODE=SCSI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42__FDSAUDITLINK__" hidden="1">{"fdsup://IBCentral/FAT Viewer?action=UPDATE&amp;creator=factset&amp;DOC_NAME=fat:reuters_qtrly_source_window.fat&amp;display_string=Audit&amp;DYN_ARGS=TRUE&amp;VAR:ID1=221353&amp;VAR:RCODE=SCSI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43__FDSAUDITLINK__" localSheetId="8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2043__FDSAUDITLINK__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2044__FDSAUDITLINK__" localSheetId="8" hidden="1">{"fdsup://IBCentral/FAT Viewer?action=UPDATE&amp;creator=factset&amp;DOC_NAME=fat:reuters_qtrly_source_window.fat&amp;display_string=Audit&amp;DYN_ARGS=TRUE&amp;VAR:ID1=221353&amp;VAR:RCODE=AEQI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44__FDSAUDITLINK__" hidden="1">{"fdsup://IBCentral/FAT Viewer?action=UPDATE&amp;creator=factset&amp;DOC_NAME=fat:reuters_qtrly_source_window.fat&amp;display_string=Audit&amp;DYN_ARGS=TRUE&amp;VAR:ID1=221353&amp;VAR:RCODE=AEQI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45__FDSAUDITLINK__" localSheetId="8" hidden="1">{"fdsup://IBCentral/FAT Viewer?action=UPDATE&amp;creator=factset&amp;DOC_NAME=fat:reuters_qtrly_source_window.fat&amp;display_string=Audit&amp;DYN_ARGS=TRUE&amp;VAR:ID1=221353&amp;VAR:RCODE=LMIN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45__FDSAUDITLINK__" hidden="1">{"fdsup://IBCentral/FAT Viewer?action=UPDATE&amp;creator=factset&amp;DOC_NAME=fat:reuters_qtrly_source_window.fat&amp;display_string=Audit&amp;DYN_ARGS=TRUE&amp;VAR:ID1=221353&amp;VAR:RCODE=LMIN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46__FDSAUDITLINK__" localSheetId="8" hidden="1">{"fdsup://IBCentral/FAT Viewer?action=UPDATE&amp;creator=factset&amp;DOC_NAME=fat:reuters_qtrly_source_window.fat&amp;display_string=Audit&amp;DYN_ARGS=TRUE&amp;VAR:ID1=221353&amp;VAR:RCODE=STLD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46__FDSAUDITLINK__" hidden="1">{"fdsup://IBCentral/FAT Viewer?action=UPDATE&amp;creator=factset&amp;DOC_NAME=fat:reuters_qtrly_source_window.fat&amp;display_string=Audit&amp;DYN_ARGS=TRUE&amp;VAR:ID1=221353&amp;VAR:RCODE=STLD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47__FDSAUDITLINK__" localSheetId="8" hidden="1">{"fdsup://IBCentral/FAT Viewer?action=UPDATE&amp;creator=factset&amp;DOC_NAME=fat:reuters_qtrly_source_window.fat&amp;display_string=Audit&amp;DYN_ARGS=TRUE&amp;VAR:ID1=221353&amp;VAR:RCODE=SCSI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47__FDSAUDITLINK__" hidden="1">{"fdsup://IBCentral/FAT Viewer?action=UPDATE&amp;creator=factset&amp;DOC_NAME=fat:reuters_qtrly_source_window.fat&amp;display_string=Audit&amp;DYN_ARGS=TRUE&amp;VAR:ID1=221353&amp;VAR:RCODE=SCSI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48__FDSAUDITLINK__" localSheetId="8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2048__FDSAUDITLINK__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2049__FDSAUDITLINK__" localSheetId="8" hidden="1">{"fdsup://IBCentral/FAT Viewer?action=UPDATE&amp;creator=factset&amp;DOC_NAME=fat:reuters_qtrly_source_window.fat&amp;display_string=Audit&amp;DYN_ARGS=TRUE&amp;VAR:ID1=221353&amp;VAR:RCODE=AEQI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49__FDSAUDITLINK__" hidden="1">{"fdsup://IBCentral/FAT Viewer?action=UPDATE&amp;creator=factset&amp;DOC_NAME=fat:reuters_qtrly_source_window.fat&amp;display_string=Audit&amp;DYN_ARGS=TRUE&amp;VAR:ID1=221353&amp;VAR:RCODE=AEQI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5__123Graph_XCHART_20" hidden="1">#REF!</definedName>
    <definedName name="_205__FDSAUDITLINK__" localSheetId="8" hidden="1">{"fdsup://directions/FAT Viewer?action=UPDATE&amp;creator=factset&amp;DYN_ARGS=TRUE&amp;DOC_NAME=FAT:FQL_AUDITING_CLIENT_TEMPLATE.FAT&amp;display_string=Audit&amp;VAR:KEY=PSHAFYRIJE&amp;VAR:QUERY=RkZfRUJJVF9JQignQU5OJywzNjk4MSwsLCwnR0JQJyk=&amp;WINDOW=FIRST_POPUP&amp;HEIGHT=450&amp;WIDTH=450&amp;","START_MAXIMIZED=FALSE&amp;VAR:CALENDAR=FIVEDAY&amp;VAR:SYMBOL=073833&amp;VAR:INDEX=0"}</definedName>
    <definedName name="_205__FDSAUDITLINK__" hidden="1">{"fdsup://directions/FAT Viewer?action=UPDATE&amp;creator=factset&amp;DYN_ARGS=TRUE&amp;DOC_NAME=FAT:FQL_AUDITING_CLIENT_TEMPLATE.FAT&amp;display_string=Audit&amp;VAR:KEY=AHORGDOJID&amp;VAR:QUERY=RkZfTkVUX0lOQyhMVE0sNDEwMzYp&amp;WINDOW=FIRST_POPUP&amp;HEIGHT=450&amp;WIDTH=450&amp;START_MAXIMIZED=","FALSE&amp;VAR:CALENDAR=US&amp;VAR:SYMBOL=BLDR&amp;VAR:INDEX=0"}</definedName>
    <definedName name="_205__FDSAUDITLINK___1" localSheetId="8" hidden="1">{"fdsup://directions/FAT Viewer?action=UPDATE&amp;creator=factset&amp;DYN_ARGS=TRUE&amp;DOC_NAME=FAT:FQL_AUDITING_CLIENT_TEMPLATE.FAT&amp;display_string=Audit&amp;VAR:KEY=PSHAFYRIJE&amp;VAR:QUERY=RkZfRUJJVF9JQignQU5OJywzNjk4MSwsLCwnR0JQJyk=&amp;WINDOW=FIRST_POPUP&amp;HEIGHT=450&amp;WIDTH=450&amp;","START_MAXIMIZED=FALSE&amp;VAR:CALENDAR=FIVEDAY&amp;VAR:SYMBOL=073833&amp;VAR:INDEX=0"}</definedName>
    <definedName name="_205__FDSAUDITLINK___1" hidden="1">{"fdsup://directions/FAT Viewer?action=UPDATE&amp;creator=factset&amp;DYN_ARGS=TRUE&amp;DOC_NAME=FAT:FQL_AUDITING_CLIENT_TEMPLATE.FAT&amp;display_string=Audit&amp;VAR:KEY=PSHAFYRIJE&amp;VAR:QUERY=RkZfRUJJVF9JQignQU5OJywzNjk4MSwsLCwnR0JQJyk=&amp;WINDOW=FIRST_POPUP&amp;HEIGHT=450&amp;WIDTH=450&amp;","START_MAXIMIZED=FALSE&amp;VAR:CALENDAR=FIVEDAY&amp;VAR:SYMBOL=073833&amp;VAR:INDEX=0"}</definedName>
    <definedName name="_2050__FDSAUDITLINK__" localSheetId="8" hidden="1">{"fdsup://IBCentral/FAT Viewer?action=UPDATE&amp;creator=factset&amp;DOC_NAME=fat:reuters_qtrly_source_window.fat&amp;display_string=Audit&amp;DYN_ARGS=TRUE&amp;VAR:ID1=221353&amp;VAR:RCODE=LMIN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50__FDSAUDITLINK__" hidden="1">{"fdsup://IBCentral/FAT Viewer?action=UPDATE&amp;creator=factset&amp;DOC_NAME=fat:reuters_qtrly_source_window.fat&amp;display_string=Audit&amp;DYN_ARGS=TRUE&amp;VAR:ID1=221353&amp;VAR:RCODE=LMIN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51__FDSAUDITLINK__" localSheetId="8" hidden="1">{"fdsup://IBCentral/FAT Viewer?action=UPDATE&amp;creator=factset&amp;DOC_NAME=fat:reuters_qtrly_source_window.fat&amp;display_string=Audit&amp;DYN_ARGS=TRUE&amp;VAR:ID1=221353&amp;VAR:RCODE=STLD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51__FDSAUDITLINK__" hidden="1">{"fdsup://IBCentral/FAT Viewer?action=UPDATE&amp;creator=factset&amp;DOC_NAME=fat:reuters_qtrly_source_window.fat&amp;display_string=Audit&amp;DYN_ARGS=TRUE&amp;VAR:ID1=221353&amp;VAR:RCODE=STLD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52__FDSAUDITLINK__" localSheetId="8" hidden="1">{"fdsup://IBCentral/FAT Viewer?action=UPDATE&amp;creator=factset&amp;DOC_NAME=fat:reuters_qtrly_source_window.fat&amp;display_string=Audit&amp;DYN_ARGS=TRUE&amp;VAR:ID1=221353&amp;VAR:RCODE=SCSI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52__FDSAUDITLINK__" hidden="1">{"fdsup://IBCentral/FAT Viewer?action=UPDATE&amp;creator=factset&amp;DOC_NAME=fat:reuters_qtrly_source_window.fat&amp;display_string=Audit&amp;DYN_ARGS=TRUE&amp;VAR:ID1=221353&amp;VAR:RCODE=SCSI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53__FDSAUDITLINK__" localSheetId="8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2053__FDSAUDITLINK__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2054__FDSAUDITLINK__" localSheetId="8" hidden="1">{"fdsup://IBCentral/FAT Viewer?action=UPDATE&amp;creator=factset&amp;DOC_NAME=fat:reuters_qtrly_source_window.fat&amp;display_string=Audit&amp;DYN_ARGS=TRUE&amp;VAR:ID1=221353&amp;VAR:RCODE=AEQI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54__FDSAUDITLINK__" hidden="1">{"fdsup://IBCentral/FAT Viewer?action=UPDATE&amp;creator=factset&amp;DOC_NAME=fat:reuters_qtrly_source_window.fat&amp;display_string=Audit&amp;DYN_ARGS=TRUE&amp;VAR:ID1=221353&amp;VAR:RCODE=AEQI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55__FDSAUDITLINK__" localSheetId="8" hidden="1">{"fdsup://IBCentral/FAT Viewer?action=UPDATE&amp;creator=factset&amp;DOC_NAME=fat:reuters_qtrly_source_window.fat&amp;display_string=Audit&amp;DYN_ARGS=TRUE&amp;VAR:ID1=221353&amp;VAR:RCODE=LMIN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55__FDSAUDITLINK__" hidden="1">{"fdsup://IBCentral/FAT Viewer?action=UPDATE&amp;creator=factset&amp;DOC_NAME=fat:reuters_qtrly_source_window.fat&amp;display_string=Audit&amp;DYN_ARGS=TRUE&amp;VAR:ID1=221353&amp;VAR:RCODE=LMIN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56__FDSAUDITLINK__" localSheetId="8" hidden="1">{"fdsup://IBCentral/FAT Viewer?action=UPDATE&amp;creator=factset&amp;DOC_NAME=fat:reuters_qtrly_source_window.fat&amp;display_string=Audit&amp;DYN_ARGS=TRUE&amp;VAR:ID1=221353&amp;VAR:RCODE=STLD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56__FDSAUDITLINK__" hidden="1">{"fdsup://IBCentral/FAT Viewer?action=UPDATE&amp;creator=factset&amp;DOC_NAME=fat:reuters_qtrly_source_window.fat&amp;display_string=Audit&amp;DYN_ARGS=TRUE&amp;VAR:ID1=221353&amp;VAR:RCODE=STLD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57__FDSAUDITLINK__" localSheetId="8" hidden="1">{"fdsup://IBCentral/FAT Viewer?action=UPDATE&amp;creator=factset&amp;DOC_NAME=fat:reuters_qtrly_source_window.fat&amp;display_string=Audit&amp;DYN_ARGS=TRUE&amp;VAR:ID1=221353&amp;VAR:RCODE=SCSI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57__FDSAUDITLINK__" hidden="1">{"fdsup://IBCentral/FAT Viewer?action=UPDATE&amp;creator=factset&amp;DOC_NAME=fat:reuters_qtrly_source_window.fat&amp;display_string=Audit&amp;DYN_ARGS=TRUE&amp;VAR:ID1=221353&amp;VAR:RCODE=SCSI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58__FDSAUDITLINK__" localSheetId="8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2058__FDSAUDITLINK__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2059__FDSAUDITLINK__" localSheetId="8" hidden="1">{"fdsup://IBCentral/FAT Viewer?action=UPDATE&amp;creator=factset&amp;DOC_NAME=fat:reuters_qtrly_source_window.fat&amp;display_string=Audit&amp;DYN_ARGS=TRUE&amp;VAR:ID1=221353&amp;VAR:RCODE=AEQI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59__FDSAUDITLINK__" hidden="1">{"fdsup://IBCentral/FAT Viewer?action=UPDATE&amp;creator=factset&amp;DOC_NAME=fat:reuters_qtrly_source_window.fat&amp;display_string=Audit&amp;DYN_ARGS=TRUE&amp;VAR:ID1=221353&amp;VAR:RCODE=AEQI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6__FDSAUDITLINK__" localSheetId="7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__FDSAUDITLINK__" localSheetId="8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__FDSAUDITLINK__" hidden="1">{"fdsup://directions/FAT Viewer?action=UPDATE&amp;creator=factset&amp;DYN_ARGS=TRUE&amp;DOC_NAME=FAT:FQL_AUDITING_CLIENT_TEMPLATE.FAT&amp;display_string=Audit&amp;VAR:KEY=AFUNQFIZOH&amp;VAR:QUERY=RkZfTkVUX0lOQyhMVE0sNDEwMzYp&amp;WINDOW=FIRST_POPUP&amp;HEIGHT=450&amp;WIDTH=450&amp;START_MAXIMIZED=","FALSE&amp;VAR:CALENDAR=US&amp;VAR:SYMBOL=VMC&amp;VAR:INDEX=0"}</definedName>
    <definedName name="_206__FDSAUDITLINK___1" localSheetId="8" hidden="1">{"fdsup://directions/FAT Viewer?action=UPDATE&amp;creator=factset&amp;DYN_ARGS=TRUE&amp;DOC_NAME=FAT:FQL_AUDITING_CLIENT_TEMPLATE.FAT&amp;display_string=Audit&amp;VAR:KEY=PYXADINIBW&amp;VAR:QUERY=RkZfRUJJVF9JQignQU5OJywzNjYxNiwsLCwnR0JQJyk=&amp;WINDOW=FIRST_POPUP&amp;HEIGHT=450&amp;WIDTH=450&amp;","START_MAXIMIZED=FALSE&amp;VAR:CALENDAR=FIVEDAY&amp;VAR:SYMBOL=073833&amp;VAR:INDEX=0"}</definedName>
    <definedName name="_206__FDSAUDITLINK___1" hidden="1">{"fdsup://directions/FAT Viewer?action=UPDATE&amp;creator=factset&amp;DYN_ARGS=TRUE&amp;DOC_NAME=FAT:FQL_AUDITING_CLIENT_TEMPLATE.FAT&amp;display_string=Audit&amp;VAR:KEY=PYXADINIBW&amp;VAR:QUERY=RkZfRUJJVF9JQignQU5OJywzNjYxNiwsLCwnR0JQJyk=&amp;WINDOW=FIRST_POPUP&amp;HEIGHT=450&amp;WIDTH=450&amp;","START_MAXIMIZED=FALSE&amp;VAR:CALENDAR=FIVEDAY&amp;VAR:SYMBOL=073833&amp;VAR:INDEX=0"}</definedName>
    <definedName name="_2060__FDSAUDITLINK__" localSheetId="8" hidden="1">{"fdsup://IBCentral/FAT Viewer?action=UPDATE&amp;creator=factset&amp;DOC_NAME=fat:reuters_qtrly_source_window.fat&amp;display_string=Audit&amp;DYN_ARGS=TRUE&amp;VAR:ID1=221353&amp;VAR:RCODE=LMIN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60__FDSAUDITLINK__" hidden="1">{"fdsup://IBCentral/FAT Viewer?action=UPDATE&amp;creator=factset&amp;DOC_NAME=fat:reuters_qtrly_source_window.fat&amp;display_string=Audit&amp;DYN_ARGS=TRUE&amp;VAR:ID1=221353&amp;VAR:RCODE=LMIN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61__FDSAUDITLINK__" localSheetId="8" hidden="1">{"fdsup://IBCentral/FAT Viewer?action=UPDATE&amp;creator=factset&amp;DOC_NAME=fat:reuters_qtrly_source_window.fat&amp;display_string=Audit&amp;DYN_ARGS=TRUE&amp;VAR:ID1=221353&amp;VAR:RCODE=STLD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61__FDSAUDITLINK__" hidden="1">{"fdsup://IBCentral/FAT Viewer?action=UPDATE&amp;creator=factset&amp;DOC_NAME=fat:reuters_qtrly_source_window.fat&amp;display_string=Audit&amp;DYN_ARGS=TRUE&amp;VAR:ID1=221353&amp;VAR:RCODE=STLD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62__FDSAUDITLINK__" localSheetId="8" hidden="1">{"fdsup://IBCentral/FAT Viewer?action=UPDATE&amp;creator=factset&amp;DOC_NAME=fat:reuters_qtrly_source_window.fat&amp;display_string=Audit&amp;DYN_ARGS=TRUE&amp;VAR:ID1=221353&amp;VAR:RCODE=SCSI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62__FDSAUDITLINK__" hidden="1">{"fdsup://IBCentral/FAT Viewer?action=UPDATE&amp;creator=factset&amp;DOC_NAME=fat:reuters_qtrly_source_window.fat&amp;display_string=Audit&amp;DYN_ARGS=TRUE&amp;VAR:ID1=221353&amp;VAR:RCODE=SCSI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63__FDSAUDITLINK__" localSheetId="8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2063__FDSAUDITLINK__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2064__FDSAUDITLINK__" localSheetId="8" hidden="1">{"fdsup://IBCentral/FAT Viewer?action=UPDATE&amp;creator=factset&amp;DOC_NAME=fat:reuters_qtrly_source_window.fat&amp;display_string=Audit&amp;DYN_ARGS=TRUE&amp;VAR:ID1=221353&amp;VAR:RCODE=AEQI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64__FDSAUDITLINK__" hidden="1">{"fdsup://IBCentral/FAT Viewer?action=UPDATE&amp;creator=factset&amp;DOC_NAME=fat:reuters_qtrly_source_window.fat&amp;display_string=Audit&amp;DYN_ARGS=TRUE&amp;VAR:ID1=221353&amp;VAR:RCODE=AEQI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65__FDSAUDITLINK__" localSheetId="8" hidden="1">{"fdsup://IBCentral/FAT Viewer?action=UPDATE&amp;creator=factset&amp;DOC_NAME=fat:reuters_qtrly_source_window.fat&amp;display_string=Audit&amp;DYN_ARGS=TRUE&amp;VAR:ID1=221353&amp;VAR:RCODE=LMIN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65__FDSAUDITLINK__" hidden="1">{"fdsup://IBCentral/FAT Viewer?action=UPDATE&amp;creator=factset&amp;DOC_NAME=fat:reuters_qtrly_source_window.fat&amp;display_string=Audit&amp;DYN_ARGS=TRUE&amp;VAR:ID1=221353&amp;VAR:RCODE=LMIN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66__FDSAUDITLINK__" localSheetId="8" hidden="1">{"fdsup://IBCentral/FAT Viewer?action=UPDATE&amp;creator=factset&amp;DOC_NAME=fat:reuters_qtrly_source_window.fat&amp;display_string=Audit&amp;DYN_ARGS=TRUE&amp;VAR:ID1=221353&amp;VAR:RCODE=STLD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66__FDSAUDITLINK__" hidden="1">{"fdsup://IBCentral/FAT Viewer?action=UPDATE&amp;creator=factset&amp;DOC_NAME=fat:reuters_qtrly_source_window.fat&amp;display_string=Audit&amp;DYN_ARGS=TRUE&amp;VAR:ID1=221353&amp;VAR:RCODE=STLD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67__FDSAUDITLINK__" localSheetId="8" hidden="1">{"fdsup://IBCentral/FAT Viewer?action=UPDATE&amp;creator=factset&amp;DOC_NAME=fat:reuters_qtrly_source_window.fat&amp;display_string=Audit&amp;DYN_ARGS=TRUE&amp;VAR:ID1=221353&amp;VAR:RCODE=SCSI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67__FDSAUDITLINK__" hidden="1">{"fdsup://IBCentral/FAT Viewer?action=UPDATE&amp;creator=factset&amp;DOC_NAME=fat:reuters_qtrly_source_window.fat&amp;display_string=Audit&amp;DYN_ARGS=TRUE&amp;VAR:ID1=221353&amp;VAR:RCODE=SCSI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68__FDSAUDITLINK__" localSheetId="8" hidden="1">{"fdsup://IBCentral/FAT Viewer?action=UPDATE&amp;creator=factset&amp;DOC_NAME=fat:reuters_annual_source_window.fat&amp;display_string=Audit&amp;DYN_ARGS=TRUE&amp;VAR:ID1=221353&amp;VAR:RCODE=FDSPFDSTKTOTAL&amp;VAR:SDATE=20101299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2068__FDSAUDITLINK__" hidden="1">{"fdsup://IBCentral/FAT Viewer?action=UPDATE&amp;creator=factset&amp;DOC_NAME=fat:reuters_annual_source_window.fat&amp;display_string=Audit&amp;DYN_ARGS=TRUE&amp;VAR:ID1=221353&amp;VAR:RCODE=FDSPFDSTKTOTAL&amp;VAR:SDATE=20101299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2069__FDSAUDITLINK__" localSheetId="8" hidden="1">{"fdsup://IBCentral/FAT Viewer?action=UPDATE&amp;creator=factset&amp;DOC_NAME=fat:reuters_qtrly_source_window.fat&amp;display_string=Audit&amp;DYN_ARGS=TRUE&amp;VAR:ID1=221353&amp;VAR:RCODE=AEQI&amp;VAR:SDATE=20101299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69__FDSAUDITLINK__" hidden="1">{"fdsup://IBCentral/FAT Viewer?action=UPDATE&amp;creator=factset&amp;DOC_NAME=fat:reuters_qtrly_source_window.fat&amp;display_string=Audit&amp;DYN_ARGS=TRUE&amp;VAR:ID1=221353&amp;VAR:RCODE=AEQI&amp;VAR:SDATE=20101299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7__FDSAUDITLINK__" localSheetId="8" hidden="1">{"fdsup://directions/FAT Viewer?action=UPDATE&amp;creator=factset&amp;DYN_ARGS=TRUE&amp;DOC_NAME=FAT:FQL_AUDITING_CLIENT_TEMPLATE.FAT&amp;display_string=Audit&amp;VAR:KEY=NSREVMXMHG&amp;VAR:QUERY=RkZfRUJJVF9JQignQU5OJywzNjI1MCwsLCwnR0JQJyk=&amp;WINDOW=FIRST_POPUP&amp;HEIGHT=450&amp;WIDTH=450&amp;","START_MAXIMIZED=FALSE&amp;VAR:CALENDAR=FIVEDAY&amp;VAR:SYMBOL=073833&amp;VAR:INDEX=0"}</definedName>
    <definedName name="_207__FDSAUDITLINK__" hidden="1">{"fdsup://directions/FAT Viewer?action=UPDATE&amp;creator=factset&amp;DYN_ARGS=TRUE&amp;DOC_NAME=FAT:FQL_AUDITING_CLIENT_TEMPLATE.FAT&amp;display_string=Audit&amp;VAR:KEY=YTMZEJWPMX&amp;VAR:QUERY=RkZfTkVUX0lOQyhMVE0sNDEwMzYp&amp;WINDOW=FIRST_POPUP&amp;HEIGHT=450&amp;WIDTH=450&amp;START_MAXIMIZED=","FALSE&amp;VAR:CALENDAR=US&amp;VAR:SYMBOL=MCEM&amp;VAR:INDEX=0"}</definedName>
    <definedName name="_207__FDSAUDITLINK___1" localSheetId="8" hidden="1">{"fdsup://directions/FAT Viewer?action=UPDATE&amp;creator=factset&amp;DYN_ARGS=TRUE&amp;DOC_NAME=FAT:FQL_AUDITING_CLIENT_TEMPLATE.FAT&amp;display_string=Audit&amp;VAR:KEY=NSREVMXMHG&amp;VAR:QUERY=RkZfRUJJVF9JQignQU5OJywzNjI1MCwsLCwnR0JQJyk=&amp;WINDOW=FIRST_POPUP&amp;HEIGHT=450&amp;WIDTH=450&amp;","START_MAXIMIZED=FALSE&amp;VAR:CALENDAR=FIVEDAY&amp;VAR:SYMBOL=073833&amp;VAR:INDEX=0"}</definedName>
    <definedName name="_207__FDSAUDITLINK___1" hidden="1">{"fdsup://directions/FAT Viewer?action=UPDATE&amp;creator=factset&amp;DYN_ARGS=TRUE&amp;DOC_NAME=FAT:FQL_AUDITING_CLIENT_TEMPLATE.FAT&amp;display_string=Audit&amp;VAR:KEY=NSREVMXMHG&amp;VAR:QUERY=RkZfRUJJVF9JQignQU5OJywzNjI1MCwsLCwnR0JQJyk=&amp;WINDOW=FIRST_POPUP&amp;HEIGHT=450&amp;WIDTH=450&amp;","START_MAXIMIZED=FALSE&amp;VAR:CALENDAR=FIVEDAY&amp;VAR:SYMBOL=073833&amp;VAR:INDEX=0"}</definedName>
    <definedName name="_2070__FDSAUDITLINK__" localSheetId="8" hidden="1">{"fdsup://IBCentral/FAT Viewer?action=UPDATE&amp;creator=factset&amp;DOC_NAME=fat:reuters_qtrly_source_window.fat&amp;display_string=Audit&amp;DYN_ARGS=TRUE&amp;VAR:ID1=221353&amp;VAR:RCODE=LMIN&amp;VAR:SDATE=20101299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70__FDSAUDITLINK__" hidden="1">{"fdsup://IBCentral/FAT Viewer?action=UPDATE&amp;creator=factset&amp;DOC_NAME=fat:reuters_qtrly_source_window.fat&amp;display_string=Audit&amp;DYN_ARGS=TRUE&amp;VAR:ID1=221353&amp;VAR:RCODE=LMIN&amp;VAR:SDATE=20101299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71__FDSAUDITLINK__" localSheetId="8" hidden="1">{"fdsup://IBCentral/FAT Viewer?action=UPDATE&amp;creator=factset&amp;DOC_NAME=fat:reuters_qtrly_source_window.fat&amp;display_string=Audit&amp;DYN_ARGS=TRUE&amp;VAR:ID1=221353&amp;VAR:RCODE=STLD&amp;VAR:SDATE=20101299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71__FDSAUDITLINK__" hidden="1">{"fdsup://IBCentral/FAT Viewer?action=UPDATE&amp;creator=factset&amp;DOC_NAME=fat:reuters_qtrly_source_window.fat&amp;display_string=Audit&amp;DYN_ARGS=TRUE&amp;VAR:ID1=221353&amp;VAR:RCODE=STLD&amp;VAR:SDATE=20101299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72__FDSAUDITLINK__" localSheetId="8" hidden="1">{"fdsup://IBCentral/FAT Viewer?action=UPDATE&amp;creator=factset&amp;DOC_NAME=fat:reuters_qtrly_source_window.fat&amp;display_string=Audit&amp;DYN_ARGS=TRUE&amp;VAR:ID1=221353&amp;VAR:RCODE=SCSI&amp;VAR:SDATE=20101299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72__FDSAUDITLINK__" hidden="1">{"fdsup://IBCentral/FAT Viewer?action=UPDATE&amp;creator=factset&amp;DOC_NAME=fat:reuters_qtrly_source_window.fat&amp;display_string=Audit&amp;DYN_ARGS=TRUE&amp;VAR:ID1=221353&amp;VAR:RCODE=SCSI&amp;VAR:SDATE=20101299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73__FDSAUDITLINK__" localSheetId="8" hidden="1">{"fdsup://IBCentral/FAT Viewer?action=UPDATE&amp;creator=factset&amp;DOC_NAME=fat:reuters_annual_source_window.fat&amp;display_string=Audit&amp;DYN_ARGS=TRUE&amp;VAR:ID1=221353&amp;VAR:RCODE=FDSPFDSTKTOTAL&amp;VAR:SDATE=20101299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2073__FDSAUDITLINK__" hidden="1">{"fdsup://IBCentral/FAT Viewer?action=UPDATE&amp;creator=factset&amp;DOC_NAME=fat:reuters_annual_source_window.fat&amp;display_string=Audit&amp;DYN_ARGS=TRUE&amp;VAR:ID1=221353&amp;VAR:RCODE=FDSPFDSTKTOTAL&amp;VAR:SDATE=20101299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2074__FDSAUDITLINK__" localSheetId="8" hidden="1">{"fdsup://IBCentral/FAT Viewer?action=UPDATE&amp;creator=factset&amp;DOC_NAME=fat:reuters_qtrly_source_window.fat&amp;display_string=Audit&amp;DYN_ARGS=TRUE&amp;VAR:ID1=221353&amp;VAR:RCODE=AEQI&amp;VAR:SDATE=20101299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74__FDSAUDITLINK__" hidden="1">{"fdsup://IBCentral/FAT Viewer?action=UPDATE&amp;creator=factset&amp;DOC_NAME=fat:reuters_qtrly_source_window.fat&amp;display_string=Audit&amp;DYN_ARGS=TRUE&amp;VAR:ID1=221353&amp;VAR:RCODE=AEQI&amp;VAR:SDATE=20101299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75__FDSAUDITLINK__" localSheetId="8" hidden="1">{"fdsup://IBCentral/FAT Viewer?action=UPDATE&amp;creator=factset&amp;DOC_NAME=fat:reuters_qtrly_source_window.fat&amp;display_string=Audit&amp;DYN_ARGS=TRUE&amp;VAR:ID1=221353&amp;VAR:RCODE=LMIN&amp;VAR:SDATE=20101299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75__FDSAUDITLINK__" hidden="1">{"fdsup://IBCentral/FAT Viewer?action=UPDATE&amp;creator=factset&amp;DOC_NAME=fat:reuters_qtrly_source_window.fat&amp;display_string=Audit&amp;DYN_ARGS=TRUE&amp;VAR:ID1=221353&amp;VAR:RCODE=LMIN&amp;VAR:SDATE=20101299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76__FDSAUDITLINK__" localSheetId="8" hidden="1">{"fdsup://IBCentral/FAT Viewer?action=UPDATE&amp;creator=factset&amp;DOC_NAME=fat:reuters_qtrly_source_window.fat&amp;display_string=Audit&amp;DYN_ARGS=TRUE&amp;VAR:ID1=221353&amp;VAR:RCODE=STLD&amp;VAR:SDATE=20101299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76__FDSAUDITLINK__" hidden="1">{"fdsup://IBCentral/FAT Viewer?action=UPDATE&amp;creator=factset&amp;DOC_NAME=fat:reuters_qtrly_source_window.fat&amp;display_string=Audit&amp;DYN_ARGS=TRUE&amp;VAR:ID1=221353&amp;VAR:RCODE=STLD&amp;VAR:SDATE=20101299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77__FDSAUDITLINK__" localSheetId="8" hidden="1">{"fdsup://IBCentral/FAT Viewer?action=UPDATE&amp;creator=factset&amp;DOC_NAME=fat:reuters_qtrly_source_window.fat&amp;display_string=Audit&amp;DYN_ARGS=TRUE&amp;VAR:ID1=221353&amp;VAR:RCODE=SCSI&amp;VAR:SDATE=20101299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77__FDSAUDITLINK__" hidden="1">{"fdsup://IBCentral/FAT Viewer?action=UPDATE&amp;creator=factset&amp;DOC_NAME=fat:reuters_qtrly_source_window.fat&amp;display_string=Audit&amp;DYN_ARGS=TRUE&amp;VAR:ID1=221353&amp;VAR:RCODE=SCSI&amp;VAR:SDATE=20101299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78__FDSAUDITLINK__" localSheetId="8" hidden="1">{"fdsup://IBCentral/FAT Viewer?action=UPDATE&amp;creator=factset&amp;DOC_NAME=fat:reuters_annual_source_window.fat&amp;display_string=Audit&amp;DYN_ARGS=TRUE&amp;VAR:ID1=221353&amp;VAR:RCODE=FDSPFDSTKTOTAL&amp;VAR:SDATE=20101299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2078__FDSAUDITLINK__" hidden="1">{"fdsup://IBCentral/FAT Viewer?action=UPDATE&amp;creator=factset&amp;DOC_NAME=fat:reuters_annual_source_window.fat&amp;display_string=Audit&amp;DYN_ARGS=TRUE&amp;VAR:ID1=221353&amp;VAR:RCODE=FDSPFDSTKTOTAL&amp;VAR:SDATE=20101299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2079__FDSAUDITLINK__" localSheetId="8" hidden="1">{"fdsup://IBCentral/FAT Viewer?action=UPDATE&amp;creator=factset&amp;DOC_NAME=fat:reuters_qtrly_source_window.fat&amp;display_string=Audit&amp;DYN_ARGS=TRUE&amp;VAR:ID1=221353&amp;VAR:RCODE=AEQI&amp;VAR:SDATE=20101299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79__FDSAUDITLINK__" hidden="1">{"fdsup://IBCentral/FAT Viewer?action=UPDATE&amp;creator=factset&amp;DOC_NAME=fat:reuters_qtrly_source_window.fat&amp;display_string=Audit&amp;DYN_ARGS=TRUE&amp;VAR:ID1=221353&amp;VAR:RCODE=AEQI&amp;VAR:SDATE=20101299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8__FDSAUDITLINK__" localSheetId="8" hidden="1">{"fdsup://directions/FAT Viewer?action=UPDATE&amp;creator=factset&amp;DYN_ARGS=TRUE&amp;DOC_NAME=FAT:FQL_AUDITING_CLIENT_TEMPLATE.FAT&amp;display_string=Audit&amp;VAR:KEY=FAHKPMZAPI&amp;VAR:QUERY=RkZfRUJJVF9JQignQU5OJywzNTg4NSwsLCwnR0JQJyk=&amp;WINDOW=FIRST_POPUP&amp;HEIGHT=450&amp;WIDTH=450&amp;","START_MAXIMIZED=FALSE&amp;VAR:CALENDAR=FIVEDAY&amp;VAR:SYMBOL=073833&amp;VAR:INDEX=0"}</definedName>
    <definedName name="_208__FDSAUDITLINK__" hidden="1">{"fdsup://directions/FAT Viewer?action=UPDATE&amp;creator=factset&amp;DYN_ARGS=TRUE&amp;DOC_NAME=FAT:FQL_AUDITING_CLIENT_TEMPLATE.FAT&amp;display_string=Audit&amp;VAR:KEY=WDSRCDIROB&amp;VAR:QUERY=RkZfTkVUX0lOQyhMVE0sNDEwMzYp&amp;WINDOW=FIRST_POPUP&amp;HEIGHT=450&amp;WIDTH=450&amp;START_MAXIMIZED=","FALSE&amp;VAR:CALENDAR=US&amp;VAR:SYMBOL=TXI&amp;VAR:INDEX=0"}</definedName>
    <definedName name="_208__FDSAUDITLINK___1" localSheetId="8" hidden="1">{"fdsup://directions/FAT Viewer?action=UPDATE&amp;creator=factset&amp;DYN_ARGS=TRUE&amp;DOC_NAME=FAT:FQL_AUDITING_CLIENT_TEMPLATE.FAT&amp;display_string=Audit&amp;VAR:KEY=FAHKPMZAPI&amp;VAR:QUERY=RkZfRUJJVF9JQignQU5OJywzNTg4NSwsLCwnR0JQJyk=&amp;WINDOW=FIRST_POPUP&amp;HEIGHT=450&amp;WIDTH=450&amp;","START_MAXIMIZED=FALSE&amp;VAR:CALENDAR=FIVEDAY&amp;VAR:SYMBOL=073833&amp;VAR:INDEX=0"}</definedName>
    <definedName name="_208__FDSAUDITLINK___1" hidden="1">{"fdsup://directions/FAT Viewer?action=UPDATE&amp;creator=factset&amp;DYN_ARGS=TRUE&amp;DOC_NAME=FAT:FQL_AUDITING_CLIENT_TEMPLATE.FAT&amp;display_string=Audit&amp;VAR:KEY=FAHKPMZAPI&amp;VAR:QUERY=RkZfRUJJVF9JQignQU5OJywzNTg4NSwsLCwnR0JQJyk=&amp;WINDOW=FIRST_POPUP&amp;HEIGHT=450&amp;WIDTH=450&amp;","START_MAXIMIZED=FALSE&amp;VAR:CALENDAR=FIVEDAY&amp;VAR:SYMBOL=073833&amp;VAR:INDEX=0"}</definedName>
    <definedName name="_2080__FDSAUDITLINK__" localSheetId="8" hidden="1">{"fdsup://IBCentral/FAT Viewer?action=UPDATE&amp;creator=factset&amp;DOC_NAME=fat:reuters_qtrly_source_window.fat&amp;display_string=Audit&amp;DYN_ARGS=TRUE&amp;VAR:ID1=221353&amp;VAR:RCODE=LMIN&amp;VAR:SDATE=20101299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80__FDSAUDITLINK__" hidden="1">{"fdsup://IBCentral/FAT Viewer?action=UPDATE&amp;creator=factset&amp;DOC_NAME=fat:reuters_qtrly_source_window.fat&amp;display_string=Audit&amp;DYN_ARGS=TRUE&amp;VAR:ID1=221353&amp;VAR:RCODE=LMIN&amp;VAR:SDATE=20101299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81__FDSAUDITLINK__" localSheetId="8" hidden="1">{"fdsup://IBCentral/FAT Viewer?action=UPDATE&amp;creator=factset&amp;DOC_NAME=fat:reuters_qtrly_source_window.fat&amp;display_string=Audit&amp;DYN_ARGS=TRUE&amp;VAR:ID1=221353&amp;VAR:RCODE=STLD&amp;VAR:SDATE=20101299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81__FDSAUDITLINK__" hidden="1">{"fdsup://IBCentral/FAT Viewer?action=UPDATE&amp;creator=factset&amp;DOC_NAME=fat:reuters_qtrly_source_window.fat&amp;display_string=Audit&amp;DYN_ARGS=TRUE&amp;VAR:ID1=221353&amp;VAR:RCODE=STLD&amp;VAR:SDATE=20101299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82__FDSAUDITLINK__" localSheetId="8" hidden="1">{"fdsup://IBCentral/FAT Viewer?action=UPDATE&amp;creator=factset&amp;DOC_NAME=fat:reuters_qtrly_source_window.fat&amp;display_string=Audit&amp;DYN_ARGS=TRUE&amp;VAR:ID1=221353&amp;VAR:RCODE=SCSI&amp;VAR:SDATE=20101299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82__FDSAUDITLINK__" hidden="1">{"fdsup://IBCentral/FAT Viewer?action=UPDATE&amp;creator=factset&amp;DOC_NAME=fat:reuters_qtrly_source_window.fat&amp;display_string=Audit&amp;DYN_ARGS=TRUE&amp;VAR:ID1=221353&amp;VAR:RCODE=SCSI&amp;VAR:SDATE=20101299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83__FDSAUDITLINK__" localSheetId="8" hidden="1">{"fdsup://IBCentral/FAT Viewer?action=UPDATE&amp;creator=factset&amp;DOC_NAME=fat:reuters_annual_source_window.fat&amp;display_string=Audit&amp;DYN_ARGS=TRUE&amp;VAR:ID1=221353&amp;VAR:RCODE=FDSPFDSTKTOTAL&amp;VAR:SDATE=20101299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2083__FDSAUDITLINK__" hidden="1">{"fdsup://IBCentral/FAT Viewer?action=UPDATE&amp;creator=factset&amp;DOC_NAME=fat:reuters_annual_source_window.fat&amp;display_string=Audit&amp;DYN_ARGS=TRUE&amp;VAR:ID1=221353&amp;VAR:RCODE=FDSPFDSTKTOTAL&amp;VAR:SDATE=20101299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2084__FDSAUDITLINK__" localSheetId="8" hidden="1">{"fdsup://IBCentral/FAT Viewer?action=UPDATE&amp;creator=factset&amp;DOC_NAME=fat:reuters_qtrly_source_window.fat&amp;display_string=Audit&amp;DYN_ARGS=TRUE&amp;VAR:ID1=221353&amp;VAR:RCODE=AEQI&amp;VAR:SDATE=20101299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84__FDSAUDITLINK__" hidden="1">{"fdsup://IBCentral/FAT Viewer?action=UPDATE&amp;creator=factset&amp;DOC_NAME=fat:reuters_qtrly_source_window.fat&amp;display_string=Audit&amp;DYN_ARGS=TRUE&amp;VAR:ID1=221353&amp;VAR:RCODE=AEQI&amp;VAR:SDATE=20101299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85__FDSAUDITLINK__" localSheetId="8" hidden="1">{"fdsup://IBCentral/FAT Viewer?action=UPDATE&amp;creator=factset&amp;DOC_NAME=fat:reuters_qtrly_source_window.fat&amp;display_string=Audit&amp;DYN_ARGS=TRUE&amp;VAR:ID1=221353&amp;VAR:RCODE=LMIN&amp;VAR:SDATE=20101299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85__FDSAUDITLINK__" hidden="1">{"fdsup://IBCentral/FAT Viewer?action=UPDATE&amp;creator=factset&amp;DOC_NAME=fat:reuters_qtrly_source_window.fat&amp;display_string=Audit&amp;DYN_ARGS=TRUE&amp;VAR:ID1=221353&amp;VAR:RCODE=LMIN&amp;VAR:SDATE=20101299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86__FDSAUDITLINK__" localSheetId="8" hidden="1">{"fdsup://IBCentral/FAT Viewer?action=UPDATE&amp;creator=factset&amp;DOC_NAME=fat:reuters_qtrly_source_window.fat&amp;display_string=Audit&amp;DYN_ARGS=TRUE&amp;VAR:ID1=221353&amp;VAR:RCODE=STLD&amp;VAR:SDATE=20101299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86__FDSAUDITLINK__" hidden="1">{"fdsup://IBCentral/FAT Viewer?action=UPDATE&amp;creator=factset&amp;DOC_NAME=fat:reuters_qtrly_source_window.fat&amp;display_string=Audit&amp;DYN_ARGS=TRUE&amp;VAR:ID1=221353&amp;VAR:RCODE=STLD&amp;VAR:SDATE=20101299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87__FDSAUDITLINK__" localSheetId="8" hidden="1">{"fdsup://IBCentral/FAT Viewer?action=UPDATE&amp;creator=factset&amp;DOC_NAME=fat:reuters_qtrly_source_window.fat&amp;display_string=Audit&amp;DYN_ARGS=TRUE&amp;VAR:ID1=221353&amp;VAR:RCODE=SCSI&amp;VAR:SDATE=20101299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87__FDSAUDITLINK__" hidden="1">{"fdsup://IBCentral/FAT Viewer?action=UPDATE&amp;creator=factset&amp;DOC_NAME=fat:reuters_qtrly_source_window.fat&amp;display_string=Audit&amp;DYN_ARGS=TRUE&amp;VAR:ID1=221353&amp;VAR:RCODE=SCSI&amp;VAR:SDATE=20101299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88__FDSAUDITLINK__" localSheetId="8" hidden="1">{"fdsup://IBCentral/FAT Viewer?action=UPDATE&amp;creator=factset&amp;DOC_NAME=fat:reuters_annual_source_window.fat&amp;display_string=Audit&amp;DYN_ARGS=TRUE&amp;VAR:ID1=221353&amp;VAR:RCODE=FDSPFDSTKTOTAL&amp;VAR:SDATE=20101299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2088__FDSAUDITLINK__" hidden="1">{"fdsup://IBCentral/FAT Viewer?action=UPDATE&amp;creator=factset&amp;DOC_NAME=fat:reuters_annual_source_window.fat&amp;display_string=Audit&amp;DYN_ARGS=TRUE&amp;VAR:ID1=221353&amp;VAR:RCODE=FDSPFDSTKTOTAL&amp;VAR:SDATE=20101299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2089__FDSAUDITLINK__" localSheetId="8" hidden="1">{"fdsup://IBCentral/FAT Viewer?action=UPDATE&amp;creator=factset&amp;DOC_NAME=fat:reuters_qtrly_source_window.fat&amp;display_string=Audit&amp;DYN_ARGS=TRUE&amp;VAR:ID1=221353&amp;VAR:RCODE=AEQI&amp;VAR:SDATE=20101299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89__FDSAUDITLINK__" hidden="1">{"fdsup://IBCentral/FAT Viewer?action=UPDATE&amp;creator=factset&amp;DOC_NAME=fat:reuters_qtrly_source_window.fat&amp;display_string=Audit&amp;DYN_ARGS=TRUE&amp;VAR:ID1=221353&amp;VAR:RCODE=AEQI&amp;VAR:SDATE=20101299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9__FDSAUDITLINK__" localSheetId="8" hidden="1">{"fdsup://directions/FAT Viewer?action=UPDATE&amp;creator=factset&amp;DYN_ARGS=TRUE&amp;DOC_NAME=FAT:FQL_AUDITING_CLIENT_TEMPLATE.FAT&amp;display_string=Audit&amp;VAR:KEY=NGRSPONKVC&amp;VAR:QUERY=RkZfRUJJVF9JQignQU5OJywzNTUyMCwsLCwnR0JQJyk=&amp;WINDOW=FIRST_POPUP&amp;HEIGHT=450&amp;WIDTH=450&amp;","START_MAXIMIZED=FALSE&amp;VAR:CALENDAR=FIVEDAY&amp;VAR:SYMBOL=073833&amp;VAR:INDEX=0"}</definedName>
    <definedName name="_209__FDSAUDITLINK__" hidden="1">{"fdsup://directions/FAT Viewer?action=UPDATE&amp;creator=factset&amp;DYN_ARGS=TRUE&amp;DOC_NAME=FAT:FQL_AUDITING_CLIENT_TEMPLATE.FAT&amp;display_string=Audit&amp;VAR:KEY=UNOXCZQVWL&amp;VAR:QUERY=RkZfTkVUX0lOQyhMVE0sNDEwMzYp&amp;WINDOW=FIRST_POPUP&amp;HEIGHT=450&amp;WIDTH=450&amp;START_MAXIMIZED=","FALSE&amp;VAR:CALENDAR=US&amp;VAR:SYMBOL=USCR&amp;VAR:INDEX=0"}</definedName>
    <definedName name="_209__FDSAUDITLINK___1" localSheetId="8" hidden="1">{"fdsup://directions/FAT Viewer?action=UPDATE&amp;creator=factset&amp;DYN_ARGS=TRUE&amp;DOC_NAME=FAT:FQL_AUDITING_CLIENT_TEMPLATE.FAT&amp;display_string=Audit&amp;VAR:KEY=NGRSPONKVC&amp;VAR:QUERY=RkZfRUJJVF9JQignQU5OJywzNTUyMCwsLCwnR0JQJyk=&amp;WINDOW=FIRST_POPUP&amp;HEIGHT=450&amp;WIDTH=450&amp;","START_MAXIMIZED=FALSE&amp;VAR:CALENDAR=FIVEDAY&amp;VAR:SYMBOL=073833&amp;VAR:INDEX=0"}</definedName>
    <definedName name="_209__FDSAUDITLINK___1" hidden="1">{"fdsup://directions/FAT Viewer?action=UPDATE&amp;creator=factset&amp;DYN_ARGS=TRUE&amp;DOC_NAME=FAT:FQL_AUDITING_CLIENT_TEMPLATE.FAT&amp;display_string=Audit&amp;VAR:KEY=NGRSPONKVC&amp;VAR:QUERY=RkZfRUJJVF9JQignQU5OJywzNTUyMCwsLCwnR0JQJyk=&amp;WINDOW=FIRST_POPUP&amp;HEIGHT=450&amp;WIDTH=450&amp;","START_MAXIMIZED=FALSE&amp;VAR:CALENDAR=FIVEDAY&amp;VAR:SYMBOL=073833&amp;VAR:INDEX=0"}</definedName>
    <definedName name="_2090__FDSAUDITLINK__" localSheetId="8" hidden="1">{"fdsup://IBCentral/FAT Viewer?action=UPDATE&amp;creator=factset&amp;DOC_NAME=fat:reuters_qtrly_source_window.fat&amp;display_string=Audit&amp;DYN_ARGS=TRUE&amp;VAR:ID1=221353&amp;VAR:RCODE=LMIN&amp;VAR:SDATE=20101299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90__FDSAUDITLINK__" hidden="1">{"fdsup://IBCentral/FAT Viewer?action=UPDATE&amp;creator=factset&amp;DOC_NAME=fat:reuters_qtrly_source_window.fat&amp;display_string=Audit&amp;DYN_ARGS=TRUE&amp;VAR:ID1=221353&amp;VAR:RCODE=LMIN&amp;VAR:SDATE=20101299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91__FDSAUDITLINK__" localSheetId="8" hidden="1">{"fdsup://IBCentral/FAT Viewer?action=UPDATE&amp;creator=factset&amp;DOC_NAME=fat:reuters_qtrly_source_window.fat&amp;display_string=Audit&amp;DYN_ARGS=TRUE&amp;VAR:ID1=221353&amp;VAR:RCODE=STLD&amp;VAR:SDATE=20101299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91__FDSAUDITLINK__" hidden="1">{"fdsup://IBCentral/FAT Viewer?action=UPDATE&amp;creator=factset&amp;DOC_NAME=fat:reuters_qtrly_source_window.fat&amp;display_string=Audit&amp;DYN_ARGS=TRUE&amp;VAR:ID1=221353&amp;VAR:RCODE=STLD&amp;VAR:SDATE=20101299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92__FDSAUDITLINK__" localSheetId="8" hidden="1">{"fdsup://IBCentral/FAT Viewer?action=UPDATE&amp;creator=factset&amp;DOC_NAME=fat:reuters_qtrly_source_window.fat&amp;display_string=Audit&amp;DYN_ARGS=TRUE&amp;VAR:ID1=221353&amp;VAR:RCODE=SCSI&amp;VAR:SDATE=20101299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92__FDSAUDITLINK__" hidden="1">{"fdsup://IBCentral/FAT Viewer?action=UPDATE&amp;creator=factset&amp;DOC_NAME=fat:reuters_qtrly_source_window.fat&amp;display_string=Audit&amp;DYN_ARGS=TRUE&amp;VAR:ID1=221353&amp;VAR:RCODE=SCSI&amp;VAR:SDATE=20101299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93__FDSAUDITLINK__" localSheetId="8" hidden="1">{"fdsup://IBCentral/FAT Viewer?action=UPDATE&amp;creator=factset&amp;DOC_NAME=fat:reuters_annual_source_window.fat&amp;display_string=Audit&amp;DYN_ARGS=TRUE&amp;VAR:ID1=221353&amp;VAR:RCODE=FDSPFDSTKTOTAL&amp;VAR:SDATE=20101299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2093__FDSAUDITLINK__" hidden="1">{"fdsup://IBCentral/FAT Viewer?action=UPDATE&amp;creator=factset&amp;DOC_NAME=fat:reuters_annual_source_window.fat&amp;display_string=Audit&amp;DYN_ARGS=TRUE&amp;VAR:ID1=221353&amp;VAR:RCODE=FDSPFDSTKTOTAL&amp;VAR:SDATE=20101299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2094__FDSAUDITLINK__" localSheetId="8" hidden="1">{"fdsup://IBCentral/FAT Viewer?action=UPDATE&amp;creator=factset&amp;DOC_NAME=fat:reuters_qtrly_source_window.fat&amp;display_string=Audit&amp;DYN_ARGS=TRUE&amp;VAR:ID1=221353&amp;VAR:RCODE=AEQI&amp;VAR:SDATE=20101299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94__FDSAUDITLINK__" hidden="1">{"fdsup://IBCentral/FAT Viewer?action=UPDATE&amp;creator=factset&amp;DOC_NAME=fat:reuters_qtrly_source_window.fat&amp;display_string=Audit&amp;DYN_ARGS=TRUE&amp;VAR:ID1=221353&amp;VAR:RCODE=AEQI&amp;VAR:SDATE=20101299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95__FDSAUDITLINK__" localSheetId="8" hidden="1">{"fdsup://IBCentral/FAT Viewer?action=UPDATE&amp;creator=factset&amp;DOC_NAME=fat:reuters_qtrly_source_window.fat&amp;display_string=Audit&amp;DYN_ARGS=TRUE&amp;VAR:ID1=221353&amp;VAR:RCODE=LMIN&amp;VAR:SDATE=20101299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95__FDSAUDITLINK__" hidden="1">{"fdsup://IBCentral/FAT Viewer?action=UPDATE&amp;creator=factset&amp;DOC_NAME=fat:reuters_qtrly_source_window.fat&amp;display_string=Audit&amp;DYN_ARGS=TRUE&amp;VAR:ID1=221353&amp;VAR:RCODE=LMIN&amp;VAR:SDATE=20101299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96__FDSAUDITLINK__" localSheetId="8" hidden="1">{"fdsup://IBCentral/FAT Viewer?action=UPDATE&amp;creator=factset&amp;DOC_NAME=fat:reuters_qtrly_source_window.fat&amp;display_string=Audit&amp;DYN_ARGS=TRUE&amp;VAR:ID1=221353&amp;VAR:RCODE=STLD&amp;VAR:SDATE=20101299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96__FDSAUDITLINK__" hidden="1">{"fdsup://IBCentral/FAT Viewer?action=UPDATE&amp;creator=factset&amp;DOC_NAME=fat:reuters_qtrly_source_window.fat&amp;display_string=Audit&amp;DYN_ARGS=TRUE&amp;VAR:ID1=221353&amp;VAR:RCODE=STLD&amp;VAR:SDATE=20101299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97__FDSAUDITLINK__" localSheetId="8" hidden="1">{"fdsup://IBCentral/FAT Viewer?action=UPDATE&amp;creator=factset&amp;DOC_NAME=fat:reuters_qtrly_source_window.fat&amp;display_string=Audit&amp;DYN_ARGS=TRUE&amp;VAR:ID1=221353&amp;VAR:RCODE=SCSI&amp;VAR:SDATE=20101299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97__FDSAUDITLINK__" hidden="1">{"fdsup://IBCentral/FAT Viewer?action=UPDATE&amp;creator=factset&amp;DOC_NAME=fat:reuters_qtrly_source_window.fat&amp;display_string=Audit&amp;DYN_ARGS=TRUE&amp;VAR:ID1=221353&amp;VAR:RCODE=SCSI&amp;VAR:SDATE=20101299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98__FDSAUDITLINK__" localSheetId="8" hidden="1">{"fdsup://IBCentral/FAT Viewer?action=UPDATE&amp;creator=factset&amp;DOC_NAME=fat:reuters_annual_source_window.fat&amp;display_string=Audit&amp;DYN_ARGS=TRUE&amp;VAR:ID1=221353&amp;VAR:RCODE=FDSPFDSTKTOTAL&amp;VAR:SDATE=20101299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2098__FDSAUDITLINK__" hidden="1">{"fdsup://IBCentral/FAT Viewer?action=UPDATE&amp;creator=factset&amp;DOC_NAME=fat:reuters_annual_source_window.fat&amp;display_string=Audit&amp;DYN_ARGS=TRUE&amp;VAR:ID1=221353&amp;VAR:RCODE=FDSPFDSTKTOTAL&amp;VAR:SDATE=20101299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2099__FDSAUDITLINK__" localSheetId="8" hidden="1">{"fdsup://IBCentral/FAT Viewer?action=UPDATE&amp;creator=factset&amp;DOC_NAME=fat:reuters_qtrly_source_window.fat&amp;display_string=Audit&amp;DYN_ARGS=TRUE&amp;VAR:ID1=221353&amp;VAR:RCODE=AEQI&amp;VAR:SDATE=20101299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99__FDSAUDITLINK__" hidden="1">{"fdsup://IBCentral/FAT Viewer?action=UPDATE&amp;creator=factset&amp;DOC_NAME=fat:reuters_qtrly_source_window.fat&amp;display_string=Audit&amp;DYN_ARGS=TRUE&amp;VAR:ID1=221353&amp;VAR:RCODE=AEQI&amp;VAR:SDATE=20101299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Swvu.Pag" hidden="1">#REF!</definedName>
    <definedName name="_21__123Graph_ACHART_20" hidden="1">#REF!</definedName>
    <definedName name="_21__123Graph_ACHART_32" localSheetId="8" hidden="1">#REF!</definedName>
    <definedName name="_21__123Graph_ACHART_32" hidden="1">#REF!</definedName>
    <definedName name="_21__123Graph_BCHART_14" hidden="1">#REF!</definedName>
    <definedName name="_21__123Graph_BCHART_3" hidden="1">#N/A</definedName>
    <definedName name="_21__123Graph_BCHART_4" hidden="1">#REF!</definedName>
    <definedName name="_21__123Graph_CCHART_5" localSheetId="8" hidden="1">#REF!</definedName>
    <definedName name="_21__123Graph_CCHART_5" hidden="1">#REF!</definedName>
    <definedName name="_21__123Graph_CGRAFICO_1" localSheetId="8" hidden="1">#REF!</definedName>
    <definedName name="_21__123Graph_CGRAFICO_1" hidden="1">#REF!</definedName>
    <definedName name="_21__123Graph_XCHART_13" hidden="1">#REF!</definedName>
    <definedName name="_21__123Graph_XCHART_2" hidden="1">#REF!</definedName>
    <definedName name="_21__123Graph_XCHART_6" hidden="1">#REF!</definedName>
    <definedName name="_21__FDSAUDITLINK__" localSheetId="8" hidden="1">{"fdsup://directions/FAT Viewer?action=UPDATE&amp;creator=factset&amp;DYN_ARGS=TRUE&amp;DOC_NAME=FAT:FQL_AUDITING_CLIENT_TEMPLATE.FAT&amp;display_string=Audit&amp;VAR:KEY=OHWJWZSHYR&amp;VAR:QUERY=RkZfRUJJVF9JQihBTk4sMzYxNjAsLCwsRVVSKQ==&amp;WINDOW=FIRST_POPUP&amp;HEIGHT=450&amp;WIDTH=450&amp;STAR","T_MAXIMIZED=FALSE&amp;VAR:CALENDAR=FIVEDAY&amp;VAR:SYMBOL=591344&amp;VAR:INDEX=0"}</definedName>
    <definedName name="_21__FDSAUDITLINK__" hidden="1">{"fdsup://directions/FAT Viewer?action=UPDATE&amp;creator=factset&amp;DYN_ARGS=TRUE&amp;DOC_NAME=FAT:FQL_AUDITING_CLIENT_TEMPLATE.FAT&amp;display_string=Audit&amp;VAR:KEY=XKXWDSPAXA&amp;VAR:QUERY=RkZfU0FMRVMoQ0FMLDIwMTAp&amp;WINDOW=FIRST_POPUP&amp;HEIGHT=450&amp;WIDTH=450&amp;START_MAXIMIZED=FALS","E&amp;VAR:CALENDAR=US&amp;VAR:SYMBOL=450270&amp;VAR:INDEX=0"}</definedName>
    <definedName name="_21__FDSAUDITLINK___1" localSheetId="8" hidden="1">{"fdsup://directions/FAT Viewer?action=UPDATE&amp;creator=factset&amp;DYN_ARGS=TRUE&amp;DOC_NAME=FAT:FQL_AUDITING_CLIENT_TEMPLATE.FAT&amp;display_string=Audit&amp;VAR:KEY=OHWJWZSHYR&amp;VAR:QUERY=RkZfRUJJVF9JQihBTk4sMzYxNjAsLCwsRVVSKQ==&amp;WINDOW=FIRST_POPUP&amp;HEIGHT=450&amp;WIDTH=450&amp;STAR","T_MAXIMIZED=FALSE&amp;VAR:CALENDAR=FIVEDAY&amp;VAR:SYMBOL=591344&amp;VAR:INDEX=0"}</definedName>
    <definedName name="_21__FDSAUDITLINK___1" hidden="1">{"fdsup://directions/FAT Viewer?action=UPDATE&amp;creator=factset&amp;DYN_ARGS=TRUE&amp;DOC_NAME=FAT:FQL_AUDITING_CLIENT_TEMPLATE.FAT&amp;display_string=Audit&amp;VAR:KEY=OHWJWZSHYR&amp;VAR:QUERY=RkZfRUJJVF9JQihBTk4sMzYxNjAsLCwsRVVSKQ==&amp;WINDOW=FIRST_POPUP&amp;HEIGHT=450&amp;WIDTH=450&amp;STAR","T_MAXIMIZED=FALSE&amp;VAR:CALENDAR=FIVEDAY&amp;VAR:SYMBOL=591344&amp;VAR:INDEX=0"}</definedName>
    <definedName name="_210__FDSAUDITLINK__" localSheetId="8" hidden="1">{"fdsup://directions/FAT Viewer?action=UPDATE&amp;creator=factset&amp;DYN_ARGS=TRUE&amp;DOC_NAME=FAT:FQL_AUDITING_CLIENT_TEMPLATE.FAT&amp;display_string=Audit&amp;VAR:KEY=XSXWFUNAZK&amp;VAR:QUERY=RkZfRUJJVF9JQignQU5OJywzNTE1NSwsLCwnR0JQJyk=&amp;WINDOW=FIRST_POPUP&amp;HEIGHT=450&amp;WIDTH=450&amp;","START_MAXIMIZED=FALSE&amp;VAR:CALENDAR=FIVEDAY&amp;VAR:SYMBOL=073833&amp;VAR:INDEX=0"}</definedName>
    <definedName name="_210__FDSAUDITLINK__" hidden="1">{"fdsup://directions/FAT Viewer?action=UPDATE&amp;creator=factset&amp;DYN_ARGS=TRUE&amp;DOC_NAME=FAT:FQL_AUDITING_CLIENT_TEMPLATE.FAT&amp;display_string=Audit&amp;VAR:KEY=CPIBMVGRKF&amp;VAR:QUERY=RkZfTkVUX0lOQyhMVE0sNDEwMzYp&amp;WINDOW=FIRST_POPUP&amp;HEIGHT=450&amp;WIDTH=450&amp;START_MAXIMIZED=","FALSE&amp;VAR:CALENDAR=US&amp;VAR:SYMBOL=MLM&amp;VAR:INDEX=0"}</definedName>
    <definedName name="_210__FDSAUDITLINK___1" localSheetId="8" hidden="1">{"fdsup://directions/FAT Viewer?action=UPDATE&amp;creator=factset&amp;DYN_ARGS=TRUE&amp;DOC_NAME=FAT:FQL_AUDITING_CLIENT_TEMPLATE.FAT&amp;display_string=Audit&amp;VAR:KEY=XSXWFUNAZK&amp;VAR:QUERY=RkZfRUJJVF9JQignQU5OJywzNTE1NSwsLCwnR0JQJyk=&amp;WINDOW=FIRST_POPUP&amp;HEIGHT=450&amp;WIDTH=450&amp;","START_MAXIMIZED=FALSE&amp;VAR:CALENDAR=FIVEDAY&amp;VAR:SYMBOL=073833&amp;VAR:INDEX=0"}</definedName>
    <definedName name="_210__FDSAUDITLINK___1" hidden="1">{"fdsup://directions/FAT Viewer?action=UPDATE&amp;creator=factset&amp;DYN_ARGS=TRUE&amp;DOC_NAME=FAT:FQL_AUDITING_CLIENT_TEMPLATE.FAT&amp;display_string=Audit&amp;VAR:KEY=XSXWFUNAZK&amp;VAR:QUERY=RkZfRUJJVF9JQignQU5OJywzNTE1NSwsLCwnR0JQJyk=&amp;WINDOW=FIRST_POPUP&amp;HEIGHT=450&amp;WIDTH=450&amp;","START_MAXIMIZED=FALSE&amp;VAR:CALENDAR=FIVEDAY&amp;VAR:SYMBOL=073833&amp;VAR:INDEX=0"}</definedName>
    <definedName name="_2100__FDSAUDITLINK__" localSheetId="8" hidden="1">{"fdsup://IBCentral/FAT Viewer?action=UPDATE&amp;creator=factset&amp;DOC_NAME=fat:reuters_qtrly_source_window.fat&amp;display_string=Audit&amp;DYN_ARGS=TRUE&amp;VAR:ID1=221353&amp;VAR:RCODE=LMIN&amp;VAR:SDATE=20101299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100__FDSAUDITLINK__" hidden="1">{"fdsup://IBCentral/FAT Viewer?action=UPDATE&amp;creator=factset&amp;DOC_NAME=fat:reuters_qtrly_source_window.fat&amp;display_string=Audit&amp;DYN_ARGS=TRUE&amp;VAR:ID1=221353&amp;VAR:RCODE=LMIN&amp;VAR:SDATE=20101299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101__FDSAUDITLINK__" localSheetId="8" hidden="1">{"fdsup://IBCentral/FAT Viewer?action=UPDATE&amp;creator=factset&amp;DOC_NAME=fat:reuters_qtrly_source_window.fat&amp;display_string=Audit&amp;DYN_ARGS=TRUE&amp;VAR:ID1=221353&amp;VAR:RCODE=STLD&amp;VAR:SDATE=20101299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101__FDSAUDITLINK__" hidden="1">{"fdsup://IBCentral/FAT Viewer?action=UPDATE&amp;creator=factset&amp;DOC_NAME=fat:reuters_qtrly_source_window.fat&amp;display_string=Audit&amp;DYN_ARGS=TRUE&amp;VAR:ID1=221353&amp;VAR:RCODE=STLD&amp;VAR:SDATE=20101299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102__FDSAUDITLINK__" localSheetId="8" hidden="1">{"fdsup://IBCentral/FAT Viewer?action=UPDATE&amp;creator=factset&amp;DOC_NAME=fat:reuters_qtrly_source_window.fat&amp;display_string=Audit&amp;DYN_ARGS=TRUE&amp;VAR:ID1=221353&amp;VAR:RCODE=SCSI&amp;VAR:SDATE=20101299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102__FDSAUDITLINK__" hidden="1">{"fdsup://IBCentral/FAT Viewer?action=UPDATE&amp;creator=factset&amp;DOC_NAME=fat:reuters_qtrly_source_window.fat&amp;display_string=Audit&amp;DYN_ARGS=TRUE&amp;VAR:ID1=221353&amp;VAR:RCODE=SCSI&amp;VAR:SDATE=20101299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103__FDSAUDITLINK__" localSheetId="8" hidden="1">{"fdsup://IBCentral/FAT Viewer?action=UPDATE&amp;creator=factset&amp;DOC_NAME=fat:reuters_annual_source_window.fat&amp;display_string=Audit&amp;DYN_ARGS=TRUE&amp;VAR:ID1=221353&amp;VAR:RCODE=FDSPFDSTKTOTAL&amp;VAR:SDATE=20101299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2103__FDSAUDITLINK__" hidden="1">{"fdsup://IBCentral/FAT Viewer?action=UPDATE&amp;creator=factset&amp;DOC_NAME=fat:reuters_annual_source_window.fat&amp;display_string=Audit&amp;DYN_ARGS=TRUE&amp;VAR:ID1=221353&amp;VAR:RCODE=FDSPFDSTKTOTAL&amp;VAR:SDATE=20101299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2104__FDSAUDITLINK__" localSheetId="8" hidden="1">{"fdsup://IBCentral/FAT Viewer?action=UPDATE&amp;creator=factset&amp;DOC_NAME=fat:reuters_qtrly_source_window.fat&amp;display_string=Audit&amp;DYN_ARGS=TRUE&amp;VAR:ID1=221353&amp;VAR:RCODE=AEQI&amp;VAR:SDATE=20101299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104__FDSAUDITLINK__" hidden="1">{"fdsup://IBCentral/FAT Viewer?action=UPDATE&amp;creator=factset&amp;DOC_NAME=fat:reuters_qtrly_source_window.fat&amp;display_string=Audit&amp;DYN_ARGS=TRUE&amp;VAR:ID1=221353&amp;VAR:RCODE=AEQI&amp;VAR:SDATE=20101299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105__FDSAUDITLINK__" localSheetId="8" hidden="1">{"fdsup://IBCentral/FAT Viewer?action=UPDATE&amp;creator=factset&amp;DOC_NAME=fat:reuters_qtrly_source_window.fat&amp;display_string=Audit&amp;DYN_ARGS=TRUE&amp;VAR:ID1=221353&amp;VAR:RCODE=LMIN&amp;VAR:SDATE=20101299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105__FDSAUDITLINK__" hidden="1">{"fdsup://IBCentral/FAT Viewer?action=UPDATE&amp;creator=factset&amp;DOC_NAME=fat:reuters_qtrly_source_window.fat&amp;display_string=Audit&amp;DYN_ARGS=TRUE&amp;VAR:ID1=221353&amp;VAR:RCODE=LMIN&amp;VAR:SDATE=20101299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106__FDSAUDITLINK__" localSheetId="8" hidden="1">{"fdsup://IBCentral/FAT Viewer?action=UPDATE&amp;creator=factset&amp;DOC_NAME=fat:reuters_qtrly_source_window.fat&amp;display_string=Audit&amp;DYN_ARGS=TRUE&amp;VAR:ID1=221353&amp;VAR:RCODE=STLD&amp;VAR:SDATE=20101299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106__FDSAUDITLINK__" hidden="1">{"fdsup://IBCentral/FAT Viewer?action=UPDATE&amp;creator=factset&amp;DOC_NAME=fat:reuters_qtrly_source_window.fat&amp;display_string=Audit&amp;DYN_ARGS=TRUE&amp;VAR:ID1=221353&amp;VAR:RCODE=STLD&amp;VAR:SDATE=20101299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107__FDSAUDITLINK__" localSheetId="8" hidden="1">{"fdsup://IBCentral/FAT Viewer?action=UPDATE&amp;creator=factset&amp;DOC_NAME=fat:reuters_qtrly_source_window.fat&amp;display_string=Audit&amp;DYN_ARGS=TRUE&amp;VAR:ID1=221353&amp;VAR:RCODE=SCSI&amp;VAR:SDATE=20101299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107__FDSAUDITLINK__" hidden="1">{"fdsup://IBCentral/FAT Viewer?action=UPDATE&amp;creator=factset&amp;DOC_NAME=fat:reuters_qtrly_source_window.fat&amp;display_string=Audit&amp;DYN_ARGS=TRUE&amp;VAR:ID1=221353&amp;VAR:RCODE=SCSI&amp;VAR:SDATE=20101299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108__FDSAUDITLINK__" localSheetId="8" hidden="1">{"fdsup://IBCentral/FAT Viewer?action=UPDATE&amp;creator=factset&amp;DOC_NAME=fat:reuters_annual_source_window.fat&amp;display_string=Audit&amp;DYN_ARGS=TRUE&amp;VAR:ID1=221353&amp;VAR:RCODE=FDSPFDSTKTOTAL&amp;VAR:SDATE=20101299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2108__FDSAUDITLINK__" hidden="1">{"fdsup://IBCentral/FAT Viewer?action=UPDATE&amp;creator=factset&amp;DOC_NAME=fat:reuters_annual_source_window.fat&amp;display_string=Audit&amp;DYN_ARGS=TRUE&amp;VAR:ID1=221353&amp;VAR:RCODE=FDSPFDSTKTOTAL&amp;VAR:SDATE=20101299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2109__FDSAUDITLINK__" localSheetId="8" hidden="1">{"fdsup://IBCentral/FAT Viewer?action=UPDATE&amp;creator=factset&amp;DOC_NAME=fat:reuters_qtrly_source_window.fat&amp;display_string=Audit&amp;DYN_ARGS=TRUE&amp;VAR:ID1=221353&amp;VAR:RCODE=AEQI&amp;VAR:SDATE=20101299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109__FDSAUDITLINK__" hidden="1">{"fdsup://IBCentral/FAT Viewer?action=UPDATE&amp;creator=factset&amp;DOC_NAME=fat:reuters_qtrly_source_window.fat&amp;display_string=Audit&amp;DYN_ARGS=TRUE&amp;VAR:ID1=221353&amp;VAR:RCODE=AEQI&amp;VAR:SDATE=20101299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11__FDSAUDITLINK__" localSheetId="8" hidden="1">{"fdsup://directions/FAT Viewer?action=UPDATE&amp;creator=factset&amp;DYN_ARGS=TRUE&amp;DOC_NAME=FAT:FQL_AUDITING_CLIENT_TEMPLATE.FAT&amp;display_string=Audit&amp;VAR:KEY=PYHOBUPYDM&amp;VAR:QUERY=RkZfRUJJVF9JQignQU5OJywzNDc4OSwsLCwnR0JQJyk=&amp;WINDOW=FIRST_POPUP&amp;HEIGHT=450&amp;WIDTH=450&amp;","START_MAXIMIZED=FALSE&amp;VAR:CALENDAR=FIVEDAY&amp;VAR:SYMBOL=073833&amp;VAR:INDEX=0"}</definedName>
    <definedName name="_211__FDSAUDITLINK__" hidden="1">{"fdsup://directions/FAT Viewer?action=UPDATE&amp;creator=factset&amp;DYN_ARGS=TRUE&amp;DOC_NAME=FAT:FQL_AUDITING_CLIENT_TEMPLATE.FAT&amp;display_string=Audit&amp;VAR:KEY=SLAJEXCRYH&amp;VAR:QUERY=RkZfTkVUX0lOQyhMVE0sNDEwMzYp&amp;WINDOW=FIRST_POPUP&amp;HEIGHT=450&amp;WIDTH=450&amp;START_MAXIMIZED=","FALSE&amp;VAR:CALENDAR=US&amp;VAR:SYMBOL=EXP&amp;VAR:INDEX=0"}</definedName>
    <definedName name="_211__FDSAUDITLINK___1" localSheetId="8" hidden="1">{"fdsup://directions/FAT Viewer?action=UPDATE&amp;creator=factset&amp;DYN_ARGS=TRUE&amp;DOC_NAME=FAT:FQL_AUDITING_CLIENT_TEMPLATE.FAT&amp;display_string=Audit&amp;VAR:KEY=PYHOBUPYDM&amp;VAR:QUERY=RkZfRUJJVF9JQignQU5OJywzNDc4OSwsLCwnR0JQJyk=&amp;WINDOW=FIRST_POPUP&amp;HEIGHT=450&amp;WIDTH=450&amp;","START_MAXIMIZED=FALSE&amp;VAR:CALENDAR=FIVEDAY&amp;VAR:SYMBOL=073833&amp;VAR:INDEX=0"}</definedName>
    <definedName name="_211__FDSAUDITLINK___1" hidden="1">{"fdsup://directions/FAT Viewer?action=UPDATE&amp;creator=factset&amp;DYN_ARGS=TRUE&amp;DOC_NAME=FAT:FQL_AUDITING_CLIENT_TEMPLATE.FAT&amp;display_string=Audit&amp;VAR:KEY=PYHOBUPYDM&amp;VAR:QUERY=RkZfRUJJVF9JQignQU5OJywzNDc4OSwsLCwnR0JQJyk=&amp;WINDOW=FIRST_POPUP&amp;HEIGHT=450&amp;WIDTH=450&amp;","START_MAXIMIZED=FALSE&amp;VAR:CALENDAR=FIVEDAY&amp;VAR:SYMBOL=073833&amp;VAR:INDEX=0"}</definedName>
    <definedName name="_2110__FDSAUDITLINK__" localSheetId="8" hidden="1">{"fdsup://IBCentral/FAT Viewer?action=UPDATE&amp;creator=factset&amp;DOC_NAME=fat:reuters_qtrly_source_window.fat&amp;display_string=Audit&amp;DYN_ARGS=TRUE&amp;VAR:ID1=221353&amp;VAR:RCODE=LMIN&amp;VAR:SDATE=20101299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110__FDSAUDITLINK__" hidden="1">{"fdsup://IBCentral/FAT Viewer?action=UPDATE&amp;creator=factset&amp;DOC_NAME=fat:reuters_qtrly_source_window.fat&amp;display_string=Audit&amp;DYN_ARGS=TRUE&amp;VAR:ID1=221353&amp;VAR:RCODE=LMIN&amp;VAR:SDATE=20101299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111__FDSAUDITLINK__" localSheetId="8" hidden="1">{"fdsup://IBCentral/FAT Viewer?action=UPDATE&amp;creator=factset&amp;DOC_NAME=fat:reuters_qtrly_source_window.fat&amp;display_string=Audit&amp;DYN_ARGS=TRUE&amp;VAR:ID1=221353&amp;VAR:RCODE=STLD&amp;VAR:SDATE=20101299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111__FDSAUDITLINK__" hidden="1">{"fdsup://IBCentral/FAT Viewer?action=UPDATE&amp;creator=factset&amp;DOC_NAME=fat:reuters_qtrly_source_window.fat&amp;display_string=Audit&amp;DYN_ARGS=TRUE&amp;VAR:ID1=221353&amp;VAR:RCODE=STLD&amp;VAR:SDATE=20101299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112__FDSAUDITLINK__" localSheetId="8" hidden="1">{"fdsup://IBCentral/FAT Viewer?action=UPDATE&amp;creator=factset&amp;DOC_NAME=fat:reuters_qtrly_source_window.fat&amp;display_string=Audit&amp;DYN_ARGS=TRUE&amp;VAR:ID1=221353&amp;VAR:RCODE=SCSI&amp;VAR:SDATE=20101299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112__FDSAUDITLINK__" hidden="1">{"fdsup://IBCentral/FAT Viewer?action=UPDATE&amp;creator=factset&amp;DOC_NAME=fat:reuters_qtrly_source_window.fat&amp;display_string=Audit&amp;DYN_ARGS=TRUE&amp;VAR:ID1=221353&amp;VAR:RCODE=SCSI&amp;VAR:SDATE=20101299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113__FDSAUDITLINK__" localSheetId="8" hidden="1">{"fdsup://directions/FAT Viewer?action=UPDATE&amp;creator=factset&amp;DYN_ARGS=TRUE&amp;DOC_NAME=FAT:FQL_AUDITING_CLIENT_TEMPLATE.FAT&amp;display_string=Audit&amp;VAR:KEY=AVEPUXAXCX&amp;VAR:QUERY=RkVfVkFMVUFUSU9OKCdFVicsJ01FRCcsJ0xUTUEnLCcnLE5PVywsLCcnKQ==&amp;WINDOW=FIRST_POPUP&amp;HEIGH","T=450&amp;WIDTH=450&amp;START_MAXIMIZED=FALSE&amp;VAR:CALENDAR=FIVEDAY&amp;VAR:SYMBOL=B1323K&amp;VAR:INDEX=0"}</definedName>
    <definedName name="_2113__FDSAUDITLINK__" hidden="1">{"fdsup://directions/FAT Viewer?action=UPDATE&amp;creator=factset&amp;DYN_ARGS=TRUE&amp;DOC_NAME=FAT:FQL_AUDITING_CLIENT_TEMPLATE.FAT&amp;display_string=Audit&amp;VAR:KEY=AVEPUXAXCX&amp;VAR:QUERY=RkVfVkFMVUFUSU9OKCdFVicsJ01FRCcsJ0xUTUEnLCcnLE5PVywsLCcnKQ==&amp;WINDOW=FIRST_POPUP&amp;HEIGH","T=450&amp;WIDTH=450&amp;START_MAXIMIZED=FALSE&amp;VAR:CALENDAR=FIVEDAY&amp;VAR:SYMBOL=B1323K&amp;VAR:INDEX=0"}</definedName>
    <definedName name="_212__123Graph_XCHART_21" hidden="1">#REF!</definedName>
    <definedName name="_212__FDSAUDITLINK__" localSheetId="8" hidden="1">{"fdsup://directions/FAT Viewer?action=UPDATE&amp;creator=factset&amp;DYN_ARGS=TRUE&amp;DOC_NAME=FAT:FQL_AUDITING_CLIENT_TEMPLATE.FAT&amp;display_string=Audit&amp;VAR:KEY=HSDQBIRQRS&amp;VAR:QUERY=RkZfRUJJVF9JQignQU5OJywzNDQyNCwsLCwnR0JQJyk=&amp;WINDOW=FIRST_POPUP&amp;HEIGHT=450&amp;WIDTH=450&amp;","START_MAXIMIZED=FALSE&amp;VAR:CALENDAR=FIVEDAY&amp;VAR:SYMBOL=073833&amp;VAR:INDEX=0"}</definedName>
    <definedName name="_212__FDSAUDITLINK__" hidden="1">{"fdsup://directions/FAT Viewer?action=UPDATE&amp;creator=factset&amp;DYN_ARGS=TRUE&amp;DOC_NAME=FAT:FQL_AUDITING_CLIENT_TEMPLATE.FAT&amp;display_string=Audit&amp;VAR:KEY=KRARAXOLER&amp;VAR:QUERY=RkZfRUJJVF9PUEVSKExUTSw0MTAzNik=&amp;WINDOW=FIRST_POPUP&amp;HEIGHT=450&amp;WIDTH=450&amp;START_MAXIMI","ZED=FALSE&amp;VAR:CALENDAR=US&amp;VAR:SYMBOL=711075&amp;VAR:INDEX=0"}</definedName>
    <definedName name="_212__FDSAUDITLINK___1" localSheetId="8" hidden="1">{"fdsup://directions/FAT Viewer?action=UPDATE&amp;creator=factset&amp;DYN_ARGS=TRUE&amp;DOC_NAME=FAT:FQL_AUDITING_CLIENT_TEMPLATE.FAT&amp;display_string=Audit&amp;VAR:KEY=HSDQBIRQRS&amp;VAR:QUERY=RkZfRUJJVF9JQignQU5OJywzNDQyNCwsLCwnR0JQJyk=&amp;WINDOW=FIRST_POPUP&amp;HEIGHT=450&amp;WIDTH=450&amp;","START_MAXIMIZED=FALSE&amp;VAR:CALENDAR=FIVEDAY&amp;VAR:SYMBOL=073833&amp;VAR:INDEX=0"}</definedName>
    <definedName name="_212__FDSAUDITLINK___1" hidden="1">{"fdsup://directions/FAT Viewer?action=UPDATE&amp;creator=factset&amp;DYN_ARGS=TRUE&amp;DOC_NAME=FAT:FQL_AUDITING_CLIENT_TEMPLATE.FAT&amp;display_string=Audit&amp;VAR:KEY=HSDQBIRQRS&amp;VAR:QUERY=RkZfRUJJVF9JQignQU5OJywzNDQyNCwsLCwnR0JQJyk=&amp;WINDOW=FIRST_POPUP&amp;HEIGHT=450&amp;WIDTH=450&amp;","START_MAXIMIZED=FALSE&amp;VAR:CALENDAR=FIVEDAY&amp;VAR:SYMBOL=073833&amp;VAR:INDEX=0"}</definedName>
    <definedName name="_213__FDSAUDITLINK__" localSheetId="8" hidden="1">{"fdsup://directions/FAT Viewer?action=UPDATE&amp;creator=factset&amp;DYN_ARGS=TRUE&amp;DOC_NAME=FAT:FQL_AUDITING_CLIENT_TEMPLATE.FAT&amp;display_string=Audit&amp;VAR:KEY=XIDIJQDWBG&amp;VAR:QUERY=RkZfRUJJVF9JQignQU5OJywzNDA1OSwsLCwnR0JQJyk=&amp;WINDOW=FIRST_POPUP&amp;HEIGHT=450&amp;WIDTH=450&amp;","START_MAXIMIZED=FALSE&amp;VAR:CALENDAR=FIVEDAY&amp;VAR:SYMBOL=073833&amp;VAR:INDEX=0"}</definedName>
    <definedName name="_213__FDSAUDITLINK__" hidden="1">{"fdsup://directions/FAT Viewer?action=UPDATE&amp;creator=factset&amp;DYN_ARGS=TRUE&amp;DOC_NAME=FAT:FQL_AUDITING_CLIENT_TEMPLATE.FAT&amp;display_string=Audit&amp;VAR:KEY=ZKPQHMXKHO&amp;VAR:QUERY=RkZfRUJJVF9PUEVSKExUTSw0MTAzNik=&amp;WINDOW=FIRST_POPUP&amp;HEIGHT=450&amp;WIDTH=450&amp;START_MAXIMI","ZED=FALSE&amp;VAR:CALENDAR=US&amp;VAR:SYMBOL=CX&amp;VAR:INDEX=0"}</definedName>
    <definedName name="_213__FDSAUDITLINK___1" localSheetId="8" hidden="1">{"fdsup://directions/FAT Viewer?action=UPDATE&amp;creator=factset&amp;DYN_ARGS=TRUE&amp;DOC_NAME=FAT:FQL_AUDITING_CLIENT_TEMPLATE.FAT&amp;display_string=Audit&amp;VAR:KEY=XIDIJQDWBG&amp;VAR:QUERY=RkZfRUJJVF9JQignQU5OJywzNDA1OSwsLCwnR0JQJyk=&amp;WINDOW=FIRST_POPUP&amp;HEIGHT=450&amp;WIDTH=450&amp;","START_MAXIMIZED=FALSE&amp;VAR:CALENDAR=FIVEDAY&amp;VAR:SYMBOL=073833&amp;VAR:INDEX=0"}</definedName>
    <definedName name="_213__FDSAUDITLINK___1" hidden="1">{"fdsup://directions/FAT Viewer?action=UPDATE&amp;creator=factset&amp;DYN_ARGS=TRUE&amp;DOC_NAME=FAT:FQL_AUDITING_CLIENT_TEMPLATE.FAT&amp;display_string=Audit&amp;VAR:KEY=XIDIJQDWBG&amp;VAR:QUERY=RkZfRUJJVF9JQignQU5OJywzNDA1OSwsLCwnR0JQJyk=&amp;WINDOW=FIRST_POPUP&amp;HEIGHT=450&amp;WIDTH=450&amp;","START_MAXIMIZED=FALSE&amp;VAR:CALENDAR=FIVEDAY&amp;VAR:SYMBOL=073833&amp;VAR:INDEX=0"}</definedName>
    <definedName name="_214__FDSAUDITLINK__" localSheetId="8" hidden="1">{"fdsup://directions/FAT Viewer?action=UPDATE&amp;creator=factset&amp;DYN_ARGS=TRUE&amp;DOC_NAME=FAT:FQL_AUDITING_CLIENT_TEMPLATE.FAT&amp;display_string=Audit&amp;VAR:KEY=TGZAPMBAVA&amp;VAR:QUERY=RkZfRUJJVF9JQignQU5OJywzMzY5NCwsLCwnR0JQJyk=&amp;WINDOW=FIRST_POPUP&amp;HEIGHT=450&amp;WIDTH=450&amp;","START_MAXIMIZED=FALSE&amp;VAR:CALENDAR=FIVEDAY&amp;VAR:SYMBOL=073833&amp;VAR:INDEX=0"}</definedName>
    <definedName name="_214__FDSAUDITLINK__" hidden="1">{"fdsup://directions/FAT Viewer?action=UPDATE&amp;creator=factset&amp;DYN_ARGS=TRUE&amp;DOC_NAME=FAT:FQL_AUDITING_CLIENT_TEMPLATE.FAT&amp;display_string=Audit&amp;VAR:KEY=TSVKPETQBS&amp;VAR:QUERY=RkZfRUJJVF9PUEVSKExUTSw0MTAzNik=&amp;WINDOW=FIRST_POPUP&amp;HEIGHT=450&amp;WIDTH=450&amp;START_MAXIMI","ZED=FALSE&amp;VAR:CALENDAR=US&amp;VAR:SYMBOL=450270&amp;VAR:INDEX=0"}</definedName>
    <definedName name="_214__FDSAUDITLINK___1" localSheetId="8" hidden="1">{"fdsup://directions/FAT Viewer?action=UPDATE&amp;creator=factset&amp;DYN_ARGS=TRUE&amp;DOC_NAME=FAT:FQL_AUDITING_CLIENT_TEMPLATE.FAT&amp;display_string=Audit&amp;VAR:KEY=TGZAPMBAVA&amp;VAR:QUERY=RkZfRUJJVF9JQignQU5OJywzMzY5NCwsLCwnR0JQJyk=&amp;WINDOW=FIRST_POPUP&amp;HEIGHT=450&amp;WIDTH=450&amp;","START_MAXIMIZED=FALSE&amp;VAR:CALENDAR=FIVEDAY&amp;VAR:SYMBOL=073833&amp;VAR:INDEX=0"}</definedName>
    <definedName name="_214__FDSAUDITLINK___1" hidden="1">{"fdsup://directions/FAT Viewer?action=UPDATE&amp;creator=factset&amp;DYN_ARGS=TRUE&amp;DOC_NAME=FAT:FQL_AUDITING_CLIENT_TEMPLATE.FAT&amp;display_string=Audit&amp;VAR:KEY=TGZAPMBAVA&amp;VAR:QUERY=RkZfRUJJVF9JQignQU5OJywzMzY5NCwsLCwnR0JQJyk=&amp;WINDOW=FIRST_POPUP&amp;HEIGHT=450&amp;WIDTH=450&amp;","START_MAXIMIZED=FALSE&amp;VAR:CALENDAR=FIVEDAY&amp;VAR:SYMBOL=073833&amp;VAR:INDEX=0"}</definedName>
    <definedName name="_215__FDSAUDITLINK__" localSheetId="8" hidden="1">{"fdsup://directions/FAT Viewer?action=UPDATE&amp;creator=factset&amp;DYN_ARGS=TRUE&amp;DOC_NAME=FAT:FQL_AUDITING_CLIENT_TEMPLATE.FAT&amp;display_string=Audit&amp;VAR:KEY=PSPSHMDYJE&amp;VAR:QUERY=RkZfRUJJVF9JQignQU5OJywzMzMyOCwsLCwnR0JQJyk=&amp;WINDOW=FIRST_POPUP&amp;HEIGHT=450&amp;WIDTH=450&amp;","START_MAXIMIZED=FALSE&amp;VAR:CALENDAR=FIVEDAY&amp;VAR:SYMBOL=073833&amp;VAR:INDEX=0"}</definedName>
    <definedName name="_215__FDSAUDITLINK__" hidden="1">{"fdsup://directions/FAT Viewer?action=UPDATE&amp;creator=factset&amp;DYN_ARGS=TRUE&amp;DOC_NAME=FAT:FQL_AUDITING_CLIENT_TEMPLATE.FAT&amp;display_string=Audit&amp;VAR:KEY=GJSVWDAJUD&amp;VAR:QUERY=RkZfRUJJVF9PUEVSKExUTSw0MTAzNik=&amp;WINDOW=FIRST_POPUP&amp;HEIGHT=450&amp;WIDTH=450&amp;START_MAXIMI","ZED=FALSE&amp;VAR:CALENDAR=US&amp;VAR:SYMBOL=BLDR&amp;VAR:INDEX=0"}</definedName>
    <definedName name="_215__FDSAUDITLINK___1" localSheetId="8" hidden="1">{"fdsup://directions/FAT Viewer?action=UPDATE&amp;creator=factset&amp;DYN_ARGS=TRUE&amp;DOC_NAME=FAT:FQL_AUDITING_CLIENT_TEMPLATE.FAT&amp;display_string=Audit&amp;VAR:KEY=PSPSHMDYJE&amp;VAR:QUERY=RkZfRUJJVF9JQignQU5OJywzMzMyOCwsLCwnR0JQJyk=&amp;WINDOW=FIRST_POPUP&amp;HEIGHT=450&amp;WIDTH=450&amp;","START_MAXIMIZED=FALSE&amp;VAR:CALENDAR=FIVEDAY&amp;VAR:SYMBOL=073833&amp;VAR:INDEX=0"}</definedName>
    <definedName name="_215__FDSAUDITLINK___1" hidden="1">{"fdsup://directions/FAT Viewer?action=UPDATE&amp;creator=factset&amp;DYN_ARGS=TRUE&amp;DOC_NAME=FAT:FQL_AUDITING_CLIENT_TEMPLATE.FAT&amp;display_string=Audit&amp;VAR:KEY=PSPSHMDYJE&amp;VAR:QUERY=RkZfRUJJVF9JQignQU5OJywzMzMyOCwsLCwnR0JQJyk=&amp;WINDOW=FIRST_POPUP&amp;HEIGHT=450&amp;WIDTH=450&amp;","START_MAXIMIZED=FALSE&amp;VAR:CALENDAR=FIVEDAY&amp;VAR:SYMBOL=073833&amp;VAR:INDEX=0"}</definedName>
    <definedName name="_216__FDSAUDITLINK__" localSheetId="8" hidden="1">{"fdsup://directions/FAT Viewer?action=UPDATE&amp;creator=factset&amp;DYN_ARGS=TRUE&amp;DOC_NAME=FAT:FQL_AUDITING_CLIENT_TEMPLATE.FAT&amp;display_string=Audit&amp;VAR:KEY=JQHMPMPUNG&amp;VAR:QUERY=RkZfRUJJVF9JQignQU5OJywzMjk2MywsLCwnR0JQJyk=&amp;WINDOW=FIRST_POPUP&amp;HEIGHT=450&amp;WIDTH=450&amp;","START_MAXIMIZED=FALSE&amp;VAR:CALENDAR=FIVEDAY&amp;VAR:SYMBOL=073833&amp;VAR:INDEX=0"}</definedName>
    <definedName name="_216__FDSAUDITLINK__" hidden="1">{"fdsup://directions/FAT Viewer?action=UPDATE&amp;creator=factset&amp;DYN_ARGS=TRUE&amp;DOC_NAME=FAT:FQL_AUDITING_CLIENT_TEMPLATE.FAT&amp;display_string=Audit&amp;VAR:KEY=MBKZETGZQV&amp;VAR:QUERY=RkZfRUJJVF9PUEVSKExUTSw0MTAzNik=&amp;WINDOW=FIRST_POPUP&amp;HEIGHT=450&amp;WIDTH=450&amp;START_MAXIMI","ZED=FALSE&amp;VAR:CALENDAR=US&amp;VAR:SYMBOL=VMC&amp;VAR:INDEX=0"}</definedName>
    <definedName name="_216__FDSAUDITLINK___1" localSheetId="8" hidden="1">{"fdsup://directions/FAT Viewer?action=UPDATE&amp;creator=factset&amp;DYN_ARGS=TRUE&amp;DOC_NAME=FAT:FQL_AUDITING_CLIENT_TEMPLATE.FAT&amp;display_string=Audit&amp;VAR:KEY=JQHMPMPUNG&amp;VAR:QUERY=RkZfRUJJVF9JQignQU5OJywzMjk2MywsLCwnR0JQJyk=&amp;WINDOW=FIRST_POPUP&amp;HEIGHT=450&amp;WIDTH=450&amp;","START_MAXIMIZED=FALSE&amp;VAR:CALENDAR=FIVEDAY&amp;VAR:SYMBOL=073833&amp;VAR:INDEX=0"}</definedName>
    <definedName name="_216__FDSAUDITLINK___1" hidden="1">{"fdsup://directions/FAT Viewer?action=UPDATE&amp;creator=factset&amp;DYN_ARGS=TRUE&amp;DOC_NAME=FAT:FQL_AUDITING_CLIENT_TEMPLATE.FAT&amp;display_string=Audit&amp;VAR:KEY=JQHMPMPUNG&amp;VAR:QUERY=RkZfRUJJVF9JQignQU5OJywzMjk2MywsLCwnR0JQJyk=&amp;WINDOW=FIRST_POPUP&amp;HEIGHT=450&amp;WIDTH=450&amp;","START_MAXIMIZED=FALSE&amp;VAR:CALENDAR=FIVEDAY&amp;VAR:SYMBOL=073833&amp;VAR:INDEX=0"}</definedName>
    <definedName name="_217__FDSAUDITLINK__" localSheetId="8" hidden="1">{"fdsup://directions/FAT Viewer?action=UPDATE&amp;creator=factset&amp;DYN_ARGS=TRUE&amp;DOC_NAME=FAT:FQL_AUDITING_CLIENT_TEMPLATE.FAT&amp;display_string=Audit&amp;VAR:KEY=YNGDIBKBOX&amp;VAR:QUERY=RkZfRUJJVERBX0lCKCdBTk4nLDM5ODEzLCwsLCdES0snKQ==&amp;WINDOW=FIRST_POPUP&amp;HEIGHT=450&amp;WIDTH=","450&amp;START_MAXIMIZED=FALSE&amp;VAR:CALENDAR=FIVEDAY&amp;VAR:SYMBOL=594228&amp;VAR:INDEX=0"}</definedName>
    <definedName name="_217__FDSAUDITLINK__" hidden="1">{"fdsup://directions/FAT Viewer?action=UPDATE&amp;creator=factset&amp;DYN_ARGS=TRUE&amp;DOC_NAME=FAT:FQL_AUDITING_CLIENT_TEMPLATE.FAT&amp;display_string=Audit&amp;VAR:KEY=EXULOFKNWH&amp;VAR:QUERY=RkZfRUJJVF9PUEVSKExUTSw0MTAzNik=&amp;WINDOW=FIRST_POPUP&amp;HEIGHT=450&amp;WIDTH=450&amp;START_MAXIMI","ZED=FALSE&amp;VAR:CALENDAR=US&amp;VAR:SYMBOL=MCEM&amp;VAR:INDEX=0"}</definedName>
    <definedName name="_217__FDSAUDITLINK___1" localSheetId="8" hidden="1">{"fdsup://directions/FAT Viewer?action=UPDATE&amp;creator=factset&amp;DYN_ARGS=TRUE&amp;DOC_NAME=FAT:FQL_AUDITING_CLIENT_TEMPLATE.FAT&amp;display_string=Audit&amp;VAR:KEY=YNGDIBKBOX&amp;VAR:QUERY=RkZfRUJJVERBX0lCKCdBTk4nLDM5ODEzLCwsLCdES0snKQ==&amp;WINDOW=FIRST_POPUP&amp;HEIGHT=450&amp;WIDTH=","450&amp;START_MAXIMIZED=FALSE&amp;VAR:CALENDAR=FIVEDAY&amp;VAR:SYMBOL=594228&amp;VAR:INDEX=0"}</definedName>
    <definedName name="_217__FDSAUDITLINK___1" hidden="1">{"fdsup://directions/FAT Viewer?action=UPDATE&amp;creator=factset&amp;DYN_ARGS=TRUE&amp;DOC_NAME=FAT:FQL_AUDITING_CLIENT_TEMPLATE.FAT&amp;display_string=Audit&amp;VAR:KEY=YNGDIBKBOX&amp;VAR:QUERY=RkZfRUJJVERBX0lCKCdBTk4nLDM5ODEzLCwsLCdES0snKQ==&amp;WINDOW=FIRST_POPUP&amp;HEIGHT=450&amp;WIDTH=","450&amp;START_MAXIMIZED=FALSE&amp;VAR:CALENDAR=FIVEDAY&amp;VAR:SYMBOL=594228&amp;VAR:INDEX=0"}</definedName>
    <definedName name="_218__FDSAUDITLINK__" localSheetId="8" hidden="1">{"fdsup://directions/FAT Viewer?action=UPDATE&amp;creator=factset&amp;DYN_ARGS=TRUE&amp;DOC_NAME=FAT:FQL_AUDITING_CLIENT_TEMPLATE.FAT&amp;display_string=Audit&amp;VAR:KEY=ULQLMVOTQH&amp;VAR:QUERY=RkZfRUJJVERBX0lCKCdBTk4nLDM5NDQ3LCwsLCdES0snKQ==&amp;WINDOW=FIRST_POPUP&amp;HEIGHT=450&amp;WIDTH=","450&amp;START_MAXIMIZED=FALSE&amp;VAR:CALENDAR=FIVEDAY&amp;VAR:SYMBOL=594228&amp;VAR:INDEX=0"}</definedName>
    <definedName name="_218__FDSAUDITLINK__" hidden="1">{"fdsup://directions/FAT Viewer?action=UPDATE&amp;creator=factset&amp;DYN_ARGS=TRUE&amp;DOC_NAME=FAT:FQL_AUDITING_CLIENT_TEMPLATE.FAT&amp;display_string=Audit&amp;VAR:KEY=IHGZUXAHQF&amp;VAR:QUERY=RkZfRUJJVF9PUEVSKExUTSw0MTAzNik=&amp;WINDOW=FIRST_POPUP&amp;HEIGHT=450&amp;WIDTH=450&amp;START_MAXIMI","ZED=FALSE&amp;VAR:CALENDAR=US&amp;VAR:SYMBOL=TXI&amp;VAR:INDEX=0"}</definedName>
    <definedName name="_218__FDSAUDITLINK___1" localSheetId="8" hidden="1">{"fdsup://directions/FAT Viewer?action=UPDATE&amp;creator=factset&amp;DYN_ARGS=TRUE&amp;DOC_NAME=FAT:FQL_AUDITING_CLIENT_TEMPLATE.FAT&amp;display_string=Audit&amp;VAR:KEY=ULQLMVOTQH&amp;VAR:QUERY=RkZfRUJJVERBX0lCKCdBTk4nLDM5NDQ3LCwsLCdES0snKQ==&amp;WINDOW=FIRST_POPUP&amp;HEIGHT=450&amp;WIDTH=","450&amp;START_MAXIMIZED=FALSE&amp;VAR:CALENDAR=FIVEDAY&amp;VAR:SYMBOL=594228&amp;VAR:INDEX=0"}</definedName>
    <definedName name="_218__FDSAUDITLINK___1" hidden="1">{"fdsup://directions/FAT Viewer?action=UPDATE&amp;creator=factset&amp;DYN_ARGS=TRUE&amp;DOC_NAME=FAT:FQL_AUDITING_CLIENT_TEMPLATE.FAT&amp;display_string=Audit&amp;VAR:KEY=ULQLMVOTQH&amp;VAR:QUERY=RkZfRUJJVERBX0lCKCdBTk4nLDM5NDQ3LCwsLCdES0snKQ==&amp;WINDOW=FIRST_POPUP&amp;HEIGHT=450&amp;WIDTH=","450&amp;START_MAXIMIZED=FALSE&amp;VAR:CALENDAR=FIVEDAY&amp;VAR:SYMBOL=594228&amp;VAR:INDEX=0"}</definedName>
    <definedName name="_219__123Graph_XCHART_22" hidden="1">#REF!</definedName>
    <definedName name="_219__FDSAUDITLINK__" localSheetId="8" hidden="1">{"fdsup://directions/FAT Viewer?action=UPDATE&amp;creator=factset&amp;DYN_ARGS=TRUE&amp;DOC_NAME=FAT:FQL_AUDITING_CLIENT_TEMPLATE.FAT&amp;display_string=Audit&amp;VAR:KEY=CVKJEHYHIX&amp;VAR:QUERY=RkZfRUJJVERBX0lCKCdBTk4nLDM5MDgyLCwsLCdES0snKQ==&amp;WINDOW=FIRST_POPUP&amp;HEIGHT=450&amp;WIDTH=","450&amp;START_MAXIMIZED=FALSE&amp;VAR:CALENDAR=FIVEDAY&amp;VAR:SYMBOL=594228&amp;VAR:INDEX=0"}</definedName>
    <definedName name="_219__FDSAUDITLINK__" hidden="1">{"fdsup://directions/FAT Viewer?action=UPDATE&amp;creator=factset&amp;DYN_ARGS=TRUE&amp;DOC_NAME=FAT:FQL_AUDITING_CLIENT_TEMPLATE.FAT&amp;display_string=Audit&amp;VAR:KEY=KPIXIXORUB&amp;VAR:QUERY=RkZfRUJJVF9PUEVSKExUTSw0MTAzNik=&amp;WINDOW=FIRST_POPUP&amp;HEIGHT=450&amp;WIDTH=450&amp;START_MAXIMI","ZED=FALSE&amp;VAR:CALENDAR=US&amp;VAR:SYMBOL=USCR&amp;VAR:INDEX=0"}</definedName>
    <definedName name="_219__FDSAUDITLINK___1" localSheetId="8" hidden="1">{"fdsup://directions/FAT Viewer?action=UPDATE&amp;creator=factset&amp;DYN_ARGS=TRUE&amp;DOC_NAME=FAT:FQL_AUDITING_CLIENT_TEMPLATE.FAT&amp;display_string=Audit&amp;VAR:KEY=CVKJEHYHIX&amp;VAR:QUERY=RkZfRUJJVERBX0lCKCdBTk4nLDM5MDgyLCwsLCdES0snKQ==&amp;WINDOW=FIRST_POPUP&amp;HEIGHT=450&amp;WIDTH=","450&amp;START_MAXIMIZED=FALSE&amp;VAR:CALENDAR=FIVEDAY&amp;VAR:SYMBOL=594228&amp;VAR:INDEX=0"}</definedName>
    <definedName name="_219__FDSAUDITLINK___1" hidden="1">{"fdsup://directions/FAT Viewer?action=UPDATE&amp;creator=factset&amp;DYN_ARGS=TRUE&amp;DOC_NAME=FAT:FQL_AUDITING_CLIENT_TEMPLATE.FAT&amp;display_string=Audit&amp;VAR:KEY=CVKJEHYHIX&amp;VAR:QUERY=RkZfRUJJVERBX0lCKCdBTk4nLDM5MDgyLCwsLCdES0snKQ==&amp;WINDOW=FIRST_POPUP&amp;HEIGHT=450&amp;WIDTH=","450&amp;START_MAXIMIZED=FALSE&amp;VAR:CALENDAR=FIVEDAY&amp;VAR:SYMBOL=594228&amp;VAR:INDEX=0"}</definedName>
    <definedName name="_22__123Graph_ACHART_1" hidden="1">#REF!</definedName>
    <definedName name="_22__123Graph_ACHART_33" localSheetId="8" hidden="1">#REF!</definedName>
    <definedName name="_22__123Graph_ACHART_33" hidden="1">#REF!</definedName>
    <definedName name="_22__123Graph_BCHART_15" hidden="1">#REF!</definedName>
    <definedName name="_22__123Graph_BCHART_5" hidden="1">#N/A</definedName>
    <definedName name="_22__123Graph_BCHART_6" hidden="1">#REF!</definedName>
    <definedName name="_22__123Graph_CGRAFICO_16" localSheetId="8" hidden="1">#REF!</definedName>
    <definedName name="_22__123Graph_CGRAFICO_16" hidden="1">#REF!</definedName>
    <definedName name="_22__123Graph_XCHART_14" hidden="1">#REF!</definedName>
    <definedName name="_22__123Graph_XCHART_8" hidden="1">#REF!</definedName>
    <definedName name="_22__123Graph_XGRAFICO_8" hidden="1">#REF!</definedName>
    <definedName name="_22__FDSAUDITLINK__" localSheetId="8" hidden="1">{"fdsup://directions/FAT Viewer?action=UPDATE&amp;creator=factset&amp;DYN_ARGS=TRUE&amp;DOC_NAME=FAT:FQL_AUDITING_CLIENT_TEMPLATE.FAT&amp;display_string=Audit&amp;VAR:KEY=QPEXQXEJOX&amp;VAR:QUERY=RkZfRUJJVF9JQihBTk4sMzU3OTUsLCwsRVVSKQ==&amp;WINDOW=FIRST_POPUP&amp;HEIGHT=450&amp;WIDTH=450&amp;STAR","T_MAXIMIZED=FALSE&amp;VAR:CALENDAR=FIVEDAY&amp;VAR:SYMBOL=591344&amp;VAR:INDEX=0"}</definedName>
    <definedName name="_22__FDSAUDITLINK__" hidden="1">{"fdsup://directions/FAT Viewer?action=UPDATE&amp;creator=factset&amp;DYN_ARGS=TRUE&amp;DOC_NAME=FAT:FQL_AUDITING_CLIENT_TEMPLATE.FAT&amp;display_string=Audit&amp;VAR:KEY=AXGTABYXWN&amp;VAR:QUERY=RkZfU0FMRVMoQ0FMLDIwMTAp&amp;WINDOW=FIRST_POPUP&amp;HEIGHT=450&amp;WIDTH=450&amp;START_MAXIMIZED=FALS","E&amp;VAR:CALENDAR=US&amp;VAR:SYMBOL=BLDR&amp;VAR:INDEX=0"}</definedName>
    <definedName name="_22__FDSAUDITLINK___1" localSheetId="8" hidden="1">{"fdsup://directions/FAT Viewer?action=UPDATE&amp;creator=factset&amp;DYN_ARGS=TRUE&amp;DOC_NAME=FAT:FQL_AUDITING_CLIENT_TEMPLATE.FAT&amp;display_string=Audit&amp;VAR:KEY=QPEXQXEJOX&amp;VAR:QUERY=RkZfRUJJVF9JQihBTk4sMzU3OTUsLCwsRVVSKQ==&amp;WINDOW=FIRST_POPUP&amp;HEIGHT=450&amp;WIDTH=450&amp;STAR","T_MAXIMIZED=FALSE&amp;VAR:CALENDAR=FIVEDAY&amp;VAR:SYMBOL=591344&amp;VAR:INDEX=0"}</definedName>
    <definedName name="_22__FDSAUDITLINK___1" hidden="1">{"fdsup://directions/FAT Viewer?action=UPDATE&amp;creator=factset&amp;DYN_ARGS=TRUE&amp;DOC_NAME=FAT:FQL_AUDITING_CLIENT_TEMPLATE.FAT&amp;display_string=Audit&amp;VAR:KEY=QPEXQXEJOX&amp;VAR:QUERY=RkZfRUJJVF9JQihBTk4sMzU3OTUsLCwsRVVSKQ==&amp;WINDOW=FIRST_POPUP&amp;HEIGHT=450&amp;WIDTH=450&amp;STAR","T_MAXIMIZED=FALSE&amp;VAR:CALENDAR=FIVEDAY&amp;VAR:SYMBOL=591344&amp;VAR:INDEX=0"}</definedName>
    <definedName name="_22_0_0_K" hidden="1">#REF!</definedName>
    <definedName name="_220__123Graph_XCHART_7" hidden="1">#REF!</definedName>
    <definedName name="_220__FDSAUDITLINK__" localSheetId="8" hidden="1">{"fdsup://directions/FAT Viewer?action=UPDATE&amp;creator=factset&amp;DYN_ARGS=TRUE&amp;DOC_NAME=FAT:FQL_AUDITING_CLIENT_TEMPLATE.FAT&amp;display_string=Audit&amp;VAR:KEY=FWLSJYXIPA&amp;VAR:QUERY=RkZfRUJJVERBX0lCKCdBTk4nLDM4NzE3LCwsLCdES0snKQ==&amp;WINDOW=FIRST_POPUP&amp;HEIGHT=450&amp;WIDTH=","450&amp;START_MAXIMIZED=FALSE&amp;VAR:CALENDAR=FIVEDAY&amp;VAR:SYMBOL=594228&amp;VAR:INDEX=0"}</definedName>
    <definedName name="_220__FDSAUDITLINK__" hidden="1">{"fdsup://directions/FAT Viewer?action=UPDATE&amp;creator=factset&amp;DYN_ARGS=TRUE&amp;DOC_NAME=FAT:FQL_AUDITING_CLIENT_TEMPLATE.FAT&amp;display_string=Audit&amp;VAR:KEY=SBGDITMTEJ&amp;VAR:QUERY=RkZfRUJJVF9PUEVSKExUTSw0MTAzNik=&amp;WINDOW=FIRST_POPUP&amp;HEIGHT=450&amp;WIDTH=450&amp;START_MAXIMI","ZED=FALSE&amp;VAR:CALENDAR=US&amp;VAR:SYMBOL=MLM&amp;VAR:INDEX=0"}</definedName>
    <definedName name="_220__FDSAUDITLINK___1" localSheetId="8" hidden="1">{"fdsup://directions/FAT Viewer?action=UPDATE&amp;creator=factset&amp;DYN_ARGS=TRUE&amp;DOC_NAME=FAT:FQL_AUDITING_CLIENT_TEMPLATE.FAT&amp;display_string=Audit&amp;VAR:KEY=FWLSJYXIPA&amp;VAR:QUERY=RkZfRUJJVERBX0lCKCdBTk4nLDM4NzE3LCwsLCdES0snKQ==&amp;WINDOW=FIRST_POPUP&amp;HEIGHT=450&amp;WIDTH=","450&amp;START_MAXIMIZED=FALSE&amp;VAR:CALENDAR=FIVEDAY&amp;VAR:SYMBOL=594228&amp;VAR:INDEX=0"}</definedName>
    <definedName name="_220__FDSAUDITLINK___1" hidden="1">{"fdsup://directions/FAT Viewer?action=UPDATE&amp;creator=factset&amp;DYN_ARGS=TRUE&amp;DOC_NAME=FAT:FQL_AUDITING_CLIENT_TEMPLATE.FAT&amp;display_string=Audit&amp;VAR:KEY=FWLSJYXIPA&amp;VAR:QUERY=RkZfRUJJVERBX0lCKCdBTk4nLDM4NzE3LCwsLCdES0snKQ==&amp;WINDOW=FIRST_POPUP&amp;HEIGHT=450&amp;WIDTH=","450&amp;START_MAXIMIZED=FALSE&amp;VAR:CALENDAR=FIVEDAY&amp;VAR:SYMBOL=594228&amp;VAR:INDEX=0"}</definedName>
    <definedName name="_221__123Graph_XCHART_8" hidden="1">#REF!</definedName>
    <definedName name="_221__FDSAUDITLINK__" localSheetId="8" hidden="1">{"fdsup://directions/FAT Viewer?action=UPDATE&amp;creator=factset&amp;DYN_ARGS=TRUE&amp;DOC_NAME=FAT:FQL_AUDITING_CLIENT_TEMPLATE.FAT&amp;display_string=Audit&amp;VAR:KEY=ZABEHATWLQ&amp;VAR:QUERY=RkZfRUJJVERBX0lCKCdBTk4nLDM4MzUyLCwsLCdES0snKQ==&amp;WINDOW=FIRST_POPUP&amp;HEIGHT=450&amp;WIDTH=","450&amp;START_MAXIMIZED=FALSE&amp;VAR:CALENDAR=FIVEDAY&amp;VAR:SYMBOL=594228&amp;VAR:INDEX=0"}</definedName>
    <definedName name="_221__FDSAUDITLINK__" hidden="1">{"fdsup://directions/FAT Viewer?action=UPDATE&amp;creator=factset&amp;DYN_ARGS=TRUE&amp;DOC_NAME=FAT:FQL_AUDITING_CLIENT_TEMPLATE.FAT&amp;display_string=Audit&amp;VAR:KEY=ETARUZWLWV&amp;VAR:QUERY=RkZfRUJJVF9PUEVSKExUTSw0MTAzNik=&amp;WINDOW=FIRST_POPUP&amp;HEIGHT=450&amp;WIDTH=450&amp;START_MAXIMI","ZED=FALSE&amp;VAR:CALENDAR=US&amp;VAR:SYMBOL=EXP&amp;VAR:INDEX=0"}</definedName>
    <definedName name="_221__FDSAUDITLINK___1" localSheetId="8" hidden="1">{"fdsup://directions/FAT Viewer?action=UPDATE&amp;creator=factset&amp;DYN_ARGS=TRUE&amp;DOC_NAME=FAT:FQL_AUDITING_CLIENT_TEMPLATE.FAT&amp;display_string=Audit&amp;VAR:KEY=ZABEHATWLQ&amp;VAR:QUERY=RkZfRUJJVERBX0lCKCdBTk4nLDM4MzUyLCwsLCdES0snKQ==&amp;WINDOW=FIRST_POPUP&amp;HEIGHT=450&amp;WIDTH=","450&amp;START_MAXIMIZED=FALSE&amp;VAR:CALENDAR=FIVEDAY&amp;VAR:SYMBOL=594228&amp;VAR:INDEX=0"}</definedName>
    <definedName name="_221__FDSAUDITLINK___1" hidden="1">{"fdsup://directions/FAT Viewer?action=UPDATE&amp;creator=factset&amp;DYN_ARGS=TRUE&amp;DOC_NAME=FAT:FQL_AUDITING_CLIENT_TEMPLATE.FAT&amp;display_string=Audit&amp;VAR:KEY=ZABEHATWLQ&amp;VAR:QUERY=RkZfRUJJVERBX0lCKCdBTk4nLDM4MzUyLCwsLCdES0snKQ==&amp;WINDOW=FIRST_POPUP&amp;HEIGHT=450&amp;WIDTH=","450&amp;START_MAXIMIZED=FALSE&amp;VAR:CALENDAR=FIVEDAY&amp;VAR:SYMBOL=594228&amp;VAR:INDEX=0"}</definedName>
    <definedName name="_222__123Graph_XCHART_9" hidden="1">#REF!</definedName>
    <definedName name="_222__FDSAUDITLINK__" localSheetId="8" hidden="1">{"fdsup://directions/FAT Viewer?action=UPDATE&amp;creator=factset&amp;DYN_ARGS=TRUE&amp;DOC_NAME=FAT:FQL_AUDITING_CLIENT_TEMPLATE.FAT&amp;display_string=Audit&amp;VAR:KEY=FIFQBAXIXM&amp;VAR:QUERY=RkZfRUJJVERBX0lCKCdBTk4nLDM3OTg2LCwsLCdES0snKQ==&amp;WINDOW=FIRST_POPUP&amp;HEIGHT=450&amp;WIDTH=","450&amp;START_MAXIMIZED=FALSE&amp;VAR:CALENDAR=FIVEDAY&amp;VAR:SYMBOL=594228&amp;VAR:INDEX=0"}</definedName>
    <definedName name="_222__FDSAUDITLINK__" hidden="1">{"fdsup://directions/FAT Viewer?action=UPDATE&amp;creator=factset&amp;DYN_ARGS=TRUE&amp;DOC_NAME=FAT:FQL_AUDITING_CLIENT_TEMPLATE.FAT&amp;display_string=Audit&amp;VAR:KEY=EBGBEZCLMX&amp;VAR:QUERY=RkZfRUJJVERBX09QRVIoTFRNLDQxMDM2KQ==&amp;WINDOW=FIRST_POPUP&amp;HEIGHT=450&amp;WIDTH=450&amp;START_MA","XIMIZED=FALSE&amp;VAR:CALENDAR=US&amp;VAR:SYMBOL=711075&amp;VAR:INDEX=0"}</definedName>
    <definedName name="_222__FDSAUDITLINK___1" localSheetId="8" hidden="1">{"fdsup://directions/FAT Viewer?action=UPDATE&amp;creator=factset&amp;DYN_ARGS=TRUE&amp;DOC_NAME=FAT:FQL_AUDITING_CLIENT_TEMPLATE.FAT&amp;display_string=Audit&amp;VAR:KEY=FIFQBAXIXM&amp;VAR:QUERY=RkZfRUJJVERBX0lCKCdBTk4nLDM3OTg2LCwsLCdES0snKQ==&amp;WINDOW=FIRST_POPUP&amp;HEIGHT=450&amp;WIDTH=","450&amp;START_MAXIMIZED=FALSE&amp;VAR:CALENDAR=FIVEDAY&amp;VAR:SYMBOL=594228&amp;VAR:INDEX=0"}</definedName>
    <definedName name="_222__FDSAUDITLINK___1" hidden="1">{"fdsup://directions/FAT Viewer?action=UPDATE&amp;creator=factset&amp;DYN_ARGS=TRUE&amp;DOC_NAME=FAT:FQL_AUDITING_CLIENT_TEMPLATE.FAT&amp;display_string=Audit&amp;VAR:KEY=FIFQBAXIXM&amp;VAR:QUERY=RkZfRUJJVERBX0lCKCdBTk4nLDM3OTg2LCwsLCdES0snKQ==&amp;WINDOW=FIRST_POPUP&amp;HEIGHT=450&amp;WIDTH=","450&amp;START_MAXIMIZED=FALSE&amp;VAR:CALENDAR=FIVEDAY&amp;VAR:SYMBOL=594228&amp;VAR:INDEX=0"}</definedName>
    <definedName name="_223__FDSAUDITLINK__" localSheetId="8" hidden="1">{"fdsup://directions/FAT Viewer?action=UPDATE&amp;creator=factset&amp;DYN_ARGS=TRUE&amp;DOC_NAME=FAT:FQL_AUDITING_CLIENT_TEMPLATE.FAT&amp;display_string=Audit&amp;VAR:KEY=XQDOLKFALM&amp;VAR:QUERY=RkZfRUJJVERBX0lCKCdBTk4nLDM3NjIxLCwsLCdES0snKQ==&amp;WINDOW=FIRST_POPUP&amp;HEIGHT=450&amp;WIDTH=","450&amp;START_MAXIMIZED=FALSE&amp;VAR:CALENDAR=FIVEDAY&amp;VAR:SYMBOL=594228&amp;VAR:INDEX=0"}</definedName>
    <definedName name="_223__FDSAUDITLINK__" hidden="1">{"fdsup://directions/FAT Viewer?action=UPDATE&amp;creator=factset&amp;DYN_ARGS=TRUE&amp;DOC_NAME=FAT:FQL_AUDITING_CLIENT_TEMPLATE.FAT&amp;display_string=Audit&amp;VAR:KEY=LMNODKROVU&amp;VAR:QUERY=RkZfRUJJVERBX09QRVIoTFRNLDQxMDM2KQ==&amp;WINDOW=FIRST_POPUP&amp;HEIGHT=450&amp;WIDTH=450&amp;START_MA","XIMIZED=FALSE&amp;VAR:CALENDAR=US&amp;VAR:SYMBOL=CX&amp;VAR:INDEX=0"}</definedName>
    <definedName name="_223__FDSAUDITLINK___1" localSheetId="8" hidden="1">{"fdsup://directions/FAT Viewer?action=UPDATE&amp;creator=factset&amp;DYN_ARGS=TRUE&amp;DOC_NAME=FAT:FQL_AUDITING_CLIENT_TEMPLATE.FAT&amp;display_string=Audit&amp;VAR:KEY=XQDOLKFALM&amp;VAR:QUERY=RkZfRUJJVERBX0lCKCdBTk4nLDM3NjIxLCwsLCdES0snKQ==&amp;WINDOW=FIRST_POPUP&amp;HEIGHT=450&amp;WIDTH=","450&amp;START_MAXIMIZED=FALSE&amp;VAR:CALENDAR=FIVEDAY&amp;VAR:SYMBOL=594228&amp;VAR:INDEX=0"}</definedName>
    <definedName name="_223__FDSAUDITLINK___1" hidden="1">{"fdsup://directions/FAT Viewer?action=UPDATE&amp;creator=factset&amp;DYN_ARGS=TRUE&amp;DOC_NAME=FAT:FQL_AUDITING_CLIENT_TEMPLATE.FAT&amp;display_string=Audit&amp;VAR:KEY=XQDOLKFALM&amp;VAR:QUERY=RkZfRUJJVERBX0lCKCdBTk4nLDM3NjIxLCwsLCdES0snKQ==&amp;WINDOW=FIRST_POPUP&amp;HEIGHT=450&amp;WIDTH=","450&amp;START_MAXIMIZED=FALSE&amp;VAR:CALENDAR=FIVEDAY&amp;VAR:SYMBOL=594228&amp;VAR:INDEX=0"}</definedName>
    <definedName name="_224__FDSAUDITLINK__" localSheetId="8" hidden="1">{"fdsup://directions/FAT Viewer?action=UPDATE&amp;creator=factset&amp;DYN_ARGS=TRUE&amp;DOC_NAME=FAT:FQL_AUDITING_CLIENT_TEMPLATE.FAT&amp;display_string=Audit&amp;VAR:KEY=FEVGPMTABE&amp;VAR:QUERY=RkZfRUJJVERBX0lCKCdBTk4nLDM3MjU2LCwsLCdES0snKQ==&amp;WINDOW=FIRST_POPUP&amp;HEIGHT=450&amp;WIDTH=","450&amp;START_MAXIMIZED=FALSE&amp;VAR:CALENDAR=FIVEDAY&amp;VAR:SYMBOL=594228&amp;VAR:INDEX=0"}</definedName>
    <definedName name="_224__FDSAUDITLINK__" hidden="1">{"fdsup://directions/FAT Viewer?action=UPDATE&amp;creator=factset&amp;DYN_ARGS=TRUE&amp;DOC_NAME=FAT:FQL_AUDITING_CLIENT_TEMPLATE.FAT&amp;display_string=Audit&amp;VAR:KEY=HUDERCRSDA&amp;VAR:QUERY=RkZfRUJJVERBX09QRVIoTFRNLDQxMDM2KQ==&amp;WINDOW=FIRST_POPUP&amp;HEIGHT=450&amp;WIDTH=450&amp;START_MA","XIMIZED=FALSE&amp;VAR:CALENDAR=US&amp;VAR:SYMBOL=450270&amp;VAR:INDEX=0"}</definedName>
    <definedName name="_224__FDSAUDITLINK___1" localSheetId="8" hidden="1">{"fdsup://directions/FAT Viewer?action=UPDATE&amp;creator=factset&amp;DYN_ARGS=TRUE&amp;DOC_NAME=FAT:FQL_AUDITING_CLIENT_TEMPLATE.FAT&amp;display_string=Audit&amp;VAR:KEY=FEVGPMTABE&amp;VAR:QUERY=RkZfRUJJVERBX0lCKCdBTk4nLDM3MjU2LCwsLCdES0snKQ==&amp;WINDOW=FIRST_POPUP&amp;HEIGHT=450&amp;WIDTH=","450&amp;START_MAXIMIZED=FALSE&amp;VAR:CALENDAR=FIVEDAY&amp;VAR:SYMBOL=594228&amp;VAR:INDEX=0"}</definedName>
    <definedName name="_224__FDSAUDITLINK___1" hidden="1">{"fdsup://directions/FAT Viewer?action=UPDATE&amp;creator=factset&amp;DYN_ARGS=TRUE&amp;DOC_NAME=FAT:FQL_AUDITING_CLIENT_TEMPLATE.FAT&amp;display_string=Audit&amp;VAR:KEY=FEVGPMTABE&amp;VAR:QUERY=RkZfRUJJVERBX0lCKCdBTk4nLDM3MjU2LCwsLCdES0snKQ==&amp;WINDOW=FIRST_POPUP&amp;HEIGHT=450&amp;WIDTH=","450&amp;START_MAXIMIZED=FALSE&amp;VAR:CALENDAR=FIVEDAY&amp;VAR:SYMBOL=594228&amp;VAR:INDEX=0"}</definedName>
    <definedName name="_225__FDSAUDITLINK__" localSheetId="8" hidden="1">{"fdsup://directions/FAT Viewer?action=UPDATE&amp;creator=factset&amp;DYN_ARGS=TRUE&amp;DOC_NAME=FAT:FQL_AUDITING_CLIENT_TEMPLATE.FAT&amp;display_string=Audit&amp;VAR:KEY=HSBQVQXEPC&amp;VAR:QUERY=RkZfRUJJVERBX0lCKCdBTk4nLDM2ODkxLCwsLCdES0snKQ==&amp;WINDOW=FIRST_POPUP&amp;HEIGHT=450&amp;WIDTH=","450&amp;START_MAXIMIZED=FALSE&amp;VAR:CALENDAR=FIVEDAY&amp;VAR:SYMBOL=594228&amp;VAR:INDEX=0"}</definedName>
    <definedName name="_225__FDSAUDITLINK__" hidden="1">{"fdsup://directions/FAT Viewer?action=UPDATE&amp;creator=factset&amp;DYN_ARGS=TRUE&amp;DOC_NAME=FAT:FQL_AUDITING_CLIENT_TEMPLATE.FAT&amp;display_string=Audit&amp;VAR:KEY=KXIZIVCTQL&amp;VAR:QUERY=RkZfRUJJVERBX09QRVIoTFRNLDQxMDM2KQ==&amp;WINDOW=FIRST_POPUP&amp;HEIGHT=450&amp;WIDTH=450&amp;START_MA","XIMIZED=FALSE&amp;VAR:CALENDAR=US&amp;VAR:SYMBOL=BLDR&amp;VAR:INDEX=0"}</definedName>
    <definedName name="_225__FDSAUDITLINK___1" localSheetId="8" hidden="1">{"fdsup://directions/FAT Viewer?action=UPDATE&amp;creator=factset&amp;DYN_ARGS=TRUE&amp;DOC_NAME=FAT:FQL_AUDITING_CLIENT_TEMPLATE.FAT&amp;display_string=Audit&amp;VAR:KEY=HSBQVQXEPC&amp;VAR:QUERY=RkZfRUJJVERBX0lCKCdBTk4nLDM2ODkxLCwsLCdES0snKQ==&amp;WINDOW=FIRST_POPUP&amp;HEIGHT=450&amp;WIDTH=","450&amp;START_MAXIMIZED=FALSE&amp;VAR:CALENDAR=FIVEDAY&amp;VAR:SYMBOL=594228&amp;VAR:INDEX=0"}</definedName>
    <definedName name="_225__FDSAUDITLINK___1" hidden="1">{"fdsup://directions/FAT Viewer?action=UPDATE&amp;creator=factset&amp;DYN_ARGS=TRUE&amp;DOC_NAME=FAT:FQL_AUDITING_CLIENT_TEMPLATE.FAT&amp;display_string=Audit&amp;VAR:KEY=HSBQVQXEPC&amp;VAR:QUERY=RkZfRUJJVERBX0lCKCdBTk4nLDM2ODkxLCwsLCdES0snKQ==&amp;WINDOW=FIRST_POPUP&amp;HEIGHT=450&amp;WIDTH=","450&amp;START_MAXIMIZED=FALSE&amp;VAR:CALENDAR=FIVEDAY&amp;VAR:SYMBOL=594228&amp;VAR:INDEX=0"}</definedName>
    <definedName name="_226__FDSAUDITLINK__" localSheetId="8" hidden="1">{"fdsup://directions/FAT Viewer?action=UPDATE&amp;creator=factset&amp;DYN_ARGS=TRUE&amp;DOC_NAME=FAT:FQL_AUDITING_CLIENT_TEMPLATE.FAT&amp;display_string=Audit&amp;VAR:KEY=XIPEZYVKNQ&amp;VAR:QUERY=RkZfRUJJVERBX0lCKCdBTk4nLDM2NTI1LCwsLCdES0snKQ==&amp;WINDOW=FIRST_POPUP&amp;HEIGHT=450&amp;WIDTH=","450&amp;START_MAXIMIZED=FALSE&amp;VAR:CALENDAR=FIVEDAY&amp;VAR:SYMBOL=594228&amp;VAR:INDEX=0"}</definedName>
    <definedName name="_226__FDSAUDITLINK__" hidden="1">{"fdsup://directions/FAT Viewer?action=UPDATE&amp;creator=factset&amp;DYN_ARGS=TRUE&amp;DOC_NAME=FAT:FQL_AUDITING_CLIENT_TEMPLATE.FAT&amp;display_string=Audit&amp;VAR:KEY=CJWBGPERMZ&amp;VAR:QUERY=RkZfRUJJVERBX09QRVIoTFRNLDQxMDM2KQ==&amp;WINDOW=FIRST_POPUP&amp;HEIGHT=450&amp;WIDTH=450&amp;START_MA","XIMIZED=FALSE&amp;VAR:CALENDAR=US&amp;VAR:SYMBOL=VMC&amp;VAR:INDEX=0"}</definedName>
    <definedName name="_226__FDSAUDITLINK___1" localSheetId="8" hidden="1">{"fdsup://directions/FAT Viewer?action=UPDATE&amp;creator=factset&amp;DYN_ARGS=TRUE&amp;DOC_NAME=FAT:FQL_AUDITING_CLIENT_TEMPLATE.FAT&amp;display_string=Audit&amp;VAR:KEY=XIPEZYVKNQ&amp;VAR:QUERY=RkZfRUJJVERBX0lCKCdBTk4nLDM2NTI1LCwsLCdES0snKQ==&amp;WINDOW=FIRST_POPUP&amp;HEIGHT=450&amp;WIDTH=","450&amp;START_MAXIMIZED=FALSE&amp;VAR:CALENDAR=FIVEDAY&amp;VAR:SYMBOL=594228&amp;VAR:INDEX=0"}</definedName>
    <definedName name="_226__FDSAUDITLINK___1" hidden="1">{"fdsup://directions/FAT Viewer?action=UPDATE&amp;creator=factset&amp;DYN_ARGS=TRUE&amp;DOC_NAME=FAT:FQL_AUDITING_CLIENT_TEMPLATE.FAT&amp;display_string=Audit&amp;VAR:KEY=XIPEZYVKNQ&amp;VAR:QUERY=RkZfRUJJVERBX0lCKCdBTk4nLDM2NTI1LCwsLCdES0snKQ==&amp;WINDOW=FIRST_POPUP&amp;HEIGHT=450&amp;WIDTH=","450&amp;START_MAXIMIZED=FALSE&amp;VAR:CALENDAR=FIVEDAY&amp;VAR:SYMBOL=594228&amp;VAR:INDEX=0"}</definedName>
    <definedName name="_227__FDSAUDITLINK__" localSheetId="8" hidden="1">{"fdsup://directions/FAT Viewer?action=UPDATE&amp;creator=factset&amp;DYN_ARGS=TRUE&amp;DOC_NAME=FAT:FQL_AUDITING_CLIENT_TEMPLATE.FAT&amp;display_string=Audit&amp;VAR:KEY=RMDYTERAFK&amp;VAR:QUERY=RkZfRUJJVERBX0lCKCdBTk4nLDM2MTYwLCwsLCdES0snKQ==&amp;WINDOW=FIRST_POPUP&amp;HEIGHT=450&amp;WIDTH=","450&amp;START_MAXIMIZED=FALSE&amp;VAR:CALENDAR=FIVEDAY&amp;VAR:SYMBOL=594228&amp;VAR:INDEX=0"}</definedName>
    <definedName name="_227__FDSAUDITLINK__" hidden="1">{"fdsup://directions/FAT Viewer?action=UPDATE&amp;creator=factset&amp;DYN_ARGS=TRUE&amp;DOC_NAME=FAT:FQL_AUDITING_CLIENT_TEMPLATE.FAT&amp;display_string=Audit&amp;VAR:KEY=MRYRCTQXQJ&amp;VAR:QUERY=RkZfRUJJVERBX09QRVIoTFRNLDQxMDM2KQ==&amp;WINDOW=FIRST_POPUP&amp;HEIGHT=450&amp;WIDTH=450&amp;START_MA","XIMIZED=FALSE&amp;VAR:CALENDAR=US&amp;VAR:SYMBOL=MCEM&amp;VAR:INDEX=0"}</definedName>
    <definedName name="_227__FDSAUDITLINK___1" localSheetId="8" hidden="1">{"fdsup://directions/FAT Viewer?action=UPDATE&amp;creator=factset&amp;DYN_ARGS=TRUE&amp;DOC_NAME=FAT:FQL_AUDITING_CLIENT_TEMPLATE.FAT&amp;display_string=Audit&amp;VAR:KEY=RMDYTERAFK&amp;VAR:QUERY=RkZfRUJJVERBX0lCKCdBTk4nLDM2MTYwLCwsLCdES0snKQ==&amp;WINDOW=FIRST_POPUP&amp;HEIGHT=450&amp;WIDTH=","450&amp;START_MAXIMIZED=FALSE&amp;VAR:CALENDAR=FIVEDAY&amp;VAR:SYMBOL=594228&amp;VAR:INDEX=0"}</definedName>
    <definedName name="_227__FDSAUDITLINK___1" hidden="1">{"fdsup://directions/FAT Viewer?action=UPDATE&amp;creator=factset&amp;DYN_ARGS=TRUE&amp;DOC_NAME=FAT:FQL_AUDITING_CLIENT_TEMPLATE.FAT&amp;display_string=Audit&amp;VAR:KEY=RMDYTERAFK&amp;VAR:QUERY=RkZfRUJJVERBX0lCKCdBTk4nLDM2MTYwLCwsLCdES0snKQ==&amp;WINDOW=FIRST_POPUP&amp;HEIGHT=450&amp;WIDTH=","450&amp;START_MAXIMIZED=FALSE&amp;VAR:CALENDAR=FIVEDAY&amp;VAR:SYMBOL=594228&amp;VAR:INDEX=0"}</definedName>
    <definedName name="_228__FDSAUDITLINK__" localSheetId="8" hidden="1">{"fdsup://directions/FAT Viewer?action=UPDATE&amp;creator=factset&amp;DYN_ARGS=TRUE&amp;DOC_NAME=FAT:FQL_AUDITING_CLIENT_TEMPLATE.FAT&amp;display_string=Audit&amp;VAR:KEY=ZGBGZGPGXU&amp;VAR:QUERY=RkZfRUJJVERBX0lCKCdBTk4nLDM1Nzk1LCwsLCdES0snKQ==&amp;WINDOW=FIRST_POPUP&amp;HEIGHT=450&amp;WIDTH=","450&amp;START_MAXIMIZED=FALSE&amp;VAR:CALENDAR=FIVEDAY&amp;VAR:SYMBOL=594228&amp;VAR:INDEX=0"}</definedName>
    <definedName name="_228__FDSAUDITLINK__" hidden="1">{"fdsup://directions/FAT Viewer?action=UPDATE&amp;creator=factset&amp;DYN_ARGS=TRUE&amp;DOC_NAME=FAT:FQL_AUDITING_CLIENT_TEMPLATE.FAT&amp;display_string=Audit&amp;VAR:KEY=YXQVMXKTKB&amp;VAR:QUERY=RkZfRUJJVERBX09QRVIoTFRNLDQxMDM2KQ==&amp;WINDOW=FIRST_POPUP&amp;HEIGHT=450&amp;WIDTH=450&amp;START_MA","XIMIZED=FALSE&amp;VAR:CALENDAR=US&amp;VAR:SYMBOL=TXI&amp;VAR:INDEX=0"}</definedName>
    <definedName name="_228__FDSAUDITLINK___1" localSheetId="8" hidden="1">{"fdsup://directions/FAT Viewer?action=UPDATE&amp;creator=factset&amp;DYN_ARGS=TRUE&amp;DOC_NAME=FAT:FQL_AUDITING_CLIENT_TEMPLATE.FAT&amp;display_string=Audit&amp;VAR:KEY=ZGBGZGPGXU&amp;VAR:QUERY=RkZfRUJJVERBX0lCKCdBTk4nLDM1Nzk1LCwsLCdES0snKQ==&amp;WINDOW=FIRST_POPUP&amp;HEIGHT=450&amp;WIDTH=","450&amp;START_MAXIMIZED=FALSE&amp;VAR:CALENDAR=FIVEDAY&amp;VAR:SYMBOL=594228&amp;VAR:INDEX=0"}</definedName>
    <definedName name="_228__FDSAUDITLINK___1" hidden="1">{"fdsup://directions/FAT Viewer?action=UPDATE&amp;creator=factset&amp;DYN_ARGS=TRUE&amp;DOC_NAME=FAT:FQL_AUDITING_CLIENT_TEMPLATE.FAT&amp;display_string=Audit&amp;VAR:KEY=ZGBGZGPGXU&amp;VAR:QUERY=RkZfRUJJVERBX0lCKCdBTk4nLDM1Nzk1LCwsLCdES0snKQ==&amp;WINDOW=FIRST_POPUP&amp;HEIGHT=450&amp;WIDTH=","450&amp;START_MAXIMIZED=FALSE&amp;VAR:CALENDAR=FIVEDAY&amp;VAR:SYMBOL=594228&amp;VAR:INDEX=0"}</definedName>
    <definedName name="_229__FDSAUDITLINK__" localSheetId="8" hidden="1">{"fdsup://directions/FAT Viewer?action=UPDATE&amp;creator=factset&amp;DYN_ARGS=TRUE&amp;DOC_NAME=FAT:FQL_AUDITING_CLIENT_TEMPLATE.FAT&amp;display_string=Audit&amp;VAR:KEY=VEPOTKPAVS&amp;VAR:QUERY=RkZfRUJJVERBX0lCKCdBTk4nLDM1NDMwLCwsLCdES0snKQ==&amp;WINDOW=FIRST_POPUP&amp;HEIGHT=450&amp;WIDTH=","450&amp;START_MAXIMIZED=FALSE&amp;VAR:CALENDAR=FIVEDAY&amp;VAR:SYMBOL=594228&amp;VAR:INDEX=0"}</definedName>
    <definedName name="_229__FDSAUDITLINK__" hidden="1">{"fdsup://directions/FAT Viewer?action=UPDATE&amp;creator=factset&amp;DYN_ARGS=TRUE&amp;DOC_NAME=FAT:FQL_AUDITING_CLIENT_TEMPLATE.FAT&amp;display_string=Audit&amp;VAR:KEY=WHQRATYBGT&amp;VAR:QUERY=RkZfRUJJVERBX09QRVIoTFRNLDQxMDM2KQ==&amp;WINDOW=FIRST_POPUP&amp;HEIGHT=450&amp;WIDTH=450&amp;START_MA","XIMIZED=FALSE&amp;VAR:CALENDAR=US&amp;VAR:SYMBOL=USCR&amp;VAR:INDEX=0"}</definedName>
    <definedName name="_229__FDSAUDITLINK___1" localSheetId="8" hidden="1">{"fdsup://directions/FAT Viewer?action=UPDATE&amp;creator=factset&amp;DYN_ARGS=TRUE&amp;DOC_NAME=FAT:FQL_AUDITING_CLIENT_TEMPLATE.FAT&amp;display_string=Audit&amp;VAR:KEY=VEPOTKPAVS&amp;VAR:QUERY=RkZfRUJJVERBX0lCKCdBTk4nLDM1NDMwLCwsLCdES0snKQ==&amp;WINDOW=FIRST_POPUP&amp;HEIGHT=450&amp;WIDTH=","450&amp;START_MAXIMIZED=FALSE&amp;VAR:CALENDAR=FIVEDAY&amp;VAR:SYMBOL=594228&amp;VAR:INDEX=0"}</definedName>
    <definedName name="_229__FDSAUDITLINK___1" hidden="1">{"fdsup://directions/FAT Viewer?action=UPDATE&amp;creator=factset&amp;DYN_ARGS=TRUE&amp;DOC_NAME=FAT:FQL_AUDITING_CLIENT_TEMPLATE.FAT&amp;display_string=Audit&amp;VAR:KEY=VEPOTKPAVS&amp;VAR:QUERY=RkZfRUJJVERBX0lCKCdBTk4nLDM1NDMwLCwsLCdES0snKQ==&amp;WINDOW=FIRST_POPUP&amp;HEIGHT=450&amp;WIDTH=","450&amp;START_MAXIMIZED=FALSE&amp;VAR:CALENDAR=FIVEDAY&amp;VAR:SYMBOL=594228&amp;VAR:INDEX=0"}</definedName>
    <definedName name="_23__123Graph_ACHART_3" hidden="1">#REF!</definedName>
    <definedName name="_23__123Graph_ACHART_34" localSheetId="8" hidden="1">#REF!</definedName>
    <definedName name="_23__123Graph_ACHART_34" hidden="1">#REF!</definedName>
    <definedName name="_23__123Graph_BCHART_16" hidden="1">#REF!</definedName>
    <definedName name="_23__123Graph_BCHART_7" hidden="1">#REF!</definedName>
    <definedName name="_23__123Graph_CGRAFICO_2" localSheetId="8" hidden="1">#REF!</definedName>
    <definedName name="_23__123Graph_CGRAFICO_2" hidden="1">#REF!</definedName>
    <definedName name="_23__123Graph_XCHART_15" hidden="1">#REF!</definedName>
    <definedName name="_23__123Graph_XCHART_2" localSheetId="8" hidden="1">#REF!</definedName>
    <definedName name="_23__123Graph_XCHART_2" hidden="1">#REF!</definedName>
    <definedName name="_23__123Graph_XChart_3" hidden="1">#REF!</definedName>
    <definedName name="_23__FDSAUDITLINK__" localSheetId="8" hidden="1">{"fdsup://directions/FAT Viewer?action=UPDATE&amp;creator=factset&amp;DYN_ARGS=TRUE&amp;DOC_NAME=FAT:FQL_AUDITING_CLIENT_TEMPLATE.FAT&amp;display_string=Audit&amp;VAR:KEY=IVABWVKJWF&amp;VAR:QUERY=RkZfRUJJVF9JQihBTk4sMzU0MzAsLCwsRVVSKQ==&amp;WINDOW=FIRST_POPUP&amp;HEIGHT=450&amp;WIDTH=450&amp;STAR","T_MAXIMIZED=FALSE&amp;VAR:CALENDAR=FIVEDAY&amp;VAR:SYMBOL=591344&amp;VAR:INDEX=0"}</definedName>
    <definedName name="_23__FDSAUDITLINK__" hidden="1">{"fdsup://directions/FAT Viewer?action=UPDATE&amp;creator=factset&amp;DYN_ARGS=TRUE&amp;DOC_NAME=FAT:FQL_AUDITING_CLIENT_TEMPLATE.FAT&amp;display_string=Audit&amp;VAR:KEY=EDYVEZWJWR&amp;VAR:QUERY=RkZfU0FMRVMoQ0FMLDIwMTAp&amp;WINDOW=FIRST_POPUP&amp;HEIGHT=450&amp;WIDTH=450&amp;START_MAXIMIZED=FALS","E&amp;VAR:CALENDAR=US&amp;VAR:SYMBOL=VMC&amp;VAR:INDEX=0"}</definedName>
    <definedName name="_23__FDSAUDITLINK___1" localSheetId="8" hidden="1">{"fdsup://directions/FAT Viewer?action=UPDATE&amp;creator=factset&amp;DYN_ARGS=TRUE&amp;DOC_NAME=FAT:FQL_AUDITING_CLIENT_TEMPLATE.FAT&amp;display_string=Audit&amp;VAR:KEY=IVABWVKJWF&amp;VAR:QUERY=RkZfRUJJVF9JQihBTk4sMzU0MzAsLCwsRVVSKQ==&amp;WINDOW=FIRST_POPUP&amp;HEIGHT=450&amp;WIDTH=450&amp;STAR","T_MAXIMIZED=FALSE&amp;VAR:CALENDAR=FIVEDAY&amp;VAR:SYMBOL=591344&amp;VAR:INDEX=0"}</definedName>
    <definedName name="_23__FDSAUDITLINK___1" hidden="1">{"fdsup://directions/FAT Viewer?action=UPDATE&amp;creator=factset&amp;DYN_ARGS=TRUE&amp;DOC_NAME=FAT:FQL_AUDITING_CLIENT_TEMPLATE.FAT&amp;display_string=Audit&amp;VAR:KEY=IVABWVKJWF&amp;VAR:QUERY=RkZfRUJJVF9JQihBTk4sMzU0MzAsLCwsRVVSKQ==&amp;WINDOW=FIRST_POPUP&amp;HEIGHT=450&amp;WIDTH=450&amp;STAR","T_MAXIMIZED=FALSE&amp;VAR:CALENDAR=FIVEDAY&amp;VAR:SYMBOL=591344&amp;VAR:INDEX=0"}</definedName>
    <definedName name="_230__FDSAUDITLINK__" localSheetId="8" hidden="1">{"fdsup://directions/FAT Viewer?action=UPDATE&amp;creator=factset&amp;DYN_ARGS=TRUE&amp;DOC_NAME=FAT:FQL_AUDITING_CLIENT_TEMPLATE.FAT&amp;display_string=Audit&amp;VAR:KEY=RGZIFKLSFI&amp;VAR:QUERY=RkZfRUJJVERBX0lCKCdBTk4nLDM1MDY0LCwsLCdES0snKQ==&amp;WINDOW=FIRST_POPUP&amp;HEIGHT=450&amp;WIDTH=","450&amp;START_MAXIMIZED=FALSE&amp;VAR:CALENDAR=FIVEDAY&amp;VAR:SYMBOL=594228&amp;VAR:INDEX=0"}</definedName>
    <definedName name="_230__FDSAUDITLINK__" hidden="1">{"fdsup://directions/FAT Viewer?action=UPDATE&amp;creator=factset&amp;DYN_ARGS=TRUE&amp;DOC_NAME=FAT:FQL_AUDITING_CLIENT_TEMPLATE.FAT&amp;display_string=Audit&amp;VAR:KEY=YNSJCNEDUR&amp;VAR:QUERY=RkZfRUJJVERBX09QRVIoTFRNLDQxMDM2KQ==&amp;WINDOW=FIRST_POPUP&amp;HEIGHT=450&amp;WIDTH=450&amp;START_MA","XIMIZED=FALSE&amp;VAR:CALENDAR=US&amp;VAR:SYMBOL=MLM&amp;VAR:INDEX=0"}</definedName>
    <definedName name="_230__FDSAUDITLINK___1" localSheetId="8" hidden="1">{"fdsup://directions/FAT Viewer?action=UPDATE&amp;creator=factset&amp;DYN_ARGS=TRUE&amp;DOC_NAME=FAT:FQL_AUDITING_CLIENT_TEMPLATE.FAT&amp;display_string=Audit&amp;VAR:KEY=RGZIFKLSFI&amp;VAR:QUERY=RkZfRUJJVERBX0lCKCdBTk4nLDM1MDY0LCwsLCdES0snKQ==&amp;WINDOW=FIRST_POPUP&amp;HEIGHT=450&amp;WIDTH=","450&amp;START_MAXIMIZED=FALSE&amp;VAR:CALENDAR=FIVEDAY&amp;VAR:SYMBOL=594228&amp;VAR:INDEX=0"}</definedName>
    <definedName name="_230__FDSAUDITLINK___1" hidden="1">{"fdsup://directions/FAT Viewer?action=UPDATE&amp;creator=factset&amp;DYN_ARGS=TRUE&amp;DOC_NAME=FAT:FQL_AUDITING_CLIENT_TEMPLATE.FAT&amp;display_string=Audit&amp;VAR:KEY=RGZIFKLSFI&amp;VAR:QUERY=RkZfRUJJVERBX0lCKCdBTk4nLDM1MDY0LCwsLCdES0snKQ==&amp;WINDOW=FIRST_POPUP&amp;HEIGHT=450&amp;WIDTH=","450&amp;START_MAXIMIZED=FALSE&amp;VAR:CALENDAR=FIVEDAY&amp;VAR:SYMBOL=594228&amp;VAR:INDEX=0"}</definedName>
    <definedName name="_231__FDSAUDITLINK__" localSheetId="8" hidden="1">{"fdsup://directions/FAT Viewer?action=UPDATE&amp;creator=factset&amp;DYN_ARGS=TRUE&amp;DOC_NAME=FAT:FQL_AUDITING_CLIENT_TEMPLATE.FAT&amp;display_string=Audit&amp;VAR:KEY=NUJWJYDKDM&amp;VAR:QUERY=RkZfRUJJVERBX0lCKCdBTk4nLDM0Njk5LCwsLCdES0snKQ==&amp;WINDOW=FIRST_POPUP&amp;HEIGHT=450&amp;WIDTH=","450&amp;START_MAXIMIZED=FALSE&amp;VAR:CALENDAR=FIVEDAY&amp;VAR:SYMBOL=594228&amp;VAR:INDEX=0"}</definedName>
    <definedName name="_231__FDSAUDITLINK__" hidden="1">{"fdsup://directions/FAT Viewer?action=UPDATE&amp;creator=factset&amp;DYN_ARGS=TRUE&amp;DOC_NAME=FAT:FQL_AUDITING_CLIENT_TEMPLATE.FAT&amp;display_string=Audit&amp;VAR:KEY=SJEDYXEZEZ&amp;VAR:QUERY=RkZfRUJJVERBX09QRVIoTFRNLDQxMDM2KQ==&amp;WINDOW=FIRST_POPUP&amp;HEIGHT=450&amp;WIDTH=450&amp;START_MA","XIMIZED=FALSE&amp;VAR:CALENDAR=US&amp;VAR:SYMBOL=EXP&amp;VAR:INDEX=0"}</definedName>
    <definedName name="_231__FDSAUDITLINK___1" localSheetId="8" hidden="1">{"fdsup://directions/FAT Viewer?action=UPDATE&amp;creator=factset&amp;DYN_ARGS=TRUE&amp;DOC_NAME=FAT:FQL_AUDITING_CLIENT_TEMPLATE.FAT&amp;display_string=Audit&amp;VAR:KEY=NUJWJYDKDM&amp;VAR:QUERY=RkZfRUJJVERBX0lCKCdBTk4nLDM0Njk5LCwsLCdES0snKQ==&amp;WINDOW=FIRST_POPUP&amp;HEIGHT=450&amp;WIDTH=","450&amp;START_MAXIMIZED=FALSE&amp;VAR:CALENDAR=FIVEDAY&amp;VAR:SYMBOL=594228&amp;VAR:INDEX=0"}</definedName>
    <definedName name="_231__FDSAUDITLINK___1" hidden="1">{"fdsup://directions/FAT Viewer?action=UPDATE&amp;creator=factset&amp;DYN_ARGS=TRUE&amp;DOC_NAME=FAT:FQL_AUDITING_CLIENT_TEMPLATE.FAT&amp;display_string=Audit&amp;VAR:KEY=NUJWJYDKDM&amp;VAR:QUERY=RkZfRUJJVERBX0lCKCdBTk4nLDM0Njk5LCwsLCdES0snKQ==&amp;WINDOW=FIRST_POPUP&amp;HEIGHT=450&amp;WIDTH=","450&amp;START_MAXIMIZED=FALSE&amp;VAR:CALENDAR=FIVEDAY&amp;VAR:SYMBOL=594228&amp;VAR:INDEX=0"}</definedName>
    <definedName name="_232__FDSAUDITLINK__" localSheetId="8" hidden="1">{"fdsup://directions/FAT Viewer?action=UPDATE&amp;creator=factset&amp;DYN_ARGS=TRUE&amp;DOC_NAME=FAT:FQL_AUDITING_CLIENT_TEMPLATE.FAT&amp;display_string=Audit&amp;VAR:KEY=DCFCVUJYTQ&amp;VAR:QUERY=RkZfRUJJVERBX0lCKCdBTk4nLDM0MzM0LCwsLCdES0snKQ==&amp;WINDOW=FIRST_POPUP&amp;HEIGHT=450&amp;WIDTH=","450&amp;START_MAXIMIZED=FALSE&amp;VAR:CALENDAR=FIVEDAY&amp;VAR:SYMBOL=594228&amp;VAR:INDEX=0"}</definedName>
    <definedName name="_232__FDSAUDITLINK__" hidden="1">{"fdsup://directions/FAT Viewer?action=UPDATE&amp;creator=factset&amp;DYN_ARGS=TRUE&amp;DOC_NAME=FAT:FQL_AUDITING_CLIENT_TEMPLATE.FAT&amp;display_string=Audit&amp;VAR:KEY=MXSNCVOJOF&amp;VAR:QUERY=RkZfU0FMRVMoTFRNLDQxMDM2KQ==&amp;WINDOW=FIRST_POPUP&amp;HEIGHT=450&amp;WIDTH=450&amp;START_MAXIMIZED=","FALSE&amp;VAR:CALENDAR=US&amp;VAR:SYMBOL=711075&amp;VAR:INDEX=0"}</definedName>
    <definedName name="_232__FDSAUDITLINK___1" localSheetId="8" hidden="1">{"fdsup://directions/FAT Viewer?action=UPDATE&amp;creator=factset&amp;DYN_ARGS=TRUE&amp;DOC_NAME=FAT:FQL_AUDITING_CLIENT_TEMPLATE.FAT&amp;display_string=Audit&amp;VAR:KEY=DCFCVUJYTQ&amp;VAR:QUERY=RkZfRUJJVERBX0lCKCdBTk4nLDM0MzM0LCwsLCdES0snKQ==&amp;WINDOW=FIRST_POPUP&amp;HEIGHT=450&amp;WIDTH=","450&amp;START_MAXIMIZED=FALSE&amp;VAR:CALENDAR=FIVEDAY&amp;VAR:SYMBOL=594228&amp;VAR:INDEX=0"}</definedName>
    <definedName name="_232__FDSAUDITLINK___1" hidden="1">{"fdsup://directions/FAT Viewer?action=UPDATE&amp;creator=factset&amp;DYN_ARGS=TRUE&amp;DOC_NAME=FAT:FQL_AUDITING_CLIENT_TEMPLATE.FAT&amp;display_string=Audit&amp;VAR:KEY=DCFCVUJYTQ&amp;VAR:QUERY=RkZfRUJJVERBX0lCKCdBTk4nLDM0MzM0LCwsLCdES0snKQ==&amp;WINDOW=FIRST_POPUP&amp;HEIGHT=450&amp;WIDTH=","450&amp;START_MAXIMIZED=FALSE&amp;VAR:CALENDAR=FIVEDAY&amp;VAR:SYMBOL=594228&amp;VAR:INDEX=0"}</definedName>
    <definedName name="_233__FDSAUDITLINK__" localSheetId="8" hidden="1">{"fdsup://directions/FAT Viewer?action=UPDATE&amp;creator=factset&amp;DYN_ARGS=TRUE&amp;DOC_NAME=FAT:FQL_AUDITING_CLIENT_TEMPLATE.FAT&amp;display_string=Audit&amp;VAR:KEY=JONKNYBEBK&amp;VAR:QUERY=RkZfRUJJVERBX0lCKCdBTk4nLDMzOTY5LCwsLCdES0snKQ==&amp;WINDOW=FIRST_POPUP&amp;HEIGHT=450&amp;WIDTH=","450&amp;START_MAXIMIZED=FALSE&amp;VAR:CALENDAR=FIVEDAY&amp;VAR:SYMBOL=594228&amp;VAR:INDEX=0"}</definedName>
    <definedName name="_233__FDSAUDITLINK__" hidden="1">{"fdsup://directions/FAT Viewer?action=UPDATE&amp;creator=factset&amp;DYN_ARGS=TRUE&amp;DOC_NAME=FAT:FQL_AUDITING_CLIENT_TEMPLATE.FAT&amp;display_string=Audit&amp;VAR:KEY=ZYXSFELWLC&amp;VAR:QUERY=RkZfU0FMRVMoTFRNLDQxMDM2KQ==&amp;WINDOW=FIRST_POPUP&amp;HEIGHT=450&amp;WIDTH=450&amp;START_MAXIMIZED=","FALSE&amp;VAR:CALENDAR=US&amp;VAR:SYMBOL=CX&amp;VAR:INDEX=0"}</definedName>
    <definedName name="_233__FDSAUDITLINK___1" localSheetId="8" hidden="1">{"fdsup://directions/FAT Viewer?action=UPDATE&amp;creator=factset&amp;DYN_ARGS=TRUE&amp;DOC_NAME=FAT:FQL_AUDITING_CLIENT_TEMPLATE.FAT&amp;display_string=Audit&amp;VAR:KEY=JONKNYBEBK&amp;VAR:QUERY=RkZfRUJJVERBX0lCKCdBTk4nLDMzOTY5LCwsLCdES0snKQ==&amp;WINDOW=FIRST_POPUP&amp;HEIGHT=450&amp;WIDTH=","450&amp;START_MAXIMIZED=FALSE&amp;VAR:CALENDAR=FIVEDAY&amp;VAR:SYMBOL=594228&amp;VAR:INDEX=0"}</definedName>
    <definedName name="_233__FDSAUDITLINK___1" hidden="1">{"fdsup://directions/FAT Viewer?action=UPDATE&amp;creator=factset&amp;DYN_ARGS=TRUE&amp;DOC_NAME=FAT:FQL_AUDITING_CLIENT_TEMPLATE.FAT&amp;display_string=Audit&amp;VAR:KEY=JONKNYBEBK&amp;VAR:QUERY=RkZfRUJJVERBX0lCKCdBTk4nLDMzOTY5LCwsLCdES0snKQ==&amp;WINDOW=FIRST_POPUP&amp;HEIGHT=450&amp;WIDTH=","450&amp;START_MAXIMIZED=FALSE&amp;VAR:CALENDAR=FIVEDAY&amp;VAR:SYMBOL=594228&amp;VAR:INDEX=0"}</definedName>
    <definedName name="_234__FDSAUDITLINK__" localSheetId="8" hidden="1">{"fdsup://directions/FAT Viewer?action=UPDATE&amp;creator=factset&amp;DYN_ARGS=TRUE&amp;DOC_NAME=FAT:FQL_AUDITING_CLIENT_TEMPLATE.FAT&amp;display_string=Audit&amp;VAR:KEY=RGPEPYHYTU&amp;VAR:QUERY=RkZfRUJJVERBX0lCKCdBTk4nLDMzNjAzLCwsLCdES0snKQ==&amp;WINDOW=FIRST_POPUP&amp;HEIGHT=450&amp;WIDTH=","450&amp;START_MAXIMIZED=FALSE&amp;VAR:CALENDAR=FIVEDAY&amp;VAR:SYMBOL=594228&amp;VAR:INDEX=0"}</definedName>
    <definedName name="_234__FDSAUDITLINK__" hidden="1">{"fdsup://directions/FAT Viewer?action=UPDATE&amp;creator=factset&amp;DYN_ARGS=TRUE&amp;DOC_NAME=FAT:FQL_AUDITING_CLIENT_TEMPLATE.FAT&amp;display_string=Audit&amp;VAR:KEY=XYNEPEBUBS&amp;VAR:QUERY=RkZfU0FMRVMoTFRNLDQxMDM2KQ==&amp;WINDOW=FIRST_POPUP&amp;HEIGHT=450&amp;WIDTH=450&amp;START_MAXIMIZED=","FALSE&amp;VAR:CALENDAR=US&amp;VAR:SYMBOL=450270&amp;VAR:INDEX=0"}</definedName>
    <definedName name="_234__FDSAUDITLINK___1" localSheetId="8" hidden="1">{"fdsup://directions/FAT Viewer?action=UPDATE&amp;creator=factset&amp;DYN_ARGS=TRUE&amp;DOC_NAME=FAT:FQL_AUDITING_CLIENT_TEMPLATE.FAT&amp;display_string=Audit&amp;VAR:KEY=RGPEPYHYTU&amp;VAR:QUERY=RkZfRUJJVERBX0lCKCdBTk4nLDMzNjAzLCwsLCdES0snKQ==&amp;WINDOW=FIRST_POPUP&amp;HEIGHT=450&amp;WIDTH=","450&amp;START_MAXIMIZED=FALSE&amp;VAR:CALENDAR=FIVEDAY&amp;VAR:SYMBOL=594228&amp;VAR:INDEX=0"}</definedName>
    <definedName name="_234__FDSAUDITLINK___1" hidden="1">{"fdsup://directions/FAT Viewer?action=UPDATE&amp;creator=factset&amp;DYN_ARGS=TRUE&amp;DOC_NAME=FAT:FQL_AUDITING_CLIENT_TEMPLATE.FAT&amp;display_string=Audit&amp;VAR:KEY=RGPEPYHYTU&amp;VAR:QUERY=RkZfRUJJVERBX0lCKCdBTk4nLDMzNjAzLCwsLCdES0snKQ==&amp;WINDOW=FIRST_POPUP&amp;HEIGHT=450&amp;WIDTH=","450&amp;START_MAXIMIZED=FALSE&amp;VAR:CALENDAR=FIVEDAY&amp;VAR:SYMBOL=594228&amp;VAR:INDEX=0"}</definedName>
    <definedName name="_234Grapgh_a" localSheetId="8" hidden="1">#REF!</definedName>
    <definedName name="_234Grapgh_a" hidden="1">#REF!</definedName>
    <definedName name="_234Graph_AB" localSheetId="8" hidden="1">#REF!</definedName>
    <definedName name="_234Graph_AB" hidden="1">#REF!</definedName>
    <definedName name="_234Graph_B" localSheetId="8" hidden="1">#REF!</definedName>
    <definedName name="_234Graph_B" hidden="1">#REF!</definedName>
    <definedName name="_234Graph_C" localSheetId="8" hidden="1">#REF!</definedName>
    <definedName name="_234Graph_C" hidden="1">#REF!</definedName>
    <definedName name="_234Graph_D" localSheetId="8" hidden="1">#REF!</definedName>
    <definedName name="_234Graph_D" hidden="1">#REF!</definedName>
    <definedName name="_234Graph_E" localSheetId="8" hidden="1">#REF!</definedName>
    <definedName name="_234Graph_E" hidden="1">#REF!</definedName>
    <definedName name="_235__FDSAUDITLINK__" localSheetId="8" hidden="1">{"fdsup://directions/FAT Viewer?action=UPDATE&amp;creator=factset&amp;DYN_ARGS=TRUE&amp;DOC_NAME=FAT:FQL_AUDITING_CLIENT_TEMPLATE.FAT&amp;display_string=Audit&amp;VAR:KEY=TIRSJMHKFC&amp;VAR:QUERY=RkZfRUJJVERBX0lCKCdBTk4nLDMzMjM4LCwsLCdES0snKQ==&amp;WINDOW=FIRST_POPUP&amp;HEIGHT=450&amp;WIDTH=","450&amp;START_MAXIMIZED=FALSE&amp;VAR:CALENDAR=FIVEDAY&amp;VAR:SYMBOL=594228&amp;VAR:INDEX=0"}</definedName>
    <definedName name="_235__FDSAUDITLINK__" hidden="1">{"fdsup://directions/FAT Viewer?action=UPDATE&amp;creator=factset&amp;DYN_ARGS=TRUE&amp;DOC_NAME=FAT:FQL_AUDITING_CLIENT_TEMPLATE.FAT&amp;display_string=Audit&amp;VAR:KEY=KFIVAROBWX&amp;VAR:QUERY=RkZfU0FMRVMoTFRNLDQxMDM2KQ==&amp;WINDOW=FIRST_POPUP&amp;HEIGHT=450&amp;WIDTH=450&amp;START_MAXIMIZED=","FALSE&amp;VAR:CALENDAR=US&amp;VAR:SYMBOL=BLDR&amp;VAR:INDEX=0"}</definedName>
    <definedName name="_235__FDSAUDITLINK___1" localSheetId="8" hidden="1">{"fdsup://directions/FAT Viewer?action=UPDATE&amp;creator=factset&amp;DYN_ARGS=TRUE&amp;DOC_NAME=FAT:FQL_AUDITING_CLIENT_TEMPLATE.FAT&amp;display_string=Audit&amp;VAR:KEY=TIRSJMHKFC&amp;VAR:QUERY=RkZfRUJJVERBX0lCKCdBTk4nLDMzMjM4LCwsLCdES0snKQ==&amp;WINDOW=FIRST_POPUP&amp;HEIGHT=450&amp;WIDTH=","450&amp;START_MAXIMIZED=FALSE&amp;VAR:CALENDAR=FIVEDAY&amp;VAR:SYMBOL=594228&amp;VAR:INDEX=0"}</definedName>
    <definedName name="_235__FDSAUDITLINK___1" hidden="1">{"fdsup://directions/FAT Viewer?action=UPDATE&amp;creator=factset&amp;DYN_ARGS=TRUE&amp;DOC_NAME=FAT:FQL_AUDITING_CLIENT_TEMPLATE.FAT&amp;display_string=Audit&amp;VAR:KEY=TIRSJMHKFC&amp;VAR:QUERY=RkZfRUJJVERBX0lCKCdBTk4nLDMzMjM4LCwsLCdES0snKQ==&amp;WINDOW=FIRST_POPUP&amp;HEIGHT=450&amp;WIDTH=","450&amp;START_MAXIMIZED=FALSE&amp;VAR:CALENDAR=FIVEDAY&amp;VAR:SYMBOL=594228&amp;VAR:INDEX=0"}</definedName>
    <definedName name="_236__FDSAUDITLINK__" localSheetId="8" hidden="1">{"fdsup://directions/FAT Viewer?action=UPDATE&amp;creator=factset&amp;DYN_ARGS=TRUE&amp;DOC_NAME=FAT:FQL_AUDITING_CLIENT_TEMPLATE.FAT&amp;display_string=Audit&amp;VAR:KEY=HYLAFGDINA&amp;VAR:QUERY=RkZfRUJJVERBX0lCKCdBTk4nLDMyODczLCwsLCdES0snKQ==&amp;WINDOW=FIRST_POPUP&amp;HEIGHT=450&amp;WIDTH=","450&amp;START_MAXIMIZED=FALSE&amp;VAR:CALENDAR=FIVEDAY&amp;VAR:SYMBOL=594228&amp;VAR:INDEX=0"}</definedName>
    <definedName name="_236__FDSAUDITLINK__" hidden="1">{"fdsup://directions/FAT Viewer?action=UPDATE&amp;creator=factset&amp;DYN_ARGS=TRUE&amp;DOC_NAME=FAT:FQL_AUDITING_CLIENT_TEMPLATE.FAT&amp;display_string=Audit&amp;VAR:KEY=ELKXUBIFWH&amp;VAR:QUERY=RkZfU0FMRVMoTFRNLDQxMDM2KQ==&amp;WINDOW=FIRST_POPUP&amp;HEIGHT=450&amp;WIDTH=450&amp;START_MAXIMIZED=","FALSE&amp;VAR:CALENDAR=US&amp;VAR:SYMBOL=VMC&amp;VAR:INDEX=0"}</definedName>
    <definedName name="_236__FDSAUDITLINK___1" localSheetId="8" hidden="1">{"fdsup://directions/FAT Viewer?action=UPDATE&amp;creator=factset&amp;DYN_ARGS=TRUE&amp;DOC_NAME=FAT:FQL_AUDITING_CLIENT_TEMPLATE.FAT&amp;display_string=Audit&amp;VAR:KEY=HYLAFGDINA&amp;VAR:QUERY=RkZfRUJJVERBX0lCKCdBTk4nLDMyODczLCwsLCdES0snKQ==&amp;WINDOW=FIRST_POPUP&amp;HEIGHT=450&amp;WIDTH=","450&amp;START_MAXIMIZED=FALSE&amp;VAR:CALENDAR=FIVEDAY&amp;VAR:SYMBOL=594228&amp;VAR:INDEX=0"}</definedName>
    <definedName name="_236__FDSAUDITLINK___1" hidden="1">{"fdsup://directions/FAT Viewer?action=UPDATE&amp;creator=factset&amp;DYN_ARGS=TRUE&amp;DOC_NAME=FAT:FQL_AUDITING_CLIENT_TEMPLATE.FAT&amp;display_string=Audit&amp;VAR:KEY=HYLAFGDINA&amp;VAR:QUERY=RkZfRUJJVERBX0lCKCdBTk4nLDMyODczLCwsLCdES0snKQ==&amp;WINDOW=FIRST_POPUP&amp;HEIGHT=450&amp;WIDTH=","450&amp;START_MAXIMIZED=FALSE&amp;VAR:CALENDAR=FIVEDAY&amp;VAR:SYMBOL=594228&amp;VAR:INDEX=0"}</definedName>
    <definedName name="_237__FDSAUDITLINK__" localSheetId="8" hidden="1">{"fdsup://directions/FAT Viewer?action=UPDATE&amp;creator=factset&amp;DYN_ARGS=TRUE&amp;DOC_NAME=FAT:FQL_AUDITING_CLIENT_TEMPLATE.FAT&amp;display_string=Audit&amp;VAR:KEY=WRETWTMHKB&amp;VAR:QUERY=RkZfRUJJVERBX0lCKCdBTk4nLDM5ODEzLCwsLCdHQlAnKQ==&amp;WINDOW=FIRST_POPUP&amp;HEIGHT=450&amp;WIDTH=","450&amp;START_MAXIMIZED=FALSE&amp;VAR:CALENDAR=FIVEDAY&amp;VAR:SYMBOL=323868&amp;VAR:INDEX=0"}</definedName>
    <definedName name="_237__FDSAUDITLINK__" hidden="1">{"fdsup://directions/FAT Viewer?action=UPDATE&amp;creator=factset&amp;DYN_ARGS=TRUE&amp;DOC_NAME=FAT:FQL_AUDITING_CLIENT_TEMPLATE.FAT&amp;display_string=Audit&amp;VAR:KEY=SPKJABIXGX&amp;VAR:QUERY=RkZfU0FMRVMoTFRNLDQxMDM2KQ==&amp;WINDOW=FIRST_POPUP&amp;HEIGHT=450&amp;WIDTH=450&amp;START_MAXIMIZED=","FALSE&amp;VAR:CALENDAR=US&amp;VAR:SYMBOL=MCEM&amp;VAR:INDEX=0"}</definedName>
    <definedName name="_237__FDSAUDITLINK___1" localSheetId="8" hidden="1">{"fdsup://directions/FAT Viewer?action=UPDATE&amp;creator=factset&amp;DYN_ARGS=TRUE&amp;DOC_NAME=FAT:FQL_AUDITING_CLIENT_TEMPLATE.FAT&amp;display_string=Audit&amp;VAR:KEY=WRETWTMHKB&amp;VAR:QUERY=RkZfRUJJVERBX0lCKCdBTk4nLDM5ODEzLCwsLCdHQlAnKQ==&amp;WINDOW=FIRST_POPUP&amp;HEIGHT=450&amp;WIDTH=","450&amp;START_MAXIMIZED=FALSE&amp;VAR:CALENDAR=FIVEDAY&amp;VAR:SYMBOL=323868&amp;VAR:INDEX=0"}</definedName>
    <definedName name="_237__FDSAUDITLINK___1" hidden="1">{"fdsup://directions/FAT Viewer?action=UPDATE&amp;creator=factset&amp;DYN_ARGS=TRUE&amp;DOC_NAME=FAT:FQL_AUDITING_CLIENT_TEMPLATE.FAT&amp;display_string=Audit&amp;VAR:KEY=WRETWTMHKB&amp;VAR:QUERY=RkZfRUJJVERBX0lCKCdBTk4nLDM5ODEzLCwsLCdHQlAnKQ==&amp;WINDOW=FIRST_POPUP&amp;HEIGHT=450&amp;WIDTH=","450&amp;START_MAXIMIZED=FALSE&amp;VAR:CALENDAR=FIVEDAY&amp;VAR:SYMBOL=323868&amp;VAR:INDEX=0"}</definedName>
    <definedName name="_238__FDSAUDITLINK__" localSheetId="8" hidden="1">{"fdsup://directions/FAT Viewer?action=UPDATE&amp;creator=factset&amp;DYN_ARGS=TRUE&amp;DOC_NAME=FAT:FQL_AUDITING_CLIENT_TEMPLATE.FAT&amp;display_string=Audit&amp;VAR:KEY=IHYFIFOBWB&amp;VAR:QUERY=RkZfRUJJVERBX0lCKCdBTk4nLDM5NDQ3LCwsLCdHQlAnKQ==&amp;WINDOW=FIRST_POPUP&amp;HEIGHT=450&amp;WIDTH=","450&amp;START_MAXIMIZED=FALSE&amp;VAR:CALENDAR=FIVEDAY&amp;VAR:SYMBOL=323868&amp;VAR:INDEX=0"}</definedName>
    <definedName name="_238__FDSAUDITLINK__" hidden="1">{"fdsup://directions/FAT Viewer?action=UPDATE&amp;creator=factset&amp;DYN_ARGS=TRUE&amp;DOC_NAME=FAT:FQL_AUDITING_CLIENT_TEMPLATE.FAT&amp;display_string=Audit&amp;VAR:KEY=IFWNEBWPIF&amp;VAR:QUERY=RkZfU0FMRVMoTFRNLDQxMDM2KQ==&amp;WINDOW=FIRST_POPUP&amp;HEIGHT=450&amp;WIDTH=450&amp;START_MAXIMIZED=","FALSE&amp;VAR:CALENDAR=US&amp;VAR:SYMBOL=TXI&amp;VAR:INDEX=0"}</definedName>
    <definedName name="_238__FDSAUDITLINK___1" localSheetId="8" hidden="1">{"fdsup://directions/FAT Viewer?action=UPDATE&amp;creator=factset&amp;DYN_ARGS=TRUE&amp;DOC_NAME=FAT:FQL_AUDITING_CLIENT_TEMPLATE.FAT&amp;display_string=Audit&amp;VAR:KEY=IHYFIFOBWB&amp;VAR:QUERY=RkZfRUJJVERBX0lCKCdBTk4nLDM5NDQ3LCwsLCdHQlAnKQ==&amp;WINDOW=FIRST_POPUP&amp;HEIGHT=450&amp;WIDTH=","450&amp;START_MAXIMIZED=FALSE&amp;VAR:CALENDAR=FIVEDAY&amp;VAR:SYMBOL=323868&amp;VAR:INDEX=0"}</definedName>
    <definedName name="_238__FDSAUDITLINK___1" hidden="1">{"fdsup://directions/FAT Viewer?action=UPDATE&amp;creator=factset&amp;DYN_ARGS=TRUE&amp;DOC_NAME=FAT:FQL_AUDITING_CLIENT_TEMPLATE.FAT&amp;display_string=Audit&amp;VAR:KEY=IHYFIFOBWB&amp;VAR:QUERY=RkZfRUJJVERBX0lCKCdBTk4nLDM5NDQ3LCwsLCdHQlAnKQ==&amp;WINDOW=FIRST_POPUP&amp;HEIGHT=450&amp;WIDTH=","450&amp;START_MAXIMIZED=FALSE&amp;VAR:CALENDAR=FIVEDAY&amp;VAR:SYMBOL=323868&amp;VAR:INDEX=0"}</definedName>
    <definedName name="_239__FDSAUDITLINK__" localSheetId="8" hidden="1">{"fdsup://directions/FAT Viewer?action=UPDATE&amp;creator=factset&amp;DYN_ARGS=TRUE&amp;DOC_NAME=FAT:FQL_AUDITING_CLIENT_TEMPLATE.FAT&amp;display_string=Audit&amp;VAR:KEY=OXYVSPUJWJ&amp;VAR:QUERY=RkZfRUJJVERBX0lCKCdBTk4nLDM5MDgyLCwsLCdHQlAnKQ==&amp;WINDOW=FIRST_POPUP&amp;HEIGHT=450&amp;WIDTH=","450&amp;START_MAXIMIZED=FALSE&amp;VAR:CALENDAR=FIVEDAY&amp;VAR:SYMBOL=323868&amp;VAR:INDEX=0"}</definedName>
    <definedName name="_239__FDSAUDITLINK__" hidden="1">{"fdsup://directions/FAT Viewer?action=UPDATE&amp;creator=factset&amp;DYN_ARGS=TRUE&amp;DOC_NAME=FAT:FQL_AUDITING_CLIENT_TEMPLATE.FAT&amp;display_string=Audit&amp;VAR:KEY=SBGLSDKRON&amp;VAR:QUERY=RkZfU0FMRVMoTFRNLDQxMDM2KQ==&amp;WINDOW=FIRST_POPUP&amp;HEIGHT=450&amp;WIDTH=450&amp;START_MAXIMIZED=","FALSE&amp;VAR:CALENDAR=US&amp;VAR:SYMBOL=USCR&amp;VAR:INDEX=0"}</definedName>
    <definedName name="_239__FDSAUDITLINK___1" localSheetId="8" hidden="1">{"fdsup://directions/FAT Viewer?action=UPDATE&amp;creator=factset&amp;DYN_ARGS=TRUE&amp;DOC_NAME=FAT:FQL_AUDITING_CLIENT_TEMPLATE.FAT&amp;display_string=Audit&amp;VAR:KEY=OXYVSPUJWJ&amp;VAR:QUERY=RkZfRUJJVERBX0lCKCdBTk4nLDM5MDgyLCwsLCdHQlAnKQ==&amp;WINDOW=FIRST_POPUP&amp;HEIGHT=450&amp;WIDTH=","450&amp;START_MAXIMIZED=FALSE&amp;VAR:CALENDAR=FIVEDAY&amp;VAR:SYMBOL=323868&amp;VAR:INDEX=0"}</definedName>
    <definedName name="_239__FDSAUDITLINK___1" hidden="1">{"fdsup://directions/FAT Viewer?action=UPDATE&amp;creator=factset&amp;DYN_ARGS=TRUE&amp;DOC_NAME=FAT:FQL_AUDITING_CLIENT_TEMPLATE.FAT&amp;display_string=Audit&amp;VAR:KEY=OXYVSPUJWJ&amp;VAR:QUERY=RkZfRUJJVERBX0lCKCdBTk4nLDM5MDgyLCwsLCdHQlAnKQ==&amp;WINDOW=FIRST_POPUP&amp;HEIGHT=450&amp;WIDTH=","450&amp;START_MAXIMIZED=FALSE&amp;VAR:CALENDAR=FIVEDAY&amp;VAR:SYMBOL=323868&amp;VAR:INDEX=0"}</definedName>
    <definedName name="_24__123Graph_ACHART_3" hidden="1">#REF!</definedName>
    <definedName name="_24__123Graph_ACHART_4" localSheetId="8" hidden="1">#REF!</definedName>
    <definedName name="_24__123Graph_ACHART_4" hidden="1">#REF!</definedName>
    <definedName name="_24__123Graph_BCHART_19" hidden="1">#REF!</definedName>
    <definedName name="_24__123Graph_BCHART_8" hidden="1">#REF!</definedName>
    <definedName name="_24__123Graph_CGRAFICO_29" localSheetId="8" hidden="1">#REF!</definedName>
    <definedName name="_24__123Graph_CGRAFICO_29" hidden="1">#REF!</definedName>
    <definedName name="_24__123Graph_DCHART_1" hidden="1">#N/A</definedName>
    <definedName name="_24__123Graph_XCHART_16" hidden="1">#REF!</definedName>
    <definedName name="_24__123Graph_XCHART_3" localSheetId="8" hidden="1">#REF!</definedName>
    <definedName name="_24__123Graph_XCHART_3" hidden="1">#REF!</definedName>
    <definedName name="_24__FDSAUDITLINK__" localSheetId="8" hidden="1">{"fdsup://directions/FAT Viewer?action=UPDATE&amp;creator=factset&amp;DYN_ARGS=TRUE&amp;DOC_NAME=FAT:FQL_AUDITING_CLIENT_TEMPLATE.FAT&amp;display_string=Audit&amp;VAR:KEY=ONOJSDCHAZ&amp;VAR:QUERY=RkZfRUJJVF9JQihBTk4sMzUwNjQsLCwsRVVSKQ==&amp;WINDOW=FIRST_POPUP&amp;HEIGHT=450&amp;WIDTH=450&amp;STAR","T_MAXIMIZED=FALSE&amp;VAR:CALENDAR=FIVEDAY&amp;VAR:SYMBOL=591344&amp;VAR:INDEX=0"}</definedName>
    <definedName name="_24__FDSAUDITLINK__" hidden="1">{"fdsup://directions/FAT Viewer?action=UPDATE&amp;creator=factset&amp;DYN_ARGS=TRUE&amp;DOC_NAME=FAT:FQL_AUDITING_CLIENT_TEMPLATE.FAT&amp;display_string=Audit&amp;VAR:KEY=QXMFSHWJIJ&amp;VAR:QUERY=RkZfU0FMRVMoQ0FMLDIwMTAp&amp;WINDOW=FIRST_POPUP&amp;HEIGHT=450&amp;WIDTH=450&amp;START_MAXIMIZED=FALS","E&amp;VAR:CALENDAR=US&amp;VAR:SYMBOL=MCEM&amp;VAR:INDEX=0"}</definedName>
    <definedName name="_24__FDSAUDITLINK___1" localSheetId="8" hidden="1">{"fdsup://directions/FAT Viewer?action=UPDATE&amp;creator=factset&amp;DYN_ARGS=TRUE&amp;DOC_NAME=FAT:FQL_AUDITING_CLIENT_TEMPLATE.FAT&amp;display_string=Audit&amp;VAR:KEY=ONOJSDCHAZ&amp;VAR:QUERY=RkZfRUJJVF9JQihBTk4sMzUwNjQsLCwsRVVSKQ==&amp;WINDOW=FIRST_POPUP&amp;HEIGHT=450&amp;WIDTH=450&amp;STAR","T_MAXIMIZED=FALSE&amp;VAR:CALENDAR=FIVEDAY&amp;VAR:SYMBOL=591344&amp;VAR:INDEX=0"}</definedName>
    <definedName name="_24__FDSAUDITLINK___1" hidden="1">{"fdsup://directions/FAT Viewer?action=UPDATE&amp;creator=factset&amp;DYN_ARGS=TRUE&amp;DOC_NAME=FAT:FQL_AUDITING_CLIENT_TEMPLATE.FAT&amp;display_string=Audit&amp;VAR:KEY=ONOJSDCHAZ&amp;VAR:QUERY=RkZfRUJJVF9JQihBTk4sMzUwNjQsLCwsRVVSKQ==&amp;WINDOW=FIRST_POPUP&amp;HEIGHT=450&amp;WIDTH=450&amp;STAR","T_MAXIMIZED=FALSE&amp;VAR:CALENDAR=FIVEDAY&amp;VAR:SYMBOL=591344&amp;VAR:INDEX=0"}</definedName>
    <definedName name="_240__FDSAUDITLINK__" localSheetId="8" hidden="1">{"fdsup://directions/FAT Viewer?action=UPDATE&amp;creator=factset&amp;DYN_ARGS=TRUE&amp;DOC_NAME=FAT:FQL_AUDITING_CLIENT_TEMPLATE.FAT&amp;display_string=Audit&amp;VAR:KEY=DAFCNEXELY&amp;VAR:QUERY=RkZfRUJJVERBX0lCKCdBTk4nLDM4NzE3LCwsLCdHQlAnKQ==&amp;WINDOW=FIRST_POPUP&amp;HEIGHT=450&amp;WIDTH=","450&amp;START_MAXIMIZED=FALSE&amp;VAR:CALENDAR=FIVEDAY&amp;VAR:SYMBOL=323868&amp;VAR:INDEX=0"}</definedName>
    <definedName name="_240__FDSAUDITLINK__" hidden="1">{"fdsup://directions/FAT Viewer?action=UPDATE&amp;creator=factset&amp;DYN_ARGS=TRUE&amp;DOC_NAME=FAT:FQL_AUDITING_CLIENT_TEMPLATE.FAT&amp;display_string=Audit&amp;VAR:KEY=EVGZODUDYZ&amp;VAR:QUERY=RkZfU0FMRVMoTFRNLDQxMDM2KQ==&amp;WINDOW=FIRST_POPUP&amp;HEIGHT=450&amp;WIDTH=450&amp;START_MAXIMIZED=","FALSE&amp;VAR:CALENDAR=US&amp;VAR:SYMBOL=MLM&amp;VAR:INDEX=0"}</definedName>
    <definedName name="_240__FDSAUDITLINK___1" localSheetId="8" hidden="1">{"fdsup://directions/FAT Viewer?action=UPDATE&amp;creator=factset&amp;DYN_ARGS=TRUE&amp;DOC_NAME=FAT:FQL_AUDITING_CLIENT_TEMPLATE.FAT&amp;display_string=Audit&amp;VAR:KEY=DAFCNEXELY&amp;VAR:QUERY=RkZfRUJJVERBX0lCKCdBTk4nLDM4NzE3LCwsLCdHQlAnKQ==&amp;WINDOW=FIRST_POPUP&amp;HEIGHT=450&amp;WIDTH=","450&amp;START_MAXIMIZED=FALSE&amp;VAR:CALENDAR=FIVEDAY&amp;VAR:SYMBOL=323868&amp;VAR:INDEX=0"}</definedName>
    <definedName name="_240__FDSAUDITLINK___1" hidden="1">{"fdsup://directions/FAT Viewer?action=UPDATE&amp;creator=factset&amp;DYN_ARGS=TRUE&amp;DOC_NAME=FAT:FQL_AUDITING_CLIENT_TEMPLATE.FAT&amp;display_string=Audit&amp;VAR:KEY=DAFCNEXELY&amp;VAR:QUERY=RkZfRUJJVERBX0lCKCdBTk4nLDM4NzE3LCwsLCdHQlAnKQ==&amp;WINDOW=FIRST_POPUP&amp;HEIGHT=450&amp;WIDTH=","450&amp;START_MAXIMIZED=FALSE&amp;VAR:CALENDAR=FIVEDAY&amp;VAR:SYMBOL=323868&amp;VAR:INDEX=0"}</definedName>
    <definedName name="_241__FDSAUDITLINK__" localSheetId="8" hidden="1">{"fdsup://directions/FAT Viewer?action=UPDATE&amp;creator=factset&amp;DYN_ARGS=TRUE&amp;DOC_NAME=FAT:FQL_AUDITING_CLIENT_TEMPLATE.FAT&amp;display_string=Audit&amp;VAR:KEY=FANMVGXGVU&amp;VAR:QUERY=RkZfRUJJVERBX0lCKCdBTk4nLDM4MzUyLCwsLCdHQlAnKQ==&amp;WINDOW=FIRST_POPUP&amp;HEIGHT=450&amp;WIDTH=","450&amp;START_MAXIMIZED=FALSE&amp;VAR:CALENDAR=FIVEDAY&amp;VAR:SYMBOL=323868&amp;VAR:INDEX=0"}</definedName>
    <definedName name="_241__FDSAUDITLINK__" hidden="1">{"fdsup://Directions/FactSet Auditing Viewer?action=AUDIT_VALUE&amp;DB=129&amp;ID1=26969P10&amp;VALUEID=01001&amp;SDATE=2011&amp;PERIODTYPE=ANN_STD&amp;SCFT=3&amp;window=popup_no_bar&amp;width=385&amp;height=120&amp;START_MAXIMIZED=FALSE&amp;creator=factset&amp;display_string=Audit"}</definedName>
    <definedName name="_241__FDSAUDITLINK___1" localSheetId="8" hidden="1">{"fdsup://directions/FAT Viewer?action=UPDATE&amp;creator=factset&amp;DYN_ARGS=TRUE&amp;DOC_NAME=FAT:FQL_AUDITING_CLIENT_TEMPLATE.FAT&amp;display_string=Audit&amp;VAR:KEY=FANMVGXGVU&amp;VAR:QUERY=RkZfRUJJVERBX0lCKCdBTk4nLDM4MzUyLCwsLCdHQlAnKQ==&amp;WINDOW=FIRST_POPUP&amp;HEIGHT=450&amp;WIDTH=","450&amp;START_MAXIMIZED=FALSE&amp;VAR:CALENDAR=FIVEDAY&amp;VAR:SYMBOL=323868&amp;VAR:INDEX=0"}</definedName>
    <definedName name="_241__FDSAUDITLINK___1" hidden="1">{"fdsup://directions/FAT Viewer?action=UPDATE&amp;creator=factset&amp;DYN_ARGS=TRUE&amp;DOC_NAME=FAT:FQL_AUDITING_CLIENT_TEMPLATE.FAT&amp;display_string=Audit&amp;VAR:KEY=FANMVGXGVU&amp;VAR:QUERY=RkZfRUJJVERBX0lCKCdBTk4nLDM4MzUyLCwsLCdHQlAnKQ==&amp;WINDOW=FIRST_POPUP&amp;HEIGHT=450&amp;WIDTH=","450&amp;START_MAXIMIZED=FALSE&amp;VAR:CALENDAR=FIVEDAY&amp;VAR:SYMBOL=323868&amp;VAR:INDEX=0"}</definedName>
    <definedName name="_242__FDSAUDITLINK__" localSheetId="8" hidden="1">{"fdsup://directions/FAT Viewer?action=UPDATE&amp;creator=factset&amp;DYN_ARGS=TRUE&amp;DOC_NAME=FAT:FQL_AUDITING_CLIENT_TEMPLATE.FAT&amp;display_string=Audit&amp;VAR:KEY=BETAZCVIRC&amp;VAR:QUERY=RkZfRUJJVERBX0lCKCdBTk4nLDM3OTg2LCwsLCdHQlAnKQ==&amp;WINDOW=FIRST_POPUP&amp;HEIGHT=450&amp;WIDTH=","450&amp;START_MAXIMIZED=FALSE&amp;VAR:CALENDAR=FIVEDAY&amp;VAR:SYMBOL=323868&amp;VAR:INDEX=0"}</definedName>
    <definedName name="_242__FDSAUDITLINK__" hidden="1">{"fdsup://directions/FAT Viewer?action=UPDATE&amp;creator=factset&amp;DYN_ARGS=TRUE&amp;DOC_NAME=FAT:FQL_AUDITING_CLIENT_TEMPLATE.FAT&amp;display_string=Audit&amp;VAR:KEY=EBEVIDKNUV&amp;VAR:QUERY=RkZfU0FMRVMoQ0FMLDIwMTEpICogMQ==&amp;WINDOW=FIRST_POPUP&amp;HEIGHT=450&amp;WIDTH=450&amp;START_MAXIMI","ZED=FALSE&amp;VAR:CALENDAR=US&amp;VAR:SYMBOL=EXP&amp;VAR:INDEX=0"}</definedName>
    <definedName name="_242__FDSAUDITLINK___1" localSheetId="8" hidden="1">{"fdsup://directions/FAT Viewer?action=UPDATE&amp;creator=factset&amp;DYN_ARGS=TRUE&amp;DOC_NAME=FAT:FQL_AUDITING_CLIENT_TEMPLATE.FAT&amp;display_string=Audit&amp;VAR:KEY=BETAZCVIRC&amp;VAR:QUERY=RkZfRUJJVERBX0lCKCdBTk4nLDM3OTg2LCwsLCdHQlAnKQ==&amp;WINDOW=FIRST_POPUP&amp;HEIGHT=450&amp;WIDTH=","450&amp;START_MAXIMIZED=FALSE&amp;VAR:CALENDAR=FIVEDAY&amp;VAR:SYMBOL=323868&amp;VAR:INDEX=0"}</definedName>
    <definedName name="_242__FDSAUDITLINK___1" hidden="1">{"fdsup://directions/FAT Viewer?action=UPDATE&amp;creator=factset&amp;DYN_ARGS=TRUE&amp;DOC_NAME=FAT:FQL_AUDITING_CLIENT_TEMPLATE.FAT&amp;display_string=Audit&amp;VAR:KEY=BETAZCVIRC&amp;VAR:QUERY=RkZfRUJJVERBX0lCKCdBTk4nLDM3OTg2LCwsLCdHQlAnKQ==&amp;WINDOW=FIRST_POPUP&amp;HEIGHT=450&amp;WIDTH=","450&amp;START_MAXIMIZED=FALSE&amp;VAR:CALENDAR=FIVEDAY&amp;VAR:SYMBOL=323868&amp;VAR:INDEX=0"}</definedName>
    <definedName name="_243__FDSAUDITLINK__" localSheetId="8" hidden="1">{"fdsup://directions/FAT Viewer?action=UPDATE&amp;creator=factset&amp;DYN_ARGS=TRUE&amp;DOC_NAME=FAT:FQL_AUDITING_CLIENT_TEMPLATE.FAT&amp;display_string=Audit&amp;VAR:KEY=ZGPUNGLOHG&amp;VAR:QUERY=RkZfRUJJVERBX0lCKCdBTk4nLDM3NjIxLCwsLCdHQlAnKQ==&amp;WINDOW=FIRST_POPUP&amp;HEIGHT=450&amp;WIDTH=","450&amp;START_MAXIMIZED=FALSE&amp;VAR:CALENDAR=FIVEDAY&amp;VAR:SYMBOL=323868&amp;VAR:INDEX=0"}</definedName>
    <definedName name="_243__FDSAUDITLINK__" hidden="1">{"fdsup://directions/FAT Viewer?action=UPDATE&amp;creator=factset&amp;DYN_ARGS=TRUE&amp;DOC_NAME=FAT:FQL_AUDITING_CLIENT_TEMPLATE.FAT&amp;display_string=Audit&amp;VAR:KEY=QHIJCVILAH&amp;VAR:QUERY=RkZfU0FMRVMoQ0FMLDIwMTApICogMQ==&amp;WINDOW=FIRST_POPUP&amp;HEIGHT=450&amp;WIDTH=450&amp;START_MAXIMI","ZED=FALSE&amp;VAR:CALENDAR=US&amp;VAR:SYMBOL=EXP&amp;VAR:INDEX=0"}</definedName>
    <definedName name="_243__FDSAUDITLINK___1" localSheetId="8" hidden="1">{"fdsup://directions/FAT Viewer?action=UPDATE&amp;creator=factset&amp;DYN_ARGS=TRUE&amp;DOC_NAME=FAT:FQL_AUDITING_CLIENT_TEMPLATE.FAT&amp;display_string=Audit&amp;VAR:KEY=ZGPUNGLOHG&amp;VAR:QUERY=RkZfRUJJVERBX0lCKCdBTk4nLDM3NjIxLCwsLCdHQlAnKQ==&amp;WINDOW=FIRST_POPUP&amp;HEIGHT=450&amp;WIDTH=","450&amp;START_MAXIMIZED=FALSE&amp;VAR:CALENDAR=FIVEDAY&amp;VAR:SYMBOL=323868&amp;VAR:INDEX=0"}</definedName>
    <definedName name="_243__FDSAUDITLINK___1" hidden="1">{"fdsup://directions/FAT Viewer?action=UPDATE&amp;creator=factset&amp;DYN_ARGS=TRUE&amp;DOC_NAME=FAT:FQL_AUDITING_CLIENT_TEMPLATE.FAT&amp;display_string=Audit&amp;VAR:KEY=ZGPUNGLOHG&amp;VAR:QUERY=RkZfRUJJVERBX0lCKCdBTk4nLDM3NjIxLCwsLCdHQlAnKQ==&amp;WINDOW=FIRST_POPUP&amp;HEIGHT=450&amp;WIDTH=","450&amp;START_MAXIMIZED=FALSE&amp;VAR:CALENDAR=FIVEDAY&amp;VAR:SYMBOL=323868&amp;VAR:INDEX=0"}</definedName>
    <definedName name="_244__FDSAUDITLINK__" localSheetId="8" hidden="1">{"fdsup://directions/FAT Viewer?action=UPDATE&amp;creator=factset&amp;DYN_ARGS=TRUE&amp;DOC_NAME=FAT:FQL_AUDITING_CLIENT_TEMPLATE.FAT&amp;display_string=Audit&amp;VAR:KEY=ZCLUXUZCVU&amp;VAR:QUERY=RkZfRUJJVERBX0lCKCdBTk4nLDM3MjU2LCwsLCdHQlAnKQ==&amp;WINDOW=FIRST_POPUP&amp;HEIGHT=450&amp;WIDTH=","450&amp;START_MAXIMIZED=FALSE&amp;VAR:CALENDAR=FIVEDAY&amp;VAR:SYMBOL=323868&amp;VAR:INDEX=0"}</definedName>
    <definedName name="_244__FDSAUDITLINK__" hidden="1">{"fdsup://directions/FAT Viewer?action=UPDATE&amp;creator=factset&amp;DYN_ARGS=TRUE&amp;DOC_NAME=FAT:FQL_AUDITING_CLIENT_TEMPLATE.FAT&amp;display_string=Audit&amp;VAR:KEY=AFGBWTUPWH&amp;VAR:QUERY=RkZfU0FMRVMoQ0FMLDIwMDkpICogMQ==&amp;WINDOW=FIRST_POPUP&amp;HEIGHT=450&amp;WIDTH=450&amp;START_MAXIMI","ZED=FALSE&amp;VAR:CALENDAR=US&amp;VAR:SYMBOL=EXP&amp;VAR:INDEX=0"}</definedName>
    <definedName name="_244__FDSAUDITLINK___1" localSheetId="8" hidden="1">{"fdsup://directions/FAT Viewer?action=UPDATE&amp;creator=factset&amp;DYN_ARGS=TRUE&amp;DOC_NAME=FAT:FQL_AUDITING_CLIENT_TEMPLATE.FAT&amp;display_string=Audit&amp;VAR:KEY=ZCLUXUZCVU&amp;VAR:QUERY=RkZfRUJJVERBX0lCKCdBTk4nLDM3MjU2LCwsLCdHQlAnKQ==&amp;WINDOW=FIRST_POPUP&amp;HEIGHT=450&amp;WIDTH=","450&amp;START_MAXIMIZED=FALSE&amp;VAR:CALENDAR=FIVEDAY&amp;VAR:SYMBOL=323868&amp;VAR:INDEX=0"}</definedName>
    <definedName name="_244__FDSAUDITLINK___1" hidden="1">{"fdsup://directions/FAT Viewer?action=UPDATE&amp;creator=factset&amp;DYN_ARGS=TRUE&amp;DOC_NAME=FAT:FQL_AUDITING_CLIENT_TEMPLATE.FAT&amp;display_string=Audit&amp;VAR:KEY=ZCLUXUZCVU&amp;VAR:QUERY=RkZfRUJJVERBX0lCKCdBTk4nLDM3MjU2LCwsLCdHQlAnKQ==&amp;WINDOW=FIRST_POPUP&amp;HEIGHT=450&amp;WIDTH=","450&amp;START_MAXIMIZED=FALSE&amp;VAR:CALENDAR=FIVEDAY&amp;VAR:SYMBOL=323868&amp;VAR:INDEX=0"}</definedName>
    <definedName name="_245__FDSAUDITLINK__" localSheetId="8" hidden="1">{"fdsup://directions/FAT Viewer?action=UPDATE&amp;creator=factset&amp;DYN_ARGS=TRUE&amp;DOC_NAME=FAT:FQL_AUDITING_CLIENT_TEMPLATE.FAT&amp;display_string=Audit&amp;VAR:KEY=FAJANEZGVQ&amp;VAR:QUERY=RkZfRUJJVERBX0lCKCdBTk4nLDM2ODkxLCwsLCdHQlAnKQ==&amp;WINDOW=FIRST_POPUP&amp;HEIGHT=450&amp;WIDTH=","450&amp;START_MAXIMIZED=FALSE&amp;VAR:CALENDAR=FIVEDAY&amp;VAR:SYMBOL=323868&amp;VAR:INDEX=0"}</definedName>
    <definedName name="_245__FDSAUDITLINK__" hidden="1">{"fdsup://directions/FAT Viewer?action=UPDATE&amp;creator=factset&amp;DYN_ARGS=TRUE&amp;DOC_NAME=FAT:FQL_AUDITING_CLIENT_TEMPLATE.FAT&amp;display_string=Audit&amp;VAR:KEY=CLAXSTUTWT&amp;VAR:QUERY=RkZfRUJJVERBX09QRVIoQ0FMLDIwMTEpICogMQ==&amp;WINDOW=FIRST_POPUP&amp;HEIGHT=450&amp;WIDTH=450&amp;STAR","T_MAXIMIZED=FALSE&amp;VAR:CALENDAR=US&amp;VAR:SYMBOL=EXP&amp;VAR:INDEX=0"}</definedName>
    <definedName name="_245__FDSAUDITLINK___1" localSheetId="8" hidden="1">{"fdsup://directions/FAT Viewer?action=UPDATE&amp;creator=factset&amp;DYN_ARGS=TRUE&amp;DOC_NAME=FAT:FQL_AUDITING_CLIENT_TEMPLATE.FAT&amp;display_string=Audit&amp;VAR:KEY=FAJANEZGVQ&amp;VAR:QUERY=RkZfRUJJVERBX0lCKCdBTk4nLDM2ODkxLCwsLCdHQlAnKQ==&amp;WINDOW=FIRST_POPUP&amp;HEIGHT=450&amp;WIDTH=","450&amp;START_MAXIMIZED=FALSE&amp;VAR:CALENDAR=FIVEDAY&amp;VAR:SYMBOL=323868&amp;VAR:INDEX=0"}</definedName>
    <definedName name="_245__FDSAUDITLINK___1" hidden="1">{"fdsup://directions/FAT Viewer?action=UPDATE&amp;creator=factset&amp;DYN_ARGS=TRUE&amp;DOC_NAME=FAT:FQL_AUDITING_CLIENT_TEMPLATE.FAT&amp;display_string=Audit&amp;VAR:KEY=FAJANEZGVQ&amp;VAR:QUERY=RkZfRUJJVERBX0lCKCdBTk4nLDM2ODkxLCwsLCdHQlAnKQ==&amp;WINDOW=FIRST_POPUP&amp;HEIGHT=450&amp;WIDTH=","450&amp;START_MAXIMIZED=FALSE&amp;VAR:CALENDAR=FIVEDAY&amp;VAR:SYMBOL=323868&amp;VAR:INDEX=0"}</definedName>
    <definedName name="_246__FDSAUDITLINK__" localSheetId="8" hidden="1">{"fdsup://directions/FAT Viewer?action=UPDATE&amp;creator=factset&amp;DYN_ARGS=TRUE&amp;DOC_NAME=FAT:FQL_AUDITING_CLIENT_TEMPLATE.FAT&amp;display_string=Audit&amp;VAR:KEY=HQRSBQPSTM&amp;VAR:QUERY=RkZfRUJJVERBX0lCKCdBTk4nLDM2NTI1LCwsLCdHQlAnKQ==&amp;WINDOW=FIRST_POPUP&amp;HEIGHT=450&amp;WIDTH=","450&amp;START_MAXIMIZED=FALSE&amp;VAR:CALENDAR=FIVEDAY&amp;VAR:SYMBOL=323868&amp;VAR:INDEX=0"}</definedName>
    <definedName name="_246__FDSAUDITLINK__" hidden="1">{"fdsup://directions/FAT Viewer?action=UPDATE&amp;creator=factset&amp;DYN_ARGS=TRUE&amp;DOC_NAME=FAT:FQL_AUDITING_CLIENT_TEMPLATE.FAT&amp;display_string=Audit&amp;VAR:KEY=QHIJCVILAH&amp;VAR:QUERY=RkZfU0FMRVMoQ0FMLDIwMTApICogMQ==&amp;WINDOW=FIRST_POPUP&amp;HEIGHT=450&amp;WIDTH=450&amp;START_MAXIMI","ZED=FALSE&amp;VAR:CALENDAR=US&amp;VAR:SYMBOL=EXP&amp;VAR:INDEX=0"}</definedName>
    <definedName name="_246__FDSAUDITLINK___1" localSheetId="8" hidden="1">{"fdsup://directions/FAT Viewer?action=UPDATE&amp;creator=factset&amp;DYN_ARGS=TRUE&amp;DOC_NAME=FAT:FQL_AUDITING_CLIENT_TEMPLATE.FAT&amp;display_string=Audit&amp;VAR:KEY=HQRSBQPSTM&amp;VAR:QUERY=RkZfRUJJVERBX0lCKCdBTk4nLDM2NTI1LCwsLCdHQlAnKQ==&amp;WINDOW=FIRST_POPUP&amp;HEIGHT=450&amp;WIDTH=","450&amp;START_MAXIMIZED=FALSE&amp;VAR:CALENDAR=FIVEDAY&amp;VAR:SYMBOL=323868&amp;VAR:INDEX=0"}</definedName>
    <definedName name="_246__FDSAUDITLINK___1" hidden="1">{"fdsup://directions/FAT Viewer?action=UPDATE&amp;creator=factset&amp;DYN_ARGS=TRUE&amp;DOC_NAME=FAT:FQL_AUDITING_CLIENT_TEMPLATE.FAT&amp;display_string=Audit&amp;VAR:KEY=HQRSBQPSTM&amp;VAR:QUERY=RkZfRUJJVERBX0lCKCdBTk4nLDM2NTI1LCwsLCdHQlAnKQ==&amp;WINDOW=FIRST_POPUP&amp;HEIGHT=450&amp;WIDTH=","450&amp;START_MAXIMIZED=FALSE&amp;VAR:CALENDAR=FIVEDAY&amp;VAR:SYMBOL=323868&amp;VAR:INDEX=0"}</definedName>
    <definedName name="_247__FDSAUDITLINK__" localSheetId="8" hidden="1">{"fdsup://directions/FAT Viewer?action=UPDATE&amp;creator=factset&amp;DYN_ARGS=TRUE&amp;DOC_NAME=FAT:FQL_AUDITING_CLIENT_TEMPLATE.FAT&amp;display_string=Audit&amp;VAR:KEY=BMVAVATQJO&amp;VAR:QUERY=RkZfRUJJVERBX0lCKCdBTk4nLDM2MTYwLCwsLCdHQlAnKQ==&amp;WINDOW=FIRST_POPUP&amp;HEIGHT=450&amp;WIDTH=","450&amp;START_MAXIMIZED=FALSE&amp;VAR:CALENDAR=FIVEDAY&amp;VAR:SYMBOL=323868&amp;VAR:INDEX=0"}</definedName>
    <definedName name="_247__FDSAUDITLINK__" hidden="1">{"fdsup://directions/FAT Viewer?action=UPDATE&amp;creator=factset&amp;DYN_ARGS=TRUE&amp;DOC_NAME=FAT:FQL_AUDITING_CLIENT_TEMPLATE.FAT&amp;display_string=Audit&amp;VAR:KEY=EBEVIDKNUV&amp;VAR:QUERY=RkZfU0FMRVMoQ0FMLDIwMTEpICogMQ==&amp;WINDOW=FIRST_POPUP&amp;HEIGHT=450&amp;WIDTH=450&amp;START_MAXIMI","ZED=FALSE&amp;VAR:CALENDAR=US&amp;VAR:SYMBOL=EXP&amp;VAR:INDEX=0"}</definedName>
    <definedName name="_247__FDSAUDITLINK___1" localSheetId="8" hidden="1">{"fdsup://directions/FAT Viewer?action=UPDATE&amp;creator=factset&amp;DYN_ARGS=TRUE&amp;DOC_NAME=FAT:FQL_AUDITING_CLIENT_TEMPLATE.FAT&amp;display_string=Audit&amp;VAR:KEY=BMVAVATQJO&amp;VAR:QUERY=RkZfRUJJVERBX0lCKCdBTk4nLDM2MTYwLCwsLCdHQlAnKQ==&amp;WINDOW=FIRST_POPUP&amp;HEIGHT=450&amp;WIDTH=","450&amp;START_MAXIMIZED=FALSE&amp;VAR:CALENDAR=FIVEDAY&amp;VAR:SYMBOL=323868&amp;VAR:INDEX=0"}</definedName>
    <definedName name="_247__FDSAUDITLINK___1" hidden="1">{"fdsup://directions/FAT Viewer?action=UPDATE&amp;creator=factset&amp;DYN_ARGS=TRUE&amp;DOC_NAME=FAT:FQL_AUDITING_CLIENT_TEMPLATE.FAT&amp;display_string=Audit&amp;VAR:KEY=BMVAVATQJO&amp;VAR:QUERY=RkZfRUJJVERBX0lCKCdBTk4nLDM2MTYwLCwsLCdHQlAnKQ==&amp;WINDOW=FIRST_POPUP&amp;HEIGHT=450&amp;WIDTH=","450&amp;START_MAXIMIZED=FALSE&amp;VAR:CALENDAR=FIVEDAY&amp;VAR:SYMBOL=323868&amp;VAR:INDEX=0"}</definedName>
    <definedName name="_248__FDSAUDITLINK__" localSheetId="8" hidden="1">{"fdsup://directions/FAT Viewer?action=UPDATE&amp;creator=factset&amp;DYN_ARGS=TRUE&amp;DOC_NAME=FAT:FQL_AUDITING_CLIENT_TEMPLATE.FAT&amp;display_string=Audit&amp;VAR:KEY=PWDWHYNKXK&amp;VAR:QUERY=RkZfRUJJVERBX0lCKCdBTk4nLDM1Nzk1LCwsLCdHQlAnKQ==&amp;WINDOW=FIRST_POPUP&amp;HEIGHT=450&amp;WIDTH=","450&amp;START_MAXIMIZED=FALSE&amp;VAR:CALENDAR=FIVEDAY&amp;VAR:SYMBOL=323868&amp;VAR:INDEX=0"}</definedName>
    <definedName name="_248__FDSAUDITLINK__" hidden="1">{"fdsup://directions/FAT Viewer?action=UPDATE&amp;creator=factset&amp;DYN_ARGS=TRUE&amp;DOC_NAME=FAT:FQL_AUDITING_CLIENT_TEMPLATE.FAT&amp;display_string=Audit&amp;VAR:KEY=QJYTKXKBYP&amp;VAR:QUERY=RkZfRUJJVF9PUEVSKENBTCwyMDA5KSAqIDE=&amp;WINDOW=FIRST_POPUP&amp;HEIGHT=450&amp;WIDTH=450&amp;START_MA","XIMIZED=FALSE&amp;VAR:CALENDAR=US&amp;VAR:SYMBOL=EXP&amp;VAR:INDEX=0"}</definedName>
    <definedName name="_248__FDSAUDITLINK___1" localSheetId="8" hidden="1">{"fdsup://directions/FAT Viewer?action=UPDATE&amp;creator=factset&amp;DYN_ARGS=TRUE&amp;DOC_NAME=FAT:FQL_AUDITING_CLIENT_TEMPLATE.FAT&amp;display_string=Audit&amp;VAR:KEY=PWDWHYNKXK&amp;VAR:QUERY=RkZfRUJJVERBX0lCKCdBTk4nLDM1Nzk1LCwsLCdHQlAnKQ==&amp;WINDOW=FIRST_POPUP&amp;HEIGHT=450&amp;WIDTH=","450&amp;START_MAXIMIZED=FALSE&amp;VAR:CALENDAR=FIVEDAY&amp;VAR:SYMBOL=323868&amp;VAR:INDEX=0"}</definedName>
    <definedName name="_248__FDSAUDITLINK___1" hidden="1">{"fdsup://directions/FAT Viewer?action=UPDATE&amp;creator=factset&amp;DYN_ARGS=TRUE&amp;DOC_NAME=FAT:FQL_AUDITING_CLIENT_TEMPLATE.FAT&amp;display_string=Audit&amp;VAR:KEY=PWDWHYNKXK&amp;VAR:QUERY=RkZfRUJJVERBX0lCKCdBTk4nLDM1Nzk1LCwsLCdHQlAnKQ==&amp;WINDOW=FIRST_POPUP&amp;HEIGHT=450&amp;WIDTH=","450&amp;START_MAXIMIZED=FALSE&amp;VAR:CALENDAR=FIVEDAY&amp;VAR:SYMBOL=323868&amp;VAR:INDEX=0"}</definedName>
    <definedName name="_249__FDSAUDITLINK__" localSheetId="8" hidden="1">{"fdsup://directions/FAT Viewer?action=UPDATE&amp;creator=factset&amp;DYN_ARGS=TRUE&amp;DOC_NAME=FAT:FQL_AUDITING_CLIENT_TEMPLATE.FAT&amp;display_string=Audit&amp;VAR:KEY=ZWLOHMBAFQ&amp;VAR:QUERY=RkZfRUJJVERBX0lCKCdBTk4nLDM1NDMwLCwsLCdHQlAnKQ==&amp;WINDOW=FIRST_POPUP&amp;HEIGHT=450&amp;WIDTH=","450&amp;START_MAXIMIZED=FALSE&amp;VAR:CALENDAR=FIVEDAY&amp;VAR:SYMBOL=323868&amp;VAR:INDEX=0"}</definedName>
    <definedName name="_249__FDSAUDITLINK__" hidden="1">{"fdsup://directions/FAT Viewer?action=UPDATE&amp;creator=factset&amp;DYN_ARGS=TRUE&amp;DOC_NAME=FAT:FQL_AUDITING_CLIENT_TEMPLATE.FAT&amp;display_string=Audit&amp;VAR:KEY=YNSFKJAHIL&amp;VAR:QUERY=RkZfRUJJVERBX09QRVIoQ0FMLDIwMTApICogMQ==&amp;WINDOW=FIRST_POPUP&amp;HEIGHT=450&amp;WIDTH=450&amp;STAR","T_MAXIMIZED=FALSE&amp;VAR:CALENDAR=US&amp;VAR:SYMBOL=EXP&amp;VAR:INDEX=0"}</definedName>
    <definedName name="_249__FDSAUDITLINK___1" localSheetId="8" hidden="1">{"fdsup://directions/FAT Viewer?action=UPDATE&amp;creator=factset&amp;DYN_ARGS=TRUE&amp;DOC_NAME=FAT:FQL_AUDITING_CLIENT_TEMPLATE.FAT&amp;display_string=Audit&amp;VAR:KEY=ZWLOHMBAFQ&amp;VAR:QUERY=RkZfRUJJVERBX0lCKCdBTk4nLDM1NDMwLCwsLCdHQlAnKQ==&amp;WINDOW=FIRST_POPUP&amp;HEIGHT=450&amp;WIDTH=","450&amp;START_MAXIMIZED=FALSE&amp;VAR:CALENDAR=FIVEDAY&amp;VAR:SYMBOL=323868&amp;VAR:INDEX=0"}</definedName>
    <definedName name="_249__FDSAUDITLINK___1" hidden="1">{"fdsup://directions/FAT Viewer?action=UPDATE&amp;creator=factset&amp;DYN_ARGS=TRUE&amp;DOC_NAME=FAT:FQL_AUDITING_CLIENT_TEMPLATE.FAT&amp;display_string=Audit&amp;VAR:KEY=ZWLOHMBAFQ&amp;VAR:QUERY=RkZfRUJJVERBX0lCKCdBTk4nLDM1NDMwLCwsLCdHQlAnKQ==&amp;WINDOW=FIRST_POPUP&amp;HEIGHT=450&amp;WIDTH=","450&amp;START_MAXIMIZED=FALSE&amp;VAR:CALENDAR=FIVEDAY&amp;VAR:SYMBOL=323868&amp;VAR:INDEX=0"}</definedName>
    <definedName name="_25__123Graph_ACHART_5" localSheetId="8" hidden="1">#REF!</definedName>
    <definedName name="_25__123Graph_ACHART_5" hidden="1">#REF!</definedName>
    <definedName name="_25__123Graph_BCHART_1" hidden="1">#REF!</definedName>
    <definedName name="_25__123Graph_BCHART_2" hidden="1">#REF!</definedName>
    <definedName name="_25__123Graph_CCHART_4" hidden="1">#REF!</definedName>
    <definedName name="_25__123Graph_CGRAFICO_3" localSheetId="8" hidden="1">#REF!</definedName>
    <definedName name="_25__123Graph_CGRAFICO_3" hidden="1">#REF!</definedName>
    <definedName name="_25__123Graph_DCHART_1" hidden="1">#REF!</definedName>
    <definedName name="_25__123Graph_XCHART_2" hidden="1">#REF!</definedName>
    <definedName name="_25__FDSAUDITLINK__" localSheetId="8" hidden="1">{"fdsup://directions/FAT Viewer?action=UPDATE&amp;creator=factset&amp;DYN_ARGS=TRUE&amp;DOC_NAME=FAT:FQL_AUDITING_CLIENT_TEMPLATE.FAT&amp;display_string=Audit&amp;VAR:KEY=GDEBIXMBUP&amp;VAR:QUERY=RkZfRUJJVF9JQihBTk4sMzQ2OTksLCwsRVVSKQ==&amp;WINDOW=FIRST_POPUP&amp;HEIGHT=450&amp;WIDTH=450&amp;STAR","T_MAXIMIZED=FALSE&amp;VAR:CALENDAR=FIVEDAY&amp;VAR:SYMBOL=591344&amp;VAR:INDEX=0"}</definedName>
    <definedName name="_25__FDSAUDITLINK__" hidden="1">{"fdsup://directions/FAT Viewer?action=UPDATE&amp;creator=factset&amp;DYN_ARGS=TRUE&amp;DOC_NAME=FAT:FQL_AUDITING_CLIENT_TEMPLATE.FAT&amp;display_string=Audit&amp;VAR:KEY=CPAPQVYJEL&amp;VAR:QUERY=RkZfU0FMRVMoQ0FMLDIwMTAp&amp;WINDOW=FIRST_POPUP&amp;HEIGHT=450&amp;WIDTH=450&amp;START_MAXIMIZED=FALS","E&amp;VAR:CALENDAR=US&amp;VAR:SYMBOL=TXI&amp;VAR:INDEX=0"}</definedName>
    <definedName name="_25__FDSAUDITLINK___1" localSheetId="8" hidden="1">{"fdsup://directions/FAT Viewer?action=UPDATE&amp;creator=factset&amp;DYN_ARGS=TRUE&amp;DOC_NAME=FAT:FQL_AUDITING_CLIENT_TEMPLATE.FAT&amp;display_string=Audit&amp;VAR:KEY=GDEBIXMBUP&amp;VAR:QUERY=RkZfRUJJVF9JQihBTk4sMzQ2OTksLCwsRVVSKQ==&amp;WINDOW=FIRST_POPUP&amp;HEIGHT=450&amp;WIDTH=450&amp;STAR","T_MAXIMIZED=FALSE&amp;VAR:CALENDAR=FIVEDAY&amp;VAR:SYMBOL=591344&amp;VAR:INDEX=0"}</definedName>
    <definedName name="_25__FDSAUDITLINK___1" hidden="1">{"fdsup://directions/FAT Viewer?action=UPDATE&amp;creator=factset&amp;DYN_ARGS=TRUE&amp;DOC_NAME=FAT:FQL_AUDITING_CLIENT_TEMPLATE.FAT&amp;display_string=Audit&amp;VAR:KEY=GDEBIXMBUP&amp;VAR:QUERY=RkZfRUJJVF9JQihBTk4sMzQ2OTksLCwsRVVSKQ==&amp;WINDOW=FIRST_POPUP&amp;HEIGHT=450&amp;WIDTH=450&amp;STAR","T_MAXIMIZED=FALSE&amp;VAR:CALENDAR=FIVEDAY&amp;VAR:SYMBOL=591344&amp;VAR:INDEX=0"}</definedName>
    <definedName name="_25_0_0__123Grap" hidden="1">#REF!</definedName>
    <definedName name="_250__FDSAUDITLINK__" localSheetId="8" hidden="1">{"fdsup://directions/FAT Viewer?action=UPDATE&amp;creator=factset&amp;DYN_ARGS=TRUE&amp;DOC_NAME=FAT:FQL_AUDITING_CLIENT_TEMPLATE.FAT&amp;display_string=Audit&amp;VAR:KEY=BSDIDQRGJU&amp;VAR:QUERY=RkZfRUJJVERBX0lCKCdBTk4nLDM1MDY0LCwsLCdHQlAnKQ==&amp;WINDOW=FIRST_POPUP&amp;HEIGHT=450&amp;WIDTH=","450&amp;START_MAXIMIZED=FALSE&amp;VAR:CALENDAR=FIVEDAY&amp;VAR:SYMBOL=323868&amp;VAR:INDEX=0"}</definedName>
    <definedName name="_250__FDSAUDITLINK__" hidden="1">{"fdsup://directions/FAT Viewer?action=UPDATE&amp;creator=factset&amp;DYN_ARGS=TRUE&amp;DOC_NAME=FAT:FQL_AUDITING_CLIENT_TEMPLATE.FAT&amp;display_string=Audit&amp;VAR:KEY=CLAXSTUTWT&amp;VAR:QUERY=RkZfRUJJVERBX09QRVIoQ0FMLDIwMTEpICogMQ==&amp;WINDOW=FIRST_POPUP&amp;HEIGHT=450&amp;WIDTH=450&amp;STAR","T_MAXIMIZED=FALSE&amp;VAR:CALENDAR=US&amp;VAR:SYMBOL=EXP&amp;VAR:INDEX=0"}</definedName>
    <definedName name="_250__FDSAUDITLINK___1" localSheetId="8" hidden="1">{"fdsup://directions/FAT Viewer?action=UPDATE&amp;creator=factset&amp;DYN_ARGS=TRUE&amp;DOC_NAME=FAT:FQL_AUDITING_CLIENT_TEMPLATE.FAT&amp;display_string=Audit&amp;VAR:KEY=BSDIDQRGJU&amp;VAR:QUERY=RkZfRUJJVERBX0lCKCdBTk4nLDM1MDY0LCwsLCdHQlAnKQ==&amp;WINDOW=FIRST_POPUP&amp;HEIGHT=450&amp;WIDTH=","450&amp;START_MAXIMIZED=FALSE&amp;VAR:CALENDAR=FIVEDAY&amp;VAR:SYMBOL=323868&amp;VAR:INDEX=0"}</definedName>
    <definedName name="_250__FDSAUDITLINK___1" hidden="1">{"fdsup://directions/FAT Viewer?action=UPDATE&amp;creator=factset&amp;DYN_ARGS=TRUE&amp;DOC_NAME=FAT:FQL_AUDITING_CLIENT_TEMPLATE.FAT&amp;display_string=Audit&amp;VAR:KEY=BSDIDQRGJU&amp;VAR:QUERY=RkZfRUJJVERBX0lCKCdBTk4nLDM1MDY0LCwsLCdHQlAnKQ==&amp;WINDOW=FIRST_POPUP&amp;HEIGHT=450&amp;WIDTH=","450&amp;START_MAXIMIZED=FALSE&amp;VAR:CALENDAR=FIVEDAY&amp;VAR:SYMBOL=323868&amp;VAR:INDEX=0"}</definedName>
    <definedName name="_251__FDSAUDITLINK__" localSheetId="8" hidden="1">{"fdsup://directions/FAT Viewer?action=UPDATE&amp;creator=factset&amp;DYN_ARGS=TRUE&amp;DOC_NAME=FAT:FQL_AUDITING_CLIENT_TEMPLATE.FAT&amp;display_string=Audit&amp;VAR:KEY=DOBANWBSFS&amp;VAR:QUERY=RkZfRUJJVERBX0lCKCdBTk4nLDM0Njk5LCwsLCdHQlAnKQ==&amp;WINDOW=FIRST_POPUP&amp;HEIGHT=450&amp;WIDTH=","450&amp;START_MAXIMIZED=FALSE&amp;VAR:CALENDAR=FIVEDAY&amp;VAR:SYMBOL=323868&amp;VAR:INDEX=0"}</definedName>
    <definedName name="_251__FDSAUDITLINK__" hidden="1">{"fdsup://directions/FAT Viewer?action=UPDATE&amp;creator=factset&amp;DYN_ARGS=TRUE&amp;DOC_NAME=FAT:FQL_AUDITING_CLIENT_TEMPLATE.FAT&amp;display_string=Audit&amp;VAR:KEY=EFWFMPENSH&amp;VAR:QUERY=RkZfRVBTKENBTCwyMDA5KSAqIDE=&amp;WINDOW=FIRST_POPUP&amp;HEIGHT=450&amp;WIDTH=450&amp;START_MAXIMIZED=","FALSE&amp;VAR:CALENDAR=US&amp;VAR:SYMBOL=EXP&amp;VAR:INDEX=0"}</definedName>
    <definedName name="_251__FDSAUDITLINK___1" localSheetId="8" hidden="1">{"fdsup://directions/FAT Viewer?action=UPDATE&amp;creator=factset&amp;DYN_ARGS=TRUE&amp;DOC_NAME=FAT:FQL_AUDITING_CLIENT_TEMPLATE.FAT&amp;display_string=Audit&amp;VAR:KEY=DOBANWBSFS&amp;VAR:QUERY=RkZfRUJJVERBX0lCKCdBTk4nLDM0Njk5LCwsLCdHQlAnKQ==&amp;WINDOW=FIRST_POPUP&amp;HEIGHT=450&amp;WIDTH=","450&amp;START_MAXIMIZED=FALSE&amp;VAR:CALENDAR=FIVEDAY&amp;VAR:SYMBOL=323868&amp;VAR:INDEX=0"}</definedName>
    <definedName name="_251__FDSAUDITLINK___1" hidden="1">{"fdsup://directions/FAT Viewer?action=UPDATE&amp;creator=factset&amp;DYN_ARGS=TRUE&amp;DOC_NAME=FAT:FQL_AUDITING_CLIENT_TEMPLATE.FAT&amp;display_string=Audit&amp;VAR:KEY=DOBANWBSFS&amp;VAR:QUERY=RkZfRUJJVERBX0lCKCdBTk4nLDM0Njk5LCwsLCdHQlAnKQ==&amp;WINDOW=FIRST_POPUP&amp;HEIGHT=450&amp;WIDTH=","450&amp;START_MAXIMIZED=FALSE&amp;VAR:CALENDAR=FIVEDAY&amp;VAR:SYMBOL=323868&amp;VAR:INDEX=0"}</definedName>
    <definedName name="_252__FDSAUDITLINK__" localSheetId="8" hidden="1">{"fdsup://directions/FAT Viewer?action=UPDATE&amp;creator=factset&amp;DYN_ARGS=TRUE&amp;DOC_NAME=FAT:FQL_AUDITING_CLIENT_TEMPLATE.FAT&amp;display_string=Audit&amp;VAR:KEY=HOPQHIZYXQ&amp;VAR:QUERY=RkZfRUJJVERBX0lCKCdBTk4nLDM0MzM0LCwsLCdHQlAnKQ==&amp;WINDOW=FIRST_POPUP&amp;HEIGHT=450&amp;WIDTH=","450&amp;START_MAXIMIZED=FALSE&amp;VAR:CALENDAR=FIVEDAY&amp;VAR:SYMBOL=323868&amp;VAR:INDEX=0"}</definedName>
    <definedName name="_252__FDSAUDITLINK__" hidden="1">{"fdsup://directions/FAT Viewer?action=UPDATE&amp;creator=factset&amp;DYN_ARGS=TRUE&amp;DOC_NAME=FAT:FQL_AUDITING_CLIENT_TEMPLATE.FAT&amp;display_string=Audit&amp;VAR:KEY=OTQHITQZGH&amp;VAR:QUERY=RkZfRUJJVF9PUEVSKENBTCwyMDEwKSAqIDE=&amp;WINDOW=FIRST_POPUP&amp;HEIGHT=450&amp;WIDTH=450&amp;START_MA","XIMIZED=FALSE&amp;VAR:CALENDAR=US&amp;VAR:SYMBOL=EXP&amp;VAR:INDEX=0"}</definedName>
    <definedName name="_252__FDSAUDITLINK___1" localSheetId="8" hidden="1">{"fdsup://directions/FAT Viewer?action=UPDATE&amp;creator=factset&amp;DYN_ARGS=TRUE&amp;DOC_NAME=FAT:FQL_AUDITING_CLIENT_TEMPLATE.FAT&amp;display_string=Audit&amp;VAR:KEY=HOPQHIZYXQ&amp;VAR:QUERY=RkZfRUJJVERBX0lCKCdBTk4nLDM0MzM0LCwsLCdHQlAnKQ==&amp;WINDOW=FIRST_POPUP&amp;HEIGHT=450&amp;WIDTH=","450&amp;START_MAXIMIZED=FALSE&amp;VAR:CALENDAR=FIVEDAY&amp;VAR:SYMBOL=323868&amp;VAR:INDEX=0"}</definedName>
    <definedName name="_252__FDSAUDITLINK___1" hidden="1">{"fdsup://directions/FAT Viewer?action=UPDATE&amp;creator=factset&amp;DYN_ARGS=TRUE&amp;DOC_NAME=FAT:FQL_AUDITING_CLIENT_TEMPLATE.FAT&amp;display_string=Audit&amp;VAR:KEY=HOPQHIZYXQ&amp;VAR:QUERY=RkZfRUJJVERBX0lCKCdBTk4nLDM0MzM0LCwsLCdHQlAnKQ==&amp;WINDOW=FIRST_POPUP&amp;HEIGHT=450&amp;WIDTH=","450&amp;START_MAXIMIZED=FALSE&amp;VAR:CALENDAR=FIVEDAY&amp;VAR:SYMBOL=323868&amp;VAR:INDEX=0"}</definedName>
    <definedName name="_253__FDSAUDITLINK__" localSheetId="8" hidden="1">{"fdsup://directions/FAT Viewer?action=UPDATE&amp;creator=factset&amp;DYN_ARGS=TRUE&amp;DOC_NAME=FAT:FQL_AUDITING_CLIENT_TEMPLATE.FAT&amp;display_string=Audit&amp;VAR:KEY=RWXWJQTSBY&amp;VAR:QUERY=RkZfRUJJVERBX0lCKCdBTk4nLDMzOTY5LCwsLCdHQlAnKQ==&amp;WINDOW=FIRST_POPUP&amp;HEIGHT=450&amp;WIDTH=","450&amp;START_MAXIMIZED=FALSE&amp;VAR:CALENDAR=FIVEDAY&amp;VAR:SYMBOL=323868&amp;VAR:INDEX=0"}</definedName>
    <definedName name="_253__FDSAUDITLINK__" hidden="1">{"fdsup://directions/FAT Viewer?action=UPDATE&amp;creator=factset&amp;DYN_ARGS=TRUE&amp;DOC_NAME=FAT:FQL_AUDITING_CLIENT_TEMPLATE.FAT&amp;display_string=Audit&amp;VAR:KEY=IHIHOVKJKP&amp;VAR:QUERY=RkZfRUJJVF9PUEVSKENBTCwyMDExKSAqIDE=&amp;WINDOW=FIRST_POPUP&amp;HEIGHT=450&amp;WIDTH=450&amp;START_MA","XIMIZED=FALSE&amp;VAR:CALENDAR=US&amp;VAR:SYMBOL=EXP&amp;VAR:INDEX=0"}</definedName>
    <definedName name="_253__FDSAUDITLINK___1" localSheetId="8" hidden="1">{"fdsup://directions/FAT Viewer?action=UPDATE&amp;creator=factset&amp;DYN_ARGS=TRUE&amp;DOC_NAME=FAT:FQL_AUDITING_CLIENT_TEMPLATE.FAT&amp;display_string=Audit&amp;VAR:KEY=RWXWJQTSBY&amp;VAR:QUERY=RkZfRUJJVERBX0lCKCdBTk4nLDMzOTY5LCwsLCdHQlAnKQ==&amp;WINDOW=FIRST_POPUP&amp;HEIGHT=450&amp;WIDTH=","450&amp;START_MAXIMIZED=FALSE&amp;VAR:CALENDAR=FIVEDAY&amp;VAR:SYMBOL=323868&amp;VAR:INDEX=0"}</definedName>
    <definedName name="_253__FDSAUDITLINK___1" hidden="1">{"fdsup://directions/FAT Viewer?action=UPDATE&amp;creator=factset&amp;DYN_ARGS=TRUE&amp;DOC_NAME=FAT:FQL_AUDITING_CLIENT_TEMPLATE.FAT&amp;display_string=Audit&amp;VAR:KEY=RWXWJQTSBY&amp;VAR:QUERY=RkZfRUJJVERBX0lCKCdBTk4nLDMzOTY5LCwsLCdHQlAnKQ==&amp;WINDOW=FIRST_POPUP&amp;HEIGHT=450&amp;WIDTH=","450&amp;START_MAXIMIZED=FALSE&amp;VAR:CALENDAR=FIVEDAY&amp;VAR:SYMBOL=323868&amp;VAR:INDEX=0"}</definedName>
    <definedName name="_254__FDSAUDITLINK__" localSheetId="8" hidden="1">{"fdsup://directions/FAT Viewer?action=UPDATE&amp;creator=factset&amp;DYN_ARGS=TRUE&amp;DOC_NAME=FAT:FQL_AUDITING_CLIENT_TEMPLATE.FAT&amp;display_string=Audit&amp;VAR:KEY=LITKHSJWLW&amp;VAR:QUERY=RkZfRUJJVERBX0lCKCdBTk4nLDMzNjAzLCwsLCdHQlAnKQ==&amp;WINDOW=FIRST_POPUP&amp;HEIGHT=450&amp;WIDTH=","450&amp;START_MAXIMIZED=FALSE&amp;VAR:CALENDAR=FIVEDAY&amp;VAR:SYMBOL=323868&amp;VAR:INDEX=0"}</definedName>
    <definedName name="_254__FDSAUDITLINK__" hidden="1">{"fdsup://directions/FAT Viewer?action=UPDATE&amp;creator=factset&amp;DYN_ARGS=TRUE&amp;DOC_NAME=FAT:FQL_AUDITING_CLIENT_TEMPLATE.FAT&amp;display_string=Audit&amp;VAR:KEY=EDCDKRIDKH&amp;VAR:QUERY=RkZfTkVUX0lOQyhDQUwsMjAwOSkgKiAx&amp;WINDOW=FIRST_POPUP&amp;HEIGHT=450&amp;WIDTH=450&amp;START_MAXIMI","ZED=FALSE&amp;VAR:CALENDAR=US&amp;VAR:SYMBOL=EXP&amp;VAR:INDEX=0"}</definedName>
    <definedName name="_254__FDSAUDITLINK___1" localSheetId="8" hidden="1">{"fdsup://directions/FAT Viewer?action=UPDATE&amp;creator=factset&amp;DYN_ARGS=TRUE&amp;DOC_NAME=FAT:FQL_AUDITING_CLIENT_TEMPLATE.FAT&amp;display_string=Audit&amp;VAR:KEY=LITKHSJWLW&amp;VAR:QUERY=RkZfRUJJVERBX0lCKCdBTk4nLDMzNjAzLCwsLCdHQlAnKQ==&amp;WINDOW=FIRST_POPUP&amp;HEIGHT=450&amp;WIDTH=","450&amp;START_MAXIMIZED=FALSE&amp;VAR:CALENDAR=FIVEDAY&amp;VAR:SYMBOL=323868&amp;VAR:INDEX=0"}</definedName>
    <definedName name="_254__FDSAUDITLINK___1" hidden="1">{"fdsup://directions/FAT Viewer?action=UPDATE&amp;creator=factset&amp;DYN_ARGS=TRUE&amp;DOC_NAME=FAT:FQL_AUDITING_CLIENT_TEMPLATE.FAT&amp;display_string=Audit&amp;VAR:KEY=LITKHSJWLW&amp;VAR:QUERY=RkZfRUJJVERBX0lCKCdBTk4nLDMzNjAzLCwsLCdHQlAnKQ==&amp;WINDOW=FIRST_POPUP&amp;HEIGHT=450&amp;WIDTH=","450&amp;START_MAXIMIZED=FALSE&amp;VAR:CALENDAR=FIVEDAY&amp;VAR:SYMBOL=323868&amp;VAR:INDEX=0"}</definedName>
    <definedName name="_255__FDSAUDITLINK__" localSheetId="8" hidden="1">{"fdsup://directions/FAT Viewer?action=UPDATE&amp;creator=factset&amp;DYN_ARGS=TRUE&amp;DOC_NAME=FAT:FQL_AUDITING_CLIENT_TEMPLATE.FAT&amp;display_string=Audit&amp;VAR:KEY=ZOXMVWJMTY&amp;VAR:QUERY=RkZfRUJJVERBX0lCKCdBTk4nLDMzMjM4LCwsLCdHQlAnKQ==&amp;WINDOW=FIRST_POPUP&amp;HEIGHT=450&amp;WIDTH=","450&amp;START_MAXIMIZED=FALSE&amp;VAR:CALENDAR=FIVEDAY&amp;VAR:SYMBOL=323868&amp;VAR:INDEX=0"}</definedName>
    <definedName name="_255__FDSAUDITLINK__" hidden="1">{"fdsup://directions/FAT Viewer?action=UPDATE&amp;creator=factset&amp;DYN_ARGS=TRUE&amp;DOC_NAME=FAT:FQL_AUDITING_CLIENT_TEMPLATE.FAT&amp;display_string=Audit&amp;VAR:KEY=OHKFQHOJYV&amp;VAR:QUERY=RkZfRVBTKENBTCwyMDEwKSAqIDE=&amp;WINDOW=FIRST_POPUP&amp;HEIGHT=450&amp;WIDTH=450&amp;START_MAXIMIZED=","FALSE&amp;VAR:CALENDAR=US&amp;VAR:SYMBOL=EXP&amp;VAR:INDEX=0"}</definedName>
    <definedName name="_255__FDSAUDITLINK___1" localSheetId="8" hidden="1">{"fdsup://directions/FAT Viewer?action=UPDATE&amp;creator=factset&amp;DYN_ARGS=TRUE&amp;DOC_NAME=FAT:FQL_AUDITING_CLIENT_TEMPLATE.FAT&amp;display_string=Audit&amp;VAR:KEY=ZOXMVWJMTY&amp;VAR:QUERY=RkZfRUJJVERBX0lCKCdBTk4nLDMzMjM4LCwsLCdHQlAnKQ==&amp;WINDOW=FIRST_POPUP&amp;HEIGHT=450&amp;WIDTH=","450&amp;START_MAXIMIZED=FALSE&amp;VAR:CALENDAR=FIVEDAY&amp;VAR:SYMBOL=323868&amp;VAR:INDEX=0"}</definedName>
    <definedName name="_255__FDSAUDITLINK___1" hidden="1">{"fdsup://directions/FAT Viewer?action=UPDATE&amp;creator=factset&amp;DYN_ARGS=TRUE&amp;DOC_NAME=FAT:FQL_AUDITING_CLIENT_TEMPLATE.FAT&amp;display_string=Audit&amp;VAR:KEY=ZOXMVWJMTY&amp;VAR:QUERY=RkZfRUJJVERBX0lCKCdBTk4nLDMzMjM4LCwsLCdHQlAnKQ==&amp;WINDOW=FIRST_POPUP&amp;HEIGHT=450&amp;WIDTH=","450&amp;START_MAXIMIZED=FALSE&amp;VAR:CALENDAR=FIVEDAY&amp;VAR:SYMBOL=323868&amp;VAR:INDEX=0"}</definedName>
    <definedName name="_256__FDSAUDITLINK__" localSheetId="8" hidden="1">{"fdsup://directions/FAT Viewer?action=UPDATE&amp;creator=factset&amp;DYN_ARGS=TRUE&amp;DOC_NAME=FAT:FQL_AUDITING_CLIENT_TEMPLATE.FAT&amp;display_string=Audit&amp;VAR:KEY=JORAZSHAFI&amp;VAR:QUERY=RkZfRUJJVERBX0lCKCdBTk4nLDMyODczLCwsLCdHQlAnKQ==&amp;WINDOW=FIRST_POPUP&amp;HEIGHT=450&amp;WIDTH=","450&amp;START_MAXIMIZED=FALSE&amp;VAR:CALENDAR=FIVEDAY&amp;VAR:SYMBOL=323868&amp;VAR:INDEX=0"}</definedName>
    <definedName name="_256__FDSAUDITLINK__" hidden="1">{"fdsup://directions/FAT Viewer?action=UPDATE&amp;creator=factset&amp;DYN_ARGS=TRUE&amp;DOC_NAME=FAT:FQL_AUDITING_CLIENT_TEMPLATE.FAT&amp;display_string=Audit&amp;VAR:KEY=AHOBUXCNIN&amp;VAR:QUERY=RkZfRVBTKENBTCwyMDExKSAqIDE=&amp;WINDOW=FIRST_POPUP&amp;HEIGHT=450&amp;WIDTH=450&amp;START_MAXIMIZED=","FALSE&amp;VAR:CALENDAR=US&amp;VAR:SYMBOL=EXP&amp;VAR:INDEX=0"}</definedName>
    <definedName name="_256__FDSAUDITLINK___1" localSheetId="8" hidden="1">{"fdsup://directions/FAT Viewer?action=UPDATE&amp;creator=factset&amp;DYN_ARGS=TRUE&amp;DOC_NAME=FAT:FQL_AUDITING_CLIENT_TEMPLATE.FAT&amp;display_string=Audit&amp;VAR:KEY=JORAZSHAFI&amp;VAR:QUERY=RkZfRUJJVERBX0lCKCdBTk4nLDMyODczLCwsLCdHQlAnKQ==&amp;WINDOW=FIRST_POPUP&amp;HEIGHT=450&amp;WIDTH=","450&amp;START_MAXIMIZED=FALSE&amp;VAR:CALENDAR=FIVEDAY&amp;VAR:SYMBOL=323868&amp;VAR:INDEX=0"}</definedName>
    <definedName name="_256__FDSAUDITLINK___1" hidden="1">{"fdsup://directions/FAT Viewer?action=UPDATE&amp;creator=factset&amp;DYN_ARGS=TRUE&amp;DOC_NAME=FAT:FQL_AUDITING_CLIENT_TEMPLATE.FAT&amp;display_string=Audit&amp;VAR:KEY=JORAZSHAFI&amp;VAR:QUERY=RkZfRUJJVERBX0lCKCdBTk4nLDMyODczLCwsLCdHQlAnKQ==&amp;WINDOW=FIRST_POPUP&amp;HEIGHT=450&amp;WIDTH=","450&amp;START_MAXIMIZED=FALSE&amp;VAR:CALENDAR=FIVEDAY&amp;VAR:SYMBOL=323868&amp;VAR:INDEX=0"}</definedName>
    <definedName name="_257__FDSAUDITLINK__" localSheetId="8" hidden="1">{"fdsup://directions/FAT Viewer?action=UPDATE&amp;creator=factset&amp;DYN_ARGS=TRUE&amp;DOC_NAME=FAT:FQL_AUDITING_CLIENT_TEMPLATE.FAT&amp;display_string=Audit&amp;VAR:KEY=GJKNYRILCL&amp;VAR:QUERY=RkZfRUJJVERBX0lCKCdBTk4nLDM5ODEzLCwsLCdHQlAnKQ==&amp;WINDOW=FIRST_POPUP&amp;HEIGHT=450&amp;WIDTH=","450&amp;START_MAXIMIZED=FALSE&amp;VAR:CALENDAR=FIVEDAY&amp;VAR:SYMBOL=011827&amp;VAR:INDEX=0"}</definedName>
    <definedName name="_257__FDSAUDITLINK__" hidden="1">{"fdsup://directions/FAT Viewer?action=UPDATE&amp;creator=factset&amp;DYN_ARGS=TRUE&amp;DOC_NAME=FAT:FQL_AUDITING_CLIENT_TEMPLATE.FAT&amp;display_string=Audit&amp;VAR:KEY=FWVMRMNOVW&amp;VAR:QUERY=RkZfRU5UUlBSX1ZBTF9EQUlMWSg0MTAzNiwsLCwsJ0RJTCcp&amp;WINDOW=FIRST_POPUP&amp;HEIGHT=450&amp;WIDTH=","450&amp;START_MAXIMIZED=FALSE&amp;VAR:CALENDAR=US&amp;VAR:SYMBOL=DHI&amp;VAR:INDEX=0"}</definedName>
    <definedName name="_257__FDSAUDITLINK___1" localSheetId="8" hidden="1">{"fdsup://directions/FAT Viewer?action=UPDATE&amp;creator=factset&amp;DYN_ARGS=TRUE&amp;DOC_NAME=FAT:FQL_AUDITING_CLIENT_TEMPLATE.FAT&amp;display_string=Audit&amp;VAR:KEY=GJKNYRILCL&amp;VAR:QUERY=RkZfRUJJVERBX0lCKCdBTk4nLDM5ODEzLCwsLCdHQlAnKQ==&amp;WINDOW=FIRST_POPUP&amp;HEIGHT=450&amp;WIDTH=","450&amp;START_MAXIMIZED=FALSE&amp;VAR:CALENDAR=FIVEDAY&amp;VAR:SYMBOL=011827&amp;VAR:INDEX=0"}</definedName>
    <definedName name="_257__FDSAUDITLINK___1" hidden="1">{"fdsup://directions/FAT Viewer?action=UPDATE&amp;creator=factset&amp;DYN_ARGS=TRUE&amp;DOC_NAME=FAT:FQL_AUDITING_CLIENT_TEMPLATE.FAT&amp;display_string=Audit&amp;VAR:KEY=GJKNYRILCL&amp;VAR:QUERY=RkZfRUJJVERBX0lCKCdBTk4nLDM5ODEzLCwsLCdHQlAnKQ==&amp;WINDOW=FIRST_POPUP&amp;HEIGHT=450&amp;WIDTH=","450&amp;START_MAXIMIZED=FALSE&amp;VAR:CALENDAR=FIVEDAY&amp;VAR:SYMBOL=011827&amp;VAR:INDEX=0"}</definedName>
    <definedName name="_258__FDSAUDITLINK__" localSheetId="8" hidden="1">{"fdsup://directions/FAT Viewer?action=UPDATE&amp;creator=factset&amp;DYN_ARGS=TRUE&amp;DOC_NAME=FAT:FQL_AUDITING_CLIENT_TEMPLATE.FAT&amp;display_string=Audit&amp;VAR:KEY=MLGPWDCJOF&amp;VAR:QUERY=RkZfRUJJVERBX0lCKCdBTk4nLDM5NDQ3LCwsLCdHQlAnKQ==&amp;WINDOW=FIRST_POPUP&amp;HEIGHT=450&amp;WIDTH=","450&amp;START_MAXIMIZED=FALSE&amp;VAR:CALENDAR=FIVEDAY&amp;VAR:SYMBOL=011827&amp;VAR:INDEX=0"}</definedName>
    <definedName name="_258__FDSAUDITLINK__" hidden="1">{"fdsup://directions/FAT Viewer?action=UPDATE&amp;creator=factset&amp;DYN_ARGS=TRUE&amp;DOC_NAME=FAT:FQL_AUDITING_CLIENT_TEMPLATE.FAT&amp;display_string=Audit&amp;VAR:KEY=LMFKHAZELK&amp;VAR:QUERY=RkZfRU5UUlBSX1ZBTF9EQUlMWSg0MTAzNiwsLCwsJ0RJTCcp&amp;WINDOW=FIRST_POPUP&amp;HEIGHT=450&amp;WIDTH=","450&amp;START_MAXIMIZED=FALSE&amp;VAR:CALENDAR=US&amp;VAR:SYMBOL=PHM&amp;VAR:INDEX=0"}</definedName>
    <definedName name="_258__FDSAUDITLINK___1" localSheetId="8" hidden="1">{"fdsup://directions/FAT Viewer?action=UPDATE&amp;creator=factset&amp;DYN_ARGS=TRUE&amp;DOC_NAME=FAT:FQL_AUDITING_CLIENT_TEMPLATE.FAT&amp;display_string=Audit&amp;VAR:KEY=MLGPWDCJOF&amp;VAR:QUERY=RkZfRUJJVERBX0lCKCdBTk4nLDM5NDQ3LCwsLCdHQlAnKQ==&amp;WINDOW=FIRST_POPUP&amp;HEIGHT=450&amp;WIDTH=","450&amp;START_MAXIMIZED=FALSE&amp;VAR:CALENDAR=FIVEDAY&amp;VAR:SYMBOL=011827&amp;VAR:INDEX=0"}</definedName>
    <definedName name="_258__FDSAUDITLINK___1" hidden="1">{"fdsup://directions/FAT Viewer?action=UPDATE&amp;creator=factset&amp;DYN_ARGS=TRUE&amp;DOC_NAME=FAT:FQL_AUDITING_CLIENT_TEMPLATE.FAT&amp;display_string=Audit&amp;VAR:KEY=MLGPWDCJOF&amp;VAR:QUERY=RkZfRUJJVERBX0lCKCdBTk4nLDM5NDQ3LCwsLCdHQlAnKQ==&amp;WINDOW=FIRST_POPUP&amp;HEIGHT=450&amp;WIDTH=","450&amp;START_MAXIMIZED=FALSE&amp;VAR:CALENDAR=FIVEDAY&amp;VAR:SYMBOL=011827&amp;VAR:INDEX=0"}</definedName>
    <definedName name="_259__FDSAUDITLINK__" localSheetId="8" hidden="1">{"fdsup://directions/FAT Viewer?action=UPDATE&amp;creator=factset&amp;DYN_ARGS=TRUE&amp;DOC_NAME=FAT:FQL_AUDITING_CLIENT_TEMPLATE.FAT&amp;display_string=Audit&amp;VAR:KEY=SNKLYVAJUP&amp;VAR:QUERY=RkZfRUJJVERBX0lCKCdBTk4nLDM5MDgyLCwsLCdHQlAnKQ==&amp;WINDOW=FIRST_POPUP&amp;HEIGHT=450&amp;WIDTH=","450&amp;START_MAXIMIZED=FALSE&amp;VAR:CALENDAR=FIVEDAY&amp;VAR:SYMBOL=011827&amp;VAR:INDEX=0"}</definedName>
    <definedName name="_259__FDSAUDITLINK__" hidden="1">{"fdsup://directions/FAT Viewer?action=UPDATE&amp;creator=factset&amp;DYN_ARGS=TRUE&amp;DOC_NAME=FAT:FQL_AUDITING_CLIENT_TEMPLATE.FAT&amp;display_string=Audit&amp;VAR:KEY=PIXCZIHORO&amp;VAR:QUERY=RkZfRU5UUlBSX1ZBTF9EQUlMWSg0MTAzNiwsLCwsJ0RJTCcp&amp;WINDOW=FIRST_POPUP&amp;HEIGHT=450&amp;WIDTH=","450&amp;START_MAXIMIZED=FALSE&amp;VAR:CALENDAR=US&amp;VAR:SYMBOL=HOV&amp;VAR:INDEX=0"}</definedName>
    <definedName name="_259__FDSAUDITLINK___1" localSheetId="8" hidden="1">{"fdsup://directions/FAT Viewer?action=UPDATE&amp;creator=factset&amp;DYN_ARGS=TRUE&amp;DOC_NAME=FAT:FQL_AUDITING_CLIENT_TEMPLATE.FAT&amp;display_string=Audit&amp;VAR:KEY=SNKLYVAJUP&amp;VAR:QUERY=RkZfRUJJVERBX0lCKCdBTk4nLDM5MDgyLCwsLCdHQlAnKQ==&amp;WINDOW=FIRST_POPUP&amp;HEIGHT=450&amp;WIDTH=","450&amp;START_MAXIMIZED=FALSE&amp;VAR:CALENDAR=FIVEDAY&amp;VAR:SYMBOL=011827&amp;VAR:INDEX=0"}</definedName>
    <definedName name="_259__FDSAUDITLINK___1" hidden="1">{"fdsup://directions/FAT Viewer?action=UPDATE&amp;creator=factset&amp;DYN_ARGS=TRUE&amp;DOC_NAME=FAT:FQL_AUDITING_CLIENT_TEMPLATE.FAT&amp;display_string=Audit&amp;VAR:KEY=SNKLYVAJUP&amp;VAR:QUERY=RkZfRUJJVERBX0lCKCdBTk4nLDM5MDgyLCwsLCdHQlAnKQ==&amp;WINDOW=FIRST_POPUP&amp;HEIGHT=450&amp;WIDTH=","450&amp;START_MAXIMIZED=FALSE&amp;VAR:CALENDAR=FIVEDAY&amp;VAR:SYMBOL=011827&amp;VAR:INDEX=0"}</definedName>
    <definedName name="_26__123Graph_BCHART_20" hidden="1">#REF!</definedName>
    <definedName name="_26__123Graph_BCHART_3" hidden="1">#REF!</definedName>
    <definedName name="_26__123Graph_CCHART_6" hidden="1">#REF!</definedName>
    <definedName name="_26__123Graph_CGRAFICO_30" localSheetId="8" hidden="1">#REF!</definedName>
    <definedName name="_26__123Graph_CGRAFICO_30" hidden="1">#REF!</definedName>
    <definedName name="_26__123Graph_LBL_ACHART_1" hidden="1">#N/A</definedName>
    <definedName name="_26__123Graph_XChart_2G" hidden="1">#REF!</definedName>
    <definedName name="_26__123Graph_XCHART_6" localSheetId="8" hidden="1">#REF!</definedName>
    <definedName name="_26__123Graph_XCHART_6" hidden="1">#REF!</definedName>
    <definedName name="_26__FDSAUDITLINK__" localSheetId="8" hidden="1">{"fdsup://directions/FAT Viewer?action=UPDATE&amp;creator=factset&amp;DYN_ARGS=TRUE&amp;DOC_NAME=FAT:FQL_AUDITING_CLIENT_TEMPLATE.FAT&amp;display_string=Audit&amp;VAR:KEY=WJWDEFWFCL&amp;VAR:QUERY=RkZfRUJJVF9JQihBTk4sMzQzMzQsLCwsRVVSKQ==&amp;WINDOW=FIRST_POPUP&amp;HEIGHT=450&amp;WIDTH=450&amp;STAR","T_MAXIMIZED=FALSE&amp;VAR:CALENDAR=FIVEDAY&amp;VAR:SYMBOL=591344&amp;VAR:INDEX=0"}</definedName>
    <definedName name="_26__FDSAUDITLINK__" hidden="1">{"fdsup://directions/FAT Viewer?action=UPDATE&amp;creator=factset&amp;DYN_ARGS=TRUE&amp;DOC_NAME=FAT:FQL_AUDITING_CLIENT_TEMPLATE.FAT&amp;display_string=Audit&amp;VAR:KEY=UHCLMLSTAB&amp;VAR:QUERY=RkZfU0FMRVMoQ0FMLDIwMTAp&amp;WINDOW=FIRST_POPUP&amp;HEIGHT=450&amp;WIDTH=450&amp;START_MAXIMIZED=FALS","E&amp;VAR:CALENDAR=US&amp;VAR:SYMBOL=USCR&amp;VAR:INDEX=0"}</definedName>
    <definedName name="_26__FDSAUDITLINK___1" localSheetId="8" hidden="1">{"fdsup://directions/FAT Viewer?action=UPDATE&amp;creator=factset&amp;DYN_ARGS=TRUE&amp;DOC_NAME=FAT:FQL_AUDITING_CLIENT_TEMPLATE.FAT&amp;display_string=Audit&amp;VAR:KEY=WJWDEFWFCL&amp;VAR:QUERY=RkZfRUJJVF9JQihBTk4sMzQzMzQsLCwsRVVSKQ==&amp;WINDOW=FIRST_POPUP&amp;HEIGHT=450&amp;WIDTH=450&amp;STAR","T_MAXIMIZED=FALSE&amp;VAR:CALENDAR=FIVEDAY&amp;VAR:SYMBOL=591344&amp;VAR:INDEX=0"}</definedName>
    <definedName name="_26__FDSAUDITLINK___1" hidden="1">{"fdsup://directions/FAT Viewer?action=UPDATE&amp;creator=factset&amp;DYN_ARGS=TRUE&amp;DOC_NAME=FAT:FQL_AUDITING_CLIENT_TEMPLATE.FAT&amp;display_string=Audit&amp;VAR:KEY=WJWDEFWFCL&amp;VAR:QUERY=RkZfRUJJVF9JQihBTk4sMzQzMzQsLCwsRVVSKQ==&amp;WINDOW=FIRST_POPUP&amp;HEIGHT=450&amp;WIDTH=450&amp;STAR","T_MAXIMIZED=FALSE&amp;VAR:CALENDAR=FIVEDAY&amp;VAR:SYMBOL=591344&amp;VAR:INDEX=0"}</definedName>
    <definedName name="_26_0_0__123Graph_AB92" hidden="1">#REF!</definedName>
    <definedName name="_26_0_0_K" hidden="1">#REF!</definedName>
    <definedName name="_260__FDSAUDITLINK__" localSheetId="8" hidden="1">{"fdsup://directions/FAT Viewer?action=UPDATE&amp;creator=factset&amp;DYN_ARGS=TRUE&amp;DOC_NAME=FAT:FQL_AUDITING_CLIENT_TEMPLATE.FAT&amp;display_string=Audit&amp;VAR:KEY=HSDYJIRMRA&amp;VAR:QUERY=RkZfRUJJVERBX0lCKCdBTk4nLDM4NzE3LCwsLCdHQlAnKQ==&amp;WINDOW=FIRST_POPUP&amp;HEIGHT=450&amp;WIDTH=","450&amp;START_MAXIMIZED=FALSE&amp;VAR:CALENDAR=FIVEDAY&amp;VAR:SYMBOL=011827&amp;VAR:INDEX=0"}</definedName>
    <definedName name="_260__FDSAUDITLINK__" hidden="1">{"fdsup://directions/FAT Viewer?action=UPDATE&amp;creator=factset&amp;DYN_ARGS=TRUE&amp;DOC_NAME=FAT:FQL_AUDITING_CLIENT_TEMPLATE.FAT&amp;display_string=Audit&amp;VAR:KEY=XKTOVIJCPA&amp;VAR:QUERY=RkZfRU5UUlBSX1ZBTF9EQUlMWSg0MTAzNiwsLCwsJ0RJTCcp&amp;WINDOW=FIRST_POPUP&amp;HEIGHT=450&amp;WIDTH=","450&amp;START_MAXIMIZED=FALSE&amp;VAR:CALENDAR=US&amp;VAR:SYMBOL=SPF&amp;VAR:INDEX=0"}</definedName>
    <definedName name="_260__FDSAUDITLINK___1" localSheetId="8" hidden="1">{"fdsup://directions/FAT Viewer?action=UPDATE&amp;creator=factset&amp;DYN_ARGS=TRUE&amp;DOC_NAME=FAT:FQL_AUDITING_CLIENT_TEMPLATE.FAT&amp;display_string=Audit&amp;VAR:KEY=HSDYJIRMRA&amp;VAR:QUERY=RkZfRUJJVERBX0lCKCdBTk4nLDM4NzE3LCwsLCdHQlAnKQ==&amp;WINDOW=FIRST_POPUP&amp;HEIGHT=450&amp;WIDTH=","450&amp;START_MAXIMIZED=FALSE&amp;VAR:CALENDAR=FIVEDAY&amp;VAR:SYMBOL=011827&amp;VAR:INDEX=0"}</definedName>
    <definedName name="_260__FDSAUDITLINK___1" hidden="1">{"fdsup://directions/FAT Viewer?action=UPDATE&amp;creator=factset&amp;DYN_ARGS=TRUE&amp;DOC_NAME=FAT:FQL_AUDITING_CLIENT_TEMPLATE.FAT&amp;display_string=Audit&amp;VAR:KEY=HSDYJIRMRA&amp;VAR:QUERY=RkZfRUJJVERBX0lCKCdBTk4nLDM4NzE3LCwsLCdHQlAnKQ==&amp;WINDOW=FIRST_POPUP&amp;HEIGHT=450&amp;WIDTH=","450&amp;START_MAXIMIZED=FALSE&amp;VAR:CALENDAR=FIVEDAY&amp;VAR:SYMBOL=011827&amp;VAR:INDEX=0"}</definedName>
    <definedName name="_261__FDSAUDITLINK__" localSheetId="8" hidden="1">{"fdsup://directions/FAT Viewer?action=UPDATE&amp;creator=factset&amp;DYN_ARGS=TRUE&amp;DOC_NAME=FAT:FQL_AUDITING_CLIENT_TEMPLATE.FAT&amp;display_string=Audit&amp;VAR:KEY=NMJQRQDQLK&amp;VAR:QUERY=RkZfRUJJVERBX0lCKCdBTk4nLDM4MzUyLCwsLCdHQlAnKQ==&amp;WINDOW=FIRST_POPUP&amp;HEIGHT=450&amp;WIDTH=","450&amp;START_MAXIMIZED=FALSE&amp;VAR:CALENDAR=FIVEDAY&amp;VAR:SYMBOL=011827&amp;VAR:INDEX=0"}</definedName>
    <definedName name="_261__FDSAUDITLINK__" hidden="1">{"fdsup://directions/FAT Viewer?action=UPDATE&amp;creator=factset&amp;DYN_ARGS=TRUE&amp;DOC_NAME=FAT:FQL_AUDITING_CLIENT_TEMPLATE.FAT&amp;display_string=Audit&amp;VAR:KEY=RYNUFWPINE&amp;VAR:QUERY=RkZfRU5UUlBSX1ZBTF9EQUlMWSg0MTAzNiwsLCwsJ0RJTCcp&amp;WINDOW=FIRST_POPUP&amp;HEIGHT=450&amp;WIDTH=","450&amp;START_MAXIMIZED=FALSE&amp;VAR:CALENDAR=US&amp;VAR:SYMBOL=KBH&amp;VAR:INDEX=0"}</definedName>
    <definedName name="_261__FDSAUDITLINK___1" localSheetId="8" hidden="1">{"fdsup://directions/FAT Viewer?action=UPDATE&amp;creator=factset&amp;DYN_ARGS=TRUE&amp;DOC_NAME=FAT:FQL_AUDITING_CLIENT_TEMPLATE.FAT&amp;display_string=Audit&amp;VAR:KEY=NMJQRQDQLK&amp;VAR:QUERY=RkZfRUJJVERBX0lCKCdBTk4nLDM4MzUyLCwsLCdHQlAnKQ==&amp;WINDOW=FIRST_POPUP&amp;HEIGHT=450&amp;WIDTH=","450&amp;START_MAXIMIZED=FALSE&amp;VAR:CALENDAR=FIVEDAY&amp;VAR:SYMBOL=011827&amp;VAR:INDEX=0"}</definedName>
    <definedName name="_261__FDSAUDITLINK___1" hidden="1">{"fdsup://directions/FAT Viewer?action=UPDATE&amp;creator=factset&amp;DYN_ARGS=TRUE&amp;DOC_NAME=FAT:FQL_AUDITING_CLIENT_TEMPLATE.FAT&amp;display_string=Audit&amp;VAR:KEY=NMJQRQDQLK&amp;VAR:QUERY=RkZfRUJJVERBX0lCKCdBTk4nLDM4MzUyLCwsLCdHQlAnKQ==&amp;WINDOW=FIRST_POPUP&amp;HEIGHT=450&amp;WIDTH=","450&amp;START_MAXIMIZED=FALSE&amp;VAR:CALENDAR=FIVEDAY&amp;VAR:SYMBOL=011827&amp;VAR:INDEX=0"}</definedName>
    <definedName name="_262__FDSAUDITLINK__" localSheetId="8" hidden="1">{"fdsup://directions/FAT Viewer?action=UPDATE&amp;creator=factset&amp;DYN_ARGS=TRUE&amp;DOC_NAME=FAT:FQL_AUDITING_CLIENT_TEMPLATE.FAT&amp;display_string=Audit&amp;VAR:KEY=JEFEBOHMJQ&amp;VAR:QUERY=RkZfRUJJVERBX0lCKCdBTk4nLDM3OTg2LCwsLCdHQlAnKQ==&amp;WINDOW=FIRST_POPUP&amp;HEIGHT=450&amp;WIDTH=","450&amp;START_MAXIMIZED=FALSE&amp;VAR:CALENDAR=FIVEDAY&amp;VAR:SYMBOL=011827&amp;VAR:INDEX=0"}</definedName>
    <definedName name="_262__FDSAUDITLINK__" hidden="1">{"fdsup://directions/FAT Viewer?action=UPDATE&amp;creator=factset&amp;DYN_ARGS=TRUE&amp;DOC_NAME=FAT:FQL_AUDITING_CLIENT_TEMPLATE.FAT&amp;display_string=Audit&amp;VAR:KEY=LIJIZWRSDM&amp;VAR:QUERY=RkZfRU5UUlBSX1ZBTF9EQUlMWSg0MTAzNiwsLCwsJ0RJTCcp&amp;WINDOW=FIRST_POPUP&amp;HEIGHT=450&amp;WIDTH=","450&amp;START_MAXIMIZED=FALSE&amp;VAR:CALENDAR=US&amp;VAR:SYMBOL=TOL&amp;VAR:INDEX=0"}</definedName>
    <definedName name="_262__FDSAUDITLINK___1" localSheetId="8" hidden="1">{"fdsup://directions/FAT Viewer?action=UPDATE&amp;creator=factset&amp;DYN_ARGS=TRUE&amp;DOC_NAME=FAT:FQL_AUDITING_CLIENT_TEMPLATE.FAT&amp;display_string=Audit&amp;VAR:KEY=JEFEBOHMJQ&amp;VAR:QUERY=RkZfRUJJVERBX0lCKCdBTk4nLDM3OTg2LCwsLCdHQlAnKQ==&amp;WINDOW=FIRST_POPUP&amp;HEIGHT=450&amp;WIDTH=","450&amp;START_MAXIMIZED=FALSE&amp;VAR:CALENDAR=FIVEDAY&amp;VAR:SYMBOL=011827&amp;VAR:INDEX=0"}</definedName>
    <definedName name="_262__FDSAUDITLINK___1" hidden="1">{"fdsup://directions/FAT Viewer?action=UPDATE&amp;creator=factset&amp;DYN_ARGS=TRUE&amp;DOC_NAME=FAT:FQL_AUDITING_CLIENT_TEMPLATE.FAT&amp;display_string=Audit&amp;VAR:KEY=JEFEBOHMJQ&amp;VAR:QUERY=RkZfRUJJVERBX0lCKCdBTk4nLDM3OTg2LCwsLCdHQlAnKQ==&amp;WINDOW=FIRST_POPUP&amp;HEIGHT=450&amp;WIDTH=","450&amp;START_MAXIMIZED=FALSE&amp;VAR:CALENDAR=FIVEDAY&amp;VAR:SYMBOL=011827&amp;VAR:INDEX=0"}</definedName>
    <definedName name="_263__FDSAUDITLINK__" localSheetId="8" hidden="1">{"fdsup://directions/FAT Viewer?action=UPDATE&amp;creator=factset&amp;DYN_ARGS=TRUE&amp;DOC_NAME=FAT:FQL_AUDITING_CLIENT_TEMPLATE.FAT&amp;display_string=Audit&amp;VAR:KEY=RYLCHSXCXI&amp;VAR:QUERY=RkZfRUJJVERBX0lCKCdBTk4nLDM3NjIxLCwsLCdHQlAnKQ==&amp;WINDOW=FIRST_POPUP&amp;HEIGHT=450&amp;WIDTH=","450&amp;START_MAXIMIZED=FALSE&amp;VAR:CALENDAR=FIVEDAY&amp;VAR:SYMBOL=011827&amp;VAR:INDEX=0"}</definedName>
    <definedName name="_263__FDSAUDITLINK__" hidden="1">{"fdsup://directions/FAT Viewer?action=UPDATE&amp;creator=factset&amp;DYN_ARGS=TRUE&amp;DOC_NAME=FAT:FQL_AUDITING_CLIENT_TEMPLATE.FAT&amp;display_string=Audit&amp;VAR:KEY=DKXELGLULY&amp;VAR:QUERY=RkZfRU5UUlBSX1ZBTF9EQUlMWSg0MTAzNiwsLCwsJ0RJTCcp&amp;WINDOW=FIRST_POPUP&amp;HEIGHT=450&amp;WIDTH=","450&amp;START_MAXIMIZED=FALSE&amp;VAR:CALENDAR=US&amp;VAR:SYMBOL=MTH&amp;VAR:INDEX=0"}</definedName>
    <definedName name="_263__FDSAUDITLINK___1" localSheetId="8" hidden="1">{"fdsup://directions/FAT Viewer?action=UPDATE&amp;creator=factset&amp;DYN_ARGS=TRUE&amp;DOC_NAME=FAT:FQL_AUDITING_CLIENT_TEMPLATE.FAT&amp;display_string=Audit&amp;VAR:KEY=RYLCHSXCXI&amp;VAR:QUERY=RkZfRUJJVERBX0lCKCdBTk4nLDM3NjIxLCwsLCdHQlAnKQ==&amp;WINDOW=FIRST_POPUP&amp;HEIGHT=450&amp;WIDTH=","450&amp;START_MAXIMIZED=FALSE&amp;VAR:CALENDAR=FIVEDAY&amp;VAR:SYMBOL=011827&amp;VAR:INDEX=0"}</definedName>
    <definedName name="_263__FDSAUDITLINK___1" hidden="1">{"fdsup://directions/FAT Viewer?action=UPDATE&amp;creator=factset&amp;DYN_ARGS=TRUE&amp;DOC_NAME=FAT:FQL_AUDITING_CLIENT_TEMPLATE.FAT&amp;display_string=Audit&amp;VAR:KEY=RYLCHSXCXI&amp;VAR:QUERY=RkZfRUJJVERBX0lCKCdBTk4nLDM3NjIxLCwsLCdHQlAnKQ==&amp;WINDOW=FIRST_POPUP&amp;HEIGHT=450&amp;WIDTH=","450&amp;START_MAXIMIZED=FALSE&amp;VAR:CALENDAR=FIVEDAY&amp;VAR:SYMBOL=011827&amp;VAR:INDEX=0"}</definedName>
    <definedName name="_264__FDSAUDITLINK__" localSheetId="8" hidden="1">{"fdsup://directions/FAT Viewer?action=UPDATE&amp;creator=factset&amp;DYN_ARGS=TRUE&amp;DOC_NAME=FAT:FQL_AUDITING_CLIENT_TEMPLATE.FAT&amp;display_string=Audit&amp;VAR:KEY=FSRCNYRKHY&amp;VAR:QUERY=RkZfRUJJVERBX0lCKCdBTk4nLDM3MjU2LCwsLCdHQlAnKQ==&amp;WINDOW=FIRST_POPUP&amp;HEIGHT=450&amp;WIDTH=","450&amp;START_MAXIMIZED=FALSE&amp;VAR:CALENDAR=FIVEDAY&amp;VAR:SYMBOL=011827&amp;VAR:INDEX=0"}</definedName>
    <definedName name="_264__FDSAUDITLINK__" hidden="1">{"fdsup://directions/FAT Viewer?action=UPDATE&amp;creator=factset&amp;DYN_ARGS=TRUE&amp;DOC_NAME=FAT:FQL_AUDITING_CLIENT_TEMPLATE.FAT&amp;display_string=Audit&amp;VAR:KEY=ZOFGZYTALU&amp;VAR:QUERY=RkZfRU5UUlBSX1ZBTF9EQUlMWSg0MTAzNiwsLCwsJ0RJTCcp&amp;WINDOW=FIRST_POPUP&amp;HEIGHT=450&amp;WIDTH=","450&amp;START_MAXIMIZED=FALSE&amp;VAR:CALENDAR=US&amp;VAR:SYMBOL=NVR&amp;VAR:INDEX=0"}</definedName>
    <definedName name="_264__FDSAUDITLINK___1" localSheetId="8" hidden="1">{"fdsup://directions/FAT Viewer?action=UPDATE&amp;creator=factset&amp;DYN_ARGS=TRUE&amp;DOC_NAME=FAT:FQL_AUDITING_CLIENT_TEMPLATE.FAT&amp;display_string=Audit&amp;VAR:KEY=FSRCNYRKHY&amp;VAR:QUERY=RkZfRUJJVERBX0lCKCdBTk4nLDM3MjU2LCwsLCdHQlAnKQ==&amp;WINDOW=FIRST_POPUP&amp;HEIGHT=450&amp;WIDTH=","450&amp;START_MAXIMIZED=FALSE&amp;VAR:CALENDAR=FIVEDAY&amp;VAR:SYMBOL=011827&amp;VAR:INDEX=0"}</definedName>
    <definedName name="_264__FDSAUDITLINK___1" hidden="1">{"fdsup://directions/FAT Viewer?action=UPDATE&amp;creator=factset&amp;DYN_ARGS=TRUE&amp;DOC_NAME=FAT:FQL_AUDITING_CLIENT_TEMPLATE.FAT&amp;display_string=Audit&amp;VAR:KEY=FSRCNYRKHY&amp;VAR:QUERY=RkZfRUJJVERBX0lCKCdBTk4nLDM3MjU2LCwsLCdHQlAnKQ==&amp;WINDOW=FIRST_POPUP&amp;HEIGHT=450&amp;WIDTH=","450&amp;START_MAXIMIZED=FALSE&amp;VAR:CALENDAR=FIVEDAY&amp;VAR:SYMBOL=011827&amp;VAR:INDEX=0"}</definedName>
    <definedName name="_265__FDSAUDITLINK__" localSheetId="8" hidden="1">{"fdsup://directions/FAT Viewer?action=UPDATE&amp;creator=factset&amp;DYN_ARGS=TRUE&amp;DOC_NAME=FAT:FQL_AUDITING_CLIENT_TEMPLATE.FAT&amp;display_string=Audit&amp;VAR:KEY=JMBEXMFGFY&amp;VAR:QUERY=RkZfRUJJVERBX0lCKCdBTk4nLDM2ODkxLCwsLCdHQlAnKQ==&amp;WINDOW=FIRST_POPUP&amp;HEIGHT=450&amp;WIDTH=","450&amp;START_MAXIMIZED=FALSE&amp;VAR:CALENDAR=FIVEDAY&amp;VAR:SYMBOL=011827&amp;VAR:INDEX=0"}</definedName>
    <definedName name="_265__FDSAUDITLINK__" hidden="1">{"fdsup://directions/FAT Viewer?action=UPDATE&amp;creator=factset&amp;DYN_ARGS=TRUE&amp;DOC_NAME=FAT:FQL_AUDITING_CLIENT_TEMPLATE.FAT&amp;display_string=Audit&amp;VAR:KEY=TGNEVSZYPS&amp;VAR:QUERY=RkZfRU5UUlBSX1ZBTF9EQUlMWSg0MTAzNiwsLCwsJ0RJTCcp&amp;WINDOW=FIRST_POPUP&amp;HEIGHT=450&amp;WIDTH=","450&amp;START_MAXIMIZED=FALSE&amp;VAR:CALENDAR=US&amp;VAR:SYMBOL=MDC&amp;VAR:INDEX=0"}</definedName>
    <definedName name="_265__FDSAUDITLINK___1" localSheetId="8" hidden="1">{"fdsup://directions/FAT Viewer?action=UPDATE&amp;creator=factset&amp;DYN_ARGS=TRUE&amp;DOC_NAME=FAT:FQL_AUDITING_CLIENT_TEMPLATE.FAT&amp;display_string=Audit&amp;VAR:KEY=JMBEXMFGFY&amp;VAR:QUERY=RkZfRUJJVERBX0lCKCdBTk4nLDM2ODkxLCwsLCdHQlAnKQ==&amp;WINDOW=FIRST_POPUP&amp;HEIGHT=450&amp;WIDTH=","450&amp;START_MAXIMIZED=FALSE&amp;VAR:CALENDAR=FIVEDAY&amp;VAR:SYMBOL=011827&amp;VAR:INDEX=0"}</definedName>
    <definedName name="_265__FDSAUDITLINK___1" hidden="1">{"fdsup://directions/FAT Viewer?action=UPDATE&amp;creator=factset&amp;DYN_ARGS=TRUE&amp;DOC_NAME=FAT:FQL_AUDITING_CLIENT_TEMPLATE.FAT&amp;display_string=Audit&amp;VAR:KEY=JMBEXMFGFY&amp;VAR:QUERY=RkZfRUJJVERBX0lCKCdBTk4nLDM2ODkxLCwsLCdHQlAnKQ==&amp;WINDOW=FIRST_POPUP&amp;HEIGHT=450&amp;WIDTH=","450&amp;START_MAXIMIZED=FALSE&amp;VAR:CALENDAR=FIVEDAY&amp;VAR:SYMBOL=011827&amp;VAR:INDEX=0"}</definedName>
    <definedName name="_266__FDSAUDITLINK__" localSheetId="8" hidden="1">{"fdsup://directions/FAT Viewer?action=UPDATE&amp;creator=factset&amp;DYN_ARGS=TRUE&amp;DOC_NAME=FAT:FQL_AUDITING_CLIENT_TEMPLATE.FAT&amp;display_string=Audit&amp;VAR:KEY=TMROBCNIVO&amp;VAR:QUERY=RkZfRUJJVERBX0lCKCdBTk4nLDM2NTI1LCwsLCdHQlAnKQ==&amp;WINDOW=FIRST_POPUP&amp;HEIGHT=450&amp;WIDTH=","450&amp;START_MAXIMIZED=FALSE&amp;VAR:CALENDAR=FIVEDAY&amp;VAR:SYMBOL=011827&amp;VAR:INDEX=0"}</definedName>
    <definedName name="_266__FDSAUDITLINK__" hidden="1">{"fdsup://directions/FAT Viewer?action=UPDATE&amp;creator=factset&amp;DYN_ARGS=TRUE&amp;DOC_NAME=FAT:FQL_AUDITING_CLIENT_TEMPLATE.FAT&amp;display_string=Audit&amp;VAR:KEY=NYJWHYZGJS&amp;VAR:QUERY=RkZfRU5UUlBSX1ZBTF9EQUlMWSg0MTAzNiwsLCwsJ0RJTCcp&amp;WINDOW=FIRST_POPUP&amp;HEIGHT=450&amp;WIDTH=","450&amp;START_MAXIMIZED=FALSE&amp;VAR:CALENDAR=US&amp;VAR:SYMBOL=MHO&amp;VAR:INDEX=0"}</definedName>
    <definedName name="_266__FDSAUDITLINK___1" localSheetId="8" hidden="1">{"fdsup://directions/FAT Viewer?action=UPDATE&amp;creator=factset&amp;DYN_ARGS=TRUE&amp;DOC_NAME=FAT:FQL_AUDITING_CLIENT_TEMPLATE.FAT&amp;display_string=Audit&amp;VAR:KEY=TMROBCNIVO&amp;VAR:QUERY=RkZfRUJJVERBX0lCKCdBTk4nLDM2NTI1LCwsLCdHQlAnKQ==&amp;WINDOW=FIRST_POPUP&amp;HEIGHT=450&amp;WIDTH=","450&amp;START_MAXIMIZED=FALSE&amp;VAR:CALENDAR=FIVEDAY&amp;VAR:SYMBOL=011827&amp;VAR:INDEX=0"}</definedName>
    <definedName name="_266__FDSAUDITLINK___1" hidden="1">{"fdsup://directions/FAT Viewer?action=UPDATE&amp;creator=factset&amp;DYN_ARGS=TRUE&amp;DOC_NAME=FAT:FQL_AUDITING_CLIENT_TEMPLATE.FAT&amp;display_string=Audit&amp;VAR:KEY=TMROBCNIVO&amp;VAR:QUERY=RkZfRUJJVERBX0lCKCdBTk4nLDM2NTI1LCwsLCdHQlAnKQ==&amp;WINDOW=FIRST_POPUP&amp;HEIGHT=450&amp;WIDTH=","450&amp;START_MAXIMIZED=FALSE&amp;VAR:CALENDAR=FIVEDAY&amp;VAR:SYMBOL=011827&amp;VAR:INDEX=0"}</definedName>
    <definedName name="_267__FDSAUDITLINK__" localSheetId="8" hidden="1">{"fdsup://directions/FAT Viewer?action=UPDATE&amp;creator=factset&amp;DYN_ARGS=TRUE&amp;DOC_NAME=FAT:FQL_AUDITING_CLIENT_TEMPLATE.FAT&amp;display_string=Audit&amp;VAR:KEY=FETIDWVCHK&amp;VAR:QUERY=RkZfRUJJVERBX0lCKCdBTk4nLDM2MTYwLCwsLCdHQlAnKQ==&amp;WINDOW=FIRST_POPUP&amp;HEIGHT=450&amp;WIDTH=","450&amp;START_MAXIMIZED=FALSE&amp;VAR:CALENDAR=FIVEDAY&amp;VAR:SYMBOL=011827&amp;VAR:INDEX=0"}</definedName>
    <definedName name="_267__FDSAUDITLINK__" hidden="1">{"fdsup://directions/FAT Viewer?action=UPDATE&amp;creator=factset&amp;DYN_ARGS=TRUE&amp;DOC_NAME=FAT:FQL_AUDITING_CLIENT_TEMPLATE.FAT&amp;display_string=Audit&amp;VAR:KEY=PETATOJKPS&amp;VAR:QUERY=RkZfRU5UUlBSX1ZBTF9EQUlMWSg0MTAzNiwsLCwsJ0RJTCcp&amp;WINDOW=FIRST_POPUP&amp;HEIGHT=450&amp;WIDTH=","450&amp;START_MAXIMIZED=FALSE&amp;VAR:CALENDAR=US&amp;VAR:SYMBOL=LEN&amp;VAR:INDEX=0"}</definedName>
    <definedName name="_267__FDSAUDITLINK___1" localSheetId="8" hidden="1">{"fdsup://directions/FAT Viewer?action=UPDATE&amp;creator=factset&amp;DYN_ARGS=TRUE&amp;DOC_NAME=FAT:FQL_AUDITING_CLIENT_TEMPLATE.FAT&amp;display_string=Audit&amp;VAR:KEY=FETIDWVCHK&amp;VAR:QUERY=RkZfRUJJVERBX0lCKCdBTk4nLDM2MTYwLCwsLCdHQlAnKQ==&amp;WINDOW=FIRST_POPUP&amp;HEIGHT=450&amp;WIDTH=","450&amp;START_MAXIMIZED=FALSE&amp;VAR:CALENDAR=FIVEDAY&amp;VAR:SYMBOL=011827&amp;VAR:INDEX=0"}</definedName>
    <definedName name="_267__FDSAUDITLINK___1" hidden="1">{"fdsup://directions/FAT Viewer?action=UPDATE&amp;creator=factset&amp;DYN_ARGS=TRUE&amp;DOC_NAME=FAT:FQL_AUDITING_CLIENT_TEMPLATE.FAT&amp;display_string=Audit&amp;VAR:KEY=FETIDWVCHK&amp;VAR:QUERY=RkZfRUJJVERBX0lCKCdBTk4nLDM2MTYwLCwsLCdHQlAnKQ==&amp;WINDOW=FIRST_POPUP&amp;HEIGHT=450&amp;WIDTH=","450&amp;START_MAXIMIZED=FALSE&amp;VAR:CALENDAR=FIVEDAY&amp;VAR:SYMBOL=011827&amp;VAR:INDEX=0"}</definedName>
    <definedName name="_268__FDSAUDITLINK__" localSheetId="8" hidden="1">{"fdsup://directions/FAT Viewer?action=UPDATE&amp;creator=factset&amp;DYN_ARGS=TRUE&amp;DOC_NAME=FAT:FQL_AUDITING_CLIENT_TEMPLATE.FAT&amp;display_string=Audit&amp;VAR:KEY=HURGTOPUXU&amp;VAR:QUERY=RkZfRUJJVERBX0lCKCdBTk4nLDM1Nzk1LCwsLCdHQlAnKQ==&amp;WINDOW=FIRST_POPUP&amp;HEIGHT=450&amp;WIDTH=","450&amp;START_MAXIMIZED=FALSE&amp;VAR:CALENDAR=FIVEDAY&amp;VAR:SYMBOL=011827&amp;VAR:INDEX=0"}</definedName>
    <definedName name="_268__FDSAUDITLINK__" hidden="1">{"fdsup://directions/FAT Viewer?action=UPDATE&amp;creator=factset&amp;DYN_ARGS=TRUE&amp;DOC_NAME=FAT:FQL_AUDITING_CLIENT_TEMPLATE.FAT&amp;display_string=Audit&amp;VAR:KEY=LKJSBSVORK&amp;VAR:QUERY=RkZfRU5UUlBSX1ZBTF9EQUlMWSg0MTAzNiwsLCwsJ0RJTCcp&amp;WINDOW=FIRST_POPUP&amp;HEIGHT=450&amp;WIDTH=","450&amp;START_MAXIMIZED=FALSE&amp;VAR:CALENDAR=US&amp;VAR:SYMBOL=BZH&amp;VAR:INDEX=0"}</definedName>
    <definedName name="_268__FDSAUDITLINK___1" localSheetId="8" hidden="1">{"fdsup://directions/FAT Viewer?action=UPDATE&amp;creator=factset&amp;DYN_ARGS=TRUE&amp;DOC_NAME=FAT:FQL_AUDITING_CLIENT_TEMPLATE.FAT&amp;display_string=Audit&amp;VAR:KEY=HURGTOPUXU&amp;VAR:QUERY=RkZfRUJJVERBX0lCKCdBTk4nLDM1Nzk1LCwsLCdHQlAnKQ==&amp;WINDOW=FIRST_POPUP&amp;HEIGHT=450&amp;WIDTH=","450&amp;START_MAXIMIZED=FALSE&amp;VAR:CALENDAR=FIVEDAY&amp;VAR:SYMBOL=011827&amp;VAR:INDEX=0"}</definedName>
    <definedName name="_268__FDSAUDITLINK___1" hidden="1">{"fdsup://directions/FAT Viewer?action=UPDATE&amp;creator=factset&amp;DYN_ARGS=TRUE&amp;DOC_NAME=FAT:FQL_AUDITING_CLIENT_TEMPLATE.FAT&amp;display_string=Audit&amp;VAR:KEY=HURGTOPUXU&amp;VAR:QUERY=RkZfRUJJVERBX0lCKCdBTk4nLDM1Nzk1LCwsLCdHQlAnKQ==&amp;WINDOW=FIRST_POPUP&amp;HEIGHT=450&amp;WIDTH=","450&amp;START_MAXIMIZED=FALSE&amp;VAR:CALENDAR=FIVEDAY&amp;VAR:SYMBOL=011827&amp;VAR:INDEX=0"}</definedName>
    <definedName name="_269__FDSAUDITLINK__" localSheetId="8" hidden="1">{"fdsup://directions/FAT Viewer?action=UPDATE&amp;creator=factset&amp;DYN_ARGS=TRUE&amp;DOC_NAME=FAT:FQL_AUDITING_CLIENT_TEMPLATE.FAT&amp;display_string=Audit&amp;VAR:KEY=PAXKVILSJG&amp;VAR:QUERY=RkZfRUJJVERBX0lCKCdBTk4nLDM1NDMwLCwsLCdHQlAnKQ==&amp;WINDOW=FIRST_POPUP&amp;HEIGHT=450&amp;WIDTH=","450&amp;START_MAXIMIZED=FALSE&amp;VAR:CALENDAR=FIVEDAY&amp;VAR:SYMBOL=011827&amp;VAR:INDEX=0"}</definedName>
    <definedName name="_269__FDSAUDITLINK__" hidden="1">{"fdsup://directions/FAT Viewer?action=UPDATE&amp;creator=factset&amp;DYN_ARGS=TRUE&amp;DOC_NAME=FAT:FQL_AUDITING_CLIENT_TEMPLATE.FAT&amp;display_string=Audit&amp;VAR:KEY=ZWLGHKBOZM&amp;VAR:QUERY=RkZfRU5UUlBSX1ZBTF9EQUlMWSg0MTAzNiwsLCwsJ0RJTCcp&amp;WINDOW=FIRST_POPUP&amp;HEIGHT=450&amp;WIDTH=","450&amp;START_MAXIMIZED=FALSE&amp;VAR:CALENDAR=US&amp;VAR:SYMBOL=RYL&amp;VAR:INDEX=0"}</definedName>
    <definedName name="_269__FDSAUDITLINK___1" localSheetId="8" hidden="1">{"fdsup://directions/FAT Viewer?action=UPDATE&amp;creator=factset&amp;DYN_ARGS=TRUE&amp;DOC_NAME=FAT:FQL_AUDITING_CLIENT_TEMPLATE.FAT&amp;display_string=Audit&amp;VAR:KEY=PAXKVILSJG&amp;VAR:QUERY=RkZfRUJJVERBX0lCKCdBTk4nLDM1NDMwLCwsLCdHQlAnKQ==&amp;WINDOW=FIRST_POPUP&amp;HEIGHT=450&amp;WIDTH=","450&amp;START_MAXIMIZED=FALSE&amp;VAR:CALENDAR=FIVEDAY&amp;VAR:SYMBOL=011827&amp;VAR:INDEX=0"}</definedName>
    <definedName name="_269__FDSAUDITLINK___1" hidden="1">{"fdsup://directions/FAT Viewer?action=UPDATE&amp;creator=factset&amp;DYN_ARGS=TRUE&amp;DOC_NAME=FAT:FQL_AUDITING_CLIENT_TEMPLATE.FAT&amp;display_string=Audit&amp;VAR:KEY=PAXKVILSJG&amp;VAR:QUERY=RkZfRUJJVERBX0lCKCdBTk4nLDM1NDMwLCwsLCdHQlAnKQ==&amp;WINDOW=FIRST_POPUP&amp;HEIGHT=450&amp;WIDTH=","450&amp;START_MAXIMIZED=FALSE&amp;VAR:CALENDAR=FIVEDAY&amp;VAR:SYMBOL=011827&amp;VAR:INDEX=0"}</definedName>
    <definedName name="_27__123Graph_ACHART_7" localSheetId="8" hidden="1">#REF!</definedName>
    <definedName name="_27__123Graph_ACHART_7" hidden="1">#REF!</definedName>
    <definedName name="_27__123Graph_BCHART_21" hidden="1">#REF!</definedName>
    <definedName name="_27__123Graph_CCHART_7" hidden="1">#REF!</definedName>
    <definedName name="_27__123Graph_CGRAFICO_31" localSheetId="8" hidden="1">#REF!</definedName>
    <definedName name="_27__123Graph_CGRAFICO_31" hidden="1">#REF!</definedName>
    <definedName name="_27__123Graph_LBL_ACHART_3" hidden="1">#N/A</definedName>
    <definedName name="_27__123Graph_XCHART_3" hidden="1">#REF!</definedName>
    <definedName name="_27__FDSAUDITLINK__" localSheetId="8" hidden="1">{"fdsup://directions/FAT Viewer?action=UPDATE&amp;creator=factset&amp;DYN_ARGS=TRUE&amp;DOC_NAME=FAT:FQL_AUDITING_CLIENT_TEMPLATE.FAT&amp;display_string=Audit&amp;VAR:KEY=URWBMLODYF&amp;VAR:QUERY=RkZfRUJJVF9JQihBTk4sMzM5NjksLCwsRVVSKQ==&amp;WINDOW=FIRST_POPUP&amp;HEIGHT=450&amp;WIDTH=450&amp;STAR","T_MAXIMIZED=FALSE&amp;VAR:CALENDAR=FIVEDAY&amp;VAR:SYMBOL=591344&amp;VAR:INDEX=0"}</definedName>
    <definedName name="_27__FDSAUDITLINK__" hidden="1">{"fdsup://directions/FAT Viewer?action=UPDATE&amp;creator=factset&amp;DYN_ARGS=TRUE&amp;DOC_NAME=FAT:FQL_AUDITING_CLIENT_TEMPLATE.FAT&amp;display_string=Audit&amp;VAR:KEY=CJYHGVWDQN&amp;VAR:QUERY=RkZfU0FMRVMoQ0FMLDIwMTAp&amp;WINDOW=FIRST_POPUP&amp;HEIGHT=450&amp;WIDTH=450&amp;START_MAXIMIZED=FALS","E&amp;VAR:CALENDAR=US&amp;VAR:SYMBOL=MLM&amp;VAR:INDEX=0"}</definedName>
    <definedName name="_27__FDSAUDITLINK___1" localSheetId="8" hidden="1">{"fdsup://directions/FAT Viewer?action=UPDATE&amp;creator=factset&amp;DYN_ARGS=TRUE&amp;DOC_NAME=FAT:FQL_AUDITING_CLIENT_TEMPLATE.FAT&amp;display_string=Audit&amp;VAR:KEY=URWBMLODYF&amp;VAR:QUERY=RkZfRUJJVF9JQihBTk4sMzM5NjksLCwsRVVSKQ==&amp;WINDOW=FIRST_POPUP&amp;HEIGHT=450&amp;WIDTH=450&amp;STAR","T_MAXIMIZED=FALSE&amp;VAR:CALENDAR=FIVEDAY&amp;VAR:SYMBOL=591344&amp;VAR:INDEX=0"}</definedName>
    <definedName name="_27__FDSAUDITLINK___1" hidden="1">{"fdsup://directions/FAT Viewer?action=UPDATE&amp;creator=factset&amp;DYN_ARGS=TRUE&amp;DOC_NAME=FAT:FQL_AUDITING_CLIENT_TEMPLATE.FAT&amp;display_string=Audit&amp;VAR:KEY=URWBMLODYF&amp;VAR:QUERY=RkZfRUJJVF9JQihBTk4sMzM5NjksLCwsRVVSKQ==&amp;WINDOW=FIRST_POPUP&amp;HEIGHT=450&amp;WIDTH=450&amp;STAR","T_MAXIMIZED=FALSE&amp;VAR:CALENDAR=FIVEDAY&amp;VAR:SYMBOL=591344&amp;VAR:INDEX=0"}</definedName>
    <definedName name="_27_0_0__123Graph_AB92S" hidden="1">#REF!</definedName>
    <definedName name="_270__FDSAUDITLINK__" localSheetId="8" hidden="1">{"fdsup://directions/FAT Viewer?action=UPDATE&amp;creator=factset&amp;DYN_ARGS=TRUE&amp;DOC_NAME=FAT:FQL_AUDITING_CLIENT_TEMPLATE.FAT&amp;display_string=Audit&amp;VAR:KEY=HUBAFQVOZE&amp;VAR:QUERY=RkZfRUJJVERBX0lCKCdBTk4nLDM1MDY0LCwsLCdHQlAnKQ==&amp;WINDOW=FIRST_POPUP&amp;HEIGHT=450&amp;WIDTH=","450&amp;START_MAXIMIZED=FALSE&amp;VAR:CALENDAR=FIVEDAY&amp;VAR:SYMBOL=011827&amp;VAR:INDEX=0"}</definedName>
    <definedName name="_270__FDSAUDITLINK__" hidden="1">{"fdsup://directions/FAT Viewer?action=UPDATE&amp;creator=factset&amp;DYN_ARGS=TRUE&amp;DOC_NAME=FAT:FQL_AUDITING_CLIENT_TEMPLATE.FAT&amp;display_string=Audit&amp;VAR:KEY=MTSTYVUVYB&amp;VAR:QUERY=RkZfRUJJVERBX09QRVIoQ0FMLDIwMDkpICogMQ==&amp;WINDOW=FIRST_POPUP&amp;HEIGHT=450&amp;WIDTH=450&amp;STAR","T_MAXIMIZED=FALSE&amp;VAR:CALENDAR=US&amp;VAR:SYMBOL=EXP&amp;VAR:INDEX=0"}</definedName>
    <definedName name="_270__FDSAUDITLINK___1" localSheetId="8" hidden="1">{"fdsup://directions/FAT Viewer?action=UPDATE&amp;creator=factset&amp;DYN_ARGS=TRUE&amp;DOC_NAME=FAT:FQL_AUDITING_CLIENT_TEMPLATE.FAT&amp;display_string=Audit&amp;VAR:KEY=HUBAFQVOZE&amp;VAR:QUERY=RkZfRUJJVERBX0lCKCdBTk4nLDM1MDY0LCwsLCdHQlAnKQ==&amp;WINDOW=FIRST_POPUP&amp;HEIGHT=450&amp;WIDTH=","450&amp;START_MAXIMIZED=FALSE&amp;VAR:CALENDAR=FIVEDAY&amp;VAR:SYMBOL=011827&amp;VAR:INDEX=0"}</definedName>
    <definedName name="_270__FDSAUDITLINK___1" hidden="1">{"fdsup://directions/FAT Viewer?action=UPDATE&amp;creator=factset&amp;DYN_ARGS=TRUE&amp;DOC_NAME=FAT:FQL_AUDITING_CLIENT_TEMPLATE.FAT&amp;display_string=Audit&amp;VAR:KEY=HUBAFQVOZE&amp;VAR:QUERY=RkZfRUJJVERBX0lCKCdBTk4nLDM1MDY0LCwsLCdHQlAnKQ==&amp;WINDOW=FIRST_POPUP&amp;HEIGHT=450&amp;WIDTH=","450&amp;START_MAXIMIZED=FALSE&amp;VAR:CALENDAR=FIVEDAY&amp;VAR:SYMBOL=011827&amp;VAR:INDEX=0"}</definedName>
    <definedName name="_271__FDSAUDITLINK__" localSheetId="8" hidden="1">{"fdsup://directions/FAT Viewer?action=UPDATE&amp;creator=factset&amp;DYN_ARGS=TRUE&amp;DOC_NAME=FAT:FQL_AUDITING_CLIENT_TEMPLATE.FAT&amp;display_string=Audit&amp;VAR:KEY=XEJUJQFSRS&amp;VAR:QUERY=RkZfRUJJVERBX0lCKCdBTk4nLDM0Njk5LCwsLCdHQlAnKQ==&amp;WINDOW=FIRST_POPUP&amp;HEIGHT=450&amp;WIDTH=","450&amp;START_MAXIMIZED=FALSE&amp;VAR:CALENDAR=FIVEDAY&amp;VAR:SYMBOL=011827&amp;VAR:INDEX=0"}</definedName>
    <definedName name="_271__FDSAUDITLINK__" hidden="1">{"fdsup://directions/FAT Viewer?action=UPDATE&amp;creator=factset&amp;DYN_ARGS=TRUE&amp;DOC_NAME=FAT:FQL_AUDITING_CLIENT_TEMPLATE.FAT&amp;display_string=Audit&amp;VAR:KEY=QHIJCVILAH&amp;VAR:QUERY=RkZfU0FMRVMoQ0FMLDIwMTApICogMQ==&amp;WINDOW=FIRST_POPUP&amp;HEIGHT=450&amp;WIDTH=450&amp;START_MAXIMI","ZED=FALSE&amp;VAR:CALENDAR=US&amp;VAR:SYMBOL=EXP&amp;VAR:INDEX=0"}</definedName>
    <definedName name="_271__FDSAUDITLINK___1" localSheetId="8" hidden="1">{"fdsup://directions/FAT Viewer?action=UPDATE&amp;creator=factset&amp;DYN_ARGS=TRUE&amp;DOC_NAME=FAT:FQL_AUDITING_CLIENT_TEMPLATE.FAT&amp;display_string=Audit&amp;VAR:KEY=XEJUJQFSRS&amp;VAR:QUERY=RkZfRUJJVERBX0lCKCdBTk4nLDM0Njk5LCwsLCdHQlAnKQ==&amp;WINDOW=FIRST_POPUP&amp;HEIGHT=450&amp;WIDTH=","450&amp;START_MAXIMIZED=FALSE&amp;VAR:CALENDAR=FIVEDAY&amp;VAR:SYMBOL=011827&amp;VAR:INDEX=0"}</definedName>
    <definedName name="_271__FDSAUDITLINK___1" hidden="1">{"fdsup://directions/FAT Viewer?action=UPDATE&amp;creator=factset&amp;DYN_ARGS=TRUE&amp;DOC_NAME=FAT:FQL_AUDITING_CLIENT_TEMPLATE.FAT&amp;display_string=Audit&amp;VAR:KEY=XEJUJQFSRS&amp;VAR:QUERY=RkZfRUJJVERBX0lCKCdBTk4nLDM0Njk5LCwsLCdHQlAnKQ==&amp;WINDOW=FIRST_POPUP&amp;HEIGHT=450&amp;WIDTH=","450&amp;START_MAXIMIZED=FALSE&amp;VAR:CALENDAR=FIVEDAY&amp;VAR:SYMBOL=011827&amp;VAR:INDEX=0"}</definedName>
    <definedName name="_272__FDSAUDITLINK__" localSheetId="8" hidden="1">{"fdsup://directions/FAT Viewer?action=UPDATE&amp;creator=factset&amp;DYN_ARGS=TRUE&amp;DOC_NAME=FAT:FQL_AUDITING_CLIENT_TEMPLATE.FAT&amp;display_string=Audit&amp;VAR:KEY=DAJCFSZOPM&amp;VAR:QUERY=RkZfRUJJVERBX0lCKCdBTk4nLDM0MzM0LCwsLCdHQlAnKQ==&amp;WINDOW=FIRST_POPUP&amp;HEIGHT=450&amp;WIDTH=","450&amp;START_MAXIMIZED=FALSE&amp;VAR:CALENDAR=FIVEDAY&amp;VAR:SYMBOL=011827&amp;VAR:INDEX=0"}</definedName>
    <definedName name="_272__FDSAUDITLINK__" hidden="1">{"fdsup://directions/FAT Viewer?action=UPDATE&amp;creator=factset&amp;DYN_ARGS=TRUE&amp;DOC_NAME=FAT:FQL_AUDITING_CLIENT_TEMPLATE.FAT&amp;display_string=Audit&amp;VAR:KEY=HYJMJEXQZG&amp;VAR:QUERY=RkZfSU5UX0VYUF9ORVQoTFRNLDQxMDM2KQ==&amp;WINDOW=FIRST_POPUP&amp;HEIGHT=450&amp;WIDTH=450&amp;START_MA","XIMIZED=FALSE&amp;VAR:CALENDAR=US&amp;VAR:SYMBOL=450270&amp;VAR:INDEX=0"}</definedName>
    <definedName name="_272__FDSAUDITLINK___1" localSheetId="8" hidden="1">{"fdsup://directions/FAT Viewer?action=UPDATE&amp;creator=factset&amp;DYN_ARGS=TRUE&amp;DOC_NAME=FAT:FQL_AUDITING_CLIENT_TEMPLATE.FAT&amp;display_string=Audit&amp;VAR:KEY=DAJCFSZOPM&amp;VAR:QUERY=RkZfRUJJVERBX0lCKCdBTk4nLDM0MzM0LCwsLCdHQlAnKQ==&amp;WINDOW=FIRST_POPUP&amp;HEIGHT=450&amp;WIDTH=","450&amp;START_MAXIMIZED=FALSE&amp;VAR:CALENDAR=FIVEDAY&amp;VAR:SYMBOL=011827&amp;VAR:INDEX=0"}</definedName>
    <definedName name="_272__FDSAUDITLINK___1" hidden="1">{"fdsup://directions/FAT Viewer?action=UPDATE&amp;creator=factset&amp;DYN_ARGS=TRUE&amp;DOC_NAME=FAT:FQL_AUDITING_CLIENT_TEMPLATE.FAT&amp;display_string=Audit&amp;VAR:KEY=DAJCFSZOPM&amp;VAR:QUERY=RkZfRUJJVERBX0lCKCdBTk4nLDM0MzM0LCwsLCdHQlAnKQ==&amp;WINDOW=FIRST_POPUP&amp;HEIGHT=450&amp;WIDTH=","450&amp;START_MAXIMIZED=FALSE&amp;VAR:CALENDAR=FIVEDAY&amp;VAR:SYMBOL=011827&amp;VAR:INDEX=0"}</definedName>
    <definedName name="_273__FDSAUDITLINK__" localSheetId="8" hidden="1">{"fdsup://directions/FAT Viewer?action=UPDATE&amp;creator=factset&amp;DYN_ARGS=TRUE&amp;DOC_NAME=FAT:FQL_AUDITING_CLIENT_TEMPLATE.FAT&amp;display_string=Audit&amp;VAR:KEY=HQBOFKHEFK&amp;VAR:QUERY=RkZfRUJJVERBX0lCKCdBTk4nLDMzOTY5LCwsLCdHQlAnKQ==&amp;WINDOW=FIRST_POPUP&amp;HEIGHT=450&amp;WIDTH=","450&amp;START_MAXIMIZED=FALSE&amp;VAR:CALENDAR=FIVEDAY&amp;VAR:SYMBOL=011827&amp;VAR:INDEX=0"}</definedName>
    <definedName name="_273__FDSAUDITLINK__" hidden="1">{"fdsup://directions/FAT Viewer?action=UPDATE&amp;creator=factset&amp;DYN_ARGS=TRUE&amp;DOC_NAME=FAT:FQL_AUDITING_CLIENT_TEMPLATE.FAT&amp;display_string=Audit&amp;VAR:KEY=YLKZWRCTGZ&amp;VAR:QUERY=RkZfTkVUX0lOQyhDQUwsMjAxMSkgKiAx&amp;WINDOW=FIRST_POPUP&amp;HEIGHT=450&amp;WIDTH=450&amp;START_MAXIMI","ZED=FALSE&amp;VAR:CALENDAR=US&amp;VAR:SYMBOL=EXP&amp;VAR:INDEX=0"}</definedName>
    <definedName name="_273__FDSAUDITLINK___1" localSheetId="8" hidden="1">{"fdsup://directions/FAT Viewer?action=UPDATE&amp;creator=factset&amp;DYN_ARGS=TRUE&amp;DOC_NAME=FAT:FQL_AUDITING_CLIENT_TEMPLATE.FAT&amp;display_string=Audit&amp;VAR:KEY=HQBOFKHEFK&amp;VAR:QUERY=RkZfRUJJVERBX0lCKCdBTk4nLDMzOTY5LCwsLCdHQlAnKQ==&amp;WINDOW=FIRST_POPUP&amp;HEIGHT=450&amp;WIDTH=","450&amp;START_MAXIMIZED=FALSE&amp;VAR:CALENDAR=FIVEDAY&amp;VAR:SYMBOL=011827&amp;VAR:INDEX=0"}</definedName>
    <definedName name="_273__FDSAUDITLINK___1" hidden="1">{"fdsup://directions/FAT Viewer?action=UPDATE&amp;creator=factset&amp;DYN_ARGS=TRUE&amp;DOC_NAME=FAT:FQL_AUDITING_CLIENT_TEMPLATE.FAT&amp;display_string=Audit&amp;VAR:KEY=HQBOFKHEFK&amp;VAR:QUERY=RkZfRUJJVERBX0lCKCdBTk4nLDMzOTY5LCwsLCdHQlAnKQ==&amp;WINDOW=FIRST_POPUP&amp;HEIGHT=450&amp;WIDTH=","450&amp;START_MAXIMIZED=FALSE&amp;VAR:CALENDAR=FIVEDAY&amp;VAR:SYMBOL=011827&amp;VAR:INDEX=0"}</definedName>
    <definedName name="_274__FDSAUDITLINK__" localSheetId="8" hidden="1">{"fdsup://directions/FAT Viewer?action=UPDATE&amp;creator=factset&amp;DYN_ARGS=TRUE&amp;DOC_NAME=FAT:FQL_AUDITING_CLIENT_TEMPLATE.FAT&amp;display_string=Audit&amp;VAR:KEY=PKVKFCFITM&amp;VAR:QUERY=RkZfRUJJVERBX0lCKCdBTk4nLDMzNjAzLCwsLCdHQlAnKQ==&amp;WINDOW=FIRST_POPUP&amp;HEIGHT=450&amp;WIDTH=","450&amp;START_MAXIMIZED=FALSE&amp;VAR:CALENDAR=FIVEDAY&amp;VAR:SYMBOL=011827&amp;VAR:INDEX=0"}</definedName>
    <definedName name="_274__FDSAUDITLINK__" hidden="1">{"fdsup://directions/FAT Viewer?action=UPDATE&amp;creator=factset&amp;DYN_ARGS=TRUE&amp;DOC_NAME=FAT:FQL_AUDITING_CLIENT_TEMPLATE.FAT&amp;display_string=Audit&amp;VAR:KEY=SRCPOBMTEF&amp;VAR:QUERY=RkZfSU5UX0VYUF9ORVQoTFRNLDQxMDM2KQ==&amp;WINDOW=FIRST_POPUP&amp;HEIGHT=450&amp;WIDTH=450&amp;START_MA","XIMIZED=FALSE&amp;VAR:CALENDAR=US&amp;VAR:SYMBOL=BLDR&amp;VAR:INDEX=0"}</definedName>
    <definedName name="_274__FDSAUDITLINK___1" localSheetId="8" hidden="1">{"fdsup://directions/FAT Viewer?action=UPDATE&amp;creator=factset&amp;DYN_ARGS=TRUE&amp;DOC_NAME=FAT:FQL_AUDITING_CLIENT_TEMPLATE.FAT&amp;display_string=Audit&amp;VAR:KEY=PKVKFCFITM&amp;VAR:QUERY=RkZfRUJJVERBX0lCKCdBTk4nLDMzNjAzLCwsLCdHQlAnKQ==&amp;WINDOW=FIRST_POPUP&amp;HEIGHT=450&amp;WIDTH=","450&amp;START_MAXIMIZED=FALSE&amp;VAR:CALENDAR=FIVEDAY&amp;VAR:SYMBOL=011827&amp;VAR:INDEX=0"}</definedName>
    <definedName name="_274__FDSAUDITLINK___1" hidden="1">{"fdsup://directions/FAT Viewer?action=UPDATE&amp;creator=factset&amp;DYN_ARGS=TRUE&amp;DOC_NAME=FAT:FQL_AUDITING_CLIENT_TEMPLATE.FAT&amp;display_string=Audit&amp;VAR:KEY=PKVKFCFITM&amp;VAR:QUERY=RkZfRUJJVERBX0lCKCdBTk4nLDMzNjAzLCwsLCdHQlAnKQ==&amp;WINDOW=FIRST_POPUP&amp;HEIGHT=450&amp;WIDTH=","450&amp;START_MAXIMIZED=FALSE&amp;VAR:CALENDAR=FIVEDAY&amp;VAR:SYMBOL=011827&amp;VAR:INDEX=0"}</definedName>
    <definedName name="_275__FDSAUDITLINK__" localSheetId="8" hidden="1">{"fdsup://directions/FAT Viewer?action=UPDATE&amp;creator=factset&amp;DYN_ARGS=TRUE&amp;DOC_NAME=FAT:FQL_AUDITING_CLIENT_TEMPLATE.FAT&amp;display_string=Audit&amp;VAR:KEY=XYXOZUHAHA&amp;VAR:QUERY=RkZfRUJJVERBX0lCKCdBTk4nLDMzMjM4LCwsLCdHQlAnKQ==&amp;WINDOW=FIRST_POPUP&amp;HEIGHT=450&amp;WIDTH=","450&amp;START_MAXIMIZED=FALSE&amp;VAR:CALENDAR=FIVEDAY&amp;VAR:SYMBOL=011827&amp;VAR:INDEX=0"}</definedName>
    <definedName name="_275__FDSAUDITLINK__" hidden="1">{"fdsup://directions/FAT Viewer?action=UPDATE&amp;creator=factset&amp;DYN_ARGS=TRUE&amp;DOC_NAME=FAT:FQL_AUDITING_CLIENT_TEMPLATE.FAT&amp;display_string=Audit&amp;VAR:KEY=AFGBWTUPWH&amp;VAR:QUERY=RkZfU0FMRVMoQ0FMLDIwMDkpICogMQ==&amp;WINDOW=FIRST_POPUP&amp;HEIGHT=450&amp;WIDTH=450&amp;START_MAXIMI","ZED=FALSE&amp;VAR:CALENDAR=US&amp;VAR:SYMBOL=EXP&amp;VAR:INDEX=0"}</definedName>
    <definedName name="_275__FDSAUDITLINK___1" localSheetId="8" hidden="1">{"fdsup://directions/FAT Viewer?action=UPDATE&amp;creator=factset&amp;DYN_ARGS=TRUE&amp;DOC_NAME=FAT:FQL_AUDITING_CLIENT_TEMPLATE.FAT&amp;display_string=Audit&amp;VAR:KEY=XYXOZUHAHA&amp;VAR:QUERY=RkZfRUJJVERBX0lCKCdBTk4nLDMzMjM4LCwsLCdHQlAnKQ==&amp;WINDOW=FIRST_POPUP&amp;HEIGHT=450&amp;WIDTH=","450&amp;START_MAXIMIZED=FALSE&amp;VAR:CALENDAR=FIVEDAY&amp;VAR:SYMBOL=011827&amp;VAR:INDEX=0"}</definedName>
    <definedName name="_275__FDSAUDITLINK___1" hidden="1">{"fdsup://directions/FAT Viewer?action=UPDATE&amp;creator=factset&amp;DYN_ARGS=TRUE&amp;DOC_NAME=FAT:FQL_AUDITING_CLIENT_TEMPLATE.FAT&amp;display_string=Audit&amp;VAR:KEY=XYXOZUHAHA&amp;VAR:QUERY=RkZfRUJJVERBX0lCKCdBTk4nLDMzMjM4LCwsLCdHQlAnKQ==&amp;WINDOW=FIRST_POPUP&amp;HEIGHT=450&amp;WIDTH=","450&amp;START_MAXIMIZED=FALSE&amp;VAR:CALENDAR=FIVEDAY&amp;VAR:SYMBOL=011827&amp;VAR:INDEX=0"}</definedName>
    <definedName name="_276__FDSAUDITLINK__" localSheetId="8" hidden="1">{"fdsup://directions/FAT Viewer?action=UPDATE&amp;creator=factset&amp;DYN_ARGS=TRUE&amp;DOC_NAME=FAT:FQL_AUDITING_CLIENT_TEMPLATE.FAT&amp;display_string=Audit&amp;VAR:KEY=BEDOZWBCPC&amp;VAR:QUERY=RkZfRUJJVERBX0lCKCdBTk4nLDMyODczLCwsLCdHQlAnKQ==&amp;WINDOW=FIRST_POPUP&amp;HEIGHT=450&amp;WIDTH=","450&amp;START_MAXIMIZED=FALSE&amp;VAR:CALENDAR=FIVEDAY&amp;VAR:SYMBOL=011827&amp;VAR:INDEX=0"}</definedName>
    <definedName name="_276__FDSAUDITLINK__" hidden="1">{"fdsup://directions/FAT Viewer?action=UPDATE&amp;creator=factset&amp;DYN_ARGS=TRUE&amp;DOC_NAME=FAT:FQL_AUDITING_CLIENT_TEMPLATE.FAT&amp;display_string=Audit&amp;VAR:KEY=ILCBQBMBGL&amp;VAR:QUERY=RkZfSU5UX0VYUF9ORVQoTFRNLDQxMDM2KQ==&amp;WINDOW=FIRST_POPUP&amp;HEIGHT=450&amp;WIDTH=450&amp;START_MA","XIMIZED=FALSE&amp;VAR:CALENDAR=US&amp;VAR:SYMBOL=MLM&amp;VAR:INDEX=0"}</definedName>
    <definedName name="_276__FDSAUDITLINK___1" localSheetId="8" hidden="1">{"fdsup://directions/FAT Viewer?action=UPDATE&amp;creator=factset&amp;DYN_ARGS=TRUE&amp;DOC_NAME=FAT:FQL_AUDITING_CLIENT_TEMPLATE.FAT&amp;display_string=Audit&amp;VAR:KEY=BEDOZWBCPC&amp;VAR:QUERY=RkZfRUJJVERBX0lCKCdBTk4nLDMyODczLCwsLCdHQlAnKQ==&amp;WINDOW=FIRST_POPUP&amp;HEIGHT=450&amp;WIDTH=","450&amp;START_MAXIMIZED=FALSE&amp;VAR:CALENDAR=FIVEDAY&amp;VAR:SYMBOL=011827&amp;VAR:INDEX=0"}</definedName>
    <definedName name="_276__FDSAUDITLINK___1" hidden="1">{"fdsup://directions/FAT Viewer?action=UPDATE&amp;creator=factset&amp;DYN_ARGS=TRUE&amp;DOC_NAME=FAT:FQL_AUDITING_CLIENT_TEMPLATE.FAT&amp;display_string=Audit&amp;VAR:KEY=BEDOZWBCPC&amp;VAR:QUERY=RkZfRUJJVERBX0lCKCdBTk4nLDMyODczLCwsLCdHQlAnKQ==&amp;WINDOW=FIRST_POPUP&amp;HEIGHT=450&amp;WIDTH=","450&amp;START_MAXIMIZED=FALSE&amp;VAR:CALENDAR=FIVEDAY&amp;VAR:SYMBOL=011827&amp;VAR:INDEX=0"}</definedName>
    <definedName name="_277__FDSAUDITLINK__" localSheetId="8" hidden="1">{"fdsup://directions/FAT Viewer?action=UPDATE&amp;creator=factset&amp;DYN_ARGS=TRUE&amp;DOC_NAME=FAT:FQL_AUDITING_CLIENT_TEMPLATE.FAT&amp;display_string=Audit&amp;VAR:KEY=YZEVCLAFYL&amp;VAR:QUERY=RkZfRUJJVERBX0lCKCdBTk4nLDM5OTAzLCwsLCdHQlAnKQ==&amp;WINDOW=FIRST_POPUP&amp;HEIGHT=450&amp;WIDTH=","450&amp;START_MAXIMIZED=FALSE&amp;VAR:CALENDAR=FIVEDAY&amp;VAR:SYMBOL=092210&amp;VAR:INDEX=0"}</definedName>
    <definedName name="_277__FDSAUDITLINK__" hidden="1">{"fdsup://Directions/FactSet Auditing Viewer?action=AUDIT_VALUE&amp;DB=129&amp;ID1=92916010&amp;VALUEID=01149&amp;SDATE=2011&amp;PERIODTYPE=ANN_STD&amp;SCFT=3&amp;window=popup_no_bar&amp;width=385&amp;height=120&amp;START_MAXIMIZED=FALSE&amp;creator=factset&amp;display_string=Audit"}</definedName>
    <definedName name="_277__FDSAUDITLINK___1" localSheetId="8" hidden="1">{"fdsup://directions/FAT Viewer?action=UPDATE&amp;creator=factset&amp;DYN_ARGS=TRUE&amp;DOC_NAME=FAT:FQL_AUDITING_CLIENT_TEMPLATE.FAT&amp;display_string=Audit&amp;VAR:KEY=YZEVCLAFYL&amp;VAR:QUERY=RkZfRUJJVERBX0lCKCdBTk4nLDM5OTAzLCwsLCdHQlAnKQ==&amp;WINDOW=FIRST_POPUP&amp;HEIGHT=450&amp;WIDTH=","450&amp;START_MAXIMIZED=FALSE&amp;VAR:CALENDAR=FIVEDAY&amp;VAR:SYMBOL=092210&amp;VAR:INDEX=0"}</definedName>
    <definedName name="_277__FDSAUDITLINK___1" hidden="1">{"fdsup://directions/FAT Viewer?action=UPDATE&amp;creator=factset&amp;DYN_ARGS=TRUE&amp;DOC_NAME=FAT:FQL_AUDITING_CLIENT_TEMPLATE.FAT&amp;display_string=Audit&amp;VAR:KEY=YZEVCLAFYL&amp;VAR:QUERY=RkZfRUJJVERBX0lCKCdBTk4nLDM5OTAzLCwsLCdHQlAnKQ==&amp;WINDOW=FIRST_POPUP&amp;HEIGHT=450&amp;WIDTH=","450&amp;START_MAXIMIZED=FALSE&amp;VAR:CALENDAR=FIVEDAY&amp;VAR:SYMBOL=092210&amp;VAR:INDEX=0"}</definedName>
    <definedName name="_278__FDSAUDITLINK__" localSheetId="8" hidden="1">{"fdsup://directions/FAT Viewer?action=UPDATE&amp;creator=factset&amp;DYN_ARGS=TRUE&amp;DOC_NAME=FAT:FQL_AUDITING_CLIENT_TEMPLATE.FAT&amp;display_string=Audit&amp;VAR:KEY=CTSBSBCRIP&amp;VAR:QUERY=RkZfRUJJVERBX0lCKCdBTk4nLDM5NTM4LCwsLCdHQlAnKQ==&amp;WINDOW=FIRST_POPUP&amp;HEIGHT=450&amp;WIDTH=","450&amp;START_MAXIMIZED=FALSE&amp;VAR:CALENDAR=FIVEDAY&amp;VAR:SYMBOL=092210&amp;VAR:INDEX=0"}</definedName>
    <definedName name="_278__FDSAUDITLINK__" hidden="1">{"fdsup://directions/FAT Viewer?action=UPDATE&amp;creator=factset&amp;DYN_ARGS=TRUE&amp;DOC_NAME=FAT:FQL_AUDITING_CLIENT_TEMPLATE.FAT&amp;display_string=Audit&amp;VAR:KEY=SLAJEXCRYH&amp;VAR:QUERY=RkZfTkVUX0lOQyhMVE0sNDEwMzYp&amp;WINDOW=FIRST_POPUP&amp;HEIGHT=450&amp;WIDTH=450&amp;START_MAXIMIZED=","FALSE&amp;VAR:CALENDAR=US&amp;VAR:SYMBOL=EXP&amp;VAR:INDEX=0"}</definedName>
    <definedName name="_278__FDSAUDITLINK___1" localSheetId="8" hidden="1">{"fdsup://directions/FAT Viewer?action=UPDATE&amp;creator=factset&amp;DYN_ARGS=TRUE&amp;DOC_NAME=FAT:FQL_AUDITING_CLIENT_TEMPLATE.FAT&amp;display_string=Audit&amp;VAR:KEY=CTSBSBCRIP&amp;VAR:QUERY=RkZfRUJJVERBX0lCKCdBTk4nLDM5NTM4LCwsLCdHQlAnKQ==&amp;WINDOW=FIRST_POPUP&amp;HEIGHT=450&amp;WIDTH=","450&amp;START_MAXIMIZED=FALSE&amp;VAR:CALENDAR=FIVEDAY&amp;VAR:SYMBOL=092210&amp;VAR:INDEX=0"}</definedName>
    <definedName name="_278__FDSAUDITLINK___1" hidden="1">{"fdsup://directions/FAT Viewer?action=UPDATE&amp;creator=factset&amp;DYN_ARGS=TRUE&amp;DOC_NAME=FAT:FQL_AUDITING_CLIENT_TEMPLATE.FAT&amp;display_string=Audit&amp;VAR:KEY=CTSBSBCRIP&amp;VAR:QUERY=RkZfRUJJVERBX0lCKCdBTk4nLDM5NTM4LCwsLCdHQlAnKQ==&amp;WINDOW=FIRST_POPUP&amp;HEIGHT=450&amp;WIDTH=","450&amp;START_MAXIMIZED=FALSE&amp;VAR:CALENDAR=FIVEDAY&amp;VAR:SYMBOL=092210&amp;VAR:INDEX=0"}</definedName>
    <definedName name="_279__FDSAUDITLINK__" localSheetId="8" hidden="1">{"fdsup://directions/FAT Viewer?action=UPDATE&amp;creator=factset&amp;DYN_ARGS=TRUE&amp;DOC_NAME=FAT:FQL_AUDITING_CLIENT_TEMPLATE.FAT&amp;display_string=Audit&amp;VAR:KEY=MZCHMHWDCN&amp;VAR:QUERY=RkZfRUJJVERBX0lCKCdBTk4nLDM5MTcyLCwsLCdHQlAnKQ==&amp;WINDOW=FIRST_POPUP&amp;HEIGHT=450&amp;WIDTH=","450&amp;START_MAXIMIZED=FALSE&amp;VAR:CALENDAR=FIVEDAY&amp;VAR:SYMBOL=092210&amp;VAR:INDEX=0"}</definedName>
    <definedName name="_279__FDSAUDITLINK__" hidden="1">{"fdsup://Directions/FactSet Auditing Viewer?action=AUDIT_VALUE&amp;DB=129&amp;ID1=26969P10&amp;VALUEID=01149&amp;SDATE=2011&amp;PERIODTYPE=ANN_STD&amp;SCFT=3&amp;window=popup_no_bar&amp;width=385&amp;height=120&amp;START_MAXIMIZED=FALSE&amp;creator=factset&amp;display_string=Audit"}</definedName>
    <definedName name="_279__FDSAUDITLINK___1" localSheetId="8" hidden="1">{"fdsup://directions/FAT Viewer?action=UPDATE&amp;creator=factset&amp;DYN_ARGS=TRUE&amp;DOC_NAME=FAT:FQL_AUDITING_CLIENT_TEMPLATE.FAT&amp;display_string=Audit&amp;VAR:KEY=MZCHMHWDCN&amp;VAR:QUERY=RkZfRUJJVERBX0lCKCdBTk4nLDM5MTcyLCwsLCdHQlAnKQ==&amp;WINDOW=FIRST_POPUP&amp;HEIGHT=450&amp;WIDTH=","450&amp;START_MAXIMIZED=FALSE&amp;VAR:CALENDAR=FIVEDAY&amp;VAR:SYMBOL=092210&amp;VAR:INDEX=0"}</definedName>
    <definedName name="_279__FDSAUDITLINK___1" hidden="1">{"fdsup://directions/FAT Viewer?action=UPDATE&amp;creator=factset&amp;DYN_ARGS=TRUE&amp;DOC_NAME=FAT:FQL_AUDITING_CLIENT_TEMPLATE.FAT&amp;display_string=Audit&amp;VAR:KEY=MZCHMHWDCN&amp;VAR:QUERY=RkZfRUJJVERBX0lCKCdBTk4nLDM5MTcyLCwsLCdHQlAnKQ==&amp;WINDOW=FIRST_POPUP&amp;HEIGHT=450&amp;WIDTH=","450&amp;START_MAXIMIZED=FALSE&amp;VAR:CALENDAR=FIVEDAY&amp;VAR:SYMBOL=092210&amp;VAR:INDEX=0"}</definedName>
    <definedName name="_28__123Graph_ACHART_21" hidden="1">#REF!</definedName>
    <definedName name="_28__123Graph_ACHART_8" localSheetId="8" hidden="1">#REF!</definedName>
    <definedName name="_28__123Graph_ACHART_8" hidden="1">#REF!</definedName>
    <definedName name="_28__123Graph_BCHART_22" hidden="1">#REF!</definedName>
    <definedName name="_28__123Graph_CGRAFICO_33" localSheetId="8" hidden="1">#REF!</definedName>
    <definedName name="_28__123Graph_CGRAFICO_33" hidden="1">#REF!</definedName>
    <definedName name="_28__123Graph_DCHART_1" hidden="1">#REF!</definedName>
    <definedName name="_28__123Graph_DCHART_7" hidden="1">#REF!</definedName>
    <definedName name="_28__123Graph_XCHART_2" localSheetId="8" hidden="1">#REF!</definedName>
    <definedName name="_28__123Graph_XCHART_2" hidden="1">#REF!</definedName>
    <definedName name="_28__123Graph_XCHART_4" hidden="1">#REF!</definedName>
    <definedName name="_28__123Graph_XCHART_8" localSheetId="8" hidden="1">#REF!</definedName>
    <definedName name="_28__123Graph_XCHART_8" hidden="1">#REF!</definedName>
    <definedName name="_28__FDSAUDITLINK__" localSheetId="8" hidden="1">{"fdsup://directions/FAT Viewer?action=UPDATE&amp;creator=factset&amp;DYN_ARGS=TRUE&amp;DOC_NAME=FAT:FQL_AUDITING_CLIENT_TEMPLATE.FAT&amp;display_string=Audit&amp;VAR:KEY=SRATATQHKD&amp;VAR:QUERY=RkZfRUJJVF9JQihBTk4sMzM2MDMsLCwsRVVSKQ==&amp;WINDOW=FIRST_POPUP&amp;HEIGHT=450&amp;WIDTH=450&amp;STAR","T_MAXIMIZED=FALSE&amp;VAR:CALENDAR=FIVEDAY&amp;VAR:SYMBOL=591344&amp;VAR:INDEX=0"}</definedName>
    <definedName name="_28__FDSAUDITLINK__" hidden="1">{"fdsup://directions/FAT Viewer?action=UPDATE&amp;creator=factset&amp;DYN_ARGS=TRUE&amp;DOC_NAME=FAT:FQL_AUDITING_CLIENT_TEMPLATE.FAT&amp;display_string=Audit&amp;VAR:KEY=EBOTYROLMV&amp;VAR:QUERY=RkZfU0FMRVMoQ0FMLDIwMTAp&amp;WINDOW=FIRST_POPUP&amp;HEIGHT=450&amp;WIDTH=450&amp;START_MAXIMIZED=FALS","E&amp;VAR:CALENDAR=US&amp;VAR:SYMBOL=EXP&amp;VAR:INDEX=0"}</definedName>
    <definedName name="_28__FDSAUDITLINK___1" localSheetId="8" hidden="1">{"fdsup://directions/FAT Viewer?action=UPDATE&amp;creator=factset&amp;DYN_ARGS=TRUE&amp;DOC_NAME=FAT:FQL_AUDITING_CLIENT_TEMPLATE.FAT&amp;display_string=Audit&amp;VAR:KEY=SRATATQHKD&amp;VAR:QUERY=RkZfRUJJVF9JQihBTk4sMzM2MDMsLCwsRVVSKQ==&amp;WINDOW=FIRST_POPUP&amp;HEIGHT=450&amp;WIDTH=450&amp;STAR","T_MAXIMIZED=FALSE&amp;VAR:CALENDAR=FIVEDAY&amp;VAR:SYMBOL=591344&amp;VAR:INDEX=0"}</definedName>
    <definedName name="_28__FDSAUDITLINK___1" hidden="1">{"fdsup://directions/FAT Viewer?action=UPDATE&amp;creator=factset&amp;DYN_ARGS=TRUE&amp;DOC_NAME=FAT:FQL_AUDITING_CLIENT_TEMPLATE.FAT&amp;display_string=Audit&amp;VAR:KEY=SRATATQHKD&amp;VAR:QUERY=RkZfRUJJVF9JQihBTk4sMzM2MDMsLCwsRVVSKQ==&amp;WINDOW=FIRST_POPUP&amp;HEIGHT=450&amp;WIDTH=450&amp;STAR","T_MAXIMIZED=FALSE&amp;VAR:CALENDAR=FIVEDAY&amp;VAR:SYMBOL=591344&amp;VAR:INDEX=0"}</definedName>
    <definedName name="_28_0_0__123Graph_AB93S" hidden="1">#REF!</definedName>
    <definedName name="_280__FDSAUDITLINK__" localSheetId="8" hidden="1">{"fdsup://directions/FAT Viewer?action=UPDATE&amp;creator=factset&amp;DYN_ARGS=TRUE&amp;DOC_NAME=FAT:FQL_AUDITING_CLIENT_TEMPLATE.FAT&amp;display_string=Audit&amp;VAR:KEY=VQBMLEVIHI&amp;VAR:QUERY=RkZfRUJJVERBX0lCKCdBTk4nLDM4ODA3LCwsLCdHQlAnKQ==&amp;WINDOW=FIRST_POPUP&amp;HEIGHT=450&amp;WIDTH=","450&amp;START_MAXIMIZED=FALSE&amp;VAR:CALENDAR=FIVEDAY&amp;VAR:SYMBOL=092210&amp;VAR:INDEX=0"}</definedName>
    <definedName name="_280__FDSAUDITLINK__" hidden="1">{"fdsup://directions/FAT Viewer?action=UPDATE&amp;creator=factset&amp;DYN_ARGS=TRUE&amp;DOC_NAME=FAT:FQL_AUDITING_CLIENT_TEMPLATE.FAT&amp;display_string=Audit&amp;VAR:KEY=IXIXQZCDEB&amp;VAR:QUERY=RkZfSU5UX0VYUF9ORVQoTFRNLDQxMDM2KQ==&amp;WINDOW=FIRST_POPUP&amp;HEIGHT=450&amp;WIDTH=450&amp;START_MA","XIMIZED=FALSE&amp;VAR:CALENDAR=US&amp;VAR:SYMBOL=TXI&amp;VAR:INDEX=0"}</definedName>
    <definedName name="_280__FDSAUDITLINK___1" localSheetId="8" hidden="1">{"fdsup://directions/FAT Viewer?action=UPDATE&amp;creator=factset&amp;DYN_ARGS=TRUE&amp;DOC_NAME=FAT:FQL_AUDITING_CLIENT_TEMPLATE.FAT&amp;display_string=Audit&amp;VAR:KEY=VQBMLEVIHI&amp;VAR:QUERY=RkZfRUJJVERBX0lCKCdBTk4nLDM4ODA3LCwsLCdHQlAnKQ==&amp;WINDOW=FIRST_POPUP&amp;HEIGHT=450&amp;WIDTH=","450&amp;START_MAXIMIZED=FALSE&amp;VAR:CALENDAR=FIVEDAY&amp;VAR:SYMBOL=092210&amp;VAR:INDEX=0"}</definedName>
    <definedName name="_280__FDSAUDITLINK___1" hidden="1">{"fdsup://directions/FAT Viewer?action=UPDATE&amp;creator=factset&amp;DYN_ARGS=TRUE&amp;DOC_NAME=FAT:FQL_AUDITING_CLIENT_TEMPLATE.FAT&amp;display_string=Audit&amp;VAR:KEY=VQBMLEVIHI&amp;VAR:QUERY=RkZfRUJJVERBX0lCKCdBTk4nLDM4ODA3LCwsLCdHQlAnKQ==&amp;WINDOW=FIRST_POPUP&amp;HEIGHT=450&amp;WIDTH=","450&amp;START_MAXIMIZED=FALSE&amp;VAR:CALENDAR=FIVEDAY&amp;VAR:SYMBOL=092210&amp;VAR:INDEX=0"}</definedName>
    <definedName name="_281__FDSAUDITLINK__" localSheetId="8" hidden="1">{"fdsup://directions/FAT Viewer?action=UPDATE&amp;creator=factset&amp;DYN_ARGS=TRUE&amp;DOC_NAME=FAT:FQL_AUDITING_CLIENT_TEMPLATE.FAT&amp;display_string=Audit&amp;VAR:KEY=NAVSJYFYFG&amp;VAR:QUERY=RkZfRUJJVERBX0lCKCdBTk4nLDM4NDQyLCwsLCdHQlAnKQ==&amp;WINDOW=FIRST_POPUP&amp;HEIGHT=450&amp;WIDTH=","450&amp;START_MAXIMIZED=FALSE&amp;VAR:CALENDAR=FIVEDAY&amp;VAR:SYMBOL=092210&amp;VAR:INDEX=0"}</definedName>
    <definedName name="_281__FDSAUDITLINK__" hidden="1">{"fdsup://directions/FAT Viewer?action=UPDATE&amp;creator=factset&amp;DYN_ARGS=TRUE&amp;DOC_NAME=FAT:FQL_AUDITING_CLIENT_TEMPLATE.FAT&amp;display_string=Audit&amp;VAR:KEY=EDCDKRIDKH&amp;VAR:QUERY=RkZfTkVUX0lOQyhDQUwsMjAwOSkgKiAx&amp;WINDOW=FIRST_POPUP&amp;HEIGHT=450&amp;WIDTH=450&amp;START_MAXIMI","ZED=FALSE&amp;VAR:CALENDAR=US&amp;VAR:SYMBOL=EXP&amp;VAR:INDEX=0"}</definedName>
    <definedName name="_281__FDSAUDITLINK___1" localSheetId="8" hidden="1">{"fdsup://directions/FAT Viewer?action=UPDATE&amp;creator=factset&amp;DYN_ARGS=TRUE&amp;DOC_NAME=FAT:FQL_AUDITING_CLIENT_TEMPLATE.FAT&amp;display_string=Audit&amp;VAR:KEY=NAVSJYFYFG&amp;VAR:QUERY=RkZfRUJJVERBX0lCKCdBTk4nLDM4NDQyLCwsLCdHQlAnKQ==&amp;WINDOW=FIRST_POPUP&amp;HEIGHT=450&amp;WIDTH=","450&amp;START_MAXIMIZED=FALSE&amp;VAR:CALENDAR=FIVEDAY&amp;VAR:SYMBOL=092210&amp;VAR:INDEX=0"}</definedName>
    <definedName name="_281__FDSAUDITLINK___1" hidden="1">{"fdsup://directions/FAT Viewer?action=UPDATE&amp;creator=factset&amp;DYN_ARGS=TRUE&amp;DOC_NAME=FAT:FQL_AUDITING_CLIENT_TEMPLATE.FAT&amp;display_string=Audit&amp;VAR:KEY=NAVSJYFYFG&amp;VAR:QUERY=RkZfRUJJVERBX0lCKCdBTk4nLDM4NDQyLCwsLCdHQlAnKQ==&amp;WINDOW=FIRST_POPUP&amp;HEIGHT=450&amp;WIDTH=","450&amp;START_MAXIMIZED=FALSE&amp;VAR:CALENDAR=FIVEDAY&amp;VAR:SYMBOL=092210&amp;VAR:INDEX=0"}</definedName>
    <definedName name="_282__FDSAUDITLINK__" localSheetId="8" hidden="1">{"fdsup://directions/FAT Viewer?action=UPDATE&amp;creator=factset&amp;DYN_ARGS=TRUE&amp;DOC_NAME=FAT:FQL_AUDITING_CLIENT_TEMPLATE.FAT&amp;display_string=Audit&amp;VAR:KEY=PONKXIPWNO&amp;VAR:QUERY=RkZfRUJJVERBX0lCKCdBTk4nLDM4MDc3LCwsLCdHQlAnKQ==&amp;WINDOW=FIRST_POPUP&amp;HEIGHT=450&amp;WIDTH=","450&amp;START_MAXIMIZED=FALSE&amp;VAR:CALENDAR=FIVEDAY&amp;VAR:SYMBOL=092210&amp;VAR:INDEX=0"}</definedName>
    <definedName name="_282__FDSAUDITLINK__" hidden="1">{"fdsup://directions/FAT Viewer?action=UPDATE&amp;creator=factset&amp;DYN_ARGS=TRUE&amp;DOC_NAME=FAT:FQL_AUDITING_CLIENT_TEMPLATE.FAT&amp;display_string=Audit&amp;VAR:KEY=OHKFQHOJYV&amp;VAR:QUERY=RkZfRVBTKENBTCwyMDEwKSAqIDE=&amp;WINDOW=FIRST_POPUP&amp;HEIGHT=450&amp;WIDTH=450&amp;START_MAXIMIZED=","FALSE&amp;VAR:CALENDAR=US&amp;VAR:SYMBOL=EXP&amp;VAR:INDEX=0"}</definedName>
    <definedName name="_282__FDSAUDITLINK___1" localSheetId="8" hidden="1">{"fdsup://directions/FAT Viewer?action=UPDATE&amp;creator=factset&amp;DYN_ARGS=TRUE&amp;DOC_NAME=FAT:FQL_AUDITING_CLIENT_TEMPLATE.FAT&amp;display_string=Audit&amp;VAR:KEY=PONKXIPWNO&amp;VAR:QUERY=RkZfRUJJVERBX0lCKCdBTk4nLDM4MDc3LCwsLCdHQlAnKQ==&amp;WINDOW=FIRST_POPUP&amp;HEIGHT=450&amp;WIDTH=","450&amp;START_MAXIMIZED=FALSE&amp;VAR:CALENDAR=FIVEDAY&amp;VAR:SYMBOL=092210&amp;VAR:INDEX=0"}</definedName>
    <definedName name="_282__FDSAUDITLINK___1" hidden="1">{"fdsup://directions/FAT Viewer?action=UPDATE&amp;creator=factset&amp;DYN_ARGS=TRUE&amp;DOC_NAME=FAT:FQL_AUDITING_CLIENT_TEMPLATE.FAT&amp;display_string=Audit&amp;VAR:KEY=PONKXIPWNO&amp;VAR:QUERY=RkZfRUJJVERBX0lCKCdBTk4nLDM4MDc3LCwsLCdHQlAnKQ==&amp;WINDOW=FIRST_POPUP&amp;HEIGHT=450&amp;WIDTH=","450&amp;START_MAXIMIZED=FALSE&amp;VAR:CALENDAR=FIVEDAY&amp;VAR:SYMBOL=092210&amp;VAR:INDEX=0"}</definedName>
    <definedName name="_283__FDSAUDITLINK__" localSheetId="8" hidden="1">{"fdsup://directions/FAT Viewer?action=UPDATE&amp;creator=factset&amp;DYN_ARGS=TRUE&amp;DOC_NAME=FAT:FQL_AUDITING_CLIENT_TEMPLATE.FAT&amp;display_string=Audit&amp;VAR:KEY=VMXWXUTUFM&amp;VAR:QUERY=RkZfRUJJVERBX0lCKCdBTk4nLDM3NzExLCwsLCdHQlAnKQ==&amp;WINDOW=FIRST_POPUP&amp;HEIGHT=450&amp;WIDTH=","450&amp;START_MAXIMIZED=FALSE&amp;VAR:CALENDAR=FIVEDAY&amp;VAR:SYMBOL=092210&amp;VAR:INDEX=0"}</definedName>
    <definedName name="_283__FDSAUDITLINK__" hidden="1">{"fdsup://directions/FAT Viewer?action=UPDATE&amp;creator=factset&amp;DYN_ARGS=TRUE&amp;DOC_NAME=FAT:FQL_AUDITING_CLIENT_TEMPLATE.FAT&amp;display_string=Audit&amp;VAR:KEY=IHIHOVKJKP&amp;VAR:QUERY=RkZfRUJJVF9PUEVSKENBTCwyMDExKSAqIDE=&amp;WINDOW=FIRST_POPUP&amp;HEIGHT=450&amp;WIDTH=450&amp;START_MA","XIMIZED=FALSE&amp;VAR:CALENDAR=US&amp;VAR:SYMBOL=EXP&amp;VAR:INDEX=0"}</definedName>
    <definedName name="_283__FDSAUDITLINK___1" localSheetId="8" hidden="1">{"fdsup://directions/FAT Viewer?action=UPDATE&amp;creator=factset&amp;DYN_ARGS=TRUE&amp;DOC_NAME=FAT:FQL_AUDITING_CLIENT_TEMPLATE.FAT&amp;display_string=Audit&amp;VAR:KEY=VMXWXUTUFM&amp;VAR:QUERY=RkZfRUJJVERBX0lCKCdBTk4nLDM3NzExLCwsLCdHQlAnKQ==&amp;WINDOW=FIRST_POPUP&amp;HEIGHT=450&amp;WIDTH=","450&amp;START_MAXIMIZED=FALSE&amp;VAR:CALENDAR=FIVEDAY&amp;VAR:SYMBOL=092210&amp;VAR:INDEX=0"}</definedName>
    <definedName name="_283__FDSAUDITLINK___1" hidden="1">{"fdsup://directions/FAT Viewer?action=UPDATE&amp;creator=factset&amp;DYN_ARGS=TRUE&amp;DOC_NAME=FAT:FQL_AUDITING_CLIENT_TEMPLATE.FAT&amp;display_string=Audit&amp;VAR:KEY=VMXWXUTUFM&amp;VAR:QUERY=RkZfRUJJVERBX0lCKCdBTk4nLDM3NzExLCwsLCdHQlAnKQ==&amp;WINDOW=FIRST_POPUP&amp;HEIGHT=450&amp;WIDTH=","450&amp;START_MAXIMIZED=FALSE&amp;VAR:CALENDAR=FIVEDAY&amp;VAR:SYMBOL=092210&amp;VAR:INDEX=0"}</definedName>
    <definedName name="_284__FDSAUDITLINK__" localSheetId="8" hidden="1">{"fdsup://directions/FAT Viewer?action=UPDATE&amp;creator=factset&amp;DYN_ARGS=TRUE&amp;DOC_NAME=FAT:FQL_AUDITING_CLIENT_TEMPLATE.FAT&amp;display_string=Audit&amp;VAR:KEY=BATSJOHONE&amp;VAR:QUERY=RkZfRUJJVERBX0lCKCdBTk4nLDM3MzQ2LCwsLCdHQlAnKQ==&amp;WINDOW=FIRST_POPUP&amp;HEIGHT=450&amp;WIDTH=","450&amp;START_MAXIMIZED=FALSE&amp;VAR:CALENDAR=FIVEDAY&amp;VAR:SYMBOL=092210&amp;VAR:INDEX=0"}</definedName>
    <definedName name="_284__FDSAUDITLINK__" hidden="1">{"fdsup://directions/FAT Viewer?action=UPDATE&amp;creator=factset&amp;DYN_ARGS=TRUE&amp;DOC_NAME=FAT:FQL_AUDITING_CLIENT_TEMPLATE.FAT&amp;display_string=Audit&amp;VAR:KEY=ATAFEBMLKN&amp;VAR:QUERY=RkZfSU5UX0VYUF9ORVQoTFRNLDQxMDM2KQ==&amp;WINDOW=FIRST_POPUP&amp;HEIGHT=450&amp;WIDTH=450&amp;START_MA","XIMIZED=FALSE&amp;VAR:CALENDAR=US&amp;VAR:SYMBOL=USCR&amp;VAR:INDEX=0"}</definedName>
    <definedName name="_284__FDSAUDITLINK___1" localSheetId="8" hidden="1">{"fdsup://directions/FAT Viewer?action=UPDATE&amp;creator=factset&amp;DYN_ARGS=TRUE&amp;DOC_NAME=FAT:FQL_AUDITING_CLIENT_TEMPLATE.FAT&amp;display_string=Audit&amp;VAR:KEY=BATSJOHONE&amp;VAR:QUERY=RkZfRUJJVERBX0lCKCdBTk4nLDM3MzQ2LCwsLCdHQlAnKQ==&amp;WINDOW=FIRST_POPUP&amp;HEIGHT=450&amp;WIDTH=","450&amp;START_MAXIMIZED=FALSE&amp;VAR:CALENDAR=FIVEDAY&amp;VAR:SYMBOL=092210&amp;VAR:INDEX=0"}</definedName>
    <definedName name="_284__FDSAUDITLINK___1" hidden="1">{"fdsup://directions/FAT Viewer?action=UPDATE&amp;creator=factset&amp;DYN_ARGS=TRUE&amp;DOC_NAME=FAT:FQL_AUDITING_CLIENT_TEMPLATE.FAT&amp;display_string=Audit&amp;VAR:KEY=BATSJOHONE&amp;VAR:QUERY=RkZfRUJJVERBX0lCKCdBTk4nLDM3MzQ2LCwsLCdHQlAnKQ==&amp;WINDOW=FIRST_POPUP&amp;HEIGHT=450&amp;WIDTH=","450&amp;START_MAXIMIZED=FALSE&amp;VAR:CALENDAR=FIVEDAY&amp;VAR:SYMBOL=092210&amp;VAR:INDEX=0"}</definedName>
    <definedName name="_285__FDSAUDITLINK__" localSheetId="8" hidden="1">{"fdsup://directions/FAT Viewer?action=UPDATE&amp;creator=factset&amp;DYN_ARGS=TRUE&amp;DOC_NAME=FAT:FQL_AUDITING_CLIENT_TEMPLATE.FAT&amp;display_string=Audit&amp;VAR:KEY=NENUTANMLK&amp;VAR:QUERY=RkZfRUJJVERBX0lCKCdBTk4nLDM2OTgxLCwsLCdHQlAnKQ==&amp;WINDOW=FIRST_POPUP&amp;HEIGHT=450&amp;WIDTH=","450&amp;START_MAXIMIZED=FALSE&amp;VAR:CALENDAR=FIVEDAY&amp;VAR:SYMBOL=092210&amp;VAR:INDEX=0"}</definedName>
    <definedName name="_285__FDSAUDITLINK__" hidden="1">{"fdsup://Directions/FactSet Auditing Viewer?action=AUDIT_VALUE&amp;DB=129&amp;ID1=57328410&amp;VALUEID=01149&amp;SDATE=2011&amp;PERIODTYPE=ANN_STD&amp;SCFT=3&amp;window=popup_no_bar&amp;width=385&amp;height=120&amp;START_MAXIMIZED=FALSE&amp;creator=factset&amp;display_string=Audit"}</definedName>
    <definedName name="_285__FDSAUDITLINK___1" localSheetId="8" hidden="1">{"fdsup://directions/FAT Viewer?action=UPDATE&amp;creator=factset&amp;DYN_ARGS=TRUE&amp;DOC_NAME=FAT:FQL_AUDITING_CLIENT_TEMPLATE.FAT&amp;display_string=Audit&amp;VAR:KEY=NENUTANMLK&amp;VAR:QUERY=RkZfRUJJVERBX0lCKCdBTk4nLDM2OTgxLCwsLCdHQlAnKQ==&amp;WINDOW=FIRST_POPUP&amp;HEIGHT=450&amp;WIDTH=","450&amp;START_MAXIMIZED=FALSE&amp;VAR:CALENDAR=FIVEDAY&amp;VAR:SYMBOL=092210&amp;VAR:INDEX=0"}</definedName>
    <definedName name="_285__FDSAUDITLINK___1" hidden="1">{"fdsup://directions/FAT Viewer?action=UPDATE&amp;creator=factset&amp;DYN_ARGS=TRUE&amp;DOC_NAME=FAT:FQL_AUDITING_CLIENT_TEMPLATE.FAT&amp;display_string=Audit&amp;VAR:KEY=NENUTANMLK&amp;VAR:QUERY=RkZfRUJJVERBX0lCKCdBTk4nLDM2OTgxLCwsLCdHQlAnKQ==&amp;WINDOW=FIRST_POPUP&amp;HEIGHT=450&amp;WIDTH=","450&amp;START_MAXIMIZED=FALSE&amp;VAR:CALENDAR=FIVEDAY&amp;VAR:SYMBOL=092210&amp;VAR:INDEX=0"}</definedName>
    <definedName name="_286__FDSAUDITLINK__" localSheetId="8" hidden="1">{"fdsup://directions/FAT Viewer?action=UPDATE&amp;creator=factset&amp;DYN_ARGS=TRUE&amp;DOC_NAME=FAT:FQL_AUDITING_CLIENT_TEMPLATE.FAT&amp;display_string=Audit&amp;VAR:KEY=TEZSJUPODA&amp;VAR:QUERY=RkZfRUJJVERBX0lCKCdBTk4nLDM2NjE2LCwsLCdHQlAnKQ==&amp;WINDOW=FIRST_POPUP&amp;HEIGHT=450&amp;WIDTH=","450&amp;START_MAXIMIZED=FALSE&amp;VAR:CALENDAR=FIVEDAY&amp;VAR:SYMBOL=092210&amp;VAR:INDEX=0"}</definedName>
    <definedName name="_286__FDSAUDITLINK__" hidden="1">{"fdsup://directions/FAT Viewer?action=UPDATE&amp;creator=factset&amp;DYN_ARGS=TRUE&amp;DOC_NAME=FAT:FQL_AUDITING_CLIENT_TEMPLATE.FAT&amp;display_string=Audit&amp;VAR:KEY=SJEDYXEZEZ&amp;VAR:QUERY=RkZfRUJJVERBX09QRVIoTFRNLDQxMDM2KQ==&amp;WINDOW=FIRST_POPUP&amp;HEIGHT=450&amp;WIDTH=450&amp;START_MA","XIMIZED=FALSE&amp;VAR:CALENDAR=US&amp;VAR:SYMBOL=EXP&amp;VAR:INDEX=0"}</definedName>
    <definedName name="_286__FDSAUDITLINK___1" localSheetId="8" hidden="1">{"fdsup://directions/FAT Viewer?action=UPDATE&amp;creator=factset&amp;DYN_ARGS=TRUE&amp;DOC_NAME=FAT:FQL_AUDITING_CLIENT_TEMPLATE.FAT&amp;display_string=Audit&amp;VAR:KEY=TEZSJUPODA&amp;VAR:QUERY=RkZfRUJJVERBX0lCKCdBTk4nLDM2NjE2LCwsLCdHQlAnKQ==&amp;WINDOW=FIRST_POPUP&amp;HEIGHT=450&amp;WIDTH=","450&amp;START_MAXIMIZED=FALSE&amp;VAR:CALENDAR=FIVEDAY&amp;VAR:SYMBOL=092210&amp;VAR:INDEX=0"}</definedName>
    <definedName name="_286__FDSAUDITLINK___1" hidden="1">{"fdsup://directions/FAT Viewer?action=UPDATE&amp;creator=factset&amp;DYN_ARGS=TRUE&amp;DOC_NAME=FAT:FQL_AUDITING_CLIENT_TEMPLATE.FAT&amp;display_string=Audit&amp;VAR:KEY=TEZSJUPODA&amp;VAR:QUERY=RkZfRUJJVERBX0lCKCdBTk4nLDM2NjE2LCwsLCdHQlAnKQ==&amp;WINDOW=FIRST_POPUP&amp;HEIGHT=450&amp;WIDTH=","450&amp;START_MAXIMIZED=FALSE&amp;VAR:CALENDAR=FIVEDAY&amp;VAR:SYMBOL=092210&amp;VAR:INDEX=0"}</definedName>
    <definedName name="_287__FDSAUDITLINK__" localSheetId="8" hidden="1">{"fdsup://directions/FAT Viewer?action=UPDATE&amp;creator=factset&amp;DYN_ARGS=TRUE&amp;DOC_NAME=FAT:FQL_AUDITING_CLIENT_TEMPLATE.FAT&amp;display_string=Audit&amp;VAR:KEY=JYJGPAJIHI&amp;VAR:QUERY=RkZfRUJJVERBX0lCKCdBTk4nLDM2MjUwLCwsLCdHQlAnKQ==&amp;WINDOW=FIRST_POPUP&amp;HEIGHT=450&amp;WIDTH=","450&amp;START_MAXIMIZED=FALSE&amp;VAR:CALENDAR=FIVEDAY&amp;VAR:SYMBOL=092210&amp;VAR:INDEX=0"}</definedName>
    <definedName name="_287__FDSAUDITLINK__" hidden="1">{"fdsup://directions/FAT Viewer?action=UPDATE&amp;creator=factset&amp;DYN_ARGS=TRUE&amp;DOC_NAME=FAT:FQL_AUDITING_CLIENT_TEMPLATE.FAT&amp;display_string=Audit&amp;VAR:KEY=FORCBMLINK&amp;VAR:QUERY=RkZfSU5UX0VYUF9ORVQoTFRNLDQxMDM2KQ==&amp;WINDOW=FIRST_POPUP&amp;HEIGHT=450&amp;WIDTH=450&amp;START_MA","XIMIZED=FALSE&amp;VAR:CALENDAR=US&amp;VAR:SYMBOL=CX&amp;VAR:INDEX=0"}</definedName>
    <definedName name="_287__FDSAUDITLINK___1" localSheetId="8" hidden="1">{"fdsup://directions/FAT Viewer?action=UPDATE&amp;creator=factset&amp;DYN_ARGS=TRUE&amp;DOC_NAME=FAT:FQL_AUDITING_CLIENT_TEMPLATE.FAT&amp;display_string=Audit&amp;VAR:KEY=JYJGPAJIHI&amp;VAR:QUERY=RkZfRUJJVERBX0lCKCdBTk4nLDM2MjUwLCwsLCdHQlAnKQ==&amp;WINDOW=FIRST_POPUP&amp;HEIGHT=450&amp;WIDTH=","450&amp;START_MAXIMIZED=FALSE&amp;VAR:CALENDAR=FIVEDAY&amp;VAR:SYMBOL=092210&amp;VAR:INDEX=0"}</definedName>
    <definedName name="_287__FDSAUDITLINK___1" hidden="1">{"fdsup://directions/FAT Viewer?action=UPDATE&amp;creator=factset&amp;DYN_ARGS=TRUE&amp;DOC_NAME=FAT:FQL_AUDITING_CLIENT_TEMPLATE.FAT&amp;display_string=Audit&amp;VAR:KEY=JYJGPAJIHI&amp;VAR:QUERY=RkZfRUJJVERBX0lCKCdBTk4nLDM2MjUwLCwsLCdHQlAnKQ==&amp;WINDOW=FIRST_POPUP&amp;HEIGHT=450&amp;WIDTH=","450&amp;START_MAXIMIZED=FALSE&amp;VAR:CALENDAR=FIVEDAY&amp;VAR:SYMBOL=092210&amp;VAR:INDEX=0"}</definedName>
    <definedName name="_288__FDSAUDITLINK__" localSheetId="8" hidden="1">{"fdsup://directions/FAT Viewer?action=UPDATE&amp;creator=factset&amp;DYN_ARGS=TRUE&amp;DOC_NAME=FAT:FQL_AUDITING_CLIENT_TEMPLATE.FAT&amp;display_string=Audit&amp;VAR:KEY=PENCVMVUFU&amp;VAR:QUERY=RkZfRUJJVERBX0lCKCdBTk4nLDM1ODg1LCwsLCdHQlAnKQ==&amp;WINDOW=FIRST_POPUP&amp;HEIGHT=450&amp;WIDTH=","450&amp;START_MAXIMIZED=FALSE&amp;VAR:CALENDAR=FIVEDAY&amp;VAR:SYMBOL=092210&amp;VAR:INDEX=0"}</definedName>
    <definedName name="_288__FDSAUDITLINK__" hidden="1">{"fdsup://Directions/FactSet Auditing Viewer?action=AUDIT_VALUE&amp;DB=129&amp;ID1=450270&amp;VALUEID=01149&amp;SDATE=2011&amp;PERIODTYPE=ANN_STD&amp;SCFT=3&amp;window=popup_no_bar&amp;width=385&amp;height=120&amp;START_MAXIMIZED=FALSE&amp;creator=factset&amp;display_string=Audit"}</definedName>
    <definedName name="_288__FDSAUDITLINK___1" localSheetId="8" hidden="1">{"fdsup://directions/FAT Viewer?action=UPDATE&amp;creator=factset&amp;DYN_ARGS=TRUE&amp;DOC_NAME=FAT:FQL_AUDITING_CLIENT_TEMPLATE.FAT&amp;display_string=Audit&amp;VAR:KEY=PENCVMVUFU&amp;VAR:QUERY=RkZfRUJJVERBX0lCKCdBTk4nLDM1ODg1LCwsLCdHQlAnKQ==&amp;WINDOW=FIRST_POPUP&amp;HEIGHT=450&amp;WIDTH=","450&amp;START_MAXIMIZED=FALSE&amp;VAR:CALENDAR=FIVEDAY&amp;VAR:SYMBOL=092210&amp;VAR:INDEX=0"}</definedName>
    <definedName name="_288__FDSAUDITLINK___1" hidden="1">{"fdsup://directions/FAT Viewer?action=UPDATE&amp;creator=factset&amp;DYN_ARGS=TRUE&amp;DOC_NAME=FAT:FQL_AUDITING_CLIENT_TEMPLATE.FAT&amp;display_string=Audit&amp;VAR:KEY=PENCVMVUFU&amp;VAR:QUERY=RkZfRUJJVERBX0lCKCdBTk4nLDM1ODg1LCwsLCdHQlAnKQ==&amp;WINDOW=FIRST_POPUP&amp;HEIGHT=450&amp;WIDTH=","450&amp;START_MAXIMIZED=FALSE&amp;VAR:CALENDAR=FIVEDAY&amp;VAR:SYMBOL=092210&amp;VAR:INDEX=0"}</definedName>
    <definedName name="_289__FDSAUDITLINK__" localSheetId="8" hidden="1">{"fdsup://directions/FAT Viewer?action=UPDATE&amp;creator=factset&amp;DYN_ARGS=TRUE&amp;DOC_NAME=FAT:FQL_AUDITING_CLIENT_TEMPLATE.FAT&amp;display_string=Audit&amp;VAR:KEY=JUXQLGHUJG&amp;VAR:QUERY=RkZfRUJJVERBX0lCKCdBTk4nLDM1NTIwLCwsLCdHQlAnKQ==&amp;WINDOW=FIRST_POPUP&amp;HEIGHT=450&amp;WIDTH=","450&amp;START_MAXIMIZED=FALSE&amp;VAR:CALENDAR=FIVEDAY&amp;VAR:SYMBOL=092210&amp;VAR:INDEX=0"}</definedName>
    <definedName name="_289__FDSAUDITLINK__" hidden="1">{"fdsup://directions/FAT Viewer?action=UPDATE&amp;creator=factset&amp;DYN_ARGS=TRUE&amp;DOC_NAME=FAT:FQL_AUDITING_CLIENT_TEMPLATE.FAT&amp;display_string=Audit&amp;VAR:KEY=QJYTKXKBYP&amp;VAR:QUERY=RkZfRUJJVF9PUEVSKENBTCwyMDA5KSAqIDE=&amp;WINDOW=FIRST_POPUP&amp;HEIGHT=450&amp;WIDTH=450&amp;START_MA","XIMIZED=FALSE&amp;VAR:CALENDAR=US&amp;VAR:SYMBOL=EXP&amp;VAR:INDEX=0"}</definedName>
    <definedName name="_289__FDSAUDITLINK___1" localSheetId="8" hidden="1">{"fdsup://directions/FAT Viewer?action=UPDATE&amp;creator=factset&amp;DYN_ARGS=TRUE&amp;DOC_NAME=FAT:FQL_AUDITING_CLIENT_TEMPLATE.FAT&amp;display_string=Audit&amp;VAR:KEY=JUXQLGHUJG&amp;VAR:QUERY=RkZfRUJJVERBX0lCKCdBTk4nLDM1NTIwLCwsLCdHQlAnKQ==&amp;WINDOW=FIRST_POPUP&amp;HEIGHT=450&amp;WIDTH=","450&amp;START_MAXIMIZED=FALSE&amp;VAR:CALENDAR=FIVEDAY&amp;VAR:SYMBOL=092210&amp;VAR:INDEX=0"}</definedName>
    <definedName name="_289__FDSAUDITLINK___1" hidden="1">{"fdsup://directions/FAT Viewer?action=UPDATE&amp;creator=factset&amp;DYN_ARGS=TRUE&amp;DOC_NAME=FAT:FQL_AUDITING_CLIENT_TEMPLATE.FAT&amp;display_string=Audit&amp;VAR:KEY=JUXQLGHUJG&amp;VAR:QUERY=RkZfRUJJVERBX0lCKCdBTk4nLDM1NTIwLCwsLCdHQlAnKQ==&amp;WINDOW=FIRST_POPUP&amp;HEIGHT=450&amp;WIDTH=","450&amp;START_MAXIMIZED=FALSE&amp;VAR:CALENDAR=FIVEDAY&amp;VAR:SYMBOL=092210&amp;VAR:INDEX=0"}</definedName>
    <definedName name="_29__123Graph_BCHART_23" hidden="1">#REF!</definedName>
    <definedName name="_29__123Graph_CGRAFICO_6" localSheetId="8" hidden="1">#REF!</definedName>
    <definedName name="_29__123Graph_CGRAFICO_6" hidden="1">#REF!</definedName>
    <definedName name="_29__123Graph_ECHART_7" hidden="1">#REF!</definedName>
    <definedName name="_29__123Graph_LBL_DCHART_1" hidden="1">#N/A</definedName>
    <definedName name="_29__123Graph_XCHART_3" localSheetId="8" hidden="1">#REF!</definedName>
    <definedName name="_29__123Graph_XCHART_3" hidden="1">#REF!</definedName>
    <definedName name="_29__123Graph_XCHART_5" hidden="1">#REF!</definedName>
    <definedName name="_29__FDSAUDITLINK__" localSheetId="8" hidden="1">{"fdsup://directions/FAT Viewer?action=UPDATE&amp;creator=factset&amp;DYN_ARGS=TRUE&amp;DOC_NAME=FAT:FQL_AUDITING_CLIENT_TEMPLATE.FAT&amp;display_string=Audit&amp;VAR:KEY=SHSNYFIHWH&amp;VAR:QUERY=RkZfRUJJVERBX0lCKEFOTiwzNjg5MSwsLCxFVVIp&amp;WINDOW=FIRST_POPUP&amp;HEIGHT=450&amp;WIDTH=450&amp;STAR","T_MAXIMIZED=FALSE&amp;VAR:CALENDAR=FIVEDAY&amp;VAR:SYMBOL=591344&amp;VAR:INDEX=0"}</definedName>
    <definedName name="_29__FDSAUDITLINK__" hidden="1">{"fdsup://directions/FAT Viewer?action=UPDATE&amp;creator=factset&amp;DYN_ARGS=TRUE&amp;DOC_NAME=FAT:FQL_AUDITING_CLIENT_TEMPLATE.FAT&amp;display_string=Audit&amp;VAR:KEY=UXUVEVODYH&amp;VAR:QUERY=RkZfU0FMRVMoQ0FMLDIwMDkp&amp;WINDOW=FIRST_POPUP&amp;HEIGHT=450&amp;WIDTH=450&amp;START_MAXIMIZED=FALS","E&amp;VAR:CALENDAR=US&amp;VAR:SYMBOL=711075&amp;VAR:INDEX=0"}</definedName>
    <definedName name="_29__FDSAUDITLINK___1" localSheetId="8" hidden="1">{"fdsup://directions/FAT Viewer?action=UPDATE&amp;creator=factset&amp;DYN_ARGS=TRUE&amp;DOC_NAME=FAT:FQL_AUDITING_CLIENT_TEMPLATE.FAT&amp;display_string=Audit&amp;VAR:KEY=SHSNYFIHWH&amp;VAR:QUERY=RkZfRUJJVERBX0lCKEFOTiwzNjg5MSwsLCxFVVIp&amp;WINDOW=FIRST_POPUP&amp;HEIGHT=450&amp;WIDTH=450&amp;STAR","T_MAXIMIZED=FALSE&amp;VAR:CALENDAR=FIVEDAY&amp;VAR:SYMBOL=591344&amp;VAR:INDEX=0"}</definedName>
    <definedName name="_29__FDSAUDITLINK___1" hidden="1">{"fdsup://directions/FAT Viewer?action=UPDATE&amp;creator=factset&amp;DYN_ARGS=TRUE&amp;DOC_NAME=FAT:FQL_AUDITING_CLIENT_TEMPLATE.FAT&amp;display_string=Audit&amp;VAR:KEY=SHSNYFIHWH&amp;VAR:QUERY=RkZfRUJJVERBX0lCKEFOTiwzNjg5MSwsLCxFVVIp&amp;WINDOW=FIRST_POPUP&amp;HEIGHT=450&amp;WIDTH=450&amp;STAR","T_MAXIMIZED=FALSE&amp;VAR:CALENDAR=FIVEDAY&amp;VAR:SYMBOL=591344&amp;VAR:INDEX=0"}</definedName>
    <definedName name="_29_0_0__123Graph_AB94S" hidden="1">#REF!</definedName>
    <definedName name="_290__FDSAUDITLINK__" localSheetId="8" hidden="1">{"fdsup://directions/FAT Viewer?action=UPDATE&amp;creator=factset&amp;DYN_ARGS=TRUE&amp;DOC_NAME=FAT:FQL_AUDITING_CLIENT_TEMPLATE.FAT&amp;display_string=Audit&amp;VAR:KEY=FYXMXOBMHK&amp;VAR:QUERY=RkZfRUJJVERBX0lCKCdBTk4nLDM1MTU1LCwsLCdHQlAnKQ==&amp;WINDOW=FIRST_POPUP&amp;HEIGHT=450&amp;WIDTH=","450&amp;START_MAXIMIZED=FALSE&amp;VAR:CALENDAR=FIVEDAY&amp;VAR:SYMBOL=092210&amp;VAR:INDEX=0"}</definedName>
    <definedName name="_290__FDSAUDITLINK__" hidden="1">{"fdsup://directions/FAT Viewer?action=UPDATE&amp;creator=factset&amp;DYN_ARGS=TRUE&amp;DOC_NAME=FAT:FQL_AUDITING_CLIENT_TEMPLATE.FAT&amp;display_string=Audit&amp;VAR:KEY=GPILSNMVSJ&amp;VAR:QUERY=RkZfSU5UX0VYUF9ORVQoTFRNLDQxMDM2KQ==&amp;WINDOW=FIRST_POPUP&amp;HEIGHT=450&amp;WIDTH=450&amp;START_MA","XIMIZED=FALSE&amp;VAR:CALENDAR=US&amp;VAR:SYMBOL=EXP&amp;VAR:INDEX=0"}</definedName>
    <definedName name="_290__FDSAUDITLINK___1" localSheetId="8" hidden="1">{"fdsup://directions/FAT Viewer?action=UPDATE&amp;creator=factset&amp;DYN_ARGS=TRUE&amp;DOC_NAME=FAT:FQL_AUDITING_CLIENT_TEMPLATE.FAT&amp;display_string=Audit&amp;VAR:KEY=FYXMXOBMHK&amp;VAR:QUERY=RkZfRUJJVERBX0lCKCdBTk4nLDM1MTU1LCwsLCdHQlAnKQ==&amp;WINDOW=FIRST_POPUP&amp;HEIGHT=450&amp;WIDTH=","450&amp;START_MAXIMIZED=FALSE&amp;VAR:CALENDAR=FIVEDAY&amp;VAR:SYMBOL=092210&amp;VAR:INDEX=0"}</definedName>
    <definedName name="_290__FDSAUDITLINK___1" hidden="1">{"fdsup://directions/FAT Viewer?action=UPDATE&amp;creator=factset&amp;DYN_ARGS=TRUE&amp;DOC_NAME=FAT:FQL_AUDITING_CLIENT_TEMPLATE.FAT&amp;display_string=Audit&amp;VAR:KEY=FYXMXOBMHK&amp;VAR:QUERY=RkZfRUJJVERBX0lCKCdBTk4nLDM1MTU1LCwsLCdHQlAnKQ==&amp;WINDOW=FIRST_POPUP&amp;HEIGHT=450&amp;WIDTH=","450&amp;START_MAXIMIZED=FALSE&amp;VAR:CALENDAR=FIVEDAY&amp;VAR:SYMBOL=092210&amp;VAR:INDEX=0"}</definedName>
    <definedName name="_291__FDSAUDITLINK__" localSheetId="8" hidden="1">{"fdsup://directions/FAT Viewer?action=UPDATE&amp;creator=factset&amp;DYN_ARGS=TRUE&amp;DOC_NAME=FAT:FQL_AUDITING_CLIENT_TEMPLATE.FAT&amp;display_string=Audit&amp;VAR:KEY=PIZGZYXYNI&amp;VAR:QUERY=RkZfRUJJVERBX0lCKCdBTk4nLDM0Nzg5LCwsLCdHQlAnKQ==&amp;WINDOW=FIRST_POPUP&amp;HEIGHT=450&amp;WIDTH=","450&amp;START_MAXIMIZED=FALSE&amp;VAR:CALENDAR=FIVEDAY&amp;VAR:SYMBOL=092210&amp;VAR:INDEX=0"}</definedName>
    <definedName name="_291__FDSAUDITLINK__" hidden="1">{"fdsup://Directions/FactSet Auditing Viewer?action=AUDIT_VALUE&amp;DB=129&amp;ID1=12008R10&amp;VALUEID=01149&amp;SDATE=2011&amp;PERIODTYPE=ANN_STD&amp;SCFT=3&amp;window=popup_no_bar&amp;width=385&amp;height=120&amp;START_MAXIMIZED=FALSE&amp;creator=factset&amp;display_string=Audit"}</definedName>
    <definedName name="_291__FDSAUDITLINK___1" localSheetId="8" hidden="1">{"fdsup://directions/FAT Viewer?action=UPDATE&amp;creator=factset&amp;DYN_ARGS=TRUE&amp;DOC_NAME=FAT:FQL_AUDITING_CLIENT_TEMPLATE.FAT&amp;display_string=Audit&amp;VAR:KEY=PIZGZYXYNI&amp;VAR:QUERY=RkZfRUJJVERBX0lCKCdBTk4nLDM0Nzg5LCwsLCdHQlAnKQ==&amp;WINDOW=FIRST_POPUP&amp;HEIGHT=450&amp;WIDTH=","450&amp;START_MAXIMIZED=FALSE&amp;VAR:CALENDAR=FIVEDAY&amp;VAR:SYMBOL=092210&amp;VAR:INDEX=0"}</definedName>
    <definedName name="_291__FDSAUDITLINK___1" hidden="1">{"fdsup://directions/FAT Viewer?action=UPDATE&amp;creator=factset&amp;DYN_ARGS=TRUE&amp;DOC_NAME=FAT:FQL_AUDITING_CLIENT_TEMPLATE.FAT&amp;display_string=Audit&amp;VAR:KEY=PIZGZYXYNI&amp;VAR:QUERY=RkZfRUJJVERBX0lCKCdBTk4nLDM0Nzg5LCwsLCdHQlAnKQ==&amp;WINDOW=FIRST_POPUP&amp;HEIGHT=450&amp;WIDTH=","450&amp;START_MAXIMIZED=FALSE&amp;VAR:CALENDAR=FIVEDAY&amp;VAR:SYMBOL=092210&amp;VAR:INDEX=0"}</definedName>
    <definedName name="_292__FDSAUDITLINK__" localSheetId="8" hidden="1">{"fdsup://directions/FAT Viewer?action=UPDATE&amp;creator=factset&amp;DYN_ARGS=TRUE&amp;DOC_NAME=FAT:FQL_AUDITING_CLIENT_TEMPLATE.FAT&amp;display_string=Audit&amp;VAR:KEY=RCJWBGXSFS&amp;VAR:QUERY=RkZfRUJJVERBX0lCKCdBTk4nLDM0NDI0LCwsLCdHQlAnKQ==&amp;WINDOW=FIRST_POPUP&amp;HEIGHT=450&amp;WIDTH=","450&amp;START_MAXIMIZED=FALSE&amp;VAR:CALENDAR=FIVEDAY&amp;VAR:SYMBOL=092210&amp;VAR:INDEX=0"}</definedName>
    <definedName name="_292__FDSAUDITLINK__" hidden="1">{"fdsup://directions/FAT Viewer?action=UPDATE&amp;creator=factset&amp;DYN_ARGS=TRUE&amp;DOC_NAME=FAT:FQL_AUDITING_CLIENT_TEMPLATE.FAT&amp;display_string=Audit&amp;VAR:KEY=MNSTYBKHIJ&amp;VAR:QUERY=RkZfSU5UX0VYUF9ORVQoTFRNLDQxMDM2KQ==&amp;WINDOW=FIRST_POPUP&amp;HEIGHT=450&amp;WIDTH=450&amp;START_MA","XIMIZED=FALSE&amp;VAR:CALENDAR=US&amp;VAR:SYMBOL=711075&amp;VAR:INDEX=0"}</definedName>
    <definedName name="_292__FDSAUDITLINK___1" localSheetId="8" hidden="1">{"fdsup://directions/FAT Viewer?action=UPDATE&amp;creator=factset&amp;DYN_ARGS=TRUE&amp;DOC_NAME=FAT:FQL_AUDITING_CLIENT_TEMPLATE.FAT&amp;display_string=Audit&amp;VAR:KEY=RCJWBGXSFS&amp;VAR:QUERY=RkZfRUJJVERBX0lCKCdBTk4nLDM0NDI0LCwsLCdHQlAnKQ==&amp;WINDOW=FIRST_POPUP&amp;HEIGHT=450&amp;WIDTH=","450&amp;START_MAXIMIZED=FALSE&amp;VAR:CALENDAR=FIVEDAY&amp;VAR:SYMBOL=092210&amp;VAR:INDEX=0"}</definedName>
    <definedName name="_292__FDSAUDITLINK___1" hidden="1">{"fdsup://directions/FAT Viewer?action=UPDATE&amp;creator=factset&amp;DYN_ARGS=TRUE&amp;DOC_NAME=FAT:FQL_AUDITING_CLIENT_TEMPLATE.FAT&amp;display_string=Audit&amp;VAR:KEY=RCJWBGXSFS&amp;VAR:QUERY=RkZfRUJJVERBX0lCKCdBTk4nLDM0NDI0LCwsLCdHQlAnKQ==&amp;WINDOW=FIRST_POPUP&amp;HEIGHT=450&amp;WIDTH=","450&amp;START_MAXIMIZED=FALSE&amp;VAR:CALENDAR=FIVEDAY&amp;VAR:SYMBOL=092210&amp;VAR:INDEX=0"}</definedName>
    <definedName name="_293__FDSAUDITLINK__" localSheetId="8" hidden="1">{"fdsup://directions/FAT Viewer?action=UPDATE&amp;creator=factset&amp;DYN_ARGS=TRUE&amp;DOC_NAME=FAT:FQL_AUDITING_CLIENT_TEMPLATE.FAT&amp;display_string=Audit&amp;VAR:KEY=ZAHKNQZGPK&amp;VAR:QUERY=RkZfRUJJVERBX0lCKCdBTk4nLDM0MDU5LCwsLCdHQlAnKQ==&amp;WINDOW=FIRST_POPUP&amp;HEIGHT=450&amp;WIDTH=","450&amp;START_MAXIMIZED=FALSE&amp;VAR:CALENDAR=FIVEDAY&amp;VAR:SYMBOL=092210&amp;VAR:INDEX=0"}</definedName>
    <definedName name="_293__FDSAUDITLINK__" hidden="1">{"fdsup://directions/FAT Viewer?action=UPDATE&amp;creator=factset&amp;DYN_ARGS=TRUE&amp;DOC_NAME=FAT:FQL_AUDITING_CLIENT_TEMPLATE.FAT&amp;display_string=Audit&amp;VAR:KEY=YHCTWHSZIT&amp;VAR:QUERY=RkZfTkVUX0lOQyhDQUwsMjAxMCkgKiAx&amp;WINDOW=FIRST_POPUP&amp;HEIGHT=450&amp;WIDTH=450&amp;START_MAXIMI","ZED=FALSE&amp;VAR:CALENDAR=US&amp;VAR:SYMBOL=EXP&amp;VAR:INDEX=0"}</definedName>
    <definedName name="_293__FDSAUDITLINK___1" localSheetId="8" hidden="1">{"fdsup://directions/FAT Viewer?action=UPDATE&amp;creator=factset&amp;DYN_ARGS=TRUE&amp;DOC_NAME=FAT:FQL_AUDITING_CLIENT_TEMPLATE.FAT&amp;display_string=Audit&amp;VAR:KEY=ZAHKNQZGPK&amp;VAR:QUERY=RkZfRUJJVERBX0lCKCdBTk4nLDM0MDU5LCwsLCdHQlAnKQ==&amp;WINDOW=FIRST_POPUP&amp;HEIGHT=450&amp;WIDTH=","450&amp;START_MAXIMIZED=FALSE&amp;VAR:CALENDAR=FIVEDAY&amp;VAR:SYMBOL=092210&amp;VAR:INDEX=0"}</definedName>
    <definedName name="_293__FDSAUDITLINK___1" hidden="1">{"fdsup://directions/FAT Viewer?action=UPDATE&amp;creator=factset&amp;DYN_ARGS=TRUE&amp;DOC_NAME=FAT:FQL_AUDITING_CLIENT_TEMPLATE.FAT&amp;display_string=Audit&amp;VAR:KEY=ZAHKNQZGPK&amp;VAR:QUERY=RkZfRUJJVERBX0lCKCdBTk4nLDM0MDU5LCwsLCdHQlAnKQ==&amp;WINDOW=FIRST_POPUP&amp;HEIGHT=450&amp;WIDTH=","450&amp;START_MAXIMIZED=FALSE&amp;VAR:CALENDAR=FIVEDAY&amp;VAR:SYMBOL=092210&amp;VAR:INDEX=0"}</definedName>
    <definedName name="_294__FDSAUDITLINK__" localSheetId="8" hidden="1">{"fdsup://directions/FAT Viewer?action=UPDATE&amp;creator=factset&amp;DYN_ARGS=TRUE&amp;DOC_NAME=FAT:FQL_AUDITING_CLIENT_TEMPLATE.FAT&amp;display_string=Audit&amp;VAR:KEY=XYJQNEVOTO&amp;VAR:QUERY=RkZfRUJJVERBX0lCKCdBTk4nLDMzNjk0LCwsLCdHQlAnKQ==&amp;WINDOW=FIRST_POPUP&amp;HEIGHT=450&amp;WIDTH=","450&amp;START_MAXIMIZED=FALSE&amp;VAR:CALENDAR=FIVEDAY&amp;VAR:SYMBOL=092210&amp;VAR:INDEX=0"}</definedName>
    <definedName name="_294__FDSAUDITLINK__" hidden="1">{"fdsup://directions/FAT Viewer?action=UPDATE&amp;creator=factset&amp;DYN_ARGS=TRUE&amp;DOC_NAME=FAT:FQL_AUDITING_CLIENT_TEMPLATE.FAT&amp;display_string=Audit&amp;VAR:KEY=AHOBUXCNIN&amp;VAR:QUERY=RkZfRVBTKENBTCwyMDExKSAqIDE=&amp;WINDOW=FIRST_POPUP&amp;HEIGHT=450&amp;WIDTH=450&amp;START_MAXIMIZED=","FALSE&amp;VAR:CALENDAR=US&amp;VAR:SYMBOL=EXP&amp;VAR:INDEX=0"}</definedName>
    <definedName name="_294__FDSAUDITLINK___1" localSheetId="8" hidden="1">{"fdsup://directions/FAT Viewer?action=UPDATE&amp;creator=factset&amp;DYN_ARGS=TRUE&amp;DOC_NAME=FAT:FQL_AUDITING_CLIENT_TEMPLATE.FAT&amp;display_string=Audit&amp;VAR:KEY=XYJQNEVOTO&amp;VAR:QUERY=RkZfRUJJVERBX0lCKCdBTk4nLDMzNjk0LCwsLCdHQlAnKQ==&amp;WINDOW=FIRST_POPUP&amp;HEIGHT=450&amp;WIDTH=","450&amp;START_MAXIMIZED=FALSE&amp;VAR:CALENDAR=FIVEDAY&amp;VAR:SYMBOL=092210&amp;VAR:INDEX=0"}</definedName>
    <definedName name="_294__FDSAUDITLINK___1" hidden="1">{"fdsup://directions/FAT Viewer?action=UPDATE&amp;creator=factset&amp;DYN_ARGS=TRUE&amp;DOC_NAME=FAT:FQL_AUDITING_CLIENT_TEMPLATE.FAT&amp;display_string=Audit&amp;VAR:KEY=XYJQNEVOTO&amp;VAR:QUERY=RkZfRUJJVERBX0lCKCdBTk4nLDMzNjk0LCwsLCdHQlAnKQ==&amp;WINDOW=FIRST_POPUP&amp;HEIGHT=450&amp;WIDTH=","450&amp;START_MAXIMIZED=FALSE&amp;VAR:CALENDAR=FIVEDAY&amp;VAR:SYMBOL=092210&amp;VAR:INDEX=0"}</definedName>
    <definedName name="_295__FDSAUDITLINK__" localSheetId="8" hidden="1">{"fdsup://directions/FAT Viewer?action=UPDATE&amp;creator=factset&amp;DYN_ARGS=TRUE&amp;DOC_NAME=FAT:FQL_AUDITING_CLIENT_TEMPLATE.FAT&amp;display_string=Audit&amp;VAR:KEY=PQBWLWBUFE&amp;VAR:QUERY=RkZfRUJJVERBX0lCKCdBTk4nLDMzMzI4LCwsLCdHQlAnKQ==&amp;WINDOW=FIRST_POPUP&amp;HEIGHT=450&amp;WIDTH=","450&amp;START_MAXIMIZED=FALSE&amp;VAR:CALENDAR=FIVEDAY&amp;VAR:SYMBOL=092210&amp;VAR:INDEX=0"}</definedName>
    <definedName name="_295__FDSAUDITLINK__" hidden="1">{"fdsup://directions/FAT Viewer?action=UPDATE&amp;creator=factset&amp;DYN_ARGS=TRUE&amp;DOC_NAME=FAT:FQL_AUDITING_CLIENT_TEMPLATE.FAT&amp;display_string=Audit&amp;VAR:KEY=SVATAJGNWN&amp;VAR:QUERY=RkZfSU5UX0VYUF9ORVQoTFRNLDQxMDM2KQ==&amp;WINDOW=FIRST_POPUP&amp;HEIGHT=450&amp;WIDTH=450&amp;START_MA","XIMIZED=FALSE&amp;VAR:CALENDAR=US&amp;VAR:SYMBOL=MCEM&amp;VAR:INDEX=0"}</definedName>
    <definedName name="_295__FDSAUDITLINK___1" localSheetId="8" hidden="1">{"fdsup://directions/FAT Viewer?action=UPDATE&amp;creator=factset&amp;DYN_ARGS=TRUE&amp;DOC_NAME=FAT:FQL_AUDITING_CLIENT_TEMPLATE.FAT&amp;display_string=Audit&amp;VAR:KEY=PQBWLWBUFE&amp;VAR:QUERY=RkZfRUJJVERBX0lCKCdBTk4nLDMzMzI4LCwsLCdHQlAnKQ==&amp;WINDOW=FIRST_POPUP&amp;HEIGHT=450&amp;WIDTH=","450&amp;START_MAXIMIZED=FALSE&amp;VAR:CALENDAR=FIVEDAY&amp;VAR:SYMBOL=092210&amp;VAR:INDEX=0"}</definedName>
    <definedName name="_295__FDSAUDITLINK___1" hidden="1">{"fdsup://directions/FAT Viewer?action=UPDATE&amp;creator=factset&amp;DYN_ARGS=TRUE&amp;DOC_NAME=FAT:FQL_AUDITING_CLIENT_TEMPLATE.FAT&amp;display_string=Audit&amp;VAR:KEY=PQBWLWBUFE&amp;VAR:QUERY=RkZfRUJJVERBX0lCKCdBTk4nLDMzMzI4LCwsLCdHQlAnKQ==&amp;WINDOW=FIRST_POPUP&amp;HEIGHT=450&amp;WIDTH=","450&amp;START_MAXIMIZED=FALSE&amp;VAR:CALENDAR=FIVEDAY&amp;VAR:SYMBOL=092210&amp;VAR:INDEX=0"}</definedName>
    <definedName name="_296__FDSAUDITLINK__" localSheetId="8" hidden="1">{"fdsup://directions/FAT Viewer?action=UPDATE&amp;creator=factset&amp;DYN_ARGS=TRUE&amp;DOC_NAME=FAT:FQL_AUDITING_CLIENT_TEMPLATE.FAT&amp;display_string=Audit&amp;VAR:KEY=LUPOPMTUPM&amp;VAR:QUERY=RkZfRUJJVERBX0lCKCdBTk4nLDMyOTYzLCwsLCdHQlAnKQ==&amp;WINDOW=FIRST_POPUP&amp;HEIGHT=450&amp;WIDTH=","450&amp;START_MAXIMIZED=FALSE&amp;VAR:CALENDAR=FIVEDAY&amp;VAR:SYMBOL=092210&amp;VAR:INDEX=0"}</definedName>
    <definedName name="_296__FDSAUDITLINK__" hidden="1">{"fdsup://directions/FAT Viewer?action=UPDATE&amp;creator=factset&amp;DYN_ARGS=TRUE&amp;DOC_NAME=FAT:FQL_AUDITING_CLIENT_TEMPLATE.FAT&amp;display_string=Audit&amp;VAR:KEY=CLAXSTUTWT&amp;VAR:QUERY=RkZfRUJJVERBX09QRVIoQ0FMLDIwMTEpICogMQ==&amp;WINDOW=FIRST_POPUP&amp;HEIGHT=450&amp;WIDTH=450&amp;STAR","T_MAXIMIZED=FALSE&amp;VAR:CALENDAR=US&amp;VAR:SYMBOL=EXP&amp;VAR:INDEX=0"}</definedName>
    <definedName name="_296__FDSAUDITLINK___1" localSheetId="8" hidden="1">{"fdsup://directions/FAT Viewer?action=UPDATE&amp;creator=factset&amp;DYN_ARGS=TRUE&amp;DOC_NAME=FAT:FQL_AUDITING_CLIENT_TEMPLATE.FAT&amp;display_string=Audit&amp;VAR:KEY=LUPOPMTUPM&amp;VAR:QUERY=RkZfRUJJVERBX0lCKCdBTk4nLDMyOTYzLCwsLCdHQlAnKQ==&amp;WINDOW=FIRST_POPUP&amp;HEIGHT=450&amp;WIDTH=","450&amp;START_MAXIMIZED=FALSE&amp;VAR:CALENDAR=FIVEDAY&amp;VAR:SYMBOL=092210&amp;VAR:INDEX=0"}</definedName>
    <definedName name="_296__FDSAUDITLINK___1" hidden="1">{"fdsup://directions/FAT Viewer?action=UPDATE&amp;creator=factset&amp;DYN_ARGS=TRUE&amp;DOC_NAME=FAT:FQL_AUDITING_CLIENT_TEMPLATE.FAT&amp;display_string=Audit&amp;VAR:KEY=LUPOPMTUPM&amp;VAR:QUERY=RkZfRUJJVERBX0lCKCdBTk4nLDMyOTYzLCwsLCdHQlAnKQ==&amp;WINDOW=FIRST_POPUP&amp;HEIGHT=450&amp;WIDTH=","450&amp;START_MAXIMIZED=FALSE&amp;VAR:CALENDAR=FIVEDAY&amp;VAR:SYMBOL=092210&amp;VAR:INDEX=0"}</definedName>
    <definedName name="_297__FDSAUDITLINK__" localSheetId="8" hidden="1">{"fdsup://directions/FAT Viewer?action=UPDATE&amp;creator=factset&amp;DYN_ARGS=TRUE&amp;DOC_NAME=FAT:FQL_AUDITING_CLIENT_TEMPLATE.FAT&amp;display_string=Audit&amp;VAR:KEY=QVWXIZYXEX&amp;VAR:QUERY=RkZfRUJJVERBX0lCKCdBTk4nLDQwMTc4LCwsLCdTRUsnKQ==&amp;WINDOW=FIRST_POPUP&amp;HEIGHT=450&amp;WIDTH=","450&amp;START_MAXIMIZED=FALSE&amp;VAR:CALENDAR=FIVEDAY&amp;VAR:SYMBOL=454047&amp;VAR:INDEX=0"}</definedName>
    <definedName name="_297__FDSAUDITLINK__" hidden="1">{"fdsup://directions/FAT Viewer?action=UPDATE&amp;creator=factset&amp;DYN_ARGS=TRUE&amp;DOC_NAME=FAT:FQL_AUDITING_CLIENT_TEMPLATE.FAT&amp;display_string=Audit&amp;VAR:KEY=ETARUZWLWV&amp;VAR:QUERY=RkZfRUJJVF9PUEVSKExUTSw0MTAzNik=&amp;WINDOW=FIRST_POPUP&amp;HEIGHT=450&amp;WIDTH=450&amp;START_MAXIMI","ZED=FALSE&amp;VAR:CALENDAR=US&amp;VAR:SYMBOL=EXP&amp;VAR:INDEX=0"}</definedName>
    <definedName name="_297__FDSAUDITLINK___1" localSheetId="8" hidden="1">{"fdsup://directions/FAT Viewer?action=UPDATE&amp;creator=factset&amp;DYN_ARGS=TRUE&amp;DOC_NAME=FAT:FQL_AUDITING_CLIENT_TEMPLATE.FAT&amp;display_string=Audit&amp;VAR:KEY=QVWXIZYXEX&amp;VAR:QUERY=RkZfRUJJVERBX0lCKCdBTk4nLDQwMTc4LCwsLCdTRUsnKQ==&amp;WINDOW=FIRST_POPUP&amp;HEIGHT=450&amp;WIDTH=","450&amp;START_MAXIMIZED=FALSE&amp;VAR:CALENDAR=FIVEDAY&amp;VAR:SYMBOL=454047&amp;VAR:INDEX=0"}</definedName>
    <definedName name="_297__FDSAUDITLINK___1" hidden="1">{"fdsup://directions/FAT Viewer?action=UPDATE&amp;creator=factset&amp;DYN_ARGS=TRUE&amp;DOC_NAME=FAT:FQL_AUDITING_CLIENT_TEMPLATE.FAT&amp;display_string=Audit&amp;VAR:KEY=QVWXIZYXEX&amp;VAR:QUERY=RkZfRUJJVERBX0lCKCdBTk4nLDQwMTc4LCwsLCdTRUsnKQ==&amp;WINDOW=FIRST_POPUP&amp;HEIGHT=450&amp;WIDTH=","450&amp;START_MAXIMIZED=FALSE&amp;VAR:CALENDAR=FIVEDAY&amp;VAR:SYMBOL=454047&amp;VAR:INDEX=0"}</definedName>
    <definedName name="_298__FDSAUDITLINK__" localSheetId="8" hidden="1">{"fdsup://directions/FAT Viewer?action=UPDATE&amp;creator=factset&amp;DYN_ARGS=TRUE&amp;DOC_NAME=FAT:FQL_AUDITING_CLIENT_TEMPLATE.FAT&amp;display_string=Audit&amp;VAR:KEY=WRSFORIJSP&amp;VAR:QUERY=RkZfRUJJVERBX0lCKCdBTk4nLDM5ODEzLCwsLCdTRUsnKQ==&amp;WINDOW=FIRST_POPUP&amp;HEIGHT=450&amp;WIDTH=","450&amp;START_MAXIMIZED=FALSE&amp;VAR:CALENDAR=FIVEDAY&amp;VAR:SYMBOL=454047&amp;VAR:INDEX=0"}</definedName>
    <definedName name="_298__FDSAUDITLINK__" hidden="1">{"fdsup://directions/FAT Viewer?action=UPDATE&amp;creator=factset&amp;DYN_ARGS=TRUE&amp;DOC_NAME=FAT:FQL_AUDITING_CLIENT_TEMPLATE.FAT&amp;display_string=Audit&amp;VAR:KEY=YNSFKJAHIL&amp;VAR:QUERY=RkZfRUJJVERBX09QRVIoQ0FMLDIwMTApICogMQ==&amp;WINDOW=FIRST_POPUP&amp;HEIGHT=450&amp;WIDTH=450&amp;STAR","T_MAXIMIZED=FALSE&amp;VAR:CALENDAR=US&amp;VAR:SYMBOL=EXP&amp;VAR:INDEX=0"}</definedName>
    <definedName name="_298__FDSAUDITLINK___1" localSheetId="8" hidden="1">{"fdsup://directions/FAT Viewer?action=UPDATE&amp;creator=factset&amp;DYN_ARGS=TRUE&amp;DOC_NAME=FAT:FQL_AUDITING_CLIENT_TEMPLATE.FAT&amp;display_string=Audit&amp;VAR:KEY=WRSFORIJSP&amp;VAR:QUERY=RkZfRUJJVERBX0lCKCdBTk4nLDM5ODEzLCwsLCdTRUsnKQ==&amp;WINDOW=FIRST_POPUP&amp;HEIGHT=450&amp;WIDTH=","450&amp;START_MAXIMIZED=FALSE&amp;VAR:CALENDAR=FIVEDAY&amp;VAR:SYMBOL=454047&amp;VAR:INDEX=0"}</definedName>
    <definedName name="_298__FDSAUDITLINK___1" hidden="1">{"fdsup://directions/FAT Viewer?action=UPDATE&amp;creator=factset&amp;DYN_ARGS=TRUE&amp;DOC_NAME=FAT:FQL_AUDITING_CLIENT_TEMPLATE.FAT&amp;display_string=Audit&amp;VAR:KEY=WRSFORIJSP&amp;VAR:QUERY=RkZfRUJJVERBX0lCKCdBTk4nLDM5ODEzLCwsLCdTRUsnKQ==&amp;WINDOW=FIRST_POPUP&amp;HEIGHT=450&amp;WIDTH=","450&amp;START_MAXIMIZED=FALSE&amp;VAR:CALENDAR=FIVEDAY&amp;VAR:SYMBOL=454047&amp;VAR:INDEX=0"}</definedName>
    <definedName name="_299__FDSAUDITLINK__" localSheetId="8" hidden="1">{"fdsup://directions/FAT Viewer?action=UPDATE&amp;creator=factset&amp;DYN_ARGS=TRUE&amp;DOC_NAME=FAT:FQL_AUDITING_CLIENT_TEMPLATE.FAT&amp;display_string=Audit&amp;VAR:KEY=AFUPOFWLAJ&amp;VAR:QUERY=RkZfRUJJVERBX0lCKCdBTk4nLDM5NDQ3LCwsLCdTRUsnKQ==&amp;WINDOW=FIRST_POPUP&amp;HEIGHT=450&amp;WIDTH=","450&amp;START_MAXIMIZED=FALSE&amp;VAR:CALENDAR=FIVEDAY&amp;VAR:SYMBOL=454047&amp;VAR:INDEX=0"}</definedName>
    <definedName name="_299__FDSAUDITLINK__" hidden="1">{"fdsup://directions/FAT Viewer?action=UPDATE&amp;creator=factset&amp;DYN_ARGS=TRUE&amp;DOC_NAME=FAT:FQL_AUDITING_CLIENT_TEMPLATE.FAT&amp;display_string=Audit&amp;VAR:KEY=EBEVIDKNUV&amp;VAR:QUERY=RkZfU0FMRVMoQ0FMLDIwMTEpICogMQ==&amp;WINDOW=FIRST_POPUP&amp;HEIGHT=450&amp;WIDTH=450&amp;START_MAXIMI","ZED=FALSE&amp;VAR:CALENDAR=US&amp;VAR:SYMBOL=EXP&amp;VAR:INDEX=0"}</definedName>
    <definedName name="_299__FDSAUDITLINK___1" localSheetId="8" hidden="1">{"fdsup://directions/FAT Viewer?action=UPDATE&amp;creator=factset&amp;DYN_ARGS=TRUE&amp;DOC_NAME=FAT:FQL_AUDITING_CLIENT_TEMPLATE.FAT&amp;display_string=Audit&amp;VAR:KEY=AFUPOFWLAJ&amp;VAR:QUERY=RkZfRUJJVERBX0lCKCdBTk4nLDM5NDQ3LCwsLCdTRUsnKQ==&amp;WINDOW=FIRST_POPUP&amp;HEIGHT=450&amp;WIDTH=","450&amp;START_MAXIMIZED=FALSE&amp;VAR:CALENDAR=FIVEDAY&amp;VAR:SYMBOL=454047&amp;VAR:INDEX=0"}</definedName>
    <definedName name="_299__FDSAUDITLINK___1" hidden="1">{"fdsup://directions/FAT Viewer?action=UPDATE&amp;creator=factset&amp;DYN_ARGS=TRUE&amp;DOC_NAME=FAT:FQL_AUDITING_CLIENT_TEMPLATE.FAT&amp;display_string=Audit&amp;VAR:KEY=AFUPOFWLAJ&amp;VAR:QUERY=RkZfRUJJVERBX0lCKCdBTk4nLDM5NDQ3LCwsLCdTRUsnKQ==&amp;WINDOW=FIRST_POPUP&amp;HEIGHT=450&amp;WIDTH=","450&amp;START_MAXIMIZED=FALSE&amp;VAR:CALENDAR=FIVEDAY&amp;VAR:SYMBOL=454047&amp;VAR:INDEX=0"}</definedName>
    <definedName name="_3___123Graph_BCHART_1" hidden="1">#REF!</definedName>
    <definedName name="_3__123Graph_ACHART_1" hidden="1">#REF!</definedName>
    <definedName name="_3__123Graph_ACHART_13" hidden="1">#REF!</definedName>
    <definedName name="_3__123Graph_ACHART_15" hidden="1">#REF!</definedName>
    <definedName name="_3__123Graph_ACHART_3" localSheetId="7" hidden="1">#REF!</definedName>
    <definedName name="_3__123Graph_ACHART_3" localSheetId="8" hidden="1">#REF!</definedName>
    <definedName name="_3__123Graph_ACHART_3" hidden="1">#REF!</definedName>
    <definedName name="_3__123Graph_ACHART_4" hidden="1">#REF!</definedName>
    <definedName name="_3__123Graph_AGRAFICO_2" localSheetId="8" hidden="1">#REF!</definedName>
    <definedName name="_3__123Graph_AGRAFICO_2" hidden="1">#REF!</definedName>
    <definedName name="_3__123Graph_AGRAFICO_7" hidden="1">#REF!</definedName>
    <definedName name="_3__123Graph_AGRAFICO_8" hidden="1">#REF!</definedName>
    <definedName name="_3__123Graph_BCHART_1" hidden="1">#REF!</definedName>
    <definedName name="_3__123Graph_BCHART_13" hidden="1">#REF!</definedName>
    <definedName name="_3__123Graph_BNG_CONFRONT_INC" hidden="1">#REF!</definedName>
    <definedName name="_3__123Graph_DCHART_1" hidden="1">#REF!</definedName>
    <definedName name="_3__FDSAUDITLINK__" localSheetId="8" hidden="1">{"fdsup://directions/FAT Viewer?action=UPDATE&amp;creator=factset&amp;DYN_ARGS=TRUE&amp;DOC_NAME=FAT:FQL_AUDITING_CLIENT_TEMPLATE.FAT&amp;display_string=Audit&amp;VAR:KEY=GTQJQZGPSL&amp;VAR:QUERY=RkZfRUJJVERBX0lCKEFOTiwzOTQ0NywsLCxFVVIp&amp;WINDOW=FIRST_POPUP&amp;HEIGHT=450&amp;WIDTH=450&amp;STAR","T_MAXIMIZED=FALSE&amp;VAR:CALENDAR=FIVEDAY&amp;VAR:SYMBOL=591344&amp;VAR:INDEX=0"}</definedName>
    <definedName name="_3__FDSAUDITLINK__" hidden="1">{"fdsup://directions/FAT Viewer?action=UPDATE&amp;creator=factset&amp;DYN_ARGS=TRUE&amp;DOC_NAME=FAT:FQL_AUDITING_CLIENT_TEMPLATE.FAT&amp;display_string=Audit&amp;VAR:KEY=JATAZUNYTQ&amp;VAR:QUERY=RkZfRU5UUlBSX1ZBTF9EQUlMWSg0MTExMCwsLCwsJ0RJTCcp&amp;WINDOW=FIRST_POPUP&amp;HEIGHT=450&amp;WIDTH=","450&amp;START_MAXIMIZED=FALSE&amp;VAR:CALENDAR=US&amp;VAR:SYMBOL=450270&amp;VAR:INDEX=0"}</definedName>
    <definedName name="_3__FDSAUDITLINK___1" localSheetId="8" hidden="1">{"fdsup://directions/FAT Viewer?action=UPDATE&amp;creator=factset&amp;DYN_ARGS=TRUE&amp;DOC_NAME=FAT:FQL_AUDITING_CLIENT_TEMPLATE.FAT&amp;display_string=Audit&amp;VAR:KEY=GTQJQZGPSL&amp;VAR:QUERY=RkZfRUJJVERBX0lCKEFOTiwzOTQ0NywsLCxFVVIp&amp;WINDOW=FIRST_POPUP&amp;HEIGHT=450&amp;WIDTH=450&amp;STAR","T_MAXIMIZED=FALSE&amp;VAR:CALENDAR=FIVEDAY&amp;VAR:SYMBOL=591344&amp;VAR:INDEX=0"}</definedName>
    <definedName name="_3__FDSAUDITLINK___1" hidden="1">{"fdsup://directions/FAT Viewer?action=UPDATE&amp;creator=factset&amp;DYN_ARGS=TRUE&amp;DOC_NAME=FAT:FQL_AUDITING_CLIENT_TEMPLATE.FAT&amp;display_string=Audit&amp;VAR:KEY=GTQJQZGPSL&amp;VAR:QUERY=RkZfRUJJVERBX0lCKEFOTiwzOTQ0NywsLCxFVVIp&amp;WINDOW=FIRST_POPUP&amp;HEIGHT=450&amp;WIDTH=450&amp;STAR","T_MAXIMIZED=FALSE&amp;VAR:CALENDAR=FIVEDAY&amp;VAR:SYMBOL=591344&amp;VAR:INDEX=0"}</definedName>
    <definedName name="_3_0_0_K" hidden="1">#REF!</definedName>
    <definedName name="_3_123Graph_AB92" hidden="1">#REF!</definedName>
    <definedName name="_30__123Graph_BCHART_10" localSheetId="8" hidden="1">#REF!</definedName>
    <definedName name="_30__123Graph_BCHART_10" hidden="1">#REF!</definedName>
    <definedName name="_30__123Graph_BCHART_3" hidden="1">#REF!</definedName>
    <definedName name="_30__123Graph_DGRAFICO_1" localSheetId="8" hidden="1">#REF!</definedName>
    <definedName name="_30__123Graph_DGRAFICO_1" hidden="1">#REF!</definedName>
    <definedName name="_30__123Graph_ECHART_1" hidden="1">#REF!</definedName>
    <definedName name="_30__123Graph_LBL_ACHART_1" hidden="1">#REF!</definedName>
    <definedName name="_30__123Graph_XCHART_2" hidden="1">#N/A</definedName>
    <definedName name="_30__123Graph_XCHART_6" hidden="1">#REF!</definedName>
    <definedName name="_30__FDSAUDITLINK__" localSheetId="8" hidden="1">{"fdsup://directions/FAT Viewer?action=UPDATE&amp;creator=factset&amp;DYN_ARGS=TRUE&amp;DOC_NAME=FAT:FQL_AUDITING_CLIENT_TEMPLATE.FAT&amp;display_string=Audit&amp;VAR:KEY=GTKPGDEBCN&amp;VAR:QUERY=RkZfRUJJVERBX0lCKEFOTiwzNjUyNSwsLCxFVVIp&amp;WINDOW=FIRST_POPUP&amp;HEIGHT=450&amp;WIDTH=450&amp;STAR","T_MAXIMIZED=FALSE&amp;VAR:CALENDAR=FIVEDAY&amp;VAR:SYMBOL=591344&amp;VAR:INDEX=0"}</definedName>
    <definedName name="_30__FDSAUDITLINK__" hidden="1">{"fdsup://directions/FAT Viewer?action=UPDATE&amp;creator=factset&amp;DYN_ARGS=TRUE&amp;DOC_NAME=FAT:FQL_AUDITING_CLIENT_TEMPLATE.FAT&amp;display_string=Audit&amp;VAR:KEY=RCHMDIXSJM&amp;VAR:QUERY=RkZfU0FMRVMoQ0FMLDIwMDkp&amp;WINDOW=FIRST_POPUP&amp;HEIGHT=450&amp;WIDTH=450&amp;START_MAXIMIZED=FALS","E&amp;VAR:CALENDAR=US&amp;VAR:SYMBOL=450270&amp;VAR:INDEX=0"}</definedName>
    <definedName name="_30__FDSAUDITLINK___1" localSheetId="8" hidden="1">{"fdsup://directions/FAT Viewer?action=UPDATE&amp;creator=factset&amp;DYN_ARGS=TRUE&amp;DOC_NAME=FAT:FQL_AUDITING_CLIENT_TEMPLATE.FAT&amp;display_string=Audit&amp;VAR:KEY=GTKPGDEBCN&amp;VAR:QUERY=RkZfRUJJVERBX0lCKEFOTiwzNjUyNSwsLCxFVVIp&amp;WINDOW=FIRST_POPUP&amp;HEIGHT=450&amp;WIDTH=450&amp;STAR","T_MAXIMIZED=FALSE&amp;VAR:CALENDAR=FIVEDAY&amp;VAR:SYMBOL=591344&amp;VAR:INDEX=0"}</definedName>
    <definedName name="_30__FDSAUDITLINK___1" hidden="1">{"fdsup://directions/FAT Viewer?action=UPDATE&amp;creator=factset&amp;DYN_ARGS=TRUE&amp;DOC_NAME=FAT:FQL_AUDITING_CLIENT_TEMPLATE.FAT&amp;display_string=Audit&amp;VAR:KEY=GTKPGDEBCN&amp;VAR:QUERY=RkZfRUJJVERBX0lCKEFOTiwzNjUyNSwsLCxFVVIp&amp;WINDOW=FIRST_POPUP&amp;HEIGHT=450&amp;WIDTH=450&amp;STAR","T_MAXIMIZED=FALSE&amp;VAR:CALENDAR=FIVEDAY&amp;VAR:SYMBOL=591344&amp;VAR:INDEX=0"}</definedName>
    <definedName name="_30_0_0__123Graph_ADEL" hidden="1">#REF!</definedName>
    <definedName name="_300__FDSAUDITLINK__" localSheetId="8" hidden="1">{"fdsup://directions/FAT Viewer?action=UPDATE&amp;creator=factset&amp;DYN_ARGS=TRUE&amp;DOC_NAME=FAT:FQL_AUDITING_CLIENT_TEMPLATE.FAT&amp;display_string=Audit&amp;VAR:KEY=BOTCPALGLW&amp;VAR:QUERY=RkZfRUJJVERBX0lCKCdBTk4nLDM5MDgyLCwsLCdTRUsnKQ==&amp;WINDOW=FIRST_POPUP&amp;HEIGHT=450&amp;WIDTH=","450&amp;START_MAXIMIZED=FALSE&amp;VAR:CALENDAR=FIVEDAY&amp;VAR:SYMBOL=454047&amp;VAR:INDEX=0"}</definedName>
    <definedName name="_300__FDSAUDITLINK__" hidden="1">{"fdsup://directions/FAT Viewer?action=UPDATE&amp;creator=factset&amp;DYN_ARGS=TRUE&amp;DOC_NAME=FAT:FQL_AUDITING_CLIENT_TEMPLATE.FAT&amp;display_string=Audit&amp;VAR:KEY=WRIHEZWXUL&amp;VAR:QUERY=RkZfSU5UX0VYUF9ORVQoTFRNLDQxMDM2KQ==&amp;WINDOW=FIRST_POPUP&amp;HEIGHT=450&amp;WIDTH=450&amp;START_MA","XIMIZED=FALSE&amp;VAR:CALENDAR=US&amp;VAR:SYMBOL=VMC&amp;VAR:INDEX=0"}</definedName>
    <definedName name="_300__FDSAUDITLINK___1" localSheetId="8" hidden="1">{"fdsup://directions/FAT Viewer?action=UPDATE&amp;creator=factset&amp;DYN_ARGS=TRUE&amp;DOC_NAME=FAT:FQL_AUDITING_CLIENT_TEMPLATE.FAT&amp;display_string=Audit&amp;VAR:KEY=BOTCPALGLW&amp;VAR:QUERY=RkZfRUJJVERBX0lCKCdBTk4nLDM5MDgyLCwsLCdTRUsnKQ==&amp;WINDOW=FIRST_POPUP&amp;HEIGHT=450&amp;WIDTH=","450&amp;START_MAXIMIZED=FALSE&amp;VAR:CALENDAR=FIVEDAY&amp;VAR:SYMBOL=454047&amp;VAR:INDEX=0"}</definedName>
    <definedName name="_300__FDSAUDITLINK___1" hidden="1">{"fdsup://directions/FAT Viewer?action=UPDATE&amp;creator=factset&amp;DYN_ARGS=TRUE&amp;DOC_NAME=FAT:FQL_AUDITING_CLIENT_TEMPLATE.FAT&amp;display_string=Audit&amp;VAR:KEY=BOTCPALGLW&amp;VAR:QUERY=RkZfRUJJVERBX0lCKCdBTk4nLDM5MDgyLCwsLCdTRUsnKQ==&amp;WINDOW=FIRST_POPUP&amp;HEIGHT=450&amp;WIDTH=","450&amp;START_MAXIMIZED=FALSE&amp;VAR:CALENDAR=FIVEDAY&amp;VAR:SYMBOL=454047&amp;VAR:INDEX=0"}</definedName>
    <definedName name="_301__FDSAUDITLINK__" localSheetId="8" hidden="1">{"fdsup://directions/FAT Viewer?action=UPDATE&amp;creator=factset&amp;DYN_ARGS=TRUE&amp;DOC_NAME=FAT:FQL_AUDITING_CLIENT_TEMPLATE.FAT&amp;display_string=Audit&amp;VAR:KEY=FONQFILYLU&amp;VAR:QUERY=RkZfRUJJVERBX0lCKCdBTk4nLDM4NzE3LCwsLCdTRUsnKQ==&amp;WINDOW=FIRST_POPUP&amp;HEIGHT=450&amp;WIDTH=","450&amp;START_MAXIMIZED=FALSE&amp;VAR:CALENDAR=FIVEDAY&amp;VAR:SYMBOL=454047&amp;VAR:INDEX=0"}</definedName>
    <definedName name="_301__FDSAUDITLINK__" hidden="1">{"fdsup://Directions/FactSet Auditing Viewer?action=AUDIT_VALUE&amp;DB=129&amp;ID1=711075&amp;VALUEID=01149&amp;SDATE=2011&amp;PERIODTYPE=ANN_STD&amp;SCFT=3&amp;window=popup_no_bar&amp;width=385&amp;height=120&amp;START_MAXIMIZED=FALSE&amp;creator=factset&amp;display_string=Audit"}</definedName>
    <definedName name="_301__FDSAUDITLINK___1" localSheetId="8" hidden="1">{"fdsup://directions/FAT Viewer?action=UPDATE&amp;creator=factset&amp;DYN_ARGS=TRUE&amp;DOC_NAME=FAT:FQL_AUDITING_CLIENT_TEMPLATE.FAT&amp;display_string=Audit&amp;VAR:KEY=FONQFILYLU&amp;VAR:QUERY=RkZfRUJJVERBX0lCKCdBTk4nLDM4NzE3LCwsLCdTRUsnKQ==&amp;WINDOW=FIRST_POPUP&amp;HEIGHT=450&amp;WIDTH=","450&amp;START_MAXIMIZED=FALSE&amp;VAR:CALENDAR=FIVEDAY&amp;VAR:SYMBOL=454047&amp;VAR:INDEX=0"}</definedName>
    <definedName name="_301__FDSAUDITLINK___1" hidden="1">{"fdsup://directions/FAT Viewer?action=UPDATE&amp;creator=factset&amp;DYN_ARGS=TRUE&amp;DOC_NAME=FAT:FQL_AUDITING_CLIENT_TEMPLATE.FAT&amp;display_string=Audit&amp;VAR:KEY=FONQFILYLU&amp;VAR:QUERY=RkZfRUJJVERBX0lCKCdBTk4nLDM4NzE3LCwsLCdTRUsnKQ==&amp;WINDOW=FIRST_POPUP&amp;HEIGHT=450&amp;WIDTH=","450&amp;START_MAXIMIZED=FALSE&amp;VAR:CALENDAR=FIVEDAY&amp;VAR:SYMBOL=454047&amp;VAR:INDEX=0"}</definedName>
    <definedName name="_302__FDSAUDITLINK__" localSheetId="8" hidden="1">{"fdsup://directions/FAT Viewer?action=UPDATE&amp;creator=factset&amp;DYN_ARGS=TRUE&amp;DOC_NAME=FAT:FQL_AUDITING_CLIENT_TEMPLATE.FAT&amp;display_string=Audit&amp;VAR:KEY=HSLOXYDUXK&amp;VAR:QUERY=RkZfRUJJVERBX0lCKCdBTk4nLDM4MzUyLCwsLCdTRUsnKQ==&amp;WINDOW=FIRST_POPUP&amp;HEIGHT=450&amp;WIDTH=","450&amp;START_MAXIMIZED=FALSE&amp;VAR:CALENDAR=FIVEDAY&amp;VAR:SYMBOL=454047&amp;VAR:INDEX=0"}</definedName>
    <definedName name="_302__FDSAUDITLINK__" hidden="1">{"fdsup://directions/FAT Viewer?action=UPDATE&amp;creator=factset&amp;DYN_ARGS=TRUE&amp;DOC_NAME=FAT:FQL_AUDITING_CLIENT_TEMPLATE.FAT&amp;display_string=Audit&amp;VAR:KEY=EFWFMPENSH&amp;VAR:QUERY=RkZfRVBTKENBTCwyMDA5KSAqIDE=&amp;WINDOW=FIRST_POPUP&amp;HEIGHT=450&amp;WIDTH=450&amp;START_MAXIMIZED=","FALSE&amp;VAR:CALENDAR=US&amp;VAR:SYMBOL=EXP&amp;VAR:INDEX=0"}</definedName>
    <definedName name="_302__FDSAUDITLINK___1" localSheetId="8" hidden="1">{"fdsup://directions/FAT Viewer?action=UPDATE&amp;creator=factset&amp;DYN_ARGS=TRUE&amp;DOC_NAME=FAT:FQL_AUDITING_CLIENT_TEMPLATE.FAT&amp;display_string=Audit&amp;VAR:KEY=HSLOXYDUXK&amp;VAR:QUERY=RkZfRUJJVERBX0lCKCdBTk4nLDM4MzUyLCwsLCdTRUsnKQ==&amp;WINDOW=FIRST_POPUP&amp;HEIGHT=450&amp;WIDTH=","450&amp;START_MAXIMIZED=FALSE&amp;VAR:CALENDAR=FIVEDAY&amp;VAR:SYMBOL=454047&amp;VAR:INDEX=0"}</definedName>
    <definedName name="_302__FDSAUDITLINK___1" hidden="1">{"fdsup://directions/FAT Viewer?action=UPDATE&amp;creator=factset&amp;DYN_ARGS=TRUE&amp;DOC_NAME=FAT:FQL_AUDITING_CLIENT_TEMPLATE.FAT&amp;display_string=Audit&amp;VAR:KEY=HSLOXYDUXK&amp;VAR:QUERY=RkZfRUJJVERBX0lCKCdBTk4nLDM4MzUyLCwsLCdTRUsnKQ==&amp;WINDOW=FIRST_POPUP&amp;HEIGHT=450&amp;WIDTH=","450&amp;START_MAXIMIZED=FALSE&amp;VAR:CALENDAR=FIVEDAY&amp;VAR:SYMBOL=454047&amp;VAR:INDEX=0"}</definedName>
    <definedName name="_303__FDSAUDITLINK__" localSheetId="8" hidden="1">{"fdsup://directions/FAT Viewer?action=UPDATE&amp;creator=factset&amp;DYN_ARGS=TRUE&amp;DOC_NAME=FAT:FQL_AUDITING_CLIENT_TEMPLATE.FAT&amp;display_string=Audit&amp;VAR:KEY=JYFINGLGFO&amp;VAR:QUERY=RkZfRUJJVERBX0lCKCdBTk4nLDM3OTg2LCwsLCdTRUsnKQ==&amp;WINDOW=FIRST_POPUP&amp;HEIGHT=450&amp;WIDTH=","450&amp;START_MAXIMIZED=FALSE&amp;VAR:CALENDAR=FIVEDAY&amp;VAR:SYMBOL=454047&amp;VAR:INDEX=0"}</definedName>
    <definedName name="_303__FDSAUDITLINK__" hidden="1">{"fdsup://directions/FAT Viewer?action=UPDATE&amp;creator=factset&amp;DYN_ARGS=TRUE&amp;DOC_NAME=FAT:FQL_AUDITING_CLIENT_TEMPLATE.FAT&amp;display_string=Audit&amp;VAR:KEY=OTQHITQZGH&amp;VAR:QUERY=RkZfRUJJVF9PUEVSKENBTCwyMDEwKSAqIDE=&amp;WINDOW=FIRST_POPUP&amp;HEIGHT=450&amp;WIDTH=450&amp;START_MA","XIMIZED=FALSE&amp;VAR:CALENDAR=US&amp;VAR:SYMBOL=EXP&amp;VAR:INDEX=0"}</definedName>
    <definedName name="_303__FDSAUDITLINK___1" localSheetId="8" hidden="1">{"fdsup://directions/FAT Viewer?action=UPDATE&amp;creator=factset&amp;DYN_ARGS=TRUE&amp;DOC_NAME=FAT:FQL_AUDITING_CLIENT_TEMPLATE.FAT&amp;display_string=Audit&amp;VAR:KEY=JYFINGLGFO&amp;VAR:QUERY=RkZfRUJJVERBX0lCKCdBTk4nLDM3OTg2LCwsLCdTRUsnKQ==&amp;WINDOW=FIRST_POPUP&amp;HEIGHT=450&amp;WIDTH=","450&amp;START_MAXIMIZED=FALSE&amp;VAR:CALENDAR=FIVEDAY&amp;VAR:SYMBOL=454047&amp;VAR:INDEX=0"}</definedName>
    <definedName name="_303__FDSAUDITLINK___1" hidden="1">{"fdsup://directions/FAT Viewer?action=UPDATE&amp;creator=factset&amp;DYN_ARGS=TRUE&amp;DOC_NAME=FAT:FQL_AUDITING_CLIENT_TEMPLATE.FAT&amp;display_string=Audit&amp;VAR:KEY=JYFINGLGFO&amp;VAR:QUERY=RkZfRUJJVERBX0lCKCdBTk4nLDM3OTg2LCwsLCdTRUsnKQ==&amp;WINDOW=FIRST_POPUP&amp;HEIGHT=450&amp;WIDTH=","450&amp;START_MAXIMIZED=FALSE&amp;VAR:CALENDAR=FIVEDAY&amp;VAR:SYMBOL=454047&amp;VAR:INDEX=0"}</definedName>
    <definedName name="_304__FDSAUDITLINK__" localSheetId="8" hidden="1">{"fdsup://directions/FAT Viewer?action=UPDATE&amp;creator=factset&amp;DYN_ARGS=TRUE&amp;DOC_NAME=FAT:FQL_AUDITING_CLIENT_TEMPLATE.FAT&amp;display_string=Audit&amp;VAR:KEY=RMVGBKZUDS&amp;VAR:QUERY=RkZfRUJJVERBX0lCKCdBTk4nLDM3NjIxLCwsLCdTRUsnKQ==&amp;WINDOW=FIRST_POPUP&amp;HEIGHT=450&amp;WIDTH=","450&amp;START_MAXIMIZED=FALSE&amp;VAR:CALENDAR=FIVEDAY&amp;VAR:SYMBOL=454047&amp;VAR:INDEX=0"}</definedName>
    <definedName name="_304__FDSAUDITLINK__" hidden="1">{"fdsup://directions/FAT Viewer?action=UPDATE&amp;creator=factset&amp;DYN_ARGS=TRUE&amp;DOC_NAME=FAT:FQL_AUDITING_CLIENT_TEMPLATE.FAT&amp;display_string=Audit&amp;VAR:KEY=GPILSNMVSJ&amp;VAR:QUERY=RkZfSU5UX0VYUF9ORVQoTFRNLDQxMDM2KQ==&amp;WINDOW=FIRST_POPUP&amp;HEIGHT=450&amp;WIDTH=450&amp;START_MA","XIMIZED=FALSE&amp;VAR:CALENDAR=US&amp;VAR:SYMBOL=EXP&amp;VAR:INDEX=0"}</definedName>
    <definedName name="_304__FDSAUDITLINK___1" localSheetId="8" hidden="1">{"fdsup://directions/FAT Viewer?action=UPDATE&amp;creator=factset&amp;DYN_ARGS=TRUE&amp;DOC_NAME=FAT:FQL_AUDITING_CLIENT_TEMPLATE.FAT&amp;display_string=Audit&amp;VAR:KEY=RMVGBKZUDS&amp;VAR:QUERY=RkZfRUJJVERBX0lCKCdBTk4nLDM3NjIxLCwsLCdTRUsnKQ==&amp;WINDOW=FIRST_POPUP&amp;HEIGHT=450&amp;WIDTH=","450&amp;START_MAXIMIZED=FALSE&amp;VAR:CALENDAR=FIVEDAY&amp;VAR:SYMBOL=454047&amp;VAR:INDEX=0"}</definedName>
    <definedName name="_304__FDSAUDITLINK___1" hidden="1">{"fdsup://directions/FAT Viewer?action=UPDATE&amp;creator=factset&amp;DYN_ARGS=TRUE&amp;DOC_NAME=FAT:FQL_AUDITING_CLIENT_TEMPLATE.FAT&amp;display_string=Audit&amp;VAR:KEY=RMVGBKZUDS&amp;VAR:QUERY=RkZfRUJJVERBX0lCKCdBTk4nLDM3NjIxLCwsLCdTRUsnKQ==&amp;WINDOW=FIRST_POPUP&amp;HEIGHT=450&amp;WIDTH=","450&amp;START_MAXIMIZED=FALSE&amp;VAR:CALENDAR=FIVEDAY&amp;VAR:SYMBOL=454047&amp;VAR:INDEX=0"}</definedName>
    <definedName name="_305__FDSAUDITLINK__" localSheetId="8" hidden="1">{"fdsup://directions/FAT Viewer?action=UPDATE&amp;creator=factset&amp;DYN_ARGS=TRUE&amp;DOC_NAME=FAT:FQL_AUDITING_CLIENT_TEMPLATE.FAT&amp;display_string=Audit&amp;VAR:KEY=TGLYZYRCFC&amp;VAR:QUERY=RkZfRUJJVERBX0lCKCdBTk4nLDM3MjU2LCwsLCdTRUsnKQ==&amp;WINDOW=FIRST_POPUP&amp;HEIGHT=450&amp;WIDTH=","450&amp;START_MAXIMIZED=FALSE&amp;VAR:CALENDAR=FIVEDAY&amp;VAR:SYMBOL=454047&amp;VAR:INDEX=0"}</definedName>
    <definedName name="_305__FDSAUDITLINK__" hidden="1">{"fdsup://Directions/FactSet Auditing Viewer?action=AUDIT_VALUE&amp;DB=129&amp;ID1=26969P10&amp;VALUEID=01001&amp;SDATE=2011&amp;PERIODTYPE=ANN_STD&amp;SCFT=3&amp;window=popup_no_bar&amp;width=385&amp;height=120&amp;START_MAXIMIZED=FALSE&amp;creator=factset&amp;display_string=Audit"}</definedName>
    <definedName name="_305__FDSAUDITLINK___1" localSheetId="8" hidden="1">{"fdsup://directions/FAT Viewer?action=UPDATE&amp;creator=factset&amp;DYN_ARGS=TRUE&amp;DOC_NAME=FAT:FQL_AUDITING_CLIENT_TEMPLATE.FAT&amp;display_string=Audit&amp;VAR:KEY=TGLYZYRCFC&amp;VAR:QUERY=RkZfRUJJVERBX0lCKCdBTk4nLDM3MjU2LCwsLCdTRUsnKQ==&amp;WINDOW=FIRST_POPUP&amp;HEIGHT=450&amp;WIDTH=","450&amp;START_MAXIMIZED=FALSE&amp;VAR:CALENDAR=FIVEDAY&amp;VAR:SYMBOL=454047&amp;VAR:INDEX=0"}</definedName>
    <definedName name="_305__FDSAUDITLINK___1" hidden="1">{"fdsup://directions/FAT Viewer?action=UPDATE&amp;creator=factset&amp;DYN_ARGS=TRUE&amp;DOC_NAME=FAT:FQL_AUDITING_CLIENT_TEMPLATE.FAT&amp;display_string=Audit&amp;VAR:KEY=TGLYZYRCFC&amp;VAR:QUERY=RkZfRUJJVERBX0lCKCdBTk4nLDM3MjU2LCwsLCdTRUsnKQ==&amp;WINDOW=FIRST_POPUP&amp;HEIGHT=450&amp;WIDTH=","450&amp;START_MAXIMIZED=FALSE&amp;VAR:CALENDAR=FIVEDAY&amp;VAR:SYMBOL=454047&amp;VAR:INDEX=0"}</definedName>
    <definedName name="_306__FDSAUDITLINK__" localSheetId="8" hidden="1">{"fdsup://directions/FAT Viewer?action=UPDATE&amp;creator=factset&amp;DYN_ARGS=TRUE&amp;DOC_NAME=FAT:FQL_AUDITING_CLIENT_TEMPLATE.FAT&amp;display_string=Audit&amp;VAR:KEY=JOFSJYHMHE&amp;VAR:QUERY=RkZfRUJJVERBX0lCKCdBTk4nLDM2ODkxLCwsLCdTRUsnKQ==&amp;WINDOW=FIRST_POPUP&amp;HEIGHT=450&amp;WIDTH=","450&amp;START_MAXIMIZED=FALSE&amp;VAR:CALENDAR=FIVEDAY&amp;VAR:SYMBOL=454047&amp;VAR:INDEX=0"}</definedName>
    <definedName name="_306__FDSAUDITLINK__" hidden="1">{"fdsup://directions/FAT Viewer?action=UPDATE&amp;creator=factset&amp;DYN_ARGS=TRUE&amp;DOC_NAME=FAT:FQL_AUDITING_CLIENT_TEMPLATE.FAT&amp;display_string=Audit&amp;VAR:KEY=JOFSJYHMHE&amp;VAR:QUERY=RkZfRUJJVERBX0lCKCdBTk4nLDM2ODkxLCwsLCdTRUsnKQ==&amp;WINDOW=FIRST_POPUP&amp;HEIGHT=450&amp;WIDTH=","450&amp;START_MAXIMIZED=FALSE&amp;VAR:CALENDAR=FIVEDAY&amp;VAR:SYMBOL=454047&amp;VAR:INDEX=0"}</definedName>
    <definedName name="_306__FDSAUDITLINK___1" localSheetId="8" hidden="1">{"fdsup://directions/FAT Viewer?action=UPDATE&amp;creator=factset&amp;DYN_ARGS=TRUE&amp;DOC_NAME=FAT:FQL_AUDITING_CLIENT_TEMPLATE.FAT&amp;display_string=Audit&amp;VAR:KEY=JOFSJYHMHE&amp;VAR:QUERY=RkZfRUJJVERBX0lCKCdBTk4nLDM2ODkxLCwsLCdTRUsnKQ==&amp;WINDOW=FIRST_POPUP&amp;HEIGHT=450&amp;WIDTH=","450&amp;START_MAXIMIZED=FALSE&amp;VAR:CALENDAR=FIVEDAY&amp;VAR:SYMBOL=454047&amp;VAR:INDEX=0"}</definedName>
    <definedName name="_306__FDSAUDITLINK___1" hidden="1">{"fdsup://directions/FAT Viewer?action=UPDATE&amp;creator=factset&amp;DYN_ARGS=TRUE&amp;DOC_NAME=FAT:FQL_AUDITING_CLIENT_TEMPLATE.FAT&amp;display_string=Audit&amp;VAR:KEY=JOFSJYHMHE&amp;VAR:QUERY=RkZfRUJJVERBX0lCKCdBTk4nLDM2ODkxLCwsLCdTRUsnKQ==&amp;WINDOW=FIRST_POPUP&amp;HEIGHT=450&amp;WIDTH=","450&amp;START_MAXIMIZED=FALSE&amp;VAR:CALENDAR=FIVEDAY&amp;VAR:SYMBOL=454047&amp;VAR:INDEX=0"}</definedName>
    <definedName name="_307__FDSAUDITLINK__" localSheetId="8" hidden="1">{"fdsup://directions/FAT Viewer?action=UPDATE&amp;creator=factset&amp;DYN_ARGS=TRUE&amp;DOC_NAME=FAT:FQL_AUDITING_CLIENT_TEMPLATE.FAT&amp;display_string=Audit&amp;VAR:KEY=JUNIHADKPA&amp;VAR:QUERY=RkZfRUJJVERBX0lCKCdBTk4nLDM2NTI1LCwsLCdTRUsnKQ==&amp;WINDOW=FIRST_POPUP&amp;HEIGHT=450&amp;WIDTH=","450&amp;START_MAXIMIZED=FALSE&amp;VAR:CALENDAR=FIVEDAY&amp;VAR:SYMBOL=454047&amp;VAR:INDEX=0"}</definedName>
    <definedName name="_307__FDSAUDITLINK__" hidden="1">{"fdsup://directions/FAT Viewer?action=UPDATE&amp;creator=factset&amp;DYN_ARGS=TRUE&amp;DOC_NAME=FAT:FQL_AUDITING_CLIENT_TEMPLATE.FAT&amp;display_string=Audit&amp;VAR:KEY=JUNIHADKPA&amp;VAR:QUERY=RkZfRUJJVERBX0lCKCdBTk4nLDM2NTI1LCwsLCdTRUsnKQ==&amp;WINDOW=FIRST_POPUP&amp;HEIGHT=450&amp;WIDTH=","450&amp;START_MAXIMIZED=FALSE&amp;VAR:CALENDAR=FIVEDAY&amp;VAR:SYMBOL=454047&amp;VAR:INDEX=0"}</definedName>
    <definedName name="_307__FDSAUDITLINK___1" localSheetId="8" hidden="1">{"fdsup://directions/FAT Viewer?action=UPDATE&amp;creator=factset&amp;DYN_ARGS=TRUE&amp;DOC_NAME=FAT:FQL_AUDITING_CLIENT_TEMPLATE.FAT&amp;display_string=Audit&amp;VAR:KEY=JUNIHADKPA&amp;VAR:QUERY=RkZfRUJJVERBX0lCKCdBTk4nLDM2NTI1LCwsLCdTRUsnKQ==&amp;WINDOW=FIRST_POPUP&amp;HEIGHT=450&amp;WIDTH=","450&amp;START_MAXIMIZED=FALSE&amp;VAR:CALENDAR=FIVEDAY&amp;VAR:SYMBOL=454047&amp;VAR:INDEX=0"}</definedName>
    <definedName name="_307__FDSAUDITLINK___1" hidden="1">{"fdsup://directions/FAT Viewer?action=UPDATE&amp;creator=factset&amp;DYN_ARGS=TRUE&amp;DOC_NAME=FAT:FQL_AUDITING_CLIENT_TEMPLATE.FAT&amp;display_string=Audit&amp;VAR:KEY=JUNIHADKPA&amp;VAR:QUERY=RkZfRUJJVERBX0lCKCdBTk4nLDM2NTI1LCwsLCdTRUsnKQ==&amp;WINDOW=FIRST_POPUP&amp;HEIGHT=450&amp;WIDTH=","450&amp;START_MAXIMIZED=FALSE&amp;VAR:CALENDAR=FIVEDAY&amp;VAR:SYMBOL=454047&amp;VAR:INDEX=0"}</definedName>
    <definedName name="_308__FDSAUDITLINK__" localSheetId="8" hidden="1">{"fdsup://directions/FAT Viewer?action=UPDATE&amp;creator=factset&amp;DYN_ARGS=TRUE&amp;DOC_NAME=FAT:FQL_AUDITING_CLIENT_TEMPLATE.FAT&amp;display_string=Audit&amp;VAR:KEY=XATQDEXQHY&amp;VAR:QUERY=RkZfRUJJVERBX0lCKCdBTk4nLDM2MTYwLCwsLCdTRUsnKQ==&amp;WINDOW=FIRST_POPUP&amp;HEIGHT=450&amp;WIDTH=","450&amp;START_MAXIMIZED=FALSE&amp;VAR:CALENDAR=FIVEDAY&amp;VAR:SYMBOL=454047&amp;VAR:INDEX=0"}</definedName>
    <definedName name="_308__FDSAUDITLINK__" hidden="1">{"fdsup://directions/FAT Viewer?action=UPDATE&amp;creator=factset&amp;DYN_ARGS=TRUE&amp;DOC_NAME=FAT:FQL_AUDITING_CLIENT_TEMPLATE.FAT&amp;display_string=Audit&amp;VAR:KEY=WDMDKZOFQH&amp;VAR:QUERY=RkZfSU5UX0VYUF9ORVQoTFRNLDQxMTEwKQ==&amp;WINDOW=FIRST_POPUP&amp;HEIGHT=450&amp;WIDTH=450&amp;START_MA","XIMIZED=FALSE&amp;VAR:CALENDAR=US&amp;VAR:SYMBOL=450270&amp;VAR:INDEX=0"}</definedName>
    <definedName name="_308__FDSAUDITLINK___1" localSheetId="8" hidden="1">{"fdsup://directions/FAT Viewer?action=UPDATE&amp;creator=factset&amp;DYN_ARGS=TRUE&amp;DOC_NAME=FAT:FQL_AUDITING_CLIENT_TEMPLATE.FAT&amp;display_string=Audit&amp;VAR:KEY=XATQDEXQHY&amp;VAR:QUERY=RkZfRUJJVERBX0lCKCdBTk4nLDM2MTYwLCwsLCdTRUsnKQ==&amp;WINDOW=FIRST_POPUP&amp;HEIGHT=450&amp;WIDTH=","450&amp;START_MAXIMIZED=FALSE&amp;VAR:CALENDAR=FIVEDAY&amp;VAR:SYMBOL=454047&amp;VAR:INDEX=0"}</definedName>
    <definedName name="_308__FDSAUDITLINK___1" hidden="1">{"fdsup://directions/FAT Viewer?action=UPDATE&amp;creator=factset&amp;DYN_ARGS=TRUE&amp;DOC_NAME=FAT:FQL_AUDITING_CLIENT_TEMPLATE.FAT&amp;display_string=Audit&amp;VAR:KEY=XATQDEXQHY&amp;VAR:QUERY=RkZfRUJJVERBX0lCKCdBTk4nLDM2MTYwLCwsLCdTRUsnKQ==&amp;WINDOW=FIRST_POPUP&amp;HEIGHT=450&amp;WIDTH=","450&amp;START_MAXIMIZED=FALSE&amp;VAR:CALENDAR=FIVEDAY&amp;VAR:SYMBOL=454047&amp;VAR:INDEX=0"}</definedName>
    <definedName name="_309__FDSAUDITLINK__" localSheetId="8" hidden="1">{"fdsup://directions/FAT Viewer?action=UPDATE&amp;creator=factset&amp;DYN_ARGS=TRUE&amp;DOC_NAME=FAT:FQL_AUDITING_CLIENT_TEMPLATE.FAT&amp;display_string=Audit&amp;VAR:KEY=LWHEZWBETS&amp;VAR:QUERY=RkZfRUJJVERBX0lCKCdBTk4nLDM1Nzk1LCwsLCdTRUsnKQ==&amp;WINDOW=FIRST_POPUP&amp;HEIGHT=450&amp;WIDTH=","450&amp;START_MAXIMIZED=FALSE&amp;VAR:CALENDAR=FIVEDAY&amp;VAR:SYMBOL=454047&amp;VAR:INDEX=0"}</definedName>
    <definedName name="_309__FDSAUDITLINK__" hidden="1">{"fdsup://directions/FAT Viewer?action=UPDATE&amp;creator=factset&amp;DYN_ARGS=TRUE&amp;DOC_NAME=FAT:FQL_AUDITING_CLIENT_TEMPLATE.FAT&amp;display_string=Audit&amp;VAR:KEY=LWHEZWBETS&amp;VAR:QUERY=RkZfRUJJVERBX0lCKCdBTk4nLDM1Nzk1LCwsLCdTRUsnKQ==&amp;WINDOW=FIRST_POPUP&amp;HEIGHT=450&amp;WIDTH=","450&amp;START_MAXIMIZED=FALSE&amp;VAR:CALENDAR=FIVEDAY&amp;VAR:SYMBOL=454047&amp;VAR:INDEX=0"}</definedName>
    <definedName name="_309__FDSAUDITLINK___1" localSheetId="8" hidden="1">{"fdsup://directions/FAT Viewer?action=UPDATE&amp;creator=factset&amp;DYN_ARGS=TRUE&amp;DOC_NAME=FAT:FQL_AUDITING_CLIENT_TEMPLATE.FAT&amp;display_string=Audit&amp;VAR:KEY=LWHEZWBETS&amp;VAR:QUERY=RkZfRUJJVERBX0lCKCdBTk4nLDM1Nzk1LCwsLCdTRUsnKQ==&amp;WINDOW=FIRST_POPUP&amp;HEIGHT=450&amp;WIDTH=","450&amp;START_MAXIMIZED=FALSE&amp;VAR:CALENDAR=FIVEDAY&amp;VAR:SYMBOL=454047&amp;VAR:INDEX=0"}</definedName>
    <definedName name="_309__FDSAUDITLINK___1" hidden="1">{"fdsup://directions/FAT Viewer?action=UPDATE&amp;creator=factset&amp;DYN_ARGS=TRUE&amp;DOC_NAME=FAT:FQL_AUDITING_CLIENT_TEMPLATE.FAT&amp;display_string=Audit&amp;VAR:KEY=LWHEZWBETS&amp;VAR:QUERY=RkZfRUJJVERBX0lCKCdBTk4nLDM1Nzk1LCwsLCdTRUsnKQ==&amp;WINDOW=FIRST_POPUP&amp;HEIGHT=450&amp;WIDTH=","450&amp;START_MAXIMIZED=FALSE&amp;VAR:CALENDAR=FIVEDAY&amp;VAR:SYMBOL=454047&amp;VAR:INDEX=0"}</definedName>
    <definedName name="_31__123Graph_BCHART_12" hidden="1">#REF!</definedName>
    <definedName name="_31__123Graph_BCHART_4" hidden="1">#REF!</definedName>
    <definedName name="_31__123Graph_DGRAFICO_16" localSheetId="8" hidden="1">#REF!</definedName>
    <definedName name="_31__123Graph_DGRAFICO_16" hidden="1">#REF!</definedName>
    <definedName name="_31__123Graph_LBL_ACHART_3" hidden="1">#REF!</definedName>
    <definedName name="_31__123Graph_XCHART_5" hidden="1">#N/A</definedName>
    <definedName name="_31__123Graph_XCHART_7" hidden="1">#REF!</definedName>
    <definedName name="_31__123Graph_XCHART_8" hidden="1">#REF!</definedName>
    <definedName name="_31__FDSAUDITLINK__" localSheetId="8" hidden="1">{"fdsup://directions/FAT Viewer?action=UPDATE&amp;creator=factset&amp;DYN_ARGS=TRUE&amp;DOC_NAME=FAT:FQL_AUDITING_CLIENT_TEMPLATE.FAT&amp;display_string=Audit&amp;VAR:KEY=WNGJMDARGJ&amp;VAR:QUERY=RkZfRUJJVERBX0lCKEFOTiwzNjE2MCwsLCxFVVIp&amp;WINDOW=FIRST_POPUP&amp;HEIGHT=450&amp;WIDTH=450&amp;STAR","T_MAXIMIZED=FALSE&amp;VAR:CALENDAR=FIVEDAY&amp;VAR:SYMBOL=591344&amp;VAR:INDEX=0"}</definedName>
    <definedName name="_31__FDSAUDITLINK__" hidden="1">{"fdsup://directions/FAT Viewer?action=UPDATE&amp;creator=factset&amp;DYN_ARGS=TRUE&amp;DOC_NAME=FAT:FQL_AUDITING_CLIENT_TEMPLATE.FAT&amp;display_string=Audit&amp;VAR:KEY=QVMDQHQTYR&amp;VAR:QUERY=RkZfU0FMRVMoQ0FMLDIwMDkp&amp;WINDOW=FIRST_POPUP&amp;HEIGHT=450&amp;WIDTH=450&amp;START_MAXIMIZED=FALS","E&amp;VAR:CALENDAR=US&amp;VAR:SYMBOL=BLDR&amp;VAR:INDEX=0"}</definedName>
    <definedName name="_31__FDSAUDITLINK___1" localSheetId="8" hidden="1">{"fdsup://directions/FAT Viewer?action=UPDATE&amp;creator=factset&amp;DYN_ARGS=TRUE&amp;DOC_NAME=FAT:FQL_AUDITING_CLIENT_TEMPLATE.FAT&amp;display_string=Audit&amp;VAR:KEY=WNGJMDARGJ&amp;VAR:QUERY=RkZfRUJJVERBX0lCKEFOTiwzNjE2MCwsLCxFVVIp&amp;WINDOW=FIRST_POPUP&amp;HEIGHT=450&amp;WIDTH=450&amp;STAR","T_MAXIMIZED=FALSE&amp;VAR:CALENDAR=FIVEDAY&amp;VAR:SYMBOL=591344&amp;VAR:INDEX=0"}</definedName>
    <definedName name="_31__FDSAUDITLINK___1" hidden="1">{"fdsup://directions/FAT Viewer?action=UPDATE&amp;creator=factset&amp;DYN_ARGS=TRUE&amp;DOC_NAME=FAT:FQL_AUDITING_CLIENT_TEMPLATE.FAT&amp;display_string=Audit&amp;VAR:KEY=WNGJMDARGJ&amp;VAR:QUERY=RkZfRUJJVERBX0lCKEFOTiwzNjE2MCwsLCxFVVIp&amp;WINDOW=FIRST_POPUP&amp;HEIGHT=450&amp;WIDTH=450&amp;STAR","T_MAXIMIZED=FALSE&amp;VAR:CALENDAR=FIVEDAY&amp;VAR:SYMBOL=591344&amp;VAR:INDEX=0"}</definedName>
    <definedName name="_31_0_0__123Graph_ADELCO" hidden="1">#REF!</definedName>
    <definedName name="_310__FDSAUDITLINK__" localSheetId="8" hidden="1">{"fdsup://directions/FAT Viewer?action=UPDATE&amp;creator=factset&amp;DYN_ARGS=TRUE&amp;DOC_NAME=FAT:FQL_AUDITING_CLIENT_TEMPLATE.FAT&amp;display_string=Audit&amp;VAR:KEY=PUNQLCTAJW&amp;VAR:QUERY=RkZfRUJJVERBX0lCKCdBTk4nLDM1NDMwLCwsLCdTRUsnKQ==&amp;WINDOW=FIRST_POPUP&amp;HEIGHT=450&amp;WIDTH=","450&amp;START_MAXIMIZED=FALSE&amp;VAR:CALENDAR=FIVEDAY&amp;VAR:SYMBOL=454047&amp;VAR:INDEX=0"}</definedName>
    <definedName name="_310__FDSAUDITLINK__" hidden="1">{"fdsup://directions/FAT Viewer?action=UPDATE&amp;creator=factset&amp;DYN_ARGS=TRUE&amp;DOC_NAME=FAT:FQL_AUDITING_CLIENT_TEMPLATE.FAT&amp;display_string=Audit&amp;VAR:KEY=PUNQLCTAJW&amp;VAR:QUERY=RkZfRUJJVERBX0lCKCdBTk4nLDM1NDMwLCwsLCdTRUsnKQ==&amp;WINDOW=FIRST_POPUP&amp;HEIGHT=450&amp;WIDTH=","450&amp;START_MAXIMIZED=FALSE&amp;VAR:CALENDAR=FIVEDAY&amp;VAR:SYMBOL=454047&amp;VAR:INDEX=0"}</definedName>
    <definedName name="_310__FDSAUDITLINK___1" localSheetId="8" hidden="1">{"fdsup://directions/FAT Viewer?action=UPDATE&amp;creator=factset&amp;DYN_ARGS=TRUE&amp;DOC_NAME=FAT:FQL_AUDITING_CLIENT_TEMPLATE.FAT&amp;display_string=Audit&amp;VAR:KEY=PUNQLCTAJW&amp;VAR:QUERY=RkZfRUJJVERBX0lCKCdBTk4nLDM1NDMwLCwsLCdTRUsnKQ==&amp;WINDOW=FIRST_POPUP&amp;HEIGHT=450&amp;WIDTH=","450&amp;START_MAXIMIZED=FALSE&amp;VAR:CALENDAR=FIVEDAY&amp;VAR:SYMBOL=454047&amp;VAR:INDEX=0"}</definedName>
    <definedName name="_310__FDSAUDITLINK___1" hidden="1">{"fdsup://directions/FAT Viewer?action=UPDATE&amp;creator=factset&amp;DYN_ARGS=TRUE&amp;DOC_NAME=FAT:FQL_AUDITING_CLIENT_TEMPLATE.FAT&amp;display_string=Audit&amp;VAR:KEY=PUNQLCTAJW&amp;VAR:QUERY=RkZfRUJJVERBX0lCKCdBTk4nLDM1NDMwLCwsLCdTRUsnKQ==&amp;WINDOW=FIRST_POPUP&amp;HEIGHT=450&amp;WIDTH=","450&amp;START_MAXIMIZED=FALSE&amp;VAR:CALENDAR=FIVEDAY&amp;VAR:SYMBOL=454047&amp;VAR:INDEX=0"}</definedName>
    <definedName name="_311__FDSAUDITLINK__" localSheetId="8" hidden="1">{"fdsup://directions/FAT Viewer?action=UPDATE&amp;creator=factset&amp;DYN_ARGS=TRUE&amp;DOC_NAME=FAT:FQL_AUDITING_CLIENT_TEMPLATE.FAT&amp;display_string=Audit&amp;VAR:KEY=BOLQFIZABO&amp;VAR:QUERY=RkZfRUJJVERBX0lCKCdBTk4nLDM1MDY0LCwsLCdTRUsnKQ==&amp;WINDOW=FIRST_POPUP&amp;HEIGHT=450&amp;WIDTH=","450&amp;START_MAXIMIZED=FALSE&amp;VAR:CALENDAR=FIVEDAY&amp;VAR:SYMBOL=454047&amp;VAR:INDEX=0"}</definedName>
    <definedName name="_311__FDSAUDITLINK__" hidden="1">{"fdsup://directions/FAT Viewer?action=UPDATE&amp;creator=factset&amp;DYN_ARGS=TRUE&amp;DOC_NAME=FAT:FQL_AUDITING_CLIENT_TEMPLATE.FAT&amp;display_string=Audit&amp;VAR:KEY=BOLQFIZABO&amp;VAR:QUERY=RkZfRUJJVERBX0lCKCdBTk4nLDM1MDY0LCwsLCdTRUsnKQ==&amp;WINDOW=FIRST_POPUP&amp;HEIGHT=450&amp;WIDTH=","450&amp;START_MAXIMIZED=FALSE&amp;VAR:CALENDAR=FIVEDAY&amp;VAR:SYMBOL=454047&amp;VAR:INDEX=0"}</definedName>
    <definedName name="_311__FDSAUDITLINK___1" localSheetId="8" hidden="1">{"fdsup://directions/FAT Viewer?action=UPDATE&amp;creator=factset&amp;DYN_ARGS=TRUE&amp;DOC_NAME=FAT:FQL_AUDITING_CLIENT_TEMPLATE.FAT&amp;display_string=Audit&amp;VAR:KEY=BOLQFIZABO&amp;VAR:QUERY=RkZfRUJJVERBX0lCKCdBTk4nLDM1MDY0LCwsLCdTRUsnKQ==&amp;WINDOW=FIRST_POPUP&amp;HEIGHT=450&amp;WIDTH=","450&amp;START_MAXIMIZED=FALSE&amp;VAR:CALENDAR=FIVEDAY&amp;VAR:SYMBOL=454047&amp;VAR:INDEX=0"}</definedName>
    <definedName name="_311__FDSAUDITLINK___1" hidden="1">{"fdsup://directions/FAT Viewer?action=UPDATE&amp;creator=factset&amp;DYN_ARGS=TRUE&amp;DOC_NAME=FAT:FQL_AUDITING_CLIENT_TEMPLATE.FAT&amp;display_string=Audit&amp;VAR:KEY=BOLQFIZABO&amp;VAR:QUERY=RkZfRUJJVERBX0lCKCdBTk4nLDM1MDY0LCwsLCdTRUsnKQ==&amp;WINDOW=FIRST_POPUP&amp;HEIGHT=450&amp;WIDTH=","450&amp;START_MAXIMIZED=FALSE&amp;VAR:CALENDAR=FIVEDAY&amp;VAR:SYMBOL=454047&amp;VAR:INDEX=0"}</definedName>
    <definedName name="_312__FDSAUDITLINK__" localSheetId="8" hidden="1">{"fdsup://directions/FAT Viewer?action=UPDATE&amp;creator=factset&amp;DYN_ARGS=TRUE&amp;DOC_NAME=FAT:FQL_AUDITING_CLIENT_TEMPLATE.FAT&amp;display_string=Audit&amp;VAR:KEY=PKZSXCZOTY&amp;VAR:QUERY=RkZfRUJJVERBX0lCKCdBTk4nLDM0Njk5LCwsLCdTRUsnKQ==&amp;WINDOW=FIRST_POPUP&amp;HEIGHT=450&amp;WIDTH=","450&amp;START_MAXIMIZED=FALSE&amp;VAR:CALENDAR=FIVEDAY&amp;VAR:SYMBOL=454047&amp;VAR:INDEX=0"}</definedName>
    <definedName name="_312__FDSAUDITLINK__" hidden="1">{"fdsup://directions/FAT Viewer?action=UPDATE&amp;creator=factset&amp;DYN_ARGS=TRUE&amp;DOC_NAME=FAT:FQL_AUDITING_CLIENT_TEMPLATE.FAT&amp;display_string=Audit&amp;VAR:KEY=NORINORAXW&amp;VAR:QUERY=RkZfSU5UX0VYUF9ORVQoTFRNLDQxMTEwKQ==&amp;WINDOW=FIRST_POPUP&amp;HEIGHT=450&amp;WIDTH=450&amp;START_MA","XIMIZED=FALSE&amp;VAR:CALENDAR=US&amp;VAR:SYMBOL=MLM&amp;VAR:INDEX=0"}</definedName>
    <definedName name="_312__FDSAUDITLINK___1" localSheetId="8" hidden="1">{"fdsup://directions/FAT Viewer?action=UPDATE&amp;creator=factset&amp;DYN_ARGS=TRUE&amp;DOC_NAME=FAT:FQL_AUDITING_CLIENT_TEMPLATE.FAT&amp;display_string=Audit&amp;VAR:KEY=PKZSXCZOTY&amp;VAR:QUERY=RkZfRUJJVERBX0lCKCdBTk4nLDM0Njk5LCwsLCdTRUsnKQ==&amp;WINDOW=FIRST_POPUP&amp;HEIGHT=450&amp;WIDTH=","450&amp;START_MAXIMIZED=FALSE&amp;VAR:CALENDAR=FIVEDAY&amp;VAR:SYMBOL=454047&amp;VAR:INDEX=0"}</definedName>
    <definedName name="_312__FDSAUDITLINK___1" hidden="1">{"fdsup://directions/FAT Viewer?action=UPDATE&amp;creator=factset&amp;DYN_ARGS=TRUE&amp;DOC_NAME=FAT:FQL_AUDITING_CLIENT_TEMPLATE.FAT&amp;display_string=Audit&amp;VAR:KEY=PKZSXCZOTY&amp;VAR:QUERY=RkZfRUJJVERBX0lCKCdBTk4nLDM0Njk5LCwsLCdTRUsnKQ==&amp;WINDOW=FIRST_POPUP&amp;HEIGHT=450&amp;WIDTH=","450&amp;START_MAXIMIZED=FALSE&amp;VAR:CALENDAR=FIVEDAY&amp;VAR:SYMBOL=454047&amp;VAR:INDEX=0"}</definedName>
    <definedName name="_313__FDSAUDITLINK__" localSheetId="8" hidden="1">{"fdsup://directions/FAT Viewer?action=UPDATE&amp;creator=factset&amp;DYN_ARGS=TRUE&amp;DOC_NAME=FAT:FQL_AUDITING_CLIENT_TEMPLATE.FAT&amp;display_string=Audit&amp;VAR:KEY=FSTENULUTC&amp;VAR:QUERY=RkZfRUJJVERBX0lCKCdBTk4nLDM0MzM0LCwsLCdTRUsnKQ==&amp;WINDOW=FIRST_POPUP&amp;HEIGHT=450&amp;WIDTH=","450&amp;START_MAXIMIZED=FALSE&amp;VAR:CALENDAR=FIVEDAY&amp;VAR:SYMBOL=454047&amp;VAR:INDEX=0"}</definedName>
    <definedName name="_313__FDSAUDITLINK__" hidden="1">{"fdsup://Directions/FactSet Auditing Viewer?action=AUDIT_VALUE&amp;DB=129&amp;ID1=92916010&amp;VALUEID=01149&amp;SDATE=2011&amp;PERIODTYPE=ANN_STD&amp;SCFT=3&amp;window=popup_no_bar&amp;width=385&amp;height=120&amp;START_MAXIMIZED=FALSE&amp;creator=factset&amp;display_string=Audit"}</definedName>
    <definedName name="_313__FDSAUDITLINK___1" localSheetId="8" hidden="1">{"fdsup://directions/FAT Viewer?action=UPDATE&amp;creator=factset&amp;DYN_ARGS=TRUE&amp;DOC_NAME=FAT:FQL_AUDITING_CLIENT_TEMPLATE.FAT&amp;display_string=Audit&amp;VAR:KEY=FSTENULUTC&amp;VAR:QUERY=RkZfRUJJVERBX0lCKCdBTk4nLDM0MzM0LCwsLCdTRUsnKQ==&amp;WINDOW=FIRST_POPUP&amp;HEIGHT=450&amp;WIDTH=","450&amp;START_MAXIMIZED=FALSE&amp;VAR:CALENDAR=FIVEDAY&amp;VAR:SYMBOL=454047&amp;VAR:INDEX=0"}</definedName>
    <definedName name="_313__FDSAUDITLINK___1" hidden="1">{"fdsup://directions/FAT Viewer?action=UPDATE&amp;creator=factset&amp;DYN_ARGS=TRUE&amp;DOC_NAME=FAT:FQL_AUDITING_CLIENT_TEMPLATE.FAT&amp;display_string=Audit&amp;VAR:KEY=FSTENULUTC&amp;VAR:QUERY=RkZfRUJJVERBX0lCKCdBTk4nLDM0MzM0LCwsLCdTRUsnKQ==&amp;WINDOW=FIRST_POPUP&amp;HEIGHT=450&amp;WIDTH=","450&amp;START_MAXIMIZED=FALSE&amp;VAR:CALENDAR=FIVEDAY&amp;VAR:SYMBOL=454047&amp;VAR:INDEX=0"}</definedName>
    <definedName name="_314__FDSAUDITLINK__" localSheetId="8" hidden="1">{"fdsup://directions/FAT Viewer?action=UPDATE&amp;creator=factset&amp;DYN_ARGS=TRUE&amp;DOC_NAME=FAT:FQL_AUDITING_CLIENT_TEMPLATE.FAT&amp;display_string=Audit&amp;VAR:KEY=VINEHKFQXS&amp;VAR:QUERY=RkZfRUJJVERBX0lCKCdBTk4nLDMzOTY5LCwsLCdTRUsnKQ==&amp;WINDOW=FIRST_POPUP&amp;HEIGHT=450&amp;WIDTH=","450&amp;START_MAXIMIZED=FALSE&amp;VAR:CALENDAR=FIVEDAY&amp;VAR:SYMBOL=454047&amp;VAR:INDEX=0"}</definedName>
    <definedName name="_314__FDSAUDITLINK__" hidden="1">{"fdsup://directions/FAT Viewer?action=UPDATE&amp;creator=factset&amp;DYN_ARGS=TRUE&amp;DOC_NAME=FAT:FQL_AUDITING_CLIENT_TEMPLATE.FAT&amp;display_string=Audit&amp;VAR:KEY=ULSXKJMHEL&amp;VAR:QUERY=RkZfTkVUX0lOQyhMVE0sNDEwOTIp&amp;WINDOW=FIRST_POPUP&amp;HEIGHT=450&amp;WIDTH=450&amp;START_MAXIMIZED=","FALSE&amp;VAR:CALENDAR=US&amp;VAR:SYMBOL=EXP&amp;VAR:INDEX=0"}</definedName>
    <definedName name="_314__FDSAUDITLINK___1" localSheetId="8" hidden="1">{"fdsup://directions/FAT Viewer?action=UPDATE&amp;creator=factset&amp;DYN_ARGS=TRUE&amp;DOC_NAME=FAT:FQL_AUDITING_CLIENT_TEMPLATE.FAT&amp;display_string=Audit&amp;VAR:KEY=VINEHKFQXS&amp;VAR:QUERY=RkZfRUJJVERBX0lCKCdBTk4nLDMzOTY5LCwsLCdTRUsnKQ==&amp;WINDOW=FIRST_POPUP&amp;HEIGHT=450&amp;WIDTH=","450&amp;START_MAXIMIZED=FALSE&amp;VAR:CALENDAR=FIVEDAY&amp;VAR:SYMBOL=454047&amp;VAR:INDEX=0"}</definedName>
    <definedName name="_314__FDSAUDITLINK___1" hidden="1">{"fdsup://directions/FAT Viewer?action=UPDATE&amp;creator=factset&amp;DYN_ARGS=TRUE&amp;DOC_NAME=FAT:FQL_AUDITING_CLIENT_TEMPLATE.FAT&amp;display_string=Audit&amp;VAR:KEY=VINEHKFQXS&amp;VAR:QUERY=RkZfRUJJVERBX0lCKCdBTk4nLDMzOTY5LCwsLCdTRUsnKQ==&amp;WINDOW=FIRST_POPUP&amp;HEIGHT=450&amp;WIDTH=","450&amp;START_MAXIMIZED=FALSE&amp;VAR:CALENDAR=FIVEDAY&amp;VAR:SYMBOL=454047&amp;VAR:INDEX=0"}</definedName>
    <definedName name="_315__FDSAUDITLINK__" localSheetId="8" hidden="1">{"fdsup://directions/FAT Viewer?action=UPDATE&amp;creator=factset&amp;DYN_ARGS=TRUE&amp;DOC_NAME=FAT:FQL_AUDITING_CLIENT_TEMPLATE.FAT&amp;display_string=Audit&amp;VAR:KEY=NSFQTQXULQ&amp;VAR:QUERY=RkZfRUJJVERBX0lCKCdBTk4nLDMzNjAzLCwsLCdTRUsnKQ==&amp;WINDOW=FIRST_POPUP&amp;HEIGHT=450&amp;WIDTH=","450&amp;START_MAXIMIZED=FALSE&amp;VAR:CALENDAR=FIVEDAY&amp;VAR:SYMBOL=454047&amp;VAR:INDEX=0"}</definedName>
    <definedName name="_315__FDSAUDITLINK__" hidden="1">{"fdsup://directions/FAT Viewer?action=UPDATE&amp;creator=factset&amp;DYN_ARGS=TRUE&amp;DOC_NAME=FAT:FQL_AUDITING_CLIENT_TEMPLATE.FAT&amp;display_string=Audit&amp;VAR:KEY=NSFQTQXULQ&amp;VAR:QUERY=RkZfRUJJVERBX0lCKCdBTk4nLDMzNjAzLCwsLCdTRUsnKQ==&amp;WINDOW=FIRST_POPUP&amp;HEIGHT=450&amp;WIDTH=","450&amp;START_MAXIMIZED=FALSE&amp;VAR:CALENDAR=FIVEDAY&amp;VAR:SYMBOL=454047&amp;VAR:INDEX=0"}</definedName>
    <definedName name="_315__FDSAUDITLINK___1" localSheetId="8" hidden="1">{"fdsup://directions/FAT Viewer?action=UPDATE&amp;creator=factset&amp;DYN_ARGS=TRUE&amp;DOC_NAME=FAT:FQL_AUDITING_CLIENT_TEMPLATE.FAT&amp;display_string=Audit&amp;VAR:KEY=NSFQTQXULQ&amp;VAR:QUERY=RkZfRUJJVERBX0lCKCdBTk4nLDMzNjAzLCwsLCdTRUsnKQ==&amp;WINDOW=FIRST_POPUP&amp;HEIGHT=450&amp;WIDTH=","450&amp;START_MAXIMIZED=FALSE&amp;VAR:CALENDAR=FIVEDAY&amp;VAR:SYMBOL=454047&amp;VAR:INDEX=0"}</definedName>
    <definedName name="_315__FDSAUDITLINK___1" hidden="1">{"fdsup://directions/FAT Viewer?action=UPDATE&amp;creator=factset&amp;DYN_ARGS=TRUE&amp;DOC_NAME=FAT:FQL_AUDITING_CLIENT_TEMPLATE.FAT&amp;display_string=Audit&amp;VAR:KEY=NSFQTQXULQ&amp;VAR:QUERY=RkZfRUJJVERBX0lCKCdBTk4nLDMzNjAzLCwsLCdTRUsnKQ==&amp;WINDOW=FIRST_POPUP&amp;HEIGHT=450&amp;WIDTH=","450&amp;START_MAXIMIZED=FALSE&amp;VAR:CALENDAR=FIVEDAY&amp;VAR:SYMBOL=454047&amp;VAR:INDEX=0"}</definedName>
    <definedName name="_316__FDSAUDITLINK__" localSheetId="8" hidden="1">{"fdsup://directions/FAT Viewer?action=UPDATE&amp;creator=factset&amp;DYN_ARGS=TRUE&amp;DOC_NAME=FAT:FQL_AUDITING_CLIENT_TEMPLATE.FAT&amp;display_string=Audit&amp;VAR:KEY=DEXMFWPSDS&amp;VAR:QUERY=RkZfRUJJVERBX0lCKCdBTk4nLDMzMjM4LCwsLCdTRUsnKQ==&amp;WINDOW=FIRST_POPUP&amp;HEIGHT=450&amp;WIDTH=","450&amp;START_MAXIMIZED=FALSE&amp;VAR:CALENDAR=FIVEDAY&amp;VAR:SYMBOL=454047&amp;VAR:INDEX=0"}</definedName>
    <definedName name="_316__FDSAUDITLINK__" hidden="1">{"fdsup://directions/FAT Viewer?action=UPDATE&amp;creator=factset&amp;DYN_ARGS=TRUE&amp;DOC_NAME=FAT:FQL_AUDITING_CLIENT_TEMPLATE.FAT&amp;display_string=Audit&amp;VAR:KEY=JYVUHYXMPU&amp;VAR:QUERY=RkZfSU5UX0VYUF9ORVQoTFRNLDQxMTEwKQ==&amp;WINDOW=FIRST_POPUP&amp;HEIGHT=450&amp;WIDTH=450&amp;START_MA","XIMIZED=FALSE&amp;VAR:CALENDAR=US&amp;VAR:SYMBOL=TXI&amp;VAR:INDEX=0"}</definedName>
    <definedName name="_316__FDSAUDITLINK___1" localSheetId="8" hidden="1">{"fdsup://directions/FAT Viewer?action=UPDATE&amp;creator=factset&amp;DYN_ARGS=TRUE&amp;DOC_NAME=FAT:FQL_AUDITING_CLIENT_TEMPLATE.FAT&amp;display_string=Audit&amp;VAR:KEY=DEXMFWPSDS&amp;VAR:QUERY=RkZfRUJJVERBX0lCKCdBTk4nLDMzMjM4LCwsLCdTRUsnKQ==&amp;WINDOW=FIRST_POPUP&amp;HEIGHT=450&amp;WIDTH=","450&amp;START_MAXIMIZED=FALSE&amp;VAR:CALENDAR=FIVEDAY&amp;VAR:SYMBOL=454047&amp;VAR:INDEX=0"}</definedName>
    <definedName name="_316__FDSAUDITLINK___1" hidden="1">{"fdsup://directions/FAT Viewer?action=UPDATE&amp;creator=factset&amp;DYN_ARGS=TRUE&amp;DOC_NAME=FAT:FQL_AUDITING_CLIENT_TEMPLATE.FAT&amp;display_string=Audit&amp;VAR:KEY=DEXMFWPSDS&amp;VAR:QUERY=RkZfRUJJVERBX0lCKCdBTk4nLDMzMjM4LCwsLCdTRUsnKQ==&amp;WINDOW=FIRST_POPUP&amp;HEIGHT=450&amp;WIDTH=","450&amp;START_MAXIMIZED=FALSE&amp;VAR:CALENDAR=FIVEDAY&amp;VAR:SYMBOL=454047&amp;VAR:INDEX=0"}</definedName>
    <definedName name="_317__FDSAUDITLINK__" localSheetId="8" hidden="1">{"fdsup://directions/FAT Viewer?action=UPDATE&amp;creator=factset&amp;DYN_ARGS=TRUE&amp;DOC_NAME=FAT:FQL_AUDITING_CLIENT_TEMPLATE.FAT&amp;display_string=Audit&amp;VAR:KEY=ERULQRYHOV&amp;VAR:QUERY=RkZfRUJJVERBX0lCKCdBTk4nLDQwMDg2LCwsLCdHQlAnKQ==&amp;WINDOW=FIRST_POPUP&amp;HEIGHT=450&amp;WIDTH=","450&amp;START_MAXIMIZED=FALSE&amp;VAR:CALENDAR=FIVEDAY&amp;VAR:SYMBOL=080216&amp;VAR:INDEX=0"}</definedName>
    <definedName name="_317__FDSAUDITLINK__" hidden="1">{"fdsup://directions/FAT Viewer?action=UPDATE&amp;creator=factset&amp;DYN_ARGS=TRUE&amp;DOC_NAME=FAT:FQL_AUDITING_CLIENT_TEMPLATE.FAT&amp;display_string=Audit&amp;VAR:KEY=ERULQRYHOV&amp;VAR:QUERY=RkZfRUJJVERBX0lCKCdBTk4nLDQwMDg2LCwsLCdHQlAnKQ==&amp;WINDOW=FIRST_POPUP&amp;HEIGHT=450&amp;WIDTH=","450&amp;START_MAXIMIZED=FALSE&amp;VAR:CALENDAR=FIVEDAY&amp;VAR:SYMBOL=080216&amp;VAR:INDEX=0"}</definedName>
    <definedName name="_317__FDSAUDITLINK___1" localSheetId="8" hidden="1">{"fdsup://directions/FAT Viewer?action=UPDATE&amp;creator=factset&amp;DYN_ARGS=TRUE&amp;DOC_NAME=FAT:FQL_AUDITING_CLIENT_TEMPLATE.FAT&amp;display_string=Audit&amp;VAR:KEY=ERULQRYHOV&amp;VAR:QUERY=RkZfRUJJVERBX0lCKCdBTk4nLDQwMDg2LCwsLCdHQlAnKQ==&amp;WINDOW=FIRST_POPUP&amp;HEIGHT=450&amp;WIDTH=","450&amp;START_MAXIMIZED=FALSE&amp;VAR:CALENDAR=FIVEDAY&amp;VAR:SYMBOL=080216&amp;VAR:INDEX=0"}</definedName>
    <definedName name="_317__FDSAUDITLINK___1" hidden="1">{"fdsup://directions/FAT Viewer?action=UPDATE&amp;creator=factset&amp;DYN_ARGS=TRUE&amp;DOC_NAME=FAT:FQL_AUDITING_CLIENT_TEMPLATE.FAT&amp;display_string=Audit&amp;VAR:KEY=ERULQRYHOV&amp;VAR:QUERY=RkZfRUJJVERBX0lCKCdBTk4nLDQwMDg2LCwsLCdHQlAnKQ==&amp;WINDOW=FIRST_POPUP&amp;HEIGHT=450&amp;WIDTH=","450&amp;START_MAXIMIZED=FALSE&amp;VAR:CALENDAR=FIVEDAY&amp;VAR:SYMBOL=080216&amp;VAR:INDEX=0"}</definedName>
    <definedName name="_318__FDSAUDITLINK__" localSheetId="8" hidden="1">{"fdsup://directions/FAT Viewer?action=UPDATE&amp;creator=factset&amp;DYN_ARGS=TRUE&amp;DOC_NAME=FAT:FQL_AUDITING_CLIENT_TEMPLATE.FAT&amp;display_string=Audit&amp;VAR:KEY=ITQRQBUZER&amp;VAR:QUERY=RkZfRUJJVERBX0lCKCdBTk4nLDM5NzIxLCwsLCdHQlAnKQ==&amp;WINDOW=FIRST_POPUP&amp;HEIGHT=450&amp;WIDTH=","450&amp;START_MAXIMIZED=FALSE&amp;VAR:CALENDAR=FIVEDAY&amp;VAR:SYMBOL=080216&amp;VAR:INDEX=0"}</definedName>
    <definedName name="_318__FDSAUDITLINK__" hidden="1">{"fdsup://directions/FAT Viewer?action=UPDATE&amp;creator=factset&amp;DYN_ARGS=TRUE&amp;DOC_NAME=FAT:FQL_AUDITING_CLIENT_TEMPLATE.FAT&amp;display_string=Audit&amp;VAR:KEY=ITQRQBUZER&amp;VAR:QUERY=RkZfRUJJVERBX0lCKCdBTk4nLDM5NzIxLCwsLCdHQlAnKQ==&amp;WINDOW=FIRST_POPUP&amp;HEIGHT=450&amp;WIDTH=","450&amp;START_MAXIMIZED=FALSE&amp;VAR:CALENDAR=FIVEDAY&amp;VAR:SYMBOL=080216&amp;VAR:INDEX=0"}</definedName>
    <definedName name="_318__FDSAUDITLINK___1" localSheetId="8" hidden="1">{"fdsup://directions/FAT Viewer?action=UPDATE&amp;creator=factset&amp;DYN_ARGS=TRUE&amp;DOC_NAME=FAT:FQL_AUDITING_CLIENT_TEMPLATE.FAT&amp;display_string=Audit&amp;VAR:KEY=ITQRQBUZER&amp;VAR:QUERY=RkZfRUJJVERBX0lCKCdBTk4nLDM5NzIxLCwsLCdHQlAnKQ==&amp;WINDOW=FIRST_POPUP&amp;HEIGHT=450&amp;WIDTH=","450&amp;START_MAXIMIZED=FALSE&amp;VAR:CALENDAR=FIVEDAY&amp;VAR:SYMBOL=080216&amp;VAR:INDEX=0"}</definedName>
    <definedName name="_318__FDSAUDITLINK___1" hidden="1">{"fdsup://directions/FAT Viewer?action=UPDATE&amp;creator=factset&amp;DYN_ARGS=TRUE&amp;DOC_NAME=FAT:FQL_AUDITING_CLIENT_TEMPLATE.FAT&amp;display_string=Audit&amp;VAR:KEY=ITQRQBUZER&amp;VAR:QUERY=RkZfRUJJVERBX0lCKCdBTk4nLDM5NzIxLCwsLCdHQlAnKQ==&amp;WINDOW=FIRST_POPUP&amp;HEIGHT=450&amp;WIDTH=","450&amp;START_MAXIMIZED=FALSE&amp;VAR:CALENDAR=FIVEDAY&amp;VAR:SYMBOL=080216&amp;VAR:INDEX=0"}</definedName>
    <definedName name="_319__FDSAUDITLINK__" localSheetId="8" hidden="1">{"fdsup://directions/FAT Viewer?action=UPDATE&amp;creator=factset&amp;DYN_ARGS=TRUE&amp;DOC_NAME=FAT:FQL_AUDITING_CLIENT_TEMPLATE.FAT&amp;display_string=Audit&amp;VAR:KEY=QPWDYTYRUJ&amp;VAR:QUERY=RkZfRUJJVERBX0lCKCdBTk4nLDM5MzU1LCwsLCdHQlAnKQ==&amp;WINDOW=FIRST_POPUP&amp;HEIGHT=450&amp;WIDTH=","450&amp;START_MAXIMIZED=FALSE&amp;VAR:CALENDAR=FIVEDAY&amp;VAR:SYMBOL=080216&amp;VAR:INDEX=0"}</definedName>
    <definedName name="_319__FDSAUDITLINK__" hidden="1">{"fdsup://directions/FAT Viewer?action=UPDATE&amp;creator=factset&amp;DYN_ARGS=TRUE&amp;DOC_NAME=FAT:FQL_AUDITING_CLIENT_TEMPLATE.FAT&amp;display_string=Audit&amp;VAR:KEY=QPWDYTYRUJ&amp;VAR:QUERY=RkZfRUJJVERBX0lCKCdBTk4nLDM5MzU1LCwsLCdHQlAnKQ==&amp;WINDOW=FIRST_POPUP&amp;HEIGHT=450&amp;WIDTH=","450&amp;START_MAXIMIZED=FALSE&amp;VAR:CALENDAR=FIVEDAY&amp;VAR:SYMBOL=080216&amp;VAR:INDEX=0"}</definedName>
    <definedName name="_319__FDSAUDITLINK___1" localSheetId="8" hidden="1">{"fdsup://directions/FAT Viewer?action=UPDATE&amp;creator=factset&amp;DYN_ARGS=TRUE&amp;DOC_NAME=FAT:FQL_AUDITING_CLIENT_TEMPLATE.FAT&amp;display_string=Audit&amp;VAR:KEY=QPWDYTYRUJ&amp;VAR:QUERY=RkZfRUJJVERBX0lCKCdBTk4nLDM5MzU1LCwsLCdHQlAnKQ==&amp;WINDOW=FIRST_POPUP&amp;HEIGHT=450&amp;WIDTH=","450&amp;START_MAXIMIZED=FALSE&amp;VAR:CALENDAR=FIVEDAY&amp;VAR:SYMBOL=080216&amp;VAR:INDEX=0"}</definedName>
    <definedName name="_319__FDSAUDITLINK___1" hidden="1">{"fdsup://directions/FAT Viewer?action=UPDATE&amp;creator=factset&amp;DYN_ARGS=TRUE&amp;DOC_NAME=FAT:FQL_AUDITING_CLIENT_TEMPLATE.FAT&amp;display_string=Audit&amp;VAR:KEY=QPWDYTYRUJ&amp;VAR:QUERY=RkZfRUJJVERBX0lCKCdBTk4nLDM5MzU1LCwsLCdHQlAnKQ==&amp;WINDOW=FIRST_POPUP&amp;HEIGHT=450&amp;WIDTH=","450&amp;START_MAXIMIZED=FALSE&amp;VAR:CALENDAR=FIVEDAY&amp;VAR:SYMBOL=080216&amp;VAR:INDEX=0"}</definedName>
    <definedName name="_32__123Graph_BCHART_1" hidden="1">#REF!</definedName>
    <definedName name="_32__123Graph_BCHART_7" hidden="1">#REF!</definedName>
    <definedName name="_32__123Graph_DGRAFICO_3" localSheetId="8" hidden="1">#REF!</definedName>
    <definedName name="_32__123Graph_DGRAFICO_3" hidden="1">#REF!</definedName>
    <definedName name="_32__123Graph_XCHART_6" hidden="1">#N/A</definedName>
    <definedName name="_32__123Graph_XCHART_8" hidden="1">#REF!</definedName>
    <definedName name="_32__FDSAUDITLINK__" localSheetId="8" hidden="1">{"fdsup://directions/FAT Viewer?action=UPDATE&amp;creator=factset&amp;DYN_ARGS=TRUE&amp;DOC_NAME=FAT:FQL_AUDITING_CLIENT_TEMPLATE.FAT&amp;display_string=Audit&amp;VAR:KEY=CHOVGPMRKV&amp;VAR:QUERY=RkZfRUJJVERBX0lCKEFOTiwzOTgxMywsLCxFVVIp&amp;WINDOW=FIRST_POPUP&amp;HEIGHT=450&amp;WIDTH=450&amp;STAR","T_MAXIMIZED=FALSE&amp;VAR:CALENDAR=FIVEDAY&amp;VAR:SYMBOL=591344&amp;VAR:INDEX=0"}</definedName>
    <definedName name="_32__FDSAUDITLINK__" hidden="1">{"fdsup://directions/FAT Viewer?action=UPDATE&amp;creator=factset&amp;DYN_ARGS=TRUE&amp;DOC_NAME=FAT:FQL_AUDITING_CLIENT_TEMPLATE.FAT&amp;display_string=Audit&amp;VAR:KEY=CJCRQFAVEJ&amp;VAR:QUERY=RkZfU0FMRVMoQ0FMLDIwMDkp&amp;WINDOW=FIRST_POPUP&amp;HEIGHT=450&amp;WIDTH=450&amp;START_MAXIMIZED=FALS","E&amp;VAR:CALENDAR=US&amp;VAR:SYMBOL=VMC&amp;VAR:INDEX=0"}</definedName>
    <definedName name="_32__FDSAUDITLINK___1" localSheetId="8" hidden="1">{"fdsup://directions/FAT Viewer?action=UPDATE&amp;creator=factset&amp;DYN_ARGS=TRUE&amp;DOC_NAME=FAT:FQL_AUDITING_CLIENT_TEMPLATE.FAT&amp;display_string=Audit&amp;VAR:KEY=CHOVGPMRKV&amp;VAR:QUERY=RkZfRUJJVERBX0lCKEFOTiwzOTgxMywsLCxFVVIp&amp;WINDOW=FIRST_POPUP&amp;HEIGHT=450&amp;WIDTH=450&amp;STAR","T_MAXIMIZED=FALSE&amp;VAR:CALENDAR=FIVEDAY&amp;VAR:SYMBOL=591344&amp;VAR:INDEX=0"}</definedName>
    <definedName name="_32__FDSAUDITLINK___1" hidden="1">{"fdsup://directions/FAT Viewer?action=UPDATE&amp;creator=factset&amp;DYN_ARGS=TRUE&amp;DOC_NAME=FAT:FQL_AUDITING_CLIENT_TEMPLATE.FAT&amp;display_string=Audit&amp;VAR:KEY=CHOVGPMRKV&amp;VAR:QUERY=RkZfRUJJVERBX0lCKEFOTiwzOTgxMywsLCxFVVIp&amp;WINDOW=FIRST_POPUP&amp;HEIGHT=450&amp;WIDTH=450&amp;STAR","T_MAXIMIZED=FALSE&amp;VAR:CALENDAR=FIVEDAY&amp;VAR:SYMBOL=591344&amp;VAR:INDEX=0"}</definedName>
    <definedName name="_32_0_0__123Graph_ADETS" hidden="1">#REF!</definedName>
    <definedName name="_320__FDSAUDITLINK__" localSheetId="8" hidden="1">{"fdsup://directions/FAT Viewer?action=UPDATE&amp;creator=factset&amp;DYN_ARGS=TRUE&amp;DOC_NAME=FAT:FQL_AUDITING_CLIENT_TEMPLATE.FAT&amp;display_string=Audit&amp;VAR:KEY=PGBCXOPKBW&amp;VAR:QUERY=RkZfRUJJVERBX0lCKCdBTk4nLDM4OTkwLCwsLCdHQlAnKQ==&amp;WINDOW=FIRST_POPUP&amp;HEIGHT=450&amp;WIDTH=","450&amp;START_MAXIMIZED=FALSE&amp;VAR:CALENDAR=FIVEDAY&amp;VAR:SYMBOL=080216&amp;VAR:INDEX=0"}</definedName>
    <definedName name="_320__FDSAUDITLINK__" hidden="1">{"fdsup://directions/FAT Viewer?action=UPDATE&amp;creator=factset&amp;DYN_ARGS=TRUE&amp;DOC_NAME=FAT:FQL_AUDITING_CLIENT_TEMPLATE.FAT&amp;display_string=Audit&amp;VAR:KEY=PGBCXOPKBW&amp;VAR:QUERY=RkZfRUJJVERBX0lCKCdBTk4nLDM4OTkwLCwsLCdHQlAnKQ==&amp;WINDOW=FIRST_POPUP&amp;HEIGHT=450&amp;WIDTH=","450&amp;START_MAXIMIZED=FALSE&amp;VAR:CALENDAR=FIVEDAY&amp;VAR:SYMBOL=080216&amp;VAR:INDEX=0"}</definedName>
    <definedName name="_320__FDSAUDITLINK___1" localSheetId="8" hidden="1">{"fdsup://directions/FAT Viewer?action=UPDATE&amp;creator=factset&amp;DYN_ARGS=TRUE&amp;DOC_NAME=FAT:FQL_AUDITING_CLIENT_TEMPLATE.FAT&amp;display_string=Audit&amp;VAR:KEY=PGBCXOPKBW&amp;VAR:QUERY=RkZfRUJJVERBX0lCKCdBTk4nLDM4OTkwLCwsLCdHQlAnKQ==&amp;WINDOW=FIRST_POPUP&amp;HEIGHT=450&amp;WIDTH=","450&amp;START_MAXIMIZED=FALSE&amp;VAR:CALENDAR=FIVEDAY&amp;VAR:SYMBOL=080216&amp;VAR:INDEX=0"}</definedName>
    <definedName name="_320__FDSAUDITLINK___1" hidden="1">{"fdsup://directions/FAT Viewer?action=UPDATE&amp;creator=factset&amp;DYN_ARGS=TRUE&amp;DOC_NAME=FAT:FQL_AUDITING_CLIENT_TEMPLATE.FAT&amp;display_string=Audit&amp;VAR:KEY=PGBCXOPKBW&amp;VAR:QUERY=RkZfRUJJVERBX0lCKCdBTk4nLDM4OTkwLCwsLCdHQlAnKQ==&amp;WINDOW=FIRST_POPUP&amp;HEIGHT=450&amp;WIDTH=","450&amp;START_MAXIMIZED=FALSE&amp;VAR:CALENDAR=FIVEDAY&amp;VAR:SYMBOL=080216&amp;VAR:INDEX=0"}</definedName>
    <definedName name="_321__FDSAUDITLINK__" localSheetId="8" hidden="1">{"fdsup://directions/FAT Viewer?action=UPDATE&amp;creator=factset&amp;DYN_ARGS=TRUE&amp;DOC_NAME=FAT:FQL_AUDITING_CLIENT_TEMPLATE.FAT&amp;display_string=Audit&amp;VAR:KEY=RUJOLILGVY&amp;VAR:QUERY=RkZfRUJJVERBX0lCKCdBTk4nLDM4NjI1LCwsLCdHQlAnKQ==&amp;WINDOW=FIRST_POPUP&amp;HEIGHT=450&amp;WIDTH=","450&amp;START_MAXIMIZED=FALSE&amp;VAR:CALENDAR=FIVEDAY&amp;VAR:SYMBOL=080216&amp;VAR:INDEX=0"}</definedName>
    <definedName name="_321__FDSAUDITLINK__" hidden="1">{"fdsup://Directions/FactSet Auditing Viewer?action=AUDIT_VALUE&amp;DB=129&amp;ID1=57328410&amp;VALUEID=01149&amp;SDATE=2011&amp;PERIODTYPE=ANN_STD&amp;SCFT=3&amp;window=popup_no_bar&amp;width=385&amp;height=120&amp;START_MAXIMIZED=FALSE&amp;creator=factset&amp;display_string=Audit"}</definedName>
    <definedName name="_321__FDSAUDITLINK___1" localSheetId="8" hidden="1">{"fdsup://directions/FAT Viewer?action=UPDATE&amp;creator=factset&amp;DYN_ARGS=TRUE&amp;DOC_NAME=FAT:FQL_AUDITING_CLIENT_TEMPLATE.FAT&amp;display_string=Audit&amp;VAR:KEY=RUJOLILGVY&amp;VAR:QUERY=RkZfRUJJVERBX0lCKCdBTk4nLDM4NjI1LCwsLCdHQlAnKQ==&amp;WINDOW=FIRST_POPUP&amp;HEIGHT=450&amp;WIDTH=","450&amp;START_MAXIMIZED=FALSE&amp;VAR:CALENDAR=FIVEDAY&amp;VAR:SYMBOL=080216&amp;VAR:INDEX=0"}</definedName>
    <definedName name="_321__FDSAUDITLINK___1" hidden="1">{"fdsup://directions/FAT Viewer?action=UPDATE&amp;creator=factset&amp;DYN_ARGS=TRUE&amp;DOC_NAME=FAT:FQL_AUDITING_CLIENT_TEMPLATE.FAT&amp;display_string=Audit&amp;VAR:KEY=RUJOLILGVY&amp;VAR:QUERY=RkZfRUJJVERBX0lCKCdBTk4nLDM4NjI1LCwsLCdHQlAnKQ==&amp;WINDOW=FIRST_POPUP&amp;HEIGHT=450&amp;WIDTH=","450&amp;START_MAXIMIZED=FALSE&amp;VAR:CALENDAR=FIVEDAY&amp;VAR:SYMBOL=080216&amp;VAR:INDEX=0"}</definedName>
    <definedName name="_322__FDSAUDITLINK__" localSheetId="8" hidden="1">{"fdsup://directions/FAT Viewer?action=UPDATE&amp;creator=factset&amp;DYN_ARGS=TRUE&amp;DOC_NAME=FAT:FQL_AUDITING_CLIENT_TEMPLATE.FAT&amp;display_string=Audit&amp;VAR:KEY=ZGFUZMPWVK&amp;VAR:QUERY=RkZfRUJJVERBX0lCKCdBTk4nLDM4MjYwLCwsLCdHQlAnKQ==&amp;WINDOW=FIRST_POPUP&amp;HEIGHT=450&amp;WIDTH=","450&amp;START_MAXIMIZED=FALSE&amp;VAR:CALENDAR=FIVEDAY&amp;VAR:SYMBOL=080216&amp;VAR:INDEX=0"}</definedName>
    <definedName name="_322__FDSAUDITLINK__" hidden="1">{"fdsup://directions/FAT Viewer?action=UPDATE&amp;creator=factset&amp;DYN_ARGS=TRUE&amp;DOC_NAME=FAT:FQL_AUDITING_CLIENT_TEMPLATE.FAT&amp;display_string=Audit&amp;VAR:KEY=UJWNUNSPER&amp;VAR:QUERY=RkZfRUJJVERBX09QRVIoTFRNLDQxMDkyKQ==&amp;WINDOW=FIRST_POPUP&amp;HEIGHT=450&amp;WIDTH=450&amp;START_MA","XIMIZED=FALSE&amp;VAR:CALENDAR=US&amp;VAR:SYMBOL=EXP&amp;VAR:INDEX=0"}</definedName>
    <definedName name="_322__FDSAUDITLINK___1" localSheetId="8" hidden="1">{"fdsup://directions/FAT Viewer?action=UPDATE&amp;creator=factset&amp;DYN_ARGS=TRUE&amp;DOC_NAME=FAT:FQL_AUDITING_CLIENT_TEMPLATE.FAT&amp;display_string=Audit&amp;VAR:KEY=ZGFUZMPWVK&amp;VAR:QUERY=RkZfRUJJVERBX0lCKCdBTk4nLDM4MjYwLCwsLCdHQlAnKQ==&amp;WINDOW=FIRST_POPUP&amp;HEIGHT=450&amp;WIDTH=","450&amp;START_MAXIMIZED=FALSE&amp;VAR:CALENDAR=FIVEDAY&amp;VAR:SYMBOL=080216&amp;VAR:INDEX=0"}</definedName>
    <definedName name="_322__FDSAUDITLINK___1" hidden="1">{"fdsup://directions/FAT Viewer?action=UPDATE&amp;creator=factset&amp;DYN_ARGS=TRUE&amp;DOC_NAME=FAT:FQL_AUDITING_CLIENT_TEMPLATE.FAT&amp;display_string=Audit&amp;VAR:KEY=ZGFUZMPWVK&amp;VAR:QUERY=RkZfRUJJVERBX0lCKCdBTk4nLDM4MjYwLCwsLCdHQlAnKQ==&amp;WINDOW=FIRST_POPUP&amp;HEIGHT=450&amp;WIDTH=","450&amp;START_MAXIMIZED=FALSE&amp;VAR:CALENDAR=FIVEDAY&amp;VAR:SYMBOL=080216&amp;VAR:INDEX=0"}</definedName>
    <definedName name="_323__FDSAUDITLINK__" localSheetId="8" hidden="1">{"fdsup://directions/FAT Viewer?action=UPDATE&amp;creator=factset&amp;DYN_ARGS=TRUE&amp;DOC_NAME=FAT:FQL_AUDITING_CLIENT_TEMPLATE.FAT&amp;display_string=Audit&amp;VAR:KEY=XWHQFCDGFQ&amp;VAR:QUERY=RkZfRUJJVERBX0lCKCdBTk4nLDM3ODk0LCwsLCdHQlAnKQ==&amp;WINDOW=FIRST_POPUP&amp;HEIGHT=450&amp;WIDTH=","450&amp;START_MAXIMIZED=FALSE&amp;VAR:CALENDAR=FIVEDAY&amp;VAR:SYMBOL=080216&amp;VAR:INDEX=0"}</definedName>
    <definedName name="_323__FDSAUDITLINK__" hidden="1">{"fdsup://directions/FAT Viewer?action=UPDATE&amp;creator=factset&amp;DYN_ARGS=TRUE&amp;DOC_NAME=FAT:FQL_AUDITING_CLIENT_TEMPLATE.FAT&amp;display_string=Audit&amp;VAR:KEY=SJOBIPOVKX&amp;VAR:QUERY=RkZfSU5UX0VYUF9ORVQoTFRNLDQxMTEwKQ==&amp;WINDOW=FIRST_POPUP&amp;HEIGHT=450&amp;WIDTH=450&amp;START_MA","XIMIZED=FALSE&amp;VAR:CALENDAR=US&amp;VAR:SYMBOL=CX&amp;VAR:INDEX=0"}</definedName>
    <definedName name="_323__FDSAUDITLINK___1" localSheetId="8" hidden="1">{"fdsup://directions/FAT Viewer?action=UPDATE&amp;creator=factset&amp;DYN_ARGS=TRUE&amp;DOC_NAME=FAT:FQL_AUDITING_CLIENT_TEMPLATE.FAT&amp;display_string=Audit&amp;VAR:KEY=XWHQFCDGFQ&amp;VAR:QUERY=RkZfRUJJVERBX0lCKCdBTk4nLDM3ODk0LCwsLCdHQlAnKQ==&amp;WINDOW=FIRST_POPUP&amp;HEIGHT=450&amp;WIDTH=","450&amp;START_MAXIMIZED=FALSE&amp;VAR:CALENDAR=FIVEDAY&amp;VAR:SYMBOL=080216&amp;VAR:INDEX=0"}</definedName>
    <definedName name="_323__FDSAUDITLINK___1" hidden="1">{"fdsup://directions/FAT Viewer?action=UPDATE&amp;creator=factset&amp;DYN_ARGS=TRUE&amp;DOC_NAME=FAT:FQL_AUDITING_CLIENT_TEMPLATE.FAT&amp;display_string=Audit&amp;VAR:KEY=XWHQFCDGFQ&amp;VAR:QUERY=RkZfRUJJVERBX0lCKCdBTk4nLDM3ODk0LCwsLCdHQlAnKQ==&amp;WINDOW=FIRST_POPUP&amp;HEIGHT=450&amp;WIDTH=","450&amp;START_MAXIMIZED=FALSE&amp;VAR:CALENDAR=FIVEDAY&amp;VAR:SYMBOL=080216&amp;VAR:INDEX=0"}</definedName>
    <definedName name="_324__FDSAUDITLINK__" localSheetId="8" hidden="1">{"fdsup://directions/FAT Viewer?action=UPDATE&amp;creator=factset&amp;DYN_ARGS=TRUE&amp;DOC_NAME=FAT:FQL_AUDITING_CLIENT_TEMPLATE.FAT&amp;display_string=Audit&amp;VAR:KEY=DMRGXWFQLY&amp;VAR:QUERY=RkZfRUJJVERBX0lCKCdBTk4nLDM3NTI5LCwsLCdHQlAnKQ==&amp;WINDOW=FIRST_POPUP&amp;HEIGHT=450&amp;WIDTH=","450&amp;START_MAXIMIZED=FALSE&amp;VAR:CALENDAR=FIVEDAY&amp;VAR:SYMBOL=080216&amp;VAR:INDEX=0"}</definedName>
    <definedName name="_324__FDSAUDITLINK__" hidden="1">{"fdsup://Directions/FactSet Auditing Viewer?action=AUDIT_VALUE&amp;DB=129&amp;ID1=450270&amp;VALUEID=01149&amp;SDATE=2011&amp;PERIODTYPE=ANN_STD&amp;SCFT=3&amp;window=popup_no_bar&amp;width=385&amp;height=120&amp;START_MAXIMIZED=FALSE&amp;creator=factset&amp;display_string=Audit"}</definedName>
    <definedName name="_324__FDSAUDITLINK___1" localSheetId="8" hidden="1">{"fdsup://directions/FAT Viewer?action=UPDATE&amp;creator=factset&amp;DYN_ARGS=TRUE&amp;DOC_NAME=FAT:FQL_AUDITING_CLIENT_TEMPLATE.FAT&amp;display_string=Audit&amp;VAR:KEY=DMRGXWFQLY&amp;VAR:QUERY=RkZfRUJJVERBX0lCKCdBTk4nLDM3NTI5LCwsLCdHQlAnKQ==&amp;WINDOW=FIRST_POPUP&amp;HEIGHT=450&amp;WIDTH=","450&amp;START_MAXIMIZED=FALSE&amp;VAR:CALENDAR=FIVEDAY&amp;VAR:SYMBOL=080216&amp;VAR:INDEX=0"}</definedName>
    <definedName name="_324__FDSAUDITLINK___1" hidden="1">{"fdsup://directions/FAT Viewer?action=UPDATE&amp;creator=factset&amp;DYN_ARGS=TRUE&amp;DOC_NAME=FAT:FQL_AUDITING_CLIENT_TEMPLATE.FAT&amp;display_string=Audit&amp;VAR:KEY=DMRGXWFQLY&amp;VAR:QUERY=RkZfRUJJVERBX0lCKCdBTk4nLDM3NTI5LCwsLCdHQlAnKQ==&amp;WINDOW=FIRST_POPUP&amp;HEIGHT=450&amp;WIDTH=","450&amp;START_MAXIMIZED=FALSE&amp;VAR:CALENDAR=FIVEDAY&amp;VAR:SYMBOL=080216&amp;VAR:INDEX=0"}</definedName>
    <definedName name="_325__FDSAUDITLINK__" localSheetId="8" hidden="1">{"fdsup://directions/FAT Viewer?action=UPDATE&amp;creator=factset&amp;DYN_ARGS=TRUE&amp;DOC_NAME=FAT:FQL_AUDITING_CLIENT_TEMPLATE.FAT&amp;display_string=Audit&amp;VAR:KEY=FCRKLAJSZC&amp;VAR:QUERY=RkZfRUJJVERBX0lCKCdBTk4nLDM3MTY0LCwsLCdHQlAnKQ==&amp;WINDOW=FIRST_POPUP&amp;HEIGHT=450&amp;WIDTH=","450&amp;START_MAXIMIZED=FALSE&amp;VAR:CALENDAR=FIVEDAY&amp;VAR:SYMBOL=080216&amp;VAR:INDEX=0"}</definedName>
    <definedName name="_325__FDSAUDITLINK__" hidden="1">{"fdsup://directions/FAT Viewer?action=UPDATE&amp;creator=factset&amp;DYN_ARGS=TRUE&amp;DOC_NAME=FAT:FQL_AUDITING_CLIENT_TEMPLATE.FAT&amp;display_string=Audit&amp;VAR:KEY=FCRKLAJSZC&amp;VAR:QUERY=RkZfRUJJVERBX0lCKCdBTk4nLDM3MTY0LCwsLCdHQlAnKQ==&amp;WINDOW=FIRST_POPUP&amp;HEIGHT=450&amp;WIDTH=","450&amp;START_MAXIMIZED=FALSE&amp;VAR:CALENDAR=FIVEDAY&amp;VAR:SYMBOL=080216&amp;VAR:INDEX=0"}</definedName>
    <definedName name="_325__FDSAUDITLINK___1" localSheetId="8" hidden="1">{"fdsup://directions/FAT Viewer?action=UPDATE&amp;creator=factset&amp;DYN_ARGS=TRUE&amp;DOC_NAME=FAT:FQL_AUDITING_CLIENT_TEMPLATE.FAT&amp;display_string=Audit&amp;VAR:KEY=FCRKLAJSZC&amp;VAR:QUERY=RkZfRUJJVERBX0lCKCdBTk4nLDM3MTY0LCwsLCdHQlAnKQ==&amp;WINDOW=FIRST_POPUP&amp;HEIGHT=450&amp;WIDTH=","450&amp;START_MAXIMIZED=FALSE&amp;VAR:CALENDAR=FIVEDAY&amp;VAR:SYMBOL=080216&amp;VAR:INDEX=0"}</definedName>
    <definedName name="_325__FDSAUDITLINK___1" hidden="1">{"fdsup://directions/FAT Viewer?action=UPDATE&amp;creator=factset&amp;DYN_ARGS=TRUE&amp;DOC_NAME=FAT:FQL_AUDITING_CLIENT_TEMPLATE.FAT&amp;display_string=Audit&amp;VAR:KEY=FCRKLAJSZC&amp;VAR:QUERY=RkZfRUJJVERBX0lCKCdBTk4nLDM3MTY0LCwsLCdHQlAnKQ==&amp;WINDOW=FIRST_POPUP&amp;HEIGHT=450&amp;WIDTH=","450&amp;START_MAXIMIZED=FALSE&amp;VAR:CALENDAR=FIVEDAY&amp;VAR:SYMBOL=080216&amp;VAR:INDEX=0"}</definedName>
    <definedName name="_326__FDSAUDITLINK__" localSheetId="8" hidden="1">{"fdsup://directions/FAT Viewer?action=UPDATE&amp;creator=factset&amp;DYN_ARGS=TRUE&amp;DOC_NAME=FAT:FQL_AUDITING_CLIENT_TEMPLATE.FAT&amp;display_string=Audit&amp;VAR:KEY=BEDOJGXABU&amp;VAR:QUERY=RkZfRUJJVERBX0lCKCdBTk4nLDM2Nzk5LCwsLCdHQlAnKQ==&amp;WINDOW=FIRST_POPUP&amp;HEIGHT=450&amp;WIDTH=","450&amp;START_MAXIMIZED=FALSE&amp;VAR:CALENDAR=FIVEDAY&amp;VAR:SYMBOL=080216&amp;VAR:INDEX=0"}</definedName>
    <definedName name="_326__FDSAUDITLINK__" hidden="1">{"fdsup://directions/FAT Viewer?action=UPDATE&amp;creator=factset&amp;DYN_ARGS=TRUE&amp;DOC_NAME=FAT:FQL_AUDITING_CLIENT_TEMPLATE.FAT&amp;display_string=Audit&amp;VAR:KEY=EPQNQHIXWP&amp;VAR:QUERY=RkZfSU5UX0VYUF9ORVQoTFRNLDQxMDkyKQ==&amp;WINDOW=FIRST_POPUP&amp;HEIGHT=450&amp;WIDTH=450&amp;START_MA","XIMIZED=FALSE&amp;VAR:CALENDAR=US&amp;VAR:SYMBOL=EXP&amp;VAR:INDEX=0"}</definedName>
    <definedName name="_326__FDSAUDITLINK___1" localSheetId="8" hidden="1">{"fdsup://directions/FAT Viewer?action=UPDATE&amp;creator=factset&amp;DYN_ARGS=TRUE&amp;DOC_NAME=FAT:FQL_AUDITING_CLIENT_TEMPLATE.FAT&amp;display_string=Audit&amp;VAR:KEY=BEDOJGXABU&amp;VAR:QUERY=RkZfRUJJVERBX0lCKCdBTk4nLDM2Nzk5LCwsLCdHQlAnKQ==&amp;WINDOW=FIRST_POPUP&amp;HEIGHT=450&amp;WIDTH=","450&amp;START_MAXIMIZED=FALSE&amp;VAR:CALENDAR=FIVEDAY&amp;VAR:SYMBOL=080216&amp;VAR:INDEX=0"}</definedName>
    <definedName name="_326__FDSAUDITLINK___1" hidden="1">{"fdsup://directions/FAT Viewer?action=UPDATE&amp;creator=factset&amp;DYN_ARGS=TRUE&amp;DOC_NAME=FAT:FQL_AUDITING_CLIENT_TEMPLATE.FAT&amp;display_string=Audit&amp;VAR:KEY=BEDOJGXABU&amp;VAR:QUERY=RkZfRUJJVERBX0lCKCdBTk4nLDM2Nzk5LCwsLCdHQlAnKQ==&amp;WINDOW=FIRST_POPUP&amp;HEIGHT=450&amp;WIDTH=","450&amp;START_MAXIMIZED=FALSE&amp;VAR:CALENDAR=FIVEDAY&amp;VAR:SYMBOL=080216&amp;VAR:INDEX=0"}</definedName>
    <definedName name="_327__FDSAUDITLINK__" localSheetId="8" hidden="1">{"fdsup://directions/FAT Viewer?action=UPDATE&amp;creator=factset&amp;DYN_ARGS=TRUE&amp;DOC_NAME=FAT:FQL_AUDITING_CLIENT_TEMPLATE.FAT&amp;display_string=Audit&amp;VAR:KEY=VYZQDUXIBC&amp;VAR:QUERY=RkZfRUJJVERBX0lCKCdBTk4nLDM2NDMzLCwsLCdHQlAnKQ==&amp;WINDOW=FIRST_POPUP&amp;HEIGHT=450&amp;WIDTH=","450&amp;START_MAXIMIZED=FALSE&amp;VAR:CALENDAR=FIVEDAY&amp;VAR:SYMBOL=080216&amp;VAR:INDEX=0"}</definedName>
    <definedName name="_327__FDSAUDITLINK__" hidden="1">{"fdsup://Directions/FactSet Auditing Viewer?action=AUDIT_VALUE&amp;DB=129&amp;ID1=12008R10&amp;VALUEID=01149&amp;SDATE=2011&amp;PERIODTYPE=ANN_STD&amp;SCFT=3&amp;window=popup_no_bar&amp;width=385&amp;height=120&amp;START_MAXIMIZED=FALSE&amp;creator=factset&amp;display_string=Audit"}</definedName>
    <definedName name="_327__FDSAUDITLINK___1" localSheetId="8" hidden="1">{"fdsup://directions/FAT Viewer?action=UPDATE&amp;creator=factset&amp;DYN_ARGS=TRUE&amp;DOC_NAME=FAT:FQL_AUDITING_CLIENT_TEMPLATE.FAT&amp;display_string=Audit&amp;VAR:KEY=VYZQDUXIBC&amp;VAR:QUERY=RkZfRUJJVERBX0lCKCdBTk4nLDM2NDMzLCwsLCdHQlAnKQ==&amp;WINDOW=FIRST_POPUP&amp;HEIGHT=450&amp;WIDTH=","450&amp;START_MAXIMIZED=FALSE&amp;VAR:CALENDAR=FIVEDAY&amp;VAR:SYMBOL=080216&amp;VAR:INDEX=0"}</definedName>
    <definedName name="_327__FDSAUDITLINK___1" hidden="1">{"fdsup://directions/FAT Viewer?action=UPDATE&amp;creator=factset&amp;DYN_ARGS=TRUE&amp;DOC_NAME=FAT:FQL_AUDITING_CLIENT_TEMPLATE.FAT&amp;display_string=Audit&amp;VAR:KEY=VYZQDUXIBC&amp;VAR:QUERY=RkZfRUJJVERBX0lCKCdBTk4nLDM2NDMzLCwsLCdHQlAnKQ==&amp;WINDOW=FIRST_POPUP&amp;HEIGHT=450&amp;WIDTH=","450&amp;START_MAXIMIZED=FALSE&amp;VAR:CALENDAR=FIVEDAY&amp;VAR:SYMBOL=080216&amp;VAR:INDEX=0"}</definedName>
    <definedName name="_328__FDSAUDITLINK__" localSheetId="8" hidden="1">{"fdsup://directions/FAT Viewer?action=UPDATE&amp;creator=factset&amp;DYN_ARGS=TRUE&amp;DOC_NAME=FAT:FQL_AUDITING_CLIENT_TEMPLATE.FAT&amp;display_string=Audit&amp;VAR:KEY=HGZWPMTGLE&amp;VAR:QUERY=RkZfRUJJVERBX0lCKCdBTk4nLDM2MDY4LCwsLCdHQlAnKQ==&amp;WINDOW=FIRST_POPUP&amp;HEIGHT=450&amp;WIDTH=","450&amp;START_MAXIMIZED=FALSE&amp;VAR:CALENDAR=FIVEDAY&amp;VAR:SYMBOL=080216&amp;VAR:INDEX=0"}</definedName>
    <definedName name="_328__FDSAUDITLINK__" hidden="1">{"fdsup://directions/FAT Viewer?action=UPDATE&amp;creator=factset&amp;DYN_ARGS=TRUE&amp;DOC_NAME=FAT:FQL_AUDITING_CLIENT_TEMPLATE.FAT&amp;display_string=Audit&amp;VAR:KEY=ZCTYZSFOLY&amp;VAR:QUERY=RkZfSU5UX0VYUF9ORVQoTFRNLDQxMTEwKQ==&amp;WINDOW=FIRST_POPUP&amp;HEIGHT=450&amp;WIDTH=450&amp;START_MA","XIMIZED=FALSE&amp;VAR:CALENDAR=US&amp;VAR:SYMBOL=711075&amp;VAR:INDEX=0"}</definedName>
    <definedName name="_328__FDSAUDITLINK___1" localSheetId="8" hidden="1">{"fdsup://directions/FAT Viewer?action=UPDATE&amp;creator=factset&amp;DYN_ARGS=TRUE&amp;DOC_NAME=FAT:FQL_AUDITING_CLIENT_TEMPLATE.FAT&amp;display_string=Audit&amp;VAR:KEY=HGZWPMTGLE&amp;VAR:QUERY=RkZfRUJJVERBX0lCKCdBTk4nLDM2MDY4LCwsLCdHQlAnKQ==&amp;WINDOW=FIRST_POPUP&amp;HEIGHT=450&amp;WIDTH=","450&amp;START_MAXIMIZED=FALSE&amp;VAR:CALENDAR=FIVEDAY&amp;VAR:SYMBOL=080216&amp;VAR:INDEX=0"}</definedName>
    <definedName name="_328__FDSAUDITLINK___1" hidden="1">{"fdsup://directions/FAT Viewer?action=UPDATE&amp;creator=factset&amp;DYN_ARGS=TRUE&amp;DOC_NAME=FAT:FQL_AUDITING_CLIENT_TEMPLATE.FAT&amp;display_string=Audit&amp;VAR:KEY=HGZWPMTGLE&amp;VAR:QUERY=RkZfRUJJVERBX0lCKCdBTk4nLDM2MDY4LCwsLCdHQlAnKQ==&amp;WINDOW=FIRST_POPUP&amp;HEIGHT=450&amp;WIDTH=","450&amp;START_MAXIMIZED=FALSE&amp;VAR:CALENDAR=FIVEDAY&amp;VAR:SYMBOL=080216&amp;VAR:INDEX=0"}</definedName>
    <definedName name="_329__FDSAUDITLINK__" localSheetId="8" hidden="1">{"fdsup://directions/FAT Viewer?action=UPDATE&amp;creator=factset&amp;DYN_ARGS=TRUE&amp;DOC_NAME=FAT:FQL_AUDITING_CLIENT_TEMPLATE.FAT&amp;display_string=Audit&amp;VAR:KEY=XOLQVIFKNK&amp;VAR:QUERY=RkZfRUJJVERBX0lCKCdBTk4nLDM1NzAzLCwsLCdHQlAnKQ==&amp;WINDOW=FIRST_POPUP&amp;HEIGHT=450&amp;WIDTH=","450&amp;START_MAXIMIZED=FALSE&amp;VAR:CALENDAR=FIVEDAY&amp;VAR:SYMBOL=080216&amp;VAR:INDEX=0"}</definedName>
    <definedName name="_329__FDSAUDITLINK__" hidden="1">{"fdsup://directions/FAT Viewer?action=UPDATE&amp;creator=factset&amp;DYN_ARGS=TRUE&amp;DOC_NAME=FAT:FQL_AUDITING_CLIENT_TEMPLATE.FAT&amp;display_string=Audit&amp;VAR:KEY=XOLQVIFKNK&amp;VAR:QUERY=RkZfRUJJVERBX0lCKCdBTk4nLDM1NzAzLCwsLCdHQlAnKQ==&amp;WINDOW=FIRST_POPUP&amp;HEIGHT=450&amp;WIDTH=","450&amp;START_MAXIMIZED=FALSE&amp;VAR:CALENDAR=FIVEDAY&amp;VAR:SYMBOL=080216&amp;VAR:INDEX=0"}</definedName>
    <definedName name="_329__FDSAUDITLINK___1" localSheetId="8" hidden="1">{"fdsup://directions/FAT Viewer?action=UPDATE&amp;creator=factset&amp;DYN_ARGS=TRUE&amp;DOC_NAME=FAT:FQL_AUDITING_CLIENT_TEMPLATE.FAT&amp;display_string=Audit&amp;VAR:KEY=XOLQVIFKNK&amp;VAR:QUERY=RkZfRUJJVERBX0lCKCdBTk4nLDM1NzAzLCwsLCdHQlAnKQ==&amp;WINDOW=FIRST_POPUP&amp;HEIGHT=450&amp;WIDTH=","450&amp;START_MAXIMIZED=FALSE&amp;VAR:CALENDAR=FIVEDAY&amp;VAR:SYMBOL=080216&amp;VAR:INDEX=0"}</definedName>
    <definedName name="_329__FDSAUDITLINK___1" hidden="1">{"fdsup://directions/FAT Viewer?action=UPDATE&amp;creator=factset&amp;DYN_ARGS=TRUE&amp;DOC_NAME=FAT:FQL_AUDITING_CLIENT_TEMPLATE.FAT&amp;display_string=Audit&amp;VAR:KEY=XOLQVIFKNK&amp;VAR:QUERY=RkZfRUJJVERBX0lCKCdBTk4nLDM1NzAzLCwsLCdHQlAnKQ==&amp;WINDOW=FIRST_POPUP&amp;HEIGHT=450&amp;WIDTH=","450&amp;START_MAXIMIZED=FALSE&amp;VAR:CALENDAR=FIVEDAY&amp;VAR:SYMBOL=080216&amp;VAR:INDEX=0"}</definedName>
    <definedName name="_33__123Graph_BCHART_1" hidden="1">#REF!</definedName>
    <definedName name="_33__123Graph_BCHART_8" hidden="1">#REF!</definedName>
    <definedName name="_33__123Graph_DGRAFICO_30" localSheetId="8" hidden="1">#REF!</definedName>
    <definedName name="_33__123Graph_DGRAFICO_30" hidden="1">#REF!</definedName>
    <definedName name="_33__123Graph_LBL_DCHART_1" hidden="1">#REF!</definedName>
    <definedName name="_33__123Graph_XCHART_7" localSheetId="8" hidden="1">#REF!</definedName>
    <definedName name="_33__123Graph_XCHART_7" hidden="1">#REF!</definedName>
    <definedName name="_33__123Graph_XCHART_9" hidden="1">#REF!</definedName>
    <definedName name="_33__FDSAUDITLINK__" localSheetId="8" hidden="1">{"fdsup://directions/FAT Viewer?action=UPDATE&amp;creator=factset&amp;DYN_ARGS=TRUE&amp;DOC_NAME=FAT:FQL_AUDITING_CLIENT_TEMPLATE.FAT&amp;display_string=Audit&amp;VAR:KEY=ELWRARGDAV&amp;VAR:QUERY=RkZfRUJJVF9JQihBTk4sMzk4MTMsLCxFVVIp&amp;WINDOW=FIRST_POPUP&amp;HEIGHT=450&amp;WIDTH=450&amp;START_MA","XIMIZED=FALSE&amp;VAR:CALENDAR=FIVEDAY&amp;VAR:SYMBOL=591344&amp;VAR:INDEX=0"}</definedName>
    <definedName name="_33__FDSAUDITLINK__" hidden="1">{"fdsup://directions/FAT Viewer?action=UPDATE&amp;creator=factset&amp;DYN_ARGS=TRUE&amp;DOC_NAME=FAT:FQL_AUDITING_CLIENT_TEMPLATE.FAT&amp;display_string=Audit&amp;VAR:KEY=CXALAJMVSF&amp;VAR:QUERY=RkZfU0FMRVMoQ0FMLDIwMDkp&amp;WINDOW=FIRST_POPUP&amp;HEIGHT=450&amp;WIDTH=450&amp;START_MAXIMIZED=FALS","E&amp;VAR:CALENDAR=US&amp;VAR:SYMBOL=MCEM&amp;VAR:INDEX=0"}</definedName>
    <definedName name="_33__FDSAUDITLINK___1" localSheetId="8" hidden="1">{"fdsup://directions/FAT Viewer?action=UPDATE&amp;creator=factset&amp;DYN_ARGS=TRUE&amp;DOC_NAME=FAT:FQL_AUDITING_CLIENT_TEMPLATE.FAT&amp;display_string=Audit&amp;VAR:KEY=ELWRARGDAV&amp;VAR:QUERY=RkZfRUJJVF9JQihBTk4sMzk4MTMsLCxFVVIp&amp;WINDOW=FIRST_POPUP&amp;HEIGHT=450&amp;WIDTH=450&amp;START_MA","XIMIZED=FALSE&amp;VAR:CALENDAR=FIVEDAY&amp;VAR:SYMBOL=591344&amp;VAR:INDEX=0"}</definedName>
    <definedName name="_33__FDSAUDITLINK___1" hidden="1">{"fdsup://directions/FAT Viewer?action=UPDATE&amp;creator=factset&amp;DYN_ARGS=TRUE&amp;DOC_NAME=FAT:FQL_AUDITING_CLIENT_TEMPLATE.FAT&amp;display_string=Audit&amp;VAR:KEY=ELWRARGDAV&amp;VAR:QUERY=RkZfRUJJVF9JQihBTk4sMzk4MTMsLCxFVVIp&amp;WINDOW=FIRST_POPUP&amp;HEIGHT=450&amp;WIDTH=450&amp;START_MA","XIMIZED=FALSE&amp;VAR:CALENDAR=FIVEDAY&amp;VAR:SYMBOL=591344&amp;VAR:INDEX=0"}</definedName>
    <definedName name="_33_0_0__123Graph_LB" hidden="1">#REF!</definedName>
    <definedName name="_330__FDSAUDITLINK__" localSheetId="8" hidden="1">{"fdsup://directions/FAT Viewer?action=UPDATE&amp;creator=factset&amp;DYN_ARGS=TRUE&amp;DOC_NAME=FAT:FQL_AUDITING_CLIENT_TEMPLATE.FAT&amp;display_string=Audit&amp;VAR:KEY=RWHYNIHQFS&amp;VAR:QUERY=RkZfRUJJVERBX0lCKCdBTk4nLDM1MzM4LCwsLCdHQlAnKQ==&amp;WINDOW=FIRST_POPUP&amp;HEIGHT=450&amp;WIDTH=","450&amp;START_MAXIMIZED=FALSE&amp;VAR:CALENDAR=FIVEDAY&amp;VAR:SYMBOL=080216&amp;VAR:INDEX=0"}</definedName>
    <definedName name="_330__FDSAUDITLINK__" hidden="1">{"fdsup://directions/FAT Viewer?action=UPDATE&amp;creator=factset&amp;DYN_ARGS=TRUE&amp;DOC_NAME=FAT:FQL_AUDITING_CLIENT_TEMPLATE.FAT&amp;display_string=Audit&amp;VAR:KEY=RWHYNIHQFS&amp;VAR:QUERY=RkZfRUJJVERBX0lCKCdBTk4nLDM1MzM4LCwsLCdHQlAnKQ==&amp;WINDOW=FIRST_POPUP&amp;HEIGHT=450&amp;WIDTH=","450&amp;START_MAXIMIZED=FALSE&amp;VAR:CALENDAR=FIVEDAY&amp;VAR:SYMBOL=080216&amp;VAR:INDEX=0"}</definedName>
    <definedName name="_330__FDSAUDITLINK___1" localSheetId="8" hidden="1">{"fdsup://directions/FAT Viewer?action=UPDATE&amp;creator=factset&amp;DYN_ARGS=TRUE&amp;DOC_NAME=FAT:FQL_AUDITING_CLIENT_TEMPLATE.FAT&amp;display_string=Audit&amp;VAR:KEY=RWHYNIHQFS&amp;VAR:QUERY=RkZfRUJJVERBX0lCKCdBTk4nLDM1MzM4LCwsLCdHQlAnKQ==&amp;WINDOW=FIRST_POPUP&amp;HEIGHT=450&amp;WIDTH=","450&amp;START_MAXIMIZED=FALSE&amp;VAR:CALENDAR=FIVEDAY&amp;VAR:SYMBOL=080216&amp;VAR:INDEX=0"}</definedName>
    <definedName name="_330__FDSAUDITLINK___1" hidden="1">{"fdsup://directions/FAT Viewer?action=UPDATE&amp;creator=factset&amp;DYN_ARGS=TRUE&amp;DOC_NAME=FAT:FQL_AUDITING_CLIENT_TEMPLATE.FAT&amp;display_string=Audit&amp;VAR:KEY=RWHYNIHQFS&amp;VAR:QUERY=RkZfRUJJVERBX0lCKCdBTk4nLDM1MzM4LCwsLCdHQlAnKQ==&amp;WINDOW=FIRST_POPUP&amp;HEIGHT=450&amp;WIDTH=","450&amp;START_MAXIMIZED=FALSE&amp;VAR:CALENDAR=FIVEDAY&amp;VAR:SYMBOL=080216&amp;VAR:INDEX=0"}</definedName>
    <definedName name="_331__FDSAUDITLINK__" localSheetId="8" hidden="1">{"fdsup://directions/FAT Viewer?action=UPDATE&amp;creator=factset&amp;DYN_ARGS=TRUE&amp;DOC_NAME=FAT:FQL_AUDITING_CLIENT_TEMPLATE.FAT&amp;display_string=Audit&amp;VAR:KEY=NOPYRQJSNG&amp;VAR:QUERY=RkZfRUJJVERBX0lCKCdBTk4nLDM0OTcyLCwsLCdHQlAnKQ==&amp;WINDOW=FIRST_POPUP&amp;HEIGHT=450&amp;WIDTH=","450&amp;START_MAXIMIZED=FALSE&amp;VAR:CALENDAR=FIVEDAY&amp;VAR:SYMBOL=080216&amp;VAR:INDEX=0"}</definedName>
    <definedName name="_331__FDSAUDITLINK__" hidden="1">{"fdsup://directions/FAT Viewer?action=UPDATE&amp;creator=factset&amp;DYN_ARGS=TRUE&amp;DOC_NAME=FAT:FQL_AUDITING_CLIENT_TEMPLATE.FAT&amp;display_string=Audit&amp;VAR:KEY=NOPYRQJSNG&amp;VAR:QUERY=RkZfRUJJVERBX0lCKCdBTk4nLDM0OTcyLCwsLCdHQlAnKQ==&amp;WINDOW=FIRST_POPUP&amp;HEIGHT=450&amp;WIDTH=","450&amp;START_MAXIMIZED=FALSE&amp;VAR:CALENDAR=FIVEDAY&amp;VAR:SYMBOL=080216&amp;VAR:INDEX=0"}</definedName>
    <definedName name="_331__FDSAUDITLINK___1" localSheetId="8" hidden="1">{"fdsup://directions/FAT Viewer?action=UPDATE&amp;creator=factset&amp;DYN_ARGS=TRUE&amp;DOC_NAME=FAT:FQL_AUDITING_CLIENT_TEMPLATE.FAT&amp;display_string=Audit&amp;VAR:KEY=NOPYRQJSNG&amp;VAR:QUERY=RkZfRUJJVERBX0lCKCdBTk4nLDM0OTcyLCwsLCdHQlAnKQ==&amp;WINDOW=FIRST_POPUP&amp;HEIGHT=450&amp;WIDTH=","450&amp;START_MAXIMIZED=FALSE&amp;VAR:CALENDAR=FIVEDAY&amp;VAR:SYMBOL=080216&amp;VAR:INDEX=0"}</definedName>
    <definedName name="_331__FDSAUDITLINK___1" hidden="1">{"fdsup://directions/FAT Viewer?action=UPDATE&amp;creator=factset&amp;DYN_ARGS=TRUE&amp;DOC_NAME=FAT:FQL_AUDITING_CLIENT_TEMPLATE.FAT&amp;display_string=Audit&amp;VAR:KEY=NOPYRQJSNG&amp;VAR:QUERY=RkZfRUJJVERBX0lCKCdBTk4nLDM0OTcyLCwsLCdHQlAnKQ==&amp;WINDOW=FIRST_POPUP&amp;HEIGHT=450&amp;WIDTH=","450&amp;START_MAXIMIZED=FALSE&amp;VAR:CALENDAR=FIVEDAY&amp;VAR:SYMBOL=080216&amp;VAR:INDEX=0"}</definedName>
    <definedName name="_332__FDSAUDITLINK__" localSheetId="8" hidden="1">{"fdsup://directions/FAT Viewer?action=UPDATE&amp;creator=factset&amp;DYN_ARGS=TRUE&amp;DOC_NAME=FAT:FQL_AUDITING_CLIENT_TEMPLATE.FAT&amp;display_string=Audit&amp;VAR:KEY=VYPQVQFQBA&amp;VAR:QUERY=RkZfRUJJVERBX0lCKCdBTk4nLDM0NjA3LCwsLCdHQlAnKQ==&amp;WINDOW=FIRST_POPUP&amp;HEIGHT=450&amp;WIDTH=","450&amp;START_MAXIMIZED=FALSE&amp;VAR:CALENDAR=FIVEDAY&amp;VAR:SYMBOL=080216&amp;VAR:INDEX=0"}</definedName>
    <definedName name="_332__FDSAUDITLINK__" hidden="1">{"fdsup://directions/FAT Viewer?action=UPDATE&amp;creator=factset&amp;DYN_ARGS=TRUE&amp;DOC_NAME=FAT:FQL_AUDITING_CLIENT_TEMPLATE.FAT&amp;display_string=Audit&amp;VAR:KEY=VYPQVQFQBA&amp;VAR:QUERY=RkZfRUJJVERBX0lCKCdBTk4nLDM0NjA3LCwsLCdHQlAnKQ==&amp;WINDOW=FIRST_POPUP&amp;HEIGHT=450&amp;WIDTH=","450&amp;START_MAXIMIZED=FALSE&amp;VAR:CALENDAR=FIVEDAY&amp;VAR:SYMBOL=080216&amp;VAR:INDEX=0"}</definedName>
    <definedName name="_332__FDSAUDITLINK___1" localSheetId="8" hidden="1">{"fdsup://directions/FAT Viewer?action=UPDATE&amp;creator=factset&amp;DYN_ARGS=TRUE&amp;DOC_NAME=FAT:FQL_AUDITING_CLIENT_TEMPLATE.FAT&amp;display_string=Audit&amp;VAR:KEY=VYPQVQFQBA&amp;VAR:QUERY=RkZfRUJJVERBX0lCKCdBTk4nLDM0NjA3LCwsLCdHQlAnKQ==&amp;WINDOW=FIRST_POPUP&amp;HEIGHT=450&amp;WIDTH=","450&amp;START_MAXIMIZED=FALSE&amp;VAR:CALENDAR=FIVEDAY&amp;VAR:SYMBOL=080216&amp;VAR:INDEX=0"}</definedName>
    <definedName name="_332__FDSAUDITLINK___1" hidden="1">{"fdsup://directions/FAT Viewer?action=UPDATE&amp;creator=factset&amp;DYN_ARGS=TRUE&amp;DOC_NAME=FAT:FQL_AUDITING_CLIENT_TEMPLATE.FAT&amp;display_string=Audit&amp;VAR:KEY=VYPQVQFQBA&amp;VAR:QUERY=RkZfRUJJVERBX0lCKCdBTk4nLDM0NjA3LCwsLCdHQlAnKQ==&amp;WINDOW=FIRST_POPUP&amp;HEIGHT=450&amp;WIDTH=","450&amp;START_MAXIMIZED=FALSE&amp;VAR:CALENDAR=FIVEDAY&amp;VAR:SYMBOL=080216&amp;VAR:INDEX=0"}</definedName>
    <definedName name="_333__FDSAUDITLINK__" localSheetId="8" hidden="1">{"fdsup://directions/FAT Viewer?action=UPDATE&amp;creator=factset&amp;DYN_ARGS=TRUE&amp;DOC_NAME=FAT:FQL_AUDITING_CLIENT_TEMPLATE.FAT&amp;display_string=Audit&amp;VAR:KEY=XYXAJYFGJG&amp;VAR:QUERY=RkZfRUJJVERBX0lCKCdBTk4nLDM0MjQyLCwsLCdHQlAnKQ==&amp;WINDOW=FIRST_POPUP&amp;HEIGHT=450&amp;WIDTH=","450&amp;START_MAXIMIZED=FALSE&amp;VAR:CALENDAR=FIVEDAY&amp;VAR:SYMBOL=080216&amp;VAR:INDEX=0"}</definedName>
    <definedName name="_333__FDSAUDITLINK__" hidden="1">{"fdsup://directions/FAT Viewer?action=UPDATE&amp;creator=factset&amp;DYN_ARGS=TRUE&amp;DOC_NAME=FAT:FQL_AUDITING_CLIENT_TEMPLATE.FAT&amp;display_string=Audit&amp;VAR:KEY=MPUNYNEVIX&amp;VAR:QUERY=RkZfRUJJVF9PUEVSKExUTSw0MTA5Mik=&amp;WINDOW=FIRST_POPUP&amp;HEIGHT=450&amp;WIDTH=450&amp;START_MAXIMI","ZED=FALSE&amp;VAR:CALENDAR=US&amp;VAR:SYMBOL=EXP&amp;VAR:INDEX=0"}</definedName>
    <definedName name="_333__FDSAUDITLINK___1" localSheetId="8" hidden="1">{"fdsup://directions/FAT Viewer?action=UPDATE&amp;creator=factset&amp;DYN_ARGS=TRUE&amp;DOC_NAME=FAT:FQL_AUDITING_CLIENT_TEMPLATE.FAT&amp;display_string=Audit&amp;VAR:KEY=XYXAJYFGJG&amp;VAR:QUERY=RkZfRUJJVERBX0lCKCdBTk4nLDM0MjQyLCwsLCdHQlAnKQ==&amp;WINDOW=FIRST_POPUP&amp;HEIGHT=450&amp;WIDTH=","450&amp;START_MAXIMIZED=FALSE&amp;VAR:CALENDAR=FIVEDAY&amp;VAR:SYMBOL=080216&amp;VAR:INDEX=0"}</definedName>
    <definedName name="_333__FDSAUDITLINK___1" hidden="1">{"fdsup://directions/FAT Viewer?action=UPDATE&amp;creator=factset&amp;DYN_ARGS=TRUE&amp;DOC_NAME=FAT:FQL_AUDITING_CLIENT_TEMPLATE.FAT&amp;display_string=Audit&amp;VAR:KEY=XYXAJYFGJG&amp;VAR:QUERY=RkZfRUJJVERBX0lCKCdBTk4nLDM0MjQyLCwsLCdHQlAnKQ==&amp;WINDOW=FIRST_POPUP&amp;HEIGHT=450&amp;WIDTH=","450&amp;START_MAXIMIZED=FALSE&amp;VAR:CALENDAR=FIVEDAY&amp;VAR:SYMBOL=080216&amp;VAR:INDEX=0"}</definedName>
    <definedName name="_334__FDSAUDITLINK__" localSheetId="8" hidden="1">{"fdsup://directions/FAT Viewer?action=UPDATE&amp;creator=factset&amp;DYN_ARGS=TRUE&amp;DOC_NAME=FAT:FQL_AUDITING_CLIENT_TEMPLATE.FAT&amp;display_string=Audit&amp;VAR:KEY=BMZATGHCZK&amp;VAR:QUERY=RkZfRUJJVERBX0lCKCdBTk4nLDMzODc3LCwsLCdHQlAnKQ==&amp;WINDOW=FIRST_POPUP&amp;HEIGHT=450&amp;WIDTH=","450&amp;START_MAXIMIZED=FALSE&amp;VAR:CALENDAR=FIVEDAY&amp;VAR:SYMBOL=080216&amp;VAR:INDEX=0"}</definedName>
    <definedName name="_334__FDSAUDITLINK__" hidden="1">{"fdsup://directions/FAT Viewer?action=UPDATE&amp;creator=factset&amp;DYN_ARGS=TRUE&amp;DOC_NAME=FAT:FQL_AUDITING_CLIENT_TEMPLATE.FAT&amp;display_string=Audit&amp;VAR:KEY=BMZATGHCZK&amp;VAR:QUERY=RkZfRUJJVERBX0lCKCdBTk4nLDMzODc3LCwsLCdHQlAnKQ==&amp;WINDOW=FIRST_POPUP&amp;HEIGHT=450&amp;WIDTH=","450&amp;START_MAXIMIZED=FALSE&amp;VAR:CALENDAR=FIVEDAY&amp;VAR:SYMBOL=080216&amp;VAR:INDEX=0"}</definedName>
    <definedName name="_334__FDSAUDITLINK___1" localSheetId="8" hidden="1">{"fdsup://directions/FAT Viewer?action=UPDATE&amp;creator=factset&amp;DYN_ARGS=TRUE&amp;DOC_NAME=FAT:FQL_AUDITING_CLIENT_TEMPLATE.FAT&amp;display_string=Audit&amp;VAR:KEY=BMZATGHCZK&amp;VAR:QUERY=RkZfRUJJVERBX0lCKCdBTk4nLDMzODc3LCwsLCdHQlAnKQ==&amp;WINDOW=FIRST_POPUP&amp;HEIGHT=450&amp;WIDTH=","450&amp;START_MAXIMIZED=FALSE&amp;VAR:CALENDAR=FIVEDAY&amp;VAR:SYMBOL=080216&amp;VAR:INDEX=0"}</definedName>
    <definedName name="_334__FDSAUDITLINK___1" hidden="1">{"fdsup://directions/FAT Viewer?action=UPDATE&amp;creator=factset&amp;DYN_ARGS=TRUE&amp;DOC_NAME=FAT:FQL_AUDITING_CLIENT_TEMPLATE.FAT&amp;display_string=Audit&amp;VAR:KEY=BMZATGHCZK&amp;VAR:QUERY=RkZfRUJJVERBX0lCKCdBTk4nLDMzODc3LCwsLCdHQlAnKQ==&amp;WINDOW=FIRST_POPUP&amp;HEIGHT=450&amp;WIDTH=","450&amp;START_MAXIMIZED=FALSE&amp;VAR:CALENDAR=FIVEDAY&amp;VAR:SYMBOL=080216&amp;VAR:INDEX=0"}</definedName>
    <definedName name="_335__FDSAUDITLINK__" localSheetId="8" hidden="1">{"fdsup://directions/FAT Viewer?action=UPDATE&amp;creator=factset&amp;DYN_ARGS=TRUE&amp;DOC_NAME=FAT:FQL_AUDITING_CLIENT_TEMPLATE.FAT&amp;display_string=Audit&amp;VAR:KEY=PEHOPQNOBC&amp;VAR:QUERY=RkZfRUJJVERBX0lCKCdBTk4nLDMzNTExLCwsLCdHQlAnKQ==&amp;WINDOW=FIRST_POPUP&amp;HEIGHT=450&amp;WIDTH=","450&amp;START_MAXIMIZED=FALSE&amp;VAR:CALENDAR=FIVEDAY&amp;VAR:SYMBOL=080216&amp;VAR:INDEX=0"}</definedName>
    <definedName name="_335__FDSAUDITLINK__" hidden="1">{"fdsup://directions/FAT Viewer?action=UPDATE&amp;creator=factset&amp;DYN_ARGS=TRUE&amp;DOC_NAME=FAT:FQL_AUDITING_CLIENT_TEMPLATE.FAT&amp;display_string=Audit&amp;VAR:KEY=PEHOPQNOBC&amp;VAR:QUERY=RkZfRUJJVERBX0lCKCdBTk4nLDMzNTExLCwsLCdHQlAnKQ==&amp;WINDOW=FIRST_POPUP&amp;HEIGHT=450&amp;WIDTH=","450&amp;START_MAXIMIZED=FALSE&amp;VAR:CALENDAR=FIVEDAY&amp;VAR:SYMBOL=080216&amp;VAR:INDEX=0"}</definedName>
    <definedName name="_335__FDSAUDITLINK___1" localSheetId="8" hidden="1">{"fdsup://directions/FAT Viewer?action=UPDATE&amp;creator=factset&amp;DYN_ARGS=TRUE&amp;DOC_NAME=FAT:FQL_AUDITING_CLIENT_TEMPLATE.FAT&amp;display_string=Audit&amp;VAR:KEY=PEHOPQNOBC&amp;VAR:QUERY=RkZfRUJJVERBX0lCKCdBTk4nLDMzNTExLCwsLCdHQlAnKQ==&amp;WINDOW=FIRST_POPUP&amp;HEIGHT=450&amp;WIDTH=","450&amp;START_MAXIMIZED=FALSE&amp;VAR:CALENDAR=FIVEDAY&amp;VAR:SYMBOL=080216&amp;VAR:INDEX=0"}</definedName>
    <definedName name="_335__FDSAUDITLINK___1" hidden="1">{"fdsup://directions/FAT Viewer?action=UPDATE&amp;creator=factset&amp;DYN_ARGS=TRUE&amp;DOC_NAME=FAT:FQL_AUDITING_CLIENT_TEMPLATE.FAT&amp;display_string=Audit&amp;VAR:KEY=PEHOPQNOBC&amp;VAR:QUERY=RkZfRUJJVERBX0lCKCdBTk4nLDMzNTExLCwsLCdHQlAnKQ==&amp;WINDOW=FIRST_POPUP&amp;HEIGHT=450&amp;WIDTH=","450&amp;START_MAXIMIZED=FALSE&amp;VAR:CALENDAR=FIVEDAY&amp;VAR:SYMBOL=080216&amp;VAR:INDEX=0"}</definedName>
    <definedName name="_336__FDSAUDITLINK__" localSheetId="8" hidden="1">{"fdsup://directions/FAT Viewer?action=UPDATE&amp;creator=factset&amp;DYN_ARGS=TRUE&amp;DOC_NAME=FAT:FQL_AUDITING_CLIENT_TEMPLATE.FAT&amp;display_string=Audit&amp;VAR:KEY=VEBGDSPGXA&amp;VAR:QUERY=RkZfRUJJVERBX0lCKCdBTk4nLDMzMTQ2LCwsLCdHQlAnKQ==&amp;WINDOW=FIRST_POPUP&amp;HEIGHT=450&amp;WIDTH=","450&amp;START_MAXIMIZED=FALSE&amp;VAR:CALENDAR=FIVEDAY&amp;VAR:SYMBOL=080216&amp;VAR:INDEX=0"}</definedName>
    <definedName name="_336__FDSAUDITLINK__" hidden="1">{"fdsup://directions/FAT Viewer?action=UPDATE&amp;creator=factset&amp;DYN_ARGS=TRUE&amp;DOC_NAME=FAT:FQL_AUDITING_CLIENT_TEMPLATE.FAT&amp;display_string=Audit&amp;VAR:KEY=BCHKFAVYFQ&amp;VAR:QUERY=RkZfSU5UX0VYUF9ORVQoTFRNLDQxMTEwKQ==&amp;WINDOW=FIRST_POPUP&amp;HEIGHT=450&amp;WIDTH=450&amp;START_MA","XIMIZED=FALSE&amp;VAR:CALENDAR=US&amp;VAR:SYMBOL=VMC&amp;VAR:INDEX=0"}</definedName>
    <definedName name="_336__FDSAUDITLINK___1" localSheetId="8" hidden="1">{"fdsup://directions/FAT Viewer?action=UPDATE&amp;creator=factset&amp;DYN_ARGS=TRUE&amp;DOC_NAME=FAT:FQL_AUDITING_CLIENT_TEMPLATE.FAT&amp;display_string=Audit&amp;VAR:KEY=VEBGDSPGXA&amp;VAR:QUERY=RkZfRUJJVERBX0lCKCdBTk4nLDMzMTQ2LCwsLCdHQlAnKQ==&amp;WINDOW=FIRST_POPUP&amp;HEIGHT=450&amp;WIDTH=","450&amp;START_MAXIMIZED=FALSE&amp;VAR:CALENDAR=FIVEDAY&amp;VAR:SYMBOL=080216&amp;VAR:INDEX=0"}</definedName>
    <definedName name="_336__FDSAUDITLINK___1" hidden="1">{"fdsup://directions/FAT Viewer?action=UPDATE&amp;creator=factset&amp;DYN_ARGS=TRUE&amp;DOC_NAME=FAT:FQL_AUDITING_CLIENT_TEMPLATE.FAT&amp;display_string=Audit&amp;VAR:KEY=VEBGDSPGXA&amp;VAR:QUERY=RkZfRUJJVERBX0lCKCdBTk4nLDMzMTQ2LCwsLCdHQlAnKQ==&amp;WINDOW=FIRST_POPUP&amp;HEIGHT=450&amp;WIDTH=","450&amp;START_MAXIMIZED=FALSE&amp;VAR:CALENDAR=FIVEDAY&amp;VAR:SYMBOL=080216&amp;VAR:INDEX=0"}</definedName>
    <definedName name="_337__FDSAUDITLINK__" localSheetId="8" hidden="1">{"fdsup://directions/FAT Viewer?action=UPDATE&amp;creator=factset&amp;DYN_ARGS=TRUE&amp;DOC_NAME=FAT:FQL_AUDITING_CLIENT_TEMPLATE.FAT&amp;display_string=Audit&amp;VAR:KEY=IHIJWNMJQB&amp;VAR:QUERY=RkZfRUJJVERBX0lCKCdBTk4nLDM5ODEzLCwsLCdHQlAnKQ==&amp;WINDOW=FIRST_POPUP&amp;HEIGHT=450&amp;WIDTH=","450&amp;START_MAXIMIZED=FALSE&amp;VAR:CALENDAR=FIVEDAY&amp;VAR:SYMBOL=075902&amp;VAR:INDEX=0"}</definedName>
    <definedName name="_337__FDSAUDITLINK__" hidden="1">{"fdsup://Directions/FactSet Auditing Viewer?action=AUDIT_VALUE&amp;DB=129&amp;ID1=711075&amp;VALUEID=01149&amp;SDATE=2011&amp;PERIODTYPE=ANN_STD&amp;SCFT=3&amp;window=popup_no_bar&amp;width=385&amp;height=120&amp;START_MAXIMIZED=FALSE&amp;creator=factset&amp;display_string=Audit"}</definedName>
    <definedName name="_337__FDSAUDITLINK___1" localSheetId="8" hidden="1">{"fdsup://directions/FAT Viewer?action=UPDATE&amp;creator=factset&amp;DYN_ARGS=TRUE&amp;DOC_NAME=FAT:FQL_AUDITING_CLIENT_TEMPLATE.FAT&amp;display_string=Audit&amp;VAR:KEY=IHIJWNMJQB&amp;VAR:QUERY=RkZfRUJJVERBX0lCKCdBTk4nLDM5ODEzLCwsLCdHQlAnKQ==&amp;WINDOW=FIRST_POPUP&amp;HEIGHT=450&amp;WIDTH=","450&amp;START_MAXIMIZED=FALSE&amp;VAR:CALENDAR=FIVEDAY&amp;VAR:SYMBOL=075902&amp;VAR:INDEX=0"}</definedName>
    <definedName name="_337__FDSAUDITLINK___1" hidden="1">{"fdsup://directions/FAT Viewer?action=UPDATE&amp;creator=factset&amp;DYN_ARGS=TRUE&amp;DOC_NAME=FAT:FQL_AUDITING_CLIENT_TEMPLATE.FAT&amp;display_string=Audit&amp;VAR:KEY=IHIJWNMJQB&amp;VAR:QUERY=RkZfRUJJVERBX0lCKCdBTk4nLDM5ODEzLCwsLCdHQlAnKQ==&amp;WINDOW=FIRST_POPUP&amp;HEIGHT=450&amp;WIDTH=","450&amp;START_MAXIMIZED=FALSE&amp;VAR:CALENDAR=FIVEDAY&amp;VAR:SYMBOL=075902&amp;VAR:INDEX=0"}</definedName>
    <definedName name="_338__FDSAUDITLINK__" localSheetId="8" hidden="1">{"fdsup://directions/FAT Viewer?action=UPDATE&amp;creator=factset&amp;DYN_ARGS=TRUE&amp;DOC_NAME=FAT:FQL_AUDITING_CLIENT_TEMPLATE.FAT&amp;display_string=Audit&amp;VAR:KEY=KHABSRITYT&amp;VAR:QUERY=RkZfRUJJVERBX0lCKCdBTk4nLDM5NDQ3LCwsLCdHQlAnKQ==&amp;WINDOW=FIRST_POPUP&amp;HEIGHT=450&amp;WIDTH=","450&amp;START_MAXIMIZED=FALSE&amp;VAR:CALENDAR=FIVEDAY&amp;VAR:SYMBOL=075902&amp;VAR:INDEX=0"}</definedName>
    <definedName name="_338__FDSAUDITLINK__" hidden="1">{"fdsup://directions/FAT Viewer?action=UPDATE&amp;creator=factset&amp;DYN_ARGS=TRUE&amp;DOC_NAME=FAT:FQL_AUDITING_CLIENT_TEMPLATE.FAT&amp;display_string=Audit&amp;VAR:KEY=KHABSRITYT&amp;VAR:QUERY=RkZfRUJJVERBX0lCKCdBTk4nLDM5NDQ3LCwsLCdHQlAnKQ==&amp;WINDOW=FIRST_POPUP&amp;HEIGHT=450&amp;WIDTH=","450&amp;START_MAXIMIZED=FALSE&amp;VAR:CALENDAR=FIVEDAY&amp;VAR:SYMBOL=075902&amp;VAR:INDEX=0"}</definedName>
    <definedName name="_338__FDSAUDITLINK___1" localSheetId="8" hidden="1">{"fdsup://directions/FAT Viewer?action=UPDATE&amp;creator=factset&amp;DYN_ARGS=TRUE&amp;DOC_NAME=FAT:FQL_AUDITING_CLIENT_TEMPLATE.FAT&amp;display_string=Audit&amp;VAR:KEY=KHABSRITYT&amp;VAR:QUERY=RkZfRUJJVERBX0lCKCdBTk4nLDM5NDQ3LCwsLCdHQlAnKQ==&amp;WINDOW=FIRST_POPUP&amp;HEIGHT=450&amp;WIDTH=","450&amp;START_MAXIMIZED=FALSE&amp;VAR:CALENDAR=FIVEDAY&amp;VAR:SYMBOL=075902&amp;VAR:INDEX=0"}</definedName>
    <definedName name="_338__FDSAUDITLINK___1" hidden="1">{"fdsup://directions/FAT Viewer?action=UPDATE&amp;creator=factset&amp;DYN_ARGS=TRUE&amp;DOC_NAME=FAT:FQL_AUDITING_CLIENT_TEMPLATE.FAT&amp;display_string=Audit&amp;VAR:KEY=KHABSRITYT&amp;VAR:QUERY=RkZfRUJJVERBX0lCKCdBTk4nLDM5NDQ3LCwsLCdHQlAnKQ==&amp;WINDOW=FIRST_POPUP&amp;HEIGHT=450&amp;WIDTH=","450&amp;START_MAXIMIZED=FALSE&amp;VAR:CALENDAR=FIVEDAY&amp;VAR:SYMBOL=075902&amp;VAR:INDEX=0"}</definedName>
    <definedName name="_339__FDSAUDITLINK__" localSheetId="8" hidden="1">{"fdsup://directions/FAT Viewer?action=UPDATE&amp;creator=factset&amp;DYN_ARGS=TRUE&amp;DOC_NAME=FAT:FQL_AUDITING_CLIENT_TEMPLATE.FAT&amp;display_string=Audit&amp;VAR:KEY=KDKVERCRMV&amp;VAR:QUERY=RkZfRUJJVERBX0lCKCdBTk4nLDM5MDgyLCwsLCdHQlAnKQ==&amp;WINDOW=FIRST_POPUP&amp;HEIGHT=450&amp;WIDTH=","450&amp;START_MAXIMIZED=FALSE&amp;VAR:CALENDAR=FIVEDAY&amp;VAR:SYMBOL=075902&amp;VAR:INDEX=0"}</definedName>
    <definedName name="_339__FDSAUDITLINK__" hidden="1">{"fdsup://directions/FAT Viewer?action=UPDATE&amp;creator=factset&amp;DYN_ARGS=TRUE&amp;DOC_NAME=FAT:FQL_AUDITING_CLIENT_TEMPLATE.FAT&amp;display_string=Audit&amp;VAR:KEY=KDKVERCRMV&amp;VAR:QUERY=RkZfRUJJVERBX0lCKCdBTk4nLDM5MDgyLCwsLCdHQlAnKQ==&amp;WINDOW=FIRST_POPUP&amp;HEIGHT=450&amp;WIDTH=","450&amp;START_MAXIMIZED=FALSE&amp;VAR:CALENDAR=FIVEDAY&amp;VAR:SYMBOL=075902&amp;VAR:INDEX=0"}</definedName>
    <definedName name="_339__FDSAUDITLINK___1" localSheetId="8" hidden="1">{"fdsup://directions/FAT Viewer?action=UPDATE&amp;creator=factset&amp;DYN_ARGS=TRUE&amp;DOC_NAME=FAT:FQL_AUDITING_CLIENT_TEMPLATE.FAT&amp;display_string=Audit&amp;VAR:KEY=KDKVERCRMV&amp;VAR:QUERY=RkZfRUJJVERBX0lCKCdBTk4nLDM5MDgyLCwsLCdHQlAnKQ==&amp;WINDOW=FIRST_POPUP&amp;HEIGHT=450&amp;WIDTH=","450&amp;START_MAXIMIZED=FALSE&amp;VAR:CALENDAR=FIVEDAY&amp;VAR:SYMBOL=075902&amp;VAR:INDEX=0"}</definedName>
    <definedName name="_339__FDSAUDITLINK___1" hidden="1">{"fdsup://directions/FAT Viewer?action=UPDATE&amp;creator=factset&amp;DYN_ARGS=TRUE&amp;DOC_NAME=FAT:FQL_AUDITING_CLIENT_TEMPLATE.FAT&amp;display_string=Audit&amp;VAR:KEY=KDKVERCRMV&amp;VAR:QUERY=RkZfRUJJVERBX0lCKCdBTk4nLDM5MDgyLCwsLCdHQlAnKQ==&amp;WINDOW=FIRST_POPUP&amp;HEIGHT=450&amp;WIDTH=","450&amp;START_MAXIMIZED=FALSE&amp;VAR:CALENDAR=FIVEDAY&amp;VAR:SYMBOL=075902&amp;VAR:INDEX=0"}</definedName>
    <definedName name="_34__123Graph_BCHART_1" hidden="1">#REF!</definedName>
    <definedName name="_34__123Graph_BCHART_9" hidden="1">#REF!</definedName>
    <definedName name="_34__123Graph_DGRAFICO_33" localSheetId="8" hidden="1">#REF!</definedName>
    <definedName name="_34__123Graph_DGRAFICO_33" hidden="1">#REF!</definedName>
    <definedName name="_34__123Graph_XCHART_8" localSheetId="8" hidden="1">#REF!</definedName>
    <definedName name="_34__123Graph_XCHART_8" hidden="1">#REF!</definedName>
    <definedName name="_34__FDSAUDITLINK__" localSheetId="8" hidden="1">{"fdsup://Directions/FactSet Auditing Viewer?action=AUDIT_VALUE&amp;DB=129&amp;ID1=591344&amp;VALUEID=01001&amp;SDATE=2008&amp;PERIODTYPE=ANN_STD&amp;window=popup_no_bar&amp;width=385&amp;height=120&amp;START_MAXIMIZED=FALSE&amp;creator=factset&amp;display_string=Audit"}</definedName>
    <definedName name="_34__FDSAUDITLINK__" hidden="1">{"fdsup://directions/FAT Viewer?action=UPDATE&amp;creator=factset&amp;DYN_ARGS=TRUE&amp;DOC_NAME=FAT:FQL_AUDITING_CLIENT_TEMPLATE.FAT&amp;display_string=Audit&amp;VAR:KEY=KHOFSBMBIZ&amp;VAR:QUERY=RkZfU0FMRVMoQ0FMLDIwMDkp&amp;WINDOW=FIRST_POPUP&amp;HEIGHT=450&amp;WIDTH=450&amp;START_MAXIMIZED=FALS","E&amp;VAR:CALENDAR=US&amp;VAR:SYMBOL=TXI&amp;VAR:INDEX=0"}</definedName>
    <definedName name="_34__FDSAUDITLINK___1" localSheetId="8" hidden="1">{"fdsup://Directions/FactSet Auditing Viewer?action=AUDIT_VALUE&amp;DB=129&amp;ID1=591344&amp;VALUEID=01001&amp;SDATE=2008&amp;PERIODTYPE=ANN_STD&amp;window=popup_no_bar&amp;width=385&amp;height=120&amp;START_MAXIMIZED=FALSE&amp;creator=factset&amp;display_string=Audit"}</definedName>
    <definedName name="_34__FDSAUDITLINK___1" hidden="1">{"fdsup://Directions/FactSet Auditing Viewer?action=AUDIT_VALUE&amp;DB=129&amp;ID1=591344&amp;VALUEID=01001&amp;SDATE=2008&amp;PERIODTYPE=ANN_STD&amp;window=popup_no_bar&amp;width=385&amp;height=120&amp;START_MAXIMIZED=FALSE&amp;creator=factset&amp;display_string=Audit"}</definedName>
    <definedName name="_34_0_0__123Graph_LBL_AB94S" hidden="1">#REF!</definedName>
    <definedName name="_340__FDSAUDITLINK__" localSheetId="8" hidden="1">{"fdsup://directions/FAT Viewer?action=UPDATE&amp;creator=factset&amp;DYN_ARGS=TRUE&amp;DOC_NAME=FAT:FQL_AUDITING_CLIENT_TEMPLATE.FAT&amp;display_string=Audit&amp;VAR:KEY=DORCFSFKJS&amp;VAR:QUERY=RkZfRUJJVERBX0lCKCdBTk4nLDM4NzE3LCwsLCdHQlAnKQ==&amp;WINDOW=FIRST_POPUP&amp;HEIGHT=450&amp;WIDTH=","450&amp;START_MAXIMIZED=FALSE&amp;VAR:CALENDAR=FIVEDAY&amp;VAR:SYMBOL=075902&amp;VAR:INDEX=0"}</definedName>
    <definedName name="_340__FDSAUDITLINK__" hidden="1">{"fdsup://directions/FAT Viewer?action=UPDATE&amp;creator=factset&amp;DYN_ARGS=TRUE&amp;DOC_NAME=FAT:FQL_AUDITING_CLIENT_TEMPLATE.FAT&amp;display_string=Audit&amp;VAR:KEY=DORCFSFKJS&amp;VAR:QUERY=RkZfRUJJVERBX0lCKCdBTk4nLDM4NzE3LCwsLCdHQlAnKQ==&amp;WINDOW=FIRST_POPUP&amp;HEIGHT=450&amp;WIDTH=","450&amp;START_MAXIMIZED=FALSE&amp;VAR:CALENDAR=FIVEDAY&amp;VAR:SYMBOL=075902&amp;VAR:INDEX=0"}</definedName>
    <definedName name="_340__FDSAUDITLINK___1" localSheetId="8" hidden="1">{"fdsup://directions/FAT Viewer?action=UPDATE&amp;creator=factset&amp;DYN_ARGS=TRUE&amp;DOC_NAME=FAT:FQL_AUDITING_CLIENT_TEMPLATE.FAT&amp;display_string=Audit&amp;VAR:KEY=DORCFSFKJS&amp;VAR:QUERY=RkZfRUJJVERBX0lCKCdBTk4nLDM4NzE3LCwsLCdHQlAnKQ==&amp;WINDOW=FIRST_POPUP&amp;HEIGHT=450&amp;WIDTH=","450&amp;START_MAXIMIZED=FALSE&amp;VAR:CALENDAR=FIVEDAY&amp;VAR:SYMBOL=075902&amp;VAR:INDEX=0"}</definedName>
    <definedName name="_340__FDSAUDITLINK___1" hidden="1">{"fdsup://directions/FAT Viewer?action=UPDATE&amp;creator=factset&amp;DYN_ARGS=TRUE&amp;DOC_NAME=FAT:FQL_AUDITING_CLIENT_TEMPLATE.FAT&amp;display_string=Audit&amp;VAR:KEY=DORCFSFKJS&amp;VAR:QUERY=RkZfRUJJVERBX0lCKCdBTk4nLDM4NzE3LCwsLCdHQlAnKQ==&amp;WINDOW=FIRST_POPUP&amp;HEIGHT=450&amp;WIDTH=","450&amp;START_MAXIMIZED=FALSE&amp;VAR:CALENDAR=FIVEDAY&amp;VAR:SYMBOL=075902&amp;VAR:INDEX=0"}</definedName>
    <definedName name="_341__FDSAUDITLINK__" localSheetId="8" hidden="1">{"fdsup://directions/FAT Viewer?action=UPDATE&amp;creator=factset&amp;DYN_ARGS=TRUE&amp;DOC_NAME=FAT:FQL_AUDITING_CLIENT_TEMPLATE.FAT&amp;display_string=Audit&amp;VAR:KEY=RQFOTMRCVA&amp;VAR:QUERY=RkZfRUJJVERBX0lCKCdBTk4nLDM4MzUyLCwsLCdHQlAnKQ==&amp;WINDOW=FIRST_POPUP&amp;HEIGHT=450&amp;WIDTH=","450&amp;START_MAXIMIZED=FALSE&amp;VAR:CALENDAR=FIVEDAY&amp;VAR:SYMBOL=075902&amp;VAR:INDEX=0"}</definedName>
    <definedName name="_341__FDSAUDITLINK__" hidden="1">{"fdsup://directions/FAT Viewer?action=UPDATE&amp;creator=factset&amp;DYN_ARGS=TRUE&amp;DOC_NAME=FAT:FQL_AUDITING_CLIENT_TEMPLATE.FAT&amp;display_string=Audit&amp;VAR:KEY=AROFYLARQX&amp;VAR:QUERY=RkZfU0FMRVMoTFRNLDQxMDkyKQ==&amp;WINDOW=FIRST_POPUP&amp;HEIGHT=450&amp;WIDTH=450&amp;START_MAXIMIZED=","FALSE&amp;VAR:CALENDAR=US&amp;VAR:SYMBOL=EXP&amp;VAR:INDEX=0"}</definedName>
    <definedName name="_341__FDSAUDITLINK___1" localSheetId="8" hidden="1">{"fdsup://directions/FAT Viewer?action=UPDATE&amp;creator=factset&amp;DYN_ARGS=TRUE&amp;DOC_NAME=FAT:FQL_AUDITING_CLIENT_TEMPLATE.FAT&amp;display_string=Audit&amp;VAR:KEY=RQFOTMRCVA&amp;VAR:QUERY=RkZfRUJJVERBX0lCKCdBTk4nLDM4MzUyLCwsLCdHQlAnKQ==&amp;WINDOW=FIRST_POPUP&amp;HEIGHT=450&amp;WIDTH=","450&amp;START_MAXIMIZED=FALSE&amp;VAR:CALENDAR=FIVEDAY&amp;VAR:SYMBOL=075902&amp;VAR:INDEX=0"}</definedName>
    <definedName name="_341__FDSAUDITLINK___1" hidden="1">{"fdsup://directions/FAT Viewer?action=UPDATE&amp;creator=factset&amp;DYN_ARGS=TRUE&amp;DOC_NAME=FAT:FQL_AUDITING_CLIENT_TEMPLATE.FAT&amp;display_string=Audit&amp;VAR:KEY=RQFOTMRCVA&amp;VAR:QUERY=RkZfRUJJVERBX0lCKCdBTk4nLDM4MzUyLCwsLCdHQlAnKQ==&amp;WINDOW=FIRST_POPUP&amp;HEIGHT=450&amp;WIDTH=","450&amp;START_MAXIMIZED=FALSE&amp;VAR:CALENDAR=FIVEDAY&amp;VAR:SYMBOL=075902&amp;VAR:INDEX=0"}</definedName>
    <definedName name="_342__FDSAUDITLINK__" localSheetId="8" hidden="1">{"fdsup://directions/FAT Viewer?action=UPDATE&amp;creator=factset&amp;DYN_ARGS=TRUE&amp;DOC_NAME=FAT:FQL_AUDITING_CLIENT_TEMPLATE.FAT&amp;display_string=Audit&amp;VAR:KEY=PMBONGZQRA&amp;VAR:QUERY=RkZfRUJJVERBX0lCKCdBTk4nLDM3OTg2LCwsLCdHQlAnKQ==&amp;WINDOW=FIRST_POPUP&amp;HEIGHT=450&amp;WIDTH=","450&amp;START_MAXIMIZED=FALSE&amp;VAR:CALENDAR=FIVEDAY&amp;VAR:SYMBOL=075902&amp;VAR:INDEX=0"}</definedName>
    <definedName name="_342__FDSAUDITLINK__" hidden="1">{"fdsup://directions/FAT Viewer?action=UPDATE&amp;creator=factset&amp;DYN_ARGS=TRUE&amp;DOC_NAME=FAT:FQL_AUDITING_CLIENT_TEMPLATE.FAT&amp;display_string=Audit&amp;VAR:KEY=ULEVSLKPEN&amp;VAR:QUERY=RkZfRUJJVERBX09QRVIoTFRNLDQxMDkyKQ==&amp;WINDOW=FIRST_POPUP&amp;HEIGHT=450&amp;WIDTH=450&amp;START_MA","XIMIZED=FALSE&amp;VAR:CALENDAR=US&amp;VAR:SYMBOL=MLM&amp;VAR:INDEX=0"}</definedName>
    <definedName name="_342__FDSAUDITLINK___1" localSheetId="8" hidden="1">{"fdsup://directions/FAT Viewer?action=UPDATE&amp;creator=factset&amp;DYN_ARGS=TRUE&amp;DOC_NAME=FAT:FQL_AUDITING_CLIENT_TEMPLATE.FAT&amp;display_string=Audit&amp;VAR:KEY=PMBONGZQRA&amp;VAR:QUERY=RkZfRUJJVERBX0lCKCdBTk4nLDM3OTg2LCwsLCdHQlAnKQ==&amp;WINDOW=FIRST_POPUP&amp;HEIGHT=450&amp;WIDTH=","450&amp;START_MAXIMIZED=FALSE&amp;VAR:CALENDAR=FIVEDAY&amp;VAR:SYMBOL=075902&amp;VAR:INDEX=0"}</definedName>
    <definedName name="_342__FDSAUDITLINK___1" hidden="1">{"fdsup://directions/FAT Viewer?action=UPDATE&amp;creator=factset&amp;DYN_ARGS=TRUE&amp;DOC_NAME=FAT:FQL_AUDITING_CLIENT_TEMPLATE.FAT&amp;display_string=Audit&amp;VAR:KEY=PMBONGZQRA&amp;VAR:QUERY=RkZfRUJJVERBX0lCKCdBTk4nLDM3OTg2LCwsLCdHQlAnKQ==&amp;WINDOW=FIRST_POPUP&amp;HEIGHT=450&amp;WIDTH=","450&amp;START_MAXIMIZED=FALSE&amp;VAR:CALENDAR=FIVEDAY&amp;VAR:SYMBOL=075902&amp;VAR:INDEX=0"}</definedName>
    <definedName name="_343__FDSAUDITLINK__" localSheetId="8" hidden="1">{"fdsup://directions/FAT Viewer?action=UPDATE&amp;creator=factset&amp;DYN_ARGS=TRUE&amp;DOC_NAME=FAT:FQL_AUDITING_CLIENT_TEMPLATE.FAT&amp;display_string=Audit&amp;VAR:KEY=DCLYRWDYDI&amp;VAR:QUERY=RkZfRUJJVERBX0lCKCdBTk4nLDM3NjIxLCwsLCdHQlAnKQ==&amp;WINDOW=FIRST_POPUP&amp;HEIGHT=450&amp;WIDTH=","450&amp;START_MAXIMIZED=FALSE&amp;VAR:CALENDAR=FIVEDAY&amp;VAR:SYMBOL=075902&amp;VAR:INDEX=0"}</definedName>
    <definedName name="_343__FDSAUDITLINK__" hidden="1">{"fdsup://directions/FAT Viewer?action=UPDATE&amp;creator=factset&amp;DYN_ARGS=TRUE&amp;DOC_NAME=FAT:FQL_AUDITING_CLIENT_TEMPLATE.FAT&amp;display_string=Audit&amp;VAR:KEY=FUHMVCHINW&amp;VAR:QUERY=RkZfRUJJVERBX09QRVIoQ0FMLDIwMTEpICogMQ==&amp;WINDOW=FIRST_POPUP&amp;HEIGHT=450&amp;WIDTH=450&amp;STAR","T_MAXIMIZED=FALSE&amp;VAR:CALENDAR=US&amp;VAR:SYMBOL=MLM&amp;VAR:INDEX=0"}</definedName>
    <definedName name="_343__FDSAUDITLINK___1" localSheetId="8" hidden="1">{"fdsup://directions/FAT Viewer?action=UPDATE&amp;creator=factset&amp;DYN_ARGS=TRUE&amp;DOC_NAME=FAT:FQL_AUDITING_CLIENT_TEMPLATE.FAT&amp;display_string=Audit&amp;VAR:KEY=DCLYRWDYDI&amp;VAR:QUERY=RkZfRUJJVERBX0lCKCdBTk4nLDM3NjIxLCwsLCdHQlAnKQ==&amp;WINDOW=FIRST_POPUP&amp;HEIGHT=450&amp;WIDTH=","450&amp;START_MAXIMIZED=FALSE&amp;VAR:CALENDAR=FIVEDAY&amp;VAR:SYMBOL=075902&amp;VAR:INDEX=0"}</definedName>
    <definedName name="_343__FDSAUDITLINK___1" hidden="1">{"fdsup://directions/FAT Viewer?action=UPDATE&amp;creator=factset&amp;DYN_ARGS=TRUE&amp;DOC_NAME=FAT:FQL_AUDITING_CLIENT_TEMPLATE.FAT&amp;display_string=Audit&amp;VAR:KEY=DCLYRWDYDI&amp;VAR:QUERY=RkZfRUJJVERBX0lCKCdBTk4nLDM3NjIxLCwsLCdHQlAnKQ==&amp;WINDOW=FIRST_POPUP&amp;HEIGHT=450&amp;WIDTH=","450&amp;START_MAXIMIZED=FALSE&amp;VAR:CALENDAR=FIVEDAY&amp;VAR:SYMBOL=075902&amp;VAR:INDEX=0"}</definedName>
    <definedName name="_344__FDSAUDITLINK__" localSheetId="8" hidden="1">{"fdsup://directions/FAT Viewer?action=UPDATE&amp;creator=factset&amp;DYN_ARGS=TRUE&amp;DOC_NAME=FAT:FQL_AUDITING_CLIENT_TEMPLATE.FAT&amp;display_string=Audit&amp;VAR:KEY=BGDIPUFSNO&amp;VAR:QUERY=RkZfRUJJVERBX0lCKCdBTk4nLDM3MjU2LCwsLCdHQlAnKQ==&amp;WINDOW=FIRST_POPUP&amp;HEIGHT=450&amp;WIDTH=","450&amp;START_MAXIMIZED=FALSE&amp;VAR:CALENDAR=FIVEDAY&amp;VAR:SYMBOL=075902&amp;VAR:INDEX=0"}</definedName>
    <definedName name="_344__FDSAUDITLINK__" hidden="1">{"fdsup://directions/FAT Viewer?action=UPDATE&amp;creator=factset&amp;DYN_ARGS=TRUE&amp;DOC_NAME=FAT:FQL_AUDITING_CLIENT_TEMPLATE.FAT&amp;display_string=Audit&amp;VAR:KEY=NQJODIDYXU&amp;VAR:QUERY=RkZfRUJJVF9PUEVSKENBTCwyMDA5KSAqIDE=&amp;WINDOW=FIRST_POPUP&amp;HEIGHT=450&amp;WIDTH=450&amp;START_MA","XIMIZED=FALSE&amp;VAR:CALENDAR=US&amp;VAR:SYMBOL=MLM&amp;VAR:INDEX=0"}</definedName>
    <definedName name="_344__FDSAUDITLINK___1" localSheetId="8" hidden="1">{"fdsup://directions/FAT Viewer?action=UPDATE&amp;creator=factset&amp;DYN_ARGS=TRUE&amp;DOC_NAME=FAT:FQL_AUDITING_CLIENT_TEMPLATE.FAT&amp;display_string=Audit&amp;VAR:KEY=BGDIPUFSNO&amp;VAR:QUERY=RkZfRUJJVERBX0lCKCdBTk4nLDM3MjU2LCwsLCdHQlAnKQ==&amp;WINDOW=FIRST_POPUP&amp;HEIGHT=450&amp;WIDTH=","450&amp;START_MAXIMIZED=FALSE&amp;VAR:CALENDAR=FIVEDAY&amp;VAR:SYMBOL=075902&amp;VAR:INDEX=0"}</definedName>
    <definedName name="_344__FDSAUDITLINK___1" hidden="1">{"fdsup://directions/FAT Viewer?action=UPDATE&amp;creator=factset&amp;DYN_ARGS=TRUE&amp;DOC_NAME=FAT:FQL_AUDITING_CLIENT_TEMPLATE.FAT&amp;display_string=Audit&amp;VAR:KEY=BGDIPUFSNO&amp;VAR:QUERY=RkZfRUJJVERBX0lCKCdBTk4nLDM3MjU2LCwsLCdHQlAnKQ==&amp;WINDOW=FIRST_POPUP&amp;HEIGHT=450&amp;WIDTH=","450&amp;START_MAXIMIZED=FALSE&amp;VAR:CALENDAR=FIVEDAY&amp;VAR:SYMBOL=075902&amp;VAR:INDEX=0"}</definedName>
    <definedName name="_345__FDSAUDITLINK__" localSheetId="8" hidden="1">{"fdsup://directions/FAT Viewer?action=UPDATE&amp;creator=factset&amp;DYN_ARGS=TRUE&amp;DOC_NAME=FAT:FQL_AUDITING_CLIENT_TEMPLATE.FAT&amp;display_string=Audit&amp;VAR:KEY=PWXERARYBQ&amp;VAR:QUERY=RkZfRUJJVERBX0lCKCdBTk4nLDM2ODkxLCwsLCdHQlAnKQ==&amp;WINDOW=FIRST_POPUP&amp;HEIGHT=450&amp;WIDTH=","450&amp;START_MAXIMIZED=FALSE&amp;VAR:CALENDAR=FIVEDAY&amp;VAR:SYMBOL=075902&amp;VAR:INDEX=0"}</definedName>
    <definedName name="_345__FDSAUDITLINK__" hidden="1">{"fdsup://directions/FAT Viewer?action=UPDATE&amp;creator=factset&amp;DYN_ARGS=TRUE&amp;DOC_NAME=FAT:FQL_AUDITING_CLIENT_TEMPLATE.FAT&amp;display_string=Audit&amp;VAR:KEY=RKPEPUZGHW&amp;VAR:QUERY=RkZfTkVUX0lOQyhDQUwsMjAxMSkgKiAx&amp;WINDOW=FIRST_POPUP&amp;HEIGHT=450&amp;WIDTH=450&amp;START_MAXIMI","ZED=FALSE&amp;VAR:CALENDAR=US&amp;VAR:SYMBOL=MLM&amp;VAR:INDEX=0"}</definedName>
    <definedName name="_345__FDSAUDITLINK___1" localSheetId="8" hidden="1">{"fdsup://directions/FAT Viewer?action=UPDATE&amp;creator=factset&amp;DYN_ARGS=TRUE&amp;DOC_NAME=FAT:FQL_AUDITING_CLIENT_TEMPLATE.FAT&amp;display_string=Audit&amp;VAR:KEY=PWXERARYBQ&amp;VAR:QUERY=RkZfRUJJVERBX0lCKCdBTk4nLDM2ODkxLCwsLCdHQlAnKQ==&amp;WINDOW=FIRST_POPUP&amp;HEIGHT=450&amp;WIDTH=","450&amp;START_MAXIMIZED=FALSE&amp;VAR:CALENDAR=FIVEDAY&amp;VAR:SYMBOL=075902&amp;VAR:INDEX=0"}</definedName>
    <definedName name="_345__FDSAUDITLINK___1" hidden="1">{"fdsup://directions/FAT Viewer?action=UPDATE&amp;creator=factset&amp;DYN_ARGS=TRUE&amp;DOC_NAME=FAT:FQL_AUDITING_CLIENT_TEMPLATE.FAT&amp;display_string=Audit&amp;VAR:KEY=PWXERARYBQ&amp;VAR:QUERY=RkZfRUJJVERBX0lCKCdBTk4nLDM2ODkxLCwsLCdHQlAnKQ==&amp;WINDOW=FIRST_POPUP&amp;HEIGHT=450&amp;WIDTH=","450&amp;START_MAXIMIZED=FALSE&amp;VAR:CALENDAR=FIVEDAY&amp;VAR:SYMBOL=075902&amp;VAR:INDEX=0"}</definedName>
    <definedName name="_346__FDSAUDITLINK__" localSheetId="8" hidden="1">{"fdsup://directions/FAT Viewer?action=UPDATE&amp;creator=factset&amp;DYN_ARGS=TRUE&amp;DOC_NAME=FAT:FQL_AUDITING_CLIENT_TEMPLATE.FAT&amp;display_string=Audit&amp;VAR:KEY=VOLIJCLATE&amp;VAR:QUERY=RkZfRUJJVERBX0lCKCdBTk4nLDM2NTI1LCwsLCdHQlAnKQ==&amp;WINDOW=FIRST_POPUP&amp;HEIGHT=450&amp;WIDTH=","450&amp;START_MAXIMIZED=FALSE&amp;VAR:CALENDAR=FIVEDAY&amp;VAR:SYMBOL=075902&amp;VAR:INDEX=0"}</definedName>
    <definedName name="_346__FDSAUDITLINK__" hidden="1">{"fdsup://directions/FAT Viewer?action=UPDATE&amp;creator=factset&amp;DYN_ARGS=TRUE&amp;DOC_NAME=FAT:FQL_AUDITING_CLIENT_TEMPLATE.FAT&amp;display_string=Audit&amp;VAR:KEY=AJYFYTAJYD&amp;VAR:QUERY=RkZfRUJJVF9PUEVSKExUTSw0MTA5Mik=&amp;WINDOW=FIRST_POPUP&amp;HEIGHT=450&amp;WIDTH=450&amp;START_MAXIMI","ZED=FALSE&amp;VAR:CALENDAR=US&amp;VAR:SYMBOL=MLM&amp;VAR:INDEX=0"}</definedName>
    <definedName name="_346__FDSAUDITLINK___1" localSheetId="8" hidden="1">{"fdsup://directions/FAT Viewer?action=UPDATE&amp;creator=factset&amp;DYN_ARGS=TRUE&amp;DOC_NAME=FAT:FQL_AUDITING_CLIENT_TEMPLATE.FAT&amp;display_string=Audit&amp;VAR:KEY=VOLIJCLATE&amp;VAR:QUERY=RkZfRUJJVERBX0lCKCdBTk4nLDM2NTI1LCwsLCdHQlAnKQ==&amp;WINDOW=FIRST_POPUP&amp;HEIGHT=450&amp;WIDTH=","450&amp;START_MAXIMIZED=FALSE&amp;VAR:CALENDAR=FIVEDAY&amp;VAR:SYMBOL=075902&amp;VAR:INDEX=0"}</definedName>
    <definedName name="_346__FDSAUDITLINK___1" hidden="1">{"fdsup://directions/FAT Viewer?action=UPDATE&amp;creator=factset&amp;DYN_ARGS=TRUE&amp;DOC_NAME=FAT:FQL_AUDITING_CLIENT_TEMPLATE.FAT&amp;display_string=Audit&amp;VAR:KEY=VOLIJCLATE&amp;VAR:QUERY=RkZfRUJJVERBX0lCKCdBTk4nLDM2NTI1LCwsLCdHQlAnKQ==&amp;WINDOW=FIRST_POPUP&amp;HEIGHT=450&amp;WIDTH=","450&amp;START_MAXIMIZED=FALSE&amp;VAR:CALENDAR=FIVEDAY&amp;VAR:SYMBOL=075902&amp;VAR:INDEX=0"}</definedName>
    <definedName name="_347__FDSAUDITLINK__" localSheetId="8" hidden="1">{"fdsup://directions/FAT Viewer?action=UPDATE&amp;creator=factset&amp;DYN_ARGS=TRUE&amp;DOC_NAME=FAT:FQL_AUDITING_CLIENT_TEMPLATE.FAT&amp;display_string=Audit&amp;VAR:KEY=NAHMLAZAFU&amp;VAR:QUERY=RkZfRUJJVERBX0lCKCdBTk4nLDM2MTYwLCwsLCdHQlAnKQ==&amp;WINDOW=FIRST_POPUP&amp;HEIGHT=450&amp;WIDTH=","450&amp;START_MAXIMIZED=FALSE&amp;VAR:CALENDAR=FIVEDAY&amp;VAR:SYMBOL=075902&amp;VAR:INDEX=0"}</definedName>
    <definedName name="_347__FDSAUDITLINK__" hidden="1">{"fdsup://directions/FAT Viewer?action=UPDATE&amp;creator=factset&amp;DYN_ARGS=TRUE&amp;DOC_NAME=FAT:FQL_AUDITING_CLIENT_TEMPLATE.FAT&amp;display_string=Audit&amp;VAR:KEY=TIXOZUHKBQ&amp;VAR:QUERY=RkZfU0FMRVMoQ0FMLDIwMDkpICogMQ==&amp;WINDOW=FIRST_POPUP&amp;HEIGHT=450&amp;WIDTH=450&amp;START_MAXIMI","ZED=FALSE&amp;VAR:CALENDAR=US&amp;VAR:SYMBOL=MLM&amp;VAR:INDEX=0"}</definedName>
    <definedName name="_347__FDSAUDITLINK___1" localSheetId="8" hidden="1">{"fdsup://directions/FAT Viewer?action=UPDATE&amp;creator=factset&amp;DYN_ARGS=TRUE&amp;DOC_NAME=FAT:FQL_AUDITING_CLIENT_TEMPLATE.FAT&amp;display_string=Audit&amp;VAR:KEY=NAHMLAZAFU&amp;VAR:QUERY=RkZfRUJJVERBX0lCKCdBTk4nLDM2MTYwLCwsLCdHQlAnKQ==&amp;WINDOW=FIRST_POPUP&amp;HEIGHT=450&amp;WIDTH=","450&amp;START_MAXIMIZED=FALSE&amp;VAR:CALENDAR=FIVEDAY&amp;VAR:SYMBOL=075902&amp;VAR:INDEX=0"}</definedName>
    <definedName name="_347__FDSAUDITLINK___1" hidden="1">{"fdsup://directions/FAT Viewer?action=UPDATE&amp;creator=factset&amp;DYN_ARGS=TRUE&amp;DOC_NAME=FAT:FQL_AUDITING_CLIENT_TEMPLATE.FAT&amp;display_string=Audit&amp;VAR:KEY=NAHMLAZAFU&amp;VAR:QUERY=RkZfRUJJVERBX0lCKCdBTk4nLDM2MTYwLCwsLCdHQlAnKQ==&amp;WINDOW=FIRST_POPUP&amp;HEIGHT=450&amp;WIDTH=","450&amp;START_MAXIMIZED=FALSE&amp;VAR:CALENDAR=FIVEDAY&amp;VAR:SYMBOL=075902&amp;VAR:INDEX=0"}</definedName>
    <definedName name="_348__FDSAUDITLINK__" localSheetId="8" hidden="1">{"fdsup://directions/FAT Viewer?action=UPDATE&amp;creator=factset&amp;DYN_ARGS=TRUE&amp;DOC_NAME=FAT:FQL_AUDITING_CLIENT_TEMPLATE.FAT&amp;display_string=Audit&amp;VAR:KEY=HYFKZSZENQ&amp;VAR:QUERY=RkZfRUJJVERBX0lCKCdBTk4nLDM1Nzk1LCwsLCdHQlAnKQ==&amp;WINDOW=FIRST_POPUP&amp;HEIGHT=450&amp;WIDTH=","450&amp;START_MAXIMIZED=FALSE&amp;VAR:CALENDAR=FIVEDAY&amp;VAR:SYMBOL=075902&amp;VAR:INDEX=0"}</definedName>
    <definedName name="_348__FDSAUDITLINK__" hidden="1">{"fdsup://directions/FAT Viewer?action=UPDATE&amp;creator=factset&amp;DYN_ARGS=TRUE&amp;DOC_NAME=FAT:FQL_AUDITING_CLIENT_TEMPLATE.FAT&amp;display_string=Audit&amp;VAR:KEY=RONCBWHOJU&amp;VAR:QUERY=RkZfRUJJVF9PUEVSKENBTCwyMDEwKSAqIDE=&amp;WINDOW=FIRST_POPUP&amp;HEIGHT=450&amp;WIDTH=450&amp;START_MA","XIMIZED=FALSE&amp;VAR:CALENDAR=US&amp;VAR:SYMBOL=MLM&amp;VAR:INDEX=0"}</definedName>
    <definedName name="_348__FDSAUDITLINK___1" localSheetId="8" hidden="1">{"fdsup://directions/FAT Viewer?action=UPDATE&amp;creator=factset&amp;DYN_ARGS=TRUE&amp;DOC_NAME=FAT:FQL_AUDITING_CLIENT_TEMPLATE.FAT&amp;display_string=Audit&amp;VAR:KEY=HYFKZSZENQ&amp;VAR:QUERY=RkZfRUJJVERBX0lCKCdBTk4nLDM1Nzk1LCwsLCdHQlAnKQ==&amp;WINDOW=FIRST_POPUP&amp;HEIGHT=450&amp;WIDTH=","450&amp;START_MAXIMIZED=FALSE&amp;VAR:CALENDAR=FIVEDAY&amp;VAR:SYMBOL=075902&amp;VAR:INDEX=0"}</definedName>
    <definedName name="_348__FDSAUDITLINK___1" hidden="1">{"fdsup://directions/FAT Viewer?action=UPDATE&amp;creator=factset&amp;DYN_ARGS=TRUE&amp;DOC_NAME=FAT:FQL_AUDITING_CLIENT_TEMPLATE.FAT&amp;display_string=Audit&amp;VAR:KEY=HYFKZSZENQ&amp;VAR:QUERY=RkZfRUJJVERBX0lCKCdBTk4nLDM1Nzk1LCwsLCdHQlAnKQ==&amp;WINDOW=FIRST_POPUP&amp;HEIGHT=450&amp;WIDTH=","450&amp;START_MAXIMIZED=FALSE&amp;VAR:CALENDAR=FIVEDAY&amp;VAR:SYMBOL=075902&amp;VAR:INDEX=0"}</definedName>
    <definedName name="_349__FDSAUDITLINK__" localSheetId="8" hidden="1">{"fdsup://directions/FAT Viewer?action=UPDATE&amp;creator=factset&amp;DYN_ARGS=TRUE&amp;DOC_NAME=FAT:FQL_AUDITING_CLIENT_TEMPLATE.FAT&amp;display_string=Audit&amp;VAR:KEY=PWRQBGXQXC&amp;VAR:QUERY=RkZfRUJJVERBX0lCKCdBTk4nLDM1NDMwLCwsLCdHQlAnKQ==&amp;WINDOW=FIRST_POPUP&amp;HEIGHT=450&amp;WIDTH=","450&amp;START_MAXIMIZED=FALSE&amp;VAR:CALENDAR=FIVEDAY&amp;VAR:SYMBOL=075902&amp;VAR:INDEX=0"}</definedName>
    <definedName name="_349__FDSAUDITLINK__" hidden="1">{"fdsup://directions/FAT Viewer?action=UPDATE&amp;creator=factset&amp;DYN_ARGS=TRUE&amp;DOC_NAME=FAT:FQL_AUDITING_CLIENT_TEMPLATE.FAT&amp;display_string=Audit&amp;VAR:KEY=FKJORMHCBK&amp;VAR:QUERY=RkZfRVBTKENBTCwyMDA5KSAqIDE=&amp;WINDOW=FIRST_POPUP&amp;HEIGHT=450&amp;WIDTH=450&amp;START_MAXIMIZED=","FALSE&amp;VAR:CALENDAR=US&amp;VAR:SYMBOL=MLM&amp;VAR:INDEX=0"}</definedName>
    <definedName name="_349__FDSAUDITLINK___1" localSheetId="8" hidden="1">{"fdsup://directions/FAT Viewer?action=UPDATE&amp;creator=factset&amp;DYN_ARGS=TRUE&amp;DOC_NAME=FAT:FQL_AUDITING_CLIENT_TEMPLATE.FAT&amp;display_string=Audit&amp;VAR:KEY=PWRQBGXQXC&amp;VAR:QUERY=RkZfRUJJVERBX0lCKCdBTk4nLDM1NDMwLCwsLCdHQlAnKQ==&amp;WINDOW=FIRST_POPUP&amp;HEIGHT=450&amp;WIDTH=","450&amp;START_MAXIMIZED=FALSE&amp;VAR:CALENDAR=FIVEDAY&amp;VAR:SYMBOL=075902&amp;VAR:INDEX=0"}</definedName>
    <definedName name="_349__FDSAUDITLINK___1" hidden="1">{"fdsup://directions/FAT Viewer?action=UPDATE&amp;creator=factset&amp;DYN_ARGS=TRUE&amp;DOC_NAME=FAT:FQL_AUDITING_CLIENT_TEMPLATE.FAT&amp;display_string=Audit&amp;VAR:KEY=PWRQBGXQXC&amp;VAR:QUERY=RkZfRUJJVERBX0lCKCdBTk4nLDM1NDMwLCwsLCdHQlAnKQ==&amp;WINDOW=FIRST_POPUP&amp;HEIGHT=450&amp;WIDTH=","450&amp;START_MAXIMIZED=FALSE&amp;VAR:CALENDAR=FIVEDAY&amp;VAR:SYMBOL=075902&amp;VAR:INDEX=0"}</definedName>
    <definedName name="_35__123Graph_ACHART_22" hidden="1">#REF!</definedName>
    <definedName name="_35__123Graph_BCHART_15" localSheetId="8" hidden="1">#REF!</definedName>
    <definedName name="_35__123Graph_BCHART_15" hidden="1">#REF!</definedName>
    <definedName name="_35__123Graph_CCHART_1" hidden="1">#REF!</definedName>
    <definedName name="_35__123Graph_DGRAFICO_4" hidden="1">#REF!</definedName>
    <definedName name="_35__123Graph_XCHART_2" hidden="1">#REF!</definedName>
    <definedName name="_35__FDSAUDITLINK__" localSheetId="8" hidden="1">{"fdsup://Directions/FactSet Auditing Viewer?action=AUDIT_VALUE&amp;DB=129&amp;ID1=591344&amp;VALUEID=01001&amp;SDATE=2009&amp;PERIODTYPE=ANN_STD&amp;window=popup_no_bar&amp;width=385&amp;height=120&amp;START_MAXIMIZED=FALSE&amp;creator=factset&amp;display_string=Audit"}</definedName>
    <definedName name="_35__FDSAUDITLINK__" hidden="1">{"fdsup://directions/FAT Viewer?action=UPDATE&amp;creator=factset&amp;DYN_ARGS=TRUE&amp;DOC_NAME=FAT:FQL_AUDITING_CLIENT_TEMPLATE.FAT&amp;display_string=Audit&amp;VAR:KEY=KDADSVYNOB&amp;VAR:QUERY=RkZfU0FMRVMoQ0FMLDIwMDkp&amp;WINDOW=FIRST_POPUP&amp;HEIGHT=450&amp;WIDTH=450&amp;START_MAXIMIZED=FALS","E&amp;VAR:CALENDAR=US&amp;VAR:SYMBOL=USCR&amp;VAR:INDEX=0"}</definedName>
    <definedName name="_35__FDSAUDITLINK___1" localSheetId="8" hidden="1">{"fdsup://Directions/FactSet Auditing Viewer?action=AUDIT_VALUE&amp;DB=129&amp;ID1=591344&amp;VALUEID=01001&amp;SDATE=2009&amp;PERIODTYPE=ANN_STD&amp;window=popup_no_bar&amp;width=385&amp;height=120&amp;START_MAXIMIZED=FALSE&amp;creator=factset&amp;display_string=Audit"}</definedName>
    <definedName name="_35__FDSAUDITLINK___1" hidden="1">{"fdsup://Directions/FactSet Auditing Viewer?action=AUDIT_VALUE&amp;DB=129&amp;ID1=591344&amp;VALUEID=01001&amp;SDATE=2009&amp;PERIODTYPE=ANN_STD&amp;window=popup_no_bar&amp;width=385&amp;height=120&amp;START_MAXIMIZED=FALSE&amp;creator=factset&amp;display_string=Audit"}</definedName>
    <definedName name="_35_0_0__123Graph_XB92" hidden="1">#REF!</definedName>
    <definedName name="_350__FDSAUDITLINK__" localSheetId="8" hidden="1">{"fdsup://directions/FAT Viewer?action=UPDATE&amp;creator=factset&amp;DYN_ARGS=TRUE&amp;DOC_NAME=FAT:FQL_AUDITING_CLIENT_TEMPLATE.FAT&amp;display_string=Audit&amp;VAR:KEY=LCPGFKZWRA&amp;VAR:QUERY=RkZfRUJJVERBX0lCKCdBTk4nLDM1MDY0LCwsLCdHQlAnKQ==&amp;WINDOW=FIRST_POPUP&amp;HEIGHT=450&amp;WIDTH=","450&amp;START_MAXIMIZED=FALSE&amp;VAR:CALENDAR=FIVEDAY&amp;VAR:SYMBOL=075902&amp;VAR:INDEX=0"}</definedName>
    <definedName name="_350__FDSAUDITLINK__" hidden="1">{"fdsup://directions/FAT Viewer?action=UPDATE&amp;creator=factset&amp;DYN_ARGS=TRUE&amp;DOC_NAME=FAT:FQL_AUDITING_CLIENT_TEMPLATE.FAT&amp;display_string=Audit&amp;VAR:KEY=AFCFWHEBGR&amp;VAR:QUERY=RkZfTkVUX0lOQyhMVE0sNDEwOTIp&amp;WINDOW=FIRST_POPUP&amp;HEIGHT=450&amp;WIDTH=450&amp;START_MAXIMIZED=","FALSE&amp;VAR:CALENDAR=US&amp;VAR:SYMBOL=MLM&amp;VAR:INDEX=0"}</definedName>
    <definedName name="_350__FDSAUDITLINK___1" localSheetId="8" hidden="1">{"fdsup://directions/FAT Viewer?action=UPDATE&amp;creator=factset&amp;DYN_ARGS=TRUE&amp;DOC_NAME=FAT:FQL_AUDITING_CLIENT_TEMPLATE.FAT&amp;display_string=Audit&amp;VAR:KEY=LCPGFKZWRA&amp;VAR:QUERY=RkZfRUJJVERBX0lCKCdBTk4nLDM1MDY0LCwsLCdHQlAnKQ==&amp;WINDOW=FIRST_POPUP&amp;HEIGHT=450&amp;WIDTH=","450&amp;START_MAXIMIZED=FALSE&amp;VAR:CALENDAR=FIVEDAY&amp;VAR:SYMBOL=075902&amp;VAR:INDEX=0"}</definedName>
    <definedName name="_350__FDSAUDITLINK___1" hidden="1">{"fdsup://directions/FAT Viewer?action=UPDATE&amp;creator=factset&amp;DYN_ARGS=TRUE&amp;DOC_NAME=FAT:FQL_AUDITING_CLIENT_TEMPLATE.FAT&amp;display_string=Audit&amp;VAR:KEY=LCPGFKZWRA&amp;VAR:QUERY=RkZfRUJJVERBX0lCKCdBTk4nLDM1MDY0LCwsLCdHQlAnKQ==&amp;WINDOW=FIRST_POPUP&amp;HEIGHT=450&amp;WIDTH=","450&amp;START_MAXIMIZED=FALSE&amp;VAR:CALENDAR=FIVEDAY&amp;VAR:SYMBOL=075902&amp;VAR:INDEX=0"}</definedName>
    <definedName name="_351__FDSAUDITLINK__" localSheetId="8" hidden="1">{"fdsup://directions/FAT Viewer?action=UPDATE&amp;creator=factset&amp;DYN_ARGS=TRUE&amp;DOC_NAME=FAT:FQL_AUDITING_CLIENT_TEMPLATE.FAT&amp;display_string=Audit&amp;VAR:KEY=DUVIVKXOPK&amp;VAR:QUERY=RkZfRUJJVERBX0lCKCdBTk4nLDM0Njk5LCwsLCdHQlAnKQ==&amp;WINDOW=FIRST_POPUP&amp;HEIGHT=450&amp;WIDTH=","450&amp;START_MAXIMIZED=FALSE&amp;VAR:CALENDAR=FIVEDAY&amp;VAR:SYMBOL=075902&amp;VAR:INDEX=0"}</definedName>
    <definedName name="_351__FDSAUDITLINK__" hidden="1">{"fdsup://directions/FAT Viewer?action=UPDATE&amp;creator=factset&amp;DYN_ARGS=TRUE&amp;DOC_NAME=FAT:FQL_AUDITING_CLIENT_TEMPLATE.FAT&amp;display_string=Audit&amp;VAR:KEY=FMVSTKLOFS&amp;VAR:QUERY=RkZfU0FMRVMoQ0FMLDIwMTApICogMQ==&amp;WINDOW=FIRST_POPUP&amp;HEIGHT=450&amp;WIDTH=450&amp;START_MAXIMI","ZED=FALSE&amp;VAR:CALENDAR=US&amp;VAR:SYMBOL=MLM&amp;VAR:INDEX=0"}</definedName>
    <definedName name="_351__FDSAUDITLINK___1" localSheetId="8" hidden="1">{"fdsup://directions/FAT Viewer?action=UPDATE&amp;creator=factset&amp;DYN_ARGS=TRUE&amp;DOC_NAME=FAT:FQL_AUDITING_CLIENT_TEMPLATE.FAT&amp;display_string=Audit&amp;VAR:KEY=DUVIVKXOPK&amp;VAR:QUERY=RkZfRUJJVERBX0lCKCdBTk4nLDM0Njk5LCwsLCdHQlAnKQ==&amp;WINDOW=FIRST_POPUP&amp;HEIGHT=450&amp;WIDTH=","450&amp;START_MAXIMIZED=FALSE&amp;VAR:CALENDAR=FIVEDAY&amp;VAR:SYMBOL=075902&amp;VAR:INDEX=0"}</definedName>
    <definedName name="_351__FDSAUDITLINK___1" hidden="1">{"fdsup://directions/FAT Viewer?action=UPDATE&amp;creator=factset&amp;DYN_ARGS=TRUE&amp;DOC_NAME=FAT:FQL_AUDITING_CLIENT_TEMPLATE.FAT&amp;display_string=Audit&amp;VAR:KEY=DUVIVKXOPK&amp;VAR:QUERY=RkZfRUJJVERBX0lCKCdBTk4nLDM0Njk5LCwsLCdHQlAnKQ==&amp;WINDOW=FIRST_POPUP&amp;HEIGHT=450&amp;WIDTH=","450&amp;START_MAXIMIZED=FALSE&amp;VAR:CALENDAR=FIVEDAY&amp;VAR:SYMBOL=075902&amp;VAR:INDEX=0"}</definedName>
    <definedName name="_352__FDSAUDITLINK__" localSheetId="8" hidden="1">{"fdsup://directions/FAT Viewer?action=UPDATE&amp;creator=factset&amp;DYN_ARGS=TRUE&amp;DOC_NAME=FAT:FQL_AUDITING_CLIENT_TEMPLATE.FAT&amp;display_string=Audit&amp;VAR:KEY=XEPULAHOJS&amp;VAR:QUERY=RkZfRUJJVERBX0lCKCdBTk4nLDM0MzM0LCwsLCdHQlAnKQ==&amp;WINDOW=FIRST_POPUP&amp;HEIGHT=450&amp;WIDTH=","450&amp;START_MAXIMIZED=FALSE&amp;VAR:CALENDAR=FIVEDAY&amp;VAR:SYMBOL=075902&amp;VAR:INDEX=0"}</definedName>
    <definedName name="_352__FDSAUDITLINK__" hidden="1">{"fdsup://directions/FAT Viewer?action=UPDATE&amp;creator=factset&amp;DYN_ARGS=TRUE&amp;DOC_NAME=FAT:FQL_AUDITING_CLIENT_TEMPLATE.FAT&amp;display_string=Audit&amp;VAR:KEY=XMRWVATGZA&amp;VAR:QUERY=RkZfRUJJVERBX09QRVIoQ0FMLDIwMDkpICogMQ==&amp;WINDOW=FIRST_POPUP&amp;HEIGHT=450&amp;WIDTH=450&amp;STAR","T_MAXIMIZED=FALSE&amp;VAR:CALENDAR=US&amp;VAR:SYMBOL=MLM&amp;VAR:INDEX=0"}</definedName>
    <definedName name="_352__FDSAUDITLINK___1" localSheetId="8" hidden="1">{"fdsup://directions/FAT Viewer?action=UPDATE&amp;creator=factset&amp;DYN_ARGS=TRUE&amp;DOC_NAME=FAT:FQL_AUDITING_CLIENT_TEMPLATE.FAT&amp;display_string=Audit&amp;VAR:KEY=XEPULAHOJS&amp;VAR:QUERY=RkZfRUJJVERBX0lCKCdBTk4nLDM0MzM0LCwsLCdHQlAnKQ==&amp;WINDOW=FIRST_POPUP&amp;HEIGHT=450&amp;WIDTH=","450&amp;START_MAXIMIZED=FALSE&amp;VAR:CALENDAR=FIVEDAY&amp;VAR:SYMBOL=075902&amp;VAR:INDEX=0"}</definedName>
    <definedName name="_352__FDSAUDITLINK___1" hidden="1">{"fdsup://directions/FAT Viewer?action=UPDATE&amp;creator=factset&amp;DYN_ARGS=TRUE&amp;DOC_NAME=FAT:FQL_AUDITING_CLIENT_TEMPLATE.FAT&amp;display_string=Audit&amp;VAR:KEY=XEPULAHOJS&amp;VAR:QUERY=RkZfRUJJVERBX0lCKCdBTk4nLDM0MzM0LCwsLCdHQlAnKQ==&amp;WINDOW=FIRST_POPUP&amp;HEIGHT=450&amp;WIDTH=","450&amp;START_MAXIMIZED=FALSE&amp;VAR:CALENDAR=FIVEDAY&amp;VAR:SYMBOL=075902&amp;VAR:INDEX=0"}</definedName>
    <definedName name="_353__FDSAUDITLINK__" localSheetId="7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3__FDSAUDITLINK__" localSheetId="8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3__FDSAUDITLINK__" hidden="1">{"fdsup://directions/FAT Viewer?action=UPDATE&amp;creator=factset&amp;DYN_ARGS=TRUE&amp;DOC_NAME=FAT:FQL_AUDITING_CLIENT_TEMPLATE.FAT&amp;display_string=Audit&amp;VAR:KEY=NMNAVEVMJS&amp;VAR:QUERY=RkZfRUJJVF9PUEVSKENBTCwyMDExKSAqIDE=&amp;WINDOW=FIRST_POPUP&amp;HEIGHT=450&amp;WIDTH=450&amp;START_MA","XIMIZED=FALSE&amp;VAR:CALENDAR=US&amp;VAR:SYMBOL=MLM&amp;VAR:INDEX=0"}</definedName>
    <definedName name="_353__FDSAUDITLINK___1" localSheetId="8" hidden="1">{"fdsup://directions/FAT Viewer?action=UPDATE&amp;creator=factset&amp;DYN_ARGS=TRUE&amp;DOC_NAME=FAT:FQL_AUDITING_CLIENT_TEMPLATE.FAT&amp;display_string=Audit&amp;VAR:KEY=DYHWZIZYXO&amp;VAR:QUERY=RkZfRUJJVERBX0lCKCdBTk4nLDMzOTY5LCwsLCdHQlAnKQ==&amp;WINDOW=FIRST_POPUP&amp;HEIGHT=450&amp;WIDTH=","450&amp;START_MAXIMIZED=FALSE&amp;VAR:CALENDAR=FIVEDAY&amp;VAR:SYMBOL=075902&amp;VAR:INDEX=0"}</definedName>
    <definedName name="_353__FDSAUDITLINK___1" hidden="1">{"fdsup://directions/FAT Viewer?action=UPDATE&amp;creator=factset&amp;DYN_ARGS=TRUE&amp;DOC_NAME=FAT:FQL_AUDITING_CLIENT_TEMPLATE.FAT&amp;display_string=Audit&amp;VAR:KEY=DYHWZIZYXO&amp;VAR:QUERY=RkZfRUJJVERBX0lCKCdBTk4nLDMzOTY5LCwsLCdHQlAnKQ==&amp;WINDOW=FIRST_POPUP&amp;HEIGHT=450&amp;WIDTH=","450&amp;START_MAXIMIZED=FALSE&amp;VAR:CALENDAR=FIVEDAY&amp;VAR:SYMBOL=075902&amp;VAR:INDEX=0"}</definedName>
    <definedName name="_354__FDSAUDITLINK__" localSheetId="8" hidden="1">{"fdsup://directions/FAT Viewer?action=UPDATE&amp;creator=factset&amp;DYN_ARGS=TRUE&amp;DOC_NAME=FAT:FQL_AUDITING_CLIENT_TEMPLATE.FAT&amp;display_string=Audit&amp;VAR:KEY=XKJIHSRUNS&amp;VAR:QUERY=RkZfRUJJVERBX0lCKCdBTk4nLDMzNjAzLCwsLCdHQlAnKQ==&amp;WINDOW=FIRST_POPUP&amp;HEIGHT=450&amp;WIDTH=","450&amp;START_MAXIMIZED=FALSE&amp;VAR:CALENDAR=FIVEDAY&amp;VAR:SYMBOL=075902&amp;VAR:INDEX=0"}</definedName>
    <definedName name="_354__FDSAUDITLINK__" hidden="1">{"fdsup://directions/FAT Viewer?action=UPDATE&amp;creator=factset&amp;DYN_ARGS=TRUE&amp;DOC_NAME=FAT:FQL_AUDITING_CLIENT_TEMPLATE.FAT&amp;display_string=Audit&amp;VAR:KEY=HSPSTEHWVY&amp;VAR:QUERY=RkZfRVBTKENBTCwyMDEwKSAqIDE=&amp;WINDOW=FIRST_POPUP&amp;HEIGHT=450&amp;WIDTH=450&amp;START_MAXIMIZED=","FALSE&amp;VAR:CALENDAR=US&amp;VAR:SYMBOL=MLM&amp;VAR:INDEX=0"}</definedName>
    <definedName name="_354__FDSAUDITLINK___1" localSheetId="8" hidden="1">{"fdsup://directions/FAT Viewer?action=UPDATE&amp;creator=factset&amp;DYN_ARGS=TRUE&amp;DOC_NAME=FAT:FQL_AUDITING_CLIENT_TEMPLATE.FAT&amp;display_string=Audit&amp;VAR:KEY=XKJIHSRUNS&amp;VAR:QUERY=RkZfRUJJVERBX0lCKCdBTk4nLDMzNjAzLCwsLCdHQlAnKQ==&amp;WINDOW=FIRST_POPUP&amp;HEIGHT=450&amp;WIDTH=","450&amp;START_MAXIMIZED=FALSE&amp;VAR:CALENDAR=FIVEDAY&amp;VAR:SYMBOL=075902&amp;VAR:INDEX=0"}</definedName>
    <definedName name="_354__FDSAUDITLINK___1" hidden="1">{"fdsup://directions/FAT Viewer?action=UPDATE&amp;creator=factset&amp;DYN_ARGS=TRUE&amp;DOC_NAME=FAT:FQL_AUDITING_CLIENT_TEMPLATE.FAT&amp;display_string=Audit&amp;VAR:KEY=XKJIHSRUNS&amp;VAR:QUERY=RkZfRUJJVERBX0lCKCdBTk4nLDMzNjAzLCwsLCdHQlAnKQ==&amp;WINDOW=FIRST_POPUP&amp;HEIGHT=450&amp;WIDTH=","450&amp;START_MAXIMIZED=FALSE&amp;VAR:CALENDAR=FIVEDAY&amp;VAR:SYMBOL=075902&amp;VAR:INDEX=0"}</definedName>
    <definedName name="_355__FDSAUDITLINK__" localSheetId="8" hidden="1">{"fdsup://directions/FAT Viewer?action=UPDATE&amp;creator=factset&amp;DYN_ARGS=TRUE&amp;DOC_NAME=FAT:FQL_AUDITING_CLIENT_TEMPLATE.FAT&amp;display_string=Audit&amp;VAR:KEY=RMJUHQTAXA&amp;VAR:QUERY=RkZfRUJJVERBX0lCKCdBTk4nLDMzMjM4LCwsLCdHQlAnKQ==&amp;WINDOW=FIRST_POPUP&amp;HEIGHT=450&amp;WIDTH=","450&amp;START_MAXIMIZED=FALSE&amp;VAR:CALENDAR=FIVEDAY&amp;VAR:SYMBOL=075902&amp;VAR:INDEX=0"}</definedName>
    <definedName name="_355__FDSAUDITLINK__" hidden="1">{"fdsup://directions/FAT Viewer?action=UPDATE&amp;creator=factset&amp;DYN_ARGS=TRUE&amp;DOC_NAME=FAT:FQL_AUDITING_CLIENT_TEMPLATE.FAT&amp;display_string=Audit&amp;VAR:KEY=RIVOTIDKBA&amp;VAR:QUERY=RkZfTkVUX0lOQyhDQUwsMjAwOSkgKiAx&amp;WINDOW=FIRST_POPUP&amp;HEIGHT=450&amp;WIDTH=450&amp;START_MAXIMI","ZED=FALSE&amp;VAR:CALENDAR=US&amp;VAR:SYMBOL=MLM&amp;VAR:INDEX=0"}</definedName>
    <definedName name="_355__FDSAUDITLINK___1" localSheetId="8" hidden="1">{"fdsup://directions/FAT Viewer?action=UPDATE&amp;creator=factset&amp;DYN_ARGS=TRUE&amp;DOC_NAME=FAT:FQL_AUDITING_CLIENT_TEMPLATE.FAT&amp;display_string=Audit&amp;VAR:KEY=RMJUHQTAXA&amp;VAR:QUERY=RkZfRUJJVERBX0lCKCdBTk4nLDMzMjM4LCwsLCdHQlAnKQ==&amp;WINDOW=FIRST_POPUP&amp;HEIGHT=450&amp;WIDTH=","450&amp;START_MAXIMIZED=FALSE&amp;VAR:CALENDAR=FIVEDAY&amp;VAR:SYMBOL=075902&amp;VAR:INDEX=0"}</definedName>
    <definedName name="_355__FDSAUDITLINK___1" hidden="1">{"fdsup://directions/FAT Viewer?action=UPDATE&amp;creator=factset&amp;DYN_ARGS=TRUE&amp;DOC_NAME=FAT:FQL_AUDITING_CLIENT_TEMPLATE.FAT&amp;display_string=Audit&amp;VAR:KEY=RMJUHQTAXA&amp;VAR:QUERY=RkZfRUJJVERBX0lCKCdBTk4nLDMzMjM4LCwsLCdHQlAnKQ==&amp;WINDOW=FIRST_POPUP&amp;HEIGHT=450&amp;WIDTH=","450&amp;START_MAXIMIZED=FALSE&amp;VAR:CALENDAR=FIVEDAY&amp;VAR:SYMBOL=075902&amp;VAR:INDEX=0"}</definedName>
    <definedName name="_356__FDSAUDITLINK__" localSheetId="8" hidden="1">{"fdsup://directions/FAT Viewer?action=UPDATE&amp;creator=factset&amp;DYN_ARGS=TRUE&amp;DOC_NAME=FAT:FQL_AUDITING_CLIENT_TEMPLATE.FAT&amp;display_string=Audit&amp;VAR:KEY=DYHMFKTCJK&amp;VAR:QUERY=RkZfRUJJVERBX0lCKCdBTk4nLDMyODczLCwsLCdHQlAnKQ==&amp;WINDOW=FIRST_POPUP&amp;HEIGHT=450&amp;WIDTH=","450&amp;START_MAXIMIZED=FALSE&amp;VAR:CALENDAR=FIVEDAY&amp;VAR:SYMBOL=075902&amp;VAR:INDEX=0"}</definedName>
    <definedName name="_356__FDSAUDITLINK__" hidden="1">{"fdsup://directions/FAT Viewer?action=UPDATE&amp;creator=factset&amp;DYN_ARGS=TRUE&amp;DOC_NAME=FAT:FQL_AUDITING_CLIENT_TEMPLATE.FAT&amp;display_string=Audit&amp;VAR:KEY=CFADWJQDEJ&amp;VAR:QUERY=RkZfSU5UX0VYUF9ORVQoTFRNLDQxMDkyKQ==&amp;WINDOW=FIRST_POPUP&amp;HEIGHT=450&amp;WIDTH=450&amp;START_MA","XIMIZED=FALSE&amp;VAR:CALENDAR=US&amp;VAR:SYMBOL=MLM&amp;VAR:INDEX=0"}</definedName>
    <definedName name="_356__FDSAUDITLINK___1" localSheetId="8" hidden="1">{"fdsup://directions/FAT Viewer?action=UPDATE&amp;creator=factset&amp;DYN_ARGS=TRUE&amp;DOC_NAME=FAT:FQL_AUDITING_CLIENT_TEMPLATE.FAT&amp;display_string=Audit&amp;VAR:KEY=DYHMFKTCJK&amp;VAR:QUERY=RkZfRUJJVERBX0lCKCdBTk4nLDMyODczLCwsLCdHQlAnKQ==&amp;WINDOW=FIRST_POPUP&amp;HEIGHT=450&amp;WIDTH=","450&amp;START_MAXIMIZED=FALSE&amp;VAR:CALENDAR=FIVEDAY&amp;VAR:SYMBOL=075902&amp;VAR:INDEX=0"}</definedName>
    <definedName name="_356__FDSAUDITLINK___1" hidden="1">{"fdsup://directions/FAT Viewer?action=UPDATE&amp;creator=factset&amp;DYN_ARGS=TRUE&amp;DOC_NAME=FAT:FQL_AUDITING_CLIENT_TEMPLATE.FAT&amp;display_string=Audit&amp;VAR:KEY=DYHMFKTCJK&amp;VAR:QUERY=RkZfRUJJVERBX0lCKCdBTk4nLDMyODczLCwsLCdHQlAnKQ==&amp;WINDOW=FIRST_POPUP&amp;HEIGHT=450&amp;WIDTH=","450&amp;START_MAXIMIZED=FALSE&amp;VAR:CALENDAR=FIVEDAY&amp;VAR:SYMBOL=075902&amp;VAR:INDEX=0"}</definedName>
    <definedName name="_357__FDSAUDITLINK__" localSheetId="8" hidden="1">{"fdsup://directions/FAT Viewer?action=UPDATE&amp;creator=factset&amp;DYN_ARGS=TRUE&amp;DOC_NAME=FAT:FQL_AUDITING_CLIENT_TEMPLATE.FAT&amp;display_string=Audit&amp;VAR:KEY=OXCBEXKNQP&amp;VAR:QUERY=RkZfRUJJVERBX0lCKCdBTk4nLDM5ODEzLCwsLCdHQlAnKQ==&amp;WINDOW=FIRST_POPUP&amp;HEIGHT=450&amp;WIDTH=","450&amp;START_MAXIMIZED=FALSE&amp;VAR:CALENDAR=FIVEDAY&amp;VAR:SYMBOL=063002&amp;VAR:INDEX=0"}</definedName>
    <definedName name="_357__FDSAUDITLINK__" hidden="1">{"fdsup://directions/FAT Viewer?action=UPDATE&amp;creator=factset&amp;DYN_ARGS=TRUE&amp;DOC_NAME=FAT:FQL_AUDITING_CLIENT_TEMPLATE.FAT&amp;display_string=Audit&amp;VAR:KEY=GVSBYTWDSP&amp;VAR:QUERY=RkZfU0FMRVMoTFRNLDQxMDkyKQ==&amp;WINDOW=FIRST_POPUP&amp;HEIGHT=450&amp;WIDTH=450&amp;START_MAXIMIZED=","FALSE&amp;VAR:CALENDAR=US&amp;VAR:SYMBOL=MLM&amp;VAR:INDEX=0"}</definedName>
    <definedName name="_357__FDSAUDITLINK___1" localSheetId="8" hidden="1">{"fdsup://directions/FAT Viewer?action=UPDATE&amp;creator=factset&amp;DYN_ARGS=TRUE&amp;DOC_NAME=FAT:FQL_AUDITING_CLIENT_TEMPLATE.FAT&amp;display_string=Audit&amp;VAR:KEY=OXCBEXKNQP&amp;VAR:QUERY=RkZfRUJJVERBX0lCKCdBTk4nLDM5ODEzLCwsLCdHQlAnKQ==&amp;WINDOW=FIRST_POPUP&amp;HEIGHT=450&amp;WIDTH=","450&amp;START_MAXIMIZED=FALSE&amp;VAR:CALENDAR=FIVEDAY&amp;VAR:SYMBOL=063002&amp;VAR:INDEX=0"}</definedName>
    <definedName name="_357__FDSAUDITLINK___1" hidden="1">{"fdsup://directions/FAT Viewer?action=UPDATE&amp;creator=factset&amp;DYN_ARGS=TRUE&amp;DOC_NAME=FAT:FQL_AUDITING_CLIENT_TEMPLATE.FAT&amp;display_string=Audit&amp;VAR:KEY=OXCBEXKNQP&amp;VAR:QUERY=RkZfRUJJVERBX0lCKCdBTk4nLDM5ODEzLCwsLCdHQlAnKQ==&amp;WINDOW=FIRST_POPUP&amp;HEIGHT=450&amp;WIDTH=","450&amp;START_MAXIMIZED=FALSE&amp;VAR:CALENDAR=FIVEDAY&amp;VAR:SYMBOL=063002&amp;VAR:INDEX=0"}</definedName>
    <definedName name="_358__FDSAUDITLINK__" localSheetId="8" hidden="1">{"fdsup://directions/FAT Viewer?action=UPDATE&amp;creator=factset&amp;DYN_ARGS=TRUE&amp;DOC_NAME=FAT:FQL_AUDITING_CLIENT_TEMPLATE.FAT&amp;display_string=Audit&amp;VAR:KEY=WLUNATUXOR&amp;VAR:QUERY=RkZfRUJJVERBX0lCKCdBTk4nLDM5NDQ3LCwsLCdHQlAnKQ==&amp;WINDOW=FIRST_POPUP&amp;HEIGHT=450&amp;WIDTH=","450&amp;START_MAXIMIZED=FALSE&amp;VAR:CALENDAR=FIVEDAY&amp;VAR:SYMBOL=063002&amp;VAR:INDEX=0"}</definedName>
    <definedName name="_358__FDSAUDITLINK__" hidden="1">{"fdsup://directions/FAT Viewer?action=UPDATE&amp;creator=factset&amp;DYN_ARGS=TRUE&amp;DOC_NAME=FAT:FQL_AUDITING_CLIENT_TEMPLATE.FAT&amp;display_string=Audit&amp;VAR:KEY=JUPORMPCRS&amp;VAR:QUERY=RkZfU0FMRVMoQ0FMLDIwMTEpICogMQ==&amp;WINDOW=FIRST_POPUP&amp;HEIGHT=450&amp;WIDTH=450&amp;START_MAXIMI","ZED=FALSE&amp;VAR:CALENDAR=US&amp;VAR:SYMBOL=MLM&amp;VAR:INDEX=0"}</definedName>
    <definedName name="_358__FDSAUDITLINK___1" localSheetId="8" hidden="1">{"fdsup://directions/FAT Viewer?action=UPDATE&amp;creator=factset&amp;DYN_ARGS=TRUE&amp;DOC_NAME=FAT:FQL_AUDITING_CLIENT_TEMPLATE.FAT&amp;display_string=Audit&amp;VAR:KEY=WLUNATUXOR&amp;VAR:QUERY=RkZfRUJJVERBX0lCKCdBTk4nLDM5NDQ3LCwsLCdHQlAnKQ==&amp;WINDOW=FIRST_POPUP&amp;HEIGHT=450&amp;WIDTH=","450&amp;START_MAXIMIZED=FALSE&amp;VAR:CALENDAR=FIVEDAY&amp;VAR:SYMBOL=063002&amp;VAR:INDEX=0"}</definedName>
    <definedName name="_358__FDSAUDITLINK___1" hidden="1">{"fdsup://directions/FAT Viewer?action=UPDATE&amp;creator=factset&amp;DYN_ARGS=TRUE&amp;DOC_NAME=FAT:FQL_AUDITING_CLIENT_TEMPLATE.FAT&amp;display_string=Audit&amp;VAR:KEY=WLUNATUXOR&amp;VAR:QUERY=RkZfRUJJVERBX0lCKCdBTk4nLDM5NDQ3LCwsLCdHQlAnKQ==&amp;WINDOW=FIRST_POPUP&amp;HEIGHT=450&amp;WIDTH=","450&amp;START_MAXIMIZED=FALSE&amp;VAR:CALENDAR=FIVEDAY&amp;VAR:SYMBOL=063002&amp;VAR:INDEX=0"}</definedName>
    <definedName name="_359__FDSAUDITLINK__" localSheetId="8" hidden="1">{"fdsup://directions/FAT Viewer?action=UPDATE&amp;creator=factset&amp;DYN_ARGS=TRUE&amp;DOC_NAME=FAT:FQL_AUDITING_CLIENT_TEMPLATE.FAT&amp;display_string=Audit&amp;VAR:KEY=URMTOBMDGH&amp;VAR:QUERY=RkZfRUJJVERBX0lCKCdBTk4nLDM5MDgyLCwsLCdHQlAnKQ==&amp;WINDOW=FIRST_POPUP&amp;HEIGHT=450&amp;WIDTH=","450&amp;START_MAXIMIZED=FALSE&amp;VAR:CALENDAR=FIVEDAY&amp;VAR:SYMBOL=063002&amp;VAR:INDEX=0"}</definedName>
    <definedName name="_359__FDSAUDITLINK__" hidden="1">{"fdsup://directions/FAT Viewer?action=UPDATE&amp;creator=factset&amp;DYN_ARGS=TRUE&amp;DOC_NAME=FAT:FQL_AUDITING_CLIENT_TEMPLATE.FAT&amp;display_string=Audit&amp;VAR:KEY=XAXOJINIVI&amp;VAR:QUERY=RkZfRUJJVERBX09QRVIoQ0FMLDIwMTApICogMQ==&amp;WINDOW=FIRST_POPUP&amp;HEIGHT=450&amp;WIDTH=450&amp;STAR","T_MAXIMIZED=FALSE&amp;VAR:CALENDAR=US&amp;VAR:SYMBOL=MLM&amp;VAR:INDEX=0"}</definedName>
    <definedName name="_359__FDSAUDITLINK___1" localSheetId="8" hidden="1">{"fdsup://directions/FAT Viewer?action=UPDATE&amp;creator=factset&amp;DYN_ARGS=TRUE&amp;DOC_NAME=FAT:FQL_AUDITING_CLIENT_TEMPLATE.FAT&amp;display_string=Audit&amp;VAR:KEY=URMTOBMDGH&amp;VAR:QUERY=RkZfRUJJVERBX0lCKCdBTk4nLDM5MDgyLCwsLCdHQlAnKQ==&amp;WINDOW=FIRST_POPUP&amp;HEIGHT=450&amp;WIDTH=","450&amp;START_MAXIMIZED=FALSE&amp;VAR:CALENDAR=FIVEDAY&amp;VAR:SYMBOL=063002&amp;VAR:INDEX=0"}</definedName>
    <definedName name="_359__FDSAUDITLINK___1" hidden="1">{"fdsup://directions/FAT Viewer?action=UPDATE&amp;creator=factset&amp;DYN_ARGS=TRUE&amp;DOC_NAME=FAT:FQL_AUDITING_CLIENT_TEMPLATE.FAT&amp;display_string=Audit&amp;VAR:KEY=URMTOBMDGH&amp;VAR:QUERY=RkZfRUJJVERBX0lCKCdBTk4nLDM5MDgyLCwsLCdHQlAnKQ==&amp;WINDOW=FIRST_POPUP&amp;HEIGHT=450&amp;WIDTH=","450&amp;START_MAXIMIZED=FALSE&amp;VAR:CALENDAR=FIVEDAY&amp;VAR:SYMBOL=063002&amp;VAR:INDEX=0"}</definedName>
    <definedName name="_36__123Graph_ACHART_23" hidden="1">#REF!</definedName>
    <definedName name="_36__123Graph_BCHART_16" localSheetId="8" hidden="1">#REF!</definedName>
    <definedName name="_36__123Graph_BCHART_16" hidden="1">#REF!</definedName>
    <definedName name="_36__123Graph_CCHART_12" hidden="1">#REF!</definedName>
    <definedName name="_36__123Graph_EGRAFICO_1" localSheetId="8" hidden="1">#REF!</definedName>
    <definedName name="_36__123Graph_EGRAFICO_1" hidden="1">#REF!</definedName>
    <definedName name="_36__FDSAUDITLINK__" localSheetId="8" hidden="1">{"fdsup://directions/FAT Viewer?action=UPDATE&amp;creator=factset&amp;DYN_ARGS=TRUE&amp;DOC_NAME=FAT:FQL_AUDITING_CLIENT_TEMPLATE.FAT&amp;display_string=Audit&amp;VAR:KEY=EVQPGBIBOL&amp;VAR:QUERY=RkZfRUJJVF9JQihBTk4sNDAxNzgsLCxFVVIp&amp;WINDOW=FIRST_POPUP&amp;HEIGHT=450&amp;WIDTH=450&amp;START_MA","XIMIZED=FALSE&amp;VAR:CALENDAR=FIVEDAY&amp;VAR:SYMBOL=591344&amp;VAR:INDEX=0"}</definedName>
    <definedName name="_36__FDSAUDITLINK__" hidden="1">{"fdsup://directions/FAT Viewer?action=UPDATE&amp;creator=factset&amp;DYN_ARGS=TRUE&amp;DOC_NAME=FAT:FQL_AUDITING_CLIENT_TEMPLATE.FAT&amp;display_string=Audit&amp;VAR:KEY=ORWNYFIZWV&amp;VAR:QUERY=RkZfU0FMRVMoQ0FMLDIwMDkp&amp;WINDOW=FIRST_POPUP&amp;HEIGHT=450&amp;WIDTH=450&amp;START_MAXIMIZED=FALS","E&amp;VAR:CALENDAR=US&amp;VAR:SYMBOL=MLM&amp;VAR:INDEX=0"}</definedName>
    <definedName name="_36__FDSAUDITLINK___1" localSheetId="8" hidden="1">{"fdsup://directions/FAT Viewer?action=UPDATE&amp;creator=factset&amp;DYN_ARGS=TRUE&amp;DOC_NAME=FAT:FQL_AUDITING_CLIENT_TEMPLATE.FAT&amp;display_string=Audit&amp;VAR:KEY=EVQPGBIBOL&amp;VAR:QUERY=RkZfRUJJVF9JQihBTk4sNDAxNzgsLCxFVVIp&amp;WINDOW=FIRST_POPUP&amp;HEIGHT=450&amp;WIDTH=450&amp;START_MA","XIMIZED=FALSE&amp;VAR:CALENDAR=FIVEDAY&amp;VAR:SYMBOL=591344&amp;VAR:INDEX=0"}</definedName>
    <definedName name="_36__FDSAUDITLINK___1" hidden="1">{"fdsup://directions/FAT Viewer?action=UPDATE&amp;creator=factset&amp;DYN_ARGS=TRUE&amp;DOC_NAME=FAT:FQL_AUDITING_CLIENT_TEMPLATE.FAT&amp;display_string=Audit&amp;VAR:KEY=EVQPGBIBOL&amp;VAR:QUERY=RkZfRUJJVF9JQihBTk4sNDAxNzgsLCxFVVIp&amp;WINDOW=FIRST_POPUP&amp;HEIGHT=450&amp;WIDTH=450&amp;START_MA","XIMIZED=FALSE&amp;VAR:CALENDAR=FIVEDAY&amp;VAR:SYMBOL=591344&amp;VAR:INDEX=0"}</definedName>
    <definedName name="_36_0_0__123Graph_XB92S" hidden="1">#REF!</definedName>
    <definedName name="_360__FDSAUDITLINK__" localSheetId="8" hidden="1">{"fdsup://directions/FAT Viewer?action=UPDATE&amp;creator=factset&amp;DYN_ARGS=TRUE&amp;DOC_NAME=FAT:FQL_AUDITING_CLIENT_TEMPLATE.FAT&amp;display_string=Audit&amp;VAR:KEY=VAFSZGREJQ&amp;VAR:QUERY=RkZfRUJJVERBX0lCKCdBTk4nLDM4NzE3LCwsLCdHQlAnKQ==&amp;WINDOW=FIRST_POPUP&amp;HEIGHT=450&amp;WIDTH=","450&amp;START_MAXIMIZED=FALSE&amp;VAR:CALENDAR=FIVEDAY&amp;VAR:SYMBOL=063002&amp;VAR:INDEX=0"}</definedName>
    <definedName name="_360__FDSAUDITLINK__" hidden="1">{"fdsup://directions/FAT Viewer?action=UPDATE&amp;creator=factset&amp;DYN_ARGS=TRUE&amp;DOC_NAME=FAT:FQL_AUDITING_CLIENT_TEMPLATE.FAT&amp;display_string=Audit&amp;VAR:KEY=VYJKHSHMHQ&amp;VAR:QUERY=RkZfRVBTKENBTCwyMDExKSAqIDE=&amp;WINDOW=FIRST_POPUP&amp;HEIGHT=450&amp;WIDTH=450&amp;START_MAXIMIZED=","FALSE&amp;VAR:CALENDAR=US&amp;VAR:SYMBOL=MLM&amp;VAR:INDEX=0"}</definedName>
    <definedName name="_360__FDSAUDITLINK___1" localSheetId="8" hidden="1">{"fdsup://directions/FAT Viewer?action=UPDATE&amp;creator=factset&amp;DYN_ARGS=TRUE&amp;DOC_NAME=FAT:FQL_AUDITING_CLIENT_TEMPLATE.FAT&amp;display_string=Audit&amp;VAR:KEY=VAFSZGREJQ&amp;VAR:QUERY=RkZfRUJJVERBX0lCKCdBTk4nLDM4NzE3LCwsLCdHQlAnKQ==&amp;WINDOW=FIRST_POPUP&amp;HEIGHT=450&amp;WIDTH=","450&amp;START_MAXIMIZED=FALSE&amp;VAR:CALENDAR=FIVEDAY&amp;VAR:SYMBOL=063002&amp;VAR:INDEX=0"}</definedName>
    <definedName name="_360__FDSAUDITLINK___1" hidden="1">{"fdsup://directions/FAT Viewer?action=UPDATE&amp;creator=factset&amp;DYN_ARGS=TRUE&amp;DOC_NAME=FAT:FQL_AUDITING_CLIENT_TEMPLATE.FAT&amp;display_string=Audit&amp;VAR:KEY=VAFSZGREJQ&amp;VAR:QUERY=RkZfRUJJVERBX0lCKCdBTk4nLDM4NzE3LCwsLCdHQlAnKQ==&amp;WINDOW=FIRST_POPUP&amp;HEIGHT=450&amp;WIDTH=","450&amp;START_MAXIMIZED=FALSE&amp;VAR:CALENDAR=FIVEDAY&amp;VAR:SYMBOL=063002&amp;VAR:INDEX=0"}</definedName>
    <definedName name="_361__FDSAUDITLINK__" localSheetId="8" hidden="1">{"fdsup://directions/FAT Viewer?action=UPDATE&amp;creator=factset&amp;DYN_ARGS=TRUE&amp;DOC_NAME=FAT:FQL_AUDITING_CLIENT_TEMPLATE.FAT&amp;display_string=Audit&amp;VAR:KEY=PMLQLGLUFQ&amp;VAR:QUERY=RkZfRUJJVERBX0lCKCdBTk4nLDM4MzUyLCwsLCdHQlAnKQ==&amp;WINDOW=FIRST_POPUP&amp;HEIGHT=450&amp;WIDTH=","450&amp;START_MAXIMIZED=FALSE&amp;VAR:CALENDAR=FIVEDAY&amp;VAR:SYMBOL=063002&amp;VAR:INDEX=0"}</definedName>
    <definedName name="_361__FDSAUDITLINK__" hidden="1">{"fdsup://directions/FAT Viewer?action=UPDATE&amp;creator=factset&amp;DYN_ARGS=TRUE&amp;DOC_NAME=FAT:FQL_AUDITING_CLIENT_TEMPLATE.FAT&amp;display_string=Audit&amp;VAR:KEY=DIFYNYTOVK&amp;VAR:QUERY=RkZfTkVUX0lOQyhDQUwsMjAxMCkgKiAx&amp;WINDOW=FIRST_POPUP&amp;HEIGHT=450&amp;WIDTH=450&amp;START_MAXIMI","ZED=FALSE&amp;VAR:CALENDAR=US&amp;VAR:SYMBOL=MLM&amp;VAR:INDEX=0"}</definedName>
    <definedName name="_361__FDSAUDITLINK___1" localSheetId="8" hidden="1">{"fdsup://directions/FAT Viewer?action=UPDATE&amp;creator=factset&amp;DYN_ARGS=TRUE&amp;DOC_NAME=FAT:FQL_AUDITING_CLIENT_TEMPLATE.FAT&amp;display_string=Audit&amp;VAR:KEY=PMLQLGLUFQ&amp;VAR:QUERY=RkZfRUJJVERBX0lCKCdBTk4nLDM4MzUyLCwsLCdHQlAnKQ==&amp;WINDOW=FIRST_POPUP&amp;HEIGHT=450&amp;WIDTH=","450&amp;START_MAXIMIZED=FALSE&amp;VAR:CALENDAR=FIVEDAY&amp;VAR:SYMBOL=063002&amp;VAR:INDEX=0"}</definedName>
    <definedName name="_361__FDSAUDITLINK___1" hidden="1">{"fdsup://directions/FAT Viewer?action=UPDATE&amp;creator=factset&amp;DYN_ARGS=TRUE&amp;DOC_NAME=FAT:FQL_AUDITING_CLIENT_TEMPLATE.FAT&amp;display_string=Audit&amp;VAR:KEY=PMLQLGLUFQ&amp;VAR:QUERY=RkZfRUJJVERBX0lCKCdBTk4nLDM4MzUyLCwsLCdHQlAnKQ==&amp;WINDOW=FIRST_POPUP&amp;HEIGHT=450&amp;WIDTH=","450&amp;START_MAXIMIZED=FALSE&amp;VAR:CALENDAR=FIVEDAY&amp;VAR:SYMBOL=063002&amp;VAR:INDEX=0"}</definedName>
    <definedName name="_362__FDSAUDITLINK__" localSheetId="8" hidden="1">{"fdsup://directions/FAT Viewer?action=UPDATE&amp;creator=factset&amp;DYN_ARGS=TRUE&amp;DOC_NAME=FAT:FQL_AUDITING_CLIENT_TEMPLATE.FAT&amp;display_string=Audit&amp;VAR:KEY=HAPSXGDIXM&amp;VAR:QUERY=RkZfRUJJVERBX0lCKCdBTk4nLDM3OTg2LCwsLCdHQlAnKQ==&amp;WINDOW=FIRST_POPUP&amp;HEIGHT=450&amp;WIDTH=","450&amp;START_MAXIMIZED=FALSE&amp;VAR:CALENDAR=FIVEDAY&amp;VAR:SYMBOL=063002&amp;VAR:INDEX=0"}</definedName>
    <definedName name="_362__FDSAUDITLINK__" hidden="1">{"fdsup://directions/FAT Viewer?action=UPDATE&amp;creator=factset&amp;DYN_ARGS=TRUE&amp;DOC_NAME=FAT:FQL_AUDITING_CLIENT_TEMPLATE.FAT&amp;display_string=Audit&amp;VAR:KEY=OVMBCXUHWF&amp;VAR:QUERY=RkZfSU5UX0VYUF9ORVQoTFRNLDQxMDkyKQ==&amp;WINDOW=FIRST_POPUP&amp;HEIGHT=450&amp;WIDTH=450&amp;START_MA","XIMIZED=FALSE&amp;VAR:CALENDAR=US&amp;VAR:SYMBOL=USCR&amp;VAR:INDEX=0"}</definedName>
    <definedName name="_362__FDSAUDITLINK___1" localSheetId="8" hidden="1">{"fdsup://directions/FAT Viewer?action=UPDATE&amp;creator=factset&amp;DYN_ARGS=TRUE&amp;DOC_NAME=FAT:FQL_AUDITING_CLIENT_TEMPLATE.FAT&amp;display_string=Audit&amp;VAR:KEY=HAPSXGDIXM&amp;VAR:QUERY=RkZfRUJJVERBX0lCKCdBTk4nLDM3OTg2LCwsLCdHQlAnKQ==&amp;WINDOW=FIRST_POPUP&amp;HEIGHT=450&amp;WIDTH=","450&amp;START_MAXIMIZED=FALSE&amp;VAR:CALENDAR=FIVEDAY&amp;VAR:SYMBOL=063002&amp;VAR:INDEX=0"}</definedName>
    <definedName name="_362__FDSAUDITLINK___1" hidden="1">{"fdsup://directions/FAT Viewer?action=UPDATE&amp;creator=factset&amp;DYN_ARGS=TRUE&amp;DOC_NAME=FAT:FQL_AUDITING_CLIENT_TEMPLATE.FAT&amp;display_string=Audit&amp;VAR:KEY=HAPSXGDIXM&amp;VAR:QUERY=RkZfRUJJVERBX0lCKCdBTk4nLDM3OTg2LCwsLCdHQlAnKQ==&amp;WINDOW=FIRST_POPUP&amp;HEIGHT=450&amp;WIDTH=","450&amp;START_MAXIMIZED=FALSE&amp;VAR:CALENDAR=FIVEDAY&amp;VAR:SYMBOL=063002&amp;VAR:INDEX=0"}</definedName>
    <definedName name="_363__FDSAUDITLINK__" localSheetId="8" hidden="1">{"fdsup://directions/FAT Viewer?action=UPDATE&amp;creator=factset&amp;DYN_ARGS=TRUE&amp;DOC_NAME=FAT:FQL_AUDITING_CLIENT_TEMPLATE.FAT&amp;display_string=Audit&amp;VAR:KEY=DYVGFKNUDW&amp;VAR:QUERY=RkZfRUJJVERBX0lCKCdBTk4nLDM3NjIxLCwsLCdHQlAnKQ==&amp;WINDOW=FIRST_POPUP&amp;HEIGHT=450&amp;WIDTH=","450&amp;START_MAXIMIZED=FALSE&amp;VAR:CALENDAR=FIVEDAY&amp;VAR:SYMBOL=063002&amp;VAR:INDEX=0"}</definedName>
    <definedName name="_363__FDSAUDITLINK__" hidden="1">{"fdsup://directions/FAT Viewer?action=UPDATE&amp;creator=factset&amp;DYN_ARGS=TRUE&amp;DOC_NAME=FAT:FQL_AUDITING_CLIENT_TEMPLATE.FAT&amp;display_string=Audit&amp;VAR:KEY=GJUNSFIFQB&amp;VAR:QUERY=RkZfTkVUX0lOQyhMVE0sNDEwOTIp&amp;WINDOW=FIRST_POPUP&amp;HEIGHT=450&amp;WIDTH=450&amp;START_MAXIMIZED=","FALSE&amp;VAR:CALENDAR=US&amp;VAR:SYMBOL=USCR&amp;VAR:INDEX=0"}</definedName>
    <definedName name="_363__FDSAUDITLINK___1" localSheetId="8" hidden="1">{"fdsup://directions/FAT Viewer?action=UPDATE&amp;creator=factset&amp;DYN_ARGS=TRUE&amp;DOC_NAME=FAT:FQL_AUDITING_CLIENT_TEMPLATE.FAT&amp;display_string=Audit&amp;VAR:KEY=DYVGFKNUDW&amp;VAR:QUERY=RkZfRUJJVERBX0lCKCdBTk4nLDM3NjIxLCwsLCdHQlAnKQ==&amp;WINDOW=FIRST_POPUP&amp;HEIGHT=450&amp;WIDTH=","450&amp;START_MAXIMIZED=FALSE&amp;VAR:CALENDAR=FIVEDAY&amp;VAR:SYMBOL=063002&amp;VAR:INDEX=0"}</definedName>
    <definedName name="_363__FDSAUDITLINK___1" hidden="1">{"fdsup://directions/FAT Viewer?action=UPDATE&amp;creator=factset&amp;DYN_ARGS=TRUE&amp;DOC_NAME=FAT:FQL_AUDITING_CLIENT_TEMPLATE.FAT&amp;display_string=Audit&amp;VAR:KEY=DYVGFKNUDW&amp;VAR:QUERY=RkZfRUJJVERBX0lCKCdBTk4nLDM3NjIxLCwsLCdHQlAnKQ==&amp;WINDOW=FIRST_POPUP&amp;HEIGHT=450&amp;WIDTH=","450&amp;START_MAXIMIZED=FALSE&amp;VAR:CALENDAR=FIVEDAY&amp;VAR:SYMBOL=063002&amp;VAR:INDEX=0"}</definedName>
    <definedName name="_364__FDSAUDITLINK__" localSheetId="8" hidden="1">{"fdsup://directions/FAT Viewer?action=UPDATE&amp;creator=factset&amp;DYN_ARGS=TRUE&amp;DOC_NAME=FAT:FQL_AUDITING_CLIENT_TEMPLATE.FAT&amp;display_string=Audit&amp;VAR:KEY=EBSPANSFCZ&amp;VAR:QUERY=RkZfRUJJVERBX0lCKCdBTk4nLDM3MjU2LCwsLCdHQlAnKQ==&amp;WINDOW=FIRST_POPUP&amp;HEIGHT=450&amp;WIDTH=","450&amp;START_MAXIMIZED=FALSE&amp;VAR:CALENDAR=FIVEDAY&amp;VAR:SYMBOL=063002&amp;VAR:INDEX=0"}</definedName>
    <definedName name="_364__FDSAUDITLINK__" hidden="1">{"fdsup://directions/FAT Viewer?action=UPDATE&amp;creator=factset&amp;DYN_ARGS=TRUE&amp;DOC_NAME=FAT:FQL_AUDITING_CLIENT_TEMPLATE.FAT&amp;display_string=Audit&amp;VAR:KEY=GVIBGZMFAJ&amp;VAR:QUERY=RkZfRUJJVF9PUEVSKExUTSw0MTA5Mik=&amp;WINDOW=FIRST_POPUP&amp;HEIGHT=450&amp;WIDTH=450&amp;START_MAXIMI","ZED=FALSE&amp;VAR:CALENDAR=US&amp;VAR:SYMBOL=USCR&amp;VAR:INDEX=0"}</definedName>
    <definedName name="_364__FDSAUDITLINK___1" localSheetId="8" hidden="1">{"fdsup://directions/FAT Viewer?action=UPDATE&amp;creator=factset&amp;DYN_ARGS=TRUE&amp;DOC_NAME=FAT:FQL_AUDITING_CLIENT_TEMPLATE.FAT&amp;display_string=Audit&amp;VAR:KEY=EBSPANSFCZ&amp;VAR:QUERY=RkZfRUJJVERBX0lCKCdBTk4nLDM3MjU2LCwsLCdHQlAnKQ==&amp;WINDOW=FIRST_POPUP&amp;HEIGHT=450&amp;WIDTH=","450&amp;START_MAXIMIZED=FALSE&amp;VAR:CALENDAR=FIVEDAY&amp;VAR:SYMBOL=063002&amp;VAR:INDEX=0"}</definedName>
    <definedName name="_364__FDSAUDITLINK___1" hidden="1">{"fdsup://directions/FAT Viewer?action=UPDATE&amp;creator=factset&amp;DYN_ARGS=TRUE&amp;DOC_NAME=FAT:FQL_AUDITING_CLIENT_TEMPLATE.FAT&amp;display_string=Audit&amp;VAR:KEY=EBSPANSFCZ&amp;VAR:QUERY=RkZfRUJJVERBX0lCKCdBTk4nLDM3MjU2LCwsLCdHQlAnKQ==&amp;WINDOW=FIRST_POPUP&amp;HEIGHT=450&amp;WIDTH=","450&amp;START_MAXIMIZED=FALSE&amp;VAR:CALENDAR=FIVEDAY&amp;VAR:SYMBOL=063002&amp;VAR:INDEX=0"}</definedName>
    <definedName name="_365__FDSAUDITLINK__" localSheetId="8" hidden="1">{"fdsup://directions/FAT Viewer?action=UPDATE&amp;creator=factset&amp;DYN_ARGS=TRUE&amp;DOC_NAME=FAT:FQL_AUDITING_CLIENT_TEMPLATE.FAT&amp;display_string=Audit&amp;VAR:KEY=GPULYZWLWF&amp;VAR:QUERY=RkZfRUJJVERBX0lCKCdBTk4nLDM2ODkxLCwsLCdHQlAnKQ==&amp;WINDOW=FIRST_POPUP&amp;HEIGHT=450&amp;WIDTH=","450&amp;START_MAXIMIZED=FALSE&amp;VAR:CALENDAR=FIVEDAY&amp;VAR:SYMBOL=063002&amp;VAR:INDEX=0"}</definedName>
    <definedName name="_365__FDSAUDITLINK__" hidden="1">{"fdsup://directions/FAT Viewer?action=UPDATE&amp;creator=factset&amp;DYN_ARGS=TRUE&amp;DOC_NAME=FAT:FQL_AUDITING_CLIENT_TEMPLATE.FAT&amp;display_string=Audit&amp;VAR:KEY=AXCVIFELCN&amp;VAR:QUERY=RkZfRUJJVERBX09QRVIoTFRNLDQxMDkyKQ==&amp;WINDOW=FIRST_POPUP&amp;HEIGHT=450&amp;WIDTH=450&amp;START_MA","XIMIZED=FALSE&amp;VAR:CALENDAR=US&amp;VAR:SYMBOL=USCR&amp;VAR:INDEX=0"}</definedName>
    <definedName name="_365__FDSAUDITLINK___1" localSheetId="8" hidden="1">{"fdsup://directions/FAT Viewer?action=UPDATE&amp;creator=factset&amp;DYN_ARGS=TRUE&amp;DOC_NAME=FAT:FQL_AUDITING_CLIENT_TEMPLATE.FAT&amp;display_string=Audit&amp;VAR:KEY=GPULYZWLWF&amp;VAR:QUERY=RkZfRUJJVERBX0lCKCdBTk4nLDM2ODkxLCwsLCdHQlAnKQ==&amp;WINDOW=FIRST_POPUP&amp;HEIGHT=450&amp;WIDTH=","450&amp;START_MAXIMIZED=FALSE&amp;VAR:CALENDAR=FIVEDAY&amp;VAR:SYMBOL=063002&amp;VAR:INDEX=0"}</definedName>
    <definedName name="_365__FDSAUDITLINK___1" hidden="1">{"fdsup://directions/FAT Viewer?action=UPDATE&amp;creator=factset&amp;DYN_ARGS=TRUE&amp;DOC_NAME=FAT:FQL_AUDITING_CLIENT_TEMPLATE.FAT&amp;display_string=Audit&amp;VAR:KEY=GPULYZWLWF&amp;VAR:QUERY=RkZfRUJJVERBX0lCKCdBTk4nLDM2ODkxLCwsLCdHQlAnKQ==&amp;WINDOW=FIRST_POPUP&amp;HEIGHT=450&amp;WIDTH=","450&amp;START_MAXIMIZED=FALSE&amp;VAR:CALENDAR=FIVEDAY&amp;VAR:SYMBOL=063002&amp;VAR:INDEX=0"}</definedName>
    <definedName name="_366__FDSAUDITLINK__" localSheetId="8" hidden="1">{"fdsup://directions/FAT Viewer?action=UPDATE&amp;creator=factset&amp;DYN_ARGS=TRUE&amp;DOC_NAME=FAT:FQL_AUDITING_CLIENT_TEMPLATE.FAT&amp;display_string=Audit&amp;VAR:KEY=UTUJOBMTWF&amp;VAR:QUERY=RkZfRUJJVERBX0lCKCdBTk4nLDM2NTI1LCwsLCdHQlAnKQ==&amp;WINDOW=FIRST_POPUP&amp;HEIGHT=450&amp;WIDTH=","450&amp;START_MAXIMIZED=FALSE&amp;VAR:CALENDAR=FIVEDAY&amp;VAR:SYMBOL=063002&amp;VAR:INDEX=0"}</definedName>
    <definedName name="_366__FDSAUDITLINK__" hidden="1">{"fdsup://directions/FAT Viewer?action=UPDATE&amp;creator=factset&amp;DYN_ARGS=TRUE&amp;DOC_NAME=FAT:FQL_AUDITING_CLIENT_TEMPLATE.FAT&amp;display_string=Audit&amp;VAR:KEY=QBULYBKRIP&amp;VAR:QUERY=RkZfU0FMRVMoTFRNLDQxMDkyKQ==&amp;WINDOW=FIRST_POPUP&amp;HEIGHT=450&amp;WIDTH=450&amp;START_MAXIMIZED=","FALSE&amp;VAR:CALENDAR=US&amp;VAR:SYMBOL=USCR&amp;VAR:INDEX=0"}</definedName>
    <definedName name="_366__FDSAUDITLINK___1" localSheetId="8" hidden="1">{"fdsup://directions/FAT Viewer?action=UPDATE&amp;creator=factset&amp;DYN_ARGS=TRUE&amp;DOC_NAME=FAT:FQL_AUDITING_CLIENT_TEMPLATE.FAT&amp;display_string=Audit&amp;VAR:KEY=UTUJOBMTWF&amp;VAR:QUERY=RkZfRUJJVERBX0lCKCdBTk4nLDM2NTI1LCwsLCdHQlAnKQ==&amp;WINDOW=FIRST_POPUP&amp;HEIGHT=450&amp;WIDTH=","450&amp;START_MAXIMIZED=FALSE&amp;VAR:CALENDAR=FIVEDAY&amp;VAR:SYMBOL=063002&amp;VAR:INDEX=0"}</definedName>
    <definedName name="_366__FDSAUDITLINK___1" hidden="1">{"fdsup://directions/FAT Viewer?action=UPDATE&amp;creator=factset&amp;DYN_ARGS=TRUE&amp;DOC_NAME=FAT:FQL_AUDITING_CLIENT_TEMPLATE.FAT&amp;display_string=Audit&amp;VAR:KEY=UTUJOBMTWF&amp;VAR:QUERY=RkZfRUJJVERBX0lCKCdBTk4nLDM2NTI1LCwsLCdHQlAnKQ==&amp;WINDOW=FIRST_POPUP&amp;HEIGHT=450&amp;WIDTH=","450&amp;START_MAXIMIZED=FALSE&amp;VAR:CALENDAR=FIVEDAY&amp;VAR:SYMBOL=063002&amp;VAR:INDEX=0"}</definedName>
    <definedName name="_367__FDSAUDITLINK__" localSheetId="8" hidden="1">{"fdsup://directions/FAT Viewer?action=UPDATE&amp;creator=factset&amp;DYN_ARGS=TRUE&amp;DOC_NAME=FAT:FQL_AUDITING_CLIENT_TEMPLATE.FAT&amp;display_string=Audit&amp;VAR:KEY=QBAVWJMJQV&amp;VAR:QUERY=RkZfRUJJVERBX0lCKCdBTk4nLDM2MTYwLCwsLCdHQlAnKQ==&amp;WINDOW=FIRST_POPUP&amp;HEIGHT=450&amp;WIDTH=","450&amp;START_MAXIMIZED=FALSE&amp;VAR:CALENDAR=FIVEDAY&amp;VAR:SYMBOL=063002&amp;VAR:INDEX=0"}</definedName>
    <definedName name="_367__FDSAUDITLINK__" hidden="1">{"fdsup://directions/FAT Viewer?action=UPDATE&amp;creator=factset&amp;DYN_ARGS=TRUE&amp;DOC_NAME=FAT:FQL_AUDITING_CLIENT_TEMPLATE.FAT&amp;display_string=Audit&amp;VAR:KEY=QBAVWJMJQV&amp;VAR:QUERY=RkZfRUJJVERBX0lCKCdBTk4nLDM2MTYwLCwsLCdHQlAnKQ==&amp;WINDOW=FIRST_POPUP&amp;HEIGHT=450&amp;WIDTH=","450&amp;START_MAXIMIZED=FALSE&amp;VAR:CALENDAR=FIVEDAY&amp;VAR:SYMBOL=063002&amp;VAR:INDEX=0"}</definedName>
    <definedName name="_367__FDSAUDITLINK___1" localSheetId="8" hidden="1">{"fdsup://directions/FAT Viewer?action=UPDATE&amp;creator=factset&amp;DYN_ARGS=TRUE&amp;DOC_NAME=FAT:FQL_AUDITING_CLIENT_TEMPLATE.FAT&amp;display_string=Audit&amp;VAR:KEY=QBAVWJMJQV&amp;VAR:QUERY=RkZfRUJJVERBX0lCKCdBTk4nLDM2MTYwLCwsLCdHQlAnKQ==&amp;WINDOW=FIRST_POPUP&amp;HEIGHT=450&amp;WIDTH=","450&amp;START_MAXIMIZED=FALSE&amp;VAR:CALENDAR=FIVEDAY&amp;VAR:SYMBOL=063002&amp;VAR:INDEX=0"}</definedName>
    <definedName name="_367__FDSAUDITLINK___1" hidden="1">{"fdsup://directions/FAT Viewer?action=UPDATE&amp;creator=factset&amp;DYN_ARGS=TRUE&amp;DOC_NAME=FAT:FQL_AUDITING_CLIENT_TEMPLATE.FAT&amp;display_string=Audit&amp;VAR:KEY=QBAVWJMJQV&amp;VAR:QUERY=RkZfRUJJVERBX0lCKCdBTk4nLDM2MTYwLCwsLCdHQlAnKQ==&amp;WINDOW=FIRST_POPUP&amp;HEIGHT=450&amp;WIDTH=","450&amp;START_MAXIMIZED=FALSE&amp;VAR:CALENDAR=FIVEDAY&amp;VAR:SYMBOL=063002&amp;VAR:INDEX=0"}</definedName>
    <definedName name="_368__FDSAUDITLINK__" localSheetId="8" hidden="1">{"fdsup://directions/FAT Viewer?action=UPDATE&amp;creator=factset&amp;DYN_ARGS=TRUE&amp;DOC_NAME=FAT:FQL_AUDITING_CLIENT_TEMPLATE.FAT&amp;display_string=Audit&amp;VAR:KEY=CLIHOJQPCX&amp;VAR:QUERY=RkZfRUJJVERBX0lCKCdBTk4nLDM1Nzk1LCwsLCdHQlAnKQ==&amp;WINDOW=FIRST_POPUP&amp;HEIGHT=450&amp;WIDTH=","450&amp;START_MAXIMIZED=FALSE&amp;VAR:CALENDAR=FIVEDAY&amp;VAR:SYMBOL=063002&amp;VAR:INDEX=0"}</definedName>
    <definedName name="_368__FDSAUDITLINK__" hidden="1">{"fdsup://directions/FAT Viewer?action=UPDATE&amp;creator=factset&amp;DYN_ARGS=TRUE&amp;DOC_NAME=FAT:FQL_AUDITING_CLIENT_TEMPLATE.FAT&amp;display_string=Audit&amp;VAR:KEY=CLIHOJQPCX&amp;VAR:QUERY=RkZfRUJJVERBX0lCKCdBTk4nLDM1Nzk1LCwsLCdHQlAnKQ==&amp;WINDOW=FIRST_POPUP&amp;HEIGHT=450&amp;WIDTH=","450&amp;START_MAXIMIZED=FALSE&amp;VAR:CALENDAR=FIVEDAY&amp;VAR:SYMBOL=063002&amp;VAR:INDEX=0"}</definedName>
    <definedName name="_368__FDSAUDITLINK___1" localSheetId="8" hidden="1">{"fdsup://directions/FAT Viewer?action=UPDATE&amp;creator=factset&amp;DYN_ARGS=TRUE&amp;DOC_NAME=FAT:FQL_AUDITING_CLIENT_TEMPLATE.FAT&amp;display_string=Audit&amp;VAR:KEY=CLIHOJQPCX&amp;VAR:QUERY=RkZfRUJJVERBX0lCKCdBTk4nLDM1Nzk1LCwsLCdHQlAnKQ==&amp;WINDOW=FIRST_POPUP&amp;HEIGHT=450&amp;WIDTH=","450&amp;START_MAXIMIZED=FALSE&amp;VAR:CALENDAR=FIVEDAY&amp;VAR:SYMBOL=063002&amp;VAR:INDEX=0"}</definedName>
    <definedName name="_368__FDSAUDITLINK___1" hidden="1">{"fdsup://directions/FAT Viewer?action=UPDATE&amp;creator=factset&amp;DYN_ARGS=TRUE&amp;DOC_NAME=FAT:FQL_AUDITING_CLIENT_TEMPLATE.FAT&amp;display_string=Audit&amp;VAR:KEY=CLIHOJQPCX&amp;VAR:QUERY=RkZfRUJJVERBX0lCKCdBTk4nLDM1Nzk1LCwsLCdHQlAnKQ==&amp;WINDOW=FIRST_POPUP&amp;HEIGHT=450&amp;WIDTH=","450&amp;START_MAXIMIZED=FALSE&amp;VAR:CALENDAR=FIVEDAY&amp;VAR:SYMBOL=063002&amp;VAR:INDEX=0"}</definedName>
    <definedName name="_369__FDSAUDITLINK__" localSheetId="8" hidden="1">{"fdsup://directions/FAT Viewer?action=UPDATE&amp;creator=factset&amp;DYN_ARGS=TRUE&amp;DOC_NAME=FAT:FQL_AUDITING_CLIENT_TEMPLATE.FAT&amp;display_string=Audit&amp;VAR:KEY=YFGTYNGXIN&amp;VAR:QUERY=RkZfRUJJVERBX0lCKCdBTk4nLDM1NDMwLCwsLCdHQlAnKQ==&amp;WINDOW=FIRST_POPUP&amp;HEIGHT=450&amp;WIDTH=","450&amp;START_MAXIMIZED=FALSE&amp;VAR:CALENDAR=FIVEDAY&amp;VAR:SYMBOL=063002&amp;VAR:INDEX=0"}</definedName>
    <definedName name="_369__FDSAUDITLINK__" hidden="1">{"fdsup://directions/FAT Viewer?action=UPDATE&amp;creator=factset&amp;DYN_ARGS=TRUE&amp;DOC_NAME=FAT:FQL_AUDITING_CLIENT_TEMPLATE.FAT&amp;display_string=Audit&amp;VAR:KEY=YFGTYNGXIN&amp;VAR:QUERY=RkZfRUJJVERBX0lCKCdBTk4nLDM1NDMwLCwsLCdHQlAnKQ==&amp;WINDOW=FIRST_POPUP&amp;HEIGHT=450&amp;WIDTH=","450&amp;START_MAXIMIZED=FALSE&amp;VAR:CALENDAR=FIVEDAY&amp;VAR:SYMBOL=063002&amp;VAR:INDEX=0"}</definedName>
    <definedName name="_369__FDSAUDITLINK___1" localSheetId="8" hidden="1">{"fdsup://directions/FAT Viewer?action=UPDATE&amp;creator=factset&amp;DYN_ARGS=TRUE&amp;DOC_NAME=FAT:FQL_AUDITING_CLIENT_TEMPLATE.FAT&amp;display_string=Audit&amp;VAR:KEY=YFGTYNGXIN&amp;VAR:QUERY=RkZfRUJJVERBX0lCKCdBTk4nLDM1NDMwLCwsLCdHQlAnKQ==&amp;WINDOW=FIRST_POPUP&amp;HEIGHT=450&amp;WIDTH=","450&amp;START_MAXIMIZED=FALSE&amp;VAR:CALENDAR=FIVEDAY&amp;VAR:SYMBOL=063002&amp;VAR:INDEX=0"}</definedName>
    <definedName name="_369__FDSAUDITLINK___1" hidden="1">{"fdsup://directions/FAT Viewer?action=UPDATE&amp;creator=factset&amp;DYN_ARGS=TRUE&amp;DOC_NAME=FAT:FQL_AUDITING_CLIENT_TEMPLATE.FAT&amp;display_string=Audit&amp;VAR:KEY=YFGTYNGXIN&amp;VAR:QUERY=RkZfRUJJVERBX0lCKCdBTk4nLDM1NDMwLCwsLCdHQlAnKQ==&amp;WINDOW=FIRST_POPUP&amp;HEIGHT=450&amp;WIDTH=","450&amp;START_MAXIMIZED=FALSE&amp;VAR:CALENDAR=FIVEDAY&amp;VAR:SYMBOL=063002&amp;VAR:INDEX=0"}</definedName>
    <definedName name="_37__123Graph_ACHART_3" hidden="1">#REF!</definedName>
    <definedName name="_37__123Graph_BCHART_13" hidden="1">#REF!</definedName>
    <definedName name="_37__123Graph_BCHART_17" localSheetId="8" hidden="1">#REF!</definedName>
    <definedName name="_37__123Graph_BCHART_17" hidden="1">#REF!</definedName>
    <definedName name="_37__123Graph_CCHART_13" hidden="1">#REF!</definedName>
    <definedName name="_37__123Graph_EGRAFICO_16" localSheetId="8" hidden="1">#REF!</definedName>
    <definedName name="_37__123Graph_EGRAFICO_16" hidden="1">#REF!</definedName>
    <definedName name="_37__FDSAUDITLINK__" localSheetId="8" hidden="1">{"fdsup://directions/FAT Viewer?action=UPDATE&amp;creator=factset&amp;DYN_ARGS=TRUE&amp;DOC_NAME=FAT:FQL_AUDITING_CLIENT_TEMPLATE.FAT&amp;display_string=Audit&amp;VAR:KEY=OFEXALEVGV&amp;VAR:QUERY=RkZfRUJJVERBX0lCKEFOTiwzNDMzNCwsLCxFVVIp&amp;WINDOW=FIRST_POPUP&amp;HEIGHT=450&amp;WIDTH=450&amp;STAR","T_MAXIMIZED=FALSE&amp;VAR:CALENDAR=FIVEDAY&amp;VAR:SYMBOL=591344&amp;VAR:INDEX=0"}</definedName>
    <definedName name="_37__FDSAUDITLINK__" hidden="1">{"fdsup://directions/FAT Viewer?action=UPDATE&amp;creator=factset&amp;DYN_ARGS=TRUE&amp;DOC_NAME=FAT:FQL_AUDITING_CLIENT_TEMPLATE.FAT&amp;display_string=Audit&amp;VAR:KEY=KTCPADONEZ&amp;VAR:QUERY=RkZfU0FMRVMoQ0FMLDIwMDkp&amp;WINDOW=FIRST_POPUP&amp;HEIGHT=450&amp;WIDTH=450&amp;START_MAXIMIZED=FALS","E&amp;VAR:CALENDAR=US&amp;VAR:SYMBOL=EXP&amp;VAR:INDEX=0"}</definedName>
    <definedName name="_37__FDSAUDITLINK___1" localSheetId="8" hidden="1">{"fdsup://directions/FAT Viewer?action=UPDATE&amp;creator=factset&amp;DYN_ARGS=TRUE&amp;DOC_NAME=FAT:FQL_AUDITING_CLIENT_TEMPLATE.FAT&amp;display_string=Audit&amp;VAR:KEY=OFEXALEVGV&amp;VAR:QUERY=RkZfRUJJVERBX0lCKEFOTiwzNDMzNCwsLCxFVVIp&amp;WINDOW=FIRST_POPUP&amp;HEIGHT=450&amp;WIDTH=450&amp;STAR","T_MAXIMIZED=FALSE&amp;VAR:CALENDAR=FIVEDAY&amp;VAR:SYMBOL=591344&amp;VAR:INDEX=0"}</definedName>
    <definedName name="_37__FDSAUDITLINK___1" hidden="1">{"fdsup://directions/FAT Viewer?action=UPDATE&amp;creator=factset&amp;DYN_ARGS=TRUE&amp;DOC_NAME=FAT:FQL_AUDITING_CLIENT_TEMPLATE.FAT&amp;display_string=Audit&amp;VAR:KEY=OFEXALEVGV&amp;VAR:QUERY=RkZfRUJJVERBX0lCKEFOTiwzNDMzNCwsLCxFVVIp&amp;WINDOW=FIRST_POPUP&amp;HEIGHT=450&amp;WIDTH=450&amp;STAR","T_MAXIMIZED=FALSE&amp;VAR:CALENDAR=FIVEDAY&amp;VAR:SYMBOL=591344&amp;VAR:INDEX=0"}</definedName>
    <definedName name="_37_0_0__123Graph_XB93S" hidden="1">#REF!</definedName>
    <definedName name="_37_0Rwvu.Pag" hidden="1">#REF!</definedName>
    <definedName name="_370__FDSAUDITLINK__" localSheetId="8" hidden="1">{"fdsup://directions/FAT Viewer?action=UPDATE&amp;creator=factset&amp;DYN_ARGS=TRUE&amp;DOC_NAME=FAT:FQL_AUDITING_CLIENT_TEMPLATE.FAT&amp;display_string=Audit&amp;VAR:KEY=OHABQVYVIV&amp;VAR:QUERY=RkZfRUJJVERBX0lCKCdBTk4nLDM1MDY0LCwsLCdHQlAnKQ==&amp;WINDOW=FIRST_POPUP&amp;HEIGHT=450&amp;WIDTH=","450&amp;START_MAXIMIZED=FALSE&amp;VAR:CALENDAR=FIVEDAY&amp;VAR:SYMBOL=063002&amp;VAR:INDEX=0"}</definedName>
    <definedName name="_370__FDSAUDITLINK__" hidden="1">{"fdsup://directions/FAT Viewer?action=UPDATE&amp;creator=factset&amp;DYN_ARGS=TRUE&amp;DOC_NAME=FAT:FQL_AUDITING_CLIENT_TEMPLATE.FAT&amp;display_string=Audit&amp;VAR:KEY=OHABQVYVIV&amp;VAR:QUERY=RkZfRUJJVERBX0lCKCdBTk4nLDM1MDY0LCwsLCdHQlAnKQ==&amp;WINDOW=FIRST_POPUP&amp;HEIGHT=450&amp;WIDTH=","450&amp;START_MAXIMIZED=FALSE&amp;VAR:CALENDAR=FIVEDAY&amp;VAR:SYMBOL=063002&amp;VAR:INDEX=0"}</definedName>
    <definedName name="_370__FDSAUDITLINK___1" localSheetId="8" hidden="1">{"fdsup://directions/FAT Viewer?action=UPDATE&amp;creator=factset&amp;DYN_ARGS=TRUE&amp;DOC_NAME=FAT:FQL_AUDITING_CLIENT_TEMPLATE.FAT&amp;display_string=Audit&amp;VAR:KEY=OHABQVYVIV&amp;VAR:QUERY=RkZfRUJJVERBX0lCKCdBTk4nLDM1MDY0LCwsLCdHQlAnKQ==&amp;WINDOW=FIRST_POPUP&amp;HEIGHT=450&amp;WIDTH=","450&amp;START_MAXIMIZED=FALSE&amp;VAR:CALENDAR=FIVEDAY&amp;VAR:SYMBOL=063002&amp;VAR:INDEX=0"}</definedName>
    <definedName name="_370__FDSAUDITLINK___1" hidden="1">{"fdsup://directions/FAT Viewer?action=UPDATE&amp;creator=factset&amp;DYN_ARGS=TRUE&amp;DOC_NAME=FAT:FQL_AUDITING_CLIENT_TEMPLATE.FAT&amp;display_string=Audit&amp;VAR:KEY=OHABQVYVIV&amp;VAR:QUERY=RkZfRUJJVERBX0lCKCdBTk4nLDM1MDY0LCwsLCdHQlAnKQ==&amp;WINDOW=FIRST_POPUP&amp;HEIGHT=450&amp;WIDTH=","450&amp;START_MAXIMIZED=FALSE&amp;VAR:CALENDAR=FIVEDAY&amp;VAR:SYMBOL=063002&amp;VAR:INDEX=0"}</definedName>
    <definedName name="_371__FDSAUDITLINK__" localSheetId="7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1__FDSAUDITLINK__" localSheetId="8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1__FDSAUDITLINK__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1__FDSAUDITLINK___1" localSheetId="8" hidden="1">{"fdsup://directions/FAT Viewer?action=UPDATE&amp;creator=factset&amp;DYN_ARGS=TRUE&amp;DOC_NAME=FAT:FQL_AUDITING_CLIENT_TEMPLATE.FAT&amp;display_string=Audit&amp;VAR:KEY=KHQDMRQNSN&amp;VAR:QUERY=RkZfRUJJVERBX0lCKCdBTk4nLDM0Njk5LCwsLCdHQlAnKQ==&amp;WINDOW=FIRST_POPUP&amp;HEIGHT=450&amp;WIDTH=","450&amp;START_MAXIMIZED=FALSE&amp;VAR:CALENDAR=FIVEDAY&amp;VAR:SYMBOL=063002&amp;VAR:INDEX=0"}</definedName>
    <definedName name="_371__FDSAUDITLINK___1" hidden="1">{"fdsup://directions/FAT Viewer?action=UPDATE&amp;creator=factset&amp;DYN_ARGS=TRUE&amp;DOC_NAME=FAT:FQL_AUDITING_CLIENT_TEMPLATE.FAT&amp;display_string=Audit&amp;VAR:KEY=KHQDMRQNSN&amp;VAR:QUERY=RkZfRUJJVERBX0lCKCdBTk4nLDM0Njk5LCwsLCdHQlAnKQ==&amp;WINDOW=FIRST_POPUP&amp;HEIGHT=450&amp;WIDTH=","450&amp;START_MAXIMIZED=FALSE&amp;VAR:CALENDAR=FIVEDAY&amp;VAR:SYMBOL=063002&amp;VAR:INDEX=0"}</definedName>
    <definedName name="_372__FDSAUDITLINK__" localSheetId="8" hidden="1">{"fdsup://directions/FAT Viewer?action=UPDATE&amp;creator=factset&amp;DYN_ARGS=TRUE&amp;DOC_NAME=FAT:FQL_AUDITING_CLIENT_TEMPLATE.FAT&amp;display_string=Audit&amp;VAR:KEY=MXSFIBOZQP&amp;VAR:QUERY=RkZfRUJJVERBX0lCKCdBTk4nLDM0MzM0LCwsLCdHQlAnKQ==&amp;WINDOW=FIRST_POPUP&amp;HEIGHT=450&amp;WIDTH=","450&amp;START_MAXIMIZED=FALSE&amp;VAR:CALENDAR=FIVEDAY&amp;VAR:SYMBOL=063002&amp;VAR:INDEX=0"}</definedName>
    <definedName name="_372__FDSAUDITLINK__" hidden="1">{"fdsup://directions/FAT Viewer?action=UPDATE&amp;creator=factset&amp;DYN_ARGS=TRUE&amp;DOC_NAME=FAT:FQL_AUDITING_CLIENT_TEMPLATE.FAT&amp;display_string=Audit&amp;VAR:KEY=MXSFIBOZQP&amp;VAR:QUERY=RkZfRUJJVERBX0lCKCdBTk4nLDM0MzM0LCwsLCdHQlAnKQ==&amp;WINDOW=FIRST_POPUP&amp;HEIGHT=450&amp;WIDTH=","450&amp;START_MAXIMIZED=FALSE&amp;VAR:CALENDAR=FIVEDAY&amp;VAR:SYMBOL=063002&amp;VAR:INDEX=0"}</definedName>
    <definedName name="_372__FDSAUDITLINK___1" localSheetId="8" hidden="1">{"fdsup://directions/FAT Viewer?action=UPDATE&amp;creator=factset&amp;DYN_ARGS=TRUE&amp;DOC_NAME=FAT:FQL_AUDITING_CLIENT_TEMPLATE.FAT&amp;display_string=Audit&amp;VAR:KEY=MXSFIBOZQP&amp;VAR:QUERY=RkZfRUJJVERBX0lCKCdBTk4nLDM0MzM0LCwsLCdHQlAnKQ==&amp;WINDOW=FIRST_POPUP&amp;HEIGHT=450&amp;WIDTH=","450&amp;START_MAXIMIZED=FALSE&amp;VAR:CALENDAR=FIVEDAY&amp;VAR:SYMBOL=063002&amp;VAR:INDEX=0"}</definedName>
    <definedName name="_372__FDSAUDITLINK___1" hidden="1">{"fdsup://directions/FAT Viewer?action=UPDATE&amp;creator=factset&amp;DYN_ARGS=TRUE&amp;DOC_NAME=FAT:FQL_AUDITING_CLIENT_TEMPLATE.FAT&amp;display_string=Audit&amp;VAR:KEY=MXSFIBOZQP&amp;VAR:QUERY=RkZfRUJJVERBX0lCKCdBTk4nLDM0MzM0LCwsLCdHQlAnKQ==&amp;WINDOW=FIRST_POPUP&amp;HEIGHT=450&amp;WIDTH=","450&amp;START_MAXIMIZED=FALSE&amp;VAR:CALENDAR=FIVEDAY&amp;VAR:SYMBOL=063002&amp;VAR:INDEX=0"}</definedName>
    <definedName name="_373__FDSAUDITLINK__" localSheetId="8" hidden="1">{"fdsup://directions/FAT Viewer?action=UPDATE&amp;creator=factset&amp;DYN_ARGS=TRUE&amp;DOC_NAME=FAT:FQL_AUDITING_CLIENT_TEMPLATE.FAT&amp;display_string=Audit&amp;VAR:KEY=WZKBMLCLYN&amp;VAR:QUERY=RkZfRUJJVERBX0lCKCdBTk4nLDMzOTY5LCwsLCdHQlAnKQ==&amp;WINDOW=FIRST_POPUP&amp;HEIGHT=450&amp;WIDTH=","450&amp;START_MAXIMIZED=FALSE&amp;VAR:CALENDAR=FIVEDAY&amp;VAR:SYMBOL=063002&amp;VAR:INDEX=0"}</definedName>
    <definedName name="_373__FDSAUDITLINK__" hidden="1">{"fdsup://directions/FAT Viewer?action=UPDATE&amp;creator=factset&amp;DYN_ARGS=TRUE&amp;DOC_NAME=FAT:FQL_AUDITING_CLIENT_TEMPLATE.FAT&amp;display_string=Audit&amp;VAR:KEY=WZKBMLCLYN&amp;VAR:QUERY=RkZfRUJJVERBX0lCKCdBTk4nLDMzOTY5LCwsLCdHQlAnKQ==&amp;WINDOW=FIRST_POPUP&amp;HEIGHT=450&amp;WIDTH=","450&amp;START_MAXIMIZED=FALSE&amp;VAR:CALENDAR=FIVEDAY&amp;VAR:SYMBOL=063002&amp;VAR:INDEX=0"}</definedName>
    <definedName name="_373__FDSAUDITLINK___1" localSheetId="8" hidden="1">{"fdsup://directions/FAT Viewer?action=UPDATE&amp;creator=factset&amp;DYN_ARGS=TRUE&amp;DOC_NAME=FAT:FQL_AUDITING_CLIENT_TEMPLATE.FAT&amp;display_string=Audit&amp;VAR:KEY=WZKBMLCLYN&amp;VAR:QUERY=RkZfRUJJVERBX0lCKCdBTk4nLDMzOTY5LCwsLCdHQlAnKQ==&amp;WINDOW=FIRST_POPUP&amp;HEIGHT=450&amp;WIDTH=","450&amp;START_MAXIMIZED=FALSE&amp;VAR:CALENDAR=FIVEDAY&amp;VAR:SYMBOL=063002&amp;VAR:INDEX=0"}</definedName>
    <definedName name="_373__FDSAUDITLINK___1" hidden="1">{"fdsup://directions/FAT Viewer?action=UPDATE&amp;creator=factset&amp;DYN_ARGS=TRUE&amp;DOC_NAME=FAT:FQL_AUDITING_CLIENT_TEMPLATE.FAT&amp;display_string=Audit&amp;VAR:KEY=WZKBMLCLYN&amp;VAR:QUERY=RkZfRUJJVERBX0lCKCdBTk4nLDMzOTY5LCwsLCdHQlAnKQ==&amp;WINDOW=FIRST_POPUP&amp;HEIGHT=450&amp;WIDTH=","450&amp;START_MAXIMIZED=FALSE&amp;VAR:CALENDAR=FIVEDAY&amp;VAR:SYMBOL=063002&amp;VAR:INDEX=0"}</definedName>
    <definedName name="_374__FDSAUDITLINK__" localSheetId="8" hidden="1">{"fdsup://directions/FAT Viewer?action=UPDATE&amp;creator=factset&amp;DYN_ARGS=TRUE&amp;DOC_NAME=FAT:FQL_AUDITING_CLIENT_TEMPLATE.FAT&amp;display_string=Audit&amp;VAR:KEY=EFGTCVCROT&amp;VAR:QUERY=RkZfRUJJVERBX0lCKCdBTk4nLDMzNjAzLCwsLCdHQlAnKQ==&amp;WINDOW=FIRST_POPUP&amp;HEIGHT=450&amp;WIDTH=","450&amp;START_MAXIMIZED=FALSE&amp;VAR:CALENDAR=FIVEDAY&amp;VAR:SYMBOL=063002&amp;VAR:INDEX=0"}</definedName>
    <definedName name="_374__FDSAUDITLINK__" hidden="1">{"fdsup://directions/FAT Viewer?action=UPDATE&amp;creator=factset&amp;DYN_ARGS=TRUE&amp;DOC_NAME=FAT:FQL_AUDITING_CLIENT_TEMPLATE.FAT&amp;display_string=Audit&amp;VAR:KEY=EFGTCVCROT&amp;VAR:QUERY=RkZfRUJJVERBX0lCKCdBTk4nLDMzNjAzLCwsLCdHQlAnKQ==&amp;WINDOW=FIRST_POPUP&amp;HEIGHT=450&amp;WIDTH=","450&amp;START_MAXIMIZED=FALSE&amp;VAR:CALENDAR=FIVEDAY&amp;VAR:SYMBOL=063002&amp;VAR:INDEX=0"}</definedName>
    <definedName name="_374__FDSAUDITLINK___1" localSheetId="8" hidden="1">{"fdsup://directions/FAT Viewer?action=UPDATE&amp;creator=factset&amp;DYN_ARGS=TRUE&amp;DOC_NAME=FAT:FQL_AUDITING_CLIENT_TEMPLATE.FAT&amp;display_string=Audit&amp;VAR:KEY=EFGTCVCROT&amp;VAR:QUERY=RkZfRUJJVERBX0lCKCdBTk4nLDMzNjAzLCwsLCdHQlAnKQ==&amp;WINDOW=FIRST_POPUP&amp;HEIGHT=450&amp;WIDTH=","450&amp;START_MAXIMIZED=FALSE&amp;VAR:CALENDAR=FIVEDAY&amp;VAR:SYMBOL=063002&amp;VAR:INDEX=0"}</definedName>
    <definedName name="_374__FDSAUDITLINK___1" hidden="1">{"fdsup://directions/FAT Viewer?action=UPDATE&amp;creator=factset&amp;DYN_ARGS=TRUE&amp;DOC_NAME=FAT:FQL_AUDITING_CLIENT_TEMPLATE.FAT&amp;display_string=Audit&amp;VAR:KEY=EFGTCVCROT&amp;VAR:QUERY=RkZfRUJJVERBX0lCKCdBTk4nLDMzNjAzLCwsLCdHQlAnKQ==&amp;WINDOW=FIRST_POPUP&amp;HEIGHT=450&amp;WIDTH=","450&amp;START_MAXIMIZED=FALSE&amp;VAR:CALENDAR=FIVEDAY&amp;VAR:SYMBOL=063002&amp;VAR:INDEX=0"}</definedName>
    <definedName name="_375__FDSAUDITLINK__" localSheetId="8" hidden="1">{"fdsup://directions/FAT Viewer?action=UPDATE&amp;creator=factset&amp;DYN_ARGS=TRUE&amp;DOC_NAME=FAT:FQL_AUDITING_CLIENT_TEMPLATE.FAT&amp;display_string=Audit&amp;VAR:KEY=CRWVMVGTWB&amp;VAR:QUERY=RkZfRUJJVERBX0lCKCdBTk4nLDMzMjM4LCwsLCdHQlAnKQ==&amp;WINDOW=FIRST_POPUP&amp;HEIGHT=450&amp;WIDTH=","450&amp;START_MAXIMIZED=FALSE&amp;VAR:CALENDAR=FIVEDAY&amp;VAR:SYMBOL=063002&amp;VAR:INDEX=0"}</definedName>
    <definedName name="_375__FDSAUDITLINK__" hidden="1">{"fdsup://directions/FAT Viewer?action=UPDATE&amp;creator=factset&amp;DYN_ARGS=TRUE&amp;DOC_NAME=FAT:FQL_AUDITING_CLIENT_TEMPLATE.FAT&amp;display_string=Audit&amp;VAR:KEY=CRWVMVGTWB&amp;VAR:QUERY=RkZfRUJJVERBX0lCKCdBTk4nLDMzMjM4LCwsLCdHQlAnKQ==&amp;WINDOW=FIRST_POPUP&amp;HEIGHT=450&amp;WIDTH=","450&amp;START_MAXIMIZED=FALSE&amp;VAR:CALENDAR=FIVEDAY&amp;VAR:SYMBOL=063002&amp;VAR:INDEX=0"}</definedName>
    <definedName name="_375__FDSAUDITLINK___1" localSheetId="8" hidden="1">{"fdsup://directions/FAT Viewer?action=UPDATE&amp;creator=factset&amp;DYN_ARGS=TRUE&amp;DOC_NAME=FAT:FQL_AUDITING_CLIENT_TEMPLATE.FAT&amp;display_string=Audit&amp;VAR:KEY=CRWVMVGTWB&amp;VAR:QUERY=RkZfRUJJVERBX0lCKCdBTk4nLDMzMjM4LCwsLCdHQlAnKQ==&amp;WINDOW=FIRST_POPUP&amp;HEIGHT=450&amp;WIDTH=","450&amp;START_MAXIMIZED=FALSE&amp;VAR:CALENDAR=FIVEDAY&amp;VAR:SYMBOL=063002&amp;VAR:INDEX=0"}</definedName>
    <definedName name="_375__FDSAUDITLINK___1" hidden="1">{"fdsup://directions/FAT Viewer?action=UPDATE&amp;creator=factset&amp;DYN_ARGS=TRUE&amp;DOC_NAME=FAT:FQL_AUDITING_CLIENT_TEMPLATE.FAT&amp;display_string=Audit&amp;VAR:KEY=CRWVMVGTWB&amp;VAR:QUERY=RkZfRUJJVERBX0lCKCdBTk4nLDMzMjM4LCwsLCdHQlAnKQ==&amp;WINDOW=FIRST_POPUP&amp;HEIGHT=450&amp;WIDTH=","450&amp;START_MAXIMIZED=FALSE&amp;VAR:CALENDAR=FIVEDAY&amp;VAR:SYMBOL=063002&amp;VAR:INDEX=0"}</definedName>
    <definedName name="_376__FDSAUDITLINK__" localSheetId="8" hidden="1">{"fdsup://directions/FAT Viewer?action=UPDATE&amp;creator=factset&amp;DYN_ARGS=TRUE&amp;DOC_NAME=FAT:FQL_AUDITING_CLIENT_TEMPLATE.FAT&amp;display_string=Audit&amp;VAR:KEY=IBKFGZCZIL&amp;VAR:QUERY=RkZfRUJJVERBX0lCKCdBTk4nLDMyODczLCwsLCdHQlAnKQ==&amp;WINDOW=FIRST_POPUP&amp;HEIGHT=450&amp;WIDTH=","450&amp;START_MAXIMIZED=FALSE&amp;VAR:CALENDAR=FIVEDAY&amp;VAR:SYMBOL=063002&amp;VAR:INDEX=0"}</definedName>
    <definedName name="_376__FDSAUDITLINK__" hidden="1">{"fdsup://directions/FAT Viewer?action=UPDATE&amp;creator=factset&amp;DYN_ARGS=TRUE&amp;DOC_NAME=FAT:FQL_AUDITING_CLIENT_TEMPLATE.FAT&amp;display_string=Audit&amp;VAR:KEY=IBKFGZCZIL&amp;VAR:QUERY=RkZfRUJJVERBX0lCKCdBTk4nLDMyODczLCwsLCdHQlAnKQ==&amp;WINDOW=FIRST_POPUP&amp;HEIGHT=450&amp;WIDTH=","450&amp;START_MAXIMIZED=FALSE&amp;VAR:CALENDAR=FIVEDAY&amp;VAR:SYMBOL=063002&amp;VAR:INDEX=0"}</definedName>
    <definedName name="_376__FDSAUDITLINK___1" localSheetId="8" hidden="1">{"fdsup://directions/FAT Viewer?action=UPDATE&amp;creator=factset&amp;DYN_ARGS=TRUE&amp;DOC_NAME=FAT:FQL_AUDITING_CLIENT_TEMPLATE.FAT&amp;display_string=Audit&amp;VAR:KEY=IBKFGZCZIL&amp;VAR:QUERY=RkZfRUJJVERBX0lCKCdBTk4nLDMyODczLCwsLCdHQlAnKQ==&amp;WINDOW=FIRST_POPUP&amp;HEIGHT=450&amp;WIDTH=","450&amp;START_MAXIMIZED=FALSE&amp;VAR:CALENDAR=FIVEDAY&amp;VAR:SYMBOL=063002&amp;VAR:INDEX=0"}</definedName>
    <definedName name="_376__FDSAUDITLINK___1" hidden="1">{"fdsup://directions/FAT Viewer?action=UPDATE&amp;creator=factset&amp;DYN_ARGS=TRUE&amp;DOC_NAME=FAT:FQL_AUDITING_CLIENT_TEMPLATE.FAT&amp;display_string=Audit&amp;VAR:KEY=IBKFGZCZIL&amp;VAR:QUERY=RkZfRUJJVERBX0lCKCdBTk4nLDMyODczLCwsLCdHQlAnKQ==&amp;WINDOW=FIRST_POPUP&amp;HEIGHT=450&amp;WIDTH=","450&amp;START_MAXIMIZED=FALSE&amp;VAR:CALENDAR=FIVEDAY&amp;VAR:SYMBOL=063002&amp;VAR:INDEX=0"}</definedName>
    <definedName name="_377__FDSAUDITLINK__" localSheetId="8" hidden="1">{"fdsup://directions/FAT Viewer?action=UPDATE&amp;creator=factset&amp;DYN_ARGS=TRUE&amp;DOC_NAME=FAT:FQL_AUDITING_CLIENT_TEMPLATE.FAT&amp;display_string=Audit&amp;VAR:KEY=CPGVORGDAV&amp;VAR:QUERY=RkZfRUJJVERBX0lCKCdBTk4nLDM5OTk0LCwsLCdHQlAnKQ==&amp;WINDOW=FIRST_POPUP&amp;HEIGHT=450&amp;WIDTH=","450&amp;START_MAXIMIZED=FALSE&amp;VAR:CALENDAR=FIVEDAY&amp;VAR:SYMBOL=B2425G&amp;VAR:INDEX=0"}</definedName>
    <definedName name="_377__FDSAUDITLINK__" hidden="1">{"fdsup://directions/FAT Viewer?action=UPDATE&amp;creator=factset&amp;DYN_ARGS=TRUE&amp;DOC_NAME=FAT:FQL_AUDITING_CLIENT_TEMPLATE.FAT&amp;display_string=Audit&amp;VAR:KEY=CPGVORGDAV&amp;VAR:QUERY=RkZfRUJJVERBX0lCKCdBTk4nLDM5OTk0LCwsLCdHQlAnKQ==&amp;WINDOW=FIRST_POPUP&amp;HEIGHT=450&amp;WIDTH=","450&amp;START_MAXIMIZED=FALSE&amp;VAR:CALENDAR=FIVEDAY&amp;VAR:SYMBOL=B2425G&amp;VAR:INDEX=0"}</definedName>
    <definedName name="_377__FDSAUDITLINK___1" localSheetId="8" hidden="1">{"fdsup://directions/FAT Viewer?action=UPDATE&amp;creator=factset&amp;DYN_ARGS=TRUE&amp;DOC_NAME=FAT:FQL_AUDITING_CLIENT_TEMPLATE.FAT&amp;display_string=Audit&amp;VAR:KEY=CPGVORGDAV&amp;VAR:QUERY=RkZfRUJJVERBX0lCKCdBTk4nLDM5OTk0LCwsLCdHQlAnKQ==&amp;WINDOW=FIRST_POPUP&amp;HEIGHT=450&amp;WIDTH=","450&amp;START_MAXIMIZED=FALSE&amp;VAR:CALENDAR=FIVEDAY&amp;VAR:SYMBOL=B2425G&amp;VAR:INDEX=0"}</definedName>
    <definedName name="_377__FDSAUDITLINK___1" hidden="1">{"fdsup://directions/FAT Viewer?action=UPDATE&amp;creator=factset&amp;DYN_ARGS=TRUE&amp;DOC_NAME=FAT:FQL_AUDITING_CLIENT_TEMPLATE.FAT&amp;display_string=Audit&amp;VAR:KEY=CPGVORGDAV&amp;VAR:QUERY=RkZfRUJJVERBX0lCKCdBTk4nLDM5OTk0LCwsLCdHQlAnKQ==&amp;WINDOW=FIRST_POPUP&amp;HEIGHT=450&amp;WIDTH=","450&amp;START_MAXIMIZED=FALSE&amp;VAR:CALENDAR=FIVEDAY&amp;VAR:SYMBOL=B2425G&amp;VAR:INDEX=0"}</definedName>
    <definedName name="_378__FDSAUDITLINK__" localSheetId="8" hidden="1">{"fdsup://directions/FAT Viewer?action=UPDATE&amp;creator=factset&amp;DYN_ARGS=TRUE&amp;DOC_NAME=FAT:FQL_AUDITING_CLIENT_TEMPLATE.FAT&amp;display_string=Audit&amp;VAR:KEY=MRCHGFINGL&amp;VAR:QUERY=RkZfRUJJVERBX0lCKCdBTk4nLDM5NjI5LCwsLCdHQlAnKQ==&amp;WINDOW=FIRST_POPUP&amp;HEIGHT=450&amp;WIDTH=","450&amp;START_MAXIMIZED=FALSE&amp;VAR:CALENDAR=FIVEDAY&amp;VAR:SYMBOL=B2425G&amp;VAR:INDEX=0"}</definedName>
    <definedName name="_378__FDSAUDITLINK__" hidden="1">{"fdsup://directions/FAT Viewer?action=UPDATE&amp;creator=factset&amp;DYN_ARGS=TRUE&amp;DOC_NAME=FAT:FQL_AUDITING_CLIENT_TEMPLATE.FAT&amp;display_string=Audit&amp;VAR:KEY=MRCHGFINGL&amp;VAR:QUERY=RkZfRUJJVERBX0lCKCdBTk4nLDM5NjI5LCwsLCdHQlAnKQ==&amp;WINDOW=FIRST_POPUP&amp;HEIGHT=450&amp;WIDTH=","450&amp;START_MAXIMIZED=FALSE&amp;VAR:CALENDAR=FIVEDAY&amp;VAR:SYMBOL=B2425G&amp;VAR:INDEX=0"}</definedName>
    <definedName name="_378__FDSAUDITLINK___1" localSheetId="8" hidden="1">{"fdsup://directions/FAT Viewer?action=UPDATE&amp;creator=factset&amp;DYN_ARGS=TRUE&amp;DOC_NAME=FAT:FQL_AUDITING_CLIENT_TEMPLATE.FAT&amp;display_string=Audit&amp;VAR:KEY=MRCHGFINGL&amp;VAR:QUERY=RkZfRUJJVERBX0lCKCdBTk4nLDM5NjI5LCwsLCdHQlAnKQ==&amp;WINDOW=FIRST_POPUP&amp;HEIGHT=450&amp;WIDTH=","450&amp;START_MAXIMIZED=FALSE&amp;VAR:CALENDAR=FIVEDAY&amp;VAR:SYMBOL=B2425G&amp;VAR:INDEX=0"}</definedName>
    <definedName name="_378__FDSAUDITLINK___1" hidden="1">{"fdsup://directions/FAT Viewer?action=UPDATE&amp;creator=factset&amp;DYN_ARGS=TRUE&amp;DOC_NAME=FAT:FQL_AUDITING_CLIENT_TEMPLATE.FAT&amp;display_string=Audit&amp;VAR:KEY=MRCHGFINGL&amp;VAR:QUERY=RkZfRUJJVERBX0lCKCdBTk4nLDM5NjI5LCwsLCdHQlAnKQ==&amp;WINDOW=FIRST_POPUP&amp;HEIGHT=450&amp;WIDTH=","450&amp;START_MAXIMIZED=FALSE&amp;VAR:CALENDAR=FIVEDAY&amp;VAR:SYMBOL=B2425G&amp;VAR:INDEX=0"}</definedName>
    <definedName name="_379__FDSAUDITLINK__" localSheetId="8" hidden="1">{"fdsup://directions/FAT Viewer?action=UPDATE&amp;creator=factset&amp;DYN_ARGS=TRUE&amp;DOC_NAME=FAT:FQL_AUDITING_CLIENT_TEMPLATE.FAT&amp;display_string=Audit&amp;VAR:KEY=ENGNGZANEB&amp;VAR:QUERY=RkZfRUJJVERBX0lCKCdBTk4nLDM5MjYzLCwsLCdHQlAnKQ==&amp;WINDOW=FIRST_POPUP&amp;HEIGHT=450&amp;WIDTH=","450&amp;START_MAXIMIZED=FALSE&amp;VAR:CALENDAR=FIVEDAY&amp;VAR:SYMBOL=B2425G&amp;VAR:INDEX=0"}</definedName>
    <definedName name="_379__FDSAUDITLINK__" hidden="1">{"fdsup://directions/FAT Viewer?action=UPDATE&amp;creator=factset&amp;DYN_ARGS=TRUE&amp;DOC_NAME=FAT:FQL_AUDITING_CLIENT_TEMPLATE.FAT&amp;display_string=Audit&amp;VAR:KEY=ENGNGZANEB&amp;VAR:QUERY=RkZfRUJJVERBX0lCKCdBTk4nLDM5MjYzLCwsLCdHQlAnKQ==&amp;WINDOW=FIRST_POPUP&amp;HEIGHT=450&amp;WIDTH=","450&amp;START_MAXIMIZED=FALSE&amp;VAR:CALENDAR=FIVEDAY&amp;VAR:SYMBOL=B2425G&amp;VAR:INDEX=0"}</definedName>
    <definedName name="_379__FDSAUDITLINK___1" localSheetId="8" hidden="1">{"fdsup://directions/FAT Viewer?action=UPDATE&amp;creator=factset&amp;DYN_ARGS=TRUE&amp;DOC_NAME=FAT:FQL_AUDITING_CLIENT_TEMPLATE.FAT&amp;display_string=Audit&amp;VAR:KEY=ENGNGZANEB&amp;VAR:QUERY=RkZfRUJJVERBX0lCKCdBTk4nLDM5MjYzLCwsLCdHQlAnKQ==&amp;WINDOW=FIRST_POPUP&amp;HEIGHT=450&amp;WIDTH=","450&amp;START_MAXIMIZED=FALSE&amp;VAR:CALENDAR=FIVEDAY&amp;VAR:SYMBOL=B2425G&amp;VAR:INDEX=0"}</definedName>
    <definedName name="_379__FDSAUDITLINK___1" hidden="1">{"fdsup://directions/FAT Viewer?action=UPDATE&amp;creator=factset&amp;DYN_ARGS=TRUE&amp;DOC_NAME=FAT:FQL_AUDITING_CLIENT_TEMPLATE.FAT&amp;display_string=Audit&amp;VAR:KEY=ENGNGZANEB&amp;VAR:QUERY=RkZfRUJJVERBX0lCKCdBTk4nLDM5MjYzLCwsLCdHQlAnKQ==&amp;WINDOW=FIRST_POPUP&amp;HEIGHT=450&amp;WIDTH=","450&amp;START_MAXIMIZED=FALSE&amp;VAR:CALENDAR=FIVEDAY&amp;VAR:SYMBOL=B2425G&amp;VAR:INDEX=0"}</definedName>
    <definedName name="_38__123Graph_ACHART_4" hidden="1">#REF!</definedName>
    <definedName name="_38__123Graph_BCHART_18" localSheetId="8" hidden="1">#REF!</definedName>
    <definedName name="_38__123Graph_BCHART_18" hidden="1">#REF!</definedName>
    <definedName name="_38__123Graph_CCHART_14" hidden="1">#REF!</definedName>
    <definedName name="_38__123Graph_EGRAFICO_29" localSheetId="8" hidden="1">#REF!</definedName>
    <definedName name="_38__123Graph_EGRAFICO_29" hidden="1">#REF!</definedName>
    <definedName name="_38__FDSAUDITLINK__" localSheetId="8" hidden="1">{"fdsup://directions/FAT Viewer?action=UPDATE&amp;creator=factset&amp;DYN_ARGS=TRUE&amp;DOC_NAME=FAT:FQL_AUDITING_CLIENT_TEMPLATE.FAT&amp;display_string=Audit&amp;VAR:KEY=UBKBOPQRWH&amp;VAR:QUERY=RkZfRUJJVERBX0lCKEFOTiwzMzk2OSwsLCxFVVIp&amp;WINDOW=FIRST_POPUP&amp;HEIGHT=450&amp;WIDTH=450&amp;STAR","T_MAXIMIZED=FALSE&amp;VAR:CALENDAR=FIVEDAY&amp;VAR:SYMBOL=591344&amp;VAR:INDEX=0"}</definedName>
    <definedName name="_38__FDSAUDITLINK__" hidden="1">{"fdsup://directions/FAT Viewer?action=UPDATE&amp;creator=factset&amp;DYN_ARGS=TRUE&amp;DOC_NAME=FAT:FQL_AUDITING_CLIENT_TEMPLATE.FAT&amp;display_string=Audit&amp;VAR:KEY=IXELSZGPOF&amp;VAR:QUERY=RkZfRUJJVERBX09QRVIoQ0FMLDIwMTEp&amp;WINDOW=FIRST_POPUP&amp;HEIGHT=450&amp;WIDTH=450&amp;START_MAXIMI","ZED=FALSE&amp;VAR:CALENDAR=US&amp;VAR:SYMBOL=711075&amp;VAR:INDEX=0"}</definedName>
    <definedName name="_38__FDSAUDITLINK___1" localSheetId="8" hidden="1">{"fdsup://directions/FAT Viewer?action=UPDATE&amp;creator=factset&amp;DYN_ARGS=TRUE&amp;DOC_NAME=FAT:FQL_AUDITING_CLIENT_TEMPLATE.FAT&amp;display_string=Audit&amp;VAR:KEY=UBKBOPQRWH&amp;VAR:QUERY=RkZfRUJJVERBX0lCKEFOTiwzMzk2OSwsLCxFVVIp&amp;WINDOW=FIRST_POPUP&amp;HEIGHT=450&amp;WIDTH=450&amp;STAR","T_MAXIMIZED=FALSE&amp;VAR:CALENDAR=FIVEDAY&amp;VAR:SYMBOL=591344&amp;VAR:INDEX=0"}</definedName>
    <definedName name="_38__FDSAUDITLINK___1" hidden="1">{"fdsup://directions/FAT Viewer?action=UPDATE&amp;creator=factset&amp;DYN_ARGS=TRUE&amp;DOC_NAME=FAT:FQL_AUDITING_CLIENT_TEMPLATE.FAT&amp;display_string=Audit&amp;VAR:KEY=UBKBOPQRWH&amp;VAR:QUERY=RkZfRUJJVERBX0lCKEFOTiwzMzk2OSwsLCxFVVIp&amp;WINDOW=FIRST_POPUP&amp;HEIGHT=450&amp;WIDTH=450&amp;STAR","T_MAXIMIZED=FALSE&amp;VAR:CALENDAR=FIVEDAY&amp;VAR:SYMBOL=591344&amp;VAR:INDEX=0"}</definedName>
    <definedName name="_38_0_0__123Graph_XB94S" hidden="1">#REF!</definedName>
    <definedName name="_38_0_0Cwvu.GREY_A" hidden="1">#N/A</definedName>
    <definedName name="_380__FDSAUDITLINK__" localSheetId="8" hidden="1">{"fdsup://directions/FAT Viewer?action=UPDATE&amp;creator=factset&amp;DYN_ARGS=TRUE&amp;DOC_NAME=FAT:FQL_AUDITING_CLIENT_TEMPLATE.FAT&amp;display_string=Audit&amp;VAR:KEY=QNOJWZWFUT&amp;VAR:QUERY=RkZfRUJJVERBX0lCKCdBTk4nLDM4ODk4LCwsLCdHQlAnKQ==&amp;WINDOW=FIRST_POPUP&amp;HEIGHT=450&amp;WIDTH=","450&amp;START_MAXIMIZED=FALSE&amp;VAR:CALENDAR=FIVEDAY&amp;VAR:SYMBOL=B2425G&amp;VAR:INDEX=0"}</definedName>
    <definedName name="_380__FDSAUDITLINK__" hidden="1">{"fdsup://directions/FAT Viewer?action=UPDATE&amp;creator=factset&amp;DYN_ARGS=TRUE&amp;DOC_NAME=FAT:FQL_AUDITING_CLIENT_TEMPLATE.FAT&amp;display_string=Audit&amp;VAR:KEY=QNOJWZWFUT&amp;VAR:QUERY=RkZfRUJJVERBX0lCKCdBTk4nLDM4ODk4LCwsLCdHQlAnKQ==&amp;WINDOW=FIRST_POPUP&amp;HEIGHT=450&amp;WIDTH=","450&amp;START_MAXIMIZED=FALSE&amp;VAR:CALENDAR=FIVEDAY&amp;VAR:SYMBOL=B2425G&amp;VAR:INDEX=0"}</definedName>
    <definedName name="_380__FDSAUDITLINK___1" localSheetId="8" hidden="1">{"fdsup://directions/FAT Viewer?action=UPDATE&amp;creator=factset&amp;DYN_ARGS=TRUE&amp;DOC_NAME=FAT:FQL_AUDITING_CLIENT_TEMPLATE.FAT&amp;display_string=Audit&amp;VAR:KEY=QNOJWZWFUT&amp;VAR:QUERY=RkZfRUJJVERBX0lCKCdBTk4nLDM4ODk4LCwsLCdHQlAnKQ==&amp;WINDOW=FIRST_POPUP&amp;HEIGHT=450&amp;WIDTH=","450&amp;START_MAXIMIZED=FALSE&amp;VAR:CALENDAR=FIVEDAY&amp;VAR:SYMBOL=B2425G&amp;VAR:INDEX=0"}</definedName>
    <definedName name="_380__FDSAUDITLINK___1" hidden="1">{"fdsup://directions/FAT Viewer?action=UPDATE&amp;creator=factset&amp;DYN_ARGS=TRUE&amp;DOC_NAME=FAT:FQL_AUDITING_CLIENT_TEMPLATE.FAT&amp;display_string=Audit&amp;VAR:KEY=QNOJWZWFUT&amp;VAR:QUERY=RkZfRUJJVERBX0lCKCdBTk4nLDM4ODk4LCwsLCdHQlAnKQ==&amp;WINDOW=FIRST_POPUP&amp;HEIGHT=450&amp;WIDTH=","450&amp;START_MAXIMIZED=FALSE&amp;VAR:CALENDAR=FIVEDAY&amp;VAR:SYMBOL=B2425G&amp;VAR:INDEX=0"}</definedName>
    <definedName name="_381__FDSAUDITLINK__" localSheetId="8" hidden="1">{"fdsup://directions/FAT Viewer?action=UPDATE&amp;creator=factset&amp;DYN_ARGS=TRUE&amp;DOC_NAME=FAT:FQL_AUDITING_CLIENT_TEMPLATE.FAT&amp;display_string=Audit&amp;VAR:KEY=ITUNWPYNKP&amp;VAR:QUERY=RkZfRUJJVERBX0lCKCdBTk4nLDM4NTMzLCwsLCdHQlAnKQ==&amp;WINDOW=FIRST_POPUP&amp;HEIGHT=450&amp;WIDTH=","450&amp;START_MAXIMIZED=FALSE&amp;VAR:CALENDAR=FIVEDAY&amp;VAR:SYMBOL=B2425G&amp;VAR:INDEX=0"}</definedName>
    <definedName name="_381__FDSAUDITLINK__" hidden="1">{"fdsup://directions/FAT Viewer?action=UPDATE&amp;creator=factset&amp;DYN_ARGS=TRUE&amp;DOC_NAME=FAT:FQL_AUDITING_CLIENT_TEMPLATE.FAT&amp;display_string=Audit&amp;VAR:KEY=ITUNWPYNKP&amp;VAR:QUERY=RkZfRUJJVERBX0lCKCdBTk4nLDM4NTMzLCwsLCdHQlAnKQ==&amp;WINDOW=FIRST_POPUP&amp;HEIGHT=450&amp;WIDTH=","450&amp;START_MAXIMIZED=FALSE&amp;VAR:CALENDAR=FIVEDAY&amp;VAR:SYMBOL=B2425G&amp;VAR:INDEX=0"}</definedName>
    <definedName name="_381__FDSAUDITLINK___1" localSheetId="8" hidden="1">{"fdsup://directions/FAT Viewer?action=UPDATE&amp;creator=factset&amp;DYN_ARGS=TRUE&amp;DOC_NAME=FAT:FQL_AUDITING_CLIENT_TEMPLATE.FAT&amp;display_string=Audit&amp;VAR:KEY=ITUNWPYNKP&amp;VAR:QUERY=RkZfRUJJVERBX0lCKCdBTk4nLDM4NTMzLCwsLCdHQlAnKQ==&amp;WINDOW=FIRST_POPUP&amp;HEIGHT=450&amp;WIDTH=","450&amp;START_MAXIMIZED=FALSE&amp;VAR:CALENDAR=FIVEDAY&amp;VAR:SYMBOL=B2425G&amp;VAR:INDEX=0"}</definedName>
    <definedName name="_381__FDSAUDITLINK___1" hidden="1">{"fdsup://directions/FAT Viewer?action=UPDATE&amp;creator=factset&amp;DYN_ARGS=TRUE&amp;DOC_NAME=FAT:FQL_AUDITING_CLIENT_TEMPLATE.FAT&amp;display_string=Audit&amp;VAR:KEY=ITUNWPYNKP&amp;VAR:QUERY=RkZfRUJJVERBX0lCKCdBTk4nLDM4NTMzLCwsLCdHQlAnKQ==&amp;WINDOW=FIRST_POPUP&amp;HEIGHT=450&amp;WIDTH=","450&amp;START_MAXIMIZED=FALSE&amp;VAR:CALENDAR=FIVEDAY&amp;VAR:SYMBOL=B2425G&amp;VAR:INDEX=0"}</definedName>
    <definedName name="_382__FDSAUDITLINK__" localSheetId="8" hidden="1">{"fdsup://directions/FAT Viewer?action=UPDATE&amp;creator=factset&amp;DYN_ARGS=TRUE&amp;DOC_NAME=FAT:FQL_AUDITING_CLIENT_TEMPLATE.FAT&amp;display_string=Audit&amp;VAR:KEY=OFGPQRGNAZ&amp;VAR:QUERY=RkZfRUJJVERBX0lCKCdBTk4nLDM4MTY4LCwsLCdHQlAnKQ==&amp;WINDOW=FIRST_POPUP&amp;HEIGHT=450&amp;WIDTH=","450&amp;START_MAXIMIZED=FALSE&amp;VAR:CALENDAR=FIVEDAY&amp;VAR:SYMBOL=B2425G&amp;VAR:INDEX=0"}</definedName>
    <definedName name="_382__FDSAUDITLINK__" hidden="1">{"fdsup://directions/FAT Viewer?action=UPDATE&amp;creator=factset&amp;DYN_ARGS=TRUE&amp;DOC_NAME=FAT:FQL_AUDITING_CLIENT_TEMPLATE.FAT&amp;display_string=Audit&amp;VAR:KEY=ATOHAPANYF&amp;VAR:QUERY=RkZfRUJJVERBX09QRVIoTFRNLDQxMDkyKQ==&amp;WINDOW=FIRST_POPUP&amp;HEIGHT=450&amp;WIDTH=450&amp;START_MA","XIMIZED=FALSE&amp;VAR:CALENDAR=US&amp;VAR:SYMBOL=TXI&amp;VAR:INDEX=0"}</definedName>
    <definedName name="_382__FDSAUDITLINK___1" localSheetId="8" hidden="1">{"fdsup://directions/FAT Viewer?action=UPDATE&amp;creator=factset&amp;DYN_ARGS=TRUE&amp;DOC_NAME=FAT:FQL_AUDITING_CLIENT_TEMPLATE.FAT&amp;display_string=Audit&amp;VAR:KEY=OFGPQRGNAZ&amp;VAR:QUERY=RkZfRUJJVERBX0lCKCdBTk4nLDM4MTY4LCwsLCdHQlAnKQ==&amp;WINDOW=FIRST_POPUP&amp;HEIGHT=450&amp;WIDTH=","450&amp;START_MAXIMIZED=FALSE&amp;VAR:CALENDAR=FIVEDAY&amp;VAR:SYMBOL=B2425G&amp;VAR:INDEX=0"}</definedName>
    <definedName name="_382__FDSAUDITLINK___1" hidden="1">{"fdsup://directions/FAT Viewer?action=UPDATE&amp;creator=factset&amp;DYN_ARGS=TRUE&amp;DOC_NAME=FAT:FQL_AUDITING_CLIENT_TEMPLATE.FAT&amp;display_string=Audit&amp;VAR:KEY=OFGPQRGNAZ&amp;VAR:QUERY=RkZfRUJJVERBX0lCKCdBTk4nLDM4MTY4LCwsLCdHQlAnKQ==&amp;WINDOW=FIRST_POPUP&amp;HEIGHT=450&amp;WIDTH=","450&amp;START_MAXIMIZED=FALSE&amp;VAR:CALENDAR=FIVEDAY&amp;VAR:SYMBOL=B2425G&amp;VAR:INDEX=0"}</definedName>
    <definedName name="_383__FDSAUDITLINK__" localSheetId="8" hidden="1">{"fdsup://directions/FAT Viewer?action=UPDATE&amp;creator=factset&amp;DYN_ARGS=TRUE&amp;DOC_NAME=FAT:FQL_AUDITING_CLIENT_TEMPLATE.FAT&amp;display_string=Audit&amp;VAR:KEY=EPWZYFYFED&amp;VAR:QUERY=RkZfRUJJVERBX0lCKCdBTk4nLDM3ODAyLCwsLCdHQlAnKQ==&amp;WINDOW=FIRST_POPUP&amp;HEIGHT=450&amp;WIDTH=","450&amp;START_MAXIMIZED=FALSE&amp;VAR:CALENDAR=FIVEDAY&amp;VAR:SYMBOL=B2425G&amp;VAR:INDEX=0"}</definedName>
    <definedName name="_383__FDSAUDITLINK__" hidden="1">{"fdsup://directions/FAT Viewer?action=UPDATE&amp;creator=factset&amp;DYN_ARGS=TRUE&amp;DOC_NAME=FAT:FQL_AUDITING_CLIENT_TEMPLATE.FAT&amp;display_string=Audit&amp;VAR:KEY=ZEXQPSHOPK&amp;VAR:QUERY=RkZfU0FMRVMoQ0FMLDIwMTApICogMQ==&amp;WINDOW=FIRST_POPUP&amp;HEIGHT=450&amp;WIDTH=450&amp;START_MAXIMI","ZED=FALSE&amp;VAR:CALENDAR=US&amp;VAR:SYMBOL=TXI&amp;VAR:INDEX=0"}</definedName>
    <definedName name="_383__FDSAUDITLINK___1" localSheetId="8" hidden="1">{"fdsup://directions/FAT Viewer?action=UPDATE&amp;creator=factset&amp;DYN_ARGS=TRUE&amp;DOC_NAME=FAT:FQL_AUDITING_CLIENT_TEMPLATE.FAT&amp;display_string=Audit&amp;VAR:KEY=EPWZYFYFED&amp;VAR:QUERY=RkZfRUJJVERBX0lCKCdBTk4nLDM3ODAyLCwsLCdHQlAnKQ==&amp;WINDOW=FIRST_POPUP&amp;HEIGHT=450&amp;WIDTH=","450&amp;START_MAXIMIZED=FALSE&amp;VAR:CALENDAR=FIVEDAY&amp;VAR:SYMBOL=B2425G&amp;VAR:INDEX=0"}</definedName>
    <definedName name="_383__FDSAUDITLINK___1" hidden="1">{"fdsup://directions/FAT Viewer?action=UPDATE&amp;creator=factset&amp;DYN_ARGS=TRUE&amp;DOC_NAME=FAT:FQL_AUDITING_CLIENT_TEMPLATE.FAT&amp;display_string=Audit&amp;VAR:KEY=EPWZYFYFED&amp;VAR:QUERY=RkZfRUJJVERBX0lCKCdBTk4nLDM3ODAyLCwsLCdHQlAnKQ==&amp;WINDOW=FIRST_POPUP&amp;HEIGHT=450&amp;WIDTH=","450&amp;START_MAXIMIZED=FALSE&amp;VAR:CALENDAR=FIVEDAY&amp;VAR:SYMBOL=B2425G&amp;VAR:INDEX=0"}</definedName>
    <definedName name="_384__FDSAUDITLINK__" localSheetId="8" hidden="1">{"fdsup://directions/FAT Viewer?action=UPDATE&amp;creator=factset&amp;DYN_ARGS=TRUE&amp;DOC_NAME=FAT:FQL_AUDITING_CLIENT_TEMPLATE.FAT&amp;display_string=Audit&amp;VAR:KEY=KNGXSXGLIR&amp;VAR:QUERY=RkZfRUJJVERBX0lCKCdBTk4nLDM3NDM3LCwsLCdHQlAnKQ==&amp;WINDOW=FIRST_POPUP&amp;HEIGHT=450&amp;WIDTH=","450&amp;START_MAXIMIZED=FALSE&amp;VAR:CALENDAR=FIVEDAY&amp;VAR:SYMBOL=B2425G&amp;VAR:INDEX=0"}</definedName>
    <definedName name="_384__FDSAUDITLINK__" hidden="1">{"fdsup://directions/FAT Viewer?action=UPDATE&amp;creator=factset&amp;DYN_ARGS=TRUE&amp;DOC_NAME=FAT:FQL_AUDITING_CLIENT_TEMPLATE.FAT&amp;display_string=Audit&amp;VAR:KEY=FEDWBSHEJI&amp;VAR:QUERY=RkZfRUJJVERBX09QRVIoQ0FMLDIwMDkpICogMQ==&amp;WINDOW=FIRST_POPUP&amp;HEIGHT=450&amp;WIDTH=450&amp;STAR","T_MAXIMIZED=FALSE&amp;VAR:CALENDAR=US&amp;VAR:SYMBOL=TXI&amp;VAR:INDEX=0"}</definedName>
    <definedName name="_384__FDSAUDITLINK___1" localSheetId="8" hidden="1">{"fdsup://directions/FAT Viewer?action=UPDATE&amp;creator=factset&amp;DYN_ARGS=TRUE&amp;DOC_NAME=FAT:FQL_AUDITING_CLIENT_TEMPLATE.FAT&amp;display_string=Audit&amp;VAR:KEY=KNGXSXGLIR&amp;VAR:QUERY=RkZfRUJJVERBX0lCKCdBTk4nLDM3NDM3LCwsLCdHQlAnKQ==&amp;WINDOW=FIRST_POPUP&amp;HEIGHT=450&amp;WIDTH=","450&amp;START_MAXIMIZED=FALSE&amp;VAR:CALENDAR=FIVEDAY&amp;VAR:SYMBOL=B2425G&amp;VAR:INDEX=0"}</definedName>
    <definedName name="_384__FDSAUDITLINK___1" hidden="1">{"fdsup://directions/FAT Viewer?action=UPDATE&amp;creator=factset&amp;DYN_ARGS=TRUE&amp;DOC_NAME=FAT:FQL_AUDITING_CLIENT_TEMPLATE.FAT&amp;display_string=Audit&amp;VAR:KEY=KNGXSXGLIR&amp;VAR:QUERY=RkZfRUJJVERBX0lCKCdBTk4nLDM3NDM3LCwsLCdHQlAnKQ==&amp;WINDOW=FIRST_POPUP&amp;HEIGHT=450&amp;WIDTH=","450&amp;START_MAXIMIZED=FALSE&amp;VAR:CALENDAR=FIVEDAY&amp;VAR:SYMBOL=B2425G&amp;VAR:INDEX=0"}</definedName>
    <definedName name="_385__FDSAUDITLINK__" localSheetId="8" hidden="1">{"fdsup://directions/FAT Viewer?action=UPDATE&amp;creator=factset&amp;DYN_ARGS=TRUE&amp;DOC_NAME=FAT:FQL_AUDITING_CLIENT_TEMPLATE.FAT&amp;display_string=Audit&amp;VAR:KEY=UDUTIRCFGR&amp;VAR:QUERY=RkZfRUJJVERBX0lCKCdBTk4nLDM3MDcyLCwsLCdHQlAnKQ==&amp;WINDOW=FIRST_POPUP&amp;HEIGHT=450&amp;WIDTH=","450&amp;START_MAXIMIZED=FALSE&amp;VAR:CALENDAR=FIVEDAY&amp;VAR:SYMBOL=B2425G&amp;VAR:INDEX=0"}</definedName>
    <definedName name="_385__FDSAUDITLINK__" hidden="1">{"fdsup://directions/FAT Viewer?action=UPDATE&amp;creator=factset&amp;DYN_ARGS=TRUE&amp;DOC_NAME=FAT:FQL_AUDITING_CLIENT_TEMPLATE.FAT&amp;display_string=Audit&amp;VAR:KEY=ZMJKLAVYVE&amp;VAR:QUERY=RkZfRUJJVF9PUEVSKENBTCwyMDA5KSAqIDE=&amp;WINDOW=FIRST_POPUP&amp;HEIGHT=450&amp;WIDTH=450&amp;START_MA","XIMIZED=FALSE&amp;VAR:CALENDAR=US&amp;VAR:SYMBOL=TXI&amp;VAR:INDEX=0"}</definedName>
    <definedName name="_385__FDSAUDITLINK___1" localSheetId="8" hidden="1">{"fdsup://directions/FAT Viewer?action=UPDATE&amp;creator=factset&amp;DYN_ARGS=TRUE&amp;DOC_NAME=FAT:FQL_AUDITING_CLIENT_TEMPLATE.FAT&amp;display_string=Audit&amp;VAR:KEY=UDUTIRCFGR&amp;VAR:QUERY=RkZfRUJJVERBX0lCKCdBTk4nLDM3MDcyLCwsLCdHQlAnKQ==&amp;WINDOW=FIRST_POPUP&amp;HEIGHT=450&amp;WIDTH=","450&amp;START_MAXIMIZED=FALSE&amp;VAR:CALENDAR=FIVEDAY&amp;VAR:SYMBOL=B2425G&amp;VAR:INDEX=0"}</definedName>
    <definedName name="_385__FDSAUDITLINK___1" hidden="1">{"fdsup://directions/FAT Viewer?action=UPDATE&amp;creator=factset&amp;DYN_ARGS=TRUE&amp;DOC_NAME=FAT:FQL_AUDITING_CLIENT_TEMPLATE.FAT&amp;display_string=Audit&amp;VAR:KEY=UDUTIRCFGR&amp;VAR:QUERY=RkZfRUJJVERBX0lCKCdBTk4nLDM3MDcyLCwsLCdHQlAnKQ==&amp;WINDOW=FIRST_POPUP&amp;HEIGHT=450&amp;WIDTH=","450&amp;START_MAXIMIZED=FALSE&amp;VAR:CALENDAR=FIVEDAY&amp;VAR:SYMBOL=B2425G&amp;VAR:INDEX=0"}</definedName>
    <definedName name="_386__FDSAUDITLINK__" localSheetId="8" hidden="1">{"fdsup://directions/FAT Viewer?action=UPDATE&amp;creator=factset&amp;DYN_ARGS=TRUE&amp;DOC_NAME=FAT:FQL_AUDITING_CLIENT_TEMPLATE.FAT&amp;display_string=Audit&amp;VAR:KEY=YFQXMVCDWP&amp;VAR:QUERY=RkZfRUJJVERBX0lCKCdBTk4nLDM2NzA3LCwsLCdHQlAnKQ==&amp;WINDOW=FIRST_POPUP&amp;HEIGHT=450&amp;WIDTH=","450&amp;START_MAXIMIZED=FALSE&amp;VAR:CALENDAR=FIVEDAY&amp;VAR:SYMBOL=B2425G&amp;VAR:INDEX=0"}</definedName>
    <definedName name="_386__FDSAUDITLINK__" hidden="1">{"fdsup://directions/FAT Viewer?action=UPDATE&amp;creator=factset&amp;DYN_ARGS=TRUE&amp;DOC_NAME=FAT:FQL_AUDITING_CLIENT_TEMPLATE.FAT&amp;display_string=Audit&amp;VAR:KEY=VQNAFYBOVS&amp;VAR:QUERY=RkZfTkVUX0lOQyhDQUwsMjAxMSkgKiAx&amp;WINDOW=FIRST_POPUP&amp;HEIGHT=450&amp;WIDTH=450&amp;START_MAXIMI","ZED=FALSE&amp;VAR:CALENDAR=US&amp;VAR:SYMBOL=TXI&amp;VAR:INDEX=0"}</definedName>
    <definedName name="_386__FDSAUDITLINK___1" localSheetId="8" hidden="1">{"fdsup://directions/FAT Viewer?action=UPDATE&amp;creator=factset&amp;DYN_ARGS=TRUE&amp;DOC_NAME=FAT:FQL_AUDITING_CLIENT_TEMPLATE.FAT&amp;display_string=Audit&amp;VAR:KEY=YFQXMVCDWP&amp;VAR:QUERY=RkZfRUJJVERBX0lCKCdBTk4nLDM2NzA3LCwsLCdHQlAnKQ==&amp;WINDOW=FIRST_POPUP&amp;HEIGHT=450&amp;WIDTH=","450&amp;START_MAXIMIZED=FALSE&amp;VAR:CALENDAR=FIVEDAY&amp;VAR:SYMBOL=B2425G&amp;VAR:INDEX=0"}</definedName>
    <definedName name="_386__FDSAUDITLINK___1" hidden="1">{"fdsup://directions/FAT Viewer?action=UPDATE&amp;creator=factset&amp;DYN_ARGS=TRUE&amp;DOC_NAME=FAT:FQL_AUDITING_CLIENT_TEMPLATE.FAT&amp;display_string=Audit&amp;VAR:KEY=YFQXMVCDWP&amp;VAR:QUERY=RkZfRUJJVERBX0lCKCdBTk4nLDM2NzA3LCwsLCdHQlAnKQ==&amp;WINDOW=FIRST_POPUP&amp;HEIGHT=450&amp;WIDTH=","450&amp;START_MAXIMIZED=FALSE&amp;VAR:CALENDAR=FIVEDAY&amp;VAR:SYMBOL=B2425G&amp;VAR:INDEX=0"}</definedName>
    <definedName name="_387__FDSAUDITLINK__" localSheetId="8" hidden="1">{"fdsup://directions/FAT Viewer?action=UPDATE&amp;creator=factset&amp;DYN_ARGS=TRUE&amp;DOC_NAME=FAT:FQL_AUDITING_CLIENT_TEMPLATE.FAT&amp;display_string=Audit&amp;VAR:KEY=STSZANMLUB&amp;VAR:QUERY=RkZfRUJJVERBX0lCKCdBTk4nLDM2MzQxLCwsLCdHQlAnKQ==&amp;WINDOW=FIRST_POPUP&amp;HEIGHT=450&amp;WIDTH=","450&amp;START_MAXIMIZED=FALSE&amp;VAR:CALENDAR=FIVEDAY&amp;VAR:SYMBOL=B2425G&amp;VAR:INDEX=0"}</definedName>
    <definedName name="_387__FDSAUDITLINK__" hidden="1">{"fdsup://directions/FAT Viewer?action=UPDATE&amp;creator=factset&amp;DYN_ARGS=TRUE&amp;DOC_NAME=FAT:FQL_AUDITING_CLIENT_TEMPLATE.FAT&amp;display_string=Audit&amp;VAR:KEY=QXGXMZYZED&amp;VAR:QUERY=RkZfSU5UX0VYUF9ORVQoTFRNLDQxMDkyKQ==&amp;WINDOW=FIRST_POPUP&amp;HEIGHT=450&amp;WIDTH=450&amp;START_MA","XIMIZED=FALSE&amp;VAR:CALENDAR=US&amp;VAR:SYMBOL=TXI&amp;VAR:INDEX=0"}</definedName>
    <definedName name="_387__FDSAUDITLINK___1" localSheetId="8" hidden="1">{"fdsup://directions/FAT Viewer?action=UPDATE&amp;creator=factset&amp;DYN_ARGS=TRUE&amp;DOC_NAME=FAT:FQL_AUDITING_CLIENT_TEMPLATE.FAT&amp;display_string=Audit&amp;VAR:KEY=STSZANMLUB&amp;VAR:QUERY=RkZfRUJJVERBX0lCKCdBTk4nLDM2MzQxLCwsLCdHQlAnKQ==&amp;WINDOW=FIRST_POPUP&amp;HEIGHT=450&amp;WIDTH=","450&amp;START_MAXIMIZED=FALSE&amp;VAR:CALENDAR=FIVEDAY&amp;VAR:SYMBOL=B2425G&amp;VAR:INDEX=0"}</definedName>
    <definedName name="_387__FDSAUDITLINK___1" hidden="1">{"fdsup://directions/FAT Viewer?action=UPDATE&amp;creator=factset&amp;DYN_ARGS=TRUE&amp;DOC_NAME=FAT:FQL_AUDITING_CLIENT_TEMPLATE.FAT&amp;display_string=Audit&amp;VAR:KEY=STSZANMLUB&amp;VAR:QUERY=RkZfRUJJVERBX0lCKCdBTk4nLDM2MzQxLCwsLCdHQlAnKQ==&amp;WINDOW=FIRST_POPUP&amp;HEIGHT=450&amp;WIDTH=","450&amp;START_MAXIMIZED=FALSE&amp;VAR:CALENDAR=FIVEDAY&amp;VAR:SYMBOL=B2425G&amp;VAR:INDEX=0"}</definedName>
    <definedName name="_388__FDSAUDITLINK__" localSheetId="8" hidden="1">{"fdsup://directions/FAT Viewer?action=UPDATE&amp;creator=factset&amp;DYN_ARGS=TRUE&amp;DOC_NAME=FAT:FQL_AUDITING_CLIENT_TEMPLATE.FAT&amp;display_string=Audit&amp;VAR:KEY=OJGZSTGPSH&amp;VAR:QUERY=RkZfRUJJVERBX0lCKCdBTk4nLDM1OTc2LCwsLCdHQlAnKQ==&amp;WINDOW=FIRST_POPUP&amp;HEIGHT=450&amp;WIDTH=","450&amp;START_MAXIMIZED=FALSE&amp;VAR:CALENDAR=FIVEDAY&amp;VAR:SYMBOL=B2425G&amp;VAR:INDEX=0"}</definedName>
    <definedName name="_388__FDSAUDITLINK__" hidden="1">{"fdsup://directions/FAT Viewer?action=UPDATE&amp;creator=factset&amp;DYN_ARGS=TRUE&amp;DOC_NAME=FAT:FQL_AUDITING_CLIENT_TEMPLATE.FAT&amp;display_string=Audit&amp;VAR:KEY=YHSJADEHOD&amp;VAR:QUERY=RkZfU0FMRVMoTFRNLDQxMDkyKQ==&amp;WINDOW=FIRST_POPUP&amp;HEIGHT=450&amp;WIDTH=450&amp;START_MAXIMIZED=","FALSE&amp;VAR:CALENDAR=US&amp;VAR:SYMBOL=TXI&amp;VAR:INDEX=0"}</definedName>
    <definedName name="_388__FDSAUDITLINK___1" localSheetId="8" hidden="1">{"fdsup://directions/FAT Viewer?action=UPDATE&amp;creator=factset&amp;DYN_ARGS=TRUE&amp;DOC_NAME=FAT:FQL_AUDITING_CLIENT_TEMPLATE.FAT&amp;display_string=Audit&amp;VAR:KEY=OJGZSTGPSH&amp;VAR:QUERY=RkZfRUJJVERBX0lCKCdBTk4nLDM1OTc2LCwsLCdHQlAnKQ==&amp;WINDOW=FIRST_POPUP&amp;HEIGHT=450&amp;WIDTH=","450&amp;START_MAXIMIZED=FALSE&amp;VAR:CALENDAR=FIVEDAY&amp;VAR:SYMBOL=B2425G&amp;VAR:INDEX=0"}</definedName>
    <definedName name="_388__FDSAUDITLINK___1" hidden="1">{"fdsup://directions/FAT Viewer?action=UPDATE&amp;creator=factset&amp;DYN_ARGS=TRUE&amp;DOC_NAME=FAT:FQL_AUDITING_CLIENT_TEMPLATE.FAT&amp;display_string=Audit&amp;VAR:KEY=OJGZSTGPSH&amp;VAR:QUERY=RkZfRUJJVERBX0lCKCdBTk4nLDM1OTc2LCwsLCdHQlAnKQ==&amp;WINDOW=FIRST_POPUP&amp;HEIGHT=450&amp;WIDTH=","450&amp;START_MAXIMIZED=FALSE&amp;VAR:CALENDAR=FIVEDAY&amp;VAR:SYMBOL=B2425G&amp;VAR:INDEX=0"}</definedName>
    <definedName name="_389__FDSAUDITLINK__" localSheetId="8" hidden="1">{"fdsup://directions/FAT Viewer?action=UPDATE&amp;creator=factset&amp;DYN_ARGS=TRUE&amp;DOC_NAME=FAT:FQL_AUDITING_CLIENT_TEMPLATE.FAT&amp;display_string=Audit&amp;VAR:KEY=OPIPQFKPIN&amp;VAR:QUERY=RkZfRUJJVERBX0lCKCdBTk4nLDM1NjExLCwsLCdHQlAnKQ==&amp;WINDOW=FIRST_POPUP&amp;HEIGHT=450&amp;WIDTH=","450&amp;START_MAXIMIZED=FALSE&amp;VAR:CALENDAR=FIVEDAY&amp;VAR:SYMBOL=B2425G&amp;VAR:INDEX=0"}</definedName>
    <definedName name="_389__FDSAUDITLINK__" hidden="1">{"fdsup://directions/FAT Viewer?action=UPDATE&amp;creator=factset&amp;DYN_ARGS=TRUE&amp;DOC_NAME=FAT:FQL_AUDITING_CLIENT_TEMPLATE.FAT&amp;display_string=Audit&amp;VAR:KEY=RMPQFYDEPA&amp;VAR:QUERY=RkZfU0FMRVMoQ0FMLDIwMDkpICogMQ==&amp;WINDOW=FIRST_POPUP&amp;HEIGHT=450&amp;WIDTH=450&amp;START_MAXIMI","ZED=FALSE&amp;VAR:CALENDAR=US&amp;VAR:SYMBOL=TXI&amp;VAR:INDEX=0"}</definedName>
    <definedName name="_389__FDSAUDITLINK___1" localSheetId="8" hidden="1">{"fdsup://directions/FAT Viewer?action=UPDATE&amp;creator=factset&amp;DYN_ARGS=TRUE&amp;DOC_NAME=FAT:FQL_AUDITING_CLIENT_TEMPLATE.FAT&amp;display_string=Audit&amp;VAR:KEY=OPIPQFKPIN&amp;VAR:QUERY=RkZfRUJJVERBX0lCKCdBTk4nLDM1NjExLCwsLCdHQlAnKQ==&amp;WINDOW=FIRST_POPUP&amp;HEIGHT=450&amp;WIDTH=","450&amp;START_MAXIMIZED=FALSE&amp;VAR:CALENDAR=FIVEDAY&amp;VAR:SYMBOL=B2425G&amp;VAR:INDEX=0"}</definedName>
    <definedName name="_389__FDSAUDITLINK___1" hidden="1">{"fdsup://directions/FAT Viewer?action=UPDATE&amp;creator=factset&amp;DYN_ARGS=TRUE&amp;DOC_NAME=FAT:FQL_AUDITING_CLIENT_TEMPLATE.FAT&amp;display_string=Audit&amp;VAR:KEY=OPIPQFKPIN&amp;VAR:QUERY=RkZfRUJJVERBX0lCKCdBTk4nLDM1NjExLCwsLCdHQlAnKQ==&amp;WINDOW=FIRST_POPUP&amp;HEIGHT=450&amp;WIDTH=","450&amp;START_MAXIMIZED=FALSE&amp;VAR:CALENDAR=FIVEDAY&amp;VAR:SYMBOL=B2425G&amp;VAR:INDEX=0"}</definedName>
    <definedName name="_39__123Graph_ACHART_7" hidden="1">#REF!</definedName>
    <definedName name="_39__123Graph_BCHART_21" localSheetId="8" hidden="1">#REF!</definedName>
    <definedName name="_39__123Graph_BCHART_21" hidden="1">#REF!</definedName>
    <definedName name="_39__123Graph_CCHART_15" hidden="1">#REF!</definedName>
    <definedName name="_39__123Graph_EGRAFICO_3" localSheetId="8" hidden="1">#REF!</definedName>
    <definedName name="_39__123Graph_EGRAFICO_3" hidden="1">#REF!</definedName>
    <definedName name="_39__FDSAUDITLINK__" localSheetId="8" hidden="1">{"fdsup://directions/FAT Viewer?action=UPDATE&amp;creator=factset&amp;DYN_ARGS=TRUE&amp;DOC_NAME=FAT:FQL_AUDITING_CLIENT_TEMPLATE.FAT&amp;display_string=Audit&amp;VAR:KEY=YJEJKRIZYX&amp;VAR:QUERY=RkZfRUJJVERBX0lCKEFOTiwzMzYwMywsLCxFVVIp&amp;WINDOW=FIRST_POPUP&amp;HEIGHT=450&amp;WIDTH=450&amp;STAR","T_MAXIMIZED=FALSE&amp;VAR:CALENDAR=FIVEDAY&amp;VAR:SYMBOL=591344&amp;VAR:INDEX=0"}</definedName>
    <definedName name="_39__FDSAUDITLINK__" hidden="1">{"fdsup://directions/FAT Viewer?action=UPDATE&amp;creator=factset&amp;DYN_ARGS=TRUE&amp;DOC_NAME=FAT:FQL_AUDITING_CLIENT_TEMPLATE.FAT&amp;display_string=Audit&amp;VAR:KEY=RAJCLWXKBA&amp;VAR:QUERY=RkZfRUJJVERBX09QRVIoQ0FMLDIwMTEp&amp;WINDOW=FIRST_POPUP&amp;HEIGHT=450&amp;WIDTH=450&amp;START_MAXIMI","ZED=FALSE&amp;VAR:CALENDAR=US&amp;VAR:SYMBOL=CX&amp;VAR:INDEX=0"}</definedName>
    <definedName name="_39__FDSAUDITLINK___1" localSheetId="8" hidden="1">{"fdsup://directions/FAT Viewer?action=UPDATE&amp;creator=factset&amp;DYN_ARGS=TRUE&amp;DOC_NAME=FAT:FQL_AUDITING_CLIENT_TEMPLATE.FAT&amp;display_string=Audit&amp;VAR:KEY=YJEJKRIZYX&amp;VAR:QUERY=RkZfRUJJVERBX0lCKEFOTiwzMzYwMywsLCxFVVIp&amp;WINDOW=FIRST_POPUP&amp;HEIGHT=450&amp;WIDTH=450&amp;STAR","T_MAXIMIZED=FALSE&amp;VAR:CALENDAR=FIVEDAY&amp;VAR:SYMBOL=591344&amp;VAR:INDEX=0"}</definedName>
    <definedName name="_39__FDSAUDITLINK___1" hidden="1">{"fdsup://directions/FAT Viewer?action=UPDATE&amp;creator=factset&amp;DYN_ARGS=TRUE&amp;DOC_NAME=FAT:FQL_AUDITING_CLIENT_TEMPLATE.FAT&amp;display_string=Audit&amp;VAR:KEY=YJEJKRIZYX&amp;VAR:QUERY=RkZfRUJJVERBX0lCKEFOTiwzMzYwMywsLCxFVVIp&amp;WINDOW=FIRST_POPUP&amp;HEIGHT=450&amp;WIDTH=450&amp;STAR","T_MAXIMIZED=FALSE&amp;VAR:CALENDAR=FIVEDAY&amp;VAR:SYMBOL=591344&amp;VAR:INDEX=0"}</definedName>
    <definedName name="_39_0_0__123Graph_XDEL" hidden="1">#REF!</definedName>
    <definedName name="_390__FDSAUDITLINK__" localSheetId="8" hidden="1">{"fdsup://directions/FAT Viewer?action=UPDATE&amp;creator=factset&amp;DYN_ARGS=TRUE&amp;DOC_NAME=FAT:FQL_AUDITING_CLIENT_TEMPLATE.FAT&amp;display_string=Audit&amp;VAR:KEY=GPUFWDKPGJ&amp;VAR:QUERY=RkZfRUJJVERBX0lCKCdBTk4nLDM1MjQ2LCwsLCdHQlAnKQ==&amp;WINDOW=FIRST_POPUP&amp;HEIGHT=450&amp;WIDTH=","450&amp;START_MAXIMIZED=FALSE&amp;VAR:CALENDAR=FIVEDAY&amp;VAR:SYMBOL=B2425G&amp;VAR:INDEX=0"}</definedName>
    <definedName name="_390__FDSAUDITLINK__" hidden="1">{"fdsup://directions/FAT Viewer?action=UPDATE&amp;creator=factset&amp;DYN_ARGS=TRUE&amp;DOC_NAME=FAT:FQL_AUDITING_CLIENT_TEMPLATE.FAT&amp;display_string=Audit&amp;VAR:KEY=NQHQZOPSFS&amp;VAR:QUERY=RkZfRVBTKENBTCwyMDExKSAqIDE=&amp;WINDOW=FIRST_POPUP&amp;HEIGHT=450&amp;WIDTH=450&amp;START_MAXIMIZED=","FALSE&amp;VAR:CALENDAR=US&amp;VAR:SYMBOL=TXI&amp;VAR:INDEX=0"}</definedName>
    <definedName name="_390__FDSAUDITLINK___1" localSheetId="8" hidden="1">{"fdsup://directions/FAT Viewer?action=UPDATE&amp;creator=factset&amp;DYN_ARGS=TRUE&amp;DOC_NAME=FAT:FQL_AUDITING_CLIENT_TEMPLATE.FAT&amp;display_string=Audit&amp;VAR:KEY=GPUFWDKPGJ&amp;VAR:QUERY=RkZfRUJJVERBX0lCKCdBTk4nLDM1MjQ2LCwsLCdHQlAnKQ==&amp;WINDOW=FIRST_POPUP&amp;HEIGHT=450&amp;WIDTH=","450&amp;START_MAXIMIZED=FALSE&amp;VAR:CALENDAR=FIVEDAY&amp;VAR:SYMBOL=B2425G&amp;VAR:INDEX=0"}</definedName>
    <definedName name="_390__FDSAUDITLINK___1" hidden="1">{"fdsup://directions/FAT Viewer?action=UPDATE&amp;creator=factset&amp;DYN_ARGS=TRUE&amp;DOC_NAME=FAT:FQL_AUDITING_CLIENT_TEMPLATE.FAT&amp;display_string=Audit&amp;VAR:KEY=GPUFWDKPGJ&amp;VAR:QUERY=RkZfRUJJVERBX0lCKCdBTk4nLDM1MjQ2LCwsLCdHQlAnKQ==&amp;WINDOW=FIRST_POPUP&amp;HEIGHT=450&amp;WIDTH=","450&amp;START_MAXIMIZED=FALSE&amp;VAR:CALENDAR=FIVEDAY&amp;VAR:SYMBOL=B2425G&amp;VAR:INDEX=0"}</definedName>
    <definedName name="_391__FDSAUDITLINK__" localSheetId="8" hidden="1">{"fdsup://directions/FAT Viewer?action=UPDATE&amp;creator=factset&amp;DYN_ARGS=TRUE&amp;DOC_NAME=FAT:FQL_AUDITING_CLIENT_TEMPLATE.FAT&amp;display_string=Audit&amp;VAR:KEY=ORMJAHUBCV&amp;VAR:QUERY=RkZfRUJJVERBX0lCKCdBTk4nLDM0ODgwLCwsLCdHQlAnKQ==&amp;WINDOW=FIRST_POPUP&amp;HEIGHT=450&amp;WIDTH=","450&amp;START_MAXIMIZED=FALSE&amp;VAR:CALENDAR=FIVEDAY&amp;VAR:SYMBOL=B2425G&amp;VAR:INDEX=0"}</definedName>
    <definedName name="_391__FDSAUDITLINK__" hidden="1">{"fdsup://directions/FAT Viewer?action=UPDATE&amp;creator=factset&amp;DYN_ARGS=TRUE&amp;DOC_NAME=FAT:FQL_AUDITING_CLIENT_TEMPLATE.FAT&amp;display_string=Audit&amp;VAR:KEY=PCPQDOFKZO&amp;VAR:QUERY=RkZfTkVUX0lOQyhDQUwsMjAxMCkgKiAx&amp;WINDOW=FIRST_POPUP&amp;HEIGHT=450&amp;WIDTH=450&amp;START_MAXIMI","ZED=FALSE&amp;VAR:CALENDAR=US&amp;VAR:SYMBOL=TXI&amp;VAR:INDEX=0"}</definedName>
    <definedName name="_391__FDSAUDITLINK___1" localSheetId="8" hidden="1">{"fdsup://directions/FAT Viewer?action=UPDATE&amp;creator=factset&amp;DYN_ARGS=TRUE&amp;DOC_NAME=FAT:FQL_AUDITING_CLIENT_TEMPLATE.FAT&amp;display_string=Audit&amp;VAR:KEY=ORMJAHUBCV&amp;VAR:QUERY=RkZfRUJJVERBX0lCKCdBTk4nLDM0ODgwLCwsLCdHQlAnKQ==&amp;WINDOW=FIRST_POPUP&amp;HEIGHT=450&amp;WIDTH=","450&amp;START_MAXIMIZED=FALSE&amp;VAR:CALENDAR=FIVEDAY&amp;VAR:SYMBOL=B2425G&amp;VAR:INDEX=0"}</definedName>
    <definedName name="_391__FDSAUDITLINK___1" hidden="1">{"fdsup://directions/FAT Viewer?action=UPDATE&amp;creator=factset&amp;DYN_ARGS=TRUE&amp;DOC_NAME=FAT:FQL_AUDITING_CLIENT_TEMPLATE.FAT&amp;display_string=Audit&amp;VAR:KEY=ORMJAHUBCV&amp;VAR:QUERY=RkZfRUJJVERBX0lCKCdBTk4nLDM0ODgwLCwsLCdHQlAnKQ==&amp;WINDOW=FIRST_POPUP&amp;HEIGHT=450&amp;WIDTH=","450&amp;START_MAXIMIZED=FALSE&amp;VAR:CALENDAR=FIVEDAY&amp;VAR:SYMBOL=B2425G&amp;VAR:INDEX=0"}</definedName>
    <definedName name="_392__FDSAUDITLINK__" localSheetId="8" hidden="1">{"fdsup://directions/FAT Viewer?action=UPDATE&amp;creator=factset&amp;DYN_ARGS=TRUE&amp;DOC_NAME=FAT:FQL_AUDITING_CLIENT_TEMPLATE.FAT&amp;display_string=Audit&amp;VAR:KEY=ITCTKBEZWF&amp;VAR:QUERY=RkZfRUJJVERBX0lCKCdBTk4nLDM0NTE1LCwsLCdHQlAnKQ==&amp;WINDOW=FIRST_POPUP&amp;HEIGHT=450&amp;WIDTH=","450&amp;START_MAXIMIZED=FALSE&amp;VAR:CALENDAR=FIVEDAY&amp;VAR:SYMBOL=B2425G&amp;VAR:INDEX=0"}</definedName>
    <definedName name="_392__FDSAUDITLINK__" hidden="1">{"fdsup://directions/FAT Viewer?action=UPDATE&amp;creator=factset&amp;DYN_ARGS=TRUE&amp;DOC_NAME=FAT:FQL_AUDITING_CLIENT_TEMPLATE.FAT&amp;display_string=Audit&amp;VAR:KEY=SRGNCRKFOH&amp;VAR:QUERY=RkZfTkVUX0lOQyhMVE0sNDEwOTIp&amp;WINDOW=FIRST_POPUP&amp;HEIGHT=450&amp;WIDTH=450&amp;START_MAXIMIZED=","FALSE&amp;VAR:CALENDAR=US&amp;VAR:SYMBOL=TXI&amp;VAR:INDEX=0"}</definedName>
    <definedName name="_392__FDSAUDITLINK___1" localSheetId="8" hidden="1">{"fdsup://directions/FAT Viewer?action=UPDATE&amp;creator=factset&amp;DYN_ARGS=TRUE&amp;DOC_NAME=FAT:FQL_AUDITING_CLIENT_TEMPLATE.FAT&amp;display_string=Audit&amp;VAR:KEY=ITCTKBEZWF&amp;VAR:QUERY=RkZfRUJJVERBX0lCKCdBTk4nLDM0NTE1LCwsLCdHQlAnKQ==&amp;WINDOW=FIRST_POPUP&amp;HEIGHT=450&amp;WIDTH=","450&amp;START_MAXIMIZED=FALSE&amp;VAR:CALENDAR=FIVEDAY&amp;VAR:SYMBOL=B2425G&amp;VAR:INDEX=0"}</definedName>
    <definedName name="_392__FDSAUDITLINK___1" hidden="1">{"fdsup://directions/FAT Viewer?action=UPDATE&amp;creator=factset&amp;DYN_ARGS=TRUE&amp;DOC_NAME=FAT:FQL_AUDITING_CLIENT_TEMPLATE.FAT&amp;display_string=Audit&amp;VAR:KEY=ITCTKBEZWF&amp;VAR:QUERY=RkZfRUJJVERBX0lCKCdBTk4nLDM0NTE1LCwsLCdHQlAnKQ==&amp;WINDOW=FIRST_POPUP&amp;HEIGHT=450&amp;WIDTH=","450&amp;START_MAXIMIZED=FALSE&amp;VAR:CALENDAR=FIVEDAY&amp;VAR:SYMBOL=B2425G&amp;VAR:INDEX=0"}</definedName>
    <definedName name="_393__FDSAUDITLINK__" localSheetId="8" hidden="1">{"fdsup://directions/FAT Viewer?action=UPDATE&amp;creator=factset&amp;DYN_ARGS=TRUE&amp;DOC_NAME=FAT:FQL_AUDITING_CLIENT_TEMPLATE.FAT&amp;display_string=Audit&amp;VAR:KEY=CZGZWVCDIT&amp;VAR:QUERY=RkZfRUJJVERBX0lCKCdBTk4nLDM0MTUwLCwsLCdHQlAnKQ==&amp;WINDOW=FIRST_POPUP&amp;HEIGHT=450&amp;WIDTH=","450&amp;START_MAXIMIZED=FALSE&amp;VAR:CALENDAR=FIVEDAY&amp;VAR:SYMBOL=B2425G&amp;VAR:INDEX=0"}</definedName>
    <definedName name="_393__FDSAUDITLINK__" hidden="1">{"fdsup://directions/FAT Viewer?action=UPDATE&amp;creator=factset&amp;DYN_ARGS=TRUE&amp;DOC_NAME=FAT:FQL_AUDITING_CLIENT_TEMPLATE.FAT&amp;display_string=Audit&amp;VAR:KEY=VGNSPIHYZE&amp;VAR:QUERY=RkZfRUJJVERBX09QRVIoQ0FMLDIwMTEpICogMQ==&amp;WINDOW=FIRST_POPUP&amp;HEIGHT=450&amp;WIDTH=450&amp;STAR","T_MAXIMIZED=FALSE&amp;VAR:CALENDAR=US&amp;VAR:SYMBOL=TXI&amp;VAR:INDEX=0"}</definedName>
    <definedName name="_393__FDSAUDITLINK___1" localSheetId="8" hidden="1">{"fdsup://directions/FAT Viewer?action=UPDATE&amp;creator=factset&amp;DYN_ARGS=TRUE&amp;DOC_NAME=FAT:FQL_AUDITING_CLIENT_TEMPLATE.FAT&amp;display_string=Audit&amp;VAR:KEY=CZGZWVCDIT&amp;VAR:QUERY=RkZfRUJJVERBX0lCKCdBTk4nLDM0MTUwLCwsLCdHQlAnKQ==&amp;WINDOW=FIRST_POPUP&amp;HEIGHT=450&amp;WIDTH=","450&amp;START_MAXIMIZED=FALSE&amp;VAR:CALENDAR=FIVEDAY&amp;VAR:SYMBOL=B2425G&amp;VAR:INDEX=0"}</definedName>
    <definedName name="_393__FDSAUDITLINK___1" hidden="1">{"fdsup://directions/FAT Viewer?action=UPDATE&amp;creator=factset&amp;DYN_ARGS=TRUE&amp;DOC_NAME=FAT:FQL_AUDITING_CLIENT_TEMPLATE.FAT&amp;display_string=Audit&amp;VAR:KEY=CZGZWVCDIT&amp;VAR:QUERY=RkZfRUJJVERBX0lCKCdBTk4nLDM0MTUwLCwsLCdHQlAnKQ==&amp;WINDOW=FIRST_POPUP&amp;HEIGHT=450&amp;WIDTH=","450&amp;START_MAXIMIZED=FALSE&amp;VAR:CALENDAR=FIVEDAY&amp;VAR:SYMBOL=B2425G&amp;VAR:INDEX=0"}</definedName>
    <definedName name="_394__FDSAUDITLINK__" localSheetId="8" hidden="1">{"fdsup://directions/FAT Viewer?action=UPDATE&amp;creator=factset&amp;DYN_ARGS=TRUE&amp;DOC_NAME=FAT:FQL_AUDITING_CLIENT_TEMPLATE.FAT&amp;display_string=Audit&amp;VAR:KEY=SDUJYFCDQT&amp;VAR:QUERY=RkZfRUJJVERBX0lCKCdBTk4nLDMzNzg1LCwsLCdHQlAnKQ==&amp;WINDOW=FIRST_POPUP&amp;HEIGHT=450&amp;WIDTH=","450&amp;START_MAXIMIZED=FALSE&amp;VAR:CALENDAR=FIVEDAY&amp;VAR:SYMBOL=B2425G&amp;VAR:INDEX=0"}</definedName>
    <definedName name="_394__FDSAUDITLINK__" hidden="1">{"fdsup://directions/FAT Viewer?action=UPDATE&amp;creator=factset&amp;DYN_ARGS=TRUE&amp;DOC_NAME=FAT:FQL_AUDITING_CLIENT_TEMPLATE.FAT&amp;display_string=Audit&amp;VAR:KEY=JGTUFQVATM&amp;VAR:QUERY=RkZfRUJJVF9PUEVSKENBTCwyMDExKSAqIDE=&amp;WINDOW=FIRST_POPUP&amp;HEIGHT=450&amp;WIDTH=450&amp;START_MA","XIMIZED=FALSE&amp;VAR:CALENDAR=US&amp;VAR:SYMBOL=TXI&amp;VAR:INDEX=0"}</definedName>
    <definedName name="_394__FDSAUDITLINK___1" localSheetId="8" hidden="1">{"fdsup://directions/FAT Viewer?action=UPDATE&amp;creator=factset&amp;DYN_ARGS=TRUE&amp;DOC_NAME=FAT:FQL_AUDITING_CLIENT_TEMPLATE.FAT&amp;display_string=Audit&amp;VAR:KEY=SDUJYFCDQT&amp;VAR:QUERY=RkZfRUJJVERBX0lCKCdBTk4nLDMzNzg1LCwsLCdHQlAnKQ==&amp;WINDOW=FIRST_POPUP&amp;HEIGHT=450&amp;WIDTH=","450&amp;START_MAXIMIZED=FALSE&amp;VAR:CALENDAR=FIVEDAY&amp;VAR:SYMBOL=B2425G&amp;VAR:INDEX=0"}</definedName>
    <definedName name="_394__FDSAUDITLINK___1" hidden="1">{"fdsup://directions/FAT Viewer?action=UPDATE&amp;creator=factset&amp;DYN_ARGS=TRUE&amp;DOC_NAME=FAT:FQL_AUDITING_CLIENT_TEMPLATE.FAT&amp;display_string=Audit&amp;VAR:KEY=SDUJYFCDQT&amp;VAR:QUERY=RkZfRUJJVERBX0lCKCdBTk4nLDMzNzg1LCwsLCdHQlAnKQ==&amp;WINDOW=FIRST_POPUP&amp;HEIGHT=450&amp;WIDTH=","450&amp;START_MAXIMIZED=FALSE&amp;VAR:CALENDAR=FIVEDAY&amp;VAR:SYMBOL=B2425G&amp;VAR:INDEX=0"}</definedName>
    <definedName name="_395__FDSAUDITLINK__" localSheetId="8" hidden="1">{"fdsup://directions/FAT Viewer?action=UPDATE&amp;creator=factset&amp;DYN_ARGS=TRUE&amp;DOC_NAME=FAT:FQL_AUDITING_CLIENT_TEMPLATE.FAT&amp;display_string=Audit&amp;VAR:KEY=MFGVQBIXKV&amp;VAR:QUERY=RkZfRUJJVERBX0lCKCdBTk4nLDMzNDE5LCwsLCdHQlAnKQ==&amp;WINDOW=FIRST_POPUP&amp;HEIGHT=450&amp;WIDTH=","450&amp;START_MAXIMIZED=FALSE&amp;VAR:CALENDAR=FIVEDAY&amp;VAR:SYMBOL=B2425G&amp;VAR:INDEX=0"}</definedName>
    <definedName name="_395__FDSAUDITLINK__" hidden="1">{"fdsup://directions/FAT Viewer?action=UPDATE&amp;creator=factset&amp;DYN_ARGS=TRUE&amp;DOC_NAME=FAT:FQL_AUDITING_CLIENT_TEMPLATE.FAT&amp;display_string=Audit&amp;VAR:KEY=DYJELEHSLK&amp;VAR:QUERY=RkZfRVBTKENBTCwyMDEwKSAqIDE=&amp;WINDOW=FIRST_POPUP&amp;HEIGHT=450&amp;WIDTH=450&amp;START_MAXIMIZED=","FALSE&amp;VAR:CALENDAR=US&amp;VAR:SYMBOL=TXI&amp;VAR:INDEX=0"}</definedName>
    <definedName name="_395__FDSAUDITLINK___1" localSheetId="8" hidden="1">{"fdsup://directions/FAT Viewer?action=UPDATE&amp;creator=factset&amp;DYN_ARGS=TRUE&amp;DOC_NAME=FAT:FQL_AUDITING_CLIENT_TEMPLATE.FAT&amp;display_string=Audit&amp;VAR:KEY=MFGVQBIXKV&amp;VAR:QUERY=RkZfRUJJVERBX0lCKCdBTk4nLDMzNDE5LCwsLCdHQlAnKQ==&amp;WINDOW=FIRST_POPUP&amp;HEIGHT=450&amp;WIDTH=","450&amp;START_MAXIMIZED=FALSE&amp;VAR:CALENDAR=FIVEDAY&amp;VAR:SYMBOL=B2425G&amp;VAR:INDEX=0"}</definedName>
    <definedName name="_395__FDSAUDITLINK___1" hidden="1">{"fdsup://directions/FAT Viewer?action=UPDATE&amp;creator=factset&amp;DYN_ARGS=TRUE&amp;DOC_NAME=FAT:FQL_AUDITING_CLIENT_TEMPLATE.FAT&amp;display_string=Audit&amp;VAR:KEY=MFGVQBIXKV&amp;VAR:QUERY=RkZfRUJJVERBX0lCKCdBTk4nLDMzNDE5LCwsLCdHQlAnKQ==&amp;WINDOW=FIRST_POPUP&amp;HEIGHT=450&amp;WIDTH=","450&amp;START_MAXIMIZED=FALSE&amp;VAR:CALENDAR=FIVEDAY&amp;VAR:SYMBOL=B2425G&amp;VAR:INDEX=0"}</definedName>
    <definedName name="_396__FDSAUDITLINK__" localSheetId="8" hidden="1">{"fdsup://directions/FAT Viewer?action=UPDATE&amp;creator=factset&amp;DYN_ARGS=TRUE&amp;DOC_NAME=FAT:FQL_AUDITING_CLIENT_TEMPLATE.FAT&amp;display_string=Audit&amp;VAR:KEY=WXSRCFSZYD&amp;VAR:QUERY=RkZfRUJJVERBX0lCKCdBTk4nLDMzMDU0LCwsLCdHQlAnKQ==&amp;WINDOW=FIRST_POPUP&amp;HEIGHT=450&amp;WIDTH=","450&amp;START_MAXIMIZED=FALSE&amp;VAR:CALENDAR=FIVEDAY&amp;VAR:SYMBOL=B2425G&amp;VAR:INDEX=0"}</definedName>
    <definedName name="_396__FDSAUDITLINK__" hidden="1">{"fdsup://directions/FAT Viewer?action=UPDATE&amp;creator=factset&amp;DYN_ARGS=TRUE&amp;DOC_NAME=FAT:FQL_AUDITING_CLIENT_TEMPLATE.FAT&amp;display_string=Audit&amp;VAR:KEY=NELQRUVOLI&amp;VAR:QUERY=RkZfTkVUX0lOQyhDQUwsMjAwOSkgKiAx&amp;WINDOW=FIRST_POPUP&amp;HEIGHT=450&amp;WIDTH=450&amp;START_MAXIMI","ZED=FALSE&amp;VAR:CALENDAR=US&amp;VAR:SYMBOL=TXI&amp;VAR:INDEX=0"}</definedName>
    <definedName name="_396__FDSAUDITLINK___1" localSheetId="8" hidden="1">{"fdsup://directions/FAT Viewer?action=UPDATE&amp;creator=factset&amp;DYN_ARGS=TRUE&amp;DOC_NAME=FAT:FQL_AUDITING_CLIENT_TEMPLATE.FAT&amp;display_string=Audit&amp;VAR:KEY=WXSRCFSZYD&amp;VAR:QUERY=RkZfRUJJVERBX0lCKCdBTk4nLDMzMDU0LCwsLCdHQlAnKQ==&amp;WINDOW=FIRST_POPUP&amp;HEIGHT=450&amp;WIDTH=","450&amp;START_MAXIMIZED=FALSE&amp;VAR:CALENDAR=FIVEDAY&amp;VAR:SYMBOL=B2425G&amp;VAR:INDEX=0"}</definedName>
    <definedName name="_396__FDSAUDITLINK___1" hidden="1">{"fdsup://directions/FAT Viewer?action=UPDATE&amp;creator=factset&amp;DYN_ARGS=TRUE&amp;DOC_NAME=FAT:FQL_AUDITING_CLIENT_TEMPLATE.FAT&amp;display_string=Audit&amp;VAR:KEY=WXSRCFSZYD&amp;VAR:QUERY=RkZfRUJJVERBX0lCKCdBTk4nLDMzMDU0LCwsLCdHQlAnKQ==&amp;WINDOW=FIRST_POPUP&amp;HEIGHT=450&amp;WIDTH=","450&amp;START_MAXIMIZED=FALSE&amp;VAR:CALENDAR=FIVEDAY&amp;VAR:SYMBOL=B2425G&amp;VAR:INDEX=0"}</definedName>
    <definedName name="_397__FDSAUDITLINK__" localSheetId="8" hidden="1">{"fdsup://directions/FAT Viewer?action=UPDATE&amp;creator=factset&amp;DYN_ARGS=TRUE&amp;DOC_NAME=FAT:FQL_AUDITING_CLIENT_TEMPLATE.FAT&amp;display_string=Audit&amp;VAR:KEY=YHGBUBELSN&amp;VAR:QUERY=RkZfRUJJVERBX0lCKCdBTk4nLDM5OTAzLCwsLCdHQlAnKQ==&amp;WINDOW=FIRST_POPUP&amp;HEIGHT=450&amp;WIDTH=","450&amp;START_MAXIMIZED=FALSE&amp;VAR:CALENDAR=FIVEDAY&amp;VAR:SYMBOL=073833&amp;VAR:INDEX=0"}</definedName>
    <definedName name="_397__FDSAUDITLINK__" hidden="1">{"fdsup://directions/FAT Viewer?action=UPDATE&amp;creator=factset&amp;DYN_ARGS=TRUE&amp;DOC_NAME=FAT:FQL_AUDITING_CLIENT_TEMPLATE.FAT&amp;display_string=Audit&amp;VAR:KEY=OFABCDYNOP&amp;VAR:QUERY=RkZfRUJJVF9PUEVSKExUTSw0MTA5Mik=&amp;WINDOW=FIRST_POPUP&amp;HEIGHT=450&amp;WIDTH=450&amp;START_MAXIMI","ZED=FALSE&amp;VAR:CALENDAR=US&amp;VAR:SYMBOL=TXI&amp;VAR:INDEX=0"}</definedName>
    <definedName name="_397__FDSAUDITLINK___1" localSheetId="8" hidden="1">{"fdsup://directions/FAT Viewer?action=UPDATE&amp;creator=factset&amp;DYN_ARGS=TRUE&amp;DOC_NAME=FAT:FQL_AUDITING_CLIENT_TEMPLATE.FAT&amp;display_string=Audit&amp;VAR:KEY=YHGBUBELSN&amp;VAR:QUERY=RkZfRUJJVERBX0lCKCdBTk4nLDM5OTAzLCwsLCdHQlAnKQ==&amp;WINDOW=FIRST_POPUP&amp;HEIGHT=450&amp;WIDTH=","450&amp;START_MAXIMIZED=FALSE&amp;VAR:CALENDAR=FIVEDAY&amp;VAR:SYMBOL=073833&amp;VAR:INDEX=0"}</definedName>
    <definedName name="_397__FDSAUDITLINK___1" hidden="1">{"fdsup://directions/FAT Viewer?action=UPDATE&amp;creator=factset&amp;DYN_ARGS=TRUE&amp;DOC_NAME=FAT:FQL_AUDITING_CLIENT_TEMPLATE.FAT&amp;display_string=Audit&amp;VAR:KEY=YHGBUBELSN&amp;VAR:QUERY=RkZfRUJJVERBX0lCKCdBTk4nLDM5OTAzLCwsLCdHQlAnKQ==&amp;WINDOW=FIRST_POPUP&amp;HEIGHT=450&amp;WIDTH=","450&amp;START_MAXIMIZED=FALSE&amp;VAR:CALENDAR=FIVEDAY&amp;VAR:SYMBOL=073833&amp;VAR:INDEX=0"}</definedName>
    <definedName name="_398__FDSAUDITLINK__" localSheetId="8" hidden="1">{"fdsup://directions/FAT Viewer?action=UPDATE&amp;creator=factset&amp;DYN_ARGS=TRUE&amp;DOC_NAME=FAT:FQL_AUDITING_CLIENT_TEMPLATE.FAT&amp;display_string=Audit&amp;VAR:KEY=CHURYBQNET&amp;VAR:QUERY=RkZfRUJJVERBX0lCKCdBTk4nLDM5NTM4LCwsLCdHQlAnKQ==&amp;WINDOW=FIRST_POPUP&amp;HEIGHT=450&amp;WIDTH=","450&amp;START_MAXIMIZED=FALSE&amp;VAR:CALENDAR=FIVEDAY&amp;VAR:SYMBOL=073833&amp;VAR:INDEX=0"}</definedName>
    <definedName name="_398__FDSAUDITLINK__" hidden="1">{"fdsup://directions/FAT Viewer?action=UPDATE&amp;creator=factset&amp;DYN_ARGS=TRUE&amp;DOC_NAME=FAT:FQL_AUDITING_CLIENT_TEMPLATE.FAT&amp;display_string=Audit&amp;VAR:KEY=TYDQNMVUNI&amp;VAR:QUERY=RkZfU0FMRVMoQ0FMLDIwMTEpICogMQ==&amp;WINDOW=FIRST_POPUP&amp;HEIGHT=450&amp;WIDTH=450&amp;START_MAXIMI","ZED=FALSE&amp;VAR:CALENDAR=US&amp;VAR:SYMBOL=TXI&amp;VAR:INDEX=0"}</definedName>
    <definedName name="_398__FDSAUDITLINK___1" localSheetId="8" hidden="1">{"fdsup://directions/FAT Viewer?action=UPDATE&amp;creator=factset&amp;DYN_ARGS=TRUE&amp;DOC_NAME=FAT:FQL_AUDITING_CLIENT_TEMPLATE.FAT&amp;display_string=Audit&amp;VAR:KEY=CHURYBQNET&amp;VAR:QUERY=RkZfRUJJVERBX0lCKCdBTk4nLDM5NTM4LCwsLCdHQlAnKQ==&amp;WINDOW=FIRST_POPUP&amp;HEIGHT=450&amp;WIDTH=","450&amp;START_MAXIMIZED=FALSE&amp;VAR:CALENDAR=FIVEDAY&amp;VAR:SYMBOL=073833&amp;VAR:INDEX=0"}</definedName>
    <definedName name="_398__FDSAUDITLINK___1" hidden="1">{"fdsup://directions/FAT Viewer?action=UPDATE&amp;creator=factset&amp;DYN_ARGS=TRUE&amp;DOC_NAME=FAT:FQL_AUDITING_CLIENT_TEMPLATE.FAT&amp;display_string=Audit&amp;VAR:KEY=CHURYBQNET&amp;VAR:QUERY=RkZfRUJJVERBX0lCKCdBTk4nLDM5NTM4LCwsLCdHQlAnKQ==&amp;WINDOW=FIRST_POPUP&amp;HEIGHT=450&amp;WIDTH=","450&amp;START_MAXIMIZED=FALSE&amp;VAR:CALENDAR=FIVEDAY&amp;VAR:SYMBOL=073833&amp;VAR:INDEX=0"}</definedName>
    <definedName name="_399__FDSAUDITLINK__" localSheetId="8" hidden="1">{"fdsup://directions/FAT Viewer?action=UPDATE&amp;creator=factset&amp;DYN_ARGS=TRUE&amp;DOC_NAME=FAT:FQL_AUDITING_CLIENT_TEMPLATE.FAT&amp;display_string=Audit&amp;VAR:KEY=KLKDYPKXMJ&amp;VAR:QUERY=RkZfRUJJVERBX0lCKCdBTk4nLDM5MTcyLCwsLCdHQlAnKQ==&amp;WINDOW=FIRST_POPUP&amp;HEIGHT=450&amp;WIDTH=","450&amp;START_MAXIMIZED=FALSE&amp;VAR:CALENDAR=FIVEDAY&amp;VAR:SYMBOL=073833&amp;VAR:INDEX=0"}</definedName>
    <definedName name="_399__FDSAUDITLINK__" hidden="1">{"fdsup://directions/FAT Viewer?action=UPDATE&amp;creator=factset&amp;DYN_ARGS=TRUE&amp;DOC_NAME=FAT:FQL_AUDITING_CLIENT_TEMPLATE.FAT&amp;display_string=Audit&amp;VAR:KEY=LGJWXUTURO&amp;VAR:QUERY=RkZfRUJJVERBX09QRVIoQ0FMLDIwMTApICogMQ==&amp;WINDOW=FIRST_POPUP&amp;HEIGHT=450&amp;WIDTH=450&amp;STAR","T_MAXIMIZED=FALSE&amp;VAR:CALENDAR=US&amp;VAR:SYMBOL=TXI&amp;VAR:INDEX=0"}</definedName>
    <definedName name="_399__FDSAUDITLINK___1" localSheetId="8" hidden="1">{"fdsup://directions/FAT Viewer?action=UPDATE&amp;creator=factset&amp;DYN_ARGS=TRUE&amp;DOC_NAME=FAT:FQL_AUDITING_CLIENT_TEMPLATE.FAT&amp;display_string=Audit&amp;VAR:KEY=KLKDYPKXMJ&amp;VAR:QUERY=RkZfRUJJVERBX0lCKCdBTk4nLDM5MTcyLCwsLCdHQlAnKQ==&amp;WINDOW=FIRST_POPUP&amp;HEIGHT=450&amp;WIDTH=","450&amp;START_MAXIMIZED=FALSE&amp;VAR:CALENDAR=FIVEDAY&amp;VAR:SYMBOL=073833&amp;VAR:INDEX=0"}</definedName>
    <definedName name="_399__FDSAUDITLINK___1" hidden="1">{"fdsup://directions/FAT Viewer?action=UPDATE&amp;creator=factset&amp;DYN_ARGS=TRUE&amp;DOC_NAME=FAT:FQL_AUDITING_CLIENT_TEMPLATE.FAT&amp;display_string=Audit&amp;VAR:KEY=KLKDYPKXMJ&amp;VAR:QUERY=RkZfRUJJVERBX0lCKCdBTk4nLDM5MTcyLCwsLCdHQlAnKQ==&amp;WINDOW=FIRST_POPUP&amp;HEIGHT=450&amp;WIDTH=","450&amp;START_MAXIMIZED=FALSE&amp;VAR:CALENDAR=FIVEDAY&amp;VAR:SYMBOL=073833&amp;VAR:INDEX=0"}</definedName>
    <definedName name="_39Rwvu.Pag" hidden="1">#REF!</definedName>
    <definedName name="_3wrn.²Ä1­Ó¤ë1_Ü20¤H." localSheetId="8" hidden="1">{#N/A,#N/A,FALSE,"²Ä1­Ó¤ë"}</definedName>
    <definedName name="_3wrn.²Ä1­Ó¤ë1_Ü20¤H." hidden="1">{#N/A,#N/A,FALSE,"²Ä1­Ó¤ë"}</definedName>
    <definedName name="_4___123Graph_CCHART_1" hidden="1">#REF!</definedName>
    <definedName name="_4__123Graph_AChart_11" hidden="1">#REF!</definedName>
    <definedName name="_4__123Graph_ACHART_14" hidden="1">#REF!</definedName>
    <definedName name="_4__123Graph_ACHART_16" hidden="1">#REF!</definedName>
    <definedName name="_4__123Graph_ACHART_6" hidden="1">#REF!</definedName>
    <definedName name="_4__123Graph_AGRAFICO_20" hidden="1">#REF!</definedName>
    <definedName name="_4__123Graph_AGRAFICO_29" localSheetId="8" hidden="1">#REF!</definedName>
    <definedName name="_4__123Graph_AGRAFICO_29" hidden="1">#REF!</definedName>
    <definedName name="_4__123Graph_AGRAFICO_8" hidden="1">#REF!</definedName>
    <definedName name="_4__123Graph_BCHART_1" hidden="1">#REF!</definedName>
    <definedName name="_4__123Graph_BCHART_15" hidden="1">#REF!</definedName>
    <definedName name="_4__123Graph_BCHART_3" hidden="1">#REF!</definedName>
    <definedName name="_4__123Graph_BCONTRIB_II" hidden="1">#N/A</definedName>
    <definedName name="_4__123Graph_BGRAFICO_20" hidden="1">#REF!</definedName>
    <definedName name="_4__123Graph_BOG_CONFRONT_INC" hidden="1">#REF!</definedName>
    <definedName name="_4__123Graph_CCHART_1" hidden="1">#REF!</definedName>
    <definedName name="_4__123Graph_ECHART_1" hidden="1">#REF!</definedName>
    <definedName name="_4__FDSAUDITLINK__" localSheetId="8" hidden="1">{"fdsup://Directions/FactSet Auditing Viewer?action=AUDIT_VALUE&amp;DB=129&amp;ID1=591344&amp;VALUEID=01001&amp;SDATE=2007&amp;PERIODTYPE=ANN_STD&amp;window=popup_no_bar&amp;width=385&amp;height=120&amp;START_MAXIMIZED=FALSE&amp;creator=factset&amp;display_string=Audit"}</definedName>
    <definedName name="_4__FDSAUDITLINK__" hidden="1">{"fdsup://Directions/FactSet Auditing Viewer?action=AUDIT_VALUE&amp;DB=129&amp;ID1=591344&amp;VALUEID=01001&amp;SDATE=2007&amp;PERIODTYPE=ANN_STD&amp;window=popup_no_bar&amp;width=385&amp;height=120&amp;START_MAXIMIZED=FALSE&amp;creator=factset&amp;display_string=Audit"}</definedName>
    <definedName name="_4__FDSAUDITLINK___1" localSheetId="8" hidden="1">{"fdsup://Directions/FactSet Auditing Viewer?action=AUDIT_VALUE&amp;DB=129&amp;ID1=591344&amp;VALUEID=01001&amp;SDATE=2007&amp;PERIODTYPE=ANN_STD&amp;window=popup_no_bar&amp;width=385&amp;height=120&amp;START_MAXIMIZED=FALSE&amp;creator=factset&amp;display_string=Audit"}</definedName>
    <definedName name="_4__FDSAUDITLINK___1" hidden="1">{"fdsup://Directions/FactSet Auditing Viewer?action=AUDIT_VALUE&amp;DB=129&amp;ID1=591344&amp;VALUEID=01001&amp;SDATE=2007&amp;PERIODTYPE=ANN_STD&amp;window=popup_no_bar&amp;width=385&amp;height=120&amp;START_MAXIMIZED=FALSE&amp;creator=factset&amp;display_string=Audit"}</definedName>
    <definedName name="_4_0_0_S" hidden="1">#REF!</definedName>
    <definedName name="_4_123Graph_AB92S" hidden="1">#REF!</definedName>
    <definedName name="_40__123Graph_ACHART_8" hidden="1">#REF!</definedName>
    <definedName name="_40__123Graph_BCHART_3" localSheetId="8" hidden="1">#REF!</definedName>
    <definedName name="_40__123Graph_BCHART_3" hidden="1">#REF!</definedName>
    <definedName name="_40__123Graph_CCHART_16" hidden="1">#REF!</definedName>
    <definedName name="_40__123Graph_EGRAFICO_30" localSheetId="8" hidden="1">#REF!</definedName>
    <definedName name="_40__123Graph_EGRAFICO_30" hidden="1">#REF!</definedName>
    <definedName name="_40__FDSAUDITLINK__" localSheetId="8" hidden="1">{"fdsup://directions/FAT Viewer?action=UPDATE&amp;creator=factset&amp;DYN_ARGS=TRUE&amp;DOC_NAME=FAT:FQL_AUDITING_CLIENT_TEMPLATE.FAT&amp;display_string=Audit&amp;VAR:KEY=URQXWHCFAF&amp;VAR:QUERY=RkZfRUJJVERBX0lCKEFOTiwzMzIzOCwsLCxFVVIp&amp;WINDOW=FIRST_POPUP&amp;HEIGHT=450&amp;WIDTH=450&amp;STAR","T_MAXIMIZED=FALSE&amp;VAR:CALENDAR=FIVEDAY&amp;VAR:SYMBOL=591344&amp;VAR:INDEX=0"}</definedName>
    <definedName name="_40__FDSAUDITLINK__" hidden="1">{"fdsup://directions/FAT Viewer?action=UPDATE&amp;creator=factset&amp;DYN_ARGS=TRUE&amp;DOC_NAME=FAT:FQL_AUDITING_CLIENT_TEMPLATE.FAT&amp;display_string=Audit&amp;VAR:KEY=HQBSVMHYLU&amp;VAR:QUERY=RkZfRUJJVERBX09QRVIoQ0FMLDIwMTEp&amp;WINDOW=FIRST_POPUP&amp;HEIGHT=450&amp;WIDTH=450&amp;START_MAXIMI","ZED=FALSE&amp;VAR:CALENDAR=US&amp;VAR:SYMBOL=450270&amp;VAR:INDEX=0"}</definedName>
    <definedName name="_40__FDSAUDITLINK___1" localSheetId="8" hidden="1">{"fdsup://directions/FAT Viewer?action=UPDATE&amp;creator=factset&amp;DYN_ARGS=TRUE&amp;DOC_NAME=FAT:FQL_AUDITING_CLIENT_TEMPLATE.FAT&amp;display_string=Audit&amp;VAR:KEY=URQXWHCFAF&amp;VAR:QUERY=RkZfRUJJVERBX0lCKEFOTiwzMzIzOCwsLCxFVVIp&amp;WINDOW=FIRST_POPUP&amp;HEIGHT=450&amp;WIDTH=450&amp;STAR","T_MAXIMIZED=FALSE&amp;VAR:CALENDAR=FIVEDAY&amp;VAR:SYMBOL=591344&amp;VAR:INDEX=0"}</definedName>
    <definedName name="_40__FDSAUDITLINK___1" hidden="1">{"fdsup://directions/FAT Viewer?action=UPDATE&amp;creator=factset&amp;DYN_ARGS=TRUE&amp;DOC_NAME=FAT:FQL_AUDITING_CLIENT_TEMPLATE.FAT&amp;display_string=Audit&amp;VAR:KEY=URQXWHCFAF&amp;VAR:QUERY=RkZfRUJJVERBX0lCKEFOTiwzMzIzOCwsLCxFVVIp&amp;WINDOW=FIRST_POPUP&amp;HEIGHT=450&amp;WIDTH=450&amp;STAR","T_MAXIMIZED=FALSE&amp;VAR:CALENDAR=FIVEDAY&amp;VAR:SYMBOL=591344&amp;VAR:INDEX=0"}</definedName>
    <definedName name="_40_0_0__123Graph_XDELCO" hidden="1">#REF!</definedName>
    <definedName name="_400__FDSAUDITLINK__" localSheetId="8" hidden="1">{"fdsup://directions/FAT Viewer?action=UPDATE&amp;creator=factset&amp;DYN_ARGS=TRUE&amp;DOC_NAME=FAT:FQL_AUDITING_CLIENT_TEMPLATE.FAT&amp;display_string=Audit&amp;VAR:KEY=SJSBMTEXOH&amp;VAR:QUERY=RkZfRUJJVERBX0lCKCdBTk4nLDM4ODA3LCwsLCdHQlAnKQ==&amp;WINDOW=FIRST_POPUP&amp;HEIGHT=450&amp;WIDTH=","450&amp;START_MAXIMIZED=FALSE&amp;VAR:CALENDAR=FIVEDAY&amp;VAR:SYMBOL=073833&amp;VAR:INDEX=0"}</definedName>
    <definedName name="_400__FDSAUDITLINK__" hidden="1">{"fdsup://directions/FAT Viewer?action=UPDATE&amp;creator=factset&amp;DYN_ARGS=TRUE&amp;DOC_NAME=FAT:FQL_AUDITING_CLIENT_TEMPLATE.FAT&amp;display_string=Audit&amp;VAR:KEY=ZGZMVGPQVU&amp;VAR:QUERY=RkZfRUJJVF9PUEVSKENBTCwyMDEwKSAqIDE=&amp;WINDOW=FIRST_POPUP&amp;HEIGHT=450&amp;WIDTH=450&amp;START_MA","XIMIZED=FALSE&amp;VAR:CALENDAR=US&amp;VAR:SYMBOL=TXI&amp;VAR:INDEX=0"}</definedName>
    <definedName name="_400__FDSAUDITLINK___1" localSheetId="8" hidden="1">{"fdsup://directions/FAT Viewer?action=UPDATE&amp;creator=factset&amp;DYN_ARGS=TRUE&amp;DOC_NAME=FAT:FQL_AUDITING_CLIENT_TEMPLATE.FAT&amp;display_string=Audit&amp;VAR:KEY=SJSBMTEXOH&amp;VAR:QUERY=RkZfRUJJVERBX0lCKCdBTk4nLDM4ODA3LCwsLCdHQlAnKQ==&amp;WINDOW=FIRST_POPUP&amp;HEIGHT=450&amp;WIDTH=","450&amp;START_MAXIMIZED=FALSE&amp;VAR:CALENDAR=FIVEDAY&amp;VAR:SYMBOL=073833&amp;VAR:INDEX=0"}</definedName>
    <definedName name="_400__FDSAUDITLINK___1" hidden="1">{"fdsup://directions/FAT Viewer?action=UPDATE&amp;creator=factset&amp;DYN_ARGS=TRUE&amp;DOC_NAME=FAT:FQL_AUDITING_CLIENT_TEMPLATE.FAT&amp;display_string=Audit&amp;VAR:KEY=SJSBMTEXOH&amp;VAR:QUERY=RkZfRUJJVERBX0lCKCdBTk4nLDM4ODA3LCwsLCdHQlAnKQ==&amp;WINDOW=FIRST_POPUP&amp;HEIGHT=450&amp;WIDTH=","450&amp;START_MAXIMIZED=FALSE&amp;VAR:CALENDAR=FIVEDAY&amp;VAR:SYMBOL=073833&amp;VAR:INDEX=0"}</definedName>
    <definedName name="_401__FDSAUDITLINK__" localSheetId="8" hidden="1">{"fdsup://directions/FAT Viewer?action=UPDATE&amp;creator=factset&amp;DYN_ARGS=TRUE&amp;DOC_NAME=FAT:FQL_AUDITING_CLIENT_TEMPLATE.FAT&amp;display_string=Audit&amp;VAR:KEY=GNIZMLEXWH&amp;VAR:QUERY=RkZfRUJJVERBX0lCKCdBTk4nLDM4NDQyLCwsLCdHQlAnKQ==&amp;WINDOW=FIRST_POPUP&amp;HEIGHT=450&amp;WIDTH=","450&amp;START_MAXIMIZED=FALSE&amp;VAR:CALENDAR=FIVEDAY&amp;VAR:SYMBOL=073833&amp;VAR:INDEX=0"}</definedName>
    <definedName name="_401__FDSAUDITLINK__" hidden="1">{"fdsup://directions/FAT Viewer?action=UPDATE&amp;creator=factset&amp;DYN_ARGS=TRUE&amp;DOC_NAME=FAT:FQL_AUDITING_CLIENT_TEMPLATE.FAT&amp;display_string=Audit&amp;VAR:KEY=LQRAJOJYTW&amp;VAR:QUERY=RkZfRVBTKENBTCwyMDA5KSAqIDE=&amp;WINDOW=FIRST_POPUP&amp;HEIGHT=450&amp;WIDTH=450&amp;START_MAXIMIZED=","FALSE&amp;VAR:CALENDAR=US&amp;VAR:SYMBOL=TXI&amp;VAR:INDEX=0"}</definedName>
    <definedName name="_401__FDSAUDITLINK___1" localSheetId="8" hidden="1">{"fdsup://directions/FAT Viewer?action=UPDATE&amp;creator=factset&amp;DYN_ARGS=TRUE&amp;DOC_NAME=FAT:FQL_AUDITING_CLIENT_TEMPLATE.FAT&amp;display_string=Audit&amp;VAR:KEY=GNIZMLEXWH&amp;VAR:QUERY=RkZfRUJJVERBX0lCKCdBTk4nLDM4NDQyLCwsLCdHQlAnKQ==&amp;WINDOW=FIRST_POPUP&amp;HEIGHT=450&amp;WIDTH=","450&amp;START_MAXIMIZED=FALSE&amp;VAR:CALENDAR=FIVEDAY&amp;VAR:SYMBOL=073833&amp;VAR:INDEX=0"}</definedName>
    <definedName name="_401__FDSAUDITLINK___1" hidden="1">{"fdsup://directions/FAT Viewer?action=UPDATE&amp;creator=factset&amp;DYN_ARGS=TRUE&amp;DOC_NAME=FAT:FQL_AUDITING_CLIENT_TEMPLATE.FAT&amp;display_string=Audit&amp;VAR:KEY=GNIZMLEXWH&amp;VAR:QUERY=RkZfRUJJVERBX0lCKCdBTk4nLDM4NDQyLCwsLCdHQlAnKQ==&amp;WINDOW=FIRST_POPUP&amp;HEIGHT=450&amp;WIDTH=","450&amp;START_MAXIMIZED=FALSE&amp;VAR:CALENDAR=FIVEDAY&amp;VAR:SYMBOL=073833&amp;VAR:INDEX=0"}</definedName>
    <definedName name="_402__FDSAUDITLINK__" localSheetId="8" hidden="1">{"fdsup://directions/FAT Viewer?action=UPDATE&amp;creator=factset&amp;DYN_ARGS=TRUE&amp;DOC_NAME=FAT:FQL_AUDITING_CLIENT_TEMPLATE.FAT&amp;display_string=Audit&amp;VAR:KEY=WZSRYRYLAP&amp;VAR:QUERY=RkZfRUJJVERBX0lCKCdBTk4nLDM4MDc3LCwsLCdHQlAnKQ==&amp;WINDOW=FIRST_POPUP&amp;HEIGHT=450&amp;WIDTH=","450&amp;START_MAXIMIZED=FALSE&amp;VAR:CALENDAR=FIVEDAY&amp;VAR:SYMBOL=073833&amp;VAR:INDEX=0"}</definedName>
    <definedName name="_402__FDSAUDITLINK__" hidden="1">{"fdsup://directions/FAT Viewer?action=UPDATE&amp;creator=factset&amp;DYN_ARGS=TRUE&amp;DOC_NAME=FAT:FQL_AUDITING_CLIENT_TEMPLATE.FAT&amp;display_string=Audit&amp;VAR:KEY=WZSRYRYLAP&amp;VAR:QUERY=RkZfRUJJVERBX0lCKCdBTk4nLDM4MDc3LCwsLCdHQlAnKQ==&amp;WINDOW=FIRST_POPUP&amp;HEIGHT=450&amp;WIDTH=","450&amp;START_MAXIMIZED=FALSE&amp;VAR:CALENDAR=FIVEDAY&amp;VAR:SYMBOL=073833&amp;VAR:INDEX=0"}</definedName>
    <definedName name="_402__FDSAUDITLINK___1" localSheetId="8" hidden="1">{"fdsup://directions/FAT Viewer?action=UPDATE&amp;creator=factset&amp;DYN_ARGS=TRUE&amp;DOC_NAME=FAT:FQL_AUDITING_CLIENT_TEMPLATE.FAT&amp;display_string=Audit&amp;VAR:KEY=WZSRYRYLAP&amp;VAR:QUERY=RkZfRUJJVERBX0lCKCdBTk4nLDM4MDc3LCwsLCdHQlAnKQ==&amp;WINDOW=FIRST_POPUP&amp;HEIGHT=450&amp;WIDTH=","450&amp;START_MAXIMIZED=FALSE&amp;VAR:CALENDAR=FIVEDAY&amp;VAR:SYMBOL=073833&amp;VAR:INDEX=0"}</definedName>
    <definedName name="_402__FDSAUDITLINK___1" hidden="1">{"fdsup://directions/FAT Viewer?action=UPDATE&amp;creator=factset&amp;DYN_ARGS=TRUE&amp;DOC_NAME=FAT:FQL_AUDITING_CLIENT_TEMPLATE.FAT&amp;display_string=Audit&amp;VAR:KEY=WZSRYRYLAP&amp;VAR:QUERY=RkZfRUJJVERBX0lCKCdBTk4nLDM4MDc3LCwsLCdHQlAnKQ==&amp;WINDOW=FIRST_POPUP&amp;HEIGHT=450&amp;WIDTH=","450&amp;START_MAXIMIZED=FALSE&amp;VAR:CALENDAR=FIVEDAY&amp;VAR:SYMBOL=073833&amp;VAR:INDEX=0"}</definedName>
    <definedName name="_403__FDSAUDITLINK__" localSheetId="8" hidden="1">{"fdsup://directions/FAT Viewer?action=UPDATE&amp;creator=factset&amp;DYN_ARGS=TRUE&amp;DOC_NAME=FAT:FQL_AUDITING_CLIENT_TEMPLATE.FAT&amp;display_string=Audit&amp;VAR:KEY=KVUHKTEFKZ&amp;VAR:QUERY=RkZfRUJJVERBX0lCKCdBTk4nLDM3NzExLCwsLCdHQlAnKQ==&amp;WINDOW=FIRST_POPUP&amp;HEIGHT=450&amp;WIDTH=","450&amp;START_MAXIMIZED=FALSE&amp;VAR:CALENDAR=FIVEDAY&amp;VAR:SYMBOL=073833&amp;VAR:INDEX=0"}</definedName>
    <definedName name="_403__FDSAUDITLINK__" hidden="1">{"fdsup://directions/FAT Viewer?action=UPDATE&amp;creator=factset&amp;DYN_ARGS=TRUE&amp;DOC_NAME=FAT:FQL_AUDITING_CLIENT_TEMPLATE.FAT&amp;display_string=Audit&amp;VAR:KEY=KVUHKTEFKZ&amp;VAR:QUERY=RkZfRUJJVERBX0lCKCdBTk4nLDM3NzExLCwsLCdHQlAnKQ==&amp;WINDOW=FIRST_POPUP&amp;HEIGHT=450&amp;WIDTH=","450&amp;START_MAXIMIZED=FALSE&amp;VAR:CALENDAR=FIVEDAY&amp;VAR:SYMBOL=073833&amp;VAR:INDEX=0"}</definedName>
    <definedName name="_403__FDSAUDITLINK___1" localSheetId="8" hidden="1">{"fdsup://directions/FAT Viewer?action=UPDATE&amp;creator=factset&amp;DYN_ARGS=TRUE&amp;DOC_NAME=FAT:FQL_AUDITING_CLIENT_TEMPLATE.FAT&amp;display_string=Audit&amp;VAR:KEY=KVUHKTEFKZ&amp;VAR:QUERY=RkZfRUJJVERBX0lCKCdBTk4nLDM3NzExLCwsLCdHQlAnKQ==&amp;WINDOW=FIRST_POPUP&amp;HEIGHT=450&amp;WIDTH=","450&amp;START_MAXIMIZED=FALSE&amp;VAR:CALENDAR=FIVEDAY&amp;VAR:SYMBOL=073833&amp;VAR:INDEX=0"}</definedName>
    <definedName name="_403__FDSAUDITLINK___1" hidden="1">{"fdsup://directions/FAT Viewer?action=UPDATE&amp;creator=factset&amp;DYN_ARGS=TRUE&amp;DOC_NAME=FAT:FQL_AUDITING_CLIENT_TEMPLATE.FAT&amp;display_string=Audit&amp;VAR:KEY=KVUHKTEFKZ&amp;VAR:QUERY=RkZfRUJJVERBX0lCKCdBTk4nLDM3NzExLCwsLCdHQlAnKQ==&amp;WINDOW=FIRST_POPUP&amp;HEIGHT=450&amp;WIDTH=","450&amp;START_MAXIMIZED=FALSE&amp;VAR:CALENDAR=FIVEDAY&amp;VAR:SYMBOL=073833&amp;VAR:INDEX=0"}</definedName>
    <definedName name="_404__FDSAUDITLINK__" localSheetId="8" hidden="1">{"fdsup://directions/FAT Viewer?action=UPDATE&amp;creator=factset&amp;DYN_ARGS=TRUE&amp;DOC_NAME=FAT:FQL_AUDITING_CLIENT_TEMPLATE.FAT&amp;display_string=Audit&amp;VAR:KEY=ENETIDEBGX&amp;VAR:QUERY=RkZfRUJJVERBX0lCKCdBTk4nLDM3MzQ2LCwsLCdHQlAnKQ==&amp;WINDOW=FIRST_POPUP&amp;HEIGHT=450&amp;WIDTH=","450&amp;START_MAXIMIZED=FALSE&amp;VAR:CALENDAR=FIVEDAY&amp;VAR:SYMBOL=073833&amp;VAR:INDEX=0"}</definedName>
    <definedName name="_404__FDSAUDITLINK__" hidden="1">{"fdsup://directions/FAT Viewer?action=UPDATE&amp;creator=factset&amp;DYN_ARGS=TRUE&amp;DOC_NAME=FAT:FQL_AUDITING_CLIENT_TEMPLATE.FAT&amp;display_string=Audit&amp;VAR:KEY=ENETIDEBGX&amp;VAR:QUERY=RkZfRUJJVERBX0lCKCdBTk4nLDM3MzQ2LCwsLCdHQlAnKQ==&amp;WINDOW=FIRST_POPUP&amp;HEIGHT=450&amp;WIDTH=","450&amp;START_MAXIMIZED=FALSE&amp;VAR:CALENDAR=FIVEDAY&amp;VAR:SYMBOL=073833&amp;VAR:INDEX=0"}</definedName>
    <definedName name="_404__FDSAUDITLINK___1" localSheetId="8" hidden="1">{"fdsup://directions/FAT Viewer?action=UPDATE&amp;creator=factset&amp;DYN_ARGS=TRUE&amp;DOC_NAME=FAT:FQL_AUDITING_CLIENT_TEMPLATE.FAT&amp;display_string=Audit&amp;VAR:KEY=ENETIDEBGX&amp;VAR:QUERY=RkZfRUJJVERBX0lCKCdBTk4nLDM3MzQ2LCwsLCdHQlAnKQ==&amp;WINDOW=FIRST_POPUP&amp;HEIGHT=450&amp;WIDTH=","450&amp;START_MAXIMIZED=FALSE&amp;VAR:CALENDAR=FIVEDAY&amp;VAR:SYMBOL=073833&amp;VAR:INDEX=0"}</definedName>
    <definedName name="_404__FDSAUDITLINK___1" hidden="1">{"fdsup://directions/FAT Viewer?action=UPDATE&amp;creator=factset&amp;DYN_ARGS=TRUE&amp;DOC_NAME=FAT:FQL_AUDITING_CLIENT_TEMPLATE.FAT&amp;display_string=Audit&amp;VAR:KEY=ENETIDEBGX&amp;VAR:QUERY=RkZfRUJJVERBX0lCKCdBTk4nLDM3MzQ2LCwsLCdHQlAnKQ==&amp;WINDOW=FIRST_POPUP&amp;HEIGHT=450&amp;WIDTH=","450&amp;START_MAXIMIZED=FALSE&amp;VAR:CALENDAR=FIVEDAY&amp;VAR:SYMBOL=073833&amp;VAR:INDEX=0"}</definedName>
    <definedName name="_405__FDSAUDITLINK__" localSheetId="8" hidden="1">{"fdsup://directions/FAT Viewer?action=UPDATE&amp;creator=factset&amp;DYN_ARGS=TRUE&amp;DOC_NAME=FAT:FQL_AUDITING_CLIENT_TEMPLATE.FAT&amp;display_string=Audit&amp;VAR:KEY=CJGNGPKXKN&amp;VAR:QUERY=RkZfRUJJVERBX0lCKCdBTk4nLDM2OTgxLCwsLCdHQlAnKQ==&amp;WINDOW=FIRST_POPUP&amp;HEIGHT=450&amp;WIDTH=","450&amp;START_MAXIMIZED=FALSE&amp;VAR:CALENDAR=FIVEDAY&amp;VAR:SYMBOL=073833&amp;VAR:INDEX=0"}</definedName>
    <definedName name="_405__FDSAUDITLINK__" hidden="1">{"fdsup://directions/FAT Viewer?action=UPDATE&amp;creator=factset&amp;DYN_ARGS=TRUE&amp;DOC_NAME=FAT:FQL_AUDITING_CLIENT_TEMPLATE.FAT&amp;display_string=Audit&amp;VAR:KEY=CJGNGPKXKN&amp;VAR:QUERY=RkZfRUJJVERBX0lCKCdBTk4nLDM2OTgxLCwsLCdHQlAnKQ==&amp;WINDOW=FIRST_POPUP&amp;HEIGHT=450&amp;WIDTH=","450&amp;START_MAXIMIZED=FALSE&amp;VAR:CALENDAR=FIVEDAY&amp;VAR:SYMBOL=073833&amp;VAR:INDEX=0"}</definedName>
    <definedName name="_405__FDSAUDITLINK___1" localSheetId="8" hidden="1">{"fdsup://directions/FAT Viewer?action=UPDATE&amp;creator=factset&amp;DYN_ARGS=TRUE&amp;DOC_NAME=FAT:FQL_AUDITING_CLIENT_TEMPLATE.FAT&amp;display_string=Audit&amp;VAR:KEY=CJGNGPKXKN&amp;VAR:QUERY=RkZfRUJJVERBX0lCKCdBTk4nLDM2OTgxLCwsLCdHQlAnKQ==&amp;WINDOW=FIRST_POPUP&amp;HEIGHT=450&amp;WIDTH=","450&amp;START_MAXIMIZED=FALSE&amp;VAR:CALENDAR=FIVEDAY&amp;VAR:SYMBOL=073833&amp;VAR:INDEX=0"}</definedName>
    <definedName name="_405__FDSAUDITLINK___1" hidden="1">{"fdsup://directions/FAT Viewer?action=UPDATE&amp;creator=factset&amp;DYN_ARGS=TRUE&amp;DOC_NAME=FAT:FQL_AUDITING_CLIENT_TEMPLATE.FAT&amp;display_string=Audit&amp;VAR:KEY=CJGNGPKXKN&amp;VAR:QUERY=RkZfRUJJVERBX0lCKCdBTk4nLDM2OTgxLCwsLCdHQlAnKQ==&amp;WINDOW=FIRST_POPUP&amp;HEIGHT=450&amp;WIDTH=","450&amp;START_MAXIMIZED=FALSE&amp;VAR:CALENDAR=FIVEDAY&amp;VAR:SYMBOL=073833&amp;VAR:INDEX=0"}</definedName>
    <definedName name="_406__FDSAUDITLINK__" localSheetId="8" hidden="1">{"fdsup://directions/FAT Viewer?action=UPDATE&amp;creator=factset&amp;DYN_ARGS=TRUE&amp;DOC_NAME=FAT:FQL_AUDITING_CLIENT_TEMPLATE.FAT&amp;display_string=Audit&amp;VAR:KEY=WRQDSHOJSX&amp;VAR:QUERY=RkZfRUJJVERBX0lCKCdBTk4nLDM2NjE2LCwsLCdHQlAnKQ==&amp;WINDOW=FIRST_POPUP&amp;HEIGHT=450&amp;WIDTH=","450&amp;START_MAXIMIZED=FALSE&amp;VAR:CALENDAR=FIVEDAY&amp;VAR:SYMBOL=073833&amp;VAR:INDEX=0"}</definedName>
    <definedName name="_406__FDSAUDITLINK__" hidden="1">{"fdsup://directions/FAT Viewer?action=UPDATE&amp;creator=factset&amp;DYN_ARGS=TRUE&amp;DOC_NAME=FAT:FQL_AUDITING_CLIENT_TEMPLATE.FAT&amp;display_string=Audit&amp;VAR:KEY=WRQDSHOJSX&amp;VAR:QUERY=RkZfRUJJVERBX0lCKCdBTk4nLDM2NjE2LCwsLCdHQlAnKQ==&amp;WINDOW=FIRST_POPUP&amp;HEIGHT=450&amp;WIDTH=","450&amp;START_MAXIMIZED=FALSE&amp;VAR:CALENDAR=FIVEDAY&amp;VAR:SYMBOL=073833&amp;VAR:INDEX=0"}</definedName>
    <definedName name="_406__FDSAUDITLINK___1" localSheetId="8" hidden="1">{"fdsup://directions/FAT Viewer?action=UPDATE&amp;creator=factset&amp;DYN_ARGS=TRUE&amp;DOC_NAME=FAT:FQL_AUDITING_CLIENT_TEMPLATE.FAT&amp;display_string=Audit&amp;VAR:KEY=WRQDSHOJSX&amp;VAR:QUERY=RkZfRUJJVERBX0lCKCdBTk4nLDM2NjE2LCwsLCdHQlAnKQ==&amp;WINDOW=FIRST_POPUP&amp;HEIGHT=450&amp;WIDTH=","450&amp;START_MAXIMIZED=FALSE&amp;VAR:CALENDAR=FIVEDAY&amp;VAR:SYMBOL=073833&amp;VAR:INDEX=0"}</definedName>
    <definedName name="_406__FDSAUDITLINK___1" hidden="1">{"fdsup://directions/FAT Viewer?action=UPDATE&amp;creator=factset&amp;DYN_ARGS=TRUE&amp;DOC_NAME=FAT:FQL_AUDITING_CLIENT_TEMPLATE.FAT&amp;display_string=Audit&amp;VAR:KEY=WRQDSHOJSX&amp;VAR:QUERY=RkZfRUJJVERBX0lCKCdBTk4nLDM2NjE2LCwsLCdHQlAnKQ==&amp;WINDOW=FIRST_POPUP&amp;HEIGHT=450&amp;WIDTH=","450&amp;START_MAXIMIZED=FALSE&amp;VAR:CALENDAR=FIVEDAY&amp;VAR:SYMBOL=073833&amp;VAR:INDEX=0"}</definedName>
    <definedName name="_407__FDSAUDITLINK__" localSheetId="8" hidden="1">{"fdsup://directions/FAT Viewer?action=UPDATE&amp;creator=factset&amp;DYN_ARGS=TRUE&amp;DOC_NAME=FAT:FQL_AUDITING_CLIENT_TEMPLATE.FAT&amp;display_string=Audit&amp;VAR:KEY=UNKHWXONMX&amp;VAR:QUERY=RkZfRUJJVERBX0lCKCdBTk4nLDM2MjUwLCwsLCdHQlAnKQ==&amp;WINDOW=FIRST_POPUP&amp;HEIGHT=450&amp;WIDTH=","450&amp;START_MAXIMIZED=FALSE&amp;VAR:CALENDAR=FIVEDAY&amp;VAR:SYMBOL=073833&amp;VAR:INDEX=0"}</definedName>
    <definedName name="_407__FDSAUDITLINK__" hidden="1">{"fdsup://directions/FAT Viewer?action=UPDATE&amp;creator=factset&amp;DYN_ARGS=TRUE&amp;DOC_NAME=FAT:FQL_AUDITING_CLIENT_TEMPLATE.FAT&amp;display_string=Audit&amp;VAR:KEY=UNKHWXONMX&amp;VAR:QUERY=RkZfRUJJVERBX0lCKCdBTk4nLDM2MjUwLCwsLCdHQlAnKQ==&amp;WINDOW=FIRST_POPUP&amp;HEIGHT=450&amp;WIDTH=","450&amp;START_MAXIMIZED=FALSE&amp;VAR:CALENDAR=FIVEDAY&amp;VAR:SYMBOL=073833&amp;VAR:INDEX=0"}</definedName>
    <definedName name="_407__FDSAUDITLINK___1" localSheetId="8" hidden="1">{"fdsup://directions/FAT Viewer?action=UPDATE&amp;creator=factset&amp;DYN_ARGS=TRUE&amp;DOC_NAME=FAT:FQL_AUDITING_CLIENT_TEMPLATE.FAT&amp;display_string=Audit&amp;VAR:KEY=UNKHWXONMX&amp;VAR:QUERY=RkZfRUJJVERBX0lCKCdBTk4nLDM2MjUwLCwsLCdHQlAnKQ==&amp;WINDOW=FIRST_POPUP&amp;HEIGHT=450&amp;WIDTH=","450&amp;START_MAXIMIZED=FALSE&amp;VAR:CALENDAR=FIVEDAY&amp;VAR:SYMBOL=073833&amp;VAR:INDEX=0"}</definedName>
    <definedName name="_407__FDSAUDITLINK___1" hidden="1">{"fdsup://directions/FAT Viewer?action=UPDATE&amp;creator=factset&amp;DYN_ARGS=TRUE&amp;DOC_NAME=FAT:FQL_AUDITING_CLIENT_TEMPLATE.FAT&amp;display_string=Audit&amp;VAR:KEY=UNKHWXONMX&amp;VAR:QUERY=RkZfRUJJVERBX0lCKCdBTk4nLDM2MjUwLCwsLCdHQlAnKQ==&amp;WINDOW=FIRST_POPUP&amp;HEIGHT=450&amp;WIDTH=","450&amp;START_MAXIMIZED=FALSE&amp;VAR:CALENDAR=FIVEDAY&amp;VAR:SYMBOL=073833&amp;VAR:INDEX=0"}</definedName>
    <definedName name="_408__FDSAUDITLINK__" localSheetId="8" hidden="1">{"fdsup://directions/FAT Viewer?action=UPDATE&amp;creator=factset&amp;DYN_ARGS=TRUE&amp;DOC_NAME=FAT:FQL_AUDITING_CLIENT_TEMPLATE.FAT&amp;display_string=Audit&amp;VAR:KEY=INKPYXILGF&amp;VAR:QUERY=RkZfRUJJVERBX0lCKCdBTk4nLDM1ODg1LCwsLCdHQlAnKQ==&amp;WINDOW=FIRST_POPUP&amp;HEIGHT=450&amp;WIDTH=","450&amp;START_MAXIMIZED=FALSE&amp;VAR:CALENDAR=FIVEDAY&amp;VAR:SYMBOL=073833&amp;VAR:INDEX=0"}</definedName>
    <definedName name="_408__FDSAUDITLINK__" hidden="1">{"fdsup://directions/FAT Viewer?action=UPDATE&amp;creator=factset&amp;DYN_ARGS=TRUE&amp;DOC_NAME=FAT:FQL_AUDITING_CLIENT_TEMPLATE.FAT&amp;display_string=Audit&amp;VAR:KEY=INKPYXILGF&amp;VAR:QUERY=RkZfRUJJVERBX0lCKCdBTk4nLDM1ODg1LCwsLCdHQlAnKQ==&amp;WINDOW=FIRST_POPUP&amp;HEIGHT=450&amp;WIDTH=","450&amp;START_MAXIMIZED=FALSE&amp;VAR:CALENDAR=FIVEDAY&amp;VAR:SYMBOL=073833&amp;VAR:INDEX=0"}</definedName>
    <definedName name="_408__FDSAUDITLINK___1" localSheetId="8" hidden="1">{"fdsup://directions/FAT Viewer?action=UPDATE&amp;creator=factset&amp;DYN_ARGS=TRUE&amp;DOC_NAME=FAT:FQL_AUDITING_CLIENT_TEMPLATE.FAT&amp;display_string=Audit&amp;VAR:KEY=INKPYXILGF&amp;VAR:QUERY=RkZfRUJJVERBX0lCKCdBTk4nLDM1ODg1LCwsLCdHQlAnKQ==&amp;WINDOW=FIRST_POPUP&amp;HEIGHT=450&amp;WIDTH=","450&amp;START_MAXIMIZED=FALSE&amp;VAR:CALENDAR=FIVEDAY&amp;VAR:SYMBOL=073833&amp;VAR:INDEX=0"}</definedName>
    <definedName name="_408__FDSAUDITLINK___1" hidden="1">{"fdsup://directions/FAT Viewer?action=UPDATE&amp;creator=factset&amp;DYN_ARGS=TRUE&amp;DOC_NAME=FAT:FQL_AUDITING_CLIENT_TEMPLATE.FAT&amp;display_string=Audit&amp;VAR:KEY=INKPYXILGF&amp;VAR:QUERY=RkZfRUJJVERBX0lCKCdBTk4nLDM1ODg1LCwsLCdHQlAnKQ==&amp;WINDOW=FIRST_POPUP&amp;HEIGHT=450&amp;WIDTH=","450&amp;START_MAXIMIZED=FALSE&amp;VAR:CALENDAR=FIVEDAY&amp;VAR:SYMBOL=073833&amp;VAR:INDEX=0"}</definedName>
    <definedName name="_409__FDSAUDITLINK__" localSheetId="8" hidden="1">{"fdsup://directions/FAT Viewer?action=UPDATE&amp;creator=factset&amp;DYN_ARGS=TRUE&amp;DOC_NAME=FAT:FQL_AUDITING_CLIENT_TEMPLATE.FAT&amp;display_string=Audit&amp;VAR:KEY=KZGLKHSRCN&amp;VAR:QUERY=RkZfRUJJVERBX0lCKCdBTk4nLDM1NTIwLCwsLCdHQlAnKQ==&amp;WINDOW=FIRST_POPUP&amp;HEIGHT=450&amp;WIDTH=","450&amp;START_MAXIMIZED=FALSE&amp;VAR:CALENDAR=FIVEDAY&amp;VAR:SYMBOL=073833&amp;VAR:INDEX=0"}</definedName>
    <definedName name="_409__FDSAUDITLINK__" hidden="1">{"fdsup://directions/FAT Viewer?action=UPDATE&amp;creator=factset&amp;DYN_ARGS=TRUE&amp;DOC_NAME=FAT:FQL_AUDITING_CLIENT_TEMPLATE.FAT&amp;display_string=Audit&amp;VAR:KEY=KZGLKHSRCN&amp;VAR:QUERY=RkZfRUJJVERBX0lCKCdBTk4nLDM1NTIwLCwsLCdHQlAnKQ==&amp;WINDOW=FIRST_POPUP&amp;HEIGHT=450&amp;WIDTH=","450&amp;START_MAXIMIZED=FALSE&amp;VAR:CALENDAR=FIVEDAY&amp;VAR:SYMBOL=073833&amp;VAR:INDEX=0"}</definedName>
    <definedName name="_409__FDSAUDITLINK___1" localSheetId="8" hidden="1">{"fdsup://directions/FAT Viewer?action=UPDATE&amp;creator=factset&amp;DYN_ARGS=TRUE&amp;DOC_NAME=FAT:FQL_AUDITING_CLIENT_TEMPLATE.FAT&amp;display_string=Audit&amp;VAR:KEY=KZGLKHSRCN&amp;VAR:QUERY=RkZfRUJJVERBX0lCKCdBTk4nLDM1NTIwLCwsLCdHQlAnKQ==&amp;WINDOW=FIRST_POPUP&amp;HEIGHT=450&amp;WIDTH=","450&amp;START_MAXIMIZED=FALSE&amp;VAR:CALENDAR=FIVEDAY&amp;VAR:SYMBOL=073833&amp;VAR:INDEX=0"}</definedName>
    <definedName name="_409__FDSAUDITLINK___1" hidden="1">{"fdsup://directions/FAT Viewer?action=UPDATE&amp;creator=factset&amp;DYN_ARGS=TRUE&amp;DOC_NAME=FAT:FQL_AUDITING_CLIENT_TEMPLATE.FAT&amp;display_string=Audit&amp;VAR:KEY=KZGLKHSRCN&amp;VAR:QUERY=RkZfRUJJVERBX0lCKCdBTk4nLDM1NTIwLCwsLCdHQlAnKQ==&amp;WINDOW=FIRST_POPUP&amp;HEIGHT=450&amp;WIDTH=","450&amp;START_MAXIMIZED=FALSE&amp;VAR:CALENDAR=FIVEDAY&amp;VAR:SYMBOL=073833&amp;VAR:INDEX=0"}</definedName>
    <definedName name="_41__123Graph_ACHART_9" hidden="1">#REF!</definedName>
    <definedName name="_41__123Graph_BCHART_31" localSheetId="8" hidden="1">#REF!</definedName>
    <definedName name="_41__123Graph_BCHART_31" hidden="1">#REF!</definedName>
    <definedName name="_41__123Graph_CCHART_2" hidden="1">#REF!</definedName>
    <definedName name="_41__123Graph_EGRAFICO_31" localSheetId="8" hidden="1">#REF!</definedName>
    <definedName name="_41__123Graph_EGRAFICO_31" hidden="1">#REF!</definedName>
    <definedName name="_41__FDSAUDITLINK__" localSheetId="8" hidden="1">{"fdsup://Directions/FactSet Auditing Viewer?action=AUDIT_VALUE&amp;DB=129&amp;ID1=591344&amp;VALUEID=04601&amp;SDATE=2009&amp;PERIODTYPE=ANN_STD&amp;window=popup_no_bar&amp;width=385&amp;height=120&amp;START_MAXIMIZED=FALSE&amp;creator=factset&amp;display_string=Audit"}</definedName>
    <definedName name="_41__FDSAUDITLINK__" hidden="1">{"fdsup://directions/FAT Viewer?action=UPDATE&amp;creator=factset&amp;DYN_ARGS=TRUE&amp;DOC_NAME=FAT:FQL_AUDITING_CLIENT_TEMPLATE.FAT&amp;display_string=Audit&amp;VAR:KEY=GPUTCHWLQP&amp;VAR:QUERY=RkZfRUJJVERBX09QRVIoQ0FMLDIwMTEp&amp;WINDOW=FIRST_POPUP&amp;HEIGHT=450&amp;WIDTH=450&amp;START_MAXIMI","ZED=FALSE&amp;VAR:CALENDAR=US&amp;VAR:SYMBOL=BLDR&amp;VAR:INDEX=0"}</definedName>
    <definedName name="_41__FDSAUDITLINK___1" localSheetId="8" hidden="1">{"fdsup://Directions/FactSet Auditing Viewer?action=AUDIT_VALUE&amp;DB=129&amp;ID1=591344&amp;VALUEID=04601&amp;SDATE=2009&amp;PERIODTYPE=ANN_STD&amp;window=popup_no_bar&amp;width=385&amp;height=120&amp;START_MAXIMIZED=FALSE&amp;creator=factset&amp;display_string=Audit"}</definedName>
    <definedName name="_41__FDSAUDITLINK___1" hidden="1">{"fdsup://Directions/FactSet Auditing Viewer?action=AUDIT_VALUE&amp;DB=129&amp;ID1=591344&amp;VALUEID=04601&amp;SDATE=2009&amp;PERIODTYPE=ANN_STD&amp;window=popup_no_bar&amp;width=385&amp;height=120&amp;START_MAXIMIZED=FALSE&amp;creator=factset&amp;display_string=Audit"}</definedName>
    <definedName name="_41_0_0__123Graph_XDETS" hidden="1">#REF!</definedName>
    <definedName name="_410__FDSAUDITLINK__" localSheetId="8" hidden="1">{"fdsup://directions/FAT Viewer?action=UPDATE&amp;creator=factset&amp;DYN_ARGS=TRUE&amp;DOC_NAME=FAT:FQL_AUDITING_CLIENT_TEMPLATE.FAT&amp;display_string=Audit&amp;VAR:KEY=SXWZETMRKX&amp;VAR:QUERY=RkZfRUJJVERBX0lCKCdBTk4nLDM1MTU1LCwsLCdHQlAnKQ==&amp;WINDOW=FIRST_POPUP&amp;HEIGHT=450&amp;WIDTH=","450&amp;START_MAXIMIZED=FALSE&amp;VAR:CALENDAR=FIVEDAY&amp;VAR:SYMBOL=073833&amp;VAR:INDEX=0"}</definedName>
    <definedName name="_410__FDSAUDITLINK__" hidden="1">{"fdsup://directions/FAT Viewer?action=UPDATE&amp;creator=factset&amp;DYN_ARGS=TRUE&amp;DOC_NAME=FAT:FQL_AUDITING_CLIENT_TEMPLATE.FAT&amp;display_string=Audit&amp;VAR:KEY=MHGJANIHML&amp;VAR:QUERY=RkZfTkVUX0lOQyhMVE0sNDEwOTIp&amp;WINDOW=FIRST_POPUP&amp;HEIGHT=450&amp;WIDTH=450&amp;START_MAXIMIZED=","FALSE&amp;VAR:CALENDAR=US&amp;VAR:SYMBOL=MCEM&amp;VAR:INDEX=0"}</definedName>
    <definedName name="_410__FDSAUDITLINK___1" localSheetId="8" hidden="1">{"fdsup://directions/FAT Viewer?action=UPDATE&amp;creator=factset&amp;DYN_ARGS=TRUE&amp;DOC_NAME=FAT:FQL_AUDITING_CLIENT_TEMPLATE.FAT&amp;display_string=Audit&amp;VAR:KEY=SXWZETMRKX&amp;VAR:QUERY=RkZfRUJJVERBX0lCKCdBTk4nLDM1MTU1LCwsLCdHQlAnKQ==&amp;WINDOW=FIRST_POPUP&amp;HEIGHT=450&amp;WIDTH=","450&amp;START_MAXIMIZED=FALSE&amp;VAR:CALENDAR=FIVEDAY&amp;VAR:SYMBOL=073833&amp;VAR:INDEX=0"}</definedName>
    <definedName name="_410__FDSAUDITLINK___1" hidden="1">{"fdsup://directions/FAT Viewer?action=UPDATE&amp;creator=factset&amp;DYN_ARGS=TRUE&amp;DOC_NAME=FAT:FQL_AUDITING_CLIENT_TEMPLATE.FAT&amp;display_string=Audit&amp;VAR:KEY=SXWZETMRKX&amp;VAR:QUERY=RkZfRUJJVERBX0lCKCdBTk4nLDM1MTU1LCwsLCdHQlAnKQ==&amp;WINDOW=FIRST_POPUP&amp;HEIGHT=450&amp;WIDTH=","450&amp;START_MAXIMIZED=FALSE&amp;VAR:CALENDAR=FIVEDAY&amp;VAR:SYMBOL=073833&amp;VAR:INDEX=0"}</definedName>
    <definedName name="_411__FDSAUDITLINK__" localSheetId="8" hidden="1">{"fdsup://directions/FAT Viewer?action=UPDATE&amp;creator=factset&amp;DYN_ARGS=TRUE&amp;DOC_NAME=FAT:FQL_AUDITING_CLIENT_TEMPLATE.FAT&amp;display_string=Audit&amp;VAR:KEY=OHQXELQDWZ&amp;VAR:QUERY=RkZfRUJJVERBX0lCKCdBTk4nLDM0Nzg5LCwsLCdHQlAnKQ==&amp;WINDOW=FIRST_POPUP&amp;HEIGHT=450&amp;WIDTH=","450&amp;START_MAXIMIZED=FALSE&amp;VAR:CALENDAR=FIVEDAY&amp;VAR:SYMBOL=073833&amp;VAR:INDEX=0"}</definedName>
    <definedName name="_411__FDSAUDITLINK__" hidden="1">{"fdsup://directions/FAT Viewer?action=UPDATE&amp;creator=factset&amp;DYN_ARGS=TRUE&amp;DOC_NAME=FAT:FQL_AUDITING_CLIENT_TEMPLATE.FAT&amp;display_string=Audit&amp;VAR:KEY=GBMFYNGDSJ&amp;VAR:QUERY=RkZfSU5UX0VYUF9ORVQoTFRNLDQxMDkyKQ==&amp;WINDOW=FIRST_POPUP&amp;HEIGHT=450&amp;WIDTH=450&amp;START_MA","XIMIZED=FALSE&amp;VAR:CALENDAR=US&amp;VAR:SYMBOL=MCEM&amp;VAR:INDEX=0"}</definedName>
    <definedName name="_411__FDSAUDITLINK___1" localSheetId="8" hidden="1">{"fdsup://directions/FAT Viewer?action=UPDATE&amp;creator=factset&amp;DYN_ARGS=TRUE&amp;DOC_NAME=FAT:FQL_AUDITING_CLIENT_TEMPLATE.FAT&amp;display_string=Audit&amp;VAR:KEY=OHQXELQDWZ&amp;VAR:QUERY=RkZfRUJJVERBX0lCKCdBTk4nLDM0Nzg5LCwsLCdHQlAnKQ==&amp;WINDOW=FIRST_POPUP&amp;HEIGHT=450&amp;WIDTH=","450&amp;START_MAXIMIZED=FALSE&amp;VAR:CALENDAR=FIVEDAY&amp;VAR:SYMBOL=073833&amp;VAR:INDEX=0"}</definedName>
    <definedName name="_411__FDSAUDITLINK___1" hidden="1">{"fdsup://directions/FAT Viewer?action=UPDATE&amp;creator=factset&amp;DYN_ARGS=TRUE&amp;DOC_NAME=FAT:FQL_AUDITING_CLIENT_TEMPLATE.FAT&amp;display_string=Audit&amp;VAR:KEY=OHQXELQDWZ&amp;VAR:QUERY=RkZfRUJJVERBX0lCKCdBTk4nLDM0Nzg5LCwsLCdHQlAnKQ==&amp;WINDOW=FIRST_POPUP&amp;HEIGHT=450&amp;WIDTH=","450&amp;START_MAXIMIZED=FALSE&amp;VAR:CALENDAR=FIVEDAY&amp;VAR:SYMBOL=073833&amp;VAR:INDEX=0"}</definedName>
    <definedName name="_412__FDSAUDITLINK__" localSheetId="8" hidden="1">{"fdsup://directions/FAT Viewer?action=UPDATE&amp;creator=factset&amp;DYN_ARGS=TRUE&amp;DOC_NAME=FAT:FQL_AUDITING_CLIENT_TEMPLATE.FAT&amp;display_string=Audit&amp;VAR:KEY=SLQVMZMVMF&amp;VAR:QUERY=RkZfRUJJVERBX0lCKCdBTk4nLDM0NDI0LCwsLCdHQlAnKQ==&amp;WINDOW=FIRST_POPUP&amp;HEIGHT=450&amp;WIDTH=","450&amp;START_MAXIMIZED=FALSE&amp;VAR:CALENDAR=FIVEDAY&amp;VAR:SYMBOL=073833&amp;VAR:INDEX=0"}</definedName>
    <definedName name="_412__FDSAUDITLINK__" hidden="1">{"fdsup://directions/FAT Viewer?action=UPDATE&amp;creator=factset&amp;DYN_ARGS=TRUE&amp;DOC_NAME=FAT:FQL_AUDITING_CLIENT_TEMPLATE.FAT&amp;display_string=Audit&amp;VAR:KEY=QVGPARYJYT&amp;VAR:QUERY=RkZfRUJJVF9PUEVSKExUTSw0MTA5Mik=&amp;WINDOW=FIRST_POPUP&amp;HEIGHT=450&amp;WIDTH=450&amp;START_MAXIMI","ZED=FALSE&amp;VAR:CALENDAR=US&amp;VAR:SYMBOL=MCEM&amp;VAR:INDEX=0"}</definedName>
    <definedName name="_412__FDSAUDITLINK___1" localSheetId="8" hidden="1">{"fdsup://directions/FAT Viewer?action=UPDATE&amp;creator=factset&amp;DYN_ARGS=TRUE&amp;DOC_NAME=FAT:FQL_AUDITING_CLIENT_TEMPLATE.FAT&amp;display_string=Audit&amp;VAR:KEY=SLQVMZMVMF&amp;VAR:QUERY=RkZfRUJJVERBX0lCKCdBTk4nLDM0NDI0LCwsLCdHQlAnKQ==&amp;WINDOW=FIRST_POPUP&amp;HEIGHT=450&amp;WIDTH=","450&amp;START_MAXIMIZED=FALSE&amp;VAR:CALENDAR=FIVEDAY&amp;VAR:SYMBOL=073833&amp;VAR:INDEX=0"}</definedName>
    <definedName name="_412__FDSAUDITLINK___1" hidden="1">{"fdsup://directions/FAT Viewer?action=UPDATE&amp;creator=factset&amp;DYN_ARGS=TRUE&amp;DOC_NAME=FAT:FQL_AUDITING_CLIENT_TEMPLATE.FAT&amp;display_string=Audit&amp;VAR:KEY=SLQVMZMVMF&amp;VAR:QUERY=RkZfRUJJVERBX0lCKCdBTk4nLDM0NDI0LCwsLCdHQlAnKQ==&amp;WINDOW=FIRST_POPUP&amp;HEIGHT=450&amp;WIDTH=","450&amp;START_MAXIMIZED=FALSE&amp;VAR:CALENDAR=FIVEDAY&amp;VAR:SYMBOL=073833&amp;VAR:INDEX=0"}</definedName>
    <definedName name="_413__FDSAUDITLINK__" localSheetId="8" hidden="1">{"fdsup://directions/FAT Viewer?action=UPDATE&amp;creator=factset&amp;DYN_ARGS=TRUE&amp;DOC_NAME=FAT:FQL_AUDITING_CLIENT_TEMPLATE.FAT&amp;display_string=Audit&amp;VAR:KEY=MZYDSFOBCL&amp;VAR:QUERY=RkZfRUJJVERBX0lCKCdBTk4nLDM0MDU5LCwsLCdHQlAnKQ==&amp;WINDOW=FIRST_POPUP&amp;HEIGHT=450&amp;WIDTH=","450&amp;START_MAXIMIZED=FALSE&amp;VAR:CALENDAR=FIVEDAY&amp;VAR:SYMBOL=073833&amp;VAR:INDEX=0"}</definedName>
    <definedName name="_413__FDSAUDITLINK__" hidden="1">{"fdsup://directions/FAT Viewer?action=UPDATE&amp;creator=factset&amp;DYN_ARGS=TRUE&amp;DOC_NAME=FAT:FQL_AUDITING_CLIENT_TEMPLATE.FAT&amp;display_string=Audit&amp;VAR:KEY=IRMDGPELQX&amp;VAR:QUERY=RkZfU0FMRVMoTFRNLDQxMDkyKQ==&amp;WINDOW=FIRST_POPUP&amp;HEIGHT=450&amp;WIDTH=450&amp;START_MAXIMIZED=","FALSE&amp;VAR:CALENDAR=US&amp;VAR:SYMBOL=MCEM&amp;VAR:INDEX=0"}</definedName>
    <definedName name="_413__FDSAUDITLINK___1" localSheetId="8" hidden="1">{"fdsup://directions/FAT Viewer?action=UPDATE&amp;creator=factset&amp;DYN_ARGS=TRUE&amp;DOC_NAME=FAT:FQL_AUDITING_CLIENT_TEMPLATE.FAT&amp;display_string=Audit&amp;VAR:KEY=MZYDSFOBCL&amp;VAR:QUERY=RkZfRUJJVERBX0lCKCdBTk4nLDM0MDU5LCwsLCdHQlAnKQ==&amp;WINDOW=FIRST_POPUP&amp;HEIGHT=450&amp;WIDTH=","450&amp;START_MAXIMIZED=FALSE&amp;VAR:CALENDAR=FIVEDAY&amp;VAR:SYMBOL=073833&amp;VAR:INDEX=0"}</definedName>
    <definedName name="_413__FDSAUDITLINK___1" hidden="1">{"fdsup://directions/FAT Viewer?action=UPDATE&amp;creator=factset&amp;DYN_ARGS=TRUE&amp;DOC_NAME=FAT:FQL_AUDITING_CLIENT_TEMPLATE.FAT&amp;display_string=Audit&amp;VAR:KEY=MZYDSFOBCL&amp;VAR:QUERY=RkZfRUJJVERBX0lCKCdBTk4nLDM0MDU5LCwsLCdHQlAnKQ==&amp;WINDOW=FIRST_POPUP&amp;HEIGHT=450&amp;WIDTH=","450&amp;START_MAXIMIZED=FALSE&amp;VAR:CALENDAR=FIVEDAY&amp;VAR:SYMBOL=073833&amp;VAR:INDEX=0"}</definedName>
    <definedName name="_414__FDSAUDITLINK__" localSheetId="8" hidden="1">{"fdsup://directions/FAT Viewer?action=UPDATE&amp;creator=factset&amp;DYN_ARGS=TRUE&amp;DOC_NAME=FAT:FQL_AUDITING_CLIENT_TEMPLATE.FAT&amp;display_string=Audit&amp;VAR:KEY=GDIXERWRKD&amp;VAR:QUERY=RkZfRUJJVERBX0lCKCdBTk4nLDMzNjk0LCwsLCdHQlAnKQ==&amp;WINDOW=FIRST_POPUP&amp;HEIGHT=450&amp;WIDTH=","450&amp;START_MAXIMIZED=FALSE&amp;VAR:CALENDAR=FIVEDAY&amp;VAR:SYMBOL=073833&amp;VAR:INDEX=0"}</definedName>
    <definedName name="_414__FDSAUDITLINK__" hidden="1">{"fdsup://directions/FAT Viewer?action=UPDATE&amp;creator=factset&amp;DYN_ARGS=TRUE&amp;DOC_NAME=FAT:FQL_AUDITING_CLIENT_TEMPLATE.FAT&amp;display_string=Audit&amp;VAR:KEY=QXSLMHSLOP&amp;VAR:QUERY=RkZfRUJJVERBX09QRVIoTFRNLDQxMDkyKQ==&amp;WINDOW=FIRST_POPUP&amp;HEIGHT=450&amp;WIDTH=450&amp;START_MA","XIMIZED=FALSE&amp;VAR:CALENDAR=US&amp;VAR:SYMBOL=MCEM&amp;VAR:INDEX=0"}</definedName>
    <definedName name="_414__FDSAUDITLINK___1" localSheetId="8" hidden="1">{"fdsup://directions/FAT Viewer?action=UPDATE&amp;creator=factset&amp;DYN_ARGS=TRUE&amp;DOC_NAME=FAT:FQL_AUDITING_CLIENT_TEMPLATE.FAT&amp;display_string=Audit&amp;VAR:KEY=GDIXERWRKD&amp;VAR:QUERY=RkZfRUJJVERBX0lCKCdBTk4nLDMzNjk0LCwsLCdHQlAnKQ==&amp;WINDOW=FIRST_POPUP&amp;HEIGHT=450&amp;WIDTH=","450&amp;START_MAXIMIZED=FALSE&amp;VAR:CALENDAR=FIVEDAY&amp;VAR:SYMBOL=073833&amp;VAR:INDEX=0"}</definedName>
    <definedName name="_414__FDSAUDITLINK___1" hidden="1">{"fdsup://directions/FAT Viewer?action=UPDATE&amp;creator=factset&amp;DYN_ARGS=TRUE&amp;DOC_NAME=FAT:FQL_AUDITING_CLIENT_TEMPLATE.FAT&amp;display_string=Audit&amp;VAR:KEY=GDIXERWRKD&amp;VAR:QUERY=RkZfRUJJVERBX0lCKCdBTk4nLDMzNjk0LCwsLCdHQlAnKQ==&amp;WINDOW=FIRST_POPUP&amp;HEIGHT=450&amp;WIDTH=","450&amp;START_MAXIMIZED=FALSE&amp;VAR:CALENDAR=FIVEDAY&amp;VAR:SYMBOL=073833&amp;VAR:INDEX=0"}</definedName>
    <definedName name="_415__FDSAUDITLINK__" localSheetId="8" hidden="1">{"fdsup://directions/FAT Viewer?action=UPDATE&amp;creator=factset&amp;DYN_ARGS=TRUE&amp;DOC_NAME=FAT:FQL_AUDITING_CLIENT_TEMPLATE.FAT&amp;display_string=Audit&amp;VAR:KEY=QVEVIBQFIH&amp;VAR:QUERY=RkZfRUJJVERBX0lCKCdBTk4nLDMzMzI4LCwsLCdHQlAnKQ==&amp;WINDOW=FIRST_POPUP&amp;HEIGHT=450&amp;WIDTH=","450&amp;START_MAXIMIZED=FALSE&amp;VAR:CALENDAR=FIVEDAY&amp;VAR:SYMBOL=073833&amp;VAR:INDEX=0"}</definedName>
    <definedName name="_415__FDSAUDITLINK__" hidden="1">{"fdsup://directions/FAT Viewer?action=UPDATE&amp;creator=factset&amp;DYN_ARGS=TRUE&amp;DOC_NAME=FAT:FQL_AUDITING_CLIENT_TEMPLATE.FAT&amp;display_string=Audit&amp;VAR:KEY=QVEVIBQFIH&amp;VAR:QUERY=RkZfRUJJVERBX0lCKCdBTk4nLDMzMzI4LCwsLCdHQlAnKQ==&amp;WINDOW=FIRST_POPUP&amp;HEIGHT=450&amp;WIDTH=","450&amp;START_MAXIMIZED=FALSE&amp;VAR:CALENDAR=FIVEDAY&amp;VAR:SYMBOL=073833&amp;VAR:INDEX=0"}</definedName>
    <definedName name="_415__FDSAUDITLINK___1" localSheetId="8" hidden="1">{"fdsup://directions/FAT Viewer?action=UPDATE&amp;creator=factset&amp;DYN_ARGS=TRUE&amp;DOC_NAME=FAT:FQL_AUDITING_CLIENT_TEMPLATE.FAT&amp;display_string=Audit&amp;VAR:KEY=QVEVIBQFIH&amp;VAR:QUERY=RkZfRUJJVERBX0lCKCdBTk4nLDMzMzI4LCwsLCdHQlAnKQ==&amp;WINDOW=FIRST_POPUP&amp;HEIGHT=450&amp;WIDTH=","450&amp;START_MAXIMIZED=FALSE&amp;VAR:CALENDAR=FIVEDAY&amp;VAR:SYMBOL=073833&amp;VAR:INDEX=0"}</definedName>
    <definedName name="_415__FDSAUDITLINK___1" hidden="1">{"fdsup://directions/FAT Viewer?action=UPDATE&amp;creator=factset&amp;DYN_ARGS=TRUE&amp;DOC_NAME=FAT:FQL_AUDITING_CLIENT_TEMPLATE.FAT&amp;display_string=Audit&amp;VAR:KEY=QVEVIBQFIH&amp;VAR:QUERY=RkZfRUJJVERBX0lCKCdBTk4nLDMzMzI4LCwsLCdHQlAnKQ==&amp;WINDOW=FIRST_POPUP&amp;HEIGHT=450&amp;WIDTH=","450&amp;START_MAXIMIZED=FALSE&amp;VAR:CALENDAR=FIVEDAY&amp;VAR:SYMBOL=073833&amp;VAR:INDEX=0"}</definedName>
    <definedName name="_416__FDSAUDITLINK__" localSheetId="8" hidden="1">{"fdsup://directions/FAT Viewer?action=UPDATE&amp;creator=factset&amp;DYN_ARGS=TRUE&amp;DOC_NAME=FAT:FQL_AUDITING_CLIENT_TEMPLATE.FAT&amp;display_string=Audit&amp;VAR:KEY=WBQPMLKJAT&amp;VAR:QUERY=RkZfRUJJVERBX0lCKCdBTk4nLDMyOTYzLCwsLCdHQlAnKQ==&amp;WINDOW=FIRST_POPUP&amp;HEIGHT=450&amp;WIDTH=","450&amp;START_MAXIMIZED=FALSE&amp;VAR:CALENDAR=FIVEDAY&amp;VAR:SYMBOL=073833&amp;VAR:INDEX=0"}</definedName>
    <definedName name="_416__FDSAUDITLINK__" hidden="1">{"fdsup://directions/FAT Viewer?action=UPDATE&amp;creator=factset&amp;DYN_ARGS=TRUE&amp;DOC_NAME=FAT:FQL_AUDITING_CLIENT_TEMPLATE.FAT&amp;display_string=Audit&amp;VAR:KEY=WBQPMLKJAT&amp;VAR:QUERY=RkZfRUJJVERBX0lCKCdBTk4nLDMyOTYzLCwsLCdHQlAnKQ==&amp;WINDOW=FIRST_POPUP&amp;HEIGHT=450&amp;WIDTH=","450&amp;START_MAXIMIZED=FALSE&amp;VAR:CALENDAR=FIVEDAY&amp;VAR:SYMBOL=073833&amp;VAR:INDEX=0"}</definedName>
    <definedName name="_416__FDSAUDITLINK___1" localSheetId="8" hidden="1">{"fdsup://directions/FAT Viewer?action=UPDATE&amp;creator=factset&amp;DYN_ARGS=TRUE&amp;DOC_NAME=FAT:FQL_AUDITING_CLIENT_TEMPLATE.FAT&amp;display_string=Audit&amp;VAR:KEY=WBQPMLKJAT&amp;VAR:QUERY=RkZfRUJJVERBX0lCKCdBTk4nLDMyOTYzLCwsLCdHQlAnKQ==&amp;WINDOW=FIRST_POPUP&amp;HEIGHT=450&amp;WIDTH=","450&amp;START_MAXIMIZED=FALSE&amp;VAR:CALENDAR=FIVEDAY&amp;VAR:SYMBOL=073833&amp;VAR:INDEX=0"}</definedName>
    <definedName name="_416__FDSAUDITLINK___1" hidden="1">{"fdsup://directions/FAT Viewer?action=UPDATE&amp;creator=factset&amp;DYN_ARGS=TRUE&amp;DOC_NAME=FAT:FQL_AUDITING_CLIENT_TEMPLATE.FAT&amp;display_string=Audit&amp;VAR:KEY=WBQPMLKJAT&amp;VAR:QUERY=RkZfRUJJVERBX0lCKCdBTk4nLDMyOTYzLCwsLCdHQlAnKQ==&amp;WINDOW=FIRST_POPUP&amp;HEIGHT=450&amp;WIDTH=","450&amp;START_MAXIMIZED=FALSE&amp;VAR:CALENDAR=FIVEDAY&amp;VAR:SYMBOL=073833&amp;VAR:INDEX=0"}</definedName>
    <definedName name="_417__FDSAUDITLINK__" localSheetId="8" hidden="1">{"fdsup://Directions/FactSet Auditing Viewer?action=AUDIT_VALUE&amp;DB=129&amp;ID1=594228&amp;VALUEID=01001&amp;SDATE=2008&amp;PERIODTYPE=ANN_STD&amp;window=popup_no_bar&amp;width=385&amp;height=120&amp;START_MAXIMIZED=FALSE&amp;creator=factset&amp;display_string=Audit"}</definedName>
    <definedName name="_417__FDSAUDITLINK__" hidden="1">{"fdsup://Directions/FactSet Auditing Viewer?action=AUDIT_VALUE&amp;DB=129&amp;ID1=594228&amp;VALUEID=01001&amp;SDATE=2008&amp;PERIODTYPE=ANN_STD&amp;window=popup_no_bar&amp;width=385&amp;height=120&amp;START_MAXIMIZED=FALSE&amp;creator=factset&amp;display_string=Audit"}</definedName>
    <definedName name="_417__FDSAUDITLINK___1" localSheetId="8" hidden="1">{"fdsup://Directions/FactSet Auditing Viewer?action=AUDIT_VALUE&amp;DB=129&amp;ID1=594228&amp;VALUEID=01001&amp;SDATE=2008&amp;PERIODTYPE=ANN_STD&amp;window=popup_no_bar&amp;width=385&amp;height=120&amp;START_MAXIMIZED=FALSE&amp;creator=factset&amp;display_string=Audit"}</definedName>
    <definedName name="_417__FDSAUDITLINK___1" hidden="1">{"fdsup://Directions/FactSet Auditing Viewer?action=AUDIT_VALUE&amp;DB=129&amp;ID1=594228&amp;VALUEID=01001&amp;SDATE=2008&amp;PERIODTYPE=ANN_STD&amp;window=popup_no_bar&amp;width=385&amp;height=120&amp;START_MAXIMIZED=FALSE&amp;creator=factset&amp;display_string=Audit"}</definedName>
    <definedName name="_418__FDSAUDITLINK__" localSheetId="8" hidden="1">{"fdsup://Directions/FactSet Auditing Viewer?action=AUDIT_VALUE&amp;DB=129&amp;ID1=011827&amp;VALUEID=01001&amp;SDATE=2008&amp;PERIODTYPE=ANN_STD&amp;window=popup_no_bar&amp;width=385&amp;height=120&amp;START_MAXIMIZED=FALSE&amp;creator=factset&amp;display_string=Audit"}</definedName>
    <definedName name="_418__FDSAUDITLINK__" hidden="1">{"fdsup://Directions/FactSet Auditing Viewer?action=AUDIT_VALUE&amp;DB=129&amp;ID1=011827&amp;VALUEID=01001&amp;SDATE=2008&amp;PERIODTYPE=ANN_STD&amp;window=popup_no_bar&amp;width=385&amp;height=120&amp;START_MAXIMIZED=FALSE&amp;creator=factset&amp;display_string=Audit"}</definedName>
    <definedName name="_418__FDSAUDITLINK___1" localSheetId="8" hidden="1">{"fdsup://Directions/FactSet Auditing Viewer?action=AUDIT_VALUE&amp;DB=129&amp;ID1=011827&amp;VALUEID=01001&amp;SDATE=2008&amp;PERIODTYPE=ANN_STD&amp;window=popup_no_bar&amp;width=385&amp;height=120&amp;START_MAXIMIZED=FALSE&amp;creator=factset&amp;display_string=Audit"}</definedName>
    <definedName name="_418__FDSAUDITLINK___1" hidden="1">{"fdsup://Directions/FactSet Auditing Viewer?action=AUDIT_VALUE&amp;DB=129&amp;ID1=011827&amp;VALUEID=01001&amp;SDATE=2008&amp;PERIODTYPE=ANN_STD&amp;window=popup_no_bar&amp;width=385&amp;height=120&amp;START_MAXIMIZED=FALSE&amp;creator=factset&amp;display_string=Audit"}</definedName>
    <definedName name="_419__FDSAUDITLINK__" localSheetId="8" hidden="1">{"fdsup://Directions/FactSet Auditing Viewer?action=AUDIT_VALUE&amp;DB=129&amp;ID1=011827&amp;VALUEID=01001&amp;SDATE=2007&amp;PERIODTYPE=ANN_STD&amp;window=popup_no_bar&amp;width=385&amp;height=120&amp;START_MAXIMIZED=FALSE&amp;creator=factset&amp;display_string=Audit"}</definedName>
    <definedName name="_419__FDSAUDITLINK__" hidden="1">{"fdsup://Directions/FactSet Auditing Viewer?action=AUDIT_VALUE&amp;DB=129&amp;ID1=011827&amp;VALUEID=01001&amp;SDATE=2007&amp;PERIODTYPE=ANN_STD&amp;window=popup_no_bar&amp;width=385&amp;height=120&amp;START_MAXIMIZED=FALSE&amp;creator=factset&amp;display_string=Audit"}</definedName>
    <definedName name="_419__FDSAUDITLINK___1" localSheetId="8" hidden="1">{"fdsup://Directions/FactSet Auditing Viewer?action=AUDIT_VALUE&amp;DB=129&amp;ID1=011827&amp;VALUEID=01001&amp;SDATE=2007&amp;PERIODTYPE=ANN_STD&amp;window=popup_no_bar&amp;width=385&amp;height=120&amp;START_MAXIMIZED=FALSE&amp;creator=factset&amp;display_string=Audit"}</definedName>
    <definedName name="_419__FDSAUDITLINK___1" hidden="1">{"fdsup://Directions/FactSet Auditing Viewer?action=AUDIT_VALUE&amp;DB=129&amp;ID1=011827&amp;VALUEID=01001&amp;SDATE=2007&amp;PERIODTYPE=ANN_STD&amp;window=popup_no_bar&amp;width=385&amp;height=120&amp;START_MAXIMIZED=FALSE&amp;creator=factset&amp;display_string=Audit"}</definedName>
    <definedName name="_42__123Graph_BCHART_11" hidden="1">#REF!</definedName>
    <definedName name="_42__123Graph_BCHART_4" localSheetId="8" hidden="1">#REF!</definedName>
    <definedName name="_42__123Graph_BCHART_4" hidden="1">#REF!</definedName>
    <definedName name="_42__123Graph_CCHART_23" hidden="1">#REF!</definedName>
    <definedName name="_42__123Graph_EGRAFICO_4" hidden="1">#REF!</definedName>
    <definedName name="_42__FDSAUDITLINK__" localSheetId="8" hidden="1">{"fdsup://Directions/FactSet Auditing Viewer?action=AUDIT_VALUE&amp;DB=129&amp;ID1=591344&amp;VALUEID=04601&amp;SDATE=2008&amp;PERIODTYPE=ANN_STD&amp;window=popup_no_bar&amp;width=385&amp;height=120&amp;START_MAXIMIZED=FALSE&amp;creator=factset&amp;display_string=Audit"}</definedName>
    <definedName name="_42__FDSAUDITLINK__" hidden="1">{"fdsup://directions/FAT Viewer?action=UPDATE&amp;creator=factset&amp;DYN_ARGS=TRUE&amp;DOC_NAME=FAT:FQL_AUDITING_CLIENT_TEMPLATE.FAT&amp;display_string=Audit&amp;VAR:KEY=QDOFWVMZED&amp;VAR:QUERY=RkZfRUJJVERBX09QRVIoQ0FMLDIwMTEp&amp;WINDOW=FIRST_POPUP&amp;HEIGHT=450&amp;WIDTH=450&amp;START_MAXIMI","ZED=FALSE&amp;VAR:CALENDAR=US&amp;VAR:SYMBOL=VMC&amp;VAR:INDEX=0"}</definedName>
    <definedName name="_42__FDSAUDITLINK___1" localSheetId="8" hidden="1">{"fdsup://Directions/FactSet Auditing Viewer?action=AUDIT_VALUE&amp;DB=129&amp;ID1=591344&amp;VALUEID=04601&amp;SDATE=2008&amp;PERIODTYPE=ANN_STD&amp;window=popup_no_bar&amp;width=385&amp;height=120&amp;START_MAXIMIZED=FALSE&amp;creator=factset&amp;display_string=Audit"}</definedName>
    <definedName name="_42__FDSAUDITLINK___1" hidden="1">{"fdsup://Directions/FactSet Auditing Viewer?action=AUDIT_VALUE&amp;DB=129&amp;ID1=591344&amp;VALUEID=04601&amp;SDATE=2008&amp;PERIODTYPE=ANN_STD&amp;window=popup_no_bar&amp;width=385&amp;height=120&amp;START_MAXIMIZED=FALSE&amp;creator=factset&amp;display_string=Audit"}</definedName>
    <definedName name="_420__FDSAUDITLINK__" localSheetId="8" hidden="1">{"fdsup://Directions/FactSet Auditing Viewer?action=AUDIT_VALUE&amp;DB=129&amp;ID1=011827&amp;VALUEID=01001&amp;SDATE=2006&amp;PERIODTYPE=ANN_STD&amp;window=popup_no_bar&amp;width=385&amp;height=120&amp;START_MAXIMIZED=FALSE&amp;creator=factset&amp;display_string=Audit"}</definedName>
    <definedName name="_420__FDSAUDITLINK__" hidden="1">{"fdsup://Directions/FactSet Auditing Viewer?action=AUDIT_VALUE&amp;DB=129&amp;ID1=011827&amp;VALUEID=01001&amp;SDATE=2006&amp;PERIODTYPE=ANN_STD&amp;window=popup_no_bar&amp;width=385&amp;height=120&amp;START_MAXIMIZED=FALSE&amp;creator=factset&amp;display_string=Audit"}</definedName>
    <definedName name="_420__FDSAUDITLINK___1" localSheetId="8" hidden="1">{"fdsup://Directions/FactSet Auditing Viewer?action=AUDIT_VALUE&amp;DB=129&amp;ID1=011827&amp;VALUEID=01001&amp;SDATE=2006&amp;PERIODTYPE=ANN_STD&amp;window=popup_no_bar&amp;width=385&amp;height=120&amp;START_MAXIMIZED=FALSE&amp;creator=factset&amp;display_string=Audit"}</definedName>
    <definedName name="_420__FDSAUDITLINK___1" hidden="1">{"fdsup://Directions/FactSet Auditing Viewer?action=AUDIT_VALUE&amp;DB=129&amp;ID1=011827&amp;VALUEID=01001&amp;SDATE=2006&amp;PERIODTYPE=ANN_STD&amp;window=popup_no_bar&amp;width=385&amp;height=120&amp;START_MAXIMIZED=FALSE&amp;creator=factset&amp;display_string=Audit"}</definedName>
    <definedName name="_421__FDSAUDITLINK__" localSheetId="8" hidden="1">{"fdsup://Directions/FactSet Auditing Viewer?action=AUDIT_VALUE&amp;DB=129&amp;ID1=011827&amp;VALUEID=01001&amp;SDATE=2005&amp;PERIODTYPE=ANN_STD&amp;window=popup_no_bar&amp;width=385&amp;height=120&amp;START_MAXIMIZED=FALSE&amp;creator=factset&amp;display_string=Audit"}</definedName>
    <definedName name="_421__FDSAUDITLINK__" hidden="1">{"fdsup://Directions/FactSet Auditing Viewer?action=AUDIT_VALUE&amp;DB=129&amp;ID1=011827&amp;VALUEID=01001&amp;SDATE=2005&amp;PERIODTYPE=ANN_STD&amp;window=popup_no_bar&amp;width=385&amp;height=120&amp;START_MAXIMIZED=FALSE&amp;creator=factset&amp;display_string=Audit"}</definedName>
    <definedName name="_421__FDSAUDITLINK___1" localSheetId="8" hidden="1">{"fdsup://Directions/FactSet Auditing Viewer?action=AUDIT_VALUE&amp;DB=129&amp;ID1=011827&amp;VALUEID=01001&amp;SDATE=2005&amp;PERIODTYPE=ANN_STD&amp;window=popup_no_bar&amp;width=385&amp;height=120&amp;START_MAXIMIZED=FALSE&amp;creator=factset&amp;display_string=Audit"}</definedName>
    <definedName name="_421__FDSAUDITLINK___1" hidden="1">{"fdsup://Directions/FactSet Auditing Viewer?action=AUDIT_VALUE&amp;DB=129&amp;ID1=011827&amp;VALUEID=01001&amp;SDATE=2005&amp;PERIODTYPE=ANN_STD&amp;window=popup_no_bar&amp;width=385&amp;height=120&amp;START_MAXIMIZED=FALSE&amp;creator=factset&amp;display_string=Audit"}</definedName>
    <definedName name="_422__FDSAUDITLINK__" localSheetId="8" hidden="1">{"fdsup://Directions/FactSet Auditing Viewer?action=AUDIT_VALUE&amp;DB=129&amp;ID1=092210&amp;VALUEID=01001&amp;SDATE=2008&amp;PERIODTYPE=ANN_STD&amp;window=popup_no_bar&amp;width=385&amp;height=120&amp;START_MAXIMIZED=FALSE&amp;creator=factset&amp;display_string=Audit"}</definedName>
    <definedName name="_422__FDSAUDITLINK__" hidden="1">{"fdsup://directions/FAT Viewer?action=UPDATE&amp;creator=factset&amp;DYN_ARGS=TRUE&amp;DOC_NAME=FAT:FQL_AUDITING_CLIENT_TEMPLATE.FAT&amp;display_string=Audit&amp;VAR:KEY=UTUPYREXOL&amp;VAR:QUERY=RkZfRUJJVERBX09QRVIoTFRNLDQxMDkyKQ==&amp;WINDOW=FIRST_POPUP&amp;HEIGHT=450&amp;WIDTH=450&amp;START_MA","XIMIZED=FALSE&amp;VAR:CALENDAR=US&amp;VAR:SYMBOL=VMC&amp;VAR:INDEX=0"}</definedName>
    <definedName name="_422__FDSAUDITLINK___1" localSheetId="8" hidden="1">{"fdsup://Directions/FactSet Auditing Viewer?action=AUDIT_VALUE&amp;DB=129&amp;ID1=092210&amp;VALUEID=01001&amp;SDATE=2008&amp;PERIODTYPE=ANN_STD&amp;window=popup_no_bar&amp;width=385&amp;height=120&amp;START_MAXIMIZED=FALSE&amp;creator=factset&amp;display_string=Audit"}</definedName>
    <definedName name="_422__FDSAUDITLINK___1" hidden="1">{"fdsup://Directions/FactSet Auditing Viewer?action=AUDIT_VALUE&amp;DB=129&amp;ID1=092210&amp;VALUEID=01001&amp;SDATE=2008&amp;PERIODTYPE=ANN_STD&amp;window=popup_no_bar&amp;width=385&amp;height=120&amp;START_MAXIMIZED=FALSE&amp;creator=factset&amp;display_string=Audit"}</definedName>
    <definedName name="_423__FDSAUDITLINK__" localSheetId="8" hidden="1">{"fdsup://Directions/FactSet Auditing Viewer?action=AUDIT_VALUE&amp;DB=129&amp;ID1=454047&amp;VALUEID=01001&amp;SDATE=2008&amp;PERIODTYPE=ANN_STD&amp;window=popup_no_bar&amp;width=385&amp;height=120&amp;START_MAXIMIZED=FALSE&amp;creator=factset&amp;display_string=Audit"}</definedName>
    <definedName name="_423__FDSAUDITLINK__" hidden="1">{"fdsup://directions/FAT Viewer?action=UPDATE&amp;creator=factset&amp;DYN_ARGS=TRUE&amp;DOC_NAME=FAT:FQL_AUDITING_CLIENT_TEMPLATE.FAT&amp;display_string=Audit&amp;VAR:KEY=TSRYRCRAPE&amp;VAR:QUERY=RkZfRUJJVERBX09QRVIoQ0FMLDIwMTEpICogMQ==&amp;WINDOW=FIRST_POPUP&amp;HEIGHT=450&amp;WIDTH=450&amp;STAR","T_MAXIMIZED=FALSE&amp;VAR:CALENDAR=US&amp;VAR:SYMBOL=VMC&amp;VAR:INDEX=0"}</definedName>
    <definedName name="_423__FDSAUDITLINK___1" localSheetId="8" hidden="1">{"fdsup://Directions/FactSet Auditing Viewer?action=AUDIT_VALUE&amp;DB=129&amp;ID1=454047&amp;VALUEID=01001&amp;SDATE=2008&amp;PERIODTYPE=ANN_STD&amp;window=popup_no_bar&amp;width=385&amp;height=120&amp;START_MAXIMIZED=FALSE&amp;creator=factset&amp;display_string=Audit"}</definedName>
    <definedName name="_423__FDSAUDITLINK___1" hidden="1">{"fdsup://Directions/FactSet Auditing Viewer?action=AUDIT_VALUE&amp;DB=129&amp;ID1=454047&amp;VALUEID=01001&amp;SDATE=2008&amp;PERIODTYPE=ANN_STD&amp;window=popup_no_bar&amp;width=385&amp;height=120&amp;START_MAXIMIZED=FALSE&amp;creator=factset&amp;display_string=Audit"}</definedName>
    <definedName name="_424__FDSAUDITLINK__" localSheetId="8" hidden="1">{"fdsup://Directions/FactSet Auditing Viewer?action=AUDIT_VALUE&amp;DB=129&amp;ID1=080216&amp;VALUEID=01001&amp;SDATE=2009&amp;PERIODTYPE=ANN_STD&amp;window=popup_no_bar&amp;width=385&amp;height=120&amp;START_MAXIMIZED=FALSE&amp;creator=factset&amp;display_string=Audit"}</definedName>
    <definedName name="_424__FDSAUDITLINK__" hidden="1">{"fdsup://directions/FAT Viewer?action=UPDATE&amp;creator=factset&amp;DYN_ARGS=TRUE&amp;DOC_NAME=FAT:FQL_AUDITING_CLIENT_TEMPLATE.FAT&amp;display_string=Audit&amp;VAR:KEY=NCVCDGNWBC&amp;VAR:QUERY=RkZfRUJJVF9PUEVSKENBTCwyMDEwKSAqIDE=&amp;WINDOW=FIRST_POPUP&amp;HEIGHT=450&amp;WIDTH=450&amp;START_MA","XIMIZED=FALSE&amp;VAR:CALENDAR=US&amp;VAR:SYMBOL=VMC&amp;VAR:INDEX=0"}</definedName>
    <definedName name="_424__FDSAUDITLINK___1" localSheetId="8" hidden="1">{"fdsup://Directions/FactSet Auditing Viewer?action=AUDIT_VALUE&amp;DB=129&amp;ID1=080216&amp;VALUEID=01001&amp;SDATE=2009&amp;PERIODTYPE=ANN_STD&amp;window=popup_no_bar&amp;width=385&amp;height=120&amp;START_MAXIMIZED=FALSE&amp;creator=factset&amp;display_string=Audit"}</definedName>
    <definedName name="_424__FDSAUDITLINK___1" hidden="1">{"fdsup://Directions/FactSet Auditing Viewer?action=AUDIT_VALUE&amp;DB=129&amp;ID1=080216&amp;VALUEID=01001&amp;SDATE=2009&amp;PERIODTYPE=ANN_STD&amp;window=popup_no_bar&amp;width=385&amp;height=120&amp;START_MAXIMIZED=FALSE&amp;creator=factset&amp;display_string=Audit"}</definedName>
    <definedName name="_425__FDSAUDITLINK__" localSheetId="8" hidden="1">{"fdsup://Directions/FactSet Auditing Viewer?action=AUDIT_VALUE&amp;DB=129&amp;ID1=080216&amp;VALUEID=01001&amp;SDATE=2008&amp;PERIODTYPE=ANN_STD&amp;window=popup_no_bar&amp;width=385&amp;height=120&amp;START_MAXIMIZED=FALSE&amp;creator=factset&amp;display_string=Audit"}</definedName>
    <definedName name="_425__FDSAUDITLINK__" hidden="1">{"fdsup://directions/FAT Viewer?action=UPDATE&amp;creator=factset&amp;DYN_ARGS=TRUE&amp;DOC_NAME=FAT:FQL_AUDITING_CLIENT_TEMPLATE.FAT&amp;display_string=Audit&amp;VAR:KEY=PINALUXSNS&amp;VAR:QUERY=RkZfRVBTKENBTCwyMDA5KSAqIDE=&amp;WINDOW=FIRST_POPUP&amp;HEIGHT=450&amp;WIDTH=450&amp;START_MAXIMIZED=","FALSE&amp;VAR:CALENDAR=US&amp;VAR:SYMBOL=VMC&amp;VAR:INDEX=0"}</definedName>
    <definedName name="_425__FDSAUDITLINK___1" localSheetId="8" hidden="1">{"fdsup://Directions/FactSet Auditing Viewer?action=AUDIT_VALUE&amp;DB=129&amp;ID1=080216&amp;VALUEID=01001&amp;SDATE=2008&amp;PERIODTYPE=ANN_STD&amp;window=popup_no_bar&amp;width=385&amp;height=120&amp;START_MAXIMIZED=FALSE&amp;creator=factset&amp;display_string=Audit"}</definedName>
    <definedName name="_425__FDSAUDITLINK___1" hidden="1">{"fdsup://Directions/FactSet Auditing Viewer?action=AUDIT_VALUE&amp;DB=129&amp;ID1=080216&amp;VALUEID=01001&amp;SDATE=2008&amp;PERIODTYPE=ANN_STD&amp;window=popup_no_bar&amp;width=385&amp;height=120&amp;START_MAXIMIZED=FALSE&amp;creator=factset&amp;display_string=Audit"}</definedName>
    <definedName name="_426__FDSAUDITLINK__" localSheetId="8" hidden="1">{"fdsup://Directions/FactSet Auditing Viewer?action=AUDIT_VALUE&amp;DB=129&amp;ID1=075902&amp;VALUEID=01001&amp;SDATE=2008&amp;PERIODTYPE=ANN_STD&amp;window=popup_no_bar&amp;width=385&amp;height=120&amp;START_MAXIMIZED=FALSE&amp;creator=factset&amp;display_string=Audit"}</definedName>
    <definedName name="_426__FDSAUDITLINK__" hidden="1">{"fdsup://directions/FAT Viewer?action=UPDATE&amp;creator=factset&amp;DYN_ARGS=TRUE&amp;DOC_NAME=FAT:FQL_AUDITING_CLIENT_TEMPLATE.FAT&amp;display_string=Audit&amp;VAR:KEY=KHIFOPAZCD&amp;VAR:QUERY=RkZfRUJJVF9PUEVSKExUTSw0MTA5Mik=&amp;WINDOW=FIRST_POPUP&amp;HEIGHT=450&amp;WIDTH=450&amp;START_MAXIMI","ZED=FALSE&amp;VAR:CALENDAR=US&amp;VAR:SYMBOL=VMC&amp;VAR:INDEX=0"}</definedName>
    <definedName name="_426__FDSAUDITLINK___1" localSheetId="8" hidden="1">{"fdsup://Directions/FactSet Auditing Viewer?action=AUDIT_VALUE&amp;DB=129&amp;ID1=075902&amp;VALUEID=01001&amp;SDATE=2008&amp;PERIODTYPE=ANN_STD&amp;window=popup_no_bar&amp;width=385&amp;height=120&amp;START_MAXIMIZED=FALSE&amp;creator=factset&amp;display_string=Audit"}</definedName>
    <definedName name="_426__FDSAUDITLINK___1" hidden="1">{"fdsup://Directions/FactSet Auditing Viewer?action=AUDIT_VALUE&amp;DB=129&amp;ID1=075902&amp;VALUEID=01001&amp;SDATE=2008&amp;PERIODTYPE=ANN_STD&amp;window=popup_no_bar&amp;width=385&amp;height=120&amp;START_MAXIMIZED=FALSE&amp;creator=factset&amp;display_string=Audit"}</definedName>
    <definedName name="_427__FDSAUDITLINK__" localSheetId="8" hidden="1">{"fdsup://Directions/FactSet Auditing Viewer?action=AUDIT_VALUE&amp;DB=129&amp;ID1=075902&amp;VALUEID=01001&amp;SDATE=2007&amp;PERIODTYPE=ANN_STD&amp;window=popup_no_bar&amp;width=385&amp;height=120&amp;START_MAXIMIZED=FALSE&amp;creator=factset&amp;display_string=Audit"}</definedName>
    <definedName name="_427__FDSAUDITLINK__" hidden="1">{"fdsup://directions/FAT Viewer?action=UPDATE&amp;creator=factset&amp;DYN_ARGS=TRUE&amp;DOC_NAME=FAT:FQL_AUDITING_CLIENT_TEMPLATE.FAT&amp;display_string=Audit&amp;VAR:KEY=PATMHAHKBI&amp;VAR:QUERY=RkZfU0FMRVMoQ0FMLDIwMDkpICogMQ==&amp;WINDOW=FIRST_POPUP&amp;HEIGHT=450&amp;WIDTH=450&amp;START_MAXIMI","ZED=FALSE&amp;VAR:CALENDAR=US&amp;VAR:SYMBOL=VMC&amp;VAR:INDEX=0"}</definedName>
    <definedName name="_427__FDSAUDITLINK___1" localSheetId="8" hidden="1">{"fdsup://Directions/FactSet Auditing Viewer?action=AUDIT_VALUE&amp;DB=129&amp;ID1=075902&amp;VALUEID=01001&amp;SDATE=2007&amp;PERIODTYPE=ANN_STD&amp;window=popup_no_bar&amp;width=385&amp;height=120&amp;START_MAXIMIZED=FALSE&amp;creator=factset&amp;display_string=Audit"}</definedName>
    <definedName name="_427__FDSAUDITLINK___1" hidden="1">{"fdsup://Directions/FactSet Auditing Viewer?action=AUDIT_VALUE&amp;DB=129&amp;ID1=075902&amp;VALUEID=01001&amp;SDATE=2007&amp;PERIODTYPE=ANN_STD&amp;window=popup_no_bar&amp;width=385&amp;height=120&amp;START_MAXIMIZED=FALSE&amp;creator=factset&amp;display_string=Audit"}</definedName>
    <definedName name="_428__FDSAUDITLINK__" localSheetId="8" hidden="1">{"fdsup://Directions/FactSet Auditing Viewer?action=AUDIT_VALUE&amp;DB=129&amp;ID1=063002&amp;VALUEID=01001&amp;SDATE=2008&amp;PERIODTYPE=ANN_STD&amp;window=popup_no_bar&amp;width=385&amp;height=120&amp;START_MAXIMIZED=FALSE&amp;creator=factset&amp;display_string=Audit"}</definedName>
    <definedName name="_428__FDSAUDITLINK__" hidden="1">{"fdsup://directions/FAT Viewer?action=UPDATE&amp;creator=factset&amp;DYN_ARGS=TRUE&amp;DOC_NAME=FAT:FQL_AUDITING_CLIENT_TEMPLATE.FAT&amp;display_string=Audit&amp;VAR:KEY=DYBQZIZMZU&amp;VAR:QUERY=RkZfRUJJVF9PUEVSKENBTCwyMDExKSAqIDE=&amp;WINDOW=FIRST_POPUP&amp;HEIGHT=450&amp;WIDTH=450&amp;START_MA","XIMIZED=FALSE&amp;VAR:CALENDAR=US&amp;VAR:SYMBOL=VMC&amp;VAR:INDEX=0"}</definedName>
    <definedName name="_428__FDSAUDITLINK___1" localSheetId="8" hidden="1">{"fdsup://Directions/FactSet Auditing Viewer?action=AUDIT_VALUE&amp;DB=129&amp;ID1=063002&amp;VALUEID=01001&amp;SDATE=2008&amp;PERIODTYPE=ANN_STD&amp;window=popup_no_bar&amp;width=385&amp;height=120&amp;START_MAXIMIZED=FALSE&amp;creator=factset&amp;display_string=Audit"}</definedName>
    <definedName name="_428__FDSAUDITLINK___1" hidden="1">{"fdsup://Directions/FactSet Auditing Viewer?action=AUDIT_VALUE&amp;DB=129&amp;ID1=063002&amp;VALUEID=01001&amp;SDATE=2008&amp;PERIODTYPE=ANN_STD&amp;window=popup_no_bar&amp;width=385&amp;height=120&amp;START_MAXIMIZED=FALSE&amp;creator=factset&amp;display_string=Audit"}</definedName>
    <definedName name="_429__FDSAUDITLINK__" localSheetId="8" hidden="1">{"fdsup://Directions/FactSet Auditing Viewer?action=AUDIT_VALUE&amp;DB=129&amp;ID1=063002&amp;VALUEID=01001&amp;SDATE=2007&amp;PERIODTYPE=ANN_STD&amp;window=popup_no_bar&amp;width=385&amp;height=120&amp;START_MAXIMIZED=FALSE&amp;creator=factset&amp;display_string=Audit"}</definedName>
    <definedName name="_429__FDSAUDITLINK__" hidden="1">{"fdsup://directions/FAT Viewer?action=UPDATE&amp;creator=factset&amp;DYN_ARGS=TRUE&amp;DOC_NAME=FAT:FQL_AUDITING_CLIENT_TEMPLATE.FAT&amp;display_string=Audit&amp;VAR:KEY=JORKVYPOTY&amp;VAR:QUERY=RkZfRVBTKENBTCwyMDEwKSAqIDE=&amp;WINDOW=FIRST_POPUP&amp;HEIGHT=450&amp;WIDTH=450&amp;START_MAXIMIZED=","FALSE&amp;VAR:CALENDAR=US&amp;VAR:SYMBOL=VMC&amp;VAR:INDEX=0"}</definedName>
    <definedName name="_429__FDSAUDITLINK___1" localSheetId="8" hidden="1">{"fdsup://Directions/FactSet Auditing Viewer?action=AUDIT_VALUE&amp;DB=129&amp;ID1=063002&amp;VALUEID=01001&amp;SDATE=2007&amp;PERIODTYPE=ANN_STD&amp;window=popup_no_bar&amp;width=385&amp;height=120&amp;START_MAXIMIZED=FALSE&amp;creator=factset&amp;display_string=Audit"}</definedName>
    <definedName name="_429__FDSAUDITLINK___1" hidden="1">{"fdsup://Directions/FactSet Auditing Viewer?action=AUDIT_VALUE&amp;DB=129&amp;ID1=063002&amp;VALUEID=01001&amp;SDATE=2007&amp;PERIODTYPE=ANN_STD&amp;window=popup_no_bar&amp;width=385&amp;height=120&amp;START_MAXIMIZED=FALSE&amp;creator=factset&amp;display_string=Audit"}</definedName>
    <definedName name="_42wrn.²Ä1­Ó¤ë1_Ü20¤H." localSheetId="7" hidden="1">{#N/A,#N/A,FALSE,"²Ä1­Ó¤ë"}</definedName>
    <definedName name="_42wrn.²Ä1­Ó¤ë1_Ü20¤H." localSheetId="8" hidden="1">{#N/A,#N/A,FALSE,"²Ä1­Ó¤ë"}</definedName>
    <definedName name="_42wrn.²Ä1­Ó¤ë1_Ü20¤H." hidden="1">{#N/A,#N/A,FALSE,"²Ä1­Ó¤ë"}</definedName>
    <definedName name="_43__123Graph_BCHART_12" hidden="1">#REF!</definedName>
    <definedName name="_43__123Graph_BCHART_14" hidden="1">#REF!</definedName>
    <definedName name="_43__123Graph_BCHART_5" localSheetId="8" hidden="1">#REF!</definedName>
    <definedName name="_43__123Graph_BCHART_5" hidden="1">#REF!</definedName>
    <definedName name="_43__123Graph_CCHART_3" hidden="1">#REF!</definedName>
    <definedName name="_43__123Graph_FGRAFICO_1" localSheetId="8" hidden="1">#REF!</definedName>
    <definedName name="_43__123Graph_FGRAFICO_1" hidden="1">#REF!</definedName>
    <definedName name="_43__FDSAUDITLINK__" localSheetId="8" hidden="1">{"fdsup://Directions/FactSet Auditing Viewer?action=AUDIT_VALUE&amp;DB=129&amp;ID1=591344&amp;VALUEID=04601&amp;SDATE=2007&amp;PERIODTYPE=ANN_STD&amp;window=popup_no_bar&amp;width=385&amp;height=120&amp;START_MAXIMIZED=FALSE&amp;creator=factset&amp;display_string=Audit"}</definedName>
    <definedName name="_43__FDSAUDITLINK__" hidden="1">{"fdsup://directions/FAT Viewer?action=UPDATE&amp;creator=factset&amp;DYN_ARGS=TRUE&amp;DOC_NAME=FAT:FQL_AUDITING_CLIENT_TEMPLATE.FAT&amp;display_string=Audit&amp;VAR:KEY=QZCNOBSXIX&amp;VAR:QUERY=RkZfRUJJVERBX09QRVIoQ0FMLDIwMTEp&amp;WINDOW=FIRST_POPUP&amp;HEIGHT=450&amp;WIDTH=450&amp;START_MAXIMI","ZED=FALSE&amp;VAR:CALENDAR=US&amp;VAR:SYMBOL=MCEM&amp;VAR:INDEX=0"}</definedName>
    <definedName name="_43__FDSAUDITLINK___1" localSheetId="8" hidden="1">{"fdsup://Directions/FactSet Auditing Viewer?action=AUDIT_VALUE&amp;DB=129&amp;ID1=591344&amp;VALUEID=04601&amp;SDATE=2007&amp;PERIODTYPE=ANN_STD&amp;window=popup_no_bar&amp;width=385&amp;height=120&amp;START_MAXIMIZED=FALSE&amp;creator=factset&amp;display_string=Audit"}</definedName>
    <definedName name="_43__FDSAUDITLINK___1" hidden="1">{"fdsup://Directions/FactSet Auditing Viewer?action=AUDIT_VALUE&amp;DB=129&amp;ID1=591344&amp;VALUEID=04601&amp;SDATE=2007&amp;PERIODTYPE=ANN_STD&amp;window=popup_no_bar&amp;width=385&amp;height=120&amp;START_MAXIMIZED=FALSE&amp;creator=factset&amp;display_string=Audit"}</definedName>
    <definedName name="_430__FDSAUDITLINK__" localSheetId="8" hidden="1">{"fdsup://Directions/FactSet Auditing Viewer?action=AUDIT_VALUE&amp;DB=129&amp;ID1=063002&amp;VALUEID=01001&amp;SDATE=2006&amp;PERIODTYPE=ANN_STD&amp;window=popup_no_bar&amp;width=385&amp;height=120&amp;START_MAXIMIZED=FALSE&amp;creator=factset&amp;display_string=Audit"}</definedName>
    <definedName name="_430__FDSAUDITLINK__" hidden="1">{"fdsup://directions/FAT Viewer?action=UPDATE&amp;creator=factset&amp;DYN_ARGS=TRUE&amp;DOC_NAME=FAT:FQL_AUDITING_CLIENT_TEMPLATE.FAT&amp;display_string=Audit&amp;VAR:KEY=ZELWLMZCBY&amp;VAR:QUERY=RkZfTkVUX0lOQyhDQUwsMjAwOSkgKiAx&amp;WINDOW=FIRST_POPUP&amp;HEIGHT=450&amp;WIDTH=450&amp;START_MAXIMI","ZED=FALSE&amp;VAR:CALENDAR=US&amp;VAR:SYMBOL=VMC&amp;VAR:INDEX=0"}</definedName>
    <definedName name="_430__FDSAUDITLINK___1" localSheetId="8" hidden="1">{"fdsup://Directions/FactSet Auditing Viewer?action=AUDIT_VALUE&amp;DB=129&amp;ID1=063002&amp;VALUEID=01001&amp;SDATE=2006&amp;PERIODTYPE=ANN_STD&amp;window=popup_no_bar&amp;width=385&amp;height=120&amp;START_MAXIMIZED=FALSE&amp;creator=factset&amp;display_string=Audit"}</definedName>
    <definedName name="_430__FDSAUDITLINK___1" hidden="1">{"fdsup://Directions/FactSet Auditing Viewer?action=AUDIT_VALUE&amp;DB=129&amp;ID1=063002&amp;VALUEID=01001&amp;SDATE=2006&amp;PERIODTYPE=ANN_STD&amp;window=popup_no_bar&amp;width=385&amp;height=120&amp;START_MAXIMIZED=FALSE&amp;creator=factset&amp;display_string=Audit"}</definedName>
    <definedName name="_431__FDSAUDITLINK__" localSheetId="8" hidden="1">{"fdsup://Directions/FactSet Auditing Viewer?action=AUDIT_VALUE&amp;DB=129&amp;ID1=B2425G&amp;VALUEID=01001&amp;SDATE=2009&amp;PERIODTYPE=ANN_STD&amp;window=popup_no_bar&amp;width=385&amp;height=120&amp;START_MAXIMIZED=FALSE&amp;creator=factset&amp;display_string=Audit"}</definedName>
    <definedName name="_431__FDSAUDITLINK__" hidden="1">{"fdsup://directions/FAT Viewer?action=UPDATE&amp;creator=factset&amp;DYN_ARGS=TRUE&amp;DOC_NAME=FAT:FQL_AUDITING_CLIENT_TEMPLATE.FAT&amp;display_string=Audit&amp;VAR:KEY=CNYPAXCTUD&amp;VAR:QUERY=RkZfTkVUX0lOQyhMVE0sNDEwOTIp&amp;WINDOW=FIRST_POPUP&amp;HEIGHT=450&amp;WIDTH=450&amp;START_MAXIMIZED=","FALSE&amp;VAR:CALENDAR=US&amp;VAR:SYMBOL=VMC&amp;VAR:INDEX=0"}</definedName>
    <definedName name="_431__FDSAUDITLINK___1" localSheetId="8" hidden="1">{"fdsup://Directions/FactSet Auditing Viewer?action=AUDIT_VALUE&amp;DB=129&amp;ID1=B2425G&amp;VALUEID=01001&amp;SDATE=2009&amp;PERIODTYPE=ANN_STD&amp;window=popup_no_bar&amp;width=385&amp;height=120&amp;START_MAXIMIZED=FALSE&amp;creator=factset&amp;display_string=Audit"}</definedName>
    <definedName name="_431__FDSAUDITLINK___1" hidden="1">{"fdsup://Directions/FactSet Auditing Viewer?action=AUDIT_VALUE&amp;DB=129&amp;ID1=B2425G&amp;VALUEID=01001&amp;SDATE=2009&amp;PERIODTYPE=ANN_STD&amp;window=popup_no_bar&amp;width=385&amp;height=120&amp;START_MAXIMIZED=FALSE&amp;creator=factset&amp;display_string=Audit"}</definedName>
    <definedName name="_432__FDSAUDITLINK__" localSheetId="8" hidden="1">{"fdsup://Directions/FactSet Auditing Viewer?action=AUDIT_VALUE&amp;DB=129&amp;ID1=073833&amp;VALUEID=01001&amp;SDATE=2008&amp;PERIODTYPE=ANN_STD&amp;window=popup_no_bar&amp;width=385&amp;height=120&amp;START_MAXIMIZED=FALSE&amp;creator=factset&amp;display_string=Audit"}</definedName>
    <definedName name="_432__FDSAUDITLINK__" hidden="1">{"fdsup://directions/FAT Viewer?action=UPDATE&amp;creator=factset&amp;DYN_ARGS=TRUE&amp;DOC_NAME=FAT:FQL_AUDITING_CLIENT_TEMPLATE.FAT&amp;display_string=Audit&amp;VAR:KEY=FAXIPYVCPA&amp;VAR:QUERY=RkZfU0FMRVMoQ0FMLDIwMTApICogMQ==&amp;WINDOW=FIRST_POPUP&amp;HEIGHT=450&amp;WIDTH=450&amp;START_MAXIMI","ZED=FALSE&amp;VAR:CALENDAR=US&amp;VAR:SYMBOL=VMC&amp;VAR:INDEX=0"}</definedName>
    <definedName name="_432__FDSAUDITLINK___1" localSheetId="8" hidden="1">{"fdsup://Directions/FactSet Auditing Viewer?action=AUDIT_VALUE&amp;DB=129&amp;ID1=073833&amp;VALUEID=01001&amp;SDATE=2008&amp;PERIODTYPE=ANN_STD&amp;window=popup_no_bar&amp;width=385&amp;height=120&amp;START_MAXIMIZED=FALSE&amp;creator=factset&amp;display_string=Audit"}</definedName>
    <definedName name="_432__FDSAUDITLINK___1" hidden="1">{"fdsup://Directions/FactSet Auditing Viewer?action=AUDIT_VALUE&amp;DB=129&amp;ID1=073833&amp;VALUEID=01001&amp;SDATE=2008&amp;PERIODTYPE=ANN_STD&amp;window=popup_no_bar&amp;width=385&amp;height=120&amp;START_MAXIMIZED=FALSE&amp;creator=factset&amp;display_string=Audit"}</definedName>
    <definedName name="_433__FDSAUDITLINK__" localSheetId="8" hidden="1">{"fdsup://Directions/FactSet Auditing Viewer?action=AUDIT_VALUE&amp;DB=129&amp;ID1=073833&amp;VALUEID=01001&amp;SDATE=2007&amp;PERIODTYPE=ANN_STD&amp;window=popup_no_bar&amp;width=385&amp;height=120&amp;START_MAXIMIZED=FALSE&amp;creator=factset&amp;display_string=Audit"}</definedName>
    <definedName name="_433__FDSAUDITLINK__" hidden="1">{"fdsup://directions/FAT Viewer?action=UPDATE&amp;creator=factset&amp;DYN_ARGS=TRUE&amp;DOC_NAME=FAT:FQL_AUDITING_CLIENT_TEMPLATE.FAT&amp;display_string=Audit&amp;VAR:KEY=HMNWNCVGNG&amp;VAR:QUERY=RkZfRUJJVERBX09QRVIoQ0FMLDIwMDkpICogMQ==&amp;WINDOW=FIRST_POPUP&amp;HEIGHT=450&amp;WIDTH=450&amp;STAR","T_MAXIMIZED=FALSE&amp;VAR:CALENDAR=US&amp;VAR:SYMBOL=VMC&amp;VAR:INDEX=0"}</definedName>
    <definedName name="_433__FDSAUDITLINK___1" localSheetId="8" hidden="1">{"fdsup://Directions/FactSet Auditing Viewer?action=AUDIT_VALUE&amp;DB=129&amp;ID1=073833&amp;VALUEID=01001&amp;SDATE=2007&amp;PERIODTYPE=ANN_STD&amp;window=popup_no_bar&amp;width=385&amp;height=120&amp;START_MAXIMIZED=FALSE&amp;creator=factset&amp;display_string=Audit"}</definedName>
    <definedName name="_433__FDSAUDITLINK___1" hidden="1">{"fdsup://Directions/FactSet Auditing Viewer?action=AUDIT_VALUE&amp;DB=129&amp;ID1=073833&amp;VALUEID=01001&amp;SDATE=2007&amp;PERIODTYPE=ANN_STD&amp;window=popup_no_bar&amp;width=385&amp;height=120&amp;START_MAXIMIZED=FALSE&amp;creator=factset&amp;display_string=Audit"}</definedName>
    <definedName name="_434__FDSAUDITLINK__" localSheetId="8" hidden="1">{"fdsup://Directions/FactSet Auditing Viewer?action=AUDIT_VALUE&amp;DB=129&amp;ID1=594228&amp;VALUEID=04601&amp;SDATE=2008&amp;PERIODTYPE=ANN_STD&amp;window=popup_no_bar&amp;width=385&amp;height=120&amp;START_MAXIMIZED=FALSE&amp;creator=factset&amp;display_string=Audit"}</definedName>
    <definedName name="_434__FDSAUDITLINK__" hidden="1">{"fdsup://directions/FAT Viewer?action=UPDATE&amp;creator=factset&amp;DYN_ARGS=TRUE&amp;DOC_NAME=FAT:FQL_AUDITING_CLIENT_TEMPLATE.FAT&amp;display_string=Audit&amp;VAR:KEY=BGZETKTWLU&amp;VAR:QUERY=RkZfRVBTKENBTCwyMDExKSAqIDE=&amp;WINDOW=FIRST_POPUP&amp;HEIGHT=450&amp;WIDTH=450&amp;START_MAXIMIZED=","FALSE&amp;VAR:CALENDAR=US&amp;VAR:SYMBOL=VMC&amp;VAR:INDEX=0"}</definedName>
    <definedName name="_434__FDSAUDITLINK___1" localSheetId="8" hidden="1">{"fdsup://Directions/FactSet Auditing Viewer?action=AUDIT_VALUE&amp;DB=129&amp;ID1=594228&amp;VALUEID=04601&amp;SDATE=2008&amp;PERIODTYPE=ANN_STD&amp;window=popup_no_bar&amp;width=385&amp;height=120&amp;START_MAXIMIZED=FALSE&amp;creator=factset&amp;display_string=Audit"}</definedName>
    <definedName name="_434__FDSAUDITLINK___1" hidden="1">{"fdsup://Directions/FactSet Auditing Viewer?action=AUDIT_VALUE&amp;DB=129&amp;ID1=594228&amp;VALUEID=04601&amp;SDATE=2008&amp;PERIODTYPE=ANN_STD&amp;window=popup_no_bar&amp;width=385&amp;height=120&amp;START_MAXIMIZED=FALSE&amp;creator=factset&amp;display_string=Audit"}</definedName>
    <definedName name="_435__FDSAUDITLINK__" localSheetId="8" hidden="1">{"fdsup://Directions/FactSet Auditing Viewer?action=AUDIT_VALUE&amp;DB=129&amp;ID1=011827&amp;VALUEID=04601&amp;SDATE=2008&amp;PERIODTYPE=ANN_STD&amp;window=popup_no_bar&amp;width=385&amp;height=120&amp;START_MAXIMIZED=FALSE&amp;creator=factset&amp;display_string=Audit"}</definedName>
    <definedName name="_435__FDSAUDITLINK__" hidden="1">{"fdsup://directions/FAT Viewer?action=UPDATE&amp;creator=factset&amp;DYN_ARGS=TRUE&amp;DOC_NAME=FAT:FQL_AUDITING_CLIENT_TEMPLATE.FAT&amp;display_string=Audit&amp;VAR:KEY=JAVSHIPKJE&amp;VAR:QUERY=RkZfTkVUX0lOQyhDQUwsMjAxMCkgKiAx&amp;WINDOW=FIRST_POPUP&amp;HEIGHT=450&amp;WIDTH=450&amp;START_MAXIMI","ZED=FALSE&amp;VAR:CALENDAR=US&amp;VAR:SYMBOL=VMC&amp;VAR:INDEX=0"}</definedName>
    <definedName name="_435__FDSAUDITLINK___1" localSheetId="8" hidden="1">{"fdsup://Directions/FactSet Auditing Viewer?action=AUDIT_VALUE&amp;DB=129&amp;ID1=011827&amp;VALUEID=04601&amp;SDATE=2008&amp;PERIODTYPE=ANN_STD&amp;window=popup_no_bar&amp;width=385&amp;height=120&amp;START_MAXIMIZED=FALSE&amp;creator=factset&amp;display_string=Audit"}</definedName>
    <definedName name="_435__FDSAUDITLINK___1" hidden="1">{"fdsup://Directions/FactSet Auditing Viewer?action=AUDIT_VALUE&amp;DB=129&amp;ID1=011827&amp;VALUEID=04601&amp;SDATE=2008&amp;PERIODTYPE=ANN_STD&amp;window=popup_no_bar&amp;width=385&amp;height=120&amp;START_MAXIMIZED=FALSE&amp;creator=factset&amp;display_string=Audit"}</definedName>
    <definedName name="_436__FDSAUDITLINK__" localSheetId="8" hidden="1">{"fdsup://Directions/FactSet Auditing Viewer?action=AUDIT_VALUE&amp;DB=129&amp;ID1=011827&amp;VALUEID=04601&amp;SDATE=2007&amp;PERIODTYPE=ANN_STD&amp;window=popup_no_bar&amp;width=385&amp;height=120&amp;START_MAXIMIZED=FALSE&amp;creator=factset&amp;display_string=Audit"}</definedName>
    <definedName name="_436__FDSAUDITLINK__" hidden="1">{"fdsup://directions/FAT Viewer?action=UPDATE&amp;creator=factset&amp;DYN_ARGS=TRUE&amp;DOC_NAME=FAT:FQL_AUDITING_CLIENT_TEMPLATE.FAT&amp;display_string=Audit&amp;VAR:KEY=WBITAZCDOV&amp;VAR:QUERY=RkZfSU5UX0VYUF9ORVQoTFRNLDQxMDkyKQ==&amp;WINDOW=FIRST_POPUP&amp;HEIGHT=450&amp;WIDTH=450&amp;START_MA","XIMIZED=FALSE&amp;VAR:CALENDAR=US&amp;VAR:SYMBOL=VMC&amp;VAR:INDEX=0"}</definedName>
    <definedName name="_436__FDSAUDITLINK___1" localSheetId="8" hidden="1">{"fdsup://Directions/FactSet Auditing Viewer?action=AUDIT_VALUE&amp;DB=129&amp;ID1=011827&amp;VALUEID=04601&amp;SDATE=2007&amp;PERIODTYPE=ANN_STD&amp;window=popup_no_bar&amp;width=385&amp;height=120&amp;START_MAXIMIZED=FALSE&amp;creator=factset&amp;display_string=Audit"}</definedName>
    <definedName name="_436__FDSAUDITLINK___1" hidden="1">{"fdsup://Directions/FactSet Auditing Viewer?action=AUDIT_VALUE&amp;DB=129&amp;ID1=011827&amp;VALUEID=04601&amp;SDATE=2007&amp;PERIODTYPE=ANN_STD&amp;window=popup_no_bar&amp;width=385&amp;height=120&amp;START_MAXIMIZED=FALSE&amp;creator=factset&amp;display_string=Audit"}</definedName>
    <definedName name="_437__FDSAUDITLINK__" localSheetId="8" hidden="1">{"fdsup://Directions/FactSet Auditing Viewer?action=AUDIT_VALUE&amp;DB=129&amp;ID1=011827&amp;VALUEID=04601&amp;SDATE=2006&amp;PERIODTYPE=ANN_STD&amp;window=popup_no_bar&amp;width=385&amp;height=120&amp;START_MAXIMIZED=FALSE&amp;creator=factset&amp;display_string=Audit"}</definedName>
    <definedName name="_437__FDSAUDITLINK__" hidden="1">{"fdsup://directions/FAT Viewer?action=UPDATE&amp;creator=factset&amp;DYN_ARGS=TRUE&amp;DOC_NAME=FAT:FQL_AUDITING_CLIENT_TEMPLATE.FAT&amp;display_string=Audit&amp;VAR:KEY=SDYBILSXKH&amp;VAR:QUERY=RkZfU0FMRVMoTFRNLDQxMDkyKQ==&amp;WINDOW=FIRST_POPUP&amp;HEIGHT=450&amp;WIDTH=450&amp;START_MAXIMIZED=","FALSE&amp;VAR:CALENDAR=US&amp;VAR:SYMBOL=VMC&amp;VAR:INDEX=0"}</definedName>
    <definedName name="_437__FDSAUDITLINK___1" localSheetId="8" hidden="1">{"fdsup://Directions/FactSet Auditing Viewer?action=AUDIT_VALUE&amp;DB=129&amp;ID1=011827&amp;VALUEID=04601&amp;SDATE=2006&amp;PERIODTYPE=ANN_STD&amp;window=popup_no_bar&amp;width=385&amp;height=120&amp;START_MAXIMIZED=FALSE&amp;creator=factset&amp;display_string=Audit"}</definedName>
    <definedName name="_437__FDSAUDITLINK___1" hidden="1">{"fdsup://Directions/FactSet Auditing Viewer?action=AUDIT_VALUE&amp;DB=129&amp;ID1=011827&amp;VALUEID=04601&amp;SDATE=2006&amp;PERIODTYPE=ANN_STD&amp;window=popup_no_bar&amp;width=385&amp;height=120&amp;START_MAXIMIZED=FALSE&amp;creator=factset&amp;display_string=Audit"}</definedName>
    <definedName name="_438__FDSAUDITLINK__" localSheetId="8" hidden="1">{"fdsup://Directions/FactSet Auditing Viewer?action=AUDIT_VALUE&amp;DB=129&amp;ID1=454047&amp;VALUEID=04601&amp;SDATE=2008&amp;PERIODTYPE=ANN_STD&amp;window=popup_no_bar&amp;width=385&amp;height=120&amp;START_MAXIMIZED=FALSE&amp;creator=factset&amp;display_string=Audit"}</definedName>
    <definedName name="_438__FDSAUDITLINK__" hidden="1">{"fdsup://directions/FAT Viewer?action=UPDATE&amp;creator=factset&amp;DYN_ARGS=TRUE&amp;DOC_NAME=FAT:FQL_AUDITING_CLIENT_TEMPLATE.FAT&amp;display_string=Audit&amp;VAR:KEY=ZYXUPAZMRS&amp;VAR:QUERY=RkZfU0FMRVMoQ0FMLDIwMTEpICogMQ==&amp;WINDOW=FIRST_POPUP&amp;HEIGHT=450&amp;WIDTH=450&amp;START_MAXIMI","ZED=FALSE&amp;VAR:CALENDAR=US&amp;VAR:SYMBOL=VMC&amp;VAR:INDEX=0"}</definedName>
    <definedName name="_438__FDSAUDITLINK___1" localSheetId="8" hidden="1">{"fdsup://Directions/FactSet Auditing Viewer?action=AUDIT_VALUE&amp;DB=129&amp;ID1=454047&amp;VALUEID=04601&amp;SDATE=2008&amp;PERIODTYPE=ANN_STD&amp;window=popup_no_bar&amp;width=385&amp;height=120&amp;START_MAXIMIZED=FALSE&amp;creator=factset&amp;display_string=Audit"}</definedName>
    <definedName name="_438__FDSAUDITLINK___1" hidden="1">{"fdsup://Directions/FactSet Auditing Viewer?action=AUDIT_VALUE&amp;DB=129&amp;ID1=454047&amp;VALUEID=04601&amp;SDATE=2008&amp;PERIODTYPE=ANN_STD&amp;window=popup_no_bar&amp;width=385&amp;height=120&amp;START_MAXIMIZED=FALSE&amp;creator=factset&amp;display_string=Audit"}</definedName>
    <definedName name="_439__FDSAUDITLINK__" localSheetId="8" hidden="1">{"fdsup://Directions/FactSet Auditing Viewer?action=AUDIT_VALUE&amp;DB=129&amp;ID1=080216&amp;VALUEID=04601&amp;SDATE=2009&amp;PERIODTYPE=ANN_STD&amp;window=popup_no_bar&amp;width=385&amp;height=120&amp;START_MAXIMIZED=FALSE&amp;creator=factset&amp;display_string=Audit"}</definedName>
    <definedName name="_439__FDSAUDITLINK__" hidden="1">{"fdsup://directions/FAT Viewer?action=UPDATE&amp;creator=factset&amp;DYN_ARGS=TRUE&amp;DOC_NAME=FAT:FQL_AUDITING_CLIENT_TEMPLATE.FAT&amp;display_string=Audit&amp;VAR:KEY=LUDWLYTWXU&amp;VAR:QUERY=RkZfRUJJVERBX09QRVIoQ0FMLDIwMTApICogMQ==&amp;WINDOW=FIRST_POPUP&amp;HEIGHT=450&amp;WIDTH=450&amp;STAR","T_MAXIMIZED=FALSE&amp;VAR:CALENDAR=US&amp;VAR:SYMBOL=VMC&amp;VAR:INDEX=0"}</definedName>
    <definedName name="_439__FDSAUDITLINK___1" localSheetId="8" hidden="1">{"fdsup://Directions/FactSet Auditing Viewer?action=AUDIT_VALUE&amp;DB=129&amp;ID1=080216&amp;VALUEID=04601&amp;SDATE=2009&amp;PERIODTYPE=ANN_STD&amp;window=popup_no_bar&amp;width=385&amp;height=120&amp;START_MAXIMIZED=FALSE&amp;creator=factset&amp;display_string=Audit"}</definedName>
    <definedName name="_439__FDSAUDITLINK___1" hidden="1">{"fdsup://Directions/FactSet Auditing Viewer?action=AUDIT_VALUE&amp;DB=129&amp;ID1=080216&amp;VALUEID=04601&amp;SDATE=2009&amp;PERIODTYPE=ANN_STD&amp;window=popup_no_bar&amp;width=385&amp;height=120&amp;START_MAXIMIZED=FALSE&amp;creator=factset&amp;display_string=Audit"}</definedName>
    <definedName name="_44__123Graph_BCHART_13" hidden="1">#REF!</definedName>
    <definedName name="_44__123Graph_BCHART_2" hidden="1">#REF!</definedName>
    <definedName name="_44__123Graph_CCHART_4" hidden="1">#REF!</definedName>
    <definedName name="_44__123Graph_FGRAFICO_3" localSheetId="8" hidden="1">#REF!</definedName>
    <definedName name="_44__123Graph_FGRAFICO_3" hidden="1">#REF!</definedName>
    <definedName name="_44__FDSAUDITLINK__" localSheetId="8" hidden="1">{"fdsup://Directions/FactSet Auditing Viewer?action=AUDIT_VALUE&amp;DB=129&amp;ID1=591344&amp;VALUEID=04601&amp;SDATE=2009&amp;PERIODTYPE=ANN_STD&amp;window=popup_no_bar&amp;width=385&amp;height=120&amp;START_MAXIMIZED=FALSE&amp;creator=factset&amp;display_string=Audit"}</definedName>
    <definedName name="_44__FDSAUDITLINK__" hidden="1">{"fdsup://directions/FAT Viewer?action=UPDATE&amp;creator=factset&amp;DYN_ARGS=TRUE&amp;DOC_NAME=FAT:FQL_AUDITING_CLIENT_TEMPLATE.FAT&amp;display_string=Audit&amp;VAR:KEY=UVKNUHKFSJ&amp;VAR:QUERY=RkZfRUJJVERBX09QRVIoQ0FMLDIwMTEp&amp;WINDOW=FIRST_POPUP&amp;HEIGHT=450&amp;WIDTH=450&amp;START_MAXIMI","ZED=FALSE&amp;VAR:CALENDAR=US&amp;VAR:SYMBOL=TXI&amp;VAR:INDEX=0"}</definedName>
    <definedName name="_44__FDSAUDITLINK___1" localSheetId="8" hidden="1">{"fdsup://Directions/FactSet Auditing Viewer?action=AUDIT_VALUE&amp;DB=129&amp;ID1=591344&amp;VALUEID=04601&amp;SDATE=2009&amp;PERIODTYPE=ANN_STD&amp;window=popup_no_bar&amp;width=385&amp;height=120&amp;START_MAXIMIZED=FALSE&amp;creator=factset&amp;display_string=Audit"}</definedName>
    <definedName name="_44__FDSAUDITLINK___1" hidden="1">{"fdsup://Directions/FactSet Auditing Viewer?action=AUDIT_VALUE&amp;DB=129&amp;ID1=591344&amp;VALUEID=04601&amp;SDATE=2009&amp;PERIODTYPE=ANN_STD&amp;window=popup_no_bar&amp;width=385&amp;height=120&amp;START_MAXIMIZED=FALSE&amp;creator=factset&amp;display_string=Audit"}</definedName>
    <definedName name="_440__FDSAUDITLINK__" localSheetId="8" hidden="1">{"fdsup://Directions/FactSet Auditing Viewer?action=AUDIT_VALUE&amp;DB=129&amp;ID1=080216&amp;VALUEID=04601&amp;SDATE=2008&amp;PERIODTYPE=ANN_STD&amp;window=popup_no_bar&amp;width=385&amp;height=120&amp;START_MAXIMIZED=FALSE&amp;creator=factset&amp;display_string=Audit"}</definedName>
    <definedName name="_440__FDSAUDITLINK__" hidden="1">{"fdsup://directions/FAT Viewer?action=UPDATE&amp;creator=factset&amp;DYN_ARGS=TRUE&amp;DOC_NAME=FAT:FQL_AUDITING_CLIENT_TEMPLATE.FAT&amp;display_string=Audit&amp;VAR:KEY=VYZUZIDQTC&amp;VAR:QUERY=RkZfRUJJVF9PUEVSKENBTCwyMDA5KSAqIDE=&amp;WINDOW=FIRST_POPUP&amp;HEIGHT=450&amp;WIDTH=450&amp;START_MA","XIMIZED=FALSE&amp;VAR:CALENDAR=US&amp;VAR:SYMBOL=VMC&amp;VAR:INDEX=0"}</definedName>
    <definedName name="_440__FDSAUDITLINK___1" localSheetId="8" hidden="1">{"fdsup://Directions/FactSet Auditing Viewer?action=AUDIT_VALUE&amp;DB=129&amp;ID1=080216&amp;VALUEID=04601&amp;SDATE=2008&amp;PERIODTYPE=ANN_STD&amp;window=popup_no_bar&amp;width=385&amp;height=120&amp;START_MAXIMIZED=FALSE&amp;creator=factset&amp;display_string=Audit"}</definedName>
    <definedName name="_440__FDSAUDITLINK___1" hidden="1">{"fdsup://Directions/FactSet Auditing Viewer?action=AUDIT_VALUE&amp;DB=129&amp;ID1=080216&amp;VALUEID=04601&amp;SDATE=2008&amp;PERIODTYPE=ANN_STD&amp;window=popup_no_bar&amp;width=385&amp;height=120&amp;START_MAXIMIZED=FALSE&amp;creator=factset&amp;display_string=Audit"}</definedName>
    <definedName name="_441__FDSAUDITLINK__" localSheetId="8" hidden="1">{"fdsup://Directions/FactSet Auditing Viewer?action=AUDIT_VALUE&amp;DB=129&amp;ID1=075902&amp;VALUEID=04601&amp;SDATE=2008&amp;PERIODTYPE=ANN_STD&amp;window=popup_no_bar&amp;width=385&amp;height=120&amp;START_MAXIMIZED=FALSE&amp;creator=factset&amp;display_string=Audit"}</definedName>
    <definedName name="_441__FDSAUDITLINK__" hidden="1">{"fdsup://directions/FAT Viewer?action=UPDATE&amp;creator=factset&amp;DYN_ARGS=TRUE&amp;DOC_NAME=FAT:FQL_AUDITING_CLIENT_TEMPLATE.FAT&amp;display_string=Audit&amp;VAR:KEY=DWNOLKBYTU&amp;VAR:QUERY=RkZfTkVUX0lOQyhDQUwsMjAxMSkgKiAx&amp;WINDOW=FIRST_POPUP&amp;HEIGHT=450&amp;WIDTH=450&amp;START_MAXIMI","ZED=FALSE&amp;VAR:CALENDAR=US&amp;VAR:SYMBOL=VMC&amp;VAR:INDEX=0"}</definedName>
    <definedName name="_441__FDSAUDITLINK___1" localSheetId="8" hidden="1">{"fdsup://Directions/FactSet Auditing Viewer?action=AUDIT_VALUE&amp;DB=129&amp;ID1=075902&amp;VALUEID=04601&amp;SDATE=2008&amp;PERIODTYPE=ANN_STD&amp;window=popup_no_bar&amp;width=385&amp;height=120&amp;START_MAXIMIZED=FALSE&amp;creator=factset&amp;display_string=Audit"}</definedName>
    <definedName name="_441__FDSAUDITLINK___1" hidden="1">{"fdsup://Directions/FactSet Auditing Viewer?action=AUDIT_VALUE&amp;DB=129&amp;ID1=075902&amp;VALUEID=04601&amp;SDATE=2008&amp;PERIODTYPE=ANN_STD&amp;window=popup_no_bar&amp;width=385&amp;height=120&amp;START_MAXIMIZED=FALSE&amp;creator=factset&amp;display_string=Audit"}</definedName>
    <definedName name="_442__FDSAUDITLINK__" localSheetId="8" hidden="1">{"fdsup://Directions/FactSet Auditing Viewer?action=AUDIT_VALUE&amp;DB=129&amp;ID1=075902&amp;VALUEID=04601&amp;SDATE=2007&amp;PERIODTYPE=ANN_STD&amp;window=popup_no_bar&amp;width=385&amp;height=120&amp;START_MAXIMIZED=FALSE&amp;creator=factset&amp;display_string=Audit"}</definedName>
    <definedName name="_442__FDSAUDITLINK__" hidden="1">{"fdsup://directions/FAT Viewer?action=UPDATE&amp;creator=factset&amp;DYN_ARGS=TRUE&amp;DOC_NAME=FAT:FQL_AUDITING_CLIENT_TEMPLATE.FAT&amp;display_string=Audit&amp;VAR:KEY=EBKRIXULGR&amp;VAR:QUERY=RkZfSU5UX0VYUF9ORVQoTFRNLDQxMDkyKQ==&amp;WINDOW=FIRST_POPUP&amp;HEIGHT=450&amp;WIDTH=450&amp;START_MA","XIMIZED=FALSE&amp;VAR:CALENDAR=US&amp;VAR:SYMBOL=BLDR&amp;VAR:INDEX=0"}</definedName>
    <definedName name="_442__FDSAUDITLINK___1" localSheetId="8" hidden="1">{"fdsup://Directions/FactSet Auditing Viewer?action=AUDIT_VALUE&amp;DB=129&amp;ID1=075902&amp;VALUEID=04601&amp;SDATE=2007&amp;PERIODTYPE=ANN_STD&amp;window=popup_no_bar&amp;width=385&amp;height=120&amp;START_MAXIMIZED=FALSE&amp;creator=factset&amp;display_string=Audit"}</definedName>
    <definedName name="_442__FDSAUDITLINK___1" hidden="1">{"fdsup://Directions/FactSet Auditing Viewer?action=AUDIT_VALUE&amp;DB=129&amp;ID1=075902&amp;VALUEID=04601&amp;SDATE=2007&amp;PERIODTYPE=ANN_STD&amp;window=popup_no_bar&amp;width=385&amp;height=120&amp;START_MAXIMIZED=FALSE&amp;creator=factset&amp;display_string=Audit"}</definedName>
    <definedName name="_443__FDSAUDITLINK__" localSheetId="8" hidden="1">{"fdsup://Directions/FactSet Auditing Viewer?action=AUDIT_VALUE&amp;DB=129&amp;ID1=063002&amp;VALUEID=04601&amp;SDATE=2008&amp;PERIODTYPE=ANN_STD&amp;window=popup_no_bar&amp;width=385&amp;height=120&amp;START_MAXIMIZED=FALSE&amp;creator=factset&amp;display_string=Audit"}</definedName>
    <definedName name="_443__FDSAUDITLINK__" hidden="1">{"fdsup://directions/FAT Viewer?action=UPDATE&amp;creator=factset&amp;DYN_ARGS=TRUE&amp;DOC_NAME=FAT:FQL_AUDITING_CLIENT_TEMPLATE.FAT&amp;display_string=Audit&amp;VAR:KEY=EFIFYXAJIJ&amp;VAR:QUERY=RkZfTkVUX0lOQyhMVE0sNDEwOTIp&amp;WINDOW=FIRST_POPUP&amp;HEIGHT=450&amp;WIDTH=450&amp;START_MAXIMIZED=","FALSE&amp;VAR:CALENDAR=US&amp;VAR:SYMBOL=BLDR&amp;VAR:INDEX=0"}</definedName>
    <definedName name="_443__FDSAUDITLINK___1" localSheetId="8" hidden="1">{"fdsup://Directions/FactSet Auditing Viewer?action=AUDIT_VALUE&amp;DB=129&amp;ID1=063002&amp;VALUEID=04601&amp;SDATE=2008&amp;PERIODTYPE=ANN_STD&amp;window=popup_no_bar&amp;width=385&amp;height=120&amp;START_MAXIMIZED=FALSE&amp;creator=factset&amp;display_string=Audit"}</definedName>
    <definedName name="_443__FDSAUDITLINK___1" hidden="1">{"fdsup://Directions/FactSet Auditing Viewer?action=AUDIT_VALUE&amp;DB=129&amp;ID1=063002&amp;VALUEID=04601&amp;SDATE=2008&amp;PERIODTYPE=ANN_STD&amp;window=popup_no_bar&amp;width=385&amp;height=120&amp;START_MAXIMIZED=FALSE&amp;creator=factset&amp;display_string=Audit"}</definedName>
    <definedName name="_444__FDSAUDITLINK__" localSheetId="8" hidden="1">{"fdsup://Directions/FactSet Auditing Viewer?action=AUDIT_VALUE&amp;DB=129&amp;ID1=063002&amp;VALUEID=04601&amp;SDATE=2007&amp;PERIODTYPE=ANN_STD&amp;window=popup_no_bar&amp;width=385&amp;height=120&amp;START_MAXIMIZED=FALSE&amp;creator=factset&amp;display_string=Audit"}</definedName>
    <definedName name="_444__FDSAUDITLINK__" hidden="1">{"fdsup://directions/FAT Viewer?action=UPDATE&amp;creator=factset&amp;DYN_ARGS=TRUE&amp;DOC_NAME=FAT:FQL_AUDITING_CLIENT_TEMPLATE.FAT&amp;display_string=Audit&amp;VAR:KEY=MBUBWNQNIX&amp;VAR:QUERY=RkZfRUJJVF9PUEVSKExUTSw0MTA5Mik=&amp;WINDOW=FIRST_POPUP&amp;HEIGHT=450&amp;WIDTH=450&amp;START_MAXIMI","ZED=FALSE&amp;VAR:CALENDAR=US&amp;VAR:SYMBOL=BLDR&amp;VAR:INDEX=0"}</definedName>
    <definedName name="_444__FDSAUDITLINK___1" localSheetId="8" hidden="1">{"fdsup://Directions/FactSet Auditing Viewer?action=AUDIT_VALUE&amp;DB=129&amp;ID1=063002&amp;VALUEID=04601&amp;SDATE=2007&amp;PERIODTYPE=ANN_STD&amp;window=popup_no_bar&amp;width=385&amp;height=120&amp;START_MAXIMIZED=FALSE&amp;creator=factset&amp;display_string=Audit"}</definedName>
    <definedName name="_444__FDSAUDITLINK___1" hidden="1">{"fdsup://Directions/FactSet Auditing Viewer?action=AUDIT_VALUE&amp;DB=129&amp;ID1=063002&amp;VALUEID=04601&amp;SDATE=2007&amp;PERIODTYPE=ANN_STD&amp;window=popup_no_bar&amp;width=385&amp;height=120&amp;START_MAXIMIZED=FALSE&amp;creator=factset&amp;display_string=Audit"}</definedName>
    <definedName name="_445__FDSAUDITLINK__" localSheetId="8" hidden="1">{"fdsup://Directions/FactSet Auditing Viewer?action=AUDIT_VALUE&amp;DB=129&amp;ID1=063002&amp;VALUEID=04601&amp;SDATE=2006&amp;PERIODTYPE=ANN_STD&amp;window=popup_no_bar&amp;width=385&amp;height=120&amp;START_MAXIMIZED=FALSE&amp;creator=factset&amp;display_string=Audit"}</definedName>
    <definedName name="_445__FDSAUDITLINK__" hidden="1">{"fdsup://directions/FAT Viewer?action=UPDATE&amp;creator=factset&amp;DYN_ARGS=TRUE&amp;DOC_NAME=FAT:FQL_AUDITING_CLIENT_TEMPLATE.FAT&amp;display_string=Audit&amp;VAR:KEY=OZKBANMNSH&amp;VAR:QUERY=RkZfRUJJVERBX09QRVIoTFRNLDQxMDkyKQ==&amp;WINDOW=FIRST_POPUP&amp;HEIGHT=450&amp;WIDTH=450&amp;START_MA","XIMIZED=FALSE&amp;VAR:CALENDAR=US&amp;VAR:SYMBOL=BLDR&amp;VAR:INDEX=0"}</definedName>
    <definedName name="_445__FDSAUDITLINK___1" localSheetId="8" hidden="1">{"fdsup://Directions/FactSet Auditing Viewer?action=AUDIT_VALUE&amp;DB=129&amp;ID1=063002&amp;VALUEID=04601&amp;SDATE=2006&amp;PERIODTYPE=ANN_STD&amp;window=popup_no_bar&amp;width=385&amp;height=120&amp;START_MAXIMIZED=FALSE&amp;creator=factset&amp;display_string=Audit"}</definedName>
    <definedName name="_445__FDSAUDITLINK___1" hidden="1">{"fdsup://Directions/FactSet Auditing Viewer?action=AUDIT_VALUE&amp;DB=129&amp;ID1=063002&amp;VALUEID=04601&amp;SDATE=2006&amp;PERIODTYPE=ANN_STD&amp;window=popup_no_bar&amp;width=385&amp;height=120&amp;START_MAXIMIZED=FALSE&amp;creator=factset&amp;display_string=Audit"}</definedName>
    <definedName name="_446__FDSAUDITLINK__" localSheetId="8" hidden="1">{"fdsup://Directions/FactSet Auditing Viewer?action=AUDIT_VALUE&amp;DB=129&amp;ID1=B2425G&amp;VALUEID=04601&amp;SDATE=2009&amp;PERIODTYPE=ANN_STD&amp;window=popup_no_bar&amp;width=385&amp;height=120&amp;START_MAXIMIZED=FALSE&amp;creator=factset&amp;display_string=Audit"}</definedName>
    <definedName name="_446__FDSAUDITLINK__" hidden="1">{"fdsup://directions/FAT Viewer?action=UPDATE&amp;creator=factset&amp;DYN_ARGS=TRUE&amp;DOC_NAME=FAT:FQL_AUDITING_CLIENT_TEMPLATE.FAT&amp;display_string=Audit&amp;VAR:KEY=OHOZGDWFAH&amp;VAR:QUERY=RkZfU0FMRVMoTFRNLDQxMDkyKQ==&amp;WINDOW=FIRST_POPUP&amp;HEIGHT=450&amp;WIDTH=450&amp;START_MAXIMIZED=","FALSE&amp;VAR:CALENDAR=US&amp;VAR:SYMBOL=BLDR&amp;VAR:INDEX=0"}</definedName>
    <definedName name="_446__FDSAUDITLINK___1" localSheetId="8" hidden="1">{"fdsup://Directions/FactSet Auditing Viewer?action=AUDIT_VALUE&amp;DB=129&amp;ID1=B2425G&amp;VALUEID=04601&amp;SDATE=2009&amp;PERIODTYPE=ANN_STD&amp;window=popup_no_bar&amp;width=385&amp;height=120&amp;START_MAXIMIZED=FALSE&amp;creator=factset&amp;display_string=Audit"}</definedName>
    <definedName name="_446__FDSAUDITLINK___1" hidden="1">{"fdsup://Directions/FactSet Auditing Viewer?action=AUDIT_VALUE&amp;DB=129&amp;ID1=B2425G&amp;VALUEID=04601&amp;SDATE=2009&amp;PERIODTYPE=ANN_STD&amp;window=popup_no_bar&amp;width=385&amp;height=120&amp;START_MAXIMIZED=FALSE&amp;creator=factset&amp;display_string=Audit"}</definedName>
    <definedName name="_447__FDSAUDITLINK__" localSheetId="8" hidden="1">{"fdsup://Directions/FactSet Auditing Viewer?action=AUDIT_VALUE&amp;DB=129&amp;ID1=073833&amp;VALUEID=04601&amp;SDATE=2008&amp;PERIODTYPE=ANN_STD&amp;window=popup_no_bar&amp;width=385&amp;height=120&amp;START_MAXIMIZED=FALSE&amp;creator=factset&amp;display_string=Audit"}</definedName>
    <definedName name="_447__FDSAUDITLINK__" hidden="1">{"fdsup://Directions/FactSet Auditing Viewer?action=AUDIT_VALUE&amp;DB=129&amp;ID1=073833&amp;VALUEID=04601&amp;SDATE=2008&amp;PERIODTYPE=ANN_STD&amp;window=popup_no_bar&amp;width=385&amp;height=120&amp;START_MAXIMIZED=FALSE&amp;creator=factset&amp;display_string=Audit"}</definedName>
    <definedName name="_447__FDSAUDITLINK___1" localSheetId="8" hidden="1">{"fdsup://Directions/FactSet Auditing Viewer?action=AUDIT_VALUE&amp;DB=129&amp;ID1=073833&amp;VALUEID=04601&amp;SDATE=2008&amp;PERIODTYPE=ANN_STD&amp;window=popup_no_bar&amp;width=385&amp;height=120&amp;START_MAXIMIZED=FALSE&amp;creator=factset&amp;display_string=Audit"}</definedName>
    <definedName name="_447__FDSAUDITLINK___1" hidden="1">{"fdsup://Directions/FactSet Auditing Viewer?action=AUDIT_VALUE&amp;DB=129&amp;ID1=073833&amp;VALUEID=04601&amp;SDATE=2008&amp;PERIODTYPE=ANN_STD&amp;window=popup_no_bar&amp;width=385&amp;height=120&amp;START_MAXIMIZED=FALSE&amp;creator=factset&amp;display_string=Audit"}</definedName>
    <definedName name="_448__FDSAUDITLINK__" localSheetId="8" hidden="1">{"fdsup://Directions/FactSet Auditing Viewer?action=AUDIT_VALUE&amp;DB=129&amp;ID1=073833&amp;VALUEID=04601&amp;SDATE=2007&amp;PERIODTYPE=ANN_STD&amp;window=popup_no_bar&amp;width=385&amp;height=120&amp;START_MAXIMIZED=FALSE&amp;creator=factset&amp;display_string=Audit"}</definedName>
    <definedName name="_448__FDSAUDITLINK__" hidden="1">{"fdsup://Directions/FactSet Auditing Viewer?action=AUDIT_VALUE&amp;DB=129&amp;ID1=073833&amp;VALUEID=04601&amp;SDATE=2007&amp;PERIODTYPE=ANN_STD&amp;window=popup_no_bar&amp;width=385&amp;height=120&amp;START_MAXIMIZED=FALSE&amp;creator=factset&amp;display_string=Audit"}</definedName>
    <definedName name="_448__FDSAUDITLINK___1" localSheetId="8" hidden="1">{"fdsup://Directions/FactSet Auditing Viewer?action=AUDIT_VALUE&amp;DB=129&amp;ID1=073833&amp;VALUEID=04601&amp;SDATE=2007&amp;PERIODTYPE=ANN_STD&amp;window=popup_no_bar&amp;width=385&amp;height=120&amp;START_MAXIMIZED=FALSE&amp;creator=factset&amp;display_string=Audit"}</definedName>
    <definedName name="_448__FDSAUDITLINK___1" hidden="1">{"fdsup://Directions/FactSet Auditing Viewer?action=AUDIT_VALUE&amp;DB=129&amp;ID1=073833&amp;VALUEID=04601&amp;SDATE=2007&amp;PERIODTYPE=ANN_STD&amp;window=popup_no_bar&amp;width=385&amp;height=120&amp;START_MAXIMIZED=FALSE&amp;creator=factset&amp;display_string=Audit"}</definedName>
    <definedName name="_449__FDSAUDITLINK__" localSheetId="8" hidden="1">{"fdsup://directions/FAT Viewer?action=UPDATE&amp;creator=factset&amp;DYN_ARGS=TRUE&amp;DOC_NAME=FAT:FQL_AUDITING_CLIENT_TEMPLATE.FAT&amp;display_string=Audit&amp;VAR:KEY=GXOXWPKVOJ&amp;VAR:QUERY=RkZfRUJJVF9JQignQU5OJywzOTgxMywsLCdES0snKQ==&amp;WINDOW=FIRST_POPUP&amp;HEIGHT=450&amp;WIDTH=450&amp;","START_MAXIMIZED=FALSE&amp;VAR:CALENDAR=FIVEDAY&amp;VAR:SYMBOL=594228&amp;VAR:INDEX=0"}</definedName>
    <definedName name="_449__FDSAUDITLINK__" hidden="1">{"fdsup://directions/FAT Viewer?action=UPDATE&amp;creator=factset&amp;DYN_ARGS=TRUE&amp;DOC_NAME=FAT:FQL_AUDITING_CLIENT_TEMPLATE.FAT&amp;display_string=Audit&amp;VAR:KEY=GXOXWPKVOJ&amp;VAR:QUERY=RkZfRUJJVF9JQignQU5OJywzOTgxMywsLCdES0snKQ==&amp;WINDOW=FIRST_POPUP&amp;HEIGHT=450&amp;WIDTH=450&amp;","START_MAXIMIZED=FALSE&amp;VAR:CALENDAR=FIVEDAY&amp;VAR:SYMBOL=594228&amp;VAR:INDEX=0"}</definedName>
    <definedName name="_449__FDSAUDITLINK___1" localSheetId="8" hidden="1">{"fdsup://directions/FAT Viewer?action=UPDATE&amp;creator=factset&amp;DYN_ARGS=TRUE&amp;DOC_NAME=FAT:FQL_AUDITING_CLIENT_TEMPLATE.FAT&amp;display_string=Audit&amp;VAR:KEY=GXOXWPKVOJ&amp;VAR:QUERY=RkZfRUJJVF9JQignQU5OJywzOTgxMywsLCdES0snKQ==&amp;WINDOW=FIRST_POPUP&amp;HEIGHT=450&amp;WIDTH=450&amp;","START_MAXIMIZED=FALSE&amp;VAR:CALENDAR=FIVEDAY&amp;VAR:SYMBOL=594228&amp;VAR:INDEX=0"}</definedName>
    <definedName name="_449__FDSAUDITLINK___1" hidden="1">{"fdsup://directions/FAT Viewer?action=UPDATE&amp;creator=factset&amp;DYN_ARGS=TRUE&amp;DOC_NAME=FAT:FQL_AUDITING_CLIENT_TEMPLATE.FAT&amp;display_string=Audit&amp;VAR:KEY=GXOXWPKVOJ&amp;VAR:QUERY=RkZfRUJJVF9JQignQU5OJywzOTgxMywsLCdES0snKQ==&amp;WINDOW=FIRST_POPUP&amp;HEIGHT=450&amp;WIDTH=450&amp;","START_MAXIMIZED=FALSE&amp;VAR:CALENDAR=FIVEDAY&amp;VAR:SYMBOL=594228&amp;VAR:INDEX=0"}</definedName>
    <definedName name="_45__123Graph_BCHART_14" hidden="1">#REF!</definedName>
    <definedName name="_45__123Graph_BCHART_7" localSheetId="8" hidden="1">#REF!</definedName>
    <definedName name="_45__123Graph_BCHART_7" hidden="1">#REF!</definedName>
    <definedName name="_45__123Graph_CCHART_7" hidden="1">#REF!</definedName>
    <definedName name="_45__123Graph_FGRAFICO_4" hidden="1">#REF!</definedName>
    <definedName name="_45__FDSAUDITLINK__" localSheetId="8" hidden="1">{"fdsup://directions/FAT Viewer?action=UPDATE&amp;creator=factset&amp;DYN_ARGS=TRUE&amp;DOC_NAME=FAT:FQL_AUDITING_CLIENT_TEMPLATE.FAT&amp;display_string=Audit&amp;VAR:KEY=SBKRIRCHID&amp;VAR:QUERY=RkZfRUJJVERBX0lCKEFOTiwzNTc5NSwsLCxFVVIp&amp;WINDOW=FIRST_POPUP&amp;HEIGHT=450&amp;WIDTH=450&amp;STAR","T_MAXIMIZED=FALSE&amp;VAR:CALENDAR=FIVEDAY&amp;VAR:SYMBOL=591344&amp;VAR:INDEX=0"}</definedName>
    <definedName name="_45__FDSAUDITLINK__" hidden="1">{"fdsup://directions/FAT Viewer?action=UPDATE&amp;creator=factset&amp;DYN_ARGS=TRUE&amp;DOC_NAME=FAT:FQL_AUDITING_CLIENT_TEMPLATE.FAT&amp;display_string=Audit&amp;VAR:KEY=OFEVERCHQB&amp;VAR:QUERY=RkZfRUJJVERBX09QRVIoQ0FMLDIwMTEp&amp;WINDOW=FIRST_POPUP&amp;HEIGHT=450&amp;WIDTH=450&amp;START_MAXIMI","ZED=FALSE&amp;VAR:CALENDAR=US&amp;VAR:SYMBOL=USCR&amp;VAR:INDEX=0"}</definedName>
    <definedName name="_45__FDSAUDITLINK___1" localSheetId="8" hidden="1">{"fdsup://directions/FAT Viewer?action=UPDATE&amp;creator=factset&amp;DYN_ARGS=TRUE&amp;DOC_NAME=FAT:FQL_AUDITING_CLIENT_TEMPLATE.FAT&amp;display_string=Audit&amp;VAR:KEY=SBKRIRCHID&amp;VAR:QUERY=RkZfRUJJVERBX0lCKEFOTiwzNTc5NSwsLCxFVVIp&amp;WINDOW=FIRST_POPUP&amp;HEIGHT=450&amp;WIDTH=450&amp;STAR","T_MAXIMIZED=FALSE&amp;VAR:CALENDAR=FIVEDAY&amp;VAR:SYMBOL=591344&amp;VAR:INDEX=0"}</definedName>
    <definedName name="_45__FDSAUDITLINK___1" hidden="1">{"fdsup://directions/FAT Viewer?action=UPDATE&amp;creator=factset&amp;DYN_ARGS=TRUE&amp;DOC_NAME=FAT:FQL_AUDITING_CLIENT_TEMPLATE.FAT&amp;display_string=Audit&amp;VAR:KEY=SBKRIRCHID&amp;VAR:QUERY=RkZfRUJJVERBX0lCKEFOTiwzNTc5NSwsLCxFVVIp&amp;WINDOW=FIRST_POPUP&amp;HEIGHT=450&amp;WIDTH=450&amp;STAR","T_MAXIMIZED=FALSE&amp;VAR:CALENDAR=FIVEDAY&amp;VAR:SYMBOL=591344&amp;VAR:INDEX=0"}</definedName>
    <definedName name="_450__FDSAUDITLINK__" localSheetId="8" hidden="1">{"fdsup://directions/FAT Viewer?action=UPDATE&amp;creator=factset&amp;DYN_ARGS=TRUE&amp;DOC_NAME=FAT:FQL_AUDITING_CLIENT_TEMPLATE.FAT&amp;display_string=Audit&amp;VAR:KEY=MZCNCHENEH&amp;VAR:QUERY=RkZfRUJJVF9JQignQU5OJywzOTQ0NywsLCdES0snKQ==&amp;WINDOW=FIRST_POPUP&amp;HEIGHT=450&amp;WIDTH=450&amp;","START_MAXIMIZED=FALSE&amp;VAR:CALENDAR=FIVEDAY&amp;VAR:SYMBOL=594228&amp;VAR:INDEX=0"}</definedName>
    <definedName name="_450__FDSAUDITLINK__" hidden="1">{"fdsup://directions/FAT Viewer?action=UPDATE&amp;creator=factset&amp;DYN_ARGS=TRUE&amp;DOC_NAME=FAT:FQL_AUDITING_CLIENT_TEMPLATE.FAT&amp;display_string=Audit&amp;VAR:KEY=MZCNCHENEH&amp;VAR:QUERY=RkZfRUJJVF9JQignQU5OJywzOTQ0NywsLCdES0snKQ==&amp;WINDOW=FIRST_POPUP&amp;HEIGHT=450&amp;WIDTH=450&amp;","START_MAXIMIZED=FALSE&amp;VAR:CALENDAR=FIVEDAY&amp;VAR:SYMBOL=594228&amp;VAR:INDEX=0"}</definedName>
    <definedName name="_450__FDSAUDITLINK___1" localSheetId="8" hidden="1">{"fdsup://directions/FAT Viewer?action=UPDATE&amp;creator=factset&amp;DYN_ARGS=TRUE&amp;DOC_NAME=FAT:FQL_AUDITING_CLIENT_TEMPLATE.FAT&amp;display_string=Audit&amp;VAR:KEY=MZCNCHENEH&amp;VAR:QUERY=RkZfRUJJVF9JQignQU5OJywzOTQ0NywsLCdES0snKQ==&amp;WINDOW=FIRST_POPUP&amp;HEIGHT=450&amp;WIDTH=450&amp;","START_MAXIMIZED=FALSE&amp;VAR:CALENDAR=FIVEDAY&amp;VAR:SYMBOL=594228&amp;VAR:INDEX=0"}</definedName>
    <definedName name="_450__FDSAUDITLINK___1" hidden="1">{"fdsup://directions/FAT Viewer?action=UPDATE&amp;creator=factset&amp;DYN_ARGS=TRUE&amp;DOC_NAME=FAT:FQL_AUDITING_CLIENT_TEMPLATE.FAT&amp;display_string=Audit&amp;VAR:KEY=MZCNCHENEH&amp;VAR:QUERY=RkZfRUJJVF9JQignQU5OJywzOTQ0NywsLCdES0snKQ==&amp;WINDOW=FIRST_POPUP&amp;HEIGHT=450&amp;WIDTH=450&amp;","START_MAXIMIZED=FALSE&amp;VAR:CALENDAR=FIVEDAY&amp;VAR:SYMBOL=594228&amp;VAR:INDEX=0"}</definedName>
    <definedName name="_451__FDSAUDITLINK__" localSheetId="8" hidden="1">{"fdsup://directions/FAT Viewer?action=UPDATE&amp;creator=factset&amp;DYN_ARGS=TRUE&amp;DOC_NAME=FAT:FQL_AUDITING_CLIENT_TEMPLATE.FAT&amp;display_string=Audit&amp;VAR:KEY=SHEPQDQPKT&amp;VAR:QUERY=RkZfRUJJVF9JQignQU5OJywzOTA4MiwsLCdES0snKQ==&amp;WINDOW=FIRST_POPUP&amp;HEIGHT=450&amp;WIDTH=450&amp;","START_MAXIMIZED=FALSE&amp;VAR:CALENDAR=FIVEDAY&amp;VAR:SYMBOL=594228&amp;VAR:INDEX=0"}</definedName>
    <definedName name="_451__FDSAUDITLINK__" hidden="1">{"fdsup://directions/FAT Viewer?action=UPDATE&amp;creator=factset&amp;DYN_ARGS=TRUE&amp;DOC_NAME=FAT:FQL_AUDITING_CLIENT_TEMPLATE.FAT&amp;display_string=Audit&amp;VAR:KEY=SHEPQDQPKT&amp;VAR:QUERY=RkZfRUJJVF9JQignQU5OJywzOTA4MiwsLCdES0snKQ==&amp;WINDOW=FIRST_POPUP&amp;HEIGHT=450&amp;WIDTH=450&amp;","START_MAXIMIZED=FALSE&amp;VAR:CALENDAR=FIVEDAY&amp;VAR:SYMBOL=594228&amp;VAR:INDEX=0"}</definedName>
    <definedName name="_451__FDSAUDITLINK___1" localSheetId="8" hidden="1">{"fdsup://directions/FAT Viewer?action=UPDATE&amp;creator=factset&amp;DYN_ARGS=TRUE&amp;DOC_NAME=FAT:FQL_AUDITING_CLIENT_TEMPLATE.FAT&amp;display_string=Audit&amp;VAR:KEY=SHEPQDQPKT&amp;VAR:QUERY=RkZfRUJJVF9JQignQU5OJywzOTA4MiwsLCdES0snKQ==&amp;WINDOW=FIRST_POPUP&amp;HEIGHT=450&amp;WIDTH=450&amp;","START_MAXIMIZED=FALSE&amp;VAR:CALENDAR=FIVEDAY&amp;VAR:SYMBOL=594228&amp;VAR:INDEX=0"}</definedName>
    <definedName name="_451__FDSAUDITLINK___1" hidden="1">{"fdsup://directions/FAT Viewer?action=UPDATE&amp;creator=factset&amp;DYN_ARGS=TRUE&amp;DOC_NAME=FAT:FQL_AUDITING_CLIENT_TEMPLATE.FAT&amp;display_string=Audit&amp;VAR:KEY=SHEPQDQPKT&amp;VAR:QUERY=RkZfRUJJVF9JQignQU5OJywzOTA4MiwsLCdES0snKQ==&amp;WINDOW=FIRST_POPUP&amp;HEIGHT=450&amp;WIDTH=450&amp;","START_MAXIMIZED=FALSE&amp;VAR:CALENDAR=FIVEDAY&amp;VAR:SYMBOL=594228&amp;VAR:INDEX=0"}</definedName>
    <definedName name="_452__FDSAUDITLINK__" localSheetId="8" hidden="1">{"fdsup://directions/FAT Viewer?action=UPDATE&amp;creator=factset&amp;DYN_ARGS=TRUE&amp;DOC_NAME=FAT:FQL_AUDITING_CLIENT_TEMPLATE.FAT&amp;display_string=Audit&amp;VAR:KEY=YNIDWZCDCN&amp;VAR:QUERY=RkZfRUJJVF9JQignQU5OJywzOTgxMywsLCdHQlAnKQ==&amp;WINDOW=FIRST_POPUP&amp;HEIGHT=450&amp;WIDTH=450&amp;","START_MAXIMIZED=FALSE&amp;VAR:CALENDAR=FIVEDAY&amp;VAR:SYMBOL=323868&amp;VAR:INDEX=0"}</definedName>
    <definedName name="_452__FDSAUDITLINK__" hidden="1">{"fdsup://directions/FAT Viewer?action=UPDATE&amp;creator=factset&amp;DYN_ARGS=TRUE&amp;DOC_NAME=FAT:FQL_AUDITING_CLIENT_TEMPLATE.FAT&amp;display_string=Audit&amp;VAR:KEY=YNIDWZCDCN&amp;VAR:QUERY=RkZfRUJJVF9JQignQU5OJywzOTgxMywsLCdHQlAnKQ==&amp;WINDOW=FIRST_POPUP&amp;HEIGHT=450&amp;WIDTH=450&amp;","START_MAXIMIZED=FALSE&amp;VAR:CALENDAR=FIVEDAY&amp;VAR:SYMBOL=323868&amp;VAR:INDEX=0"}</definedName>
    <definedName name="_452__FDSAUDITLINK___1" localSheetId="8" hidden="1">{"fdsup://directions/FAT Viewer?action=UPDATE&amp;creator=factset&amp;DYN_ARGS=TRUE&amp;DOC_NAME=FAT:FQL_AUDITING_CLIENT_TEMPLATE.FAT&amp;display_string=Audit&amp;VAR:KEY=YNIDWZCDCN&amp;VAR:QUERY=RkZfRUJJVF9JQignQU5OJywzOTgxMywsLCdHQlAnKQ==&amp;WINDOW=FIRST_POPUP&amp;HEIGHT=450&amp;WIDTH=450&amp;","START_MAXIMIZED=FALSE&amp;VAR:CALENDAR=FIVEDAY&amp;VAR:SYMBOL=323868&amp;VAR:INDEX=0"}</definedName>
    <definedName name="_452__FDSAUDITLINK___1" hidden="1">{"fdsup://directions/FAT Viewer?action=UPDATE&amp;creator=factset&amp;DYN_ARGS=TRUE&amp;DOC_NAME=FAT:FQL_AUDITING_CLIENT_TEMPLATE.FAT&amp;display_string=Audit&amp;VAR:KEY=YNIDWZCDCN&amp;VAR:QUERY=RkZfRUJJVF9JQignQU5OJywzOTgxMywsLCdHQlAnKQ==&amp;WINDOW=FIRST_POPUP&amp;HEIGHT=450&amp;WIDTH=450&amp;","START_MAXIMIZED=FALSE&amp;VAR:CALENDAR=FIVEDAY&amp;VAR:SYMBOL=323868&amp;VAR:INDEX=0"}</definedName>
    <definedName name="_453__FDSAUDITLINK__" localSheetId="8" hidden="1">{"fdsup://directions/FAT Viewer?action=UPDATE&amp;creator=factset&amp;DYN_ARGS=TRUE&amp;DOC_NAME=FAT:FQL_AUDITING_CLIENT_TEMPLATE.FAT&amp;display_string=Audit&amp;VAR:KEY=SVMHIDYBQZ&amp;VAR:QUERY=RkZfRUJJVF9JQignQU5OJywzOTQ0NywsLCdHQlAnKQ==&amp;WINDOW=FIRST_POPUP&amp;HEIGHT=450&amp;WIDTH=450&amp;","START_MAXIMIZED=FALSE&amp;VAR:CALENDAR=FIVEDAY&amp;VAR:SYMBOL=323868&amp;VAR:INDEX=0"}</definedName>
    <definedName name="_453__FDSAUDITLINK__" hidden="1">{"fdsup://directions/FAT Viewer?action=UPDATE&amp;creator=factset&amp;DYN_ARGS=TRUE&amp;DOC_NAME=FAT:FQL_AUDITING_CLIENT_TEMPLATE.FAT&amp;display_string=Audit&amp;VAR:KEY=SVMHIDYBQZ&amp;VAR:QUERY=RkZfRUJJVF9JQignQU5OJywzOTQ0NywsLCdHQlAnKQ==&amp;WINDOW=FIRST_POPUP&amp;HEIGHT=450&amp;WIDTH=450&amp;","START_MAXIMIZED=FALSE&amp;VAR:CALENDAR=FIVEDAY&amp;VAR:SYMBOL=323868&amp;VAR:INDEX=0"}</definedName>
    <definedName name="_453__FDSAUDITLINK___1" localSheetId="8" hidden="1">{"fdsup://directions/FAT Viewer?action=UPDATE&amp;creator=factset&amp;DYN_ARGS=TRUE&amp;DOC_NAME=FAT:FQL_AUDITING_CLIENT_TEMPLATE.FAT&amp;display_string=Audit&amp;VAR:KEY=SVMHIDYBQZ&amp;VAR:QUERY=RkZfRUJJVF9JQignQU5OJywzOTQ0NywsLCdHQlAnKQ==&amp;WINDOW=FIRST_POPUP&amp;HEIGHT=450&amp;WIDTH=450&amp;","START_MAXIMIZED=FALSE&amp;VAR:CALENDAR=FIVEDAY&amp;VAR:SYMBOL=323868&amp;VAR:INDEX=0"}</definedName>
    <definedName name="_453__FDSAUDITLINK___1" hidden="1">{"fdsup://directions/FAT Viewer?action=UPDATE&amp;creator=factset&amp;DYN_ARGS=TRUE&amp;DOC_NAME=FAT:FQL_AUDITING_CLIENT_TEMPLATE.FAT&amp;display_string=Audit&amp;VAR:KEY=SVMHIDYBQZ&amp;VAR:QUERY=RkZfRUJJVF9JQignQU5OJywzOTQ0NywsLCdHQlAnKQ==&amp;WINDOW=FIRST_POPUP&amp;HEIGHT=450&amp;WIDTH=450&amp;","START_MAXIMIZED=FALSE&amp;VAR:CALENDAR=FIVEDAY&amp;VAR:SYMBOL=323868&amp;VAR:INDEX=0"}</definedName>
    <definedName name="_454__FDSAUDITLINK__" localSheetId="8" hidden="1">{"fdsup://directions/FAT Viewer?action=UPDATE&amp;creator=factset&amp;DYN_ARGS=TRUE&amp;DOC_NAME=FAT:FQL_AUDITING_CLIENT_TEMPLATE.FAT&amp;display_string=Audit&amp;VAR:KEY=UNQRUDMBCN&amp;VAR:QUERY=RkZfRUJJVF9JQignQU5OJywzOTA4MiwsLCdHQlAnKQ==&amp;WINDOW=FIRST_POPUP&amp;HEIGHT=450&amp;WIDTH=450&amp;","START_MAXIMIZED=FALSE&amp;VAR:CALENDAR=FIVEDAY&amp;VAR:SYMBOL=323868&amp;VAR:INDEX=0"}</definedName>
    <definedName name="_454__FDSAUDITLINK__" hidden="1">{"fdsup://directions/FAT Viewer?action=UPDATE&amp;creator=factset&amp;DYN_ARGS=TRUE&amp;DOC_NAME=FAT:FQL_AUDITING_CLIENT_TEMPLATE.FAT&amp;display_string=Audit&amp;VAR:KEY=UNQRUDMBCN&amp;VAR:QUERY=RkZfRUJJVF9JQignQU5OJywzOTA4MiwsLCdHQlAnKQ==&amp;WINDOW=FIRST_POPUP&amp;HEIGHT=450&amp;WIDTH=450&amp;","START_MAXIMIZED=FALSE&amp;VAR:CALENDAR=FIVEDAY&amp;VAR:SYMBOL=323868&amp;VAR:INDEX=0"}</definedName>
    <definedName name="_454__FDSAUDITLINK___1" localSheetId="8" hidden="1">{"fdsup://directions/FAT Viewer?action=UPDATE&amp;creator=factset&amp;DYN_ARGS=TRUE&amp;DOC_NAME=FAT:FQL_AUDITING_CLIENT_TEMPLATE.FAT&amp;display_string=Audit&amp;VAR:KEY=UNQRUDMBCN&amp;VAR:QUERY=RkZfRUJJVF9JQignQU5OJywzOTA4MiwsLCdHQlAnKQ==&amp;WINDOW=FIRST_POPUP&amp;HEIGHT=450&amp;WIDTH=450&amp;","START_MAXIMIZED=FALSE&amp;VAR:CALENDAR=FIVEDAY&amp;VAR:SYMBOL=323868&amp;VAR:INDEX=0"}</definedName>
    <definedName name="_454__FDSAUDITLINK___1" hidden="1">{"fdsup://directions/FAT Viewer?action=UPDATE&amp;creator=factset&amp;DYN_ARGS=TRUE&amp;DOC_NAME=FAT:FQL_AUDITING_CLIENT_TEMPLATE.FAT&amp;display_string=Audit&amp;VAR:KEY=UNQRUDMBCN&amp;VAR:QUERY=RkZfRUJJVF9JQignQU5OJywzOTA4MiwsLCdHQlAnKQ==&amp;WINDOW=FIRST_POPUP&amp;HEIGHT=450&amp;WIDTH=450&amp;","START_MAXIMIZED=FALSE&amp;VAR:CALENDAR=FIVEDAY&amp;VAR:SYMBOL=323868&amp;VAR:INDEX=0"}</definedName>
    <definedName name="_455__FDSAUDITLINK__" localSheetId="8" hidden="1">{"fdsup://directions/FAT Viewer?action=UPDATE&amp;creator=factset&amp;DYN_ARGS=TRUE&amp;DOC_NAME=FAT:FQL_AUDITING_CLIENT_TEMPLATE.FAT&amp;display_string=Audit&amp;VAR:KEY=SPWBKJWPQR&amp;VAR:QUERY=RkZfRUJJVF9JQignQU5OJywzOTgxMywsLCdHQlAnKQ==&amp;WINDOW=FIRST_POPUP&amp;HEIGHT=450&amp;WIDTH=450&amp;","START_MAXIMIZED=FALSE&amp;VAR:CALENDAR=FIVEDAY&amp;VAR:SYMBOL=011827&amp;VAR:INDEX=0"}</definedName>
    <definedName name="_455__FDSAUDITLINK__" hidden="1">{"fdsup://directions/FAT Viewer?action=UPDATE&amp;creator=factset&amp;DYN_ARGS=TRUE&amp;DOC_NAME=FAT:FQL_AUDITING_CLIENT_TEMPLATE.FAT&amp;display_string=Audit&amp;VAR:KEY=SPWBKJWPQR&amp;VAR:QUERY=RkZfRUJJVF9JQignQU5OJywzOTgxMywsLCdHQlAnKQ==&amp;WINDOW=FIRST_POPUP&amp;HEIGHT=450&amp;WIDTH=450&amp;","START_MAXIMIZED=FALSE&amp;VAR:CALENDAR=FIVEDAY&amp;VAR:SYMBOL=011827&amp;VAR:INDEX=0"}</definedName>
    <definedName name="_455__FDSAUDITLINK___1" localSheetId="8" hidden="1">{"fdsup://directions/FAT Viewer?action=UPDATE&amp;creator=factset&amp;DYN_ARGS=TRUE&amp;DOC_NAME=FAT:FQL_AUDITING_CLIENT_TEMPLATE.FAT&amp;display_string=Audit&amp;VAR:KEY=SPWBKJWPQR&amp;VAR:QUERY=RkZfRUJJVF9JQignQU5OJywzOTgxMywsLCdHQlAnKQ==&amp;WINDOW=FIRST_POPUP&amp;HEIGHT=450&amp;WIDTH=450&amp;","START_MAXIMIZED=FALSE&amp;VAR:CALENDAR=FIVEDAY&amp;VAR:SYMBOL=011827&amp;VAR:INDEX=0"}</definedName>
    <definedName name="_455__FDSAUDITLINK___1" hidden="1">{"fdsup://directions/FAT Viewer?action=UPDATE&amp;creator=factset&amp;DYN_ARGS=TRUE&amp;DOC_NAME=FAT:FQL_AUDITING_CLIENT_TEMPLATE.FAT&amp;display_string=Audit&amp;VAR:KEY=SPWBKJWPQR&amp;VAR:QUERY=RkZfRUJJVF9JQignQU5OJywzOTgxMywsLCdHQlAnKQ==&amp;WINDOW=FIRST_POPUP&amp;HEIGHT=450&amp;WIDTH=450&amp;","START_MAXIMIZED=FALSE&amp;VAR:CALENDAR=FIVEDAY&amp;VAR:SYMBOL=011827&amp;VAR:INDEX=0"}</definedName>
    <definedName name="_456__FDSAUDITLINK__" localSheetId="8" hidden="1">{"fdsup://directions/FAT Viewer?action=UPDATE&amp;creator=factset&amp;DYN_ARGS=TRUE&amp;DOC_NAME=FAT:FQL_AUDITING_CLIENT_TEMPLATE.FAT&amp;display_string=Audit&amp;VAR:KEY=UZEXAJWBAJ&amp;VAR:QUERY=RkZfRUJJVF9JQignQU5OJywzOTQ0NywsLCdHQlAnKQ==&amp;WINDOW=FIRST_POPUP&amp;HEIGHT=450&amp;WIDTH=450&amp;","START_MAXIMIZED=FALSE&amp;VAR:CALENDAR=FIVEDAY&amp;VAR:SYMBOL=011827&amp;VAR:INDEX=0"}</definedName>
    <definedName name="_456__FDSAUDITLINK__" hidden="1">{"fdsup://directions/FAT Viewer?action=UPDATE&amp;creator=factset&amp;DYN_ARGS=TRUE&amp;DOC_NAME=FAT:FQL_AUDITING_CLIENT_TEMPLATE.FAT&amp;display_string=Audit&amp;VAR:KEY=UZEXAJWBAJ&amp;VAR:QUERY=RkZfRUJJVF9JQignQU5OJywzOTQ0NywsLCdHQlAnKQ==&amp;WINDOW=FIRST_POPUP&amp;HEIGHT=450&amp;WIDTH=450&amp;","START_MAXIMIZED=FALSE&amp;VAR:CALENDAR=FIVEDAY&amp;VAR:SYMBOL=011827&amp;VAR:INDEX=0"}</definedName>
    <definedName name="_456__FDSAUDITLINK___1" localSheetId="8" hidden="1">{"fdsup://directions/FAT Viewer?action=UPDATE&amp;creator=factset&amp;DYN_ARGS=TRUE&amp;DOC_NAME=FAT:FQL_AUDITING_CLIENT_TEMPLATE.FAT&amp;display_string=Audit&amp;VAR:KEY=UZEXAJWBAJ&amp;VAR:QUERY=RkZfRUJJVF9JQignQU5OJywzOTQ0NywsLCdHQlAnKQ==&amp;WINDOW=FIRST_POPUP&amp;HEIGHT=450&amp;WIDTH=450&amp;","START_MAXIMIZED=FALSE&amp;VAR:CALENDAR=FIVEDAY&amp;VAR:SYMBOL=011827&amp;VAR:INDEX=0"}</definedName>
    <definedName name="_456__FDSAUDITLINK___1" hidden="1">{"fdsup://directions/FAT Viewer?action=UPDATE&amp;creator=factset&amp;DYN_ARGS=TRUE&amp;DOC_NAME=FAT:FQL_AUDITING_CLIENT_TEMPLATE.FAT&amp;display_string=Audit&amp;VAR:KEY=UZEXAJWBAJ&amp;VAR:QUERY=RkZfRUJJVF9JQignQU5OJywzOTQ0NywsLCdHQlAnKQ==&amp;WINDOW=FIRST_POPUP&amp;HEIGHT=450&amp;WIDTH=450&amp;","START_MAXIMIZED=FALSE&amp;VAR:CALENDAR=FIVEDAY&amp;VAR:SYMBOL=011827&amp;VAR:INDEX=0"}</definedName>
    <definedName name="_457__FDSAUDITLINK__" localSheetId="8" hidden="1">{"fdsup://directions/FAT Viewer?action=UPDATE&amp;creator=factset&amp;DYN_ARGS=TRUE&amp;DOC_NAME=FAT:FQL_AUDITING_CLIENT_TEMPLATE.FAT&amp;display_string=Audit&amp;VAR:KEY=WRKPEZOXWH&amp;VAR:QUERY=RkZfRUJJVF9JQignQU5OJywzOTA4MiwsLCdHQlAnKQ==&amp;WINDOW=FIRST_POPUP&amp;HEIGHT=450&amp;WIDTH=450&amp;","START_MAXIMIZED=FALSE&amp;VAR:CALENDAR=FIVEDAY&amp;VAR:SYMBOL=011827&amp;VAR:INDEX=0"}</definedName>
    <definedName name="_457__FDSAUDITLINK__" hidden="1">{"fdsup://directions/FAT Viewer?action=UPDATE&amp;creator=factset&amp;DYN_ARGS=TRUE&amp;DOC_NAME=FAT:FQL_AUDITING_CLIENT_TEMPLATE.FAT&amp;display_string=Audit&amp;VAR:KEY=WRKPEZOXWH&amp;VAR:QUERY=RkZfRUJJVF9JQignQU5OJywzOTA4MiwsLCdHQlAnKQ==&amp;WINDOW=FIRST_POPUP&amp;HEIGHT=450&amp;WIDTH=450&amp;","START_MAXIMIZED=FALSE&amp;VAR:CALENDAR=FIVEDAY&amp;VAR:SYMBOL=011827&amp;VAR:INDEX=0"}</definedName>
    <definedName name="_457__FDSAUDITLINK___1" localSheetId="8" hidden="1">{"fdsup://directions/FAT Viewer?action=UPDATE&amp;creator=factset&amp;DYN_ARGS=TRUE&amp;DOC_NAME=FAT:FQL_AUDITING_CLIENT_TEMPLATE.FAT&amp;display_string=Audit&amp;VAR:KEY=WRKPEZOXWH&amp;VAR:QUERY=RkZfRUJJVF9JQignQU5OJywzOTA4MiwsLCdHQlAnKQ==&amp;WINDOW=FIRST_POPUP&amp;HEIGHT=450&amp;WIDTH=450&amp;","START_MAXIMIZED=FALSE&amp;VAR:CALENDAR=FIVEDAY&amp;VAR:SYMBOL=011827&amp;VAR:INDEX=0"}</definedName>
    <definedName name="_457__FDSAUDITLINK___1" hidden="1">{"fdsup://directions/FAT Viewer?action=UPDATE&amp;creator=factset&amp;DYN_ARGS=TRUE&amp;DOC_NAME=FAT:FQL_AUDITING_CLIENT_TEMPLATE.FAT&amp;display_string=Audit&amp;VAR:KEY=WRKPEZOXWH&amp;VAR:QUERY=RkZfRUJJVF9JQignQU5OJywzOTA4MiwsLCdHQlAnKQ==&amp;WINDOW=FIRST_POPUP&amp;HEIGHT=450&amp;WIDTH=450&amp;","START_MAXIMIZED=FALSE&amp;VAR:CALENDAR=FIVEDAY&amp;VAR:SYMBOL=011827&amp;VAR:INDEX=0"}</definedName>
    <definedName name="_458__FDSAUDITLINK__" localSheetId="8" hidden="1">{"fdsup://directions/FAT Viewer?action=UPDATE&amp;creator=factset&amp;DYN_ARGS=TRUE&amp;DOC_NAME=FAT:FQL_AUDITING_CLIENT_TEMPLATE.FAT&amp;display_string=Audit&amp;VAR:KEY=WDOLYBIPYR&amp;VAR:QUERY=RkZfRUJJVF9JQignQU5OJywzOTkwMywsLCdHQlAnKQ==&amp;WINDOW=FIRST_POPUP&amp;HEIGHT=450&amp;WIDTH=450&amp;","START_MAXIMIZED=FALSE&amp;VAR:CALENDAR=FIVEDAY&amp;VAR:SYMBOL=092210&amp;VAR:INDEX=0"}</definedName>
    <definedName name="_458__FDSAUDITLINK__" hidden="1">{"fdsup://directions/FAT Viewer?action=UPDATE&amp;creator=factset&amp;DYN_ARGS=TRUE&amp;DOC_NAME=FAT:FQL_AUDITING_CLIENT_TEMPLATE.FAT&amp;display_string=Audit&amp;VAR:KEY=WDOLYBIPYR&amp;VAR:QUERY=RkZfRUJJVF9JQignQU5OJywzOTkwMywsLCdHQlAnKQ==&amp;WINDOW=FIRST_POPUP&amp;HEIGHT=450&amp;WIDTH=450&amp;","START_MAXIMIZED=FALSE&amp;VAR:CALENDAR=FIVEDAY&amp;VAR:SYMBOL=092210&amp;VAR:INDEX=0"}</definedName>
    <definedName name="_458__FDSAUDITLINK___1" localSheetId="8" hidden="1">{"fdsup://directions/FAT Viewer?action=UPDATE&amp;creator=factset&amp;DYN_ARGS=TRUE&amp;DOC_NAME=FAT:FQL_AUDITING_CLIENT_TEMPLATE.FAT&amp;display_string=Audit&amp;VAR:KEY=WDOLYBIPYR&amp;VAR:QUERY=RkZfRUJJVF9JQignQU5OJywzOTkwMywsLCdHQlAnKQ==&amp;WINDOW=FIRST_POPUP&amp;HEIGHT=450&amp;WIDTH=450&amp;","START_MAXIMIZED=FALSE&amp;VAR:CALENDAR=FIVEDAY&amp;VAR:SYMBOL=092210&amp;VAR:INDEX=0"}</definedName>
    <definedName name="_458__FDSAUDITLINK___1" hidden="1">{"fdsup://directions/FAT Viewer?action=UPDATE&amp;creator=factset&amp;DYN_ARGS=TRUE&amp;DOC_NAME=FAT:FQL_AUDITING_CLIENT_TEMPLATE.FAT&amp;display_string=Audit&amp;VAR:KEY=WDOLYBIPYR&amp;VAR:QUERY=RkZfRUJJVF9JQignQU5OJywzOTkwMywsLCdHQlAnKQ==&amp;WINDOW=FIRST_POPUP&amp;HEIGHT=450&amp;WIDTH=450&amp;","START_MAXIMIZED=FALSE&amp;VAR:CALENDAR=FIVEDAY&amp;VAR:SYMBOL=092210&amp;VAR:INDEX=0"}</definedName>
    <definedName name="_459__FDSAUDITLINK__" localSheetId="8" hidden="1">{"fdsup://directions/FAT Viewer?action=UPDATE&amp;creator=factset&amp;DYN_ARGS=TRUE&amp;DOC_NAME=FAT:FQL_AUDITING_CLIENT_TEMPLATE.FAT&amp;display_string=Audit&amp;VAR:KEY=ODWPGTCPAN&amp;VAR:QUERY=RkZfRUJJVF9JQignQU5OJywzOTUzOCwsLCdHQlAnKQ==&amp;WINDOW=FIRST_POPUP&amp;HEIGHT=450&amp;WIDTH=450&amp;","START_MAXIMIZED=FALSE&amp;VAR:CALENDAR=FIVEDAY&amp;VAR:SYMBOL=092210&amp;VAR:INDEX=0"}</definedName>
    <definedName name="_459__FDSAUDITLINK__" hidden="1">{"fdsup://directions/FAT Viewer?action=UPDATE&amp;creator=factset&amp;DYN_ARGS=TRUE&amp;DOC_NAME=FAT:FQL_AUDITING_CLIENT_TEMPLATE.FAT&amp;display_string=Audit&amp;VAR:KEY=ODWPGTCPAN&amp;VAR:QUERY=RkZfRUJJVF9JQignQU5OJywzOTUzOCwsLCdHQlAnKQ==&amp;WINDOW=FIRST_POPUP&amp;HEIGHT=450&amp;WIDTH=450&amp;","START_MAXIMIZED=FALSE&amp;VAR:CALENDAR=FIVEDAY&amp;VAR:SYMBOL=092210&amp;VAR:INDEX=0"}</definedName>
    <definedName name="_459__FDSAUDITLINK___1" localSheetId="8" hidden="1">{"fdsup://directions/FAT Viewer?action=UPDATE&amp;creator=factset&amp;DYN_ARGS=TRUE&amp;DOC_NAME=FAT:FQL_AUDITING_CLIENT_TEMPLATE.FAT&amp;display_string=Audit&amp;VAR:KEY=ODWPGTCPAN&amp;VAR:QUERY=RkZfRUJJVF9JQignQU5OJywzOTUzOCwsLCdHQlAnKQ==&amp;WINDOW=FIRST_POPUP&amp;HEIGHT=450&amp;WIDTH=450&amp;","START_MAXIMIZED=FALSE&amp;VAR:CALENDAR=FIVEDAY&amp;VAR:SYMBOL=092210&amp;VAR:INDEX=0"}</definedName>
    <definedName name="_459__FDSAUDITLINK___1" hidden="1">{"fdsup://directions/FAT Viewer?action=UPDATE&amp;creator=factset&amp;DYN_ARGS=TRUE&amp;DOC_NAME=FAT:FQL_AUDITING_CLIENT_TEMPLATE.FAT&amp;display_string=Audit&amp;VAR:KEY=ODWPGTCPAN&amp;VAR:QUERY=RkZfRUJJVF9JQignQU5OJywzOTUzOCwsLCdHQlAnKQ==&amp;WINDOW=FIRST_POPUP&amp;HEIGHT=450&amp;WIDTH=450&amp;","START_MAXIMIZED=FALSE&amp;VAR:CALENDAR=FIVEDAY&amp;VAR:SYMBOL=092210&amp;VAR:INDEX=0"}</definedName>
    <definedName name="_46__123Graph_BCHART_15" hidden="1">#REF!</definedName>
    <definedName name="_46__123Graph_BCHART_8" localSheetId="8" hidden="1">#REF!</definedName>
    <definedName name="_46__123Graph_BCHART_8" hidden="1">#REF!</definedName>
    <definedName name="_46__123Graph_CCHART_8" hidden="1">#REF!</definedName>
    <definedName name="_46__123Graph_XGRAFICO_16" localSheetId="8" hidden="1">#REF!</definedName>
    <definedName name="_46__123Graph_XGRAFICO_16" hidden="1">#REF!</definedName>
    <definedName name="_46__FDSAUDITLINK__" localSheetId="8" hidden="1">{"fdsup://directions/FAT Viewer?action=UPDATE&amp;creator=factset&amp;DYN_ARGS=TRUE&amp;DOC_NAME=FAT:FQL_AUDITING_CLIENT_TEMPLATE.FAT&amp;display_string=Audit&amp;VAR:KEY=GDWBIXYLEL&amp;VAR:QUERY=RkZfRUJJVERBX0lCKEFOTiwzNTQzMCwsLCxFVVIp&amp;WINDOW=FIRST_POPUP&amp;HEIGHT=450&amp;WIDTH=450&amp;STAR","T_MAXIMIZED=FALSE&amp;VAR:CALENDAR=FIVEDAY&amp;VAR:SYMBOL=591344&amp;VAR:INDEX=0"}</definedName>
    <definedName name="_46__FDSAUDITLINK__" hidden="1">{"fdsup://directions/FAT Viewer?action=UPDATE&amp;creator=factset&amp;DYN_ARGS=TRUE&amp;DOC_NAME=FAT:FQL_AUDITING_CLIENT_TEMPLATE.FAT&amp;display_string=Audit&amp;VAR:KEY=GHQHIBABCV&amp;VAR:QUERY=RkZfRUJJVERBX09QRVIoQ0FMLDIwMTEp&amp;WINDOW=FIRST_POPUP&amp;HEIGHT=450&amp;WIDTH=450&amp;START_MAXIMI","ZED=FALSE&amp;VAR:CALENDAR=US&amp;VAR:SYMBOL=MLM&amp;VAR:INDEX=0"}</definedName>
    <definedName name="_46__FDSAUDITLINK___1" localSheetId="8" hidden="1">{"fdsup://directions/FAT Viewer?action=UPDATE&amp;creator=factset&amp;DYN_ARGS=TRUE&amp;DOC_NAME=FAT:FQL_AUDITING_CLIENT_TEMPLATE.FAT&amp;display_string=Audit&amp;VAR:KEY=GDWBIXYLEL&amp;VAR:QUERY=RkZfRUJJVERBX0lCKEFOTiwzNTQzMCwsLCxFVVIp&amp;WINDOW=FIRST_POPUP&amp;HEIGHT=450&amp;WIDTH=450&amp;STAR","T_MAXIMIZED=FALSE&amp;VAR:CALENDAR=FIVEDAY&amp;VAR:SYMBOL=591344&amp;VAR:INDEX=0"}</definedName>
    <definedName name="_46__FDSAUDITLINK___1" hidden="1">{"fdsup://directions/FAT Viewer?action=UPDATE&amp;creator=factset&amp;DYN_ARGS=TRUE&amp;DOC_NAME=FAT:FQL_AUDITING_CLIENT_TEMPLATE.FAT&amp;display_string=Audit&amp;VAR:KEY=GDWBIXYLEL&amp;VAR:QUERY=RkZfRUJJVERBX0lCKEFOTiwzNTQzMCwsLCxFVVIp&amp;WINDOW=FIRST_POPUP&amp;HEIGHT=450&amp;WIDTH=450&amp;STAR","T_MAXIMIZED=FALSE&amp;VAR:CALENDAR=FIVEDAY&amp;VAR:SYMBOL=591344&amp;VAR:INDEX=0"}</definedName>
    <definedName name="_460__FDSAUDITLINK__" localSheetId="8" hidden="1">{"fdsup://directions/FAT Viewer?action=UPDATE&amp;creator=factset&amp;DYN_ARGS=TRUE&amp;DOC_NAME=FAT:FQL_AUDITING_CLIENT_TEMPLATE.FAT&amp;display_string=Audit&amp;VAR:KEY=EFINOZOFOT&amp;VAR:QUERY=RkZfRUJJVF9JQignQU5OJywzOTE3MiwsLCdHQlAnKQ==&amp;WINDOW=FIRST_POPUP&amp;HEIGHT=450&amp;WIDTH=450&amp;","START_MAXIMIZED=FALSE&amp;VAR:CALENDAR=FIVEDAY&amp;VAR:SYMBOL=092210&amp;VAR:INDEX=0"}</definedName>
    <definedName name="_460__FDSAUDITLINK__" hidden="1">{"fdsup://directions/FAT Viewer?action=UPDATE&amp;creator=factset&amp;DYN_ARGS=TRUE&amp;DOC_NAME=FAT:FQL_AUDITING_CLIENT_TEMPLATE.FAT&amp;display_string=Audit&amp;VAR:KEY=EFINOZOFOT&amp;VAR:QUERY=RkZfRUJJVF9JQignQU5OJywzOTE3MiwsLCdHQlAnKQ==&amp;WINDOW=FIRST_POPUP&amp;HEIGHT=450&amp;WIDTH=450&amp;","START_MAXIMIZED=FALSE&amp;VAR:CALENDAR=FIVEDAY&amp;VAR:SYMBOL=092210&amp;VAR:INDEX=0"}</definedName>
    <definedName name="_460__FDSAUDITLINK___1" localSheetId="8" hidden="1">{"fdsup://directions/FAT Viewer?action=UPDATE&amp;creator=factset&amp;DYN_ARGS=TRUE&amp;DOC_NAME=FAT:FQL_AUDITING_CLIENT_TEMPLATE.FAT&amp;display_string=Audit&amp;VAR:KEY=EFINOZOFOT&amp;VAR:QUERY=RkZfRUJJVF9JQignQU5OJywzOTE3MiwsLCdHQlAnKQ==&amp;WINDOW=FIRST_POPUP&amp;HEIGHT=450&amp;WIDTH=450&amp;","START_MAXIMIZED=FALSE&amp;VAR:CALENDAR=FIVEDAY&amp;VAR:SYMBOL=092210&amp;VAR:INDEX=0"}</definedName>
    <definedName name="_460__FDSAUDITLINK___1" hidden="1">{"fdsup://directions/FAT Viewer?action=UPDATE&amp;creator=factset&amp;DYN_ARGS=TRUE&amp;DOC_NAME=FAT:FQL_AUDITING_CLIENT_TEMPLATE.FAT&amp;display_string=Audit&amp;VAR:KEY=EFINOZOFOT&amp;VAR:QUERY=RkZfRUJJVF9JQignQU5OJywzOTE3MiwsLCdHQlAnKQ==&amp;WINDOW=FIRST_POPUP&amp;HEIGHT=450&amp;WIDTH=450&amp;","START_MAXIMIZED=FALSE&amp;VAR:CALENDAR=FIVEDAY&amp;VAR:SYMBOL=092210&amp;VAR:INDEX=0"}</definedName>
    <definedName name="_461__FDSAUDITLINK__" localSheetId="8" hidden="1">{"fdsup://directions/FAT Viewer?action=UPDATE&amp;creator=factset&amp;DYN_ARGS=TRUE&amp;DOC_NAME=FAT:FQL_AUDITING_CLIENT_TEMPLATE.FAT&amp;display_string=Audit&amp;VAR:KEY=GJWRUDGJWF&amp;VAR:QUERY=RkZfRUJJVF9JQignQU5OJyw0MDE3OCwsLCdTRUsnKQ==&amp;WINDOW=FIRST_POPUP&amp;HEIGHT=450&amp;WIDTH=450&amp;","START_MAXIMIZED=FALSE&amp;VAR:CALENDAR=FIVEDAY&amp;VAR:SYMBOL=454047&amp;VAR:INDEX=0"}</definedName>
    <definedName name="_461__FDSAUDITLINK__" hidden="1">{"fdsup://directions/FAT Viewer?action=UPDATE&amp;creator=factset&amp;DYN_ARGS=TRUE&amp;DOC_NAME=FAT:FQL_AUDITING_CLIENT_TEMPLATE.FAT&amp;display_string=Audit&amp;VAR:KEY=GJWRUDGJWF&amp;VAR:QUERY=RkZfRUJJVF9JQignQU5OJyw0MDE3OCwsLCdTRUsnKQ==&amp;WINDOW=FIRST_POPUP&amp;HEIGHT=450&amp;WIDTH=450&amp;","START_MAXIMIZED=FALSE&amp;VAR:CALENDAR=FIVEDAY&amp;VAR:SYMBOL=454047&amp;VAR:INDEX=0"}</definedName>
    <definedName name="_461__FDSAUDITLINK___1" localSheetId="8" hidden="1">{"fdsup://directions/FAT Viewer?action=UPDATE&amp;creator=factset&amp;DYN_ARGS=TRUE&amp;DOC_NAME=FAT:FQL_AUDITING_CLIENT_TEMPLATE.FAT&amp;display_string=Audit&amp;VAR:KEY=GJWRUDGJWF&amp;VAR:QUERY=RkZfRUJJVF9JQignQU5OJyw0MDE3OCwsLCdTRUsnKQ==&amp;WINDOW=FIRST_POPUP&amp;HEIGHT=450&amp;WIDTH=450&amp;","START_MAXIMIZED=FALSE&amp;VAR:CALENDAR=FIVEDAY&amp;VAR:SYMBOL=454047&amp;VAR:INDEX=0"}</definedName>
    <definedName name="_461__FDSAUDITLINK___1" hidden="1">{"fdsup://directions/FAT Viewer?action=UPDATE&amp;creator=factset&amp;DYN_ARGS=TRUE&amp;DOC_NAME=FAT:FQL_AUDITING_CLIENT_TEMPLATE.FAT&amp;display_string=Audit&amp;VAR:KEY=GJWRUDGJWF&amp;VAR:QUERY=RkZfRUJJVF9JQignQU5OJyw0MDE3OCwsLCdTRUsnKQ==&amp;WINDOW=FIRST_POPUP&amp;HEIGHT=450&amp;WIDTH=450&amp;","START_MAXIMIZED=FALSE&amp;VAR:CALENDAR=FIVEDAY&amp;VAR:SYMBOL=454047&amp;VAR:INDEX=0"}</definedName>
    <definedName name="_462__FDSAUDITLINK__" localSheetId="8" hidden="1">{"fdsup://directions/FAT Viewer?action=UPDATE&amp;creator=factset&amp;DYN_ARGS=TRUE&amp;DOC_NAME=FAT:FQL_AUDITING_CLIENT_TEMPLATE.FAT&amp;display_string=Audit&amp;VAR:KEY=GVUJODYPKL&amp;VAR:QUERY=RkZfRUJJVF9JQignQU5OJywzOTgxMywsLCdTRUsnKQ==&amp;WINDOW=FIRST_POPUP&amp;HEIGHT=450&amp;WIDTH=450&amp;","START_MAXIMIZED=FALSE&amp;VAR:CALENDAR=FIVEDAY&amp;VAR:SYMBOL=454047&amp;VAR:INDEX=0"}</definedName>
    <definedName name="_462__FDSAUDITLINK__" hidden="1">{"fdsup://directions/FAT Viewer?action=UPDATE&amp;creator=factset&amp;DYN_ARGS=TRUE&amp;DOC_NAME=FAT:FQL_AUDITING_CLIENT_TEMPLATE.FAT&amp;display_string=Audit&amp;VAR:KEY=NINENITEBA&amp;VAR:QUERY=RkZfRUJJVERBX09QRVIoTFRNLDQxMDkyKQ==&amp;WINDOW=FIRST_POPUP&amp;HEIGHT=450&amp;WIDTH=450&amp;START_MA","XIMIZED=FALSE&amp;VAR:CALENDAR=US&amp;VAR:SYMBOL=450270&amp;VAR:INDEX=0"}</definedName>
    <definedName name="_462__FDSAUDITLINK___1" localSheetId="8" hidden="1">{"fdsup://directions/FAT Viewer?action=UPDATE&amp;creator=factset&amp;DYN_ARGS=TRUE&amp;DOC_NAME=FAT:FQL_AUDITING_CLIENT_TEMPLATE.FAT&amp;display_string=Audit&amp;VAR:KEY=GVUJODYPKL&amp;VAR:QUERY=RkZfRUJJVF9JQignQU5OJywzOTgxMywsLCdTRUsnKQ==&amp;WINDOW=FIRST_POPUP&amp;HEIGHT=450&amp;WIDTH=450&amp;","START_MAXIMIZED=FALSE&amp;VAR:CALENDAR=FIVEDAY&amp;VAR:SYMBOL=454047&amp;VAR:INDEX=0"}</definedName>
    <definedName name="_462__FDSAUDITLINK___1" hidden="1">{"fdsup://directions/FAT Viewer?action=UPDATE&amp;creator=factset&amp;DYN_ARGS=TRUE&amp;DOC_NAME=FAT:FQL_AUDITING_CLIENT_TEMPLATE.FAT&amp;display_string=Audit&amp;VAR:KEY=GVUJODYPKL&amp;VAR:QUERY=RkZfRUJJVF9JQignQU5OJywzOTgxMywsLCdTRUsnKQ==&amp;WINDOW=FIRST_POPUP&amp;HEIGHT=450&amp;WIDTH=450&amp;","START_MAXIMIZED=FALSE&amp;VAR:CALENDAR=FIVEDAY&amp;VAR:SYMBOL=454047&amp;VAR:INDEX=0"}</definedName>
    <definedName name="_463__FDSAUDITLINK__" localSheetId="8" hidden="1">{"fdsup://directions/FAT Viewer?action=UPDATE&amp;creator=factset&amp;DYN_ARGS=TRUE&amp;DOC_NAME=FAT:FQL_AUDITING_CLIENT_TEMPLATE.FAT&amp;display_string=Audit&amp;VAR:KEY=UXWPQHEDCT&amp;VAR:QUERY=RkZfRUJJVF9JQignQU5OJywzOTQ0NywsLCdTRUsnKQ==&amp;WINDOW=FIRST_POPUP&amp;HEIGHT=450&amp;WIDTH=450&amp;","START_MAXIMIZED=FALSE&amp;VAR:CALENDAR=FIVEDAY&amp;VAR:SYMBOL=454047&amp;VAR:INDEX=0"}</definedName>
    <definedName name="_463__FDSAUDITLINK__" hidden="1">{"fdsup://directions/FAT Viewer?action=UPDATE&amp;creator=factset&amp;DYN_ARGS=TRUE&amp;DOC_NAME=FAT:FQL_AUDITING_CLIENT_TEMPLATE.FAT&amp;display_string=Audit&amp;VAR:KEY=OLENCHOTEV&amp;VAR:QUERY=RkZfU0FMRVMoQ0FMLDIwMTApICogMS4yMTY3NTA=&amp;WINDOW=FIRST_POPUP&amp;HEIGHT=450&amp;WIDTH=450&amp;STAR","T_MAXIMIZED=FALSE&amp;VAR:CALENDAR=US&amp;VAR:SYMBOL=450270&amp;VAR:INDEX=0"}</definedName>
    <definedName name="_463__FDSAUDITLINK___1" localSheetId="8" hidden="1">{"fdsup://directions/FAT Viewer?action=UPDATE&amp;creator=factset&amp;DYN_ARGS=TRUE&amp;DOC_NAME=FAT:FQL_AUDITING_CLIENT_TEMPLATE.FAT&amp;display_string=Audit&amp;VAR:KEY=UXWPQHEDCT&amp;VAR:QUERY=RkZfRUJJVF9JQignQU5OJywzOTQ0NywsLCdTRUsnKQ==&amp;WINDOW=FIRST_POPUP&amp;HEIGHT=450&amp;WIDTH=450&amp;","START_MAXIMIZED=FALSE&amp;VAR:CALENDAR=FIVEDAY&amp;VAR:SYMBOL=454047&amp;VAR:INDEX=0"}</definedName>
    <definedName name="_463__FDSAUDITLINK___1" hidden="1">{"fdsup://directions/FAT Viewer?action=UPDATE&amp;creator=factset&amp;DYN_ARGS=TRUE&amp;DOC_NAME=FAT:FQL_AUDITING_CLIENT_TEMPLATE.FAT&amp;display_string=Audit&amp;VAR:KEY=UXWPQHEDCT&amp;VAR:QUERY=RkZfRUJJVF9JQignQU5OJywzOTQ0NywsLCdTRUsnKQ==&amp;WINDOW=FIRST_POPUP&amp;HEIGHT=450&amp;WIDTH=450&amp;","START_MAXIMIZED=FALSE&amp;VAR:CALENDAR=FIVEDAY&amp;VAR:SYMBOL=454047&amp;VAR:INDEX=0"}</definedName>
    <definedName name="_464__FDSAUDITLINK__" localSheetId="8" hidden="1">{"fdsup://directions/FAT Viewer?action=UPDATE&amp;creator=factset&amp;DYN_ARGS=TRUE&amp;DOC_NAME=FAT:FQL_AUDITING_CLIENT_TEMPLATE.FAT&amp;display_string=Audit&amp;VAR:KEY=WFMZILKZGB&amp;VAR:QUERY=RkZfRUJJVF9JQignQU5OJyw0MDA4NiwsLCdHQlAnKQ==&amp;WINDOW=FIRST_POPUP&amp;HEIGHT=450&amp;WIDTH=450&amp;","START_MAXIMIZED=FALSE&amp;VAR:CALENDAR=FIVEDAY&amp;VAR:SYMBOL=080216&amp;VAR:INDEX=0"}</definedName>
    <definedName name="_464__FDSAUDITLINK__" hidden="1">{"fdsup://directions/FAT Viewer?action=UPDATE&amp;creator=factset&amp;DYN_ARGS=TRUE&amp;DOC_NAME=FAT:FQL_AUDITING_CLIENT_TEMPLATE.FAT&amp;display_string=Audit&amp;VAR:KEY=MBGHKFKVKH&amp;VAR:QUERY=RkZfRUJJVERBX09QRVIoQ0FMLDIwMDkpICogMS4yMTY3NTA=&amp;WINDOW=FIRST_POPUP&amp;HEIGHT=450&amp;WIDTH=","450&amp;START_MAXIMIZED=FALSE&amp;VAR:CALENDAR=US&amp;VAR:SYMBOL=450270&amp;VAR:INDEX=0"}</definedName>
    <definedName name="_464__FDSAUDITLINK___1" localSheetId="8" hidden="1">{"fdsup://directions/FAT Viewer?action=UPDATE&amp;creator=factset&amp;DYN_ARGS=TRUE&amp;DOC_NAME=FAT:FQL_AUDITING_CLIENT_TEMPLATE.FAT&amp;display_string=Audit&amp;VAR:KEY=WFMZILKZGB&amp;VAR:QUERY=RkZfRUJJVF9JQignQU5OJyw0MDA4NiwsLCdHQlAnKQ==&amp;WINDOW=FIRST_POPUP&amp;HEIGHT=450&amp;WIDTH=450&amp;","START_MAXIMIZED=FALSE&amp;VAR:CALENDAR=FIVEDAY&amp;VAR:SYMBOL=080216&amp;VAR:INDEX=0"}</definedName>
    <definedName name="_464__FDSAUDITLINK___1" hidden="1">{"fdsup://directions/FAT Viewer?action=UPDATE&amp;creator=factset&amp;DYN_ARGS=TRUE&amp;DOC_NAME=FAT:FQL_AUDITING_CLIENT_TEMPLATE.FAT&amp;display_string=Audit&amp;VAR:KEY=WFMZILKZGB&amp;VAR:QUERY=RkZfRUJJVF9JQignQU5OJyw0MDA4NiwsLCdHQlAnKQ==&amp;WINDOW=FIRST_POPUP&amp;HEIGHT=450&amp;WIDTH=450&amp;","START_MAXIMIZED=FALSE&amp;VAR:CALENDAR=FIVEDAY&amp;VAR:SYMBOL=080216&amp;VAR:INDEX=0"}</definedName>
    <definedName name="_465__FDSAUDITLINK__" localSheetId="8" hidden="1">{"fdsup://directions/FAT Viewer?action=UPDATE&amp;creator=factset&amp;DYN_ARGS=TRUE&amp;DOC_NAME=FAT:FQL_AUDITING_CLIENT_TEMPLATE.FAT&amp;display_string=Audit&amp;VAR:KEY=GTINUJOJWX&amp;VAR:QUERY=RkZfRUJJVF9JQignQU5OJywzOTcyMSwsLCdHQlAnKQ==&amp;WINDOW=FIRST_POPUP&amp;HEIGHT=450&amp;WIDTH=450&amp;","START_MAXIMIZED=FALSE&amp;VAR:CALENDAR=FIVEDAY&amp;VAR:SYMBOL=080216&amp;VAR:INDEX=0"}</definedName>
    <definedName name="_465__FDSAUDITLINK__" hidden="1">{"fdsup://directions/FAT Viewer?action=UPDATE&amp;creator=factset&amp;DYN_ARGS=TRUE&amp;DOC_NAME=FAT:FQL_AUDITING_CLIENT_TEMPLATE.FAT&amp;display_string=Audit&amp;VAR:KEY=YTOBMDONCB&amp;VAR:QUERY=RkZfRVBTKENBTCwyMDExKSAqIDEuMjE2NzUw&amp;WINDOW=FIRST_POPUP&amp;HEIGHT=450&amp;WIDTH=450&amp;START_MA","XIMIZED=FALSE&amp;VAR:CALENDAR=US&amp;VAR:SYMBOL=450270&amp;VAR:INDEX=0"}</definedName>
    <definedName name="_465__FDSAUDITLINK___1" localSheetId="8" hidden="1">{"fdsup://directions/FAT Viewer?action=UPDATE&amp;creator=factset&amp;DYN_ARGS=TRUE&amp;DOC_NAME=FAT:FQL_AUDITING_CLIENT_TEMPLATE.FAT&amp;display_string=Audit&amp;VAR:KEY=GTINUJOJWX&amp;VAR:QUERY=RkZfRUJJVF9JQignQU5OJywzOTcyMSwsLCdHQlAnKQ==&amp;WINDOW=FIRST_POPUP&amp;HEIGHT=450&amp;WIDTH=450&amp;","START_MAXIMIZED=FALSE&amp;VAR:CALENDAR=FIVEDAY&amp;VAR:SYMBOL=080216&amp;VAR:INDEX=0"}</definedName>
    <definedName name="_465__FDSAUDITLINK___1" hidden="1">{"fdsup://directions/FAT Viewer?action=UPDATE&amp;creator=factset&amp;DYN_ARGS=TRUE&amp;DOC_NAME=FAT:FQL_AUDITING_CLIENT_TEMPLATE.FAT&amp;display_string=Audit&amp;VAR:KEY=GTINUJOJWX&amp;VAR:QUERY=RkZfRUJJVF9JQignQU5OJywzOTcyMSwsLCdHQlAnKQ==&amp;WINDOW=FIRST_POPUP&amp;HEIGHT=450&amp;WIDTH=450&amp;","START_MAXIMIZED=FALSE&amp;VAR:CALENDAR=FIVEDAY&amp;VAR:SYMBOL=080216&amp;VAR:INDEX=0"}</definedName>
    <definedName name="_466__FDSAUDITLINK__" localSheetId="8" hidden="1">{"fdsup://directions/FAT Viewer?action=UPDATE&amp;creator=factset&amp;DYN_ARGS=TRUE&amp;DOC_NAME=FAT:FQL_AUDITING_CLIENT_TEMPLATE.FAT&amp;display_string=Audit&amp;VAR:KEY=GXKLEZQXQZ&amp;VAR:QUERY=RkZfRUJJVF9JQignQU5OJywzOTM1NSwsLCdHQlAnKQ==&amp;WINDOW=FIRST_POPUP&amp;HEIGHT=450&amp;WIDTH=450&amp;","START_MAXIMIZED=FALSE&amp;VAR:CALENDAR=FIVEDAY&amp;VAR:SYMBOL=080216&amp;VAR:INDEX=0"}</definedName>
    <definedName name="_466__FDSAUDITLINK__" hidden="1">{"fdsup://directions/FAT Viewer?action=UPDATE&amp;creator=factset&amp;DYN_ARGS=TRUE&amp;DOC_NAME=FAT:FQL_AUDITING_CLIENT_TEMPLATE.FAT&amp;display_string=Audit&amp;VAR:KEY=KXUFYHSHQN&amp;VAR:QUERY=RkZfTkVUX0lOQyhDQUwsMjAxMCkgKiAxLjIxNjc1MA==&amp;WINDOW=FIRST_POPUP&amp;HEIGHT=450&amp;WIDTH=450&amp;","START_MAXIMIZED=FALSE&amp;VAR:CALENDAR=US&amp;VAR:SYMBOL=450270&amp;VAR:INDEX=0"}</definedName>
    <definedName name="_466__FDSAUDITLINK___1" localSheetId="8" hidden="1">{"fdsup://directions/FAT Viewer?action=UPDATE&amp;creator=factset&amp;DYN_ARGS=TRUE&amp;DOC_NAME=FAT:FQL_AUDITING_CLIENT_TEMPLATE.FAT&amp;display_string=Audit&amp;VAR:KEY=GXKLEZQXQZ&amp;VAR:QUERY=RkZfRUJJVF9JQignQU5OJywzOTM1NSwsLCdHQlAnKQ==&amp;WINDOW=FIRST_POPUP&amp;HEIGHT=450&amp;WIDTH=450&amp;","START_MAXIMIZED=FALSE&amp;VAR:CALENDAR=FIVEDAY&amp;VAR:SYMBOL=080216&amp;VAR:INDEX=0"}</definedName>
    <definedName name="_466__FDSAUDITLINK___1" hidden="1">{"fdsup://directions/FAT Viewer?action=UPDATE&amp;creator=factset&amp;DYN_ARGS=TRUE&amp;DOC_NAME=FAT:FQL_AUDITING_CLIENT_TEMPLATE.FAT&amp;display_string=Audit&amp;VAR:KEY=GXKLEZQXQZ&amp;VAR:QUERY=RkZfRUJJVF9JQignQU5OJywzOTM1NSwsLCdHQlAnKQ==&amp;WINDOW=FIRST_POPUP&amp;HEIGHT=450&amp;WIDTH=450&amp;","START_MAXIMIZED=FALSE&amp;VAR:CALENDAR=FIVEDAY&amp;VAR:SYMBOL=080216&amp;VAR:INDEX=0"}</definedName>
    <definedName name="_467__FDSAUDITLINK__" localSheetId="8" hidden="1">{"fdsup://directions/FAT Viewer?action=UPDATE&amp;creator=factset&amp;DYN_ARGS=TRUE&amp;DOC_NAME=FAT:FQL_AUDITING_CLIENT_TEMPLATE.FAT&amp;display_string=Audit&amp;VAR:KEY=SVQPEBIHYD&amp;VAR:QUERY=RkZfRUJJVF9JQignQU5OJywzOTgxMywsLCdHQlAnKQ==&amp;WINDOW=FIRST_POPUP&amp;HEIGHT=450&amp;WIDTH=450&amp;","START_MAXIMIZED=FALSE&amp;VAR:CALENDAR=FIVEDAY&amp;VAR:SYMBOL=075902&amp;VAR:INDEX=0"}</definedName>
    <definedName name="_467__FDSAUDITLINK__" hidden="1">{"fdsup://directions/FAT Viewer?action=UPDATE&amp;creator=factset&amp;DYN_ARGS=TRUE&amp;DOC_NAME=FAT:FQL_AUDITING_CLIENT_TEMPLATE.FAT&amp;display_string=Audit&amp;VAR:KEY=PQPMVEBKNS&amp;VAR:QUERY=RkZfSU5UX0VYUF9ORVQoTFRNLDQxMDkyKQ==&amp;WINDOW=FIRST_POPUP&amp;HEIGHT=450&amp;WIDTH=450&amp;START_MA","XIMIZED=FALSE&amp;VAR:CALENDAR=US&amp;VAR:SYMBOL=450270&amp;VAR:INDEX=0"}</definedName>
    <definedName name="_467__FDSAUDITLINK___1" localSheetId="8" hidden="1">{"fdsup://directions/FAT Viewer?action=UPDATE&amp;creator=factset&amp;DYN_ARGS=TRUE&amp;DOC_NAME=FAT:FQL_AUDITING_CLIENT_TEMPLATE.FAT&amp;display_string=Audit&amp;VAR:KEY=SVQPEBIHYD&amp;VAR:QUERY=RkZfRUJJVF9JQignQU5OJywzOTgxMywsLCdHQlAnKQ==&amp;WINDOW=FIRST_POPUP&amp;HEIGHT=450&amp;WIDTH=450&amp;","START_MAXIMIZED=FALSE&amp;VAR:CALENDAR=FIVEDAY&amp;VAR:SYMBOL=075902&amp;VAR:INDEX=0"}</definedName>
    <definedName name="_467__FDSAUDITLINK___1" hidden="1">{"fdsup://directions/FAT Viewer?action=UPDATE&amp;creator=factset&amp;DYN_ARGS=TRUE&amp;DOC_NAME=FAT:FQL_AUDITING_CLIENT_TEMPLATE.FAT&amp;display_string=Audit&amp;VAR:KEY=SVQPEBIHYD&amp;VAR:QUERY=RkZfRUJJVF9JQignQU5OJywzOTgxMywsLCdHQlAnKQ==&amp;WINDOW=FIRST_POPUP&amp;HEIGHT=450&amp;WIDTH=450&amp;","START_MAXIMIZED=FALSE&amp;VAR:CALENDAR=FIVEDAY&amp;VAR:SYMBOL=075902&amp;VAR:INDEX=0"}</definedName>
    <definedName name="_468__FDSAUDITLINK__" localSheetId="8" hidden="1">{"fdsup://directions/FAT Viewer?action=UPDATE&amp;creator=factset&amp;DYN_ARGS=TRUE&amp;DOC_NAME=FAT:FQL_AUDITING_CLIENT_TEMPLATE.FAT&amp;display_string=Audit&amp;VAR:KEY=IPKBWVGZWN&amp;VAR:QUERY=RkZfRUJJVF9JQignQU5OJywzOTQ0NywsLCdHQlAnKQ==&amp;WINDOW=FIRST_POPUP&amp;HEIGHT=450&amp;WIDTH=450&amp;","START_MAXIMIZED=FALSE&amp;VAR:CALENDAR=FIVEDAY&amp;VAR:SYMBOL=075902&amp;VAR:INDEX=0"}</definedName>
    <definedName name="_468__FDSAUDITLINK__" hidden="1">{"fdsup://directions/FAT Viewer?action=UPDATE&amp;creator=factset&amp;DYN_ARGS=TRUE&amp;DOC_NAME=FAT:FQL_AUDITING_CLIENT_TEMPLATE.FAT&amp;display_string=Audit&amp;VAR:KEY=TOPOVIBATQ&amp;VAR:QUERY=RkZfU0FMRVMoTFRNLDQxMDkyKQ==&amp;WINDOW=FIRST_POPUP&amp;HEIGHT=450&amp;WIDTH=450&amp;START_MAXIMIZED=","FALSE&amp;VAR:CALENDAR=US&amp;VAR:SYMBOL=450270&amp;VAR:INDEX=0"}</definedName>
    <definedName name="_468__FDSAUDITLINK___1" localSheetId="8" hidden="1">{"fdsup://directions/FAT Viewer?action=UPDATE&amp;creator=factset&amp;DYN_ARGS=TRUE&amp;DOC_NAME=FAT:FQL_AUDITING_CLIENT_TEMPLATE.FAT&amp;display_string=Audit&amp;VAR:KEY=IPKBWVGZWN&amp;VAR:QUERY=RkZfRUJJVF9JQignQU5OJywzOTQ0NywsLCdHQlAnKQ==&amp;WINDOW=FIRST_POPUP&amp;HEIGHT=450&amp;WIDTH=450&amp;","START_MAXIMIZED=FALSE&amp;VAR:CALENDAR=FIVEDAY&amp;VAR:SYMBOL=075902&amp;VAR:INDEX=0"}</definedName>
    <definedName name="_468__FDSAUDITLINK___1" hidden="1">{"fdsup://directions/FAT Viewer?action=UPDATE&amp;creator=factset&amp;DYN_ARGS=TRUE&amp;DOC_NAME=FAT:FQL_AUDITING_CLIENT_TEMPLATE.FAT&amp;display_string=Audit&amp;VAR:KEY=IPKBWVGZWN&amp;VAR:QUERY=RkZfRUJJVF9JQignQU5OJywzOTQ0NywsLCdHQlAnKQ==&amp;WINDOW=FIRST_POPUP&amp;HEIGHT=450&amp;WIDTH=450&amp;","START_MAXIMIZED=FALSE&amp;VAR:CALENDAR=FIVEDAY&amp;VAR:SYMBOL=075902&amp;VAR:INDEX=0"}</definedName>
    <definedName name="_469__FDSAUDITLINK__" localSheetId="8" hidden="1">{"fdsup://directions/FAT Viewer?action=UPDATE&amp;creator=factset&amp;DYN_ARGS=TRUE&amp;DOC_NAME=FAT:FQL_AUDITING_CLIENT_TEMPLATE.FAT&amp;display_string=Audit&amp;VAR:KEY=GJOLEZWXMF&amp;VAR:QUERY=RkZfRUJJVF9JQignQU5OJywzOTA4MiwsLCdHQlAnKQ==&amp;WINDOW=FIRST_POPUP&amp;HEIGHT=450&amp;WIDTH=450&amp;","START_MAXIMIZED=FALSE&amp;VAR:CALENDAR=FIVEDAY&amp;VAR:SYMBOL=075902&amp;VAR:INDEX=0"}</definedName>
    <definedName name="_469__FDSAUDITLINK__" hidden="1">{"fdsup://directions/FAT Viewer?action=UPDATE&amp;creator=factset&amp;DYN_ARGS=TRUE&amp;DOC_NAME=FAT:FQL_AUDITING_CLIENT_TEMPLATE.FAT&amp;display_string=Audit&amp;VAR:KEY=ULURWHUJSV&amp;VAR:QUERY=RkZfU0FMRVMoQ0FMLDIwMDkpICogMS4yMTY3NTA=&amp;WINDOW=FIRST_POPUP&amp;HEIGHT=450&amp;WIDTH=450&amp;STAR","T_MAXIMIZED=FALSE&amp;VAR:CALENDAR=US&amp;VAR:SYMBOL=450270&amp;VAR:INDEX=0"}</definedName>
    <definedName name="_469__FDSAUDITLINK___1" localSheetId="8" hidden="1">{"fdsup://directions/FAT Viewer?action=UPDATE&amp;creator=factset&amp;DYN_ARGS=TRUE&amp;DOC_NAME=FAT:FQL_AUDITING_CLIENT_TEMPLATE.FAT&amp;display_string=Audit&amp;VAR:KEY=GJOLEZWXMF&amp;VAR:QUERY=RkZfRUJJVF9JQignQU5OJywzOTA4MiwsLCdHQlAnKQ==&amp;WINDOW=FIRST_POPUP&amp;HEIGHT=450&amp;WIDTH=450&amp;","START_MAXIMIZED=FALSE&amp;VAR:CALENDAR=FIVEDAY&amp;VAR:SYMBOL=075902&amp;VAR:INDEX=0"}</definedName>
    <definedName name="_469__FDSAUDITLINK___1" hidden="1">{"fdsup://directions/FAT Viewer?action=UPDATE&amp;creator=factset&amp;DYN_ARGS=TRUE&amp;DOC_NAME=FAT:FQL_AUDITING_CLIENT_TEMPLATE.FAT&amp;display_string=Audit&amp;VAR:KEY=GJOLEZWXMF&amp;VAR:QUERY=RkZfRUJJVF9JQignQU5OJywzOTA4MiwsLCdHQlAnKQ==&amp;WINDOW=FIRST_POPUP&amp;HEIGHT=450&amp;WIDTH=450&amp;","START_MAXIMIZED=FALSE&amp;VAR:CALENDAR=FIVEDAY&amp;VAR:SYMBOL=075902&amp;VAR:INDEX=0"}</definedName>
    <definedName name="_47__123Graph_BCHART_16" hidden="1">#REF!</definedName>
    <definedName name="_47__123Graph_CCHART_10" localSheetId="8" hidden="1">#REF!</definedName>
    <definedName name="_47__123Graph_CCHART_10" hidden="1">#REF!</definedName>
    <definedName name="_47__123Graph_DCHART_2" hidden="1">#REF!</definedName>
    <definedName name="_47__123Graph_XGRAFICO_2" localSheetId="8" hidden="1">#REF!</definedName>
    <definedName name="_47__123Graph_XGRAFICO_2" hidden="1">#REF!</definedName>
    <definedName name="_47__FDSAUDITLINK__" localSheetId="8" hidden="1">{"fdsup://directions/FAT Viewer?action=UPDATE&amp;creator=factset&amp;DYN_ARGS=TRUE&amp;DOC_NAME=FAT:FQL_AUDITING_CLIENT_TEMPLATE.FAT&amp;display_string=Audit&amp;VAR:KEY=CLUZMBKBYT&amp;VAR:QUERY=RkZfRUJJVERBX0lCKEFOTiwzNTA2NCwsLCxFVVIp&amp;WINDOW=FIRST_POPUP&amp;HEIGHT=450&amp;WIDTH=450&amp;STAR","T_MAXIMIZED=FALSE&amp;VAR:CALENDAR=FIVEDAY&amp;VAR:SYMBOL=591344&amp;VAR:INDEX=0"}</definedName>
    <definedName name="_47__FDSAUDITLINK__" hidden="1">{"fdsup://directions/FAT Viewer?action=UPDATE&amp;creator=factset&amp;DYN_ARGS=TRUE&amp;DOC_NAME=FAT:FQL_AUDITING_CLIENT_TEMPLATE.FAT&amp;display_string=Audit&amp;VAR:KEY=EVOHCJGBWV&amp;VAR:QUERY=RkZfRUJJVERBX09QRVIoQ0FMLDIwMTEp&amp;WINDOW=FIRST_POPUP&amp;HEIGHT=450&amp;WIDTH=450&amp;START_MAXIMI","ZED=FALSE&amp;VAR:CALENDAR=US&amp;VAR:SYMBOL=EXP&amp;VAR:INDEX=0"}</definedName>
    <definedName name="_47__FDSAUDITLINK___1" localSheetId="8" hidden="1">{"fdsup://directions/FAT Viewer?action=UPDATE&amp;creator=factset&amp;DYN_ARGS=TRUE&amp;DOC_NAME=FAT:FQL_AUDITING_CLIENT_TEMPLATE.FAT&amp;display_string=Audit&amp;VAR:KEY=CLUZMBKBYT&amp;VAR:QUERY=RkZfRUJJVERBX0lCKEFOTiwzNTA2NCwsLCxFVVIp&amp;WINDOW=FIRST_POPUP&amp;HEIGHT=450&amp;WIDTH=450&amp;STAR","T_MAXIMIZED=FALSE&amp;VAR:CALENDAR=FIVEDAY&amp;VAR:SYMBOL=591344&amp;VAR:INDEX=0"}</definedName>
    <definedName name="_47__FDSAUDITLINK___1" hidden="1">{"fdsup://directions/FAT Viewer?action=UPDATE&amp;creator=factset&amp;DYN_ARGS=TRUE&amp;DOC_NAME=FAT:FQL_AUDITING_CLIENT_TEMPLATE.FAT&amp;display_string=Audit&amp;VAR:KEY=CLUZMBKBYT&amp;VAR:QUERY=RkZfRUJJVERBX0lCKEFOTiwzNTA2NCwsLCxFVVIp&amp;WINDOW=FIRST_POPUP&amp;HEIGHT=450&amp;WIDTH=450&amp;STAR","T_MAXIMIZED=FALSE&amp;VAR:CALENDAR=FIVEDAY&amp;VAR:SYMBOL=591344&amp;VAR:INDEX=0"}</definedName>
    <definedName name="_470__FDSAUDITLINK__" localSheetId="8" hidden="1">{"fdsup://directions/FAT Viewer?action=UPDATE&amp;creator=factset&amp;DYN_ARGS=TRUE&amp;DOC_NAME=FAT:FQL_AUDITING_CLIENT_TEMPLATE.FAT&amp;display_string=Audit&amp;VAR:KEY=SHAJWTIFKL&amp;VAR:QUERY=RkZfRUJJVF9JQignQU5OJywzOTgxMywsLCdHQlAnKQ==&amp;WINDOW=FIRST_POPUP&amp;HEIGHT=450&amp;WIDTH=450&amp;","START_MAXIMIZED=FALSE&amp;VAR:CALENDAR=FIVEDAY&amp;VAR:SYMBOL=063002&amp;VAR:INDEX=0"}</definedName>
    <definedName name="_470__FDSAUDITLINK__" hidden="1">{"fdsup://directions/FAT Viewer?action=UPDATE&amp;creator=factset&amp;DYN_ARGS=TRUE&amp;DOC_NAME=FAT:FQL_AUDITING_CLIENT_TEMPLATE.FAT&amp;display_string=Audit&amp;VAR:KEY=EXWTCFSROJ&amp;VAR:QUERY=RkZfRUJJVF9PUEVSKENBTCwyMDExKSAqIDEuMjE2NzUw&amp;WINDOW=FIRST_POPUP&amp;HEIGHT=450&amp;WIDTH=450&amp;","START_MAXIMIZED=FALSE&amp;VAR:CALENDAR=US&amp;VAR:SYMBOL=450270&amp;VAR:INDEX=0"}</definedName>
    <definedName name="_470__FDSAUDITLINK___1" localSheetId="8" hidden="1">{"fdsup://directions/FAT Viewer?action=UPDATE&amp;creator=factset&amp;DYN_ARGS=TRUE&amp;DOC_NAME=FAT:FQL_AUDITING_CLIENT_TEMPLATE.FAT&amp;display_string=Audit&amp;VAR:KEY=SHAJWTIFKL&amp;VAR:QUERY=RkZfRUJJVF9JQignQU5OJywzOTgxMywsLCdHQlAnKQ==&amp;WINDOW=FIRST_POPUP&amp;HEIGHT=450&amp;WIDTH=450&amp;","START_MAXIMIZED=FALSE&amp;VAR:CALENDAR=FIVEDAY&amp;VAR:SYMBOL=063002&amp;VAR:INDEX=0"}</definedName>
    <definedName name="_470__FDSAUDITLINK___1" hidden="1">{"fdsup://directions/FAT Viewer?action=UPDATE&amp;creator=factset&amp;DYN_ARGS=TRUE&amp;DOC_NAME=FAT:FQL_AUDITING_CLIENT_TEMPLATE.FAT&amp;display_string=Audit&amp;VAR:KEY=SHAJWTIFKL&amp;VAR:QUERY=RkZfRUJJVF9JQignQU5OJywzOTgxMywsLCdHQlAnKQ==&amp;WINDOW=FIRST_POPUP&amp;HEIGHT=450&amp;WIDTH=450&amp;","START_MAXIMIZED=FALSE&amp;VAR:CALENDAR=FIVEDAY&amp;VAR:SYMBOL=063002&amp;VAR:INDEX=0"}</definedName>
    <definedName name="_471__FDSAUDITLINK__" localSheetId="8" hidden="1">{"fdsup://directions/FAT Viewer?action=UPDATE&amp;creator=factset&amp;DYN_ARGS=TRUE&amp;DOC_NAME=FAT:FQL_AUDITING_CLIENT_TEMPLATE.FAT&amp;display_string=Audit&amp;VAR:KEY=UJMVSFQPIR&amp;VAR:QUERY=RkZfRUJJVF9JQignQU5OJywzOTQ0NywsLCdHQlAnKQ==&amp;WINDOW=FIRST_POPUP&amp;HEIGHT=450&amp;WIDTH=450&amp;","START_MAXIMIZED=FALSE&amp;VAR:CALENDAR=FIVEDAY&amp;VAR:SYMBOL=063002&amp;VAR:INDEX=0"}</definedName>
    <definedName name="_471__FDSAUDITLINK__" hidden="1">{"fdsup://directions/FAT Viewer?action=UPDATE&amp;creator=factset&amp;DYN_ARGS=TRUE&amp;DOC_NAME=FAT:FQL_AUDITING_CLIENT_TEMPLATE.FAT&amp;display_string=Audit&amp;VAR:KEY=CFUZATMDYD&amp;VAR:QUERY=RkZfRVBTKENBTCwyMDEwKSAqIDEuMjE2NzUw&amp;WINDOW=FIRST_POPUP&amp;HEIGHT=450&amp;WIDTH=450&amp;START_MA","XIMIZED=FALSE&amp;VAR:CALENDAR=US&amp;VAR:SYMBOL=450270&amp;VAR:INDEX=0"}</definedName>
    <definedName name="_471__FDSAUDITLINK___1" localSheetId="8" hidden="1">{"fdsup://directions/FAT Viewer?action=UPDATE&amp;creator=factset&amp;DYN_ARGS=TRUE&amp;DOC_NAME=FAT:FQL_AUDITING_CLIENT_TEMPLATE.FAT&amp;display_string=Audit&amp;VAR:KEY=UJMVSFQPIR&amp;VAR:QUERY=RkZfRUJJVF9JQignQU5OJywzOTQ0NywsLCdHQlAnKQ==&amp;WINDOW=FIRST_POPUP&amp;HEIGHT=450&amp;WIDTH=450&amp;","START_MAXIMIZED=FALSE&amp;VAR:CALENDAR=FIVEDAY&amp;VAR:SYMBOL=063002&amp;VAR:INDEX=0"}</definedName>
    <definedName name="_471__FDSAUDITLINK___1" hidden="1">{"fdsup://directions/FAT Viewer?action=UPDATE&amp;creator=factset&amp;DYN_ARGS=TRUE&amp;DOC_NAME=FAT:FQL_AUDITING_CLIENT_TEMPLATE.FAT&amp;display_string=Audit&amp;VAR:KEY=UJMVSFQPIR&amp;VAR:QUERY=RkZfRUJJVF9JQignQU5OJywzOTQ0NywsLCdHQlAnKQ==&amp;WINDOW=FIRST_POPUP&amp;HEIGHT=450&amp;WIDTH=450&amp;","START_MAXIMIZED=FALSE&amp;VAR:CALENDAR=FIVEDAY&amp;VAR:SYMBOL=063002&amp;VAR:INDEX=0"}</definedName>
    <definedName name="_472__FDSAUDITLINK__" localSheetId="8" hidden="1">{"fdsup://directions/FAT Viewer?action=UPDATE&amp;creator=factset&amp;DYN_ARGS=TRUE&amp;DOC_NAME=FAT:FQL_AUDITING_CLIENT_TEMPLATE.FAT&amp;display_string=Audit&amp;VAR:KEY=MBENCFWVYB&amp;VAR:QUERY=RkZfRUJJVF9JQignQU5OJywzOTA4MiwsLCdHQlAnKQ==&amp;WINDOW=FIRST_POPUP&amp;HEIGHT=450&amp;WIDTH=450&amp;","START_MAXIMIZED=FALSE&amp;VAR:CALENDAR=FIVEDAY&amp;VAR:SYMBOL=063002&amp;VAR:INDEX=0"}</definedName>
    <definedName name="_472__FDSAUDITLINK__" hidden="1">{"fdsup://directions/FAT Viewer?action=UPDATE&amp;creator=factset&amp;DYN_ARGS=TRUE&amp;DOC_NAME=FAT:FQL_AUDITING_CLIENT_TEMPLATE.FAT&amp;display_string=Audit&amp;VAR:KEY=KROHCZCRQB&amp;VAR:QUERY=RkZfTkVUX0lOQyhDQUwsMjAwOSkgKiAxLjIxNjc1MA==&amp;WINDOW=FIRST_POPUP&amp;HEIGHT=450&amp;WIDTH=450&amp;","START_MAXIMIZED=FALSE&amp;VAR:CALENDAR=US&amp;VAR:SYMBOL=450270&amp;VAR:INDEX=0"}</definedName>
    <definedName name="_472__FDSAUDITLINK___1" localSheetId="8" hidden="1">{"fdsup://directions/FAT Viewer?action=UPDATE&amp;creator=factset&amp;DYN_ARGS=TRUE&amp;DOC_NAME=FAT:FQL_AUDITING_CLIENT_TEMPLATE.FAT&amp;display_string=Audit&amp;VAR:KEY=MBENCFWVYB&amp;VAR:QUERY=RkZfRUJJVF9JQignQU5OJywzOTA4MiwsLCdHQlAnKQ==&amp;WINDOW=FIRST_POPUP&amp;HEIGHT=450&amp;WIDTH=450&amp;","START_MAXIMIZED=FALSE&amp;VAR:CALENDAR=FIVEDAY&amp;VAR:SYMBOL=063002&amp;VAR:INDEX=0"}</definedName>
    <definedName name="_472__FDSAUDITLINK___1" hidden="1">{"fdsup://directions/FAT Viewer?action=UPDATE&amp;creator=factset&amp;DYN_ARGS=TRUE&amp;DOC_NAME=FAT:FQL_AUDITING_CLIENT_TEMPLATE.FAT&amp;display_string=Audit&amp;VAR:KEY=MBENCFWVYB&amp;VAR:QUERY=RkZfRUJJVF9JQignQU5OJywzOTA4MiwsLCdHQlAnKQ==&amp;WINDOW=FIRST_POPUP&amp;HEIGHT=450&amp;WIDTH=450&amp;","START_MAXIMIZED=FALSE&amp;VAR:CALENDAR=FIVEDAY&amp;VAR:SYMBOL=063002&amp;VAR:INDEX=0"}</definedName>
    <definedName name="_473__FDSAUDITLINK__" localSheetId="8" hidden="1">{"fdsup://directions/FAT Viewer?action=UPDATE&amp;creator=factset&amp;DYN_ARGS=TRUE&amp;DOC_NAME=FAT:FQL_AUDITING_CLIENT_TEMPLATE.FAT&amp;display_string=Audit&amp;VAR:KEY=APODARINWN&amp;VAR:QUERY=RkZfRUJJVF9JQignQU5OJywzOTk5NCwsLCdHQlAnKQ==&amp;WINDOW=FIRST_POPUP&amp;HEIGHT=450&amp;WIDTH=450&amp;","START_MAXIMIZED=FALSE&amp;VAR:CALENDAR=FIVEDAY&amp;VAR:SYMBOL=B2425G&amp;VAR:INDEX=0"}</definedName>
    <definedName name="_473__FDSAUDITLINK__" hidden="1">{"fdsup://directions/FAT Viewer?action=UPDATE&amp;creator=factset&amp;DYN_ARGS=TRUE&amp;DOC_NAME=FAT:FQL_AUDITING_CLIENT_TEMPLATE.FAT&amp;display_string=Audit&amp;VAR:KEY=HUXIVCLWTQ&amp;VAR:QUERY=RkZfTkVUX0lOQyhMVE0sNDEwOTIp&amp;WINDOW=FIRST_POPUP&amp;HEIGHT=450&amp;WIDTH=450&amp;START_MAXIMIZED=","FALSE&amp;VAR:CALENDAR=US&amp;VAR:SYMBOL=450270&amp;VAR:INDEX=0"}</definedName>
    <definedName name="_473__FDSAUDITLINK___1" localSheetId="8" hidden="1">{"fdsup://directions/FAT Viewer?action=UPDATE&amp;creator=factset&amp;DYN_ARGS=TRUE&amp;DOC_NAME=FAT:FQL_AUDITING_CLIENT_TEMPLATE.FAT&amp;display_string=Audit&amp;VAR:KEY=APODARINWN&amp;VAR:QUERY=RkZfRUJJVF9JQignQU5OJywzOTk5NCwsLCdHQlAnKQ==&amp;WINDOW=FIRST_POPUP&amp;HEIGHT=450&amp;WIDTH=450&amp;","START_MAXIMIZED=FALSE&amp;VAR:CALENDAR=FIVEDAY&amp;VAR:SYMBOL=B2425G&amp;VAR:INDEX=0"}</definedName>
    <definedName name="_473__FDSAUDITLINK___1" hidden="1">{"fdsup://directions/FAT Viewer?action=UPDATE&amp;creator=factset&amp;DYN_ARGS=TRUE&amp;DOC_NAME=FAT:FQL_AUDITING_CLIENT_TEMPLATE.FAT&amp;display_string=Audit&amp;VAR:KEY=APODARINWN&amp;VAR:QUERY=RkZfRUJJVF9JQignQU5OJywzOTk5NCwsLCdHQlAnKQ==&amp;WINDOW=FIRST_POPUP&amp;HEIGHT=450&amp;WIDTH=450&amp;","START_MAXIMIZED=FALSE&amp;VAR:CALENDAR=FIVEDAY&amp;VAR:SYMBOL=B2425G&amp;VAR:INDEX=0"}</definedName>
    <definedName name="_474__FDSAUDITLINK__" localSheetId="8" hidden="1">{"fdsup://directions/FAT Viewer?action=UPDATE&amp;creator=factset&amp;DYN_ARGS=TRUE&amp;DOC_NAME=FAT:FQL_AUDITING_CLIENT_TEMPLATE.FAT&amp;display_string=Audit&amp;VAR:KEY=MNULGLELYJ&amp;VAR:QUERY=RkZfRUJJVF9JQignQU5OJywzOTYyOSwsLCdHQlAnKQ==&amp;WINDOW=FIRST_POPUP&amp;HEIGHT=450&amp;WIDTH=450&amp;","START_MAXIMIZED=FALSE&amp;VAR:CALENDAR=FIVEDAY&amp;VAR:SYMBOL=B2425G&amp;VAR:INDEX=0"}</definedName>
    <definedName name="_474__FDSAUDITLINK__" hidden="1">{"fdsup://directions/FAT Viewer?action=UPDATE&amp;creator=factset&amp;DYN_ARGS=TRUE&amp;DOC_NAME=FAT:FQL_AUDITING_CLIENT_TEMPLATE.FAT&amp;display_string=Audit&amp;VAR:KEY=SNQNAREPEF&amp;VAR:QUERY=RkZfRUJJVERBX09QRVIoQ0FMLDIwMTEpICogMS4yMTY3NTA=&amp;WINDOW=FIRST_POPUP&amp;HEIGHT=450&amp;WIDTH=","450&amp;START_MAXIMIZED=FALSE&amp;VAR:CALENDAR=US&amp;VAR:SYMBOL=450270&amp;VAR:INDEX=0"}</definedName>
    <definedName name="_474__FDSAUDITLINK___1" localSheetId="8" hidden="1">{"fdsup://directions/FAT Viewer?action=UPDATE&amp;creator=factset&amp;DYN_ARGS=TRUE&amp;DOC_NAME=FAT:FQL_AUDITING_CLIENT_TEMPLATE.FAT&amp;display_string=Audit&amp;VAR:KEY=MNULGLELYJ&amp;VAR:QUERY=RkZfRUJJVF9JQignQU5OJywzOTYyOSwsLCdHQlAnKQ==&amp;WINDOW=FIRST_POPUP&amp;HEIGHT=450&amp;WIDTH=450&amp;","START_MAXIMIZED=FALSE&amp;VAR:CALENDAR=FIVEDAY&amp;VAR:SYMBOL=B2425G&amp;VAR:INDEX=0"}</definedName>
    <definedName name="_474__FDSAUDITLINK___1" hidden="1">{"fdsup://directions/FAT Viewer?action=UPDATE&amp;creator=factset&amp;DYN_ARGS=TRUE&amp;DOC_NAME=FAT:FQL_AUDITING_CLIENT_TEMPLATE.FAT&amp;display_string=Audit&amp;VAR:KEY=MNULGLELYJ&amp;VAR:QUERY=RkZfRUJJVF9JQignQU5OJywzOTYyOSwsLCdHQlAnKQ==&amp;WINDOW=FIRST_POPUP&amp;HEIGHT=450&amp;WIDTH=450&amp;","START_MAXIMIZED=FALSE&amp;VAR:CALENDAR=FIVEDAY&amp;VAR:SYMBOL=B2425G&amp;VAR:INDEX=0"}</definedName>
    <definedName name="_475__FDSAUDITLINK__" localSheetId="8" hidden="1">{"fdsup://directions/FAT Viewer?action=UPDATE&amp;creator=factset&amp;DYN_ARGS=TRUE&amp;DOC_NAME=FAT:FQL_AUDITING_CLIENT_TEMPLATE.FAT&amp;display_string=Audit&amp;VAR:KEY=QLSLUHMVGB&amp;VAR:QUERY=RkZfRUJJVF9JQignQU5OJywzOTI2MywsLCdHQlAnKQ==&amp;WINDOW=FIRST_POPUP&amp;HEIGHT=450&amp;WIDTH=450&amp;","START_MAXIMIZED=FALSE&amp;VAR:CALENDAR=FIVEDAY&amp;VAR:SYMBOL=B2425G&amp;VAR:INDEX=0"}</definedName>
    <definedName name="_475__FDSAUDITLINK__" hidden="1">{"fdsup://directions/FAT Viewer?action=UPDATE&amp;creator=factset&amp;DYN_ARGS=TRUE&amp;DOC_NAME=FAT:FQL_AUDITING_CLIENT_TEMPLATE.FAT&amp;display_string=Audit&amp;VAR:KEY=IZCLOJUJGL&amp;VAR:QUERY=RkZfRUJJVF9PUEVSKENBTCwyMDEwKSAqIDEuMjE2NzUw&amp;WINDOW=FIRST_POPUP&amp;HEIGHT=450&amp;WIDTH=450&amp;","START_MAXIMIZED=FALSE&amp;VAR:CALENDAR=US&amp;VAR:SYMBOL=450270&amp;VAR:INDEX=0"}</definedName>
    <definedName name="_475__FDSAUDITLINK___1" localSheetId="8" hidden="1">{"fdsup://directions/FAT Viewer?action=UPDATE&amp;creator=factset&amp;DYN_ARGS=TRUE&amp;DOC_NAME=FAT:FQL_AUDITING_CLIENT_TEMPLATE.FAT&amp;display_string=Audit&amp;VAR:KEY=QLSLUHMVGB&amp;VAR:QUERY=RkZfRUJJVF9JQignQU5OJywzOTI2MywsLCdHQlAnKQ==&amp;WINDOW=FIRST_POPUP&amp;HEIGHT=450&amp;WIDTH=450&amp;","START_MAXIMIZED=FALSE&amp;VAR:CALENDAR=FIVEDAY&amp;VAR:SYMBOL=B2425G&amp;VAR:INDEX=0"}</definedName>
    <definedName name="_475__FDSAUDITLINK___1" hidden="1">{"fdsup://directions/FAT Viewer?action=UPDATE&amp;creator=factset&amp;DYN_ARGS=TRUE&amp;DOC_NAME=FAT:FQL_AUDITING_CLIENT_TEMPLATE.FAT&amp;display_string=Audit&amp;VAR:KEY=QLSLUHMVGB&amp;VAR:QUERY=RkZfRUJJVF9JQignQU5OJywzOTI2MywsLCdHQlAnKQ==&amp;WINDOW=FIRST_POPUP&amp;HEIGHT=450&amp;WIDTH=450&amp;","START_MAXIMIZED=FALSE&amp;VAR:CALENDAR=FIVEDAY&amp;VAR:SYMBOL=B2425G&amp;VAR:INDEX=0"}</definedName>
    <definedName name="_476__FDSAUDITLINK__" localSheetId="8" hidden="1">{"fdsup://directions/FAT Viewer?action=UPDATE&amp;creator=factset&amp;DYN_ARGS=TRUE&amp;DOC_NAME=FAT:FQL_AUDITING_CLIENT_TEMPLATE.FAT&amp;display_string=Audit&amp;VAR:KEY=WPAPSZINSV&amp;VAR:QUERY=RkZfRUJJVF9JQignQU5OJywzOTkwMywsLCdHQlAnKQ==&amp;WINDOW=FIRST_POPUP&amp;HEIGHT=450&amp;WIDTH=450&amp;","START_MAXIMIZED=FALSE&amp;VAR:CALENDAR=FIVEDAY&amp;VAR:SYMBOL=073833&amp;VAR:INDEX=0"}</definedName>
    <definedName name="_476__FDSAUDITLINK__" hidden="1">{"fdsup://directions/FAT Viewer?action=UPDATE&amp;creator=factset&amp;DYN_ARGS=TRUE&amp;DOC_NAME=FAT:FQL_AUDITING_CLIENT_TEMPLATE.FAT&amp;display_string=Audit&amp;VAR:KEY=YDCZEPENCH&amp;VAR:QUERY=RkZfRVBTKENBTCwyMDA5KSAqIDEuMjE2NzUw&amp;WINDOW=FIRST_POPUP&amp;HEIGHT=450&amp;WIDTH=450&amp;START_MA","XIMIZED=FALSE&amp;VAR:CALENDAR=US&amp;VAR:SYMBOL=450270&amp;VAR:INDEX=0"}</definedName>
    <definedName name="_476__FDSAUDITLINK___1" localSheetId="8" hidden="1">{"fdsup://directions/FAT Viewer?action=UPDATE&amp;creator=factset&amp;DYN_ARGS=TRUE&amp;DOC_NAME=FAT:FQL_AUDITING_CLIENT_TEMPLATE.FAT&amp;display_string=Audit&amp;VAR:KEY=WPAPSZINSV&amp;VAR:QUERY=RkZfRUJJVF9JQignQU5OJywzOTkwMywsLCdHQlAnKQ==&amp;WINDOW=FIRST_POPUP&amp;HEIGHT=450&amp;WIDTH=450&amp;","START_MAXIMIZED=FALSE&amp;VAR:CALENDAR=FIVEDAY&amp;VAR:SYMBOL=073833&amp;VAR:INDEX=0"}</definedName>
    <definedName name="_476__FDSAUDITLINK___1" hidden="1">{"fdsup://directions/FAT Viewer?action=UPDATE&amp;creator=factset&amp;DYN_ARGS=TRUE&amp;DOC_NAME=FAT:FQL_AUDITING_CLIENT_TEMPLATE.FAT&amp;display_string=Audit&amp;VAR:KEY=WPAPSZINSV&amp;VAR:QUERY=RkZfRUJJVF9JQignQU5OJywzOTkwMywsLCdHQlAnKQ==&amp;WINDOW=FIRST_POPUP&amp;HEIGHT=450&amp;WIDTH=450&amp;","START_MAXIMIZED=FALSE&amp;VAR:CALENDAR=FIVEDAY&amp;VAR:SYMBOL=073833&amp;VAR:INDEX=0"}</definedName>
    <definedName name="_477__FDSAUDITLINK__" localSheetId="8" hidden="1">{"fdsup://directions/FAT Viewer?action=UPDATE&amp;creator=factset&amp;DYN_ARGS=TRUE&amp;DOC_NAME=FAT:FQL_AUDITING_CLIENT_TEMPLATE.FAT&amp;display_string=Audit&amp;VAR:KEY=YRCVYRKBUJ&amp;VAR:QUERY=RkZfRUJJVF9JQignQU5OJywzOTUzOCwsLCdHQlAnKQ==&amp;WINDOW=FIRST_POPUP&amp;HEIGHT=450&amp;WIDTH=450&amp;","START_MAXIMIZED=FALSE&amp;VAR:CALENDAR=FIVEDAY&amp;VAR:SYMBOL=073833&amp;VAR:INDEX=0"}</definedName>
    <definedName name="_477__FDSAUDITLINK__" hidden="1">{"fdsup://directions/FAT Viewer?action=UPDATE&amp;creator=factset&amp;DYN_ARGS=TRUE&amp;DOC_NAME=FAT:FQL_AUDITING_CLIENT_TEMPLATE.FAT&amp;display_string=Audit&amp;VAR:KEY=TUBUHKHYJQ&amp;VAR:QUERY=RkZfRUJJVF9PUEVSKExUTSw0MTA5Mik=&amp;WINDOW=FIRST_POPUP&amp;HEIGHT=450&amp;WIDTH=450&amp;START_MAXIMI","ZED=FALSE&amp;VAR:CALENDAR=US&amp;VAR:SYMBOL=450270&amp;VAR:INDEX=0"}</definedName>
    <definedName name="_477__FDSAUDITLINK___1" localSheetId="8" hidden="1">{"fdsup://directions/FAT Viewer?action=UPDATE&amp;creator=factset&amp;DYN_ARGS=TRUE&amp;DOC_NAME=FAT:FQL_AUDITING_CLIENT_TEMPLATE.FAT&amp;display_string=Audit&amp;VAR:KEY=YRCVYRKBUJ&amp;VAR:QUERY=RkZfRUJJVF9JQignQU5OJywzOTUzOCwsLCdHQlAnKQ==&amp;WINDOW=FIRST_POPUP&amp;HEIGHT=450&amp;WIDTH=450&amp;","START_MAXIMIZED=FALSE&amp;VAR:CALENDAR=FIVEDAY&amp;VAR:SYMBOL=073833&amp;VAR:INDEX=0"}</definedName>
    <definedName name="_477__FDSAUDITLINK___1" hidden="1">{"fdsup://directions/FAT Viewer?action=UPDATE&amp;creator=factset&amp;DYN_ARGS=TRUE&amp;DOC_NAME=FAT:FQL_AUDITING_CLIENT_TEMPLATE.FAT&amp;display_string=Audit&amp;VAR:KEY=YRCVYRKBUJ&amp;VAR:QUERY=RkZfRUJJVF9JQignQU5OJywzOTUzOCwsLCdHQlAnKQ==&amp;WINDOW=FIRST_POPUP&amp;HEIGHT=450&amp;WIDTH=450&amp;","START_MAXIMIZED=FALSE&amp;VAR:CALENDAR=FIVEDAY&amp;VAR:SYMBOL=073833&amp;VAR:INDEX=0"}</definedName>
    <definedName name="_478__FDSAUDITLINK__" localSheetId="8" hidden="1">{"fdsup://directions/FAT Viewer?action=UPDATE&amp;creator=factset&amp;DYN_ARGS=TRUE&amp;DOC_NAME=FAT:FQL_AUDITING_CLIENT_TEMPLATE.FAT&amp;display_string=Audit&amp;VAR:KEY=MPAZUBYLQD&amp;VAR:QUERY=RkZfRUJJVF9JQignQU5OJywzOTE3MiwsLCdHQlAnKQ==&amp;WINDOW=FIRST_POPUP&amp;HEIGHT=450&amp;WIDTH=450&amp;","START_MAXIMIZED=FALSE&amp;VAR:CALENDAR=FIVEDAY&amp;VAR:SYMBOL=073833&amp;VAR:INDEX=0"}</definedName>
    <definedName name="_478__FDSAUDITLINK__" hidden="1">{"fdsup://directions/FAT Viewer?action=UPDATE&amp;creator=factset&amp;DYN_ARGS=TRUE&amp;DOC_NAME=FAT:FQL_AUDITING_CLIENT_TEMPLATE.FAT&amp;display_string=Audit&amp;VAR:KEY=AVGDYRKLSL&amp;VAR:QUERY=RkZfU0FMRVMoQ0FMLDIwMTEpICogMS4yMTY3NTA=&amp;WINDOW=FIRST_POPUP&amp;HEIGHT=450&amp;WIDTH=450&amp;STAR","T_MAXIMIZED=FALSE&amp;VAR:CALENDAR=US&amp;VAR:SYMBOL=450270&amp;VAR:INDEX=0"}</definedName>
    <definedName name="_478__FDSAUDITLINK___1" localSheetId="8" hidden="1">{"fdsup://directions/FAT Viewer?action=UPDATE&amp;creator=factset&amp;DYN_ARGS=TRUE&amp;DOC_NAME=FAT:FQL_AUDITING_CLIENT_TEMPLATE.FAT&amp;display_string=Audit&amp;VAR:KEY=MPAZUBYLQD&amp;VAR:QUERY=RkZfRUJJVF9JQignQU5OJywzOTE3MiwsLCdHQlAnKQ==&amp;WINDOW=FIRST_POPUP&amp;HEIGHT=450&amp;WIDTH=450&amp;","START_MAXIMIZED=FALSE&amp;VAR:CALENDAR=FIVEDAY&amp;VAR:SYMBOL=073833&amp;VAR:INDEX=0"}</definedName>
    <definedName name="_478__FDSAUDITLINK___1" hidden="1">{"fdsup://directions/FAT Viewer?action=UPDATE&amp;creator=factset&amp;DYN_ARGS=TRUE&amp;DOC_NAME=FAT:FQL_AUDITING_CLIENT_TEMPLATE.FAT&amp;display_string=Audit&amp;VAR:KEY=MPAZUBYLQD&amp;VAR:QUERY=RkZfRUJJVF9JQignQU5OJywzOTE3MiwsLCdHQlAnKQ==&amp;WINDOW=FIRST_POPUP&amp;HEIGHT=450&amp;WIDTH=450&amp;","START_MAXIMIZED=FALSE&amp;VAR:CALENDAR=FIVEDAY&amp;VAR:SYMBOL=073833&amp;VAR:INDEX=0"}</definedName>
    <definedName name="_479__FDSAUDITLINK__" localSheetId="8" hidden="1">{"fdsup://directions/FAT Viewer?action=UPDATE&amp;creator=factset&amp;DYN_ARGS=TRUE&amp;DOC_NAME=FAT:FQL_AUDITING_CLIENT_TEMPLATE.FAT&amp;display_string=Audit&amp;VAR:KEY=YNGDIBKBOX&amp;VAR:QUERY=RkZfRUJJVERBX0lCKCdBTk4nLDM5ODEzLCwsLCdES0snKQ==&amp;WINDOW=FIRST_POPUP&amp;HEIGHT=450&amp;WIDTH=","450&amp;START_MAXIMIZED=FALSE&amp;VAR:CALENDAR=FIVEDAY&amp;VAR:SYMBOL=594228&amp;VAR:INDEX=0"}</definedName>
    <definedName name="_479__FDSAUDITLINK__" hidden="1">{"fdsup://directions/FAT Viewer?action=UPDATE&amp;creator=factset&amp;DYN_ARGS=TRUE&amp;DOC_NAME=FAT:FQL_AUDITING_CLIENT_TEMPLATE.FAT&amp;display_string=Audit&amp;VAR:KEY=ERKFUZCHIN&amp;VAR:QUERY=RkZfRUJJVERBX09QRVIoQ0FMLDIwMTApICogMS4yMTY3NTA=&amp;WINDOW=FIRST_POPUP&amp;HEIGHT=450&amp;WIDTH=","450&amp;START_MAXIMIZED=FALSE&amp;VAR:CALENDAR=US&amp;VAR:SYMBOL=450270&amp;VAR:INDEX=0"}</definedName>
    <definedName name="_479__FDSAUDITLINK___1" localSheetId="8" hidden="1">{"fdsup://directions/FAT Viewer?action=UPDATE&amp;creator=factset&amp;DYN_ARGS=TRUE&amp;DOC_NAME=FAT:FQL_AUDITING_CLIENT_TEMPLATE.FAT&amp;display_string=Audit&amp;VAR:KEY=YNGDIBKBOX&amp;VAR:QUERY=RkZfRUJJVERBX0lCKCdBTk4nLDM5ODEzLCwsLCdES0snKQ==&amp;WINDOW=FIRST_POPUP&amp;HEIGHT=450&amp;WIDTH=","450&amp;START_MAXIMIZED=FALSE&amp;VAR:CALENDAR=FIVEDAY&amp;VAR:SYMBOL=594228&amp;VAR:INDEX=0"}</definedName>
    <definedName name="_479__FDSAUDITLINK___1" hidden="1">{"fdsup://directions/FAT Viewer?action=UPDATE&amp;creator=factset&amp;DYN_ARGS=TRUE&amp;DOC_NAME=FAT:FQL_AUDITING_CLIENT_TEMPLATE.FAT&amp;display_string=Audit&amp;VAR:KEY=YNGDIBKBOX&amp;VAR:QUERY=RkZfRUJJVERBX0lCKCdBTk4nLDM5ODEzLCwsLCdES0snKQ==&amp;WINDOW=FIRST_POPUP&amp;HEIGHT=450&amp;WIDTH=","450&amp;START_MAXIMIZED=FALSE&amp;VAR:CALENDAR=FIVEDAY&amp;VAR:SYMBOL=594228&amp;VAR:INDEX=0"}</definedName>
    <definedName name="_48__123Graph_BCHART_3" hidden="1">#REF!</definedName>
    <definedName name="_48__123Graph_DCHART_3" hidden="1">#REF!</definedName>
    <definedName name="_48__123Graph_XGRAFICO_29" localSheetId="8" hidden="1">#REF!</definedName>
    <definedName name="_48__123Graph_XGRAFICO_29" hidden="1">#REF!</definedName>
    <definedName name="_48__FDSAUDITLINK__" localSheetId="8" hidden="1">{"fdsup://directions/FAT Viewer?action=UPDATE&amp;creator=factset&amp;DYN_ARGS=TRUE&amp;DOC_NAME=FAT:FQL_AUDITING_CLIENT_TEMPLATE.FAT&amp;display_string=Audit&amp;VAR:KEY=QFABSBMPMJ&amp;VAR:QUERY=RkZfRUJJVERBX0lCKEFOTiwzNDY5OSwsLCxFVVIp&amp;WINDOW=FIRST_POPUP&amp;HEIGHT=450&amp;WIDTH=450&amp;STAR","T_MAXIMIZED=FALSE&amp;VAR:CALENDAR=FIVEDAY&amp;VAR:SYMBOL=591344&amp;VAR:INDEX=0"}</definedName>
    <definedName name="_48__FDSAUDITLINK__" hidden="1">{"fdsup://directions/FAT Viewer?action=UPDATE&amp;creator=factset&amp;DYN_ARGS=TRUE&amp;DOC_NAME=FAT:FQL_AUDITING_CLIENT_TEMPLATE.FAT&amp;display_string=Audit&amp;VAR:KEY=YJMBWLMTUD&amp;VAR:QUERY=RkZfRUJJVERBX09QRVIoQ0FMLDIwMTAp&amp;WINDOW=FIRST_POPUP&amp;HEIGHT=450&amp;WIDTH=450&amp;START_MAXIMI","ZED=FALSE&amp;VAR:CALENDAR=US&amp;VAR:SYMBOL=711075&amp;VAR:INDEX=0"}</definedName>
    <definedName name="_48__FDSAUDITLINK___1" localSheetId="8" hidden="1">{"fdsup://directions/FAT Viewer?action=UPDATE&amp;creator=factset&amp;DYN_ARGS=TRUE&amp;DOC_NAME=FAT:FQL_AUDITING_CLIENT_TEMPLATE.FAT&amp;display_string=Audit&amp;VAR:KEY=QFABSBMPMJ&amp;VAR:QUERY=RkZfRUJJVERBX0lCKEFOTiwzNDY5OSwsLCxFVVIp&amp;WINDOW=FIRST_POPUP&amp;HEIGHT=450&amp;WIDTH=450&amp;STAR","T_MAXIMIZED=FALSE&amp;VAR:CALENDAR=FIVEDAY&amp;VAR:SYMBOL=591344&amp;VAR:INDEX=0"}</definedName>
    <definedName name="_48__FDSAUDITLINK___1" hidden="1">{"fdsup://directions/FAT Viewer?action=UPDATE&amp;creator=factset&amp;DYN_ARGS=TRUE&amp;DOC_NAME=FAT:FQL_AUDITING_CLIENT_TEMPLATE.FAT&amp;display_string=Audit&amp;VAR:KEY=QFABSBMPMJ&amp;VAR:QUERY=RkZfRUJJVERBX0lCKEFOTiwzNDY5OSwsLCxFVVIp&amp;WINDOW=FIRST_POPUP&amp;HEIGHT=450&amp;WIDTH=450&amp;STAR","T_MAXIMIZED=FALSE&amp;VAR:CALENDAR=FIVEDAY&amp;VAR:SYMBOL=591344&amp;VAR:INDEX=0"}</definedName>
    <definedName name="_480__FDSAUDITLINK__" localSheetId="8" hidden="1">{"fdsup://directions/FAT Viewer?action=UPDATE&amp;creator=factset&amp;DYN_ARGS=TRUE&amp;DOC_NAME=FAT:FQL_AUDITING_CLIENT_TEMPLATE.FAT&amp;display_string=Audit&amp;VAR:KEY=ULQLMVOTQH&amp;VAR:QUERY=RkZfRUJJVERBX0lCKCdBTk4nLDM5NDQ3LCwsLCdES0snKQ==&amp;WINDOW=FIRST_POPUP&amp;HEIGHT=450&amp;WIDTH=","450&amp;START_MAXIMIZED=FALSE&amp;VAR:CALENDAR=FIVEDAY&amp;VAR:SYMBOL=594228&amp;VAR:INDEX=0"}</definedName>
    <definedName name="_480__FDSAUDITLINK__" hidden="1">{"fdsup://directions/FAT Viewer?action=UPDATE&amp;creator=factset&amp;DYN_ARGS=TRUE&amp;DOC_NAME=FAT:FQL_AUDITING_CLIENT_TEMPLATE.FAT&amp;display_string=Audit&amp;VAR:KEY=YTGHOBWPGN&amp;VAR:QUERY=RkZfRUJJVF9PUEVSKENBTCwyMDA5KSAqIDEuMjE2NzUw&amp;WINDOW=FIRST_POPUP&amp;HEIGHT=450&amp;WIDTH=450&amp;","START_MAXIMIZED=FALSE&amp;VAR:CALENDAR=US&amp;VAR:SYMBOL=450270&amp;VAR:INDEX=0"}</definedName>
    <definedName name="_480__FDSAUDITLINK___1" localSheetId="8" hidden="1">{"fdsup://directions/FAT Viewer?action=UPDATE&amp;creator=factset&amp;DYN_ARGS=TRUE&amp;DOC_NAME=FAT:FQL_AUDITING_CLIENT_TEMPLATE.FAT&amp;display_string=Audit&amp;VAR:KEY=ULQLMVOTQH&amp;VAR:QUERY=RkZfRUJJVERBX0lCKCdBTk4nLDM5NDQ3LCwsLCdES0snKQ==&amp;WINDOW=FIRST_POPUP&amp;HEIGHT=450&amp;WIDTH=","450&amp;START_MAXIMIZED=FALSE&amp;VAR:CALENDAR=FIVEDAY&amp;VAR:SYMBOL=594228&amp;VAR:INDEX=0"}</definedName>
    <definedName name="_480__FDSAUDITLINK___1" hidden="1">{"fdsup://directions/FAT Viewer?action=UPDATE&amp;creator=factset&amp;DYN_ARGS=TRUE&amp;DOC_NAME=FAT:FQL_AUDITING_CLIENT_TEMPLATE.FAT&amp;display_string=Audit&amp;VAR:KEY=ULQLMVOTQH&amp;VAR:QUERY=RkZfRUJJVERBX0lCKCdBTk4nLDM5NDQ3LCwsLCdES0snKQ==&amp;WINDOW=FIRST_POPUP&amp;HEIGHT=450&amp;WIDTH=","450&amp;START_MAXIMIZED=FALSE&amp;VAR:CALENDAR=FIVEDAY&amp;VAR:SYMBOL=594228&amp;VAR:INDEX=0"}</definedName>
    <definedName name="_481__FDSAUDITLINK__" localSheetId="8" hidden="1">{"fdsup://directions/FAT Viewer?action=UPDATE&amp;creator=factset&amp;DYN_ARGS=TRUE&amp;DOC_NAME=FAT:FQL_AUDITING_CLIENT_TEMPLATE.FAT&amp;display_string=Audit&amp;VAR:KEY=CVKJEHYHIX&amp;VAR:QUERY=RkZfRUJJVERBX0lCKCdBTk4nLDM5MDgyLCwsLCdES0snKQ==&amp;WINDOW=FIRST_POPUP&amp;HEIGHT=450&amp;WIDTH=","450&amp;START_MAXIMIZED=FALSE&amp;VAR:CALENDAR=FIVEDAY&amp;VAR:SYMBOL=594228&amp;VAR:INDEX=0"}</definedName>
    <definedName name="_481__FDSAUDITLINK__" hidden="1">{"fdsup://directions/FAT Viewer?action=UPDATE&amp;creator=factset&amp;DYN_ARGS=TRUE&amp;DOC_NAME=FAT:FQL_AUDITING_CLIENT_TEMPLATE.FAT&amp;display_string=Audit&amp;VAR:KEY=AJMTKPAVWD&amp;VAR:QUERY=RkZfTkVUX0lOQyhDQUwsMjAxMSkgKiAxLjIxNjc1MA==&amp;WINDOW=FIRST_POPUP&amp;HEIGHT=450&amp;WIDTH=450&amp;","START_MAXIMIZED=FALSE&amp;VAR:CALENDAR=US&amp;VAR:SYMBOL=450270&amp;VAR:INDEX=0"}</definedName>
    <definedName name="_481__FDSAUDITLINK___1" localSheetId="8" hidden="1">{"fdsup://directions/FAT Viewer?action=UPDATE&amp;creator=factset&amp;DYN_ARGS=TRUE&amp;DOC_NAME=FAT:FQL_AUDITING_CLIENT_TEMPLATE.FAT&amp;display_string=Audit&amp;VAR:KEY=CVKJEHYHIX&amp;VAR:QUERY=RkZfRUJJVERBX0lCKCdBTk4nLDM5MDgyLCwsLCdES0snKQ==&amp;WINDOW=FIRST_POPUP&amp;HEIGHT=450&amp;WIDTH=","450&amp;START_MAXIMIZED=FALSE&amp;VAR:CALENDAR=FIVEDAY&amp;VAR:SYMBOL=594228&amp;VAR:INDEX=0"}</definedName>
    <definedName name="_481__FDSAUDITLINK___1" hidden="1">{"fdsup://directions/FAT Viewer?action=UPDATE&amp;creator=factset&amp;DYN_ARGS=TRUE&amp;DOC_NAME=FAT:FQL_AUDITING_CLIENT_TEMPLATE.FAT&amp;display_string=Audit&amp;VAR:KEY=CVKJEHYHIX&amp;VAR:QUERY=RkZfRUJJVERBX0lCKCdBTk4nLDM5MDgyLCwsLCdES0snKQ==&amp;WINDOW=FIRST_POPUP&amp;HEIGHT=450&amp;WIDTH=","450&amp;START_MAXIMIZED=FALSE&amp;VAR:CALENDAR=FIVEDAY&amp;VAR:SYMBOL=594228&amp;VAR:INDEX=0"}</definedName>
    <definedName name="_482__FDSAUDITLINK__" localSheetId="8" hidden="1">{"fdsup://directions/FAT Viewer?action=UPDATE&amp;creator=factset&amp;DYN_ARGS=TRUE&amp;DOC_NAME=FAT:FQL_AUDITING_CLIENT_TEMPLATE.FAT&amp;display_string=Audit&amp;VAR:KEY=WRETWTMHKB&amp;VAR:QUERY=RkZfRUJJVERBX0lCKCdBTk4nLDM5ODEzLCwsLCdHQlAnKQ==&amp;WINDOW=FIRST_POPUP&amp;HEIGHT=450&amp;WIDTH=","450&amp;START_MAXIMIZED=FALSE&amp;VAR:CALENDAR=FIVEDAY&amp;VAR:SYMBOL=323868&amp;VAR:INDEX=0"}</definedName>
    <definedName name="_482__FDSAUDITLINK__" hidden="1">{"fdsup://directions/FAT Viewer?action=UPDATE&amp;creator=factset&amp;DYN_ARGS=TRUE&amp;DOC_NAME=FAT:FQL_AUDITING_CLIENT_TEMPLATE.FAT&amp;display_string=Audit&amp;VAR:KEY=HSXWFKNORQ&amp;VAR:QUERY=RkZfTkVUX0lOQyhMVE0sNDEwOTIp&amp;WINDOW=FIRST_POPUP&amp;HEIGHT=450&amp;WIDTH=450&amp;START_MAXIMIZED=","FALSE&amp;VAR:CALENDAR=US&amp;VAR:SYMBOL=CX&amp;VAR:INDEX=0"}</definedName>
    <definedName name="_482__FDSAUDITLINK___1" localSheetId="8" hidden="1">{"fdsup://directions/FAT Viewer?action=UPDATE&amp;creator=factset&amp;DYN_ARGS=TRUE&amp;DOC_NAME=FAT:FQL_AUDITING_CLIENT_TEMPLATE.FAT&amp;display_string=Audit&amp;VAR:KEY=WRETWTMHKB&amp;VAR:QUERY=RkZfRUJJVERBX0lCKCdBTk4nLDM5ODEzLCwsLCdHQlAnKQ==&amp;WINDOW=FIRST_POPUP&amp;HEIGHT=450&amp;WIDTH=","450&amp;START_MAXIMIZED=FALSE&amp;VAR:CALENDAR=FIVEDAY&amp;VAR:SYMBOL=323868&amp;VAR:INDEX=0"}</definedName>
    <definedName name="_482__FDSAUDITLINK___1" hidden="1">{"fdsup://directions/FAT Viewer?action=UPDATE&amp;creator=factset&amp;DYN_ARGS=TRUE&amp;DOC_NAME=FAT:FQL_AUDITING_CLIENT_TEMPLATE.FAT&amp;display_string=Audit&amp;VAR:KEY=WRETWTMHKB&amp;VAR:QUERY=RkZfRUJJVERBX0lCKCdBTk4nLDM5ODEzLCwsLCdHQlAnKQ==&amp;WINDOW=FIRST_POPUP&amp;HEIGHT=450&amp;WIDTH=","450&amp;START_MAXIMIZED=FALSE&amp;VAR:CALENDAR=FIVEDAY&amp;VAR:SYMBOL=323868&amp;VAR:INDEX=0"}</definedName>
    <definedName name="_483__FDSAUDITLINK__" localSheetId="8" hidden="1">{"fdsup://directions/FAT Viewer?action=UPDATE&amp;creator=factset&amp;DYN_ARGS=TRUE&amp;DOC_NAME=FAT:FQL_AUDITING_CLIENT_TEMPLATE.FAT&amp;display_string=Audit&amp;VAR:KEY=IHYFIFOBWB&amp;VAR:QUERY=RkZfRUJJVERBX0lCKCdBTk4nLDM5NDQ3LCwsLCdHQlAnKQ==&amp;WINDOW=FIRST_POPUP&amp;HEIGHT=450&amp;WIDTH=","450&amp;START_MAXIMIZED=FALSE&amp;VAR:CALENDAR=FIVEDAY&amp;VAR:SYMBOL=323868&amp;VAR:INDEX=0"}</definedName>
    <definedName name="_483__FDSAUDITLINK__" hidden="1">{"fdsup://directions/FAT Viewer?action=UPDATE&amp;creator=factset&amp;DYN_ARGS=TRUE&amp;DOC_NAME=FAT:FQL_AUDITING_CLIENT_TEMPLATE.FAT&amp;display_string=Audit&amp;VAR:KEY=BONSJGHSFU&amp;VAR:QUERY=RkZfRUJJVERBX09QRVIoTFRNLDQxMDkyKQ==&amp;WINDOW=FIRST_POPUP&amp;HEIGHT=450&amp;WIDTH=450&amp;START_MA","XIMIZED=FALSE&amp;VAR:CALENDAR=US&amp;VAR:SYMBOL=CX&amp;VAR:INDEX=0"}</definedName>
    <definedName name="_483__FDSAUDITLINK___1" localSheetId="8" hidden="1">{"fdsup://directions/FAT Viewer?action=UPDATE&amp;creator=factset&amp;DYN_ARGS=TRUE&amp;DOC_NAME=FAT:FQL_AUDITING_CLIENT_TEMPLATE.FAT&amp;display_string=Audit&amp;VAR:KEY=IHYFIFOBWB&amp;VAR:QUERY=RkZfRUJJVERBX0lCKCdBTk4nLDM5NDQ3LCwsLCdHQlAnKQ==&amp;WINDOW=FIRST_POPUP&amp;HEIGHT=450&amp;WIDTH=","450&amp;START_MAXIMIZED=FALSE&amp;VAR:CALENDAR=FIVEDAY&amp;VAR:SYMBOL=323868&amp;VAR:INDEX=0"}</definedName>
    <definedName name="_483__FDSAUDITLINK___1" hidden="1">{"fdsup://directions/FAT Viewer?action=UPDATE&amp;creator=factset&amp;DYN_ARGS=TRUE&amp;DOC_NAME=FAT:FQL_AUDITING_CLIENT_TEMPLATE.FAT&amp;display_string=Audit&amp;VAR:KEY=IHYFIFOBWB&amp;VAR:QUERY=RkZfRUJJVERBX0lCKCdBTk4nLDM5NDQ3LCwsLCdHQlAnKQ==&amp;WINDOW=FIRST_POPUP&amp;HEIGHT=450&amp;WIDTH=","450&amp;START_MAXIMIZED=FALSE&amp;VAR:CALENDAR=FIVEDAY&amp;VAR:SYMBOL=323868&amp;VAR:INDEX=0"}</definedName>
    <definedName name="_484__FDSAUDITLINK__" localSheetId="8" hidden="1">{"fdsup://directions/FAT Viewer?action=UPDATE&amp;creator=factset&amp;DYN_ARGS=TRUE&amp;DOC_NAME=FAT:FQL_AUDITING_CLIENT_TEMPLATE.FAT&amp;display_string=Audit&amp;VAR:KEY=OXYVSPUJWJ&amp;VAR:QUERY=RkZfRUJJVERBX0lCKCdBTk4nLDM5MDgyLCwsLCdHQlAnKQ==&amp;WINDOW=FIRST_POPUP&amp;HEIGHT=450&amp;WIDTH=","450&amp;START_MAXIMIZED=FALSE&amp;VAR:CALENDAR=FIVEDAY&amp;VAR:SYMBOL=323868&amp;VAR:INDEX=0"}</definedName>
    <definedName name="_484__FDSAUDITLINK__" hidden="1">{"fdsup://directions/FAT Viewer?action=UPDATE&amp;creator=factset&amp;DYN_ARGS=TRUE&amp;DOC_NAME=FAT:FQL_AUDITING_CLIENT_TEMPLATE.FAT&amp;display_string=Audit&amp;VAR:KEY=JONQZITCJS&amp;VAR:QUERY=RkZfU0FMRVMoQ0FMLDIwMTEpICogMQ==&amp;WINDOW=FIRST_POPUP&amp;HEIGHT=450&amp;WIDTH=450&amp;START_MAXIMI","ZED=FALSE&amp;VAR:CALENDAR=US&amp;VAR:SYMBOL=CX&amp;VAR:INDEX=0"}</definedName>
    <definedName name="_484__FDSAUDITLINK___1" localSheetId="8" hidden="1">{"fdsup://directions/FAT Viewer?action=UPDATE&amp;creator=factset&amp;DYN_ARGS=TRUE&amp;DOC_NAME=FAT:FQL_AUDITING_CLIENT_TEMPLATE.FAT&amp;display_string=Audit&amp;VAR:KEY=OXYVSPUJWJ&amp;VAR:QUERY=RkZfRUJJVERBX0lCKCdBTk4nLDM5MDgyLCwsLCdHQlAnKQ==&amp;WINDOW=FIRST_POPUP&amp;HEIGHT=450&amp;WIDTH=","450&amp;START_MAXIMIZED=FALSE&amp;VAR:CALENDAR=FIVEDAY&amp;VAR:SYMBOL=323868&amp;VAR:INDEX=0"}</definedName>
    <definedName name="_484__FDSAUDITLINK___1" hidden="1">{"fdsup://directions/FAT Viewer?action=UPDATE&amp;creator=factset&amp;DYN_ARGS=TRUE&amp;DOC_NAME=FAT:FQL_AUDITING_CLIENT_TEMPLATE.FAT&amp;display_string=Audit&amp;VAR:KEY=OXYVSPUJWJ&amp;VAR:QUERY=RkZfRUJJVERBX0lCKCdBTk4nLDM5MDgyLCwsLCdHQlAnKQ==&amp;WINDOW=FIRST_POPUP&amp;HEIGHT=450&amp;WIDTH=","450&amp;START_MAXIMIZED=FALSE&amp;VAR:CALENDAR=FIVEDAY&amp;VAR:SYMBOL=323868&amp;VAR:INDEX=0"}</definedName>
    <definedName name="_485__FDSAUDITLINK__" localSheetId="8" hidden="1">{"fdsup://directions/FAT Viewer?action=UPDATE&amp;creator=factset&amp;DYN_ARGS=TRUE&amp;DOC_NAME=FAT:FQL_AUDITING_CLIENT_TEMPLATE.FAT&amp;display_string=Audit&amp;VAR:KEY=GJKNYRILCL&amp;VAR:QUERY=RkZfRUJJVERBX0lCKCdBTk4nLDM5ODEzLCwsLCdHQlAnKQ==&amp;WINDOW=FIRST_POPUP&amp;HEIGHT=450&amp;WIDTH=","450&amp;START_MAXIMIZED=FALSE&amp;VAR:CALENDAR=FIVEDAY&amp;VAR:SYMBOL=011827&amp;VAR:INDEX=0"}</definedName>
    <definedName name="_485__FDSAUDITLINK__" hidden="1">{"fdsup://directions/FAT Viewer?action=UPDATE&amp;creator=factset&amp;DYN_ARGS=TRUE&amp;DOC_NAME=FAT:FQL_AUDITING_CLIENT_TEMPLATE.FAT&amp;display_string=Audit&amp;VAR:KEY=ZMBOBYTEDO&amp;VAR:QUERY=RkZfU0FMRVMoQ0FMLDIwMDkpICogMQ==&amp;WINDOW=FIRST_POPUP&amp;HEIGHT=450&amp;WIDTH=450&amp;START_MAXIMI","ZED=FALSE&amp;VAR:CALENDAR=US&amp;VAR:SYMBOL=CX&amp;VAR:INDEX=0"}</definedName>
    <definedName name="_485__FDSAUDITLINK___1" localSheetId="8" hidden="1">{"fdsup://directions/FAT Viewer?action=UPDATE&amp;creator=factset&amp;DYN_ARGS=TRUE&amp;DOC_NAME=FAT:FQL_AUDITING_CLIENT_TEMPLATE.FAT&amp;display_string=Audit&amp;VAR:KEY=GJKNYRILCL&amp;VAR:QUERY=RkZfRUJJVERBX0lCKCdBTk4nLDM5ODEzLCwsLCdHQlAnKQ==&amp;WINDOW=FIRST_POPUP&amp;HEIGHT=450&amp;WIDTH=","450&amp;START_MAXIMIZED=FALSE&amp;VAR:CALENDAR=FIVEDAY&amp;VAR:SYMBOL=011827&amp;VAR:INDEX=0"}</definedName>
    <definedName name="_485__FDSAUDITLINK___1" hidden="1">{"fdsup://directions/FAT Viewer?action=UPDATE&amp;creator=factset&amp;DYN_ARGS=TRUE&amp;DOC_NAME=FAT:FQL_AUDITING_CLIENT_TEMPLATE.FAT&amp;display_string=Audit&amp;VAR:KEY=GJKNYRILCL&amp;VAR:QUERY=RkZfRUJJVERBX0lCKCdBTk4nLDM5ODEzLCwsLCdHQlAnKQ==&amp;WINDOW=FIRST_POPUP&amp;HEIGHT=450&amp;WIDTH=","450&amp;START_MAXIMIZED=FALSE&amp;VAR:CALENDAR=FIVEDAY&amp;VAR:SYMBOL=011827&amp;VAR:INDEX=0"}</definedName>
    <definedName name="_486__FDSAUDITLINK__" localSheetId="8" hidden="1">{"fdsup://directions/FAT Viewer?action=UPDATE&amp;creator=factset&amp;DYN_ARGS=TRUE&amp;DOC_NAME=FAT:FQL_AUDITING_CLIENT_TEMPLATE.FAT&amp;display_string=Audit&amp;VAR:KEY=MLGPWDCJOF&amp;VAR:QUERY=RkZfRUJJVERBX0lCKCdBTk4nLDM5NDQ3LCwsLCdHQlAnKQ==&amp;WINDOW=FIRST_POPUP&amp;HEIGHT=450&amp;WIDTH=","450&amp;START_MAXIMIZED=FALSE&amp;VAR:CALENDAR=FIVEDAY&amp;VAR:SYMBOL=011827&amp;VAR:INDEX=0"}</definedName>
    <definedName name="_486__FDSAUDITLINK__" hidden="1">{"fdsup://directions/FAT Viewer?action=UPDATE&amp;creator=factset&amp;DYN_ARGS=TRUE&amp;DOC_NAME=FAT:FQL_AUDITING_CLIENT_TEMPLATE.FAT&amp;display_string=Audit&amp;VAR:KEY=VKVWFMNONO&amp;VAR:QUERY=RkZfRUJJVERBX09QRVIoQ0FMLDIwMTApICogMQ==&amp;WINDOW=FIRST_POPUP&amp;HEIGHT=450&amp;WIDTH=450&amp;STAR","T_MAXIMIZED=FALSE&amp;VAR:CALENDAR=US&amp;VAR:SYMBOL=CX&amp;VAR:INDEX=0"}</definedName>
    <definedName name="_486__FDSAUDITLINK___1" localSheetId="8" hidden="1">{"fdsup://directions/FAT Viewer?action=UPDATE&amp;creator=factset&amp;DYN_ARGS=TRUE&amp;DOC_NAME=FAT:FQL_AUDITING_CLIENT_TEMPLATE.FAT&amp;display_string=Audit&amp;VAR:KEY=MLGPWDCJOF&amp;VAR:QUERY=RkZfRUJJVERBX0lCKCdBTk4nLDM5NDQ3LCwsLCdHQlAnKQ==&amp;WINDOW=FIRST_POPUP&amp;HEIGHT=450&amp;WIDTH=","450&amp;START_MAXIMIZED=FALSE&amp;VAR:CALENDAR=FIVEDAY&amp;VAR:SYMBOL=011827&amp;VAR:INDEX=0"}</definedName>
    <definedName name="_486__FDSAUDITLINK___1" hidden="1">{"fdsup://directions/FAT Viewer?action=UPDATE&amp;creator=factset&amp;DYN_ARGS=TRUE&amp;DOC_NAME=FAT:FQL_AUDITING_CLIENT_TEMPLATE.FAT&amp;display_string=Audit&amp;VAR:KEY=MLGPWDCJOF&amp;VAR:QUERY=RkZfRUJJVERBX0lCKCdBTk4nLDM5NDQ3LCwsLCdHQlAnKQ==&amp;WINDOW=FIRST_POPUP&amp;HEIGHT=450&amp;WIDTH=","450&amp;START_MAXIMIZED=FALSE&amp;VAR:CALENDAR=FIVEDAY&amp;VAR:SYMBOL=011827&amp;VAR:INDEX=0"}</definedName>
    <definedName name="_487__FDSAUDITLINK__" localSheetId="8" hidden="1">{"fdsup://directions/FAT Viewer?action=UPDATE&amp;creator=factset&amp;DYN_ARGS=TRUE&amp;DOC_NAME=FAT:FQL_AUDITING_CLIENT_TEMPLATE.FAT&amp;display_string=Audit&amp;VAR:KEY=SNKLYVAJUP&amp;VAR:QUERY=RkZfRUJJVERBX0lCKCdBTk4nLDM5MDgyLCwsLCdHQlAnKQ==&amp;WINDOW=FIRST_POPUP&amp;HEIGHT=450&amp;WIDTH=","450&amp;START_MAXIMIZED=FALSE&amp;VAR:CALENDAR=FIVEDAY&amp;VAR:SYMBOL=011827&amp;VAR:INDEX=0"}</definedName>
    <definedName name="_487__FDSAUDITLINK__" hidden="1">{"fdsup://directions/FAT Viewer?action=UPDATE&amp;creator=factset&amp;DYN_ARGS=TRUE&amp;DOC_NAME=FAT:FQL_AUDITING_CLIENT_TEMPLATE.FAT&amp;display_string=Audit&amp;VAR:KEY=LIFOFEZOBQ&amp;VAR:QUERY=RkZfRUJJVF9PUEVSKENBTCwyMDExKSAqIDE=&amp;WINDOW=FIRST_POPUP&amp;HEIGHT=450&amp;WIDTH=450&amp;START_MA","XIMIZED=FALSE&amp;VAR:CALENDAR=US&amp;VAR:SYMBOL=CX&amp;VAR:INDEX=0"}</definedName>
    <definedName name="_487__FDSAUDITLINK___1" localSheetId="8" hidden="1">{"fdsup://directions/FAT Viewer?action=UPDATE&amp;creator=factset&amp;DYN_ARGS=TRUE&amp;DOC_NAME=FAT:FQL_AUDITING_CLIENT_TEMPLATE.FAT&amp;display_string=Audit&amp;VAR:KEY=SNKLYVAJUP&amp;VAR:QUERY=RkZfRUJJVERBX0lCKCdBTk4nLDM5MDgyLCwsLCdHQlAnKQ==&amp;WINDOW=FIRST_POPUP&amp;HEIGHT=450&amp;WIDTH=","450&amp;START_MAXIMIZED=FALSE&amp;VAR:CALENDAR=FIVEDAY&amp;VAR:SYMBOL=011827&amp;VAR:INDEX=0"}</definedName>
    <definedName name="_487__FDSAUDITLINK___1" hidden="1">{"fdsup://directions/FAT Viewer?action=UPDATE&amp;creator=factset&amp;DYN_ARGS=TRUE&amp;DOC_NAME=FAT:FQL_AUDITING_CLIENT_TEMPLATE.FAT&amp;display_string=Audit&amp;VAR:KEY=SNKLYVAJUP&amp;VAR:QUERY=RkZfRUJJVERBX0lCKCdBTk4nLDM5MDgyLCwsLCdHQlAnKQ==&amp;WINDOW=FIRST_POPUP&amp;HEIGHT=450&amp;WIDTH=","450&amp;START_MAXIMIZED=FALSE&amp;VAR:CALENDAR=FIVEDAY&amp;VAR:SYMBOL=011827&amp;VAR:INDEX=0"}</definedName>
    <definedName name="_488__FDSAUDITLINK__" localSheetId="8" hidden="1">{"fdsup://directions/FAT Viewer?action=UPDATE&amp;creator=factset&amp;DYN_ARGS=TRUE&amp;DOC_NAME=FAT:FQL_AUDITING_CLIENT_TEMPLATE.FAT&amp;display_string=Audit&amp;VAR:KEY=YZEVCLAFYL&amp;VAR:QUERY=RkZfRUJJVERBX0lCKCdBTk4nLDM5OTAzLCwsLCdHQlAnKQ==&amp;WINDOW=FIRST_POPUP&amp;HEIGHT=450&amp;WIDTH=","450&amp;START_MAXIMIZED=FALSE&amp;VAR:CALENDAR=FIVEDAY&amp;VAR:SYMBOL=092210&amp;VAR:INDEX=0"}</definedName>
    <definedName name="_488__FDSAUDITLINK__" hidden="1">{"fdsup://directions/FAT Viewer?action=UPDATE&amp;creator=factset&amp;DYN_ARGS=TRUE&amp;DOC_NAME=FAT:FQL_AUDITING_CLIENT_TEMPLATE.FAT&amp;display_string=Audit&amp;VAR:KEY=DUZUJKZQNG&amp;VAR:QUERY=RkZfRUJJVF9PUEVSKENBTCwyMDA5KSAqIDE=&amp;WINDOW=FIRST_POPUP&amp;HEIGHT=450&amp;WIDTH=450&amp;START_MA","XIMIZED=FALSE&amp;VAR:CALENDAR=US&amp;VAR:SYMBOL=CX&amp;VAR:INDEX=0"}</definedName>
    <definedName name="_488__FDSAUDITLINK___1" localSheetId="8" hidden="1">{"fdsup://directions/FAT Viewer?action=UPDATE&amp;creator=factset&amp;DYN_ARGS=TRUE&amp;DOC_NAME=FAT:FQL_AUDITING_CLIENT_TEMPLATE.FAT&amp;display_string=Audit&amp;VAR:KEY=YZEVCLAFYL&amp;VAR:QUERY=RkZfRUJJVERBX0lCKCdBTk4nLDM5OTAzLCwsLCdHQlAnKQ==&amp;WINDOW=FIRST_POPUP&amp;HEIGHT=450&amp;WIDTH=","450&amp;START_MAXIMIZED=FALSE&amp;VAR:CALENDAR=FIVEDAY&amp;VAR:SYMBOL=092210&amp;VAR:INDEX=0"}</definedName>
    <definedName name="_488__FDSAUDITLINK___1" hidden="1">{"fdsup://directions/FAT Viewer?action=UPDATE&amp;creator=factset&amp;DYN_ARGS=TRUE&amp;DOC_NAME=FAT:FQL_AUDITING_CLIENT_TEMPLATE.FAT&amp;display_string=Audit&amp;VAR:KEY=YZEVCLAFYL&amp;VAR:QUERY=RkZfRUJJVERBX0lCKCdBTk4nLDM5OTAzLCwsLCdHQlAnKQ==&amp;WINDOW=FIRST_POPUP&amp;HEIGHT=450&amp;WIDTH=","450&amp;START_MAXIMIZED=FALSE&amp;VAR:CALENDAR=FIVEDAY&amp;VAR:SYMBOL=092210&amp;VAR:INDEX=0"}</definedName>
    <definedName name="_489__FDSAUDITLINK__" localSheetId="8" hidden="1">{"fdsup://directions/FAT Viewer?action=UPDATE&amp;creator=factset&amp;DYN_ARGS=TRUE&amp;DOC_NAME=FAT:FQL_AUDITING_CLIENT_TEMPLATE.FAT&amp;display_string=Audit&amp;VAR:KEY=CTSBSBCRIP&amp;VAR:QUERY=RkZfRUJJVERBX0lCKCdBTk4nLDM5NTM4LCwsLCdHQlAnKQ==&amp;WINDOW=FIRST_POPUP&amp;HEIGHT=450&amp;WIDTH=","450&amp;START_MAXIMIZED=FALSE&amp;VAR:CALENDAR=FIVEDAY&amp;VAR:SYMBOL=092210&amp;VAR:INDEX=0"}</definedName>
    <definedName name="_489__FDSAUDITLINK__" hidden="1">{"fdsup://directions/FAT Viewer?action=UPDATE&amp;creator=factset&amp;DYN_ARGS=TRUE&amp;DOC_NAME=FAT:FQL_AUDITING_CLIENT_TEMPLATE.FAT&amp;display_string=Audit&amp;VAR:KEY=PADSPCDKFE&amp;VAR:QUERY=RkZfRVBTKENBTCwyMDEwKSAqIDE=&amp;WINDOW=FIRST_POPUP&amp;HEIGHT=450&amp;WIDTH=450&amp;START_MAXIMIZED=","FALSE&amp;VAR:CALENDAR=US&amp;VAR:SYMBOL=CX&amp;VAR:INDEX=0"}</definedName>
    <definedName name="_489__FDSAUDITLINK___1" localSheetId="8" hidden="1">{"fdsup://directions/FAT Viewer?action=UPDATE&amp;creator=factset&amp;DYN_ARGS=TRUE&amp;DOC_NAME=FAT:FQL_AUDITING_CLIENT_TEMPLATE.FAT&amp;display_string=Audit&amp;VAR:KEY=CTSBSBCRIP&amp;VAR:QUERY=RkZfRUJJVERBX0lCKCdBTk4nLDM5NTM4LCwsLCdHQlAnKQ==&amp;WINDOW=FIRST_POPUP&amp;HEIGHT=450&amp;WIDTH=","450&amp;START_MAXIMIZED=FALSE&amp;VAR:CALENDAR=FIVEDAY&amp;VAR:SYMBOL=092210&amp;VAR:INDEX=0"}</definedName>
    <definedName name="_489__FDSAUDITLINK___1" hidden="1">{"fdsup://directions/FAT Viewer?action=UPDATE&amp;creator=factset&amp;DYN_ARGS=TRUE&amp;DOC_NAME=FAT:FQL_AUDITING_CLIENT_TEMPLATE.FAT&amp;display_string=Audit&amp;VAR:KEY=CTSBSBCRIP&amp;VAR:QUERY=RkZfRUJJVERBX0lCKCdBTk4nLDM5NTM4LCwsLCdHQlAnKQ==&amp;WINDOW=FIRST_POPUP&amp;HEIGHT=450&amp;WIDTH=","450&amp;START_MAXIMIZED=FALSE&amp;VAR:CALENDAR=FIVEDAY&amp;VAR:SYMBOL=092210&amp;VAR:INDEX=0"}</definedName>
    <definedName name="_49__123Graph_ECHART_2" hidden="1">#REF!</definedName>
    <definedName name="_49__123Graph_XGRAFICO_30" localSheetId="8" hidden="1">#REF!</definedName>
    <definedName name="_49__123Graph_XGRAFICO_30" hidden="1">#REF!</definedName>
    <definedName name="_49__FDSAUDITLINK__" localSheetId="8" hidden="1">{"fdsup://directions/FAT Viewer?action=UPDATE&amp;creator=factset&amp;DYN_ARGS=TRUE&amp;DOC_NAME=FAT:FQL_AUDITING_CLIENT_TEMPLATE.FAT&amp;display_string=Audit&amp;VAR:KEY=IHARAHIDGV&amp;VAR:QUERY=RkZfRUJJVERBX0lCKEFOTiw0MDE3OCwsLCxFVVIp&amp;WINDOW=FIRST_POPUP&amp;HEIGHT=450&amp;WIDTH=450&amp;STAR","T_MAXIMIZED=FALSE&amp;VAR:CALENDAR=FIVEDAY&amp;VAR:SYMBOL=591344&amp;VAR:INDEX=0"}</definedName>
    <definedName name="_49__FDSAUDITLINK__" hidden="1">{"fdsup://directions/FAT Viewer?action=UPDATE&amp;creator=factset&amp;DYN_ARGS=TRUE&amp;DOC_NAME=FAT:FQL_AUDITING_CLIENT_TEMPLATE.FAT&amp;display_string=Audit&amp;VAR:KEY=DMNEZCFUXE&amp;VAR:QUERY=RkZfRUJJVERBX09QRVIoQ0FMLDIwMTAp&amp;WINDOW=FIRST_POPUP&amp;HEIGHT=450&amp;WIDTH=450&amp;START_MAXIMI","ZED=FALSE&amp;VAR:CALENDAR=US&amp;VAR:SYMBOL=CX&amp;VAR:INDEX=0"}</definedName>
    <definedName name="_49__FDSAUDITLINK___1" localSheetId="8" hidden="1">{"fdsup://directions/FAT Viewer?action=UPDATE&amp;creator=factset&amp;DYN_ARGS=TRUE&amp;DOC_NAME=FAT:FQL_AUDITING_CLIENT_TEMPLATE.FAT&amp;display_string=Audit&amp;VAR:KEY=IHARAHIDGV&amp;VAR:QUERY=RkZfRUJJVERBX0lCKEFOTiw0MDE3OCwsLCxFVVIp&amp;WINDOW=FIRST_POPUP&amp;HEIGHT=450&amp;WIDTH=450&amp;STAR","T_MAXIMIZED=FALSE&amp;VAR:CALENDAR=FIVEDAY&amp;VAR:SYMBOL=591344&amp;VAR:INDEX=0"}</definedName>
    <definedName name="_49__FDSAUDITLINK___1" hidden="1">{"fdsup://directions/FAT Viewer?action=UPDATE&amp;creator=factset&amp;DYN_ARGS=TRUE&amp;DOC_NAME=FAT:FQL_AUDITING_CLIENT_TEMPLATE.FAT&amp;display_string=Audit&amp;VAR:KEY=IHARAHIDGV&amp;VAR:QUERY=RkZfRUJJVERBX0lCKEFOTiw0MDE3OCwsLCxFVVIp&amp;WINDOW=FIRST_POPUP&amp;HEIGHT=450&amp;WIDTH=450&amp;STAR","T_MAXIMIZED=FALSE&amp;VAR:CALENDAR=FIVEDAY&amp;VAR:SYMBOL=591344&amp;VAR:INDEX=0"}</definedName>
    <definedName name="_490__FDSAUDITLINK__" localSheetId="8" hidden="1">{"fdsup://directions/FAT Viewer?action=UPDATE&amp;creator=factset&amp;DYN_ARGS=TRUE&amp;DOC_NAME=FAT:FQL_AUDITING_CLIENT_TEMPLATE.FAT&amp;display_string=Audit&amp;VAR:KEY=MZCHMHWDCN&amp;VAR:QUERY=RkZfRUJJVERBX0lCKCdBTk4nLDM5MTcyLCwsLCdHQlAnKQ==&amp;WINDOW=FIRST_POPUP&amp;HEIGHT=450&amp;WIDTH=","450&amp;START_MAXIMIZED=FALSE&amp;VAR:CALENDAR=FIVEDAY&amp;VAR:SYMBOL=092210&amp;VAR:INDEX=0"}</definedName>
    <definedName name="_490__FDSAUDITLINK__" hidden="1">{"fdsup://directions/FAT Viewer?action=UPDATE&amp;creator=factset&amp;DYN_ARGS=TRUE&amp;DOC_NAME=FAT:FQL_AUDITING_CLIENT_TEMPLATE.FAT&amp;display_string=Audit&amp;VAR:KEY=JWXWXAFKLQ&amp;VAR:QUERY=RkZfTkVUX0lOQyhDQUwsMjAxMSkgKiAx&amp;WINDOW=FIRST_POPUP&amp;HEIGHT=450&amp;WIDTH=450&amp;START_MAXIMI","ZED=FALSE&amp;VAR:CALENDAR=US&amp;VAR:SYMBOL=CX&amp;VAR:INDEX=0"}</definedName>
    <definedName name="_490__FDSAUDITLINK___1" localSheetId="8" hidden="1">{"fdsup://directions/FAT Viewer?action=UPDATE&amp;creator=factset&amp;DYN_ARGS=TRUE&amp;DOC_NAME=FAT:FQL_AUDITING_CLIENT_TEMPLATE.FAT&amp;display_string=Audit&amp;VAR:KEY=MZCHMHWDCN&amp;VAR:QUERY=RkZfRUJJVERBX0lCKCdBTk4nLDM5MTcyLCwsLCdHQlAnKQ==&amp;WINDOW=FIRST_POPUP&amp;HEIGHT=450&amp;WIDTH=","450&amp;START_MAXIMIZED=FALSE&amp;VAR:CALENDAR=FIVEDAY&amp;VAR:SYMBOL=092210&amp;VAR:INDEX=0"}</definedName>
    <definedName name="_490__FDSAUDITLINK___1" hidden="1">{"fdsup://directions/FAT Viewer?action=UPDATE&amp;creator=factset&amp;DYN_ARGS=TRUE&amp;DOC_NAME=FAT:FQL_AUDITING_CLIENT_TEMPLATE.FAT&amp;display_string=Audit&amp;VAR:KEY=MZCHMHWDCN&amp;VAR:QUERY=RkZfRUJJVERBX0lCKCdBTk4nLDM5MTcyLCwsLCdHQlAnKQ==&amp;WINDOW=FIRST_POPUP&amp;HEIGHT=450&amp;WIDTH=","450&amp;START_MAXIMIZED=FALSE&amp;VAR:CALENDAR=FIVEDAY&amp;VAR:SYMBOL=092210&amp;VAR:INDEX=0"}</definedName>
    <definedName name="_491__FDSAUDITLINK__" localSheetId="8" hidden="1">{"fdsup://directions/FAT Viewer?action=UPDATE&amp;creator=factset&amp;DYN_ARGS=TRUE&amp;DOC_NAME=FAT:FQL_AUDITING_CLIENT_TEMPLATE.FAT&amp;display_string=Audit&amp;VAR:KEY=QVWXIZYXEX&amp;VAR:QUERY=RkZfRUJJVERBX0lCKCdBTk4nLDQwMTc4LCwsLCdTRUsnKQ==&amp;WINDOW=FIRST_POPUP&amp;HEIGHT=450&amp;WIDTH=","450&amp;START_MAXIMIZED=FALSE&amp;VAR:CALENDAR=FIVEDAY&amp;VAR:SYMBOL=454047&amp;VAR:INDEX=0"}</definedName>
    <definedName name="_491__FDSAUDITLINK__" hidden="1">{"fdsup://directions/FAT Viewer?action=UPDATE&amp;creator=factset&amp;DYN_ARGS=TRUE&amp;DOC_NAME=FAT:FQL_AUDITING_CLIENT_TEMPLATE.FAT&amp;display_string=Audit&amp;VAR:KEY=TINSZEVCBS&amp;VAR:QUERY=RkZfTkVUX0lOQyhDQUwsMjAwOSkgKiAx&amp;WINDOW=FIRST_POPUP&amp;HEIGHT=450&amp;WIDTH=450&amp;START_MAXIMI","ZED=FALSE&amp;VAR:CALENDAR=US&amp;VAR:SYMBOL=CX&amp;VAR:INDEX=0"}</definedName>
    <definedName name="_491__FDSAUDITLINK___1" localSheetId="8" hidden="1">{"fdsup://directions/FAT Viewer?action=UPDATE&amp;creator=factset&amp;DYN_ARGS=TRUE&amp;DOC_NAME=FAT:FQL_AUDITING_CLIENT_TEMPLATE.FAT&amp;display_string=Audit&amp;VAR:KEY=QVWXIZYXEX&amp;VAR:QUERY=RkZfRUJJVERBX0lCKCdBTk4nLDQwMTc4LCwsLCdTRUsnKQ==&amp;WINDOW=FIRST_POPUP&amp;HEIGHT=450&amp;WIDTH=","450&amp;START_MAXIMIZED=FALSE&amp;VAR:CALENDAR=FIVEDAY&amp;VAR:SYMBOL=454047&amp;VAR:INDEX=0"}</definedName>
    <definedName name="_491__FDSAUDITLINK___1" hidden="1">{"fdsup://directions/FAT Viewer?action=UPDATE&amp;creator=factset&amp;DYN_ARGS=TRUE&amp;DOC_NAME=FAT:FQL_AUDITING_CLIENT_TEMPLATE.FAT&amp;display_string=Audit&amp;VAR:KEY=QVWXIZYXEX&amp;VAR:QUERY=RkZfRUJJVERBX0lCKCdBTk4nLDQwMTc4LCwsLCdTRUsnKQ==&amp;WINDOW=FIRST_POPUP&amp;HEIGHT=450&amp;WIDTH=","450&amp;START_MAXIMIZED=FALSE&amp;VAR:CALENDAR=FIVEDAY&amp;VAR:SYMBOL=454047&amp;VAR:INDEX=0"}</definedName>
    <definedName name="_492__FDSAUDITLINK__" localSheetId="8" hidden="1">{"fdsup://directions/FAT Viewer?action=UPDATE&amp;creator=factset&amp;DYN_ARGS=TRUE&amp;DOC_NAME=FAT:FQL_AUDITING_CLIENT_TEMPLATE.FAT&amp;display_string=Audit&amp;VAR:KEY=WRSFORIJSP&amp;VAR:QUERY=RkZfRUJJVERBX0lCKCdBTk4nLDM5ODEzLCwsLCdTRUsnKQ==&amp;WINDOW=FIRST_POPUP&amp;HEIGHT=450&amp;WIDTH=","450&amp;START_MAXIMIZED=FALSE&amp;VAR:CALENDAR=FIVEDAY&amp;VAR:SYMBOL=454047&amp;VAR:INDEX=0"}</definedName>
    <definedName name="_492__FDSAUDITLINK__" hidden="1">{"fdsup://directions/FAT Viewer?action=UPDATE&amp;creator=factset&amp;DYN_ARGS=TRUE&amp;DOC_NAME=FAT:FQL_AUDITING_CLIENT_TEMPLATE.FAT&amp;display_string=Audit&amp;VAR:KEY=HABYBABATU&amp;VAR:QUERY=RkZfSU5UX0VYUF9ORVQoTFRNLDQxMDkyKQ==&amp;WINDOW=FIRST_POPUP&amp;HEIGHT=450&amp;WIDTH=450&amp;START_MA","XIMIZED=FALSE&amp;VAR:CALENDAR=US&amp;VAR:SYMBOL=CX&amp;VAR:INDEX=0"}</definedName>
    <definedName name="_492__FDSAUDITLINK___1" localSheetId="8" hidden="1">{"fdsup://directions/FAT Viewer?action=UPDATE&amp;creator=factset&amp;DYN_ARGS=TRUE&amp;DOC_NAME=FAT:FQL_AUDITING_CLIENT_TEMPLATE.FAT&amp;display_string=Audit&amp;VAR:KEY=WRSFORIJSP&amp;VAR:QUERY=RkZfRUJJVERBX0lCKCdBTk4nLDM5ODEzLCwsLCdTRUsnKQ==&amp;WINDOW=FIRST_POPUP&amp;HEIGHT=450&amp;WIDTH=","450&amp;START_MAXIMIZED=FALSE&amp;VAR:CALENDAR=FIVEDAY&amp;VAR:SYMBOL=454047&amp;VAR:INDEX=0"}</definedName>
    <definedName name="_492__FDSAUDITLINK___1" hidden="1">{"fdsup://directions/FAT Viewer?action=UPDATE&amp;creator=factset&amp;DYN_ARGS=TRUE&amp;DOC_NAME=FAT:FQL_AUDITING_CLIENT_TEMPLATE.FAT&amp;display_string=Audit&amp;VAR:KEY=WRSFORIJSP&amp;VAR:QUERY=RkZfRUJJVERBX0lCKCdBTk4nLDM5ODEzLCwsLCdTRUsnKQ==&amp;WINDOW=FIRST_POPUP&amp;HEIGHT=450&amp;WIDTH=","450&amp;START_MAXIMIZED=FALSE&amp;VAR:CALENDAR=FIVEDAY&amp;VAR:SYMBOL=454047&amp;VAR:INDEX=0"}</definedName>
    <definedName name="_493__FDSAUDITLINK__" localSheetId="8" hidden="1">{"fdsup://directions/FAT Viewer?action=UPDATE&amp;creator=factset&amp;DYN_ARGS=TRUE&amp;DOC_NAME=FAT:FQL_AUDITING_CLIENT_TEMPLATE.FAT&amp;display_string=Audit&amp;VAR:KEY=AFUPOFWLAJ&amp;VAR:QUERY=RkZfRUJJVERBX0lCKCdBTk4nLDM5NDQ3LCwsLCdTRUsnKQ==&amp;WINDOW=FIRST_POPUP&amp;HEIGHT=450&amp;WIDTH=","450&amp;START_MAXIMIZED=FALSE&amp;VAR:CALENDAR=FIVEDAY&amp;VAR:SYMBOL=454047&amp;VAR:INDEX=0"}</definedName>
    <definedName name="_493__FDSAUDITLINK__" hidden="1">{"fdsup://directions/FAT Viewer?action=UPDATE&amp;creator=factset&amp;DYN_ARGS=TRUE&amp;DOC_NAME=FAT:FQL_AUDITING_CLIENT_TEMPLATE.FAT&amp;display_string=Audit&amp;VAR:KEY=ZSDWBKTOHC&amp;VAR:QUERY=RkZfRUJJVF9PUEVSKExUTSw0MTA5Mik=&amp;WINDOW=FIRST_POPUP&amp;HEIGHT=450&amp;WIDTH=450&amp;START_MAXIMI","ZED=FALSE&amp;VAR:CALENDAR=US&amp;VAR:SYMBOL=CX&amp;VAR:INDEX=0"}</definedName>
    <definedName name="_493__FDSAUDITLINK___1" localSheetId="8" hidden="1">{"fdsup://directions/FAT Viewer?action=UPDATE&amp;creator=factset&amp;DYN_ARGS=TRUE&amp;DOC_NAME=FAT:FQL_AUDITING_CLIENT_TEMPLATE.FAT&amp;display_string=Audit&amp;VAR:KEY=AFUPOFWLAJ&amp;VAR:QUERY=RkZfRUJJVERBX0lCKCdBTk4nLDM5NDQ3LCwsLCdTRUsnKQ==&amp;WINDOW=FIRST_POPUP&amp;HEIGHT=450&amp;WIDTH=","450&amp;START_MAXIMIZED=FALSE&amp;VAR:CALENDAR=FIVEDAY&amp;VAR:SYMBOL=454047&amp;VAR:INDEX=0"}</definedName>
    <definedName name="_493__FDSAUDITLINK___1" hidden="1">{"fdsup://directions/FAT Viewer?action=UPDATE&amp;creator=factset&amp;DYN_ARGS=TRUE&amp;DOC_NAME=FAT:FQL_AUDITING_CLIENT_TEMPLATE.FAT&amp;display_string=Audit&amp;VAR:KEY=AFUPOFWLAJ&amp;VAR:QUERY=RkZfRUJJVERBX0lCKCdBTk4nLDM5NDQ3LCwsLCdTRUsnKQ==&amp;WINDOW=FIRST_POPUP&amp;HEIGHT=450&amp;WIDTH=","450&amp;START_MAXIMIZED=FALSE&amp;VAR:CALENDAR=FIVEDAY&amp;VAR:SYMBOL=454047&amp;VAR:INDEX=0"}</definedName>
    <definedName name="_494__FDSAUDITLINK__" localSheetId="8" hidden="1">{"fdsup://directions/FAT Viewer?action=UPDATE&amp;creator=factset&amp;DYN_ARGS=TRUE&amp;DOC_NAME=FAT:FQL_AUDITING_CLIENT_TEMPLATE.FAT&amp;display_string=Audit&amp;VAR:KEY=ERULQRYHOV&amp;VAR:QUERY=RkZfRUJJVERBX0lCKCdBTk4nLDQwMDg2LCwsLCdHQlAnKQ==&amp;WINDOW=FIRST_POPUP&amp;HEIGHT=450&amp;WIDTH=","450&amp;START_MAXIMIZED=FALSE&amp;VAR:CALENDAR=FIVEDAY&amp;VAR:SYMBOL=080216&amp;VAR:INDEX=0"}</definedName>
    <definedName name="_494__FDSAUDITLINK__" hidden="1">{"fdsup://directions/FAT Viewer?action=UPDATE&amp;creator=factset&amp;DYN_ARGS=TRUE&amp;DOC_NAME=FAT:FQL_AUDITING_CLIENT_TEMPLATE.FAT&amp;display_string=Audit&amp;VAR:KEY=TGRIVCRGTQ&amp;VAR:QUERY=RkZfU0FMRVMoTFRNLDQxMDkyKQ==&amp;WINDOW=FIRST_POPUP&amp;HEIGHT=450&amp;WIDTH=450&amp;START_MAXIMIZED=","FALSE&amp;VAR:CALENDAR=US&amp;VAR:SYMBOL=CX&amp;VAR:INDEX=0"}</definedName>
    <definedName name="_494__FDSAUDITLINK___1" localSheetId="8" hidden="1">{"fdsup://directions/FAT Viewer?action=UPDATE&amp;creator=factset&amp;DYN_ARGS=TRUE&amp;DOC_NAME=FAT:FQL_AUDITING_CLIENT_TEMPLATE.FAT&amp;display_string=Audit&amp;VAR:KEY=ERULQRYHOV&amp;VAR:QUERY=RkZfRUJJVERBX0lCKCdBTk4nLDQwMDg2LCwsLCdHQlAnKQ==&amp;WINDOW=FIRST_POPUP&amp;HEIGHT=450&amp;WIDTH=","450&amp;START_MAXIMIZED=FALSE&amp;VAR:CALENDAR=FIVEDAY&amp;VAR:SYMBOL=080216&amp;VAR:INDEX=0"}</definedName>
    <definedName name="_494__FDSAUDITLINK___1" hidden="1">{"fdsup://directions/FAT Viewer?action=UPDATE&amp;creator=factset&amp;DYN_ARGS=TRUE&amp;DOC_NAME=FAT:FQL_AUDITING_CLIENT_TEMPLATE.FAT&amp;display_string=Audit&amp;VAR:KEY=ERULQRYHOV&amp;VAR:QUERY=RkZfRUJJVERBX0lCKCdBTk4nLDQwMDg2LCwsLCdHQlAnKQ==&amp;WINDOW=FIRST_POPUP&amp;HEIGHT=450&amp;WIDTH=","450&amp;START_MAXIMIZED=FALSE&amp;VAR:CALENDAR=FIVEDAY&amp;VAR:SYMBOL=080216&amp;VAR:INDEX=0"}</definedName>
    <definedName name="_495__FDSAUDITLINK__" localSheetId="8" hidden="1">{"fdsup://directions/FAT Viewer?action=UPDATE&amp;creator=factset&amp;DYN_ARGS=TRUE&amp;DOC_NAME=FAT:FQL_AUDITING_CLIENT_TEMPLATE.FAT&amp;display_string=Audit&amp;VAR:KEY=ITQRQBUZER&amp;VAR:QUERY=RkZfRUJJVERBX0lCKCdBTk4nLDM5NzIxLCwsLCdHQlAnKQ==&amp;WINDOW=FIRST_POPUP&amp;HEIGHT=450&amp;WIDTH=","450&amp;START_MAXIMIZED=FALSE&amp;VAR:CALENDAR=FIVEDAY&amp;VAR:SYMBOL=080216&amp;VAR:INDEX=0"}</definedName>
    <definedName name="_495__FDSAUDITLINK__" hidden="1">{"fdsup://directions/FAT Viewer?action=UPDATE&amp;creator=factset&amp;DYN_ARGS=TRUE&amp;DOC_NAME=FAT:FQL_AUDITING_CLIENT_TEMPLATE.FAT&amp;display_string=Audit&amp;VAR:KEY=PSBIHCVOJC&amp;VAR:QUERY=RkZfU0FMRVMoQ0FMLDIwMTApICogMQ==&amp;WINDOW=FIRST_POPUP&amp;HEIGHT=450&amp;WIDTH=450&amp;START_MAXIMI","ZED=FALSE&amp;VAR:CALENDAR=US&amp;VAR:SYMBOL=CX&amp;VAR:INDEX=0"}</definedName>
    <definedName name="_495__FDSAUDITLINK___1" localSheetId="8" hidden="1">{"fdsup://directions/FAT Viewer?action=UPDATE&amp;creator=factset&amp;DYN_ARGS=TRUE&amp;DOC_NAME=FAT:FQL_AUDITING_CLIENT_TEMPLATE.FAT&amp;display_string=Audit&amp;VAR:KEY=ITQRQBUZER&amp;VAR:QUERY=RkZfRUJJVERBX0lCKCdBTk4nLDM5NzIxLCwsLCdHQlAnKQ==&amp;WINDOW=FIRST_POPUP&amp;HEIGHT=450&amp;WIDTH=","450&amp;START_MAXIMIZED=FALSE&amp;VAR:CALENDAR=FIVEDAY&amp;VAR:SYMBOL=080216&amp;VAR:INDEX=0"}</definedName>
    <definedName name="_495__FDSAUDITLINK___1" hidden="1">{"fdsup://directions/FAT Viewer?action=UPDATE&amp;creator=factset&amp;DYN_ARGS=TRUE&amp;DOC_NAME=FAT:FQL_AUDITING_CLIENT_TEMPLATE.FAT&amp;display_string=Audit&amp;VAR:KEY=ITQRQBUZER&amp;VAR:QUERY=RkZfRUJJVERBX0lCKCdBTk4nLDM5NzIxLCwsLCdHQlAnKQ==&amp;WINDOW=FIRST_POPUP&amp;HEIGHT=450&amp;WIDTH=","450&amp;START_MAXIMIZED=FALSE&amp;VAR:CALENDAR=FIVEDAY&amp;VAR:SYMBOL=080216&amp;VAR:INDEX=0"}</definedName>
    <definedName name="_496__FDSAUDITLINK__" localSheetId="8" hidden="1">{"fdsup://directions/FAT Viewer?action=UPDATE&amp;creator=factset&amp;DYN_ARGS=TRUE&amp;DOC_NAME=FAT:FQL_AUDITING_CLIENT_TEMPLATE.FAT&amp;display_string=Audit&amp;VAR:KEY=QPWDYTYRUJ&amp;VAR:QUERY=RkZfRUJJVERBX0lCKCdBTk4nLDM5MzU1LCwsLCdHQlAnKQ==&amp;WINDOW=FIRST_POPUP&amp;HEIGHT=450&amp;WIDTH=","450&amp;START_MAXIMIZED=FALSE&amp;VAR:CALENDAR=FIVEDAY&amp;VAR:SYMBOL=080216&amp;VAR:INDEX=0"}</definedName>
    <definedName name="_496__FDSAUDITLINK__" hidden="1">{"fdsup://directions/FAT Viewer?action=UPDATE&amp;creator=factset&amp;DYN_ARGS=TRUE&amp;DOC_NAME=FAT:FQL_AUDITING_CLIENT_TEMPLATE.FAT&amp;display_string=Audit&amp;VAR:KEY=RURIDENGBA&amp;VAR:QUERY=RkZfRUJJVERBX09QRVIoQ0FMLDIwMTEpICogMQ==&amp;WINDOW=FIRST_POPUP&amp;HEIGHT=450&amp;WIDTH=450&amp;STAR","T_MAXIMIZED=FALSE&amp;VAR:CALENDAR=US&amp;VAR:SYMBOL=CX&amp;VAR:INDEX=0"}</definedName>
    <definedName name="_496__FDSAUDITLINK___1" localSheetId="8" hidden="1">{"fdsup://directions/FAT Viewer?action=UPDATE&amp;creator=factset&amp;DYN_ARGS=TRUE&amp;DOC_NAME=FAT:FQL_AUDITING_CLIENT_TEMPLATE.FAT&amp;display_string=Audit&amp;VAR:KEY=QPWDYTYRUJ&amp;VAR:QUERY=RkZfRUJJVERBX0lCKCdBTk4nLDM5MzU1LCwsLCdHQlAnKQ==&amp;WINDOW=FIRST_POPUP&amp;HEIGHT=450&amp;WIDTH=","450&amp;START_MAXIMIZED=FALSE&amp;VAR:CALENDAR=FIVEDAY&amp;VAR:SYMBOL=080216&amp;VAR:INDEX=0"}</definedName>
    <definedName name="_496__FDSAUDITLINK___1" hidden="1">{"fdsup://directions/FAT Viewer?action=UPDATE&amp;creator=factset&amp;DYN_ARGS=TRUE&amp;DOC_NAME=FAT:FQL_AUDITING_CLIENT_TEMPLATE.FAT&amp;display_string=Audit&amp;VAR:KEY=QPWDYTYRUJ&amp;VAR:QUERY=RkZfRUJJVERBX0lCKCdBTk4nLDM5MzU1LCwsLCdHQlAnKQ==&amp;WINDOW=FIRST_POPUP&amp;HEIGHT=450&amp;WIDTH=","450&amp;START_MAXIMIZED=FALSE&amp;VAR:CALENDAR=FIVEDAY&amp;VAR:SYMBOL=080216&amp;VAR:INDEX=0"}</definedName>
    <definedName name="_497__FDSAUDITLINK__" localSheetId="8" hidden="1">{"fdsup://directions/FAT Viewer?action=UPDATE&amp;creator=factset&amp;DYN_ARGS=TRUE&amp;DOC_NAME=FAT:FQL_AUDITING_CLIENT_TEMPLATE.FAT&amp;display_string=Audit&amp;VAR:KEY=IHIJWNMJQB&amp;VAR:QUERY=RkZfRUJJVERBX0lCKCdBTk4nLDM5ODEzLCwsLCdHQlAnKQ==&amp;WINDOW=FIRST_POPUP&amp;HEIGHT=450&amp;WIDTH=","450&amp;START_MAXIMIZED=FALSE&amp;VAR:CALENDAR=FIVEDAY&amp;VAR:SYMBOL=075902&amp;VAR:INDEX=0"}</definedName>
    <definedName name="_497__FDSAUDITLINK__" hidden="1">{"fdsup://directions/FAT Viewer?action=UPDATE&amp;creator=factset&amp;DYN_ARGS=TRUE&amp;DOC_NAME=FAT:FQL_AUDITING_CLIENT_TEMPLATE.FAT&amp;display_string=Audit&amp;VAR:KEY=VKTUTETAXI&amp;VAR:QUERY=RkZfRUJJVERBX09QRVIoQ0FMLDIwMDkpICogMQ==&amp;WINDOW=FIRST_POPUP&amp;HEIGHT=450&amp;WIDTH=450&amp;STAR","T_MAXIMIZED=FALSE&amp;VAR:CALENDAR=US&amp;VAR:SYMBOL=CX&amp;VAR:INDEX=0"}</definedName>
    <definedName name="_497__FDSAUDITLINK___1" localSheetId="8" hidden="1">{"fdsup://directions/FAT Viewer?action=UPDATE&amp;creator=factset&amp;DYN_ARGS=TRUE&amp;DOC_NAME=FAT:FQL_AUDITING_CLIENT_TEMPLATE.FAT&amp;display_string=Audit&amp;VAR:KEY=IHIJWNMJQB&amp;VAR:QUERY=RkZfRUJJVERBX0lCKCdBTk4nLDM5ODEzLCwsLCdHQlAnKQ==&amp;WINDOW=FIRST_POPUP&amp;HEIGHT=450&amp;WIDTH=","450&amp;START_MAXIMIZED=FALSE&amp;VAR:CALENDAR=FIVEDAY&amp;VAR:SYMBOL=075902&amp;VAR:INDEX=0"}</definedName>
    <definedName name="_497__FDSAUDITLINK___1" hidden="1">{"fdsup://directions/FAT Viewer?action=UPDATE&amp;creator=factset&amp;DYN_ARGS=TRUE&amp;DOC_NAME=FAT:FQL_AUDITING_CLIENT_TEMPLATE.FAT&amp;display_string=Audit&amp;VAR:KEY=IHIJWNMJQB&amp;VAR:QUERY=RkZfRUJJVERBX0lCKCdBTk4nLDM5ODEzLCwsLCdHQlAnKQ==&amp;WINDOW=FIRST_POPUP&amp;HEIGHT=450&amp;WIDTH=","450&amp;START_MAXIMIZED=FALSE&amp;VAR:CALENDAR=FIVEDAY&amp;VAR:SYMBOL=075902&amp;VAR:INDEX=0"}</definedName>
    <definedName name="_498__FDSAUDITLINK__" localSheetId="8" hidden="1">{"fdsup://directions/FAT Viewer?action=UPDATE&amp;creator=factset&amp;DYN_ARGS=TRUE&amp;DOC_NAME=FAT:FQL_AUDITING_CLIENT_TEMPLATE.FAT&amp;display_string=Audit&amp;VAR:KEY=KHABSRITYT&amp;VAR:QUERY=RkZfRUJJVERBX0lCKCdBTk4nLDM5NDQ3LCwsLCdHQlAnKQ==&amp;WINDOW=FIRST_POPUP&amp;HEIGHT=450&amp;WIDTH=","450&amp;START_MAXIMIZED=FALSE&amp;VAR:CALENDAR=FIVEDAY&amp;VAR:SYMBOL=075902&amp;VAR:INDEX=0"}</definedName>
    <definedName name="_498__FDSAUDITLINK__" hidden="1">{"fdsup://directions/FAT Viewer?action=UPDATE&amp;creator=factset&amp;DYN_ARGS=TRUE&amp;DOC_NAME=FAT:FQL_AUDITING_CLIENT_TEMPLATE.FAT&amp;display_string=Audit&amp;VAR:KEY=XAVIDABYPE&amp;VAR:QUERY=RkZfRUJJVF9PUEVSKENBTCwyMDEwKSAqIDE=&amp;WINDOW=FIRST_POPUP&amp;HEIGHT=450&amp;WIDTH=450&amp;START_MA","XIMIZED=FALSE&amp;VAR:CALENDAR=US&amp;VAR:SYMBOL=CX&amp;VAR:INDEX=0"}</definedName>
    <definedName name="_498__FDSAUDITLINK___1" localSheetId="8" hidden="1">{"fdsup://directions/FAT Viewer?action=UPDATE&amp;creator=factset&amp;DYN_ARGS=TRUE&amp;DOC_NAME=FAT:FQL_AUDITING_CLIENT_TEMPLATE.FAT&amp;display_string=Audit&amp;VAR:KEY=KHABSRITYT&amp;VAR:QUERY=RkZfRUJJVERBX0lCKCdBTk4nLDM5NDQ3LCwsLCdHQlAnKQ==&amp;WINDOW=FIRST_POPUP&amp;HEIGHT=450&amp;WIDTH=","450&amp;START_MAXIMIZED=FALSE&amp;VAR:CALENDAR=FIVEDAY&amp;VAR:SYMBOL=075902&amp;VAR:INDEX=0"}</definedName>
    <definedName name="_498__FDSAUDITLINK___1" hidden="1">{"fdsup://directions/FAT Viewer?action=UPDATE&amp;creator=factset&amp;DYN_ARGS=TRUE&amp;DOC_NAME=FAT:FQL_AUDITING_CLIENT_TEMPLATE.FAT&amp;display_string=Audit&amp;VAR:KEY=KHABSRITYT&amp;VAR:QUERY=RkZfRUJJVERBX0lCKCdBTk4nLDM5NDQ3LCwsLCdHQlAnKQ==&amp;WINDOW=FIRST_POPUP&amp;HEIGHT=450&amp;WIDTH=","450&amp;START_MAXIMIZED=FALSE&amp;VAR:CALENDAR=FIVEDAY&amp;VAR:SYMBOL=075902&amp;VAR:INDEX=0"}</definedName>
    <definedName name="_499__FDSAUDITLINK__" localSheetId="8" hidden="1">{"fdsup://directions/FAT Viewer?action=UPDATE&amp;creator=factset&amp;DYN_ARGS=TRUE&amp;DOC_NAME=FAT:FQL_AUDITING_CLIENT_TEMPLATE.FAT&amp;display_string=Audit&amp;VAR:KEY=KDKVERCRMV&amp;VAR:QUERY=RkZfRUJJVERBX0lCKCdBTk4nLDM5MDgyLCwsLCdHQlAnKQ==&amp;WINDOW=FIRST_POPUP&amp;HEIGHT=450&amp;WIDTH=","450&amp;START_MAXIMIZED=FALSE&amp;VAR:CALENDAR=FIVEDAY&amp;VAR:SYMBOL=075902&amp;VAR:INDEX=0"}</definedName>
    <definedName name="_499__FDSAUDITLINK__" hidden="1">{"fdsup://directions/FAT Viewer?action=UPDATE&amp;creator=factset&amp;DYN_ARGS=TRUE&amp;DOC_NAME=FAT:FQL_AUDITING_CLIENT_TEMPLATE.FAT&amp;display_string=Audit&amp;VAR:KEY=PEDQPKFGVY&amp;VAR:QUERY=RkZfRVBTKENBTCwyMDExKSAqIDE=&amp;WINDOW=FIRST_POPUP&amp;HEIGHT=450&amp;WIDTH=450&amp;START_MAXIMIZED=","FALSE&amp;VAR:CALENDAR=US&amp;VAR:SYMBOL=CX&amp;VAR:INDEX=0"}</definedName>
    <definedName name="_499__FDSAUDITLINK___1" localSheetId="8" hidden="1">{"fdsup://directions/FAT Viewer?action=UPDATE&amp;creator=factset&amp;DYN_ARGS=TRUE&amp;DOC_NAME=FAT:FQL_AUDITING_CLIENT_TEMPLATE.FAT&amp;display_string=Audit&amp;VAR:KEY=KDKVERCRMV&amp;VAR:QUERY=RkZfRUJJVERBX0lCKCdBTk4nLDM5MDgyLCwsLCdHQlAnKQ==&amp;WINDOW=FIRST_POPUP&amp;HEIGHT=450&amp;WIDTH=","450&amp;START_MAXIMIZED=FALSE&amp;VAR:CALENDAR=FIVEDAY&amp;VAR:SYMBOL=075902&amp;VAR:INDEX=0"}</definedName>
    <definedName name="_499__FDSAUDITLINK___1" hidden="1">{"fdsup://directions/FAT Viewer?action=UPDATE&amp;creator=factset&amp;DYN_ARGS=TRUE&amp;DOC_NAME=FAT:FQL_AUDITING_CLIENT_TEMPLATE.FAT&amp;display_string=Audit&amp;VAR:KEY=KDKVERCRMV&amp;VAR:QUERY=RkZfRUJJVERBX0lCKCdBTk4nLDM5MDgyLCwsLCdHQlAnKQ==&amp;WINDOW=FIRST_POPUP&amp;HEIGHT=450&amp;WIDTH=","450&amp;START_MAXIMIZED=FALSE&amp;VAR:CALENDAR=FIVEDAY&amp;VAR:SYMBOL=075902&amp;VAR:INDEX=0"}</definedName>
    <definedName name="_5___123Graph_DCHART_1" hidden="1">#REF!</definedName>
    <definedName name="_5__123Graph_ACHART_1" hidden="1">#REF!</definedName>
    <definedName name="_5__123Graph_ACHART_15" hidden="1">#REF!</definedName>
    <definedName name="_5__123Graph_AChart_1G" hidden="1">#REF!</definedName>
    <definedName name="_5__123Graph_ACHART_7" hidden="1">#REF!</definedName>
    <definedName name="_5__123Graph_AGRAFICO_3" localSheetId="8" hidden="1">#REF!</definedName>
    <definedName name="_5__123Graph_AGRAFICO_3" hidden="1">#REF!</definedName>
    <definedName name="_5__123Graph_AGRAFICO_7" hidden="1">#REF!</definedName>
    <definedName name="_5__123Graph_BCHART_2" hidden="1">#REF!</definedName>
    <definedName name="_5__123Graph_BGRAFICO_20" hidden="1">#REF!</definedName>
    <definedName name="_5__123Graph_BGRAFICO_7" hidden="1">#REF!</definedName>
    <definedName name="_5__123Graph_CCHART_10" hidden="1">#REF!</definedName>
    <definedName name="_5__123Graph_CNG_CONFRONT_INC" hidden="1">#REF!</definedName>
    <definedName name="_5__123Graph_DCHART_1" hidden="1">#REF!</definedName>
    <definedName name="_5__123Graph_FCHART_1" hidden="1">#REF!</definedName>
    <definedName name="_5__FDSAUDITLINK__" localSheetId="8" hidden="1">{"fdsup://Directions/FactSet Auditing Viewer?action=AUDIT_VALUE&amp;DB=129&amp;ID1=591344&amp;VALUEID=04601&amp;SDATE=2008&amp;PERIODTYPE=ANN_STD&amp;window=popup_no_bar&amp;width=385&amp;height=120&amp;START_MAXIMIZED=FALSE&amp;creator=factset&amp;display_string=Audit"}</definedName>
    <definedName name="_5__FDSAUDITLINK__" hidden="1">{"fdsup://directions/FAT Viewer?action=UPDATE&amp;creator=factset&amp;DYN_ARGS=TRUE&amp;DOC_NAME=FAT:FQL_AUDITING_CLIENT_TEMPLATE.FAT&amp;display_string=Audit&amp;VAR:KEY=NWLUPCHAVQ&amp;VAR:QUERY=RkZfRU5UUlBSX1ZBTF9EQUlMWSg0MTExMCwsLCwsJ0RJTCcp&amp;WINDOW=FIRST_POPUP&amp;HEIGHT=450&amp;WIDTH=","450&amp;START_MAXIMIZED=FALSE&amp;VAR:CALENDAR=US&amp;VAR:SYMBOL=VMC&amp;VAR:INDEX=0"}</definedName>
    <definedName name="_5__FDSAUDITLINK___1" localSheetId="8" hidden="1">{"fdsup://Directions/FactSet Auditing Viewer?action=AUDIT_VALUE&amp;DB=129&amp;ID1=591344&amp;VALUEID=04601&amp;SDATE=2008&amp;PERIODTYPE=ANN_STD&amp;window=popup_no_bar&amp;width=385&amp;height=120&amp;START_MAXIMIZED=FALSE&amp;creator=factset&amp;display_string=Audit"}</definedName>
    <definedName name="_5__FDSAUDITLINK___1" hidden="1">{"fdsup://Directions/FactSet Auditing Viewer?action=AUDIT_VALUE&amp;DB=129&amp;ID1=591344&amp;VALUEID=04601&amp;SDATE=2008&amp;PERIODTYPE=ANN_STD&amp;window=popup_no_bar&amp;width=385&amp;height=120&amp;START_MAXIMIZED=FALSE&amp;creator=factset&amp;display_string=Audit"}</definedName>
    <definedName name="_5_123Graph_AB93S" hidden="1">#REF!</definedName>
    <definedName name="_50__123Graph_LBL_ACHART_11" hidden="1">#REF!</definedName>
    <definedName name="_50__123Graph_XGRAFICO_31" localSheetId="8" hidden="1">#REF!</definedName>
    <definedName name="_50__123Graph_XGRAFICO_31" hidden="1">#REF!</definedName>
    <definedName name="_50__FDSAUDITLINK__" localSheetId="8" hidden="1">{"fdsup://directions/FAT Viewer?action=UPDATE&amp;creator=factset&amp;DYN_ARGS=TRUE&amp;DOC_NAME=FAT:FQL_AUDITING_CLIENT_TEMPLATE.FAT&amp;display_string=Audit&amp;VAR:KEY=CHOVGPMRKV&amp;VAR:QUERY=RkZfRUJJVERBX0lCKEFOTiwzOTgxMywsLCxFVVIp&amp;WINDOW=FIRST_POPUP&amp;HEIGHT=450&amp;WIDTH=450&amp;STAR","T_MAXIMIZED=FALSE&amp;VAR:CALENDAR=FIVEDAY&amp;VAR:SYMBOL=591344&amp;VAR:INDEX=0"}</definedName>
    <definedName name="_50__FDSAUDITLINK__" hidden="1">{"fdsup://directions/FAT Viewer?action=UPDATE&amp;creator=factset&amp;DYN_ARGS=TRUE&amp;DOC_NAME=FAT:FQL_AUDITING_CLIENT_TEMPLATE.FAT&amp;display_string=Audit&amp;VAR:KEY=LOZSFQNGTW&amp;VAR:QUERY=RkZfRUJJVERBX09QRVIoQ0FMLDIwMTAp&amp;WINDOW=FIRST_POPUP&amp;HEIGHT=450&amp;WIDTH=450&amp;START_MAXIMI","ZED=FALSE&amp;VAR:CALENDAR=US&amp;VAR:SYMBOL=450270&amp;VAR:INDEX=0"}</definedName>
    <definedName name="_50__FDSAUDITLINK___1" localSheetId="8" hidden="1">{"fdsup://directions/FAT Viewer?action=UPDATE&amp;creator=factset&amp;DYN_ARGS=TRUE&amp;DOC_NAME=FAT:FQL_AUDITING_CLIENT_TEMPLATE.FAT&amp;display_string=Audit&amp;VAR:KEY=CHOVGPMRKV&amp;VAR:QUERY=RkZfRUJJVERBX0lCKEFOTiwzOTgxMywsLCxFVVIp&amp;WINDOW=FIRST_POPUP&amp;HEIGHT=450&amp;WIDTH=450&amp;STAR","T_MAXIMIZED=FALSE&amp;VAR:CALENDAR=FIVEDAY&amp;VAR:SYMBOL=591344&amp;VAR:INDEX=0"}</definedName>
    <definedName name="_50__FDSAUDITLINK___1" hidden="1">{"fdsup://directions/FAT Viewer?action=UPDATE&amp;creator=factset&amp;DYN_ARGS=TRUE&amp;DOC_NAME=FAT:FQL_AUDITING_CLIENT_TEMPLATE.FAT&amp;display_string=Audit&amp;VAR:KEY=CHOVGPMRKV&amp;VAR:QUERY=RkZfRUJJVERBX0lCKEFOTiwzOTgxMywsLCxFVVIp&amp;WINDOW=FIRST_POPUP&amp;HEIGHT=450&amp;WIDTH=450&amp;STAR","T_MAXIMIZED=FALSE&amp;VAR:CALENDAR=FIVEDAY&amp;VAR:SYMBOL=591344&amp;VAR:INDEX=0"}</definedName>
    <definedName name="_500__FDSAUDITLINK__" localSheetId="8" hidden="1">{"fdsup://directions/FAT Viewer?action=UPDATE&amp;creator=factset&amp;DYN_ARGS=TRUE&amp;DOC_NAME=FAT:FQL_AUDITING_CLIENT_TEMPLATE.FAT&amp;display_string=Audit&amp;VAR:KEY=OXCBEXKNQP&amp;VAR:QUERY=RkZfRUJJVERBX0lCKCdBTk4nLDM5ODEzLCwsLCdHQlAnKQ==&amp;WINDOW=FIRST_POPUP&amp;HEIGHT=450&amp;WIDTH=","450&amp;START_MAXIMIZED=FALSE&amp;VAR:CALENDAR=FIVEDAY&amp;VAR:SYMBOL=063002&amp;VAR:INDEX=0"}</definedName>
    <definedName name="_500__FDSAUDITLINK__" hidden="1">{"fdsup://directions/FAT Viewer?action=UPDATE&amp;creator=factset&amp;DYN_ARGS=TRUE&amp;DOC_NAME=FAT:FQL_AUDITING_CLIENT_TEMPLATE.FAT&amp;display_string=Audit&amp;VAR:KEY=FYTQRYDUVI&amp;VAR:QUERY=RkZfRVBTKENBTCwyMDA5KSAqIDE=&amp;WINDOW=FIRST_POPUP&amp;HEIGHT=450&amp;WIDTH=450&amp;START_MAXIMIZED=","FALSE&amp;VAR:CALENDAR=US&amp;VAR:SYMBOL=CX&amp;VAR:INDEX=0"}</definedName>
    <definedName name="_500__FDSAUDITLINK___1" localSheetId="8" hidden="1">{"fdsup://directions/FAT Viewer?action=UPDATE&amp;creator=factset&amp;DYN_ARGS=TRUE&amp;DOC_NAME=FAT:FQL_AUDITING_CLIENT_TEMPLATE.FAT&amp;display_string=Audit&amp;VAR:KEY=OXCBEXKNQP&amp;VAR:QUERY=RkZfRUJJVERBX0lCKCdBTk4nLDM5ODEzLCwsLCdHQlAnKQ==&amp;WINDOW=FIRST_POPUP&amp;HEIGHT=450&amp;WIDTH=","450&amp;START_MAXIMIZED=FALSE&amp;VAR:CALENDAR=FIVEDAY&amp;VAR:SYMBOL=063002&amp;VAR:INDEX=0"}</definedName>
    <definedName name="_500__FDSAUDITLINK___1" hidden="1">{"fdsup://directions/FAT Viewer?action=UPDATE&amp;creator=factset&amp;DYN_ARGS=TRUE&amp;DOC_NAME=FAT:FQL_AUDITING_CLIENT_TEMPLATE.FAT&amp;display_string=Audit&amp;VAR:KEY=OXCBEXKNQP&amp;VAR:QUERY=RkZfRUJJVERBX0lCKCdBTk4nLDM5ODEzLCwsLCdHQlAnKQ==&amp;WINDOW=FIRST_POPUP&amp;HEIGHT=450&amp;WIDTH=","450&amp;START_MAXIMIZED=FALSE&amp;VAR:CALENDAR=FIVEDAY&amp;VAR:SYMBOL=063002&amp;VAR:INDEX=0"}</definedName>
    <definedName name="_501__FDSAUDITLINK__" localSheetId="8" hidden="1">{"fdsup://directions/FAT Viewer?action=UPDATE&amp;creator=factset&amp;DYN_ARGS=TRUE&amp;DOC_NAME=FAT:FQL_AUDITING_CLIENT_TEMPLATE.FAT&amp;display_string=Audit&amp;VAR:KEY=WLUNATUXOR&amp;VAR:QUERY=RkZfRUJJVERBX0lCKCdBTk4nLDM5NDQ3LCwsLCdHQlAnKQ==&amp;WINDOW=FIRST_POPUP&amp;HEIGHT=450&amp;WIDTH=","450&amp;START_MAXIMIZED=FALSE&amp;VAR:CALENDAR=FIVEDAY&amp;VAR:SYMBOL=063002&amp;VAR:INDEX=0"}</definedName>
    <definedName name="_501__FDSAUDITLINK__" hidden="1">{"fdsup://directions/FAT Viewer?action=UPDATE&amp;creator=factset&amp;DYN_ARGS=TRUE&amp;DOC_NAME=FAT:FQL_AUDITING_CLIENT_TEMPLATE.FAT&amp;display_string=Audit&amp;VAR:KEY=FYXCXABCHK&amp;VAR:QUERY=RkZfTkVUX0lOQyhDQUwsMjAxMCkgKiAx&amp;WINDOW=FIRST_POPUP&amp;HEIGHT=450&amp;WIDTH=450&amp;START_MAXIMI","ZED=FALSE&amp;VAR:CALENDAR=US&amp;VAR:SYMBOL=CX&amp;VAR:INDEX=0"}</definedName>
    <definedName name="_501__FDSAUDITLINK___1" localSheetId="8" hidden="1">{"fdsup://directions/FAT Viewer?action=UPDATE&amp;creator=factset&amp;DYN_ARGS=TRUE&amp;DOC_NAME=FAT:FQL_AUDITING_CLIENT_TEMPLATE.FAT&amp;display_string=Audit&amp;VAR:KEY=WLUNATUXOR&amp;VAR:QUERY=RkZfRUJJVERBX0lCKCdBTk4nLDM5NDQ3LCwsLCdHQlAnKQ==&amp;WINDOW=FIRST_POPUP&amp;HEIGHT=450&amp;WIDTH=","450&amp;START_MAXIMIZED=FALSE&amp;VAR:CALENDAR=FIVEDAY&amp;VAR:SYMBOL=063002&amp;VAR:INDEX=0"}</definedName>
    <definedName name="_501__FDSAUDITLINK___1" hidden="1">{"fdsup://directions/FAT Viewer?action=UPDATE&amp;creator=factset&amp;DYN_ARGS=TRUE&amp;DOC_NAME=FAT:FQL_AUDITING_CLIENT_TEMPLATE.FAT&amp;display_string=Audit&amp;VAR:KEY=WLUNATUXOR&amp;VAR:QUERY=RkZfRUJJVERBX0lCKCdBTk4nLDM5NDQ3LCwsLCdHQlAnKQ==&amp;WINDOW=FIRST_POPUP&amp;HEIGHT=450&amp;WIDTH=","450&amp;START_MAXIMIZED=FALSE&amp;VAR:CALENDAR=FIVEDAY&amp;VAR:SYMBOL=063002&amp;VAR:INDEX=0"}</definedName>
    <definedName name="_502__FDSAUDITLINK__" localSheetId="8" hidden="1">{"fdsup://directions/FAT Viewer?action=UPDATE&amp;creator=factset&amp;DYN_ARGS=TRUE&amp;DOC_NAME=FAT:FQL_AUDITING_CLIENT_TEMPLATE.FAT&amp;display_string=Audit&amp;VAR:KEY=URMTOBMDGH&amp;VAR:QUERY=RkZfRUJJVERBX0lCKCdBTk4nLDM5MDgyLCwsLCdHQlAnKQ==&amp;WINDOW=FIRST_POPUP&amp;HEIGHT=450&amp;WIDTH=","450&amp;START_MAXIMIZED=FALSE&amp;VAR:CALENDAR=FIVEDAY&amp;VAR:SYMBOL=063002&amp;VAR:INDEX=0"}</definedName>
    <definedName name="_502__FDSAUDITLINK__" hidden="1">{"fdsup://directions/FAT Viewer?action=UPDATE&amp;creator=factset&amp;DYN_ARGS=TRUE&amp;DOC_NAME=FAT:FQL_AUDITING_CLIENT_TEMPLATE.FAT&amp;display_string=Audit&amp;VAR:KEY=IXCNAXGXON&amp;VAR:QUERY=RkZfRUJJVERBX09QRVIoTFRNLDQxMDkyKQ==&amp;WINDOW=FIRST_POPUP&amp;HEIGHT=450&amp;WIDTH=450&amp;START_MA","XIMIZED=FALSE&amp;VAR:CALENDAR=US&amp;VAR:SYMBOL=711075&amp;VAR:INDEX=0"}</definedName>
    <definedName name="_502__FDSAUDITLINK___1" localSheetId="8" hidden="1">{"fdsup://directions/FAT Viewer?action=UPDATE&amp;creator=factset&amp;DYN_ARGS=TRUE&amp;DOC_NAME=FAT:FQL_AUDITING_CLIENT_TEMPLATE.FAT&amp;display_string=Audit&amp;VAR:KEY=URMTOBMDGH&amp;VAR:QUERY=RkZfRUJJVERBX0lCKCdBTk4nLDM5MDgyLCwsLCdHQlAnKQ==&amp;WINDOW=FIRST_POPUP&amp;HEIGHT=450&amp;WIDTH=","450&amp;START_MAXIMIZED=FALSE&amp;VAR:CALENDAR=FIVEDAY&amp;VAR:SYMBOL=063002&amp;VAR:INDEX=0"}</definedName>
    <definedName name="_502__FDSAUDITLINK___1" hidden="1">{"fdsup://directions/FAT Viewer?action=UPDATE&amp;creator=factset&amp;DYN_ARGS=TRUE&amp;DOC_NAME=FAT:FQL_AUDITING_CLIENT_TEMPLATE.FAT&amp;display_string=Audit&amp;VAR:KEY=URMTOBMDGH&amp;VAR:QUERY=RkZfRUJJVERBX0lCKCdBTk4nLDM5MDgyLCwsLCdHQlAnKQ==&amp;WINDOW=FIRST_POPUP&amp;HEIGHT=450&amp;WIDTH=","450&amp;START_MAXIMIZED=FALSE&amp;VAR:CALENDAR=FIVEDAY&amp;VAR:SYMBOL=063002&amp;VAR:INDEX=0"}</definedName>
    <definedName name="_503__FDSAUDITLINK__" localSheetId="8" hidden="1">{"fdsup://directions/FAT Viewer?action=UPDATE&amp;creator=factset&amp;DYN_ARGS=TRUE&amp;DOC_NAME=FAT:FQL_AUDITING_CLIENT_TEMPLATE.FAT&amp;display_string=Audit&amp;VAR:KEY=CPGVORGDAV&amp;VAR:QUERY=RkZfRUJJVERBX0lCKCdBTk4nLDM5OTk0LCwsLCdHQlAnKQ==&amp;WINDOW=FIRST_POPUP&amp;HEIGHT=450&amp;WIDTH=","450&amp;START_MAXIMIZED=FALSE&amp;VAR:CALENDAR=FIVEDAY&amp;VAR:SYMBOL=B2425G&amp;VAR:INDEX=0"}</definedName>
    <definedName name="_503__FDSAUDITLINK__" hidden="1">{"fdsup://directions/FAT Viewer?action=UPDATE&amp;creator=factset&amp;DYN_ARGS=TRUE&amp;DOC_NAME=FAT:FQL_AUDITING_CLIENT_TEMPLATE.FAT&amp;display_string=Audit&amp;VAR:KEY=PKXKBEJCRI&amp;VAR:QUERY=RkZfRUJJVERBX09QRVIoQ0FMLDIwMTEpICogMS4wMTMyMjM=&amp;WINDOW=FIRST_POPUP&amp;HEIGHT=450&amp;WIDTH=","450&amp;START_MAXIMIZED=FALSE&amp;VAR:CALENDAR=US&amp;VAR:SYMBOL=711075&amp;VAR:INDEX=0"}</definedName>
    <definedName name="_503__FDSAUDITLINK___1" localSheetId="8" hidden="1">{"fdsup://directions/FAT Viewer?action=UPDATE&amp;creator=factset&amp;DYN_ARGS=TRUE&amp;DOC_NAME=FAT:FQL_AUDITING_CLIENT_TEMPLATE.FAT&amp;display_string=Audit&amp;VAR:KEY=CPGVORGDAV&amp;VAR:QUERY=RkZfRUJJVERBX0lCKCdBTk4nLDM5OTk0LCwsLCdHQlAnKQ==&amp;WINDOW=FIRST_POPUP&amp;HEIGHT=450&amp;WIDTH=","450&amp;START_MAXIMIZED=FALSE&amp;VAR:CALENDAR=FIVEDAY&amp;VAR:SYMBOL=B2425G&amp;VAR:INDEX=0"}</definedName>
    <definedName name="_503__FDSAUDITLINK___1" hidden="1">{"fdsup://directions/FAT Viewer?action=UPDATE&amp;creator=factset&amp;DYN_ARGS=TRUE&amp;DOC_NAME=FAT:FQL_AUDITING_CLIENT_TEMPLATE.FAT&amp;display_string=Audit&amp;VAR:KEY=CPGVORGDAV&amp;VAR:QUERY=RkZfRUJJVERBX0lCKCdBTk4nLDM5OTk0LCwsLCdHQlAnKQ==&amp;WINDOW=FIRST_POPUP&amp;HEIGHT=450&amp;WIDTH=","450&amp;START_MAXIMIZED=FALSE&amp;VAR:CALENDAR=FIVEDAY&amp;VAR:SYMBOL=B2425G&amp;VAR:INDEX=0"}</definedName>
    <definedName name="_504__FDSAUDITLINK__" localSheetId="8" hidden="1">{"fdsup://directions/FAT Viewer?action=UPDATE&amp;creator=factset&amp;DYN_ARGS=TRUE&amp;DOC_NAME=FAT:FQL_AUDITING_CLIENT_TEMPLATE.FAT&amp;display_string=Audit&amp;VAR:KEY=MRCHGFINGL&amp;VAR:QUERY=RkZfRUJJVERBX0lCKCdBTk4nLDM5NjI5LCwsLCdHQlAnKQ==&amp;WINDOW=FIRST_POPUP&amp;HEIGHT=450&amp;WIDTH=","450&amp;START_MAXIMIZED=FALSE&amp;VAR:CALENDAR=FIVEDAY&amp;VAR:SYMBOL=B2425G&amp;VAR:INDEX=0"}</definedName>
    <definedName name="_504__FDSAUDITLINK__" hidden="1">{"fdsup://directions/FAT Viewer?action=UPDATE&amp;creator=factset&amp;DYN_ARGS=TRUE&amp;DOC_NAME=FAT:FQL_AUDITING_CLIENT_TEMPLATE.FAT&amp;display_string=Audit&amp;VAR:KEY=NSZSRQFUBQ&amp;VAR:QUERY=RkZfRUJJVF9PUEVSKENBTCwyMDEwKSAqIDEuMDEzMjIz&amp;WINDOW=FIRST_POPUP&amp;HEIGHT=450&amp;WIDTH=450&amp;","START_MAXIMIZED=FALSE&amp;VAR:CALENDAR=US&amp;VAR:SYMBOL=711075&amp;VAR:INDEX=0"}</definedName>
    <definedName name="_504__FDSAUDITLINK___1" localSheetId="8" hidden="1">{"fdsup://directions/FAT Viewer?action=UPDATE&amp;creator=factset&amp;DYN_ARGS=TRUE&amp;DOC_NAME=FAT:FQL_AUDITING_CLIENT_TEMPLATE.FAT&amp;display_string=Audit&amp;VAR:KEY=MRCHGFINGL&amp;VAR:QUERY=RkZfRUJJVERBX0lCKCdBTk4nLDM5NjI5LCwsLCdHQlAnKQ==&amp;WINDOW=FIRST_POPUP&amp;HEIGHT=450&amp;WIDTH=","450&amp;START_MAXIMIZED=FALSE&amp;VAR:CALENDAR=FIVEDAY&amp;VAR:SYMBOL=B2425G&amp;VAR:INDEX=0"}</definedName>
    <definedName name="_504__FDSAUDITLINK___1" hidden="1">{"fdsup://directions/FAT Viewer?action=UPDATE&amp;creator=factset&amp;DYN_ARGS=TRUE&amp;DOC_NAME=FAT:FQL_AUDITING_CLIENT_TEMPLATE.FAT&amp;display_string=Audit&amp;VAR:KEY=MRCHGFINGL&amp;VAR:QUERY=RkZfRUJJVERBX0lCKCdBTk4nLDM5NjI5LCwsLCdHQlAnKQ==&amp;WINDOW=FIRST_POPUP&amp;HEIGHT=450&amp;WIDTH=","450&amp;START_MAXIMIZED=FALSE&amp;VAR:CALENDAR=FIVEDAY&amp;VAR:SYMBOL=B2425G&amp;VAR:INDEX=0"}</definedName>
    <definedName name="_505__FDSAUDITLINK__" localSheetId="8" hidden="1">{"fdsup://directions/FAT Viewer?action=UPDATE&amp;creator=factset&amp;DYN_ARGS=TRUE&amp;DOC_NAME=FAT:FQL_AUDITING_CLIENT_TEMPLATE.FAT&amp;display_string=Audit&amp;VAR:KEY=ENGNGZANEB&amp;VAR:QUERY=RkZfRUJJVERBX0lCKCdBTk4nLDM5MjYzLCwsLCdHQlAnKQ==&amp;WINDOW=FIRST_POPUP&amp;HEIGHT=450&amp;WIDTH=","450&amp;START_MAXIMIZED=FALSE&amp;VAR:CALENDAR=FIVEDAY&amp;VAR:SYMBOL=B2425G&amp;VAR:INDEX=0"}</definedName>
    <definedName name="_505__FDSAUDITLINK__" hidden="1">{"fdsup://directions/FAT Viewer?action=UPDATE&amp;creator=factset&amp;DYN_ARGS=TRUE&amp;DOC_NAME=FAT:FQL_AUDITING_CLIENT_TEMPLATE.FAT&amp;display_string=Audit&amp;VAR:KEY=HKLYTEZWBM&amp;VAR:QUERY=RkZfRVBTKENBTCwyMDA5KSAqIDEuMDEzMjIz&amp;WINDOW=FIRST_POPUP&amp;HEIGHT=450&amp;WIDTH=450&amp;START_MA","XIMIZED=FALSE&amp;VAR:CALENDAR=US&amp;VAR:SYMBOL=711075&amp;VAR:INDEX=0"}</definedName>
    <definedName name="_505__FDSAUDITLINK___1" localSheetId="8" hidden="1">{"fdsup://directions/FAT Viewer?action=UPDATE&amp;creator=factset&amp;DYN_ARGS=TRUE&amp;DOC_NAME=FAT:FQL_AUDITING_CLIENT_TEMPLATE.FAT&amp;display_string=Audit&amp;VAR:KEY=ENGNGZANEB&amp;VAR:QUERY=RkZfRUJJVERBX0lCKCdBTk4nLDM5MjYzLCwsLCdHQlAnKQ==&amp;WINDOW=FIRST_POPUP&amp;HEIGHT=450&amp;WIDTH=","450&amp;START_MAXIMIZED=FALSE&amp;VAR:CALENDAR=FIVEDAY&amp;VAR:SYMBOL=B2425G&amp;VAR:INDEX=0"}</definedName>
    <definedName name="_505__FDSAUDITLINK___1" hidden="1">{"fdsup://directions/FAT Viewer?action=UPDATE&amp;creator=factset&amp;DYN_ARGS=TRUE&amp;DOC_NAME=FAT:FQL_AUDITING_CLIENT_TEMPLATE.FAT&amp;display_string=Audit&amp;VAR:KEY=ENGNGZANEB&amp;VAR:QUERY=RkZfRUJJVERBX0lCKCdBTk4nLDM5MjYzLCwsLCdHQlAnKQ==&amp;WINDOW=FIRST_POPUP&amp;HEIGHT=450&amp;WIDTH=","450&amp;START_MAXIMIZED=FALSE&amp;VAR:CALENDAR=FIVEDAY&amp;VAR:SYMBOL=B2425G&amp;VAR:INDEX=0"}</definedName>
    <definedName name="_506__FDSAUDITLINK__" localSheetId="8" hidden="1">{"fdsup://directions/FAT Viewer?action=UPDATE&amp;creator=factset&amp;DYN_ARGS=TRUE&amp;DOC_NAME=FAT:FQL_AUDITING_CLIENT_TEMPLATE.FAT&amp;display_string=Audit&amp;VAR:KEY=YHGBUBELSN&amp;VAR:QUERY=RkZfRUJJVERBX0lCKCdBTk4nLDM5OTAzLCwsLCdHQlAnKQ==&amp;WINDOW=FIRST_POPUP&amp;HEIGHT=450&amp;WIDTH=","450&amp;START_MAXIMIZED=FALSE&amp;VAR:CALENDAR=FIVEDAY&amp;VAR:SYMBOL=073833&amp;VAR:INDEX=0"}</definedName>
    <definedName name="_506__FDSAUDITLINK__" hidden="1">{"fdsup://directions/FAT Viewer?action=UPDATE&amp;creator=factset&amp;DYN_ARGS=TRUE&amp;DOC_NAME=FAT:FQL_AUDITING_CLIENT_TEMPLATE.FAT&amp;display_string=Audit&amp;VAR:KEY=CPMXSRCRIJ&amp;VAR:QUERY=RkZfRUJJVF9PUEVSKExUTSw0MTA5Mik=&amp;WINDOW=FIRST_POPUP&amp;HEIGHT=450&amp;WIDTH=450&amp;START_MAXIMI","ZED=FALSE&amp;VAR:CALENDAR=US&amp;VAR:SYMBOL=711075&amp;VAR:INDEX=0"}</definedName>
    <definedName name="_506__FDSAUDITLINK___1" localSheetId="8" hidden="1">{"fdsup://directions/FAT Viewer?action=UPDATE&amp;creator=factset&amp;DYN_ARGS=TRUE&amp;DOC_NAME=FAT:FQL_AUDITING_CLIENT_TEMPLATE.FAT&amp;display_string=Audit&amp;VAR:KEY=YHGBUBELSN&amp;VAR:QUERY=RkZfRUJJVERBX0lCKCdBTk4nLDM5OTAzLCwsLCdHQlAnKQ==&amp;WINDOW=FIRST_POPUP&amp;HEIGHT=450&amp;WIDTH=","450&amp;START_MAXIMIZED=FALSE&amp;VAR:CALENDAR=FIVEDAY&amp;VAR:SYMBOL=073833&amp;VAR:INDEX=0"}</definedName>
    <definedName name="_506__FDSAUDITLINK___1" hidden="1">{"fdsup://directions/FAT Viewer?action=UPDATE&amp;creator=factset&amp;DYN_ARGS=TRUE&amp;DOC_NAME=FAT:FQL_AUDITING_CLIENT_TEMPLATE.FAT&amp;display_string=Audit&amp;VAR:KEY=YHGBUBELSN&amp;VAR:QUERY=RkZfRUJJVERBX0lCKCdBTk4nLDM5OTAzLCwsLCdHQlAnKQ==&amp;WINDOW=FIRST_POPUP&amp;HEIGHT=450&amp;WIDTH=","450&amp;START_MAXIMIZED=FALSE&amp;VAR:CALENDAR=FIVEDAY&amp;VAR:SYMBOL=073833&amp;VAR:INDEX=0"}</definedName>
    <definedName name="_507__FDSAUDITLINK__" localSheetId="8" hidden="1">{"fdsup://directions/FAT Viewer?action=UPDATE&amp;creator=factset&amp;DYN_ARGS=TRUE&amp;DOC_NAME=FAT:FQL_AUDITING_CLIENT_TEMPLATE.FAT&amp;display_string=Audit&amp;VAR:KEY=CHURYBQNET&amp;VAR:QUERY=RkZfRUJJVERBX0lCKCdBTk4nLDM5NTM4LCwsLCdHQlAnKQ==&amp;WINDOW=FIRST_POPUP&amp;HEIGHT=450&amp;WIDTH=","450&amp;START_MAXIMIZED=FALSE&amp;VAR:CALENDAR=FIVEDAY&amp;VAR:SYMBOL=073833&amp;VAR:INDEX=0"}</definedName>
    <definedName name="_507__FDSAUDITLINK__" hidden="1">{"fdsup://directions/FAT Viewer?action=UPDATE&amp;creator=factset&amp;DYN_ARGS=TRUE&amp;DOC_NAME=FAT:FQL_AUDITING_CLIENT_TEMPLATE.FAT&amp;display_string=Audit&amp;VAR:KEY=DYXSTGXQTO&amp;VAR:QUERY=RkZfU0FMRVMoQ0FMLDIwMDkpICogMS4wMTMyMjM=&amp;WINDOW=FIRST_POPUP&amp;HEIGHT=450&amp;WIDTH=450&amp;STAR","T_MAXIMIZED=FALSE&amp;VAR:CALENDAR=US&amp;VAR:SYMBOL=711075&amp;VAR:INDEX=0"}</definedName>
    <definedName name="_507__FDSAUDITLINK___1" localSheetId="8" hidden="1">{"fdsup://directions/FAT Viewer?action=UPDATE&amp;creator=factset&amp;DYN_ARGS=TRUE&amp;DOC_NAME=FAT:FQL_AUDITING_CLIENT_TEMPLATE.FAT&amp;display_string=Audit&amp;VAR:KEY=CHURYBQNET&amp;VAR:QUERY=RkZfRUJJVERBX0lCKCdBTk4nLDM5NTM4LCwsLCdHQlAnKQ==&amp;WINDOW=FIRST_POPUP&amp;HEIGHT=450&amp;WIDTH=","450&amp;START_MAXIMIZED=FALSE&amp;VAR:CALENDAR=FIVEDAY&amp;VAR:SYMBOL=073833&amp;VAR:INDEX=0"}</definedName>
    <definedName name="_507__FDSAUDITLINK___1" hidden="1">{"fdsup://directions/FAT Viewer?action=UPDATE&amp;creator=factset&amp;DYN_ARGS=TRUE&amp;DOC_NAME=FAT:FQL_AUDITING_CLIENT_TEMPLATE.FAT&amp;display_string=Audit&amp;VAR:KEY=CHURYBQNET&amp;VAR:QUERY=RkZfRUJJVERBX0lCKCdBTk4nLDM5NTM4LCwsLCdHQlAnKQ==&amp;WINDOW=FIRST_POPUP&amp;HEIGHT=450&amp;WIDTH=","450&amp;START_MAXIMIZED=FALSE&amp;VAR:CALENDAR=FIVEDAY&amp;VAR:SYMBOL=073833&amp;VAR:INDEX=0"}</definedName>
    <definedName name="_508__FDSAUDITLINK__" localSheetId="8" hidden="1">{"fdsup://directions/FAT Viewer?action=UPDATE&amp;creator=factset&amp;DYN_ARGS=TRUE&amp;DOC_NAME=FAT:FQL_AUDITING_CLIENT_TEMPLATE.FAT&amp;display_string=Audit&amp;VAR:KEY=KLKDYPKXMJ&amp;VAR:QUERY=RkZfRUJJVERBX0lCKCdBTk4nLDM5MTcyLCwsLCdHQlAnKQ==&amp;WINDOW=FIRST_POPUP&amp;HEIGHT=450&amp;WIDTH=","450&amp;START_MAXIMIZED=FALSE&amp;VAR:CALENDAR=FIVEDAY&amp;VAR:SYMBOL=073833&amp;VAR:INDEX=0"}</definedName>
    <definedName name="_508__FDSAUDITLINK__" hidden="1">{"fdsup://directions/FAT Viewer?action=UPDATE&amp;creator=factset&amp;DYN_ARGS=TRUE&amp;DOC_NAME=FAT:FQL_AUDITING_CLIENT_TEMPLATE.FAT&amp;display_string=Audit&amp;VAR:KEY=LSVKHOBUTU&amp;VAR:QUERY=RkZfRUJJVF9PUEVSKENBTCwyMDExKSAqIDEuMDEzMjIz&amp;WINDOW=FIRST_POPUP&amp;HEIGHT=450&amp;WIDTH=450&amp;","START_MAXIMIZED=FALSE&amp;VAR:CALENDAR=US&amp;VAR:SYMBOL=711075&amp;VAR:INDEX=0"}</definedName>
    <definedName name="_508__FDSAUDITLINK___1" localSheetId="8" hidden="1">{"fdsup://directions/FAT Viewer?action=UPDATE&amp;creator=factset&amp;DYN_ARGS=TRUE&amp;DOC_NAME=FAT:FQL_AUDITING_CLIENT_TEMPLATE.FAT&amp;display_string=Audit&amp;VAR:KEY=KLKDYPKXMJ&amp;VAR:QUERY=RkZfRUJJVERBX0lCKCdBTk4nLDM5MTcyLCwsLCdHQlAnKQ==&amp;WINDOW=FIRST_POPUP&amp;HEIGHT=450&amp;WIDTH=","450&amp;START_MAXIMIZED=FALSE&amp;VAR:CALENDAR=FIVEDAY&amp;VAR:SYMBOL=073833&amp;VAR:INDEX=0"}</definedName>
    <definedName name="_508__FDSAUDITLINK___1" hidden="1">{"fdsup://directions/FAT Viewer?action=UPDATE&amp;creator=factset&amp;DYN_ARGS=TRUE&amp;DOC_NAME=FAT:FQL_AUDITING_CLIENT_TEMPLATE.FAT&amp;display_string=Audit&amp;VAR:KEY=KLKDYPKXMJ&amp;VAR:QUERY=RkZfRUJJVERBX0lCKCdBTk4nLDM5MTcyLCwsLCdHQlAnKQ==&amp;WINDOW=FIRST_POPUP&amp;HEIGHT=450&amp;WIDTH=","450&amp;START_MAXIMIZED=FALSE&amp;VAR:CALENDAR=FIVEDAY&amp;VAR:SYMBOL=073833&amp;VAR:INDEX=0"}</definedName>
    <definedName name="_509__FDSAUDITLINK__" localSheetId="8" hidden="1">{"fdsup://Directions/FactSet Auditing Viewer?action=AUDIT_VALUE&amp;DB=129&amp;ID1=594228&amp;VALUEID=01001&amp;SDATE=2008&amp;PERIODTYPE=ANN_STD&amp;window=popup_no_bar&amp;width=385&amp;height=120&amp;START_MAXIMIZED=FALSE&amp;creator=factset&amp;display_string=Audit"}</definedName>
    <definedName name="_509__FDSAUDITLINK__" hidden="1">{"fdsup://directions/FAT Viewer?action=UPDATE&amp;creator=factset&amp;DYN_ARGS=TRUE&amp;DOC_NAME=FAT:FQL_AUDITING_CLIENT_TEMPLATE.FAT&amp;display_string=Audit&amp;VAR:KEY=HWRUFSNYNO&amp;VAR:QUERY=RkZfRVBTKENBTCwyMDEwKSAqIDEuMDEzMjIz&amp;WINDOW=FIRST_POPUP&amp;HEIGHT=450&amp;WIDTH=450&amp;START_MA","XIMIZED=FALSE&amp;VAR:CALENDAR=US&amp;VAR:SYMBOL=711075&amp;VAR:INDEX=0"}</definedName>
    <definedName name="_509__FDSAUDITLINK___1" localSheetId="8" hidden="1">{"fdsup://Directions/FactSet Auditing Viewer?action=AUDIT_VALUE&amp;DB=129&amp;ID1=594228&amp;VALUEID=01001&amp;SDATE=2008&amp;PERIODTYPE=ANN_STD&amp;window=popup_no_bar&amp;width=385&amp;height=120&amp;START_MAXIMIZED=FALSE&amp;creator=factset&amp;display_string=Audit"}</definedName>
    <definedName name="_509__FDSAUDITLINK___1" hidden="1">{"fdsup://Directions/FactSet Auditing Viewer?action=AUDIT_VALUE&amp;DB=129&amp;ID1=594228&amp;VALUEID=01001&amp;SDATE=2008&amp;PERIODTYPE=ANN_STD&amp;window=popup_no_bar&amp;width=385&amp;height=120&amp;START_MAXIMIZED=FALSE&amp;creator=factset&amp;display_string=Audit"}</definedName>
    <definedName name="_51__123Graph_LBL_ACHART_12" hidden="1">#REF!</definedName>
    <definedName name="_51__123Graph_XGRAFICO_33" localSheetId="8" hidden="1">#REF!</definedName>
    <definedName name="_51__123Graph_XGRAFICO_33" hidden="1">#REF!</definedName>
    <definedName name="_51__FDSAUDITLINK__" localSheetId="8" hidden="1">{"fdsup://directions/FAT Viewer?action=UPDATE&amp;creator=factset&amp;DYN_ARGS=TRUE&amp;DOC_NAME=FAT:FQL_AUDITING_CLIENT_TEMPLATE.FAT&amp;display_string=Audit&amp;VAR:KEY=GTQJQZGPSL&amp;VAR:QUERY=RkZfRUJJVERBX0lCKEFOTiwzOTQ0NywsLCxFVVIp&amp;WINDOW=FIRST_POPUP&amp;HEIGHT=450&amp;WIDTH=450&amp;STAR","T_MAXIMIZED=FALSE&amp;VAR:CALENDAR=FIVEDAY&amp;VAR:SYMBOL=591344&amp;VAR:INDEX=0"}</definedName>
    <definedName name="_51__FDSAUDITLINK__" hidden="1">{"fdsup://directions/FAT Viewer?action=UPDATE&amp;creator=factset&amp;DYN_ARGS=TRUE&amp;DOC_NAME=FAT:FQL_AUDITING_CLIENT_TEMPLATE.FAT&amp;display_string=Audit&amp;VAR:KEY=YRQNYTADCH&amp;VAR:QUERY=RkZfRUJJVERBX09QRVIoQ0FMLDIwMTAp&amp;WINDOW=FIRST_POPUP&amp;HEIGHT=450&amp;WIDTH=450&amp;START_MAXIMI","ZED=FALSE&amp;VAR:CALENDAR=US&amp;VAR:SYMBOL=BLDR&amp;VAR:INDEX=0"}</definedName>
    <definedName name="_51__FDSAUDITLINK___1" localSheetId="8" hidden="1">{"fdsup://directions/FAT Viewer?action=UPDATE&amp;creator=factset&amp;DYN_ARGS=TRUE&amp;DOC_NAME=FAT:FQL_AUDITING_CLIENT_TEMPLATE.FAT&amp;display_string=Audit&amp;VAR:KEY=GTQJQZGPSL&amp;VAR:QUERY=RkZfRUJJVERBX0lCKEFOTiwzOTQ0NywsLCxFVVIp&amp;WINDOW=FIRST_POPUP&amp;HEIGHT=450&amp;WIDTH=450&amp;STAR","T_MAXIMIZED=FALSE&amp;VAR:CALENDAR=FIVEDAY&amp;VAR:SYMBOL=591344&amp;VAR:INDEX=0"}</definedName>
    <definedName name="_51__FDSAUDITLINK___1" hidden="1">{"fdsup://directions/FAT Viewer?action=UPDATE&amp;creator=factset&amp;DYN_ARGS=TRUE&amp;DOC_NAME=FAT:FQL_AUDITING_CLIENT_TEMPLATE.FAT&amp;display_string=Audit&amp;VAR:KEY=GTQJQZGPSL&amp;VAR:QUERY=RkZfRUJJVERBX0lCKEFOTiwzOTQ0NywsLCxFVVIp&amp;WINDOW=FIRST_POPUP&amp;HEIGHT=450&amp;WIDTH=450&amp;STAR","T_MAXIMIZED=FALSE&amp;VAR:CALENDAR=FIVEDAY&amp;VAR:SYMBOL=591344&amp;VAR:INDEX=0"}</definedName>
    <definedName name="_510__FDSAUDITLINK__" localSheetId="8" hidden="1">{"fdsup://Directions/FactSet Auditing Viewer?action=AUDIT_VALUE&amp;DB=129&amp;ID1=011827&amp;VALUEID=01001&amp;SDATE=2008&amp;PERIODTYPE=ANN_STD&amp;window=popup_no_bar&amp;width=385&amp;height=120&amp;START_MAXIMIZED=FALSE&amp;creator=factset&amp;display_string=Audit"}</definedName>
    <definedName name="_510__FDSAUDITLINK__" hidden="1">{"fdsup://directions/FAT Viewer?action=UPDATE&amp;creator=factset&amp;DYN_ARGS=TRUE&amp;DOC_NAME=FAT:FQL_AUDITING_CLIENT_TEMPLATE.FAT&amp;display_string=Audit&amp;VAR:KEY=BGLQJOLUVA&amp;VAR:QUERY=RkZfTkVUX0lOQyhDQUwsMjAwOSkgKiAxLjAxMzIyMw==&amp;WINDOW=FIRST_POPUP&amp;HEIGHT=450&amp;WIDTH=450&amp;","START_MAXIMIZED=FALSE&amp;VAR:CALENDAR=US&amp;VAR:SYMBOL=711075&amp;VAR:INDEX=0"}</definedName>
    <definedName name="_510__FDSAUDITLINK___1" localSheetId="8" hidden="1">{"fdsup://Directions/FactSet Auditing Viewer?action=AUDIT_VALUE&amp;DB=129&amp;ID1=011827&amp;VALUEID=01001&amp;SDATE=2008&amp;PERIODTYPE=ANN_STD&amp;window=popup_no_bar&amp;width=385&amp;height=120&amp;START_MAXIMIZED=FALSE&amp;creator=factset&amp;display_string=Audit"}</definedName>
    <definedName name="_510__FDSAUDITLINK___1" hidden="1">{"fdsup://Directions/FactSet Auditing Viewer?action=AUDIT_VALUE&amp;DB=129&amp;ID1=011827&amp;VALUEID=01001&amp;SDATE=2008&amp;PERIODTYPE=ANN_STD&amp;window=popup_no_bar&amp;width=385&amp;height=120&amp;START_MAXIMIZED=FALSE&amp;creator=factset&amp;display_string=Audit"}</definedName>
    <definedName name="_511__FDSAUDITLINK__" localSheetId="8" hidden="1">{"fdsup://Directions/FactSet Auditing Viewer?action=AUDIT_VALUE&amp;DB=129&amp;ID1=011827&amp;VALUEID=01001&amp;SDATE=2007&amp;PERIODTYPE=ANN_STD&amp;window=popup_no_bar&amp;width=385&amp;height=120&amp;START_MAXIMIZED=FALSE&amp;creator=factset&amp;display_string=Audit"}</definedName>
    <definedName name="_511__FDSAUDITLINK__" hidden="1">{"fdsup://directions/FAT Viewer?action=UPDATE&amp;creator=factset&amp;DYN_ARGS=TRUE&amp;DOC_NAME=FAT:FQL_AUDITING_CLIENT_TEMPLATE.FAT&amp;display_string=Audit&amp;VAR:KEY=GLIVSPUFGP&amp;VAR:QUERY=RkZfTkVUX0lOQyhMVE0sNDEwOTIp&amp;WINDOW=FIRST_POPUP&amp;HEIGHT=450&amp;WIDTH=450&amp;START_MAXIMIZED=","FALSE&amp;VAR:CALENDAR=US&amp;VAR:SYMBOL=711075&amp;VAR:INDEX=0"}</definedName>
    <definedName name="_511__FDSAUDITLINK___1" localSheetId="8" hidden="1">{"fdsup://Directions/FactSet Auditing Viewer?action=AUDIT_VALUE&amp;DB=129&amp;ID1=011827&amp;VALUEID=01001&amp;SDATE=2007&amp;PERIODTYPE=ANN_STD&amp;window=popup_no_bar&amp;width=385&amp;height=120&amp;START_MAXIMIZED=FALSE&amp;creator=factset&amp;display_string=Audit"}</definedName>
    <definedName name="_511__FDSAUDITLINK___1" hidden="1">{"fdsup://Directions/FactSet Auditing Viewer?action=AUDIT_VALUE&amp;DB=129&amp;ID1=011827&amp;VALUEID=01001&amp;SDATE=2007&amp;PERIODTYPE=ANN_STD&amp;window=popup_no_bar&amp;width=385&amp;height=120&amp;START_MAXIMIZED=FALSE&amp;creator=factset&amp;display_string=Audit"}</definedName>
    <definedName name="_512__FDSAUDITLINK__" localSheetId="8" hidden="1">{"fdsup://Directions/FactSet Auditing Viewer?action=AUDIT_VALUE&amp;DB=129&amp;ID1=011827&amp;VALUEID=01001&amp;SDATE=2006&amp;PERIODTYPE=ANN_STD&amp;window=popup_no_bar&amp;width=385&amp;height=120&amp;START_MAXIMIZED=FALSE&amp;creator=factset&amp;display_string=Audit"}</definedName>
    <definedName name="_512__FDSAUDITLINK__" hidden="1">{"fdsup://directions/FAT Viewer?action=UPDATE&amp;creator=factset&amp;DYN_ARGS=TRUE&amp;DOC_NAME=FAT:FQL_AUDITING_CLIENT_TEMPLATE.FAT&amp;display_string=Audit&amp;VAR:KEY=ZYBONMJQRI&amp;VAR:QUERY=RkZfU0FMRVMoQ0FMLDIwMTApICogMS4wMTMyMjM=&amp;WINDOW=FIRST_POPUP&amp;HEIGHT=450&amp;WIDTH=450&amp;STAR","T_MAXIMIZED=FALSE&amp;VAR:CALENDAR=US&amp;VAR:SYMBOL=711075&amp;VAR:INDEX=0"}</definedName>
    <definedName name="_512__FDSAUDITLINK___1" localSheetId="8" hidden="1">{"fdsup://Directions/FactSet Auditing Viewer?action=AUDIT_VALUE&amp;DB=129&amp;ID1=011827&amp;VALUEID=01001&amp;SDATE=2006&amp;PERIODTYPE=ANN_STD&amp;window=popup_no_bar&amp;width=385&amp;height=120&amp;START_MAXIMIZED=FALSE&amp;creator=factset&amp;display_string=Audit"}</definedName>
    <definedName name="_512__FDSAUDITLINK___1" hidden="1">{"fdsup://Directions/FactSet Auditing Viewer?action=AUDIT_VALUE&amp;DB=129&amp;ID1=011827&amp;VALUEID=01001&amp;SDATE=2006&amp;PERIODTYPE=ANN_STD&amp;window=popup_no_bar&amp;width=385&amp;height=120&amp;START_MAXIMIZED=FALSE&amp;creator=factset&amp;display_string=Audit"}</definedName>
    <definedName name="_513__FDSAUDITLINK__" localSheetId="8" hidden="1">{"fdsup://Directions/FactSet Auditing Viewer?action=AUDIT_VALUE&amp;DB=129&amp;ID1=092210&amp;VALUEID=01001&amp;SDATE=2008&amp;PERIODTYPE=ANN_STD&amp;window=popup_no_bar&amp;width=385&amp;height=120&amp;START_MAXIMIZED=FALSE&amp;creator=factset&amp;display_string=Audit"}</definedName>
    <definedName name="_513__FDSAUDITLINK__" hidden="1">{"fdsup://directions/FAT Viewer?action=UPDATE&amp;creator=factset&amp;DYN_ARGS=TRUE&amp;DOC_NAME=FAT:FQL_AUDITING_CLIENT_TEMPLATE.FAT&amp;display_string=Audit&amp;VAR:KEY=ZYBQPIVOXY&amp;VAR:QUERY=RkZfRUJJVERBX09QRVIoQ0FMLDIwMDkpICogMS4wMTMyMjM=&amp;WINDOW=FIRST_POPUP&amp;HEIGHT=450&amp;WIDTH=","450&amp;START_MAXIMIZED=FALSE&amp;VAR:CALENDAR=US&amp;VAR:SYMBOL=711075&amp;VAR:INDEX=0"}</definedName>
    <definedName name="_513__FDSAUDITLINK___1" localSheetId="8" hidden="1">{"fdsup://Directions/FactSet Auditing Viewer?action=AUDIT_VALUE&amp;DB=129&amp;ID1=092210&amp;VALUEID=01001&amp;SDATE=2008&amp;PERIODTYPE=ANN_STD&amp;window=popup_no_bar&amp;width=385&amp;height=120&amp;START_MAXIMIZED=FALSE&amp;creator=factset&amp;display_string=Audit"}</definedName>
    <definedName name="_513__FDSAUDITLINK___1" hidden="1">{"fdsup://Directions/FactSet Auditing Viewer?action=AUDIT_VALUE&amp;DB=129&amp;ID1=092210&amp;VALUEID=01001&amp;SDATE=2008&amp;PERIODTYPE=ANN_STD&amp;window=popup_no_bar&amp;width=385&amp;height=120&amp;START_MAXIMIZED=FALSE&amp;creator=factset&amp;display_string=Audit"}</definedName>
    <definedName name="_514__FDSAUDITLINK__" localSheetId="8" hidden="1">{"fdsup://Directions/FactSet Auditing Viewer?action=AUDIT_VALUE&amp;DB=129&amp;ID1=454047&amp;VALUEID=01001&amp;SDATE=2008&amp;PERIODTYPE=ANN_STD&amp;window=popup_no_bar&amp;width=385&amp;height=120&amp;START_MAXIMIZED=FALSE&amp;creator=factset&amp;display_string=Audit"}</definedName>
    <definedName name="_514__FDSAUDITLINK__" hidden="1">{"fdsup://directions/FAT Viewer?action=UPDATE&amp;creator=factset&amp;DYN_ARGS=TRUE&amp;DOC_NAME=FAT:FQL_AUDITING_CLIENT_TEMPLATE.FAT&amp;display_string=Audit&amp;VAR:KEY=LULIBYTYJG&amp;VAR:QUERY=RkZfRVBTKENBTCwyMDExKSAqIDEuMDEzMjIz&amp;WINDOW=FIRST_POPUP&amp;HEIGHT=450&amp;WIDTH=450&amp;START_MA","XIMIZED=FALSE&amp;VAR:CALENDAR=US&amp;VAR:SYMBOL=711075&amp;VAR:INDEX=0"}</definedName>
    <definedName name="_514__FDSAUDITLINK___1" localSheetId="8" hidden="1">{"fdsup://Directions/FactSet Auditing Viewer?action=AUDIT_VALUE&amp;DB=129&amp;ID1=454047&amp;VALUEID=01001&amp;SDATE=2008&amp;PERIODTYPE=ANN_STD&amp;window=popup_no_bar&amp;width=385&amp;height=120&amp;START_MAXIMIZED=FALSE&amp;creator=factset&amp;display_string=Audit"}</definedName>
    <definedName name="_514__FDSAUDITLINK___1" hidden="1">{"fdsup://Directions/FactSet Auditing Viewer?action=AUDIT_VALUE&amp;DB=129&amp;ID1=454047&amp;VALUEID=01001&amp;SDATE=2008&amp;PERIODTYPE=ANN_STD&amp;window=popup_no_bar&amp;width=385&amp;height=120&amp;START_MAXIMIZED=FALSE&amp;creator=factset&amp;display_string=Audit"}</definedName>
    <definedName name="_515__FDSAUDITLINK__" localSheetId="8" hidden="1">{"fdsup://Directions/FactSet Auditing Viewer?action=AUDIT_VALUE&amp;DB=129&amp;ID1=080216&amp;VALUEID=01001&amp;SDATE=2009&amp;PERIODTYPE=ANN_STD&amp;window=popup_no_bar&amp;width=385&amp;height=120&amp;START_MAXIMIZED=FALSE&amp;creator=factset&amp;display_string=Audit"}</definedName>
    <definedName name="_515__FDSAUDITLINK__" hidden="1">{"fdsup://directions/FAT Viewer?action=UPDATE&amp;creator=factset&amp;DYN_ARGS=TRUE&amp;DOC_NAME=FAT:FQL_AUDITING_CLIENT_TEMPLATE.FAT&amp;display_string=Audit&amp;VAR:KEY=TKTKJULQTY&amp;VAR:QUERY=RkZfTkVUX0lOQyhDQUwsMjAxMCkgKiAxLjAxMzIyMw==&amp;WINDOW=FIRST_POPUP&amp;HEIGHT=450&amp;WIDTH=450&amp;","START_MAXIMIZED=FALSE&amp;VAR:CALENDAR=US&amp;VAR:SYMBOL=711075&amp;VAR:INDEX=0"}</definedName>
    <definedName name="_515__FDSAUDITLINK___1" localSheetId="8" hidden="1">{"fdsup://Directions/FactSet Auditing Viewer?action=AUDIT_VALUE&amp;DB=129&amp;ID1=080216&amp;VALUEID=01001&amp;SDATE=2009&amp;PERIODTYPE=ANN_STD&amp;window=popup_no_bar&amp;width=385&amp;height=120&amp;START_MAXIMIZED=FALSE&amp;creator=factset&amp;display_string=Audit"}</definedName>
    <definedName name="_515__FDSAUDITLINK___1" hidden="1">{"fdsup://Directions/FactSet Auditing Viewer?action=AUDIT_VALUE&amp;DB=129&amp;ID1=080216&amp;VALUEID=01001&amp;SDATE=2009&amp;PERIODTYPE=ANN_STD&amp;window=popup_no_bar&amp;width=385&amp;height=120&amp;START_MAXIMIZED=FALSE&amp;creator=factset&amp;display_string=Audit"}</definedName>
    <definedName name="_516__FDSAUDITLINK__" localSheetId="8" hidden="1">{"fdsup://Directions/FactSet Auditing Viewer?action=AUDIT_VALUE&amp;DB=129&amp;ID1=080216&amp;VALUEID=01001&amp;SDATE=2008&amp;PERIODTYPE=ANN_STD&amp;window=popup_no_bar&amp;width=385&amp;height=120&amp;START_MAXIMIZED=FALSE&amp;creator=factset&amp;display_string=Audit"}</definedName>
    <definedName name="_516__FDSAUDITLINK__" hidden="1">{"fdsup://directions/FAT Viewer?action=UPDATE&amp;creator=factset&amp;DYN_ARGS=TRUE&amp;DOC_NAME=FAT:FQL_AUDITING_CLIENT_TEMPLATE.FAT&amp;display_string=Audit&amp;VAR:KEY=MZKVQVQDOP&amp;VAR:QUERY=RkZfSU5UX0VYUF9ORVQoTFRNLDQxMDkyKQ==&amp;WINDOW=FIRST_POPUP&amp;HEIGHT=450&amp;WIDTH=450&amp;START_MA","XIMIZED=FALSE&amp;VAR:CALENDAR=US&amp;VAR:SYMBOL=711075&amp;VAR:INDEX=0"}</definedName>
    <definedName name="_516__FDSAUDITLINK___1" localSheetId="8" hidden="1">{"fdsup://Directions/FactSet Auditing Viewer?action=AUDIT_VALUE&amp;DB=129&amp;ID1=080216&amp;VALUEID=01001&amp;SDATE=2008&amp;PERIODTYPE=ANN_STD&amp;window=popup_no_bar&amp;width=385&amp;height=120&amp;START_MAXIMIZED=FALSE&amp;creator=factset&amp;display_string=Audit"}</definedName>
    <definedName name="_516__FDSAUDITLINK___1" hidden="1">{"fdsup://Directions/FactSet Auditing Viewer?action=AUDIT_VALUE&amp;DB=129&amp;ID1=080216&amp;VALUEID=01001&amp;SDATE=2008&amp;PERIODTYPE=ANN_STD&amp;window=popup_no_bar&amp;width=385&amp;height=120&amp;START_MAXIMIZED=FALSE&amp;creator=factset&amp;display_string=Audit"}</definedName>
    <definedName name="_517__FDSAUDITLINK__" localSheetId="8" hidden="1">{"fdsup://Directions/FactSet Auditing Viewer?action=AUDIT_VALUE&amp;DB=129&amp;ID1=075902&amp;VALUEID=01001&amp;SDATE=2008&amp;PERIODTYPE=ANN_STD&amp;window=popup_no_bar&amp;width=385&amp;height=120&amp;START_MAXIMIZED=FALSE&amp;creator=factset&amp;display_string=Audit"}</definedName>
    <definedName name="_517__FDSAUDITLINK__" hidden="1">{"fdsup://directions/FAT Viewer?action=UPDATE&amp;creator=factset&amp;DYN_ARGS=TRUE&amp;DOC_NAME=FAT:FQL_AUDITING_CLIENT_TEMPLATE.FAT&amp;display_string=Audit&amp;VAR:KEY=ENERUDABCN&amp;VAR:QUERY=RkZfU0FMRVMoTFRNLDQxMDkyKQ==&amp;WINDOW=FIRST_POPUP&amp;HEIGHT=450&amp;WIDTH=450&amp;START_MAXIMIZED=","FALSE&amp;VAR:CALENDAR=US&amp;VAR:SYMBOL=711075&amp;VAR:INDEX=0"}</definedName>
    <definedName name="_517__FDSAUDITLINK___1" localSheetId="8" hidden="1">{"fdsup://Directions/FactSet Auditing Viewer?action=AUDIT_VALUE&amp;DB=129&amp;ID1=075902&amp;VALUEID=01001&amp;SDATE=2008&amp;PERIODTYPE=ANN_STD&amp;window=popup_no_bar&amp;width=385&amp;height=120&amp;START_MAXIMIZED=FALSE&amp;creator=factset&amp;display_string=Audit"}</definedName>
    <definedName name="_517__FDSAUDITLINK___1" hidden="1">{"fdsup://Directions/FactSet Auditing Viewer?action=AUDIT_VALUE&amp;DB=129&amp;ID1=075902&amp;VALUEID=01001&amp;SDATE=2008&amp;PERIODTYPE=ANN_STD&amp;window=popup_no_bar&amp;width=385&amp;height=120&amp;START_MAXIMIZED=FALSE&amp;creator=factset&amp;display_string=Audit"}</definedName>
    <definedName name="_518__FDSAUDITLINK__" localSheetId="8" hidden="1">{"fdsup://Directions/FactSet Auditing Viewer?action=AUDIT_VALUE&amp;DB=129&amp;ID1=075902&amp;VALUEID=01001&amp;SDATE=2007&amp;PERIODTYPE=ANN_STD&amp;window=popup_no_bar&amp;width=385&amp;height=120&amp;START_MAXIMIZED=FALSE&amp;creator=factset&amp;display_string=Audit"}</definedName>
    <definedName name="_518__FDSAUDITLINK__" hidden="1">{"fdsup://directions/FAT Viewer?action=UPDATE&amp;creator=factset&amp;DYN_ARGS=TRUE&amp;DOC_NAME=FAT:FQL_AUDITING_CLIENT_TEMPLATE.FAT&amp;display_string=Audit&amp;VAR:KEY=ZYLKNGJUJO&amp;VAR:QUERY=RkZfU0FMRVMoQ0FMLDIwMTEpICogMS4wMTMyMjM=&amp;WINDOW=FIRST_POPUP&amp;HEIGHT=450&amp;WIDTH=450&amp;STAR","T_MAXIMIZED=FALSE&amp;VAR:CALENDAR=US&amp;VAR:SYMBOL=711075&amp;VAR:INDEX=0"}</definedName>
    <definedName name="_518__FDSAUDITLINK___1" localSheetId="8" hidden="1">{"fdsup://Directions/FactSet Auditing Viewer?action=AUDIT_VALUE&amp;DB=129&amp;ID1=075902&amp;VALUEID=01001&amp;SDATE=2007&amp;PERIODTYPE=ANN_STD&amp;window=popup_no_bar&amp;width=385&amp;height=120&amp;START_MAXIMIZED=FALSE&amp;creator=factset&amp;display_string=Audit"}</definedName>
    <definedName name="_518__FDSAUDITLINK___1" hidden="1">{"fdsup://Directions/FactSet Auditing Viewer?action=AUDIT_VALUE&amp;DB=129&amp;ID1=075902&amp;VALUEID=01001&amp;SDATE=2007&amp;PERIODTYPE=ANN_STD&amp;window=popup_no_bar&amp;width=385&amp;height=120&amp;START_MAXIMIZED=FALSE&amp;creator=factset&amp;display_string=Audit"}</definedName>
    <definedName name="_519__FDSAUDITLINK__" localSheetId="8" hidden="1">{"fdsup://Directions/FactSet Auditing Viewer?action=AUDIT_VALUE&amp;DB=129&amp;ID1=063002&amp;VALUEID=01001&amp;SDATE=2008&amp;PERIODTYPE=ANN_STD&amp;window=popup_no_bar&amp;width=385&amp;height=120&amp;START_MAXIMIZED=FALSE&amp;creator=factset&amp;display_string=Audit"}</definedName>
    <definedName name="_519__FDSAUDITLINK__" hidden="1">{"fdsup://directions/FAT Viewer?action=UPDATE&amp;creator=factset&amp;DYN_ARGS=TRUE&amp;DOC_NAME=FAT:FQL_AUDITING_CLIENT_TEMPLATE.FAT&amp;display_string=Audit&amp;VAR:KEY=TKLYPGXYTO&amp;VAR:QUERY=RkZfRUJJVERBX09QRVIoQ0FMLDIwMTApICogMS4wMTMyMjM=&amp;WINDOW=FIRST_POPUP&amp;HEIGHT=450&amp;WIDTH=","450&amp;START_MAXIMIZED=FALSE&amp;VAR:CALENDAR=US&amp;VAR:SYMBOL=711075&amp;VAR:INDEX=0"}</definedName>
    <definedName name="_519__FDSAUDITLINK___1" localSheetId="8" hidden="1">{"fdsup://Directions/FactSet Auditing Viewer?action=AUDIT_VALUE&amp;DB=129&amp;ID1=063002&amp;VALUEID=01001&amp;SDATE=2008&amp;PERIODTYPE=ANN_STD&amp;window=popup_no_bar&amp;width=385&amp;height=120&amp;START_MAXIMIZED=FALSE&amp;creator=factset&amp;display_string=Audit"}</definedName>
    <definedName name="_519__FDSAUDITLINK___1" hidden="1">{"fdsup://Directions/FactSet Auditing Viewer?action=AUDIT_VALUE&amp;DB=129&amp;ID1=063002&amp;VALUEID=01001&amp;SDATE=2008&amp;PERIODTYPE=ANN_STD&amp;window=popup_no_bar&amp;width=385&amp;height=120&amp;START_MAXIMIZED=FALSE&amp;creator=factset&amp;display_string=Audit"}</definedName>
    <definedName name="_52__123Graph_CCHART_1" hidden="1">#REF!</definedName>
    <definedName name="_52__123Graph_CCHART_15" localSheetId="8" hidden="1">#REF!</definedName>
    <definedName name="_52__123Graph_CCHART_15" hidden="1">#REF!</definedName>
    <definedName name="_52__123Graph_LBL_ACHART_14" hidden="1">#REF!</definedName>
    <definedName name="_52__FDSAUDITLINK__" localSheetId="8" hidden="1">{"fdsup://directions/FAT Viewer?action=UPDATE&amp;creator=factset&amp;DYN_ARGS=TRUE&amp;DOC_NAME=FAT:FQL_AUDITING_CLIENT_TEMPLATE.FAT&amp;display_string=Audit&amp;VAR:KEY=EJQZGZCRUB&amp;VAR:QUERY=RkZfRUJJVERBX0lCKEFOTiwzOTA4MiwsLCxFVVIp&amp;WINDOW=FIRST_POPUP&amp;HEIGHT=450&amp;WIDTH=450&amp;STAR","T_MAXIMIZED=FALSE&amp;VAR:CALENDAR=FIVEDAY&amp;VAR:SYMBOL=591344&amp;VAR:INDEX=0"}</definedName>
    <definedName name="_52__FDSAUDITLINK__" hidden="1">{"fdsup://directions/FAT Viewer?action=UPDATE&amp;creator=factset&amp;DYN_ARGS=TRUE&amp;DOC_NAME=FAT:FQL_AUDITING_CLIENT_TEMPLATE.FAT&amp;display_string=Audit&amp;VAR:KEY=KXYDGXKLQP&amp;VAR:QUERY=RkZfRUJJVERBX09QRVIoQ0FMLDIwMTAp&amp;WINDOW=FIRST_POPUP&amp;HEIGHT=450&amp;WIDTH=450&amp;START_MAXIMI","ZED=FALSE&amp;VAR:CALENDAR=US&amp;VAR:SYMBOL=VMC&amp;VAR:INDEX=0"}</definedName>
    <definedName name="_52__FDSAUDITLINK___1" localSheetId="8" hidden="1">{"fdsup://directions/FAT Viewer?action=UPDATE&amp;creator=factset&amp;DYN_ARGS=TRUE&amp;DOC_NAME=FAT:FQL_AUDITING_CLIENT_TEMPLATE.FAT&amp;display_string=Audit&amp;VAR:KEY=EJQZGZCRUB&amp;VAR:QUERY=RkZfRUJJVERBX0lCKEFOTiwzOTA4MiwsLCxFVVIp&amp;WINDOW=FIRST_POPUP&amp;HEIGHT=450&amp;WIDTH=450&amp;STAR","T_MAXIMIZED=FALSE&amp;VAR:CALENDAR=FIVEDAY&amp;VAR:SYMBOL=591344&amp;VAR:INDEX=0"}</definedName>
    <definedName name="_52__FDSAUDITLINK___1" hidden="1">{"fdsup://directions/FAT Viewer?action=UPDATE&amp;creator=factset&amp;DYN_ARGS=TRUE&amp;DOC_NAME=FAT:FQL_AUDITING_CLIENT_TEMPLATE.FAT&amp;display_string=Audit&amp;VAR:KEY=EJQZGZCRUB&amp;VAR:QUERY=RkZfRUJJVERBX0lCKEFOTiwzOTA4MiwsLCxFVVIp&amp;WINDOW=FIRST_POPUP&amp;HEIGHT=450&amp;WIDTH=450&amp;STAR","T_MAXIMIZED=FALSE&amp;VAR:CALENDAR=FIVEDAY&amp;VAR:SYMBOL=591344&amp;VAR:INDEX=0"}</definedName>
    <definedName name="_520__FDSAUDITLINK__" localSheetId="8" hidden="1">{"fdsup://Directions/FactSet Auditing Viewer?action=AUDIT_VALUE&amp;DB=129&amp;ID1=063002&amp;VALUEID=01001&amp;SDATE=2007&amp;PERIODTYPE=ANN_STD&amp;window=popup_no_bar&amp;width=385&amp;height=120&amp;START_MAXIMIZED=FALSE&amp;creator=factset&amp;display_string=Audit"}</definedName>
    <definedName name="_520__FDSAUDITLINK__" hidden="1">{"fdsup://directions/FAT Viewer?action=UPDATE&amp;creator=factset&amp;DYN_ARGS=TRUE&amp;DOC_NAME=FAT:FQL_AUDITING_CLIENT_TEMPLATE.FAT&amp;display_string=Audit&amp;VAR:KEY=HIJYDYJMZK&amp;VAR:QUERY=RkZfRUJJVF9PUEVSKENBTCwyMDA5KSAqIDEuMDEzMjIz&amp;WINDOW=FIRST_POPUP&amp;HEIGHT=450&amp;WIDTH=450&amp;","START_MAXIMIZED=FALSE&amp;VAR:CALENDAR=US&amp;VAR:SYMBOL=711075&amp;VAR:INDEX=0"}</definedName>
    <definedName name="_520__FDSAUDITLINK___1" localSheetId="8" hidden="1">{"fdsup://Directions/FactSet Auditing Viewer?action=AUDIT_VALUE&amp;DB=129&amp;ID1=063002&amp;VALUEID=01001&amp;SDATE=2007&amp;PERIODTYPE=ANN_STD&amp;window=popup_no_bar&amp;width=385&amp;height=120&amp;START_MAXIMIZED=FALSE&amp;creator=factset&amp;display_string=Audit"}</definedName>
    <definedName name="_520__FDSAUDITLINK___1" hidden="1">{"fdsup://Directions/FactSet Auditing Viewer?action=AUDIT_VALUE&amp;DB=129&amp;ID1=063002&amp;VALUEID=01001&amp;SDATE=2007&amp;PERIODTYPE=ANN_STD&amp;window=popup_no_bar&amp;width=385&amp;height=120&amp;START_MAXIMIZED=FALSE&amp;creator=factset&amp;display_string=Audit"}</definedName>
    <definedName name="_521__FDSAUDITLINK__" localSheetId="8" hidden="1">{"fdsup://Directions/FactSet Auditing Viewer?action=AUDIT_VALUE&amp;DB=129&amp;ID1=063002&amp;VALUEID=01001&amp;SDATE=2006&amp;PERIODTYPE=ANN_STD&amp;window=popup_no_bar&amp;width=385&amp;height=120&amp;START_MAXIMIZED=FALSE&amp;creator=factset&amp;display_string=Audit"}</definedName>
    <definedName name="_521__FDSAUDITLINK__" hidden="1">{"fdsup://directions/FAT Viewer?action=UPDATE&amp;creator=factset&amp;DYN_ARGS=TRUE&amp;DOC_NAME=FAT:FQL_AUDITING_CLIENT_TEMPLATE.FAT&amp;display_string=Audit&amp;VAR:KEY=RAFCVAJGRG&amp;VAR:QUERY=RkZfTkVUX0lOQyhDQUwsMjAxMSkgKiAxLjAxMzIyMw==&amp;WINDOW=FIRST_POPUP&amp;HEIGHT=450&amp;WIDTH=450&amp;","START_MAXIMIZED=FALSE&amp;VAR:CALENDAR=US&amp;VAR:SYMBOL=711075&amp;VAR:INDEX=0"}</definedName>
    <definedName name="_521__FDSAUDITLINK___1" localSheetId="8" hidden="1">{"fdsup://Directions/FactSet Auditing Viewer?action=AUDIT_VALUE&amp;DB=129&amp;ID1=063002&amp;VALUEID=01001&amp;SDATE=2006&amp;PERIODTYPE=ANN_STD&amp;window=popup_no_bar&amp;width=385&amp;height=120&amp;START_MAXIMIZED=FALSE&amp;creator=factset&amp;display_string=Audit"}</definedName>
    <definedName name="_521__FDSAUDITLINK___1" hidden="1">{"fdsup://Directions/FactSet Auditing Viewer?action=AUDIT_VALUE&amp;DB=129&amp;ID1=063002&amp;VALUEID=01001&amp;SDATE=2006&amp;PERIODTYPE=ANN_STD&amp;window=popup_no_bar&amp;width=385&amp;height=120&amp;START_MAXIMIZED=FALSE&amp;creator=factset&amp;display_string=Audit"}</definedName>
    <definedName name="_522__FDSAUDITLINK__" localSheetId="8" hidden="1">{"fdsup://Directions/FactSet Auditing Viewer?action=AUDIT_VALUE&amp;DB=129&amp;ID1=B2425G&amp;VALUEID=01001&amp;SDATE=2009&amp;PERIODTYPE=ANN_STD&amp;window=popup_no_bar&amp;width=385&amp;height=120&amp;START_MAXIMIZED=FALSE&amp;creator=factset&amp;display_string=Audit"}</definedName>
    <definedName name="_522__FDSAUDITLINK__" hidden="1">{"fdsup://directions/FAT Viewer?action=UPDATE&amp;creator=factset&amp;DYN_ARGS=TRUE&amp;DOC_NAME=FAT:FQL_AUDITING_CLIENT_TEMPLATE.FAT&amp;display_string=Audit&amp;VAR:KEY=PKLEHCJKLK&amp;VAR:QUERY=KEZGX0lOVF9FWFBfTkVUKExUTSw0MTExMClARkZfSU5UX0VYUF9ORVQoTFRNLDApKQ==&amp;WINDOW=FIRST_POP","UP&amp;HEIGHT=450&amp;WIDTH=450&amp;START_MAXIMIZED=FALSE&amp;VAR:CALENDAR=US&amp;VAR:SYMBOL=711075&amp;VAR:INDEX=0"}</definedName>
    <definedName name="_522__FDSAUDITLINK___1" localSheetId="8" hidden="1">{"fdsup://Directions/FactSet Auditing Viewer?action=AUDIT_VALUE&amp;DB=129&amp;ID1=B2425G&amp;VALUEID=01001&amp;SDATE=2009&amp;PERIODTYPE=ANN_STD&amp;window=popup_no_bar&amp;width=385&amp;height=120&amp;START_MAXIMIZED=FALSE&amp;creator=factset&amp;display_string=Audit"}</definedName>
    <definedName name="_522__FDSAUDITLINK___1" hidden="1">{"fdsup://Directions/FactSet Auditing Viewer?action=AUDIT_VALUE&amp;DB=129&amp;ID1=B2425G&amp;VALUEID=01001&amp;SDATE=2009&amp;PERIODTYPE=ANN_STD&amp;window=popup_no_bar&amp;width=385&amp;height=120&amp;START_MAXIMIZED=FALSE&amp;creator=factset&amp;display_string=Audit"}</definedName>
    <definedName name="_523__FDSAUDITLINK__" localSheetId="8" hidden="1">{"fdsup://Directions/FactSet Auditing Viewer?action=AUDIT_VALUE&amp;DB=129&amp;ID1=073833&amp;VALUEID=01001&amp;SDATE=2008&amp;PERIODTYPE=ANN_STD&amp;window=popup_no_bar&amp;width=385&amp;height=120&amp;START_MAXIMIZED=FALSE&amp;creator=factset&amp;display_string=Audit"}</definedName>
    <definedName name="_523__FDSAUDITLINK__" hidden="1">{"fdsup://directions/FAT Viewer?action=UPDATE&amp;creator=factset&amp;DYN_ARGS=TRUE&amp;DOC_NAME=FAT:FQL_AUDITING_CLIENT_TEMPLATE.FAT&amp;display_string=Audit&amp;VAR:KEY=IDMLWXOBYZ&amp;VAR:QUERY=KEZGX0lOVF9FWFBfTkVUKExUTSw0MTExMClARkZfSU5UX0VYUF9ORVQoTFRNLDApKQ==&amp;WINDOW=FIRST_POP","UP&amp;HEIGHT=450&amp;WIDTH=450&amp;START_MAXIMIZED=FALSE&amp;VAR:CALENDAR=US&amp;VAR:SYMBOL=CX&amp;VAR:INDEX=0"}</definedName>
    <definedName name="_523__FDSAUDITLINK___1" localSheetId="8" hidden="1">{"fdsup://Directions/FactSet Auditing Viewer?action=AUDIT_VALUE&amp;DB=129&amp;ID1=073833&amp;VALUEID=01001&amp;SDATE=2008&amp;PERIODTYPE=ANN_STD&amp;window=popup_no_bar&amp;width=385&amp;height=120&amp;START_MAXIMIZED=FALSE&amp;creator=factset&amp;display_string=Audit"}</definedName>
    <definedName name="_523__FDSAUDITLINK___1" hidden="1">{"fdsup://Directions/FactSet Auditing Viewer?action=AUDIT_VALUE&amp;DB=129&amp;ID1=073833&amp;VALUEID=01001&amp;SDATE=2008&amp;PERIODTYPE=ANN_STD&amp;window=popup_no_bar&amp;width=385&amp;height=120&amp;START_MAXIMIZED=FALSE&amp;creator=factset&amp;display_string=Audit"}</definedName>
    <definedName name="_524__FDSAUDITLINK__" localSheetId="8" hidden="1">{"fdsup://Directions/FactSet Auditing Viewer?action=AUDIT_VALUE&amp;DB=129&amp;ID1=073833&amp;VALUEID=01001&amp;SDATE=2007&amp;PERIODTYPE=ANN_STD&amp;window=popup_no_bar&amp;width=385&amp;height=120&amp;START_MAXIMIZED=FALSE&amp;creator=factset&amp;display_string=Audit"}</definedName>
    <definedName name="_524__FDSAUDITLINK__" hidden="1">{"fdsup://directions/FAT Viewer?action=UPDATE&amp;creator=factset&amp;DYN_ARGS=TRUE&amp;DOC_NAME=FAT:FQL_AUDITING_CLIENT_TEMPLATE.FAT&amp;display_string=Audit&amp;VAR:KEY=IFKROVMHGX&amp;VAR:QUERY=KEZGX0lOVF9FWFBfTkVUKExUTSw0MTExMClARkZfSU5UX0VYUF9ORVQoTFRNLDApKQ==&amp;WINDOW=FIRST_POP","UP&amp;HEIGHT=450&amp;WIDTH=450&amp;START_MAXIMIZED=FALSE&amp;VAR:CALENDAR=US&amp;VAR:SYMBOL=450270&amp;VAR:INDEX=0"}</definedName>
    <definedName name="_524__FDSAUDITLINK___1" localSheetId="8" hidden="1">{"fdsup://Directions/FactSet Auditing Viewer?action=AUDIT_VALUE&amp;DB=129&amp;ID1=073833&amp;VALUEID=01001&amp;SDATE=2007&amp;PERIODTYPE=ANN_STD&amp;window=popup_no_bar&amp;width=385&amp;height=120&amp;START_MAXIMIZED=FALSE&amp;creator=factset&amp;display_string=Audit"}</definedName>
    <definedName name="_524__FDSAUDITLINK___1" hidden="1">{"fdsup://Directions/FactSet Auditing Viewer?action=AUDIT_VALUE&amp;DB=129&amp;ID1=073833&amp;VALUEID=01001&amp;SDATE=2007&amp;PERIODTYPE=ANN_STD&amp;window=popup_no_bar&amp;width=385&amp;height=120&amp;START_MAXIMIZED=FALSE&amp;creator=factset&amp;display_string=Audit"}</definedName>
    <definedName name="_525__FDSAUDITLINK__" localSheetId="8" hidden="1">{"fdsup://Directions/FactSet Auditing Viewer?action=AUDIT_VALUE&amp;DB=129&amp;ID1=594228&amp;VALUEID=02001&amp;SDATE=200903&amp;PERIODTYPE=QTR_STD&amp;window=popup_no_bar&amp;width=385&amp;height=120&amp;START_MAXIMIZED=FALSE&amp;creator=factset&amp;display_string=Audit"}</definedName>
    <definedName name="_525__FDSAUDITLINK__" hidden="1">{"fdsup://Directions/FactSet Auditing Viewer?action=AUDIT_VALUE&amp;DB=129&amp;ID1=594228&amp;VALUEID=02001&amp;SDATE=200903&amp;PERIODTYPE=QTR_STD&amp;window=popup_no_bar&amp;width=385&amp;height=120&amp;START_MAXIMIZED=FALSE&amp;creator=factset&amp;display_string=Audit"}</definedName>
    <definedName name="_525__FDSAUDITLINK___1" localSheetId="8" hidden="1">{"fdsup://Directions/FactSet Auditing Viewer?action=AUDIT_VALUE&amp;DB=129&amp;ID1=594228&amp;VALUEID=02001&amp;SDATE=200903&amp;PERIODTYPE=QTR_STD&amp;window=popup_no_bar&amp;width=385&amp;height=120&amp;START_MAXIMIZED=FALSE&amp;creator=factset&amp;display_string=Audit"}</definedName>
    <definedName name="_525__FDSAUDITLINK___1" hidden="1">{"fdsup://Directions/FactSet Auditing Viewer?action=AUDIT_VALUE&amp;DB=129&amp;ID1=594228&amp;VALUEID=02001&amp;SDATE=200903&amp;PERIODTYPE=QTR_STD&amp;window=popup_no_bar&amp;width=385&amp;height=120&amp;START_MAXIMIZED=FALSE&amp;creator=factset&amp;display_string=Audit"}</definedName>
    <definedName name="_526__FDSAUDITLINK__" localSheetId="8" hidden="1">{"fdsup://Directions/FactSet Auditing Viewer?action=AUDIT_VALUE&amp;DB=129&amp;ID1=073833&amp;VALUEID=02001&amp;SDATE=200901&amp;PERIODTYPE=SEMI_STD&amp;window=popup_no_bar&amp;width=385&amp;height=120&amp;START_MAXIMIZED=FALSE&amp;creator=factset&amp;display_string=Audit"}</definedName>
    <definedName name="_526__FDSAUDITLINK__" hidden="1">{"fdsup://directions/FAT Viewer?action=UPDATE&amp;creator=factset&amp;DYN_ARGS=TRUE&amp;DOC_NAME=FAT:FQL_AUDITING_CLIENT_TEMPLATE.FAT&amp;display_string=Audit&amp;VAR:KEY=POBIBEXGHY&amp;VAR:QUERY=KEZGX0lOVF9FWFBfTkVUKExUTSw0MTExMClARkZfSU5UX0VYUF9ORVQoTFRNLDApKQ==&amp;WINDOW=FIRST_POP","UP&amp;HEIGHT=450&amp;WIDTH=450&amp;START_MAXIMIZED=FALSE&amp;VAR:CALENDAR=US&amp;VAR:SYMBOL=VMC&amp;VAR:INDEX=0"}</definedName>
    <definedName name="_526__FDSAUDITLINK___1" localSheetId="8" hidden="1">{"fdsup://Directions/FactSet Auditing Viewer?action=AUDIT_VALUE&amp;DB=129&amp;ID1=073833&amp;VALUEID=02001&amp;SDATE=200901&amp;PERIODTYPE=SEMI_STD&amp;window=popup_no_bar&amp;width=385&amp;height=120&amp;START_MAXIMIZED=FALSE&amp;creator=factset&amp;display_string=Audit"}</definedName>
    <definedName name="_526__FDSAUDITLINK___1" hidden="1">{"fdsup://Directions/FactSet Auditing Viewer?action=AUDIT_VALUE&amp;DB=129&amp;ID1=073833&amp;VALUEID=02001&amp;SDATE=200901&amp;PERIODTYPE=SEMI_STD&amp;window=popup_no_bar&amp;width=385&amp;height=120&amp;START_MAXIMIZED=FALSE&amp;creator=factset&amp;display_string=Audit"}</definedName>
    <definedName name="_527__FDSAUDITLINK__" localSheetId="8" hidden="1">{"fdsup://directions/FAT Viewer?action=UPDATE&amp;creator=factset&amp;DYN_ARGS=TRUE&amp;DOC_NAME=FAT:FQL_AUDITING_CLIENT_TEMPLATE.FAT&amp;display_string=Audit&amp;VAR:KEY=FWFQHWJMNK&amp;VAR:QUERY=RkZfRUJJVF9JQignQU5OJywsLCwsKQ==&amp;WINDOW=FIRST_POPUP&amp;HEIGHT=450&amp;WIDTH=450&amp;START_MAXIMI","ZED=FALSE&amp;VAR:CALENDAR=FIVEDAY&amp;VAR:SYMBOL=0&amp;VAR:INDEX=0"}</definedName>
    <definedName name="_527__FDSAUDITLINK__" hidden="1">{"fdsup://directions/FAT Viewer?action=UPDATE&amp;creator=factset&amp;DYN_ARGS=TRUE&amp;DOC_NAME=FAT:FQL_AUDITING_CLIENT_TEMPLATE.FAT&amp;display_string=Audit&amp;VAR:KEY=FWFQHWJMNK&amp;VAR:QUERY=RkZfRUJJVF9JQignQU5OJywsLCwsKQ==&amp;WINDOW=FIRST_POPUP&amp;HEIGHT=450&amp;WIDTH=450&amp;START_MAXIMI","ZED=FALSE&amp;VAR:CALENDAR=FIVEDAY&amp;VAR:SYMBOL=0&amp;VAR:INDEX=0"}</definedName>
    <definedName name="_527__FDSAUDITLINK___1" localSheetId="8" hidden="1">{"fdsup://directions/FAT Viewer?action=UPDATE&amp;creator=factset&amp;DYN_ARGS=TRUE&amp;DOC_NAME=FAT:FQL_AUDITING_CLIENT_TEMPLATE.FAT&amp;display_string=Audit&amp;VAR:KEY=FWFQHWJMNK&amp;VAR:QUERY=RkZfRUJJVF9JQignQU5OJywsLCwsKQ==&amp;WINDOW=FIRST_POPUP&amp;HEIGHT=450&amp;WIDTH=450&amp;START_MAXIMI","ZED=FALSE&amp;VAR:CALENDAR=FIVEDAY&amp;VAR:SYMBOL=0&amp;VAR:INDEX=0"}</definedName>
    <definedName name="_527__FDSAUDITLINK___1" hidden="1">{"fdsup://directions/FAT Viewer?action=UPDATE&amp;creator=factset&amp;DYN_ARGS=TRUE&amp;DOC_NAME=FAT:FQL_AUDITING_CLIENT_TEMPLATE.FAT&amp;display_string=Audit&amp;VAR:KEY=FWFQHWJMNK&amp;VAR:QUERY=RkZfRUJJVF9JQignQU5OJywsLCwsKQ==&amp;WINDOW=FIRST_POPUP&amp;HEIGHT=450&amp;WIDTH=450&amp;START_MAXIMI","ZED=FALSE&amp;VAR:CALENDAR=FIVEDAY&amp;VAR:SYMBOL=0&amp;VAR:INDEX=0"}</definedName>
    <definedName name="_528__FDSAUDITLINK__" localSheetId="8" hidden="1">{"fdsup://directions/FAT Viewer?action=UPDATE&amp;creator=factset&amp;DYN_ARGS=TRUE&amp;DOC_NAME=FAT:FQL_AUDITING_CLIENT_TEMPLATE.FAT&amp;display_string=Audit&amp;VAR:KEY=FWFQHWJMNK&amp;VAR:QUERY=RkZfRUJJVF9JQignQU5OJywsLCwsKQ==&amp;WINDOW=FIRST_POPUP&amp;HEIGHT=450&amp;WIDTH=450&amp;START_MAXIMI","ZED=FALSE&amp;VAR:CALENDAR=FIVEDAY&amp;VAR:SYMBOL=0&amp;VAR:INDEX=0"}</definedName>
    <definedName name="_528__FDSAUDITLINK__" hidden="1">{"fdsup://directions/FAT Viewer?action=UPDATE&amp;creator=factset&amp;DYN_ARGS=TRUE&amp;DOC_NAME=FAT:FQL_AUDITING_CLIENT_TEMPLATE.FAT&amp;display_string=Audit&amp;VAR:KEY=DULMJIFONQ&amp;VAR:QUERY=KEZGX0lOVF9FWFBfTkVUKExUTSw0MTExMClARkZfSU5UX0VYUF9ORVQoTFRNLDApKQ==&amp;WINDOW=FIRST_POP","UP&amp;HEIGHT=450&amp;WIDTH=450&amp;START_MAXIMIZED=FALSE&amp;VAR:CALENDAR=US&amp;VAR:SYMBOL=TXI&amp;VAR:INDEX=0"}</definedName>
    <definedName name="_528__FDSAUDITLINK___1" localSheetId="8" hidden="1">{"fdsup://directions/FAT Viewer?action=UPDATE&amp;creator=factset&amp;DYN_ARGS=TRUE&amp;DOC_NAME=FAT:FQL_AUDITING_CLIENT_TEMPLATE.FAT&amp;display_string=Audit&amp;VAR:KEY=FWFQHWJMNK&amp;VAR:QUERY=RkZfRUJJVF9JQignQU5OJywsLCwsKQ==&amp;WINDOW=FIRST_POPUP&amp;HEIGHT=450&amp;WIDTH=450&amp;START_MAXIMI","ZED=FALSE&amp;VAR:CALENDAR=FIVEDAY&amp;VAR:SYMBOL=0&amp;VAR:INDEX=0"}</definedName>
    <definedName name="_528__FDSAUDITLINK___1" hidden="1">{"fdsup://directions/FAT Viewer?action=UPDATE&amp;creator=factset&amp;DYN_ARGS=TRUE&amp;DOC_NAME=FAT:FQL_AUDITING_CLIENT_TEMPLATE.FAT&amp;display_string=Audit&amp;VAR:KEY=FWFQHWJMNK&amp;VAR:QUERY=RkZfRUJJVF9JQignQU5OJywsLCwsKQ==&amp;WINDOW=FIRST_POPUP&amp;HEIGHT=450&amp;WIDTH=450&amp;START_MAXIMI","ZED=FALSE&amp;VAR:CALENDAR=FIVEDAY&amp;VAR:SYMBOL=0&amp;VAR:INDEX=0"}</definedName>
    <definedName name="_529__FDSAUDITLINK__" localSheetId="8" hidden="1">{"fdsup://directions/FAT Viewer?action=UPDATE&amp;creator=factset&amp;DYN_ARGS=TRUE&amp;DOC_NAME=FAT:FQL_AUDITING_CLIENT_TEMPLATE.FAT&amp;display_string=Audit&amp;VAR:KEY=FWFQHWJMNK&amp;VAR:QUERY=RkZfRUJJVF9JQignQU5OJywsLCwsKQ==&amp;WINDOW=FIRST_POPUP&amp;HEIGHT=450&amp;WIDTH=450&amp;START_MAXIMI","ZED=FALSE&amp;VAR:CALENDAR=FIVEDAY&amp;VAR:SYMBOL=0&amp;VAR:INDEX=0"}</definedName>
    <definedName name="_529__FDSAUDITLINK__" hidden="1">{"fdsup://directions/FAT Viewer?action=UPDATE&amp;creator=factset&amp;DYN_ARGS=TRUE&amp;DOC_NAME=FAT:FQL_AUDITING_CLIENT_TEMPLATE.FAT&amp;display_string=Audit&amp;VAR:KEY=FWFQHWJMNK&amp;VAR:QUERY=RkZfRUJJVF9JQignQU5OJywsLCwsKQ==&amp;WINDOW=FIRST_POPUP&amp;HEIGHT=450&amp;WIDTH=450&amp;START_MAXIMI","ZED=FALSE&amp;VAR:CALENDAR=FIVEDAY&amp;VAR:SYMBOL=0&amp;VAR:INDEX=0"}</definedName>
    <definedName name="_529__FDSAUDITLINK___1" localSheetId="8" hidden="1">{"fdsup://directions/FAT Viewer?action=UPDATE&amp;creator=factset&amp;DYN_ARGS=TRUE&amp;DOC_NAME=FAT:FQL_AUDITING_CLIENT_TEMPLATE.FAT&amp;display_string=Audit&amp;VAR:KEY=FWFQHWJMNK&amp;VAR:QUERY=RkZfRUJJVF9JQignQU5OJywsLCwsKQ==&amp;WINDOW=FIRST_POPUP&amp;HEIGHT=450&amp;WIDTH=450&amp;START_MAXIMI","ZED=FALSE&amp;VAR:CALENDAR=FIVEDAY&amp;VAR:SYMBOL=0&amp;VAR:INDEX=0"}</definedName>
    <definedName name="_529__FDSAUDITLINK___1" hidden="1">{"fdsup://directions/FAT Viewer?action=UPDATE&amp;creator=factset&amp;DYN_ARGS=TRUE&amp;DOC_NAME=FAT:FQL_AUDITING_CLIENT_TEMPLATE.FAT&amp;display_string=Audit&amp;VAR:KEY=FWFQHWJMNK&amp;VAR:QUERY=RkZfRUJJVF9JQignQU5OJywsLCwsKQ==&amp;WINDOW=FIRST_POPUP&amp;HEIGHT=450&amp;WIDTH=450&amp;START_MAXIMI","ZED=FALSE&amp;VAR:CALENDAR=FIVEDAY&amp;VAR:SYMBOL=0&amp;VAR:INDEX=0"}</definedName>
    <definedName name="_53__123Graph_CCHART_16" localSheetId="8" hidden="1">#REF!</definedName>
    <definedName name="_53__123Graph_CCHART_16" hidden="1">#REF!</definedName>
    <definedName name="_53__123Graph_LBL_ACHART_15" hidden="1">#REF!</definedName>
    <definedName name="_53__FDSAUDITLINK__" localSheetId="8" hidden="1">{"fdsup://directions/FAT Viewer?action=UPDATE&amp;creator=factset&amp;DYN_ARGS=TRUE&amp;DOC_NAME=FAT:FQL_AUDITING_CLIENT_TEMPLATE.FAT&amp;display_string=Audit&amp;VAR:KEY=CVIXUPAPAH&amp;VAR:QUERY=RkZfRUJJVERBX0lCKEFOTiwzODcxNywsLCxFVVIp&amp;WINDOW=FIRST_POPUP&amp;HEIGHT=450&amp;WIDTH=450&amp;STAR","T_MAXIMIZED=FALSE&amp;VAR:CALENDAR=FIVEDAY&amp;VAR:SYMBOL=591344&amp;VAR:INDEX=0"}</definedName>
    <definedName name="_53__FDSAUDITLINK__" hidden="1">{"fdsup://directions/FAT Viewer?action=UPDATE&amp;creator=factset&amp;DYN_ARGS=TRUE&amp;DOC_NAME=FAT:FQL_AUDITING_CLIENT_TEMPLATE.FAT&amp;display_string=Audit&amp;VAR:KEY=CREFEJIPIF&amp;VAR:QUERY=RkZfRUJJVERBX09QRVIoQ0FMLDIwMTAp&amp;WINDOW=FIRST_POPUP&amp;HEIGHT=450&amp;WIDTH=450&amp;START_MAXIMI","ZED=FALSE&amp;VAR:CALENDAR=US&amp;VAR:SYMBOL=MCEM&amp;VAR:INDEX=0"}</definedName>
    <definedName name="_53__FDSAUDITLINK___1" localSheetId="8" hidden="1">{"fdsup://directions/FAT Viewer?action=UPDATE&amp;creator=factset&amp;DYN_ARGS=TRUE&amp;DOC_NAME=FAT:FQL_AUDITING_CLIENT_TEMPLATE.FAT&amp;display_string=Audit&amp;VAR:KEY=CVIXUPAPAH&amp;VAR:QUERY=RkZfRUJJVERBX0lCKEFOTiwzODcxNywsLCxFVVIp&amp;WINDOW=FIRST_POPUP&amp;HEIGHT=450&amp;WIDTH=450&amp;STAR","T_MAXIMIZED=FALSE&amp;VAR:CALENDAR=FIVEDAY&amp;VAR:SYMBOL=591344&amp;VAR:INDEX=0"}</definedName>
    <definedName name="_53__FDSAUDITLINK___1" hidden="1">{"fdsup://directions/FAT Viewer?action=UPDATE&amp;creator=factset&amp;DYN_ARGS=TRUE&amp;DOC_NAME=FAT:FQL_AUDITING_CLIENT_TEMPLATE.FAT&amp;display_string=Audit&amp;VAR:KEY=CVIXUPAPAH&amp;VAR:QUERY=RkZfRUJJVERBX0lCKEFOTiwzODcxNywsLCxFVVIp&amp;WINDOW=FIRST_POPUP&amp;HEIGHT=450&amp;WIDTH=450&amp;STAR","T_MAXIMIZED=FALSE&amp;VAR:CALENDAR=FIVEDAY&amp;VAR:SYMBOL=591344&amp;VAR:INDEX=0"}</definedName>
    <definedName name="_530__FDSAUDITLINK__" localSheetId="8" hidden="1">{"fdsup://directions/FAT Viewer?action=UPDATE&amp;creator=factset&amp;DYN_ARGS=TRUE&amp;DOC_NAME=FAT:FQL_AUDITING_CLIENT_TEMPLATE.FAT&amp;display_string=Audit&amp;VAR:KEY=WBSDSLKDGB&amp;VAR:QUERY=RkZfRUJJVERBX0lCKCdBTk4nLCwsLCwp&amp;WINDOW=FIRST_POPUP&amp;HEIGHT=450&amp;WIDTH=450&amp;START_MAXIMI","ZED=FALSE&amp;VAR:CALENDAR=FIVEDAY&amp;VAR:SYMBOL=0&amp;VAR:INDEX=0"}</definedName>
    <definedName name="_530__FDSAUDITLINK__" hidden="1">{"fdsup://directions/FAT Viewer?action=UPDATE&amp;creator=factset&amp;DYN_ARGS=TRUE&amp;DOC_NAME=FAT:FQL_AUDITING_CLIENT_TEMPLATE.FAT&amp;display_string=Audit&amp;VAR:KEY=ZUDUDALONU&amp;VAR:QUERY=KEZGX0lOVF9FWFBfTkVUKExUTSw0MTExMClARkZfSU5UX0VYUF9ORVQoTFRNLDApKQ==&amp;WINDOW=FIRST_POP","UP&amp;HEIGHT=450&amp;WIDTH=450&amp;START_MAXIMIZED=FALSE&amp;VAR:CALENDAR=US&amp;VAR:SYMBOL=MLM&amp;VAR:INDEX=0"}</definedName>
    <definedName name="_530__FDSAUDITLINK___1" localSheetId="8" hidden="1">{"fdsup://directions/FAT Viewer?action=UPDATE&amp;creator=factset&amp;DYN_ARGS=TRUE&amp;DOC_NAME=FAT:FQL_AUDITING_CLIENT_TEMPLATE.FAT&amp;display_string=Audit&amp;VAR:KEY=WBSDSLKDGB&amp;VAR:QUERY=RkZfRUJJVERBX0lCKCdBTk4nLCwsLCwp&amp;WINDOW=FIRST_POPUP&amp;HEIGHT=450&amp;WIDTH=450&amp;START_MAXIMI","ZED=FALSE&amp;VAR:CALENDAR=FIVEDAY&amp;VAR:SYMBOL=0&amp;VAR:INDEX=0"}</definedName>
    <definedName name="_530__FDSAUDITLINK___1" hidden="1">{"fdsup://directions/FAT Viewer?action=UPDATE&amp;creator=factset&amp;DYN_ARGS=TRUE&amp;DOC_NAME=FAT:FQL_AUDITING_CLIENT_TEMPLATE.FAT&amp;display_string=Audit&amp;VAR:KEY=WBSDSLKDGB&amp;VAR:QUERY=RkZfRUJJVERBX0lCKCdBTk4nLCwsLCwp&amp;WINDOW=FIRST_POPUP&amp;HEIGHT=450&amp;WIDTH=450&amp;START_MAXIMI","ZED=FALSE&amp;VAR:CALENDAR=FIVEDAY&amp;VAR:SYMBOL=0&amp;VAR:INDEX=0"}</definedName>
    <definedName name="_531__FDSAUDITLINK__" localSheetId="8" hidden="1">{"fdsup://directions/FAT Viewer?action=UPDATE&amp;creator=factset&amp;DYN_ARGS=TRUE&amp;DOC_NAME=FAT:FQL_AUDITING_CLIENT_TEMPLATE.FAT&amp;display_string=Audit&amp;VAR:KEY=WBSDSLKDGB&amp;VAR:QUERY=RkZfRUJJVERBX0lCKCdBTk4nLCwsLCwp&amp;WINDOW=FIRST_POPUP&amp;HEIGHT=450&amp;WIDTH=450&amp;START_MAXIMI","ZED=FALSE&amp;VAR:CALENDAR=FIVEDAY&amp;VAR:SYMBOL=0&amp;VAR:INDEX=0"}</definedName>
    <definedName name="_531__FDSAUDITLINK__" hidden="1">{"fdsup://directions/FAT Viewer?action=UPDATE&amp;creator=factset&amp;DYN_ARGS=TRUE&amp;DOC_NAME=FAT:FQL_AUDITING_CLIENT_TEMPLATE.FAT&amp;display_string=Audit&amp;VAR:KEY=WBSDSLKDGB&amp;VAR:QUERY=RkZfRUJJVERBX0lCKCdBTk4nLCwsLCwp&amp;WINDOW=FIRST_POPUP&amp;HEIGHT=450&amp;WIDTH=450&amp;START_MAXIMI","ZED=FALSE&amp;VAR:CALENDAR=FIVEDAY&amp;VAR:SYMBOL=0&amp;VAR:INDEX=0"}</definedName>
    <definedName name="_531__FDSAUDITLINK___1" localSheetId="8" hidden="1">{"fdsup://directions/FAT Viewer?action=UPDATE&amp;creator=factset&amp;DYN_ARGS=TRUE&amp;DOC_NAME=FAT:FQL_AUDITING_CLIENT_TEMPLATE.FAT&amp;display_string=Audit&amp;VAR:KEY=WBSDSLKDGB&amp;VAR:QUERY=RkZfRUJJVERBX0lCKCdBTk4nLCwsLCwp&amp;WINDOW=FIRST_POPUP&amp;HEIGHT=450&amp;WIDTH=450&amp;START_MAXIMI","ZED=FALSE&amp;VAR:CALENDAR=FIVEDAY&amp;VAR:SYMBOL=0&amp;VAR:INDEX=0"}</definedName>
    <definedName name="_531__FDSAUDITLINK___1" hidden="1">{"fdsup://directions/FAT Viewer?action=UPDATE&amp;creator=factset&amp;DYN_ARGS=TRUE&amp;DOC_NAME=FAT:FQL_AUDITING_CLIENT_TEMPLATE.FAT&amp;display_string=Audit&amp;VAR:KEY=WBSDSLKDGB&amp;VAR:QUERY=RkZfRUJJVERBX0lCKCdBTk4nLCwsLCwp&amp;WINDOW=FIRST_POPUP&amp;HEIGHT=450&amp;WIDTH=450&amp;START_MAXIMI","ZED=FALSE&amp;VAR:CALENDAR=FIVEDAY&amp;VAR:SYMBOL=0&amp;VAR:INDEX=0"}</definedName>
    <definedName name="_532__FDSAUDITLINK__" localSheetId="8" hidden="1">{"fdsup://directions/FAT Viewer?action=UPDATE&amp;creator=factset&amp;DYN_ARGS=TRUE&amp;DOC_NAME=FAT:FQL_AUDITING_CLIENT_TEMPLATE.FAT&amp;display_string=Audit&amp;VAR:KEY=WBSDSLKDGB&amp;VAR:QUERY=RkZfRUJJVERBX0lCKCdBTk4nLCwsLCwp&amp;WINDOW=FIRST_POPUP&amp;HEIGHT=450&amp;WIDTH=450&amp;START_MAXIMI","ZED=FALSE&amp;VAR:CALENDAR=FIVEDAY&amp;VAR:SYMBOL=0&amp;VAR:INDEX=0"}</definedName>
    <definedName name="_532__FDSAUDITLINK__" hidden="1">{"fdsup://directions/FAT Viewer?action=UPDATE&amp;creator=factset&amp;DYN_ARGS=TRUE&amp;DOC_NAME=FAT:FQL_AUDITING_CLIENT_TEMPLATE.FAT&amp;display_string=Audit&amp;VAR:KEY=DWHIFYFUZQ&amp;VAR:QUERY=KEZGX05FVF9JTkMoTFRNLDQxMTEwKUBGRl9ORVRfSU5DKExUTSwwKSk=&amp;WINDOW=FIRST_POPUP&amp;HEIGHT=45","0&amp;WIDTH=450&amp;START_MAXIMIZED=FALSE&amp;VAR:CALENDAR=US&amp;VAR:SYMBOL=711075&amp;VAR:INDEX=0"}</definedName>
    <definedName name="_532__FDSAUDITLINK___1" localSheetId="8" hidden="1">{"fdsup://directions/FAT Viewer?action=UPDATE&amp;creator=factset&amp;DYN_ARGS=TRUE&amp;DOC_NAME=FAT:FQL_AUDITING_CLIENT_TEMPLATE.FAT&amp;display_string=Audit&amp;VAR:KEY=WBSDSLKDGB&amp;VAR:QUERY=RkZfRUJJVERBX0lCKCdBTk4nLCwsLCwp&amp;WINDOW=FIRST_POPUP&amp;HEIGHT=450&amp;WIDTH=450&amp;START_MAXIMI","ZED=FALSE&amp;VAR:CALENDAR=FIVEDAY&amp;VAR:SYMBOL=0&amp;VAR:INDEX=0"}</definedName>
    <definedName name="_532__FDSAUDITLINK___1" hidden="1">{"fdsup://directions/FAT Viewer?action=UPDATE&amp;creator=factset&amp;DYN_ARGS=TRUE&amp;DOC_NAME=FAT:FQL_AUDITING_CLIENT_TEMPLATE.FAT&amp;display_string=Audit&amp;VAR:KEY=WBSDSLKDGB&amp;VAR:QUERY=RkZfRUJJVERBX0lCKCdBTk4nLCwsLCwp&amp;WINDOW=FIRST_POPUP&amp;HEIGHT=450&amp;WIDTH=450&amp;START_MAXIMI","ZED=FALSE&amp;VAR:CALENDAR=FIVEDAY&amp;VAR:SYMBOL=0&amp;VAR:INDEX=0"}</definedName>
    <definedName name="_533__FDSAUDITLINK__" localSheetId="8" hidden="1">{"fdsup://directions/FAT Viewer?action=UPDATE&amp;creator=factset&amp;DYN_ARGS=TRUE&amp;DOC_NAME=FAT:FQL_AUDITING_CLIENT_TEMPLATE.FAT&amp;display_string=Audit&amp;VAR:KEY=EFYPAVMJAF&amp;VAR:QUERY=RkZfRUJJVF9JQignQU5OJywsLCwp&amp;WINDOW=FIRST_POPUP&amp;HEIGHT=450&amp;WIDTH=450&amp;START_MAXIMIZED=","FALSE&amp;VAR:CALENDAR=FIVEDAY&amp;VAR:SYMBOL=0&amp;VAR:INDEX=0"}</definedName>
    <definedName name="_533__FDSAUDITLINK__" hidden="1">{"fdsup://directions/FAT Viewer?action=UPDATE&amp;creator=factset&amp;DYN_ARGS=TRUE&amp;DOC_NAME=FAT:FQL_AUDITING_CLIENT_TEMPLATE.FAT&amp;display_string=Audit&amp;VAR:KEY=ALOZUPSHYH&amp;VAR:QUERY=KEZGX05FVF9JTkMoTFRNLDQxMTEwKUBGRl9ORVRfSU5DKExUTSwwKSk=&amp;WINDOW=FIRST_POPUP&amp;HEIGHT=45","0&amp;WIDTH=450&amp;START_MAXIMIZED=FALSE&amp;VAR:CALENDAR=US&amp;VAR:SYMBOL=CX&amp;VAR:INDEX=0"}</definedName>
    <definedName name="_533__FDSAUDITLINK___1" localSheetId="8" hidden="1">{"fdsup://directions/FAT Viewer?action=UPDATE&amp;creator=factset&amp;DYN_ARGS=TRUE&amp;DOC_NAME=FAT:FQL_AUDITING_CLIENT_TEMPLATE.FAT&amp;display_string=Audit&amp;VAR:KEY=EFYPAVMJAF&amp;VAR:QUERY=RkZfRUJJVF9JQignQU5OJywsLCwp&amp;WINDOW=FIRST_POPUP&amp;HEIGHT=450&amp;WIDTH=450&amp;START_MAXIMIZED=","FALSE&amp;VAR:CALENDAR=FIVEDAY&amp;VAR:SYMBOL=0&amp;VAR:INDEX=0"}</definedName>
    <definedName name="_533__FDSAUDITLINK___1" hidden="1">{"fdsup://directions/FAT Viewer?action=UPDATE&amp;creator=factset&amp;DYN_ARGS=TRUE&amp;DOC_NAME=FAT:FQL_AUDITING_CLIENT_TEMPLATE.FAT&amp;display_string=Audit&amp;VAR:KEY=EFYPAVMJAF&amp;VAR:QUERY=RkZfRUJJVF9JQignQU5OJywsLCwp&amp;WINDOW=FIRST_POPUP&amp;HEIGHT=450&amp;WIDTH=450&amp;START_MAXIMIZED=","FALSE&amp;VAR:CALENDAR=FIVEDAY&amp;VAR:SYMBOL=0&amp;VAR:INDEX=0"}</definedName>
    <definedName name="_534__FDSAUDITLINK__" localSheetId="8" hidden="1">{"fdsup://directions/FAT Viewer?action=UPDATE&amp;creator=factset&amp;DYN_ARGS=TRUE&amp;DOC_NAME=FAT:FQL_AUDITING_CLIENT_TEMPLATE.FAT&amp;display_string=Audit&amp;VAR:KEY=EFYPAVMJAF&amp;VAR:QUERY=RkZfRUJJVF9JQignQU5OJywsLCwp&amp;WINDOW=FIRST_POPUP&amp;HEIGHT=450&amp;WIDTH=450&amp;START_MAXIMIZED=","FALSE&amp;VAR:CALENDAR=FIVEDAY&amp;VAR:SYMBOL=0&amp;VAR:INDEX=0"}</definedName>
    <definedName name="_534__FDSAUDITLINK__" hidden="1">{"fdsup://directions/FAT Viewer?action=UPDATE&amp;creator=factset&amp;DYN_ARGS=TRUE&amp;DOC_NAME=FAT:FQL_AUDITING_CLIENT_TEMPLATE.FAT&amp;display_string=Audit&amp;VAR:KEY=ULYJWDMJGL&amp;VAR:QUERY=KEZGX05FVF9JTkMoTFRNLDQxMTEwKUBGRl9ORVRfSU5DKExUTSwwKSk=&amp;WINDOW=FIRST_POPUP&amp;HEIGHT=45","0&amp;WIDTH=450&amp;START_MAXIMIZED=FALSE&amp;VAR:CALENDAR=US&amp;VAR:SYMBOL=450270&amp;VAR:INDEX=0"}</definedName>
    <definedName name="_534__FDSAUDITLINK___1" localSheetId="8" hidden="1">{"fdsup://directions/FAT Viewer?action=UPDATE&amp;creator=factset&amp;DYN_ARGS=TRUE&amp;DOC_NAME=FAT:FQL_AUDITING_CLIENT_TEMPLATE.FAT&amp;display_string=Audit&amp;VAR:KEY=EFYPAVMJAF&amp;VAR:QUERY=RkZfRUJJVF9JQignQU5OJywsLCwp&amp;WINDOW=FIRST_POPUP&amp;HEIGHT=450&amp;WIDTH=450&amp;START_MAXIMIZED=","FALSE&amp;VAR:CALENDAR=FIVEDAY&amp;VAR:SYMBOL=0&amp;VAR:INDEX=0"}</definedName>
    <definedName name="_534__FDSAUDITLINK___1" hidden="1">{"fdsup://directions/FAT Viewer?action=UPDATE&amp;creator=factset&amp;DYN_ARGS=TRUE&amp;DOC_NAME=FAT:FQL_AUDITING_CLIENT_TEMPLATE.FAT&amp;display_string=Audit&amp;VAR:KEY=EFYPAVMJAF&amp;VAR:QUERY=RkZfRUJJVF9JQignQU5OJywsLCwp&amp;WINDOW=FIRST_POPUP&amp;HEIGHT=450&amp;WIDTH=450&amp;START_MAXIMIZED=","FALSE&amp;VAR:CALENDAR=FIVEDAY&amp;VAR:SYMBOL=0&amp;VAR:INDEX=0"}</definedName>
    <definedName name="_535__FDSAUDITLINK__" localSheetId="8" hidden="1">{"fdsup://directions/FAT Viewer?action=UPDATE&amp;creator=factset&amp;DYN_ARGS=TRUE&amp;DOC_NAME=FAT:FQL_AUDITING_CLIENT_TEMPLATE.FAT&amp;display_string=Audit&amp;VAR:KEY=EFYPAVMJAF&amp;VAR:QUERY=RkZfRUJJVF9JQignQU5OJywsLCwp&amp;WINDOW=FIRST_POPUP&amp;HEIGHT=450&amp;WIDTH=450&amp;START_MAXIMIZED=","FALSE&amp;VAR:CALENDAR=FIVEDAY&amp;VAR:SYMBOL=0&amp;VAR:INDEX=0"}</definedName>
    <definedName name="_535__FDSAUDITLINK__" hidden="1">{"fdsup://directions/FAT Viewer?action=UPDATE&amp;creator=factset&amp;DYN_ARGS=TRUE&amp;DOC_NAME=FAT:FQL_AUDITING_CLIENT_TEMPLATE.FAT&amp;display_string=Audit&amp;VAR:KEY=EFYPAVMJAF&amp;VAR:QUERY=RkZfRUJJVF9JQignQU5OJywsLCwp&amp;WINDOW=FIRST_POPUP&amp;HEIGHT=450&amp;WIDTH=450&amp;START_MAXIMIZED=","FALSE&amp;VAR:CALENDAR=FIVEDAY&amp;VAR:SYMBOL=0&amp;VAR:INDEX=0"}</definedName>
    <definedName name="_535__FDSAUDITLINK___1" localSheetId="8" hidden="1">{"fdsup://directions/FAT Viewer?action=UPDATE&amp;creator=factset&amp;DYN_ARGS=TRUE&amp;DOC_NAME=FAT:FQL_AUDITING_CLIENT_TEMPLATE.FAT&amp;display_string=Audit&amp;VAR:KEY=EFYPAVMJAF&amp;VAR:QUERY=RkZfRUJJVF9JQignQU5OJywsLCwp&amp;WINDOW=FIRST_POPUP&amp;HEIGHT=450&amp;WIDTH=450&amp;START_MAXIMIZED=","FALSE&amp;VAR:CALENDAR=FIVEDAY&amp;VAR:SYMBOL=0&amp;VAR:INDEX=0"}</definedName>
    <definedName name="_535__FDSAUDITLINK___1" hidden="1">{"fdsup://directions/FAT Viewer?action=UPDATE&amp;creator=factset&amp;DYN_ARGS=TRUE&amp;DOC_NAME=FAT:FQL_AUDITING_CLIENT_TEMPLATE.FAT&amp;display_string=Audit&amp;VAR:KEY=EFYPAVMJAF&amp;VAR:QUERY=RkZfRUJJVF9JQignQU5OJywsLCwp&amp;WINDOW=FIRST_POPUP&amp;HEIGHT=450&amp;WIDTH=450&amp;START_MAXIMIZED=","FALSE&amp;VAR:CALENDAR=FIVEDAY&amp;VAR:SYMBOL=0&amp;VAR:INDEX=0"}</definedName>
    <definedName name="_536__FDSAUDITLINK__" localSheetId="8" hidden="1">{"fdsup://directions/FAT Viewer?action=UPDATE&amp;creator=factset&amp;DYN_ARGS=TRUE&amp;DOC_NAME=FAT:FQL_AUDITING_CLIENT_TEMPLATE.FAT&amp;display_string=Audit&amp;VAR:KEY=WBSDSLKDGB&amp;VAR:QUERY=RkZfRUJJVERBX0lCKCdBTk4nLCwsLCwp&amp;WINDOW=FIRST_POPUP&amp;HEIGHT=450&amp;WIDTH=450&amp;START_MAXIMI","ZED=FALSE&amp;VAR:CALENDAR=FIVEDAY&amp;VAR:SYMBOL=0&amp;VAR:INDEX=0"}</definedName>
    <definedName name="_536__FDSAUDITLINK__" hidden="1">{"fdsup://directions/FAT Viewer?action=UPDATE&amp;creator=factset&amp;DYN_ARGS=TRUE&amp;DOC_NAME=FAT:FQL_AUDITING_CLIENT_TEMPLATE.FAT&amp;display_string=Audit&amp;VAR:KEY=NOTMTULONM&amp;VAR:QUERY=KEZGX05FVF9JTkMoTFRNLDQxMTEwKUBGRl9ORVRfSU5DKExUTSwwKSk=&amp;WINDOW=FIRST_POPUP&amp;HEIGHT=45","0&amp;WIDTH=450&amp;START_MAXIMIZED=FALSE&amp;VAR:CALENDAR=US&amp;VAR:SYMBOL=VMC&amp;VAR:INDEX=0"}</definedName>
    <definedName name="_536__FDSAUDITLINK___1" localSheetId="8" hidden="1">{"fdsup://directions/FAT Viewer?action=UPDATE&amp;creator=factset&amp;DYN_ARGS=TRUE&amp;DOC_NAME=FAT:FQL_AUDITING_CLIENT_TEMPLATE.FAT&amp;display_string=Audit&amp;VAR:KEY=WBSDSLKDGB&amp;VAR:QUERY=RkZfRUJJVERBX0lCKCdBTk4nLCwsLCwp&amp;WINDOW=FIRST_POPUP&amp;HEIGHT=450&amp;WIDTH=450&amp;START_MAXIMI","ZED=FALSE&amp;VAR:CALENDAR=FIVEDAY&amp;VAR:SYMBOL=0&amp;VAR:INDEX=0"}</definedName>
    <definedName name="_536__FDSAUDITLINK___1" hidden="1">{"fdsup://directions/FAT Viewer?action=UPDATE&amp;creator=factset&amp;DYN_ARGS=TRUE&amp;DOC_NAME=FAT:FQL_AUDITING_CLIENT_TEMPLATE.FAT&amp;display_string=Audit&amp;VAR:KEY=WBSDSLKDGB&amp;VAR:QUERY=RkZfRUJJVERBX0lCKCdBTk4nLCwsLCwp&amp;WINDOW=FIRST_POPUP&amp;HEIGHT=450&amp;WIDTH=450&amp;START_MAXIMI","ZED=FALSE&amp;VAR:CALENDAR=FIVEDAY&amp;VAR:SYMBOL=0&amp;VAR:INDEX=0"}</definedName>
    <definedName name="_537__FDSAUDITLINK__" localSheetId="8" hidden="1">{"fdsup://directions/FAT Viewer?action=UPDATE&amp;creator=factset&amp;DYN_ARGS=TRUE&amp;DOC_NAME=FAT:FQL_AUDITING_CLIENT_TEMPLATE.FAT&amp;display_string=Audit&amp;VAR:KEY=WBSDSLKDGB&amp;VAR:QUERY=RkZfRUJJVERBX0lCKCdBTk4nLCwsLCwp&amp;WINDOW=FIRST_POPUP&amp;HEIGHT=450&amp;WIDTH=450&amp;START_MAXIMI","ZED=FALSE&amp;VAR:CALENDAR=FIVEDAY&amp;VAR:SYMBOL=0&amp;VAR:INDEX=0"}</definedName>
    <definedName name="_537__FDSAUDITLINK__" hidden="1">{"fdsup://directions/FAT Viewer?action=UPDATE&amp;creator=factset&amp;DYN_ARGS=TRUE&amp;DOC_NAME=FAT:FQL_AUDITING_CLIENT_TEMPLATE.FAT&amp;display_string=Audit&amp;VAR:KEY=WBSDSLKDGB&amp;VAR:QUERY=RkZfRUJJVERBX0lCKCdBTk4nLCwsLCwp&amp;WINDOW=FIRST_POPUP&amp;HEIGHT=450&amp;WIDTH=450&amp;START_MAXIMI","ZED=FALSE&amp;VAR:CALENDAR=FIVEDAY&amp;VAR:SYMBOL=0&amp;VAR:INDEX=0"}</definedName>
    <definedName name="_537__FDSAUDITLINK___1" localSheetId="8" hidden="1">{"fdsup://directions/FAT Viewer?action=UPDATE&amp;creator=factset&amp;DYN_ARGS=TRUE&amp;DOC_NAME=FAT:FQL_AUDITING_CLIENT_TEMPLATE.FAT&amp;display_string=Audit&amp;VAR:KEY=WBSDSLKDGB&amp;VAR:QUERY=RkZfRUJJVERBX0lCKCdBTk4nLCwsLCwp&amp;WINDOW=FIRST_POPUP&amp;HEIGHT=450&amp;WIDTH=450&amp;START_MAXIMI","ZED=FALSE&amp;VAR:CALENDAR=FIVEDAY&amp;VAR:SYMBOL=0&amp;VAR:INDEX=0"}</definedName>
    <definedName name="_537__FDSAUDITLINK___1" hidden="1">{"fdsup://directions/FAT Viewer?action=UPDATE&amp;creator=factset&amp;DYN_ARGS=TRUE&amp;DOC_NAME=FAT:FQL_AUDITING_CLIENT_TEMPLATE.FAT&amp;display_string=Audit&amp;VAR:KEY=WBSDSLKDGB&amp;VAR:QUERY=RkZfRUJJVERBX0lCKCdBTk4nLCwsLCwp&amp;WINDOW=FIRST_POPUP&amp;HEIGHT=450&amp;WIDTH=450&amp;START_MAXIMI","ZED=FALSE&amp;VAR:CALENDAR=FIVEDAY&amp;VAR:SYMBOL=0&amp;VAR:INDEX=0"}</definedName>
    <definedName name="_538__FDSAUDITLINK__" localSheetId="8" hidden="1">{"fdsup://directions/FAT Viewer?action=UPDATE&amp;creator=factset&amp;DYN_ARGS=TRUE&amp;DOC_NAME=FAT:FQL_AUDITING_CLIENT_TEMPLATE.FAT&amp;display_string=Audit&amp;VAR:KEY=WBSDSLKDGB&amp;VAR:QUERY=RkZfRUJJVERBX0lCKCdBTk4nLCwsLCwp&amp;WINDOW=FIRST_POPUP&amp;HEIGHT=450&amp;WIDTH=450&amp;START_MAXIMI","ZED=FALSE&amp;VAR:CALENDAR=FIVEDAY&amp;VAR:SYMBOL=0&amp;VAR:INDEX=0"}</definedName>
    <definedName name="_538__FDSAUDITLINK__" hidden="1">{"fdsup://directions/FAT Viewer?action=UPDATE&amp;creator=factset&amp;DYN_ARGS=TRUE&amp;DOC_NAME=FAT:FQL_AUDITING_CLIENT_TEMPLATE.FAT&amp;display_string=Audit&amp;VAR:KEY=HWJEZIVGLY&amp;VAR:QUERY=KEZGX05FVF9JTkMoTFRNLDQxMTEwKUBGRl9ORVRfSU5DKExUTSwwKSk=&amp;WINDOW=FIRST_POPUP&amp;HEIGHT=45","0&amp;WIDTH=450&amp;START_MAXIMIZED=FALSE&amp;VAR:CALENDAR=US&amp;VAR:SYMBOL=TXI&amp;VAR:INDEX=0"}</definedName>
    <definedName name="_538__FDSAUDITLINK___1" localSheetId="8" hidden="1">{"fdsup://directions/FAT Viewer?action=UPDATE&amp;creator=factset&amp;DYN_ARGS=TRUE&amp;DOC_NAME=FAT:FQL_AUDITING_CLIENT_TEMPLATE.FAT&amp;display_string=Audit&amp;VAR:KEY=WBSDSLKDGB&amp;VAR:QUERY=RkZfRUJJVERBX0lCKCdBTk4nLCwsLCwp&amp;WINDOW=FIRST_POPUP&amp;HEIGHT=450&amp;WIDTH=450&amp;START_MAXIMI","ZED=FALSE&amp;VAR:CALENDAR=FIVEDAY&amp;VAR:SYMBOL=0&amp;VAR:INDEX=0"}</definedName>
    <definedName name="_538__FDSAUDITLINK___1" hidden="1">{"fdsup://directions/FAT Viewer?action=UPDATE&amp;creator=factset&amp;DYN_ARGS=TRUE&amp;DOC_NAME=FAT:FQL_AUDITING_CLIENT_TEMPLATE.FAT&amp;display_string=Audit&amp;VAR:KEY=WBSDSLKDGB&amp;VAR:QUERY=RkZfRUJJVERBX0lCKCdBTk4nLCwsLCwp&amp;WINDOW=FIRST_POPUP&amp;HEIGHT=450&amp;WIDTH=450&amp;START_MAXIMI","ZED=FALSE&amp;VAR:CALENDAR=FIVEDAY&amp;VAR:SYMBOL=0&amp;VAR:INDEX=0"}</definedName>
    <definedName name="_539__FDSAUDITLINK__" localSheetId="8" hidden="1">{"fdsup://directions/FAT Viewer?action=UPDATE&amp;creator=factset&amp;DYN_ARGS=TRUE&amp;DOC_NAME=FAT:FQL_AUDITING_CLIENT_TEMPLATE.FAT&amp;display_string=Audit&amp;VAR:KEY=CZAFGLATWH&amp;VAR:QUERY=RkZfRUJJVF9PUEVSKEFOTiwyMDEwKQ==&amp;WINDOW=FIRST_POPUP&amp;HEIGHT=450&amp;WIDTH=450&amp;START_MAXIMI","ZED=FALSE&amp;VAR:CALENDAR=FIVEDAY&amp;VAR:SYMBOL=B5KKT9&amp;VAR:INDEX=0"}</definedName>
    <definedName name="_539__FDSAUDITLINK__" hidden="1">{"fdsup://directions/FAT Viewer?action=UPDATE&amp;creator=factset&amp;DYN_ARGS=TRUE&amp;DOC_NAME=FAT:FQL_AUDITING_CLIENT_TEMPLATE.FAT&amp;display_string=Audit&amp;VAR:KEY=CZAFGLATWH&amp;VAR:QUERY=RkZfRUJJVF9PUEVSKEFOTiwyMDEwKQ==&amp;WINDOW=FIRST_POPUP&amp;HEIGHT=450&amp;WIDTH=450&amp;START_MAXIMI","ZED=FALSE&amp;VAR:CALENDAR=FIVEDAY&amp;VAR:SYMBOL=B5KKT9&amp;VAR:INDEX=0"}</definedName>
    <definedName name="_539__FDSAUDITLINK___1" localSheetId="8" hidden="1">{"fdsup://directions/FAT Viewer?action=UPDATE&amp;creator=factset&amp;DYN_ARGS=TRUE&amp;DOC_NAME=FAT:FQL_AUDITING_CLIENT_TEMPLATE.FAT&amp;display_string=Audit&amp;VAR:KEY=CZAFGLATWH&amp;VAR:QUERY=RkZfRUJJVF9PUEVSKEFOTiwyMDEwKQ==&amp;WINDOW=FIRST_POPUP&amp;HEIGHT=450&amp;WIDTH=450&amp;START_MAXIMI","ZED=FALSE&amp;VAR:CALENDAR=FIVEDAY&amp;VAR:SYMBOL=B5KKT9&amp;VAR:INDEX=0"}</definedName>
    <definedName name="_539__FDSAUDITLINK___1" hidden="1">{"fdsup://directions/FAT Viewer?action=UPDATE&amp;creator=factset&amp;DYN_ARGS=TRUE&amp;DOC_NAME=FAT:FQL_AUDITING_CLIENT_TEMPLATE.FAT&amp;display_string=Audit&amp;VAR:KEY=CZAFGLATWH&amp;VAR:QUERY=RkZfRUJJVF9PUEVSKEFOTiwyMDEwKQ==&amp;WINDOW=FIRST_POPUP&amp;HEIGHT=450&amp;WIDTH=450&amp;START_MAXIMI","ZED=FALSE&amp;VAR:CALENDAR=FIVEDAY&amp;VAR:SYMBOL=B5KKT9&amp;VAR:INDEX=0"}</definedName>
    <definedName name="_54__123Graph_BCHART_19" hidden="1">#REF!</definedName>
    <definedName name="_54__123Graph_CCHART_17" localSheetId="8" hidden="1">#REF!</definedName>
    <definedName name="_54__123Graph_CCHART_17" hidden="1">#REF!</definedName>
    <definedName name="_54__123Graph_LBL_ACHART_16" hidden="1">#REF!</definedName>
    <definedName name="_54__FDSAUDITLINK__" localSheetId="8" hidden="1">{"fdsup://directions/FAT Viewer?action=UPDATE&amp;creator=factset&amp;DYN_ARGS=TRUE&amp;DOC_NAME=FAT:FQL_AUDITING_CLIENT_TEMPLATE.FAT&amp;display_string=Audit&amp;VAR:KEY=UZSFMTUBOV&amp;VAR:QUERY=RkZfRUJJVERBX0lCKEFOTiwzODM1MiwsLCxFVVIp&amp;WINDOW=FIRST_POPUP&amp;HEIGHT=450&amp;WIDTH=450&amp;STAR","T_MAXIMIZED=FALSE&amp;VAR:CALENDAR=FIVEDAY&amp;VAR:SYMBOL=591344&amp;VAR:INDEX=0"}</definedName>
    <definedName name="_54__FDSAUDITLINK__" hidden="1">{"fdsup://directions/FAT Viewer?action=UPDATE&amp;creator=factset&amp;DYN_ARGS=TRUE&amp;DOC_NAME=FAT:FQL_AUDITING_CLIENT_TEMPLATE.FAT&amp;display_string=Audit&amp;VAR:KEY=YLEXSXMLQN&amp;VAR:QUERY=RkZfRUJJVERBX09QRVIoQ0FMLDIwMTAp&amp;WINDOW=FIRST_POPUP&amp;HEIGHT=450&amp;WIDTH=450&amp;START_MAXIMI","ZED=FALSE&amp;VAR:CALENDAR=US&amp;VAR:SYMBOL=TXI&amp;VAR:INDEX=0"}</definedName>
    <definedName name="_54__FDSAUDITLINK___1" localSheetId="8" hidden="1">{"fdsup://directions/FAT Viewer?action=UPDATE&amp;creator=factset&amp;DYN_ARGS=TRUE&amp;DOC_NAME=FAT:FQL_AUDITING_CLIENT_TEMPLATE.FAT&amp;display_string=Audit&amp;VAR:KEY=UZSFMTUBOV&amp;VAR:QUERY=RkZfRUJJVERBX0lCKEFOTiwzODM1MiwsLCxFVVIp&amp;WINDOW=FIRST_POPUP&amp;HEIGHT=450&amp;WIDTH=450&amp;STAR","T_MAXIMIZED=FALSE&amp;VAR:CALENDAR=FIVEDAY&amp;VAR:SYMBOL=591344&amp;VAR:INDEX=0"}</definedName>
    <definedName name="_54__FDSAUDITLINK___1" hidden="1">{"fdsup://directions/FAT Viewer?action=UPDATE&amp;creator=factset&amp;DYN_ARGS=TRUE&amp;DOC_NAME=FAT:FQL_AUDITING_CLIENT_TEMPLATE.FAT&amp;display_string=Audit&amp;VAR:KEY=UZSFMTUBOV&amp;VAR:QUERY=RkZfRUJJVERBX0lCKEFOTiwzODM1MiwsLCxFVVIp&amp;WINDOW=FIRST_POPUP&amp;HEIGHT=450&amp;WIDTH=450&amp;STAR","T_MAXIMIZED=FALSE&amp;VAR:CALENDAR=FIVEDAY&amp;VAR:SYMBOL=591344&amp;VAR:INDEX=0"}</definedName>
    <definedName name="_540__FDSAUDITLINK__" localSheetId="8" hidden="1">{"fdsup://directions/FAT Viewer?action=UPDATE&amp;creator=factset&amp;DYN_ARGS=TRUE&amp;DOC_NAME=FAT:FQL_AUDITING_CLIENT_TEMPLATE.FAT&amp;display_string=Audit&amp;VAR:KEY=VOVGVALUJA&amp;VAR:QUERY=RkZfRUJJVF9PUEVSKEFOTiwyMDA5KQ==&amp;WINDOW=FIRST_POPUP&amp;HEIGHT=450&amp;WIDTH=450&amp;START_MAXIMI","ZED=FALSE&amp;VAR:CALENDAR=FIVEDAY&amp;VAR:SYMBOL=B5KKT9&amp;VAR:INDEX=0"}</definedName>
    <definedName name="_540__FDSAUDITLINK__" hidden="1">{"fdsup://directions/FAT Viewer?action=UPDATE&amp;creator=factset&amp;DYN_ARGS=TRUE&amp;DOC_NAME=FAT:FQL_AUDITING_CLIENT_TEMPLATE.FAT&amp;display_string=Audit&amp;VAR:KEY=XUPCNCVQJS&amp;VAR:QUERY=KEZGX05FVF9JTkMoTFRNLDQxMTEwKUBGRl9ORVRfSU5DKExUTSwwKSk=&amp;WINDOW=FIRST_POPUP&amp;HEIGHT=45","0&amp;WIDTH=450&amp;START_MAXIMIZED=FALSE&amp;VAR:CALENDAR=US&amp;VAR:SYMBOL=MLM&amp;VAR:INDEX=0"}</definedName>
    <definedName name="_540__FDSAUDITLINK___1" localSheetId="8" hidden="1">{"fdsup://directions/FAT Viewer?action=UPDATE&amp;creator=factset&amp;DYN_ARGS=TRUE&amp;DOC_NAME=FAT:FQL_AUDITING_CLIENT_TEMPLATE.FAT&amp;display_string=Audit&amp;VAR:KEY=VOVGVALUJA&amp;VAR:QUERY=RkZfRUJJVF9PUEVSKEFOTiwyMDA5KQ==&amp;WINDOW=FIRST_POPUP&amp;HEIGHT=450&amp;WIDTH=450&amp;START_MAXIMI","ZED=FALSE&amp;VAR:CALENDAR=FIVEDAY&amp;VAR:SYMBOL=B5KKT9&amp;VAR:INDEX=0"}</definedName>
    <definedName name="_540__FDSAUDITLINK___1" hidden="1">{"fdsup://directions/FAT Viewer?action=UPDATE&amp;creator=factset&amp;DYN_ARGS=TRUE&amp;DOC_NAME=FAT:FQL_AUDITING_CLIENT_TEMPLATE.FAT&amp;display_string=Audit&amp;VAR:KEY=VOVGVALUJA&amp;VAR:QUERY=RkZfRUJJVF9PUEVSKEFOTiwyMDA5KQ==&amp;WINDOW=FIRST_POPUP&amp;HEIGHT=450&amp;WIDTH=450&amp;START_MAXIMI","ZED=FALSE&amp;VAR:CALENDAR=FIVEDAY&amp;VAR:SYMBOL=B5KKT9&amp;VAR:INDEX=0"}</definedName>
    <definedName name="_541__FDSAUDITLINK__" localSheetId="8" hidden="1">{"fdsup://directions/FAT Viewer?action=UPDATE&amp;creator=factset&amp;DYN_ARGS=TRUE&amp;DOC_NAME=FAT:FQL_AUDITING_CLIENT_TEMPLATE.FAT&amp;display_string=Audit&amp;VAR:KEY=MNUPGVQRYB&amp;VAR:QUERY=RkZfRUJJVF9PUEVSKEFOTiwyMDA4KQ==&amp;WINDOW=FIRST_POPUP&amp;HEIGHT=450&amp;WIDTH=450&amp;START_MAXIMI","ZED=FALSE&amp;VAR:CALENDAR=FIVEDAY&amp;VAR:SYMBOL=B5KKT9&amp;VAR:INDEX=0"}</definedName>
    <definedName name="_541__FDSAUDITLINK__" hidden="1">{"fdsup://directions/FAT Viewer?action=UPDATE&amp;creator=factset&amp;DYN_ARGS=TRUE&amp;DOC_NAME=FAT:FQL_AUDITING_CLIENT_TEMPLATE.FAT&amp;display_string=Audit&amp;VAR:KEY=MNUPGVQRYB&amp;VAR:QUERY=RkZfRUJJVF9PUEVSKEFOTiwyMDA4KQ==&amp;WINDOW=FIRST_POPUP&amp;HEIGHT=450&amp;WIDTH=450&amp;START_MAXIMI","ZED=FALSE&amp;VAR:CALENDAR=FIVEDAY&amp;VAR:SYMBOL=B5KKT9&amp;VAR:INDEX=0"}</definedName>
    <definedName name="_541__FDSAUDITLINK___1" localSheetId="8" hidden="1">{"fdsup://directions/FAT Viewer?action=UPDATE&amp;creator=factset&amp;DYN_ARGS=TRUE&amp;DOC_NAME=FAT:FQL_AUDITING_CLIENT_TEMPLATE.FAT&amp;display_string=Audit&amp;VAR:KEY=MNUPGVQRYB&amp;VAR:QUERY=RkZfRUJJVF9PUEVSKEFOTiwyMDA4KQ==&amp;WINDOW=FIRST_POPUP&amp;HEIGHT=450&amp;WIDTH=450&amp;START_MAXIMI","ZED=FALSE&amp;VAR:CALENDAR=FIVEDAY&amp;VAR:SYMBOL=B5KKT9&amp;VAR:INDEX=0"}</definedName>
    <definedName name="_541__FDSAUDITLINK___1" hidden="1">{"fdsup://directions/FAT Viewer?action=UPDATE&amp;creator=factset&amp;DYN_ARGS=TRUE&amp;DOC_NAME=FAT:FQL_AUDITING_CLIENT_TEMPLATE.FAT&amp;display_string=Audit&amp;VAR:KEY=MNUPGVQRYB&amp;VAR:QUERY=RkZfRUJJVF9PUEVSKEFOTiwyMDA4KQ==&amp;WINDOW=FIRST_POPUP&amp;HEIGHT=450&amp;WIDTH=450&amp;START_MAXIMI","ZED=FALSE&amp;VAR:CALENDAR=FIVEDAY&amp;VAR:SYMBOL=B5KKT9&amp;VAR:INDEX=0"}</definedName>
    <definedName name="_542__FDSAUDITLINK__" localSheetId="8" hidden="1">{"fdsup://IBCentral/FAT Viewer?action=UPDATE&amp;creator=factset&amp;DOC_NAME=fat:reuters_qtrly_source_window.fat&amp;display_string=Audit&amp;DYN_ARGS=TRUE&amp;VAR:ID1=221353&amp;VAR:RCODE=SCSI&amp;VAR:SDATE=20041299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542__FDSAUDITLINK__" hidden="1">{"fdsup://directions/FAT Viewer?action=UPDATE&amp;creator=factset&amp;DYN_ARGS=TRUE&amp;DOC_NAME=FAT:FQL_AUDITING_CLIENT_TEMPLATE.FAT&amp;display_string=Audit&amp;VAR:KEY=LMZUVCDCJQ&amp;VAR:QUERY=KEZGX0VCSVRfT1BFUihMVE0sNDExMTApQEZGX0VCSVRfT1BFUihMVE0sMCkp&amp;WINDOW=FIRST_POPUP&amp;HEIGH","T=450&amp;WIDTH=450&amp;START_MAXIMIZED=FALSE&amp;VAR:CALENDAR=US&amp;VAR:SYMBOL=711075&amp;VAR:INDEX=0"}</definedName>
    <definedName name="_543__FDSAUDITLINK__" localSheetId="8" hidden="1">{"fdsup://IBCentral/FAT Viewer?action=UPDATE&amp;creator=factset&amp;DOC_NAME=fat:reuters_annual_source_window.fat&amp;display_string=Audit&amp;DYN_ARGS=TRUE&amp;VAR:ID1=221353&amp;VAR:RCODE=FDSPFDSTKTOTAL&amp;VAR:SDATE=20041299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543__FDSAUDITLINK__" hidden="1">{"fdsup://directions/FAT Viewer?action=UPDATE&amp;creator=factset&amp;DYN_ARGS=TRUE&amp;DOC_NAME=FAT:FQL_AUDITING_CLIENT_TEMPLATE.FAT&amp;display_string=Audit&amp;VAR:KEY=IFGTATKJIH&amp;VAR:QUERY=KEZGX0VCSVRfT1BFUihMVE0sNDExMTApQEZGX0VCSVRfT1BFUihMVE0sMCkp&amp;WINDOW=FIRST_POPUP&amp;HEIGH","T=450&amp;WIDTH=450&amp;START_MAXIMIZED=FALSE&amp;VAR:CALENDAR=US&amp;VAR:SYMBOL=CX&amp;VAR:INDEX=0"}</definedName>
    <definedName name="_544__FDSAUDITLINK__" localSheetId="8" hidden="1">{"fdsup://IBCentral/FAT Viewer?action=UPDATE&amp;creator=factset&amp;DOC_NAME=fat:reuters_annual_source_window.fat&amp;display_string=Audit&amp;DYN_ARGS=TRUE&amp;VAR:ID1=221353&amp;VAR:RCODE=AEQI&amp;VAR:SDATE=20041299&amp;VAR:FREQ=Y&amp;VAR:RELITEM=RP&amp;VAR:CURRENCY=USD&amp;VAR:CURRSOURCE=EXSHARE&amp;","VAR:NATFREQ=ANNUAL&amp;VAR:RFIELD=FINALIZED&amp;VAR:DB_TYPE=&amp;VAR:UNITS=M&amp;window=popup&amp;width=450&amp;height=300&amp;START_MAXIMIZED=FALSE"}</definedName>
    <definedName name="_544__FDSAUDITLINK__" hidden="1">{"fdsup://directions/FAT Viewer?action=UPDATE&amp;creator=factset&amp;DYN_ARGS=TRUE&amp;DOC_NAME=FAT:FQL_AUDITING_CLIENT_TEMPLATE.FAT&amp;display_string=Audit&amp;VAR:KEY=ONKRETQNMV&amp;VAR:QUERY=KEZGX0VCSVRfT1BFUihMVE0sNDExMTApQEZGX0VCSVRfT1BFUihMVE0sMCkp&amp;WINDOW=FIRST_POPUP&amp;HEIGH","T=450&amp;WIDTH=450&amp;START_MAXIMIZED=FALSE&amp;VAR:CALENDAR=US&amp;VAR:SYMBOL=450270&amp;VAR:INDEX=0"}</definedName>
    <definedName name="_545__FDSAUDITLINK__" localSheetId="8" hidden="1">{"fdsup://IBCentral/FAT Viewer?action=UPDATE&amp;creator=factset&amp;DOC_NAME=fat:reuters_annual_source_window.fat&amp;display_string=Audit&amp;DYN_ARGS=TRUE&amp;VAR:ID1=221353&amp;VAR:RCODE=LMIN&amp;VAR:SDATE=20041299&amp;VAR:FREQ=Y&amp;VAR:RELITEM=RP&amp;VAR:CURRENCY=USD&amp;VAR:CURRSOURCE=EXSHARE&amp;","VAR:NATFREQ=ANNUAL&amp;VAR:RFIELD=FINALIZED&amp;VAR:DB_TYPE=&amp;VAR:UNITS=M&amp;window=popup&amp;width=450&amp;height=300&amp;START_MAXIMIZED=FALSE"}</definedName>
    <definedName name="_545__FDSAUDITLINK__" hidden="1">{"fdsup://IBCentral/FAT Viewer?action=UPDATE&amp;creator=factset&amp;DOC_NAME=fat:reuters_annual_source_window.fat&amp;display_string=Audit&amp;DYN_ARGS=TRUE&amp;VAR:ID1=221353&amp;VAR:RCODE=LMIN&amp;VAR:SDATE=20041299&amp;VAR:FREQ=Y&amp;VAR:RELITEM=RP&amp;VAR:CURRENCY=USD&amp;VAR:CURRSOURCE=EXSHARE&amp;","VAR:NATFREQ=ANNUAL&amp;VAR:RFIELD=FINALIZED&amp;VAR:DB_TYPE=&amp;VAR:UNITS=M&amp;window=popup&amp;width=450&amp;height=300&amp;START_MAXIMIZED=FALSE"}</definedName>
    <definedName name="_546__FDSAUDITLINK__" localSheetId="8" hidden="1">{"fdsup://IBCentral/FAT Viewer?action=UPDATE&amp;creator=factset&amp;DOC_NAME=fat:reuters_qtrly_source_window.fat&amp;display_string=Audit&amp;DYN_ARGS=TRUE&amp;VAR:ID1=221353&amp;VAR:RCODE=STLD&amp;VAR:SDATE=20041299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546__FDSAUDITLINK__" hidden="1">{"fdsup://directions/FAT Viewer?action=UPDATE&amp;creator=factset&amp;DYN_ARGS=TRUE&amp;DOC_NAME=FAT:FQL_AUDITING_CLIENT_TEMPLATE.FAT&amp;display_string=Audit&amp;VAR:KEY=HEBMJYRQPC&amp;VAR:QUERY=KEZGX0VCSVRfT1BFUihMVE0sNDExMTApQEZGX0VCSVRfT1BFUihMVE0sMCkp&amp;WINDOW=FIRST_POPUP&amp;HEIGH","T=450&amp;WIDTH=450&amp;START_MAXIMIZED=FALSE&amp;VAR:CALENDAR=US&amp;VAR:SYMBOL=VMC&amp;VAR:INDEX=0"}</definedName>
    <definedName name="_547__FDSAUDITLINK__" localSheetId="8" hidden="1">{"fdsup://IBCentral/FAT Viewer?action=UPDATE&amp;creator=factset&amp;DOC_NAME=fat:reuters_qtrly_source_window.fat&amp;display_string=Audit&amp;DYN_ARGS=TRUE&amp;VAR:ID1=221353&amp;VAR:RCODE=SCSI&amp;VAR:SDATE=20041299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547__FDSAUDITLINK__" hidden="1">{"fdsup://IBCentral/FAT Viewer?action=UPDATE&amp;creator=factset&amp;DOC_NAME=fat:reuters_qtrly_source_window.fat&amp;display_string=Audit&amp;DYN_ARGS=TRUE&amp;VAR:ID1=221353&amp;VAR:RCODE=SCSI&amp;VAR:SDATE=20041299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548__FDSAUDITLINK__" localSheetId="8" hidden="1">{"fdsup://IBCentral/FAT Viewer?action=UPDATE&amp;creator=factset&amp;DOC_NAME=fat:reuters_annual_source_window.fat&amp;display_string=Audit&amp;DYN_ARGS=TRUE&amp;VAR:ID1=221353&amp;VAR:RCODE=FDSPFDSTKTOTAL&amp;VAR:SDATE=20041299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548__FDSAUDITLINK__" hidden="1">{"fdsup://directions/FAT Viewer?action=UPDATE&amp;creator=factset&amp;DYN_ARGS=TRUE&amp;DOC_NAME=FAT:FQL_AUDITING_CLIENT_TEMPLATE.FAT&amp;display_string=Audit&amp;VAR:KEY=DKRGBCHWFK&amp;VAR:QUERY=KEZGX0VCSVRfT1BFUihMVE0sNDExMTApQEZGX0VCSVRfT1BFUihMVE0sMCkp&amp;WINDOW=FIRST_POPUP&amp;HEIGH","T=450&amp;WIDTH=450&amp;START_MAXIMIZED=FALSE&amp;VAR:CALENDAR=US&amp;VAR:SYMBOL=TXI&amp;VAR:INDEX=0"}</definedName>
    <definedName name="_549__FDSAUDITLINK__" localSheetId="8" hidden="1">{"fdsup://IBCentral/FAT Viewer?action=UPDATE&amp;creator=factset&amp;DOC_NAME=fat:reuters_annual_source_window.fat&amp;display_string=Audit&amp;DYN_ARGS=TRUE&amp;VAR:ID1=221353&amp;VAR:RCODE=AEQI&amp;VAR:SDATE=20041299&amp;VAR:FREQ=Y&amp;VAR:RELITEM=RP&amp;VAR:CURRENCY=USD&amp;VAR:CURRSOURCE=EXSHARE&amp;","VAR:NATFREQ=ANNUAL&amp;VAR:RFIELD=FINALIZED&amp;VAR:DB_TYPE=&amp;VAR:UNITS=M&amp;window=popup&amp;width=450&amp;height=300&amp;START_MAXIMIZED=FALSE"}</definedName>
    <definedName name="_549__FDSAUDITLINK__" hidden="1">{"fdsup://IBCentral/FAT Viewer?action=UPDATE&amp;creator=factset&amp;DOC_NAME=fat:reuters_annual_source_window.fat&amp;display_string=Audit&amp;DYN_ARGS=TRUE&amp;VAR:ID1=221353&amp;VAR:RCODE=AEQI&amp;VAR:SDATE=20041299&amp;VAR:FREQ=Y&amp;VAR:RELITEM=RP&amp;VAR:CURRENCY=USD&amp;VAR:CURRSOURCE=EXSHARE&amp;","VAR:NATFREQ=ANNUAL&amp;VAR:RFIELD=FINALIZED&amp;VAR:DB_TYPE=&amp;VAR:UNITS=M&amp;window=popup&amp;width=450&amp;height=300&amp;START_MAXIMIZED=FALSE"}</definedName>
    <definedName name="_55__123Graph_BCHART_2" hidden="1">#REF!</definedName>
    <definedName name="_55__123Graph_CCHART_18" localSheetId="8" hidden="1">#REF!</definedName>
    <definedName name="_55__123Graph_CCHART_18" hidden="1">#REF!</definedName>
    <definedName name="_55__123Graph_LBL_ACHART_19" hidden="1">#REF!</definedName>
    <definedName name="_55__FDSAUDITLINK__" localSheetId="8" hidden="1">{"fdsup://directions/FAT Viewer?action=UPDATE&amp;creator=factset&amp;DYN_ARGS=TRUE&amp;DOC_NAME=FAT:FQL_AUDITING_CLIENT_TEMPLATE.FAT&amp;display_string=Audit&amp;VAR:KEY=GTIPIFKNGX&amp;VAR:QUERY=RkZfRUJJVERBX0lCKEFOTiwzNzk4NiwsLCxFVVIp&amp;WINDOW=FIRST_POPUP&amp;HEIGHT=450&amp;WIDTH=450&amp;STAR","T_MAXIMIZED=FALSE&amp;VAR:CALENDAR=FIVEDAY&amp;VAR:SYMBOL=591344&amp;VAR:INDEX=0"}</definedName>
    <definedName name="_55__FDSAUDITLINK__" hidden="1">{"fdsup://directions/FAT Viewer?action=UPDATE&amp;creator=factset&amp;DYN_ARGS=TRUE&amp;DOC_NAME=FAT:FQL_AUDITING_CLIENT_TEMPLATE.FAT&amp;display_string=Audit&amp;VAR:KEY=WFGRMFSNWZ&amp;VAR:QUERY=RkZfRUJJVERBX09QRVIoQ0FMLDIwMTAp&amp;WINDOW=FIRST_POPUP&amp;HEIGHT=450&amp;WIDTH=450&amp;START_MAXIMI","ZED=FALSE&amp;VAR:CALENDAR=US&amp;VAR:SYMBOL=USCR&amp;VAR:INDEX=0"}</definedName>
    <definedName name="_55__FDSAUDITLINK___1" localSheetId="8" hidden="1">{"fdsup://directions/FAT Viewer?action=UPDATE&amp;creator=factset&amp;DYN_ARGS=TRUE&amp;DOC_NAME=FAT:FQL_AUDITING_CLIENT_TEMPLATE.FAT&amp;display_string=Audit&amp;VAR:KEY=GTIPIFKNGX&amp;VAR:QUERY=RkZfRUJJVERBX0lCKEFOTiwzNzk4NiwsLCxFVVIp&amp;WINDOW=FIRST_POPUP&amp;HEIGHT=450&amp;WIDTH=450&amp;STAR","T_MAXIMIZED=FALSE&amp;VAR:CALENDAR=FIVEDAY&amp;VAR:SYMBOL=591344&amp;VAR:INDEX=0"}</definedName>
    <definedName name="_55__FDSAUDITLINK___1" hidden="1">{"fdsup://directions/FAT Viewer?action=UPDATE&amp;creator=factset&amp;DYN_ARGS=TRUE&amp;DOC_NAME=FAT:FQL_AUDITING_CLIENT_TEMPLATE.FAT&amp;display_string=Audit&amp;VAR:KEY=GTIPIFKNGX&amp;VAR:QUERY=RkZfRUJJVERBX0lCKEFOTiwzNzk4NiwsLCxFVVIp&amp;WINDOW=FIRST_POPUP&amp;HEIGHT=450&amp;WIDTH=450&amp;STAR","T_MAXIMIZED=FALSE&amp;VAR:CALENDAR=FIVEDAY&amp;VAR:SYMBOL=591344&amp;VAR:INDEX=0"}</definedName>
    <definedName name="_550__FDSAUDITLINK__" localSheetId="8" hidden="1">{"fdsup://IBCentral/FAT Viewer?action=UPDATE&amp;creator=factset&amp;DOC_NAME=fat:reuters_annual_source_window.fat&amp;display_string=Audit&amp;DYN_ARGS=TRUE&amp;VAR:ID1=221353&amp;VAR:RCODE=LMIN&amp;VAR:SDATE=20041299&amp;VAR:FREQ=Y&amp;VAR:RELITEM=RP&amp;VAR:CURRENCY=USD&amp;VAR:CURRSOURCE=EXSHARE&amp;","VAR:NATFREQ=ANNUAL&amp;VAR:RFIELD=FINALIZED&amp;VAR:DB_TYPE=&amp;VAR:UNITS=M&amp;window=popup&amp;width=450&amp;height=300&amp;START_MAXIMIZED=FALSE"}</definedName>
    <definedName name="_550__FDSAUDITLINK__" hidden="1">{"fdsup://directions/FAT Viewer?action=UPDATE&amp;creator=factset&amp;DYN_ARGS=TRUE&amp;DOC_NAME=FAT:FQL_AUDITING_CLIENT_TEMPLATE.FAT&amp;display_string=Audit&amp;VAR:KEY=BARGDWRCXS&amp;VAR:QUERY=KEZGX0VCSVRfT1BFUihMVE0sNDExMTApQEZGX0VCSVRfT1BFUihMVE0sMCkp&amp;WINDOW=FIRST_POPUP&amp;HEIGH","T=450&amp;WIDTH=450&amp;START_MAXIMIZED=FALSE&amp;VAR:CALENDAR=US&amp;VAR:SYMBOL=MLM&amp;VAR:INDEX=0"}</definedName>
    <definedName name="_551__FDSAUDITLINK__" localSheetId="8" hidden="1">{"fdsup://IBCentral/FAT Viewer?action=UPDATE&amp;creator=factset&amp;DOC_NAME=fat:reuters_qtrly_source_window.fat&amp;display_string=Audit&amp;DYN_ARGS=TRUE&amp;VAR:ID1=221353&amp;VAR:RCODE=STLD&amp;VAR:SDATE=20041299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551__FDSAUDITLINK__" hidden="1">{"fdsup://IBCentral/FAT Viewer?action=UPDATE&amp;creator=factset&amp;DOC_NAME=fat:reuters_qtrly_source_window.fat&amp;display_string=Audit&amp;DYN_ARGS=TRUE&amp;VAR:ID1=221353&amp;VAR:RCODE=STLD&amp;VAR:SDATE=20041299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552__FDSAUDITLINK__" localSheetId="8" hidden="1">{"fdsup://IBCentral/FAT Viewer?action=UPDATE&amp;creator=factset&amp;DOC_NAME=fat:reuters_qtrly_source_window.fat&amp;display_string=Audit&amp;DYN_ARGS=TRUE&amp;VAR:ID1=221353&amp;VAR:RCODE=SCSI&amp;VAR:SDATE=20041299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552__FDSAUDITLINK__" hidden="1">{"fdsup://directions/FAT Viewer?action=UPDATE&amp;creator=factset&amp;DYN_ARGS=TRUE&amp;DOC_NAME=FAT:FQL_AUDITING_CLIENT_TEMPLATE.FAT&amp;display_string=Audit&amp;VAR:KEY=LYXMJOVIVI&amp;VAR:QUERY=KEZGX0VCSVREQV9PUEVSKExUTSw0MTExMClARkZfRUJJVERBX09QRVIoTFRNLDApKQ==&amp;WINDOW=FIRST_POP","UP&amp;HEIGHT=450&amp;WIDTH=450&amp;START_MAXIMIZED=FALSE&amp;VAR:CALENDAR=US&amp;VAR:SYMBOL=711075&amp;VAR:INDEX=0"}</definedName>
    <definedName name="_553__FDSAUDITLINK__" localSheetId="8" hidden="1">{"fdsup://Directions/FactSet Auditing Viewer?action=AUDIT_VALUE&amp;DB=129&amp;ID1=B61G9L&amp;VALUEID=01001&amp;SDATE=2010&amp;PERIODTYPE=ANN_STD&amp;SCFT=3&amp;window=popup_no_bar&amp;width=385&amp;height=120&amp;START_MAXIMIZED=FALSE&amp;creator=factset&amp;display_string=Audit"}</definedName>
    <definedName name="_553__FDSAUDITLINK__" hidden="1">{"fdsup://directions/FAT Viewer?action=UPDATE&amp;creator=factset&amp;DYN_ARGS=TRUE&amp;DOC_NAME=FAT:FQL_AUDITING_CLIENT_TEMPLATE.FAT&amp;display_string=Audit&amp;VAR:KEY=SBGJWLORYL&amp;VAR:QUERY=KEZGX0VCSVREQV9PUEVSKExUTSw0MTExMClARkZfRUJJVERBX09QRVIoTFRNLDApKQ==&amp;WINDOW=FIRST_POP","UP&amp;HEIGHT=450&amp;WIDTH=450&amp;START_MAXIMIZED=FALSE&amp;VAR:CALENDAR=US&amp;VAR:SYMBOL=CX&amp;VAR:INDEX=0"}</definedName>
    <definedName name="_553__FDSAUDITLINK___1" localSheetId="8" hidden="1">{"fdsup://Directions/FactSet Auditing Viewer?action=AUDIT_VALUE&amp;DB=129&amp;ID1=B61G9L&amp;VALUEID=01001&amp;SDATE=2010&amp;PERIODTYPE=ANN_STD&amp;SCFT=3&amp;window=popup_no_bar&amp;width=385&amp;height=120&amp;START_MAXIMIZED=FALSE&amp;creator=factset&amp;display_string=Audit"}</definedName>
    <definedName name="_553__FDSAUDITLINK___1" hidden="1">{"fdsup://Directions/FactSet Auditing Viewer?action=AUDIT_VALUE&amp;DB=129&amp;ID1=B61G9L&amp;VALUEID=01001&amp;SDATE=2010&amp;PERIODTYPE=ANN_STD&amp;SCFT=3&amp;window=popup_no_bar&amp;width=385&amp;height=120&amp;START_MAXIMIZED=FALSE&amp;creator=factset&amp;display_string=Audit"}</definedName>
    <definedName name="_554__FDSAUDITLINK__" localSheetId="8" hidden="1">{"fdsup://Directions/FactSet Auditing Viewer?action=AUDIT_VALUE&amp;DB=129&amp;ID1=B61G9L&amp;VALUEID=01001&amp;SDATE=2009&amp;PERIODTYPE=ANN_STD&amp;SCFT=3&amp;window=popup_no_bar&amp;width=385&amp;height=120&amp;START_MAXIMIZED=FALSE&amp;creator=factset&amp;display_string=Audit"}</definedName>
    <definedName name="_554__FDSAUDITLINK__" hidden="1">{"fdsup://directions/FAT Viewer?action=UPDATE&amp;creator=factset&amp;DYN_ARGS=TRUE&amp;DOC_NAME=FAT:FQL_AUDITING_CLIENT_TEMPLATE.FAT&amp;display_string=Audit&amp;VAR:KEY=KPKBCRSXEZ&amp;VAR:QUERY=KEZGX0VCSVREQV9PUEVSKExUTSw0MTExMClARkZfRUJJVERBX09QRVIoTFRNLDApKQ==&amp;WINDOW=FIRST_POP","UP&amp;HEIGHT=450&amp;WIDTH=450&amp;START_MAXIMIZED=FALSE&amp;VAR:CALENDAR=US&amp;VAR:SYMBOL=450270&amp;VAR:INDEX=0"}</definedName>
    <definedName name="_554__FDSAUDITLINK___1" localSheetId="8" hidden="1">{"fdsup://Directions/FactSet Auditing Viewer?action=AUDIT_VALUE&amp;DB=129&amp;ID1=B61G9L&amp;VALUEID=01001&amp;SDATE=2009&amp;PERIODTYPE=ANN_STD&amp;SCFT=3&amp;window=popup_no_bar&amp;width=385&amp;height=120&amp;START_MAXIMIZED=FALSE&amp;creator=factset&amp;display_string=Audit"}</definedName>
    <definedName name="_554__FDSAUDITLINK___1" hidden="1">{"fdsup://Directions/FactSet Auditing Viewer?action=AUDIT_VALUE&amp;DB=129&amp;ID1=B61G9L&amp;VALUEID=01001&amp;SDATE=2009&amp;PERIODTYPE=ANN_STD&amp;SCFT=3&amp;window=popup_no_bar&amp;width=385&amp;height=120&amp;START_MAXIMIZED=FALSE&amp;creator=factset&amp;display_string=Audit"}</definedName>
    <definedName name="_555__FDSAUDITLINK__" localSheetId="8" hidden="1">{"fdsup://Directions/FactSet Auditing Viewer?action=AUDIT_VALUE&amp;DB=129&amp;ID1=B61G9L&amp;VALUEID=01001&amp;SDATE=2008&amp;PERIODTYPE=ANN_STD&amp;SCFT=3&amp;window=popup_no_bar&amp;width=385&amp;height=120&amp;START_MAXIMIZED=FALSE&amp;creator=factset&amp;display_string=Audit"}</definedName>
    <definedName name="_555__FDSAUDITLINK__" hidden="1">{"fdsup://Directions/FactSet Auditing Viewer?action=AUDIT_VALUE&amp;DB=129&amp;ID1=B61G9L&amp;VALUEID=01001&amp;SDATE=2008&amp;PERIODTYPE=ANN_STD&amp;SCFT=3&amp;window=popup_no_bar&amp;width=385&amp;height=120&amp;START_MAXIMIZED=FALSE&amp;creator=factset&amp;display_string=Audit"}</definedName>
    <definedName name="_555__FDSAUDITLINK___1" localSheetId="8" hidden="1">{"fdsup://Directions/FactSet Auditing Viewer?action=AUDIT_VALUE&amp;DB=129&amp;ID1=B61G9L&amp;VALUEID=01001&amp;SDATE=2008&amp;PERIODTYPE=ANN_STD&amp;SCFT=3&amp;window=popup_no_bar&amp;width=385&amp;height=120&amp;START_MAXIMIZED=FALSE&amp;creator=factset&amp;display_string=Audit"}</definedName>
    <definedName name="_555__FDSAUDITLINK___1" hidden="1">{"fdsup://Directions/FactSet Auditing Viewer?action=AUDIT_VALUE&amp;DB=129&amp;ID1=B61G9L&amp;VALUEID=01001&amp;SDATE=2008&amp;PERIODTYPE=ANN_STD&amp;SCFT=3&amp;window=popup_no_bar&amp;width=385&amp;height=120&amp;START_MAXIMIZED=FALSE&amp;creator=factset&amp;display_string=Audit"}</definedName>
    <definedName name="_556__FDSAUDITLINK__" localSheetId="8" hidden="1">{"fdsup://Directions/FactSet Auditing Viewer?action=AUDIT_VALUE&amp;DB=129&amp;ID1=B5KKT9&amp;VALUEID=01001&amp;SDATE=2010&amp;PERIODTYPE=ANN_STD&amp;SCFT=3&amp;window=popup_no_bar&amp;width=385&amp;height=120&amp;START_MAXIMIZED=FALSE&amp;creator=factset&amp;display_string=Audit"}</definedName>
    <definedName name="_556__FDSAUDITLINK__" hidden="1">{"fdsup://directions/FAT Viewer?action=UPDATE&amp;creator=factset&amp;DYN_ARGS=TRUE&amp;DOC_NAME=FAT:FQL_AUDITING_CLIENT_TEMPLATE.FAT&amp;display_string=Audit&amp;VAR:KEY=FSRUZSVYTK&amp;VAR:QUERY=KEZGX0VCSVREQV9PUEVSKExUTSw0MTExMClARkZfRUJJVERBX09QRVIoTFRNLDApKQ==&amp;WINDOW=FIRST_POP","UP&amp;HEIGHT=450&amp;WIDTH=450&amp;START_MAXIMIZED=FALSE&amp;VAR:CALENDAR=US&amp;VAR:SYMBOL=VMC&amp;VAR:INDEX=0"}</definedName>
    <definedName name="_556__FDSAUDITLINK___1" localSheetId="8" hidden="1">{"fdsup://Directions/FactSet Auditing Viewer?action=AUDIT_VALUE&amp;DB=129&amp;ID1=B5KKT9&amp;VALUEID=01001&amp;SDATE=2010&amp;PERIODTYPE=ANN_STD&amp;SCFT=3&amp;window=popup_no_bar&amp;width=385&amp;height=120&amp;START_MAXIMIZED=FALSE&amp;creator=factset&amp;display_string=Audit"}</definedName>
    <definedName name="_556__FDSAUDITLINK___1" hidden="1">{"fdsup://Directions/FactSet Auditing Viewer?action=AUDIT_VALUE&amp;DB=129&amp;ID1=B5KKT9&amp;VALUEID=01001&amp;SDATE=2010&amp;PERIODTYPE=ANN_STD&amp;SCFT=3&amp;window=popup_no_bar&amp;width=385&amp;height=120&amp;START_MAXIMIZED=FALSE&amp;creator=factset&amp;display_string=Audit"}</definedName>
    <definedName name="_557__FDSAUDITLINK__" localSheetId="8" hidden="1">{"fdsup://Directions/FactSet Auditing Viewer?action=AUDIT_VALUE&amp;DB=129&amp;ID1=B5KKT9&amp;VALUEID=01001&amp;SDATE=2009&amp;PERIODTYPE=ANN_STD&amp;SCFT=3&amp;window=popup_no_bar&amp;width=385&amp;height=120&amp;START_MAXIMIZED=FALSE&amp;creator=factset&amp;display_string=Audit"}</definedName>
    <definedName name="_557__FDSAUDITLINK__" hidden="1">{"fdsup://Directions/FactSet Auditing Viewer?action=AUDIT_VALUE&amp;DB=129&amp;ID1=B5KKT9&amp;VALUEID=01001&amp;SDATE=2009&amp;PERIODTYPE=ANN_STD&amp;SCFT=3&amp;window=popup_no_bar&amp;width=385&amp;height=120&amp;START_MAXIMIZED=FALSE&amp;creator=factset&amp;display_string=Audit"}</definedName>
    <definedName name="_557__FDSAUDITLINK___1" localSheetId="8" hidden="1">{"fdsup://Directions/FactSet Auditing Viewer?action=AUDIT_VALUE&amp;DB=129&amp;ID1=B5KKT9&amp;VALUEID=01001&amp;SDATE=2009&amp;PERIODTYPE=ANN_STD&amp;SCFT=3&amp;window=popup_no_bar&amp;width=385&amp;height=120&amp;START_MAXIMIZED=FALSE&amp;creator=factset&amp;display_string=Audit"}</definedName>
    <definedName name="_557__FDSAUDITLINK___1" hidden="1">{"fdsup://Directions/FactSet Auditing Viewer?action=AUDIT_VALUE&amp;DB=129&amp;ID1=B5KKT9&amp;VALUEID=01001&amp;SDATE=2009&amp;PERIODTYPE=ANN_STD&amp;SCFT=3&amp;window=popup_no_bar&amp;width=385&amp;height=120&amp;START_MAXIMIZED=FALSE&amp;creator=factset&amp;display_string=Audit"}</definedName>
    <definedName name="_558__FDSAUDITLINK__" localSheetId="8" hidden="1">{"fdsup://IBCentral/FAT Viewer?action=UPDATE&amp;creator=factset&amp;DOC_NAME=fat:reuters_annual_source_window.fat&amp;display_string=Audit&amp;DYN_ARGS=TRUE&amp;VAR:ID1=221353&amp;VAR:RCODE=FDSPFDSTKTOTAL&amp;VAR:SDATE=20041299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558__FDSAUDITLINK__" hidden="1">{"fdsup://directions/FAT Viewer?action=UPDATE&amp;creator=factset&amp;DYN_ARGS=TRUE&amp;DOC_NAME=FAT:FQL_AUDITING_CLIENT_TEMPLATE.FAT&amp;display_string=Audit&amp;VAR:KEY=NWVOVIXIHI&amp;VAR:QUERY=KEZGX0VCSVREQV9PUEVSKExUTSw0MTExMClARkZfRUJJVERBX09QRVIoTFRNLDApKQ==&amp;WINDOW=FIRST_POP","UP&amp;HEIGHT=450&amp;WIDTH=450&amp;START_MAXIMIZED=FALSE&amp;VAR:CALENDAR=US&amp;VAR:SYMBOL=TXI&amp;VAR:INDEX=0"}</definedName>
    <definedName name="_559__FDSAUDITLINK__" localSheetId="8" hidden="1">{"fdsup://IBCentral/FAT Viewer?action=UPDATE&amp;creator=factset&amp;DOC_NAME=fat:reuters_annual_source_window.fat&amp;display_string=Audit&amp;DYN_ARGS=TRUE&amp;VAR:ID1=221353&amp;VAR:RCODE=AEQI&amp;VAR:SDATE=20041299&amp;VAR:FREQ=Y&amp;VAR:RELITEM=RP&amp;VAR:CURRENCY=USD&amp;VAR:CURRSOURCE=EXSHARE&amp;","VAR:NATFREQ=ANNUAL&amp;VAR:RFIELD=FINALIZED&amp;VAR:DB_TYPE=&amp;VAR:UNITS=M&amp;window=popup&amp;width=450&amp;height=300&amp;START_MAXIMIZED=FALSE"}</definedName>
    <definedName name="_559__FDSAUDITLINK__" hidden="1">{"fdsup://IBCentral/FAT Viewer?action=UPDATE&amp;creator=factset&amp;DOC_NAME=fat:reuters_annual_source_window.fat&amp;display_string=Audit&amp;DYN_ARGS=TRUE&amp;VAR:ID1=221353&amp;VAR:RCODE=AEQI&amp;VAR:SDATE=20041299&amp;VAR:FREQ=Y&amp;VAR:RELITEM=RP&amp;VAR:CURRENCY=USD&amp;VAR:CURRSOURCE=EXSHARE&amp;","VAR:NATFREQ=ANNUAL&amp;VAR:RFIELD=FINALIZED&amp;VAR:DB_TYPE=&amp;VAR:UNITS=M&amp;window=popup&amp;width=450&amp;height=300&amp;START_MAXIMIZED=FALSE"}</definedName>
    <definedName name="_56__123Graph_CCHART_3" localSheetId="8" hidden="1">#REF!</definedName>
    <definedName name="_56__123Graph_CCHART_3" hidden="1">#REF!</definedName>
    <definedName name="_56__123Graph_LBL_ACHART_2" hidden="1">#REF!</definedName>
    <definedName name="_56__FDSAUDITLINK__" localSheetId="8" hidden="1">{"fdsup://directions/FAT Viewer?action=UPDATE&amp;creator=factset&amp;DYN_ARGS=TRUE&amp;DOC_NAME=FAT:FQL_AUDITING_CLIENT_TEMPLATE.FAT&amp;display_string=Audit&amp;VAR:KEY=AXKVEFUFKL&amp;VAR:QUERY=RkZfRUJJVERBX0lCKEFOTiwzNzYyMSwsLCxFVVIp&amp;WINDOW=FIRST_POPUP&amp;HEIGHT=450&amp;WIDTH=450&amp;STAR","T_MAXIMIZED=FALSE&amp;VAR:CALENDAR=FIVEDAY&amp;VAR:SYMBOL=591344&amp;VAR:INDEX=0"}</definedName>
    <definedName name="_56__FDSAUDITLINK__" hidden="1">{"fdsup://directions/FAT Viewer?action=UPDATE&amp;creator=factset&amp;DYN_ARGS=TRUE&amp;DOC_NAME=FAT:FQL_AUDITING_CLIENT_TEMPLATE.FAT&amp;display_string=Audit&amp;VAR:KEY=STEDWHSRSL&amp;VAR:QUERY=RkZfRUJJVERBX09QRVIoQ0FMLDIwMTAp&amp;WINDOW=FIRST_POPUP&amp;HEIGHT=450&amp;WIDTH=450&amp;START_MAXIMI","ZED=FALSE&amp;VAR:CALENDAR=US&amp;VAR:SYMBOL=MLM&amp;VAR:INDEX=0"}</definedName>
    <definedName name="_56__FDSAUDITLINK___1" localSheetId="8" hidden="1">{"fdsup://directions/FAT Viewer?action=UPDATE&amp;creator=factset&amp;DYN_ARGS=TRUE&amp;DOC_NAME=FAT:FQL_AUDITING_CLIENT_TEMPLATE.FAT&amp;display_string=Audit&amp;VAR:KEY=AXKVEFUFKL&amp;VAR:QUERY=RkZfRUJJVERBX0lCKEFOTiwzNzYyMSwsLCxFVVIp&amp;WINDOW=FIRST_POPUP&amp;HEIGHT=450&amp;WIDTH=450&amp;STAR","T_MAXIMIZED=FALSE&amp;VAR:CALENDAR=FIVEDAY&amp;VAR:SYMBOL=591344&amp;VAR:INDEX=0"}</definedName>
    <definedName name="_56__FDSAUDITLINK___1" hidden="1">{"fdsup://directions/FAT Viewer?action=UPDATE&amp;creator=factset&amp;DYN_ARGS=TRUE&amp;DOC_NAME=FAT:FQL_AUDITING_CLIENT_TEMPLATE.FAT&amp;display_string=Audit&amp;VAR:KEY=AXKVEFUFKL&amp;VAR:QUERY=RkZfRUJJVERBX0lCKEFOTiwzNzYyMSwsLCxFVVIp&amp;WINDOW=FIRST_POPUP&amp;HEIGHT=450&amp;WIDTH=450&amp;STAR","T_MAXIMIZED=FALSE&amp;VAR:CALENDAR=FIVEDAY&amp;VAR:SYMBOL=591344&amp;VAR:INDEX=0"}</definedName>
    <definedName name="_560__FDSAUDITLINK__" localSheetId="8" hidden="1">{"fdsup://IBCentral/FAT Viewer?action=UPDATE&amp;creator=factset&amp;DOC_NAME=fat:reuters_annual_source_window.fat&amp;display_string=Audit&amp;DYN_ARGS=TRUE&amp;VAR:ID1=221353&amp;VAR:RCODE=LMIN&amp;VAR:SDATE=20041299&amp;VAR:FREQ=Y&amp;VAR:RELITEM=RP&amp;VAR:CURRENCY=USD&amp;VAR:CURRSOURCE=EXSHARE&amp;","VAR:NATFREQ=ANNUAL&amp;VAR:RFIELD=FINALIZED&amp;VAR:DB_TYPE=&amp;VAR:UNITS=M&amp;window=popup&amp;width=450&amp;height=300&amp;START_MAXIMIZED=FALSE"}</definedName>
    <definedName name="_560__FDSAUDITLINK__" hidden="1">{"fdsup://directions/FAT Viewer?action=UPDATE&amp;creator=factset&amp;DYN_ARGS=TRUE&amp;DOC_NAME=FAT:FQL_AUDITING_CLIENT_TEMPLATE.FAT&amp;display_string=Audit&amp;VAR:KEY=ZIVIXUDYHW&amp;VAR:QUERY=KEZGX0VCSVREQV9PUEVSKExUTSw0MTExMClARkZfRUJJVERBX09QRVIoTFRNLDApKQ==&amp;WINDOW=FIRST_POP","UP&amp;HEIGHT=450&amp;WIDTH=450&amp;START_MAXIMIZED=FALSE&amp;VAR:CALENDAR=US&amp;VAR:SYMBOL=MLM&amp;VAR:INDEX=0"}</definedName>
    <definedName name="_561__FDSAUDITLINK__" localSheetId="8" hidden="1">{"fdsup://IBCentral/FAT Viewer?action=UPDATE&amp;creator=factset&amp;DOC_NAME=fat:reuters_qtrly_source_window.fat&amp;display_string=Audit&amp;DYN_ARGS=TRUE&amp;VAR:ID1=221353&amp;VAR:RCODE=STLD&amp;VAR:SDATE=20041299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561__FDSAUDITLINK__" hidden="1">{"fdsup://IBCentral/FAT Viewer?action=UPDATE&amp;creator=factset&amp;DOC_NAME=fat:reuters_qtrly_source_window.fat&amp;display_string=Audit&amp;DYN_ARGS=TRUE&amp;VAR:ID1=221353&amp;VAR:RCODE=STLD&amp;VAR:SDATE=20041299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562__FDSAUDITLINK__" localSheetId="8" hidden="1">{"fdsup://IBCentral/FAT Viewer?action=UPDATE&amp;creator=factset&amp;DOC_NAME=fat:reuters_qtrly_source_window.fat&amp;display_string=Audit&amp;DYN_ARGS=TRUE&amp;VAR:ID1=221353&amp;VAR:RCODE=SCSI&amp;VAR:SDATE=20041299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562__FDSAUDITLINK__" hidden="1">{"fdsup://directions/FAT Viewer?action=UPDATE&amp;creator=factset&amp;DYN_ARGS=TRUE&amp;DOC_NAME=FAT:FQL_AUDITING_CLIENT_TEMPLATE.FAT&amp;display_string=Audit&amp;VAR:KEY=ZUFMBETCRA&amp;VAR:QUERY=KEZGX1NBTEVTKExUTSw0MTExMClARkZfU0FMRVMoTFRNLDApKQ==&amp;WINDOW=FIRST_POPUP&amp;HEIGHT=450&amp;WI","DTH=450&amp;START_MAXIMIZED=FALSE&amp;VAR:CALENDAR=US&amp;VAR:SYMBOL=711075&amp;VAR:INDEX=0"}</definedName>
    <definedName name="_563__FDSAUDITLINK__" localSheetId="8" hidden="1">{"fdsup://IBCentral/FAT Viewer?action=UPDATE&amp;creator=factset&amp;DOC_NAME=fat:reuters_annual_source_window.fat&amp;display_string=Audit&amp;DYN_ARGS=TRUE&amp;VAR:ID1=221353&amp;VAR:RCODE=FDSPFDSTKTOTAL&amp;VAR:SDATE=20041299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563__FDSAUDITLINK__" hidden="1">{"fdsup://directions/FAT Viewer?action=UPDATE&amp;creator=factset&amp;DYN_ARGS=TRUE&amp;DOC_NAME=FAT:FQL_AUDITING_CLIENT_TEMPLATE.FAT&amp;display_string=Audit&amp;VAR:KEY=URUVIZYBYX&amp;VAR:QUERY=KEZGX1NBTEVTKExUTSw0MTExMClARkZfU0FMRVMoTFRNLDApKQ==&amp;WINDOW=FIRST_POPUP&amp;HEIGHT=450&amp;WI","DTH=450&amp;START_MAXIMIZED=FALSE&amp;VAR:CALENDAR=US&amp;VAR:SYMBOL=450270&amp;VAR:INDEX=0"}</definedName>
    <definedName name="_564__FDSAUDITLINK__" localSheetId="8" hidden="1">{"fdsup://IBCentral/FAT Viewer?action=UPDATE&amp;creator=factset&amp;DOC_NAME=fat:reuters_annual_source_window.fat&amp;display_string=Audit&amp;DYN_ARGS=TRUE&amp;VAR:ID1=221353&amp;VAR:RCODE=AEQI&amp;VAR:SDATE=20041299&amp;VAR:FREQ=Y&amp;VAR:RELITEM=RP&amp;VAR:CURRENCY=USD&amp;VAR:CURRSOURCE=EXSHARE&amp;","VAR:NATFREQ=ANNUAL&amp;VAR:RFIELD=FINALIZED&amp;VAR:DB_TYPE=&amp;VAR:UNITS=M&amp;window=popup&amp;width=450&amp;height=300&amp;START_MAXIMIZED=FALSE"}</definedName>
    <definedName name="_564__FDSAUDITLINK__" hidden="1">{"fdsup://IBCentral/FAT Viewer?action=UPDATE&amp;creator=factset&amp;DOC_NAME=fat:reuters_annual_source_window.fat&amp;display_string=Audit&amp;DYN_ARGS=TRUE&amp;VAR:ID1=221353&amp;VAR:RCODE=AEQI&amp;VAR:SDATE=20041299&amp;VAR:FREQ=Y&amp;VAR:RELITEM=RP&amp;VAR:CURRENCY=USD&amp;VAR:CURRSOURCE=EXSHARE&amp;","VAR:NATFREQ=ANNUAL&amp;VAR:RFIELD=FINALIZED&amp;VAR:DB_TYPE=&amp;VAR:UNITS=M&amp;window=popup&amp;width=450&amp;height=300&amp;START_MAXIMIZED=FALSE"}</definedName>
    <definedName name="_565__FDSAUDITLINK__" localSheetId="8" hidden="1">{"fdsup://Directions/FactSet Auditing Viewer?action=AUDIT_VALUE&amp;DB=129&amp;ID1=400212&amp;VALUEID=01001&amp;SDATE=2009&amp;PERIODTYPE=ANN_STD&amp;SCFT=3&amp;window=popup_no_bar&amp;width=385&amp;height=120&amp;START_MAXIMIZED=FALSE&amp;creator=factset&amp;display_string=Audit"}</definedName>
    <definedName name="_565__FDSAUDITLINK__" hidden="1">{"fdsup://directions/FAT Viewer?action=UPDATE&amp;creator=factset&amp;DYN_ARGS=TRUE&amp;DOC_NAME=FAT:FQL_AUDITING_CLIENT_TEMPLATE.FAT&amp;display_string=Audit&amp;VAR:KEY=DCDARGLIXS&amp;VAR:QUERY=KEZGX1NBTEVTKExUTSw0MTExMClARkZfU0FMRVMoTFRNLDApKQ==&amp;WINDOW=FIRST_POPUP&amp;HEIGHT=450&amp;WI","DTH=450&amp;START_MAXIMIZED=FALSE&amp;VAR:CALENDAR=US&amp;VAR:SYMBOL=VMC&amp;VAR:INDEX=0"}</definedName>
    <definedName name="_565__FDSAUDITLINK___1" localSheetId="8" hidden="1">{"fdsup://Directions/FactSet Auditing Viewer?action=AUDIT_VALUE&amp;DB=129&amp;ID1=400212&amp;VALUEID=01001&amp;SDATE=2009&amp;PERIODTYPE=ANN_STD&amp;SCFT=3&amp;window=popup_no_bar&amp;width=385&amp;height=120&amp;START_MAXIMIZED=FALSE&amp;creator=factset&amp;display_string=Audit"}</definedName>
    <definedName name="_565__FDSAUDITLINK___1" hidden="1">{"fdsup://Directions/FactSet Auditing Viewer?action=AUDIT_VALUE&amp;DB=129&amp;ID1=400212&amp;VALUEID=01001&amp;SDATE=2009&amp;PERIODTYPE=ANN_STD&amp;SCFT=3&amp;window=popup_no_bar&amp;width=385&amp;height=120&amp;START_MAXIMIZED=FALSE&amp;creator=factset&amp;display_string=Audit"}</definedName>
    <definedName name="_566__FDSAUDITLINK__" localSheetId="8" hidden="1">{"fdsup://Directions/FactSet Auditing Viewer?action=AUDIT_VALUE&amp;DB=129&amp;ID1=400212&amp;VALUEID=01001&amp;SDATE=2011&amp;PERIODTYPE=ANN_STD&amp;SCFT=3&amp;window=popup_no_bar&amp;width=385&amp;height=120&amp;START_MAXIMIZED=FALSE&amp;creator=factset&amp;display_string=Audit"}</definedName>
    <definedName name="_566__FDSAUDITLINK__" hidden="1">{"fdsup://Directions/FactSet Auditing Viewer?action=AUDIT_VALUE&amp;DB=129&amp;ID1=400212&amp;VALUEID=01001&amp;SDATE=2011&amp;PERIODTYPE=ANN_STD&amp;SCFT=3&amp;window=popup_no_bar&amp;width=385&amp;height=120&amp;START_MAXIMIZED=FALSE&amp;creator=factset&amp;display_string=Audit"}</definedName>
    <definedName name="_566__FDSAUDITLINK___1" localSheetId="8" hidden="1">{"fdsup://Directions/FactSet Auditing Viewer?action=AUDIT_VALUE&amp;DB=129&amp;ID1=400212&amp;VALUEID=01001&amp;SDATE=2011&amp;PERIODTYPE=ANN_STD&amp;SCFT=3&amp;window=popup_no_bar&amp;width=385&amp;height=120&amp;START_MAXIMIZED=FALSE&amp;creator=factset&amp;display_string=Audit"}</definedName>
    <definedName name="_566__FDSAUDITLINK___1" hidden="1">{"fdsup://Directions/FactSet Auditing Viewer?action=AUDIT_VALUE&amp;DB=129&amp;ID1=400212&amp;VALUEID=01001&amp;SDATE=2011&amp;PERIODTYPE=ANN_STD&amp;SCFT=3&amp;window=popup_no_bar&amp;width=385&amp;height=120&amp;START_MAXIMIZED=FALSE&amp;creator=factset&amp;display_string=Audit"}</definedName>
    <definedName name="_567__FDSAUDITLINK__" localSheetId="8" hidden="1">{"fdsup://directions/FAT Viewer?action=UPDATE&amp;creator=factset&amp;DYN_ARGS=TRUE&amp;DOC_NAME=FAT:FQL_AUDITING_CLIENT_TEMPLATE.FAT&amp;display_string=Audit&amp;VAR:KEY=UPEVQXQVEB&amp;VAR:QUERY=RkZfRUJJVERBX09QRVIoQU5OLDIwMDgp&amp;WINDOW=FIRST_POPUP&amp;HEIGHT=450&amp;WIDTH=450&amp;START_MAXIMI","ZED=FALSE&amp;VAR:CALENDAR=FIVEDAY&amp;VAR:SYMBOL=400212&amp;VAR:INDEX=0"}</definedName>
    <definedName name="_567__FDSAUDITLINK__" hidden="1">{"fdsup://Directions/FactSet Auditing Viewer?action=AUDIT_VALUE&amp;DB=129&amp;ID1=88249110&amp;VALUEID=01001&amp;SDATE=2011&amp;PERIODTYPE=ANN_STD&amp;SCFT=3&amp;window=popup_no_bar&amp;width=385&amp;height=120&amp;START_MAXIMIZED=FALSE&amp;creator=factset&amp;display_string=Audit"}</definedName>
    <definedName name="_567__FDSAUDITLINK___1" localSheetId="8" hidden="1">{"fdsup://directions/FAT Viewer?action=UPDATE&amp;creator=factset&amp;DYN_ARGS=TRUE&amp;DOC_NAME=FAT:FQL_AUDITING_CLIENT_TEMPLATE.FAT&amp;display_string=Audit&amp;VAR:KEY=UPEVQXQVEB&amp;VAR:QUERY=RkZfRUJJVERBX09QRVIoQU5OLDIwMDgp&amp;WINDOW=FIRST_POPUP&amp;HEIGHT=450&amp;WIDTH=450&amp;START_MAXIMI","ZED=FALSE&amp;VAR:CALENDAR=FIVEDAY&amp;VAR:SYMBOL=400212&amp;VAR:INDEX=0"}</definedName>
    <definedName name="_567__FDSAUDITLINK___1" hidden="1">{"fdsup://directions/FAT Viewer?action=UPDATE&amp;creator=factset&amp;DYN_ARGS=TRUE&amp;DOC_NAME=FAT:FQL_AUDITING_CLIENT_TEMPLATE.FAT&amp;display_string=Audit&amp;VAR:KEY=UPEVQXQVEB&amp;VAR:QUERY=RkZfRUJJVERBX09QRVIoQU5OLDIwMDgp&amp;WINDOW=FIRST_POPUP&amp;HEIGHT=450&amp;WIDTH=450&amp;START_MAXIMI","ZED=FALSE&amp;VAR:CALENDAR=FIVEDAY&amp;VAR:SYMBOL=400212&amp;VAR:INDEX=0"}</definedName>
    <definedName name="_568__FDSAUDITLINK__" localSheetId="8" hidden="1">{"fdsup://directions/FAT Viewer?action=UPDATE&amp;creator=factset&amp;DYN_ARGS=TRUE&amp;DOC_NAME=FAT:FQL_AUDITING_CLIENT_TEMPLATE.FAT&amp;display_string=Audit&amp;VAR:KEY=GRANKFUHYJ&amp;VAR:QUERY=RkZfRUJJVERBX09QRVIoQU5OLDIwMTAp&amp;WINDOW=FIRST_POPUP&amp;HEIGHT=450&amp;WIDTH=450&amp;START_MAXIMI","ZED=FALSE&amp;VAR:CALENDAR=FIVEDAY&amp;VAR:SYMBOL=400212&amp;VAR:INDEX=0"}</definedName>
    <definedName name="_568__FDSAUDITLINK__" hidden="1">{"fdsup://directions/FAT Viewer?action=UPDATE&amp;creator=factset&amp;DYN_ARGS=TRUE&amp;DOC_NAME=FAT:FQL_AUDITING_CLIENT_TEMPLATE.FAT&amp;display_string=Audit&amp;VAR:KEY=GRANKFUHYJ&amp;VAR:QUERY=RkZfRUJJVERBX09QRVIoQU5OLDIwMTAp&amp;WINDOW=FIRST_POPUP&amp;HEIGHT=450&amp;WIDTH=450&amp;START_MAXIMI","ZED=FALSE&amp;VAR:CALENDAR=FIVEDAY&amp;VAR:SYMBOL=400212&amp;VAR:INDEX=0"}</definedName>
    <definedName name="_568__FDSAUDITLINK___1" localSheetId="8" hidden="1">{"fdsup://directions/FAT Viewer?action=UPDATE&amp;creator=factset&amp;DYN_ARGS=TRUE&amp;DOC_NAME=FAT:FQL_AUDITING_CLIENT_TEMPLATE.FAT&amp;display_string=Audit&amp;VAR:KEY=GRANKFUHYJ&amp;VAR:QUERY=RkZfRUJJVERBX09QRVIoQU5OLDIwMTAp&amp;WINDOW=FIRST_POPUP&amp;HEIGHT=450&amp;WIDTH=450&amp;START_MAXIMI","ZED=FALSE&amp;VAR:CALENDAR=FIVEDAY&amp;VAR:SYMBOL=400212&amp;VAR:INDEX=0"}</definedName>
    <definedName name="_568__FDSAUDITLINK___1" hidden="1">{"fdsup://directions/FAT Viewer?action=UPDATE&amp;creator=factset&amp;DYN_ARGS=TRUE&amp;DOC_NAME=FAT:FQL_AUDITING_CLIENT_TEMPLATE.FAT&amp;display_string=Audit&amp;VAR:KEY=GRANKFUHYJ&amp;VAR:QUERY=RkZfRUJJVERBX09QRVIoQU5OLDIwMTAp&amp;WINDOW=FIRST_POPUP&amp;HEIGHT=450&amp;WIDTH=450&amp;START_MAXIMI","ZED=FALSE&amp;VAR:CALENDAR=FIVEDAY&amp;VAR:SYMBOL=400212&amp;VAR:INDEX=0"}</definedName>
    <definedName name="_569__FDSAUDITLINK__" localSheetId="8" hidden="1">{"fdsup://Directions/FactSet Auditing Viewer?action=AUDIT_VALUE&amp;DB=129&amp;ID1=400212&amp;VALUEID=01250&amp;SDATE=2009&amp;PERIODTYPE=ANN_STD&amp;SCFT=3&amp;window=popup_no_bar&amp;width=385&amp;height=120&amp;START_MAXIMIZED=FALSE&amp;creator=factset&amp;display_string=Audit"}</definedName>
    <definedName name="_569__FDSAUDITLINK__" hidden="1">{"fdsup://directions/FAT Viewer?action=UPDATE&amp;creator=factset&amp;DYN_ARGS=TRUE&amp;DOC_NAME=FAT:FQL_AUDITING_CLIENT_TEMPLATE.FAT&amp;display_string=Audit&amp;VAR:KEY=VANWHETCXS&amp;VAR:QUERY=KEZGX1NBTEVTKExUTSw0MTExMClARkZfU0FMRVMoTFRNLDApKQ==&amp;WINDOW=FIRST_POPUP&amp;HEIGHT=450&amp;WI","DTH=450&amp;START_MAXIMIZED=FALSE&amp;VAR:CALENDAR=US&amp;VAR:SYMBOL=MLM&amp;VAR:INDEX=0"}</definedName>
    <definedName name="_569__FDSAUDITLINK___1" localSheetId="8" hidden="1">{"fdsup://Directions/FactSet Auditing Viewer?action=AUDIT_VALUE&amp;DB=129&amp;ID1=400212&amp;VALUEID=01250&amp;SDATE=2009&amp;PERIODTYPE=ANN_STD&amp;SCFT=3&amp;window=popup_no_bar&amp;width=385&amp;height=120&amp;START_MAXIMIZED=FALSE&amp;creator=factset&amp;display_string=Audit"}</definedName>
    <definedName name="_569__FDSAUDITLINK___1" hidden="1">{"fdsup://Directions/FactSet Auditing Viewer?action=AUDIT_VALUE&amp;DB=129&amp;ID1=400212&amp;VALUEID=01250&amp;SDATE=2009&amp;PERIODTYPE=ANN_STD&amp;SCFT=3&amp;window=popup_no_bar&amp;width=385&amp;height=120&amp;START_MAXIMIZED=FALSE&amp;creator=factset&amp;display_string=Audit"}</definedName>
    <definedName name="_57__123Graph_CCHART_31" localSheetId="8" hidden="1">#REF!</definedName>
    <definedName name="_57__123Graph_CCHART_31" hidden="1">#REF!</definedName>
    <definedName name="_57__123Graph_LBL_ACHART_20" hidden="1">#REF!</definedName>
    <definedName name="_57__FDSAUDITLINK__" localSheetId="8" hidden="1">{"fdsup://directions/FAT Viewer?action=UPDATE&amp;creator=factset&amp;DYN_ARGS=TRUE&amp;DOC_NAME=FAT:FQL_AUDITING_CLIENT_TEMPLATE.FAT&amp;display_string=Audit&amp;VAR:KEY=WRGHUNSHGL&amp;VAR:QUERY=RkZfRUJJVERBX0lCKEFOTiwzNzI1NiwsLCxFVVIp&amp;WINDOW=FIRST_POPUP&amp;HEIGHT=450&amp;WIDTH=450&amp;STAR","T_MAXIMIZED=FALSE&amp;VAR:CALENDAR=FIVEDAY&amp;VAR:SYMBOL=591344&amp;VAR:INDEX=0"}</definedName>
    <definedName name="_57__FDSAUDITLINK__" hidden="1">{"fdsup://directions/FAT Viewer?action=UPDATE&amp;creator=factset&amp;DYN_ARGS=TRUE&amp;DOC_NAME=FAT:FQL_AUDITING_CLIENT_TEMPLATE.FAT&amp;display_string=Audit&amp;VAR:KEY=IRWRWTENYR&amp;VAR:QUERY=RkZfRUJJVERBX09QRVIoQ0FMLDIwMTAp&amp;WINDOW=FIRST_POPUP&amp;HEIGHT=450&amp;WIDTH=450&amp;START_MAXIMI","ZED=FALSE&amp;VAR:CALENDAR=US&amp;VAR:SYMBOL=EXP&amp;VAR:INDEX=0"}</definedName>
    <definedName name="_57__FDSAUDITLINK___1" localSheetId="8" hidden="1">{"fdsup://directions/FAT Viewer?action=UPDATE&amp;creator=factset&amp;DYN_ARGS=TRUE&amp;DOC_NAME=FAT:FQL_AUDITING_CLIENT_TEMPLATE.FAT&amp;display_string=Audit&amp;VAR:KEY=WRGHUNSHGL&amp;VAR:QUERY=RkZfRUJJVERBX0lCKEFOTiwzNzI1NiwsLCxFVVIp&amp;WINDOW=FIRST_POPUP&amp;HEIGHT=450&amp;WIDTH=450&amp;STAR","T_MAXIMIZED=FALSE&amp;VAR:CALENDAR=FIVEDAY&amp;VAR:SYMBOL=591344&amp;VAR:INDEX=0"}</definedName>
    <definedName name="_57__FDSAUDITLINK___1" hidden="1">{"fdsup://directions/FAT Viewer?action=UPDATE&amp;creator=factset&amp;DYN_ARGS=TRUE&amp;DOC_NAME=FAT:FQL_AUDITING_CLIENT_TEMPLATE.FAT&amp;display_string=Audit&amp;VAR:KEY=WRGHUNSHGL&amp;VAR:QUERY=RkZfRUJJVERBX0lCKEFOTiwzNzI1NiwsLCxFVVIp&amp;WINDOW=FIRST_POPUP&amp;HEIGHT=450&amp;WIDTH=450&amp;STAR","T_MAXIMIZED=FALSE&amp;VAR:CALENDAR=FIVEDAY&amp;VAR:SYMBOL=591344&amp;VAR:INDEX=0"}</definedName>
    <definedName name="_570__FDSAUDITLINK__" localSheetId="8" hidden="1">{"fdsup://Directions/FactSet Auditing Viewer?action=AUDIT_VALUE&amp;DB=129&amp;ID1=400212&amp;VALUEID=01250&amp;SDATE=2010&amp;PERIODTYPE=ANN_STD&amp;SCFT=3&amp;window=popup_no_bar&amp;width=385&amp;height=120&amp;START_MAXIMIZED=FALSE&amp;creator=factset&amp;display_string=Audit"}</definedName>
    <definedName name="_570__FDSAUDITLINK__" hidden="1">{"fdsup://Directions/FactSet Auditing Viewer?action=AUDIT_VALUE&amp;DB=129&amp;ID1=400212&amp;VALUEID=01250&amp;SDATE=2010&amp;PERIODTYPE=ANN_STD&amp;SCFT=3&amp;window=popup_no_bar&amp;width=385&amp;height=120&amp;START_MAXIMIZED=FALSE&amp;creator=factset&amp;display_string=Audit"}</definedName>
    <definedName name="_570__FDSAUDITLINK___1" localSheetId="8" hidden="1">{"fdsup://Directions/FactSet Auditing Viewer?action=AUDIT_VALUE&amp;DB=129&amp;ID1=400212&amp;VALUEID=01250&amp;SDATE=2010&amp;PERIODTYPE=ANN_STD&amp;SCFT=3&amp;window=popup_no_bar&amp;width=385&amp;height=120&amp;START_MAXIMIZED=FALSE&amp;creator=factset&amp;display_string=Audit"}</definedName>
    <definedName name="_570__FDSAUDITLINK___1" hidden="1">{"fdsup://Directions/FactSet Auditing Viewer?action=AUDIT_VALUE&amp;DB=129&amp;ID1=400212&amp;VALUEID=01250&amp;SDATE=2010&amp;PERIODTYPE=ANN_STD&amp;SCFT=3&amp;window=popup_no_bar&amp;width=385&amp;height=120&amp;START_MAXIMIZED=FALSE&amp;creator=factset&amp;display_string=Audit"}</definedName>
    <definedName name="_571__FDSAUDITLINK__" localSheetId="8" hidden="1">{"fdsup://directions/FAT Viewer?action=UPDATE&amp;creator=factset&amp;DYN_ARGS=TRUE&amp;DOC_NAME=FAT:FQL_AUDITING_CLIENT_TEMPLATE.FAT&amp;display_string=Audit&amp;VAR:KEY=QPOTKDILQL&amp;VAR:QUERY=RkZfQ0FQRVgoQU5OLDIwMDgp&amp;WINDOW=FIRST_POPUP&amp;HEIGHT=450&amp;WIDTH=450&amp;START_MAXIMIZED=FALS","E&amp;VAR:CALENDAR=FIVEDAY&amp;VAR:SYMBOL=400212&amp;VAR:INDEX=0"}</definedName>
    <definedName name="_571__FDSAUDITLINK__" hidden="1">{"fdsup://directions/FAT Viewer?action=UPDATE&amp;creator=factset&amp;DYN_ARGS=TRUE&amp;DOC_NAME=FAT:FQL_AUDITING_CLIENT_TEMPLATE.FAT&amp;display_string=Audit&amp;VAR:KEY=QPOTKDILQL&amp;VAR:QUERY=RkZfQ0FQRVgoQU5OLDIwMDgp&amp;WINDOW=FIRST_POPUP&amp;HEIGHT=450&amp;WIDTH=450&amp;START_MAXIMIZED=FALS","E&amp;VAR:CALENDAR=FIVEDAY&amp;VAR:SYMBOL=400212&amp;VAR:INDEX=0"}</definedName>
    <definedName name="_571__FDSAUDITLINK___1" localSheetId="8" hidden="1">{"fdsup://directions/FAT Viewer?action=UPDATE&amp;creator=factset&amp;DYN_ARGS=TRUE&amp;DOC_NAME=FAT:FQL_AUDITING_CLIENT_TEMPLATE.FAT&amp;display_string=Audit&amp;VAR:KEY=QPOTKDILQL&amp;VAR:QUERY=RkZfQ0FQRVgoQU5OLDIwMDgp&amp;WINDOW=FIRST_POPUP&amp;HEIGHT=450&amp;WIDTH=450&amp;START_MAXIMIZED=FALS","E&amp;VAR:CALENDAR=FIVEDAY&amp;VAR:SYMBOL=400212&amp;VAR:INDEX=0"}</definedName>
    <definedName name="_571__FDSAUDITLINK___1" hidden="1">{"fdsup://directions/FAT Viewer?action=UPDATE&amp;creator=factset&amp;DYN_ARGS=TRUE&amp;DOC_NAME=FAT:FQL_AUDITING_CLIENT_TEMPLATE.FAT&amp;display_string=Audit&amp;VAR:KEY=QPOTKDILQL&amp;VAR:QUERY=RkZfQ0FQRVgoQU5OLDIwMDgp&amp;WINDOW=FIRST_POPUP&amp;HEIGHT=450&amp;WIDTH=450&amp;START_MAXIMIZED=FALS","E&amp;VAR:CALENDAR=FIVEDAY&amp;VAR:SYMBOL=400212&amp;VAR:INDEX=0"}</definedName>
    <definedName name="_572__FDSAUDITLINK__" localSheetId="8" hidden="1">{"fdsup://directions/FAT Viewer?action=UPDATE&amp;creator=factset&amp;DYN_ARGS=TRUE&amp;DOC_NAME=FAT:FQL_AUDITING_CLIENT_TEMPLATE.FAT&amp;display_string=Audit&amp;VAR:KEY=EJYHSRAXWT&amp;VAR:QUERY=RkZfQ0FQRVgoQU5OLDIwMTAp&amp;WINDOW=FIRST_POPUP&amp;HEIGHT=450&amp;WIDTH=450&amp;START_MAXIMIZED=FALS","E&amp;VAR:CALENDAR=FIVEDAY&amp;VAR:SYMBOL=400212&amp;VAR:INDEX=0"}</definedName>
    <definedName name="_572__FDSAUDITLINK__" hidden="1">{"fdsup://directions/FAT Viewer?action=UPDATE&amp;creator=factset&amp;DYN_ARGS=TRUE&amp;DOC_NAME=FAT:FQL_AUDITING_CLIENT_TEMPLATE.FAT&amp;display_string=Audit&amp;VAR:KEY=EJYHSRAXWT&amp;VAR:QUERY=RkZfQ0FQRVgoQU5OLDIwMTAp&amp;WINDOW=FIRST_POPUP&amp;HEIGHT=450&amp;WIDTH=450&amp;START_MAXIMIZED=FALS","E&amp;VAR:CALENDAR=FIVEDAY&amp;VAR:SYMBOL=400212&amp;VAR:INDEX=0"}</definedName>
    <definedName name="_572__FDSAUDITLINK___1" localSheetId="8" hidden="1">{"fdsup://directions/FAT Viewer?action=UPDATE&amp;creator=factset&amp;DYN_ARGS=TRUE&amp;DOC_NAME=FAT:FQL_AUDITING_CLIENT_TEMPLATE.FAT&amp;display_string=Audit&amp;VAR:KEY=EJYHSRAXWT&amp;VAR:QUERY=RkZfQ0FQRVgoQU5OLDIwMTAp&amp;WINDOW=FIRST_POPUP&amp;HEIGHT=450&amp;WIDTH=450&amp;START_MAXIMIZED=FALS","E&amp;VAR:CALENDAR=FIVEDAY&amp;VAR:SYMBOL=400212&amp;VAR:INDEX=0"}</definedName>
    <definedName name="_572__FDSAUDITLINK___1" hidden="1">{"fdsup://directions/FAT Viewer?action=UPDATE&amp;creator=factset&amp;DYN_ARGS=TRUE&amp;DOC_NAME=FAT:FQL_AUDITING_CLIENT_TEMPLATE.FAT&amp;display_string=Audit&amp;VAR:KEY=EJYHSRAXWT&amp;VAR:QUERY=RkZfQ0FQRVgoQU5OLDIwMTAp&amp;WINDOW=FIRST_POPUP&amp;HEIGHT=450&amp;WIDTH=450&amp;START_MAXIMIZED=FALS","E&amp;VAR:CALENDAR=FIVEDAY&amp;VAR:SYMBOL=400212&amp;VAR:INDEX=0"}</definedName>
    <definedName name="_573__FDSAUDITLINK__" localSheetId="8" hidden="1">{"fdsup://directions/FAT Viewer?action=UPDATE&amp;creator=factset&amp;DYN_ARGS=TRUE&amp;DOC_NAME=FAT:FQL_AUDITING_CLIENT_TEMPLATE.FAT&amp;display_string=Audit&amp;VAR:KEY=DCRCLYJSBW&amp;VAR:QUERY=RkZfTkVUX0lOQyhBTk4sMjAwOSk=&amp;WINDOW=FIRST_POPUP&amp;HEIGHT=450&amp;WIDTH=450&amp;START_MAXIMIZED=","FALSE&amp;VAR:CALENDAR=FIVEDAY&amp;VAR:SYMBOL=400212&amp;VAR:INDEX=0"}</definedName>
    <definedName name="_573__FDSAUDITLINK__" hidden="1">{"fdsup://directions/FAT Viewer?action=UPDATE&amp;creator=factset&amp;DYN_ARGS=TRUE&amp;DOC_NAME=FAT:FQL_AUDITING_CLIENT_TEMPLATE.FAT&amp;display_string=Audit&amp;VAR:KEY=DCRCLYJSBW&amp;VAR:QUERY=RkZfTkVUX0lOQyhBTk4sMjAwOSk=&amp;WINDOW=FIRST_POPUP&amp;HEIGHT=450&amp;WIDTH=450&amp;START_MAXIMIZED=","FALSE&amp;VAR:CALENDAR=FIVEDAY&amp;VAR:SYMBOL=400212&amp;VAR:INDEX=0"}</definedName>
    <definedName name="_573__FDSAUDITLINK___1" localSheetId="8" hidden="1">{"fdsup://directions/FAT Viewer?action=UPDATE&amp;creator=factset&amp;DYN_ARGS=TRUE&amp;DOC_NAME=FAT:FQL_AUDITING_CLIENT_TEMPLATE.FAT&amp;display_string=Audit&amp;VAR:KEY=DCRCLYJSBW&amp;VAR:QUERY=RkZfTkVUX0lOQyhBTk4sMjAwOSk=&amp;WINDOW=FIRST_POPUP&amp;HEIGHT=450&amp;WIDTH=450&amp;START_MAXIMIZED=","FALSE&amp;VAR:CALENDAR=FIVEDAY&amp;VAR:SYMBOL=400212&amp;VAR:INDEX=0"}</definedName>
    <definedName name="_573__FDSAUDITLINK___1" hidden="1">{"fdsup://directions/FAT Viewer?action=UPDATE&amp;creator=factset&amp;DYN_ARGS=TRUE&amp;DOC_NAME=FAT:FQL_AUDITING_CLIENT_TEMPLATE.FAT&amp;display_string=Audit&amp;VAR:KEY=DCRCLYJSBW&amp;VAR:QUERY=RkZfTkVUX0lOQyhBTk4sMjAwOSk=&amp;WINDOW=FIRST_POPUP&amp;HEIGHT=450&amp;WIDTH=450&amp;START_MAXIMIZED=","FALSE&amp;VAR:CALENDAR=FIVEDAY&amp;VAR:SYMBOL=400212&amp;VAR:INDEX=0"}</definedName>
    <definedName name="_574__FDSAUDITLINK__" localSheetId="8" hidden="1">{"fdsup://directions/FAT Viewer?action=UPDATE&amp;creator=factset&amp;DYN_ARGS=TRUE&amp;DOC_NAME=FAT:FQL_AUDITING_CLIENT_TEMPLATE.FAT&amp;display_string=Audit&amp;VAR:KEY=TAPWLUFSPI&amp;VAR:QUERY=RkZfTkVUX0lOQyhBTk4sMjAxMSk=&amp;WINDOW=FIRST_POPUP&amp;HEIGHT=450&amp;WIDTH=450&amp;START_MAXIMIZED=","FALSE&amp;VAR:CALENDAR=FIVEDAY&amp;VAR:SYMBOL=400212&amp;VAR:INDEX=0"}</definedName>
    <definedName name="_574__FDSAUDITLINK__" hidden="1">{"fdsup://directions/FAT Viewer?action=UPDATE&amp;creator=factset&amp;DYN_ARGS=TRUE&amp;DOC_NAME=FAT:FQL_AUDITING_CLIENT_TEMPLATE.FAT&amp;display_string=Audit&amp;VAR:KEY=TAPWLUFSPI&amp;VAR:QUERY=RkZfTkVUX0lOQyhBTk4sMjAxMSk=&amp;WINDOW=FIRST_POPUP&amp;HEIGHT=450&amp;WIDTH=450&amp;START_MAXIMIZED=","FALSE&amp;VAR:CALENDAR=FIVEDAY&amp;VAR:SYMBOL=400212&amp;VAR:INDEX=0"}</definedName>
    <definedName name="_574__FDSAUDITLINK___1" localSheetId="8" hidden="1">{"fdsup://directions/FAT Viewer?action=UPDATE&amp;creator=factset&amp;DYN_ARGS=TRUE&amp;DOC_NAME=FAT:FQL_AUDITING_CLIENT_TEMPLATE.FAT&amp;display_string=Audit&amp;VAR:KEY=TAPWLUFSPI&amp;VAR:QUERY=RkZfTkVUX0lOQyhBTk4sMjAxMSk=&amp;WINDOW=FIRST_POPUP&amp;HEIGHT=450&amp;WIDTH=450&amp;START_MAXIMIZED=","FALSE&amp;VAR:CALENDAR=FIVEDAY&amp;VAR:SYMBOL=400212&amp;VAR:INDEX=0"}</definedName>
    <definedName name="_574__FDSAUDITLINK___1" hidden="1">{"fdsup://directions/FAT Viewer?action=UPDATE&amp;creator=factset&amp;DYN_ARGS=TRUE&amp;DOC_NAME=FAT:FQL_AUDITING_CLIENT_TEMPLATE.FAT&amp;display_string=Audit&amp;VAR:KEY=TAPWLUFSPI&amp;VAR:QUERY=RkZfTkVUX0lOQyhBTk4sMjAxMSk=&amp;WINDOW=FIRST_POPUP&amp;HEIGHT=450&amp;WIDTH=450&amp;START_MAXIMIZED=","FALSE&amp;VAR:CALENDAR=FIVEDAY&amp;VAR:SYMBOL=400212&amp;VAR:INDEX=0"}</definedName>
    <definedName name="_575__FDSAUDITLINK__" localSheetId="8" hidden="1">{"fdsup://directions/FAT Viewer?action=UPDATE&amp;creator=factset&amp;DYN_ARGS=TRUE&amp;DOC_NAME=FAT:FQL_AUDITING_CLIENT_TEMPLATE.FAT&amp;display_string=Audit&amp;VAR:KEY=LUPMNQHKVW&amp;VAR:QUERY=RkZfRU5UUlBSX1ZBTF9EQUlMWSgwLCwsLCwnRElMJyk=&amp;WINDOW=FIRST_POPUP&amp;HEIGHT=450&amp;WIDTH=450&amp;","START_MAXIMIZED=FALSE&amp;VAR:CALENDAR=FIVEDAY&amp;VAR:SYMBOL=B138NB&amp;VAR:INDEX=0"}</definedName>
    <definedName name="_575__FDSAUDITLINK__" hidden="1">{"fdsup://directions/FAT Viewer?action=UPDATE&amp;creator=factset&amp;DYN_ARGS=TRUE&amp;DOC_NAME=FAT:FQL_AUDITING_CLIENT_TEMPLATE.FAT&amp;display_string=Audit&amp;VAR:KEY=LUPMNQHKVW&amp;VAR:QUERY=RkZfRU5UUlBSX1ZBTF9EQUlMWSgwLCwsLCwnRElMJyk=&amp;WINDOW=FIRST_POPUP&amp;HEIGHT=450&amp;WIDTH=450&amp;","START_MAXIMIZED=FALSE&amp;VAR:CALENDAR=FIVEDAY&amp;VAR:SYMBOL=B138NB&amp;VAR:INDEX=0"}</definedName>
    <definedName name="_575__FDSAUDITLINK___1" localSheetId="8" hidden="1">{"fdsup://directions/FAT Viewer?action=UPDATE&amp;creator=factset&amp;DYN_ARGS=TRUE&amp;DOC_NAME=FAT:FQL_AUDITING_CLIENT_TEMPLATE.FAT&amp;display_string=Audit&amp;VAR:KEY=LUPMNQHKVW&amp;VAR:QUERY=RkZfRU5UUlBSX1ZBTF9EQUlMWSgwLCwsLCwnRElMJyk=&amp;WINDOW=FIRST_POPUP&amp;HEIGHT=450&amp;WIDTH=450&amp;","START_MAXIMIZED=FALSE&amp;VAR:CALENDAR=FIVEDAY&amp;VAR:SYMBOL=B138NB&amp;VAR:INDEX=0"}</definedName>
    <definedName name="_575__FDSAUDITLINK___1" hidden="1">{"fdsup://directions/FAT Viewer?action=UPDATE&amp;creator=factset&amp;DYN_ARGS=TRUE&amp;DOC_NAME=FAT:FQL_AUDITING_CLIENT_TEMPLATE.FAT&amp;display_string=Audit&amp;VAR:KEY=LUPMNQHKVW&amp;VAR:QUERY=RkZfRU5UUlBSX1ZBTF9EQUlMWSgwLCwsLCwnRElMJyk=&amp;WINDOW=FIRST_POPUP&amp;HEIGHT=450&amp;WIDTH=450&amp;","START_MAXIMIZED=FALSE&amp;VAR:CALENDAR=FIVEDAY&amp;VAR:SYMBOL=B138NB&amp;VAR:INDEX=0"}</definedName>
    <definedName name="_576__FDSAUDITLINK__" localSheetId="8" hidden="1">{"fdsup://Directions/FactSet Auditing Viewer?action=AUDIT_VALUE&amp;DB=129&amp;ID1=B138NB&amp;VALUEID=01001&amp;SDATE=2008&amp;PERIODTYPE=ANN_STD&amp;SCFT=3&amp;window=popup_no_bar&amp;width=385&amp;height=120&amp;START_MAXIMIZED=FALSE&amp;creator=factset&amp;display_string=Audit"}</definedName>
    <definedName name="_576__FDSAUDITLINK__" hidden="1">{"fdsup://Directions/FactSet Auditing Viewer?action=AUDIT_VALUE&amp;DB=129&amp;ID1=B138NB&amp;VALUEID=01001&amp;SDATE=2008&amp;PERIODTYPE=ANN_STD&amp;SCFT=3&amp;window=popup_no_bar&amp;width=385&amp;height=120&amp;START_MAXIMIZED=FALSE&amp;creator=factset&amp;display_string=Audit"}</definedName>
    <definedName name="_576__FDSAUDITLINK___1" localSheetId="8" hidden="1">{"fdsup://Directions/FactSet Auditing Viewer?action=AUDIT_VALUE&amp;DB=129&amp;ID1=B138NB&amp;VALUEID=01001&amp;SDATE=2008&amp;PERIODTYPE=ANN_STD&amp;SCFT=3&amp;window=popup_no_bar&amp;width=385&amp;height=120&amp;START_MAXIMIZED=FALSE&amp;creator=factset&amp;display_string=Audit"}</definedName>
    <definedName name="_576__FDSAUDITLINK___1" hidden="1">{"fdsup://Directions/FactSet Auditing Viewer?action=AUDIT_VALUE&amp;DB=129&amp;ID1=B138NB&amp;VALUEID=01001&amp;SDATE=2008&amp;PERIODTYPE=ANN_STD&amp;SCFT=3&amp;window=popup_no_bar&amp;width=385&amp;height=120&amp;START_MAXIMIZED=FALSE&amp;creator=factset&amp;display_string=Audit"}</definedName>
    <definedName name="_577__FDSAUDITLINK__" localSheetId="8" hidden="1">{"fdsup://Directions/FactSet Auditing Viewer?action=AUDIT_VALUE&amp;DB=129&amp;ID1=B138NB&amp;VALUEID=01001&amp;SDATE=2010&amp;PERIODTYPE=ANN_STD&amp;SCFT=3&amp;window=popup_no_bar&amp;width=385&amp;height=120&amp;START_MAXIMIZED=FALSE&amp;creator=factset&amp;display_string=Audit"}</definedName>
    <definedName name="_577__FDSAUDITLINK__" hidden="1">{"fdsup://Directions/FactSet Auditing Viewer?action=AUDIT_VALUE&amp;DB=129&amp;ID1=B138NB&amp;VALUEID=01001&amp;SDATE=2010&amp;PERIODTYPE=ANN_STD&amp;SCFT=3&amp;window=popup_no_bar&amp;width=385&amp;height=120&amp;START_MAXIMIZED=FALSE&amp;creator=factset&amp;display_string=Audit"}</definedName>
    <definedName name="_577__FDSAUDITLINK___1" localSheetId="8" hidden="1">{"fdsup://Directions/FactSet Auditing Viewer?action=AUDIT_VALUE&amp;DB=129&amp;ID1=B138NB&amp;VALUEID=01001&amp;SDATE=2010&amp;PERIODTYPE=ANN_STD&amp;SCFT=3&amp;window=popup_no_bar&amp;width=385&amp;height=120&amp;START_MAXIMIZED=FALSE&amp;creator=factset&amp;display_string=Audit"}</definedName>
    <definedName name="_577__FDSAUDITLINK___1" hidden="1">{"fdsup://Directions/FactSet Auditing Viewer?action=AUDIT_VALUE&amp;DB=129&amp;ID1=B138NB&amp;VALUEID=01001&amp;SDATE=2010&amp;PERIODTYPE=ANN_STD&amp;SCFT=3&amp;window=popup_no_bar&amp;width=385&amp;height=120&amp;START_MAXIMIZED=FALSE&amp;creator=factset&amp;display_string=Audit"}</definedName>
    <definedName name="_578__FDSAUDITLINK__" localSheetId="8" hidden="1">{"fdsup://directions/FAT Viewer?action=UPDATE&amp;creator=factset&amp;DYN_ARGS=TRUE&amp;DOC_NAME=FAT:FQL_AUDITING_CLIENT_TEMPLATE.FAT&amp;display_string=Audit&amp;VAR:KEY=QZSZABUZER&amp;VAR:QUERY=RkZfRUJJVERBX09QRVIoQU5OLDIwMDkp&amp;WINDOW=FIRST_POPUP&amp;HEIGHT=450&amp;WIDTH=450&amp;START_MAXIMI","ZED=FALSE&amp;VAR:CALENDAR=FIVEDAY&amp;VAR:SYMBOL=B138NB&amp;VAR:INDEX=0"}</definedName>
    <definedName name="_578__FDSAUDITLINK__" hidden="1">{"fdsup://directions/FAT Viewer?action=UPDATE&amp;creator=factset&amp;DYN_ARGS=TRUE&amp;DOC_NAME=FAT:FQL_AUDITING_CLIENT_TEMPLATE.FAT&amp;display_string=Audit&amp;VAR:KEY=QZSZABUZER&amp;VAR:QUERY=RkZfRUJJVERBX09QRVIoQU5OLDIwMDkp&amp;WINDOW=FIRST_POPUP&amp;HEIGHT=450&amp;WIDTH=450&amp;START_MAXIMI","ZED=FALSE&amp;VAR:CALENDAR=FIVEDAY&amp;VAR:SYMBOL=B138NB&amp;VAR:INDEX=0"}</definedName>
    <definedName name="_578__FDSAUDITLINK___1" localSheetId="8" hidden="1">{"fdsup://directions/FAT Viewer?action=UPDATE&amp;creator=factset&amp;DYN_ARGS=TRUE&amp;DOC_NAME=FAT:FQL_AUDITING_CLIENT_TEMPLATE.FAT&amp;display_string=Audit&amp;VAR:KEY=QZSZABUZER&amp;VAR:QUERY=RkZfRUJJVERBX09QRVIoQU5OLDIwMDkp&amp;WINDOW=FIRST_POPUP&amp;HEIGHT=450&amp;WIDTH=450&amp;START_MAXIMI","ZED=FALSE&amp;VAR:CALENDAR=FIVEDAY&amp;VAR:SYMBOL=B138NB&amp;VAR:INDEX=0"}</definedName>
    <definedName name="_578__FDSAUDITLINK___1" hidden="1">{"fdsup://directions/FAT Viewer?action=UPDATE&amp;creator=factset&amp;DYN_ARGS=TRUE&amp;DOC_NAME=FAT:FQL_AUDITING_CLIENT_TEMPLATE.FAT&amp;display_string=Audit&amp;VAR:KEY=QZSZABUZER&amp;VAR:QUERY=RkZfRUJJVERBX09QRVIoQU5OLDIwMDkp&amp;WINDOW=FIRST_POPUP&amp;HEIGHT=450&amp;WIDTH=450&amp;START_MAXIMI","ZED=FALSE&amp;VAR:CALENDAR=FIVEDAY&amp;VAR:SYMBOL=B138NB&amp;VAR:INDEX=0"}</definedName>
    <definedName name="_579__FDSAUDITLINK__" localSheetId="8" hidden="1">{"fdsup://directions/FAT Viewer?action=UPDATE&amp;creator=factset&amp;DYN_ARGS=TRUE&amp;DOC_NAME=FAT:FQL_AUDITING_CLIENT_TEMPLATE.FAT&amp;display_string=Audit&amp;VAR:KEY=GDUJIRINOZ&amp;VAR:QUERY=RkZfRUJJVERBX09QRVIoQU5OLDIwMTEp&amp;WINDOW=FIRST_POPUP&amp;HEIGHT=450&amp;WIDTH=450&amp;START_MAXIMI","ZED=FALSE&amp;VAR:CALENDAR=FIVEDAY&amp;VAR:SYMBOL=B138NB&amp;VAR:INDEX=0"}</definedName>
    <definedName name="_579__FDSAUDITLINK__" hidden="1">{"fdsup://directions/FAT Viewer?action=UPDATE&amp;creator=factset&amp;DYN_ARGS=TRUE&amp;DOC_NAME=FAT:FQL_AUDITING_CLIENT_TEMPLATE.FAT&amp;display_string=Audit&amp;VAR:KEY=GDUJIRINOZ&amp;VAR:QUERY=RkZfRUJJVERBX09QRVIoQU5OLDIwMTEp&amp;WINDOW=FIRST_POPUP&amp;HEIGHT=450&amp;WIDTH=450&amp;START_MAXIMI","ZED=FALSE&amp;VAR:CALENDAR=FIVEDAY&amp;VAR:SYMBOL=B138NB&amp;VAR:INDEX=0"}</definedName>
    <definedName name="_579__FDSAUDITLINK___1" localSheetId="8" hidden="1">{"fdsup://directions/FAT Viewer?action=UPDATE&amp;creator=factset&amp;DYN_ARGS=TRUE&amp;DOC_NAME=FAT:FQL_AUDITING_CLIENT_TEMPLATE.FAT&amp;display_string=Audit&amp;VAR:KEY=GDUJIRINOZ&amp;VAR:QUERY=RkZfRUJJVERBX09QRVIoQU5OLDIwMTEp&amp;WINDOW=FIRST_POPUP&amp;HEIGHT=450&amp;WIDTH=450&amp;START_MAXIMI","ZED=FALSE&amp;VAR:CALENDAR=FIVEDAY&amp;VAR:SYMBOL=B138NB&amp;VAR:INDEX=0"}</definedName>
    <definedName name="_579__FDSAUDITLINK___1" hidden="1">{"fdsup://directions/FAT Viewer?action=UPDATE&amp;creator=factset&amp;DYN_ARGS=TRUE&amp;DOC_NAME=FAT:FQL_AUDITING_CLIENT_TEMPLATE.FAT&amp;display_string=Audit&amp;VAR:KEY=GDUJIRINOZ&amp;VAR:QUERY=RkZfRUJJVERBX09QRVIoQU5OLDIwMTEp&amp;WINDOW=FIRST_POPUP&amp;HEIGHT=450&amp;WIDTH=450&amp;START_MAXIMI","ZED=FALSE&amp;VAR:CALENDAR=FIVEDAY&amp;VAR:SYMBOL=B138NB&amp;VAR:INDEX=0"}</definedName>
    <definedName name="_58__123Graph_CCHART_12" hidden="1">#REF!</definedName>
    <definedName name="_58__123Graph_CCHART_32" localSheetId="8" hidden="1">#REF!</definedName>
    <definedName name="_58__123Graph_CCHART_32" hidden="1">#REF!</definedName>
    <definedName name="_58__123Graph_LBL_ACHART_21" hidden="1">#REF!</definedName>
    <definedName name="_58__FDSAUDITLINK__" localSheetId="8" hidden="1">{"fdsup://Directions/FactSet Auditing Viewer?action=AUDIT_VALUE&amp;DB=129&amp;ID1=591344&amp;VALUEID=02001&amp;SDATE=201001&amp;PERIODTYPE=QTR_STD&amp;window=popup_no_bar&amp;width=385&amp;height=120&amp;START_MAXIMIZED=FALSE&amp;creator=factset&amp;display_string=Audit"}</definedName>
    <definedName name="_58__FDSAUDITLINK__" hidden="1">{"fdsup://directions/FAT Viewer?action=UPDATE&amp;creator=factset&amp;DYN_ARGS=TRUE&amp;DOC_NAME=FAT:FQL_AUDITING_CLIENT_TEMPLATE.FAT&amp;display_string=Audit&amp;VAR:KEY=YBUFIFWJUR&amp;VAR:QUERY=RkZfRUJJVERBX09QRVIoQ0FMLDIwMDkp&amp;WINDOW=FIRST_POPUP&amp;HEIGHT=450&amp;WIDTH=450&amp;START_MAXIMI","ZED=FALSE&amp;VAR:CALENDAR=US&amp;VAR:SYMBOL=711075&amp;VAR:INDEX=0"}</definedName>
    <definedName name="_58__FDSAUDITLINK___1" localSheetId="8" hidden="1">{"fdsup://Directions/FactSet Auditing Viewer?action=AUDIT_VALUE&amp;DB=129&amp;ID1=591344&amp;VALUEID=02001&amp;SDATE=201001&amp;PERIODTYPE=QTR_STD&amp;window=popup_no_bar&amp;width=385&amp;height=120&amp;START_MAXIMIZED=FALSE&amp;creator=factset&amp;display_string=Audit"}</definedName>
    <definedName name="_58__FDSAUDITLINK___1" hidden="1">{"fdsup://Directions/FactSet Auditing Viewer?action=AUDIT_VALUE&amp;DB=129&amp;ID1=591344&amp;VALUEID=02001&amp;SDATE=201001&amp;PERIODTYPE=QTR_STD&amp;window=popup_no_bar&amp;width=385&amp;height=120&amp;START_MAXIMIZED=FALSE&amp;creator=factset&amp;display_string=Audit"}</definedName>
    <definedName name="_580__FDSAUDITLINK__" localSheetId="8" hidden="1">{"fdsup://directions/FAT Viewer?action=UPDATE&amp;creator=factset&amp;DYN_ARGS=TRUE&amp;DOC_NAME=FAT:FQL_AUDITING_CLIENT_TEMPLATE.FAT&amp;display_string=Audit&amp;VAR:KEY=KFYPKLGRMP&amp;VAR:QUERY=RkZfRUJJVF9PUEVSKEFOTiwyMDA4KQ==&amp;WINDOW=FIRST_POPUP&amp;HEIGHT=450&amp;WIDTH=450&amp;START_MAXIMI","ZED=FALSE&amp;VAR:CALENDAR=FIVEDAY&amp;VAR:SYMBOL=B138NB&amp;VAR:INDEX=0"}</definedName>
    <definedName name="_580__FDSAUDITLINK__" hidden="1">{"fdsup://directions/FAT Viewer?action=UPDATE&amp;creator=factset&amp;DYN_ARGS=TRUE&amp;DOC_NAME=FAT:FQL_AUDITING_CLIENT_TEMPLATE.FAT&amp;display_string=Audit&amp;VAR:KEY=KFYPKLGRMP&amp;VAR:QUERY=RkZfRUJJVF9PUEVSKEFOTiwyMDA4KQ==&amp;WINDOW=FIRST_POPUP&amp;HEIGHT=450&amp;WIDTH=450&amp;START_MAXIMI","ZED=FALSE&amp;VAR:CALENDAR=FIVEDAY&amp;VAR:SYMBOL=B138NB&amp;VAR:INDEX=0"}</definedName>
    <definedName name="_580__FDSAUDITLINK___1" localSheetId="8" hidden="1">{"fdsup://directions/FAT Viewer?action=UPDATE&amp;creator=factset&amp;DYN_ARGS=TRUE&amp;DOC_NAME=FAT:FQL_AUDITING_CLIENT_TEMPLATE.FAT&amp;display_string=Audit&amp;VAR:KEY=KFYPKLGRMP&amp;VAR:QUERY=RkZfRUJJVF9PUEVSKEFOTiwyMDA4KQ==&amp;WINDOW=FIRST_POPUP&amp;HEIGHT=450&amp;WIDTH=450&amp;START_MAXIMI","ZED=FALSE&amp;VAR:CALENDAR=FIVEDAY&amp;VAR:SYMBOL=B138NB&amp;VAR:INDEX=0"}</definedName>
    <definedName name="_580__FDSAUDITLINK___1" hidden="1">{"fdsup://directions/FAT Viewer?action=UPDATE&amp;creator=factset&amp;DYN_ARGS=TRUE&amp;DOC_NAME=FAT:FQL_AUDITING_CLIENT_TEMPLATE.FAT&amp;display_string=Audit&amp;VAR:KEY=KFYPKLGRMP&amp;VAR:QUERY=RkZfRUJJVF9PUEVSKEFOTiwyMDA4KQ==&amp;WINDOW=FIRST_POPUP&amp;HEIGHT=450&amp;WIDTH=450&amp;START_MAXIMI","ZED=FALSE&amp;VAR:CALENDAR=FIVEDAY&amp;VAR:SYMBOL=B138NB&amp;VAR:INDEX=0"}</definedName>
    <definedName name="_581__FDSAUDITLINK__" localSheetId="8" hidden="1">{"fdsup://directions/FAT Viewer?action=UPDATE&amp;creator=factset&amp;DYN_ARGS=TRUE&amp;DOC_NAME=FAT:FQL_AUDITING_CLIENT_TEMPLATE.FAT&amp;display_string=Audit&amp;VAR:KEY=QNUHKRYTEV&amp;VAR:QUERY=RkZfRUJJVF9PUEVSKEFOTiwyMDEwKQ==&amp;WINDOW=FIRST_POPUP&amp;HEIGHT=450&amp;WIDTH=450&amp;START_MAXIMI","ZED=FALSE&amp;VAR:CALENDAR=FIVEDAY&amp;VAR:SYMBOL=B138NB&amp;VAR:INDEX=0"}</definedName>
    <definedName name="_581__FDSAUDITLINK__" hidden="1">{"fdsup://directions/FAT Viewer?action=UPDATE&amp;creator=factset&amp;DYN_ARGS=TRUE&amp;DOC_NAME=FAT:FQL_AUDITING_CLIENT_TEMPLATE.FAT&amp;display_string=Audit&amp;VAR:KEY=QNUHKRYTEV&amp;VAR:QUERY=RkZfRUJJVF9PUEVSKEFOTiwyMDEwKQ==&amp;WINDOW=FIRST_POPUP&amp;HEIGHT=450&amp;WIDTH=450&amp;START_MAXIMI","ZED=FALSE&amp;VAR:CALENDAR=FIVEDAY&amp;VAR:SYMBOL=B138NB&amp;VAR:INDEX=0"}</definedName>
    <definedName name="_581__FDSAUDITLINK___1" localSheetId="8" hidden="1">{"fdsup://directions/FAT Viewer?action=UPDATE&amp;creator=factset&amp;DYN_ARGS=TRUE&amp;DOC_NAME=FAT:FQL_AUDITING_CLIENT_TEMPLATE.FAT&amp;display_string=Audit&amp;VAR:KEY=QNUHKRYTEV&amp;VAR:QUERY=RkZfRUJJVF9PUEVSKEFOTiwyMDEwKQ==&amp;WINDOW=FIRST_POPUP&amp;HEIGHT=450&amp;WIDTH=450&amp;START_MAXIMI","ZED=FALSE&amp;VAR:CALENDAR=FIVEDAY&amp;VAR:SYMBOL=B138NB&amp;VAR:INDEX=0"}</definedName>
    <definedName name="_581__FDSAUDITLINK___1" hidden="1">{"fdsup://directions/FAT Viewer?action=UPDATE&amp;creator=factset&amp;DYN_ARGS=TRUE&amp;DOC_NAME=FAT:FQL_AUDITING_CLIENT_TEMPLATE.FAT&amp;display_string=Audit&amp;VAR:KEY=QNUHKRYTEV&amp;VAR:QUERY=RkZfRUJJVF9PUEVSKEFOTiwyMDEwKQ==&amp;WINDOW=FIRST_POPUP&amp;HEIGHT=450&amp;WIDTH=450&amp;START_MAXIMI","ZED=FALSE&amp;VAR:CALENDAR=FIVEDAY&amp;VAR:SYMBOL=B138NB&amp;VAR:INDEX=0"}</definedName>
    <definedName name="_582__FDSAUDITLINK__" localSheetId="8" hidden="1">{"fdsup://directions/FAT Viewer?action=UPDATE&amp;creator=factset&amp;DYN_ARGS=TRUE&amp;DOC_NAME=FAT:FQL_AUDITING_CLIENT_TEMPLATE.FAT&amp;display_string=Audit&amp;VAR:KEY=WFGXURARAT&amp;VAR:QUERY=RkZfQ0FQRVgoQU5OLDIwMDkp&amp;WINDOW=FIRST_POPUP&amp;HEIGHT=450&amp;WIDTH=450&amp;START_MAXIMIZED=FALS","E&amp;VAR:CALENDAR=FIVEDAY&amp;VAR:SYMBOL=B138NB&amp;VAR:INDEX=0"}</definedName>
    <definedName name="_582__FDSAUDITLINK__" hidden="1">{"fdsup://directions/FAT Viewer?action=UPDATE&amp;creator=factset&amp;DYN_ARGS=TRUE&amp;DOC_NAME=FAT:FQL_AUDITING_CLIENT_TEMPLATE.FAT&amp;display_string=Audit&amp;VAR:KEY=WFGXURARAT&amp;VAR:QUERY=RkZfQ0FQRVgoQU5OLDIwMDkp&amp;WINDOW=FIRST_POPUP&amp;HEIGHT=450&amp;WIDTH=450&amp;START_MAXIMIZED=FALS","E&amp;VAR:CALENDAR=FIVEDAY&amp;VAR:SYMBOL=B138NB&amp;VAR:INDEX=0"}</definedName>
    <definedName name="_582__FDSAUDITLINK___1" localSheetId="8" hidden="1">{"fdsup://directions/FAT Viewer?action=UPDATE&amp;creator=factset&amp;DYN_ARGS=TRUE&amp;DOC_NAME=FAT:FQL_AUDITING_CLIENT_TEMPLATE.FAT&amp;display_string=Audit&amp;VAR:KEY=WFGXURARAT&amp;VAR:QUERY=RkZfQ0FQRVgoQU5OLDIwMDkp&amp;WINDOW=FIRST_POPUP&amp;HEIGHT=450&amp;WIDTH=450&amp;START_MAXIMIZED=FALS","E&amp;VAR:CALENDAR=FIVEDAY&amp;VAR:SYMBOL=B138NB&amp;VAR:INDEX=0"}</definedName>
    <definedName name="_582__FDSAUDITLINK___1" hidden="1">{"fdsup://directions/FAT Viewer?action=UPDATE&amp;creator=factset&amp;DYN_ARGS=TRUE&amp;DOC_NAME=FAT:FQL_AUDITING_CLIENT_TEMPLATE.FAT&amp;display_string=Audit&amp;VAR:KEY=WFGXURARAT&amp;VAR:QUERY=RkZfQ0FQRVgoQU5OLDIwMDkp&amp;WINDOW=FIRST_POPUP&amp;HEIGHT=450&amp;WIDTH=450&amp;START_MAXIMIZED=FALS","E&amp;VAR:CALENDAR=FIVEDAY&amp;VAR:SYMBOL=B138NB&amp;VAR:INDEX=0"}</definedName>
    <definedName name="_583__FDSAUDITLINK__" localSheetId="8" hidden="1">{"fdsup://directions/FAT Viewer?action=UPDATE&amp;creator=factset&amp;DYN_ARGS=TRUE&amp;DOC_NAME=FAT:FQL_AUDITING_CLIENT_TEMPLATE.FAT&amp;display_string=Audit&amp;VAR:KEY=MRGTKZYLSF&amp;VAR:QUERY=RkZfQ0FQRVgoQU5OLDIwMTEp&amp;WINDOW=FIRST_POPUP&amp;HEIGHT=450&amp;WIDTH=450&amp;START_MAXIMIZED=FALS","E&amp;VAR:CALENDAR=FIVEDAY&amp;VAR:SYMBOL=B138NB&amp;VAR:INDEX=0"}</definedName>
    <definedName name="_583__FDSAUDITLINK__" hidden="1">{"fdsup://directions/FAT Viewer?action=UPDATE&amp;creator=factset&amp;DYN_ARGS=TRUE&amp;DOC_NAME=FAT:FQL_AUDITING_CLIENT_TEMPLATE.FAT&amp;display_string=Audit&amp;VAR:KEY=MRGTKZYLSF&amp;VAR:QUERY=RkZfQ0FQRVgoQU5OLDIwMTEp&amp;WINDOW=FIRST_POPUP&amp;HEIGHT=450&amp;WIDTH=450&amp;START_MAXIMIZED=FALS","E&amp;VAR:CALENDAR=FIVEDAY&amp;VAR:SYMBOL=B138NB&amp;VAR:INDEX=0"}</definedName>
    <definedName name="_583__FDSAUDITLINK___1" localSheetId="8" hidden="1">{"fdsup://directions/FAT Viewer?action=UPDATE&amp;creator=factset&amp;DYN_ARGS=TRUE&amp;DOC_NAME=FAT:FQL_AUDITING_CLIENT_TEMPLATE.FAT&amp;display_string=Audit&amp;VAR:KEY=MRGTKZYLSF&amp;VAR:QUERY=RkZfQ0FQRVgoQU5OLDIwMTEp&amp;WINDOW=FIRST_POPUP&amp;HEIGHT=450&amp;WIDTH=450&amp;START_MAXIMIZED=FALS","E&amp;VAR:CALENDAR=FIVEDAY&amp;VAR:SYMBOL=B138NB&amp;VAR:INDEX=0"}</definedName>
    <definedName name="_583__FDSAUDITLINK___1" hidden="1">{"fdsup://directions/FAT Viewer?action=UPDATE&amp;creator=factset&amp;DYN_ARGS=TRUE&amp;DOC_NAME=FAT:FQL_AUDITING_CLIENT_TEMPLATE.FAT&amp;display_string=Audit&amp;VAR:KEY=MRGTKZYLSF&amp;VAR:QUERY=RkZfQ0FQRVgoQU5OLDIwMTEp&amp;WINDOW=FIRST_POPUP&amp;HEIGHT=450&amp;WIDTH=450&amp;START_MAXIMIZED=FALS","E&amp;VAR:CALENDAR=FIVEDAY&amp;VAR:SYMBOL=B138NB&amp;VAR:INDEX=0"}</definedName>
    <definedName name="_584__FDSAUDITLINK__" localSheetId="8" hidden="1">{"fdsup://directions/FAT Viewer?action=UPDATE&amp;creator=factset&amp;DYN_ARGS=TRUE&amp;DOC_NAME=FAT:FQL_AUDITING_CLIENT_TEMPLATE.FAT&amp;display_string=Audit&amp;VAR:KEY=LQNKBOVWJE&amp;VAR:QUERY=RkZfTkVUX0lOQyhBTk4sMjAwOCk=&amp;WINDOW=FIRST_POPUP&amp;HEIGHT=450&amp;WIDTH=450&amp;START_MAXIMIZED=","FALSE&amp;VAR:CALENDAR=FIVEDAY&amp;VAR:SYMBOL=B138NB&amp;VAR:INDEX=0"}</definedName>
    <definedName name="_584__FDSAUDITLINK__" hidden="1">{"fdsup://directions/FAT Viewer?action=UPDATE&amp;creator=factset&amp;DYN_ARGS=TRUE&amp;DOC_NAME=FAT:FQL_AUDITING_CLIENT_TEMPLATE.FAT&amp;display_string=Audit&amp;VAR:KEY=LQNKBOVWJE&amp;VAR:QUERY=RkZfTkVUX0lOQyhBTk4sMjAwOCk=&amp;WINDOW=FIRST_POPUP&amp;HEIGHT=450&amp;WIDTH=450&amp;START_MAXIMIZED=","FALSE&amp;VAR:CALENDAR=FIVEDAY&amp;VAR:SYMBOL=B138NB&amp;VAR:INDEX=0"}</definedName>
    <definedName name="_584__FDSAUDITLINK___1" localSheetId="8" hidden="1">{"fdsup://directions/FAT Viewer?action=UPDATE&amp;creator=factset&amp;DYN_ARGS=TRUE&amp;DOC_NAME=FAT:FQL_AUDITING_CLIENT_TEMPLATE.FAT&amp;display_string=Audit&amp;VAR:KEY=LQNKBOVWJE&amp;VAR:QUERY=RkZfTkVUX0lOQyhBTk4sMjAwOCk=&amp;WINDOW=FIRST_POPUP&amp;HEIGHT=450&amp;WIDTH=450&amp;START_MAXIMIZED=","FALSE&amp;VAR:CALENDAR=FIVEDAY&amp;VAR:SYMBOL=B138NB&amp;VAR:INDEX=0"}</definedName>
    <definedName name="_584__FDSAUDITLINK___1" hidden="1">{"fdsup://directions/FAT Viewer?action=UPDATE&amp;creator=factset&amp;DYN_ARGS=TRUE&amp;DOC_NAME=FAT:FQL_AUDITING_CLIENT_TEMPLATE.FAT&amp;display_string=Audit&amp;VAR:KEY=LQNKBOVWJE&amp;VAR:QUERY=RkZfTkVUX0lOQyhBTk4sMjAwOCk=&amp;WINDOW=FIRST_POPUP&amp;HEIGHT=450&amp;WIDTH=450&amp;START_MAXIMIZED=","FALSE&amp;VAR:CALENDAR=FIVEDAY&amp;VAR:SYMBOL=B138NB&amp;VAR:INDEX=0"}</definedName>
    <definedName name="_585__FDSAUDITLINK__" localSheetId="8" hidden="1">{"fdsup://directions/FAT Viewer?action=UPDATE&amp;creator=factset&amp;DYN_ARGS=TRUE&amp;DOC_NAME=FAT:FQL_AUDITING_CLIENT_TEMPLATE.FAT&amp;display_string=Audit&amp;VAR:KEY=ZQBEFQJUZE&amp;VAR:QUERY=RkZfTkVUX0lOQyhBTk4sMjAxMCk=&amp;WINDOW=FIRST_POPUP&amp;HEIGHT=450&amp;WIDTH=450&amp;START_MAXIMIZED=","FALSE&amp;VAR:CALENDAR=FIVEDAY&amp;VAR:SYMBOL=B138NB&amp;VAR:INDEX=0"}</definedName>
    <definedName name="_585__FDSAUDITLINK__" hidden="1">{"fdsup://directions/FAT Viewer?action=UPDATE&amp;creator=factset&amp;DYN_ARGS=TRUE&amp;DOC_NAME=FAT:FQL_AUDITING_CLIENT_TEMPLATE.FAT&amp;display_string=Audit&amp;VAR:KEY=ZQBEFQJUZE&amp;VAR:QUERY=RkZfTkVUX0lOQyhBTk4sMjAxMCk=&amp;WINDOW=FIRST_POPUP&amp;HEIGHT=450&amp;WIDTH=450&amp;START_MAXIMIZED=","FALSE&amp;VAR:CALENDAR=FIVEDAY&amp;VAR:SYMBOL=B138NB&amp;VAR:INDEX=0"}</definedName>
    <definedName name="_585__FDSAUDITLINK___1" localSheetId="8" hidden="1">{"fdsup://directions/FAT Viewer?action=UPDATE&amp;creator=factset&amp;DYN_ARGS=TRUE&amp;DOC_NAME=FAT:FQL_AUDITING_CLIENT_TEMPLATE.FAT&amp;display_string=Audit&amp;VAR:KEY=ZQBEFQJUZE&amp;VAR:QUERY=RkZfTkVUX0lOQyhBTk4sMjAxMCk=&amp;WINDOW=FIRST_POPUP&amp;HEIGHT=450&amp;WIDTH=450&amp;START_MAXIMIZED=","FALSE&amp;VAR:CALENDAR=FIVEDAY&amp;VAR:SYMBOL=B138NB&amp;VAR:INDEX=0"}</definedName>
    <definedName name="_585__FDSAUDITLINK___1" hidden="1">{"fdsup://directions/FAT Viewer?action=UPDATE&amp;creator=factset&amp;DYN_ARGS=TRUE&amp;DOC_NAME=FAT:FQL_AUDITING_CLIENT_TEMPLATE.FAT&amp;display_string=Audit&amp;VAR:KEY=ZQBEFQJUZE&amp;VAR:QUERY=RkZfTkVUX0lOQyhBTk4sMjAxMCk=&amp;WINDOW=FIRST_POPUP&amp;HEIGHT=450&amp;WIDTH=450&amp;START_MAXIMIZED=","FALSE&amp;VAR:CALENDAR=FIVEDAY&amp;VAR:SYMBOL=B138NB&amp;VAR:INDEX=0"}</definedName>
    <definedName name="_586__FDSAUDITLINK__" localSheetId="8" hidden="1">{"fdsup://Directions/FactSet Auditing Viewer?action=AUDIT_VALUE&amp;DB=129&amp;ID1=B5KKT9&amp;VALUEID=01001&amp;SDATE=2009&amp;PERIODTYPE=ANN_STD&amp;SCFT=3&amp;window=popup_no_bar&amp;width=385&amp;height=120&amp;START_MAXIMIZED=FALSE&amp;creator=factset&amp;display_string=Audit"}</definedName>
    <definedName name="_586__FDSAUDITLINK__" hidden="1">{"fdsup://Directions/FactSet Auditing Viewer?action=AUDIT_VALUE&amp;DB=129&amp;ID1=B5KKT9&amp;VALUEID=01001&amp;SDATE=2009&amp;PERIODTYPE=ANN_STD&amp;SCFT=3&amp;window=popup_no_bar&amp;width=385&amp;height=120&amp;START_MAXIMIZED=FALSE&amp;creator=factset&amp;display_string=Audit"}</definedName>
    <definedName name="_586__FDSAUDITLINK___1" localSheetId="8" hidden="1">{"fdsup://Directions/FactSet Auditing Viewer?action=AUDIT_VALUE&amp;DB=129&amp;ID1=B5KKT9&amp;VALUEID=01001&amp;SDATE=2009&amp;PERIODTYPE=ANN_STD&amp;SCFT=3&amp;window=popup_no_bar&amp;width=385&amp;height=120&amp;START_MAXIMIZED=FALSE&amp;creator=factset&amp;display_string=Audit"}</definedName>
    <definedName name="_586__FDSAUDITLINK___1" hidden="1">{"fdsup://Directions/FactSet Auditing Viewer?action=AUDIT_VALUE&amp;DB=129&amp;ID1=B5KKT9&amp;VALUEID=01001&amp;SDATE=2009&amp;PERIODTYPE=ANN_STD&amp;SCFT=3&amp;window=popup_no_bar&amp;width=385&amp;height=120&amp;START_MAXIMIZED=FALSE&amp;creator=factset&amp;display_string=Audit"}</definedName>
    <definedName name="_587__FDSAUDITLINK__" localSheetId="8" hidden="1">{"fdsup://directions/FAT Viewer?action=UPDATE&amp;creator=factset&amp;DYN_ARGS=TRUE&amp;DOC_NAME=FAT:FQL_AUDITING_CLIENT_TEMPLATE.FAT&amp;display_string=Audit&amp;VAR:KEY=UVUVEXGXKB&amp;VAR:QUERY=RkZfRUJJVERBX09QRVIoQU5OLDIwMDgp&amp;WINDOW=FIRST_POPUP&amp;HEIGHT=450&amp;WIDTH=450&amp;START_MAXIMI","ZED=FALSE&amp;VAR:CALENDAR=FIVEDAY&amp;VAR:SYMBOL=B5KKT9&amp;VAR:INDEX=0"}</definedName>
    <definedName name="_587__FDSAUDITLINK__" hidden="1">{"fdsup://directions/FAT Viewer?action=UPDATE&amp;creator=factset&amp;DYN_ARGS=TRUE&amp;DOC_NAME=FAT:FQL_AUDITING_CLIENT_TEMPLATE.FAT&amp;display_string=Audit&amp;VAR:KEY=UVUVEXGXKB&amp;VAR:QUERY=RkZfRUJJVERBX09QRVIoQU5OLDIwMDgp&amp;WINDOW=FIRST_POPUP&amp;HEIGHT=450&amp;WIDTH=450&amp;START_MAXIMI","ZED=FALSE&amp;VAR:CALENDAR=FIVEDAY&amp;VAR:SYMBOL=B5KKT9&amp;VAR:INDEX=0"}</definedName>
    <definedName name="_587__FDSAUDITLINK___1" localSheetId="8" hidden="1">{"fdsup://directions/FAT Viewer?action=UPDATE&amp;creator=factset&amp;DYN_ARGS=TRUE&amp;DOC_NAME=FAT:FQL_AUDITING_CLIENT_TEMPLATE.FAT&amp;display_string=Audit&amp;VAR:KEY=UVUVEXGXKB&amp;VAR:QUERY=RkZfRUJJVERBX09QRVIoQU5OLDIwMDgp&amp;WINDOW=FIRST_POPUP&amp;HEIGHT=450&amp;WIDTH=450&amp;START_MAXIMI","ZED=FALSE&amp;VAR:CALENDAR=FIVEDAY&amp;VAR:SYMBOL=B5KKT9&amp;VAR:INDEX=0"}</definedName>
    <definedName name="_587__FDSAUDITLINK___1" hidden="1">{"fdsup://directions/FAT Viewer?action=UPDATE&amp;creator=factset&amp;DYN_ARGS=TRUE&amp;DOC_NAME=FAT:FQL_AUDITING_CLIENT_TEMPLATE.FAT&amp;display_string=Audit&amp;VAR:KEY=UVUVEXGXKB&amp;VAR:QUERY=RkZfRUJJVERBX09QRVIoQU5OLDIwMDgp&amp;WINDOW=FIRST_POPUP&amp;HEIGHT=450&amp;WIDTH=450&amp;START_MAXIMI","ZED=FALSE&amp;VAR:CALENDAR=FIVEDAY&amp;VAR:SYMBOL=B5KKT9&amp;VAR:INDEX=0"}</definedName>
    <definedName name="_588__FDSAUDITLINK__" localSheetId="8" hidden="1">{"fdsup://directions/FAT Viewer?action=UPDATE&amp;creator=factset&amp;DYN_ARGS=TRUE&amp;DOC_NAME=FAT:FQL_AUDITING_CLIENT_TEMPLATE.FAT&amp;display_string=Audit&amp;VAR:KEY=KNCZEHEPUN&amp;VAR:QUERY=RkZfRUJJVERBX09QRVIoQU5OLDIwMTAp&amp;WINDOW=FIRST_POPUP&amp;HEIGHT=450&amp;WIDTH=450&amp;START_MAXIMI","ZED=FALSE&amp;VAR:CALENDAR=FIVEDAY&amp;VAR:SYMBOL=B5KKT9&amp;VAR:INDEX=0"}</definedName>
    <definedName name="_588__FDSAUDITLINK__" hidden="1">{"fdsup://directions/FAT Viewer?action=UPDATE&amp;creator=factset&amp;DYN_ARGS=TRUE&amp;DOC_NAME=FAT:FQL_AUDITING_CLIENT_TEMPLATE.FAT&amp;display_string=Audit&amp;VAR:KEY=KNCZEHEPUN&amp;VAR:QUERY=RkZfRUJJVERBX09QRVIoQU5OLDIwMTAp&amp;WINDOW=FIRST_POPUP&amp;HEIGHT=450&amp;WIDTH=450&amp;START_MAXIMI","ZED=FALSE&amp;VAR:CALENDAR=FIVEDAY&amp;VAR:SYMBOL=B5KKT9&amp;VAR:INDEX=0"}</definedName>
    <definedName name="_588__FDSAUDITLINK___1" localSheetId="8" hidden="1">{"fdsup://directions/FAT Viewer?action=UPDATE&amp;creator=factset&amp;DYN_ARGS=TRUE&amp;DOC_NAME=FAT:FQL_AUDITING_CLIENT_TEMPLATE.FAT&amp;display_string=Audit&amp;VAR:KEY=KNCZEHEPUN&amp;VAR:QUERY=RkZfRUJJVERBX09QRVIoQU5OLDIwMTAp&amp;WINDOW=FIRST_POPUP&amp;HEIGHT=450&amp;WIDTH=450&amp;START_MAXIMI","ZED=FALSE&amp;VAR:CALENDAR=FIVEDAY&amp;VAR:SYMBOL=B5KKT9&amp;VAR:INDEX=0"}</definedName>
    <definedName name="_588__FDSAUDITLINK___1" hidden="1">{"fdsup://directions/FAT Viewer?action=UPDATE&amp;creator=factset&amp;DYN_ARGS=TRUE&amp;DOC_NAME=FAT:FQL_AUDITING_CLIENT_TEMPLATE.FAT&amp;display_string=Audit&amp;VAR:KEY=KNCZEHEPUN&amp;VAR:QUERY=RkZfRUJJVERBX09QRVIoQU5OLDIwMTAp&amp;WINDOW=FIRST_POPUP&amp;HEIGHT=450&amp;WIDTH=450&amp;START_MAXIMI","ZED=FALSE&amp;VAR:CALENDAR=FIVEDAY&amp;VAR:SYMBOL=B5KKT9&amp;VAR:INDEX=0"}</definedName>
    <definedName name="_589__FDSAUDITLINK__" localSheetId="8" hidden="1">{"fdsup://directions/FAT Viewer?action=UPDATE&amp;creator=factset&amp;DYN_ARGS=TRUE&amp;DOC_NAME=FAT:FQL_AUDITING_CLIENT_TEMPLATE.FAT&amp;display_string=Audit&amp;VAR:KEY=VOVGVALUJA&amp;VAR:QUERY=RkZfRUJJVF9PUEVSKEFOTiwyMDA5KQ==&amp;WINDOW=FIRST_POPUP&amp;HEIGHT=450&amp;WIDTH=450&amp;START_MAXIMI","ZED=FALSE&amp;VAR:CALENDAR=FIVEDAY&amp;VAR:SYMBOL=B5KKT9&amp;VAR:INDEX=0"}</definedName>
    <definedName name="_589__FDSAUDITLINK__" hidden="1">{"fdsup://directions/FAT Viewer?action=UPDATE&amp;creator=factset&amp;DYN_ARGS=TRUE&amp;DOC_NAME=FAT:FQL_AUDITING_CLIENT_TEMPLATE.FAT&amp;display_string=Audit&amp;VAR:KEY=VOVGVALUJA&amp;VAR:QUERY=RkZfRUJJVF9PUEVSKEFOTiwyMDA5KQ==&amp;WINDOW=FIRST_POPUP&amp;HEIGHT=450&amp;WIDTH=450&amp;START_MAXIMI","ZED=FALSE&amp;VAR:CALENDAR=FIVEDAY&amp;VAR:SYMBOL=B5KKT9&amp;VAR:INDEX=0"}</definedName>
    <definedName name="_589__FDSAUDITLINK___1" localSheetId="8" hidden="1">{"fdsup://directions/FAT Viewer?action=UPDATE&amp;creator=factset&amp;DYN_ARGS=TRUE&amp;DOC_NAME=FAT:FQL_AUDITING_CLIENT_TEMPLATE.FAT&amp;display_string=Audit&amp;VAR:KEY=VOVGVALUJA&amp;VAR:QUERY=RkZfRUJJVF9PUEVSKEFOTiwyMDA5KQ==&amp;WINDOW=FIRST_POPUP&amp;HEIGHT=450&amp;WIDTH=450&amp;START_MAXIMI","ZED=FALSE&amp;VAR:CALENDAR=FIVEDAY&amp;VAR:SYMBOL=B5KKT9&amp;VAR:INDEX=0"}</definedName>
    <definedName name="_589__FDSAUDITLINK___1" hidden="1">{"fdsup://directions/FAT Viewer?action=UPDATE&amp;creator=factset&amp;DYN_ARGS=TRUE&amp;DOC_NAME=FAT:FQL_AUDITING_CLIENT_TEMPLATE.FAT&amp;display_string=Audit&amp;VAR:KEY=VOVGVALUJA&amp;VAR:QUERY=RkZfRUJJVF9PUEVSKEFOTiwyMDA5KQ==&amp;WINDOW=FIRST_POPUP&amp;HEIGHT=450&amp;WIDTH=450&amp;START_MAXIMI","ZED=FALSE&amp;VAR:CALENDAR=FIVEDAY&amp;VAR:SYMBOL=B5KKT9&amp;VAR:INDEX=0"}</definedName>
    <definedName name="_59__123Graph_CCHART_33" localSheetId="8" hidden="1">#REF!</definedName>
    <definedName name="_59__123Graph_CCHART_33" hidden="1">#REF!</definedName>
    <definedName name="_59__123Graph_LBL_ACHART_22" hidden="1">#REF!</definedName>
    <definedName name="_59__FDSAUDITLINK__" localSheetId="8" hidden="1">{"fdsup://directions/FAT Viewer?action=UPDATE&amp;creator=factset&amp;DYN_ARGS=TRUE&amp;DOC_NAME=FAT:FQL_AUDITING_CLIENT_TEMPLATE.FAT&amp;display_string=Audit&amp;VAR:KEY=IHARAHIDGV&amp;VAR:QUERY=RkZfRUJJVERBX0lCKEFOTiw0MDE3OCwsLCxFVVIp&amp;WINDOW=FIRST_POPUP&amp;HEIGHT=450&amp;WIDTH=450&amp;STAR","T_MAXIMIZED=FALSE&amp;VAR:CALENDAR=FIVEDAY&amp;VAR:SYMBOL=591344&amp;VAR:INDEX=0"}</definedName>
    <definedName name="_59__FDSAUDITLINK__" hidden="1">{"fdsup://directions/FAT Viewer?action=UPDATE&amp;creator=factset&amp;DYN_ARGS=TRUE&amp;DOC_NAME=FAT:FQL_AUDITING_CLIENT_TEMPLATE.FAT&amp;display_string=Audit&amp;VAR:KEY=BMBCFMRWPK&amp;VAR:QUERY=RkZfRUJJVERBX09QRVIoQ0FMLDIwMDkp&amp;WINDOW=FIRST_POPUP&amp;HEIGHT=450&amp;WIDTH=450&amp;START_MAXIMI","ZED=FALSE&amp;VAR:CALENDAR=US&amp;VAR:SYMBOL=CX&amp;VAR:INDEX=0"}</definedName>
    <definedName name="_59__FDSAUDITLINK___1" localSheetId="8" hidden="1">{"fdsup://directions/FAT Viewer?action=UPDATE&amp;creator=factset&amp;DYN_ARGS=TRUE&amp;DOC_NAME=FAT:FQL_AUDITING_CLIENT_TEMPLATE.FAT&amp;display_string=Audit&amp;VAR:KEY=IHARAHIDGV&amp;VAR:QUERY=RkZfRUJJVERBX0lCKEFOTiw0MDE3OCwsLCxFVVIp&amp;WINDOW=FIRST_POPUP&amp;HEIGHT=450&amp;WIDTH=450&amp;STAR","T_MAXIMIZED=FALSE&amp;VAR:CALENDAR=FIVEDAY&amp;VAR:SYMBOL=591344&amp;VAR:INDEX=0"}</definedName>
    <definedName name="_59__FDSAUDITLINK___1" hidden="1">{"fdsup://directions/FAT Viewer?action=UPDATE&amp;creator=factset&amp;DYN_ARGS=TRUE&amp;DOC_NAME=FAT:FQL_AUDITING_CLIENT_TEMPLATE.FAT&amp;display_string=Audit&amp;VAR:KEY=IHARAHIDGV&amp;VAR:QUERY=RkZfRUJJVERBX0lCKEFOTiw0MDE3OCwsLCxFVVIp&amp;WINDOW=FIRST_POPUP&amp;HEIGHT=450&amp;WIDTH=450&amp;STAR","T_MAXIMIZED=FALSE&amp;VAR:CALENDAR=FIVEDAY&amp;VAR:SYMBOL=591344&amp;VAR:INDEX=0"}</definedName>
    <definedName name="_590__FDSAUDITLINK__" localSheetId="8" hidden="1">{"fdsup://directions/FAT Viewer?action=UPDATE&amp;creator=factset&amp;DYN_ARGS=TRUE&amp;DOC_NAME=FAT:FQL_AUDITING_CLIENT_TEMPLATE.FAT&amp;display_string=Audit&amp;VAR:KEY=CZAFGLATWH&amp;VAR:QUERY=RkZfRUJJVF9PUEVSKEFOTiwyMDEwKQ==&amp;WINDOW=FIRST_POPUP&amp;HEIGHT=450&amp;WIDTH=450&amp;START_MAXIMI","ZED=FALSE&amp;VAR:CALENDAR=FIVEDAY&amp;VAR:SYMBOL=B5KKT9&amp;VAR:INDEX=0"}</definedName>
    <definedName name="_590__FDSAUDITLINK__" hidden="1">{"fdsup://directions/FAT Viewer?action=UPDATE&amp;creator=factset&amp;DYN_ARGS=TRUE&amp;DOC_NAME=FAT:FQL_AUDITING_CLIENT_TEMPLATE.FAT&amp;display_string=Audit&amp;VAR:KEY=CZAFGLATWH&amp;VAR:QUERY=RkZfRUJJVF9PUEVSKEFOTiwyMDEwKQ==&amp;WINDOW=FIRST_POPUP&amp;HEIGHT=450&amp;WIDTH=450&amp;START_MAXIMI","ZED=FALSE&amp;VAR:CALENDAR=FIVEDAY&amp;VAR:SYMBOL=B5KKT9&amp;VAR:INDEX=0"}</definedName>
    <definedName name="_590__FDSAUDITLINK___1" localSheetId="8" hidden="1">{"fdsup://directions/FAT Viewer?action=UPDATE&amp;creator=factset&amp;DYN_ARGS=TRUE&amp;DOC_NAME=FAT:FQL_AUDITING_CLIENT_TEMPLATE.FAT&amp;display_string=Audit&amp;VAR:KEY=CZAFGLATWH&amp;VAR:QUERY=RkZfRUJJVF9PUEVSKEFOTiwyMDEwKQ==&amp;WINDOW=FIRST_POPUP&amp;HEIGHT=450&amp;WIDTH=450&amp;START_MAXIMI","ZED=FALSE&amp;VAR:CALENDAR=FIVEDAY&amp;VAR:SYMBOL=B5KKT9&amp;VAR:INDEX=0"}</definedName>
    <definedName name="_590__FDSAUDITLINK___1" hidden="1">{"fdsup://directions/FAT Viewer?action=UPDATE&amp;creator=factset&amp;DYN_ARGS=TRUE&amp;DOC_NAME=FAT:FQL_AUDITING_CLIENT_TEMPLATE.FAT&amp;display_string=Audit&amp;VAR:KEY=CZAFGLATWH&amp;VAR:QUERY=RkZfRUJJVF9PUEVSKEFOTiwyMDEwKQ==&amp;WINDOW=FIRST_POPUP&amp;HEIGHT=450&amp;WIDTH=450&amp;START_MAXIMI","ZED=FALSE&amp;VAR:CALENDAR=FIVEDAY&amp;VAR:SYMBOL=B5KKT9&amp;VAR:INDEX=0"}</definedName>
    <definedName name="_591__FDSAUDITLINK__" localSheetId="8" hidden="1">{"fdsup://directions/FAT Viewer?action=UPDATE&amp;creator=factset&amp;DYN_ARGS=TRUE&amp;DOC_NAME=FAT:FQL_AUDITING_CLIENT_TEMPLATE.FAT&amp;display_string=Audit&amp;VAR:KEY=ANMBILAFUZ&amp;VAR:QUERY=RkZfQ0FQRVgoQU5OLDIwMDgp&amp;WINDOW=FIRST_POPUP&amp;HEIGHT=450&amp;WIDTH=450&amp;START_MAXIMIZED=FALS","E&amp;VAR:CALENDAR=FIVEDAY&amp;VAR:SYMBOL=B5KKT9&amp;VAR:INDEX=0"}</definedName>
    <definedName name="_591__FDSAUDITLINK__" hidden="1">{"fdsup://directions/FAT Viewer?action=UPDATE&amp;creator=factset&amp;DYN_ARGS=TRUE&amp;DOC_NAME=FAT:FQL_AUDITING_CLIENT_TEMPLATE.FAT&amp;display_string=Audit&amp;VAR:KEY=ANMBILAFUZ&amp;VAR:QUERY=RkZfQ0FQRVgoQU5OLDIwMDgp&amp;WINDOW=FIRST_POPUP&amp;HEIGHT=450&amp;WIDTH=450&amp;START_MAXIMIZED=FALS","E&amp;VAR:CALENDAR=FIVEDAY&amp;VAR:SYMBOL=B5KKT9&amp;VAR:INDEX=0"}</definedName>
    <definedName name="_591__FDSAUDITLINK___1" localSheetId="8" hidden="1">{"fdsup://directions/FAT Viewer?action=UPDATE&amp;creator=factset&amp;DYN_ARGS=TRUE&amp;DOC_NAME=FAT:FQL_AUDITING_CLIENT_TEMPLATE.FAT&amp;display_string=Audit&amp;VAR:KEY=ANMBILAFUZ&amp;VAR:QUERY=RkZfQ0FQRVgoQU5OLDIwMDgp&amp;WINDOW=FIRST_POPUP&amp;HEIGHT=450&amp;WIDTH=450&amp;START_MAXIMIZED=FALS","E&amp;VAR:CALENDAR=FIVEDAY&amp;VAR:SYMBOL=B5KKT9&amp;VAR:INDEX=0"}</definedName>
    <definedName name="_591__FDSAUDITLINK___1" hidden="1">{"fdsup://directions/FAT Viewer?action=UPDATE&amp;creator=factset&amp;DYN_ARGS=TRUE&amp;DOC_NAME=FAT:FQL_AUDITING_CLIENT_TEMPLATE.FAT&amp;display_string=Audit&amp;VAR:KEY=ANMBILAFUZ&amp;VAR:QUERY=RkZfQ0FQRVgoQU5OLDIwMDgp&amp;WINDOW=FIRST_POPUP&amp;HEIGHT=450&amp;WIDTH=450&amp;START_MAXIMIZED=FALS","E&amp;VAR:CALENDAR=FIVEDAY&amp;VAR:SYMBOL=B5KKT9&amp;VAR:INDEX=0"}</definedName>
    <definedName name="_592__FDSAUDITLINK__" localSheetId="8" hidden="1">{"fdsup://directions/FAT Viewer?action=UPDATE&amp;creator=factset&amp;DYN_ARGS=TRUE&amp;DOC_NAME=FAT:FQL_AUDITING_CLIENT_TEMPLATE.FAT&amp;display_string=Audit&amp;VAR:KEY=ERODMPYVEV&amp;VAR:QUERY=RkZfQ0FQRVgoQU5OLDIwMTAp&amp;WINDOW=FIRST_POPUP&amp;HEIGHT=450&amp;WIDTH=450&amp;START_MAXIMIZED=FALS","E&amp;VAR:CALENDAR=FIVEDAY&amp;VAR:SYMBOL=B5KKT9&amp;VAR:INDEX=0"}</definedName>
    <definedName name="_592__FDSAUDITLINK__" hidden="1">{"fdsup://directions/FAT Viewer?action=UPDATE&amp;creator=factset&amp;DYN_ARGS=TRUE&amp;DOC_NAME=FAT:FQL_AUDITING_CLIENT_TEMPLATE.FAT&amp;display_string=Audit&amp;VAR:KEY=ERODMPYVEV&amp;VAR:QUERY=RkZfQ0FQRVgoQU5OLDIwMTAp&amp;WINDOW=FIRST_POPUP&amp;HEIGHT=450&amp;WIDTH=450&amp;START_MAXIMIZED=FALS","E&amp;VAR:CALENDAR=FIVEDAY&amp;VAR:SYMBOL=B5KKT9&amp;VAR:INDEX=0"}</definedName>
    <definedName name="_592__FDSAUDITLINK___1" localSheetId="8" hidden="1">{"fdsup://directions/FAT Viewer?action=UPDATE&amp;creator=factset&amp;DYN_ARGS=TRUE&amp;DOC_NAME=FAT:FQL_AUDITING_CLIENT_TEMPLATE.FAT&amp;display_string=Audit&amp;VAR:KEY=ERODMPYVEV&amp;VAR:QUERY=RkZfQ0FQRVgoQU5OLDIwMTAp&amp;WINDOW=FIRST_POPUP&amp;HEIGHT=450&amp;WIDTH=450&amp;START_MAXIMIZED=FALS","E&amp;VAR:CALENDAR=FIVEDAY&amp;VAR:SYMBOL=B5KKT9&amp;VAR:INDEX=0"}</definedName>
    <definedName name="_592__FDSAUDITLINK___1" hidden="1">{"fdsup://directions/FAT Viewer?action=UPDATE&amp;creator=factset&amp;DYN_ARGS=TRUE&amp;DOC_NAME=FAT:FQL_AUDITING_CLIENT_TEMPLATE.FAT&amp;display_string=Audit&amp;VAR:KEY=ERODMPYVEV&amp;VAR:QUERY=RkZfQ0FQRVgoQU5OLDIwMTAp&amp;WINDOW=FIRST_POPUP&amp;HEIGHT=450&amp;WIDTH=450&amp;START_MAXIMIZED=FALS","E&amp;VAR:CALENDAR=FIVEDAY&amp;VAR:SYMBOL=B5KKT9&amp;VAR:INDEX=0"}</definedName>
    <definedName name="_593__FDSAUDITLINK__" localSheetId="8" hidden="1">{"fdsup://directions/FAT Viewer?action=UPDATE&amp;creator=factset&amp;DYN_ARGS=TRUE&amp;DOC_NAME=FAT:FQL_AUDITING_CLIENT_TEMPLATE.FAT&amp;display_string=Audit&amp;VAR:KEY=REXWVYVMXQ&amp;VAR:QUERY=RkZfTkVUX0lOQyhBTk4sMjAwOSk=&amp;WINDOW=FIRST_POPUP&amp;HEIGHT=450&amp;WIDTH=450&amp;START_MAXIMIZED=","FALSE&amp;VAR:CALENDAR=FIVEDAY&amp;VAR:SYMBOL=B5KKT9&amp;VAR:INDEX=0"}</definedName>
    <definedName name="_593__FDSAUDITLINK__" hidden="1">{"fdsup://directions/FAT Viewer?action=UPDATE&amp;creator=factset&amp;DYN_ARGS=TRUE&amp;DOC_NAME=FAT:FQL_AUDITING_CLIENT_TEMPLATE.FAT&amp;display_string=Audit&amp;VAR:KEY=REXWVYVMXQ&amp;VAR:QUERY=RkZfTkVUX0lOQyhBTk4sMjAwOSk=&amp;WINDOW=FIRST_POPUP&amp;HEIGHT=450&amp;WIDTH=450&amp;START_MAXIMIZED=","FALSE&amp;VAR:CALENDAR=FIVEDAY&amp;VAR:SYMBOL=B5KKT9&amp;VAR:INDEX=0"}</definedName>
    <definedName name="_593__FDSAUDITLINK___1" localSheetId="8" hidden="1">{"fdsup://directions/FAT Viewer?action=UPDATE&amp;creator=factset&amp;DYN_ARGS=TRUE&amp;DOC_NAME=FAT:FQL_AUDITING_CLIENT_TEMPLATE.FAT&amp;display_string=Audit&amp;VAR:KEY=REXWVYVMXQ&amp;VAR:QUERY=RkZfTkVUX0lOQyhBTk4sMjAwOSk=&amp;WINDOW=FIRST_POPUP&amp;HEIGHT=450&amp;WIDTH=450&amp;START_MAXIMIZED=","FALSE&amp;VAR:CALENDAR=FIVEDAY&amp;VAR:SYMBOL=B5KKT9&amp;VAR:INDEX=0"}</definedName>
    <definedName name="_593__FDSAUDITLINK___1" hidden="1">{"fdsup://directions/FAT Viewer?action=UPDATE&amp;creator=factset&amp;DYN_ARGS=TRUE&amp;DOC_NAME=FAT:FQL_AUDITING_CLIENT_TEMPLATE.FAT&amp;display_string=Audit&amp;VAR:KEY=REXWVYVMXQ&amp;VAR:QUERY=RkZfTkVUX0lOQyhBTk4sMjAwOSk=&amp;WINDOW=FIRST_POPUP&amp;HEIGHT=450&amp;WIDTH=450&amp;START_MAXIMIZED=","FALSE&amp;VAR:CALENDAR=FIVEDAY&amp;VAR:SYMBOL=B5KKT9&amp;VAR:INDEX=0"}</definedName>
    <definedName name="_594__FDSAUDITLINK__" localSheetId="8" hidden="1">{"fdsup://directions/FAT Viewer?action=UPDATE&amp;creator=factset&amp;DYN_ARGS=TRUE&amp;DOC_NAME=FAT:FQL_AUDITING_CLIENT_TEMPLATE.FAT&amp;display_string=Audit&amp;VAR:KEY=XGLQFIJEPS&amp;VAR:QUERY=RkZfTkVUX0lOQyhBTk4sMjAxMSk=&amp;WINDOW=FIRST_POPUP&amp;HEIGHT=450&amp;WIDTH=450&amp;START_MAXIMIZED=","FALSE&amp;VAR:CALENDAR=FIVEDAY&amp;VAR:SYMBOL=B5KKT9&amp;VAR:INDEX=0"}</definedName>
    <definedName name="_594__FDSAUDITLINK__" hidden="1">{"fdsup://directions/FAT Viewer?action=UPDATE&amp;creator=factset&amp;DYN_ARGS=TRUE&amp;DOC_NAME=FAT:FQL_AUDITING_CLIENT_TEMPLATE.FAT&amp;display_string=Audit&amp;VAR:KEY=XGLQFIJEPS&amp;VAR:QUERY=RkZfTkVUX0lOQyhBTk4sMjAxMSk=&amp;WINDOW=FIRST_POPUP&amp;HEIGHT=450&amp;WIDTH=450&amp;START_MAXIMIZED=","FALSE&amp;VAR:CALENDAR=FIVEDAY&amp;VAR:SYMBOL=B5KKT9&amp;VAR:INDEX=0"}</definedName>
    <definedName name="_594__FDSAUDITLINK___1" localSheetId="8" hidden="1">{"fdsup://directions/FAT Viewer?action=UPDATE&amp;creator=factset&amp;DYN_ARGS=TRUE&amp;DOC_NAME=FAT:FQL_AUDITING_CLIENT_TEMPLATE.FAT&amp;display_string=Audit&amp;VAR:KEY=XGLQFIJEPS&amp;VAR:QUERY=RkZfTkVUX0lOQyhBTk4sMjAxMSk=&amp;WINDOW=FIRST_POPUP&amp;HEIGHT=450&amp;WIDTH=450&amp;START_MAXIMIZED=","FALSE&amp;VAR:CALENDAR=FIVEDAY&amp;VAR:SYMBOL=B5KKT9&amp;VAR:INDEX=0"}</definedName>
    <definedName name="_594__FDSAUDITLINK___1" hidden="1">{"fdsup://directions/FAT Viewer?action=UPDATE&amp;creator=factset&amp;DYN_ARGS=TRUE&amp;DOC_NAME=FAT:FQL_AUDITING_CLIENT_TEMPLATE.FAT&amp;display_string=Audit&amp;VAR:KEY=XGLQFIJEPS&amp;VAR:QUERY=RkZfTkVUX0lOQyhBTk4sMjAxMSk=&amp;WINDOW=FIRST_POPUP&amp;HEIGHT=450&amp;WIDTH=450&amp;START_MAXIMIZED=","FALSE&amp;VAR:CALENDAR=FIVEDAY&amp;VAR:SYMBOL=B5KKT9&amp;VAR:INDEX=0"}</definedName>
    <definedName name="_595__FDSAUDITLINK__" localSheetId="8" hidden="1">{"fdsup://directions/FAT Viewer?action=UPDATE&amp;creator=factset&amp;DYN_ARGS=TRUE&amp;DOC_NAME=FAT:FQL_AUDITING_CLIENT_TEMPLATE.FAT&amp;display_string=Audit&amp;VAR:KEY=MDANCRQNUH&amp;VAR:QUERY=RkZfRU5UUlBSX1ZBTF9EQUlMWSgwLCwsLCwnRElMJyk=&amp;WINDOW=FIRST_POPUP&amp;HEIGHT=450&amp;WIDTH=450&amp;","START_MAXIMIZED=FALSE&amp;VAR:CALENDAR=FIVEDAY&amp;VAR:SYMBOL=400212&amp;VAR:INDEX=0"}</definedName>
    <definedName name="_595__FDSAUDITLINK__" hidden="1">{"fdsup://directions/FAT Viewer?action=UPDATE&amp;creator=factset&amp;DYN_ARGS=TRUE&amp;DOC_NAME=FAT:FQL_AUDITING_CLIENT_TEMPLATE.FAT&amp;display_string=Audit&amp;VAR:KEY=MDANCRQNUH&amp;VAR:QUERY=RkZfRU5UUlBSX1ZBTF9EQUlMWSgwLCwsLCwnRElMJyk=&amp;WINDOW=FIRST_POPUP&amp;HEIGHT=450&amp;WIDTH=450&amp;","START_MAXIMIZED=FALSE&amp;VAR:CALENDAR=FIVEDAY&amp;VAR:SYMBOL=400212&amp;VAR:INDEX=0"}</definedName>
    <definedName name="_595__FDSAUDITLINK___1" localSheetId="8" hidden="1">{"fdsup://directions/FAT Viewer?action=UPDATE&amp;creator=factset&amp;DYN_ARGS=TRUE&amp;DOC_NAME=FAT:FQL_AUDITING_CLIENT_TEMPLATE.FAT&amp;display_string=Audit&amp;VAR:KEY=MDANCRQNUH&amp;VAR:QUERY=RkZfRU5UUlBSX1ZBTF9EQUlMWSgwLCwsLCwnRElMJyk=&amp;WINDOW=FIRST_POPUP&amp;HEIGHT=450&amp;WIDTH=450&amp;","START_MAXIMIZED=FALSE&amp;VAR:CALENDAR=FIVEDAY&amp;VAR:SYMBOL=400212&amp;VAR:INDEX=0"}</definedName>
    <definedName name="_595__FDSAUDITLINK___1" hidden="1">{"fdsup://directions/FAT Viewer?action=UPDATE&amp;creator=factset&amp;DYN_ARGS=TRUE&amp;DOC_NAME=FAT:FQL_AUDITING_CLIENT_TEMPLATE.FAT&amp;display_string=Audit&amp;VAR:KEY=MDANCRQNUH&amp;VAR:QUERY=RkZfRU5UUlBSX1ZBTF9EQUlMWSgwLCwsLCwnRElMJyk=&amp;WINDOW=FIRST_POPUP&amp;HEIGHT=450&amp;WIDTH=450&amp;","START_MAXIMIZED=FALSE&amp;VAR:CALENDAR=FIVEDAY&amp;VAR:SYMBOL=400212&amp;VAR:INDEX=0"}</definedName>
    <definedName name="_596__FDSAUDITLINK__" localSheetId="8" hidden="1">{"fdsup://Directions/FactSet Auditing Viewer?action=AUDIT_VALUE&amp;DB=129&amp;ID1=400212&amp;VALUEID=01001&amp;SDATE=2010&amp;PERIODTYPE=ANN_STD&amp;SCFT=3&amp;window=popup_no_bar&amp;width=385&amp;height=120&amp;START_MAXIMIZED=FALSE&amp;creator=factset&amp;display_string=Audit"}</definedName>
    <definedName name="_596__FDSAUDITLINK__" hidden="1">{"fdsup://Directions/FactSet Auditing Viewer?action=AUDIT_VALUE&amp;DB=129&amp;ID1=400212&amp;VALUEID=01001&amp;SDATE=2010&amp;PERIODTYPE=ANN_STD&amp;SCFT=3&amp;window=popup_no_bar&amp;width=385&amp;height=120&amp;START_MAXIMIZED=FALSE&amp;creator=factset&amp;display_string=Audit"}</definedName>
    <definedName name="_596__FDSAUDITLINK___1" localSheetId="8" hidden="1">{"fdsup://Directions/FactSet Auditing Viewer?action=AUDIT_VALUE&amp;DB=129&amp;ID1=400212&amp;VALUEID=01001&amp;SDATE=2010&amp;PERIODTYPE=ANN_STD&amp;SCFT=3&amp;window=popup_no_bar&amp;width=385&amp;height=120&amp;START_MAXIMIZED=FALSE&amp;creator=factset&amp;display_string=Audit"}</definedName>
    <definedName name="_596__FDSAUDITLINK___1" hidden="1">{"fdsup://Directions/FactSet Auditing Viewer?action=AUDIT_VALUE&amp;DB=129&amp;ID1=400212&amp;VALUEID=01001&amp;SDATE=2010&amp;PERIODTYPE=ANN_STD&amp;SCFT=3&amp;window=popup_no_bar&amp;width=385&amp;height=120&amp;START_MAXIMIZED=FALSE&amp;creator=factset&amp;display_string=Audit"}</definedName>
    <definedName name="_597__FDSAUDITLINK__" localSheetId="8" hidden="1">{"fdsup://directions/FAT Viewer?action=UPDATE&amp;creator=factset&amp;DYN_ARGS=TRUE&amp;DOC_NAME=FAT:FQL_AUDITING_CLIENT_TEMPLATE.FAT&amp;display_string=Audit&amp;VAR:KEY=PULARCJGTE&amp;VAR:QUERY=RkZfRUJJVERBX09QRVIoQU5OLDIwMDkp&amp;WINDOW=FIRST_POPUP&amp;HEIGHT=450&amp;WIDTH=450&amp;START_MAXIMI","ZED=FALSE&amp;VAR:CALENDAR=FIVEDAY&amp;VAR:SYMBOL=400212&amp;VAR:INDEX=0"}</definedName>
    <definedName name="_597__FDSAUDITLINK__" hidden="1">{"fdsup://directions/FAT Viewer?action=UPDATE&amp;creator=factset&amp;DYN_ARGS=TRUE&amp;DOC_NAME=FAT:FQL_AUDITING_CLIENT_TEMPLATE.FAT&amp;display_string=Audit&amp;VAR:KEY=PULARCJGTE&amp;VAR:QUERY=RkZfRUJJVERBX09QRVIoQU5OLDIwMDkp&amp;WINDOW=FIRST_POPUP&amp;HEIGHT=450&amp;WIDTH=450&amp;START_MAXIMI","ZED=FALSE&amp;VAR:CALENDAR=FIVEDAY&amp;VAR:SYMBOL=400212&amp;VAR:INDEX=0"}</definedName>
    <definedName name="_597__FDSAUDITLINK___1" localSheetId="8" hidden="1">{"fdsup://directions/FAT Viewer?action=UPDATE&amp;creator=factset&amp;DYN_ARGS=TRUE&amp;DOC_NAME=FAT:FQL_AUDITING_CLIENT_TEMPLATE.FAT&amp;display_string=Audit&amp;VAR:KEY=PULARCJGTE&amp;VAR:QUERY=RkZfRUJJVERBX09QRVIoQU5OLDIwMDkp&amp;WINDOW=FIRST_POPUP&amp;HEIGHT=450&amp;WIDTH=450&amp;START_MAXIMI","ZED=FALSE&amp;VAR:CALENDAR=FIVEDAY&amp;VAR:SYMBOL=400212&amp;VAR:INDEX=0"}</definedName>
    <definedName name="_597__FDSAUDITLINK___1" hidden="1">{"fdsup://directions/FAT Viewer?action=UPDATE&amp;creator=factset&amp;DYN_ARGS=TRUE&amp;DOC_NAME=FAT:FQL_AUDITING_CLIENT_TEMPLATE.FAT&amp;display_string=Audit&amp;VAR:KEY=PULARCJGTE&amp;VAR:QUERY=RkZfRUJJVERBX09QRVIoQU5OLDIwMDkp&amp;WINDOW=FIRST_POPUP&amp;HEIGHT=450&amp;WIDTH=450&amp;START_MAXIMI","ZED=FALSE&amp;VAR:CALENDAR=FIVEDAY&amp;VAR:SYMBOL=400212&amp;VAR:INDEX=0"}</definedName>
    <definedName name="_598__FDSAUDITLINK__" localSheetId="8" hidden="1">{"fdsup://directions/FAT Viewer?action=UPDATE&amp;creator=factset&amp;DYN_ARGS=TRUE&amp;DOC_NAME=FAT:FQL_AUDITING_CLIENT_TEMPLATE.FAT&amp;display_string=Audit&amp;VAR:KEY=RWXELENGDM&amp;VAR:QUERY=RkZfRUJJVERBX09QRVIoQU5OLDIwMTEp&amp;WINDOW=FIRST_POPUP&amp;HEIGHT=450&amp;WIDTH=450&amp;START_MAXIMI","ZED=FALSE&amp;VAR:CALENDAR=FIVEDAY&amp;VAR:SYMBOL=400212&amp;VAR:INDEX=0"}</definedName>
    <definedName name="_598__FDSAUDITLINK__" hidden="1">{"fdsup://directions/FAT Viewer?action=UPDATE&amp;creator=factset&amp;DYN_ARGS=TRUE&amp;DOC_NAME=FAT:FQL_AUDITING_CLIENT_TEMPLATE.FAT&amp;display_string=Audit&amp;VAR:KEY=RWXELENGDM&amp;VAR:QUERY=RkZfRUJJVERBX09QRVIoQU5OLDIwMTEp&amp;WINDOW=FIRST_POPUP&amp;HEIGHT=450&amp;WIDTH=450&amp;START_MAXIMI","ZED=FALSE&amp;VAR:CALENDAR=FIVEDAY&amp;VAR:SYMBOL=400212&amp;VAR:INDEX=0"}</definedName>
    <definedName name="_598__FDSAUDITLINK___1" localSheetId="8" hidden="1">{"fdsup://directions/FAT Viewer?action=UPDATE&amp;creator=factset&amp;DYN_ARGS=TRUE&amp;DOC_NAME=FAT:FQL_AUDITING_CLIENT_TEMPLATE.FAT&amp;display_string=Audit&amp;VAR:KEY=RWXELENGDM&amp;VAR:QUERY=RkZfRUJJVERBX09QRVIoQU5OLDIwMTEp&amp;WINDOW=FIRST_POPUP&amp;HEIGHT=450&amp;WIDTH=450&amp;START_MAXIMI","ZED=FALSE&amp;VAR:CALENDAR=FIVEDAY&amp;VAR:SYMBOL=400212&amp;VAR:INDEX=0"}</definedName>
    <definedName name="_598__FDSAUDITLINK___1" hidden="1">{"fdsup://directions/FAT Viewer?action=UPDATE&amp;creator=factset&amp;DYN_ARGS=TRUE&amp;DOC_NAME=FAT:FQL_AUDITING_CLIENT_TEMPLATE.FAT&amp;display_string=Audit&amp;VAR:KEY=RWXELENGDM&amp;VAR:QUERY=RkZfRUJJVERBX09QRVIoQU5OLDIwMTEp&amp;WINDOW=FIRST_POPUP&amp;HEIGHT=450&amp;WIDTH=450&amp;START_MAXIMI","ZED=FALSE&amp;VAR:CALENDAR=FIVEDAY&amp;VAR:SYMBOL=400212&amp;VAR:INDEX=0"}</definedName>
    <definedName name="_599__FDSAUDITLINK__" localSheetId="8" hidden="1">{"fdsup://Directions/FactSet Auditing Viewer?action=AUDIT_VALUE&amp;DB=129&amp;ID1=400212&amp;VALUEID=01250&amp;SDATE=2010&amp;PERIODTYPE=ANN_STD&amp;SCFT=3&amp;window=popup_no_bar&amp;width=385&amp;height=120&amp;START_MAXIMIZED=FALSE&amp;creator=factset&amp;display_string=Audit"}</definedName>
    <definedName name="_599__FDSAUDITLINK__" hidden="1">{"fdsup://Directions/FactSet Auditing Viewer?action=AUDIT_VALUE&amp;DB=129&amp;ID1=400212&amp;VALUEID=01250&amp;SDATE=2010&amp;PERIODTYPE=ANN_STD&amp;SCFT=3&amp;window=popup_no_bar&amp;width=385&amp;height=120&amp;START_MAXIMIZED=FALSE&amp;creator=factset&amp;display_string=Audit"}</definedName>
    <definedName name="_599__FDSAUDITLINK___1" localSheetId="8" hidden="1">{"fdsup://Directions/FactSet Auditing Viewer?action=AUDIT_VALUE&amp;DB=129&amp;ID1=400212&amp;VALUEID=01250&amp;SDATE=2010&amp;PERIODTYPE=ANN_STD&amp;SCFT=3&amp;window=popup_no_bar&amp;width=385&amp;height=120&amp;START_MAXIMIZED=FALSE&amp;creator=factset&amp;display_string=Audit"}</definedName>
    <definedName name="_599__FDSAUDITLINK___1" hidden="1">{"fdsup://Directions/FactSet Auditing Viewer?action=AUDIT_VALUE&amp;DB=129&amp;ID1=400212&amp;VALUEID=01250&amp;SDATE=2010&amp;PERIODTYPE=ANN_STD&amp;SCFT=3&amp;window=popup_no_bar&amp;width=385&amp;height=120&amp;START_MAXIMIZED=FALSE&amp;creator=factset&amp;display_string=Audit"}</definedName>
    <definedName name="_5IQ_INSIDDD__EE__S" hidden="1">"c579"</definedName>
    <definedName name="_6___123Graph_ECHART_1" hidden="1">#REF!</definedName>
    <definedName name="_6__123Graph_ACHART_16" hidden="1">#REF!</definedName>
    <definedName name="_6__123Graph_AChart_2" hidden="1">#REF!</definedName>
    <definedName name="_6__123Graph_ACHART_4" hidden="1">#REF!</definedName>
    <definedName name="_6__123Graph_ACHART_5" localSheetId="8" hidden="1">#REF!</definedName>
    <definedName name="_6__123Graph_ACHART_5" hidden="1">#REF!</definedName>
    <definedName name="_6__123Graph_ACHART_6" localSheetId="8" hidden="1">#REF!</definedName>
    <definedName name="_6__123Graph_ACHART_6" hidden="1">#REF!</definedName>
    <definedName name="_6__123Graph_ACHART_8" hidden="1">#REF!</definedName>
    <definedName name="_6__123Graph_AGRAFICO_30" localSheetId="8" hidden="1">#REF!</definedName>
    <definedName name="_6__123Graph_AGRAFICO_30" hidden="1">#REF!</definedName>
    <definedName name="_6__123Graph_AGRAFICO_8" hidden="1">#REF!</definedName>
    <definedName name="_6__123Graph_BCHART_3" hidden="1">#REF!</definedName>
    <definedName name="_6__123Graph_BGRAFICO_7" hidden="1">#REF!</definedName>
    <definedName name="_6__123Graph_BGRAFICO_8" hidden="1">#REF!</definedName>
    <definedName name="_6__123Graph_CCHART_13" hidden="1">#REF!</definedName>
    <definedName name="_6__123Graph_COG_CONFRONT_INC" hidden="1">#REF!</definedName>
    <definedName name="_6__123Graph_ECHART_1" hidden="1">#REF!</definedName>
    <definedName name="_6__123Graph_LBL_ACHART_1" hidden="1">#REF!</definedName>
    <definedName name="_6__FDSAUDITLINK__" localSheetId="8" hidden="1">{"fdsup://Directions/FactSet Auditing Viewer?action=AUDIT_VALUE&amp;DB=129&amp;ID1=591344&amp;VALUEID=01001&amp;SDATE=2009&amp;PERIODTYPE=ANN_STD&amp;window=popup_no_bar&amp;width=385&amp;height=120&amp;START_MAXIMIZED=FALSE&amp;creator=factset&amp;display_string=Audit"}</definedName>
    <definedName name="_6__FDSAUDITLINK__" hidden="1">{"fdsup://Directions/FactSet Auditing Viewer?action=AUDIT_VALUE&amp;DB=129&amp;ID1=591344&amp;VALUEID=01001&amp;SDATE=2009&amp;PERIODTYPE=ANN_STD&amp;window=popup_no_bar&amp;width=385&amp;height=120&amp;START_MAXIMIZED=FALSE&amp;creator=factset&amp;display_string=Audit"}</definedName>
    <definedName name="_6__FDSAUDITLINK___1" localSheetId="8" hidden="1">{"fdsup://Directions/FactSet Auditing Viewer?action=AUDIT_VALUE&amp;DB=129&amp;ID1=591344&amp;VALUEID=01001&amp;SDATE=2009&amp;PERIODTYPE=ANN_STD&amp;window=popup_no_bar&amp;width=385&amp;height=120&amp;START_MAXIMIZED=FALSE&amp;creator=factset&amp;display_string=Audit"}</definedName>
    <definedName name="_6__FDSAUDITLINK___1" hidden="1">{"fdsup://Directions/FactSet Auditing Viewer?action=AUDIT_VALUE&amp;DB=129&amp;ID1=591344&amp;VALUEID=01001&amp;SDATE=2009&amp;PERIODTYPE=ANN_STD&amp;window=popup_no_bar&amp;width=385&amp;height=120&amp;START_MAXIMIZED=FALSE&amp;creator=factset&amp;display_string=Audit"}</definedName>
    <definedName name="_6_123Graph_AB94S" hidden="1">#REF!</definedName>
    <definedName name="_60__123Graph_CCHART_34" localSheetId="8" hidden="1">#REF!</definedName>
    <definedName name="_60__123Graph_CCHART_34" hidden="1">#REF!</definedName>
    <definedName name="_60__123Graph_LBL_ACHART_23" hidden="1">#REF!</definedName>
    <definedName name="_60__FDSAUDITLINK__" localSheetId="8" hidden="1">{"fdsup://directions/FAT Viewer?action=UPDATE&amp;creator=factset&amp;DYN_ARGS=TRUE&amp;DOC_NAME=FAT:FQL_AUDITING_CLIENT_TEMPLATE.FAT&amp;display_string=Audit&amp;VAR:KEY=BAXQPCBUVG&amp;VAR:QUERY=RkZfRUJJVF9JQignQU5OJywzODcxNywsLCwnR0JQJyk=&amp;WINDOW=FIRST_POPUP&amp;HEIGHT=450&amp;WIDTH=450&amp;","START_MAXIMIZED=FALSE&amp;VAR:CALENDAR=FIVEDAY&amp;VAR:SYMBOL=011827&amp;VAR:INDEX=0"}</definedName>
    <definedName name="_60__FDSAUDITLINK__" hidden="1">{"fdsup://directions/FAT Viewer?action=UPDATE&amp;creator=factset&amp;DYN_ARGS=TRUE&amp;DOC_NAME=FAT:FQL_AUDITING_CLIENT_TEMPLATE.FAT&amp;display_string=Audit&amp;VAR:KEY=HSZMVIVMNS&amp;VAR:QUERY=RkZfRUJJVERBX09QRVIoQ0FMLDIwMDkp&amp;WINDOW=FIRST_POPUP&amp;HEIGHT=450&amp;WIDTH=450&amp;START_MAXIMI","ZED=FALSE&amp;VAR:CALENDAR=US&amp;VAR:SYMBOL=450270&amp;VAR:INDEX=0"}</definedName>
    <definedName name="_60__FDSAUDITLINK___1" localSheetId="8" hidden="1">{"fdsup://directions/FAT Viewer?action=UPDATE&amp;creator=factset&amp;DYN_ARGS=TRUE&amp;DOC_NAME=FAT:FQL_AUDITING_CLIENT_TEMPLATE.FAT&amp;display_string=Audit&amp;VAR:KEY=BAXQPCBUVG&amp;VAR:QUERY=RkZfRUJJVF9JQignQU5OJywzODcxNywsLCwnR0JQJyk=&amp;WINDOW=FIRST_POPUP&amp;HEIGHT=450&amp;WIDTH=450&amp;","START_MAXIMIZED=FALSE&amp;VAR:CALENDAR=FIVEDAY&amp;VAR:SYMBOL=011827&amp;VAR:INDEX=0"}</definedName>
    <definedName name="_60__FDSAUDITLINK___1" hidden="1">{"fdsup://directions/FAT Viewer?action=UPDATE&amp;creator=factset&amp;DYN_ARGS=TRUE&amp;DOC_NAME=FAT:FQL_AUDITING_CLIENT_TEMPLATE.FAT&amp;display_string=Audit&amp;VAR:KEY=BAXQPCBUVG&amp;VAR:QUERY=RkZfRUJJVF9JQignQU5OJywzODcxNywsLCwnR0JQJyk=&amp;WINDOW=FIRST_POPUP&amp;HEIGHT=450&amp;WIDTH=450&amp;","START_MAXIMIZED=FALSE&amp;VAR:CALENDAR=FIVEDAY&amp;VAR:SYMBOL=011827&amp;VAR:INDEX=0"}</definedName>
    <definedName name="_600__FDSAUDITLINK__" localSheetId="8" hidden="1">{"fdsup://directions/FAT Viewer?action=UPDATE&amp;creator=factset&amp;DYN_ARGS=TRUE&amp;DOC_NAME=FAT:FQL_AUDITING_CLIENT_TEMPLATE.FAT&amp;display_string=Audit&amp;VAR:KEY=TEFEFQJKTG&amp;VAR:QUERY=RkZfQ0FQRVgoQU5OLDIwMDkp&amp;WINDOW=FIRST_POPUP&amp;HEIGHT=450&amp;WIDTH=450&amp;START_MAXIMIZED=FALS","E&amp;VAR:CALENDAR=FIVEDAY&amp;VAR:SYMBOL=400212&amp;VAR:INDEX=0"}</definedName>
    <definedName name="_600__FDSAUDITLINK__" hidden="1">{"fdsup://directions/FAT Viewer?action=UPDATE&amp;creator=factset&amp;DYN_ARGS=TRUE&amp;DOC_NAME=FAT:FQL_AUDITING_CLIENT_TEMPLATE.FAT&amp;display_string=Audit&amp;VAR:KEY=TEFEFQJKTG&amp;VAR:QUERY=RkZfQ0FQRVgoQU5OLDIwMDkp&amp;WINDOW=FIRST_POPUP&amp;HEIGHT=450&amp;WIDTH=450&amp;START_MAXIMIZED=FALS","E&amp;VAR:CALENDAR=FIVEDAY&amp;VAR:SYMBOL=400212&amp;VAR:INDEX=0"}</definedName>
    <definedName name="_600__FDSAUDITLINK___1" localSheetId="8" hidden="1">{"fdsup://directions/FAT Viewer?action=UPDATE&amp;creator=factset&amp;DYN_ARGS=TRUE&amp;DOC_NAME=FAT:FQL_AUDITING_CLIENT_TEMPLATE.FAT&amp;display_string=Audit&amp;VAR:KEY=TEFEFQJKTG&amp;VAR:QUERY=RkZfQ0FQRVgoQU5OLDIwMDkp&amp;WINDOW=FIRST_POPUP&amp;HEIGHT=450&amp;WIDTH=450&amp;START_MAXIMIZED=FALS","E&amp;VAR:CALENDAR=FIVEDAY&amp;VAR:SYMBOL=400212&amp;VAR:INDEX=0"}</definedName>
    <definedName name="_600__FDSAUDITLINK___1" hidden="1">{"fdsup://directions/FAT Viewer?action=UPDATE&amp;creator=factset&amp;DYN_ARGS=TRUE&amp;DOC_NAME=FAT:FQL_AUDITING_CLIENT_TEMPLATE.FAT&amp;display_string=Audit&amp;VAR:KEY=TEFEFQJKTG&amp;VAR:QUERY=RkZfQ0FQRVgoQU5OLDIwMDkp&amp;WINDOW=FIRST_POPUP&amp;HEIGHT=450&amp;WIDTH=450&amp;START_MAXIMIZED=FALS","E&amp;VAR:CALENDAR=FIVEDAY&amp;VAR:SYMBOL=400212&amp;VAR:INDEX=0"}</definedName>
    <definedName name="_601__FDSAUDITLINK__" localSheetId="8" hidden="1">{"fdsup://directions/FAT Viewer?action=UPDATE&amp;creator=factset&amp;DYN_ARGS=TRUE&amp;DOC_NAME=FAT:FQL_AUDITING_CLIENT_TEMPLATE.FAT&amp;display_string=Audit&amp;VAR:KEY=NODQRAVWRA&amp;VAR:QUERY=RkZfQ0FQRVgoQU5OLDIwMTEp&amp;WINDOW=FIRST_POPUP&amp;HEIGHT=450&amp;WIDTH=450&amp;START_MAXIMIZED=FALS","E&amp;VAR:CALENDAR=FIVEDAY&amp;VAR:SYMBOL=400212&amp;VAR:INDEX=0"}</definedName>
    <definedName name="_601__FDSAUDITLINK__" hidden="1">{"fdsup://directions/FAT Viewer?action=UPDATE&amp;creator=factset&amp;DYN_ARGS=TRUE&amp;DOC_NAME=FAT:FQL_AUDITING_CLIENT_TEMPLATE.FAT&amp;display_string=Audit&amp;VAR:KEY=NODQRAVWRA&amp;VAR:QUERY=RkZfQ0FQRVgoQU5OLDIwMTEp&amp;WINDOW=FIRST_POPUP&amp;HEIGHT=450&amp;WIDTH=450&amp;START_MAXIMIZED=FALS","E&amp;VAR:CALENDAR=FIVEDAY&amp;VAR:SYMBOL=400212&amp;VAR:INDEX=0"}</definedName>
    <definedName name="_601__FDSAUDITLINK___1" localSheetId="8" hidden="1">{"fdsup://directions/FAT Viewer?action=UPDATE&amp;creator=factset&amp;DYN_ARGS=TRUE&amp;DOC_NAME=FAT:FQL_AUDITING_CLIENT_TEMPLATE.FAT&amp;display_string=Audit&amp;VAR:KEY=NODQRAVWRA&amp;VAR:QUERY=RkZfQ0FQRVgoQU5OLDIwMTEp&amp;WINDOW=FIRST_POPUP&amp;HEIGHT=450&amp;WIDTH=450&amp;START_MAXIMIZED=FALS","E&amp;VAR:CALENDAR=FIVEDAY&amp;VAR:SYMBOL=400212&amp;VAR:INDEX=0"}</definedName>
    <definedName name="_601__FDSAUDITLINK___1" hidden="1">{"fdsup://directions/FAT Viewer?action=UPDATE&amp;creator=factset&amp;DYN_ARGS=TRUE&amp;DOC_NAME=FAT:FQL_AUDITING_CLIENT_TEMPLATE.FAT&amp;display_string=Audit&amp;VAR:KEY=NODQRAVWRA&amp;VAR:QUERY=RkZfQ0FQRVgoQU5OLDIwMTEp&amp;WINDOW=FIRST_POPUP&amp;HEIGHT=450&amp;WIDTH=450&amp;START_MAXIMIZED=FALS","E&amp;VAR:CALENDAR=FIVEDAY&amp;VAR:SYMBOL=400212&amp;VAR:INDEX=0"}</definedName>
    <definedName name="_602__FDSAUDITLINK__" localSheetId="8" hidden="1">{"fdsup://directions/FAT Viewer?action=UPDATE&amp;creator=factset&amp;DYN_ARGS=TRUE&amp;DOC_NAME=FAT:FQL_AUDITING_CLIENT_TEMPLATE.FAT&amp;display_string=Audit&amp;VAR:KEY=KDITWXEVWP&amp;VAR:QUERY=RkZfTkVUX0lOQyhBTk4sMjAwOCk=&amp;WINDOW=FIRST_POPUP&amp;HEIGHT=450&amp;WIDTH=450&amp;START_MAXIMIZED=","FALSE&amp;VAR:CALENDAR=FIVEDAY&amp;VAR:SYMBOL=400212&amp;VAR:INDEX=0"}</definedName>
    <definedName name="_602__FDSAUDITLINK__" hidden="1">{"fdsup://directions/FAT Viewer?action=UPDATE&amp;creator=factset&amp;DYN_ARGS=TRUE&amp;DOC_NAME=FAT:FQL_AUDITING_CLIENT_TEMPLATE.FAT&amp;display_string=Audit&amp;VAR:KEY=KDITWXEVWP&amp;VAR:QUERY=RkZfTkVUX0lOQyhBTk4sMjAwOCk=&amp;WINDOW=FIRST_POPUP&amp;HEIGHT=450&amp;WIDTH=450&amp;START_MAXIMIZED=","FALSE&amp;VAR:CALENDAR=FIVEDAY&amp;VAR:SYMBOL=400212&amp;VAR:INDEX=0"}</definedName>
    <definedName name="_602__FDSAUDITLINK___1" localSheetId="8" hidden="1">{"fdsup://directions/FAT Viewer?action=UPDATE&amp;creator=factset&amp;DYN_ARGS=TRUE&amp;DOC_NAME=FAT:FQL_AUDITING_CLIENT_TEMPLATE.FAT&amp;display_string=Audit&amp;VAR:KEY=KDITWXEVWP&amp;VAR:QUERY=RkZfTkVUX0lOQyhBTk4sMjAwOCk=&amp;WINDOW=FIRST_POPUP&amp;HEIGHT=450&amp;WIDTH=450&amp;START_MAXIMIZED=","FALSE&amp;VAR:CALENDAR=FIVEDAY&amp;VAR:SYMBOL=400212&amp;VAR:INDEX=0"}</definedName>
    <definedName name="_602__FDSAUDITLINK___1" hidden="1">{"fdsup://directions/FAT Viewer?action=UPDATE&amp;creator=factset&amp;DYN_ARGS=TRUE&amp;DOC_NAME=FAT:FQL_AUDITING_CLIENT_TEMPLATE.FAT&amp;display_string=Audit&amp;VAR:KEY=KDITWXEVWP&amp;VAR:QUERY=RkZfTkVUX0lOQyhBTk4sMjAwOCk=&amp;WINDOW=FIRST_POPUP&amp;HEIGHT=450&amp;WIDTH=450&amp;START_MAXIMIZED=","FALSE&amp;VAR:CALENDAR=FIVEDAY&amp;VAR:SYMBOL=400212&amp;VAR:INDEX=0"}</definedName>
    <definedName name="_603__FDSAUDITLINK__" localSheetId="8" hidden="1">{"fdsup://directions/FAT Viewer?action=UPDATE&amp;creator=factset&amp;DYN_ARGS=TRUE&amp;DOC_NAME=FAT:FQL_AUDITING_CLIENT_TEMPLATE.FAT&amp;display_string=Audit&amp;VAR:KEY=UPMPINSTUX&amp;VAR:QUERY=RkZfTkVUX0lOQyhBTk4sMjAxMCk=&amp;WINDOW=FIRST_POPUP&amp;HEIGHT=450&amp;WIDTH=450&amp;START_MAXIMIZED=","FALSE&amp;VAR:CALENDAR=FIVEDAY&amp;VAR:SYMBOL=400212&amp;VAR:INDEX=0"}</definedName>
    <definedName name="_603__FDSAUDITLINK__" hidden="1">{"fdsup://directions/FAT Viewer?action=UPDATE&amp;creator=factset&amp;DYN_ARGS=TRUE&amp;DOC_NAME=FAT:FQL_AUDITING_CLIENT_TEMPLATE.FAT&amp;display_string=Audit&amp;VAR:KEY=UPMPINSTUX&amp;VAR:QUERY=RkZfTkVUX0lOQyhBTk4sMjAxMCk=&amp;WINDOW=FIRST_POPUP&amp;HEIGHT=450&amp;WIDTH=450&amp;START_MAXIMIZED=","FALSE&amp;VAR:CALENDAR=FIVEDAY&amp;VAR:SYMBOL=400212&amp;VAR:INDEX=0"}</definedName>
    <definedName name="_603__FDSAUDITLINK___1" localSheetId="8" hidden="1">{"fdsup://directions/FAT Viewer?action=UPDATE&amp;creator=factset&amp;DYN_ARGS=TRUE&amp;DOC_NAME=FAT:FQL_AUDITING_CLIENT_TEMPLATE.FAT&amp;display_string=Audit&amp;VAR:KEY=UPMPINSTUX&amp;VAR:QUERY=RkZfTkVUX0lOQyhBTk4sMjAxMCk=&amp;WINDOW=FIRST_POPUP&amp;HEIGHT=450&amp;WIDTH=450&amp;START_MAXIMIZED=","FALSE&amp;VAR:CALENDAR=FIVEDAY&amp;VAR:SYMBOL=400212&amp;VAR:INDEX=0"}</definedName>
    <definedName name="_603__FDSAUDITLINK___1" hidden="1">{"fdsup://directions/FAT Viewer?action=UPDATE&amp;creator=factset&amp;DYN_ARGS=TRUE&amp;DOC_NAME=FAT:FQL_AUDITING_CLIENT_TEMPLATE.FAT&amp;display_string=Audit&amp;VAR:KEY=UPMPINSTUX&amp;VAR:QUERY=RkZfTkVUX0lOQyhBTk4sMjAxMCk=&amp;WINDOW=FIRST_POPUP&amp;HEIGHT=450&amp;WIDTH=450&amp;START_MAXIMIZED=","FALSE&amp;VAR:CALENDAR=FIVEDAY&amp;VAR:SYMBOL=400212&amp;VAR:INDEX=0"}</definedName>
    <definedName name="_604__FDSAUDITLINK__" localSheetId="8" hidden="1">{"fdsup://Directions/FactSet Auditing Viewer?action=AUDIT_VALUE&amp;DB=129&amp;ID1=B138NB&amp;VALUEID=01001&amp;SDATE=2009&amp;PERIODTYPE=ANN_STD&amp;SCFT=3&amp;window=popup_no_bar&amp;width=385&amp;height=120&amp;START_MAXIMIZED=FALSE&amp;creator=factset&amp;display_string=Audit"}</definedName>
    <definedName name="_604__FDSAUDITLINK__" hidden="1">{"fdsup://Directions/FactSet Auditing Viewer?action=AUDIT_VALUE&amp;DB=129&amp;ID1=B138NB&amp;VALUEID=01001&amp;SDATE=2009&amp;PERIODTYPE=ANN_STD&amp;SCFT=3&amp;window=popup_no_bar&amp;width=385&amp;height=120&amp;START_MAXIMIZED=FALSE&amp;creator=factset&amp;display_string=Audit"}</definedName>
    <definedName name="_604__FDSAUDITLINK___1" localSheetId="8" hidden="1">{"fdsup://Directions/FactSet Auditing Viewer?action=AUDIT_VALUE&amp;DB=129&amp;ID1=B138NB&amp;VALUEID=01001&amp;SDATE=2009&amp;PERIODTYPE=ANN_STD&amp;SCFT=3&amp;window=popup_no_bar&amp;width=385&amp;height=120&amp;START_MAXIMIZED=FALSE&amp;creator=factset&amp;display_string=Audit"}</definedName>
    <definedName name="_604__FDSAUDITLINK___1" hidden="1">{"fdsup://Directions/FactSet Auditing Viewer?action=AUDIT_VALUE&amp;DB=129&amp;ID1=B138NB&amp;VALUEID=01001&amp;SDATE=2009&amp;PERIODTYPE=ANN_STD&amp;SCFT=3&amp;window=popup_no_bar&amp;width=385&amp;height=120&amp;START_MAXIMIZED=FALSE&amp;creator=factset&amp;display_string=Audit"}</definedName>
    <definedName name="_605__FDSAUDITLINK__" localSheetId="8" hidden="1">{"fdsup://Directions/FactSet Auditing Viewer?action=AUDIT_VALUE&amp;DB=129&amp;ID1=B138NB&amp;VALUEID=01001&amp;SDATE=2011&amp;PERIODTYPE=ANN_STD&amp;SCFT=3&amp;window=popup_no_bar&amp;width=385&amp;height=120&amp;START_MAXIMIZED=FALSE&amp;creator=factset&amp;display_string=Audit"}</definedName>
    <definedName name="_605__FDSAUDITLINK__" hidden="1">{"fdsup://Directions/FactSet Auditing Viewer?action=AUDIT_VALUE&amp;DB=129&amp;ID1=B138NB&amp;VALUEID=01001&amp;SDATE=2011&amp;PERIODTYPE=ANN_STD&amp;SCFT=3&amp;window=popup_no_bar&amp;width=385&amp;height=120&amp;START_MAXIMIZED=FALSE&amp;creator=factset&amp;display_string=Audit"}</definedName>
    <definedName name="_605__FDSAUDITLINK___1" localSheetId="8" hidden="1">{"fdsup://Directions/FactSet Auditing Viewer?action=AUDIT_VALUE&amp;DB=129&amp;ID1=B138NB&amp;VALUEID=01001&amp;SDATE=2011&amp;PERIODTYPE=ANN_STD&amp;SCFT=3&amp;window=popup_no_bar&amp;width=385&amp;height=120&amp;START_MAXIMIZED=FALSE&amp;creator=factset&amp;display_string=Audit"}</definedName>
    <definedName name="_605__FDSAUDITLINK___1" hidden="1">{"fdsup://Directions/FactSet Auditing Viewer?action=AUDIT_VALUE&amp;DB=129&amp;ID1=B138NB&amp;VALUEID=01001&amp;SDATE=2011&amp;PERIODTYPE=ANN_STD&amp;SCFT=3&amp;window=popup_no_bar&amp;width=385&amp;height=120&amp;START_MAXIMIZED=FALSE&amp;creator=factset&amp;display_string=Audit"}</definedName>
    <definedName name="_606__FDSAUDITLINK__" localSheetId="8" hidden="1">{"fdsup://directions/FAT Viewer?action=UPDATE&amp;creator=factset&amp;DYN_ARGS=TRUE&amp;DOC_NAME=FAT:FQL_AUDITING_CLIENT_TEMPLATE.FAT&amp;display_string=Audit&amp;VAR:KEY=VEPSXKTWDS&amp;VAR:QUERY=RkZfRUJJVERBX09QRVIoQU5OLDIwMDgp&amp;WINDOW=FIRST_POPUP&amp;HEIGHT=450&amp;WIDTH=450&amp;START_MAXIMI","ZED=FALSE&amp;VAR:CALENDAR=FIVEDAY&amp;VAR:SYMBOL=B138NB&amp;VAR:INDEX=0"}</definedName>
    <definedName name="_606__FDSAUDITLINK__" hidden="1">{"fdsup://directions/FAT Viewer?action=UPDATE&amp;creator=factset&amp;DYN_ARGS=TRUE&amp;DOC_NAME=FAT:FQL_AUDITING_CLIENT_TEMPLATE.FAT&amp;display_string=Audit&amp;VAR:KEY=VEPSXKTWDS&amp;VAR:QUERY=RkZfRUJJVERBX09QRVIoQU5OLDIwMDgp&amp;WINDOW=FIRST_POPUP&amp;HEIGHT=450&amp;WIDTH=450&amp;START_MAXIMI","ZED=FALSE&amp;VAR:CALENDAR=FIVEDAY&amp;VAR:SYMBOL=B138NB&amp;VAR:INDEX=0"}</definedName>
    <definedName name="_606__FDSAUDITLINK___1" localSheetId="8" hidden="1">{"fdsup://directions/FAT Viewer?action=UPDATE&amp;creator=factset&amp;DYN_ARGS=TRUE&amp;DOC_NAME=FAT:FQL_AUDITING_CLIENT_TEMPLATE.FAT&amp;display_string=Audit&amp;VAR:KEY=VEPSXKTWDS&amp;VAR:QUERY=RkZfRUJJVERBX09QRVIoQU5OLDIwMDgp&amp;WINDOW=FIRST_POPUP&amp;HEIGHT=450&amp;WIDTH=450&amp;START_MAXIMI","ZED=FALSE&amp;VAR:CALENDAR=FIVEDAY&amp;VAR:SYMBOL=B138NB&amp;VAR:INDEX=0"}</definedName>
    <definedName name="_606__FDSAUDITLINK___1" hidden="1">{"fdsup://directions/FAT Viewer?action=UPDATE&amp;creator=factset&amp;DYN_ARGS=TRUE&amp;DOC_NAME=FAT:FQL_AUDITING_CLIENT_TEMPLATE.FAT&amp;display_string=Audit&amp;VAR:KEY=VEPSXKTWDS&amp;VAR:QUERY=RkZfRUJJVERBX09QRVIoQU5OLDIwMDgp&amp;WINDOW=FIRST_POPUP&amp;HEIGHT=450&amp;WIDTH=450&amp;START_MAXIMI","ZED=FALSE&amp;VAR:CALENDAR=FIVEDAY&amp;VAR:SYMBOL=B138NB&amp;VAR:INDEX=0"}</definedName>
    <definedName name="_607__FDSAUDITLINK__" localSheetId="8" hidden="1">{"fdsup://directions/FAT Viewer?action=UPDATE&amp;creator=factset&amp;DYN_ARGS=TRUE&amp;DOC_NAME=FAT:FQL_AUDITING_CLIENT_TEMPLATE.FAT&amp;display_string=Audit&amp;VAR:KEY=NYTOXADKTY&amp;VAR:QUERY=RkZfRUJJVERBX09QRVIoQU5OLDIwMTAp&amp;WINDOW=FIRST_POPUP&amp;HEIGHT=450&amp;WIDTH=450&amp;START_MAXIMI","ZED=FALSE&amp;VAR:CALENDAR=FIVEDAY&amp;VAR:SYMBOL=B138NB&amp;VAR:INDEX=0"}</definedName>
    <definedName name="_607__FDSAUDITLINK__" hidden="1">{"fdsup://directions/FAT Viewer?action=UPDATE&amp;creator=factset&amp;DYN_ARGS=TRUE&amp;DOC_NAME=FAT:FQL_AUDITING_CLIENT_TEMPLATE.FAT&amp;display_string=Audit&amp;VAR:KEY=NYTOXADKTY&amp;VAR:QUERY=RkZfRUJJVERBX09QRVIoQU5OLDIwMTAp&amp;WINDOW=FIRST_POPUP&amp;HEIGHT=450&amp;WIDTH=450&amp;START_MAXIMI","ZED=FALSE&amp;VAR:CALENDAR=FIVEDAY&amp;VAR:SYMBOL=B138NB&amp;VAR:INDEX=0"}</definedName>
    <definedName name="_607__FDSAUDITLINK___1" localSheetId="8" hidden="1">{"fdsup://directions/FAT Viewer?action=UPDATE&amp;creator=factset&amp;DYN_ARGS=TRUE&amp;DOC_NAME=FAT:FQL_AUDITING_CLIENT_TEMPLATE.FAT&amp;display_string=Audit&amp;VAR:KEY=NYTOXADKTY&amp;VAR:QUERY=RkZfRUJJVERBX09QRVIoQU5OLDIwMTAp&amp;WINDOW=FIRST_POPUP&amp;HEIGHT=450&amp;WIDTH=450&amp;START_MAXIMI","ZED=FALSE&amp;VAR:CALENDAR=FIVEDAY&amp;VAR:SYMBOL=B138NB&amp;VAR:INDEX=0"}</definedName>
    <definedName name="_607__FDSAUDITLINK___1" hidden="1">{"fdsup://directions/FAT Viewer?action=UPDATE&amp;creator=factset&amp;DYN_ARGS=TRUE&amp;DOC_NAME=FAT:FQL_AUDITING_CLIENT_TEMPLATE.FAT&amp;display_string=Audit&amp;VAR:KEY=NYTOXADKTY&amp;VAR:QUERY=RkZfRUJJVERBX09QRVIoQU5OLDIwMTAp&amp;WINDOW=FIRST_POPUP&amp;HEIGHT=450&amp;WIDTH=450&amp;START_MAXIMI","ZED=FALSE&amp;VAR:CALENDAR=FIVEDAY&amp;VAR:SYMBOL=B138NB&amp;VAR:INDEX=0"}</definedName>
    <definedName name="_608__FDSAUDITLINK__" localSheetId="8" hidden="1">{"fdsup://directions/FAT Viewer?action=UPDATE&amp;creator=factset&amp;DYN_ARGS=TRUE&amp;DOC_NAME=FAT:FQL_AUDITING_CLIENT_TEMPLATE.FAT&amp;display_string=Audit&amp;VAR:KEY=RKNKJYFALA&amp;VAR:QUERY=RkZfRUJJVF9PUEVSKEFOTiwyMDA5KQ==&amp;WINDOW=FIRST_POPUP&amp;HEIGHT=450&amp;WIDTH=450&amp;START_MAXIMI","ZED=FALSE&amp;VAR:CALENDAR=FIVEDAY&amp;VAR:SYMBOL=B138NB&amp;VAR:INDEX=0"}</definedName>
    <definedName name="_608__FDSAUDITLINK__" hidden="1">{"fdsup://directions/FAT Viewer?action=UPDATE&amp;creator=factset&amp;DYN_ARGS=TRUE&amp;DOC_NAME=FAT:FQL_AUDITING_CLIENT_TEMPLATE.FAT&amp;display_string=Audit&amp;VAR:KEY=RKNKJYFALA&amp;VAR:QUERY=RkZfRUJJVF9PUEVSKEFOTiwyMDA5KQ==&amp;WINDOW=FIRST_POPUP&amp;HEIGHT=450&amp;WIDTH=450&amp;START_MAXIMI","ZED=FALSE&amp;VAR:CALENDAR=FIVEDAY&amp;VAR:SYMBOL=B138NB&amp;VAR:INDEX=0"}</definedName>
    <definedName name="_608__FDSAUDITLINK___1" localSheetId="8" hidden="1">{"fdsup://directions/FAT Viewer?action=UPDATE&amp;creator=factset&amp;DYN_ARGS=TRUE&amp;DOC_NAME=FAT:FQL_AUDITING_CLIENT_TEMPLATE.FAT&amp;display_string=Audit&amp;VAR:KEY=RKNKJYFALA&amp;VAR:QUERY=RkZfRUJJVF9PUEVSKEFOTiwyMDA5KQ==&amp;WINDOW=FIRST_POPUP&amp;HEIGHT=450&amp;WIDTH=450&amp;START_MAXIMI","ZED=FALSE&amp;VAR:CALENDAR=FIVEDAY&amp;VAR:SYMBOL=B138NB&amp;VAR:INDEX=0"}</definedName>
    <definedName name="_608__FDSAUDITLINK___1" hidden="1">{"fdsup://directions/FAT Viewer?action=UPDATE&amp;creator=factset&amp;DYN_ARGS=TRUE&amp;DOC_NAME=FAT:FQL_AUDITING_CLIENT_TEMPLATE.FAT&amp;display_string=Audit&amp;VAR:KEY=RKNKJYFALA&amp;VAR:QUERY=RkZfRUJJVF9PUEVSKEFOTiwyMDA5KQ==&amp;WINDOW=FIRST_POPUP&amp;HEIGHT=450&amp;WIDTH=450&amp;START_MAXIMI","ZED=FALSE&amp;VAR:CALENDAR=FIVEDAY&amp;VAR:SYMBOL=B138NB&amp;VAR:INDEX=0"}</definedName>
    <definedName name="_609__FDSAUDITLINK__" localSheetId="8" hidden="1">{"fdsup://directions/FAT Viewer?action=UPDATE&amp;creator=factset&amp;DYN_ARGS=TRUE&amp;DOC_NAME=FAT:FQL_AUDITING_CLIENT_TEMPLATE.FAT&amp;display_string=Audit&amp;VAR:KEY=QNUHKRYTEV&amp;VAR:QUERY=RkZfRUJJVF9PUEVSKEFOTiwyMDEwKQ==&amp;WINDOW=FIRST_POPUP&amp;HEIGHT=450&amp;WIDTH=450&amp;START_MAXIMI","ZED=FALSE&amp;VAR:CALENDAR=FIVEDAY&amp;VAR:SYMBOL=B138NB&amp;VAR:INDEX=0"}</definedName>
    <definedName name="_609__FDSAUDITLINK__" hidden="1">{"fdsup://directions/FAT Viewer?action=UPDATE&amp;creator=factset&amp;DYN_ARGS=TRUE&amp;DOC_NAME=FAT:FQL_AUDITING_CLIENT_TEMPLATE.FAT&amp;display_string=Audit&amp;VAR:KEY=QNUHKRYTEV&amp;VAR:QUERY=RkZfRUJJVF9PUEVSKEFOTiwyMDEwKQ==&amp;WINDOW=FIRST_POPUP&amp;HEIGHT=450&amp;WIDTH=450&amp;START_MAXIMI","ZED=FALSE&amp;VAR:CALENDAR=FIVEDAY&amp;VAR:SYMBOL=B138NB&amp;VAR:INDEX=0"}</definedName>
    <definedName name="_609__FDSAUDITLINK___1" localSheetId="8" hidden="1">{"fdsup://directions/FAT Viewer?action=UPDATE&amp;creator=factset&amp;DYN_ARGS=TRUE&amp;DOC_NAME=FAT:FQL_AUDITING_CLIENT_TEMPLATE.FAT&amp;display_string=Audit&amp;VAR:KEY=QNUHKRYTEV&amp;VAR:QUERY=RkZfRUJJVF9PUEVSKEFOTiwyMDEwKQ==&amp;WINDOW=FIRST_POPUP&amp;HEIGHT=450&amp;WIDTH=450&amp;START_MAXIMI","ZED=FALSE&amp;VAR:CALENDAR=FIVEDAY&amp;VAR:SYMBOL=B138NB&amp;VAR:INDEX=0"}</definedName>
    <definedName name="_609__FDSAUDITLINK___1" hidden="1">{"fdsup://directions/FAT Viewer?action=UPDATE&amp;creator=factset&amp;DYN_ARGS=TRUE&amp;DOC_NAME=FAT:FQL_AUDITING_CLIENT_TEMPLATE.FAT&amp;display_string=Audit&amp;VAR:KEY=QNUHKRYTEV&amp;VAR:QUERY=RkZfRUJJVF9PUEVSKEFOTiwyMDEwKQ==&amp;WINDOW=FIRST_POPUP&amp;HEIGHT=450&amp;WIDTH=450&amp;START_MAXIMI","ZED=FALSE&amp;VAR:CALENDAR=FIVEDAY&amp;VAR:SYMBOL=B138NB&amp;VAR:INDEX=0"}</definedName>
    <definedName name="_61__123Graph_CCHART_4" localSheetId="8" hidden="1">#REF!</definedName>
    <definedName name="_61__123Graph_CCHART_4" hidden="1">#REF!</definedName>
    <definedName name="_61__123Graph_LBL_ACHART_3" hidden="1">#REF!</definedName>
    <definedName name="_61__FDSAUDITLINK__" localSheetId="8" hidden="1">{"fdsup://directions/FAT Viewer?action=UPDATE&amp;creator=factset&amp;DYN_ARGS=TRUE&amp;DOC_NAME=FAT:FQL_AUDITING_CLIENT_TEMPLATE.FAT&amp;display_string=Audit&amp;VAR:KEY=DALMTCRQBO&amp;VAR:QUERY=RkZfRUJJVF9JQignQU5OJywzODM1MiwsLCwnR0JQJyk=&amp;WINDOW=FIRST_POPUP&amp;HEIGHT=450&amp;WIDTH=450&amp;","START_MAXIMIZED=FALSE&amp;VAR:CALENDAR=FIVEDAY&amp;VAR:SYMBOL=011827&amp;VAR:INDEX=0"}</definedName>
    <definedName name="_61__FDSAUDITLINK__" hidden="1">{"fdsup://directions/FAT Viewer?action=UPDATE&amp;creator=factset&amp;DYN_ARGS=TRUE&amp;DOC_NAME=FAT:FQL_AUDITING_CLIENT_TEMPLATE.FAT&amp;display_string=Audit&amp;VAR:KEY=IVMTKPIHSV&amp;VAR:QUERY=RkZfRUJJVERBX09QRVIoQ0FMLDIwMDkp&amp;WINDOW=FIRST_POPUP&amp;HEIGHT=450&amp;WIDTH=450&amp;START_MAXIMI","ZED=FALSE&amp;VAR:CALENDAR=US&amp;VAR:SYMBOL=BLDR&amp;VAR:INDEX=0"}</definedName>
    <definedName name="_61__FDSAUDITLINK___1" localSheetId="8" hidden="1">{"fdsup://directions/FAT Viewer?action=UPDATE&amp;creator=factset&amp;DYN_ARGS=TRUE&amp;DOC_NAME=FAT:FQL_AUDITING_CLIENT_TEMPLATE.FAT&amp;display_string=Audit&amp;VAR:KEY=DALMTCRQBO&amp;VAR:QUERY=RkZfRUJJVF9JQignQU5OJywzODM1MiwsLCwnR0JQJyk=&amp;WINDOW=FIRST_POPUP&amp;HEIGHT=450&amp;WIDTH=450&amp;","START_MAXIMIZED=FALSE&amp;VAR:CALENDAR=FIVEDAY&amp;VAR:SYMBOL=011827&amp;VAR:INDEX=0"}</definedName>
    <definedName name="_61__FDSAUDITLINK___1" hidden="1">{"fdsup://directions/FAT Viewer?action=UPDATE&amp;creator=factset&amp;DYN_ARGS=TRUE&amp;DOC_NAME=FAT:FQL_AUDITING_CLIENT_TEMPLATE.FAT&amp;display_string=Audit&amp;VAR:KEY=DALMTCRQBO&amp;VAR:QUERY=RkZfRUJJVF9JQignQU5OJywzODM1MiwsLCwnR0JQJyk=&amp;WINDOW=FIRST_POPUP&amp;HEIGHT=450&amp;WIDTH=450&amp;","START_MAXIMIZED=FALSE&amp;VAR:CALENDAR=FIVEDAY&amp;VAR:SYMBOL=011827&amp;VAR:INDEX=0"}</definedName>
    <definedName name="_610__FDSAUDITLINK__" localSheetId="8" hidden="1">{"fdsup://directions/FAT Viewer?action=UPDATE&amp;creator=factset&amp;DYN_ARGS=TRUE&amp;DOC_NAME=FAT:FQL_AUDITING_CLIENT_TEMPLATE.FAT&amp;display_string=Audit&amp;VAR:KEY=TOXGZMNWTK&amp;VAR:QUERY=RkZfQ0FQRVgoQU5OLDIwMDgp&amp;WINDOW=FIRST_POPUP&amp;HEIGHT=450&amp;WIDTH=450&amp;START_MAXIMIZED=FALS","E&amp;VAR:CALENDAR=FIVEDAY&amp;VAR:SYMBOL=B138NB&amp;VAR:INDEX=0"}</definedName>
    <definedName name="_610__FDSAUDITLINK__" hidden="1">{"fdsup://directions/FAT Viewer?action=UPDATE&amp;creator=factset&amp;DYN_ARGS=TRUE&amp;DOC_NAME=FAT:FQL_AUDITING_CLIENT_TEMPLATE.FAT&amp;display_string=Audit&amp;VAR:KEY=TOXGZMNWTK&amp;VAR:QUERY=RkZfQ0FQRVgoQU5OLDIwMDgp&amp;WINDOW=FIRST_POPUP&amp;HEIGHT=450&amp;WIDTH=450&amp;START_MAXIMIZED=FALS","E&amp;VAR:CALENDAR=FIVEDAY&amp;VAR:SYMBOL=B138NB&amp;VAR:INDEX=0"}</definedName>
    <definedName name="_610__FDSAUDITLINK___1" localSheetId="8" hidden="1">{"fdsup://directions/FAT Viewer?action=UPDATE&amp;creator=factset&amp;DYN_ARGS=TRUE&amp;DOC_NAME=FAT:FQL_AUDITING_CLIENT_TEMPLATE.FAT&amp;display_string=Audit&amp;VAR:KEY=TOXGZMNWTK&amp;VAR:QUERY=RkZfQ0FQRVgoQU5OLDIwMDgp&amp;WINDOW=FIRST_POPUP&amp;HEIGHT=450&amp;WIDTH=450&amp;START_MAXIMIZED=FALS","E&amp;VAR:CALENDAR=FIVEDAY&amp;VAR:SYMBOL=B138NB&amp;VAR:INDEX=0"}</definedName>
    <definedName name="_610__FDSAUDITLINK___1" hidden="1">{"fdsup://directions/FAT Viewer?action=UPDATE&amp;creator=factset&amp;DYN_ARGS=TRUE&amp;DOC_NAME=FAT:FQL_AUDITING_CLIENT_TEMPLATE.FAT&amp;display_string=Audit&amp;VAR:KEY=TOXGZMNWTK&amp;VAR:QUERY=RkZfQ0FQRVgoQU5OLDIwMDgp&amp;WINDOW=FIRST_POPUP&amp;HEIGHT=450&amp;WIDTH=450&amp;START_MAXIMIZED=FALS","E&amp;VAR:CALENDAR=FIVEDAY&amp;VAR:SYMBOL=B138NB&amp;VAR:INDEX=0"}</definedName>
    <definedName name="_611__FDSAUDITLINK__" localSheetId="8" hidden="1">{"fdsup://directions/FAT Viewer?action=UPDATE&amp;creator=factset&amp;DYN_ARGS=TRUE&amp;DOC_NAME=FAT:FQL_AUDITING_CLIENT_TEMPLATE.FAT&amp;display_string=Audit&amp;VAR:KEY=LGZAPCTSBC&amp;VAR:QUERY=RkZfQ0FQRVgoQU5OLDIwMTAp&amp;WINDOW=FIRST_POPUP&amp;HEIGHT=450&amp;WIDTH=450&amp;START_MAXIMIZED=FALS","E&amp;VAR:CALENDAR=FIVEDAY&amp;VAR:SYMBOL=B138NB&amp;VAR:INDEX=0"}</definedName>
    <definedName name="_611__FDSAUDITLINK__" hidden="1">{"fdsup://directions/FAT Viewer?action=UPDATE&amp;creator=factset&amp;DYN_ARGS=TRUE&amp;DOC_NAME=FAT:FQL_AUDITING_CLIENT_TEMPLATE.FAT&amp;display_string=Audit&amp;VAR:KEY=LGZAPCTSBC&amp;VAR:QUERY=RkZfQ0FQRVgoQU5OLDIwMTAp&amp;WINDOW=FIRST_POPUP&amp;HEIGHT=450&amp;WIDTH=450&amp;START_MAXIMIZED=FALS","E&amp;VAR:CALENDAR=FIVEDAY&amp;VAR:SYMBOL=B138NB&amp;VAR:INDEX=0"}</definedName>
    <definedName name="_611__FDSAUDITLINK___1" localSheetId="8" hidden="1">{"fdsup://directions/FAT Viewer?action=UPDATE&amp;creator=factset&amp;DYN_ARGS=TRUE&amp;DOC_NAME=FAT:FQL_AUDITING_CLIENT_TEMPLATE.FAT&amp;display_string=Audit&amp;VAR:KEY=LGZAPCTSBC&amp;VAR:QUERY=RkZfQ0FQRVgoQU5OLDIwMTAp&amp;WINDOW=FIRST_POPUP&amp;HEIGHT=450&amp;WIDTH=450&amp;START_MAXIMIZED=FALS","E&amp;VAR:CALENDAR=FIVEDAY&amp;VAR:SYMBOL=B138NB&amp;VAR:INDEX=0"}</definedName>
    <definedName name="_611__FDSAUDITLINK___1" hidden="1">{"fdsup://directions/FAT Viewer?action=UPDATE&amp;creator=factset&amp;DYN_ARGS=TRUE&amp;DOC_NAME=FAT:FQL_AUDITING_CLIENT_TEMPLATE.FAT&amp;display_string=Audit&amp;VAR:KEY=LGZAPCTSBC&amp;VAR:QUERY=RkZfQ0FQRVgoQU5OLDIwMTAp&amp;WINDOW=FIRST_POPUP&amp;HEIGHT=450&amp;WIDTH=450&amp;START_MAXIMIZED=FALS","E&amp;VAR:CALENDAR=FIVEDAY&amp;VAR:SYMBOL=B138NB&amp;VAR:INDEX=0"}</definedName>
    <definedName name="_612__FDSAUDITLINK__" localSheetId="8" hidden="1">{"fdsup://directions/FAT Viewer?action=UPDATE&amp;creator=factset&amp;DYN_ARGS=TRUE&amp;DOC_NAME=FAT:FQL_AUDITING_CLIENT_TEMPLATE.FAT&amp;display_string=Audit&amp;VAR:KEY=ODMBCNITKB&amp;VAR:QUERY=RkZfTkVUX0lOQyhBTk4sMjAwOSk=&amp;WINDOW=FIRST_POPUP&amp;HEIGHT=450&amp;WIDTH=450&amp;START_MAXIMIZED=","FALSE&amp;VAR:CALENDAR=FIVEDAY&amp;VAR:SYMBOL=B138NB&amp;VAR:INDEX=0"}</definedName>
    <definedName name="_612__FDSAUDITLINK__" hidden="1">{"fdsup://directions/FAT Viewer?action=UPDATE&amp;creator=factset&amp;DYN_ARGS=TRUE&amp;DOC_NAME=FAT:FQL_AUDITING_CLIENT_TEMPLATE.FAT&amp;display_string=Audit&amp;VAR:KEY=ODMBCNITKB&amp;VAR:QUERY=RkZfTkVUX0lOQyhBTk4sMjAwOSk=&amp;WINDOW=FIRST_POPUP&amp;HEIGHT=450&amp;WIDTH=450&amp;START_MAXIMIZED=","FALSE&amp;VAR:CALENDAR=FIVEDAY&amp;VAR:SYMBOL=B138NB&amp;VAR:INDEX=0"}</definedName>
    <definedName name="_612__FDSAUDITLINK___1" localSheetId="8" hidden="1">{"fdsup://directions/FAT Viewer?action=UPDATE&amp;creator=factset&amp;DYN_ARGS=TRUE&amp;DOC_NAME=FAT:FQL_AUDITING_CLIENT_TEMPLATE.FAT&amp;display_string=Audit&amp;VAR:KEY=ODMBCNITKB&amp;VAR:QUERY=RkZfTkVUX0lOQyhBTk4sMjAwOSk=&amp;WINDOW=FIRST_POPUP&amp;HEIGHT=450&amp;WIDTH=450&amp;START_MAXIMIZED=","FALSE&amp;VAR:CALENDAR=FIVEDAY&amp;VAR:SYMBOL=B138NB&amp;VAR:INDEX=0"}</definedName>
    <definedName name="_612__FDSAUDITLINK___1" hidden="1">{"fdsup://directions/FAT Viewer?action=UPDATE&amp;creator=factset&amp;DYN_ARGS=TRUE&amp;DOC_NAME=FAT:FQL_AUDITING_CLIENT_TEMPLATE.FAT&amp;display_string=Audit&amp;VAR:KEY=ODMBCNITKB&amp;VAR:QUERY=RkZfTkVUX0lOQyhBTk4sMjAwOSk=&amp;WINDOW=FIRST_POPUP&amp;HEIGHT=450&amp;WIDTH=450&amp;START_MAXIMIZED=","FALSE&amp;VAR:CALENDAR=FIVEDAY&amp;VAR:SYMBOL=B138NB&amp;VAR:INDEX=0"}</definedName>
    <definedName name="_613__FDSAUDITLINK__" localSheetId="8" hidden="1">{"fdsup://directions/FAT Viewer?action=UPDATE&amp;creator=factset&amp;DYN_ARGS=TRUE&amp;DOC_NAME=FAT:FQL_AUDITING_CLIENT_TEMPLATE.FAT&amp;display_string=Audit&amp;VAR:KEY=MJQNYTUBSL&amp;VAR:QUERY=RkZfTkVUX0lOQyhBTk4sMjAxMSk=&amp;WINDOW=FIRST_POPUP&amp;HEIGHT=450&amp;WIDTH=450&amp;START_MAXIMIZED=","FALSE&amp;VAR:CALENDAR=FIVEDAY&amp;VAR:SYMBOL=B138NB&amp;VAR:INDEX=0"}</definedName>
    <definedName name="_613__FDSAUDITLINK__" hidden="1">{"fdsup://directions/FAT Viewer?action=UPDATE&amp;creator=factset&amp;DYN_ARGS=TRUE&amp;DOC_NAME=FAT:FQL_AUDITING_CLIENT_TEMPLATE.FAT&amp;display_string=Audit&amp;VAR:KEY=MJQNYTUBSL&amp;VAR:QUERY=RkZfTkVUX0lOQyhBTk4sMjAxMSk=&amp;WINDOW=FIRST_POPUP&amp;HEIGHT=450&amp;WIDTH=450&amp;START_MAXIMIZED=","FALSE&amp;VAR:CALENDAR=FIVEDAY&amp;VAR:SYMBOL=B138NB&amp;VAR:INDEX=0"}</definedName>
    <definedName name="_613__FDSAUDITLINK___1" localSheetId="8" hidden="1">{"fdsup://directions/FAT Viewer?action=UPDATE&amp;creator=factset&amp;DYN_ARGS=TRUE&amp;DOC_NAME=FAT:FQL_AUDITING_CLIENT_TEMPLATE.FAT&amp;display_string=Audit&amp;VAR:KEY=MJQNYTUBSL&amp;VAR:QUERY=RkZfTkVUX0lOQyhBTk4sMjAxMSk=&amp;WINDOW=FIRST_POPUP&amp;HEIGHT=450&amp;WIDTH=450&amp;START_MAXIMIZED=","FALSE&amp;VAR:CALENDAR=FIVEDAY&amp;VAR:SYMBOL=B138NB&amp;VAR:INDEX=0"}</definedName>
    <definedName name="_613__FDSAUDITLINK___1" hidden="1">{"fdsup://directions/FAT Viewer?action=UPDATE&amp;creator=factset&amp;DYN_ARGS=TRUE&amp;DOC_NAME=FAT:FQL_AUDITING_CLIENT_TEMPLATE.FAT&amp;display_string=Audit&amp;VAR:KEY=MJQNYTUBSL&amp;VAR:QUERY=RkZfTkVUX0lOQyhBTk4sMjAxMSk=&amp;WINDOW=FIRST_POPUP&amp;HEIGHT=450&amp;WIDTH=450&amp;START_MAXIMIZED=","FALSE&amp;VAR:CALENDAR=FIVEDAY&amp;VAR:SYMBOL=B138NB&amp;VAR:INDEX=0"}</definedName>
    <definedName name="_614__FDSAUDITLINK__" localSheetId="8" hidden="1">{"fdsup://directions/FAT Viewer?action=UPDATE&amp;creator=factset&amp;DYN_ARGS=TRUE&amp;DOC_NAME=FAT:FQL_AUDITING_CLIENT_TEMPLATE.FAT&amp;display_string=Audit&amp;VAR:KEY=WZMPUHAJCT&amp;VAR:QUERY=RkZfRU5UUlBSX1ZBTF9EQUlMWSgwLCwsLCwnRElMJyk=&amp;WINDOW=FIRST_POPUP&amp;HEIGHT=450&amp;WIDTH=450&amp;","START_MAXIMIZED=FALSE&amp;VAR:CALENDAR=FIVEDAY&amp;VAR:SYMBOL=B5KKT9&amp;VAR:INDEX=0"}</definedName>
    <definedName name="_614__FDSAUDITLINK__" hidden="1">{"fdsup://directions/FAT Viewer?action=UPDATE&amp;creator=factset&amp;DYN_ARGS=TRUE&amp;DOC_NAME=FAT:FQL_AUDITING_CLIENT_TEMPLATE.FAT&amp;display_string=Audit&amp;VAR:KEY=WZMPUHAJCT&amp;VAR:QUERY=RkZfRU5UUlBSX1ZBTF9EQUlMWSgwLCwsLCwnRElMJyk=&amp;WINDOW=FIRST_POPUP&amp;HEIGHT=450&amp;WIDTH=450&amp;","START_MAXIMIZED=FALSE&amp;VAR:CALENDAR=FIVEDAY&amp;VAR:SYMBOL=B5KKT9&amp;VAR:INDEX=0"}</definedName>
    <definedName name="_614__FDSAUDITLINK___1" localSheetId="8" hidden="1">{"fdsup://directions/FAT Viewer?action=UPDATE&amp;creator=factset&amp;DYN_ARGS=TRUE&amp;DOC_NAME=FAT:FQL_AUDITING_CLIENT_TEMPLATE.FAT&amp;display_string=Audit&amp;VAR:KEY=WZMPUHAJCT&amp;VAR:QUERY=RkZfRU5UUlBSX1ZBTF9EQUlMWSgwLCwsLCwnRElMJyk=&amp;WINDOW=FIRST_POPUP&amp;HEIGHT=450&amp;WIDTH=450&amp;","START_MAXIMIZED=FALSE&amp;VAR:CALENDAR=FIVEDAY&amp;VAR:SYMBOL=B5KKT9&amp;VAR:INDEX=0"}</definedName>
    <definedName name="_614__FDSAUDITLINK___1" hidden="1">{"fdsup://directions/FAT Viewer?action=UPDATE&amp;creator=factset&amp;DYN_ARGS=TRUE&amp;DOC_NAME=FAT:FQL_AUDITING_CLIENT_TEMPLATE.FAT&amp;display_string=Audit&amp;VAR:KEY=WZMPUHAJCT&amp;VAR:QUERY=RkZfRU5UUlBSX1ZBTF9EQUlMWSgwLCwsLCwnRElMJyk=&amp;WINDOW=FIRST_POPUP&amp;HEIGHT=450&amp;WIDTH=450&amp;","START_MAXIMIZED=FALSE&amp;VAR:CALENDAR=FIVEDAY&amp;VAR:SYMBOL=B5KKT9&amp;VAR:INDEX=0"}</definedName>
    <definedName name="_615__FDSAUDITLINK__" localSheetId="8" hidden="1">{"fdsup://Directions/FactSet Auditing Viewer?action=AUDIT_VALUE&amp;DB=129&amp;ID1=B5KKT9&amp;VALUEID=01001&amp;SDATE=2010&amp;PERIODTYPE=ANN_STD&amp;SCFT=3&amp;window=popup_no_bar&amp;width=385&amp;height=120&amp;START_MAXIMIZED=FALSE&amp;creator=factset&amp;display_string=Audit"}</definedName>
    <definedName name="_615__FDSAUDITLINK__" hidden="1">{"fdsup://Directions/FactSet Auditing Viewer?action=AUDIT_VALUE&amp;DB=129&amp;ID1=B5KKT9&amp;VALUEID=01001&amp;SDATE=2010&amp;PERIODTYPE=ANN_STD&amp;SCFT=3&amp;window=popup_no_bar&amp;width=385&amp;height=120&amp;START_MAXIMIZED=FALSE&amp;creator=factset&amp;display_string=Audit"}</definedName>
    <definedName name="_615__FDSAUDITLINK___1" localSheetId="8" hidden="1">{"fdsup://Directions/FactSet Auditing Viewer?action=AUDIT_VALUE&amp;DB=129&amp;ID1=B5KKT9&amp;VALUEID=01001&amp;SDATE=2010&amp;PERIODTYPE=ANN_STD&amp;SCFT=3&amp;window=popup_no_bar&amp;width=385&amp;height=120&amp;START_MAXIMIZED=FALSE&amp;creator=factset&amp;display_string=Audit"}</definedName>
    <definedName name="_615__FDSAUDITLINK___1" hidden="1">{"fdsup://Directions/FactSet Auditing Viewer?action=AUDIT_VALUE&amp;DB=129&amp;ID1=B5KKT9&amp;VALUEID=01001&amp;SDATE=2010&amp;PERIODTYPE=ANN_STD&amp;SCFT=3&amp;window=popup_no_bar&amp;width=385&amp;height=120&amp;START_MAXIMIZED=FALSE&amp;creator=factset&amp;display_string=Audit"}</definedName>
    <definedName name="_616__FDSAUDITLINK__" localSheetId="8" hidden="1">{"fdsup://directions/FAT Viewer?action=UPDATE&amp;creator=factset&amp;DYN_ARGS=TRUE&amp;DOC_NAME=FAT:FQL_AUDITING_CLIENT_TEMPLATE.FAT&amp;display_string=Audit&amp;VAR:KEY=NWDOTOLSPA&amp;VAR:QUERY=RkZfRUJJVERBX09QRVIoQU5OLDIwMDkp&amp;WINDOW=FIRST_POPUP&amp;HEIGHT=450&amp;WIDTH=450&amp;START_MAXIMI","ZED=FALSE&amp;VAR:CALENDAR=FIVEDAY&amp;VAR:SYMBOL=B5KKT9&amp;VAR:INDEX=0"}</definedName>
    <definedName name="_616__FDSAUDITLINK__" hidden="1">{"fdsup://directions/FAT Viewer?action=UPDATE&amp;creator=factset&amp;DYN_ARGS=TRUE&amp;DOC_NAME=FAT:FQL_AUDITING_CLIENT_TEMPLATE.FAT&amp;display_string=Audit&amp;VAR:KEY=NWDOTOLSPA&amp;VAR:QUERY=RkZfRUJJVERBX09QRVIoQU5OLDIwMDkp&amp;WINDOW=FIRST_POPUP&amp;HEIGHT=450&amp;WIDTH=450&amp;START_MAXIMI","ZED=FALSE&amp;VAR:CALENDAR=FIVEDAY&amp;VAR:SYMBOL=B5KKT9&amp;VAR:INDEX=0"}</definedName>
    <definedName name="_616__FDSAUDITLINK___1" localSheetId="8" hidden="1">{"fdsup://directions/FAT Viewer?action=UPDATE&amp;creator=factset&amp;DYN_ARGS=TRUE&amp;DOC_NAME=FAT:FQL_AUDITING_CLIENT_TEMPLATE.FAT&amp;display_string=Audit&amp;VAR:KEY=NWDOTOLSPA&amp;VAR:QUERY=RkZfRUJJVERBX09QRVIoQU5OLDIwMDkp&amp;WINDOW=FIRST_POPUP&amp;HEIGHT=450&amp;WIDTH=450&amp;START_MAXIMI","ZED=FALSE&amp;VAR:CALENDAR=FIVEDAY&amp;VAR:SYMBOL=B5KKT9&amp;VAR:INDEX=0"}</definedName>
    <definedName name="_616__FDSAUDITLINK___1" hidden="1">{"fdsup://directions/FAT Viewer?action=UPDATE&amp;creator=factset&amp;DYN_ARGS=TRUE&amp;DOC_NAME=FAT:FQL_AUDITING_CLIENT_TEMPLATE.FAT&amp;display_string=Audit&amp;VAR:KEY=NWDOTOLSPA&amp;VAR:QUERY=RkZfRUJJVERBX09QRVIoQU5OLDIwMDkp&amp;WINDOW=FIRST_POPUP&amp;HEIGHT=450&amp;WIDTH=450&amp;START_MAXIMI","ZED=FALSE&amp;VAR:CALENDAR=FIVEDAY&amp;VAR:SYMBOL=B5KKT9&amp;VAR:INDEX=0"}</definedName>
    <definedName name="_617__FDSAUDITLINK__" localSheetId="8" hidden="1">{"fdsup://directions/FAT Viewer?action=UPDATE&amp;creator=factset&amp;DYN_ARGS=TRUE&amp;DOC_NAME=FAT:FQL_AUDITING_CLIENT_TEMPLATE.FAT&amp;display_string=Audit&amp;VAR:KEY=JGPSXGXMDU&amp;VAR:QUERY=RkZfRUJJVERBX09QRVIoQU5OLDIwMTEp&amp;WINDOW=FIRST_POPUP&amp;HEIGHT=450&amp;WIDTH=450&amp;START_MAXIMI","ZED=FALSE&amp;VAR:CALENDAR=FIVEDAY&amp;VAR:SYMBOL=B5KKT9&amp;VAR:INDEX=0"}</definedName>
    <definedName name="_617__FDSAUDITLINK__" hidden="1">{"fdsup://directions/FAT Viewer?action=UPDATE&amp;creator=factset&amp;DYN_ARGS=TRUE&amp;DOC_NAME=FAT:FQL_AUDITING_CLIENT_TEMPLATE.FAT&amp;display_string=Audit&amp;VAR:KEY=JGPSXGXMDU&amp;VAR:QUERY=RkZfRUJJVERBX09QRVIoQU5OLDIwMTEp&amp;WINDOW=FIRST_POPUP&amp;HEIGHT=450&amp;WIDTH=450&amp;START_MAXIMI","ZED=FALSE&amp;VAR:CALENDAR=FIVEDAY&amp;VAR:SYMBOL=B5KKT9&amp;VAR:INDEX=0"}</definedName>
    <definedName name="_617__FDSAUDITLINK___1" localSheetId="8" hidden="1">{"fdsup://directions/FAT Viewer?action=UPDATE&amp;creator=factset&amp;DYN_ARGS=TRUE&amp;DOC_NAME=FAT:FQL_AUDITING_CLIENT_TEMPLATE.FAT&amp;display_string=Audit&amp;VAR:KEY=JGPSXGXMDU&amp;VAR:QUERY=RkZfRUJJVERBX09QRVIoQU5OLDIwMTEp&amp;WINDOW=FIRST_POPUP&amp;HEIGHT=450&amp;WIDTH=450&amp;START_MAXIMI","ZED=FALSE&amp;VAR:CALENDAR=FIVEDAY&amp;VAR:SYMBOL=B5KKT9&amp;VAR:INDEX=0"}</definedName>
    <definedName name="_617__FDSAUDITLINK___1" hidden="1">{"fdsup://directions/FAT Viewer?action=UPDATE&amp;creator=factset&amp;DYN_ARGS=TRUE&amp;DOC_NAME=FAT:FQL_AUDITING_CLIENT_TEMPLATE.FAT&amp;display_string=Audit&amp;VAR:KEY=JGPSXGXMDU&amp;VAR:QUERY=RkZfRUJJVERBX09QRVIoQU5OLDIwMTEp&amp;WINDOW=FIRST_POPUP&amp;HEIGHT=450&amp;WIDTH=450&amp;START_MAXIMI","ZED=FALSE&amp;VAR:CALENDAR=FIVEDAY&amp;VAR:SYMBOL=B5KKT9&amp;VAR:INDEX=0"}</definedName>
    <definedName name="_618__FDSAUDITLINK__" localSheetId="8" hidden="1">{"fdsup://directions/FAT Viewer?action=UPDATE&amp;creator=factset&amp;DYN_ARGS=TRUE&amp;DOC_NAME=FAT:FQL_AUDITING_CLIENT_TEMPLATE.FAT&amp;display_string=Audit&amp;VAR:KEY=MNUPGVQRYB&amp;VAR:QUERY=RkZfRUJJVF9PUEVSKEFOTiwyMDA4KQ==&amp;WINDOW=FIRST_POPUP&amp;HEIGHT=450&amp;WIDTH=450&amp;START_MAXIMI","ZED=FALSE&amp;VAR:CALENDAR=FIVEDAY&amp;VAR:SYMBOL=B5KKT9&amp;VAR:INDEX=0"}</definedName>
    <definedName name="_618__FDSAUDITLINK__" hidden="1">{"fdsup://directions/FAT Viewer?action=UPDATE&amp;creator=factset&amp;DYN_ARGS=TRUE&amp;DOC_NAME=FAT:FQL_AUDITING_CLIENT_TEMPLATE.FAT&amp;display_string=Audit&amp;VAR:KEY=MNUPGVQRYB&amp;VAR:QUERY=RkZfRUJJVF9PUEVSKEFOTiwyMDA4KQ==&amp;WINDOW=FIRST_POPUP&amp;HEIGHT=450&amp;WIDTH=450&amp;START_MAXIMI","ZED=FALSE&amp;VAR:CALENDAR=FIVEDAY&amp;VAR:SYMBOL=B5KKT9&amp;VAR:INDEX=0"}</definedName>
    <definedName name="_618__FDSAUDITLINK___1" localSheetId="8" hidden="1">{"fdsup://directions/FAT Viewer?action=UPDATE&amp;creator=factset&amp;DYN_ARGS=TRUE&amp;DOC_NAME=FAT:FQL_AUDITING_CLIENT_TEMPLATE.FAT&amp;display_string=Audit&amp;VAR:KEY=MNUPGVQRYB&amp;VAR:QUERY=RkZfRUJJVF9PUEVSKEFOTiwyMDA4KQ==&amp;WINDOW=FIRST_POPUP&amp;HEIGHT=450&amp;WIDTH=450&amp;START_MAXIMI","ZED=FALSE&amp;VAR:CALENDAR=FIVEDAY&amp;VAR:SYMBOL=B5KKT9&amp;VAR:INDEX=0"}</definedName>
    <definedName name="_618__FDSAUDITLINK___1" hidden="1">{"fdsup://directions/FAT Viewer?action=UPDATE&amp;creator=factset&amp;DYN_ARGS=TRUE&amp;DOC_NAME=FAT:FQL_AUDITING_CLIENT_TEMPLATE.FAT&amp;display_string=Audit&amp;VAR:KEY=MNUPGVQRYB&amp;VAR:QUERY=RkZfRUJJVF9PUEVSKEFOTiwyMDA4KQ==&amp;WINDOW=FIRST_POPUP&amp;HEIGHT=450&amp;WIDTH=450&amp;START_MAXIMI","ZED=FALSE&amp;VAR:CALENDAR=FIVEDAY&amp;VAR:SYMBOL=B5KKT9&amp;VAR:INDEX=0"}</definedName>
    <definedName name="_619__FDSAUDITLINK__" localSheetId="8" hidden="1">{"fdsup://directions/FAT Viewer?action=UPDATE&amp;creator=factset&amp;DYN_ARGS=TRUE&amp;DOC_NAME=FAT:FQL_AUDITING_CLIENT_TEMPLATE.FAT&amp;display_string=Audit&amp;VAR:KEY=CZAFGLATWH&amp;VAR:QUERY=RkZfRUJJVF9PUEVSKEFOTiwyMDEwKQ==&amp;WINDOW=FIRST_POPUP&amp;HEIGHT=450&amp;WIDTH=450&amp;START_MAXIMI","ZED=FALSE&amp;VAR:CALENDAR=FIVEDAY&amp;VAR:SYMBOL=B5KKT9&amp;VAR:INDEX=0"}</definedName>
    <definedName name="_619__FDSAUDITLINK__" hidden="1">{"fdsup://directions/FAT Viewer?action=UPDATE&amp;creator=factset&amp;DYN_ARGS=TRUE&amp;DOC_NAME=FAT:FQL_AUDITING_CLIENT_TEMPLATE.FAT&amp;display_string=Audit&amp;VAR:KEY=CZAFGLATWH&amp;VAR:QUERY=RkZfRUJJVF9PUEVSKEFOTiwyMDEwKQ==&amp;WINDOW=FIRST_POPUP&amp;HEIGHT=450&amp;WIDTH=450&amp;START_MAXIMI","ZED=FALSE&amp;VAR:CALENDAR=FIVEDAY&amp;VAR:SYMBOL=B5KKT9&amp;VAR:INDEX=0"}</definedName>
    <definedName name="_619__FDSAUDITLINK___1" localSheetId="8" hidden="1">{"fdsup://directions/FAT Viewer?action=UPDATE&amp;creator=factset&amp;DYN_ARGS=TRUE&amp;DOC_NAME=FAT:FQL_AUDITING_CLIENT_TEMPLATE.FAT&amp;display_string=Audit&amp;VAR:KEY=CZAFGLATWH&amp;VAR:QUERY=RkZfRUJJVF9PUEVSKEFOTiwyMDEwKQ==&amp;WINDOW=FIRST_POPUP&amp;HEIGHT=450&amp;WIDTH=450&amp;START_MAXIMI","ZED=FALSE&amp;VAR:CALENDAR=FIVEDAY&amp;VAR:SYMBOL=B5KKT9&amp;VAR:INDEX=0"}</definedName>
    <definedName name="_619__FDSAUDITLINK___1" hidden="1">{"fdsup://directions/FAT Viewer?action=UPDATE&amp;creator=factset&amp;DYN_ARGS=TRUE&amp;DOC_NAME=FAT:FQL_AUDITING_CLIENT_TEMPLATE.FAT&amp;display_string=Audit&amp;VAR:KEY=CZAFGLATWH&amp;VAR:QUERY=RkZfRUJJVF9PUEVSKEFOTiwyMDEwKQ==&amp;WINDOW=FIRST_POPUP&amp;HEIGHT=450&amp;WIDTH=450&amp;START_MAXIMI","ZED=FALSE&amp;VAR:CALENDAR=FIVEDAY&amp;VAR:SYMBOL=B5KKT9&amp;VAR:INDEX=0"}</definedName>
    <definedName name="_62__123Graph_BCHART_20" hidden="1">#REF!</definedName>
    <definedName name="_62__123Graph_CCHART_5" localSheetId="8" hidden="1">#REF!</definedName>
    <definedName name="_62__123Graph_CCHART_5" hidden="1">#REF!</definedName>
    <definedName name="_62__123Graph_LBL_ACHART_4" hidden="1">#REF!</definedName>
    <definedName name="_62__FDSAUDITLINK__" localSheetId="8" hidden="1">{"fdsup://directions/FAT Viewer?action=UPDATE&amp;creator=factset&amp;DYN_ARGS=TRUE&amp;DOC_NAME=FAT:FQL_AUDITING_CLIENT_TEMPLATE.FAT&amp;display_string=Audit&amp;VAR:KEY=ZCVMBONIFG&amp;VAR:QUERY=RkZfRUJJVF9JQignQU5OJywzNzk4NiwsLCwnR0JQJyk=&amp;WINDOW=FIRST_POPUP&amp;HEIGHT=450&amp;WIDTH=450&amp;","START_MAXIMIZED=FALSE&amp;VAR:CALENDAR=FIVEDAY&amp;VAR:SYMBOL=011827&amp;VAR:INDEX=0"}</definedName>
    <definedName name="_62__FDSAUDITLINK__" hidden="1">{"fdsup://directions/FAT Viewer?action=UPDATE&amp;creator=factset&amp;DYN_ARGS=TRUE&amp;DOC_NAME=FAT:FQL_AUDITING_CLIENT_TEMPLATE.FAT&amp;display_string=Audit&amp;VAR:KEY=CFAJCFSHAH&amp;VAR:QUERY=RkZfRUJJVERBX09QRVIoQ0FMLDIwMDkp&amp;WINDOW=FIRST_POPUP&amp;HEIGHT=450&amp;WIDTH=450&amp;START_MAXIMI","ZED=FALSE&amp;VAR:CALENDAR=US&amp;VAR:SYMBOL=VMC&amp;VAR:INDEX=0"}</definedName>
    <definedName name="_62__FDSAUDITLINK___1" localSheetId="8" hidden="1">{"fdsup://directions/FAT Viewer?action=UPDATE&amp;creator=factset&amp;DYN_ARGS=TRUE&amp;DOC_NAME=FAT:FQL_AUDITING_CLIENT_TEMPLATE.FAT&amp;display_string=Audit&amp;VAR:KEY=ZCVMBONIFG&amp;VAR:QUERY=RkZfRUJJVF9JQignQU5OJywzNzk4NiwsLCwnR0JQJyk=&amp;WINDOW=FIRST_POPUP&amp;HEIGHT=450&amp;WIDTH=450&amp;","START_MAXIMIZED=FALSE&amp;VAR:CALENDAR=FIVEDAY&amp;VAR:SYMBOL=011827&amp;VAR:INDEX=0"}</definedName>
    <definedName name="_62__FDSAUDITLINK___1" hidden="1">{"fdsup://directions/FAT Viewer?action=UPDATE&amp;creator=factset&amp;DYN_ARGS=TRUE&amp;DOC_NAME=FAT:FQL_AUDITING_CLIENT_TEMPLATE.FAT&amp;display_string=Audit&amp;VAR:KEY=ZCVMBONIFG&amp;VAR:QUERY=RkZfRUJJVF9JQignQU5OJywzNzk4NiwsLCwnR0JQJyk=&amp;WINDOW=FIRST_POPUP&amp;HEIGHT=450&amp;WIDTH=450&amp;","START_MAXIMIZED=FALSE&amp;VAR:CALENDAR=FIVEDAY&amp;VAR:SYMBOL=011827&amp;VAR:INDEX=0"}</definedName>
    <definedName name="_620__FDSAUDITLINK__" localSheetId="8" hidden="1">{"fdsup://directions/FAT Viewer?action=UPDATE&amp;creator=factset&amp;DYN_ARGS=TRUE&amp;DOC_NAME=FAT:FQL_AUDITING_CLIENT_TEMPLATE.FAT&amp;display_string=Audit&amp;VAR:KEY=PITWFOJWPW&amp;VAR:QUERY=RkZfQ0FQRVgoQU5OLDIwMDkp&amp;WINDOW=FIRST_POPUP&amp;HEIGHT=450&amp;WIDTH=450&amp;START_MAXIMIZED=FALS","E&amp;VAR:CALENDAR=FIVEDAY&amp;VAR:SYMBOL=B5KKT9&amp;VAR:INDEX=0"}</definedName>
    <definedName name="_620__FDSAUDITLINK__" hidden="1">{"fdsup://directions/FAT Viewer?action=UPDATE&amp;creator=factset&amp;DYN_ARGS=TRUE&amp;DOC_NAME=FAT:FQL_AUDITING_CLIENT_TEMPLATE.FAT&amp;display_string=Audit&amp;VAR:KEY=PITWFOJWPW&amp;VAR:QUERY=RkZfQ0FQRVgoQU5OLDIwMDkp&amp;WINDOW=FIRST_POPUP&amp;HEIGHT=450&amp;WIDTH=450&amp;START_MAXIMIZED=FALS","E&amp;VAR:CALENDAR=FIVEDAY&amp;VAR:SYMBOL=B5KKT9&amp;VAR:INDEX=0"}</definedName>
    <definedName name="_620__FDSAUDITLINK___1" localSheetId="8" hidden="1">{"fdsup://directions/FAT Viewer?action=UPDATE&amp;creator=factset&amp;DYN_ARGS=TRUE&amp;DOC_NAME=FAT:FQL_AUDITING_CLIENT_TEMPLATE.FAT&amp;display_string=Audit&amp;VAR:KEY=PITWFOJWPW&amp;VAR:QUERY=RkZfQ0FQRVgoQU5OLDIwMDkp&amp;WINDOW=FIRST_POPUP&amp;HEIGHT=450&amp;WIDTH=450&amp;START_MAXIMIZED=FALS","E&amp;VAR:CALENDAR=FIVEDAY&amp;VAR:SYMBOL=B5KKT9&amp;VAR:INDEX=0"}</definedName>
    <definedName name="_620__FDSAUDITLINK___1" hidden="1">{"fdsup://directions/FAT Viewer?action=UPDATE&amp;creator=factset&amp;DYN_ARGS=TRUE&amp;DOC_NAME=FAT:FQL_AUDITING_CLIENT_TEMPLATE.FAT&amp;display_string=Audit&amp;VAR:KEY=PITWFOJWPW&amp;VAR:QUERY=RkZfQ0FQRVgoQU5OLDIwMDkp&amp;WINDOW=FIRST_POPUP&amp;HEIGHT=450&amp;WIDTH=450&amp;START_MAXIMIZED=FALS","E&amp;VAR:CALENDAR=FIVEDAY&amp;VAR:SYMBOL=B5KKT9&amp;VAR:INDEX=0"}</definedName>
    <definedName name="_621__FDSAUDITLINK__" localSheetId="8" hidden="1">{"fdsup://directions/FAT Viewer?action=UPDATE&amp;creator=factset&amp;DYN_ARGS=TRUE&amp;DOC_NAME=FAT:FQL_AUDITING_CLIENT_TEMPLATE.FAT&amp;display_string=Audit&amp;VAR:KEY=HGBCTAPCDC&amp;VAR:QUERY=RkZfQ0FQRVgoQU5OLDIwMTEp&amp;WINDOW=FIRST_POPUP&amp;HEIGHT=450&amp;WIDTH=450&amp;START_MAXIMIZED=FALS","E&amp;VAR:CALENDAR=FIVEDAY&amp;VAR:SYMBOL=B5KKT9&amp;VAR:INDEX=0"}</definedName>
    <definedName name="_621__FDSAUDITLINK__" hidden="1">{"fdsup://directions/FAT Viewer?action=UPDATE&amp;creator=factset&amp;DYN_ARGS=TRUE&amp;DOC_NAME=FAT:FQL_AUDITING_CLIENT_TEMPLATE.FAT&amp;display_string=Audit&amp;VAR:KEY=HGBCTAPCDC&amp;VAR:QUERY=RkZfQ0FQRVgoQU5OLDIwMTEp&amp;WINDOW=FIRST_POPUP&amp;HEIGHT=450&amp;WIDTH=450&amp;START_MAXIMIZED=FALS","E&amp;VAR:CALENDAR=FIVEDAY&amp;VAR:SYMBOL=B5KKT9&amp;VAR:INDEX=0"}</definedName>
    <definedName name="_621__FDSAUDITLINK___1" localSheetId="8" hidden="1">{"fdsup://directions/FAT Viewer?action=UPDATE&amp;creator=factset&amp;DYN_ARGS=TRUE&amp;DOC_NAME=FAT:FQL_AUDITING_CLIENT_TEMPLATE.FAT&amp;display_string=Audit&amp;VAR:KEY=HGBCTAPCDC&amp;VAR:QUERY=RkZfQ0FQRVgoQU5OLDIwMTEp&amp;WINDOW=FIRST_POPUP&amp;HEIGHT=450&amp;WIDTH=450&amp;START_MAXIMIZED=FALS","E&amp;VAR:CALENDAR=FIVEDAY&amp;VAR:SYMBOL=B5KKT9&amp;VAR:INDEX=0"}</definedName>
    <definedName name="_621__FDSAUDITLINK___1" hidden="1">{"fdsup://directions/FAT Viewer?action=UPDATE&amp;creator=factset&amp;DYN_ARGS=TRUE&amp;DOC_NAME=FAT:FQL_AUDITING_CLIENT_TEMPLATE.FAT&amp;display_string=Audit&amp;VAR:KEY=HGBCTAPCDC&amp;VAR:QUERY=RkZfQ0FQRVgoQU5OLDIwMTEp&amp;WINDOW=FIRST_POPUP&amp;HEIGHT=450&amp;WIDTH=450&amp;START_MAXIMIZED=FALS","E&amp;VAR:CALENDAR=FIVEDAY&amp;VAR:SYMBOL=B5KKT9&amp;VAR:INDEX=0"}</definedName>
    <definedName name="_622__FDSAUDITLINK__" localSheetId="8" hidden="1">{"fdsup://directions/FAT Viewer?action=UPDATE&amp;creator=factset&amp;DYN_ARGS=TRUE&amp;DOC_NAME=FAT:FQL_AUDITING_CLIENT_TEMPLATE.FAT&amp;display_string=Audit&amp;VAR:KEY=CXYLIRGNSV&amp;VAR:QUERY=RkZfTkVUX0lOQyhBTk4sMjAwOCk=&amp;WINDOW=FIRST_POPUP&amp;HEIGHT=450&amp;WIDTH=450&amp;START_MAXIMIZED=","FALSE&amp;VAR:CALENDAR=FIVEDAY&amp;VAR:SYMBOL=B5KKT9&amp;VAR:INDEX=0"}</definedName>
    <definedName name="_622__FDSAUDITLINK__" hidden="1">{"fdsup://directions/FAT Viewer?action=UPDATE&amp;creator=factset&amp;DYN_ARGS=TRUE&amp;DOC_NAME=FAT:FQL_AUDITING_CLIENT_TEMPLATE.FAT&amp;display_string=Audit&amp;VAR:KEY=CXYLIRGNSV&amp;VAR:QUERY=RkZfTkVUX0lOQyhBTk4sMjAwOCk=&amp;WINDOW=FIRST_POPUP&amp;HEIGHT=450&amp;WIDTH=450&amp;START_MAXIMIZED=","FALSE&amp;VAR:CALENDAR=FIVEDAY&amp;VAR:SYMBOL=B5KKT9&amp;VAR:INDEX=0"}</definedName>
    <definedName name="_622__FDSAUDITLINK___1" localSheetId="8" hidden="1">{"fdsup://directions/FAT Viewer?action=UPDATE&amp;creator=factset&amp;DYN_ARGS=TRUE&amp;DOC_NAME=FAT:FQL_AUDITING_CLIENT_TEMPLATE.FAT&amp;display_string=Audit&amp;VAR:KEY=CXYLIRGNSV&amp;VAR:QUERY=RkZfTkVUX0lOQyhBTk4sMjAwOCk=&amp;WINDOW=FIRST_POPUP&amp;HEIGHT=450&amp;WIDTH=450&amp;START_MAXIMIZED=","FALSE&amp;VAR:CALENDAR=FIVEDAY&amp;VAR:SYMBOL=B5KKT9&amp;VAR:INDEX=0"}</definedName>
    <definedName name="_622__FDSAUDITLINK___1" hidden="1">{"fdsup://directions/FAT Viewer?action=UPDATE&amp;creator=factset&amp;DYN_ARGS=TRUE&amp;DOC_NAME=FAT:FQL_AUDITING_CLIENT_TEMPLATE.FAT&amp;display_string=Audit&amp;VAR:KEY=CXYLIRGNSV&amp;VAR:QUERY=RkZfTkVUX0lOQyhBTk4sMjAwOCk=&amp;WINDOW=FIRST_POPUP&amp;HEIGHT=450&amp;WIDTH=450&amp;START_MAXIMIZED=","FALSE&amp;VAR:CALENDAR=FIVEDAY&amp;VAR:SYMBOL=B5KKT9&amp;VAR:INDEX=0"}</definedName>
    <definedName name="_623__FDSAUDITLINK__" localSheetId="8" hidden="1">{"fdsup://directions/FAT Viewer?action=UPDATE&amp;creator=factset&amp;DYN_ARGS=TRUE&amp;DOC_NAME=FAT:FQL_AUDITING_CLIENT_TEMPLATE.FAT&amp;display_string=Audit&amp;VAR:KEY=SJIBIJIXCL&amp;VAR:QUERY=RkZfTkVUX0lOQyhBTk4sMjAxMCk=&amp;WINDOW=FIRST_POPUP&amp;HEIGHT=450&amp;WIDTH=450&amp;START_MAXIMIZED=","FALSE&amp;VAR:CALENDAR=FIVEDAY&amp;VAR:SYMBOL=B5KKT9&amp;VAR:INDEX=0"}</definedName>
    <definedName name="_623__FDSAUDITLINK__" hidden="1">{"fdsup://directions/FAT Viewer?action=UPDATE&amp;creator=factset&amp;DYN_ARGS=TRUE&amp;DOC_NAME=FAT:FQL_AUDITING_CLIENT_TEMPLATE.FAT&amp;display_string=Audit&amp;VAR:KEY=SJIBIJIXCL&amp;VAR:QUERY=RkZfTkVUX0lOQyhBTk4sMjAxMCk=&amp;WINDOW=FIRST_POPUP&amp;HEIGHT=450&amp;WIDTH=450&amp;START_MAXIMIZED=","FALSE&amp;VAR:CALENDAR=FIVEDAY&amp;VAR:SYMBOL=B5KKT9&amp;VAR:INDEX=0"}</definedName>
    <definedName name="_623__FDSAUDITLINK___1" localSheetId="8" hidden="1">{"fdsup://directions/FAT Viewer?action=UPDATE&amp;creator=factset&amp;DYN_ARGS=TRUE&amp;DOC_NAME=FAT:FQL_AUDITING_CLIENT_TEMPLATE.FAT&amp;display_string=Audit&amp;VAR:KEY=SJIBIJIXCL&amp;VAR:QUERY=RkZfTkVUX0lOQyhBTk4sMjAxMCk=&amp;WINDOW=FIRST_POPUP&amp;HEIGHT=450&amp;WIDTH=450&amp;START_MAXIMIZED=","FALSE&amp;VAR:CALENDAR=FIVEDAY&amp;VAR:SYMBOL=B5KKT9&amp;VAR:INDEX=0"}</definedName>
    <definedName name="_623__FDSAUDITLINK___1" hidden="1">{"fdsup://directions/FAT Viewer?action=UPDATE&amp;creator=factset&amp;DYN_ARGS=TRUE&amp;DOC_NAME=FAT:FQL_AUDITING_CLIENT_TEMPLATE.FAT&amp;display_string=Audit&amp;VAR:KEY=SJIBIJIXCL&amp;VAR:QUERY=RkZfTkVUX0lOQyhBTk4sMjAxMCk=&amp;WINDOW=FIRST_POPUP&amp;HEIGHT=450&amp;WIDTH=450&amp;START_MAXIMIZED=","FALSE&amp;VAR:CALENDAR=FIVEDAY&amp;VAR:SYMBOL=B5KKT9&amp;VAR:INDEX=0"}</definedName>
    <definedName name="_624__FDSAUDITLINK__" localSheetId="8" hidden="1">{"fdsup://Directions/FactSet Auditing Viewer?action=AUDIT_VALUE&amp;DB=129&amp;ID1=B61G9L&amp;VALUEID=01001&amp;SDATE=2009&amp;PERIODTYPE=ANN_STD&amp;SCFT=3&amp;window=popup_no_bar&amp;width=385&amp;height=120&amp;START_MAXIMIZED=FALSE&amp;creator=factset&amp;display_string=Audit"}</definedName>
    <definedName name="_624__FDSAUDITLINK__" hidden="1">{"fdsup://Directions/FactSet Auditing Viewer?action=AUDIT_VALUE&amp;DB=129&amp;ID1=B61G9L&amp;VALUEID=01001&amp;SDATE=2009&amp;PERIODTYPE=ANN_STD&amp;SCFT=3&amp;window=popup_no_bar&amp;width=385&amp;height=120&amp;START_MAXIMIZED=FALSE&amp;creator=factset&amp;display_string=Audit"}</definedName>
    <definedName name="_624__FDSAUDITLINK___1" localSheetId="8" hidden="1">{"fdsup://Directions/FactSet Auditing Viewer?action=AUDIT_VALUE&amp;DB=129&amp;ID1=B61G9L&amp;VALUEID=01001&amp;SDATE=2009&amp;PERIODTYPE=ANN_STD&amp;SCFT=3&amp;window=popup_no_bar&amp;width=385&amp;height=120&amp;START_MAXIMIZED=FALSE&amp;creator=factset&amp;display_string=Audit"}</definedName>
    <definedName name="_624__FDSAUDITLINK___1" hidden="1">{"fdsup://Directions/FactSet Auditing Viewer?action=AUDIT_VALUE&amp;DB=129&amp;ID1=B61G9L&amp;VALUEID=01001&amp;SDATE=2009&amp;PERIODTYPE=ANN_STD&amp;SCFT=3&amp;window=popup_no_bar&amp;width=385&amp;height=120&amp;START_MAXIMIZED=FALSE&amp;creator=factset&amp;display_string=Audit"}</definedName>
    <definedName name="_625__FDSAUDITLINK__" localSheetId="8" hidden="1">{"fdsup://directions/FAT Viewer?action=UPDATE&amp;creator=factset&amp;DYN_ARGS=TRUE&amp;DOC_NAME=FAT:FQL_AUDITING_CLIENT_TEMPLATE.FAT&amp;display_string=Audit&amp;VAR:KEY=HIJIRQFMLC&amp;VAR:QUERY=RkZfRUJJVERBX09QRVIoQU5OLDIwMDgp&amp;WINDOW=FIRST_POPUP&amp;HEIGHT=450&amp;WIDTH=450&amp;START_MAXIMI","ZED=FALSE&amp;VAR:CALENDAR=FIVEDAY&amp;VAR:SYMBOL=B61G9L&amp;VAR:INDEX=0"}</definedName>
    <definedName name="_625__FDSAUDITLINK__" hidden="1">{"fdsup://directions/FAT Viewer?action=UPDATE&amp;creator=factset&amp;DYN_ARGS=TRUE&amp;DOC_NAME=FAT:FQL_AUDITING_CLIENT_TEMPLATE.FAT&amp;display_string=Audit&amp;VAR:KEY=HIJIRQFMLC&amp;VAR:QUERY=RkZfRUJJVERBX09QRVIoQU5OLDIwMDgp&amp;WINDOW=FIRST_POPUP&amp;HEIGHT=450&amp;WIDTH=450&amp;START_MAXIMI","ZED=FALSE&amp;VAR:CALENDAR=FIVEDAY&amp;VAR:SYMBOL=B61G9L&amp;VAR:INDEX=0"}</definedName>
    <definedName name="_625__FDSAUDITLINK___1" localSheetId="8" hidden="1">{"fdsup://directions/FAT Viewer?action=UPDATE&amp;creator=factset&amp;DYN_ARGS=TRUE&amp;DOC_NAME=FAT:FQL_AUDITING_CLIENT_TEMPLATE.FAT&amp;display_string=Audit&amp;VAR:KEY=HIJIRQFMLC&amp;VAR:QUERY=RkZfRUJJVERBX09QRVIoQU5OLDIwMDgp&amp;WINDOW=FIRST_POPUP&amp;HEIGHT=450&amp;WIDTH=450&amp;START_MAXIMI","ZED=FALSE&amp;VAR:CALENDAR=FIVEDAY&amp;VAR:SYMBOL=B61G9L&amp;VAR:INDEX=0"}</definedName>
    <definedName name="_625__FDSAUDITLINK___1" hidden="1">{"fdsup://directions/FAT Viewer?action=UPDATE&amp;creator=factset&amp;DYN_ARGS=TRUE&amp;DOC_NAME=FAT:FQL_AUDITING_CLIENT_TEMPLATE.FAT&amp;display_string=Audit&amp;VAR:KEY=HIJIRQFMLC&amp;VAR:QUERY=RkZfRUJJVERBX09QRVIoQU5OLDIwMDgp&amp;WINDOW=FIRST_POPUP&amp;HEIGHT=450&amp;WIDTH=450&amp;START_MAXIMI","ZED=FALSE&amp;VAR:CALENDAR=FIVEDAY&amp;VAR:SYMBOL=B61G9L&amp;VAR:INDEX=0"}</definedName>
    <definedName name="_626__FDSAUDITLINK__" localSheetId="8" hidden="1">{"fdsup://directions/FAT Viewer?action=UPDATE&amp;creator=factset&amp;DYN_ARGS=TRUE&amp;DOC_NAME=FAT:FQL_AUDITING_CLIENT_TEMPLATE.FAT&amp;display_string=Audit&amp;VAR:KEY=ZIVWXOZUBG&amp;VAR:QUERY=RkZfRUJJVERBX09QRVIoQU5OLDIwMTAp&amp;WINDOW=FIRST_POPUP&amp;HEIGHT=450&amp;WIDTH=450&amp;START_MAXIMI","ZED=FALSE&amp;VAR:CALENDAR=FIVEDAY&amp;VAR:SYMBOL=B61G9L&amp;VAR:INDEX=0"}</definedName>
    <definedName name="_626__FDSAUDITLINK__" hidden="1">{"fdsup://directions/FAT Viewer?action=UPDATE&amp;creator=factset&amp;DYN_ARGS=TRUE&amp;DOC_NAME=FAT:FQL_AUDITING_CLIENT_TEMPLATE.FAT&amp;display_string=Audit&amp;VAR:KEY=ZIVWXOZUBG&amp;VAR:QUERY=RkZfRUJJVERBX09QRVIoQU5OLDIwMTAp&amp;WINDOW=FIRST_POPUP&amp;HEIGHT=450&amp;WIDTH=450&amp;START_MAXIMI","ZED=FALSE&amp;VAR:CALENDAR=FIVEDAY&amp;VAR:SYMBOL=B61G9L&amp;VAR:INDEX=0"}</definedName>
    <definedName name="_626__FDSAUDITLINK___1" localSheetId="8" hidden="1">{"fdsup://directions/FAT Viewer?action=UPDATE&amp;creator=factset&amp;DYN_ARGS=TRUE&amp;DOC_NAME=FAT:FQL_AUDITING_CLIENT_TEMPLATE.FAT&amp;display_string=Audit&amp;VAR:KEY=ZIVWXOZUBG&amp;VAR:QUERY=RkZfRUJJVERBX09QRVIoQU5OLDIwMTAp&amp;WINDOW=FIRST_POPUP&amp;HEIGHT=450&amp;WIDTH=450&amp;START_MAXIMI","ZED=FALSE&amp;VAR:CALENDAR=FIVEDAY&amp;VAR:SYMBOL=B61G9L&amp;VAR:INDEX=0"}</definedName>
    <definedName name="_626__FDSAUDITLINK___1" hidden="1">{"fdsup://directions/FAT Viewer?action=UPDATE&amp;creator=factset&amp;DYN_ARGS=TRUE&amp;DOC_NAME=FAT:FQL_AUDITING_CLIENT_TEMPLATE.FAT&amp;display_string=Audit&amp;VAR:KEY=ZIVWXOZUBG&amp;VAR:QUERY=RkZfRUJJVERBX09QRVIoQU5OLDIwMTAp&amp;WINDOW=FIRST_POPUP&amp;HEIGHT=450&amp;WIDTH=450&amp;START_MAXIMI","ZED=FALSE&amp;VAR:CALENDAR=FIVEDAY&amp;VAR:SYMBOL=B61G9L&amp;VAR:INDEX=0"}</definedName>
    <definedName name="_627__FDSAUDITLINK__" localSheetId="8" hidden="1">{"fdsup://directions/FAT Viewer?action=UPDATE&amp;creator=factset&amp;DYN_ARGS=TRUE&amp;DOC_NAME=FAT:FQL_AUDITING_CLIENT_TEMPLATE.FAT&amp;display_string=Audit&amp;VAR:KEY=PEFSDABCPK&amp;VAR:QUERY=RkZfRUJJVF9PUEVSKEFOTiwyMDA5KQ==&amp;WINDOW=FIRST_POPUP&amp;HEIGHT=450&amp;WIDTH=450&amp;START_MAXIMI","ZED=FALSE&amp;VAR:CALENDAR=FIVEDAY&amp;VAR:SYMBOL=B61G9L&amp;VAR:INDEX=0"}</definedName>
    <definedName name="_627__FDSAUDITLINK__" hidden="1">{"fdsup://directions/FAT Viewer?action=UPDATE&amp;creator=factset&amp;DYN_ARGS=TRUE&amp;DOC_NAME=FAT:FQL_AUDITING_CLIENT_TEMPLATE.FAT&amp;display_string=Audit&amp;VAR:KEY=PEFSDABCPK&amp;VAR:QUERY=RkZfRUJJVF9PUEVSKEFOTiwyMDA5KQ==&amp;WINDOW=FIRST_POPUP&amp;HEIGHT=450&amp;WIDTH=450&amp;START_MAXIMI","ZED=FALSE&amp;VAR:CALENDAR=FIVEDAY&amp;VAR:SYMBOL=B61G9L&amp;VAR:INDEX=0"}</definedName>
    <definedName name="_627__FDSAUDITLINK___1" localSheetId="8" hidden="1">{"fdsup://directions/FAT Viewer?action=UPDATE&amp;creator=factset&amp;DYN_ARGS=TRUE&amp;DOC_NAME=FAT:FQL_AUDITING_CLIENT_TEMPLATE.FAT&amp;display_string=Audit&amp;VAR:KEY=PEFSDABCPK&amp;VAR:QUERY=RkZfRUJJVF9PUEVSKEFOTiwyMDA5KQ==&amp;WINDOW=FIRST_POPUP&amp;HEIGHT=450&amp;WIDTH=450&amp;START_MAXIMI","ZED=FALSE&amp;VAR:CALENDAR=FIVEDAY&amp;VAR:SYMBOL=B61G9L&amp;VAR:INDEX=0"}</definedName>
    <definedName name="_627__FDSAUDITLINK___1" hidden="1">{"fdsup://directions/FAT Viewer?action=UPDATE&amp;creator=factset&amp;DYN_ARGS=TRUE&amp;DOC_NAME=FAT:FQL_AUDITING_CLIENT_TEMPLATE.FAT&amp;display_string=Audit&amp;VAR:KEY=PEFSDABCPK&amp;VAR:QUERY=RkZfRUJJVF9PUEVSKEFOTiwyMDA5KQ==&amp;WINDOW=FIRST_POPUP&amp;HEIGHT=450&amp;WIDTH=450&amp;START_MAXIMI","ZED=FALSE&amp;VAR:CALENDAR=FIVEDAY&amp;VAR:SYMBOL=B61G9L&amp;VAR:INDEX=0"}</definedName>
    <definedName name="_628__FDSAUDITLINK__" localSheetId="8" hidden="1">{"fdsup://directions/FAT Viewer?action=UPDATE&amp;creator=factset&amp;DYN_ARGS=TRUE&amp;DOC_NAME=FAT:FQL_AUDITING_CLIENT_TEMPLATE.FAT&amp;display_string=Audit&amp;VAR:KEY=ETQDMXUTCX&amp;VAR:QUERY=RkZfRUJJVF9PUEVSKEFOTiwyMDEwKQ==&amp;WINDOW=FIRST_POPUP&amp;HEIGHT=450&amp;WIDTH=450&amp;START_MAXIMI","ZED=FALSE&amp;VAR:CALENDAR=FIVEDAY&amp;VAR:SYMBOL=B61G9L&amp;VAR:INDEX=0"}</definedName>
    <definedName name="_628__FDSAUDITLINK__" hidden="1">{"fdsup://directions/FAT Viewer?action=UPDATE&amp;creator=factset&amp;DYN_ARGS=TRUE&amp;DOC_NAME=FAT:FQL_AUDITING_CLIENT_TEMPLATE.FAT&amp;display_string=Audit&amp;VAR:KEY=ETQDMXUTCX&amp;VAR:QUERY=RkZfRUJJVF9PUEVSKEFOTiwyMDEwKQ==&amp;WINDOW=FIRST_POPUP&amp;HEIGHT=450&amp;WIDTH=450&amp;START_MAXIMI","ZED=FALSE&amp;VAR:CALENDAR=FIVEDAY&amp;VAR:SYMBOL=B61G9L&amp;VAR:INDEX=0"}</definedName>
    <definedName name="_628__FDSAUDITLINK___1" localSheetId="8" hidden="1">{"fdsup://directions/FAT Viewer?action=UPDATE&amp;creator=factset&amp;DYN_ARGS=TRUE&amp;DOC_NAME=FAT:FQL_AUDITING_CLIENT_TEMPLATE.FAT&amp;display_string=Audit&amp;VAR:KEY=ETQDMXUTCX&amp;VAR:QUERY=RkZfRUJJVF9PUEVSKEFOTiwyMDEwKQ==&amp;WINDOW=FIRST_POPUP&amp;HEIGHT=450&amp;WIDTH=450&amp;START_MAXIMI","ZED=FALSE&amp;VAR:CALENDAR=FIVEDAY&amp;VAR:SYMBOL=B61G9L&amp;VAR:INDEX=0"}</definedName>
    <definedName name="_628__FDSAUDITLINK___1" hidden="1">{"fdsup://directions/FAT Viewer?action=UPDATE&amp;creator=factset&amp;DYN_ARGS=TRUE&amp;DOC_NAME=FAT:FQL_AUDITING_CLIENT_TEMPLATE.FAT&amp;display_string=Audit&amp;VAR:KEY=ETQDMXUTCX&amp;VAR:QUERY=RkZfRUJJVF9PUEVSKEFOTiwyMDEwKQ==&amp;WINDOW=FIRST_POPUP&amp;HEIGHT=450&amp;WIDTH=450&amp;START_MAXIMI","ZED=FALSE&amp;VAR:CALENDAR=FIVEDAY&amp;VAR:SYMBOL=B61G9L&amp;VAR:INDEX=0"}</definedName>
    <definedName name="_629__FDSAUDITLINK__" localSheetId="8" hidden="1">{"fdsup://directions/FAT Viewer?action=UPDATE&amp;creator=factset&amp;DYN_ARGS=TRUE&amp;DOC_NAME=FAT:FQL_AUDITING_CLIENT_TEMPLATE.FAT&amp;display_string=Audit&amp;VAR:KEY=XSDGTANQPC&amp;VAR:QUERY=RkZfQ0FQRVgoQU5OLDIwMDgp&amp;WINDOW=FIRST_POPUP&amp;HEIGHT=450&amp;WIDTH=450&amp;START_MAXIMIZED=FALS","E&amp;VAR:CALENDAR=FIVEDAY&amp;VAR:SYMBOL=B61G9L&amp;VAR:INDEX=0"}</definedName>
    <definedName name="_629__FDSAUDITLINK__" hidden="1">{"fdsup://directions/FAT Viewer?action=UPDATE&amp;creator=factset&amp;DYN_ARGS=TRUE&amp;DOC_NAME=FAT:FQL_AUDITING_CLIENT_TEMPLATE.FAT&amp;display_string=Audit&amp;VAR:KEY=XSDGTANQPC&amp;VAR:QUERY=RkZfQ0FQRVgoQU5OLDIwMDgp&amp;WINDOW=FIRST_POPUP&amp;HEIGHT=450&amp;WIDTH=450&amp;START_MAXIMIZED=FALS","E&amp;VAR:CALENDAR=FIVEDAY&amp;VAR:SYMBOL=B61G9L&amp;VAR:INDEX=0"}</definedName>
    <definedName name="_629__FDSAUDITLINK___1" localSheetId="8" hidden="1">{"fdsup://directions/FAT Viewer?action=UPDATE&amp;creator=factset&amp;DYN_ARGS=TRUE&amp;DOC_NAME=FAT:FQL_AUDITING_CLIENT_TEMPLATE.FAT&amp;display_string=Audit&amp;VAR:KEY=XSDGTANQPC&amp;VAR:QUERY=RkZfQ0FQRVgoQU5OLDIwMDgp&amp;WINDOW=FIRST_POPUP&amp;HEIGHT=450&amp;WIDTH=450&amp;START_MAXIMIZED=FALS","E&amp;VAR:CALENDAR=FIVEDAY&amp;VAR:SYMBOL=B61G9L&amp;VAR:INDEX=0"}</definedName>
    <definedName name="_629__FDSAUDITLINK___1" hidden="1">{"fdsup://directions/FAT Viewer?action=UPDATE&amp;creator=factset&amp;DYN_ARGS=TRUE&amp;DOC_NAME=FAT:FQL_AUDITING_CLIENT_TEMPLATE.FAT&amp;display_string=Audit&amp;VAR:KEY=XSDGTANQPC&amp;VAR:QUERY=RkZfQ0FQRVgoQU5OLDIwMDgp&amp;WINDOW=FIRST_POPUP&amp;HEIGHT=450&amp;WIDTH=450&amp;START_MAXIMIZED=FALS","E&amp;VAR:CALENDAR=FIVEDAY&amp;VAR:SYMBOL=B61G9L&amp;VAR:INDEX=0"}</definedName>
    <definedName name="_63__123Graph_BCHART_1" hidden="1">#REF!</definedName>
    <definedName name="_63__123Graph_LBL_ACHART_7" hidden="1">#REF!</definedName>
    <definedName name="_63__FDSAUDITLINK__" localSheetId="8" hidden="1">{"fdsup://directions/FAT Viewer?action=UPDATE&amp;creator=factset&amp;DYN_ARGS=TRUE&amp;DOC_NAME=FAT:FQL_AUDITING_CLIENT_TEMPLATE.FAT&amp;display_string=Audit&amp;VAR:KEY=PCFMHYHIZM&amp;VAR:QUERY=RkZfRUJJVF9JQignQU5OJywzNzYyMSwsLCwnR0JQJyk=&amp;WINDOW=FIRST_POPUP&amp;HEIGHT=450&amp;WIDTH=450&amp;","START_MAXIMIZED=FALSE&amp;VAR:CALENDAR=FIVEDAY&amp;VAR:SYMBOL=011827&amp;VAR:INDEX=0"}</definedName>
    <definedName name="_63__FDSAUDITLINK__" hidden="1">{"fdsup://directions/FAT Viewer?action=UPDATE&amp;creator=factset&amp;DYN_ARGS=TRUE&amp;DOC_NAME=FAT:FQL_AUDITING_CLIENT_TEMPLATE.FAT&amp;display_string=Audit&amp;VAR:KEY=YXUNEVSHEJ&amp;VAR:QUERY=RkZfRUJJVERBX09QRVIoQ0FMLDIwMDkp&amp;WINDOW=FIRST_POPUP&amp;HEIGHT=450&amp;WIDTH=450&amp;START_MAXIMI","ZED=FALSE&amp;VAR:CALENDAR=US&amp;VAR:SYMBOL=MCEM&amp;VAR:INDEX=0"}</definedName>
    <definedName name="_63__FDSAUDITLINK___1" localSheetId="8" hidden="1">{"fdsup://directions/FAT Viewer?action=UPDATE&amp;creator=factset&amp;DYN_ARGS=TRUE&amp;DOC_NAME=FAT:FQL_AUDITING_CLIENT_TEMPLATE.FAT&amp;display_string=Audit&amp;VAR:KEY=PCFMHYHIZM&amp;VAR:QUERY=RkZfRUJJVF9JQignQU5OJywzNzYyMSwsLCwnR0JQJyk=&amp;WINDOW=FIRST_POPUP&amp;HEIGHT=450&amp;WIDTH=450&amp;","START_MAXIMIZED=FALSE&amp;VAR:CALENDAR=FIVEDAY&amp;VAR:SYMBOL=011827&amp;VAR:INDEX=0"}</definedName>
    <definedName name="_63__FDSAUDITLINK___1" hidden="1">{"fdsup://directions/FAT Viewer?action=UPDATE&amp;creator=factset&amp;DYN_ARGS=TRUE&amp;DOC_NAME=FAT:FQL_AUDITING_CLIENT_TEMPLATE.FAT&amp;display_string=Audit&amp;VAR:KEY=PCFMHYHIZM&amp;VAR:QUERY=RkZfRUJJVF9JQignQU5OJywzNzYyMSwsLCwnR0JQJyk=&amp;WINDOW=FIRST_POPUP&amp;HEIGHT=450&amp;WIDTH=450&amp;","START_MAXIMIZED=FALSE&amp;VAR:CALENDAR=FIVEDAY&amp;VAR:SYMBOL=011827&amp;VAR:INDEX=0"}</definedName>
    <definedName name="_630__FDSAUDITLINK__" localSheetId="8" hidden="1">{"fdsup://directions/FAT Viewer?action=UPDATE&amp;creator=factset&amp;DYN_ARGS=TRUE&amp;DOC_NAME=FAT:FQL_AUDITING_CLIENT_TEMPLATE.FAT&amp;display_string=Audit&amp;VAR:KEY=NGXSLGXMJA&amp;VAR:QUERY=RkZfQ0FQRVgoQU5OLDIwMTAp&amp;WINDOW=FIRST_POPUP&amp;HEIGHT=450&amp;WIDTH=450&amp;START_MAXIMIZED=FALS","E&amp;VAR:CALENDAR=FIVEDAY&amp;VAR:SYMBOL=B61G9L&amp;VAR:INDEX=0"}</definedName>
    <definedName name="_630__FDSAUDITLINK__" hidden="1">{"fdsup://directions/FAT Viewer?action=UPDATE&amp;creator=factset&amp;DYN_ARGS=TRUE&amp;DOC_NAME=FAT:FQL_AUDITING_CLIENT_TEMPLATE.FAT&amp;display_string=Audit&amp;VAR:KEY=NGXSLGXMJA&amp;VAR:QUERY=RkZfQ0FQRVgoQU5OLDIwMTAp&amp;WINDOW=FIRST_POPUP&amp;HEIGHT=450&amp;WIDTH=450&amp;START_MAXIMIZED=FALS","E&amp;VAR:CALENDAR=FIVEDAY&amp;VAR:SYMBOL=B61G9L&amp;VAR:INDEX=0"}</definedName>
    <definedName name="_630__FDSAUDITLINK___1" localSheetId="8" hidden="1">{"fdsup://directions/FAT Viewer?action=UPDATE&amp;creator=factset&amp;DYN_ARGS=TRUE&amp;DOC_NAME=FAT:FQL_AUDITING_CLIENT_TEMPLATE.FAT&amp;display_string=Audit&amp;VAR:KEY=NGXSLGXMJA&amp;VAR:QUERY=RkZfQ0FQRVgoQU5OLDIwMTAp&amp;WINDOW=FIRST_POPUP&amp;HEIGHT=450&amp;WIDTH=450&amp;START_MAXIMIZED=FALS","E&amp;VAR:CALENDAR=FIVEDAY&amp;VAR:SYMBOL=B61G9L&amp;VAR:INDEX=0"}</definedName>
    <definedName name="_630__FDSAUDITLINK___1" hidden="1">{"fdsup://directions/FAT Viewer?action=UPDATE&amp;creator=factset&amp;DYN_ARGS=TRUE&amp;DOC_NAME=FAT:FQL_AUDITING_CLIENT_TEMPLATE.FAT&amp;display_string=Audit&amp;VAR:KEY=NGXSLGXMJA&amp;VAR:QUERY=RkZfQ0FQRVgoQU5OLDIwMTAp&amp;WINDOW=FIRST_POPUP&amp;HEIGHT=450&amp;WIDTH=450&amp;START_MAXIMIZED=FALS","E&amp;VAR:CALENDAR=FIVEDAY&amp;VAR:SYMBOL=B61G9L&amp;VAR:INDEX=0"}</definedName>
    <definedName name="_631__FDSAUDITLINK__" localSheetId="8" hidden="1">{"fdsup://directions/FAT Viewer?action=UPDATE&amp;creator=factset&amp;DYN_ARGS=TRUE&amp;DOC_NAME=FAT:FQL_AUDITING_CLIENT_TEMPLATE.FAT&amp;display_string=Audit&amp;VAR:KEY=SZYPAVSHYN&amp;VAR:QUERY=RkZfTkVUX0lOQyhBTk4sMjAwOSk=&amp;WINDOW=FIRST_POPUP&amp;HEIGHT=450&amp;WIDTH=450&amp;START_MAXIMIZED=","FALSE&amp;VAR:CALENDAR=FIVEDAY&amp;VAR:SYMBOL=B61G9L&amp;VAR:INDEX=0"}</definedName>
    <definedName name="_631__FDSAUDITLINK__" hidden="1">{"fdsup://directions/FAT Viewer?action=UPDATE&amp;creator=factset&amp;DYN_ARGS=TRUE&amp;DOC_NAME=FAT:FQL_AUDITING_CLIENT_TEMPLATE.FAT&amp;display_string=Audit&amp;VAR:KEY=SZYPAVSHYN&amp;VAR:QUERY=RkZfTkVUX0lOQyhBTk4sMjAwOSk=&amp;WINDOW=FIRST_POPUP&amp;HEIGHT=450&amp;WIDTH=450&amp;START_MAXIMIZED=","FALSE&amp;VAR:CALENDAR=FIVEDAY&amp;VAR:SYMBOL=B61G9L&amp;VAR:INDEX=0"}</definedName>
    <definedName name="_631__FDSAUDITLINK___1" localSheetId="8" hidden="1">{"fdsup://directions/FAT Viewer?action=UPDATE&amp;creator=factset&amp;DYN_ARGS=TRUE&amp;DOC_NAME=FAT:FQL_AUDITING_CLIENT_TEMPLATE.FAT&amp;display_string=Audit&amp;VAR:KEY=SZYPAVSHYN&amp;VAR:QUERY=RkZfTkVUX0lOQyhBTk4sMjAwOSk=&amp;WINDOW=FIRST_POPUP&amp;HEIGHT=450&amp;WIDTH=450&amp;START_MAXIMIZED=","FALSE&amp;VAR:CALENDAR=FIVEDAY&amp;VAR:SYMBOL=B61G9L&amp;VAR:INDEX=0"}</definedName>
    <definedName name="_631__FDSAUDITLINK___1" hidden="1">{"fdsup://directions/FAT Viewer?action=UPDATE&amp;creator=factset&amp;DYN_ARGS=TRUE&amp;DOC_NAME=FAT:FQL_AUDITING_CLIENT_TEMPLATE.FAT&amp;display_string=Audit&amp;VAR:KEY=SZYPAVSHYN&amp;VAR:QUERY=RkZfTkVUX0lOQyhBTk4sMjAwOSk=&amp;WINDOW=FIRST_POPUP&amp;HEIGHT=450&amp;WIDTH=450&amp;START_MAXIMIZED=","FALSE&amp;VAR:CALENDAR=FIVEDAY&amp;VAR:SYMBOL=B61G9L&amp;VAR:INDEX=0"}</definedName>
    <definedName name="_632__FDSAUDITLINK__" localSheetId="8" hidden="1">{"fdsup://directions/FAT Viewer?action=UPDATE&amp;creator=factset&amp;DYN_ARGS=TRUE&amp;DOC_NAME=FAT:FQL_AUDITING_CLIENT_TEMPLATE.FAT&amp;display_string=Audit&amp;VAR:KEY=AVWFMXYJCR&amp;VAR:QUERY=RkZfTkVUX0lOQyhBTk4sMjAxMSk=&amp;WINDOW=FIRST_POPUP&amp;HEIGHT=450&amp;WIDTH=450&amp;START_MAXIMIZED=","FALSE&amp;VAR:CALENDAR=FIVEDAY&amp;VAR:SYMBOL=B61G9L&amp;VAR:INDEX=0"}</definedName>
    <definedName name="_632__FDSAUDITLINK__" hidden="1">{"fdsup://directions/FAT Viewer?action=UPDATE&amp;creator=factset&amp;DYN_ARGS=TRUE&amp;DOC_NAME=FAT:FQL_AUDITING_CLIENT_TEMPLATE.FAT&amp;display_string=Audit&amp;VAR:KEY=AVWFMXYJCR&amp;VAR:QUERY=RkZfTkVUX0lOQyhBTk4sMjAxMSk=&amp;WINDOW=FIRST_POPUP&amp;HEIGHT=450&amp;WIDTH=450&amp;START_MAXIMIZED=","FALSE&amp;VAR:CALENDAR=FIVEDAY&amp;VAR:SYMBOL=B61G9L&amp;VAR:INDEX=0"}</definedName>
    <definedName name="_632__FDSAUDITLINK___1" localSheetId="8" hidden="1">{"fdsup://directions/FAT Viewer?action=UPDATE&amp;creator=factset&amp;DYN_ARGS=TRUE&amp;DOC_NAME=FAT:FQL_AUDITING_CLIENT_TEMPLATE.FAT&amp;display_string=Audit&amp;VAR:KEY=AVWFMXYJCR&amp;VAR:QUERY=RkZfTkVUX0lOQyhBTk4sMjAxMSk=&amp;WINDOW=FIRST_POPUP&amp;HEIGHT=450&amp;WIDTH=450&amp;START_MAXIMIZED=","FALSE&amp;VAR:CALENDAR=FIVEDAY&amp;VAR:SYMBOL=B61G9L&amp;VAR:INDEX=0"}</definedName>
    <definedName name="_632__FDSAUDITLINK___1" hidden="1">{"fdsup://directions/FAT Viewer?action=UPDATE&amp;creator=factset&amp;DYN_ARGS=TRUE&amp;DOC_NAME=FAT:FQL_AUDITING_CLIENT_TEMPLATE.FAT&amp;display_string=Audit&amp;VAR:KEY=AVWFMXYJCR&amp;VAR:QUERY=RkZfTkVUX0lOQyhBTk4sMjAxMSk=&amp;WINDOW=FIRST_POPUP&amp;HEIGHT=450&amp;WIDTH=450&amp;START_MAXIMIZED=","FALSE&amp;VAR:CALENDAR=FIVEDAY&amp;VAR:SYMBOL=B61G9L&amp;VAR:INDEX=0"}</definedName>
    <definedName name="_633__FDSAUDITLINK__" localSheetId="8" hidden="1">{"fdsup://directions/FAT Viewer?action=UPDATE&amp;creator=factset&amp;DYN_ARGS=TRUE&amp;DOC_NAME=FAT:FQL_AUDITING_CLIENT_TEMPLATE.FAT&amp;display_string=Audit&amp;VAR:KEY=MJALMVETSN&amp;VAR:QUERY=RkZfRU5UUlBSX1ZBTF9EQUlMWSgwLCwsLCwnRElMJyk=&amp;WINDOW=FIRST_POPUP&amp;HEIGHT=450&amp;WIDTH=450&amp;","START_MAXIMIZED=FALSE&amp;VAR:CALENDAR=FIVEDAY&amp;VAR:SYMBOL=775943&amp;VAR:INDEX=0"}</definedName>
    <definedName name="_633__FDSAUDITLINK__" hidden="1">{"fdsup://directions/FAT Viewer?action=UPDATE&amp;creator=factset&amp;DYN_ARGS=TRUE&amp;DOC_NAME=FAT:FQL_AUDITING_CLIENT_TEMPLATE.FAT&amp;display_string=Audit&amp;VAR:KEY=MJALMVETSN&amp;VAR:QUERY=RkZfRU5UUlBSX1ZBTF9EQUlMWSgwLCwsLCwnRElMJyk=&amp;WINDOW=FIRST_POPUP&amp;HEIGHT=450&amp;WIDTH=450&amp;","START_MAXIMIZED=FALSE&amp;VAR:CALENDAR=FIVEDAY&amp;VAR:SYMBOL=775943&amp;VAR:INDEX=0"}</definedName>
    <definedName name="_633__FDSAUDITLINK___1" localSheetId="8" hidden="1">{"fdsup://directions/FAT Viewer?action=UPDATE&amp;creator=factset&amp;DYN_ARGS=TRUE&amp;DOC_NAME=FAT:FQL_AUDITING_CLIENT_TEMPLATE.FAT&amp;display_string=Audit&amp;VAR:KEY=MJALMVETSN&amp;VAR:QUERY=RkZfRU5UUlBSX1ZBTF9EQUlMWSgwLCwsLCwnRElMJyk=&amp;WINDOW=FIRST_POPUP&amp;HEIGHT=450&amp;WIDTH=450&amp;","START_MAXIMIZED=FALSE&amp;VAR:CALENDAR=FIVEDAY&amp;VAR:SYMBOL=775943&amp;VAR:INDEX=0"}</definedName>
    <definedName name="_633__FDSAUDITLINK___1" hidden="1">{"fdsup://directions/FAT Viewer?action=UPDATE&amp;creator=factset&amp;DYN_ARGS=TRUE&amp;DOC_NAME=FAT:FQL_AUDITING_CLIENT_TEMPLATE.FAT&amp;display_string=Audit&amp;VAR:KEY=MJALMVETSN&amp;VAR:QUERY=RkZfRU5UUlBSX1ZBTF9EQUlMWSgwLCwsLCwnRElMJyk=&amp;WINDOW=FIRST_POPUP&amp;HEIGHT=450&amp;WIDTH=450&amp;","START_MAXIMIZED=FALSE&amp;VAR:CALENDAR=FIVEDAY&amp;VAR:SYMBOL=775943&amp;VAR:INDEX=0"}</definedName>
    <definedName name="_634__FDSAUDITLINK__" localSheetId="8" hidden="1">{"fdsup://Directions/FactSet Auditing Viewer?action=AUDIT_VALUE&amp;DB=129&amp;ID1=775943&amp;VALUEID=01001&amp;SDATE=2008&amp;PERIODTYPE=ANN_STD&amp;SCFT=3&amp;window=popup_no_bar&amp;width=385&amp;height=120&amp;START_MAXIMIZED=FALSE&amp;creator=factset&amp;display_string=Audit"}</definedName>
    <definedName name="_634__FDSAUDITLINK__" hidden="1">{"fdsup://Directions/FactSet Auditing Viewer?action=AUDIT_VALUE&amp;DB=129&amp;ID1=775943&amp;VALUEID=01001&amp;SDATE=2008&amp;PERIODTYPE=ANN_STD&amp;SCFT=3&amp;window=popup_no_bar&amp;width=385&amp;height=120&amp;START_MAXIMIZED=FALSE&amp;creator=factset&amp;display_string=Audit"}</definedName>
    <definedName name="_634__FDSAUDITLINK___1" localSheetId="8" hidden="1">{"fdsup://Directions/FactSet Auditing Viewer?action=AUDIT_VALUE&amp;DB=129&amp;ID1=775943&amp;VALUEID=01001&amp;SDATE=2008&amp;PERIODTYPE=ANN_STD&amp;SCFT=3&amp;window=popup_no_bar&amp;width=385&amp;height=120&amp;START_MAXIMIZED=FALSE&amp;creator=factset&amp;display_string=Audit"}</definedName>
    <definedName name="_634__FDSAUDITLINK___1" hidden="1">{"fdsup://Directions/FactSet Auditing Viewer?action=AUDIT_VALUE&amp;DB=129&amp;ID1=775943&amp;VALUEID=01001&amp;SDATE=2008&amp;PERIODTYPE=ANN_STD&amp;SCFT=3&amp;window=popup_no_bar&amp;width=385&amp;height=120&amp;START_MAXIMIZED=FALSE&amp;creator=factset&amp;display_string=Audit"}</definedName>
    <definedName name="_635__FDSAUDITLINK__" localSheetId="8" hidden="1">{"fdsup://Directions/FactSet Auditing Viewer?action=AUDIT_VALUE&amp;DB=129&amp;ID1=775943&amp;VALUEID=01001&amp;SDATE=2010&amp;PERIODTYPE=ANN_STD&amp;SCFT=3&amp;window=popup_no_bar&amp;width=385&amp;height=120&amp;START_MAXIMIZED=FALSE&amp;creator=factset&amp;display_string=Audit"}</definedName>
    <definedName name="_635__FDSAUDITLINK__" hidden="1">{"fdsup://Directions/FactSet Auditing Viewer?action=AUDIT_VALUE&amp;DB=129&amp;ID1=775943&amp;VALUEID=01001&amp;SDATE=2010&amp;PERIODTYPE=ANN_STD&amp;SCFT=3&amp;window=popup_no_bar&amp;width=385&amp;height=120&amp;START_MAXIMIZED=FALSE&amp;creator=factset&amp;display_string=Audit"}</definedName>
    <definedName name="_635__FDSAUDITLINK___1" localSheetId="8" hidden="1">{"fdsup://Directions/FactSet Auditing Viewer?action=AUDIT_VALUE&amp;DB=129&amp;ID1=775943&amp;VALUEID=01001&amp;SDATE=2010&amp;PERIODTYPE=ANN_STD&amp;SCFT=3&amp;window=popup_no_bar&amp;width=385&amp;height=120&amp;START_MAXIMIZED=FALSE&amp;creator=factset&amp;display_string=Audit"}</definedName>
    <definedName name="_635__FDSAUDITLINK___1" hidden="1">{"fdsup://Directions/FactSet Auditing Viewer?action=AUDIT_VALUE&amp;DB=129&amp;ID1=775943&amp;VALUEID=01001&amp;SDATE=2010&amp;PERIODTYPE=ANN_STD&amp;SCFT=3&amp;window=popup_no_bar&amp;width=385&amp;height=120&amp;START_MAXIMIZED=FALSE&amp;creator=factset&amp;display_string=Audit"}</definedName>
    <definedName name="_636__FDSAUDITLINK__" localSheetId="8" hidden="1">{"fdsup://directions/FAT Viewer?action=UPDATE&amp;creator=factset&amp;DYN_ARGS=TRUE&amp;DOC_NAME=FAT:FQL_AUDITING_CLIENT_TEMPLATE.FAT&amp;display_string=Audit&amp;VAR:KEY=LYFMBMZAPI&amp;VAR:QUERY=RkZfRUJJVERBX09QRVIoQU5OLDIwMDkp&amp;WINDOW=FIRST_POPUP&amp;HEIGHT=450&amp;WIDTH=450&amp;START_MAXIMI","ZED=FALSE&amp;VAR:CALENDAR=FIVEDAY&amp;VAR:SYMBOL=775943&amp;VAR:INDEX=0"}</definedName>
    <definedName name="_636__FDSAUDITLINK__" hidden="1">{"fdsup://directions/FAT Viewer?action=UPDATE&amp;creator=factset&amp;DYN_ARGS=TRUE&amp;DOC_NAME=FAT:FQL_AUDITING_CLIENT_TEMPLATE.FAT&amp;display_string=Audit&amp;VAR:KEY=LYFMBMZAPI&amp;VAR:QUERY=RkZfRUJJVERBX09QRVIoQU5OLDIwMDkp&amp;WINDOW=FIRST_POPUP&amp;HEIGHT=450&amp;WIDTH=450&amp;START_MAXIMI","ZED=FALSE&amp;VAR:CALENDAR=FIVEDAY&amp;VAR:SYMBOL=775943&amp;VAR:INDEX=0"}</definedName>
    <definedName name="_636__FDSAUDITLINK___1" localSheetId="8" hidden="1">{"fdsup://directions/FAT Viewer?action=UPDATE&amp;creator=factset&amp;DYN_ARGS=TRUE&amp;DOC_NAME=FAT:FQL_AUDITING_CLIENT_TEMPLATE.FAT&amp;display_string=Audit&amp;VAR:KEY=LYFMBMZAPI&amp;VAR:QUERY=RkZfRUJJVERBX09QRVIoQU5OLDIwMDkp&amp;WINDOW=FIRST_POPUP&amp;HEIGHT=450&amp;WIDTH=450&amp;START_MAXIMI","ZED=FALSE&amp;VAR:CALENDAR=FIVEDAY&amp;VAR:SYMBOL=775943&amp;VAR:INDEX=0"}</definedName>
    <definedName name="_636__FDSAUDITLINK___1" hidden="1">{"fdsup://directions/FAT Viewer?action=UPDATE&amp;creator=factset&amp;DYN_ARGS=TRUE&amp;DOC_NAME=FAT:FQL_AUDITING_CLIENT_TEMPLATE.FAT&amp;display_string=Audit&amp;VAR:KEY=LYFMBMZAPI&amp;VAR:QUERY=RkZfRUJJVERBX09QRVIoQU5OLDIwMDkp&amp;WINDOW=FIRST_POPUP&amp;HEIGHT=450&amp;WIDTH=450&amp;START_MAXIMI","ZED=FALSE&amp;VAR:CALENDAR=FIVEDAY&amp;VAR:SYMBOL=775943&amp;VAR:INDEX=0"}</definedName>
    <definedName name="_637__FDSAUDITLINK__" localSheetId="8" hidden="1">{"fdsup://directions/FAT Viewer?action=UPDATE&amp;creator=factset&amp;DYN_ARGS=TRUE&amp;DOC_NAME=FAT:FQL_AUDITING_CLIENT_TEMPLATE.FAT&amp;display_string=Audit&amp;VAR:KEY=ZGDONMHSDS&amp;VAR:QUERY=RkZfRUJJVERBX09QRVIoQU5OLDIwMTEp&amp;WINDOW=FIRST_POPUP&amp;HEIGHT=450&amp;WIDTH=450&amp;START_MAXIMI","ZED=FALSE&amp;VAR:CALENDAR=FIVEDAY&amp;VAR:SYMBOL=775943&amp;VAR:INDEX=0"}</definedName>
    <definedName name="_637__FDSAUDITLINK__" hidden="1">{"fdsup://directions/FAT Viewer?action=UPDATE&amp;creator=factset&amp;DYN_ARGS=TRUE&amp;DOC_NAME=FAT:FQL_AUDITING_CLIENT_TEMPLATE.FAT&amp;display_string=Audit&amp;VAR:KEY=ZGDONMHSDS&amp;VAR:QUERY=RkZfRUJJVERBX09QRVIoQU5OLDIwMTEp&amp;WINDOW=FIRST_POPUP&amp;HEIGHT=450&amp;WIDTH=450&amp;START_MAXIMI","ZED=FALSE&amp;VAR:CALENDAR=FIVEDAY&amp;VAR:SYMBOL=775943&amp;VAR:INDEX=0"}</definedName>
    <definedName name="_637__FDSAUDITLINK___1" localSheetId="8" hidden="1">{"fdsup://directions/FAT Viewer?action=UPDATE&amp;creator=factset&amp;DYN_ARGS=TRUE&amp;DOC_NAME=FAT:FQL_AUDITING_CLIENT_TEMPLATE.FAT&amp;display_string=Audit&amp;VAR:KEY=ZGDONMHSDS&amp;VAR:QUERY=RkZfRUJJVERBX09QRVIoQU5OLDIwMTEp&amp;WINDOW=FIRST_POPUP&amp;HEIGHT=450&amp;WIDTH=450&amp;START_MAXIMI","ZED=FALSE&amp;VAR:CALENDAR=FIVEDAY&amp;VAR:SYMBOL=775943&amp;VAR:INDEX=0"}</definedName>
    <definedName name="_637__FDSAUDITLINK___1" hidden="1">{"fdsup://directions/FAT Viewer?action=UPDATE&amp;creator=factset&amp;DYN_ARGS=TRUE&amp;DOC_NAME=FAT:FQL_AUDITING_CLIENT_TEMPLATE.FAT&amp;display_string=Audit&amp;VAR:KEY=ZGDONMHSDS&amp;VAR:QUERY=RkZfRUJJVERBX09QRVIoQU5OLDIwMTEp&amp;WINDOW=FIRST_POPUP&amp;HEIGHT=450&amp;WIDTH=450&amp;START_MAXIMI","ZED=FALSE&amp;VAR:CALENDAR=FIVEDAY&amp;VAR:SYMBOL=775943&amp;VAR:INDEX=0"}</definedName>
    <definedName name="_638__FDSAUDITLINK__" localSheetId="8" hidden="1">{"fdsup://Directions/FactSet Auditing Viewer?action=AUDIT_VALUE&amp;DB=129&amp;ID1=775943&amp;VALUEID=01250&amp;SDATE=2008&amp;PERIODTYPE=ANN_STD&amp;SCFT=3&amp;window=popup_no_bar&amp;width=385&amp;height=120&amp;START_MAXIMIZED=FALSE&amp;creator=factset&amp;display_string=Audit"}</definedName>
    <definedName name="_638__FDSAUDITLINK__" hidden="1">{"fdsup://Directions/FactSet Auditing Viewer?action=AUDIT_VALUE&amp;DB=129&amp;ID1=775943&amp;VALUEID=01250&amp;SDATE=2008&amp;PERIODTYPE=ANN_STD&amp;SCFT=3&amp;window=popup_no_bar&amp;width=385&amp;height=120&amp;START_MAXIMIZED=FALSE&amp;creator=factset&amp;display_string=Audit"}</definedName>
    <definedName name="_638__FDSAUDITLINK___1" localSheetId="8" hidden="1">{"fdsup://Directions/FactSet Auditing Viewer?action=AUDIT_VALUE&amp;DB=129&amp;ID1=775943&amp;VALUEID=01250&amp;SDATE=2008&amp;PERIODTYPE=ANN_STD&amp;SCFT=3&amp;window=popup_no_bar&amp;width=385&amp;height=120&amp;START_MAXIMIZED=FALSE&amp;creator=factset&amp;display_string=Audit"}</definedName>
    <definedName name="_638__FDSAUDITLINK___1" hidden="1">{"fdsup://Directions/FactSet Auditing Viewer?action=AUDIT_VALUE&amp;DB=129&amp;ID1=775943&amp;VALUEID=01250&amp;SDATE=2008&amp;PERIODTYPE=ANN_STD&amp;SCFT=3&amp;window=popup_no_bar&amp;width=385&amp;height=120&amp;START_MAXIMIZED=FALSE&amp;creator=factset&amp;display_string=Audit"}</definedName>
    <definedName name="_639__FDSAUDITLINK__" localSheetId="8" hidden="1">{"fdsup://Directions/FactSet Auditing Viewer?action=AUDIT_VALUE&amp;DB=129&amp;ID1=775943&amp;VALUEID=01250&amp;SDATE=2010&amp;PERIODTYPE=ANN_STD&amp;SCFT=3&amp;window=popup_no_bar&amp;width=385&amp;height=120&amp;START_MAXIMIZED=FALSE&amp;creator=factset&amp;display_string=Audit"}</definedName>
    <definedName name="_639__FDSAUDITLINK__" hidden="1">{"fdsup://Directions/FactSet Auditing Viewer?action=AUDIT_VALUE&amp;DB=129&amp;ID1=775943&amp;VALUEID=01250&amp;SDATE=2010&amp;PERIODTYPE=ANN_STD&amp;SCFT=3&amp;window=popup_no_bar&amp;width=385&amp;height=120&amp;START_MAXIMIZED=FALSE&amp;creator=factset&amp;display_string=Audit"}</definedName>
    <definedName name="_639__FDSAUDITLINK___1" localSheetId="8" hidden="1">{"fdsup://Directions/FactSet Auditing Viewer?action=AUDIT_VALUE&amp;DB=129&amp;ID1=775943&amp;VALUEID=01250&amp;SDATE=2010&amp;PERIODTYPE=ANN_STD&amp;SCFT=3&amp;window=popup_no_bar&amp;width=385&amp;height=120&amp;START_MAXIMIZED=FALSE&amp;creator=factset&amp;display_string=Audit"}</definedName>
    <definedName name="_639__FDSAUDITLINK___1" hidden="1">{"fdsup://Directions/FactSet Auditing Viewer?action=AUDIT_VALUE&amp;DB=129&amp;ID1=775943&amp;VALUEID=01250&amp;SDATE=2010&amp;PERIODTYPE=ANN_STD&amp;SCFT=3&amp;window=popup_no_bar&amp;width=385&amp;height=120&amp;START_MAXIMIZED=FALSE&amp;creator=factset&amp;display_string=Audit"}</definedName>
    <definedName name="_64__123Graph_CCHART_13" hidden="1">#REF!</definedName>
    <definedName name="_64__123Graph_CCHART_7" localSheetId="8" hidden="1">#REF!</definedName>
    <definedName name="_64__123Graph_CCHART_7" hidden="1">#REF!</definedName>
    <definedName name="_64__123Graph_LBL_ACHART_8" hidden="1">#REF!</definedName>
    <definedName name="_64__FDSAUDITLINK__" localSheetId="8" hidden="1">{"fdsup://directions/FAT Viewer?action=UPDATE&amp;creator=factset&amp;DYN_ARGS=TRUE&amp;DOC_NAME=FAT:FQL_AUDITING_CLIENT_TEMPLATE.FAT&amp;display_string=Audit&amp;VAR:KEY=FCDYVGPEZU&amp;VAR:QUERY=RkZfRUJJVF9JQignQU5OJywzNzI1NiwsLCwnR0JQJyk=&amp;WINDOW=FIRST_POPUP&amp;HEIGHT=450&amp;WIDTH=450&amp;","START_MAXIMIZED=FALSE&amp;VAR:CALENDAR=FIVEDAY&amp;VAR:SYMBOL=011827&amp;VAR:INDEX=0"}</definedName>
    <definedName name="_64__FDSAUDITLINK__" hidden="1">{"fdsup://directions/FAT Viewer?action=UPDATE&amp;creator=factset&amp;DYN_ARGS=TRUE&amp;DOC_NAME=FAT:FQL_AUDITING_CLIENT_TEMPLATE.FAT&amp;display_string=Audit&amp;VAR:KEY=OPCTQDABGP&amp;VAR:QUERY=RkZfRUJJVERBX09QRVIoQ0FMLDIwMDkp&amp;WINDOW=FIRST_POPUP&amp;HEIGHT=450&amp;WIDTH=450&amp;START_MAXIMI","ZED=FALSE&amp;VAR:CALENDAR=US&amp;VAR:SYMBOL=TXI&amp;VAR:INDEX=0"}</definedName>
    <definedName name="_64__FDSAUDITLINK___1" localSheetId="8" hidden="1">{"fdsup://directions/FAT Viewer?action=UPDATE&amp;creator=factset&amp;DYN_ARGS=TRUE&amp;DOC_NAME=FAT:FQL_AUDITING_CLIENT_TEMPLATE.FAT&amp;display_string=Audit&amp;VAR:KEY=FCDYVGPEZU&amp;VAR:QUERY=RkZfRUJJVF9JQignQU5OJywzNzI1NiwsLCwnR0JQJyk=&amp;WINDOW=FIRST_POPUP&amp;HEIGHT=450&amp;WIDTH=450&amp;","START_MAXIMIZED=FALSE&amp;VAR:CALENDAR=FIVEDAY&amp;VAR:SYMBOL=011827&amp;VAR:INDEX=0"}</definedName>
    <definedName name="_64__FDSAUDITLINK___1" hidden="1">{"fdsup://directions/FAT Viewer?action=UPDATE&amp;creator=factset&amp;DYN_ARGS=TRUE&amp;DOC_NAME=FAT:FQL_AUDITING_CLIENT_TEMPLATE.FAT&amp;display_string=Audit&amp;VAR:KEY=FCDYVGPEZU&amp;VAR:QUERY=RkZfRUJJVF9JQignQU5OJywzNzI1NiwsLCwnR0JQJyk=&amp;WINDOW=FIRST_POPUP&amp;HEIGHT=450&amp;WIDTH=450&amp;","START_MAXIMIZED=FALSE&amp;VAR:CALENDAR=FIVEDAY&amp;VAR:SYMBOL=011827&amp;VAR:INDEX=0"}</definedName>
    <definedName name="_640__FDSAUDITLINK__" localSheetId="8" hidden="1">{"fdsup://directions/FAT Viewer?action=UPDATE&amp;creator=factset&amp;DYN_ARGS=TRUE&amp;DOC_NAME=FAT:FQL_AUDITING_CLIENT_TEMPLATE.FAT&amp;display_string=Audit&amp;VAR:KEY=LEDWVSZMZY&amp;VAR:QUERY=RkZfQ0FQRVgoQU5OLDIwMDkp&amp;WINDOW=FIRST_POPUP&amp;HEIGHT=450&amp;WIDTH=450&amp;START_MAXIMIZED=FALS","E&amp;VAR:CALENDAR=FIVEDAY&amp;VAR:SYMBOL=775943&amp;VAR:INDEX=0"}</definedName>
    <definedName name="_640__FDSAUDITLINK__" hidden="1">{"fdsup://directions/FAT Viewer?action=UPDATE&amp;creator=factset&amp;DYN_ARGS=TRUE&amp;DOC_NAME=FAT:FQL_AUDITING_CLIENT_TEMPLATE.FAT&amp;display_string=Audit&amp;VAR:KEY=LEDWVSZMZY&amp;VAR:QUERY=RkZfQ0FQRVgoQU5OLDIwMDkp&amp;WINDOW=FIRST_POPUP&amp;HEIGHT=450&amp;WIDTH=450&amp;START_MAXIMIZED=FALS","E&amp;VAR:CALENDAR=FIVEDAY&amp;VAR:SYMBOL=775943&amp;VAR:INDEX=0"}</definedName>
    <definedName name="_640__FDSAUDITLINK___1" localSheetId="8" hidden="1">{"fdsup://directions/FAT Viewer?action=UPDATE&amp;creator=factset&amp;DYN_ARGS=TRUE&amp;DOC_NAME=FAT:FQL_AUDITING_CLIENT_TEMPLATE.FAT&amp;display_string=Audit&amp;VAR:KEY=LEDWVSZMZY&amp;VAR:QUERY=RkZfQ0FQRVgoQU5OLDIwMDkp&amp;WINDOW=FIRST_POPUP&amp;HEIGHT=450&amp;WIDTH=450&amp;START_MAXIMIZED=FALS","E&amp;VAR:CALENDAR=FIVEDAY&amp;VAR:SYMBOL=775943&amp;VAR:INDEX=0"}</definedName>
    <definedName name="_640__FDSAUDITLINK___1" hidden="1">{"fdsup://directions/FAT Viewer?action=UPDATE&amp;creator=factset&amp;DYN_ARGS=TRUE&amp;DOC_NAME=FAT:FQL_AUDITING_CLIENT_TEMPLATE.FAT&amp;display_string=Audit&amp;VAR:KEY=LEDWVSZMZY&amp;VAR:QUERY=RkZfQ0FQRVgoQU5OLDIwMDkp&amp;WINDOW=FIRST_POPUP&amp;HEIGHT=450&amp;WIDTH=450&amp;START_MAXIMIZED=FALS","E&amp;VAR:CALENDAR=FIVEDAY&amp;VAR:SYMBOL=775943&amp;VAR:INDEX=0"}</definedName>
    <definedName name="_641__FDSAUDITLINK__" localSheetId="8" hidden="1">{"fdsup://directions/FAT Viewer?action=UPDATE&amp;creator=factset&amp;DYN_ARGS=TRUE&amp;DOC_NAME=FAT:FQL_AUDITING_CLIENT_TEMPLATE.FAT&amp;display_string=Audit&amp;VAR:KEY=TCNKVEDGTG&amp;VAR:QUERY=RkZfQ0FQRVgoQU5OLDIwMTEp&amp;WINDOW=FIRST_POPUP&amp;HEIGHT=450&amp;WIDTH=450&amp;START_MAXIMIZED=FALS","E&amp;VAR:CALENDAR=FIVEDAY&amp;VAR:SYMBOL=775943&amp;VAR:INDEX=0"}</definedName>
    <definedName name="_641__FDSAUDITLINK__" hidden="1">{"fdsup://directions/FAT Viewer?action=UPDATE&amp;creator=factset&amp;DYN_ARGS=TRUE&amp;DOC_NAME=FAT:FQL_AUDITING_CLIENT_TEMPLATE.FAT&amp;display_string=Audit&amp;VAR:KEY=TCNKVEDGTG&amp;VAR:QUERY=RkZfQ0FQRVgoQU5OLDIwMTEp&amp;WINDOW=FIRST_POPUP&amp;HEIGHT=450&amp;WIDTH=450&amp;START_MAXIMIZED=FALS","E&amp;VAR:CALENDAR=FIVEDAY&amp;VAR:SYMBOL=775943&amp;VAR:INDEX=0"}</definedName>
    <definedName name="_641__FDSAUDITLINK___1" localSheetId="8" hidden="1">{"fdsup://directions/FAT Viewer?action=UPDATE&amp;creator=factset&amp;DYN_ARGS=TRUE&amp;DOC_NAME=FAT:FQL_AUDITING_CLIENT_TEMPLATE.FAT&amp;display_string=Audit&amp;VAR:KEY=TCNKVEDGTG&amp;VAR:QUERY=RkZfQ0FQRVgoQU5OLDIwMTEp&amp;WINDOW=FIRST_POPUP&amp;HEIGHT=450&amp;WIDTH=450&amp;START_MAXIMIZED=FALS","E&amp;VAR:CALENDAR=FIVEDAY&amp;VAR:SYMBOL=775943&amp;VAR:INDEX=0"}</definedName>
    <definedName name="_641__FDSAUDITLINK___1" hidden="1">{"fdsup://directions/FAT Viewer?action=UPDATE&amp;creator=factset&amp;DYN_ARGS=TRUE&amp;DOC_NAME=FAT:FQL_AUDITING_CLIENT_TEMPLATE.FAT&amp;display_string=Audit&amp;VAR:KEY=TCNKVEDGTG&amp;VAR:QUERY=RkZfQ0FQRVgoQU5OLDIwMTEp&amp;WINDOW=FIRST_POPUP&amp;HEIGHT=450&amp;WIDTH=450&amp;START_MAXIMIZED=FALS","E&amp;VAR:CALENDAR=FIVEDAY&amp;VAR:SYMBOL=775943&amp;VAR:INDEX=0"}</definedName>
    <definedName name="_642__FDSAUDITLINK__" localSheetId="8" hidden="1">{"fdsup://directions/FAT Viewer?action=UPDATE&amp;creator=factset&amp;DYN_ARGS=TRUE&amp;DOC_NAME=FAT:FQL_AUDITING_CLIENT_TEMPLATE.FAT&amp;display_string=Audit&amp;VAR:KEY=EXWZUZYFIR&amp;VAR:QUERY=RkZfTkVUX0lOQyhBTk4sMjAwOCk=&amp;WINDOW=FIRST_POPUP&amp;HEIGHT=450&amp;WIDTH=450&amp;START_MAXIMIZED=","FALSE&amp;VAR:CALENDAR=FIVEDAY&amp;VAR:SYMBOL=775943&amp;VAR:INDEX=0"}</definedName>
    <definedName name="_642__FDSAUDITLINK__" hidden="1">{"fdsup://directions/FAT Viewer?action=UPDATE&amp;creator=factset&amp;DYN_ARGS=TRUE&amp;DOC_NAME=FAT:FQL_AUDITING_CLIENT_TEMPLATE.FAT&amp;display_string=Audit&amp;VAR:KEY=EXWZUZYFIR&amp;VAR:QUERY=RkZfTkVUX0lOQyhBTk4sMjAwOCk=&amp;WINDOW=FIRST_POPUP&amp;HEIGHT=450&amp;WIDTH=450&amp;START_MAXIMIZED=","FALSE&amp;VAR:CALENDAR=FIVEDAY&amp;VAR:SYMBOL=775943&amp;VAR:INDEX=0"}</definedName>
    <definedName name="_642__FDSAUDITLINK___1" localSheetId="8" hidden="1">{"fdsup://directions/FAT Viewer?action=UPDATE&amp;creator=factset&amp;DYN_ARGS=TRUE&amp;DOC_NAME=FAT:FQL_AUDITING_CLIENT_TEMPLATE.FAT&amp;display_string=Audit&amp;VAR:KEY=EXWZUZYFIR&amp;VAR:QUERY=RkZfTkVUX0lOQyhBTk4sMjAwOCk=&amp;WINDOW=FIRST_POPUP&amp;HEIGHT=450&amp;WIDTH=450&amp;START_MAXIMIZED=","FALSE&amp;VAR:CALENDAR=FIVEDAY&amp;VAR:SYMBOL=775943&amp;VAR:INDEX=0"}</definedName>
    <definedName name="_642__FDSAUDITLINK___1" hidden="1">{"fdsup://directions/FAT Viewer?action=UPDATE&amp;creator=factset&amp;DYN_ARGS=TRUE&amp;DOC_NAME=FAT:FQL_AUDITING_CLIENT_TEMPLATE.FAT&amp;display_string=Audit&amp;VAR:KEY=EXWZUZYFIR&amp;VAR:QUERY=RkZfTkVUX0lOQyhBTk4sMjAwOCk=&amp;WINDOW=FIRST_POPUP&amp;HEIGHT=450&amp;WIDTH=450&amp;START_MAXIMIZED=","FALSE&amp;VAR:CALENDAR=FIVEDAY&amp;VAR:SYMBOL=775943&amp;VAR:INDEX=0"}</definedName>
    <definedName name="_643__FDSAUDITLINK__" localSheetId="8" hidden="1">{"fdsup://directions/FAT Viewer?action=UPDATE&amp;creator=factset&amp;DYN_ARGS=TRUE&amp;DOC_NAME=FAT:FQL_AUDITING_CLIENT_TEMPLATE.FAT&amp;display_string=Audit&amp;VAR:KEY=WHAVWNYNGR&amp;VAR:QUERY=RkZfTkVUX0lOQyhBTk4sMjAxMCk=&amp;WINDOW=FIRST_POPUP&amp;HEIGHT=450&amp;WIDTH=450&amp;START_MAXIMIZED=","FALSE&amp;VAR:CALENDAR=FIVEDAY&amp;VAR:SYMBOL=775943&amp;VAR:INDEX=0"}</definedName>
    <definedName name="_643__FDSAUDITLINK__" hidden="1">{"fdsup://directions/FAT Viewer?action=UPDATE&amp;creator=factset&amp;DYN_ARGS=TRUE&amp;DOC_NAME=FAT:FQL_AUDITING_CLIENT_TEMPLATE.FAT&amp;display_string=Audit&amp;VAR:KEY=WHAVWNYNGR&amp;VAR:QUERY=RkZfTkVUX0lOQyhBTk4sMjAxMCk=&amp;WINDOW=FIRST_POPUP&amp;HEIGHT=450&amp;WIDTH=450&amp;START_MAXIMIZED=","FALSE&amp;VAR:CALENDAR=FIVEDAY&amp;VAR:SYMBOL=775943&amp;VAR:INDEX=0"}</definedName>
    <definedName name="_643__FDSAUDITLINK___1" localSheetId="8" hidden="1">{"fdsup://directions/FAT Viewer?action=UPDATE&amp;creator=factset&amp;DYN_ARGS=TRUE&amp;DOC_NAME=FAT:FQL_AUDITING_CLIENT_TEMPLATE.FAT&amp;display_string=Audit&amp;VAR:KEY=WHAVWNYNGR&amp;VAR:QUERY=RkZfTkVUX0lOQyhBTk4sMjAxMCk=&amp;WINDOW=FIRST_POPUP&amp;HEIGHT=450&amp;WIDTH=450&amp;START_MAXIMIZED=","FALSE&amp;VAR:CALENDAR=FIVEDAY&amp;VAR:SYMBOL=775943&amp;VAR:INDEX=0"}</definedName>
    <definedName name="_643__FDSAUDITLINK___1" hidden="1">{"fdsup://directions/FAT Viewer?action=UPDATE&amp;creator=factset&amp;DYN_ARGS=TRUE&amp;DOC_NAME=FAT:FQL_AUDITING_CLIENT_TEMPLATE.FAT&amp;display_string=Audit&amp;VAR:KEY=WHAVWNYNGR&amp;VAR:QUERY=RkZfTkVUX0lOQyhBTk4sMjAxMCk=&amp;WINDOW=FIRST_POPUP&amp;HEIGHT=450&amp;WIDTH=450&amp;START_MAXIMIZED=","FALSE&amp;VAR:CALENDAR=FIVEDAY&amp;VAR:SYMBOL=775943&amp;VAR:INDEX=0"}</definedName>
    <definedName name="_644__FDSAUDITLINK__" localSheetId="8" hidden="1">{"fdsup://Directions/FactSet Auditing Viewer?action=AUDIT_VALUE&amp;DB=129&amp;ID1=B5TMSP&amp;VALUEID=01001&amp;SDATE=2009&amp;PERIODTYPE=ANN_STD&amp;SCFT=3&amp;window=popup_no_bar&amp;width=385&amp;height=120&amp;START_MAXIMIZED=FALSE&amp;creator=factset&amp;display_string=Audit"}</definedName>
    <definedName name="_644__FDSAUDITLINK__" hidden="1">{"fdsup://Directions/FactSet Auditing Viewer?action=AUDIT_VALUE&amp;DB=129&amp;ID1=B5TMSP&amp;VALUEID=01001&amp;SDATE=2009&amp;PERIODTYPE=ANN_STD&amp;SCFT=3&amp;window=popup_no_bar&amp;width=385&amp;height=120&amp;START_MAXIMIZED=FALSE&amp;creator=factset&amp;display_string=Audit"}</definedName>
    <definedName name="_644__FDSAUDITLINK___1" localSheetId="8" hidden="1">{"fdsup://Directions/FactSet Auditing Viewer?action=AUDIT_VALUE&amp;DB=129&amp;ID1=B5TMSP&amp;VALUEID=01001&amp;SDATE=2009&amp;PERIODTYPE=ANN_STD&amp;SCFT=3&amp;window=popup_no_bar&amp;width=385&amp;height=120&amp;START_MAXIMIZED=FALSE&amp;creator=factset&amp;display_string=Audit"}</definedName>
    <definedName name="_644__FDSAUDITLINK___1" hidden="1">{"fdsup://Directions/FactSet Auditing Viewer?action=AUDIT_VALUE&amp;DB=129&amp;ID1=B5TMSP&amp;VALUEID=01001&amp;SDATE=2009&amp;PERIODTYPE=ANN_STD&amp;SCFT=3&amp;window=popup_no_bar&amp;width=385&amp;height=120&amp;START_MAXIMIZED=FALSE&amp;creator=factset&amp;display_string=Audit"}</definedName>
    <definedName name="_645__FDSAUDITLINK__" localSheetId="8" hidden="1">{"fdsup://Directions/FactSet Auditing Viewer?action=AUDIT_VALUE&amp;DB=129&amp;ID1=B5TMSP&amp;VALUEID=01001&amp;SDATE=2011&amp;PERIODTYPE=ANN_STD&amp;SCFT=3&amp;window=popup_no_bar&amp;width=385&amp;height=120&amp;START_MAXIMIZED=FALSE&amp;creator=factset&amp;display_string=Audit"}</definedName>
    <definedName name="_645__FDSAUDITLINK__" hidden="1">{"fdsup://Directions/FactSet Auditing Viewer?action=AUDIT_VALUE&amp;DB=129&amp;ID1=B5TMSP&amp;VALUEID=01001&amp;SDATE=2011&amp;PERIODTYPE=ANN_STD&amp;SCFT=3&amp;window=popup_no_bar&amp;width=385&amp;height=120&amp;START_MAXIMIZED=FALSE&amp;creator=factset&amp;display_string=Audit"}</definedName>
    <definedName name="_645__FDSAUDITLINK___1" localSheetId="8" hidden="1">{"fdsup://Directions/FactSet Auditing Viewer?action=AUDIT_VALUE&amp;DB=129&amp;ID1=B5TMSP&amp;VALUEID=01001&amp;SDATE=2011&amp;PERIODTYPE=ANN_STD&amp;SCFT=3&amp;window=popup_no_bar&amp;width=385&amp;height=120&amp;START_MAXIMIZED=FALSE&amp;creator=factset&amp;display_string=Audit"}</definedName>
    <definedName name="_645__FDSAUDITLINK___1" hidden="1">{"fdsup://Directions/FactSet Auditing Viewer?action=AUDIT_VALUE&amp;DB=129&amp;ID1=B5TMSP&amp;VALUEID=01001&amp;SDATE=2011&amp;PERIODTYPE=ANN_STD&amp;SCFT=3&amp;window=popup_no_bar&amp;width=385&amp;height=120&amp;START_MAXIMIZED=FALSE&amp;creator=factset&amp;display_string=Audit"}</definedName>
    <definedName name="_646__FDSAUDITLINK__" localSheetId="8" hidden="1">{"fdsup://directions/FAT Viewer?action=UPDATE&amp;creator=factset&amp;DYN_ARGS=TRUE&amp;DOC_NAME=FAT:FQL_AUDITING_CLIENT_TEMPLATE.FAT&amp;display_string=Audit&amp;VAR:KEY=ZCNOXOZOTS&amp;VAR:QUERY=RkZfRUJJVERBX09QRVIoQU5OLDIwMDgp&amp;WINDOW=FIRST_POPUP&amp;HEIGHT=450&amp;WIDTH=450&amp;START_MAXIMI","ZED=FALSE&amp;VAR:CALENDAR=FIVEDAY&amp;VAR:SYMBOL=B5TMSP&amp;VAR:INDEX=0"}</definedName>
    <definedName name="_646__FDSAUDITLINK__" hidden="1">{"fdsup://directions/FAT Viewer?action=UPDATE&amp;creator=factset&amp;DYN_ARGS=TRUE&amp;DOC_NAME=FAT:FQL_AUDITING_CLIENT_TEMPLATE.FAT&amp;display_string=Audit&amp;VAR:KEY=ZCNOXOZOTS&amp;VAR:QUERY=RkZfRUJJVERBX09QRVIoQU5OLDIwMDgp&amp;WINDOW=FIRST_POPUP&amp;HEIGHT=450&amp;WIDTH=450&amp;START_MAXIMI","ZED=FALSE&amp;VAR:CALENDAR=FIVEDAY&amp;VAR:SYMBOL=B5TMSP&amp;VAR:INDEX=0"}</definedName>
    <definedName name="_646__FDSAUDITLINK___1" localSheetId="8" hidden="1">{"fdsup://directions/FAT Viewer?action=UPDATE&amp;creator=factset&amp;DYN_ARGS=TRUE&amp;DOC_NAME=FAT:FQL_AUDITING_CLIENT_TEMPLATE.FAT&amp;display_string=Audit&amp;VAR:KEY=ZCNOXOZOTS&amp;VAR:QUERY=RkZfRUJJVERBX09QRVIoQU5OLDIwMDgp&amp;WINDOW=FIRST_POPUP&amp;HEIGHT=450&amp;WIDTH=450&amp;START_MAXIMI","ZED=FALSE&amp;VAR:CALENDAR=FIVEDAY&amp;VAR:SYMBOL=B5TMSP&amp;VAR:INDEX=0"}</definedName>
    <definedName name="_646__FDSAUDITLINK___1" hidden="1">{"fdsup://directions/FAT Viewer?action=UPDATE&amp;creator=factset&amp;DYN_ARGS=TRUE&amp;DOC_NAME=FAT:FQL_AUDITING_CLIENT_TEMPLATE.FAT&amp;display_string=Audit&amp;VAR:KEY=ZCNOXOZOTS&amp;VAR:QUERY=RkZfRUJJVERBX09QRVIoQU5OLDIwMDgp&amp;WINDOW=FIRST_POPUP&amp;HEIGHT=450&amp;WIDTH=450&amp;START_MAXIMI","ZED=FALSE&amp;VAR:CALENDAR=FIVEDAY&amp;VAR:SYMBOL=B5TMSP&amp;VAR:INDEX=0"}</definedName>
    <definedName name="_647__FDSAUDITLINK__" localSheetId="8" hidden="1">{"fdsup://directions/FAT Viewer?action=UPDATE&amp;creator=factset&amp;DYN_ARGS=TRUE&amp;DOC_NAME=FAT:FQL_AUDITING_CLIENT_TEMPLATE.FAT&amp;display_string=Audit&amp;VAR:KEY=JGTKBKDSBK&amp;VAR:QUERY=RkZfRUJJVERBX09QRVIoQU5OLDIwMTAp&amp;WINDOW=FIRST_POPUP&amp;HEIGHT=450&amp;WIDTH=450&amp;START_MAXIMI","ZED=FALSE&amp;VAR:CALENDAR=FIVEDAY&amp;VAR:SYMBOL=B5TMSP&amp;VAR:INDEX=0"}</definedName>
    <definedName name="_647__FDSAUDITLINK__" hidden="1">{"fdsup://directions/FAT Viewer?action=UPDATE&amp;creator=factset&amp;DYN_ARGS=TRUE&amp;DOC_NAME=FAT:FQL_AUDITING_CLIENT_TEMPLATE.FAT&amp;display_string=Audit&amp;VAR:KEY=JGTKBKDSBK&amp;VAR:QUERY=RkZfRUJJVERBX09QRVIoQU5OLDIwMTAp&amp;WINDOW=FIRST_POPUP&amp;HEIGHT=450&amp;WIDTH=450&amp;START_MAXIMI","ZED=FALSE&amp;VAR:CALENDAR=FIVEDAY&amp;VAR:SYMBOL=B5TMSP&amp;VAR:INDEX=0"}</definedName>
    <definedName name="_647__FDSAUDITLINK___1" localSheetId="8" hidden="1">{"fdsup://directions/FAT Viewer?action=UPDATE&amp;creator=factset&amp;DYN_ARGS=TRUE&amp;DOC_NAME=FAT:FQL_AUDITING_CLIENT_TEMPLATE.FAT&amp;display_string=Audit&amp;VAR:KEY=JGTKBKDSBK&amp;VAR:QUERY=RkZfRUJJVERBX09QRVIoQU5OLDIwMTAp&amp;WINDOW=FIRST_POPUP&amp;HEIGHT=450&amp;WIDTH=450&amp;START_MAXIMI","ZED=FALSE&amp;VAR:CALENDAR=FIVEDAY&amp;VAR:SYMBOL=B5TMSP&amp;VAR:INDEX=0"}</definedName>
    <definedName name="_647__FDSAUDITLINK___1" hidden="1">{"fdsup://directions/FAT Viewer?action=UPDATE&amp;creator=factset&amp;DYN_ARGS=TRUE&amp;DOC_NAME=FAT:FQL_AUDITING_CLIENT_TEMPLATE.FAT&amp;display_string=Audit&amp;VAR:KEY=JGTKBKDSBK&amp;VAR:QUERY=RkZfRUJJVERBX09QRVIoQU5OLDIwMTAp&amp;WINDOW=FIRST_POPUP&amp;HEIGHT=450&amp;WIDTH=450&amp;START_MAXIMI","ZED=FALSE&amp;VAR:CALENDAR=FIVEDAY&amp;VAR:SYMBOL=B5TMSP&amp;VAR:INDEX=0"}</definedName>
    <definedName name="_648__FDSAUDITLINK__" localSheetId="8" hidden="1">{"fdsup://Directions/FactSet Auditing Viewer?action=AUDIT_VALUE&amp;DB=129&amp;ID1=B5TMSP&amp;VALUEID=01250&amp;SDATE=2009&amp;PERIODTYPE=ANN_STD&amp;SCFT=3&amp;window=popup_no_bar&amp;width=385&amp;height=120&amp;START_MAXIMIZED=FALSE&amp;creator=factset&amp;display_string=Audit"}</definedName>
    <definedName name="_648__FDSAUDITLINK__" hidden="1">{"fdsup://Directions/FactSet Auditing Viewer?action=AUDIT_VALUE&amp;DB=129&amp;ID1=B5TMSP&amp;VALUEID=01250&amp;SDATE=2009&amp;PERIODTYPE=ANN_STD&amp;SCFT=3&amp;window=popup_no_bar&amp;width=385&amp;height=120&amp;START_MAXIMIZED=FALSE&amp;creator=factset&amp;display_string=Audit"}</definedName>
    <definedName name="_648__FDSAUDITLINK___1" localSheetId="8" hidden="1">{"fdsup://Directions/FactSet Auditing Viewer?action=AUDIT_VALUE&amp;DB=129&amp;ID1=B5TMSP&amp;VALUEID=01250&amp;SDATE=2009&amp;PERIODTYPE=ANN_STD&amp;SCFT=3&amp;window=popup_no_bar&amp;width=385&amp;height=120&amp;START_MAXIMIZED=FALSE&amp;creator=factset&amp;display_string=Audit"}</definedName>
    <definedName name="_648__FDSAUDITLINK___1" hidden="1">{"fdsup://Directions/FactSet Auditing Viewer?action=AUDIT_VALUE&amp;DB=129&amp;ID1=B5TMSP&amp;VALUEID=01250&amp;SDATE=2009&amp;PERIODTYPE=ANN_STD&amp;SCFT=3&amp;window=popup_no_bar&amp;width=385&amp;height=120&amp;START_MAXIMIZED=FALSE&amp;creator=factset&amp;display_string=Audit"}</definedName>
    <definedName name="_649__FDSAUDITLINK__" localSheetId="8" hidden="1">{"fdsup://Directions/FactSet Auditing Viewer?action=AUDIT_VALUE&amp;DB=129&amp;ID1=B5TMSP&amp;VALUEID=01250&amp;SDATE=2010&amp;PERIODTYPE=ANN_STD&amp;SCFT=3&amp;window=popup_no_bar&amp;width=385&amp;height=120&amp;START_MAXIMIZED=FALSE&amp;creator=factset&amp;display_string=Audit"}</definedName>
    <definedName name="_649__FDSAUDITLINK__" hidden="1">{"fdsup://Directions/FactSet Auditing Viewer?action=AUDIT_VALUE&amp;DB=129&amp;ID1=B5TMSP&amp;VALUEID=01250&amp;SDATE=2010&amp;PERIODTYPE=ANN_STD&amp;SCFT=3&amp;window=popup_no_bar&amp;width=385&amp;height=120&amp;START_MAXIMIZED=FALSE&amp;creator=factset&amp;display_string=Audit"}</definedName>
    <definedName name="_649__FDSAUDITLINK___1" localSheetId="8" hidden="1">{"fdsup://Directions/FactSet Auditing Viewer?action=AUDIT_VALUE&amp;DB=129&amp;ID1=B5TMSP&amp;VALUEID=01250&amp;SDATE=2010&amp;PERIODTYPE=ANN_STD&amp;SCFT=3&amp;window=popup_no_bar&amp;width=385&amp;height=120&amp;START_MAXIMIZED=FALSE&amp;creator=factset&amp;display_string=Audit"}</definedName>
    <definedName name="_649__FDSAUDITLINK___1" hidden="1">{"fdsup://Directions/FactSet Auditing Viewer?action=AUDIT_VALUE&amp;DB=129&amp;ID1=B5TMSP&amp;VALUEID=01250&amp;SDATE=2010&amp;PERIODTYPE=ANN_STD&amp;SCFT=3&amp;window=popup_no_bar&amp;width=385&amp;height=120&amp;START_MAXIMIZED=FALSE&amp;creator=factset&amp;display_string=Audit"}</definedName>
    <definedName name="_65__123Graph_CCHART_8" localSheetId="8" hidden="1">#REF!</definedName>
    <definedName name="_65__123Graph_CCHART_8" hidden="1">#REF!</definedName>
    <definedName name="_65__123Graph_LBL_ACHART_9" hidden="1">#REF!</definedName>
    <definedName name="_65__FDSAUDITLINK__" localSheetId="8" hidden="1">{"fdsup://directions/FAT Viewer?action=UPDATE&amp;creator=factset&amp;DYN_ARGS=TRUE&amp;DOC_NAME=FAT:FQL_AUDITING_CLIENT_TEMPLATE.FAT&amp;display_string=Audit&amp;VAR:KEY=PSVMFEPSVA&amp;VAR:QUERY=RkZfRUJJVF9JQignQU5OJywzNjg5MSwsLCwnR0JQJyk=&amp;WINDOW=FIRST_POPUP&amp;HEIGHT=450&amp;WIDTH=450&amp;","START_MAXIMIZED=FALSE&amp;VAR:CALENDAR=FIVEDAY&amp;VAR:SYMBOL=011827&amp;VAR:INDEX=0"}</definedName>
    <definedName name="_65__FDSAUDITLINK__" hidden="1">{"fdsup://directions/FAT Viewer?action=UPDATE&amp;creator=factset&amp;DYN_ARGS=TRUE&amp;DOC_NAME=FAT:FQL_AUDITING_CLIENT_TEMPLATE.FAT&amp;display_string=Audit&amp;VAR:KEY=MFILCZOTIJ&amp;VAR:QUERY=RkZfRUJJVERBX09QRVIoQ0FMLDIwMDkp&amp;WINDOW=FIRST_POPUP&amp;HEIGHT=450&amp;WIDTH=450&amp;START_MAXIMI","ZED=FALSE&amp;VAR:CALENDAR=US&amp;VAR:SYMBOL=USCR&amp;VAR:INDEX=0"}</definedName>
    <definedName name="_65__FDSAUDITLINK___1" localSheetId="8" hidden="1">{"fdsup://directions/FAT Viewer?action=UPDATE&amp;creator=factset&amp;DYN_ARGS=TRUE&amp;DOC_NAME=FAT:FQL_AUDITING_CLIENT_TEMPLATE.FAT&amp;display_string=Audit&amp;VAR:KEY=PSVMFEPSVA&amp;VAR:QUERY=RkZfRUJJVF9JQignQU5OJywzNjg5MSwsLCwnR0JQJyk=&amp;WINDOW=FIRST_POPUP&amp;HEIGHT=450&amp;WIDTH=450&amp;","START_MAXIMIZED=FALSE&amp;VAR:CALENDAR=FIVEDAY&amp;VAR:SYMBOL=011827&amp;VAR:INDEX=0"}</definedName>
    <definedName name="_65__FDSAUDITLINK___1" hidden="1">{"fdsup://directions/FAT Viewer?action=UPDATE&amp;creator=factset&amp;DYN_ARGS=TRUE&amp;DOC_NAME=FAT:FQL_AUDITING_CLIENT_TEMPLATE.FAT&amp;display_string=Audit&amp;VAR:KEY=PSVMFEPSVA&amp;VAR:QUERY=RkZfRUJJVF9JQignQU5OJywzNjg5MSwsLCwnR0JQJyk=&amp;WINDOW=FIRST_POPUP&amp;HEIGHT=450&amp;WIDTH=450&amp;","START_MAXIMIZED=FALSE&amp;VAR:CALENDAR=FIVEDAY&amp;VAR:SYMBOL=011827&amp;VAR:INDEX=0"}</definedName>
    <definedName name="_650__FDSAUDITLINK__" localSheetId="8" hidden="1">{"fdsup://directions/FAT Viewer?action=UPDATE&amp;creator=factset&amp;DYN_ARGS=TRUE&amp;DOC_NAME=FAT:FQL_AUDITING_CLIENT_TEMPLATE.FAT&amp;display_string=Audit&amp;VAR:KEY=HYTQBSLABI&amp;VAR:QUERY=RkZfQ0FQRVgoQU5OLDIwMDgp&amp;WINDOW=FIRST_POPUP&amp;HEIGHT=450&amp;WIDTH=450&amp;START_MAXIMIZED=FALS","E&amp;VAR:CALENDAR=FIVEDAY&amp;VAR:SYMBOL=B5TMSP&amp;VAR:INDEX=0"}</definedName>
    <definedName name="_650__FDSAUDITLINK__" hidden="1">{"fdsup://directions/FAT Viewer?action=UPDATE&amp;creator=factset&amp;DYN_ARGS=TRUE&amp;DOC_NAME=FAT:FQL_AUDITING_CLIENT_TEMPLATE.FAT&amp;display_string=Audit&amp;VAR:KEY=HYTQBSLABI&amp;VAR:QUERY=RkZfQ0FQRVgoQU5OLDIwMDgp&amp;WINDOW=FIRST_POPUP&amp;HEIGHT=450&amp;WIDTH=450&amp;START_MAXIMIZED=FALS","E&amp;VAR:CALENDAR=FIVEDAY&amp;VAR:SYMBOL=B5TMSP&amp;VAR:INDEX=0"}</definedName>
    <definedName name="_650__FDSAUDITLINK___1" localSheetId="8" hidden="1">{"fdsup://directions/FAT Viewer?action=UPDATE&amp;creator=factset&amp;DYN_ARGS=TRUE&amp;DOC_NAME=FAT:FQL_AUDITING_CLIENT_TEMPLATE.FAT&amp;display_string=Audit&amp;VAR:KEY=HYTQBSLABI&amp;VAR:QUERY=RkZfQ0FQRVgoQU5OLDIwMDgp&amp;WINDOW=FIRST_POPUP&amp;HEIGHT=450&amp;WIDTH=450&amp;START_MAXIMIZED=FALS","E&amp;VAR:CALENDAR=FIVEDAY&amp;VAR:SYMBOL=B5TMSP&amp;VAR:INDEX=0"}</definedName>
    <definedName name="_650__FDSAUDITLINK___1" hidden="1">{"fdsup://directions/FAT Viewer?action=UPDATE&amp;creator=factset&amp;DYN_ARGS=TRUE&amp;DOC_NAME=FAT:FQL_AUDITING_CLIENT_TEMPLATE.FAT&amp;display_string=Audit&amp;VAR:KEY=HYTQBSLABI&amp;VAR:QUERY=RkZfQ0FQRVgoQU5OLDIwMDgp&amp;WINDOW=FIRST_POPUP&amp;HEIGHT=450&amp;WIDTH=450&amp;START_MAXIMIZED=FALS","E&amp;VAR:CALENDAR=FIVEDAY&amp;VAR:SYMBOL=B5TMSP&amp;VAR:INDEX=0"}</definedName>
    <definedName name="_651__FDSAUDITLINK__" localSheetId="8" hidden="1">{"fdsup://directions/FAT Viewer?action=UPDATE&amp;creator=factset&amp;DYN_ARGS=TRUE&amp;DOC_NAME=FAT:FQL_AUDITING_CLIENT_TEMPLATE.FAT&amp;display_string=Audit&amp;VAR:KEY=LOLELIZALO&amp;VAR:QUERY=RkZfQ0FQRVgoQU5OLDIwMTAp&amp;WINDOW=FIRST_POPUP&amp;HEIGHT=450&amp;WIDTH=450&amp;START_MAXIMIZED=FALS","E&amp;VAR:CALENDAR=FIVEDAY&amp;VAR:SYMBOL=B5TMSP&amp;VAR:INDEX=0"}</definedName>
    <definedName name="_651__FDSAUDITLINK__" hidden="1">{"fdsup://directions/FAT Viewer?action=UPDATE&amp;creator=factset&amp;DYN_ARGS=TRUE&amp;DOC_NAME=FAT:FQL_AUDITING_CLIENT_TEMPLATE.FAT&amp;display_string=Audit&amp;VAR:KEY=LOLELIZALO&amp;VAR:QUERY=RkZfQ0FQRVgoQU5OLDIwMTAp&amp;WINDOW=FIRST_POPUP&amp;HEIGHT=450&amp;WIDTH=450&amp;START_MAXIMIZED=FALS","E&amp;VAR:CALENDAR=FIVEDAY&amp;VAR:SYMBOL=B5TMSP&amp;VAR:INDEX=0"}</definedName>
    <definedName name="_651__FDSAUDITLINK___1" localSheetId="8" hidden="1">{"fdsup://directions/FAT Viewer?action=UPDATE&amp;creator=factset&amp;DYN_ARGS=TRUE&amp;DOC_NAME=FAT:FQL_AUDITING_CLIENT_TEMPLATE.FAT&amp;display_string=Audit&amp;VAR:KEY=LOLELIZALO&amp;VAR:QUERY=RkZfQ0FQRVgoQU5OLDIwMTAp&amp;WINDOW=FIRST_POPUP&amp;HEIGHT=450&amp;WIDTH=450&amp;START_MAXIMIZED=FALS","E&amp;VAR:CALENDAR=FIVEDAY&amp;VAR:SYMBOL=B5TMSP&amp;VAR:INDEX=0"}</definedName>
    <definedName name="_651__FDSAUDITLINK___1" hidden="1">{"fdsup://directions/FAT Viewer?action=UPDATE&amp;creator=factset&amp;DYN_ARGS=TRUE&amp;DOC_NAME=FAT:FQL_AUDITING_CLIENT_TEMPLATE.FAT&amp;display_string=Audit&amp;VAR:KEY=LOLELIZALO&amp;VAR:QUERY=RkZfQ0FQRVgoQU5OLDIwMTAp&amp;WINDOW=FIRST_POPUP&amp;HEIGHT=450&amp;WIDTH=450&amp;START_MAXIMIZED=FALS","E&amp;VAR:CALENDAR=FIVEDAY&amp;VAR:SYMBOL=B5TMSP&amp;VAR:INDEX=0"}</definedName>
    <definedName name="_652__FDSAUDITLINK__" localSheetId="8" hidden="1">{"fdsup://directions/FAT Viewer?action=UPDATE&amp;creator=factset&amp;DYN_ARGS=TRUE&amp;DOC_NAME=FAT:FQL_AUDITING_CLIENT_TEMPLATE.FAT&amp;display_string=Audit&amp;VAR:KEY=YPAVILODKJ&amp;VAR:QUERY=RkZfTkVUX0lOQyhBTk4sMjAwOSk=&amp;WINDOW=FIRST_POPUP&amp;HEIGHT=450&amp;WIDTH=450&amp;START_MAXIMIZED=","FALSE&amp;VAR:CALENDAR=FIVEDAY&amp;VAR:SYMBOL=B5TMSP&amp;VAR:INDEX=0"}</definedName>
    <definedName name="_652__FDSAUDITLINK__" hidden="1">{"fdsup://directions/FAT Viewer?action=UPDATE&amp;creator=factset&amp;DYN_ARGS=TRUE&amp;DOC_NAME=FAT:FQL_AUDITING_CLIENT_TEMPLATE.FAT&amp;display_string=Audit&amp;VAR:KEY=YPAVILODKJ&amp;VAR:QUERY=RkZfTkVUX0lOQyhBTk4sMjAwOSk=&amp;WINDOW=FIRST_POPUP&amp;HEIGHT=450&amp;WIDTH=450&amp;START_MAXIMIZED=","FALSE&amp;VAR:CALENDAR=FIVEDAY&amp;VAR:SYMBOL=B5TMSP&amp;VAR:INDEX=0"}</definedName>
    <definedName name="_652__FDSAUDITLINK___1" localSheetId="8" hidden="1">{"fdsup://directions/FAT Viewer?action=UPDATE&amp;creator=factset&amp;DYN_ARGS=TRUE&amp;DOC_NAME=FAT:FQL_AUDITING_CLIENT_TEMPLATE.FAT&amp;display_string=Audit&amp;VAR:KEY=YPAVILODKJ&amp;VAR:QUERY=RkZfTkVUX0lOQyhBTk4sMjAwOSk=&amp;WINDOW=FIRST_POPUP&amp;HEIGHT=450&amp;WIDTH=450&amp;START_MAXIMIZED=","FALSE&amp;VAR:CALENDAR=FIVEDAY&amp;VAR:SYMBOL=B5TMSP&amp;VAR:INDEX=0"}</definedName>
    <definedName name="_652__FDSAUDITLINK___1" hidden="1">{"fdsup://directions/FAT Viewer?action=UPDATE&amp;creator=factset&amp;DYN_ARGS=TRUE&amp;DOC_NAME=FAT:FQL_AUDITING_CLIENT_TEMPLATE.FAT&amp;display_string=Audit&amp;VAR:KEY=YPAVILODKJ&amp;VAR:QUERY=RkZfTkVUX0lOQyhBTk4sMjAwOSk=&amp;WINDOW=FIRST_POPUP&amp;HEIGHT=450&amp;WIDTH=450&amp;START_MAXIMIZED=","FALSE&amp;VAR:CALENDAR=FIVEDAY&amp;VAR:SYMBOL=B5TMSP&amp;VAR:INDEX=0"}</definedName>
    <definedName name="_653__FDSAUDITLINK__" localSheetId="8" hidden="1">{"fdsup://directions/FAT Viewer?action=UPDATE&amp;creator=factset&amp;DYN_ARGS=TRUE&amp;DOC_NAME=FAT:FQL_AUDITING_CLIENT_TEMPLATE.FAT&amp;display_string=Audit&amp;VAR:KEY=EFKFEBCBKP&amp;VAR:QUERY=RkZfTkVUX0lOQyhBTk4sMjAxMSk=&amp;WINDOW=FIRST_POPUP&amp;HEIGHT=450&amp;WIDTH=450&amp;START_MAXIMIZED=","FALSE&amp;VAR:CALENDAR=FIVEDAY&amp;VAR:SYMBOL=B5TMSP&amp;VAR:INDEX=0"}</definedName>
    <definedName name="_653__FDSAUDITLINK__" hidden="1">{"fdsup://directions/FAT Viewer?action=UPDATE&amp;creator=factset&amp;DYN_ARGS=TRUE&amp;DOC_NAME=FAT:FQL_AUDITING_CLIENT_TEMPLATE.FAT&amp;display_string=Audit&amp;VAR:KEY=EFKFEBCBKP&amp;VAR:QUERY=RkZfTkVUX0lOQyhBTk4sMjAxMSk=&amp;WINDOW=FIRST_POPUP&amp;HEIGHT=450&amp;WIDTH=450&amp;START_MAXIMIZED=","FALSE&amp;VAR:CALENDAR=FIVEDAY&amp;VAR:SYMBOL=B5TMSP&amp;VAR:INDEX=0"}</definedName>
    <definedName name="_653__FDSAUDITLINK___1" localSheetId="8" hidden="1">{"fdsup://directions/FAT Viewer?action=UPDATE&amp;creator=factset&amp;DYN_ARGS=TRUE&amp;DOC_NAME=FAT:FQL_AUDITING_CLIENT_TEMPLATE.FAT&amp;display_string=Audit&amp;VAR:KEY=EFKFEBCBKP&amp;VAR:QUERY=RkZfTkVUX0lOQyhBTk4sMjAxMSk=&amp;WINDOW=FIRST_POPUP&amp;HEIGHT=450&amp;WIDTH=450&amp;START_MAXIMIZED=","FALSE&amp;VAR:CALENDAR=FIVEDAY&amp;VAR:SYMBOL=B5TMSP&amp;VAR:INDEX=0"}</definedName>
    <definedName name="_653__FDSAUDITLINK___1" hidden="1">{"fdsup://directions/FAT Viewer?action=UPDATE&amp;creator=factset&amp;DYN_ARGS=TRUE&amp;DOC_NAME=FAT:FQL_AUDITING_CLIENT_TEMPLATE.FAT&amp;display_string=Audit&amp;VAR:KEY=EFKFEBCBKP&amp;VAR:QUERY=RkZfTkVUX0lOQyhBTk4sMjAxMSk=&amp;WINDOW=FIRST_POPUP&amp;HEIGHT=450&amp;WIDTH=450&amp;START_MAXIMIZED=","FALSE&amp;VAR:CALENDAR=FIVEDAY&amp;VAR:SYMBOL=B5TMSP&amp;VAR:INDEX=0"}</definedName>
    <definedName name="_654__FDSAUDITLINK__" localSheetId="8" hidden="1">{"fdsup://directions/FAT Viewer?action=UPDATE&amp;creator=factset&amp;DYN_ARGS=TRUE&amp;DOC_NAME=FAT:FQL_AUDITING_CLIENT_TEMPLATE.FAT&amp;display_string=Audit&amp;VAR:KEY=STAXCXYFSB&amp;VAR:QUERY=RkZfRU5UUlBSX1ZBTF9EQUlMWSgwLCwsLCwnRElMJyk=&amp;WINDOW=FIRST_POPUP&amp;HEIGHT=450&amp;WIDTH=450&amp;","START_MAXIMIZED=FALSE&amp;VAR:CALENDAR=FIVEDAY&amp;VAR:SYMBOL=074482&amp;VAR:INDEX=0"}</definedName>
    <definedName name="_654__FDSAUDITLINK__" hidden="1">{"fdsup://directions/FAT Viewer?action=UPDATE&amp;creator=factset&amp;DYN_ARGS=TRUE&amp;DOC_NAME=FAT:FQL_AUDITING_CLIENT_TEMPLATE.FAT&amp;display_string=Audit&amp;VAR:KEY=STAXCXYFSB&amp;VAR:QUERY=RkZfRU5UUlBSX1ZBTF9EQUlMWSgwLCwsLCwnRElMJyk=&amp;WINDOW=FIRST_POPUP&amp;HEIGHT=450&amp;WIDTH=450&amp;","START_MAXIMIZED=FALSE&amp;VAR:CALENDAR=FIVEDAY&amp;VAR:SYMBOL=074482&amp;VAR:INDEX=0"}</definedName>
    <definedName name="_654__FDSAUDITLINK___1" localSheetId="8" hidden="1">{"fdsup://directions/FAT Viewer?action=UPDATE&amp;creator=factset&amp;DYN_ARGS=TRUE&amp;DOC_NAME=FAT:FQL_AUDITING_CLIENT_TEMPLATE.FAT&amp;display_string=Audit&amp;VAR:KEY=STAXCXYFSB&amp;VAR:QUERY=RkZfRU5UUlBSX1ZBTF9EQUlMWSgwLCwsLCwnRElMJyk=&amp;WINDOW=FIRST_POPUP&amp;HEIGHT=450&amp;WIDTH=450&amp;","START_MAXIMIZED=FALSE&amp;VAR:CALENDAR=FIVEDAY&amp;VAR:SYMBOL=074482&amp;VAR:INDEX=0"}</definedName>
    <definedName name="_654__FDSAUDITLINK___1" hidden="1">{"fdsup://directions/FAT Viewer?action=UPDATE&amp;creator=factset&amp;DYN_ARGS=TRUE&amp;DOC_NAME=FAT:FQL_AUDITING_CLIENT_TEMPLATE.FAT&amp;display_string=Audit&amp;VAR:KEY=STAXCXYFSB&amp;VAR:QUERY=RkZfRU5UUlBSX1ZBTF9EQUlMWSgwLCwsLCwnRElMJyk=&amp;WINDOW=FIRST_POPUP&amp;HEIGHT=450&amp;WIDTH=450&amp;","START_MAXIMIZED=FALSE&amp;VAR:CALENDAR=FIVEDAY&amp;VAR:SYMBOL=074482&amp;VAR:INDEX=0"}</definedName>
    <definedName name="_655__FDSAUDITLINK__" localSheetId="8" hidden="1">{"fdsup://Directions/FactSet Auditing Viewer?action=AUDIT_VALUE&amp;DB=129&amp;ID1=074482&amp;VALUEID=01001&amp;SDATE=2008&amp;PERIODTYPE=ANN_STD&amp;SCFT=3&amp;window=popup_no_bar&amp;width=385&amp;height=120&amp;START_MAXIMIZED=FALSE&amp;creator=factset&amp;display_string=Audit"}</definedName>
    <definedName name="_655__FDSAUDITLINK__" hidden="1">{"fdsup://Directions/FactSet Auditing Viewer?action=AUDIT_VALUE&amp;DB=129&amp;ID1=074482&amp;VALUEID=01001&amp;SDATE=2008&amp;PERIODTYPE=ANN_STD&amp;SCFT=3&amp;window=popup_no_bar&amp;width=385&amp;height=120&amp;START_MAXIMIZED=FALSE&amp;creator=factset&amp;display_string=Audit"}</definedName>
    <definedName name="_655__FDSAUDITLINK___1" localSheetId="8" hidden="1">{"fdsup://Directions/FactSet Auditing Viewer?action=AUDIT_VALUE&amp;DB=129&amp;ID1=074482&amp;VALUEID=01001&amp;SDATE=2008&amp;PERIODTYPE=ANN_STD&amp;SCFT=3&amp;window=popup_no_bar&amp;width=385&amp;height=120&amp;START_MAXIMIZED=FALSE&amp;creator=factset&amp;display_string=Audit"}</definedName>
    <definedName name="_655__FDSAUDITLINK___1" hidden="1">{"fdsup://Directions/FactSet Auditing Viewer?action=AUDIT_VALUE&amp;DB=129&amp;ID1=074482&amp;VALUEID=01001&amp;SDATE=2008&amp;PERIODTYPE=ANN_STD&amp;SCFT=3&amp;window=popup_no_bar&amp;width=385&amp;height=120&amp;START_MAXIMIZED=FALSE&amp;creator=factset&amp;display_string=Audit"}</definedName>
    <definedName name="_656__FDSAUDITLINK__" localSheetId="8" hidden="1">{"fdsup://directions/FAT Viewer?action=UPDATE&amp;creator=factset&amp;DYN_ARGS=TRUE&amp;DOC_NAME=FAT:FQL_AUDITING_CLIENT_TEMPLATE.FAT&amp;display_string=Audit&amp;VAR:KEY=UDETEJIPMN&amp;VAR:QUERY=RkZfRUJJVERBX09QRVIoQU5OLDIwMDkp&amp;WINDOW=FIRST_POPUP&amp;HEIGHT=450&amp;WIDTH=450&amp;START_MAXIMI","ZED=FALSE&amp;VAR:CALENDAR=FIVEDAY&amp;VAR:SYMBOL=074482&amp;VAR:INDEX=0"}</definedName>
    <definedName name="_656__FDSAUDITLINK__" hidden="1">{"fdsup://directions/FAT Viewer?action=UPDATE&amp;creator=factset&amp;DYN_ARGS=TRUE&amp;DOC_NAME=FAT:FQL_AUDITING_CLIENT_TEMPLATE.FAT&amp;display_string=Audit&amp;VAR:KEY=UDETEJIPMN&amp;VAR:QUERY=RkZfRUJJVERBX09QRVIoQU5OLDIwMDkp&amp;WINDOW=FIRST_POPUP&amp;HEIGHT=450&amp;WIDTH=450&amp;START_MAXIMI","ZED=FALSE&amp;VAR:CALENDAR=FIVEDAY&amp;VAR:SYMBOL=074482&amp;VAR:INDEX=0"}</definedName>
    <definedName name="_656__FDSAUDITLINK___1" localSheetId="8" hidden="1">{"fdsup://directions/FAT Viewer?action=UPDATE&amp;creator=factset&amp;DYN_ARGS=TRUE&amp;DOC_NAME=FAT:FQL_AUDITING_CLIENT_TEMPLATE.FAT&amp;display_string=Audit&amp;VAR:KEY=UDETEJIPMN&amp;VAR:QUERY=RkZfRUJJVERBX09QRVIoQU5OLDIwMDkp&amp;WINDOW=FIRST_POPUP&amp;HEIGHT=450&amp;WIDTH=450&amp;START_MAXIMI","ZED=FALSE&amp;VAR:CALENDAR=FIVEDAY&amp;VAR:SYMBOL=074482&amp;VAR:INDEX=0"}</definedName>
    <definedName name="_656__FDSAUDITLINK___1" hidden="1">{"fdsup://directions/FAT Viewer?action=UPDATE&amp;creator=factset&amp;DYN_ARGS=TRUE&amp;DOC_NAME=FAT:FQL_AUDITING_CLIENT_TEMPLATE.FAT&amp;display_string=Audit&amp;VAR:KEY=UDETEJIPMN&amp;VAR:QUERY=RkZfRUJJVERBX09QRVIoQU5OLDIwMDkp&amp;WINDOW=FIRST_POPUP&amp;HEIGHT=450&amp;WIDTH=450&amp;START_MAXIMI","ZED=FALSE&amp;VAR:CALENDAR=FIVEDAY&amp;VAR:SYMBOL=074482&amp;VAR:INDEX=0"}</definedName>
    <definedName name="_657__FDSAUDITLINK__" localSheetId="8" hidden="1">{"fdsup://Directions/FactSet Auditing Viewer?action=AUDIT_VALUE&amp;DB=129&amp;ID1=074482&amp;VALUEID=01250&amp;SDATE=2008&amp;PERIODTYPE=ANN_STD&amp;SCFT=3&amp;window=popup_no_bar&amp;width=385&amp;height=120&amp;START_MAXIMIZED=FALSE&amp;creator=factset&amp;display_string=Audit"}</definedName>
    <definedName name="_657__FDSAUDITLINK__" hidden="1">{"fdsup://Directions/FactSet Auditing Viewer?action=AUDIT_VALUE&amp;DB=129&amp;ID1=074482&amp;VALUEID=01250&amp;SDATE=2008&amp;PERIODTYPE=ANN_STD&amp;SCFT=3&amp;window=popup_no_bar&amp;width=385&amp;height=120&amp;START_MAXIMIZED=FALSE&amp;creator=factset&amp;display_string=Audit"}</definedName>
    <definedName name="_657__FDSAUDITLINK___1" localSheetId="8" hidden="1">{"fdsup://Directions/FactSet Auditing Viewer?action=AUDIT_VALUE&amp;DB=129&amp;ID1=074482&amp;VALUEID=01250&amp;SDATE=2008&amp;PERIODTYPE=ANN_STD&amp;SCFT=3&amp;window=popup_no_bar&amp;width=385&amp;height=120&amp;START_MAXIMIZED=FALSE&amp;creator=factset&amp;display_string=Audit"}</definedName>
    <definedName name="_657__FDSAUDITLINK___1" hidden="1">{"fdsup://Directions/FactSet Auditing Viewer?action=AUDIT_VALUE&amp;DB=129&amp;ID1=074482&amp;VALUEID=01250&amp;SDATE=2008&amp;PERIODTYPE=ANN_STD&amp;SCFT=3&amp;window=popup_no_bar&amp;width=385&amp;height=120&amp;START_MAXIMIZED=FALSE&amp;creator=factset&amp;display_string=Audit"}</definedName>
    <definedName name="_658__FDSAUDITLINK__" localSheetId="8" hidden="1">{"fdsup://directions/FAT Viewer?action=UPDATE&amp;creator=factset&amp;DYN_ARGS=TRUE&amp;DOC_NAME=FAT:FQL_AUDITING_CLIENT_TEMPLATE.FAT&amp;display_string=Audit&amp;VAR:KEY=XGJAHKFOJG&amp;VAR:QUERY=RkZfQ0FQRVgoQU5OLDIwMDkp&amp;WINDOW=FIRST_POPUP&amp;HEIGHT=450&amp;WIDTH=450&amp;START_MAXIMIZED=FALS","E&amp;VAR:CALENDAR=FIVEDAY&amp;VAR:SYMBOL=074482&amp;VAR:INDEX=0"}</definedName>
    <definedName name="_658__FDSAUDITLINK__" hidden="1">{"fdsup://directions/FAT Viewer?action=UPDATE&amp;creator=factset&amp;DYN_ARGS=TRUE&amp;DOC_NAME=FAT:FQL_AUDITING_CLIENT_TEMPLATE.FAT&amp;display_string=Audit&amp;VAR:KEY=XGJAHKFOJG&amp;VAR:QUERY=RkZfQ0FQRVgoQU5OLDIwMDkp&amp;WINDOW=FIRST_POPUP&amp;HEIGHT=450&amp;WIDTH=450&amp;START_MAXIMIZED=FALS","E&amp;VAR:CALENDAR=FIVEDAY&amp;VAR:SYMBOL=074482&amp;VAR:INDEX=0"}</definedName>
    <definedName name="_658__FDSAUDITLINK___1" localSheetId="8" hidden="1">{"fdsup://directions/FAT Viewer?action=UPDATE&amp;creator=factset&amp;DYN_ARGS=TRUE&amp;DOC_NAME=FAT:FQL_AUDITING_CLIENT_TEMPLATE.FAT&amp;display_string=Audit&amp;VAR:KEY=XGJAHKFOJG&amp;VAR:QUERY=RkZfQ0FQRVgoQU5OLDIwMDkp&amp;WINDOW=FIRST_POPUP&amp;HEIGHT=450&amp;WIDTH=450&amp;START_MAXIMIZED=FALS","E&amp;VAR:CALENDAR=FIVEDAY&amp;VAR:SYMBOL=074482&amp;VAR:INDEX=0"}</definedName>
    <definedName name="_658__FDSAUDITLINK___1" hidden="1">{"fdsup://directions/FAT Viewer?action=UPDATE&amp;creator=factset&amp;DYN_ARGS=TRUE&amp;DOC_NAME=FAT:FQL_AUDITING_CLIENT_TEMPLATE.FAT&amp;display_string=Audit&amp;VAR:KEY=XGJAHKFOJG&amp;VAR:QUERY=RkZfQ0FQRVgoQU5OLDIwMDkp&amp;WINDOW=FIRST_POPUP&amp;HEIGHT=450&amp;WIDTH=450&amp;START_MAXIMIZED=FALS","E&amp;VAR:CALENDAR=FIVEDAY&amp;VAR:SYMBOL=074482&amp;VAR:INDEX=0"}</definedName>
    <definedName name="_659__FDSAUDITLINK__" localSheetId="8" hidden="1">{"fdsup://directions/FAT Viewer?action=UPDATE&amp;creator=factset&amp;DYN_ARGS=TRUE&amp;DOC_NAME=FAT:FQL_AUDITING_CLIENT_TEMPLATE.FAT&amp;display_string=Audit&amp;VAR:KEY=UHGZAZMDOR&amp;VAR:QUERY=RkZfTkVUX0lOQyhBTk4sMjAwOCk=&amp;WINDOW=FIRST_POPUP&amp;HEIGHT=450&amp;WIDTH=450&amp;START_MAXIMIZED=","FALSE&amp;VAR:CALENDAR=FIVEDAY&amp;VAR:SYMBOL=074482&amp;VAR:INDEX=0"}</definedName>
    <definedName name="_659__FDSAUDITLINK__" hidden="1">{"fdsup://directions/FAT Viewer?action=UPDATE&amp;creator=factset&amp;DYN_ARGS=TRUE&amp;DOC_NAME=FAT:FQL_AUDITING_CLIENT_TEMPLATE.FAT&amp;display_string=Audit&amp;VAR:KEY=UHGZAZMDOR&amp;VAR:QUERY=RkZfTkVUX0lOQyhBTk4sMjAwOCk=&amp;WINDOW=FIRST_POPUP&amp;HEIGHT=450&amp;WIDTH=450&amp;START_MAXIMIZED=","FALSE&amp;VAR:CALENDAR=FIVEDAY&amp;VAR:SYMBOL=074482&amp;VAR:INDEX=0"}</definedName>
    <definedName name="_659__FDSAUDITLINK___1" localSheetId="8" hidden="1">{"fdsup://directions/FAT Viewer?action=UPDATE&amp;creator=factset&amp;DYN_ARGS=TRUE&amp;DOC_NAME=FAT:FQL_AUDITING_CLIENT_TEMPLATE.FAT&amp;display_string=Audit&amp;VAR:KEY=UHGZAZMDOR&amp;VAR:QUERY=RkZfTkVUX0lOQyhBTk4sMjAwOCk=&amp;WINDOW=FIRST_POPUP&amp;HEIGHT=450&amp;WIDTH=450&amp;START_MAXIMIZED=","FALSE&amp;VAR:CALENDAR=FIVEDAY&amp;VAR:SYMBOL=074482&amp;VAR:INDEX=0"}</definedName>
    <definedName name="_659__FDSAUDITLINK___1" hidden="1">{"fdsup://directions/FAT Viewer?action=UPDATE&amp;creator=factset&amp;DYN_ARGS=TRUE&amp;DOC_NAME=FAT:FQL_AUDITING_CLIENT_TEMPLATE.FAT&amp;display_string=Audit&amp;VAR:KEY=UHGZAZMDOR&amp;VAR:QUERY=RkZfTkVUX0lOQyhBTk4sMjAwOCk=&amp;WINDOW=FIRST_POPUP&amp;HEIGHT=450&amp;WIDTH=450&amp;START_MAXIMIZED=","FALSE&amp;VAR:CALENDAR=FIVEDAY&amp;VAR:SYMBOL=074482&amp;VAR:INDEX=0"}</definedName>
    <definedName name="_66__123Graph_DCHART_10" localSheetId="8" hidden="1">#REF!</definedName>
    <definedName name="_66__123Graph_DCHART_10" hidden="1">#REF!</definedName>
    <definedName name="_66__123Graph_LBL_BCHART_1" hidden="1">#REF!</definedName>
    <definedName name="_66__FDSAUDITLINK__" localSheetId="8" hidden="1">{"fdsup://directions/FAT Viewer?action=UPDATE&amp;creator=factset&amp;DYN_ARGS=TRUE&amp;DOC_NAME=FAT:FQL_AUDITING_CLIENT_TEMPLATE.FAT&amp;display_string=Audit&amp;VAR:KEY=XEXUVQBYTO&amp;VAR:QUERY=RkZfRUJJVF9JQignQU5OJywzNjUyNSwsLCwnR0JQJyk=&amp;WINDOW=FIRST_POPUP&amp;HEIGHT=450&amp;WIDTH=450&amp;","START_MAXIMIZED=FALSE&amp;VAR:CALENDAR=FIVEDAY&amp;VAR:SYMBOL=011827&amp;VAR:INDEX=0"}</definedName>
    <definedName name="_66__FDSAUDITLINK__" hidden="1">{"fdsup://directions/FAT Viewer?action=UPDATE&amp;creator=factset&amp;DYN_ARGS=TRUE&amp;DOC_NAME=FAT:FQL_AUDITING_CLIENT_TEMPLATE.FAT&amp;display_string=Audit&amp;VAR:KEY=OVEZGRYVKV&amp;VAR:QUERY=RkZfRUJJVERBX09QRVIoQ0FMLDIwMDkp&amp;WINDOW=FIRST_POPUP&amp;HEIGHT=450&amp;WIDTH=450&amp;START_MAXIMI","ZED=FALSE&amp;VAR:CALENDAR=US&amp;VAR:SYMBOL=MLM&amp;VAR:INDEX=0"}</definedName>
    <definedName name="_66__FDSAUDITLINK___1" localSheetId="8" hidden="1">{"fdsup://directions/FAT Viewer?action=UPDATE&amp;creator=factset&amp;DYN_ARGS=TRUE&amp;DOC_NAME=FAT:FQL_AUDITING_CLIENT_TEMPLATE.FAT&amp;display_string=Audit&amp;VAR:KEY=XEXUVQBYTO&amp;VAR:QUERY=RkZfRUJJVF9JQignQU5OJywzNjUyNSwsLCwnR0JQJyk=&amp;WINDOW=FIRST_POPUP&amp;HEIGHT=450&amp;WIDTH=450&amp;","START_MAXIMIZED=FALSE&amp;VAR:CALENDAR=FIVEDAY&amp;VAR:SYMBOL=011827&amp;VAR:INDEX=0"}</definedName>
    <definedName name="_66__FDSAUDITLINK___1" hidden="1">{"fdsup://directions/FAT Viewer?action=UPDATE&amp;creator=factset&amp;DYN_ARGS=TRUE&amp;DOC_NAME=FAT:FQL_AUDITING_CLIENT_TEMPLATE.FAT&amp;display_string=Audit&amp;VAR:KEY=XEXUVQBYTO&amp;VAR:QUERY=RkZfRUJJVF9JQignQU5OJywzNjUyNSwsLCwnR0JQJyk=&amp;WINDOW=FIRST_POPUP&amp;HEIGHT=450&amp;WIDTH=450&amp;","START_MAXIMIZED=FALSE&amp;VAR:CALENDAR=FIVEDAY&amp;VAR:SYMBOL=011827&amp;VAR:INDEX=0"}</definedName>
    <definedName name="_660__FDSAUDITLINK__" localSheetId="8" hidden="1">{"fdsup://Directions/FactSet Auditing Viewer?action=AUDIT_VALUE&amp;DB=129&amp;ID1=554197&amp;VALUEID=01001&amp;SDATE=2011&amp;PERIODTYPE=ANN_STD&amp;SCFT=3&amp;window=popup_no_bar&amp;width=385&amp;height=120&amp;START_MAXIMIZED=FALSE&amp;creator=factset&amp;display_string=Audit"}</definedName>
    <definedName name="_660__FDSAUDITLINK__" hidden="1">{"fdsup://Directions/FactSet Auditing Viewer?action=AUDIT_VALUE&amp;DB=129&amp;ID1=554197&amp;VALUEID=01001&amp;SDATE=2011&amp;PERIODTYPE=ANN_STD&amp;SCFT=3&amp;window=popup_no_bar&amp;width=385&amp;height=120&amp;START_MAXIMIZED=FALSE&amp;creator=factset&amp;display_string=Audit"}</definedName>
    <definedName name="_660__FDSAUDITLINK___1" localSheetId="8" hidden="1">{"fdsup://Directions/FactSet Auditing Viewer?action=AUDIT_VALUE&amp;DB=129&amp;ID1=554197&amp;VALUEID=01001&amp;SDATE=2011&amp;PERIODTYPE=ANN_STD&amp;SCFT=3&amp;window=popup_no_bar&amp;width=385&amp;height=120&amp;START_MAXIMIZED=FALSE&amp;creator=factset&amp;display_string=Audit"}</definedName>
    <definedName name="_660__FDSAUDITLINK___1" hidden="1">{"fdsup://Directions/FactSet Auditing Viewer?action=AUDIT_VALUE&amp;DB=129&amp;ID1=554197&amp;VALUEID=01001&amp;SDATE=2011&amp;PERIODTYPE=ANN_STD&amp;SCFT=3&amp;window=popup_no_bar&amp;width=385&amp;height=120&amp;START_MAXIMIZED=FALSE&amp;creator=factset&amp;display_string=Audit"}</definedName>
    <definedName name="_661__FDSAUDITLINK__" localSheetId="8" hidden="1">{"fdsup://directions/FAT Viewer?action=UPDATE&amp;creator=factset&amp;DYN_ARGS=TRUE&amp;DOC_NAME=FAT:FQL_AUDITING_CLIENT_TEMPLATE.FAT&amp;display_string=Audit&amp;VAR:KEY=KNKVEVCPET&amp;VAR:QUERY=RkZfRUJJVERBX09QRVIoQU5OLDIwMDgp&amp;WINDOW=FIRST_POPUP&amp;HEIGHT=450&amp;WIDTH=450&amp;START_MAXIMI","ZED=FALSE&amp;VAR:CALENDAR=FIVEDAY&amp;VAR:SYMBOL=554197&amp;VAR:INDEX=0"}</definedName>
    <definedName name="_661__FDSAUDITLINK__" hidden="1">{"fdsup://directions/FAT Viewer?action=UPDATE&amp;creator=factset&amp;DYN_ARGS=TRUE&amp;DOC_NAME=FAT:FQL_AUDITING_CLIENT_TEMPLATE.FAT&amp;display_string=Audit&amp;VAR:KEY=KNKVEVCPET&amp;VAR:QUERY=RkZfRUJJVERBX09QRVIoQU5OLDIwMDgp&amp;WINDOW=FIRST_POPUP&amp;HEIGHT=450&amp;WIDTH=450&amp;START_MAXIMI","ZED=FALSE&amp;VAR:CALENDAR=FIVEDAY&amp;VAR:SYMBOL=554197&amp;VAR:INDEX=0"}</definedName>
    <definedName name="_661__FDSAUDITLINK___1" localSheetId="8" hidden="1">{"fdsup://directions/FAT Viewer?action=UPDATE&amp;creator=factset&amp;DYN_ARGS=TRUE&amp;DOC_NAME=FAT:FQL_AUDITING_CLIENT_TEMPLATE.FAT&amp;display_string=Audit&amp;VAR:KEY=KNKVEVCPET&amp;VAR:QUERY=RkZfRUJJVERBX09QRVIoQU5OLDIwMDgp&amp;WINDOW=FIRST_POPUP&amp;HEIGHT=450&amp;WIDTH=450&amp;START_MAXIMI","ZED=FALSE&amp;VAR:CALENDAR=FIVEDAY&amp;VAR:SYMBOL=554197&amp;VAR:INDEX=0"}</definedName>
    <definedName name="_661__FDSAUDITLINK___1" hidden="1">{"fdsup://directions/FAT Viewer?action=UPDATE&amp;creator=factset&amp;DYN_ARGS=TRUE&amp;DOC_NAME=FAT:FQL_AUDITING_CLIENT_TEMPLATE.FAT&amp;display_string=Audit&amp;VAR:KEY=KNKVEVCPET&amp;VAR:QUERY=RkZfRUJJVERBX09QRVIoQU5OLDIwMDgp&amp;WINDOW=FIRST_POPUP&amp;HEIGHT=450&amp;WIDTH=450&amp;START_MAXIMI","ZED=FALSE&amp;VAR:CALENDAR=FIVEDAY&amp;VAR:SYMBOL=554197&amp;VAR:INDEX=0"}</definedName>
    <definedName name="_662__FDSAUDITLINK__" localSheetId="8" hidden="1">{"fdsup://directions/FAT Viewer?action=UPDATE&amp;creator=factset&amp;DYN_ARGS=TRUE&amp;DOC_NAME=FAT:FQL_AUDITING_CLIENT_TEMPLATE.FAT&amp;display_string=Audit&amp;VAR:KEY=PSDSXQLYRA&amp;VAR:QUERY=RkZfRUJJVERBX09QRVIoQU5OLDIwMTAp&amp;WINDOW=FIRST_POPUP&amp;HEIGHT=450&amp;WIDTH=450&amp;START_MAXIMI","ZED=FALSE&amp;VAR:CALENDAR=FIVEDAY&amp;VAR:SYMBOL=554197&amp;VAR:INDEX=0"}</definedName>
    <definedName name="_662__FDSAUDITLINK__" hidden="1">{"fdsup://directions/FAT Viewer?action=UPDATE&amp;creator=factset&amp;DYN_ARGS=TRUE&amp;DOC_NAME=FAT:FQL_AUDITING_CLIENT_TEMPLATE.FAT&amp;display_string=Audit&amp;VAR:KEY=PSDSXQLYRA&amp;VAR:QUERY=RkZfRUJJVERBX09QRVIoQU5OLDIwMTAp&amp;WINDOW=FIRST_POPUP&amp;HEIGHT=450&amp;WIDTH=450&amp;START_MAXIMI","ZED=FALSE&amp;VAR:CALENDAR=FIVEDAY&amp;VAR:SYMBOL=554197&amp;VAR:INDEX=0"}</definedName>
    <definedName name="_662__FDSAUDITLINK___1" localSheetId="8" hidden="1">{"fdsup://directions/FAT Viewer?action=UPDATE&amp;creator=factset&amp;DYN_ARGS=TRUE&amp;DOC_NAME=FAT:FQL_AUDITING_CLIENT_TEMPLATE.FAT&amp;display_string=Audit&amp;VAR:KEY=PSDSXQLYRA&amp;VAR:QUERY=RkZfRUJJVERBX09QRVIoQU5OLDIwMTAp&amp;WINDOW=FIRST_POPUP&amp;HEIGHT=450&amp;WIDTH=450&amp;START_MAXIMI","ZED=FALSE&amp;VAR:CALENDAR=FIVEDAY&amp;VAR:SYMBOL=554197&amp;VAR:INDEX=0"}</definedName>
    <definedName name="_662__FDSAUDITLINK___1" hidden="1">{"fdsup://directions/FAT Viewer?action=UPDATE&amp;creator=factset&amp;DYN_ARGS=TRUE&amp;DOC_NAME=FAT:FQL_AUDITING_CLIENT_TEMPLATE.FAT&amp;display_string=Audit&amp;VAR:KEY=PSDSXQLYRA&amp;VAR:QUERY=RkZfRUJJVERBX09QRVIoQU5OLDIwMTAp&amp;WINDOW=FIRST_POPUP&amp;HEIGHT=450&amp;WIDTH=450&amp;START_MAXIMI","ZED=FALSE&amp;VAR:CALENDAR=FIVEDAY&amp;VAR:SYMBOL=554197&amp;VAR:INDEX=0"}</definedName>
    <definedName name="_663__FDSAUDITLINK__" localSheetId="8" hidden="1">{"fdsup://Directions/FactSet Auditing Viewer?action=AUDIT_VALUE&amp;DB=129&amp;ID1=554197&amp;VALUEID=01250&amp;SDATE=2010&amp;PERIODTYPE=ANN_STD&amp;SCFT=3&amp;window=popup_no_bar&amp;width=385&amp;height=120&amp;START_MAXIMIZED=FALSE&amp;creator=factset&amp;display_string=Audit"}</definedName>
    <definedName name="_663__FDSAUDITLINK__" hidden="1">{"fdsup://Directions/FactSet Auditing Viewer?action=AUDIT_VALUE&amp;DB=129&amp;ID1=554197&amp;VALUEID=01250&amp;SDATE=2010&amp;PERIODTYPE=ANN_STD&amp;SCFT=3&amp;window=popup_no_bar&amp;width=385&amp;height=120&amp;START_MAXIMIZED=FALSE&amp;creator=factset&amp;display_string=Audit"}</definedName>
    <definedName name="_663__FDSAUDITLINK___1" localSheetId="8" hidden="1">{"fdsup://Directions/FactSet Auditing Viewer?action=AUDIT_VALUE&amp;DB=129&amp;ID1=554197&amp;VALUEID=01250&amp;SDATE=2010&amp;PERIODTYPE=ANN_STD&amp;SCFT=3&amp;window=popup_no_bar&amp;width=385&amp;height=120&amp;START_MAXIMIZED=FALSE&amp;creator=factset&amp;display_string=Audit"}</definedName>
    <definedName name="_663__FDSAUDITLINK___1" hidden="1">{"fdsup://Directions/FactSet Auditing Viewer?action=AUDIT_VALUE&amp;DB=129&amp;ID1=554197&amp;VALUEID=01250&amp;SDATE=2010&amp;PERIODTYPE=ANN_STD&amp;SCFT=3&amp;window=popup_no_bar&amp;width=385&amp;height=120&amp;START_MAXIMIZED=FALSE&amp;creator=factset&amp;display_string=Audit"}</definedName>
    <definedName name="_664__FDSAUDITLINK__" localSheetId="8" hidden="1">{"fdsup://directions/FAT Viewer?action=UPDATE&amp;creator=factset&amp;DYN_ARGS=TRUE&amp;DOC_NAME=FAT:FQL_AUDITING_CLIENT_TEMPLATE.FAT&amp;display_string=Audit&amp;VAR:KEY=HUPUBQBYNC&amp;VAR:QUERY=RkZfQ0FQRVgoQU5OLDIwMDgp&amp;WINDOW=FIRST_POPUP&amp;HEIGHT=450&amp;WIDTH=450&amp;START_MAXIMIZED=FALS","E&amp;VAR:CALENDAR=FIVEDAY&amp;VAR:SYMBOL=554197&amp;VAR:INDEX=0"}</definedName>
    <definedName name="_664__FDSAUDITLINK__" hidden="1">{"fdsup://directions/FAT Viewer?action=UPDATE&amp;creator=factset&amp;DYN_ARGS=TRUE&amp;DOC_NAME=FAT:FQL_AUDITING_CLIENT_TEMPLATE.FAT&amp;display_string=Audit&amp;VAR:KEY=HUPUBQBYNC&amp;VAR:QUERY=RkZfQ0FQRVgoQU5OLDIwMDgp&amp;WINDOW=FIRST_POPUP&amp;HEIGHT=450&amp;WIDTH=450&amp;START_MAXIMIZED=FALS","E&amp;VAR:CALENDAR=FIVEDAY&amp;VAR:SYMBOL=554197&amp;VAR:INDEX=0"}</definedName>
    <definedName name="_664__FDSAUDITLINK___1" localSheetId="8" hidden="1">{"fdsup://directions/FAT Viewer?action=UPDATE&amp;creator=factset&amp;DYN_ARGS=TRUE&amp;DOC_NAME=FAT:FQL_AUDITING_CLIENT_TEMPLATE.FAT&amp;display_string=Audit&amp;VAR:KEY=HUPUBQBYNC&amp;VAR:QUERY=RkZfQ0FQRVgoQU5OLDIwMDgp&amp;WINDOW=FIRST_POPUP&amp;HEIGHT=450&amp;WIDTH=450&amp;START_MAXIMIZED=FALS","E&amp;VAR:CALENDAR=FIVEDAY&amp;VAR:SYMBOL=554197&amp;VAR:INDEX=0"}</definedName>
    <definedName name="_664__FDSAUDITLINK___1" hidden="1">{"fdsup://directions/FAT Viewer?action=UPDATE&amp;creator=factset&amp;DYN_ARGS=TRUE&amp;DOC_NAME=FAT:FQL_AUDITING_CLIENT_TEMPLATE.FAT&amp;display_string=Audit&amp;VAR:KEY=HUPUBQBYNC&amp;VAR:QUERY=RkZfQ0FQRVgoQU5OLDIwMDgp&amp;WINDOW=FIRST_POPUP&amp;HEIGHT=450&amp;WIDTH=450&amp;START_MAXIMIZED=FALS","E&amp;VAR:CALENDAR=FIVEDAY&amp;VAR:SYMBOL=554197&amp;VAR:INDEX=0"}</definedName>
    <definedName name="_665__FDSAUDITLINK__" localSheetId="8" hidden="1">{"fdsup://directions/FAT Viewer?action=UPDATE&amp;creator=factset&amp;DYN_ARGS=TRUE&amp;DOC_NAME=FAT:FQL_AUDITING_CLIENT_TEMPLATE.FAT&amp;display_string=Audit&amp;VAR:KEY=SHMBGBMNMR&amp;VAR:QUERY=RkZfQ0FQRVgoQU5OLDIwMTAp&amp;WINDOW=FIRST_POPUP&amp;HEIGHT=450&amp;WIDTH=450&amp;START_MAXIMIZED=FALS","E&amp;VAR:CALENDAR=FIVEDAY&amp;VAR:SYMBOL=554197&amp;VAR:INDEX=0"}</definedName>
    <definedName name="_665__FDSAUDITLINK__" hidden="1">{"fdsup://directions/FAT Viewer?action=UPDATE&amp;creator=factset&amp;DYN_ARGS=TRUE&amp;DOC_NAME=FAT:FQL_AUDITING_CLIENT_TEMPLATE.FAT&amp;display_string=Audit&amp;VAR:KEY=SHMBGBMNMR&amp;VAR:QUERY=RkZfQ0FQRVgoQU5OLDIwMTAp&amp;WINDOW=FIRST_POPUP&amp;HEIGHT=450&amp;WIDTH=450&amp;START_MAXIMIZED=FALS","E&amp;VAR:CALENDAR=FIVEDAY&amp;VAR:SYMBOL=554197&amp;VAR:INDEX=0"}</definedName>
    <definedName name="_665__FDSAUDITLINK___1" localSheetId="8" hidden="1">{"fdsup://directions/FAT Viewer?action=UPDATE&amp;creator=factset&amp;DYN_ARGS=TRUE&amp;DOC_NAME=FAT:FQL_AUDITING_CLIENT_TEMPLATE.FAT&amp;display_string=Audit&amp;VAR:KEY=SHMBGBMNMR&amp;VAR:QUERY=RkZfQ0FQRVgoQU5OLDIwMTAp&amp;WINDOW=FIRST_POPUP&amp;HEIGHT=450&amp;WIDTH=450&amp;START_MAXIMIZED=FALS","E&amp;VAR:CALENDAR=FIVEDAY&amp;VAR:SYMBOL=554197&amp;VAR:INDEX=0"}</definedName>
    <definedName name="_665__FDSAUDITLINK___1" hidden="1">{"fdsup://directions/FAT Viewer?action=UPDATE&amp;creator=factset&amp;DYN_ARGS=TRUE&amp;DOC_NAME=FAT:FQL_AUDITING_CLIENT_TEMPLATE.FAT&amp;display_string=Audit&amp;VAR:KEY=SHMBGBMNMR&amp;VAR:QUERY=RkZfQ0FQRVgoQU5OLDIwMTAp&amp;WINDOW=FIRST_POPUP&amp;HEIGHT=450&amp;WIDTH=450&amp;START_MAXIMIZED=FALS","E&amp;VAR:CALENDAR=FIVEDAY&amp;VAR:SYMBOL=554197&amp;VAR:INDEX=0"}</definedName>
    <definedName name="_666__FDSAUDITLINK__" localSheetId="8" hidden="1">{"fdsup://directions/FAT Viewer?action=UPDATE&amp;creator=factset&amp;DYN_ARGS=TRUE&amp;DOC_NAME=FAT:FQL_AUDITING_CLIENT_TEMPLATE.FAT&amp;display_string=Audit&amp;VAR:KEY=IDCLUJOBKF&amp;VAR:QUERY=RkZfTkVUX0lOQyhBTk4sMjAwOSk=&amp;WINDOW=FIRST_POPUP&amp;HEIGHT=450&amp;WIDTH=450&amp;START_MAXIMIZED=","FALSE&amp;VAR:CALENDAR=FIVEDAY&amp;VAR:SYMBOL=554197&amp;VAR:INDEX=0"}</definedName>
    <definedName name="_666__FDSAUDITLINK__" hidden="1">{"fdsup://directions/FAT Viewer?action=UPDATE&amp;creator=factset&amp;DYN_ARGS=TRUE&amp;DOC_NAME=FAT:FQL_AUDITING_CLIENT_TEMPLATE.FAT&amp;display_string=Audit&amp;VAR:KEY=IDCLUJOBKF&amp;VAR:QUERY=RkZfTkVUX0lOQyhBTk4sMjAwOSk=&amp;WINDOW=FIRST_POPUP&amp;HEIGHT=450&amp;WIDTH=450&amp;START_MAXIMIZED=","FALSE&amp;VAR:CALENDAR=FIVEDAY&amp;VAR:SYMBOL=554197&amp;VAR:INDEX=0"}</definedName>
    <definedName name="_666__FDSAUDITLINK___1" localSheetId="8" hidden="1">{"fdsup://directions/FAT Viewer?action=UPDATE&amp;creator=factset&amp;DYN_ARGS=TRUE&amp;DOC_NAME=FAT:FQL_AUDITING_CLIENT_TEMPLATE.FAT&amp;display_string=Audit&amp;VAR:KEY=IDCLUJOBKF&amp;VAR:QUERY=RkZfTkVUX0lOQyhBTk4sMjAwOSk=&amp;WINDOW=FIRST_POPUP&amp;HEIGHT=450&amp;WIDTH=450&amp;START_MAXIMIZED=","FALSE&amp;VAR:CALENDAR=FIVEDAY&amp;VAR:SYMBOL=554197&amp;VAR:INDEX=0"}</definedName>
    <definedName name="_666__FDSAUDITLINK___1" hidden="1">{"fdsup://directions/FAT Viewer?action=UPDATE&amp;creator=factset&amp;DYN_ARGS=TRUE&amp;DOC_NAME=FAT:FQL_AUDITING_CLIENT_TEMPLATE.FAT&amp;display_string=Audit&amp;VAR:KEY=IDCLUJOBKF&amp;VAR:QUERY=RkZfTkVUX0lOQyhBTk4sMjAwOSk=&amp;WINDOW=FIRST_POPUP&amp;HEIGHT=450&amp;WIDTH=450&amp;START_MAXIMIZED=","FALSE&amp;VAR:CALENDAR=FIVEDAY&amp;VAR:SYMBOL=554197&amp;VAR:INDEX=0"}</definedName>
    <definedName name="_667__FDSAUDITLINK__" localSheetId="8" hidden="1">{"fdsup://directions/FAT Viewer?action=UPDATE&amp;creator=factset&amp;DYN_ARGS=TRUE&amp;DOC_NAME=FAT:FQL_AUDITING_CLIENT_TEMPLATE.FAT&amp;display_string=Audit&amp;VAR:KEY=DMHERQHILU&amp;VAR:QUERY=RkZfTkVUX0lOQyhBTk4sMjAxMSk=&amp;WINDOW=FIRST_POPUP&amp;HEIGHT=450&amp;WIDTH=450&amp;START_MAXIMIZED=","FALSE&amp;VAR:CALENDAR=FIVEDAY&amp;VAR:SYMBOL=554197&amp;VAR:INDEX=0"}</definedName>
    <definedName name="_667__FDSAUDITLINK__" hidden="1">{"fdsup://directions/FAT Viewer?action=UPDATE&amp;creator=factset&amp;DYN_ARGS=TRUE&amp;DOC_NAME=FAT:FQL_AUDITING_CLIENT_TEMPLATE.FAT&amp;display_string=Audit&amp;VAR:KEY=DMHERQHILU&amp;VAR:QUERY=RkZfTkVUX0lOQyhBTk4sMjAxMSk=&amp;WINDOW=FIRST_POPUP&amp;HEIGHT=450&amp;WIDTH=450&amp;START_MAXIMIZED=","FALSE&amp;VAR:CALENDAR=FIVEDAY&amp;VAR:SYMBOL=554197&amp;VAR:INDEX=0"}</definedName>
    <definedName name="_667__FDSAUDITLINK___1" localSheetId="8" hidden="1">{"fdsup://directions/FAT Viewer?action=UPDATE&amp;creator=factset&amp;DYN_ARGS=TRUE&amp;DOC_NAME=FAT:FQL_AUDITING_CLIENT_TEMPLATE.FAT&amp;display_string=Audit&amp;VAR:KEY=DMHERQHILU&amp;VAR:QUERY=RkZfTkVUX0lOQyhBTk4sMjAxMSk=&amp;WINDOW=FIRST_POPUP&amp;HEIGHT=450&amp;WIDTH=450&amp;START_MAXIMIZED=","FALSE&amp;VAR:CALENDAR=FIVEDAY&amp;VAR:SYMBOL=554197&amp;VAR:INDEX=0"}</definedName>
    <definedName name="_667__FDSAUDITLINK___1" hidden="1">{"fdsup://directions/FAT Viewer?action=UPDATE&amp;creator=factset&amp;DYN_ARGS=TRUE&amp;DOC_NAME=FAT:FQL_AUDITING_CLIENT_TEMPLATE.FAT&amp;display_string=Audit&amp;VAR:KEY=DMHERQHILU&amp;VAR:QUERY=RkZfTkVUX0lOQyhBTk4sMjAxMSk=&amp;WINDOW=FIRST_POPUP&amp;HEIGHT=450&amp;WIDTH=450&amp;START_MAXIMIZED=","FALSE&amp;VAR:CALENDAR=FIVEDAY&amp;VAR:SYMBOL=554197&amp;VAR:INDEX=0"}</definedName>
    <definedName name="_668__FDSAUDITLINK__" localSheetId="8" hidden="1">{"fdsup://directions/FAT Viewer?action=UPDATE&amp;creator=factset&amp;DYN_ARGS=TRUE&amp;DOC_NAME=FAT:FQL_AUDITING_CLIENT_TEMPLATE.FAT&amp;display_string=Audit&amp;VAR:KEY=WLSFIRIBSL&amp;VAR:QUERY=RkZfRU5UUlBSX1ZBTF9EQUlMWSgwLCwsLCwnRElMJyk=&amp;WINDOW=FIRST_POPUP&amp;HEIGHT=450&amp;WIDTH=450&amp;","START_MAXIMIZED=FALSE&amp;VAR:CALENDAR=FIVEDAY&amp;VAR:SYMBOL=594431&amp;VAR:INDEX=0"}</definedName>
    <definedName name="_668__FDSAUDITLINK__" hidden="1">{"fdsup://directions/FAT Viewer?action=UPDATE&amp;creator=factset&amp;DYN_ARGS=TRUE&amp;DOC_NAME=FAT:FQL_AUDITING_CLIENT_TEMPLATE.FAT&amp;display_string=Audit&amp;VAR:KEY=WLSFIRIBSL&amp;VAR:QUERY=RkZfRU5UUlBSX1ZBTF9EQUlMWSgwLCwsLCwnRElMJyk=&amp;WINDOW=FIRST_POPUP&amp;HEIGHT=450&amp;WIDTH=450&amp;","START_MAXIMIZED=FALSE&amp;VAR:CALENDAR=FIVEDAY&amp;VAR:SYMBOL=594431&amp;VAR:INDEX=0"}</definedName>
    <definedName name="_668__FDSAUDITLINK___1" localSheetId="8" hidden="1">{"fdsup://directions/FAT Viewer?action=UPDATE&amp;creator=factset&amp;DYN_ARGS=TRUE&amp;DOC_NAME=FAT:FQL_AUDITING_CLIENT_TEMPLATE.FAT&amp;display_string=Audit&amp;VAR:KEY=WLSFIRIBSL&amp;VAR:QUERY=RkZfRU5UUlBSX1ZBTF9EQUlMWSgwLCwsLCwnRElMJyk=&amp;WINDOW=FIRST_POPUP&amp;HEIGHT=450&amp;WIDTH=450&amp;","START_MAXIMIZED=FALSE&amp;VAR:CALENDAR=FIVEDAY&amp;VAR:SYMBOL=594431&amp;VAR:INDEX=0"}</definedName>
    <definedName name="_668__FDSAUDITLINK___1" hidden="1">{"fdsup://directions/FAT Viewer?action=UPDATE&amp;creator=factset&amp;DYN_ARGS=TRUE&amp;DOC_NAME=FAT:FQL_AUDITING_CLIENT_TEMPLATE.FAT&amp;display_string=Audit&amp;VAR:KEY=WLSFIRIBSL&amp;VAR:QUERY=RkZfRU5UUlBSX1ZBTF9EQUlMWSgwLCwsLCwnRElMJyk=&amp;WINDOW=FIRST_POPUP&amp;HEIGHT=450&amp;WIDTH=450&amp;","START_MAXIMIZED=FALSE&amp;VAR:CALENDAR=FIVEDAY&amp;VAR:SYMBOL=594431&amp;VAR:INDEX=0"}</definedName>
    <definedName name="_669__FDSAUDITLINK__" localSheetId="8" hidden="1">{"fdsup://Directions/FactSet Auditing Viewer?action=AUDIT_VALUE&amp;DB=129&amp;ID1=594431&amp;VALUEID=01001&amp;SDATE=2008&amp;PERIODTYPE=ANN_STD&amp;SCFT=3&amp;window=popup_no_bar&amp;width=385&amp;height=120&amp;START_MAXIMIZED=FALSE&amp;creator=factset&amp;display_string=Audit"}</definedName>
    <definedName name="_669__FDSAUDITLINK__" hidden="1">{"fdsup://Directions/FactSet Auditing Viewer?action=AUDIT_VALUE&amp;DB=129&amp;ID1=594431&amp;VALUEID=01001&amp;SDATE=2008&amp;PERIODTYPE=ANN_STD&amp;SCFT=3&amp;window=popup_no_bar&amp;width=385&amp;height=120&amp;START_MAXIMIZED=FALSE&amp;creator=factset&amp;display_string=Audit"}</definedName>
    <definedName name="_669__FDSAUDITLINK___1" localSheetId="8" hidden="1">{"fdsup://Directions/FactSet Auditing Viewer?action=AUDIT_VALUE&amp;DB=129&amp;ID1=594431&amp;VALUEID=01001&amp;SDATE=2008&amp;PERIODTYPE=ANN_STD&amp;SCFT=3&amp;window=popup_no_bar&amp;width=385&amp;height=120&amp;START_MAXIMIZED=FALSE&amp;creator=factset&amp;display_string=Audit"}</definedName>
    <definedName name="_669__FDSAUDITLINK___1" hidden="1">{"fdsup://Directions/FactSet Auditing Viewer?action=AUDIT_VALUE&amp;DB=129&amp;ID1=594431&amp;VALUEID=01001&amp;SDATE=2008&amp;PERIODTYPE=ANN_STD&amp;SCFT=3&amp;window=popup_no_bar&amp;width=385&amp;height=120&amp;START_MAXIMIZED=FALSE&amp;creator=factset&amp;display_string=Audit"}</definedName>
    <definedName name="_67__123Graph_DCHART_11" localSheetId="8" hidden="1">#REF!</definedName>
    <definedName name="_67__123Graph_DCHART_11" hidden="1">#REF!</definedName>
    <definedName name="_67__123Graph_LBL_BCHART_11" hidden="1">#REF!</definedName>
    <definedName name="_67__FDSAUDITLINK__" localSheetId="8" hidden="1">{"fdsup://directions/FAT Viewer?action=UPDATE&amp;creator=factset&amp;DYN_ARGS=TRUE&amp;DOC_NAME=FAT:FQL_AUDITING_CLIENT_TEMPLATE.FAT&amp;display_string=Audit&amp;VAR:KEY=VSJYBMPMJW&amp;VAR:QUERY=RkZfRUJJVF9JQignQU5OJywzNjE2MCwsLCwnR0JQJyk=&amp;WINDOW=FIRST_POPUP&amp;HEIGHT=450&amp;WIDTH=450&amp;","START_MAXIMIZED=FALSE&amp;VAR:CALENDAR=FIVEDAY&amp;VAR:SYMBOL=011827&amp;VAR:INDEX=0"}</definedName>
    <definedName name="_67__FDSAUDITLINK__" hidden="1">{"fdsup://directions/FAT Viewer?action=UPDATE&amp;creator=factset&amp;DYN_ARGS=TRUE&amp;DOC_NAME=FAT:FQL_AUDITING_CLIENT_TEMPLATE.FAT&amp;display_string=Audit&amp;VAR:KEY=QFIBQLMRMZ&amp;VAR:QUERY=RkZfRUJJVERBX09QRVIoQ0FMLDIwMDkp&amp;WINDOW=FIRST_POPUP&amp;HEIGHT=450&amp;WIDTH=450&amp;START_MAXIMI","ZED=FALSE&amp;VAR:CALENDAR=US&amp;VAR:SYMBOL=EXP&amp;VAR:INDEX=0"}</definedName>
    <definedName name="_67__FDSAUDITLINK___1" localSheetId="8" hidden="1">{"fdsup://directions/FAT Viewer?action=UPDATE&amp;creator=factset&amp;DYN_ARGS=TRUE&amp;DOC_NAME=FAT:FQL_AUDITING_CLIENT_TEMPLATE.FAT&amp;display_string=Audit&amp;VAR:KEY=VSJYBMPMJW&amp;VAR:QUERY=RkZfRUJJVF9JQignQU5OJywzNjE2MCwsLCwnR0JQJyk=&amp;WINDOW=FIRST_POPUP&amp;HEIGHT=450&amp;WIDTH=450&amp;","START_MAXIMIZED=FALSE&amp;VAR:CALENDAR=FIVEDAY&amp;VAR:SYMBOL=011827&amp;VAR:INDEX=0"}</definedName>
    <definedName name="_67__FDSAUDITLINK___1" hidden="1">{"fdsup://directions/FAT Viewer?action=UPDATE&amp;creator=factset&amp;DYN_ARGS=TRUE&amp;DOC_NAME=FAT:FQL_AUDITING_CLIENT_TEMPLATE.FAT&amp;display_string=Audit&amp;VAR:KEY=VSJYBMPMJW&amp;VAR:QUERY=RkZfRUJJVF9JQignQU5OJywzNjE2MCwsLCwnR0JQJyk=&amp;WINDOW=FIRST_POPUP&amp;HEIGHT=450&amp;WIDTH=450&amp;","START_MAXIMIZED=FALSE&amp;VAR:CALENDAR=FIVEDAY&amp;VAR:SYMBOL=011827&amp;VAR:INDEX=0"}</definedName>
    <definedName name="_670__FDSAUDITLINK__" localSheetId="8" hidden="1">{"fdsup://Directions/FactSet Auditing Viewer?action=AUDIT_VALUE&amp;DB=129&amp;ID1=594431&amp;VALUEID=01001&amp;SDATE=2010&amp;PERIODTYPE=ANN_STD&amp;SCFT=3&amp;window=popup_no_bar&amp;width=385&amp;height=120&amp;START_MAXIMIZED=FALSE&amp;creator=factset&amp;display_string=Audit"}</definedName>
    <definedName name="_670__FDSAUDITLINK__" hidden="1">{"fdsup://Directions/FactSet Auditing Viewer?action=AUDIT_VALUE&amp;DB=129&amp;ID1=594431&amp;VALUEID=01001&amp;SDATE=2010&amp;PERIODTYPE=ANN_STD&amp;SCFT=3&amp;window=popup_no_bar&amp;width=385&amp;height=120&amp;START_MAXIMIZED=FALSE&amp;creator=factset&amp;display_string=Audit"}</definedName>
    <definedName name="_670__FDSAUDITLINK___1" localSheetId="8" hidden="1">{"fdsup://Directions/FactSet Auditing Viewer?action=AUDIT_VALUE&amp;DB=129&amp;ID1=594431&amp;VALUEID=01001&amp;SDATE=2010&amp;PERIODTYPE=ANN_STD&amp;SCFT=3&amp;window=popup_no_bar&amp;width=385&amp;height=120&amp;START_MAXIMIZED=FALSE&amp;creator=factset&amp;display_string=Audit"}</definedName>
    <definedName name="_670__FDSAUDITLINK___1" hidden="1">{"fdsup://Directions/FactSet Auditing Viewer?action=AUDIT_VALUE&amp;DB=129&amp;ID1=594431&amp;VALUEID=01001&amp;SDATE=2010&amp;PERIODTYPE=ANN_STD&amp;SCFT=3&amp;window=popup_no_bar&amp;width=385&amp;height=120&amp;START_MAXIMIZED=FALSE&amp;creator=factset&amp;display_string=Audit"}</definedName>
    <definedName name="_671__FDSAUDITLINK__" localSheetId="8" hidden="1">{"fdsup://directions/FAT Viewer?action=UPDATE&amp;creator=factset&amp;DYN_ARGS=TRUE&amp;DOC_NAME=FAT:FQL_AUDITING_CLIENT_TEMPLATE.FAT&amp;display_string=Audit&amp;VAR:KEY=YZIRUVQVEN&amp;VAR:QUERY=RkZfRUJJVERBX09QRVIoQU5OLDIwMDkp&amp;WINDOW=FIRST_POPUP&amp;HEIGHT=450&amp;WIDTH=450&amp;START_MAXIMI","ZED=FALSE&amp;VAR:CALENDAR=FIVEDAY&amp;VAR:SYMBOL=594431&amp;VAR:INDEX=0"}</definedName>
    <definedName name="_671__FDSAUDITLINK__" hidden="1">{"fdsup://directions/FAT Viewer?action=UPDATE&amp;creator=factset&amp;DYN_ARGS=TRUE&amp;DOC_NAME=FAT:FQL_AUDITING_CLIENT_TEMPLATE.FAT&amp;display_string=Audit&amp;VAR:KEY=YZIRUVQVEN&amp;VAR:QUERY=RkZfRUJJVERBX09QRVIoQU5OLDIwMDkp&amp;WINDOW=FIRST_POPUP&amp;HEIGHT=450&amp;WIDTH=450&amp;START_MAXIMI","ZED=FALSE&amp;VAR:CALENDAR=FIVEDAY&amp;VAR:SYMBOL=594431&amp;VAR:INDEX=0"}</definedName>
    <definedName name="_671__FDSAUDITLINK___1" localSheetId="8" hidden="1">{"fdsup://directions/FAT Viewer?action=UPDATE&amp;creator=factset&amp;DYN_ARGS=TRUE&amp;DOC_NAME=FAT:FQL_AUDITING_CLIENT_TEMPLATE.FAT&amp;display_string=Audit&amp;VAR:KEY=YZIRUVQVEN&amp;VAR:QUERY=RkZfRUJJVERBX09QRVIoQU5OLDIwMDkp&amp;WINDOW=FIRST_POPUP&amp;HEIGHT=450&amp;WIDTH=450&amp;START_MAXIMI","ZED=FALSE&amp;VAR:CALENDAR=FIVEDAY&amp;VAR:SYMBOL=594431&amp;VAR:INDEX=0"}</definedName>
    <definedName name="_671__FDSAUDITLINK___1" hidden="1">{"fdsup://directions/FAT Viewer?action=UPDATE&amp;creator=factset&amp;DYN_ARGS=TRUE&amp;DOC_NAME=FAT:FQL_AUDITING_CLIENT_TEMPLATE.FAT&amp;display_string=Audit&amp;VAR:KEY=YZIRUVQVEN&amp;VAR:QUERY=RkZfRUJJVERBX09QRVIoQU5OLDIwMDkp&amp;WINDOW=FIRST_POPUP&amp;HEIGHT=450&amp;WIDTH=450&amp;START_MAXIMI","ZED=FALSE&amp;VAR:CALENDAR=FIVEDAY&amp;VAR:SYMBOL=594431&amp;VAR:INDEX=0"}</definedName>
    <definedName name="_672__FDSAUDITLINK__" localSheetId="8" hidden="1">{"fdsup://directions/FAT Viewer?action=UPDATE&amp;creator=factset&amp;DYN_ARGS=TRUE&amp;DOC_NAME=FAT:FQL_AUDITING_CLIENT_TEMPLATE.FAT&amp;display_string=Audit&amp;VAR:KEY=CJEHKZIPOH&amp;VAR:QUERY=RkZfRUJJVERBX09QRVIoQU5OLDIwMTEp&amp;WINDOW=FIRST_POPUP&amp;HEIGHT=450&amp;WIDTH=450&amp;START_MAXIMI","ZED=FALSE&amp;VAR:CALENDAR=FIVEDAY&amp;VAR:SYMBOL=594431&amp;VAR:INDEX=0"}</definedName>
    <definedName name="_672__FDSAUDITLINK__" hidden="1">{"fdsup://directions/FAT Viewer?action=UPDATE&amp;creator=factset&amp;DYN_ARGS=TRUE&amp;DOC_NAME=FAT:FQL_AUDITING_CLIENT_TEMPLATE.FAT&amp;display_string=Audit&amp;VAR:KEY=CJEHKZIPOH&amp;VAR:QUERY=RkZfRUJJVERBX09QRVIoQU5OLDIwMTEp&amp;WINDOW=FIRST_POPUP&amp;HEIGHT=450&amp;WIDTH=450&amp;START_MAXIMI","ZED=FALSE&amp;VAR:CALENDAR=FIVEDAY&amp;VAR:SYMBOL=594431&amp;VAR:INDEX=0"}</definedName>
    <definedName name="_672__FDSAUDITLINK___1" localSheetId="8" hidden="1">{"fdsup://directions/FAT Viewer?action=UPDATE&amp;creator=factset&amp;DYN_ARGS=TRUE&amp;DOC_NAME=FAT:FQL_AUDITING_CLIENT_TEMPLATE.FAT&amp;display_string=Audit&amp;VAR:KEY=CJEHKZIPOH&amp;VAR:QUERY=RkZfRUJJVERBX09QRVIoQU5OLDIwMTEp&amp;WINDOW=FIRST_POPUP&amp;HEIGHT=450&amp;WIDTH=450&amp;START_MAXIMI","ZED=FALSE&amp;VAR:CALENDAR=FIVEDAY&amp;VAR:SYMBOL=594431&amp;VAR:INDEX=0"}</definedName>
    <definedName name="_672__FDSAUDITLINK___1" hidden="1">{"fdsup://directions/FAT Viewer?action=UPDATE&amp;creator=factset&amp;DYN_ARGS=TRUE&amp;DOC_NAME=FAT:FQL_AUDITING_CLIENT_TEMPLATE.FAT&amp;display_string=Audit&amp;VAR:KEY=CJEHKZIPOH&amp;VAR:QUERY=RkZfRUJJVERBX09QRVIoQU5OLDIwMTEp&amp;WINDOW=FIRST_POPUP&amp;HEIGHT=450&amp;WIDTH=450&amp;START_MAXIMI","ZED=FALSE&amp;VAR:CALENDAR=FIVEDAY&amp;VAR:SYMBOL=594431&amp;VAR:INDEX=0"}</definedName>
    <definedName name="_673__FDSAUDITLINK__" localSheetId="8" hidden="1">{"fdsup://directions/FAT Viewer?action=UPDATE&amp;creator=factset&amp;DYN_ARGS=TRUE&amp;DOC_NAME=FAT:FQL_AUDITING_CLIENT_TEMPLATE.FAT&amp;display_string=Audit&amp;VAR:KEY=LYJSZKNMZC&amp;VAR:QUERY=RkZfRUJJVF9PUEVSKEFOTiwyMDA4KQ==&amp;WINDOW=FIRST_POPUP&amp;HEIGHT=450&amp;WIDTH=450&amp;START_MAXIMI","ZED=FALSE&amp;VAR:CALENDAR=FIVEDAY&amp;VAR:SYMBOL=594431&amp;VAR:INDEX=0"}</definedName>
    <definedName name="_673__FDSAUDITLINK__" hidden="1">{"fdsup://directions/FAT Viewer?action=UPDATE&amp;creator=factset&amp;DYN_ARGS=TRUE&amp;DOC_NAME=FAT:FQL_AUDITING_CLIENT_TEMPLATE.FAT&amp;display_string=Audit&amp;VAR:KEY=LYJSZKNMZC&amp;VAR:QUERY=RkZfRUJJVF9PUEVSKEFOTiwyMDA4KQ==&amp;WINDOW=FIRST_POPUP&amp;HEIGHT=450&amp;WIDTH=450&amp;START_MAXIMI","ZED=FALSE&amp;VAR:CALENDAR=FIVEDAY&amp;VAR:SYMBOL=594431&amp;VAR:INDEX=0"}</definedName>
    <definedName name="_673__FDSAUDITLINK___1" localSheetId="8" hidden="1">{"fdsup://directions/FAT Viewer?action=UPDATE&amp;creator=factset&amp;DYN_ARGS=TRUE&amp;DOC_NAME=FAT:FQL_AUDITING_CLIENT_TEMPLATE.FAT&amp;display_string=Audit&amp;VAR:KEY=LYJSZKNMZC&amp;VAR:QUERY=RkZfRUJJVF9PUEVSKEFOTiwyMDA4KQ==&amp;WINDOW=FIRST_POPUP&amp;HEIGHT=450&amp;WIDTH=450&amp;START_MAXIMI","ZED=FALSE&amp;VAR:CALENDAR=FIVEDAY&amp;VAR:SYMBOL=594431&amp;VAR:INDEX=0"}</definedName>
    <definedName name="_673__FDSAUDITLINK___1" hidden="1">{"fdsup://directions/FAT Viewer?action=UPDATE&amp;creator=factset&amp;DYN_ARGS=TRUE&amp;DOC_NAME=FAT:FQL_AUDITING_CLIENT_TEMPLATE.FAT&amp;display_string=Audit&amp;VAR:KEY=LYJSZKNMZC&amp;VAR:QUERY=RkZfRUJJVF9PUEVSKEFOTiwyMDA4KQ==&amp;WINDOW=FIRST_POPUP&amp;HEIGHT=450&amp;WIDTH=450&amp;START_MAXIMI","ZED=FALSE&amp;VAR:CALENDAR=FIVEDAY&amp;VAR:SYMBOL=594431&amp;VAR:INDEX=0"}</definedName>
    <definedName name="_674__FDSAUDITLINK__" localSheetId="8" hidden="1">{"fdsup://directions/FAT Viewer?action=UPDATE&amp;creator=factset&amp;DYN_ARGS=TRUE&amp;DOC_NAME=FAT:FQL_AUDITING_CLIENT_TEMPLATE.FAT&amp;display_string=Audit&amp;VAR:KEY=UBYNAXQVCR&amp;VAR:QUERY=RkZfRUJJVF9PUEVSKEFOTiwyMDEwKQ==&amp;WINDOW=FIRST_POPUP&amp;HEIGHT=450&amp;WIDTH=450&amp;START_MAXIMI","ZED=FALSE&amp;VAR:CALENDAR=FIVEDAY&amp;VAR:SYMBOL=594431&amp;VAR:INDEX=0"}</definedName>
    <definedName name="_674__FDSAUDITLINK__" hidden="1">{"fdsup://directions/FAT Viewer?action=UPDATE&amp;creator=factset&amp;DYN_ARGS=TRUE&amp;DOC_NAME=FAT:FQL_AUDITING_CLIENT_TEMPLATE.FAT&amp;display_string=Audit&amp;VAR:KEY=UBYNAXQVCR&amp;VAR:QUERY=RkZfRUJJVF9PUEVSKEFOTiwyMDEwKQ==&amp;WINDOW=FIRST_POPUP&amp;HEIGHT=450&amp;WIDTH=450&amp;START_MAXIMI","ZED=FALSE&amp;VAR:CALENDAR=FIVEDAY&amp;VAR:SYMBOL=594431&amp;VAR:INDEX=0"}</definedName>
    <definedName name="_674__FDSAUDITLINK___1" localSheetId="8" hidden="1">{"fdsup://directions/FAT Viewer?action=UPDATE&amp;creator=factset&amp;DYN_ARGS=TRUE&amp;DOC_NAME=FAT:FQL_AUDITING_CLIENT_TEMPLATE.FAT&amp;display_string=Audit&amp;VAR:KEY=UBYNAXQVCR&amp;VAR:QUERY=RkZfRUJJVF9PUEVSKEFOTiwyMDEwKQ==&amp;WINDOW=FIRST_POPUP&amp;HEIGHT=450&amp;WIDTH=450&amp;START_MAXIMI","ZED=FALSE&amp;VAR:CALENDAR=FIVEDAY&amp;VAR:SYMBOL=594431&amp;VAR:INDEX=0"}</definedName>
    <definedName name="_674__FDSAUDITLINK___1" hidden="1">{"fdsup://directions/FAT Viewer?action=UPDATE&amp;creator=factset&amp;DYN_ARGS=TRUE&amp;DOC_NAME=FAT:FQL_AUDITING_CLIENT_TEMPLATE.FAT&amp;display_string=Audit&amp;VAR:KEY=UBYNAXQVCR&amp;VAR:QUERY=RkZfRUJJVF9PUEVSKEFOTiwyMDEwKQ==&amp;WINDOW=FIRST_POPUP&amp;HEIGHT=450&amp;WIDTH=450&amp;START_MAXIMI","ZED=FALSE&amp;VAR:CALENDAR=FIVEDAY&amp;VAR:SYMBOL=594431&amp;VAR:INDEX=0"}</definedName>
    <definedName name="_675__FDSAUDITLINK__" localSheetId="8" hidden="1">{"fdsup://directions/FAT Viewer?action=UPDATE&amp;creator=factset&amp;DYN_ARGS=TRUE&amp;DOC_NAME=FAT:FQL_AUDITING_CLIENT_TEMPLATE.FAT&amp;display_string=Audit&amp;VAR:KEY=ZIBSFYHAZW&amp;VAR:QUERY=RkZfQ0FQRVgoQU5OLDIwMDkp&amp;WINDOW=FIRST_POPUP&amp;HEIGHT=450&amp;WIDTH=450&amp;START_MAXIMIZED=FALS","E&amp;VAR:CALENDAR=FIVEDAY&amp;VAR:SYMBOL=594431&amp;VAR:INDEX=0"}</definedName>
    <definedName name="_675__FDSAUDITLINK__" hidden="1">{"fdsup://directions/FAT Viewer?action=UPDATE&amp;creator=factset&amp;DYN_ARGS=TRUE&amp;DOC_NAME=FAT:FQL_AUDITING_CLIENT_TEMPLATE.FAT&amp;display_string=Audit&amp;VAR:KEY=ZIBSFYHAZW&amp;VAR:QUERY=RkZfQ0FQRVgoQU5OLDIwMDkp&amp;WINDOW=FIRST_POPUP&amp;HEIGHT=450&amp;WIDTH=450&amp;START_MAXIMIZED=FALS","E&amp;VAR:CALENDAR=FIVEDAY&amp;VAR:SYMBOL=594431&amp;VAR:INDEX=0"}</definedName>
    <definedName name="_675__FDSAUDITLINK___1" localSheetId="8" hidden="1">{"fdsup://directions/FAT Viewer?action=UPDATE&amp;creator=factset&amp;DYN_ARGS=TRUE&amp;DOC_NAME=FAT:FQL_AUDITING_CLIENT_TEMPLATE.FAT&amp;display_string=Audit&amp;VAR:KEY=ZIBSFYHAZW&amp;VAR:QUERY=RkZfQ0FQRVgoQU5OLDIwMDkp&amp;WINDOW=FIRST_POPUP&amp;HEIGHT=450&amp;WIDTH=450&amp;START_MAXIMIZED=FALS","E&amp;VAR:CALENDAR=FIVEDAY&amp;VAR:SYMBOL=594431&amp;VAR:INDEX=0"}</definedName>
    <definedName name="_675__FDSAUDITLINK___1" hidden="1">{"fdsup://directions/FAT Viewer?action=UPDATE&amp;creator=factset&amp;DYN_ARGS=TRUE&amp;DOC_NAME=FAT:FQL_AUDITING_CLIENT_TEMPLATE.FAT&amp;display_string=Audit&amp;VAR:KEY=ZIBSFYHAZW&amp;VAR:QUERY=RkZfQ0FQRVgoQU5OLDIwMDkp&amp;WINDOW=FIRST_POPUP&amp;HEIGHT=450&amp;WIDTH=450&amp;START_MAXIMIZED=FALS","E&amp;VAR:CALENDAR=FIVEDAY&amp;VAR:SYMBOL=594431&amp;VAR:INDEX=0"}</definedName>
    <definedName name="_676__FDSAUDITLINK__" localSheetId="8" hidden="1">{"fdsup://directions/FAT Viewer?action=UPDATE&amp;creator=factset&amp;DYN_ARGS=TRUE&amp;DOC_NAME=FAT:FQL_AUDITING_CLIENT_TEMPLATE.FAT&amp;display_string=Audit&amp;VAR:KEY=JQBGPOZKRW&amp;VAR:QUERY=RkZfQ0FQRVgoQU5OLDIwMTEp&amp;WINDOW=FIRST_POPUP&amp;HEIGHT=450&amp;WIDTH=450&amp;START_MAXIMIZED=FALS","E&amp;VAR:CALENDAR=FIVEDAY&amp;VAR:SYMBOL=594431&amp;VAR:INDEX=0"}</definedName>
    <definedName name="_676__FDSAUDITLINK__" hidden="1">{"fdsup://directions/FAT Viewer?action=UPDATE&amp;creator=factset&amp;DYN_ARGS=TRUE&amp;DOC_NAME=FAT:FQL_AUDITING_CLIENT_TEMPLATE.FAT&amp;display_string=Audit&amp;VAR:KEY=JQBGPOZKRW&amp;VAR:QUERY=RkZfQ0FQRVgoQU5OLDIwMTEp&amp;WINDOW=FIRST_POPUP&amp;HEIGHT=450&amp;WIDTH=450&amp;START_MAXIMIZED=FALS","E&amp;VAR:CALENDAR=FIVEDAY&amp;VAR:SYMBOL=594431&amp;VAR:INDEX=0"}</definedName>
    <definedName name="_676__FDSAUDITLINK___1" localSheetId="8" hidden="1">{"fdsup://directions/FAT Viewer?action=UPDATE&amp;creator=factset&amp;DYN_ARGS=TRUE&amp;DOC_NAME=FAT:FQL_AUDITING_CLIENT_TEMPLATE.FAT&amp;display_string=Audit&amp;VAR:KEY=JQBGPOZKRW&amp;VAR:QUERY=RkZfQ0FQRVgoQU5OLDIwMTEp&amp;WINDOW=FIRST_POPUP&amp;HEIGHT=450&amp;WIDTH=450&amp;START_MAXIMIZED=FALS","E&amp;VAR:CALENDAR=FIVEDAY&amp;VAR:SYMBOL=594431&amp;VAR:INDEX=0"}</definedName>
    <definedName name="_676__FDSAUDITLINK___1" hidden="1">{"fdsup://directions/FAT Viewer?action=UPDATE&amp;creator=factset&amp;DYN_ARGS=TRUE&amp;DOC_NAME=FAT:FQL_AUDITING_CLIENT_TEMPLATE.FAT&amp;display_string=Audit&amp;VAR:KEY=JQBGPOZKRW&amp;VAR:QUERY=RkZfQ0FQRVgoQU5OLDIwMTEp&amp;WINDOW=FIRST_POPUP&amp;HEIGHT=450&amp;WIDTH=450&amp;START_MAXIMIZED=FALS","E&amp;VAR:CALENDAR=FIVEDAY&amp;VAR:SYMBOL=594431&amp;VAR:INDEX=0"}</definedName>
    <definedName name="_677__FDSAUDITLINK__" localSheetId="8" hidden="1">{"fdsup://directions/FAT Viewer?action=UPDATE&amp;creator=factset&amp;DYN_ARGS=TRUE&amp;DOC_NAME=FAT:FQL_AUDITING_CLIENT_TEMPLATE.FAT&amp;display_string=Audit&amp;VAR:KEY=CXQVILMFQH&amp;VAR:QUERY=RkZfTkVUX0lOQyhBTk4sMjAwOCk=&amp;WINDOW=FIRST_POPUP&amp;HEIGHT=450&amp;WIDTH=450&amp;START_MAXIMIZED=","FALSE&amp;VAR:CALENDAR=FIVEDAY&amp;VAR:SYMBOL=594431&amp;VAR:INDEX=0"}</definedName>
    <definedName name="_677__FDSAUDITLINK__" hidden="1">{"fdsup://directions/FAT Viewer?action=UPDATE&amp;creator=factset&amp;DYN_ARGS=TRUE&amp;DOC_NAME=FAT:FQL_AUDITING_CLIENT_TEMPLATE.FAT&amp;display_string=Audit&amp;VAR:KEY=CXQVILMFQH&amp;VAR:QUERY=RkZfTkVUX0lOQyhBTk4sMjAwOCk=&amp;WINDOW=FIRST_POPUP&amp;HEIGHT=450&amp;WIDTH=450&amp;START_MAXIMIZED=","FALSE&amp;VAR:CALENDAR=FIVEDAY&amp;VAR:SYMBOL=594431&amp;VAR:INDEX=0"}</definedName>
    <definedName name="_677__FDSAUDITLINK___1" localSheetId="8" hidden="1">{"fdsup://directions/FAT Viewer?action=UPDATE&amp;creator=factset&amp;DYN_ARGS=TRUE&amp;DOC_NAME=FAT:FQL_AUDITING_CLIENT_TEMPLATE.FAT&amp;display_string=Audit&amp;VAR:KEY=CXQVILMFQH&amp;VAR:QUERY=RkZfTkVUX0lOQyhBTk4sMjAwOCk=&amp;WINDOW=FIRST_POPUP&amp;HEIGHT=450&amp;WIDTH=450&amp;START_MAXIMIZED=","FALSE&amp;VAR:CALENDAR=FIVEDAY&amp;VAR:SYMBOL=594431&amp;VAR:INDEX=0"}</definedName>
    <definedName name="_677__FDSAUDITLINK___1" hidden="1">{"fdsup://directions/FAT Viewer?action=UPDATE&amp;creator=factset&amp;DYN_ARGS=TRUE&amp;DOC_NAME=FAT:FQL_AUDITING_CLIENT_TEMPLATE.FAT&amp;display_string=Audit&amp;VAR:KEY=CXQVILMFQH&amp;VAR:QUERY=RkZfTkVUX0lOQyhBTk4sMjAwOCk=&amp;WINDOW=FIRST_POPUP&amp;HEIGHT=450&amp;WIDTH=450&amp;START_MAXIMIZED=","FALSE&amp;VAR:CALENDAR=FIVEDAY&amp;VAR:SYMBOL=594431&amp;VAR:INDEX=0"}</definedName>
    <definedName name="_678__FDSAUDITLINK__" localSheetId="8" hidden="1">{"fdsup://directions/FAT Viewer?action=UPDATE&amp;creator=factset&amp;DYN_ARGS=TRUE&amp;DOC_NAME=FAT:FQL_AUDITING_CLIENT_TEMPLATE.FAT&amp;display_string=Audit&amp;VAR:KEY=YTSNKRGTUF&amp;VAR:QUERY=RkZfTkVUX0lOQyhBTk4sMjAxMCk=&amp;WINDOW=FIRST_POPUP&amp;HEIGHT=450&amp;WIDTH=450&amp;START_MAXIMIZED=","FALSE&amp;VAR:CALENDAR=FIVEDAY&amp;VAR:SYMBOL=594431&amp;VAR:INDEX=0"}</definedName>
    <definedName name="_678__FDSAUDITLINK__" hidden="1">{"fdsup://directions/FAT Viewer?action=UPDATE&amp;creator=factset&amp;DYN_ARGS=TRUE&amp;DOC_NAME=FAT:FQL_AUDITING_CLIENT_TEMPLATE.FAT&amp;display_string=Audit&amp;VAR:KEY=YTSNKRGTUF&amp;VAR:QUERY=RkZfTkVUX0lOQyhBTk4sMjAxMCk=&amp;WINDOW=FIRST_POPUP&amp;HEIGHT=450&amp;WIDTH=450&amp;START_MAXIMIZED=","FALSE&amp;VAR:CALENDAR=FIVEDAY&amp;VAR:SYMBOL=594431&amp;VAR:INDEX=0"}</definedName>
    <definedName name="_678__FDSAUDITLINK___1" localSheetId="8" hidden="1">{"fdsup://directions/FAT Viewer?action=UPDATE&amp;creator=factset&amp;DYN_ARGS=TRUE&amp;DOC_NAME=FAT:FQL_AUDITING_CLIENT_TEMPLATE.FAT&amp;display_string=Audit&amp;VAR:KEY=YTSNKRGTUF&amp;VAR:QUERY=RkZfTkVUX0lOQyhBTk4sMjAxMCk=&amp;WINDOW=FIRST_POPUP&amp;HEIGHT=450&amp;WIDTH=450&amp;START_MAXIMIZED=","FALSE&amp;VAR:CALENDAR=FIVEDAY&amp;VAR:SYMBOL=594431&amp;VAR:INDEX=0"}</definedName>
    <definedName name="_678__FDSAUDITLINK___1" hidden="1">{"fdsup://directions/FAT Viewer?action=UPDATE&amp;creator=factset&amp;DYN_ARGS=TRUE&amp;DOC_NAME=FAT:FQL_AUDITING_CLIENT_TEMPLATE.FAT&amp;display_string=Audit&amp;VAR:KEY=YTSNKRGTUF&amp;VAR:QUERY=RkZfTkVUX0lOQyhBTk4sMjAxMCk=&amp;WINDOW=FIRST_POPUP&amp;HEIGHT=450&amp;WIDTH=450&amp;START_MAXIMIZED=","FALSE&amp;VAR:CALENDAR=FIVEDAY&amp;VAR:SYMBOL=594431&amp;VAR:INDEX=0"}</definedName>
    <definedName name="_679__FDSAUDITLINK__" localSheetId="8" hidden="1">{"fdsup://Directions/FactSet Auditing Viewer?action=AUDIT_VALUE&amp;DB=129&amp;ID1=597229&amp;VALUEID=01001&amp;SDATE=2009&amp;PERIODTYPE=ANN_STD&amp;SCFT=3&amp;window=popup_no_bar&amp;width=385&amp;height=120&amp;START_MAXIMIZED=FALSE&amp;creator=factset&amp;display_string=Audit"}</definedName>
    <definedName name="_679__FDSAUDITLINK__" hidden="1">{"fdsup://Directions/FactSet Auditing Viewer?action=AUDIT_VALUE&amp;DB=129&amp;ID1=597229&amp;VALUEID=01001&amp;SDATE=2009&amp;PERIODTYPE=ANN_STD&amp;SCFT=3&amp;window=popup_no_bar&amp;width=385&amp;height=120&amp;START_MAXIMIZED=FALSE&amp;creator=factset&amp;display_string=Audit"}</definedName>
    <definedName name="_679__FDSAUDITLINK___1" localSheetId="8" hidden="1">{"fdsup://Directions/FactSet Auditing Viewer?action=AUDIT_VALUE&amp;DB=129&amp;ID1=597229&amp;VALUEID=01001&amp;SDATE=2009&amp;PERIODTYPE=ANN_STD&amp;SCFT=3&amp;window=popup_no_bar&amp;width=385&amp;height=120&amp;START_MAXIMIZED=FALSE&amp;creator=factset&amp;display_string=Audit"}</definedName>
    <definedName name="_679__FDSAUDITLINK___1" hidden="1">{"fdsup://Directions/FactSet Auditing Viewer?action=AUDIT_VALUE&amp;DB=129&amp;ID1=597229&amp;VALUEID=01001&amp;SDATE=2009&amp;PERIODTYPE=ANN_STD&amp;SCFT=3&amp;window=popup_no_bar&amp;width=385&amp;height=120&amp;START_MAXIMIZED=FALSE&amp;creator=factset&amp;display_string=Audit"}</definedName>
    <definedName name="_68__123Graph_DCHART_13" localSheetId="8" hidden="1">#REF!</definedName>
    <definedName name="_68__123Graph_DCHART_13" hidden="1">#REF!</definedName>
    <definedName name="_68__123Graph_LBL_BCHART_12" hidden="1">#REF!</definedName>
    <definedName name="_68__FDSAUDITLINK__" localSheetId="7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__FDSAUDITLINK__" localSheetId="8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__FDSAUDITLINK__" hidden="1">{"fdsup://directions/FAT Viewer?action=UPDATE&amp;creator=factset&amp;DYN_ARGS=TRUE&amp;DOC_NAME=FAT:FQL_AUDITING_CLIENT_TEMPLATE.FAT&amp;display_string=Audit&amp;VAR:KEY=WPCDKVWTYP&amp;VAR:QUERY=RkZfRUJJVF9PUEVSKENBTCwyMDExKQ==&amp;WINDOW=FIRST_POPUP&amp;HEIGHT=450&amp;WIDTH=450&amp;START_MAXIMI","ZED=FALSE&amp;VAR:CALENDAR=US&amp;VAR:SYMBOL=711075&amp;VAR:INDEX=0"}</definedName>
    <definedName name="_68__FDSAUDITLINK___1" localSheetId="8" hidden="1">{"fdsup://directions/FAT Viewer?action=UPDATE&amp;creator=factset&amp;DYN_ARGS=TRUE&amp;DOC_NAME=FAT:FQL_AUDITING_CLIENT_TEMPLATE.FAT&amp;display_string=Audit&amp;VAR:KEY=XUHUTOHCNC&amp;VAR:QUERY=RkZfRUJJVF9JQignQU5OJywzNTc5NSwsLCwnR0JQJyk=&amp;WINDOW=FIRST_POPUP&amp;HEIGHT=450&amp;WIDTH=450&amp;","START_MAXIMIZED=FALSE&amp;VAR:CALENDAR=FIVEDAY&amp;VAR:SYMBOL=011827&amp;VAR:INDEX=0"}</definedName>
    <definedName name="_68__FDSAUDITLINK___1" hidden="1">{"fdsup://directions/FAT Viewer?action=UPDATE&amp;creator=factset&amp;DYN_ARGS=TRUE&amp;DOC_NAME=FAT:FQL_AUDITING_CLIENT_TEMPLATE.FAT&amp;display_string=Audit&amp;VAR:KEY=XUHUTOHCNC&amp;VAR:QUERY=RkZfRUJJVF9JQignQU5OJywzNTc5NSwsLCwnR0JQJyk=&amp;WINDOW=FIRST_POPUP&amp;HEIGHT=450&amp;WIDTH=450&amp;","START_MAXIMIZED=FALSE&amp;VAR:CALENDAR=FIVEDAY&amp;VAR:SYMBOL=011827&amp;VAR:INDEX=0"}</definedName>
    <definedName name="_680__FDSAUDITLINK__" localSheetId="8" hidden="1">{"fdsup://Directions/FactSet Auditing Viewer?action=AUDIT_VALUE&amp;DB=129&amp;ID1=597229&amp;VALUEID=01001&amp;SDATE=2011&amp;PERIODTYPE=ANN_STD&amp;SCFT=3&amp;window=popup_no_bar&amp;width=385&amp;height=120&amp;START_MAXIMIZED=FALSE&amp;creator=factset&amp;display_string=Audit"}</definedName>
    <definedName name="_680__FDSAUDITLINK__" hidden="1">{"fdsup://Directions/FactSet Auditing Viewer?action=AUDIT_VALUE&amp;DB=129&amp;ID1=597229&amp;VALUEID=01001&amp;SDATE=2011&amp;PERIODTYPE=ANN_STD&amp;SCFT=3&amp;window=popup_no_bar&amp;width=385&amp;height=120&amp;START_MAXIMIZED=FALSE&amp;creator=factset&amp;display_string=Audit"}</definedName>
    <definedName name="_680__FDSAUDITLINK___1" localSheetId="8" hidden="1">{"fdsup://Directions/FactSet Auditing Viewer?action=AUDIT_VALUE&amp;DB=129&amp;ID1=597229&amp;VALUEID=01001&amp;SDATE=2011&amp;PERIODTYPE=ANN_STD&amp;SCFT=3&amp;window=popup_no_bar&amp;width=385&amp;height=120&amp;START_MAXIMIZED=FALSE&amp;creator=factset&amp;display_string=Audit"}</definedName>
    <definedName name="_680__FDSAUDITLINK___1" hidden="1">{"fdsup://Directions/FactSet Auditing Viewer?action=AUDIT_VALUE&amp;DB=129&amp;ID1=597229&amp;VALUEID=01001&amp;SDATE=2011&amp;PERIODTYPE=ANN_STD&amp;SCFT=3&amp;window=popup_no_bar&amp;width=385&amp;height=120&amp;START_MAXIMIZED=FALSE&amp;creator=factset&amp;display_string=Audit"}</definedName>
    <definedName name="_681__FDSAUDITLINK__" localSheetId="8" hidden="1">{"fdsup://directions/FAT Viewer?action=UPDATE&amp;creator=factset&amp;DYN_ARGS=TRUE&amp;DOC_NAME=FAT:FQL_AUDITING_CLIENT_TEMPLATE.FAT&amp;display_string=Audit&amp;VAR:KEY=IVGVOTKFYJ&amp;VAR:QUERY=RkZfRUJJVERBX09QRVIoQU5OLDIwMDgp&amp;WINDOW=FIRST_POPUP&amp;HEIGHT=450&amp;WIDTH=450&amp;START_MAXIMI","ZED=FALSE&amp;VAR:CALENDAR=FIVEDAY&amp;VAR:SYMBOL=597229&amp;VAR:INDEX=0"}</definedName>
    <definedName name="_681__FDSAUDITLINK__" hidden="1">{"fdsup://directions/FAT Viewer?action=UPDATE&amp;creator=factset&amp;DYN_ARGS=TRUE&amp;DOC_NAME=FAT:FQL_AUDITING_CLIENT_TEMPLATE.FAT&amp;display_string=Audit&amp;VAR:KEY=IVGVOTKFYJ&amp;VAR:QUERY=RkZfRUJJVERBX09QRVIoQU5OLDIwMDgp&amp;WINDOW=FIRST_POPUP&amp;HEIGHT=450&amp;WIDTH=450&amp;START_MAXIMI","ZED=FALSE&amp;VAR:CALENDAR=FIVEDAY&amp;VAR:SYMBOL=597229&amp;VAR:INDEX=0"}</definedName>
    <definedName name="_681__FDSAUDITLINK___1" localSheetId="8" hidden="1">{"fdsup://directions/FAT Viewer?action=UPDATE&amp;creator=factset&amp;DYN_ARGS=TRUE&amp;DOC_NAME=FAT:FQL_AUDITING_CLIENT_TEMPLATE.FAT&amp;display_string=Audit&amp;VAR:KEY=IVGVOTKFYJ&amp;VAR:QUERY=RkZfRUJJVERBX09QRVIoQU5OLDIwMDgp&amp;WINDOW=FIRST_POPUP&amp;HEIGHT=450&amp;WIDTH=450&amp;START_MAXIMI","ZED=FALSE&amp;VAR:CALENDAR=FIVEDAY&amp;VAR:SYMBOL=597229&amp;VAR:INDEX=0"}</definedName>
    <definedName name="_681__FDSAUDITLINK___1" hidden="1">{"fdsup://directions/FAT Viewer?action=UPDATE&amp;creator=factset&amp;DYN_ARGS=TRUE&amp;DOC_NAME=FAT:FQL_AUDITING_CLIENT_TEMPLATE.FAT&amp;display_string=Audit&amp;VAR:KEY=IVGVOTKFYJ&amp;VAR:QUERY=RkZfRUJJVERBX09QRVIoQU5OLDIwMDgp&amp;WINDOW=FIRST_POPUP&amp;HEIGHT=450&amp;WIDTH=450&amp;START_MAXIMI","ZED=FALSE&amp;VAR:CALENDAR=FIVEDAY&amp;VAR:SYMBOL=597229&amp;VAR:INDEX=0"}</definedName>
    <definedName name="_682__FDSAUDITLINK__" localSheetId="8" hidden="1">{"fdsup://directions/FAT Viewer?action=UPDATE&amp;creator=factset&amp;DYN_ARGS=TRUE&amp;DOC_NAME=FAT:FQL_AUDITING_CLIENT_TEMPLATE.FAT&amp;display_string=Audit&amp;VAR:KEY=JEDCHGHSRE&amp;VAR:QUERY=RkZfRUJJVERBX09QRVIoQU5OLDIwMTAp&amp;WINDOW=FIRST_POPUP&amp;HEIGHT=450&amp;WIDTH=450&amp;START_MAXIMI","ZED=FALSE&amp;VAR:CALENDAR=FIVEDAY&amp;VAR:SYMBOL=597229&amp;VAR:INDEX=0"}</definedName>
    <definedName name="_682__FDSAUDITLINK__" hidden="1">{"fdsup://directions/FAT Viewer?action=UPDATE&amp;creator=factset&amp;DYN_ARGS=TRUE&amp;DOC_NAME=FAT:FQL_AUDITING_CLIENT_TEMPLATE.FAT&amp;display_string=Audit&amp;VAR:KEY=JEDCHGHSRE&amp;VAR:QUERY=RkZfRUJJVERBX09QRVIoQU5OLDIwMTAp&amp;WINDOW=FIRST_POPUP&amp;HEIGHT=450&amp;WIDTH=450&amp;START_MAXIMI","ZED=FALSE&amp;VAR:CALENDAR=FIVEDAY&amp;VAR:SYMBOL=597229&amp;VAR:INDEX=0"}</definedName>
    <definedName name="_682__FDSAUDITLINK___1" localSheetId="8" hidden="1">{"fdsup://directions/FAT Viewer?action=UPDATE&amp;creator=factset&amp;DYN_ARGS=TRUE&amp;DOC_NAME=FAT:FQL_AUDITING_CLIENT_TEMPLATE.FAT&amp;display_string=Audit&amp;VAR:KEY=JEDCHGHSRE&amp;VAR:QUERY=RkZfRUJJVERBX09QRVIoQU5OLDIwMTAp&amp;WINDOW=FIRST_POPUP&amp;HEIGHT=450&amp;WIDTH=450&amp;START_MAXIMI","ZED=FALSE&amp;VAR:CALENDAR=FIVEDAY&amp;VAR:SYMBOL=597229&amp;VAR:INDEX=0"}</definedName>
    <definedName name="_682__FDSAUDITLINK___1" hidden="1">{"fdsup://directions/FAT Viewer?action=UPDATE&amp;creator=factset&amp;DYN_ARGS=TRUE&amp;DOC_NAME=FAT:FQL_AUDITING_CLIENT_TEMPLATE.FAT&amp;display_string=Audit&amp;VAR:KEY=JEDCHGHSRE&amp;VAR:QUERY=RkZfRUJJVERBX09QRVIoQU5OLDIwMTAp&amp;WINDOW=FIRST_POPUP&amp;HEIGHT=450&amp;WIDTH=450&amp;START_MAXIMI","ZED=FALSE&amp;VAR:CALENDAR=FIVEDAY&amp;VAR:SYMBOL=597229&amp;VAR:INDEX=0"}</definedName>
    <definedName name="_683__FDSAUDITLINK__" localSheetId="8" hidden="1">{"fdsup://Directions/FactSet Auditing Viewer?action=AUDIT_VALUE&amp;DB=129&amp;ID1=597229&amp;VALUEID=01250&amp;SDATE=2009&amp;PERIODTYPE=ANN_STD&amp;SCFT=3&amp;window=popup_no_bar&amp;width=385&amp;height=120&amp;START_MAXIMIZED=FALSE&amp;creator=factset&amp;display_string=Audit"}</definedName>
    <definedName name="_683__FDSAUDITLINK__" hidden="1">{"fdsup://Directions/FactSet Auditing Viewer?action=AUDIT_VALUE&amp;DB=129&amp;ID1=597229&amp;VALUEID=01250&amp;SDATE=2009&amp;PERIODTYPE=ANN_STD&amp;SCFT=3&amp;window=popup_no_bar&amp;width=385&amp;height=120&amp;START_MAXIMIZED=FALSE&amp;creator=factset&amp;display_string=Audit"}</definedName>
    <definedName name="_683__FDSAUDITLINK___1" localSheetId="8" hidden="1">{"fdsup://Directions/FactSet Auditing Viewer?action=AUDIT_VALUE&amp;DB=129&amp;ID1=597229&amp;VALUEID=01250&amp;SDATE=2009&amp;PERIODTYPE=ANN_STD&amp;SCFT=3&amp;window=popup_no_bar&amp;width=385&amp;height=120&amp;START_MAXIMIZED=FALSE&amp;creator=factset&amp;display_string=Audit"}</definedName>
    <definedName name="_683__FDSAUDITLINK___1" hidden="1">{"fdsup://Directions/FactSet Auditing Viewer?action=AUDIT_VALUE&amp;DB=129&amp;ID1=597229&amp;VALUEID=01250&amp;SDATE=2009&amp;PERIODTYPE=ANN_STD&amp;SCFT=3&amp;window=popup_no_bar&amp;width=385&amp;height=120&amp;START_MAXIMIZED=FALSE&amp;creator=factset&amp;display_string=Audit"}</definedName>
    <definedName name="_684__FDSAUDITLINK__" localSheetId="8" hidden="1">{"fdsup://Directions/FactSet Auditing Viewer?action=AUDIT_VALUE&amp;DB=129&amp;ID1=597229&amp;VALUEID=01250&amp;SDATE=2010&amp;PERIODTYPE=ANN_STD&amp;SCFT=3&amp;window=popup_no_bar&amp;width=385&amp;height=120&amp;START_MAXIMIZED=FALSE&amp;creator=factset&amp;display_string=Audit"}</definedName>
    <definedName name="_684__FDSAUDITLINK__" hidden="1">{"fdsup://Directions/FactSet Auditing Viewer?action=AUDIT_VALUE&amp;DB=129&amp;ID1=597229&amp;VALUEID=01250&amp;SDATE=2010&amp;PERIODTYPE=ANN_STD&amp;SCFT=3&amp;window=popup_no_bar&amp;width=385&amp;height=120&amp;START_MAXIMIZED=FALSE&amp;creator=factset&amp;display_string=Audit"}</definedName>
    <definedName name="_684__FDSAUDITLINK___1" localSheetId="8" hidden="1">{"fdsup://Directions/FactSet Auditing Viewer?action=AUDIT_VALUE&amp;DB=129&amp;ID1=597229&amp;VALUEID=01250&amp;SDATE=2010&amp;PERIODTYPE=ANN_STD&amp;SCFT=3&amp;window=popup_no_bar&amp;width=385&amp;height=120&amp;START_MAXIMIZED=FALSE&amp;creator=factset&amp;display_string=Audit"}</definedName>
    <definedName name="_684__FDSAUDITLINK___1" hidden="1">{"fdsup://Directions/FactSet Auditing Viewer?action=AUDIT_VALUE&amp;DB=129&amp;ID1=597229&amp;VALUEID=01250&amp;SDATE=2010&amp;PERIODTYPE=ANN_STD&amp;SCFT=3&amp;window=popup_no_bar&amp;width=385&amp;height=120&amp;START_MAXIMIZED=FALSE&amp;creator=factset&amp;display_string=Audit"}</definedName>
    <definedName name="_685__FDSAUDITLINK__" localSheetId="8" hidden="1">{"fdsup://directions/FAT Viewer?action=UPDATE&amp;creator=factset&amp;DYN_ARGS=TRUE&amp;DOC_NAME=FAT:FQL_AUDITING_CLIENT_TEMPLATE.FAT&amp;display_string=Audit&amp;VAR:KEY=JEDMLUVMJE&amp;VAR:QUERY=RkZfQ0FQRVgoQU5OLDIwMDgp&amp;WINDOW=FIRST_POPUP&amp;HEIGHT=450&amp;WIDTH=450&amp;START_MAXIMIZED=FALS","E&amp;VAR:CALENDAR=FIVEDAY&amp;VAR:SYMBOL=597229&amp;VAR:INDEX=0"}</definedName>
    <definedName name="_685__FDSAUDITLINK__" hidden="1">{"fdsup://directions/FAT Viewer?action=UPDATE&amp;creator=factset&amp;DYN_ARGS=TRUE&amp;DOC_NAME=FAT:FQL_AUDITING_CLIENT_TEMPLATE.FAT&amp;display_string=Audit&amp;VAR:KEY=JEDMLUVMJE&amp;VAR:QUERY=RkZfQ0FQRVgoQU5OLDIwMDgp&amp;WINDOW=FIRST_POPUP&amp;HEIGHT=450&amp;WIDTH=450&amp;START_MAXIMIZED=FALS","E&amp;VAR:CALENDAR=FIVEDAY&amp;VAR:SYMBOL=597229&amp;VAR:INDEX=0"}</definedName>
    <definedName name="_685__FDSAUDITLINK___1" localSheetId="8" hidden="1">{"fdsup://directions/FAT Viewer?action=UPDATE&amp;creator=factset&amp;DYN_ARGS=TRUE&amp;DOC_NAME=FAT:FQL_AUDITING_CLIENT_TEMPLATE.FAT&amp;display_string=Audit&amp;VAR:KEY=JEDMLUVMJE&amp;VAR:QUERY=RkZfQ0FQRVgoQU5OLDIwMDgp&amp;WINDOW=FIRST_POPUP&amp;HEIGHT=450&amp;WIDTH=450&amp;START_MAXIMIZED=FALS","E&amp;VAR:CALENDAR=FIVEDAY&amp;VAR:SYMBOL=597229&amp;VAR:INDEX=0"}</definedName>
    <definedName name="_685__FDSAUDITLINK___1" hidden="1">{"fdsup://directions/FAT Viewer?action=UPDATE&amp;creator=factset&amp;DYN_ARGS=TRUE&amp;DOC_NAME=FAT:FQL_AUDITING_CLIENT_TEMPLATE.FAT&amp;display_string=Audit&amp;VAR:KEY=JEDMLUVMJE&amp;VAR:QUERY=RkZfQ0FQRVgoQU5OLDIwMDgp&amp;WINDOW=FIRST_POPUP&amp;HEIGHT=450&amp;WIDTH=450&amp;START_MAXIMIZED=FALS","E&amp;VAR:CALENDAR=FIVEDAY&amp;VAR:SYMBOL=597229&amp;VAR:INDEX=0"}</definedName>
    <definedName name="_686__FDSAUDITLINK__" localSheetId="8" hidden="1">{"fdsup://directions/FAT Viewer?action=UPDATE&amp;creator=factset&amp;DYN_ARGS=TRUE&amp;DOC_NAME=FAT:FQL_AUDITING_CLIENT_TEMPLATE.FAT&amp;display_string=Audit&amp;VAR:KEY=WJIDQPKNMV&amp;VAR:QUERY=RkZfQ0FQRVgoQU5OLDIwMTAp&amp;WINDOW=FIRST_POPUP&amp;HEIGHT=450&amp;WIDTH=450&amp;START_MAXIMIZED=FALS","E&amp;VAR:CALENDAR=FIVEDAY&amp;VAR:SYMBOL=597229&amp;VAR:INDEX=0"}</definedName>
    <definedName name="_686__FDSAUDITLINK__" hidden="1">{"fdsup://directions/FAT Viewer?action=UPDATE&amp;creator=factset&amp;DYN_ARGS=TRUE&amp;DOC_NAME=FAT:FQL_AUDITING_CLIENT_TEMPLATE.FAT&amp;display_string=Audit&amp;VAR:KEY=WJIDQPKNMV&amp;VAR:QUERY=RkZfQ0FQRVgoQU5OLDIwMTAp&amp;WINDOW=FIRST_POPUP&amp;HEIGHT=450&amp;WIDTH=450&amp;START_MAXIMIZED=FALS","E&amp;VAR:CALENDAR=FIVEDAY&amp;VAR:SYMBOL=597229&amp;VAR:INDEX=0"}</definedName>
    <definedName name="_686__FDSAUDITLINK___1" localSheetId="8" hidden="1">{"fdsup://directions/FAT Viewer?action=UPDATE&amp;creator=factset&amp;DYN_ARGS=TRUE&amp;DOC_NAME=FAT:FQL_AUDITING_CLIENT_TEMPLATE.FAT&amp;display_string=Audit&amp;VAR:KEY=WJIDQPKNMV&amp;VAR:QUERY=RkZfQ0FQRVgoQU5OLDIwMTAp&amp;WINDOW=FIRST_POPUP&amp;HEIGHT=450&amp;WIDTH=450&amp;START_MAXIMIZED=FALS","E&amp;VAR:CALENDAR=FIVEDAY&amp;VAR:SYMBOL=597229&amp;VAR:INDEX=0"}</definedName>
    <definedName name="_686__FDSAUDITLINK___1" hidden="1">{"fdsup://directions/FAT Viewer?action=UPDATE&amp;creator=factset&amp;DYN_ARGS=TRUE&amp;DOC_NAME=FAT:FQL_AUDITING_CLIENT_TEMPLATE.FAT&amp;display_string=Audit&amp;VAR:KEY=WJIDQPKNMV&amp;VAR:QUERY=RkZfQ0FQRVgoQU5OLDIwMTAp&amp;WINDOW=FIRST_POPUP&amp;HEIGHT=450&amp;WIDTH=450&amp;START_MAXIMIZED=FALS","E&amp;VAR:CALENDAR=FIVEDAY&amp;VAR:SYMBOL=597229&amp;VAR:INDEX=0"}</definedName>
    <definedName name="_687__FDSAUDITLINK__" localSheetId="8" hidden="1">{"fdsup://directions/FAT Viewer?action=UPDATE&amp;creator=factset&amp;DYN_ARGS=TRUE&amp;DOC_NAME=FAT:FQL_AUDITING_CLIENT_TEMPLATE.FAT&amp;display_string=Audit&amp;VAR:KEY=YBIDSROHIV&amp;VAR:QUERY=RkZfTkVUX0lOQyhBTk4sMjAwOSk=&amp;WINDOW=FIRST_POPUP&amp;HEIGHT=450&amp;WIDTH=450&amp;START_MAXIMIZED=","FALSE&amp;VAR:CALENDAR=FIVEDAY&amp;VAR:SYMBOL=597229&amp;VAR:INDEX=0"}</definedName>
    <definedName name="_687__FDSAUDITLINK__" hidden="1">{"fdsup://directions/FAT Viewer?action=UPDATE&amp;creator=factset&amp;DYN_ARGS=TRUE&amp;DOC_NAME=FAT:FQL_AUDITING_CLIENT_TEMPLATE.FAT&amp;display_string=Audit&amp;VAR:KEY=YBIDSROHIV&amp;VAR:QUERY=RkZfTkVUX0lOQyhBTk4sMjAwOSk=&amp;WINDOW=FIRST_POPUP&amp;HEIGHT=450&amp;WIDTH=450&amp;START_MAXIMIZED=","FALSE&amp;VAR:CALENDAR=FIVEDAY&amp;VAR:SYMBOL=597229&amp;VAR:INDEX=0"}</definedName>
    <definedName name="_687__FDSAUDITLINK___1" localSheetId="8" hidden="1">{"fdsup://directions/FAT Viewer?action=UPDATE&amp;creator=factset&amp;DYN_ARGS=TRUE&amp;DOC_NAME=FAT:FQL_AUDITING_CLIENT_TEMPLATE.FAT&amp;display_string=Audit&amp;VAR:KEY=YBIDSROHIV&amp;VAR:QUERY=RkZfTkVUX0lOQyhBTk4sMjAwOSk=&amp;WINDOW=FIRST_POPUP&amp;HEIGHT=450&amp;WIDTH=450&amp;START_MAXIMIZED=","FALSE&amp;VAR:CALENDAR=FIVEDAY&amp;VAR:SYMBOL=597229&amp;VAR:INDEX=0"}</definedName>
    <definedName name="_687__FDSAUDITLINK___1" hidden="1">{"fdsup://directions/FAT Viewer?action=UPDATE&amp;creator=factset&amp;DYN_ARGS=TRUE&amp;DOC_NAME=FAT:FQL_AUDITING_CLIENT_TEMPLATE.FAT&amp;display_string=Audit&amp;VAR:KEY=YBIDSROHIV&amp;VAR:QUERY=RkZfTkVUX0lOQyhBTk4sMjAwOSk=&amp;WINDOW=FIRST_POPUP&amp;HEIGHT=450&amp;WIDTH=450&amp;START_MAXIMIZED=","FALSE&amp;VAR:CALENDAR=FIVEDAY&amp;VAR:SYMBOL=597229&amp;VAR:INDEX=0"}</definedName>
    <definedName name="_688__FDSAUDITLINK__" localSheetId="8" hidden="1">{"fdsup://directions/FAT Viewer?action=UPDATE&amp;creator=factset&amp;DYN_ARGS=TRUE&amp;DOC_NAME=FAT:FQL_AUDITING_CLIENT_TEMPLATE.FAT&amp;display_string=Audit&amp;VAR:KEY=JOVSDARMPS&amp;VAR:QUERY=RkZfTkVUX0lOQyhBTk4sMjAxMSk=&amp;WINDOW=FIRST_POPUP&amp;HEIGHT=450&amp;WIDTH=450&amp;START_MAXIMIZED=","FALSE&amp;VAR:CALENDAR=FIVEDAY&amp;VAR:SYMBOL=597229&amp;VAR:INDEX=0"}</definedName>
    <definedName name="_688__FDSAUDITLINK__" hidden="1">{"fdsup://directions/FAT Viewer?action=UPDATE&amp;creator=factset&amp;DYN_ARGS=TRUE&amp;DOC_NAME=FAT:FQL_AUDITING_CLIENT_TEMPLATE.FAT&amp;display_string=Audit&amp;VAR:KEY=JOVSDARMPS&amp;VAR:QUERY=RkZfTkVUX0lOQyhBTk4sMjAxMSk=&amp;WINDOW=FIRST_POPUP&amp;HEIGHT=450&amp;WIDTH=450&amp;START_MAXIMIZED=","FALSE&amp;VAR:CALENDAR=FIVEDAY&amp;VAR:SYMBOL=597229&amp;VAR:INDEX=0"}</definedName>
    <definedName name="_688__FDSAUDITLINK___1" localSheetId="8" hidden="1">{"fdsup://directions/FAT Viewer?action=UPDATE&amp;creator=factset&amp;DYN_ARGS=TRUE&amp;DOC_NAME=FAT:FQL_AUDITING_CLIENT_TEMPLATE.FAT&amp;display_string=Audit&amp;VAR:KEY=JOVSDARMPS&amp;VAR:QUERY=RkZfTkVUX0lOQyhBTk4sMjAxMSk=&amp;WINDOW=FIRST_POPUP&amp;HEIGHT=450&amp;WIDTH=450&amp;START_MAXIMIZED=","FALSE&amp;VAR:CALENDAR=FIVEDAY&amp;VAR:SYMBOL=597229&amp;VAR:INDEX=0"}</definedName>
    <definedName name="_688__FDSAUDITLINK___1" hidden="1">{"fdsup://directions/FAT Viewer?action=UPDATE&amp;creator=factset&amp;DYN_ARGS=TRUE&amp;DOC_NAME=FAT:FQL_AUDITING_CLIENT_TEMPLATE.FAT&amp;display_string=Audit&amp;VAR:KEY=JOVSDARMPS&amp;VAR:QUERY=RkZfTkVUX0lOQyhBTk4sMjAxMSk=&amp;WINDOW=FIRST_POPUP&amp;HEIGHT=450&amp;WIDTH=450&amp;START_MAXIMIZED=","FALSE&amp;VAR:CALENDAR=FIVEDAY&amp;VAR:SYMBOL=597229&amp;VAR:INDEX=0"}</definedName>
    <definedName name="_689__FDSAUDITLINK__" localSheetId="8" hidden="1">{"fdsup://directions/FAT Viewer?action=UPDATE&amp;creator=factset&amp;DYN_ARGS=TRUE&amp;DOC_NAME=FAT:FQL_AUDITING_CLIENT_TEMPLATE.FAT&amp;display_string=Audit&amp;VAR:KEY=BCTCNIFCJG&amp;VAR:QUERY=RkZfRU5UUlBSX1ZBTF9EQUlMWSgwLCwsLCwnRElMJyk=&amp;WINDOW=FIRST_POPUP&amp;HEIGHT=450&amp;WIDTH=450&amp;","START_MAXIMIZED=FALSE&amp;VAR:CALENDAR=FIVEDAY&amp;VAR:SYMBOL=B61G9L&amp;VAR:INDEX=0"}</definedName>
    <definedName name="_689__FDSAUDITLINK__" hidden="1">{"fdsup://directions/FAT Viewer?action=UPDATE&amp;creator=factset&amp;DYN_ARGS=TRUE&amp;DOC_NAME=FAT:FQL_AUDITING_CLIENT_TEMPLATE.FAT&amp;display_string=Audit&amp;VAR:KEY=BCTCNIFCJG&amp;VAR:QUERY=RkZfRU5UUlBSX1ZBTF9EQUlMWSgwLCwsLCwnRElMJyk=&amp;WINDOW=FIRST_POPUP&amp;HEIGHT=450&amp;WIDTH=450&amp;","START_MAXIMIZED=FALSE&amp;VAR:CALENDAR=FIVEDAY&amp;VAR:SYMBOL=B61G9L&amp;VAR:INDEX=0"}</definedName>
    <definedName name="_689__FDSAUDITLINK___1" localSheetId="8" hidden="1">{"fdsup://directions/FAT Viewer?action=UPDATE&amp;creator=factset&amp;DYN_ARGS=TRUE&amp;DOC_NAME=FAT:FQL_AUDITING_CLIENT_TEMPLATE.FAT&amp;display_string=Audit&amp;VAR:KEY=BCTCNIFCJG&amp;VAR:QUERY=RkZfRU5UUlBSX1ZBTF9EQUlMWSgwLCwsLCwnRElMJyk=&amp;WINDOW=FIRST_POPUP&amp;HEIGHT=450&amp;WIDTH=450&amp;","START_MAXIMIZED=FALSE&amp;VAR:CALENDAR=FIVEDAY&amp;VAR:SYMBOL=B61G9L&amp;VAR:INDEX=0"}</definedName>
    <definedName name="_689__FDSAUDITLINK___1" hidden="1">{"fdsup://directions/FAT Viewer?action=UPDATE&amp;creator=factset&amp;DYN_ARGS=TRUE&amp;DOC_NAME=FAT:FQL_AUDITING_CLIENT_TEMPLATE.FAT&amp;display_string=Audit&amp;VAR:KEY=BCTCNIFCJG&amp;VAR:QUERY=RkZfRU5UUlBSX1ZBTF9EQUlMWSgwLCwsLCwnRElMJyk=&amp;WINDOW=FIRST_POPUP&amp;HEIGHT=450&amp;WIDTH=450&amp;","START_MAXIMIZED=FALSE&amp;VAR:CALENDAR=FIVEDAY&amp;VAR:SYMBOL=B61G9L&amp;VAR:INDEX=0"}</definedName>
    <definedName name="_69__123Graph_BCHART_21" hidden="1">#REF!</definedName>
    <definedName name="_69__123Graph_DCHART_3" localSheetId="8" hidden="1">#REF!</definedName>
    <definedName name="_69__123Graph_DCHART_3" hidden="1">#REF!</definedName>
    <definedName name="_69__123Graph_LBL_BCHART_13" hidden="1">#REF!</definedName>
    <definedName name="_69__FDSAUDITLINK__" localSheetId="8" hidden="1">{"fdsup://directions/FAT Viewer?action=UPDATE&amp;creator=factset&amp;DYN_ARGS=TRUE&amp;DOC_NAME=FAT:FQL_AUDITING_CLIENT_TEMPLATE.FAT&amp;display_string=Audit&amp;VAR:KEY=VULCVWXELE&amp;VAR:QUERY=RkZfRUJJVF9JQignQU5OJywzNTQzMCwsLCwnR0JQJyk=&amp;WINDOW=FIRST_POPUP&amp;HEIGHT=450&amp;WIDTH=450&amp;","START_MAXIMIZED=FALSE&amp;VAR:CALENDAR=FIVEDAY&amp;VAR:SYMBOL=011827&amp;VAR:INDEX=0"}</definedName>
    <definedName name="_69__FDSAUDITLINK__" hidden="1">{"fdsup://directions/FAT Viewer?action=UPDATE&amp;creator=factset&amp;DYN_ARGS=TRUE&amp;DOC_NAME=FAT:FQL_AUDITING_CLIENT_TEMPLATE.FAT&amp;display_string=Audit&amp;VAR:KEY=TCFAHOFSBK&amp;VAR:QUERY=RkZfRUJJVF9PUEVSKENBTCwyMDExKQ==&amp;WINDOW=FIRST_POPUP&amp;HEIGHT=450&amp;WIDTH=450&amp;START_MAXIMI","ZED=FALSE&amp;VAR:CALENDAR=US&amp;VAR:SYMBOL=CX&amp;VAR:INDEX=0"}</definedName>
    <definedName name="_69__FDSAUDITLINK___1" localSheetId="8" hidden="1">{"fdsup://directions/FAT Viewer?action=UPDATE&amp;creator=factset&amp;DYN_ARGS=TRUE&amp;DOC_NAME=FAT:FQL_AUDITING_CLIENT_TEMPLATE.FAT&amp;display_string=Audit&amp;VAR:KEY=VULCVWXELE&amp;VAR:QUERY=RkZfRUJJVF9JQignQU5OJywzNTQzMCwsLCwnR0JQJyk=&amp;WINDOW=FIRST_POPUP&amp;HEIGHT=450&amp;WIDTH=450&amp;","START_MAXIMIZED=FALSE&amp;VAR:CALENDAR=FIVEDAY&amp;VAR:SYMBOL=011827&amp;VAR:INDEX=0"}</definedName>
    <definedName name="_69__FDSAUDITLINK___1" hidden="1">{"fdsup://directions/FAT Viewer?action=UPDATE&amp;creator=factset&amp;DYN_ARGS=TRUE&amp;DOC_NAME=FAT:FQL_AUDITING_CLIENT_TEMPLATE.FAT&amp;display_string=Audit&amp;VAR:KEY=VULCVWXELE&amp;VAR:QUERY=RkZfRUJJVF9JQignQU5OJywzNTQzMCwsLCwnR0JQJyk=&amp;WINDOW=FIRST_POPUP&amp;HEIGHT=450&amp;WIDTH=450&amp;","START_MAXIMIZED=FALSE&amp;VAR:CALENDAR=FIVEDAY&amp;VAR:SYMBOL=011827&amp;VAR:INDEX=0"}</definedName>
    <definedName name="_690__FDSAUDITLINK__" localSheetId="8" hidden="1">{"fdsup://Directions/FactSet Auditing Viewer?action=AUDIT_VALUE&amp;DB=129&amp;ID1=B61G9L&amp;VALUEID=01001&amp;SDATE=2008&amp;PERIODTYPE=ANN_STD&amp;SCFT=3&amp;window=popup_no_bar&amp;width=385&amp;height=120&amp;START_MAXIMIZED=FALSE&amp;creator=factset&amp;display_string=Audit"}</definedName>
    <definedName name="_690__FDSAUDITLINK__" hidden="1">{"fdsup://Directions/FactSet Auditing Viewer?action=AUDIT_VALUE&amp;DB=129&amp;ID1=B61G9L&amp;VALUEID=01001&amp;SDATE=2008&amp;PERIODTYPE=ANN_STD&amp;SCFT=3&amp;window=popup_no_bar&amp;width=385&amp;height=120&amp;START_MAXIMIZED=FALSE&amp;creator=factset&amp;display_string=Audit"}</definedName>
    <definedName name="_690__FDSAUDITLINK___1" localSheetId="8" hidden="1">{"fdsup://Directions/FactSet Auditing Viewer?action=AUDIT_VALUE&amp;DB=129&amp;ID1=B61G9L&amp;VALUEID=01001&amp;SDATE=2008&amp;PERIODTYPE=ANN_STD&amp;SCFT=3&amp;window=popup_no_bar&amp;width=385&amp;height=120&amp;START_MAXIMIZED=FALSE&amp;creator=factset&amp;display_string=Audit"}</definedName>
    <definedName name="_690__FDSAUDITLINK___1" hidden="1">{"fdsup://Directions/FactSet Auditing Viewer?action=AUDIT_VALUE&amp;DB=129&amp;ID1=B61G9L&amp;VALUEID=01001&amp;SDATE=2008&amp;PERIODTYPE=ANN_STD&amp;SCFT=3&amp;window=popup_no_bar&amp;width=385&amp;height=120&amp;START_MAXIMIZED=FALSE&amp;creator=factset&amp;display_string=Audit"}</definedName>
    <definedName name="_691__FDSAUDITLINK__" localSheetId="8" hidden="1">{"fdsup://Directions/FactSet Auditing Viewer?action=AUDIT_VALUE&amp;DB=129&amp;ID1=B61G9L&amp;VALUEID=01001&amp;SDATE=2010&amp;PERIODTYPE=ANN_STD&amp;SCFT=3&amp;window=popup_no_bar&amp;width=385&amp;height=120&amp;START_MAXIMIZED=FALSE&amp;creator=factset&amp;display_string=Audit"}</definedName>
    <definedName name="_691__FDSAUDITLINK__" hidden="1">{"fdsup://Directions/FactSet Auditing Viewer?action=AUDIT_VALUE&amp;DB=129&amp;ID1=B61G9L&amp;VALUEID=01001&amp;SDATE=2010&amp;PERIODTYPE=ANN_STD&amp;SCFT=3&amp;window=popup_no_bar&amp;width=385&amp;height=120&amp;START_MAXIMIZED=FALSE&amp;creator=factset&amp;display_string=Audit"}</definedName>
    <definedName name="_691__FDSAUDITLINK___1" localSheetId="8" hidden="1">{"fdsup://Directions/FactSet Auditing Viewer?action=AUDIT_VALUE&amp;DB=129&amp;ID1=B61G9L&amp;VALUEID=01001&amp;SDATE=2010&amp;PERIODTYPE=ANN_STD&amp;SCFT=3&amp;window=popup_no_bar&amp;width=385&amp;height=120&amp;START_MAXIMIZED=FALSE&amp;creator=factset&amp;display_string=Audit"}</definedName>
    <definedName name="_691__FDSAUDITLINK___1" hidden="1">{"fdsup://Directions/FactSet Auditing Viewer?action=AUDIT_VALUE&amp;DB=129&amp;ID1=B61G9L&amp;VALUEID=01001&amp;SDATE=2010&amp;PERIODTYPE=ANN_STD&amp;SCFT=3&amp;window=popup_no_bar&amp;width=385&amp;height=120&amp;START_MAXIMIZED=FALSE&amp;creator=factset&amp;display_string=Audit"}</definedName>
    <definedName name="_692__FDSAUDITLINK__" localSheetId="8" hidden="1">{"fdsup://directions/FAT Viewer?action=UPDATE&amp;creator=factset&amp;DYN_ARGS=TRUE&amp;DOC_NAME=FAT:FQL_AUDITING_CLIENT_TEMPLATE.FAT&amp;display_string=Audit&amp;VAR:KEY=GVURYHOFCN&amp;VAR:QUERY=RkZfRUJJVERBX09QRVIoQU5OLDIwMDkp&amp;WINDOW=FIRST_POPUP&amp;HEIGHT=450&amp;WIDTH=450&amp;START_MAXIMI","ZED=FALSE&amp;VAR:CALENDAR=FIVEDAY&amp;VAR:SYMBOL=B61G9L&amp;VAR:INDEX=0"}</definedName>
    <definedName name="_692__FDSAUDITLINK__" hidden="1">{"fdsup://Directions/FactSet Auditing Viewer?action=AUDIT_VALUE&amp;DB=129&amp;ID1=711075&amp;VALUEID=01149&amp;SDATE=2011&amp;PERIODTYPE=ANN_STD&amp;SCFT=3&amp;window=popup_no_bar&amp;width=385&amp;height=120&amp;START_MAXIMIZED=FALSE&amp;creator=factset&amp;display_string=Audit"}</definedName>
    <definedName name="_692__FDSAUDITLINK___1" localSheetId="8" hidden="1">{"fdsup://directions/FAT Viewer?action=UPDATE&amp;creator=factset&amp;DYN_ARGS=TRUE&amp;DOC_NAME=FAT:FQL_AUDITING_CLIENT_TEMPLATE.FAT&amp;display_string=Audit&amp;VAR:KEY=GVURYHOFCN&amp;VAR:QUERY=RkZfRUJJVERBX09QRVIoQU5OLDIwMDkp&amp;WINDOW=FIRST_POPUP&amp;HEIGHT=450&amp;WIDTH=450&amp;START_MAXIMI","ZED=FALSE&amp;VAR:CALENDAR=FIVEDAY&amp;VAR:SYMBOL=B61G9L&amp;VAR:INDEX=0"}</definedName>
    <definedName name="_692__FDSAUDITLINK___1" hidden="1">{"fdsup://directions/FAT Viewer?action=UPDATE&amp;creator=factset&amp;DYN_ARGS=TRUE&amp;DOC_NAME=FAT:FQL_AUDITING_CLIENT_TEMPLATE.FAT&amp;display_string=Audit&amp;VAR:KEY=GVURYHOFCN&amp;VAR:QUERY=RkZfRUJJVERBX09QRVIoQU5OLDIwMDkp&amp;WINDOW=FIRST_POPUP&amp;HEIGHT=450&amp;WIDTH=450&amp;START_MAXIMI","ZED=FALSE&amp;VAR:CALENDAR=FIVEDAY&amp;VAR:SYMBOL=B61G9L&amp;VAR:INDEX=0"}</definedName>
    <definedName name="_693__FDSAUDITLINK__" localSheetId="8" hidden="1">{"fdsup://directions/FAT Viewer?action=UPDATE&amp;creator=factset&amp;DYN_ARGS=TRUE&amp;DOC_NAME=FAT:FQL_AUDITING_CLIENT_TEMPLATE.FAT&amp;display_string=Audit&amp;VAR:KEY=KPSXWBOPQV&amp;VAR:QUERY=RkZfRUJJVERBX09QRVIoQU5OLDIwMTEp&amp;WINDOW=FIRST_POPUP&amp;HEIGHT=450&amp;WIDTH=450&amp;START_MAXIMI","ZED=FALSE&amp;VAR:CALENDAR=FIVEDAY&amp;VAR:SYMBOL=B61G9L&amp;VAR:INDEX=0"}</definedName>
    <definedName name="_693__FDSAUDITLINK__" hidden="1">{"fdsup://directions/FAT Viewer?action=UPDATE&amp;creator=factset&amp;DYN_ARGS=TRUE&amp;DOC_NAME=FAT:FQL_AUDITING_CLIENT_TEMPLATE.FAT&amp;display_string=Audit&amp;VAR:KEY=KPSXWBOPQV&amp;VAR:QUERY=RkZfRUJJVERBX09QRVIoQU5OLDIwMTEp&amp;WINDOW=FIRST_POPUP&amp;HEIGHT=450&amp;WIDTH=450&amp;START_MAXIMI","ZED=FALSE&amp;VAR:CALENDAR=FIVEDAY&amp;VAR:SYMBOL=B61G9L&amp;VAR:INDEX=0"}</definedName>
    <definedName name="_693__FDSAUDITLINK___1" localSheetId="8" hidden="1">{"fdsup://directions/FAT Viewer?action=UPDATE&amp;creator=factset&amp;DYN_ARGS=TRUE&amp;DOC_NAME=FAT:FQL_AUDITING_CLIENT_TEMPLATE.FAT&amp;display_string=Audit&amp;VAR:KEY=KPSXWBOPQV&amp;VAR:QUERY=RkZfRUJJVERBX09QRVIoQU5OLDIwMTEp&amp;WINDOW=FIRST_POPUP&amp;HEIGHT=450&amp;WIDTH=450&amp;START_MAXIMI","ZED=FALSE&amp;VAR:CALENDAR=FIVEDAY&amp;VAR:SYMBOL=B61G9L&amp;VAR:INDEX=0"}</definedName>
    <definedName name="_693__FDSAUDITLINK___1" hidden="1">{"fdsup://directions/FAT Viewer?action=UPDATE&amp;creator=factset&amp;DYN_ARGS=TRUE&amp;DOC_NAME=FAT:FQL_AUDITING_CLIENT_TEMPLATE.FAT&amp;display_string=Audit&amp;VAR:KEY=KPSXWBOPQV&amp;VAR:QUERY=RkZfRUJJVERBX09QRVIoQU5OLDIwMTEp&amp;WINDOW=FIRST_POPUP&amp;HEIGHT=450&amp;WIDTH=450&amp;START_MAXIMI","ZED=FALSE&amp;VAR:CALENDAR=FIVEDAY&amp;VAR:SYMBOL=B61G9L&amp;VAR:INDEX=0"}</definedName>
    <definedName name="_694__FDSAUDITLINK__" localSheetId="8" hidden="1">{"fdsup://directions/FAT Viewer?action=UPDATE&amp;creator=factset&amp;DYN_ARGS=TRUE&amp;DOC_NAME=FAT:FQL_AUDITING_CLIENT_TEMPLATE.FAT&amp;display_string=Audit&amp;VAR:KEY=YPUPMVSRYB&amp;VAR:QUERY=RkZfRUJJVF9PUEVSKEFOTiwyMDA4KQ==&amp;WINDOW=FIRST_POPUP&amp;HEIGHT=450&amp;WIDTH=450&amp;START_MAXIMI","ZED=FALSE&amp;VAR:CALENDAR=FIVEDAY&amp;VAR:SYMBOL=B61G9L&amp;VAR:INDEX=0"}</definedName>
    <definedName name="_694__FDSAUDITLINK__" hidden="1">{"fdsup://directions/FAT Viewer?action=UPDATE&amp;creator=factset&amp;DYN_ARGS=TRUE&amp;DOC_NAME=FAT:FQL_AUDITING_CLIENT_TEMPLATE.FAT&amp;display_string=Audit&amp;VAR:KEY=YPUPMVSRYB&amp;VAR:QUERY=RkZfRUJJVF9PUEVSKEFOTiwyMDA4KQ==&amp;WINDOW=FIRST_POPUP&amp;HEIGHT=450&amp;WIDTH=450&amp;START_MAXIMI","ZED=FALSE&amp;VAR:CALENDAR=FIVEDAY&amp;VAR:SYMBOL=B61G9L&amp;VAR:INDEX=0"}</definedName>
    <definedName name="_694__FDSAUDITLINK___1" localSheetId="8" hidden="1">{"fdsup://directions/FAT Viewer?action=UPDATE&amp;creator=factset&amp;DYN_ARGS=TRUE&amp;DOC_NAME=FAT:FQL_AUDITING_CLIENT_TEMPLATE.FAT&amp;display_string=Audit&amp;VAR:KEY=YPUPMVSRYB&amp;VAR:QUERY=RkZfRUJJVF9PUEVSKEFOTiwyMDA4KQ==&amp;WINDOW=FIRST_POPUP&amp;HEIGHT=450&amp;WIDTH=450&amp;START_MAXIMI","ZED=FALSE&amp;VAR:CALENDAR=FIVEDAY&amp;VAR:SYMBOL=B61G9L&amp;VAR:INDEX=0"}</definedName>
    <definedName name="_694__FDSAUDITLINK___1" hidden="1">{"fdsup://directions/FAT Viewer?action=UPDATE&amp;creator=factset&amp;DYN_ARGS=TRUE&amp;DOC_NAME=FAT:FQL_AUDITING_CLIENT_TEMPLATE.FAT&amp;display_string=Audit&amp;VAR:KEY=YPUPMVSRYB&amp;VAR:QUERY=RkZfRUJJVF9PUEVSKEFOTiwyMDA4KQ==&amp;WINDOW=FIRST_POPUP&amp;HEIGHT=450&amp;WIDTH=450&amp;START_MAXIMI","ZED=FALSE&amp;VAR:CALENDAR=FIVEDAY&amp;VAR:SYMBOL=B61G9L&amp;VAR:INDEX=0"}</definedName>
    <definedName name="_695__FDSAUDITLINK__" localSheetId="8" hidden="1">{"fdsup://directions/FAT Viewer?action=UPDATE&amp;creator=factset&amp;DYN_ARGS=TRUE&amp;DOC_NAME=FAT:FQL_AUDITING_CLIENT_TEMPLATE.FAT&amp;display_string=Audit&amp;VAR:KEY=ETQDMXUTCX&amp;VAR:QUERY=RkZfRUJJVF9PUEVSKEFOTiwyMDEwKQ==&amp;WINDOW=FIRST_POPUP&amp;HEIGHT=450&amp;WIDTH=450&amp;START_MAXIMI","ZED=FALSE&amp;VAR:CALENDAR=FIVEDAY&amp;VAR:SYMBOL=B61G9L&amp;VAR:INDEX=0"}</definedName>
    <definedName name="_695__FDSAUDITLINK__" hidden="1">{"fdsup://directions/FAT Viewer?action=UPDATE&amp;creator=factset&amp;DYN_ARGS=TRUE&amp;DOC_NAME=FAT:FQL_AUDITING_CLIENT_TEMPLATE.FAT&amp;display_string=Audit&amp;VAR:KEY=ETQDMXUTCX&amp;VAR:QUERY=RkZfRUJJVF9PUEVSKEFOTiwyMDEwKQ==&amp;WINDOW=FIRST_POPUP&amp;HEIGHT=450&amp;WIDTH=450&amp;START_MAXIMI","ZED=FALSE&amp;VAR:CALENDAR=FIVEDAY&amp;VAR:SYMBOL=B61G9L&amp;VAR:INDEX=0"}</definedName>
    <definedName name="_695__FDSAUDITLINK___1" localSheetId="8" hidden="1">{"fdsup://directions/FAT Viewer?action=UPDATE&amp;creator=factset&amp;DYN_ARGS=TRUE&amp;DOC_NAME=FAT:FQL_AUDITING_CLIENT_TEMPLATE.FAT&amp;display_string=Audit&amp;VAR:KEY=ETQDMXUTCX&amp;VAR:QUERY=RkZfRUJJVF9PUEVSKEFOTiwyMDEwKQ==&amp;WINDOW=FIRST_POPUP&amp;HEIGHT=450&amp;WIDTH=450&amp;START_MAXIMI","ZED=FALSE&amp;VAR:CALENDAR=FIVEDAY&amp;VAR:SYMBOL=B61G9L&amp;VAR:INDEX=0"}</definedName>
    <definedName name="_695__FDSAUDITLINK___1" hidden="1">{"fdsup://directions/FAT Viewer?action=UPDATE&amp;creator=factset&amp;DYN_ARGS=TRUE&amp;DOC_NAME=FAT:FQL_AUDITING_CLIENT_TEMPLATE.FAT&amp;display_string=Audit&amp;VAR:KEY=ETQDMXUTCX&amp;VAR:QUERY=RkZfRUJJVF9PUEVSKEFOTiwyMDEwKQ==&amp;WINDOW=FIRST_POPUP&amp;HEIGHT=450&amp;WIDTH=450&amp;START_MAXIMI","ZED=FALSE&amp;VAR:CALENDAR=FIVEDAY&amp;VAR:SYMBOL=B61G9L&amp;VAR:INDEX=0"}</definedName>
    <definedName name="_696__FDSAUDITLINK__" localSheetId="8" hidden="1">{"fdsup://directions/FAT Viewer?action=UPDATE&amp;creator=factset&amp;DYN_ARGS=TRUE&amp;DOC_NAME=FAT:FQL_AUDITING_CLIENT_TEMPLATE.FAT&amp;display_string=Audit&amp;VAR:KEY=YBEZSRSZOR&amp;VAR:QUERY=RkZfQ0FQRVgoQU5OLDIwMDkp&amp;WINDOW=FIRST_POPUP&amp;HEIGHT=450&amp;WIDTH=450&amp;START_MAXIMIZED=FALS","E&amp;VAR:CALENDAR=FIVEDAY&amp;VAR:SYMBOL=B61G9L&amp;VAR:INDEX=0"}</definedName>
    <definedName name="_696__FDSAUDITLINK__" hidden="1">{"fdsup://directions/FAT Viewer?action=UPDATE&amp;creator=factset&amp;DYN_ARGS=TRUE&amp;DOC_NAME=FAT:FQL_AUDITING_CLIENT_TEMPLATE.FAT&amp;display_string=Audit&amp;VAR:KEY=YBEZSRSZOR&amp;VAR:QUERY=RkZfQ0FQRVgoQU5OLDIwMDkp&amp;WINDOW=FIRST_POPUP&amp;HEIGHT=450&amp;WIDTH=450&amp;START_MAXIMIZED=FALS","E&amp;VAR:CALENDAR=FIVEDAY&amp;VAR:SYMBOL=B61G9L&amp;VAR:INDEX=0"}</definedName>
    <definedName name="_696__FDSAUDITLINK___1" localSheetId="8" hidden="1">{"fdsup://directions/FAT Viewer?action=UPDATE&amp;creator=factset&amp;DYN_ARGS=TRUE&amp;DOC_NAME=FAT:FQL_AUDITING_CLIENT_TEMPLATE.FAT&amp;display_string=Audit&amp;VAR:KEY=YBEZSRSZOR&amp;VAR:QUERY=RkZfQ0FQRVgoQU5OLDIwMDkp&amp;WINDOW=FIRST_POPUP&amp;HEIGHT=450&amp;WIDTH=450&amp;START_MAXIMIZED=FALS","E&amp;VAR:CALENDAR=FIVEDAY&amp;VAR:SYMBOL=B61G9L&amp;VAR:INDEX=0"}</definedName>
    <definedName name="_696__FDSAUDITLINK___1" hidden="1">{"fdsup://directions/FAT Viewer?action=UPDATE&amp;creator=factset&amp;DYN_ARGS=TRUE&amp;DOC_NAME=FAT:FQL_AUDITING_CLIENT_TEMPLATE.FAT&amp;display_string=Audit&amp;VAR:KEY=YBEZSRSZOR&amp;VAR:QUERY=RkZfQ0FQRVgoQU5OLDIwMDkp&amp;WINDOW=FIRST_POPUP&amp;HEIGHT=450&amp;WIDTH=450&amp;START_MAXIMIZED=FALS","E&amp;VAR:CALENDAR=FIVEDAY&amp;VAR:SYMBOL=B61G9L&amp;VAR:INDEX=0"}</definedName>
    <definedName name="_697__FDSAUDITLINK__" localSheetId="8" hidden="1">{"fdsup://directions/FAT Viewer?action=UPDATE&amp;creator=factset&amp;DYN_ARGS=TRUE&amp;DOC_NAME=FAT:FQL_AUDITING_CLIENT_TEMPLATE.FAT&amp;display_string=Audit&amp;VAR:KEY=UVWLOZIHUN&amp;VAR:QUERY=RkZfQ0FQRVgoQU5OLDIwMTEp&amp;WINDOW=FIRST_POPUP&amp;HEIGHT=450&amp;WIDTH=450&amp;START_MAXIMIZED=FALS","E&amp;VAR:CALENDAR=FIVEDAY&amp;VAR:SYMBOL=B61G9L&amp;VAR:INDEX=0"}</definedName>
    <definedName name="_697__FDSAUDITLINK__" hidden="1">{"fdsup://directions/FAT Viewer?action=UPDATE&amp;creator=factset&amp;DYN_ARGS=TRUE&amp;DOC_NAME=FAT:FQL_AUDITING_CLIENT_TEMPLATE.FAT&amp;display_string=Audit&amp;VAR:KEY=UVWLOZIHUN&amp;VAR:QUERY=RkZfQ0FQRVgoQU5OLDIwMTEp&amp;WINDOW=FIRST_POPUP&amp;HEIGHT=450&amp;WIDTH=450&amp;START_MAXIMIZED=FALS","E&amp;VAR:CALENDAR=FIVEDAY&amp;VAR:SYMBOL=B61G9L&amp;VAR:INDEX=0"}</definedName>
    <definedName name="_697__FDSAUDITLINK___1" localSheetId="8" hidden="1">{"fdsup://directions/FAT Viewer?action=UPDATE&amp;creator=factset&amp;DYN_ARGS=TRUE&amp;DOC_NAME=FAT:FQL_AUDITING_CLIENT_TEMPLATE.FAT&amp;display_string=Audit&amp;VAR:KEY=UVWLOZIHUN&amp;VAR:QUERY=RkZfQ0FQRVgoQU5OLDIwMTEp&amp;WINDOW=FIRST_POPUP&amp;HEIGHT=450&amp;WIDTH=450&amp;START_MAXIMIZED=FALS","E&amp;VAR:CALENDAR=FIVEDAY&amp;VAR:SYMBOL=B61G9L&amp;VAR:INDEX=0"}</definedName>
    <definedName name="_697__FDSAUDITLINK___1" hidden="1">{"fdsup://directions/FAT Viewer?action=UPDATE&amp;creator=factset&amp;DYN_ARGS=TRUE&amp;DOC_NAME=FAT:FQL_AUDITING_CLIENT_TEMPLATE.FAT&amp;display_string=Audit&amp;VAR:KEY=UVWLOZIHUN&amp;VAR:QUERY=RkZfQ0FQRVgoQU5OLDIwMTEp&amp;WINDOW=FIRST_POPUP&amp;HEIGHT=450&amp;WIDTH=450&amp;START_MAXIMIZED=FALS","E&amp;VAR:CALENDAR=FIVEDAY&amp;VAR:SYMBOL=B61G9L&amp;VAR:INDEX=0"}</definedName>
    <definedName name="_698__FDSAUDITLINK__" localSheetId="8" hidden="1">{"fdsup://directions/FAT Viewer?action=UPDATE&amp;creator=factset&amp;DYN_ARGS=TRUE&amp;DOC_NAME=FAT:FQL_AUDITING_CLIENT_TEMPLATE.FAT&amp;display_string=Audit&amp;VAR:KEY=POBCXCJIXQ&amp;VAR:QUERY=RkZfTkVUX0lOQyhBTk4sMjAwOCk=&amp;WINDOW=FIRST_POPUP&amp;HEIGHT=450&amp;WIDTH=450&amp;START_MAXIMIZED=","FALSE&amp;VAR:CALENDAR=FIVEDAY&amp;VAR:SYMBOL=B61G9L&amp;VAR:INDEX=0"}</definedName>
    <definedName name="_698__FDSAUDITLINK__" hidden="1">{"fdsup://directions/FAT Viewer?action=UPDATE&amp;creator=factset&amp;DYN_ARGS=TRUE&amp;DOC_NAME=FAT:FQL_AUDITING_CLIENT_TEMPLATE.FAT&amp;display_string=Audit&amp;VAR:KEY=POBCXCJIXQ&amp;VAR:QUERY=RkZfTkVUX0lOQyhBTk4sMjAwOCk=&amp;WINDOW=FIRST_POPUP&amp;HEIGHT=450&amp;WIDTH=450&amp;START_MAXIMIZED=","FALSE&amp;VAR:CALENDAR=FIVEDAY&amp;VAR:SYMBOL=B61G9L&amp;VAR:INDEX=0"}</definedName>
    <definedName name="_698__FDSAUDITLINK___1" localSheetId="8" hidden="1">{"fdsup://directions/FAT Viewer?action=UPDATE&amp;creator=factset&amp;DYN_ARGS=TRUE&amp;DOC_NAME=FAT:FQL_AUDITING_CLIENT_TEMPLATE.FAT&amp;display_string=Audit&amp;VAR:KEY=POBCXCJIXQ&amp;VAR:QUERY=RkZfTkVUX0lOQyhBTk4sMjAwOCk=&amp;WINDOW=FIRST_POPUP&amp;HEIGHT=450&amp;WIDTH=450&amp;START_MAXIMIZED=","FALSE&amp;VAR:CALENDAR=FIVEDAY&amp;VAR:SYMBOL=B61G9L&amp;VAR:INDEX=0"}</definedName>
    <definedName name="_698__FDSAUDITLINK___1" hidden="1">{"fdsup://directions/FAT Viewer?action=UPDATE&amp;creator=factset&amp;DYN_ARGS=TRUE&amp;DOC_NAME=FAT:FQL_AUDITING_CLIENT_TEMPLATE.FAT&amp;display_string=Audit&amp;VAR:KEY=POBCXCJIXQ&amp;VAR:QUERY=RkZfTkVUX0lOQyhBTk4sMjAwOCk=&amp;WINDOW=FIRST_POPUP&amp;HEIGHT=450&amp;WIDTH=450&amp;START_MAXIMIZED=","FALSE&amp;VAR:CALENDAR=FIVEDAY&amp;VAR:SYMBOL=B61G9L&amp;VAR:INDEX=0"}</definedName>
    <definedName name="_699__FDSAUDITLINK__" localSheetId="8" hidden="1">{"fdsup://directions/FAT Viewer?action=UPDATE&amp;creator=factset&amp;DYN_ARGS=TRUE&amp;DOC_NAME=FAT:FQL_AUDITING_CLIENT_TEMPLATE.FAT&amp;display_string=Audit&amp;VAR:KEY=HAXIVQDMBC&amp;VAR:QUERY=RkZfTkVUX0lOQyhBTk4sMjAxMCk=&amp;WINDOW=FIRST_POPUP&amp;HEIGHT=450&amp;WIDTH=450&amp;START_MAXIMIZED=","FALSE&amp;VAR:CALENDAR=FIVEDAY&amp;VAR:SYMBOL=B61G9L&amp;VAR:INDEX=0"}</definedName>
    <definedName name="_699__FDSAUDITLINK__" hidden="1">{"fdsup://directions/FAT Viewer?action=UPDATE&amp;creator=factset&amp;DYN_ARGS=TRUE&amp;DOC_NAME=FAT:FQL_AUDITING_CLIENT_TEMPLATE.FAT&amp;display_string=Audit&amp;VAR:KEY=HAXIVQDMBC&amp;VAR:QUERY=RkZfTkVUX0lOQyhBTk4sMjAxMCk=&amp;WINDOW=FIRST_POPUP&amp;HEIGHT=450&amp;WIDTH=450&amp;START_MAXIMIZED=","FALSE&amp;VAR:CALENDAR=FIVEDAY&amp;VAR:SYMBOL=B61G9L&amp;VAR:INDEX=0"}</definedName>
    <definedName name="_699__FDSAUDITLINK___1" localSheetId="8" hidden="1">{"fdsup://directions/FAT Viewer?action=UPDATE&amp;creator=factset&amp;DYN_ARGS=TRUE&amp;DOC_NAME=FAT:FQL_AUDITING_CLIENT_TEMPLATE.FAT&amp;display_string=Audit&amp;VAR:KEY=HAXIVQDMBC&amp;VAR:QUERY=RkZfTkVUX0lOQyhBTk4sMjAxMCk=&amp;WINDOW=FIRST_POPUP&amp;HEIGHT=450&amp;WIDTH=450&amp;START_MAXIMIZED=","FALSE&amp;VAR:CALENDAR=FIVEDAY&amp;VAR:SYMBOL=B61G9L&amp;VAR:INDEX=0"}</definedName>
    <definedName name="_699__FDSAUDITLINK___1" hidden="1">{"fdsup://directions/FAT Viewer?action=UPDATE&amp;creator=factset&amp;DYN_ARGS=TRUE&amp;DOC_NAME=FAT:FQL_AUDITING_CLIENT_TEMPLATE.FAT&amp;display_string=Audit&amp;VAR:KEY=HAXIVQDMBC&amp;VAR:QUERY=RkZfTkVUX0lOQyhBTk4sMjAxMCk=&amp;WINDOW=FIRST_POPUP&amp;HEIGHT=450&amp;WIDTH=450&amp;START_MAXIMIZED=","FALSE&amp;VAR:CALENDAR=FIVEDAY&amp;VAR:SYMBOL=B61G9L&amp;VAR:INDEX=0"}</definedName>
    <definedName name="_7___123Graph_XCHART_2" hidden="1">#REF!</definedName>
    <definedName name="_7__123Graph_ACHART_12" hidden="1">#REF!</definedName>
    <definedName name="_7__123Graph_ACHART_19" hidden="1">#REF!</definedName>
    <definedName name="_7__123Graph_AChart_2" hidden="1">#REF!</definedName>
    <definedName name="_7__123Graph_AChart_2G" hidden="1">#REF!</definedName>
    <definedName name="_7__123Graph_ACHART_6" localSheetId="7" hidden="1">#REF!</definedName>
    <definedName name="_7__123Graph_ACHART_6" localSheetId="8" hidden="1">#REF!</definedName>
    <definedName name="_7__123Graph_ACHART_6" hidden="1">#REF!</definedName>
    <definedName name="_7__123Graph_ACHART_7" localSheetId="8" hidden="1">#REF!</definedName>
    <definedName name="_7__123Graph_ACHART_7" hidden="1">#REF!</definedName>
    <definedName name="_7__123Graph_AGRAFICO_31" localSheetId="8" hidden="1">#REF!</definedName>
    <definedName name="_7__123Graph_AGRAFICO_31" hidden="1">#REF!</definedName>
    <definedName name="_7__123Graph_BCHART_1" hidden="1">#REF!</definedName>
    <definedName name="_7__123Graph_BGRAFICO_20" hidden="1">#REF!</definedName>
    <definedName name="_7__123Graph_BGRAFICO_8" hidden="1">#REF!</definedName>
    <definedName name="_7__123Graph_CCHART_15" hidden="1">#REF!</definedName>
    <definedName name="_7__123Graph_CGRAFICO_20" hidden="1">#REF!</definedName>
    <definedName name="_7__123Graph_DCHART_1" hidden="1">#REF!</definedName>
    <definedName name="_7__123Graph_DOG_CONFRONT_INC" hidden="1">#REF!</definedName>
    <definedName name="_7__123Graph_LBL_ACHART_3" hidden="1">#REF!</definedName>
    <definedName name="_7__123Graph_XCHART_2" hidden="1">#REF!</definedName>
    <definedName name="_7__FDSAUDITLINK__" localSheetId="8" hidden="1">{"fdsup://Directions/FactSet Auditing Viewer?action=AUDIT_VALUE&amp;DB=129&amp;ID1=591344&amp;VALUEID=01001&amp;SDATE=2008&amp;PERIODTYPE=ANN_STD&amp;window=popup_no_bar&amp;width=385&amp;height=120&amp;START_MAXIMIZED=FALSE&amp;creator=factset&amp;display_string=Audit"}</definedName>
    <definedName name="_7__FDSAUDITLINK__" hidden="1">{"fdsup://directions/FAT Viewer?action=UPDATE&amp;creator=factset&amp;DYN_ARGS=TRUE&amp;DOC_NAME=FAT:FQL_AUDITING_CLIENT_TEMPLATE.FAT&amp;display_string=Audit&amp;VAR:KEY=ZSPKHQLCRQ&amp;VAR:QUERY=RkZfRU5UUlBSX1ZBTF9EQUlMWSg0MTExMCwsLCwsJ0RJTCcp&amp;WINDOW=FIRST_POPUP&amp;HEIGHT=450&amp;WIDTH=","450&amp;START_MAXIMIZED=FALSE&amp;VAR:CALENDAR=US&amp;VAR:SYMBOL=TXI&amp;VAR:INDEX=0"}</definedName>
    <definedName name="_7__FDSAUDITLINK___1" localSheetId="8" hidden="1">{"fdsup://Directions/FactSet Auditing Viewer?action=AUDIT_VALUE&amp;DB=129&amp;ID1=591344&amp;VALUEID=01001&amp;SDATE=2008&amp;PERIODTYPE=ANN_STD&amp;window=popup_no_bar&amp;width=385&amp;height=120&amp;START_MAXIMIZED=FALSE&amp;creator=factset&amp;display_string=Audit"}</definedName>
    <definedName name="_7__FDSAUDITLINK___1" hidden="1">{"fdsup://Directions/FactSet Auditing Viewer?action=AUDIT_VALUE&amp;DB=129&amp;ID1=591344&amp;VALUEID=01001&amp;SDATE=2008&amp;PERIODTYPE=ANN_STD&amp;window=popup_no_bar&amp;width=385&amp;height=120&amp;START_MAXIMIZED=FALSE&amp;creator=factset&amp;display_string=Audit"}</definedName>
    <definedName name="_7_123Graph_ADEL" hidden="1">#REF!</definedName>
    <definedName name="_70__123Graph_CCHART_14" hidden="1">#REF!</definedName>
    <definedName name="_70__123Graph_DCHART_31" localSheetId="8" hidden="1">#REF!</definedName>
    <definedName name="_70__123Graph_DCHART_31" hidden="1">#REF!</definedName>
    <definedName name="_70__123Graph_LBL_BCHART_14" hidden="1">#REF!</definedName>
    <definedName name="_70__FDSAUDITLINK__" localSheetId="8" hidden="1">{"fdsup://directions/FAT Viewer?action=UPDATE&amp;creator=factset&amp;DYN_ARGS=TRUE&amp;DOC_NAME=FAT:FQL_AUDITING_CLIENT_TEMPLATE.FAT&amp;display_string=Audit&amp;VAR:KEY=JEFEPMFSDA&amp;VAR:QUERY=RkZfRUJJVF9JQignQU5OJywzNTA2NCwsLCwnR0JQJyk=&amp;WINDOW=FIRST_POPUP&amp;HEIGHT=450&amp;WIDTH=450&amp;","START_MAXIMIZED=FALSE&amp;VAR:CALENDAR=FIVEDAY&amp;VAR:SYMBOL=011827&amp;VAR:INDEX=0"}</definedName>
    <definedName name="_70__FDSAUDITLINK__" hidden="1">{"fdsup://directions/FAT Viewer?action=UPDATE&amp;creator=factset&amp;DYN_ARGS=TRUE&amp;DOC_NAME=FAT:FQL_AUDITING_CLIENT_TEMPLATE.FAT&amp;display_string=Audit&amp;VAR:KEY=VIBEPOFQDY&amp;VAR:QUERY=RkZfRUJJVF9PUEVSKENBTCwyMDExKQ==&amp;WINDOW=FIRST_POPUP&amp;HEIGHT=450&amp;WIDTH=450&amp;START_MAXIMI","ZED=FALSE&amp;VAR:CALENDAR=US&amp;VAR:SYMBOL=450270&amp;VAR:INDEX=0"}</definedName>
    <definedName name="_70__FDSAUDITLINK___1" localSheetId="8" hidden="1">{"fdsup://directions/FAT Viewer?action=UPDATE&amp;creator=factset&amp;DYN_ARGS=TRUE&amp;DOC_NAME=FAT:FQL_AUDITING_CLIENT_TEMPLATE.FAT&amp;display_string=Audit&amp;VAR:KEY=JEFEPMFSDA&amp;VAR:QUERY=RkZfRUJJVF9JQignQU5OJywzNTA2NCwsLCwnR0JQJyk=&amp;WINDOW=FIRST_POPUP&amp;HEIGHT=450&amp;WIDTH=450&amp;","START_MAXIMIZED=FALSE&amp;VAR:CALENDAR=FIVEDAY&amp;VAR:SYMBOL=011827&amp;VAR:INDEX=0"}</definedName>
    <definedName name="_70__FDSAUDITLINK___1" hidden="1">{"fdsup://directions/FAT Viewer?action=UPDATE&amp;creator=factset&amp;DYN_ARGS=TRUE&amp;DOC_NAME=FAT:FQL_AUDITING_CLIENT_TEMPLATE.FAT&amp;display_string=Audit&amp;VAR:KEY=JEFEPMFSDA&amp;VAR:QUERY=RkZfRUJJVF9JQignQU5OJywzNTA2NCwsLCwnR0JQJyk=&amp;WINDOW=FIRST_POPUP&amp;HEIGHT=450&amp;WIDTH=450&amp;","START_MAXIMIZED=FALSE&amp;VAR:CALENDAR=FIVEDAY&amp;VAR:SYMBOL=011827&amp;VAR:INDEX=0"}</definedName>
    <definedName name="_700__FDSAUDITLINK__" localSheetId="8" hidden="1">{"fdsup://Directions/FactSet Auditing Viewer?action=AUDIT_VALUE&amp;DB=129&amp;ID1=775943&amp;VALUEID=01001&amp;SDATE=2009&amp;PERIODTYPE=ANN_STD&amp;SCFT=3&amp;window=popup_no_bar&amp;width=385&amp;height=120&amp;START_MAXIMIZED=FALSE&amp;creator=factset&amp;display_string=Audit"}</definedName>
    <definedName name="_700__FDSAUDITLINK__" hidden="1">{"fdsup://Directions/FactSet Auditing Viewer?action=AUDIT_VALUE&amp;DB=129&amp;ID1=775943&amp;VALUEID=01001&amp;SDATE=2009&amp;PERIODTYPE=ANN_STD&amp;SCFT=3&amp;window=popup_no_bar&amp;width=385&amp;height=120&amp;START_MAXIMIZED=FALSE&amp;creator=factset&amp;display_string=Audit"}</definedName>
    <definedName name="_700__FDSAUDITLINK___1" localSheetId="8" hidden="1">{"fdsup://Directions/FactSet Auditing Viewer?action=AUDIT_VALUE&amp;DB=129&amp;ID1=775943&amp;VALUEID=01001&amp;SDATE=2009&amp;PERIODTYPE=ANN_STD&amp;SCFT=3&amp;window=popup_no_bar&amp;width=385&amp;height=120&amp;START_MAXIMIZED=FALSE&amp;creator=factset&amp;display_string=Audit"}</definedName>
    <definedName name="_700__FDSAUDITLINK___1" hidden="1">{"fdsup://Directions/FactSet Auditing Viewer?action=AUDIT_VALUE&amp;DB=129&amp;ID1=775943&amp;VALUEID=01001&amp;SDATE=2009&amp;PERIODTYPE=ANN_STD&amp;SCFT=3&amp;window=popup_no_bar&amp;width=385&amp;height=120&amp;START_MAXIMIZED=FALSE&amp;creator=factset&amp;display_string=Audit"}</definedName>
    <definedName name="_701__FDSAUDITLINK__" localSheetId="8" hidden="1">{"fdsup://Directions/FactSet Auditing Viewer?action=AUDIT_VALUE&amp;DB=129&amp;ID1=775943&amp;VALUEID=01001&amp;SDATE=2011&amp;PERIODTYPE=ANN_STD&amp;SCFT=3&amp;window=popup_no_bar&amp;width=385&amp;height=120&amp;START_MAXIMIZED=FALSE&amp;creator=factset&amp;display_string=Audit"}</definedName>
    <definedName name="_701__FDSAUDITLINK__" hidden="1">{"fdsup://Directions/FactSet Auditing Viewer?action=AUDIT_VALUE&amp;DB=129&amp;ID1=775943&amp;VALUEID=01001&amp;SDATE=2011&amp;PERIODTYPE=ANN_STD&amp;SCFT=3&amp;window=popup_no_bar&amp;width=385&amp;height=120&amp;START_MAXIMIZED=FALSE&amp;creator=factset&amp;display_string=Audit"}</definedName>
    <definedName name="_701__FDSAUDITLINK___1" localSheetId="8" hidden="1">{"fdsup://Directions/FactSet Auditing Viewer?action=AUDIT_VALUE&amp;DB=129&amp;ID1=775943&amp;VALUEID=01001&amp;SDATE=2011&amp;PERIODTYPE=ANN_STD&amp;SCFT=3&amp;window=popup_no_bar&amp;width=385&amp;height=120&amp;START_MAXIMIZED=FALSE&amp;creator=factset&amp;display_string=Audit"}</definedName>
    <definedName name="_701__FDSAUDITLINK___1" hidden="1">{"fdsup://Directions/FactSet Auditing Viewer?action=AUDIT_VALUE&amp;DB=129&amp;ID1=775943&amp;VALUEID=01001&amp;SDATE=2011&amp;PERIODTYPE=ANN_STD&amp;SCFT=3&amp;window=popup_no_bar&amp;width=385&amp;height=120&amp;START_MAXIMIZED=FALSE&amp;creator=factset&amp;display_string=Audit"}</definedName>
    <definedName name="_702__FDSAUDITLINK__" localSheetId="8" hidden="1">{"fdsup://directions/FAT Viewer?action=UPDATE&amp;creator=factset&amp;DYN_ARGS=TRUE&amp;DOC_NAME=FAT:FQL_AUDITING_CLIENT_TEMPLATE.FAT&amp;display_string=Audit&amp;VAR:KEY=GTEVKPEBOP&amp;VAR:QUERY=RkZfRUJJVERBX09QRVIoQU5OLDIwMDgp&amp;WINDOW=FIRST_POPUP&amp;HEIGHT=450&amp;WIDTH=450&amp;START_MAXIMI","ZED=FALSE&amp;VAR:CALENDAR=FIVEDAY&amp;VAR:SYMBOL=775943&amp;VAR:INDEX=0"}</definedName>
    <definedName name="_702__FDSAUDITLINK__" hidden="1">{"fdsup://directions/FAT Viewer?action=UPDATE&amp;creator=factset&amp;DYN_ARGS=TRUE&amp;DOC_NAME=FAT:FQL_AUDITING_CLIENT_TEMPLATE.FAT&amp;display_string=Audit&amp;VAR:KEY=GTEVKPEBOP&amp;VAR:QUERY=RkZfRUJJVERBX09QRVIoQU5OLDIwMDgp&amp;WINDOW=FIRST_POPUP&amp;HEIGHT=450&amp;WIDTH=450&amp;START_MAXIMI","ZED=FALSE&amp;VAR:CALENDAR=FIVEDAY&amp;VAR:SYMBOL=775943&amp;VAR:INDEX=0"}</definedName>
    <definedName name="_702__FDSAUDITLINK___1" localSheetId="8" hidden="1">{"fdsup://directions/FAT Viewer?action=UPDATE&amp;creator=factset&amp;DYN_ARGS=TRUE&amp;DOC_NAME=FAT:FQL_AUDITING_CLIENT_TEMPLATE.FAT&amp;display_string=Audit&amp;VAR:KEY=GTEVKPEBOP&amp;VAR:QUERY=RkZfRUJJVERBX09QRVIoQU5OLDIwMDgp&amp;WINDOW=FIRST_POPUP&amp;HEIGHT=450&amp;WIDTH=450&amp;START_MAXIMI","ZED=FALSE&amp;VAR:CALENDAR=FIVEDAY&amp;VAR:SYMBOL=775943&amp;VAR:INDEX=0"}</definedName>
    <definedName name="_702__FDSAUDITLINK___1" hidden="1">{"fdsup://directions/FAT Viewer?action=UPDATE&amp;creator=factset&amp;DYN_ARGS=TRUE&amp;DOC_NAME=FAT:FQL_AUDITING_CLIENT_TEMPLATE.FAT&amp;display_string=Audit&amp;VAR:KEY=GTEVKPEBOP&amp;VAR:QUERY=RkZfRUJJVERBX09QRVIoQU5OLDIwMDgp&amp;WINDOW=FIRST_POPUP&amp;HEIGHT=450&amp;WIDTH=450&amp;START_MAXIMI","ZED=FALSE&amp;VAR:CALENDAR=FIVEDAY&amp;VAR:SYMBOL=775943&amp;VAR:INDEX=0"}</definedName>
    <definedName name="_703__FDSAUDITLINK__" localSheetId="8" hidden="1">{"fdsup://directions/FAT Viewer?action=UPDATE&amp;creator=factset&amp;DYN_ARGS=TRUE&amp;DOC_NAME=FAT:FQL_AUDITING_CLIENT_TEMPLATE.FAT&amp;display_string=Audit&amp;VAR:KEY=UFIDOBELWR&amp;VAR:QUERY=RkZfRUJJVERBX09QRVIoQU5OLDIwMTAp&amp;WINDOW=FIRST_POPUP&amp;HEIGHT=450&amp;WIDTH=450&amp;START_MAXIMI","ZED=FALSE&amp;VAR:CALENDAR=FIVEDAY&amp;VAR:SYMBOL=775943&amp;VAR:INDEX=0"}</definedName>
    <definedName name="_703__FDSAUDITLINK__" hidden="1">{"fdsup://directions/FAT Viewer?action=UPDATE&amp;creator=factset&amp;DYN_ARGS=TRUE&amp;DOC_NAME=FAT:FQL_AUDITING_CLIENT_TEMPLATE.FAT&amp;display_string=Audit&amp;VAR:KEY=UFIDOBELWR&amp;VAR:QUERY=RkZfRUJJVERBX09QRVIoQU5OLDIwMTAp&amp;WINDOW=FIRST_POPUP&amp;HEIGHT=450&amp;WIDTH=450&amp;START_MAXIMI","ZED=FALSE&amp;VAR:CALENDAR=FIVEDAY&amp;VAR:SYMBOL=775943&amp;VAR:INDEX=0"}</definedName>
    <definedName name="_703__FDSAUDITLINK___1" localSheetId="8" hidden="1">{"fdsup://directions/FAT Viewer?action=UPDATE&amp;creator=factset&amp;DYN_ARGS=TRUE&amp;DOC_NAME=FAT:FQL_AUDITING_CLIENT_TEMPLATE.FAT&amp;display_string=Audit&amp;VAR:KEY=UFIDOBELWR&amp;VAR:QUERY=RkZfRUJJVERBX09QRVIoQU5OLDIwMTAp&amp;WINDOW=FIRST_POPUP&amp;HEIGHT=450&amp;WIDTH=450&amp;START_MAXIMI","ZED=FALSE&amp;VAR:CALENDAR=FIVEDAY&amp;VAR:SYMBOL=775943&amp;VAR:INDEX=0"}</definedName>
    <definedName name="_703__FDSAUDITLINK___1" hidden="1">{"fdsup://directions/FAT Viewer?action=UPDATE&amp;creator=factset&amp;DYN_ARGS=TRUE&amp;DOC_NAME=FAT:FQL_AUDITING_CLIENT_TEMPLATE.FAT&amp;display_string=Audit&amp;VAR:KEY=UFIDOBELWR&amp;VAR:QUERY=RkZfRUJJVERBX09QRVIoQU5OLDIwMTAp&amp;WINDOW=FIRST_POPUP&amp;HEIGHT=450&amp;WIDTH=450&amp;START_MAXIMI","ZED=FALSE&amp;VAR:CALENDAR=FIVEDAY&amp;VAR:SYMBOL=775943&amp;VAR:INDEX=0"}</definedName>
    <definedName name="_704__FDSAUDITLINK__" localSheetId="8" hidden="1">{"fdsup://Directions/FactSet Auditing Viewer?action=AUDIT_VALUE&amp;DB=129&amp;ID1=775943&amp;VALUEID=01250&amp;SDATE=2009&amp;PERIODTYPE=ANN_STD&amp;SCFT=3&amp;window=popup_no_bar&amp;width=385&amp;height=120&amp;START_MAXIMIZED=FALSE&amp;creator=factset&amp;display_string=Audit"}</definedName>
    <definedName name="_704__FDSAUDITLINK__" hidden="1">{"fdsup://Directions/FactSet Auditing Viewer?action=AUDIT_VALUE&amp;DB=129&amp;ID1=775943&amp;VALUEID=01250&amp;SDATE=2009&amp;PERIODTYPE=ANN_STD&amp;SCFT=3&amp;window=popup_no_bar&amp;width=385&amp;height=120&amp;START_MAXIMIZED=FALSE&amp;creator=factset&amp;display_string=Audit"}</definedName>
    <definedName name="_704__FDSAUDITLINK___1" localSheetId="8" hidden="1">{"fdsup://Directions/FactSet Auditing Viewer?action=AUDIT_VALUE&amp;DB=129&amp;ID1=775943&amp;VALUEID=01250&amp;SDATE=2009&amp;PERIODTYPE=ANN_STD&amp;SCFT=3&amp;window=popup_no_bar&amp;width=385&amp;height=120&amp;START_MAXIMIZED=FALSE&amp;creator=factset&amp;display_string=Audit"}</definedName>
    <definedName name="_704__FDSAUDITLINK___1" hidden="1">{"fdsup://Directions/FactSet Auditing Viewer?action=AUDIT_VALUE&amp;DB=129&amp;ID1=775943&amp;VALUEID=01250&amp;SDATE=2009&amp;PERIODTYPE=ANN_STD&amp;SCFT=3&amp;window=popup_no_bar&amp;width=385&amp;height=120&amp;START_MAXIMIZED=FALSE&amp;creator=factset&amp;display_string=Audit"}</definedName>
    <definedName name="_705__FDSAUDITLINK__" localSheetId="8" hidden="1">{"fdsup://Directions/FactSet Auditing Viewer?action=AUDIT_VALUE&amp;DB=129&amp;ID1=775943&amp;VALUEID=01250&amp;SDATE=2010&amp;PERIODTYPE=ANN_STD&amp;SCFT=3&amp;window=popup_no_bar&amp;width=385&amp;height=120&amp;START_MAXIMIZED=FALSE&amp;creator=factset&amp;display_string=Audit"}</definedName>
    <definedName name="_705__FDSAUDITLINK__" hidden="1">{"fdsup://Directions/FactSet Auditing Viewer?action=AUDIT_VALUE&amp;DB=129&amp;ID1=775943&amp;VALUEID=01250&amp;SDATE=2010&amp;PERIODTYPE=ANN_STD&amp;SCFT=3&amp;window=popup_no_bar&amp;width=385&amp;height=120&amp;START_MAXIMIZED=FALSE&amp;creator=factset&amp;display_string=Audit"}</definedName>
    <definedName name="_705__FDSAUDITLINK___1" localSheetId="8" hidden="1">{"fdsup://Directions/FactSet Auditing Viewer?action=AUDIT_VALUE&amp;DB=129&amp;ID1=775943&amp;VALUEID=01250&amp;SDATE=2010&amp;PERIODTYPE=ANN_STD&amp;SCFT=3&amp;window=popup_no_bar&amp;width=385&amp;height=120&amp;START_MAXIMIZED=FALSE&amp;creator=factset&amp;display_string=Audit"}</definedName>
    <definedName name="_705__FDSAUDITLINK___1" hidden="1">{"fdsup://Directions/FactSet Auditing Viewer?action=AUDIT_VALUE&amp;DB=129&amp;ID1=775943&amp;VALUEID=01250&amp;SDATE=2010&amp;PERIODTYPE=ANN_STD&amp;SCFT=3&amp;window=popup_no_bar&amp;width=385&amp;height=120&amp;START_MAXIMIZED=FALSE&amp;creator=factset&amp;display_string=Audit"}</definedName>
    <definedName name="_706__FDSAUDITLINK__" localSheetId="8" hidden="1">{"fdsup://directions/FAT Viewer?action=UPDATE&amp;creator=factset&amp;DYN_ARGS=TRUE&amp;DOC_NAME=FAT:FQL_AUDITING_CLIENT_TEMPLATE.FAT&amp;display_string=Audit&amp;VAR:KEY=CBKJSRMXWD&amp;VAR:QUERY=RkZfQ0FQRVgoQU5OLDIwMDgp&amp;WINDOW=FIRST_POPUP&amp;HEIGHT=450&amp;WIDTH=450&amp;START_MAXIMIZED=FALS","E&amp;VAR:CALENDAR=FIVEDAY&amp;VAR:SYMBOL=775943&amp;VAR:INDEX=0"}</definedName>
    <definedName name="_706__FDSAUDITLINK__" hidden="1">{"fdsup://directions/FAT Viewer?action=UPDATE&amp;creator=factset&amp;DYN_ARGS=TRUE&amp;DOC_NAME=FAT:FQL_AUDITING_CLIENT_TEMPLATE.FAT&amp;display_string=Audit&amp;VAR:KEY=CBKJSRMXWD&amp;VAR:QUERY=RkZfQ0FQRVgoQU5OLDIwMDgp&amp;WINDOW=FIRST_POPUP&amp;HEIGHT=450&amp;WIDTH=450&amp;START_MAXIMIZED=FALS","E&amp;VAR:CALENDAR=FIVEDAY&amp;VAR:SYMBOL=775943&amp;VAR:INDEX=0"}</definedName>
    <definedName name="_706__FDSAUDITLINK___1" localSheetId="8" hidden="1">{"fdsup://directions/FAT Viewer?action=UPDATE&amp;creator=factset&amp;DYN_ARGS=TRUE&amp;DOC_NAME=FAT:FQL_AUDITING_CLIENT_TEMPLATE.FAT&amp;display_string=Audit&amp;VAR:KEY=CBKJSRMXWD&amp;VAR:QUERY=RkZfQ0FQRVgoQU5OLDIwMDgp&amp;WINDOW=FIRST_POPUP&amp;HEIGHT=450&amp;WIDTH=450&amp;START_MAXIMIZED=FALS","E&amp;VAR:CALENDAR=FIVEDAY&amp;VAR:SYMBOL=775943&amp;VAR:INDEX=0"}</definedName>
    <definedName name="_706__FDSAUDITLINK___1" hidden="1">{"fdsup://directions/FAT Viewer?action=UPDATE&amp;creator=factset&amp;DYN_ARGS=TRUE&amp;DOC_NAME=FAT:FQL_AUDITING_CLIENT_TEMPLATE.FAT&amp;display_string=Audit&amp;VAR:KEY=CBKJSRMXWD&amp;VAR:QUERY=RkZfQ0FQRVgoQU5OLDIwMDgp&amp;WINDOW=FIRST_POPUP&amp;HEIGHT=450&amp;WIDTH=450&amp;START_MAXIMIZED=FALS","E&amp;VAR:CALENDAR=FIVEDAY&amp;VAR:SYMBOL=775943&amp;VAR:INDEX=0"}</definedName>
    <definedName name="_707__FDSAUDITLINK__" localSheetId="8" hidden="1">{"fdsup://directions/FAT Viewer?action=UPDATE&amp;creator=factset&amp;DYN_ARGS=TRUE&amp;DOC_NAME=FAT:FQL_AUDITING_CLIENT_TEMPLATE.FAT&amp;display_string=Audit&amp;VAR:KEY=QTEFETEHYZ&amp;VAR:QUERY=RkZfQ0FQRVgoQU5OLDIwMTAp&amp;WINDOW=FIRST_POPUP&amp;HEIGHT=450&amp;WIDTH=450&amp;START_MAXIMIZED=FALS","E&amp;VAR:CALENDAR=FIVEDAY&amp;VAR:SYMBOL=775943&amp;VAR:INDEX=0"}</definedName>
    <definedName name="_707__FDSAUDITLINK__" hidden="1">{"fdsup://directions/FAT Viewer?action=UPDATE&amp;creator=factset&amp;DYN_ARGS=TRUE&amp;DOC_NAME=FAT:FQL_AUDITING_CLIENT_TEMPLATE.FAT&amp;display_string=Audit&amp;VAR:KEY=QTEFETEHYZ&amp;VAR:QUERY=RkZfQ0FQRVgoQU5OLDIwMTAp&amp;WINDOW=FIRST_POPUP&amp;HEIGHT=450&amp;WIDTH=450&amp;START_MAXIMIZED=FALS","E&amp;VAR:CALENDAR=FIVEDAY&amp;VAR:SYMBOL=775943&amp;VAR:INDEX=0"}</definedName>
    <definedName name="_707__FDSAUDITLINK___1" localSheetId="8" hidden="1">{"fdsup://directions/FAT Viewer?action=UPDATE&amp;creator=factset&amp;DYN_ARGS=TRUE&amp;DOC_NAME=FAT:FQL_AUDITING_CLIENT_TEMPLATE.FAT&amp;display_string=Audit&amp;VAR:KEY=QTEFETEHYZ&amp;VAR:QUERY=RkZfQ0FQRVgoQU5OLDIwMTAp&amp;WINDOW=FIRST_POPUP&amp;HEIGHT=450&amp;WIDTH=450&amp;START_MAXIMIZED=FALS","E&amp;VAR:CALENDAR=FIVEDAY&amp;VAR:SYMBOL=775943&amp;VAR:INDEX=0"}</definedName>
    <definedName name="_707__FDSAUDITLINK___1" hidden="1">{"fdsup://directions/FAT Viewer?action=UPDATE&amp;creator=factset&amp;DYN_ARGS=TRUE&amp;DOC_NAME=FAT:FQL_AUDITING_CLIENT_TEMPLATE.FAT&amp;display_string=Audit&amp;VAR:KEY=QTEFETEHYZ&amp;VAR:QUERY=RkZfQ0FQRVgoQU5OLDIwMTAp&amp;WINDOW=FIRST_POPUP&amp;HEIGHT=450&amp;WIDTH=450&amp;START_MAXIMIZED=FALS","E&amp;VAR:CALENDAR=FIVEDAY&amp;VAR:SYMBOL=775943&amp;VAR:INDEX=0"}</definedName>
    <definedName name="_708__FDSAUDITLINK__" localSheetId="8" hidden="1">{"fdsup://directions/FAT Viewer?action=UPDATE&amp;creator=factset&amp;DYN_ARGS=TRUE&amp;DOC_NAME=FAT:FQL_AUDITING_CLIENT_TEMPLATE.FAT&amp;display_string=Audit&amp;VAR:KEY=DUPGJQHMVE&amp;VAR:QUERY=RkZfTkVUX0lOQyhBTk4sMjAwOSk=&amp;WINDOW=FIRST_POPUP&amp;HEIGHT=450&amp;WIDTH=450&amp;START_MAXIMIZED=","FALSE&amp;VAR:CALENDAR=FIVEDAY&amp;VAR:SYMBOL=775943&amp;VAR:INDEX=0"}</definedName>
    <definedName name="_708__FDSAUDITLINK__" hidden="1">{"fdsup://directions/FAT Viewer?action=UPDATE&amp;creator=factset&amp;DYN_ARGS=TRUE&amp;DOC_NAME=FAT:FQL_AUDITING_CLIENT_TEMPLATE.FAT&amp;display_string=Audit&amp;VAR:KEY=DUPGJQHMVE&amp;VAR:QUERY=RkZfTkVUX0lOQyhBTk4sMjAwOSk=&amp;WINDOW=FIRST_POPUP&amp;HEIGHT=450&amp;WIDTH=450&amp;START_MAXIMIZED=","FALSE&amp;VAR:CALENDAR=FIVEDAY&amp;VAR:SYMBOL=775943&amp;VAR:INDEX=0"}</definedName>
    <definedName name="_708__FDSAUDITLINK___1" localSheetId="8" hidden="1">{"fdsup://directions/FAT Viewer?action=UPDATE&amp;creator=factset&amp;DYN_ARGS=TRUE&amp;DOC_NAME=FAT:FQL_AUDITING_CLIENT_TEMPLATE.FAT&amp;display_string=Audit&amp;VAR:KEY=DUPGJQHMVE&amp;VAR:QUERY=RkZfTkVUX0lOQyhBTk4sMjAwOSk=&amp;WINDOW=FIRST_POPUP&amp;HEIGHT=450&amp;WIDTH=450&amp;START_MAXIMIZED=","FALSE&amp;VAR:CALENDAR=FIVEDAY&amp;VAR:SYMBOL=775943&amp;VAR:INDEX=0"}</definedName>
    <definedName name="_708__FDSAUDITLINK___1" hidden="1">{"fdsup://directions/FAT Viewer?action=UPDATE&amp;creator=factset&amp;DYN_ARGS=TRUE&amp;DOC_NAME=FAT:FQL_AUDITING_CLIENT_TEMPLATE.FAT&amp;display_string=Audit&amp;VAR:KEY=DUPGJQHMVE&amp;VAR:QUERY=RkZfTkVUX0lOQyhBTk4sMjAwOSk=&amp;WINDOW=FIRST_POPUP&amp;HEIGHT=450&amp;WIDTH=450&amp;START_MAXIMIZED=","FALSE&amp;VAR:CALENDAR=FIVEDAY&amp;VAR:SYMBOL=775943&amp;VAR:INDEX=0"}</definedName>
    <definedName name="_709__FDSAUDITLINK__" localSheetId="8" hidden="1">{"fdsup://directions/FAT Viewer?action=UPDATE&amp;creator=factset&amp;DYN_ARGS=TRUE&amp;DOC_NAME=FAT:FQL_AUDITING_CLIENT_TEMPLATE.FAT&amp;display_string=Audit&amp;VAR:KEY=LOBCZOVITO&amp;VAR:QUERY=RkZfTkVUX0lOQyhBTk4sMjAxMSk=&amp;WINDOW=FIRST_POPUP&amp;HEIGHT=450&amp;WIDTH=450&amp;START_MAXIMIZED=","FALSE&amp;VAR:CALENDAR=FIVEDAY&amp;VAR:SYMBOL=775943&amp;VAR:INDEX=0"}</definedName>
    <definedName name="_709__FDSAUDITLINK__" hidden="1">{"fdsup://directions/FAT Viewer?action=UPDATE&amp;creator=factset&amp;DYN_ARGS=TRUE&amp;DOC_NAME=FAT:FQL_AUDITING_CLIENT_TEMPLATE.FAT&amp;display_string=Audit&amp;VAR:KEY=LOBCZOVITO&amp;VAR:QUERY=RkZfTkVUX0lOQyhBTk4sMjAxMSk=&amp;WINDOW=FIRST_POPUP&amp;HEIGHT=450&amp;WIDTH=450&amp;START_MAXIMIZED=","FALSE&amp;VAR:CALENDAR=FIVEDAY&amp;VAR:SYMBOL=775943&amp;VAR:INDEX=0"}</definedName>
    <definedName name="_709__FDSAUDITLINK___1" localSheetId="8" hidden="1">{"fdsup://directions/FAT Viewer?action=UPDATE&amp;creator=factset&amp;DYN_ARGS=TRUE&amp;DOC_NAME=FAT:FQL_AUDITING_CLIENT_TEMPLATE.FAT&amp;display_string=Audit&amp;VAR:KEY=LOBCZOVITO&amp;VAR:QUERY=RkZfTkVUX0lOQyhBTk4sMjAxMSk=&amp;WINDOW=FIRST_POPUP&amp;HEIGHT=450&amp;WIDTH=450&amp;START_MAXIMIZED=","FALSE&amp;VAR:CALENDAR=FIVEDAY&amp;VAR:SYMBOL=775943&amp;VAR:INDEX=0"}</definedName>
    <definedName name="_709__FDSAUDITLINK___1" hidden="1">{"fdsup://directions/FAT Viewer?action=UPDATE&amp;creator=factset&amp;DYN_ARGS=TRUE&amp;DOC_NAME=FAT:FQL_AUDITING_CLIENT_TEMPLATE.FAT&amp;display_string=Audit&amp;VAR:KEY=LOBCZOVITO&amp;VAR:QUERY=RkZfTkVUX0lOQyhBTk4sMjAxMSk=&amp;WINDOW=FIRST_POPUP&amp;HEIGHT=450&amp;WIDTH=450&amp;START_MAXIMIZED=","FALSE&amp;VAR:CALENDAR=FIVEDAY&amp;VAR:SYMBOL=775943&amp;VAR:INDEX=0"}</definedName>
    <definedName name="_71__123Graph_CCHART_2" hidden="1">#REF!</definedName>
    <definedName name="_71__123Graph_DCHART_4" localSheetId="8" hidden="1">#REF!</definedName>
    <definedName name="_71__123Graph_DCHART_4" hidden="1">#REF!</definedName>
    <definedName name="_71__123Graph_LBL_BCHART_15" hidden="1">#REF!</definedName>
    <definedName name="_71__FDSAUDITLINK__" localSheetId="8" hidden="1">{"fdsup://directions/FAT Viewer?action=UPDATE&amp;creator=factset&amp;DYN_ARGS=TRUE&amp;DOC_NAME=FAT:FQL_AUDITING_CLIENT_TEMPLATE.FAT&amp;display_string=Audit&amp;VAR:KEY=XGFIHWNSPI&amp;VAR:QUERY=RkZfRUJJVF9JQignQU5OJywzNDY5OSwsLCwnR0JQJyk=&amp;WINDOW=FIRST_POPUP&amp;HEIGHT=450&amp;WIDTH=450&amp;","START_MAXIMIZED=FALSE&amp;VAR:CALENDAR=FIVEDAY&amp;VAR:SYMBOL=011827&amp;VAR:INDEX=0"}</definedName>
    <definedName name="_71__FDSAUDITLINK__" hidden="1">{"fdsup://directions/FAT Viewer?action=UPDATE&amp;creator=factset&amp;DYN_ARGS=TRUE&amp;DOC_NAME=FAT:FQL_AUDITING_CLIENT_TEMPLATE.FAT&amp;display_string=Audit&amp;VAR:KEY=MBUVEFUTEL&amp;VAR:QUERY=RkZfRUJJVF9PUEVSKENBTCwyMDExKQ==&amp;WINDOW=FIRST_POPUP&amp;HEIGHT=450&amp;WIDTH=450&amp;START_MAXIMI","ZED=FALSE&amp;VAR:CALENDAR=US&amp;VAR:SYMBOL=BLDR&amp;VAR:INDEX=0"}</definedName>
    <definedName name="_71__FDSAUDITLINK___1" localSheetId="8" hidden="1">{"fdsup://directions/FAT Viewer?action=UPDATE&amp;creator=factset&amp;DYN_ARGS=TRUE&amp;DOC_NAME=FAT:FQL_AUDITING_CLIENT_TEMPLATE.FAT&amp;display_string=Audit&amp;VAR:KEY=XGFIHWNSPI&amp;VAR:QUERY=RkZfRUJJVF9JQignQU5OJywzNDY5OSwsLCwnR0JQJyk=&amp;WINDOW=FIRST_POPUP&amp;HEIGHT=450&amp;WIDTH=450&amp;","START_MAXIMIZED=FALSE&amp;VAR:CALENDAR=FIVEDAY&amp;VAR:SYMBOL=011827&amp;VAR:INDEX=0"}</definedName>
    <definedName name="_71__FDSAUDITLINK___1" hidden="1">{"fdsup://directions/FAT Viewer?action=UPDATE&amp;creator=factset&amp;DYN_ARGS=TRUE&amp;DOC_NAME=FAT:FQL_AUDITING_CLIENT_TEMPLATE.FAT&amp;display_string=Audit&amp;VAR:KEY=XGFIHWNSPI&amp;VAR:QUERY=RkZfRUJJVF9JQignQU5OJywzNDY5OSwsLCwnR0JQJyk=&amp;WINDOW=FIRST_POPUP&amp;HEIGHT=450&amp;WIDTH=450&amp;","START_MAXIMIZED=FALSE&amp;VAR:CALENDAR=FIVEDAY&amp;VAR:SYMBOL=011827&amp;VAR:INDEX=0"}</definedName>
    <definedName name="_710__FDSAUDITLINK__" localSheetId="8" hidden="1">{"fdsup://directions/FAT Viewer?action=UPDATE&amp;creator=factset&amp;DYN_ARGS=TRUE&amp;DOC_NAME=FAT:FQL_AUDITING_CLIENT_TEMPLATE.FAT&amp;display_string=Audit&amp;VAR:KEY=JCXYRENYPE&amp;VAR:QUERY=RkZfRU5UUlBSX1ZBTF9EQUlMWSgwLCwsLCwnRElMJyk=&amp;WINDOW=FIRST_POPUP&amp;HEIGHT=450&amp;WIDTH=450&amp;","START_MAXIMIZED=FALSE&amp;VAR:CALENDAR=FIVEDAY&amp;VAR:SYMBOL=B5TMSP&amp;VAR:INDEX=0"}</definedName>
    <definedName name="_710__FDSAUDITLINK__" hidden="1">{"fdsup://directions/FAT Viewer?action=UPDATE&amp;creator=factset&amp;DYN_ARGS=TRUE&amp;DOC_NAME=FAT:FQL_AUDITING_CLIENT_TEMPLATE.FAT&amp;display_string=Audit&amp;VAR:KEY=JCXYRENYPE&amp;VAR:QUERY=RkZfRU5UUlBSX1ZBTF9EQUlMWSgwLCwsLCwnRElMJyk=&amp;WINDOW=FIRST_POPUP&amp;HEIGHT=450&amp;WIDTH=450&amp;","START_MAXIMIZED=FALSE&amp;VAR:CALENDAR=FIVEDAY&amp;VAR:SYMBOL=B5TMSP&amp;VAR:INDEX=0"}</definedName>
    <definedName name="_710__FDSAUDITLINK___1" localSheetId="8" hidden="1">{"fdsup://directions/FAT Viewer?action=UPDATE&amp;creator=factset&amp;DYN_ARGS=TRUE&amp;DOC_NAME=FAT:FQL_AUDITING_CLIENT_TEMPLATE.FAT&amp;display_string=Audit&amp;VAR:KEY=JCXYRENYPE&amp;VAR:QUERY=RkZfRU5UUlBSX1ZBTF9EQUlMWSgwLCwsLCwnRElMJyk=&amp;WINDOW=FIRST_POPUP&amp;HEIGHT=450&amp;WIDTH=450&amp;","START_MAXIMIZED=FALSE&amp;VAR:CALENDAR=FIVEDAY&amp;VAR:SYMBOL=B5TMSP&amp;VAR:INDEX=0"}</definedName>
    <definedName name="_710__FDSAUDITLINK___1" hidden="1">{"fdsup://directions/FAT Viewer?action=UPDATE&amp;creator=factset&amp;DYN_ARGS=TRUE&amp;DOC_NAME=FAT:FQL_AUDITING_CLIENT_TEMPLATE.FAT&amp;display_string=Audit&amp;VAR:KEY=JCXYRENYPE&amp;VAR:QUERY=RkZfRU5UUlBSX1ZBTF9EQUlMWSgwLCwsLCwnRElMJyk=&amp;WINDOW=FIRST_POPUP&amp;HEIGHT=450&amp;WIDTH=450&amp;","START_MAXIMIZED=FALSE&amp;VAR:CALENDAR=FIVEDAY&amp;VAR:SYMBOL=B5TMSP&amp;VAR:INDEX=0"}</definedName>
    <definedName name="_711__FDSAUDITLINK__" localSheetId="8" hidden="1">{"fdsup://Directions/FactSet Auditing Viewer?action=AUDIT_VALUE&amp;DB=129&amp;ID1=B5TMSP&amp;VALUEID=01001&amp;SDATE=2010&amp;PERIODTYPE=ANN_STD&amp;SCFT=3&amp;window=popup_no_bar&amp;width=385&amp;height=120&amp;START_MAXIMIZED=FALSE&amp;creator=factset&amp;display_string=Audit"}</definedName>
    <definedName name="_711__FDSAUDITLINK__" hidden="1">{"fdsup://Directions/FactSet Auditing Viewer?action=AUDIT_VALUE&amp;DB=129&amp;ID1=B5TMSP&amp;VALUEID=01001&amp;SDATE=2010&amp;PERIODTYPE=ANN_STD&amp;SCFT=3&amp;window=popup_no_bar&amp;width=385&amp;height=120&amp;START_MAXIMIZED=FALSE&amp;creator=factset&amp;display_string=Audit"}</definedName>
    <definedName name="_711__FDSAUDITLINK___1" localSheetId="8" hidden="1">{"fdsup://Directions/FactSet Auditing Viewer?action=AUDIT_VALUE&amp;DB=129&amp;ID1=B5TMSP&amp;VALUEID=01001&amp;SDATE=2010&amp;PERIODTYPE=ANN_STD&amp;SCFT=3&amp;window=popup_no_bar&amp;width=385&amp;height=120&amp;START_MAXIMIZED=FALSE&amp;creator=factset&amp;display_string=Audit"}</definedName>
    <definedName name="_711__FDSAUDITLINK___1" hidden="1">{"fdsup://Directions/FactSet Auditing Viewer?action=AUDIT_VALUE&amp;DB=129&amp;ID1=B5TMSP&amp;VALUEID=01001&amp;SDATE=2010&amp;PERIODTYPE=ANN_STD&amp;SCFT=3&amp;window=popup_no_bar&amp;width=385&amp;height=120&amp;START_MAXIMIZED=FALSE&amp;creator=factset&amp;display_string=Audit"}</definedName>
    <definedName name="_712__FDSAUDITLINK__" localSheetId="8" hidden="1">{"fdsup://directions/FAT Viewer?action=UPDATE&amp;creator=factset&amp;DYN_ARGS=TRUE&amp;DOC_NAME=FAT:FQL_AUDITING_CLIENT_TEMPLATE.FAT&amp;display_string=Audit&amp;VAR:KEY=UTWHIXUHAX&amp;VAR:QUERY=RkZfRUJJVERBX09QRVIoQU5OLDIwMDkp&amp;WINDOW=FIRST_POPUP&amp;HEIGHT=450&amp;WIDTH=450&amp;START_MAXIMI","ZED=FALSE&amp;VAR:CALENDAR=FIVEDAY&amp;VAR:SYMBOL=B5TMSP&amp;VAR:INDEX=0"}</definedName>
    <definedName name="_712__FDSAUDITLINK__" hidden="1">{"fdsup://directions/FAT Viewer?action=UPDATE&amp;creator=factset&amp;DYN_ARGS=TRUE&amp;DOC_NAME=FAT:FQL_AUDITING_CLIENT_TEMPLATE.FAT&amp;display_string=Audit&amp;VAR:KEY=UTWHIXUHAX&amp;VAR:QUERY=RkZfRUJJVERBX09QRVIoQU5OLDIwMDkp&amp;WINDOW=FIRST_POPUP&amp;HEIGHT=450&amp;WIDTH=450&amp;START_MAXIMI","ZED=FALSE&amp;VAR:CALENDAR=FIVEDAY&amp;VAR:SYMBOL=B5TMSP&amp;VAR:INDEX=0"}</definedName>
    <definedName name="_712__FDSAUDITLINK___1" localSheetId="8" hidden="1">{"fdsup://directions/FAT Viewer?action=UPDATE&amp;creator=factset&amp;DYN_ARGS=TRUE&amp;DOC_NAME=FAT:FQL_AUDITING_CLIENT_TEMPLATE.FAT&amp;display_string=Audit&amp;VAR:KEY=UTWHIXUHAX&amp;VAR:QUERY=RkZfRUJJVERBX09QRVIoQU5OLDIwMDkp&amp;WINDOW=FIRST_POPUP&amp;HEIGHT=450&amp;WIDTH=450&amp;START_MAXIMI","ZED=FALSE&amp;VAR:CALENDAR=FIVEDAY&amp;VAR:SYMBOL=B5TMSP&amp;VAR:INDEX=0"}</definedName>
    <definedName name="_712__FDSAUDITLINK___1" hidden="1">{"fdsup://directions/FAT Viewer?action=UPDATE&amp;creator=factset&amp;DYN_ARGS=TRUE&amp;DOC_NAME=FAT:FQL_AUDITING_CLIENT_TEMPLATE.FAT&amp;display_string=Audit&amp;VAR:KEY=UTWHIXUHAX&amp;VAR:QUERY=RkZfRUJJVERBX09QRVIoQU5OLDIwMDkp&amp;WINDOW=FIRST_POPUP&amp;HEIGHT=450&amp;WIDTH=450&amp;START_MAXIMI","ZED=FALSE&amp;VAR:CALENDAR=FIVEDAY&amp;VAR:SYMBOL=B5TMSP&amp;VAR:INDEX=0"}</definedName>
    <definedName name="_713__FDSAUDITLINK__" localSheetId="8" hidden="1">{"fdsup://directions/FAT Viewer?action=UPDATE&amp;creator=factset&amp;DYN_ARGS=TRUE&amp;DOC_NAME=FAT:FQL_AUDITING_CLIENT_TEMPLATE.FAT&amp;display_string=Audit&amp;VAR:KEY=UBWROFUHMZ&amp;VAR:QUERY=RkZfRUJJVERBX09QRVIoQU5OLDIwMTEp&amp;WINDOW=FIRST_POPUP&amp;HEIGHT=450&amp;WIDTH=450&amp;START_MAXIMI","ZED=FALSE&amp;VAR:CALENDAR=FIVEDAY&amp;VAR:SYMBOL=B5TMSP&amp;VAR:INDEX=0"}</definedName>
    <definedName name="_713__FDSAUDITLINK__" hidden="1">{"fdsup://directions/FAT Viewer?action=UPDATE&amp;creator=factset&amp;DYN_ARGS=TRUE&amp;DOC_NAME=FAT:FQL_AUDITING_CLIENT_TEMPLATE.FAT&amp;display_string=Audit&amp;VAR:KEY=UBWROFUHMZ&amp;VAR:QUERY=RkZfRUJJVERBX09QRVIoQU5OLDIwMTEp&amp;WINDOW=FIRST_POPUP&amp;HEIGHT=450&amp;WIDTH=450&amp;START_MAXIMI","ZED=FALSE&amp;VAR:CALENDAR=FIVEDAY&amp;VAR:SYMBOL=B5TMSP&amp;VAR:INDEX=0"}</definedName>
    <definedName name="_713__FDSAUDITLINK___1" localSheetId="8" hidden="1">{"fdsup://directions/FAT Viewer?action=UPDATE&amp;creator=factset&amp;DYN_ARGS=TRUE&amp;DOC_NAME=FAT:FQL_AUDITING_CLIENT_TEMPLATE.FAT&amp;display_string=Audit&amp;VAR:KEY=UBWROFUHMZ&amp;VAR:QUERY=RkZfRUJJVERBX09QRVIoQU5OLDIwMTEp&amp;WINDOW=FIRST_POPUP&amp;HEIGHT=450&amp;WIDTH=450&amp;START_MAXIMI","ZED=FALSE&amp;VAR:CALENDAR=FIVEDAY&amp;VAR:SYMBOL=B5TMSP&amp;VAR:INDEX=0"}</definedName>
    <definedName name="_713__FDSAUDITLINK___1" hidden="1">{"fdsup://directions/FAT Viewer?action=UPDATE&amp;creator=factset&amp;DYN_ARGS=TRUE&amp;DOC_NAME=FAT:FQL_AUDITING_CLIENT_TEMPLATE.FAT&amp;display_string=Audit&amp;VAR:KEY=UBWROFUHMZ&amp;VAR:QUERY=RkZfRUJJVERBX09QRVIoQU5OLDIwMTEp&amp;WINDOW=FIRST_POPUP&amp;HEIGHT=450&amp;WIDTH=450&amp;START_MAXIMI","ZED=FALSE&amp;VAR:CALENDAR=FIVEDAY&amp;VAR:SYMBOL=B5TMSP&amp;VAR:INDEX=0"}</definedName>
    <definedName name="_714__FDSAUDITLINK__" localSheetId="8" hidden="1">{"fdsup://Directions/FactSet Auditing Viewer?action=AUDIT_VALUE&amp;DB=129&amp;ID1=B5TMSP&amp;VALUEID=01250&amp;SDATE=2010&amp;PERIODTYPE=ANN_STD&amp;SCFT=3&amp;window=popup_no_bar&amp;width=385&amp;height=120&amp;START_MAXIMIZED=FALSE&amp;creator=factset&amp;display_string=Audit"}</definedName>
    <definedName name="_714__FDSAUDITLINK__" hidden="1">{"fdsup://Directions/FactSet Auditing Viewer?action=AUDIT_VALUE&amp;DB=129&amp;ID1=B5TMSP&amp;VALUEID=01250&amp;SDATE=2010&amp;PERIODTYPE=ANN_STD&amp;SCFT=3&amp;window=popup_no_bar&amp;width=385&amp;height=120&amp;START_MAXIMIZED=FALSE&amp;creator=factset&amp;display_string=Audit"}</definedName>
    <definedName name="_714__FDSAUDITLINK___1" localSheetId="8" hidden="1">{"fdsup://Directions/FactSet Auditing Viewer?action=AUDIT_VALUE&amp;DB=129&amp;ID1=B5TMSP&amp;VALUEID=01250&amp;SDATE=2010&amp;PERIODTYPE=ANN_STD&amp;SCFT=3&amp;window=popup_no_bar&amp;width=385&amp;height=120&amp;START_MAXIMIZED=FALSE&amp;creator=factset&amp;display_string=Audit"}</definedName>
    <definedName name="_714__FDSAUDITLINK___1" hidden="1">{"fdsup://Directions/FactSet Auditing Viewer?action=AUDIT_VALUE&amp;DB=129&amp;ID1=B5TMSP&amp;VALUEID=01250&amp;SDATE=2010&amp;PERIODTYPE=ANN_STD&amp;SCFT=3&amp;window=popup_no_bar&amp;width=385&amp;height=120&amp;START_MAXIMIZED=FALSE&amp;creator=factset&amp;display_string=Audit"}</definedName>
    <definedName name="_715__FDSAUDITLINK__" localSheetId="8" hidden="1">{"fdsup://directions/FAT Viewer?action=UPDATE&amp;creator=factset&amp;DYN_ARGS=TRUE&amp;DOC_NAME=FAT:FQL_AUDITING_CLIENT_TEMPLATE.FAT&amp;display_string=Audit&amp;VAR:KEY=ALWPAZUXCX&amp;VAR:QUERY=RkZfQ0FQRVgoQU5OLDIwMDkp&amp;WINDOW=FIRST_POPUP&amp;HEIGHT=450&amp;WIDTH=450&amp;START_MAXIMIZED=FALS","E&amp;VAR:CALENDAR=FIVEDAY&amp;VAR:SYMBOL=B5TMSP&amp;VAR:INDEX=0"}</definedName>
    <definedName name="_715__FDSAUDITLINK__" hidden="1">{"fdsup://directions/FAT Viewer?action=UPDATE&amp;creator=factset&amp;DYN_ARGS=TRUE&amp;DOC_NAME=FAT:FQL_AUDITING_CLIENT_TEMPLATE.FAT&amp;display_string=Audit&amp;VAR:KEY=ALWPAZUXCX&amp;VAR:QUERY=RkZfQ0FQRVgoQU5OLDIwMDkp&amp;WINDOW=FIRST_POPUP&amp;HEIGHT=450&amp;WIDTH=450&amp;START_MAXIMIZED=FALS","E&amp;VAR:CALENDAR=FIVEDAY&amp;VAR:SYMBOL=B5TMSP&amp;VAR:INDEX=0"}</definedName>
    <definedName name="_715__FDSAUDITLINK___1" localSheetId="8" hidden="1">{"fdsup://directions/FAT Viewer?action=UPDATE&amp;creator=factset&amp;DYN_ARGS=TRUE&amp;DOC_NAME=FAT:FQL_AUDITING_CLIENT_TEMPLATE.FAT&amp;display_string=Audit&amp;VAR:KEY=ALWPAZUXCX&amp;VAR:QUERY=RkZfQ0FQRVgoQU5OLDIwMDkp&amp;WINDOW=FIRST_POPUP&amp;HEIGHT=450&amp;WIDTH=450&amp;START_MAXIMIZED=FALS","E&amp;VAR:CALENDAR=FIVEDAY&amp;VAR:SYMBOL=B5TMSP&amp;VAR:INDEX=0"}</definedName>
    <definedName name="_715__FDSAUDITLINK___1" hidden="1">{"fdsup://directions/FAT Viewer?action=UPDATE&amp;creator=factset&amp;DYN_ARGS=TRUE&amp;DOC_NAME=FAT:FQL_AUDITING_CLIENT_TEMPLATE.FAT&amp;display_string=Audit&amp;VAR:KEY=ALWPAZUXCX&amp;VAR:QUERY=RkZfQ0FQRVgoQU5OLDIwMDkp&amp;WINDOW=FIRST_POPUP&amp;HEIGHT=450&amp;WIDTH=450&amp;START_MAXIMIZED=FALS","E&amp;VAR:CALENDAR=FIVEDAY&amp;VAR:SYMBOL=B5TMSP&amp;VAR:INDEX=0"}</definedName>
    <definedName name="_716__FDSAUDITLINK__" localSheetId="8" hidden="1">{"fdsup://directions/FAT Viewer?action=UPDATE&amp;creator=factset&amp;DYN_ARGS=TRUE&amp;DOC_NAME=FAT:FQL_AUDITING_CLIENT_TEMPLATE.FAT&amp;display_string=Audit&amp;VAR:KEY=OLMJABKBQN&amp;VAR:QUERY=RkZfQ0FQRVgoQU5OLDIwMTEp&amp;WINDOW=FIRST_POPUP&amp;HEIGHT=450&amp;WIDTH=450&amp;START_MAXIMIZED=FALS","E&amp;VAR:CALENDAR=FIVEDAY&amp;VAR:SYMBOL=B5TMSP&amp;VAR:INDEX=0"}</definedName>
    <definedName name="_716__FDSAUDITLINK__" hidden="1">{"fdsup://directions/FAT Viewer?action=UPDATE&amp;creator=factset&amp;DYN_ARGS=TRUE&amp;DOC_NAME=FAT:FQL_AUDITING_CLIENT_TEMPLATE.FAT&amp;display_string=Audit&amp;VAR:KEY=OLMJABKBQN&amp;VAR:QUERY=RkZfQ0FQRVgoQU5OLDIwMTEp&amp;WINDOW=FIRST_POPUP&amp;HEIGHT=450&amp;WIDTH=450&amp;START_MAXIMIZED=FALS","E&amp;VAR:CALENDAR=FIVEDAY&amp;VAR:SYMBOL=B5TMSP&amp;VAR:INDEX=0"}</definedName>
    <definedName name="_716__FDSAUDITLINK___1" localSheetId="8" hidden="1">{"fdsup://directions/FAT Viewer?action=UPDATE&amp;creator=factset&amp;DYN_ARGS=TRUE&amp;DOC_NAME=FAT:FQL_AUDITING_CLIENT_TEMPLATE.FAT&amp;display_string=Audit&amp;VAR:KEY=OLMJABKBQN&amp;VAR:QUERY=RkZfQ0FQRVgoQU5OLDIwMTEp&amp;WINDOW=FIRST_POPUP&amp;HEIGHT=450&amp;WIDTH=450&amp;START_MAXIMIZED=FALS","E&amp;VAR:CALENDAR=FIVEDAY&amp;VAR:SYMBOL=B5TMSP&amp;VAR:INDEX=0"}</definedName>
    <definedName name="_716__FDSAUDITLINK___1" hidden="1">{"fdsup://directions/FAT Viewer?action=UPDATE&amp;creator=factset&amp;DYN_ARGS=TRUE&amp;DOC_NAME=FAT:FQL_AUDITING_CLIENT_TEMPLATE.FAT&amp;display_string=Audit&amp;VAR:KEY=OLMJABKBQN&amp;VAR:QUERY=RkZfQ0FQRVgoQU5OLDIwMTEp&amp;WINDOW=FIRST_POPUP&amp;HEIGHT=450&amp;WIDTH=450&amp;START_MAXIMIZED=FALS","E&amp;VAR:CALENDAR=FIVEDAY&amp;VAR:SYMBOL=B5TMSP&amp;VAR:INDEX=0"}</definedName>
    <definedName name="_717__FDSAUDITLINK__" localSheetId="8" hidden="1">{"fdsup://directions/FAT Viewer?action=UPDATE&amp;creator=factset&amp;DYN_ARGS=TRUE&amp;DOC_NAME=FAT:FQL_AUDITING_CLIENT_TEMPLATE.FAT&amp;display_string=Audit&amp;VAR:KEY=DYJMXURWZU&amp;VAR:QUERY=RkZfTkVUX0lOQyhBTk4sMjAwOCk=&amp;WINDOW=FIRST_POPUP&amp;HEIGHT=450&amp;WIDTH=450&amp;START_MAXIMIZED=","FALSE&amp;VAR:CALENDAR=FIVEDAY&amp;VAR:SYMBOL=B5TMSP&amp;VAR:INDEX=0"}</definedName>
    <definedName name="_717__FDSAUDITLINK__" hidden="1">{"fdsup://directions/FAT Viewer?action=UPDATE&amp;creator=factset&amp;DYN_ARGS=TRUE&amp;DOC_NAME=FAT:FQL_AUDITING_CLIENT_TEMPLATE.FAT&amp;display_string=Audit&amp;VAR:KEY=DYJMXURWZU&amp;VAR:QUERY=RkZfTkVUX0lOQyhBTk4sMjAwOCk=&amp;WINDOW=FIRST_POPUP&amp;HEIGHT=450&amp;WIDTH=450&amp;START_MAXIMIZED=","FALSE&amp;VAR:CALENDAR=FIVEDAY&amp;VAR:SYMBOL=B5TMSP&amp;VAR:INDEX=0"}</definedName>
    <definedName name="_717__FDSAUDITLINK___1" localSheetId="8" hidden="1">{"fdsup://directions/FAT Viewer?action=UPDATE&amp;creator=factset&amp;DYN_ARGS=TRUE&amp;DOC_NAME=FAT:FQL_AUDITING_CLIENT_TEMPLATE.FAT&amp;display_string=Audit&amp;VAR:KEY=DYJMXURWZU&amp;VAR:QUERY=RkZfTkVUX0lOQyhBTk4sMjAwOCk=&amp;WINDOW=FIRST_POPUP&amp;HEIGHT=450&amp;WIDTH=450&amp;START_MAXIMIZED=","FALSE&amp;VAR:CALENDAR=FIVEDAY&amp;VAR:SYMBOL=B5TMSP&amp;VAR:INDEX=0"}</definedName>
    <definedName name="_717__FDSAUDITLINK___1" hidden="1">{"fdsup://directions/FAT Viewer?action=UPDATE&amp;creator=factset&amp;DYN_ARGS=TRUE&amp;DOC_NAME=FAT:FQL_AUDITING_CLIENT_TEMPLATE.FAT&amp;display_string=Audit&amp;VAR:KEY=DYJMXURWZU&amp;VAR:QUERY=RkZfTkVUX0lOQyhBTk4sMjAwOCk=&amp;WINDOW=FIRST_POPUP&amp;HEIGHT=450&amp;WIDTH=450&amp;START_MAXIMIZED=","FALSE&amp;VAR:CALENDAR=FIVEDAY&amp;VAR:SYMBOL=B5TMSP&amp;VAR:INDEX=0"}</definedName>
    <definedName name="_718__FDSAUDITLINK__" localSheetId="8" hidden="1">{"fdsup://directions/FAT Viewer?action=UPDATE&amp;creator=factset&amp;DYN_ARGS=TRUE&amp;DOC_NAME=FAT:FQL_AUDITING_CLIENT_TEMPLATE.FAT&amp;display_string=Audit&amp;VAR:KEY=ZKNUNIFWRQ&amp;VAR:QUERY=RkZfTkVUX0lOQyhBTk4sMjAxMCk=&amp;WINDOW=FIRST_POPUP&amp;HEIGHT=450&amp;WIDTH=450&amp;START_MAXIMIZED=","FALSE&amp;VAR:CALENDAR=FIVEDAY&amp;VAR:SYMBOL=B5TMSP&amp;VAR:INDEX=0"}</definedName>
    <definedName name="_718__FDSAUDITLINK__" hidden="1">{"fdsup://directions/FAT Viewer?action=UPDATE&amp;creator=factset&amp;DYN_ARGS=TRUE&amp;DOC_NAME=FAT:FQL_AUDITING_CLIENT_TEMPLATE.FAT&amp;display_string=Audit&amp;VAR:KEY=ZKNUNIFWRQ&amp;VAR:QUERY=RkZfTkVUX0lOQyhBTk4sMjAxMCk=&amp;WINDOW=FIRST_POPUP&amp;HEIGHT=450&amp;WIDTH=450&amp;START_MAXIMIZED=","FALSE&amp;VAR:CALENDAR=FIVEDAY&amp;VAR:SYMBOL=B5TMSP&amp;VAR:INDEX=0"}</definedName>
    <definedName name="_718__FDSAUDITLINK___1" localSheetId="8" hidden="1">{"fdsup://directions/FAT Viewer?action=UPDATE&amp;creator=factset&amp;DYN_ARGS=TRUE&amp;DOC_NAME=FAT:FQL_AUDITING_CLIENT_TEMPLATE.FAT&amp;display_string=Audit&amp;VAR:KEY=ZKNUNIFWRQ&amp;VAR:QUERY=RkZfTkVUX0lOQyhBTk4sMjAxMCk=&amp;WINDOW=FIRST_POPUP&amp;HEIGHT=450&amp;WIDTH=450&amp;START_MAXIMIZED=","FALSE&amp;VAR:CALENDAR=FIVEDAY&amp;VAR:SYMBOL=B5TMSP&amp;VAR:INDEX=0"}</definedName>
    <definedName name="_718__FDSAUDITLINK___1" hidden="1">{"fdsup://directions/FAT Viewer?action=UPDATE&amp;creator=factset&amp;DYN_ARGS=TRUE&amp;DOC_NAME=FAT:FQL_AUDITING_CLIENT_TEMPLATE.FAT&amp;display_string=Audit&amp;VAR:KEY=ZKNUNIFWRQ&amp;VAR:QUERY=RkZfTkVUX0lOQyhBTk4sMjAxMCk=&amp;WINDOW=FIRST_POPUP&amp;HEIGHT=450&amp;WIDTH=450&amp;START_MAXIMIZED=","FALSE&amp;VAR:CALENDAR=FIVEDAY&amp;VAR:SYMBOL=B5TMSP&amp;VAR:INDEX=0"}</definedName>
    <definedName name="_719__FDSAUDITLINK__" localSheetId="8" hidden="1">{"fdsup://Directions/FactSet Auditing Viewer?action=AUDIT_VALUE&amp;DB=129&amp;ID1=074482&amp;VALUEID=01001&amp;SDATE=2009&amp;PERIODTYPE=ANN_STD&amp;SCFT=3&amp;window=popup_no_bar&amp;width=385&amp;height=120&amp;START_MAXIMIZED=FALSE&amp;creator=factset&amp;display_string=Audit"}</definedName>
    <definedName name="_719__FDSAUDITLINK__" hidden="1">{"fdsup://Directions/FactSet Auditing Viewer?action=AUDIT_VALUE&amp;DB=129&amp;ID1=074482&amp;VALUEID=01001&amp;SDATE=2009&amp;PERIODTYPE=ANN_STD&amp;SCFT=3&amp;window=popup_no_bar&amp;width=385&amp;height=120&amp;START_MAXIMIZED=FALSE&amp;creator=factset&amp;display_string=Audit"}</definedName>
    <definedName name="_719__FDSAUDITLINK___1" localSheetId="8" hidden="1">{"fdsup://Directions/FactSet Auditing Viewer?action=AUDIT_VALUE&amp;DB=129&amp;ID1=074482&amp;VALUEID=01001&amp;SDATE=2009&amp;PERIODTYPE=ANN_STD&amp;SCFT=3&amp;window=popup_no_bar&amp;width=385&amp;height=120&amp;START_MAXIMIZED=FALSE&amp;creator=factset&amp;display_string=Audit"}</definedName>
    <definedName name="_719__FDSAUDITLINK___1" hidden="1">{"fdsup://Directions/FactSet Auditing Viewer?action=AUDIT_VALUE&amp;DB=129&amp;ID1=074482&amp;VALUEID=01001&amp;SDATE=2009&amp;PERIODTYPE=ANN_STD&amp;SCFT=3&amp;window=popup_no_bar&amp;width=385&amp;height=120&amp;START_MAXIMIZED=FALSE&amp;creator=factset&amp;display_string=Audit"}</definedName>
    <definedName name="_72__123Graph_DCHART_5" localSheetId="8" hidden="1">#REF!</definedName>
    <definedName name="_72__123Graph_DCHART_5" hidden="1">#REF!</definedName>
    <definedName name="_72__123Graph_LBL_BCHART_16" hidden="1">#REF!</definedName>
    <definedName name="_72__FDSAUDITLINK__" localSheetId="8" hidden="1">{"fdsup://directions/FAT Viewer?action=UPDATE&amp;creator=factset&amp;DYN_ARGS=TRUE&amp;DOC_NAME=FAT:FQL_AUDITING_CLIENT_TEMPLATE.FAT&amp;display_string=Audit&amp;VAR:KEY=DAZORKROBC&amp;VAR:QUERY=RkZfRUJJVF9JQignQU5OJywzNDMzNCwsLCwnR0JQJyk=&amp;WINDOW=FIRST_POPUP&amp;HEIGHT=450&amp;WIDTH=450&amp;","START_MAXIMIZED=FALSE&amp;VAR:CALENDAR=FIVEDAY&amp;VAR:SYMBOL=011827&amp;VAR:INDEX=0"}</definedName>
    <definedName name="_72__FDSAUDITLINK__" hidden="1">{"fdsup://directions/FAT Viewer?action=UPDATE&amp;creator=factset&amp;DYN_ARGS=TRUE&amp;DOC_NAME=FAT:FQL_AUDITING_CLIENT_TEMPLATE.FAT&amp;display_string=Audit&amp;VAR:KEY=QLCXIRCVSR&amp;VAR:QUERY=RkZfRUJJVF9PUEVSKENBTCwyMDExKQ==&amp;WINDOW=FIRST_POPUP&amp;HEIGHT=450&amp;WIDTH=450&amp;START_MAXIMI","ZED=FALSE&amp;VAR:CALENDAR=US&amp;VAR:SYMBOL=VMC&amp;VAR:INDEX=0"}</definedName>
    <definedName name="_72__FDSAUDITLINK___1" localSheetId="8" hidden="1">{"fdsup://directions/FAT Viewer?action=UPDATE&amp;creator=factset&amp;DYN_ARGS=TRUE&amp;DOC_NAME=FAT:FQL_AUDITING_CLIENT_TEMPLATE.FAT&amp;display_string=Audit&amp;VAR:KEY=DAZORKROBC&amp;VAR:QUERY=RkZfRUJJVF9JQignQU5OJywzNDMzNCwsLCwnR0JQJyk=&amp;WINDOW=FIRST_POPUP&amp;HEIGHT=450&amp;WIDTH=450&amp;","START_MAXIMIZED=FALSE&amp;VAR:CALENDAR=FIVEDAY&amp;VAR:SYMBOL=011827&amp;VAR:INDEX=0"}</definedName>
    <definedName name="_72__FDSAUDITLINK___1" hidden="1">{"fdsup://directions/FAT Viewer?action=UPDATE&amp;creator=factset&amp;DYN_ARGS=TRUE&amp;DOC_NAME=FAT:FQL_AUDITING_CLIENT_TEMPLATE.FAT&amp;display_string=Audit&amp;VAR:KEY=DAZORKROBC&amp;VAR:QUERY=RkZfRUJJVF9JQignQU5OJywzNDMzNCwsLCwnR0JQJyk=&amp;WINDOW=FIRST_POPUP&amp;HEIGHT=450&amp;WIDTH=450&amp;","START_MAXIMIZED=FALSE&amp;VAR:CALENDAR=FIVEDAY&amp;VAR:SYMBOL=011827&amp;VAR:INDEX=0"}</definedName>
    <definedName name="_720__FDSAUDITLINK__" localSheetId="8" hidden="1">{"fdsup://directions/FAT Viewer?action=UPDATE&amp;creator=factset&amp;DYN_ARGS=TRUE&amp;DOC_NAME=FAT:FQL_AUDITING_CLIENT_TEMPLATE.FAT&amp;display_string=Audit&amp;VAR:KEY=FIVONOFYJU&amp;VAR:QUERY=RkZfRUJJVERBX09QRVIoQU5OLDIwMDgp&amp;WINDOW=FIRST_POPUP&amp;HEIGHT=450&amp;WIDTH=450&amp;START_MAXIMI","ZED=FALSE&amp;VAR:CALENDAR=FIVEDAY&amp;VAR:SYMBOL=074482&amp;VAR:INDEX=0"}</definedName>
    <definedName name="_720__FDSAUDITLINK__" hidden="1">{"fdsup://directions/FAT Viewer?action=UPDATE&amp;creator=factset&amp;DYN_ARGS=TRUE&amp;DOC_NAME=FAT:FQL_AUDITING_CLIENT_TEMPLATE.FAT&amp;display_string=Audit&amp;VAR:KEY=FIVONOFYJU&amp;VAR:QUERY=RkZfRUJJVERBX09QRVIoQU5OLDIwMDgp&amp;WINDOW=FIRST_POPUP&amp;HEIGHT=450&amp;WIDTH=450&amp;START_MAXIMI","ZED=FALSE&amp;VAR:CALENDAR=FIVEDAY&amp;VAR:SYMBOL=074482&amp;VAR:INDEX=0"}</definedName>
    <definedName name="_720__FDSAUDITLINK___1" localSheetId="8" hidden="1">{"fdsup://directions/FAT Viewer?action=UPDATE&amp;creator=factset&amp;DYN_ARGS=TRUE&amp;DOC_NAME=FAT:FQL_AUDITING_CLIENT_TEMPLATE.FAT&amp;display_string=Audit&amp;VAR:KEY=FIVONOFYJU&amp;VAR:QUERY=RkZfRUJJVERBX09QRVIoQU5OLDIwMDgp&amp;WINDOW=FIRST_POPUP&amp;HEIGHT=450&amp;WIDTH=450&amp;START_MAXIMI","ZED=FALSE&amp;VAR:CALENDAR=FIVEDAY&amp;VAR:SYMBOL=074482&amp;VAR:INDEX=0"}</definedName>
    <definedName name="_720__FDSAUDITLINK___1" hidden="1">{"fdsup://directions/FAT Viewer?action=UPDATE&amp;creator=factset&amp;DYN_ARGS=TRUE&amp;DOC_NAME=FAT:FQL_AUDITING_CLIENT_TEMPLATE.FAT&amp;display_string=Audit&amp;VAR:KEY=FIVONOFYJU&amp;VAR:QUERY=RkZfRUJJVERBX09QRVIoQU5OLDIwMDgp&amp;WINDOW=FIRST_POPUP&amp;HEIGHT=450&amp;WIDTH=450&amp;START_MAXIMI","ZED=FALSE&amp;VAR:CALENDAR=FIVEDAY&amp;VAR:SYMBOL=074482&amp;VAR:INDEX=0"}</definedName>
    <definedName name="_721__FDSAUDITLINK__" localSheetId="8" hidden="1">{"fdsup://Directions/FactSet Auditing Viewer?action=AUDIT_VALUE&amp;DB=129&amp;ID1=074482&amp;VALUEID=01250&amp;SDATE=2009&amp;PERIODTYPE=ANN_STD&amp;SCFT=3&amp;window=popup_no_bar&amp;width=385&amp;height=120&amp;START_MAXIMIZED=FALSE&amp;creator=factset&amp;display_string=Audit"}</definedName>
    <definedName name="_721__FDSAUDITLINK__" hidden="1">{"fdsup://Directions/FactSet Auditing Viewer?action=AUDIT_VALUE&amp;DB=129&amp;ID1=074482&amp;VALUEID=01250&amp;SDATE=2009&amp;PERIODTYPE=ANN_STD&amp;SCFT=3&amp;window=popup_no_bar&amp;width=385&amp;height=120&amp;START_MAXIMIZED=FALSE&amp;creator=factset&amp;display_string=Audit"}</definedName>
    <definedName name="_721__FDSAUDITLINK___1" localSheetId="8" hidden="1">{"fdsup://Directions/FactSet Auditing Viewer?action=AUDIT_VALUE&amp;DB=129&amp;ID1=074482&amp;VALUEID=01250&amp;SDATE=2009&amp;PERIODTYPE=ANN_STD&amp;SCFT=3&amp;window=popup_no_bar&amp;width=385&amp;height=120&amp;START_MAXIMIZED=FALSE&amp;creator=factset&amp;display_string=Audit"}</definedName>
    <definedName name="_721__FDSAUDITLINK___1" hidden="1">{"fdsup://Directions/FactSet Auditing Viewer?action=AUDIT_VALUE&amp;DB=129&amp;ID1=074482&amp;VALUEID=01250&amp;SDATE=2009&amp;PERIODTYPE=ANN_STD&amp;SCFT=3&amp;window=popup_no_bar&amp;width=385&amp;height=120&amp;START_MAXIMIZED=FALSE&amp;creator=factset&amp;display_string=Audit"}</definedName>
    <definedName name="_722__FDSAUDITLINK__" localSheetId="8" hidden="1">{"fdsup://directions/FAT Viewer?action=UPDATE&amp;creator=factset&amp;DYN_ARGS=TRUE&amp;DOC_NAME=FAT:FQL_AUDITING_CLIENT_TEMPLATE.FAT&amp;display_string=Audit&amp;VAR:KEY=KTQVIJWNMP&amp;VAR:QUERY=RkZfQ0FQRVgoQU5OLDIwMDgp&amp;WINDOW=FIRST_POPUP&amp;HEIGHT=450&amp;WIDTH=450&amp;START_MAXIMIZED=FALS","E&amp;VAR:CALENDAR=FIVEDAY&amp;VAR:SYMBOL=074482&amp;VAR:INDEX=0"}</definedName>
    <definedName name="_722__FDSAUDITLINK__" hidden="1">{"fdsup://directions/FAT Viewer?action=UPDATE&amp;creator=factset&amp;DYN_ARGS=TRUE&amp;DOC_NAME=FAT:FQL_AUDITING_CLIENT_TEMPLATE.FAT&amp;display_string=Audit&amp;VAR:KEY=KTQVIJWNMP&amp;VAR:QUERY=RkZfQ0FQRVgoQU5OLDIwMDgp&amp;WINDOW=FIRST_POPUP&amp;HEIGHT=450&amp;WIDTH=450&amp;START_MAXIMIZED=FALS","E&amp;VAR:CALENDAR=FIVEDAY&amp;VAR:SYMBOL=074482&amp;VAR:INDEX=0"}</definedName>
    <definedName name="_722__FDSAUDITLINK___1" localSheetId="8" hidden="1">{"fdsup://directions/FAT Viewer?action=UPDATE&amp;creator=factset&amp;DYN_ARGS=TRUE&amp;DOC_NAME=FAT:FQL_AUDITING_CLIENT_TEMPLATE.FAT&amp;display_string=Audit&amp;VAR:KEY=KTQVIJWNMP&amp;VAR:QUERY=RkZfQ0FQRVgoQU5OLDIwMDgp&amp;WINDOW=FIRST_POPUP&amp;HEIGHT=450&amp;WIDTH=450&amp;START_MAXIMIZED=FALS","E&amp;VAR:CALENDAR=FIVEDAY&amp;VAR:SYMBOL=074482&amp;VAR:INDEX=0"}</definedName>
    <definedName name="_722__FDSAUDITLINK___1" hidden="1">{"fdsup://directions/FAT Viewer?action=UPDATE&amp;creator=factset&amp;DYN_ARGS=TRUE&amp;DOC_NAME=FAT:FQL_AUDITING_CLIENT_TEMPLATE.FAT&amp;display_string=Audit&amp;VAR:KEY=KTQVIJWNMP&amp;VAR:QUERY=RkZfQ0FQRVgoQU5OLDIwMDgp&amp;WINDOW=FIRST_POPUP&amp;HEIGHT=450&amp;WIDTH=450&amp;START_MAXIMIZED=FALS","E&amp;VAR:CALENDAR=FIVEDAY&amp;VAR:SYMBOL=074482&amp;VAR:INDEX=0"}</definedName>
    <definedName name="_723__FDSAUDITLINK__" localSheetId="8" hidden="1">{"fdsup://directions/FAT Viewer?action=UPDATE&amp;creator=factset&amp;DYN_ARGS=TRUE&amp;DOC_NAME=FAT:FQL_AUDITING_CLIENT_TEMPLATE.FAT&amp;display_string=Audit&amp;VAR:KEY=LURIZEDMFI&amp;VAR:QUERY=RkZfTkVUX0lOQyhBTk4sMjAwOSk=&amp;WINDOW=FIRST_POPUP&amp;HEIGHT=450&amp;WIDTH=450&amp;START_MAXIMIZED=","FALSE&amp;VAR:CALENDAR=FIVEDAY&amp;VAR:SYMBOL=074482&amp;VAR:INDEX=0"}</definedName>
    <definedName name="_723__FDSAUDITLINK__" hidden="1">{"fdsup://directions/FAT Viewer?action=UPDATE&amp;creator=factset&amp;DYN_ARGS=TRUE&amp;DOC_NAME=FAT:FQL_AUDITING_CLIENT_TEMPLATE.FAT&amp;display_string=Audit&amp;VAR:KEY=LURIZEDMFI&amp;VAR:QUERY=RkZfTkVUX0lOQyhBTk4sMjAwOSk=&amp;WINDOW=FIRST_POPUP&amp;HEIGHT=450&amp;WIDTH=450&amp;START_MAXIMIZED=","FALSE&amp;VAR:CALENDAR=FIVEDAY&amp;VAR:SYMBOL=074482&amp;VAR:INDEX=0"}</definedName>
    <definedName name="_723__FDSAUDITLINK___1" localSheetId="8" hidden="1">{"fdsup://directions/FAT Viewer?action=UPDATE&amp;creator=factset&amp;DYN_ARGS=TRUE&amp;DOC_NAME=FAT:FQL_AUDITING_CLIENT_TEMPLATE.FAT&amp;display_string=Audit&amp;VAR:KEY=LURIZEDMFI&amp;VAR:QUERY=RkZfTkVUX0lOQyhBTk4sMjAwOSk=&amp;WINDOW=FIRST_POPUP&amp;HEIGHT=450&amp;WIDTH=450&amp;START_MAXIMIZED=","FALSE&amp;VAR:CALENDAR=FIVEDAY&amp;VAR:SYMBOL=074482&amp;VAR:INDEX=0"}</definedName>
    <definedName name="_723__FDSAUDITLINK___1" hidden="1">{"fdsup://directions/FAT Viewer?action=UPDATE&amp;creator=factset&amp;DYN_ARGS=TRUE&amp;DOC_NAME=FAT:FQL_AUDITING_CLIENT_TEMPLATE.FAT&amp;display_string=Audit&amp;VAR:KEY=LURIZEDMFI&amp;VAR:QUERY=RkZfTkVUX0lOQyhBTk4sMjAwOSk=&amp;WINDOW=FIRST_POPUP&amp;HEIGHT=450&amp;WIDTH=450&amp;START_MAXIMIZED=","FALSE&amp;VAR:CALENDAR=FIVEDAY&amp;VAR:SYMBOL=074482&amp;VAR:INDEX=0"}</definedName>
    <definedName name="_724__FDSAUDITLINK__" localSheetId="8" hidden="1">{"fdsup://directions/FAT Viewer?action=UPDATE&amp;creator=factset&amp;DYN_ARGS=TRUE&amp;DOC_NAME=FAT:FQL_AUDITING_CLIENT_TEMPLATE.FAT&amp;display_string=Audit&amp;VAR:KEY=LIFUPEPAFS&amp;VAR:QUERY=RkZfRU5UUlBSX1ZBTF9EQUlMWSgwLCwsLCwnRElMJyk=&amp;WINDOW=FIRST_POPUP&amp;HEIGHT=450&amp;WIDTH=450&amp;","START_MAXIMIZED=FALSE&amp;VAR:CALENDAR=FIVEDAY&amp;VAR:SYMBOL=554197&amp;VAR:INDEX=0"}</definedName>
    <definedName name="_724__FDSAUDITLINK__" hidden="1">{"fdsup://directions/FAT Viewer?action=UPDATE&amp;creator=factset&amp;DYN_ARGS=TRUE&amp;DOC_NAME=FAT:FQL_AUDITING_CLIENT_TEMPLATE.FAT&amp;display_string=Audit&amp;VAR:KEY=LIFUPEPAFS&amp;VAR:QUERY=RkZfRU5UUlBSX1ZBTF9EQUlMWSgwLCwsLCwnRElMJyk=&amp;WINDOW=FIRST_POPUP&amp;HEIGHT=450&amp;WIDTH=450&amp;","START_MAXIMIZED=FALSE&amp;VAR:CALENDAR=FIVEDAY&amp;VAR:SYMBOL=554197&amp;VAR:INDEX=0"}</definedName>
    <definedName name="_724__FDSAUDITLINK___1" localSheetId="8" hidden="1">{"fdsup://directions/FAT Viewer?action=UPDATE&amp;creator=factset&amp;DYN_ARGS=TRUE&amp;DOC_NAME=FAT:FQL_AUDITING_CLIENT_TEMPLATE.FAT&amp;display_string=Audit&amp;VAR:KEY=LIFUPEPAFS&amp;VAR:QUERY=RkZfRU5UUlBSX1ZBTF9EQUlMWSgwLCwsLCwnRElMJyk=&amp;WINDOW=FIRST_POPUP&amp;HEIGHT=450&amp;WIDTH=450&amp;","START_MAXIMIZED=FALSE&amp;VAR:CALENDAR=FIVEDAY&amp;VAR:SYMBOL=554197&amp;VAR:INDEX=0"}</definedName>
    <definedName name="_724__FDSAUDITLINK___1" hidden="1">{"fdsup://directions/FAT Viewer?action=UPDATE&amp;creator=factset&amp;DYN_ARGS=TRUE&amp;DOC_NAME=FAT:FQL_AUDITING_CLIENT_TEMPLATE.FAT&amp;display_string=Audit&amp;VAR:KEY=LIFUPEPAFS&amp;VAR:QUERY=RkZfRU5UUlBSX1ZBTF9EQUlMWSgwLCwsLCwnRElMJyk=&amp;WINDOW=FIRST_POPUP&amp;HEIGHT=450&amp;WIDTH=450&amp;","START_MAXIMIZED=FALSE&amp;VAR:CALENDAR=FIVEDAY&amp;VAR:SYMBOL=554197&amp;VAR:INDEX=0"}</definedName>
    <definedName name="_725__FDSAUDITLINK__" localSheetId="8" hidden="1">{"fdsup://Directions/FactSet Auditing Viewer?action=AUDIT_VALUE&amp;DB=129&amp;ID1=554197&amp;VALUEID=01001&amp;SDATE=2008&amp;PERIODTYPE=ANN_STD&amp;SCFT=3&amp;window=popup_no_bar&amp;width=385&amp;height=120&amp;START_MAXIMIZED=FALSE&amp;creator=factset&amp;display_string=Audit"}</definedName>
    <definedName name="_725__FDSAUDITLINK__" hidden="1">{"fdsup://Directions/FactSet Auditing Viewer?action=AUDIT_VALUE&amp;DB=129&amp;ID1=554197&amp;VALUEID=01001&amp;SDATE=2008&amp;PERIODTYPE=ANN_STD&amp;SCFT=3&amp;window=popup_no_bar&amp;width=385&amp;height=120&amp;START_MAXIMIZED=FALSE&amp;creator=factset&amp;display_string=Audit"}</definedName>
    <definedName name="_725__FDSAUDITLINK___1" localSheetId="8" hidden="1">{"fdsup://Directions/FactSet Auditing Viewer?action=AUDIT_VALUE&amp;DB=129&amp;ID1=554197&amp;VALUEID=01001&amp;SDATE=2008&amp;PERIODTYPE=ANN_STD&amp;SCFT=3&amp;window=popup_no_bar&amp;width=385&amp;height=120&amp;START_MAXIMIZED=FALSE&amp;creator=factset&amp;display_string=Audit"}</definedName>
    <definedName name="_725__FDSAUDITLINK___1" hidden="1">{"fdsup://Directions/FactSet Auditing Viewer?action=AUDIT_VALUE&amp;DB=129&amp;ID1=554197&amp;VALUEID=01001&amp;SDATE=2008&amp;PERIODTYPE=ANN_STD&amp;SCFT=3&amp;window=popup_no_bar&amp;width=385&amp;height=120&amp;START_MAXIMIZED=FALSE&amp;creator=factset&amp;display_string=Audit"}</definedName>
    <definedName name="_726__FDSAUDITLINK__" localSheetId="8" hidden="1">{"fdsup://Directions/FactSet Auditing Viewer?action=AUDIT_VALUE&amp;DB=129&amp;ID1=554197&amp;VALUEID=01001&amp;SDATE=2010&amp;PERIODTYPE=ANN_STD&amp;SCFT=3&amp;window=popup_no_bar&amp;width=385&amp;height=120&amp;START_MAXIMIZED=FALSE&amp;creator=factset&amp;display_string=Audit"}</definedName>
    <definedName name="_726__FDSAUDITLINK__" hidden="1">{"fdsup://Directions/FactSet Auditing Viewer?action=AUDIT_VALUE&amp;DB=129&amp;ID1=554197&amp;VALUEID=01001&amp;SDATE=2010&amp;PERIODTYPE=ANN_STD&amp;SCFT=3&amp;window=popup_no_bar&amp;width=385&amp;height=120&amp;START_MAXIMIZED=FALSE&amp;creator=factset&amp;display_string=Audit"}</definedName>
    <definedName name="_726__FDSAUDITLINK___1" localSheetId="8" hidden="1">{"fdsup://Directions/FactSet Auditing Viewer?action=AUDIT_VALUE&amp;DB=129&amp;ID1=554197&amp;VALUEID=01001&amp;SDATE=2010&amp;PERIODTYPE=ANN_STD&amp;SCFT=3&amp;window=popup_no_bar&amp;width=385&amp;height=120&amp;START_MAXIMIZED=FALSE&amp;creator=factset&amp;display_string=Audit"}</definedName>
    <definedName name="_726__FDSAUDITLINK___1" hidden="1">{"fdsup://Directions/FactSet Auditing Viewer?action=AUDIT_VALUE&amp;DB=129&amp;ID1=554197&amp;VALUEID=01001&amp;SDATE=2010&amp;PERIODTYPE=ANN_STD&amp;SCFT=3&amp;window=popup_no_bar&amp;width=385&amp;height=120&amp;START_MAXIMIZED=FALSE&amp;creator=factset&amp;display_string=Audit"}</definedName>
    <definedName name="_727__FDSAUDITLINK__" localSheetId="8" hidden="1">{"fdsup://directions/FAT Viewer?action=UPDATE&amp;creator=factset&amp;DYN_ARGS=TRUE&amp;DOC_NAME=FAT:FQL_AUDITING_CLIENT_TEMPLATE.FAT&amp;display_string=Audit&amp;VAR:KEY=XYHUDQJKHY&amp;VAR:QUERY=RkZfRUJJVERBX09QRVIoQU5OLDIwMDkp&amp;WINDOW=FIRST_POPUP&amp;HEIGHT=450&amp;WIDTH=450&amp;START_MAXIMI","ZED=FALSE&amp;VAR:CALENDAR=FIVEDAY&amp;VAR:SYMBOL=554197&amp;VAR:INDEX=0"}</definedName>
    <definedName name="_727__FDSAUDITLINK__" hidden="1">{"fdsup://directions/FAT Viewer?action=UPDATE&amp;creator=factset&amp;DYN_ARGS=TRUE&amp;DOC_NAME=FAT:FQL_AUDITING_CLIENT_TEMPLATE.FAT&amp;display_string=Audit&amp;VAR:KEY=XYHUDQJKHY&amp;VAR:QUERY=RkZfRUJJVERBX09QRVIoQU5OLDIwMDkp&amp;WINDOW=FIRST_POPUP&amp;HEIGHT=450&amp;WIDTH=450&amp;START_MAXIMI","ZED=FALSE&amp;VAR:CALENDAR=FIVEDAY&amp;VAR:SYMBOL=554197&amp;VAR:INDEX=0"}</definedName>
    <definedName name="_727__FDSAUDITLINK___1" localSheetId="8" hidden="1">{"fdsup://directions/FAT Viewer?action=UPDATE&amp;creator=factset&amp;DYN_ARGS=TRUE&amp;DOC_NAME=FAT:FQL_AUDITING_CLIENT_TEMPLATE.FAT&amp;display_string=Audit&amp;VAR:KEY=XYHUDQJKHY&amp;VAR:QUERY=RkZfRUJJVERBX09QRVIoQU5OLDIwMDkp&amp;WINDOW=FIRST_POPUP&amp;HEIGHT=450&amp;WIDTH=450&amp;START_MAXIMI","ZED=FALSE&amp;VAR:CALENDAR=FIVEDAY&amp;VAR:SYMBOL=554197&amp;VAR:INDEX=0"}</definedName>
    <definedName name="_727__FDSAUDITLINK___1" hidden="1">{"fdsup://directions/FAT Viewer?action=UPDATE&amp;creator=factset&amp;DYN_ARGS=TRUE&amp;DOC_NAME=FAT:FQL_AUDITING_CLIENT_TEMPLATE.FAT&amp;display_string=Audit&amp;VAR:KEY=XYHUDQJKHY&amp;VAR:QUERY=RkZfRUJJVERBX09QRVIoQU5OLDIwMDkp&amp;WINDOW=FIRST_POPUP&amp;HEIGHT=450&amp;WIDTH=450&amp;START_MAXIMI","ZED=FALSE&amp;VAR:CALENDAR=FIVEDAY&amp;VAR:SYMBOL=554197&amp;VAR:INDEX=0"}</definedName>
    <definedName name="_728__FDSAUDITLINK__" localSheetId="8" hidden="1">{"fdsup://directions/FAT Viewer?action=UPDATE&amp;creator=factset&amp;DYN_ARGS=TRUE&amp;DOC_NAME=FAT:FQL_AUDITING_CLIENT_TEMPLATE.FAT&amp;display_string=Audit&amp;VAR:KEY=AZYZGXUBIB&amp;VAR:QUERY=RkZfRUJJVERBX09QRVIoQU5OLDIwMTEp&amp;WINDOW=FIRST_POPUP&amp;HEIGHT=450&amp;WIDTH=450&amp;START_MAXIMI","ZED=FALSE&amp;VAR:CALENDAR=FIVEDAY&amp;VAR:SYMBOL=554197&amp;VAR:INDEX=0"}</definedName>
    <definedName name="_728__FDSAUDITLINK__" hidden="1">{"fdsup://directions/FAT Viewer?action=UPDATE&amp;creator=factset&amp;DYN_ARGS=TRUE&amp;DOC_NAME=FAT:FQL_AUDITING_CLIENT_TEMPLATE.FAT&amp;display_string=Audit&amp;VAR:KEY=AZYZGXUBIB&amp;VAR:QUERY=RkZfRUJJVERBX09QRVIoQU5OLDIwMTEp&amp;WINDOW=FIRST_POPUP&amp;HEIGHT=450&amp;WIDTH=450&amp;START_MAXIMI","ZED=FALSE&amp;VAR:CALENDAR=FIVEDAY&amp;VAR:SYMBOL=554197&amp;VAR:INDEX=0"}</definedName>
    <definedName name="_728__FDSAUDITLINK___1" localSheetId="8" hidden="1">{"fdsup://directions/FAT Viewer?action=UPDATE&amp;creator=factset&amp;DYN_ARGS=TRUE&amp;DOC_NAME=FAT:FQL_AUDITING_CLIENT_TEMPLATE.FAT&amp;display_string=Audit&amp;VAR:KEY=AZYZGXUBIB&amp;VAR:QUERY=RkZfRUJJVERBX09QRVIoQU5OLDIwMTEp&amp;WINDOW=FIRST_POPUP&amp;HEIGHT=450&amp;WIDTH=450&amp;START_MAXIMI","ZED=FALSE&amp;VAR:CALENDAR=FIVEDAY&amp;VAR:SYMBOL=554197&amp;VAR:INDEX=0"}</definedName>
    <definedName name="_728__FDSAUDITLINK___1" hidden="1">{"fdsup://directions/FAT Viewer?action=UPDATE&amp;creator=factset&amp;DYN_ARGS=TRUE&amp;DOC_NAME=FAT:FQL_AUDITING_CLIENT_TEMPLATE.FAT&amp;display_string=Audit&amp;VAR:KEY=AZYZGXUBIB&amp;VAR:QUERY=RkZfRUJJVERBX09QRVIoQU5OLDIwMTEp&amp;WINDOW=FIRST_POPUP&amp;HEIGHT=450&amp;WIDTH=450&amp;START_MAXIMI","ZED=FALSE&amp;VAR:CALENDAR=FIVEDAY&amp;VAR:SYMBOL=554197&amp;VAR:INDEX=0"}</definedName>
    <definedName name="_729__FDSAUDITLINK__" localSheetId="8" hidden="1">{"fdsup://Directions/FactSet Auditing Viewer?action=AUDIT_VALUE&amp;DB=129&amp;ID1=554197&amp;VALUEID=01250&amp;SDATE=2008&amp;PERIODTYPE=ANN_STD&amp;SCFT=3&amp;window=popup_no_bar&amp;width=385&amp;height=120&amp;START_MAXIMIZED=FALSE&amp;creator=factset&amp;display_string=Audit"}</definedName>
    <definedName name="_729__FDSAUDITLINK__" hidden="1">{"fdsup://Directions/FactSet Auditing Viewer?action=AUDIT_VALUE&amp;DB=129&amp;ID1=554197&amp;VALUEID=01250&amp;SDATE=2008&amp;PERIODTYPE=ANN_STD&amp;SCFT=3&amp;window=popup_no_bar&amp;width=385&amp;height=120&amp;START_MAXIMIZED=FALSE&amp;creator=factset&amp;display_string=Audit"}</definedName>
    <definedName name="_729__FDSAUDITLINK___1" localSheetId="8" hidden="1">{"fdsup://Directions/FactSet Auditing Viewer?action=AUDIT_VALUE&amp;DB=129&amp;ID1=554197&amp;VALUEID=01250&amp;SDATE=2008&amp;PERIODTYPE=ANN_STD&amp;SCFT=3&amp;window=popup_no_bar&amp;width=385&amp;height=120&amp;START_MAXIMIZED=FALSE&amp;creator=factset&amp;display_string=Audit"}</definedName>
    <definedName name="_729__FDSAUDITLINK___1" hidden="1">{"fdsup://Directions/FactSet Auditing Viewer?action=AUDIT_VALUE&amp;DB=129&amp;ID1=554197&amp;VALUEID=01250&amp;SDATE=2008&amp;PERIODTYPE=ANN_STD&amp;SCFT=3&amp;window=popup_no_bar&amp;width=385&amp;height=120&amp;START_MAXIMIZED=FALSE&amp;creator=factset&amp;display_string=Audit"}</definedName>
    <definedName name="_73__123Graph_LBL_BCHART_19" hidden="1">#REF!</definedName>
    <definedName name="_73__FDSAUDITLINK__" localSheetId="8" hidden="1">{"fdsup://directions/FAT Viewer?action=UPDATE&amp;creator=factset&amp;DYN_ARGS=TRUE&amp;DOC_NAME=FAT:FQL_AUDITING_CLIENT_TEMPLATE.FAT&amp;display_string=Audit&amp;VAR:KEY=DQFSNMDKPK&amp;VAR:QUERY=RkZfRUJJVF9JQignQU5OJywzMzk2OSwsLCwnR0JQJyk=&amp;WINDOW=FIRST_POPUP&amp;HEIGHT=450&amp;WIDTH=450&amp;","START_MAXIMIZED=FALSE&amp;VAR:CALENDAR=FIVEDAY&amp;VAR:SYMBOL=011827&amp;VAR:INDEX=0"}</definedName>
    <definedName name="_73__FDSAUDITLINK__" hidden="1">{"fdsup://directions/FAT Viewer?action=UPDATE&amp;creator=factset&amp;DYN_ARGS=TRUE&amp;DOC_NAME=FAT:FQL_AUDITING_CLIENT_TEMPLATE.FAT&amp;display_string=Audit&amp;VAR:KEY=WVGBKVYVKV&amp;VAR:QUERY=RkZfRUJJVF9PUEVSKENBTCwyMDExKQ==&amp;WINDOW=FIRST_POPUP&amp;HEIGHT=450&amp;WIDTH=450&amp;START_MAXIMI","ZED=FALSE&amp;VAR:CALENDAR=US&amp;VAR:SYMBOL=MCEM&amp;VAR:INDEX=0"}</definedName>
    <definedName name="_73__FDSAUDITLINK___1" localSheetId="8" hidden="1">{"fdsup://directions/FAT Viewer?action=UPDATE&amp;creator=factset&amp;DYN_ARGS=TRUE&amp;DOC_NAME=FAT:FQL_AUDITING_CLIENT_TEMPLATE.FAT&amp;display_string=Audit&amp;VAR:KEY=DQFSNMDKPK&amp;VAR:QUERY=RkZfRUJJVF9JQignQU5OJywzMzk2OSwsLCwnR0JQJyk=&amp;WINDOW=FIRST_POPUP&amp;HEIGHT=450&amp;WIDTH=450&amp;","START_MAXIMIZED=FALSE&amp;VAR:CALENDAR=FIVEDAY&amp;VAR:SYMBOL=011827&amp;VAR:INDEX=0"}</definedName>
    <definedName name="_73__FDSAUDITLINK___1" hidden="1">{"fdsup://directions/FAT Viewer?action=UPDATE&amp;creator=factset&amp;DYN_ARGS=TRUE&amp;DOC_NAME=FAT:FQL_AUDITING_CLIENT_TEMPLATE.FAT&amp;display_string=Audit&amp;VAR:KEY=DQFSNMDKPK&amp;VAR:QUERY=RkZfRUJJVF9JQignQU5OJywzMzk2OSwsLCwnR0JQJyk=&amp;WINDOW=FIRST_POPUP&amp;HEIGHT=450&amp;WIDTH=450&amp;","START_MAXIMIZED=FALSE&amp;VAR:CALENDAR=FIVEDAY&amp;VAR:SYMBOL=011827&amp;VAR:INDEX=0"}</definedName>
    <definedName name="_730__FDSAUDITLINK__" localSheetId="8" hidden="1">{"fdsup://Directions/FactSet Auditing Viewer?action=AUDIT_VALUE&amp;DB=129&amp;ID1=554197&amp;VALUEID=01250&amp;SDATE=2010&amp;PERIODTYPE=ANN_STD&amp;SCFT=3&amp;window=popup_no_bar&amp;width=385&amp;height=120&amp;START_MAXIMIZED=FALSE&amp;creator=factset&amp;display_string=Audit"}</definedName>
    <definedName name="_730__FDSAUDITLINK__" hidden="1">{"fdsup://Directions/FactSet Auditing Viewer?action=AUDIT_VALUE&amp;DB=129&amp;ID1=554197&amp;VALUEID=01250&amp;SDATE=2010&amp;PERIODTYPE=ANN_STD&amp;SCFT=3&amp;window=popup_no_bar&amp;width=385&amp;height=120&amp;START_MAXIMIZED=FALSE&amp;creator=factset&amp;display_string=Audit"}</definedName>
    <definedName name="_730__FDSAUDITLINK___1" localSheetId="8" hidden="1">{"fdsup://Directions/FactSet Auditing Viewer?action=AUDIT_VALUE&amp;DB=129&amp;ID1=554197&amp;VALUEID=01250&amp;SDATE=2010&amp;PERIODTYPE=ANN_STD&amp;SCFT=3&amp;window=popup_no_bar&amp;width=385&amp;height=120&amp;START_MAXIMIZED=FALSE&amp;creator=factset&amp;display_string=Audit"}</definedName>
    <definedName name="_730__FDSAUDITLINK___1" hidden="1">{"fdsup://Directions/FactSet Auditing Viewer?action=AUDIT_VALUE&amp;DB=129&amp;ID1=554197&amp;VALUEID=01250&amp;SDATE=2010&amp;PERIODTYPE=ANN_STD&amp;SCFT=3&amp;window=popup_no_bar&amp;width=385&amp;height=120&amp;START_MAXIMIZED=FALSE&amp;creator=factset&amp;display_string=Audit"}</definedName>
    <definedName name="_731__FDSAUDITLINK__" localSheetId="8" hidden="1">{"fdsup://directions/FAT Viewer?action=UPDATE&amp;creator=factset&amp;DYN_ARGS=TRUE&amp;DOC_NAME=FAT:FQL_AUDITING_CLIENT_TEMPLATE.FAT&amp;display_string=Audit&amp;VAR:KEY=KHMDUXYFEP&amp;VAR:QUERY=RkZfQ0FQRVgoQU5OLDIwMDkp&amp;WINDOW=FIRST_POPUP&amp;HEIGHT=450&amp;WIDTH=450&amp;START_MAXIMIZED=FALS","E&amp;VAR:CALENDAR=FIVEDAY&amp;VAR:SYMBOL=554197&amp;VAR:INDEX=0"}</definedName>
    <definedName name="_731__FDSAUDITLINK__" hidden="1">{"fdsup://directions/FAT Viewer?action=UPDATE&amp;creator=factset&amp;DYN_ARGS=TRUE&amp;DOC_NAME=FAT:FQL_AUDITING_CLIENT_TEMPLATE.FAT&amp;display_string=Audit&amp;VAR:KEY=KHMDUXYFEP&amp;VAR:QUERY=RkZfQ0FQRVgoQU5OLDIwMDkp&amp;WINDOW=FIRST_POPUP&amp;HEIGHT=450&amp;WIDTH=450&amp;START_MAXIMIZED=FALS","E&amp;VAR:CALENDAR=FIVEDAY&amp;VAR:SYMBOL=554197&amp;VAR:INDEX=0"}</definedName>
    <definedName name="_731__FDSAUDITLINK___1" localSheetId="8" hidden="1">{"fdsup://directions/FAT Viewer?action=UPDATE&amp;creator=factset&amp;DYN_ARGS=TRUE&amp;DOC_NAME=FAT:FQL_AUDITING_CLIENT_TEMPLATE.FAT&amp;display_string=Audit&amp;VAR:KEY=KHMDUXYFEP&amp;VAR:QUERY=RkZfQ0FQRVgoQU5OLDIwMDkp&amp;WINDOW=FIRST_POPUP&amp;HEIGHT=450&amp;WIDTH=450&amp;START_MAXIMIZED=FALS","E&amp;VAR:CALENDAR=FIVEDAY&amp;VAR:SYMBOL=554197&amp;VAR:INDEX=0"}</definedName>
    <definedName name="_731__FDSAUDITLINK___1" hidden="1">{"fdsup://directions/FAT Viewer?action=UPDATE&amp;creator=factset&amp;DYN_ARGS=TRUE&amp;DOC_NAME=FAT:FQL_AUDITING_CLIENT_TEMPLATE.FAT&amp;display_string=Audit&amp;VAR:KEY=KHMDUXYFEP&amp;VAR:QUERY=RkZfQ0FQRVgoQU5OLDIwMDkp&amp;WINDOW=FIRST_POPUP&amp;HEIGHT=450&amp;WIDTH=450&amp;START_MAXIMIZED=FALS","E&amp;VAR:CALENDAR=FIVEDAY&amp;VAR:SYMBOL=554197&amp;VAR:INDEX=0"}</definedName>
    <definedName name="_732__FDSAUDITLINK__" localSheetId="8" hidden="1">{"fdsup://directions/FAT Viewer?action=UPDATE&amp;creator=factset&amp;DYN_ARGS=TRUE&amp;DOC_NAME=FAT:FQL_AUDITING_CLIENT_TEMPLATE.FAT&amp;display_string=Audit&amp;VAR:KEY=NSFCBCFKTQ&amp;VAR:QUERY=RkZfQ0FQRVgoQU5OLDIwMTEp&amp;WINDOW=FIRST_POPUP&amp;HEIGHT=450&amp;WIDTH=450&amp;START_MAXIMIZED=FALS","E&amp;VAR:CALENDAR=FIVEDAY&amp;VAR:SYMBOL=554197&amp;VAR:INDEX=0"}</definedName>
    <definedName name="_732__FDSAUDITLINK__" hidden="1">{"fdsup://directions/FAT Viewer?action=UPDATE&amp;creator=factset&amp;DYN_ARGS=TRUE&amp;DOC_NAME=FAT:FQL_AUDITING_CLIENT_TEMPLATE.FAT&amp;display_string=Audit&amp;VAR:KEY=NSFCBCFKTQ&amp;VAR:QUERY=RkZfQ0FQRVgoQU5OLDIwMTEp&amp;WINDOW=FIRST_POPUP&amp;HEIGHT=450&amp;WIDTH=450&amp;START_MAXIMIZED=FALS","E&amp;VAR:CALENDAR=FIVEDAY&amp;VAR:SYMBOL=554197&amp;VAR:INDEX=0"}</definedName>
    <definedName name="_732__FDSAUDITLINK___1" localSheetId="8" hidden="1">{"fdsup://directions/FAT Viewer?action=UPDATE&amp;creator=factset&amp;DYN_ARGS=TRUE&amp;DOC_NAME=FAT:FQL_AUDITING_CLIENT_TEMPLATE.FAT&amp;display_string=Audit&amp;VAR:KEY=NSFCBCFKTQ&amp;VAR:QUERY=RkZfQ0FQRVgoQU5OLDIwMTEp&amp;WINDOW=FIRST_POPUP&amp;HEIGHT=450&amp;WIDTH=450&amp;START_MAXIMIZED=FALS","E&amp;VAR:CALENDAR=FIVEDAY&amp;VAR:SYMBOL=554197&amp;VAR:INDEX=0"}</definedName>
    <definedName name="_732__FDSAUDITLINK___1" hidden="1">{"fdsup://directions/FAT Viewer?action=UPDATE&amp;creator=factset&amp;DYN_ARGS=TRUE&amp;DOC_NAME=FAT:FQL_AUDITING_CLIENT_TEMPLATE.FAT&amp;display_string=Audit&amp;VAR:KEY=NSFCBCFKTQ&amp;VAR:QUERY=RkZfQ0FQRVgoQU5OLDIwMTEp&amp;WINDOW=FIRST_POPUP&amp;HEIGHT=450&amp;WIDTH=450&amp;START_MAXIMIZED=FALS","E&amp;VAR:CALENDAR=FIVEDAY&amp;VAR:SYMBOL=554197&amp;VAR:INDEX=0"}</definedName>
    <definedName name="_733__FDSAUDITLINK__" localSheetId="8" hidden="1">{"fdsup://directions/FAT Viewer?action=UPDATE&amp;creator=factset&amp;DYN_ARGS=TRUE&amp;DOC_NAME=FAT:FQL_AUDITING_CLIENT_TEMPLATE.FAT&amp;display_string=Audit&amp;VAR:KEY=LULEHSBAPU&amp;VAR:QUERY=RkZfTkVUX0lOQyhBTk4sMjAwOCk=&amp;WINDOW=FIRST_POPUP&amp;HEIGHT=450&amp;WIDTH=450&amp;START_MAXIMIZED=","FALSE&amp;VAR:CALENDAR=FIVEDAY&amp;VAR:SYMBOL=554197&amp;VAR:INDEX=0"}</definedName>
    <definedName name="_733__FDSAUDITLINK__" hidden="1">{"fdsup://directions/FAT Viewer?action=UPDATE&amp;creator=factset&amp;DYN_ARGS=TRUE&amp;DOC_NAME=FAT:FQL_AUDITING_CLIENT_TEMPLATE.FAT&amp;display_string=Audit&amp;VAR:KEY=LULEHSBAPU&amp;VAR:QUERY=RkZfTkVUX0lOQyhBTk4sMjAwOCk=&amp;WINDOW=FIRST_POPUP&amp;HEIGHT=450&amp;WIDTH=450&amp;START_MAXIMIZED=","FALSE&amp;VAR:CALENDAR=FIVEDAY&amp;VAR:SYMBOL=554197&amp;VAR:INDEX=0"}</definedName>
    <definedName name="_733__FDSAUDITLINK___1" localSheetId="8" hidden="1">{"fdsup://directions/FAT Viewer?action=UPDATE&amp;creator=factset&amp;DYN_ARGS=TRUE&amp;DOC_NAME=FAT:FQL_AUDITING_CLIENT_TEMPLATE.FAT&amp;display_string=Audit&amp;VAR:KEY=LULEHSBAPU&amp;VAR:QUERY=RkZfTkVUX0lOQyhBTk4sMjAwOCk=&amp;WINDOW=FIRST_POPUP&amp;HEIGHT=450&amp;WIDTH=450&amp;START_MAXIMIZED=","FALSE&amp;VAR:CALENDAR=FIVEDAY&amp;VAR:SYMBOL=554197&amp;VAR:INDEX=0"}</definedName>
    <definedName name="_733__FDSAUDITLINK___1" hidden="1">{"fdsup://directions/FAT Viewer?action=UPDATE&amp;creator=factset&amp;DYN_ARGS=TRUE&amp;DOC_NAME=FAT:FQL_AUDITING_CLIENT_TEMPLATE.FAT&amp;display_string=Audit&amp;VAR:KEY=LULEHSBAPU&amp;VAR:QUERY=RkZfTkVUX0lOQyhBTk4sMjAwOCk=&amp;WINDOW=FIRST_POPUP&amp;HEIGHT=450&amp;WIDTH=450&amp;START_MAXIMIZED=","FALSE&amp;VAR:CALENDAR=FIVEDAY&amp;VAR:SYMBOL=554197&amp;VAR:INDEX=0"}</definedName>
    <definedName name="_734__FDSAUDITLINK__" localSheetId="8" hidden="1">{"fdsup://directions/FAT Viewer?action=UPDATE&amp;creator=factset&amp;DYN_ARGS=TRUE&amp;DOC_NAME=FAT:FQL_AUDITING_CLIENT_TEMPLATE.FAT&amp;display_string=Audit&amp;VAR:KEY=YVCXUDMBOT&amp;VAR:QUERY=RkZfTkVUX0lOQyhBTk4sMjAxMCk=&amp;WINDOW=FIRST_POPUP&amp;HEIGHT=450&amp;WIDTH=450&amp;START_MAXIMIZED=","FALSE&amp;VAR:CALENDAR=FIVEDAY&amp;VAR:SYMBOL=554197&amp;VAR:INDEX=0"}</definedName>
    <definedName name="_734__FDSAUDITLINK__" hidden="1">{"fdsup://directions/FAT Viewer?action=UPDATE&amp;creator=factset&amp;DYN_ARGS=TRUE&amp;DOC_NAME=FAT:FQL_AUDITING_CLIENT_TEMPLATE.FAT&amp;display_string=Audit&amp;VAR:KEY=YVCXUDMBOT&amp;VAR:QUERY=RkZfTkVUX0lOQyhBTk4sMjAxMCk=&amp;WINDOW=FIRST_POPUP&amp;HEIGHT=450&amp;WIDTH=450&amp;START_MAXIMIZED=","FALSE&amp;VAR:CALENDAR=FIVEDAY&amp;VAR:SYMBOL=554197&amp;VAR:INDEX=0"}</definedName>
    <definedName name="_734__FDSAUDITLINK___1" localSheetId="8" hidden="1">{"fdsup://directions/FAT Viewer?action=UPDATE&amp;creator=factset&amp;DYN_ARGS=TRUE&amp;DOC_NAME=FAT:FQL_AUDITING_CLIENT_TEMPLATE.FAT&amp;display_string=Audit&amp;VAR:KEY=YVCXUDMBOT&amp;VAR:QUERY=RkZfTkVUX0lOQyhBTk4sMjAxMCk=&amp;WINDOW=FIRST_POPUP&amp;HEIGHT=450&amp;WIDTH=450&amp;START_MAXIMIZED=","FALSE&amp;VAR:CALENDAR=FIVEDAY&amp;VAR:SYMBOL=554197&amp;VAR:INDEX=0"}</definedName>
    <definedName name="_734__FDSAUDITLINK___1" hidden="1">{"fdsup://directions/FAT Viewer?action=UPDATE&amp;creator=factset&amp;DYN_ARGS=TRUE&amp;DOC_NAME=FAT:FQL_AUDITING_CLIENT_TEMPLATE.FAT&amp;display_string=Audit&amp;VAR:KEY=YVCXUDMBOT&amp;VAR:QUERY=RkZfTkVUX0lOQyhBTk4sMjAxMCk=&amp;WINDOW=FIRST_POPUP&amp;HEIGHT=450&amp;WIDTH=450&amp;START_MAXIMIZED=","FALSE&amp;VAR:CALENDAR=FIVEDAY&amp;VAR:SYMBOL=554197&amp;VAR:INDEX=0"}</definedName>
    <definedName name="_735__FDSAUDITLINK__" localSheetId="8" hidden="1">{"fdsup://Directions/FactSet Auditing Viewer?action=AUDIT_VALUE&amp;DB=129&amp;ID1=594431&amp;VALUEID=01001&amp;SDATE=2009&amp;PERIODTYPE=ANN_STD&amp;SCFT=3&amp;window=popup_no_bar&amp;width=385&amp;height=120&amp;START_MAXIMIZED=FALSE&amp;creator=factset&amp;display_string=Audit"}</definedName>
    <definedName name="_735__FDSAUDITLINK__" hidden="1">{"fdsup://Directions/FactSet Auditing Viewer?action=AUDIT_VALUE&amp;DB=129&amp;ID1=594431&amp;VALUEID=01001&amp;SDATE=2009&amp;PERIODTYPE=ANN_STD&amp;SCFT=3&amp;window=popup_no_bar&amp;width=385&amp;height=120&amp;START_MAXIMIZED=FALSE&amp;creator=factset&amp;display_string=Audit"}</definedName>
    <definedName name="_735__FDSAUDITLINK___1" localSheetId="8" hidden="1">{"fdsup://Directions/FactSet Auditing Viewer?action=AUDIT_VALUE&amp;DB=129&amp;ID1=594431&amp;VALUEID=01001&amp;SDATE=2009&amp;PERIODTYPE=ANN_STD&amp;SCFT=3&amp;window=popup_no_bar&amp;width=385&amp;height=120&amp;START_MAXIMIZED=FALSE&amp;creator=factset&amp;display_string=Audit"}</definedName>
    <definedName name="_735__FDSAUDITLINK___1" hidden="1">{"fdsup://Directions/FactSet Auditing Viewer?action=AUDIT_VALUE&amp;DB=129&amp;ID1=594431&amp;VALUEID=01001&amp;SDATE=2009&amp;PERIODTYPE=ANN_STD&amp;SCFT=3&amp;window=popup_no_bar&amp;width=385&amp;height=120&amp;START_MAXIMIZED=FALSE&amp;creator=factset&amp;display_string=Audit"}</definedName>
    <definedName name="_736__FDSAUDITLINK__" localSheetId="8" hidden="1">{"fdsup://Directions/FactSet Auditing Viewer?action=AUDIT_VALUE&amp;DB=129&amp;ID1=594431&amp;VALUEID=01001&amp;SDATE=2011&amp;PERIODTYPE=ANN_STD&amp;SCFT=3&amp;window=popup_no_bar&amp;width=385&amp;height=120&amp;START_MAXIMIZED=FALSE&amp;creator=factset&amp;display_string=Audit"}</definedName>
    <definedName name="_736__FDSAUDITLINK__" hidden="1">{"fdsup://Directions/FactSet Auditing Viewer?action=AUDIT_VALUE&amp;DB=129&amp;ID1=594431&amp;VALUEID=01001&amp;SDATE=2011&amp;PERIODTYPE=ANN_STD&amp;SCFT=3&amp;window=popup_no_bar&amp;width=385&amp;height=120&amp;START_MAXIMIZED=FALSE&amp;creator=factset&amp;display_string=Audit"}</definedName>
    <definedName name="_736__FDSAUDITLINK___1" localSheetId="8" hidden="1">{"fdsup://Directions/FactSet Auditing Viewer?action=AUDIT_VALUE&amp;DB=129&amp;ID1=594431&amp;VALUEID=01001&amp;SDATE=2011&amp;PERIODTYPE=ANN_STD&amp;SCFT=3&amp;window=popup_no_bar&amp;width=385&amp;height=120&amp;START_MAXIMIZED=FALSE&amp;creator=factset&amp;display_string=Audit"}</definedName>
    <definedName name="_736__FDSAUDITLINK___1" hidden="1">{"fdsup://Directions/FactSet Auditing Viewer?action=AUDIT_VALUE&amp;DB=129&amp;ID1=594431&amp;VALUEID=01001&amp;SDATE=2011&amp;PERIODTYPE=ANN_STD&amp;SCFT=3&amp;window=popup_no_bar&amp;width=385&amp;height=120&amp;START_MAXIMIZED=FALSE&amp;creator=factset&amp;display_string=Audit"}</definedName>
    <definedName name="_737__FDSAUDITLINK__" localSheetId="8" hidden="1">{"fdsup://directions/FAT Viewer?action=UPDATE&amp;creator=factset&amp;DYN_ARGS=TRUE&amp;DOC_NAME=FAT:FQL_AUDITING_CLIENT_TEMPLATE.FAT&amp;display_string=Audit&amp;VAR:KEY=FSRUXENCRS&amp;VAR:QUERY=RkZfRUJJVERBX09QRVIoQU5OLDIwMDgp&amp;WINDOW=FIRST_POPUP&amp;HEIGHT=450&amp;WIDTH=450&amp;START_MAXIMI","ZED=FALSE&amp;VAR:CALENDAR=FIVEDAY&amp;VAR:SYMBOL=594431&amp;VAR:INDEX=0"}</definedName>
    <definedName name="_737__FDSAUDITLINK__" hidden="1">{"fdsup://directions/FAT Viewer?action=UPDATE&amp;creator=factset&amp;DYN_ARGS=TRUE&amp;DOC_NAME=FAT:FQL_AUDITING_CLIENT_TEMPLATE.FAT&amp;display_string=Audit&amp;VAR:KEY=FSRUXENCRS&amp;VAR:QUERY=RkZfRUJJVERBX09QRVIoQU5OLDIwMDgp&amp;WINDOW=FIRST_POPUP&amp;HEIGHT=450&amp;WIDTH=450&amp;START_MAXIMI","ZED=FALSE&amp;VAR:CALENDAR=FIVEDAY&amp;VAR:SYMBOL=594431&amp;VAR:INDEX=0"}</definedName>
    <definedName name="_737__FDSAUDITLINK___1" localSheetId="8" hidden="1">{"fdsup://directions/FAT Viewer?action=UPDATE&amp;creator=factset&amp;DYN_ARGS=TRUE&amp;DOC_NAME=FAT:FQL_AUDITING_CLIENT_TEMPLATE.FAT&amp;display_string=Audit&amp;VAR:KEY=FSRUXENCRS&amp;VAR:QUERY=RkZfRUJJVERBX09QRVIoQU5OLDIwMDgp&amp;WINDOW=FIRST_POPUP&amp;HEIGHT=450&amp;WIDTH=450&amp;START_MAXIMI","ZED=FALSE&amp;VAR:CALENDAR=FIVEDAY&amp;VAR:SYMBOL=594431&amp;VAR:INDEX=0"}</definedName>
    <definedName name="_737__FDSAUDITLINK___1" hidden="1">{"fdsup://directions/FAT Viewer?action=UPDATE&amp;creator=factset&amp;DYN_ARGS=TRUE&amp;DOC_NAME=FAT:FQL_AUDITING_CLIENT_TEMPLATE.FAT&amp;display_string=Audit&amp;VAR:KEY=FSRUXENCRS&amp;VAR:QUERY=RkZfRUJJVERBX09QRVIoQU5OLDIwMDgp&amp;WINDOW=FIRST_POPUP&amp;HEIGHT=450&amp;WIDTH=450&amp;START_MAXIMI","ZED=FALSE&amp;VAR:CALENDAR=FIVEDAY&amp;VAR:SYMBOL=594431&amp;VAR:INDEX=0"}</definedName>
    <definedName name="_738__FDSAUDITLINK__" localSheetId="8" hidden="1">{"fdsup://directions/FAT Viewer?action=UPDATE&amp;creator=factset&amp;DYN_ARGS=TRUE&amp;DOC_NAME=FAT:FQL_AUDITING_CLIENT_TEMPLATE.FAT&amp;display_string=Audit&amp;VAR:KEY=HARINCHOLW&amp;VAR:QUERY=RkZfRUJJVERBX09QRVIoQU5OLDIwMTAp&amp;WINDOW=FIRST_POPUP&amp;HEIGHT=450&amp;WIDTH=450&amp;START_MAXIMI","ZED=FALSE&amp;VAR:CALENDAR=FIVEDAY&amp;VAR:SYMBOL=594431&amp;VAR:INDEX=0"}</definedName>
    <definedName name="_738__FDSAUDITLINK__" hidden="1">{"fdsup://directions/FAT Viewer?action=UPDATE&amp;creator=factset&amp;DYN_ARGS=TRUE&amp;DOC_NAME=FAT:FQL_AUDITING_CLIENT_TEMPLATE.FAT&amp;display_string=Audit&amp;VAR:KEY=HARINCHOLW&amp;VAR:QUERY=RkZfRUJJVERBX09QRVIoQU5OLDIwMTAp&amp;WINDOW=FIRST_POPUP&amp;HEIGHT=450&amp;WIDTH=450&amp;START_MAXIMI","ZED=FALSE&amp;VAR:CALENDAR=FIVEDAY&amp;VAR:SYMBOL=594431&amp;VAR:INDEX=0"}</definedName>
    <definedName name="_738__FDSAUDITLINK___1" localSheetId="8" hidden="1">{"fdsup://directions/FAT Viewer?action=UPDATE&amp;creator=factset&amp;DYN_ARGS=TRUE&amp;DOC_NAME=FAT:FQL_AUDITING_CLIENT_TEMPLATE.FAT&amp;display_string=Audit&amp;VAR:KEY=HARINCHOLW&amp;VAR:QUERY=RkZfRUJJVERBX09QRVIoQU5OLDIwMTAp&amp;WINDOW=FIRST_POPUP&amp;HEIGHT=450&amp;WIDTH=450&amp;START_MAXIMI","ZED=FALSE&amp;VAR:CALENDAR=FIVEDAY&amp;VAR:SYMBOL=594431&amp;VAR:INDEX=0"}</definedName>
    <definedName name="_738__FDSAUDITLINK___1" hidden="1">{"fdsup://directions/FAT Viewer?action=UPDATE&amp;creator=factset&amp;DYN_ARGS=TRUE&amp;DOC_NAME=FAT:FQL_AUDITING_CLIENT_TEMPLATE.FAT&amp;display_string=Audit&amp;VAR:KEY=HARINCHOLW&amp;VAR:QUERY=RkZfRUJJVERBX09QRVIoQU5OLDIwMTAp&amp;WINDOW=FIRST_POPUP&amp;HEIGHT=450&amp;WIDTH=450&amp;START_MAXIMI","ZED=FALSE&amp;VAR:CALENDAR=FIVEDAY&amp;VAR:SYMBOL=594431&amp;VAR:INDEX=0"}</definedName>
    <definedName name="_739__FDSAUDITLINK__" localSheetId="8" hidden="1">{"fdsup://directions/FAT Viewer?action=UPDATE&amp;creator=factset&amp;DYN_ARGS=TRUE&amp;DOC_NAME=FAT:FQL_AUDITING_CLIENT_TEMPLATE.FAT&amp;display_string=Audit&amp;VAR:KEY=WVCLIDEHYJ&amp;VAR:QUERY=RkZfRUJJVF9PUEVSKEFOTiwyMDA5KQ==&amp;WINDOW=FIRST_POPUP&amp;HEIGHT=450&amp;WIDTH=450&amp;START_MAXIMI","ZED=FALSE&amp;VAR:CALENDAR=FIVEDAY&amp;VAR:SYMBOL=594431&amp;VAR:INDEX=0"}</definedName>
    <definedName name="_739__FDSAUDITLINK__" hidden="1">{"fdsup://directions/FAT Viewer?action=UPDATE&amp;creator=factset&amp;DYN_ARGS=TRUE&amp;DOC_NAME=FAT:FQL_AUDITING_CLIENT_TEMPLATE.FAT&amp;display_string=Audit&amp;VAR:KEY=WVCLIDEHYJ&amp;VAR:QUERY=RkZfRUJJVF9PUEVSKEFOTiwyMDA5KQ==&amp;WINDOW=FIRST_POPUP&amp;HEIGHT=450&amp;WIDTH=450&amp;START_MAXIMI","ZED=FALSE&amp;VAR:CALENDAR=FIVEDAY&amp;VAR:SYMBOL=594431&amp;VAR:INDEX=0"}</definedName>
    <definedName name="_739__FDSAUDITLINK___1" localSheetId="8" hidden="1">{"fdsup://directions/FAT Viewer?action=UPDATE&amp;creator=factset&amp;DYN_ARGS=TRUE&amp;DOC_NAME=FAT:FQL_AUDITING_CLIENT_TEMPLATE.FAT&amp;display_string=Audit&amp;VAR:KEY=WVCLIDEHYJ&amp;VAR:QUERY=RkZfRUJJVF9PUEVSKEFOTiwyMDA5KQ==&amp;WINDOW=FIRST_POPUP&amp;HEIGHT=450&amp;WIDTH=450&amp;START_MAXIMI","ZED=FALSE&amp;VAR:CALENDAR=FIVEDAY&amp;VAR:SYMBOL=594431&amp;VAR:INDEX=0"}</definedName>
    <definedName name="_739__FDSAUDITLINK___1" hidden="1">{"fdsup://directions/FAT Viewer?action=UPDATE&amp;creator=factset&amp;DYN_ARGS=TRUE&amp;DOC_NAME=FAT:FQL_AUDITING_CLIENT_TEMPLATE.FAT&amp;display_string=Audit&amp;VAR:KEY=WVCLIDEHYJ&amp;VAR:QUERY=RkZfRUJJVF9PUEVSKEFOTiwyMDA5KQ==&amp;WINDOW=FIRST_POPUP&amp;HEIGHT=450&amp;WIDTH=450&amp;START_MAXIMI","ZED=FALSE&amp;VAR:CALENDAR=FIVEDAY&amp;VAR:SYMBOL=594431&amp;VAR:INDEX=0"}</definedName>
    <definedName name="_74__123Graph_DCHART_7" localSheetId="8" hidden="1">#REF!</definedName>
    <definedName name="_74__123Graph_DCHART_7" hidden="1">#REF!</definedName>
    <definedName name="_74__123Graph_LBL_BCHART_2" hidden="1">#REF!</definedName>
    <definedName name="_74__FDSAUDITLINK__" localSheetId="8" hidden="1">{"fdsup://directions/FAT Viewer?action=UPDATE&amp;creator=factset&amp;DYN_ARGS=TRUE&amp;DOC_NAME=FAT:FQL_AUDITING_CLIENT_TEMPLATE.FAT&amp;display_string=Audit&amp;VAR:KEY=JUXWFIHMNW&amp;VAR:QUERY=RkZfRUJJVF9JQignQU5OJywzMzYwMywsLCwnR0JQJyk=&amp;WINDOW=FIRST_POPUP&amp;HEIGHT=450&amp;WIDTH=450&amp;","START_MAXIMIZED=FALSE&amp;VAR:CALENDAR=FIVEDAY&amp;VAR:SYMBOL=011827&amp;VAR:INDEX=0"}</definedName>
    <definedName name="_74__FDSAUDITLINK__" hidden="1">{"fdsup://directions/FAT Viewer?action=UPDATE&amp;creator=factset&amp;DYN_ARGS=TRUE&amp;DOC_NAME=FAT:FQL_AUDITING_CLIENT_TEMPLATE.FAT&amp;display_string=Audit&amp;VAR:KEY=GBCVKVSRYF&amp;VAR:QUERY=RkZfRUJJVF9PUEVSKENBTCwyMDExKQ==&amp;WINDOW=FIRST_POPUP&amp;HEIGHT=450&amp;WIDTH=450&amp;START_MAXIMI","ZED=FALSE&amp;VAR:CALENDAR=US&amp;VAR:SYMBOL=TXI&amp;VAR:INDEX=0"}</definedName>
    <definedName name="_74__FDSAUDITLINK___1" localSheetId="8" hidden="1">{"fdsup://directions/FAT Viewer?action=UPDATE&amp;creator=factset&amp;DYN_ARGS=TRUE&amp;DOC_NAME=FAT:FQL_AUDITING_CLIENT_TEMPLATE.FAT&amp;display_string=Audit&amp;VAR:KEY=JUXWFIHMNW&amp;VAR:QUERY=RkZfRUJJVF9JQignQU5OJywzMzYwMywsLCwnR0JQJyk=&amp;WINDOW=FIRST_POPUP&amp;HEIGHT=450&amp;WIDTH=450&amp;","START_MAXIMIZED=FALSE&amp;VAR:CALENDAR=FIVEDAY&amp;VAR:SYMBOL=011827&amp;VAR:INDEX=0"}</definedName>
    <definedName name="_74__FDSAUDITLINK___1" hidden="1">{"fdsup://directions/FAT Viewer?action=UPDATE&amp;creator=factset&amp;DYN_ARGS=TRUE&amp;DOC_NAME=FAT:FQL_AUDITING_CLIENT_TEMPLATE.FAT&amp;display_string=Audit&amp;VAR:KEY=JUXWFIHMNW&amp;VAR:QUERY=RkZfRUJJVF9JQignQU5OJywzMzYwMywsLCwnR0JQJyk=&amp;WINDOW=FIRST_POPUP&amp;HEIGHT=450&amp;WIDTH=450&amp;","START_MAXIMIZED=FALSE&amp;VAR:CALENDAR=FIVEDAY&amp;VAR:SYMBOL=011827&amp;VAR:INDEX=0"}</definedName>
    <definedName name="_740__FDSAUDITLINK__" localSheetId="8" hidden="1">{"fdsup://directions/FAT Viewer?action=UPDATE&amp;creator=factset&amp;DYN_ARGS=TRUE&amp;DOC_NAME=FAT:FQL_AUDITING_CLIENT_TEMPLATE.FAT&amp;display_string=Audit&amp;VAR:KEY=UBYNAXQVCR&amp;VAR:QUERY=RkZfRUJJVF9PUEVSKEFOTiwyMDEwKQ==&amp;WINDOW=FIRST_POPUP&amp;HEIGHT=450&amp;WIDTH=450&amp;START_MAXIMI","ZED=FALSE&amp;VAR:CALENDAR=FIVEDAY&amp;VAR:SYMBOL=594431&amp;VAR:INDEX=0"}</definedName>
    <definedName name="_740__FDSAUDITLINK__" hidden="1">{"fdsup://directions/FAT Viewer?action=UPDATE&amp;creator=factset&amp;DYN_ARGS=TRUE&amp;DOC_NAME=FAT:FQL_AUDITING_CLIENT_TEMPLATE.FAT&amp;display_string=Audit&amp;VAR:KEY=UBYNAXQVCR&amp;VAR:QUERY=RkZfRUJJVF9PUEVSKEFOTiwyMDEwKQ==&amp;WINDOW=FIRST_POPUP&amp;HEIGHT=450&amp;WIDTH=450&amp;START_MAXIMI","ZED=FALSE&amp;VAR:CALENDAR=FIVEDAY&amp;VAR:SYMBOL=594431&amp;VAR:INDEX=0"}</definedName>
    <definedName name="_740__FDSAUDITLINK___1" localSheetId="8" hidden="1">{"fdsup://directions/FAT Viewer?action=UPDATE&amp;creator=factset&amp;DYN_ARGS=TRUE&amp;DOC_NAME=FAT:FQL_AUDITING_CLIENT_TEMPLATE.FAT&amp;display_string=Audit&amp;VAR:KEY=UBYNAXQVCR&amp;VAR:QUERY=RkZfRUJJVF9PUEVSKEFOTiwyMDEwKQ==&amp;WINDOW=FIRST_POPUP&amp;HEIGHT=450&amp;WIDTH=450&amp;START_MAXIMI","ZED=FALSE&amp;VAR:CALENDAR=FIVEDAY&amp;VAR:SYMBOL=594431&amp;VAR:INDEX=0"}</definedName>
    <definedName name="_740__FDSAUDITLINK___1" hidden="1">{"fdsup://directions/FAT Viewer?action=UPDATE&amp;creator=factset&amp;DYN_ARGS=TRUE&amp;DOC_NAME=FAT:FQL_AUDITING_CLIENT_TEMPLATE.FAT&amp;display_string=Audit&amp;VAR:KEY=UBYNAXQVCR&amp;VAR:QUERY=RkZfRUJJVF9PUEVSKEFOTiwyMDEwKQ==&amp;WINDOW=FIRST_POPUP&amp;HEIGHT=450&amp;WIDTH=450&amp;START_MAXIMI","ZED=FALSE&amp;VAR:CALENDAR=FIVEDAY&amp;VAR:SYMBOL=594431&amp;VAR:INDEX=0"}</definedName>
    <definedName name="_741__FDSAUDITLINK__" localSheetId="8" hidden="1">{"fdsup://directions/FAT Viewer?action=UPDATE&amp;creator=factset&amp;DYN_ARGS=TRUE&amp;DOC_NAME=FAT:FQL_AUDITING_CLIENT_TEMPLATE.FAT&amp;display_string=Audit&amp;VAR:KEY=YNIJCVCRYT&amp;VAR:QUERY=RkZfQ0FQRVgoQU5OLDIwMDgp&amp;WINDOW=FIRST_POPUP&amp;HEIGHT=450&amp;WIDTH=450&amp;START_MAXIMIZED=FALS","E&amp;VAR:CALENDAR=FIVEDAY&amp;VAR:SYMBOL=594431&amp;VAR:INDEX=0"}</definedName>
    <definedName name="_741__FDSAUDITLINK__" hidden="1">{"fdsup://directions/FAT Viewer?action=UPDATE&amp;creator=factset&amp;DYN_ARGS=TRUE&amp;DOC_NAME=FAT:FQL_AUDITING_CLIENT_TEMPLATE.FAT&amp;display_string=Audit&amp;VAR:KEY=YNIJCVCRYT&amp;VAR:QUERY=RkZfQ0FQRVgoQU5OLDIwMDgp&amp;WINDOW=FIRST_POPUP&amp;HEIGHT=450&amp;WIDTH=450&amp;START_MAXIMIZED=FALS","E&amp;VAR:CALENDAR=FIVEDAY&amp;VAR:SYMBOL=594431&amp;VAR:INDEX=0"}</definedName>
    <definedName name="_741__FDSAUDITLINK___1" localSheetId="8" hidden="1">{"fdsup://directions/FAT Viewer?action=UPDATE&amp;creator=factset&amp;DYN_ARGS=TRUE&amp;DOC_NAME=FAT:FQL_AUDITING_CLIENT_TEMPLATE.FAT&amp;display_string=Audit&amp;VAR:KEY=YNIJCVCRYT&amp;VAR:QUERY=RkZfQ0FQRVgoQU5OLDIwMDgp&amp;WINDOW=FIRST_POPUP&amp;HEIGHT=450&amp;WIDTH=450&amp;START_MAXIMIZED=FALS","E&amp;VAR:CALENDAR=FIVEDAY&amp;VAR:SYMBOL=594431&amp;VAR:INDEX=0"}</definedName>
    <definedName name="_741__FDSAUDITLINK___1" hidden="1">{"fdsup://directions/FAT Viewer?action=UPDATE&amp;creator=factset&amp;DYN_ARGS=TRUE&amp;DOC_NAME=FAT:FQL_AUDITING_CLIENT_TEMPLATE.FAT&amp;display_string=Audit&amp;VAR:KEY=YNIJCVCRYT&amp;VAR:QUERY=RkZfQ0FQRVgoQU5OLDIwMDgp&amp;WINDOW=FIRST_POPUP&amp;HEIGHT=450&amp;WIDTH=450&amp;START_MAXIMIZED=FALS","E&amp;VAR:CALENDAR=FIVEDAY&amp;VAR:SYMBOL=594431&amp;VAR:INDEX=0"}</definedName>
    <definedName name="_742__FDSAUDITLINK__" localSheetId="8" hidden="1">{"fdsup://directions/FAT Viewer?action=UPDATE&amp;creator=factset&amp;DYN_ARGS=TRUE&amp;DOC_NAME=FAT:FQL_AUDITING_CLIENT_TEMPLATE.FAT&amp;display_string=Audit&amp;VAR:KEY=CDADYLKDQH&amp;VAR:QUERY=RkZfQ0FQRVgoQU5OLDIwMTAp&amp;WINDOW=FIRST_POPUP&amp;HEIGHT=450&amp;WIDTH=450&amp;START_MAXIMIZED=FALS","E&amp;VAR:CALENDAR=FIVEDAY&amp;VAR:SYMBOL=594431&amp;VAR:INDEX=0"}</definedName>
    <definedName name="_742__FDSAUDITLINK__" hidden="1">{"fdsup://directions/FAT Viewer?action=UPDATE&amp;creator=factset&amp;DYN_ARGS=TRUE&amp;DOC_NAME=FAT:FQL_AUDITING_CLIENT_TEMPLATE.FAT&amp;display_string=Audit&amp;VAR:KEY=CDADYLKDQH&amp;VAR:QUERY=RkZfQ0FQRVgoQU5OLDIwMTAp&amp;WINDOW=FIRST_POPUP&amp;HEIGHT=450&amp;WIDTH=450&amp;START_MAXIMIZED=FALS","E&amp;VAR:CALENDAR=FIVEDAY&amp;VAR:SYMBOL=594431&amp;VAR:INDEX=0"}</definedName>
    <definedName name="_742__FDSAUDITLINK___1" localSheetId="8" hidden="1">{"fdsup://directions/FAT Viewer?action=UPDATE&amp;creator=factset&amp;DYN_ARGS=TRUE&amp;DOC_NAME=FAT:FQL_AUDITING_CLIENT_TEMPLATE.FAT&amp;display_string=Audit&amp;VAR:KEY=CDADYLKDQH&amp;VAR:QUERY=RkZfQ0FQRVgoQU5OLDIwMTAp&amp;WINDOW=FIRST_POPUP&amp;HEIGHT=450&amp;WIDTH=450&amp;START_MAXIMIZED=FALS","E&amp;VAR:CALENDAR=FIVEDAY&amp;VAR:SYMBOL=594431&amp;VAR:INDEX=0"}</definedName>
    <definedName name="_742__FDSAUDITLINK___1" hidden="1">{"fdsup://directions/FAT Viewer?action=UPDATE&amp;creator=factset&amp;DYN_ARGS=TRUE&amp;DOC_NAME=FAT:FQL_AUDITING_CLIENT_TEMPLATE.FAT&amp;display_string=Audit&amp;VAR:KEY=CDADYLKDQH&amp;VAR:QUERY=RkZfQ0FQRVgoQU5OLDIwMTAp&amp;WINDOW=FIRST_POPUP&amp;HEIGHT=450&amp;WIDTH=450&amp;START_MAXIMIZED=FALS","E&amp;VAR:CALENDAR=FIVEDAY&amp;VAR:SYMBOL=594431&amp;VAR:INDEX=0"}</definedName>
    <definedName name="_743__FDSAUDITLINK__" localSheetId="8" hidden="1">{"fdsup://directions/FAT Viewer?action=UPDATE&amp;creator=factset&amp;DYN_ARGS=TRUE&amp;DOC_NAME=FAT:FQL_AUDITING_CLIENT_TEMPLATE.FAT&amp;display_string=Audit&amp;VAR:KEY=DQRMRERGDO&amp;VAR:QUERY=RkZfTkVUX0lOQyhBTk4sMjAwOSk=&amp;WINDOW=FIRST_POPUP&amp;HEIGHT=450&amp;WIDTH=450&amp;START_MAXIMIZED=","FALSE&amp;VAR:CALENDAR=FIVEDAY&amp;VAR:SYMBOL=594431&amp;VAR:INDEX=0"}</definedName>
    <definedName name="_743__FDSAUDITLINK__" hidden="1">{"fdsup://directions/FAT Viewer?action=UPDATE&amp;creator=factset&amp;DYN_ARGS=TRUE&amp;DOC_NAME=FAT:FQL_AUDITING_CLIENT_TEMPLATE.FAT&amp;display_string=Audit&amp;VAR:KEY=DQRMRERGDO&amp;VAR:QUERY=RkZfTkVUX0lOQyhBTk4sMjAwOSk=&amp;WINDOW=FIRST_POPUP&amp;HEIGHT=450&amp;WIDTH=450&amp;START_MAXIMIZED=","FALSE&amp;VAR:CALENDAR=FIVEDAY&amp;VAR:SYMBOL=594431&amp;VAR:INDEX=0"}</definedName>
    <definedName name="_743__FDSAUDITLINK___1" localSheetId="8" hidden="1">{"fdsup://directions/FAT Viewer?action=UPDATE&amp;creator=factset&amp;DYN_ARGS=TRUE&amp;DOC_NAME=FAT:FQL_AUDITING_CLIENT_TEMPLATE.FAT&amp;display_string=Audit&amp;VAR:KEY=DQRMRERGDO&amp;VAR:QUERY=RkZfTkVUX0lOQyhBTk4sMjAwOSk=&amp;WINDOW=FIRST_POPUP&amp;HEIGHT=450&amp;WIDTH=450&amp;START_MAXIMIZED=","FALSE&amp;VAR:CALENDAR=FIVEDAY&amp;VAR:SYMBOL=594431&amp;VAR:INDEX=0"}</definedName>
    <definedName name="_743__FDSAUDITLINK___1" hidden="1">{"fdsup://directions/FAT Viewer?action=UPDATE&amp;creator=factset&amp;DYN_ARGS=TRUE&amp;DOC_NAME=FAT:FQL_AUDITING_CLIENT_TEMPLATE.FAT&amp;display_string=Audit&amp;VAR:KEY=DQRMRERGDO&amp;VAR:QUERY=RkZfTkVUX0lOQyhBTk4sMjAwOSk=&amp;WINDOW=FIRST_POPUP&amp;HEIGHT=450&amp;WIDTH=450&amp;START_MAXIMIZED=","FALSE&amp;VAR:CALENDAR=FIVEDAY&amp;VAR:SYMBOL=594431&amp;VAR:INDEX=0"}</definedName>
    <definedName name="_744__FDSAUDITLINK__" localSheetId="8" hidden="1">{"fdsup://directions/FAT Viewer?action=UPDATE&amp;creator=factset&amp;DYN_ARGS=TRUE&amp;DOC_NAME=FAT:FQL_AUDITING_CLIENT_TEMPLATE.FAT&amp;display_string=Audit&amp;VAR:KEY=TMFOLCPEHE&amp;VAR:QUERY=RkZfTkVUX0lOQyhBTk4sMjAxMSk=&amp;WINDOW=FIRST_POPUP&amp;HEIGHT=450&amp;WIDTH=450&amp;START_MAXIMIZED=","FALSE&amp;VAR:CALENDAR=FIVEDAY&amp;VAR:SYMBOL=594431&amp;VAR:INDEX=0"}</definedName>
    <definedName name="_744__FDSAUDITLINK__" hidden="1">{"fdsup://directions/FAT Viewer?action=UPDATE&amp;creator=factset&amp;DYN_ARGS=TRUE&amp;DOC_NAME=FAT:FQL_AUDITING_CLIENT_TEMPLATE.FAT&amp;display_string=Audit&amp;VAR:KEY=TMFOLCPEHE&amp;VAR:QUERY=RkZfTkVUX0lOQyhBTk4sMjAxMSk=&amp;WINDOW=FIRST_POPUP&amp;HEIGHT=450&amp;WIDTH=450&amp;START_MAXIMIZED=","FALSE&amp;VAR:CALENDAR=FIVEDAY&amp;VAR:SYMBOL=594431&amp;VAR:INDEX=0"}</definedName>
    <definedName name="_744__FDSAUDITLINK___1" localSheetId="8" hidden="1">{"fdsup://directions/FAT Viewer?action=UPDATE&amp;creator=factset&amp;DYN_ARGS=TRUE&amp;DOC_NAME=FAT:FQL_AUDITING_CLIENT_TEMPLATE.FAT&amp;display_string=Audit&amp;VAR:KEY=TMFOLCPEHE&amp;VAR:QUERY=RkZfTkVUX0lOQyhBTk4sMjAxMSk=&amp;WINDOW=FIRST_POPUP&amp;HEIGHT=450&amp;WIDTH=450&amp;START_MAXIMIZED=","FALSE&amp;VAR:CALENDAR=FIVEDAY&amp;VAR:SYMBOL=594431&amp;VAR:INDEX=0"}</definedName>
    <definedName name="_744__FDSAUDITLINK___1" hidden="1">{"fdsup://directions/FAT Viewer?action=UPDATE&amp;creator=factset&amp;DYN_ARGS=TRUE&amp;DOC_NAME=FAT:FQL_AUDITING_CLIENT_TEMPLATE.FAT&amp;display_string=Audit&amp;VAR:KEY=TMFOLCPEHE&amp;VAR:QUERY=RkZfTkVUX0lOQyhBTk4sMjAxMSk=&amp;WINDOW=FIRST_POPUP&amp;HEIGHT=450&amp;WIDTH=450&amp;START_MAXIMIZED=","FALSE&amp;VAR:CALENDAR=FIVEDAY&amp;VAR:SYMBOL=594431&amp;VAR:INDEX=0"}</definedName>
    <definedName name="_745__FDSAUDITLINK__" localSheetId="8" hidden="1">{"fdsup://directions/FAT Viewer?action=UPDATE&amp;creator=factset&amp;DYN_ARGS=TRUE&amp;DOC_NAME=FAT:FQL_AUDITING_CLIENT_TEMPLATE.FAT&amp;display_string=Audit&amp;VAR:KEY=ZCFQVCRSFI&amp;VAR:QUERY=RkZfRU5UUlBSX1ZBTF9EQUlMWSgwLCwsLCwnRElMJyk=&amp;WINDOW=FIRST_POPUP&amp;HEIGHT=450&amp;WIDTH=450&amp;","START_MAXIMIZED=FALSE&amp;VAR:CALENDAR=FIVEDAY&amp;VAR:SYMBOL=597229&amp;VAR:INDEX=0"}</definedName>
    <definedName name="_745__FDSAUDITLINK__" hidden="1">{"fdsup://directions/FAT Viewer?action=UPDATE&amp;creator=factset&amp;DYN_ARGS=TRUE&amp;DOC_NAME=FAT:FQL_AUDITING_CLIENT_TEMPLATE.FAT&amp;display_string=Audit&amp;VAR:KEY=ZCFQVCRSFI&amp;VAR:QUERY=RkZfRU5UUlBSX1ZBTF9EQUlMWSgwLCwsLCwnRElMJyk=&amp;WINDOW=FIRST_POPUP&amp;HEIGHT=450&amp;WIDTH=450&amp;","START_MAXIMIZED=FALSE&amp;VAR:CALENDAR=FIVEDAY&amp;VAR:SYMBOL=597229&amp;VAR:INDEX=0"}</definedName>
    <definedName name="_745__FDSAUDITLINK___1" localSheetId="8" hidden="1">{"fdsup://directions/FAT Viewer?action=UPDATE&amp;creator=factset&amp;DYN_ARGS=TRUE&amp;DOC_NAME=FAT:FQL_AUDITING_CLIENT_TEMPLATE.FAT&amp;display_string=Audit&amp;VAR:KEY=ZCFQVCRSFI&amp;VAR:QUERY=RkZfRU5UUlBSX1ZBTF9EQUlMWSgwLCwsLCwnRElMJyk=&amp;WINDOW=FIRST_POPUP&amp;HEIGHT=450&amp;WIDTH=450&amp;","START_MAXIMIZED=FALSE&amp;VAR:CALENDAR=FIVEDAY&amp;VAR:SYMBOL=597229&amp;VAR:INDEX=0"}</definedName>
    <definedName name="_745__FDSAUDITLINK___1" hidden="1">{"fdsup://directions/FAT Viewer?action=UPDATE&amp;creator=factset&amp;DYN_ARGS=TRUE&amp;DOC_NAME=FAT:FQL_AUDITING_CLIENT_TEMPLATE.FAT&amp;display_string=Audit&amp;VAR:KEY=ZCFQVCRSFI&amp;VAR:QUERY=RkZfRU5UUlBSX1ZBTF9EQUlMWSgwLCwsLCwnRElMJyk=&amp;WINDOW=FIRST_POPUP&amp;HEIGHT=450&amp;WIDTH=450&amp;","START_MAXIMIZED=FALSE&amp;VAR:CALENDAR=FIVEDAY&amp;VAR:SYMBOL=597229&amp;VAR:INDEX=0"}</definedName>
    <definedName name="_746__FDSAUDITLINK__" localSheetId="8" hidden="1">{"fdsup://Directions/FactSet Auditing Viewer?action=AUDIT_VALUE&amp;DB=129&amp;ID1=597229&amp;VALUEID=01001&amp;SDATE=2010&amp;PERIODTYPE=ANN_STD&amp;SCFT=3&amp;window=popup_no_bar&amp;width=385&amp;height=120&amp;START_MAXIMIZED=FALSE&amp;creator=factset&amp;display_string=Audit"}</definedName>
    <definedName name="_746__FDSAUDITLINK__" hidden="1">{"fdsup://Directions/FactSet Auditing Viewer?action=AUDIT_VALUE&amp;DB=129&amp;ID1=597229&amp;VALUEID=01001&amp;SDATE=2010&amp;PERIODTYPE=ANN_STD&amp;SCFT=3&amp;window=popup_no_bar&amp;width=385&amp;height=120&amp;START_MAXIMIZED=FALSE&amp;creator=factset&amp;display_string=Audit"}</definedName>
    <definedName name="_746__FDSAUDITLINK___1" localSheetId="8" hidden="1">{"fdsup://Directions/FactSet Auditing Viewer?action=AUDIT_VALUE&amp;DB=129&amp;ID1=597229&amp;VALUEID=01001&amp;SDATE=2010&amp;PERIODTYPE=ANN_STD&amp;SCFT=3&amp;window=popup_no_bar&amp;width=385&amp;height=120&amp;START_MAXIMIZED=FALSE&amp;creator=factset&amp;display_string=Audit"}</definedName>
    <definedName name="_746__FDSAUDITLINK___1" hidden="1">{"fdsup://Directions/FactSet Auditing Viewer?action=AUDIT_VALUE&amp;DB=129&amp;ID1=597229&amp;VALUEID=01001&amp;SDATE=2010&amp;PERIODTYPE=ANN_STD&amp;SCFT=3&amp;window=popup_no_bar&amp;width=385&amp;height=120&amp;START_MAXIMIZED=FALSE&amp;creator=factset&amp;display_string=Audit"}</definedName>
    <definedName name="_747__FDSAUDITLINK__" localSheetId="8" hidden="1">{"fdsup://directions/FAT Viewer?action=UPDATE&amp;creator=factset&amp;DYN_ARGS=TRUE&amp;DOC_NAME=FAT:FQL_AUDITING_CLIENT_TEMPLATE.FAT&amp;display_string=Audit&amp;VAR:KEY=VOZWHYFMHY&amp;VAR:QUERY=RkZfRUJJVERBX09QRVIoQU5OLDIwMDkp&amp;WINDOW=FIRST_POPUP&amp;HEIGHT=450&amp;WIDTH=450&amp;START_MAXIMI","ZED=FALSE&amp;VAR:CALENDAR=FIVEDAY&amp;VAR:SYMBOL=597229&amp;VAR:INDEX=0"}</definedName>
    <definedName name="_747__FDSAUDITLINK__" hidden="1">{"fdsup://directions/FAT Viewer?action=UPDATE&amp;creator=factset&amp;DYN_ARGS=TRUE&amp;DOC_NAME=FAT:FQL_AUDITING_CLIENT_TEMPLATE.FAT&amp;display_string=Audit&amp;VAR:KEY=VOZWHYFMHY&amp;VAR:QUERY=RkZfRUJJVERBX09QRVIoQU5OLDIwMDkp&amp;WINDOW=FIRST_POPUP&amp;HEIGHT=450&amp;WIDTH=450&amp;START_MAXIMI","ZED=FALSE&amp;VAR:CALENDAR=FIVEDAY&amp;VAR:SYMBOL=597229&amp;VAR:INDEX=0"}</definedName>
    <definedName name="_747__FDSAUDITLINK___1" localSheetId="8" hidden="1">{"fdsup://directions/FAT Viewer?action=UPDATE&amp;creator=factset&amp;DYN_ARGS=TRUE&amp;DOC_NAME=FAT:FQL_AUDITING_CLIENT_TEMPLATE.FAT&amp;display_string=Audit&amp;VAR:KEY=VOZWHYFMHY&amp;VAR:QUERY=RkZfRUJJVERBX09QRVIoQU5OLDIwMDkp&amp;WINDOW=FIRST_POPUP&amp;HEIGHT=450&amp;WIDTH=450&amp;START_MAXIMI","ZED=FALSE&amp;VAR:CALENDAR=FIVEDAY&amp;VAR:SYMBOL=597229&amp;VAR:INDEX=0"}</definedName>
    <definedName name="_747__FDSAUDITLINK___1" hidden="1">{"fdsup://directions/FAT Viewer?action=UPDATE&amp;creator=factset&amp;DYN_ARGS=TRUE&amp;DOC_NAME=FAT:FQL_AUDITING_CLIENT_TEMPLATE.FAT&amp;display_string=Audit&amp;VAR:KEY=VOZWHYFMHY&amp;VAR:QUERY=RkZfRUJJVERBX09QRVIoQU5OLDIwMDkp&amp;WINDOW=FIRST_POPUP&amp;HEIGHT=450&amp;WIDTH=450&amp;START_MAXIMI","ZED=FALSE&amp;VAR:CALENDAR=FIVEDAY&amp;VAR:SYMBOL=597229&amp;VAR:INDEX=0"}</definedName>
    <definedName name="_748__FDSAUDITLINK__" localSheetId="8" hidden="1">{"fdsup://directions/FAT Viewer?action=UPDATE&amp;creator=factset&amp;DYN_ARGS=TRUE&amp;DOC_NAME=FAT:FQL_AUDITING_CLIENT_TEMPLATE.FAT&amp;display_string=Audit&amp;VAR:KEY=QXELEBODEP&amp;VAR:QUERY=RkZfRUJJVERBX09QRVIoQU5OLDIwMTEp&amp;WINDOW=FIRST_POPUP&amp;HEIGHT=450&amp;WIDTH=450&amp;START_MAXIMI","ZED=FALSE&amp;VAR:CALENDAR=FIVEDAY&amp;VAR:SYMBOL=597229&amp;VAR:INDEX=0"}</definedName>
    <definedName name="_748__FDSAUDITLINK__" hidden="1">{"fdsup://directions/FAT Viewer?action=UPDATE&amp;creator=factset&amp;DYN_ARGS=TRUE&amp;DOC_NAME=FAT:FQL_AUDITING_CLIENT_TEMPLATE.FAT&amp;display_string=Audit&amp;VAR:KEY=QXELEBODEP&amp;VAR:QUERY=RkZfRUJJVERBX09QRVIoQU5OLDIwMTEp&amp;WINDOW=FIRST_POPUP&amp;HEIGHT=450&amp;WIDTH=450&amp;START_MAXIMI","ZED=FALSE&amp;VAR:CALENDAR=FIVEDAY&amp;VAR:SYMBOL=597229&amp;VAR:INDEX=0"}</definedName>
    <definedName name="_748__FDSAUDITLINK___1" localSheetId="8" hidden="1">{"fdsup://directions/FAT Viewer?action=UPDATE&amp;creator=factset&amp;DYN_ARGS=TRUE&amp;DOC_NAME=FAT:FQL_AUDITING_CLIENT_TEMPLATE.FAT&amp;display_string=Audit&amp;VAR:KEY=QXELEBODEP&amp;VAR:QUERY=RkZfRUJJVERBX09QRVIoQU5OLDIwMTEp&amp;WINDOW=FIRST_POPUP&amp;HEIGHT=450&amp;WIDTH=450&amp;START_MAXIMI","ZED=FALSE&amp;VAR:CALENDAR=FIVEDAY&amp;VAR:SYMBOL=597229&amp;VAR:INDEX=0"}</definedName>
    <definedName name="_748__FDSAUDITLINK___1" hidden="1">{"fdsup://directions/FAT Viewer?action=UPDATE&amp;creator=factset&amp;DYN_ARGS=TRUE&amp;DOC_NAME=FAT:FQL_AUDITING_CLIENT_TEMPLATE.FAT&amp;display_string=Audit&amp;VAR:KEY=QXELEBODEP&amp;VAR:QUERY=RkZfRUJJVERBX09QRVIoQU5OLDIwMTEp&amp;WINDOW=FIRST_POPUP&amp;HEIGHT=450&amp;WIDTH=450&amp;START_MAXIMI","ZED=FALSE&amp;VAR:CALENDAR=FIVEDAY&amp;VAR:SYMBOL=597229&amp;VAR:INDEX=0"}</definedName>
    <definedName name="_749__FDSAUDITLINK__" localSheetId="8" hidden="1">{"fdsup://Directions/FactSet Auditing Viewer?action=AUDIT_VALUE&amp;DB=129&amp;ID1=597229&amp;VALUEID=01250&amp;SDATE=2010&amp;PERIODTYPE=ANN_STD&amp;SCFT=3&amp;window=popup_no_bar&amp;width=385&amp;height=120&amp;START_MAXIMIZED=FALSE&amp;creator=factset&amp;display_string=Audit"}</definedName>
    <definedName name="_749__FDSAUDITLINK__" hidden="1">{"fdsup://Directions/FactSet Auditing Viewer?action=AUDIT_VALUE&amp;DB=129&amp;ID1=597229&amp;VALUEID=01250&amp;SDATE=2010&amp;PERIODTYPE=ANN_STD&amp;SCFT=3&amp;window=popup_no_bar&amp;width=385&amp;height=120&amp;START_MAXIMIZED=FALSE&amp;creator=factset&amp;display_string=Audit"}</definedName>
    <definedName name="_749__FDSAUDITLINK___1" localSheetId="8" hidden="1">{"fdsup://Directions/FactSet Auditing Viewer?action=AUDIT_VALUE&amp;DB=129&amp;ID1=597229&amp;VALUEID=01250&amp;SDATE=2010&amp;PERIODTYPE=ANN_STD&amp;SCFT=3&amp;window=popup_no_bar&amp;width=385&amp;height=120&amp;START_MAXIMIZED=FALSE&amp;creator=factset&amp;display_string=Audit"}</definedName>
    <definedName name="_749__FDSAUDITLINK___1" hidden="1">{"fdsup://Directions/FactSet Auditing Viewer?action=AUDIT_VALUE&amp;DB=129&amp;ID1=597229&amp;VALUEID=01250&amp;SDATE=2010&amp;PERIODTYPE=ANN_STD&amp;SCFT=3&amp;window=popup_no_bar&amp;width=385&amp;height=120&amp;START_MAXIMIZED=FALSE&amp;creator=factset&amp;display_string=Audit"}</definedName>
    <definedName name="_75__123Graph_CCHART_3" hidden="1">#REF!</definedName>
    <definedName name="_75__123Graph_DCHART_8" localSheetId="8" hidden="1">#REF!</definedName>
    <definedName name="_75__123Graph_DCHART_8" hidden="1">#REF!</definedName>
    <definedName name="_75__123Graph_LBL_BCHART_20" hidden="1">#REF!</definedName>
    <definedName name="_75__FDSAUDITLINK__" localSheetId="8" hidden="1">{"fdsup://directions/FAT Viewer?action=UPDATE&amp;creator=factset&amp;DYN_ARGS=TRUE&amp;DOC_NAME=FAT:FQL_AUDITING_CLIENT_TEMPLATE.FAT&amp;display_string=Audit&amp;VAR:KEY=NCXGLIPCPS&amp;VAR:QUERY=RkZfRUJJVF9JQignQU5OJywzMzIzOCwsLCwnR0JQJyk=&amp;WINDOW=FIRST_POPUP&amp;HEIGHT=450&amp;WIDTH=450&amp;","START_MAXIMIZED=FALSE&amp;VAR:CALENDAR=FIVEDAY&amp;VAR:SYMBOL=011827&amp;VAR:INDEX=0"}</definedName>
    <definedName name="_75__FDSAUDITLINK__" hidden="1">{"fdsup://directions/FAT Viewer?action=UPDATE&amp;creator=factset&amp;DYN_ARGS=TRUE&amp;DOC_NAME=FAT:FQL_AUDITING_CLIENT_TEMPLATE.FAT&amp;display_string=Audit&amp;VAR:KEY=QJGPYTURUF&amp;VAR:QUERY=RkZfRUJJVF9PUEVSKENBTCwyMDExKQ==&amp;WINDOW=FIRST_POPUP&amp;HEIGHT=450&amp;WIDTH=450&amp;START_MAXIMI","ZED=FALSE&amp;VAR:CALENDAR=US&amp;VAR:SYMBOL=USCR&amp;VAR:INDEX=0"}</definedName>
    <definedName name="_75__FDSAUDITLINK___1" localSheetId="8" hidden="1">{"fdsup://directions/FAT Viewer?action=UPDATE&amp;creator=factset&amp;DYN_ARGS=TRUE&amp;DOC_NAME=FAT:FQL_AUDITING_CLIENT_TEMPLATE.FAT&amp;display_string=Audit&amp;VAR:KEY=NCXGLIPCPS&amp;VAR:QUERY=RkZfRUJJVF9JQignQU5OJywzMzIzOCwsLCwnR0JQJyk=&amp;WINDOW=FIRST_POPUP&amp;HEIGHT=450&amp;WIDTH=450&amp;","START_MAXIMIZED=FALSE&amp;VAR:CALENDAR=FIVEDAY&amp;VAR:SYMBOL=011827&amp;VAR:INDEX=0"}</definedName>
    <definedName name="_75__FDSAUDITLINK___1" hidden="1">{"fdsup://directions/FAT Viewer?action=UPDATE&amp;creator=factset&amp;DYN_ARGS=TRUE&amp;DOC_NAME=FAT:FQL_AUDITING_CLIENT_TEMPLATE.FAT&amp;display_string=Audit&amp;VAR:KEY=NCXGLIPCPS&amp;VAR:QUERY=RkZfRUJJVF9JQignQU5OJywzMzIzOCwsLCwnR0JQJyk=&amp;WINDOW=FIRST_POPUP&amp;HEIGHT=450&amp;WIDTH=450&amp;","START_MAXIMIZED=FALSE&amp;VAR:CALENDAR=FIVEDAY&amp;VAR:SYMBOL=011827&amp;VAR:INDEX=0"}</definedName>
    <definedName name="_750__FDSAUDITLINK__" localSheetId="8" hidden="1">{"fdsup://directions/FAT Viewer?action=UPDATE&amp;creator=factset&amp;DYN_ARGS=TRUE&amp;DOC_NAME=FAT:FQL_AUDITING_CLIENT_TEMPLATE.FAT&amp;display_string=Audit&amp;VAR:KEY=KXANEXMTEP&amp;VAR:QUERY=RkZfQ0FQRVgoQU5OLDIwMDkp&amp;WINDOW=FIRST_POPUP&amp;HEIGHT=450&amp;WIDTH=450&amp;START_MAXIMIZED=FALS","E&amp;VAR:CALENDAR=FIVEDAY&amp;VAR:SYMBOL=597229&amp;VAR:INDEX=0"}</definedName>
    <definedName name="_750__FDSAUDITLINK__" hidden="1">{"fdsup://directions/FAT Viewer?action=UPDATE&amp;creator=factset&amp;DYN_ARGS=TRUE&amp;DOC_NAME=FAT:FQL_AUDITING_CLIENT_TEMPLATE.FAT&amp;display_string=Audit&amp;VAR:KEY=KXANEXMTEP&amp;VAR:QUERY=RkZfQ0FQRVgoQU5OLDIwMDkp&amp;WINDOW=FIRST_POPUP&amp;HEIGHT=450&amp;WIDTH=450&amp;START_MAXIMIZED=FALS","E&amp;VAR:CALENDAR=FIVEDAY&amp;VAR:SYMBOL=597229&amp;VAR:INDEX=0"}</definedName>
    <definedName name="_750__FDSAUDITLINK___1" localSheetId="8" hidden="1">{"fdsup://directions/FAT Viewer?action=UPDATE&amp;creator=factset&amp;DYN_ARGS=TRUE&amp;DOC_NAME=FAT:FQL_AUDITING_CLIENT_TEMPLATE.FAT&amp;display_string=Audit&amp;VAR:KEY=KXANEXMTEP&amp;VAR:QUERY=RkZfQ0FQRVgoQU5OLDIwMDkp&amp;WINDOW=FIRST_POPUP&amp;HEIGHT=450&amp;WIDTH=450&amp;START_MAXIMIZED=FALS","E&amp;VAR:CALENDAR=FIVEDAY&amp;VAR:SYMBOL=597229&amp;VAR:INDEX=0"}</definedName>
    <definedName name="_750__FDSAUDITLINK___1" hidden="1">{"fdsup://directions/FAT Viewer?action=UPDATE&amp;creator=factset&amp;DYN_ARGS=TRUE&amp;DOC_NAME=FAT:FQL_AUDITING_CLIENT_TEMPLATE.FAT&amp;display_string=Audit&amp;VAR:KEY=KXANEXMTEP&amp;VAR:QUERY=RkZfQ0FQRVgoQU5OLDIwMDkp&amp;WINDOW=FIRST_POPUP&amp;HEIGHT=450&amp;WIDTH=450&amp;START_MAXIMIZED=FALS","E&amp;VAR:CALENDAR=FIVEDAY&amp;VAR:SYMBOL=597229&amp;VAR:INDEX=0"}</definedName>
    <definedName name="_751__FDSAUDITLINK__" localSheetId="8" hidden="1">{"fdsup://directions/FAT Viewer?action=UPDATE&amp;creator=factset&amp;DYN_ARGS=TRUE&amp;DOC_NAME=FAT:FQL_AUDITING_CLIENT_TEMPLATE.FAT&amp;display_string=Audit&amp;VAR:KEY=NYPCJIBEVG&amp;VAR:QUERY=RkZfQ0FQRVgoQU5OLDIwMTEp&amp;WINDOW=FIRST_POPUP&amp;HEIGHT=450&amp;WIDTH=450&amp;START_MAXIMIZED=FALS","E&amp;VAR:CALENDAR=FIVEDAY&amp;VAR:SYMBOL=597229&amp;VAR:INDEX=0"}</definedName>
    <definedName name="_751__FDSAUDITLINK__" hidden="1">{"fdsup://directions/FAT Viewer?action=UPDATE&amp;creator=factset&amp;DYN_ARGS=TRUE&amp;DOC_NAME=FAT:FQL_AUDITING_CLIENT_TEMPLATE.FAT&amp;display_string=Audit&amp;VAR:KEY=NYPCJIBEVG&amp;VAR:QUERY=RkZfQ0FQRVgoQU5OLDIwMTEp&amp;WINDOW=FIRST_POPUP&amp;HEIGHT=450&amp;WIDTH=450&amp;START_MAXIMIZED=FALS","E&amp;VAR:CALENDAR=FIVEDAY&amp;VAR:SYMBOL=597229&amp;VAR:INDEX=0"}</definedName>
    <definedName name="_751__FDSAUDITLINK___1" localSheetId="8" hidden="1">{"fdsup://directions/FAT Viewer?action=UPDATE&amp;creator=factset&amp;DYN_ARGS=TRUE&amp;DOC_NAME=FAT:FQL_AUDITING_CLIENT_TEMPLATE.FAT&amp;display_string=Audit&amp;VAR:KEY=NYPCJIBEVG&amp;VAR:QUERY=RkZfQ0FQRVgoQU5OLDIwMTEp&amp;WINDOW=FIRST_POPUP&amp;HEIGHT=450&amp;WIDTH=450&amp;START_MAXIMIZED=FALS","E&amp;VAR:CALENDAR=FIVEDAY&amp;VAR:SYMBOL=597229&amp;VAR:INDEX=0"}</definedName>
    <definedName name="_751__FDSAUDITLINK___1" hidden="1">{"fdsup://directions/FAT Viewer?action=UPDATE&amp;creator=factset&amp;DYN_ARGS=TRUE&amp;DOC_NAME=FAT:FQL_AUDITING_CLIENT_TEMPLATE.FAT&amp;display_string=Audit&amp;VAR:KEY=NYPCJIBEVG&amp;VAR:QUERY=RkZfQ0FQRVgoQU5OLDIwMTEp&amp;WINDOW=FIRST_POPUP&amp;HEIGHT=450&amp;WIDTH=450&amp;START_MAXIMIZED=FALS","E&amp;VAR:CALENDAR=FIVEDAY&amp;VAR:SYMBOL=597229&amp;VAR:INDEX=0"}</definedName>
    <definedName name="_752__FDSAUDITLINK__" localSheetId="8" hidden="1">{"fdsup://directions/FAT Viewer?action=UPDATE&amp;creator=factset&amp;DYN_ARGS=TRUE&amp;DOC_NAME=FAT:FQL_AUDITING_CLIENT_TEMPLATE.FAT&amp;display_string=Audit&amp;VAR:KEY=FOPKDYBQDQ&amp;VAR:QUERY=RkZfTkVUX0lOQyhBTk4sMjAwOCk=&amp;WINDOW=FIRST_POPUP&amp;HEIGHT=450&amp;WIDTH=450&amp;START_MAXIMIZED=","FALSE&amp;VAR:CALENDAR=FIVEDAY&amp;VAR:SYMBOL=597229&amp;VAR:INDEX=0"}</definedName>
    <definedName name="_752__FDSAUDITLINK__" hidden="1">{"fdsup://directions/FAT Viewer?action=UPDATE&amp;creator=factset&amp;DYN_ARGS=TRUE&amp;DOC_NAME=FAT:FQL_AUDITING_CLIENT_TEMPLATE.FAT&amp;display_string=Audit&amp;VAR:KEY=FOPKDYBQDQ&amp;VAR:QUERY=RkZfTkVUX0lOQyhBTk4sMjAwOCk=&amp;WINDOW=FIRST_POPUP&amp;HEIGHT=450&amp;WIDTH=450&amp;START_MAXIMIZED=","FALSE&amp;VAR:CALENDAR=FIVEDAY&amp;VAR:SYMBOL=597229&amp;VAR:INDEX=0"}</definedName>
    <definedName name="_752__FDSAUDITLINK___1" localSheetId="8" hidden="1">{"fdsup://directions/FAT Viewer?action=UPDATE&amp;creator=factset&amp;DYN_ARGS=TRUE&amp;DOC_NAME=FAT:FQL_AUDITING_CLIENT_TEMPLATE.FAT&amp;display_string=Audit&amp;VAR:KEY=FOPKDYBQDQ&amp;VAR:QUERY=RkZfTkVUX0lOQyhBTk4sMjAwOCk=&amp;WINDOW=FIRST_POPUP&amp;HEIGHT=450&amp;WIDTH=450&amp;START_MAXIMIZED=","FALSE&amp;VAR:CALENDAR=FIVEDAY&amp;VAR:SYMBOL=597229&amp;VAR:INDEX=0"}</definedName>
    <definedName name="_752__FDSAUDITLINK___1" hidden="1">{"fdsup://directions/FAT Viewer?action=UPDATE&amp;creator=factset&amp;DYN_ARGS=TRUE&amp;DOC_NAME=FAT:FQL_AUDITING_CLIENT_TEMPLATE.FAT&amp;display_string=Audit&amp;VAR:KEY=FOPKDYBQDQ&amp;VAR:QUERY=RkZfTkVUX0lOQyhBTk4sMjAwOCk=&amp;WINDOW=FIRST_POPUP&amp;HEIGHT=450&amp;WIDTH=450&amp;START_MAXIMIZED=","FALSE&amp;VAR:CALENDAR=FIVEDAY&amp;VAR:SYMBOL=597229&amp;VAR:INDEX=0"}</definedName>
    <definedName name="_753__FDSAUDITLINK__" localSheetId="8" hidden="1">{"fdsup://directions/FAT Viewer?action=UPDATE&amp;creator=factset&amp;DYN_ARGS=TRUE&amp;DOC_NAME=FAT:FQL_AUDITING_CLIENT_TEMPLATE.FAT&amp;display_string=Audit&amp;VAR:KEY=UZYPWZQBMN&amp;VAR:QUERY=RkZfTkVUX0lOQyhBTk4sMjAxMCk=&amp;WINDOW=FIRST_POPUP&amp;HEIGHT=450&amp;WIDTH=450&amp;START_MAXIMIZED=","FALSE&amp;VAR:CALENDAR=FIVEDAY&amp;VAR:SYMBOL=597229&amp;VAR:INDEX=0"}</definedName>
    <definedName name="_753__FDSAUDITLINK__" hidden="1">{"fdsup://directions/FAT Viewer?action=UPDATE&amp;creator=factset&amp;DYN_ARGS=TRUE&amp;DOC_NAME=FAT:FQL_AUDITING_CLIENT_TEMPLATE.FAT&amp;display_string=Audit&amp;VAR:KEY=UZYPWZQBMN&amp;VAR:QUERY=RkZfTkVUX0lOQyhBTk4sMjAxMCk=&amp;WINDOW=FIRST_POPUP&amp;HEIGHT=450&amp;WIDTH=450&amp;START_MAXIMIZED=","FALSE&amp;VAR:CALENDAR=FIVEDAY&amp;VAR:SYMBOL=597229&amp;VAR:INDEX=0"}</definedName>
    <definedName name="_753__FDSAUDITLINK___1" localSheetId="8" hidden="1">{"fdsup://directions/FAT Viewer?action=UPDATE&amp;creator=factset&amp;DYN_ARGS=TRUE&amp;DOC_NAME=FAT:FQL_AUDITING_CLIENT_TEMPLATE.FAT&amp;display_string=Audit&amp;VAR:KEY=UZYPWZQBMN&amp;VAR:QUERY=RkZfTkVUX0lOQyhBTk4sMjAxMCk=&amp;WINDOW=FIRST_POPUP&amp;HEIGHT=450&amp;WIDTH=450&amp;START_MAXIMIZED=","FALSE&amp;VAR:CALENDAR=FIVEDAY&amp;VAR:SYMBOL=597229&amp;VAR:INDEX=0"}</definedName>
    <definedName name="_753__FDSAUDITLINK___1" hidden="1">{"fdsup://directions/FAT Viewer?action=UPDATE&amp;creator=factset&amp;DYN_ARGS=TRUE&amp;DOC_NAME=FAT:FQL_AUDITING_CLIENT_TEMPLATE.FAT&amp;display_string=Audit&amp;VAR:KEY=UZYPWZQBMN&amp;VAR:QUERY=RkZfTkVUX0lOQyhBTk4sMjAxMCk=&amp;WINDOW=FIRST_POPUP&amp;HEIGHT=450&amp;WIDTH=450&amp;START_MAXIMIZED=","FALSE&amp;VAR:CALENDAR=FIVEDAY&amp;VAR:SYMBOL=597229&amp;VAR:INDEX=0"}</definedName>
    <definedName name="_754__FDSAUDITLINK__" localSheetId="8" hidden="1">{"fdsup://directions/FAT Viewer?action=UPDATE&amp;creator=factset&amp;DYN_ARGS=TRUE&amp;DOC_NAME=FAT:FQL_AUDITING_CLIENT_TEMPLATE.FAT&amp;display_string=Audit&amp;VAR:KEY=OLCBODQZIZ&amp;VAR:QUERY=RkZfRU5UUlBSX1ZBTF9EQUlMWSgwLCwsLCwnRElMJyk=&amp;WINDOW=FIRST_POPUP&amp;HEIGHT=450&amp;WIDTH=450&amp;","START_MAXIMIZED=FALSE&amp;VAR:CALENDAR=FIVEDAY&amp;VAR:SYMBOL=B4YCDF&amp;VAR:INDEX=0"}</definedName>
    <definedName name="_754__FDSAUDITLINK__" hidden="1">{"fdsup://directions/FAT Viewer?action=UPDATE&amp;creator=factset&amp;DYN_ARGS=TRUE&amp;DOC_NAME=FAT:FQL_AUDITING_CLIENT_TEMPLATE.FAT&amp;display_string=Audit&amp;VAR:KEY=OLCBODQZIZ&amp;VAR:QUERY=RkZfRU5UUlBSX1ZBTF9EQUlMWSgwLCwsLCwnRElMJyk=&amp;WINDOW=FIRST_POPUP&amp;HEIGHT=450&amp;WIDTH=450&amp;","START_MAXIMIZED=FALSE&amp;VAR:CALENDAR=FIVEDAY&amp;VAR:SYMBOL=B4YCDF&amp;VAR:INDEX=0"}</definedName>
    <definedName name="_754__FDSAUDITLINK___1" localSheetId="8" hidden="1">{"fdsup://directions/FAT Viewer?action=UPDATE&amp;creator=factset&amp;DYN_ARGS=TRUE&amp;DOC_NAME=FAT:FQL_AUDITING_CLIENT_TEMPLATE.FAT&amp;display_string=Audit&amp;VAR:KEY=OLCBODQZIZ&amp;VAR:QUERY=RkZfRU5UUlBSX1ZBTF9EQUlMWSgwLCwsLCwnRElMJyk=&amp;WINDOW=FIRST_POPUP&amp;HEIGHT=450&amp;WIDTH=450&amp;","START_MAXIMIZED=FALSE&amp;VAR:CALENDAR=FIVEDAY&amp;VAR:SYMBOL=B4YCDF&amp;VAR:INDEX=0"}</definedName>
    <definedName name="_754__FDSAUDITLINK___1" hidden="1">{"fdsup://directions/FAT Viewer?action=UPDATE&amp;creator=factset&amp;DYN_ARGS=TRUE&amp;DOC_NAME=FAT:FQL_AUDITING_CLIENT_TEMPLATE.FAT&amp;display_string=Audit&amp;VAR:KEY=OLCBODQZIZ&amp;VAR:QUERY=RkZfRU5UUlBSX1ZBTF9EQUlMWSgwLCwsLCwnRElMJyk=&amp;WINDOW=FIRST_POPUP&amp;HEIGHT=450&amp;WIDTH=450&amp;","START_MAXIMIZED=FALSE&amp;VAR:CALENDAR=FIVEDAY&amp;VAR:SYMBOL=B4YCDF&amp;VAR:INDEX=0"}</definedName>
    <definedName name="_755__FDSAUDITLINK__" localSheetId="8" hidden="1">{"fdsup://directions/FAT Viewer?action=UPDATE&amp;creator=factset&amp;DYN_ARGS=TRUE&amp;DOC_NAME=FAT:FQL_AUDITING_CLIENT_TEMPLATE.FAT&amp;display_string=Audit&amp;VAR:KEY=MJYLSTMJIN&amp;VAR:QUERY=RkZfRUJJVERBX09QRVIoQU5OLDIwMDkp&amp;WINDOW=FIRST_POPUP&amp;HEIGHT=450&amp;WIDTH=450&amp;START_MAXIMI","ZED=FALSE&amp;VAR:CALENDAR=FIVEDAY&amp;VAR:SYMBOL=B4YCDF&amp;VAR:INDEX=0"}</definedName>
    <definedName name="_755__FDSAUDITLINK__" hidden="1">{"fdsup://directions/FAT Viewer?action=UPDATE&amp;creator=factset&amp;DYN_ARGS=TRUE&amp;DOC_NAME=FAT:FQL_AUDITING_CLIENT_TEMPLATE.FAT&amp;display_string=Audit&amp;VAR:KEY=MJYLSTMJIN&amp;VAR:QUERY=RkZfRUJJVERBX09QRVIoQU5OLDIwMDkp&amp;WINDOW=FIRST_POPUP&amp;HEIGHT=450&amp;WIDTH=450&amp;START_MAXIMI","ZED=FALSE&amp;VAR:CALENDAR=FIVEDAY&amp;VAR:SYMBOL=B4YCDF&amp;VAR:INDEX=0"}</definedName>
    <definedName name="_755__FDSAUDITLINK___1" localSheetId="8" hidden="1">{"fdsup://directions/FAT Viewer?action=UPDATE&amp;creator=factset&amp;DYN_ARGS=TRUE&amp;DOC_NAME=FAT:FQL_AUDITING_CLIENT_TEMPLATE.FAT&amp;display_string=Audit&amp;VAR:KEY=MJYLSTMJIN&amp;VAR:QUERY=RkZfRUJJVERBX09QRVIoQU5OLDIwMDkp&amp;WINDOW=FIRST_POPUP&amp;HEIGHT=450&amp;WIDTH=450&amp;START_MAXIMI","ZED=FALSE&amp;VAR:CALENDAR=FIVEDAY&amp;VAR:SYMBOL=B4YCDF&amp;VAR:INDEX=0"}</definedName>
    <definedName name="_755__FDSAUDITLINK___1" hidden="1">{"fdsup://directions/FAT Viewer?action=UPDATE&amp;creator=factset&amp;DYN_ARGS=TRUE&amp;DOC_NAME=FAT:FQL_AUDITING_CLIENT_TEMPLATE.FAT&amp;display_string=Audit&amp;VAR:KEY=MJYLSTMJIN&amp;VAR:QUERY=RkZfRUJJVERBX09QRVIoQU5OLDIwMDkp&amp;WINDOW=FIRST_POPUP&amp;HEIGHT=450&amp;WIDTH=450&amp;START_MAXIMI","ZED=FALSE&amp;VAR:CALENDAR=FIVEDAY&amp;VAR:SYMBOL=B4YCDF&amp;VAR:INDEX=0"}</definedName>
    <definedName name="_756__FDSAUDITLINK__" localSheetId="8" hidden="1">{"fdsup://directions/FAT Viewer?action=UPDATE&amp;creator=factset&amp;DYN_ARGS=TRUE&amp;DOC_NAME=FAT:FQL_AUDITING_CLIENT_TEMPLATE.FAT&amp;display_string=Audit&amp;VAR:KEY=REXOLQTUDK&amp;VAR:QUERY=RkZfQ0FQRVgoQU5OLDIwMDkp&amp;WINDOW=FIRST_POPUP&amp;HEIGHT=450&amp;WIDTH=450&amp;START_MAXIMIZED=FALS","E&amp;VAR:CALENDAR=FIVEDAY&amp;VAR:SYMBOL=B4YCDF&amp;VAR:INDEX=0"}</definedName>
    <definedName name="_756__FDSAUDITLINK__" hidden="1">{"fdsup://directions/FAT Viewer?action=UPDATE&amp;creator=factset&amp;DYN_ARGS=TRUE&amp;DOC_NAME=FAT:FQL_AUDITING_CLIENT_TEMPLATE.FAT&amp;display_string=Audit&amp;VAR:KEY=REXOLQTUDK&amp;VAR:QUERY=RkZfQ0FQRVgoQU5OLDIwMDkp&amp;WINDOW=FIRST_POPUP&amp;HEIGHT=450&amp;WIDTH=450&amp;START_MAXIMIZED=FALS","E&amp;VAR:CALENDAR=FIVEDAY&amp;VAR:SYMBOL=B4YCDF&amp;VAR:INDEX=0"}</definedName>
    <definedName name="_756__FDSAUDITLINK___1" localSheetId="8" hidden="1">{"fdsup://directions/FAT Viewer?action=UPDATE&amp;creator=factset&amp;DYN_ARGS=TRUE&amp;DOC_NAME=FAT:FQL_AUDITING_CLIENT_TEMPLATE.FAT&amp;display_string=Audit&amp;VAR:KEY=REXOLQTUDK&amp;VAR:QUERY=RkZfQ0FQRVgoQU5OLDIwMDkp&amp;WINDOW=FIRST_POPUP&amp;HEIGHT=450&amp;WIDTH=450&amp;START_MAXIMIZED=FALS","E&amp;VAR:CALENDAR=FIVEDAY&amp;VAR:SYMBOL=B4YCDF&amp;VAR:INDEX=0"}</definedName>
    <definedName name="_756__FDSAUDITLINK___1" hidden="1">{"fdsup://directions/FAT Viewer?action=UPDATE&amp;creator=factset&amp;DYN_ARGS=TRUE&amp;DOC_NAME=FAT:FQL_AUDITING_CLIENT_TEMPLATE.FAT&amp;display_string=Audit&amp;VAR:KEY=REXOLQTUDK&amp;VAR:QUERY=RkZfQ0FQRVgoQU5OLDIwMDkp&amp;WINDOW=FIRST_POPUP&amp;HEIGHT=450&amp;WIDTH=450&amp;START_MAXIMIZED=FALS","E&amp;VAR:CALENDAR=FIVEDAY&amp;VAR:SYMBOL=B4YCDF&amp;VAR:INDEX=0"}</definedName>
    <definedName name="_757__FDSAUDITLINK__" localSheetId="8" hidden="1">{"fdsup://directions/FAT Viewer?action=UPDATE&amp;creator=factset&amp;DYN_ARGS=TRUE&amp;DOC_NAME=FAT:FQL_AUDITING_CLIENT_TEMPLATE.FAT&amp;display_string=Audit&amp;VAR:KEY=GVYHWPAZAT&amp;VAR:QUERY=RkZfTkVUX0lOQyhBTk4sMjAwOCk=&amp;WINDOW=FIRST_POPUP&amp;HEIGHT=450&amp;WIDTH=450&amp;START_MAXIMIZED=","FALSE&amp;VAR:CALENDAR=FIVEDAY&amp;VAR:SYMBOL=B4YCDF&amp;VAR:INDEX=0"}</definedName>
    <definedName name="_757__FDSAUDITLINK__" hidden="1">{"fdsup://directions/FAT Viewer?action=UPDATE&amp;creator=factset&amp;DYN_ARGS=TRUE&amp;DOC_NAME=FAT:FQL_AUDITING_CLIENT_TEMPLATE.FAT&amp;display_string=Audit&amp;VAR:KEY=GVYHWPAZAT&amp;VAR:QUERY=RkZfTkVUX0lOQyhBTk4sMjAwOCk=&amp;WINDOW=FIRST_POPUP&amp;HEIGHT=450&amp;WIDTH=450&amp;START_MAXIMIZED=","FALSE&amp;VAR:CALENDAR=FIVEDAY&amp;VAR:SYMBOL=B4YCDF&amp;VAR:INDEX=0"}</definedName>
    <definedName name="_757__FDSAUDITLINK___1" localSheetId="8" hidden="1">{"fdsup://directions/FAT Viewer?action=UPDATE&amp;creator=factset&amp;DYN_ARGS=TRUE&amp;DOC_NAME=FAT:FQL_AUDITING_CLIENT_TEMPLATE.FAT&amp;display_string=Audit&amp;VAR:KEY=GVYHWPAZAT&amp;VAR:QUERY=RkZfTkVUX0lOQyhBTk4sMjAwOCk=&amp;WINDOW=FIRST_POPUP&amp;HEIGHT=450&amp;WIDTH=450&amp;START_MAXIMIZED=","FALSE&amp;VAR:CALENDAR=FIVEDAY&amp;VAR:SYMBOL=B4YCDF&amp;VAR:INDEX=0"}</definedName>
    <definedName name="_757__FDSAUDITLINK___1" hidden="1">{"fdsup://directions/FAT Viewer?action=UPDATE&amp;creator=factset&amp;DYN_ARGS=TRUE&amp;DOC_NAME=FAT:FQL_AUDITING_CLIENT_TEMPLATE.FAT&amp;display_string=Audit&amp;VAR:KEY=GVYHWPAZAT&amp;VAR:QUERY=RkZfTkVUX0lOQyhBTk4sMjAwOCk=&amp;WINDOW=FIRST_POPUP&amp;HEIGHT=450&amp;WIDTH=450&amp;START_MAXIMIZED=","FALSE&amp;VAR:CALENDAR=FIVEDAY&amp;VAR:SYMBOL=B4YCDF&amp;VAR:INDEX=0"}</definedName>
    <definedName name="_758__FDSAUDITLINK__" localSheetId="8" hidden="1">{"fdsup://Directions/FactSet Auditing Viewer?action=AUDIT_VALUE&amp;DB=129&amp;ID1=B08559&amp;VALUEID=01001&amp;SDATE=2009&amp;PERIODTYPE=ANN_STD&amp;SCFT=3&amp;window=popup_no_bar&amp;width=385&amp;height=120&amp;START_MAXIMIZED=FALSE&amp;creator=factset&amp;display_string=Audit"}</definedName>
    <definedName name="_758__FDSAUDITLINK__" hidden="1">{"fdsup://Directions/FactSet Auditing Viewer?action=AUDIT_VALUE&amp;DB=129&amp;ID1=B08559&amp;VALUEID=01001&amp;SDATE=2009&amp;PERIODTYPE=ANN_STD&amp;SCFT=3&amp;window=popup_no_bar&amp;width=385&amp;height=120&amp;START_MAXIMIZED=FALSE&amp;creator=factset&amp;display_string=Audit"}</definedName>
    <definedName name="_758__FDSAUDITLINK___1" localSheetId="8" hidden="1">{"fdsup://Directions/FactSet Auditing Viewer?action=AUDIT_VALUE&amp;DB=129&amp;ID1=B08559&amp;VALUEID=01001&amp;SDATE=2009&amp;PERIODTYPE=ANN_STD&amp;SCFT=3&amp;window=popup_no_bar&amp;width=385&amp;height=120&amp;START_MAXIMIZED=FALSE&amp;creator=factset&amp;display_string=Audit"}</definedName>
    <definedName name="_758__FDSAUDITLINK___1" hidden="1">{"fdsup://Directions/FactSet Auditing Viewer?action=AUDIT_VALUE&amp;DB=129&amp;ID1=B08559&amp;VALUEID=01001&amp;SDATE=2009&amp;PERIODTYPE=ANN_STD&amp;SCFT=3&amp;window=popup_no_bar&amp;width=385&amp;height=120&amp;START_MAXIMIZED=FALSE&amp;creator=factset&amp;display_string=Audit"}</definedName>
    <definedName name="_759__FDSAUDITLINK__" localSheetId="8" hidden="1">{"fdsup://Directions/FactSet Auditing Viewer?action=AUDIT_VALUE&amp;DB=129&amp;ID1=B08559&amp;VALUEID=01001&amp;SDATE=2011&amp;PERIODTYPE=ANN_STD&amp;SCFT=3&amp;window=popup_no_bar&amp;width=385&amp;height=120&amp;START_MAXIMIZED=FALSE&amp;creator=factset&amp;display_string=Audit"}</definedName>
    <definedName name="_759__FDSAUDITLINK__" hidden="1">{"fdsup://Directions/FactSet Auditing Viewer?action=AUDIT_VALUE&amp;DB=129&amp;ID1=B08559&amp;VALUEID=01001&amp;SDATE=2011&amp;PERIODTYPE=ANN_STD&amp;SCFT=3&amp;window=popup_no_bar&amp;width=385&amp;height=120&amp;START_MAXIMIZED=FALSE&amp;creator=factset&amp;display_string=Audit"}</definedName>
    <definedName name="_759__FDSAUDITLINK___1" localSheetId="8" hidden="1">{"fdsup://Directions/FactSet Auditing Viewer?action=AUDIT_VALUE&amp;DB=129&amp;ID1=B08559&amp;VALUEID=01001&amp;SDATE=2011&amp;PERIODTYPE=ANN_STD&amp;SCFT=3&amp;window=popup_no_bar&amp;width=385&amp;height=120&amp;START_MAXIMIZED=FALSE&amp;creator=factset&amp;display_string=Audit"}</definedName>
    <definedName name="_759__FDSAUDITLINK___1" hidden="1">{"fdsup://Directions/FactSet Auditing Viewer?action=AUDIT_VALUE&amp;DB=129&amp;ID1=B08559&amp;VALUEID=01001&amp;SDATE=2011&amp;PERIODTYPE=ANN_STD&amp;SCFT=3&amp;window=popup_no_bar&amp;width=385&amp;height=120&amp;START_MAXIMIZED=FALSE&amp;creator=factset&amp;display_string=Audit"}</definedName>
    <definedName name="_76__123Graph_BCHART_22" hidden="1">#REF!</definedName>
    <definedName name="_76__123Graph_DCHART_1" hidden="1">#REF!</definedName>
    <definedName name="_76__123Graph_ECHART_10" localSheetId="8" hidden="1">#REF!</definedName>
    <definedName name="_76__123Graph_ECHART_10" hidden="1">#REF!</definedName>
    <definedName name="_76__123Graph_LBL_BCHART_21" hidden="1">#REF!</definedName>
    <definedName name="_76__FDSAUDITLINK__" localSheetId="8" hidden="1">{"fdsup://directions/FAT Viewer?action=UPDATE&amp;creator=factset&amp;DYN_ARGS=TRUE&amp;DOC_NAME=FAT:FQL_AUDITING_CLIENT_TEMPLATE.FAT&amp;display_string=Audit&amp;VAR:KEY=TYNCRINIBE&amp;VAR:QUERY=RkZfRUJJVF9JQignQU5OJywzMjg3MywsLCwnR0JQJyk=&amp;WINDOW=FIRST_POPUP&amp;HEIGHT=450&amp;WIDTH=450&amp;","START_MAXIMIZED=FALSE&amp;VAR:CALENDAR=FIVEDAY&amp;VAR:SYMBOL=011827&amp;VAR:INDEX=0"}</definedName>
    <definedName name="_76__FDSAUDITLINK__" hidden="1">{"fdsup://directions/FAT Viewer?action=UPDATE&amp;creator=factset&amp;DYN_ARGS=TRUE&amp;DOC_NAME=FAT:FQL_AUDITING_CLIENT_TEMPLATE.FAT&amp;display_string=Audit&amp;VAR:KEY=WDCJKZGVEZ&amp;VAR:QUERY=RkZfRUJJVF9PUEVSKENBTCwyMDExKQ==&amp;WINDOW=FIRST_POPUP&amp;HEIGHT=450&amp;WIDTH=450&amp;START_MAXIMI","ZED=FALSE&amp;VAR:CALENDAR=US&amp;VAR:SYMBOL=MLM&amp;VAR:INDEX=0"}</definedName>
    <definedName name="_76__FDSAUDITLINK___1" localSheetId="8" hidden="1">{"fdsup://directions/FAT Viewer?action=UPDATE&amp;creator=factset&amp;DYN_ARGS=TRUE&amp;DOC_NAME=FAT:FQL_AUDITING_CLIENT_TEMPLATE.FAT&amp;display_string=Audit&amp;VAR:KEY=TYNCRINIBE&amp;VAR:QUERY=RkZfRUJJVF9JQignQU5OJywzMjg3MywsLCwnR0JQJyk=&amp;WINDOW=FIRST_POPUP&amp;HEIGHT=450&amp;WIDTH=450&amp;","START_MAXIMIZED=FALSE&amp;VAR:CALENDAR=FIVEDAY&amp;VAR:SYMBOL=011827&amp;VAR:INDEX=0"}</definedName>
    <definedName name="_76__FDSAUDITLINK___1" hidden="1">{"fdsup://directions/FAT Viewer?action=UPDATE&amp;creator=factset&amp;DYN_ARGS=TRUE&amp;DOC_NAME=FAT:FQL_AUDITING_CLIENT_TEMPLATE.FAT&amp;display_string=Audit&amp;VAR:KEY=TYNCRINIBE&amp;VAR:QUERY=RkZfRUJJVF9JQignQU5OJywzMjg3MywsLCwnR0JQJyk=&amp;WINDOW=FIRST_POPUP&amp;HEIGHT=450&amp;WIDTH=450&amp;","START_MAXIMIZED=FALSE&amp;VAR:CALENDAR=FIVEDAY&amp;VAR:SYMBOL=011827&amp;VAR:INDEX=0"}</definedName>
    <definedName name="_760__FDSAUDITLINK__" localSheetId="8" hidden="1">{"fdsup://directions/FAT Viewer?action=UPDATE&amp;creator=factset&amp;DYN_ARGS=TRUE&amp;DOC_NAME=FAT:FQL_AUDITING_CLIENT_TEMPLATE.FAT&amp;display_string=Audit&amp;VAR:KEY=GTUPUZQNIT&amp;VAR:QUERY=RkZfRUJJVERBX09QRVIoQU5OLDIwMDgp&amp;WINDOW=FIRST_POPUP&amp;HEIGHT=450&amp;WIDTH=450&amp;START_MAXIMI","ZED=FALSE&amp;VAR:CALENDAR=FIVEDAY&amp;VAR:SYMBOL=B08559&amp;VAR:INDEX=0"}</definedName>
    <definedName name="_760__FDSAUDITLINK__" hidden="1">{"fdsup://directions/FAT Viewer?action=UPDATE&amp;creator=factset&amp;DYN_ARGS=TRUE&amp;DOC_NAME=FAT:FQL_AUDITING_CLIENT_TEMPLATE.FAT&amp;display_string=Audit&amp;VAR:KEY=GTUPUZQNIT&amp;VAR:QUERY=RkZfRUJJVERBX09QRVIoQU5OLDIwMDgp&amp;WINDOW=FIRST_POPUP&amp;HEIGHT=450&amp;WIDTH=450&amp;START_MAXIMI","ZED=FALSE&amp;VAR:CALENDAR=FIVEDAY&amp;VAR:SYMBOL=B08559&amp;VAR:INDEX=0"}</definedName>
    <definedName name="_760__FDSAUDITLINK___1" localSheetId="8" hidden="1">{"fdsup://directions/FAT Viewer?action=UPDATE&amp;creator=factset&amp;DYN_ARGS=TRUE&amp;DOC_NAME=FAT:FQL_AUDITING_CLIENT_TEMPLATE.FAT&amp;display_string=Audit&amp;VAR:KEY=GTUPUZQNIT&amp;VAR:QUERY=RkZfRUJJVERBX09QRVIoQU5OLDIwMDgp&amp;WINDOW=FIRST_POPUP&amp;HEIGHT=450&amp;WIDTH=450&amp;START_MAXIMI","ZED=FALSE&amp;VAR:CALENDAR=FIVEDAY&amp;VAR:SYMBOL=B08559&amp;VAR:INDEX=0"}</definedName>
    <definedName name="_760__FDSAUDITLINK___1" hidden="1">{"fdsup://directions/FAT Viewer?action=UPDATE&amp;creator=factset&amp;DYN_ARGS=TRUE&amp;DOC_NAME=FAT:FQL_AUDITING_CLIENT_TEMPLATE.FAT&amp;display_string=Audit&amp;VAR:KEY=GTUPUZQNIT&amp;VAR:QUERY=RkZfRUJJVERBX09QRVIoQU5OLDIwMDgp&amp;WINDOW=FIRST_POPUP&amp;HEIGHT=450&amp;WIDTH=450&amp;START_MAXIMI","ZED=FALSE&amp;VAR:CALENDAR=FIVEDAY&amp;VAR:SYMBOL=B08559&amp;VAR:INDEX=0"}</definedName>
    <definedName name="_761__FDSAUDITLINK__" localSheetId="8" hidden="1">{"fdsup://directions/FAT Viewer?action=UPDATE&amp;creator=factset&amp;DYN_ARGS=TRUE&amp;DOC_NAME=FAT:FQL_AUDITING_CLIENT_TEMPLATE.FAT&amp;display_string=Audit&amp;VAR:KEY=OTCZCXGDAZ&amp;VAR:QUERY=RkZfRUJJVERBX09QRVIoQU5OLDIwMTAp&amp;WINDOW=FIRST_POPUP&amp;HEIGHT=450&amp;WIDTH=450&amp;START_MAXIMI","ZED=FALSE&amp;VAR:CALENDAR=FIVEDAY&amp;VAR:SYMBOL=B08559&amp;VAR:INDEX=0"}</definedName>
    <definedName name="_761__FDSAUDITLINK__" hidden="1">{"fdsup://directions/FAT Viewer?action=UPDATE&amp;creator=factset&amp;DYN_ARGS=TRUE&amp;DOC_NAME=FAT:FQL_AUDITING_CLIENT_TEMPLATE.FAT&amp;display_string=Audit&amp;VAR:KEY=OTCZCXGDAZ&amp;VAR:QUERY=RkZfRUJJVERBX09QRVIoQU5OLDIwMTAp&amp;WINDOW=FIRST_POPUP&amp;HEIGHT=450&amp;WIDTH=450&amp;START_MAXIMI","ZED=FALSE&amp;VAR:CALENDAR=FIVEDAY&amp;VAR:SYMBOL=B08559&amp;VAR:INDEX=0"}</definedName>
    <definedName name="_761__FDSAUDITLINK___1" localSheetId="8" hidden="1">{"fdsup://directions/FAT Viewer?action=UPDATE&amp;creator=factset&amp;DYN_ARGS=TRUE&amp;DOC_NAME=FAT:FQL_AUDITING_CLIENT_TEMPLATE.FAT&amp;display_string=Audit&amp;VAR:KEY=OTCZCXGDAZ&amp;VAR:QUERY=RkZfRUJJVERBX09QRVIoQU5OLDIwMTAp&amp;WINDOW=FIRST_POPUP&amp;HEIGHT=450&amp;WIDTH=450&amp;START_MAXIMI","ZED=FALSE&amp;VAR:CALENDAR=FIVEDAY&amp;VAR:SYMBOL=B08559&amp;VAR:INDEX=0"}</definedName>
    <definedName name="_761__FDSAUDITLINK___1" hidden="1">{"fdsup://directions/FAT Viewer?action=UPDATE&amp;creator=factset&amp;DYN_ARGS=TRUE&amp;DOC_NAME=FAT:FQL_AUDITING_CLIENT_TEMPLATE.FAT&amp;display_string=Audit&amp;VAR:KEY=OTCZCXGDAZ&amp;VAR:QUERY=RkZfRUJJVERBX09QRVIoQU5OLDIwMTAp&amp;WINDOW=FIRST_POPUP&amp;HEIGHT=450&amp;WIDTH=450&amp;START_MAXIMI","ZED=FALSE&amp;VAR:CALENDAR=FIVEDAY&amp;VAR:SYMBOL=B08559&amp;VAR:INDEX=0"}</definedName>
    <definedName name="_762__FDSAUDITLINK__" localSheetId="8" hidden="1">{"fdsup://directions/FAT Viewer?action=UPDATE&amp;creator=factset&amp;DYN_ARGS=TRUE&amp;DOC_NAME=FAT:FQL_AUDITING_CLIENT_TEMPLATE.FAT&amp;display_string=Audit&amp;VAR:KEY=BQHSRGRALW&amp;VAR:QUERY=RkZfRUJJVF9PUEVSKEFOTiwyMDA5KQ==&amp;WINDOW=FIRST_POPUP&amp;HEIGHT=450&amp;WIDTH=450&amp;START_MAXIMI","ZED=FALSE&amp;VAR:CALENDAR=FIVEDAY&amp;VAR:SYMBOL=B08559&amp;VAR:INDEX=0"}</definedName>
    <definedName name="_762__FDSAUDITLINK__" hidden="1">{"fdsup://directions/FAT Viewer?action=UPDATE&amp;creator=factset&amp;DYN_ARGS=TRUE&amp;DOC_NAME=FAT:FQL_AUDITING_CLIENT_TEMPLATE.FAT&amp;display_string=Audit&amp;VAR:KEY=BQHSRGRALW&amp;VAR:QUERY=RkZfRUJJVF9PUEVSKEFOTiwyMDA5KQ==&amp;WINDOW=FIRST_POPUP&amp;HEIGHT=450&amp;WIDTH=450&amp;START_MAXIMI","ZED=FALSE&amp;VAR:CALENDAR=FIVEDAY&amp;VAR:SYMBOL=B08559&amp;VAR:INDEX=0"}</definedName>
    <definedName name="_762__FDSAUDITLINK___1" localSheetId="8" hidden="1">{"fdsup://directions/FAT Viewer?action=UPDATE&amp;creator=factset&amp;DYN_ARGS=TRUE&amp;DOC_NAME=FAT:FQL_AUDITING_CLIENT_TEMPLATE.FAT&amp;display_string=Audit&amp;VAR:KEY=BQHSRGRALW&amp;VAR:QUERY=RkZfRUJJVF9PUEVSKEFOTiwyMDA5KQ==&amp;WINDOW=FIRST_POPUP&amp;HEIGHT=450&amp;WIDTH=450&amp;START_MAXIMI","ZED=FALSE&amp;VAR:CALENDAR=FIVEDAY&amp;VAR:SYMBOL=B08559&amp;VAR:INDEX=0"}</definedName>
    <definedName name="_762__FDSAUDITLINK___1" hidden="1">{"fdsup://directions/FAT Viewer?action=UPDATE&amp;creator=factset&amp;DYN_ARGS=TRUE&amp;DOC_NAME=FAT:FQL_AUDITING_CLIENT_TEMPLATE.FAT&amp;display_string=Audit&amp;VAR:KEY=BQHSRGRALW&amp;VAR:QUERY=RkZfRUJJVF9PUEVSKEFOTiwyMDA5KQ==&amp;WINDOW=FIRST_POPUP&amp;HEIGHT=450&amp;WIDTH=450&amp;START_MAXIMI","ZED=FALSE&amp;VAR:CALENDAR=FIVEDAY&amp;VAR:SYMBOL=B08559&amp;VAR:INDEX=0"}</definedName>
    <definedName name="_763__FDSAUDITLINK__" localSheetId="8" hidden="1">{"fdsup://directions/FAT Viewer?action=UPDATE&amp;creator=factset&amp;DYN_ARGS=TRUE&amp;DOC_NAME=FAT:FQL_AUDITING_CLIENT_TEMPLATE.FAT&amp;display_string=Audit&amp;VAR:KEY=ATATYXGDMN&amp;VAR:QUERY=RkZfRUJJVF9PUEVSKEFOTiwyMDEwKQ==&amp;WINDOW=FIRST_POPUP&amp;HEIGHT=450&amp;WIDTH=450&amp;START_MAXIMI","ZED=FALSE&amp;VAR:CALENDAR=FIVEDAY&amp;VAR:SYMBOL=B08559&amp;VAR:INDEX=0"}</definedName>
    <definedName name="_763__FDSAUDITLINK__" hidden="1">{"fdsup://directions/FAT Viewer?action=UPDATE&amp;creator=factset&amp;DYN_ARGS=TRUE&amp;DOC_NAME=FAT:FQL_AUDITING_CLIENT_TEMPLATE.FAT&amp;display_string=Audit&amp;VAR:KEY=ATATYXGDMN&amp;VAR:QUERY=RkZfRUJJVF9PUEVSKEFOTiwyMDEwKQ==&amp;WINDOW=FIRST_POPUP&amp;HEIGHT=450&amp;WIDTH=450&amp;START_MAXIMI","ZED=FALSE&amp;VAR:CALENDAR=FIVEDAY&amp;VAR:SYMBOL=B08559&amp;VAR:INDEX=0"}</definedName>
    <definedName name="_763__FDSAUDITLINK___1" localSheetId="8" hidden="1">{"fdsup://directions/FAT Viewer?action=UPDATE&amp;creator=factset&amp;DYN_ARGS=TRUE&amp;DOC_NAME=FAT:FQL_AUDITING_CLIENT_TEMPLATE.FAT&amp;display_string=Audit&amp;VAR:KEY=ATATYXGDMN&amp;VAR:QUERY=RkZfRUJJVF9PUEVSKEFOTiwyMDEwKQ==&amp;WINDOW=FIRST_POPUP&amp;HEIGHT=450&amp;WIDTH=450&amp;START_MAXIMI","ZED=FALSE&amp;VAR:CALENDAR=FIVEDAY&amp;VAR:SYMBOL=B08559&amp;VAR:INDEX=0"}</definedName>
    <definedName name="_763__FDSAUDITLINK___1" hidden="1">{"fdsup://directions/FAT Viewer?action=UPDATE&amp;creator=factset&amp;DYN_ARGS=TRUE&amp;DOC_NAME=FAT:FQL_AUDITING_CLIENT_TEMPLATE.FAT&amp;display_string=Audit&amp;VAR:KEY=ATATYXGDMN&amp;VAR:QUERY=RkZfRUJJVF9PUEVSKEFOTiwyMDEwKQ==&amp;WINDOW=FIRST_POPUP&amp;HEIGHT=450&amp;WIDTH=450&amp;START_MAXIMI","ZED=FALSE&amp;VAR:CALENDAR=FIVEDAY&amp;VAR:SYMBOL=B08559&amp;VAR:INDEX=0"}</definedName>
    <definedName name="_764__FDSAUDITLINK__" localSheetId="8" hidden="1">{"fdsup://directions/FAT Viewer?action=UPDATE&amp;creator=factset&amp;DYN_ARGS=TRUE&amp;DOC_NAME=FAT:FQL_AUDITING_CLIENT_TEMPLATE.FAT&amp;display_string=Audit&amp;VAR:KEY=RCRQBQJALI&amp;VAR:QUERY=RkZfQ0FQRVgoQU5OLDIwMDgp&amp;WINDOW=FIRST_POPUP&amp;HEIGHT=450&amp;WIDTH=450&amp;START_MAXIMIZED=FALS","E&amp;VAR:CALENDAR=FIVEDAY&amp;VAR:SYMBOL=B08559&amp;VAR:INDEX=0"}</definedName>
    <definedName name="_764__FDSAUDITLINK__" hidden="1">{"fdsup://directions/FAT Viewer?action=UPDATE&amp;creator=factset&amp;DYN_ARGS=TRUE&amp;DOC_NAME=FAT:FQL_AUDITING_CLIENT_TEMPLATE.FAT&amp;display_string=Audit&amp;VAR:KEY=RCRQBQJALI&amp;VAR:QUERY=RkZfQ0FQRVgoQU5OLDIwMDgp&amp;WINDOW=FIRST_POPUP&amp;HEIGHT=450&amp;WIDTH=450&amp;START_MAXIMIZED=FALS","E&amp;VAR:CALENDAR=FIVEDAY&amp;VAR:SYMBOL=B08559&amp;VAR:INDEX=0"}</definedName>
    <definedName name="_764__FDSAUDITLINK___1" localSheetId="8" hidden="1">{"fdsup://directions/FAT Viewer?action=UPDATE&amp;creator=factset&amp;DYN_ARGS=TRUE&amp;DOC_NAME=FAT:FQL_AUDITING_CLIENT_TEMPLATE.FAT&amp;display_string=Audit&amp;VAR:KEY=RCRQBQJALI&amp;VAR:QUERY=RkZfQ0FQRVgoQU5OLDIwMDgp&amp;WINDOW=FIRST_POPUP&amp;HEIGHT=450&amp;WIDTH=450&amp;START_MAXIMIZED=FALS","E&amp;VAR:CALENDAR=FIVEDAY&amp;VAR:SYMBOL=B08559&amp;VAR:INDEX=0"}</definedName>
    <definedName name="_764__FDSAUDITLINK___1" hidden="1">{"fdsup://directions/FAT Viewer?action=UPDATE&amp;creator=factset&amp;DYN_ARGS=TRUE&amp;DOC_NAME=FAT:FQL_AUDITING_CLIENT_TEMPLATE.FAT&amp;display_string=Audit&amp;VAR:KEY=RCRQBQJALI&amp;VAR:QUERY=RkZfQ0FQRVgoQU5OLDIwMDgp&amp;WINDOW=FIRST_POPUP&amp;HEIGHT=450&amp;WIDTH=450&amp;START_MAXIMIZED=FALS","E&amp;VAR:CALENDAR=FIVEDAY&amp;VAR:SYMBOL=B08559&amp;VAR:INDEX=0"}</definedName>
    <definedName name="_765__FDSAUDITLINK__" localSheetId="8" hidden="1">{"fdsup://directions/FAT Viewer?action=UPDATE&amp;creator=factset&amp;DYN_ARGS=TRUE&amp;DOC_NAME=FAT:FQL_AUDITING_CLIENT_TEMPLATE.FAT&amp;display_string=Audit&amp;VAR:KEY=HSLWBQPOFQ&amp;VAR:QUERY=RkZfQ0FQRVgoQU5OLDIwMTAp&amp;WINDOW=FIRST_POPUP&amp;HEIGHT=450&amp;WIDTH=450&amp;START_MAXIMIZED=FALS","E&amp;VAR:CALENDAR=FIVEDAY&amp;VAR:SYMBOL=B08559&amp;VAR:INDEX=0"}</definedName>
    <definedName name="_765__FDSAUDITLINK__" hidden="1">{"fdsup://directions/FAT Viewer?action=UPDATE&amp;creator=factset&amp;DYN_ARGS=TRUE&amp;DOC_NAME=FAT:FQL_AUDITING_CLIENT_TEMPLATE.FAT&amp;display_string=Audit&amp;VAR:KEY=HSLWBQPOFQ&amp;VAR:QUERY=RkZfQ0FQRVgoQU5OLDIwMTAp&amp;WINDOW=FIRST_POPUP&amp;HEIGHT=450&amp;WIDTH=450&amp;START_MAXIMIZED=FALS","E&amp;VAR:CALENDAR=FIVEDAY&amp;VAR:SYMBOL=B08559&amp;VAR:INDEX=0"}</definedName>
    <definedName name="_765__FDSAUDITLINK___1" localSheetId="8" hidden="1">{"fdsup://directions/FAT Viewer?action=UPDATE&amp;creator=factset&amp;DYN_ARGS=TRUE&amp;DOC_NAME=FAT:FQL_AUDITING_CLIENT_TEMPLATE.FAT&amp;display_string=Audit&amp;VAR:KEY=HSLWBQPOFQ&amp;VAR:QUERY=RkZfQ0FQRVgoQU5OLDIwMTAp&amp;WINDOW=FIRST_POPUP&amp;HEIGHT=450&amp;WIDTH=450&amp;START_MAXIMIZED=FALS","E&amp;VAR:CALENDAR=FIVEDAY&amp;VAR:SYMBOL=B08559&amp;VAR:INDEX=0"}</definedName>
    <definedName name="_765__FDSAUDITLINK___1" hidden="1">{"fdsup://directions/FAT Viewer?action=UPDATE&amp;creator=factset&amp;DYN_ARGS=TRUE&amp;DOC_NAME=FAT:FQL_AUDITING_CLIENT_TEMPLATE.FAT&amp;display_string=Audit&amp;VAR:KEY=HSLWBQPOFQ&amp;VAR:QUERY=RkZfQ0FQRVgoQU5OLDIwMTAp&amp;WINDOW=FIRST_POPUP&amp;HEIGHT=450&amp;WIDTH=450&amp;START_MAXIMIZED=FALS","E&amp;VAR:CALENDAR=FIVEDAY&amp;VAR:SYMBOL=B08559&amp;VAR:INDEX=0"}</definedName>
    <definedName name="_766__FDSAUDITLINK__" localSheetId="8" hidden="1">{"fdsup://directions/FAT Viewer?action=UPDATE&amp;creator=factset&amp;DYN_ARGS=TRUE&amp;DOC_NAME=FAT:FQL_AUDITING_CLIENT_TEMPLATE.FAT&amp;display_string=Audit&amp;VAR:KEY=APGLOVQPYD&amp;VAR:QUERY=RkZfTkVUX0lOQyhBTk4sMjAwOSk=&amp;WINDOW=FIRST_POPUP&amp;HEIGHT=450&amp;WIDTH=450&amp;START_MAXIMIZED=","FALSE&amp;VAR:CALENDAR=FIVEDAY&amp;VAR:SYMBOL=B08559&amp;VAR:INDEX=0"}</definedName>
    <definedName name="_766__FDSAUDITLINK__" hidden="1">{"fdsup://directions/FAT Viewer?action=UPDATE&amp;creator=factset&amp;DYN_ARGS=TRUE&amp;DOC_NAME=FAT:FQL_AUDITING_CLIENT_TEMPLATE.FAT&amp;display_string=Audit&amp;VAR:KEY=APGLOVQPYD&amp;VAR:QUERY=RkZfTkVUX0lOQyhBTk4sMjAwOSk=&amp;WINDOW=FIRST_POPUP&amp;HEIGHT=450&amp;WIDTH=450&amp;START_MAXIMIZED=","FALSE&amp;VAR:CALENDAR=FIVEDAY&amp;VAR:SYMBOL=B08559&amp;VAR:INDEX=0"}</definedName>
    <definedName name="_766__FDSAUDITLINK___1" localSheetId="8" hidden="1">{"fdsup://directions/FAT Viewer?action=UPDATE&amp;creator=factset&amp;DYN_ARGS=TRUE&amp;DOC_NAME=FAT:FQL_AUDITING_CLIENT_TEMPLATE.FAT&amp;display_string=Audit&amp;VAR:KEY=APGLOVQPYD&amp;VAR:QUERY=RkZfTkVUX0lOQyhBTk4sMjAwOSk=&amp;WINDOW=FIRST_POPUP&amp;HEIGHT=450&amp;WIDTH=450&amp;START_MAXIMIZED=","FALSE&amp;VAR:CALENDAR=FIVEDAY&amp;VAR:SYMBOL=B08559&amp;VAR:INDEX=0"}</definedName>
    <definedName name="_766__FDSAUDITLINK___1" hidden="1">{"fdsup://directions/FAT Viewer?action=UPDATE&amp;creator=factset&amp;DYN_ARGS=TRUE&amp;DOC_NAME=FAT:FQL_AUDITING_CLIENT_TEMPLATE.FAT&amp;display_string=Audit&amp;VAR:KEY=APGLOVQPYD&amp;VAR:QUERY=RkZfTkVUX0lOQyhBTk4sMjAwOSk=&amp;WINDOW=FIRST_POPUP&amp;HEIGHT=450&amp;WIDTH=450&amp;START_MAXIMIZED=","FALSE&amp;VAR:CALENDAR=FIVEDAY&amp;VAR:SYMBOL=B08559&amp;VAR:INDEX=0"}</definedName>
    <definedName name="_767__FDSAUDITLINK__" localSheetId="8" hidden="1">{"fdsup://directions/FAT Viewer?action=UPDATE&amp;creator=factset&amp;DYN_ARGS=TRUE&amp;DOC_NAME=FAT:FQL_AUDITING_CLIENT_TEMPLATE.FAT&amp;display_string=Audit&amp;VAR:KEY=MRAPMVCDIF&amp;VAR:QUERY=RkZfTkVUX0lOQyhBTk4sMjAxMSk=&amp;WINDOW=FIRST_POPUP&amp;HEIGHT=450&amp;WIDTH=450&amp;START_MAXIMIZED=","FALSE&amp;VAR:CALENDAR=FIVEDAY&amp;VAR:SYMBOL=B08559&amp;VAR:INDEX=0"}</definedName>
    <definedName name="_767__FDSAUDITLINK__" hidden="1">{"fdsup://directions/FAT Viewer?action=UPDATE&amp;creator=factset&amp;DYN_ARGS=TRUE&amp;DOC_NAME=FAT:FQL_AUDITING_CLIENT_TEMPLATE.FAT&amp;display_string=Audit&amp;VAR:KEY=MRAPMVCDIF&amp;VAR:QUERY=RkZfTkVUX0lOQyhBTk4sMjAxMSk=&amp;WINDOW=FIRST_POPUP&amp;HEIGHT=450&amp;WIDTH=450&amp;START_MAXIMIZED=","FALSE&amp;VAR:CALENDAR=FIVEDAY&amp;VAR:SYMBOL=B08559&amp;VAR:INDEX=0"}</definedName>
    <definedName name="_767__FDSAUDITLINK___1" localSheetId="8" hidden="1">{"fdsup://directions/FAT Viewer?action=UPDATE&amp;creator=factset&amp;DYN_ARGS=TRUE&amp;DOC_NAME=FAT:FQL_AUDITING_CLIENT_TEMPLATE.FAT&amp;display_string=Audit&amp;VAR:KEY=MRAPMVCDIF&amp;VAR:QUERY=RkZfTkVUX0lOQyhBTk4sMjAxMSk=&amp;WINDOW=FIRST_POPUP&amp;HEIGHT=450&amp;WIDTH=450&amp;START_MAXIMIZED=","FALSE&amp;VAR:CALENDAR=FIVEDAY&amp;VAR:SYMBOL=B08559&amp;VAR:INDEX=0"}</definedName>
    <definedName name="_767__FDSAUDITLINK___1" hidden="1">{"fdsup://directions/FAT Viewer?action=UPDATE&amp;creator=factset&amp;DYN_ARGS=TRUE&amp;DOC_NAME=FAT:FQL_AUDITING_CLIENT_TEMPLATE.FAT&amp;display_string=Audit&amp;VAR:KEY=MRAPMVCDIF&amp;VAR:QUERY=RkZfTkVUX0lOQyhBTk4sMjAxMSk=&amp;WINDOW=FIRST_POPUP&amp;HEIGHT=450&amp;WIDTH=450&amp;START_MAXIMIZED=","FALSE&amp;VAR:CALENDAR=FIVEDAY&amp;VAR:SYMBOL=B08559&amp;VAR:INDEX=0"}</definedName>
    <definedName name="_768__FDSAUDITLINK__" localSheetId="8" hidden="1">{"fdsup://directions/FAT Viewer?action=UPDATE&amp;creator=factset&amp;DYN_ARGS=TRUE&amp;DOC_NAME=FAT:FQL_AUDITING_CLIENT_TEMPLATE.FAT&amp;display_string=Audit&amp;VAR:KEY=OTYZYLIBMD&amp;VAR:QUERY=RkZfRU5UUlBSX1ZBTF9EQUlMWSgwLCwsLCwnRElMJyk=&amp;WINDOW=FIRST_POPUP&amp;HEIGHT=450&amp;WIDTH=450&amp;","START_MAXIMIZED=FALSE&amp;VAR:CALENDAR=FIVEDAY&amp;VAR:SYMBOL=B282YM&amp;VAR:INDEX=0"}</definedName>
    <definedName name="_768__FDSAUDITLINK__" hidden="1">{"fdsup://directions/FAT Viewer?action=UPDATE&amp;creator=factset&amp;DYN_ARGS=TRUE&amp;DOC_NAME=FAT:FQL_AUDITING_CLIENT_TEMPLATE.FAT&amp;display_string=Audit&amp;VAR:KEY=OTYZYLIBMD&amp;VAR:QUERY=RkZfRU5UUlBSX1ZBTF9EQUlMWSgwLCwsLCwnRElMJyk=&amp;WINDOW=FIRST_POPUP&amp;HEIGHT=450&amp;WIDTH=450&amp;","START_MAXIMIZED=FALSE&amp;VAR:CALENDAR=FIVEDAY&amp;VAR:SYMBOL=B282YM&amp;VAR:INDEX=0"}</definedName>
    <definedName name="_768__FDSAUDITLINK___1" localSheetId="8" hidden="1">{"fdsup://directions/FAT Viewer?action=UPDATE&amp;creator=factset&amp;DYN_ARGS=TRUE&amp;DOC_NAME=FAT:FQL_AUDITING_CLIENT_TEMPLATE.FAT&amp;display_string=Audit&amp;VAR:KEY=OTYZYLIBMD&amp;VAR:QUERY=RkZfRU5UUlBSX1ZBTF9EQUlMWSgwLCwsLCwnRElMJyk=&amp;WINDOW=FIRST_POPUP&amp;HEIGHT=450&amp;WIDTH=450&amp;","START_MAXIMIZED=FALSE&amp;VAR:CALENDAR=FIVEDAY&amp;VAR:SYMBOL=B282YM&amp;VAR:INDEX=0"}</definedName>
    <definedName name="_768__FDSAUDITLINK___1" hidden="1">{"fdsup://directions/FAT Viewer?action=UPDATE&amp;creator=factset&amp;DYN_ARGS=TRUE&amp;DOC_NAME=FAT:FQL_AUDITING_CLIENT_TEMPLATE.FAT&amp;display_string=Audit&amp;VAR:KEY=OTYZYLIBMD&amp;VAR:QUERY=RkZfRU5UUlBSX1ZBTF9EQUlMWSgwLCwsLCwnRElMJyk=&amp;WINDOW=FIRST_POPUP&amp;HEIGHT=450&amp;WIDTH=450&amp;","START_MAXIMIZED=FALSE&amp;VAR:CALENDAR=FIVEDAY&amp;VAR:SYMBOL=B282YM&amp;VAR:INDEX=0"}</definedName>
    <definedName name="_769__FDSAUDITLINK__" localSheetId="8" hidden="1">{"fdsup://Directions/FactSet Auditing Viewer?action=AUDIT_VALUE&amp;DB=129&amp;ID1=B282YM&amp;VALUEID=01001&amp;SDATE=2010&amp;PERIODTYPE=ANN_STD&amp;SCFT=3&amp;window=popup_no_bar&amp;width=385&amp;height=120&amp;START_MAXIMIZED=FALSE&amp;creator=factset&amp;display_string=Audit"}</definedName>
    <definedName name="_769__FDSAUDITLINK__" hidden="1">{"fdsup://Directions/FactSet Auditing Viewer?action=AUDIT_VALUE&amp;DB=129&amp;ID1=B282YM&amp;VALUEID=01001&amp;SDATE=2010&amp;PERIODTYPE=ANN_STD&amp;SCFT=3&amp;window=popup_no_bar&amp;width=385&amp;height=120&amp;START_MAXIMIZED=FALSE&amp;creator=factset&amp;display_string=Audit"}</definedName>
    <definedName name="_769__FDSAUDITLINK___1" localSheetId="8" hidden="1">{"fdsup://Directions/FactSet Auditing Viewer?action=AUDIT_VALUE&amp;DB=129&amp;ID1=B282YM&amp;VALUEID=01001&amp;SDATE=2010&amp;PERIODTYPE=ANN_STD&amp;SCFT=3&amp;window=popup_no_bar&amp;width=385&amp;height=120&amp;START_MAXIMIZED=FALSE&amp;creator=factset&amp;display_string=Audit"}</definedName>
    <definedName name="_769__FDSAUDITLINK___1" hidden="1">{"fdsup://Directions/FactSet Auditing Viewer?action=AUDIT_VALUE&amp;DB=129&amp;ID1=B282YM&amp;VALUEID=01001&amp;SDATE=2010&amp;PERIODTYPE=ANN_STD&amp;SCFT=3&amp;window=popup_no_bar&amp;width=385&amp;height=120&amp;START_MAXIMIZED=FALSE&amp;creator=factset&amp;display_string=Audit"}</definedName>
    <definedName name="_77__123Graph_BCHART_23" hidden="1">#REF!</definedName>
    <definedName name="_77__123Graph_ECHART_11" localSheetId="8" hidden="1">#REF!</definedName>
    <definedName name="_77__123Graph_ECHART_11" hidden="1">#REF!</definedName>
    <definedName name="_77__123Graph_LBL_BCHART_22" hidden="1">#REF!</definedName>
    <definedName name="_77__123Graph_XCHART_1" hidden="1">#REF!</definedName>
    <definedName name="_77__FDSAUDITLINK__" localSheetId="8" hidden="1">{"fdsup://directions/FAT Viewer?action=UPDATE&amp;creator=factset&amp;DYN_ARGS=TRUE&amp;DOC_NAME=FAT:FQL_AUDITING_CLIENT_TEMPLATE.FAT&amp;display_string=Audit&amp;VAR:KEY=LMBQPKXKFC&amp;VAR:QUERY=RkZfRUJJVF9JQignQU5OJywzOTkwMywsLCwnR0JQJyk=&amp;WINDOW=FIRST_POPUP&amp;HEIGHT=450&amp;WIDTH=450&amp;","START_MAXIMIZED=FALSE&amp;VAR:CALENDAR=FIVEDAY&amp;VAR:SYMBOL=092210&amp;VAR:INDEX=0"}</definedName>
    <definedName name="_77__FDSAUDITLINK__" hidden="1">{"fdsup://directions/FAT Viewer?action=UPDATE&amp;creator=factset&amp;DYN_ARGS=TRUE&amp;DOC_NAME=FAT:FQL_AUDITING_CLIENT_TEMPLATE.FAT&amp;display_string=Audit&amp;VAR:KEY=GHIDURMRCR&amp;VAR:QUERY=RkZfRUJJVF9PUEVSKENBTCwyMDExKQ==&amp;WINDOW=FIRST_POPUP&amp;HEIGHT=450&amp;WIDTH=450&amp;START_MAXIMI","ZED=FALSE&amp;VAR:CALENDAR=US&amp;VAR:SYMBOL=EXP&amp;VAR:INDEX=0"}</definedName>
    <definedName name="_77__FDSAUDITLINK___1" localSheetId="8" hidden="1">{"fdsup://directions/FAT Viewer?action=UPDATE&amp;creator=factset&amp;DYN_ARGS=TRUE&amp;DOC_NAME=FAT:FQL_AUDITING_CLIENT_TEMPLATE.FAT&amp;display_string=Audit&amp;VAR:KEY=LMBQPKXKFC&amp;VAR:QUERY=RkZfRUJJVF9JQignQU5OJywzOTkwMywsLCwnR0JQJyk=&amp;WINDOW=FIRST_POPUP&amp;HEIGHT=450&amp;WIDTH=450&amp;","START_MAXIMIZED=FALSE&amp;VAR:CALENDAR=FIVEDAY&amp;VAR:SYMBOL=092210&amp;VAR:INDEX=0"}</definedName>
    <definedName name="_77__FDSAUDITLINK___1" hidden="1">{"fdsup://directions/FAT Viewer?action=UPDATE&amp;creator=factset&amp;DYN_ARGS=TRUE&amp;DOC_NAME=FAT:FQL_AUDITING_CLIENT_TEMPLATE.FAT&amp;display_string=Audit&amp;VAR:KEY=LMBQPKXKFC&amp;VAR:QUERY=RkZfRUJJVF9JQignQU5OJywzOTkwMywsLCwnR0JQJyk=&amp;WINDOW=FIRST_POPUP&amp;HEIGHT=450&amp;WIDTH=450&amp;","START_MAXIMIZED=FALSE&amp;VAR:CALENDAR=FIVEDAY&amp;VAR:SYMBOL=092210&amp;VAR:INDEX=0"}</definedName>
    <definedName name="_770__FDSAUDITLINK__" localSheetId="8" hidden="1">{"fdsup://directions/FAT Viewer?action=UPDATE&amp;creator=factset&amp;DYN_ARGS=TRUE&amp;DOC_NAME=FAT:FQL_AUDITING_CLIENT_TEMPLATE.FAT&amp;display_string=Audit&amp;VAR:KEY=IHEXQPQVGV&amp;VAR:QUERY=RkZfRUJJVERBX09QRVIoQU5OLDIwMDkp&amp;WINDOW=FIRST_POPUP&amp;HEIGHT=450&amp;WIDTH=450&amp;START_MAXIMI","ZED=FALSE&amp;VAR:CALENDAR=FIVEDAY&amp;VAR:SYMBOL=B282YM&amp;VAR:INDEX=0"}</definedName>
    <definedName name="_770__FDSAUDITLINK__" hidden="1">{"fdsup://directions/FAT Viewer?action=UPDATE&amp;creator=factset&amp;DYN_ARGS=TRUE&amp;DOC_NAME=FAT:FQL_AUDITING_CLIENT_TEMPLATE.FAT&amp;display_string=Audit&amp;VAR:KEY=IHEXQPQVGV&amp;VAR:QUERY=RkZfRUJJVERBX09QRVIoQU5OLDIwMDkp&amp;WINDOW=FIRST_POPUP&amp;HEIGHT=450&amp;WIDTH=450&amp;START_MAXIMI","ZED=FALSE&amp;VAR:CALENDAR=FIVEDAY&amp;VAR:SYMBOL=B282YM&amp;VAR:INDEX=0"}</definedName>
    <definedName name="_770__FDSAUDITLINK___1" localSheetId="8" hidden="1">{"fdsup://directions/FAT Viewer?action=UPDATE&amp;creator=factset&amp;DYN_ARGS=TRUE&amp;DOC_NAME=FAT:FQL_AUDITING_CLIENT_TEMPLATE.FAT&amp;display_string=Audit&amp;VAR:KEY=IHEXQPQVGV&amp;VAR:QUERY=RkZfRUJJVERBX09QRVIoQU5OLDIwMDkp&amp;WINDOW=FIRST_POPUP&amp;HEIGHT=450&amp;WIDTH=450&amp;START_MAXIMI","ZED=FALSE&amp;VAR:CALENDAR=FIVEDAY&amp;VAR:SYMBOL=B282YM&amp;VAR:INDEX=0"}</definedName>
    <definedName name="_770__FDSAUDITLINK___1" hidden="1">{"fdsup://directions/FAT Viewer?action=UPDATE&amp;creator=factset&amp;DYN_ARGS=TRUE&amp;DOC_NAME=FAT:FQL_AUDITING_CLIENT_TEMPLATE.FAT&amp;display_string=Audit&amp;VAR:KEY=IHEXQPQVGV&amp;VAR:QUERY=RkZfRUJJVERBX09QRVIoQU5OLDIwMDkp&amp;WINDOW=FIRST_POPUP&amp;HEIGHT=450&amp;WIDTH=450&amp;START_MAXIMI","ZED=FALSE&amp;VAR:CALENDAR=FIVEDAY&amp;VAR:SYMBOL=B282YM&amp;VAR:INDEX=0"}</definedName>
    <definedName name="_771__FDSAUDITLINK__" localSheetId="8" hidden="1">{"fdsup://directions/FAT Viewer?action=UPDATE&amp;creator=factset&amp;DYN_ARGS=TRUE&amp;DOC_NAME=FAT:FQL_AUDITING_CLIENT_TEMPLATE.FAT&amp;display_string=Audit&amp;VAR:KEY=LKPITWBILY&amp;VAR:QUERY=RkZfRUJJVERBX09QRVIoQU5OLDIwMTEp&amp;WINDOW=FIRST_POPUP&amp;HEIGHT=450&amp;WIDTH=450&amp;START_MAXIMI","ZED=FALSE&amp;VAR:CALENDAR=FIVEDAY&amp;VAR:SYMBOL=B282YM&amp;VAR:INDEX=0"}</definedName>
    <definedName name="_771__FDSAUDITLINK__" hidden="1">{"fdsup://directions/FAT Viewer?action=UPDATE&amp;creator=factset&amp;DYN_ARGS=TRUE&amp;DOC_NAME=FAT:FQL_AUDITING_CLIENT_TEMPLATE.FAT&amp;display_string=Audit&amp;VAR:KEY=LKPITWBILY&amp;VAR:QUERY=RkZfRUJJVERBX09QRVIoQU5OLDIwMTEp&amp;WINDOW=FIRST_POPUP&amp;HEIGHT=450&amp;WIDTH=450&amp;START_MAXIMI","ZED=FALSE&amp;VAR:CALENDAR=FIVEDAY&amp;VAR:SYMBOL=B282YM&amp;VAR:INDEX=0"}</definedName>
    <definedName name="_771__FDSAUDITLINK___1" localSheetId="8" hidden="1">{"fdsup://directions/FAT Viewer?action=UPDATE&amp;creator=factset&amp;DYN_ARGS=TRUE&amp;DOC_NAME=FAT:FQL_AUDITING_CLIENT_TEMPLATE.FAT&amp;display_string=Audit&amp;VAR:KEY=LKPITWBILY&amp;VAR:QUERY=RkZfRUJJVERBX09QRVIoQU5OLDIwMTEp&amp;WINDOW=FIRST_POPUP&amp;HEIGHT=450&amp;WIDTH=450&amp;START_MAXIMI","ZED=FALSE&amp;VAR:CALENDAR=FIVEDAY&amp;VAR:SYMBOL=B282YM&amp;VAR:INDEX=0"}</definedName>
    <definedName name="_771__FDSAUDITLINK___1" hidden="1">{"fdsup://directions/FAT Viewer?action=UPDATE&amp;creator=factset&amp;DYN_ARGS=TRUE&amp;DOC_NAME=FAT:FQL_AUDITING_CLIENT_TEMPLATE.FAT&amp;display_string=Audit&amp;VAR:KEY=LKPITWBILY&amp;VAR:QUERY=RkZfRUJJVERBX09QRVIoQU5OLDIwMTEp&amp;WINDOW=FIRST_POPUP&amp;HEIGHT=450&amp;WIDTH=450&amp;START_MAXIMI","ZED=FALSE&amp;VAR:CALENDAR=FIVEDAY&amp;VAR:SYMBOL=B282YM&amp;VAR:INDEX=0"}</definedName>
    <definedName name="_772__FDSAUDITLINK__" localSheetId="8" hidden="1">{"fdsup://directions/FAT Viewer?action=UPDATE&amp;creator=factset&amp;DYN_ARGS=TRUE&amp;DOC_NAME=FAT:FQL_AUDITING_CLIENT_TEMPLATE.FAT&amp;display_string=Audit&amp;VAR:KEY=FMRARATCZU&amp;VAR:QUERY=RkZfRUJJVF9PUEVSKEFOTiwyMDA4KQ==&amp;WINDOW=FIRST_POPUP&amp;HEIGHT=450&amp;WIDTH=450&amp;START_MAXIMI","ZED=FALSE&amp;VAR:CALENDAR=FIVEDAY&amp;VAR:SYMBOL=B282YM&amp;VAR:INDEX=0"}</definedName>
    <definedName name="_772__FDSAUDITLINK__" hidden="1">{"fdsup://directions/FAT Viewer?action=UPDATE&amp;creator=factset&amp;DYN_ARGS=TRUE&amp;DOC_NAME=FAT:FQL_AUDITING_CLIENT_TEMPLATE.FAT&amp;display_string=Audit&amp;VAR:KEY=FMRARATCZU&amp;VAR:QUERY=RkZfRUJJVF9PUEVSKEFOTiwyMDA4KQ==&amp;WINDOW=FIRST_POPUP&amp;HEIGHT=450&amp;WIDTH=450&amp;START_MAXIMI","ZED=FALSE&amp;VAR:CALENDAR=FIVEDAY&amp;VAR:SYMBOL=B282YM&amp;VAR:INDEX=0"}</definedName>
    <definedName name="_772__FDSAUDITLINK___1" localSheetId="8" hidden="1">{"fdsup://directions/FAT Viewer?action=UPDATE&amp;creator=factset&amp;DYN_ARGS=TRUE&amp;DOC_NAME=FAT:FQL_AUDITING_CLIENT_TEMPLATE.FAT&amp;display_string=Audit&amp;VAR:KEY=FMRARATCZU&amp;VAR:QUERY=RkZfRUJJVF9PUEVSKEFOTiwyMDA4KQ==&amp;WINDOW=FIRST_POPUP&amp;HEIGHT=450&amp;WIDTH=450&amp;START_MAXIMI","ZED=FALSE&amp;VAR:CALENDAR=FIVEDAY&amp;VAR:SYMBOL=B282YM&amp;VAR:INDEX=0"}</definedName>
    <definedName name="_772__FDSAUDITLINK___1" hidden="1">{"fdsup://directions/FAT Viewer?action=UPDATE&amp;creator=factset&amp;DYN_ARGS=TRUE&amp;DOC_NAME=FAT:FQL_AUDITING_CLIENT_TEMPLATE.FAT&amp;display_string=Audit&amp;VAR:KEY=FMRARATCZU&amp;VAR:QUERY=RkZfRUJJVF9PUEVSKEFOTiwyMDA4KQ==&amp;WINDOW=FIRST_POPUP&amp;HEIGHT=450&amp;WIDTH=450&amp;START_MAXIMI","ZED=FALSE&amp;VAR:CALENDAR=FIVEDAY&amp;VAR:SYMBOL=B282YM&amp;VAR:INDEX=0"}</definedName>
    <definedName name="_773__FDSAUDITLINK__" localSheetId="8" hidden="1">{"fdsup://directions/FAT Viewer?action=UPDATE&amp;creator=factset&amp;DYN_ARGS=TRUE&amp;DOC_NAME=FAT:FQL_AUDITING_CLIENT_TEMPLATE.FAT&amp;display_string=Audit&amp;VAR:KEY=TGFCTCBUXC&amp;VAR:QUERY=RkZfRUJJVF9PUEVSKEFOTiwyMDEwKQ==&amp;WINDOW=FIRST_POPUP&amp;HEIGHT=450&amp;WIDTH=450&amp;START_MAXIMI","ZED=FALSE&amp;VAR:CALENDAR=FIVEDAY&amp;VAR:SYMBOL=B282YM&amp;VAR:INDEX=0"}</definedName>
    <definedName name="_773__FDSAUDITLINK__" hidden="1">{"fdsup://directions/FAT Viewer?action=UPDATE&amp;creator=factset&amp;DYN_ARGS=TRUE&amp;DOC_NAME=FAT:FQL_AUDITING_CLIENT_TEMPLATE.FAT&amp;display_string=Audit&amp;VAR:KEY=TGFCTCBUXC&amp;VAR:QUERY=RkZfRUJJVF9PUEVSKEFOTiwyMDEwKQ==&amp;WINDOW=FIRST_POPUP&amp;HEIGHT=450&amp;WIDTH=450&amp;START_MAXIMI","ZED=FALSE&amp;VAR:CALENDAR=FIVEDAY&amp;VAR:SYMBOL=B282YM&amp;VAR:INDEX=0"}</definedName>
    <definedName name="_773__FDSAUDITLINK___1" localSheetId="8" hidden="1">{"fdsup://directions/FAT Viewer?action=UPDATE&amp;creator=factset&amp;DYN_ARGS=TRUE&amp;DOC_NAME=FAT:FQL_AUDITING_CLIENT_TEMPLATE.FAT&amp;display_string=Audit&amp;VAR:KEY=TGFCTCBUXC&amp;VAR:QUERY=RkZfRUJJVF9PUEVSKEFOTiwyMDEwKQ==&amp;WINDOW=FIRST_POPUP&amp;HEIGHT=450&amp;WIDTH=450&amp;START_MAXIMI","ZED=FALSE&amp;VAR:CALENDAR=FIVEDAY&amp;VAR:SYMBOL=B282YM&amp;VAR:INDEX=0"}</definedName>
    <definedName name="_773__FDSAUDITLINK___1" hidden="1">{"fdsup://directions/FAT Viewer?action=UPDATE&amp;creator=factset&amp;DYN_ARGS=TRUE&amp;DOC_NAME=FAT:FQL_AUDITING_CLIENT_TEMPLATE.FAT&amp;display_string=Audit&amp;VAR:KEY=TGFCTCBUXC&amp;VAR:QUERY=RkZfRUJJVF9PUEVSKEFOTiwyMDEwKQ==&amp;WINDOW=FIRST_POPUP&amp;HEIGHT=450&amp;WIDTH=450&amp;START_MAXIMI","ZED=FALSE&amp;VAR:CALENDAR=FIVEDAY&amp;VAR:SYMBOL=B282YM&amp;VAR:INDEX=0"}</definedName>
    <definedName name="_774__FDSAUDITLINK__" localSheetId="8" hidden="1">{"fdsup://directions/FAT Viewer?action=UPDATE&amp;creator=factset&amp;DYN_ARGS=TRUE&amp;DOC_NAME=FAT:FQL_AUDITING_CLIENT_TEMPLATE.FAT&amp;display_string=Audit&amp;VAR:KEY=NMBYNMHMZI&amp;VAR:QUERY=RkZfQ0FQRVgoQU5OLDIwMDkp&amp;WINDOW=FIRST_POPUP&amp;HEIGHT=450&amp;WIDTH=450&amp;START_MAXIMIZED=FALS","E&amp;VAR:CALENDAR=FIVEDAY&amp;VAR:SYMBOL=B282YM&amp;VAR:INDEX=0"}</definedName>
    <definedName name="_774__FDSAUDITLINK__" hidden="1">{"fdsup://directions/FAT Viewer?action=UPDATE&amp;creator=factset&amp;DYN_ARGS=TRUE&amp;DOC_NAME=FAT:FQL_AUDITING_CLIENT_TEMPLATE.FAT&amp;display_string=Audit&amp;VAR:KEY=NMBYNMHMZI&amp;VAR:QUERY=RkZfQ0FQRVgoQU5OLDIwMDkp&amp;WINDOW=FIRST_POPUP&amp;HEIGHT=450&amp;WIDTH=450&amp;START_MAXIMIZED=FALS","E&amp;VAR:CALENDAR=FIVEDAY&amp;VAR:SYMBOL=B282YM&amp;VAR:INDEX=0"}</definedName>
    <definedName name="_774__FDSAUDITLINK___1" localSheetId="8" hidden="1">{"fdsup://directions/FAT Viewer?action=UPDATE&amp;creator=factset&amp;DYN_ARGS=TRUE&amp;DOC_NAME=FAT:FQL_AUDITING_CLIENT_TEMPLATE.FAT&amp;display_string=Audit&amp;VAR:KEY=NMBYNMHMZI&amp;VAR:QUERY=RkZfQ0FQRVgoQU5OLDIwMDkp&amp;WINDOW=FIRST_POPUP&amp;HEIGHT=450&amp;WIDTH=450&amp;START_MAXIMIZED=FALS","E&amp;VAR:CALENDAR=FIVEDAY&amp;VAR:SYMBOL=B282YM&amp;VAR:INDEX=0"}</definedName>
    <definedName name="_774__FDSAUDITLINK___1" hidden="1">{"fdsup://directions/FAT Viewer?action=UPDATE&amp;creator=factset&amp;DYN_ARGS=TRUE&amp;DOC_NAME=FAT:FQL_AUDITING_CLIENT_TEMPLATE.FAT&amp;display_string=Audit&amp;VAR:KEY=NMBYNMHMZI&amp;VAR:QUERY=RkZfQ0FQRVgoQU5OLDIwMDkp&amp;WINDOW=FIRST_POPUP&amp;HEIGHT=450&amp;WIDTH=450&amp;START_MAXIMIZED=FALS","E&amp;VAR:CALENDAR=FIVEDAY&amp;VAR:SYMBOL=B282YM&amp;VAR:INDEX=0"}</definedName>
    <definedName name="_775__FDSAUDITLINK__" localSheetId="8" hidden="1">{"fdsup://directions/FAT Viewer?action=UPDATE&amp;creator=factset&amp;DYN_ARGS=TRUE&amp;DOC_NAME=FAT:FQL_AUDITING_CLIENT_TEMPLATE.FAT&amp;display_string=Audit&amp;VAR:KEY=WREXSXMHCR&amp;VAR:QUERY=RkZfQ0FQRVgoQU5OLDIwMTEp&amp;WINDOW=FIRST_POPUP&amp;HEIGHT=450&amp;WIDTH=450&amp;START_MAXIMIZED=FALS","E&amp;VAR:CALENDAR=FIVEDAY&amp;VAR:SYMBOL=B282YM&amp;VAR:INDEX=0"}</definedName>
    <definedName name="_775__FDSAUDITLINK__" hidden="1">{"fdsup://directions/FAT Viewer?action=UPDATE&amp;creator=factset&amp;DYN_ARGS=TRUE&amp;DOC_NAME=FAT:FQL_AUDITING_CLIENT_TEMPLATE.FAT&amp;display_string=Audit&amp;VAR:KEY=WREXSXMHCR&amp;VAR:QUERY=RkZfQ0FQRVgoQU5OLDIwMTEp&amp;WINDOW=FIRST_POPUP&amp;HEIGHT=450&amp;WIDTH=450&amp;START_MAXIMIZED=FALS","E&amp;VAR:CALENDAR=FIVEDAY&amp;VAR:SYMBOL=B282YM&amp;VAR:INDEX=0"}</definedName>
    <definedName name="_775__FDSAUDITLINK___1" localSheetId="8" hidden="1">{"fdsup://directions/FAT Viewer?action=UPDATE&amp;creator=factset&amp;DYN_ARGS=TRUE&amp;DOC_NAME=FAT:FQL_AUDITING_CLIENT_TEMPLATE.FAT&amp;display_string=Audit&amp;VAR:KEY=WREXSXMHCR&amp;VAR:QUERY=RkZfQ0FQRVgoQU5OLDIwMTEp&amp;WINDOW=FIRST_POPUP&amp;HEIGHT=450&amp;WIDTH=450&amp;START_MAXIMIZED=FALS","E&amp;VAR:CALENDAR=FIVEDAY&amp;VAR:SYMBOL=B282YM&amp;VAR:INDEX=0"}</definedName>
    <definedName name="_775__FDSAUDITLINK___1" hidden="1">{"fdsup://directions/FAT Viewer?action=UPDATE&amp;creator=factset&amp;DYN_ARGS=TRUE&amp;DOC_NAME=FAT:FQL_AUDITING_CLIENT_TEMPLATE.FAT&amp;display_string=Audit&amp;VAR:KEY=WREXSXMHCR&amp;VAR:QUERY=RkZfQ0FQRVgoQU5OLDIwMTEp&amp;WINDOW=FIRST_POPUP&amp;HEIGHT=450&amp;WIDTH=450&amp;START_MAXIMIZED=FALS","E&amp;VAR:CALENDAR=FIVEDAY&amp;VAR:SYMBOL=B282YM&amp;VAR:INDEX=0"}</definedName>
    <definedName name="_776__FDSAUDITLINK__" localSheetId="8" hidden="1">{"fdsup://directions/FAT Viewer?action=UPDATE&amp;creator=factset&amp;DYN_ARGS=TRUE&amp;DOC_NAME=FAT:FQL_AUDITING_CLIENT_TEMPLATE.FAT&amp;display_string=Audit&amp;VAR:KEY=OLGTOTMHOD&amp;VAR:QUERY=RkZfTkVUX0lOQyhBTk4sMjAwOCk=&amp;WINDOW=FIRST_POPUP&amp;HEIGHT=450&amp;WIDTH=450&amp;START_MAXIMIZED=","FALSE&amp;VAR:CALENDAR=FIVEDAY&amp;VAR:SYMBOL=B282YM&amp;VAR:INDEX=0"}</definedName>
    <definedName name="_776__FDSAUDITLINK__" hidden="1">{"fdsup://directions/FAT Viewer?action=UPDATE&amp;creator=factset&amp;DYN_ARGS=TRUE&amp;DOC_NAME=FAT:FQL_AUDITING_CLIENT_TEMPLATE.FAT&amp;display_string=Audit&amp;VAR:KEY=OLGTOTMHOD&amp;VAR:QUERY=RkZfTkVUX0lOQyhBTk4sMjAwOCk=&amp;WINDOW=FIRST_POPUP&amp;HEIGHT=450&amp;WIDTH=450&amp;START_MAXIMIZED=","FALSE&amp;VAR:CALENDAR=FIVEDAY&amp;VAR:SYMBOL=B282YM&amp;VAR:INDEX=0"}</definedName>
    <definedName name="_776__FDSAUDITLINK___1" localSheetId="8" hidden="1">{"fdsup://directions/FAT Viewer?action=UPDATE&amp;creator=factset&amp;DYN_ARGS=TRUE&amp;DOC_NAME=FAT:FQL_AUDITING_CLIENT_TEMPLATE.FAT&amp;display_string=Audit&amp;VAR:KEY=OLGTOTMHOD&amp;VAR:QUERY=RkZfTkVUX0lOQyhBTk4sMjAwOCk=&amp;WINDOW=FIRST_POPUP&amp;HEIGHT=450&amp;WIDTH=450&amp;START_MAXIMIZED=","FALSE&amp;VAR:CALENDAR=FIVEDAY&amp;VAR:SYMBOL=B282YM&amp;VAR:INDEX=0"}</definedName>
    <definedName name="_776__FDSAUDITLINK___1" hidden="1">{"fdsup://directions/FAT Viewer?action=UPDATE&amp;creator=factset&amp;DYN_ARGS=TRUE&amp;DOC_NAME=FAT:FQL_AUDITING_CLIENT_TEMPLATE.FAT&amp;display_string=Audit&amp;VAR:KEY=OLGTOTMHOD&amp;VAR:QUERY=RkZfTkVUX0lOQyhBTk4sMjAwOCk=&amp;WINDOW=FIRST_POPUP&amp;HEIGHT=450&amp;WIDTH=450&amp;START_MAXIMIZED=","FALSE&amp;VAR:CALENDAR=FIVEDAY&amp;VAR:SYMBOL=B282YM&amp;VAR:INDEX=0"}</definedName>
    <definedName name="_777__FDSAUDITLINK__" localSheetId="8" hidden="1">{"fdsup://directions/FAT Viewer?action=UPDATE&amp;creator=factset&amp;DYN_ARGS=TRUE&amp;DOC_NAME=FAT:FQL_AUDITING_CLIENT_TEMPLATE.FAT&amp;display_string=Audit&amp;VAR:KEY=XOXMZSBYJK&amp;VAR:QUERY=RkZfTkVUX0lOQyhBTk4sMjAxMCk=&amp;WINDOW=FIRST_POPUP&amp;HEIGHT=450&amp;WIDTH=450&amp;START_MAXIMIZED=","FALSE&amp;VAR:CALENDAR=FIVEDAY&amp;VAR:SYMBOL=B282YM&amp;VAR:INDEX=0"}</definedName>
    <definedName name="_777__FDSAUDITLINK__" hidden="1">{"fdsup://directions/FAT Viewer?action=UPDATE&amp;creator=factset&amp;DYN_ARGS=TRUE&amp;DOC_NAME=FAT:FQL_AUDITING_CLIENT_TEMPLATE.FAT&amp;display_string=Audit&amp;VAR:KEY=XOXMZSBYJK&amp;VAR:QUERY=RkZfTkVUX0lOQyhBTk4sMjAxMCk=&amp;WINDOW=FIRST_POPUP&amp;HEIGHT=450&amp;WIDTH=450&amp;START_MAXIMIZED=","FALSE&amp;VAR:CALENDAR=FIVEDAY&amp;VAR:SYMBOL=B282YM&amp;VAR:INDEX=0"}</definedName>
    <definedName name="_777__FDSAUDITLINK___1" localSheetId="8" hidden="1">{"fdsup://directions/FAT Viewer?action=UPDATE&amp;creator=factset&amp;DYN_ARGS=TRUE&amp;DOC_NAME=FAT:FQL_AUDITING_CLIENT_TEMPLATE.FAT&amp;display_string=Audit&amp;VAR:KEY=XOXMZSBYJK&amp;VAR:QUERY=RkZfTkVUX0lOQyhBTk4sMjAxMCk=&amp;WINDOW=FIRST_POPUP&amp;HEIGHT=450&amp;WIDTH=450&amp;START_MAXIMIZED=","FALSE&amp;VAR:CALENDAR=FIVEDAY&amp;VAR:SYMBOL=B282YM&amp;VAR:INDEX=0"}</definedName>
    <definedName name="_777__FDSAUDITLINK___1" hidden="1">{"fdsup://directions/FAT Viewer?action=UPDATE&amp;creator=factset&amp;DYN_ARGS=TRUE&amp;DOC_NAME=FAT:FQL_AUDITING_CLIENT_TEMPLATE.FAT&amp;display_string=Audit&amp;VAR:KEY=XOXMZSBYJK&amp;VAR:QUERY=RkZfTkVUX0lOQyhBTk4sMjAxMCk=&amp;WINDOW=FIRST_POPUP&amp;HEIGHT=450&amp;WIDTH=450&amp;START_MAXIMIZED=","FALSE&amp;VAR:CALENDAR=FIVEDAY&amp;VAR:SYMBOL=B282YM&amp;VAR:INDEX=0"}</definedName>
    <definedName name="_778__FDSAUDITLINK__" localSheetId="8" hidden="1">{"fdsup://Directions/FactSet Auditing Viewer?action=AUDIT_VALUE&amp;DB=129&amp;ID1=435413&amp;VALUEID=01001&amp;SDATE=2011&amp;PERIODTYPE=ANN_STD&amp;SCFT=3&amp;window=popup_no_bar&amp;width=385&amp;height=120&amp;START_MAXIMIZED=FALSE&amp;creator=factset&amp;display_string=Audit"}</definedName>
    <definedName name="_778__FDSAUDITLINK__" hidden="1">{"fdsup://Directions/FactSet Auditing Viewer?action=AUDIT_VALUE&amp;DB=129&amp;ID1=435413&amp;VALUEID=01001&amp;SDATE=2011&amp;PERIODTYPE=ANN_STD&amp;SCFT=3&amp;window=popup_no_bar&amp;width=385&amp;height=120&amp;START_MAXIMIZED=FALSE&amp;creator=factset&amp;display_string=Audit"}</definedName>
    <definedName name="_778__FDSAUDITLINK___1" localSheetId="8" hidden="1">{"fdsup://Directions/FactSet Auditing Viewer?action=AUDIT_VALUE&amp;DB=129&amp;ID1=435413&amp;VALUEID=01001&amp;SDATE=2011&amp;PERIODTYPE=ANN_STD&amp;SCFT=3&amp;window=popup_no_bar&amp;width=385&amp;height=120&amp;START_MAXIMIZED=FALSE&amp;creator=factset&amp;display_string=Audit"}</definedName>
    <definedName name="_778__FDSAUDITLINK___1" hidden="1">{"fdsup://Directions/FactSet Auditing Viewer?action=AUDIT_VALUE&amp;DB=129&amp;ID1=435413&amp;VALUEID=01001&amp;SDATE=2011&amp;PERIODTYPE=ANN_STD&amp;SCFT=3&amp;window=popup_no_bar&amp;width=385&amp;height=120&amp;START_MAXIMIZED=FALSE&amp;creator=factset&amp;display_string=Audit"}</definedName>
    <definedName name="_779__FDSAUDITLINK__" localSheetId="8" hidden="1">{"fdsup://directions/FAT Viewer?action=UPDATE&amp;creator=factset&amp;DYN_ARGS=TRUE&amp;DOC_NAME=FAT:FQL_AUDITING_CLIENT_TEMPLATE.FAT&amp;display_string=Audit&amp;VAR:KEY=KNIRUHQNML&amp;VAR:QUERY=RkZfRUJJVERBX09QRVIoQU5OLDIwMDgp&amp;WINDOW=FIRST_POPUP&amp;HEIGHT=450&amp;WIDTH=450&amp;START_MAXIMI","ZED=FALSE&amp;VAR:CALENDAR=FIVEDAY&amp;VAR:SYMBOL=435413&amp;VAR:INDEX=0"}</definedName>
    <definedName name="_779__FDSAUDITLINK__" hidden="1">{"fdsup://directions/FAT Viewer?action=UPDATE&amp;creator=factset&amp;DYN_ARGS=TRUE&amp;DOC_NAME=FAT:FQL_AUDITING_CLIENT_TEMPLATE.FAT&amp;display_string=Audit&amp;VAR:KEY=KNIRUHQNML&amp;VAR:QUERY=RkZfRUJJVERBX09QRVIoQU5OLDIwMDgp&amp;WINDOW=FIRST_POPUP&amp;HEIGHT=450&amp;WIDTH=450&amp;START_MAXIMI","ZED=FALSE&amp;VAR:CALENDAR=FIVEDAY&amp;VAR:SYMBOL=435413&amp;VAR:INDEX=0"}</definedName>
    <definedName name="_779__FDSAUDITLINK___1" localSheetId="8" hidden="1">{"fdsup://directions/FAT Viewer?action=UPDATE&amp;creator=factset&amp;DYN_ARGS=TRUE&amp;DOC_NAME=FAT:FQL_AUDITING_CLIENT_TEMPLATE.FAT&amp;display_string=Audit&amp;VAR:KEY=KNIRUHQNML&amp;VAR:QUERY=RkZfRUJJVERBX09QRVIoQU5OLDIwMDgp&amp;WINDOW=FIRST_POPUP&amp;HEIGHT=450&amp;WIDTH=450&amp;START_MAXIMI","ZED=FALSE&amp;VAR:CALENDAR=FIVEDAY&amp;VAR:SYMBOL=435413&amp;VAR:INDEX=0"}</definedName>
    <definedName name="_779__FDSAUDITLINK___1" hidden="1">{"fdsup://directions/FAT Viewer?action=UPDATE&amp;creator=factset&amp;DYN_ARGS=TRUE&amp;DOC_NAME=FAT:FQL_AUDITING_CLIENT_TEMPLATE.FAT&amp;display_string=Audit&amp;VAR:KEY=KNIRUHQNML&amp;VAR:QUERY=RkZfRUJJVERBX09QRVIoQU5OLDIwMDgp&amp;WINDOW=FIRST_POPUP&amp;HEIGHT=450&amp;WIDTH=450&amp;START_MAXIMI","ZED=FALSE&amp;VAR:CALENDAR=FIVEDAY&amp;VAR:SYMBOL=435413&amp;VAR:INDEX=0"}</definedName>
    <definedName name="_78__123Graph_BCHART_3" hidden="1">#REF!</definedName>
    <definedName name="_78__123Graph_ECHART_13" localSheetId="8" hidden="1">#REF!</definedName>
    <definedName name="_78__123Graph_ECHART_13" hidden="1">#REF!</definedName>
    <definedName name="_78__123Graph_LBL_BCHART_23" hidden="1">#REF!</definedName>
    <definedName name="_78__FDSAUDITLINK__" localSheetId="8" hidden="1">{"fdsup://directions/FAT Viewer?action=UPDATE&amp;creator=factset&amp;DYN_ARGS=TRUE&amp;DOC_NAME=FAT:FQL_AUDITING_CLIENT_TEMPLATE.FAT&amp;display_string=Audit&amp;VAR:KEY=NOHIPAZAFK&amp;VAR:QUERY=RkZfRUJJVF9JQignQU5OJywzOTUzOCwsLCwnR0JQJyk=&amp;WINDOW=FIRST_POPUP&amp;HEIGHT=450&amp;WIDTH=450&amp;","START_MAXIMIZED=FALSE&amp;VAR:CALENDAR=FIVEDAY&amp;VAR:SYMBOL=092210&amp;VAR:INDEX=0"}</definedName>
    <definedName name="_78__FDSAUDITLINK__" hidden="1">{"fdsup://directions/FAT Viewer?action=UPDATE&amp;creator=factset&amp;DYN_ARGS=TRUE&amp;DOC_NAME=FAT:FQL_AUDITING_CLIENT_TEMPLATE.FAT&amp;display_string=Audit&amp;VAR:KEY=MJEDCZQJKN&amp;VAR:QUERY=RkZfRUJJVF9PUEVSKENBTCwyMDEwKQ==&amp;WINDOW=FIRST_POPUP&amp;HEIGHT=450&amp;WIDTH=450&amp;START_MAXIMI","ZED=FALSE&amp;VAR:CALENDAR=US&amp;VAR:SYMBOL=711075&amp;VAR:INDEX=0"}</definedName>
    <definedName name="_78__FDSAUDITLINK___1" localSheetId="8" hidden="1">{"fdsup://directions/FAT Viewer?action=UPDATE&amp;creator=factset&amp;DYN_ARGS=TRUE&amp;DOC_NAME=FAT:FQL_AUDITING_CLIENT_TEMPLATE.FAT&amp;display_string=Audit&amp;VAR:KEY=NOHIPAZAFK&amp;VAR:QUERY=RkZfRUJJVF9JQignQU5OJywzOTUzOCwsLCwnR0JQJyk=&amp;WINDOW=FIRST_POPUP&amp;HEIGHT=450&amp;WIDTH=450&amp;","START_MAXIMIZED=FALSE&amp;VAR:CALENDAR=FIVEDAY&amp;VAR:SYMBOL=092210&amp;VAR:INDEX=0"}</definedName>
    <definedName name="_78__FDSAUDITLINK___1" hidden="1">{"fdsup://directions/FAT Viewer?action=UPDATE&amp;creator=factset&amp;DYN_ARGS=TRUE&amp;DOC_NAME=FAT:FQL_AUDITING_CLIENT_TEMPLATE.FAT&amp;display_string=Audit&amp;VAR:KEY=NOHIPAZAFK&amp;VAR:QUERY=RkZfRUJJVF9JQignQU5OJywzOTUzOCwsLCwnR0JQJyk=&amp;WINDOW=FIRST_POPUP&amp;HEIGHT=450&amp;WIDTH=450&amp;","START_MAXIMIZED=FALSE&amp;VAR:CALENDAR=FIVEDAY&amp;VAR:SYMBOL=092210&amp;VAR:INDEX=0"}</definedName>
    <definedName name="_780__FDSAUDITLINK__" localSheetId="8" hidden="1">{"fdsup://directions/FAT Viewer?action=UPDATE&amp;creator=factset&amp;DYN_ARGS=TRUE&amp;DOC_NAME=FAT:FQL_AUDITING_CLIENT_TEMPLATE.FAT&amp;display_string=Audit&amp;VAR:KEY=MZGHMZGTUX&amp;VAR:QUERY=RkZfRUJJVERBX09QRVIoQU5OLDIwMTAp&amp;WINDOW=FIRST_POPUP&amp;HEIGHT=450&amp;WIDTH=450&amp;START_MAXIMI","ZED=FALSE&amp;VAR:CALENDAR=FIVEDAY&amp;VAR:SYMBOL=435413&amp;VAR:INDEX=0"}</definedName>
    <definedName name="_780__FDSAUDITLINK__" hidden="1">{"fdsup://directions/FAT Viewer?action=UPDATE&amp;creator=factset&amp;DYN_ARGS=TRUE&amp;DOC_NAME=FAT:FQL_AUDITING_CLIENT_TEMPLATE.FAT&amp;display_string=Audit&amp;VAR:KEY=MZGHMZGTUX&amp;VAR:QUERY=RkZfRUJJVERBX09QRVIoQU5OLDIwMTAp&amp;WINDOW=FIRST_POPUP&amp;HEIGHT=450&amp;WIDTH=450&amp;START_MAXIMI","ZED=FALSE&amp;VAR:CALENDAR=FIVEDAY&amp;VAR:SYMBOL=435413&amp;VAR:INDEX=0"}</definedName>
    <definedName name="_780__FDSAUDITLINK___1" localSheetId="8" hidden="1">{"fdsup://directions/FAT Viewer?action=UPDATE&amp;creator=factset&amp;DYN_ARGS=TRUE&amp;DOC_NAME=FAT:FQL_AUDITING_CLIENT_TEMPLATE.FAT&amp;display_string=Audit&amp;VAR:KEY=MZGHMZGTUX&amp;VAR:QUERY=RkZfRUJJVERBX09QRVIoQU5OLDIwMTAp&amp;WINDOW=FIRST_POPUP&amp;HEIGHT=450&amp;WIDTH=450&amp;START_MAXIMI","ZED=FALSE&amp;VAR:CALENDAR=FIVEDAY&amp;VAR:SYMBOL=435413&amp;VAR:INDEX=0"}</definedName>
    <definedName name="_780__FDSAUDITLINK___1" hidden="1">{"fdsup://directions/FAT Viewer?action=UPDATE&amp;creator=factset&amp;DYN_ARGS=TRUE&amp;DOC_NAME=FAT:FQL_AUDITING_CLIENT_TEMPLATE.FAT&amp;display_string=Audit&amp;VAR:KEY=MZGHMZGTUX&amp;VAR:QUERY=RkZfRUJJVERBX09QRVIoQU5OLDIwMTAp&amp;WINDOW=FIRST_POPUP&amp;HEIGHT=450&amp;WIDTH=450&amp;START_MAXIMI","ZED=FALSE&amp;VAR:CALENDAR=FIVEDAY&amp;VAR:SYMBOL=435413&amp;VAR:INDEX=0"}</definedName>
    <definedName name="_781__FDSAUDITLINK__" localSheetId="8" hidden="1">{"fdsup://directions/FAT Viewer?action=UPDATE&amp;creator=factset&amp;DYN_ARGS=TRUE&amp;DOC_NAME=FAT:FQL_AUDITING_CLIENT_TEMPLATE.FAT&amp;display_string=Audit&amp;VAR:KEY=TYVGLUDKJK&amp;VAR:QUERY=RkZfRUJJVF9PUEVSKEFOTiwyMDA5KQ==&amp;WINDOW=FIRST_POPUP&amp;HEIGHT=450&amp;WIDTH=450&amp;START_MAXIMI","ZED=FALSE&amp;VAR:CALENDAR=FIVEDAY&amp;VAR:SYMBOL=435413&amp;VAR:INDEX=0"}</definedName>
    <definedName name="_781__FDSAUDITLINK__" hidden="1">{"fdsup://directions/FAT Viewer?action=UPDATE&amp;creator=factset&amp;DYN_ARGS=TRUE&amp;DOC_NAME=FAT:FQL_AUDITING_CLIENT_TEMPLATE.FAT&amp;display_string=Audit&amp;VAR:KEY=TYVGLUDKJK&amp;VAR:QUERY=RkZfRUJJVF9PUEVSKEFOTiwyMDA5KQ==&amp;WINDOW=FIRST_POPUP&amp;HEIGHT=450&amp;WIDTH=450&amp;START_MAXIMI","ZED=FALSE&amp;VAR:CALENDAR=FIVEDAY&amp;VAR:SYMBOL=435413&amp;VAR:INDEX=0"}</definedName>
    <definedName name="_781__FDSAUDITLINK___1" localSheetId="8" hidden="1">{"fdsup://directions/FAT Viewer?action=UPDATE&amp;creator=factset&amp;DYN_ARGS=TRUE&amp;DOC_NAME=FAT:FQL_AUDITING_CLIENT_TEMPLATE.FAT&amp;display_string=Audit&amp;VAR:KEY=TYVGLUDKJK&amp;VAR:QUERY=RkZfRUJJVF9PUEVSKEFOTiwyMDA5KQ==&amp;WINDOW=FIRST_POPUP&amp;HEIGHT=450&amp;WIDTH=450&amp;START_MAXIMI","ZED=FALSE&amp;VAR:CALENDAR=FIVEDAY&amp;VAR:SYMBOL=435413&amp;VAR:INDEX=0"}</definedName>
    <definedName name="_781__FDSAUDITLINK___1" hidden="1">{"fdsup://directions/FAT Viewer?action=UPDATE&amp;creator=factset&amp;DYN_ARGS=TRUE&amp;DOC_NAME=FAT:FQL_AUDITING_CLIENT_TEMPLATE.FAT&amp;display_string=Audit&amp;VAR:KEY=TYVGLUDKJK&amp;VAR:QUERY=RkZfRUJJVF9PUEVSKEFOTiwyMDA5KQ==&amp;WINDOW=FIRST_POPUP&amp;HEIGHT=450&amp;WIDTH=450&amp;START_MAXIMI","ZED=FALSE&amp;VAR:CALENDAR=FIVEDAY&amp;VAR:SYMBOL=435413&amp;VAR:INDEX=0"}</definedName>
    <definedName name="_782__FDSAUDITLINK__" localSheetId="8" hidden="1">{"fdsup://directions/FAT Viewer?action=UPDATE&amp;creator=factset&amp;DYN_ARGS=TRUE&amp;DOC_NAME=FAT:FQL_AUDITING_CLIENT_TEMPLATE.FAT&amp;display_string=Audit&amp;VAR:KEY=MDEHENKRQJ&amp;VAR:QUERY=RkZfRUJJVF9PUEVSKEFOTiwyMDEwKQ==&amp;WINDOW=FIRST_POPUP&amp;HEIGHT=450&amp;WIDTH=450&amp;START_MAXIMI","ZED=FALSE&amp;VAR:CALENDAR=FIVEDAY&amp;VAR:SYMBOL=435413&amp;VAR:INDEX=0"}</definedName>
    <definedName name="_782__FDSAUDITLINK__" hidden="1">{"fdsup://directions/FAT Viewer?action=UPDATE&amp;creator=factset&amp;DYN_ARGS=TRUE&amp;DOC_NAME=FAT:FQL_AUDITING_CLIENT_TEMPLATE.FAT&amp;display_string=Audit&amp;VAR:KEY=MDEHENKRQJ&amp;VAR:QUERY=RkZfRUJJVF9PUEVSKEFOTiwyMDEwKQ==&amp;WINDOW=FIRST_POPUP&amp;HEIGHT=450&amp;WIDTH=450&amp;START_MAXIMI","ZED=FALSE&amp;VAR:CALENDAR=FIVEDAY&amp;VAR:SYMBOL=435413&amp;VAR:INDEX=0"}</definedName>
    <definedName name="_782__FDSAUDITLINK___1" localSheetId="8" hidden="1">{"fdsup://directions/FAT Viewer?action=UPDATE&amp;creator=factset&amp;DYN_ARGS=TRUE&amp;DOC_NAME=FAT:FQL_AUDITING_CLIENT_TEMPLATE.FAT&amp;display_string=Audit&amp;VAR:KEY=MDEHENKRQJ&amp;VAR:QUERY=RkZfRUJJVF9PUEVSKEFOTiwyMDEwKQ==&amp;WINDOW=FIRST_POPUP&amp;HEIGHT=450&amp;WIDTH=450&amp;START_MAXIMI","ZED=FALSE&amp;VAR:CALENDAR=FIVEDAY&amp;VAR:SYMBOL=435413&amp;VAR:INDEX=0"}</definedName>
    <definedName name="_782__FDSAUDITLINK___1" hidden="1">{"fdsup://directions/FAT Viewer?action=UPDATE&amp;creator=factset&amp;DYN_ARGS=TRUE&amp;DOC_NAME=FAT:FQL_AUDITING_CLIENT_TEMPLATE.FAT&amp;display_string=Audit&amp;VAR:KEY=MDEHENKRQJ&amp;VAR:QUERY=RkZfRUJJVF9PUEVSKEFOTiwyMDEwKQ==&amp;WINDOW=FIRST_POPUP&amp;HEIGHT=450&amp;WIDTH=450&amp;START_MAXIMI","ZED=FALSE&amp;VAR:CALENDAR=FIVEDAY&amp;VAR:SYMBOL=435413&amp;VAR:INDEX=0"}</definedName>
    <definedName name="_783__FDSAUDITLINK__" localSheetId="8" hidden="1">{"fdsup://directions/FAT Viewer?action=UPDATE&amp;creator=factset&amp;DYN_ARGS=TRUE&amp;DOC_NAME=FAT:FQL_AUDITING_CLIENT_TEMPLATE.FAT&amp;display_string=Audit&amp;VAR:KEY=BGFYPAHKPA&amp;VAR:QUERY=RkZfQ0FQRVgoQU5OLDIwMDgp&amp;WINDOW=FIRST_POPUP&amp;HEIGHT=450&amp;WIDTH=450&amp;START_MAXIMIZED=FALS","E&amp;VAR:CALENDAR=FIVEDAY&amp;VAR:SYMBOL=435413&amp;VAR:INDEX=0"}</definedName>
    <definedName name="_783__FDSAUDITLINK__" hidden="1">{"fdsup://directions/FAT Viewer?action=UPDATE&amp;creator=factset&amp;DYN_ARGS=TRUE&amp;DOC_NAME=FAT:FQL_AUDITING_CLIENT_TEMPLATE.FAT&amp;display_string=Audit&amp;VAR:KEY=BGFYPAHKPA&amp;VAR:QUERY=RkZfQ0FQRVgoQU5OLDIwMDgp&amp;WINDOW=FIRST_POPUP&amp;HEIGHT=450&amp;WIDTH=450&amp;START_MAXIMIZED=FALS","E&amp;VAR:CALENDAR=FIVEDAY&amp;VAR:SYMBOL=435413&amp;VAR:INDEX=0"}</definedName>
    <definedName name="_783__FDSAUDITLINK___1" localSheetId="8" hidden="1">{"fdsup://directions/FAT Viewer?action=UPDATE&amp;creator=factset&amp;DYN_ARGS=TRUE&amp;DOC_NAME=FAT:FQL_AUDITING_CLIENT_TEMPLATE.FAT&amp;display_string=Audit&amp;VAR:KEY=BGFYPAHKPA&amp;VAR:QUERY=RkZfQ0FQRVgoQU5OLDIwMDgp&amp;WINDOW=FIRST_POPUP&amp;HEIGHT=450&amp;WIDTH=450&amp;START_MAXIMIZED=FALS","E&amp;VAR:CALENDAR=FIVEDAY&amp;VAR:SYMBOL=435413&amp;VAR:INDEX=0"}</definedName>
    <definedName name="_783__FDSAUDITLINK___1" hidden="1">{"fdsup://directions/FAT Viewer?action=UPDATE&amp;creator=factset&amp;DYN_ARGS=TRUE&amp;DOC_NAME=FAT:FQL_AUDITING_CLIENT_TEMPLATE.FAT&amp;display_string=Audit&amp;VAR:KEY=BGFYPAHKPA&amp;VAR:QUERY=RkZfQ0FQRVgoQU5OLDIwMDgp&amp;WINDOW=FIRST_POPUP&amp;HEIGHT=450&amp;WIDTH=450&amp;START_MAXIMIZED=FALS","E&amp;VAR:CALENDAR=FIVEDAY&amp;VAR:SYMBOL=435413&amp;VAR:INDEX=0"}</definedName>
    <definedName name="_784__FDSAUDITLINK__" localSheetId="8" hidden="1">{"fdsup://directions/FAT Viewer?action=UPDATE&amp;creator=factset&amp;DYN_ARGS=TRUE&amp;DOC_NAME=FAT:FQL_AUDITING_CLIENT_TEMPLATE.FAT&amp;display_string=Audit&amp;VAR:KEY=HEDWTQZIJK&amp;VAR:QUERY=RkZfQ0FQRVgoQU5OLDIwMTAp&amp;WINDOW=FIRST_POPUP&amp;HEIGHT=450&amp;WIDTH=450&amp;START_MAXIMIZED=FALS","E&amp;VAR:CALENDAR=FIVEDAY&amp;VAR:SYMBOL=435413&amp;VAR:INDEX=0"}</definedName>
    <definedName name="_784__FDSAUDITLINK__" hidden="1">{"fdsup://directions/FAT Viewer?action=UPDATE&amp;creator=factset&amp;DYN_ARGS=TRUE&amp;DOC_NAME=FAT:FQL_AUDITING_CLIENT_TEMPLATE.FAT&amp;display_string=Audit&amp;VAR:KEY=HEDWTQZIJK&amp;VAR:QUERY=RkZfQ0FQRVgoQU5OLDIwMTAp&amp;WINDOW=FIRST_POPUP&amp;HEIGHT=450&amp;WIDTH=450&amp;START_MAXIMIZED=FALS","E&amp;VAR:CALENDAR=FIVEDAY&amp;VAR:SYMBOL=435413&amp;VAR:INDEX=0"}</definedName>
    <definedName name="_784__FDSAUDITLINK___1" localSheetId="8" hidden="1">{"fdsup://directions/FAT Viewer?action=UPDATE&amp;creator=factset&amp;DYN_ARGS=TRUE&amp;DOC_NAME=FAT:FQL_AUDITING_CLIENT_TEMPLATE.FAT&amp;display_string=Audit&amp;VAR:KEY=HEDWTQZIJK&amp;VAR:QUERY=RkZfQ0FQRVgoQU5OLDIwMTAp&amp;WINDOW=FIRST_POPUP&amp;HEIGHT=450&amp;WIDTH=450&amp;START_MAXIMIZED=FALS","E&amp;VAR:CALENDAR=FIVEDAY&amp;VAR:SYMBOL=435413&amp;VAR:INDEX=0"}</definedName>
    <definedName name="_784__FDSAUDITLINK___1" hidden="1">{"fdsup://directions/FAT Viewer?action=UPDATE&amp;creator=factset&amp;DYN_ARGS=TRUE&amp;DOC_NAME=FAT:FQL_AUDITING_CLIENT_TEMPLATE.FAT&amp;display_string=Audit&amp;VAR:KEY=HEDWTQZIJK&amp;VAR:QUERY=RkZfQ0FQRVgoQU5OLDIwMTAp&amp;WINDOW=FIRST_POPUP&amp;HEIGHT=450&amp;WIDTH=450&amp;START_MAXIMIZED=FALS","E&amp;VAR:CALENDAR=FIVEDAY&amp;VAR:SYMBOL=435413&amp;VAR:INDEX=0"}</definedName>
    <definedName name="_785__FDSAUDITLINK__" localSheetId="8" hidden="1">{"fdsup://directions/FAT Viewer?action=UPDATE&amp;creator=factset&amp;DYN_ARGS=TRUE&amp;DOC_NAME=FAT:FQL_AUDITING_CLIENT_TEMPLATE.FAT&amp;display_string=Audit&amp;VAR:KEY=YLQLUNSZWX&amp;VAR:QUERY=RkZfTkVUX0lOQyhBTk4sMjAwOSk=&amp;WINDOW=FIRST_POPUP&amp;HEIGHT=450&amp;WIDTH=450&amp;START_MAXIMIZED=","FALSE&amp;VAR:CALENDAR=FIVEDAY&amp;VAR:SYMBOL=435413&amp;VAR:INDEX=0"}</definedName>
    <definedName name="_785__FDSAUDITLINK__" hidden="1">{"fdsup://directions/FAT Viewer?action=UPDATE&amp;creator=factset&amp;DYN_ARGS=TRUE&amp;DOC_NAME=FAT:FQL_AUDITING_CLIENT_TEMPLATE.FAT&amp;display_string=Audit&amp;VAR:KEY=YLQLUNSZWX&amp;VAR:QUERY=RkZfTkVUX0lOQyhBTk4sMjAwOSk=&amp;WINDOW=FIRST_POPUP&amp;HEIGHT=450&amp;WIDTH=450&amp;START_MAXIMIZED=","FALSE&amp;VAR:CALENDAR=FIVEDAY&amp;VAR:SYMBOL=435413&amp;VAR:INDEX=0"}</definedName>
    <definedName name="_785__FDSAUDITLINK___1" localSheetId="8" hidden="1">{"fdsup://directions/FAT Viewer?action=UPDATE&amp;creator=factset&amp;DYN_ARGS=TRUE&amp;DOC_NAME=FAT:FQL_AUDITING_CLIENT_TEMPLATE.FAT&amp;display_string=Audit&amp;VAR:KEY=YLQLUNSZWX&amp;VAR:QUERY=RkZfTkVUX0lOQyhBTk4sMjAwOSk=&amp;WINDOW=FIRST_POPUP&amp;HEIGHT=450&amp;WIDTH=450&amp;START_MAXIMIZED=","FALSE&amp;VAR:CALENDAR=FIVEDAY&amp;VAR:SYMBOL=435413&amp;VAR:INDEX=0"}</definedName>
    <definedName name="_785__FDSAUDITLINK___1" hidden="1">{"fdsup://directions/FAT Viewer?action=UPDATE&amp;creator=factset&amp;DYN_ARGS=TRUE&amp;DOC_NAME=FAT:FQL_AUDITING_CLIENT_TEMPLATE.FAT&amp;display_string=Audit&amp;VAR:KEY=YLQLUNSZWX&amp;VAR:QUERY=RkZfTkVUX0lOQyhBTk4sMjAwOSk=&amp;WINDOW=FIRST_POPUP&amp;HEIGHT=450&amp;WIDTH=450&amp;START_MAXIMIZED=","FALSE&amp;VAR:CALENDAR=FIVEDAY&amp;VAR:SYMBOL=435413&amp;VAR:INDEX=0"}</definedName>
    <definedName name="_786__FDSAUDITLINK__" localSheetId="8" hidden="1">{"fdsup://directions/FAT Viewer?action=UPDATE&amp;creator=factset&amp;DYN_ARGS=TRUE&amp;DOC_NAME=FAT:FQL_AUDITING_CLIENT_TEMPLATE.FAT&amp;display_string=Audit&amp;VAR:KEY=WROZKBGXKH&amp;VAR:QUERY=RkZfTkVUX0lOQyhBTk4sMjAxMSk=&amp;WINDOW=FIRST_POPUP&amp;HEIGHT=450&amp;WIDTH=450&amp;START_MAXIMIZED=","FALSE&amp;VAR:CALENDAR=FIVEDAY&amp;VAR:SYMBOL=435413&amp;VAR:INDEX=0"}</definedName>
    <definedName name="_786__FDSAUDITLINK__" hidden="1">{"fdsup://directions/FAT Viewer?action=UPDATE&amp;creator=factset&amp;DYN_ARGS=TRUE&amp;DOC_NAME=FAT:FQL_AUDITING_CLIENT_TEMPLATE.FAT&amp;display_string=Audit&amp;VAR:KEY=WROZKBGXKH&amp;VAR:QUERY=RkZfTkVUX0lOQyhBTk4sMjAxMSk=&amp;WINDOW=FIRST_POPUP&amp;HEIGHT=450&amp;WIDTH=450&amp;START_MAXIMIZED=","FALSE&amp;VAR:CALENDAR=FIVEDAY&amp;VAR:SYMBOL=435413&amp;VAR:INDEX=0"}</definedName>
    <definedName name="_786__FDSAUDITLINK___1" localSheetId="8" hidden="1">{"fdsup://directions/FAT Viewer?action=UPDATE&amp;creator=factset&amp;DYN_ARGS=TRUE&amp;DOC_NAME=FAT:FQL_AUDITING_CLIENT_TEMPLATE.FAT&amp;display_string=Audit&amp;VAR:KEY=WROZKBGXKH&amp;VAR:QUERY=RkZfTkVUX0lOQyhBTk4sMjAxMSk=&amp;WINDOW=FIRST_POPUP&amp;HEIGHT=450&amp;WIDTH=450&amp;START_MAXIMIZED=","FALSE&amp;VAR:CALENDAR=FIVEDAY&amp;VAR:SYMBOL=435413&amp;VAR:INDEX=0"}</definedName>
    <definedName name="_786__FDSAUDITLINK___1" hidden="1">{"fdsup://directions/FAT Viewer?action=UPDATE&amp;creator=factset&amp;DYN_ARGS=TRUE&amp;DOC_NAME=FAT:FQL_AUDITING_CLIENT_TEMPLATE.FAT&amp;display_string=Audit&amp;VAR:KEY=WROZKBGXKH&amp;VAR:QUERY=RkZfTkVUX0lOQyhBTk4sMjAxMSk=&amp;WINDOW=FIRST_POPUP&amp;HEIGHT=450&amp;WIDTH=450&amp;START_MAXIMIZED=","FALSE&amp;VAR:CALENDAR=FIVEDAY&amp;VAR:SYMBOL=435413&amp;VAR:INDEX=0"}</definedName>
    <definedName name="_787__FDSAUDITLINK__" localSheetId="8" hidden="1">{"fdsup://Directions/FactSet Auditing Viewer?action=AUDIT_VALUE&amp;DB=129&amp;ID1=B4YCDF&amp;VALUEID=01001&amp;SDATE=2009&amp;PERIODTYPE=ANN_STD&amp;SCFT=3&amp;window=popup_no_bar&amp;width=385&amp;height=120&amp;START_MAXIMIZED=FALSE&amp;creator=factset&amp;display_string=Audit"}</definedName>
    <definedName name="_787__FDSAUDITLINK__" hidden="1">{"fdsup://Directions/FactSet Auditing Viewer?action=AUDIT_VALUE&amp;DB=129&amp;ID1=B4YCDF&amp;VALUEID=01001&amp;SDATE=2009&amp;PERIODTYPE=ANN_STD&amp;SCFT=3&amp;window=popup_no_bar&amp;width=385&amp;height=120&amp;START_MAXIMIZED=FALSE&amp;creator=factset&amp;display_string=Audit"}</definedName>
    <definedName name="_787__FDSAUDITLINK___1" localSheetId="8" hidden="1">{"fdsup://Directions/FactSet Auditing Viewer?action=AUDIT_VALUE&amp;DB=129&amp;ID1=B4YCDF&amp;VALUEID=01001&amp;SDATE=2009&amp;PERIODTYPE=ANN_STD&amp;SCFT=3&amp;window=popup_no_bar&amp;width=385&amp;height=120&amp;START_MAXIMIZED=FALSE&amp;creator=factset&amp;display_string=Audit"}</definedName>
    <definedName name="_787__FDSAUDITLINK___1" hidden="1">{"fdsup://Directions/FactSet Auditing Viewer?action=AUDIT_VALUE&amp;DB=129&amp;ID1=B4YCDF&amp;VALUEID=01001&amp;SDATE=2009&amp;PERIODTYPE=ANN_STD&amp;SCFT=3&amp;window=popup_no_bar&amp;width=385&amp;height=120&amp;START_MAXIMIZED=FALSE&amp;creator=factset&amp;display_string=Audit"}</definedName>
    <definedName name="_788__FDSAUDITLINK__" localSheetId="8" hidden="1">{"fdsup://directions/FAT Viewer?action=UPDATE&amp;creator=factset&amp;DYN_ARGS=TRUE&amp;DOC_NAME=FAT:FQL_AUDITING_CLIENT_TEMPLATE.FAT&amp;display_string=Audit&amp;VAR:KEY=NSVOVETEBU&amp;VAR:QUERY=RkZfRUJJVERBX09QRVIoQU5OLDIwMDgp&amp;WINDOW=FIRST_POPUP&amp;HEIGHT=450&amp;WIDTH=450&amp;START_MAXIMI","ZED=FALSE&amp;VAR:CALENDAR=FIVEDAY&amp;VAR:SYMBOL=B4YCDF&amp;VAR:INDEX=0"}</definedName>
    <definedName name="_788__FDSAUDITLINK__" hidden="1">{"fdsup://directions/FAT Viewer?action=UPDATE&amp;creator=factset&amp;DYN_ARGS=TRUE&amp;DOC_NAME=FAT:FQL_AUDITING_CLIENT_TEMPLATE.FAT&amp;display_string=Audit&amp;VAR:KEY=NSVOVETEBU&amp;VAR:QUERY=RkZfRUJJVERBX09QRVIoQU5OLDIwMDgp&amp;WINDOW=FIRST_POPUP&amp;HEIGHT=450&amp;WIDTH=450&amp;START_MAXIMI","ZED=FALSE&amp;VAR:CALENDAR=FIVEDAY&amp;VAR:SYMBOL=B4YCDF&amp;VAR:INDEX=0"}</definedName>
    <definedName name="_788__FDSAUDITLINK___1" localSheetId="8" hidden="1">{"fdsup://directions/FAT Viewer?action=UPDATE&amp;creator=factset&amp;DYN_ARGS=TRUE&amp;DOC_NAME=FAT:FQL_AUDITING_CLIENT_TEMPLATE.FAT&amp;display_string=Audit&amp;VAR:KEY=NSVOVETEBU&amp;VAR:QUERY=RkZfRUJJVERBX09QRVIoQU5OLDIwMDgp&amp;WINDOW=FIRST_POPUP&amp;HEIGHT=450&amp;WIDTH=450&amp;START_MAXIMI","ZED=FALSE&amp;VAR:CALENDAR=FIVEDAY&amp;VAR:SYMBOL=B4YCDF&amp;VAR:INDEX=0"}</definedName>
    <definedName name="_788__FDSAUDITLINK___1" hidden="1">{"fdsup://directions/FAT Viewer?action=UPDATE&amp;creator=factset&amp;DYN_ARGS=TRUE&amp;DOC_NAME=FAT:FQL_AUDITING_CLIENT_TEMPLATE.FAT&amp;display_string=Audit&amp;VAR:KEY=NSVOVETEBU&amp;VAR:QUERY=RkZfRUJJVERBX09QRVIoQU5OLDIwMDgp&amp;WINDOW=FIRST_POPUP&amp;HEIGHT=450&amp;WIDTH=450&amp;START_MAXIMI","ZED=FALSE&amp;VAR:CALENDAR=FIVEDAY&amp;VAR:SYMBOL=B4YCDF&amp;VAR:INDEX=0"}</definedName>
    <definedName name="_789__FDSAUDITLINK__" localSheetId="8" hidden="1">{"fdsup://Directions/FactSet Auditing Viewer?action=AUDIT_VALUE&amp;DB=129&amp;ID1=B4YCDF&amp;VALUEID=01250&amp;SDATE=2009&amp;PERIODTYPE=ANN_STD&amp;SCFT=3&amp;window=popup_no_bar&amp;width=385&amp;height=120&amp;START_MAXIMIZED=FALSE&amp;creator=factset&amp;display_string=Audit"}</definedName>
    <definedName name="_789__FDSAUDITLINK__" hidden="1">{"fdsup://Directions/FactSet Auditing Viewer?action=AUDIT_VALUE&amp;DB=129&amp;ID1=B4YCDF&amp;VALUEID=01250&amp;SDATE=2009&amp;PERIODTYPE=ANN_STD&amp;SCFT=3&amp;window=popup_no_bar&amp;width=385&amp;height=120&amp;START_MAXIMIZED=FALSE&amp;creator=factset&amp;display_string=Audit"}</definedName>
    <definedName name="_789__FDSAUDITLINK___1" localSheetId="8" hidden="1">{"fdsup://Directions/FactSet Auditing Viewer?action=AUDIT_VALUE&amp;DB=129&amp;ID1=B4YCDF&amp;VALUEID=01250&amp;SDATE=2009&amp;PERIODTYPE=ANN_STD&amp;SCFT=3&amp;window=popup_no_bar&amp;width=385&amp;height=120&amp;START_MAXIMIZED=FALSE&amp;creator=factset&amp;display_string=Audit"}</definedName>
    <definedName name="_789__FDSAUDITLINK___1" hidden="1">{"fdsup://Directions/FactSet Auditing Viewer?action=AUDIT_VALUE&amp;DB=129&amp;ID1=B4YCDF&amp;VALUEID=01250&amp;SDATE=2009&amp;PERIODTYPE=ANN_STD&amp;SCFT=3&amp;window=popup_no_bar&amp;width=385&amp;height=120&amp;START_MAXIMIZED=FALSE&amp;creator=factset&amp;display_string=Audit"}</definedName>
    <definedName name="_79__123Graph_BCHART_4" hidden="1">#REF!</definedName>
    <definedName name="_79__123Graph_ECHART_3" localSheetId="8" hidden="1">#REF!</definedName>
    <definedName name="_79__123Graph_ECHART_3" hidden="1">#REF!</definedName>
    <definedName name="_79__123Graph_LBL_BCHART_3" hidden="1">#REF!</definedName>
    <definedName name="_79__FDSAUDITLINK__" localSheetId="8" hidden="1">{"fdsup://directions/FAT Viewer?action=UPDATE&amp;creator=factset&amp;DYN_ARGS=TRUE&amp;DOC_NAME=FAT:FQL_AUDITING_CLIENT_TEMPLATE.FAT&amp;display_string=Audit&amp;VAR:KEY=DIBERAVGBA&amp;VAR:QUERY=RkZfRUJJVF9JQignQU5OJywzOTE3MiwsLCwnR0JQJyk=&amp;WINDOW=FIRST_POPUP&amp;HEIGHT=450&amp;WIDTH=450&amp;","START_MAXIMIZED=FALSE&amp;VAR:CALENDAR=FIVEDAY&amp;VAR:SYMBOL=092210&amp;VAR:INDEX=0"}</definedName>
    <definedName name="_79__FDSAUDITLINK__" hidden="1">{"fdsup://directions/FAT Viewer?action=UPDATE&amp;creator=factset&amp;DYN_ARGS=TRUE&amp;DOC_NAME=FAT:FQL_AUDITING_CLIENT_TEMPLATE.FAT&amp;display_string=Audit&amp;VAR:KEY=FOPQLGPCFE&amp;VAR:QUERY=RkZfRUJJVF9PUEVSKENBTCwyMDEwKQ==&amp;WINDOW=FIRST_POPUP&amp;HEIGHT=450&amp;WIDTH=450&amp;START_MAXIMI","ZED=FALSE&amp;VAR:CALENDAR=US&amp;VAR:SYMBOL=CX&amp;VAR:INDEX=0"}</definedName>
    <definedName name="_79__FDSAUDITLINK___1" localSheetId="8" hidden="1">{"fdsup://directions/FAT Viewer?action=UPDATE&amp;creator=factset&amp;DYN_ARGS=TRUE&amp;DOC_NAME=FAT:FQL_AUDITING_CLIENT_TEMPLATE.FAT&amp;display_string=Audit&amp;VAR:KEY=DIBERAVGBA&amp;VAR:QUERY=RkZfRUJJVF9JQignQU5OJywzOTE3MiwsLCwnR0JQJyk=&amp;WINDOW=FIRST_POPUP&amp;HEIGHT=450&amp;WIDTH=450&amp;","START_MAXIMIZED=FALSE&amp;VAR:CALENDAR=FIVEDAY&amp;VAR:SYMBOL=092210&amp;VAR:INDEX=0"}</definedName>
    <definedName name="_79__FDSAUDITLINK___1" hidden="1">{"fdsup://directions/FAT Viewer?action=UPDATE&amp;creator=factset&amp;DYN_ARGS=TRUE&amp;DOC_NAME=FAT:FQL_AUDITING_CLIENT_TEMPLATE.FAT&amp;display_string=Audit&amp;VAR:KEY=DIBERAVGBA&amp;VAR:QUERY=RkZfRUJJVF9JQignQU5OJywzOTE3MiwsLCwnR0JQJyk=&amp;WINDOW=FIRST_POPUP&amp;HEIGHT=450&amp;WIDTH=450&amp;","START_MAXIMIZED=FALSE&amp;VAR:CALENDAR=FIVEDAY&amp;VAR:SYMBOL=092210&amp;VAR:INDEX=0"}</definedName>
    <definedName name="_790__FDSAUDITLINK__" localSheetId="8" hidden="1">{"fdsup://directions/FAT Viewer?action=UPDATE&amp;creator=factset&amp;DYN_ARGS=TRUE&amp;DOC_NAME=FAT:FQL_AUDITING_CLIENT_TEMPLATE.FAT&amp;display_string=Audit&amp;VAR:KEY=SDWDKPSDYB&amp;VAR:QUERY=RkZfQ0FQRVgoQU5OLDIwMDgp&amp;WINDOW=FIRST_POPUP&amp;HEIGHT=450&amp;WIDTH=450&amp;START_MAXIMIZED=FALS","E&amp;VAR:CALENDAR=FIVEDAY&amp;VAR:SYMBOL=B4YCDF&amp;VAR:INDEX=0"}</definedName>
    <definedName name="_790__FDSAUDITLINK__" hidden="1">{"fdsup://directions/FAT Viewer?action=UPDATE&amp;creator=factset&amp;DYN_ARGS=TRUE&amp;DOC_NAME=FAT:FQL_AUDITING_CLIENT_TEMPLATE.FAT&amp;display_string=Audit&amp;VAR:KEY=SDWDKPSDYB&amp;VAR:QUERY=RkZfQ0FQRVgoQU5OLDIwMDgp&amp;WINDOW=FIRST_POPUP&amp;HEIGHT=450&amp;WIDTH=450&amp;START_MAXIMIZED=FALS","E&amp;VAR:CALENDAR=FIVEDAY&amp;VAR:SYMBOL=B4YCDF&amp;VAR:INDEX=0"}</definedName>
    <definedName name="_790__FDSAUDITLINK___1" localSheetId="8" hidden="1">{"fdsup://directions/FAT Viewer?action=UPDATE&amp;creator=factset&amp;DYN_ARGS=TRUE&amp;DOC_NAME=FAT:FQL_AUDITING_CLIENT_TEMPLATE.FAT&amp;display_string=Audit&amp;VAR:KEY=SDWDKPSDYB&amp;VAR:QUERY=RkZfQ0FQRVgoQU5OLDIwMDgp&amp;WINDOW=FIRST_POPUP&amp;HEIGHT=450&amp;WIDTH=450&amp;START_MAXIMIZED=FALS","E&amp;VAR:CALENDAR=FIVEDAY&amp;VAR:SYMBOL=B4YCDF&amp;VAR:INDEX=0"}</definedName>
    <definedName name="_790__FDSAUDITLINK___1" hidden="1">{"fdsup://directions/FAT Viewer?action=UPDATE&amp;creator=factset&amp;DYN_ARGS=TRUE&amp;DOC_NAME=FAT:FQL_AUDITING_CLIENT_TEMPLATE.FAT&amp;display_string=Audit&amp;VAR:KEY=SDWDKPSDYB&amp;VAR:QUERY=RkZfQ0FQRVgoQU5OLDIwMDgp&amp;WINDOW=FIRST_POPUP&amp;HEIGHT=450&amp;WIDTH=450&amp;START_MAXIMIZED=FALS","E&amp;VAR:CALENDAR=FIVEDAY&amp;VAR:SYMBOL=B4YCDF&amp;VAR:INDEX=0"}</definedName>
    <definedName name="_791__FDSAUDITLINK__" localSheetId="8" hidden="1">{"fdsup://directions/FAT Viewer?action=UPDATE&amp;creator=factset&amp;DYN_ARGS=TRUE&amp;DOC_NAME=FAT:FQL_AUDITING_CLIENT_TEMPLATE.FAT&amp;display_string=Audit&amp;VAR:KEY=RGDKDCNMRI&amp;VAR:QUERY=RkZfTkVUX0lOQyhBTk4sMjAwOSk=&amp;WINDOW=FIRST_POPUP&amp;HEIGHT=450&amp;WIDTH=450&amp;START_MAXIMIZED=","FALSE&amp;VAR:CALENDAR=FIVEDAY&amp;VAR:SYMBOL=B4YCDF&amp;VAR:INDEX=0"}</definedName>
    <definedName name="_791__FDSAUDITLINK__" hidden="1">{"fdsup://directions/FAT Viewer?action=UPDATE&amp;creator=factset&amp;DYN_ARGS=TRUE&amp;DOC_NAME=FAT:FQL_AUDITING_CLIENT_TEMPLATE.FAT&amp;display_string=Audit&amp;VAR:KEY=RGDKDCNMRI&amp;VAR:QUERY=RkZfTkVUX0lOQyhBTk4sMjAwOSk=&amp;WINDOW=FIRST_POPUP&amp;HEIGHT=450&amp;WIDTH=450&amp;START_MAXIMIZED=","FALSE&amp;VAR:CALENDAR=FIVEDAY&amp;VAR:SYMBOL=B4YCDF&amp;VAR:INDEX=0"}</definedName>
    <definedName name="_791__FDSAUDITLINK___1" localSheetId="8" hidden="1">{"fdsup://directions/FAT Viewer?action=UPDATE&amp;creator=factset&amp;DYN_ARGS=TRUE&amp;DOC_NAME=FAT:FQL_AUDITING_CLIENT_TEMPLATE.FAT&amp;display_string=Audit&amp;VAR:KEY=RGDKDCNMRI&amp;VAR:QUERY=RkZfTkVUX0lOQyhBTk4sMjAwOSk=&amp;WINDOW=FIRST_POPUP&amp;HEIGHT=450&amp;WIDTH=450&amp;START_MAXIMIZED=","FALSE&amp;VAR:CALENDAR=FIVEDAY&amp;VAR:SYMBOL=B4YCDF&amp;VAR:INDEX=0"}</definedName>
    <definedName name="_791__FDSAUDITLINK___1" hidden="1">{"fdsup://directions/FAT Viewer?action=UPDATE&amp;creator=factset&amp;DYN_ARGS=TRUE&amp;DOC_NAME=FAT:FQL_AUDITING_CLIENT_TEMPLATE.FAT&amp;display_string=Audit&amp;VAR:KEY=RGDKDCNMRI&amp;VAR:QUERY=RkZfTkVUX0lOQyhBTk4sMjAwOSk=&amp;WINDOW=FIRST_POPUP&amp;HEIGHT=450&amp;WIDTH=450&amp;START_MAXIMIZED=","FALSE&amp;VAR:CALENDAR=FIVEDAY&amp;VAR:SYMBOL=B4YCDF&amp;VAR:INDEX=0"}</definedName>
    <definedName name="_792__FDSAUDITLINK__" localSheetId="8" hidden="1">{"fdsup://directions/FAT Viewer?action=UPDATE&amp;creator=factset&amp;DYN_ARGS=TRUE&amp;DOC_NAME=FAT:FQL_AUDITING_CLIENT_TEMPLATE.FAT&amp;display_string=Audit&amp;VAR:KEY=HUFQVITOJY&amp;VAR:QUERY=RkZfRU5UUlBSX1ZBTF9EQUlMWSgwLCwsLCwnRElMJyk=&amp;WINDOW=FIRST_POPUP&amp;HEIGHT=450&amp;WIDTH=450&amp;","START_MAXIMIZED=FALSE&amp;VAR:CALENDAR=FIVEDAY&amp;VAR:SYMBOL=B08559&amp;VAR:INDEX=0"}</definedName>
    <definedName name="_792__FDSAUDITLINK__" hidden="1">{"fdsup://directions/FAT Viewer?action=UPDATE&amp;creator=factset&amp;DYN_ARGS=TRUE&amp;DOC_NAME=FAT:FQL_AUDITING_CLIENT_TEMPLATE.FAT&amp;display_string=Audit&amp;VAR:KEY=HUFQVITOJY&amp;VAR:QUERY=RkZfRU5UUlBSX1ZBTF9EQUlMWSgwLCwsLCwnRElMJyk=&amp;WINDOW=FIRST_POPUP&amp;HEIGHT=450&amp;WIDTH=450&amp;","START_MAXIMIZED=FALSE&amp;VAR:CALENDAR=FIVEDAY&amp;VAR:SYMBOL=B08559&amp;VAR:INDEX=0"}</definedName>
    <definedName name="_792__FDSAUDITLINK___1" localSheetId="8" hidden="1">{"fdsup://directions/FAT Viewer?action=UPDATE&amp;creator=factset&amp;DYN_ARGS=TRUE&amp;DOC_NAME=FAT:FQL_AUDITING_CLIENT_TEMPLATE.FAT&amp;display_string=Audit&amp;VAR:KEY=HUFQVITOJY&amp;VAR:QUERY=RkZfRU5UUlBSX1ZBTF9EQUlMWSgwLCwsLCwnRElMJyk=&amp;WINDOW=FIRST_POPUP&amp;HEIGHT=450&amp;WIDTH=450&amp;","START_MAXIMIZED=FALSE&amp;VAR:CALENDAR=FIVEDAY&amp;VAR:SYMBOL=B08559&amp;VAR:INDEX=0"}</definedName>
    <definedName name="_792__FDSAUDITLINK___1" hidden="1">{"fdsup://directions/FAT Viewer?action=UPDATE&amp;creator=factset&amp;DYN_ARGS=TRUE&amp;DOC_NAME=FAT:FQL_AUDITING_CLIENT_TEMPLATE.FAT&amp;display_string=Audit&amp;VAR:KEY=HUFQVITOJY&amp;VAR:QUERY=RkZfRU5UUlBSX1ZBTF9EQUlMWSgwLCwsLCwnRElMJyk=&amp;WINDOW=FIRST_POPUP&amp;HEIGHT=450&amp;WIDTH=450&amp;","START_MAXIMIZED=FALSE&amp;VAR:CALENDAR=FIVEDAY&amp;VAR:SYMBOL=B08559&amp;VAR:INDEX=0"}</definedName>
    <definedName name="_793__FDSAUDITLINK__" localSheetId="8" hidden="1">{"fdsup://Directions/FactSet Auditing Viewer?action=AUDIT_VALUE&amp;DB=129&amp;ID1=B08559&amp;VALUEID=01001&amp;SDATE=2008&amp;PERIODTYPE=ANN_STD&amp;SCFT=3&amp;window=popup_no_bar&amp;width=385&amp;height=120&amp;START_MAXIMIZED=FALSE&amp;creator=factset&amp;display_string=Audit"}</definedName>
    <definedName name="_793__FDSAUDITLINK__" hidden="1">{"fdsup://Directions/FactSet Auditing Viewer?action=AUDIT_VALUE&amp;DB=129&amp;ID1=B08559&amp;VALUEID=01001&amp;SDATE=2008&amp;PERIODTYPE=ANN_STD&amp;SCFT=3&amp;window=popup_no_bar&amp;width=385&amp;height=120&amp;START_MAXIMIZED=FALSE&amp;creator=factset&amp;display_string=Audit"}</definedName>
    <definedName name="_793__FDSAUDITLINK___1" localSheetId="8" hidden="1">{"fdsup://Directions/FactSet Auditing Viewer?action=AUDIT_VALUE&amp;DB=129&amp;ID1=B08559&amp;VALUEID=01001&amp;SDATE=2008&amp;PERIODTYPE=ANN_STD&amp;SCFT=3&amp;window=popup_no_bar&amp;width=385&amp;height=120&amp;START_MAXIMIZED=FALSE&amp;creator=factset&amp;display_string=Audit"}</definedName>
    <definedName name="_793__FDSAUDITLINK___1" hidden="1">{"fdsup://Directions/FactSet Auditing Viewer?action=AUDIT_VALUE&amp;DB=129&amp;ID1=B08559&amp;VALUEID=01001&amp;SDATE=2008&amp;PERIODTYPE=ANN_STD&amp;SCFT=3&amp;window=popup_no_bar&amp;width=385&amp;height=120&amp;START_MAXIMIZED=FALSE&amp;creator=factset&amp;display_string=Audit"}</definedName>
    <definedName name="_794__FDSAUDITLINK__" localSheetId="8" hidden="1">{"fdsup://Directions/FactSet Auditing Viewer?action=AUDIT_VALUE&amp;DB=129&amp;ID1=B08559&amp;VALUEID=01001&amp;SDATE=2010&amp;PERIODTYPE=ANN_STD&amp;SCFT=3&amp;window=popup_no_bar&amp;width=385&amp;height=120&amp;START_MAXIMIZED=FALSE&amp;creator=factset&amp;display_string=Audit"}</definedName>
    <definedName name="_794__FDSAUDITLINK__" hidden="1">{"fdsup://Directions/FactSet Auditing Viewer?action=AUDIT_VALUE&amp;DB=129&amp;ID1=B08559&amp;VALUEID=01001&amp;SDATE=2010&amp;PERIODTYPE=ANN_STD&amp;SCFT=3&amp;window=popup_no_bar&amp;width=385&amp;height=120&amp;START_MAXIMIZED=FALSE&amp;creator=factset&amp;display_string=Audit"}</definedName>
    <definedName name="_794__FDSAUDITLINK___1" localSheetId="8" hidden="1">{"fdsup://Directions/FactSet Auditing Viewer?action=AUDIT_VALUE&amp;DB=129&amp;ID1=B08559&amp;VALUEID=01001&amp;SDATE=2010&amp;PERIODTYPE=ANN_STD&amp;SCFT=3&amp;window=popup_no_bar&amp;width=385&amp;height=120&amp;START_MAXIMIZED=FALSE&amp;creator=factset&amp;display_string=Audit"}</definedName>
    <definedName name="_794__FDSAUDITLINK___1" hidden="1">{"fdsup://Directions/FactSet Auditing Viewer?action=AUDIT_VALUE&amp;DB=129&amp;ID1=B08559&amp;VALUEID=01001&amp;SDATE=2010&amp;PERIODTYPE=ANN_STD&amp;SCFT=3&amp;window=popup_no_bar&amp;width=385&amp;height=120&amp;START_MAXIMIZED=FALSE&amp;creator=factset&amp;display_string=Audit"}</definedName>
    <definedName name="_795__FDSAUDITLINK__" localSheetId="8" hidden="1">{"fdsup://directions/FAT Viewer?action=UPDATE&amp;creator=factset&amp;DYN_ARGS=TRUE&amp;DOC_NAME=FAT:FQL_AUDITING_CLIENT_TEMPLATE.FAT&amp;display_string=Audit&amp;VAR:KEY=DQDWDWBEXU&amp;VAR:QUERY=RkZfRUJJVERBX09QRVIoQU5OLDIwMDkp&amp;WINDOW=FIRST_POPUP&amp;HEIGHT=450&amp;WIDTH=450&amp;START_MAXIMI","ZED=FALSE&amp;VAR:CALENDAR=FIVEDAY&amp;VAR:SYMBOL=B08559&amp;VAR:INDEX=0"}</definedName>
    <definedName name="_795__FDSAUDITLINK__" hidden="1">{"fdsup://directions/FAT Viewer?action=UPDATE&amp;creator=factset&amp;DYN_ARGS=TRUE&amp;DOC_NAME=FAT:FQL_AUDITING_CLIENT_TEMPLATE.FAT&amp;display_string=Audit&amp;VAR:KEY=DQDWDWBEXU&amp;VAR:QUERY=RkZfRUJJVERBX09QRVIoQU5OLDIwMDkp&amp;WINDOW=FIRST_POPUP&amp;HEIGHT=450&amp;WIDTH=450&amp;START_MAXIMI","ZED=FALSE&amp;VAR:CALENDAR=FIVEDAY&amp;VAR:SYMBOL=B08559&amp;VAR:INDEX=0"}</definedName>
    <definedName name="_795__FDSAUDITLINK___1" localSheetId="8" hidden="1">{"fdsup://directions/FAT Viewer?action=UPDATE&amp;creator=factset&amp;DYN_ARGS=TRUE&amp;DOC_NAME=FAT:FQL_AUDITING_CLIENT_TEMPLATE.FAT&amp;display_string=Audit&amp;VAR:KEY=DQDWDWBEXU&amp;VAR:QUERY=RkZfRUJJVERBX09QRVIoQU5OLDIwMDkp&amp;WINDOW=FIRST_POPUP&amp;HEIGHT=450&amp;WIDTH=450&amp;START_MAXIMI","ZED=FALSE&amp;VAR:CALENDAR=FIVEDAY&amp;VAR:SYMBOL=B08559&amp;VAR:INDEX=0"}</definedName>
    <definedName name="_795__FDSAUDITLINK___1" hidden="1">{"fdsup://directions/FAT Viewer?action=UPDATE&amp;creator=factset&amp;DYN_ARGS=TRUE&amp;DOC_NAME=FAT:FQL_AUDITING_CLIENT_TEMPLATE.FAT&amp;display_string=Audit&amp;VAR:KEY=DQDWDWBEXU&amp;VAR:QUERY=RkZfRUJJVERBX09QRVIoQU5OLDIwMDkp&amp;WINDOW=FIRST_POPUP&amp;HEIGHT=450&amp;WIDTH=450&amp;START_MAXIMI","ZED=FALSE&amp;VAR:CALENDAR=FIVEDAY&amp;VAR:SYMBOL=B08559&amp;VAR:INDEX=0"}</definedName>
    <definedName name="_796__FDSAUDITLINK__" localSheetId="8" hidden="1">{"fdsup://directions/FAT Viewer?action=UPDATE&amp;creator=factset&amp;DYN_ARGS=TRUE&amp;DOC_NAME=FAT:FQL_AUDITING_CLIENT_TEMPLATE.FAT&amp;display_string=Audit&amp;VAR:KEY=LWFCBKJIBO&amp;VAR:QUERY=RkZfRUJJVERBX09QRVIoQU5OLDIwMTEp&amp;WINDOW=FIRST_POPUP&amp;HEIGHT=450&amp;WIDTH=450&amp;START_MAXIMI","ZED=FALSE&amp;VAR:CALENDAR=FIVEDAY&amp;VAR:SYMBOL=B08559&amp;VAR:INDEX=0"}</definedName>
    <definedName name="_796__FDSAUDITLINK__" hidden="1">{"fdsup://directions/FAT Viewer?action=UPDATE&amp;creator=factset&amp;DYN_ARGS=TRUE&amp;DOC_NAME=FAT:FQL_AUDITING_CLIENT_TEMPLATE.FAT&amp;display_string=Audit&amp;VAR:KEY=LWFCBKJIBO&amp;VAR:QUERY=RkZfRUJJVERBX09QRVIoQU5OLDIwMTEp&amp;WINDOW=FIRST_POPUP&amp;HEIGHT=450&amp;WIDTH=450&amp;START_MAXIMI","ZED=FALSE&amp;VAR:CALENDAR=FIVEDAY&amp;VAR:SYMBOL=B08559&amp;VAR:INDEX=0"}</definedName>
    <definedName name="_796__FDSAUDITLINK___1" localSheetId="8" hidden="1">{"fdsup://directions/FAT Viewer?action=UPDATE&amp;creator=factset&amp;DYN_ARGS=TRUE&amp;DOC_NAME=FAT:FQL_AUDITING_CLIENT_TEMPLATE.FAT&amp;display_string=Audit&amp;VAR:KEY=LWFCBKJIBO&amp;VAR:QUERY=RkZfRUJJVERBX09QRVIoQU5OLDIwMTEp&amp;WINDOW=FIRST_POPUP&amp;HEIGHT=450&amp;WIDTH=450&amp;START_MAXIMI","ZED=FALSE&amp;VAR:CALENDAR=FIVEDAY&amp;VAR:SYMBOL=B08559&amp;VAR:INDEX=0"}</definedName>
    <definedName name="_796__FDSAUDITLINK___1" hidden="1">{"fdsup://directions/FAT Viewer?action=UPDATE&amp;creator=factset&amp;DYN_ARGS=TRUE&amp;DOC_NAME=FAT:FQL_AUDITING_CLIENT_TEMPLATE.FAT&amp;display_string=Audit&amp;VAR:KEY=LWFCBKJIBO&amp;VAR:QUERY=RkZfRUJJVERBX09QRVIoQU5OLDIwMTEp&amp;WINDOW=FIRST_POPUP&amp;HEIGHT=450&amp;WIDTH=450&amp;START_MAXIMI","ZED=FALSE&amp;VAR:CALENDAR=FIVEDAY&amp;VAR:SYMBOL=B08559&amp;VAR:INDEX=0"}</definedName>
    <definedName name="_797__FDSAUDITLINK__" localSheetId="8" hidden="1">{"fdsup://directions/FAT Viewer?action=UPDATE&amp;creator=factset&amp;DYN_ARGS=TRUE&amp;DOC_NAME=FAT:FQL_AUDITING_CLIENT_TEMPLATE.FAT&amp;display_string=Audit&amp;VAR:KEY=CBEJCTMVMF&amp;VAR:QUERY=RkZfRUJJVF9PUEVSKEFOTiwyMDA4KQ==&amp;WINDOW=FIRST_POPUP&amp;HEIGHT=450&amp;WIDTH=450&amp;START_MAXIMI","ZED=FALSE&amp;VAR:CALENDAR=FIVEDAY&amp;VAR:SYMBOL=B08559&amp;VAR:INDEX=0"}</definedName>
    <definedName name="_797__FDSAUDITLINK__" hidden="1">{"fdsup://directions/FAT Viewer?action=UPDATE&amp;creator=factset&amp;DYN_ARGS=TRUE&amp;DOC_NAME=FAT:FQL_AUDITING_CLIENT_TEMPLATE.FAT&amp;display_string=Audit&amp;VAR:KEY=CBEJCTMVMF&amp;VAR:QUERY=RkZfRUJJVF9PUEVSKEFOTiwyMDA4KQ==&amp;WINDOW=FIRST_POPUP&amp;HEIGHT=450&amp;WIDTH=450&amp;START_MAXIMI","ZED=FALSE&amp;VAR:CALENDAR=FIVEDAY&amp;VAR:SYMBOL=B08559&amp;VAR:INDEX=0"}</definedName>
    <definedName name="_797__FDSAUDITLINK___1" localSheetId="8" hidden="1">{"fdsup://directions/FAT Viewer?action=UPDATE&amp;creator=factset&amp;DYN_ARGS=TRUE&amp;DOC_NAME=FAT:FQL_AUDITING_CLIENT_TEMPLATE.FAT&amp;display_string=Audit&amp;VAR:KEY=CBEJCTMVMF&amp;VAR:QUERY=RkZfRUJJVF9PUEVSKEFOTiwyMDA4KQ==&amp;WINDOW=FIRST_POPUP&amp;HEIGHT=450&amp;WIDTH=450&amp;START_MAXIMI","ZED=FALSE&amp;VAR:CALENDAR=FIVEDAY&amp;VAR:SYMBOL=B08559&amp;VAR:INDEX=0"}</definedName>
    <definedName name="_797__FDSAUDITLINK___1" hidden="1">{"fdsup://directions/FAT Viewer?action=UPDATE&amp;creator=factset&amp;DYN_ARGS=TRUE&amp;DOC_NAME=FAT:FQL_AUDITING_CLIENT_TEMPLATE.FAT&amp;display_string=Audit&amp;VAR:KEY=CBEJCTMVMF&amp;VAR:QUERY=RkZfRUJJVF9PUEVSKEFOTiwyMDA4KQ==&amp;WINDOW=FIRST_POPUP&amp;HEIGHT=450&amp;WIDTH=450&amp;START_MAXIMI","ZED=FALSE&amp;VAR:CALENDAR=FIVEDAY&amp;VAR:SYMBOL=B08559&amp;VAR:INDEX=0"}</definedName>
    <definedName name="_798__FDSAUDITLINK__" localSheetId="8" hidden="1">{"fdsup://directions/FAT Viewer?action=UPDATE&amp;creator=factset&amp;DYN_ARGS=TRUE&amp;DOC_NAME=FAT:FQL_AUDITING_CLIENT_TEMPLATE.FAT&amp;display_string=Audit&amp;VAR:KEY=ATATYXGDMN&amp;VAR:QUERY=RkZfRUJJVF9PUEVSKEFOTiwyMDEwKQ==&amp;WINDOW=FIRST_POPUP&amp;HEIGHT=450&amp;WIDTH=450&amp;START_MAXIMI","ZED=FALSE&amp;VAR:CALENDAR=FIVEDAY&amp;VAR:SYMBOL=B08559&amp;VAR:INDEX=0"}</definedName>
    <definedName name="_798__FDSAUDITLINK__" hidden="1">{"fdsup://directions/FAT Viewer?action=UPDATE&amp;creator=factset&amp;DYN_ARGS=TRUE&amp;DOC_NAME=FAT:FQL_AUDITING_CLIENT_TEMPLATE.FAT&amp;display_string=Audit&amp;VAR:KEY=ATATYXGDMN&amp;VAR:QUERY=RkZfRUJJVF9PUEVSKEFOTiwyMDEwKQ==&amp;WINDOW=FIRST_POPUP&amp;HEIGHT=450&amp;WIDTH=450&amp;START_MAXIMI","ZED=FALSE&amp;VAR:CALENDAR=FIVEDAY&amp;VAR:SYMBOL=B08559&amp;VAR:INDEX=0"}</definedName>
    <definedName name="_798__FDSAUDITLINK___1" localSheetId="8" hidden="1">{"fdsup://directions/FAT Viewer?action=UPDATE&amp;creator=factset&amp;DYN_ARGS=TRUE&amp;DOC_NAME=FAT:FQL_AUDITING_CLIENT_TEMPLATE.FAT&amp;display_string=Audit&amp;VAR:KEY=ATATYXGDMN&amp;VAR:QUERY=RkZfRUJJVF9PUEVSKEFOTiwyMDEwKQ==&amp;WINDOW=FIRST_POPUP&amp;HEIGHT=450&amp;WIDTH=450&amp;START_MAXIMI","ZED=FALSE&amp;VAR:CALENDAR=FIVEDAY&amp;VAR:SYMBOL=B08559&amp;VAR:INDEX=0"}</definedName>
    <definedName name="_798__FDSAUDITLINK___1" hidden="1">{"fdsup://directions/FAT Viewer?action=UPDATE&amp;creator=factset&amp;DYN_ARGS=TRUE&amp;DOC_NAME=FAT:FQL_AUDITING_CLIENT_TEMPLATE.FAT&amp;display_string=Audit&amp;VAR:KEY=ATATYXGDMN&amp;VAR:QUERY=RkZfRUJJVF9PUEVSKEFOTiwyMDEwKQ==&amp;WINDOW=FIRST_POPUP&amp;HEIGHT=450&amp;WIDTH=450&amp;START_MAXIMI","ZED=FALSE&amp;VAR:CALENDAR=FIVEDAY&amp;VAR:SYMBOL=B08559&amp;VAR:INDEX=0"}</definedName>
    <definedName name="_799__FDSAUDITLINK__" localSheetId="8" hidden="1">{"fdsup://directions/FAT Viewer?action=UPDATE&amp;creator=factset&amp;DYN_ARGS=TRUE&amp;DOC_NAME=FAT:FQL_AUDITING_CLIENT_TEMPLATE.FAT&amp;display_string=Audit&amp;VAR:KEY=GNSRIBMVYX&amp;VAR:QUERY=RkZfQ0FQRVgoQU5OLDIwMDkp&amp;WINDOW=FIRST_POPUP&amp;HEIGHT=450&amp;WIDTH=450&amp;START_MAXIMIZED=FALS","E&amp;VAR:CALENDAR=FIVEDAY&amp;VAR:SYMBOL=B08559&amp;VAR:INDEX=0"}</definedName>
    <definedName name="_799__FDSAUDITLINK__" hidden="1">{"fdsup://directions/FAT Viewer?action=UPDATE&amp;creator=factset&amp;DYN_ARGS=TRUE&amp;DOC_NAME=FAT:FQL_AUDITING_CLIENT_TEMPLATE.FAT&amp;display_string=Audit&amp;VAR:KEY=GNSRIBMVYX&amp;VAR:QUERY=RkZfQ0FQRVgoQU5OLDIwMDkp&amp;WINDOW=FIRST_POPUP&amp;HEIGHT=450&amp;WIDTH=450&amp;START_MAXIMIZED=FALS","E&amp;VAR:CALENDAR=FIVEDAY&amp;VAR:SYMBOL=B08559&amp;VAR:INDEX=0"}</definedName>
    <definedName name="_799__FDSAUDITLINK___1" localSheetId="8" hidden="1">{"fdsup://directions/FAT Viewer?action=UPDATE&amp;creator=factset&amp;DYN_ARGS=TRUE&amp;DOC_NAME=FAT:FQL_AUDITING_CLIENT_TEMPLATE.FAT&amp;display_string=Audit&amp;VAR:KEY=GNSRIBMVYX&amp;VAR:QUERY=RkZfQ0FQRVgoQU5OLDIwMDkp&amp;WINDOW=FIRST_POPUP&amp;HEIGHT=450&amp;WIDTH=450&amp;START_MAXIMIZED=FALS","E&amp;VAR:CALENDAR=FIVEDAY&amp;VAR:SYMBOL=B08559&amp;VAR:INDEX=0"}</definedName>
    <definedName name="_799__FDSAUDITLINK___1" hidden="1">{"fdsup://directions/FAT Viewer?action=UPDATE&amp;creator=factset&amp;DYN_ARGS=TRUE&amp;DOC_NAME=FAT:FQL_AUDITING_CLIENT_TEMPLATE.FAT&amp;display_string=Audit&amp;VAR:KEY=GNSRIBMVYX&amp;VAR:QUERY=RkZfQ0FQRVgoQU5OLDIwMDkp&amp;WINDOW=FIRST_POPUP&amp;HEIGHT=450&amp;WIDTH=450&amp;START_MAXIMIZED=FALS","E&amp;VAR:CALENDAR=FIVEDAY&amp;VAR:SYMBOL=B08559&amp;VAR:INDEX=0"}</definedName>
    <definedName name="_8__123Graph_ACHART_1" hidden="1">#REF!</definedName>
    <definedName name="_8__123Graph_ACHART_18" localSheetId="8" hidden="1">#REF!</definedName>
    <definedName name="_8__123Graph_ACHART_18" hidden="1">#REF!</definedName>
    <definedName name="_8__123Graph_ACHART_2" hidden="1">#REF!</definedName>
    <definedName name="_8__123Graph_AChart_3" hidden="1">#REF!</definedName>
    <definedName name="_8__123Graph_ACHART_7" localSheetId="7" hidden="1">#REF!</definedName>
    <definedName name="_8__123Graph_ACHART_7" localSheetId="8" hidden="1">#REF!</definedName>
    <definedName name="_8__123Graph_ACHART_7" hidden="1">#REF!</definedName>
    <definedName name="_8__123Graph_ACHART_8" localSheetId="8" hidden="1">#REF!</definedName>
    <definedName name="_8__123Graph_ACHART_8" hidden="1">#REF!</definedName>
    <definedName name="_8__123Graph_AGRAFICO_33" localSheetId="8" hidden="1">#REF!</definedName>
    <definedName name="_8__123Graph_AGRAFICO_33" hidden="1">#REF!</definedName>
    <definedName name="_8__123Graph_BCHART_3" hidden="1">#REF!</definedName>
    <definedName name="_8__123Graph_BGRAFICO_7" hidden="1">#REF!</definedName>
    <definedName name="_8__123Graph_CGRAFICO_20" hidden="1">#REF!</definedName>
    <definedName name="_8__123Graph_DCHART_2" hidden="1">#REF!</definedName>
    <definedName name="_8__123Graph_DGRAFICO_20" hidden="1">#REF!</definedName>
    <definedName name="_8__123Graph_LBL_ACONTRIB_II" hidden="1">#N/A</definedName>
    <definedName name="_8__123Graph_LBL_ANG_CONFRONT_INC" hidden="1">#REF!</definedName>
    <definedName name="_8__123Graph_LBL_DCHART_1" hidden="1">#REF!</definedName>
    <definedName name="_8__123Graph_XCHART_10" hidden="1">#REF!</definedName>
    <definedName name="_8__FDSAUDITLINK__" localSheetId="8" hidden="1">{"fdsup://Directions/FactSet Auditing Viewer?action=AUDIT_VALUE&amp;DB=129&amp;ID1=591344&amp;VALUEID=01001&amp;SDATE=2007&amp;PERIODTYPE=ANN_STD&amp;window=popup_no_bar&amp;width=385&amp;height=120&amp;START_MAXIMIZED=FALSE&amp;creator=factset&amp;display_string=Audit"}</definedName>
    <definedName name="_8__FDSAUDITLINK__" hidden="1">{"fdsup://Directions/FactSet Auditing Viewer?action=AUDIT_VALUE&amp;DB=129&amp;ID1=591344&amp;VALUEID=01001&amp;SDATE=2007&amp;PERIODTYPE=ANN_STD&amp;window=popup_no_bar&amp;width=385&amp;height=120&amp;START_MAXIMIZED=FALSE&amp;creator=factset&amp;display_string=Audit"}</definedName>
    <definedName name="_8__FDSAUDITLINK___1" localSheetId="8" hidden="1">{"fdsup://Directions/FactSet Auditing Viewer?action=AUDIT_VALUE&amp;DB=129&amp;ID1=591344&amp;VALUEID=01001&amp;SDATE=2007&amp;PERIODTYPE=ANN_STD&amp;window=popup_no_bar&amp;width=385&amp;height=120&amp;START_MAXIMIZED=FALSE&amp;creator=factset&amp;display_string=Audit"}</definedName>
    <definedName name="_8__FDSAUDITLINK___1" hidden="1">{"fdsup://Directions/FactSet Auditing Viewer?action=AUDIT_VALUE&amp;DB=129&amp;ID1=591344&amp;VALUEID=01001&amp;SDATE=2007&amp;PERIODTYPE=ANN_STD&amp;window=popup_no_bar&amp;width=385&amp;height=120&amp;START_MAXIMIZED=FALSE&amp;creator=factset&amp;display_string=Audit"}</definedName>
    <definedName name="_8_123Graph_ADELCO" hidden="1">#REF!</definedName>
    <definedName name="_80__123Graph_BCHART_7" hidden="1">#REF!</definedName>
    <definedName name="_80__123Graph_ECHART_31" localSheetId="8" hidden="1">#REF!</definedName>
    <definedName name="_80__123Graph_ECHART_31" hidden="1">#REF!</definedName>
    <definedName name="_80__123Graph_LBL_BCHART_4" hidden="1">#REF!</definedName>
    <definedName name="_80__FDSAUDITLINK__" localSheetId="8" hidden="1">{"fdsup://directions/FAT Viewer?action=UPDATE&amp;creator=factset&amp;DYN_ARGS=TRUE&amp;DOC_NAME=FAT:FQL_AUDITING_CLIENT_TEMPLATE.FAT&amp;display_string=Audit&amp;VAR:KEY=DWDOPUXYJU&amp;VAR:QUERY=RkZfRUJJVF9JQignQU5OJywzODgwNywsLCwnR0JQJyk=&amp;WINDOW=FIRST_POPUP&amp;HEIGHT=450&amp;WIDTH=450&amp;","START_MAXIMIZED=FALSE&amp;VAR:CALENDAR=FIVEDAY&amp;VAR:SYMBOL=092210&amp;VAR:INDEX=0"}</definedName>
    <definedName name="_80__FDSAUDITLINK__" hidden="1">{"fdsup://directions/FAT Viewer?action=UPDATE&amp;creator=factset&amp;DYN_ARGS=TRUE&amp;DOC_NAME=FAT:FQL_AUDITING_CLIENT_TEMPLATE.FAT&amp;display_string=Audit&amp;VAR:KEY=RYPQBGFIPK&amp;VAR:QUERY=RkZfRUJJVF9PUEVSKENBTCwyMDEwKQ==&amp;WINDOW=FIRST_POPUP&amp;HEIGHT=450&amp;WIDTH=450&amp;START_MAXIMI","ZED=FALSE&amp;VAR:CALENDAR=US&amp;VAR:SYMBOL=450270&amp;VAR:INDEX=0"}</definedName>
    <definedName name="_80__FDSAUDITLINK___1" localSheetId="8" hidden="1">{"fdsup://directions/FAT Viewer?action=UPDATE&amp;creator=factset&amp;DYN_ARGS=TRUE&amp;DOC_NAME=FAT:FQL_AUDITING_CLIENT_TEMPLATE.FAT&amp;display_string=Audit&amp;VAR:KEY=DWDOPUXYJU&amp;VAR:QUERY=RkZfRUJJVF9JQignQU5OJywzODgwNywsLCwnR0JQJyk=&amp;WINDOW=FIRST_POPUP&amp;HEIGHT=450&amp;WIDTH=450&amp;","START_MAXIMIZED=FALSE&amp;VAR:CALENDAR=FIVEDAY&amp;VAR:SYMBOL=092210&amp;VAR:INDEX=0"}</definedName>
    <definedName name="_80__FDSAUDITLINK___1" hidden="1">{"fdsup://directions/FAT Viewer?action=UPDATE&amp;creator=factset&amp;DYN_ARGS=TRUE&amp;DOC_NAME=FAT:FQL_AUDITING_CLIENT_TEMPLATE.FAT&amp;display_string=Audit&amp;VAR:KEY=DWDOPUXYJU&amp;VAR:QUERY=RkZfRUJJVF9JQignQU5OJywzODgwNywsLCwnR0JQJyk=&amp;WINDOW=FIRST_POPUP&amp;HEIGHT=450&amp;WIDTH=450&amp;","START_MAXIMIZED=FALSE&amp;VAR:CALENDAR=FIVEDAY&amp;VAR:SYMBOL=092210&amp;VAR:INDEX=0"}</definedName>
    <definedName name="_800__FDSAUDITLINK__" localSheetId="8" hidden="1">{"fdsup://directions/FAT Viewer?action=UPDATE&amp;creator=factset&amp;DYN_ARGS=TRUE&amp;DOC_NAME=FAT:FQL_AUDITING_CLIENT_TEMPLATE.FAT&amp;display_string=Audit&amp;VAR:KEY=QXQNYHMHCB&amp;VAR:QUERY=RkZfQ0FQRVgoQU5OLDIwMTEp&amp;WINDOW=FIRST_POPUP&amp;HEIGHT=450&amp;WIDTH=450&amp;START_MAXIMIZED=FALS","E&amp;VAR:CALENDAR=FIVEDAY&amp;VAR:SYMBOL=B08559&amp;VAR:INDEX=0"}</definedName>
    <definedName name="_800__FDSAUDITLINK__" hidden="1">{"fdsup://directions/FAT Viewer?action=UPDATE&amp;creator=factset&amp;DYN_ARGS=TRUE&amp;DOC_NAME=FAT:FQL_AUDITING_CLIENT_TEMPLATE.FAT&amp;display_string=Audit&amp;VAR:KEY=QXQNYHMHCB&amp;VAR:QUERY=RkZfQ0FQRVgoQU5OLDIwMTEp&amp;WINDOW=FIRST_POPUP&amp;HEIGHT=450&amp;WIDTH=450&amp;START_MAXIMIZED=FALS","E&amp;VAR:CALENDAR=FIVEDAY&amp;VAR:SYMBOL=B08559&amp;VAR:INDEX=0"}</definedName>
    <definedName name="_800__FDSAUDITLINK___1" localSheetId="8" hidden="1">{"fdsup://directions/FAT Viewer?action=UPDATE&amp;creator=factset&amp;DYN_ARGS=TRUE&amp;DOC_NAME=FAT:FQL_AUDITING_CLIENT_TEMPLATE.FAT&amp;display_string=Audit&amp;VAR:KEY=QXQNYHMHCB&amp;VAR:QUERY=RkZfQ0FQRVgoQU5OLDIwMTEp&amp;WINDOW=FIRST_POPUP&amp;HEIGHT=450&amp;WIDTH=450&amp;START_MAXIMIZED=FALS","E&amp;VAR:CALENDAR=FIVEDAY&amp;VAR:SYMBOL=B08559&amp;VAR:INDEX=0"}</definedName>
    <definedName name="_800__FDSAUDITLINK___1" hidden="1">{"fdsup://directions/FAT Viewer?action=UPDATE&amp;creator=factset&amp;DYN_ARGS=TRUE&amp;DOC_NAME=FAT:FQL_AUDITING_CLIENT_TEMPLATE.FAT&amp;display_string=Audit&amp;VAR:KEY=QXQNYHMHCB&amp;VAR:QUERY=RkZfQ0FQRVgoQU5OLDIwMTEp&amp;WINDOW=FIRST_POPUP&amp;HEIGHT=450&amp;WIDTH=450&amp;START_MAXIMIZED=FALS","E&amp;VAR:CALENDAR=FIVEDAY&amp;VAR:SYMBOL=B08559&amp;VAR:INDEX=0"}</definedName>
    <definedName name="_801__FDSAUDITLINK__" localSheetId="8" hidden="1">{"fdsup://directions/FAT Viewer?action=UPDATE&amp;creator=factset&amp;DYN_ARGS=TRUE&amp;DOC_NAME=FAT:FQL_AUDITING_CLIENT_TEMPLATE.FAT&amp;display_string=Audit&amp;VAR:KEY=FYJGJAXORW&amp;VAR:QUERY=RkZfTkVUX0lOQyhBTk4sMjAwOCk=&amp;WINDOW=FIRST_POPUP&amp;HEIGHT=450&amp;WIDTH=450&amp;START_MAXIMIZED=","FALSE&amp;VAR:CALENDAR=FIVEDAY&amp;VAR:SYMBOL=B08559&amp;VAR:INDEX=0"}</definedName>
    <definedName name="_801__FDSAUDITLINK__" hidden="1">{"fdsup://directions/FAT Viewer?action=UPDATE&amp;creator=factset&amp;DYN_ARGS=TRUE&amp;DOC_NAME=FAT:FQL_AUDITING_CLIENT_TEMPLATE.FAT&amp;display_string=Audit&amp;VAR:KEY=FYJGJAXORW&amp;VAR:QUERY=RkZfTkVUX0lOQyhBTk4sMjAwOCk=&amp;WINDOW=FIRST_POPUP&amp;HEIGHT=450&amp;WIDTH=450&amp;START_MAXIMIZED=","FALSE&amp;VAR:CALENDAR=FIVEDAY&amp;VAR:SYMBOL=B08559&amp;VAR:INDEX=0"}</definedName>
    <definedName name="_801__FDSAUDITLINK___1" localSheetId="8" hidden="1">{"fdsup://directions/FAT Viewer?action=UPDATE&amp;creator=factset&amp;DYN_ARGS=TRUE&amp;DOC_NAME=FAT:FQL_AUDITING_CLIENT_TEMPLATE.FAT&amp;display_string=Audit&amp;VAR:KEY=FYJGJAXORW&amp;VAR:QUERY=RkZfTkVUX0lOQyhBTk4sMjAwOCk=&amp;WINDOW=FIRST_POPUP&amp;HEIGHT=450&amp;WIDTH=450&amp;START_MAXIMIZED=","FALSE&amp;VAR:CALENDAR=FIVEDAY&amp;VAR:SYMBOL=B08559&amp;VAR:INDEX=0"}</definedName>
    <definedName name="_801__FDSAUDITLINK___1" hidden="1">{"fdsup://directions/FAT Viewer?action=UPDATE&amp;creator=factset&amp;DYN_ARGS=TRUE&amp;DOC_NAME=FAT:FQL_AUDITING_CLIENT_TEMPLATE.FAT&amp;display_string=Audit&amp;VAR:KEY=FYJGJAXORW&amp;VAR:QUERY=RkZfTkVUX0lOQyhBTk4sMjAwOCk=&amp;WINDOW=FIRST_POPUP&amp;HEIGHT=450&amp;WIDTH=450&amp;START_MAXIMIZED=","FALSE&amp;VAR:CALENDAR=FIVEDAY&amp;VAR:SYMBOL=B08559&amp;VAR:INDEX=0"}</definedName>
    <definedName name="_802__FDSAUDITLINK__" localSheetId="8" hidden="1">{"fdsup://directions/FAT Viewer?action=UPDATE&amp;creator=factset&amp;DYN_ARGS=TRUE&amp;DOC_NAME=FAT:FQL_AUDITING_CLIENT_TEMPLATE.FAT&amp;display_string=Audit&amp;VAR:KEY=HQPIVAZKDI&amp;VAR:QUERY=RkZfTkVUX0lOQyhBTk4sMjAxMCk=&amp;WINDOW=FIRST_POPUP&amp;HEIGHT=450&amp;WIDTH=450&amp;START_MAXIMIZED=","FALSE&amp;VAR:CALENDAR=FIVEDAY&amp;VAR:SYMBOL=B08559&amp;VAR:INDEX=0"}</definedName>
    <definedName name="_802__FDSAUDITLINK__" hidden="1">{"fdsup://directions/FAT Viewer?action=UPDATE&amp;creator=factset&amp;DYN_ARGS=TRUE&amp;DOC_NAME=FAT:FQL_AUDITING_CLIENT_TEMPLATE.FAT&amp;display_string=Audit&amp;VAR:KEY=HQPIVAZKDI&amp;VAR:QUERY=RkZfTkVUX0lOQyhBTk4sMjAxMCk=&amp;WINDOW=FIRST_POPUP&amp;HEIGHT=450&amp;WIDTH=450&amp;START_MAXIMIZED=","FALSE&amp;VAR:CALENDAR=FIVEDAY&amp;VAR:SYMBOL=B08559&amp;VAR:INDEX=0"}</definedName>
    <definedName name="_802__FDSAUDITLINK___1" localSheetId="8" hidden="1">{"fdsup://directions/FAT Viewer?action=UPDATE&amp;creator=factset&amp;DYN_ARGS=TRUE&amp;DOC_NAME=FAT:FQL_AUDITING_CLIENT_TEMPLATE.FAT&amp;display_string=Audit&amp;VAR:KEY=HQPIVAZKDI&amp;VAR:QUERY=RkZfTkVUX0lOQyhBTk4sMjAxMCk=&amp;WINDOW=FIRST_POPUP&amp;HEIGHT=450&amp;WIDTH=450&amp;START_MAXIMIZED=","FALSE&amp;VAR:CALENDAR=FIVEDAY&amp;VAR:SYMBOL=B08559&amp;VAR:INDEX=0"}</definedName>
    <definedName name="_802__FDSAUDITLINK___1" hidden="1">{"fdsup://directions/FAT Viewer?action=UPDATE&amp;creator=factset&amp;DYN_ARGS=TRUE&amp;DOC_NAME=FAT:FQL_AUDITING_CLIENT_TEMPLATE.FAT&amp;display_string=Audit&amp;VAR:KEY=HQPIVAZKDI&amp;VAR:QUERY=RkZfTkVUX0lOQyhBTk4sMjAxMCk=&amp;WINDOW=FIRST_POPUP&amp;HEIGHT=450&amp;WIDTH=450&amp;START_MAXIMIZED=","FALSE&amp;VAR:CALENDAR=FIVEDAY&amp;VAR:SYMBOL=B08559&amp;VAR:INDEX=0"}</definedName>
    <definedName name="_803__FDSAUDITLINK__" localSheetId="8" hidden="1">{"fdsup://Directions/FactSet Auditing Viewer?action=AUDIT_VALUE&amp;DB=129&amp;ID1=B282YM&amp;VALUEID=01001&amp;SDATE=2009&amp;PERIODTYPE=ANN_STD&amp;SCFT=3&amp;window=popup_no_bar&amp;width=385&amp;height=120&amp;START_MAXIMIZED=FALSE&amp;creator=factset&amp;display_string=Audit"}</definedName>
    <definedName name="_803__FDSAUDITLINK__" hidden="1">{"fdsup://Directions/FactSet Auditing Viewer?action=AUDIT_VALUE&amp;DB=129&amp;ID1=B282YM&amp;VALUEID=01001&amp;SDATE=2009&amp;PERIODTYPE=ANN_STD&amp;SCFT=3&amp;window=popup_no_bar&amp;width=385&amp;height=120&amp;START_MAXIMIZED=FALSE&amp;creator=factset&amp;display_string=Audit"}</definedName>
    <definedName name="_803__FDSAUDITLINK___1" localSheetId="8" hidden="1">{"fdsup://Directions/FactSet Auditing Viewer?action=AUDIT_VALUE&amp;DB=129&amp;ID1=B282YM&amp;VALUEID=01001&amp;SDATE=2009&amp;PERIODTYPE=ANN_STD&amp;SCFT=3&amp;window=popup_no_bar&amp;width=385&amp;height=120&amp;START_MAXIMIZED=FALSE&amp;creator=factset&amp;display_string=Audit"}</definedName>
    <definedName name="_803__FDSAUDITLINK___1" hidden="1">{"fdsup://Directions/FactSet Auditing Viewer?action=AUDIT_VALUE&amp;DB=129&amp;ID1=B282YM&amp;VALUEID=01001&amp;SDATE=2009&amp;PERIODTYPE=ANN_STD&amp;SCFT=3&amp;window=popup_no_bar&amp;width=385&amp;height=120&amp;START_MAXIMIZED=FALSE&amp;creator=factset&amp;display_string=Audit"}</definedName>
    <definedName name="_804__FDSAUDITLINK__" localSheetId="8" hidden="1">{"fdsup://Directions/FactSet Auditing Viewer?action=AUDIT_VALUE&amp;DB=129&amp;ID1=B282YM&amp;VALUEID=01001&amp;SDATE=2011&amp;PERIODTYPE=ANN_STD&amp;SCFT=3&amp;window=popup_no_bar&amp;width=385&amp;height=120&amp;START_MAXIMIZED=FALSE&amp;creator=factset&amp;display_string=Audit"}</definedName>
    <definedName name="_804__FDSAUDITLINK__" hidden="1">{"fdsup://Directions/FactSet Auditing Viewer?action=AUDIT_VALUE&amp;DB=129&amp;ID1=B282YM&amp;VALUEID=01001&amp;SDATE=2011&amp;PERIODTYPE=ANN_STD&amp;SCFT=3&amp;window=popup_no_bar&amp;width=385&amp;height=120&amp;START_MAXIMIZED=FALSE&amp;creator=factset&amp;display_string=Audit"}</definedName>
    <definedName name="_804__FDSAUDITLINK___1" localSheetId="8" hidden="1">{"fdsup://Directions/FactSet Auditing Viewer?action=AUDIT_VALUE&amp;DB=129&amp;ID1=B282YM&amp;VALUEID=01001&amp;SDATE=2011&amp;PERIODTYPE=ANN_STD&amp;SCFT=3&amp;window=popup_no_bar&amp;width=385&amp;height=120&amp;START_MAXIMIZED=FALSE&amp;creator=factset&amp;display_string=Audit"}</definedName>
    <definedName name="_804__FDSAUDITLINK___1" hidden="1">{"fdsup://Directions/FactSet Auditing Viewer?action=AUDIT_VALUE&amp;DB=129&amp;ID1=B282YM&amp;VALUEID=01001&amp;SDATE=2011&amp;PERIODTYPE=ANN_STD&amp;SCFT=3&amp;window=popup_no_bar&amp;width=385&amp;height=120&amp;START_MAXIMIZED=FALSE&amp;creator=factset&amp;display_string=Audit"}</definedName>
    <definedName name="_805__FDSAUDITLINK__" localSheetId="8" hidden="1">{"fdsup://directions/FAT Viewer?action=UPDATE&amp;creator=factset&amp;DYN_ARGS=TRUE&amp;DOC_NAME=FAT:FQL_AUDITING_CLIENT_TEMPLATE.FAT&amp;display_string=Audit&amp;VAR:KEY=FEHERKDKNA&amp;VAR:QUERY=RkZfRUJJVERBX09QRVIoQU5OLDIwMDgp&amp;WINDOW=FIRST_POPUP&amp;HEIGHT=450&amp;WIDTH=450&amp;START_MAXIMI","ZED=FALSE&amp;VAR:CALENDAR=FIVEDAY&amp;VAR:SYMBOL=B282YM&amp;VAR:INDEX=0"}</definedName>
    <definedName name="_805__FDSAUDITLINK__" hidden="1">{"fdsup://directions/FAT Viewer?action=UPDATE&amp;creator=factset&amp;DYN_ARGS=TRUE&amp;DOC_NAME=FAT:FQL_AUDITING_CLIENT_TEMPLATE.FAT&amp;display_string=Audit&amp;VAR:KEY=FEHERKDKNA&amp;VAR:QUERY=RkZfRUJJVERBX09QRVIoQU5OLDIwMDgp&amp;WINDOW=FIRST_POPUP&amp;HEIGHT=450&amp;WIDTH=450&amp;START_MAXIMI","ZED=FALSE&amp;VAR:CALENDAR=FIVEDAY&amp;VAR:SYMBOL=B282YM&amp;VAR:INDEX=0"}</definedName>
    <definedName name="_805__FDSAUDITLINK___1" localSheetId="8" hidden="1">{"fdsup://directions/FAT Viewer?action=UPDATE&amp;creator=factset&amp;DYN_ARGS=TRUE&amp;DOC_NAME=FAT:FQL_AUDITING_CLIENT_TEMPLATE.FAT&amp;display_string=Audit&amp;VAR:KEY=FEHERKDKNA&amp;VAR:QUERY=RkZfRUJJVERBX09QRVIoQU5OLDIwMDgp&amp;WINDOW=FIRST_POPUP&amp;HEIGHT=450&amp;WIDTH=450&amp;START_MAXIMI","ZED=FALSE&amp;VAR:CALENDAR=FIVEDAY&amp;VAR:SYMBOL=B282YM&amp;VAR:INDEX=0"}</definedName>
    <definedName name="_805__FDSAUDITLINK___1" hidden="1">{"fdsup://directions/FAT Viewer?action=UPDATE&amp;creator=factset&amp;DYN_ARGS=TRUE&amp;DOC_NAME=FAT:FQL_AUDITING_CLIENT_TEMPLATE.FAT&amp;display_string=Audit&amp;VAR:KEY=FEHERKDKNA&amp;VAR:QUERY=RkZfRUJJVERBX09QRVIoQU5OLDIwMDgp&amp;WINDOW=FIRST_POPUP&amp;HEIGHT=450&amp;WIDTH=450&amp;START_MAXIMI","ZED=FALSE&amp;VAR:CALENDAR=FIVEDAY&amp;VAR:SYMBOL=B282YM&amp;VAR:INDEX=0"}</definedName>
    <definedName name="_806__FDSAUDITLINK__" localSheetId="8" hidden="1">{"fdsup://directions/FAT Viewer?action=UPDATE&amp;creator=factset&amp;DYN_ARGS=TRUE&amp;DOC_NAME=FAT:FQL_AUDITING_CLIENT_TEMPLATE.FAT&amp;display_string=Audit&amp;VAR:KEY=AVIRKHOJOV&amp;VAR:QUERY=RkZfRUJJVERBX09QRVIoQU5OLDIwMTAp&amp;WINDOW=FIRST_POPUP&amp;HEIGHT=450&amp;WIDTH=450&amp;START_MAXIMI","ZED=FALSE&amp;VAR:CALENDAR=FIVEDAY&amp;VAR:SYMBOL=B282YM&amp;VAR:INDEX=0"}</definedName>
    <definedName name="_806__FDSAUDITLINK__" hidden="1">{"fdsup://directions/FAT Viewer?action=UPDATE&amp;creator=factset&amp;DYN_ARGS=TRUE&amp;DOC_NAME=FAT:FQL_AUDITING_CLIENT_TEMPLATE.FAT&amp;display_string=Audit&amp;VAR:KEY=AVIRKHOJOV&amp;VAR:QUERY=RkZfRUJJVERBX09QRVIoQU5OLDIwMTAp&amp;WINDOW=FIRST_POPUP&amp;HEIGHT=450&amp;WIDTH=450&amp;START_MAXIMI","ZED=FALSE&amp;VAR:CALENDAR=FIVEDAY&amp;VAR:SYMBOL=B282YM&amp;VAR:INDEX=0"}</definedName>
    <definedName name="_806__FDSAUDITLINK___1" localSheetId="8" hidden="1">{"fdsup://directions/FAT Viewer?action=UPDATE&amp;creator=factset&amp;DYN_ARGS=TRUE&amp;DOC_NAME=FAT:FQL_AUDITING_CLIENT_TEMPLATE.FAT&amp;display_string=Audit&amp;VAR:KEY=AVIRKHOJOV&amp;VAR:QUERY=RkZfRUJJVERBX09QRVIoQU5OLDIwMTAp&amp;WINDOW=FIRST_POPUP&amp;HEIGHT=450&amp;WIDTH=450&amp;START_MAXIMI","ZED=FALSE&amp;VAR:CALENDAR=FIVEDAY&amp;VAR:SYMBOL=B282YM&amp;VAR:INDEX=0"}</definedName>
    <definedName name="_806__FDSAUDITLINK___1" hidden="1">{"fdsup://directions/FAT Viewer?action=UPDATE&amp;creator=factset&amp;DYN_ARGS=TRUE&amp;DOC_NAME=FAT:FQL_AUDITING_CLIENT_TEMPLATE.FAT&amp;display_string=Audit&amp;VAR:KEY=AVIRKHOJOV&amp;VAR:QUERY=RkZfRUJJVERBX09QRVIoQU5OLDIwMTAp&amp;WINDOW=FIRST_POPUP&amp;HEIGHT=450&amp;WIDTH=450&amp;START_MAXIMI","ZED=FALSE&amp;VAR:CALENDAR=FIVEDAY&amp;VAR:SYMBOL=B282YM&amp;VAR:INDEX=0"}</definedName>
    <definedName name="_807__FDSAUDITLINK__" localSheetId="8" hidden="1">{"fdsup://directions/FAT Viewer?action=UPDATE&amp;creator=factset&amp;DYN_ARGS=TRUE&amp;DOC_NAME=FAT:FQL_AUDITING_CLIENT_TEMPLATE.FAT&amp;display_string=Audit&amp;VAR:KEY=UPYTAXUBCX&amp;VAR:QUERY=RkZfRUJJVF9PUEVSKEFOTiwyMDA5KQ==&amp;WINDOW=FIRST_POPUP&amp;HEIGHT=450&amp;WIDTH=450&amp;START_MAXIMI","ZED=FALSE&amp;VAR:CALENDAR=FIVEDAY&amp;VAR:SYMBOL=B282YM&amp;VAR:INDEX=0"}</definedName>
    <definedName name="_807__FDSAUDITLINK__" hidden="1">{"fdsup://directions/FAT Viewer?action=UPDATE&amp;creator=factset&amp;DYN_ARGS=TRUE&amp;DOC_NAME=FAT:FQL_AUDITING_CLIENT_TEMPLATE.FAT&amp;display_string=Audit&amp;VAR:KEY=UPYTAXUBCX&amp;VAR:QUERY=RkZfRUJJVF9PUEVSKEFOTiwyMDA5KQ==&amp;WINDOW=FIRST_POPUP&amp;HEIGHT=450&amp;WIDTH=450&amp;START_MAXIMI","ZED=FALSE&amp;VAR:CALENDAR=FIVEDAY&amp;VAR:SYMBOL=B282YM&amp;VAR:INDEX=0"}</definedName>
    <definedName name="_807__FDSAUDITLINK___1" localSheetId="8" hidden="1">{"fdsup://directions/FAT Viewer?action=UPDATE&amp;creator=factset&amp;DYN_ARGS=TRUE&amp;DOC_NAME=FAT:FQL_AUDITING_CLIENT_TEMPLATE.FAT&amp;display_string=Audit&amp;VAR:KEY=UPYTAXUBCX&amp;VAR:QUERY=RkZfRUJJVF9PUEVSKEFOTiwyMDA5KQ==&amp;WINDOW=FIRST_POPUP&amp;HEIGHT=450&amp;WIDTH=450&amp;START_MAXIMI","ZED=FALSE&amp;VAR:CALENDAR=FIVEDAY&amp;VAR:SYMBOL=B282YM&amp;VAR:INDEX=0"}</definedName>
    <definedName name="_807__FDSAUDITLINK___1" hidden="1">{"fdsup://directions/FAT Viewer?action=UPDATE&amp;creator=factset&amp;DYN_ARGS=TRUE&amp;DOC_NAME=FAT:FQL_AUDITING_CLIENT_TEMPLATE.FAT&amp;display_string=Audit&amp;VAR:KEY=UPYTAXUBCX&amp;VAR:QUERY=RkZfRUJJVF9PUEVSKEFOTiwyMDA5KQ==&amp;WINDOW=FIRST_POPUP&amp;HEIGHT=450&amp;WIDTH=450&amp;START_MAXIMI","ZED=FALSE&amp;VAR:CALENDAR=FIVEDAY&amp;VAR:SYMBOL=B282YM&amp;VAR:INDEX=0"}</definedName>
    <definedName name="_808__FDSAUDITLINK__" localSheetId="8" hidden="1">{"fdsup://directions/FAT Viewer?action=UPDATE&amp;creator=factset&amp;DYN_ARGS=TRUE&amp;DOC_NAME=FAT:FQL_AUDITING_CLIENT_TEMPLATE.FAT&amp;display_string=Audit&amp;VAR:KEY=TGFCTCBUXC&amp;VAR:QUERY=RkZfRUJJVF9PUEVSKEFOTiwyMDEwKQ==&amp;WINDOW=FIRST_POPUP&amp;HEIGHT=450&amp;WIDTH=450&amp;START_MAXIMI","ZED=FALSE&amp;VAR:CALENDAR=FIVEDAY&amp;VAR:SYMBOL=B282YM&amp;VAR:INDEX=0"}</definedName>
    <definedName name="_808__FDSAUDITLINK__" hidden="1">{"fdsup://directions/FAT Viewer?action=UPDATE&amp;creator=factset&amp;DYN_ARGS=TRUE&amp;DOC_NAME=FAT:FQL_AUDITING_CLIENT_TEMPLATE.FAT&amp;display_string=Audit&amp;VAR:KEY=TGFCTCBUXC&amp;VAR:QUERY=RkZfRUJJVF9PUEVSKEFOTiwyMDEwKQ==&amp;WINDOW=FIRST_POPUP&amp;HEIGHT=450&amp;WIDTH=450&amp;START_MAXIMI","ZED=FALSE&amp;VAR:CALENDAR=FIVEDAY&amp;VAR:SYMBOL=B282YM&amp;VAR:INDEX=0"}</definedName>
    <definedName name="_808__FDSAUDITLINK___1" localSheetId="8" hidden="1">{"fdsup://directions/FAT Viewer?action=UPDATE&amp;creator=factset&amp;DYN_ARGS=TRUE&amp;DOC_NAME=FAT:FQL_AUDITING_CLIENT_TEMPLATE.FAT&amp;display_string=Audit&amp;VAR:KEY=TGFCTCBUXC&amp;VAR:QUERY=RkZfRUJJVF9PUEVSKEFOTiwyMDEwKQ==&amp;WINDOW=FIRST_POPUP&amp;HEIGHT=450&amp;WIDTH=450&amp;START_MAXIMI","ZED=FALSE&amp;VAR:CALENDAR=FIVEDAY&amp;VAR:SYMBOL=B282YM&amp;VAR:INDEX=0"}</definedName>
    <definedName name="_808__FDSAUDITLINK___1" hidden="1">{"fdsup://directions/FAT Viewer?action=UPDATE&amp;creator=factset&amp;DYN_ARGS=TRUE&amp;DOC_NAME=FAT:FQL_AUDITING_CLIENT_TEMPLATE.FAT&amp;display_string=Audit&amp;VAR:KEY=TGFCTCBUXC&amp;VAR:QUERY=RkZfRUJJVF9PUEVSKEFOTiwyMDEwKQ==&amp;WINDOW=FIRST_POPUP&amp;HEIGHT=450&amp;WIDTH=450&amp;START_MAXIMI","ZED=FALSE&amp;VAR:CALENDAR=FIVEDAY&amp;VAR:SYMBOL=B282YM&amp;VAR:INDEX=0"}</definedName>
    <definedName name="_809__FDSAUDITLINK__" localSheetId="8" hidden="1">{"fdsup://directions/FAT Viewer?action=UPDATE&amp;creator=factset&amp;DYN_ARGS=TRUE&amp;DOC_NAME=FAT:FQL_AUDITING_CLIENT_TEMPLATE.FAT&amp;display_string=Audit&amp;VAR:KEY=ANGNUXCPIX&amp;VAR:QUERY=RkZfQ0FQRVgoQU5OLDIwMDgp&amp;WINDOW=FIRST_POPUP&amp;HEIGHT=450&amp;WIDTH=450&amp;START_MAXIMIZED=FALS","E&amp;VAR:CALENDAR=FIVEDAY&amp;VAR:SYMBOL=B282YM&amp;VAR:INDEX=0"}</definedName>
    <definedName name="_809__FDSAUDITLINK__" hidden="1">{"fdsup://directions/FAT Viewer?action=UPDATE&amp;creator=factset&amp;DYN_ARGS=TRUE&amp;DOC_NAME=FAT:FQL_AUDITING_CLIENT_TEMPLATE.FAT&amp;display_string=Audit&amp;VAR:KEY=ANGNUXCPIX&amp;VAR:QUERY=RkZfQ0FQRVgoQU5OLDIwMDgp&amp;WINDOW=FIRST_POPUP&amp;HEIGHT=450&amp;WIDTH=450&amp;START_MAXIMIZED=FALS","E&amp;VAR:CALENDAR=FIVEDAY&amp;VAR:SYMBOL=B282YM&amp;VAR:INDEX=0"}</definedName>
    <definedName name="_809__FDSAUDITLINK___1" localSheetId="8" hidden="1">{"fdsup://directions/FAT Viewer?action=UPDATE&amp;creator=factset&amp;DYN_ARGS=TRUE&amp;DOC_NAME=FAT:FQL_AUDITING_CLIENT_TEMPLATE.FAT&amp;display_string=Audit&amp;VAR:KEY=ANGNUXCPIX&amp;VAR:QUERY=RkZfQ0FQRVgoQU5OLDIwMDgp&amp;WINDOW=FIRST_POPUP&amp;HEIGHT=450&amp;WIDTH=450&amp;START_MAXIMIZED=FALS","E&amp;VAR:CALENDAR=FIVEDAY&amp;VAR:SYMBOL=B282YM&amp;VAR:INDEX=0"}</definedName>
    <definedName name="_809__FDSAUDITLINK___1" hidden="1">{"fdsup://directions/FAT Viewer?action=UPDATE&amp;creator=factset&amp;DYN_ARGS=TRUE&amp;DOC_NAME=FAT:FQL_AUDITING_CLIENT_TEMPLATE.FAT&amp;display_string=Audit&amp;VAR:KEY=ANGNUXCPIX&amp;VAR:QUERY=RkZfQ0FQRVgoQU5OLDIwMDgp&amp;WINDOW=FIRST_POPUP&amp;HEIGHT=450&amp;WIDTH=450&amp;START_MAXIMIZED=FALS","E&amp;VAR:CALENDAR=FIVEDAY&amp;VAR:SYMBOL=B282YM&amp;VAR:INDEX=0"}</definedName>
    <definedName name="_81__123Graph_BCHART_8" hidden="1">#REF!</definedName>
    <definedName name="_81__123Graph_ECHART_32" localSheetId="8" hidden="1">#REF!</definedName>
    <definedName name="_81__123Graph_ECHART_32" hidden="1">#REF!</definedName>
    <definedName name="_81__123Graph_LBL_BCHART_7" hidden="1">#REF!</definedName>
    <definedName name="_81__FDSAUDITLINK__" localSheetId="8" hidden="1">{"fdsup://directions/FAT Viewer?action=UPDATE&amp;creator=factset&amp;DYN_ARGS=TRUE&amp;DOC_NAME=FAT:FQL_AUDITING_CLIENT_TEMPLATE.FAT&amp;display_string=Audit&amp;VAR:KEY=TQXMHGFSBY&amp;VAR:QUERY=RkZfRUJJVF9JQignQU5OJywzODQ0MiwsLCwnR0JQJyk=&amp;WINDOW=FIRST_POPUP&amp;HEIGHT=450&amp;WIDTH=450&amp;","START_MAXIMIZED=FALSE&amp;VAR:CALENDAR=FIVEDAY&amp;VAR:SYMBOL=092210&amp;VAR:INDEX=0"}</definedName>
    <definedName name="_81__FDSAUDITLINK__" hidden="1">{"fdsup://directions/FAT Viewer?action=UPDATE&amp;creator=factset&amp;DYN_ARGS=TRUE&amp;DOC_NAME=FAT:FQL_AUDITING_CLIENT_TEMPLATE.FAT&amp;display_string=Audit&amp;VAR:KEY=CRQFUPIZWJ&amp;VAR:QUERY=RkZfRUJJVF9PUEVSKENBTCwyMDEwKQ==&amp;WINDOW=FIRST_POPUP&amp;HEIGHT=450&amp;WIDTH=450&amp;START_MAXIMI","ZED=FALSE&amp;VAR:CALENDAR=US&amp;VAR:SYMBOL=BLDR&amp;VAR:INDEX=0"}</definedName>
    <definedName name="_81__FDSAUDITLINK___1" localSheetId="8" hidden="1">{"fdsup://directions/FAT Viewer?action=UPDATE&amp;creator=factset&amp;DYN_ARGS=TRUE&amp;DOC_NAME=FAT:FQL_AUDITING_CLIENT_TEMPLATE.FAT&amp;display_string=Audit&amp;VAR:KEY=TQXMHGFSBY&amp;VAR:QUERY=RkZfRUJJVF9JQignQU5OJywzODQ0MiwsLCwnR0JQJyk=&amp;WINDOW=FIRST_POPUP&amp;HEIGHT=450&amp;WIDTH=450&amp;","START_MAXIMIZED=FALSE&amp;VAR:CALENDAR=FIVEDAY&amp;VAR:SYMBOL=092210&amp;VAR:INDEX=0"}</definedName>
    <definedName name="_81__FDSAUDITLINK___1" hidden="1">{"fdsup://directions/FAT Viewer?action=UPDATE&amp;creator=factset&amp;DYN_ARGS=TRUE&amp;DOC_NAME=FAT:FQL_AUDITING_CLIENT_TEMPLATE.FAT&amp;display_string=Audit&amp;VAR:KEY=TQXMHGFSBY&amp;VAR:QUERY=RkZfRUJJVF9JQignQU5OJywzODQ0MiwsLCwnR0JQJyk=&amp;WINDOW=FIRST_POPUP&amp;HEIGHT=450&amp;WIDTH=450&amp;","START_MAXIMIZED=FALSE&amp;VAR:CALENDAR=FIVEDAY&amp;VAR:SYMBOL=092210&amp;VAR:INDEX=0"}</definedName>
    <definedName name="_810__FDSAUDITLINK__" localSheetId="8" hidden="1">{"fdsup://directions/FAT Viewer?action=UPDATE&amp;creator=factset&amp;DYN_ARGS=TRUE&amp;DOC_NAME=FAT:FQL_AUDITING_CLIENT_TEMPLATE.FAT&amp;display_string=Audit&amp;VAR:KEY=JQFSDCPIFG&amp;VAR:QUERY=RkZfQ0FQRVgoQU5OLDIwMTAp&amp;WINDOW=FIRST_POPUP&amp;HEIGHT=450&amp;WIDTH=450&amp;START_MAXIMIZED=FALS","E&amp;VAR:CALENDAR=FIVEDAY&amp;VAR:SYMBOL=B282YM&amp;VAR:INDEX=0"}</definedName>
    <definedName name="_810__FDSAUDITLINK__" hidden="1">{"fdsup://directions/FAT Viewer?action=UPDATE&amp;creator=factset&amp;DYN_ARGS=TRUE&amp;DOC_NAME=FAT:FQL_AUDITING_CLIENT_TEMPLATE.FAT&amp;display_string=Audit&amp;VAR:KEY=JQFSDCPIFG&amp;VAR:QUERY=RkZfQ0FQRVgoQU5OLDIwMTAp&amp;WINDOW=FIRST_POPUP&amp;HEIGHT=450&amp;WIDTH=450&amp;START_MAXIMIZED=FALS","E&amp;VAR:CALENDAR=FIVEDAY&amp;VAR:SYMBOL=B282YM&amp;VAR:INDEX=0"}</definedName>
    <definedName name="_810__FDSAUDITLINK___1" localSheetId="8" hidden="1">{"fdsup://directions/FAT Viewer?action=UPDATE&amp;creator=factset&amp;DYN_ARGS=TRUE&amp;DOC_NAME=FAT:FQL_AUDITING_CLIENT_TEMPLATE.FAT&amp;display_string=Audit&amp;VAR:KEY=JQFSDCPIFG&amp;VAR:QUERY=RkZfQ0FQRVgoQU5OLDIwMTAp&amp;WINDOW=FIRST_POPUP&amp;HEIGHT=450&amp;WIDTH=450&amp;START_MAXIMIZED=FALS","E&amp;VAR:CALENDAR=FIVEDAY&amp;VAR:SYMBOL=B282YM&amp;VAR:INDEX=0"}</definedName>
    <definedName name="_810__FDSAUDITLINK___1" hidden="1">{"fdsup://directions/FAT Viewer?action=UPDATE&amp;creator=factset&amp;DYN_ARGS=TRUE&amp;DOC_NAME=FAT:FQL_AUDITING_CLIENT_TEMPLATE.FAT&amp;display_string=Audit&amp;VAR:KEY=JQFSDCPIFG&amp;VAR:QUERY=RkZfQ0FQRVgoQU5OLDIwMTAp&amp;WINDOW=FIRST_POPUP&amp;HEIGHT=450&amp;WIDTH=450&amp;START_MAXIMIZED=FALS","E&amp;VAR:CALENDAR=FIVEDAY&amp;VAR:SYMBOL=B282YM&amp;VAR:INDEX=0"}</definedName>
    <definedName name="_811__FDSAUDITLINK__" localSheetId="8" hidden="1">{"fdsup://directions/FAT Viewer?action=UPDATE&amp;creator=factset&amp;DYN_ARGS=TRUE&amp;DOC_NAME=FAT:FQL_AUDITING_CLIENT_TEMPLATE.FAT&amp;display_string=Audit&amp;VAR:KEY=NMJUNWTQXO&amp;VAR:QUERY=RkZfTkVUX0lOQyhBTk4sMjAwOSk=&amp;WINDOW=FIRST_POPUP&amp;HEIGHT=450&amp;WIDTH=450&amp;START_MAXIMIZED=","FALSE&amp;VAR:CALENDAR=FIVEDAY&amp;VAR:SYMBOL=B282YM&amp;VAR:INDEX=0"}</definedName>
    <definedName name="_811__FDSAUDITLINK__" hidden="1">{"fdsup://directions/FAT Viewer?action=UPDATE&amp;creator=factset&amp;DYN_ARGS=TRUE&amp;DOC_NAME=FAT:FQL_AUDITING_CLIENT_TEMPLATE.FAT&amp;display_string=Audit&amp;VAR:KEY=NMJUNWTQXO&amp;VAR:QUERY=RkZfTkVUX0lOQyhBTk4sMjAwOSk=&amp;WINDOW=FIRST_POPUP&amp;HEIGHT=450&amp;WIDTH=450&amp;START_MAXIMIZED=","FALSE&amp;VAR:CALENDAR=FIVEDAY&amp;VAR:SYMBOL=B282YM&amp;VAR:INDEX=0"}</definedName>
    <definedName name="_811__FDSAUDITLINK___1" localSheetId="8" hidden="1">{"fdsup://directions/FAT Viewer?action=UPDATE&amp;creator=factset&amp;DYN_ARGS=TRUE&amp;DOC_NAME=FAT:FQL_AUDITING_CLIENT_TEMPLATE.FAT&amp;display_string=Audit&amp;VAR:KEY=NMJUNWTQXO&amp;VAR:QUERY=RkZfTkVUX0lOQyhBTk4sMjAwOSk=&amp;WINDOW=FIRST_POPUP&amp;HEIGHT=450&amp;WIDTH=450&amp;START_MAXIMIZED=","FALSE&amp;VAR:CALENDAR=FIVEDAY&amp;VAR:SYMBOL=B282YM&amp;VAR:INDEX=0"}</definedName>
    <definedName name="_811__FDSAUDITLINK___1" hidden="1">{"fdsup://directions/FAT Viewer?action=UPDATE&amp;creator=factset&amp;DYN_ARGS=TRUE&amp;DOC_NAME=FAT:FQL_AUDITING_CLIENT_TEMPLATE.FAT&amp;display_string=Audit&amp;VAR:KEY=NMJUNWTQXO&amp;VAR:QUERY=RkZfTkVUX0lOQyhBTk4sMjAwOSk=&amp;WINDOW=FIRST_POPUP&amp;HEIGHT=450&amp;WIDTH=450&amp;START_MAXIMIZED=","FALSE&amp;VAR:CALENDAR=FIVEDAY&amp;VAR:SYMBOL=B282YM&amp;VAR:INDEX=0"}</definedName>
    <definedName name="_812__FDSAUDITLINK__" localSheetId="8" hidden="1">{"fdsup://directions/FAT Viewer?action=UPDATE&amp;creator=factset&amp;DYN_ARGS=TRUE&amp;DOC_NAME=FAT:FQL_AUDITING_CLIENT_TEMPLATE.FAT&amp;display_string=Audit&amp;VAR:KEY=ITKFSZSJEL&amp;VAR:QUERY=RkZfTkVUX0lOQyhBTk4sMjAxMSk=&amp;WINDOW=FIRST_POPUP&amp;HEIGHT=450&amp;WIDTH=450&amp;START_MAXIMIZED=","FALSE&amp;VAR:CALENDAR=FIVEDAY&amp;VAR:SYMBOL=B282YM&amp;VAR:INDEX=0"}</definedName>
    <definedName name="_812__FDSAUDITLINK__" hidden="1">{"fdsup://directions/FAT Viewer?action=UPDATE&amp;creator=factset&amp;DYN_ARGS=TRUE&amp;DOC_NAME=FAT:FQL_AUDITING_CLIENT_TEMPLATE.FAT&amp;display_string=Audit&amp;VAR:KEY=ITKFSZSJEL&amp;VAR:QUERY=RkZfTkVUX0lOQyhBTk4sMjAxMSk=&amp;WINDOW=FIRST_POPUP&amp;HEIGHT=450&amp;WIDTH=450&amp;START_MAXIMIZED=","FALSE&amp;VAR:CALENDAR=FIVEDAY&amp;VAR:SYMBOL=B282YM&amp;VAR:INDEX=0"}</definedName>
    <definedName name="_812__FDSAUDITLINK___1" localSheetId="8" hidden="1">{"fdsup://directions/FAT Viewer?action=UPDATE&amp;creator=factset&amp;DYN_ARGS=TRUE&amp;DOC_NAME=FAT:FQL_AUDITING_CLIENT_TEMPLATE.FAT&amp;display_string=Audit&amp;VAR:KEY=ITKFSZSJEL&amp;VAR:QUERY=RkZfTkVUX0lOQyhBTk4sMjAxMSk=&amp;WINDOW=FIRST_POPUP&amp;HEIGHT=450&amp;WIDTH=450&amp;START_MAXIMIZED=","FALSE&amp;VAR:CALENDAR=FIVEDAY&amp;VAR:SYMBOL=B282YM&amp;VAR:INDEX=0"}</definedName>
    <definedName name="_812__FDSAUDITLINK___1" hidden="1">{"fdsup://directions/FAT Viewer?action=UPDATE&amp;creator=factset&amp;DYN_ARGS=TRUE&amp;DOC_NAME=FAT:FQL_AUDITING_CLIENT_TEMPLATE.FAT&amp;display_string=Audit&amp;VAR:KEY=ITKFSZSJEL&amp;VAR:QUERY=RkZfTkVUX0lOQyhBTk4sMjAxMSk=&amp;WINDOW=FIRST_POPUP&amp;HEIGHT=450&amp;WIDTH=450&amp;START_MAXIMIZED=","FALSE&amp;VAR:CALENDAR=FIVEDAY&amp;VAR:SYMBOL=B282YM&amp;VAR:INDEX=0"}</definedName>
    <definedName name="_813__FDSAUDITLINK__" localSheetId="8" hidden="1">{"fdsup://directions/FAT Viewer?action=UPDATE&amp;creator=factset&amp;DYN_ARGS=TRUE&amp;DOC_NAME=FAT:FQL_AUDITING_CLIENT_TEMPLATE.FAT&amp;display_string=Audit&amp;VAR:KEY=BCRUVANENM&amp;VAR:QUERY=RkZfRU5UUlBSX1ZBTF9EQUlMWSgwLCwsLCwnRElMJyk=&amp;WINDOW=FIRST_POPUP&amp;HEIGHT=450&amp;WIDTH=450&amp;","START_MAXIMIZED=FALSE&amp;VAR:CALENDAR=FIVEDAY&amp;VAR:SYMBOL=435413&amp;VAR:INDEX=0"}</definedName>
    <definedName name="_813__FDSAUDITLINK__" hidden="1">{"fdsup://directions/FAT Viewer?action=UPDATE&amp;creator=factset&amp;DYN_ARGS=TRUE&amp;DOC_NAME=FAT:FQL_AUDITING_CLIENT_TEMPLATE.FAT&amp;display_string=Audit&amp;VAR:KEY=BCRUVANENM&amp;VAR:QUERY=RkZfRU5UUlBSX1ZBTF9EQUlMWSgwLCwsLCwnRElMJyk=&amp;WINDOW=FIRST_POPUP&amp;HEIGHT=450&amp;WIDTH=450&amp;","START_MAXIMIZED=FALSE&amp;VAR:CALENDAR=FIVEDAY&amp;VAR:SYMBOL=435413&amp;VAR:INDEX=0"}</definedName>
    <definedName name="_813__FDSAUDITLINK___1" localSheetId="8" hidden="1">{"fdsup://directions/FAT Viewer?action=UPDATE&amp;creator=factset&amp;DYN_ARGS=TRUE&amp;DOC_NAME=FAT:FQL_AUDITING_CLIENT_TEMPLATE.FAT&amp;display_string=Audit&amp;VAR:KEY=BCRUVANENM&amp;VAR:QUERY=RkZfRU5UUlBSX1ZBTF9EQUlMWSgwLCwsLCwnRElMJyk=&amp;WINDOW=FIRST_POPUP&amp;HEIGHT=450&amp;WIDTH=450&amp;","START_MAXIMIZED=FALSE&amp;VAR:CALENDAR=FIVEDAY&amp;VAR:SYMBOL=435413&amp;VAR:INDEX=0"}</definedName>
    <definedName name="_813__FDSAUDITLINK___1" hidden="1">{"fdsup://directions/FAT Viewer?action=UPDATE&amp;creator=factset&amp;DYN_ARGS=TRUE&amp;DOC_NAME=FAT:FQL_AUDITING_CLIENT_TEMPLATE.FAT&amp;display_string=Audit&amp;VAR:KEY=BCRUVANENM&amp;VAR:QUERY=RkZfRU5UUlBSX1ZBTF9EQUlMWSgwLCwsLCwnRElMJyk=&amp;WINDOW=FIRST_POPUP&amp;HEIGHT=450&amp;WIDTH=450&amp;","START_MAXIMIZED=FALSE&amp;VAR:CALENDAR=FIVEDAY&amp;VAR:SYMBOL=435413&amp;VAR:INDEX=0"}</definedName>
    <definedName name="_814__FDSAUDITLINK__" localSheetId="8" hidden="1">{"fdsup://Directions/FactSet Auditing Viewer?action=AUDIT_VALUE&amp;DB=129&amp;ID1=435413&amp;VALUEID=01001&amp;SDATE=2008&amp;PERIODTYPE=ANN_STD&amp;SCFT=3&amp;window=popup_no_bar&amp;width=385&amp;height=120&amp;START_MAXIMIZED=FALSE&amp;creator=factset&amp;display_string=Audit"}</definedName>
    <definedName name="_814__FDSAUDITLINK__" hidden="1">{"fdsup://Directions/FactSet Auditing Viewer?action=AUDIT_VALUE&amp;DB=129&amp;ID1=435413&amp;VALUEID=01001&amp;SDATE=2008&amp;PERIODTYPE=ANN_STD&amp;SCFT=3&amp;window=popup_no_bar&amp;width=385&amp;height=120&amp;START_MAXIMIZED=FALSE&amp;creator=factset&amp;display_string=Audit"}</definedName>
    <definedName name="_814__FDSAUDITLINK___1" localSheetId="8" hidden="1">{"fdsup://Directions/FactSet Auditing Viewer?action=AUDIT_VALUE&amp;DB=129&amp;ID1=435413&amp;VALUEID=01001&amp;SDATE=2008&amp;PERIODTYPE=ANN_STD&amp;SCFT=3&amp;window=popup_no_bar&amp;width=385&amp;height=120&amp;START_MAXIMIZED=FALSE&amp;creator=factset&amp;display_string=Audit"}</definedName>
    <definedName name="_814__FDSAUDITLINK___1" hidden="1">{"fdsup://Directions/FactSet Auditing Viewer?action=AUDIT_VALUE&amp;DB=129&amp;ID1=435413&amp;VALUEID=01001&amp;SDATE=2008&amp;PERIODTYPE=ANN_STD&amp;SCFT=3&amp;window=popup_no_bar&amp;width=385&amp;height=120&amp;START_MAXIMIZED=FALSE&amp;creator=factset&amp;display_string=Audit"}</definedName>
    <definedName name="_815__FDSAUDITLINK__" localSheetId="8" hidden="1">{"fdsup://Directions/FactSet Auditing Viewer?action=AUDIT_VALUE&amp;DB=129&amp;ID1=435413&amp;VALUEID=01001&amp;SDATE=2010&amp;PERIODTYPE=ANN_STD&amp;SCFT=3&amp;window=popup_no_bar&amp;width=385&amp;height=120&amp;START_MAXIMIZED=FALSE&amp;creator=factset&amp;display_string=Audit"}</definedName>
    <definedName name="_815__FDSAUDITLINK__" hidden="1">{"fdsup://Directions/FactSet Auditing Viewer?action=AUDIT_VALUE&amp;DB=129&amp;ID1=435413&amp;VALUEID=01001&amp;SDATE=2010&amp;PERIODTYPE=ANN_STD&amp;SCFT=3&amp;window=popup_no_bar&amp;width=385&amp;height=120&amp;START_MAXIMIZED=FALSE&amp;creator=factset&amp;display_string=Audit"}</definedName>
    <definedName name="_815__FDSAUDITLINK___1" localSheetId="8" hidden="1">{"fdsup://Directions/FactSet Auditing Viewer?action=AUDIT_VALUE&amp;DB=129&amp;ID1=435413&amp;VALUEID=01001&amp;SDATE=2010&amp;PERIODTYPE=ANN_STD&amp;SCFT=3&amp;window=popup_no_bar&amp;width=385&amp;height=120&amp;START_MAXIMIZED=FALSE&amp;creator=factset&amp;display_string=Audit"}</definedName>
    <definedName name="_815__FDSAUDITLINK___1" hidden="1">{"fdsup://Directions/FactSet Auditing Viewer?action=AUDIT_VALUE&amp;DB=129&amp;ID1=435413&amp;VALUEID=01001&amp;SDATE=2010&amp;PERIODTYPE=ANN_STD&amp;SCFT=3&amp;window=popup_no_bar&amp;width=385&amp;height=120&amp;START_MAXIMIZED=FALSE&amp;creator=factset&amp;display_string=Audit"}</definedName>
    <definedName name="_816__FDSAUDITLINK__" localSheetId="8" hidden="1">{"fdsup://directions/FAT Viewer?action=UPDATE&amp;creator=factset&amp;DYN_ARGS=TRUE&amp;DOC_NAME=FAT:FQL_AUDITING_CLIENT_TEMPLATE.FAT&amp;display_string=Audit&amp;VAR:KEY=ZODSRCTSBO&amp;VAR:QUERY=RkZfRUJJVERBX09QRVIoQU5OLDIwMDkp&amp;WINDOW=FIRST_POPUP&amp;HEIGHT=450&amp;WIDTH=450&amp;START_MAXIMI","ZED=FALSE&amp;VAR:CALENDAR=FIVEDAY&amp;VAR:SYMBOL=435413&amp;VAR:INDEX=0"}</definedName>
    <definedName name="_816__FDSAUDITLINK__" hidden="1">{"fdsup://directions/FAT Viewer?action=UPDATE&amp;creator=factset&amp;DYN_ARGS=TRUE&amp;DOC_NAME=FAT:FQL_AUDITING_CLIENT_TEMPLATE.FAT&amp;display_string=Audit&amp;VAR:KEY=ZODSRCTSBO&amp;VAR:QUERY=RkZfRUJJVERBX09QRVIoQU5OLDIwMDkp&amp;WINDOW=FIRST_POPUP&amp;HEIGHT=450&amp;WIDTH=450&amp;START_MAXIMI","ZED=FALSE&amp;VAR:CALENDAR=FIVEDAY&amp;VAR:SYMBOL=435413&amp;VAR:INDEX=0"}</definedName>
    <definedName name="_816__FDSAUDITLINK___1" localSheetId="8" hidden="1">{"fdsup://directions/FAT Viewer?action=UPDATE&amp;creator=factset&amp;DYN_ARGS=TRUE&amp;DOC_NAME=FAT:FQL_AUDITING_CLIENT_TEMPLATE.FAT&amp;display_string=Audit&amp;VAR:KEY=ZODSRCTSBO&amp;VAR:QUERY=RkZfRUJJVERBX09QRVIoQU5OLDIwMDkp&amp;WINDOW=FIRST_POPUP&amp;HEIGHT=450&amp;WIDTH=450&amp;START_MAXIMI","ZED=FALSE&amp;VAR:CALENDAR=FIVEDAY&amp;VAR:SYMBOL=435413&amp;VAR:INDEX=0"}</definedName>
    <definedName name="_816__FDSAUDITLINK___1" hidden="1">{"fdsup://directions/FAT Viewer?action=UPDATE&amp;creator=factset&amp;DYN_ARGS=TRUE&amp;DOC_NAME=FAT:FQL_AUDITING_CLIENT_TEMPLATE.FAT&amp;display_string=Audit&amp;VAR:KEY=ZODSRCTSBO&amp;VAR:QUERY=RkZfRUJJVERBX09QRVIoQU5OLDIwMDkp&amp;WINDOW=FIRST_POPUP&amp;HEIGHT=450&amp;WIDTH=450&amp;START_MAXIMI","ZED=FALSE&amp;VAR:CALENDAR=FIVEDAY&amp;VAR:SYMBOL=435413&amp;VAR:INDEX=0"}</definedName>
    <definedName name="_817__FDSAUDITLINK__" localSheetId="8" hidden="1">{"fdsup://directions/FAT Viewer?action=UPDATE&amp;creator=factset&amp;DYN_ARGS=TRUE&amp;DOC_NAME=FAT:FQL_AUDITING_CLIENT_TEMPLATE.FAT&amp;display_string=Audit&amp;VAR:KEY=FQJARENGJE&amp;VAR:QUERY=RkZfRUJJVERBX09QRVIoQU5OLDIwMTEp&amp;WINDOW=FIRST_POPUP&amp;HEIGHT=450&amp;WIDTH=450&amp;START_MAXIMI","ZED=FALSE&amp;VAR:CALENDAR=FIVEDAY&amp;VAR:SYMBOL=435413&amp;VAR:INDEX=0"}</definedName>
    <definedName name="_817__FDSAUDITLINK__" hidden="1">{"fdsup://directions/FAT Viewer?action=UPDATE&amp;creator=factset&amp;DYN_ARGS=TRUE&amp;DOC_NAME=FAT:FQL_AUDITING_CLIENT_TEMPLATE.FAT&amp;display_string=Audit&amp;VAR:KEY=FQJARENGJE&amp;VAR:QUERY=RkZfRUJJVERBX09QRVIoQU5OLDIwMTEp&amp;WINDOW=FIRST_POPUP&amp;HEIGHT=450&amp;WIDTH=450&amp;START_MAXIMI","ZED=FALSE&amp;VAR:CALENDAR=FIVEDAY&amp;VAR:SYMBOL=435413&amp;VAR:INDEX=0"}</definedName>
    <definedName name="_817__FDSAUDITLINK___1" localSheetId="8" hidden="1">{"fdsup://directions/FAT Viewer?action=UPDATE&amp;creator=factset&amp;DYN_ARGS=TRUE&amp;DOC_NAME=FAT:FQL_AUDITING_CLIENT_TEMPLATE.FAT&amp;display_string=Audit&amp;VAR:KEY=FQJARENGJE&amp;VAR:QUERY=RkZfRUJJVERBX09QRVIoQU5OLDIwMTEp&amp;WINDOW=FIRST_POPUP&amp;HEIGHT=450&amp;WIDTH=450&amp;START_MAXIMI","ZED=FALSE&amp;VAR:CALENDAR=FIVEDAY&amp;VAR:SYMBOL=435413&amp;VAR:INDEX=0"}</definedName>
    <definedName name="_817__FDSAUDITLINK___1" hidden="1">{"fdsup://directions/FAT Viewer?action=UPDATE&amp;creator=factset&amp;DYN_ARGS=TRUE&amp;DOC_NAME=FAT:FQL_AUDITING_CLIENT_TEMPLATE.FAT&amp;display_string=Audit&amp;VAR:KEY=FQJARENGJE&amp;VAR:QUERY=RkZfRUJJVERBX09QRVIoQU5OLDIwMTEp&amp;WINDOW=FIRST_POPUP&amp;HEIGHT=450&amp;WIDTH=450&amp;START_MAXIMI","ZED=FALSE&amp;VAR:CALENDAR=FIVEDAY&amp;VAR:SYMBOL=435413&amp;VAR:INDEX=0"}</definedName>
    <definedName name="_818__FDSAUDITLINK__" localSheetId="8" hidden="1">{"fdsup://directions/FAT Viewer?action=UPDATE&amp;creator=factset&amp;DYN_ARGS=TRUE&amp;DOC_NAME=FAT:FQL_AUDITING_CLIENT_TEMPLATE.FAT&amp;display_string=Audit&amp;VAR:KEY=IVWJWHMFOJ&amp;VAR:QUERY=RkZfRUJJVF9PUEVSKEFOTiwyMDA4KQ==&amp;WINDOW=FIRST_POPUP&amp;HEIGHT=450&amp;WIDTH=450&amp;START_MAXIMI","ZED=FALSE&amp;VAR:CALENDAR=FIVEDAY&amp;VAR:SYMBOL=435413&amp;VAR:INDEX=0"}</definedName>
    <definedName name="_818__FDSAUDITLINK__" hidden="1">{"fdsup://directions/FAT Viewer?action=UPDATE&amp;creator=factset&amp;DYN_ARGS=TRUE&amp;DOC_NAME=FAT:FQL_AUDITING_CLIENT_TEMPLATE.FAT&amp;display_string=Audit&amp;VAR:KEY=IVWJWHMFOJ&amp;VAR:QUERY=RkZfRUJJVF9PUEVSKEFOTiwyMDA4KQ==&amp;WINDOW=FIRST_POPUP&amp;HEIGHT=450&amp;WIDTH=450&amp;START_MAXIMI","ZED=FALSE&amp;VAR:CALENDAR=FIVEDAY&amp;VAR:SYMBOL=435413&amp;VAR:INDEX=0"}</definedName>
    <definedName name="_818__FDSAUDITLINK___1" localSheetId="8" hidden="1">{"fdsup://directions/FAT Viewer?action=UPDATE&amp;creator=factset&amp;DYN_ARGS=TRUE&amp;DOC_NAME=FAT:FQL_AUDITING_CLIENT_TEMPLATE.FAT&amp;display_string=Audit&amp;VAR:KEY=IVWJWHMFOJ&amp;VAR:QUERY=RkZfRUJJVF9PUEVSKEFOTiwyMDA4KQ==&amp;WINDOW=FIRST_POPUP&amp;HEIGHT=450&amp;WIDTH=450&amp;START_MAXIMI","ZED=FALSE&amp;VAR:CALENDAR=FIVEDAY&amp;VAR:SYMBOL=435413&amp;VAR:INDEX=0"}</definedName>
    <definedName name="_818__FDSAUDITLINK___1" hidden="1">{"fdsup://directions/FAT Viewer?action=UPDATE&amp;creator=factset&amp;DYN_ARGS=TRUE&amp;DOC_NAME=FAT:FQL_AUDITING_CLIENT_TEMPLATE.FAT&amp;display_string=Audit&amp;VAR:KEY=IVWJWHMFOJ&amp;VAR:QUERY=RkZfRUJJVF9PUEVSKEFOTiwyMDA4KQ==&amp;WINDOW=FIRST_POPUP&amp;HEIGHT=450&amp;WIDTH=450&amp;START_MAXIMI","ZED=FALSE&amp;VAR:CALENDAR=FIVEDAY&amp;VAR:SYMBOL=435413&amp;VAR:INDEX=0"}</definedName>
    <definedName name="_819__FDSAUDITLINK__" localSheetId="8" hidden="1">{"fdsup://directions/FAT Viewer?action=UPDATE&amp;creator=factset&amp;DYN_ARGS=TRUE&amp;DOC_NAME=FAT:FQL_AUDITING_CLIENT_TEMPLATE.FAT&amp;display_string=Audit&amp;VAR:KEY=MDEHENKRQJ&amp;VAR:QUERY=RkZfRUJJVF9PUEVSKEFOTiwyMDEwKQ==&amp;WINDOW=FIRST_POPUP&amp;HEIGHT=450&amp;WIDTH=450&amp;START_MAXIMI","ZED=FALSE&amp;VAR:CALENDAR=FIVEDAY&amp;VAR:SYMBOL=435413&amp;VAR:INDEX=0"}</definedName>
    <definedName name="_819__FDSAUDITLINK__" hidden="1">{"fdsup://directions/FAT Viewer?action=UPDATE&amp;creator=factset&amp;DYN_ARGS=TRUE&amp;DOC_NAME=FAT:FQL_AUDITING_CLIENT_TEMPLATE.FAT&amp;display_string=Audit&amp;VAR:KEY=MDEHENKRQJ&amp;VAR:QUERY=RkZfRUJJVF9PUEVSKEFOTiwyMDEwKQ==&amp;WINDOW=FIRST_POPUP&amp;HEIGHT=450&amp;WIDTH=450&amp;START_MAXIMI","ZED=FALSE&amp;VAR:CALENDAR=FIVEDAY&amp;VAR:SYMBOL=435413&amp;VAR:INDEX=0"}</definedName>
    <definedName name="_819__FDSAUDITLINK___1" localSheetId="8" hidden="1">{"fdsup://directions/FAT Viewer?action=UPDATE&amp;creator=factset&amp;DYN_ARGS=TRUE&amp;DOC_NAME=FAT:FQL_AUDITING_CLIENT_TEMPLATE.FAT&amp;display_string=Audit&amp;VAR:KEY=MDEHENKRQJ&amp;VAR:QUERY=RkZfRUJJVF9PUEVSKEFOTiwyMDEwKQ==&amp;WINDOW=FIRST_POPUP&amp;HEIGHT=450&amp;WIDTH=450&amp;START_MAXIMI","ZED=FALSE&amp;VAR:CALENDAR=FIVEDAY&amp;VAR:SYMBOL=435413&amp;VAR:INDEX=0"}</definedName>
    <definedName name="_819__FDSAUDITLINK___1" hidden="1">{"fdsup://directions/FAT Viewer?action=UPDATE&amp;creator=factset&amp;DYN_ARGS=TRUE&amp;DOC_NAME=FAT:FQL_AUDITING_CLIENT_TEMPLATE.FAT&amp;display_string=Audit&amp;VAR:KEY=MDEHENKRQJ&amp;VAR:QUERY=RkZfRUJJVF9PUEVSKEFOTiwyMDEwKQ==&amp;WINDOW=FIRST_POPUP&amp;HEIGHT=450&amp;WIDTH=450&amp;START_MAXIMI","ZED=FALSE&amp;VAR:CALENDAR=FIVEDAY&amp;VAR:SYMBOL=435413&amp;VAR:INDEX=0"}</definedName>
    <definedName name="_82__123Graph_BCHART_9" hidden="1">#REF!</definedName>
    <definedName name="_82__123Graph_ECHART_33" localSheetId="8" hidden="1">#REF!</definedName>
    <definedName name="_82__123Graph_ECHART_33" hidden="1">#REF!</definedName>
    <definedName name="_82__123Graph_LBL_BCHART_8" hidden="1">#REF!</definedName>
    <definedName name="_82__FDSAUDITLINK__" localSheetId="8" hidden="1">{"fdsup://directions/FAT Viewer?action=UPDATE&amp;creator=factset&amp;DYN_ARGS=TRUE&amp;DOC_NAME=FAT:FQL_AUDITING_CLIENT_TEMPLATE.FAT&amp;display_string=Audit&amp;VAR:KEY=HQNQZYRQDG&amp;VAR:QUERY=RkZfRUJJVF9JQignQU5OJywzODA3NywsLCwnR0JQJyk=&amp;WINDOW=FIRST_POPUP&amp;HEIGHT=450&amp;WIDTH=450&amp;","START_MAXIMIZED=FALSE&amp;VAR:CALENDAR=FIVEDAY&amp;VAR:SYMBOL=092210&amp;VAR:INDEX=0"}</definedName>
    <definedName name="_82__FDSAUDITLINK__" hidden="1">{"fdsup://directions/FAT Viewer?action=UPDATE&amp;creator=factset&amp;DYN_ARGS=TRUE&amp;DOC_NAME=FAT:FQL_AUDITING_CLIENT_TEMPLATE.FAT&amp;display_string=Audit&amp;VAR:KEY=ABIVYFIXIP&amp;VAR:QUERY=RkZfRUJJVF9PUEVSKENBTCwyMDEwKQ==&amp;WINDOW=FIRST_POPUP&amp;HEIGHT=450&amp;WIDTH=450&amp;START_MAXIMI","ZED=FALSE&amp;VAR:CALENDAR=US&amp;VAR:SYMBOL=VMC&amp;VAR:INDEX=0"}</definedName>
    <definedName name="_82__FDSAUDITLINK___1" localSheetId="8" hidden="1">{"fdsup://directions/FAT Viewer?action=UPDATE&amp;creator=factset&amp;DYN_ARGS=TRUE&amp;DOC_NAME=FAT:FQL_AUDITING_CLIENT_TEMPLATE.FAT&amp;display_string=Audit&amp;VAR:KEY=HQNQZYRQDG&amp;VAR:QUERY=RkZfRUJJVF9JQignQU5OJywzODA3NywsLCwnR0JQJyk=&amp;WINDOW=FIRST_POPUP&amp;HEIGHT=450&amp;WIDTH=450&amp;","START_MAXIMIZED=FALSE&amp;VAR:CALENDAR=FIVEDAY&amp;VAR:SYMBOL=092210&amp;VAR:INDEX=0"}</definedName>
    <definedName name="_82__FDSAUDITLINK___1" hidden="1">{"fdsup://directions/FAT Viewer?action=UPDATE&amp;creator=factset&amp;DYN_ARGS=TRUE&amp;DOC_NAME=FAT:FQL_AUDITING_CLIENT_TEMPLATE.FAT&amp;display_string=Audit&amp;VAR:KEY=HQNQZYRQDG&amp;VAR:QUERY=RkZfRUJJVF9JQignQU5OJywzODA3NywsLCwnR0JQJyk=&amp;WINDOW=FIRST_POPUP&amp;HEIGHT=450&amp;WIDTH=450&amp;","START_MAXIMIZED=FALSE&amp;VAR:CALENDAR=FIVEDAY&amp;VAR:SYMBOL=092210&amp;VAR:INDEX=0"}</definedName>
    <definedName name="_820__FDSAUDITLINK__" localSheetId="8" hidden="1">{"fdsup://directions/FAT Viewer?action=UPDATE&amp;creator=factset&amp;DYN_ARGS=TRUE&amp;DOC_NAME=FAT:FQL_AUDITING_CLIENT_TEMPLATE.FAT&amp;display_string=Audit&amp;VAR:KEY=UTCXMHKJYF&amp;VAR:QUERY=RkZfQ0FQRVgoQU5OLDIwMDkp&amp;WINDOW=FIRST_POPUP&amp;HEIGHT=450&amp;WIDTH=450&amp;START_MAXIMIZED=FALS","E&amp;VAR:CALENDAR=FIVEDAY&amp;VAR:SYMBOL=435413&amp;VAR:INDEX=0"}</definedName>
    <definedName name="_820__FDSAUDITLINK__" hidden="1">{"fdsup://directions/FAT Viewer?action=UPDATE&amp;creator=factset&amp;DYN_ARGS=TRUE&amp;DOC_NAME=FAT:FQL_AUDITING_CLIENT_TEMPLATE.FAT&amp;display_string=Audit&amp;VAR:KEY=UTCXMHKJYF&amp;VAR:QUERY=RkZfQ0FQRVgoQU5OLDIwMDkp&amp;WINDOW=FIRST_POPUP&amp;HEIGHT=450&amp;WIDTH=450&amp;START_MAXIMIZED=FALS","E&amp;VAR:CALENDAR=FIVEDAY&amp;VAR:SYMBOL=435413&amp;VAR:INDEX=0"}</definedName>
    <definedName name="_820__FDSAUDITLINK___1" localSheetId="8" hidden="1">{"fdsup://directions/FAT Viewer?action=UPDATE&amp;creator=factset&amp;DYN_ARGS=TRUE&amp;DOC_NAME=FAT:FQL_AUDITING_CLIENT_TEMPLATE.FAT&amp;display_string=Audit&amp;VAR:KEY=UTCXMHKJYF&amp;VAR:QUERY=RkZfQ0FQRVgoQU5OLDIwMDkp&amp;WINDOW=FIRST_POPUP&amp;HEIGHT=450&amp;WIDTH=450&amp;START_MAXIMIZED=FALS","E&amp;VAR:CALENDAR=FIVEDAY&amp;VAR:SYMBOL=435413&amp;VAR:INDEX=0"}</definedName>
    <definedName name="_820__FDSAUDITLINK___1" hidden="1">{"fdsup://directions/FAT Viewer?action=UPDATE&amp;creator=factset&amp;DYN_ARGS=TRUE&amp;DOC_NAME=FAT:FQL_AUDITING_CLIENT_TEMPLATE.FAT&amp;display_string=Audit&amp;VAR:KEY=UTCXMHKJYF&amp;VAR:QUERY=RkZfQ0FQRVgoQU5OLDIwMDkp&amp;WINDOW=FIRST_POPUP&amp;HEIGHT=450&amp;WIDTH=450&amp;START_MAXIMIZED=FALS","E&amp;VAR:CALENDAR=FIVEDAY&amp;VAR:SYMBOL=435413&amp;VAR:INDEX=0"}</definedName>
    <definedName name="_821__FDSAUDITLINK__" localSheetId="8" hidden="1">{"fdsup://directions/FAT Viewer?action=UPDATE&amp;creator=factset&amp;DYN_ARGS=TRUE&amp;DOC_NAME=FAT:FQL_AUDITING_CLIENT_TEMPLATE.FAT&amp;display_string=Audit&amp;VAR:KEY=IZAHIVMRKX&amp;VAR:QUERY=RkZfQ0FQRVgoQU5OLDIwMTEp&amp;WINDOW=FIRST_POPUP&amp;HEIGHT=450&amp;WIDTH=450&amp;START_MAXIMIZED=FALS","E&amp;VAR:CALENDAR=FIVEDAY&amp;VAR:SYMBOL=435413&amp;VAR:INDEX=0"}</definedName>
    <definedName name="_821__FDSAUDITLINK__" hidden="1">{"fdsup://directions/FAT Viewer?action=UPDATE&amp;creator=factset&amp;DYN_ARGS=TRUE&amp;DOC_NAME=FAT:FQL_AUDITING_CLIENT_TEMPLATE.FAT&amp;display_string=Audit&amp;VAR:KEY=IZAHIVMRKX&amp;VAR:QUERY=RkZfQ0FQRVgoQU5OLDIwMTEp&amp;WINDOW=FIRST_POPUP&amp;HEIGHT=450&amp;WIDTH=450&amp;START_MAXIMIZED=FALS","E&amp;VAR:CALENDAR=FIVEDAY&amp;VAR:SYMBOL=435413&amp;VAR:INDEX=0"}</definedName>
    <definedName name="_821__FDSAUDITLINK___1" localSheetId="8" hidden="1">{"fdsup://directions/FAT Viewer?action=UPDATE&amp;creator=factset&amp;DYN_ARGS=TRUE&amp;DOC_NAME=FAT:FQL_AUDITING_CLIENT_TEMPLATE.FAT&amp;display_string=Audit&amp;VAR:KEY=IZAHIVMRKX&amp;VAR:QUERY=RkZfQ0FQRVgoQU5OLDIwMTEp&amp;WINDOW=FIRST_POPUP&amp;HEIGHT=450&amp;WIDTH=450&amp;START_MAXIMIZED=FALS","E&amp;VAR:CALENDAR=FIVEDAY&amp;VAR:SYMBOL=435413&amp;VAR:INDEX=0"}</definedName>
    <definedName name="_821__FDSAUDITLINK___1" hidden="1">{"fdsup://directions/FAT Viewer?action=UPDATE&amp;creator=factset&amp;DYN_ARGS=TRUE&amp;DOC_NAME=FAT:FQL_AUDITING_CLIENT_TEMPLATE.FAT&amp;display_string=Audit&amp;VAR:KEY=IZAHIVMRKX&amp;VAR:QUERY=RkZfQ0FQRVgoQU5OLDIwMTEp&amp;WINDOW=FIRST_POPUP&amp;HEIGHT=450&amp;WIDTH=450&amp;START_MAXIMIZED=FALS","E&amp;VAR:CALENDAR=FIVEDAY&amp;VAR:SYMBOL=435413&amp;VAR:INDEX=0"}</definedName>
    <definedName name="_822__FDSAUDITLINK__" localSheetId="8" hidden="1">{"fdsup://directions/FAT Viewer?action=UPDATE&amp;creator=factset&amp;DYN_ARGS=TRUE&amp;DOC_NAME=FAT:FQL_AUDITING_CLIENT_TEMPLATE.FAT&amp;display_string=Audit&amp;VAR:KEY=VIPSJWTKLG&amp;VAR:QUERY=RkZfTkVUX0lOQyhBTk4sMjAwOCk=&amp;WINDOW=FIRST_POPUP&amp;HEIGHT=450&amp;WIDTH=450&amp;START_MAXIMIZED=","FALSE&amp;VAR:CALENDAR=FIVEDAY&amp;VAR:SYMBOL=435413&amp;VAR:INDEX=0"}</definedName>
    <definedName name="_822__FDSAUDITLINK__" hidden="1">{"fdsup://directions/FAT Viewer?action=UPDATE&amp;creator=factset&amp;DYN_ARGS=TRUE&amp;DOC_NAME=FAT:FQL_AUDITING_CLIENT_TEMPLATE.FAT&amp;display_string=Audit&amp;VAR:KEY=VIPSJWTKLG&amp;VAR:QUERY=RkZfTkVUX0lOQyhBTk4sMjAwOCk=&amp;WINDOW=FIRST_POPUP&amp;HEIGHT=450&amp;WIDTH=450&amp;START_MAXIMIZED=","FALSE&amp;VAR:CALENDAR=FIVEDAY&amp;VAR:SYMBOL=435413&amp;VAR:INDEX=0"}</definedName>
    <definedName name="_822__FDSAUDITLINK___1" localSheetId="8" hidden="1">{"fdsup://directions/FAT Viewer?action=UPDATE&amp;creator=factset&amp;DYN_ARGS=TRUE&amp;DOC_NAME=FAT:FQL_AUDITING_CLIENT_TEMPLATE.FAT&amp;display_string=Audit&amp;VAR:KEY=VIPSJWTKLG&amp;VAR:QUERY=RkZfTkVUX0lOQyhBTk4sMjAwOCk=&amp;WINDOW=FIRST_POPUP&amp;HEIGHT=450&amp;WIDTH=450&amp;START_MAXIMIZED=","FALSE&amp;VAR:CALENDAR=FIVEDAY&amp;VAR:SYMBOL=435413&amp;VAR:INDEX=0"}</definedName>
    <definedName name="_822__FDSAUDITLINK___1" hidden="1">{"fdsup://directions/FAT Viewer?action=UPDATE&amp;creator=factset&amp;DYN_ARGS=TRUE&amp;DOC_NAME=FAT:FQL_AUDITING_CLIENT_TEMPLATE.FAT&amp;display_string=Audit&amp;VAR:KEY=VIPSJWTKLG&amp;VAR:QUERY=RkZfTkVUX0lOQyhBTk4sMjAwOCk=&amp;WINDOW=FIRST_POPUP&amp;HEIGHT=450&amp;WIDTH=450&amp;START_MAXIMIZED=","FALSE&amp;VAR:CALENDAR=FIVEDAY&amp;VAR:SYMBOL=435413&amp;VAR:INDEX=0"}</definedName>
    <definedName name="_823__FDSAUDITLINK__" localSheetId="8" hidden="1">{"fdsup://directions/FAT Viewer?action=UPDATE&amp;creator=factset&amp;DYN_ARGS=TRUE&amp;DOC_NAME=FAT:FQL_AUDITING_CLIENT_TEMPLATE.FAT&amp;display_string=Audit&amp;VAR:KEY=FCZAHQJWHG&amp;VAR:QUERY=RkZfTkVUX0lOQyhBTk4sMjAxMCk=&amp;WINDOW=FIRST_POPUP&amp;HEIGHT=450&amp;WIDTH=450&amp;START_MAXIMIZED=","FALSE&amp;VAR:CALENDAR=FIVEDAY&amp;VAR:SYMBOL=435413&amp;VAR:INDEX=0"}</definedName>
    <definedName name="_823__FDSAUDITLINK__" hidden="1">{"fdsup://directions/FAT Viewer?action=UPDATE&amp;creator=factset&amp;DYN_ARGS=TRUE&amp;DOC_NAME=FAT:FQL_AUDITING_CLIENT_TEMPLATE.FAT&amp;display_string=Audit&amp;VAR:KEY=FCZAHQJWHG&amp;VAR:QUERY=RkZfTkVUX0lOQyhBTk4sMjAxMCk=&amp;WINDOW=FIRST_POPUP&amp;HEIGHT=450&amp;WIDTH=450&amp;START_MAXIMIZED=","FALSE&amp;VAR:CALENDAR=FIVEDAY&amp;VAR:SYMBOL=435413&amp;VAR:INDEX=0"}</definedName>
    <definedName name="_823__FDSAUDITLINK___1" localSheetId="8" hidden="1">{"fdsup://directions/FAT Viewer?action=UPDATE&amp;creator=factset&amp;DYN_ARGS=TRUE&amp;DOC_NAME=FAT:FQL_AUDITING_CLIENT_TEMPLATE.FAT&amp;display_string=Audit&amp;VAR:KEY=FCZAHQJWHG&amp;VAR:QUERY=RkZfTkVUX0lOQyhBTk4sMjAxMCk=&amp;WINDOW=FIRST_POPUP&amp;HEIGHT=450&amp;WIDTH=450&amp;START_MAXIMIZED=","FALSE&amp;VAR:CALENDAR=FIVEDAY&amp;VAR:SYMBOL=435413&amp;VAR:INDEX=0"}</definedName>
    <definedName name="_823__FDSAUDITLINK___1" hidden="1">{"fdsup://directions/FAT Viewer?action=UPDATE&amp;creator=factset&amp;DYN_ARGS=TRUE&amp;DOC_NAME=FAT:FQL_AUDITING_CLIENT_TEMPLATE.FAT&amp;display_string=Audit&amp;VAR:KEY=FCZAHQJWHG&amp;VAR:QUERY=RkZfTkVUX0lOQyhBTk4sMjAxMCk=&amp;WINDOW=FIRST_POPUP&amp;HEIGHT=450&amp;WIDTH=450&amp;START_MAXIMIZED=","FALSE&amp;VAR:CALENDAR=FIVEDAY&amp;VAR:SYMBOL=435413&amp;VAR:INDEX=0"}</definedName>
    <definedName name="_824__FDSAUDITLINK__" localSheetId="8" hidden="1">{"fdsup://Directions/FactSet Auditing Viewer?action=AUDIT_VALUE&amp;DB=129&amp;ID1=B5KKT9&amp;VALUEID=01001&amp;SDATE=2009&amp;PERIODTYPE=ANN_STD&amp;SCFT=3&amp;window=popup_no_bar&amp;width=385&amp;height=120&amp;START_MAXIMIZED=FALSE&amp;creator=factset&amp;display_string=Audit"}</definedName>
    <definedName name="_824__FDSAUDITLINK__" hidden="1">{"fdsup://Directions/FactSet Auditing Viewer?action=AUDIT_VALUE&amp;DB=129&amp;ID1=B5KKT9&amp;VALUEID=01001&amp;SDATE=2009&amp;PERIODTYPE=ANN_STD&amp;SCFT=3&amp;window=popup_no_bar&amp;width=385&amp;height=120&amp;START_MAXIMIZED=FALSE&amp;creator=factset&amp;display_string=Audit"}</definedName>
    <definedName name="_824__FDSAUDITLINK___1" localSheetId="8" hidden="1">{"fdsup://Directions/FactSet Auditing Viewer?action=AUDIT_VALUE&amp;DB=129&amp;ID1=B5KKT9&amp;VALUEID=01001&amp;SDATE=2009&amp;PERIODTYPE=ANN_STD&amp;SCFT=3&amp;window=popup_no_bar&amp;width=385&amp;height=120&amp;START_MAXIMIZED=FALSE&amp;creator=factset&amp;display_string=Audit"}</definedName>
    <definedName name="_824__FDSAUDITLINK___1" hidden="1">{"fdsup://Directions/FactSet Auditing Viewer?action=AUDIT_VALUE&amp;DB=129&amp;ID1=B5KKT9&amp;VALUEID=01001&amp;SDATE=2009&amp;PERIODTYPE=ANN_STD&amp;SCFT=3&amp;window=popup_no_bar&amp;width=385&amp;height=120&amp;START_MAXIMIZED=FALSE&amp;creator=factset&amp;display_string=Audit"}</definedName>
    <definedName name="_825__FDSAUDITLINK__" localSheetId="8" hidden="1">{"fdsup://IBCentral/FAT Viewer?action=UPDATE&amp;creator=factset&amp;DOC_NAME=fat:reuters_annual_source_window.fat&amp;display_string=Audit&amp;DYN_ARGS=TRUE&amp;VAR:ID1=221353&amp;VAR:RCODE=LMIN&amp;VAR:SDATE=20051299&amp;VAR:FREQ=Y&amp;VAR:RELITEM=RP&amp;VAR:CURRENCY=USD&amp;VAR:CURRSOURCE=EXSHARE&amp;","VAR:NATFREQ=ANNUAL&amp;VAR:RFIELD=FINALIZED&amp;VAR:DB_TYPE=&amp;VAR:UNITS=M&amp;window=popup&amp;width=450&amp;height=300&amp;START_MAXIMIZED=FALSE"}</definedName>
    <definedName name="_825__FDSAUDITLINK__" hidden="1">{"fdsup://IBCentral/FAT Viewer?action=UPDATE&amp;creator=factset&amp;DOC_NAME=fat:reuters_annual_source_window.fat&amp;display_string=Audit&amp;DYN_ARGS=TRUE&amp;VAR:ID1=221353&amp;VAR:RCODE=LMIN&amp;VAR:SDATE=20051299&amp;VAR:FREQ=Y&amp;VAR:RELITEM=RP&amp;VAR:CURRENCY=USD&amp;VAR:CURRSOURCE=EXSHARE&amp;","VAR:NATFREQ=ANNUAL&amp;VAR:RFIELD=FINALIZED&amp;VAR:DB_TYPE=&amp;VAR:UNITS=M&amp;window=popup&amp;width=450&amp;height=300&amp;START_MAXIMIZED=FALSE"}</definedName>
    <definedName name="_826__FDSAUDITLINK__" localSheetId="8" hidden="1">{"fdsup://directions/FAT Viewer?action=UPDATE&amp;creator=factset&amp;DYN_ARGS=TRUE&amp;DOC_NAME=FAT:FQL_AUDITING_CLIENT_TEMPLATE.FAT&amp;display_string=Audit&amp;VAR:KEY=IDOZCJSVGN&amp;VAR:QUERY=RkZfRU5UUlBSX1ZBTF9EQUlMWSgwLCwsLCwnRElMJyk=&amp;WINDOW=FIRST_POPUP&amp;HEIGHT=450&amp;WIDTH=450&amp;","START_MAXIMIZED=FALSE&amp;VAR:CALENDAR=FIVEDAY&amp;VAR:SYMBOL=074482&amp;VAR:INDEX=0"}</definedName>
    <definedName name="_826__FDSAUDITLINK__" hidden="1">{"fdsup://directions/FAT Viewer?action=UPDATE&amp;creator=factset&amp;DYN_ARGS=TRUE&amp;DOC_NAME=FAT:FQL_AUDITING_CLIENT_TEMPLATE.FAT&amp;display_string=Audit&amp;VAR:KEY=IDOZCJSVGN&amp;VAR:QUERY=RkZfRU5UUlBSX1ZBTF9EQUlMWSgwLCwsLCwnRElMJyk=&amp;WINDOW=FIRST_POPUP&amp;HEIGHT=450&amp;WIDTH=450&amp;","START_MAXIMIZED=FALSE&amp;VAR:CALENDAR=FIVEDAY&amp;VAR:SYMBOL=074482&amp;VAR:INDEX=0"}</definedName>
    <definedName name="_826__FDSAUDITLINK___1" localSheetId="8" hidden="1">{"fdsup://directions/FAT Viewer?action=UPDATE&amp;creator=factset&amp;DYN_ARGS=TRUE&amp;DOC_NAME=FAT:FQL_AUDITING_CLIENT_TEMPLATE.FAT&amp;display_string=Audit&amp;VAR:KEY=IDOZCJSVGN&amp;VAR:QUERY=RkZfRU5UUlBSX1ZBTF9EQUlMWSgwLCwsLCwnRElMJyk=&amp;WINDOW=FIRST_POPUP&amp;HEIGHT=450&amp;WIDTH=450&amp;","START_MAXIMIZED=FALSE&amp;VAR:CALENDAR=FIVEDAY&amp;VAR:SYMBOL=074482&amp;VAR:INDEX=0"}</definedName>
    <definedName name="_826__FDSAUDITLINK___1" hidden="1">{"fdsup://directions/FAT Viewer?action=UPDATE&amp;creator=factset&amp;DYN_ARGS=TRUE&amp;DOC_NAME=FAT:FQL_AUDITING_CLIENT_TEMPLATE.FAT&amp;display_string=Audit&amp;VAR:KEY=IDOZCJSVGN&amp;VAR:QUERY=RkZfRU5UUlBSX1ZBTF9EQUlMWSgwLCwsLCwnRElMJyk=&amp;WINDOW=FIRST_POPUP&amp;HEIGHT=450&amp;WIDTH=450&amp;","START_MAXIMIZED=FALSE&amp;VAR:CALENDAR=FIVEDAY&amp;VAR:SYMBOL=074482&amp;VAR:INDEX=0"}</definedName>
    <definedName name="_827__FDSAUDITLINK__" localSheetId="8" hidden="1">{"fdsup://directions/FAT Viewer?action=UPDATE&amp;creator=factset&amp;DYN_ARGS=TRUE&amp;DOC_NAME=FAT:FQL_AUDITING_CLIENT_TEMPLATE.FAT&amp;display_string=Audit&amp;VAR:KEY=ITYXGFODSZ&amp;VAR:QUERY=RkZfRUJJVERBX09QRVIoQU5OLDIwMDgp&amp;WINDOW=FIRST_POPUP&amp;HEIGHT=450&amp;WIDTH=450&amp;START_MAXIMI","ZED=FALSE&amp;VAR:CALENDAR=FIVEDAY&amp;VAR:SYMBOL=B4YCDF&amp;VAR:INDEX=0"}</definedName>
    <definedName name="_827__FDSAUDITLINK__" hidden="1">{"fdsup://directions/FAT Viewer?action=UPDATE&amp;creator=factset&amp;DYN_ARGS=TRUE&amp;DOC_NAME=FAT:FQL_AUDITING_CLIENT_TEMPLATE.FAT&amp;display_string=Audit&amp;VAR:KEY=ITYXGFODSZ&amp;VAR:QUERY=RkZfRUJJVERBX09QRVIoQU5OLDIwMDgp&amp;WINDOW=FIRST_POPUP&amp;HEIGHT=450&amp;WIDTH=450&amp;START_MAXIMI","ZED=FALSE&amp;VAR:CALENDAR=FIVEDAY&amp;VAR:SYMBOL=B4YCDF&amp;VAR:INDEX=0"}</definedName>
    <definedName name="_827__FDSAUDITLINK___1" localSheetId="8" hidden="1">{"fdsup://directions/FAT Viewer?action=UPDATE&amp;creator=factset&amp;DYN_ARGS=TRUE&amp;DOC_NAME=FAT:FQL_AUDITING_CLIENT_TEMPLATE.FAT&amp;display_string=Audit&amp;VAR:KEY=ITYXGFODSZ&amp;VAR:QUERY=RkZfRUJJVERBX09QRVIoQU5OLDIwMDgp&amp;WINDOW=FIRST_POPUP&amp;HEIGHT=450&amp;WIDTH=450&amp;START_MAXIMI","ZED=FALSE&amp;VAR:CALENDAR=FIVEDAY&amp;VAR:SYMBOL=B4YCDF&amp;VAR:INDEX=0"}</definedName>
    <definedName name="_827__FDSAUDITLINK___1" hidden="1">{"fdsup://directions/FAT Viewer?action=UPDATE&amp;creator=factset&amp;DYN_ARGS=TRUE&amp;DOC_NAME=FAT:FQL_AUDITING_CLIENT_TEMPLATE.FAT&amp;display_string=Audit&amp;VAR:KEY=ITYXGFODSZ&amp;VAR:QUERY=RkZfRUJJVERBX09QRVIoQU5OLDIwMDgp&amp;WINDOW=FIRST_POPUP&amp;HEIGHT=450&amp;WIDTH=450&amp;START_MAXIMI","ZED=FALSE&amp;VAR:CALENDAR=FIVEDAY&amp;VAR:SYMBOL=B4YCDF&amp;VAR:INDEX=0"}</definedName>
    <definedName name="_828__FDSAUDITLINK__" localSheetId="8" hidden="1">{"fdsup://directions/FAT Viewer?action=UPDATE&amp;creator=factset&amp;DYN_ARGS=TRUE&amp;DOC_NAME=FAT:FQL_AUDITING_CLIENT_TEMPLATE.FAT&amp;display_string=Audit&amp;VAR:KEY=OBQXAVAJIL&amp;VAR:QUERY=RkZfTkVUX0lOQyhBTk4sMjAwOSk=&amp;WINDOW=FIRST_POPUP&amp;HEIGHT=450&amp;WIDTH=450&amp;START_MAXIMIZED=","FALSE&amp;VAR:CALENDAR=FIVEDAY&amp;VAR:SYMBOL=B4YCDF&amp;VAR:INDEX=0"}</definedName>
    <definedName name="_828__FDSAUDITLINK__" hidden="1">{"fdsup://directions/FAT Viewer?action=UPDATE&amp;creator=factset&amp;DYN_ARGS=TRUE&amp;DOC_NAME=FAT:FQL_AUDITING_CLIENT_TEMPLATE.FAT&amp;display_string=Audit&amp;VAR:KEY=OBQXAVAJIL&amp;VAR:QUERY=RkZfTkVUX0lOQyhBTk4sMjAwOSk=&amp;WINDOW=FIRST_POPUP&amp;HEIGHT=450&amp;WIDTH=450&amp;START_MAXIMIZED=","FALSE&amp;VAR:CALENDAR=FIVEDAY&amp;VAR:SYMBOL=B4YCDF&amp;VAR:INDEX=0"}</definedName>
    <definedName name="_828__FDSAUDITLINK___1" localSheetId="8" hidden="1">{"fdsup://directions/FAT Viewer?action=UPDATE&amp;creator=factset&amp;DYN_ARGS=TRUE&amp;DOC_NAME=FAT:FQL_AUDITING_CLIENT_TEMPLATE.FAT&amp;display_string=Audit&amp;VAR:KEY=OBQXAVAJIL&amp;VAR:QUERY=RkZfTkVUX0lOQyhBTk4sMjAwOSk=&amp;WINDOW=FIRST_POPUP&amp;HEIGHT=450&amp;WIDTH=450&amp;START_MAXIMIZED=","FALSE&amp;VAR:CALENDAR=FIVEDAY&amp;VAR:SYMBOL=B4YCDF&amp;VAR:INDEX=0"}</definedName>
    <definedName name="_828__FDSAUDITLINK___1" hidden="1">{"fdsup://directions/FAT Viewer?action=UPDATE&amp;creator=factset&amp;DYN_ARGS=TRUE&amp;DOC_NAME=FAT:FQL_AUDITING_CLIENT_TEMPLATE.FAT&amp;display_string=Audit&amp;VAR:KEY=OBQXAVAJIL&amp;VAR:QUERY=RkZfTkVUX0lOQyhBTk4sMjAwOSk=&amp;WINDOW=FIRST_POPUP&amp;HEIGHT=450&amp;WIDTH=450&amp;START_MAXIMIZED=","FALSE&amp;VAR:CALENDAR=FIVEDAY&amp;VAR:SYMBOL=B4YCDF&amp;VAR:INDEX=0"}</definedName>
    <definedName name="_829__FDSAUDITLINK__" localSheetId="8" hidden="1">{"fdsup://directions/FAT Viewer?action=UPDATE&amp;creator=factset&amp;DYN_ARGS=TRUE&amp;DOC_NAME=FAT:FQL_AUDITING_CLIENT_TEMPLATE.FAT&amp;display_string=Audit&amp;VAR:KEY=UBSTILEZIZ&amp;VAR:QUERY=RkZfRUJJVERBX09QRVIoQU5OLDIwMTAp&amp;WINDOW=FIRST_POPUP&amp;HEIGHT=450&amp;WIDTH=450&amp;START_MAXIMI","ZED=FALSE&amp;VAR:CALENDAR=FIVEDAY&amp;VAR:SYMBOL=B4YCDF&amp;VAR:INDEX=0"}</definedName>
    <definedName name="_829__FDSAUDITLINK__" hidden="1">{"fdsup://directions/FAT Viewer?action=UPDATE&amp;creator=factset&amp;DYN_ARGS=TRUE&amp;DOC_NAME=FAT:FQL_AUDITING_CLIENT_TEMPLATE.FAT&amp;display_string=Audit&amp;VAR:KEY=UBSTILEZIZ&amp;VAR:QUERY=RkZfRUJJVERBX09QRVIoQU5OLDIwMTAp&amp;WINDOW=FIRST_POPUP&amp;HEIGHT=450&amp;WIDTH=450&amp;START_MAXIMI","ZED=FALSE&amp;VAR:CALENDAR=FIVEDAY&amp;VAR:SYMBOL=B4YCDF&amp;VAR:INDEX=0"}</definedName>
    <definedName name="_829__FDSAUDITLINK___1" localSheetId="8" hidden="1">{"fdsup://directions/FAT Viewer?action=UPDATE&amp;creator=factset&amp;DYN_ARGS=TRUE&amp;DOC_NAME=FAT:FQL_AUDITING_CLIENT_TEMPLATE.FAT&amp;display_string=Audit&amp;VAR:KEY=UBSTILEZIZ&amp;VAR:QUERY=RkZfRUJJVERBX09QRVIoQU5OLDIwMTAp&amp;WINDOW=FIRST_POPUP&amp;HEIGHT=450&amp;WIDTH=450&amp;START_MAXIMI","ZED=FALSE&amp;VAR:CALENDAR=FIVEDAY&amp;VAR:SYMBOL=B4YCDF&amp;VAR:INDEX=0"}</definedName>
    <definedName name="_829__FDSAUDITLINK___1" hidden="1">{"fdsup://directions/FAT Viewer?action=UPDATE&amp;creator=factset&amp;DYN_ARGS=TRUE&amp;DOC_NAME=FAT:FQL_AUDITING_CLIENT_TEMPLATE.FAT&amp;display_string=Audit&amp;VAR:KEY=UBSTILEZIZ&amp;VAR:QUERY=RkZfRUJJVERBX09QRVIoQU5OLDIwMTAp&amp;WINDOW=FIRST_POPUP&amp;HEIGHT=450&amp;WIDTH=450&amp;START_MAXIMI","ZED=FALSE&amp;VAR:CALENDAR=FIVEDAY&amp;VAR:SYMBOL=B4YCDF&amp;VAR:INDEX=0"}</definedName>
    <definedName name="_83__123Graph_CCHART_1" hidden="1">#REF!</definedName>
    <definedName name="_83__123Graph_ECHART_34" localSheetId="8" hidden="1">#REF!</definedName>
    <definedName name="_83__123Graph_ECHART_34" hidden="1">#REF!</definedName>
    <definedName name="_83__123Graph_LBL_BCHART_9" hidden="1">#REF!</definedName>
    <definedName name="_83__123Graph_XCHART_12" hidden="1">#REF!</definedName>
    <definedName name="_83__FDSAUDITLINK__" localSheetId="8" hidden="1">{"fdsup://directions/FAT Viewer?action=UPDATE&amp;creator=factset&amp;DYN_ARGS=TRUE&amp;DOC_NAME=FAT:FQL_AUDITING_CLIENT_TEMPLATE.FAT&amp;display_string=Audit&amp;VAR:KEY=FWFIVSZCHY&amp;VAR:QUERY=RkZfRUJJVF9JQignQU5OJywzNzcxMSwsLCwnR0JQJyk=&amp;WINDOW=FIRST_POPUP&amp;HEIGHT=450&amp;WIDTH=450&amp;","START_MAXIMIZED=FALSE&amp;VAR:CALENDAR=FIVEDAY&amp;VAR:SYMBOL=092210&amp;VAR:INDEX=0"}</definedName>
    <definedName name="_83__FDSAUDITLINK__" hidden="1">{"fdsup://directions/FAT Viewer?action=UPDATE&amp;creator=factset&amp;DYN_ARGS=TRUE&amp;DOC_NAME=FAT:FQL_AUDITING_CLIENT_TEMPLATE.FAT&amp;display_string=Audit&amp;VAR:KEY=IRCZINWVET&amp;VAR:QUERY=RkZfRUJJVF9PUEVSKENBTCwyMDEwKQ==&amp;WINDOW=FIRST_POPUP&amp;HEIGHT=450&amp;WIDTH=450&amp;START_MAXIMI","ZED=FALSE&amp;VAR:CALENDAR=US&amp;VAR:SYMBOL=MCEM&amp;VAR:INDEX=0"}</definedName>
    <definedName name="_83__FDSAUDITLINK___1" localSheetId="8" hidden="1">{"fdsup://directions/FAT Viewer?action=UPDATE&amp;creator=factset&amp;DYN_ARGS=TRUE&amp;DOC_NAME=FAT:FQL_AUDITING_CLIENT_TEMPLATE.FAT&amp;display_string=Audit&amp;VAR:KEY=FWFIVSZCHY&amp;VAR:QUERY=RkZfRUJJVF9JQignQU5OJywzNzcxMSwsLCwnR0JQJyk=&amp;WINDOW=FIRST_POPUP&amp;HEIGHT=450&amp;WIDTH=450&amp;","START_MAXIMIZED=FALSE&amp;VAR:CALENDAR=FIVEDAY&amp;VAR:SYMBOL=092210&amp;VAR:INDEX=0"}</definedName>
    <definedName name="_83__FDSAUDITLINK___1" hidden="1">{"fdsup://directions/FAT Viewer?action=UPDATE&amp;creator=factset&amp;DYN_ARGS=TRUE&amp;DOC_NAME=FAT:FQL_AUDITING_CLIENT_TEMPLATE.FAT&amp;display_string=Audit&amp;VAR:KEY=FWFIVSZCHY&amp;VAR:QUERY=RkZfRUJJVF9JQignQU5OJywzNzcxMSwsLCwnR0JQJyk=&amp;WINDOW=FIRST_POPUP&amp;HEIGHT=450&amp;WIDTH=450&amp;","START_MAXIMIZED=FALSE&amp;VAR:CALENDAR=FIVEDAY&amp;VAR:SYMBOL=092210&amp;VAR:INDEX=0"}</definedName>
    <definedName name="_830__FDSAUDITLINK__" localSheetId="8" hidden="1">{"fdsup://directions/FAT Viewer?action=UPDATE&amp;creator=factset&amp;DYN_ARGS=TRUE&amp;DOC_NAME=FAT:FQL_AUDITING_CLIENT_TEMPLATE.FAT&amp;display_string=Audit&amp;VAR:KEY=CVCBALWVUN&amp;VAR:QUERY=RkZfRUJJVF9PUEVSKEFOTiwyMDA5KQ==&amp;WINDOW=FIRST_POPUP&amp;HEIGHT=450&amp;WIDTH=450&amp;START_MAXIMI","ZED=FALSE&amp;VAR:CALENDAR=FIVEDAY&amp;VAR:SYMBOL=B5KKT9&amp;VAR:INDEX=0"}</definedName>
    <definedName name="_830__FDSAUDITLINK__" hidden="1">{"fdsup://directions/FAT Viewer?action=UPDATE&amp;creator=factset&amp;DYN_ARGS=TRUE&amp;DOC_NAME=FAT:FQL_AUDITING_CLIENT_TEMPLATE.FAT&amp;display_string=Audit&amp;VAR:KEY=CVCBALWVUN&amp;VAR:QUERY=RkZfRUJJVF9PUEVSKEFOTiwyMDA5KQ==&amp;WINDOW=FIRST_POPUP&amp;HEIGHT=450&amp;WIDTH=450&amp;START_MAXIMI","ZED=FALSE&amp;VAR:CALENDAR=FIVEDAY&amp;VAR:SYMBOL=B5KKT9&amp;VAR:INDEX=0"}</definedName>
    <definedName name="_830__FDSAUDITLINK___1" localSheetId="8" hidden="1">{"fdsup://directions/FAT Viewer?action=UPDATE&amp;creator=factset&amp;DYN_ARGS=TRUE&amp;DOC_NAME=FAT:FQL_AUDITING_CLIENT_TEMPLATE.FAT&amp;display_string=Audit&amp;VAR:KEY=CVCBALWVUN&amp;VAR:QUERY=RkZfRUJJVF9PUEVSKEFOTiwyMDA5KQ==&amp;WINDOW=FIRST_POPUP&amp;HEIGHT=450&amp;WIDTH=450&amp;START_MAXIMI","ZED=FALSE&amp;VAR:CALENDAR=FIVEDAY&amp;VAR:SYMBOL=B5KKT9&amp;VAR:INDEX=0"}</definedName>
    <definedName name="_830__FDSAUDITLINK___1" hidden="1">{"fdsup://directions/FAT Viewer?action=UPDATE&amp;creator=factset&amp;DYN_ARGS=TRUE&amp;DOC_NAME=FAT:FQL_AUDITING_CLIENT_TEMPLATE.FAT&amp;display_string=Audit&amp;VAR:KEY=CVCBALWVUN&amp;VAR:QUERY=RkZfRUJJVF9PUEVSKEFOTiwyMDA5KQ==&amp;WINDOW=FIRST_POPUP&amp;HEIGHT=450&amp;WIDTH=450&amp;START_MAXIMI","ZED=FALSE&amp;VAR:CALENDAR=FIVEDAY&amp;VAR:SYMBOL=B5KKT9&amp;VAR:INDEX=0"}</definedName>
    <definedName name="_831__FDSAUDITLINK__" localSheetId="8" hidden="1">{"fdsup://directions/FAT Viewer?action=UPDATE&amp;creator=factset&amp;DYN_ARGS=TRUE&amp;DOC_NAME=FAT:FQL_AUDITING_CLIENT_TEMPLATE.FAT&amp;display_string=Audit&amp;VAR:KEY=MLKBGLQFAX&amp;VAR:QUERY=RkZfQ0FQRVgoQU5OLDIwMDgp&amp;WINDOW=FIRST_POPUP&amp;HEIGHT=450&amp;WIDTH=450&amp;START_MAXIMIZED=FALS","E&amp;VAR:CALENDAR=FIVEDAY&amp;VAR:SYMBOL=B4YCDF&amp;VAR:INDEX=0"}</definedName>
    <definedName name="_831__FDSAUDITLINK__" hidden="1">{"fdsup://directions/FAT Viewer?action=UPDATE&amp;creator=factset&amp;DYN_ARGS=TRUE&amp;DOC_NAME=FAT:FQL_AUDITING_CLIENT_TEMPLATE.FAT&amp;display_string=Audit&amp;VAR:KEY=MLKBGLQFAX&amp;VAR:QUERY=RkZfQ0FQRVgoQU5OLDIwMDgp&amp;WINDOW=FIRST_POPUP&amp;HEIGHT=450&amp;WIDTH=450&amp;START_MAXIMIZED=FALS","E&amp;VAR:CALENDAR=FIVEDAY&amp;VAR:SYMBOL=B4YCDF&amp;VAR:INDEX=0"}</definedName>
    <definedName name="_831__FDSAUDITLINK___1" localSheetId="8" hidden="1">{"fdsup://directions/FAT Viewer?action=UPDATE&amp;creator=factset&amp;DYN_ARGS=TRUE&amp;DOC_NAME=FAT:FQL_AUDITING_CLIENT_TEMPLATE.FAT&amp;display_string=Audit&amp;VAR:KEY=MLKBGLQFAX&amp;VAR:QUERY=RkZfQ0FQRVgoQU5OLDIwMDgp&amp;WINDOW=FIRST_POPUP&amp;HEIGHT=450&amp;WIDTH=450&amp;START_MAXIMIZED=FALS","E&amp;VAR:CALENDAR=FIVEDAY&amp;VAR:SYMBOL=B4YCDF&amp;VAR:INDEX=0"}</definedName>
    <definedName name="_831__FDSAUDITLINK___1" hidden="1">{"fdsup://directions/FAT Viewer?action=UPDATE&amp;creator=factset&amp;DYN_ARGS=TRUE&amp;DOC_NAME=FAT:FQL_AUDITING_CLIENT_TEMPLATE.FAT&amp;display_string=Audit&amp;VAR:KEY=MLKBGLQFAX&amp;VAR:QUERY=RkZfQ0FQRVgoQU5OLDIwMDgp&amp;WINDOW=FIRST_POPUP&amp;HEIGHT=450&amp;WIDTH=450&amp;START_MAXIMIZED=FALS","E&amp;VAR:CALENDAR=FIVEDAY&amp;VAR:SYMBOL=B4YCDF&amp;VAR:INDEX=0"}</definedName>
    <definedName name="_832__FDSAUDITLINK__" localSheetId="8" hidden="1">{"fdsup://directions/FAT Viewer?action=UPDATE&amp;creator=factset&amp;DYN_ARGS=TRUE&amp;DOC_NAME=FAT:FQL_AUDITING_CLIENT_TEMPLATE.FAT&amp;display_string=Audit&amp;VAR:KEY=MDSTAPYPWX&amp;VAR:QUERY=RkZfTkVUX0lOQyhBTk4sMjAxMCk=&amp;WINDOW=FIRST_POPUP&amp;HEIGHT=450&amp;WIDTH=450&amp;START_MAXIMIZED=","FALSE&amp;VAR:CALENDAR=FIVEDAY&amp;VAR:SYMBOL=074482&amp;VAR:INDEX=0"}</definedName>
    <definedName name="_832__FDSAUDITLINK__" hidden="1">{"fdsup://directions/FAT Viewer?action=UPDATE&amp;creator=factset&amp;DYN_ARGS=TRUE&amp;DOC_NAME=FAT:FQL_AUDITING_CLIENT_TEMPLATE.FAT&amp;display_string=Audit&amp;VAR:KEY=MDSTAPYPWX&amp;VAR:QUERY=RkZfTkVUX0lOQyhBTk4sMjAxMCk=&amp;WINDOW=FIRST_POPUP&amp;HEIGHT=450&amp;WIDTH=450&amp;START_MAXIMIZED=","FALSE&amp;VAR:CALENDAR=FIVEDAY&amp;VAR:SYMBOL=074482&amp;VAR:INDEX=0"}</definedName>
    <definedName name="_832__FDSAUDITLINK___1" localSheetId="8" hidden="1">{"fdsup://directions/FAT Viewer?action=UPDATE&amp;creator=factset&amp;DYN_ARGS=TRUE&amp;DOC_NAME=FAT:FQL_AUDITING_CLIENT_TEMPLATE.FAT&amp;display_string=Audit&amp;VAR:KEY=MDSTAPYPWX&amp;VAR:QUERY=RkZfTkVUX0lOQyhBTk4sMjAxMCk=&amp;WINDOW=FIRST_POPUP&amp;HEIGHT=450&amp;WIDTH=450&amp;START_MAXIMIZED=","FALSE&amp;VAR:CALENDAR=FIVEDAY&amp;VAR:SYMBOL=074482&amp;VAR:INDEX=0"}</definedName>
    <definedName name="_832__FDSAUDITLINK___1" hidden="1">{"fdsup://directions/FAT Viewer?action=UPDATE&amp;creator=factset&amp;DYN_ARGS=TRUE&amp;DOC_NAME=FAT:FQL_AUDITING_CLIENT_TEMPLATE.FAT&amp;display_string=Audit&amp;VAR:KEY=MDSTAPYPWX&amp;VAR:QUERY=RkZfTkVUX0lOQyhBTk4sMjAxMCk=&amp;WINDOW=FIRST_POPUP&amp;HEIGHT=450&amp;WIDTH=450&amp;START_MAXIMIZED=","FALSE&amp;VAR:CALENDAR=FIVEDAY&amp;VAR:SYMBOL=074482&amp;VAR:INDEX=0"}</definedName>
    <definedName name="_833__FDSAUDITLINK__" localSheetId="8" hidden="1">{"fdsup://IBCentral/FAT Viewer?action=UPDATE&amp;creator=factset&amp;DOC_NAME=fat:reuters_annual_source_window.fat&amp;display_string=Audit&amp;DYN_ARGS=TRUE&amp;VAR:ID1=221353&amp;VAR:RCODE=FDSPFDSTKTOTAL&amp;VAR:SDATE=20051299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833__FDSAUDITLINK__" hidden="1">{"fdsup://IBCentral/FAT Viewer?action=UPDATE&amp;creator=factset&amp;DOC_NAME=fat:reuters_annual_source_window.fat&amp;display_string=Audit&amp;DYN_ARGS=TRUE&amp;VAR:ID1=221353&amp;VAR:RCODE=FDSPFDSTKTOTAL&amp;VAR:SDATE=20051299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834__FDSAUDITLINK__" localSheetId="8" hidden="1">{"fdsup://Directions/FactSet Auditing Viewer?action=AUDIT_VALUE&amp;DB=129&amp;ID1=B5KKT9&amp;VALUEID=01001&amp;SDATE=2010&amp;PERIODTYPE=ANN_STD&amp;SCFT=3&amp;window=popup_no_bar&amp;width=385&amp;height=120&amp;START_MAXIMIZED=FALSE&amp;creator=factset&amp;display_string=Audit"}</definedName>
    <definedName name="_834__FDSAUDITLINK__" hidden="1">{"fdsup://Directions/FactSet Auditing Viewer?action=AUDIT_VALUE&amp;DB=129&amp;ID1=B5KKT9&amp;VALUEID=01001&amp;SDATE=2010&amp;PERIODTYPE=ANN_STD&amp;SCFT=3&amp;window=popup_no_bar&amp;width=385&amp;height=120&amp;START_MAXIMIZED=FALSE&amp;creator=factset&amp;display_string=Audit"}</definedName>
    <definedName name="_834__FDSAUDITLINK___1" localSheetId="8" hidden="1">{"fdsup://Directions/FactSet Auditing Viewer?action=AUDIT_VALUE&amp;DB=129&amp;ID1=B5KKT9&amp;VALUEID=01001&amp;SDATE=2010&amp;PERIODTYPE=ANN_STD&amp;SCFT=3&amp;window=popup_no_bar&amp;width=385&amp;height=120&amp;START_MAXIMIZED=FALSE&amp;creator=factset&amp;display_string=Audit"}</definedName>
    <definedName name="_834__FDSAUDITLINK___1" hidden="1">{"fdsup://Directions/FactSet Auditing Viewer?action=AUDIT_VALUE&amp;DB=129&amp;ID1=B5KKT9&amp;VALUEID=01001&amp;SDATE=2010&amp;PERIODTYPE=ANN_STD&amp;SCFT=3&amp;window=popup_no_bar&amp;width=385&amp;height=120&amp;START_MAXIMIZED=FALSE&amp;creator=factset&amp;display_string=Audit"}</definedName>
    <definedName name="_835__FDSAUDITLINK__" localSheetId="8" hidden="1">{"fdsup://directions/FAT Viewer?action=UPDATE&amp;creator=factset&amp;DYN_ARGS=TRUE&amp;DOC_NAME=FAT:FQL_AUDITING_CLIENT_TEMPLATE.FAT&amp;display_string=Audit&amp;VAR:KEY=PQRCHCXELQ&amp;VAR:QUERY=RkZfRU5UUlBSX1ZBTF9EQUlMWSgwLCwsLCwnRElMJyk=&amp;WINDOW=FIRST_POPUP&amp;HEIGHT=450&amp;WIDTH=450&amp;","START_MAXIMIZED=FALSE&amp;VAR:CALENDAR=FIVEDAY&amp;VAR:SYMBOL=B5KKT9&amp;VAR:INDEX=0"}</definedName>
    <definedName name="_835__FDSAUDITLINK__" hidden="1">{"fdsup://directions/FAT Viewer?action=UPDATE&amp;creator=factset&amp;DYN_ARGS=TRUE&amp;DOC_NAME=FAT:FQL_AUDITING_CLIENT_TEMPLATE.FAT&amp;display_string=Audit&amp;VAR:KEY=PQRCHCXELQ&amp;VAR:QUERY=RkZfRU5UUlBSX1ZBTF9EQUlMWSgwLCwsLCwnRElMJyk=&amp;WINDOW=FIRST_POPUP&amp;HEIGHT=450&amp;WIDTH=450&amp;","START_MAXIMIZED=FALSE&amp;VAR:CALENDAR=FIVEDAY&amp;VAR:SYMBOL=B5KKT9&amp;VAR:INDEX=0"}</definedName>
    <definedName name="_835__FDSAUDITLINK___1" localSheetId="8" hidden="1">{"fdsup://directions/FAT Viewer?action=UPDATE&amp;creator=factset&amp;DYN_ARGS=TRUE&amp;DOC_NAME=FAT:FQL_AUDITING_CLIENT_TEMPLATE.FAT&amp;display_string=Audit&amp;VAR:KEY=PQRCHCXELQ&amp;VAR:QUERY=RkZfRU5UUlBSX1ZBTF9EQUlMWSgwLCwsLCwnRElMJyk=&amp;WINDOW=FIRST_POPUP&amp;HEIGHT=450&amp;WIDTH=450&amp;","START_MAXIMIZED=FALSE&amp;VAR:CALENDAR=FIVEDAY&amp;VAR:SYMBOL=B5KKT9&amp;VAR:INDEX=0"}</definedName>
    <definedName name="_835__FDSAUDITLINK___1" hidden="1">{"fdsup://directions/FAT Viewer?action=UPDATE&amp;creator=factset&amp;DYN_ARGS=TRUE&amp;DOC_NAME=FAT:FQL_AUDITING_CLIENT_TEMPLATE.FAT&amp;display_string=Audit&amp;VAR:KEY=PQRCHCXELQ&amp;VAR:QUERY=RkZfRU5UUlBSX1ZBTF9EQUlMWSgwLCwsLCwnRElMJyk=&amp;WINDOW=FIRST_POPUP&amp;HEIGHT=450&amp;WIDTH=450&amp;","START_MAXIMIZED=FALSE&amp;VAR:CALENDAR=FIVEDAY&amp;VAR:SYMBOL=B5KKT9&amp;VAR:INDEX=0"}</definedName>
    <definedName name="_836__FDSAUDITLINK__" localSheetId="8" hidden="1">{"fdsup://directions/FAT Viewer?action=UPDATE&amp;creator=factset&amp;DYN_ARGS=TRUE&amp;DOC_NAME=FAT:FQL_AUDITING_CLIENT_TEMPLATE.FAT&amp;display_string=Audit&amp;VAR:KEY=RSNKXOHSJM&amp;VAR:QUERY=RkZfTkVUX0lOQyhBTk4sMjAxMCk=&amp;WINDOW=FIRST_POPUP&amp;HEIGHT=450&amp;WIDTH=450&amp;START_MAXIMIZED=","FALSE&amp;VAR:CALENDAR=FIVEDAY&amp;VAR:SYMBOL=B4YCDF&amp;VAR:INDEX=0"}</definedName>
    <definedName name="_836__FDSAUDITLINK__" hidden="1">{"fdsup://directions/FAT Viewer?action=UPDATE&amp;creator=factset&amp;DYN_ARGS=TRUE&amp;DOC_NAME=FAT:FQL_AUDITING_CLIENT_TEMPLATE.FAT&amp;display_string=Audit&amp;VAR:KEY=RSNKXOHSJM&amp;VAR:QUERY=RkZfTkVUX0lOQyhBTk4sMjAxMCk=&amp;WINDOW=FIRST_POPUP&amp;HEIGHT=450&amp;WIDTH=450&amp;START_MAXIMIZED=","FALSE&amp;VAR:CALENDAR=FIVEDAY&amp;VAR:SYMBOL=B4YCDF&amp;VAR:INDEX=0"}</definedName>
    <definedName name="_836__FDSAUDITLINK___1" localSheetId="8" hidden="1">{"fdsup://directions/FAT Viewer?action=UPDATE&amp;creator=factset&amp;DYN_ARGS=TRUE&amp;DOC_NAME=FAT:FQL_AUDITING_CLIENT_TEMPLATE.FAT&amp;display_string=Audit&amp;VAR:KEY=RSNKXOHSJM&amp;VAR:QUERY=RkZfTkVUX0lOQyhBTk4sMjAxMCk=&amp;WINDOW=FIRST_POPUP&amp;HEIGHT=450&amp;WIDTH=450&amp;START_MAXIMIZED=","FALSE&amp;VAR:CALENDAR=FIVEDAY&amp;VAR:SYMBOL=B4YCDF&amp;VAR:INDEX=0"}</definedName>
    <definedName name="_836__FDSAUDITLINK___1" hidden="1">{"fdsup://directions/FAT Viewer?action=UPDATE&amp;creator=factset&amp;DYN_ARGS=TRUE&amp;DOC_NAME=FAT:FQL_AUDITING_CLIENT_TEMPLATE.FAT&amp;display_string=Audit&amp;VAR:KEY=RSNKXOHSJM&amp;VAR:QUERY=RkZfTkVUX0lOQyhBTk4sMjAxMCk=&amp;WINDOW=FIRST_POPUP&amp;HEIGHT=450&amp;WIDTH=450&amp;START_MAXIMIZED=","FALSE&amp;VAR:CALENDAR=FIVEDAY&amp;VAR:SYMBOL=B4YCDF&amp;VAR:INDEX=0"}</definedName>
    <definedName name="_837__FDSAUDITLINK__" localSheetId="8" hidden="1">{"fdsup://directions/FAT Viewer?action=UPDATE&amp;creator=factset&amp;DYN_ARGS=TRUE&amp;DOC_NAME=FAT:FQL_AUDITING_CLIENT_TEMPLATE.FAT&amp;display_string=Audit&amp;VAR:KEY=TIBMRSXCFM&amp;VAR:QUERY=RkZfRUJJVERBX09QRVIoQU5OLDIwMTAp&amp;WINDOW=FIRST_POPUP&amp;HEIGHT=450&amp;WIDTH=450&amp;START_MAXIMI","ZED=FALSE&amp;VAR:CALENDAR=FIVEDAY&amp;VAR:SYMBOL=074482&amp;VAR:INDEX=0"}</definedName>
    <definedName name="_837__FDSAUDITLINK__" hidden="1">{"fdsup://directions/FAT Viewer?action=UPDATE&amp;creator=factset&amp;DYN_ARGS=TRUE&amp;DOC_NAME=FAT:FQL_AUDITING_CLIENT_TEMPLATE.FAT&amp;display_string=Audit&amp;VAR:KEY=TIBMRSXCFM&amp;VAR:QUERY=RkZfRUJJVERBX09QRVIoQU5OLDIwMTAp&amp;WINDOW=FIRST_POPUP&amp;HEIGHT=450&amp;WIDTH=450&amp;START_MAXIMI","ZED=FALSE&amp;VAR:CALENDAR=FIVEDAY&amp;VAR:SYMBOL=074482&amp;VAR:INDEX=0"}</definedName>
    <definedName name="_837__FDSAUDITLINK___1" localSheetId="8" hidden="1">{"fdsup://directions/FAT Viewer?action=UPDATE&amp;creator=factset&amp;DYN_ARGS=TRUE&amp;DOC_NAME=FAT:FQL_AUDITING_CLIENT_TEMPLATE.FAT&amp;display_string=Audit&amp;VAR:KEY=TIBMRSXCFM&amp;VAR:QUERY=RkZfRUJJVERBX09QRVIoQU5OLDIwMTAp&amp;WINDOW=FIRST_POPUP&amp;HEIGHT=450&amp;WIDTH=450&amp;START_MAXIMI","ZED=FALSE&amp;VAR:CALENDAR=FIVEDAY&amp;VAR:SYMBOL=074482&amp;VAR:INDEX=0"}</definedName>
    <definedName name="_837__FDSAUDITLINK___1" hidden="1">{"fdsup://directions/FAT Viewer?action=UPDATE&amp;creator=factset&amp;DYN_ARGS=TRUE&amp;DOC_NAME=FAT:FQL_AUDITING_CLIENT_TEMPLATE.FAT&amp;display_string=Audit&amp;VAR:KEY=TIBMRSXCFM&amp;VAR:QUERY=RkZfRUJJVERBX09QRVIoQU5OLDIwMTAp&amp;WINDOW=FIRST_POPUP&amp;HEIGHT=450&amp;WIDTH=450&amp;START_MAXIMI","ZED=FALSE&amp;VAR:CALENDAR=FIVEDAY&amp;VAR:SYMBOL=074482&amp;VAR:INDEX=0"}</definedName>
    <definedName name="_838__FDSAUDITLINK__" localSheetId="8" hidden="1">{"fdsup://directions/FAT Viewer?action=UPDATE&amp;creator=factset&amp;DYN_ARGS=TRUE&amp;DOC_NAME=FAT:FQL_AUDITING_CLIENT_TEMPLATE.FAT&amp;display_string=Audit&amp;VAR:KEY=LWNWXOXAJY&amp;VAR:QUERY=RkZfRUJJVERBX09QRVIoQU5OLDIwMDkp&amp;WINDOW=FIRST_POPUP&amp;HEIGHT=450&amp;WIDTH=450&amp;START_MAXIMI","ZED=FALSE&amp;VAR:CALENDAR=FIVEDAY&amp;VAR:SYMBOL=B4YCDF&amp;VAR:INDEX=0"}</definedName>
    <definedName name="_838__FDSAUDITLINK__" hidden="1">{"fdsup://directions/FAT Viewer?action=UPDATE&amp;creator=factset&amp;DYN_ARGS=TRUE&amp;DOC_NAME=FAT:FQL_AUDITING_CLIENT_TEMPLATE.FAT&amp;display_string=Audit&amp;VAR:KEY=LWNWXOXAJY&amp;VAR:QUERY=RkZfRUJJVERBX09QRVIoQU5OLDIwMDkp&amp;WINDOW=FIRST_POPUP&amp;HEIGHT=450&amp;WIDTH=450&amp;START_MAXIMI","ZED=FALSE&amp;VAR:CALENDAR=FIVEDAY&amp;VAR:SYMBOL=B4YCDF&amp;VAR:INDEX=0"}</definedName>
    <definedName name="_838__FDSAUDITLINK___1" localSheetId="8" hidden="1">{"fdsup://directions/FAT Viewer?action=UPDATE&amp;creator=factset&amp;DYN_ARGS=TRUE&amp;DOC_NAME=FAT:FQL_AUDITING_CLIENT_TEMPLATE.FAT&amp;display_string=Audit&amp;VAR:KEY=LWNWXOXAJY&amp;VAR:QUERY=RkZfRUJJVERBX09QRVIoQU5OLDIwMDkp&amp;WINDOW=FIRST_POPUP&amp;HEIGHT=450&amp;WIDTH=450&amp;START_MAXIMI","ZED=FALSE&amp;VAR:CALENDAR=FIVEDAY&amp;VAR:SYMBOL=B4YCDF&amp;VAR:INDEX=0"}</definedName>
    <definedName name="_838__FDSAUDITLINK___1" hidden="1">{"fdsup://directions/FAT Viewer?action=UPDATE&amp;creator=factset&amp;DYN_ARGS=TRUE&amp;DOC_NAME=FAT:FQL_AUDITING_CLIENT_TEMPLATE.FAT&amp;display_string=Audit&amp;VAR:KEY=LWNWXOXAJY&amp;VAR:QUERY=RkZfRUJJVERBX09QRVIoQU5OLDIwMDkp&amp;WINDOW=FIRST_POPUP&amp;HEIGHT=450&amp;WIDTH=450&amp;START_MAXIMI","ZED=FALSE&amp;VAR:CALENDAR=FIVEDAY&amp;VAR:SYMBOL=B4YCDF&amp;VAR:INDEX=0"}</definedName>
    <definedName name="_839__FDSAUDITLINK__" localSheetId="8" hidden="1">{"fdsup://directions/FAT Viewer?action=UPDATE&amp;creator=factset&amp;DYN_ARGS=TRUE&amp;DOC_NAME=FAT:FQL_AUDITING_CLIENT_TEMPLATE.FAT&amp;display_string=Audit&amp;VAR:KEY=NGTQNQLQJG&amp;VAR:QUERY=RkZfRUJJVF9PUEVSKEFOTiwyMDA4KQ==&amp;WINDOW=FIRST_POPUP&amp;HEIGHT=450&amp;WIDTH=450&amp;START_MAXIMI","ZED=FALSE&amp;VAR:CALENDAR=FIVEDAY&amp;VAR:SYMBOL=B5KKT9&amp;VAR:INDEX=0"}</definedName>
    <definedName name="_839__FDSAUDITLINK__" hidden="1">{"fdsup://directions/FAT Viewer?action=UPDATE&amp;creator=factset&amp;DYN_ARGS=TRUE&amp;DOC_NAME=FAT:FQL_AUDITING_CLIENT_TEMPLATE.FAT&amp;display_string=Audit&amp;VAR:KEY=NGTQNQLQJG&amp;VAR:QUERY=RkZfRUJJVF9PUEVSKEFOTiwyMDA4KQ==&amp;WINDOW=FIRST_POPUP&amp;HEIGHT=450&amp;WIDTH=450&amp;START_MAXIMI","ZED=FALSE&amp;VAR:CALENDAR=FIVEDAY&amp;VAR:SYMBOL=B5KKT9&amp;VAR:INDEX=0"}</definedName>
    <definedName name="_839__FDSAUDITLINK___1" localSheetId="8" hidden="1">{"fdsup://directions/FAT Viewer?action=UPDATE&amp;creator=factset&amp;DYN_ARGS=TRUE&amp;DOC_NAME=FAT:FQL_AUDITING_CLIENT_TEMPLATE.FAT&amp;display_string=Audit&amp;VAR:KEY=NGTQNQLQJG&amp;VAR:QUERY=RkZfRUJJVF9PUEVSKEFOTiwyMDA4KQ==&amp;WINDOW=FIRST_POPUP&amp;HEIGHT=450&amp;WIDTH=450&amp;START_MAXIMI","ZED=FALSE&amp;VAR:CALENDAR=FIVEDAY&amp;VAR:SYMBOL=B5KKT9&amp;VAR:INDEX=0"}</definedName>
    <definedName name="_839__FDSAUDITLINK___1" hidden="1">{"fdsup://directions/FAT Viewer?action=UPDATE&amp;creator=factset&amp;DYN_ARGS=TRUE&amp;DOC_NAME=FAT:FQL_AUDITING_CLIENT_TEMPLATE.FAT&amp;display_string=Audit&amp;VAR:KEY=NGTQNQLQJG&amp;VAR:QUERY=RkZfRUJJVF9PUEVSKEFOTiwyMDA4KQ==&amp;WINDOW=FIRST_POPUP&amp;HEIGHT=450&amp;WIDTH=450&amp;START_MAXIMI","ZED=FALSE&amp;VAR:CALENDAR=FIVEDAY&amp;VAR:SYMBOL=B5KKT9&amp;VAR:INDEX=0"}</definedName>
    <definedName name="_84__123Graph_CCHART_12" hidden="1">#REF!</definedName>
    <definedName name="_84__123Graph_ECHART_4" localSheetId="8" hidden="1">#REF!</definedName>
    <definedName name="_84__123Graph_ECHART_4" hidden="1">#REF!</definedName>
    <definedName name="_84__123Graph_LBL_CCHART_1" hidden="1">#REF!</definedName>
    <definedName name="_84__FDSAUDITLINK__" localSheetId="8" hidden="1">{"fdsup://directions/FAT Viewer?action=UPDATE&amp;creator=factset&amp;DYN_ARGS=TRUE&amp;DOC_NAME=FAT:FQL_AUDITING_CLIENT_TEMPLATE.FAT&amp;display_string=Audit&amp;VAR:KEY=DQVEJCRUFQ&amp;VAR:QUERY=RkZfRUJJVF9JQignQU5OJywzNzM0NiwsLCwnR0JQJyk=&amp;WINDOW=FIRST_POPUP&amp;HEIGHT=450&amp;WIDTH=450&amp;","START_MAXIMIZED=FALSE&amp;VAR:CALENDAR=FIVEDAY&amp;VAR:SYMBOL=092210&amp;VAR:INDEX=0"}</definedName>
    <definedName name="_84__FDSAUDITLINK__" hidden="1">{"fdsup://directions/FAT Viewer?action=UPDATE&amp;creator=factset&amp;DYN_ARGS=TRUE&amp;DOC_NAME=FAT:FQL_AUDITING_CLIENT_TEMPLATE.FAT&amp;display_string=Audit&amp;VAR:KEY=EXGNSVKXQF&amp;VAR:QUERY=RkZfRUJJVF9PUEVSKENBTCwyMDEwKQ==&amp;WINDOW=FIRST_POPUP&amp;HEIGHT=450&amp;WIDTH=450&amp;START_MAXIMI","ZED=FALSE&amp;VAR:CALENDAR=US&amp;VAR:SYMBOL=TXI&amp;VAR:INDEX=0"}</definedName>
    <definedName name="_84__FDSAUDITLINK___1" localSheetId="8" hidden="1">{"fdsup://directions/FAT Viewer?action=UPDATE&amp;creator=factset&amp;DYN_ARGS=TRUE&amp;DOC_NAME=FAT:FQL_AUDITING_CLIENT_TEMPLATE.FAT&amp;display_string=Audit&amp;VAR:KEY=DQVEJCRUFQ&amp;VAR:QUERY=RkZfRUJJVF9JQignQU5OJywzNzM0NiwsLCwnR0JQJyk=&amp;WINDOW=FIRST_POPUP&amp;HEIGHT=450&amp;WIDTH=450&amp;","START_MAXIMIZED=FALSE&amp;VAR:CALENDAR=FIVEDAY&amp;VAR:SYMBOL=092210&amp;VAR:INDEX=0"}</definedName>
    <definedName name="_84__FDSAUDITLINK___1" hidden="1">{"fdsup://directions/FAT Viewer?action=UPDATE&amp;creator=factset&amp;DYN_ARGS=TRUE&amp;DOC_NAME=FAT:FQL_AUDITING_CLIENT_TEMPLATE.FAT&amp;display_string=Audit&amp;VAR:KEY=DQVEJCRUFQ&amp;VAR:QUERY=RkZfRUJJVF9JQignQU5OJywzNzM0NiwsLCwnR0JQJyk=&amp;WINDOW=FIRST_POPUP&amp;HEIGHT=450&amp;WIDTH=450&amp;","START_MAXIMIZED=FALSE&amp;VAR:CALENDAR=FIVEDAY&amp;VAR:SYMBOL=092210&amp;VAR:INDEX=0"}</definedName>
    <definedName name="_840__FDSAUDITLINK__" localSheetId="8" hidden="1">{"fdsup://directions/FAT Viewer?action=UPDATE&amp;creator=factset&amp;DYN_ARGS=TRUE&amp;DOC_NAME=FAT:FQL_AUDITING_CLIENT_TEMPLATE.FAT&amp;display_string=Audit&amp;VAR:KEY=DQVKTUPALU&amp;VAR:QUERY=RkZfTkVUX0lOQyhBTk4sMjAwOCk=&amp;WINDOW=FIRST_POPUP&amp;HEIGHT=450&amp;WIDTH=450&amp;START_MAXIMIZED=","FALSE&amp;VAR:CALENDAR=FIVEDAY&amp;VAR:SYMBOL=B4YCDF&amp;VAR:INDEX=0"}</definedName>
    <definedName name="_840__FDSAUDITLINK__" hidden="1">{"fdsup://directions/FAT Viewer?action=UPDATE&amp;creator=factset&amp;DYN_ARGS=TRUE&amp;DOC_NAME=FAT:FQL_AUDITING_CLIENT_TEMPLATE.FAT&amp;display_string=Audit&amp;VAR:KEY=DQVKTUPALU&amp;VAR:QUERY=RkZfTkVUX0lOQyhBTk4sMjAwOCk=&amp;WINDOW=FIRST_POPUP&amp;HEIGHT=450&amp;WIDTH=450&amp;START_MAXIMIZED=","FALSE&amp;VAR:CALENDAR=FIVEDAY&amp;VAR:SYMBOL=B4YCDF&amp;VAR:INDEX=0"}</definedName>
    <definedName name="_840__FDSAUDITLINK___1" localSheetId="8" hidden="1">{"fdsup://directions/FAT Viewer?action=UPDATE&amp;creator=factset&amp;DYN_ARGS=TRUE&amp;DOC_NAME=FAT:FQL_AUDITING_CLIENT_TEMPLATE.FAT&amp;display_string=Audit&amp;VAR:KEY=DQVKTUPALU&amp;VAR:QUERY=RkZfTkVUX0lOQyhBTk4sMjAwOCk=&amp;WINDOW=FIRST_POPUP&amp;HEIGHT=450&amp;WIDTH=450&amp;START_MAXIMIZED=","FALSE&amp;VAR:CALENDAR=FIVEDAY&amp;VAR:SYMBOL=B4YCDF&amp;VAR:INDEX=0"}</definedName>
    <definedName name="_840__FDSAUDITLINK___1" hidden="1">{"fdsup://directions/FAT Viewer?action=UPDATE&amp;creator=factset&amp;DYN_ARGS=TRUE&amp;DOC_NAME=FAT:FQL_AUDITING_CLIENT_TEMPLATE.FAT&amp;display_string=Audit&amp;VAR:KEY=DQVKTUPALU&amp;VAR:QUERY=RkZfTkVUX0lOQyhBTk4sMjAwOCk=&amp;WINDOW=FIRST_POPUP&amp;HEIGHT=450&amp;WIDTH=450&amp;START_MAXIMIZED=","FALSE&amp;VAR:CALENDAR=FIVEDAY&amp;VAR:SYMBOL=B4YCDF&amp;VAR:INDEX=0"}</definedName>
    <definedName name="_841__FDSAUDITLINK__" localSheetId="8" hidden="1">{"fdsup://directions/FAT Viewer?action=UPDATE&amp;creator=factset&amp;DYN_ARGS=TRUE&amp;DOC_NAME=FAT:FQL_AUDITING_CLIENT_TEMPLATE.FAT&amp;display_string=Audit&amp;VAR:KEY=RGFWPMTERI&amp;VAR:QUERY=RkZfQ0FQRVgoQU5OLDIwMTAp&amp;WINDOW=FIRST_POPUP&amp;HEIGHT=450&amp;WIDTH=450&amp;START_MAXIMIZED=FALS","E&amp;VAR:CALENDAR=FIVEDAY&amp;VAR:SYMBOL=074482&amp;VAR:INDEX=0"}</definedName>
    <definedName name="_841__FDSAUDITLINK__" hidden="1">{"fdsup://directions/FAT Viewer?action=UPDATE&amp;creator=factset&amp;DYN_ARGS=TRUE&amp;DOC_NAME=FAT:FQL_AUDITING_CLIENT_TEMPLATE.FAT&amp;display_string=Audit&amp;VAR:KEY=RGFWPMTERI&amp;VAR:QUERY=RkZfQ0FQRVgoQU5OLDIwMTAp&amp;WINDOW=FIRST_POPUP&amp;HEIGHT=450&amp;WIDTH=450&amp;START_MAXIMIZED=FALS","E&amp;VAR:CALENDAR=FIVEDAY&amp;VAR:SYMBOL=074482&amp;VAR:INDEX=0"}</definedName>
    <definedName name="_841__FDSAUDITLINK___1" localSheetId="8" hidden="1">{"fdsup://directions/FAT Viewer?action=UPDATE&amp;creator=factset&amp;DYN_ARGS=TRUE&amp;DOC_NAME=FAT:FQL_AUDITING_CLIENT_TEMPLATE.FAT&amp;display_string=Audit&amp;VAR:KEY=RGFWPMTERI&amp;VAR:QUERY=RkZfQ0FQRVgoQU5OLDIwMTAp&amp;WINDOW=FIRST_POPUP&amp;HEIGHT=450&amp;WIDTH=450&amp;START_MAXIMIZED=FALS","E&amp;VAR:CALENDAR=FIVEDAY&amp;VAR:SYMBOL=074482&amp;VAR:INDEX=0"}</definedName>
    <definedName name="_841__FDSAUDITLINK___1" hidden="1">{"fdsup://directions/FAT Viewer?action=UPDATE&amp;creator=factset&amp;DYN_ARGS=TRUE&amp;DOC_NAME=FAT:FQL_AUDITING_CLIENT_TEMPLATE.FAT&amp;display_string=Audit&amp;VAR:KEY=RGFWPMTERI&amp;VAR:QUERY=RkZfQ0FQRVgoQU5OLDIwMTAp&amp;WINDOW=FIRST_POPUP&amp;HEIGHT=450&amp;WIDTH=450&amp;START_MAXIMIZED=FALS","E&amp;VAR:CALENDAR=FIVEDAY&amp;VAR:SYMBOL=074482&amp;VAR:INDEX=0"}</definedName>
    <definedName name="_842__FDSAUDITLINK__" localSheetId="8" hidden="1">{"fdsup://directions/FAT Viewer?action=UPDATE&amp;creator=factset&amp;DYN_ARGS=TRUE&amp;DOC_NAME=FAT:FQL_AUDITING_CLIENT_TEMPLATE.FAT&amp;display_string=Audit&amp;VAR:KEY=BADAPERMPA&amp;VAR:QUERY=RkZfQ0FQRVgoQU5OLDIwMDkp&amp;WINDOW=FIRST_POPUP&amp;HEIGHT=450&amp;WIDTH=450&amp;START_MAXIMIZED=FALS","E&amp;VAR:CALENDAR=FIVEDAY&amp;VAR:SYMBOL=B4YCDF&amp;VAR:INDEX=0"}</definedName>
    <definedName name="_842__FDSAUDITLINK__" hidden="1">{"fdsup://directions/FAT Viewer?action=UPDATE&amp;creator=factset&amp;DYN_ARGS=TRUE&amp;DOC_NAME=FAT:FQL_AUDITING_CLIENT_TEMPLATE.FAT&amp;display_string=Audit&amp;VAR:KEY=BADAPERMPA&amp;VAR:QUERY=RkZfQ0FQRVgoQU5OLDIwMDkp&amp;WINDOW=FIRST_POPUP&amp;HEIGHT=450&amp;WIDTH=450&amp;START_MAXIMIZED=FALS","E&amp;VAR:CALENDAR=FIVEDAY&amp;VAR:SYMBOL=B4YCDF&amp;VAR:INDEX=0"}</definedName>
    <definedName name="_842__FDSAUDITLINK___1" localSheetId="8" hidden="1">{"fdsup://directions/FAT Viewer?action=UPDATE&amp;creator=factset&amp;DYN_ARGS=TRUE&amp;DOC_NAME=FAT:FQL_AUDITING_CLIENT_TEMPLATE.FAT&amp;display_string=Audit&amp;VAR:KEY=BADAPERMPA&amp;VAR:QUERY=RkZfQ0FQRVgoQU5OLDIwMDkp&amp;WINDOW=FIRST_POPUP&amp;HEIGHT=450&amp;WIDTH=450&amp;START_MAXIMIZED=FALS","E&amp;VAR:CALENDAR=FIVEDAY&amp;VAR:SYMBOL=B4YCDF&amp;VAR:INDEX=0"}</definedName>
    <definedName name="_842__FDSAUDITLINK___1" hidden="1">{"fdsup://directions/FAT Viewer?action=UPDATE&amp;creator=factset&amp;DYN_ARGS=TRUE&amp;DOC_NAME=FAT:FQL_AUDITING_CLIENT_TEMPLATE.FAT&amp;display_string=Audit&amp;VAR:KEY=BADAPERMPA&amp;VAR:QUERY=RkZfQ0FQRVgoQU5OLDIwMDkp&amp;WINDOW=FIRST_POPUP&amp;HEIGHT=450&amp;WIDTH=450&amp;START_MAXIMIZED=FALS","E&amp;VAR:CALENDAR=FIVEDAY&amp;VAR:SYMBOL=B4YCDF&amp;VAR:INDEX=0"}</definedName>
    <definedName name="_843__FDSAUDITLINK__" localSheetId="8" hidden="1">{"fdsup://Directions/FactSet Auditing Viewer?action=AUDIT_VALUE&amp;DB=129&amp;ID1=B5KKT9&amp;VALUEID=01001&amp;SDATE=2009&amp;PERIODTYPE=ANN_STD&amp;SCFT=3&amp;window=popup_no_bar&amp;width=385&amp;height=120&amp;START_MAXIMIZED=FALSE&amp;creator=factset&amp;display_string=Audit"}</definedName>
    <definedName name="_843__FDSAUDITLINK__" hidden="1">{"fdsup://Directions/FactSet Auditing Viewer?action=AUDIT_VALUE&amp;DB=129&amp;ID1=B5KKT9&amp;VALUEID=01001&amp;SDATE=2009&amp;PERIODTYPE=ANN_STD&amp;SCFT=3&amp;window=popup_no_bar&amp;width=385&amp;height=120&amp;START_MAXIMIZED=FALSE&amp;creator=factset&amp;display_string=Audit"}</definedName>
    <definedName name="_843__FDSAUDITLINK___1" localSheetId="8" hidden="1">{"fdsup://Directions/FactSet Auditing Viewer?action=AUDIT_VALUE&amp;DB=129&amp;ID1=B5KKT9&amp;VALUEID=01001&amp;SDATE=2009&amp;PERIODTYPE=ANN_STD&amp;SCFT=3&amp;window=popup_no_bar&amp;width=385&amp;height=120&amp;START_MAXIMIZED=FALSE&amp;creator=factset&amp;display_string=Audit"}</definedName>
    <definedName name="_843__FDSAUDITLINK___1" hidden="1">{"fdsup://Directions/FactSet Auditing Viewer?action=AUDIT_VALUE&amp;DB=129&amp;ID1=B5KKT9&amp;VALUEID=01001&amp;SDATE=2009&amp;PERIODTYPE=ANN_STD&amp;SCFT=3&amp;window=popup_no_bar&amp;width=385&amp;height=120&amp;START_MAXIMIZED=FALSE&amp;creator=factset&amp;display_string=Audit"}</definedName>
    <definedName name="_844__FDSAUDITLINK__" localSheetId="8" hidden="1">{"fdsup://directions/FAT Viewer?action=UPDATE&amp;creator=factset&amp;DYN_ARGS=TRUE&amp;DOC_NAME=FAT:FQL_AUDITING_CLIENT_TEMPLATE.FAT&amp;display_string=Audit&amp;VAR:KEY=UVUVEXGXKB&amp;VAR:QUERY=RkZfRUJJVERBX09QRVIoQU5OLDIwMDgp&amp;WINDOW=FIRST_POPUP&amp;HEIGHT=450&amp;WIDTH=450&amp;START_MAXIMI","ZED=FALSE&amp;VAR:CALENDAR=FIVEDAY&amp;VAR:SYMBOL=B5KKT9&amp;VAR:INDEX=0"}</definedName>
    <definedName name="_844__FDSAUDITLINK__" hidden="1">{"fdsup://directions/FAT Viewer?action=UPDATE&amp;creator=factset&amp;DYN_ARGS=TRUE&amp;DOC_NAME=FAT:FQL_AUDITING_CLIENT_TEMPLATE.FAT&amp;display_string=Audit&amp;VAR:KEY=UVUVEXGXKB&amp;VAR:QUERY=RkZfRUJJVERBX09QRVIoQU5OLDIwMDgp&amp;WINDOW=FIRST_POPUP&amp;HEIGHT=450&amp;WIDTH=450&amp;START_MAXIMI","ZED=FALSE&amp;VAR:CALENDAR=FIVEDAY&amp;VAR:SYMBOL=B5KKT9&amp;VAR:INDEX=0"}</definedName>
    <definedName name="_844__FDSAUDITLINK___1" localSheetId="8" hidden="1">{"fdsup://directions/FAT Viewer?action=UPDATE&amp;creator=factset&amp;DYN_ARGS=TRUE&amp;DOC_NAME=FAT:FQL_AUDITING_CLIENT_TEMPLATE.FAT&amp;display_string=Audit&amp;VAR:KEY=UVUVEXGXKB&amp;VAR:QUERY=RkZfRUJJVERBX09QRVIoQU5OLDIwMDgp&amp;WINDOW=FIRST_POPUP&amp;HEIGHT=450&amp;WIDTH=450&amp;START_MAXIMI","ZED=FALSE&amp;VAR:CALENDAR=FIVEDAY&amp;VAR:SYMBOL=B5KKT9&amp;VAR:INDEX=0"}</definedName>
    <definedName name="_844__FDSAUDITLINK___1" hidden="1">{"fdsup://directions/FAT Viewer?action=UPDATE&amp;creator=factset&amp;DYN_ARGS=TRUE&amp;DOC_NAME=FAT:FQL_AUDITING_CLIENT_TEMPLATE.FAT&amp;display_string=Audit&amp;VAR:KEY=UVUVEXGXKB&amp;VAR:QUERY=RkZfRUJJVERBX09QRVIoQU5OLDIwMDgp&amp;WINDOW=FIRST_POPUP&amp;HEIGHT=450&amp;WIDTH=450&amp;START_MAXIMI","ZED=FALSE&amp;VAR:CALENDAR=FIVEDAY&amp;VAR:SYMBOL=B5KKT9&amp;VAR:INDEX=0"}</definedName>
    <definedName name="_845__FDSAUDITLINK__" localSheetId="8" hidden="1">{"fdsup://directions/FAT Viewer?action=UPDATE&amp;creator=factset&amp;DYN_ARGS=TRUE&amp;DOC_NAME=FAT:FQL_AUDITING_CLIENT_TEMPLATE.FAT&amp;display_string=Audit&amp;VAR:KEY=KNCZEHEPUN&amp;VAR:QUERY=RkZfRUJJVERBX09QRVIoQU5OLDIwMTAp&amp;WINDOW=FIRST_POPUP&amp;HEIGHT=450&amp;WIDTH=450&amp;START_MAXIMI","ZED=FALSE&amp;VAR:CALENDAR=FIVEDAY&amp;VAR:SYMBOL=B5KKT9&amp;VAR:INDEX=0"}</definedName>
    <definedName name="_845__FDSAUDITLINK__" hidden="1">{"fdsup://directions/FAT Viewer?action=UPDATE&amp;creator=factset&amp;DYN_ARGS=TRUE&amp;DOC_NAME=FAT:FQL_AUDITING_CLIENT_TEMPLATE.FAT&amp;display_string=Audit&amp;VAR:KEY=KNCZEHEPUN&amp;VAR:QUERY=RkZfRUJJVERBX09QRVIoQU5OLDIwMTAp&amp;WINDOW=FIRST_POPUP&amp;HEIGHT=450&amp;WIDTH=450&amp;START_MAXIMI","ZED=FALSE&amp;VAR:CALENDAR=FIVEDAY&amp;VAR:SYMBOL=B5KKT9&amp;VAR:INDEX=0"}</definedName>
    <definedName name="_845__FDSAUDITLINK___1" localSheetId="8" hidden="1">{"fdsup://directions/FAT Viewer?action=UPDATE&amp;creator=factset&amp;DYN_ARGS=TRUE&amp;DOC_NAME=FAT:FQL_AUDITING_CLIENT_TEMPLATE.FAT&amp;display_string=Audit&amp;VAR:KEY=KNCZEHEPUN&amp;VAR:QUERY=RkZfRUJJVERBX09QRVIoQU5OLDIwMTAp&amp;WINDOW=FIRST_POPUP&amp;HEIGHT=450&amp;WIDTH=450&amp;START_MAXIMI","ZED=FALSE&amp;VAR:CALENDAR=FIVEDAY&amp;VAR:SYMBOL=B5KKT9&amp;VAR:INDEX=0"}</definedName>
    <definedName name="_845__FDSAUDITLINK___1" hidden="1">{"fdsup://directions/FAT Viewer?action=UPDATE&amp;creator=factset&amp;DYN_ARGS=TRUE&amp;DOC_NAME=FAT:FQL_AUDITING_CLIENT_TEMPLATE.FAT&amp;display_string=Audit&amp;VAR:KEY=KNCZEHEPUN&amp;VAR:QUERY=RkZfRUJJVERBX09QRVIoQU5OLDIwMTAp&amp;WINDOW=FIRST_POPUP&amp;HEIGHT=450&amp;WIDTH=450&amp;START_MAXIMI","ZED=FALSE&amp;VAR:CALENDAR=FIVEDAY&amp;VAR:SYMBOL=B5KKT9&amp;VAR:INDEX=0"}</definedName>
    <definedName name="_846__FDSAUDITLINK__" localSheetId="8" hidden="1">{"fdsup://directions/FAT Viewer?action=UPDATE&amp;creator=factset&amp;DYN_ARGS=TRUE&amp;DOC_NAME=FAT:FQL_AUDITING_CLIENT_TEMPLATE.FAT&amp;display_string=Audit&amp;VAR:KEY=VOVGVALUJA&amp;VAR:QUERY=RkZfRUJJVF9PUEVSKEFOTiwyMDA5KQ==&amp;WINDOW=FIRST_POPUP&amp;HEIGHT=450&amp;WIDTH=450&amp;START_MAXIMI","ZED=FALSE&amp;VAR:CALENDAR=FIVEDAY&amp;VAR:SYMBOL=B5KKT9&amp;VAR:INDEX=0"}</definedName>
    <definedName name="_846__FDSAUDITLINK__" hidden="1">{"fdsup://directions/FAT Viewer?action=UPDATE&amp;creator=factset&amp;DYN_ARGS=TRUE&amp;DOC_NAME=FAT:FQL_AUDITING_CLIENT_TEMPLATE.FAT&amp;display_string=Audit&amp;VAR:KEY=VOVGVALUJA&amp;VAR:QUERY=RkZfRUJJVF9PUEVSKEFOTiwyMDA5KQ==&amp;WINDOW=FIRST_POPUP&amp;HEIGHT=450&amp;WIDTH=450&amp;START_MAXIMI","ZED=FALSE&amp;VAR:CALENDAR=FIVEDAY&amp;VAR:SYMBOL=B5KKT9&amp;VAR:INDEX=0"}</definedName>
    <definedName name="_846__FDSAUDITLINK___1" localSheetId="8" hidden="1">{"fdsup://directions/FAT Viewer?action=UPDATE&amp;creator=factset&amp;DYN_ARGS=TRUE&amp;DOC_NAME=FAT:FQL_AUDITING_CLIENT_TEMPLATE.FAT&amp;display_string=Audit&amp;VAR:KEY=VOVGVALUJA&amp;VAR:QUERY=RkZfRUJJVF9PUEVSKEFOTiwyMDA5KQ==&amp;WINDOW=FIRST_POPUP&amp;HEIGHT=450&amp;WIDTH=450&amp;START_MAXIMI","ZED=FALSE&amp;VAR:CALENDAR=FIVEDAY&amp;VAR:SYMBOL=B5KKT9&amp;VAR:INDEX=0"}</definedName>
    <definedName name="_846__FDSAUDITLINK___1" hidden="1">{"fdsup://directions/FAT Viewer?action=UPDATE&amp;creator=factset&amp;DYN_ARGS=TRUE&amp;DOC_NAME=FAT:FQL_AUDITING_CLIENT_TEMPLATE.FAT&amp;display_string=Audit&amp;VAR:KEY=VOVGVALUJA&amp;VAR:QUERY=RkZfRUJJVF9PUEVSKEFOTiwyMDA5KQ==&amp;WINDOW=FIRST_POPUP&amp;HEIGHT=450&amp;WIDTH=450&amp;START_MAXIMI","ZED=FALSE&amp;VAR:CALENDAR=FIVEDAY&amp;VAR:SYMBOL=B5KKT9&amp;VAR:INDEX=0"}</definedName>
    <definedName name="_847__FDSAUDITLINK__" localSheetId="8" hidden="1">{"fdsup://directions/FAT Viewer?action=UPDATE&amp;creator=factset&amp;DYN_ARGS=TRUE&amp;DOC_NAME=FAT:FQL_AUDITING_CLIENT_TEMPLATE.FAT&amp;display_string=Audit&amp;VAR:KEY=CZAFGLATWH&amp;VAR:QUERY=RkZfRUJJVF9PUEVSKEFOTiwyMDEwKQ==&amp;WINDOW=FIRST_POPUP&amp;HEIGHT=450&amp;WIDTH=450&amp;START_MAXIMI","ZED=FALSE&amp;VAR:CALENDAR=FIVEDAY&amp;VAR:SYMBOL=B5KKT9&amp;VAR:INDEX=0"}</definedName>
    <definedName name="_847__FDSAUDITLINK__" hidden="1">{"fdsup://directions/FAT Viewer?action=UPDATE&amp;creator=factset&amp;DYN_ARGS=TRUE&amp;DOC_NAME=FAT:FQL_AUDITING_CLIENT_TEMPLATE.FAT&amp;display_string=Audit&amp;VAR:KEY=CZAFGLATWH&amp;VAR:QUERY=RkZfRUJJVF9PUEVSKEFOTiwyMDEwKQ==&amp;WINDOW=FIRST_POPUP&amp;HEIGHT=450&amp;WIDTH=450&amp;START_MAXIMI","ZED=FALSE&amp;VAR:CALENDAR=FIVEDAY&amp;VAR:SYMBOL=B5KKT9&amp;VAR:INDEX=0"}</definedName>
    <definedName name="_847__FDSAUDITLINK___1" localSheetId="8" hidden="1">{"fdsup://directions/FAT Viewer?action=UPDATE&amp;creator=factset&amp;DYN_ARGS=TRUE&amp;DOC_NAME=FAT:FQL_AUDITING_CLIENT_TEMPLATE.FAT&amp;display_string=Audit&amp;VAR:KEY=CZAFGLATWH&amp;VAR:QUERY=RkZfRUJJVF9PUEVSKEFOTiwyMDEwKQ==&amp;WINDOW=FIRST_POPUP&amp;HEIGHT=450&amp;WIDTH=450&amp;START_MAXIMI","ZED=FALSE&amp;VAR:CALENDAR=FIVEDAY&amp;VAR:SYMBOL=B5KKT9&amp;VAR:INDEX=0"}</definedName>
    <definedName name="_847__FDSAUDITLINK___1" hidden="1">{"fdsup://directions/FAT Viewer?action=UPDATE&amp;creator=factset&amp;DYN_ARGS=TRUE&amp;DOC_NAME=FAT:FQL_AUDITING_CLIENT_TEMPLATE.FAT&amp;display_string=Audit&amp;VAR:KEY=CZAFGLATWH&amp;VAR:QUERY=RkZfRUJJVF9PUEVSKEFOTiwyMDEwKQ==&amp;WINDOW=FIRST_POPUP&amp;HEIGHT=450&amp;WIDTH=450&amp;START_MAXIMI","ZED=FALSE&amp;VAR:CALENDAR=FIVEDAY&amp;VAR:SYMBOL=B5KKT9&amp;VAR:INDEX=0"}</definedName>
    <definedName name="_848__FDSAUDITLINK__" localSheetId="8" hidden="1">{"fdsup://directions/FAT Viewer?action=UPDATE&amp;creator=factset&amp;DYN_ARGS=TRUE&amp;DOC_NAME=FAT:FQL_AUDITING_CLIENT_TEMPLATE.FAT&amp;display_string=Audit&amp;VAR:KEY=ANMBILAFUZ&amp;VAR:QUERY=RkZfQ0FQRVgoQU5OLDIwMDgp&amp;WINDOW=FIRST_POPUP&amp;HEIGHT=450&amp;WIDTH=450&amp;START_MAXIMIZED=FALS","E&amp;VAR:CALENDAR=FIVEDAY&amp;VAR:SYMBOL=B5KKT9&amp;VAR:INDEX=0"}</definedName>
    <definedName name="_848__FDSAUDITLINK__" hidden="1">{"fdsup://directions/FAT Viewer?action=UPDATE&amp;creator=factset&amp;DYN_ARGS=TRUE&amp;DOC_NAME=FAT:FQL_AUDITING_CLIENT_TEMPLATE.FAT&amp;display_string=Audit&amp;VAR:KEY=ANMBILAFUZ&amp;VAR:QUERY=RkZfQ0FQRVgoQU5OLDIwMDgp&amp;WINDOW=FIRST_POPUP&amp;HEIGHT=450&amp;WIDTH=450&amp;START_MAXIMIZED=FALS","E&amp;VAR:CALENDAR=FIVEDAY&amp;VAR:SYMBOL=B5KKT9&amp;VAR:INDEX=0"}</definedName>
    <definedName name="_848__FDSAUDITLINK___1" localSheetId="8" hidden="1">{"fdsup://directions/FAT Viewer?action=UPDATE&amp;creator=factset&amp;DYN_ARGS=TRUE&amp;DOC_NAME=FAT:FQL_AUDITING_CLIENT_TEMPLATE.FAT&amp;display_string=Audit&amp;VAR:KEY=ANMBILAFUZ&amp;VAR:QUERY=RkZfQ0FQRVgoQU5OLDIwMDgp&amp;WINDOW=FIRST_POPUP&amp;HEIGHT=450&amp;WIDTH=450&amp;START_MAXIMIZED=FALS","E&amp;VAR:CALENDAR=FIVEDAY&amp;VAR:SYMBOL=B5KKT9&amp;VAR:INDEX=0"}</definedName>
    <definedName name="_848__FDSAUDITLINK___1" hidden="1">{"fdsup://directions/FAT Viewer?action=UPDATE&amp;creator=factset&amp;DYN_ARGS=TRUE&amp;DOC_NAME=FAT:FQL_AUDITING_CLIENT_TEMPLATE.FAT&amp;display_string=Audit&amp;VAR:KEY=ANMBILAFUZ&amp;VAR:QUERY=RkZfQ0FQRVgoQU5OLDIwMDgp&amp;WINDOW=FIRST_POPUP&amp;HEIGHT=450&amp;WIDTH=450&amp;START_MAXIMIZED=FALS","E&amp;VAR:CALENDAR=FIVEDAY&amp;VAR:SYMBOL=B5KKT9&amp;VAR:INDEX=0"}</definedName>
    <definedName name="_849__FDSAUDITLINK__" localSheetId="8" hidden="1">{"fdsup://directions/FAT Viewer?action=UPDATE&amp;creator=factset&amp;DYN_ARGS=TRUE&amp;DOC_NAME=FAT:FQL_AUDITING_CLIENT_TEMPLATE.FAT&amp;display_string=Audit&amp;VAR:KEY=ERODMPYVEV&amp;VAR:QUERY=RkZfQ0FQRVgoQU5OLDIwMTAp&amp;WINDOW=FIRST_POPUP&amp;HEIGHT=450&amp;WIDTH=450&amp;START_MAXIMIZED=FALS","E&amp;VAR:CALENDAR=FIVEDAY&amp;VAR:SYMBOL=B5KKT9&amp;VAR:INDEX=0"}</definedName>
    <definedName name="_849__FDSAUDITLINK__" hidden="1">{"fdsup://directions/FAT Viewer?action=UPDATE&amp;creator=factset&amp;DYN_ARGS=TRUE&amp;DOC_NAME=FAT:FQL_AUDITING_CLIENT_TEMPLATE.FAT&amp;display_string=Audit&amp;VAR:KEY=ERODMPYVEV&amp;VAR:QUERY=RkZfQ0FQRVgoQU5OLDIwMTAp&amp;WINDOW=FIRST_POPUP&amp;HEIGHT=450&amp;WIDTH=450&amp;START_MAXIMIZED=FALS","E&amp;VAR:CALENDAR=FIVEDAY&amp;VAR:SYMBOL=B5KKT9&amp;VAR:INDEX=0"}</definedName>
    <definedName name="_849__FDSAUDITLINK___1" localSheetId="8" hidden="1">{"fdsup://directions/FAT Viewer?action=UPDATE&amp;creator=factset&amp;DYN_ARGS=TRUE&amp;DOC_NAME=FAT:FQL_AUDITING_CLIENT_TEMPLATE.FAT&amp;display_string=Audit&amp;VAR:KEY=ERODMPYVEV&amp;VAR:QUERY=RkZfQ0FQRVgoQU5OLDIwMTAp&amp;WINDOW=FIRST_POPUP&amp;HEIGHT=450&amp;WIDTH=450&amp;START_MAXIMIZED=FALS","E&amp;VAR:CALENDAR=FIVEDAY&amp;VAR:SYMBOL=B5KKT9&amp;VAR:INDEX=0"}</definedName>
    <definedName name="_849__FDSAUDITLINK___1" hidden="1">{"fdsup://directions/FAT Viewer?action=UPDATE&amp;creator=factset&amp;DYN_ARGS=TRUE&amp;DOC_NAME=FAT:FQL_AUDITING_CLIENT_TEMPLATE.FAT&amp;display_string=Audit&amp;VAR:KEY=ERODMPYVEV&amp;VAR:QUERY=RkZfQ0FQRVgoQU5OLDIwMTAp&amp;WINDOW=FIRST_POPUP&amp;HEIGHT=450&amp;WIDTH=450&amp;START_MAXIMIZED=FALS","E&amp;VAR:CALENDAR=FIVEDAY&amp;VAR:SYMBOL=B5KKT9&amp;VAR:INDEX=0"}</definedName>
    <definedName name="_85__123Graph_CCHART_13" hidden="1">#REF!</definedName>
    <definedName name="_85__123Graph_ECHART_5" localSheetId="8" hidden="1">#REF!</definedName>
    <definedName name="_85__123Graph_ECHART_5" hidden="1">#REF!</definedName>
    <definedName name="_85__123Graph_LBL_CCHART_12" hidden="1">#REF!</definedName>
    <definedName name="_85__FDSAUDITLINK__" localSheetId="8" hidden="1">{"fdsup://directions/FAT Viewer?action=UPDATE&amp;creator=factset&amp;DYN_ARGS=TRUE&amp;DOC_NAME=FAT:FQL_AUDITING_CLIENT_TEMPLATE.FAT&amp;display_string=Audit&amp;VAR:KEY=TQRUNQFMVK&amp;VAR:QUERY=RkZfRUJJVF9JQignQU5OJywzNjk4MSwsLCwnR0JQJyk=&amp;WINDOW=FIRST_POPUP&amp;HEIGHT=450&amp;WIDTH=450&amp;","START_MAXIMIZED=FALSE&amp;VAR:CALENDAR=FIVEDAY&amp;VAR:SYMBOL=092210&amp;VAR:INDEX=0"}</definedName>
    <definedName name="_85__FDSAUDITLINK__" hidden="1">{"fdsup://directions/FAT Viewer?action=UPDATE&amp;creator=factset&amp;DYN_ARGS=TRUE&amp;DOC_NAME=FAT:FQL_AUDITING_CLIENT_TEMPLATE.FAT&amp;display_string=Audit&amp;VAR:KEY=YVUXKLMZIT&amp;VAR:QUERY=RkZfRUJJVF9PUEVSKENBTCwyMDEwKQ==&amp;WINDOW=FIRST_POPUP&amp;HEIGHT=450&amp;WIDTH=450&amp;START_MAXIMI","ZED=FALSE&amp;VAR:CALENDAR=US&amp;VAR:SYMBOL=USCR&amp;VAR:INDEX=0"}</definedName>
    <definedName name="_85__FDSAUDITLINK___1" localSheetId="8" hidden="1">{"fdsup://directions/FAT Viewer?action=UPDATE&amp;creator=factset&amp;DYN_ARGS=TRUE&amp;DOC_NAME=FAT:FQL_AUDITING_CLIENT_TEMPLATE.FAT&amp;display_string=Audit&amp;VAR:KEY=TQRUNQFMVK&amp;VAR:QUERY=RkZfRUJJVF9JQignQU5OJywzNjk4MSwsLCwnR0JQJyk=&amp;WINDOW=FIRST_POPUP&amp;HEIGHT=450&amp;WIDTH=450&amp;","START_MAXIMIZED=FALSE&amp;VAR:CALENDAR=FIVEDAY&amp;VAR:SYMBOL=092210&amp;VAR:INDEX=0"}</definedName>
    <definedName name="_85__FDSAUDITLINK___1" hidden="1">{"fdsup://directions/FAT Viewer?action=UPDATE&amp;creator=factset&amp;DYN_ARGS=TRUE&amp;DOC_NAME=FAT:FQL_AUDITING_CLIENT_TEMPLATE.FAT&amp;display_string=Audit&amp;VAR:KEY=TQRUNQFMVK&amp;VAR:QUERY=RkZfRUJJVF9JQignQU5OJywzNjk4MSwsLCwnR0JQJyk=&amp;WINDOW=FIRST_POPUP&amp;HEIGHT=450&amp;WIDTH=450&amp;","START_MAXIMIZED=FALSE&amp;VAR:CALENDAR=FIVEDAY&amp;VAR:SYMBOL=092210&amp;VAR:INDEX=0"}</definedName>
    <definedName name="_850__FDSAUDITLINK__" localSheetId="8" hidden="1">{"fdsup://directions/FAT Viewer?action=UPDATE&amp;creator=factset&amp;DYN_ARGS=TRUE&amp;DOC_NAME=FAT:FQL_AUDITING_CLIENT_TEMPLATE.FAT&amp;display_string=Audit&amp;VAR:KEY=REXWVYVMXQ&amp;VAR:QUERY=RkZfTkVUX0lOQyhBTk4sMjAwOSk=&amp;WINDOW=FIRST_POPUP&amp;HEIGHT=450&amp;WIDTH=450&amp;START_MAXIMIZED=","FALSE&amp;VAR:CALENDAR=FIVEDAY&amp;VAR:SYMBOL=B5KKT9&amp;VAR:INDEX=0"}</definedName>
    <definedName name="_850__FDSAUDITLINK__" hidden="1">{"fdsup://directions/FAT Viewer?action=UPDATE&amp;creator=factset&amp;DYN_ARGS=TRUE&amp;DOC_NAME=FAT:FQL_AUDITING_CLIENT_TEMPLATE.FAT&amp;display_string=Audit&amp;VAR:KEY=REXWVYVMXQ&amp;VAR:QUERY=RkZfTkVUX0lOQyhBTk4sMjAwOSk=&amp;WINDOW=FIRST_POPUP&amp;HEIGHT=450&amp;WIDTH=450&amp;START_MAXIMIZED=","FALSE&amp;VAR:CALENDAR=FIVEDAY&amp;VAR:SYMBOL=B5KKT9&amp;VAR:INDEX=0"}</definedName>
    <definedName name="_850__FDSAUDITLINK___1" localSheetId="8" hidden="1">{"fdsup://directions/FAT Viewer?action=UPDATE&amp;creator=factset&amp;DYN_ARGS=TRUE&amp;DOC_NAME=FAT:FQL_AUDITING_CLIENT_TEMPLATE.FAT&amp;display_string=Audit&amp;VAR:KEY=REXWVYVMXQ&amp;VAR:QUERY=RkZfTkVUX0lOQyhBTk4sMjAwOSk=&amp;WINDOW=FIRST_POPUP&amp;HEIGHT=450&amp;WIDTH=450&amp;START_MAXIMIZED=","FALSE&amp;VAR:CALENDAR=FIVEDAY&amp;VAR:SYMBOL=B5KKT9&amp;VAR:INDEX=0"}</definedName>
    <definedName name="_850__FDSAUDITLINK___1" hidden="1">{"fdsup://directions/FAT Viewer?action=UPDATE&amp;creator=factset&amp;DYN_ARGS=TRUE&amp;DOC_NAME=FAT:FQL_AUDITING_CLIENT_TEMPLATE.FAT&amp;display_string=Audit&amp;VAR:KEY=REXWVYVMXQ&amp;VAR:QUERY=RkZfTkVUX0lOQyhBTk4sMjAwOSk=&amp;WINDOW=FIRST_POPUP&amp;HEIGHT=450&amp;WIDTH=450&amp;START_MAXIMIZED=","FALSE&amp;VAR:CALENDAR=FIVEDAY&amp;VAR:SYMBOL=B5KKT9&amp;VAR:INDEX=0"}</definedName>
    <definedName name="_851__FDSAUDITLINK__" localSheetId="8" hidden="1">{"fdsup://directions/FAT Viewer?action=UPDATE&amp;creator=factset&amp;DYN_ARGS=TRUE&amp;DOC_NAME=FAT:FQL_AUDITING_CLIENT_TEMPLATE.FAT&amp;display_string=Audit&amp;VAR:KEY=XGLQFIJEPS&amp;VAR:QUERY=RkZfTkVUX0lOQyhBTk4sMjAxMSk=&amp;WINDOW=FIRST_POPUP&amp;HEIGHT=450&amp;WIDTH=450&amp;START_MAXIMIZED=","FALSE&amp;VAR:CALENDAR=FIVEDAY&amp;VAR:SYMBOL=B5KKT9&amp;VAR:INDEX=0"}</definedName>
    <definedName name="_851__FDSAUDITLINK__" hidden="1">{"fdsup://directions/FAT Viewer?action=UPDATE&amp;creator=factset&amp;DYN_ARGS=TRUE&amp;DOC_NAME=FAT:FQL_AUDITING_CLIENT_TEMPLATE.FAT&amp;display_string=Audit&amp;VAR:KEY=XGLQFIJEPS&amp;VAR:QUERY=RkZfTkVUX0lOQyhBTk4sMjAxMSk=&amp;WINDOW=FIRST_POPUP&amp;HEIGHT=450&amp;WIDTH=450&amp;START_MAXIMIZED=","FALSE&amp;VAR:CALENDAR=FIVEDAY&amp;VAR:SYMBOL=B5KKT9&amp;VAR:INDEX=0"}</definedName>
    <definedName name="_851__FDSAUDITLINK___1" localSheetId="8" hidden="1">{"fdsup://directions/FAT Viewer?action=UPDATE&amp;creator=factset&amp;DYN_ARGS=TRUE&amp;DOC_NAME=FAT:FQL_AUDITING_CLIENT_TEMPLATE.FAT&amp;display_string=Audit&amp;VAR:KEY=XGLQFIJEPS&amp;VAR:QUERY=RkZfTkVUX0lOQyhBTk4sMjAxMSk=&amp;WINDOW=FIRST_POPUP&amp;HEIGHT=450&amp;WIDTH=450&amp;START_MAXIMIZED=","FALSE&amp;VAR:CALENDAR=FIVEDAY&amp;VAR:SYMBOL=B5KKT9&amp;VAR:INDEX=0"}</definedName>
    <definedName name="_851__FDSAUDITLINK___1" hidden="1">{"fdsup://directions/FAT Viewer?action=UPDATE&amp;creator=factset&amp;DYN_ARGS=TRUE&amp;DOC_NAME=FAT:FQL_AUDITING_CLIENT_TEMPLATE.FAT&amp;display_string=Audit&amp;VAR:KEY=XGLQFIJEPS&amp;VAR:QUERY=RkZfTkVUX0lOQyhBTk4sMjAxMSk=&amp;WINDOW=FIRST_POPUP&amp;HEIGHT=450&amp;WIDTH=450&amp;START_MAXIMIZED=","FALSE&amp;VAR:CALENDAR=FIVEDAY&amp;VAR:SYMBOL=B5KKT9&amp;VAR:INDEX=0"}</definedName>
    <definedName name="_852__FDSAUDITLINK__" localSheetId="8" hidden="1">{"fdsup://directions/FAT Viewer?action=UPDATE&amp;creator=factset&amp;DYN_ARGS=TRUE&amp;DOC_NAME=FAT:FQL_AUDITING_CLIENT_TEMPLATE.FAT&amp;display_string=Audit&amp;VAR:KEY=WZMPUHAJCT&amp;VAR:QUERY=RkZfRU5UUlBSX1ZBTF9EQUlMWSgwLCwsLCwnRElMJyk=&amp;WINDOW=FIRST_POPUP&amp;HEIGHT=450&amp;WIDTH=450&amp;","START_MAXIMIZED=FALSE&amp;VAR:CALENDAR=FIVEDAY&amp;VAR:SYMBOL=B5KKT9&amp;VAR:INDEX=0"}</definedName>
    <definedName name="_852__FDSAUDITLINK__" hidden="1">{"fdsup://directions/FAT Viewer?action=UPDATE&amp;creator=factset&amp;DYN_ARGS=TRUE&amp;DOC_NAME=FAT:FQL_AUDITING_CLIENT_TEMPLATE.FAT&amp;display_string=Audit&amp;VAR:KEY=WZMPUHAJCT&amp;VAR:QUERY=RkZfRU5UUlBSX1ZBTF9EQUlMWSgwLCwsLCwnRElMJyk=&amp;WINDOW=FIRST_POPUP&amp;HEIGHT=450&amp;WIDTH=450&amp;","START_MAXIMIZED=FALSE&amp;VAR:CALENDAR=FIVEDAY&amp;VAR:SYMBOL=B5KKT9&amp;VAR:INDEX=0"}</definedName>
    <definedName name="_852__FDSAUDITLINK___1" localSheetId="8" hidden="1">{"fdsup://directions/FAT Viewer?action=UPDATE&amp;creator=factset&amp;DYN_ARGS=TRUE&amp;DOC_NAME=FAT:FQL_AUDITING_CLIENT_TEMPLATE.FAT&amp;display_string=Audit&amp;VAR:KEY=WZMPUHAJCT&amp;VAR:QUERY=RkZfRU5UUlBSX1ZBTF9EQUlMWSgwLCwsLCwnRElMJyk=&amp;WINDOW=FIRST_POPUP&amp;HEIGHT=450&amp;WIDTH=450&amp;","START_MAXIMIZED=FALSE&amp;VAR:CALENDAR=FIVEDAY&amp;VAR:SYMBOL=B5KKT9&amp;VAR:INDEX=0"}</definedName>
    <definedName name="_852__FDSAUDITLINK___1" hidden="1">{"fdsup://directions/FAT Viewer?action=UPDATE&amp;creator=factset&amp;DYN_ARGS=TRUE&amp;DOC_NAME=FAT:FQL_AUDITING_CLIENT_TEMPLATE.FAT&amp;display_string=Audit&amp;VAR:KEY=WZMPUHAJCT&amp;VAR:QUERY=RkZfRU5UUlBSX1ZBTF9EQUlMWSgwLCwsLCwnRElMJyk=&amp;WINDOW=FIRST_POPUP&amp;HEIGHT=450&amp;WIDTH=450&amp;","START_MAXIMIZED=FALSE&amp;VAR:CALENDAR=FIVEDAY&amp;VAR:SYMBOL=B5KKT9&amp;VAR:INDEX=0"}</definedName>
    <definedName name="_853__FDSAUDITLINK__" localSheetId="8" hidden="1">{"fdsup://Directions/FactSet Auditing Viewer?action=AUDIT_VALUE&amp;DB=129&amp;ID1=B5KKT9&amp;VALUEID=01001&amp;SDATE=2010&amp;PERIODTYPE=ANN_STD&amp;SCFT=3&amp;window=popup_no_bar&amp;width=385&amp;height=120&amp;START_MAXIMIZED=FALSE&amp;creator=factset&amp;display_string=Audit"}</definedName>
    <definedName name="_853__FDSAUDITLINK__" hidden="1">{"fdsup://Directions/FactSet Auditing Viewer?action=AUDIT_VALUE&amp;DB=129&amp;ID1=B5KKT9&amp;VALUEID=01001&amp;SDATE=2010&amp;PERIODTYPE=ANN_STD&amp;SCFT=3&amp;window=popup_no_bar&amp;width=385&amp;height=120&amp;START_MAXIMIZED=FALSE&amp;creator=factset&amp;display_string=Audit"}</definedName>
    <definedName name="_853__FDSAUDITLINK___1" localSheetId="8" hidden="1">{"fdsup://Directions/FactSet Auditing Viewer?action=AUDIT_VALUE&amp;DB=129&amp;ID1=B5KKT9&amp;VALUEID=01001&amp;SDATE=2010&amp;PERIODTYPE=ANN_STD&amp;SCFT=3&amp;window=popup_no_bar&amp;width=385&amp;height=120&amp;START_MAXIMIZED=FALSE&amp;creator=factset&amp;display_string=Audit"}</definedName>
    <definedName name="_853__FDSAUDITLINK___1" hidden="1">{"fdsup://Directions/FactSet Auditing Viewer?action=AUDIT_VALUE&amp;DB=129&amp;ID1=B5KKT9&amp;VALUEID=01001&amp;SDATE=2010&amp;PERIODTYPE=ANN_STD&amp;SCFT=3&amp;window=popup_no_bar&amp;width=385&amp;height=120&amp;START_MAXIMIZED=FALSE&amp;creator=factset&amp;display_string=Audit"}</definedName>
    <definedName name="_854__FDSAUDITLINK__" localSheetId="8" hidden="1">{"fdsup://directions/FAT Viewer?action=UPDATE&amp;creator=factset&amp;DYN_ARGS=TRUE&amp;DOC_NAME=FAT:FQL_AUDITING_CLIENT_TEMPLATE.FAT&amp;display_string=Audit&amp;VAR:KEY=NWDOTOLSPA&amp;VAR:QUERY=RkZfRUJJVERBX09QRVIoQU5OLDIwMDkp&amp;WINDOW=FIRST_POPUP&amp;HEIGHT=450&amp;WIDTH=450&amp;START_MAXIMI","ZED=FALSE&amp;VAR:CALENDAR=FIVEDAY&amp;VAR:SYMBOL=B5KKT9&amp;VAR:INDEX=0"}</definedName>
    <definedName name="_854__FDSAUDITLINK__" hidden="1">{"fdsup://directions/FAT Viewer?action=UPDATE&amp;creator=factset&amp;DYN_ARGS=TRUE&amp;DOC_NAME=FAT:FQL_AUDITING_CLIENT_TEMPLATE.FAT&amp;display_string=Audit&amp;VAR:KEY=NWDOTOLSPA&amp;VAR:QUERY=RkZfRUJJVERBX09QRVIoQU5OLDIwMDkp&amp;WINDOW=FIRST_POPUP&amp;HEIGHT=450&amp;WIDTH=450&amp;START_MAXIMI","ZED=FALSE&amp;VAR:CALENDAR=FIVEDAY&amp;VAR:SYMBOL=B5KKT9&amp;VAR:INDEX=0"}</definedName>
    <definedName name="_854__FDSAUDITLINK___1" localSheetId="8" hidden="1">{"fdsup://directions/FAT Viewer?action=UPDATE&amp;creator=factset&amp;DYN_ARGS=TRUE&amp;DOC_NAME=FAT:FQL_AUDITING_CLIENT_TEMPLATE.FAT&amp;display_string=Audit&amp;VAR:KEY=NWDOTOLSPA&amp;VAR:QUERY=RkZfRUJJVERBX09QRVIoQU5OLDIwMDkp&amp;WINDOW=FIRST_POPUP&amp;HEIGHT=450&amp;WIDTH=450&amp;START_MAXIMI","ZED=FALSE&amp;VAR:CALENDAR=FIVEDAY&amp;VAR:SYMBOL=B5KKT9&amp;VAR:INDEX=0"}</definedName>
    <definedName name="_854__FDSAUDITLINK___1" hidden="1">{"fdsup://directions/FAT Viewer?action=UPDATE&amp;creator=factset&amp;DYN_ARGS=TRUE&amp;DOC_NAME=FAT:FQL_AUDITING_CLIENT_TEMPLATE.FAT&amp;display_string=Audit&amp;VAR:KEY=NWDOTOLSPA&amp;VAR:QUERY=RkZfRUJJVERBX09QRVIoQU5OLDIwMDkp&amp;WINDOW=FIRST_POPUP&amp;HEIGHT=450&amp;WIDTH=450&amp;START_MAXIMI","ZED=FALSE&amp;VAR:CALENDAR=FIVEDAY&amp;VAR:SYMBOL=B5KKT9&amp;VAR:INDEX=0"}</definedName>
    <definedName name="_855__FDSAUDITLINK__" localSheetId="8" hidden="1">{"fdsup://directions/FAT Viewer?action=UPDATE&amp;creator=factset&amp;DYN_ARGS=TRUE&amp;DOC_NAME=FAT:FQL_AUDITING_CLIENT_TEMPLATE.FAT&amp;display_string=Audit&amp;VAR:KEY=JGPSXGXMDU&amp;VAR:QUERY=RkZfRUJJVERBX09QRVIoQU5OLDIwMTEp&amp;WINDOW=FIRST_POPUP&amp;HEIGHT=450&amp;WIDTH=450&amp;START_MAXIMI","ZED=FALSE&amp;VAR:CALENDAR=FIVEDAY&amp;VAR:SYMBOL=B5KKT9&amp;VAR:INDEX=0"}</definedName>
    <definedName name="_855__FDSAUDITLINK__" hidden="1">{"fdsup://directions/FAT Viewer?action=UPDATE&amp;creator=factset&amp;DYN_ARGS=TRUE&amp;DOC_NAME=FAT:FQL_AUDITING_CLIENT_TEMPLATE.FAT&amp;display_string=Audit&amp;VAR:KEY=JGPSXGXMDU&amp;VAR:QUERY=RkZfRUJJVERBX09QRVIoQU5OLDIwMTEp&amp;WINDOW=FIRST_POPUP&amp;HEIGHT=450&amp;WIDTH=450&amp;START_MAXIMI","ZED=FALSE&amp;VAR:CALENDAR=FIVEDAY&amp;VAR:SYMBOL=B5KKT9&amp;VAR:INDEX=0"}</definedName>
    <definedName name="_855__FDSAUDITLINK___1" localSheetId="8" hidden="1">{"fdsup://directions/FAT Viewer?action=UPDATE&amp;creator=factset&amp;DYN_ARGS=TRUE&amp;DOC_NAME=FAT:FQL_AUDITING_CLIENT_TEMPLATE.FAT&amp;display_string=Audit&amp;VAR:KEY=JGPSXGXMDU&amp;VAR:QUERY=RkZfRUJJVERBX09QRVIoQU5OLDIwMTEp&amp;WINDOW=FIRST_POPUP&amp;HEIGHT=450&amp;WIDTH=450&amp;START_MAXIMI","ZED=FALSE&amp;VAR:CALENDAR=FIVEDAY&amp;VAR:SYMBOL=B5KKT9&amp;VAR:INDEX=0"}</definedName>
    <definedName name="_855__FDSAUDITLINK___1" hidden="1">{"fdsup://directions/FAT Viewer?action=UPDATE&amp;creator=factset&amp;DYN_ARGS=TRUE&amp;DOC_NAME=FAT:FQL_AUDITING_CLIENT_TEMPLATE.FAT&amp;display_string=Audit&amp;VAR:KEY=JGPSXGXMDU&amp;VAR:QUERY=RkZfRUJJVERBX09QRVIoQU5OLDIwMTEp&amp;WINDOW=FIRST_POPUP&amp;HEIGHT=450&amp;WIDTH=450&amp;START_MAXIMI","ZED=FALSE&amp;VAR:CALENDAR=FIVEDAY&amp;VAR:SYMBOL=B5KKT9&amp;VAR:INDEX=0"}</definedName>
    <definedName name="_856__FDSAUDITLINK__" localSheetId="8" hidden="1">{"fdsup://directions/FAT Viewer?action=UPDATE&amp;creator=factset&amp;DYN_ARGS=TRUE&amp;DOC_NAME=FAT:FQL_AUDITING_CLIENT_TEMPLATE.FAT&amp;display_string=Audit&amp;VAR:KEY=MNUPGVQRYB&amp;VAR:QUERY=RkZfRUJJVF9PUEVSKEFOTiwyMDA4KQ==&amp;WINDOW=FIRST_POPUP&amp;HEIGHT=450&amp;WIDTH=450&amp;START_MAXIMI","ZED=FALSE&amp;VAR:CALENDAR=FIVEDAY&amp;VAR:SYMBOL=B5KKT9&amp;VAR:INDEX=0"}</definedName>
    <definedName name="_856__FDSAUDITLINK__" hidden="1">{"fdsup://directions/FAT Viewer?action=UPDATE&amp;creator=factset&amp;DYN_ARGS=TRUE&amp;DOC_NAME=FAT:FQL_AUDITING_CLIENT_TEMPLATE.FAT&amp;display_string=Audit&amp;VAR:KEY=MNUPGVQRYB&amp;VAR:QUERY=RkZfRUJJVF9PUEVSKEFOTiwyMDA4KQ==&amp;WINDOW=FIRST_POPUP&amp;HEIGHT=450&amp;WIDTH=450&amp;START_MAXIMI","ZED=FALSE&amp;VAR:CALENDAR=FIVEDAY&amp;VAR:SYMBOL=B5KKT9&amp;VAR:INDEX=0"}</definedName>
    <definedName name="_856__FDSAUDITLINK___1" localSheetId="8" hidden="1">{"fdsup://directions/FAT Viewer?action=UPDATE&amp;creator=factset&amp;DYN_ARGS=TRUE&amp;DOC_NAME=FAT:FQL_AUDITING_CLIENT_TEMPLATE.FAT&amp;display_string=Audit&amp;VAR:KEY=MNUPGVQRYB&amp;VAR:QUERY=RkZfRUJJVF9PUEVSKEFOTiwyMDA4KQ==&amp;WINDOW=FIRST_POPUP&amp;HEIGHT=450&amp;WIDTH=450&amp;START_MAXIMI","ZED=FALSE&amp;VAR:CALENDAR=FIVEDAY&amp;VAR:SYMBOL=B5KKT9&amp;VAR:INDEX=0"}</definedName>
    <definedName name="_856__FDSAUDITLINK___1" hidden="1">{"fdsup://directions/FAT Viewer?action=UPDATE&amp;creator=factset&amp;DYN_ARGS=TRUE&amp;DOC_NAME=FAT:FQL_AUDITING_CLIENT_TEMPLATE.FAT&amp;display_string=Audit&amp;VAR:KEY=MNUPGVQRYB&amp;VAR:QUERY=RkZfRUJJVF9PUEVSKEFOTiwyMDA4KQ==&amp;WINDOW=FIRST_POPUP&amp;HEIGHT=450&amp;WIDTH=450&amp;START_MAXIMI","ZED=FALSE&amp;VAR:CALENDAR=FIVEDAY&amp;VAR:SYMBOL=B5KKT9&amp;VAR:INDEX=0"}</definedName>
    <definedName name="_857__FDSAUDITLINK__" localSheetId="8" hidden="1">{"fdsup://directions/FAT Viewer?action=UPDATE&amp;creator=factset&amp;DYN_ARGS=TRUE&amp;DOC_NAME=FAT:FQL_AUDITING_CLIENT_TEMPLATE.FAT&amp;display_string=Audit&amp;VAR:KEY=CZAFGLATWH&amp;VAR:QUERY=RkZfRUJJVF9PUEVSKEFOTiwyMDEwKQ==&amp;WINDOW=FIRST_POPUP&amp;HEIGHT=450&amp;WIDTH=450&amp;START_MAXIMI","ZED=FALSE&amp;VAR:CALENDAR=FIVEDAY&amp;VAR:SYMBOL=B5KKT9&amp;VAR:INDEX=0"}</definedName>
    <definedName name="_857__FDSAUDITLINK__" hidden="1">{"fdsup://directions/FAT Viewer?action=UPDATE&amp;creator=factset&amp;DYN_ARGS=TRUE&amp;DOC_NAME=FAT:FQL_AUDITING_CLIENT_TEMPLATE.FAT&amp;display_string=Audit&amp;VAR:KEY=CZAFGLATWH&amp;VAR:QUERY=RkZfRUJJVF9PUEVSKEFOTiwyMDEwKQ==&amp;WINDOW=FIRST_POPUP&amp;HEIGHT=450&amp;WIDTH=450&amp;START_MAXIMI","ZED=FALSE&amp;VAR:CALENDAR=FIVEDAY&amp;VAR:SYMBOL=B5KKT9&amp;VAR:INDEX=0"}</definedName>
    <definedName name="_857__FDSAUDITLINK___1" localSheetId="8" hidden="1">{"fdsup://directions/FAT Viewer?action=UPDATE&amp;creator=factset&amp;DYN_ARGS=TRUE&amp;DOC_NAME=FAT:FQL_AUDITING_CLIENT_TEMPLATE.FAT&amp;display_string=Audit&amp;VAR:KEY=CZAFGLATWH&amp;VAR:QUERY=RkZfRUJJVF9PUEVSKEFOTiwyMDEwKQ==&amp;WINDOW=FIRST_POPUP&amp;HEIGHT=450&amp;WIDTH=450&amp;START_MAXIMI","ZED=FALSE&amp;VAR:CALENDAR=FIVEDAY&amp;VAR:SYMBOL=B5KKT9&amp;VAR:INDEX=0"}</definedName>
    <definedName name="_857__FDSAUDITLINK___1" hidden="1">{"fdsup://directions/FAT Viewer?action=UPDATE&amp;creator=factset&amp;DYN_ARGS=TRUE&amp;DOC_NAME=FAT:FQL_AUDITING_CLIENT_TEMPLATE.FAT&amp;display_string=Audit&amp;VAR:KEY=CZAFGLATWH&amp;VAR:QUERY=RkZfRUJJVF9PUEVSKEFOTiwyMDEwKQ==&amp;WINDOW=FIRST_POPUP&amp;HEIGHT=450&amp;WIDTH=450&amp;START_MAXIMI","ZED=FALSE&amp;VAR:CALENDAR=FIVEDAY&amp;VAR:SYMBOL=B5KKT9&amp;VAR:INDEX=0"}</definedName>
    <definedName name="_858__FDSAUDITLINK__" localSheetId="8" hidden="1">{"fdsup://directions/FAT Viewer?action=UPDATE&amp;creator=factset&amp;DYN_ARGS=TRUE&amp;DOC_NAME=FAT:FQL_AUDITING_CLIENT_TEMPLATE.FAT&amp;display_string=Audit&amp;VAR:KEY=PITWFOJWPW&amp;VAR:QUERY=RkZfQ0FQRVgoQU5OLDIwMDkp&amp;WINDOW=FIRST_POPUP&amp;HEIGHT=450&amp;WIDTH=450&amp;START_MAXIMIZED=FALS","E&amp;VAR:CALENDAR=FIVEDAY&amp;VAR:SYMBOL=B5KKT9&amp;VAR:INDEX=0"}</definedName>
    <definedName name="_858__FDSAUDITLINK__" hidden="1">{"fdsup://directions/FAT Viewer?action=UPDATE&amp;creator=factset&amp;DYN_ARGS=TRUE&amp;DOC_NAME=FAT:FQL_AUDITING_CLIENT_TEMPLATE.FAT&amp;display_string=Audit&amp;VAR:KEY=PITWFOJWPW&amp;VAR:QUERY=RkZfQ0FQRVgoQU5OLDIwMDkp&amp;WINDOW=FIRST_POPUP&amp;HEIGHT=450&amp;WIDTH=450&amp;START_MAXIMIZED=FALS","E&amp;VAR:CALENDAR=FIVEDAY&amp;VAR:SYMBOL=B5KKT9&amp;VAR:INDEX=0"}</definedName>
    <definedName name="_858__FDSAUDITLINK___1" localSheetId="8" hidden="1">{"fdsup://directions/FAT Viewer?action=UPDATE&amp;creator=factset&amp;DYN_ARGS=TRUE&amp;DOC_NAME=FAT:FQL_AUDITING_CLIENT_TEMPLATE.FAT&amp;display_string=Audit&amp;VAR:KEY=PITWFOJWPW&amp;VAR:QUERY=RkZfQ0FQRVgoQU5OLDIwMDkp&amp;WINDOW=FIRST_POPUP&amp;HEIGHT=450&amp;WIDTH=450&amp;START_MAXIMIZED=FALS","E&amp;VAR:CALENDAR=FIVEDAY&amp;VAR:SYMBOL=B5KKT9&amp;VAR:INDEX=0"}</definedName>
    <definedName name="_858__FDSAUDITLINK___1" hidden="1">{"fdsup://directions/FAT Viewer?action=UPDATE&amp;creator=factset&amp;DYN_ARGS=TRUE&amp;DOC_NAME=FAT:FQL_AUDITING_CLIENT_TEMPLATE.FAT&amp;display_string=Audit&amp;VAR:KEY=PITWFOJWPW&amp;VAR:QUERY=RkZfQ0FQRVgoQU5OLDIwMDkp&amp;WINDOW=FIRST_POPUP&amp;HEIGHT=450&amp;WIDTH=450&amp;START_MAXIMIZED=FALS","E&amp;VAR:CALENDAR=FIVEDAY&amp;VAR:SYMBOL=B5KKT9&amp;VAR:INDEX=0"}</definedName>
    <definedName name="_859__FDSAUDITLINK__" localSheetId="8" hidden="1">{"fdsup://directions/FAT Viewer?action=UPDATE&amp;creator=factset&amp;DYN_ARGS=TRUE&amp;DOC_NAME=FAT:FQL_AUDITING_CLIENT_TEMPLATE.FAT&amp;display_string=Audit&amp;VAR:KEY=HGBCTAPCDC&amp;VAR:QUERY=RkZfQ0FQRVgoQU5OLDIwMTEp&amp;WINDOW=FIRST_POPUP&amp;HEIGHT=450&amp;WIDTH=450&amp;START_MAXIMIZED=FALS","E&amp;VAR:CALENDAR=FIVEDAY&amp;VAR:SYMBOL=B5KKT9&amp;VAR:INDEX=0"}</definedName>
    <definedName name="_859__FDSAUDITLINK__" hidden="1">{"fdsup://directions/FAT Viewer?action=UPDATE&amp;creator=factset&amp;DYN_ARGS=TRUE&amp;DOC_NAME=FAT:FQL_AUDITING_CLIENT_TEMPLATE.FAT&amp;display_string=Audit&amp;VAR:KEY=HGBCTAPCDC&amp;VAR:QUERY=RkZfQ0FQRVgoQU5OLDIwMTEp&amp;WINDOW=FIRST_POPUP&amp;HEIGHT=450&amp;WIDTH=450&amp;START_MAXIMIZED=FALS","E&amp;VAR:CALENDAR=FIVEDAY&amp;VAR:SYMBOL=B5KKT9&amp;VAR:INDEX=0"}</definedName>
    <definedName name="_859__FDSAUDITLINK___1" localSheetId="8" hidden="1">{"fdsup://directions/FAT Viewer?action=UPDATE&amp;creator=factset&amp;DYN_ARGS=TRUE&amp;DOC_NAME=FAT:FQL_AUDITING_CLIENT_TEMPLATE.FAT&amp;display_string=Audit&amp;VAR:KEY=HGBCTAPCDC&amp;VAR:QUERY=RkZfQ0FQRVgoQU5OLDIwMTEp&amp;WINDOW=FIRST_POPUP&amp;HEIGHT=450&amp;WIDTH=450&amp;START_MAXIMIZED=FALS","E&amp;VAR:CALENDAR=FIVEDAY&amp;VAR:SYMBOL=B5KKT9&amp;VAR:INDEX=0"}</definedName>
    <definedName name="_859__FDSAUDITLINK___1" hidden="1">{"fdsup://directions/FAT Viewer?action=UPDATE&amp;creator=factset&amp;DYN_ARGS=TRUE&amp;DOC_NAME=FAT:FQL_AUDITING_CLIENT_TEMPLATE.FAT&amp;display_string=Audit&amp;VAR:KEY=HGBCTAPCDC&amp;VAR:QUERY=RkZfQ0FQRVgoQU5OLDIwMTEp&amp;WINDOW=FIRST_POPUP&amp;HEIGHT=450&amp;WIDTH=450&amp;START_MAXIMIZED=FALS","E&amp;VAR:CALENDAR=FIVEDAY&amp;VAR:SYMBOL=B5KKT9&amp;VAR:INDEX=0"}</definedName>
    <definedName name="_86__123Graph_CCHART_14" hidden="1">#REF!</definedName>
    <definedName name="_86__123Graph_LBL_CCHART_13" hidden="1">#REF!</definedName>
    <definedName name="_86__FDSAUDITLINK__" localSheetId="8" hidden="1">{"fdsup://directions/FAT Viewer?action=UPDATE&amp;creator=factset&amp;DYN_ARGS=TRUE&amp;DOC_NAME=FAT:FQL_AUDITING_CLIENT_TEMPLATE.FAT&amp;display_string=Audit&amp;VAR:KEY=VEJUVWBYZU&amp;VAR:QUERY=RkZfRUJJVF9JQignQU5OJywzNjYxNiwsLCwnR0JQJyk=&amp;WINDOW=FIRST_POPUP&amp;HEIGHT=450&amp;WIDTH=450&amp;","START_MAXIMIZED=FALSE&amp;VAR:CALENDAR=FIVEDAY&amp;VAR:SYMBOL=092210&amp;VAR:INDEX=0"}</definedName>
    <definedName name="_86__FDSAUDITLINK__" hidden="1">{"fdsup://directions/FAT Viewer?action=UPDATE&amp;creator=factset&amp;DYN_ARGS=TRUE&amp;DOC_NAME=FAT:FQL_AUDITING_CLIENT_TEMPLATE.FAT&amp;display_string=Audit&amp;VAR:KEY=WXQBEDUJOT&amp;VAR:QUERY=RkZfRUJJVF9PUEVSKENBTCwyMDEwKQ==&amp;WINDOW=FIRST_POPUP&amp;HEIGHT=450&amp;WIDTH=450&amp;START_MAXIMI","ZED=FALSE&amp;VAR:CALENDAR=US&amp;VAR:SYMBOL=MLM&amp;VAR:INDEX=0"}</definedName>
    <definedName name="_86__FDSAUDITLINK___1" localSheetId="8" hidden="1">{"fdsup://directions/FAT Viewer?action=UPDATE&amp;creator=factset&amp;DYN_ARGS=TRUE&amp;DOC_NAME=FAT:FQL_AUDITING_CLIENT_TEMPLATE.FAT&amp;display_string=Audit&amp;VAR:KEY=VEJUVWBYZU&amp;VAR:QUERY=RkZfRUJJVF9JQignQU5OJywzNjYxNiwsLCwnR0JQJyk=&amp;WINDOW=FIRST_POPUP&amp;HEIGHT=450&amp;WIDTH=450&amp;","START_MAXIMIZED=FALSE&amp;VAR:CALENDAR=FIVEDAY&amp;VAR:SYMBOL=092210&amp;VAR:INDEX=0"}</definedName>
    <definedName name="_86__FDSAUDITLINK___1" hidden="1">{"fdsup://directions/FAT Viewer?action=UPDATE&amp;creator=factset&amp;DYN_ARGS=TRUE&amp;DOC_NAME=FAT:FQL_AUDITING_CLIENT_TEMPLATE.FAT&amp;display_string=Audit&amp;VAR:KEY=VEJUVWBYZU&amp;VAR:QUERY=RkZfRUJJVF9JQignQU5OJywzNjYxNiwsLCwnR0JQJyk=&amp;WINDOW=FIRST_POPUP&amp;HEIGHT=450&amp;WIDTH=450&amp;","START_MAXIMIZED=FALSE&amp;VAR:CALENDAR=FIVEDAY&amp;VAR:SYMBOL=092210&amp;VAR:INDEX=0"}</definedName>
    <definedName name="_860__FDSAUDITLINK__" localSheetId="8" hidden="1">{"fdsup://directions/FAT Viewer?action=UPDATE&amp;creator=factset&amp;DYN_ARGS=TRUE&amp;DOC_NAME=FAT:FQL_AUDITING_CLIENT_TEMPLATE.FAT&amp;display_string=Audit&amp;VAR:KEY=CXYLIRGNSV&amp;VAR:QUERY=RkZfTkVUX0lOQyhBTk4sMjAwOCk=&amp;WINDOW=FIRST_POPUP&amp;HEIGHT=450&amp;WIDTH=450&amp;START_MAXIMIZED=","FALSE&amp;VAR:CALENDAR=FIVEDAY&amp;VAR:SYMBOL=B5KKT9&amp;VAR:INDEX=0"}</definedName>
    <definedName name="_860__FDSAUDITLINK__" hidden="1">{"fdsup://directions/FAT Viewer?action=UPDATE&amp;creator=factset&amp;DYN_ARGS=TRUE&amp;DOC_NAME=FAT:FQL_AUDITING_CLIENT_TEMPLATE.FAT&amp;display_string=Audit&amp;VAR:KEY=CXYLIRGNSV&amp;VAR:QUERY=RkZfTkVUX0lOQyhBTk4sMjAwOCk=&amp;WINDOW=FIRST_POPUP&amp;HEIGHT=450&amp;WIDTH=450&amp;START_MAXIMIZED=","FALSE&amp;VAR:CALENDAR=FIVEDAY&amp;VAR:SYMBOL=B5KKT9&amp;VAR:INDEX=0"}</definedName>
    <definedName name="_860__FDSAUDITLINK___1" localSheetId="8" hidden="1">{"fdsup://directions/FAT Viewer?action=UPDATE&amp;creator=factset&amp;DYN_ARGS=TRUE&amp;DOC_NAME=FAT:FQL_AUDITING_CLIENT_TEMPLATE.FAT&amp;display_string=Audit&amp;VAR:KEY=CXYLIRGNSV&amp;VAR:QUERY=RkZfTkVUX0lOQyhBTk4sMjAwOCk=&amp;WINDOW=FIRST_POPUP&amp;HEIGHT=450&amp;WIDTH=450&amp;START_MAXIMIZED=","FALSE&amp;VAR:CALENDAR=FIVEDAY&amp;VAR:SYMBOL=B5KKT9&amp;VAR:INDEX=0"}</definedName>
    <definedName name="_860__FDSAUDITLINK___1" hidden="1">{"fdsup://directions/FAT Viewer?action=UPDATE&amp;creator=factset&amp;DYN_ARGS=TRUE&amp;DOC_NAME=FAT:FQL_AUDITING_CLIENT_TEMPLATE.FAT&amp;display_string=Audit&amp;VAR:KEY=CXYLIRGNSV&amp;VAR:QUERY=RkZfTkVUX0lOQyhBTk4sMjAwOCk=&amp;WINDOW=FIRST_POPUP&amp;HEIGHT=450&amp;WIDTH=450&amp;START_MAXIMIZED=","FALSE&amp;VAR:CALENDAR=FIVEDAY&amp;VAR:SYMBOL=B5KKT9&amp;VAR:INDEX=0"}</definedName>
    <definedName name="_861__FDSAUDITLINK__" localSheetId="8" hidden="1">{"fdsup://directions/FAT Viewer?action=UPDATE&amp;creator=factset&amp;DYN_ARGS=TRUE&amp;DOC_NAME=FAT:FQL_AUDITING_CLIENT_TEMPLATE.FAT&amp;display_string=Audit&amp;VAR:KEY=SJIBIJIXCL&amp;VAR:QUERY=RkZfTkVUX0lOQyhBTk4sMjAxMCk=&amp;WINDOW=FIRST_POPUP&amp;HEIGHT=450&amp;WIDTH=450&amp;START_MAXIMIZED=","FALSE&amp;VAR:CALENDAR=FIVEDAY&amp;VAR:SYMBOL=B5KKT9&amp;VAR:INDEX=0"}</definedName>
    <definedName name="_861__FDSAUDITLINK__" hidden="1">{"fdsup://directions/FAT Viewer?action=UPDATE&amp;creator=factset&amp;DYN_ARGS=TRUE&amp;DOC_NAME=FAT:FQL_AUDITING_CLIENT_TEMPLATE.FAT&amp;display_string=Audit&amp;VAR:KEY=SJIBIJIXCL&amp;VAR:QUERY=RkZfTkVUX0lOQyhBTk4sMjAxMCk=&amp;WINDOW=FIRST_POPUP&amp;HEIGHT=450&amp;WIDTH=450&amp;START_MAXIMIZED=","FALSE&amp;VAR:CALENDAR=FIVEDAY&amp;VAR:SYMBOL=B5KKT9&amp;VAR:INDEX=0"}</definedName>
    <definedName name="_861__FDSAUDITLINK___1" localSheetId="8" hidden="1">{"fdsup://directions/FAT Viewer?action=UPDATE&amp;creator=factset&amp;DYN_ARGS=TRUE&amp;DOC_NAME=FAT:FQL_AUDITING_CLIENT_TEMPLATE.FAT&amp;display_string=Audit&amp;VAR:KEY=SJIBIJIXCL&amp;VAR:QUERY=RkZfTkVUX0lOQyhBTk4sMjAxMCk=&amp;WINDOW=FIRST_POPUP&amp;HEIGHT=450&amp;WIDTH=450&amp;START_MAXIMIZED=","FALSE&amp;VAR:CALENDAR=FIVEDAY&amp;VAR:SYMBOL=B5KKT9&amp;VAR:INDEX=0"}</definedName>
    <definedName name="_861__FDSAUDITLINK___1" hidden="1">{"fdsup://directions/FAT Viewer?action=UPDATE&amp;creator=factset&amp;DYN_ARGS=TRUE&amp;DOC_NAME=FAT:FQL_AUDITING_CLIENT_TEMPLATE.FAT&amp;display_string=Audit&amp;VAR:KEY=SJIBIJIXCL&amp;VAR:QUERY=RkZfTkVUX0lOQyhBTk4sMjAxMCk=&amp;WINDOW=FIRST_POPUP&amp;HEIGHT=450&amp;WIDTH=450&amp;START_MAXIMIZED=","FALSE&amp;VAR:CALENDAR=FIVEDAY&amp;VAR:SYMBOL=B5KKT9&amp;VAR:INDEX=0"}</definedName>
    <definedName name="_862__FDSAUDITLINK__" localSheetId="8" hidden="1">{"fdsup://directions/FAT Viewer?action=UPDATE&amp;creator=factset&amp;DYN_ARGS=TRUE&amp;DOC_NAME=FAT:FQL_AUDITING_CLIENT_TEMPLATE.FAT&amp;display_string=Audit&amp;VAR:KEY=WZMPUHAJCT&amp;VAR:QUERY=RkZfRU5UUlBSX1ZBTF9EQUlMWSgwLCwsLCwnRElMJyk=&amp;WINDOW=FIRST_POPUP&amp;HEIGHT=450&amp;WIDTH=450&amp;","START_MAXIMIZED=FALSE&amp;VAR:CALENDAR=FIVEDAY&amp;VAR:SYMBOL=B5KKT9&amp;VAR:INDEX=0"}</definedName>
    <definedName name="_862__FDSAUDITLINK__" hidden="1">{"fdsup://directions/FAT Viewer?action=UPDATE&amp;creator=factset&amp;DYN_ARGS=TRUE&amp;DOC_NAME=FAT:FQL_AUDITING_CLIENT_TEMPLATE.FAT&amp;display_string=Audit&amp;VAR:KEY=WZMPUHAJCT&amp;VAR:QUERY=RkZfRU5UUlBSX1ZBTF9EQUlMWSgwLCwsLCwnRElMJyk=&amp;WINDOW=FIRST_POPUP&amp;HEIGHT=450&amp;WIDTH=450&amp;","START_MAXIMIZED=FALSE&amp;VAR:CALENDAR=FIVEDAY&amp;VAR:SYMBOL=B5KKT9&amp;VAR:INDEX=0"}</definedName>
    <definedName name="_862__FDSAUDITLINK___1" localSheetId="8" hidden="1">{"fdsup://directions/FAT Viewer?action=UPDATE&amp;creator=factset&amp;DYN_ARGS=TRUE&amp;DOC_NAME=FAT:FQL_AUDITING_CLIENT_TEMPLATE.FAT&amp;display_string=Audit&amp;VAR:KEY=WZMPUHAJCT&amp;VAR:QUERY=RkZfRU5UUlBSX1ZBTF9EQUlMWSgwLCwsLCwnRElMJyk=&amp;WINDOW=FIRST_POPUP&amp;HEIGHT=450&amp;WIDTH=450&amp;","START_MAXIMIZED=FALSE&amp;VAR:CALENDAR=FIVEDAY&amp;VAR:SYMBOL=B5KKT9&amp;VAR:INDEX=0"}</definedName>
    <definedName name="_862__FDSAUDITLINK___1" hidden="1">{"fdsup://directions/FAT Viewer?action=UPDATE&amp;creator=factset&amp;DYN_ARGS=TRUE&amp;DOC_NAME=FAT:FQL_AUDITING_CLIENT_TEMPLATE.FAT&amp;display_string=Audit&amp;VAR:KEY=WZMPUHAJCT&amp;VAR:QUERY=RkZfRU5UUlBSX1ZBTF9EQUlMWSgwLCwsLCwnRElMJyk=&amp;WINDOW=FIRST_POPUP&amp;HEIGHT=450&amp;WIDTH=450&amp;","START_MAXIMIZED=FALSE&amp;VAR:CALENDAR=FIVEDAY&amp;VAR:SYMBOL=B5KKT9&amp;VAR:INDEX=0"}</definedName>
    <definedName name="_863__FDSAUDITLINK__" localSheetId="8" hidden="1">{"fdsup://Directions/FactSet Auditing Viewer?action=AUDIT_VALUE&amp;DB=129&amp;ID1=B5KKT9&amp;VALUEID=01001&amp;SDATE=2010&amp;PERIODTYPE=ANN_STD&amp;SCFT=3&amp;window=popup_no_bar&amp;width=385&amp;height=120&amp;START_MAXIMIZED=FALSE&amp;creator=factset&amp;display_string=Audit"}</definedName>
    <definedName name="_863__FDSAUDITLINK__" hidden="1">{"fdsup://Directions/FactSet Auditing Viewer?action=AUDIT_VALUE&amp;DB=129&amp;ID1=B5KKT9&amp;VALUEID=01001&amp;SDATE=2010&amp;PERIODTYPE=ANN_STD&amp;SCFT=3&amp;window=popup_no_bar&amp;width=385&amp;height=120&amp;START_MAXIMIZED=FALSE&amp;creator=factset&amp;display_string=Audit"}</definedName>
    <definedName name="_863__FDSAUDITLINK___1" localSheetId="8" hidden="1">{"fdsup://Directions/FactSet Auditing Viewer?action=AUDIT_VALUE&amp;DB=129&amp;ID1=B5KKT9&amp;VALUEID=01001&amp;SDATE=2010&amp;PERIODTYPE=ANN_STD&amp;SCFT=3&amp;window=popup_no_bar&amp;width=385&amp;height=120&amp;START_MAXIMIZED=FALSE&amp;creator=factset&amp;display_string=Audit"}</definedName>
    <definedName name="_863__FDSAUDITLINK___1" hidden="1">{"fdsup://Directions/FactSet Auditing Viewer?action=AUDIT_VALUE&amp;DB=129&amp;ID1=B5KKT9&amp;VALUEID=01001&amp;SDATE=2010&amp;PERIODTYPE=ANN_STD&amp;SCFT=3&amp;window=popup_no_bar&amp;width=385&amp;height=120&amp;START_MAXIMIZED=FALSE&amp;creator=factset&amp;display_string=Audit"}</definedName>
    <definedName name="_864__FDSAUDITLINK__" localSheetId="8" hidden="1">{"fdsup://directions/FAT Viewer?action=UPDATE&amp;creator=factset&amp;DYN_ARGS=TRUE&amp;DOC_NAME=FAT:FQL_AUDITING_CLIENT_TEMPLATE.FAT&amp;display_string=Audit&amp;VAR:KEY=JGPSXGXMDU&amp;VAR:QUERY=RkZfRUJJVERBX09QRVIoQU5OLDIwMTEp&amp;WINDOW=FIRST_POPUP&amp;HEIGHT=450&amp;WIDTH=450&amp;START_MAXIMI","ZED=FALSE&amp;VAR:CALENDAR=FIVEDAY&amp;VAR:SYMBOL=B5KKT9&amp;VAR:INDEX=0"}</definedName>
    <definedName name="_864__FDSAUDITLINK__" hidden="1">{"fdsup://directions/FAT Viewer?action=UPDATE&amp;creator=factset&amp;DYN_ARGS=TRUE&amp;DOC_NAME=FAT:FQL_AUDITING_CLIENT_TEMPLATE.FAT&amp;display_string=Audit&amp;VAR:KEY=JGPSXGXMDU&amp;VAR:QUERY=RkZfRUJJVERBX09QRVIoQU5OLDIwMTEp&amp;WINDOW=FIRST_POPUP&amp;HEIGHT=450&amp;WIDTH=450&amp;START_MAXIMI","ZED=FALSE&amp;VAR:CALENDAR=FIVEDAY&amp;VAR:SYMBOL=B5KKT9&amp;VAR:INDEX=0"}</definedName>
    <definedName name="_864__FDSAUDITLINK___1" localSheetId="8" hidden="1">{"fdsup://directions/FAT Viewer?action=UPDATE&amp;creator=factset&amp;DYN_ARGS=TRUE&amp;DOC_NAME=FAT:FQL_AUDITING_CLIENT_TEMPLATE.FAT&amp;display_string=Audit&amp;VAR:KEY=JGPSXGXMDU&amp;VAR:QUERY=RkZfRUJJVERBX09QRVIoQU5OLDIwMTEp&amp;WINDOW=FIRST_POPUP&amp;HEIGHT=450&amp;WIDTH=450&amp;START_MAXIMI","ZED=FALSE&amp;VAR:CALENDAR=FIVEDAY&amp;VAR:SYMBOL=B5KKT9&amp;VAR:INDEX=0"}</definedName>
    <definedName name="_864__FDSAUDITLINK___1" hidden="1">{"fdsup://directions/FAT Viewer?action=UPDATE&amp;creator=factset&amp;DYN_ARGS=TRUE&amp;DOC_NAME=FAT:FQL_AUDITING_CLIENT_TEMPLATE.FAT&amp;display_string=Audit&amp;VAR:KEY=JGPSXGXMDU&amp;VAR:QUERY=RkZfRUJJVERBX09QRVIoQU5OLDIwMTEp&amp;WINDOW=FIRST_POPUP&amp;HEIGHT=450&amp;WIDTH=450&amp;START_MAXIMI","ZED=FALSE&amp;VAR:CALENDAR=FIVEDAY&amp;VAR:SYMBOL=B5KKT9&amp;VAR:INDEX=0"}</definedName>
    <definedName name="_865__FDSAUDITLINK__" localSheetId="8" hidden="1">{"fdsup://directions/FAT Viewer?action=UPDATE&amp;creator=factset&amp;DYN_ARGS=TRUE&amp;DOC_NAME=FAT:FQL_AUDITING_CLIENT_TEMPLATE.FAT&amp;display_string=Audit&amp;VAR:KEY=MNUPGVQRYB&amp;VAR:QUERY=RkZfRUJJVF9PUEVSKEFOTiwyMDA4KQ==&amp;WINDOW=FIRST_POPUP&amp;HEIGHT=450&amp;WIDTH=450&amp;START_MAXIMI","ZED=FALSE&amp;VAR:CALENDAR=FIVEDAY&amp;VAR:SYMBOL=B5KKT9&amp;VAR:INDEX=0"}</definedName>
    <definedName name="_865__FDSAUDITLINK__" hidden="1">{"fdsup://directions/FAT Viewer?action=UPDATE&amp;creator=factset&amp;DYN_ARGS=TRUE&amp;DOC_NAME=FAT:FQL_AUDITING_CLIENT_TEMPLATE.FAT&amp;display_string=Audit&amp;VAR:KEY=MNUPGVQRYB&amp;VAR:QUERY=RkZfRUJJVF9PUEVSKEFOTiwyMDA4KQ==&amp;WINDOW=FIRST_POPUP&amp;HEIGHT=450&amp;WIDTH=450&amp;START_MAXIMI","ZED=FALSE&amp;VAR:CALENDAR=FIVEDAY&amp;VAR:SYMBOL=B5KKT9&amp;VAR:INDEX=0"}</definedName>
    <definedName name="_865__FDSAUDITLINK___1" localSheetId="8" hidden="1">{"fdsup://directions/FAT Viewer?action=UPDATE&amp;creator=factset&amp;DYN_ARGS=TRUE&amp;DOC_NAME=FAT:FQL_AUDITING_CLIENT_TEMPLATE.FAT&amp;display_string=Audit&amp;VAR:KEY=MNUPGVQRYB&amp;VAR:QUERY=RkZfRUJJVF9PUEVSKEFOTiwyMDA4KQ==&amp;WINDOW=FIRST_POPUP&amp;HEIGHT=450&amp;WIDTH=450&amp;START_MAXIMI","ZED=FALSE&amp;VAR:CALENDAR=FIVEDAY&amp;VAR:SYMBOL=B5KKT9&amp;VAR:INDEX=0"}</definedName>
    <definedName name="_865__FDSAUDITLINK___1" hidden="1">{"fdsup://directions/FAT Viewer?action=UPDATE&amp;creator=factset&amp;DYN_ARGS=TRUE&amp;DOC_NAME=FAT:FQL_AUDITING_CLIENT_TEMPLATE.FAT&amp;display_string=Audit&amp;VAR:KEY=MNUPGVQRYB&amp;VAR:QUERY=RkZfRUJJVF9PUEVSKEFOTiwyMDA4KQ==&amp;WINDOW=FIRST_POPUP&amp;HEIGHT=450&amp;WIDTH=450&amp;START_MAXIMI","ZED=FALSE&amp;VAR:CALENDAR=FIVEDAY&amp;VAR:SYMBOL=B5KKT9&amp;VAR:INDEX=0"}</definedName>
    <definedName name="_866__FDSAUDITLINK__" localSheetId="8" hidden="1">{"fdsup://directions/FAT Viewer?action=UPDATE&amp;creator=factset&amp;DYN_ARGS=TRUE&amp;DOC_NAME=FAT:FQL_AUDITING_CLIENT_TEMPLATE.FAT&amp;display_string=Audit&amp;VAR:KEY=HGBCTAPCDC&amp;VAR:QUERY=RkZfQ0FQRVgoQU5OLDIwMTEp&amp;WINDOW=FIRST_POPUP&amp;HEIGHT=450&amp;WIDTH=450&amp;START_MAXIMIZED=FALS","E&amp;VAR:CALENDAR=FIVEDAY&amp;VAR:SYMBOL=B5KKT9&amp;VAR:INDEX=0"}</definedName>
    <definedName name="_866__FDSAUDITLINK__" hidden="1">{"fdsup://directions/FAT Viewer?action=UPDATE&amp;creator=factset&amp;DYN_ARGS=TRUE&amp;DOC_NAME=FAT:FQL_AUDITING_CLIENT_TEMPLATE.FAT&amp;display_string=Audit&amp;VAR:KEY=HGBCTAPCDC&amp;VAR:QUERY=RkZfQ0FQRVgoQU5OLDIwMTEp&amp;WINDOW=FIRST_POPUP&amp;HEIGHT=450&amp;WIDTH=450&amp;START_MAXIMIZED=FALS","E&amp;VAR:CALENDAR=FIVEDAY&amp;VAR:SYMBOL=B5KKT9&amp;VAR:INDEX=0"}</definedName>
    <definedName name="_866__FDSAUDITLINK___1" localSheetId="8" hidden="1">{"fdsup://directions/FAT Viewer?action=UPDATE&amp;creator=factset&amp;DYN_ARGS=TRUE&amp;DOC_NAME=FAT:FQL_AUDITING_CLIENT_TEMPLATE.FAT&amp;display_string=Audit&amp;VAR:KEY=HGBCTAPCDC&amp;VAR:QUERY=RkZfQ0FQRVgoQU5OLDIwMTEp&amp;WINDOW=FIRST_POPUP&amp;HEIGHT=450&amp;WIDTH=450&amp;START_MAXIMIZED=FALS","E&amp;VAR:CALENDAR=FIVEDAY&amp;VAR:SYMBOL=B5KKT9&amp;VAR:INDEX=0"}</definedName>
    <definedName name="_866__FDSAUDITLINK___1" hidden="1">{"fdsup://directions/FAT Viewer?action=UPDATE&amp;creator=factset&amp;DYN_ARGS=TRUE&amp;DOC_NAME=FAT:FQL_AUDITING_CLIENT_TEMPLATE.FAT&amp;display_string=Audit&amp;VAR:KEY=HGBCTAPCDC&amp;VAR:QUERY=RkZfQ0FQRVgoQU5OLDIwMTEp&amp;WINDOW=FIRST_POPUP&amp;HEIGHT=450&amp;WIDTH=450&amp;START_MAXIMIZED=FALS","E&amp;VAR:CALENDAR=FIVEDAY&amp;VAR:SYMBOL=B5KKT9&amp;VAR:INDEX=0"}</definedName>
    <definedName name="_867__FDSAUDITLINK__" localSheetId="8" hidden="1">{"fdsup://Directions/FactSet Auditing Viewer?action=AUDIT_VALUE&amp;DB=129&amp;ID1=B5KKT9&amp;VALUEID=01001&amp;SDATE=2009&amp;PERIODTYPE=ANN_STD&amp;SCFT=3&amp;window=popup_no_bar&amp;width=385&amp;height=120&amp;START_MAXIMIZED=FALSE&amp;creator=factset&amp;display_string=Audit"}</definedName>
    <definedName name="_867__FDSAUDITLINK__" hidden="1">{"fdsup://Directions/FactSet Auditing Viewer?action=AUDIT_VALUE&amp;DB=129&amp;ID1=B5KKT9&amp;VALUEID=01001&amp;SDATE=2009&amp;PERIODTYPE=ANN_STD&amp;SCFT=3&amp;window=popup_no_bar&amp;width=385&amp;height=120&amp;START_MAXIMIZED=FALSE&amp;creator=factset&amp;display_string=Audit"}</definedName>
    <definedName name="_867__FDSAUDITLINK___1" localSheetId="8" hidden="1">{"fdsup://Directions/FactSet Auditing Viewer?action=AUDIT_VALUE&amp;DB=129&amp;ID1=B5KKT9&amp;VALUEID=01001&amp;SDATE=2009&amp;PERIODTYPE=ANN_STD&amp;SCFT=3&amp;window=popup_no_bar&amp;width=385&amp;height=120&amp;START_MAXIMIZED=FALSE&amp;creator=factset&amp;display_string=Audit"}</definedName>
    <definedName name="_867__FDSAUDITLINK___1" hidden="1">{"fdsup://Directions/FactSet Auditing Viewer?action=AUDIT_VALUE&amp;DB=129&amp;ID1=B5KKT9&amp;VALUEID=01001&amp;SDATE=2009&amp;PERIODTYPE=ANN_STD&amp;SCFT=3&amp;window=popup_no_bar&amp;width=385&amp;height=120&amp;START_MAXIMIZED=FALSE&amp;creator=factset&amp;display_string=Audit"}</definedName>
    <definedName name="_868__FDSAUDITLINK__" localSheetId="8" hidden="1">{"fdsup://directions/FAT Viewer?action=UPDATE&amp;creator=factset&amp;DYN_ARGS=TRUE&amp;DOC_NAME=FAT:FQL_AUDITING_CLIENT_TEMPLATE.FAT&amp;display_string=Audit&amp;VAR:KEY=UVUVEXGXKB&amp;VAR:QUERY=RkZfRUJJVERBX09QRVIoQU5OLDIwMDgp&amp;WINDOW=FIRST_POPUP&amp;HEIGHT=450&amp;WIDTH=450&amp;START_MAXIMI","ZED=FALSE&amp;VAR:CALENDAR=FIVEDAY&amp;VAR:SYMBOL=B5KKT9&amp;VAR:INDEX=0"}</definedName>
    <definedName name="_868__FDSAUDITLINK__" hidden="1">{"fdsup://directions/FAT Viewer?action=UPDATE&amp;creator=factset&amp;DYN_ARGS=TRUE&amp;DOC_NAME=FAT:FQL_AUDITING_CLIENT_TEMPLATE.FAT&amp;display_string=Audit&amp;VAR:KEY=UVUVEXGXKB&amp;VAR:QUERY=RkZfRUJJVERBX09QRVIoQU5OLDIwMDgp&amp;WINDOW=FIRST_POPUP&amp;HEIGHT=450&amp;WIDTH=450&amp;START_MAXIMI","ZED=FALSE&amp;VAR:CALENDAR=FIVEDAY&amp;VAR:SYMBOL=B5KKT9&amp;VAR:INDEX=0"}</definedName>
    <definedName name="_868__FDSAUDITLINK___1" localSheetId="8" hidden="1">{"fdsup://directions/FAT Viewer?action=UPDATE&amp;creator=factset&amp;DYN_ARGS=TRUE&amp;DOC_NAME=FAT:FQL_AUDITING_CLIENT_TEMPLATE.FAT&amp;display_string=Audit&amp;VAR:KEY=UVUVEXGXKB&amp;VAR:QUERY=RkZfRUJJVERBX09QRVIoQU5OLDIwMDgp&amp;WINDOW=FIRST_POPUP&amp;HEIGHT=450&amp;WIDTH=450&amp;START_MAXIMI","ZED=FALSE&amp;VAR:CALENDAR=FIVEDAY&amp;VAR:SYMBOL=B5KKT9&amp;VAR:INDEX=0"}</definedName>
    <definedName name="_868__FDSAUDITLINK___1" hidden="1">{"fdsup://directions/FAT Viewer?action=UPDATE&amp;creator=factset&amp;DYN_ARGS=TRUE&amp;DOC_NAME=FAT:FQL_AUDITING_CLIENT_TEMPLATE.FAT&amp;display_string=Audit&amp;VAR:KEY=UVUVEXGXKB&amp;VAR:QUERY=RkZfRUJJVERBX09QRVIoQU5OLDIwMDgp&amp;WINDOW=FIRST_POPUP&amp;HEIGHT=450&amp;WIDTH=450&amp;START_MAXIMI","ZED=FALSE&amp;VAR:CALENDAR=FIVEDAY&amp;VAR:SYMBOL=B5KKT9&amp;VAR:INDEX=0"}</definedName>
    <definedName name="_869__FDSAUDITLINK__" localSheetId="8" hidden="1">{"fdsup://directions/FAT Viewer?action=UPDATE&amp;creator=factset&amp;DYN_ARGS=TRUE&amp;DOC_NAME=FAT:FQL_AUDITING_CLIENT_TEMPLATE.FAT&amp;display_string=Audit&amp;VAR:KEY=KNCZEHEPUN&amp;VAR:QUERY=RkZfRUJJVERBX09QRVIoQU5OLDIwMTAp&amp;WINDOW=FIRST_POPUP&amp;HEIGHT=450&amp;WIDTH=450&amp;START_MAXIMI","ZED=FALSE&amp;VAR:CALENDAR=FIVEDAY&amp;VAR:SYMBOL=B5KKT9&amp;VAR:INDEX=0"}</definedName>
    <definedName name="_869__FDSAUDITLINK__" hidden="1">{"fdsup://directions/FAT Viewer?action=UPDATE&amp;creator=factset&amp;DYN_ARGS=TRUE&amp;DOC_NAME=FAT:FQL_AUDITING_CLIENT_TEMPLATE.FAT&amp;display_string=Audit&amp;VAR:KEY=KNCZEHEPUN&amp;VAR:QUERY=RkZfRUJJVERBX09QRVIoQU5OLDIwMTAp&amp;WINDOW=FIRST_POPUP&amp;HEIGHT=450&amp;WIDTH=450&amp;START_MAXIMI","ZED=FALSE&amp;VAR:CALENDAR=FIVEDAY&amp;VAR:SYMBOL=B5KKT9&amp;VAR:INDEX=0"}</definedName>
    <definedName name="_869__FDSAUDITLINK___1" localSheetId="8" hidden="1">{"fdsup://directions/FAT Viewer?action=UPDATE&amp;creator=factset&amp;DYN_ARGS=TRUE&amp;DOC_NAME=FAT:FQL_AUDITING_CLIENT_TEMPLATE.FAT&amp;display_string=Audit&amp;VAR:KEY=KNCZEHEPUN&amp;VAR:QUERY=RkZfRUJJVERBX09QRVIoQU5OLDIwMTAp&amp;WINDOW=FIRST_POPUP&amp;HEIGHT=450&amp;WIDTH=450&amp;START_MAXIMI","ZED=FALSE&amp;VAR:CALENDAR=FIVEDAY&amp;VAR:SYMBOL=B5KKT9&amp;VAR:INDEX=0"}</definedName>
    <definedName name="_869__FDSAUDITLINK___1" hidden="1">{"fdsup://directions/FAT Viewer?action=UPDATE&amp;creator=factset&amp;DYN_ARGS=TRUE&amp;DOC_NAME=FAT:FQL_AUDITING_CLIENT_TEMPLATE.FAT&amp;display_string=Audit&amp;VAR:KEY=KNCZEHEPUN&amp;VAR:QUERY=RkZfRUJJVERBX09QRVIoQU5OLDIwMTAp&amp;WINDOW=FIRST_POPUP&amp;HEIGHT=450&amp;WIDTH=450&amp;START_MAXIMI","ZED=FALSE&amp;VAR:CALENDAR=FIVEDAY&amp;VAR:SYMBOL=B5KKT9&amp;VAR:INDEX=0"}</definedName>
    <definedName name="_87__123Graph_CCHART_15" hidden="1">#REF!</definedName>
    <definedName name="_87__123Graph_ECHART_7" localSheetId="8" hidden="1">#REF!</definedName>
    <definedName name="_87__123Graph_ECHART_7" hidden="1">#REF!</definedName>
    <definedName name="_87__123Graph_LBL_CCHART_14" hidden="1">#REF!</definedName>
    <definedName name="_87__FDSAUDITLINK__" localSheetId="8" hidden="1">{"fdsup://directions/FAT Viewer?action=UPDATE&amp;creator=factset&amp;DYN_ARGS=TRUE&amp;DOC_NAME=FAT:FQL_AUDITING_CLIENT_TEMPLATE.FAT&amp;display_string=Audit&amp;VAR:KEY=BSHUZGVQJO&amp;VAR:QUERY=RkZfRUJJVF9JQignQU5OJywzNjI1MCwsLCwnR0JQJyk=&amp;WINDOW=FIRST_POPUP&amp;HEIGHT=450&amp;WIDTH=450&amp;","START_MAXIMIZED=FALSE&amp;VAR:CALENDAR=FIVEDAY&amp;VAR:SYMBOL=092210&amp;VAR:INDEX=0"}</definedName>
    <definedName name="_87__FDSAUDITLINK__" hidden="1">{"fdsup://directions/FAT Viewer?action=UPDATE&amp;creator=factset&amp;DYN_ARGS=TRUE&amp;DOC_NAME=FAT:FQL_AUDITING_CLIENT_TEMPLATE.FAT&amp;display_string=Audit&amp;VAR:KEY=IDWVEPYPOJ&amp;VAR:QUERY=RkZfRUJJVF9PUEVSKENBTCwyMDEwKQ==&amp;WINDOW=FIRST_POPUP&amp;HEIGHT=450&amp;WIDTH=450&amp;START_MAXIMI","ZED=FALSE&amp;VAR:CALENDAR=US&amp;VAR:SYMBOL=EXP&amp;VAR:INDEX=0"}</definedName>
    <definedName name="_87__FDSAUDITLINK___1" localSheetId="8" hidden="1">{"fdsup://directions/FAT Viewer?action=UPDATE&amp;creator=factset&amp;DYN_ARGS=TRUE&amp;DOC_NAME=FAT:FQL_AUDITING_CLIENT_TEMPLATE.FAT&amp;display_string=Audit&amp;VAR:KEY=BSHUZGVQJO&amp;VAR:QUERY=RkZfRUJJVF9JQignQU5OJywzNjI1MCwsLCwnR0JQJyk=&amp;WINDOW=FIRST_POPUP&amp;HEIGHT=450&amp;WIDTH=450&amp;","START_MAXIMIZED=FALSE&amp;VAR:CALENDAR=FIVEDAY&amp;VAR:SYMBOL=092210&amp;VAR:INDEX=0"}</definedName>
    <definedName name="_87__FDSAUDITLINK___1" hidden="1">{"fdsup://directions/FAT Viewer?action=UPDATE&amp;creator=factset&amp;DYN_ARGS=TRUE&amp;DOC_NAME=FAT:FQL_AUDITING_CLIENT_TEMPLATE.FAT&amp;display_string=Audit&amp;VAR:KEY=BSHUZGVQJO&amp;VAR:QUERY=RkZfRUJJVF9JQignQU5OJywzNjI1MCwsLCwnR0JQJyk=&amp;WINDOW=FIRST_POPUP&amp;HEIGHT=450&amp;WIDTH=450&amp;","START_MAXIMIZED=FALSE&amp;VAR:CALENDAR=FIVEDAY&amp;VAR:SYMBOL=092210&amp;VAR:INDEX=0"}</definedName>
    <definedName name="_870__FDSAUDITLINK__" localSheetId="8" hidden="1">{"fdsup://directions/FAT Viewer?action=UPDATE&amp;creator=factset&amp;DYN_ARGS=TRUE&amp;DOC_NAME=FAT:FQL_AUDITING_CLIENT_TEMPLATE.FAT&amp;display_string=Audit&amp;VAR:KEY=VOVGVALUJA&amp;VAR:QUERY=RkZfRUJJVF9PUEVSKEFOTiwyMDA5KQ==&amp;WINDOW=FIRST_POPUP&amp;HEIGHT=450&amp;WIDTH=450&amp;START_MAXIMI","ZED=FALSE&amp;VAR:CALENDAR=FIVEDAY&amp;VAR:SYMBOL=B5KKT9&amp;VAR:INDEX=0"}</definedName>
    <definedName name="_870__FDSAUDITLINK__" hidden="1">{"fdsup://directions/FAT Viewer?action=UPDATE&amp;creator=factset&amp;DYN_ARGS=TRUE&amp;DOC_NAME=FAT:FQL_AUDITING_CLIENT_TEMPLATE.FAT&amp;display_string=Audit&amp;VAR:KEY=VOVGVALUJA&amp;VAR:QUERY=RkZfRUJJVF9PUEVSKEFOTiwyMDA5KQ==&amp;WINDOW=FIRST_POPUP&amp;HEIGHT=450&amp;WIDTH=450&amp;START_MAXIMI","ZED=FALSE&amp;VAR:CALENDAR=FIVEDAY&amp;VAR:SYMBOL=B5KKT9&amp;VAR:INDEX=0"}</definedName>
    <definedName name="_870__FDSAUDITLINK___1" localSheetId="8" hidden="1">{"fdsup://directions/FAT Viewer?action=UPDATE&amp;creator=factset&amp;DYN_ARGS=TRUE&amp;DOC_NAME=FAT:FQL_AUDITING_CLIENT_TEMPLATE.FAT&amp;display_string=Audit&amp;VAR:KEY=VOVGVALUJA&amp;VAR:QUERY=RkZfRUJJVF9PUEVSKEFOTiwyMDA5KQ==&amp;WINDOW=FIRST_POPUP&amp;HEIGHT=450&amp;WIDTH=450&amp;START_MAXIMI","ZED=FALSE&amp;VAR:CALENDAR=FIVEDAY&amp;VAR:SYMBOL=B5KKT9&amp;VAR:INDEX=0"}</definedName>
    <definedName name="_870__FDSAUDITLINK___1" hidden="1">{"fdsup://directions/FAT Viewer?action=UPDATE&amp;creator=factset&amp;DYN_ARGS=TRUE&amp;DOC_NAME=FAT:FQL_AUDITING_CLIENT_TEMPLATE.FAT&amp;display_string=Audit&amp;VAR:KEY=VOVGVALUJA&amp;VAR:QUERY=RkZfRUJJVF9PUEVSKEFOTiwyMDA5KQ==&amp;WINDOW=FIRST_POPUP&amp;HEIGHT=450&amp;WIDTH=450&amp;START_MAXIMI","ZED=FALSE&amp;VAR:CALENDAR=FIVEDAY&amp;VAR:SYMBOL=B5KKT9&amp;VAR:INDEX=0"}</definedName>
    <definedName name="_871__FDSAUDITLINK__" localSheetId="8" hidden="1">{"fdsup://directions/FAT Viewer?action=UPDATE&amp;creator=factset&amp;DYN_ARGS=TRUE&amp;DOC_NAME=FAT:FQL_AUDITING_CLIENT_TEMPLATE.FAT&amp;display_string=Audit&amp;VAR:KEY=CZAFGLATWH&amp;VAR:QUERY=RkZfRUJJVF9PUEVSKEFOTiwyMDEwKQ==&amp;WINDOW=FIRST_POPUP&amp;HEIGHT=450&amp;WIDTH=450&amp;START_MAXIMI","ZED=FALSE&amp;VAR:CALENDAR=FIVEDAY&amp;VAR:SYMBOL=B5KKT9&amp;VAR:INDEX=0"}</definedName>
    <definedName name="_871__FDSAUDITLINK__" hidden="1">{"fdsup://directions/FAT Viewer?action=UPDATE&amp;creator=factset&amp;DYN_ARGS=TRUE&amp;DOC_NAME=FAT:FQL_AUDITING_CLIENT_TEMPLATE.FAT&amp;display_string=Audit&amp;VAR:KEY=CZAFGLATWH&amp;VAR:QUERY=RkZfRUJJVF9PUEVSKEFOTiwyMDEwKQ==&amp;WINDOW=FIRST_POPUP&amp;HEIGHT=450&amp;WIDTH=450&amp;START_MAXIMI","ZED=FALSE&amp;VAR:CALENDAR=FIVEDAY&amp;VAR:SYMBOL=B5KKT9&amp;VAR:INDEX=0"}</definedName>
    <definedName name="_871__FDSAUDITLINK___1" localSheetId="8" hidden="1">{"fdsup://directions/FAT Viewer?action=UPDATE&amp;creator=factset&amp;DYN_ARGS=TRUE&amp;DOC_NAME=FAT:FQL_AUDITING_CLIENT_TEMPLATE.FAT&amp;display_string=Audit&amp;VAR:KEY=CZAFGLATWH&amp;VAR:QUERY=RkZfRUJJVF9PUEVSKEFOTiwyMDEwKQ==&amp;WINDOW=FIRST_POPUP&amp;HEIGHT=450&amp;WIDTH=450&amp;START_MAXIMI","ZED=FALSE&amp;VAR:CALENDAR=FIVEDAY&amp;VAR:SYMBOL=B5KKT9&amp;VAR:INDEX=0"}</definedName>
    <definedName name="_871__FDSAUDITLINK___1" hidden="1">{"fdsup://directions/FAT Viewer?action=UPDATE&amp;creator=factset&amp;DYN_ARGS=TRUE&amp;DOC_NAME=FAT:FQL_AUDITING_CLIENT_TEMPLATE.FAT&amp;display_string=Audit&amp;VAR:KEY=CZAFGLATWH&amp;VAR:QUERY=RkZfRUJJVF9PUEVSKEFOTiwyMDEwKQ==&amp;WINDOW=FIRST_POPUP&amp;HEIGHT=450&amp;WIDTH=450&amp;START_MAXIMI","ZED=FALSE&amp;VAR:CALENDAR=FIVEDAY&amp;VAR:SYMBOL=B5KKT9&amp;VAR:INDEX=0"}</definedName>
    <definedName name="_872__FDSAUDITLINK__" localSheetId="8" hidden="1">{"fdsup://directions/FAT Viewer?action=UPDATE&amp;creator=factset&amp;DYN_ARGS=TRUE&amp;DOC_NAME=FAT:FQL_AUDITING_CLIENT_TEMPLATE.FAT&amp;display_string=Audit&amp;VAR:KEY=ANMBILAFUZ&amp;VAR:QUERY=RkZfQ0FQRVgoQU5OLDIwMDgp&amp;WINDOW=FIRST_POPUP&amp;HEIGHT=450&amp;WIDTH=450&amp;START_MAXIMIZED=FALS","E&amp;VAR:CALENDAR=FIVEDAY&amp;VAR:SYMBOL=B5KKT9&amp;VAR:INDEX=0"}</definedName>
    <definedName name="_872__FDSAUDITLINK__" hidden="1">{"fdsup://directions/FAT Viewer?action=UPDATE&amp;creator=factset&amp;DYN_ARGS=TRUE&amp;DOC_NAME=FAT:FQL_AUDITING_CLIENT_TEMPLATE.FAT&amp;display_string=Audit&amp;VAR:KEY=ANMBILAFUZ&amp;VAR:QUERY=RkZfQ0FQRVgoQU5OLDIwMDgp&amp;WINDOW=FIRST_POPUP&amp;HEIGHT=450&amp;WIDTH=450&amp;START_MAXIMIZED=FALS","E&amp;VAR:CALENDAR=FIVEDAY&amp;VAR:SYMBOL=B5KKT9&amp;VAR:INDEX=0"}</definedName>
    <definedName name="_872__FDSAUDITLINK___1" localSheetId="8" hidden="1">{"fdsup://directions/FAT Viewer?action=UPDATE&amp;creator=factset&amp;DYN_ARGS=TRUE&amp;DOC_NAME=FAT:FQL_AUDITING_CLIENT_TEMPLATE.FAT&amp;display_string=Audit&amp;VAR:KEY=ANMBILAFUZ&amp;VAR:QUERY=RkZfQ0FQRVgoQU5OLDIwMDgp&amp;WINDOW=FIRST_POPUP&amp;HEIGHT=450&amp;WIDTH=450&amp;START_MAXIMIZED=FALS","E&amp;VAR:CALENDAR=FIVEDAY&amp;VAR:SYMBOL=B5KKT9&amp;VAR:INDEX=0"}</definedName>
    <definedName name="_872__FDSAUDITLINK___1" hidden="1">{"fdsup://directions/FAT Viewer?action=UPDATE&amp;creator=factset&amp;DYN_ARGS=TRUE&amp;DOC_NAME=FAT:FQL_AUDITING_CLIENT_TEMPLATE.FAT&amp;display_string=Audit&amp;VAR:KEY=ANMBILAFUZ&amp;VAR:QUERY=RkZfQ0FQRVgoQU5OLDIwMDgp&amp;WINDOW=FIRST_POPUP&amp;HEIGHT=450&amp;WIDTH=450&amp;START_MAXIMIZED=FALS","E&amp;VAR:CALENDAR=FIVEDAY&amp;VAR:SYMBOL=B5KKT9&amp;VAR:INDEX=0"}</definedName>
    <definedName name="_873__FDSAUDITLINK__" localSheetId="8" hidden="1">{"fdsup://directions/FAT Viewer?action=UPDATE&amp;creator=factset&amp;DYN_ARGS=TRUE&amp;DOC_NAME=FAT:FQL_AUDITING_CLIENT_TEMPLATE.FAT&amp;display_string=Audit&amp;VAR:KEY=ERODMPYVEV&amp;VAR:QUERY=RkZfQ0FQRVgoQU5OLDIwMTAp&amp;WINDOW=FIRST_POPUP&amp;HEIGHT=450&amp;WIDTH=450&amp;START_MAXIMIZED=FALS","E&amp;VAR:CALENDAR=FIVEDAY&amp;VAR:SYMBOL=B5KKT9&amp;VAR:INDEX=0"}</definedName>
    <definedName name="_873__FDSAUDITLINK__" hidden="1">{"fdsup://directions/FAT Viewer?action=UPDATE&amp;creator=factset&amp;DYN_ARGS=TRUE&amp;DOC_NAME=FAT:FQL_AUDITING_CLIENT_TEMPLATE.FAT&amp;display_string=Audit&amp;VAR:KEY=ERODMPYVEV&amp;VAR:QUERY=RkZfQ0FQRVgoQU5OLDIwMTAp&amp;WINDOW=FIRST_POPUP&amp;HEIGHT=450&amp;WIDTH=450&amp;START_MAXIMIZED=FALS","E&amp;VAR:CALENDAR=FIVEDAY&amp;VAR:SYMBOL=B5KKT9&amp;VAR:INDEX=0"}</definedName>
    <definedName name="_873__FDSAUDITLINK___1" localSheetId="8" hidden="1">{"fdsup://directions/FAT Viewer?action=UPDATE&amp;creator=factset&amp;DYN_ARGS=TRUE&amp;DOC_NAME=FAT:FQL_AUDITING_CLIENT_TEMPLATE.FAT&amp;display_string=Audit&amp;VAR:KEY=ERODMPYVEV&amp;VAR:QUERY=RkZfQ0FQRVgoQU5OLDIwMTAp&amp;WINDOW=FIRST_POPUP&amp;HEIGHT=450&amp;WIDTH=450&amp;START_MAXIMIZED=FALS","E&amp;VAR:CALENDAR=FIVEDAY&amp;VAR:SYMBOL=B5KKT9&amp;VAR:INDEX=0"}</definedName>
    <definedName name="_873__FDSAUDITLINK___1" hidden="1">{"fdsup://directions/FAT Viewer?action=UPDATE&amp;creator=factset&amp;DYN_ARGS=TRUE&amp;DOC_NAME=FAT:FQL_AUDITING_CLIENT_TEMPLATE.FAT&amp;display_string=Audit&amp;VAR:KEY=ERODMPYVEV&amp;VAR:QUERY=RkZfQ0FQRVgoQU5OLDIwMTAp&amp;WINDOW=FIRST_POPUP&amp;HEIGHT=450&amp;WIDTH=450&amp;START_MAXIMIZED=FALS","E&amp;VAR:CALENDAR=FIVEDAY&amp;VAR:SYMBOL=B5KKT9&amp;VAR:INDEX=0"}</definedName>
    <definedName name="_874__FDSAUDITLINK__" localSheetId="8" hidden="1">{"fdsup://directions/FAT Viewer?action=UPDATE&amp;creator=factset&amp;DYN_ARGS=TRUE&amp;DOC_NAME=FAT:FQL_AUDITING_CLIENT_TEMPLATE.FAT&amp;display_string=Audit&amp;VAR:KEY=REXWVYVMXQ&amp;VAR:QUERY=RkZfTkVUX0lOQyhBTk4sMjAwOSk=&amp;WINDOW=FIRST_POPUP&amp;HEIGHT=450&amp;WIDTH=450&amp;START_MAXIMIZED=","FALSE&amp;VAR:CALENDAR=FIVEDAY&amp;VAR:SYMBOL=B5KKT9&amp;VAR:INDEX=0"}</definedName>
    <definedName name="_874__FDSAUDITLINK__" hidden="1">{"fdsup://directions/FAT Viewer?action=UPDATE&amp;creator=factset&amp;DYN_ARGS=TRUE&amp;DOC_NAME=FAT:FQL_AUDITING_CLIENT_TEMPLATE.FAT&amp;display_string=Audit&amp;VAR:KEY=REXWVYVMXQ&amp;VAR:QUERY=RkZfTkVUX0lOQyhBTk4sMjAwOSk=&amp;WINDOW=FIRST_POPUP&amp;HEIGHT=450&amp;WIDTH=450&amp;START_MAXIMIZED=","FALSE&amp;VAR:CALENDAR=FIVEDAY&amp;VAR:SYMBOL=B5KKT9&amp;VAR:INDEX=0"}</definedName>
    <definedName name="_874__FDSAUDITLINK___1" localSheetId="8" hidden="1">{"fdsup://directions/FAT Viewer?action=UPDATE&amp;creator=factset&amp;DYN_ARGS=TRUE&amp;DOC_NAME=FAT:FQL_AUDITING_CLIENT_TEMPLATE.FAT&amp;display_string=Audit&amp;VAR:KEY=REXWVYVMXQ&amp;VAR:QUERY=RkZfTkVUX0lOQyhBTk4sMjAwOSk=&amp;WINDOW=FIRST_POPUP&amp;HEIGHT=450&amp;WIDTH=450&amp;START_MAXIMIZED=","FALSE&amp;VAR:CALENDAR=FIVEDAY&amp;VAR:SYMBOL=B5KKT9&amp;VAR:INDEX=0"}</definedName>
    <definedName name="_874__FDSAUDITLINK___1" hidden="1">{"fdsup://directions/FAT Viewer?action=UPDATE&amp;creator=factset&amp;DYN_ARGS=TRUE&amp;DOC_NAME=FAT:FQL_AUDITING_CLIENT_TEMPLATE.FAT&amp;display_string=Audit&amp;VAR:KEY=REXWVYVMXQ&amp;VAR:QUERY=RkZfTkVUX0lOQyhBTk4sMjAwOSk=&amp;WINDOW=FIRST_POPUP&amp;HEIGHT=450&amp;WIDTH=450&amp;START_MAXIMIZED=","FALSE&amp;VAR:CALENDAR=FIVEDAY&amp;VAR:SYMBOL=B5KKT9&amp;VAR:INDEX=0"}</definedName>
    <definedName name="_875__FDSAUDITLINK__" localSheetId="8" hidden="1">{"fdsup://directions/FAT Viewer?action=UPDATE&amp;creator=factset&amp;DYN_ARGS=TRUE&amp;DOC_NAME=FAT:FQL_AUDITING_CLIENT_TEMPLATE.FAT&amp;display_string=Audit&amp;VAR:KEY=XGLQFIJEPS&amp;VAR:QUERY=RkZfTkVUX0lOQyhBTk4sMjAxMSk=&amp;WINDOW=FIRST_POPUP&amp;HEIGHT=450&amp;WIDTH=450&amp;START_MAXIMIZED=","FALSE&amp;VAR:CALENDAR=FIVEDAY&amp;VAR:SYMBOL=B5KKT9&amp;VAR:INDEX=0"}</definedName>
    <definedName name="_875__FDSAUDITLINK__" hidden="1">{"fdsup://directions/FAT Viewer?action=UPDATE&amp;creator=factset&amp;DYN_ARGS=TRUE&amp;DOC_NAME=FAT:FQL_AUDITING_CLIENT_TEMPLATE.FAT&amp;display_string=Audit&amp;VAR:KEY=XGLQFIJEPS&amp;VAR:QUERY=RkZfTkVUX0lOQyhBTk4sMjAxMSk=&amp;WINDOW=FIRST_POPUP&amp;HEIGHT=450&amp;WIDTH=450&amp;START_MAXIMIZED=","FALSE&amp;VAR:CALENDAR=FIVEDAY&amp;VAR:SYMBOL=B5KKT9&amp;VAR:INDEX=0"}</definedName>
    <definedName name="_875__FDSAUDITLINK___1" localSheetId="8" hidden="1">{"fdsup://directions/FAT Viewer?action=UPDATE&amp;creator=factset&amp;DYN_ARGS=TRUE&amp;DOC_NAME=FAT:FQL_AUDITING_CLIENT_TEMPLATE.FAT&amp;display_string=Audit&amp;VAR:KEY=XGLQFIJEPS&amp;VAR:QUERY=RkZfTkVUX0lOQyhBTk4sMjAxMSk=&amp;WINDOW=FIRST_POPUP&amp;HEIGHT=450&amp;WIDTH=450&amp;START_MAXIMIZED=","FALSE&amp;VAR:CALENDAR=FIVEDAY&amp;VAR:SYMBOL=B5KKT9&amp;VAR:INDEX=0"}</definedName>
    <definedName name="_875__FDSAUDITLINK___1" hidden="1">{"fdsup://directions/FAT Viewer?action=UPDATE&amp;creator=factset&amp;DYN_ARGS=TRUE&amp;DOC_NAME=FAT:FQL_AUDITING_CLIENT_TEMPLATE.FAT&amp;display_string=Audit&amp;VAR:KEY=XGLQFIJEPS&amp;VAR:QUERY=RkZfTkVUX0lOQyhBTk4sMjAxMSk=&amp;WINDOW=FIRST_POPUP&amp;HEIGHT=450&amp;WIDTH=450&amp;START_MAXIMIZED=","FALSE&amp;VAR:CALENDAR=FIVEDAY&amp;VAR:SYMBOL=B5KKT9&amp;VAR:INDEX=0"}</definedName>
    <definedName name="_876__FDSAUDITLINK__" localSheetId="8" hidden="1">{"fdsup://directions/FAT Viewer?action=UPDATE&amp;creator=factset&amp;DYN_ARGS=TRUE&amp;DOC_NAME=FAT:FQL_AUDITING_CLIENT_TEMPLATE.FAT&amp;display_string=Audit&amp;VAR:KEY=NWDOTOLSPA&amp;VAR:QUERY=RkZfRUJJVERBX09QRVIoQU5OLDIwMDkp&amp;WINDOW=FIRST_POPUP&amp;HEIGHT=450&amp;WIDTH=450&amp;START_MAXIMI","ZED=FALSE&amp;VAR:CALENDAR=FIVEDAY&amp;VAR:SYMBOL=B5KKT9&amp;VAR:INDEX=0"}</definedName>
    <definedName name="_876__FDSAUDITLINK__" hidden="1">{"fdsup://directions/FAT Viewer?action=UPDATE&amp;creator=factset&amp;DYN_ARGS=TRUE&amp;DOC_NAME=FAT:FQL_AUDITING_CLIENT_TEMPLATE.FAT&amp;display_string=Audit&amp;VAR:KEY=NWDOTOLSPA&amp;VAR:QUERY=RkZfRUJJVERBX09QRVIoQU5OLDIwMDkp&amp;WINDOW=FIRST_POPUP&amp;HEIGHT=450&amp;WIDTH=450&amp;START_MAXIMI","ZED=FALSE&amp;VAR:CALENDAR=FIVEDAY&amp;VAR:SYMBOL=B5KKT9&amp;VAR:INDEX=0"}</definedName>
    <definedName name="_876__FDSAUDITLINK___1" localSheetId="8" hidden="1">{"fdsup://directions/FAT Viewer?action=UPDATE&amp;creator=factset&amp;DYN_ARGS=TRUE&amp;DOC_NAME=FAT:FQL_AUDITING_CLIENT_TEMPLATE.FAT&amp;display_string=Audit&amp;VAR:KEY=NWDOTOLSPA&amp;VAR:QUERY=RkZfRUJJVERBX09QRVIoQU5OLDIwMDkp&amp;WINDOW=FIRST_POPUP&amp;HEIGHT=450&amp;WIDTH=450&amp;START_MAXIMI","ZED=FALSE&amp;VAR:CALENDAR=FIVEDAY&amp;VAR:SYMBOL=B5KKT9&amp;VAR:INDEX=0"}</definedName>
    <definedName name="_876__FDSAUDITLINK___1" hidden="1">{"fdsup://directions/FAT Viewer?action=UPDATE&amp;creator=factset&amp;DYN_ARGS=TRUE&amp;DOC_NAME=FAT:FQL_AUDITING_CLIENT_TEMPLATE.FAT&amp;display_string=Audit&amp;VAR:KEY=NWDOTOLSPA&amp;VAR:QUERY=RkZfRUJJVERBX09QRVIoQU5OLDIwMDkp&amp;WINDOW=FIRST_POPUP&amp;HEIGHT=450&amp;WIDTH=450&amp;START_MAXIMI","ZED=FALSE&amp;VAR:CALENDAR=FIVEDAY&amp;VAR:SYMBOL=B5KKT9&amp;VAR:INDEX=0"}</definedName>
    <definedName name="_877__FDSAUDITLINK__" localSheetId="8" hidden="1">{"fdsup://directions/FAT Viewer?action=UPDATE&amp;creator=factset&amp;DYN_ARGS=TRUE&amp;DOC_NAME=FAT:FQL_AUDITING_CLIENT_TEMPLATE.FAT&amp;display_string=Audit&amp;VAR:KEY=CZAFGLATWH&amp;VAR:QUERY=RkZfRUJJVF9PUEVSKEFOTiwyMDEwKQ==&amp;WINDOW=FIRST_POPUP&amp;HEIGHT=450&amp;WIDTH=450&amp;START_MAXIMI","ZED=FALSE&amp;VAR:CALENDAR=FIVEDAY&amp;VAR:SYMBOL=B5KKT9&amp;VAR:INDEX=0"}</definedName>
    <definedName name="_877__FDSAUDITLINK__" hidden="1">{"fdsup://directions/FAT Viewer?action=UPDATE&amp;creator=factset&amp;DYN_ARGS=TRUE&amp;DOC_NAME=FAT:FQL_AUDITING_CLIENT_TEMPLATE.FAT&amp;display_string=Audit&amp;VAR:KEY=CZAFGLATWH&amp;VAR:QUERY=RkZfRUJJVF9PUEVSKEFOTiwyMDEwKQ==&amp;WINDOW=FIRST_POPUP&amp;HEIGHT=450&amp;WIDTH=450&amp;START_MAXIMI","ZED=FALSE&amp;VAR:CALENDAR=FIVEDAY&amp;VAR:SYMBOL=B5KKT9&amp;VAR:INDEX=0"}</definedName>
    <definedName name="_877__FDSAUDITLINK___1" localSheetId="8" hidden="1">{"fdsup://directions/FAT Viewer?action=UPDATE&amp;creator=factset&amp;DYN_ARGS=TRUE&amp;DOC_NAME=FAT:FQL_AUDITING_CLIENT_TEMPLATE.FAT&amp;display_string=Audit&amp;VAR:KEY=CZAFGLATWH&amp;VAR:QUERY=RkZfRUJJVF9PUEVSKEFOTiwyMDEwKQ==&amp;WINDOW=FIRST_POPUP&amp;HEIGHT=450&amp;WIDTH=450&amp;START_MAXIMI","ZED=FALSE&amp;VAR:CALENDAR=FIVEDAY&amp;VAR:SYMBOL=B5KKT9&amp;VAR:INDEX=0"}</definedName>
    <definedName name="_877__FDSAUDITLINK___1" hidden="1">{"fdsup://directions/FAT Viewer?action=UPDATE&amp;creator=factset&amp;DYN_ARGS=TRUE&amp;DOC_NAME=FAT:FQL_AUDITING_CLIENT_TEMPLATE.FAT&amp;display_string=Audit&amp;VAR:KEY=CZAFGLATWH&amp;VAR:QUERY=RkZfRUJJVF9PUEVSKEFOTiwyMDEwKQ==&amp;WINDOW=FIRST_POPUP&amp;HEIGHT=450&amp;WIDTH=450&amp;START_MAXIMI","ZED=FALSE&amp;VAR:CALENDAR=FIVEDAY&amp;VAR:SYMBOL=B5KKT9&amp;VAR:INDEX=0"}</definedName>
    <definedName name="_878__FDSAUDITLINK__" localSheetId="8" hidden="1">{"fdsup://directions/FAT Viewer?action=UPDATE&amp;creator=factset&amp;DYN_ARGS=TRUE&amp;DOC_NAME=FAT:FQL_AUDITING_CLIENT_TEMPLATE.FAT&amp;display_string=Audit&amp;VAR:KEY=PITWFOJWPW&amp;VAR:QUERY=RkZfQ0FQRVgoQU5OLDIwMDkp&amp;WINDOW=FIRST_POPUP&amp;HEIGHT=450&amp;WIDTH=450&amp;START_MAXIMIZED=FALS","E&amp;VAR:CALENDAR=FIVEDAY&amp;VAR:SYMBOL=B5KKT9&amp;VAR:INDEX=0"}</definedName>
    <definedName name="_878__FDSAUDITLINK__" hidden="1">{"fdsup://directions/FAT Viewer?action=UPDATE&amp;creator=factset&amp;DYN_ARGS=TRUE&amp;DOC_NAME=FAT:FQL_AUDITING_CLIENT_TEMPLATE.FAT&amp;display_string=Audit&amp;VAR:KEY=PITWFOJWPW&amp;VAR:QUERY=RkZfQ0FQRVgoQU5OLDIwMDkp&amp;WINDOW=FIRST_POPUP&amp;HEIGHT=450&amp;WIDTH=450&amp;START_MAXIMIZED=FALS","E&amp;VAR:CALENDAR=FIVEDAY&amp;VAR:SYMBOL=B5KKT9&amp;VAR:INDEX=0"}</definedName>
    <definedName name="_878__FDSAUDITLINK___1" localSheetId="8" hidden="1">{"fdsup://directions/FAT Viewer?action=UPDATE&amp;creator=factset&amp;DYN_ARGS=TRUE&amp;DOC_NAME=FAT:FQL_AUDITING_CLIENT_TEMPLATE.FAT&amp;display_string=Audit&amp;VAR:KEY=PITWFOJWPW&amp;VAR:QUERY=RkZfQ0FQRVgoQU5OLDIwMDkp&amp;WINDOW=FIRST_POPUP&amp;HEIGHT=450&amp;WIDTH=450&amp;START_MAXIMIZED=FALS","E&amp;VAR:CALENDAR=FIVEDAY&amp;VAR:SYMBOL=B5KKT9&amp;VAR:INDEX=0"}</definedName>
    <definedName name="_878__FDSAUDITLINK___1" hidden="1">{"fdsup://directions/FAT Viewer?action=UPDATE&amp;creator=factset&amp;DYN_ARGS=TRUE&amp;DOC_NAME=FAT:FQL_AUDITING_CLIENT_TEMPLATE.FAT&amp;display_string=Audit&amp;VAR:KEY=PITWFOJWPW&amp;VAR:QUERY=RkZfQ0FQRVgoQU5OLDIwMDkp&amp;WINDOW=FIRST_POPUP&amp;HEIGHT=450&amp;WIDTH=450&amp;START_MAXIMIZED=FALS","E&amp;VAR:CALENDAR=FIVEDAY&amp;VAR:SYMBOL=B5KKT9&amp;VAR:INDEX=0"}</definedName>
    <definedName name="_879__FDSAUDITLINK__" localSheetId="8" hidden="1">{"fdsup://directions/FAT Viewer?action=UPDATE&amp;creator=factset&amp;DYN_ARGS=TRUE&amp;DOC_NAME=FAT:FQL_AUDITING_CLIENT_TEMPLATE.FAT&amp;display_string=Audit&amp;VAR:KEY=CXYLIRGNSV&amp;VAR:QUERY=RkZfTkVUX0lOQyhBTk4sMjAwOCk=&amp;WINDOW=FIRST_POPUP&amp;HEIGHT=450&amp;WIDTH=450&amp;START_MAXIMIZED=","FALSE&amp;VAR:CALENDAR=FIVEDAY&amp;VAR:SYMBOL=B5KKT9&amp;VAR:INDEX=0"}</definedName>
    <definedName name="_879__FDSAUDITLINK__" hidden="1">{"fdsup://directions/FAT Viewer?action=UPDATE&amp;creator=factset&amp;DYN_ARGS=TRUE&amp;DOC_NAME=FAT:FQL_AUDITING_CLIENT_TEMPLATE.FAT&amp;display_string=Audit&amp;VAR:KEY=CXYLIRGNSV&amp;VAR:QUERY=RkZfTkVUX0lOQyhBTk4sMjAwOCk=&amp;WINDOW=FIRST_POPUP&amp;HEIGHT=450&amp;WIDTH=450&amp;START_MAXIMIZED=","FALSE&amp;VAR:CALENDAR=FIVEDAY&amp;VAR:SYMBOL=B5KKT9&amp;VAR:INDEX=0"}</definedName>
    <definedName name="_879__FDSAUDITLINK___1" localSheetId="8" hidden="1">{"fdsup://directions/FAT Viewer?action=UPDATE&amp;creator=factset&amp;DYN_ARGS=TRUE&amp;DOC_NAME=FAT:FQL_AUDITING_CLIENT_TEMPLATE.FAT&amp;display_string=Audit&amp;VAR:KEY=CXYLIRGNSV&amp;VAR:QUERY=RkZfTkVUX0lOQyhBTk4sMjAwOCk=&amp;WINDOW=FIRST_POPUP&amp;HEIGHT=450&amp;WIDTH=450&amp;START_MAXIMIZED=","FALSE&amp;VAR:CALENDAR=FIVEDAY&amp;VAR:SYMBOL=B5KKT9&amp;VAR:INDEX=0"}</definedName>
    <definedName name="_879__FDSAUDITLINK___1" hidden="1">{"fdsup://directions/FAT Viewer?action=UPDATE&amp;creator=factset&amp;DYN_ARGS=TRUE&amp;DOC_NAME=FAT:FQL_AUDITING_CLIENT_TEMPLATE.FAT&amp;display_string=Audit&amp;VAR:KEY=CXYLIRGNSV&amp;VAR:QUERY=RkZfTkVUX0lOQyhBTk4sMjAwOCk=&amp;WINDOW=FIRST_POPUP&amp;HEIGHT=450&amp;WIDTH=450&amp;START_MAXIMIZED=","FALSE&amp;VAR:CALENDAR=FIVEDAY&amp;VAR:SYMBOL=B5KKT9&amp;VAR:INDEX=0"}</definedName>
    <definedName name="_88__123Graph_CCHART_16" hidden="1">#REF!</definedName>
    <definedName name="_88__123Graph_ECHART_8" localSheetId="8" hidden="1">#REF!</definedName>
    <definedName name="_88__123Graph_ECHART_8" hidden="1">#REF!</definedName>
    <definedName name="_88__123Graph_LBL_CCHART_15" hidden="1">#REF!</definedName>
    <definedName name="_88__FDSAUDITLINK__" localSheetId="8" hidden="1">{"fdsup://directions/FAT Viewer?action=UPDATE&amp;creator=factset&amp;DYN_ARGS=TRUE&amp;DOC_NAME=FAT:FQL_AUDITING_CLIENT_TEMPLATE.FAT&amp;display_string=Audit&amp;VAR:KEY=PYZAXMXGHW&amp;VAR:QUERY=RkZfRUJJVF9JQignQU5OJywzNTg4NSwsLCwnR0JQJyk=&amp;WINDOW=FIRST_POPUP&amp;HEIGHT=450&amp;WIDTH=450&amp;","START_MAXIMIZED=FALSE&amp;VAR:CALENDAR=FIVEDAY&amp;VAR:SYMBOL=092210&amp;VAR:INDEX=0"}</definedName>
    <definedName name="_88__FDSAUDITLINK__" hidden="1">{"fdsup://directions/FAT Viewer?action=UPDATE&amp;creator=factset&amp;DYN_ARGS=TRUE&amp;DOC_NAME=FAT:FQL_AUDITING_CLIENT_TEMPLATE.FAT&amp;display_string=Audit&amp;VAR:KEY=EDATKHAJOR&amp;VAR:QUERY=RkZfRUJJVF9PUEVSKENBTCwyMDA5KQ==&amp;WINDOW=FIRST_POPUP&amp;HEIGHT=450&amp;WIDTH=450&amp;START_MAXIMI","ZED=FALSE&amp;VAR:CALENDAR=US&amp;VAR:SYMBOL=711075&amp;VAR:INDEX=0"}</definedName>
    <definedName name="_88__FDSAUDITLINK___1" localSheetId="8" hidden="1">{"fdsup://directions/FAT Viewer?action=UPDATE&amp;creator=factset&amp;DYN_ARGS=TRUE&amp;DOC_NAME=FAT:FQL_AUDITING_CLIENT_TEMPLATE.FAT&amp;display_string=Audit&amp;VAR:KEY=PYZAXMXGHW&amp;VAR:QUERY=RkZfRUJJVF9JQignQU5OJywzNTg4NSwsLCwnR0JQJyk=&amp;WINDOW=FIRST_POPUP&amp;HEIGHT=450&amp;WIDTH=450&amp;","START_MAXIMIZED=FALSE&amp;VAR:CALENDAR=FIVEDAY&amp;VAR:SYMBOL=092210&amp;VAR:INDEX=0"}</definedName>
    <definedName name="_88__FDSAUDITLINK___1" hidden="1">{"fdsup://directions/FAT Viewer?action=UPDATE&amp;creator=factset&amp;DYN_ARGS=TRUE&amp;DOC_NAME=FAT:FQL_AUDITING_CLIENT_TEMPLATE.FAT&amp;display_string=Audit&amp;VAR:KEY=PYZAXMXGHW&amp;VAR:QUERY=RkZfRUJJVF9JQignQU5OJywzNTg4NSwsLCwnR0JQJyk=&amp;WINDOW=FIRST_POPUP&amp;HEIGHT=450&amp;WIDTH=450&amp;","START_MAXIMIZED=FALSE&amp;VAR:CALENDAR=FIVEDAY&amp;VAR:SYMBOL=092210&amp;VAR:INDEX=0"}</definedName>
    <definedName name="_880__FDSAUDITLINK__" localSheetId="8" hidden="1">{"fdsup://directions/FAT Viewer?action=UPDATE&amp;creator=factset&amp;DYN_ARGS=TRUE&amp;DOC_NAME=FAT:FQL_AUDITING_CLIENT_TEMPLATE.FAT&amp;display_string=Audit&amp;VAR:KEY=SJIBIJIXCL&amp;VAR:QUERY=RkZfTkVUX0lOQyhBTk4sMjAxMCk=&amp;WINDOW=FIRST_POPUP&amp;HEIGHT=450&amp;WIDTH=450&amp;START_MAXIMIZED=","FALSE&amp;VAR:CALENDAR=FIVEDAY&amp;VAR:SYMBOL=B5KKT9&amp;VAR:INDEX=0"}</definedName>
    <definedName name="_880__FDSAUDITLINK__" hidden="1">{"fdsup://directions/FAT Viewer?action=UPDATE&amp;creator=factset&amp;DYN_ARGS=TRUE&amp;DOC_NAME=FAT:FQL_AUDITING_CLIENT_TEMPLATE.FAT&amp;display_string=Audit&amp;VAR:KEY=SJIBIJIXCL&amp;VAR:QUERY=RkZfTkVUX0lOQyhBTk4sMjAxMCk=&amp;WINDOW=FIRST_POPUP&amp;HEIGHT=450&amp;WIDTH=450&amp;START_MAXIMIZED=","FALSE&amp;VAR:CALENDAR=FIVEDAY&amp;VAR:SYMBOL=B5KKT9&amp;VAR:INDEX=0"}</definedName>
    <definedName name="_880__FDSAUDITLINK___1" localSheetId="8" hidden="1">{"fdsup://directions/FAT Viewer?action=UPDATE&amp;creator=factset&amp;DYN_ARGS=TRUE&amp;DOC_NAME=FAT:FQL_AUDITING_CLIENT_TEMPLATE.FAT&amp;display_string=Audit&amp;VAR:KEY=SJIBIJIXCL&amp;VAR:QUERY=RkZfTkVUX0lOQyhBTk4sMjAxMCk=&amp;WINDOW=FIRST_POPUP&amp;HEIGHT=450&amp;WIDTH=450&amp;START_MAXIMIZED=","FALSE&amp;VAR:CALENDAR=FIVEDAY&amp;VAR:SYMBOL=B5KKT9&amp;VAR:INDEX=0"}</definedName>
    <definedName name="_880__FDSAUDITLINK___1" hidden="1">{"fdsup://directions/FAT Viewer?action=UPDATE&amp;creator=factset&amp;DYN_ARGS=TRUE&amp;DOC_NAME=FAT:FQL_AUDITING_CLIENT_TEMPLATE.FAT&amp;display_string=Audit&amp;VAR:KEY=SJIBIJIXCL&amp;VAR:QUERY=RkZfTkVUX0lOQyhBTk4sMjAxMCk=&amp;WINDOW=FIRST_POPUP&amp;HEIGHT=450&amp;WIDTH=450&amp;START_MAXIMIZED=","FALSE&amp;VAR:CALENDAR=FIVEDAY&amp;VAR:SYMBOL=B5KKT9&amp;VAR:INDEX=0"}</definedName>
    <definedName name="_881__FDSAUDITLINK__" localSheetId="8" hidden="1">{"fdsup://Directions/FactSet Auditing Viewer?action=AUDIT_VALUE&amp;DB=129&amp;ID1=074482&amp;VALUEID=01001&amp;SDATE=2009&amp;PERIODTYPE=ANN_STD&amp;SCFT=3&amp;window=popup_no_bar&amp;width=385&amp;height=120&amp;START_MAXIMIZED=FALSE&amp;creator=factset&amp;display_string=Audit"}</definedName>
    <definedName name="_881__FDSAUDITLINK__" hidden="1">{"fdsup://Directions/FactSet Auditing Viewer?action=AUDIT_VALUE&amp;DB=129&amp;ID1=074482&amp;VALUEID=01001&amp;SDATE=2009&amp;PERIODTYPE=ANN_STD&amp;SCFT=3&amp;window=popup_no_bar&amp;width=385&amp;height=120&amp;START_MAXIMIZED=FALSE&amp;creator=factset&amp;display_string=Audit"}</definedName>
    <definedName name="_881__FDSAUDITLINK___1" localSheetId="8" hidden="1">{"fdsup://Directions/FactSet Auditing Viewer?action=AUDIT_VALUE&amp;DB=129&amp;ID1=074482&amp;VALUEID=01001&amp;SDATE=2009&amp;PERIODTYPE=ANN_STD&amp;SCFT=3&amp;window=popup_no_bar&amp;width=385&amp;height=120&amp;START_MAXIMIZED=FALSE&amp;creator=factset&amp;display_string=Audit"}</definedName>
    <definedName name="_881__FDSAUDITLINK___1" hidden="1">{"fdsup://Directions/FactSet Auditing Viewer?action=AUDIT_VALUE&amp;DB=129&amp;ID1=074482&amp;VALUEID=01001&amp;SDATE=2009&amp;PERIODTYPE=ANN_STD&amp;SCFT=3&amp;window=popup_no_bar&amp;width=385&amp;height=120&amp;START_MAXIMIZED=FALSE&amp;creator=factset&amp;display_string=Audit"}</definedName>
    <definedName name="_882__FDSAUDITLINK__" localSheetId="8" hidden="1">{"fdsup://directions/FAT Viewer?action=UPDATE&amp;creator=factset&amp;DYN_ARGS=TRUE&amp;DOC_NAME=FAT:FQL_AUDITING_CLIENT_TEMPLATE.FAT&amp;display_string=Audit&amp;VAR:KEY=XYFMVOXMDG&amp;VAR:QUERY=RkZfRU5UUlBSX1ZBTF9EQUlMWSgwLCwsLCwnRElMJyk=&amp;WINDOW=FIRST_POPUP&amp;HEIGHT=450&amp;WIDTH=450&amp;","START_MAXIMIZED=FALSE&amp;VAR:CALENDAR=FIVEDAY&amp;VAR:SYMBOL=B4YCDF&amp;VAR:INDEX=0"}</definedName>
    <definedName name="_882__FDSAUDITLINK__" hidden="1">{"fdsup://directions/FAT Viewer?action=UPDATE&amp;creator=factset&amp;DYN_ARGS=TRUE&amp;DOC_NAME=FAT:FQL_AUDITING_CLIENT_TEMPLATE.FAT&amp;display_string=Audit&amp;VAR:KEY=XYFMVOXMDG&amp;VAR:QUERY=RkZfRU5UUlBSX1ZBTF9EQUlMWSgwLCwsLCwnRElMJyk=&amp;WINDOW=FIRST_POPUP&amp;HEIGHT=450&amp;WIDTH=450&amp;","START_MAXIMIZED=FALSE&amp;VAR:CALENDAR=FIVEDAY&amp;VAR:SYMBOL=B4YCDF&amp;VAR:INDEX=0"}</definedName>
    <definedName name="_882__FDSAUDITLINK___1" localSheetId="8" hidden="1">{"fdsup://directions/FAT Viewer?action=UPDATE&amp;creator=factset&amp;DYN_ARGS=TRUE&amp;DOC_NAME=FAT:FQL_AUDITING_CLIENT_TEMPLATE.FAT&amp;display_string=Audit&amp;VAR:KEY=XYFMVOXMDG&amp;VAR:QUERY=RkZfRU5UUlBSX1ZBTF9EQUlMWSgwLCwsLCwnRElMJyk=&amp;WINDOW=FIRST_POPUP&amp;HEIGHT=450&amp;WIDTH=450&amp;","START_MAXIMIZED=FALSE&amp;VAR:CALENDAR=FIVEDAY&amp;VAR:SYMBOL=B4YCDF&amp;VAR:INDEX=0"}</definedName>
    <definedName name="_882__FDSAUDITLINK___1" hidden="1">{"fdsup://directions/FAT Viewer?action=UPDATE&amp;creator=factset&amp;DYN_ARGS=TRUE&amp;DOC_NAME=FAT:FQL_AUDITING_CLIENT_TEMPLATE.FAT&amp;display_string=Audit&amp;VAR:KEY=XYFMVOXMDG&amp;VAR:QUERY=RkZfRU5UUlBSX1ZBTF9EQUlMWSgwLCwsLCwnRElMJyk=&amp;WINDOW=FIRST_POPUP&amp;HEIGHT=450&amp;WIDTH=450&amp;","START_MAXIMIZED=FALSE&amp;VAR:CALENDAR=FIVEDAY&amp;VAR:SYMBOL=B4YCDF&amp;VAR:INDEX=0"}</definedName>
    <definedName name="_883__FDSAUDITLINK__" localSheetId="8" hidden="1">{"fdsup://directions/FAT Viewer?action=UPDATE&amp;creator=factset&amp;DYN_ARGS=TRUE&amp;DOC_NAME=FAT:FQL_AUDITING_CLIENT_TEMPLATE.FAT&amp;display_string=Audit&amp;VAR:KEY=NOHOLWNUXM&amp;VAR:QUERY=RkZfRUJJVERBX09QRVIoQU5OLDIwMDkp&amp;WINDOW=FIRST_POPUP&amp;HEIGHT=450&amp;WIDTH=450&amp;START_MAXIMI","ZED=FALSE&amp;VAR:CALENDAR=FIVEDAY&amp;VAR:SYMBOL=B5KKT9&amp;VAR:INDEX=0"}</definedName>
    <definedName name="_883__FDSAUDITLINK__" hidden="1">{"fdsup://directions/FAT Viewer?action=UPDATE&amp;creator=factset&amp;DYN_ARGS=TRUE&amp;DOC_NAME=FAT:FQL_AUDITING_CLIENT_TEMPLATE.FAT&amp;display_string=Audit&amp;VAR:KEY=NOHOLWNUXM&amp;VAR:QUERY=RkZfRUJJVERBX09QRVIoQU5OLDIwMDkp&amp;WINDOW=FIRST_POPUP&amp;HEIGHT=450&amp;WIDTH=450&amp;START_MAXIMI","ZED=FALSE&amp;VAR:CALENDAR=FIVEDAY&amp;VAR:SYMBOL=B5KKT9&amp;VAR:INDEX=0"}</definedName>
    <definedName name="_883__FDSAUDITLINK___1" localSheetId="8" hidden="1">{"fdsup://directions/FAT Viewer?action=UPDATE&amp;creator=factset&amp;DYN_ARGS=TRUE&amp;DOC_NAME=FAT:FQL_AUDITING_CLIENT_TEMPLATE.FAT&amp;display_string=Audit&amp;VAR:KEY=NOHOLWNUXM&amp;VAR:QUERY=RkZfRUJJVERBX09QRVIoQU5OLDIwMDkp&amp;WINDOW=FIRST_POPUP&amp;HEIGHT=450&amp;WIDTH=450&amp;START_MAXIMI","ZED=FALSE&amp;VAR:CALENDAR=FIVEDAY&amp;VAR:SYMBOL=B5KKT9&amp;VAR:INDEX=0"}</definedName>
    <definedName name="_883__FDSAUDITLINK___1" hidden="1">{"fdsup://directions/FAT Viewer?action=UPDATE&amp;creator=factset&amp;DYN_ARGS=TRUE&amp;DOC_NAME=FAT:FQL_AUDITING_CLIENT_TEMPLATE.FAT&amp;display_string=Audit&amp;VAR:KEY=NOHOLWNUXM&amp;VAR:QUERY=RkZfRUJJVERBX09QRVIoQU5OLDIwMDkp&amp;WINDOW=FIRST_POPUP&amp;HEIGHT=450&amp;WIDTH=450&amp;START_MAXIMI","ZED=FALSE&amp;VAR:CALENDAR=FIVEDAY&amp;VAR:SYMBOL=B5KKT9&amp;VAR:INDEX=0"}</definedName>
    <definedName name="_884__FDSAUDITLINK__" localSheetId="8" hidden="1">{"fdsup://Directions/FactSet Auditing Viewer?action=AUDIT_VALUE&amp;DB=129&amp;ID1=074482&amp;VALUEID=01250&amp;SDATE=2009&amp;PERIODTYPE=ANN_STD&amp;SCFT=3&amp;window=popup_no_bar&amp;width=385&amp;height=120&amp;START_MAXIMIZED=FALSE&amp;creator=factset&amp;display_string=Audit"}</definedName>
    <definedName name="_884__FDSAUDITLINK__" hidden="1">{"fdsup://Directions/FactSet Auditing Viewer?action=AUDIT_VALUE&amp;DB=129&amp;ID1=074482&amp;VALUEID=01250&amp;SDATE=2009&amp;PERIODTYPE=ANN_STD&amp;SCFT=3&amp;window=popup_no_bar&amp;width=385&amp;height=120&amp;START_MAXIMIZED=FALSE&amp;creator=factset&amp;display_string=Audit"}</definedName>
    <definedName name="_884__FDSAUDITLINK___1" localSheetId="8" hidden="1">{"fdsup://Directions/FactSet Auditing Viewer?action=AUDIT_VALUE&amp;DB=129&amp;ID1=074482&amp;VALUEID=01250&amp;SDATE=2009&amp;PERIODTYPE=ANN_STD&amp;SCFT=3&amp;window=popup_no_bar&amp;width=385&amp;height=120&amp;START_MAXIMIZED=FALSE&amp;creator=factset&amp;display_string=Audit"}</definedName>
    <definedName name="_884__FDSAUDITLINK___1" hidden="1">{"fdsup://Directions/FactSet Auditing Viewer?action=AUDIT_VALUE&amp;DB=129&amp;ID1=074482&amp;VALUEID=01250&amp;SDATE=2009&amp;PERIODTYPE=ANN_STD&amp;SCFT=3&amp;window=popup_no_bar&amp;width=385&amp;height=120&amp;START_MAXIMIZED=FALSE&amp;creator=factset&amp;display_string=Audit"}</definedName>
    <definedName name="_885__FDSAUDITLINK__" localSheetId="8" hidden="1">{"fdsup://Directions/FactSet Auditing Viewer?action=AUDIT_VALUE&amp;DB=129&amp;ID1=074482&amp;VALUEID=01250&amp;SDATE=2010&amp;PERIODTYPE=ANN_STD&amp;SCFT=3&amp;window=popup_no_bar&amp;width=385&amp;height=120&amp;START_MAXIMIZED=FALSE&amp;creator=factset&amp;display_string=Audit"}</definedName>
    <definedName name="_885__FDSAUDITLINK__" hidden="1">{"fdsup://Directions/FactSet Auditing Viewer?action=AUDIT_VALUE&amp;DB=129&amp;ID1=074482&amp;VALUEID=01250&amp;SDATE=2010&amp;PERIODTYPE=ANN_STD&amp;SCFT=3&amp;window=popup_no_bar&amp;width=385&amp;height=120&amp;START_MAXIMIZED=FALSE&amp;creator=factset&amp;display_string=Audit"}</definedName>
    <definedName name="_885__FDSAUDITLINK___1" localSheetId="8" hidden="1">{"fdsup://Directions/FactSet Auditing Viewer?action=AUDIT_VALUE&amp;DB=129&amp;ID1=074482&amp;VALUEID=01250&amp;SDATE=2010&amp;PERIODTYPE=ANN_STD&amp;SCFT=3&amp;window=popup_no_bar&amp;width=385&amp;height=120&amp;START_MAXIMIZED=FALSE&amp;creator=factset&amp;display_string=Audit"}</definedName>
    <definedName name="_885__FDSAUDITLINK___1" hidden="1">{"fdsup://Directions/FactSet Auditing Viewer?action=AUDIT_VALUE&amp;DB=129&amp;ID1=074482&amp;VALUEID=01250&amp;SDATE=2010&amp;PERIODTYPE=ANN_STD&amp;SCFT=3&amp;window=popup_no_bar&amp;width=385&amp;height=120&amp;START_MAXIMIZED=FALSE&amp;creator=factset&amp;display_string=Audit"}</definedName>
    <definedName name="_886__FDSAUDITLINK__" localSheetId="8" hidden="1">{"fdsup://directions/FAT Viewer?action=UPDATE&amp;creator=factset&amp;DYN_ARGS=TRUE&amp;DOC_NAME=FAT:FQL_AUDITING_CLIENT_TEMPLATE.FAT&amp;display_string=Audit&amp;VAR:KEY=PCZGJUDSDO&amp;VAR:QUERY=RkZfRUJJVF9PUEVSKEFOTiwyMDEwKQ==&amp;WINDOW=FIRST_POPUP&amp;HEIGHT=450&amp;WIDTH=450&amp;START_MAXIMI","ZED=FALSE&amp;VAR:CALENDAR=FIVEDAY&amp;VAR:SYMBOL=B5KKT9&amp;VAR:INDEX=0"}</definedName>
    <definedName name="_886__FDSAUDITLINK__" hidden="1">{"fdsup://directions/FAT Viewer?action=UPDATE&amp;creator=factset&amp;DYN_ARGS=TRUE&amp;DOC_NAME=FAT:FQL_AUDITING_CLIENT_TEMPLATE.FAT&amp;display_string=Audit&amp;VAR:KEY=PCZGJUDSDO&amp;VAR:QUERY=RkZfRUJJVF9PUEVSKEFOTiwyMDEwKQ==&amp;WINDOW=FIRST_POPUP&amp;HEIGHT=450&amp;WIDTH=450&amp;START_MAXIMI","ZED=FALSE&amp;VAR:CALENDAR=FIVEDAY&amp;VAR:SYMBOL=B5KKT9&amp;VAR:INDEX=0"}</definedName>
    <definedName name="_886__FDSAUDITLINK___1" localSheetId="8" hidden="1">{"fdsup://directions/FAT Viewer?action=UPDATE&amp;creator=factset&amp;DYN_ARGS=TRUE&amp;DOC_NAME=FAT:FQL_AUDITING_CLIENT_TEMPLATE.FAT&amp;display_string=Audit&amp;VAR:KEY=PCZGJUDSDO&amp;VAR:QUERY=RkZfRUJJVF9PUEVSKEFOTiwyMDEwKQ==&amp;WINDOW=FIRST_POPUP&amp;HEIGHT=450&amp;WIDTH=450&amp;START_MAXIMI","ZED=FALSE&amp;VAR:CALENDAR=FIVEDAY&amp;VAR:SYMBOL=B5KKT9&amp;VAR:INDEX=0"}</definedName>
    <definedName name="_886__FDSAUDITLINK___1" hidden="1">{"fdsup://directions/FAT Viewer?action=UPDATE&amp;creator=factset&amp;DYN_ARGS=TRUE&amp;DOC_NAME=FAT:FQL_AUDITING_CLIENT_TEMPLATE.FAT&amp;display_string=Audit&amp;VAR:KEY=PCZGJUDSDO&amp;VAR:QUERY=RkZfRUJJVF9PUEVSKEFOTiwyMDEwKQ==&amp;WINDOW=FIRST_POPUP&amp;HEIGHT=450&amp;WIDTH=450&amp;START_MAXIMI","ZED=FALSE&amp;VAR:CALENDAR=FIVEDAY&amp;VAR:SYMBOL=B5KKT9&amp;VAR:INDEX=0"}</definedName>
    <definedName name="_887__FDSAUDITLINK__" localSheetId="8" hidden="1">{"fdsup://directions/FAT Viewer?action=UPDATE&amp;creator=factset&amp;DYN_ARGS=TRUE&amp;DOC_NAME=FAT:FQL_AUDITING_CLIENT_TEMPLATE.FAT&amp;display_string=Audit&amp;VAR:KEY=NWHQRWRWTM&amp;VAR:QUERY=RkZfQ0FQRVgoQU5OLDIwMDkp&amp;WINDOW=FIRST_POPUP&amp;HEIGHT=450&amp;WIDTH=450&amp;START_MAXIMIZED=FALS","E&amp;VAR:CALENDAR=FIVEDAY&amp;VAR:SYMBOL=B5KKT9&amp;VAR:INDEX=0"}</definedName>
    <definedName name="_887__FDSAUDITLINK__" hidden="1">{"fdsup://directions/FAT Viewer?action=UPDATE&amp;creator=factset&amp;DYN_ARGS=TRUE&amp;DOC_NAME=FAT:FQL_AUDITING_CLIENT_TEMPLATE.FAT&amp;display_string=Audit&amp;VAR:KEY=NWHQRWRWTM&amp;VAR:QUERY=RkZfQ0FQRVgoQU5OLDIwMDkp&amp;WINDOW=FIRST_POPUP&amp;HEIGHT=450&amp;WIDTH=450&amp;START_MAXIMIZED=FALS","E&amp;VAR:CALENDAR=FIVEDAY&amp;VAR:SYMBOL=B5KKT9&amp;VAR:INDEX=0"}</definedName>
    <definedName name="_887__FDSAUDITLINK___1" localSheetId="8" hidden="1">{"fdsup://directions/FAT Viewer?action=UPDATE&amp;creator=factset&amp;DYN_ARGS=TRUE&amp;DOC_NAME=FAT:FQL_AUDITING_CLIENT_TEMPLATE.FAT&amp;display_string=Audit&amp;VAR:KEY=NWHQRWRWTM&amp;VAR:QUERY=RkZfQ0FQRVgoQU5OLDIwMDkp&amp;WINDOW=FIRST_POPUP&amp;HEIGHT=450&amp;WIDTH=450&amp;START_MAXIMIZED=FALS","E&amp;VAR:CALENDAR=FIVEDAY&amp;VAR:SYMBOL=B5KKT9&amp;VAR:INDEX=0"}</definedName>
    <definedName name="_887__FDSAUDITLINK___1" hidden="1">{"fdsup://directions/FAT Viewer?action=UPDATE&amp;creator=factset&amp;DYN_ARGS=TRUE&amp;DOC_NAME=FAT:FQL_AUDITING_CLIENT_TEMPLATE.FAT&amp;display_string=Audit&amp;VAR:KEY=NWHQRWRWTM&amp;VAR:QUERY=RkZfQ0FQRVgoQU5OLDIwMDkp&amp;WINDOW=FIRST_POPUP&amp;HEIGHT=450&amp;WIDTH=450&amp;START_MAXIMIZED=FALS","E&amp;VAR:CALENDAR=FIVEDAY&amp;VAR:SYMBOL=B5KKT9&amp;VAR:INDEX=0"}</definedName>
    <definedName name="_888__FDSAUDITLINK__" localSheetId="8" hidden="1">{"fdsup://directions/FAT Viewer?action=UPDATE&amp;creator=factset&amp;DYN_ARGS=TRUE&amp;DOC_NAME=FAT:FQL_AUDITING_CLIENT_TEMPLATE.FAT&amp;display_string=Audit&amp;VAR:KEY=ZGHEFUJGZM&amp;VAR:QUERY=RkZfTkVUX0lOQyhBTk4sMjAwOCk=&amp;WINDOW=FIRST_POPUP&amp;HEIGHT=450&amp;WIDTH=450&amp;START_MAXIMIZED=","FALSE&amp;VAR:CALENDAR=FIVEDAY&amp;VAR:SYMBOL=B5KKT9&amp;VAR:INDEX=0"}</definedName>
    <definedName name="_888__FDSAUDITLINK__" hidden="1">{"fdsup://directions/FAT Viewer?action=UPDATE&amp;creator=factset&amp;DYN_ARGS=TRUE&amp;DOC_NAME=FAT:FQL_AUDITING_CLIENT_TEMPLATE.FAT&amp;display_string=Audit&amp;VAR:KEY=ZGHEFUJGZM&amp;VAR:QUERY=RkZfTkVUX0lOQyhBTk4sMjAwOCk=&amp;WINDOW=FIRST_POPUP&amp;HEIGHT=450&amp;WIDTH=450&amp;START_MAXIMIZED=","FALSE&amp;VAR:CALENDAR=FIVEDAY&amp;VAR:SYMBOL=B5KKT9&amp;VAR:INDEX=0"}</definedName>
    <definedName name="_888__FDSAUDITLINK___1" localSheetId="8" hidden="1">{"fdsup://directions/FAT Viewer?action=UPDATE&amp;creator=factset&amp;DYN_ARGS=TRUE&amp;DOC_NAME=FAT:FQL_AUDITING_CLIENT_TEMPLATE.FAT&amp;display_string=Audit&amp;VAR:KEY=ZGHEFUJGZM&amp;VAR:QUERY=RkZfTkVUX0lOQyhBTk4sMjAwOCk=&amp;WINDOW=FIRST_POPUP&amp;HEIGHT=450&amp;WIDTH=450&amp;START_MAXIMIZED=","FALSE&amp;VAR:CALENDAR=FIVEDAY&amp;VAR:SYMBOL=B5KKT9&amp;VAR:INDEX=0"}</definedName>
    <definedName name="_888__FDSAUDITLINK___1" hidden="1">{"fdsup://directions/FAT Viewer?action=UPDATE&amp;creator=factset&amp;DYN_ARGS=TRUE&amp;DOC_NAME=FAT:FQL_AUDITING_CLIENT_TEMPLATE.FAT&amp;display_string=Audit&amp;VAR:KEY=ZGHEFUJGZM&amp;VAR:QUERY=RkZfTkVUX0lOQyhBTk4sMjAwOCk=&amp;WINDOW=FIRST_POPUP&amp;HEIGHT=450&amp;WIDTH=450&amp;START_MAXIMIZED=","FALSE&amp;VAR:CALENDAR=FIVEDAY&amp;VAR:SYMBOL=B5KKT9&amp;VAR:INDEX=0"}</definedName>
    <definedName name="_889__FDSAUDITLINK__" localSheetId="8" hidden="1">{"fdsup://directions/FAT Viewer?action=UPDATE&amp;creator=factset&amp;DYN_ARGS=TRUE&amp;DOC_NAME=FAT:FQL_AUDITING_CLIENT_TEMPLATE.FAT&amp;display_string=Audit&amp;VAR:KEY=ONENERUZAP&amp;VAR:QUERY=RkZfTkVUX0lOQyhBTk4sMjAxMSk=&amp;WINDOW=FIRST_POPUP&amp;HEIGHT=450&amp;WIDTH=450&amp;START_MAXIMIZED=","FALSE&amp;VAR:CALENDAR=FIVEDAY&amp;VAR:SYMBOL=074482&amp;VAR:INDEX=0"}</definedName>
    <definedName name="_889__FDSAUDITLINK__" hidden="1">{"fdsup://directions/FAT Viewer?action=UPDATE&amp;creator=factset&amp;DYN_ARGS=TRUE&amp;DOC_NAME=FAT:FQL_AUDITING_CLIENT_TEMPLATE.FAT&amp;display_string=Audit&amp;VAR:KEY=ONENERUZAP&amp;VAR:QUERY=RkZfTkVUX0lOQyhBTk4sMjAxMSk=&amp;WINDOW=FIRST_POPUP&amp;HEIGHT=450&amp;WIDTH=450&amp;START_MAXIMIZED=","FALSE&amp;VAR:CALENDAR=FIVEDAY&amp;VAR:SYMBOL=074482&amp;VAR:INDEX=0"}</definedName>
    <definedName name="_889__FDSAUDITLINK___1" localSheetId="8" hidden="1">{"fdsup://directions/FAT Viewer?action=UPDATE&amp;creator=factset&amp;DYN_ARGS=TRUE&amp;DOC_NAME=FAT:FQL_AUDITING_CLIENT_TEMPLATE.FAT&amp;display_string=Audit&amp;VAR:KEY=ONENERUZAP&amp;VAR:QUERY=RkZfTkVUX0lOQyhBTk4sMjAxMSk=&amp;WINDOW=FIRST_POPUP&amp;HEIGHT=450&amp;WIDTH=450&amp;START_MAXIMIZED=","FALSE&amp;VAR:CALENDAR=FIVEDAY&amp;VAR:SYMBOL=074482&amp;VAR:INDEX=0"}</definedName>
    <definedName name="_889__FDSAUDITLINK___1" hidden="1">{"fdsup://directions/FAT Viewer?action=UPDATE&amp;creator=factset&amp;DYN_ARGS=TRUE&amp;DOC_NAME=FAT:FQL_AUDITING_CLIENT_TEMPLATE.FAT&amp;display_string=Audit&amp;VAR:KEY=ONENERUZAP&amp;VAR:QUERY=RkZfTkVUX0lOQyhBTk4sMjAxMSk=&amp;WINDOW=FIRST_POPUP&amp;HEIGHT=450&amp;WIDTH=450&amp;START_MAXIMIZED=","FALSE&amp;VAR:CALENDAR=FIVEDAY&amp;VAR:SYMBOL=074482&amp;VAR:INDEX=0"}</definedName>
    <definedName name="_89__123Graph_CCHART_2" hidden="1">#REF!</definedName>
    <definedName name="_89__123Graph_FCHART_10" localSheetId="8" hidden="1">#REF!</definedName>
    <definedName name="_89__123Graph_FCHART_10" hidden="1">#REF!</definedName>
    <definedName name="_89__123Graph_LBL_CCHART_16" hidden="1">#REF!</definedName>
    <definedName name="_89__123Graph_XCHART_13" hidden="1">#REF!</definedName>
    <definedName name="_89__FDSAUDITLINK__" localSheetId="8" hidden="1">{"fdsup://directions/FAT Viewer?action=UPDATE&amp;creator=factset&amp;DYN_ARGS=TRUE&amp;DOC_NAME=FAT:FQL_AUDITING_CLIENT_TEMPLATE.FAT&amp;display_string=Audit&amp;VAR:KEY=XWZCDEPUPG&amp;VAR:QUERY=RkZfRUJJVF9JQignQU5OJywzNTUyMCwsLCwnR0JQJyk=&amp;WINDOW=FIRST_POPUP&amp;HEIGHT=450&amp;WIDTH=450&amp;","START_MAXIMIZED=FALSE&amp;VAR:CALENDAR=FIVEDAY&amp;VAR:SYMBOL=092210&amp;VAR:INDEX=0"}</definedName>
    <definedName name="_89__FDSAUDITLINK__" hidden="1">{"fdsup://directions/FAT Viewer?action=UPDATE&amp;creator=factset&amp;DYN_ARGS=TRUE&amp;DOC_NAME=FAT:FQL_AUDITING_CLIENT_TEMPLATE.FAT&amp;display_string=Audit&amp;VAR:KEY=PWXABUDKVK&amp;VAR:QUERY=RkZfRUJJVF9PUEVSKENBTCwyMDA5KQ==&amp;WINDOW=FIRST_POPUP&amp;HEIGHT=450&amp;WIDTH=450&amp;START_MAXIMI","ZED=FALSE&amp;VAR:CALENDAR=US&amp;VAR:SYMBOL=CX&amp;VAR:INDEX=0"}</definedName>
    <definedName name="_89__FDSAUDITLINK___1" localSheetId="8" hidden="1">{"fdsup://directions/FAT Viewer?action=UPDATE&amp;creator=factset&amp;DYN_ARGS=TRUE&amp;DOC_NAME=FAT:FQL_AUDITING_CLIENT_TEMPLATE.FAT&amp;display_string=Audit&amp;VAR:KEY=XWZCDEPUPG&amp;VAR:QUERY=RkZfRUJJVF9JQignQU5OJywzNTUyMCwsLCwnR0JQJyk=&amp;WINDOW=FIRST_POPUP&amp;HEIGHT=450&amp;WIDTH=450&amp;","START_MAXIMIZED=FALSE&amp;VAR:CALENDAR=FIVEDAY&amp;VAR:SYMBOL=092210&amp;VAR:INDEX=0"}</definedName>
    <definedName name="_89__FDSAUDITLINK___1" hidden="1">{"fdsup://directions/FAT Viewer?action=UPDATE&amp;creator=factset&amp;DYN_ARGS=TRUE&amp;DOC_NAME=FAT:FQL_AUDITING_CLIENT_TEMPLATE.FAT&amp;display_string=Audit&amp;VAR:KEY=XWZCDEPUPG&amp;VAR:QUERY=RkZfRUJJVF9JQignQU5OJywzNTUyMCwsLCwnR0JQJyk=&amp;WINDOW=FIRST_POPUP&amp;HEIGHT=450&amp;WIDTH=450&amp;","START_MAXIMIZED=FALSE&amp;VAR:CALENDAR=FIVEDAY&amp;VAR:SYMBOL=092210&amp;VAR:INDEX=0"}</definedName>
    <definedName name="_890__FDSAUDITLINK__" localSheetId="8" hidden="1">{"fdsup://IBCentral/FAT Viewer?action=UPDATE&amp;creator=factset&amp;DOC_NAME=fat:reuters_annual_source_window.fat&amp;display_string=Audit&amp;DYN_ARGS=TRUE&amp;VAR:ID1=221353&amp;VAR:RCODE=LMIN&amp;VAR:SDATE=20051299&amp;VAR:FREQ=Y&amp;VAR:RELITEM=RP&amp;VAR:CURRENCY=USD&amp;VAR:CURRSOURCE=EXSHARE&amp;","VAR:NATFREQ=ANNUAL&amp;VAR:RFIELD=FINALIZED&amp;VAR:DB_TYPE=&amp;VAR:UNITS=M&amp;window=popup&amp;width=450&amp;height=300&amp;START_MAXIMIZED=FALSE"}</definedName>
    <definedName name="_890__FDSAUDITLINK__" hidden="1">{"fdsup://IBCentral/FAT Viewer?action=UPDATE&amp;creator=factset&amp;DOC_NAME=fat:reuters_annual_source_window.fat&amp;display_string=Audit&amp;DYN_ARGS=TRUE&amp;VAR:ID1=221353&amp;VAR:RCODE=LMIN&amp;VAR:SDATE=20051299&amp;VAR:FREQ=Y&amp;VAR:RELITEM=RP&amp;VAR:CURRENCY=USD&amp;VAR:CURRSOURCE=EXSHARE&amp;","VAR:NATFREQ=ANNUAL&amp;VAR:RFIELD=FINALIZED&amp;VAR:DB_TYPE=&amp;VAR:UNITS=M&amp;window=popup&amp;width=450&amp;height=300&amp;START_MAXIMIZED=FALSE"}</definedName>
    <definedName name="_891__FDSAUDITLINK__" localSheetId="8" hidden="1">{"fdsup://Directions/FactSet Auditing Viewer?action=AUDIT_VALUE&amp;DB=129&amp;ID1=074482&amp;VALUEID=01001&amp;SDATE=2008&amp;PERIODTYPE=ANN_STD&amp;SCFT=3&amp;window=popup_no_bar&amp;width=385&amp;height=120&amp;START_MAXIMIZED=FALSE&amp;creator=factset&amp;display_string=Audit"}</definedName>
    <definedName name="_891__FDSAUDITLINK__" hidden="1">{"fdsup://Directions/FactSet Auditing Viewer?action=AUDIT_VALUE&amp;DB=129&amp;ID1=074482&amp;VALUEID=01001&amp;SDATE=2008&amp;PERIODTYPE=ANN_STD&amp;SCFT=3&amp;window=popup_no_bar&amp;width=385&amp;height=120&amp;START_MAXIMIZED=FALSE&amp;creator=factset&amp;display_string=Audit"}</definedName>
    <definedName name="_891__FDSAUDITLINK___1" localSheetId="8" hidden="1">{"fdsup://Directions/FactSet Auditing Viewer?action=AUDIT_VALUE&amp;DB=129&amp;ID1=074482&amp;VALUEID=01001&amp;SDATE=2008&amp;PERIODTYPE=ANN_STD&amp;SCFT=3&amp;window=popup_no_bar&amp;width=385&amp;height=120&amp;START_MAXIMIZED=FALSE&amp;creator=factset&amp;display_string=Audit"}</definedName>
    <definedName name="_891__FDSAUDITLINK___1" hidden="1">{"fdsup://Directions/FactSet Auditing Viewer?action=AUDIT_VALUE&amp;DB=129&amp;ID1=074482&amp;VALUEID=01001&amp;SDATE=2008&amp;PERIODTYPE=ANN_STD&amp;SCFT=3&amp;window=popup_no_bar&amp;width=385&amp;height=120&amp;START_MAXIMIZED=FALSE&amp;creator=factset&amp;display_string=Audit"}</definedName>
    <definedName name="_892__FDSAUDITLINK__" localSheetId="8" hidden="1">{"fdsup://Directions/FactSet Auditing Viewer?action=AUDIT_VALUE&amp;DB=129&amp;ID1=074482&amp;VALUEID=01001&amp;SDATE=2010&amp;PERIODTYPE=ANN_STD&amp;SCFT=3&amp;window=popup_no_bar&amp;width=385&amp;height=120&amp;START_MAXIMIZED=FALSE&amp;creator=factset&amp;display_string=Audit"}</definedName>
    <definedName name="_892__FDSAUDITLINK__" hidden="1">{"fdsup://Directions/FactSet Auditing Viewer?action=AUDIT_VALUE&amp;DB=129&amp;ID1=074482&amp;VALUEID=01001&amp;SDATE=2010&amp;PERIODTYPE=ANN_STD&amp;SCFT=3&amp;window=popup_no_bar&amp;width=385&amp;height=120&amp;START_MAXIMIZED=FALSE&amp;creator=factset&amp;display_string=Audit"}</definedName>
    <definedName name="_892__FDSAUDITLINK___1" localSheetId="8" hidden="1">{"fdsup://Directions/FactSet Auditing Viewer?action=AUDIT_VALUE&amp;DB=129&amp;ID1=074482&amp;VALUEID=01001&amp;SDATE=2010&amp;PERIODTYPE=ANN_STD&amp;SCFT=3&amp;window=popup_no_bar&amp;width=385&amp;height=120&amp;START_MAXIMIZED=FALSE&amp;creator=factset&amp;display_string=Audit"}</definedName>
    <definedName name="_892__FDSAUDITLINK___1" hidden="1">{"fdsup://Directions/FactSet Auditing Viewer?action=AUDIT_VALUE&amp;DB=129&amp;ID1=074482&amp;VALUEID=01001&amp;SDATE=2010&amp;PERIODTYPE=ANN_STD&amp;SCFT=3&amp;window=popup_no_bar&amp;width=385&amp;height=120&amp;START_MAXIMIZED=FALSE&amp;creator=factset&amp;display_string=Audit"}</definedName>
    <definedName name="_893__FDSAUDITLINK__" localSheetId="8" hidden="1">{"fdsup://directions/FAT Viewer?action=UPDATE&amp;creator=factset&amp;DYN_ARGS=TRUE&amp;DOC_NAME=FAT:FQL_AUDITING_CLIENT_TEMPLATE.FAT&amp;display_string=Audit&amp;VAR:KEY=UBGBURMPIN&amp;VAR:QUERY=RkZfRUJJVERBX09QRVIoQU5OLDIwMDgp&amp;WINDOW=FIRST_POPUP&amp;HEIGHT=450&amp;WIDTH=450&amp;START_MAXIMI","ZED=FALSE&amp;VAR:CALENDAR=FIVEDAY&amp;VAR:SYMBOL=B5KKT9&amp;VAR:INDEX=0"}</definedName>
    <definedName name="_893__FDSAUDITLINK__" hidden="1">{"fdsup://directions/FAT Viewer?action=UPDATE&amp;creator=factset&amp;DYN_ARGS=TRUE&amp;DOC_NAME=FAT:FQL_AUDITING_CLIENT_TEMPLATE.FAT&amp;display_string=Audit&amp;VAR:KEY=UBGBURMPIN&amp;VAR:QUERY=RkZfRUJJVERBX09QRVIoQU5OLDIwMDgp&amp;WINDOW=FIRST_POPUP&amp;HEIGHT=450&amp;WIDTH=450&amp;START_MAXIMI","ZED=FALSE&amp;VAR:CALENDAR=FIVEDAY&amp;VAR:SYMBOL=B5KKT9&amp;VAR:INDEX=0"}</definedName>
    <definedName name="_893__FDSAUDITLINK___1" localSheetId="8" hidden="1">{"fdsup://directions/FAT Viewer?action=UPDATE&amp;creator=factset&amp;DYN_ARGS=TRUE&amp;DOC_NAME=FAT:FQL_AUDITING_CLIENT_TEMPLATE.FAT&amp;display_string=Audit&amp;VAR:KEY=UBGBURMPIN&amp;VAR:QUERY=RkZfRUJJVERBX09QRVIoQU5OLDIwMDgp&amp;WINDOW=FIRST_POPUP&amp;HEIGHT=450&amp;WIDTH=450&amp;START_MAXIMI","ZED=FALSE&amp;VAR:CALENDAR=FIVEDAY&amp;VAR:SYMBOL=B5KKT9&amp;VAR:INDEX=0"}</definedName>
    <definedName name="_893__FDSAUDITLINK___1" hidden="1">{"fdsup://directions/FAT Viewer?action=UPDATE&amp;creator=factset&amp;DYN_ARGS=TRUE&amp;DOC_NAME=FAT:FQL_AUDITING_CLIENT_TEMPLATE.FAT&amp;display_string=Audit&amp;VAR:KEY=UBGBURMPIN&amp;VAR:QUERY=RkZfRUJJVERBX09QRVIoQU5OLDIwMDgp&amp;WINDOW=FIRST_POPUP&amp;HEIGHT=450&amp;WIDTH=450&amp;START_MAXIMI","ZED=FALSE&amp;VAR:CALENDAR=FIVEDAY&amp;VAR:SYMBOL=B5KKT9&amp;VAR:INDEX=0"}</definedName>
    <definedName name="_894__FDSAUDITLINK__" localSheetId="8" hidden="1">{"fdsup://directions/FAT Viewer?action=UPDATE&amp;creator=factset&amp;DYN_ARGS=TRUE&amp;DOC_NAME=FAT:FQL_AUDITING_CLIENT_TEMPLATE.FAT&amp;display_string=Audit&amp;VAR:KEY=UHMLKHGBSB&amp;VAR:QUERY=RkZfRUJJVERBX09QRVIoQU5OLDIwMTEp&amp;WINDOW=FIRST_POPUP&amp;HEIGHT=450&amp;WIDTH=450&amp;START_MAXIMI","ZED=FALSE&amp;VAR:CALENDAR=FIVEDAY&amp;VAR:SYMBOL=074482&amp;VAR:INDEX=0"}</definedName>
    <definedName name="_894__FDSAUDITLINK__" hidden="1">{"fdsup://directions/FAT Viewer?action=UPDATE&amp;creator=factset&amp;DYN_ARGS=TRUE&amp;DOC_NAME=FAT:FQL_AUDITING_CLIENT_TEMPLATE.FAT&amp;display_string=Audit&amp;VAR:KEY=UHMLKHGBSB&amp;VAR:QUERY=RkZfRUJJVERBX09QRVIoQU5OLDIwMTEp&amp;WINDOW=FIRST_POPUP&amp;HEIGHT=450&amp;WIDTH=450&amp;START_MAXIMI","ZED=FALSE&amp;VAR:CALENDAR=FIVEDAY&amp;VAR:SYMBOL=074482&amp;VAR:INDEX=0"}</definedName>
    <definedName name="_894__FDSAUDITLINK___1" localSheetId="8" hidden="1">{"fdsup://directions/FAT Viewer?action=UPDATE&amp;creator=factset&amp;DYN_ARGS=TRUE&amp;DOC_NAME=FAT:FQL_AUDITING_CLIENT_TEMPLATE.FAT&amp;display_string=Audit&amp;VAR:KEY=UHMLKHGBSB&amp;VAR:QUERY=RkZfRUJJVERBX09QRVIoQU5OLDIwMTEp&amp;WINDOW=FIRST_POPUP&amp;HEIGHT=450&amp;WIDTH=450&amp;START_MAXIMI","ZED=FALSE&amp;VAR:CALENDAR=FIVEDAY&amp;VAR:SYMBOL=074482&amp;VAR:INDEX=0"}</definedName>
    <definedName name="_894__FDSAUDITLINK___1" hidden="1">{"fdsup://directions/FAT Viewer?action=UPDATE&amp;creator=factset&amp;DYN_ARGS=TRUE&amp;DOC_NAME=FAT:FQL_AUDITING_CLIENT_TEMPLATE.FAT&amp;display_string=Audit&amp;VAR:KEY=UHMLKHGBSB&amp;VAR:QUERY=RkZfRUJJVERBX09QRVIoQU5OLDIwMTEp&amp;WINDOW=FIRST_POPUP&amp;HEIGHT=450&amp;WIDTH=450&amp;START_MAXIMI","ZED=FALSE&amp;VAR:CALENDAR=FIVEDAY&amp;VAR:SYMBOL=074482&amp;VAR:INDEX=0"}</definedName>
    <definedName name="_895__FDSAUDITLINK__" localSheetId="8" hidden="1">{"fdsup://Directions/FactSet Auditing Viewer?action=AUDIT_VALUE&amp;DB=129&amp;ID1=074482&amp;VALUEID=01250&amp;SDATE=2008&amp;PERIODTYPE=ANN_STD&amp;SCFT=3&amp;window=popup_no_bar&amp;width=385&amp;height=120&amp;START_MAXIMIZED=FALSE&amp;creator=factset&amp;display_string=Audit"}</definedName>
    <definedName name="_895__FDSAUDITLINK__" hidden="1">{"fdsup://Directions/FactSet Auditing Viewer?action=AUDIT_VALUE&amp;DB=129&amp;ID1=074482&amp;VALUEID=01250&amp;SDATE=2008&amp;PERIODTYPE=ANN_STD&amp;SCFT=3&amp;window=popup_no_bar&amp;width=385&amp;height=120&amp;START_MAXIMIZED=FALSE&amp;creator=factset&amp;display_string=Audit"}</definedName>
    <definedName name="_895__FDSAUDITLINK___1" localSheetId="8" hidden="1">{"fdsup://Directions/FactSet Auditing Viewer?action=AUDIT_VALUE&amp;DB=129&amp;ID1=074482&amp;VALUEID=01250&amp;SDATE=2008&amp;PERIODTYPE=ANN_STD&amp;SCFT=3&amp;window=popup_no_bar&amp;width=385&amp;height=120&amp;START_MAXIMIZED=FALSE&amp;creator=factset&amp;display_string=Audit"}</definedName>
    <definedName name="_895__FDSAUDITLINK___1" hidden="1">{"fdsup://Directions/FactSet Auditing Viewer?action=AUDIT_VALUE&amp;DB=129&amp;ID1=074482&amp;VALUEID=01250&amp;SDATE=2008&amp;PERIODTYPE=ANN_STD&amp;SCFT=3&amp;window=popup_no_bar&amp;width=385&amp;height=120&amp;START_MAXIMIZED=FALSE&amp;creator=factset&amp;display_string=Audit"}</definedName>
    <definedName name="_896__FDSAUDITLINK__" localSheetId="8" hidden="1">{"fdsup://Directions/FactSet Auditing Viewer?action=AUDIT_VALUE&amp;DB=129&amp;ID1=074482&amp;VALUEID=01250&amp;SDATE=2010&amp;PERIODTYPE=ANN_STD&amp;SCFT=3&amp;window=popup_no_bar&amp;width=385&amp;height=120&amp;START_MAXIMIZED=FALSE&amp;creator=factset&amp;display_string=Audit"}</definedName>
    <definedName name="_896__FDSAUDITLINK__" hidden="1">{"fdsup://Directions/FactSet Auditing Viewer?action=AUDIT_VALUE&amp;DB=129&amp;ID1=074482&amp;VALUEID=01250&amp;SDATE=2010&amp;PERIODTYPE=ANN_STD&amp;SCFT=3&amp;window=popup_no_bar&amp;width=385&amp;height=120&amp;START_MAXIMIZED=FALSE&amp;creator=factset&amp;display_string=Audit"}</definedName>
    <definedName name="_896__FDSAUDITLINK___1" localSheetId="8" hidden="1">{"fdsup://Directions/FactSet Auditing Viewer?action=AUDIT_VALUE&amp;DB=129&amp;ID1=074482&amp;VALUEID=01250&amp;SDATE=2010&amp;PERIODTYPE=ANN_STD&amp;SCFT=3&amp;window=popup_no_bar&amp;width=385&amp;height=120&amp;START_MAXIMIZED=FALSE&amp;creator=factset&amp;display_string=Audit"}</definedName>
    <definedName name="_896__FDSAUDITLINK___1" hidden="1">{"fdsup://Directions/FactSet Auditing Viewer?action=AUDIT_VALUE&amp;DB=129&amp;ID1=074482&amp;VALUEID=01250&amp;SDATE=2010&amp;PERIODTYPE=ANN_STD&amp;SCFT=3&amp;window=popup_no_bar&amp;width=385&amp;height=120&amp;START_MAXIMIZED=FALSE&amp;creator=factset&amp;display_string=Audit"}</definedName>
    <definedName name="_897__FDSAUDITLINK__" localSheetId="8" hidden="1">{"fdsup://directions/FAT Viewer?action=UPDATE&amp;creator=factset&amp;DYN_ARGS=TRUE&amp;DOC_NAME=FAT:FQL_AUDITING_CLIENT_TEMPLATE.FAT&amp;display_string=Audit&amp;VAR:KEY=IPCFQDCBOX&amp;VAR:QUERY=RkZfQ0FQRVgoQU5OLDIwMDgp&amp;WINDOW=FIRST_POPUP&amp;HEIGHT=450&amp;WIDTH=450&amp;START_MAXIMIZED=FALS","E&amp;VAR:CALENDAR=FIVEDAY&amp;VAR:SYMBOL=B5KKT9&amp;VAR:INDEX=0"}</definedName>
    <definedName name="_897__FDSAUDITLINK__" hidden="1">{"fdsup://directions/FAT Viewer?action=UPDATE&amp;creator=factset&amp;DYN_ARGS=TRUE&amp;DOC_NAME=FAT:FQL_AUDITING_CLIENT_TEMPLATE.FAT&amp;display_string=Audit&amp;VAR:KEY=IPCFQDCBOX&amp;VAR:QUERY=RkZfQ0FQRVgoQU5OLDIwMDgp&amp;WINDOW=FIRST_POPUP&amp;HEIGHT=450&amp;WIDTH=450&amp;START_MAXIMIZED=FALS","E&amp;VAR:CALENDAR=FIVEDAY&amp;VAR:SYMBOL=B5KKT9&amp;VAR:INDEX=0"}</definedName>
    <definedName name="_897__FDSAUDITLINK___1" localSheetId="8" hidden="1">{"fdsup://directions/FAT Viewer?action=UPDATE&amp;creator=factset&amp;DYN_ARGS=TRUE&amp;DOC_NAME=FAT:FQL_AUDITING_CLIENT_TEMPLATE.FAT&amp;display_string=Audit&amp;VAR:KEY=IPCFQDCBOX&amp;VAR:QUERY=RkZfQ0FQRVgoQU5OLDIwMDgp&amp;WINDOW=FIRST_POPUP&amp;HEIGHT=450&amp;WIDTH=450&amp;START_MAXIMIZED=FALS","E&amp;VAR:CALENDAR=FIVEDAY&amp;VAR:SYMBOL=B5KKT9&amp;VAR:INDEX=0"}</definedName>
    <definedName name="_897__FDSAUDITLINK___1" hidden="1">{"fdsup://directions/FAT Viewer?action=UPDATE&amp;creator=factset&amp;DYN_ARGS=TRUE&amp;DOC_NAME=FAT:FQL_AUDITING_CLIENT_TEMPLATE.FAT&amp;display_string=Audit&amp;VAR:KEY=IPCFQDCBOX&amp;VAR:QUERY=RkZfQ0FQRVgoQU5OLDIwMDgp&amp;WINDOW=FIRST_POPUP&amp;HEIGHT=450&amp;WIDTH=450&amp;START_MAXIMIZED=FALS","E&amp;VAR:CALENDAR=FIVEDAY&amp;VAR:SYMBOL=B5KKT9&amp;VAR:INDEX=0"}</definedName>
    <definedName name="_898__FDSAUDITLINK__" localSheetId="8" hidden="1">{"fdsup://directions/FAT Viewer?action=UPDATE&amp;creator=factset&amp;DYN_ARGS=TRUE&amp;DOC_NAME=FAT:FQL_AUDITING_CLIENT_TEMPLATE.FAT&amp;display_string=Audit&amp;VAR:KEY=CBYJCHWVEN&amp;VAR:QUERY=RkZfQ0FQRVgoQU5OLDIwMTEp&amp;WINDOW=FIRST_POPUP&amp;HEIGHT=450&amp;WIDTH=450&amp;START_MAXIMIZED=FALS","E&amp;VAR:CALENDAR=FIVEDAY&amp;VAR:SYMBOL=074482&amp;VAR:INDEX=0"}</definedName>
    <definedName name="_898__FDSAUDITLINK__" hidden="1">{"fdsup://directions/FAT Viewer?action=UPDATE&amp;creator=factset&amp;DYN_ARGS=TRUE&amp;DOC_NAME=FAT:FQL_AUDITING_CLIENT_TEMPLATE.FAT&amp;display_string=Audit&amp;VAR:KEY=CBYJCHWVEN&amp;VAR:QUERY=RkZfQ0FQRVgoQU5OLDIwMTEp&amp;WINDOW=FIRST_POPUP&amp;HEIGHT=450&amp;WIDTH=450&amp;START_MAXIMIZED=FALS","E&amp;VAR:CALENDAR=FIVEDAY&amp;VAR:SYMBOL=074482&amp;VAR:INDEX=0"}</definedName>
    <definedName name="_898__FDSAUDITLINK___1" localSheetId="8" hidden="1">{"fdsup://directions/FAT Viewer?action=UPDATE&amp;creator=factset&amp;DYN_ARGS=TRUE&amp;DOC_NAME=FAT:FQL_AUDITING_CLIENT_TEMPLATE.FAT&amp;display_string=Audit&amp;VAR:KEY=CBYJCHWVEN&amp;VAR:QUERY=RkZfQ0FQRVgoQU5OLDIwMTEp&amp;WINDOW=FIRST_POPUP&amp;HEIGHT=450&amp;WIDTH=450&amp;START_MAXIMIZED=FALS","E&amp;VAR:CALENDAR=FIVEDAY&amp;VAR:SYMBOL=074482&amp;VAR:INDEX=0"}</definedName>
    <definedName name="_898__FDSAUDITLINK___1" hidden="1">{"fdsup://directions/FAT Viewer?action=UPDATE&amp;creator=factset&amp;DYN_ARGS=TRUE&amp;DOC_NAME=FAT:FQL_AUDITING_CLIENT_TEMPLATE.FAT&amp;display_string=Audit&amp;VAR:KEY=CBYJCHWVEN&amp;VAR:QUERY=RkZfQ0FQRVgoQU5OLDIwMTEp&amp;WINDOW=FIRST_POPUP&amp;HEIGHT=450&amp;WIDTH=450&amp;START_MAXIMIZED=FALS","E&amp;VAR:CALENDAR=FIVEDAY&amp;VAR:SYMBOL=074482&amp;VAR:INDEX=0"}</definedName>
    <definedName name="_899__FDSAUDITLINK__" localSheetId="8" hidden="1">{"fdsup://directions/FAT Viewer?action=UPDATE&amp;creator=factset&amp;DYN_ARGS=TRUE&amp;DOC_NAME=FAT:FQL_AUDITING_CLIENT_TEMPLATE.FAT&amp;display_string=Audit&amp;VAR:KEY=KDYFUZYNGR&amp;VAR:QUERY=RkZfQ0FQRVgoQU5OLDIwMTAp&amp;WINDOW=FIRST_POPUP&amp;HEIGHT=450&amp;WIDTH=450&amp;START_MAXIMIZED=FALS","E&amp;VAR:CALENDAR=FIVEDAY&amp;VAR:SYMBOL=B4YCDF&amp;VAR:INDEX=0"}</definedName>
    <definedName name="_899__FDSAUDITLINK__" hidden="1">{"fdsup://directions/FAT Viewer?action=UPDATE&amp;creator=factset&amp;DYN_ARGS=TRUE&amp;DOC_NAME=FAT:FQL_AUDITING_CLIENT_TEMPLATE.FAT&amp;display_string=Audit&amp;VAR:KEY=KDYFUZYNGR&amp;VAR:QUERY=RkZfQ0FQRVgoQU5OLDIwMTAp&amp;WINDOW=FIRST_POPUP&amp;HEIGHT=450&amp;WIDTH=450&amp;START_MAXIMIZED=FALS","E&amp;VAR:CALENDAR=FIVEDAY&amp;VAR:SYMBOL=B4YCDF&amp;VAR:INDEX=0"}</definedName>
    <definedName name="_899__FDSAUDITLINK___1" localSheetId="8" hidden="1">{"fdsup://directions/FAT Viewer?action=UPDATE&amp;creator=factset&amp;DYN_ARGS=TRUE&amp;DOC_NAME=FAT:FQL_AUDITING_CLIENT_TEMPLATE.FAT&amp;display_string=Audit&amp;VAR:KEY=KDYFUZYNGR&amp;VAR:QUERY=RkZfQ0FQRVgoQU5OLDIwMTAp&amp;WINDOW=FIRST_POPUP&amp;HEIGHT=450&amp;WIDTH=450&amp;START_MAXIMIZED=FALS","E&amp;VAR:CALENDAR=FIVEDAY&amp;VAR:SYMBOL=B4YCDF&amp;VAR:INDEX=0"}</definedName>
    <definedName name="_899__FDSAUDITLINK___1" hidden="1">{"fdsup://directions/FAT Viewer?action=UPDATE&amp;creator=factset&amp;DYN_ARGS=TRUE&amp;DOC_NAME=FAT:FQL_AUDITING_CLIENT_TEMPLATE.FAT&amp;display_string=Audit&amp;VAR:KEY=KDYFUZYNGR&amp;VAR:QUERY=RkZfQ0FQRVgoQU5OLDIwMTAp&amp;WINDOW=FIRST_POPUP&amp;HEIGHT=450&amp;WIDTH=450&amp;START_MAXIMIZED=FALS","E&amp;VAR:CALENDAR=FIVEDAY&amp;VAR:SYMBOL=B4YCDF&amp;VAR:INDEX=0"}</definedName>
    <definedName name="_9__123Graph_ACHART_19" localSheetId="8" hidden="1">#REF!</definedName>
    <definedName name="_9__123Graph_ACHART_19" hidden="1">#REF!</definedName>
    <definedName name="_9__123Graph_ACHART_2" hidden="1">#REF!</definedName>
    <definedName name="_9__123Graph_ACHART_20" hidden="1">#REF!</definedName>
    <definedName name="_9__123Graph_AChart_4" hidden="1">#REF!</definedName>
    <definedName name="_9__123Graph_ACHART_8" localSheetId="7" hidden="1">#REF!</definedName>
    <definedName name="_9__123Graph_ACHART_8" localSheetId="8" hidden="1">#REF!</definedName>
    <definedName name="_9__123Graph_ACHART_8" hidden="1">#REF!</definedName>
    <definedName name="_9__123Graph_AGRAFICO_4" localSheetId="8" hidden="1">#REF!</definedName>
    <definedName name="_9__123Graph_AGRAFICO_4" hidden="1">#REF!</definedName>
    <definedName name="_9__123Graph_BCHART_1" localSheetId="7" hidden="1">#REF!</definedName>
    <definedName name="_9__123Graph_BCHART_1" localSheetId="8" hidden="1">#REF!</definedName>
    <definedName name="_9__123Graph_BCHART_1" hidden="1">#REF!</definedName>
    <definedName name="_9__123Graph_BCHART_4" hidden="1">#REF!</definedName>
    <definedName name="_9__123Graph_BGRAFICO_8" hidden="1">#REF!</definedName>
    <definedName name="_9__123Graph_DGRAFICO_20" hidden="1">#REF!</definedName>
    <definedName name="_9__123Graph_EGRAFICO_20" hidden="1">#REF!</definedName>
    <definedName name="_9__123Graph_LBL_ACHART_1" hidden="1">#REF!</definedName>
    <definedName name="_9__123Graph_LBL_AOG_CONFRONT_INC" hidden="1">#REF!</definedName>
    <definedName name="_9__123Graph_XCHART_13" hidden="1">#REF!</definedName>
    <definedName name="_9__123Graph_XChart_2" hidden="1">#REF!</definedName>
    <definedName name="_9__FDSAUDITLINK__" localSheetId="8" hidden="1">{"fdsup://directions/FAT Viewer?action=UPDATE&amp;creator=factset&amp;DYN_ARGS=TRUE&amp;DOC_NAME=FAT:FQL_AUDITING_CLIENT_TEMPLATE.FAT&amp;display_string=Audit&amp;VAR:KEY=ILUVOFQVKR&amp;VAR:QUERY=RkZfRUJJVF9JQihBTk4sMzMyMzgsLCwsRVVSKQ==&amp;WINDOW=FIRST_POPUP&amp;HEIGHT=450&amp;WIDTH=450&amp;STAR","T_MAXIMIZED=FALSE&amp;VAR:CALENDAR=FIVEDAY&amp;VAR:SYMBOL=591344&amp;VAR:INDEX=0"}</definedName>
    <definedName name="_9__FDSAUDITLINK__" hidden="1">{"fdsup://directions/FAT Viewer?action=UPDATE&amp;creator=factset&amp;DYN_ARGS=TRUE&amp;DOC_NAME=FAT:FQL_AUDITING_CLIENT_TEMPLATE.FAT&amp;display_string=Audit&amp;VAR:KEY=VMLQTGZKVS&amp;VAR:QUERY=RkZfRU5UUlBSX1ZBTF9EQUlMWSg0MTExMCwsLCwsJ0RJTCcp&amp;WINDOW=FIRST_POPUP&amp;HEIGHT=450&amp;WIDTH=","450&amp;START_MAXIMIZED=FALSE&amp;VAR:CALENDAR=US&amp;VAR:SYMBOL=MLM&amp;VAR:INDEX=0"}</definedName>
    <definedName name="_9__FDSAUDITLINK___1" localSheetId="8" hidden="1">{"fdsup://directions/FAT Viewer?action=UPDATE&amp;creator=factset&amp;DYN_ARGS=TRUE&amp;DOC_NAME=FAT:FQL_AUDITING_CLIENT_TEMPLATE.FAT&amp;display_string=Audit&amp;VAR:KEY=ILUVOFQVKR&amp;VAR:QUERY=RkZfRUJJVF9JQihBTk4sMzMyMzgsLCwsRVVSKQ==&amp;WINDOW=FIRST_POPUP&amp;HEIGHT=450&amp;WIDTH=450&amp;STAR","T_MAXIMIZED=FALSE&amp;VAR:CALENDAR=FIVEDAY&amp;VAR:SYMBOL=591344&amp;VAR:INDEX=0"}</definedName>
    <definedName name="_9__FDSAUDITLINK___1" hidden="1">{"fdsup://directions/FAT Viewer?action=UPDATE&amp;creator=factset&amp;DYN_ARGS=TRUE&amp;DOC_NAME=FAT:FQL_AUDITING_CLIENT_TEMPLATE.FAT&amp;display_string=Audit&amp;VAR:KEY=ILUVOFQVKR&amp;VAR:QUERY=RkZfRUJJVF9JQihBTk4sMzMyMzgsLCwsRVVSKQ==&amp;WINDOW=FIRST_POPUP&amp;HEIGHT=450&amp;WIDTH=450&amp;STAR","T_MAXIMIZED=FALSE&amp;VAR:CALENDAR=FIVEDAY&amp;VAR:SYMBOL=591344&amp;VAR:INDEX=0"}</definedName>
    <definedName name="_9_123Graph_ADETS" hidden="1">#REF!</definedName>
    <definedName name="_90__123Graph_CCHART_23" hidden="1">#REF!</definedName>
    <definedName name="_90__123Graph_FCHART_11" localSheetId="8" hidden="1">#REF!</definedName>
    <definedName name="_90__123Graph_FCHART_11" hidden="1">#REF!</definedName>
    <definedName name="_90__123Graph_LBL_CCHART_2" hidden="1">#REF!</definedName>
    <definedName name="_90__FDSAUDITLINK__" localSheetId="8" hidden="1">{"fdsup://directions/FAT Viewer?action=UPDATE&amp;creator=factset&amp;DYN_ARGS=TRUE&amp;DOC_NAME=FAT:FQL_AUDITING_CLIENT_TEMPLATE.FAT&amp;display_string=Audit&amp;VAR:KEY=JSDSVMXMNE&amp;VAR:QUERY=RkZfRUJJVF9JQignQU5OJywzNTE1NSwsLCwnR0JQJyk=&amp;WINDOW=FIRST_POPUP&amp;HEIGHT=450&amp;WIDTH=450&amp;","START_MAXIMIZED=FALSE&amp;VAR:CALENDAR=FIVEDAY&amp;VAR:SYMBOL=092210&amp;VAR:INDEX=0"}</definedName>
    <definedName name="_90__FDSAUDITLINK__" hidden="1">{"fdsup://directions/FAT Viewer?action=UPDATE&amp;creator=factset&amp;DYN_ARGS=TRUE&amp;DOC_NAME=FAT:FQL_AUDITING_CLIENT_TEMPLATE.FAT&amp;display_string=Audit&amp;VAR:KEY=ZUXKDOVUPG&amp;VAR:QUERY=RkZfRUJJVF9PUEVSKENBTCwyMDA5KQ==&amp;WINDOW=FIRST_POPUP&amp;HEIGHT=450&amp;WIDTH=450&amp;START_MAXIMI","ZED=FALSE&amp;VAR:CALENDAR=US&amp;VAR:SYMBOL=450270&amp;VAR:INDEX=0"}</definedName>
    <definedName name="_90__FDSAUDITLINK___1" localSheetId="8" hidden="1">{"fdsup://directions/FAT Viewer?action=UPDATE&amp;creator=factset&amp;DYN_ARGS=TRUE&amp;DOC_NAME=FAT:FQL_AUDITING_CLIENT_TEMPLATE.FAT&amp;display_string=Audit&amp;VAR:KEY=JSDSVMXMNE&amp;VAR:QUERY=RkZfRUJJVF9JQignQU5OJywzNTE1NSwsLCwnR0JQJyk=&amp;WINDOW=FIRST_POPUP&amp;HEIGHT=450&amp;WIDTH=450&amp;","START_MAXIMIZED=FALSE&amp;VAR:CALENDAR=FIVEDAY&amp;VAR:SYMBOL=092210&amp;VAR:INDEX=0"}</definedName>
    <definedName name="_90__FDSAUDITLINK___1" hidden="1">{"fdsup://directions/FAT Viewer?action=UPDATE&amp;creator=factset&amp;DYN_ARGS=TRUE&amp;DOC_NAME=FAT:FQL_AUDITING_CLIENT_TEMPLATE.FAT&amp;display_string=Audit&amp;VAR:KEY=JSDSVMXMNE&amp;VAR:QUERY=RkZfRUJJVF9JQignQU5OJywzNTE1NSwsLCwnR0JQJyk=&amp;WINDOW=FIRST_POPUP&amp;HEIGHT=450&amp;WIDTH=450&amp;","START_MAXIMIZED=FALSE&amp;VAR:CALENDAR=FIVEDAY&amp;VAR:SYMBOL=092210&amp;VAR:INDEX=0"}</definedName>
    <definedName name="_900__FDSAUDITLINK__" localSheetId="8" hidden="1">{"fdsup://directions/FAT Viewer?action=UPDATE&amp;creator=factset&amp;DYN_ARGS=TRUE&amp;DOC_NAME=FAT:FQL_AUDITING_CLIENT_TEMPLATE.FAT&amp;display_string=Audit&amp;VAR:KEY=MRSHKLOLSJ&amp;VAR:QUERY=RkZfTkVUX0lOQyhBTk4sMjAwOSk=&amp;WINDOW=FIRST_POPUP&amp;HEIGHT=450&amp;WIDTH=450&amp;START_MAXIMIZED=","FALSE&amp;VAR:CALENDAR=FIVEDAY&amp;VAR:SYMBOL=B5KKT9&amp;VAR:INDEX=0"}</definedName>
    <definedName name="_900__FDSAUDITLINK__" hidden="1">{"fdsup://directions/FAT Viewer?action=UPDATE&amp;creator=factset&amp;DYN_ARGS=TRUE&amp;DOC_NAME=FAT:FQL_AUDITING_CLIENT_TEMPLATE.FAT&amp;display_string=Audit&amp;VAR:KEY=MRSHKLOLSJ&amp;VAR:QUERY=RkZfTkVUX0lOQyhBTk4sMjAwOSk=&amp;WINDOW=FIRST_POPUP&amp;HEIGHT=450&amp;WIDTH=450&amp;START_MAXIMIZED=","FALSE&amp;VAR:CALENDAR=FIVEDAY&amp;VAR:SYMBOL=B5KKT9&amp;VAR:INDEX=0"}</definedName>
    <definedName name="_900__FDSAUDITLINK___1" localSheetId="8" hidden="1">{"fdsup://directions/FAT Viewer?action=UPDATE&amp;creator=factset&amp;DYN_ARGS=TRUE&amp;DOC_NAME=FAT:FQL_AUDITING_CLIENT_TEMPLATE.FAT&amp;display_string=Audit&amp;VAR:KEY=MRSHKLOLSJ&amp;VAR:QUERY=RkZfTkVUX0lOQyhBTk4sMjAwOSk=&amp;WINDOW=FIRST_POPUP&amp;HEIGHT=450&amp;WIDTH=450&amp;START_MAXIMIZED=","FALSE&amp;VAR:CALENDAR=FIVEDAY&amp;VAR:SYMBOL=B5KKT9&amp;VAR:INDEX=0"}</definedName>
    <definedName name="_900__FDSAUDITLINK___1" hidden="1">{"fdsup://directions/FAT Viewer?action=UPDATE&amp;creator=factset&amp;DYN_ARGS=TRUE&amp;DOC_NAME=FAT:FQL_AUDITING_CLIENT_TEMPLATE.FAT&amp;display_string=Audit&amp;VAR:KEY=MRSHKLOLSJ&amp;VAR:QUERY=RkZfTkVUX0lOQyhBTk4sMjAwOSk=&amp;WINDOW=FIRST_POPUP&amp;HEIGHT=450&amp;WIDTH=450&amp;START_MAXIMIZED=","FALSE&amp;VAR:CALENDAR=FIVEDAY&amp;VAR:SYMBOL=B5KKT9&amp;VAR:INDEX=0"}</definedName>
    <definedName name="_901__FDSAUDITLINK__" localSheetId="8" hidden="1">{"fdsup://directions/FAT Viewer?action=UPDATE&amp;creator=factset&amp;DYN_ARGS=TRUE&amp;DOC_NAME=FAT:FQL_AUDITING_CLIENT_TEMPLATE.FAT&amp;display_string=Audit&amp;VAR:KEY=AVWFMXYJCR&amp;VAR:QUERY=RkZfTkVUX0lOQyhBTk4sMjAxMSk=&amp;WINDOW=FIRST_POPUP&amp;HEIGHT=450&amp;WIDTH=450&amp;START_MAXIMIZED=","FALSE&amp;VAR:CALENDAR=FIVEDAY&amp;VAR:SYMBOL=B61G9L&amp;VAR:INDEX=0"}</definedName>
    <definedName name="_901__FDSAUDITLINK__" hidden="1">{"fdsup://directions/FAT Viewer?action=UPDATE&amp;creator=factset&amp;DYN_ARGS=TRUE&amp;DOC_NAME=FAT:FQL_AUDITING_CLIENT_TEMPLATE.FAT&amp;display_string=Audit&amp;VAR:KEY=AVWFMXYJCR&amp;VAR:QUERY=RkZfTkVUX0lOQyhBTk4sMjAxMSk=&amp;WINDOW=FIRST_POPUP&amp;HEIGHT=450&amp;WIDTH=450&amp;START_MAXIMIZED=","FALSE&amp;VAR:CALENDAR=FIVEDAY&amp;VAR:SYMBOL=B61G9L&amp;VAR:INDEX=0"}</definedName>
    <definedName name="_901__FDSAUDITLINK___1" localSheetId="8" hidden="1">{"fdsup://directions/FAT Viewer?action=UPDATE&amp;creator=factset&amp;DYN_ARGS=TRUE&amp;DOC_NAME=FAT:FQL_AUDITING_CLIENT_TEMPLATE.FAT&amp;display_string=Audit&amp;VAR:KEY=AVWFMXYJCR&amp;VAR:QUERY=RkZfTkVUX0lOQyhBTk4sMjAxMSk=&amp;WINDOW=FIRST_POPUP&amp;HEIGHT=450&amp;WIDTH=450&amp;START_MAXIMIZED=","FALSE&amp;VAR:CALENDAR=FIVEDAY&amp;VAR:SYMBOL=B61G9L&amp;VAR:INDEX=0"}</definedName>
    <definedName name="_901__FDSAUDITLINK___1" hidden="1">{"fdsup://directions/FAT Viewer?action=UPDATE&amp;creator=factset&amp;DYN_ARGS=TRUE&amp;DOC_NAME=FAT:FQL_AUDITING_CLIENT_TEMPLATE.FAT&amp;display_string=Audit&amp;VAR:KEY=AVWFMXYJCR&amp;VAR:QUERY=RkZfTkVUX0lOQyhBTk4sMjAxMSk=&amp;WINDOW=FIRST_POPUP&amp;HEIGHT=450&amp;WIDTH=450&amp;START_MAXIMIZED=","FALSE&amp;VAR:CALENDAR=FIVEDAY&amp;VAR:SYMBOL=B61G9L&amp;VAR:INDEX=0"}</definedName>
    <definedName name="_902__FDSAUDITLINK__" localSheetId="8" hidden="1">{"fdsup://Directions/FactSet Auditing Viewer?action=AUDIT_VALUE&amp;DB=129&amp;ID1=B4YCDF&amp;VALUEID=01001&amp;SDATE=2010&amp;PERIODTYPE=ANN_STD&amp;SCFT=3&amp;window=popup_no_bar&amp;width=385&amp;height=120&amp;START_MAXIMIZED=FALSE&amp;creator=factset&amp;display_string=Audit"}</definedName>
    <definedName name="_902__FDSAUDITLINK__" hidden="1">{"fdsup://Directions/FactSet Auditing Viewer?action=AUDIT_VALUE&amp;DB=129&amp;ID1=B4YCDF&amp;VALUEID=01001&amp;SDATE=2010&amp;PERIODTYPE=ANN_STD&amp;SCFT=3&amp;window=popup_no_bar&amp;width=385&amp;height=120&amp;START_MAXIMIZED=FALSE&amp;creator=factset&amp;display_string=Audit"}</definedName>
    <definedName name="_902__FDSAUDITLINK___1" localSheetId="8" hidden="1">{"fdsup://Directions/FactSet Auditing Viewer?action=AUDIT_VALUE&amp;DB=129&amp;ID1=B4YCDF&amp;VALUEID=01001&amp;SDATE=2010&amp;PERIODTYPE=ANN_STD&amp;SCFT=3&amp;window=popup_no_bar&amp;width=385&amp;height=120&amp;START_MAXIMIZED=FALSE&amp;creator=factset&amp;display_string=Audit"}</definedName>
    <definedName name="_902__FDSAUDITLINK___1" hidden="1">{"fdsup://Directions/FactSet Auditing Viewer?action=AUDIT_VALUE&amp;DB=129&amp;ID1=B4YCDF&amp;VALUEID=01001&amp;SDATE=2010&amp;PERIODTYPE=ANN_STD&amp;SCFT=3&amp;window=popup_no_bar&amp;width=385&amp;height=120&amp;START_MAXIMIZED=FALSE&amp;creator=factset&amp;display_string=Audit"}</definedName>
    <definedName name="_903__FDSAUDITLINK__" localSheetId="8" hidden="1">{"fdsup://directions/FAT Viewer?action=UPDATE&amp;creator=factset&amp;DYN_ARGS=TRUE&amp;DOC_NAME=FAT:FQL_AUDITING_CLIENT_TEMPLATE.FAT&amp;display_string=Audit&amp;VAR:KEY=OBMNATIHKF&amp;VAR:QUERY=RkZfRUJJVERBX09QRVIoQU5OLDIwMTEp&amp;WINDOW=FIRST_POPUP&amp;HEIGHT=450&amp;WIDTH=450&amp;START_MAXIMI","ZED=FALSE&amp;VAR:CALENDAR=FIVEDAY&amp;VAR:SYMBOL=B4YCDF&amp;VAR:INDEX=0"}</definedName>
    <definedName name="_903__FDSAUDITLINK__" hidden="1">{"fdsup://directions/FAT Viewer?action=UPDATE&amp;creator=factset&amp;DYN_ARGS=TRUE&amp;DOC_NAME=FAT:FQL_AUDITING_CLIENT_TEMPLATE.FAT&amp;display_string=Audit&amp;VAR:KEY=OBMNATIHKF&amp;VAR:QUERY=RkZfRUJJVERBX09QRVIoQU5OLDIwMTEp&amp;WINDOW=FIRST_POPUP&amp;HEIGHT=450&amp;WIDTH=450&amp;START_MAXIMI","ZED=FALSE&amp;VAR:CALENDAR=FIVEDAY&amp;VAR:SYMBOL=B4YCDF&amp;VAR:INDEX=0"}</definedName>
    <definedName name="_903__FDSAUDITLINK___1" localSheetId="8" hidden="1">{"fdsup://directions/FAT Viewer?action=UPDATE&amp;creator=factset&amp;DYN_ARGS=TRUE&amp;DOC_NAME=FAT:FQL_AUDITING_CLIENT_TEMPLATE.FAT&amp;display_string=Audit&amp;VAR:KEY=OBMNATIHKF&amp;VAR:QUERY=RkZfRUJJVERBX09QRVIoQU5OLDIwMTEp&amp;WINDOW=FIRST_POPUP&amp;HEIGHT=450&amp;WIDTH=450&amp;START_MAXIMI","ZED=FALSE&amp;VAR:CALENDAR=FIVEDAY&amp;VAR:SYMBOL=B4YCDF&amp;VAR:INDEX=0"}</definedName>
    <definedName name="_903__FDSAUDITLINK___1" hidden="1">{"fdsup://directions/FAT Viewer?action=UPDATE&amp;creator=factset&amp;DYN_ARGS=TRUE&amp;DOC_NAME=FAT:FQL_AUDITING_CLIENT_TEMPLATE.FAT&amp;display_string=Audit&amp;VAR:KEY=OBMNATIHKF&amp;VAR:QUERY=RkZfRUJJVERBX09QRVIoQU5OLDIwMTEp&amp;WINDOW=FIRST_POPUP&amp;HEIGHT=450&amp;WIDTH=450&amp;START_MAXIMI","ZED=FALSE&amp;VAR:CALENDAR=FIVEDAY&amp;VAR:SYMBOL=B4YCDF&amp;VAR:INDEX=0"}</definedName>
    <definedName name="_904__FDSAUDITLINK__" localSheetId="8" hidden="1">{"fdsup://directions/FAT Viewer?action=UPDATE&amp;creator=factset&amp;DYN_ARGS=TRUE&amp;DOC_NAME=FAT:FQL_AUDITING_CLIENT_TEMPLATE.FAT&amp;display_string=Audit&amp;VAR:KEY=IJCXSTOJQF&amp;VAR:QUERY=RkZfQ0FQRVgoQU5OLDIwMTEp&amp;WINDOW=FIRST_POPUP&amp;HEIGHT=450&amp;WIDTH=450&amp;START_MAXIMIZED=FALS","E&amp;VAR:CALENDAR=FIVEDAY&amp;VAR:SYMBOL=B4YCDF&amp;VAR:INDEX=0"}</definedName>
    <definedName name="_904__FDSAUDITLINK__" hidden="1">{"fdsup://directions/FAT Viewer?action=UPDATE&amp;creator=factset&amp;DYN_ARGS=TRUE&amp;DOC_NAME=FAT:FQL_AUDITING_CLIENT_TEMPLATE.FAT&amp;display_string=Audit&amp;VAR:KEY=IJCXSTOJQF&amp;VAR:QUERY=RkZfQ0FQRVgoQU5OLDIwMTEp&amp;WINDOW=FIRST_POPUP&amp;HEIGHT=450&amp;WIDTH=450&amp;START_MAXIMIZED=FALS","E&amp;VAR:CALENDAR=FIVEDAY&amp;VAR:SYMBOL=B4YCDF&amp;VAR:INDEX=0"}</definedName>
    <definedName name="_904__FDSAUDITLINK___1" localSheetId="8" hidden="1">{"fdsup://directions/FAT Viewer?action=UPDATE&amp;creator=factset&amp;DYN_ARGS=TRUE&amp;DOC_NAME=FAT:FQL_AUDITING_CLIENT_TEMPLATE.FAT&amp;display_string=Audit&amp;VAR:KEY=IJCXSTOJQF&amp;VAR:QUERY=RkZfQ0FQRVgoQU5OLDIwMTEp&amp;WINDOW=FIRST_POPUP&amp;HEIGHT=450&amp;WIDTH=450&amp;START_MAXIMIZED=FALS","E&amp;VAR:CALENDAR=FIVEDAY&amp;VAR:SYMBOL=B4YCDF&amp;VAR:INDEX=0"}</definedName>
    <definedName name="_904__FDSAUDITLINK___1" hidden="1">{"fdsup://directions/FAT Viewer?action=UPDATE&amp;creator=factset&amp;DYN_ARGS=TRUE&amp;DOC_NAME=FAT:FQL_AUDITING_CLIENT_TEMPLATE.FAT&amp;display_string=Audit&amp;VAR:KEY=IJCXSTOJQF&amp;VAR:QUERY=RkZfQ0FQRVgoQU5OLDIwMTEp&amp;WINDOW=FIRST_POPUP&amp;HEIGHT=450&amp;WIDTH=450&amp;START_MAXIMIZED=FALS","E&amp;VAR:CALENDAR=FIVEDAY&amp;VAR:SYMBOL=B4YCDF&amp;VAR:INDEX=0"}</definedName>
    <definedName name="_905__FDSAUDITLINK__" localSheetId="8" hidden="1">{"fdsup://Directions/FactSet Auditing Viewer?action=AUDIT_VALUE&amp;DB=129&amp;ID1=B4YCDF&amp;VALUEID=01001&amp;SDATE=2009&amp;PERIODTYPE=ANN_STD&amp;SCFT=3&amp;window=popup_no_bar&amp;width=385&amp;height=120&amp;START_MAXIMIZED=FALSE&amp;creator=factset&amp;display_string=Audit"}</definedName>
    <definedName name="_905__FDSAUDITLINK__" hidden="1">{"fdsup://Directions/FactSet Auditing Viewer?action=AUDIT_VALUE&amp;DB=129&amp;ID1=B4YCDF&amp;VALUEID=01001&amp;SDATE=2009&amp;PERIODTYPE=ANN_STD&amp;SCFT=3&amp;window=popup_no_bar&amp;width=385&amp;height=120&amp;START_MAXIMIZED=FALSE&amp;creator=factset&amp;display_string=Audit"}</definedName>
    <definedName name="_905__FDSAUDITLINK___1" localSheetId="8" hidden="1">{"fdsup://Directions/FactSet Auditing Viewer?action=AUDIT_VALUE&amp;DB=129&amp;ID1=B4YCDF&amp;VALUEID=01001&amp;SDATE=2009&amp;PERIODTYPE=ANN_STD&amp;SCFT=3&amp;window=popup_no_bar&amp;width=385&amp;height=120&amp;START_MAXIMIZED=FALSE&amp;creator=factset&amp;display_string=Audit"}</definedName>
    <definedName name="_905__FDSAUDITLINK___1" hidden="1">{"fdsup://Directions/FactSet Auditing Viewer?action=AUDIT_VALUE&amp;DB=129&amp;ID1=B4YCDF&amp;VALUEID=01001&amp;SDATE=2009&amp;PERIODTYPE=ANN_STD&amp;SCFT=3&amp;window=popup_no_bar&amp;width=385&amp;height=120&amp;START_MAXIMIZED=FALSE&amp;creator=factset&amp;display_string=Audit"}</definedName>
    <definedName name="_906__FDSAUDITLINK__" localSheetId="8" hidden="1">{"fdsup://directions/FAT Viewer?action=UPDATE&amp;creator=factset&amp;DYN_ARGS=TRUE&amp;DOC_NAME=FAT:FQL_AUDITING_CLIENT_TEMPLATE.FAT&amp;display_string=Audit&amp;VAR:KEY=QTCBUHQPWR&amp;VAR:QUERY=RkZfRUJJVERBX09QRVIoQU5OLDIwMTAp&amp;WINDOW=FIRST_POPUP&amp;HEIGHT=450&amp;WIDTH=450&amp;START_MAXIMI","ZED=FALSE&amp;VAR:CALENDAR=FIVEDAY&amp;VAR:SYMBOL=B5KKT9&amp;VAR:INDEX=0"}</definedName>
    <definedName name="_906__FDSAUDITLINK__" hidden="1">{"fdsup://directions/FAT Viewer?action=UPDATE&amp;creator=factset&amp;DYN_ARGS=TRUE&amp;DOC_NAME=FAT:FQL_AUDITING_CLIENT_TEMPLATE.FAT&amp;display_string=Audit&amp;VAR:KEY=QTCBUHQPWR&amp;VAR:QUERY=RkZfRUJJVERBX09QRVIoQU5OLDIwMTAp&amp;WINDOW=FIRST_POPUP&amp;HEIGHT=450&amp;WIDTH=450&amp;START_MAXIMI","ZED=FALSE&amp;VAR:CALENDAR=FIVEDAY&amp;VAR:SYMBOL=B5KKT9&amp;VAR:INDEX=0"}</definedName>
    <definedName name="_906__FDSAUDITLINK___1" localSheetId="8" hidden="1">{"fdsup://directions/FAT Viewer?action=UPDATE&amp;creator=factset&amp;DYN_ARGS=TRUE&amp;DOC_NAME=FAT:FQL_AUDITING_CLIENT_TEMPLATE.FAT&amp;display_string=Audit&amp;VAR:KEY=QTCBUHQPWR&amp;VAR:QUERY=RkZfRUJJVERBX09QRVIoQU5OLDIwMTAp&amp;WINDOW=FIRST_POPUP&amp;HEIGHT=450&amp;WIDTH=450&amp;START_MAXIMI","ZED=FALSE&amp;VAR:CALENDAR=FIVEDAY&amp;VAR:SYMBOL=B5KKT9&amp;VAR:INDEX=0"}</definedName>
    <definedName name="_906__FDSAUDITLINK___1" hidden="1">{"fdsup://directions/FAT Viewer?action=UPDATE&amp;creator=factset&amp;DYN_ARGS=TRUE&amp;DOC_NAME=FAT:FQL_AUDITING_CLIENT_TEMPLATE.FAT&amp;display_string=Audit&amp;VAR:KEY=QTCBUHQPWR&amp;VAR:QUERY=RkZfRUJJVERBX09QRVIoQU5OLDIwMTAp&amp;WINDOW=FIRST_POPUP&amp;HEIGHT=450&amp;WIDTH=450&amp;START_MAXIMI","ZED=FALSE&amp;VAR:CALENDAR=FIVEDAY&amp;VAR:SYMBOL=B5KKT9&amp;VAR:INDEX=0"}</definedName>
    <definedName name="_907__FDSAUDITLINK__" localSheetId="8" hidden="1">{"fdsup://directions/FAT Viewer?action=UPDATE&amp;creator=factset&amp;DYN_ARGS=TRUE&amp;DOC_NAME=FAT:FQL_AUDITING_CLIENT_TEMPLATE.FAT&amp;display_string=Audit&amp;VAR:KEY=WRIHMHOTYN&amp;VAR:QUERY=RkZfRUJJVERBX09QRVIoQU5OLDIwMDkp&amp;WINDOW=FIRST_POPUP&amp;HEIGHT=450&amp;WIDTH=450&amp;START_MAXIMI","ZED=FALSE&amp;VAR:CALENDAR=FIVEDAY&amp;VAR:SYMBOL=074482&amp;VAR:INDEX=0"}</definedName>
    <definedName name="_907__FDSAUDITLINK__" hidden="1">{"fdsup://directions/FAT Viewer?action=UPDATE&amp;creator=factset&amp;DYN_ARGS=TRUE&amp;DOC_NAME=FAT:FQL_AUDITING_CLIENT_TEMPLATE.FAT&amp;display_string=Audit&amp;VAR:KEY=WRIHMHOTYN&amp;VAR:QUERY=RkZfRUJJVERBX09QRVIoQU5OLDIwMDkp&amp;WINDOW=FIRST_POPUP&amp;HEIGHT=450&amp;WIDTH=450&amp;START_MAXIMI","ZED=FALSE&amp;VAR:CALENDAR=FIVEDAY&amp;VAR:SYMBOL=074482&amp;VAR:INDEX=0"}</definedName>
    <definedName name="_907__FDSAUDITLINK___1" localSheetId="8" hidden="1">{"fdsup://directions/FAT Viewer?action=UPDATE&amp;creator=factset&amp;DYN_ARGS=TRUE&amp;DOC_NAME=FAT:FQL_AUDITING_CLIENT_TEMPLATE.FAT&amp;display_string=Audit&amp;VAR:KEY=WRIHMHOTYN&amp;VAR:QUERY=RkZfRUJJVERBX09QRVIoQU5OLDIwMDkp&amp;WINDOW=FIRST_POPUP&amp;HEIGHT=450&amp;WIDTH=450&amp;START_MAXIMI","ZED=FALSE&amp;VAR:CALENDAR=FIVEDAY&amp;VAR:SYMBOL=074482&amp;VAR:INDEX=0"}</definedName>
    <definedName name="_907__FDSAUDITLINK___1" hidden="1">{"fdsup://directions/FAT Viewer?action=UPDATE&amp;creator=factset&amp;DYN_ARGS=TRUE&amp;DOC_NAME=FAT:FQL_AUDITING_CLIENT_TEMPLATE.FAT&amp;display_string=Audit&amp;VAR:KEY=WRIHMHOTYN&amp;VAR:QUERY=RkZfRUJJVERBX09QRVIoQU5OLDIwMDkp&amp;WINDOW=FIRST_POPUP&amp;HEIGHT=450&amp;WIDTH=450&amp;START_MAXIMI","ZED=FALSE&amp;VAR:CALENDAR=FIVEDAY&amp;VAR:SYMBOL=074482&amp;VAR:INDEX=0"}</definedName>
    <definedName name="_908__FDSAUDITLINK__" localSheetId="8" hidden="1">{"fdsup://Directions/FactSet Auditing Viewer?action=AUDIT_VALUE&amp;DB=129&amp;ID1=B4YCDF&amp;VALUEID=01250&amp;SDATE=2009&amp;PERIODTYPE=ANN_STD&amp;SCFT=3&amp;window=popup_no_bar&amp;width=385&amp;height=120&amp;START_MAXIMIZED=FALSE&amp;creator=factset&amp;display_string=Audit"}</definedName>
    <definedName name="_908__FDSAUDITLINK__" hidden="1">{"fdsup://Directions/FactSet Auditing Viewer?action=AUDIT_VALUE&amp;DB=129&amp;ID1=B4YCDF&amp;VALUEID=01250&amp;SDATE=2009&amp;PERIODTYPE=ANN_STD&amp;SCFT=3&amp;window=popup_no_bar&amp;width=385&amp;height=120&amp;START_MAXIMIZED=FALSE&amp;creator=factset&amp;display_string=Audit"}</definedName>
    <definedName name="_908__FDSAUDITLINK___1" localSheetId="8" hidden="1">{"fdsup://Directions/FactSet Auditing Viewer?action=AUDIT_VALUE&amp;DB=129&amp;ID1=B4YCDF&amp;VALUEID=01250&amp;SDATE=2009&amp;PERIODTYPE=ANN_STD&amp;SCFT=3&amp;window=popup_no_bar&amp;width=385&amp;height=120&amp;START_MAXIMIZED=FALSE&amp;creator=factset&amp;display_string=Audit"}</definedName>
    <definedName name="_908__FDSAUDITLINK___1" hidden="1">{"fdsup://Directions/FactSet Auditing Viewer?action=AUDIT_VALUE&amp;DB=129&amp;ID1=B4YCDF&amp;VALUEID=01250&amp;SDATE=2009&amp;PERIODTYPE=ANN_STD&amp;SCFT=3&amp;window=popup_no_bar&amp;width=385&amp;height=120&amp;START_MAXIMIZED=FALSE&amp;creator=factset&amp;display_string=Audit"}</definedName>
    <definedName name="_909__FDSAUDITLINK__" localSheetId="8" hidden="1">{"fdsup://Directions/FactSet Auditing Viewer?action=AUDIT_VALUE&amp;DB=129&amp;ID1=B4YCDF&amp;VALUEID=01250&amp;SDATE=2010&amp;PERIODTYPE=ANN_STD&amp;SCFT=3&amp;window=popup_no_bar&amp;width=385&amp;height=120&amp;START_MAXIMIZED=FALSE&amp;creator=factset&amp;display_string=Audit"}</definedName>
    <definedName name="_909__FDSAUDITLINK__" hidden="1">{"fdsup://Directions/FactSet Auditing Viewer?action=AUDIT_VALUE&amp;DB=129&amp;ID1=B4YCDF&amp;VALUEID=01250&amp;SDATE=2010&amp;PERIODTYPE=ANN_STD&amp;SCFT=3&amp;window=popup_no_bar&amp;width=385&amp;height=120&amp;START_MAXIMIZED=FALSE&amp;creator=factset&amp;display_string=Audit"}</definedName>
    <definedName name="_909__FDSAUDITLINK___1" localSheetId="8" hidden="1">{"fdsup://Directions/FactSet Auditing Viewer?action=AUDIT_VALUE&amp;DB=129&amp;ID1=B4YCDF&amp;VALUEID=01250&amp;SDATE=2010&amp;PERIODTYPE=ANN_STD&amp;SCFT=3&amp;window=popup_no_bar&amp;width=385&amp;height=120&amp;START_MAXIMIZED=FALSE&amp;creator=factset&amp;display_string=Audit"}</definedName>
    <definedName name="_909__FDSAUDITLINK___1" hidden="1">{"fdsup://Directions/FactSet Auditing Viewer?action=AUDIT_VALUE&amp;DB=129&amp;ID1=B4YCDF&amp;VALUEID=01250&amp;SDATE=2010&amp;PERIODTYPE=ANN_STD&amp;SCFT=3&amp;window=popup_no_bar&amp;width=385&amp;height=120&amp;START_MAXIMIZED=FALSE&amp;creator=factset&amp;display_string=Audit"}</definedName>
    <definedName name="_91__123Graph_CCHART_3" hidden="1">#REF!</definedName>
    <definedName name="_91__123Graph_FCHART_13" localSheetId="8" hidden="1">#REF!</definedName>
    <definedName name="_91__123Graph_FCHART_13" hidden="1">#REF!</definedName>
    <definedName name="_91__123Graph_LBL_CCHART_23" hidden="1">#REF!</definedName>
    <definedName name="_91__FDSAUDITLINK__" localSheetId="8" hidden="1">{"fdsup://directions/FAT Viewer?action=UPDATE&amp;creator=factset&amp;DYN_ARGS=TRUE&amp;DOC_NAME=FAT:FQL_AUDITING_CLIENT_TEMPLATE.FAT&amp;display_string=Audit&amp;VAR:KEY=FEFAPSHIZE&amp;VAR:QUERY=RkZfRUJJVF9JQignQU5OJywzNDc4OSwsLCwnR0JQJyk=&amp;WINDOW=FIRST_POPUP&amp;HEIGHT=450&amp;WIDTH=450&amp;","START_MAXIMIZED=FALSE&amp;VAR:CALENDAR=FIVEDAY&amp;VAR:SYMBOL=092210&amp;VAR:INDEX=0"}</definedName>
    <definedName name="_91__FDSAUDITLINK__" hidden="1">{"fdsup://directions/FAT Viewer?action=UPDATE&amp;creator=factset&amp;DYN_ARGS=TRUE&amp;DOC_NAME=FAT:FQL_AUDITING_CLIENT_TEMPLATE.FAT&amp;display_string=Audit&amp;VAR:KEY=UJEJMPKDCX&amp;VAR:QUERY=RkZfRUJJVF9PUEVSKENBTCwyMDA5KQ==&amp;WINDOW=FIRST_POPUP&amp;HEIGHT=450&amp;WIDTH=450&amp;START_MAXIMI","ZED=FALSE&amp;VAR:CALENDAR=US&amp;VAR:SYMBOL=BLDR&amp;VAR:INDEX=0"}</definedName>
    <definedName name="_91__FDSAUDITLINK___1" localSheetId="8" hidden="1">{"fdsup://directions/FAT Viewer?action=UPDATE&amp;creator=factset&amp;DYN_ARGS=TRUE&amp;DOC_NAME=FAT:FQL_AUDITING_CLIENT_TEMPLATE.FAT&amp;display_string=Audit&amp;VAR:KEY=FEFAPSHIZE&amp;VAR:QUERY=RkZfRUJJVF9JQignQU5OJywzNDc4OSwsLCwnR0JQJyk=&amp;WINDOW=FIRST_POPUP&amp;HEIGHT=450&amp;WIDTH=450&amp;","START_MAXIMIZED=FALSE&amp;VAR:CALENDAR=FIVEDAY&amp;VAR:SYMBOL=092210&amp;VAR:INDEX=0"}</definedName>
    <definedName name="_91__FDSAUDITLINK___1" hidden="1">{"fdsup://directions/FAT Viewer?action=UPDATE&amp;creator=factset&amp;DYN_ARGS=TRUE&amp;DOC_NAME=FAT:FQL_AUDITING_CLIENT_TEMPLATE.FAT&amp;display_string=Audit&amp;VAR:KEY=FEFAPSHIZE&amp;VAR:QUERY=RkZfRUJJVF9JQignQU5OJywzNDc4OSwsLCwnR0JQJyk=&amp;WINDOW=FIRST_POPUP&amp;HEIGHT=450&amp;WIDTH=450&amp;","START_MAXIMIZED=FALSE&amp;VAR:CALENDAR=FIVEDAY&amp;VAR:SYMBOL=092210&amp;VAR:INDEX=0"}</definedName>
    <definedName name="_910__FDSAUDITLINK__" localSheetId="8" hidden="1">{"fdsup://directions/FAT Viewer?action=UPDATE&amp;creator=factset&amp;DYN_ARGS=TRUE&amp;DOC_NAME=FAT:FQL_AUDITING_CLIENT_TEMPLATE.FAT&amp;display_string=Audit&amp;VAR:KEY=GTYTIXCROF&amp;VAR:QUERY=RkZfQ0FQRVgoQU5OLDIwMTAp&amp;WINDOW=FIRST_POPUP&amp;HEIGHT=450&amp;WIDTH=450&amp;START_MAXIMIZED=FALS","E&amp;VAR:CALENDAR=FIVEDAY&amp;VAR:SYMBOL=B5KKT9&amp;VAR:INDEX=0"}</definedName>
    <definedName name="_910__FDSAUDITLINK__" hidden="1">{"fdsup://directions/FAT Viewer?action=UPDATE&amp;creator=factset&amp;DYN_ARGS=TRUE&amp;DOC_NAME=FAT:FQL_AUDITING_CLIENT_TEMPLATE.FAT&amp;display_string=Audit&amp;VAR:KEY=GTYTIXCROF&amp;VAR:QUERY=RkZfQ0FQRVgoQU5OLDIwMTAp&amp;WINDOW=FIRST_POPUP&amp;HEIGHT=450&amp;WIDTH=450&amp;START_MAXIMIZED=FALS","E&amp;VAR:CALENDAR=FIVEDAY&amp;VAR:SYMBOL=B5KKT9&amp;VAR:INDEX=0"}</definedName>
    <definedName name="_910__FDSAUDITLINK___1" localSheetId="8" hidden="1">{"fdsup://directions/FAT Viewer?action=UPDATE&amp;creator=factset&amp;DYN_ARGS=TRUE&amp;DOC_NAME=FAT:FQL_AUDITING_CLIENT_TEMPLATE.FAT&amp;display_string=Audit&amp;VAR:KEY=GTYTIXCROF&amp;VAR:QUERY=RkZfQ0FQRVgoQU5OLDIwMTAp&amp;WINDOW=FIRST_POPUP&amp;HEIGHT=450&amp;WIDTH=450&amp;START_MAXIMIZED=FALS","E&amp;VAR:CALENDAR=FIVEDAY&amp;VAR:SYMBOL=B5KKT9&amp;VAR:INDEX=0"}</definedName>
    <definedName name="_910__FDSAUDITLINK___1" hidden="1">{"fdsup://directions/FAT Viewer?action=UPDATE&amp;creator=factset&amp;DYN_ARGS=TRUE&amp;DOC_NAME=FAT:FQL_AUDITING_CLIENT_TEMPLATE.FAT&amp;display_string=Audit&amp;VAR:KEY=GTYTIXCROF&amp;VAR:QUERY=RkZfQ0FQRVgoQU5OLDIwMTAp&amp;WINDOW=FIRST_POPUP&amp;HEIGHT=450&amp;WIDTH=450&amp;START_MAXIMIZED=FALS","E&amp;VAR:CALENDAR=FIVEDAY&amp;VAR:SYMBOL=B5KKT9&amp;VAR:INDEX=0"}</definedName>
    <definedName name="_911__FDSAUDITLINK__" localSheetId="8" hidden="1">{"fdsup://directions/FAT Viewer?action=UPDATE&amp;creator=factset&amp;DYN_ARGS=TRUE&amp;DOC_NAME=FAT:FQL_AUDITING_CLIENT_TEMPLATE.FAT&amp;display_string=Audit&amp;VAR:KEY=ILQTWTUXMT&amp;VAR:QUERY=RkZfQ0FQRVgoQU5OLDIwMDkp&amp;WINDOW=FIRST_POPUP&amp;HEIGHT=450&amp;WIDTH=450&amp;START_MAXIMIZED=FALS","E&amp;VAR:CALENDAR=FIVEDAY&amp;VAR:SYMBOL=074482&amp;VAR:INDEX=0"}</definedName>
    <definedName name="_911__FDSAUDITLINK__" hidden="1">{"fdsup://directions/FAT Viewer?action=UPDATE&amp;creator=factset&amp;DYN_ARGS=TRUE&amp;DOC_NAME=FAT:FQL_AUDITING_CLIENT_TEMPLATE.FAT&amp;display_string=Audit&amp;VAR:KEY=ILQTWTUXMT&amp;VAR:QUERY=RkZfQ0FQRVgoQU5OLDIwMDkp&amp;WINDOW=FIRST_POPUP&amp;HEIGHT=450&amp;WIDTH=450&amp;START_MAXIMIZED=FALS","E&amp;VAR:CALENDAR=FIVEDAY&amp;VAR:SYMBOL=074482&amp;VAR:INDEX=0"}</definedName>
    <definedName name="_911__FDSAUDITLINK___1" localSheetId="8" hidden="1">{"fdsup://directions/FAT Viewer?action=UPDATE&amp;creator=factset&amp;DYN_ARGS=TRUE&amp;DOC_NAME=FAT:FQL_AUDITING_CLIENT_TEMPLATE.FAT&amp;display_string=Audit&amp;VAR:KEY=ILQTWTUXMT&amp;VAR:QUERY=RkZfQ0FQRVgoQU5OLDIwMDkp&amp;WINDOW=FIRST_POPUP&amp;HEIGHT=450&amp;WIDTH=450&amp;START_MAXIMIZED=FALS","E&amp;VAR:CALENDAR=FIVEDAY&amp;VAR:SYMBOL=074482&amp;VAR:INDEX=0"}</definedName>
    <definedName name="_911__FDSAUDITLINK___1" hidden="1">{"fdsup://directions/FAT Viewer?action=UPDATE&amp;creator=factset&amp;DYN_ARGS=TRUE&amp;DOC_NAME=FAT:FQL_AUDITING_CLIENT_TEMPLATE.FAT&amp;display_string=Audit&amp;VAR:KEY=ILQTWTUXMT&amp;VAR:QUERY=RkZfQ0FQRVgoQU5OLDIwMDkp&amp;WINDOW=FIRST_POPUP&amp;HEIGHT=450&amp;WIDTH=450&amp;START_MAXIMIZED=FALS","E&amp;VAR:CALENDAR=FIVEDAY&amp;VAR:SYMBOL=074482&amp;VAR:INDEX=0"}</definedName>
    <definedName name="_912__FDSAUDITLINK__" localSheetId="8" hidden="1">{"fdsup://directions/FAT Viewer?action=UPDATE&amp;creator=factset&amp;DYN_ARGS=TRUE&amp;DOC_NAME=FAT:FQL_AUDITING_CLIENT_TEMPLATE.FAT&amp;display_string=Audit&amp;VAR:KEY=EHOBIZYVAR&amp;VAR:QUERY=RkZfTkVUX0lOQyhBTk4sMjAwOCk=&amp;WINDOW=FIRST_POPUP&amp;HEIGHT=450&amp;WIDTH=450&amp;START_MAXIMIZED=","FALSE&amp;VAR:CALENDAR=FIVEDAY&amp;VAR:SYMBOL=074482&amp;VAR:INDEX=0"}</definedName>
    <definedName name="_912__FDSAUDITLINK__" hidden="1">{"fdsup://directions/FAT Viewer?action=UPDATE&amp;creator=factset&amp;DYN_ARGS=TRUE&amp;DOC_NAME=FAT:FQL_AUDITING_CLIENT_TEMPLATE.FAT&amp;display_string=Audit&amp;VAR:KEY=EHOBIZYVAR&amp;VAR:QUERY=RkZfTkVUX0lOQyhBTk4sMjAwOCk=&amp;WINDOW=FIRST_POPUP&amp;HEIGHT=450&amp;WIDTH=450&amp;START_MAXIMIZED=","FALSE&amp;VAR:CALENDAR=FIVEDAY&amp;VAR:SYMBOL=074482&amp;VAR:INDEX=0"}</definedName>
    <definedName name="_912__FDSAUDITLINK___1" localSheetId="8" hidden="1">{"fdsup://directions/FAT Viewer?action=UPDATE&amp;creator=factset&amp;DYN_ARGS=TRUE&amp;DOC_NAME=FAT:FQL_AUDITING_CLIENT_TEMPLATE.FAT&amp;display_string=Audit&amp;VAR:KEY=EHOBIZYVAR&amp;VAR:QUERY=RkZfTkVUX0lOQyhBTk4sMjAwOCk=&amp;WINDOW=FIRST_POPUP&amp;HEIGHT=450&amp;WIDTH=450&amp;START_MAXIMIZED=","FALSE&amp;VAR:CALENDAR=FIVEDAY&amp;VAR:SYMBOL=074482&amp;VAR:INDEX=0"}</definedName>
    <definedName name="_912__FDSAUDITLINK___1" hidden="1">{"fdsup://directions/FAT Viewer?action=UPDATE&amp;creator=factset&amp;DYN_ARGS=TRUE&amp;DOC_NAME=FAT:FQL_AUDITING_CLIENT_TEMPLATE.FAT&amp;display_string=Audit&amp;VAR:KEY=EHOBIZYVAR&amp;VAR:QUERY=RkZfTkVUX0lOQyhBTk4sMjAwOCk=&amp;WINDOW=FIRST_POPUP&amp;HEIGHT=450&amp;WIDTH=450&amp;START_MAXIMIZED=","FALSE&amp;VAR:CALENDAR=FIVEDAY&amp;VAR:SYMBOL=074482&amp;VAR:INDEX=0"}</definedName>
    <definedName name="_913__FDSAUDITLINK__" localSheetId="8" hidden="1">{"fdsup://directions/FAT Viewer?action=UPDATE&amp;creator=factset&amp;DYN_ARGS=TRUE&amp;DOC_NAME=FAT:FQL_AUDITING_CLIENT_TEMPLATE.FAT&amp;display_string=Audit&amp;VAR:KEY=CPYNKRCZUT&amp;VAR:QUERY=RkZfTkVUX0lOQyhBTk4sMjAxMSk=&amp;WINDOW=FIRST_POPUP&amp;HEIGHT=450&amp;WIDTH=450&amp;START_MAXIMIZED=","FALSE&amp;VAR:CALENDAR=FIVEDAY&amp;VAR:SYMBOL=B4YCDF&amp;VAR:INDEX=0"}</definedName>
    <definedName name="_913__FDSAUDITLINK__" hidden="1">{"fdsup://directions/FAT Viewer?action=UPDATE&amp;creator=factset&amp;DYN_ARGS=TRUE&amp;DOC_NAME=FAT:FQL_AUDITING_CLIENT_TEMPLATE.FAT&amp;display_string=Audit&amp;VAR:KEY=CPYNKRCZUT&amp;VAR:QUERY=RkZfTkVUX0lOQyhBTk4sMjAxMSk=&amp;WINDOW=FIRST_POPUP&amp;HEIGHT=450&amp;WIDTH=450&amp;START_MAXIMIZED=","FALSE&amp;VAR:CALENDAR=FIVEDAY&amp;VAR:SYMBOL=B4YCDF&amp;VAR:INDEX=0"}</definedName>
    <definedName name="_913__FDSAUDITLINK___1" localSheetId="8" hidden="1">{"fdsup://directions/FAT Viewer?action=UPDATE&amp;creator=factset&amp;DYN_ARGS=TRUE&amp;DOC_NAME=FAT:FQL_AUDITING_CLIENT_TEMPLATE.FAT&amp;display_string=Audit&amp;VAR:KEY=CPYNKRCZUT&amp;VAR:QUERY=RkZfTkVUX0lOQyhBTk4sMjAxMSk=&amp;WINDOW=FIRST_POPUP&amp;HEIGHT=450&amp;WIDTH=450&amp;START_MAXIMIZED=","FALSE&amp;VAR:CALENDAR=FIVEDAY&amp;VAR:SYMBOL=B4YCDF&amp;VAR:INDEX=0"}</definedName>
    <definedName name="_913__FDSAUDITLINK___1" hidden="1">{"fdsup://directions/FAT Viewer?action=UPDATE&amp;creator=factset&amp;DYN_ARGS=TRUE&amp;DOC_NAME=FAT:FQL_AUDITING_CLIENT_TEMPLATE.FAT&amp;display_string=Audit&amp;VAR:KEY=CPYNKRCZUT&amp;VAR:QUERY=RkZfTkVUX0lOQyhBTk4sMjAxMSk=&amp;WINDOW=FIRST_POPUP&amp;HEIGHT=450&amp;WIDTH=450&amp;START_MAXIMIZED=","FALSE&amp;VAR:CALENDAR=FIVEDAY&amp;VAR:SYMBOL=B4YCDF&amp;VAR:INDEX=0"}</definedName>
    <definedName name="_914__FDSAUDITLINK__" localSheetId="8" hidden="1">{"fdsup://directions/FAT Viewer?action=UPDATE&amp;creator=factset&amp;DYN_ARGS=TRUE&amp;DOC_NAME=FAT:FQL_AUDITING_CLIENT_TEMPLATE.FAT&amp;display_string=Audit&amp;VAR:KEY=RCBWDIPCTS&amp;VAR:QUERY=RkZfRUJJVERBX09QRVIoQU5OLDIwMDgp&amp;WINDOW=FIRST_POPUP&amp;HEIGHT=450&amp;WIDTH=450&amp;START_MAXIMI","ZED=FALSE&amp;VAR:CALENDAR=FIVEDAY&amp;VAR:SYMBOL=074482&amp;VAR:INDEX=0"}</definedName>
    <definedName name="_914__FDSAUDITLINK__" hidden="1">{"fdsup://directions/FAT Viewer?action=UPDATE&amp;creator=factset&amp;DYN_ARGS=TRUE&amp;DOC_NAME=FAT:FQL_AUDITING_CLIENT_TEMPLATE.FAT&amp;display_string=Audit&amp;VAR:KEY=RCBWDIPCTS&amp;VAR:QUERY=RkZfRUJJVERBX09QRVIoQU5OLDIwMDgp&amp;WINDOW=FIRST_POPUP&amp;HEIGHT=450&amp;WIDTH=450&amp;START_MAXIMI","ZED=FALSE&amp;VAR:CALENDAR=FIVEDAY&amp;VAR:SYMBOL=074482&amp;VAR:INDEX=0"}</definedName>
    <definedName name="_914__FDSAUDITLINK___1" localSheetId="8" hidden="1">{"fdsup://directions/FAT Viewer?action=UPDATE&amp;creator=factset&amp;DYN_ARGS=TRUE&amp;DOC_NAME=FAT:FQL_AUDITING_CLIENT_TEMPLATE.FAT&amp;display_string=Audit&amp;VAR:KEY=RCBWDIPCTS&amp;VAR:QUERY=RkZfRUJJVERBX09QRVIoQU5OLDIwMDgp&amp;WINDOW=FIRST_POPUP&amp;HEIGHT=450&amp;WIDTH=450&amp;START_MAXIMI","ZED=FALSE&amp;VAR:CALENDAR=FIVEDAY&amp;VAR:SYMBOL=074482&amp;VAR:INDEX=0"}</definedName>
    <definedName name="_914__FDSAUDITLINK___1" hidden="1">{"fdsup://directions/FAT Viewer?action=UPDATE&amp;creator=factset&amp;DYN_ARGS=TRUE&amp;DOC_NAME=FAT:FQL_AUDITING_CLIENT_TEMPLATE.FAT&amp;display_string=Audit&amp;VAR:KEY=RCBWDIPCTS&amp;VAR:QUERY=RkZfRUJJVERBX09QRVIoQU5OLDIwMDgp&amp;WINDOW=FIRST_POPUP&amp;HEIGHT=450&amp;WIDTH=450&amp;START_MAXIMI","ZED=FALSE&amp;VAR:CALENDAR=FIVEDAY&amp;VAR:SYMBOL=074482&amp;VAR:INDEX=0"}</definedName>
    <definedName name="_915__FDSAUDITLINK__" localSheetId="8" hidden="1">{"fdsup://Directions/FactSet Auditing Viewer?action=AUDIT_VALUE&amp;DB=129&amp;ID1=B4YCDF&amp;VALUEID=01250&amp;SDATE=2010&amp;PERIODTYPE=ANN_STD&amp;SCFT=3&amp;window=popup_no_bar&amp;width=385&amp;height=120&amp;START_MAXIMIZED=FALSE&amp;creator=factset&amp;display_string=Audit"}</definedName>
    <definedName name="_915__FDSAUDITLINK__" hidden="1">{"fdsup://Directions/FactSet Auditing Viewer?action=AUDIT_VALUE&amp;DB=129&amp;ID1=B4YCDF&amp;VALUEID=01250&amp;SDATE=2010&amp;PERIODTYPE=ANN_STD&amp;SCFT=3&amp;window=popup_no_bar&amp;width=385&amp;height=120&amp;START_MAXIMIZED=FALSE&amp;creator=factset&amp;display_string=Audit"}</definedName>
    <definedName name="_915__FDSAUDITLINK___1" localSheetId="8" hidden="1">{"fdsup://Directions/FactSet Auditing Viewer?action=AUDIT_VALUE&amp;DB=129&amp;ID1=B4YCDF&amp;VALUEID=01250&amp;SDATE=2010&amp;PERIODTYPE=ANN_STD&amp;SCFT=3&amp;window=popup_no_bar&amp;width=385&amp;height=120&amp;START_MAXIMIZED=FALSE&amp;creator=factset&amp;display_string=Audit"}</definedName>
    <definedName name="_915__FDSAUDITLINK___1" hidden="1">{"fdsup://Directions/FactSet Auditing Viewer?action=AUDIT_VALUE&amp;DB=129&amp;ID1=B4YCDF&amp;VALUEID=01250&amp;SDATE=2010&amp;PERIODTYPE=ANN_STD&amp;SCFT=3&amp;window=popup_no_bar&amp;width=385&amp;height=120&amp;START_MAXIMIZED=FALSE&amp;creator=factset&amp;display_string=Audit"}</definedName>
    <definedName name="_916__FDSAUDITLINK__" localSheetId="8" hidden="1">{"fdsup://directions/FAT Viewer?action=UPDATE&amp;creator=factset&amp;DYN_ARGS=TRUE&amp;DOC_NAME=FAT:FQL_AUDITING_CLIENT_TEMPLATE.FAT&amp;display_string=Audit&amp;VAR:KEY=PUFWPMTQNM&amp;VAR:QUERY=RkZfQ0FQRVgoQU5OLDIwMDgp&amp;WINDOW=FIRST_POPUP&amp;HEIGHT=450&amp;WIDTH=450&amp;START_MAXIMIZED=FALS","E&amp;VAR:CALENDAR=FIVEDAY&amp;VAR:SYMBOL=074482&amp;VAR:INDEX=0"}</definedName>
    <definedName name="_916__FDSAUDITLINK__" hidden="1">{"fdsup://directions/FAT Viewer?action=UPDATE&amp;creator=factset&amp;DYN_ARGS=TRUE&amp;DOC_NAME=FAT:FQL_AUDITING_CLIENT_TEMPLATE.FAT&amp;display_string=Audit&amp;VAR:KEY=PUFWPMTQNM&amp;VAR:QUERY=RkZfQ0FQRVgoQU5OLDIwMDgp&amp;WINDOW=FIRST_POPUP&amp;HEIGHT=450&amp;WIDTH=450&amp;START_MAXIMIZED=FALS","E&amp;VAR:CALENDAR=FIVEDAY&amp;VAR:SYMBOL=074482&amp;VAR:INDEX=0"}</definedName>
    <definedName name="_916__FDSAUDITLINK___1" localSheetId="8" hidden="1">{"fdsup://directions/FAT Viewer?action=UPDATE&amp;creator=factset&amp;DYN_ARGS=TRUE&amp;DOC_NAME=FAT:FQL_AUDITING_CLIENT_TEMPLATE.FAT&amp;display_string=Audit&amp;VAR:KEY=PUFWPMTQNM&amp;VAR:QUERY=RkZfQ0FQRVgoQU5OLDIwMDgp&amp;WINDOW=FIRST_POPUP&amp;HEIGHT=450&amp;WIDTH=450&amp;START_MAXIMIZED=FALS","E&amp;VAR:CALENDAR=FIVEDAY&amp;VAR:SYMBOL=074482&amp;VAR:INDEX=0"}</definedName>
    <definedName name="_916__FDSAUDITLINK___1" hidden="1">{"fdsup://directions/FAT Viewer?action=UPDATE&amp;creator=factset&amp;DYN_ARGS=TRUE&amp;DOC_NAME=FAT:FQL_AUDITING_CLIENT_TEMPLATE.FAT&amp;display_string=Audit&amp;VAR:KEY=PUFWPMTQNM&amp;VAR:QUERY=RkZfQ0FQRVgoQU5OLDIwMDgp&amp;WINDOW=FIRST_POPUP&amp;HEIGHT=450&amp;WIDTH=450&amp;START_MAXIMIZED=FALS","E&amp;VAR:CALENDAR=FIVEDAY&amp;VAR:SYMBOL=074482&amp;VAR:INDEX=0"}</definedName>
    <definedName name="_917__FDSAUDITLINK__" localSheetId="8" hidden="1">{"fdsup://directions/FAT Viewer?action=UPDATE&amp;creator=factset&amp;DYN_ARGS=TRUE&amp;DOC_NAME=FAT:FQL_AUDITING_CLIENT_TEMPLATE.FAT&amp;display_string=Audit&amp;VAR:KEY=HILOHOHIZO&amp;VAR:QUERY=RkZfTkVUX0lOQyhBTk4sMjAxMCk=&amp;WINDOW=FIRST_POPUP&amp;HEIGHT=450&amp;WIDTH=450&amp;START_MAXIMIZED=","FALSE&amp;VAR:CALENDAR=FIVEDAY&amp;VAR:SYMBOL=B5KKT9&amp;VAR:INDEX=0"}</definedName>
    <definedName name="_917__FDSAUDITLINK__" hidden="1">{"fdsup://directions/FAT Viewer?action=UPDATE&amp;creator=factset&amp;DYN_ARGS=TRUE&amp;DOC_NAME=FAT:FQL_AUDITING_CLIENT_TEMPLATE.FAT&amp;display_string=Audit&amp;VAR:KEY=HILOHOHIZO&amp;VAR:QUERY=RkZfTkVUX0lOQyhBTk4sMjAxMCk=&amp;WINDOW=FIRST_POPUP&amp;HEIGHT=450&amp;WIDTH=450&amp;START_MAXIMIZED=","FALSE&amp;VAR:CALENDAR=FIVEDAY&amp;VAR:SYMBOL=B5KKT9&amp;VAR:INDEX=0"}</definedName>
    <definedName name="_917__FDSAUDITLINK___1" localSheetId="8" hidden="1">{"fdsup://directions/FAT Viewer?action=UPDATE&amp;creator=factset&amp;DYN_ARGS=TRUE&amp;DOC_NAME=FAT:FQL_AUDITING_CLIENT_TEMPLATE.FAT&amp;display_string=Audit&amp;VAR:KEY=HILOHOHIZO&amp;VAR:QUERY=RkZfTkVUX0lOQyhBTk4sMjAxMCk=&amp;WINDOW=FIRST_POPUP&amp;HEIGHT=450&amp;WIDTH=450&amp;START_MAXIMIZED=","FALSE&amp;VAR:CALENDAR=FIVEDAY&amp;VAR:SYMBOL=B5KKT9&amp;VAR:INDEX=0"}</definedName>
    <definedName name="_917__FDSAUDITLINK___1" hidden="1">{"fdsup://directions/FAT Viewer?action=UPDATE&amp;creator=factset&amp;DYN_ARGS=TRUE&amp;DOC_NAME=FAT:FQL_AUDITING_CLIENT_TEMPLATE.FAT&amp;display_string=Audit&amp;VAR:KEY=HILOHOHIZO&amp;VAR:QUERY=RkZfTkVUX0lOQyhBTk4sMjAxMCk=&amp;WINDOW=FIRST_POPUP&amp;HEIGHT=450&amp;WIDTH=450&amp;START_MAXIMIZED=","FALSE&amp;VAR:CALENDAR=FIVEDAY&amp;VAR:SYMBOL=B5KKT9&amp;VAR:INDEX=0"}</definedName>
    <definedName name="_918__FDSAUDITLINK__" localSheetId="8" hidden="1">{"fdsup://directions/FAT Viewer?action=UPDATE&amp;creator=factset&amp;DYN_ARGS=TRUE&amp;DOC_NAME=FAT:FQL_AUDITING_CLIENT_TEMPLATE.FAT&amp;display_string=Audit&amp;VAR:KEY=NUTYNMVEVA&amp;VAR:QUERY=RkZfTkVUX0lOQyhBTk4sMjAwOSk=&amp;WINDOW=FIRST_POPUP&amp;HEIGHT=450&amp;WIDTH=450&amp;START_MAXIMIZED=","FALSE&amp;VAR:CALENDAR=FIVEDAY&amp;VAR:SYMBOL=074482&amp;VAR:INDEX=0"}</definedName>
    <definedName name="_918__FDSAUDITLINK__" hidden="1">{"fdsup://directions/FAT Viewer?action=UPDATE&amp;creator=factset&amp;DYN_ARGS=TRUE&amp;DOC_NAME=FAT:FQL_AUDITING_CLIENT_TEMPLATE.FAT&amp;display_string=Audit&amp;VAR:KEY=NUTYNMVEVA&amp;VAR:QUERY=RkZfTkVUX0lOQyhBTk4sMjAwOSk=&amp;WINDOW=FIRST_POPUP&amp;HEIGHT=450&amp;WIDTH=450&amp;START_MAXIMIZED=","FALSE&amp;VAR:CALENDAR=FIVEDAY&amp;VAR:SYMBOL=074482&amp;VAR:INDEX=0"}</definedName>
    <definedName name="_918__FDSAUDITLINK___1" localSheetId="8" hidden="1">{"fdsup://directions/FAT Viewer?action=UPDATE&amp;creator=factset&amp;DYN_ARGS=TRUE&amp;DOC_NAME=FAT:FQL_AUDITING_CLIENT_TEMPLATE.FAT&amp;display_string=Audit&amp;VAR:KEY=NUTYNMVEVA&amp;VAR:QUERY=RkZfTkVUX0lOQyhBTk4sMjAwOSk=&amp;WINDOW=FIRST_POPUP&amp;HEIGHT=450&amp;WIDTH=450&amp;START_MAXIMIZED=","FALSE&amp;VAR:CALENDAR=FIVEDAY&amp;VAR:SYMBOL=074482&amp;VAR:INDEX=0"}</definedName>
    <definedName name="_918__FDSAUDITLINK___1" hidden="1">{"fdsup://directions/FAT Viewer?action=UPDATE&amp;creator=factset&amp;DYN_ARGS=TRUE&amp;DOC_NAME=FAT:FQL_AUDITING_CLIENT_TEMPLATE.FAT&amp;display_string=Audit&amp;VAR:KEY=NUTYNMVEVA&amp;VAR:QUERY=RkZfTkVUX0lOQyhBTk4sMjAwOSk=&amp;WINDOW=FIRST_POPUP&amp;HEIGHT=450&amp;WIDTH=450&amp;START_MAXIMIZED=","FALSE&amp;VAR:CALENDAR=FIVEDAY&amp;VAR:SYMBOL=074482&amp;VAR:INDEX=0"}</definedName>
    <definedName name="_919__FDSAUDITLINK__" localSheetId="8" hidden="1">{"fdsup://IBCentral/FAT Viewer?action=UPDATE&amp;creator=factset&amp;DOC_NAME=fat:reuters_annual_source_window.fat&amp;display_string=Audit&amp;DYN_ARGS=TRUE&amp;VAR:ID1=221353&amp;VAR:RCODE=AEQI&amp;VAR:SDATE=20051299&amp;VAR:FREQ=Y&amp;VAR:RELITEM=RP&amp;VAR:CURRENCY=USD&amp;VAR:CURRSOURCE=EXSHARE&amp;","VAR:NATFREQ=ANNUAL&amp;VAR:RFIELD=FINALIZED&amp;VAR:DB_TYPE=&amp;VAR:UNITS=M&amp;window=popup&amp;width=450&amp;height=300&amp;START_MAXIMIZED=FALSE"}</definedName>
    <definedName name="_919__FDSAUDITLINK__" hidden="1">{"fdsup://IBCentral/FAT Viewer?action=UPDATE&amp;creator=factset&amp;DOC_NAME=fat:reuters_annual_source_window.fat&amp;display_string=Audit&amp;DYN_ARGS=TRUE&amp;VAR:ID1=221353&amp;VAR:RCODE=AEQI&amp;VAR:SDATE=20051299&amp;VAR:FREQ=Y&amp;VAR:RELITEM=RP&amp;VAR:CURRENCY=USD&amp;VAR:CURRSOURCE=EXSHARE&amp;","VAR:NATFREQ=ANNUAL&amp;VAR:RFIELD=FINALIZED&amp;VAR:DB_TYPE=&amp;VAR:UNITS=M&amp;window=popup&amp;width=450&amp;height=300&amp;START_MAXIMIZED=FALSE"}</definedName>
    <definedName name="_92__123Graph_CCHART_4" hidden="1">#REF!</definedName>
    <definedName name="_92__123Graph_FCHART_3" localSheetId="8" hidden="1">#REF!</definedName>
    <definedName name="_92__123Graph_FCHART_3" hidden="1">#REF!</definedName>
    <definedName name="_92__123Graph_LBL_CCHART_3" hidden="1">#REF!</definedName>
    <definedName name="_92__FDSAUDITLINK__" localSheetId="8" hidden="1">{"fdsup://directions/FAT Viewer?action=UPDATE&amp;creator=factset&amp;DYN_ARGS=TRUE&amp;DOC_NAME=FAT:FQL_AUDITING_CLIENT_TEMPLATE.FAT&amp;display_string=Audit&amp;VAR:KEY=VOFSNIJMFI&amp;VAR:QUERY=RkZfRUJJVF9JQignQU5OJywzNDQyNCwsLCwnR0JQJyk=&amp;WINDOW=FIRST_POPUP&amp;HEIGHT=450&amp;WIDTH=450&amp;","START_MAXIMIZED=FALSE&amp;VAR:CALENDAR=FIVEDAY&amp;VAR:SYMBOL=092210&amp;VAR:INDEX=0"}</definedName>
    <definedName name="_92__FDSAUDITLINK__" hidden="1">{"fdsup://directions/FAT Viewer?action=UPDATE&amp;creator=factset&amp;DYN_ARGS=TRUE&amp;DOC_NAME=FAT:FQL_AUDITING_CLIENT_TEMPLATE.FAT&amp;display_string=Audit&amp;VAR:KEY=CVEBAFEDSN&amp;VAR:QUERY=RkZfRUJJVF9PUEVSKENBTCwyMDA5KQ==&amp;WINDOW=FIRST_POPUP&amp;HEIGHT=450&amp;WIDTH=450&amp;START_MAXIMI","ZED=FALSE&amp;VAR:CALENDAR=US&amp;VAR:SYMBOL=VMC&amp;VAR:INDEX=0"}</definedName>
    <definedName name="_92__FDSAUDITLINK___1" localSheetId="8" hidden="1">{"fdsup://directions/FAT Viewer?action=UPDATE&amp;creator=factset&amp;DYN_ARGS=TRUE&amp;DOC_NAME=FAT:FQL_AUDITING_CLIENT_TEMPLATE.FAT&amp;display_string=Audit&amp;VAR:KEY=VOFSNIJMFI&amp;VAR:QUERY=RkZfRUJJVF9JQignQU5OJywzNDQyNCwsLCwnR0JQJyk=&amp;WINDOW=FIRST_POPUP&amp;HEIGHT=450&amp;WIDTH=450&amp;","START_MAXIMIZED=FALSE&amp;VAR:CALENDAR=FIVEDAY&amp;VAR:SYMBOL=092210&amp;VAR:INDEX=0"}</definedName>
    <definedName name="_92__FDSAUDITLINK___1" hidden="1">{"fdsup://directions/FAT Viewer?action=UPDATE&amp;creator=factset&amp;DYN_ARGS=TRUE&amp;DOC_NAME=FAT:FQL_AUDITING_CLIENT_TEMPLATE.FAT&amp;display_string=Audit&amp;VAR:KEY=VOFSNIJMFI&amp;VAR:QUERY=RkZfRUJJVF9JQignQU5OJywzNDQyNCwsLCwnR0JQJyk=&amp;WINDOW=FIRST_POPUP&amp;HEIGHT=450&amp;WIDTH=450&amp;","START_MAXIMIZED=FALSE&amp;VAR:CALENDAR=FIVEDAY&amp;VAR:SYMBOL=092210&amp;VAR:INDEX=0"}</definedName>
    <definedName name="_920__FDSAUDITLINK__" localSheetId="8" hidden="1">{"fdsup://directions/FAT Viewer?action=UPDATE&amp;creator=factset&amp;DYN_ARGS=TRUE&amp;DOC_NAME=FAT:FQL_AUDITING_CLIENT_TEMPLATE.FAT&amp;display_string=Audit&amp;VAR:KEY=XGLQFIJEPS&amp;VAR:QUERY=RkZfTkVUX0lOQyhBTk4sMjAxMSk=&amp;WINDOW=FIRST_POPUP&amp;HEIGHT=450&amp;WIDTH=450&amp;START_MAXIMIZED=","FALSE&amp;VAR:CALENDAR=FIVEDAY&amp;VAR:SYMBOL=B5KKT9&amp;VAR:INDEX=0"}</definedName>
    <definedName name="_920__FDSAUDITLINK__" hidden="1">{"fdsup://directions/FAT Viewer?action=UPDATE&amp;creator=factset&amp;DYN_ARGS=TRUE&amp;DOC_NAME=FAT:FQL_AUDITING_CLIENT_TEMPLATE.FAT&amp;display_string=Audit&amp;VAR:KEY=XGLQFIJEPS&amp;VAR:QUERY=RkZfTkVUX0lOQyhBTk4sMjAxMSk=&amp;WINDOW=FIRST_POPUP&amp;HEIGHT=450&amp;WIDTH=450&amp;START_MAXIMIZED=","FALSE&amp;VAR:CALENDAR=FIVEDAY&amp;VAR:SYMBOL=B5KKT9&amp;VAR:INDEX=0"}</definedName>
    <definedName name="_920__FDSAUDITLINK___1" localSheetId="8" hidden="1">{"fdsup://directions/FAT Viewer?action=UPDATE&amp;creator=factset&amp;DYN_ARGS=TRUE&amp;DOC_NAME=FAT:FQL_AUDITING_CLIENT_TEMPLATE.FAT&amp;display_string=Audit&amp;VAR:KEY=XGLQFIJEPS&amp;VAR:QUERY=RkZfTkVUX0lOQyhBTk4sMjAxMSk=&amp;WINDOW=FIRST_POPUP&amp;HEIGHT=450&amp;WIDTH=450&amp;START_MAXIMIZED=","FALSE&amp;VAR:CALENDAR=FIVEDAY&amp;VAR:SYMBOL=B5KKT9&amp;VAR:INDEX=0"}</definedName>
    <definedName name="_920__FDSAUDITLINK___1" hidden="1">{"fdsup://directions/FAT Viewer?action=UPDATE&amp;creator=factset&amp;DYN_ARGS=TRUE&amp;DOC_NAME=FAT:FQL_AUDITING_CLIENT_TEMPLATE.FAT&amp;display_string=Audit&amp;VAR:KEY=XGLQFIJEPS&amp;VAR:QUERY=RkZfTkVUX0lOQyhBTk4sMjAxMSk=&amp;WINDOW=FIRST_POPUP&amp;HEIGHT=450&amp;WIDTH=450&amp;START_MAXIMIZED=","FALSE&amp;VAR:CALENDAR=FIVEDAY&amp;VAR:SYMBOL=B5KKT9&amp;VAR:INDEX=0"}</definedName>
    <definedName name="_921__FDSAUDITLINK__" localSheetId="8" hidden="1">{"fdsup://IBCentral/FAT Viewer?action=UPDATE&amp;creator=factset&amp;DOC_NAME=fat:reuters_qtrly_source_window.fat&amp;display_string=Audit&amp;DYN_ARGS=TRUE&amp;VAR:ID1=221353&amp;VAR:RCODE=STLD&amp;VAR:SDATE=20060699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921__FDSAUDITLINK__" hidden="1">{"fdsup://IBCentral/FAT Viewer?action=UPDATE&amp;creator=factset&amp;DOC_NAME=fat:reuters_qtrly_source_window.fat&amp;display_string=Audit&amp;DYN_ARGS=TRUE&amp;VAR:ID1=221353&amp;VAR:RCODE=STLD&amp;VAR:SDATE=20060699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922__FDSAUDITLINK__" localSheetId="8" hidden="1">{"fdsup://IBCentral/FAT Viewer?action=UPDATE&amp;creator=factset&amp;DOC_NAME=fat:reuters_qtrly_source_window.fat&amp;display_string=Audit&amp;DYN_ARGS=TRUE&amp;VAR:ID1=221353&amp;VAR:RCODE=SCSI&amp;VAR:SDATE=20060699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922__FDSAUDITLINK__" hidden="1">{"fdsup://IBCentral/FAT Viewer?action=UPDATE&amp;creator=factset&amp;DOC_NAME=fat:reuters_qtrly_source_window.fat&amp;display_string=Audit&amp;DYN_ARGS=TRUE&amp;VAR:ID1=221353&amp;VAR:RCODE=SCSI&amp;VAR:SDATE=20060699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923__FDSAUDITLINK__" localSheetId="8" hidden="1">{"fdsup://IBCentral/FAT Viewer?action=UPDATE&amp;creator=factset&amp;DOC_NAME=fat:reuters_annual_source_window.fat&amp;display_string=Audit&amp;DYN_ARGS=TRUE&amp;VAR:ID1=221353&amp;VAR:RCODE=FDSPFDSTKTOTAL&amp;VAR:SDATE=20051299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923__FDSAUDITLINK__" hidden="1">{"fdsup://IBCentral/FAT Viewer?action=UPDATE&amp;creator=factset&amp;DOC_NAME=fat:reuters_annual_source_window.fat&amp;display_string=Audit&amp;DYN_ARGS=TRUE&amp;VAR:ID1=221353&amp;VAR:RCODE=FDSPFDSTKTOTAL&amp;VAR:SDATE=20051299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924__FDSAUDITLINK__" localSheetId="8" hidden="1">{"fdsup://directions/FAT Viewer?action=UPDATE&amp;creator=factset&amp;DYN_ARGS=TRUE&amp;DOC_NAME=FAT:FQL_AUDITING_CLIENT_TEMPLATE.FAT&amp;display_string=Audit&amp;VAR:KEY=HGBCTAPCDC&amp;VAR:QUERY=RkZfQ0FQRVgoQU5OLDIwMTEp&amp;WINDOW=FIRST_POPUP&amp;HEIGHT=450&amp;WIDTH=450&amp;START_MAXIMIZED=FALS","E&amp;VAR:CALENDAR=FIVEDAY&amp;VAR:SYMBOL=B5KKT9&amp;VAR:INDEX=0"}</definedName>
    <definedName name="_924__FDSAUDITLINK__" hidden="1">{"fdsup://directions/FAT Viewer?action=UPDATE&amp;creator=factset&amp;DYN_ARGS=TRUE&amp;DOC_NAME=FAT:FQL_AUDITING_CLIENT_TEMPLATE.FAT&amp;display_string=Audit&amp;VAR:KEY=HGBCTAPCDC&amp;VAR:QUERY=RkZfQ0FQRVgoQU5OLDIwMTEp&amp;WINDOW=FIRST_POPUP&amp;HEIGHT=450&amp;WIDTH=450&amp;START_MAXIMIZED=FALS","E&amp;VAR:CALENDAR=FIVEDAY&amp;VAR:SYMBOL=B5KKT9&amp;VAR:INDEX=0"}</definedName>
    <definedName name="_924__FDSAUDITLINK___1" localSheetId="8" hidden="1">{"fdsup://directions/FAT Viewer?action=UPDATE&amp;creator=factset&amp;DYN_ARGS=TRUE&amp;DOC_NAME=FAT:FQL_AUDITING_CLIENT_TEMPLATE.FAT&amp;display_string=Audit&amp;VAR:KEY=HGBCTAPCDC&amp;VAR:QUERY=RkZfQ0FQRVgoQU5OLDIwMTEp&amp;WINDOW=FIRST_POPUP&amp;HEIGHT=450&amp;WIDTH=450&amp;START_MAXIMIZED=FALS","E&amp;VAR:CALENDAR=FIVEDAY&amp;VAR:SYMBOL=B5KKT9&amp;VAR:INDEX=0"}</definedName>
    <definedName name="_924__FDSAUDITLINK___1" hidden="1">{"fdsup://directions/FAT Viewer?action=UPDATE&amp;creator=factset&amp;DYN_ARGS=TRUE&amp;DOC_NAME=FAT:FQL_AUDITING_CLIENT_TEMPLATE.FAT&amp;display_string=Audit&amp;VAR:KEY=HGBCTAPCDC&amp;VAR:QUERY=RkZfQ0FQRVgoQU5OLDIwMTEp&amp;WINDOW=FIRST_POPUP&amp;HEIGHT=450&amp;WIDTH=450&amp;START_MAXIMIZED=FALS","E&amp;VAR:CALENDAR=FIVEDAY&amp;VAR:SYMBOL=B5KKT9&amp;VAR:INDEX=0"}</definedName>
    <definedName name="_925__FDSAUDITLINK__" localSheetId="8" hidden="1">{"fdsup://IBCentral/FAT Viewer?action=UPDATE&amp;creator=factset&amp;DOC_NAME=fat:reuters_qtrly_source_window.fat&amp;display_string=Audit&amp;DYN_ARGS=TRUE&amp;VAR:ID1=221353&amp;VAR:RCODE=LMIN&amp;VAR:SDATE=20060699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925__FDSAUDITLINK__" hidden="1">{"fdsup://IBCentral/FAT Viewer?action=UPDATE&amp;creator=factset&amp;DOC_NAME=fat:reuters_qtrly_source_window.fat&amp;display_string=Audit&amp;DYN_ARGS=TRUE&amp;VAR:ID1=221353&amp;VAR:RCODE=LMIN&amp;VAR:SDATE=20060699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926__FDSAUDITLINK__" localSheetId="8" hidden="1">{"fdsup://IBCentral/FAT Viewer?action=UPDATE&amp;creator=factset&amp;DOC_NAME=fat:reuters_qtrly_source_window.fat&amp;display_string=Audit&amp;DYN_ARGS=TRUE&amp;VAR:ID1=221353&amp;VAR:RCODE=STLD&amp;VAR:SDATE=20060699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926__FDSAUDITLINK__" hidden="1">{"fdsup://IBCentral/FAT Viewer?action=UPDATE&amp;creator=factset&amp;DOC_NAME=fat:reuters_qtrly_source_window.fat&amp;display_string=Audit&amp;DYN_ARGS=TRUE&amp;VAR:ID1=221353&amp;VAR:RCODE=STLD&amp;VAR:SDATE=20060699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927__FDSAUDITLINK__" localSheetId="8" hidden="1">{"fdsup://IBCentral/FAT Viewer?action=UPDATE&amp;creator=factset&amp;DOC_NAME=fat:reuters_qtrly_source_window.fat&amp;display_string=Audit&amp;DYN_ARGS=TRUE&amp;VAR:ID1=221353&amp;VAR:RCODE=SCSI&amp;VAR:SDATE=20060699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927__FDSAUDITLINK__" hidden="1">{"fdsup://IBCentral/FAT Viewer?action=UPDATE&amp;creator=factset&amp;DOC_NAME=fat:reuters_qtrly_source_window.fat&amp;display_string=Audit&amp;DYN_ARGS=TRUE&amp;VAR:ID1=221353&amp;VAR:RCODE=SCSI&amp;VAR:SDATE=20060699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928__FDSAUDITLINK__" localSheetId="8" hidden="1">{"fdsup://directions/FAT Viewer?action=UPDATE&amp;creator=factset&amp;DYN_ARGS=TRUE&amp;DOC_NAME=FAT:FQL_AUDITING_CLIENT_TEMPLATE.FAT&amp;display_string=Audit&amp;VAR:KEY=CZAFGLATWH&amp;VAR:QUERY=RkZfRUJJVF9PUEVSKEFOTiwyMDEwKQ==&amp;WINDOW=FIRST_POPUP&amp;HEIGHT=450&amp;WIDTH=450&amp;START_MAXIMI","ZED=FALSE&amp;VAR:CALENDAR=FIVEDAY&amp;VAR:SYMBOL=B5KKT9&amp;VAR:INDEX=0"}</definedName>
    <definedName name="_928__FDSAUDITLINK__" hidden="1">{"fdsup://directions/FAT Viewer?action=UPDATE&amp;creator=factset&amp;DYN_ARGS=TRUE&amp;DOC_NAME=FAT:FQL_AUDITING_CLIENT_TEMPLATE.FAT&amp;display_string=Audit&amp;VAR:KEY=CZAFGLATWH&amp;VAR:QUERY=RkZfRUJJVF9PUEVSKEFOTiwyMDEwKQ==&amp;WINDOW=FIRST_POPUP&amp;HEIGHT=450&amp;WIDTH=450&amp;START_MAXIMI","ZED=FALSE&amp;VAR:CALENDAR=FIVEDAY&amp;VAR:SYMBOL=B5KKT9&amp;VAR:INDEX=0"}</definedName>
    <definedName name="_928__FDSAUDITLINK___1" localSheetId="8" hidden="1">{"fdsup://directions/FAT Viewer?action=UPDATE&amp;creator=factset&amp;DYN_ARGS=TRUE&amp;DOC_NAME=FAT:FQL_AUDITING_CLIENT_TEMPLATE.FAT&amp;display_string=Audit&amp;VAR:KEY=CZAFGLATWH&amp;VAR:QUERY=RkZfRUJJVF9PUEVSKEFOTiwyMDEwKQ==&amp;WINDOW=FIRST_POPUP&amp;HEIGHT=450&amp;WIDTH=450&amp;START_MAXIMI","ZED=FALSE&amp;VAR:CALENDAR=FIVEDAY&amp;VAR:SYMBOL=B5KKT9&amp;VAR:INDEX=0"}</definedName>
    <definedName name="_928__FDSAUDITLINK___1" hidden="1">{"fdsup://directions/FAT Viewer?action=UPDATE&amp;creator=factset&amp;DYN_ARGS=TRUE&amp;DOC_NAME=FAT:FQL_AUDITING_CLIENT_TEMPLATE.FAT&amp;display_string=Audit&amp;VAR:KEY=CZAFGLATWH&amp;VAR:QUERY=RkZfRUJJVF9PUEVSKEFOTiwyMDEwKQ==&amp;WINDOW=FIRST_POPUP&amp;HEIGHT=450&amp;WIDTH=450&amp;START_MAXIMI","ZED=FALSE&amp;VAR:CALENDAR=FIVEDAY&amp;VAR:SYMBOL=B5KKT9&amp;VAR:INDEX=0"}</definedName>
    <definedName name="_929__FDSAUDITLINK__" localSheetId="8" hidden="1">{"fdsup://IBCentral/FAT Viewer?action=UPDATE&amp;creator=factset&amp;DOC_NAME=fat:reuters_annual_source_window.fat&amp;display_string=Audit&amp;DYN_ARGS=TRUE&amp;VAR:ID1=221353&amp;VAR:RCODE=AEQI&amp;VAR:SDATE=20051299&amp;VAR:FREQ=Y&amp;VAR:RELITEM=RP&amp;VAR:CURRENCY=USD&amp;VAR:CURRSOURCE=EXSHARE&amp;","VAR:NATFREQ=ANNUAL&amp;VAR:RFIELD=FINALIZED&amp;VAR:DB_TYPE=&amp;VAR:UNITS=M&amp;window=popup&amp;width=450&amp;height=300&amp;START_MAXIMIZED=FALSE"}</definedName>
    <definedName name="_929__FDSAUDITLINK__" hidden="1">{"fdsup://IBCentral/FAT Viewer?action=UPDATE&amp;creator=factset&amp;DOC_NAME=fat:reuters_annual_source_window.fat&amp;display_string=Audit&amp;DYN_ARGS=TRUE&amp;VAR:ID1=221353&amp;VAR:RCODE=AEQI&amp;VAR:SDATE=20051299&amp;VAR:FREQ=Y&amp;VAR:RELITEM=RP&amp;VAR:CURRENCY=USD&amp;VAR:CURRSOURCE=EXSHARE&amp;","VAR:NATFREQ=ANNUAL&amp;VAR:RFIELD=FINALIZED&amp;VAR:DB_TYPE=&amp;VAR:UNITS=M&amp;window=popup&amp;width=450&amp;height=300&amp;START_MAXIMIZED=FALSE"}</definedName>
    <definedName name="_93__123Graph_CCHART_7" hidden="1">#REF!</definedName>
    <definedName name="_93__123Graph_FCHART_31" localSheetId="8" hidden="1">#REF!</definedName>
    <definedName name="_93__123Graph_FCHART_31" hidden="1">#REF!</definedName>
    <definedName name="_93__123Graph_LBL_CCHART_4" hidden="1">#REF!</definedName>
    <definedName name="_93__FDSAUDITLINK__" localSheetId="8" hidden="1">{"fdsup://directions/FAT Viewer?action=UPDATE&amp;creator=factset&amp;DYN_ARGS=TRUE&amp;DOC_NAME=FAT:FQL_AUDITING_CLIENT_TEMPLATE.FAT&amp;display_string=Audit&amp;VAR:KEY=PCRITAZQJW&amp;VAR:QUERY=RkZfRUJJVF9JQignQU5OJywzNDA1OSwsLCwnR0JQJyk=&amp;WINDOW=FIRST_POPUP&amp;HEIGHT=450&amp;WIDTH=450&amp;","START_MAXIMIZED=FALSE&amp;VAR:CALENDAR=FIVEDAY&amp;VAR:SYMBOL=092210&amp;VAR:INDEX=0"}</definedName>
    <definedName name="_93__FDSAUDITLINK__" hidden="1">{"fdsup://directions/FAT Viewer?action=UPDATE&amp;creator=factset&amp;DYN_ARGS=TRUE&amp;DOC_NAME=FAT:FQL_AUDITING_CLIENT_TEMPLATE.FAT&amp;display_string=Audit&amp;VAR:KEY=EHMJGVWLUB&amp;VAR:QUERY=RkZfRUJJVF9PUEVSKENBTCwyMDA5KQ==&amp;WINDOW=FIRST_POPUP&amp;HEIGHT=450&amp;WIDTH=450&amp;START_MAXIMI","ZED=FALSE&amp;VAR:CALENDAR=US&amp;VAR:SYMBOL=MCEM&amp;VAR:INDEX=0"}</definedName>
    <definedName name="_93__FDSAUDITLINK___1" localSheetId="8" hidden="1">{"fdsup://directions/FAT Viewer?action=UPDATE&amp;creator=factset&amp;DYN_ARGS=TRUE&amp;DOC_NAME=FAT:FQL_AUDITING_CLIENT_TEMPLATE.FAT&amp;display_string=Audit&amp;VAR:KEY=PCRITAZQJW&amp;VAR:QUERY=RkZfRUJJVF9JQignQU5OJywzNDA1OSwsLCwnR0JQJyk=&amp;WINDOW=FIRST_POPUP&amp;HEIGHT=450&amp;WIDTH=450&amp;","START_MAXIMIZED=FALSE&amp;VAR:CALENDAR=FIVEDAY&amp;VAR:SYMBOL=092210&amp;VAR:INDEX=0"}</definedName>
    <definedName name="_93__FDSAUDITLINK___1" hidden="1">{"fdsup://directions/FAT Viewer?action=UPDATE&amp;creator=factset&amp;DYN_ARGS=TRUE&amp;DOC_NAME=FAT:FQL_AUDITING_CLIENT_TEMPLATE.FAT&amp;display_string=Audit&amp;VAR:KEY=PCRITAZQJW&amp;VAR:QUERY=RkZfRUJJVF9JQignQU5OJywzNDA1OSwsLCwnR0JQJyk=&amp;WINDOW=FIRST_POPUP&amp;HEIGHT=450&amp;WIDTH=450&amp;","START_MAXIMIZED=FALSE&amp;VAR:CALENDAR=FIVEDAY&amp;VAR:SYMBOL=092210&amp;VAR:INDEX=0"}</definedName>
    <definedName name="_930__FDSAUDITLINK__" localSheetId="8" hidden="1">{"fdsup://IBCentral/FAT Viewer?action=UPDATE&amp;creator=factset&amp;DOC_NAME=fat:reuters_qtrly_source_window.fat&amp;display_string=Audit&amp;DYN_ARGS=TRUE&amp;VAR:ID1=221353&amp;VAR:RCODE=LMIN&amp;VAR:SDATE=20060699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930__FDSAUDITLINK__" hidden="1">{"fdsup://IBCentral/FAT Viewer?action=UPDATE&amp;creator=factset&amp;DOC_NAME=fat:reuters_qtrly_source_window.fat&amp;display_string=Audit&amp;DYN_ARGS=TRUE&amp;VAR:ID1=221353&amp;VAR:RCODE=LMIN&amp;VAR:SDATE=20060699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931__FDSAUDITLINK__" localSheetId="8" hidden="1">{"fdsup://IBCentral/FAT Viewer?action=UPDATE&amp;creator=factset&amp;DOC_NAME=fat:reuters_qtrly_source_window.fat&amp;display_string=Audit&amp;DYN_ARGS=TRUE&amp;VAR:ID1=221353&amp;VAR:RCODE=STLD&amp;VAR:SDATE=20060699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931__FDSAUDITLINK__" hidden="1">{"fdsup://IBCentral/FAT Viewer?action=UPDATE&amp;creator=factset&amp;DOC_NAME=fat:reuters_qtrly_source_window.fat&amp;display_string=Audit&amp;DYN_ARGS=TRUE&amp;VAR:ID1=221353&amp;VAR:RCODE=STLD&amp;VAR:SDATE=20060699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932__FDSAUDITLINK__" localSheetId="8" hidden="1">{"fdsup://directions/FAT Viewer?action=UPDATE&amp;creator=factset&amp;DYN_ARGS=TRUE&amp;DOC_NAME=FAT:FQL_AUDITING_CLIENT_TEMPLATE.FAT&amp;display_string=Audit&amp;VAR:KEY=JGPSXGXMDU&amp;VAR:QUERY=RkZfRUJJVERBX09QRVIoQU5OLDIwMTEp&amp;WINDOW=FIRST_POPUP&amp;HEIGHT=450&amp;WIDTH=450&amp;START_MAXIMI","ZED=FALSE&amp;VAR:CALENDAR=FIVEDAY&amp;VAR:SYMBOL=B5KKT9&amp;VAR:INDEX=0"}</definedName>
    <definedName name="_932__FDSAUDITLINK__" hidden="1">{"fdsup://directions/FAT Viewer?action=UPDATE&amp;creator=factset&amp;DYN_ARGS=TRUE&amp;DOC_NAME=FAT:FQL_AUDITING_CLIENT_TEMPLATE.FAT&amp;display_string=Audit&amp;VAR:KEY=JGPSXGXMDU&amp;VAR:QUERY=RkZfRUJJVERBX09QRVIoQU5OLDIwMTEp&amp;WINDOW=FIRST_POPUP&amp;HEIGHT=450&amp;WIDTH=450&amp;START_MAXIMI","ZED=FALSE&amp;VAR:CALENDAR=FIVEDAY&amp;VAR:SYMBOL=B5KKT9&amp;VAR:INDEX=0"}</definedName>
    <definedName name="_932__FDSAUDITLINK___1" localSheetId="8" hidden="1">{"fdsup://directions/FAT Viewer?action=UPDATE&amp;creator=factset&amp;DYN_ARGS=TRUE&amp;DOC_NAME=FAT:FQL_AUDITING_CLIENT_TEMPLATE.FAT&amp;display_string=Audit&amp;VAR:KEY=JGPSXGXMDU&amp;VAR:QUERY=RkZfRUJJVERBX09QRVIoQU5OLDIwMTEp&amp;WINDOW=FIRST_POPUP&amp;HEIGHT=450&amp;WIDTH=450&amp;START_MAXIMI","ZED=FALSE&amp;VAR:CALENDAR=FIVEDAY&amp;VAR:SYMBOL=B5KKT9&amp;VAR:INDEX=0"}</definedName>
    <definedName name="_932__FDSAUDITLINK___1" hidden="1">{"fdsup://directions/FAT Viewer?action=UPDATE&amp;creator=factset&amp;DYN_ARGS=TRUE&amp;DOC_NAME=FAT:FQL_AUDITING_CLIENT_TEMPLATE.FAT&amp;display_string=Audit&amp;VAR:KEY=JGPSXGXMDU&amp;VAR:QUERY=RkZfRUJJVERBX09QRVIoQU5OLDIwMTEp&amp;WINDOW=FIRST_POPUP&amp;HEIGHT=450&amp;WIDTH=450&amp;START_MAXIMI","ZED=FALSE&amp;VAR:CALENDAR=FIVEDAY&amp;VAR:SYMBOL=B5KKT9&amp;VAR:INDEX=0"}</definedName>
    <definedName name="_933__FDSAUDITLINK__" localSheetId="8" hidden="1">{"fdsup://IBCentral/FAT Viewer?action=UPDATE&amp;creator=factset&amp;DOC_NAME=fat:reuters_annual_source_window.fat&amp;display_string=Audit&amp;DYN_ARGS=TRUE&amp;VAR:ID1=221353&amp;VAR:RCODE=FDSPFDSTKTOTAL&amp;VAR:SDATE=20051299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933__FDSAUDITLINK__" hidden="1">{"fdsup://IBCentral/FAT Viewer?action=UPDATE&amp;creator=factset&amp;DOC_NAME=fat:reuters_annual_source_window.fat&amp;display_string=Audit&amp;DYN_ARGS=TRUE&amp;VAR:ID1=221353&amp;VAR:RCODE=FDSPFDSTKTOTAL&amp;VAR:SDATE=20051299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934__FDSAUDITLINK__" localSheetId="8" hidden="1">{"fdsup://IBCentral/FAT Viewer?action=UPDATE&amp;creator=factset&amp;DOC_NAME=fat:reuters_annual_source_window.fat&amp;display_string=Audit&amp;DYN_ARGS=TRUE&amp;VAR:ID1=221353&amp;VAR:RCODE=AEQI&amp;VAR:SDATE=20051299&amp;VAR:FREQ=Y&amp;VAR:RELITEM=RP&amp;VAR:CURRENCY=USD&amp;VAR:CURRSOURCE=EXSHARE&amp;","VAR:NATFREQ=ANNUAL&amp;VAR:RFIELD=FINALIZED&amp;VAR:DB_TYPE=&amp;VAR:UNITS=M&amp;window=popup&amp;width=450&amp;height=300&amp;START_MAXIMIZED=FALSE"}</definedName>
    <definedName name="_934__FDSAUDITLINK__" hidden="1">{"fdsup://IBCentral/FAT Viewer?action=UPDATE&amp;creator=factset&amp;DOC_NAME=fat:reuters_annual_source_window.fat&amp;display_string=Audit&amp;DYN_ARGS=TRUE&amp;VAR:ID1=221353&amp;VAR:RCODE=AEQI&amp;VAR:SDATE=20051299&amp;VAR:FREQ=Y&amp;VAR:RELITEM=RP&amp;VAR:CURRENCY=USD&amp;VAR:CURRSOURCE=EXSHARE&amp;","VAR:NATFREQ=ANNUAL&amp;VAR:RFIELD=FINALIZED&amp;VAR:DB_TYPE=&amp;VAR:UNITS=M&amp;window=popup&amp;width=450&amp;height=300&amp;START_MAXIMIZED=FALSE"}</definedName>
    <definedName name="_935__FDSAUDITLINK__" localSheetId="8" hidden="1">{"fdsup://IBCentral/FAT Viewer?action=UPDATE&amp;creator=factset&amp;DOC_NAME=fat:reuters_qtrly_source_window.fat&amp;display_string=Audit&amp;DYN_ARGS=TRUE&amp;VAR:ID1=221353&amp;VAR:RCODE=LMIN&amp;VAR:SDATE=20060699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935__FDSAUDITLINK__" hidden="1">{"fdsup://IBCentral/FAT Viewer?action=UPDATE&amp;creator=factset&amp;DOC_NAME=fat:reuters_qtrly_source_window.fat&amp;display_string=Audit&amp;DYN_ARGS=TRUE&amp;VAR:ID1=221353&amp;VAR:RCODE=LMIN&amp;VAR:SDATE=20060699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936__FDSAUDITLINK__" localSheetId="8" hidden="1">{"fdsup://IBCentral/FAT Viewer?action=UPDATE&amp;creator=factset&amp;DOC_NAME=fat:reuters_qtrly_source_window.fat&amp;display_string=Audit&amp;DYN_ARGS=TRUE&amp;VAR:ID1=221353&amp;VAR:RCODE=STLD&amp;VAR:SDATE=20060699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936__FDSAUDITLINK__" hidden="1">{"fdsup://IBCentral/FAT Viewer?action=UPDATE&amp;creator=factset&amp;DOC_NAME=fat:reuters_qtrly_source_window.fat&amp;display_string=Audit&amp;DYN_ARGS=TRUE&amp;VAR:ID1=221353&amp;VAR:RCODE=STLD&amp;VAR:SDATE=20060699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937__FDSAUDITLINK__" localSheetId="8" hidden="1">{"fdsup://IBCentral/FAT Viewer?action=UPDATE&amp;creator=factset&amp;DOC_NAME=fat:reuters_qtrly_source_window.fat&amp;display_string=Audit&amp;DYN_ARGS=TRUE&amp;VAR:ID1=221353&amp;VAR:RCODE=SCSI&amp;VAR:SDATE=20060699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937__FDSAUDITLINK__" hidden="1">{"fdsup://IBCentral/FAT Viewer?action=UPDATE&amp;creator=factset&amp;DOC_NAME=fat:reuters_qtrly_source_window.fat&amp;display_string=Audit&amp;DYN_ARGS=TRUE&amp;VAR:ID1=221353&amp;VAR:RCODE=SCSI&amp;VAR:SDATE=20060699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938__FDSAUDITLINK__" localSheetId="8" hidden="1">{"fdsup://IBCentral/FAT Viewer?action=UPDATE&amp;creator=factset&amp;DOC_NAME=fat:reuters_annual_source_window.fat&amp;display_string=Audit&amp;DYN_ARGS=TRUE&amp;VAR:ID1=221353&amp;VAR:RCODE=FDSPFDSTKTOTAL&amp;VAR:SDATE=20051299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938__FDSAUDITLINK__" hidden="1">{"fdsup://IBCentral/FAT Viewer?action=UPDATE&amp;creator=factset&amp;DOC_NAME=fat:reuters_annual_source_window.fat&amp;display_string=Audit&amp;DYN_ARGS=TRUE&amp;VAR:ID1=221353&amp;VAR:RCODE=FDSPFDSTKTOTAL&amp;VAR:SDATE=20051299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939__FDSAUDITLINK__" localSheetId="8" hidden="1">{"fdsup://directions/FAT Viewer?action=UPDATE&amp;creator=factset&amp;DYN_ARGS=TRUE&amp;DOC_NAME=FAT:FQL_AUDITING_CLIENT_TEMPLATE.FAT&amp;display_string=Audit&amp;VAR:KEY=UVWLOZIHUN&amp;VAR:QUERY=RkZfQ0FQRVgoQU5OLDIwMTEp&amp;WINDOW=FIRST_POPUP&amp;HEIGHT=450&amp;WIDTH=450&amp;START_MAXIMIZED=FALS","E&amp;VAR:CALENDAR=FIVEDAY&amp;VAR:SYMBOL=B61G9L&amp;VAR:INDEX=0"}</definedName>
    <definedName name="_939__FDSAUDITLINK__" hidden="1">{"fdsup://directions/FAT Viewer?action=UPDATE&amp;creator=factset&amp;DYN_ARGS=TRUE&amp;DOC_NAME=FAT:FQL_AUDITING_CLIENT_TEMPLATE.FAT&amp;display_string=Audit&amp;VAR:KEY=UVWLOZIHUN&amp;VAR:QUERY=RkZfQ0FQRVgoQU5OLDIwMTEp&amp;WINDOW=FIRST_POPUP&amp;HEIGHT=450&amp;WIDTH=450&amp;START_MAXIMIZED=FALS","E&amp;VAR:CALENDAR=FIVEDAY&amp;VAR:SYMBOL=B61G9L&amp;VAR:INDEX=0"}</definedName>
    <definedName name="_939__FDSAUDITLINK___1" localSheetId="8" hidden="1">{"fdsup://directions/FAT Viewer?action=UPDATE&amp;creator=factset&amp;DYN_ARGS=TRUE&amp;DOC_NAME=FAT:FQL_AUDITING_CLIENT_TEMPLATE.FAT&amp;display_string=Audit&amp;VAR:KEY=UVWLOZIHUN&amp;VAR:QUERY=RkZfQ0FQRVgoQU5OLDIwMTEp&amp;WINDOW=FIRST_POPUP&amp;HEIGHT=450&amp;WIDTH=450&amp;START_MAXIMIZED=FALS","E&amp;VAR:CALENDAR=FIVEDAY&amp;VAR:SYMBOL=B61G9L&amp;VAR:INDEX=0"}</definedName>
    <definedName name="_939__FDSAUDITLINK___1" hidden="1">{"fdsup://directions/FAT Viewer?action=UPDATE&amp;creator=factset&amp;DYN_ARGS=TRUE&amp;DOC_NAME=FAT:FQL_AUDITING_CLIENT_TEMPLATE.FAT&amp;display_string=Audit&amp;VAR:KEY=UVWLOZIHUN&amp;VAR:QUERY=RkZfQ0FQRVgoQU5OLDIwMTEp&amp;WINDOW=FIRST_POPUP&amp;HEIGHT=450&amp;WIDTH=450&amp;START_MAXIMIZED=FALS","E&amp;VAR:CALENDAR=FIVEDAY&amp;VAR:SYMBOL=B61G9L&amp;VAR:INDEX=0"}</definedName>
    <definedName name="_94__123Graph_CCHART_8" hidden="1">#REF!</definedName>
    <definedName name="_94__123Graph_FCHART_4" localSheetId="8" hidden="1">#REF!</definedName>
    <definedName name="_94__123Graph_FCHART_4" hidden="1">#REF!</definedName>
    <definedName name="_94__123Graph_LBL_CCHART_7" hidden="1">#REF!</definedName>
    <definedName name="_94__FDSAUDITLINK__" localSheetId="8" hidden="1">{"fdsup://directions/FAT Viewer?action=UPDATE&amp;creator=factset&amp;DYN_ARGS=TRUE&amp;DOC_NAME=FAT:FQL_AUDITING_CLIENT_TEMPLATE.FAT&amp;display_string=Audit&amp;VAR:KEY=PSXGVEJYHM&amp;VAR:QUERY=RkZfRUJJVF9JQignQU5OJywzMzY5NCwsLCwnR0JQJyk=&amp;WINDOW=FIRST_POPUP&amp;HEIGHT=450&amp;WIDTH=450&amp;","START_MAXIMIZED=FALSE&amp;VAR:CALENDAR=FIVEDAY&amp;VAR:SYMBOL=092210&amp;VAR:INDEX=0"}</definedName>
    <definedName name="_94__FDSAUDITLINK__" hidden="1">{"fdsup://directions/FAT Viewer?action=UPDATE&amp;creator=factset&amp;DYN_ARGS=TRUE&amp;DOC_NAME=FAT:FQL_AUDITING_CLIENT_TEMPLATE.FAT&amp;display_string=Audit&amp;VAR:KEY=YRULUTKHKD&amp;VAR:QUERY=RkZfRUJJVF9PUEVSKENBTCwyMDA5KQ==&amp;WINDOW=FIRST_POPUP&amp;HEIGHT=450&amp;WIDTH=450&amp;START_MAXIMI","ZED=FALSE&amp;VAR:CALENDAR=US&amp;VAR:SYMBOL=TXI&amp;VAR:INDEX=0"}</definedName>
    <definedName name="_94__FDSAUDITLINK___1" localSheetId="8" hidden="1">{"fdsup://directions/FAT Viewer?action=UPDATE&amp;creator=factset&amp;DYN_ARGS=TRUE&amp;DOC_NAME=FAT:FQL_AUDITING_CLIENT_TEMPLATE.FAT&amp;display_string=Audit&amp;VAR:KEY=PSXGVEJYHM&amp;VAR:QUERY=RkZfRUJJVF9JQignQU5OJywzMzY5NCwsLCwnR0JQJyk=&amp;WINDOW=FIRST_POPUP&amp;HEIGHT=450&amp;WIDTH=450&amp;","START_MAXIMIZED=FALSE&amp;VAR:CALENDAR=FIVEDAY&amp;VAR:SYMBOL=092210&amp;VAR:INDEX=0"}</definedName>
    <definedName name="_94__FDSAUDITLINK___1" hidden="1">{"fdsup://directions/FAT Viewer?action=UPDATE&amp;creator=factset&amp;DYN_ARGS=TRUE&amp;DOC_NAME=FAT:FQL_AUDITING_CLIENT_TEMPLATE.FAT&amp;display_string=Audit&amp;VAR:KEY=PSXGVEJYHM&amp;VAR:QUERY=RkZfRUJJVF9JQignQU5OJywzMzY5NCwsLCwnR0JQJyk=&amp;WINDOW=FIRST_POPUP&amp;HEIGHT=450&amp;WIDTH=450&amp;","START_MAXIMIZED=FALSE&amp;VAR:CALENDAR=FIVEDAY&amp;VAR:SYMBOL=092210&amp;VAR:INDEX=0"}</definedName>
    <definedName name="_940__FDSAUDITLINK__" localSheetId="8" hidden="1">{"fdsup://IBCentral/FAT Viewer?action=UPDATE&amp;creator=factset&amp;DOC_NAME=fat:reuters_qtrly_source_window.fat&amp;display_string=Audit&amp;DYN_ARGS=TRUE&amp;VAR:ID1=221353&amp;VAR:RCODE=LMIN&amp;VAR:SDATE=20060699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940__FDSAUDITLINK__" hidden="1">{"fdsup://IBCentral/FAT Viewer?action=UPDATE&amp;creator=factset&amp;DOC_NAME=fat:reuters_qtrly_source_window.fat&amp;display_string=Audit&amp;DYN_ARGS=TRUE&amp;VAR:ID1=221353&amp;VAR:RCODE=LMIN&amp;VAR:SDATE=20060699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941__FDSAUDITLINK__" localSheetId="8" hidden="1">{"fdsup://IBCentral/FAT Viewer?action=UPDATE&amp;creator=factset&amp;DOC_NAME=fat:reuters_qtrly_source_window.fat&amp;display_string=Audit&amp;DYN_ARGS=TRUE&amp;VAR:ID1=221353&amp;VAR:RCODE=STLD&amp;VAR:SDATE=20060699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941__FDSAUDITLINK__" hidden="1">{"fdsup://IBCentral/FAT Viewer?action=UPDATE&amp;creator=factset&amp;DOC_NAME=fat:reuters_qtrly_source_window.fat&amp;display_string=Audit&amp;DYN_ARGS=TRUE&amp;VAR:ID1=221353&amp;VAR:RCODE=STLD&amp;VAR:SDATE=20060699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942__FDSAUDITLINK__" localSheetId="8" hidden="1">{"fdsup://IBCentral/FAT Viewer?action=UPDATE&amp;creator=factset&amp;DOC_NAME=fat:reuters_qtrly_source_window.fat&amp;display_string=Audit&amp;DYN_ARGS=TRUE&amp;VAR:ID1=221353&amp;VAR:RCODE=SCSI&amp;VAR:SDATE=20060699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942__FDSAUDITLINK__" hidden="1">{"fdsup://IBCentral/FAT Viewer?action=UPDATE&amp;creator=factset&amp;DOC_NAME=fat:reuters_qtrly_source_window.fat&amp;display_string=Audit&amp;DYN_ARGS=TRUE&amp;VAR:ID1=221353&amp;VAR:RCODE=SCSI&amp;VAR:SDATE=20060699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943__FDSAUDITLINK__" localSheetId="8" hidden="1">{"fdsup://directions/FAT Viewer?action=UPDATE&amp;creator=factset&amp;DYN_ARGS=TRUE&amp;DOC_NAME=FAT:FQL_AUDITING_CLIENT_TEMPLATE.FAT&amp;display_string=Audit&amp;VAR:KEY=ETQDMXUTCX&amp;VAR:QUERY=RkZfRUJJVF9PUEVSKEFOTiwyMDEwKQ==&amp;WINDOW=FIRST_POPUP&amp;HEIGHT=450&amp;WIDTH=450&amp;START_MAXIMI","ZED=FALSE&amp;VAR:CALENDAR=FIVEDAY&amp;VAR:SYMBOL=B61G9L&amp;VAR:INDEX=0"}</definedName>
    <definedName name="_943__FDSAUDITLINK__" hidden="1">{"fdsup://directions/FAT Viewer?action=UPDATE&amp;creator=factset&amp;DYN_ARGS=TRUE&amp;DOC_NAME=FAT:FQL_AUDITING_CLIENT_TEMPLATE.FAT&amp;display_string=Audit&amp;VAR:KEY=ETQDMXUTCX&amp;VAR:QUERY=RkZfRUJJVF9PUEVSKEFOTiwyMDEwKQ==&amp;WINDOW=FIRST_POPUP&amp;HEIGHT=450&amp;WIDTH=450&amp;START_MAXIMI","ZED=FALSE&amp;VAR:CALENDAR=FIVEDAY&amp;VAR:SYMBOL=B61G9L&amp;VAR:INDEX=0"}</definedName>
    <definedName name="_943__FDSAUDITLINK___1" localSheetId="8" hidden="1">{"fdsup://directions/FAT Viewer?action=UPDATE&amp;creator=factset&amp;DYN_ARGS=TRUE&amp;DOC_NAME=FAT:FQL_AUDITING_CLIENT_TEMPLATE.FAT&amp;display_string=Audit&amp;VAR:KEY=ETQDMXUTCX&amp;VAR:QUERY=RkZfRUJJVF9PUEVSKEFOTiwyMDEwKQ==&amp;WINDOW=FIRST_POPUP&amp;HEIGHT=450&amp;WIDTH=450&amp;START_MAXIMI","ZED=FALSE&amp;VAR:CALENDAR=FIVEDAY&amp;VAR:SYMBOL=B61G9L&amp;VAR:INDEX=0"}</definedName>
    <definedName name="_943__FDSAUDITLINK___1" hidden="1">{"fdsup://directions/FAT Viewer?action=UPDATE&amp;creator=factset&amp;DYN_ARGS=TRUE&amp;DOC_NAME=FAT:FQL_AUDITING_CLIENT_TEMPLATE.FAT&amp;display_string=Audit&amp;VAR:KEY=ETQDMXUTCX&amp;VAR:QUERY=RkZfRUJJVF9PUEVSKEFOTiwyMDEwKQ==&amp;WINDOW=FIRST_POPUP&amp;HEIGHT=450&amp;WIDTH=450&amp;START_MAXIMI","ZED=FALSE&amp;VAR:CALENDAR=FIVEDAY&amp;VAR:SYMBOL=B61G9L&amp;VAR:INDEX=0"}</definedName>
    <definedName name="_944__FDSAUDITLINK__" localSheetId="8" hidden="1">{"fdsup://IBCentral/FAT Viewer?action=UPDATE&amp;creator=factset&amp;DOC_NAME=fat:reuters_annual_source_window.fat&amp;display_string=Audit&amp;DYN_ARGS=TRUE&amp;VAR:ID1=221353&amp;VAR:RCODE=AEQI&amp;VAR:SDATE=20051299&amp;VAR:FREQ=Y&amp;VAR:RELITEM=RP&amp;VAR:CURRENCY=USD&amp;VAR:CURRSOURCE=EXSHARE&amp;","VAR:NATFREQ=ANNUAL&amp;VAR:RFIELD=FINALIZED&amp;VAR:DB_TYPE=&amp;VAR:UNITS=M&amp;window=popup&amp;width=450&amp;height=300&amp;START_MAXIMIZED=FALSE"}</definedName>
    <definedName name="_944__FDSAUDITLINK__" hidden="1">{"fdsup://IBCentral/FAT Viewer?action=UPDATE&amp;creator=factset&amp;DOC_NAME=fat:reuters_annual_source_window.fat&amp;display_string=Audit&amp;DYN_ARGS=TRUE&amp;VAR:ID1=221353&amp;VAR:RCODE=AEQI&amp;VAR:SDATE=20051299&amp;VAR:FREQ=Y&amp;VAR:RELITEM=RP&amp;VAR:CURRENCY=USD&amp;VAR:CURRSOURCE=EXSHARE&amp;","VAR:NATFREQ=ANNUAL&amp;VAR:RFIELD=FINALIZED&amp;VAR:DB_TYPE=&amp;VAR:UNITS=M&amp;window=popup&amp;width=450&amp;height=300&amp;START_MAXIMIZED=FALSE"}</definedName>
    <definedName name="_945__FDSAUDITLINK__" localSheetId="8" hidden="1">{"fdsup://IBCentral/FAT Viewer?action=UPDATE&amp;creator=factset&amp;DOC_NAME=fat:reuters_qtrly_source_window.fat&amp;display_string=Audit&amp;DYN_ARGS=TRUE&amp;VAR:ID1=221353&amp;VAR:RCODE=LMIN&amp;VAR:SDATE=20060699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945__FDSAUDITLINK__" hidden="1">{"fdsup://IBCentral/FAT Viewer?action=UPDATE&amp;creator=factset&amp;DOC_NAME=fat:reuters_qtrly_source_window.fat&amp;display_string=Audit&amp;DYN_ARGS=TRUE&amp;VAR:ID1=221353&amp;VAR:RCODE=LMIN&amp;VAR:SDATE=20060699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946__FDSAUDITLINK__" localSheetId="8" hidden="1">{"fdsup://IBCentral/FAT Viewer?action=UPDATE&amp;creator=factset&amp;DOC_NAME=fat:reuters_qtrly_source_window.fat&amp;display_string=Audit&amp;DYN_ARGS=TRUE&amp;VAR:ID1=221353&amp;VAR:RCODE=STLD&amp;VAR:SDATE=20060699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946__FDSAUDITLINK__" hidden="1">{"fdsup://IBCentral/FAT Viewer?action=UPDATE&amp;creator=factset&amp;DOC_NAME=fat:reuters_qtrly_source_window.fat&amp;display_string=Audit&amp;DYN_ARGS=TRUE&amp;VAR:ID1=221353&amp;VAR:RCODE=STLD&amp;VAR:SDATE=20060699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947__FDSAUDITLINK__" localSheetId="8" hidden="1">{"fdsup://directions/FAT Viewer?action=UPDATE&amp;creator=factset&amp;DYN_ARGS=TRUE&amp;DOC_NAME=FAT:FQL_AUDITING_CLIENT_TEMPLATE.FAT&amp;display_string=Audit&amp;VAR:KEY=KPSXWBOPQV&amp;VAR:QUERY=RkZfRUJJVERBX09QRVIoQU5OLDIwMTEp&amp;WINDOW=FIRST_POPUP&amp;HEIGHT=450&amp;WIDTH=450&amp;START_MAXIMI","ZED=FALSE&amp;VAR:CALENDAR=FIVEDAY&amp;VAR:SYMBOL=B61G9L&amp;VAR:INDEX=0"}</definedName>
    <definedName name="_947__FDSAUDITLINK__" hidden="1">{"fdsup://directions/FAT Viewer?action=UPDATE&amp;creator=factset&amp;DYN_ARGS=TRUE&amp;DOC_NAME=FAT:FQL_AUDITING_CLIENT_TEMPLATE.FAT&amp;display_string=Audit&amp;VAR:KEY=KPSXWBOPQV&amp;VAR:QUERY=RkZfRUJJVERBX09QRVIoQU5OLDIwMTEp&amp;WINDOW=FIRST_POPUP&amp;HEIGHT=450&amp;WIDTH=450&amp;START_MAXIMI","ZED=FALSE&amp;VAR:CALENDAR=FIVEDAY&amp;VAR:SYMBOL=B61G9L&amp;VAR:INDEX=0"}</definedName>
    <definedName name="_947__FDSAUDITLINK___1" localSheetId="8" hidden="1">{"fdsup://directions/FAT Viewer?action=UPDATE&amp;creator=factset&amp;DYN_ARGS=TRUE&amp;DOC_NAME=FAT:FQL_AUDITING_CLIENT_TEMPLATE.FAT&amp;display_string=Audit&amp;VAR:KEY=KPSXWBOPQV&amp;VAR:QUERY=RkZfRUJJVERBX09QRVIoQU5OLDIwMTEp&amp;WINDOW=FIRST_POPUP&amp;HEIGHT=450&amp;WIDTH=450&amp;START_MAXIMI","ZED=FALSE&amp;VAR:CALENDAR=FIVEDAY&amp;VAR:SYMBOL=B61G9L&amp;VAR:INDEX=0"}</definedName>
    <definedName name="_947__FDSAUDITLINK___1" hidden="1">{"fdsup://directions/FAT Viewer?action=UPDATE&amp;creator=factset&amp;DYN_ARGS=TRUE&amp;DOC_NAME=FAT:FQL_AUDITING_CLIENT_TEMPLATE.FAT&amp;display_string=Audit&amp;VAR:KEY=KPSXWBOPQV&amp;VAR:QUERY=RkZfRUJJVERBX09QRVIoQU5OLDIwMTEp&amp;WINDOW=FIRST_POPUP&amp;HEIGHT=450&amp;WIDTH=450&amp;START_MAXIMI","ZED=FALSE&amp;VAR:CALENDAR=FIVEDAY&amp;VAR:SYMBOL=B61G9L&amp;VAR:INDEX=0"}</definedName>
    <definedName name="_948__FDSAUDITLINK__" localSheetId="8" hidden="1">{"fdsup://IBCentral/FAT Viewer?action=UPDATE&amp;creator=factset&amp;DOC_NAME=fat:reuters_annual_source_window.fat&amp;display_string=Audit&amp;DYN_ARGS=TRUE&amp;VAR:ID1=221353&amp;VAR:RCODE=FDSPFDSTKTOTAL&amp;VAR:SDATE=20051299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948__FDSAUDITLINK__" hidden="1">{"fdsup://IBCentral/FAT Viewer?action=UPDATE&amp;creator=factset&amp;DOC_NAME=fat:reuters_annual_source_window.fat&amp;display_string=Audit&amp;DYN_ARGS=TRUE&amp;VAR:ID1=221353&amp;VAR:RCODE=FDSPFDSTKTOTAL&amp;VAR:SDATE=20051299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949__FDSAUDITLINK__" localSheetId="8" hidden="1">{"fdsup://IBCentral/FAT Viewer?action=UPDATE&amp;creator=factset&amp;DOC_NAME=fat:reuters_annual_source_window.fat&amp;display_string=Audit&amp;DYN_ARGS=TRUE&amp;VAR:ID1=221353&amp;VAR:RCODE=AEQI&amp;VAR:SDATE=20051299&amp;VAR:FREQ=Y&amp;VAR:RELITEM=RP&amp;VAR:CURRENCY=USD&amp;VAR:CURRSOURCE=EXSHARE&amp;","VAR:NATFREQ=ANNUAL&amp;VAR:RFIELD=FINALIZED&amp;VAR:DB_TYPE=&amp;VAR:UNITS=M&amp;window=popup&amp;width=450&amp;height=300&amp;START_MAXIMIZED=FALSE"}</definedName>
    <definedName name="_949__FDSAUDITLINK__" hidden="1">{"fdsup://IBCentral/FAT Viewer?action=UPDATE&amp;creator=factset&amp;DOC_NAME=fat:reuters_annual_source_window.fat&amp;display_string=Audit&amp;DYN_ARGS=TRUE&amp;VAR:ID1=221353&amp;VAR:RCODE=AEQI&amp;VAR:SDATE=20051299&amp;VAR:FREQ=Y&amp;VAR:RELITEM=RP&amp;VAR:CURRENCY=USD&amp;VAR:CURRSOURCE=EXSHARE&amp;","VAR:NATFREQ=ANNUAL&amp;VAR:RFIELD=FINALIZED&amp;VAR:DB_TYPE=&amp;VAR:UNITS=M&amp;window=popup&amp;width=450&amp;height=300&amp;START_MAXIMIZED=FALSE"}</definedName>
    <definedName name="_95__123Graph_DCHART_2" hidden="1">#REF!</definedName>
    <definedName name="_95__123Graph_FCHART_5" localSheetId="8" hidden="1">#REF!</definedName>
    <definedName name="_95__123Graph_FCHART_5" hidden="1">#REF!</definedName>
    <definedName name="_95__123Graph_LBL_CCHART_8" hidden="1">#REF!</definedName>
    <definedName name="_95__123Graph_XCHART_14" hidden="1">#REF!</definedName>
    <definedName name="_95__FDSAUDITLINK__" localSheetId="8" hidden="1">{"fdsup://directions/FAT Viewer?action=UPDATE&amp;creator=factset&amp;DYN_ARGS=TRUE&amp;DOC_NAME=FAT:FQL_AUDITING_CLIENT_TEMPLATE.FAT&amp;display_string=Audit&amp;VAR:KEY=XUHQRANIZY&amp;VAR:QUERY=RkZfRUJJVF9JQignQU5OJywzMzMyOCwsLCwnR0JQJyk=&amp;WINDOW=FIRST_POPUP&amp;HEIGHT=450&amp;WIDTH=450&amp;","START_MAXIMIZED=FALSE&amp;VAR:CALENDAR=FIVEDAY&amp;VAR:SYMBOL=092210&amp;VAR:INDEX=0"}</definedName>
    <definedName name="_95__FDSAUDITLINK__" hidden="1">{"fdsup://directions/FAT Viewer?action=UPDATE&amp;creator=factset&amp;DYN_ARGS=TRUE&amp;DOC_NAME=FAT:FQL_AUDITING_CLIENT_TEMPLATE.FAT&amp;display_string=Audit&amp;VAR:KEY=GREDINWPCF&amp;VAR:QUERY=RkZfRUJJVF9PUEVSKENBTCwyMDA5KQ==&amp;WINDOW=FIRST_POPUP&amp;HEIGHT=450&amp;WIDTH=450&amp;START_MAXIMI","ZED=FALSE&amp;VAR:CALENDAR=US&amp;VAR:SYMBOL=USCR&amp;VAR:INDEX=0"}</definedName>
    <definedName name="_95__FDSAUDITLINK___1" localSheetId="8" hidden="1">{"fdsup://directions/FAT Viewer?action=UPDATE&amp;creator=factset&amp;DYN_ARGS=TRUE&amp;DOC_NAME=FAT:FQL_AUDITING_CLIENT_TEMPLATE.FAT&amp;display_string=Audit&amp;VAR:KEY=XUHQRANIZY&amp;VAR:QUERY=RkZfRUJJVF9JQignQU5OJywzMzMyOCwsLCwnR0JQJyk=&amp;WINDOW=FIRST_POPUP&amp;HEIGHT=450&amp;WIDTH=450&amp;","START_MAXIMIZED=FALSE&amp;VAR:CALENDAR=FIVEDAY&amp;VAR:SYMBOL=092210&amp;VAR:INDEX=0"}</definedName>
    <definedName name="_95__FDSAUDITLINK___1" hidden="1">{"fdsup://directions/FAT Viewer?action=UPDATE&amp;creator=factset&amp;DYN_ARGS=TRUE&amp;DOC_NAME=FAT:FQL_AUDITING_CLIENT_TEMPLATE.FAT&amp;display_string=Audit&amp;VAR:KEY=XUHQRANIZY&amp;VAR:QUERY=RkZfRUJJVF9JQignQU5OJywzMzMyOCwsLCwnR0JQJyk=&amp;WINDOW=FIRST_POPUP&amp;HEIGHT=450&amp;WIDTH=450&amp;","START_MAXIMIZED=FALSE&amp;VAR:CALENDAR=FIVEDAY&amp;VAR:SYMBOL=092210&amp;VAR:INDEX=0"}</definedName>
    <definedName name="_950__FDSAUDITLINK__" localSheetId="8" hidden="1">{"fdsup://IBCentral/FAT Viewer?action=UPDATE&amp;creator=factset&amp;DOC_NAME=fat:reuters_qtrly_source_window.fat&amp;display_string=Audit&amp;DYN_ARGS=TRUE&amp;VAR:ID1=221353&amp;VAR:RCODE=LMIN&amp;VAR:SDATE=20060699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950__FDSAUDITLINK__" hidden="1">{"fdsup://IBCentral/FAT Viewer?action=UPDATE&amp;creator=factset&amp;DOC_NAME=fat:reuters_qtrly_source_window.fat&amp;display_string=Audit&amp;DYN_ARGS=TRUE&amp;VAR:ID1=221353&amp;VAR:RCODE=LMIN&amp;VAR:SDATE=20060699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951__FDSAUDITLINK__" localSheetId="8" hidden="1">{"fdsup://IBCentral/FAT Viewer?action=UPDATE&amp;creator=factset&amp;DOC_NAME=fat:reuters_qtrly_source_window.fat&amp;display_string=Audit&amp;DYN_ARGS=TRUE&amp;VAR:ID1=221353&amp;VAR:RCODE=STLD&amp;VAR:SDATE=20060699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951__FDSAUDITLINK__" hidden="1">{"fdsup://IBCentral/FAT Viewer?action=UPDATE&amp;creator=factset&amp;DOC_NAME=fat:reuters_qtrly_source_window.fat&amp;display_string=Audit&amp;DYN_ARGS=TRUE&amp;VAR:ID1=221353&amp;VAR:RCODE=STLD&amp;VAR:SDATE=20060699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952__FDSAUDITLINK__" localSheetId="8" hidden="1">{"fdsup://IBCentral/FAT Viewer?action=UPDATE&amp;creator=factset&amp;DOC_NAME=fat:reuters_qtrly_source_window.fat&amp;display_string=Audit&amp;DYN_ARGS=TRUE&amp;VAR:ID1=221353&amp;VAR:RCODE=SCSI&amp;VAR:SDATE=20060699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952__FDSAUDITLINK__" hidden="1">{"fdsup://IBCentral/FAT Viewer?action=UPDATE&amp;creator=factset&amp;DOC_NAME=fat:reuters_qtrly_source_window.fat&amp;display_string=Audit&amp;DYN_ARGS=TRUE&amp;VAR:ID1=221353&amp;VAR:RCODE=SCSI&amp;VAR:SDATE=20060699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953__FDSAUDITLINK__" localSheetId="8" hidden="1">{"fdsup://IBCentral/FAT Viewer?action=UPDATE&amp;creator=factset&amp;DOC_NAME=fat:reuters_annual_source_window.fat&amp;display_string=Audit&amp;DYN_ARGS=TRUE&amp;VAR:ID1=221353&amp;VAR:RCODE=FDSPFDSTKTOTAL&amp;VAR:SDATE=20051299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953__FDSAUDITLINK__" hidden="1">{"fdsup://IBCentral/FAT Viewer?action=UPDATE&amp;creator=factset&amp;DOC_NAME=fat:reuters_annual_source_window.fat&amp;display_string=Audit&amp;DYN_ARGS=TRUE&amp;VAR:ID1=221353&amp;VAR:RCODE=FDSPFDSTKTOTAL&amp;VAR:SDATE=20051299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954__FDSAUDITLINK__" localSheetId="8" hidden="1">{"fdsup://Directions/FactSet Auditing Viewer?action=AUDIT_VALUE&amp;DB=129&amp;ID1=B61G9L&amp;VALUEID=01001&amp;SDATE=2009&amp;PERIODTYPE=ANN_STD&amp;SCFT=3&amp;window=popup_no_bar&amp;width=385&amp;height=120&amp;START_MAXIMIZED=FALSE&amp;creator=factset&amp;display_string=Audit"}</definedName>
    <definedName name="_954__FDSAUDITLINK__" hidden="1">{"fdsup://Directions/FactSet Auditing Viewer?action=AUDIT_VALUE&amp;DB=129&amp;ID1=B61G9L&amp;VALUEID=01001&amp;SDATE=2009&amp;PERIODTYPE=ANN_STD&amp;SCFT=3&amp;window=popup_no_bar&amp;width=385&amp;height=120&amp;START_MAXIMIZED=FALSE&amp;creator=factset&amp;display_string=Audit"}</definedName>
    <definedName name="_954__FDSAUDITLINK___1" localSheetId="8" hidden="1">{"fdsup://Directions/FactSet Auditing Viewer?action=AUDIT_VALUE&amp;DB=129&amp;ID1=B61G9L&amp;VALUEID=01001&amp;SDATE=2009&amp;PERIODTYPE=ANN_STD&amp;SCFT=3&amp;window=popup_no_bar&amp;width=385&amp;height=120&amp;START_MAXIMIZED=FALSE&amp;creator=factset&amp;display_string=Audit"}</definedName>
    <definedName name="_954__FDSAUDITLINK___1" hidden="1">{"fdsup://Directions/FactSet Auditing Viewer?action=AUDIT_VALUE&amp;DB=129&amp;ID1=B61G9L&amp;VALUEID=01001&amp;SDATE=2009&amp;PERIODTYPE=ANN_STD&amp;SCFT=3&amp;window=popup_no_bar&amp;width=385&amp;height=120&amp;START_MAXIMIZED=FALSE&amp;creator=factset&amp;display_string=Audit"}</definedName>
    <definedName name="_955__FDSAUDITLINK__" localSheetId="8" hidden="1">{"fdsup://directions/FAT Viewer?action=UPDATE&amp;creator=factset&amp;DYN_ARGS=TRUE&amp;DOC_NAME=FAT:FQL_AUDITING_CLIENT_TEMPLATE.FAT&amp;display_string=Audit&amp;VAR:KEY=HIJIRQFMLC&amp;VAR:QUERY=RkZfRUJJVERBX09QRVIoQU5OLDIwMDgp&amp;WINDOW=FIRST_POPUP&amp;HEIGHT=450&amp;WIDTH=450&amp;START_MAXIMI","ZED=FALSE&amp;VAR:CALENDAR=FIVEDAY&amp;VAR:SYMBOL=B61G9L&amp;VAR:INDEX=0"}</definedName>
    <definedName name="_955__FDSAUDITLINK__" hidden="1">{"fdsup://directions/FAT Viewer?action=UPDATE&amp;creator=factset&amp;DYN_ARGS=TRUE&amp;DOC_NAME=FAT:FQL_AUDITING_CLIENT_TEMPLATE.FAT&amp;display_string=Audit&amp;VAR:KEY=HIJIRQFMLC&amp;VAR:QUERY=RkZfRUJJVERBX09QRVIoQU5OLDIwMDgp&amp;WINDOW=FIRST_POPUP&amp;HEIGHT=450&amp;WIDTH=450&amp;START_MAXIMI","ZED=FALSE&amp;VAR:CALENDAR=FIVEDAY&amp;VAR:SYMBOL=B61G9L&amp;VAR:INDEX=0"}</definedName>
    <definedName name="_955__FDSAUDITLINK___1" localSheetId="8" hidden="1">{"fdsup://directions/FAT Viewer?action=UPDATE&amp;creator=factset&amp;DYN_ARGS=TRUE&amp;DOC_NAME=FAT:FQL_AUDITING_CLIENT_TEMPLATE.FAT&amp;display_string=Audit&amp;VAR:KEY=HIJIRQFMLC&amp;VAR:QUERY=RkZfRUJJVERBX09QRVIoQU5OLDIwMDgp&amp;WINDOW=FIRST_POPUP&amp;HEIGHT=450&amp;WIDTH=450&amp;START_MAXIMI","ZED=FALSE&amp;VAR:CALENDAR=FIVEDAY&amp;VAR:SYMBOL=B61G9L&amp;VAR:INDEX=0"}</definedName>
    <definedName name="_955__FDSAUDITLINK___1" hidden="1">{"fdsup://directions/FAT Viewer?action=UPDATE&amp;creator=factset&amp;DYN_ARGS=TRUE&amp;DOC_NAME=FAT:FQL_AUDITING_CLIENT_TEMPLATE.FAT&amp;display_string=Audit&amp;VAR:KEY=HIJIRQFMLC&amp;VAR:QUERY=RkZfRUJJVERBX09QRVIoQU5OLDIwMDgp&amp;WINDOW=FIRST_POPUP&amp;HEIGHT=450&amp;WIDTH=450&amp;START_MAXIMI","ZED=FALSE&amp;VAR:CALENDAR=FIVEDAY&amp;VAR:SYMBOL=B61G9L&amp;VAR:INDEX=0"}</definedName>
    <definedName name="_956__FDSAUDITLINK__" localSheetId="8" hidden="1">{"fdsup://directions/FAT Viewer?action=UPDATE&amp;creator=factset&amp;DYN_ARGS=TRUE&amp;DOC_NAME=FAT:FQL_AUDITING_CLIENT_TEMPLATE.FAT&amp;display_string=Audit&amp;VAR:KEY=ZIVWXOZUBG&amp;VAR:QUERY=RkZfRUJJVERBX09QRVIoQU5OLDIwMTAp&amp;WINDOW=FIRST_POPUP&amp;HEIGHT=450&amp;WIDTH=450&amp;START_MAXIMI","ZED=FALSE&amp;VAR:CALENDAR=FIVEDAY&amp;VAR:SYMBOL=B61G9L&amp;VAR:INDEX=0"}</definedName>
    <definedName name="_956__FDSAUDITLINK__" hidden="1">{"fdsup://directions/FAT Viewer?action=UPDATE&amp;creator=factset&amp;DYN_ARGS=TRUE&amp;DOC_NAME=FAT:FQL_AUDITING_CLIENT_TEMPLATE.FAT&amp;display_string=Audit&amp;VAR:KEY=ZIVWXOZUBG&amp;VAR:QUERY=RkZfRUJJVERBX09QRVIoQU5OLDIwMTAp&amp;WINDOW=FIRST_POPUP&amp;HEIGHT=450&amp;WIDTH=450&amp;START_MAXIMI","ZED=FALSE&amp;VAR:CALENDAR=FIVEDAY&amp;VAR:SYMBOL=B61G9L&amp;VAR:INDEX=0"}</definedName>
    <definedName name="_956__FDSAUDITLINK___1" localSheetId="8" hidden="1">{"fdsup://directions/FAT Viewer?action=UPDATE&amp;creator=factset&amp;DYN_ARGS=TRUE&amp;DOC_NAME=FAT:FQL_AUDITING_CLIENT_TEMPLATE.FAT&amp;display_string=Audit&amp;VAR:KEY=ZIVWXOZUBG&amp;VAR:QUERY=RkZfRUJJVERBX09QRVIoQU5OLDIwMTAp&amp;WINDOW=FIRST_POPUP&amp;HEIGHT=450&amp;WIDTH=450&amp;START_MAXIMI","ZED=FALSE&amp;VAR:CALENDAR=FIVEDAY&amp;VAR:SYMBOL=B61G9L&amp;VAR:INDEX=0"}</definedName>
    <definedName name="_956__FDSAUDITLINK___1" hidden="1">{"fdsup://directions/FAT Viewer?action=UPDATE&amp;creator=factset&amp;DYN_ARGS=TRUE&amp;DOC_NAME=FAT:FQL_AUDITING_CLIENT_TEMPLATE.FAT&amp;display_string=Audit&amp;VAR:KEY=ZIVWXOZUBG&amp;VAR:QUERY=RkZfRUJJVERBX09QRVIoQU5OLDIwMTAp&amp;WINDOW=FIRST_POPUP&amp;HEIGHT=450&amp;WIDTH=450&amp;START_MAXIMI","ZED=FALSE&amp;VAR:CALENDAR=FIVEDAY&amp;VAR:SYMBOL=B61G9L&amp;VAR:INDEX=0"}</definedName>
    <definedName name="_957__FDSAUDITLINK__" localSheetId="8" hidden="1">{"fdsup://directions/FAT Viewer?action=UPDATE&amp;creator=factset&amp;DYN_ARGS=TRUE&amp;DOC_NAME=FAT:FQL_AUDITING_CLIENT_TEMPLATE.FAT&amp;display_string=Audit&amp;VAR:KEY=PEFSDABCPK&amp;VAR:QUERY=RkZfRUJJVF9PUEVSKEFOTiwyMDA5KQ==&amp;WINDOW=FIRST_POPUP&amp;HEIGHT=450&amp;WIDTH=450&amp;START_MAXIMI","ZED=FALSE&amp;VAR:CALENDAR=FIVEDAY&amp;VAR:SYMBOL=B61G9L&amp;VAR:INDEX=0"}</definedName>
    <definedName name="_957__FDSAUDITLINK__" hidden="1">{"fdsup://directions/FAT Viewer?action=UPDATE&amp;creator=factset&amp;DYN_ARGS=TRUE&amp;DOC_NAME=FAT:FQL_AUDITING_CLIENT_TEMPLATE.FAT&amp;display_string=Audit&amp;VAR:KEY=PEFSDABCPK&amp;VAR:QUERY=RkZfRUJJVF9PUEVSKEFOTiwyMDA5KQ==&amp;WINDOW=FIRST_POPUP&amp;HEIGHT=450&amp;WIDTH=450&amp;START_MAXIMI","ZED=FALSE&amp;VAR:CALENDAR=FIVEDAY&amp;VAR:SYMBOL=B61G9L&amp;VAR:INDEX=0"}</definedName>
    <definedName name="_957__FDSAUDITLINK___1" localSheetId="8" hidden="1">{"fdsup://directions/FAT Viewer?action=UPDATE&amp;creator=factset&amp;DYN_ARGS=TRUE&amp;DOC_NAME=FAT:FQL_AUDITING_CLIENT_TEMPLATE.FAT&amp;display_string=Audit&amp;VAR:KEY=PEFSDABCPK&amp;VAR:QUERY=RkZfRUJJVF9PUEVSKEFOTiwyMDA5KQ==&amp;WINDOW=FIRST_POPUP&amp;HEIGHT=450&amp;WIDTH=450&amp;START_MAXIMI","ZED=FALSE&amp;VAR:CALENDAR=FIVEDAY&amp;VAR:SYMBOL=B61G9L&amp;VAR:INDEX=0"}</definedName>
    <definedName name="_957__FDSAUDITLINK___1" hidden="1">{"fdsup://directions/FAT Viewer?action=UPDATE&amp;creator=factset&amp;DYN_ARGS=TRUE&amp;DOC_NAME=FAT:FQL_AUDITING_CLIENT_TEMPLATE.FAT&amp;display_string=Audit&amp;VAR:KEY=PEFSDABCPK&amp;VAR:QUERY=RkZfRUJJVF9PUEVSKEFOTiwyMDA5KQ==&amp;WINDOW=FIRST_POPUP&amp;HEIGHT=450&amp;WIDTH=450&amp;START_MAXIMI","ZED=FALSE&amp;VAR:CALENDAR=FIVEDAY&amp;VAR:SYMBOL=B61G9L&amp;VAR:INDEX=0"}</definedName>
    <definedName name="_958__FDSAUDITLINK__" localSheetId="8" hidden="1">{"fdsup://directions/FAT Viewer?action=UPDATE&amp;creator=factset&amp;DYN_ARGS=TRUE&amp;DOC_NAME=FAT:FQL_AUDITING_CLIENT_TEMPLATE.FAT&amp;display_string=Audit&amp;VAR:KEY=ETQDMXUTCX&amp;VAR:QUERY=RkZfRUJJVF9PUEVSKEFOTiwyMDEwKQ==&amp;WINDOW=FIRST_POPUP&amp;HEIGHT=450&amp;WIDTH=450&amp;START_MAXIMI","ZED=FALSE&amp;VAR:CALENDAR=FIVEDAY&amp;VAR:SYMBOL=B61G9L&amp;VAR:INDEX=0"}</definedName>
    <definedName name="_958__FDSAUDITLINK__" hidden="1">{"fdsup://directions/FAT Viewer?action=UPDATE&amp;creator=factset&amp;DYN_ARGS=TRUE&amp;DOC_NAME=FAT:FQL_AUDITING_CLIENT_TEMPLATE.FAT&amp;display_string=Audit&amp;VAR:KEY=ETQDMXUTCX&amp;VAR:QUERY=RkZfRUJJVF9PUEVSKEFOTiwyMDEwKQ==&amp;WINDOW=FIRST_POPUP&amp;HEIGHT=450&amp;WIDTH=450&amp;START_MAXIMI","ZED=FALSE&amp;VAR:CALENDAR=FIVEDAY&amp;VAR:SYMBOL=B61G9L&amp;VAR:INDEX=0"}</definedName>
    <definedName name="_958__FDSAUDITLINK___1" localSheetId="8" hidden="1">{"fdsup://directions/FAT Viewer?action=UPDATE&amp;creator=factset&amp;DYN_ARGS=TRUE&amp;DOC_NAME=FAT:FQL_AUDITING_CLIENT_TEMPLATE.FAT&amp;display_string=Audit&amp;VAR:KEY=ETQDMXUTCX&amp;VAR:QUERY=RkZfRUJJVF9PUEVSKEFOTiwyMDEwKQ==&amp;WINDOW=FIRST_POPUP&amp;HEIGHT=450&amp;WIDTH=450&amp;START_MAXIMI","ZED=FALSE&amp;VAR:CALENDAR=FIVEDAY&amp;VAR:SYMBOL=B61G9L&amp;VAR:INDEX=0"}</definedName>
    <definedName name="_958__FDSAUDITLINK___1" hidden="1">{"fdsup://directions/FAT Viewer?action=UPDATE&amp;creator=factset&amp;DYN_ARGS=TRUE&amp;DOC_NAME=FAT:FQL_AUDITING_CLIENT_TEMPLATE.FAT&amp;display_string=Audit&amp;VAR:KEY=ETQDMXUTCX&amp;VAR:QUERY=RkZfRUJJVF9PUEVSKEFOTiwyMDEwKQ==&amp;WINDOW=FIRST_POPUP&amp;HEIGHT=450&amp;WIDTH=450&amp;START_MAXIMI","ZED=FALSE&amp;VAR:CALENDAR=FIVEDAY&amp;VAR:SYMBOL=B61G9L&amp;VAR:INDEX=0"}</definedName>
    <definedName name="_959__FDSAUDITLINK__" localSheetId="8" hidden="1">{"fdsup://directions/FAT Viewer?action=UPDATE&amp;creator=factset&amp;DYN_ARGS=TRUE&amp;DOC_NAME=FAT:FQL_AUDITING_CLIENT_TEMPLATE.FAT&amp;display_string=Audit&amp;VAR:KEY=XSDGTANQPC&amp;VAR:QUERY=RkZfQ0FQRVgoQU5OLDIwMDgp&amp;WINDOW=FIRST_POPUP&amp;HEIGHT=450&amp;WIDTH=450&amp;START_MAXIMIZED=FALS","E&amp;VAR:CALENDAR=FIVEDAY&amp;VAR:SYMBOL=B61G9L&amp;VAR:INDEX=0"}</definedName>
    <definedName name="_959__FDSAUDITLINK__" hidden="1">{"fdsup://directions/FAT Viewer?action=UPDATE&amp;creator=factset&amp;DYN_ARGS=TRUE&amp;DOC_NAME=FAT:FQL_AUDITING_CLIENT_TEMPLATE.FAT&amp;display_string=Audit&amp;VAR:KEY=XSDGTANQPC&amp;VAR:QUERY=RkZfQ0FQRVgoQU5OLDIwMDgp&amp;WINDOW=FIRST_POPUP&amp;HEIGHT=450&amp;WIDTH=450&amp;START_MAXIMIZED=FALS","E&amp;VAR:CALENDAR=FIVEDAY&amp;VAR:SYMBOL=B61G9L&amp;VAR:INDEX=0"}</definedName>
    <definedName name="_959__FDSAUDITLINK___1" localSheetId="8" hidden="1">{"fdsup://directions/FAT Viewer?action=UPDATE&amp;creator=factset&amp;DYN_ARGS=TRUE&amp;DOC_NAME=FAT:FQL_AUDITING_CLIENT_TEMPLATE.FAT&amp;display_string=Audit&amp;VAR:KEY=XSDGTANQPC&amp;VAR:QUERY=RkZfQ0FQRVgoQU5OLDIwMDgp&amp;WINDOW=FIRST_POPUP&amp;HEIGHT=450&amp;WIDTH=450&amp;START_MAXIMIZED=FALS","E&amp;VAR:CALENDAR=FIVEDAY&amp;VAR:SYMBOL=B61G9L&amp;VAR:INDEX=0"}</definedName>
    <definedName name="_959__FDSAUDITLINK___1" hidden="1">{"fdsup://directions/FAT Viewer?action=UPDATE&amp;creator=factset&amp;DYN_ARGS=TRUE&amp;DOC_NAME=FAT:FQL_AUDITING_CLIENT_TEMPLATE.FAT&amp;display_string=Audit&amp;VAR:KEY=XSDGTANQPC&amp;VAR:QUERY=RkZfQ0FQRVgoQU5OLDIwMDgp&amp;WINDOW=FIRST_POPUP&amp;HEIGHT=450&amp;WIDTH=450&amp;START_MAXIMIZED=FALS","E&amp;VAR:CALENDAR=FIVEDAY&amp;VAR:SYMBOL=B61G9L&amp;VAR:INDEX=0"}</definedName>
    <definedName name="_96__123Graph_DCHART_3" hidden="1">#REF!</definedName>
    <definedName name="_96__123Graph_FCHART_6" localSheetId="8" hidden="1">#REF!</definedName>
    <definedName name="_96__123Graph_FCHART_6" hidden="1">#REF!</definedName>
    <definedName name="_96__123Graph_LBL_DCHART_2" hidden="1">#REF!</definedName>
    <definedName name="_96__123Graph_XCHART_2" hidden="1">#REF!</definedName>
    <definedName name="_96__FDSAUDITLINK__" localSheetId="8" hidden="1">{"fdsup://directions/FAT Viewer?action=UPDATE&amp;creator=factset&amp;DYN_ARGS=TRUE&amp;DOC_NAME=FAT:FQL_AUDITING_CLIENT_TEMPLATE.FAT&amp;display_string=Audit&amp;VAR:KEY=ROXKDCTUVM&amp;VAR:QUERY=RkZfRUJJVF9JQignQU5OJywzMjk2MywsLCwnR0JQJyk=&amp;WINDOW=FIRST_POPUP&amp;HEIGHT=450&amp;WIDTH=450&amp;","START_MAXIMIZED=FALSE&amp;VAR:CALENDAR=FIVEDAY&amp;VAR:SYMBOL=092210&amp;VAR:INDEX=0"}</definedName>
    <definedName name="_96__FDSAUDITLINK__" hidden="1">{"fdsup://directions/FAT Viewer?action=UPDATE&amp;creator=factset&amp;DYN_ARGS=TRUE&amp;DOC_NAME=FAT:FQL_AUDITING_CLIENT_TEMPLATE.FAT&amp;display_string=Audit&amp;VAR:KEY=IVIPYRQPQV&amp;VAR:QUERY=RkZfRUJJVF9PUEVSKENBTCwyMDA5KQ==&amp;WINDOW=FIRST_POPUP&amp;HEIGHT=450&amp;WIDTH=450&amp;START_MAXIMI","ZED=FALSE&amp;VAR:CALENDAR=US&amp;VAR:SYMBOL=MLM&amp;VAR:INDEX=0"}</definedName>
    <definedName name="_96__FDSAUDITLINK___1" localSheetId="8" hidden="1">{"fdsup://directions/FAT Viewer?action=UPDATE&amp;creator=factset&amp;DYN_ARGS=TRUE&amp;DOC_NAME=FAT:FQL_AUDITING_CLIENT_TEMPLATE.FAT&amp;display_string=Audit&amp;VAR:KEY=ROXKDCTUVM&amp;VAR:QUERY=RkZfRUJJVF9JQignQU5OJywzMjk2MywsLCwnR0JQJyk=&amp;WINDOW=FIRST_POPUP&amp;HEIGHT=450&amp;WIDTH=450&amp;","START_MAXIMIZED=FALSE&amp;VAR:CALENDAR=FIVEDAY&amp;VAR:SYMBOL=092210&amp;VAR:INDEX=0"}</definedName>
    <definedName name="_96__FDSAUDITLINK___1" hidden="1">{"fdsup://directions/FAT Viewer?action=UPDATE&amp;creator=factset&amp;DYN_ARGS=TRUE&amp;DOC_NAME=FAT:FQL_AUDITING_CLIENT_TEMPLATE.FAT&amp;display_string=Audit&amp;VAR:KEY=ROXKDCTUVM&amp;VAR:QUERY=RkZfRUJJVF9JQignQU5OJywzMjk2MywsLCwnR0JQJyk=&amp;WINDOW=FIRST_POPUP&amp;HEIGHT=450&amp;WIDTH=450&amp;","START_MAXIMIZED=FALSE&amp;VAR:CALENDAR=FIVEDAY&amp;VAR:SYMBOL=092210&amp;VAR:INDEX=0"}</definedName>
    <definedName name="_960__FDSAUDITLINK__" localSheetId="8" hidden="1">{"fdsup://directions/FAT Viewer?action=UPDATE&amp;creator=factset&amp;DYN_ARGS=TRUE&amp;DOC_NAME=FAT:FQL_AUDITING_CLIENT_TEMPLATE.FAT&amp;display_string=Audit&amp;VAR:KEY=NGXSLGXMJA&amp;VAR:QUERY=RkZfQ0FQRVgoQU5OLDIwMTAp&amp;WINDOW=FIRST_POPUP&amp;HEIGHT=450&amp;WIDTH=450&amp;START_MAXIMIZED=FALS","E&amp;VAR:CALENDAR=FIVEDAY&amp;VAR:SYMBOL=B61G9L&amp;VAR:INDEX=0"}</definedName>
    <definedName name="_960__FDSAUDITLINK__" hidden="1">{"fdsup://directions/FAT Viewer?action=UPDATE&amp;creator=factset&amp;DYN_ARGS=TRUE&amp;DOC_NAME=FAT:FQL_AUDITING_CLIENT_TEMPLATE.FAT&amp;display_string=Audit&amp;VAR:KEY=NGXSLGXMJA&amp;VAR:QUERY=RkZfQ0FQRVgoQU5OLDIwMTAp&amp;WINDOW=FIRST_POPUP&amp;HEIGHT=450&amp;WIDTH=450&amp;START_MAXIMIZED=FALS","E&amp;VAR:CALENDAR=FIVEDAY&amp;VAR:SYMBOL=B61G9L&amp;VAR:INDEX=0"}</definedName>
    <definedName name="_960__FDSAUDITLINK___1" localSheetId="8" hidden="1">{"fdsup://directions/FAT Viewer?action=UPDATE&amp;creator=factset&amp;DYN_ARGS=TRUE&amp;DOC_NAME=FAT:FQL_AUDITING_CLIENT_TEMPLATE.FAT&amp;display_string=Audit&amp;VAR:KEY=NGXSLGXMJA&amp;VAR:QUERY=RkZfQ0FQRVgoQU5OLDIwMTAp&amp;WINDOW=FIRST_POPUP&amp;HEIGHT=450&amp;WIDTH=450&amp;START_MAXIMIZED=FALS","E&amp;VAR:CALENDAR=FIVEDAY&amp;VAR:SYMBOL=B61G9L&amp;VAR:INDEX=0"}</definedName>
    <definedName name="_960__FDSAUDITLINK___1" hidden="1">{"fdsup://directions/FAT Viewer?action=UPDATE&amp;creator=factset&amp;DYN_ARGS=TRUE&amp;DOC_NAME=FAT:FQL_AUDITING_CLIENT_TEMPLATE.FAT&amp;display_string=Audit&amp;VAR:KEY=NGXSLGXMJA&amp;VAR:QUERY=RkZfQ0FQRVgoQU5OLDIwMTAp&amp;WINDOW=FIRST_POPUP&amp;HEIGHT=450&amp;WIDTH=450&amp;START_MAXIMIZED=FALS","E&amp;VAR:CALENDAR=FIVEDAY&amp;VAR:SYMBOL=B61G9L&amp;VAR:INDEX=0"}</definedName>
    <definedName name="_961__FDSAUDITLINK__" localSheetId="8" hidden="1">{"fdsup://directions/FAT Viewer?action=UPDATE&amp;creator=factset&amp;DYN_ARGS=TRUE&amp;DOC_NAME=FAT:FQL_AUDITING_CLIENT_TEMPLATE.FAT&amp;display_string=Audit&amp;VAR:KEY=SZYPAVSHYN&amp;VAR:QUERY=RkZfTkVUX0lOQyhBTk4sMjAwOSk=&amp;WINDOW=FIRST_POPUP&amp;HEIGHT=450&amp;WIDTH=450&amp;START_MAXIMIZED=","FALSE&amp;VAR:CALENDAR=FIVEDAY&amp;VAR:SYMBOL=B61G9L&amp;VAR:INDEX=0"}</definedName>
    <definedName name="_961__FDSAUDITLINK__" hidden="1">{"fdsup://directions/FAT Viewer?action=UPDATE&amp;creator=factset&amp;DYN_ARGS=TRUE&amp;DOC_NAME=FAT:FQL_AUDITING_CLIENT_TEMPLATE.FAT&amp;display_string=Audit&amp;VAR:KEY=SZYPAVSHYN&amp;VAR:QUERY=RkZfTkVUX0lOQyhBTk4sMjAwOSk=&amp;WINDOW=FIRST_POPUP&amp;HEIGHT=450&amp;WIDTH=450&amp;START_MAXIMIZED=","FALSE&amp;VAR:CALENDAR=FIVEDAY&amp;VAR:SYMBOL=B61G9L&amp;VAR:INDEX=0"}</definedName>
    <definedName name="_961__FDSAUDITLINK___1" localSheetId="8" hidden="1">{"fdsup://directions/FAT Viewer?action=UPDATE&amp;creator=factset&amp;DYN_ARGS=TRUE&amp;DOC_NAME=FAT:FQL_AUDITING_CLIENT_TEMPLATE.FAT&amp;display_string=Audit&amp;VAR:KEY=SZYPAVSHYN&amp;VAR:QUERY=RkZfTkVUX0lOQyhBTk4sMjAwOSk=&amp;WINDOW=FIRST_POPUP&amp;HEIGHT=450&amp;WIDTH=450&amp;START_MAXIMIZED=","FALSE&amp;VAR:CALENDAR=FIVEDAY&amp;VAR:SYMBOL=B61G9L&amp;VAR:INDEX=0"}</definedName>
    <definedName name="_961__FDSAUDITLINK___1" hidden="1">{"fdsup://directions/FAT Viewer?action=UPDATE&amp;creator=factset&amp;DYN_ARGS=TRUE&amp;DOC_NAME=FAT:FQL_AUDITING_CLIENT_TEMPLATE.FAT&amp;display_string=Audit&amp;VAR:KEY=SZYPAVSHYN&amp;VAR:QUERY=RkZfTkVUX0lOQyhBTk4sMjAwOSk=&amp;WINDOW=FIRST_POPUP&amp;HEIGHT=450&amp;WIDTH=450&amp;START_MAXIMIZED=","FALSE&amp;VAR:CALENDAR=FIVEDAY&amp;VAR:SYMBOL=B61G9L&amp;VAR:INDEX=0"}</definedName>
    <definedName name="_962__FDSAUDITLINK__" localSheetId="8" hidden="1">{"fdsup://directions/FAT Viewer?action=UPDATE&amp;creator=factset&amp;DYN_ARGS=TRUE&amp;DOC_NAME=FAT:FQL_AUDITING_CLIENT_TEMPLATE.FAT&amp;display_string=Audit&amp;VAR:KEY=AVWFMXYJCR&amp;VAR:QUERY=RkZfTkVUX0lOQyhBTk4sMjAxMSk=&amp;WINDOW=FIRST_POPUP&amp;HEIGHT=450&amp;WIDTH=450&amp;START_MAXIMIZED=","FALSE&amp;VAR:CALENDAR=FIVEDAY&amp;VAR:SYMBOL=B61G9L&amp;VAR:INDEX=0"}</definedName>
    <definedName name="_962__FDSAUDITLINK__" hidden="1">{"fdsup://directions/FAT Viewer?action=UPDATE&amp;creator=factset&amp;DYN_ARGS=TRUE&amp;DOC_NAME=FAT:FQL_AUDITING_CLIENT_TEMPLATE.FAT&amp;display_string=Audit&amp;VAR:KEY=AVWFMXYJCR&amp;VAR:QUERY=RkZfTkVUX0lOQyhBTk4sMjAxMSk=&amp;WINDOW=FIRST_POPUP&amp;HEIGHT=450&amp;WIDTH=450&amp;START_MAXIMIZED=","FALSE&amp;VAR:CALENDAR=FIVEDAY&amp;VAR:SYMBOL=B61G9L&amp;VAR:INDEX=0"}</definedName>
    <definedName name="_962__FDSAUDITLINK___1" localSheetId="8" hidden="1">{"fdsup://directions/FAT Viewer?action=UPDATE&amp;creator=factset&amp;DYN_ARGS=TRUE&amp;DOC_NAME=FAT:FQL_AUDITING_CLIENT_TEMPLATE.FAT&amp;display_string=Audit&amp;VAR:KEY=AVWFMXYJCR&amp;VAR:QUERY=RkZfTkVUX0lOQyhBTk4sMjAxMSk=&amp;WINDOW=FIRST_POPUP&amp;HEIGHT=450&amp;WIDTH=450&amp;START_MAXIMIZED=","FALSE&amp;VAR:CALENDAR=FIVEDAY&amp;VAR:SYMBOL=B61G9L&amp;VAR:INDEX=0"}</definedName>
    <definedName name="_962__FDSAUDITLINK___1" hidden="1">{"fdsup://directions/FAT Viewer?action=UPDATE&amp;creator=factset&amp;DYN_ARGS=TRUE&amp;DOC_NAME=FAT:FQL_AUDITING_CLIENT_TEMPLATE.FAT&amp;display_string=Audit&amp;VAR:KEY=AVWFMXYJCR&amp;VAR:QUERY=RkZfTkVUX0lOQyhBTk4sMjAxMSk=&amp;WINDOW=FIRST_POPUP&amp;HEIGHT=450&amp;WIDTH=450&amp;START_MAXIMIZED=","FALSE&amp;VAR:CALENDAR=FIVEDAY&amp;VAR:SYMBOL=B61G9L&amp;VAR:INDEX=0"}</definedName>
    <definedName name="_963__FDSAUDITLINK__" localSheetId="8" hidden="1">{"fdsup://directions/FAT Viewer?action=UPDATE&amp;creator=factset&amp;DYN_ARGS=TRUE&amp;DOC_NAME=FAT:FQL_AUDITING_CLIENT_TEMPLATE.FAT&amp;display_string=Audit&amp;VAR:KEY=BCTCNIFCJG&amp;VAR:QUERY=RkZfRU5UUlBSX1ZBTF9EQUlMWSgwLCwsLCwnRElMJyk=&amp;WINDOW=FIRST_POPUP&amp;HEIGHT=450&amp;WIDTH=450&amp;","START_MAXIMIZED=FALSE&amp;VAR:CALENDAR=FIVEDAY&amp;VAR:SYMBOL=B61G9L&amp;VAR:INDEX=0"}</definedName>
    <definedName name="_963__FDSAUDITLINK__" hidden="1">{"fdsup://directions/FAT Viewer?action=UPDATE&amp;creator=factset&amp;DYN_ARGS=TRUE&amp;DOC_NAME=FAT:FQL_AUDITING_CLIENT_TEMPLATE.FAT&amp;display_string=Audit&amp;VAR:KEY=BCTCNIFCJG&amp;VAR:QUERY=RkZfRU5UUlBSX1ZBTF9EQUlMWSgwLCwsLCwnRElMJyk=&amp;WINDOW=FIRST_POPUP&amp;HEIGHT=450&amp;WIDTH=450&amp;","START_MAXIMIZED=FALSE&amp;VAR:CALENDAR=FIVEDAY&amp;VAR:SYMBOL=B61G9L&amp;VAR:INDEX=0"}</definedName>
    <definedName name="_963__FDSAUDITLINK___1" localSheetId="8" hidden="1">{"fdsup://directions/FAT Viewer?action=UPDATE&amp;creator=factset&amp;DYN_ARGS=TRUE&amp;DOC_NAME=FAT:FQL_AUDITING_CLIENT_TEMPLATE.FAT&amp;display_string=Audit&amp;VAR:KEY=BCTCNIFCJG&amp;VAR:QUERY=RkZfRU5UUlBSX1ZBTF9EQUlMWSgwLCwsLCwnRElMJyk=&amp;WINDOW=FIRST_POPUP&amp;HEIGHT=450&amp;WIDTH=450&amp;","START_MAXIMIZED=FALSE&amp;VAR:CALENDAR=FIVEDAY&amp;VAR:SYMBOL=B61G9L&amp;VAR:INDEX=0"}</definedName>
    <definedName name="_963__FDSAUDITLINK___1" hidden="1">{"fdsup://directions/FAT Viewer?action=UPDATE&amp;creator=factset&amp;DYN_ARGS=TRUE&amp;DOC_NAME=FAT:FQL_AUDITING_CLIENT_TEMPLATE.FAT&amp;display_string=Audit&amp;VAR:KEY=BCTCNIFCJG&amp;VAR:QUERY=RkZfRU5UUlBSX1ZBTF9EQUlMWSgwLCwsLCwnRElMJyk=&amp;WINDOW=FIRST_POPUP&amp;HEIGHT=450&amp;WIDTH=450&amp;","START_MAXIMIZED=FALSE&amp;VAR:CALENDAR=FIVEDAY&amp;VAR:SYMBOL=B61G9L&amp;VAR:INDEX=0"}</definedName>
    <definedName name="_964__FDSAUDITLINK__" localSheetId="8" hidden="1">{"fdsup://Directions/FactSet Auditing Viewer?action=AUDIT_VALUE&amp;DB=129&amp;ID1=B61G9L&amp;VALUEID=01001&amp;SDATE=2008&amp;PERIODTYPE=ANN_STD&amp;SCFT=3&amp;window=popup_no_bar&amp;width=385&amp;height=120&amp;START_MAXIMIZED=FALSE&amp;creator=factset&amp;display_string=Audit"}</definedName>
    <definedName name="_964__FDSAUDITLINK__" hidden="1">{"fdsup://Directions/FactSet Auditing Viewer?action=AUDIT_VALUE&amp;DB=129&amp;ID1=B61G9L&amp;VALUEID=01001&amp;SDATE=2008&amp;PERIODTYPE=ANN_STD&amp;SCFT=3&amp;window=popup_no_bar&amp;width=385&amp;height=120&amp;START_MAXIMIZED=FALSE&amp;creator=factset&amp;display_string=Audit"}</definedName>
    <definedName name="_964__FDSAUDITLINK___1" localSheetId="8" hidden="1">{"fdsup://Directions/FactSet Auditing Viewer?action=AUDIT_VALUE&amp;DB=129&amp;ID1=B61G9L&amp;VALUEID=01001&amp;SDATE=2008&amp;PERIODTYPE=ANN_STD&amp;SCFT=3&amp;window=popup_no_bar&amp;width=385&amp;height=120&amp;START_MAXIMIZED=FALSE&amp;creator=factset&amp;display_string=Audit"}</definedName>
    <definedName name="_964__FDSAUDITLINK___1" hidden="1">{"fdsup://Directions/FactSet Auditing Viewer?action=AUDIT_VALUE&amp;DB=129&amp;ID1=B61G9L&amp;VALUEID=01001&amp;SDATE=2008&amp;PERIODTYPE=ANN_STD&amp;SCFT=3&amp;window=popup_no_bar&amp;width=385&amp;height=120&amp;START_MAXIMIZED=FALSE&amp;creator=factset&amp;display_string=Audit"}</definedName>
    <definedName name="_965__FDSAUDITLINK__" localSheetId="8" hidden="1">{"fdsup://Directions/FactSet Auditing Viewer?action=AUDIT_VALUE&amp;DB=129&amp;ID1=B61G9L&amp;VALUEID=01001&amp;SDATE=2010&amp;PERIODTYPE=ANN_STD&amp;SCFT=3&amp;window=popup_no_bar&amp;width=385&amp;height=120&amp;START_MAXIMIZED=FALSE&amp;creator=factset&amp;display_string=Audit"}</definedName>
    <definedName name="_965__FDSAUDITLINK__" hidden="1">{"fdsup://Directions/FactSet Auditing Viewer?action=AUDIT_VALUE&amp;DB=129&amp;ID1=B61G9L&amp;VALUEID=01001&amp;SDATE=2010&amp;PERIODTYPE=ANN_STD&amp;SCFT=3&amp;window=popup_no_bar&amp;width=385&amp;height=120&amp;START_MAXIMIZED=FALSE&amp;creator=factset&amp;display_string=Audit"}</definedName>
    <definedName name="_965__FDSAUDITLINK___1" localSheetId="8" hidden="1">{"fdsup://Directions/FactSet Auditing Viewer?action=AUDIT_VALUE&amp;DB=129&amp;ID1=B61G9L&amp;VALUEID=01001&amp;SDATE=2010&amp;PERIODTYPE=ANN_STD&amp;SCFT=3&amp;window=popup_no_bar&amp;width=385&amp;height=120&amp;START_MAXIMIZED=FALSE&amp;creator=factset&amp;display_string=Audit"}</definedName>
    <definedName name="_965__FDSAUDITLINK___1" hidden="1">{"fdsup://Directions/FactSet Auditing Viewer?action=AUDIT_VALUE&amp;DB=129&amp;ID1=B61G9L&amp;VALUEID=01001&amp;SDATE=2010&amp;PERIODTYPE=ANN_STD&amp;SCFT=3&amp;window=popup_no_bar&amp;width=385&amp;height=120&amp;START_MAXIMIZED=FALSE&amp;creator=factset&amp;display_string=Audit"}</definedName>
    <definedName name="_966__FDSAUDITLINK__" localSheetId="8" hidden="1">{"fdsup://directions/FAT Viewer?action=UPDATE&amp;creator=factset&amp;DYN_ARGS=TRUE&amp;DOC_NAME=FAT:FQL_AUDITING_CLIENT_TEMPLATE.FAT&amp;display_string=Audit&amp;VAR:KEY=GVURYHOFCN&amp;VAR:QUERY=RkZfRUJJVERBX09QRVIoQU5OLDIwMDkp&amp;WINDOW=FIRST_POPUP&amp;HEIGHT=450&amp;WIDTH=450&amp;START_MAXIMI","ZED=FALSE&amp;VAR:CALENDAR=FIVEDAY&amp;VAR:SYMBOL=B61G9L&amp;VAR:INDEX=0"}</definedName>
    <definedName name="_966__FDSAUDITLINK__" hidden="1">{"fdsup://directions/FAT Viewer?action=UPDATE&amp;creator=factset&amp;DYN_ARGS=TRUE&amp;DOC_NAME=FAT:FQL_AUDITING_CLIENT_TEMPLATE.FAT&amp;display_string=Audit&amp;VAR:KEY=GVURYHOFCN&amp;VAR:QUERY=RkZfRUJJVERBX09QRVIoQU5OLDIwMDkp&amp;WINDOW=FIRST_POPUP&amp;HEIGHT=450&amp;WIDTH=450&amp;START_MAXIMI","ZED=FALSE&amp;VAR:CALENDAR=FIVEDAY&amp;VAR:SYMBOL=B61G9L&amp;VAR:INDEX=0"}</definedName>
    <definedName name="_966__FDSAUDITLINK___1" localSheetId="8" hidden="1">{"fdsup://directions/FAT Viewer?action=UPDATE&amp;creator=factset&amp;DYN_ARGS=TRUE&amp;DOC_NAME=FAT:FQL_AUDITING_CLIENT_TEMPLATE.FAT&amp;display_string=Audit&amp;VAR:KEY=GVURYHOFCN&amp;VAR:QUERY=RkZfRUJJVERBX09QRVIoQU5OLDIwMDkp&amp;WINDOW=FIRST_POPUP&amp;HEIGHT=450&amp;WIDTH=450&amp;START_MAXIMI","ZED=FALSE&amp;VAR:CALENDAR=FIVEDAY&amp;VAR:SYMBOL=B61G9L&amp;VAR:INDEX=0"}</definedName>
    <definedName name="_966__FDSAUDITLINK___1" hidden="1">{"fdsup://directions/FAT Viewer?action=UPDATE&amp;creator=factset&amp;DYN_ARGS=TRUE&amp;DOC_NAME=FAT:FQL_AUDITING_CLIENT_TEMPLATE.FAT&amp;display_string=Audit&amp;VAR:KEY=GVURYHOFCN&amp;VAR:QUERY=RkZfRUJJVERBX09QRVIoQU5OLDIwMDkp&amp;WINDOW=FIRST_POPUP&amp;HEIGHT=450&amp;WIDTH=450&amp;START_MAXIMI","ZED=FALSE&amp;VAR:CALENDAR=FIVEDAY&amp;VAR:SYMBOL=B61G9L&amp;VAR:INDEX=0"}</definedName>
    <definedName name="_967__FDSAUDITLINK__" localSheetId="8" hidden="1">{"fdsup://directions/FAT Viewer?action=UPDATE&amp;creator=factset&amp;DYN_ARGS=TRUE&amp;DOC_NAME=FAT:FQL_AUDITING_CLIENT_TEMPLATE.FAT&amp;display_string=Audit&amp;VAR:KEY=KPSXWBOPQV&amp;VAR:QUERY=RkZfRUJJVERBX09QRVIoQU5OLDIwMTEp&amp;WINDOW=FIRST_POPUP&amp;HEIGHT=450&amp;WIDTH=450&amp;START_MAXIMI","ZED=FALSE&amp;VAR:CALENDAR=FIVEDAY&amp;VAR:SYMBOL=B61G9L&amp;VAR:INDEX=0"}</definedName>
    <definedName name="_967__FDSAUDITLINK__" hidden="1">{"fdsup://directions/FAT Viewer?action=UPDATE&amp;creator=factset&amp;DYN_ARGS=TRUE&amp;DOC_NAME=FAT:FQL_AUDITING_CLIENT_TEMPLATE.FAT&amp;display_string=Audit&amp;VAR:KEY=KPSXWBOPQV&amp;VAR:QUERY=RkZfRUJJVERBX09QRVIoQU5OLDIwMTEp&amp;WINDOW=FIRST_POPUP&amp;HEIGHT=450&amp;WIDTH=450&amp;START_MAXIMI","ZED=FALSE&amp;VAR:CALENDAR=FIVEDAY&amp;VAR:SYMBOL=B61G9L&amp;VAR:INDEX=0"}</definedName>
    <definedName name="_967__FDSAUDITLINK___1" localSheetId="8" hidden="1">{"fdsup://directions/FAT Viewer?action=UPDATE&amp;creator=factset&amp;DYN_ARGS=TRUE&amp;DOC_NAME=FAT:FQL_AUDITING_CLIENT_TEMPLATE.FAT&amp;display_string=Audit&amp;VAR:KEY=KPSXWBOPQV&amp;VAR:QUERY=RkZfRUJJVERBX09QRVIoQU5OLDIwMTEp&amp;WINDOW=FIRST_POPUP&amp;HEIGHT=450&amp;WIDTH=450&amp;START_MAXIMI","ZED=FALSE&amp;VAR:CALENDAR=FIVEDAY&amp;VAR:SYMBOL=B61G9L&amp;VAR:INDEX=0"}</definedName>
    <definedName name="_967__FDSAUDITLINK___1" hidden="1">{"fdsup://directions/FAT Viewer?action=UPDATE&amp;creator=factset&amp;DYN_ARGS=TRUE&amp;DOC_NAME=FAT:FQL_AUDITING_CLIENT_TEMPLATE.FAT&amp;display_string=Audit&amp;VAR:KEY=KPSXWBOPQV&amp;VAR:QUERY=RkZfRUJJVERBX09QRVIoQU5OLDIwMTEp&amp;WINDOW=FIRST_POPUP&amp;HEIGHT=450&amp;WIDTH=450&amp;START_MAXIMI","ZED=FALSE&amp;VAR:CALENDAR=FIVEDAY&amp;VAR:SYMBOL=B61G9L&amp;VAR:INDEX=0"}</definedName>
    <definedName name="_968__FDSAUDITLINK__" localSheetId="8" hidden="1">{"fdsup://directions/FAT Viewer?action=UPDATE&amp;creator=factset&amp;DYN_ARGS=TRUE&amp;DOC_NAME=FAT:FQL_AUDITING_CLIENT_TEMPLATE.FAT&amp;display_string=Audit&amp;VAR:KEY=YPUPMVSRYB&amp;VAR:QUERY=RkZfRUJJVF9PUEVSKEFOTiwyMDA4KQ==&amp;WINDOW=FIRST_POPUP&amp;HEIGHT=450&amp;WIDTH=450&amp;START_MAXIMI","ZED=FALSE&amp;VAR:CALENDAR=FIVEDAY&amp;VAR:SYMBOL=B61G9L&amp;VAR:INDEX=0"}</definedName>
    <definedName name="_968__FDSAUDITLINK__" hidden="1">{"fdsup://directions/FAT Viewer?action=UPDATE&amp;creator=factset&amp;DYN_ARGS=TRUE&amp;DOC_NAME=FAT:FQL_AUDITING_CLIENT_TEMPLATE.FAT&amp;display_string=Audit&amp;VAR:KEY=YPUPMVSRYB&amp;VAR:QUERY=RkZfRUJJVF9PUEVSKEFOTiwyMDA4KQ==&amp;WINDOW=FIRST_POPUP&amp;HEIGHT=450&amp;WIDTH=450&amp;START_MAXIMI","ZED=FALSE&amp;VAR:CALENDAR=FIVEDAY&amp;VAR:SYMBOL=B61G9L&amp;VAR:INDEX=0"}</definedName>
    <definedName name="_968__FDSAUDITLINK___1" localSheetId="8" hidden="1">{"fdsup://directions/FAT Viewer?action=UPDATE&amp;creator=factset&amp;DYN_ARGS=TRUE&amp;DOC_NAME=FAT:FQL_AUDITING_CLIENT_TEMPLATE.FAT&amp;display_string=Audit&amp;VAR:KEY=YPUPMVSRYB&amp;VAR:QUERY=RkZfRUJJVF9PUEVSKEFOTiwyMDA4KQ==&amp;WINDOW=FIRST_POPUP&amp;HEIGHT=450&amp;WIDTH=450&amp;START_MAXIMI","ZED=FALSE&amp;VAR:CALENDAR=FIVEDAY&amp;VAR:SYMBOL=B61G9L&amp;VAR:INDEX=0"}</definedName>
    <definedName name="_968__FDSAUDITLINK___1" hidden="1">{"fdsup://directions/FAT Viewer?action=UPDATE&amp;creator=factset&amp;DYN_ARGS=TRUE&amp;DOC_NAME=FAT:FQL_AUDITING_CLIENT_TEMPLATE.FAT&amp;display_string=Audit&amp;VAR:KEY=YPUPMVSRYB&amp;VAR:QUERY=RkZfRUJJVF9PUEVSKEFOTiwyMDA4KQ==&amp;WINDOW=FIRST_POPUP&amp;HEIGHT=450&amp;WIDTH=450&amp;START_MAXIMI","ZED=FALSE&amp;VAR:CALENDAR=FIVEDAY&amp;VAR:SYMBOL=B61G9L&amp;VAR:INDEX=0"}</definedName>
    <definedName name="_969__FDSAUDITLINK__" localSheetId="8" hidden="1">{"fdsup://directions/FAT Viewer?action=UPDATE&amp;creator=factset&amp;DYN_ARGS=TRUE&amp;DOC_NAME=FAT:FQL_AUDITING_CLIENT_TEMPLATE.FAT&amp;display_string=Audit&amp;VAR:KEY=ETQDMXUTCX&amp;VAR:QUERY=RkZfRUJJVF9PUEVSKEFOTiwyMDEwKQ==&amp;WINDOW=FIRST_POPUP&amp;HEIGHT=450&amp;WIDTH=450&amp;START_MAXIMI","ZED=FALSE&amp;VAR:CALENDAR=FIVEDAY&amp;VAR:SYMBOL=B61G9L&amp;VAR:INDEX=0"}</definedName>
    <definedName name="_969__FDSAUDITLINK__" hidden="1">{"fdsup://directions/FAT Viewer?action=UPDATE&amp;creator=factset&amp;DYN_ARGS=TRUE&amp;DOC_NAME=FAT:FQL_AUDITING_CLIENT_TEMPLATE.FAT&amp;display_string=Audit&amp;VAR:KEY=ETQDMXUTCX&amp;VAR:QUERY=RkZfRUJJVF9PUEVSKEFOTiwyMDEwKQ==&amp;WINDOW=FIRST_POPUP&amp;HEIGHT=450&amp;WIDTH=450&amp;START_MAXIMI","ZED=FALSE&amp;VAR:CALENDAR=FIVEDAY&amp;VAR:SYMBOL=B61G9L&amp;VAR:INDEX=0"}</definedName>
    <definedName name="_969__FDSAUDITLINK___1" localSheetId="8" hidden="1">{"fdsup://directions/FAT Viewer?action=UPDATE&amp;creator=factset&amp;DYN_ARGS=TRUE&amp;DOC_NAME=FAT:FQL_AUDITING_CLIENT_TEMPLATE.FAT&amp;display_string=Audit&amp;VAR:KEY=ETQDMXUTCX&amp;VAR:QUERY=RkZfRUJJVF9PUEVSKEFOTiwyMDEwKQ==&amp;WINDOW=FIRST_POPUP&amp;HEIGHT=450&amp;WIDTH=450&amp;START_MAXIMI","ZED=FALSE&amp;VAR:CALENDAR=FIVEDAY&amp;VAR:SYMBOL=B61G9L&amp;VAR:INDEX=0"}</definedName>
    <definedName name="_969__FDSAUDITLINK___1" hidden="1">{"fdsup://directions/FAT Viewer?action=UPDATE&amp;creator=factset&amp;DYN_ARGS=TRUE&amp;DOC_NAME=FAT:FQL_AUDITING_CLIENT_TEMPLATE.FAT&amp;display_string=Audit&amp;VAR:KEY=ETQDMXUTCX&amp;VAR:QUERY=RkZfRUJJVF9PUEVSKEFOTiwyMDEwKQ==&amp;WINDOW=FIRST_POPUP&amp;HEIGHT=450&amp;WIDTH=450&amp;START_MAXIMI","ZED=FALSE&amp;VAR:CALENDAR=FIVEDAY&amp;VAR:SYMBOL=B61G9L&amp;VAR:INDEX=0"}</definedName>
    <definedName name="_97__123Graph_ECHART_2" hidden="1">#REF!</definedName>
    <definedName name="_97__123Graph_FCHART_7" localSheetId="8" hidden="1">#REF!</definedName>
    <definedName name="_97__123Graph_FCHART_7" hidden="1">#REF!</definedName>
    <definedName name="_97__123Graph_LBL_DCHART_3" hidden="1">#REF!</definedName>
    <definedName name="_97__FDSAUDITLINK__" localSheetId="8" hidden="1">{"fdsup://directions/FAT Viewer?action=UPDATE&amp;creator=factset&amp;DYN_ARGS=TRUE&amp;DOC_NAME=FAT:FQL_AUDITING_CLIENT_TEMPLATE.FAT&amp;display_string=Audit&amp;VAR:KEY=LWNMLGZETA&amp;VAR:QUERY=RkZfRUJJVF9JQignQU5OJyw0MDE3OCwsLCwnU0VLJyk=&amp;WINDOW=FIRST_POPUP&amp;HEIGHT=450&amp;WIDTH=450&amp;","START_MAXIMIZED=FALSE&amp;VAR:CALENDAR=FIVEDAY&amp;VAR:SYMBOL=454047&amp;VAR:INDEX=0"}</definedName>
    <definedName name="_97__FDSAUDITLINK__" hidden="1">{"fdsup://directions/FAT Viewer?action=UPDATE&amp;creator=factset&amp;DYN_ARGS=TRUE&amp;DOC_NAME=FAT:FQL_AUDITING_CLIENT_TEMPLATE.FAT&amp;display_string=Audit&amp;VAR:KEY=KNAHCXERYT&amp;VAR:QUERY=RkZfRUJJVF9PUEVSKENBTCwyMDA5KQ==&amp;WINDOW=FIRST_POPUP&amp;HEIGHT=450&amp;WIDTH=450&amp;START_MAXIMI","ZED=FALSE&amp;VAR:CALENDAR=US&amp;VAR:SYMBOL=EXP&amp;VAR:INDEX=0"}</definedName>
    <definedName name="_97__FDSAUDITLINK___1" localSheetId="8" hidden="1">{"fdsup://directions/FAT Viewer?action=UPDATE&amp;creator=factset&amp;DYN_ARGS=TRUE&amp;DOC_NAME=FAT:FQL_AUDITING_CLIENT_TEMPLATE.FAT&amp;display_string=Audit&amp;VAR:KEY=LWNMLGZETA&amp;VAR:QUERY=RkZfRUJJVF9JQignQU5OJyw0MDE3OCwsLCwnU0VLJyk=&amp;WINDOW=FIRST_POPUP&amp;HEIGHT=450&amp;WIDTH=450&amp;","START_MAXIMIZED=FALSE&amp;VAR:CALENDAR=FIVEDAY&amp;VAR:SYMBOL=454047&amp;VAR:INDEX=0"}</definedName>
    <definedName name="_97__FDSAUDITLINK___1" hidden="1">{"fdsup://directions/FAT Viewer?action=UPDATE&amp;creator=factset&amp;DYN_ARGS=TRUE&amp;DOC_NAME=FAT:FQL_AUDITING_CLIENT_TEMPLATE.FAT&amp;display_string=Audit&amp;VAR:KEY=LWNMLGZETA&amp;VAR:QUERY=RkZfRUJJVF9JQignQU5OJyw0MDE3OCwsLCwnU0VLJyk=&amp;WINDOW=FIRST_POPUP&amp;HEIGHT=450&amp;WIDTH=450&amp;","START_MAXIMIZED=FALSE&amp;VAR:CALENDAR=FIVEDAY&amp;VAR:SYMBOL=454047&amp;VAR:INDEX=0"}</definedName>
    <definedName name="_970__FDSAUDITLINK__" localSheetId="8" hidden="1">{"fdsup://directions/FAT Viewer?action=UPDATE&amp;creator=factset&amp;DYN_ARGS=TRUE&amp;DOC_NAME=FAT:FQL_AUDITING_CLIENT_TEMPLATE.FAT&amp;display_string=Audit&amp;VAR:KEY=YBEZSRSZOR&amp;VAR:QUERY=RkZfQ0FQRVgoQU5OLDIwMDkp&amp;WINDOW=FIRST_POPUP&amp;HEIGHT=450&amp;WIDTH=450&amp;START_MAXIMIZED=FALS","E&amp;VAR:CALENDAR=FIVEDAY&amp;VAR:SYMBOL=B61G9L&amp;VAR:INDEX=0"}</definedName>
    <definedName name="_970__FDSAUDITLINK__" hidden="1">{"fdsup://directions/FAT Viewer?action=UPDATE&amp;creator=factset&amp;DYN_ARGS=TRUE&amp;DOC_NAME=FAT:FQL_AUDITING_CLIENT_TEMPLATE.FAT&amp;display_string=Audit&amp;VAR:KEY=YBEZSRSZOR&amp;VAR:QUERY=RkZfQ0FQRVgoQU5OLDIwMDkp&amp;WINDOW=FIRST_POPUP&amp;HEIGHT=450&amp;WIDTH=450&amp;START_MAXIMIZED=FALS","E&amp;VAR:CALENDAR=FIVEDAY&amp;VAR:SYMBOL=B61G9L&amp;VAR:INDEX=0"}</definedName>
    <definedName name="_970__FDSAUDITLINK___1" localSheetId="8" hidden="1">{"fdsup://directions/FAT Viewer?action=UPDATE&amp;creator=factset&amp;DYN_ARGS=TRUE&amp;DOC_NAME=FAT:FQL_AUDITING_CLIENT_TEMPLATE.FAT&amp;display_string=Audit&amp;VAR:KEY=YBEZSRSZOR&amp;VAR:QUERY=RkZfQ0FQRVgoQU5OLDIwMDkp&amp;WINDOW=FIRST_POPUP&amp;HEIGHT=450&amp;WIDTH=450&amp;START_MAXIMIZED=FALS","E&amp;VAR:CALENDAR=FIVEDAY&amp;VAR:SYMBOL=B61G9L&amp;VAR:INDEX=0"}</definedName>
    <definedName name="_970__FDSAUDITLINK___1" hidden="1">{"fdsup://directions/FAT Viewer?action=UPDATE&amp;creator=factset&amp;DYN_ARGS=TRUE&amp;DOC_NAME=FAT:FQL_AUDITING_CLIENT_TEMPLATE.FAT&amp;display_string=Audit&amp;VAR:KEY=YBEZSRSZOR&amp;VAR:QUERY=RkZfQ0FQRVgoQU5OLDIwMDkp&amp;WINDOW=FIRST_POPUP&amp;HEIGHT=450&amp;WIDTH=450&amp;START_MAXIMIZED=FALS","E&amp;VAR:CALENDAR=FIVEDAY&amp;VAR:SYMBOL=B61G9L&amp;VAR:INDEX=0"}</definedName>
    <definedName name="_971__FDSAUDITLINK__" localSheetId="8" hidden="1">{"fdsup://directions/FAT Viewer?action=UPDATE&amp;creator=factset&amp;DYN_ARGS=TRUE&amp;DOC_NAME=FAT:FQL_AUDITING_CLIENT_TEMPLATE.FAT&amp;display_string=Audit&amp;VAR:KEY=UVWLOZIHUN&amp;VAR:QUERY=RkZfQ0FQRVgoQU5OLDIwMTEp&amp;WINDOW=FIRST_POPUP&amp;HEIGHT=450&amp;WIDTH=450&amp;START_MAXIMIZED=FALS","E&amp;VAR:CALENDAR=FIVEDAY&amp;VAR:SYMBOL=B61G9L&amp;VAR:INDEX=0"}</definedName>
    <definedName name="_971__FDSAUDITLINK__" hidden="1">{"fdsup://directions/FAT Viewer?action=UPDATE&amp;creator=factset&amp;DYN_ARGS=TRUE&amp;DOC_NAME=FAT:FQL_AUDITING_CLIENT_TEMPLATE.FAT&amp;display_string=Audit&amp;VAR:KEY=UVWLOZIHUN&amp;VAR:QUERY=RkZfQ0FQRVgoQU5OLDIwMTEp&amp;WINDOW=FIRST_POPUP&amp;HEIGHT=450&amp;WIDTH=450&amp;START_MAXIMIZED=FALS","E&amp;VAR:CALENDAR=FIVEDAY&amp;VAR:SYMBOL=B61G9L&amp;VAR:INDEX=0"}</definedName>
    <definedName name="_971__FDSAUDITLINK___1" localSheetId="8" hidden="1">{"fdsup://directions/FAT Viewer?action=UPDATE&amp;creator=factset&amp;DYN_ARGS=TRUE&amp;DOC_NAME=FAT:FQL_AUDITING_CLIENT_TEMPLATE.FAT&amp;display_string=Audit&amp;VAR:KEY=UVWLOZIHUN&amp;VAR:QUERY=RkZfQ0FQRVgoQU5OLDIwMTEp&amp;WINDOW=FIRST_POPUP&amp;HEIGHT=450&amp;WIDTH=450&amp;START_MAXIMIZED=FALS","E&amp;VAR:CALENDAR=FIVEDAY&amp;VAR:SYMBOL=B61G9L&amp;VAR:INDEX=0"}</definedName>
    <definedName name="_971__FDSAUDITLINK___1" hidden="1">{"fdsup://directions/FAT Viewer?action=UPDATE&amp;creator=factset&amp;DYN_ARGS=TRUE&amp;DOC_NAME=FAT:FQL_AUDITING_CLIENT_TEMPLATE.FAT&amp;display_string=Audit&amp;VAR:KEY=UVWLOZIHUN&amp;VAR:QUERY=RkZfQ0FQRVgoQU5OLDIwMTEp&amp;WINDOW=FIRST_POPUP&amp;HEIGHT=450&amp;WIDTH=450&amp;START_MAXIMIZED=FALS","E&amp;VAR:CALENDAR=FIVEDAY&amp;VAR:SYMBOL=B61G9L&amp;VAR:INDEX=0"}</definedName>
    <definedName name="_972__FDSAUDITLINK__" localSheetId="8" hidden="1">{"fdsup://directions/FAT Viewer?action=UPDATE&amp;creator=factset&amp;DYN_ARGS=TRUE&amp;DOC_NAME=FAT:FQL_AUDITING_CLIENT_TEMPLATE.FAT&amp;display_string=Audit&amp;VAR:KEY=POBCXCJIXQ&amp;VAR:QUERY=RkZfTkVUX0lOQyhBTk4sMjAwOCk=&amp;WINDOW=FIRST_POPUP&amp;HEIGHT=450&amp;WIDTH=450&amp;START_MAXIMIZED=","FALSE&amp;VAR:CALENDAR=FIVEDAY&amp;VAR:SYMBOL=B61G9L&amp;VAR:INDEX=0"}</definedName>
    <definedName name="_972__FDSAUDITLINK__" hidden="1">{"fdsup://directions/FAT Viewer?action=UPDATE&amp;creator=factset&amp;DYN_ARGS=TRUE&amp;DOC_NAME=FAT:FQL_AUDITING_CLIENT_TEMPLATE.FAT&amp;display_string=Audit&amp;VAR:KEY=POBCXCJIXQ&amp;VAR:QUERY=RkZfTkVUX0lOQyhBTk4sMjAwOCk=&amp;WINDOW=FIRST_POPUP&amp;HEIGHT=450&amp;WIDTH=450&amp;START_MAXIMIZED=","FALSE&amp;VAR:CALENDAR=FIVEDAY&amp;VAR:SYMBOL=B61G9L&amp;VAR:INDEX=0"}</definedName>
    <definedName name="_972__FDSAUDITLINK___1" localSheetId="8" hidden="1">{"fdsup://directions/FAT Viewer?action=UPDATE&amp;creator=factset&amp;DYN_ARGS=TRUE&amp;DOC_NAME=FAT:FQL_AUDITING_CLIENT_TEMPLATE.FAT&amp;display_string=Audit&amp;VAR:KEY=POBCXCJIXQ&amp;VAR:QUERY=RkZfTkVUX0lOQyhBTk4sMjAwOCk=&amp;WINDOW=FIRST_POPUP&amp;HEIGHT=450&amp;WIDTH=450&amp;START_MAXIMIZED=","FALSE&amp;VAR:CALENDAR=FIVEDAY&amp;VAR:SYMBOL=B61G9L&amp;VAR:INDEX=0"}</definedName>
    <definedName name="_972__FDSAUDITLINK___1" hidden="1">{"fdsup://directions/FAT Viewer?action=UPDATE&amp;creator=factset&amp;DYN_ARGS=TRUE&amp;DOC_NAME=FAT:FQL_AUDITING_CLIENT_TEMPLATE.FAT&amp;display_string=Audit&amp;VAR:KEY=POBCXCJIXQ&amp;VAR:QUERY=RkZfTkVUX0lOQyhBTk4sMjAwOCk=&amp;WINDOW=FIRST_POPUP&amp;HEIGHT=450&amp;WIDTH=450&amp;START_MAXIMIZED=","FALSE&amp;VAR:CALENDAR=FIVEDAY&amp;VAR:SYMBOL=B61G9L&amp;VAR:INDEX=0"}</definedName>
    <definedName name="_973__FDSAUDITLINK__" localSheetId="8" hidden="1">{"fdsup://directions/FAT Viewer?action=UPDATE&amp;creator=factset&amp;DYN_ARGS=TRUE&amp;DOC_NAME=FAT:FQL_AUDITING_CLIENT_TEMPLATE.FAT&amp;display_string=Audit&amp;VAR:KEY=HAXIVQDMBC&amp;VAR:QUERY=RkZfTkVUX0lOQyhBTk4sMjAxMCk=&amp;WINDOW=FIRST_POPUP&amp;HEIGHT=450&amp;WIDTH=450&amp;START_MAXIMIZED=","FALSE&amp;VAR:CALENDAR=FIVEDAY&amp;VAR:SYMBOL=B61G9L&amp;VAR:INDEX=0"}</definedName>
    <definedName name="_973__FDSAUDITLINK__" hidden="1">{"fdsup://directions/FAT Viewer?action=UPDATE&amp;creator=factset&amp;DYN_ARGS=TRUE&amp;DOC_NAME=FAT:FQL_AUDITING_CLIENT_TEMPLATE.FAT&amp;display_string=Audit&amp;VAR:KEY=HAXIVQDMBC&amp;VAR:QUERY=RkZfTkVUX0lOQyhBTk4sMjAxMCk=&amp;WINDOW=FIRST_POPUP&amp;HEIGHT=450&amp;WIDTH=450&amp;START_MAXIMIZED=","FALSE&amp;VAR:CALENDAR=FIVEDAY&amp;VAR:SYMBOL=B61G9L&amp;VAR:INDEX=0"}</definedName>
    <definedName name="_973__FDSAUDITLINK___1" localSheetId="8" hidden="1">{"fdsup://directions/FAT Viewer?action=UPDATE&amp;creator=factset&amp;DYN_ARGS=TRUE&amp;DOC_NAME=FAT:FQL_AUDITING_CLIENT_TEMPLATE.FAT&amp;display_string=Audit&amp;VAR:KEY=HAXIVQDMBC&amp;VAR:QUERY=RkZfTkVUX0lOQyhBTk4sMjAxMCk=&amp;WINDOW=FIRST_POPUP&amp;HEIGHT=450&amp;WIDTH=450&amp;START_MAXIMIZED=","FALSE&amp;VAR:CALENDAR=FIVEDAY&amp;VAR:SYMBOL=B61G9L&amp;VAR:INDEX=0"}</definedName>
    <definedName name="_973__FDSAUDITLINK___1" hidden="1">{"fdsup://directions/FAT Viewer?action=UPDATE&amp;creator=factset&amp;DYN_ARGS=TRUE&amp;DOC_NAME=FAT:FQL_AUDITING_CLIENT_TEMPLATE.FAT&amp;display_string=Audit&amp;VAR:KEY=HAXIVQDMBC&amp;VAR:QUERY=RkZfTkVUX0lOQyhBTk4sMjAxMCk=&amp;WINDOW=FIRST_POPUP&amp;HEIGHT=450&amp;WIDTH=450&amp;START_MAXIMIZED=","FALSE&amp;VAR:CALENDAR=FIVEDAY&amp;VAR:SYMBOL=B61G9L&amp;VAR:INDEX=0"}</definedName>
    <definedName name="_974__FDSAUDITLINK__" localSheetId="8" hidden="1">{"fdsup://IBCentral/FAT Viewer?action=UPDATE&amp;creator=factset&amp;DOC_NAME=fat:reuters_annual_source_window.fat&amp;display_string=Audit&amp;DYN_ARGS=TRUE&amp;VAR:ID1=221353&amp;VAR:RCODE=AEQI&amp;VAR:SDATE=20051299&amp;VAR:FREQ=Y&amp;VAR:RELITEM=RP&amp;VAR:CURRENCY=USD&amp;VAR:CURRSOURCE=EXSHARE&amp;","VAR:NATFREQ=ANNUAL&amp;VAR:RFIELD=FINALIZED&amp;VAR:DB_TYPE=&amp;VAR:UNITS=M&amp;window=popup&amp;width=450&amp;height=300&amp;START_MAXIMIZED=FALSE"}</definedName>
    <definedName name="_974__FDSAUDITLINK__" hidden="1">{"fdsup://IBCentral/FAT Viewer?action=UPDATE&amp;creator=factset&amp;DOC_NAME=fat:reuters_annual_source_window.fat&amp;display_string=Audit&amp;DYN_ARGS=TRUE&amp;VAR:ID1=221353&amp;VAR:RCODE=AEQI&amp;VAR:SDATE=20051299&amp;VAR:FREQ=Y&amp;VAR:RELITEM=RP&amp;VAR:CURRENCY=USD&amp;VAR:CURRSOURCE=EXSHARE&amp;","VAR:NATFREQ=ANNUAL&amp;VAR:RFIELD=FINALIZED&amp;VAR:DB_TYPE=&amp;VAR:UNITS=M&amp;window=popup&amp;width=450&amp;height=300&amp;START_MAXIMIZED=FALSE"}</definedName>
    <definedName name="_975__FDSAUDITLINK__" localSheetId="8" hidden="1">{"fdsup://IBCentral/FAT Viewer?action=UPDATE&amp;creator=factset&amp;DOC_NAME=fat:reuters_qtrly_source_window.fat&amp;display_string=Audit&amp;DYN_ARGS=TRUE&amp;VAR:ID1=221353&amp;VAR:RCODE=LMIN&amp;VAR:SDATE=20060999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975__FDSAUDITLINK__" hidden="1">{"fdsup://IBCentral/FAT Viewer?action=UPDATE&amp;creator=factset&amp;DOC_NAME=fat:reuters_qtrly_source_window.fat&amp;display_string=Audit&amp;DYN_ARGS=TRUE&amp;VAR:ID1=221353&amp;VAR:RCODE=LMIN&amp;VAR:SDATE=20060999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976__FDSAUDITLINK__" localSheetId="8" hidden="1">{"fdsup://IBCentral/FAT Viewer?action=UPDATE&amp;creator=factset&amp;DOC_NAME=fat:reuters_qtrly_source_window.fat&amp;display_string=Audit&amp;DYN_ARGS=TRUE&amp;VAR:ID1=221353&amp;VAR:RCODE=STLD&amp;VAR:SDATE=20060999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976__FDSAUDITLINK__" hidden="1">{"fdsup://IBCentral/FAT Viewer?action=UPDATE&amp;creator=factset&amp;DOC_NAME=fat:reuters_qtrly_source_window.fat&amp;display_string=Audit&amp;DYN_ARGS=TRUE&amp;VAR:ID1=221353&amp;VAR:RCODE=STLD&amp;VAR:SDATE=20060999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977__FDSAUDITLINK__" localSheetId="8" hidden="1">{"fdsup://IBCentral/FAT Viewer?action=UPDATE&amp;creator=factset&amp;DOC_NAME=fat:reuters_qtrly_source_window.fat&amp;display_string=Audit&amp;DYN_ARGS=TRUE&amp;VAR:ID1=221353&amp;VAR:RCODE=SCSI&amp;VAR:SDATE=20060999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977__FDSAUDITLINK__" hidden="1">{"fdsup://IBCentral/FAT Viewer?action=UPDATE&amp;creator=factset&amp;DOC_NAME=fat:reuters_qtrly_source_window.fat&amp;display_string=Audit&amp;DYN_ARGS=TRUE&amp;VAR:ID1=221353&amp;VAR:RCODE=SCSI&amp;VAR:SDATE=20060999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978__FDSAUDITLINK__" localSheetId="8" hidden="1">{"fdsup://IBCentral/FAT Viewer?action=UPDATE&amp;creator=factset&amp;DOC_NAME=fat:reuters_annual_source_window.fat&amp;display_string=Audit&amp;DYN_ARGS=TRUE&amp;VAR:ID1=221353&amp;VAR:RCODE=FDSPFDSTKTOTAL&amp;VAR:SDATE=20051299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978__FDSAUDITLINK__" hidden="1">{"fdsup://IBCentral/FAT Viewer?action=UPDATE&amp;creator=factset&amp;DOC_NAME=fat:reuters_annual_source_window.fat&amp;display_string=Audit&amp;DYN_ARGS=TRUE&amp;VAR:ID1=221353&amp;VAR:RCODE=FDSPFDSTKTOTAL&amp;VAR:SDATE=20051299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979__FDSAUDITLINK__" localSheetId="8" hidden="1">{"fdsup://IBCentral/FAT Viewer?action=UPDATE&amp;creator=factset&amp;DOC_NAME=fat:reuters_annual_source_window.fat&amp;display_string=Audit&amp;DYN_ARGS=TRUE&amp;VAR:ID1=221353&amp;VAR:RCODE=AEQI&amp;VAR:SDATE=20051299&amp;VAR:FREQ=Y&amp;VAR:RELITEM=RP&amp;VAR:CURRENCY=USD&amp;VAR:CURRSOURCE=EXSHARE&amp;","VAR:NATFREQ=ANNUAL&amp;VAR:RFIELD=FINALIZED&amp;VAR:DB_TYPE=&amp;VAR:UNITS=M&amp;window=popup&amp;width=450&amp;height=300&amp;START_MAXIMIZED=FALSE"}</definedName>
    <definedName name="_979__FDSAUDITLINK__" hidden="1">{"fdsup://IBCentral/FAT Viewer?action=UPDATE&amp;creator=factset&amp;DOC_NAME=fat:reuters_annual_source_window.fat&amp;display_string=Audit&amp;DYN_ARGS=TRUE&amp;VAR:ID1=221353&amp;VAR:RCODE=AEQI&amp;VAR:SDATE=20051299&amp;VAR:FREQ=Y&amp;VAR:RELITEM=RP&amp;VAR:CURRENCY=USD&amp;VAR:CURRSOURCE=EXSHARE&amp;","VAR:NATFREQ=ANNUAL&amp;VAR:RFIELD=FINALIZED&amp;VAR:DB_TYPE=&amp;VAR:UNITS=M&amp;window=popup&amp;width=450&amp;height=300&amp;START_MAXIMIZED=FALSE"}</definedName>
    <definedName name="_98__123Graph_FCHART_8" localSheetId="8" hidden="1">#REF!</definedName>
    <definedName name="_98__123Graph_FCHART_8" hidden="1">#REF!</definedName>
    <definedName name="_98__123Graph_LBL_ACHART_11" hidden="1">#REF!</definedName>
    <definedName name="_98__123Graph_LBL_ECHART_2" hidden="1">#REF!</definedName>
    <definedName name="_98__FDSAUDITLINK__" localSheetId="8" hidden="1">{"fdsup://directions/FAT Viewer?action=UPDATE&amp;creator=factset&amp;DYN_ARGS=TRUE&amp;DOC_NAME=FAT:FQL_AUDITING_CLIENT_TEMPLATE.FAT&amp;display_string=Audit&amp;VAR:KEY=LQXIJKBQXI&amp;VAR:QUERY=RkZfRUJJVF9JQignQU5OJywzOTgxMywsLCwnU0VLJyk=&amp;WINDOW=FIRST_POPUP&amp;HEIGHT=450&amp;WIDTH=450&amp;","START_MAXIMIZED=FALSE&amp;VAR:CALENDAR=FIVEDAY&amp;VAR:SYMBOL=454047&amp;VAR:INDEX=0"}</definedName>
    <definedName name="_98__FDSAUDITLINK__" hidden="1">{"fdsup://directions/FAT Viewer?action=UPDATE&amp;creator=factset&amp;DYN_ARGS=TRUE&amp;DOC_NAME=FAT:FQL_AUDITING_CLIENT_TEMPLATE.FAT&amp;display_string=Audit&amp;VAR:KEY=IZUBUPSZYH&amp;VAR:QUERY=RkZfRVBTX0RJTChDQUwsMjAxMSk=&amp;WINDOW=FIRST_POPUP&amp;HEIGHT=450&amp;WIDTH=450&amp;START_MAXIMIZED=","FALSE&amp;VAR:CALENDAR=US&amp;VAR:SYMBOL=711075&amp;VAR:INDEX=0"}</definedName>
    <definedName name="_98__FDSAUDITLINK___1" localSheetId="8" hidden="1">{"fdsup://directions/FAT Viewer?action=UPDATE&amp;creator=factset&amp;DYN_ARGS=TRUE&amp;DOC_NAME=FAT:FQL_AUDITING_CLIENT_TEMPLATE.FAT&amp;display_string=Audit&amp;VAR:KEY=LQXIJKBQXI&amp;VAR:QUERY=RkZfRUJJVF9JQignQU5OJywzOTgxMywsLCwnU0VLJyk=&amp;WINDOW=FIRST_POPUP&amp;HEIGHT=450&amp;WIDTH=450&amp;","START_MAXIMIZED=FALSE&amp;VAR:CALENDAR=FIVEDAY&amp;VAR:SYMBOL=454047&amp;VAR:INDEX=0"}</definedName>
    <definedName name="_98__FDSAUDITLINK___1" hidden="1">{"fdsup://directions/FAT Viewer?action=UPDATE&amp;creator=factset&amp;DYN_ARGS=TRUE&amp;DOC_NAME=FAT:FQL_AUDITING_CLIENT_TEMPLATE.FAT&amp;display_string=Audit&amp;VAR:KEY=LQXIJKBQXI&amp;VAR:QUERY=RkZfRUJJVF9JQignQU5OJywzOTgxMywsLCwnU0VLJyk=&amp;WINDOW=FIRST_POPUP&amp;HEIGHT=450&amp;WIDTH=450&amp;","START_MAXIMIZED=FALSE&amp;VAR:CALENDAR=FIVEDAY&amp;VAR:SYMBOL=454047&amp;VAR:INDEX=0"}</definedName>
    <definedName name="_980__FDSAUDITLINK__" localSheetId="8" hidden="1">{"fdsup://IBCentral/FAT Viewer?action=UPDATE&amp;creator=factset&amp;DOC_NAME=fat:reuters_qtrly_source_window.fat&amp;display_string=Audit&amp;DYN_ARGS=TRUE&amp;VAR:ID1=221353&amp;VAR:RCODE=LMIN&amp;VAR:SDATE=20060999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980__FDSAUDITLINK__" hidden="1">{"fdsup://IBCentral/FAT Viewer?action=UPDATE&amp;creator=factset&amp;DOC_NAME=fat:reuters_qtrly_source_window.fat&amp;display_string=Audit&amp;DYN_ARGS=TRUE&amp;VAR:ID1=221353&amp;VAR:RCODE=LMIN&amp;VAR:SDATE=20060999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981__FDSAUDITLINK__" localSheetId="8" hidden="1">{"fdsup://IBCentral/FAT Viewer?action=UPDATE&amp;creator=factset&amp;DOC_NAME=fat:reuters_qtrly_source_window.fat&amp;display_string=Audit&amp;DYN_ARGS=TRUE&amp;VAR:ID1=221353&amp;VAR:RCODE=STLD&amp;VAR:SDATE=20060999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981__FDSAUDITLINK__" hidden="1">{"fdsup://IBCentral/FAT Viewer?action=UPDATE&amp;creator=factset&amp;DOC_NAME=fat:reuters_qtrly_source_window.fat&amp;display_string=Audit&amp;DYN_ARGS=TRUE&amp;VAR:ID1=221353&amp;VAR:RCODE=STLD&amp;VAR:SDATE=20060999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982__FDSAUDITLINK__" localSheetId="8" hidden="1">{"fdsup://IBCentral/FAT Viewer?action=UPDATE&amp;creator=factset&amp;DOC_NAME=fat:reuters_qtrly_source_window.fat&amp;display_string=Audit&amp;DYN_ARGS=TRUE&amp;VAR:ID1=221353&amp;VAR:RCODE=SCSI&amp;VAR:SDATE=20060999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982__FDSAUDITLINK__" hidden="1">{"fdsup://IBCentral/FAT Viewer?action=UPDATE&amp;creator=factset&amp;DOC_NAME=fat:reuters_qtrly_source_window.fat&amp;display_string=Audit&amp;DYN_ARGS=TRUE&amp;VAR:ID1=221353&amp;VAR:RCODE=SCSI&amp;VAR:SDATE=20060999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983__FDSAUDITLINK__" localSheetId="8" hidden="1">{"fdsup://IBCentral/FAT Viewer?action=UPDATE&amp;creator=factset&amp;DOC_NAME=fat:reuters_annual_source_window.fat&amp;display_string=Audit&amp;DYN_ARGS=TRUE&amp;VAR:ID1=221353&amp;VAR:RCODE=FDSPFDSTKTOTAL&amp;VAR:SDATE=20051299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983__FDSAUDITLINK__" hidden="1">{"fdsup://IBCentral/FAT Viewer?action=UPDATE&amp;creator=factset&amp;DOC_NAME=fat:reuters_annual_source_window.fat&amp;display_string=Audit&amp;DYN_ARGS=TRUE&amp;VAR:ID1=221353&amp;VAR:RCODE=FDSPFDSTKTOTAL&amp;VAR:SDATE=20051299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984__FDSAUDITLINK__" localSheetId="8" hidden="1">{"fdsup://IBCentral/FAT Viewer?action=UPDATE&amp;creator=factset&amp;DOC_NAME=fat:reuters_annual_source_window.fat&amp;display_string=Audit&amp;DYN_ARGS=TRUE&amp;VAR:ID1=221353&amp;VAR:RCODE=AEQI&amp;VAR:SDATE=20051299&amp;VAR:FREQ=Y&amp;VAR:RELITEM=RP&amp;VAR:CURRENCY=USD&amp;VAR:CURRSOURCE=EXSHARE&amp;","VAR:NATFREQ=ANNUAL&amp;VAR:RFIELD=FINALIZED&amp;VAR:DB_TYPE=&amp;VAR:UNITS=M&amp;window=popup&amp;width=450&amp;height=300&amp;START_MAXIMIZED=FALSE"}</definedName>
    <definedName name="_984__FDSAUDITLINK__" hidden="1">{"fdsup://IBCentral/FAT Viewer?action=UPDATE&amp;creator=factset&amp;DOC_NAME=fat:reuters_annual_source_window.fat&amp;display_string=Audit&amp;DYN_ARGS=TRUE&amp;VAR:ID1=221353&amp;VAR:RCODE=AEQI&amp;VAR:SDATE=20051299&amp;VAR:FREQ=Y&amp;VAR:RELITEM=RP&amp;VAR:CURRENCY=USD&amp;VAR:CURRSOURCE=EXSHARE&amp;","VAR:NATFREQ=ANNUAL&amp;VAR:RFIELD=FINALIZED&amp;VAR:DB_TYPE=&amp;VAR:UNITS=M&amp;window=popup&amp;width=450&amp;height=300&amp;START_MAXIMIZED=FALSE"}</definedName>
    <definedName name="_985__FDSAUDITLINK__" localSheetId="8" hidden="1">{"fdsup://IBCentral/FAT Viewer?action=UPDATE&amp;creator=factset&amp;DOC_NAME=fat:reuters_qtrly_source_window.fat&amp;display_string=Audit&amp;DYN_ARGS=TRUE&amp;VAR:ID1=221353&amp;VAR:RCODE=LMIN&amp;VAR:SDATE=20060999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985__FDSAUDITLINK__" hidden="1">{"fdsup://IBCentral/FAT Viewer?action=UPDATE&amp;creator=factset&amp;DOC_NAME=fat:reuters_qtrly_source_window.fat&amp;display_string=Audit&amp;DYN_ARGS=TRUE&amp;VAR:ID1=221353&amp;VAR:RCODE=LMIN&amp;VAR:SDATE=20060999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986__FDSAUDITLINK__" localSheetId="8" hidden="1">{"fdsup://IBCentral/FAT Viewer?action=UPDATE&amp;creator=factset&amp;DOC_NAME=fat:reuters_qtrly_source_window.fat&amp;display_string=Audit&amp;DYN_ARGS=TRUE&amp;VAR:ID1=221353&amp;VAR:RCODE=STLD&amp;VAR:SDATE=20060999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986__FDSAUDITLINK__" hidden="1">{"fdsup://IBCentral/FAT Viewer?action=UPDATE&amp;creator=factset&amp;DOC_NAME=fat:reuters_qtrly_source_window.fat&amp;display_string=Audit&amp;DYN_ARGS=TRUE&amp;VAR:ID1=221353&amp;VAR:RCODE=STLD&amp;VAR:SDATE=20060999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987__FDSAUDITLINK__" localSheetId="8" hidden="1">{"fdsup://IBCentral/FAT Viewer?action=UPDATE&amp;creator=factset&amp;DOC_NAME=fat:reuters_qtrly_source_window.fat&amp;display_string=Audit&amp;DYN_ARGS=TRUE&amp;VAR:ID1=221353&amp;VAR:RCODE=SCSI&amp;VAR:SDATE=20060999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987__FDSAUDITLINK__" hidden="1">{"fdsup://IBCentral/FAT Viewer?action=UPDATE&amp;creator=factset&amp;DOC_NAME=fat:reuters_qtrly_source_window.fat&amp;display_string=Audit&amp;DYN_ARGS=TRUE&amp;VAR:ID1=221353&amp;VAR:RCODE=SCSI&amp;VAR:SDATE=20060999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988__FDSAUDITLINK__" localSheetId="8" hidden="1">{"fdsup://IBCentral/FAT Viewer?action=UPDATE&amp;creator=factset&amp;DOC_NAME=fat:reuters_annual_source_window.fat&amp;display_string=Audit&amp;DYN_ARGS=TRUE&amp;VAR:ID1=221353&amp;VAR:RCODE=FDSPFDSTKTOTAL&amp;VAR:SDATE=20051299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988__FDSAUDITLINK__" hidden="1">{"fdsup://IBCentral/FAT Viewer?action=UPDATE&amp;creator=factset&amp;DOC_NAME=fat:reuters_annual_source_window.fat&amp;display_string=Audit&amp;DYN_ARGS=TRUE&amp;VAR:ID1=221353&amp;VAR:RCODE=FDSPFDSTKTOTAL&amp;VAR:SDATE=20051299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989__FDSAUDITLINK__" localSheetId="8" hidden="1">{"fdsup://IBCentral/FAT Viewer?action=UPDATE&amp;creator=factset&amp;DOC_NAME=fat:reuters_annual_source_window.fat&amp;display_string=Audit&amp;DYN_ARGS=TRUE&amp;VAR:ID1=221353&amp;VAR:RCODE=AEQI&amp;VAR:SDATE=20051299&amp;VAR:FREQ=Y&amp;VAR:RELITEM=RP&amp;VAR:CURRENCY=USD&amp;VAR:CURRSOURCE=EXSHARE&amp;","VAR:NATFREQ=ANNUAL&amp;VAR:RFIELD=FINALIZED&amp;VAR:DB_TYPE=&amp;VAR:UNITS=M&amp;window=popup&amp;width=450&amp;height=300&amp;START_MAXIMIZED=FALSE"}</definedName>
    <definedName name="_989__FDSAUDITLINK__" hidden="1">{"fdsup://IBCentral/FAT Viewer?action=UPDATE&amp;creator=factset&amp;DOC_NAME=fat:reuters_annual_source_window.fat&amp;display_string=Audit&amp;DYN_ARGS=TRUE&amp;VAR:ID1=221353&amp;VAR:RCODE=AEQI&amp;VAR:SDATE=20051299&amp;VAR:FREQ=Y&amp;VAR:RELITEM=RP&amp;VAR:CURRENCY=USD&amp;VAR:CURRSOURCE=EXSHARE&amp;","VAR:NATFREQ=ANNUAL&amp;VAR:RFIELD=FINALIZED&amp;VAR:DB_TYPE=&amp;VAR:UNITS=M&amp;window=popup&amp;width=450&amp;height=300&amp;START_MAXIMIZED=FALSE"}</definedName>
    <definedName name="_99__123Graph_LBL_ACHART_12" hidden="1">#REF!</definedName>
    <definedName name="_99__123Graph_XCHART_12" hidden="1">#REF!</definedName>
    <definedName name="_99__FDSAUDITLINK__" localSheetId="8" hidden="1">{"fdsup://directions/FAT Viewer?action=UPDATE&amp;creator=factset&amp;DYN_ARGS=TRUE&amp;DOC_NAME=FAT:FQL_AUDITING_CLIENT_TEMPLATE.FAT&amp;display_string=Audit&amp;VAR:KEY=BEDMHGTYDE&amp;VAR:QUERY=RkZfRUJJVF9JQignQU5OJywzOTQ0NywsLCwnU0VLJyk=&amp;WINDOW=FIRST_POPUP&amp;HEIGHT=450&amp;WIDTH=450&amp;","START_MAXIMIZED=FALSE&amp;VAR:CALENDAR=FIVEDAY&amp;VAR:SYMBOL=454047&amp;VAR:INDEX=0"}</definedName>
    <definedName name="_99__FDSAUDITLINK__" hidden="1">{"fdsup://directions/FAT Viewer?action=UPDATE&amp;creator=factset&amp;DYN_ARGS=TRUE&amp;DOC_NAME=FAT:FQL_AUDITING_CLIENT_TEMPLATE.FAT&amp;display_string=Audit&amp;VAR:KEY=PYTEPUVMBY&amp;VAR:QUERY=RkZfRVBTX0RJTChDQUwsMjAxMSk=&amp;WINDOW=FIRST_POPUP&amp;HEIGHT=450&amp;WIDTH=450&amp;START_MAXIMIZED=","FALSE&amp;VAR:CALENDAR=US&amp;VAR:SYMBOL=CX&amp;VAR:INDEX=0"}</definedName>
    <definedName name="_99__FDSAUDITLINK___1" localSheetId="8" hidden="1">{"fdsup://directions/FAT Viewer?action=UPDATE&amp;creator=factset&amp;DYN_ARGS=TRUE&amp;DOC_NAME=FAT:FQL_AUDITING_CLIENT_TEMPLATE.FAT&amp;display_string=Audit&amp;VAR:KEY=BEDMHGTYDE&amp;VAR:QUERY=RkZfRUJJVF9JQignQU5OJywzOTQ0NywsLCwnU0VLJyk=&amp;WINDOW=FIRST_POPUP&amp;HEIGHT=450&amp;WIDTH=450&amp;","START_MAXIMIZED=FALSE&amp;VAR:CALENDAR=FIVEDAY&amp;VAR:SYMBOL=454047&amp;VAR:INDEX=0"}</definedName>
    <definedName name="_99__FDSAUDITLINK___1" hidden="1">{"fdsup://directions/FAT Viewer?action=UPDATE&amp;creator=factset&amp;DYN_ARGS=TRUE&amp;DOC_NAME=FAT:FQL_AUDITING_CLIENT_TEMPLATE.FAT&amp;display_string=Audit&amp;VAR:KEY=BEDMHGTYDE&amp;VAR:QUERY=RkZfRUJJVF9JQignQU5OJywzOTQ0NywsLCwnU0VLJyk=&amp;WINDOW=FIRST_POPUP&amp;HEIGHT=450&amp;WIDTH=450&amp;","START_MAXIMIZED=FALSE&amp;VAR:CALENDAR=FIVEDAY&amp;VAR:SYMBOL=454047&amp;VAR:INDEX=0"}</definedName>
    <definedName name="_990__FDSAUDITLINK__" localSheetId="8" hidden="1">{"fdsup://IBCentral/FAT Viewer?action=UPDATE&amp;creator=factset&amp;DOC_NAME=fat:reuters_qtrly_source_window.fat&amp;display_string=Audit&amp;DYN_ARGS=TRUE&amp;VAR:ID1=221353&amp;VAR:RCODE=LMIN&amp;VAR:SDATE=20060999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990__FDSAUDITLINK__" hidden="1">{"fdsup://IBCentral/FAT Viewer?action=UPDATE&amp;creator=factset&amp;DOC_NAME=fat:reuters_qtrly_source_window.fat&amp;display_string=Audit&amp;DYN_ARGS=TRUE&amp;VAR:ID1=221353&amp;VAR:RCODE=LMIN&amp;VAR:SDATE=20060999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991__FDSAUDITLINK__" localSheetId="8" hidden="1">{"fdsup://IBCentral/FAT Viewer?action=UPDATE&amp;creator=factset&amp;DOC_NAME=fat:reuters_qtrly_source_window.fat&amp;display_string=Audit&amp;DYN_ARGS=TRUE&amp;VAR:ID1=221353&amp;VAR:RCODE=STLD&amp;VAR:SDATE=20060999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991__FDSAUDITLINK__" hidden="1">{"fdsup://IBCentral/FAT Viewer?action=UPDATE&amp;creator=factset&amp;DOC_NAME=fat:reuters_qtrly_source_window.fat&amp;display_string=Audit&amp;DYN_ARGS=TRUE&amp;VAR:ID1=221353&amp;VAR:RCODE=STLD&amp;VAR:SDATE=20060999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992__FDSAUDITLINK__" localSheetId="8" hidden="1">{"fdsup://IBCentral/FAT Viewer?action=UPDATE&amp;creator=factset&amp;DOC_NAME=fat:reuters_qtrly_source_window.fat&amp;display_string=Audit&amp;DYN_ARGS=TRUE&amp;VAR:ID1=221353&amp;VAR:RCODE=SCSI&amp;VAR:SDATE=20060999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992__FDSAUDITLINK__" hidden="1">{"fdsup://IBCentral/FAT Viewer?action=UPDATE&amp;creator=factset&amp;DOC_NAME=fat:reuters_qtrly_source_window.fat&amp;display_string=Audit&amp;DYN_ARGS=TRUE&amp;VAR:ID1=221353&amp;VAR:RCODE=SCSI&amp;VAR:SDATE=20060999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993__FDSAUDITLINK__" localSheetId="8" hidden="1">{"fdsup://IBCentral/FAT Viewer?action=UPDATE&amp;creator=factset&amp;DOC_NAME=fat:reuters_annual_source_window.fat&amp;display_string=Audit&amp;DYN_ARGS=TRUE&amp;VAR:ID1=221353&amp;VAR:RCODE=FDSPFDSTKTOTAL&amp;VAR:SDATE=20051299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993__FDSAUDITLINK__" hidden="1">{"fdsup://IBCentral/FAT Viewer?action=UPDATE&amp;creator=factset&amp;DOC_NAME=fat:reuters_annual_source_window.fat&amp;display_string=Audit&amp;DYN_ARGS=TRUE&amp;VAR:ID1=221353&amp;VAR:RCODE=FDSPFDSTKTOTAL&amp;VAR:SDATE=20051299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994__FDSAUDITLINK__" localSheetId="8" hidden="1">{"fdsup://IBCentral/FAT Viewer?action=UPDATE&amp;creator=factset&amp;DOC_NAME=fat:reuters_annual_source_window.fat&amp;display_string=Audit&amp;DYN_ARGS=TRUE&amp;VAR:ID1=221353&amp;VAR:RCODE=AEQI&amp;VAR:SDATE=20051299&amp;VAR:FREQ=Y&amp;VAR:RELITEM=RP&amp;VAR:CURRENCY=USD&amp;VAR:CURRSOURCE=EXSHARE&amp;","VAR:NATFREQ=ANNUAL&amp;VAR:RFIELD=FINALIZED&amp;VAR:DB_TYPE=&amp;VAR:UNITS=M&amp;window=popup&amp;width=450&amp;height=300&amp;START_MAXIMIZED=FALSE"}</definedName>
    <definedName name="_994__FDSAUDITLINK__" hidden="1">{"fdsup://IBCentral/FAT Viewer?action=UPDATE&amp;creator=factset&amp;DOC_NAME=fat:reuters_annual_source_window.fat&amp;display_string=Audit&amp;DYN_ARGS=TRUE&amp;VAR:ID1=221353&amp;VAR:RCODE=AEQI&amp;VAR:SDATE=20051299&amp;VAR:FREQ=Y&amp;VAR:RELITEM=RP&amp;VAR:CURRENCY=USD&amp;VAR:CURRSOURCE=EXSHARE&amp;","VAR:NATFREQ=ANNUAL&amp;VAR:RFIELD=FINALIZED&amp;VAR:DB_TYPE=&amp;VAR:UNITS=M&amp;window=popup&amp;width=450&amp;height=300&amp;START_MAXIMIZED=FALSE"}</definedName>
    <definedName name="_995__FDSAUDITLINK__" localSheetId="8" hidden="1">{"fdsup://IBCentral/FAT Viewer?action=UPDATE&amp;creator=factset&amp;DOC_NAME=fat:reuters_qtrly_source_window.fat&amp;display_string=Audit&amp;DYN_ARGS=TRUE&amp;VAR:ID1=221353&amp;VAR:RCODE=LMIN&amp;VAR:SDATE=20060999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995__FDSAUDITLINK__" hidden="1">{"fdsup://IBCentral/FAT Viewer?action=UPDATE&amp;creator=factset&amp;DOC_NAME=fat:reuters_qtrly_source_window.fat&amp;display_string=Audit&amp;DYN_ARGS=TRUE&amp;VAR:ID1=221353&amp;VAR:RCODE=LMIN&amp;VAR:SDATE=20060999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996__FDSAUDITLINK__" localSheetId="8" hidden="1">{"fdsup://IBCentral/FAT Viewer?action=UPDATE&amp;creator=factset&amp;DOC_NAME=fat:reuters_qtrly_source_window.fat&amp;display_string=Audit&amp;DYN_ARGS=TRUE&amp;VAR:ID1=221353&amp;VAR:RCODE=STLD&amp;VAR:SDATE=20060999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996__FDSAUDITLINK__" hidden="1">{"fdsup://IBCentral/FAT Viewer?action=UPDATE&amp;creator=factset&amp;DOC_NAME=fat:reuters_qtrly_source_window.fat&amp;display_string=Audit&amp;DYN_ARGS=TRUE&amp;VAR:ID1=221353&amp;VAR:RCODE=STLD&amp;VAR:SDATE=20060999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997__FDSAUDITLINK__" localSheetId="8" hidden="1">{"fdsup://IBCentral/FAT Viewer?action=UPDATE&amp;creator=factset&amp;DOC_NAME=fat:reuters_qtrly_source_window.fat&amp;display_string=Audit&amp;DYN_ARGS=TRUE&amp;VAR:ID1=221353&amp;VAR:RCODE=SCSI&amp;VAR:SDATE=20060999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997__FDSAUDITLINK__" hidden="1">{"fdsup://IBCentral/FAT Viewer?action=UPDATE&amp;creator=factset&amp;DOC_NAME=fat:reuters_qtrly_source_window.fat&amp;display_string=Audit&amp;DYN_ARGS=TRUE&amp;VAR:ID1=221353&amp;VAR:RCODE=SCSI&amp;VAR:SDATE=20060999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998__FDSAUDITLINK__" localSheetId="8" hidden="1">{"fdsup://IBCentral/FAT Viewer?action=UPDATE&amp;creator=factset&amp;DOC_NAME=fat:reuters_annual_source_window.fat&amp;display_string=Audit&amp;DYN_ARGS=TRUE&amp;VAR:ID1=221353&amp;VAR:RCODE=FDSPFDSTKTOTAL&amp;VAR:SDATE=20051299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998__FDSAUDITLINK__" hidden="1">{"fdsup://IBCentral/FAT Viewer?action=UPDATE&amp;creator=factset&amp;DOC_NAME=fat:reuters_annual_source_window.fat&amp;display_string=Audit&amp;DYN_ARGS=TRUE&amp;VAR:ID1=221353&amp;VAR:RCODE=FDSPFDSTKTOTAL&amp;VAR:SDATE=20051299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999__FDSAUDITLINK__" localSheetId="8" hidden="1">{"fdsup://IBCentral/FAT Viewer?action=UPDATE&amp;creator=factset&amp;DOC_NAME=fat:reuters_annual_source_window.fat&amp;display_string=Audit&amp;DYN_ARGS=TRUE&amp;VAR:ID1=221353&amp;VAR:RCODE=AEQI&amp;VAR:SDATE=20051299&amp;VAR:FREQ=Y&amp;VAR:RELITEM=RP&amp;VAR:CURRENCY=USD&amp;VAR:CURRSOURCE=EXSHARE&amp;","VAR:NATFREQ=ANNUAL&amp;VAR:RFIELD=FINALIZED&amp;VAR:DB_TYPE=&amp;VAR:UNITS=M&amp;window=popup&amp;width=450&amp;height=300&amp;START_MAXIMIZED=FALSE"}</definedName>
    <definedName name="_999__FDSAUDITLINK__" hidden="1">{"fdsup://IBCentral/FAT Viewer?action=UPDATE&amp;creator=factset&amp;DOC_NAME=fat:reuters_annual_source_window.fat&amp;display_string=Audit&amp;DYN_ARGS=TRUE&amp;VAR:ID1=221353&amp;VAR:RCODE=AEQI&amp;VAR:SDATE=20051299&amp;VAR:FREQ=Y&amp;VAR:RELITEM=RP&amp;VAR:CURRENCY=USD&amp;VAR:CURRSOURCE=EXSHARE&amp;","VAR:NATFREQ=ANNUAL&amp;VAR:RFIELD=FINALIZED&amp;VAR:DB_TYPE=&amp;VAR:UNITS=M&amp;window=popup&amp;width=450&amp;height=300&amp;START_MAXIMIZED=FALSE"}</definedName>
    <definedName name="_a1" localSheetId="7" hidden="1">{#N/A,#N/A,FALSE,"Pharm";#N/A,#N/A,FALSE,"WWCM"}</definedName>
    <definedName name="_a1" localSheetId="8" hidden="1">{"mgmt forecast",#N/A,FALSE,"Mgmt Forecast";"dcf table",#N/A,FALSE,"Mgmt Forecast";"sensitivity",#N/A,FALSE,"Mgmt Forecast";"table inputs",#N/A,FALSE,"Mgmt Forecast";"calculations",#N/A,FALSE,"Mgmt Forecast"}</definedName>
    <definedName name="_a1" hidden="1">{#N/A,#N/A,FALSE,"Pharm";#N/A,#N/A,FALSE,"WWCM"}</definedName>
    <definedName name="_a1_1" localSheetId="8" hidden="1">{"mgmt forecast",#N/A,FALSE,"Mgmt Forecast";"dcf table",#N/A,FALSE,"Mgmt Forecast";"sensitivity",#N/A,FALSE,"Mgmt Forecast";"table inputs",#N/A,FALSE,"Mgmt Forecast";"calculations",#N/A,FALSE,"Mgmt Forecast"}</definedName>
    <definedName name="_a1_1" hidden="1">{"mgmt forecast",#N/A,FALSE,"Mgmt Forecast";"dcf table",#N/A,FALSE,"Mgmt Forecast";"sensitivity",#N/A,FALSE,"Mgmt Forecast";"table inputs",#N/A,FALSE,"Mgmt Forecast";"calculations",#N/A,FALSE,"Mgmt Forecast"}</definedName>
    <definedName name="_a1_1_1" localSheetId="8" hidden="1">{"mgmt forecast",#N/A,FALSE,"Mgmt Forecast";"dcf table",#N/A,FALSE,"Mgmt Forecast";"sensitivity",#N/A,FALSE,"Mgmt Forecast";"table inputs",#N/A,FALSE,"Mgmt Forecast";"calculations",#N/A,FALSE,"Mgmt Forecast"}</definedName>
    <definedName name="_a1_1_1" hidden="1">{"mgmt forecast",#N/A,FALSE,"Mgmt Forecast";"dcf table",#N/A,FALSE,"Mgmt Forecast";"sensitivity",#N/A,FALSE,"Mgmt Forecast";"table inputs",#N/A,FALSE,"Mgmt Forecast";"calculations",#N/A,FALSE,"Mgmt Forecast"}</definedName>
    <definedName name="_a1_1_1_1" localSheetId="8" hidden="1">{"mgmt forecast",#N/A,FALSE,"Mgmt Forecast";"dcf table",#N/A,FALSE,"Mgmt Forecast";"sensitivity",#N/A,FALSE,"Mgmt Forecast";"table inputs",#N/A,FALSE,"Mgmt Forecast";"calculations",#N/A,FALSE,"Mgmt Forecast"}</definedName>
    <definedName name="_a1_1_1_1" hidden="1">{"mgmt forecast",#N/A,FALSE,"Mgmt Forecast";"dcf table",#N/A,FALSE,"Mgmt Forecast";"sensitivity",#N/A,FALSE,"Mgmt Forecast";"table inputs",#N/A,FALSE,"Mgmt Forecast";"calculations",#N/A,FALSE,"Mgmt Forecast"}</definedName>
    <definedName name="_a1_1_1_2" localSheetId="8" hidden="1">{"mgmt forecast",#N/A,FALSE,"Mgmt Forecast";"dcf table",#N/A,FALSE,"Mgmt Forecast";"sensitivity",#N/A,FALSE,"Mgmt Forecast";"table inputs",#N/A,FALSE,"Mgmt Forecast";"calculations",#N/A,FALSE,"Mgmt Forecast"}</definedName>
    <definedName name="_a1_1_1_2" hidden="1">{"mgmt forecast",#N/A,FALSE,"Mgmt Forecast";"dcf table",#N/A,FALSE,"Mgmt Forecast";"sensitivity",#N/A,FALSE,"Mgmt Forecast";"table inputs",#N/A,FALSE,"Mgmt Forecast";"calculations",#N/A,FALSE,"Mgmt Forecast"}</definedName>
    <definedName name="_a1_1_1_3" localSheetId="8" hidden="1">{"mgmt forecast",#N/A,FALSE,"Mgmt Forecast";"dcf table",#N/A,FALSE,"Mgmt Forecast";"sensitivity",#N/A,FALSE,"Mgmt Forecast";"table inputs",#N/A,FALSE,"Mgmt Forecast";"calculations",#N/A,FALSE,"Mgmt Forecast"}</definedName>
    <definedName name="_a1_1_1_3" hidden="1">{"mgmt forecast",#N/A,FALSE,"Mgmt Forecast";"dcf table",#N/A,FALSE,"Mgmt Forecast";"sensitivity",#N/A,FALSE,"Mgmt Forecast";"table inputs",#N/A,FALSE,"Mgmt Forecast";"calculations",#N/A,FALSE,"Mgmt Forecast"}</definedName>
    <definedName name="_a1_1_1_4" localSheetId="8" hidden="1">{"mgmt forecast",#N/A,FALSE,"Mgmt Forecast";"dcf table",#N/A,FALSE,"Mgmt Forecast";"sensitivity",#N/A,FALSE,"Mgmt Forecast";"table inputs",#N/A,FALSE,"Mgmt Forecast";"calculations",#N/A,FALSE,"Mgmt Forecast"}</definedName>
    <definedName name="_a1_1_1_4" hidden="1">{"mgmt forecast",#N/A,FALSE,"Mgmt Forecast";"dcf table",#N/A,FALSE,"Mgmt Forecast";"sensitivity",#N/A,FALSE,"Mgmt Forecast";"table inputs",#N/A,FALSE,"Mgmt Forecast";"calculations",#N/A,FALSE,"Mgmt Forecast"}</definedName>
    <definedName name="_a1_1_1_5" localSheetId="8" hidden="1">{"mgmt forecast",#N/A,FALSE,"Mgmt Forecast";"dcf table",#N/A,FALSE,"Mgmt Forecast";"sensitivity",#N/A,FALSE,"Mgmt Forecast";"table inputs",#N/A,FALSE,"Mgmt Forecast";"calculations",#N/A,FALSE,"Mgmt Forecast"}</definedName>
    <definedName name="_a1_1_1_5" hidden="1">{"mgmt forecast",#N/A,FALSE,"Mgmt Forecast";"dcf table",#N/A,FALSE,"Mgmt Forecast";"sensitivity",#N/A,FALSE,"Mgmt Forecast";"table inputs",#N/A,FALSE,"Mgmt Forecast";"calculations",#N/A,FALSE,"Mgmt Forecast"}</definedName>
    <definedName name="_a1_1_2" localSheetId="8" hidden="1">{"mgmt forecast",#N/A,FALSE,"Mgmt Forecast";"dcf table",#N/A,FALSE,"Mgmt Forecast";"sensitivity",#N/A,FALSE,"Mgmt Forecast";"table inputs",#N/A,FALSE,"Mgmt Forecast";"calculations",#N/A,FALSE,"Mgmt Forecast"}</definedName>
    <definedName name="_a1_1_2" hidden="1">{"mgmt forecast",#N/A,FALSE,"Mgmt Forecast";"dcf table",#N/A,FALSE,"Mgmt Forecast";"sensitivity",#N/A,FALSE,"Mgmt Forecast";"table inputs",#N/A,FALSE,"Mgmt Forecast";"calculations",#N/A,FALSE,"Mgmt Forecast"}</definedName>
    <definedName name="_a1_1_2_1" localSheetId="8" hidden="1">{"mgmt forecast",#N/A,FALSE,"Mgmt Forecast";"dcf table",#N/A,FALSE,"Mgmt Forecast";"sensitivity",#N/A,FALSE,"Mgmt Forecast";"table inputs",#N/A,FALSE,"Mgmt Forecast";"calculations",#N/A,FALSE,"Mgmt Forecast"}</definedName>
    <definedName name="_a1_1_2_1" hidden="1">{"mgmt forecast",#N/A,FALSE,"Mgmt Forecast";"dcf table",#N/A,FALSE,"Mgmt Forecast";"sensitivity",#N/A,FALSE,"Mgmt Forecast";"table inputs",#N/A,FALSE,"Mgmt Forecast";"calculations",#N/A,FALSE,"Mgmt Forecast"}</definedName>
    <definedName name="_a1_1_2_2" localSheetId="8" hidden="1">{"mgmt forecast",#N/A,FALSE,"Mgmt Forecast";"dcf table",#N/A,FALSE,"Mgmt Forecast";"sensitivity",#N/A,FALSE,"Mgmt Forecast";"table inputs",#N/A,FALSE,"Mgmt Forecast";"calculations",#N/A,FALSE,"Mgmt Forecast"}</definedName>
    <definedName name="_a1_1_2_2" hidden="1">{"mgmt forecast",#N/A,FALSE,"Mgmt Forecast";"dcf table",#N/A,FALSE,"Mgmt Forecast";"sensitivity",#N/A,FALSE,"Mgmt Forecast";"table inputs",#N/A,FALSE,"Mgmt Forecast";"calculations",#N/A,FALSE,"Mgmt Forecast"}</definedName>
    <definedName name="_a1_1_2_3" localSheetId="8" hidden="1">{"mgmt forecast",#N/A,FALSE,"Mgmt Forecast";"dcf table",#N/A,FALSE,"Mgmt Forecast";"sensitivity",#N/A,FALSE,"Mgmt Forecast";"table inputs",#N/A,FALSE,"Mgmt Forecast";"calculations",#N/A,FALSE,"Mgmt Forecast"}</definedName>
    <definedName name="_a1_1_2_3" hidden="1">{"mgmt forecast",#N/A,FALSE,"Mgmt Forecast";"dcf table",#N/A,FALSE,"Mgmt Forecast";"sensitivity",#N/A,FALSE,"Mgmt Forecast";"table inputs",#N/A,FALSE,"Mgmt Forecast";"calculations",#N/A,FALSE,"Mgmt Forecast"}</definedName>
    <definedName name="_a1_1_2_4" localSheetId="8" hidden="1">{"mgmt forecast",#N/A,FALSE,"Mgmt Forecast";"dcf table",#N/A,FALSE,"Mgmt Forecast";"sensitivity",#N/A,FALSE,"Mgmt Forecast";"table inputs",#N/A,FALSE,"Mgmt Forecast";"calculations",#N/A,FALSE,"Mgmt Forecast"}</definedName>
    <definedName name="_a1_1_2_4" hidden="1">{"mgmt forecast",#N/A,FALSE,"Mgmt Forecast";"dcf table",#N/A,FALSE,"Mgmt Forecast";"sensitivity",#N/A,FALSE,"Mgmt Forecast";"table inputs",#N/A,FALSE,"Mgmt Forecast";"calculations",#N/A,FALSE,"Mgmt Forecast"}</definedName>
    <definedName name="_a1_1_2_5" localSheetId="8" hidden="1">{"mgmt forecast",#N/A,FALSE,"Mgmt Forecast";"dcf table",#N/A,FALSE,"Mgmt Forecast";"sensitivity",#N/A,FALSE,"Mgmt Forecast";"table inputs",#N/A,FALSE,"Mgmt Forecast";"calculations",#N/A,FALSE,"Mgmt Forecast"}</definedName>
    <definedName name="_a1_1_2_5" hidden="1">{"mgmt forecast",#N/A,FALSE,"Mgmt Forecast";"dcf table",#N/A,FALSE,"Mgmt Forecast";"sensitivity",#N/A,FALSE,"Mgmt Forecast";"table inputs",#N/A,FALSE,"Mgmt Forecast";"calculations",#N/A,FALSE,"Mgmt Forecast"}</definedName>
    <definedName name="_a1_1_3" localSheetId="8" hidden="1">{"mgmt forecast",#N/A,FALSE,"Mgmt Forecast";"dcf table",#N/A,FALSE,"Mgmt Forecast";"sensitivity",#N/A,FALSE,"Mgmt Forecast";"table inputs",#N/A,FALSE,"Mgmt Forecast";"calculations",#N/A,FALSE,"Mgmt Forecast"}</definedName>
    <definedName name="_a1_1_3" hidden="1">{"mgmt forecast",#N/A,FALSE,"Mgmt Forecast";"dcf table",#N/A,FALSE,"Mgmt Forecast";"sensitivity",#N/A,FALSE,"Mgmt Forecast";"table inputs",#N/A,FALSE,"Mgmt Forecast";"calculations",#N/A,FALSE,"Mgmt Forecast"}</definedName>
    <definedName name="_a1_1_3_1" localSheetId="8" hidden="1">{"mgmt forecast",#N/A,FALSE,"Mgmt Forecast";"dcf table",#N/A,FALSE,"Mgmt Forecast";"sensitivity",#N/A,FALSE,"Mgmt Forecast";"table inputs",#N/A,FALSE,"Mgmt Forecast";"calculations",#N/A,FALSE,"Mgmt Forecast"}</definedName>
    <definedName name="_a1_1_3_1" hidden="1">{"mgmt forecast",#N/A,FALSE,"Mgmt Forecast";"dcf table",#N/A,FALSE,"Mgmt Forecast";"sensitivity",#N/A,FALSE,"Mgmt Forecast";"table inputs",#N/A,FALSE,"Mgmt Forecast";"calculations",#N/A,FALSE,"Mgmt Forecast"}</definedName>
    <definedName name="_a1_1_3_2" localSheetId="8" hidden="1">{"mgmt forecast",#N/A,FALSE,"Mgmt Forecast";"dcf table",#N/A,FALSE,"Mgmt Forecast";"sensitivity",#N/A,FALSE,"Mgmt Forecast";"table inputs",#N/A,FALSE,"Mgmt Forecast";"calculations",#N/A,FALSE,"Mgmt Forecast"}</definedName>
    <definedName name="_a1_1_3_2" hidden="1">{"mgmt forecast",#N/A,FALSE,"Mgmt Forecast";"dcf table",#N/A,FALSE,"Mgmt Forecast";"sensitivity",#N/A,FALSE,"Mgmt Forecast";"table inputs",#N/A,FALSE,"Mgmt Forecast";"calculations",#N/A,FALSE,"Mgmt Forecast"}</definedName>
    <definedName name="_a1_1_3_3" localSheetId="8" hidden="1">{"mgmt forecast",#N/A,FALSE,"Mgmt Forecast";"dcf table",#N/A,FALSE,"Mgmt Forecast";"sensitivity",#N/A,FALSE,"Mgmt Forecast";"table inputs",#N/A,FALSE,"Mgmt Forecast";"calculations",#N/A,FALSE,"Mgmt Forecast"}</definedName>
    <definedName name="_a1_1_3_3" hidden="1">{"mgmt forecast",#N/A,FALSE,"Mgmt Forecast";"dcf table",#N/A,FALSE,"Mgmt Forecast";"sensitivity",#N/A,FALSE,"Mgmt Forecast";"table inputs",#N/A,FALSE,"Mgmt Forecast";"calculations",#N/A,FALSE,"Mgmt Forecast"}</definedName>
    <definedName name="_a1_1_3_4" localSheetId="8" hidden="1">{"mgmt forecast",#N/A,FALSE,"Mgmt Forecast";"dcf table",#N/A,FALSE,"Mgmt Forecast";"sensitivity",#N/A,FALSE,"Mgmt Forecast";"table inputs",#N/A,FALSE,"Mgmt Forecast";"calculations",#N/A,FALSE,"Mgmt Forecast"}</definedName>
    <definedName name="_a1_1_3_4" hidden="1">{"mgmt forecast",#N/A,FALSE,"Mgmt Forecast";"dcf table",#N/A,FALSE,"Mgmt Forecast";"sensitivity",#N/A,FALSE,"Mgmt Forecast";"table inputs",#N/A,FALSE,"Mgmt Forecast";"calculations",#N/A,FALSE,"Mgmt Forecast"}</definedName>
    <definedName name="_a1_1_3_5" localSheetId="8" hidden="1">{"mgmt forecast",#N/A,FALSE,"Mgmt Forecast";"dcf table",#N/A,FALSE,"Mgmt Forecast";"sensitivity",#N/A,FALSE,"Mgmt Forecast";"table inputs",#N/A,FALSE,"Mgmt Forecast";"calculations",#N/A,FALSE,"Mgmt Forecast"}</definedName>
    <definedName name="_a1_1_3_5" hidden="1">{"mgmt forecast",#N/A,FALSE,"Mgmt Forecast";"dcf table",#N/A,FALSE,"Mgmt Forecast";"sensitivity",#N/A,FALSE,"Mgmt Forecast";"table inputs",#N/A,FALSE,"Mgmt Forecast";"calculations",#N/A,FALSE,"Mgmt Forecast"}</definedName>
    <definedName name="_a1_1_4" localSheetId="8" hidden="1">{"mgmt forecast",#N/A,FALSE,"Mgmt Forecast";"dcf table",#N/A,FALSE,"Mgmt Forecast";"sensitivity",#N/A,FALSE,"Mgmt Forecast";"table inputs",#N/A,FALSE,"Mgmt Forecast";"calculations",#N/A,FALSE,"Mgmt Forecast"}</definedName>
    <definedName name="_a1_1_4" hidden="1">{"mgmt forecast",#N/A,FALSE,"Mgmt Forecast";"dcf table",#N/A,FALSE,"Mgmt Forecast";"sensitivity",#N/A,FALSE,"Mgmt Forecast";"table inputs",#N/A,FALSE,"Mgmt Forecast";"calculations",#N/A,FALSE,"Mgmt Forecast"}</definedName>
    <definedName name="_a1_1_4_1" localSheetId="8" hidden="1">{"mgmt forecast",#N/A,FALSE,"Mgmt Forecast";"dcf table",#N/A,FALSE,"Mgmt Forecast";"sensitivity",#N/A,FALSE,"Mgmt Forecast";"table inputs",#N/A,FALSE,"Mgmt Forecast";"calculations",#N/A,FALSE,"Mgmt Forecast"}</definedName>
    <definedName name="_a1_1_4_1" hidden="1">{"mgmt forecast",#N/A,FALSE,"Mgmt Forecast";"dcf table",#N/A,FALSE,"Mgmt Forecast";"sensitivity",#N/A,FALSE,"Mgmt Forecast";"table inputs",#N/A,FALSE,"Mgmt Forecast";"calculations",#N/A,FALSE,"Mgmt Forecast"}</definedName>
    <definedName name="_a1_1_4_2" localSheetId="8" hidden="1">{"mgmt forecast",#N/A,FALSE,"Mgmt Forecast";"dcf table",#N/A,FALSE,"Mgmt Forecast";"sensitivity",#N/A,FALSE,"Mgmt Forecast";"table inputs",#N/A,FALSE,"Mgmt Forecast";"calculations",#N/A,FALSE,"Mgmt Forecast"}</definedName>
    <definedName name="_a1_1_4_2" hidden="1">{"mgmt forecast",#N/A,FALSE,"Mgmt Forecast";"dcf table",#N/A,FALSE,"Mgmt Forecast";"sensitivity",#N/A,FALSE,"Mgmt Forecast";"table inputs",#N/A,FALSE,"Mgmt Forecast";"calculations",#N/A,FALSE,"Mgmt Forecast"}</definedName>
    <definedName name="_a1_1_4_3" localSheetId="8" hidden="1">{"mgmt forecast",#N/A,FALSE,"Mgmt Forecast";"dcf table",#N/A,FALSE,"Mgmt Forecast";"sensitivity",#N/A,FALSE,"Mgmt Forecast";"table inputs",#N/A,FALSE,"Mgmt Forecast";"calculations",#N/A,FALSE,"Mgmt Forecast"}</definedName>
    <definedName name="_a1_1_4_3" hidden="1">{"mgmt forecast",#N/A,FALSE,"Mgmt Forecast";"dcf table",#N/A,FALSE,"Mgmt Forecast";"sensitivity",#N/A,FALSE,"Mgmt Forecast";"table inputs",#N/A,FALSE,"Mgmt Forecast";"calculations",#N/A,FALSE,"Mgmt Forecast"}</definedName>
    <definedName name="_a1_1_4_4" localSheetId="8" hidden="1">{"mgmt forecast",#N/A,FALSE,"Mgmt Forecast";"dcf table",#N/A,FALSE,"Mgmt Forecast";"sensitivity",#N/A,FALSE,"Mgmt Forecast";"table inputs",#N/A,FALSE,"Mgmt Forecast";"calculations",#N/A,FALSE,"Mgmt Forecast"}</definedName>
    <definedName name="_a1_1_4_4" hidden="1">{"mgmt forecast",#N/A,FALSE,"Mgmt Forecast";"dcf table",#N/A,FALSE,"Mgmt Forecast";"sensitivity",#N/A,FALSE,"Mgmt Forecast";"table inputs",#N/A,FALSE,"Mgmt Forecast";"calculations",#N/A,FALSE,"Mgmt Forecast"}</definedName>
    <definedName name="_a1_1_4_5" localSheetId="8" hidden="1">{"mgmt forecast",#N/A,FALSE,"Mgmt Forecast";"dcf table",#N/A,FALSE,"Mgmt Forecast";"sensitivity",#N/A,FALSE,"Mgmt Forecast";"table inputs",#N/A,FALSE,"Mgmt Forecast";"calculations",#N/A,FALSE,"Mgmt Forecast"}</definedName>
    <definedName name="_a1_1_4_5" hidden="1">{"mgmt forecast",#N/A,FALSE,"Mgmt Forecast";"dcf table",#N/A,FALSE,"Mgmt Forecast";"sensitivity",#N/A,FALSE,"Mgmt Forecast";"table inputs",#N/A,FALSE,"Mgmt Forecast";"calculations",#N/A,FALSE,"Mgmt Forecast"}</definedName>
    <definedName name="_a1_1_5" localSheetId="8" hidden="1">{"mgmt forecast",#N/A,FALSE,"Mgmt Forecast";"dcf table",#N/A,FALSE,"Mgmt Forecast";"sensitivity",#N/A,FALSE,"Mgmt Forecast";"table inputs",#N/A,FALSE,"Mgmt Forecast";"calculations",#N/A,FALSE,"Mgmt Forecast"}</definedName>
    <definedName name="_a1_1_5" hidden="1">{"mgmt forecast",#N/A,FALSE,"Mgmt Forecast";"dcf table",#N/A,FALSE,"Mgmt Forecast";"sensitivity",#N/A,FALSE,"Mgmt Forecast";"table inputs",#N/A,FALSE,"Mgmt Forecast";"calculations",#N/A,FALSE,"Mgmt Forecast"}</definedName>
    <definedName name="_a1_1_5_1" localSheetId="8" hidden="1">{"mgmt forecast",#N/A,FALSE,"Mgmt Forecast";"dcf table",#N/A,FALSE,"Mgmt Forecast";"sensitivity",#N/A,FALSE,"Mgmt Forecast";"table inputs",#N/A,FALSE,"Mgmt Forecast";"calculations",#N/A,FALSE,"Mgmt Forecast"}</definedName>
    <definedName name="_a1_1_5_1" hidden="1">{"mgmt forecast",#N/A,FALSE,"Mgmt Forecast";"dcf table",#N/A,FALSE,"Mgmt Forecast";"sensitivity",#N/A,FALSE,"Mgmt Forecast";"table inputs",#N/A,FALSE,"Mgmt Forecast";"calculations",#N/A,FALSE,"Mgmt Forecast"}</definedName>
    <definedName name="_a1_1_5_2" localSheetId="8" hidden="1">{"mgmt forecast",#N/A,FALSE,"Mgmt Forecast";"dcf table",#N/A,FALSE,"Mgmt Forecast";"sensitivity",#N/A,FALSE,"Mgmt Forecast";"table inputs",#N/A,FALSE,"Mgmt Forecast";"calculations",#N/A,FALSE,"Mgmt Forecast"}</definedName>
    <definedName name="_a1_1_5_2" hidden="1">{"mgmt forecast",#N/A,FALSE,"Mgmt Forecast";"dcf table",#N/A,FALSE,"Mgmt Forecast";"sensitivity",#N/A,FALSE,"Mgmt Forecast";"table inputs",#N/A,FALSE,"Mgmt Forecast";"calculations",#N/A,FALSE,"Mgmt Forecast"}</definedName>
    <definedName name="_a1_1_5_3" localSheetId="8" hidden="1">{"mgmt forecast",#N/A,FALSE,"Mgmt Forecast";"dcf table",#N/A,FALSE,"Mgmt Forecast";"sensitivity",#N/A,FALSE,"Mgmt Forecast";"table inputs",#N/A,FALSE,"Mgmt Forecast";"calculations",#N/A,FALSE,"Mgmt Forecast"}</definedName>
    <definedName name="_a1_1_5_3" hidden="1">{"mgmt forecast",#N/A,FALSE,"Mgmt Forecast";"dcf table",#N/A,FALSE,"Mgmt Forecast";"sensitivity",#N/A,FALSE,"Mgmt Forecast";"table inputs",#N/A,FALSE,"Mgmt Forecast";"calculations",#N/A,FALSE,"Mgmt Forecast"}</definedName>
    <definedName name="_a1_1_5_4" localSheetId="8" hidden="1">{"mgmt forecast",#N/A,FALSE,"Mgmt Forecast";"dcf table",#N/A,FALSE,"Mgmt Forecast";"sensitivity",#N/A,FALSE,"Mgmt Forecast";"table inputs",#N/A,FALSE,"Mgmt Forecast";"calculations",#N/A,FALSE,"Mgmt Forecast"}</definedName>
    <definedName name="_a1_1_5_4" hidden="1">{"mgmt forecast",#N/A,FALSE,"Mgmt Forecast";"dcf table",#N/A,FALSE,"Mgmt Forecast";"sensitivity",#N/A,FALSE,"Mgmt Forecast";"table inputs",#N/A,FALSE,"Mgmt Forecast";"calculations",#N/A,FALSE,"Mgmt Forecast"}</definedName>
    <definedName name="_a1_1_5_5" localSheetId="8" hidden="1">{"mgmt forecast",#N/A,FALSE,"Mgmt Forecast";"dcf table",#N/A,FALSE,"Mgmt Forecast";"sensitivity",#N/A,FALSE,"Mgmt Forecast";"table inputs",#N/A,FALSE,"Mgmt Forecast";"calculations",#N/A,FALSE,"Mgmt Forecast"}</definedName>
    <definedName name="_a1_1_5_5" hidden="1">{"mgmt forecast",#N/A,FALSE,"Mgmt Forecast";"dcf table",#N/A,FALSE,"Mgmt Forecast";"sensitivity",#N/A,FALSE,"Mgmt Forecast";"table inputs",#N/A,FALSE,"Mgmt Forecast";"calculations",#N/A,FALSE,"Mgmt Forecast"}</definedName>
    <definedName name="_a1_2" localSheetId="8" hidden="1">{"mgmt forecast",#N/A,FALSE,"Mgmt Forecast";"dcf table",#N/A,FALSE,"Mgmt Forecast";"sensitivity",#N/A,FALSE,"Mgmt Forecast";"table inputs",#N/A,FALSE,"Mgmt Forecast";"calculations",#N/A,FALSE,"Mgmt Forecast"}</definedName>
    <definedName name="_a1_2" hidden="1">{"mgmt forecast",#N/A,FALSE,"Mgmt Forecast";"dcf table",#N/A,FALSE,"Mgmt Forecast";"sensitivity",#N/A,FALSE,"Mgmt Forecast";"table inputs",#N/A,FALSE,"Mgmt Forecast";"calculations",#N/A,FALSE,"Mgmt Forecast"}</definedName>
    <definedName name="_a1_2_1" localSheetId="8" hidden="1">{"mgmt forecast",#N/A,FALSE,"Mgmt Forecast";"dcf table",#N/A,FALSE,"Mgmt Forecast";"sensitivity",#N/A,FALSE,"Mgmt Forecast";"table inputs",#N/A,FALSE,"Mgmt Forecast";"calculations",#N/A,FALSE,"Mgmt Forecast"}</definedName>
    <definedName name="_a1_2_1" hidden="1">{"mgmt forecast",#N/A,FALSE,"Mgmt Forecast";"dcf table",#N/A,FALSE,"Mgmt Forecast";"sensitivity",#N/A,FALSE,"Mgmt Forecast";"table inputs",#N/A,FALSE,"Mgmt Forecast";"calculations",#N/A,FALSE,"Mgmt Forecast"}</definedName>
    <definedName name="_a1_2_1_1" localSheetId="8" hidden="1">{"mgmt forecast",#N/A,FALSE,"Mgmt Forecast";"dcf table",#N/A,FALSE,"Mgmt Forecast";"sensitivity",#N/A,FALSE,"Mgmt Forecast";"table inputs",#N/A,FALSE,"Mgmt Forecast";"calculations",#N/A,FALSE,"Mgmt Forecast"}</definedName>
    <definedName name="_a1_2_1_1" hidden="1">{"mgmt forecast",#N/A,FALSE,"Mgmt Forecast";"dcf table",#N/A,FALSE,"Mgmt Forecast";"sensitivity",#N/A,FALSE,"Mgmt Forecast";"table inputs",#N/A,FALSE,"Mgmt Forecast";"calculations",#N/A,FALSE,"Mgmt Forecast"}</definedName>
    <definedName name="_a1_2_1_2" localSheetId="8" hidden="1">{"mgmt forecast",#N/A,FALSE,"Mgmt Forecast";"dcf table",#N/A,FALSE,"Mgmt Forecast";"sensitivity",#N/A,FALSE,"Mgmt Forecast";"table inputs",#N/A,FALSE,"Mgmt Forecast";"calculations",#N/A,FALSE,"Mgmt Forecast"}</definedName>
    <definedName name="_a1_2_1_2" hidden="1">{"mgmt forecast",#N/A,FALSE,"Mgmt Forecast";"dcf table",#N/A,FALSE,"Mgmt Forecast";"sensitivity",#N/A,FALSE,"Mgmt Forecast";"table inputs",#N/A,FALSE,"Mgmt Forecast";"calculations",#N/A,FALSE,"Mgmt Forecast"}</definedName>
    <definedName name="_a1_2_1_3" localSheetId="8" hidden="1">{"mgmt forecast",#N/A,FALSE,"Mgmt Forecast";"dcf table",#N/A,FALSE,"Mgmt Forecast";"sensitivity",#N/A,FALSE,"Mgmt Forecast";"table inputs",#N/A,FALSE,"Mgmt Forecast";"calculations",#N/A,FALSE,"Mgmt Forecast"}</definedName>
    <definedName name="_a1_2_1_3" hidden="1">{"mgmt forecast",#N/A,FALSE,"Mgmt Forecast";"dcf table",#N/A,FALSE,"Mgmt Forecast";"sensitivity",#N/A,FALSE,"Mgmt Forecast";"table inputs",#N/A,FALSE,"Mgmt Forecast";"calculations",#N/A,FALSE,"Mgmt Forecast"}</definedName>
    <definedName name="_a1_2_1_4" localSheetId="8" hidden="1">{"mgmt forecast",#N/A,FALSE,"Mgmt Forecast";"dcf table",#N/A,FALSE,"Mgmt Forecast";"sensitivity",#N/A,FALSE,"Mgmt Forecast";"table inputs",#N/A,FALSE,"Mgmt Forecast";"calculations",#N/A,FALSE,"Mgmt Forecast"}</definedName>
    <definedName name="_a1_2_1_4" hidden="1">{"mgmt forecast",#N/A,FALSE,"Mgmt Forecast";"dcf table",#N/A,FALSE,"Mgmt Forecast";"sensitivity",#N/A,FALSE,"Mgmt Forecast";"table inputs",#N/A,FALSE,"Mgmt Forecast";"calculations",#N/A,FALSE,"Mgmt Forecast"}</definedName>
    <definedName name="_a1_2_1_5" localSheetId="8" hidden="1">{"mgmt forecast",#N/A,FALSE,"Mgmt Forecast";"dcf table",#N/A,FALSE,"Mgmt Forecast";"sensitivity",#N/A,FALSE,"Mgmt Forecast";"table inputs",#N/A,FALSE,"Mgmt Forecast";"calculations",#N/A,FALSE,"Mgmt Forecast"}</definedName>
    <definedName name="_a1_2_1_5" hidden="1">{"mgmt forecast",#N/A,FALSE,"Mgmt Forecast";"dcf table",#N/A,FALSE,"Mgmt Forecast";"sensitivity",#N/A,FALSE,"Mgmt Forecast";"table inputs",#N/A,FALSE,"Mgmt Forecast";"calculations",#N/A,FALSE,"Mgmt Forecast"}</definedName>
    <definedName name="_a1_2_2" localSheetId="8" hidden="1">{"mgmt forecast",#N/A,FALSE,"Mgmt Forecast";"dcf table",#N/A,FALSE,"Mgmt Forecast";"sensitivity",#N/A,FALSE,"Mgmt Forecast";"table inputs",#N/A,FALSE,"Mgmt Forecast";"calculations",#N/A,FALSE,"Mgmt Forecast"}</definedName>
    <definedName name="_a1_2_2" hidden="1">{"mgmt forecast",#N/A,FALSE,"Mgmt Forecast";"dcf table",#N/A,FALSE,"Mgmt Forecast";"sensitivity",#N/A,FALSE,"Mgmt Forecast";"table inputs",#N/A,FALSE,"Mgmt Forecast";"calculations",#N/A,FALSE,"Mgmt Forecast"}</definedName>
    <definedName name="_a1_2_2_1" localSheetId="8" hidden="1">{"mgmt forecast",#N/A,FALSE,"Mgmt Forecast";"dcf table",#N/A,FALSE,"Mgmt Forecast";"sensitivity",#N/A,FALSE,"Mgmt Forecast";"table inputs",#N/A,FALSE,"Mgmt Forecast";"calculations",#N/A,FALSE,"Mgmt Forecast"}</definedName>
    <definedName name="_a1_2_2_1" hidden="1">{"mgmt forecast",#N/A,FALSE,"Mgmt Forecast";"dcf table",#N/A,FALSE,"Mgmt Forecast";"sensitivity",#N/A,FALSE,"Mgmt Forecast";"table inputs",#N/A,FALSE,"Mgmt Forecast";"calculations",#N/A,FALSE,"Mgmt Forecast"}</definedName>
    <definedName name="_a1_2_2_2" localSheetId="8" hidden="1">{"mgmt forecast",#N/A,FALSE,"Mgmt Forecast";"dcf table",#N/A,FALSE,"Mgmt Forecast";"sensitivity",#N/A,FALSE,"Mgmt Forecast";"table inputs",#N/A,FALSE,"Mgmt Forecast";"calculations",#N/A,FALSE,"Mgmt Forecast"}</definedName>
    <definedName name="_a1_2_2_2" hidden="1">{"mgmt forecast",#N/A,FALSE,"Mgmt Forecast";"dcf table",#N/A,FALSE,"Mgmt Forecast";"sensitivity",#N/A,FALSE,"Mgmt Forecast";"table inputs",#N/A,FALSE,"Mgmt Forecast";"calculations",#N/A,FALSE,"Mgmt Forecast"}</definedName>
    <definedName name="_a1_2_2_3" localSheetId="8" hidden="1">{"mgmt forecast",#N/A,FALSE,"Mgmt Forecast";"dcf table",#N/A,FALSE,"Mgmt Forecast";"sensitivity",#N/A,FALSE,"Mgmt Forecast";"table inputs",#N/A,FALSE,"Mgmt Forecast";"calculations",#N/A,FALSE,"Mgmt Forecast"}</definedName>
    <definedName name="_a1_2_2_3" hidden="1">{"mgmt forecast",#N/A,FALSE,"Mgmt Forecast";"dcf table",#N/A,FALSE,"Mgmt Forecast";"sensitivity",#N/A,FALSE,"Mgmt Forecast";"table inputs",#N/A,FALSE,"Mgmt Forecast";"calculations",#N/A,FALSE,"Mgmt Forecast"}</definedName>
    <definedName name="_a1_2_2_4" localSheetId="8" hidden="1">{"mgmt forecast",#N/A,FALSE,"Mgmt Forecast";"dcf table",#N/A,FALSE,"Mgmt Forecast";"sensitivity",#N/A,FALSE,"Mgmt Forecast";"table inputs",#N/A,FALSE,"Mgmt Forecast";"calculations",#N/A,FALSE,"Mgmt Forecast"}</definedName>
    <definedName name="_a1_2_2_4" hidden="1">{"mgmt forecast",#N/A,FALSE,"Mgmt Forecast";"dcf table",#N/A,FALSE,"Mgmt Forecast";"sensitivity",#N/A,FALSE,"Mgmt Forecast";"table inputs",#N/A,FALSE,"Mgmt Forecast";"calculations",#N/A,FALSE,"Mgmt Forecast"}</definedName>
    <definedName name="_a1_2_2_5" localSheetId="8" hidden="1">{"mgmt forecast",#N/A,FALSE,"Mgmt Forecast";"dcf table",#N/A,FALSE,"Mgmt Forecast";"sensitivity",#N/A,FALSE,"Mgmt Forecast";"table inputs",#N/A,FALSE,"Mgmt Forecast";"calculations",#N/A,FALSE,"Mgmt Forecast"}</definedName>
    <definedName name="_a1_2_2_5" hidden="1">{"mgmt forecast",#N/A,FALSE,"Mgmt Forecast";"dcf table",#N/A,FALSE,"Mgmt Forecast";"sensitivity",#N/A,FALSE,"Mgmt Forecast";"table inputs",#N/A,FALSE,"Mgmt Forecast";"calculations",#N/A,FALSE,"Mgmt Forecast"}</definedName>
    <definedName name="_a1_2_3" localSheetId="8" hidden="1">{"mgmt forecast",#N/A,FALSE,"Mgmt Forecast";"dcf table",#N/A,FALSE,"Mgmt Forecast";"sensitivity",#N/A,FALSE,"Mgmt Forecast";"table inputs",#N/A,FALSE,"Mgmt Forecast";"calculations",#N/A,FALSE,"Mgmt Forecast"}</definedName>
    <definedName name="_a1_2_3" hidden="1">{"mgmt forecast",#N/A,FALSE,"Mgmt Forecast";"dcf table",#N/A,FALSE,"Mgmt Forecast";"sensitivity",#N/A,FALSE,"Mgmt Forecast";"table inputs",#N/A,FALSE,"Mgmt Forecast";"calculations",#N/A,FALSE,"Mgmt Forecast"}</definedName>
    <definedName name="_a1_2_3_1" localSheetId="8" hidden="1">{"mgmt forecast",#N/A,FALSE,"Mgmt Forecast";"dcf table",#N/A,FALSE,"Mgmt Forecast";"sensitivity",#N/A,FALSE,"Mgmt Forecast";"table inputs",#N/A,FALSE,"Mgmt Forecast";"calculations",#N/A,FALSE,"Mgmt Forecast"}</definedName>
    <definedName name="_a1_2_3_1" hidden="1">{"mgmt forecast",#N/A,FALSE,"Mgmt Forecast";"dcf table",#N/A,FALSE,"Mgmt Forecast";"sensitivity",#N/A,FALSE,"Mgmt Forecast";"table inputs",#N/A,FALSE,"Mgmt Forecast";"calculations",#N/A,FALSE,"Mgmt Forecast"}</definedName>
    <definedName name="_a1_2_3_2" localSheetId="8" hidden="1">{"mgmt forecast",#N/A,FALSE,"Mgmt Forecast";"dcf table",#N/A,FALSE,"Mgmt Forecast";"sensitivity",#N/A,FALSE,"Mgmt Forecast";"table inputs",#N/A,FALSE,"Mgmt Forecast";"calculations",#N/A,FALSE,"Mgmt Forecast"}</definedName>
    <definedName name="_a1_2_3_2" hidden="1">{"mgmt forecast",#N/A,FALSE,"Mgmt Forecast";"dcf table",#N/A,FALSE,"Mgmt Forecast";"sensitivity",#N/A,FALSE,"Mgmt Forecast";"table inputs",#N/A,FALSE,"Mgmt Forecast";"calculations",#N/A,FALSE,"Mgmt Forecast"}</definedName>
    <definedName name="_a1_2_3_3" localSheetId="8" hidden="1">{"mgmt forecast",#N/A,FALSE,"Mgmt Forecast";"dcf table",#N/A,FALSE,"Mgmt Forecast";"sensitivity",#N/A,FALSE,"Mgmt Forecast";"table inputs",#N/A,FALSE,"Mgmt Forecast";"calculations",#N/A,FALSE,"Mgmt Forecast"}</definedName>
    <definedName name="_a1_2_3_3" hidden="1">{"mgmt forecast",#N/A,FALSE,"Mgmt Forecast";"dcf table",#N/A,FALSE,"Mgmt Forecast";"sensitivity",#N/A,FALSE,"Mgmt Forecast";"table inputs",#N/A,FALSE,"Mgmt Forecast";"calculations",#N/A,FALSE,"Mgmt Forecast"}</definedName>
    <definedName name="_a1_2_3_4" localSheetId="8" hidden="1">{"mgmt forecast",#N/A,FALSE,"Mgmt Forecast";"dcf table",#N/A,FALSE,"Mgmt Forecast";"sensitivity",#N/A,FALSE,"Mgmt Forecast";"table inputs",#N/A,FALSE,"Mgmt Forecast";"calculations",#N/A,FALSE,"Mgmt Forecast"}</definedName>
    <definedName name="_a1_2_3_4" hidden="1">{"mgmt forecast",#N/A,FALSE,"Mgmt Forecast";"dcf table",#N/A,FALSE,"Mgmt Forecast";"sensitivity",#N/A,FALSE,"Mgmt Forecast";"table inputs",#N/A,FALSE,"Mgmt Forecast";"calculations",#N/A,FALSE,"Mgmt Forecast"}</definedName>
    <definedName name="_a1_2_3_5" localSheetId="8" hidden="1">{"mgmt forecast",#N/A,FALSE,"Mgmt Forecast";"dcf table",#N/A,FALSE,"Mgmt Forecast";"sensitivity",#N/A,FALSE,"Mgmt Forecast";"table inputs",#N/A,FALSE,"Mgmt Forecast";"calculations",#N/A,FALSE,"Mgmt Forecast"}</definedName>
    <definedName name="_a1_2_3_5" hidden="1">{"mgmt forecast",#N/A,FALSE,"Mgmt Forecast";"dcf table",#N/A,FALSE,"Mgmt Forecast";"sensitivity",#N/A,FALSE,"Mgmt Forecast";"table inputs",#N/A,FALSE,"Mgmt Forecast";"calculations",#N/A,FALSE,"Mgmt Forecast"}</definedName>
    <definedName name="_a1_2_4" localSheetId="8" hidden="1">{"mgmt forecast",#N/A,FALSE,"Mgmt Forecast";"dcf table",#N/A,FALSE,"Mgmt Forecast";"sensitivity",#N/A,FALSE,"Mgmt Forecast";"table inputs",#N/A,FALSE,"Mgmt Forecast";"calculations",#N/A,FALSE,"Mgmt Forecast"}</definedName>
    <definedName name="_a1_2_4" hidden="1">{"mgmt forecast",#N/A,FALSE,"Mgmt Forecast";"dcf table",#N/A,FALSE,"Mgmt Forecast";"sensitivity",#N/A,FALSE,"Mgmt Forecast";"table inputs",#N/A,FALSE,"Mgmt Forecast";"calculations",#N/A,FALSE,"Mgmt Forecast"}</definedName>
    <definedName name="_a1_2_4_1" localSheetId="8" hidden="1">{"mgmt forecast",#N/A,FALSE,"Mgmt Forecast";"dcf table",#N/A,FALSE,"Mgmt Forecast";"sensitivity",#N/A,FALSE,"Mgmt Forecast";"table inputs",#N/A,FALSE,"Mgmt Forecast";"calculations",#N/A,FALSE,"Mgmt Forecast"}</definedName>
    <definedName name="_a1_2_4_1" hidden="1">{"mgmt forecast",#N/A,FALSE,"Mgmt Forecast";"dcf table",#N/A,FALSE,"Mgmt Forecast";"sensitivity",#N/A,FALSE,"Mgmt Forecast";"table inputs",#N/A,FALSE,"Mgmt Forecast";"calculations",#N/A,FALSE,"Mgmt Forecast"}</definedName>
    <definedName name="_a1_2_4_2" localSheetId="8" hidden="1">{"mgmt forecast",#N/A,FALSE,"Mgmt Forecast";"dcf table",#N/A,FALSE,"Mgmt Forecast";"sensitivity",#N/A,FALSE,"Mgmt Forecast";"table inputs",#N/A,FALSE,"Mgmt Forecast";"calculations",#N/A,FALSE,"Mgmt Forecast"}</definedName>
    <definedName name="_a1_2_4_2" hidden="1">{"mgmt forecast",#N/A,FALSE,"Mgmt Forecast";"dcf table",#N/A,FALSE,"Mgmt Forecast";"sensitivity",#N/A,FALSE,"Mgmt Forecast";"table inputs",#N/A,FALSE,"Mgmt Forecast";"calculations",#N/A,FALSE,"Mgmt Forecast"}</definedName>
    <definedName name="_a1_2_4_3" localSheetId="8" hidden="1">{"mgmt forecast",#N/A,FALSE,"Mgmt Forecast";"dcf table",#N/A,FALSE,"Mgmt Forecast";"sensitivity",#N/A,FALSE,"Mgmt Forecast";"table inputs",#N/A,FALSE,"Mgmt Forecast";"calculations",#N/A,FALSE,"Mgmt Forecast"}</definedName>
    <definedName name="_a1_2_4_3" hidden="1">{"mgmt forecast",#N/A,FALSE,"Mgmt Forecast";"dcf table",#N/A,FALSE,"Mgmt Forecast";"sensitivity",#N/A,FALSE,"Mgmt Forecast";"table inputs",#N/A,FALSE,"Mgmt Forecast";"calculations",#N/A,FALSE,"Mgmt Forecast"}</definedName>
    <definedName name="_a1_2_4_4" localSheetId="8" hidden="1">{"mgmt forecast",#N/A,FALSE,"Mgmt Forecast";"dcf table",#N/A,FALSE,"Mgmt Forecast";"sensitivity",#N/A,FALSE,"Mgmt Forecast";"table inputs",#N/A,FALSE,"Mgmt Forecast";"calculations",#N/A,FALSE,"Mgmt Forecast"}</definedName>
    <definedName name="_a1_2_4_4" hidden="1">{"mgmt forecast",#N/A,FALSE,"Mgmt Forecast";"dcf table",#N/A,FALSE,"Mgmt Forecast";"sensitivity",#N/A,FALSE,"Mgmt Forecast";"table inputs",#N/A,FALSE,"Mgmt Forecast";"calculations",#N/A,FALSE,"Mgmt Forecast"}</definedName>
    <definedName name="_a1_2_4_5" localSheetId="8" hidden="1">{"mgmt forecast",#N/A,FALSE,"Mgmt Forecast";"dcf table",#N/A,FALSE,"Mgmt Forecast";"sensitivity",#N/A,FALSE,"Mgmt Forecast";"table inputs",#N/A,FALSE,"Mgmt Forecast";"calculations",#N/A,FALSE,"Mgmt Forecast"}</definedName>
    <definedName name="_a1_2_4_5" hidden="1">{"mgmt forecast",#N/A,FALSE,"Mgmt Forecast";"dcf table",#N/A,FALSE,"Mgmt Forecast";"sensitivity",#N/A,FALSE,"Mgmt Forecast";"table inputs",#N/A,FALSE,"Mgmt Forecast";"calculations",#N/A,FALSE,"Mgmt Forecast"}</definedName>
    <definedName name="_a1_2_5" localSheetId="8" hidden="1">{"mgmt forecast",#N/A,FALSE,"Mgmt Forecast";"dcf table",#N/A,FALSE,"Mgmt Forecast";"sensitivity",#N/A,FALSE,"Mgmt Forecast";"table inputs",#N/A,FALSE,"Mgmt Forecast";"calculations",#N/A,FALSE,"Mgmt Forecast"}</definedName>
    <definedName name="_a1_2_5" hidden="1">{"mgmt forecast",#N/A,FALSE,"Mgmt Forecast";"dcf table",#N/A,FALSE,"Mgmt Forecast";"sensitivity",#N/A,FALSE,"Mgmt Forecast";"table inputs",#N/A,FALSE,"Mgmt Forecast";"calculations",#N/A,FALSE,"Mgmt Forecast"}</definedName>
    <definedName name="_a1_2_5_1" localSheetId="8" hidden="1">{"mgmt forecast",#N/A,FALSE,"Mgmt Forecast";"dcf table",#N/A,FALSE,"Mgmt Forecast";"sensitivity",#N/A,FALSE,"Mgmt Forecast";"table inputs",#N/A,FALSE,"Mgmt Forecast";"calculations",#N/A,FALSE,"Mgmt Forecast"}</definedName>
    <definedName name="_a1_2_5_1" hidden="1">{"mgmt forecast",#N/A,FALSE,"Mgmt Forecast";"dcf table",#N/A,FALSE,"Mgmt Forecast";"sensitivity",#N/A,FALSE,"Mgmt Forecast";"table inputs",#N/A,FALSE,"Mgmt Forecast";"calculations",#N/A,FALSE,"Mgmt Forecast"}</definedName>
    <definedName name="_a1_2_5_2" localSheetId="8" hidden="1">{"mgmt forecast",#N/A,FALSE,"Mgmt Forecast";"dcf table",#N/A,FALSE,"Mgmt Forecast";"sensitivity",#N/A,FALSE,"Mgmt Forecast";"table inputs",#N/A,FALSE,"Mgmt Forecast";"calculations",#N/A,FALSE,"Mgmt Forecast"}</definedName>
    <definedName name="_a1_2_5_2" hidden="1">{"mgmt forecast",#N/A,FALSE,"Mgmt Forecast";"dcf table",#N/A,FALSE,"Mgmt Forecast";"sensitivity",#N/A,FALSE,"Mgmt Forecast";"table inputs",#N/A,FALSE,"Mgmt Forecast";"calculations",#N/A,FALSE,"Mgmt Forecast"}</definedName>
    <definedName name="_a1_2_5_3" localSheetId="8" hidden="1">{"mgmt forecast",#N/A,FALSE,"Mgmt Forecast";"dcf table",#N/A,FALSE,"Mgmt Forecast";"sensitivity",#N/A,FALSE,"Mgmt Forecast";"table inputs",#N/A,FALSE,"Mgmt Forecast";"calculations",#N/A,FALSE,"Mgmt Forecast"}</definedName>
    <definedName name="_a1_2_5_3" hidden="1">{"mgmt forecast",#N/A,FALSE,"Mgmt Forecast";"dcf table",#N/A,FALSE,"Mgmt Forecast";"sensitivity",#N/A,FALSE,"Mgmt Forecast";"table inputs",#N/A,FALSE,"Mgmt Forecast";"calculations",#N/A,FALSE,"Mgmt Forecast"}</definedName>
    <definedName name="_a1_2_5_4" localSheetId="8" hidden="1">{"mgmt forecast",#N/A,FALSE,"Mgmt Forecast";"dcf table",#N/A,FALSE,"Mgmt Forecast";"sensitivity",#N/A,FALSE,"Mgmt Forecast";"table inputs",#N/A,FALSE,"Mgmt Forecast";"calculations",#N/A,FALSE,"Mgmt Forecast"}</definedName>
    <definedName name="_a1_2_5_4" hidden="1">{"mgmt forecast",#N/A,FALSE,"Mgmt Forecast";"dcf table",#N/A,FALSE,"Mgmt Forecast";"sensitivity",#N/A,FALSE,"Mgmt Forecast";"table inputs",#N/A,FALSE,"Mgmt Forecast";"calculations",#N/A,FALSE,"Mgmt Forecast"}</definedName>
    <definedName name="_a1_2_5_5" localSheetId="8" hidden="1">{"mgmt forecast",#N/A,FALSE,"Mgmt Forecast";"dcf table",#N/A,FALSE,"Mgmt Forecast";"sensitivity",#N/A,FALSE,"Mgmt Forecast";"table inputs",#N/A,FALSE,"Mgmt Forecast";"calculations",#N/A,FALSE,"Mgmt Forecast"}</definedName>
    <definedName name="_a1_2_5_5" hidden="1">{"mgmt forecast",#N/A,FALSE,"Mgmt Forecast";"dcf table",#N/A,FALSE,"Mgmt Forecast";"sensitivity",#N/A,FALSE,"Mgmt Forecast";"table inputs",#N/A,FALSE,"Mgmt Forecast";"calculations",#N/A,FALSE,"Mgmt Forecast"}</definedName>
    <definedName name="_a1_3" localSheetId="8" hidden="1">{"mgmt forecast",#N/A,FALSE,"Mgmt Forecast";"dcf table",#N/A,FALSE,"Mgmt Forecast";"sensitivity",#N/A,FALSE,"Mgmt Forecast";"table inputs",#N/A,FALSE,"Mgmt Forecast";"calculations",#N/A,FALSE,"Mgmt Forecast"}</definedName>
    <definedName name="_a1_3" hidden="1">{"mgmt forecast",#N/A,FALSE,"Mgmt Forecast";"dcf table",#N/A,FALSE,"Mgmt Forecast";"sensitivity",#N/A,FALSE,"Mgmt Forecast";"table inputs",#N/A,FALSE,"Mgmt Forecast";"calculations",#N/A,FALSE,"Mgmt Forecast"}</definedName>
    <definedName name="_a1_3_1" localSheetId="8" hidden="1">{"mgmt forecast",#N/A,FALSE,"Mgmt Forecast";"dcf table",#N/A,FALSE,"Mgmt Forecast";"sensitivity",#N/A,FALSE,"Mgmt Forecast";"table inputs",#N/A,FALSE,"Mgmt Forecast";"calculations",#N/A,FALSE,"Mgmt Forecast"}</definedName>
    <definedName name="_a1_3_1" hidden="1">{"mgmt forecast",#N/A,FALSE,"Mgmt Forecast";"dcf table",#N/A,FALSE,"Mgmt Forecast";"sensitivity",#N/A,FALSE,"Mgmt Forecast";"table inputs",#N/A,FALSE,"Mgmt Forecast";"calculations",#N/A,FALSE,"Mgmt Forecast"}</definedName>
    <definedName name="_a1_3_1_1" localSheetId="8" hidden="1">{"mgmt forecast",#N/A,FALSE,"Mgmt Forecast";"dcf table",#N/A,FALSE,"Mgmt Forecast";"sensitivity",#N/A,FALSE,"Mgmt Forecast";"table inputs",#N/A,FALSE,"Mgmt Forecast";"calculations",#N/A,FALSE,"Mgmt Forecast"}</definedName>
    <definedName name="_a1_3_1_1" hidden="1">{"mgmt forecast",#N/A,FALSE,"Mgmt Forecast";"dcf table",#N/A,FALSE,"Mgmt Forecast";"sensitivity",#N/A,FALSE,"Mgmt Forecast";"table inputs",#N/A,FALSE,"Mgmt Forecast";"calculations",#N/A,FALSE,"Mgmt Forecast"}</definedName>
    <definedName name="_a1_3_1_2" localSheetId="8" hidden="1">{"mgmt forecast",#N/A,FALSE,"Mgmt Forecast";"dcf table",#N/A,FALSE,"Mgmt Forecast";"sensitivity",#N/A,FALSE,"Mgmt Forecast";"table inputs",#N/A,FALSE,"Mgmt Forecast";"calculations",#N/A,FALSE,"Mgmt Forecast"}</definedName>
    <definedName name="_a1_3_1_2" hidden="1">{"mgmt forecast",#N/A,FALSE,"Mgmt Forecast";"dcf table",#N/A,FALSE,"Mgmt Forecast";"sensitivity",#N/A,FALSE,"Mgmt Forecast";"table inputs",#N/A,FALSE,"Mgmt Forecast";"calculations",#N/A,FALSE,"Mgmt Forecast"}</definedName>
    <definedName name="_a1_3_1_3" localSheetId="8" hidden="1">{"mgmt forecast",#N/A,FALSE,"Mgmt Forecast";"dcf table",#N/A,FALSE,"Mgmt Forecast";"sensitivity",#N/A,FALSE,"Mgmt Forecast";"table inputs",#N/A,FALSE,"Mgmt Forecast";"calculations",#N/A,FALSE,"Mgmt Forecast"}</definedName>
    <definedName name="_a1_3_1_3" hidden="1">{"mgmt forecast",#N/A,FALSE,"Mgmt Forecast";"dcf table",#N/A,FALSE,"Mgmt Forecast";"sensitivity",#N/A,FALSE,"Mgmt Forecast";"table inputs",#N/A,FALSE,"Mgmt Forecast";"calculations",#N/A,FALSE,"Mgmt Forecast"}</definedName>
    <definedName name="_a1_3_1_4" localSheetId="8" hidden="1">{"mgmt forecast",#N/A,FALSE,"Mgmt Forecast";"dcf table",#N/A,FALSE,"Mgmt Forecast";"sensitivity",#N/A,FALSE,"Mgmt Forecast";"table inputs",#N/A,FALSE,"Mgmt Forecast";"calculations",#N/A,FALSE,"Mgmt Forecast"}</definedName>
    <definedName name="_a1_3_1_4" hidden="1">{"mgmt forecast",#N/A,FALSE,"Mgmt Forecast";"dcf table",#N/A,FALSE,"Mgmt Forecast";"sensitivity",#N/A,FALSE,"Mgmt Forecast";"table inputs",#N/A,FALSE,"Mgmt Forecast";"calculations",#N/A,FALSE,"Mgmt Forecast"}</definedName>
    <definedName name="_a1_3_1_5" localSheetId="8" hidden="1">{"mgmt forecast",#N/A,FALSE,"Mgmt Forecast";"dcf table",#N/A,FALSE,"Mgmt Forecast";"sensitivity",#N/A,FALSE,"Mgmt Forecast";"table inputs",#N/A,FALSE,"Mgmt Forecast";"calculations",#N/A,FALSE,"Mgmt Forecast"}</definedName>
    <definedName name="_a1_3_1_5" hidden="1">{"mgmt forecast",#N/A,FALSE,"Mgmt Forecast";"dcf table",#N/A,FALSE,"Mgmt Forecast";"sensitivity",#N/A,FALSE,"Mgmt Forecast";"table inputs",#N/A,FALSE,"Mgmt Forecast";"calculations",#N/A,FALSE,"Mgmt Forecast"}</definedName>
    <definedName name="_a1_3_2" localSheetId="8" hidden="1">{"mgmt forecast",#N/A,FALSE,"Mgmt Forecast";"dcf table",#N/A,FALSE,"Mgmt Forecast";"sensitivity",#N/A,FALSE,"Mgmt Forecast";"table inputs",#N/A,FALSE,"Mgmt Forecast";"calculations",#N/A,FALSE,"Mgmt Forecast"}</definedName>
    <definedName name="_a1_3_2" hidden="1">{"mgmt forecast",#N/A,FALSE,"Mgmt Forecast";"dcf table",#N/A,FALSE,"Mgmt Forecast";"sensitivity",#N/A,FALSE,"Mgmt Forecast";"table inputs",#N/A,FALSE,"Mgmt Forecast";"calculations",#N/A,FALSE,"Mgmt Forecast"}</definedName>
    <definedName name="_a1_3_2_1" localSheetId="8" hidden="1">{"mgmt forecast",#N/A,FALSE,"Mgmt Forecast";"dcf table",#N/A,FALSE,"Mgmt Forecast";"sensitivity",#N/A,FALSE,"Mgmt Forecast";"table inputs",#N/A,FALSE,"Mgmt Forecast";"calculations",#N/A,FALSE,"Mgmt Forecast"}</definedName>
    <definedName name="_a1_3_2_1" hidden="1">{"mgmt forecast",#N/A,FALSE,"Mgmt Forecast";"dcf table",#N/A,FALSE,"Mgmt Forecast";"sensitivity",#N/A,FALSE,"Mgmt Forecast";"table inputs",#N/A,FALSE,"Mgmt Forecast";"calculations",#N/A,FALSE,"Mgmt Forecast"}</definedName>
    <definedName name="_a1_3_2_2" localSheetId="8" hidden="1">{"mgmt forecast",#N/A,FALSE,"Mgmt Forecast";"dcf table",#N/A,FALSE,"Mgmt Forecast";"sensitivity",#N/A,FALSE,"Mgmt Forecast";"table inputs",#N/A,FALSE,"Mgmt Forecast";"calculations",#N/A,FALSE,"Mgmt Forecast"}</definedName>
    <definedName name="_a1_3_2_2" hidden="1">{"mgmt forecast",#N/A,FALSE,"Mgmt Forecast";"dcf table",#N/A,FALSE,"Mgmt Forecast";"sensitivity",#N/A,FALSE,"Mgmt Forecast";"table inputs",#N/A,FALSE,"Mgmt Forecast";"calculations",#N/A,FALSE,"Mgmt Forecast"}</definedName>
    <definedName name="_a1_3_2_3" localSheetId="8" hidden="1">{"mgmt forecast",#N/A,FALSE,"Mgmt Forecast";"dcf table",#N/A,FALSE,"Mgmt Forecast";"sensitivity",#N/A,FALSE,"Mgmt Forecast";"table inputs",#N/A,FALSE,"Mgmt Forecast";"calculations",#N/A,FALSE,"Mgmt Forecast"}</definedName>
    <definedName name="_a1_3_2_3" hidden="1">{"mgmt forecast",#N/A,FALSE,"Mgmt Forecast";"dcf table",#N/A,FALSE,"Mgmt Forecast";"sensitivity",#N/A,FALSE,"Mgmt Forecast";"table inputs",#N/A,FALSE,"Mgmt Forecast";"calculations",#N/A,FALSE,"Mgmt Forecast"}</definedName>
    <definedName name="_a1_3_2_4" localSheetId="8" hidden="1">{"mgmt forecast",#N/A,FALSE,"Mgmt Forecast";"dcf table",#N/A,FALSE,"Mgmt Forecast";"sensitivity",#N/A,FALSE,"Mgmt Forecast";"table inputs",#N/A,FALSE,"Mgmt Forecast";"calculations",#N/A,FALSE,"Mgmt Forecast"}</definedName>
    <definedName name="_a1_3_2_4" hidden="1">{"mgmt forecast",#N/A,FALSE,"Mgmt Forecast";"dcf table",#N/A,FALSE,"Mgmt Forecast";"sensitivity",#N/A,FALSE,"Mgmt Forecast";"table inputs",#N/A,FALSE,"Mgmt Forecast";"calculations",#N/A,FALSE,"Mgmt Forecast"}</definedName>
    <definedName name="_a1_3_2_5" localSheetId="8" hidden="1">{"mgmt forecast",#N/A,FALSE,"Mgmt Forecast";"dcf table",#N/A,FALSE,"Mgmt Forecast";"sensitivity",#N/A,FALSE,"Mgmt Forecast";"table inputs",#N/A,FALSE,"Mgmt Forecast";"calculations",#N/A,FALSE,"Mgmt Forecast"}</definedName>
    <definedName name="_a1_3_2_5" hidden="1">{"mgmt forecast",#N/A,FALSE,"Mgmt Forecast";"dcf table",#N/A,FALSE,"Mgmt Forecast";"sensitivity",#N/A,FALSE,"Mgmt Forecast";"table inputs",#N/A,FALSE,"Mgmt Forecast";"calculations",#N/A,FALSE,"Mgmt Forecast"}</definedName>
    <definedName name="_a1_3_3" localSheetId="8" hidden="1">{"mgmt forecast",#N/A,FALSE,"Mgmt Forecast";"dcf table",#N/A,FALSE,"Mgmt Forecast";"sensitivity",#N/A,FALSE,"Mgmt Forecast";"table inputs",#N/A,FALSE,"Mgmt Forecast";"calculations",#N/A,FALSE,"Mgmt Forecast"}</definedName>
    <definedName name="_a1_3_3" hidden="1">{"mgmt forecast",#N/A,FALSE,"Mgmt Forecast";"dcf table",#N/A,FALSE,"Mgmt Forecast";"sensitivity",#N/A,FALSE,"Mgmt Forecast";"table inputs",#N/A,FALSE,"Mgmt Forecast";"calculations",#N/A,FALSE,"Mgmt Forecast"}</definedName>
    <definedName name="_a1_3_3_1" localSheetId="8" hidden="1">{"mgmt forecast",#N/A,FALSE,"Mgmt Forecast";"dcf table",#N/A,FALSE,"Mgmt Forecast";"sensitivity",#N/A,FALSE,"Mgmt Forecast";"table inputs",#N/A,FALSE,"Mgmt Forecast";"calculations",#N/A,FALSE,"Mgmt Forecast"}</definedName>
    <definedName name="_a1_3_3_1" hidden="1">{"mgmt forecast",#N/A,FALSE,"Mgmt Forecast";"dcf table",#N/A,FALSE,"Mgmt Forecast";"sensitivity",#N/A,FALSE,"Mgmt Forecast";"table inputs",#N/A,FALSE,"Mgmt Forecast";"calculations",#N/A,FALSE,"Mgmt Forecast"}</definedName>
    <definedName name="_a1_3_3_2" localSheetId="8" hidden="1">{"mgmt forecast",#N/A,FALSE,"Mgmt Forecast";"dcf table",#N/A,FALSE,"Mgmt Forecast";"sensitivity",#N/A,FALSE,"Mgmt Forecast";"table inputs",#N/A,FALSE,"Mgmt Forecast";"calculations",#N/A,FALSE,"Mgmt Forecast"}</definedName>
    <definedName name="_a1_3_3_2" hidden="1">{"mgmt forecast",#N/A,FALSE,"Mgmt Forecast";"dcf table",#N/A,FALSE,"Mgmt Forecast";"sensitivity",#N/A,FALSE,"Mgmt Forecast";"table inputs",#N/A,FALSE,"Mgmt Forecast";"calculations",#N/A,FALSE,"Mgmt Forecast"}</definedName>
    <definedName name="_a1_3_3_3" localSheetId="8" hidden="1">{"mgmt forecast",#N/A,FALSE,"Mgmt Forecast";"dcf table",#N/A,FALSE,"Mgmt Forecast";"sensitivity",#N/A,FALSE,"Mgmt Forecast";"table inputs",#N/A,FALSE,"Mgmt Forecast";"calculations",#N/A,FALSE,"Mgmt Forecast"}</definedName>
    <definedName name="_a1_3_3_3" hidden="1">{"mgmt forecast",#N/A,FALSE,"Mgmt Forecast";"dcf table",#N/A,FALSE,"Mgmt Forecast";"sensitivity",#N/A,FALSE,"Mgmt Forecast";"table inputs",#N/A,FALSE,"Mgmt Forecast";"calculations",#N/A,FALSE,"Mgmt Forecast"}</definedName>
    <definedName name="_a1_3_3_4" localSheetId="8" hidden="1">{"mgmt forecast",#N/A,FALSE,"Mgmt Forecast";"dcf table",#N/A,FALSE,"Mgmt Forecast";"sensitivity",#N/A,FALSE,"Mgmt Forecast";"table inputs",#N/A,FALSE,"Mgmt Forecast";"calculations",#N/A,FALSE,"Mgmt Forecast"}</definedName>
    <definedName name="_a1_3_3_4" hidden="1">{"mgmt forecast",#N/A,FALSE,"Mgmt Forecast";"dcf table",#N/A,FALSE,"Mgmt Forecast";"sensitivity",#N/A,FALSE,"Mgmt Forecast";"table inputs",#N/A,FALSE,"Mgmt Forecast";"calculations",#N/A,FALSE,"Mgmt Forecast"}</definedName>
    <definedName name="_a1_3_3_5" localSheetId="8" hidden="1">{"mgmt forecast",#N/A,FALSE,"Mgmt Forecast";"dcf table",#N/A,FALSE,"Mgmt Forecast";"sensitivity",#N/A,FALSE,"Mgmt Forecast";"table inputs",#N/A,FALSE,"Mgmt Forecast";"calculations",#N/A,FALSE,"Mgmt Forecast"}</definedName>
    <definedName name="_a1_3_3_5" hidden="1">{"mgmt forecast",#N/A,FALSE,"Mgmt Forecast";"dcf table",#N/A,FALSE,"Mgmt Forecast";"sensitivity",#N/A,FALSE,"Mgmt Forecast";"table inputs",#N/A,FALSE,"Mgmt Forecast";"calculations",#N/A,FALSE,"Mgmt Forecast"}</definedName>
    <definedName name="_a1_3_4" localSheetId="8" hidden="1">{"mgmt forecast",#N/A,FALSE,"Mgmt Forecast";"dcf table",#N/A,FALSE,"Mgmt Forecast";"sensitivity",#N/A,FALSE,"Mgmt Forecast";"table inputs",#N/A,FALSE,"Mgmt Forecast";"calculations",#N/A,FALSE,"Mgmt Forecast"}</definedName>
    <definedName name="_a1_3_4" hidden="1">{"mgmt forecast",#N/A,FALSE,"Mgmt Forecast";"dcf table",#N/A,FALSE,"Mgmt Forecast";"sensitivity",#N/A,FALSE,"Mgmt Forecast";"table inputs",#N/A,FALSE,"Mgmt Forecast";"calculations",#N/A,FALSE,"Mgmt Forecast"}</definedName>
    <definedName name="_a1_3_4_1" localSheetId="8" hidden="1">{"mgmt forecast",#N/A,FALSE,"Mgmt Forecast";"dcf table",#N/A,FALSE,"Mgmt Forecast";"sensitivity",#N/A,FALSE,"Mgmt Forecast";"table inputs",#N/A,FALSE,"Mgmt Forecast";"calculations",#N/A,FALSE,"Mgmt Forecast"}</definedName>
    <definedName name="_a1_3_4_1" hidden="1">{"mgmt forecast",#N/A,FALSE,"Mgmt Forecast";"dcf table",#N/A,FALSE,"Mgmt Forecast";"sensitivity",#N/A,FALSE,"Mgmt Forecast";"table inputs",#N/A,FALSE,"Mgmt Forecast";"calculations",#N/A,FALSE,"Mgmt Forecast"}</definedName>
    <definedName name="_a1_3_4_2" localSheetId="8" hidden="1">{"mgmt forecast",#N/A,FALSE,"Mgmt Forecast";"dcf table",#N/A,FALSE,"Mgmt Forecast";"sensitivity",#N/A,FALSE,"Mgmt Forecast";"table inputs",#N/A,FALSE,"Mgmt Forecast";"calculations",#N/A,FALSE,"Mgmt Forecast"}</definedName>
    <definedName name="_a1_3_4_2" hidden="1">{"mgmt forecast",#N/A,FALSE,"Mgmt Forecast";"dcf table",#N/A,FALSE,"Mgmt Forecast";"sensitivity",#N/A,FALSE,"Mgmt Forecast";"table inputs",#N/A,FALSE,"Mgmt Forecast";"calculations",#N/A,FALSE,"Mgmt Forecast"}</definedName>
    <definedName name="_a1_3_4_3" localSheetId="8" hidden="1">{"mgmt forecast",#N/A,FALSE,"Mgmt Forecast";"dcf table",#N/A,FALSE,"Mgmt Forecast";"sensitivity",#N/A,FALSE,"Mgmt Forecast";"table inputs",#N/A,FALSE,"Mgmt Forecast";"calculations",#N/A,FALSE,"Mgmt Forecast"}</definedName>
    <definedName name="_a1_3_4_3" hidden="1">{"mgmt forecast",#N/A,FALSE,"Mgmt Forecast";"dcf table",#N/A,FALSE,"Mgmt Forecast";"sensitivity",#N/A,FALSE,"Mgmt Forecast";"table inputs",#N/A,FALSE,"Mgmt Forecast";"calculations",#N/A,FALSE,"Mgmt Forecast"}</definedName>
    <definedName name="_a1_3_4_4" localSheetId="8" hidden="1">{"mgmt forecast",#N/A,FALSE,"Mgmt Forecast";"dcf table",#N/A,FALSE,"Mgmt Forecast";"sensitivity",#N/A,FALSE,"Mgmt Forecast";"table inputs",#N/A,FALSE,"Mgmt Forecast";"calculations",#N/A,FALSE,"Mgmt Forecast"}</definedName>
    <definedName name="_a1_3_4_4" hidden="1">{"mgmt forecast",#N/A,FALSE,"Mgmt Forecast";"dcf table",#N/A,FALSE,"Mgmt Forecast";"sensitivity",#N/A,FALSE,"Mgmt Forecast";"table inputs",#N/A,FALSE,"Mgmt Forecast";"calculations",#N/A,FALSE,"Mgmt Forecast"}</definedName>
    <definedName name="_a1_3_4_5" localSheetId="8" hidden="1">{"mgmt forecast",#N/A,FALSE,"Mgmt Forecast";"dcf table",#N/A,FALSE,"Mgmt Forecast";"sensitivity",#N/A,FALSE,"Mgmt Forecast";"table inputs",#N/A,FALSE,"Mgmt Forecast";"calculations",#N/A,FALSE,"Mgmt Forecast"}</definedName>
    <definedName name="_a1_3_4_5" hidden="1">{"mgmt forecast",#N/A,FALSE,"Mgmt Forecast";"dcf table",#N/A,FALSE,"Mgmt Forecast";"sensitivity",#N/A,FALSE,"Mgmt Forecast";"table inputs",#N/A,FALSE,"Mgmt Forecast";"calculations",#N/A,FALSE,"Mgmt Forecast"}</definedName>
    <definedName name="_a1_3_5" localSheetId="8" hidden="1">{"mgmt forecast",#N/A,FALSE,"Mgmt Forecast";"dcf table",#N/A,FALSE,"Mgmt Forecast";"sensitivity",#N/A,FALSE,"Mgmt Forecast";"table inputs",#N/A,FALSE,"Mgmt Forecast";"calculations",#N/A,FALSE,"Mgmt Forecast"}</definedName>
    <definedName name="_a1_3_5" hidden="1">{"mgmt forecast",#N/A,FALSE,"Mgmt Forecast";"dcf table",#N/A,FALSE,"Mgmt Forecast";"sensitivity",#N/A,FALSE,"Mgmt Forecast";"table inputs",#N/A,FALSE,"Mgmt Forecast";"calculations",#N/A,FALSE,"Mgmt Forecast"}</definedName>
    <definedName name="_a1_3_5_1" localSheetId="8" hidden="1">{"mgmt forecast",#N/A,FALSE,"Mgmt Forecast";"dcf table",#N/A,FALSE,"Mgmt Forecast";"sensitivity",#N/A,FALSE,"Mgmt Forecast";"table inputs",#N/A,FALSE,"Mgmt Forecast";"calculations",#N/A,FALSE,"Mgmt Forecast"}</definedName>
    <definedName name="_a1_3_5_1" hidden="1">{"mgmt forecast",#N/A,FALSE,"Mgmt Forecast";"dcf table",#N/A,FALSE,"Mgmt Forecast";"sensitivity",#N/A,FALSE,"Mgmt Forecast";"table inputs",#N/A,FALSE,"Mgmt Forecast";"calculations",#N/A,FALSE,"Mgmt Forecast"}</definedName>
    <definedName name="_a1_3_5_2" localSheetId="8" hidden="1">{"mgmt forecast",#N/A,FALSE,"Mgmt Forecast";"dcf table",#N/A,FALSE,"Mgmt Forecast";"sensitivity",#N/A,FALSE,"Mgmt Forecast";"table inputs",#N/A,FALSE,"Mgmt Forecast";"calculations",#N/A,FALSE,"Mgmt Forecast"}</definedName>
    <definedName name="_a1_3_5_2" hidden="1">{"mgmt forecast",#N/A,FALSE,"Mgmt Forecast";"dcf table",#N/A,FALSE,"Mgmt Forecast";"sensitivity",#N/A,FALSE,"Mgmt Forecast";"table inputs",#N/A,FALSE,"Mgmt Forecast";"calculations",#N/A,FALSE,"Mgmt Forecast"}</definedName>
    <definedName name="_a1_3_5_3" localSheetId="8" hidden="1">{"mgmt forecast",#N/A,FALSE,"Mgmt Forecast";"dcf table",#N/A,FALSE,"Mgmt Forecast";"sensitivity",#N/A,FALSE,"Mgmt Forecast";"table inputs",#N/A,FALSE,"Mgmt Forecast";"calculations",#N/A,FALSE,"Mgmt Forecast"}</definedName>
    <definedName name="_a1_3_5_3" hidden="1">{"mgmt forecast",#N/A,FALSE,"Mgmt Forecast";"dcf table",#N/A,FALSE,"Mgmt Forecast";"sensitivity",#N/A,FALSE,"Mgmt Forecast";"table inputs",#N/A,FALSE,"Mgmt Forecast";"calculations",#N/A,FALSE,"Mgmt Forecast"}</definedName>
    <definedName name="_a1_3_5_4" localSheetId="8" hidden="1">{"mgmt forecast",#N/A,FALSE,"Mgmt Forecast";"dcf table",#N/A,FALSE,"Mgmt Forecast";"sensitivity",#N/A,FALSE,"Mgmt Forecast";"table inputs",#N/A,FALSE,"Mgmt Forecast";"calculations",#N/A,FALSE,"Mgmt Forecast"}</definedName>
    <definedName name="_a1_3_5_4" hidden="1">{"mgmt forecast",#N/A,FALSE,"Mgmt Forecast";"dcf table",#N/A,FALSE,"Mgmt Forecast";"sensitivity",#N/A,FALSE,"Mgmt Forecast";"table inputs",#N/A,FALSE,"Mgmt Forecast";"calculations",#N/A,FALSE,"Mgmt Forecast"}</definedName>
    <definedName name="_a1_3_5_5" localSheetId="8" hidden="1">{"mgmt forecast",#N/A,FALSE,"Mgmt Forecast";"dcf table",#N/A,FALSE,"Mgmt Forecast";"sensitivity",#N/A,FALSE,"Mgmt Forecast";"table inputs",#N/A,FALSE,"Mgmt Forecast";"calculations",#N/A,FALSE,"Mgmt Forecast"}</definedName>
    <definedName name="_a1_3_5_5" hidden="1">{"mgmt forecast",#N/A,FALSE,"Mgmt Forecast";"dcf table",#N/A,FALSE,"Mgmt Forecast";"sensitivity",#N/A,FALSE,"Mgmt Forecast";"table inputs",#N/A,FALSE,"Mgmt Forecast";"calculations",#N/A,FALSE,"Mgmt Forecast"}</definedName>
    <definedName name="_a1_4" localSheetId="8" hidden="1">{"mgmt forecast",#N/A,FALSE,"Mgmt Forecast";"dcf table",#N/A,FALSE,"Mgmt Forecast";"sensitivity",#N/A,FALSE,"Mgmt Forecast";"table inputs",#N/A,FALSE,"Mgmt Forecast";"calculations",#N/A,FALSE,"Mgmt Forecast"}</definedName>
    <definedName name="_a1_4" hidden="1">{"mgmt forecast",#N/A,FALSE,"Mgmt Forecast";"dcf table",#N/A,FALSE,"Mgmt Forecast";"sensitivity",#N/A,FALSE,"Mgmt Forecast";"table inputs",#N/A,FALSE,"Mgmt Forecast";"calculations",#N/A,FALSE,"Mgmt Forecast"}</definedName>
    <definedName name="_a1_4_1" localSheetId="8" hidden="1">{"mgmt forecast",#N/A,FALSE,"Mgmt Forecast";"dcf table",#N/A,FALSE,"Mgmt Forecast";"sensitivity",#N/A,FALSE,"Mgmt Forecast";"table inputs",#N/A,FALSE,"Mgmt Forecast";"calculations",#N/A,FALSE,"Mgmt Forecast"}</definedName>
    <definedName name="_a1_4_1" hidden="1">{"mgmt forecast",#N/A,FALSE,"Mgmt Forecast";"dcf table",#N/A,FALSE,"Mgmt Forecast";"sensitivity",#N/A,FALSE,"Mgmt Forecast";"table inputs",#N/A,FALSE,"Mgmt Forecast";"calculations",#N/A,FALSE,"Mgmt Forecast"}</definedName>
    <definedName name="_a1_4_1_1" localSheetId="8" hidden="1">{"mgmt forecast",#N/A,FALSE,"Mgmt Forecast";"dcf table",#N/A,FALSE,"Mgmt Forecast";"sensitivity",#N/A,FALSE,"Mgmt Forecast";"table inputs",#N/A,FALSE,"Mgmt Forecast";"calculations",#N/A,FALSE,"Mgmt Forecast"}</definedName>
    <definedName name="_a1_4_1_1" hidden="1">{"mgmt forecast",#N/A,FALSE,"Mgmt Forecast";"dcf table",#N/A,FALSE,"Mgmt Forecast";"sensitivity",#N/A,FALSE,"Mgmt Forecast";"table inputs",#N/A,FALSE,"Mgmt Forecast";"calculations",#N/A,FALSE,"Mgmt Forecast"}</definedName>
    <definedName name="_a1_4_1_2" localSheetId="8" hidden="1">{"mgmt forecast",#N/A,FALSE,"Mgmt Forecast";"dcf table",#N/A,FALSE,"Mgmt Forecast";"sensitivity",#N/A,FALSE,"Mgmt Forecast";"table inputs",#N/A,FALSE,"Mgmt Forecast";"calculations",#N/A,FALSE,"Mgmt Forecast"}</definedName>
    <definedName name="_a1_4_1_2" hidden="1">{"mgmt forecast",#N/A,FALSE,"Mgmt Forecast";"dcf table",#N/A,FALSE,"Mgmt Forecast";"sensitivity",#N/A,FALSE,"Mgmt Forecast";"table inputs",#N/A,FALSE,"Mgmt Forecast";"calculations",#N/A,FALSE,"Mgmt Forecast"}</definedName>
    <definedName name="_a1_4_1_3" localSheetId="8" hidden="1">{"mgmt forecast",#N/A,FALSE,"Mgmt Forecast";"dcf table",#N/A,FALSE,"Mgmt Forecast";"sensitivity",#N/A,FALSE,"Mgmt Forecast";"table inputs",#N/A,FALSE,"Mgmt Forecast";"calculations",#N/A,FALSE,"Mgmt Forecast"}</definedName>
    <definedName name="_a1_4_1_3" hidden="1">{"mgmt forecast",#N/A,FALSE,"Mgmt Forecast";"dcf table",#N/A,FALSE,"Mgmt Forecast";"sensitivity",#N/A,FALSE,"Mgmt Forecast";"table inputs",#N/A,FALSE,"Mgmt Forecast";"calculations",#N/A,FALSE,"Mgmt Forecast"}</definedName>
    <definedName name="_a1_4_1_4" localSheetId="8" hidden="1">{"mgmt forecast",#N/A,FALSE,"Mgmt Forecast";"dcf table",#N/A,FALSE,"Mgmt Forecast";"sensitivity",#N/A,FALSE,"Mgmt Forecast";"table inputs",#N/A,FALSE,"Mgmt Forecast";"calculations",#N/A,FALSE,"Mgmt Forecast"}</definedName>
    <definedName name="_a1_4_1_4" hidden="1">{"mgmt forecast",#N/A,FALSE,"Mgmt Forecast";"dcf table",#N/A,FALSE,"Mgmt Forecast";"sensitivity",#N/A,FALSE,"Mgmt Forecast";"table inputs",#N/A,FALSE,"Mgmt Forecast";"calculations",#N/A,FALSE,"Mgmt Forecast"}</definedName>
    <definedName name="_a1_4_1_5" localSheetId="8" hidden="1">{"mgmt forecast",#N/A,FALSE,"Mgmt Forecast";"dcf table",#N/A,FALSE,"Mgmt Forecast";"sensitivity",#N/A,FALSE,"Mgmt Forecast";"table inputs",#N/A,FALSE,"Mgmt Forecast";"calculations",#N/A,FALSE,"Mgmt Forecast"}</definedName>
    <definedName name="_a1_4_1_5" hidden="1">{"mgmt forecast",#N/A,FALSE,"Mgmt Forecast";"dcf table",#N/A,FALSE,"Mgmt Forecast";"sensitivity",#N/A,FALSE,"Mgmt Forecast";"table inputs",#N/A,FALSE,"Mgmt Forecast";"calculations",#N/A,FALSE,"Mgmt Forecast"}</definedName>
    <definedName name="_a1_4_2" localSheetId="8" hidden="1">{"mgmt forecast",#N/A,FALSE,"Mgmt Forecast";"dcf table",#N/A,FALSE,"Mgmt Forecast";"sensitivity",#N/A,FALSE,"Mgmt Forecast";"table inputs",#N/A,FALSE,"Mgmt Forecast";"calculations",#N/A,FALSE,"Mgmt Forecast"}</definedName>
    <definedName name="_a1_4_2" hidden="1">{"mgmt forecast",#N/A,FALSE,"Mgmt Forecast";"dcf table",#N/A,FALSE,"Mgmt Forecast";"sensitivity",#N/A,FALSE,"Mgmt Forecast";"table inputs",#N/A,FALSE,"Mgmt Forecast";"calculations",#N/A,FALSE,"Mgmt Forecast"}</definedName>
    <definedName name="_a1_4_2_1" localSheetId="8" hidden="1">{"mgmt forecast",#N/A,FALSE,"Mgmt Forecast";"dcf table",#N/A,FALSE,"Mgmt Forecast";"sensitivity",#N/A,FALSE,"Mgmt Forecast";"table inputs",#N/A,FALSE,"Mgmt Forecast";"calculations",#N/A,FALSE,"Mgmt Forecast"}</definedName>
    <definedName name="_a1_4_2_1" hidden="1">{"mgmt forecast",#N/A,FALSE,"Mgmt Forecast";"dcf table",#N/A,FALSE,"Mgmt Forecast";"sensitivity",#N/A,FALSE,"Mgmt Forecast";"table inputs",#N/A,FALSE,"Mgmt Forecast";"calculations",#N/A,FALSE,"Mgmt Forecast"}</definedName>
    <definedName name="_a1_4_2_2" localSheetId="8" hidden="1">{"mgmt forecast",#N/A,FALSE,"Mgmt Forecast";"dcf table",#N/A,FALSE,"Mgmt Forecast";"sensitivity",#N/A,FALSE,"Mgmt Forecast";"table inputs",#N/A,FALSE,"Mgmt Forecast";"calculations",#N/A,FALSE,"Mgmt Forecast"}</definedName>
    <definedName name="_a1_4_2_2" hidden="1">{"mgmt forecast",#N/A,FALSE,"Mgmt Forecast";"dcf table",#N/A,FALSE,"Mgmt Forecast";"sensitivity",#N/A,FALSE,"Mgmt Forecast";"table inputs",#N/A,FALSE,"Mgmt Forecast";"calculations",#N/A,FALSE,"Mgmt Forecast"}</definedName>
    <definedName name="_a1_4_2_3" localSheetId="8" hidden="1">{"mgmt forecast",#N/A,FALSE,"Mgmt Forecast";"dcf table",#N/A,FALSE,"Mgmt Forecast";"sensitivity",#N/A,FALSE,"Mgmt Forecast";"table inputs",#N/A,FALSE,"Mgmt Forecast";"calculations",#N/A,FALSE,"Mgmt Forecast"}</definedName>
    <definedName name="_a1_4_2_3" hidden="1">{"mgmt forecast",#N/A,FALSE,"Mgmt Forecast";"dcf table",#N/A,FALSE,"Mgmt Forecast";"sensitivity",#N/A,FALSE,"Mgmt Forecast";"table inputs",#N/A,FALSE,"Mgmt Forecast";"calculations",#N/A,FALSE,"Mgmt Forecast"}</definedName>
    <definedName name="_a1_4_2_4" localSheetId="8" hidden="1">{"mgmt forecast",#N/A,FALSE,"Mgmt Forecast";"dcf table",#N/A,FALSE,"Mgmt Forecast";"sensitivity",#N/A,FALSE,"Mgmt Forecast";"table inputs",#N/A,FALSE,"Mgmt Forecast";"calculations",#N/A,FALSE,"Mgmt Forecast"}</definedName>
    <definedName name="_a1_4_2_4" hidden="1">{"mgmt forecast",#N/A,FALSE,"Mgmt Forecast";"dcf table",#N/A,FALSE,"Mgmt Forecast";"sensitivity",#N/A,FALSE,"Mgmt Forecast";"table inputs",#N/A,FALSE,"Mgmt Forecast";"calculations",#N/A,FALSE,"Mgmt Forecast"}</definedName>
    <definedName name="_a1_4_2_5" localSheetId="8" hidden="1">{"mgmt forecast",#N/A,FALSE,"Mgmt Forecast";"dcf table",#N/A,FALSE,"Mgmt Forecast";"sensitivity",#N/A,FALSE,"Mgmt Forecast";"table inputs",#N/A,FALSE,"Mgmt Forecast";"calculations",#N/A,FALSE,"Mgmt Forecast"}</definedName>
    <definedName name="_a1_4_2_5" hidden="1">{"mgmt forecast",#N/A,FALSE,"Mgmt Forecast";"dcf table",#N/A,FALSE,"Mgmt Forecast";"sensitivity",#N/A,FALSE,"Mgmt Forecast";"table inputs",#N/A,FALSE,"Mgmt Forecast";"calculations",#N/A,FALSE,"Mgmt Forecast"}</definedName>
    <definedName name="_a1_4_3" localSheetId="8" hidden="1">{"mgmt forecast",#N/A,FALSE,"Mgmt Forecast";"dcf table",#N/A,FALSE,"Mgmt Forecast";"sensitivity",#N/A,FALSE,"Mgmt Forecast";"table inputs",#N/A,FALSE,"Mgmt Forecast";"calculations",#N/A,FALSE,"Mgmt Forecast"}</definedName>
    <definedName name="_a1_4_3" hidden="1">{"mgmt forecast",#N/A,FALSE,"Mgmt Forecast";"dcf table",#N/A,FALSE,"Mgmt Forecast";"sensitivity",#N/A,FALSE,"Mgmt Forecast";"table inputs",#N/A,FALSE,"Mgmt Forecast";"calculations",#N/A,FALSE,"Mgmt Forecast"}</definedName>
    <definedName name="_a1_4_3_1" localSheetId="8" hidden="1">{"mgmt forecast",#N/A,FALSE,"Mgmt Forecast";"dcf table",#N/A,FALSE,"Mgmt Forecast";"sensitivity",#N/A,FALSE,"Mgmt Forecast";"table inputs",#N/A,FALSE,"Mgmt Forecast";"calculations",#N/A,FALSE,"Mgmt Forecast"}</definedName>
    <definedName name="_a1_4_3_1" hidden="1">{"mgmt forecast",#N/A,FALSE,"Mgmt Forecast";"dcf table",#N/A,FALSE,"Mgmt Forecast";"sensitivity",#N/A,FALSE,"Mgmt Forecast";"table inputs",#N/A,FALSE,"Mgmt Forecast";"calculations",#N/A,FALSE,"Mgmt Forecast"}</definedName>
    <definedName name="_a1_4_3_2" localSheetId="8" hidden="1">{"mgmt forecast",#N/A,FALSE,"Mgmt Forecast";"dcf table",#N/A,FALSE,"Mgmt Forecast";"sensitivity",#N/A,FALSE,"Mgmt Forecast";"table inputs",#N/A,FALSE,"Mgmt Forecast";"calculations",#N/A,FALSE,"Mgmt Forecast"}</definedName>
    <definedName name="_a1_4_3_2" hidden="1">{"mgmt forecast",#N/A,FALSE,"Mgmt Forecast";"dcf table",#N/A,FALSE,"Mgmt Forecast";"sensitivity",#N/A,FALSE,"Mgmt Forecast";"table inputs",#N/A,FALSE,"Mgmt Forecast";"calculations",#N/A,FALSE,"Mgmt Forecast"}</definedName>
    <definedName name="_a1_4_3_3" localSheetId="8" hidden="1">{"mgmt forecast",#N/A,FALSE,"Mgmt Forecast";"dcf table",#N/A,FALSE,"Mgmt Forecast";"sensitivity",#N/A,FALSE,"Mgmt Forecast";"table inputs",#N/A,FALSE,"Mgmt Forecast";"calculations",#N/A,FALSE,"Mgmt Forecast"}</definedName>
    <definedName name="_a1_4_3_3" hidden="1">{"mgmt forecast",#N/A,FALSE,"Mgmt Forecast";"dcf table",#N/A,FALSE,"Mgmt Forecast";"sensitivity",#N/A,FALSE,"Mgmt Forecast";"table inputs",#N/A,FALSE,"Mgmt Forecast";"calculations",#N/A,FALSE,"Mgmt Forecast"}</definedName>
    <definedName name="_a1_4_3_4" localSheetId="8" hidden="1">{"mgmt forecast",#N/A,FALSE,"Mgmt Forecast";"dcf table",#N/A,FALSE,"Mgmt Forecast";"sensitivity",#N/A,FALSE,"Mgmt Forecast";"table inputs",#N/A,FALSE,"Mgmt Forecast";"calculations",#N/A,FALSE,"Mgmt Forecast"}</definedName>
    <definedName name="_a1_4_3_4" hidden="1">{"mgmt forecast",#N/A,FALSE,"Mgmt Forecast";"dcf table",#N/A,FALSE,"Mgmt Forecast";"sensitivity",#N/A,FALSE,"Mgmt Forecast";"table inputs",#N/A,FALSE,"Mgmt Forecast";"calculations",#N/A,FALSE,"Mgmt Forecast"}</definedName>
    <definedName name="_a1_4_3_5" localSheetId="8" hidden="1">{"mgmt forecast",#N/A,FALSE,"Mgmt Forecast";"dcf table",#N/A,FALSE,"Mgmt Forecast";"sensitivity",#N/A,FALSE,"Mgmt Forecast";"table inputs",#N/A,FALSE,"Mgmt Forecast";"calculations",#N/A,FALSE,"Mgmt Forecast"}</definedName>
    <definedName name="_a1_4_3_5" hidden="1">{"mgmt forecast",#N/A,FALSE,"Mgmt Forecast";"dcf table",#N/A,FALSE,"Mgmt Forecast";"sensitivity",#N/A,FALSE,"Mgmt Forecast";"table inputs",#N/A,FALSE,"Mgmt Forecast";"calculations",#N/A,FALSE,"Mgmt Forecast"}</definedName>
    <definedName name="_a1_4_4" localSheetId="8" hidden="1">{"mgmt forecast",#N/A,FALSE,"Mgmt Forecast";"dcf table",#N/A,FALSE,"Mgmt Forecast";"sensitivity",#N/A,FALSE,"Mgmt Forecast";"table inputs",#N/A,FALSE,"Mgmt Forecast";"calculations",#N/A,FALSE,"Mgmt Forecast"}</definedName>
    <definedName name="_a1_4_4" hidden="1">{"mgmt forecast",#N/A,FALSE,"Mgmt Forecast";"dcf table",#N/A,FALSE,"Mgmt Forecast";"sensitivity",#N/A,FALSE,"Mgmt Forecast";"table inputs",#N/A,FALSE,"Mgmt Forecast";"calculations",#N/A,FALSE,"Mgmt Forecast"}</definedName>
    <definedName name="_a1_4_4_1" localSheetId="8" hidden="1">{"mgmt forecast",#N/A,FALSE,"Mgmt Forecast";"dcf table",#N/A,FALSE,"Mgmt Forecast";"sensitivity",#N/A,FALSE,"Mgmt Forecast";"table inputs",#N/A,FALSE,"Mgmt Forecast";"calculations",#N/A,FALSE,"Mgmt Forecast"}</definedName>
    <definedName name="_a1_4_4_1" hidden="1">{"mgmt forecast",#N/A,FALSE,"Mgmt Forecast";"dcf table",#N/A,FALSE,"Mgmt Forecast";"sensitivity",#N/A,FALSE,"Mgmt Forecast";"table inputs",#N/A,FALSE,"Mgmt Forecast";"calculations",#N/A,FALSE,"Mgmt Forecast"}</definedName>
    <definedName name="_a1_4_4_2" localSheetId="8" hidden="1">{"mgmt forecast",#N/A,FALSE,"Mgmt Forecast";"dcf table",#N/A,FALSE,"Mgmt Forecast";"sensitivity",#N/A,FALSE,"Mgmt Forecast";"table inputs",#N/A,FALSE,"Mgmt Forecast";"calculations",#N/A,FALSE,"Mgmt Forecast"}</definedName>
    <definedName name="_a1_4_4_2" hidden="1">{"mgmt forecast",#N/A,FALSE,"Mgmt Forecast";"dcf table",#N/A,FALSE,"Mgmt Forecast";"sensitivity",#N/A,FALSE,"Mgmt Forecast";"table inputs",#N/A,FALSE,"Mgmt Forecast";"calculations",#N/A,FALSE,"Mgmt Forecast"}</definedName>
    <definedName name="_a1_4_4_3" localSheetId="8" hidden="1">{"mgmt forecast",#N/A,FALSE,"Mgmt Forecast";"dcf table",#N/A,FALSE,"Mgmt Forecast";"sensitivity",#N/A,FALSE,"Mgmt Forecast";"table inputs",#N/A,FALSE,"Mgmt Forecast";"calculations",#N/A,FALSE,"Mgmt Forecast"}</definedName>
    <definedName name="_a1_4_4_3" hidden="1">{"mgmt forecast",#N/A,FALSE,"Mgmt Forecast";"dcf table",#N/A,FALSE,"Mgmt Forecast";"sensitivity",#N/A,FALSE,"Mgmt Forecast";"table inputs",#N/A,FALSE,"Mgmt Forecast";"calculations",#N/A,FALSE,"Mgmt Forecast"}</definedName>
    <definedName name="_a1_4_4_4" localSheetId="8" hidden="1">{"mgmt forecast",#N/A,FALSE,"Mgmt Forecast";"dcf table",#N/A,FALSE,"Mgmt Forecast";"sensitivity",#N/A,FALSE,"Mgmt Forecast";"table inputs",#N/A,FALSE,"Mgmt Forecast";"calculations",#N/A,FALSE,"Mgmt Forecast"}</definedName>
    <definedName name="_a1_4_4_4" hidden="1">{"mgmt forecast",#N/A,FALSE,"Mgmt Forecast";"dcf table",#N/A,FALSE,"Mgmt Forecast";"sensitivity",#N/A,FALSE,"Mgmt Forecast";"table inputs",#N/A,FALSE,"Mgmt Forecast";"calculations",#N/A,FALSE,"Mgmt Forecast"}</definedName>
    <definedName name="_a1_4_4_5" localSheetId="8" hidden="1">{"mgmt forecast",#N/A,FALSE,"Mgmt Forecast";"dcf table",#N/A,FALSE,"Mgmt Forecast";"sensitivity",#N/A,FALSE,"Mgmt Forecast";"table inputs",#N/A,FALSE,"Mgmt Forecast";"calculations",#N/A,FALSE,"Mgmt Forecast"}</definedName>
    <definedName name="_a1_4_4_5" hidden="1">{"mgmt forecast",#N/A,FALSE,"Mgmt Forecast";"dcf table",#N/A,FALSE,"Mgmt Forecast";"sensitivity",#N/A,FALSE,"Mgmt Forecast";"table inputs",#N/A,FALSE,"Mgmt Forecast";"calculations",#N/A,FALSE,"Mgmt Forecast"}</definedName>
    <definedName name="_a1_4_5" localSheetId="8" hidden="1">{"mgmt forecast",#N/A,FALSE,"Mgmt Forecast";"dcf table",#N/A,FALSE,"Mgmt Forecast";"sensitivity",#N/A,FALSE,"Mgmt Forecast";"table inputs",#N/A,FALSE,"Mgmt Forecast";"calculations",#N/A,FALSE,"Mgmt Forecast"}</definedName>
    <definedName name="_a1_4_5" hidden="1">{"mgmt forecast",#N/A,FALSE,"Mgmt Forecast";"dcf table",#N/A,FALSE,"Mgmt Forecast";"sensitivity",#N/A,FALSE,"Mgmt Forecast";"table inputs",#N/A,FALSE,"Mgmt Forecast";"calculations",#N/A,FALSE,"Mgmt Forecast"}</definedName>
    <definedName name="_a1_4_5_1" localSheetId="8" hidden="1">{"mgmt forecast",#N/A,FALSE,"Mgmt Forecast";"dcf table",#N/A,FALSE,"Mgmt Forecast";"sensitivity",#N/A,FALSE,"Mgmt Forecast";"table inputs",#N/A,FALSE,"Mgmt Forecast";"calculations",#N/A,FALSE,"Mgmt Forecast"}</definedName>
    <definedName name="_a1_4_5_1" hidden="1">{"mgmt forecast",#N/A,FALSE,"Mgmt Forecast";"dcf table",#N/A,FALSE,"Mgmt Forecast";"sensitivity",#N/A,FALSE,"Mgmt Forecast";"table inputs",#N/A,FALSE,"Mgmt Forecast";"calculations",#N/A,FALSE,"Mgmt Forecast"}</definedName>
    <definedName name="_a1_4_5_2" localSheetId="8" hidden="1">{"mgmt forecast",#N/A,FALSE,"Mgmt Forecast";"dcf table",#N/A,FALSE,"Mgmt Forecast";"sensitivity",#N/A,FALSE,"Mgmt Forecast";"table inputs",#N/A,FALSE,"Mgmt Forecast";"calculations",#N/A,FALSE,"Mgmt Forecast"}</definedName>
    <definedName name="_a1_4_5_2" hidden="1">{"mgmt forecast",#N/A,FALSE,"Mgmt Forecast";"dcf table",#N/A,FALSE,"Mgmt Forecast";"sensitivity",#N/A,FALSE,"Mgmt Forecast";"table inputs",#N/A,FALSE,"Mgmt Forecast";"calculations",#N/A,FALSE,"Mgmt Forecast"}</definedName>
    <definedName name="_a1_4_5_3" localSheetId="8" hidden="1">{"mgmt forecast",#N/A,FALSE,"Mgmt Forecast";"dcf table",#N/A,FALSE,"Mgmt Forecast";"sensitivity",#N/A,FALSE,"Mgmt Forecast";"table inputs",#N/A,FALSE,"Mgmt Forecast";"calculations",#N/A,FALSE,"Mgmt Forecast"}</definedName>
    <definedName name="_a1_4_5_3" hidden="1">{"mgmt forecast",#N/A,FALSE,"Mgmt Forecast";"dcf table",#N/A,FALSE,"Mgmt Forecast";"sensitivity",#N/A,FALSE,"Mgmt Forecast";"table inputs",#N/A,FALSE,"Mgmt Forecast";"calculations",#N/A,FALSE,"Mgmt Forecast"}</definedName>
    <definedName name="_a1_4_5_4" localSheetId="8" hidden="1">{"mgmt forecast",#N/A,FALSE,"Mgmt Forecast";"dcf table",#N/A,FALSE,"Mgmt Forecast";"sensitivity",#N/A,FALSE,"Mgmt Forecast";"table inputs",#N/A,FALSE,"Mgmt Forecast";"calculations",#N/A,FALSE,"Mgmt Forecast"}</definedName>
    <definedName name="_a1_4_5_4" hidden="1">{"mgmt forecast",#N/A,FALSE,"Mgmt Forecast";"dcf table",#N/A,FALSE,"Mgmt Forecast";"sensitivity",#N/A,FALSE,"Mgmt Forecast";"table inputs",#N/A,FALSE,"Mgmt Forecast";"calculations",#N/A,FALSE,"Mgmt Forecast"}</definedName>
    <definedName name="_a1_4_5_5" localSheetId="8" hidden="1">{"mgmt forecast",#N/A,FALSE,"Mgmt Forecast";"dcf table",#N/A,FALSE,"Mgmt Forecast";"sensitivity",#N/A,FALSE,"Mgmt Forecast";"table inputs",#N/A,FALSE,"Mgmt Forecast";"calculations",#N/A,FALSE,"Mgmt Forecast"}</definedName>
    <definedName name="_a1_4_5_5" hidden="1">{"mgmt forecast",#N/A,FALSE,"Mgmt Forecast";"dcf table",#N/A,FALSE,"Mgmt Forecast";"sensitivity",#N/A,FALSE,"Mgmt Forecast";"table inputs",#N/A,FALSE,"Mgmt Forecast";"calculations",#N/A,FALSE,"Mgmt Forecast"}</definedName>
    <definedName name="_a1_5" localSheetId="8" hidden="1">{"mgmt forecast",#N/A,FALSE,"Mgmt Forecast";"dcf table",#N/A,FALSE,"Mgmt Forecast";"sensitivity",#N/A,FALSE,"Mgmt Forecast";"table inputs",#N/A,FALSE,"Mgmt Forecast";"calculations",#N/A,FALSE,"Mgmt Forecast"}</definedName>
    <definedName name="_a1_5" hidden="1">{"mgmt forecast",#N/A,FALSE,"Mgmt Forecast";"dcf table",#N/A,FALSE,"Mgmt Forecast";"sensitivity",#N/A,FALSE,"Mgmt Forecast";"table inputs",#N/A,FALSE,"Mgmt Forecast";"calculations",#N/A,FALSE,"Mgmt Forecast"}</definedName>
    <definedName name="_a1_5_1" localSheetId="8" hidden="1">{"mgmt forecast",#N/A,FALSE,"Mgmt Forecast";"dcf table",#N/A,FALSE,"Mgmt Forecast";"sensitivity",#N/A,FALSE,"Mgmt Forecast";"table inputs",#N/A,FALSE,"Mgmt Forecast";"calculations",#N/A,FALSE,"Mgmt Forecast"}</definedName>
    <definedName name="_a1_5_1" hidden="1">{"mgmt forecast",#N/A,FALSE,"Mgmt Forecast";"dcf table",#N/A,FALSE,"Mgmt Forecast";"sensitivity",#N/A,FALSE,"Mgmt Forecast";"table inputs",#N/A,FALSE,"Mgmt Forecast";"calculations",#N/A,FALSE,"Mgmt Forecast"}</definedName>
    <definedName name="_a1_5_1_1" localSheetId="8" hidden="1">{"mgmt forecast",#N/A,FALSE,"Mgmt Forecast";"dcf table",#N/A,FALSE,"Mgmt Forecast";"sensitivity",#N/A,FALSE,"Mgmt Forecast";"table inputs",#N/A,FALSE,"Mgmt Forecast";"calculations",#N/A,FALSE,"Mgmt Forecast"}</definedName>
    <definedName name="_a1_5_1_1" hidden="1">{"mgmt forecast",#N/A,FALSE,"Mgmt Forecast";"dcf table",#N/A,FALSE,"Mgmt Forecast";"sensitivity",#N/A,FALSE,"Mgmt Forecast";"table inputs",#N/A,FALSE,"Mgmt Forecast";"calculations",#N/A,FALSE,"Mgmt Forecast"}</definedName>
    <definedName name="_a1_5_1_2" localSheetId="8" hidden="1">{"mgmt forecast",#N/A,FALSE,"Mgmt Forecast";"dcf table",#N/A,FALSE,"Mgmt Forecast";"sensitivity",#N/A,FALSE,"Mgmt Forecast";"table inputs",#N/A,FALSE,"Mgmt Forecast";"calculations",#N/A,FALSE,"Mgmt Forecast"}</definedName>
    <definedName name="_a1_5_1_2" hidden="1">{"mgmt forecast",#N/A,FALSE,"Mgmt Forecast";"dcf table",#N/A,FALSE,"Mgmt Forecast";"sensitivity",#N/A,FALSE,"Mgmt Forecast";"table inputs",#N/A,FALSE,"Mgmt Forecast";"calculations",#N/A,FALSE,"Mgmt Forecast"}</definedName>
    <definedName name="_a1_5_1_3" localSheetId="8" hidden="1">{"mgmt forecast",#N/A,FALSE,"Mgmt Forecast";"dcf table",#N/A,FALSE,"Mgmt Forecast";"sensitivity",#N/A,FALSE,"Mgmt Forecast";"table inputs",#N/A,FALSE,"Mgmt Forecast";"calculations",#N/A,FALSE,"Mgmt Forecast"}</definedName>
    <definedName name="_a1_5_1_3" hidden="1">{"mgmt forecast",#N/A,FALSE,"Mgmt Forecast";"dcf table",#N/A,FALSE,"Mgmt Forecast";"sensitivity",#N/A,FALSE,"Mgmt Forecast";"table inputs",#N/A,FALSE,"Mgmt Forecast";"calculations",#N/A,FALSE,"Mgmt Forecast"}</definedName>
    <definedName name="_a1_5_1_4" localSheetId="8" hidden="1">{"mgmt forecast",#N/A,FALSE,"Mgmt Forecast";"dcf table",#N/A,FALSE,"Mgmt Forecast";"sensitivity",#N/A,FALSE,"Mgmt Forecast";"table inputs",#N/A,FALSE,"Mgmt Forecast";"calculations",#N/A,FALSE,"Mgmt Forecast"}</definedName>
    <definedName name="_a1_5_1_4" hidden="1">{"mgmt forecast",#N/A,FALSE,"Mgmt Forecast";"dcf table",#N/A,FALSE,"Mgmt Forecast";"sensitivity",#N/A,FALSE,"Mgmt Forecast";"table inputs",#N/A,FALSE,"Mgmt Forecast";"calculations",#N/A,FALSE,"Mgmt Forecast"}</definedName>
    <definedName name="_a1_5_1_5" localSheetId="8" hidden="1">{"mgmt forecast",#N/A,FALSE,"Mgmt Forecast";"dcf table",#N/A,FALSE,"Mgmt Forecast";"sensitivity",#N/A,FALSE,"Mgmt Forecast";"table inputs",#N/A,FALSE,"Mgmt Forecast";"calculations",#N/A,FALSE,"Mgmt Forecast"}</definedName>
    <definedName name="_a1_5_1_5" hidden="1">{"mgmt forecast",#N/A,FALSE,"Mgmt Forecast";"dcf table",#N/A,FALSE,"Mgmt Forecast";"sensitivity",#N/A,FALSE,"Mgmt Forecast";"table inputs",#N/A,FALSE,"Mgmt Forecast";"calculations",#N/A,FALSE,"Mgmt Forecast"}</definedName>
    <definedName name="_a1_5_2" localSheetId="8" hidden="1">{"mgmt forecast",#N/A,FALSE,"Mgmt Forecast";"dcf table",#N/A,FALSE,"Mgmt Forecast";"sensitivity",#N/A,FALSE,"Mgmt Forecast";"table inputs",#N/A,FALSE,"Mgmt Forecast";"calculations",#N/A,FALSE,"Mgmt Forecast"}</definedName>
    <definedName name="_a1_5_2" hidden="1">{"mgmt forecast",#N/A,FALSE,"Mgmt Forecast";"dcf table",#N/A,FALSE,"Mgmt Forecast";"sensitivity",#N/A,FALSE,"Mgmt Forecast";"table inputs",#N/A,FALSE,"Mgmt Forecast";"calculations",#N/A,FALSE,"Mgmt Forecast"}</definedName>
    <definedName name="_a1_5_2_1" localSheetId="8" hidden="1">{"mgmt forecast",#N/A,FALSE,"Mgmt Forecast";"dcf table",#N/A,FALSE,"Mgmt Forecast";"sensitivity",#N/A,FALSE,"Mgmt Forecast";"table inputs",#N/A,FALSE,"Mgmt Forecast";"calculations",#N/A,FALSE,"Mgmt Forecast"}</definedName>
    <definedName name="_a1_5_2_1" hidden="1">{"mgmt forecast",#N/A,FALSE,"Mgmt Forecast";"dcf table",#N/A,FALSE,"Mgmt Forecast";"sensitivity",#N/A,FALSE,"Mgmt Forecast";"table inputs",#N/A,FALSE,"Mgmt Forecast";"calculations",#N/A,FALSE,"Mgmt Forecast"}</definedName>
    <definedName name="_a1_5_2_2" localSheetId="8" hidden="1">{"mgmt forecast",#N/A,FALSE,"Mgmt Forecast";"dcf table",#N/A,FALSE,"Mgmt Forecast";"sensitivity",#N/A,FALSE,"Mgmt Forecast";"table inputs",#N/A,FALSE,"Mgmt Forecast";"calculations",#N/A,FALSE,"Mgmt Forecast"}</definedName>
    <definedName name="_a1_5_2_2" hidden="1">{"mgmt forecast",#N/A,FALSE,"Mgmt Forecast";"dcf table",#N/A,FALSE,"Mgmt Forecast";"sensitivity",#N/A,FALSE,"Mgmt Forecast";"table inputs",#N/A,FALSE,"Mgmt Forecast";"calculations",#N/A,FALSE,"Mgmt Forecast"}</definedName>
    <definedName name="_a1_5_2_3" localSheetId="8" hidden="1">{"mgmt forecast",#N/A,FALSE,"Mgmt Forecast";"dcf table",#N/A,FALSE,"Mgmt Forecast";"sensitivity",#N/A,FALSE,"Mgmt Forecast";"table inputs",#N/A,FALSE,"Mgmt Forecast";"calculations",#N/A,FALSE,"Mgmt Forecast"}</definedName>
    <definedName name="_a1_5_2_3" hidden="1">{"mgmt forecast",#N/A,FALSE,"Mgmt Forecast";"dcf table",#N/A,FALSE,"Mgmt Forecast";"sensitivity",#N/A,FALSE,"Mgmt Forecast";"table inputs",#N/A,FALSE,"Mgmt Forecast";"calculations",#N/A,FALSE,"Mgmt Forecast"}</definedName>
    <definedName name="_a1_5_2_4" localSheetId="8" hidden="1">{"mgmt forecast",#N/A,FALSE,"Mgmt Forecast";"dcf table",#N/A,FALSE,"Mgmt Forecast";"sensitivity",#N/A,FALSE,"Mgmt Forecast";"table inputs",#N/A,FALSE,"Mgmt Forecast";"calculations",#N/A,FALSE,"Mgmt Forecast"}</definedName>
    <definedName name="_a1_5_2_4" hidden="1">{"mgmt forecast",#N/A,FALSE,"Mgmt Forecast";"dcf table",#N/A,FALSE,"Mgmt Forecast";"sensitivity",#N/A,FALSE,"Mgmt Forecast";"table inputs",#N/A,FALSE,"Mgmt Forecast";"calculations",#N/A,FALSE,"Mgmt Forecast"}</definedName>
    <definedName name="_a1_5_2_5" localSheetId="8" hidden="1">{"mgmt forecast",#N/A,FALSE,"Mgmt Forecast";"dcf table",#N/A,FALSE,"Mgmt Forecast";"sensitivity",#N/A,FALSE,"Mgmt Forecast";"table inputs",#N/A,FALSE,"Mgmt Forecast";"calculations",#N/A,FALSE,"Mgmt Forecast"}</definedName>
    <definedName name="_a1_5_2_5" hidden="1">{"mgmt forecast",#N/A,FALSE,"Mgmt Forecast";"dcf table",#N/A,FALSE,"Mgmt Forecast";"sensitivity",#N/A,FALSE,"Mgmt Forecast";"table inputs",#N/A,FALSE,"Mgmt Forecast";"calculations",#N/A,FALSE,"Mgmt Forecast"}</definedName>
    <definedName name="_a1_5_3" localSheetId="8" hidden="1">{"mgmt forecast",#N/A,FALSE,"Mgmt Forecast";"dcf table",#N/A,FALSE,"Mgmt Forecast";"sensitivity",#N/A,FALSE,"Mgmt Forecast";"table inputs",#N/A,FALSE,"Mgmt Forecast";"calculations",#N/A,FALSE,"Mgmt Forecast"}</definedName>
    <definedName name="_a1_5_3" hidden="1">{"mgmt forecast",#N/A,FALSE,"Mgmt Forecast";"dcf table",#N/A,FALSE,"Mgmt Forecast";"sensitivity",#N/A,FALSE,"Mgmt Forecast";"table inputs",#N/A,FALSE,"Mgmt Forecast";"calculations",#N/A,FALSE,"Mgmt Forecast"}</definedName>
    <definedName name="_a1_5_3_1" localSheetId="8" hidden="1">{"mgmt forecast",#N/A,FALSE,"Mgmt Forecast";"dcf table",#N/A,FALSE,"Mgmt Forecast";"sensitivity",#N/A,FALSE,"Mgmt Forecast";"table inputs",#N/A,FALSE,"Mgmt Forecast";"calculations",#N/A,FALSE,"Mgmt Forecast"}</definedName>
    <definedName name="_a1_5_3_1" hidden="1">{"mgmt forecast",#N/A,FALSE,"Mgmt Forecast";"dcf table",#N/A,FALSE,"Mgmt Forecast";"sensitivity",#N/A,FALSE,"Mgmt Forecast";"table inputs",#N/A,FALSE,"Mgmt Forecast";"calculations",#N/A,FALSE,"Mgmt Forecast"}</definedName>
    <definedName name="_a1_5_3_2" localSheetId="8" hidden="1">{"mgmt forecast",#N/A,FALSE,"Mgmt Forecast";"dcf table",#N/A,FALSE,"Mgmt Forecast";"sensitivity",#N/A,FALSE,"Mgmt Forecast";"table inputs",#N/A,FALSE,"Mgmt Forecast";"calculations",#N/A,FALSE,"Mgmt Forecast"}</definedName>
    <definedName name="_a1_5_3_2" hidden="1">{"mgmt forecast",#N/A,FALSE,"Mgmt Forecast";"dcf table",#N/A,FALSE,"Mgmt Forecast";"sensitivity",#N/A,FALSE,"Mgmt Forecast";"table inputs",#N/A,FALSE,"Mgmt Forecast";"calculations",#N/A,FALSE,"Mgmt Forecast"}</definedName>
    <definedName name="_a1_5_3_3" localSheetId="8" hidden="1">{"mgmt forecast",#N/A,FALSE,"Mgmt Forecast";"dcf table",#N/A,FALSE,"Mgmt Forecast";"sensitivity",#N/A,FALSE,"Mgmt Forecast";"table inputs",#N/A,FALSE,"Mgmt Forecast";"calculations",#N/A,FALSE,"Mgmt Forecast"}</definedName>
    <definedName name="_a1_5_3_3" hidden="1">{"mgmt forecast",#N/A,FALSE,"Mgmt Forecast";"dcf table",#N/A,FALSE,"Mgmt Forecast";"sensitivity",#N/A,FALSE,"Mgmt Forecast";"table inputs",#N/A,FALSE,"Mgmt Forecast";"calculations",#N/A,FALSE,"Mgmt Forecast"}</definedName>
    <definedName name="_a1_5_3_4" localSheetId="8" hidden="1">{"mgmt forecast",#N/A,FALSE,"Mgmt Forecast";"dcf table",#N/A,FALSE,"Mgmt Forecast";"sensitivity",#N/A,FALSE,"Mgmt Forecast";"table inputs",#N/A,FALSE,"Mgmt Forecast";"calculations",#N/A,FALSE,"Mgmt Forecast"}</definedName>
    <definedName name="_a1_5_3_4" hidden="1">{"mgmt forecast",#N/A,FALSE,"Mgmt Forecast";"dcf table",#N/A,FALSE,"Mgmt Forecast";"sensitivity",#N/A,FALSE,"Mgmt Forecast";"table inputs",#N/A,FALSE,"Mgmt Forecast";"calculations",#N/A,FALSE,"Mgmt Forecast"}</definedName>
    <definedName name="_a1_5_3_5" localSheetId="8" hidden="1">{"mgmt forecast",#N/A,FALSE,"Mgmt Forecast";"dcf table",#N/A,FALSE,"Mgmt Forecast";"sensitivity",#N/A,FALSE,"Mgmt Forecast";"table inputs",#N/A,FALSE,"Mgmt Forecast";"calculations",#N/A,FALSE,"Mgmt Forecast"}</definedName>
    <definedName name="_a1_5_3_5" hidden="1">{"mgmt forecast",#N/A,FALSE,"Mgmt Forecast";"dcf table",#N/A,FALSE,"Mgmt Forecast";"sensitivity",#N/A,FALSE,"Mgmt Forecast";"table inputs",#N/A,FALSE,"Mgmt Forecast";"calculations",#N/A,FALSE,"Mgmt Forecast"}</definedName>
    <definedName name="_a1_5_4" localSheetId="8" hidden="1">{"mgmt forecast",#N/A,FALSE,"Mgmt Forecast";"dcf table",#N/A,FALSE,"Mgmt Forecast";"sensitivity",#N/A,FALSE,"Mgmt Forecast";"table inputs",#N/A,FALSE,"Mgmt Forecast";"calculations",#N/A,FALSE,"Mgmt Forecast"}</definedName>
    <definedName name="_a1_5_4" hidden="1">{"mgmt forecast",#N/A,FALSE,"Mgmt Forecast";"dcf table",#N/A,FALSE,"Mgmt Forecast";"sensitivity",#N/A,FALSE,"Mgmt Forecast";"table inputs",#N/A,FALSE,"Mgmt Forecast";"calculations",#N/A,FALSE,"Mgmt Forecast"}</definedName>
    <definedName name="_a1_5_4_1" localSheetId="8" hidden="1">{"mgmt forecast",#N/A,FALSE,"Mgmt Forecast";"dcf table",#N/A,FALSE,"Mgmt Forecast";"sensitivity",#N/A,FALSE,"Mgmt Forecast";"table inputs",#N/A,FALSE,"Mgmt Forecast";"calculations",#N/A,FALSE,"Mgmt Forecast"}</definedName>
    <definedName name="_a1_5_4_1" hidden="1">{"mgmt forecast",#N/A,FALSE,"Mgmt Forecast";"dcf table",#N/A,FALSE,"Mgmt Forecast";"sensitivity",#N/A,FALSE,"Mgmt Forecast";"table inputs",#N/A,FALSE,"Mgmt Forecast";"calculations",#N/A,FALSE,"Mgmt Forecast"}</definedName>
    <definedName name="_a1_5_4_2" localSheetId="8" hidden="1">{"mgmt forecast",#N/A,FALSE,"Mgmt Forecast";"dcf table",#N/A,FALSE,"Mgmt Forecast";"sensitivity",#N/A,FALSE,"Mgmt Forecast";"table inputs",#N/A,FALSE,"Mgmt Forecast";"calculations",#N/A,FALSE,"Mgmt Forecast"}</definedName>
    <definedName name="_a1_5_4_2" hidden="1">{"mgmt forecast",#N/A,FALSE,"Mgmt Forecast";"dcf table",#N/A,FALSE,"Mgmt Forecast";"sensitivity",#N/A,FALSE,"Mgmt Forecast";"table inputs",#N/A,FALSE,"Mgmt Forecast";"calculations",#N/A,FALSE,"Mgmt Forecast"}</definedName>
    <definedName name="_a1_5_4_3" localSheetId="8" hidden="1">{"mgmt forecast",#N/A,FALSE,"Mgmt Forecast";"dcf table",#N/A,FALSE,"Mgmt Forecast";"sensitivity",#N/A,FALSE,"Mgmt Forecast";"table inputs",#N/A,FALSE,"Mgmt Forecast";"calculations",#N/A,FALSE,"Mgmt Forecast"}</definedName>
    <definedName name="_a1_5_4_3" hidden="1">{"mgmt forecast",#N/A,FALSE,"Mgmt Forecast";"dcf table",#N/A,FALSE,"Mgmt Forecast";"sensitivity",#N/A,FALSE,"Mgmt Forecast";"table inputs",#N/A,FALSE,"Mgmt Forecast";"calculations",#N/A,FALSE,"Mgmt Forecast"}</definedName>
    <definedName name="_a1_5_4_4" localSheetId="8" hidden="1">{"mgmt forecast",#N/A,FALSE,"Mgmt Forecast";"dcf table",#N/A,FALSE,"Mgmt Forecast";"sensitivity",#N/A,FALSE,"Mgmt Forecast";"table inputs",#N/A,FALSE,"Mgmt Forecast";"calculations",#N/A,FALSE,"Mgmt Forecast"}</definedName>
    <definedName name="_a1_5_4_4" hidden="1">{"mgmt forecast",#N/A,FALSE,"Mgmt Forecast";"dcf table",#N/A,FALSE,"Mgmt Forecast";"sensitivity",#N/A,FALSE,"Mgmt Forecast";"table inputs",#N/A,FALSE,"Mgmt Forecast";"calculations",#N/A,FALSE,"Mgmt Forecast"}</definedName>
    <definedName name="_a1_5_4_5" localSheetId="8" hidden="1">{"mgmt forecast",#N/A,FALSE,"Mgmt Forecast";"dcf table",#N/A,FALSE,"Mgmt Forecast";"sensitivity",#N/A,FALSE,"Mgmt Forecast";"table inputs",#N/A,FALSE,"Mgmt Forecast";"calculations",#N/A,FALSE,"Mgmt Forecast"}</definedName>
    <definedName name="_a1_5_4_5" hidden="1">{"mgmt forecast",#N/A,FALSE,"Mgmt Forecast";"dcf table",#N/A,FALSE,"Mgmt Forecast";"sensitivity",#N/A,FALSE,"Mgmt Forecast";"table inputs",#N/A,FALSE,"Mgmt Forecast";"calculations",#N/A,FALSE,"Mgmt Forecast"}</definedName>
    <definedName name="_a1_5_5" localSheetId="8" hidden="1">{"mgmt forecast",#N/A,FALSE,"Mgmt Forecast";"dcf table",#N/A,FALSE,"Mgmt Forecast";"sensitivity",#N/A,FALSE,"Mgmt Forecast";"table inputs",#N/A,FALSE,"Mgmt Forecast";"calculations",#N/A,FALSE,"Mgmt Forecast"}</definedName>
    <definedName name="_a1_5_5" hidden="1">{"mgmt forecast",#N/A,FALSE,"Mgmt Forecast";"dcf table",#N/A,FALSE,"Mgmt Forecast";"sensitivity",#N/A,FALSE,"Mgmt Forecast";"table inputs",#N/A,FALSE,"Mgmt Forecast";"calculations",#N/A,FALSE,"Mgmt Forecast"}</definedName>
    <definedName name="_a1_5_5_1" localSheetId="8" hidden="1">{"mgmt forecast",#N/A,FALSE,"Mgmt Forecast";"dcf table",#N/A,FALSE,"Mgmt Forecast";"sensitivity",#N/A,FALSE,"Mgmt Forecast";"table inputs",#N/A,FALSE,"Mgmt Forecast";"calculations",#N/A,FALSE,"Mgmt Forecast"}</definedName>
    <definedName name="_a1_5_5_1" hidden="1">{"mgmt forecast",#N/A,FALSE,"Mgmt Forecast";"dcf table",#N/A,FALSE,"Mgmt Forecast";"sensitivity",#N/A,FALSE,"Mgmt Forecast";"table inputs",#N/A,FALSE,"Mgmt Forecast";"calculations",#N/A,FALSE,"Mgmt Forecast"}</definedName>
    <definedName name="_a1_5_5_2" localSheetId="8" hidden="1">{"mgmt forecast",#N/A,FALSE,"Mgmt Forecast";"dcf table",#N/A,FALSE,"Mgmt Forecast";"sensitivity",#N/A,FALSE,"Mgmt Forecast";"table inputs",#N/A,FALSE,"Mgmt Forecast";"calculations",#N/A,FALSE,"Mgmt Forecast"}</definedName>
    <definedName name="_a1_5_5_2" hidden="1">{"mgmt forecast",#N/A,FALSE,"Mgmt Forecast";"dcf table",#N/A,FALSE,"Mgmt Forecast";"sensitivity",#N/A,FALSE,"Mgmt Forecast";"table inputs",#N/A,FALSE,"Mgmt Forecast";"calculations",#N/A,FALSE,"Mgmt Forecast"}</definedName>
    <definedName name="_a1_5_5_3" localSheetId="8" hidden="1">{"mgmt forecast",#N/A,FALSE,"Mgmt Forecast";"dcf table",#N/A,FALSE,"Mgmt Forecast";"sensitivity",#N/A,FALSE,"Mgmt Forecast";"table inputs",#N/A,FALSE,"Mgmt Forecast";"calculations",#N/A,FALSE,"Mgmt Forecast"}</definedName>
    <definedName name="_a1_5_5_3" hidden="1">{"mgmt forecast",#N/A,FALSE,"Mgmt Forecast";"dcf table",#N/A,FALSE,"Mgmt Forecast";"sensitivity",#N/A,FALSE,"Mgmt Forecast";"table inputs",#N/A,FALSE,"Mgmt Forecast";"calculations",#N/A,FALSE,"Mgmt Forecast"}</definedName>
    <definedName name="_a1_5_5_4" localSheetId="8" hidden="1">{"mgmt forecast",#N/A,FALSE,"Mgmt Forecast";"dcf table",#N/A,FALSE,"Mgmt Forecast";"sensitivity",#N/A,FALSE,"Mgmt Forecast";"table inputs",#N/A,FALSE,"Mgmt Forecast";"calculations",#N/A,FALSE,"Mgmt Forecast"}</definedName>
    <definedName name="_a1_5_5_4" hidden="1">{"mgmt forecast",#N/A,FALSE,"Mgmt Forecast";"dcf table",#N/A,FALSE,"Mgmt Forecast";"sensitivity",#N/A,FALSE,"Mgmt Forecast";"table inputs",#N/A,FALSE,"Mgmt Forecast";"calculations",#N/A,FALSE,"Mgmt Forecast"}</definedName>
    <definedName name="_a1_5_5_5" localSheetId="8" hidden="1">{"mgmt forecast",#N/A,FALSE,"Mgmt Forecast";"dcf table",#N/A,FALSE,"Mgmt Forecast";"sensitivity",#N/A,FALSE,"Mgmt Forecast";"table inputs",#N/A,FALSE,"Mgmt Forecast";"calculations",#N/A,FALSE,"Mgmt Forecast"}</definedName>
    <definedName name="_a1_5_5_5" hidden="1">{"mgmt forecast",#N/A,FALSE,"Mgmt Forecast";"dcf table",#N/A,FALSE,"Mgmt Forecast";"sensitivity",#N/A,FALSE,"Mgmt Forecast";"table inputs",#N/A,FALSE,"Mgmt Forecast";"calculations",#N/A,FALSE,"Mgmt Forecast"}</definedName>
    <definedName name="_a10" localSheetId="8" hidden="1">{#N/A,#N/A,TRUE,"0 Deckbl.";#N/A,#N/A,TRUE,"S 1 Komm";#N/A,#N/A,TRUE,"S 1a Komm";#N/A,#N/A,TRUE,"S 1b Komm";#N/A,#N/A,TRUE,"S  2 DBR";#N/A,#N/A,TRUE,"S  3 Sparten";#N/A,#N/A,TRUE,"S 4  Betr. K.";#N/A,#N/A,TRUE,"6 Bilanz";#N/A,#N/A,TRUE,"6a Bilanz ";#N/A,#N/A,TRUE,"6b Bilanz ";#N/A,#N/A,TRUE,"7 GS I";#N/A,#N/A,TRUE,"S 8 EQ-GuV"}</definedName>
    <definedName name="_a10" hidden="1">{#N/A,#N/A,TRUE,"0 Deckbl.";#N/A,#N/A,TRUE,"S 1 Komm";#N/A,#N/A,TRUE,"S 1a Komm";#N/A,#N/A,TRUE,"S 1b Komm";#N/A,#N/A,TRUE,"S  2 DBR";#N/A,#N/A,TRUE,"S  3 Sparten";#N/A,#N/A,TRUE,"S 4  Betr. K.";#N/A,#N/A,TRUE,"6 Bilanz";#N/A,#N/A,TRUE,"6a Bilanz ";#N/A,#N/A,TRUE,"6b Bilanz ";#N/A,#N/A,TRUE,"7 GS I";#N/A,#N/A,TRUE,"S 8 EQ-GuV"}</definedName>
    <definedName name="_A11" localSheetId="7" hidden="1">{#N/A,#N/A,FALSE,"Umsatz 99";#N/A,#N/A,FALSE,"ER 99 "}</definedName>
    <definedName name="_A11" localSheetId="8" hidden="1">{#N/A,#N/A,FALSE,"Umsatz 99";#N/A,#N/A,FALSE,"ER 99 "}</definedName>
    <definedName name="_A11" hidden="1">{#N/A,#N/A,FALSE,"Umsatz 99";#N/A,#N/A,FALSE,"ER 99 "}</definedName>
    <definedName name="_a123" localSheetId="8" hidden="1">{#N/A,#N/A,FALSE,"cover";#N/A,#N/A,FALSE,"Content ";#N/A,#N/A,FALSE,"E&amp;C Op Stat";#N/A,#N/A,FALSE,"Telcos Op Stat";#N/A,#N/A,FALSE,"Media Op Stat";#N/A,#N/A,FALSE,"Oil Op Stat";#N/A,#N/A,FALSE,"Utilities Op Stat";#N/A,#N/A,FALSE,"E&amp;C Ord An";#N/A,#N/A,FALSE,"E&amp;C Debt Nar";#N/A,#N/A,FALSE,"E&amp;C Debtors";#N/A,#N/A,FALSE,"E&amp;C CO Debt";#N/A,#N/A,FALSE,"Telcos Presales";#N/A,#N/A,FALSE,"Oil Presales";#N/A,#N/A,FALSE,"Utilities Presales"}</definedName>
    <definedName name="_a123" hidden="1">{#N/A,#N/A,FALSE,"cover";#N/A,#N/A,FALSE,"Content ";#N/A,#N/A,FALSE,"E&amp;C Op Stat";#N/A,#N/A,FALSE,"Telcos Op Stat";#N/A,#N/A,FALSE,"Media Op Stat";#N/A,#N/A,FALSE,"Oil Op Stat";#N/A,#N/A,FALSE,"Utilities Op Stat";#N/A,#N/A,FALSE,"E&amp;C Ord An";#N/A,#N/A,FALSE,"E&amp;C Debt Nar";#N/A,#N/A,FALSE,"E&amp;C Debtors";#N/A,#N/A,FALSE,"E&amp;C CO Debt";#N/A,#N/A,FALSE,"Telcos Presales";#N/A,#N/A,FALSE,"Oil Presales";#N/A,#N/A,FALSE,"Utilities Presales"}</definedName>
    <definedName name="_a123456" localSheetId="8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123456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2" localSheetId="7" hidden="1">{"mgmt forecast",#N/A,FALSE,"Mgmt Forecast";"dcf table",#N/A,FALSE,"Mgmt Forecast";"sensitivity",#N/A,FALSE,"Mgmt Forecast";"table inputs",#N/A,FALSE,"Mgmt Forecast";"calculations",#N/A,FALSE,"Mgmt Forecast"}</definedName>
    <definedName name="_a2" localSheetId="8" hidden="1">{"mgmt forecast",#N/A,FALSE,"Mgmt Forecast";"dcf table",#N/A,FALSE,"Mgmt Forecast";"sensitivity",#N/A,FALSE,"Mgmt Forecast";"table inputs",#N/A,FALSE,"Mgmt Forecast";"calculations",#N/A,FALSE,"Mgmt Forecast"}</definedName>
    <definedName name="_a2" hidden="1">{#N/A,#N/A,TRUE,"Voorblad B";#N/A,#N/A,TRUE,"Table of Content FinCom B";#N/A,#N/A,TRUE,"A3-P&amp;L by Bus.Unt-Serv.Unt";#N/A,#N/A,TRUE,"Summary carrier service";#N/A,#N/A,TRUE,"Summary Large accounts";#N/A,#N/A,TRUE,"Summary Consumer";#N/A,#N/A,TRUE,"Mobile";#N/A,#N/A,TRUE,"B5-Mobile(1) ";#N/A,#N/A,TRUE,"B4-GM per Product";#N/A,#N/A,TRUE,"Summary N&amp;S";#N/A,#N/A,TRUE,"B15-Network ";#N/A,#N/A,TRUE,"Summary ITbilling";#N/A,#N/A,TRUE,"Billing backlog";#N/A,#N/A,TRUE,"Summary Corporate";#N/A,#N/A,TRUE,"A5-Bal_Sheet CF";#N/A,#N/A,TRUE,"A6-Bal_Sheet CF by Old org. ";#N/A,#N/A,TRUE,"P13-Funding- Inter.";#N/A,#N/A,TRUE,"P14-Risk &amp; Fraud Fixed";#N/A,#N/A,TRUE,"P14-Risk &amp; Fraud Mobile";#N/A,#N/A,TRUE,"Accounts payable"}</definedName>
    <definedName name="_a2_1" localSheetId="8" hidden="1">{"mgmt forecast",#N/A,FALSE,"Mgmt Forecast";"dcf table",#N/A,FALSE,"Mgmt Forecast";"sensitivity",#N/A,FALSE,"Mgmt Forecast";"table inputs",#N/A,FALSE,"Mgmt Forecast";"calculations",#N/A,FALSE,"Mgmt Forecast"}</definedName>
    <definedName name="_a2_1" hidden="1">{"mgmt forecast",#N/A,FALSE,"Mgmt Forecast";"dcf table",#N/A,FALSE,"Mgmt Forecast";"sensitivity",#N/A,FALSE,"Mgmt Forecast";"table inputs",#N/A,FALSE,"Mgmt Forecast";"calculations",#N/A,FALSE,"Mgmt Forecast"}</definedName>
    <definedName name="_a2_1_1" localSheetId="8" hidden="1">{"mgmt forecast",#N/A,FALSE,"Mgmt Forecast";"dcf table",#N/A,FALSE,"Mgmt Forecast";"sensitivity",#N/A,FALSE,"Mgmt Forecast";"table inputs",#N/A,FALSE,"Mgmt Forecast";"calculations",#N/A,FALSE,"Mgmt Forecast"}</definedName>
    <definedName name="_a2_1_1" hidden="1">{"mgmt forecast",#N/A,FALSE,"Mgmt Forecast";"dcf table",#N/A,FALSE,"Mgmt Forecast";"sensitivity",#N/A,FALSE,"Mgmt Forecast";"table inputs",#N/A,FALSE,"Mgmt Forecast";"calculations",#N/A,FALSE,"Mgmt Forecast"}</definedName>
    <definedName name="_a2_1_1_1" localSheetId="8" hidden="1">{"mgmt forecast",#N/A,FALSE,"Mgmt Forecast";"dcf table",#N/A,FALSE,"Mgmt Forecast";"sensitivity",#N/A,FALSE,"Mgmt Forecast";"table inputs",#N/A,FALSE,"Mgmt Forecast";"calculations",#N/A,FALSE,"Mgmt Forecast"}</definedName>
    <definedName name="_a2_1_1_1" hidden="1">{"mgmt forecast",#N/A,FALSE,"Mgmt Forecast";"dcf table",#N/A,FALSE,"Mgmt Forecast";"sensitivity",#N/A,FALSE,"Mgmt Forecast";"table inputs",#N/A,FALSE,"Mgmt Forecast";"calculations",#N/A,FALSE,"Mgmt Forecast"}</definedName>
    <definedName name="_a2_1_1_2" localSheetId="8" hidden="1">{"mgmt forecast",#N/A,FALSE,"Mgmt Forecast";"dcf table",#N/A,FALSE,"Mgmt Forecast";"sensitivity",#N/A,FALSE,"Mgmt Forecast";"table inputs",#N/A,FALSE,"Mgmt Forecast";"calculations",#N/A,FALSE,"Mgmt Forecast"}</definedName>
    <definedName name="_a2_1_1_2" hidden="1">{"mgmt forecast",#N/A,FALSE,"Mgmt Forecast";"dcf table",#N/A,FALSE,"Mgmt Forecast";"sensitivity",#N/A,FALSE,"Mgmt Forecast";"table inputs",#N/A,FALSE,"Mgmt Forecast";"calculations",#N/A,FALSE,"Mgmt Forecast"}</definedName>
    <definedName name="_a2_1_1_3" localSheetId="8" hidden="1">{"mgmt forecast",#N/A,FALSE,"Mgmt Forecast";"dcf table",#N/A,FALSE,"Mgmt Forecast";"sensitivity",#N/A,FALSE,"Mgmt Forecast";"table inputs",#N/A,FALSE,"Mgmt Forecast";"calculations",#N/A,FALSE,"Mgmt Forecast"}</definedName>
    <definedName name="_a2_1_1_3" hidden="1">{"mgmt forecast",#N/A,FALSE,"Mgmt Forecast";"dcf table",#N/A,FALSE,"Mgmt Forecast";"sensitivity",#N/A,FALSE,"Mgmt Forecast";"table inputs",#N/A,FALSE,"Mgmt Forecast";"calculations",#N/A,FALSE,"Mgmt Forecast"}</definedName>
    <definedName name="_a2_1_1_4" localSheetId="8" hidden="1">{"mgmt forecast",#N/A,FALSE,"Mgmt Forecast";"dcf table",#N/A,FALSE,"Mgmt Forecast";"sensitivity",#N/A,FALSE,"Mgmt Forecast";"table inputs",#N/A,FALSE,"Mgmt Forecast";"calculations",#N/A,FALSE,"Mgmt Forecast"}</definedName>
    <definedName name="_a2_1_1_4" hidden="1">{"mgmt forecast",#N/A,FALSE,"Mgmt Forecast";"dcf table",#N/A,FALSE,"Mgmt Forecast";"sensitivity",#N/A,FALSE,"Mgmt Forecast";"table inputs",#N/A,FALSE,"Mgmt Forecast";"calculations",#N/A,FALSE,"Mgmt Forecast"}</definedName>
    <definedName name="_a2_1_1_5" localSheetId="8" hidden="1">{"mgmt forecast",#N/A,FALSE,"Mgmt Forecast";"dcf table",#N/A,FALSE,"Mgmt Forecast";"sensitivity",#N/A,FALSE,"Mgmt Forecast";"table inputs",#N/A,FALSE,"Mgmt Forecast";"calculations",#N/A,FALSE,"Mgmt Forecast"}</definedName>
    <definedName name="_a2_1_1_5" hidden="1">{"mgmt forecast",#N/A,FALSE,"Mgmt Forecast";"dcf table",#N/A,FALSE,"Mgmt Forecast";"sensitivity",#N/A,FALSE,"Mgmt Forecast";"table inputs",#N/A,FALSE,"Mgmt Forecast";"calculations",#N/A,FALSE,"Mgmt Forecast"}</definedName>
    <definedName name="_a2_1_2" localSheetId="8" hidden="1">{"mgmt forecast",#N/A,FALSE,"Mgmt Forecast";"dcf table",#N/A,FALSE,"Mgmt Forecast";"sensitivity",#N/A,FALSE,"Mgmt Forecast";"table inputs",#N/A,FALSE,"Mgmt Forecast";"calculations",#N/A,FALSE,"Mgmt Forecast"}</definedName>
    <definedName name="_a2_1_2" hidden="1">{"mgmt forecast",#N/A,FALSE,"Mgmt Forecast";"dcf table",#N/A,FALSE,"Mgmt Forecast";"sensitivity",#N/A,FALSE,"Mgmt Forecast";"table inputs",#N/A,FALSE,"Mgmt Forecast";"calculations",#N/A,FALSE,"Mgmt Forecast"}</definedName>
    <definedName name="_a2_1_2_1" localSheetId="8" hidden="1">{"mgmt forecast",#N/A,FALSE,"Mgmt Forecast";"dcf table",#N/A,FALSE,"Mgmt Forecast";"sensitivity",#N/A,FALSE,"Mgmt Forecast";"table inputs",#N/A,FALSE,"Mgmt Forecast";"calculations",#N/A,FALSE,"Mgmt Forecast"}</definedName>
    <definedName name="_a2_1_2_1" hidden="1">{"mgmt forecast",#N/A,FALSE,"Mgmt Forecast";"dcf table",#N/A,FALSE,"Mgmt Forecast";"sensitivity",#N/A,FALSE,"Mgmt Forecast";"table inputs",#N/A,FALSE,"Mgmt Forecast";"calculations",#N/A,FALSE,"Mgmt Forecast"}</definedName>
    <definedName name="_a2_1_2_2" localSheetId="8" hidden="1">{"mgmt forecast",#N/A,FALSE,"Mgmt Forecast";"dcf table",#N/A,FALSE,"Mgmt Forecast";"sensitivity",#N/A,FALSE,"Mgmt Forecast";"table inputs",#N/A,FALSE,"Mgmt Forecast";"calculations",#N/A,FALSE,"Mgmt Forecast"}</definedName>
    <definedName name="_a2_1_2_2" hidden="1">{"mgmt forecast",#N/A,FALSE,"Mgmt Forecast";"dcf table",#N/A,FALSE,"Mgmt Forecast";"sensitivity",#N/A,FALSE,"Mgmt Forecast";"table inputs",#N/A,FALSE,"Mgmt Forecast";"calculations",#N/A,FALSE,"Mgmt Forecast"}</definedName>
    <definedName name="_a2_1_2_3" localSheetId="8" hidden="1">{"mgmt forecast",#N/A,FALSE,"Mgmt Forecast";"dcf table",#N/A,FALSE,"Mgmt Forecast";"sensitivity",#N/A,FALSE,"Mgmt Forecast";"table inputs",#N/A,FALSE,"Mgmt Forecast";"calculations",#N/A,FALSE,"Mgmt Forecast"}</definedName>
    <definedName name="_a2_1_2_3" hidden="1">{"mgmt forecast",#N/A,FALSE,"Mgmt Forecast";"dcf table",#N/A,FALSE,"Mgmt Forecast";"sensitivity",#N/A,FALSE,"Mgmt Forecast";"table inputs",#N/A,FALSE,"Mgmt Forecast";"calculations",#N/A,FALSE,"Mgmt Forecast"}</definedName>
    <definedName name="_a2_1_2_4" localSheetId="8" hidden="1">{"mgmt forecast",#N/A,FALSE,"Mgmt Forecast";"dcf table",#N/A,FALSE,"Mgmt Forecast";"sensitivity",#N/A,FALSE,"Mgmt Forecast";"table inputs",#N/A,FALSE,"Mgmt Forecast";"calculations",#N/A,FALSE,"Mgmt Forecast"}</definedName>
    <definedName name="_a2_1_2_4" hidden="1">{"mgmt forecast",#N/A,FALSE,"Mgmt Forecast";"dcf table",#N/A,FALSE,"Mgmt Forecast";"sensitivity",#N/A,FALSE,"Mgmt Forecast";"table inputs",#N/A,FALSE,"Mgmt Forecast";"calculations",#N/A,FALSE,"Mgmt Forecast"}</definedName>
    <definedName name="_a2_1_2_5" localSheetId="8" hidden="1">{"mgmt forecast",#N/A,FALSE,"Mgmt Forecast";"dcf table",#N/A,FALSE,"Mgmt Forecast";"sensitivity",#N/A,FALSE,"Mgmt Forecast";"table inputs",#N/A,FALSE,"Mgmt Forecast";"calculations",#N/A,FALSE,"Mgmt Forecast"}</definedName>
    <definedName name="_a2_1_2_5" hidden="1">{"mgmt forecast",#N/A,FALSE,"Mgmt Forecast";"dcf table",#N/A,FALSE,"Mgmt Forecast";"sensitivity",#N/A,FALSE,"Mgmt Forecast";"table inputs",#N/A,FALSE,"Mgmt Forecast";"calculations",#N/A,FALSE,"Mgmt Forecast"}</definedName>
    <definedName name="_a2_1_3" localSheetId="8" hidden="1">{"mgmt forecast",#N/A,FALSE,"Mgmt Forecast";"dcf table",#N/A,FALSE,"Mgmt Forecast";"sensitivity",#N/A,FALSE,"Mgmt Forecast";"table inputs",#N/A,FALSE,"Mgmt Forecast";"calculations",#N/A,FALSE,"Mgmt Forecast"}</definedName>
    <definedName name="_a2_1_3" hidden="1">{"mgmt forecast",#N/A,FALSE,"Mgmt Forecast";"dcf table",#N/A,FALSE,"Mgmt Forecast";"sensitivity",#N/A,FALSE,"Mgmt Forecast";"table inputs",#N/A,FALSE,"Mgmt Forecast";"calculations",#N/A,FALSE,"Mgmt Forecast"}</definedName>
    <definedName name="_a2_1_3_1" localSheetId="8" hidden="1">{"mgmt forecast",#N/A,FALSE,"Mgmt Forecast";"dcf table",#N/A,FALSE,"Mgmt Forecast";"sensitivity",#N/A,FALSE,"Mgmt Forecast";"table inputs",#N/A,FALSE,"Mgmt Forecast";"calculations",#N/A,FALSE,"Mgmt Forecast"}</definedName>
    <definedName name="_a2_1_3_1" hidden="1">{"mgmt forecast",#N/A,FALSE,"Mgmt Forecast";"dcf table",#N/A,FALSE,"Mgmt Forecast";"sensitivity",#N/A,FALSE,"Mgmt Forecast";"table inputs",#N/A,FALSE,"Mgmt Forecast";"calculations",#N/A,FALSE,"Mgmt Forecast"}</definedName>
    <definedName name="_a2_1_3_2" localSheetId="8" hidden="1">{"mgmt forecast",#N/A,FALSE,"Mgmt Forecast";"dcf table",#N/A,FALSE,"Mgmt Forecast";"sensitivity",#N/A,FALSE,"Mgmt Forecast";"table inputs",#N/A,FALSE,"Mgmt Forecast";"calculations",#N/A,FALSE,"Mgmt Forecast"}</definedName>
    <definedName name="_a2_1_3_2" hidden="1">{"mgmt forecast",#N/A,FALSE,"Mgmt Forecast";"dcf table",#N/A,FALSE,"Mgmt Forecast";"sensitivity",#N/A,FALSE,"Mgmt Forecast";"table inputs",#N/A,FALSE,"Mgmt Forecast";"calculations",#N/A,FALSE,"Mgmt Forecast"}</definedName>
    <definedName name="_a2_1_3_3" localSheetId="8" hidden="1">{"mgmt forecast",#N/A,FALSE,"Mgmt Forecast";"dcf table",#N/A,FALSE,"Mgmt Forecast";"sensitivity",#N/A,FALSE,"Mgmt Forecast";"table inputs",#N/A,FALSE,"Mgmt Forecast";"calculations",#N/A,FALSE,"Mgmt Forecast"}</definedName>
    <definedName name="_a2_1_3_3" hidden="1">{"mgmt forecast",#N/A,FALSE,"Mgmt Forecast";"dcf table",#N/A,FALSE,"Mgmt Forecast";"sensitivity",#N/A,FALSE,"Mgmt Forecast";"table inputs",#N/A,FALSE,"Mgmt Forecast";"calculations",#N/A,FALSE,"Mgmt Forecast"}</definedName>
    <definedName name="_a2_1_3_4" localSheetId="8" hidden="1">{"mgmt forecast",#N/A,FALSE,"Mgmt Forecast";"dcf table",#N/A,FALSE,"Mgmt Forecast";"sensitivity",#N/A,FALSE,"Mgmt Forecast";"table inputs",#N/A,FALSE,"Mgmt Forecast";"calculations",#N/A,FALSE,"Mgmt Forecast"}</definedName>
    <definedName name="_a2_1_3_4" hidden="1">{"mgmt forecast",#N/A,FALSE,"Mgmt Forecast";"dcf table",#N/A,FALSE,"Mgmt Forecast";"sensitivity",#N/A,FALSE,"Mgmt Forecast";"table inputs",#N/A,FALSE,"Mgmt Forecast";"calculations",#N/A,FALSE,"Mgmt Forecast"}</definedName>
    <definedName name="_a2_1_3_5" localSheetId="8" hidden="1">{"mgmt forecast",#N/A,FALSE,"Mgmt Forecast";"dcf table",#N/A,FALSE,"Mgmt Forecast";"sensitivity",#N/A,FALSE,"Mgmt Forecast";"table inputs",#N/A,FALSE,"Mgmt Forecast";"calculations",#N/A,FALSE,"Mgmt Forecast"}</definedName>
    <definedName name="_a2_1_3_5" hidden="1">{"mgmt forecast",#N/A,FALSE,"Mgmt Forecast";"dcf table",#N/A,FALSE,"Mgmt Forecast";"sensitivity",#N/A,FALSE,"Mgmt Forecast";"table inputs",#N/A,FALSE,"Mgmt Forecast";"calculations",#N/A,FALSE,"Mgmt Forecast"}</definedName>
    <definedName name="_a2_1_4" localSheetId="8" hidden="1">{"mgmt forecast",#N/A,FALSE,"Mgmt Forecast";"dcf table",#N/A,FALSE,"Mgmt Forecast";"sensitivity",#N/A,FALSE,"Mgmt Forecast";"table inputs",#N/A,FALSE,"Mgmt Forecast";"calculations",#N/A,FALSE,"Mgmt Forecast"}</definedName>
    <definedName name="_a2_1_4" hidden="1">{"mgmt forecast",#N/A,FALSE,"Mgmt Forecast";"dcf table",#N/A,FALSE,"Mgmt Forecast";"sensitivity",#N/A,FALSE,"Mgmt Forecast";"table inputs",#N/A,FALSE,"Mgmt Forecast";"calculations",#N/A,FALSE,"Mgmt Forecast"}</definedName>
    <definedName name="_a2_1_4_1" localSheetId="8" hidden="1">{"mgmt forecast",#N/A,FALSE,"Mgmt Forecast";"dcf table",#N/A,FALSE,"Mgmt Forecast";"sensitivity",#N/A,FALSE,"Mgmt Forecast";"table inputs",#N/A,FALSE,"Mgmt Forecast";"calculations",#N/A,FALSE,"Mgmt Forecast"}</definedName>
    <definedName name="_a2_1_4_1" hidden="1">{"mgmt forecast",#N/A,FALSE,"Mgmt Forecast";"dcf table",#N/A,FALSE,"Mgmt Forecast";"sensitivity",#N/A,FALSE,"Mgmt Forecast";"table inputs",#N/A,FALSE,"Mgmt Forecast";"calculations",#N/A,FALSE,"Mgmt Forecast"}</definedName>
    <definedName name="_a2_1_4_2" localSheetId="8" hidden="1">{"mgmt forecast",#N/A,FALSE,"Mgmt Forecast";"dcf table",#N/A,FALSE,"Mgmt Forecast";"sensitivity",#N/A,FALSE,"Mgmt Forecast";"table inputs",#N/A,FALSE,"Mgmt Forecast";"calculations",#N/A,FALSE,"Mgmt Forecast"}</definedName>
    <definedName name="_a2_1_4_2" hidden="1">{"mgmt forecast",#N/A,FALSE,"Mgmt Forecast";"dcf table",#N/A,FALSE,"Mgmt Forecast";"sensitivity",#N/A,FALSE,"Mgmt Forecast";"table inputs",#N/A,FALSE,"Mgmt Forecast";"calculations",#N/A,FALSE,"Mgmt Forecast"}</definedName>
    <definedName name="_a2_1_4_3" localSheetId="8" hidden="1">{"mgmt forecast",#N/A,FALSE,"Mgmt Forecast";"dcf table",#N/A,FALSE,"Mgmt Forecast";"sensitivity",#N/A,FALSE,"Mgmt Forecast";"table inputs",#N/A,FALSE,"Mgmt Forecast";"calculations",#N/A,FALSE,"Mgmt Forecast"}</definedName>
    <definedName name="_a2_1_4_3" hidden="1">{"mgmt forecast",#N/A,FALSE,"Mgmt Forecast";"dcf table",#N/A,FALSE,"Mgmt Forecast";"sensitivity",#N/A,FALSE,"Mgmt Forecast";"table inputs",#N/A,FALSE,"Mgmt Forecast";"calculations",#N/A,FALSE,"Mgmt Forecast"}</definedName>
    <definedName name="_a2_1_4_4" localSheetId="8" hidden="1">{"mgmt forecast",#N/A,FALSE,"Mgmt Forecast";"dcf table",#N/A,FALSE,"Mgmt Forecast";"sensitivity",#N/A,FALSE,"Mgmt Forecast";"table inputs",#N/A,FALSE,"Mgmt Forecast";"calculations",#N/A,FALSE,"Mgmt Forecast"}</definedName>
    <definedName name="_a2_1_4_4" hidden="1">{"mgmt forecast",#N/A,FALSE,"Mgmt Forecast";"dcf table",#N/A,FALSE,"Mgmt Forecast";"sensitivity",#N/A,FALSE,"Mgmt Forecast";"table inputs",#N/A,FALSE,"Mgmt Forecast";"calculations",#N/A,FALSE,"Mgmt Forecast"}</definedName>
    <definedName name="_a2_1_4_5" localSheetId="8" hidden="1">{"mgmt forecast",#N/A,FALSE,"Mgmt Forecast";"dcf table",#N/A,FALSE,"Mgmt Forecast";"sensitivity",#N/A,FALSE,"Mgmt Forecast";"table inputs",#N/A,FALSE,"Mgmt Forecast";"calculations",#N/A,FALSE,"Mgmt Forecast"}</definedName>
    <definedName name="_a2_1_4_5" hidden="1">{"mgmt forecast",#N/A,FALSE,"Mgmt Forecast";"dcf table",#N/A,FALSE,"Mgmt Forecast";"sensitivity",#N/A,FALSE,"Mgmt Forecast";"table inputs",#N/A,FALSE,"Mgmt Forecast";"calculations",#N/A,FALSE,"Mgmt Forecast"}</definedName>
    <definedName name="_a2_1_5" localSheetId="8" hidden="1">{"mgmt forecast",#N/A,FALSE,"Mgmt Forecast";"dcf table",#N/A,FALSE,"Mgmt Forecast";"sensitivity",#N/A,FALSE,"Mgmt Forecast";"table inputs",#N/A,FALSE,"Mgmt Forecast";"calculations",#N/A,FALSE,"Mgmt Forecast"}</definedName>
    <definedName name="_a2_1_5" hidden="1">{"mgmt forecast",#N/A,FALSE,"Mgmt Forecast";"dcf table",#N/A,FALSE,"Mgmt Forecast";"sensitivity",#N/A,FALSE,"Mgmt Forecast";"table inputs",#N/A,FALSE,"Mgmt Forecast";"calculations",#N/A,FALSE,"Mgmt Forecast"}</definedName>
    <definedName name="_a2_1_5_1" localSheetId="8" hidden="1">{"mgmt forecast",#N/A,FALSE,"Mgmt Forecast";"dcf table",#N/A,FALSE,"Mgmt Forecast";"sensitivity",#N/A,FALSE,"Mgmt Forecast";"table inputs",#N/A,FALSE,"Mgmt Forecast";"calculations",#N/A,FALSE,"Mgmt Forecast"}</definedName>
    <definedName name="_a2_1_5_1" hidden="1">{"mgmt forecast",#N/A,FALSE,"Mgmt Forecast";"dcf table",#N/A,FALSE,"Mgmt Forecast";"sensitivity",#N/A,FALSE,"Mgmt Forecast";"table inputs",#N/A,FALSE,"Mgmt Forecast";"calculations",#N/A,FALSE,"Mgmt Forecast"}</definedName>
    <definedName name="_a2_1_5_2" localSheetId="8" hidden="1">{"mgmt forecast",#N/A,FALSE,"Mgmt Forecast";"dcf table",#N/A,FALSE,"Mgmt Forecast";"sensitivity",#N/A,FALSE,"Mgmt Forecast";"table inputs",#N/A,FALSE,"Mgmt Forecast";"calculations",#N/A,FALSE,"Mgmt Forecast"}</definedName>
    <definedName name="_a2_1_5_2" hidden="1">{"mgmt forecast",#N/A,FALSE,"Mgmt Forecast";"dcf table",#N/A,FALSE,"Mgmt Forecast";"sensitivity",#N/A,FALSE,"Mgmt Forecast";"table inputs",#N/A,FALSE,"Mgmt Forecast";"calculations",#N/A,FALSE,"Mgmt Forecast"}</definedName>
    <definedName name="_a2_1_5_3" localSheetId="8" hidden="1">{"mgmt forecast",#N/A,FALSE,"Mgmt Forecast";"dcf table",#N/A,FALSE,"Mgmt Forecast";"sensitivity",#N/A,FALSE,"Mgmt Forecast";"table inputs",#N/A,FALSE,"Mgmt Forecast";"calculations",#N/A,FALSE,"Mgmt Forecast"}</definedName>
    <definedName name="_a2_1_5_3" hidden="1">{"mgmt forecast",#N/A,FALSE,"Mgmt Forecast";"dcf table",#N/A,FALSE,"Mgmt Forecast";"sensitivity",#N/A,FALSE,"Mgmt Forecast";"table inputs",#N/A,FALSE,"Mgmt Forecast";"calculations",#N/A,FALSE,"Mgmt Forecast"}</definedName>
    <definedName name="_a2_1_5_4" localSheetId="8" hidden="1">{"mgmt forecast",#N/A,FALSE,"Mgmt Forecast";"dcf table",#N/A,FALSE,"Mgmt Forecast";"sensitivity",#N/A,FALSE,"Mgmt Forecast";"table inputs",#N/A,FALSE,"Mgmt Forecast";"calculations",#N/A,FALSE,"Mgmt Forecast"}</definedName>
    <definedName name="_a2_1_5_4" hidden="1">{"mgmt forecast",#N/A,FALSE,"Mgmt Forecast";"dcf table",#N/A,FALSE,"Mgmt Forecast";"sensitivity",#N/A,FALSE,"Mgmt Forecast";"table inputs",#N/A,FALSE,"Mgmt Forecast";"calculations",#N/A,FALSE,"Mgmt Forecast"}</definedName>
    <definedName name="_a2_1_5_5" localSheetId="8" hidden="1">{"mgmt forecast",#N/A,FALSE,"Mgmt Forecast";"dcf table",#N/A,FALSE,"Mgmt Forecast";"sensitivity",#N/A,FALSE,"Mgmt Forecast";"table inputs",#N/A,FALSE,"Mgmt Forecast";"calculations",#N/A,FALSE,"Mgmt Forecast"}</definedName>
    <definedName name="_a2_1_5_5" hidden="1">{"mgmt forecast",#N/A,FALSE,"Mgmt Forecast";"dcf table",#N/A,FALSE,"Mgmt Forecast";"sensitivity",#N/A,FALSE,"Mgmt Forecast";"table inputs",#N/A,FALSE,"Mgmt Forecast";"calculations",#N/A,FALSE,"Mgmt Forecast"}</definedName>
    <definedName name="_a2_2" localSheetId="8" hidden="1">{"mgmt forecast",#N/A,FALSE,"Mgmt Forecast";"dcf table",#N/A,FALSE,"Mgmt Forecast";"sensitivity",#N/A,FALSE,"Mgmt Forecast";"table inputs",#N/A,FALSE,"Mgmt Forecast";"calculations",#N/A,FALSE,"Mgmt Forecast"}</definedName>
    <definedName name="_a2_2" hidden="1">{"mgmt forecast",#N/A,FALSE,"Mgmt Forecast";"dcf table",#N/A,FALSE,"Mgmt Forecast";"sensitivity",#N/A,FALSE,"Mgmt Forecast";"table inputs",#N/A,FALSE,"Mgmt Forecast";"calculations",#N/A,FALSE,"Mgmt Forecast"}</definedName>
    <definedName name="_a2_2_1" localSheetId="8" hidden="1">{"mgmt forecast",#N/A,FALSE,"Mgmt Forecast";"dcf table",#N/A,FALSE,"Mgmt Forecast";"sensitivity",#N/A,FALSE,"Mgmt Forecast";"table inputs",#N/A,FALSE,"Mgmt Forecast";"calculations",#N/A,FALSE,"Mgmt Forecast"}</definedName>
    <definedName name="_a2_2_1" hidden="1">{"mgmt forecast",#N/A,FALSE,"Mgmt Forecast";"dcf table",#N/A,FALSE,"Mgmt Forecast";"sensitivity",#N/A,FALSE,"Mgmt Forecast";"table inputs",#N/A,FALSE,"Mgmt Forecast";"calculations",#N/A,FALSE,"Mgmt Forecast"}</definedName>
    <definedName name="_a2_2_1_1" localSheetId="8" hidden="1">{"mgmt forecast",#N/A,FALSE,"Mgmt Forecast";"dcf table",#N/A,FALSE,"Mgmt Forecast";"sensitivity",#N/A,FALSE,"Mgmt Forecast";"table inputs",#N/A,FALSE,"Mgmt Forecast";"calculations",#N/A,FALSE,"Mgmt Forecast"}</definedName>
    <definedName name="_a2_2_1_1" hidden="1">{"mgmt forecast",#N/A,FALSE,"Mgmt Forecast";"dcf table",#N/A,FALSE,"Mgmt Forecast";"sensitivity",#N/A,FALSE,"Mgmt Forecast";"table inputs",#N/A,FALSE,"Mgmt Forecast";"calculations",#N/A,FALSE,"Mgmt Forecast"}</definedName>
    <definedName name="_a2_2_1_2" localSheetId="8" hidden="1">{"mgmt forecast",#N/A,FALSE,"Mgmt Forecast";"dcf table",#N/A,FALSE,"Mgmt Forecast";"sensitivity",#N/A,FALSE,"Mgmt Forecast";"table inputs",#N/A,FALSE,"Mgmt Forecast";"calculations",#N/A,FALSE,"Mgmt Forecast"}</definedName>
    <definedName name="_a2_2_1_2" hidden="1">{"mgmt forecast",#N/A,FALSE,"Mgmt Forecast";"dcf table",#N/A,FALSE,"Mgmt Forecast";"sensitivity",#N/A,FALSE,"Mgmt Forecast";"table inputs",#N/A,FALSE,"Mgmt Forecast";"calculations",#N/A,FALSE,"Mgmt Forecast"}</definedName>
    <definedName name="_a2_2_1_3" localSheetId="8" hidden="1">{"mgmt forecast",#N/A,FALSE,"Mgmt Forecast";"dcf table",#N/A,FALSE,"Mgmt Forecast";"sensitivity",#N/A,FALSE,"Mgmt Forecast";"table inputs",#N/A,FALSE,"Mgmt Forecast";"calculations",#N/A,FALSE,"Mgmt Forecast"}</definedName>
    <definedName name="_a2_2_1_3" hidden="1">{"mgmt forecast",#N/A,FALSE,"Mgmt Forecast";"dcf table",#N/A,FALSE,"Mgmt Forecast";"sensitivity",#N/A,FALSE,"Mgmt Forecast";"table inputs",#N/A,FALSE,"Mgmt Forecast";"calculations",#N/A,FALSE,"Mgmt Forecast"}</definedName>
    <definedName name="_a2_2_1_4" localSheetId="8" hidden="1">{"mgmt forecast",#N/A,FALSE,"Mgmt Forecast";"dcf table",#N/A,FALSE,"Mgmt Forecast";"sensitivity",#N/A,FALSE,"Mgmt Forecast";"table inputs",#N/A,FALSE,"Mgmt Forecast";"calculations",#N/A,FALSE,"Mgmt Forecast"}</definedName>
    <definedName name="_a2_2_1_4" hidden="1">{"mgmt forecast",#N/A,FALSE,"Mgmt Forecast";"dcf table",#N/A,FALSE,"Mgmt Forecast";"sensitivity",#N/A,FALSE,"Mgmt Forecast";"table inputs",#N/A,FALSE,"Mgmt Forecast";"calculations",#N/A,FALSE,"Mgmt Forecast"}</definedName>
    <definedName name="_a2_2_1_5" localSheetId="8" hidden="1">{"mgmt forecast",#N/A,FALSE,"Mgmt Forecast";"dcf table",#N/A,FALSE,"Mgmt Forecast";"sensitivity",#N/A,FALSE,"Mgmt Forecast";"table inputs",#N/A,FALSE,"Mgmt Forecast";"calculations",#N/A,FALSE,"Mgmt Forecast"}</definedName>
    <definedName name="_a2_2_1_5" hidden="1">{"mgmt forecast",#N/A,FALSE,"Mgmt Forecast";"dcf table",#N/A,FALSE,"Mgmt Forecast";"sensitivity",#N/A,FALSE,"Mgmt Forecast";"table inputs",#N/A,FALSE,"Mgmt Forecast";"calculations",#N/A,FALSE,"Mgmt Forecast"}</definedName>
    <definedName name="_a2_2_2" localSheetId="8" hidden="1">{"mgmt forecast",#N/A,FALSE,"Mgmt Forecast";"dcf table",#N/A,FALSE,"Mgmt Forecast";"sensitivity",#N/A,FALSE,"Mgmt Forecast";"table inputs",#N/A,FALSE,"Mgmt Forecast";"calculations",#N/A,FALSE,"Mgmt Forecast"}</definedName>
    <definedName name="_a2_2_2" hidden="1">{"mgmt forecast",#N/A,FALSE,"Mgmt Forecast";"dcf table",#N/A,FALSE,"Mgmt Forecast";"sensitivity",#N/A,FALSE,"Mgmt Forecast";"table inputs",#N/A,FALSE,"Mgmt Forecast";"calculations",#N/A,FALSE,"Mgmt Forecast"}</definedName>
    <definedName name="_a2_2_2_1" localSheetId="8" hidden="1">{"mgmt forecast",#N/A,FALSE,"Mgmt Forecast";"dcf table",#N/A,FALSE,"Mgmt Forecast";"sensitivity",#N/A,FALSE,"Mgmt Forecast";"table inputs",#N/A,FALSE,"Mgmt Forecast";"calculations",#N/A,FALSE,"Mgmt Forecast"}</definedName>
    <definedName name="_a2_2_2_1" hidden="1">{"mgmt forecast",#N/A,FALSE,"Mgmt Forecast";"dcf table",#N/A,FALSE,"Mgmt Forecast";"sensitivity",#N/A,FALSE,"Mgmt Forecast";"table inputs",#N/A,FALSE,"Mgmt Forecast";"calculations",#N/A,FALSE,"Mgmt Forecast"}</definedName>
    <definedName name="_a2_2_2_2" localSheetId="8" hidden="1">{"mgmt forecast",#N/A,FALSE,"Mgmt Forecast";"dcf table",#N/A,FALSE,"Mgmt Forecast";"sensitivity",#N/A,FALSE,"Mgmt Forecast";"table inputs",#N/A,FALSE,"Mgmt Forecast";"calculations",#N/A,FALSE,"Mgmt Forecast"}</definedName>
    <definedName name="_a2_2_2_2" hidden="1">{"mgmt forecast",#N/A,FALSE,"Mgmt Forecast";"dcf table",#N/A,FALSE,"Mgmt Forecast";"sensitivity",#N/A,FALSE,"Mgmt Forecast";"table inputs",#N/A,FALSE,"Mgmt Forecast";"calculations",#N/A,FALSE,"Mgmt Forecast"}</definedName>
    <definedName name="_a2_2_2_3" localSheetId="8" hidden="1">{"mgmt forecast",#N/A,FALSE,"Mgmt Forecast";"dcf table",#N/A,FALSE,"Mgmt Forecast";"sensitivity",#N/A,FALSE,"Mgmt Forecast";"table inputs",#N/A,FALSE,"Mgmt Forecast";"calculations",#N/A,FALSE,"Mgmt Forecast"}</definedName>
    <definedName name="_a2_2_2_3" hidden="1">{"mgmt forecast",#N/A,FALSE,"Mgmt Forecast";"dcf table",#N/A,FALSE,"Mgmt Forecast";"sensitivity",#N/A,FALSE,"Mgmt Forecast";"table inputs",#N/A,FALSE,"Mgmt Forecast";"calculations",#N/A,FALSE,"Mgmt Forecast"}</definedName>
    <definedName name="_a2_2_2_4" localSheetId="8" hidden="1">{"mgmt forecast",#N/A,FALSE,"Mgmt Forecast";"dcf table",#N/A,FALSE,"Mgmt Forecast";"sensitivity",#N/A,FALSE,"Mgmt Forecast";"table inputs",#N/A,FALSE,"Mgmt Forecast";"calculations",#N/A,FALSE,"Mgmt Forecast"}</definedName>
    <definedName name="_a2_2_2_4" hidden="1">{"mgmt forecast",#N/A,FALSE,"Mgmt Forecast";"dcf table",#N/A,FALSE,"Mgmt Forecast";"sensitivity",#N/A,FALSE,"Mgmt Forecast";"table inputs",#N/A,FALSE,"Mgmt Forecast";"calculations",#N/A,FALSE,"Mgmt Forecast"}</definedName>
    <definedName name="_a2_2_2_5" localSheetId="8" hidden="1">{"mgmt forecast",#N/A,FALSE,"Mgmt Forecast";"dcf table",#N/A,FALSE,"Mgmt Forecast";"sensitivity",#N/A,FALSE,"Mgmt Forecast";"table inputs",#N/A,FALSE,"Mgmt Forecast";"calculations",#N/A,FALSE,"Mgmt Forecast"}</definedName>
    <definedName name="_a2_2_2_5" hidden="1">{"mgmt forecast",#N/A,FALSE,"Mgmt Forecast";"dcf table",#N/A,FALSE,"Mgmt Forecast";"sensitivity",#N/A,FALSE,"Mgmt Forecast";"table inputs",#N/A,FALSE,"Mgmt Forecast";"calculations",#N/A,FALSE,"Mgmt Forecast"}</definedName>
    <definedName name="_a2_2_3" localSheetId="8" hidden="1">{"mgmt forecast",#N/A,FALSE,"Mgmt Forecast";"dcf table",#N/A,FALSE,"Mgmt Forecast";"sensitivity",#N/A,FALSE,"Mgmt Forecast";"table inputs",#N/A,FALSE,"Mgmt Forecast";"calculations",#N/A,FALSE,"Mgmt Forecast"}</definedName>
    <definedName name="_a2_2_3" hidden="1">{"mgmt forecast",#N/A,FALSE,"Mgmt Forecast";"dcf table",#N/A,FALSE,"Mgmt Forecast";"sensitivity",#N/A,FALSE,"Mgmt Forecast";"table inputs",#N/A,FALSE,"Mgmt Forecast";"calculations",#N/A,FALSE,"Mgmt Forecast"}</definedName>
    <definedName name="_a2_2_3_1" localSheetId="8" hidden="1">{"mgmt forecast",#N/A,FALSE,"Mgmt Forecast";"dcf table",#N/A,FALSE,"Mgmt Forecast";"sensitivity",#N/A,FALSE,"Mgmt Forecast";"table inputs",#N/A,FALSE,"Mgmt Forecast";"calculations",#N/A,FALSE,"Mgmt Forecast"}</definedName>
    <definedName name="_a2_2_3_1" hidden="1">{"mgmt forecast",#N/A,FALSE,"Mgmt Forecast";"dcf table",#N/A,FALSE,"Mgmt Forecast";"sensitivity",#N/A,FALSE,"Mgmt Forecast";"table inputs",#N/A,FALSE,"Mgmt Forecast";"calculations",#N/A,FALSE,"Mgmt Forecast"}</definedName>
    <definedName name="_a2_2_3_2" localSheetId="8" hidden="1">{"mgmt forecast",#N/A,FALSE,"Mgmt Forecast";"dcf table",#N/A,FALSE,"Mgmt Forecast";"sensitivity",#N/A,FALSE,"Mgmt Forecast";"table inputs",#N/A,FALSE,"Mgmt Forecast";"calculations",#N/A,FALSE,"Mgmt Forecast"}</definedName>
    <definedName name="_a2_2_3_2" hidden="1">{"mgmt forecast",#N/A,FALSE,"Mgmt Forecast";"dcf table",#N/A,FALSE,"Mgmt Forecast";"sensitivity",#N/A,FALSE,"Mgmt Forecast";"table inputs",#N/A,FALSE,"Mgmt Forecast";"calculations",#N/A,FALSE,"Mgmt Forecast"}</definedName>
    <definedName name="_a2_2_3_3" localSheetId="8" hidden="1">{"mgmt forecast",#N/A,FALSE,"Mgmt Forecast";"dcf table",#N/A,FALSE,"Mgmt Forecast";"sensitivity",#N/A,FALSE,"Mgmt Forecast";"table inputs",#N/A,FALSE,"Mgmt Forecast";"calculations",#N/A,FALSE,"Mgmt Forecast"}</definedName>
    <definedName name="_a2_2_3_3" hidden="1">{"mgmt forecast",#N/A,FALSE,"Mgmt Forecast";"dcf table",#N/A,FALSE,"Mgmt Forecast";"sensitivity",#N/A,FALSE,"Mgmt Forecast";"table inputs",#N/A,FALSE,"Mgmt Forecast";"calculations",#N/A,FALSE,"Mgmt Forecast"}</definedName>
    <definedName name="_a2_2_3_4" localSheetId="8" hidden="1">{"mgmt forecast",#N/A,FALSE,"Mgmt Forecast";"dcf table",#N/A,FALSE,"Mgmt Forecast";"sensitivity",#N/A,FALSE,"Mgmt Forecast";"table inputs",#N/A,FALSE,"Mgmt Forecast";"calculations",#N/A,FALSE,"Mgmt Forecast"}</definedName>
    <definedName name="_a2_2_3_4" hidden="1">{"mgmt forecast",#N/A,FALSE,"Mgmt Forecast";"dcf table",#N/A,FALSE,"Mgmt Forecast";"sensitivity",#N/A,FALSE,"Mgmt Forecast";"table inputs",#N/A,FALSE,"Mgmt Forecast";"calculations",#N/A,FALSE,"Mgmt Forecast"}</definedName>
    <definedName name="_a2_2_3_5" localSheetId="8" hidden="1">{"mgmt forecast",#N/A,FALSE,"Mgmt Forecast";"dcf table",#N/A,FALSE,"Mgmt Forecast";"sensitivity",#N/A,FALSE,"Mgmt Forecast";"table inputs",#N/A,FALSE,"Mgmt Forecast";"calculations",#N/A,FALSE,"Mgmt Forecast"}</definedName>
    <definedName name="_a2_2_3_5" hidden="1">{"mgmt forecast",#N/A,FALSE,"Mgmt Forecast";"dcf table",#N/A,FALSE,"Mgmt Forecast";"sensitivity",#N/A,FALSE,"Mgmt Forecast";"table inputs",#N/A,FALSE,"Mgmt Forecast";"calculations",#N/A,FALSE,"Mgmt Forecast"}</definedName>
    <definedName name="_a2_2_4" localSheetId="8" hidden="1">{"mgmt forecast",#N/A,FALSE,"Mgmt Forecast";"dcf table",#N/A,FALSE,"Mgmt Forecast";"sensitivity",#N/A,FALSE,"Mgmt Forecast";"table inputs",#N/A,FALSE,"Mgmt Forecast";"calculations",#N/A,FALSE,"Mgmt Forecast"}</definedName>
    <definedName name="_a2_2_4" hidden="1">{"mgmt forecast",#N/A,FALSE,"Mgmt Forecast";"dcf table",#N/A,FALSE,"Mgmt Forecast";"sensitivity",#N/A,FALSE,"Mgmt Forecast";"table inputs",#N/A,FALSE,"Mgmt Forecast";"calculations",#N/A,FALSE,"Mgmt Forecast"}</definedName>
    <definedName name="_a2_2_4_1" localSheetId="8" hidden="1">{"mgmt forecast",#N/A,FALSE,"Mgmt Forecast";"dcf table",#N/A,FALSE,"Mgmt Forecast";"sensitivity",#N/A,FALSE,"Mgmt Forecast";"table inputs",#N/A,FALSE,"Mgmt Forecast";"calculations",#N/A,FALSE,"Mgmt Forecast"}</definedName>
    <definedName name="_a2_2_4_1" hidden="1">{"mgmt forecast",#N/A,FALSE,"Mgmt Forecast";"dcf table",#N/A,FALSE,"Mgmt Forecast";"sensitivity",#N/A,FALSE,"Mgmt Forecast";"table inputs",#N/A,FALSE,"Mgmt Forecast";"calculations",#N/A,FALSE,"Mgmt Forecast"}</definedName>
    <definedName name="_a2_2_4_2" localSheetId="8" hidden="1">{"mgmt forecast",#N/A,FALSE,"Mgmt Forecast";"dcf table",#N/A,FALSE,"Mgmt Forecast";"sensitivity",#N/A,FALSE,"Mgmt Forecast";"table inputs",#N/A,FALSE,"Mgmt Forecast";"calculations",#N/A,FALSE,"Mgmt Forecast"}</definedName>
    <definedName name="_a2_2_4_2" hidden="1">{"mgmt forecast",#N/A,FALSE,"Mgmt Forecast";"dcf table",#N/A,FALSE,"Mgmt Forecast";"sensitivity",#N/A,FALSE,"Mgmt Forecast";"table inputs",#N/A,FALSE,"Mgmt Forecast";"calculations",#N/A,FALSE,"Mgmt Forecast"}</definedName>
    <definedName name="_a2_2_4_3" localSheetId="8" hidden="1">{"mgmt forecast",#N/A,FALSE,"Mgmt Forecast";"dcf table",#N/A,FALSE,"Mgmt Forecast";"sensitivity",#N/A,FALSE,"Mgmt Forecast";"table inputs",#N/A,FALSE,"Mgmt Forecast";"calculations",#N/A,FALSE,"Mgmt Forecast"}</definedName>
    <definedName name="_a2_2_4_3" hidden="1">{"mgmt forecast",#N/A,FALSE,"Mgmt Forecast";"dcf table",#N/A,FALSE,"Mgmt Forecast";"sensitivity",#N/A,FALSE,"Mgmt Forecast";"table inputs",#N/A,FALSE,"Mgmt Forecast";"calculations",#N/A,FALSE,"Mgmt Forecast"}</definedName>
    <definedName name="_a2_2_4_4" localSheetId="8" hidden="1">{"mgmt forecast",#N/A,FALSE,"Mgmt Forecast";"dcf table",#N/A,FALSE,"Mgmt Forecast";"sensitivity",#N/A,FALSE,"Mgmt Forecast";"table inputs",#N/A,FALSE,"Mgmt Forecast";"calculations",#N/A,FALSE,"Mgmt Forecast"}</definedName>
    <definedName name="_a2_2_4_4" hidden="1">{"mgmt forecast",#N/A,FALSE,"Mgmt Forecast";"dcf table",#N/A,FALSE,"Mgmt Forecast";"sensitivity",#N/A,FALSE,"Mgmt Forecast";"table inputs",#N/A,FALSE,"Mgmt Forecast";"calculations",#N/A,FALSE,"Mgmt Forecast"}</definedName>
    <definedName name="_a2_2_4_5" localSheetId="8" hidden="1">{"mgmt forecast",#N/A,FALSE,"Mgmt Forecast";"dcf table",#N/A,FALSE,"Mgmt Forecast";"sensitivity",#N/A,FALSE,"Mgmt Forecast";"table inputs",#N/A,FALSE,"Mgmt Forecast";"calculations",#N/A,FALSE,"Mgmt Forecast"}</definedName>
    <definedName name="_a2_2_4_5" hidden="1">{"mgmt forecast",#N/A,FALSE,"Mgmt Forecast";"dcf table",#N/A,FALSE,"Mgmt Forecast";"sensitivity",#N/A,FALSE,"Mgmt Forecast";"table inputs",#N/A,FALSE,"Mgmt Forecast";"calculations",#N/A,FALSE,"Mgmt Forecast"}</definedName>
    <definedName name="_a2_2_5" localSheetId="8" hidden="1">{"mgmt forecast",#N/A,FALSE,"Mgmt Forecast";"dcf table",#N/A,FALSE,"Mgmt Forecast";"sensitivity",#N/A,FALSE,"Mgmt Forecast";"table inputs",#N/A,FALSE,"Mgmt Forecast";"calculations",#N/A,FALSE,"Mgmt Forecast"}</definedName>
    <definedName name="_a2_2_5" hidden="1">{"mgmt forecast",#N/A,FALSE,"Mgmt Forecast";"dcf table",#N/A,FALSE,"Mgmt Forecast";"sensitivity",#N/A,FALSE,"Mgmt Forecast";"table inputs",#N/A,FALSE,"Mgmt Forecast";"calculations",#N/A,FALSE,"Mgmt Forecast"}</definedName>
    <definedName name="_a2_2_5_1" localSheetId="8" hidden="1">{"mgmt forecast",#N/A,FALSE,"Mgmt Forecast";"dcf table",#N/A,FALSE,"Mgmt Forecast";"sensitivity",#N/A,FALSE,"Mgmt Forecast";"table inputs",#N/A,FALSE,"Mgmt Forecast";"calculations",#N/A,FALSE,"Mgmt Forecast"}</definedName>
    <definedName name="_a2_2_5_1" hidden="1">{"mgmt forecast",#N/A,FALSE,"Mgmt Forecast";"dcf table",#N/A,FALSE,"Mgmt Forecast";"sensitivity",#N/A,FALSE,"Mgmt Forecast";"table inputs",#N/A,FALSE,"Mgmt Forecast";"calculations",#N/A,FALSE,"Mgmt Forecast"}</definedName>
    <definedName name="_a2_2_5_2" localSheetId="8" hidden="1">{"mgmt forecast",#N/A,FALSE,"Mgmt Forecast";"dcf table",#N/A,FALSE,"Mgmt Forecast";"sensitivity",#N/A,FALSE,"Mgmt Forecast";"table inputs",#N/A,FALSE,"Mgmt Forecast";"calculations",#N/A,FALSE,"Mgmt Forecast"}</definedName>
    <definedName name="_a2_2_5_2" hidden="1">{"mgmt forecast",#N/A,FALSE,"Mgmt Forecast";"dcf table",#N/A,FALSE,"Mgmt Forecast";"sensitivity",#N/A,FALSE,"Mgmt Forecast";"table inputs",#N/A,FALSE,"Mgmt Forecast";"calculations",#N/A,FALSE,"Mgmt Forecast"}</definedName>
    <definedName name="_a2_2_5_3" localSheetId="8" hidden="1">{"mgmt forecast",#N/A,FALSE,"Mgmt Forecast";"dcf table",#N/A,FALSE,"Mgmt Forecast";"sensitivity",#N/A,FALSE,"Mgmt Forecast";"table inputs",#N/A,FALSE,"Mgmt Forecast";"calculations",#N/A,FALSE,"Mgmt Forecast"}</definedName>
    <definedName name="_a2_2_5_3" hidden="1">{"mgmt forecast",#N/A,FALSE,"Mgmt Forecast";"dcf table",#N/A,FALSE,"Mgmt Forecast";"sensitivity",#N/A,FALSE,"Mgmt Forecast";"table inputs",#N/A,FALSE,"Mgmt Forecast";"calculations",#N/A,FALSE,"Mgmt Forecast"}</definedName>
    <definedName name="_a2_2_5_4" localSheetId="8" hidden="1">{"mgmt forecast",#N/A,FALSE,"Mgmt Forecast";"dcf table",#N/A,FALSE,"Mgmt Forecast";"sensitivity",#N/A,FALSE,"Mgmt Forecast";"table inputs",#N/A,FALSE,"Mgmt Forecast";"calculations",#N/A,FALSE,"Mgmt Forecast"}</definedName>
    <definedName name="_a2_2_5_4" hidden="1">{"mgmt forecast",#N/A,FALSE,"Mgmt Forecast";"dcf table",#N/A,FALSE,"Mgmt Forecast";"sensitivity",#N/A,FALSE,"Mgmt Forecast";"table inputs",#N/A,FALSE,"Mgmt Forecast";"calculations",#N/A,FALSE,"Mgmt Forecast"}</definedName>
    <definedName name="_a2_2_5_5" localSheetId="8" hidden="1">{"mgmt forecast",#N/A,FALSE,"Mgmt Forecast";"dcf table",#N/A,FALSE,"Mgmt Forecast";"sensitivity",#N/A,FALSE,"Mgmt Forecast";"table inputs",#N/A,FALSE,"Mgmt Forecast";"calculations",#N/A,FALSE,"Mgmt Forecast"}</definedName>
    <definedName name="_a2_2_5_5" hidden="1">{"mgmt forecast",#N/A,FALSE,"Mgmt Forecast";"dcf table",#N/A,FALSE,"Mgmt Forecast";"sensitivity",#N/A,FALSE,"Mgmt Forecast";"table inputs",#N/A,FALSE,"Mgmt Forecast";"calculations",#N/A,FALSE,"Mgmt Forecast"}</definedName>
    <definedName name="_a2_3" localSheetId="8" hidden="1">{"mgmt forecast",#N/A,FALSE,"Mgmt Forecast";"dcf table",#N/A,FALSE,"Mgmt Forecast";"sensitivity",#N/A,FALSE,"Mgmt Forecast";"table inputs",#N/A,FALSE,"Mgmt Forecast";"calculations",#N/A,FALSE,"Mgmt Forecast"}</definedName>
    <definedName name="_a2_3" hidden="1">{"mgmt forecast",#N/A,FALSE,"Mgmt Forecast";"dcf table",#N/A,FALSE,"Mgmt Forecast";"sensitivity",#N/A,FALSE,"Mgmt Forecast";"table inputs",#N/A,FALSE,"Mgmt Forecast";"calculations",#N/A,FALSE,"Mgmt Forecast"}</definedName>
    <definedName name="_a2_3_1" localSheetId="8" hidden="1">{"mgmt forecast",#N/A,FALSE,"Mgmt Forecast";"dcf table",#N/A,FALSE,"Mgmt Forecast";"sensitivity",#N/A,FALSE,"Mgmt Forecast";"table inputs",#N/A,FALSE,"Mgmt Forecast";"calculations",#N/A,FALSE,"Mgmt Forecast"}</definedName>
    <definedName name="_a2_3_1" hidden="1">{"mgmt forecast",#N/A,FALSE,"Mgmt Forecast";"dcf table",#N/A,FALSE,"Mgmt Forecast";"sensitivity",#N/A,FALSE,"Mgmt Forecast";"table inputs",#N/A,FALSE,"Mgmt Forecast";"calculations",#N/A,FALSE,"Mgmt Forecast"}</definedName>
    <definedName name="_a2_3_1_1" localSheetId="8" hidden="1">{"mgmt forecast",#N/A,FALSE,"Mgmt Forecast";"dcf table",#N/A,FALSE,"Mgmt Forecast";"sensitivity",#N/A,FALSE,"Mgmt Forecast";"table inputs",#N/A,FALSE,"Mgmt Forecast";"calculations",#N/A,FALSE,"Mgmt Forecast"}</definedName>
    <definedName name="_a2_3_1_1" hidden="1">{"mgmt forecast",#N/A,FALSE,"Mgmt Forecast";"dcf table",#N/A,FALSE,"Mgmt Forecast";"sensitivity",#N/A,FALSE,"Mgmt Forecast";"table inputs",#N/A,FALSE,"Mgmt Forecast";"calculations",#N/A,FALSE,"Mgmt Forecast"}</definedName>
    <definedName name="_a2_3_1_2" localSheetId="8" hidden="1">{"mgmt forecast",#N/A,FALSE,"Mgmt Forecast";"dcf table",#N/A,FALSE,"Mgmt Forecast";"sensitivity",#N/A,FALSE,"Mgmt Forecast";"table inputs",#N/A,FALSE,"Mgmt Forecast";"calculations",#N/A,FALSE,"Mgmt Forecast"}</definedName>
    <definedName name="_a2_3_1_2" hidden="1">{"mgmt forecast",#N/A,FALSE,"Mgmt Forecast";"dcf table",#N/A,FALSE,"Mgmt Forecast";"sensitivity",#N/A,FALSE,"Mgmt Forecast";"table inputs",#N/A,FALSE,"Mgmt Forecast";"calculations",#N/A,FALSE,"Mgmt Forecast"}</definedName>
    <definedName name="_a2_3_1_3" localSheetId="8" hidden="1">{"mgmt forecast",#N/A,FALSE,"Mgmt Forecast";"dcf table",#N/A,FALSE,"Mgmt Forecast";"sensitivity",#N/A,FALSE,"Mgmt Forecast";"table inputs",#N/A,FALSE,"Mgmt Forecast";"calculations",#N/A,FALSE,"Mgmt Forecast"}</definedName>
    <definedName name="_a2_3_1_3" hidden="1">{"mgmt forecast",#N/A,FALSE,"Mgmt Forecast";"dcf table",#N/A,FALSE,"Mgmt Forecast";"sensitivity",#N/A,FALSE,"Mgmt Forecast";"table inputs",#N/A,FALSE,"Mgmt Forecast";"calculations",#N/A,FALSE,"Mgmt Forecast"}</definedName>
    <definedName name="_a2_3_1_4" localSheetId="8" hidden="1">{"mgmt forecast",#N/A,FALSE,"Mgmt Forecast";"dcf table",#N/A,FALSE,"Mgmt Forecast";"sensitivity",#N/A,FALSE,"Mgmt Forecast";"table inputs",#N/A,FALSE,"Mgmt Forecast";"calculations",#N/A,FALSE,"Mgmt Forecast"}</definedName>
    <definedName name="_a2_3_1_4" hidden="1">{"mgmt forecast",#N/A,FALSE,"Mgmt Forecast";"dcf table",#N/A,FALSE,"Mgmt Forecast";"sensitivity",#N/A,FALSE,"Mgmt Forecast";"table inputs",#N/A,FALSE,"Mgmt Forecast";"calculations",#N/A,FALSE,"Mgmt Forecast"}</definedName>
    <definedName name="_a2_3_1_5" localSheetId="8" hidden="1">{"mgmt forecast",#N/A,FALSE,"Mgmt Forecast";"dcf table",#N/A,FALSE,"Mgmt Forecast";"sensitivity",#N/A,FALSE,"Mgmt Forecast";"table inputs",#N/A,FALSE,"Mgmt Forecast";"calculations",#N/A,FALSE,"Mgmt Forecast"}</definedName>
    <definedName name="_a2_3_1_5" hidden="1">{"mgmt forecast",#N/A,FALSE,"Mgmt Forecast";"dcf table",#N/A,FALSE,"Mgmt Forecast";"sensitivity",#N/A,FALSE,"Mgmt Forecast";"table inputs",#N/A,FALSE,"Mgmt Forecast";"calculations",#N/A,FALSE,"Mgmt Forecast"}</definedName>
    <definedName name="_a2_3_2" localSheetId="8" hidden="1">{"mgmt forecast",#N/A,FALSE,"Mgmt Forecast";"dcf table",#N/A,FALSE,"Mgmt Forecast";"sensitivity",#N/A,FALSE,"Mgmt Forecast";"table inputs",#N/A,FALSE,"Mgmt Forecast";"calculations",#N/A,FALSE,"Mgmt Forecast"}</definedName>
    <definedName name="_a2_3_2" hidden="1">{"mgmt forecast",#N/A,FALSE,"Mgmt Forecast";"dcf table",#N/A,FALSE,"Mgmt Forecast";"sensitivity",#N/A,FALSE,"Mgmt Forecast";"table inputs",#N/A,FALSE,"Mgmt Forecast";"calculations",#N/A,FALSE,"Mgmt Forecast"}</definedName>
    <definedName name="_a2_3_2_1" localSheetId="8" hidden="1">{"mgmt forecast",#N/A,FALSE,"Mgmt Forecast";"dcf table",#N/A,FALSE,"Mgmt Forecast";"sensitivity",#N/A,FALSE,"Mgmt Forecast";"table inputs",#N/A,FALSE,"Mgmt Forecast";"calculations",#N/A,FALSE,"Mgmt Forecast"}</definedName>
    <definedName name="_a2_3_2_1" hidden="1">{"mgmt forecast",#N/A,FALSE,"Mgmt Forecast";"dcf table",#N/A,FALSE,"Mgmt Forecast";"sensitivity",#N/A,FALSE,"Mgmt Forecast";"table inputs",#N/A,FALSE,"Mgmt Forecast";"calculations",#N/A,FALSE,"Mgmt Forecast"}</definedName>
    <definedName name="_a2_3_2_2" localSheetId="8" hidden="1">{"mgmt forecast",#N/A,FALSE,"Mgmt Forecast";"dcf table",#N/A,FALSE,"Mgmt Forecast";"sensitivity",#N/A,FALSE,"Mgmt Forecast";"table inputs",#N/A,FALSE,"Mgmt Forecast";"calculations",#N/A,FALSE,"Mgmt Forecast"}</definedName>
    <definedName name="_a2_3_2_2" hidden="1">{"mgmt forecast",#N/A,FALSE,"Mgmt Forecast";"dcf table",#N/A,FALSE,"Mgmt Forecast";"sensitivity",#N/A,FALSE,"Mgmt Forecast";"table inputs",#N/A,FALSE,"Mgmt Forecast";"calculations",#N/A,FALSE,"Mgmt Forecast"}</definedName>
    <definedName name="_a2_3_2_3" localSheetId="8" hidden="1">{"mgmt forecast",#N/A,FALSE,"Mgmt Forecast";"dcf table",#N/A,FALSE,"Mgmt Forecast";"sensitivity",#N/A,FALSE,"Mgmt Forecast";"table inputs",#N/A,FALSE,"Mgmt Forecast";"calculations",#N/A,FALSE,"Mgmt Forecast"}</definedName>
    <definedName name="_a2_3_2_3" hidden="1">{"mgmt forecast",#N/A,FALSE,"Mgmt Forecast";"dcf table",#N/A,FALSE,"Mgmt Forecast";"sensitivity",#N/A,FALSE,"Mgmt Forecast";"table inputs",#N/A,FALSE,"Mgmt Forecast";"calculations",#N/A,FALSE,"Mgmt Forecast"}</definedName>
    <definedName name="_a2_3_2_4" localSheetId="8" hidden="1">{"mgmt forecast",#N/A,FALSE,"Mgmt Forecast";"dcf table",#N/A,FALSE,"Mgmt Forecast";"sensitivity",#N/A,FALSE,"Mgmt Forecast";"table inputs",#N/A,FALSE,"Mgmt Forecast";"calculations",#N/A,FALSE,"Mgmt Forecast"}</definedName>
    <definedName name="_a2_3_2_4" hidden="1">{"mgmt forecast",#N/A,FALSE,"Mgmt Forecast";"dcf table",#N/A,FALSE,"Mgmt Forecast";"sensitivity",#N/A,FALSE,"Mgmt Forecast";"table inputs",#N/A,FALSE,"Mgmt Forecast";"calculations",#N/A,FALSE,"Mgmt Forecast"}</definedName>
    <definedName name="_a2_3_2_5" localSheetId="8" hidden="1">{"mgmt forecast",#N/A,FALSE,"Mgmt Forecast";"dcf table",#N/A,FALSE,"Mgmt Forecast";"sensitivity",#N/A,FALSE,"Mgmt Forecast";"table inputs",#N/A,FALSE,"Mgmt Forecast";"calculations",#N/A,FALSE,"Mgmt Forecast"}</definedName>
    <definedName name="_a2_3_2_5" hidden="1">{"mgmt forecast",#N/A,FALSE,"Mgmt Forecast";"dcf table",#N/A,FALSE,"Mgmt Forecast";"sensitivity",#N/A,FALSE,"Mgmt Forecast";"table inputs",#N/A,FALSE,"Mgmt Forecast";"calculations",#N/A,FALSE,"Mgmt Forecast"}</definedName>
    <definedName name="_a2_3_3" localSheetId="8" hidden="1">{"mgmt forecast",#N/A,FALSE,"Mgmt Forecast";"dcf table",#N/A,FALSE,"Mgmt Forecast";"sensitivity",#N/A,FALSE,"Mgmt Forecast";"table inputs",#N/A,FALSE,"Mgmt Forecast";"calculations",#N/A,FALSE,"Mgmt Forecast"}</definedName>
    <definedName name="_a2_3_3" hidden="1">{"mgmt forecast",#N/A,FALSE,"Mgmt Forecast";"dcf table",#N/A,FALSE,"Mgmt Forecast";"sensitivity",#N/A,FALSE,"Mgmt Forecast";"table inputs",#N/A,FALSE,"Mgmt Forecast";"calculations",#N/A,FALSE,"Mgmt Forecast"}</definedName>
    <definedName name="_a2_3_3_1" localSheetId="8" hidden="1">{"mgmt forecast",#N/A,FALSE,"Mgmt Forecast";"dcf table",#N/A,FALSE,"Mgmt Forecast";"sensitivity",#N/A,FALSE,"Mgmt Forecast";"table inputs",#N/A,FALSE,"Mgmt Forecast";"calculations",#N/A,FALSE,"Mgmt Forecast"}</definedName>
    <definedName name="_a2_3_3_1" hidden="1">{"mgmt forecast",#N/A,FALSE,"Mgmt Forecast";"dcf table",#N/A,FALSE,"Mgmt Forecast";"sensitivity",#N/A,FALSE,"Mgmt Forecast";"table inputs",#N/A,FALSE,"Mgmt Forecast";"calculations",#N/A,FALSE,"Mgmt Forecast"}</definedName>
    <definedName name="_a2_3_3_2" localSheetId="8" hidden="1">{"mgmt forecast",#N/A,FALSE,"Mgmt Forecast";"dcf table",#N/A,FALSE,"Mgmt Forecast";"sensitivity",#N/A,FALSE,"Mgmt Forecast";"table inputs",#N/A,FALSE,"Mgmt Forecast";"calculations",#N/A,FALSE,"Mgmt Forecast"}</definedName>
    <definedName name="_a2_3_3_2" hidden="1">{"mgmt forecast",#N/A,FALSE,"Mgmt Forecast";"dcf table",#N/A,FALSE,"Mgmt Forecast";"sensitivity",#N/A,FALSE,"Mgmt Forecast";"table inputs",#N/A,FALSE,"Mgmt Forecast";"calculations",#N/A,FALSE,"Mgmt Forecast"}</definedName>
    <definedName name="_a2_3_3_3" localSheetId="8" hidden="1">{"mgmt forecast",#N/A,FALSE,"Mgmt Forecast";"dcf table",#N/A,FALSE,"Mgmt Forecast";"sensitivity",#N/A,FALSE,"Mgmt Forecast";"table inputs",#N/A,FALSE,"Mgmt Forecast";"calculations",#N/A,FALSE,"Mgmt Forecast"}</definedName>
    <definedName name="_a2_3_3_3" hidden="1">{"mgmt forecast",#N/A,FALSE,"Mgmt Forecast";"dcf table",#N/A,FALSE,"Mgmt Forecast";"sensitivity",#N/A,FALSE,"Mgmt Forecast";"table inputs",#N/A,FALSE,"Mgmt Forecast";"calculations",#N/A,FALSE,"Mgmt Forecast"}</definedName>
    <definedName name="_a2_3_3_4" localSheetId="8" hidden="1">{"mgmt forecast",#N/A,FALSE,"Mgmt Forecast";"dcf table",#N/A,FALSE,"Mgmt Forecast";"sensitivity",#N/A,FALSE,"Mgmt Forecast";"table inputs",#N/A,FALSE,"Mgmt Forecast";"calculations",#N/A,FALSE,"Mgmt Forecast"}</definedName>
    <definedName name="_a2_3_3_4" hidden="1">{"mgmt forecast",#N/A,FALSE,"Mgmt Forecast";"dcf table",#N/A,FALSE,"Mgmt Forecast";"sensitivity",#N/A,FALSE,"Mgmt Forecast";"table inputs",#N/A,FALSE,"Mgmt Forecast";"calculations",#N/A,FALSE,"Mgmt Forecast"}</definedName>
    <definedName name="_a2_3_3_5" localSheetId="8" hidden="1">{"mgmt forecast",#N/A,FALSE,"Mgmt Forecast";"dcf table",#N/A,FALSE,"Mgmt Forecast";"sensitivity",#N/A,FALSE,"Mgmt Forecast";"table inputs",#N/A,FALSE,"Mgmt Forecast";"calculations",#N/A,FALSE,"Mgmt Forecast"}</definedName>
    <definedName name="_a2_3_3_5" hidden="1">{"mgmt forecast",#N/A,FALSE,"Mgmt Forecast";"dcf table",#N/A,FALSE,"Mgmt Forecast";"sensitivity",#N/A,FALSE,"Mgmt Forecast";"table inputs",#N/A,FALSE,"Mgmt Forecast";"calculations",#N/A,FALSE,"Mgmt Forecast"}</definedName>
    <definedName name="_a2_3_4" localSheetId="8" hidden="1">{"mgmt forecast",#N/A,FALSE,"Mgmt Forecast";"dcf table",#N/A,FALSE,"Mgmt Forecast";"sensitivity",#N/A,FALSE,"Mgmt Forecast";"table inputs",#N/A,FALSE,"Mgmt Forecast";"calculations",#N/A,FALSE,"Mgmt Forecast"}</definedName>
    <definedName name="_a2_3_4" hidden="1">{"mgmt forecast",#N/A,FALSE,"Mgmt Forecast";"dcf table",#N/A,FALSE,"Mgmt Forecast";"sensitivity",#N/A,FALSE,"Mgmt Forecast";"table inputs",#N/A,FALSE,"Mgmt Forecast";"calculations",#N/A,FALSE,"Mgmt Forecast"}</definedName>
    <definedName name="_a2_3_4_1" localSheetId="8" hidden="1">{"mgmt forecast",#N/A,FALSE,"Mgmt Forecast";"dcf table",#N/A,FALSE,"Mgmt Forecast";"sensitivity",#N/A,FALSE,"Mgmt Forecast";"table inputs",#N/A,FALSE,"Mgmt Forecast";"calculations",#N/A,FALSE,"Mgmt Forecast"}</definedName>
    <definedName name="_a2_3_4_1" hidden="1">{"mgmt forecast",#N/A,FALSE,"Mgmt Forecast";"dcf table",#N/A,FALSE,"Mgmt Forecast";"sensitivity",#N/A,FALSE,"Mgmt Forecast";"table inputs",#N/A,FALSE,"Mgmt Forecast";"calculations",#N/A,FALSE,"Mgmt Forecast"}</definedName>
    <definedName name="_a2_3_4_2" localSheetId="8" hidden="1">{"mgmt forecast",#N/A,FALSE,"Mgmt Forecast";"dcf table",#N/A,FALSE,"Mgmt Forecast";"sensitivity",#N/A,FALSE,"Mgmt Forecast";"table inputs",#N/A,FALSE,"Mgmt Forecast";"calculations",#N/A,FALSE,"Mgmt Forecast"}</definedName>
    <definedName name="_a2_3_4_2" hidden="1">{"mgmt forecast",#N/A,FALSE,"Mgmt Forecast";"dcf table",#N/A,FALSE,"Mgmt Forecast";"sensitivity",#N/A,FALSE,"Mgmt Forecast";"table inputs",#N/A,FALSE,"Mgmt Forecast";"calculations",#N/A,FALSE,"Mgmt Forecast"}</definedName>
    <definedName name="_a2_3_4_3" localSheetId="8" hidden="1">{"mgmt forecast",#N/A,FALSE,"Mgmt Forecast";"dcf table",#N/A,FALSE,"Mgmt Forecast";"sensitivity",#N/A,FALSE,"Mgmt Forecast";"table inputs",#N/A,FALSE,"Mgmt Forecast";"calculations",#N/A,FALSE,"Mgmt Forecast"}</definedName>
    <definedName name="_a2_3_4_3" hidden="1">{"mgmt forecast",#N/A,FALSE,"Mgmt Forecast";"dcf table",#N/A,FALSE,"Mgmt Forecast";"sensitivity",#N/A,FALSE,"Mgmt Forecast";"table inputs",#N/A,FALSE,"Mgmt Forecast";"calculations",#N/A,FALSE,"Mgmt Forecast"}</definedName>
    <definedName name="_a2_3_4_4" localSheetId="8" hidden="1">{"mgmt forecast",#N/A,FALSE,"Mgmt Forecast";"dcf table",#N/A,FALSE,"Mgmt Forecast";"sensitivity",#N/A,FALSE,"Mgmt Forecast";"table inputs",#N/A,FALSE,"Mgmt Forecast";"calculations",#N/A,FALSE,"Mgmt Forecast"}</definedName>
    <definedName name="_a2_3_4_4" hidden="1">{"mgmt forecast",#N/A,FALSE,"Mgmt Forecast";"dcf table",#N/A,FALSE,"Mgmt Forecast";"sensitivity",#N/A,FALSE,"Mgmt Forecast";"table inputs",#N/A,FALSE,"Mgmt Forecast";"calculations",#N/A,FALSE,"Mgmt Forecast"}</definedName>
    <definedName name="_a2_3_4_5" localSheetId="8" hidden="1">{"mgmt forecast",#N/A,FALSE,"Mgmt Forecast";"dcf table",#N/A,FALSE,"Mgmt Forecast";"sensitivity",#N/A,FALSE,"Mgmt Forecast";"table inputs",#N/A,FALSE,"Mgmt Forecast";"calculations",#N/A,FALSE,"Mgmt Forecast"}</definedName>
    <definedName name="_a2_3_4_5" hidden="1">{"mgmt forecast",#N/A,FALSE,"Mgmt Forecast";"dcf table",#N/A,FALSE,"Mgmt Forecast";"sensitivity",#N/A,FALSE,"Mgmt Forecast";"table inputs",#N/A,FALSE,"Mgmt Forecast";"calculations",#N/A,FALSE,"Mgmt Forecast"}</definedName>
    <definedName name="_a2_3_5" localSheetId="8" hidden="1">{"mgmt forecast",#N/A,FALSE,"Mgmt Forecast";"dcf table",#N/A,FALSE,"Mgmt Forecast";"sensitivity",#N/A,FALSE,"Mgmt Forecast";"table inputs",#N/A,FALSE,"Mgmt Forecast";"calculations",#N/A,FALSE,"Mgmt Forecast"}</definedName>
    <definedName name="_a2_3_5" hidden="1">{"mgmt forecast",#N/A,FALSE,"Mgmt Forecast";"dcf table",#N/A,FALSE,"Mgmt Forecast";"sensitivity",#N/A,FALSE,"Mgmt Forecast";"table inputs",#N/A,FALSE,"Mgmt Forecast";"calculations",#N/A,FALSE,"Mgmt Forecast"}</definedName>
    <definedName name="_a2_3_5_1" localSheetId="8" hidden="1">{"mgmt forecast",#N/A,FALSE,"Mgmt Forecast";"dcf table",#N/A,FALSE,"Mgmt Forecast";"sensitivity",#N/A,FALSE,"Mgmt Forecast";"table inputs",#N/A,FALSE,"Mgmt Forecast";"calculations",#N/A,FALSE,"Mgmt Forecast"}</definedName>
    <definedName name="_a2_3_5_1" hidden="1">{"mgmt forecast",#N/A,FALSE,"Mgmt Forecast";"dcf table",#N/A,FALSE,"Mgmt Forecast";"sensitivity",#N/A,FALSE,"Mgmt Forecast";"table inputs",#N/A,FALSE,"Mgmt Forecast";"calculations",#N/A,FALSE,"Mgmt Forecast"}</definedName>
    <definedName name="_a2_3_5_2" localSheetId="8" hidden="1">{"mgmt forecast",#N/A,FALSE,"Mgmt Forecast";"dcf table",#N/A,FALSE,"Mgmt Forecast";"sensitivity",#N/A,FALSE,"Mgmt Forecast";"table inputs",#N/A,FALSE,"Mgmt Forecast";"calculations",#N/A,FALSE,"Mgmt Forecast"}</definedName>
    <definedName name="_a2_3_5_2" hidden="1">{"mgmt forecast",#N/A,FALSE,"Mgmt Forecast";"dcf table",#N/A,FALSE,"Mgmt Forecast";"sensitivity",#N/A,FALSE,"Mgmt Forecast";"table inputs",#N/A,FALSE,"Mgmt Forecast";"calculations",#N/A,FALSE,"Mgmt Forecast"}</definedName>
    <definedName name="_a2_3_5_3" localSheetId="8" hidden="1">{"mgmt forecast",#N/A,FALSE,"Mgmt Forecast";"dcf table",#N/A,FALSE,"Mgmt Forecast";"sensitivity",#N/A,FALSE,"Mgmt Forecast";"table inputs",#N/A,FALSE,"Mgmt Forecast";"calculations",#N/A,FALSE,"Mgmt Forecast"}</definedName>
    <definedName name="_a2_3_5_3" hidden="1">{"mgmt forecast",#N/A,FALSE,"Mgmt Forecast";"dcf table",#N/A,FALSE,"Mgmt Forecast";"sensitivity",#N/A,FALSE,"Mgmt Forecast";"table inputs",#N/A,FALSE,"Mgmt Forecast";"calculations",#N/A,FALSE,"Mgmt Forecast"}</definedName>
    <definedName name="_a2_3_5_4" localSheetId="8" hidden="1">{"mgmt forecast",#N/A,FALSE,"Mgmt Forecast";"dcf table",#N/A,FALSE,"Mgmt Forecast";"sensitivity",#N/A,FALSE,"Mgmt Forecast";"table inputs",#N/A,FALSE,"Mgmt Forecast";"calculations",#N/A,FALSE,"Mgmt Forecast"}</definedName>
    <definedName name="_a2_3_5_4" hidden="1">{"mgmt forecast",#N/A,FALSE,"Mgmt Forecast";"dcf table",#N/A,FALSE,"Mgmt Forecast";"sensitivity",#N/A,FALSE,"Mgmt Forecast";"table inputs",#N/A,FALSE,"Mgmt Forecast";"calculations",#N/A,FALSE,"Mgmt Forecast"}</definedName>
    <definedName name="_a2_3_5_5" localSheetId="8" hidden="1">{"mgmt forecast",#N/A,FALSE,"Mgmt Forecast";"dcf table",#N/A,FALSE,"Mgmt Forecast";"sensitivity",#N/A,FALSE,"Mgmt Forecast";"table inputs",#N/A,FALSE,"Mgmt Forecast";"calculations",#N/A,FALSE,"Mgmt Forecast"}</definedName>
    <definedName name="_a2_3_5_5" hidden="1">{"mgmt forecast",#N/A,FALSE,"Mgmt Forecast";"dcf table",#N/A,FALSE,"Mgmt Forecast";"sensitivity",#N/A,FALSE,"Mgmt Forecast";"table inputs",#N/A,FALSE,"Mgmt Forecast";"calculations",#N/A,FALSE,"Mgmt Forecast"}</definedName>
    <definedName name="_a2_4" localSheetId="8" hidden="1">{"mgmt forecast",#N/A,FALSE,"Mgmt Forecast";"dcf table",#N/A,FALSE,"Mgmt Forecast";"sensitivity",#N/A,FALSE,"Mgmt Forecast";"table inputs",#N/A,FALSE,"Mgmt Forecast";"calculations",#N/A,FALSE,"Mgmt Forecast"}</definedName>
    <definedName name="_a2_4" hidden="1">{"mgmt forecast",#N/A,FALSE,"Mgmt Forecast";"dcf table",#N/A,FALSE,"Mgmt Forecast";"sensitivity",#N/A,FALSE,"Mgmt Forecast";"table inputs",#N/A,FALSE,"Mgmt Forecast";"calculations",#N/A,FALSE,"Mgmt Forecast"}</definedName>
    <definedName name="_a2_4_1" localSheetId="8" hidden="1">{"mgmt forecast",#N/A,FALSE,"Mgmt Forecast";"dcf table",#N/A,FALSE,"Mgmt Forecast";"sensitivity",#N/A,FALSE,"Mgmt Forecast";"table inputs",#N/A,FALSE,"Mgmt Forecast";"calculations",#N/A,FALSE,"Mgmt Forecast"}</definedName>
    <definedName name="_a2_4_1" hidden="1">{"mgmt forecast",#N/A,FALSE,"Mgmt Forecast";"dcf table",#N/A,FALSE,"Mgmt Forecast";"sensitivity",#N/A,FALSE,"Mgmt Forecast";"table inputs",#N/A,FALSE,"Mgmt Forecast";"calculations",#N/A,FALSE,"Mgmt Forecast"}</definedName>
    <definedName name="_a2_4_1_1" localSheetId="8" hidden="1">{"mgmt forecast",#N/A,FALSE,"Mgmt Forecast";"dcf table",#N/A,FALSE,"Mgmt Forecast";"sensitivity",#N/A,FALSE,"Mgmt Forecast";"table inputs",#N/A,FALSE,"Mgmt Forecast";"calculations",#N/A,FALSE,"Mgmt Forecast"}</definedName>
    <definedName name="_a2_4_1_1" hidden="1">{"mgmt forecast",#N/A,FALSE,"Mgmt Forecast";"dcf table",#N/A,FALSE,"Mgmt Forecast";"sensitivity",#N/A,FALSE,"Mgmt Forecast";"table inputs",#N/A,FALSE,"Mgmt Forecast";"calculations",#N/A,FALSE,"Mgmt Forecast"}</definedName>
    <definedName name="_a2_4_1_2" localSheetId="8" hidden="1">{"mgmt forecast",#N/A,FALSE,"Mgmt Forecast";"dcf table",#N/A,FALSE,"Mgmt Forecast";"sensitivity",#N/A,FALSE,"Mgmt Forecast";"table inputs",#N/A,FALSE,"Mgmt Forecast";"calculations",#N/A,FALSE,"Mgmt Forecast"}</definedName>
    <definedName name="_a2_4_1_2" hidden="1">{"mgmt forecast",#N/A,FALSE,"Mgmt Forecast";"dcf table",#N/A,FALSE,"Mgmt Forecast";"sensitivity",#N/A,FALSE,"Mgmt Forecast";"table inputs",#N/A,FALSE,"Mgmt Forecast";"calculations",#N/A,FALSE,"Mgmt Forecast"}</definedName>
    <definedName name="_a2_4_1_3" localSheetId="8" hidden="1">{"mgmt forecast",#N/A,FALSE,"Mgmt Forecast";"dcf table",#N/A,FALSE,"Mgmt Forecast";"sensitivity",#N/A,FALSE,"Mgmt Forecast";"table inputs",#N/A,FALSE,"Mgmt Forecast";"calculations",#N/A,FALSE,"Mgmt Forecast"}</definedName>
    <definedName name="_a2_4_1_3" hidden="1">{"mgmt forecast",#N/A,FALSE,"Mgmt Forecast";"dcf table",#N/A,FALSE,"Mgmt Forecast";"sensitivity",#N/A,FALSE,"Mgmt Forecast";"table inputs",#N/A,FALSE,"Mgmt Forecast";"calculations",#N/A,FALSE,"Mgmt Forecast"}</definedName>
    <definedName name="_a2_4_1_4" localSheetId="8" hidden="1">{"mgmt forecast",#N/A,FALSE,"Mgmt Forecast";"dcf table",#N/A,FALSE,"Mgmt Forecast";"sensitivity",#N/A,FALSE,"Mgmt Forecast";"table inputs",#N/A,FALSE,"Mgmt Forecast";"calculations",#N/A,FALSE,"Mgmt Forecast"}</definedName>
    <definedName name="_a2_4_1_4" hidden="1">{"mgmt forecast",#N/A,FALSE,"Mgmt Forecast";"dcf table",#N/A,FALSE,"Mgmt Forecast";"sensitivity",#N/A,FALSE,"Mgmt Forecast";"table inputs",#N/A,FALSE,"Mgmt Forecast";"calculations",#N/A,FALSE,"Mgmt Forecast"}</definedName>
    <definedName name="_a2_4_1_5" localSheetId="8" hidden="1">{"mgmt forecast",#N/A,FALSE,"Mgmt Forecast";"dcf table",#N/A,FALSE,"Mgmt Forecast";"sensitivity",#N/A,FALSE,"Mgmt Forecast";"table inputs",#N/A,FALSE,"Mgmt Forecast";"calculations",#N/A,FALSE,"Mgmt Forecast"}</definedName>
    <definedName name="_a2_4_1_5" hidden="1">{"mgmt forecast",#N/A,FALSE,"Mgmt Forecast";"dcf table",#N/A,FALSE,"Mgmt Forecast";"sensitivity",#N/A,FALSE,"Mgmt Forecast";"table inputs",#N/A,FALSE,"Mgmt Forecast";"calculations",#N/A,FALSE,"Mgmt Forecast"}</definedName>
    <definedName name="_a2_4_2" localSheetId="8" hidden="1">{"mgmt forecast",#N/A,FALSE,"Mgmt Forecast";"dcf table",#N/A,FALSE,"Mgmt Forecast";"sensitivity",#N/A,FALSE,"Mgmt Forecast";"table inputs",#N/A,FALSE,"Mgmt Forecast";"calculations",#N/A,FALSE,"Mgmt Forecast"}</definedName>
    <definedName name="_a2_4_2" hidden="1">{"mgmt forecast",#N/A,FALSE,"Mgmt Forecast";"dcf table",#N/A,FALSE,"Mgmt Forecast";"sensitivity",#N/A,FALSE,"Mgmt Forecast";"table inputs",#N/A,FALSE,"Mgmt Forecast";"calculations",#N/A,FALSE,"Mgmt Forecast"}</definedName>
    <definedName name="_a2_4_2_1" localSheetId="8" hidden="1">{"mgmt forecast",#N/A,FALSE,"Mgmt Forecast";"dcf table",#N/A,FALSE,"Mgmt Forecast";"sensitivity",#N/A,FALSE,"Mgmt Forecast";"table inputs",#N/A,FALSE,"Mgmt Forecast";"calculations",#N/A,FALSE,"Mgmt Forecast"}</definedName>
    <definedName name="_a2_4_2_1" hidden="1">{"mgmt forecast",#N/A,FALSE,"Mgmt Forecast";"dcf table",#N/A,FALSE,"Mgmt Forecast";"sensitivity",#N/A,FALSE,"Mgmt Forecast";"table inputs",#N/A,FALSE,"Mgmt Forecast";"calculations",#N/A,FALSE,"Mgmt Forecast"}</definedName>
    <definedName name="_a2_4_2_2" localSheetId="8" hidden="1">{"mgmt forecast",#N/A,FALSE,"Mgmt Forecast";"dcf table",#N/A,FALSE,"Mgmt Forecast";"sensitivity",#N/A,FALSE,"Mgmt Forecast";"table inputs",#N/A,FALSE,"Mgmt Forecast";"calculations",#N/A,FALSE,"Mgmt Forecast"}</definedName>
    <definedName name="_a2_4_2_2" hidden="1">{"mgmt forecast",#N/A,FALSE,"Mgmt Forecast";"dcf table",#N/A,FALSE,"Mgmt Forecast";"sensitivity",#N/A,FALSE,"Mgmt Forecast";"table inputs",#N/A,FALSE,"Mgmt Forecast";"calculations",#N/A,FALSE,"Mgmt Forecast"}</definedName>
    <definedName name="_a2_4_2_3" localSheetId="8" hidden="1">{"mgmt forecast",#N/A,FALSE,"Mgmt Forecast";"dcf table",#N/A,FALSE,"Mgmt Forecast";"sensitivity",#N/A,FALSE,"Mgmt Forecast";"table inputs",#N/A,FALSE,"Mgmt Forecast";"calculations",#N/A,FALSE,"Mgmt Forecast"}</definedName>
    <definedName name="_a2_4_2_3" hidden="1">{"mgmt forecast",#N/A,FALSE,"Mgmt Forecast";"dcf table",#N/A,FALSE,"Mgmt Forecast";"sensitivity",#N/A,FALSE,"Mgmt Forecast";"table inputs",#N/A,FALSE,"Mgmt Forecast";"calculations",#N/A,FALSE,"Mgmt Forecast"}</definedName>
    <definedName name="_a2_4_2_4" localSheetId="8" hidden="1">{"mgmt forecast",#N/A,FALSE,"Mgmt Forecast";"dcf table",#N/A,FALSE,"Mgmt Forecast";"sensitivity",#N/A,FALSE,"Mgmt Forecast";"table inputs",#N/A,FALSE,"Mgmt Forecast";"calculations",#N/A,FALSE,"Mgmt Forecast"}</definedName>
    <definedName name="_a2_4_2_4" hidden="1">{"mgmt forecast",#N/A,FALSE,"Mgmt Forecast";"dcf table",#N/A,FALSE,"Mgmt Forecast";"sensitivity",#N/A,FALSE,"Mgmt Forecast";"table inputs",#N/A,FALSE,"Mgmt Forecast";"calculations",#N/A,FALSE,"Mgmt Forecast"}</definedName>
    <definedName name="_a2_4_2_5" localSheetId="8" hidden="1">{"mgmt forecast",#N/A,FALSE,"Mgmt Forecast";"dcf table",#N/A,FALSE,"Mgmt Forecast";"sensitivity",#N/A,FALSE,"Mgmt Forecast";"table inputs",#N/A,FALSE,"Mgmt Forecast";"calculations",#N/A,FALSE,"Mgmt Forecast"}</definedName>
    <definedName name="_a2_4_2_5" hidden="1">{"mgmt forecast",#N/A,FALSE,"Mgmt Forecast";"dcf table",#N/A,FALSE,"Mgmt Forecast";"sensitivity",#N/A,FALSE,"Mgmt Forecast";"table inputs",#N/A,FALSE,"Mgmt Forecast";"calculations",#N/A,FALSE,"Mgmt Forecast"}</definedName>
    <definedName name="_a2_4_3" localSheetId="8" hidden="1">{"mgmt forecast",#N/A,FALSE,"Mgmt Forecast";"dcf table",#N/A,FALSE,"Mgmt Forecast";"sensitivity",#N/A,FALSE,"Mgmt Forecast";"table inputs",#N/A,FALSE,"Mgmt Forecast";"calculations",#N/A,FALSE,"Mgmt Forecast"}</definedName>
    <definedName name="_a2_4_3" hidden="1">{"mgmt forecast",#N/A,FALSE,"Mgmt Forecast";"dcf table",#N/A,FALSE,"Mgmt Forecast";"sensitivity",#N/A,FALSE,"Mgmt Forecast";"table inputs",#N/A,FALSE,"Mgmt Forecast";"calculations",#N/A,FALSE,"Mgmt Forecast"}</definedName>
    <definedName name="_a2_4_3_1" localSheetId="8" hidden="1">{"mgmt forecast",#N/A,FALSE,"Mgmt Forecast";"dcf table",#N/A,FALSE,"Mgmt Forecast";"sensitivity",#N/A,FALSE,"Mgmt Forecast";"table inputs",#N/A,FALSE,"Mgmt Forecast";"calculations",#N/A,FALSE,"Mgmt Forecast"}</definedName>
    <definedName name="_a2_4_3_1" hidden="1">{"mgmt forecast",#N/A,FALSE,"Mgmt Forecast";"dcf table",#N/A,FALSE,"Mgmt Forecast";"sensitivity",#N/A,FALSE,"Mgmt Forecast";"table inputs",#N/A,FALSE,"Mgmt Forecast";"calculations",#N/A,FALSE,"Mgmt Forecast"}</definedName>
    <definedName name="_a2_4_3_2" localSheetId="8" hidden="1">{"mgmt forecast",#N/A,FALSE,"Mgmt Forecast";"dcf table",#N/A,FALSE,"Mgmt Forecast";"sensitivity",#N/A,FALSE,"Mgmt Forecast";"table inputs",#N/A,FALSE,"Mgmt Forecast";"calculations",#N/A,FALSE,"Mgmt Forecast"}</definedName>
    <definedName name="_a2_4_3_2" hidden="1">{"mgmt forecast",#N/A,FALSE,"Mgmt Forecast";"dcf table",#N/A,FALSE,"Mgmt Forecast";"sensitivity",#N/A,FALSE,"Mgmt Forecast";"table inputs",#N/A,FALSE,"Mgmt Forecast";"calculations",#N/A,FALSE,"Mgmt Forecast"}</definedName>
    <definedName name="_a2_4_3_3" localSheetId="8" hidden="1">{"mgmt forecast",#N/A,FALSE,"Mgmt Forecast";"dcf table",#N/A,FALSE,"Mgmt Forecast";"sensitivity",#N/A,FALSE,"Mgmt Forecast";"table inputs",#N/A,FALSE,"Mgmt Forecast";"calculations",#N/A,FALSE,"Mgmt Forecast"}</definedName>
    <definedName name="_a2_4_3_3" hidden="1">{"mgmt forecast",#N/A,FALSE,"Mgmt Forecast";"dcf table",#N/A,FALSE,"Mgmt Forecast";"sensitivity",#N/A,FALSE,"Mgmt Forecast";"table inputs",#N/A,FALSE,"Mgmt Forecast";"calculations",#N/A,FALSE,"Mgmt Forecast"}</definedName>
    <definedName name="_a2_4_3_4" localSheetId="8" hidden="1">{"mgmt forecast",#N/A,FALSE,"Mgmt Forecast";"dcf table",#N/A,FALSE,"Mgmt Forecast";"sensitivity",#N/A,FALSE,"Mgmt Forecast";"table inputs",#N/A,FALSE,"Mgmt Forecast";"calculations",#N/A,FALSE,"Mgmt Forecast"}</definedName>
    <definedName name="_a2_4_3_4" hidden="1">{"mgmt forecast",#N/A,FALSE,"Mgmt Forecast";"dcf table",#N/A,FALSE,"Mgmt Forecast";"sensitivity",#N/A,FALSE,"Mgmt Forecast";"table inputs",#N/A,FALSE,"Mgmt Forecast";"calculations",#N/A,FALSE,"Mgmt Forecast"}</definedName>
    <definedName name="_a2_4_3_5" localSheetId="8" hidden="1">{"mgmt forecast",#N/A,FALSE,"Mgmt Forecast";"dcf table",#N/A,FALSE,"Mgmt Forecast";"sensitivity",#N/A,FALSE,"Mgmt Forecast";"table inputs",#N/A,FALSE,"Mgmt Forecast";"calculations",#N/A,FALSE,"Mgmt Forecast"}</definedName>
    <definedName name="_a2_4_3_5" hidden="1">{"mgmt forecast",#N/A,FALSE,"Mgmt Forecast";"dcf table",#N/A,FALSE,"Mgmt Forecast";"sensitivity",#N/A,FALSE,"Mgmt Forecast";"table inputs",#N/A,FALSE,"Mgmt Forecast";"calculations",#N/A,FALSE,"Mgmt Forecast"}</definedName>
    <definedName name="_a2_4_4" localSheetId="8" hidden="1">{"mgmt forecast",#N/A,FALSE,"Mgmt Forecast";"dcf table",#N/A,FALSE,"Mgmt Forecast";"sensitivity",#N/A,FALSE,"Mgmt Forecast";"table inputs",#N/A,FALSE,"Mgmt Forecast";"calculations",#N/A,FALSE,"Mgmt Forecast"}</definedName>
    <definedName name="_a2_4_4" hidden="1">{"mgmt forecast",#N/A,FALSE,"Mgmt Forecast";"dcf table",#N/A,FALSE,"Mgmt Forecast";"sensitivity",#N/A,FALSE,"Mgmt Forecast";"table inputs",#N/A,FALSE,"Mgmt Forecast";"calculations",#N/A,FALSE,"Mgmt Forecast"}</definedName>
    <definedName name="_a2_4_4_1" localSheetId="8" hidden="1">{"mgmt forecast",#N/A,FALSE,"Mgmt Forecast";"dcf table",#N/A,FALSE,"Mgmt Forecast";"sensitivity",#N/A,FALSE,"Mgmt Forecast";"table inputs",#N/A,FALSE,"Mgmt Forecast";"calculations",#N/A,FALSE,"Mgmt Forecast"}</definedName>
    <definedName name="_a2_4_4_1" hidden="1">{"mgmt forecast",#N/A,FALSE,"Mgmt Forecast";"dcf table",#N/A,FALSE,"Mgmt Forecast";"sensitivity",#N/A,FALSE,"Mgmt Forecast";"table inputs",#N/A,FALSE,"Mgmt Forecast";"calculations",#N/A,FALSE,"Mgmt Forecast"}</definedName>
    <definedName name="_a2_4_4_2" localSheetId="8" hidden="1">{"mgmt forecast",#N/A,FALSE,"Mgmt Forecast";"dcf table",#N/A,FALSE,"Mgmt Forecast";"sensitivity",#N/A,FALSE,"Mgmt Forecast";"table inputs",#N/A,FALSE,"Mgmt Forecast";"calculations",#N/A,FALSE,"Mgmt Forecast"}</definedName>
    <definedName name="_a2_4_4_2" hidden="1">{"mgmt forecast",#N/A,FALSE,"Mgmt Forecast";"dcf table",#N/A,FALSE,"Mgmt Forecast";"sensitivity",#N/A,FALSE,"Mgmt Forecast";"table inputs",#N/A,FALSE,"Mgmt Forecast";"calculations",#N/A,FALSE,"Mgmt Forecast"}</definedName>
    <definedName name="_a2_4_4_3" localSheetId="8" hidden="1">{"mgmt forecast",#N/A,FALSE,"Mgmt Forecast";"dcf table",#N/A,FALSE,"Mgmt Forecast";"sensitivity",#N/A,FALSE,"Mgmt Forecast";"table inputs",#N/A,FALSE,"Mgmt Forecast";"calculations",#N/A,FALSE,"Mgmt Forecast"}</definedName>
    <definedName name="_a2_4_4_3" hidden="1">{"mgmt forecast",#N/A,FALSE,"Mgmt Forecast";"dcf table",#N/A,FALSE,"Mgmt Forecast";"sensitivity",#N/A,FALSE,"Mgmt Forecast";"table inputs",#N/A,FALSE,"Mgmt Forecast";"calculations",#N/A,FALSE,"Mgmt Forecast"}</definedName>
    <definedName name="_a2_4_4_4" localSheetId="8" hidden="1">{"mgmt forecast",#N/A,FALSE,"Mgmt Forecast";"dcf table",#N/A,FALSE,"Mgmt Forecast";"sensitivity",#N/A,FALSE,"Mgmt Forecast";"table inputs",#N/A,FALSE,"Mgmt Forecast";"calculations",#N/A,FALSE,"Mgmt Forecast"}</definedName>
    <definedName name="_a2_4_4_4" hidden="1">{"mgmt forecast",#N/A,FALSE,"Mgmt Forecast";"dcf table",#N/A,FALSE,"Mgmt Forecast";"sensitivity",#N/A,FALSE,"Mgmt Forecast";"table inputs",#N/A,FALSE,"Mgmt Forecast";"calculations",#N/A,FALSE,"Mgmt Forecast"}</definedName>
    <definedName name="_a2_4_4_5" localSheetId="8" hidden="1">{"mgmt forecast",#N/A,FALSE,"Mgmt Forecast";"dcf table",#N/A,FALSE,"Mgmt Forecast";"sensitivity",#N/A,FALSE,"Mgmt Forecast";"table inputs",#N/A,FALSE,"Mgmt Forecast";"calculations",#N/A,FALSE,"Mgmt Forecast"}</definedName>
    <definedName name="_a2_4_4_5" hidden="1">{"mgmt forecast",#N/A,FALSE,"Mgmt Forecast";"dcf table",#N/A,FALSE,"Mgmt Forecast";"sensitivity",#N/A,FALSE,"Mgmt Forecast";"table inputs",#N/A,FALSE,"Mgmt Forecast";"calculations",#N/A,FALSE,"Mgmt Forecast"}</definedName>
    <definedName name="_a2_4_5" localSheetId="8" hidden="1">{"mgmt forecast",#N/A,FALSE,"Mgmt Forecast";"dcf table",#N/A,FALSE,"Mgmt Forecast";"sensitivity",#N/A,FALSE,"Mgmt Forecast";"table inputs",#N/A,FALSE,"Mgmt Forecast";"calculations",#N/A,FALSE,"Mgmt Forecast"}</definedName>
    <definedName name="_a2_4_5" hidden="1">{"mgmt forecast",#N/A,FALSE,"Mgmt Forecast";"dcf table",#N/A,FALSE,"Mgmt Forecast";"sensitivity",#N/A,FALSE,"Mgmt Forecast";"table inputs",#N/A,FALSE,"Mgmt Forecast";"calculations",#N/A,FALSE,"Mgmt Forecast"}</definedName>
    <definedName name="_a2_4_5_1" localSheetId="8" hidden="1">{"mgmt forecast",#N/A,FALSE,"Mgmt Forecast";"dcf table",#N/A,FALSE,"Mgmt Forecast";"sensitivity",#N/A,FALSE,"Mgmt Forecast";"table inputs",#N/A,FALSE,"Mgmt Forecast";"calculations",#N/A,FALSE,"Mgmt Forecast"}</definedName>
    <definedName name="_a2_4_5_1" hidden="1">{"mgmt forecast",#N/A,FALSE,"Mgmt Forecast";"dcf table",#N/A,FALSE,"Mgmt Forecast";"sensitivity",#N/A,FALSE,"Mgmt Forecast";"table inputs",#N/A,FALSE,"Mgmt Forecast";"calculations",#N/A,FALSE,"Mgmt Forecast"}</definedName>
    <definedName name="_a2_4_5_2" localSheetId="8" hidden="1">{"mgmt forecast",#N/A,FALSE,"Mgmt Forecast";"dcf table",#N/A,FALSE,"Mgmt Forecast";"sensitivity",#N/A,FALSE,"Mgmt Forecast";"table inputs",#N/A,FALSE,"Mgmt Forecast";"calculations",#N/A,FALSE,"Mgmt Forecast"}</definedName>
    <definedName name="_a2_4_5_2" hidden="1">{"mgmt forecast",#N/A,FALSE,"Mgmt Forecast";"dcf table",#N/A,FALSE,"Mgmt Forecast";"sensitivity",#N/A,FALSE,"Mgmt Forecast";"table inputs",#N/A,FALSE,"Mgmt Forecast";"calculations",#N/A,FALSE,"Mgmt Forecast"}</definedName>
    <definedName name="_a2_4_5_3" localSheetId="8" hidden="1">{"mgmt forecast",#N/A,FALSE,"Mgmt Forecast";"dcf table",#N/A,FALSE,"Mgmt Forecast";"sensitivity",#N/A,FALSE,"Mgmt Forecast";"table inputs",#N/A,FALSE,"Mgmt Forecast";"calculations",#N/A,FALSE,"Mgmt Forecast"}</definedName>
    <definedName name="_a2_4_5_3" hidden="1">{"mgmt forecast",#N/A,FALSE,"Mgmt Forecast";"dcf table",#N/A,FALSE,"Mgmt Forecast";"sensitivity",#N/A,FALSE,"Mgmt Forecast";"table inputs",#N/A,FALSE,"Mgmt Forecast";"calculations",#N/A,FALSE,"Mgmt Forecast"}</definedName>
    <definedName name="_a2_4_5_4" localSheetId="8" hidden="1">{"mgmt forecast",#N/A,FALSE,"Mgmt Forecast";"dcf table",#N/A,FALSE,"Mgmt Forecast";"sensitivity",#N/A,FALSE,"Mgmt Forecast";"table inputs",#N/A,FALSE,"Mgmt Forecast";"calculations",#N/A,FALSE,"Mgmt Forecast"}</definedName>
    <definedName name="_a2_4_5_4" hidden="1">{"mgmt forecast",#N/A,FALSE,"Mgmt Forecast";"dcf table",#N/A,FALSE,"Mgmt Forecast";"sensitivity",#N/A,FALSE,"Mgmt Forecast";"table inputs",#N/A,FALSE,"Mgmt Forecast";"calculations",#N/A,FALSE,"Mgmt Forecast"}</definedName>
    <definedName name="_a2_4_5_5" localSheetId="8" hidden="1">{"mgmt forecast",#N/A,FALSE,"Mgmt Forecast";"dcf table",#N/A,FALSE,"Mgmt Forecast";"sensitivity",#N/A,FALSE,"Mgmt Forecast";"table inputs",#N/A,FALSE,"Mgmt Forecast";"calculations",#N/A,FALSE,"Mgmt Forecast"}</definedName>
    <definedName name="_a2_4_5_5" hidden="1">{"mgmt forecast",#N/A,FALSE,"Mgmt Forecast";"dcf table",#N/A,FALSE,"Mgmt Forecast";"sensitivity",#N/A,FALSE,"Mgmt Forecast";"table inputs",#N/A,FALSE,"Mgmt Forecast";"calculations",#N/A,FALSE,"Mgmt Forecast"}</definedName>
    <definedName name="_a2_5" localSheetId="8" hidden="1">{"mgmt forecast",#N/A,FALSE,"Mgmt Forecast";"dcf table",#N/A,FALSE,"Mgmt Forecast";"sensitivity",#N/A,FALSE,"Mgmt Forecast";"table inputs",#N/A,FALSE,"Mgmt Forecast";"calculations",#N/A,FALSE,"Mgmt Forecast"}</definedName>
    <definedName name="_a2_5" hidden="1">{"mgmt forecast",#N/A,FALSE,"Mgmt Forecast";"dcf table",#N/A,FALSE,"Mgmt Forecast";"sensitivity",#N/A,FALSE,"Mgmt Forecast";"table inputs",#N/A,FALSE,"Mgmt Forecast";"calculations",#N/A,FALSE,"Mgmt Forecast"}</definedName>
    <definedName name="_a2_5_1" localSheetId="8" hidden="1">{"mgmt forecast",#N/A,FALSE,"Mgmt Forecast";"dcf table",#N/A,FALSE,"Mgmt Forecast";"sensitivity",#N/A,FALSE,"Mgmt Forecast";"table inputs",#N/A,FALSE,"Mgmt Forecast";"calculations",#N/A,FALSE,"Mgmt Forecast"}</definedName>
    <definedName name="_a2_5_1" hidden="1">{"mgmt forecast",#N/A,FALSE,"Mgmt Forecast";"dcf table",#N/A,FALSE,"Mgmt Forecast";"sensitivity",#N/A,FALSE,"Mgmt Forecast";"table inputs",#N/A,FALSE,"Mgmt Forecast";"calculations",#N/A,FALSE,"Mgmt Forecast"}</definedName>
    <definedName name="_a2_5_1_1" localSheetId="8" hidden="1">{"mgmt forecast",#N/A,FALSE,"Mgmt Forecast";"dcf table",#N/A,FALSE,"Mgmt Forecast";"sensitivity",#N/A,FALSE,"Mgmt Forecast";"table inputs",#N/A,FALSE,"Mgmt Forecast";"calculations",#N/A,FALSE,"Mgmt Forecast"}</definedName>
    <definedName name="_a2_5_1_1" hidden="1">{"mgmt forecast",#N/A,FALSE,"Mgmt Forecast";"dcf table",#N/A,FALSE,"Mgmt Forecast";"sensitivity",#N/A,FALSE,"Mgmt Forecast";"table inputs",#N/A,FALSE,"Mgmt Forecast";"calculations",#N/A,FALSE,"Mgmt Forecast"}</definedName>
    <definedName name="_a2_5_1_2" localSheetId="8" hidden="1">{"mgmt forecast",#N/A,FALSE,"Mgmt Forecast";"dcf table",#N/A,FALSE,"Mgmt Forecast";"sensitivity",#N/A,FALSE,"Mgmt Forecast";"table inputs",#N/A,FALSE,"Mgmt Forecast";"calculations",#N/A,FALSE,"Mgmt Forecast"}</definedName>
    <definedName name="_a2_5_1_2" hidden="1">{"mgmt forecast",#N/A,FALSE,"Mgmt Forecast";"dcf table",#N/A,FALSE,"Mgmt Forecast";"sensitivity",#N/A,FALSE,"Mgmt Forecast";"table inputs",#N/A,FALSE,"Mgmt Forecast";"calculations",#N/A,FALSE,"Mgmt Forecast"}</definedName>
    <definedName name="_a2_5_1_3" localSheetId="8" hidden="1">{"mgmt forecast",#N/A,FALSE,"Mgmt Forecast";"dcf table",#N/A,FALSE,"Mgmt Forecast";"sensitivity",#N/A,FALSE,"Mgmt Forecast";"table inputs",#N/A,FALSE,"Mgmt Forecast";"calculations",#N/A,FALSE,"Mgmt Forecast"}</definedName>
    <definedName name="_a2_5_1_3" hidden="1">{"mgmt forecast",#N/A,FALSE,"Mgmt Forecast";"dcf table",#N/A,FALSE,"Mgmt Forecast";"sensitivity",#N/A,FALSE,"Mgmt Forecast";"table inputs",#N/A,FALSE,"Mgmt Forecast";"calculations",#N/A,FALSE,"Mgmt Forecast"}</definedName>
    <definedName name="_a2_5_1_4" localSheetId="8" hidden="1">{"mgmt forecast",#N/A,FALSE,"Mgmt Forecast";"dcf table",#N/A,FALSE,"Mgmt Forecast";"sensitivity",#N/A,FALSE,"Mgmt Forecast";"table inputs",#N/A,FALSE,"Mgmt Forecast";"calculations",#N/A,FALSE,"Mgmt Forecast"}</definedName>
    <definedName name="_a2_5_1_4" hidden="1">{"mgmt forecast",#N/A,FALSE,"Mgmt Forecast";"dcf table",#N/A,FALSE,"Mgmt Forecast";"sensitivity",#N/A,FALSE,"Mgmt Forecast";"table inputs",#N/A,FALSE,"Mgmt Forecast";"calculations",#N/A,FALSE,"Mgmt Forecast"}</definedName>
    <definedName name="_a2_5_1_5" localSheetId="8" hidden="1">{"mgmt forecast",#N/A,FALSE,"Mgmt Forecast";"dcf table",#N/A,FALSE,"Mgmt Forecast";"sensitivity",#N/A,FALSE,"Mgmt Forecast";"table inputs",#N/A,FALSE,"Mgmt Forecast";"calculations",#N/A,FALSE,"Mgmt Forecast"}</definedName>
    <definedName name="_a2_5_1_5" hidden="1">{"mgmt forecast",#N/A,FALSE,"Mgmt Forecast";"dcf table",#N/A,FALSE,"Mgmt Forecast";"sensitivity",#N/A,FALSE,"Mgmt Forecast";"table inputs",#N/A,FALSE,"Mgmt Forecast";"calculations",#N/A,FALSE,"Mgmt Forecast"}</definedName>
    <definedName name="_a2_5_2" localSheetId="8" hidden="1">{"mgmt forecast",#N/A,FALSE,"Mgmt Forecast";"dcf table",#N/A,FALSE,"Mgmt Forecast";"sensitivity",#N/A,FALSE,"Mgmt Forecast";"table inputs",#N/A,FALSE,"Mgmt Forecast";"calculations",#N/A,FALSE,"Mgmt Forecast"}</definedName>
    <definedName name="_a2_5_2" hidden="1">{"mgmt forecast",#N/A,FALSE,"Mgmt Forecast";"dcf table",#N/A,FALSE,"Mgmt Forecast";"sensitivity",#N/A,FALSE,"Mgmt Forecast";"table inputs",#N/A,FALSE,"Mgmt Forecast";"calculations",#N/A,FALSE,"Mgmt Forecast"}</definedName>
    <definedName name="_a2_5_2_1" localSheetId="8" hidden="1">{"mgmt forecast",#N/A,FALSE,"Mgmt Forecast";"dcf table",#N/A,FALSE,"Mgmt Forecast";"sensitivity",#N/A,FALSE,"Mgmt Forecast";"table inputs",#N/A,FALSE,"Mgmt Forecast";"calculations",#N/A,FALSE,"Mgmt Forecast"}</definedName>
    <definedName name="_a2_5_2_1" hidden="1">{"mgmt forecast",#N/A,FALSE,"Mgmt Forecast";"dcf table",#N/A,FALSE,"Mgmt Forecast";"sensitivity",#N/A,FALSE,"Mgmt Forecast";"table inputs",#N/A,FALSE,"Mgmt Forecast";"calculations",#N/A,FALSE,"Mgmt Forecast"}</definedName>
    <definedName name="_a2_5_2_2" localSheetId="8" hidden="1">{"mgmt forecast",#N/A,FALSE,"Mgmt Forecast";"dcf table",#N/A,FALSE,"Mgmt Forecast";"sensitivity",#N/A,FALSE,"Mgmt Forecast";"table inputs",#N/A,FALSE,"Mgmt Forecast";"calculations",#N/A,FALSE,"Mgmt Forecast"}</definedName>
    <definedName name="_a2_5_2_2" hidden="1">{"mgmt forecast",#N/A,FALSE,"Mgmt Forecast";"dcf table",#N/A,FALSE,"Mgmt Forecast";"sensitivity",#N/A,FALSE,"Mgmt Forecast";"table inputs",#N/A,FALSE,"Mgmt Forecast";"calculations",#N/A,FALSE,"Mgmt Forecast"}</definedName>
    <definedName name="_a2_5_2_3" localSheetId="8" hidden="1">{"mgmt forecast",#N/A,FALSE,"Mgmt Forecast";"dcf table",#N/A,FALSE,"Mgmt Forecast";"sensitivity",#N/A,FALSE,"Mgmt Forecast";"table inputs",#N/A,FALSE,"Mgmt Forecast";"calculations",#N/A,FALSE,"Mgmt Forecast"}</definedName>
    <definedName name="_a2_5_2_3" hidden="1">{"mgmt forecast",#N/A,FALSE,"Mgmt Forecast";"dcf table",#N/A,FALSE,"Mgmt Forecast";"sensitivity",#N/A,FALSE,"Mgmt Forecast";"table inputs",#N/A,FALSE,"Mgmt Forecast";"calculations",#N/A,FALSE,"Mgmt Forecast"}</definedName>
    <definedName name="_a2_5_2_4" localSheetId="8" hidden="1">{"mgmt forecast",#N/A,FALSE,"Mgmt Forecast";"dcf table",#N/A,FALSE,"Mgmt Forecast";"sensitivity",#N/A,FALSE,"Mgmt Forecast";"table inputs",#N/A,FALSE,"Mgmt Forecast";"calculations",#N/A,FALSE,"Mgmt Forecast"}</definedName>
    <definedName name="_a2_5_2_4" hidden="1">{"mgmt forecast",#N/A,FALSE,"Mgmt Forecast";"dcf table",#N/A,FALSE,"Mgmt Forecast";"sensitivity",#N/A,FALSE,"Mgmt Forecast";"table inputs",#N/A,FALSE,"Mgmt Forecast";"calculations",#N/A,FALSE,"Mgmt Forecast"}</definedName>
    <definedName name="_a2_5_2_5" localSheetId="8" hidden="1">{"mgmt forecast",#N/A,FALSE,"Mgmt Forecast";"dcf table",#N/A,FALSE,"Mgmt Forecast";"sensitivity",#N/A,FALSE,"Mgmt Forecast";"table inputs",#N/A,FALSE,"Mgmt Forecast";"calculations",#N/A,FALSE,"Mgmt Forecast"}</definedName>
    <definedName name="_a2_5_2_5" hidden="1">{"mgmt forecast",#N/A,FALSE,"Mgmt Forecast";"dcf table",#N/A,FALSE,"Mgmt Forecast";"sensitivity",#N/A,FALSE,"Mgmt Forecast";"table inputs",#N/A,FALSE,"Mgmt Forecast";"calculations",#N/A,FALSE,"Mgmt Forecast"}</definedName>
    <definedName name="_a2_5_3" localSheetId="8" hidden="1">{"mgmt forecast",#N/A,FALSE,"Mgmt Forecast";"dcf table",#N/A,FALSE,"Mgmt Forecast";"sensitivity",#N/A,FALSE,"Mgmt Forecast";"table inputs",#N/A,FALSE,"Mgmt Forecast";"calculations",#N/A,FALSE,"Mgmt Forecast"}</definedName>
    <definedName name="_a2_5_3" hidden="1">{"mgmt forecast",#N/A,FALSE,"Mgmt Forecast";"dcf table",#N/A,FALSE,"Mgmt Forecast";"sensitivity",#N/A,FALSE,"Mgmt Forecast";"table inputs",#N/A,FALSE,"Mgmt Forecast";"calculations",#N/A,FALSE,"Mgmt Forecast"}</definedName>
    <definedName name="_a2_5_3_1" localSheetId="8" hidden="1">{"mgmt forecast",#N/A,FALSE,"Mgmt Forecast";"dcf table",#N/A,FALSE,"Mgmt Forecast";"sensitivity",#N/A,FALSE,"Mgmt Forecast";"table inputs",#N/A,FALSE,"Mgmt Forecast";"calculations",#N/A,FALSE,"Mgmt Forecast"}</definedName>
    <definedName name="_a2_5_3_1" hidden="1">{"mgmt forecast",#N/A,FALSE,"Mgmt Forecast";"dcf table",#N/A,FALSE,"Mgmt Forecast";"sensitivity",#N/A,FALSE,"Mgmt Forecast";"table inputs",#N/A,FALSE,"Mgmt Forecast";"calculations",#N/A,FALSE,"Mgmt Forecast"}</definedName>
    <definedName name="_a2_5_3_2" localSheetId="8" hidden="1">{"mgmt forecast",#N/A,FALSE,"Mgmt Forecast";"dcf table",#N/A,FALSE,"Mgmt Forecast";"sensitivity",#N/A,FALSE,"Mgmt Forecast";"table inputs",#N/A,FALSE,"Mgmt Forecast";"calculations",#N/A,FALSE,"Mgmt Forecast"}</definedName>
    <definedName name="_a2_5_3_2" hidden="1">{"mgmt forecast",#N/A,FALSE,"Mgmt Forecast";"dcf table",#N/A,FALSE,"Mgmt Forecast";"sensitivity",#N/A,FALSE,"Mgmt Forecast";"table inputs",#N/A,FALSE,"Mgmt Forecast";"calculations",#N/A,FALSE,"Mgmt Forecast"}</definedName>
    <definedName name="_a2_5_3_3" localSheetId="8" hidden="1">{"mgmt forecast",#N/A,FALSE,"Mgmt Forecast";"dcf table",#N/A,FALSE,"Mgmt Forecast";"sensitivity",#N/A,FALSE,"Mgmt Forecast";"table inputs",#N/A,FALSE,"Mgmt Forecast";"calculations",#N/A,FALSE,"Mgmt Forecast"}</definedName>
    <definedName name="_a2_5_3_3" hidden="1">{"mgmt forecast",#N/A,FALSE,"Mgmt Forecast";"dcf table",#N/A,FALSE,"Mgmt Forecast";"sensitivity",#N/A,FALSE,"Mgmt Forecast";"table inputs",#N/A,FALSE,"Mgmt Forecast";"calculations",#N/A,FALSE,"Mgmt Forecast"}</definedName>
    <definedName name="_a2_5_3_4" localSheetId="8" hidden="1">{"mgmt forecast",#N/A,FALSE,"Mgmt Forecast";"dcf table",#N/A,FALSE,"Mgmt Forecast";"sensitivity",#N/A,FALSE,"Mgmt Forecast";"table inputs",#N/A,FALSE,"Mgmt Forecast";"calculations",#N/A,FALSE,"Mgmt Forecast"}</definedName>
    <definedName name="_a2_5_3_4" hidden="1">{"mgmt forecast",#N/A,FALSE,"Mgmt Forecast";"dcf table",#N/A,FALSE,"Mgmt Forecast";"sensitivity",#N/A,FALSE,"Mgmt Forecast";"table inputs",#N/A,FALSE,"Mgmt Forecast";"calculations",#N/A,FALSE,"Mgmt Forecast"}</definedName>
    <definedName name="_a2_5_3_5" localSheetId="8" hidden="1">{"mgmt forecast",#N/A,FALSE,"Mgmt Forecast";"dcf table",#N/A,FALSE,"Mgmt Forecast";"sensitivity",#N/A,FALSE,"Mgmt Forecast";"table inputs",#N/A,FALSE,"Mgmt Forecast";"calculations",#N/A,FALSE,"Mgmt Forecast"}</definedName>
    <definedName name="_a2_5_3_5" hidden="1">{"mgmt forecast",#N/A,FALSE,"Mgmt Forecast";"dcf table",#N/A,FALSE,"Mgmt Forecast";"sensitivity",#N/A,FALSE,"Mgmt Forecast";"table inputs",#N/A,FALSE,"Mgmt Forecast";"calculations",#N/A,FALSE,"Mgmt Forecast"}</definedName>
    <definedName name="_a2_5_4" localSheetId="8" hidden="1">{"mgmt forecast",#N/A,FALSE,"Mgmt Forecast";"dcf table",#N/A,FALSE,"Mgmt Forecast";"sensitivity",#N/A,FALSE,"Mgmt Forecast";"table inputs",#N/A,FALSE,"Mgmt Forecast";"calculations",#N/A,FALSE,"Mgmt Forecast"}</definedName>
    <definedName name="_a2_5_4" hidden="1">{"mgmt forecast",#N/A,FALSE,"Mgmt Forecast";"dcf table",#N/A,FALSE,"Mgmt Forecast";"sensitivity",#N/A,FALSE,"Mgmt Forecast";"table inputs",#N/A,FALSE,"Mgmt Forecast";"calculations",#N/A,FALSE,"Mgmt Forecast"}</definedName>
    <definedName name="_a2_5_4_1" localSheetId="8" hidden="1">{"mgmt forecast",#N/A,FALSE,"Mgmt Forecast";"dcf table",#N/A,FALSE,"Mgmt Forecast";"sensitivity",#N/A,FALSE,"Mgmt Forecast";"table inputs",#N/A,FALSE,"Mgmt Forecast";"calculations",#N/A,FALSE,"Mgmt Forecast"}</definedName>
    <definedName name="_a2_5_4_1" hidden="1">{"mgmt forecast",#N/A,FALSE,"Mgmt Forecast";"dcf table",#N/A,FALSE,"Mgmt Forecast";"sensitivity",#N/A,FALSE,"Mgmt Forecast";"table inputs",#N/A,FALSE,"Mgmt Forecast";"calculations",#N/A,FALSE,"Mgmt Forecast"}</definedName>
    <definedName name="_a2_5_4_2" localSheetId="8" hidden="1">{"mgmt forecast",#N/A,FALSE,"Mgmt Forecast";"dcf table",#N/A,FALSE,"Mgmt Forecast";"sensitivity",#N/A,FALSE,"Mgmt Forecast";"table inputs",#N/A,FALSE,"Mgmt Forecast";"calculations",#N/A,FALSE,"Mgmt Forecast"}</definedName>
    <definedName name="_a2_5_4_2" hidden="1">{"mgmt forecast",#N/A,FALSE,"Mgmt Forecast";"dcf table",#N/A,FALSE,"Mgmt Forecast";"sensitivity",#N/A,FALSE,"Mgmt Forecast";"table inputs",#N/A,FALSE,"Mgmt Forecast";"calculations",#N/A,FALSE,"Mgmt Forecast"}</definedName>
    <definedName name="_a2_5_4_3" localSheetId="8" hidden="1">{"mgmt forecast",#N/A,FALSE,"Mgmt Forecast";"dcf table",#N/A,FALSE,"Mgmt Forecast";"sensitivity",#N/A,FALSE,"Mgmt Forecast";"table inputs",#N/A,FALSE,"Mgmt Forecast";"calculations",#N/A,FALSE,"Mgmt Forecast"}</definedName>
    <definedName name="_a2_5_4_3" hidden="1">{"mgmt forecast",#N/A,FALSE,"Mgmt Forecast";"dcf table",#N/A,FALSE,"Mgmt Forecast";"sensitivity",#N/A,FALSE,"Mgmt Forecast";"table inputs",#N/A,FALSE,"Mgmt Forecast";"calculations",#N/A,FALSE,"Mgmt Forecast"}</definedName>
    <definedName name="_a2_5_4_4" localSheetId="8" hidden="1">{"mgmt forecast",#N/A,FALSE,"Mgmt Forecast";"dcf table",#N/A,FALSE,"Mgmt Forecast";"sensitivity",#N/A,FALSE,"Mgmt Forecast";"table inputs",#N/A,FALSE,"Mgmt Forecast";"calculations",#N/A,FALSE,"Mgmt Forecast"}</definedName>
    <definedName name="_a2_5_4_4" hidden="1">{"mgmt forecast",#N/A,FALSE,"Mgmt Forecast";"dcf table",#N/A,FALSE,"Mgmt Forecast";"sensitivity",#N/A,FALSE,"Mgmt Forecast";"table inputs",#N/A,FALSE,"Mgmt Forecast";"calculations",#N/A,FALSE,"Mgmt Forecast"}</definedName>
    <definedName name="_a2_5_4_5" localSheetId="8" hidden="1">{"mgmt forecast",#N/A,FALSE,"Mgmt Forecast";"dcf table",#N/A,FALSE,"Mgmt Forecast";"sensitivity",#N/A,FALSE,"Mgmt Forecast";"table inputs",#N/A,FALSE,"Mgmt Forecast";"calculations",#N/A,FALSE,"Mgmt Forecast"}</definedName>
    <definedName name="_a2_5_4_5" hidden="1">{"mgmt forecast",#N/A,FALSE,"Mgmt Forecast";"dcf table",#N/A,FALSE,"Mgmt Forecast";"sensitivity",#N/A,FALSE,"Mgmt Forecast";"table inputs",#N/A,FALSE,"Mgmt Forecast";"calculations",#N/A,FALSE,"Mgmt Forecast"}</definedName>
    <definedName name="_a2_5_5" localSheetId="8" hidden="1">{"mgmt forecast",#N/A,FALSE,"Mgmt Forecast";"dcf table",#N/A,FALSE,"Mgmt Forecast";"sensitivity",#N/A,FALSE,"Mgmt Forecast";"table inputs",#N/A,FALSE,"Mgmt Forecast";"calculations",#N/A,FALSE,"Mgmt Forecast"}</definedName>
    <definedName name="_a2_5_5" hidden="1">{"mgmt forecast",#N/A,FALSE,"Mgmt Forecast";"dcf table",#N/A,FALSE,"Mgmt Forecast";"sensitivity",#N/A,FALSE,"Mgmt Forecast";"table inputs",#N/A,FALSE,"Mgmt Forecast";"calculations",#N/A,FALSE,"Mgmt Forecast"}</definedName>
    <definedName name="_a2_5_5_1" localSheetId="8" hidden="1">{"mgmt forecast",#N/A,FALSE,"Mgmt Forecast";"dcf table",#N/A,FALSE,"Mgmt Forecast";"sensitivity",#N/A,FALSE,"Mgmt Forecast";"table inputs",#N/A,FALSE,"Mgmt Forecast";"calculations",#N/A,FALSE,"Mgmt Forecast"}</definedName>
    <definedName name="_a2_5_5_1" hidden="1">{"mgmt forecast",#N/A,FALSE,"Mgmt Forecast";"dcf table",#N/A,FALSE,"Mgmt Forecast";"sensitivity",#N/A,FALSE,"Mgmt Forecast";"table inputs",#N/A,FALSE,"Mgmt Forecast";"calculations",#N/A,FALSE,"Mgmt Forecast"}</definedName>
    <definedName name="_a2_5_5_2" localSheetId="8" hidden="1">{"mgmt forecast",#N/A,FALSE,"Mgmt Forecast";"dcf table",#N/A,FALSE,"Mgmt Forecast";"sensitivity",#N/A,FALSE,"Mgmt Forecast";"table inputs",#N/A,FALSE,"Mgmt Forecast";"calculations",#N/A,FALSE,"Mgmt Forecast"}</definedName>
    <definedName name="_a2_5_5_2" hidden="1">{"mgmt forecast",#N/A,FALSE,"Mgmt Forecast";"dcf table",#N/A,FALSE,"Mgmt Forecast";"sensitivity",#N/A,FALSE,"Mgmt Forecast";"table inputs",#N/A,FALSE,"Mgmt Forecast";"calculations",#N/A,FALSE,"Mgmt Forecast"}</definedName>
    <definedName name="_a2_5_5_3" localSheetId="8" hidden="1">{"mgmt forecast",#N/A,FALSE,"Mgmt Forecast";"dcf table",#N/A,FALSE,"Mgmt Forecast";"sensitivity",#N/A,FALSE,"Mgmt Forecast";"table inputs",#N/A,FALSE,"Mgmt Forecast";"calculations",#N/A,FALSE,"Mgmt Forecast"}</definedName>
    <definedName name="_a2_5_5_3" hidden="1">{"mgmt forecast",#N/A,FALSE,"Mgmt Forecast";"dcf table",#N/A,FALSE,"Mgmt Forecast";"sensitivity",#N/A,FALSE,"Mgmt Forecast";"table inputs",#N/A,FALSE,"Mgmt Forecast";"calculations",#N/A,FALSE,"Mgmt Forecast"}</definedName>
    <definedName name="_a2_5_5_4" localSheetId="8" hidden="1">{"mgmt forecast",#N/A,FALSE,"Mgmt Forecast";"dcf table",#N/A,FALSE,"Mgmt Forecast";"sensitivity",#N/A,FALSE,"Mgmt Forecast";"table inputs",#N/A,FALSE,"Mgmt Forecast";"calculations",#N/A,FALSE,"Mgmt Forecast"}</definedName>
    <definedName name="_a2_5_5_4" hidden="1">{"mgmt forecast",#N/A,FALSE,"Mgmt Forecast";"dcf table",#N/A,FALSE,"Mgmt Forecast";"sensitivity",#N/A,FALSE,"Mgmt Forecast";"table inputs",#N/A,FALSE,"Mgmt Forecast";"calculations",#N/A,FALSE,"Mgmt Forecast"}</definedName>
    <definedName name="_a2_5_5_5" localSheetId="8" hidden="1">{"mgmt forecast",#N/A,FALSE,"Mgmt Forecast";"dcf table",#N/A,FALSE,"Mgmt Forecast";"sensitivity",#N/A,FALSE,"Mgmt Forecast";"table inputs",#N/A,FALSE,"Mgmt Forecast";"calculations",#N/A,FALSE,"Mgmt Forecast"}</definedName>
    <definedName name="_a2_5_5_5" hidden="1">{"mgmt forecast",#N/A,FALSE,"Mgmt Forecast";"dcf table",#N/A,FALSE,"Mgmt Forecast";"sensitivity",#N/A,FALSE,"Mgmt Forecast";"table inputs",#N/A,FALSE,"Mgmt Forecast";"calculations",#N/A,FALSE,"Mgmt Forecast"}</definedName>
    <definedName name="_a234" localSheetId="8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234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3" localSheetId="8" hidden="1">{#N/A,#N/A,TRUE,"0 Deckbl.";#N/A,#N/A,TRUE,"S 1 Komm";#N/A,#N/A,TRUE,"S 1a Komm";#N/A,#N/A,TRUE,"S 1b Komm";#N/A,#N/A,TRUE,"S  2 DBR";#N/A,#N/A,TRUE,"S  3 Sparten";#N/A,#N/A,TRUE,"S 4  Betr. K.";#N/A,#N/A,TRUE,"6 Bilanz";#N/A,#N/A,TRUE,"6a Bilanz ";#N/A,#N/A,TRUE,"6b Bilanz ";#N/A,#N/A,TRUE,"7 GS I";#N/A,#N/A,TRUE,"S 8 EQ-GuV"}</definedName>
    <definedName name="_a3" hidden="1">{#N/A,#N/A,TRUE,"0 Deckbl.";#N/A,#N/A,TRUE,"S 1 Komm";#N/A,#N/A,TRUE,"S 1a Komm";#N/A,#N/A,TRUE,"S 1b Komm";#N/A,#N/A,TRUE,"S  2 DBR";#N/A,#N/A,TRUE,"S  3 Sparten";#N/A,#N/A,TRUE,"S 4  Betr. K.";#N/A,#N/A,TRUE,"6 Bilanz";#N/A,#N/A,TRUE,"6a Bilanz ";#N/A,#N/A,TRUE,"6b Bilanz ";#N/A,#N/A,TRUE,"7 GS I";#N/A,#N/A,TRUE,"S 8 EQ-GuV"}</definedName>
    <definedName name="_a345" localSheetId="8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345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456" localSheetId="8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456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50" localSheetId="8" hidden="1">{#N/A,#N/A,TRUE,"0 Deckbl.";#N/A,#N/A,TRUE,"S 1 Komm";#N/A,#N/A,TRUE,"S 1a Komm";#N/A,#N/A,TRUE,"S 1b Komm";#N/A,#N/A,TRUE,"S  2 DBR";#N/A,#N/A,TRUE,"S  3 Sparten";#N/A,#N/A,TRUE,"S 4  Betr. K.";#N/A,#N/A,TRUE,"6 Bilanz";#N/A,#N/A,TRUE,"6a Bilanz ";#N/A,#N/A,TRUE,"6b Bilanz ";#N/A,#N/A,TRUE,"7 GS I";#N/A,#N/A,TRUE,"S 8 EQ-GuV"}</definedName>
    <definedName name="_a50" hidden="1">{#N/A,#N/A,TRUE,"0 Deckbl.";#N/A,#N/A,TRUE,"S 1 Komm";#N/A,#N/A,TRUE,"S 1a Komm";#N/A,#N/A,TRUE,"S 1b Komm";#N/A,#N/A,TRUE,"S  2 DBR";#N/A,#N/A,TRUE,"S  3 Sparten";#N/A,#N/A,TRUE,"S 4  Betr. K.";#N/A,#N/A,TRUE,"6 Bilanz";#N/A,#N/A,TRUE,"6a Bilanz ";#N/A,#N/A,TRUE,"6b Bilanz ";#N/A,#N/A,TRUE,"7 GS I";#N/A,#N/A,TRUE,"S 8 EQ-GuV"}</definedName>
    <definedName name="_a567" localSheetId="8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567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678" localSheetId="8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678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7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_a789" localSheetId="8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789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8" localSheetId="8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a8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a890" localSheetId="8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89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1" localSheetId="8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aa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aaa1" localSheetId="7" hidden="1">{#N/A,#N/A,FALSE,"REPORT"}</definedName>
    <definedName name="_aaa1" localSheetId="8" hidden="1">{#N/A,#N/A,FALSE,"REPORT"}</definedName>
    <definedName name="_aaa1" hidden="1">{#N/A,#N/A,FALSE,"REPORT"}</definedName>
    <definedName name="_aas1" localSheetId="7" hidden="1">{#N/A,#N/A,FALSE,"REPORT"}</definedName>
    <definedName name="_aas1" localSheetId="8" hidden="1">{#N/A,#N/A,FALSE,"REPORT"}</definedName>
    <definedName name="_aas1" hidden="1">{#N/A,#N/A,FALSE,"REPORT"}</definedName>
    <definedName name="_ab098" localSheetId="8" hidden="1">{#N/A,"PURCHM",FALSE,"Business Analysis";#N/A,"SPADD",FALSE,"Business Analysis"}</definedName>
    <definedName name="_ab098" hidden="1">{#N/A,"PURCHM",FALSE,"Business Analysis";#N/A,"SPADD",FALSE,"Business Analysis"}</definedName>
    <definedName name="_abc" localSheetId="8" hidden="1">#REF!</definedName>
    <definedName name="_abc" hidden="1">#REF!</definedName>
    <definedName name="_abc098" localSheetId="8" hidden="1">{#N/A,"PURCHM",FALSE,"Business Analysis";#N/A,"SPADD",FALSE,"Business Analysis"}</definedName>
    <definedName name="_abc098" hidden="1">{#N/A,"PURCHM",FALSE,"Business Analysis";#N/A,"SPADD",FALSE,"Business Analysis"}</definedName>
    <definedName name="_abc1" localSheetId="8" hidden="1">{"detail",#N/A,FALSE,"mfg";"summary",#N/A,FALSE,"mfg"}</definedName>
    <definedName name="_abc1" hidden="1">{"detail",#N/A,FALSE,"mfg";"summary",#N/A,FALSE,"mfg"}</definedName>
    <definedName name="_abc10" localSheetId="8" hidden="1">{"detail",#N/A,FALSE,"mfg";"summary",#N/A,FALSE,"mfg"}</definedName>
    <definedName name="_abc10" hidden="1">{"detail",#N/A,FALSE,"mfg";"summary",#N/A,FALSE,"mfg"}</definedName>
    <definedName name="_abc101" localSheetId="8" hidden="1">{"detail",#N/A,FALSE,"mfg";"summary",#N/A,FALSE,"mfg"}</definedName>
    <definedName name="_abc101" hidden="1">{"detail",#N/A,FALSE,"mfg";"summary",#N/A,FALSE,"mfg"}</definedName>
    <definedName name="_abc102" localSheetId="8" hidden="1">{"detail",#N/A,FALSE,"mfg";"summary",#N/A,FALSE,"mfg"}</definedName>
    <definedName name="_abc102" hidden="1">{"detail",#N/A,FALSE,"mfg";"summary",#N/A,FALSE,"mfg"}</definedName>
    <definedName name="_abc105" localSheetId="8" hidden="1">{"detail",#N/A,FALSE,"mfg";"summary",#N/A,FALSE,"mfg"}</definedName>
    <definedName name="_abc105" hidden="1">{"detail",#N/A,FALSE,"mfg";"summary",#N/A,FALSE,"mfg"}</definedName>
    <definedName name="_abc1082" localSheetId="8" hidden="1">{"detail",#N/A,FALSE,"mfg";"summary",#N/A,FALSE,"mfg"}</definedName>
    <definedName name="_abc1082" hidden="1">{"detail",#N/A,FALSE,"mfg";"summary",#N/A,FALSE,"mfg"}</definedName>
    <definedName name="_abc11" localSheetId="8" hidden="1">{"detail",#N/A,FALSE,"mfg";"summary",#N/A,FALSE,"mfg"}</definedName>
    <definedName name="_abc11" hidden="1">{"detail",#N/A,FALSE,"mfg";"summary",#N/A,FALSE,"mfg"}</definedName>
    <definedName name="_abc115" localSheetId="8" hidden="1">{"detail",#N/A,FALSE,"mfg";"summary",#N/A,FALSE,"mfg"}</definedName>
    <definedName name="_abc115" hidden="1">{"detail",#N/A,FALSE,"mfg";"summary",#N/A,FALSE,"mfg"}</definedName>
    <definedName name="_abc12" localSheetId="8" hidden="1">{"detail",#N/A,FALSE,"mfg";"summary",#N/A,FALSE,"mfg"}</definedName>
    <definedName name="_abc12" hidden="1">{"detail",#N/A,FALSE,"mfg";"summary",#N/A,FALSE,"mfg"}</definedName>
    <definedName name="_abc1234" localSheetId="8" hidden="1">{#N/A,"PURCHM",FALSE,"Business Analysis";#N/A,"SPADD",FALSE,"Business Analysis"}</definedName>
    <definedName name="_abc1234" hidden="1">{#N/A,"PURCHM",FALSE,"Business Analysis";#N/A,"SPADD",FALSE,"Business Analysis"}</definedName>
    <definedName name="_abc125" localSheetId="8" hidden="1">{"detail",#N/A,FALSE,"mfg";"summary",#N/A,FALSE,"mfg"}</definedName>
    <definedName name="_abc125" hidden="1">{"detail",#N/A,FALSE,"mfg";"summary",#N/A,FALSE,"mfg"}</definedName>
    <definedName name="_abc13" localSheetId="8" hidden="1">{"detail",#N/A,FALSE,"mfg";"summary",#N/A,FALSE,"mfg"}</definedName>
    <definedName name="_abc13" hidden="1">{"detail",#N/A,FALSE,"mfg";"summary",#N/A,FALSE,"mfg"}</definedName>
    <definedName name="_abc1325" localSheetId="8" hidden="1">{"detail",#N/A,FALSE,"mfg";"summary",#N/A,FALSE,"mfg"}</definedName>
    <definedName name="_abc1325" hidden="1">{"detail",#N/A,FALSE,"mfg";"summary",#N/A,FALSE,"mfg"}</definedName>
    <definedName name="_abc14" localSheetId="8" hidden="1">{"detail",#N/A,FALSE,"mfg";"summary",#N/A,FALSE,"mfg"}</definedName>
    <definedName name="_abc14" hidden="1">{"detail",#N/A,FALSE,"mfg";"summary",#N/A,FALSE,"mfg"}</definedName>
    <definedName name="_abc1425" localSheetId="8" hidden="1">{"detail",#N/A,FALSE,"mfg";"summary",#N/A,FALSE,"mfg"}</definedName>
    <definedName name="_abc1425" hidden="1">{"detail",#N/A,FALSE,"mfg";"summary",#N/A,FALSE,"mfg"}</definedName>
    <definedName name="_abc2" localSheetId="8" hidden="1">{"detail",#N/A,FALSE,"mfg";"summary",#N/A,FALSE,"mfg"}</definedName>
    <definedName name="_abc2" hidden="1">{"detail",#N/A,FALSE,"mfg";"summary",#N/A,FALSE,"mfg"}</definedName>
    <definedName name="_abc2_1" localSheetId="8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_abc2_1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_abc200" localSheetId="8" hidden="1">{"detail",#N/A,FALSE,"mfg";"summary",#N/A,FALSE,"mfg"}</definedName>
    <definedName name="_abc200" hidden="1">{"detail",#N/A,FALSE,"mfg";"summary",#N/A,FALSE,"mfg"}</definedName>
    <definedName name="_abc2005" localSheetId="8" hidden="1">{#N/A,"PURCHM",FALSE,"Business Analysis";#N/A,"SPADD",FALSE,"Business Analysis"}</definedName>
    <definedName name="_abc2005" hidden="1">{#N/A,"PURCHM",FALSE,"Business Analysis";#N/A,"SPADD",FALSE,"Business Analysis"}</definedName>
    <definedName name="_abc201" localSheetId="8" hidden="1">{"detail",#N/A,FALSE,"mfg";"summary",#N/A,FALSE,"mfg"}</definedName>
    <definedName name="_abc201" hidden="1">{"detail",#N/A,FALSE,"mfg";"summary",#N/A,FALSE,"mfg"}</definedName>
    <definedName name="_abc202" localSheetId="8" hidden="1">{"detail",#N/A,FALSE,"mfg";"summary",#N/A,FALSE,"mfg"}</definedName>
    <definedName name="_abc202" hidden="1">{"detail",#N/A,FALSE,"mfg";"summary",#N/A,FALSE,"mfg"}</definedName>
    <definedName name="_abc2054" localSheetId="8" hidden="1">{"detail",#N/A,FALSE,"mfg";"summary",#N/A,FALSE,"mfg"}</definedName>
    <definedName name="_abc2054" hidden="1">{"detail",#N/A,FALSE,"mfg";"summary",#N/A,FALSE,"mfg"}</definedName>
    <definedName name="_abc212" localSheetId="8" hidden="1">{"detail",#N/A,FALSE,"mfg";"summary",#N/A,FALSE,"mfg"}</definedName>
    <definedName name="_abc212" hidden="1">{"detail",#N/A,FALSE,"mfg";"summary",#N/A,FALSE,"mfg"}</definedName>
    <definedName name="_abc212450" localSheetId="8" hidden="1">{"detail",#N/A,FALSE,"mfg";"summary",#N/A,FALSE,"mfg"}</definedName>
    <definedName name="_abc212450" hidden="1">{"detail",#N/A,FALSE,"mfg";"summary",#N/A,FALSE,"mfg"}</definedName>
    <definedName name="_abc23" localSheetId="8" hidden="1">{"detail",#N/A,FALSE,"mfg";"summary",#N/A,FALSE,"mfg"}</definedName>
    <definedName name="_abc23" hidden="1">{"detail",#N/A,FALSE,"mfg";"summary",#N/A,FALSE,"mfg"}</definedName>
    <definedName name="_abc24" localSheetId="8" hidden="1">{"detail",#N/A,FALSE,"mfg";"summary",#N/A,FALSE,"mfg"}</definedName>
    <definedName name="_abc24" hidden="1">{"detail",#N/A,FALSE,"mfg";"summary",#N/A,FALSE,"mfg"}</definedName>
    <definedName name="_abc25" localSheetId="8" hidden="1">{"detail",#N/A,FALSE,"mfg";"summary",#N/A,FALSE,"mfg"}</definedName>
    <definedName name="_abc25" hidden="1">{"detail",#N/A,FALSE,"mfg";"summary",#N/A,FALSE,"mfg"}</definedName>
    <definedName name="_abc26" localSheetId="8" hidden="1">{"detail",#N/A,FALSE,"mfg";"summary",#N/A,FALSE,"mfg"}</definedName>
    <definedName name="_abc26" hidden="1">{"detail",#N/A,FALSE,"mfg";"summary",#N/A,FALSE,"mfg"}</definedName>
    <definedName name="_abc289" localSheetId="8" hidden="1">{"detail",#N/A,FALSE,"mfg";"summary",#N/A,FALSE,"mfg"}</definedName>
    <definedName name="_abc289" hidden="1">{"detail",#N/A,FALSE,"mfg";"summary",#N/A,FALSE,"mfg"}</definedName>
    <definedName name="_abc3" localSheetId="8" hidden="1">{"detail",#N/A,FALSE,"mfg";"summary",#N/A,FALSE,"mfg"}</definedName>
    <definedName name="_abc3" hidden="1">{"detail",#N/A,FALSE,"mfg";"summary",#N/A,FALSE,"mfg"}</definedName>
    <definedName name="_abc31" localSheetId="8" hidden="1">{"detail",#N/A,FALSE,"mfg";"summary",#N/A,FALSE,"mfg"}</definedName>
    <definedName name="_abc31" hidden="1">{"detail",#N/A,FALSE,"mfg";"summary",#N/A,FALSE,"mfg"}</definedName>
    <definedName name="_abc312" localSheetId="8" hidden="1">{"detail",#N/A,FALSE,"mfg";"summary",#N/A,FALSE,"mfg"}</definedName>
    <definedName name="_abc312" hidden="1">{"detail",#N/A,FALSE,"mfg";"summary",#N/A,FALSE,"mfg"}</definedName>
    <definedName name="_abc315" localSheetId="8" hidden="1">{"detail",#N/A,FALSE,"mfg";"summary",#N/A,FALSE,"mfg"}</definedName>
    <definedName name="_abc315" hidden="1">{"detail",#N/A,FALSE,"mfg";"summary",#N/A,FALSE,"mfg"}</definedName>
    <definedName name="_abc316" localSheetId="8" hidden="1">{"detail",#N/A,FALSE,"mfg";"summary",#N/A,FALSE,"mfg"}</definedName>
    <definedName name="_abc316" hidden="1">{"detail",#N/A,FALSE,"mfg";"summary",#N/A,FALSE,"mfg"}</definedName>
    <definedName name="_abc32" localSheetId="8" hidden="1">{"detail",#N/A,FALSE,"mfg";"summary",#N/A,FALSE,"mfg"}</definedName>
    <definedName name="_abc32" hidden="1">{"detail",#N/A,FALSE,"mfg";"summary",#N/A,FALSE,"mfg"}</definedName>
    <definedName name="_abc3216" localSheetId="8" hidden="1">{"detail",#N/A,FALSE,"mfg";"summary",#N/A,FALSE,"mfg"}</definedName>
    <definedName name="_abc3216" hidden="1">{"detail",#N/A,FALSE,"mfg";"summary",#N/A,FALSE,"mfg"}</definedName>
    <definedName name="_abc35" localSheetId="8" hidden="1">{"detail",#N/A,FALSE,"mfg";"summary",#N/A,FALSE,"mfg"}</definedName>
    <definedName name="_abc35" hidden="1">{"detail",#N/A,FALSE,"mfg";"summary",#N/A,FALSE,"mfg"}</definedName>
    <definedName name="_abc36" localSheetId="8" hidden="1">{"detail",#N/A,FALSE,"mfg";"summary",#N/A,FALSE,"mfg"}</definedName>
    <definedName name="_abc36" hidden="1">{"detail",#N/A,FALSE,"mfg";"summary",#N/A,FALSE,"mfg"}</definedName>
    <definedName name="_abc37" localSheetId="8" hidden="1">{"detail",#N/A,FALSE,"mfg";"summary",#N/A,FALSE,"mfg"}</definedName>
    <definedName name="_abc37" hidden="1">{"detail",#N/A,FALSE,"mfg";"summary",#N/A,FALSE,"mfg"}</definedName>
    <definedName name="_abc38" localSheetId="8" hidden="1">{"detail",#N/A,FALSE,"mfg";"summary",#N/A,FALSE,"mfg"}</definedName>
    <definedName name="_abc38" hidden="1">{"detail",#N/A,FALSE,"mfg";"summary",#N/A,FALSE,"mfg"}</definedName>
    <definedName name="_ABC41" localSheetId="8" hidden="1">{"detail",#N/A,FALSE,"mfg";"summary",#N/A,FALSE,"mfg"}</definedName>
    <definedName name="_ABC41" hidden="1">{"detail",#N/A,FALSE,"mfg";"summary",#N/A,FALSE,"mfg"}</definedName>
    <definedName name="_abc42" localSheetId="8" hidden="1">{"detail",#N/A,FALSE,"mfg";"summary",#N/A,FALSE,"mfg"}</definedName>
    <definedName name="_abc42" hidden="1">{"detail",#N/A,FALSE,"mfg";"summary",#N/A,FALSE,"mfg"}</definedName>
    <definedName name="_abc51" localSheetId="8" hidden="1">{"detail",#N/A,FALSE,"mfg";"summary",#N/A,FALSE,"mfg"}</definedName>
    <definedName name="_abc51" hidden="1">{"detail",#N/A,FALSE,"mfg";"summary",#N/A,FALSE,"mfg"}</definedName>
    <definedName name="_abc61" localSheetId="8" hidden="1">{"detail",#N/A,FALSE,"mfg";"summary",#N/A,FALSE,"mfg"}</definedName>
    <definedName name="_abc61" hidden="1">{"detail",#N/A,FALSE,"mfg";"summary",#N/A,FALSE,"mfg"}</definedName>
    <definedName name="_abc71" localSheetId="8" hidden="1">{"detail",#N/A,FALSE,"mfg";"summary",#N/A,FALSE,"mfg"}</definedName>
    <definedName name="_abc71" hidden="1">{"detail",#N/A,FALSE,"mfg";"summary",#N/A,FALSE,"mfg"}</definedName>
    <definedName name="_abc7884" localSheetId="8" hidden="1">{"detail",#N/A,FALSE,"mfg";"summary",#N/A,FALSE,"mfg"}</definedName>
    <definedName name="_abc7884" hidden="1">{"detail",#N/A,FALSE,"mfg";"summary",#N/A,FALSE,"mfg"}</definedName>
    <definedName name="_ACS2000" localSheetId="7" hidden="1">{#N/A,#N/A,FALSE,"REPORT"}</definedName>
    <definedName name="_ACS2000" localSheetId="8" hidden="1">{#N/A,#N/A,FALSE,"REPORT"}</definedName>
    <definedName name="_ACS2000" hidden="1">{#N/A,#N/A,FALSE,"REPORT"}</definedName>
    <definedName name="_ACTUAL" hidden="1">#REF!</definedName>
    <definedName name="_adf1" localSheetId="8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df1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ge1" localSheetId="8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age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age2" localSheetId="8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age2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All1" localSheetId="8" hidden="1">{#N/A,#N/A,TRUE,"Cover";#N/A,#N/A,TRUE,"Macro Assumptions";#N/A,#N/A,TRUE,"P&amp;L";#N/A,#N/A,TRUE,"BS";#N/A,#N/A,TRUE,"Tariffs DTe";#N/A,#N/A,TRUE,"Revenues";#N/A,#N/A,TRUE,"System Services";#N/A,#N/A,TRUE,"TPA";#N/A,#N/A,TRUE,"Opex 1";#N/A,#N/A,TRUE,"Opex";#N/A,#N/A,TRUE,"Assumptions";#N/A,#N/A,TRUE,"Depreciation";#N/A,#N/A,TRUE,"Capital Expenditures";#N/A,#N/A,TRUE,"WACC_DTe";#N/A,#N/A,TRUE,"WACC";#N/A,#N/A,TRUE,"DCF EBITDA Multiple";#N/A,#N/A,TRUE,"DCF Perpetual Growth";#N/A,#N/A,TRUE,"TComps";#N/A,#N/A,TRUE,"AComps"}</definedName>
    <definedName name="_All1" hidden="1">{#N/A,#N/A,TRUE,"Cover";#N/A,#N/A,TRUE,"Macro Assumptions";#N/A,#N/A,TRUE,"P&amp;L";#N/A,#N/A,TRUE,"BS";#N/A,#N/A,TRUE,"Tariffs DTe";#N/A,#N/A,TRUE,"Revenues";#N/A,#N/A,TRUE,"System Services";#N/A,#N/A,TRUE,"TPA";#N/A,#N/A,TRUE,"Opex 1";#N/A,#N/A,TRUE,"Opex";#N/A,#N/A,TRUE,"Assumptions";#N/A,#N/A,TRUE,"Depreciation";#N/A,#N/A,TRUE,"Capital Expenditures";#N/A,#N/A,TRUE,"WACC_DTe";#N/A,#N/A,TRUE,"WACC";#N/A,#N/A,TRUE,"DCF EBITDA Multiple";#N/A,#N/A,TRUE,"DCF Perpetual Growth";#N/A,#N/A,TRUE,"TComps";#N/A,#N/A,TRUE,"AComps"}</definedName>
    <definedName name="_All1_1" localSheetId="8" hidden="1">{#N/A,#N/A,TRUE,"Cover";#N/A,#N/A,TRUE,"Macro Assumptions";#N/A,#N/A,TRUE,"P&amp;L";#N/A,#N/A,TRUE,"BS";#N/A,#N/A,TRUE,"Tariffs DTe";#N/A,#N/A,TRUE,"Revenues";#N/A,#N/A,TRUE,"System Services";#N/A,#N/A,TRUE,"TPA";#N/A,#N/A,TRUE,"Opex 1";#N/A,#N/A,TRUE,"Opex";#N/A,#N/A,TRUE,"Assumptions";#N/A,#N/A,TRUE,"Depreciation";#N/A,#N/A,TRUE,"Capital Expenditures";#N/A,#N/A,TRUE,"WACC_DTe";#N/A,#N/A,TRUE,"WACC";#N/A,#N/A,TRUE,"DCF EBITDA Multiple";#N/A,#N/A,TRUE,"DCF Perpetual Growth";#N/A,#N/A,TRUE,"TComps";#N/A,#N/A,TRUE,"AComps"}</definedName>
    <definedName name="_All1_1" hidden="1">{#N/A,#N/A,TRUE,"Cover";#N/A,#N/A,TRUE,"Macro Assumptions";#N/A,#N/A,TRUE,"P&amp;L";#N/A,#N/A,TRUE,"BS";#N/A,#N/A,TRUE,"Tariffs DTe";#N/A,#N/A,TRUE,"Revenues";#N/A,#N/A,TRUE,"System Services";#N/A,#N/A,TRUE,"TPA";#N/A,#N/A,TRUE,"Opex 1";#N/A,#N/A,TRUE,"Opex";#N/A,#N/A,TRUE,"Assumptions";#N/A,#N/A,TRUE,"Depreciation";#N/A,#N/A,TRUE,"Capital Expenditures";#N/A,#N/A,TRUE,"WACC_DTe";#N/A,#N/A,TRUE,"WACC";#N/A,#N/A,TRUE,"DCF EBITDA Multiple";#N/A,#N/A,TRUE,"DCF Perpetual Growth";#N/A,#N/A,TRUE,"TComps";#N/A,#N/A,TRUE,"AComps"}</definedName>
    <definedName name="_AMO_UniqueIdentifier" hidden="1">"'9438102e-f128-4ea5-aa6e-2d57af8e078f'"</definedName>
    <definedName name="_ap2" localSheetId="8" hidden="1">{"detail",#N/A,FALSE,"mfg";"summary",#N/A,FALSE,"mfg"}</definedName>
    <definedName name="_ap2" hidden="1">{"detail",#N/A,FALSE,"mfg";"summary",#N/A,FALSE,"mfg"}</definedName>
    <definedName name="_AS1" localSheetId="8" hidden="1">{"comp1",#N/A,FALSE,"COMPS";"footnotes",#N/A,FALSE,"COMPS"}</definedName>
    <definedName name="_AS1" hidden="1">{"comp1",#N/A,FALSE,"COMPS";"footnotes",#N/A,FALSE,"COMPS"}</definedName>
    <definedName name="_as2" hidden="1">"AS2DocumentEdit"</definedName>
    <definedName name="_AtRisk_SimSetting_AutomaticallyGenerateReports" hidden="1">FALSE</definedName>
    <definedName name="_AtRisk_SimSetting_AutomaticResultsDisplayMode" localSheetId="8" hidden="1">3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za1" localSheetId="8" hidden="1">{#N/A,#N/A,FALSE,"BANNERS";#N/A,#N/A,FALSE,"Market";#N/A,#N/A,FALSE,"Tel Rev";#N/A,#N/A,FALSE,"Revenues IOL";#N/A,#N/A,FALSE,"Invest";#N/A,#N/A,FALSE,"Op Cost1";#N/A,#N/A,FALSE,"Op Cost2";#N/A,#N/A,FALSE,"Oth_&amp;_Tot_Revenues";#N/A,#N/A,FALSE,"Fin Mod";#N/A,#N/A,FALSE,"FinMod_RoW";#N/A,#N/A,FALSE,"P&amp;E Burocrat";#N/A,#N/A,FALSE,"cash flow"}</definedName>
    <definedName name="_aza1" hidden="1">{#N/A,#N/A,FALSE,"BANNERS";#N/A,#N/A,FALSE,"Market";#N/A,#N/A,FALSE,"Tel Rev";#N/A,#N/A,FALSE,"Revenues IOL";#N/A,#N/A,FALSE,"Invest";#N/A,#N/A,FALSE,"Op Cost1";#N/A,#N/A,FALSE,"Op Cost2";#N/A,#N/A,FALSE,"Oth_&amp;_Tot_Revenues";#N/A,#N/A,FALSE,"Fin Mod";#N/A,#N/A,FALSE,"FinMod_RoW";#N/A,#N/A,FALSE,"P&amp;E Burocrat";#N/A,#N/A,FALSE,"cash flow"}</definedName>
    <definedName name="_aza1_1" localSheetId="8" hidden="1">{#N/A,#N/A,FALSE,"BANNERS";#N/A,#N/A,FALSE,"Market";#N/A,#N/A,FALSE,"Tel Rev";#N/A,#N/A,FALSE,"Revenues IOL";#N/A,#N/A,FALSE,"Invest";#N/A,#N/A,FALSE,"Op Cost1";#N/A,#N/A,FALSE,"Op Cost2";#N/A,#N/A,FALSE,"Oth_&amp;_Tot_Revenues";#N/A,#N/A,FALSE,"Fin Mod";#N/A,#N/A,FALSE,"FinMod_RoW";#N/A,#N/A,FALSE,"P&amp;E Burocrat";#N/A,#N/A,FALSE,"cash flow"}</definedName>
    <definedName name="_aza1_1" hidden="1">{#N/A,#N/A,FALSE,"BANNERS";#N/A,#N/A,FALSE,"Market";#N/A,#N/A,FALSE,"Tel Rev";#N/A,#N/A,FALSE,"Revenues IOL";#N/A,#N/A,FALSE,"Invest";#N/A,#N/A,FALSE,"Op Cost1";#N/A,#N/A,FALSE,"Op Cost2";#N/A,#N/A,FALSE,"Oth_&amp;_Tot_Revenues";#N/A,#N/A,FALSE,"Fin Mod";#N/A,#N/A,FALSE,"FinMod_RoW";#N/A,#N/A,FALSE,"P&amp;E Burocrat";#N/A,#N/A,FALSE,"cash flow"}</definedName>
    <definedName name="_aza3" localSheetId="8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_aza3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_aza3_1" localSheetId="8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_aza3_1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_aza4" localSheetId="8" hidden="1">{#N/A,#N/A,FALSE,"BANNERS";#N/A,#N/A,FALSE,"Market";#N/A,#N/A,FALSE,"# of POP MAN";#N/A,#N/A,FALSE,"Penet Input";#N/A,#N/A,FALSE,"Tel Rev";#N/A,#N/A,FALSE,"Invest";#N/A,#N/A,FALSE,"Op Cost1";#N/A,#N/A,FALSE,"Op Cost2";#N/A,#N/A,FALSE,"Oth_&amp;_Tot_Revenues";#N/A,#N/A,FALSE,"Fin Mod";#N/A,#N/A,FALSE,"P&amp;E Burocrat";#N/A,#N/A,FALSE,"cash flow"}</definedName>
    <definedName name="_aza4" hidden="1">{#N/A,#N/A,FALSE,"BANNERS";#N/A,#N/A,FALSE,"Market";#N/A,#N/A,FALSE,"# of POP MAN";#N/A,#N/A,FALSE,"Penet Input";#N/A,#N/A,FALSE,"Tel Rev";#N/A,#N/A,FALSE,"Invest";#N/A,#N/A,FALSE,"Op Cost1";#N/A,#N/A,FALSE,"Op Cost2";#N/A,#N/A,FALSE,"Oth_&amp;_Tot_Revenues";#N/A,#N/A,FALSE,"Fin Mod";#N/A,#N/A,FALSE,"P&amp;E Burocrat";#N/A,#N/A,FALSE,"cash flow"}</definedName>
    <definedName name="_aza4_1" localSheetId="8" hidden="1">{#N/A,#N/A,FALSE,"BANNERS";#N/A,#N/A,FALSE,"Market";#N/A,#N/A,FALSE,"# of POP MAN";#N/A,#N/A,FALSE,"Penet Input";#N/A,#N/A,FALSE,"Tel Rev";#N/A,#N/A,FALSE,"Invest";#N/A,#N/A,FALSE,"Op Cost1";#N/A,#N/A,FALSE,"Op Cost2";#N/A,#N/A,FALSE,"Oth_&amp;_Tot_Revenues";#N/A,#N/A,FALSE,"Fin Mod";#N/A,#N/A,FALSE,"P&amp;E Burocrat";#N/A,#N/A,FALSE,"cash flow"}</definedName>
    <definedName name="_aza4_1" hidden="1">{#N/A,#N/A,FALSE,"BANNERS";#N/A,#N/A,FALSE,"Market";#N/A,#N/A,FALSE,"# of POP MAN";#N/A,#N/A,FALSE,"Penet Input";#N/A,#N/A,FALSE,"Tel Rev";#N/A,#N/A,FALSE,"Invest";#N/A,#N/A,FALSE,"Op Cost1";#N/A,#N/A,FALSE,"Op Cost2";#N/A,#N/A,FALSE,"Oth_&amp;_Tot_Revenues";#N/A,#N/A,FALSE,"Fin Mod";#N/A,#N/A,FALSE,"P&amp;E Burocrat";#N/A,#N/A,FALSE,"cash flow"}</definedName>
    <definedName name="_aza5" localSheetId="8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_aza5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_aza5_1" localSheetId="8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_aza5_1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_aza6" localSheetId="8" hidden="1">{#N/A,#N/A,FALSE,"BANNERS";#N/A,#N/A,FALSE,"Market";#N/A,#N/A,FALSE,"Tel Rev";#N/A,#N/A,FALSE,"Revenues IOL";#N/A,#N/A,FALSE,"Invest";#N/A,#N/A,FALSE,"Op Cost1";#N/A,#N/A,FALSE,"Op Cost2";#N/A,#N/A,FALSE,"Oth_&amp;_Tot_Revenues";#N/A,#N/A,FALSE,"Fin Mod";#N/A,#N/A,FALSE,"FinMod_RoW";#N/A,#N/A,FALSE,"P&amp;E Burocrat";#N/A,#N/A,FALSE,"cash flow"}</definedName>
    <definedName name="_aza6" hidden="1">{#N/A,#N/A,FALSE,"BANNERS";#N/A,#N/A,FALSE,"Market";#N/A,#N/A,FALSE,"Tel Rev";#N/A,#N/A,FALSE,"Revenues IOL";#N/A,#N/A,FALSE,"Invest";#N/A,#N/A,FALSE,"Op Cost1";#N/A,#N/A,FALSE,"Op Cost2";#N/A,#N/A,FALSE,"Oth_&amp;_Tot_Revenues";#N/A,#N/A,FALSE,"Fin Mod";#N/A,#N/A,FALSE,"FinMod_RoW";#N/A,#N/A,FALSE,"P&amp;E Burocrat";#N/A,#N/A,FALSE,"cash flow"}</definedName>
    <definedName name="_aza6_1" localSheetId="8" hidden="1">{#N/A,#N/A,FALSE,"BANNERS";#N/A,#N/A,FALSE,"Market";#N/A,#N/A,FALSE,"Tel Rev";#N/A,#N/A,FALSE,"Revenues IOL";#N/A,#N/A,FALSE,"Invest";#N/A,#N/A,FALSE,"Op Cost1";#N/A,#N/A,FALSE,"Op Cost2";#N/A,#N/A,FALSE,"Oth_&amp;_Tot_Revenues";#N/A,#N/A,FALSE,"Fin Mod";#N/A,#N/A,FALSE,"FinMod_RoW";#N/A,#N/A,FALSE,"P&amp;E Burocrat";#N/A,#N/A,FALSE,"cash flow"}</definedName>
    <definedName name="_aza6_1" hidden="1">{#N/A,#N/A,FALSE,"BANNERS";#N/A,#N/A,FALSE,"Market";#N/A,#N/A,FALSE,"Tel Rev";#N/A,#N/A,FALSE,"Revenues IOL";#N/A,#N/A,FALSE,"Invest";#N/A,#N/A,FALSE,"Op Cost1";#N/A,#N/A,FALSE,"Op Cost2";#N/A,#N/A,FALSE,"Oth_&amp;_Tot_Revenues";#N/A,#N/A,FALSE,"Fin Mod";#N/A,#N/A,FALSE,"FinMod_RoW";#N/A,#N/A,FALSE,"P&amp;E Burocrat";#N/A,#N/A,FALSE,"cash flow"}</definedName>
    <definedName name="_aza7" localSheetId="8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_aza7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_aza7_1" localSheetId="8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_aza7_1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_aza8" localSheetId="8" hidden="1">{#N/A,#N/A,FALSE,"BANNERS";#N/A,#N/A,FALSE,"Market";#N/A,#N/A,FALSE,"# of POP MAN";#N/A,#N/A,FALSE,"Penet Input";#N/A,#N/A,FALSE,"Tel Rev";#N/A,#N/A,FALSE,"Invest";#N/A,#N/A,FALSE,"Op Cost1";#N/A,#N/A,FALSE,"Op Cost2";#N/A,#N/A,FALSE,"Oth_&amp;_Tot_Revenues";#N/A,#N/A,FALSE,"Fin Mod";#N/A,#N/A,FALSE,"P&amp;E Burocrat";#N/A,#N/A,FALSE,"cash flow"}</definedName>
    <definedName name="_aza8" hidden="1">{#N/A,#N/A,FALSE,"BANNERS";#N/A,#N/A,FALSE,"Market";#N/A,#N/A,FALSE,"# of POP MAN";#N/A,#N/A,FALSE,"Penet Input";#N/A,#N/A,FALSE,"Tel Rev";#N/A,#N/A,FALSE,"Invest";#N/A,#N/A,FALSE,"Op Cost1";#N/A,#N/A,FALSE,"Op Cost2";#N/A,#N/A,FALSE,"Oth_&amp;_Tot_Revenues";#N/A,#N/A,FALSE,"Fin Mod";#N/A,#N/A,FALSE,"P&amp;E Burocrat";#N/A,#N/A,FALSE,"cash flow"}</definedName>
    <definedName name="_aza8_1" localSheetId="8" hidden="1">{#N/A,#N/A,FALSE,"BANNERS";#N/A,#N/A,FALSE,"Market";#N/A,#N/A,FALSE,"# of POP MAN";#N/A,#N/A,FALSE,"Penet Input";#N/A,#N/A,FALSE,"Tel Rev";#N/A,#N/A,FALSE,"Invest";#N/A,#N/A,FALSE,"Op Cost1";#N/A,#N/A,FALSE,"Op Cost2";#N/A,#N/A,FALSE,"Oth_&amp;_Tot_Revenues";#N/A,#N/A,FALSE,"Fin Mod";#N/A,#N/A,FALSE,"P&amp;E Burocrat";#N/A,#N/A,FALSE,"cash flow"}</definedName>
    <definedName name="_aza8_1" hidden="1">{#N/A,#N/A,FALSE,"BANNERS";#N/A,#N/A,FALSE,"Market";#N/A,#N/A,FALSE,"# of POP MAN";#N/A,#N/A,FALSE,"Penet Input";#N/A,#N/A,FALSE,"Tel Rev";#N/A,#N/A,FALSE,"Invest";#N/A,#N/A,FALSE,"Op Cost1";#N/A,#N/A,FALSE,"Op Cost2";#N/A,#N/A,FALSE,"Oth_&amp;_Tot_Revenues";#N/A,#N/A,FALSE,"Fin Mod";#N/A,#N/A,FALSE,"P&amp;E Burocrat";#N/A,#N/A,FALSE,"cash flow"}</definedName>
    <definedName name="_azq2" localSheetId="8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_azq2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_azq2_1" localSheetId="8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_azq2_1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_b" hidden="1">#REF!</definedName>
    <definedName name="_b111" localSheetId="7" hidden="1">{#N/A,#N/A,FALSE,"Pharm";#N/A,#N/A,FALSE,"WWCM"}</definedName>
    <definedName name="_b111" localSheetId="8" hidden="1">{#N/A,#N/A,FALSE,"Pharm";#N/A,#N/A,FALSE,"WWCM"}</definedName>
    <definedName name="_b111" hidden="1">{#N/A,#N/A,FALSE,"Pharm";#N/A,#N/A,FALSE,"WWCM"}</definedName>
    <definedName name="_b13" localSheetId="8" hidden="1">{#N/A,#N/A,FALSE,"Cover";#N/A,#N/A,FALSE,"OFF";#N/A,#N/A,FALSE," ON";#N/A,#N/A,FALSE,"SUM";#N/A,#N/A,FALSE,"VPOP-POP"}</definedName>
    <definedName name="_b13" hidden="1">{#N/A,#N/A,FALSE,"Cover";#N/A,#N/A,FALSE,"OFF";#N/A,#N/A,FALSE," ON";#N/A,#N/A,FALSE,"SUM";#N/A,#N/A,FALSE,"VPOP-POP"}</definedName>
    <definedName name="_b2" localSheetId="8" hidden="1">{"Balance Sheet",#N/A,FALSE,"102 - CBR Materials"}</definedName>
    <definedName name="_b2" hidden="1">{"Balance Sheet",#N/A,FALSE,"102 - CBR Materials"}</definedName>
    <definedName name="_b5" localSheetId="8" hidden="1">{#N/A,#N/A,FALSE,"Cover";#N/A,#N/A,FALSE,"OFF";#N/A,#N/A,FALSE," ON";#N/A,#N/A,FALSE,"SUM";#N/A,#N/A,FALSE,"VPOP-POP"}</definedName>
    <definedName name="_b5" hidden="1">{#N/A,#N/A,FALSE,"Cover";#N/A,#N/A,FALSE,"OFF";#N/A,#N/A,FALSE," ON";#N/A,#N/A,FALSE,"SUM";#N/A,#N/A,FALSE,"VPOP-POP"}</definedName>
    <definedName name="_b6" localSheetId="8" hidden="1">{#N/A,#N/A,FALSE,"Cover";#N/A,#N/A,FALSE,"OFF";#N/A,#N/A,FALSE," ON";#N/A,#N/A,FALSE,"SUM";#N/A,#N/A,FALSE,"VPOP-POP"}</definedName>
    <definedName name="_b6" hidden="1">{#N/A,#N/A,FALSE,"Cover";#N/A,#N/A,FALSE,"OFF";#N/A,#N/A,FALSE," ON";#N/A,#N/A,FALSE,"SUM";#N/A,#N/A,FALSE,"VPOP-POP"}</definedName>
    <definedName name="_b8" localSheetId="8" hidden="1">{#N/A,#N/A,FALSE,"Cover";#N/A,#N/A,FALSE,"OFF";#N/A,#N/A,FALSE," ON";#N/A,#N/A,FALSE,"SUM";#N/A,#N/A,FALSE,"VPOP-POP"}</definedName>
    <definedName name="_b8" hidden="1">{#N/A,#N/A,FALSE,"Cover";#N/A,#N/A,FALSE,"OFF";#N/A,#N/A,FALSE," ON";#N/A,#N/A,FALSE,"SUM";#N/A,#N/A,FALSE,"VPOP-POP"}</definedName>
    <definedName name="_BAL1" hidden="1">{"pq_dr",#N/A,FALSE,"PQ"}</definedName>
    <definedName name="_bb2" localSheetId="8" hidden="1">{TRUE,TRUE,31.75,28.75,446.25,227.25,FALSE,FALSE,TRUE,TRUE,0,10,#N/A,146,#N/A,8.5,14.1764705882353,1,FALSE,FALSE,1,TRUE,1,FALSE,100,"Swvu.BAL._.ONLY.","ACwvu.BAL._.ONLY.",1,FALSE,FALSE,0.75,0.75,0.5,0.5,2,"","",FALSE,FALSE,FALSE,FALSE,1,#N/A,1,4,"=R1C1:R191C15","=R1:R3",#N/A,#N/A,FALSE,FALSE}</definedName>
    <definedName name="_bb2" hidden="1">{TRUE,TRUE,31.75,28.75,446.25,227.25,FALSE,FALSE,TRUE,TRUE,0,10,#N/A,146,#N/A,8.5,14.1764705882353,1,FALSE,FALSE,1,TRUE,1,FALSE,100,"Swvu.BAL._.ONLY.","ACwvu.BAL._.ONLY.",1,FALSE,FALSE,0.75,0.75,0.5,0.5,2,"","",FALSE,FALSE,FALSE,FALSE,1,#N/A,1,4,"=R1C1:R191C15","=R1:R3",#N/A,#N/A,FALSE,FALSE}</definedName>
    <definedName name="_bbb2" localSheetId="8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_bbb2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_bbb2_1" localSheetId="8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_bbb2_1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_bdm.0077D4456AA049B399879E14F36052B6.edm" hidden="1">#REF!</definedName>
    <definedName name="_bdm.01b2c8eef40845258173427014fe8553.edm" hidden="1">#REF!</definedName>
    <definedName name="_bdm.025e9c25c7974ee582780ca02190bb99.edm" hidden="1">#REF!</definedName>
    <definedName name="_bdm.038eff88a412435093273c2c08823e63.edm" hidden="1">#REF!</definedName>
    <definedName name="_bdm.03a295cb54484103a3ba91fcf017e0ca.edm" hidden="1">#REF!</definedName>
    <definedName name="_bdm.03ff8c6313b043e4bb5acc4ecdd2ea8f.edm" hidden="1">#REF!</definedName>
    <definedName name="_bdm.0515324937a247679e9e4f2828557053.edm" hidden="1">#REF!</definedName>
    <definedName name="_bdm.052ac5b18851409aba7a7737d563e8b9.edm" hidden="1">#REF!</definedName>
    <definedName name="_bdm.052b932c683f4268a9eba024493e1d66.edm" hidden="1">#REF!</definedName>
    <definedName name="_bdm.0594b25c7bcc45c492033d01c8fb469c.edm" hidden="1">#REF!</definedName>
    <definedName name="_bdm.05dad8c723944813b8db06311c6d875c.edm" hidden="1">#REF!</definedName>
    <definedName name="_bdm.05eacb108ea2419c95eb50408ae247ec.edm" hidden="1">#REF!</definedName>
    <definedName name="_bdm.06d52dbd0d3c4e56a7e58a9977ef9051.edm" hidden="1">#REF!</definedName>
    <definedName name="_bdm.083b97217dc6444b97a8e30258ed9e1f.edm" hidden="1">#REF!</definedName>
    <definedName name="_bdm.08653da26df346f1883007e4ae1b5314.edm" hidden="1">#REF!</definedName>
    <definedName name="_bdm.08a5290807ce4afd990c327fa70c8ac6.edm" hidden="1">#REF!</definedName>
    <definedName name="_bdm.08cea61c69a9480c9521939bf55152f8.edm" hidden="1">#REF!</definedName>
    <definedName name="_bdm.08e771b4dbe34380833c4d30a579456b.edm" hidden="1">#REF!</definedName>
    <definedName name="_bdm.09f23898cea94f1b8855c4e8ae19abde.edm" hidden="1">#REF!</definedName>
    <definedName name="_bdm.0a0ec35a246548e2bf9252923ae96470.edm" hidden="1">#REF!</definedName>
    <definedName name="_bdm.0b09a09a10b945dab345e155c7620edf.edm" hidden="1">#REF!</definedName>
    <definedName name="_bdm.0b115581f8254e4da9b248eb538c2f92.edm" hidden="1">#REF!</definedName>
    <definedName name="_bdm.0bcf4f222e5e4a639fc5892425c65120.edm" hidden="1">#REF!</definedName>
    <definedName name="_bdm.0bcfbf89573643c39789708b2a52f6f7.edm" hidden="1">#REF!</definedName>
    <definedName name="_bdm.0c2f137012a541f98c57ae198c59b7c0.edm" hidden="1">#REF!</definedName>
    <definedName name="_bdm.0cc3a5fae8bf40238dd86ce769285405.edm" hidden="1">#REF!</definedName>
    <definedName name="_bdm.0de2f3bacb914a1f861518bd4d4b88c4.edm" hidden="1">#REF!</definedName>
    <definedName name="_bdm.0e233322a3ed4f318dd20ed9de67781b.edm" localSheetId="8" hidden="1">#REF!</definedName>
    <definedName name="_bdm.0e233322a3ed4f318dd20ed9de67781b.edm" hidden="1">#REF!</definedName>
    <definedName name="_bdm.0e7192db0a434ce3b08857d8caad043e.edm" hidden="1">#REF!</definedName>
    <definedName name="_bdm.0e974434e24c4cde8502035287538e62.edm" hidden="1">#REF!</definedName>
    <definedName name="_bdm.0e9a0a7d43094f81a95163047cbeebd5.edm" hidden="1">#REF!</definedName>
    <definedName name="_bdm.0eb324190356476fa82580816ace50d2.edm" hidden="1">#REF!</definedName>
    <definedName name="_bdm.0ED4A08B5EDA47BF894C650998C2B1B2.edm" localSheetId="8" hidden="1">#REF!</definedName>
    <definedName name="_bdm.0ED4A08B5EDA47BF894C650998C2B1B2.edm" hidden="1">#REF!</definedName>
    <definedName name="_bdm.0f23ba14186b41658777fc15dfa32148.edm" hidden="1">#REF!</definedName>
    <definedName name="_bdm.0f40b54d9f834def97e9b26b0b838c40.edm" hidden="1">#REF!</definedName>
    <definedName name="_bdm.111d44a0eee64d91b12d2ba637db3d93.edm" hidden="1">#REF!</definedName>
    <definedName name="_bdm.11566dc6e81e4aca8b82a44220d310e3.edm" hidden="1">#REF!</definedName>
    <definedName name="_bdm.1259d22e553a48cb86382ed09c3c7c0c.edm" hidden="1">#REF!</definedName>
    <definedName name="_bdm.1295CDE6CE3F40F1BBC224695E80B692.edm" hidden="1">#REF!</definedName>
    <definedName name="_bdm.12e9563054f34d0bb6948d6af3b5f500.edm" hidden="1">#REF!</definedName>
    <definedName name="_bdm.135973f261d749278a6f336999c575e6.edm" hidden="1">#REF!</definedName>
    <definedName name="_bdm.1363f72cef174f8f896c752493329527.edm" hidden="1">#REF!</definedName>
    <definedName name="_bdm.149ef64354da44388bdce1d06ab469d3.edm" hidden="1">#REF!</definedName>
    <definedName name="_bdm.14c05edca49e47789401a3ec516f3d12.edm" hidden="1">#REF!</definedName>
    <definedName name="_bdm.153701b152774c038186153c062a28ce.edm" hidden="1">#REF!</definedName>
    <definedName name="_bdm.170220432c85440db427ff56bade7d42.edm" hidden="1">#REF!</definedName>
    <definedName name="_bdm.1720b917d79e4d22b32b4d74f5f3f045.edm" hidden="1">#REF!</definedName>
    <definedName name="_bdm.172b190f0d8f4107b03663773cf2a06c.edm" hidden="1">#REF!</definedName>
    <definedName name="_bdm.1788941294e44a3d99039b0349c34584.edm" hidden="1">#REF!</definedName>
    <definedName name="_bdm.1798d0059cc34a83ad882cff082bf548.edm" hidden="1">#REF!</definedName>
    <definedName name="_bdm.17edf4364bd24a0d8787c925b24088f1.edm" hidden="1">#REF!</definedName>
    <definedName name="_bdm.17eea29504a848298d247c3802aa8925.edm" hidden="1">#REF!</definedName>
    <definedName name="_bdm.181920FDD12743DE8A071C76BE26BE75.edm" hidden="1">#REF!</definedName>
    <definedName name="_bdm.184098a31dca43b0abc7ae7c3eefc76c.edm" hidden="1">#REF!</definedName>
    <definedName name="_bdm.18604822d9704d9a973b59b7c4e8ea24.edm" hidden="1">#REF!</definedName>
    <definedName name="_bdm.189c8e1cb0764231be2b5514fd6e3de1.edm" hidden="1">#REF!</definedName>
    <definedName name="_bdm.189ee12a583b4a76990647de1463b2a7.edm" hidden="1">#REF!</definedName>
    <definedName name="_bdm.18badd1a290143769a18e6dcef95d0e2.edm" hidden="1">#REF!</definedName>
    <definedName name="_bdm.18ecd66b74604864a4575dce0cc478de.edm" hidden="1">#REF!</definedName>
    <definedName name="_bdm.18f55ee732844ad4be02077f3b4822ce.edm" hidden="1">#REF!</definedName>
    <definedName name="_bdm.1a0ebe9f864b4dc9ad98b653de1226dc.edm" hidden="1">#REF!</definedName>
    <definedName name="_bdm.1AAD4E865ECC44E9AF62D90D7112A73C.edm" hidden="1">#REF!</definedName>
    <definedName name="_bdm.1b440615a9314b7aa4c8e3880ac1378e.edm" hidden="1">#REF!</definedName>
    <definedName name="_bdm.1b77ee8fa61d425aa894bfa749467e76.edm" hidden="1">#REF!</definedName>
    <definedName name="_bdm.1cb0eaa8ab584261b3e7e49ee13fe044.edm" hidden="1">#REF!</definedName>
    <definedName name="_bdm.1d399bee7334428b81859850a697a1ec.edm" hidden="1">#REF!</definedName>
    <definedName name="_bdm.1d8bb80298934104b8e0f88c8a2d4765.edm" localSheetId="8" hidden="1">#REF!</definedName>
    <definedName name="_bdm.1d8bb80298934104b8e0f88c8a2d4765.edm" hidden="1">#REF!</definedName>
    <definedName name="_bdm.1d9d4828aab24584952f5ace0dc57443.edm" hidden="1">#REF!</definedName>
    <definedName name="_bdm.1E01D8A425444A46A2A005E41AC9837A.edm" hidden="1">#REF!</definedName>
    <definedName name="_bdm.1e52a6002a1449af82c130c9a23822e4.edm" hidden="1">#REF!</definedName>
    <definedName name="_bdm.1f624b72337c420cb5abfb00203d1ffa.edm" hidden="1">#REF!</definedName>
    <definedName name="_bdm.209d267178bc46bea83db3d3b327cf3a.edm" hidden="1">#REF!</definedName>
    <definedName name="_bdm.2133cf7f93934cf89da75e675b52ea0e.edm" hidden="1">#REF!</definedName>
    <definedName name="_bdm.22af9ac5623b4bf691c42960066b8208.edm" hidden="1">#REF!</definedName>
    <definedName name="_bdm.22da666eb40a4509b9c6ab97b334d121.edm" hidden="1">#REF!</definedName>
    <definedName name="_bdm.2374d72aefec4f11b527b44864a8b0c3.edm" hidden="1">#REF!</definedName>
    <definedName name="_bdm.23c2e5b8dbec4dfeb7176ceab8b78ace.edm" hidden="1">#REF!</definedName>
    <definedName name="_bdm.2484f676eb574be59326cc8289681fc6.edm" hidden="1">#REF!</definedName>
    <definedName name="_bdm.249a9272b7c343f79da811aed3b6815b.edm" hidden="1">#REF!</definedName>
    <definedName name="_bdm.24ea872c539b4d6298d675f6925ac92f.edm" hidden="1">#REF!</definedName>
    <definedName name="_bdm.24f32d8e73c5441287b0b0d3a3e8dd11.edm" hidden="1">#REF!</definedName>
    <definedName name="_bdm.2502e07c77204c5ea4b6d266bcdc1b87.edm" hidden="1">#REF!</definedName>
    <definedName name="_bdm.272b87b52077401ebf08717ba6bb33ed.edm" hidden="1">#REF!</definedName>
    <definedName name="_bdm.2740b374ee1a484a91c8b5b11d350844.edm" hidden="1">#REF!</definedName>
    <definedName name="_bdm.2861d46c352f4601a571bae7a9fdaf39.edm" localSheetId="7" hidden="1">#REF!</definedName>
    <definedName name="_bdm.2861d46c352f4601a571bae7a9fdaf39.edm" hidden="1">#REF!</definedName>
    <definedName name="_bdm.28fb73c7835544e08f3d3a45526fe319.edm" hidden="1">#REF!</definedName>
    <definedName name="_bdm.294f26e11ef747f09dff983a51ea2ebd.edm" hidden="1">#REF!</definedName>
    <definedName name="_bdm.29635374d0714322a4144e4f0fbfc048.edm" hidden="1">#REF!</definedName>
    <definedName name="_bdm.29cf502153364e60850c28d5d60685db.edm" hidden="1">#REF!</definedName>
    <definedName name="_bdm.29d150cfec4543cea9dc4487e8a9818f.edm" hidden="1">#REF!</definedName>
    <definedName name="_bdm.2a1db33fa8534c329c9b09749e52945f.edm" hidden="1">#REF!</definedName>
    <definedName name="_bdm.2a24d823ae2444e88486c779625b448c.edm" hidden="1">#REF!</definedName>
    <definedName name="_bdm.2aa4fdbf96844fce871dfeab23bfefdd.edm" hidden="1">#REF!</definedName>
    <definedName name="_bdm.2aa7ce6d9fb84c8ab7bdc62982385a86.edm" hidden="1">#REF!</definedName>
    <definedName name="_bdm.2ab2dba0cab14880beec31897d8378e5.edm" localSheetId="8" hidden="1">#REF!</definedName>
    <definedName name="_bdm.2ab2dba0cab14880beec31897d8378e5.edm" hidden="1">#REF!</definedName>
    <definedName name="_bdm.2acea3c506374214b3ab29e566b182dd.edm" hidden="1">#REF!</definedName>
    <definedName name="_bdm.2b098faab6554d01a45e31736ab22a9d.edm" hidden="1">#REF!</definedName>
    <definedName name="_bdm.2b125b15051440caa31dc225494154e1.edm" hidden="1">#REF!</definedName>
    <definedName name="_bdm.2B8A4DFC10284465A7A468B4F3A78532.edm" hidden="1">#REF!</definedName>
    <definedName name="_bdm.2bfa6e74d97646ee877d74af520fd3da.edm" hidden="1">#REF!</definedName>
    <definedName name="_bdm.2e0053afb5e74cb18d473f612baee40a.edm" hidden="1">#REF!</definedName>
    <definedName name="_bdm.2e3b17aaa90b46ab85bc41f48cd1c552.edm" hidden="1">#REF!</definedName>
    <definedName name="_bdm.2f09f71694b047cd99ce0da153bc7f8e.edm" hidden="1">#REF!</definedName>
    <definedName name="_bdm.2f21e309e6ec492095a99d23899e261f.edm" hidden="1">#REF!</definedName>
    <definedName name="_bdm.2f4002e4005f437f87b7b24f31e1b42c.edm" hidden="1">#REF!</definedName>
    <definedName name="_bdm.2f8791a4f7d64ce89ee60b0a50c32c0f.edm" hidden="1">#REF!</definedName>
    <definedName name="_bdm.2f8c52cfe1db447f8d6c34e3ca669be1.edm" hidden="1">#REF!</definedName>
    <definedName name="_bdm.2ffb0fae2bc64dcda90fb20d9bf59057.edm" hidden="1">#REF!</definedName>
    <definedName name="_bdm.3036ad78ba1e40cba6322bbb90b45944.edm" hidden="1">#REF!</definedName>
    <definedName name="_bdm.30cb74e9530a4f96ac42d9221ec6f0cd.edm" hidden="1">#REF!</definedName>
    <definedName name="_bdm.31123594f66245629c7df68deae6c178.edm" hidden="1">#REF!</definedName>
    <definedName name="_bdm.321d32e61c304fbda330757809e35bf3.edm" hidden="1">#REF!</definedName>
    <definedName name="_bdm.3281838136364E0B90C6ACA8D55D5D35.edm" hidden="1">#N/A</definedName>
    <definedName name="_bdm.330be9d73b144c1c82223763e74ce678.edm" hidden="1">#REF!</definedName>
    <definedName name="_bdm.33f4c754e8264d4fa9db29dc83dba539.edm" hidden="1">#REF!</definedName>
    <definedName name="_bdm.340b3d066fc84bd5b301e4e8952a0e06.edm" hidden="1">#REF!</definedName>
    <definedName name="_bdm.3427c602e870471f81a61fb5cf0879d0.edm" hidden="1">#REF!</definedName>
    <definedName name="_bdm.34dab52c2c34456b8a90a2ae12a6e6c2.edm" hidden="1">#REF!</definedName>
    <definedName name="_bdm.34f917f98157437981e3adb4a61e2904.edm" hidden="1">#REF!</definedName>
    <definedName name="_bdm.3505e348d12b4ca8850d04c1fbf9cdc2.edm" hidden="1">#REF!</definedName>
    <definedName name="_bdm.3581067759514ef58deb3a337ea25d66.edm" hidden="1">#REF!</definedName>
    <definedName name="_bdm.35eb39094901447599e53569c7c70dc3.edm" hidden="1">#REF!</definedName>
    <definedName name="_bdm.36118a302c8d49dcb7309f658f63f04d.edm" localSheetId="8" hidden="1">#REF!</definedName>
    <definedName name="_bdm.36118a302c8d49dcb7309f658f63f04d.edm" hidden="1">#REF!</definedName>
    <definedName name="_bdm.3619B6B6A7424DDB9789A2EDFE021CB5.edm" localSheetId="8" hidden="1">#REF!</definedName>
    <definedName name="_bdm.3619B6B6A7424DDB9789A2EDFE021CB5.edm" hidden="1">#REF!</definedName>
    <definedName name="_bdm.37330ffa54324647a17f1a359e8c4f84.edm" hidden="1">#REF!</definedName>
    <definedName name="_bdm.3766d744316a441fa46be774414e7ac5.edm" hidden="1">#REF!</definedName>
    <definedName name="_bdm.3785a82b5289439896a662329e86f0d5.edm" hidden="1">#REF!</definedName>
    <definedName name="_bdm.37f769dcf058440a9acbf3e76fa104f0.edm" hidden="1">#REF!</definedName>
    <definedName name="_bdm.39034aa14d5548eba902b223771001a1.edm" hidden="1">#REF!</definedName>
    <definedName name="_bdm.3987cc59725549b0893731069aece5d7.edm" hidden="1">#REF!</definedName>
    <definedName name="_bdm.3a0503c4bebf402490b0f12665bb019b.edm" hidden="1">#REF!</definedName>
    <definedName name="_bdm.3a8a78ecb1a04f18ab909a7a5324e5fb.edm" hidden="1">#REF!</definedName>
    <definedName name="_bdm.3a9f189873ba4429ba49c7872c20e6ee.edm" hidden="1">#REF!</definedName>
    <definedName name="_bdm.3b438f3e27aa49e59b81694323d6c373.edm" localSheetId="8" hidden="1">#REF!</definedName>
    <definedName name="_bdm.3b438f3e27aa49e59b81694323d6c373.edm" hidden="1">#REF!</definedName>
    <definedName name="_bdm.3bbb84803a324049935fb8eaaa2577ec.edm" hidden="1">#REF!</definedName>
    <definedName name="_bdm.3c827d32bafe49ec8c3c85b58394fd0e.edm" hidden="1">#REF!</definedName>
    <definedName name="_bdm.3de3a85a30f54ac394306e4ba751cad7.edm" hidden="1">#REF!</definedName>
    <definedName name="_bdm.3f1da9dc6d1e4036ba5d47674741a616.edm" hidden="1">#REF!</definedName>
    <definedName name="_bdm.3f3f6c5d1c8d47fea705ffda6de6f70d.edm" hidden="1">#REF!</definedName>
    <definedName name="_bdm.3f6af85a7fe34e00889b8a297cb39197.edm" hidden="1">#REF!</definedName>
    <definedName name="_bdm.3fec382cb4294e628092674101ded9d1.edm" hidden="1">#REF!</definedName>
    <definedName name="_bdm.4271A8B5966F4D9BAB421D40977C4126.edm" hidden="1">#REF!</definedName>
    <definedName name="_bdm.42747cc0a1f34dd789ec76b054bd8e86.edm" hidden="1">#REF!</definedName>
    <definedName name="_bdm.42b290d63d3a4697bbaaec2e8012a508.edm" hidden="1">#REF!</definedName>
    <definedName name="_bdm.430d2e09b227403893c0e063fced440f.edm" hidden="1">#REF!</definedName>
    <definedName name="_bdm.4331acff47214b2e9a5a7bbefaaf1071.edm" hidden="1">#REF!</definedName>
    <definedName name="_bdm.43894d6c6c274b89bf06bc2df1e03311.edm" hidden="1">#REF!</definedName>
    <definedName name="_bdm.444bb9ee8bf74d599cdd4d8f3d113b24.edm" hidden="1">#REF!</definedName>
    <definedName name="_bdm.44612317df9f4f738e39a855e9c2d405.edm" hidden="1">#REF!</definedName>
    <definedName name="_bdm.44f1154bfebd4d48b783386bfbeacab9.edm" hidden="1">#REF!</definedName>
    <definedName name="_bdm.44ffd00b0f974c74846c25370f0c757e.edm" hidden="1">#REF!</definedName>
    <definedName name="_bdm.45625c731ba944b89f67fc63fb300e01.edm" hidden="1">#REF!</definedName>
    <definedName name="_bdm.460de9a1ff3140e48d25dd5c14e51acc.edm" hidden="1">#REF!</definedName>
    <definedName name="_bdm.4624399532024010b5378c0c39927dbf.edm" hidden="1">#REF!</definedName>
    <definedName name="_bdm.471c2bb20cce4be982ee001fff54ce8b.edm" localSheetId="8" hidden="1">#REF!</definedName>
    <definedName name="_bdm.471c2bb20cce4be982ee001fff54ce8b.edm" hidden="1">#REF!</definedName>
    <definedName name="_bdm.47aafba295504bf4be68fc43e590ef85.edm" hidden="1">#REF!</definedName>
    <definedName name="_bdm.4854fe92cea841f89e6ae52122d6a157.edm" hidden="1">#REF!</definedName>
    <definedName name="_bdm.485f2921c5644057b408f367f4403939.edm" hidden="1">#REF!</definedName>
    <definedName name="_bdm.48a4263dd464407db1470226e71456df.edm" hidden="1">#REF!</definedName>
    <definedName name="_bdm.48a73d8feec04f3baf72643e1fb4c41f.edm" hidden="1">#REF!</definedName>
    <definedName name="_bdm.48f4f01e22f14c67b90a5621b7716d73.edm" hidden="1">#REF!</definedName>
    <definedName name="_bdm.4a1138b3f8fc42e39b7aed8ce1965113.edm" hidden="1">#REF!</definedName>
    <definedName name="_bdm.4a95b79ca6e14488afa9b09296d45cfb.edm" hidden="1">#REF!</definedName>
    <definedName name="_bdm.4a9f19f53777420b805025c1c4731348.edm" hidden="1">#REF!</definedName>
    <definedName name="_bdm.4b4285f4a26a4c89999a7d6009d96473.edm" hidden="1">#REF!</definedName>
    <definedName name="_bdm.4c36e9f056a34cd5a241b7f4ee75f831.edm" hidden="1">#REF!</definedName>
    <definedName name="_bdm.4cba14e3b7334c02878ccc2d4acc389d.edm" localSheetId="8" hidden="1">#REF!</definedName>
    <definedName name="_bdm.4cba14e3b7334c02878ccc2d4acc389d.edm" hidden="1">#REF!</definedName>
    <definedName name="_bdm.4d203748d5ee4b4ba146cbf1c621327b.edm" hidden="1">#REF!</definedName>
    <definedName name="_bdm.4dc65186bce142009a891ee6f2444ca6.edm" hidden="1">#REF!</definedName>
    <definedName name="_bdm.4df2b6aff9614db9912c4ba47cee505f.edm" hidden="1">#REF!</definedName>
    <definedName name="_bdm.4e556c67453f42cbbb070d25f460605a.edm" hidden="1">#REF!</definedName>
    <definedName name="_bdm.4f07421edcf24bc3a0d163c3e4c19a69.edm" hidden="1">#REF!</definedName>
    <definedName name="_bdm.4f7605cb843d4a63ae1270d672e919d4.edm" hidden="1">#REF!</definedName>
    <definedName name="_bdm.5014e147d9994b638504371f63c09a02.edm" hidden="1">#REF!</definedName>
    <definedName name="_bdm.50229e2ea25546d09d46292df6290cc7.edm" hidden="1">#REF!</definedName>
    <definedName name="_bdm.50b0fb66b71540c2abba0a067002f878.edm" hidden="1">#REF!</definedName>
    <definedName name="_bdm.50c5bf5f67cf4b9ca7a05ca4de11f379.edm" hidden="1">#REF!</definedName>
    <definedName name="_bdm.5118bb4989ec4b98b20f8ce6ce285e41.edm" hidden="1">#REF!</definedName>
    <definedName name="_bdm.52862023b0e64b978b37ace73d4b0926.edm" hidden="1">#REF!</definedName>
    <definedName name="_bdm.53c8659cdf174818908cdbfd7b876a54.edm" hidden="1">#REF!</definedName>
    <definedName name="_bdm.554d15615e8d441eb0e53ae09cfd0309.edm" hidden="1">#REF!</definedName>
    <definedName name="_bdm.559e88fb92d14043b1b1c5d1fde1ebc0.edm" hidden="1">#REF!</definedName>
    <definedName name="_bdm.56026fecbb8744cdb39d593165c2c027.edm" localSheetId="8" hidden="1">#REF!</definedName>
    <definedName name="_bdm.56026fecbb8744cdb39d593165c2c027.edm" hidden="1">#REF!</definedName>
    <definedName name="_bdm.5685d94b844045a994cdb265a6bd8d26.edm" hidden="1">#REF!</definedName>
    <definedName name="_bdm.575cb877f6a544caa69f666b390acf1b.edm" hidden="1">#REF!</definedName>
    <definedName name="_bdm.58620c55378b4d9fa2eec052c9b0ecd7.edm" localSheetId="8" hidden="1">#REF!</definedName>
    <definedName name="_bdm.58620c55378b4d9fa2eec052c9b0ecd7.edm" hidden="1">#REF!</definedName>
    <definedName name="_bdm.58a9197464284a5aababf83e5857ef30.edm" hidden="1">#REF!</definedName>
    <definedName name="_bdm.59efb0026b654275868467bcce959f39.edm" hidden="1">#REF!</definedName>
    <definedName name="_bdm.5ac4130a200044aaa2b775f6d8f91793.edm" hidden="1">#REF!</definedName>
    <definedName name="_bdm.5acecc03cca943438be4ddbe4d29a789.edm" hidden="1">#REF!</definedName>
    <definedName name="_bdm.5b007d31cd3541f38272b160598d25c7.edm" hidden="1">#REF!</definedName>
    <definedName name="_bdm.5b8c366e86854838b2edc07b8f8efbdd.edm" hidden="1">#REF!</definedName>
    <definedName name="_bdm.5be5f0e261374c1293c4cb8b8affa55e.edm" hidden="1">#REF!</definedName>
    <definedName name="_bdm.5dc14549c10a47af94352171a79b88bd.edm" hidden="1">#REF!</definedName>
    <definedName name="_bdm.5DC51A8E33414A65B2B3B69B9E228CCA.edm" hidden="1">#REF!</definedName>
    <definedName name="_bdm.5ee62df070e44f429231219d3cf70c37.edm" hidden="1">#REF!</definedName>
    <definedName name="_bdm.5ee69d4d7d6a4b12bee36a16dda60d13.edm" hidden="1">#REF!</definedName>
    <definedName name="_bdm.5f2bada8cda945f4b220ef02c9f3ed6a.edm" hidden="1">#REF!</definedName>
    <definedName name="_bdm.5F753BE48789486DBDC3331152511640.edm" hidden="1">#REF!</definedName>
    <definedName name="_bdm.5fa9e3366b504b15bbe9ff79ffbbaa8e.edm" hidden="1">#REF!</definedName>
    <definedName name="_bdm.608a8ed29345498aba125d1a9df8f0b7.edm" hidden="1">#REF!</definedName>
    <definedName name="_bdm.60BF04118A0B4443B4FD280E240CB0EC.edm" hidden="1">#REF!</definedName>
    <definedName name="_bdm.61a3eec562ce483ba7b22b4534e44c28.edm" hidden="1">#REF!</definedName>
    <definedName name="_bdm.628e4fb62445435d80a4fd48c9aa996d.edm" localSheetId="7" hidden="1">#REF!</definedName>
    <definedName name="_bdm.628e4fb62445435d80a4fd48c9aa996d.edm" hidden="1">#REF!</definedName>
    <definedName name="_bdm.62df88413ecd4a9c8a18326db081ac41.edm" hidden="1">#REF!</definedName>
    <definedName name="_bdm.632853052f5e4df9a4d2dbf9739ec23c.edm" hidden="1">#REF!</definedName>
    <definedName name="_bdm.63b72222c3934536b00840180bb065f8.edm" localSheetId="8" hidden="1">#REF!</definedName>
    <definedName name="_bdm.63b72222c3934536b00840180bb065f8.edm" hidden="1">#REF!</definedName>
    <definedName name="_bdm.64252d899f364facab972cf7099f74b8.edm" hidden="1">#REF!</definedName>
    <definedName name="_bdm.65aa7e9438c2476599077d0f4debfc6c.edm" hidden="1">#REF!</definedName>
    <definedName name="_bdm.6624fe1093ec44bd81aa74c0b29b7eed.edm" hidden="1">#REF!</definedName>
    <definedName name="_bdm.665a77f25e264e509d8159f0b8bcdf88.edm" hidden="1">#REF!</definedName>
    <definedName name="_bdm.666f83f29b25423ca62593dc2b6097f3.edm" hidden="1">#REF!</definedName>
    <definedName name="_bdm.66c4350723fd4a5fae45f05d8bb1f500.edm" hidden="1">#REF!</definedName>
    <definedName name="_bdm.66d1bf626dfe45d9bdcf57b0f41ee26a.edm" hidden="1">#REF!</definedName>
    <definedName name="_bdm.686590ec0d504e31ad07677cd6c37dee.edm" hidden="1">#REF!</definedName>
    <definedName name="_bdm.6a6a390008e54a3a9c7d9d1d3dbbfeda.edm" hidden="1">#REF!</definedName>
    <definedName name="_bdm.6B514E6225424F7E84F19E682683D926.edm" hidden="1">#REF!</definedName>
    <definedName name="_bdm.6c17ddc060104600bfb582022bdf4b17.edm" hidden="1">#REF!</definedName>
    <definedName name="_bdm.6d50dd2bce3942daab3e0bc0c3945c2d.edm" hidden="1">#REF!</definedName>
    <definedName name="_bdm.6d8cc2ec99f54f00bb7a3cb3d37eb8f3.edm" hidden="1">#REF!</definedName>
    <definedName name="_bdm.6e1fe22442274eca8b730d876deb76ed.edm" hidden="1">#REF!</definedName>
    <definedName name="_bdm.6e4c92bf646342a1aa1646dbc826a385.edm" hidden="1">#REF!</definedName>
    <definedName name="_bdm.6ec3b0f8e8e941cea25634f5d11b08c4.edm" hidden="1">#REF!</definedName>
    <definedName name="_bdm.6f1cfdd41f6144ae860d39dee11bd942.edm" hidden="1">#REF!</definedName>
    <definedName name="_bdm.6f2016b87b4b441faba3b0083038b614.edm" hidden="1">#REF!</definedName>
    <definedName name="_bdm.70606bede4ee4e4f8d7dafe73eca9f72.edm" hidden="1">#REF!</definedName>
    <definedName name="_bdm.70f2b723843c4308b553906ae6965c25.edm" hidden="1">#REF!</definedName>
    <definedName name="_bdm.70f6d081a6f34d6f97644c2bcbbdc176.edm" hidden="1">#REF!</definedName>
    <definedName name="_bdm.7106e48519b748139d5e46754f1d09e2.edm" localSheetId="8" hidden="1">#REF!</definedName>
    <definedName name="_bdm.7106e48519b748139d5e46754f1d09e2.edm" hidden="1">#REF!</definedName>
    <definedName name="_bdm.711e15fb7bc347a18b5c0ed815c6e5ec.edm" localSheetId="8" hidden="1">#REF!</definedName>
    <definedName name="_bdm.711e15fb7bc347a18b5c0ed815c6e5ec.edm" hidden="1">#REF!</definedName>
    <definedName name="_bdm.715ae21787ab44e595417af071a4f038.edm" hidden="1">#REF!</definedName>
    <definedName name="_bdm.7336037e86c347acb888feacf20875d7.edm" hidden="1">#REF!</definedName>
    <definedName name="_bdm.739d17a549454af0ac2bf8ce97197320.edm" hidden="1">#REF!</definedName>
    <definedName name="_bdm.747772b0531c4fec842eadbe0406034c.edm" hidden="1">#REF!</definedName>
    <definedName name="_bdm.74a0f54dc9014080ac27bc9c4e957df3.edm" hidden="1">#REF!</definedName>
    <definedName name="_bdm.74fc22ee70484ac3a992b1fcd3c6c579.edm" hidden="1">#REF!</definedName>
    <definedName name="_bdm.750c98011936454cb32e2c03b14b7c80.edm" hidden="1">#REF!</definedName>
    <definedName name="_bdm.750F21B81E6940CBBFAC4B5A1D1A383B.edm" hidden="1">#REF!</definedName>
    <definedName name="_bdm.7564c9a2bbc0458eb7c09931f041f255.edm" hidden="1">#REF!</definedName>
    <definedName name="_bdm.758cf0c9ec264877970398d233079587.edm" hidden="1">#REF!</definedName>
    <definedName name="_bdm.75cf99ac16ed46919b98f4c6e06c1c14.edm" hidden="1">#REF!</definedName>
    <definedName name="_bdm.75ff25c28abe4759b348724cfb5f8458.edm" hidden="1">#REF!</definedName>
    <definedName name="_bdm.76538c5ef796463ea43dd995ed0114d9.edm" hidden="1">#REF!</definedName>
    <definedName name="_bdm.7698fc61d138479295bdb6fa24985d82.edm" hidden="1">#REF!</definedName>
    <definedName name="_bdm.770af7be530147ae90a141ebe3f84f7e.edm" hidden="1">#REF!</definedName>
    <definedName name="_bdm.7717e9ab3d664b4c81bb722d001c5cc2.edm" localSheetId="8" hidden="1">#REF!</definedName>
    <definedName name="_bdm.7717e9ab3d664b4c81bb722d001c5cc2.edm" hidden="1">#REF!</definedName>
    <definedName name="_bdm.781461c92ea54a39984007953af04cd2.edm" hidden="1">#REF!</definedName>
    <definedName name="_bdm.78ba0dbb774e4838bad63aac8f1b92d3.edm" hidden="1">#REF!</definedName>
    <definedName name="_bdm.78e54f5d3efb4746b9aeba175d756e64.edm" hidden="1">#REF!</definedName>
    <definedName name="_bdm.7ad17da4184a4bf0a76f0525d84a7b7a.edm" hidden="1">#REF!</definedName>
    <definedName name="_bdm.7B2A5C077BD747618907BF2F1DAF4767.edm" hidden="1">#REF!</definedName>
    <definedName name="_bdm.7bab3f86ac7a464a8fc415de1f587df0.edm" hidden="1">#REF!</definedName>
    <definedName name="_bdm.7bcadc54a0b5437f8eb433e4902cea54.edm" hidden="1">#REF!</definedName>
    <definedName name="_bdm.7bcbc54de04b4c6fa75b5de73c8f50c4.edm" hidden="1">#REF!</definedName>
    <definedName name="_bdm.7c308f7286d84020a4c404c9d78e4414.edm" hidden="1">#REF!</definedName>
    <definedName name="_bdm.7ccbaf39896d4a849de99fa7041dc544.edm" hidden="1">#REF!</definedName>
    <definedName name="_bdm.7d14f7f7654a4e6ebf6da6b04cb83e32.edm" hidden="1">#REF!</definedName>
    <definedName name="_bdm.7d983c22d7ed4b2795438a99347613ec.edm" hidden="1">#REF!</definedName>
    <definedName name="_bdm.7df3b8cd993f4a0fada4ed2a2844b7f8.edm" hidden="1">#REF!</definedName>
    <definedName name="_bdm.7e34e65566ae4b239662d0bfe93dc659.edm" hidden="1">#REF!</definedName>
    <definedName name="_bdm.7f2f2e66b39e4f78baf9062df5ca45dd.edm" hidden="1">#REF!</definedName>
    <definedName name="_bdm.7f43834924a04837b0ededffcfd95fe6.edm" hidden="1">#REF!</definedName>
    <definedName name="_bdm.7ff022c3492a4992b386a16ba62cd79a.edm" hidden="1">#REF!</definedName>
    <definedName name="_bdm.80564c53f38a41e2b3229cf696d78817.edm" hidden="1">#REF!</definedName>
    <definedName name="_bdm.806a327bd1e842e8946077b6d84e2b77.edm" localSheetId="8" hidden="1">#REF!</definedName>
    <definedName name="_bdm.806a327bd1e842e8946077b6d84e2b77.edm" hidden="1">#REF!</definedName>
    <definedName name="_bdm.809879de2f634320bf2396137958a0a2.edm" hidden="1">#REF!</definedName>
    <definedName name="_bdm.81cd18a1636446c7a057bf1b7c0081b7.edm" hidden="1">#REF!</definedName>
    <definedName name="_bdm.81ef8f82592242f3962111713155a71a.edm" hidden="1">#REF!</definedName>
    <definedName name="_bdm.82261deb1054493187cf413d38d41f9c.edm" hidden="1">#REF!</definedName>
    <definedName name="_bdm.82605a1987c7490ca6b2d0e36783e05a.edm" hidden="1">#REF!</definedName>
    <definedName name="_bdm.829a91dbba8348c5817c15637365b8c4.edm" hidden="1">#REF!</definedName>
    <definedName name="_bdm.82d678da85214c708ed3831304cddd9e.edm" hidden="1">#REF!</definedName>
    <definedName name="_bdm.82f37d096b264c6dbd8a4b356a66c546.edm" hidden="1">#REF!</definedName>
    <definedName name="_bdm.82f446f72505402887dc91d558cc48d2.edm" hidden="1">#REF!</definedName>
    <definedName name="_bdm.83388014266d4183b427ca81fdb23a38.edm" hidden="1">#REF!</definedName>
    <definedName name="_bdm.83b1d42142bb4f6da778d4a11f056ca9.edm" hidden="1">#REF!</definedName>
    <definedName name="_bdm.84D87C2383A04C829026C19F07C2EA4A.edm" localSheetId="7" hidden="1">#REF!</definedName>
    <definedName name="_bdm.84D87C2383A04C829026C19F07C2EA4A.edm" hidden="1">#REF!</definedName>
    <definedName name="_bdm.855f94f5d0ae4eb29d19cd15c9d1233d.edm" hidden="1">#REF!</definedName>
    <definedName name="_bdm.85e76bece55f4427b0012279bfbd5691.edm" hidden="1">#REF!</definedName>
    <definedName name="_bdm.86245ef200ad44f0b961024b04c0b203.edm" hidden="1">#REF!</definedName>
    <definedName name="_bdm.86479a4e3f9e4f6589f62bb7e41ef5a0.edm" hidden="1">#REF!</definedName>
    <definedName name="_bdm.868830ea10d3478891e2bf8db3567ad3.edm" hidden="1">#REF!</definedName>
    <definedName name="_bdm.86dd2580782a43bf95a4278d9b28d0ec.edm" hidden="1">#REF!</definedName>
    <definedName name="_bdm.874b931fc59b4fefbaea87f0ffa6b23a.edm" hidden="1">#REF!</definedName>
    <definedName name="_bdm.87613c9edfdc46749f8e4d51d9ec7bba.edm" hidden="1">#REF!</definedName>
    <definedName name="_bdm.8769ddb5e0b94d56b15609fe63aa8e71.edm" hidden="1">#REF!</definedName>
    <definedName name="_bdm.87c274534aca4b2983ae48d0999b8948.edm" hidden="1">#REF!</definedName>
    <definedName name="_bdm.88397cc844734940989e632c50ec2c4c.edm" hidden="1">#REF!</definedName>
    <definedName name="_bdm.892a9fc87d2049e5947aab31f7977a64.edm" localSheetId="8" hidden="1">#REF!</definedName>
    <definedName name="_bdm.892a9fc87d2049e5947aab31f7977a64.edm" hidden="1">#REF!</definedName>
    <definedName name="_bdm.8981aa2ad0b440da88c4da6635565e32.edm" hidden="1">#REF!</definedName>
    <definedName name="_bdm.8a0a4aafdca4484e91b535d0811eb4de.edm" hidden="1">#REF!</definedName>
    <definedName name="_bdm.8a194a553ae54aadaf0f42142cb9ffe6.edm" hidden="1">#REF!</definedName>
    <definedName name="_bdm.8a415891b41a458bbfd58ef74999942a.edm" hidden="1">#REF!</definedName>
    <definedName name="_bdm.8a58ea6c47d3411c8e91525dc0218c07.edm" hidden="1">#REF!</definedName>
    <definedName name="_bdm.8ace09fd55b6489191eda96e8004aa8d.edm" localSheetId="8" hidden="1">#REF!</definedName>
    <definedName name="_bdm.8ace09fd55b6489191eda96e8004aa8d.edm" hidden="1">#REF!</definedName>
    <definedName name="_bdm.8b58756c5d814edca7de5eb03708a077.edm" hidden="1">#REF!</definedName>
    <definedName name="_bdm.8c441f54ff7f4530bdc4b439c9639708.edm" hidden="1">#REF!</definedName>
    <definedName name="_bdm.8c837acd5eb74b178f69eeee61cc38fa.edm" hidden="1">#REF!</definedName>
    <definedName name="_bdm.8cc3e0bf63a8411e9edb1a088c9ba664.edm" hidden="1">#REF!</definedName>
    <definedName name="_bdm.8edcdca308984c54b47282e92aa53820.edm" hidden="1">#REF!</definedName>
    <definedName name="_bdm.8F176CCE772945D48995B40C3820890E.edm" localSheetId="8" hidden="1">#REF!</definedName>
    <definedName name="_bdm.8F176CCE772945D48995B40C3820890E.edm" hidden="1">#REF!</definedName>
    <definedName name="_bdm.9014a607ef8546e3a56b69a6362b556e.edm" hidden="1">#REF!</definedName>
    <definedName name="_bdm.92b1ef447da84bd5a021a40aedbe7634.edm" hidden="1">#REF!</definedName>
    <definedName name="_bdm.93b4a738bf164cfb8a2153988222b8a6.edm" hidden="1">#REF!</definedName>
    <definedName name="_bdm.9459691fe9b243b4a40d0c5060ad7692.edm" hidden="1">#REF!</definedName>
    <definedName name="_bdm.94bbe5e6385a4eacb0af3dbaaea92c1e.edm" hidden="1">#REF!</definedName>
    <definedName name="_bdm.964b3b47f2544d81a6fb15f1caaaf34f.edm" hidden="1">#REF!</definedName>
    <definedName name="_bdm.96F992CA1A4E4B02AF3495720438CCE1.edm" hidden="1">#REF!</definedName>
    <definedName name="_bdm.975c134fdf3844239ba3c930bf91dcdd.edm" hidden="1">#REF!</definedName>
    <definedName name="_bdm.97667a95c4e2432bb3c8f14182e6f396.edm" hidden="1">#REF!</definedName>
    <definedName name="_bdm.9771bcbb24984610bbbf3e578ee7df8c.edm" hidden="1">#REF!</definedName>
    <definedName name="_bdm.97e3bb383d154d41b4286d959b9fd3ee.edm" hidden="1">#REF!</definedName>
    <definedName name="_bdm.985db5da0aef4e0783398f13f1e06805.edm" hidden="1">#REF!</definedName>
    <definedName name="_bdm.9908bd82c265458bb2e398eb794f59bc.edm" hidden="1">#REF!</definedName>
    <definedName name="_bdm.996140423f4340a3998f6a55421b5447.edm" hidden="1">#REF!</definedName>
    <definedName name="_bdm.99b4e8699c494fa7a213180e59bf3103.edm" hidden="1">#REF!</definedName>
    <definedName name="_bdm.9A4B4351AB5D4B45B734729A0AD27EC8.edm" hidden="1">#REF!</definedName>
    <definedName name="_bdm.9AA7ACAD6AE748899D860C8BA92002EB.edm" localSheetId="8" hidden="1">#REF!</definedName>
    <definedName name="_bdm.9AA7ACAD6AE748899D860C8BA92002EB.edm" hidden="1">#REF!</definedName>
    <definedName name="_bdm.9aea24f75bbb42bf8f901d2b52c94455.edm" hidden="1">#REF!</definedName>
    <definedName name="_bdm.9b87193a32884c2695cc7c28c3a89fe6.edm" hidden="1">#REF!</definedName>
    <definedName name="_bdm.9b8bc45d1a9245f69baea5faecb0a19b.edm" hidden="1">#REF!</definedName>
    <definedName name="_bdm.9bac8240d2c946f5bc7c1d5bde6a20eb.edm" hidden="1">#REF!</definedName>
    <definedName name="_bdm.9d5781c6cfbc409e8bcbf30426401fd3.edm" hidden="1">#REF!</definedName>
    <definedName name="_bdm.9de4b26b1a754f94be0a8e5a9ce09ba9.edm" hidden="1">#REF!</definedName>
    <definedName name="_bdm.9e0f302d963d4dc8a88548bc39406cb6.edm" localSheetId="8" hidden="1">#REF!</definedName>
    <definedName name="_bdm.9e0f302d963d4dc8a88548bc39406cb6.edm" hidden="1">#REF!</definedName>
    <definedName name="_bdm.9fae5021e87a4146bde63874060873d9.edm" hidden="1">#REF!</definedName>
    <definedName name="_bdm.9fbf5688e5734649a1b00525f75c03b5.edm" hidden="1">#REF!</definedName>
    <definedName name="_bdm.a000c8f855ba489eb168535323a3f0ca.edm" hidden="1">#REF!</definedName>
    <definedName name="_bdm.A0431F56CA974521916FDED0A98DF798.edm" hidden="1">#REF!</definedName>
    <definedName name="_bdm.a04a8bfe859349ebb6b21e17ac6bb0e7.edm" hidden="1">#REF!</definedName>
    <definedName name="_bdm.a0da1436e00b4da9b199340e711fe884.edm" hidden="1">#REF!</definedName>
    <definedName name="_bdm.a1184cfd27c742b6b754a495e4fabd34.edm" hidden="1">#REF!</definedName>
    <definedName name="_bdm.a17626e1acd94289ae99f919f1d87cc2.edm" hidden="1">#REF!</definedName>
    <definedName name="_bdm.a196445af66240879bb1ae0452488605.edm" localSheetId="8" hidden="1">#REF!</definedName>
    <definedName name="_bdm.a196445af66240879bb1ae0452488605.edm" hidden="1">#REF!</definedName>
    <definedName name="_bdm.a25844d13e0b4830aee74091a391e177.edm" hidden="1">#REF!</definedName>
    <definedName name="_bdm.a37d844fa6fe4fd08f55f67e1a08ad97.edm" hidden="1">#REF!</definedName>
    <definedName name="_bdm.a3c94e46195d48ab9a1d83a4551811de.edm" localSheetId="8" hidden="1">#REF!</definedName>
    <definedName name="_bdm.a3c94e46195d48ab9a1d83a4551811de.edm" hidden="1">#REF!</definedName>
    <definedName name="_bdm.a40dd9ad78ae44c7957f83f3f8cadfdb.edm" hidden="1">#REF!</definedName>
    <definedName name="_bdm.a650ee5bb9684b9fb3525f74a2830bd6.edm" hidden="1">#REF!</definedName>
    <definedName name="_bdm.a72d1fd0d4c24af4bb4ee220b5a1419e.edm" hidden="1">#REF!</definedName>
    <definedName name="_bdm.a766317e96cf4e648e6539a4cd65df29.edm" hidden="1">#REF!</definedName>
    <definedName name="_bdm.a7fdabc8294b446584705a0b75b49bbe.edm" hidden="1">#REF!</definedName>
    <definedName name="_bdm.a86fba4b0cfc407a93d804a6319a97fb.edm" hidden="1">#REF!</definedName>
    <definedName name="_bdm.A88AB5198E8846E593A5A85978794DFA.edm" hidden="1">#REF!</definedName>
    <definedName name="_bdm.a8b3a02e037645cb8d8ce467120e375f.edm" hidden="1">#REF!</definedName>
    <definedName name="_bdm.a8df65ab7e8449dbb66954eb148bb170.edm" hidden="1">#REF!</definedName>
    <definedName name="_bdm.A91267634D634703AD40C9662CA34EFD.edm" hidden="1">#REF!</definedName>
    <definedName name="_bdm.a9700bda6d5b48b2ad80e3fd98250667.edm" hidden="1">#REF!</definedName>
    <definedName name="_bdm.a9bb1d9ba4ac47c0b6a6481fe8ab019e.edm" hidden="1">#REF!</definedName>
    <definedName name="_bdm.a9d35841ab35432f89528ed6477aaac0.edm" hidden="1">#REF!</definedName>
    <definedName name="_bdm.aaff5be1e71a48f2b7a06001c4fe5a57.edm" hidden="1">#REF!</definedName>
    <definedName name="_bdm.AB747D4B6ED54BFCB070570DA299E602.edm" hidden="1">#REF!</definedName>
    <definedName name="_bdm.aba619f20f514e658a9630f941240237.edm" hidden="1">#REF!</definedName>
    <definedName name="_bdm.ac4d3ac0382541fa95bafe930f207d3f.edm" hidden="1">#REF!</definedName>
    <definedName name="_bdm.ad1608b413734302bbd3e9156d2283a8.edm" hidden="1">#REF!</definedName>
    <definedName name="_bdm.ae3aeb73cc484d44873758e3bc6a2125.edm" hidden="1">#REF!</definedName>
    <definedName name="_bdm.ae759a9d3fd44708b6e29774727ddd31.edm" hidden="1">#REF!</definedName>
    <definedName name="_bdm.aeb307feaad244b89b71dd64de3548d1.edm" hidden="1">#REF!</definedName>
    <definedName name="_bdm.aec94637bb554d5d85622d427f55318a.edm" hidden="1">#REF!</definedName>
    <definedName name="_bdm.af130d1e10e941d0ba223ca0dbe79a25.edm" hidden="1">#REF!</definedName>
    <definedName name="_bdm.AF2C770F34114D3DA1B9E53183E048AF.edm" hidden="1">#REF!</definedName>
    <definedName name="_bdm.afb69930f3264a7382c043219c7733d1.edm" hidden="1">#REF!</definedName>
    <definedName name="_bdm.b0a5a506e1a2448ca411ae40ae97ea45.edm" hidden="1">#REF!</definedName>
    <definedName name="_bdm.b0f59301b05b441e8d304cad5688db3c.edm" hidden="1">#REF!</definedName>
    <definedName name="_bdm.b1d176e9eed64d83afc65aeb293b6fe5.edm" hidden="1">#REF!</definedName>
    <definedName name="_bdm.b1e605c3e1e54436bffafd8a99cc1c46.edm" hidden="1">#REF!</definedName>
    <definedName name="_bdm.b259fc01c3f443be802f8896d3e99185.edm" hidden="1">#REF!</definedName>
    <definedName name="_bdm.B2889B67705C4BABB02736F6CDBA67E4.edm" hidden="1">#REF!</definedName>
    <definedName name="_bdm.b2def2670def46c69f7ec0782c7f36a6.edm" hidden="1">#REF!</definedName>
    <definedName name="_bdm.b3129bb00f604b2a94d0efad0c7b11bc.edm" hidden="1">#REF!</definedName>
    <definedName name="_bdm.b32462fe005848e2a6d480ecb160e2fd.edm" hidden="1">#REF!</definedName>
    <definedName name="_bdm.b33d066cfe874d71b56980f50524a482.edm" hidden="1">#REF!</definedName>
    <definedName name="_bdm.b3cef59157584fd5a8edc43d99fdc51f.edm" hidden="1">#REF!</definedName>
    <definedName name="_bdm.b4133d9da0354742b5e9fe369a78768d.edm" hidden="1">#REF!</definedName>
    <definedName name="_bdm.B5B627AA18474125A98E46D784B3890F.edm" hidden="1">#REF!</definedName>
    <definedName name="_bdm.b61bd8107799441d911ac62b68aba344.edm" hidden="1">#REF!</definedName>
    <definedName name="_bdm.b662317b66f94755b4ef2a013a869687.edm" hidden="1">#REF!</definedName>
    <definedName name="_bdm.b7276fc0bd2649a09163071a1a6c2fc9.edm" hidden="1">#REF!</definedName>
    <definedName name="_bdm.b750a63c24524feab28175bcfec6f391.edm" hidden="1">#REF!</definedName>
    <definedName name="_bdm.b7ae05ab19f1447db108583d2728e5ee.edm" hidden="1">#REF!</definedName>
    <definedName name="_bdm.b7c9749d3ab544cc808825a6e6ec2277.edm" hidden="1">#REF!</definedName>
    <definedName name="_bdm.b80ffa318da74193ab891fe613c67982.edm" hidden="1">#REF!</definedName>
    <definedName name="_bdm.b83ea833803c4310bdfd6e01513e724c.edm" hidden="1">#REF!</definedName>
    <definedName name="_bdm.b8c050d9c0f44cfd86fc9498354028ae.edm" hidden="1">#REF!</definedName>
    <definedName name="_bdm.B8CD78F88B614B549059AAE299870792.edm" hidden="1">#REF!</definedName>
    <definedName name="_bdm.b8ee92003b7648a5bfab39fa975b4f6e.edm" hidden="1">#REF!</definedName>
    <definedName name="_bdm.ba1918247af54de98201034185de95b7.edm" hidden="1">#REF!</definedName>
    <definedName name="_bdm.ba9b660513ba473f8fb0f32820746653.edm" hidden="1">#REF!</definedName>
    <definedName name="_bdm.bafadedbd86341e78d4fb75f9390f40b.edm" hidden="1">#REF!</definedName>
    <definedName name="_bdm.bb951f6bfb494eeea72ad5d526683d99.edm" hidden="1">#REF!</definedName>
    <definedName name="_bdm.bc5166f633174d3ba96a6ed96a6e5dd9.edm" hidden="1">#REF!</definedName>
    <definedName name="_bdm.bc66c41c48fc41c1aaac4d75ab3076b3.edm" hidden="1">#REF!</definedName>
    <definedName name="_bdm.bcfab65368204c1683e39b33dec4fb36.edm" hidden="1">#REF!</definedName>
    <definedName name="_bdm.bd4b0b05ac3c451f866105fe7016ae8e.edm" hidden="1">#REF!</definedName>
    <definedName name="_bdm.bd996b6bf1cb4505abf7a00dd7782b95.edm" hidden="1">#REF!</definedName>
    <definedName name="_bdm.bdbec587ae1a4ef485dfc4905245fd24.edm" hidden="1">#REF!</definedName>
    <definedName name="_bdm.be3d68f63f13496c824c58ef5d69f199.edm" hidden="1">#REF!</definedName>
    <definedName name="_bdm.be8fd6f595d24032ab8608f653a92b57.edm" hidden="1">#REF!</definedName>
    <definedName name="_bdm.bf54a1e26fab41519f6e8c8cea25d3db.edm" localSheetId="8" hidden="1">#REF!</definedName>
    <definedName name="_bdm.bf54a1e26fab41519f6e8c8cea25d3db.edm" hidden="1">#REF!</definedName>
    <definedName name="_bdm.c07c9efd5c76449189a90b82b1720f55.edm" hidden="1">#REF!</definedName>
    <definedName name="_bdm.c17393a347084bf2b345f8ddb905c5ff.edm" hidden="1">#REF!</definedName>
    <definedName name="_bdm.c1de0aa392bd448eae0c035cc2b1e177.edm" hidden="1">#REF!</definedName>
    <definedName name="_bdm.c2432984c46544eaa5e76fe0e74888cf.edm" hidden="1">#REF!</definedName>
    <definedName name="_bdm.c31b3238944041e1bc91e9389c6d0519.edm" hidden="1">#REF!</definedName>
    <definedName name="_bdm.c437982d3cf946d69458e853ba62dfc6.edm" hidden="1">#REF!</definedName>
    <definedName name="_bdm.c5a83881536b47c883d0774b406b16ab.edm" hidden="1">#REF!</definedName>
    <definedName name="_bdm.c855424d4be74fa4936bbce28ce0169d.edm" hidden="1">#REF!</definedName>
    <definedName name="_bdm.c86c5cc57fcc4d369338eeb2e9e880e8.edm" localSheetId="8" hidden="1">#REF!</definedName>
    <definedName name="_bdm.c86c5cc57fcc4d369338eeb2e9e880e8.edm" hidden="1">#REF!</definedName>
    <definedName name="_bdm.c8a5c8ac0fdb485d9a15d20108e301f8.edm" hidden="1">#REF!</definedName>
    <definedName name="_bdm.c8ac1472f7c042dda0d273e011e0e3d2.edm" hidden="1">#REF!</definedName>
    <definedName name="_bdm.c8ad8c6bdb204136b58fb852858406ad.edm" hidden="1">#REF!</definedName>
    <definedName name="_bdm.c96c4cf650d64bc5960039efac4e2e0a.edm" hidden="1">#REF!</definedName>
    <definedName name="_bdm.c97afcaf2ff941929c7142993ce75dd2.edm" hidden="1">#REF!</definedName>
    <definedName name="_bdm.ca77399dd21c4f01a4e2cc9be2dd37c8.edm" hidden="1">#REF!</definedName>
    <definedName name="_bdm.ca89aa2fbe2c43538c63d41d6e9cbc9c.edm" hidden="1">#REF!</definedName>
    <definedName name="_bdm.caebafac35314ba6b05e7ac1b6752674.edm" hidden="1">#REF!</definedName>
    <definedName name="_bdm.caf777fdeb6a45308d5000b42086d41c.edm" hidden="1">#REF!</definedName>
    <definedName name="_bdm.cb82c05b73de43888224850aea0518a5.edm" hidden="1">#REF!</definedName>
    <definedName name="_bdm.cbd99ba204cd433aa85042f80347584f.edm" hidden="1">#REF!</definedName>
    <definedName name="_bdm.cc5333920a904a85aa8f70d861bd2f92.edm" hidden="1">#REF!</definedName>
    <definedName name="_bdm.cc9ed6ceaa62402387565f5b60535d33.edm" hidden="1">#REF!</definedName>
    <definedName name="_bdm.cca63650bc154d98907c9f93b8266f49.edm" hidden="1">#REF!</definedName>
    <definedName name="_bdm.cca8d8b47dc544e18ddce7b2e417a252.edm" hidden="1">#REF!</definedName>
    <definedName name="_bdm.cd473404307f4c74919834565e6d0101.edm" hidden="1">#REF!</definedName>
    <definedName name="_bdm.cdd793a13ca347bf8a13713c55c4ef3e.edm" hidden="1">#REF!</definedName>
    <definedName name="_bdm.ce38520b29244ad89d65c54a2e9e794f.edm" hidden="1">#REF!</definedName>
    <definedName name="_bdm.ce4639f9c7d349109cb692dc7dd90d4b.edm" hidden="1">#REF!</definedName>
    <definedName name="_bdm.ceb282ffb9db4240897de13ddeeb9686.edm" hidden="1">#REF!</definedName>
    <definedName name="_bdm.cf09173f3ccc4cb89b8056b3b50d10f0.edm" hidden="1">#REF!</definedName>
    <definedName name="_bdm.cf5e9cc3a554490d8a2411fb5294c37a.edm" hidden="1">#REF!</definedName>
    <definedName name="_bdm.cfd5bf4c17a64418b16581423580cca6.edm" hidden="1">#REF!</definedName>
    <definedName name="_bdm.d0808044752d4d22b7bb396ab6582a45.edm" hidden="1">#REF!</definedName>
    <definedName name="_bdm.d1b17b95d25b495cbcf07d75f89962ef.edm" hidden="1">#REF!</definedName>
    <definedName name="_bdm.d2322316dc4d4af2a6050c5395cbcf07.edm" hidden="1">#REF!</definedName>
    <definedName name="_bdm.d35331b9ba184752a03abaa5d5212b10.edm" hidden="1">#REF!</definedName>
    <definedName name="_bdm.d3572f15c8574b3cb2fc15e851ee745d.edm" hidden="1">#REF!</definedName>
    <definedName name="_bdm.d3a7484903f04a1e8b410c78eba694ed.edm" hidden="1">#REF!</definedName>
    <definedName name="_bdm.d457fba591684bf686d987ab398cc239.edm" hidden="1">#REF!</definedName>
    <definedName name="_bdm.d4a8ab59302841b6991be8bc14656318.edm" hidden="1">#REF!</definedName>
    <definedName name="_bdm.d50bfb87abc84c5d82ced65a145733ba.edm" hidden="1">#REF!</definedName>
    <definedName name="_bdm.d530c2ba13b148379f99fa7c8e75435e.edm" hidden="1">#REF!</definedName>
    <definedName name="_bdm.D53AE69ED9E841EFBC1CE6DD976C8FC6.edm" localSheetId="7" hidden="1">#REF!</definedName>
    <definedName name="_bdm.D53AE69ED9E841EFBC1CE6DD976C8FC6.edm" hidden="1">#REF!</definedName>
    <definedName name="_bdm.d559c9290e254b1fa35cd0409700ff41.edm" hidden="1">#REF!</definedName>
    <definedName name="_bdm.d5bdebaaeebc496c85ef234458abdcaf.edm" hidden="1">#REF!</definedName>
    <definedName name="_bdm.d5c56c6483a141bab386c0ba71cbccc3.edm" hidden="1">#REF!</definedName>
    <definedName name="_bdm.d5e53b9d3f4c4099b0bc15fc018b8e9e.edm" hidden="1">#REF!</definedName>
    <definedName name="_bdm.d7547428c85742f69a675ce2013b1c31.edm" hidden="1">#REF!</definedName>
    <definedName name="_bdm.d766013cde5643a8b219aec82290171f.edm" hidden="1">#REF!</definedName>
    <definedName name="_bdm.d827d3e30bba4338811fe654ae2f56bc.edm" hidden="1">#REF!</definedName>
    <definedName name="_bdm.d870a154e3f04daca4dfa05f82105db1.edm" hidden="1">#REF!</definedName>
    <definedName name="_bdm.d88f7f679eec482bb925198409075d37.edm" hidden="1">#REF!</definedName>
    <definedName name="_bdm.d9564fe4f48b43588d6d22e6c53b7271.edm" hidden="1">#REF!</definedName>
    <definedName name="_bdm.D9BFD364130B44BE84C786014A7456D8.edm" hidden="1">#REF!</definedName>
    <definedName name="_bdm.d9ef8b1ac676481aa9950bb002107ebd.edm" hidden="1">#REF!</definedName>
    <definedName name="_bdm.da5861c656e74561a432a897d3c0a6ee.edm" hidden="1">#REF!</definedName>
    <definedName name="_bdm.daf3db898ba641f491a6caa7f7ef5a1e.edm" hidden="1">#REF!</definedName>
    <definedName name="_bdm.dc0b1e31c7be457e9031e8ed91e86cc6.edm" hidden="1">#REF!</definedName>
    <definedName name="_bdm.dc4525d5118246b9af2e272e4a4d4a9b.edm" hidden="1">#REF!</definedName>
    <definedName name="_bdm.dc84b2f94b83462183a97fcc5d119728.edm" hidden="1">#REF!</definedName>
    <definedName name="_bdm.dd71f19eb5f841bd952885cfeb0177e7.edm" hidden="1">#REF!</definedName>
    <definedName name="_bdm.de56ca51a6fa4fc3a6e3813090f4a0af.edm" hidden="1">#REF!</definedName>
    <definedName name="_bdm.DEEFF94AF29642F59BD4C2FAB189A07B.edm" hidden="1">#REF!</definedName>
    <definedName name="_bdm.df00da779936421bbcf7f784ac6383aa.edm" hidden="1">#REF!</definedName>
    <definedName name="_bdm.df1f1a78865c4b9c9058ac77ecaf7c14.edm" hidden="1">#REF!</definedName>
    <definedName name="_bdm.dfda2759707a42698bfe44d6dabd5c75.edm" hidden="1">#REF!</definedName>
    <definedName name="_bdm.dff7ea8c12f748a48a2612c22251c57b.edm" hidden="1">#REF!</definedName>
    <definedName name="_bdm.e16c1ae43e4440179e8720e947108b59.edm" hidden="1">#REF!</definedName>
    <definedName name="_bdm.e270825e89dc4623949660cdeea0fe81.edm" hidden="1">#REF!</definedName>
    <definedName name="_bdm.e365d7c9e2c549fb94b97401d0ec72c7.edm" hidden="1">#REF!</definedName>
    <definedName name="_bdm.e3e3a6b4e8c64331b0dc0e38fd777f7a.edm" hidden="1">#REF!</definedName>
    <definedName name="_bdm.E4033648F8AC47FAA9DF34501DC65B2E.edm" hidden="1">#REF!</definedName>
    <definedName name="_bdm.e40bc2e4f0de4e7c86c57f1d7c0b2b4d.edm" hidden="1">#REF!</definedName>
    <definedName name="_bdm.e40ff2bb21544867a1fa775c0971701e.edm" localSheetId="8" hidden="1">#REF!</definedName>
    <definedName name="_bdm.e40ff2bb21544867a1fa775c0971701e.edm" hidden="1">#REF!</definedName>
    <definedName name="_bdm.e5846235324540ca944af032a7496146.edm" hidden="1">#REF!</definedName>
    <definedName name="_bdm.e594cca8fab3451fb9dd65ba03e1e324.edm" localSheetId="8" hidden="1">#REF!</definedName>
    <definedName name="_bdm.e594cca8fab3451fb9dd65ba03e1e324.edm" hidden="1">#REF!</definedName>
    <definedName name="_bdm.e63f93723f2a4e948d41c1699a1e6113.edm" hidden="1">#REF!</definedName>
    <definedName name="_bdm.e6ea011c8e1a434a83ea032b7bc31a06.edm" hidden="1">#REF!</definedName>
    <definedName name="_bdm.e777796735c24b4e9c11db4df5b095c8.edm" hidden="1">#REF!</definedName>
    <definedName name="_bdm.e90716a6049e437985bb4404e9cb90a3.edm" hidden="1">#REF!</definedName>
    <definedName name="_bdm.e9b96e1477ef452082915175d1aefe71.edm" hidden="1">#REF!</definedName>
    <definedName name="_bdm.ea41a5a5195a47e09b1c95d26c407b44.edm" hidden="1">#REF!</definedName>
    <definedName name="_bdm.EA83142E24BC4262B9840FBD4B5A2AC1.edm" hidden="1">#REF!</definedName>
    <definedName name="_bdm.ea865e21944842ffb019c1ac164a294b.edm" hidden="1">#REF!</definedName>
    <definedName name="_bdm.ec42b592968642f48328fcb1295f57f1.edm" hidden="1">#REF!</definedName>
    <definedName name="_bdm.ececf244ea0244e19141101f2e169acf.edm" hidden="1">#REF!</definedName>
    <definedName name="_bdm.ed1506d909d343caa5fd86c7e2dc76c8.edm" localSheetId="8" hidden="1">#REF!</definedName>
    <definedName name="_bdm.ed1506d909d343caa5fd86c7e2dc76c8.edm" hidden="1">#REF!</definedName>
    <definedName name="_bdm.ed6e464ab15f4a0db3d80b1b1f60fdbb.edm" hidden="1">#REF!</definedName>
    <definedName name="_bdm.ed968458632347eca00a7d83e2c5970a.edm" localSheetId="8" hidden="1">#REF!</definedName>
    <definedName name="_bdm.ed968458632347eca00a7d83e2c5970a.edm" hidden="1">#REF!</definedName>
    <definedName name="_bdm.edde6c495f584ec3a4bea8007c68ab2e.edm" hidden="1">#REF!</definedName>
    <definedName name="_bdm.eeb586a2cb854006b155c52ad02d4e69.edm" hidden="1">#REF!</definedName>
    <definedName name="_bdm.eeb9cabac1bd4a49b31eeb5c722eb51c.edm" hidden="1">#REF!</definedName>
    <definedName name="_bdm.eee88abf458e448ea2f7e897a510eb0d.edm" hidden="1">#REF!</definedName>
    <definedName name="_bdm.ef2c26642bb84c63bdebab1bc7a94a80.edm" hidden="1">#REF!</definedName>
    <definedName name="_bdm.ef35e80faddb4f5c88061c2aea4058b9.edm" localSheetId="8" hidden="1">#REF!</definedName>
    <definedName name="_bdm.ef35e80faddb4f5c88061c2aea4058b9.edm" hidden="1">#REF!</definedName>
    <definedName name="_bdm.efbcdd55ef234d058f347ed29409a575.edm" hidden="1">#REF!</definedName>
    <definedName name="_bdm.efc8e9df1c994184b145354a276c941d.edm" hidden="1">#REF!</definedName>
    <definedName name="_bdm.f076ddcfd46a40899a52f2b2fede6698.edm" hidden="1">#REF!</definedName>
    <definedName name="_bdm.f07764aed93a43748ff932aa52bdb296.edm" hidden="1">#REF!</definedName>
    <definedName name="_bdm.f12065b1b95c4502a5b27405168b1467.edm" hidden="1">#REF!</definedName>
    <definedName name="_bdm.f190101528764dfb8ded5cf49ac2c70b.edm" hidden="1">#REF!</definedName>
    <definedName name="_bdm.f22fd755ff3e436c861b718bf81ab76b.edm" hidden="1">#REF!</definedName>
    <definedName name="_bdm.F26F84FE823548CD9DA31946E1D93375.edm" hidden="1">#REF!</definedName>
    <definedName name="_bdm.f2f9605971f6478c8e95d6f1fa7e4318.edm" hidden="1">#REF!</definedName>
    <definedName name="_bdm.f3c46342365946e680222d9c2681d1de.edm" hidden="1">#REF!</definedName>
    <definedName name="_bdm.f3c7f7e9a6a041eb942ce05628c9af6c.edm" hidden="1">#REF!</definedName>
    <definedName name="_bdm.f5b670eb5af841a7ab9041ad0df96fba.edm" localSheetId="8" hidden="1">#REF!</definedName>
    <definedName name="_bdm.f5b670eb5af841a7ab9041ad0df96fba.edm" hidden="1">#REF!</definedName>
    <definedName name="_bdm.f70f20baca2e4fd0ae3dffe431a36de3.edm" hidden="1">#REF!</definedName>
    <definedName name="_bdm.F79344725D0E4CDE9EAC4C99EFE68386.edm" hidden="1">#REF!</definedName>
    <definedName name="_bdm.f7bff20aa84d494088a6f853005855b9.edm" localSheetId="8" hidden="1">#REF!</definedName>
    <definedName name="_bdm.f7bff20aa84d494088a6f853005855b9.edm" hidden="1">#REF!</definedName>
    <definedName name="_bdm.f80bf8d5f64c4403b94070210effb800.edm" hidden="1">#REF!</definedName>
    <definedName name="_bdm.f866833443c040a780b697f234557764.edm" hidden="1">#REF!</definedName>
    <definedName name="_bdm.F8F792F9D009453993602DCCA3B5240D.edm" hidden="1">#N/A</definedName>
    <definedName name="_bdm.f9574ac7ec7e4ae0b94845994a9e2b01.edm" hidden="1">#REF!</definedName>
    <definedName name="_bdm.fa7f61b53d594d73817d62d0e24cc190.edm" hidden="1">#REF!</definedName>
    <definedName name="_bdm.FastTrackBookmark.2_22_2018_6_10_09_PM.edm" hidden="1">#REF!</definedName>
    <definedName name="_bdm.FastTrackBookmark.20_02_2006_17_22_52.edm" hidden="1">#REF!</definedName>
    <definedName name="_bdm.fb000dbfdb5e41f6a44062be56956aba.edm" hidden="1">#REF!</definedName>
    <definedName name="_bdm.fb22c697e1f443dd8ca4ffdf42d9ed4a.edm" hidden="1">#REF!</definedName>
    <definedName name="_bdm.fc0b36a06f5a41b38f41e44b234d8650.edm" hidden="1">#REF!</definedName>
    <definedName name="_bdm.fc7207c23ef74e85bc49adb59837dec9.edm" hidden="1">#REF!</definedName>
    <definedName name="_bdm.fcafb62a0b8444969acab5ccf5ced905.edm" hidden="1">#REF!</definedName>
    <definedName name="_bdm.fd80e1f71f6846fb9985379d994d9436.edm" localSheetId="8" hidden="1">#REF!</definedName>
    <definedName name="_bdm.fd80e1f71f6846fb9985379d994d9436.edm" hidden="1">#REF!</definedName>
    <definedName name="_bdm.fe17c7eca5c641f9833e97975a858ae9.edm" hidden="1">#REF!</definedName>
    <definedName name="_bdm.fe75965ede014cefbfb263718a58225c.edm" hidden="1">#REF!</definedName>
    <definedName name="_bdm.fef0c150da774a8daf3ad27d253c142f.edm" hidden="1">#REF!</definedName>
    <definedName name="_bdm.ffd8c448899444b9bac3814d6bd2948d.edm" hidden="1">#REF!</definedName>
    <definedName name="_bdn.591B89A4572611D6B641000347925363.edm" hidden="1">#N/A</definedName>
    <definedName name="_bdn.9883B00A62A843198958BC512E2E6713.edm" hidden="1">#REF!</definedName>
    <definedName name="_bdn.9FDC599E4EFD11D6B6280003478FFE58.edm" hidden="1">#REF!</definedName>
    <definedName name="_bdn.BB9C35914D7511D6B62C000347916C51.edm" hidden="1">#REF!</definedName>
    <definedName name="_BIO1" localSheetId="8" hidden="1">{"toc1",#N/A,FALSE,"TOC";"cover",#N/A,FALSE,"Cover";"ts1",#N/A,FALSE,"Transaction Summary";"ei3",#N/A,FALSE,"Earnings Impact";"ad3",#N/A,FALSE,"accretion dilution"}</definedName>
    <definedName name="_BIO1" hidden="1">{"toc1",#N/A,FALSE,"TOC";"cover",#N/A,FALSE,"Cover";"ts1",#N/A,FALSE,"Transaction Summary";"ei3",#N/A,FALSE,"Earnings Impact";"ad3",#N/A,FALSE,"accretion dilution"}</definedName>
    <definedName name="_bji23" localSheetId="8" hidden="1">{#N/A,"PURCHM",FALSE,"Business Analysis";#N/A,"SPADD",FALSE,"Business Analysis"}</definedName>
    <definedName name="_bji23" hidden="1">{#N/A,"PURCHM",FALSE,"Business Analysis";#N/A,"SPADD",FALSE,"Business Analysis"}</definedName>
    <definedName name="_bk1" hidden="1">0</definedName>
    <definedName name="_bkd87" localSheetId="8" hidden="1">{#N/A,"PURCHM",FALSE,"Business Analysis";#N/A,"SPADD",FALSE,"Business Analysis"}</definedName>
    <definedName name="_bkd87" hidden="1">{#N/A,"PURCHM",FALSE,"Business Analysis";#N/A,"SPADD",FALSE,"Business Analysis"}</definedName>
    <definedName name="_BLP14" hidden="1">#REF!</definedName>
    <definedName name="_BLP2" hidden="1">#REF!</definedName>
    <definedName name="_BLP3" hidden="1">#REF!</definedName>
    <definedName name="_BLP4" hidden="1">#REF!</definedName>
    <definedName name="_BQ4.1" hidden="1">#REF!</definedName>
    <definedName name="_BQ4.2" hidden="1">#REF!</definedName>
    <definedName name="_BQ4.23" hidden="1">#REF!</definedName>
    <definedName name="_BQ4.24" hidden="1">#REF!</definedName>
    <definedName name="_BQ4.25" hidden="1">#REF!</definedName>
    <definedName name="_BQ4.26" hidden="1">#REF!</definedName>
    <definedName name="_BQ4.27" hidden="1">#REF!</definedName>
    <definedName name="_BQ4.29" hidden="1">#REF!</definedName>
    <definedName name="_BQ4.3" hidden="1">#REF!</definedName>
    <definedName name="_BQ4.30" hidden="1">#REF!</definedName>
    <definedName name="_BQ4.31" hidden="1">#REF!</definedName>
    <definedName name="_BQ4.4" hidden="1">#REF!</definedName>
    <definedName name="_BQ4.5" hidden="1">#REF!</definedName>
    <definedName name="_BQ4.6" hidden="1">#REF!</definedName>
    <definedName name="_BQ4.7" hidden="1">#REF!</definedName>
    <definedName name="_BQ4.8" hidden="1">#REF!</definedName>
    <definedName name="_BQ4.9" hidden="1">#REF!</definedName>
    <definedName name="_bs1" localSheetId="8" hidden="1">{"AS",#N/A,FALSE,"Dec_BS";"LIAB",#N/A,FALSE,"Dec_BS"}</definedName>
    <definedName name="_bs1" hidden="1">{"AS",#N/A,FALSE,"Dec_BS";"LIAB",#N/A,FALSE,"Dec_BS"}</definedName>
    <definedName name="_bzz" hidden="1">#REF!</definedName>
    <definedName name="_c" localSheetId="7" hidden="1">{"Fiesta Facer Page",#N/A,FALSE,"Q_C_S";"Fiesta Main Page",#N/A,FALSE,"V_L";"Fiesta 95BP Struct",#N/A,FALSE,"StructBP";"Fiesta Post 95BP Struct",#N/A,FALSE,"AdjStructBP"}</definedName>
    <definedName name="_c" localSheetId="8" hidden="1">{#N/A,#N/A,FALSE,"Layout Cash Flow"}</definedName>
    <definedName name="_c" hidden="1">{"Fiesta Facer Page",#N/A,FALSE,"Q_C_S";"Fiesta Main Page",#N/A,FALSE,"V_L";"Fiesta 95BP Struct",#N/A,FALSE,"StructBP";"Fiesta Post 95BP Struct",#N/A,FALSE,"AdjStructBP"}</definedName>
    <definedName name="_c_1" localSheetId="8" hidden="1">{"Fiesta Facer Page",#N/A,FALSE,"Q_C_S";"Fiesta Main Page",#N/A,FALSE,"V_L";"Fiesta 95BP Struct",#N/A,FALSE,"StructBP";"Fiesta Post 95BP Struct",#N/A,FALSE,"AdjStructBP"}</definedName>
    <definedName name="_c_1" hidden="1">{"Fiesta Facer Page",#N/A,FALSE,"Q_C_S";"Fiesta Main Page",#N/A,FALSE,"V_L";"Fiesta 95BP Struct",#N/A,FALSE,"StructBP";"Fiesta Post 95BP Struct",#N/A,FALSE,"AdjStructBP"}</definedName>
    <definedName name="_c123" localSheetId="8" hidden="1">{#N/A,#N/A,TRUE,"Voorblad";#N/A,#N/A,TRUE,"Table of Content A";#N/A,#N/A,TRUE,"A1-Summ- Key Figures";#N/A,#N/A,TRUE,"A2-Summ Month Man";#N/A,#N/A,TRUE,"A3-P&amp;L by Bus.Unt-Serv.Unt";#N/A,#N/A,TRUE,"A4-P&amp;L by Old org.";#N/A,#N/A,TRUE,"A6-Bal_Sheet CF by Old org. ";#N/A,#N/A,TRUE,"A8-Headc.Funct."}</definedName>
    <definedName name="_c123" hidden="1">{#N/A,#N/A,TRUE,"Voorblad";#N/A,#N/A,TRUE,"Table of Content A";#N/A,#N/A,TRUE,"A1-Summ- Key Figures";#N/A,#N/A,TRUE,"A2-Summ Month Man";#N/A,#N/A,TRUE,"A3-P&amp;L by Bus.Unt-Serv.Unt";#N/A,#N/A,TRUE,"A4-P&amp;L by Old org.";#N/A,#N/A,TRUE,"A6-Bal_Sheet CF by Old org. ";#N/A,#N/A,TRUE,"A8-Headc.Funct."}</definedName>
    <definedName name="_c23" localSheetId="8" hidden="1">{#N/A,#N/A,FALSE,"Appendicesfinvoorblad";#N/A,#N/A,FALSE,"appendix a";#N/A,#N/A,FALSE,"appendix b";#N/A,#N/A,FALSE,"appendix c";#N/A,#N/A,FALSE,"appendix d";#N/A,#N/A,FALSE,"appendix e";#N/A,#N/A,FALSE,"appendix f";#N/A,#N/A,FALSE,"appendix g";#N/A,#N/A,FALSE,"appendix g2";#N/A,#N/A,FALSE,"appendix h";#N/A,#N/A,FALSE,"appendix i";#N/A,#N/A,FALSE,"appendix i-2";#N/A,#N/A,FALSE,"appendix j";#N/A,#N/A,FALSE,"appendicesprocesses";#N/A,#N/A,FALSE,"appendix k";#N/A,#N/A,FALSE,"appendix l"}</definedName>
    <definedName name="_c23" hidden="1">{#N/A,#N/A,FALSE,"Appendicesfinvoorblad";#N/A,#N/A,FALSE,"appendix a";#N/A,#N/A,FALSE,"appendix b";#N/A,#N/A,FALSE,"appendix c";#N/A,#N/A,FALSE,"appendix d";#N/A,#N/A,FALSE,"appendix e";#N/A,#N/A,FALSE,"appendix f";#N/A,#N/A,FALSE,"appendix g";#N/A,#N/A,FALSE,"appendix g2";#N/A,#N/A,FALSE,"appendix h";#N/A,#N/A,FALSE,"appendix i";#N/A,#N/A,FALSE,"appendix i-2";#N/A,#N/A,FALSE,"appendix j";#N/A,#N/A,FALSE,"appendicesprocesses";#N/A,#N/A,FALSE,"appendix k";#N/A,#N/A,FALSE,"appendix l"}</definedName>
    <definedName name="_c3" localSheetId="8" hidden="1">{#N/A,#N/A,TRUE,"Voorblad";#N/A,#N/A,TRUE,"Table of Content A";#N/A,#N/A,TRUE,"A1-Summ- Key Figures";#N/A,#N/A,TRUE,"A2-Summ Month Man";#N/A,#N/A,TRUE,"A3-P&amp;L by Bus.Unt-Serv.Unt";#N/A,#N/A,TRUE,"A4-P&amp;L by Old org.";#N/A,#N/A,TRUE,"A6-Bal_Sheet CF by Old org. ";#N/A,#N/A,TRUE,"A8-Headc.Funct."}</definedName>
    <definedName name="_c3" hidden="1">{#N/A,#N/A,TRUE,"Voorblad";#N/A,#N/A,TRUE,"Table of Content A";#N/A,#N/A,TRUE,"A1-Summ- Key Figures";#N/A,#N/A,TRUE,"A2-Summ Month Man";#N/A,#N/A,TRUE,"A3-P&amp;L by Bus.Unt-Serv.Unt";#N/A,#N/A,TRUE,"A4-P&amp;L by Old org.";#N/A,#N/A,TRUE,"A6-Bal_Sheet CF by Old org. ";#N/A,#N/A,TRUE,"A8-Headc.Funct."}</definedName>
    <definedName name="_c8" localSheetId="8" hidden="1">{#N/A,#N/A,TRUE,"Voorblad";#N/A,#N/A,TRUE,"Table of Content A";#N/A,#N/A,TRUE,"A1-Summ- Key Figures";#N/A,#N/A,TRUE,"A2-Summ Month Man";#N/A,#N/A,TRUE,"A3-P&amp;L by Bus.Unt-Serv.Unt";#N/A,#N/A,TRUE,"A4-P&amp;L by Old org.";#N/A,#N/A,TRUE,"A6-Bal_Sheet CF by Old org. ";#N/A,#N/A,TRUE,"A8-Headc.Funct."}</definedName>
    <definedName name="_c8" hidden="1">{#N/A,#N/A,TRUE,"Voorblad";#N/A,#N/A,TRUE,"Table of Content A";#N/A,#N/A,TRUE,"A1-Summ- Key Figures";#N/A,#N/A,TRUE,"A2-Summ Month Man";#N/A,#N/A,TRUE,"A3-P&amp;L by Bus.Unt-Serv.Unt";#N/A,#N/A,TRUE,"A4-P&amp;L by Old org.";#N/A,#N/A,TRUE,"A6-Bal_Sheet CF by Old org. ";#N/A,#N/A,TRUE,"A8-Headc.Funct."}</definedName>
    <definedName name="_c9" localSheetId="8" hidden="1">{#N/A,#N/A,TRUE,"Voorblad B";#N/A,#N/A,TRUE,"Table of Content FinCom B";#N/A,#N/A,TRUE,"A3-P&amp;L by Bus.Unt-Serv.Unt";#N/A,#N/A,TRUE,"Summary carrier service";#N/A,#N/A,TRUE,"Summary Large accounts";#N/A,#N/A,TRUE,"Summary Consumer";#N/A,#N/A,TRUE,"Mobile";#N/A,#N/A,TRUE,"B5-Mobile(1) ";#N/A,#N/A,TRUE,"B4-GM per Product";#N/A,#N/A,TRUE,"Summary N&amp;S";#N/A,#N/A,TRUE,"B15-Network ";#N/A,#N/A,TRUE,"Summary ITbilling";#N/A,#N/A,TRUE,"Billing backlog";#N/A,#N/A,TRUE,"Summary Corporate";#N/A,#N/A,TRUE,"A5-Bal_Sheet CF";#N/A,#N/A,TRUE,"A6-Bal_Sheet CF by Old org. ";#N/A,#N/A,TRUE,"P13-Funding- Inter.";#N/A,#N/A,TRUE,"P14-Risk &amp; Fraud Fixed";#N/A,#N/A,TRUE,"P14-Risk &amp; Fraud Mobile";#N/A,#N/A,TRUE,"Accounts payable"}</definedName>
    <definedName name="_c9" hidden="1">{#N/A,#N/A,TRUE,"Voorblad B";#N/A,#N/A,TRUE,"Table of Content FinCom B";#N/A,#N/A,TRUE,"A3-P&amp;L by Bus.Unt-Serv.Unt";#N/A,#N/A,TRUE,"Summary carrier service";#N/A,#N/A,TRUE,"Summary Large accounts";#N/A,#N/A,TRUE,"Summary Consumer";#N/A,#N/A,TRUE,"Mobile";#N/A,#N/A,TRUE,"B5-Mobile(1) ";#N/A,#N/A,TRUE,"B4-GM per Product";#N/A,#N/A,TRUE,"Summary N&amp;S";#N/A,#N/A,TRUE,"B15-Network ";#N/A,#N/A,TRUE,"Summary ITbilling";#N/A,#N/A,TRUE,"Billing backlog";#N/A,#N/A,TRUE,"Summary Corporate";#N/A,#N/A,TRUE,"A5-Bal_Sheet CF";#N/A,#N/A,TRUE,"A6-Bal_Sheet CF by Old org. ";#N/A,#N/A,TRUE,"P13-Funding- Inter.";#N/A,#N/A,TRUE,"P14-Risk &amp; Fraud Fixed";#N/A,#N/A,TRUE,"P14-Risk &amp; Fraud Mobile";#N/A,#N/A,TRUE,"Accounts payable"}</definedName>
    <definedName name="_CC2" localSheetId="8" hidden="1">{#N/A,#N/A,FALSE,"Exhibits 5-7"}</definedName>
    <definedName name="_CC2" hidden="1">{#N/A,#N/A,FALSE,"Exhibits 5-7"}</definedName>
    <definedName name="_cd1" localSheetId="8" hidden="1">{#N/A,#N/A,FALSE,"Job Sched"}</definedName>
    <definedName name="_cd1" hidden="1">{#N/A,#N/A,FALSE,"Job Sched"}</definedName>
    <definedName name="_cd2" localSheetId="8" hidden="1">{#N/A,#N/A,FALSE,"Job Sched"}</definedName>
    <definedName name="_cd2" hidden="1">{#N/A,#N/A,FALSE,"Job Sched"}</definedName>
    <definedName name="_CD3" localSheetId="8" hidden="1">{#N/A,#N/A,FALSE,"Job Sched"}</definedName>
    <definedName name="_CD3" hidden="1">{#N/A,#N/A,FALSE,"Job Sched"}</definedName>
    <definedName name="_cd4" localSheetId="8" hidden="1">{#N/A,#N/A,FALSE,"Job Sched"}</definedName>
    <definedName name="_cd4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Cd5" localSheetId="8" hidden="1">{#N/A,#N/A,FALSE,"A"}</definedName>
    <definedName name="_Cd5" hidden="1">{#N/A,#N/A,FALSE,"A"}</definedName>
    <definedName name="_cd8" localSheetId="8" hidden="1">{#N/A,#N/A,FALSE,"Job Sched"}</definedName>
    <definedName name="_cd8" hidden="1">{#N/A,#N/A,FALSE,"Job Sched"}</definedName>
    <definedName name="_CEN30" hidden="1">{#N/A,#N/A,FALSE,"SIM95"}</definedName>
    <definedName name="_CEN300" hidden="1">{#N/A,#N/A,FALSE,"SIM95"}</definedName>
    <definedName name="_cen301" hidden="1">{#N/A,#N/A,FALSE,"SIM95"}</definedName>
    <definedName name="_cen31" hidden="1">{#N/A,#N/A,FALSE,"SIM95"}</definedName>
    <definedName name="_Co50" localSheetId="8" hidden="1">{#N/A,"DR",FALSE,"increm pf";#N/A,"MAMSI",FALSE,"increm pf";#N/A,"MAXI",FALSE,"increm pf";#N/A,"PCAM",FALSE,"increm pf";#N/A,"PHSV",FALSE,"increm pf";#N/A,"SIE",FALSE,"increm pf"}</definedName>
    <definedName name="_Co50" hidden="1">{#N/A,"DR",FALSE,"increm pf";#N/A,"MAMSI",FALSE,"increm pf";#N/A,"MAXI",FALSE,"increm pf";#N/A,"PCAM",FALSE,"increm pf";#N/A,"PHSV",FALSE,"increm pf";#N/A,"SIE",FALSE,"increm pf"}</definedName>
    <definedName name="_Co50_1" localSheetId="8" hidden="1">{#N/A,"DR",FALSE,"increm pf";#N/A,"MAMSI",FALSE,"increm pf";#N/A,"MAXI",FALSE,"increm pf";#N/A,"PCAM",FALSE,"increm pf";#N/A,"PHSV",FALSE,"increm pf";#N/A,"SIE",FALSE,"increm pf"}</definedName>
    <definedName name="_Co50_1" hidden="1">{#N/A,"DR",FALSE,"increm pf";#N/A,"MAMSI",FALSE,"increm pf";#N/A,"MAXI",FALSE,"increm pf";#N/A,"PCAM",FALSE,"increm pf";#N/A,"PHSV",FALSE,"increm pf";#N/A,"SIE",FALSE,"increm pf"}</definedName>
    <definedName name="_Co50_2" localSheetId="8" hidden="1">{#N/A,"DR",FALSE,"increm pf";#N/A,"MAMSI",FALSE,"increm pf";#N/A,"MAXI",FALSE,"increm pf";#N/A,"PCAM",FALSE,"increm pf";#N/A,"PHSV",FALSE,"increm pf";#N/A,"SIE",FALSE,"increm pf"}</definedName>
    <definedName name="_Co50_2" hidden="1">{#N/A,"DR",FALSE,"increm pf";#N/A,"MAMSI",FALSE,"increm pf";#N/A,"MAXI",FALSE,"increm pf";#N/A,"PCAM",FALSE,"increm pf";#N/A,"PHSV",FALSE,"increm pf";#N/A,"SIE",FALSE,"increm pf"}</definedName>
    <definedName name="_cp010103" localSheetId="8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cp010103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CuN3" localSheetId="8" hidden="1">{#N/A,#N/A,FALSE,"WOBE_DE.XLS";#N/A,#N/A,FALSE,"WOB_1.XLS";#N/A,#N/A,FALSE,"WOB_2.XLS";#N/A,#N/A,FALSE,"WOB_3.XLS";#N/A,#N/A,FALSE,"WOB_4.XLS";#N/A,#N/A,FALSE,"WOB_5.XLS"}</definedName>
    <definedName name="_CuN3" hidden="1">{#N/A,#N/A,FALSE,"WOBE_DE.XLS";#N/A,#N/A,FALSE,"WOB_1.XLS";#N/A,#N/A,FALSE,"WOB_2.XLS";#N/A,#N/A,FALSE,"WOB_3.XLS";#N/A,#N/A,FALSE,"WOB_4.XLS";#N/A,#N/A,FALSE,"WOB_5.XLS"}</definedName>
    <definedName name="_CVK6712" localSheetId="8" hidden="1">{#N/A,#N/A,FALSE,"UNIT";#N/A,#N/A,FALSE,"UNIT";#N/A,#N/A,FALSE,"계정"}</definedName>
    <definedName name="_CVK6712" hidden="1">{#N/A,#N/A,FALSE,"UNIT";#N/A,#N/A,FALSE,"UNIT";#N/A,#N/A,FALSE,"계정"}</definedName>
    <definedName name="_d1" localSheetId="8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_d1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_d1_1" localSheetId="8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_d1_1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_d2" localSheetId="8" hidden="1">{#N/A,#N/A,FALSE,"BANNERS";#N/A,#N/A,FALSE,"Market";#N/A,#N/A,FALSE,"# of POP MAN";#N/A,#N/A,FALSE,"Penet Input";#N/A,#N/A,FALSE,"Tel Rev";#N/A,#N/A,FALSE,"Invest";#N/A,#N/A,FALSE,"Op Cost1";#N/A,#N/A,FALSE,"Op Cost2";#N/A,#N/A,FALSE,"Oth_&amp;_Tot_Revenues";#N/A,#N/A,FALSE,"Fin Mod";#N/A,#N/A,FALSE,"P&amp;E Burocrat";#N/A,#N/A,FALSE,"cash flow"}</definedName>
    <definedName name="_d2" hidden="1">{#N/A,#N/A,FALSE,"BANNERS";#N/A,#N/A,FALSE,"Market";#N/A,#N/A,FALSE,"# of POP MAN";#N/A,#N/A,FALSE,"Penet Input";#N/A,#N/A,FALSE,"Tel Rev";#N/A,#N/A,FALSE,"Invest";#N/A,#N/A,FALSE,"Op Cost1";#N/A,#N/A,FALSE,"Op Cost2";#N/A,#N/A,FALSE,"Oth_&amp;_Tot_Revenues";#N/A,#N/A,FALSE,"Fin Mod";#N/A,#N/A,FALSE,"P&amp;E Burocrat";#N/A,#N/A,FALSE,"cash flow"}</definedName>
    <definedName name="_d2_1" localSheetId="8" hidden="1">{#N/A,#N/A,FALSE,"BANNERS";#N/A,#N/A,FALSE,"Market";#N/A,#N/A,FALSE,"# of POP MAN";#N/A,#N/A,FALSE,"Penet Input";#N/A,#N/A,FALSE,"Tel Rev";#N/A,#N/A,FALSE,"Invest";#N/A,#N/A,FALSE,"Op Cost1";#N/A,#N/A,FALSE,"Op Cost2";#N/A,#N/A,FALSE,"Oth_&amp;_Tot_Revenues";#N/A,#N/A,FALSE,"Fin Mod";#N/A,#N/A,FALSE,"P&amp;E Burocrat";#N/A,#N/A,FALSE,"cash flow"}</definedName>
    <definedName name="_d2_1" hidden="1">{#N/A,#N/A,FALSE,"BANNERS";#N/A,#N/A,FALSE,"Market";#N/A,#N/A,FALSE,"# of POP MAN";#N/A,#N/A,FALSE,"Penet Input";#N/A,#N/A,FALSE,"Tel Rev";#N/A,#N/A,FALSE,"Invest";#N/A,#N/A,FALSE,"Op Cost1";#N/A,#N/A,FALSE,"Op Cost2";#N/A,#N/A,FALSE,"Oth_&amp;_Tot_Revenues";#N/A,#N/A,FALSE,"Fin Mod";#N/A,#N/A,FALSE,"P&amp;E Burocrat";#N/A,#N/A,FALSE,"cash flow"}</definedName>
    <definedName name="_d3" localSheetId="8" hidden="1">{#N/A,#N/A,FALSE,"BANNERS";#N/A,#N/A,FALSE,"Market";#N/A,#N/A,FALSE,"Tel Rev";#N/A,#N/A,FALSE,"Revenues IOL";#N/A,#N/A,FALSE,"Invest";#N/A,#N/A,FALSE,"Op Cost1";#N/A,#N/A,FALSE,"Op Cost2";#N/A,#N/A,FALSE,"Oth_&amp;_Tot_Revenues";#N/A,#N/A,FALSE,"Fin Mod";#N/A,#N/A,FALSE,"FinMod_RoW";#N/A,#N/A,FALSE,"P&amp;E Burocrat";#N/A,#N/A,FALSE,"cash flow"}</definedName>
    <definedName name="_d3" hidden="1">{#N/A,#N/A,FALSE,"BANNERS";#N/A,#N/A,FALSE,"Market";#N/A,#N/A,FALSE,"Tel Rev";#N/A,#N/A,FALSE,"Revenues IOL";#N/A,#N/A,FALSE,"Invest";#N/A,#N/A,FALSE,"Op Cost1";#N/A,#N/A,FALSE,"Op Cost2";#N/A,#N/A,FALSE,"Oth_&amp;_Tot_Revenues";#N/A,#N/A,FALSE,"Fin Mod";#N/A,#N/A,FALSE,"FinMod_RoW";#N/A,#N/A,FALSE,"P&amp;E Burocrat";#N/A,#N/A,FALSE,"cash flow"}</definedName>
    <definedName name="_d3_1" localSheetId="8" hidden="1">{#N/A,#N/A,FALSE,"BANNERS";#N/A,#N/A,FALSE,"Market";#N/A,#N/A,FALSE,"Tel Rev";#N/A,#N/A,FALSE,"Revenues IOL";#N/A,#N/A,FALSE,"Invest";#N/A,#N/A,FALSE,"Op Cost1";#N/A,#N/A,FALSE,"Op Cost2";#N/A,#N/A,FALSE,"Oth_&amp;_Tot_Revenues";#N/A,#N/A,FALSE,"Fin Mod";#N/A,#N/A,FALSE,"FinMod_RoW";#N/A,#N/A,FALSE,"P&amp;E Burocrat";#N/A,#N/A,FALSE,"cash flow"}</definedName>
    <definedName name="_d3_1" hidden="1">{#N/A,#N/A,FALSE,"BANNERS";#N/A,#N/A,FALSE,"Market";#N/A,#N/A,FALSE,"Tel Rev";#N/A,#N/A,FALSE,"Revenues IOL";#N/A,#N/A,FALSE,"Invest";#N/A,#N/A,FALSE,"Op Cost1";#N/A,#N/A,FALSE,"Op Cost2";#N/A,#N/A,FALSE,"Oth_&amp;_Tot_Revenues";#N/A,#N/A,FALSE,"Fin Mod";#N/A,#N/A,FALSE,"FinMod_RoW";#N/A,#N/A,FALSE,"P&amp;E Burocrat";#N/A,#N/A,FALSE,"cash flow"}</definedName>
    <definedName name="_d4" localSheetId="8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_d4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_d4_1" localSheetId="8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_d4_1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_d5" localSheetId="8" hidden="1">{#N/A,#N/A,FALSE,"BANNERS";#N/A,#N/A,FALSE,"Market";#N/A,#N/A,FALSE,"# of POP MAN";#N/A,#N/A,FALSE,"Penet Input";#N/A,#N/A,FALSE,"Tel Rev";#N/A,#N/A,FALSE,"Invest";#N/A,#N/A,FALSE,"Op Cost1";#N/A,#N/A,FALSE,"Op Cost2";#N/A,#N/A,FALSE,"Oth_&amp;_Tot_Revenues";#N/A,#N/A,FALSE,"Fin Mod";#N/A,#N/A,FALSE,"P&amp;E Burocrat";#N/A,#N/A,FALSE,"cash flow"}</definedName>
    <definedName name="_d5" hidden="1">{#N/A,#N/A,FALSE,"BANNERS";#N/A,#N/A,FALSE,"Market";#N/A,#N/A,FALSE,"# of POP MAN";#N/A,#N/A,FALSE,"Penet Input";#N/A,#N/A,FALSE,"Tel Rev";#N/A,#N/A,FALSE,"Invest";#N/A,#N/A,FALSE,"Op Cost1";#N/A,#N/A,FALSE,"Op Cost2";#N/A,#N/A,FALSE,"Oth_&amp;_Tot_Revenues";#N/A,#N/A,FALSE,"Fin Mod";#N/A,#N/A,FALSE,"P&amp;E Burocrat";#N/A,#N/A,FALSE,"cash flow"}</definedName>
    <definedName name="_d5_1" localSheetId="8" hidden="1">{#N/A,#N/A,FALSE,"BANNERS";#N/A,#N/A,FALSE,"Market";#N/A,#N/A,FALSE,"# of POP MAN";#N/A,#N/A,FALSE,"Penet Input";#N/A,#N/A,FALSE,"Tel Rev";#N/A,#N/A,FALSE,"Invest";#N/A,#N/A,FALSE,"Op Cost1";#N/A,#N/A,FALSE,"Op Cost2";#N/A,#N/A,FALSE,"Oth_&amp;_Tot_Revenues";#N/A,#N/A,FALSE,"Fin Mod";#N/A,#N/A,FALSE,"P&amp;E Burocrat";#N/A,#N/A,FALSE,"cash flow"}</definedName>
    <definedName name="_d5_1" hidden="1">{#N/A,#N/A,FALSE,"BANNERS";#N/A,#N/A,FALSE,"Market";#N/A,#N/A,FALSE,"# of POP MAN";#N/A,#N/A,FALSE,"Penet Input";#N/A,#N/A,FALSE,"Tel Rev";#N/A,#N/A,FALSE,"Invest";#N/A,#N/A,FALSE,"Op Cost1";#N/A,#N/A,FALSE,"Op Cost2";#N/A,#N/A,FALSE,"Oth_&amp;_Tot_Revenues";#N/A,#N/A,FALSE,"Fin Mod";#N/A,#N/A,FALSE,"P&amp;E Burocrat";#N/A,#N/A,FALSE,"cash flow"}</definedName>
    <definedName name="_DCF1" localSheetId="8" hidden="1">{#N/A,#N/A,FALSE,"DCF Summary";#N/A,#N/A,FALSE,"Casema";#N/A,#N/A,FALSE,"Casema NoTel";#N/A,#N/A,FALSE,"UK";#N/A,#N/A,FALSE,"RCF";#N/A,#N/A,FALSE,"Intercable CZ";#N/A,#N/A,FALSE,"Interkabel P"}</definedName>
    <definedName name="_DCF1" hidden="1">{#N/A,#N/A,FALSE,"DCF Summary";#N/A,#N/A,FALSE,"Casema";#N/A,#N/A,FALSE,"Casema NoTel";#N/A,#N/A,FALSE,"UK";#N/A,#N/A,FALSE,"RCF";#N/A,#N/A,FALSE,"Intercable CZ";#N/A,#N/A,FALSE,"Interkabel P"}</definedName>
    <definedName name="_DCF1_1" localSheetId="8" hidden="1">{#N/A,#N/A,FALSE,"DCF Summary";#N/A,#N/A,FALSE,"Casema";#N/A,#N/A,FALSE,"Casema NoTel";#N/A,#N/A,FALSE,"UK";#N/A,#N/A,FALSE,"RCF";#N/A,#N/A,FALSE,"Intercable CZ";#N/A,#N/A,FALSE,"Interkabel P"}</definedName>
    <definedName name="_DCF1_1" hidden="1">{#N/A,#N/A,FALSE,"DCF Summary";#N/A,#N/A,FALSE,"Casema";#N/A,#N/A,FALSE,"Casema NoTel";#N/A,#N/A,FALSE,"UK";#N/A,#N/A,FALSE,"RCF";#N/A,#N/A,FALSE,"Intercable CZ";#N/A,#N/A,FALSE,"Interkabel P"}</definedName>
    <definedName name="_Dec08" localSheetId="8" hidden="1">{"INPUTA",#N/A,FALSE,"Venture";"INPUTB",#N/A,FALSE,"Venture";"INPUTC",#N/A,FALSE,"Venture";"INPUTD",#N/A,FALSE,"Venture";"INPUTE",#N/A,FALSE,"Venture"}</definedName>
    <definedName name="_Dec08" hidden="1">{"INPUTA",#N/A,FALSE,"Venture";"INPUTB",#N/A,FALSE,"Venture";"INPUTC",#N/A,FALSE,"Venture";"INPUTD",#N/A,FALSE,"Venture";"INPUTE",#N/A,FALSE,"Venture"}</definedName>
    <definedName name="_dem2" localSheetId="8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_dem2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_dem2_1" localSheetId="8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_dem2_1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_dem3" localSheetId="8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_dem3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_dem3_1" localSheetId="8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_dem3_1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_df1" localSheetId="8" hidden="1">{#N/A,#N/A,FALSE,"Calc";#N/A,#N/A,FALSE,"Sensitivity";#N/A,#N/A,FALSE,"LT Earn.Dil.";#N/A,#N/A,FALSE,"Dil. AVP"}</definedName>
    <definedName name="_df1" hidden="1">{#N/A,#N/A,FALSE,"Calc";#N/A,#N/A,FALSE,"Sensitivity";#N/A,#N/A,FALSE,"LT Earn.Dil.";#N/A,#N/A,FALSE,"Dil. AVP"}</definedName>
    <definedName name="_df2" localSheetId="8" hidden="1">{#N/A,#N/A,FALSE,"Calc";#N/A,#N/A,FALSE,"Sensitivity";#N/A,#N/A,FALSE,"LT Earn.Dil.";#N/A,#N/A,FALSE,"Dil. AVP"}</definedName>
    <definedName name="_df2" hidden="1">{#N/A,#N/A,FALSE,"Calc";#N/A,#N/A,FALSE,"Sensitivity";#N/A,#N/A,FALSE,"LT Earn.Dil.";#N/A,#N/A,FALSE,"Dil. AVP"}</definedName>
    <definedName name="_DFG4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_dfk1" localSheetId="8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fk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IM1" hidden="1">"DIM1=;DIM2=;DIM3=;DIM4=;DIM5=;DIM6=;DIM7=;DIM8=;DIM9=;"</definedName>
    <definedName name="_DIM2" hidden="1">" "</definedName>
    <definedName name="_DIM3" hidden="1">" "</definedName>
    <definedName name="_DIM4" hidden="1">" "</definedName>
    <definedName name="_Dist_Bin" localSheetId="7" hidden="1">#REF!</definedName>
    <definedName name="_Dist_Bin" hidden="1">#REF!</definedName>
    <definedName name="_Dist_Values" localSheetId="7" hidden="1">#REF!</definedName>
    <definedName name="_Dist_Values" hidden="1">#REF!</definedName>
    <definedName name="_div202" localSheetId="8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div20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div203" localSheetId="8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div20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djd1" localSheetId="8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jd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kj1" localSheetId="8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kj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T2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dwa1" localSheetId="8" hidden="1">{#N/A,"PURCHM",FALSE,"Business Analysis";#N/A,"SPADD",FALSE,"Business Analysis"}</definedName>
    <definedName name="_dwa1" hidden="1">{#N/A,"PURCHM",FALSE,"Business Analysis";#N/A,"SPADD",FALSE,"Business Analysis"}</definedName>
    <definedName name="_e1" localSheetId="8" hidden="1">{"Balance Sheet",#N/A,FALSE,"CBR North America Consolidated"}</definedName>
    <definedName name="_e1" hidden="1">{"Balance Sheet",#N/A,FALSE,"CBR North America Consolidated"}</definedName>
    <definedName name="_e5" localSheetId="8" hidden="1">{"Eilbericht_UBA",#N/A,FALSE,"EB"}</definedName>
    <definedName name="_e5" hidden="1">{"Eilbericht_UBA",#N/A,FALSE,"EB"}</definedName>
    <definedName name="_e5_1" localSheetId="8" hidden="1">{"Eilbericht_UBA",#N/A,FALSE,"EB"}</definedName>
    <definedName name="_e5_1" hidden="1">{"Eilbericht_UBA",#N/A,FALSE,"EB"}</definedName>
    <definedName name="_ECS2" localSheetId="8" hidden="1">{#N/A,#N/A,FALSE,"EC&amp;AFLTPLAN";#N/A,#N/A,FALSE,"EC&amp;AFLT1";#N/A,#N/A,FALSE,"EC&amp;AFLT2";#N/A,#N/A,FALSE,"SUMMARY"}</definedName>
    <definedName name="_ECS2" hidden="1">{#N/A,#N/A,FALSE,"EC&amp;AFLTPLAN";#N/A,#N/A,FALSE,"EC&amp;AFLT1";#N/A,#N/A,FALSE,"EC&amp;AFLT2";#N/A,#N/A,FALSE,"SUMMARY"}</definedName>
    <definedName name="_eee1" localSheetId="8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eee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emi2" localSheetId="8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emi2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emi3" localSheetId="8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emi3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emi4" localSheetId="8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emi4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emi5" localSheetId="8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emi5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emi6" localSheetId="8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emi6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et1" localSheetId="8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_et1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_eu93" localSheetId="8" hidden="1">{"Comp_of_Price_Effect",#N/A,FALSE,"QTRDPVAR"}</definedName>
    <definedName name="_eu93" hidden="1">{"Comp_of_Price_Effect",#N/A,FALSE,"QTRDPVAR"}</definedName>
    <definedName name="_eva2" localSheetId="8" hidden="1">{"DCF",#N/A,FALSE,"CF"}</definedName>
    <definedName name="_eva2" hidden="1">{"DCF",#N/A,FALSE,"CF"}</definedName>
    <definedName name="_f" localSheetId="8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_f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_f1" localSheetId="8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f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fds2" localSheetId="8" hidden="1">{"comps",#N/A,FALSE,"comps";"notes",#N/A,FALSE,"comps"}</definedName>
    <definedName name="_fds2" hidden="1">{"comps",#N/A,FALSE,"comps";"notes",#N/A,FALSE,"comps"}</definedName>
    <definedName name="_fds2_1" localSheetId="8" hidden="1">{"comps",#N/A,FALSE,"comps";"notes",#N/A,FALSE,"comps"}</definedName>
    <definedName name="_fds2_1" hidden="1">{"comps",#N/A,FALSE,"comps";"notes",#N/A,FALSE,"comps"}</definedName>
    <definedName name="_fhf2" localSheetId="8" hidden="1">{#N/A,#N/A,FALSE,"CA";#N/A,#N/A,FALSE,"CN";#N/A,#N/A,FALSE,"Inv";#N/A,#N/A,FALSE,"Inv Acc";"Miguel_balance",#N/A,FALSE,"Bal";#N/A,#N/A,FALSE,"Plantilla";#N/A,#N/A,FALSE,"CA (2)";#N/A,#N/A,FALSE,"CN (2)"}</definedName>
    <definedName name="_fhf2" hidden="1">{#N/A,#N/A,FALSE,"CA";#N/A,#N/A,FALSE,"CN";#N/A,#N/A,FALSE,"Inv";#N/A,#N/A,FALSE,"Inv Acc";"Miguel_balance",#N/A,FALSE,"Bal";#N/A,#N/A,FALSE,"Plantilla";#N/A,#N/A,FALSE,"CA (2)";#N/A,#N/A,FALSE,"CN (2)"}</definedName>
    <definedName name="_fhf2_1" localSheetId="8" hidden="1">{#N/A,#N/A,FALSE,"CA";#N/A,#N/A,FALSE,"CN";#N/A,#N/A,FALSE,"Inv";#N/A,#N/A,FALSE,"Inv Acc";"Miguel_balance",#N/A,FALSE,"Bal";#N/A,#N/A,FALSE,"Plantilla";#N/A,#N/A,FALSE,"CA (2)";#N/A,#N/A,FALSE,"CN (2)"}</definedName>
    <definedName name="_fhf2_1" hidden="1">{#N/A,#N/A,FALSE,"CA";#N/A,#N/A,FALSE,"CN";#N/A,#N/A,FALSE,"Inv";#N/A,#N/A,FALSE,"Inv Acc";"Miguel_balance",#N/A,FALSE,"Bal";#N/A,#N/A,FALSE,"Plantilla";#N/A,#N/A,FALSE,"CA (2)";#N/A,#N/A,FALSE,"CN (2)"}</definedName>
    <definedName name="_Fil" hidden="1">#REF!</definedName>
    <definedName name="_Fill" localSheetId="7" hidden="1">#REF!</definedName>
    <definedName name="_Fill" localSheetId="8" hidden="1">#REF!</definedName>
    <definedName name="_Fill" hidden="1">#REF!</definedName>
    <definedName name="_Fill1" hidden="1">#REF!</definedName>
    <definedName name="_fill2" localSheetId="7" hidden="1">#REF!</definedName>
    <definedName name="_Fill2" hidden="1">#REF!</definedName>
    <definedName name="_xlnm._FilterDatabase" localSheetId="7" hidden="1">#REF!</definedName>
    <definedName name="_xlnm._FilterDatabase" localSheetId="8" hidden="1">#REF!</definedName>
    <definedName name="_xlnm._FilterDatabase" hidden="1">#REF!</definedName>
    <definedName name="_FIRST_ENTER_AS_IS" hidden="1">#N/A</definedName>
    <definedName name="_FIRST_ITEM_DATA" hidden="1">#N/A</definedName>
    <definedName name="_FR2" localSheetId="8" hidden="1">{#N/A,#N/A,FALSE,"Exhibits 5-7"}</definedName>
    <definedName name="_FR2" hidden="1">{#N/A,#N/A,FALSE,"Exhibits 5-7"}</definedName>
    <definedName name="_ftu222" localSheetId="8" hidden="1">{#N/A,#N/A,FALSE,"Aging Summary";#N/A,#N/A,FALSE,"Ratio Analysis";#N/A,#N/A,FALSE,"Test 120 Day Accts";#N/A,#N/A,FALSE,"Tickmarks"}</definedName>
    <definedName name="_ftu222" hidden="1">{#N/A,#N/A,FALSE,"Aging Summary";#N/A,#N/A,FALSE,"Ratio Analysis";#N/A,#N/A,FALSE,"Test 120 Day Accts";#N/A,#N/A,FALSE,"Tickmarks"}</definedName>
    <definedName name="_fy97" localSheetId="8" hidden="1">{#N/A,#N/A,FALSE,"FY97";#N/A,#N/A,FALSE,"FY98";#N/A,#N/A,FALSE,"FY99";#N/A,#N/A,FALSE,"FY00";#N/A,#N/A,FALSE,"FY01"}</definedName>
    <definedName name="_fy97" hidden="1">{#N/A,#N/A,FALSE,"FY97";#N/A,#N/A,FALSE,"FY98";#N/A,#N/A,FALSE,"FY99";#N/A,#N/A,FALSE,"FY00";#N/A,#N/A,FALSE,"FY01"}</definedName>
    <definedName name="_fy97_1" localSheetId="8" hidden="1">{#N/A,#N/A,FALSE,"FY97";#N/A,#N/A,FALSE,"FY98";#N/A,#N/A,FALSE,"FY99";#N/A,#N/A,FALSE,"FY00";#N/A,#N/A,FALSE,"FY01"}</definedName>
    <definedName name="_fy97_1" hidden="1">{#N/A,#N/A,FALSE,"FY97";#N/A,#N/A,FALSE,"FY98";#N/A,#N/A,FALSE,"FY99";#N/A,#N/A,FALSE,"FY00";#N/A,#N/A,FALSE,"FY01"}</definedName>
    <definedName name="_GCr2" localSheetId="8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GCr2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GCr21" localSheetId="8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GCr2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GEI2" localSheetId="8" hidden="1">{#N/A,#N/A,FALSE,"Datos";#N/A,#N/A,FALSE,"PartCap";#N/A,#N/A,FALSE,"Gtos-II";#N/A,#N/A,FALSE,"Inm.Mat1";#N/A,#N/A,FALSE,"Inm.Mat2";#N/A,#N/A,FALSE,"Inm.Fin";#N/A,#N/A,FALSE,"DeudAcre";#N/A,#N/A,FALSE,"Exist.Prov";#N/A,#N/A,FALSE,"Patrim.";#N/A,#N/A,FALSE,"IaD ";#N/A,#N/A,FALSE,"IptoSdes1";#N/A,#N/A,FALSE,"IptoSdes2";#N/A,#N/A,FALSE,"Ajust.IM";#N/A,#N/A,FALSE,"Ajust.Exi";#N/A,#N/A,FALSE,"Ajust.Div";#N/A,#N/A,FALSE,"Ajust.IF";#N/A,#N/A,FALSE,"Compvta";#N/A,#N/A,FALSE,"Avales";#N/A,#N/A,FALSE,"Conting.";#N/A,#N/A,FALSE,"Otra infor.1";#N/A,#N/A,FALSE,"Otra infor.2"}</definedName>
    <definedName name="_GEI2" hidden="1">{#N/A,#N/A,FALSE,"Datos";#N/A,#N/A,FALSE,"PartCap";#N/A,#N/A,FALSE,"Gtos-II";#N/A,#N/A,FALSE,"Inm.Mat1";#N/A,#N/A,FALSE,"Inm.Mat2";#N/A,#N/A,FALSE,"Inm.Fin";#N/A,#N/A,FALSE,"DeudAcre";#N/A,#N/A,FALSE,"Exist.Prov";#N/A,#N/A,FALSE,"Patrim.";#N/A,#N/A,FALSE,"IaD ";#N/A,#N/A,FALSE,"IptoSdes1";#N/A,#N/A,FALSE,"IptoSdes2";#N/A,#N/A,FALSE,"Ajust.IM";#N/A,#N/A,FALSE,"Ajust.Exi";#N/A,#N/A,FALSE,"Ajust.Div";#N/A,#N/A,FALSE,"Ajust.IF";#N/A,#N/A,FALSE,"Compvta";#N/A,#N/A,FALSE,"Avales";#N/A,#N/A,FALSE,"Conting.";#N/A,#N/A,FALSE,"Otra infor.1";#N/A,#N/A,FALSE,"Otra infor.2"}</definedName>
    <definedName name="_gh2" localSheetId="8" hidden="1">{"'100'!$A$1:$M$83"}</definedName>
    <definedName name="_gh2" hidden="1">{"'100'!$A$1:$M$83"}</definedName>
    <definedName name="_GR06" hidden="1">{#N/A,#N/A,FALSE,"Dutos";#N/A,#N/A,FALSE,"Terminais"}</definedName>
    <definedName name="_GSRATES_1" localSheetId="7" hidden="1">"CT300001Latest          "</definedName>
    <definedName name="_GSRATES_1" localSheetId="8" hidden="1">"CT300001Latest          "</definedName>
    <definedName name="_GSRATES_1" hidden="1">"CT30000119991231        "</definedName>
    <definedName name="_GSRATES_1_1" hidden="1">"CF300001Invalid 20040101"</definedName>
    <definedName name="_GSRATES_2" localSheetId="8" hidden="1">"H1999011519990115USDGBP1000001"</definedName>
    <definedName name="_GSRATES_2" hidden="1">"CT30000120000516        "</definedName>
    <definedName name="_GSRATES_3" localSheetId="8" hidden="1">"H1999012919990129USDEUR1000001"</definedName>
    <definedName name="_GSRATES_3" hidden="1">"CT30000119991231        "</definedName>
    <definedName name="_GSRATES_4" localSheetId="8" hidden="1">"CT30000119990928        "</definedName>
    <definedName name="_GSRATES_4" hidden="1">"CT30000119981231        "</definedName>
    <definedName name="_GSRATES_5" localSheetId="8" hidden="1">"CT30000119990331        "</definedName>
    <definedName name="_GSRATES_5" hidden="1">"CT30000119981231        "</definedName>
    <definedName name="_GSRATES_6" localSheetId="8" hidden="1">"CT30000119990101        "</definedName>
    <definedName name="_GSRATES_6" hidden="1">"CT30000120000517        "</definedName>
    <definedName name="_GSRATES_7" localSheetId="8" hidden="1">"CT30000119980930        "</definedName>
    <definedName name="_GSRATES_7" hidden="1">"CT30000120000331        "</definedName>
    <definedName name="_GSRATES_8" hidden="1">"CT30000119980630        "</definedName>
    <definedName name="_GSRATES_9" hidden="1">"CT30000119980331        "</definedName>
    <definedName name="_GSRATES_COUNT" localSheetId="8" hidden="1">1</definedName>
    <definedName name="_GSRATES_COUNT" hidden="1">7</definedName>
    <definedName name="_GSRATES_COUNT_1" hidden="1">1</definedName>
    <definedName name="_GSRATESR_1" localSheetId="7" hidden="1">#REF!</definedName>
    <definedName name="_GSRATESR_1" localSheetId="8" hidden="1">#REF!</definedName>
    <definedName name="_GSRATESR_1" hidden="1">#REF!</definedName>
    <definedName name="_GSRATESR_2" hidden="1">#REF!</definedName>
    <definedName name="_GSRATESR_3" hidden="1">#REF!</definedName>
    <definedName name="_h2" localSheetId="8" hidden="1">{#N/A,#N/A,TRUE,"Index";#N/A,#N/A,TRUE,"1";#N/A,#N/A,TRUE,"2";#N/A,#N/A,TRUE,"3";#N/A,#N/A,TRUE,"4";#N/A,#N/A,TRUE,"5";#N/A,#N/A,TRUE,"6";#N/A,#N/A,TRUE,"7";#N/A,#N/A,TRUE,"8";#N/A,#N/A,TRUE,"9";#N/A,#N/A,TRUE,"10";#N/A,#N/A,TRUE,"11";#N/A,#N/A,TRUE,"12";#N/A,#N/A,TRUE,"13";#N/A,#N/A,TRUE,"14";#N/A,#N/A,TRUE,"15";#N/A,#N/A,TRUE,"16";#N/A,#N/A,TRUE,"17";#N/A,#N/A,TRUE,"18";#N/A,#N/A,TRUE,"19";#N/A,#N/A,TRUE,"20";#N/A,#N/A,TRUE,"21";#N/A,#N/A,TRUE,"22";#N/A,#N/A,TRUE,"23";#N/A,#N/A,TRUE,"24";#N/A,#N/A,TRUE,"25";#N/A,#N/A,TRUE,"26";#N/A,#N/A,TRUE,"27";#N/A,#N/A,TRUE,"28";#N/A,#N/A,TRUE,"29";#N/A,#N/A,TRUE,"30";#N/A,#N/A,TRUE,"31";#N/A,#N/A,TRUE,"32";#N/A,#N/A,TRUE,"33";#N/A,#N/A,TRUE,"34";#N/A,#N/A,TRUE,"35";#N/A,#N/A,TRUE,"36";#N/A,#N/A,TRUE,"37";#N/A,#N/A,TRUE,"38";#N/A,#N/A,TRUE,"39";#N/A,#N/A,TRUE,"40";#N/A,#N/A,TRUE,"41";#N/A,#N/A,TRUE,"42";#N/A,#N/A,TRUE,"43";#N/A,#N/A,TRUE,"44";#N/A,#N/A,TRUE,"45"}</definedName>
    <definedName name="_h2" hidden="1">{#N/A,#N/A,TRUE,"Index";#N/A,#N/A,TRUE,"1";#N/A,#N/A,TRUE,"2";#N/A,#N/A,TRUE,"3";#N/A,#N/A,TRUE,"4";#N/A,#N/A,TRUE,"5";#N/A,#N/A,TRUE,"6";#N/A,#N/A,TRUE,"7";#N/A,#N/A,TRUE,"8";#N/A,#N/A,TRUE,"9";#N/A,#N/A,TRUE,"10";#N/A,#N/A,TRUE,"11";#N/A,#N/A,TRUE,"12";#N/A,#N/A,TRUE,"13";#N/A,#N/A,TRUE,"14";#N/A,#N/A,TRUE,"15";#N/A,#N/A,TRUE,"16";#N/A,#N/A,TRUE,"17";#N/A,#N/A,TRUE,"18";#N/A,#N/A,TRUE,"19";#N/A,#N/A,TRUE,"20";#N/A,#N/A,TRUE,"21";#N/A,#N/A,TRUE,"22";#N/A,#N/A,TRUE,"23";#N/A,#N/A,TRUE,"24";#N/A,#N/A,TRUE,"25";#N/A,#N/A,TRUE,"26";#N/A,#N/A,TRUE,"27";#N/A,#N/A,TRUE,"28";#N/A,#N/A,TRUE,"29";#N/A,#N/A,TRUE,"30";#N/A,#N/A,TRUE,"31";#N/A,#N/A,TRUE,"32";#N/A,#N/A,TRUE,"33";#N/A,#N/A,TRUE,"34";#N/A,#N/A,TRUE,"35";#N/A,#N/A,TRUE,"36";#N/A,#N/A,TRUE,"37";#N/A,#N/A,TRUE,"38";#N/A,#N/A,TRUE,"39";#N/A,#N/A,TRUE,"40";#N/A,#N/A,TRUE,"41";#N/A,#N/A,TRUE,"42";#N/A,#N/A,TRUE,"43";#N/A,#N/A,TRUE,"44";#N/A,#N/A,TRUE,"45"}</definedName>
    <definedName name="_hd1" localSheetId="8" hidden="1">{#N/A,#N/A,FALSE,"Calc";#N/A,#N/A,FALSE,"Sensitivity";#N/A,#N/A,FALSE,"LT Earn.Dil.";#N/A,#N/A,FALSE,"Dil. AVP"}</definedName>
    <definedName name="_hd1" hidden="1">{#N/A,#N/A,FALSE,"Calc";#N/A,#N/A,FALSE,"Sensitivity";#N/A,#N/A,FALSE,"LT Earn.Dil.";#N/A,#N/A,FALSE,"Dil. AVP"}</definedName>
    <definedName name="_hd2" localSheetId="8" hidden="1">{#N/A,#N/A,FALSE,"Calc";#N/A,#N/A,FALSE,"Sensitivity";#N/A,#N/A,FALSE,"LT Earn.Dil.";#N/A,#N/A,FALSE,"Dil. AVP"}</definedName>
    <definedName name="_hd2" hidden="1">{#N/A,#N/A,FALSE,"Calc";#N/A,#N/A,FALSE,"Sensitivity";#N/A,#N/A,FALSE,"LT Earn.Dil.";#N/A,#N/A,FALSE,"Dil. AVP"}</definedName>
    <definedName name="_hg2" localSheetId="8" hidden="1">{"'100'!$A$1:$M$83"}</definedName>
    <definedName name="_hg2" hidden="1">{"'100'!$A$1:$M$83"}</definedName>
    <definedName name="_huh3" localSheetId="8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huh3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i" hidden="1">#REF!</definedName>
    <definedName name="_I00prezzi" hidden="1">#REF!</definedName>
    <definedName name="_Inv3" localSheetId="8" hidden="1">{#N/A,#N/A,FALSE,"CAPA";#N/A,#N/A,FALSE,"INDICES";#N/A,#N/A,FALSE,"RES-GER-CONS";#N/A,#N/A,FALSE,"MAQ-S1";#N/A,#N/A,FALSE,"MAQ-S2";#N/A,#N/A,FALSE,"MAQ-S3";#N/A,#N/A,FALSE,"PROD-VEN";#N/A,#N/A,FALSE,"PRECOS";#N/A,#N/A,FALSE,"BILAN";#N/A,#N/A,FALSE,"CASH-FLOW";#N/A,#N/A,FALSE,"SP4-5"}</definedName>
    <definedName name="_Inv3" hidden="1">{#N/A,#N/A,FALSE,"CAPA";#N/A,#N/A,FALSE,"INDICES";#N/A,#N/A,FALSE,"RES-GER-CONS";#N/A,#N/A,FALSE,"MAQ-S1";#N/A,#N/A,FALSE,"MAQ-S2";#N/A,#N/A,FALSE,"MAQ-S3";#N/A,#N/A,FALSE,"PROD-VEN";#N/A,#N/A,FALSE,"PRECOS";#N/A,#N/A,FALSE,"BILAN";#N/A,#N/A,FALSE,"CASH-FLOW";#N/A,#N/A,FALSE,"SP4-5"}</definedName>
    <definedName name="_Inv3_1" localSheetId="8" hidden="1">{#N/A,#N/A,FALSE,"CAPA";#N/A,#N/A,FALSE,"INDICES";#N/A,#N/A,FALSE,"RES-GER-CONS";#N/A,#N/A,FALSE,"MAQ-S1";#N/A,#N/A,FALSE,"MAQ-S2";#N/A,#N/A,FALSE,"MAQ-S3";#N/A,#N/A,FALSE,"PROD-VEN";#N/A,#N/A,FALSE,"PRECOS";#N/A,#N/A,FALSE,"BILAN";#N/A,#N/A,FALSE,"CASH-FLOW";#N/A,#N/A,FALSE,"SP4-5"}</definedName>
    <definedName name="_Inv3_1" hidden="1">{#N/A,#N/A,FALSE,"CAPA";#N/A,#N/A,FALSE,"INDICES";#N/A,#N/A,FALSE,"RES-GER-CONS";#N/A,#N/A,FALSE,"MAQ-S1";#N/A,#N/A,FALSE,"MAQ-S2";#N/A,#N/A,FALSE,"MAQ-S3";#N/A,#N/A,FALSE,"PROD-VEN";#N/A,#N/A,FALSE,"PRECOS";#N/A,#N/A,FALSE,"BILAN";#N/A,#N/A,FALSE,"CASH-FLOW";#N/A,#N/A,FALSE,"SP4-5"}</definedName>
    <definedName name="_jh2" localSheetId="8" hidden="1">{"'100'!$A$1:$M$83"}</definedName>
    <definedName name="_jh2" hidden="1">{"'100'!$A$1:$M$83"}</definedName>
    <definedName name="_JU7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_Key1" localSheetId="7" hidden="1">#REF!</definedName>
    <definedName name="_Key1" localSheetId="8" hidden="1">#REF!</definedName>
    <definedName name="_Key1" hidden="1">#REF!</definedName>
    <definedName name="_Key2" localSheetId="8" hidden="1">#REF!</definedName>
    <definedName name="_Key2" hidden="1">#REF!</definedName>
    <definedName name="_Key3" hidden="1">#REF!</definedName>
    <definedName name="_kj14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_kj16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_kj4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_kj8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_kk2" localSheetId="8" hidden="1">{"'100'!$A$1:$M$83"}</definedName>
    <definedName name="_kk2" hidden="1">{"'100'!$A$1:$M$83"}</definedName>
    <definedName name="_ktb2" localSheetId="8" hidden="1">{#N/A,#N/A,FALSE,"Exhibits 5-7"}</definedName>
    <definedName name="_ktb2" hidden="1">{#N/A,#N/A,FALSE,"Exhibits 5-7"}</definedName>
    <definedName name="_ll1" localSheetId="8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_ll1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_lll1" localSheetId="8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_lll1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_lo2" localSheetId="8" hidden="1">{"'100'!$A$1:$M$83"}</definedName>
    <definedName name="_lo2" hidden="1">{"'100'!$A$1:$M$83"}</definedName>
    <definedName name="_mac2" localSheetId="8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_mac2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_mcm2" localSheetId="8" hidden="1">{"Pèrdues i Guanys analític.Català",#N/A,FALSE,"Català";"Pèrdues i G. analític.castellà",#N/A,FALSE,"Castellà"}</definedName>
    <definedName name="_mcm2" hidden="1">{"Pèrdues i Guanys analític.Català",#N/A,FALSE,"Català";"Pèrdues i G. analític.castellà",#N/A,FALSE,"Castellà"}</definedName>
    <definedName name="_mfg2" localSheetId="8" hidden="1">{"PAGE 1",#N/A,FALSE,"WEST_OT"}</definedName>
    <definedName name="_mfg2" hidden="1">{"PAGE 1",#N/A,FALSE,"WEST_OT"}</definedName>
    <definedName name="_mfg3" localSheetId="8" hidden="1">{"PAGE 1",#N/A,FALSE,"WEST_OT"}</definedName>
    <definedName name="_mfg3" hidden="1">{"PAGE 1",#N/A,FALSE,"WEST_OT"}</definedName>
    <definedName name="_mfg4" localSheetId="8" hidden="1">{"PAGE 1",#N/A,FALSE,"WEST_OT"}</definedName>
    <definedName name="_mfg4" hidden="1">{"PAGE 1",#N/A,FALSE,"WEST_OT"}</definedName>
    <definedName name="_mfg5" localSheetId="8" hidden="1">{"PAGE 1",#N/A,FALSE,"WEST_OT"}</definedName>
    <definedName name="_mfg5" hidden="1">{"PAGE 1",#N/A,FALSE,"WEST_OT"}</definedName>
    <definedName name="_mno9" localSheetId="8" hidden="1">{"detail",#N/A,FALSE,"mfg";"summary",#N/A,FALSE,"mfg"}</definedName>
    <definedName name="_mno9" hidden="1">{"detail",#N/A,FALSE,"mfg";"summary",#N/A,FALSE,"mfg"}</definedName>
    <definedName name="_n1" localSheetId="8" hidden="1">{"cover",#N/A,TRUE,"Cover";"toc8",#N/A,TRUE,"TOC";"over",#N/A,TRUE,"Overview";"ts2",#N/A,TRUE,"Det_Trans_Sum";"ei1c",#N/A,TRUE,"Earnings Impact";"ad1",#N/A,TRUE,"accretion dilution";"pfis1",#N/A,TRUE,"Pro Forma Income Statement";"ca1",#N/A,TRUE,"Contribution_Analysis";"profba",#N/A,TRUE,"Pro Forma Balance Sheet";"acq1c",#N/A,TRUE,"Acquirer";"tar1c",#N/A,TRUE,"Target"}</definedName>
    <definedName name="_n1" hidden="1">{"cover",#N/A,TRUE,"Cover";"toc8",#N/A,TRUE,"TOC";"over",#N/A,TRUE,"Overview";"ts2",#N/A,TRUE,"Det_Trans_Sum";"ei1c",#N/A,TRUE,"Earnings Impact";"ad1",#N/A,TRUE,"accretion dilution";"pfis1",#N/A,TRUE,"Pro Forma Income Statement";"ca1",#N/A,TRUE,"Contribution_Analysis";"profba",#N/A,TRUE,"Pro Forma Balance Sheet";"acq1c",#N/A,TRUE,"Acquirer";"tar1c",#N/A,TRUE,"Target"}</definedName>
    <definedName name="_n260" localSheetId="8" hidden="1">{"'Clientes_acumulado'!$A$1:$G$177"}</definedName>
    <definedName name="_n260" hidden="1">{"'Clientes_acumulado'!$A$1:$G$177"}</definedName>
    <definedName name="_n260_1" localSheetId="8" hidden="1">{"'Clientes_acumulado'!$A$1:$G$177"}</definedName>
    <definedName name="_n260_1" hidden="1">{"'Clientes_acumulado'!$A$1:$G$177"}</definedName>
    <definedName name="_n260_1_1" localSheetId="8" hidden="1">{"'Clientes_acumulado'!$A$1:$G$177"}</definedName>
    <definedName name="_n260_1_1" hidden="1">{"'Clientes_acumulado'!$A$1:$G$177"}</definedName>
    <definedName name="_n260_1_1_1" localSheetId="8" hidden="1">{"'Clientes_acumulado'!$A$1:$G$177"}</definedName>
    <definedName name="_n260_1_1_1" hidden="1">{"'Clientes_acumulado'!$A$1:$G$177"}</definedName>
    <definedName name="_n260_1_1_2" localSheetId="8" hidden="1">{"'Clientes_acumulado'!$A$1:$G$177"}</definedName>
    <definedName name="_n260_1_1_2" hidden="1">{"'Clientes_acumulado'!$A$1:$G$177"}</definedName>
    <definedName name="_n260_1_1_3" localSheetId="8" hidden="1">{"'Clientes_acumulado'!$A$1:$G$177"}</definedName>
    <definedName name="_n260_1_1_3" hidden="1">{"'Clientes_acumulado'!$A$1:$G$177"}</definedName>
    <definedName name="_n260_1_1_4" localSheetId="8" hidden="1">{"'Clientes_acumulado'!$A$1:$G$177"}</definedName>
    <definedName name="_n260_1_1_4" hidden="1">{"'Clientes_acumulado'!$A$1:$G$177"}</definedName>
    <definedName name="_n260_1_1_5" localSheetId="8" hidden="1">{"'Clientes_acumulado'!$A$1:$G$177"}</definedName>
    <definedName name="_n260_1_1_5" hidden="1">{"'Clientes_acumulado'!$A$1:$G$177"}</definedName>
    <definedName name="_n260_1_2" localSheetId="8" hidden="1">{"'Clientes_acumulado'!$A$1:$G$177"}</definedName>
    <definedName name="_n260_1_2" hidden="1">{"'Clientes_acumulado'!$A$1:$G$177"}</definedName>
    <definedName name="_n260_1_2_1" localSheetId="8" hidden="1">{"'Clientes_acumulado'!$A$1:$G$177"}</definedName>
    <definedName name="_n260_1_2_1" hidden="1">{"'Clientes_acumulado'!$A$1:$G$177"}</definedName>
    <definedName name="_n260_1_2_2" localSheetId="8" hidden="1">{"'Clientes_acumulado'!$A$1:$G$177"}</definedName>
    <definedName name="_n260_1_2_2" hidden="1">{"'Clientes_acumulado'!$A$1:$G$177"}</definedName>
    <definedName name="_n260_1_2_3" localSheetId="8" hidden="1">{"'Clientes_acumulado'!$A$1:$G$177"}</definedName>
    <definedName name="_n260_1_2_3" hidden="1">{"'Clientes_acumulado'!$A$1:$G$177"}</definedName>
    <definedName name="_n260_1_2_4" localSheetId="8" hidden="1">{"'Clientes_acumulado'!$A$1:$G$177"}</definedName>
    <definedName name="_n260_1_2_4" hidden="1">{"'Clientes_acumulado'!$A$1:$G$177"}</definedName>
    <definedName name="_n260_1_2_5" localSheetId="8" hidden="1">{"'Clientes_acumulado'!$A$1:$G$177"}</definedName>
    <definedName name="_n260_1_2_5" hidden="1">{"'Clientes_acumulado'!$A$1:$G$177"}</definedName>
    <definedName name="_n260_1_3" localSheetId="8" hidden="1">{"'Clientes_acumulado'!$A$1:$G$177"}</definedName>
    <definedName name="_n260_1_3" hidden="1">{"'Clientes_acumulado'!$A$1:$G$177"}</definedName>
    <definedName name="_n260_1_3_1" localSheetId="8" hidden="1">{"'Clientes_acumulado'!$A$1:$G$177"}</definedName>
    <definedName name="_n260_1_3_1" hidden="1">{"'Clientes_acumulado'!$A$1:$G$177"}</definedName>
    <definedName name="_n260_1_3_2" localSheetId="8" hidden="1">{"'Clientes_acumulado'!$A$1:$G$177"}</definedName>
    <definedName name="_n260_1_3_2" hidden="1">{"'Clientes_acumulado'!$A$1:$G$177"}</definedName>
    <definedName name="_n260_1_3_3" localSheetId="8" hidden="1">{"'Clientes_acumulado'!$A$1:$G$177"}</definedName>
    <definedName name="_n260_1_3_3" hidden="1">{"'Clientes_acumulado'!$A$1:$G$177"}</definedName>
    <definedName name="_n260_1_3_4" localSheetId="8" hidden="1">{"'Clientes_acumulado'!$A$1:$G$177"}</definedName>
    <definedName name="_n260_1_3_4" hidden="1">{"'Clientes_acumulado'!$A$1:$G$177"}</definedName>
    <definedName name="_n260_1_3_5" localSheetId="8" hidden="1">{"'Clientes_acumulado'!$A$1:$G$177"}</definedName>
    <definedName name="_n260_1_3_5" hidden="1">{"'Clientes_acumulado'!$A$1:$G$177"}</definedName>
    <definedName name="_n260_1_4" localSheetId="8" hidden="1">{"'Clientes_acumulado'!$A$1:$G$177"}</definedName>
    <definedName name="_n260_1_4" hidden="1">{"'Clientes_acumulado'!$A$1:$G$177"}</definedName>
    <definedName name="_n260_1_4_1" localSheetId="8" hidden="1">{"'Clientes_acumulado'!$A$1:$G$177"}</definedName>
    <definedName name="_n260_1_4_1" hidden="1">{"'Clientes_acumulado'!$A$1:$G$177"}</definedName>
    <definedName name="_n260_1_4_2" localSheetId="8" hidden="1">{"'Clientes_acumulado'!$A$1:$G$177"}</definedName>
    <definedName name="_n260_1_4_2" hidden="1">{"'Clientes_acumulado'!$A$1:$G$177"}</definedName>
    <definedName name="_n260_1_4_3" localSheetId="8" hidden="1">{"'Clientes_acumulado'!$A$1:$G$177"}</definedName>
    <definedName name="_n260_1_4_3" hidden="1">{"'Clientes_acumulado'!$A$1:$G$177"}</definedName>
    <definedName name="_n260_1_4_4" localSheetId="8" hidden="1">{"'Clientes_acumulado'!$A$1:$G$177"}</definedName>
    <definedName name="_n260_1_4_4" hidden="1">{"'Clientes_acumulado'!$A$1:$G$177"}</definedName>
    <definedName name="_n260_1_4_5" localSheetId="8" hidden="1">{"'Clientes_acumulado'!$A$1:$G$177"}</definedName>
    <definedName name="_n260_1_4_5" hidden="1">{"'Clientes_acumulado'!$A$1:$G$177"}</definedName>
    <definedName name="_n260_1_5" localSheetId="8" hidden="1">{"'Clientes_acumulado'!$A$1:$G$177"}</definedName>
    <definedName name="_n260_1_5" hidden="1">{"'Clientes_acumulado'!$A$1:$G$177"}</definedName>
    <definedName name="_n260_1_5_1" localSheetId="8" hidden="1">{"'Clientes_acumulado'!$A$1:$G$177"}</definedName>
    <definedName name="_n260_1_5_1" hidden="1">{"'Clientes_acumulado'!$A$1:$G$177"}</definedName>
    <definedName name="_n260_1_5_2" localSheetId="8" hidden="1">{"'Clientes_acumulado'!$A$1:$G$177"}</definedName>
    <definedName name="_n260_1_5_2" hidden="1">{"'Clientes_acumulado'!$A$1:$G$177"}</definedName>
    <definedName name="_n260_1_5_3" localSheetId="8" hidden="1">{"'Clientes_acumulado'!$A$1:$G$177"}</definedName>
    <definedName name="_n260_1_5_3" hidden="1">{"'Clientes_acumulado'!$A$1:$G$177"}</definedName>
    <definedName name="_n260_1_5_4" localSheetId="8" hidden="1">{"'Clientes_acumulado'!$A$1:$G$177"}</definedName>
    <definedName name="_n260_1_5_4" hidden="1">{"'Clientes_acumulado'!$A$1:$G$177"}</definedName>
    <definedName name="_n260_1_5_5" localSheetId="8" hidden="1">{"'Clientes_acumulado'!$A$1:$G$177"}</definedName>
    <definedName name="_n260_1_5_5" hidden="1">{"'Clientes_acumulado'!$A$1:$G$177"}</definedName>
    <definedName name="_n260_2" localSheetId="8" hidden="1">{"'Clientes_acumulado'!$A$1:$G$177"}</definedName>
    <definedName name="_n260_2" hidden="1">{"'Clientes_acumulado'!$A$1:$G$177"}</definedName>
    <definedName name="_n260_2_1" localSheetId="8" hidden="1">{"'Clientes_acumulado'!$A$1:$G$177"}</definedName>
    <definedName name="_n260_2_1" hidden="1">{"'Clientes_acumulado'!$A$1:$G$177"}</definedName>
    <definedName name="_n260_2_1_1" localSheetId="8" hidden="1">{"'Clientes_acumulado'!$A$1:$G$177"}</definedName>
    <definedName name="_n260_2_1_1" hidden="1">{"'Clientes_acumulado'!$A$1:$G$177"}</definedName>
    <definedName name="_n260_2_1_2" localSheetId="8" hidden="1">{"'Clientes_acumulado'!$A$1:$G$177"}</definedName>
    <definedName name="_n260_2_1_2" hidden="1">{"'Clientes_acumulado'!$A$1:$G$177"}</definedName>
    <definedName name="_n260_2_1_3" localSheetId="8" hidden="1">{"'Clientes_acumulado'!$A$1:$G$177"}</definedName>
    <definedName name="_n260_2_1_3" hidden="1">{"'Clientes_acumulado'!$A$1:$G$177"}</definedName>
    <definedName name="_n260_2_1_4" localSheetId="8" hidden="1">{"'Clientes_acumulado'!$A$1:$G$177"}</definedName>
    <definedName name="_n260_2_1_4" hidden="1">{"'Clientes_acumulado'!$A$1:$G$177"}</definedName>
    <definedName name="_n260_2_1_5" localSheetId="8" hidden="1">{"'Clientes_acumulado'!$A$1:$G$177"}</definedName>
    <definedName name="_n260_2_1_5" hidden="1">{"'Clientes_acumulado'!$A$1:$G$177"}</definedName>
    <definedName name="_n260_2_2" localSheetId="8" hidden="1">{"'Clientes_acumulado'!$A$1:$G$177"}</definedName>
    <definedName name="_n260_2_2" hidden="1">{"'Clientes_acumulado'!$A$1:$G$177"}</definedName>
    <definedName name="_n260_2_2_1" localSheetId="8" hidden="1">{"'Clientes_acumulado'!$A$1:$G$177"}</definedName>
    <definedName name="_n260_2_2_1" hidden="1">{"'Clientes_acumulado'!$A$1:$G$177"}</definedName>
    <definedName name="_n260_2_2_2" localSheetId="8" hidden="1">{"'Clientes_acumulado'!$A$1:$G$177"}</definedName>
    <definedName name="_n260_2_2_2" hidden="1">{"'Clientes_acumulado'!$A$1:$G$177"}</definedName>
    <definedName name="_n260_2_2_3" localSheetId="8" hidden="1">{"'Clientes_acumulado'!$A$1:$G$177"}</definedName>
    <definedName name="_n260_2_2_3" hidden="1">{"'Clientes_acumulado'!$A$1:$G$177"}</definedName>
    <definedName name="_n260_2_2_4" localSheetId="8" hidden="1">{"'Clientes_acumulado'!$A$1:$G$177"}</definedName>
    <definedName name="_n260_2_2_4" hidden="1">{"'Clientes_acumulado'!$A$1:$G$177"}</definedName>
    <definedName name="_n260_2_2_5" localSheetId="8" hidden="1">{"'Clientes_acumulado'!$A$1:$G$177"}</definedName>
    <definedName name="_n260_2_2_5" hidden="1">{"'Clientes_acumulado'!$A$1:$G$177"}</definedName>
    <definedName name="_n260_2_3" localSheetId="8" hidden="1">{"'Clientes_acumulado'!$A$1:$G$177"}</definedName>
    <definedName name="_n260_2_3" hidden="1">{"'Clientes_acumulado'!$A$1:$G$177"}</definedName>
    <definedName name="_n260_2_3_1" localSheetId="8" hidden="1">{"'Clientes_acumulado'!$A$1:$G$177"}</definedName>
    <definedName name="_n260_2_3_1" hidden="1">{"'Clientes_acumulado'!$A$1:$G$177"}</definedName>
    <definedName name="_n260_2_3_2" localSheetId="8" hidden="1">{"'Clientes_acumulado'!$A$1:$G$177"}</definedName>
    <definedName name="_n260_2_3_2" hidden="1">{"'Clientes_acumulado'!$A$1:$G$177"}</definedName>
    <definedName name="_n260_2_3_3" localSheetId="8" hidden="1">{"'Clientes_acumulado'!$A$1:$G$177"}</definedName>
    <definedName name="_n260_2_3_3" hidden="1">{"'Clientes_acumulado'!$A$1:$G$177"}</definedName>
    <definedName name="_n260_2_3_4" localSheetId="8" hidden="1">{"'Clientes_acumulado'!$A$1:$G$177"}</definedName>
    <definedName name="_n260_2_3_4" hidden="1">{"'Clientes_acumulado'!$A$1:$G$177"}</definedName>
    <definedName name="_n260_2_3_5" localSheetId="8" hidden="1">{"'Clientes_acumulado'!$A$1:$G$177"}</definedName>
    <definedName name="_n260_2_3_5" hidden="1">{"'Clientes_acumulado'!$A$1:$G$177"}</definedName>
    <definedName name="_n260_2_4" localSheetId="8" hidden="1">{"'Clientes_acumulado'!$A$1:$G$177"}</definedName>
    <definedName name="_n260_2_4" hidden="1">{"'Clientes_acumulado'!$A$1:$G$177"}</definedName>
    <definedName name="_n260_2_4_1" localSheetId="8" hidden="1">{"'Clientes_acumulado'!$A$1:$G$177"}</definedName>
    <definedName name="_n260_2_4_1" hidden="1">{"'Clientes_acumulado'!$A$1:$G$177"}</definedName>
    <definedName name="_n260_2_4_2" localSheetId="8" hidden="1">{"'Clientes_acumulado'!$A$1:$G$177"}</definedName>
    <definedName name="_n260_2_4_2" hidden="1">{"'Clientes_acumulado'!$A$1:$G$177"}</definedName>
    <definedName name="_n260_2_4_3" localSheetId="8" hidden="1">{"'Clientes_acumulado'!$A$1:$G$177"}</definedName>
    <definedName name="_n260_2_4_3" hidden="1">{"'Clientes_acumulado'!$A$1:$G$177"}</definedName>
    <definedName name="_n260_2_4_4" localSheetId="8" hidden="1">{"'Clientes_acumulado'!$A$1:$G$177"}</definedName>
    <definedName name="_n260_2_4_4" hidden="1">{"'Clientes_acumulado'!$A$1:$G$177"}</definedName>
    <definedName name="_n260_2_4_5" localSheetId="8" hidden="1">{"'Clientes_acumulado'!$A$1:$G$177"}</definedName>
    <definedName name="_n260_2_4_5" hidden="1">{"'Clientes_acumulado'!$A$1:$G$177"}</definedName>
    <definedName name="_n260_2_5" localSheetId="8" hidden="1">{"'Clientes_acumulado'!$A$1:$G$177"}</definedName>
    <definedName name="_n260_2_5" hidden="1">{"'Clientes_acumulado'!$A$1:$G$177"}</definedName>
    <definedName name="_n260_2_5_1" localSheetId="8" hidden="1">{"'Clientes_acumulado'!$A$1:$G$177"}</definedName>
    <definedName name="_n260_2_5_1" hidden="1">{"'Clientes_acumulado'!$A$1:$G$177"}</definedName>
    <definedName name="_n260_2_5_2" localSheetId="8" hidden="1">{"'Clientes_acumulado'!$A$1:$G$177"}</definedName>
    <definedName name="_n260_2_5_2" hidden="1">{"'Clientes_acumulado'!$A$1:$G$177"}</definedName>
    <definedName name="_n260_2_5_3" localSheetId="8" hidden="1">{"'Clientes_acumulado'!$A$1:$G$177"}</definedName>
    <definedName name="_n260_2_5_3" hidden="1">{"'Clientes_acumulado'!$A$1:$G$177"}</definedName>
    <definedName name="_n260_2_5_4" localSheetId="8" hidden="1">{"'Clientes_acumulado'!$A$1:$G$177"}</definedName>
    <definedName name="_n260_2_5_4" hidden="1">{"'Clientes_acumulado'!$A$1:$G$177"}</definedName>
    <definedName name="_n260_2_5_5" localSheetId="8" hidden="1">{"'Clientes_acumulado'!$A$1:$G$177"}</definedName>
    <definedName name="_n260_2_5_5" hidden="1">{"'Clientes_acumulado'!$A$1:$G$177"}</definedName>
    <definedName name="_n260_3" localSheetId="8" hidden="1">{"'Clientes_acumulado'!$A$1:$G$177"}</definedName>
    <definedName name="_n260_3" hidden="1">{"'Clientes_acumulado'!$A$1:$G$177"}</definedName>
    <definedName name="_n260_3_1" localSheetId="8" hidden="1">{"'Clientes_acumulado'!$A$1:$G$177"}</definedName>
    <definedName name="_n260_3_1" hidden="1">{"'Clientes_acumulado'!$A$1:$G$177"}</definedName>
    <definedName name="_n260_3_1_1" localSheetId="8" hidden="1">{"'Clientes_acumulado'!$A$1:$G$177"}</definedName>
    <definedName name="_n260_3_1_1" hidden="1">{"'Clientes_acumulado'!$A$1:$G$177"}</definedName>
    <definedName name="_n260_3_1_2" localSheetId="8" hidden="1">{"'Clientes_acumulado'!$A$1:$G$177"}</definedName>
    <definedName name="_n260_3_1_2" hidden="1">{"'Clientes_acumulado'!$A$1:$G$177"}</definedName>
    <definedName name="_n260_3_1_3" localSheetId="8" hidden="1">{"'Clientes_acumulado'!$A$1:$G$177"}</definedName>
    <definedName name="_n260_3_1_3" hidden="1">{"'Clientes_acumulado'!$A$1:$G$177"}</definedName>
    <definedName name="_n260_3_1_4" localSheetId="8" hidden="1">{"'Clientes_acumulado'!$A$1:$G$177"}</definedName>
    <definedName name="_n260_3_1_4" hidden="1">{"'Clientes_acumulado'!$A$1:$G$177"}</definedName>
    <definedName name="_n260_3_1_5" localSheetId="8" hidden="1">{"'Clientes_acumulado'!$A$1:$G$177"}</definedName>
    <definedName name="_n260_3_1_5" hidden="1">{"'Clientes_acumulado'!$A$1:$G$177"}</definedName>
    <definedName name="_n260_3_2" localSheetId="8" hidden="1">{"'Clientes_acumulado'!$A$1:$G$177"}</definedName>
    <definedName name="_n260_3_2" hidden="1">{"'Clientes_acumulado'!$A$1:$G$177"}</definedName>
    <definedName name="_n260_3_2_1" localSheetId="8" hidden="1">{"'Clientes_acumulado'!$A$1:$G$177"}</definedName>
    <definedName name="_n260_3_2_1" hidden="1">{"'Clientes_acumulado'!$A$1:$G$177"}</definedName>
    <definedName name="_n260_3_2_2" localSheetId="8" hidden="1">{"'Clientes_acumulado'!$A$1:$G$177"}</definedName>
    <definedName name="_n260_3_2_2" hidden="1">{"'Clientes_acumulado'!$A$1:$G$177"}</definedName>
    <definedName name="_n260_3_2_3" localSheetId="8" hidden="1">{"'Clientes_acumulado'!$A$1:$G$177"}</definedName>
    <definedName name="_n260_3_2_3" hidden="1">{"'Clientes_acumulado'!$A$1:$G$177"}</definedName>
    <definedName name="_n260_3_2_4" localSheetId="8" hidden="1">{"'Clientes_acumulado'!$A$1:$G$177"}</definedName>
    <definedName name="_n260_3_2_4" hidden="1">{"'Clientes_acumulado'!$A$1:$G$177"}</definedName>
    <definedName name="_n260_3_2_5" localSheetId="8" hidden="1">{"'Clientes_acumulado'!$A$1:$G$177"}</definedName>
    <definedName name="_n260_3_2_5" hidden="1">{"'Clientes_acumulado'!$A$1:$G$177"}</definedName>
    <definedName name="_n260_3_3" localSheetId="8" hidden="1">{"'Clientes_acumulado'!$A$1:$G$177"}</definedName>
    <definedName name="_n260_3_3" hidden="1">{"'Clientes_acumulado'!$A$1:$G$177"}</definedName>
    <definedName name="_n260_3_3_1" localSheetId="8" hidden="1">{"'Clientes_acumulado'!$A$1:$G$177"}</definedName>
    <definedName name="_n260_3_3_1" hidden="1">{"'Clientes_acumulado'!$A$1:$G$177"}</definedName>
    <definedName name="_n260_3_3_2" localSheetId="8" hidden="1">{"'Clientes_acumulado'!$A$1:$G$177"}</definedName>
    <definedName name="_n260_3_3_2" hidden="1">{"'Clientes_acumulado'!$A$1:$G$177"}</definedName>
    <definedName name="_n260_3_3_3" localSheetId="8" hidden="1">{"'Clientes_acumulado'!$A$1:$G$177"}</definedName>
    <definedName name="_n260_3_3_3" hidden="1">{"'Clientes_acumulado'!$A$1:$G$177"}</definedName>
    <definedName name="_n260_3_3_4" localSheetId="8" hidden="1">{"'Clientes_acumulado'!$A$1:$G$177"}</definedName>
    <definedName name="_n260_3_3_4" hidden="1">{"'Clientes_acumulado'!$A$1:$G$177"}</definedName>
    <definedName name="_n260_3_3_5" localSheetId="8" hidden="1">{"'Clientes_acumulado'!$A$1:$G$177"}</definedName>
    <definedName name="_n260_3_3_5" hidden="1">{"'Clientes_acumulado'!$A$1:$G$177"}</definedName>
    <definedName name="_n260_3_4" localSheetId="8" hidden="1">{"'Clientes_acumulado'!$A$1:$G$177"}</definedName>
    <definedName name="_n260_3_4" hidden="1">{"'Clientes_acumulado'!$A$1:$G$177"}</definedName>
    <definedName name="_n260_3_4_1" localSheetId="8" hidden="1">{"'Clientes_acumulado'!$A$1:$G$177"}</definedName>
    <definedName name="_n260_3_4_1" hidden="1">{"'Clientes_acumulado'!$A$1:$G$177"}</definedName>
    <definedName name="_n260_3_4_2" localSheetId="8" hidden="1">{"'Clientes_acumulado'!$A$1:$G$177"}</definedName>
    <definedName name="_n260_3_4_2" hidden="1">{"'Clientes_acumulado'!$A$1:$G$177"}</definedName>
    <definedName name="_n260_3_4_3" localSheetId="8" hidden="1">{"'Clientes_acumulado'!$A$1:$G$177"}</definedName>
    <definedName name="_n260_3_4_3" hidden="1">{"'Clientes_acumulado'!$A$1:$G$177"}</definedName>
    <definedName name="_n260_3_4_4" localSheetId="8" hidden="1">{"'Clientes_acumulado'!$A$1:$G$177"}</definedName>
    <definedName name="_n260_3_4_4" hidden="1">{"'Clientes_acumulado'!$A$1:$G$177"}</definedName>
    <definedName name="_n260_3_4_5" localSheetId="8" hidden="1">{"'Clientes_acumulado'!$A$1:$G$177"}</definedName>
    <definedName name="_n260_3_4_5" hidden="1">{"'Clientes_acumulado'!$A$1:$G$177"}</definedName>
    <definedName name="_n260_3_5" localSheetId="8" hidden="1">{"'Clientes_acumulado'!$A$1:$G$177"}</definedName>
    <definedName name="_n260_3_5" hidden="1">{"'Clientes_acumulado'!$A$1:$G$177"}</definedName>
    <definedName name="_n260_3_5_1" localSheetId="8" hidden="1">{"'Clientes_acumulado'!$A$1:$G$177"}</definedName>
    <definedName name="_n260_3_5_1" hidden="1">{"'Clientes_acumulado'!$A$1:$G$177"}</definedName>
    <definedName name="_n260_3_5_2" localSheetId="8" hidden="1">{"'Clientes_acumulado'!$A$1:$G$177"}</definedName>
    <definedName name="_n260_3_5_2" hidden="1">{"'Clientes_acumulado'!$A$1:$G$177"}</definedName>
    <definedName name="_n260_3_5_3" localSheetId="8" hidden="1">{"'Clientes_acumulado'!$A$1:$G$177"}</definedName>
    <definedName name="_n260_3_5_3" hidden="1">{"'Clientes_acumulado'!$A$1:$G$177"}</definedName>
    <definedName name="_n260_3_5_4" localSheetId="8" hidden="1">{"'Clientes_acumulado'!$A$1:$G$177"}</definedName>
    <definedName name="_n260_3_5_4" hidden="1">{"'Clientes_acumulado'!$A$1:$G$177"}</definedName>
    <definedName name="_n260_3_5_5" localSheetId="8" hidden="1">{"'Clientes_acumulado'!$A$1:$G$177"}</definedName>
    <definedName name="_n260_3_5_5" hidden="1">{"'Clientes_acumulado'!$A$1:$G$177"}</definedName>
    <definedName name="_n260_4" localSheetId="8" hidden="1">{"'Clientes_acumulado'!$A$1:$G$177"}</definedName>
    <definedName name="_n260_4" hidden="1">{"'Clientes_acumulado'!$A$1:$G$177"}</definedName>
    <definedName name="_n260_4_1" localSheetId="8" hidden="1">{"'Clientes_acumulado'!$A$1:$G$177"}</definedName>
    <definedName name="_n260_4_1" hidden="1">{"'Clientes_acumulado'!$A$1:$G$177"}</definedName>
    <definedName name="_n260_4_1_1" localSheetId="8" hidden="1">{"'Clientes_acumulado'!$A$1:$G$177"}</definedName>
    <definedName name="_n260_4_1_1" hidden="1">{"'Clientes_acumulado'!$A$1:$G$177"}</definedName>
    <definedName name="_n260_4_1_2" localSheetId="8" hidden="1">{"'Clientes_acumulado'!$A$1:$G$177"}</definedName>
    <definedName name="_n260_4_1_2" hidden="1">{"'Clientes_acumulado'!$A$1:$G$177"}</definedName>
    <definedName name="_n260_4_1_3" localSheetId="8" hidden="1">{"'Clientes_acumulado'!$A$1:$G$177"}</definedName>
    <definedName name="_n260_4_1_3" hidden="1">{"'Clientes_acumulado'!$A$1:$G$177"}</definedName>
    <definedName name="_n260_4_1_4" localSheetId="8" hidden="1">{"'Clientes_acumulado'!$A$1:$G$177"}</definedName>
    <definedName name="_n260_4_1_4" hidden="1">{"'Clientes_acumulado'!$A$1:$G$177"}</definedName>
    <definedName name="_n260_4_1_5" localSheetId="8" hidden="1">{"'Clientes_acumulado'!$A$1:$G$177"}</definedName>
    <definedName name="_n260_4_1_5" hidden="1">{"'Clientes_acumulado'!$A$1:$G$177"}</definedName>
    <definedName name="_n260_4_2" localSheetId="8" hidden="1">{"'Clientes_acumulado'!$A$1:$G$177"}</definedName>
    <definedName name="_n260_4_2" hidden="1">{"'Clientes_acumulado'!$A$1:$G$177"}</definedName>
    <definedName name="_n260_4_2_1" localSheetId="8" hidden="1">{"'Clientes_acumulado'!$A$1:$G$177"}</definedName>
    <definedName name="_n260_4_2_1" hidden="1">{"'Clientes_acumulado'!$A$1:$G$177"}</definedName>
    <definedName name="_n260_4_2_2" localSheetId="8" hidden="1">{"'Clientes_acumulado'!$A$1:$G$177"}</definedName>
    <definedName name="_n260_4_2_2" hidden="1">{"'Clientes_acumulado'!$A$1:$G$177"}</definedName>
    <definedName name="_n260_4_2_3" localSheetId="8" hidden="1">{"'Clientes_acumulado'!$A$1:$G$177"}</definedName>
    <definedName name="_n260_4_2_3" hidden="1">{"'Clientes_acumulado'!$A$1:$G$177"}</definedName>
    <definedName name="_n260_4_2_4" localSheetId="8" hidden="1">{"'Clientes_acumulado'!$A$1:$G$177"}</definedName>
    <definedName name="_n260_4_2_4" hidden="1">{"'Clientes_acumulado'!$A$1:$G$177"}</definedName>
    <definedName name="_n260_4_2_5" localSheetId="8" hidden="1">{"'Clientes_acumulado'!$A$1:$G$177"}</definedName>
    <definedName name="_n260_4_2_5" hidden="1">{"'Clientes_acumulado'!$A$1:$G$177"}</definedName>
    <definedName name="_n260_4_3" localSheetId="8" hidden="1">{"'Clientes_acumulado'!$A$1:$G$177"}</definedName>
    <definedName name="_n260_4_3" hidden="1">{"'Clientes_acumulado'!$A$1:$G$177"}</definedName>
    <definedName name="_n260_4_3_1" localSheetId="8" hidden="1">{"'Clientes_acumulado'!$A$1:$G$177"}</definedName>
    <definedName name="_n260_4_3_1" hidden="1">{"'Clientes_acumulado'!$A$1:$G$177"}</definedName>
    <definedName name="_n260_4_3_2" localSheetId="8" hidden="1">{"'Clientes_acumulado'!$A$1:$G$177"}</definedName>
    <definedName name="_n260_4_3_2" hidden="1">{"'Clientes_acumulado'!$A$1:$G$177"}</definedName>
    <definedName name="_n260_4_3_3" localSheetId="8" hidden="1">{"'Clientes_acumulado'!$A$1:$G$177"}</definedName>
    <definedName name="_n260_4_3_3" hidden="1">{"'Clientes_acumulado'!$A$1:$G$177"}</definedName>
    <definedName name="_n260_4_3_4" localSheetId="8" hidden="1">{"'Clientes_acumulado'!$A$1:$G$177"}</definedName>
    <definedName name="_n260_4_3_4" hidden="1">{"'Clientes_acumulado'!$A$1:$G$177"}</definedName>
    <definedName name="_n260_4_3_5" localSheetId="8" hidden="1">{"'Clientes_acumulado'!$A$1:$G$177"}</definedName>
    <definedName name="_n260_4_3_5" hidden="1">{"'Clientes_acumulado'!$A$1:$G$177"}</definedName>
    <definedName name="_n260_4_4" localSheetId="8" hidden="1">{"'Clientes_acumulado'!$A$1:$G$177"}</definedName>
    <definedName name="_n260_4_4" hidden="1">{"'Clientes_acumulado'!$A$1:$G$177"}</definedName>
    <definedName name="_n260_4_4_1" localSheetId="8" hidden="1">{"'Clientes_acumulado'!$A$1:$G$177"}</definedName>
    <definedName name="_n260_4_4_1" hidden="1">{"'Clientes_acumulado'!$A$1:$G$177"}</definedName>
    <definedName name="_n260_4_4_2" localSheetId="8" hidden="1">{"'Clientes_acumulado'!$A$1:$G$177"}</definedName>
    <definedName name="_n260_4_4_2" hidden="1">{"'Clientes_acumulado'!$A$1:$G$177"}</definedName>
    <definedName name="_n260_4_4_3" localSheetId="8" hidden="1">{"'Clientes_acumulado'!$A$1:$G$177"}</definedName>
    <definedName name="_n260_4_4_3" hidden="1">{"'Clientes_acumulado'!$A$1:$G$177"}</definedName>
    <definedName name="_n260_4_4_4" localSheetId="8" hidden="1">{"'Clientes_acumulado'!$A$1:$G$177"}</definedName>
    <definedName name="_n260_4_4_4" hidden="1">{"'Clientes_acumulado'!$A$1:$G$177"}</definedName>
    <definedName name="_n260_4_4_5" localSheetId="8" hidden="1">{"'Clientes_acumulado'!$A$1:$G$177"}</definedName>
    <definedName name="_n260_4_4_5" hidden="1">{"'Clientes_acumulado'!$A$1:$G$177"}</definedName>
    <definedName name="_n260_4_5" localSheetId="8" hidden="1">{"'Clientes_acumulado'!$A$1:$G$177"}</definedName>
    <definedName name="_n260_4_5" hidden="1">{"'Clientes_acumulado'!$A$1:$G$177"}</definedName>
    <definedName name="_n260_4_5_1" localSheetId="8" hidden="1">{"'Clientes_acumulado'!$A$1:$G$177"}</definedName>
    <definedName name="_n260_4_5_1" hidden="1">{"'Clientes_acumulado'!$A$1:$G$177"}</definedName>
    <definedName name="_n260_4_5_2" localSheetId="8" hidden="1">{"'Clientes_acumulado'!$A$1:$G$177"}</definedName>
    <definedName name="_n260_4_5_2" hidden="1">{"'Clientes_acumulado'!$A$1:$G$177"}</definedName>
    <definedName name="_n260_4_5_3" localSheetId="8" hidden="1">{"'Clientes_acumulado'!$A$1:$G$177"}</definedName>
    <definedName name="_n260_4_5_3" hidden="1">{"'Clientes_acumulado'!$A$1:$G$177"}</definedName>
    <definedName name="_n260_4_5_4" localSheetId="8" hidden="1">{"'Clientes_acumulado'!$A$1:$G$177"}</definedName>
    <definedName name="_n260_4_5_4" hidden="1">{"'Clientes_acumulado'!$A$1:$G$177"}</definedName>
    <definedName name="_n260_4_5_5" localSheetId="8" hidden="1">{"'Clientes_acumulado'!$A$1:$G$177"}</definedName>
    <definedName name="_n260_4_5_5" hidden="1">{"'Clientes_acumulado'!$A$1:$G$177"}</definedName>
    <definedName name="_n260_5" localSheetId="8" hidden="1">{"'Clientes_acumulado'!$A$1:$G$177"}</definedName>
    <definedName name="_n260_5" hidden="1">{"'Clientes_acumulado'!$A$1:$G$177"}</definedName>
    <definedName name="_n260_5_1" localSheetId="8" hidden="1">{"'Clientes_acumulado'!$A$1:$G$177"}</definedName>
    <definedName name="_n260_5_1" hidden="1">{"'Clientes_acumulado'!$A$1:$G$177"}</definedName>
    <definedName name="_n260_5_1_1" localSheetId="8" hidden="1">{"'Clientes_acumulado'!$A$1:$G$177"}</definedName>
    <definedName name="_n260_5_1_1" hidden="1">{"'Clientes_acumulado'!$A$1:$G$177"}</definedName>
    <definedName name="_n260_5_1_2" localSheetId="8" hidden="1">{"'Clientes_acumulado'!$A$1:$G$177"}</definedName>
    <definedName name="_n260_5_1_2" hidden="1">{"'Clientes_acumulado'!$A$1:$G$177"}</definedName>
    <definedName name="_n260_5_1_3" localSheetId="8" hidden="1">{"'Clientes_acumulado'!$A$1:$G$177"}</definedName>
    <definedName name="_n260_5_1_3" hidden="1">{"'Clientes_acumulado'!$A$1:$G$177"}</definedName>
    <definedName name="_n260_5_1_4" localSheetId="8" hidden="1">{"'Clientes_acumulado'!$A$1:$G$177"}</definedName>
    <definedName name="_n260_5_1_4" hidden="1">{"'Clientes_acumulado'!$A$1:$G$177"}</definedName>
    <definedName name="_n260_5_1_5" localSheetId="8" hidden="1">{"'Clientes_acumulado'!$A$1:$G$177"}</definedName>
    <definedName name="_n260_5_1_5" hidden="1">{"'Clientes_acumulado'!$A$1:$G$177"}</definedName>
    <definedName name="_n260_5_2" localSheetId="8" hidden="1">{"'Clientes_acumulado'!$A$1:$G$177"}</definedName>
    <definedName name="_n260_5_2" hidden="1">{"'Clientes_acumulado'!$A$1:$G$177"}</definedName>
    <definedName name="_n260_5_2_1" localSheetId="8" hidden="1">{"'Clientes_acumulado'!$A$1:$G$177"}</definedName>
    <definedName name="_n260_5_2_1" hidden="1">{"'Clientes_acumulado'!$A$1:$G$177"}</definedName>
    <definedName name="_n260_5_2_2" localSheetId="8" hidden="1">{"'Clientes_acumulado'!$A$1:$G$177"}</definedName>
    <definedName name="_n260_5_2_2" hidden="1">{"'Clientes_acumulado'!$A$1:$G$177"}</definedName>
    <definedName name="_n260_5_2_3" localSheetId="8" hidden="1">{"'Clientes_acumulado'!$A$1:$G$177"}</definedName>
    <definedName name="_n260_5_2_3" hidden="1">{"'Clientes_acumulado'!$A$1:$G$177"}</definedName>
    <definedName name="_n260_5_2_4" localSheetId="8" hidden="1">{"'Clientes_acumulado'!$A$1:$G$177"}</definedName>
    <definedName name="_n260_5_2_4" hidden="1">{"'Clientes_acumulado'!$A$1:$G$177"}</definedName>
    <definedName name="_n260_5_2_5" localSheetId="8" hidden="1">{"'Clientes_acumulado'!$A$1:$G$177"}</definedName>
    <definedName name="_n260_5_2_5" hidden="1">{"'Clientes_acumulado'!$A$1:$G$177"}</definedName>
    <definedName name="_n260_5_3" localSheetId="8" hidden="1">{"'Clientes_acumulado'!$A$1:$G$177"}</definedName>
    <definedName name="_n260_5_3" hidden="1">{"'Clientes_acumulado'!$A$1:$G$177"}</definedName>
    <definedName name="_n260_5_3_1" localSheetId="8" hidden="1">{"'Clientes_acumulado'!$A$1:$G$177"}</definedName>
    <definedName name="_n260_5_3_1" hidden="1">{"'Clientes_acumulado'!$A$1:$G$177"}</definedName>
    <definedName name="_n260_5_3_2" localSheetId="8" hidden="1">{"'Clientes_acumulado'!$A$1:$G$177"}</definedName>
    <definedName name="_n260_5_3_2" hidden="1">{"'Clientes_acumulado'!$A$1:$G$177"}</definedName>
    <definedName name="_n260_5_3_3" localSheetId="8" hidden="1">{"'Clientes_acumulado'!$A$1:$G$177"}</definedName>
    <definedName name="_n260_5_3_3" hidden="1">{"'Clientes_acumulado'!$A$1:$G$177"}</definedName>
    <definedName name="_n260_5_3_4" localSheetId="8" hidden="1">{"'Clientes_acumulado'!$A$1:$G$177"}</definedName>
    <definedName name="_n260_5_3_4" hidden="1">{"'Clientes_acumulado'!$A$1:$G$177"}</definedName>
    <definedName name="_n260_5_3_5" localSheetId="8" hidden="1">{"'Clientes_acumulado'!$A$1:$G$177"}</definedName>
    <definedName name="_n260_5_3_5" hidden="1">{"'Clientes_acumulado'!$A$1:$G$177"}</definedName>
    <definedName name="_n260_5_4" localSheetId="8" hidden="1">{"'Clientes_acumulado'!$A$1:$G$177"}</definedName>
    <definedName name="_n260_5_4" hidden="1">{"'Clientes_acumulado'!$A$1:$G$177"}</definedName>
    <definedName name="_n260_5_4_1" localSheetId="8" hidden="1">{"'Clientes_acumulado'!$A$1:$G$177"}</definedName>
    <definedName name="_n260_5_4_1" hidden="1">{"'Clientes_acumulado'!$A$1:$G$177"}</definedName>
    <definedName name="_n260_5_4_2" localSheetId="8" hidden="1">{"'Clientes_acumulado'!$A$1:$G$177"}</definedName>
    <definedName name="_n260_5_4_2" hidden="1">{"'Clientes_acumulado'!$A$1:$G$177"}</definedName>
    <definedName name="_n260_5_4_3" localSheetId="8" hidden="1">{"'Clientes_acumulado'!$A$1:$G$177"}</definedName>
    <definedName name="_n260_5_4_3" hidden="1">{"'Clientes_acumulado'!$A$1:$G$177"}</definedName>
    <definedName name="_n260_5_4_4" localSheetId="8" hidden="1">{"'Clientes_acumulado'!$A$1:$G$177"}</definedName>
    <definedName name="_n260_5_4_4" hidden="1">{"'Clientes_acumulado'!$A$1:$G$177"}</definedName>
    <definedName name="_n260_5_4_5" localSheetId="8" hidden="1">{"'Clientes_acumulado'!$A$1:$G$177"}</definedName>
    <definedName name="_n260_5_4_5" hidden="1">{"'Clientes_acumulado'!$A$1:$G$177"}</definedName>
    <definedName name="_n260_5_5" localSheetId="8" hidden="1">{"'Clientes_acumulado'!$A$1:$G$177"}</definedName>
    <definedName name="_n260_5_5" hidden="1">{"'Clientes_acumulado'!$A$1:$G$177"}</definedName>
    <definedName name="_n260_5_5_1" localSheetId="8" hidden="1">{"'Clientes_acumulado'!$A$1:$G$177"}</definedName>
    <definedName name="_n260_5_5_1" hidden="1">{"'Clientes_acumulado'!$A$1:$G$177"}</definedName>
    <definedName name="_n260_5_5_2" localSheetId="8" hidden="1">{"'Clientes_acumulado'!$A$1:$G$177"}</definedName>
    <definedName name="_n260_5_5_2" hidden="1">{"'Clientes_acumulado'!$A$1:$G$177"}</definedName>
    <definedName name="_n260_5_5_3" localSheetId="8" hidden="1">{"'Clientes_acumulado'!$A$1:$G$177"}</definedName>
    <definedName name="_n260_5_5_3" hidden="1">{"'Clientes_acumulado'!$A$1:$G$177"}</definedName>
    <definedName name="_n260_5_5_4" localSheetId="8" hidden="1">{"'Clientes_acumulado'!$A$1:$G$177"}</definedName>
    <definedName name="_n260_5_5_4" hidden="1">{"'Clientes_acumulado'!$A$1:$G$177"}</definedName>
    <definedName name="_n260_5_5_5" localSheetId="8" hidden="1">{"'Clientes_acumulado'!$A$1:$G$177"}</definedName>
    <definedName name="_n260_5_5_5" hidden="1">{"'Clientes_acumulado'!$A$1:$G$177"}</definedName>
    <definedName name="_N6102" localSheetId="8" hidden="1">{"'Clientes_acumulado'!$A$1:$G$177"}</definedName>
    <definedName name="_N6102" hidden="1">{"'Clientes_acumulado'!$A$1:$G$177"}</definedName>
    <definedName name="_N6102_1" localSheetId="8" hidden="1">{"'Clientes_acumulado'!$A$1:$G$177"}</definedName>
    <definedName name="_N6102_1" hidden="1">{"'Clientes_acumulado'!$A$1:$G$177"}</definedName>
    <definedName name="_N6102_1_1" localSheetId="8" hidden="1">{"'Clientes_acumulado'!$A$1:$G$177"}</definedName>
    <definedName name="_N6102_1_1" hidden="1">{"'Clientes_acumulado'!$A$1:$G$177"}</definedName>
    <definedName name="_N6102_1_1_1" localSheetId="8" hidden="1">{"'Clientes_acumulado'!$A$1:$G$177"}</definedName>
    <definedName name="_N6102_1_1_1" hidden="1">{"'Clientes_acumulado'!$A$1:$G$177"}</definedName>
    <definedName name="_N6102_1_1_2" localSheetId="8" hidden="1">{"'Clientes_acumulado'!$A$1:$G$177"}</definedName>
    <definedName name="_N6102_1_1_2" hidden="1">{"'Clientes_acumulado'!$A$1:$G$177"}</definedName>
    <definedName name="_N6102_1_1_3" localSheetId="8" hidden="1">{"'Clientes_acumulado'!$A$1:$G$177"}</definedName>
    <definedName name="_N6102_1_1_3" hidden="1">{"'Clientes_acumulado'!$A$1:$G$177"}</definedName>
    <definedName name="_N6102_1_1_4" localSheetId="8" hidden="1">{"'Clientes_acumulado'!$A$1:$G$177"}</definedName>
    <definedName name="_N6102_1_1_4" hidden="1">{"'Clientes_acumulado'!$A$1:$G$177"}</definedName>
    <definedName name="_N6102_1_1_5" localSheetId="8" hidden="1">{"'Clientes_acumulado'!$A$1:$G$177"}</definedName>
    <definedName name="_N6102_1_1_5" hidden="1">{"'Clientes_acumulado'!$A$1:$G$177"}</definedName>
    <definedName name="_N6102_1_2" localSheetId="8" hidden="1">{"'Clientes_acumulado'!$A$1:$G$177"}</definedName>
    <definedName name="_N6102_1_2" hidden="1">{"'Clientes_acumulado'!$A$1:$G$177"}</definedName>
    <definedName name="_N6102_1_2_1" localSheetId="8" hidden="1">{"'Clientes_acumulado'!$A$1:$G$177"}</definedName>
    <definedName name="_N6102_1_2_1" hidden="1">{"'Clientes_acumulado'!$A$1:$G$177"}</definedName>
    <definedName name="_N6102_1_2_2" localSheetId="8" hidden="1">{"'Clientes_acumulado'!$A$1:$G$177"}</definedName>
    <definedName name="_N6102_1_2_2" hidden="1">{"'Clientes_acumulado'!$A$1:$G$177"}</definedName>
    <definedName name="_N6102_1_2_3" localSheetId="8" hidden="1">{"'Clientes_acumulado'!$A$1:$G$177"}</definedName>
    <definedName name="_N6102_1_2_3" hidden="1">{"'Clientes_acumulado'!$A$1:$G$177"}</definedName>
    <definedName name="_N6102_1_2_4" localSheetId="8" hidden="1">{"'Clientes_acumulado'!$A$1:$G$177"}</definedName>
    <definedName name="_N6102_1_2_4" hidden="1">{"'Clientes_acumulado'!$A$1:$G$177"}</definedName>
    <definedName name="_N6102_1_2_5" localSheetId="8" hidden="1">{"'Clientes_acumulado'!$A$1:$G$177"}</definedName>
    <definedName name="_N6102_1_2_5" hidden="1">{"'Clientes_acumulado'!$A$1:$G$177"}</definedName>
    <definedName name="_N6102_1_3" localSheetId="8" hidden="1">{"'Clientes_acumulado'!$A$1:$G$177"}</definedName>
    <definedName name="_N6102_1_3" hidden="1">{"'Clientes_acumulado'!$A$1:$G$177"}</definedName>
    <definedName name="_N6102_1_3_1" localSheetId="8" hidden="1">{"'Clientes_acumulado'!$A$1:$G$177"}</definedName>
    <definedName name="_N6102_1_3_1" hidden="1">{"'Clientes_acumulado'!$A$1:$G$177"}</definedName>
    <definedName name="_N6102_1_3_2" localSheetId="8" hidden="1">{"'Clientes_acumulado'!$A$1:$G$177"}</definedName>
    <definedName name="_N6102_1_3_2" hidden="1">{"'Clientes_acumulado'!$A$1:$G$177"}</definedName>
    <definedName name="_N6102_1_3_3" localSheetId="8" hidden="1">{"'Clientes_acumulado'!$A$1:$G$177"}</definedName>
    <definedName name="_N6102_1_3_3" hidden="1">{"'Clientes_acumulado'!$A$1:$G$177"}</definedName>
    <definedName name="_N6102_1_3_4" localSheetId="8" hidden="1">{"'Clientes_acumulado'!$A$1:$G$177"}</definedName>
    <definedName name="_N6102_1_3_4" hidden="1">{"'Clientes_acumulado'!$A$1:$G$177"}</definedName>
    <definedName name="_N6102_1_3_5" localSheetId="8" hidden="1">{"'Clientes_acumulado'!$A$1:$G$177"}</definedName>
    <definedName name="_N6102_1_3_5" hidden="1">{"'Clientes_acumulado'!$A$1:$G$177"}</definedName>
    <definedName name="_N6102_1_4" localSheetId="8" hidden="1">{"'Clientes_acumulado'!$A$1:$G$177"}</definedName>
    <definedName name="_N6102_1_4" hidden="1">{"'Clientes_acumulado'!$A$1:$G$177"}</definedName>
    <definedName name="_N6102_1_4_1" localSheetId="8" hidden="1">{"'Clientes_acumulado'!$A$1:$G$177"}</definedName>
    <definedName name="_N6102_1_4_1" hidden="1">{"'Clientes_acumulado'!$A$1:$G$177"}</definedName>
    <definedName name="_N6102_1_4_2" localSheetId="8" hidden="1">{"'Clientes_acumulado'!$A$1:$G$177"}</definedName>
    <definedName name="_N6102_1_4_2" hidden="1">{"'Clientes_acumulado'!$A$1:$G$177"}</definedName>
    <definedName name="_N6102_1_4_3" localSheetId="8" hidden="1">{"'Clientes_acumulado'!$A$1:$G$177"}</definedName>
    <definedName name="_N6102_1_4_3" hidden="1">{"'Clientes_acumulado'!$A$1:$G$177"}</definedName>
    <definedName name="_N6102_1_4_4" localSheetId="8" hidden="1">{"'Clientes_acumulado'!$A$1:$G$177"}</definedName>
    <definedName name="_N6102_1_4_4" hidden="1">{"'Clientes_acumulado'!$A$1:$G$177"}</definedName>
    <definedName name="_N6102_1_4_5" localSheetId="8" hidden="1">{"'Clientes_acumulado'!$A$1:$G$177"}</definedName>
    <definedName name="_N6102_1_4_5" hidden="1">{"'Clientes_acumulado'!$A$1:$G$177"}</definedName>
    <definedName name="_N6102_1_5" localSheetId="8" hidden="1">{"'Clientes_acumulado'!$A$1:$G$177"}</definedName>
    <definedName name="_N6102_1_5" hidden="1">{"'Clientes_acumulado'!$A$1:$G$177"}</definedName>
    <definedName name="_N6102_1_5_1" localSheetId="8" hidden="1">{"'Clientes_acumulado'!$A$1:$G$177"}</definedName>
    <definedName name="_N6102_1_5_1" hidden="1">{"'Clientes_acumulado'!$A$1:$G$177"}</definedName>
    <definedName name="_N6102_1_5_2" localSheetId="8" hidden="1">{"'Clientes_acumulado'!$A$1:$G$177"}</definedName>
    <definedName name="_N6102_1_5_2" hidden="1">{"'Clientes_acumulado'!$A$1:$G$177"}</definedName>
    <definedName name="_N6102_1_5_3" localSheetId="8" hidden="1">{"'Clientes_acumulado'!$A$1:$G$177"}</definedName>
    <definedName name="_N6102_1_5_3" hidden="1">{"'Clientes_acumulado'!$A$1:$G$177"}</definedName>
    <definedName name="_N6102_1_5_4" localSheetId="8" hidden="1">{"'Clientes_acumulado'!$A$1:$G$177"}</definedName>
    <definedName name="_N6102_1_5_4" hidden="1">{"'Clientes_acumulado'!$A$1:$G$177"}</definedName>
    <definedName name="_N6102_1_5_5" localSheetId="8" hidden="1">{"'Clientes_acumulado'!$A$1:$G$177"}</definedName>
    <definedName name="_N6102_1_5_5" hidden="1">{"'Clientes_acumulado'!$A$1:$G$177"}</definedName>
    <definedName name="_N6102_2" localSheetId="8" hidden="1">{"'Clientes_acumulado'!$A$1:$G$177"}</definedName>
    <definedName name="_N6102_2" hidden="1">{"'Clientes_acumulado'!$A$1:$G$177"}</definedName>
    <definedName name="_N6102_2_1" localSheetId="8" hidden="1">{"'Clientes_acumulado'!$A$1:$G$177"}</definedName>
    <definedName name="_N6102_2_1" hidden="1">{"'Clientes_acumulado'!$A$1:$G$177"}</definedName>
    <definedName name="_N6102_2_1_1" localSheetId="8" hidden="1">{"'Clientes_acumulado'!$A$1:$G$177"}</definedName>
    <definedName name="_N6102_2_1_1" hidden="1">{"'Clientes_acumulado'!$A$1:$G$177"}</definedName>
    <definedName name="_N6102_2_1_2" localSheetId="8" hidden="1">{"'Clientes_acumulado'!$A$1:$G$177"}</definedName>
    <definedName name="_N6102_2_1_2" hidden="1">{"'Clientes_acumulado'!$A$1:$G$177"}</definedName>
    <definedName name="_N6102_2_1_3" localSheetId="8" hidden="1">{"'Clientes_acumulado'!$A$1:$G$177"}</definedName>
    <definedName name="_N6102_2_1_3" hidden="1">{"'Clientes_acumulado'!$A$1:$G$177"}</definedName>
    <definedName name="_N6102_2_1_4" localSheetId="8" hidden="1">{"'Clientes_acumulado'!$A$1:$G$177"}</definedName>
    <definedName name="_N6102_2_1_4" hidden="1">{"'Clientes_acumulado'!$A$1:$G$177"}</definedName>
    <definedName name="_N6102_2_1_5" localSheetId="8" hidden="1">{"'Clientes_acumulado'!$A$1:$G$177"}</definedName>
    <definedName name="_N6102_2_1_5" hidden="1">{"'Clientes_acumulado'!$A$1:$G$177"}</definedName>
    <definedName name="_N6102_2_2" localSheetId="8" hidden="1">{"'Clientes_acumulado'!$A$1:$G$177"}</definedName>
    <definedName name="_N6102_2_2" hidden="1">{"'Clientes_acumulado'!$A$1:$G$177"}</definedName>
    <definedName name="_N6102_2_2_1" localSheetId="8" hidden="1">{"'Clientes_acumulado'!$A$1:$G$177"}</definedName>
    <definedName name="_N6102_2_2_1" hidden="1">{"'Clientes_acumulado'!$A$1:$G$177"}</definedName>
    <definedName name="_N6102_2_2_2" localSheetId="8" hidden="1">{"'Clientes_acumulado'!$A$1:$G$177"}</definedName>
    <definedName name="_N6102_2_2_2" hidden="1">{"'Clientes_acumulado'!$A$1:$G$177"}</definedName>
    <definedName name="_N6102_2_2_3" localSheetId="8" hidden="1">{"'Clientes_acumulado'!$A$1:$G$177"}</definedName>
    <definedName name="_N6102_2_2_3" hidden="1">{"'Clientes_acumulado'!$A$1:$G$177"}</definedName>
    <definedName name="_N6102_2_2_4" localSheetId="8" hidden="1">{"'Clientes_acumulado'!$A$1:$G$177"}</definedName>
    <definedName name="_N6102_2_2_4" hidden="1">{"'Clientes_acumulado'!$A$1:$G$177"}</definedName>
    <definedName name="_N6102_2_2_5" localSheetId="8" hidden="1">{"'Clientes_acumulado'!$A$1:$G$177"}</definedName>
    <definedName name="_N6102_2_2_5" hidden="1">{"'Clientes_acumulado'!$A$1:$G$177"}</definedName>
    <definedName name="_N6102_2_3" localSheetId="8" hidden="1">{"'Clientes_acumulado'!$A$1:$G$177"}</definedName>
    <definedName name="_N6102_2_3" hidden="1">{"'Clientes_acumulado'!$A$1:$G$177"}</definedName>
    <definedName name="_N6102_2_3_1" localSheetId="8" hidden="1">{"'Clientes_acumulado'!$A$1:$G$177"}</definedName>
    <definedName name="_N6102_2_3_1" hidden="1">{"'Clientes_acumulado'!$A$1:$G$177"}</definedName>
    <definedName name="_N6102_2_3_2" localSheetId="8" hidden="1">{"'Clientes_acumulado'!$A$1:$G$177"}</definedName>
    <definedName name="_N6102_2_3_2" hidden="1">{"'Clientes_acumulado'!$A$1:$G$177"}</definedName>
    <definedName name="_N6102_2_3_3" localSheetId="8" hidden="1">{"'Clientes_acumulado'!$A$1:$G$177"}</definedName>
    <definedName name="_N6102_2_3_3" hidden="1">{"'Clientes_acumulado'!$A$1:$G$177"}</definedName>
    <definedName name="_N6102_2_3_4" localSheetId="8" hidden="1">{"'Clientes_acumulado'!$A$1:$G$177"}</definedName>
    <definedName name="_N6102_2_3_4" hidden="1">{"'Clientes_acumulado'!$A$1:$G$177"}</definedName>
    <definedName name="_N6102_2_3_5" localSheetId="8" hidden="1">{"'Clientes_acumulado'!$A$1:$G$177"}</definedName>
    <definedName name="_N6102_2_3_5" hidden="1">{"'Clientes_acumulado'!$A$1:$G$177"}</definedName>
    <definedName name="_N6102_2_4" localSheetId="8" hidden="1">{"'Clientes_acumulado'!$A$1:$G$177"}</definedName>
    <definedName name="_N6102_2_4" hidden="1">{"'Clientes_acumulado'!$A$1:$G$177"}</definedName>
    <definedName name="_N6102_2_4_1" localSheetId="8" hidden="1">{"'Clientes_acumulado'!$A$1:$G$177"}</definedName>
    <definedName name="_N6102_2_4_1" hidden="1">{"'Clientes_acumulado'!$A$1:$G$177"}</definedName>
    <definedName name="_N6102_2_4_2" localSheetId="8" hidden="1">{"'Clientes_acumulado'!$A$1:$G$177"}</definedName>
    <definedName name="_N6102_2_4_2" hidden="1">{"'Clientes_acumulado'!$A$1:$G$177"}</definedName>
    <definedName name="_N6102_2_4_3" localSheetId="8" hidden="1">{"'Clientes_acumulado'!$A$1:$G$177"}</definedName>
    <definedName name="_N6102_2_4_3" hidden="1">{"'Clientes_acumulado'!$A$1:$G$177"}</definedName>
    <definedName name="_N6102_2_4_4" localSheetId="8" hidden="1">{"'Clientes_acumulado'!$A$1:$G$177"}</definedName>
    <definedName name="_N6102_2_4_4" hidden="1">{"'Clientes_acumulado'!$A$1:$G$177"}</definedName>
    <definedName name="_N6102_2_4_5" localSheetId="8" hidden="1">{"'Clientes_acumulado'!$A$1:$G$177"}</definedName>
    <definedName name="_N6102_2_4_5" hidden="1">{"'Clientes_acumulado'!$A$1:$G$177"}</definedName>
    <definedName name="_N6102_2_5" localSheetId="8" hidden="1">{"'Clientes_acumulado'!$A$1:$G$177"}</definedName>
    <definedName name="_N6102_2_5" hidden="1">{"'Clientes_acumulado'!$A$1:$G$177"}</definedName>
    <definedName name="_N6102_2_5_1" localSheetId="8" hidden="1">{"'Clientes_acumulado'!$A$1:$G$177"}</definedName>
    <definedName name="_N6102_2_5_1" hidden="1">{"'Clientes_acumulado'!$A$1:$G$177"}</definedName>
    <definedName name="_N6102_2_5_2" localSheetId="8" hidden="1">{"'Clientes_acumulado'!$A$1:$G$177"}</definedName>
    <definedName name="_N6102_2_5_2" hidden="1">{"'Clientes_acumulado'!$A$1:$G$177"}</definedName>
    <definedName name="_N6102_2_5_3" localSheetId="8" hidden="1">{"'Clientes_acumulado'!$A$1:$G$177"}</definedName>
    <definedName name="_N6102_2_5_3" hidden="1">{"'Clientes_acumulado'!$A$1:$G$177"}</definedName>
    <definedName name="_N6102_2_5_4" localSheetId="8" hidden="1">{"'Clientes_acumulado'!$A$1:$G$177"}</definedName>
    <definedName name="_N6102_2_5_4" hidden="1">{"'Clientes_acumulado'!$A$1:$G$177"}</definedName>
    <definedName name="_N6102_2_5_5" localSheetId="8" hidden="1">{"'Clientes_acumulado'!$A$1:$G$177"}</definedName>
    <definedName name="_N6102_2_5_5" hidden="1">{"'Clientes_acumulado'!$A$1:$G$177"}</definedName>
    <definedName name="_N6102_3" localSheetId="8" hidden="1">{"'Clientes_acumulado'!$A$1:$G$177"}</definedName>
    <definedName name="_N6102_3" hidden="1">{"'Clientes_acumulado'!$A$1:$G$177"}</definedName>
    <definedName name="_N6102_3_1" localSheetId="8" hidden="1">{"'Clientes_acumulado'!$A$1:$G$177"}</definedName>
    <definedName name="_N6102_3_1" hidden="1">{"'Clientes_acumulado'!$A$1:$G$177"}</definedName>
    <definedName name="_N6102_3_1_1" localSheetId="8" hidden="1">{"'Clientes_acumulado'!$A$1:$G$177"}</definedName>
    <definedName name="_N6102_3_1_1" hidden="1">{"'Clientes_acumulado'!$A$1:$G$177"}</definedName>
    <definedName name="_N6102_3_1_2" localSheetId="8" hidden="1">{"'Clientes_acumulado'!$A$1:$G$177"}</definedName>
    <definedName name="_N6102_3_1_2" hidden="1">{"'Clientes_acumulado'!$A$1:$G$177"}</definedName>
    <definedName name="_N6102_3_1_3" localSheetId="8" hidden="1">{"'Clientes_acumulado'!$A$1:$G$177"}</definedName>
    <definedName name="_N6102_3_1_3" hidden="1">{"'Clientes_acumulado'!$A$1:$G$177"}</definedName>
    <definedName name="_N6102_3_1_4" localSheetId="8" hidden="1">{"'Clientes_acumulado'!$A$1:$G$177"}</definedName>
    <definedName name="_N6102_3_1_4" hidden="1">{"'Clientes_acumulado'!$A$1:$G$177"}</definedName>
    <definedName name="_N6102_3_1_5" localSheetId="8" hidden="1">{"'Clientes_acumulado'!$A$1:$G$177"}</definedName>
    <definedName name="_N6102_3_1_5" hidden="1">{"'Clientes_acumulado'!$A$1:$G$177"}</definedName>
    <definedName name="_N6102_3_2" localSheetId="8" hidden="1">{"'Clientes_acumulado'!$A$1:$G$177"}</definedName>
    <definedName name="_N6102_3_2" hidden="1">{"'Clientes_acumulado'!$A$1:$G$177"}</definedName>
    <definedName name="_N6102_3_2_1" localSheetId="8" hidden="1">{"'Clientes_acumulado'!$A$1:$G$177"}</definedName>
    <definedName name="_N6102_3_2_1" hidden="1">{"'Clientes_acumulado'!$A$1:$G$177"}</definedName>
    <definedName name="_N6102_3_2_2" localSheetId="8" hidden="1">{"'Clientes_acumulado'!$A$1:$G$177"}</definedName>
    <definedName name="_N6102_3_2_2" hidden="1">{"'Clientes_acumulado'!$A$1:$G$177"}</definedName>
    <definedName name="_N6102_3_2_3" localSheetId="8" hidden="1">{"'Clientes_acumulado'!$A$1:$G$177"}</definedName>
    <definedName name="_N6102_3_2_3" hidden="1">{"'Clientes_acumulado'!$A$1:$G$177"}</definedName>
    <definedName name="_N6102_3_2_4" localSheetId="8" hidden="1">{"'Clientes_acumulado'!$A$1:$G$177"}</definedName>
    <definedName name="_N6102_3_2_4" hidden="1">{"'Clientes_acumulado'!$A$1:$G$177"}</definedName>
    <definedName name="_N6102_3_2_5" localSheetId="8" hidden="1">{"'Clientes_acumulado'!$A$1:$G$177"}</definedName>
    <definedName name="_N6102_3_2_5" hidden="1">{"'Clientes_acumulado'!$A$1:$G$177"}</definedName>
    <definedName name="_N6102_3_3" localSheetId="8" hidden="1">{"'Clientes_acumulado'!$A$1:$G$177"}</definedName>
    <definedName name="_N6102_3_3" hidden="1">{"'Clientes_acumulado'!$A$1:$G$177"}</definedName>
    <definedName name="_N6102_3_3_1" localSheetId="8" hidden="1">{"'Clientes_acumulado'!$A$1:$G$177"}</definedName>
    <definedName name="_N6102_3_3_1" hidden="1">{"'Clientes_acumulado'!$A$1:$G$177"}</definedName>
    <definedName name="_N6102_3_3_2" localSheetId="8" hidden="1">{"'Clientes_acumulado'!$A$1:$G$177"}</definedName>
    <definedName name="_N6102_3_3_2" hidden="1">{"'Clientes_acumulado'!$A$1:$G$177"}</definedName>
    <definedName name="_N6102_3_3_3" localSheetId="8" hidden="1">{"'Clientes_acumulado'!$A$1:$G$177"}</definedName>
    <definedName name="_N6102_3_3_3" hidden="1">{"'Clientes_acumulado'!$A$1:$G$177"}</definedName>
    <definedName name="_N6102_3_3_4" localSheetId="8" hidden="1">{"'Clientes_acumulado'!$A$1:$G$177"}</definedName>
    <definedName name="_N6102_3_3_4" hidden="1">{"'Clientes_acumulado'!$A$1:$G$177"}</definedName>
    <definedName name="_N6102_3_3_5" localSheetId="8" hidden="1">{"'Clientes_acumulado'!$A$1:$G$177"}</definedName>
    <definedName name="_N6102_3_3_5" hidden="1">{"'Clientes_acumulado'!$A$1:$G$177"}</definedName>
    <definedName name="_N6102_3_4" localSheetId="8" hidden="1">{"'Clientes_acumulado'!$A$1:$G$177"}</definedName>
    <definedName name="_N6102_3_4" hidden="1">{"'Clientes_acumulado'!$A$1:$G$177"}</definedName>
    <definedName name="_N6102_3_4_1" localSheetId="8" hidden="1">{"'Clientes_acumulado'!$A$1:$G$177"}</definedName>
    <definedName name="_N6102_3_4_1" hidden="1">{"'Clientes_acumulado'!$A$1:$G$177"}</definedName>
    <definedName name="_N6102_3_4_2" localSheetId="8" hidden="1">{"'Clientes_acumulado'!$A$1:$G$177"}</definedName>
    <definedName name="_N6102_3_4_2" hidden="1">{"'Clientes_acumulado'!$A$1:$G$177"}</definedName>
    <definedName name="_N6102_3_4_3" localSheetId="8" hidden="1">{"'Clientes_acumulado'!$A$1:$G$177"}</definedName>
    <definedName name="_N6102_3_4_3" hidden="1">{"'Clientes_acumulado'!$A$1:$G$177"}</definedName>
    <definedName name="_N6102_3_4_4" localSheetId="8" hidden="1">{"'Clientes_acumulado'!$A$1:$G$177"}</definedName>
    <definedName name="_N6102_3_4_4" hidden="1">{"'Clientes_acumulado'!$A$1:$G$177"}</definedName>
    <definedName name="_N6102_3_4_5" localSheetId="8" hidden="1">{"'Clientes_acumulado'!$A$1:$G$177"}</definedName>
    <definedName name="_N6102_3_4_5" hidden="1">{"'Clientes_acumulado'!$A$1:$G$177"}</definedName>
    <definedName name="_N6102_3_5" localSheetId="8" hidden="1">{"'Clientes_acumulado'!$A$1:$G$177"}</definedName>
    <definedName name="_N6102_3_5" hidden="1">{"'Clientes_acumulado'!$A$1:$G$177"}</definedName>
    <definedName name="_N6102_3_5_1" localSheetId="8" hidden="1">{"'Clientes_acumulado'!$A$1:$G$177"}</definedName>
    <definedName name="_N6102_3_5_1" hidden="1">{"'Clientes_acumulado'!$A$1:$G$177"}</definedName>
    <definedName name="_N6102_3_5_2" localSheetId="8" hidden="1">{"'Clientes_acumulado'!$A$1:$G$177"}</definedName>
    <definedName name="_N6102_3_5_2" hidden="1">{"'Clientes_acumulado'!$A$1:$G$177"}</definedName>
    <definedName name="_N6102_3_5_3" localSheetId="8" hidden="1">{"'Clientes_acumulado'!$A$1:$G$177"}</definedName>
    <definedName name="_N6102_3_5_3" hidden="1">{"'Clientes_acumulado'!$A$1:$G$177"}</definedName>
    <definedName name="_N6102_3_5_4" localSheetId="8" hidden="1">{"'Clientes_acumulado'!$A$1:$G$177"}</definedName>
    <definedName name="_N6102_3_5_4" hidden="1">{"'Clientes_acumulado'!$A$1:$G$177"}</definedName>
    <definedName name="_N6102_3_5_5" localSheetId="8" hidden="1">{"'Clientes_acumulado'!$A$1:$G$177"}</definedName>
    <definedName name="_N6102_3_5_5" hidden="1">{"'Clientes_acumulado'!$A$1:$G$177"}</definedName>
    <definedName name="_N6102_4" localSheetId="8" hidden="1">{"'Clientes_acumulado'!$A$1:$G$177"}</definedName>
    <definedName name="_N6102_4" hidden="1">{"'Clientes_acumulado'!$A$1:$G$177"}</definedName>
    <definedName name="_N6102_4_1" localSheetId="8" hidden="1">{"'Clientes_acumulado'!$A$1:$G$177"}</definedName>
    <definedName name="_N6102_4_1" hidden="1">{"'Clientes_acumulado'!$A$1:$G$177"}</definedName>
    <definedName name="_N6102_4_1_1" localSheetId="8" hidden="1">{"'Clientes_acumulado'!$A$1:$G$177"}</definedName>
    <definedName name="_N6102_4_1_1" hidden="1">{"'Clientes_acumulado'!$A$1:$G$177"}</definedName>
    <definedName name="_N6102_4_1_2" localSheetId="8" hidden="1">{"'Clientes_acumulado'!$A$1:$G$177"}</definedName>
    <definedName name="_N6102_4_1_2" hidden="1">{"'Clientes_acumulado'!$A$1:$G$177"}</definedName>
    <definedName name="_N6102_4_1_3" localSheetId="8" hidden="1">{"'Clientes_acumulado'!$A$1:$G$177"}</definedName>
    <definedName name="_N6102_4_1_3" hidden="1">{"'Clientes_acumulado'!$A$1:$G$177"}</definedName>
    <definedName name="_N6102_4_1_4" localSheetId="8" hidden="1">{"'Clientes_acumulado'!$A$1:$G$177"}</definedName>
    <definedName name="_N6102_4_1_4" hidden="1">{"'Clientes_acumulado'!$A$1:$G$177"}</definedName>
    <definedName name="_N6102_4_1_5" localSheetId="8" hidden="1">{"'Clientes_acumulado'!$A$1:$G$177"}</definedName>
    <definedName name="_N6102_4_1_5" hidden="1">{"'Clientes_acumulado'!$A$1:$G$177"}</definedName>
    <definedName name="_N6102_4_2" localSheetId="8" hidden="1">{"'Clientes_acumulado'!$A$1:$G$177"}</definedName>
    <definedName name="_N6102_4_2" hidden="1">{"'Clientes_acumulado'!$A$1:$G$177"}</definedName>
    <definedName name="_N6102_4_2_1" localSheetId="8" hidden="1">{"'Clientes_acumulado'!$A$1:$G$177"}</definedName>
    <definedName name="_N6102_4_2_1" hidden="1">{"'Clientes_acumulado'!$A$1:$G$177"}</definedName>
    <definedName name="_N6102_4_2_2" localSheetId="8" hidden="1">{"'Clientes_acumulado'!$A$1:$G$177"}</definedName>
    <definedName name="_N6102_4_2_2" hidden="1">{"'Clientes_acumulado'!$A$1:$G$177"}</definedName>
    <definedName name="_N6102_4_2_3" localSheetId="8" hidden="1">{"'Clientes_acumulado'!$A$1:$G$177"}</definedName>
    <definedName name="_N6102_4_2_3" hidden="1">{"'Clientes_acumulado'!$A$1:$G$177"}</definedName>
    <definedName name="_N6102_4_2_4" localSheetId="8" hidden="1">{"'Clientes_acumulado'!$A$1:$G$177"}</definedName>
    <definedName name="_N6102_4_2_4" hidden="1">{"'Clientes_acumulado'!$A$1:$G$177"}</definedName>
    <definedName name="_N6102_4_2_5" localSheetId="8" hidden="1">{"'Clientes_acumulado'!$A$1:$G$177"}</definedName>
    <definedName name="_N6102_4_2_5" hidden="1">{"'Clientes_acumulado'!$A$1:$G$177"}</definedName>
    <definedName name="_N6102_4_3" localSheetId="8" hidden="1">{"'Clientes_acumulado'!$A$1:$G$177"}</definedName>
    <definedName name="_N6102_4_3" hidden="1">{"'Clientes_acumulado'!$A$1:$G$177"}</definedName>
    <definedName name="_N6102_4_3_1" localSheetId="8" hidden="1">{"'Clientes_acumulado'!$A$1:$G$177"}</definedName>
    <definedName name="_N6102_4_3_1" hidden="1">{"'Clientes_acumulado'!$A$1:$G$177"}</definedName>
    <definedName name="_N6102_4_3_2" localSheetId="8" hidden="1">{"'Clientes_acumulado'!$A$1:$G$177"}</definedName>
    <definedName name="_N6102_4_3_2" hidden="1">{"'Clientes_acumulado'!$A$1:$G$177"}</definedName>
    <definedName name="_N6102_4_3_3" localSheetId="8" hidden="1">{"'Clientes_acumulado'!$A$1:$G$177"}</definedName>
    <definedName name="_N6102_4_3_3" hidden="1">{"'Clientes_acumulado'!$A$1:$G$177"}</definedName>
    <definedName name="_N6102_4_3_4" localSheetId="8" hidden="1">{"'Clientes_acumulado'!$A$1:$G$177"}</definedName>
    <definedName name="_N6102_4_3_4" hidden="1">{"'Clientes_acumulado'!$A$1:$G$177"}</definedName>
    <definedName name="_N6102_4_3_5" localSheetId="8" hidden="1">{"'Clientes_acumulado'!$A$1:$G$177"}</definedName>
    <definedName name="_N6102_4_3_5" hidden="1">{"'Clientes_acumulado'!$A$1:$G$177"}</definedName>
    <definedName name="_N6102_4_4" localSheetId="8" hidden="1">{"'Clientes_acumulado'!$A$1:$G$177"}</definedName>
    <definedName name="_N6102_4_4" hidden="1">{"'Clientes_acumulado'!$A$1:$G$177"}</definedName>
    <definedName name="_N6102_4_4_1" localSheetId="8" hidden="1">{"'Clientes_acumulado'!$A$1:$G$177"}</definedName>
    <definedName name="_N6102_4_4_1" hidden="1">{"'Clientes_acumulado'!$A$1:$G$177"}</definedName>
    <definedName name="_N6102_4_4_2" localSheetId="8" hidden="1">{"'Clientes_acumulado'!$A$1:$G$177"}</definedName>
    <definedName name="_N6102_4_4_2" hidden="1">{"'Clientes_acumulado'!$A$1:$G$177"}</definedName>
    <definedName name="_N6102_4_4_3" localSheetId="8" hidden="1">{"'Clientes_acumulado'!$A$1:$G$177"}</definedName>
    <definedName name="_N6102_4_4_3" hidden="1">{"'Clientes_acumulado'!$A$1:$G$177"}</definedName>
    <definedName name="_N6102_4_4_4" localSheetId="8" hidden="1">{"'Clientes_acumulado'!$A$1:$G$177"}</definedName>
    <definedName name="_N6102_4_4_4" hidden="1">{"'Clientes_acumulado'!$A$1:$G$177"}</definedName>
    <definedName name="_N6102_4_4_5" localSheetId="8" hidden="1">{"'Clientes_acumulado'!$A$1:$G$177"}</definedName>
    <definedName name="_N6102_4_4_5" hidden="1">{"'Clientes_acumulado'!$A$1:$G$177"}</definedName>
    <definedName name="_N6102_4_5" localSheetId="8" hidden="1">{"'Clientes_acumulado'!$A$1:$G$177"}</definedName>
    <definedName name="_N6102_4_5" hidden="1">{"'Clientes_acumulado'!$A$1:$G$177"}</definedName>
    <definedName name="_N6102_4_5_1" localSheetId="8" hidden="1">{"'Clientes_acumulado'!$A$1:$G$177"}</definedName>
    <definedName name="_N6102_4_5_1" hidden="1">{"'Clientes_acumulado'!$A$1:$G$177"}</definedName>
    <definedName name="_N6102_4_5_2" localSheetId="8" hidden="1">{"'Clientes_acumulado'!$A$1:$G$177"}</definedName>
    <definedName name="_N6102_4_5_2" hidden="1">{"'Clientes_acumulado'!$A$1:$G$177"}</definedName>
    <definedName name="_N6102_4_5_3" localSheetId="8" hidden="1">{"'Clientes_acumulado'!$A$1:$G$177"}</definedName>
    <definedName name="_N6102_4_5_3" hidden="1">{"'Clientes_acumulado'!$A$1:$G$177"}</definedName>
    <definedName name="_N6102_4_5_4" localSheetId="8" hidden="1">{"'Clientes_acumulado'!$A$1:$G$177"}</definedName>
    <definedName name="_N6102_4_5_4" hidden="1">{"'Clientes_acumulado'!$A$1:$G$177"}</definedName>
    <definedName name="_N6102_4_5_5" localSheetId="8" hidden="1">{"'Clientes_acumulado'!$A$1:$G$177"}</definedName>
    <definedName name="_N6102_4_5_5" hidden="1">{"'Clientes_acumulado'!$A$1:$G$177"}</definedName>
    <definedName name="_N6102_5" localSheetId="8" hidden="1">{"'Clientes_acumulado'!$A$1:$G$177"}</definedName>
    <definedName name="_N6102_5" hidden="1">{"'Clientes_acumulado'!$A$1:$G$177"}</definedName>
    <definedName name="_N6102_5_1" localSheetId="8" hidden="1">{"'Clientes_acumulado'!$A$1:$G$177"}</definedName>
    <definedName name="_N6102_5_1" hidden="1">{"'Clientes_acumulado'!$A$1:$G$177"}</definedName>
    <definedName name="_N6102_5_1_1" localSheetId="8" hidden="1">{"'Clientes_acumulado'!$A$1:$G$177"}</definedName>
    <definedName name="_N6102_5_1_1" hidden="1">{"'Clientes_acumulado'!$A$1:$G$177"}</definedName>
    <definedName name="_N6102_5_1_2" localSheetId="8" hidden="1">{"'Clientes_acumulado'!$A$1:$G$177"}</definedName>
    <definedName name="_N6102_5_1_2" hidden="1">{"'Clientes_acumulado'!$A$1:$G$177"}</definedName>
    <definedName name="_N6102_5_1_3" localSheetId="8" hidden="1">{"'Clientes_acumulado'!$A$1:$G$177"}</definedName>
    <definedName name="_N6102_5_1_3" hidden="1">{"'Clientes_acumulado'!$A$1:$G$177"}</definedName>
    <definedName name="_N6102_5_1_4" localSheetId="8" hidden="1">{"'Clientes_acumulado'!$A$1:$G$177"}</definedName>
    <definedName name="_N6102_5_1_4" hidden="1">{"'Clientes_acumulado'!$A$1:$G$177"}</definedName>
    <definedName name="_N6102_5_1_5" localSheetId="8" hidden="1">{"'Clientes_acumulado'!$A$1:$G$177"}</definedName>
    <definedName name="_N6102_5_1_5" hidden="1">{"'Clientes_acumulado'!$A$1:$G$177"}</definedName>
    <definedName name="_N6102_5_2" localSheetId="8" hidden="1">{"'Clientes_acumulado'!$A$1:$G$177"}</definedName>
    <definedName name="_N6102_5_2" hidden="1">{"'Clientes_acumulado'!$A$1:$G$177"}</definedName>
    <definedName name="_N6102_5_2_1" localSheetId="8" hidden="1">{"'Clientes_acumulado'!$A$1:$G$177"}</definedName>
    <definedName name="_N6102_5_2_1" hidden="1">{"'Clientes_acumulado'!$A$1:$G$177"}</definedName>
    <definedName name="_N6102_5_2_2" localSheetId="8" hidden="1">{"'Clientes_acumulado'!$A$1:$G$177"}</definedName>
    <definedName name="_N6102_5_2_2" hidden="1">{"'Clientes_acumulado'!$A$1:$G$177"}</definedName>
    <definedName name="_N6102_5_2_3" localSheetId="8" hidden="1">{"'Clientes_acumulado'!$A$1:$G$177"}</definedName>
    <definedName name="_N6102_5_2_3" hidden="1">{"'Clientes_acumulado'!$A$1:$G$177"}</definedName>
    <definedName name="_N6102_5_2_4" localSheetId="8" hidden="1">{"'Clientes_acumulado'!$A$1:$G$177"}</definedName>
    <definedName name="_N6102_5_2_4" hidden="1">{"'Clientes_acumulado'!$A$1:$G$177"}</definedName>
    <definedName name="_N6102_5_2_5" localSheetId="8" hidden="1">{"'Clientes_acumulado'!$A$1:$G$177"}</definedName>
    <definedName name="_N6102_5_2_5" hidden="1">{"'Clientes_acumulado'!$A$1:$G$177"}</definedName>
    <definedName name="_N6102_5_3" localSheetId="8" hidden="1">{"'Clientes_acumulado'!$A$1:$G$177"}</definedName>
    <definedName name="_N6102_5_3" hidden="1">{"'Clientes_acumulado'!$A$1:$G$177"}</definedName>
    <definedName name="_N6102_5_3_1" localSheetId="8" hidden="1">{"'Clientes_acumulado'!$A$1:$G$177"}</definedName>
    <definedName name="_N6102_5_3_1" hidden="1">{"'Clientes_acumulado'!$A$1:$G$177"}</definedName>
    <definedName name="_N6102_5_3_2" localSheetId="8" hidden="1">{"'Clientes_acumulado'!$A$1:$G$177"}</definedName>
    <definedName name="_N6102_5_3_2" hidden="1">{"'Clientes_acumulado'!$A$1:$G$177"}</definedName>
    <definedName name="_N6102_5_3_3" localSheetId="8" hidden="1">{"'Clientes_acumulado'!$A$1:$G$177"}</definedName>
    <definedName name="_N6102_5_3_3" hidden="1">{"'Clientes_acumulado'!$A$1:$G$177"}</definedName>
    <definedName name="_N6102_5_3_4" localSheetId="8" hidden="1">{"'Clientes_acumulado'!$A$1:$G$177"}</definedName>
    <definedName name="_N6102_5_3_4" hidden="1">{"'Clientes_acumulado'!$A$1:$G$177"}</definedName>
    <definedName name="_N6102_5_3_5" localSheetId="8" hidden="1">{"'Clientes_acumulado'!$A$1:$G$177"}</definedName>
    <definedName name="_N6102_5_3_5" hidden="1">{"'Clientes_acumulado'!$A$1:$G$177"}</definedName>
    <definedName name="_N6102_5_4" localSheetId="8" hidden="1">{"'Clientes_acumulado'!$A$1:$G$177"}</definedName>
    <definedName name="_N6102_5_4" hidden="1">{"'Clientes_acumulado'!$A$1:$G$177"}</definedName>
    <definedName name="_N6102_5_4_1" localSheetId="8" hidden="1">{"'Clientes_acumulado'!$A$1:$G$177"}</definedName>
    <definedName name="_N6102_5_4_1" hidden="1">{"'Clientes_acumulado'!$A$1:$G$177"}</definedName>
    <definedName name="_N6102_5_4_2" localSheetId="8" hidden="1">{"'Clientes_acumulado'!$A$1:$G$177"}</definedName>
    <definedName name="_N6102_5_4_2" hidden="1">{"'Clientes_acumulado'!$A$1:$G$177"}</definedName>
    <definedName name="_N6102_5_4_3" localSheetId="8" hidden="1">{"'Clientes_acumulado'!$A$1:$G$177"}</definedName>
    <definedName name="_N6102_5_4_3" hidden="1">{"'Clientes_acumulado'!$A$1:$G$177"}</definedName>
    <definedName name="_N6102_5_4_4" localSheetId="8" hidden="1">{"'Clientes_acumulado'!$A$1:$G$177"}</definedName>
    <definedName name="_N6102_5_4_4" hidden="1">{"'Clientes_acumulado'!$A$1:$G$177"}</definedName>
    <definedName name="_N6102_5_4_5" localSheetId="8" hidden="1">{"'Clientes_acumulado'!$A$1:$G$177"}</definedName>
    <definedName name="_N6102_5_4_5" hidden="1">{"'Clientes_acumulado'!$A$1:$G$177"}</definedName>
    <definedName name="_N6102_5_5" localSheetId="8" hidden="1">{"'Clientes_acumulado'!$A$1:$G$177"}</definedName>
    <definedName name="_N6102_5_5" hidden="1">{"'Clientes_acumulado'!$A$1:$G$177"}</definedName>
    <definedName name="_N6102_5_5_1" localSheetId="8" hidden="1">{"'Clientes_acumulado'!$A$1:$G$177"}</definedName>
    <definedName name="_N6102_5_5_1" hidden="1">{"'Clientes_acumulado'!$A$1:$G$177"}</definedName>
    <definedName name="_N6102_5_5_2" localSheetId="8" hidden="1">{"'Clientes_acumulado'!$A$1:$G$177"}</definedName>
    <definedName name="_N6102_5_5_2" hidden="1">{"'Clientes_acumulado'!$A$1:$G$177"}</definedName>
    <definedName name="_N6102_5_5_3" localSheetId="8" hidden="1">{"'Clientes_acumulado'!$A$1:$G$177"}</definedName>
    <definedName name="_N6102_5_5_3" hidden="1">{"'Clientes_acumulado'!$A$1:$G$177"}</definedName>
    <definedName name="_N6102_5_5_4" localSheetId="8" hidden="1">{"'Clientes_acumulado'!$A$1:$G$177"}</definedName>
    <definedName name="_N6102_5_5_4" hidden="1">{"'Clientes_acumulado'!$A$1:$G$177"}</definedName>
    <definedName name="_N6102_5_5_5" localSheetId="8" hidden="1">{"'Clientes_acumulado'!$A$1:$G$177"}</definedName>
    <definedName name="_N6102_5_5_5" hidden="1">{"'Clientes_acumulado'!$A$1:$G$177"}</definedName>
    <definedName name="_nam305" localSheetId="8" hidden="1">{"detail",#N/A,FALSE,"mfg";"summary",#N/A,FALSE,"mfg"}</definedName>
    <definedName name="_nam305" hidden="1">{"detail",#N/A,FALSE,"mfg";"summary",#N/A,FALSE,"mfg"}</definedName>
    <definedName name="_new" hidden="1">#REF!</definedName>
    <definedName name="_new1" localSheetId="7" hidden="1">{#N/A,#N/A,FALSE,"Pharm";#N/A,#N/A,FALSE,"WWCM"}</definedName>
    <definedName name="_new1" localSheetId="8" hidden="1">{#N/A,#N/A,FALSE,"Pharm";#N/A,#N/A,FALSE,"WWCM"}</definedName>
    <definedName name="_new1" hidden="1">{#N/A,#N/A,FALSE,"Pharm";#N/A,#N/A,FALSE,"WWCM"}</definedName>
    <definedName name="_new2" hidden="1">#N/A</definedName>
    <definedName name="_new3" hidden="1">#N/A</definedName>
    <definedName name="_New4" localSheetId="8" hidden="1">{#N/A,#N/A,FALSE,"Aging Summary";#N/A,#N/A,FALSE,"Ratio Analysis";#N/A,#N/A,FALSE,"Test 120 Day Accts";#N/A,#N/A,FALSE,"Tickmarks"}</definedName>
    <definedName name="_New4" hidden="1">{#N/A,#N/A,FALSE,"Aging Summary";#N/A,#N/A,FALSE,"Ratio Analysis";#N/A,#N/A,FALSE,"Test 120 Day Accts";#N/A,#N/A,FALSE,"Tickmarks"}</definedName>
    <definedName name="_nn2" localSheetId="8" hidden="1">{"'100'!$A$1:$M$83"}</definedName>
    <definedName name="_nn2" hidden="1">{"'100'!$A$1:$M$83"}</definedName>
    <definedName name="_nnn3" localSheetId="8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nnn3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no" localSheetId="8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no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NOV10" localSheetId="8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NOV10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NOV9" localSheetId="8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NOV9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o1" localSheetId="8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ok1" localSheetId="8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ok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ok1_1" localSheetId="8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ok1_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OMM95" localSheetId="8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OMM95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OMM96" localSheetId="8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OMM96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Order1" localSheetId="8" hidden="1">255</definedName>
    <definedName name="_Order1" hidden="1">0</definedName>
    <definedName name="_Order1_1" hidden="1">255</definedName>
    <definedName name="_order12" hidden="1">0</definedName>
    <definedName name="_Order2" localSheetId="8" hidden="1">0</definedName>
    <definedName name="_Order2" hidden="1">255</definedName>
    <definedName name="_Order2_1" hidden="1">255</definedName>
    <definedName name="_Order3" hidden="1">255</definedName>
    <definedName name="_OTD2" localSheetId="8" hidden="1">{#N/A,#N/A,FALSE,"Exhibits 5-7"}</definedName>
    <definedName name="_OTD2" hidden="1">{#N/A,#N/A,FALSE,"Exhibits 5-7"}</definedName>
    <definedName name="_p" hidden="1">#REF!</definedName>
    <definedName name="_P00comps1" localSheetId="8" hidden="1">#REF!</definedName>
    <definedName name="_P00comps1" hidden="1">#REF!</definedName>
    <definedName name="_P00comps2" hidden="1">#REF!</definedName>
    <definedName name="_P00prezzi" hidden="1">#REF!</definedName>
    <definedName name="_Parse_In" hidden="1">#REF!</definedName>
    <definedName name="_Parse_Out" hidden="1">#REF!</definedName>
    <definedName name="_PERIODE" hidden="1">FALSE</definedName>
    <definedName name="_pippo" hidden="1">#REF!</definedName>
    <definedName name="_PL65" localSheetId="8" hidden="1">{"PAGE 1",#N/A,FALSE,"ES-01-XX";"PAGE 2",#N/A,FALSE,"ES-01-XX"}</definedName>
    <definedName name="_PL65" hidden="1">{"PAGE 1",#N/A,FALSE,"ES-01-XX";"PAGE 2",#N/A,FALSE,"ES-01-XX"}</definedName>
    <definedName name="_pp1" localSheetId="8" hidden="1">{#N/A,#N/A,FALSE,"Trends";#N/A,#N/A,FALSE,"As Reported";#N/A,#N/A,FALSE,"(un) Commited"}</definedName>
    <definedName name="_pp1" hidden="1">{#N/A,#N/A,FALSE,"Trends";#N/A,#N/A,FALSE,"As Reported";#N/A,#N/A,FALSE,"(un) Commited"}</definedName>
    <definedName name="_pp2" localSheetId="8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_pp2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_pp3" localSheetId="8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_pp3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_pp4" localSheetId="8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_pp4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_pp5" localSheetId="8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_pp5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_pp6" localSheetId="8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_pp6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_pp7" localSheetId="8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_pp7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_pp8" localSheetId="8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_pp8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_pp9" localSheetId="8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_pp9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_PPM1" localSheetId="8" hidden="1">{#N/A,#N/A,FALSE,"Aging Summary";#N/A,#N/A,FALSE,"Ratio Analysis";#N/A,#N/A,FALSE,"Test 120 Day Accts";#N/A,#N/A,FALSE,"Tickmarks"}</definedName>
    <definedName name="_PPM1" hidden="1">{#N/A,#N/A,FALSE,"Aging Summary";#N/A,#N/A,FALSE,"Ratio Analysis";#N/A,#N/A,FALSE,"Test 120 Day Accts";#N/A,#N/A,FALSE,"Tickmarks"}</definedName>
    <definedName name="_pub2" hidden="1">"L10003649.xls"</definedName>
    <definedName name="_puc101" localSheetId="8" hidden="1">{#N/A,"PURCHM",FALSE,"Business Analysis";#N/A,"SPADD",FALSE,"Business Analysis"}</definedName>
    <definedName name="_puc101" hidden="1">{#N/A,"PURCHM",FALSE,"Business Analysis";#N/A,"SPADD",FALSE,"Business Analysis"}</definedName>
    <definedName name="_puc102" localSheetId="8" hidden="1">{#N/A,"PURCHM",FALSE,"Business Analysis";#N/A,"SPADD",FALSE,"Business Analysis"}</definedName>
    <definedName name="_puc102" hidden="1">{#N/A,"PURCHM",FALSE,"Business Analysis";#N/A,"SPADD",FALSE,"Business Analysis"}</definedName>
    <definedName name="_q1" localSheetId="8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q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q2" localSheetId="8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q2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q3" hidden="1">#REF!</definedName>
    <definedName name="_q4" localSheetId="8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q4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Q5" localSheetId="8" hidden="1">{#N/A,#N/A,FALSE,"CA";#N/A,#N/A,FALSE,"CN";#N/A,#N/A,FALSE,"Inv";#N/A,#N/A,FALSE,"Inv Acc";"Miguel_balance",#N/A,FALSE,"Bal";#N/A,#N/A,FALSE,"Plantilla";#N/A,#N/A,FALSE,"CA (2)";#N/A,#N/A,FALSE,"CN (2)"}</definedName>
    <definedName name="_Q5" hidden="1">{#N/A,#N/A,FALSE,"CA";#N/A,#N/A,FALSE,"CN";#N/A,#N/A,FALSE,"Inv";#N/A,#N/A,FALSE,"Inv Acc";"Miguel_balance",#N/A,FALSE,"Bal";#N/A,#N/A,FALSE,"Plantilla";#N/A,#N/A,FALSE,"CA (2)";#N/A,#N/A,FALSE,"CN (2)"}</definedName>
    <definedName name="_Q5_1" localSheetId="8" hidden="1">{#N/A,#N/A,FALSE,"CA";#N/A,#N/A,FALSE,"CN";#N/A,#N/A,FALSE,"Inv";#N/A,#N/A,FALSE,"Inv Acc";"Miguel_balance",#N/A,FALSE,"Bal";#N/A,#N/A,FALSE,"Plantilla";#N/A,#N/A,FALSE,"CA (2)";#N/A,#N/A,FALSE,"CN (2)"}</definedName>
    <definedName name="_Q5_1" hidden="1">{#N/A,#N/A,FALSE,"CA";#N/A,#N/A,FALSE,"CN";#N/A,#N/A,FALSE,"Inv";#N/A,#N/A,FALSE,"Inv Acc";"Miguel_balance",#N/A,FALSE,"Bal";#N/A,#N/A,FALSE,"Plantilla";#N/A,#N/A,FALSE,"CA (2)";#N/A,#N/A,FALSE,"CN (2)"}</definedName>
    <definedName name="_q6" localSheetId="8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q6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r" localSheetId="7" hidden="1">{#N/A,#N/A,FALSE,"Aging Summary";#N/A,#N/A,FALSE,"Ratio Analysis";#N/A,#N/A,FALSE,"Test 120 Day Accts";#N/A,#N/A,FALSE,"Tickmarks"}</definedName>
    <definedName name="_r" localSheetId="8" hidden="1">{#N/A,#N/A,FALSE,"Aging Summary";#N/A,#N/A,FALSE,"Ratio Analysis";#N/A,#N/A,FALSE,"Test 120 Day Accts";#N/A,#N/A,FALSE,"Tickmarks"}</definedName>
    <definedName name="_R" hidden="1">{#N/A,#N/A,FALSE,"GRAFICO";#N/A,#N/A,FALSE,"CAJA (2)";#N/A,#N/A,FALSE,"TERCEROS-PROMEDIO";#N/A,#N/A,FALSE,"CAJA";#N/A,#N/A,FALSE,"INGRESOS1995-2003";#N/A,#N/A,FALSE,"GASTOS1995-2003"}</definedName>
    <definedName name="_r5etw" localSheetId="8" hidden="1">{"Cash Flow",#N/A,FALSE}</definedName>
    <definedName name="_r5etw" hidden="1">{"Cash Flow",#N/A,FALSE}</definedName>
    <definedName name="_rc" localSheetId="8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_rc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_ref10" localSheetId="8" hidden="1">{"first",#N/A,FALSE,"A";"second",#N/A,FALSE,"A"}</definedName>
    <definedName name="_ref10" hidden="1">{"first",#N/A,FALSE,"A";"second",#N/A,FALSE,"A"}</definedName>
    <definedName name="_Regression" hidden="1">#REF!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ROrder1" hidden="1">0</definedName>
    <definedName name="_rr1" localSheetId="8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rr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RR2" localSheetId="8" hidden="1">{#N/A,#N/A,FALSE,"Exhibits 5-7"}</definedName>
    <definedName name="_RR2" hidden="1">{#N/A,#N/A,FALSE,"Exhibits 5-7"}</definedName>
    <definedName name="_rty1" localSheetId="8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rty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s34" localSheetId="8" hidden="1">{"QTD_GENERALH2",#N/A,FALSE,"QTD"}</definedName>
    <definedName name="_s34" hidden="1">{"QTD_GENERALH2",#N/A,FALSE,"QTD"}</definedName>
    <definedName name="_SA1" localSheetId="8" hidden="1">{#N/A,#N/A,TRUE,"0 Deckbl.";#N/A,#N/A,TRUE,"S 1 Komm";#N/A,#N/A,TRUE,"S 1a Komm";#N/A,#N/A,TRUE,"S 1b Komm";#N/A,#N/A,TRUE,"S  2 DBR";#N/A,#N/A,TRUE,"S  3 Sparten";#N/A,#N/A,TRUE,"S 4  Betr. K.";#N/A,#N/A,TRUE,"6 Bilanz";#N/A,#N/A,TRUE,"6a Bilanz ";#N/A,#N/A,TRUE,"6b Bilanz ";#N/A,#N/A,TRUE,"7 GS I";#N/A,#N/A,TRUE,"S 8 EQ-GuV"}</definedName>
    <definedName name="_SA1" hidden="1">{#N/A,#N/A,TRUE,"0 Deckbl.";#N/A,#N/A,TRUE,"S 1 Komm";#N/A,#N/A,TRUE,"S 1a Komm";#N/A,#N/A,TRUE,"S 1b Komm";#N/A,#N/A,TRUE,"S  2 DBR";#N/A,#N/A,TRUE,"S  3 Sparten";#N/A,#N/A,TRUE,"S 4  Betr. K.";#N/A,#N/A,TRUE,"6 Bilanz";#N/A,#N/A,TRUE,"6a Bilanz ";#N/A,#N/A,TRUE,"6b Bilanz ";#N/A,#N/A,TRUE,"7 GS I";#N/A,#N/A,TRUE,"S 8 EQ-GuV"}</definedName>
    <definedName name="_sap10" localSheetId="7" hidden="1">Main.SAPF4Help()</definedName>
    <definedName name="_sap10" localSheetId="8" hidden="1">Main.SAPF4Help()</definedName>
    <definedName name="_sap10" hidden="1">Main.SAPF4Help()</definedName>
    <definedName name="_sap11" localSheetId="7" hidden="1">Main.SAPF4Help()</definedName>
    <definedName name="_sap11" localSheetId="8" hidden="1">Main.SAPF4Help()</definedName>
    <definedName name="_sap11" hidden="1">Main.SAPF4Help()</definedName>
    <definedName name="_sap123" localSheetId="7" hidden="1">Main.SAPF4Help()</definedName>
    <definedName name="_sap123" localSheetId="8" hidden="1">Main.SAPF4Help()</definedName>
    <definedName name="_sap123" hidden="1">Main.SAPF4Help()</definedName>
    <definedName name="_sap13" localSheetId="7" hidden="1">Main.SAPF4Help()</definedName>
    <definedName name="_sap13" localSheetId="8" hidden="1">Main.SAPF4Help()</definedName>
    <definedName name="_sap13" hidden="1">Main.SAPF4Help()</definedName>
    <definedName name="_sap2" localSheetId="7" hidden="1">Main.SAPF4Help()</definedName>
    <definedName name="_sap2" localSheetId="8" hidden="1">Main.SAPF4Help()</definedName>
    <definedName name="_sap2" hidden="1">Main.SAPF4Help()</definedName>
    <definedName name="_sap3" localSheetId="7" hidden="1">Main.SAPF4Help()</definedName>
    <definedName name="_sap3" localSheetId="8" hidden="1">Main.SAPF4Help()</definedName>
    <definedName name="_sap3" hidden="1">Main.SAPF4Help()</definedName>
    <definedName name="_sap45" localSheetId="7" hidden="1">Main.SAPF4Help()</definedName>
    <definedName name="_sap45" localSheetId="8" hidden="1">Main.SAPF4Help()</definedName>
    <definedName name="_sap45" hidden="1">Main.SAPF4Help()</definedName>
    <definedName name="_sap6" localSheetId="7" hidden="1">Main.SAPF4Help()</definedName>
    <definedName name="_sap6" localSheetId="8" hidden="1">Main.SAPF4Help()</definedName>
    <definedName name="_sap6" hidden="1">Main.SAPF4Help()</definedName>
    <definedName name="_sap66" localSheetId="7" hidden="1">Main.SAPF4Help()</definedName>
    <definedName name="_sap66" localSheetId="8" hidden="1">Main.SAPF4Help()</definedName>
    <definedName name="_sap66" hidden="1">Main.SAPF4Help()</definedName>
    <definedName name="_sap7" localSheetId="7" hidden="1">Main.SAPF4Help()</definedName>
    <definedName name="_sap7" localSheetId="8" hidden="1">Main.SAPF4Help()</definedName>
    <definedName name="_sap7" hidden="1">Main.SAPF4Help()</definedName>
    <definedName name="_sap8" localSheetId="7" hidden="1">Main.SAPF4Help()</definedName>
    <definedName name="_sap8" localSheetId="8" hidden="1">Main.SAPF4Help()</definedName>
    <definedName name="_sap8" hidden="1">Main.SAPF4Help()</definedName>
    <definedName name="_sap9" localSheetId="7" hidden="1">Main.SAPF4Help()</definedName>
    <definedName name="_sap9" localSheetId="8" hidden="1">Main.SAPF4Help()</definedName>
    <definedName name="_sap9" hidden="1">Main.SAPF4Help()</definedName>
    <definedName name="_sar2" localSheetId="8" hidden="1">{#N/A,#N/A,FALSE,"Aging Summary";#N/A,#N/A,FALSE,"Ratio Analysis";#N/A,#N/A,FALSE,"Test 120 Day Accts";#N/A,#N/A,FALSE,"Tickmarks"}</definedName>
    <definedName name="_sar2" hidden="1">{#N/A,#N/A,FALSE,"Aging Summary";#N/A,#N/A,FALSE,"Ratio Analysis";#N/A,#N/A,FALSE,"Test 120 Day Accts";#N/A,#N/A,FALSE,"Tickmarks"}</definedName>
    <definedName name="_sar2_1" localSheetId="8" hidden="1">{#N/A,#N/A,FALSE,"Aging Summary";#N/A,#N/A,FALSE,"Ratio Analysis";#N/A,#N/A,FALSE,"Test 120 Day Accts";#N/A,#N/A,FALSE,"Tickmarks"}</definedName>
    <definedName name="_sar2_1" hidden="1">{#N/A,#N/A,FALSE,"Aging Summary";#N/A,#N/A,FALSE,"Ratio Analysis";#N/A,#N/A,FALSE,"Test 120 Day Accts";#N/A,#N/A,FALSE,"Tickmarks"}</definedName>
    <definedName name="_scenchg_count" hidden="1">1</definedName>
    <definedName name="_scenchg1" hidden="1">#NAME?</definedName>
    <definedName name="_sd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sd34" localSheetId="8" hidden="1">{"QTD",#N/A,FALSE,"SUM"}</definedName>
    <definedName name="_sd34" hidden="1">{"QTD",#N/A,FALSE,"SUM"}</definedName>
    <definedName name="_sd4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sdf2" localSheetId="8" hidden="1">{#N/A,#N/A,FALSE,"Calc";#N/A,#N/A,FALSE,"Sensitivity";#N/A,#N/A,FALSE,"LT Earn.Dil.";#N/A,#N/A,FALSE,"Dil. AVP"}</definedName>
    <definedName name="_sdf2" hidden="1">{#N/A,#N/A,FALSE,"Calc";#N/A,#N/A,FALSE,"Sensitivity";#N/A,#N/A,FALSE,"LT Earn.Dil.";#N/A,#N/A,FALSE,"Dil. AVP"}</definedName>
    <definedName name="_sdf2_1" localSheetId="8" hidden="1">{#N/A,#N/A,FALSE,"Calc";#N/A,#N/A,FALSE,"Sensitivity";#N/A,#N/A,FALSE,"LT Earn.Dil.";#N/A,#N/A,FALSE,"Dil. AVP"}</definedName>
    <definedName name="_sdf2_1" hidden="1">{#N/A,#N/A,FALSE,"Calc";#N/A,#N/A,FALSE,"Sensitivity";#N/A,#N/A,FALSE,"LT Earn.Dil.";#N/A,#N/A,FALSE,"Dil. AVP"}</definedName>
    <definedName name="_set1" localSheetId="8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set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set10" localSheetId="8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set10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set11" localSheetId="8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set1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set12" localSheetId="8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set12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set13" localSheetId="8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set13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set14" localSheetId="8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set14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set15" localSheetId="8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set15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set16" localSheetId="8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set16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set17" localSheetId="8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set17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set18" localSheetId="8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set18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set19" localSheetId="8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set19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set2" localSheetId="8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set2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set20" localSheetId="8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set20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set21" localSheetId="8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set2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set22" localSheetId="8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set22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set23" localSheetId="8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set23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set3" localSheetId="8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set3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set4" localSheetId="8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set4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set5" localSheetId="8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set5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set6" localSheetId="8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set6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set7" localSheetId="8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set7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set8" localSheetId="8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set8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set9" localSheetId="8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set9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SHEET_VERSION" hidden="1">#N/A</definedName>
    <definedName name="_SI2" localSheetId="8" hidden="1">{"INPUTA",#N/A,FALSE,"Venture";"INPUTB",#N/A,FALSE,"Venture";"INPUTC",#N/A,FALSE,"Venture";"INPUTD",#N/A,FALSE,"Venture";"INPUTE",#N/A,FALSE,"Venture"}</definedName>
    <definedName name="_SI2" hidden="1">{"INPUTA",#N/A,FALSE,"Venture";"INPUTB",#N/A,FALSE,"Venture";"INPUTC",#N/A,FALSE,"Venture";"INPUTD",#N/A,FALSE,"Venture";"INPUTE",#N/A,FALSE,"Venture"}</definedName>
    <definedName name="_SI3" localSheetId="8" hidden="1">{"INPUTA",#N/A,FALSE,"Venture";"INPUTB",#N/A,FALSE,"Venture";"INPUTC",#N/A,FALSE,"Venture";"INPUTD",#N/A,FALSE,"Venture";"INPUTE",#N/A,FALSE,"Venture"}</definedName>
    <definedName name="_SI3" hidden="1">{"INPUTA",#N/A,FALSE,"Venture";"INPUTB",#N/A,FALSE,"Venture";"INPUTC",#N/A,FALSE,"Venture";"INPUTD",#N/A,FALSE,"Venture";"INPUTE",#N/A,FALSE,"Venture"}</definedName>
    <definedName name="_Sort" localSheetId="7" hidden="1">#REF!</definedName>
    <definedName name="_Sort" localSheetId="8" hidden="1">#REF!</definedName>
    <definedName name="_Sort" hidden="1">#REF!</definedName>
    <definedName name="_Sort2" hidden="1">#REF!</definedName>
    <definedName name="_ss1" localSheetId="8" hidden="1">{"detail",#N/A,FALSE,"mfg";"summary",#N/A,FALSE,"mfg"}</definedName>
    <definedName name="_ss1" hidden="1">{"detail",#N/A,FALSE,"mfg";"summary",#N/A,FALSE,"mfg"}</definedName>
    <definedName name="_ss1_1" localSheetId="8" hidden="1">{#N/A,#N/A,FALSE,"P&amp;L-BS-CF"}</definedName>
    <definedName name="_ss1_1" hidden="1">{#N/A,#N/A,FALSE,"P&amp;L-BS-CF"}</definedName>
    <definedName name="_sss1212" localSheetId="8" hidden="1">{#N/A,#N/A,FALSE,"Adm comp";#N/A,#N/A,FALSE,"Adm ajust";"adm",#N/A,FALSE,"Administration";#N/A,#N/A,FALSE,"Adm Bgt 97 vs Prév. 96";#N/A,#N/A,FALSE,"Adm Bgt 97 vs 96"}</definedName>
    <definedName name="_sss1212" hidden="1">{#N/A,#N/A,FALSE,"Adm comp";#N/A,#N/A,FALSE,"Adm ajust";"adm",#N/A,FALSE,"Administration";#N/A,#N/A,FALSE,"Adm Bgt 97 vs Prév. 96";#N/A,#N/A,FALSE,"Adm Bgt 97 vs 96"}</definedName>
    <definedName name="_START_READABLE_STATUS" hidden="1">#N/A</definedName>
    <definedName name="_START_STATUS_SPINNER" hidden="1">#N/A</definedName>
    <definedName name="_T1" localSheetId="8" hidden="1">{"'EARLY LIFE SAVINGS - COSTS '!$A$1:$N$56"}</definedName>
    <definedName name="_T1" hidden="1">{"'EARLY LIFE SAVINGS - COSTS '!$A$1:$N$56"}</definedName>
    <definedName name="_T2" localSheetId="8" hidden="1">{"'EARLY LIFE SAVINGS - COSTS '!$A$1:$N$56"}</definedName>
    <definedName name="_T2" hidden="1">{"'EARLY LIFE SAVINGS - COSTS '!$A$1:$N$56"}</definedName>
    <definedName name="_t81" localSheetId="8" hidden="1">{#N/A,#N/A,FALSE,"Aging Summary";#N/A,#N/A,FALSE,"Ratio Analysis";#N/A,#N/A,FALSE,"Test 120 Day Accts";#N/A,#N/A,FALSE,"Tickmarks"}</definedName>
    <definedName name="_t81" hidden="1">{#N/A,#N/A,FALSE,"Aging Summary";#N/A,#N/A,FALSE,"Ratio Analysis";#N/A,#N/A,FALSE,"Test 120 Day Accts";#N/A,#N/A,FALSE,"Tickmarks"}</definedName>
    <definedName name="_Table1_In1" localSheetId="7" hidden="1">#REF!</definedName>
    <definedName name="_Table1_In1" localSheetId="8" hidden="1">#REF!</definedName>
    <definedName name="_Table1_In1" hidden="1">#REF!</definedName>
    <definedName name="_Table1_Out" localSheetId="8" hidden="1">#REF!</definedName>
    <definedName name="_Table1_Out" hidden="1">#REF!</definedName>
    <definedName name="_Table2_In1" localSheetId="8" hidden="1">#REF!</definedName>
    <definedName name="_Table2_In1" hidden="1">#REF!</definedName>
    <definedName name="_Table2_In2" localSheetId="7" hidden="1">#REF!</definedName>
    <definedName name="_Table2_In2" hidden="1">#REF!</definedName>
    <definedName name="_Table2_Out" localSheetId="7" hidden="1">#REF!</definedName>
    <definedName name="_Table2_Out" hidden="1">#REF!</definedName>
    <definedName name="_Table2_Out_" hidden="1">#REF!</definedName>
    <definedName name="_Table3_In2" localSheetId="7" hidden="1">#REF!</definedName>
    <definedName name="_Table3_In2" hidden="1">#REF!</definedName>
    <definedName name="_tamas" hidden="1">#REF!</definedName>
    <definedName name="_te2" localSheetId="8" hidden="1">{"'100'!$A$1:$M$83"}</definedName>
    <definedName name="_te2" hidden="1">{"'100'!$A$1:$M$83"}</definedName>
    <definedName name="_Tes6" localSheetId="8" hidden="1">{"'SIVA Pricing Model'!$A$1:$F$39"}</definedName>
    <definedName name="_Tes6" hidden="1">{"'SIVA Pricing Model'!$A$1:$F$39"}</definedName>
    <definedName name="_tl2" localSheetId="8" hidden="1">{"'100'!$A$1:$M$83"}</definedName>
    <definedName name="_tl2" hidden="1">{"'100'!$A$1:$M$83"}</definedName>
    <definedName name="_tm1" localSheetId="7" hidden="1">{#N/A,#N/A,FALSE,"Pharm";#N/A,#N/A,FALSE,"WWCM"}</definedName>
    <definedName name="_tm1" localSheetId="8" hidden="1">{#N/A,#N/A,FALSE,"Pharm";#N/A,#N/A,FALSE,"WWCM"}</definedName>
    <definedName name="_tm1" hidden="1">{#N/A,#N/A,FALSE,"Pharm";#N/A,#N/A,FALSE,"WWCM"}</definedName>
    <definedName name="_TRANSLATE" hidden="1">#REF!</definedName>
    <definedName name="_UNDO_UPS_" hidden="1">#REF!</definedName>
    <definedName name="_UNDO_UPS_SEL_" hidden="1">#REF!</definedName>
    <definedName name="_UNDO31X31X_" hidden="1">#REF!</definedName>
    <definedName name="_uu2" localSheetId="8" hidden="1">{"'100'!$A$1:$M$83"}</definedName>
    <definedName name="_uu2" hidden="1">{"'100'!$A$1:$M$83"}</definedName>
    <definedName name="_UUID_" hidden="1">1466805</definedName>
    <definedName name="_v" localSheetId="8" hidden="1">#REF!</definedName>
    <definedName name="_v" hidden="1">#REF!</definedName>
    <definedName name="_v1" localSheetId="8" hidden="1">{TRUE,TRUE,-1.25,-15.5,604.5,369.75,FALSE,TRUE,TRUE,TRUE,0,1,#N/A,1,#N/A,36.96875,22.9444444444444,1,FALSE,FALSE,3,TRUE,1,FALSE,100,"Swvu.provision.","ACwvu.provision.",1,FALSE,FALSE,0.75,0.75,2.02,1,2,"&amp;C&amp;""Helvetica""&amp;18&amp;BDELL COMPUTER CORPORATION
SERVICE OPERATIONS - FINANCE&amp;""MS Sans Serif""&amp;10&amp;B
&amp;""Helvetica""&amp;14&amp;BParts Provision vs. Write-offs","&amp;L&amp;""Helvetica""&amp;9Bob Ross&amp;C&amp;""Helvetica""&amp;9&amp;F&amp;R&amp;""Helvetica""&amp;9&amp;D     &amp;T",FALSE,FALSE,FALSE,FALSE,1,110,#N/A,#N/A,"=R7C1:R26C36",FALSE,"Rwvu.provision.",#N/A,FALSE,FALSE}</definedName>
    <definedName name="_v1" hidden="1">{TRUE,TRUE,-1.25,-15.5,604.5,369.75,FALSE,TRUE,TRUE,TRUE,0,1,#N/A,1,#N/A,36.96875,22.9444444444444,1,FALSE,FALSE,3,TRUE,1,FALSE,100,"Swvu.provision.","ACwvu.provision.",1,FALSE,FALSE,0.75,0.75,2.02,1,2,"&amp;C&amp;""Helvetica""&amp;18&amp;BDELL COMPUTER CORPORATION
SERVICE OPERATIONS - FINANCE&amp;""MS Sans Serif""&amp;10&amp;B
&amp;""Helvetica""&amp;14&amp;BParts Provision vs. Write-offs","&amp;L&amp;""Helvetica""&amp;9Bob Ross&amp;C&amp;""Helvetica""&amp;9&amp;F&amp;R&amp;""Helvetica""&amp;9&amp;D     &amp;T",FALSE,FALSE,FALSE,FALSE,1,110,#N/A,#N/A,"=R7C1:R26C36",FALSE,"Rwvu.provision.",#N/A,FALSE,FALSE}</definedName>
    <definedName name="_v2" localSheetId="8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_v2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_v4" localSheetId="8" hidden="1">{"français",#N/A,FALSE,"Intro";"français",#N/A,FALSE,"Index";#N/A,#N/A,FALSE,"3-Incor";#N/A,#N/A,FALSE,"4-Corpo"}</definedName>
    <definedName name="_v4" hidden="1">{"français",#N/A,FALSE,"Intro";"français",#N/A,FALSE,"Index";#N/A,#N/A,FALSE,"3-Incor";#N/A,#N/A,FALSE,"4-Corpo"}</definedName>
    <definedName name="_wer33" localSheetId="8" hidden="1">{"cover",#N/A,TRUE,"Cover";"toc5",#N/A,TRUE,"TOC";"over",#N/A,TRUE,"Overview";"ts2",#N/A,TRUE,"Det_Trans_Sum";"ei1",#N/A,TRUE,"Earnings Impact";"ad1",#N/A,TRUE,"accretion dilution";"pfis1",#N/A,TRUE,"Pro Forma Income Statement";"ca1",#N/A,TRUE,"Contribution_Analysis";"acq1",#N/A,TRUE,"Acquirer";"tar1",#N/A,TRUE,"Target"}</definedName>
    <definedName name="_wer33" hidden="1">{"cover",#N/A,TRUE,"Cover";"toc5",#N/A,TRUE,"TOC";"over",#N/A,TRUE,"Overview";"ts2",#N/A,TRUE,"Det_Trans_Sum";"ei1",#N/A,TRUE,"Earnings Impact";"ad1",#N/A,TRUE,"accretion dilution";"pfis1",#N/A,TRUE,"Pro Forma Income Statement";"ca1",#N/A,TRUE,"Contribution_Analysis";"acq1",#N/A,TRUE,"Acquirer";"tar1",#N/A,TRUE,"Target"}</definedName>
    <definedName name="_wr1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1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1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1_1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1_1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1_1_1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1_1_1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1_1_2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1_1_2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1_1_3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1_1_3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1_1_4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1_1_4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1_1_5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1_1_5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1_2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1_2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1_2_1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1_2_1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1_2_2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1_2_2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1_2_3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1_2_3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1_2_4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1_2_4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1_2_5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1_2_5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1_3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1_3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1_3_1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1_3_1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1_3_2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1_3_2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1_3_3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1_3_3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1_3_4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1_3_4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1_3_5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1_3_5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1_4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1_4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1_4_1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1_4_1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1_4_2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1_4_2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1_4_3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1_4_3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1_4_4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1_4_4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1_4_5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1_4_5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1_5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1_5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1_5_1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1_5_1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1_5_2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1_5_2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1_5_3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1_5_3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1_5_4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1_5_4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1_5_5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1_5_5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2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2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2_1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2_1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2_1_1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2_1_1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2_1_2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2_1_2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2_1_3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2_1_3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2_1_4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2_1_4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2_1_5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2_1_5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2_2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2_2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2_2_1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2_2_1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2_2_2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2_2_2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2_2_3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2_2_3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2_2_4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2_2_4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2_2_5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2_2_5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2_3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2_3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2_3_1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2_3_1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2_3_2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2_3_2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2_3_3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2_3_3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2_3_4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2_3_4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2_3_5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2_3_5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2_4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2_4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2_4_1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2_4_1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2_4_2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2_4_2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2_4_3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2_4_3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2_4_4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2_4_4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2_4_5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2_4_5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2_5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2_5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2_5_1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2_5_1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2_5_2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2_5_2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2_5_3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2_5_3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2_5_4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2_5_4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2_5_5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2_5_5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3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3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3_1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3_1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3_1_1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3_1_1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3_1_2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3_1_2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3_1_3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3_1_3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3_1_4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3_1_4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3_1_5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3_1_5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3_2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3_2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3_2_1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3_2_1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3_2_2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3_2_2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3_2_3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3_2_3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3_2_4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3_2_4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3_2_5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3_2_5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3_3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3_3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3_3_1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3_3_1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3_3_2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3_3_2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3_3_3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3_3_3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3_3_4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3_3_4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3_3_5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3_3_5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3_4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3_4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3_4_1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3_4_1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3_4_2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3_4_2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3_4_3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3_4_3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3_4_4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3_4_4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3_4_5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3_4_5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3_5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3_5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3_5_1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3_5_1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3_5_2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3_5_2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3_5_3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3_5_3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3_5_4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3_5_4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3_5_5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3_5_5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4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4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4_1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4_1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4_1_1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4_1_1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4_1_2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4_1_2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4_1_3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4_1_3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4_1_4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4_1_4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4_1_5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4_1_5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4_2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4_2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4_2_1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4_2_1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4_2_2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4_2_2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4_2_3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4_2_3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4_2_4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4_2_4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4_2_5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4_2_5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4_3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4_3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4_3_1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4_3_1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4_3_2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4_3_2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4_3_3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4_3_3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4_3_4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4_3_4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4_3_5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4_3_5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4_4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4_4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4_4_1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4_4_1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4_4_2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4_4_2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4_4_3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4_4_3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4_4_4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4_4_4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4_4_5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4_4_5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4_5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4_5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4_5_1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4_5_1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4_5_2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4_5_2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4_5_3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4_5_3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4_5_4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4_5_4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4_5_5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4_5_5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5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5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5_1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5_1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5_1_1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5_1_1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5_1_2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5_1_2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5_1_3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5_1_3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5_1_4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5_1_4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5_1_5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5_1_5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5_2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5_2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5_2_1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5_2_1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5_2_2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5_2_2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5_2_3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5_2_3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5_2_4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5_2_4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5_2_5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5_2_5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5_3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5_3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5_3_1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5_3_1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5_3_2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5_3_2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5_3_3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5_3_3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5_3_4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5_3_4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5_3_5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5_3_5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5_4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5_4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5_4_1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5_4_1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5_4_2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5_4_2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5_4_3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5_4_3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5_4_4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5_4_4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5_4_5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5_4_5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5_5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5_5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5_5_1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5_5_1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5_5_2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5_5_2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5_5_3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5_5_3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5_5_4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5_5_4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5_5_5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_5_5_5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2" localSheetId="8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wr2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wrm3" localSheetId="8" hidden="1">{"vue1",#N/A,FALSE,"synthese";"vue2",#N/A,FALSE,"synthese"}</definedName>
    <definedName name="_wrm3" hidden="1">{"vue1",#N/A,FALSE,"synthese";"vue2",#N/A,FALSE,"synthese"}</definedName>
    <definedName name="_wrm3_1" localSheetId="8" hidden="1">{"vue1",#N/A,FALSE,"synthese";"vue2",#N/A,FALSE,"synthese"}</definedName>
    <definedName name="_wrm3_1" hidden="1">{"vue1",#N/A,FALSE,"synthese";"vue2",#N/A,FALSE,"synthese"}</definedName>
    <definedName name="_wrn071" localSheetId="8" hidden="1">{#N/A,"PURCHM",FALSE,"Business Analysis";#N/A,"SPADD",FALSE,"Business Analysis"}</definedName>
    <definedName name="_wrn071" hidden="1">{#N/A,"PURCHM",FALSE,"Business Analysis";#N/A,"SPADD",FALSE,"Business Analysis"}</definedName>
    <definedName name="_wrn1" localSheetId="8" hidden="1">{#N/A,#N/A,FALSE,"DCF";#N/A,#N/A,FALSE,"WACC";#N/A,#N/A,FALSE,"Sales_EBIT";#N/A,#N/A,FALSE,"Capex_Depreciation";#N/A,#N/A,FALSE,"WC";#N/A,#N/A,FALSE,"Interest";#N/A,#N/A,FALSE,"Assumptions"}</definedName>
    <definedName name="_wrn1" hidden="1">{#N/A,#N/A,FALSE,"DCF";#N/A,#N/A,FALSE,"WACC";#N/A,#N/A,FALSE,"Sales_EBIT";#N/A,#N/A,FALSE,"Capex_Depreciation";#N/A,#N/A,FALSE,"WC";#N/A,#N/A,FALSE,"Interest";#N/A,#N/A,FALSE,"Assumptions"}</definedName>
    <definedName name="_wrn1_1" localSheetId="8" hidden="1">{#N/A,#N/A,FALSE,"DCF";#N/A,#N/A,FALSE,"WACC";#N/A,#N/A,FALSE,"Sales_EBIT";#N/A,#N/A,FALSE,"Capex_Depreciation";#N/A,#N/A,FALSE,"WC";#N/A,#N/A,FALSE,"Interest";#N/A,#N/A,FALSE,"Assumptions"}</definedName>
    <definedName name="_wrn1_1" hidden="1">{#N/A,#N/A,FALSE,"DCF";#N/A,#N/A,FALSE,"WACC";#N/A,#N/A,FALSE,"Sales_EBIT";#N/A,#N/A,FALSE,"Capex_Depreciation";#N/A,#N/A,FALSE,"WC";#N/A,#N/A,FALSE,"Interest";#N/A,#N/A,FALSE,"Assumptions"}</definedName>
    <definedName name="_wrn2" localSheetId="8" hidden="1">{#N/A,#N/A,FALSE,"Calc";#N/A,#N/A,FALSE,"Sensitivity";#N/A,#N/A,FALSE,"LT Earn.Dil.";#N/A,#N/A,FALSE,"Dil. AVP"}</definedName>
    <definedName name="_wrn2" hidden="1">{#N/A,#N/A,FALSE,"Calc";#N/A,#N/A,FALSE,"Sensitivity";#N/A,#N/A,FALSE,"LT Earn.Dil.";#N/A,#N/A,FALSE,"Dil. AVP"}</definedName>
    <definedName name="_wrn2_1" localSheetId="8" hidden="1">{#N/A,#N/A,FALSE,"Calc";#N/A,#N/A,FALSE,"Sensitivity";#N/A,#N/A,FALSE,"LT Earn.Dil.";#N/A,#N/A,FALSE,"Dil. AVP"}</definedName>
    <definedName name="_wrn2_1" hidden="1">{#N/A,#N/A,FALSE,"Calc";#N/A,#N/A,FALSE,"Sensitivity";#N/A,#N/A,FALSE,"LT Earn.Dil.";#N/A,#N/A,FALSE,"Dil. AVP"}</definedName>
    <definedName name="_wrn213" localSheetId="8" hidden="1">{"detail",#N/A,FALSE,"mfg";"summary",#N/A,FALSE,"mfg"}</definedName>
    <definedName name="_wrn213" hidden="1">{"detail",#N/A,FALSE,"mfg";"summary",#N/A,FALSE,"mfg"}</definedName>
    <definedName name="_wrn3" localSheetId="8" hidden="1">{"comps",#N/A,FALSE,"comps";"notes",#N/A,FALSE,"comps"}</definedName>
    <definedName name="_wrn3" hidden="1">{"comps",#N/A,FALSE,"comps";"notes",#N/A,FALSE,"comps"}</definedName>
    <definedName name="_wrn3_1" localSheetId="8" hidden="1">{"comps",#N/A,FALSE,"comps";"notes",#N/A,FALSE,"comps"}</definedName>
    <definedName name="_wrn3_1" hidden="1">{"comps",#N/A,FALSE,"comps";"notes",#N/A,FALSE,"comps"}</definedName>
    <definedName name="_wrn4" localSheetId="8" hidden="1">{"general",#N/A,FALSE,"Assumptions"}</definedName>
    <definedName name="_wrn4" hidden="1">{"general",#N/A,FALSE,"Assumptions"}</definedName>
    <definedName name="_wrn4_1" localSheetId="8" hidden="1">{"general",#N/A,FALSE,"Assumptions"}</definedName>
    <definedName name="_wrn4_1" hidden="1">{"general",#N/A,FALSE,"Assumptions"}</definedName>
    <definedName name="_WRN41" localSheetId="8" hidden="1">{"detail",#N/A,FALSE,"mfg";"summary",#N/A,FALSE,"mfg"}</definedName>
    <definedName name="_WRN41" hidden="1">{"detail",#N/A,FALSE,"mfg";"summary",#N/A,FALSE,"mfg"}</definedName>
    <definedName name="_wrn413" localSheetId="8" hidden="1">{"detail",#N/A,FALSE,"mfg";"summary",#N/A,FALSE,"mfg"}</definedName>
    <definedName name="_wrn413" hidden="1">{"detail",#N/A,FALSE,"mfg";"summary",#N/A,FALSE,"mfg"}</definedName>
    <definedName name="_wrn51" localSheetId="8" hidden="1">{#N/A,"PURCHM",FALSE,"Business Analysis";#N/A,"SPADD",FALSE,"Business Analysis"}</definedName>
    <definedName name="_wrn51" hidden="1">{#N/A,"PURCHM",FALSE,"Business Analysis";#N/A,"SPADD",FALSE,"Business Analysis"}</definedName>
    <definedName name="_wrn61" localSheetId="8" hidden="1">{"detail",#N/A,FALSE,"mfg";"summary",#N/A,FALSE,"mfg"}</definedName>
    <definedName name="_wrn61" hidden="1">{"detail",#N/A,FALSE,"mfg";"summary",#N/A,FALSE,"mfg"}</definedName>
    <definedName name="_wrn651" localSheetId="8" hidden="1">{"detail",#N/A,FALSE,"mfg";"summary",#N/A,FALSE,"mfg"}</definedName>
    <definedName name="_wrn651" hidden="1">{"detail",#N/A,FALSE,"mfg";"summary",#N/A,FALSE,"mfg"}</definedName>
    <definedName name="_wsd2" localSheetId="8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_wsd2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_wvu1" localSheetId="8" hidden="1">{TRUE,TRUE,-1.25,-0.5,597.75,370.5,FALSE,FALSE,TRUE,TRUE,0,1,11,25,69,0.826923076923077,1,2,TRUE,TRUE,1,TRUE,1,FALSE,100,"Swvu.rollinghalfyear.","ACwvu.rollinghalfyear.",1,FALSE,FALSE,0.748031496062992,0.748031496062992,0.984251968503937,0.984251968503937,1,"","Page &amp;p",FALSE,FALSE,FALSE,FALSE,1,70,#N/A,#N/A,"=R25C10:R89C17","=C1","Rwvu.rollinghalfyear.",#N/A,FALSE,FALSE}</definedName>
    <definedName name="_wvu1" hidden="1">{TRUE,TRUE,-1.25,-0.5,597.75,370.5,FALSE,FALSE,TRUE,TRUE,0,1,11,25,69,0.826923076923077,1,2,TRUE,TRUE,1,TRUE,1,FALSE,100,"Swvu.rollinghalfyear.","ACwvu.rollinghalfyear.",1,FALSE,FALSE,0.748031496062992,0.748031496062992,0.984251968503937,0.984251968503937,1,"","Page &amp;p",FALSE,FALSE,FALSE,FALSE,1,70,#N/A,#N/A,"=R25C10:R89C17","=C1","Rwvu.rollinghalfyear.",#N/A,FALSE,FALSE}</definedName>
    <definedName name="_WVU41" localSheetId="8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_WVU41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_wvu42" localSheetId="8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_wvu42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_x1" localSheetId="8" hidden="1">{"detail",#N/A,FALSE,"mfg";"summary",#N/A,FALSE,"mfg"}</definedName>
    <definedName name="_x1" hidden="1">{"detail",#N/A,FALSE,"mfg";"summary",#N/A,FALSE,"mfg"}</definedName>
    <definedName name="_X2" localSheetId="7" hidden="1">{#N/A,#N/A,FALSE,"Other";#N/A,#N/A,FALSE,"Ace";#N/A,#N/A,FALSE,"Derm"}</definedName>
    <definedName name="_X2" localSheetId="8" hidden="1">{#N/A,#N/A,FALSE,"Other";#N/A,#N/A,FALSE,"Ace";#N/A,#N/A,FALSE,"Derm"}</definedName>
    <definedName name="_X2" hidden="1">{#N/A,#N/A,FALSE,"Other";#N/A,#N/A,FALSE,"Ace";#N/A,#N/A,FALSE,"Derm"}</definedName>
    <definedName name="_x3" localSheetId="8" hidden="1">{"detail",#N/A,FALSE,"mfg";"summary",#N/A,FALSE,"mfg"}</definedName>
    <definedName name="_x3" hidden="1">{"detail",#N/A,FALSE,"mfg";"summary",#N/A,FALSE,"mfg"}</definedName>
    <definedName name="_x4" localSheetId="8" hidden="1">{#N/A,"PURCHM",FALSE,"Business Analysis";#N/A,"SPADD",FALSE,"Business Analysis"}</definedName>
    <definedName name="_x4" hidden="1">{#N/A,"PURCHM",FALSE,"Business Analysis";#N/A,"SPADD",FALSE,"Business Analysis"}</definedName>
    <definedName name="_x5" localSheetId="8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x5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xlcn.LinkedTable_Table11" hidden="1">#REF!</definedName>
    <definedName name="_xlcn.LinkedTable_Table111" hidden="1">#REF!</definedName>
    <definedName name="_xlcn.LinkedTable_Table121" hidden="1">#REF!</definedName>
    <definedName name="_xlcn.WorksheetConnection_ReportA11AP19694" hidden="1">#REF!</definedName>
    <definedName name="_xx10" localSheetId="8" hidden="1">{#N/A,"PURCHM",FALSE,"Business Analysis";#N/A,"SPADD",FALSE,"Business Analysis"}</definedName>
    <definedName name="_xx10" hidden="1">{#N/A,"PURCHM",FALSE,"Business Analysis";#N/A,"SPADD",FALSE,"Business Analysis"}</definedName>
    <definedName name="_xx3" localSheetId="8" hidden="1">{"detail",#N/A,FALSE,"mfg";"summary",#N/A,FALSE,"mfg"}</definedName>
    <definedName name="_xx3" hidden="1">{"detail",#N/A,FALSE,"mfg";"summary",#N/A,FALSE,"mfg"}</definedName>
    <definedName name="_xx4" localSheetId="8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_xx4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_xx5" localSheetId="8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_xx5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_xx6" localSheetId="8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_xx6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_xx7" localSheetId="8" hidden="1">{"oct_res_comm",#N/A,FALSE,"VarToBud"}</definedName>
    <definedName name="_xx7" hidden="1">{"oct_res_comm",#N/A,FALSE,"VarToBud"}</definedName>
    <definedName name="_xx8" localSheetId="8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_xx8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_xx9" localSheetId="8" hidden="1">{"AS REP",#N/A,FALSE,"EEFSNAP2";"PROP",#N/A,FALSE,"EEFSNAP2";"RISKS",#N/A,FALSE,"EEFSNAP2";"VIEW ALL",#N/A,FALSE,"EEFSNAP2"}</definedName>
    <definedName name="_xx9" hidden="1">{"AS REP",#N/A,FALSE,"EEFSNAP2";"PROP",#N/A,FALSE,"EEFSNAP2";"RISKS",#N/A,FALSE,"EEFSNAP2";"VIEW ALL",#N/A,FALSE,"EEFSNAP2"}</definedName>
    <definedName name="_y" hidden="1">#REF!</definedName>
    <definedName name="_z" localSheetId="8" hidden="1">{#N/A,#N/A,FALSE,"IC Annex";#N/A,#N/A,FALSE,"Sensitivity";#N/A,#N/A,FALSE,"P&amp;L";#N/A,#N/A,FALSE,"Balance Sheet";#N/A,#N/A,FALSE,"Cash Flow";#N/A,#N/A,FALSE,"Key Assumptions";#N/A,#N/A,FALSE,"Global Assumptions";#N/A,#N/A,FALSE,"Graphs"}</definedName>
    <definedName name="_z" hidden="1">{#N/A,#N/A,FALSE,"IC Annex";#N/A,#N/A,FALSE,"Sensitivity";#N/A,#N/A,FALSE,"P&amp;L";#N/A,#N/A,FALSE,"Balance Sheet";#N/A,#N/A,FALSE,"Cash Flow";#N/A,#N/A,FALSE,"Key Assumptions";#N/A,#N/A,FALSE,"Global Assumptions";#N/A,#N/A,FALSE,"Graphs"}</definedName>
    <definedName name="_z12" localSheetId="8" hidden="1">{"pro_view",#N/A,FALSE,"EEFSNAP2";"rep_view",#N/A,FALSE,"EEFSNAP2"}</definedName>
    <definedName name="_z12" hidden="1">{"pro_view",#N/A,FALSE,"EEFSNAP2";"rep_view",#N/A,FALSE,"EEFSNAP2"}</definedName>
    <definedName name="_z22" localSheetId="8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z25" localSheetId="8" hidden="1">{"detail",#N/A,FALSE,"mfg";"summary",#N/A,FALSE,"mfg"}</definedName>
    <definedName name="_z25" hidden="1">{"detail",#N/A,FALSE,"mfg";"summary",#N/A,FALSE,"mfg"}</definedName>
    <definedName name="_Zcomps1" localSheetId="8" hidden="1">{0,0,0,0,1,-4105,42.5196850393701,42.5196850393701,42.5196850393701,42.5196850393701,2,TRUE,TRUE,FALSE,FALSE,FALSE,#N/A,1,85,1,1,"","","","&amp;""Kennerly,Roman Bold""&amp;14L&amp;12EHMAN &amp;14 B&amp;12ROTHERS","","",FALSE}</definedName>
    <definedName name="_Zcomps1" hidden="1">{0,0,0,0,1,-4105,42.5196850393701,42.5196850393701,42.5196850393701,42.5196850393701,2,TRUE,TRUE,FALSE,FALSE,FALSE,#N/A,1,85,1,1,"","","","&amp;""Kennerly,Roman Bold""&amp;14L&amp;12EHMAN &amp;14 B&amp;12ROTHERS","","",FALSE}</definedName>
    <definedName name="_Zcomps2" localSheetId="8" hidden="1">{0,0,0,0,1,-4105,28.3464566929134,28.3464566929134,28.346456664,28.3464566929134,2,TRUE,TRUE,FALSE,FALSE,FALSE,#N/A,1,85,1,2,"","","","&amp;""Kennerly,Roman Bold""&amp;14L&amp;12EHMAN &amp;14 B&amp;12ROTHERS","","",FALSE}</definedName>
    <definedName name="_Zcomps2" hidden="1">{0,0,0,0,1,-4105,28.3464566929134,28.3464566929134,28.346456664,28.3464566929134,2,TRUE,TRUE,FALSE,FALSE,FALSE,#N/A,1,85,1,2,"","","","&amp;""Kennerly,Roman Bold""&amp;14L&amp;12EHMAN &amp;14 B&amp;12ROTHERS","","",FALSE}</definedName>
    <definedName name="_Zprezzi" localSheetId="8" hidden="1">{0,0,0,0,1,-4105,53.8582677165354,53.8582677165354,70.8661417322835,70.8661417322835,2,TRUE,FALSE,FALSE,FALSE,FALSE,#N/A,1,FALSE,1,1,"","","","","","",FALSE}</definedName>
    <definedName name="_Zprezzi" hidden="1">{0,0,0,0,1,-4105,53.8582677165354,53.8582677165354,70.8661417322835,70.8661417322835,2,TRUE,FALSE,FALSE,FALSE,FALSE,#N/A,1,FALSE,1,1,"","","","","","",FALSE}</definedName>
    <definedName name="_Zprezzi_1" localSheetId="8" hidden="1">{0,0,0,0,1,-4105,53.8582677165354,53.8582677165354,70.8661417322835,70.8661417322835,2,TRUE,FALSE,FALSE,FALSE,FALSE,#N/A,1,FALSE,1,1,"","","","","","",FALSE}</definedName>
    <definedName name="_Zprezzi_1" hidden="1">{0,0,0,0,1,-4105,53.8582677165354,53.8582677165354,70.8661417322835,70.8661417322835,2,TRUE,FALSE,FALSE,FALSE,FALSE,#N/A,1,FALSE,1,1,"","","","","","",FALSE}</definedName>
    <definedName name="_zz1" localSheetId="8" hidden="1">{"pro_view",#N/A,FALSE,"EEFSNAP2";"rep_view",#N/A,FALSE,"EEFSNAP2"}</definedName>
    <definedName name="_zz1" hidden="1">{"pro_view",#N/A,FALSE,"EEFSNAP2";"rep_view",#N/A,FALSE,"EEFSNAP2"}</definedName>
    <definedName name="_zz2" localSheetId="8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zz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´ç" hidden="1">#REF!</definedName>
    <definedName name="a" localSheetId="8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_1" localSheetId="8" hidden="1">{"LargoAjustes",#N/A,FALSE,"Ajustes";"CortoAjustes",#N/A,FALSE,"Ajustes";"PLAjustes",#N/A,FALSE,"Ajustes"}</definedName>
    <definedName name="A_1" hidden="1">{"LargoAjustes",#N/A,FALSE,"Ajustes";"CortoAjustes",#N/A,FALSE,"Ajustes";"PLAjustes",#N/A,FALSE,"Ajustes"}</definedName>
    <definedName name="a1a" localSheetId="8" hidden="1">{#N/A,"PURCHM",FALSE,"Business Analysis";#N/A,"SPADD",FALSE,"Business Analysis"}</definedName>
    <definedName name="a1a" hidden="1">{#N/A,"PURCHM",FALSE,"Business Analysis";#N/A,"SPADD",FALSE,"Business Analysis"}</definedName>
    <definedName name="a1b" localSheetId="8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a1b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a1e" localSheetId="8" hidden="1">#REF!</definedName>
    <definedName name="a1e" hidden="1">#REF!</definedName>
    <definedName name="a2a" localSheetId="8" hidden="1">{"detail",#N/A,FALSE,"mfg";"summary",#N/A,FALSE,"mfg"}</definedName>
    <definedName name="a2a" hidden="1">{"detail",#N/A,FALSE,"mfg";"summary",#N/A,FALSE,"mfg"}</definedName>
    <definedName name="A43A" hidden="1">#REF!</definedName>
    <definedName name="A8_" hidden="1">#REF!</definedName>
    <definedName name="aa" localSheetId="8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aa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aaa" localSheetId="7" hidden="1">#REF!</definedName>
    <definedName name="aaa" localSheetId="8" hidden="1">#REF!</definedName>
    <definedName name="aaa" hidden="1">{#N/A,#N/A,FALSE,"Pharm";#N/A,#N/A,FALSE,"WWCM"}</definedName>
    <definedName name="äää" localSheetId="8" hidden="1">{#N/A,#N/A,FALSE,"Umsatz 99";#N/A,#N/A,FALSE,"ER 99 "}</definedName>
    <definedName name="äää" hidden="1">{#N/A,#N/A,FALSE,"Umsatz 99";#N/A,#N/A,FALSE,"ER 99 "}</definedName>
    <definedName name="AAA_DOCTOPS" hidden="1">"AAA_SET"</definedName>
    <definedName name="AAA_duser" hidden="1">"OFF"</definedName>
    <definedName name="aaaa" localSheetId="7" hidden="1">{#N/A,#N/A,FALSE,"REPORT"}</definedName>
    <definedName name="aaaa" localSheetId="8" hidden="1">{#N/A,#N/A,FALSE,"REPORT"}</definedName>
    <definedName name="aaaa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aaaaa" localSheetId="7" hidden="1">{#N/A,#N/A,FALSE,"REPORT"}</definedName>
    <definedName name="aaaaa" localSheetId="8" hidden="1">{#N/A,#N/A,FALSE,"REPORT"}</definedName>
    <definedName name="aaaaa" hidden="1">{#N/A,#N/A,FALSE,"GRAFICO";#N/A,#N/A,FALSE,"CAJA (2)";#N/A,#N/A,FALSE,"TERCEROS-PROMEDIO";#N/A,#N/A,FALSE,"CAJA";#N/A,#N/A,FALSE,"INGRESOS1995-2003";#N/A,#N/A,FALSE,"GASTOS1995-2003"}</definedName>
    <definedName name="aaaaa_1" localSheetId="8" hidden="1">{"LargoAgreg",#N/A,FALSE,"Agregado";"CortoAgreg",#N/A,FALSE,"Agregado";"PLAgreg",#N/A,FALSE,"Agregado"}</definedName>
    <definedName name="aaaaa_1" hidden="1">{#N/A,#N/A,FALSE,"Aging Summary";#N/A,#N/A,FALSE,"Ratio Analysis";#N/A,#N/A,FALSE,"Test 120 Day Accts";#N/A,#N/A,FALSE,"Tickmarks"}</definedName>
    <definedName name="aaaaa_1_1" hidden="1">{#N/A,#N/A,FALSE,"Aging Summary";#N/A,#N/A,FALSE,"Ratio Analysis";#N/A,#N/A,FALSE,"Test 120 Day Accts";#N/A,#N/A,FALSE,"Tickmarks"}</definedName>
    <definedName name="aaaaa_1_1_1" hidden="1">{#N/A,#N/A,FALSE,"Aging Summary";#N/A,#N/A,FALSE,"Ratio Analysis";#N/A,#N/A,FALSE,"Test 120 Day Accts";#N/A,#N/A,FALSE,"Tickmarks"}</definedName>
    <definedName name="aaaaa_1_1_1_1" hidden="1">{#N/A,#N/A,FALSE,"Aging Summary";#N/A,#N/A,FALSE,"Ratio Analysis";#N/A,#N/A,FALSE,"Test 120 Day Accts";#N/A,#N/A,FALSE,"Tickmarks"}</definedName>
    <definedName name="aaaaa_1_1_1_2" hidden="1">{#N/A,#N/A,FALSE,"Aging Summary";#N/A,#N/A,FALSE,"Ratio Analysis";#N/A,#N/A,FALSE,"Test 120 Day Accts";#N/A,#N/A,FALSE,"Tickmarks"}</definedName>
    <definedName name="aaaaa_1_1_2" hidden="1">{#N/A,#N/A,FALSE,"Aging Summary";#N/A,#N/A,FALSE,"Ratio Analysis";#N/A,#N/A,FALSE,"Test 120 Day Accts";#N/A,#N/A,FALSE,"Tickmarks"}</definedName>
    <definedName name="aaaaa_1_1_2_1" hidden="1">{#N/A,#N/A,FALSE,"Aging Summary";#N/A,#N/A,FALSE,"Ratio Analysis";#N/A,#N/A,FALSE,"Test 120 Day Accts";#N/A,#N/A,FALSE,"Tickmarks"}</definedName>
    <definedName name="aaaaa_1_1_2_2" hidden="1">{#N/A,#N/A,FALSE,"Aging Summary";#N/A,#N/A,FALSE,"Ratio Analysis";#N/A,#N/A,FALSE,"Test 120 Day Accts";#N/A,#N/A,FALSE,"Tickmarks"}</definedName>
    <definedName name="aaaaa_1_1_3" hidden="1">{#N/A,#N/A,FALSE,"Aging Summary";#N/A,#N/A,FALSE,"Ratio Analysis";#N/A,#N/A,FALSE,"Test 120 Day Accts";#N/A,#N/A,FALSE,"Tickmarks"}</definedName>
    <definedName name="aaaaa_1_1_4" hidden="1">{#N/A,#N/A,FALSE,"Aging Summary";#N/A,#N/A,FALSE,"Ratio Analysis";#N/A,#N/A,FALSE,"Test 120 Day Accts";#N/A,#N/A,FALSE,"Tickmarks"}</definedName>
    <definedName name="aaaaa_1_2" hidden="1">{#N/A,#N/A,FALSE,"Aging Summary";#N/A,#N/A,FALSE,"Ratio Analysis";#N/A,#N/A,FALSE,"Test 120 Day Accts";#N/A,#N/A,FALSE,"Tickmarks"}</definedName>
    <definedName name="aaaaa_1_2_1" hidden="1">{#N/A,#N/A,FALSE,"Aging Summary";#N/A,#N/A,FALSE,"Ratio Analysis";#N/A,#N/A,FALSE,"Test 120 Day Accts";#N/A,#N/A,FALSE,"Tickmarks"}</definedName>
    <definedName name="aaaaa_1_2_1_1" hidden="1">{#N/A,#N/A,FALSE,"Aging Summary";#N/A,#N/A,FALSE,"Ratio Analysis";#N/A,#N/A,FALSE,"Test 120 Day Accts";#N/A,#N/A,FALSE,"Tickmarks"}</definedName>
    <definedName name="aaaaa_1_2_1_2" hidden="1">{#N/A,#N/A,FALSE,"Aging Summary";#N/A,#N/A,FALSE,"Ratio Analysis";#N/A,#N/A,FALSE,"Test 120 Day Accts";#N/A,#N/A,FALSE,"Tickmarks"}</definedName>
    <definedName name="aaaaa_1_2_2" hidden="1">{#N/A,#N/A,FALSE,"Aging Summary";#N/A,#N/A,FALSE,"Ratio Analysis";#N/A,#N/A,FALSE,"Test 120 Day Accts";#N/A,#N/A,FALSE,"Tickmarks"}</definedName>
    <definedName name="aaaaa_1_2_2_1" hidden="1">{#N/A,#N/A,FALSE,"Aging Summary";#N/A,#N/A,FALSE,"Ratio Analysis";#N/A,#N/A,FALSE,"Test 120 Day Accts";#N/A,#N/A,FALSE,"Tickmarks"}</definedName>
    <definedName name="aaaaa_1_2_2_2" hidden="1">{#N/A,#N/A,FALSE,"Aging Summary";#N/A,#N/A,FALSE,"Ratio Analysis";#N/A,#N/A,FALSE,"Test 120 Day Accts";#N/A,#N/A,FALSE,"Tickmarks"}</definedName>
    <definedName name="aaaaa_1_2_3" hidden="1">{#N/A,#N/A,FALSE,"Aging Summary";#N/A,#N/A,FALSE,"Ratio Analysis";#N/A,#N/A,FALSE,"Test 120 Day Accts";#N/A,#N/A,FALSE,"Tickmarks"}</definedName>
    <definedName name="aaaaa_1_2_4" hidden="1">{#N/A,#N/A,FALSE,"Aging Summary";#N/A,#N/A,FALSE,"Ratio Analysis";#N/A,#N/A,FALSE,"Test 120 Day Accts";#N/A,#N/A,FALSE,"Tickmarks"}</definedName>
    <definedName name="aaaaa_1_3" hidden="1">{#N/A,#N/A,FALSE,"Aging Summary";#N/A,#N/A,FALSE,"Ratio Analysis";#N/A,#N/A,FALSE,"Test 120 Day Accts";#N/A,#N/A,FALSE,"Tickmarks"}</definedName>
    <definedName name="aaaaa_1_3_1" hidden="1">{#N/A,#N/A,FALSE,"Aging Summary";#N/A,#N/A,FALSE,"Ratio Analysis";#N/A,#N/A,FALSE,"Test 120 Day Accts";#N/A,#N/A,FALSE,"Tickmarks"}</definedName>
    <definedName name="aaaaa_1_3_1_1" hidden="1">{#N/A,#N/A,FALSE,"Aging Summary";#N/A,#N/A,FALSE,"Ratio Analysis";#N/A,#N/A,FALSE,"Test 120 Day Accts";#N/A,#N/A,FALSE,"Tickmarks"}</definedName>
    <definedName name="aaaaa_1_3_1_2" hidden="1">{#N/A,#N/A,FALSE,"Aging Summary";#N/A,#N/A,FALSE,"Ratio Analysis";#N/A,#N/A,FALSE,"Test 120 Day Accts";#N/A,#N/A,FALSE,"Tickmarks"}</definedName>
    <definedName name="aaaaa_1_3_2" hidden="1">{#N/A,#N/A,FALSE,"Aging Summary";#N/A,#N/A,FALSE,"Ratio Analysis";#N/A,#N/A,FALSE,"Test 120 Day Accts";#N/A,#N/A,FALSE,"Tickmarks"}</definedName>
    <definedName name="aaaaa_1_3_2_1" hidden="1">{#N/A,#N/A,FALSE,"Aging Summary";#N/A,#N/A,FALSE,"Ratio Analysis";#N/A,#N/A,FALSE,"Test 120 Day Accts";#N/A,#N/A,FALSE,"Tickmarks"}</definedName>
    <definedName name="aaaaa_1_3_2_2" hidden="1">{#N/A,#N/A,FALSE,"Aging Summary";#N/A,#N/A,FALSE,"Ratio Analysis";#N/A,#N/A,FALSE,"Test 120 Day Accts";#N/A,#N/A,FALSE,"Tickmarks"}</definedName>
    <definedName name="aaaaa_1_3_3" hidden="1">{#N/A,#N/A,FALSE,"Aging Summary";#N/A,#N/A,FALSE,"Ratio Analysis";#N/A,#N/A,FALSE,"Test 120 Day Accts";#N/A,#N/A,FALSE,"Tickmarks"}</definedName>
    <definedName name="aaaaa_1_3_4" hidden="1">{#N/A,#N/A,FALSE,"Aging Summary";#N/A,#N/A,FALSE,"Ratio Analysis";#N/A,#N/A,FALSE,"Test 120 Day Accts";#N/A,#N/A,FALSE,"Tickmarks"}</definedName>
    <definedName name="aaaaa_1_4" hidden="1">{#N/A,#N/A,FALSE,"Aging Summary";#N/A,#N/A,FALSE,"Ratio Analysis";#N/A,#N/A,FALSE,"Test 120 Day Accts";#N/A,#N/A,FALSE,"Tickmarks"}</definedName>
    <definedName name="aaaaa_1_4_1" hidden="1">{#N/A,#N/A,FALSE,"Aging Summary";#N/A,#N/A,FALSE,"Ratio Analysis";#N/A,#N/A,FALSE,"Test 120 Day Accts";#N/A,#N/A,FALSE,"Tickmarks"}</definedName>
    <definedName name="aaaaa_1_4_1_1" hidden="1">{#N/A,#N/A,FALSE,"Aging Summary";#N/A,#N/A,FALSE,"Ratio Analysis";#N/A,#N/A,FALSE,"Test 120 Day Accts";#N/A,#N/A,FALSE,"Tickmarks"}</definedName>
    <definedName name="aaaaa_1_4_1_2" hidden="1">{#N/A,#N/A,FALSE,"Aging Summary";#N/A,#N/A,FALSE,"Ratio Analysis";#N/A,#N/A,FALSE,"Test 120 Day Accts";#N/A,#N/A,FALSE,"Tickmarks"}</definedName>
    <definedName name="aaaaa_1_4_2" hidden="1">{#N/A,#N/A,FALSE,"Aging Summary";#N/A,#N/A,FALSE,"Ratio Analysis";#N/A,#N/A,FALSE,"Test 120 Day Accts";#N/A,#N/A,FALSE,"Tickmarks"}</definedName>
    <definedName name="aaaaa_1_4_2_1" hidden="1">{#N/A,#N/A,FALSE,"Aging Summary";#N/A,#N/A,FALSE,"Ratio Analysis";#N/A,#N/A,FALSE,"Test 120 Day Accts";#N/A,#N/A,FALSE,"Tickmarks"}</definedName>
    <definedName name="aaaaa_1_4_2_2" hidden="1">{#N/A,#N/A,FALSE,"Aging Summary";#N/A,#N/A,FALSE,"Ratio Analysis";#N/A,#N/A,FALSE,"Test 120 Day Accts";#N/A,#N/A,FALSE,"Tickmarks"}</definedName>
    <definedName name="aaaaa_1_4_3" hidden="1">{#N/A,#N/A,FALSE,"Aging Summary";#N/A,#N/A,FALSE,"Ratio Analysis";#N/A,#N/A,FALSE,"Test 120 Day Accts";#N/A,#N/A,FALSE,"Tickmarks"}</definedName>
    <definedName name="aaaaa_1_4_4" hidden="1">{#N/A,#N/A,FALSE,"Aging Summary";#N/A,#N/A,FALSE,"Ratio Analysis";#N/A,#N/A,FALSE,"Test 120 Day Accts";#N/A,#N/A,FALSE,"Tickmarks"}</definedName>
    <definedName name="aaaaa_1_5" hidden="1">{#N/A,#N/A,FALSE,"Aging Summary";#N/A,#N/A,FALSE,"Ratio Analysis";#N/A,#N/A,FALSE,"Test 120 Day Accts";#N/A,#N/A,FALSE,"Tickmarks"}</definedName>
    <definedName name="aaaaa_1_5_1" hidden="1">{#N/A,#N/A,FALSE,"Aging Summary";#N/A,#N/A,FALSE,"Ratio Analysis";#N/A,#N/A,FALSE,"Test 120 Day Accts";#N/A,#N/A,FALSE,"Tickmarks"}</definedName>
    <definedName name="aaaaa_1_5_1_1" hidden="1">{#N/A,#N/A,FALSE,"Aging Summary";#N/A,#N/A,FALSE,"Ratio Analysis";#N/A,#N/A,FALSE,"Test 120 Day Accts";#N/A,#N/A,FALSE,"Tickmarks"}</definedName>
    <definedName name="aaaaa_1_5_1_2" hidden="1">{#N/A,#N/A,FALSE,"Aging Summary";#N/A,#N/A,FALSE,"Ratio Analysis";#N/A,#N/A,FALSE,"Test 120 Day Accts";#N/A,#N/A,FALSE,"Tickmarks"}</definedName>
    <definedName name="aaaaa_1_5_2" hidden="1">{#N/A,#N/A,FALSE,"Aging Summary";#N/A,#N/A,FALSE,"Ratio Analysis";#N/A,#N/A,FALSE,"Test 120 Day Accts";#N/A,#N/A,FALSE,"Tickmarks"}</definedName>
    <definedName name="aaaaa_1_5_2_1" hidden="1">{#N/A,#N/A,FALSE,"Aging Summary";#N/A,#N/A,FALSE,"Ratio Analysis";#N/A,#N/A,FALSE,"Test 120 Day Accts";#N/A,#N/A,FALSE,"Tickmarks"}</definedName>
    <definedName name="aaaaa_1_5_2_2" hidden="1">{#N/A,#N/A,FALSE,"Aging Summary";#N/A,#N/A,FALSE,"Ratio Analysis";#N/A,#N/A,FALSE,"Test 120 Day Accts";#N/A,#N/A,FALSE,"Tickmarks"}</definedName>
    <definedName name="aaaaa_1_5_3" hidden="1">{#N/A,#N/A,FALSE,"Aging Summary";#N/A,#N/A,FALSE,"Ratio Analysis";#N/A,#N/A,FALSE,"Test 120 Day Accts";#N/A,#N/A,FALSE,"Tickmarks"}</definedName>
    <definedName name="aaaaa_1_5_4" hidden="1">{#N/A,#N/A,FALSE,"Aging Summary";#N/A,#N/A,FALSE,"Ratio Analysis";#N/A,#N/A,FALSE,"Test 120 Day Accts";#N/A,#N/A,FALSE,"Tickmarks"}</definedName>
    <definedName name="aaaaa_2" hidden="1">{#N/A,#N/A,FALSE,"Aging Summary";#N/A,#N/A,FALSE,"Ratio Analysis";#N/A,#N/A,FALSE,"Test 120 Day Accts";#N/A,#N/A,FALSE,"Tickmarks"}</definedName>
    <definedName name="aaaaa_2_1" hidden="1">{#N/A,#N/A,FALSE,"Aging Summary";#N/A,#N/A,FALSE,"Ratio Analysis";#N/A,#N/A,FALSE,"Test 120 Day Accts";#N/A,#N/A,FALSE,"Tickmarks"}</definedName>
    <definedName name="aaaaa_2_1_1" hidden="1">{#N/A,#N/A,FALSE,"Aging Summary";#N/A,#N/A,FALSE,"Ratio Analysis";#N/A,#N/A,FALSE,"Test 120 Day Accts";#N/A,#N/A,FALSE,"Tickmarks"}</definedName>
    <definedName name="aaaaa_2_1_1_1" hidden="1">{#N/A,#N/A,FALSE,"Aging Summary";#N/A,#N/A,FALSE,"Ratio Analysis";#N/A,#N/A,FALSE,"Test 120 Day Accts";#N/A,#N/A,FALSE,"Tickmarks"}</definedName>
    <definedName name="aaaaa_2_1_1_2" hidden="1">{#N/A,#N/A,FALSE,"Aging Summary";#N/A,#N/A,FALSE,"Ratio Analysis";#N/A,#N/A,FALSE,"Test 120 Day Accts";#N/A,#N/A,FALSE,"Tickmarks"}</definedName>
    <definedName name="aaaaa_2_1_2" hidden="1">{#N/A,#N/A,FALSE,"Aging Summary";#N/A,#N/A,FALSE,"Ratio Analysis";#N/A,#N/A,FALSE,"Test 120 Day Accts";#N/A,#N/A,FALSE,"Tickmarks"}</definedName>
    <definedName name="aaaaa_2_1_2_1" hidden="1">{#N/A,#N/A,FALSE,"Aging Summary";#N/A,#N/A,FALSE,"Ratio Analysis";#N/A,#N/A,FALSE,"Test 120 Day Accts";#N/A,#N/A,FALSE,"Tickmarks"}</definedName>
    <definedName name="aaaaa_2_1_2_2" hidden="1">{#N/A,#N/A,FALSE,"Aging Summary";#N/A,#N/A,FALSE,"Ratio Analysis";#N/A,#N/A,FALSE,"Test 120 Day Accts";#N/A,#N/A,FALSE,"Tickmarks"}</definedName>
    <definedName name="aaaaa_2_1_3" hidden="1">{#N/A,#N/A,FALSE,"Aging Summary";#N/A,#N/A,FALSE,"Ratio Analysis";#N/A,#N/A,FALSE,"Test 120 Day Accts";#N/A,#N/A,FALSE,"Tickmarks"}</definedName>
    <definedName name="aaaaa_2_1_4" hidden="1">{#N/A,#N/A,FALSE,"Aging Summary";#N/A,#N/A,FALSE,"Ratio Analysis";#N/A,#N/A,FALSE,"Test 120 Day Accts";#N/A,#N/A,FALSE,"Tickmarks"}</definedName>
    <definedName name="aaaaa_2_2" hidden="1">{#N/A,#N/A,FALSE,"Aging Summary";#N/A,#N/A,FALSE,"Ratio Analysis";#N/A,#N/A,FALSE,"Test 120 Day Accts";#N/A,#N/A,FALSE,"Tickmarks"}</definedName>
    <definedName name="aaaaa_2_2_1" hidden="1">{#N/A,#N/A,FALSE,"Aging Summary";#N/A,#N/A,FALSE,"Ratio Analysis";#N/A,#N/A,FALSE,"Test 120 Day Accts";#N/A,#N/A,FALSE,"Tickmarks"}</definedName>
    <definedName name="aaaaa_2_2_1_1" hidden="1">{#N/A,#N/A,FALSE,"Aging Summary";#N/A,#N/A,FALSE,"Ratio Analysis";#N/A,#N/A,FALSE,"Test 120 Day Accts";#N/A,#N/A,FALSE,"Tickmarks"}</definedName>
    <definedName name="aaaaa_2_2_1_2" hidden="1">{#N/A,#N/A,FALSE,"Aging Summary";#N/A,#N/A,FALSE,"Ratio Analysis";#N/A,#N/A,FALSE,"Test 120 Day Accts";#N/A,#N/A,FALSE,"Tickmarks"}</definedName>
    <definedName name="aaaaa_2_2_2" hidden="1">{#N/A,#N/A,FALSE,"Aging Summary";#N/A,#N/A,FALSE,"Ratio Analysis";#N/A,#N/A,FALSE,"Test 120 Day Accts";#N/A,#N/A,FALSE,"Tickmarks"}</definedName>
    <definedName name="aaaaa_2_2_2_1" hidden="1">{#N/A,#N/A,FALSE,"Aging Summary";#N/A,#N/A,FALSE,"Ratio Analysis";#N/A,#N/A,FALSE,"Test 120 Day Accts";#N/A,#N/A,FALSE,"Tickmarks"}</definedName>
    <definedName name="aaaaa_2_2_2_2" hidden="1">{#N/A,#N/A,FALSE,"Aging Summary";#N/A,#N/A,FALSE,"Ratio Analysis";#N/A,#N/A,FALSE,"Test 120 Day Accts";#N/A,#N/A,FALSE,"Tickmarks"}</definedName>
    <definedName name="aaaaa_2_2_3" hidden="1">{#N/A,#N/A,FALSE,"Aging Summary";#N/A,#N/A,FALSE,"Ratio Analysis";#N/A,#N/A,FALSE,"Test 120 Day Accts";#N/A,#N/A,FALSE,"Tickmarks"}</definedName>
    <definedName name="aaaaa_2_2_4" hidden="1">{#N/A,#N/A,FALSE,"Aging Summary";#N/A,#N/A,FALSE,"Ratio Analysis";#N/A,#N/A,FALSE,"Test 120 Day Accts";#N/A,#N/A,FALSE,"Tickmarks"}</definedName>
    <definedName name="aaaaa_2_3" hidden="1">{#N/A,#N/A,FALSE,"Aging Summary";#N/A,#N/A,FALSE,"Ratio Analysis";#N/A,#N/A,FALSE,"Test 120 Day Accts";#N/A,#N/A,FALSE,"Tickmarks"}</definedName>
    <definedName name="aaaaa_2_3_1" hidden="1">{#N/A,#N/A,FALSE,"Aging Summary";#N/A,#N/A,FALSE,"Ratio Analysis";#N/A,#N/A,FALSE,"Test 120 Day Accts";#N/A,#N/A,FALSE,"Tickmarks"}</definedName>
    <definedName name="aaaaa_2_3_1_1" hidden="1">{#N/A,#N/A,FALSE,"Aging Summary";#N/A,#N/A,FALSE,"Ratio Analysis";#N/A,#N/A,FALSE,"Test 120 Day Accts";#N/A,#N/A,FALSE,"Tickmarks"}</definedName>
    <definedName name="aaaaa_2_3_1_2" hidden="1">{#N/A,#N/A,FALSE,"Aging Summary";#N/A,#N/A,FALSE,"Ratio Analysis";#N/A,#N/A,FALSE,"Test 120 Day Accts";#N/A,#N/A,FALSE,"Tickmarks"}</definedName>
    <definedName name="aaaaa_2_3_2" hidden="1">{#N/A,#N/A,FALSE,"Aging Summary";#N/A,#N/A,FALSE,"Ratio Analysis";#N/A,#N/A,FALSE,"Test 120 Day Accts";#N/A,#N/A,FALSE,"Tickmarks"}</definedName>
    <definedName name="aaaaa_2_3_2_1" hidden="1">{#N/A,#N/A,FALSE,"Aging Summary";#N/A,#N/A,FALSE,"Ratio Analysis";#N/A,#N/A,FALSE,"Test 120 Day Accts";#N/A,#N/A,FALSE,"Tickmarks"}</definedName>
    <definedName name="aaaaa_2_3_2_2" hidden="1">{#N/A,#N/A,FALSE,"Aging Summary";#N/A,#N/A,FALSE,"Ratio Analysis";#N/A,#N/A,FALSE,"Test 120 Day Accts";#N/A,#N/A,FALSE,"Tickmarks"}</definedName>
    <definedName name="aaaaa_2_3_3" hidden="1">{#N/A,#N/A,FALSE,"Aging Summary";#N/A,#N/A,FALSE,"Ratio Analysis";#N/A,#N/A,FALSE,"Test 120 Day Accts";#N/A,#N/A,FALSE,"Tickmarks"}</definedName>
    <definedName name="aaaaa_2_3_4" hidden="1">{#N/A,#N/A,FALSE,"Aging Summary";#N/A,#N/A,FALSE,"Ratio Analysis";#N/A,#N/A,FALSE,"Test 120 Day Accts";#N/A,#N/A,FALSE,"Tickmarks"}</definedName>
    <definedName name="aaaaa_2_4" hidden="1">{#N/A,#N/A,FALSE,"Aging Summary";#N/A,#N/A,FALSE,"Ratio Analysis";#N/A,#N/A,FALSE,"Test 120 Day Accts";#N/A,#N/A,FALSE,"Tickmarks"}</definedName>
    <definedName name="aaaaa_2_4_1" hidden="1">{#N/A,#N/A,FALSE,"Aging Summary";#N/A,#N/A,FALSE,"Ratio Analysis";#N/A,#N/A,FALSE,"Test 120 Day Accts";#N/A,#N/A,FALSE,"Tickmarks"}</definedName>
    <definedName name="aaaaa_2_4_1_1" hidden="1">{#N/A,#N/A,FALSE,"Aging Summary";#N/A,#N/A,FALSE,"Ratio Analysis";#N/A,#N/A,FALSE,"Test 120 Day Accts";#N/A,#N/A,FALSE,"Tickmarks"}</definedName>
    <definedName name="aaaaa_2_4_1_2" hidden="1">{#N/A,#N/A,FALSE,"Aging Summary";#N/A,#N/A,FALSE,"Ratio Analysis";#N/A,#N/A,FALSE,"Test 120 Day Accts";#N/A,#N/A,FALSE,"Tickmarks"}</definedName>
    <definedName name="aaaaa_2_4_2" hidden="1">{#N/A,#N/A,FALSE,"Aging Summary";#N/A,#N/A,FALSE,"Ratio Analysis";#N/A,#N/A,FALSE,"Test 120 Day Accts";#N/A,#N/A,FALSE,"Tickmarks"}</definedName>
    <definedName name="aaaaa_2_4_2_1" hidden="1">{#N/A,#N/A,FALSE,"Aging Summary";#N/A,#N/A,FALSE,"Ratio Analysis";#N/A,#N/A,FALSE,"Test 120 Day Accts";#N/A,#N/A,FALSE,"Tickmarks"}</definedName>
    <definedName name="aaaaa_2_4_2_2" hidden="1">{#N/A,#N/A,FALSE,"Aging Summary";#N/A,#N/A,FALSE,"Ratio Analysis";#N/A,#N/A,FALSE,"Test 120 Day Accts";#N/A,#N/A,FALSE,"Tickmarks"}</definedName>
    <definedName name="aaaaa_2_4_3" hidden="1">{#N/A,#N/A,FALSE,"Aging Summary";#N/A,#N/A,FALSE,"Ratio Analysis";#N/A,#N/A,FALSE,"Test 120 Day Accts";#N/A,#N/A,FALSE,"Tickmarks"}</definedName>
    <definedName name="aaaaa_2_4_4" hidden="1">{#N/A,#N/A,FALSE,"Aging Summary";#N/A,#N/A,FALSE,"Ratio Analysis";#N/A,#N/A,FALSE,"Test 120 Day Accts";#N/A,#N/A,FALSE,"Tickmarks"}</definedName>
    <definedName name="aaaaa_2_5" hidden="1">{#N/A,#N/A,FALSE,"Aging Summary";#N/A,#N/A,FALSE,"Ratio Analysis";#N/A,#N/A,FALSE,"Test 120 Day Accts";#N/A,#N/A,FALSE,"Tickmarks"}</definedName>
    <definedName name="aaaaa_2_5_1" hidden="1">{#N/A,#N/A,FALSE,"Aging Summary";#N/A,#N/A,FALSE,"Ratio Analysis";#N/A,#N/A,FALSE,"Test 120 Day Accts";#N/A,#N/A,FALSE,"Tickmarks"}</definedName>
    <definedName name="aaaaa_2_5_1_1" hidden="1">{#N/A,#N/A,FALSE,"Aging Summary";#N/A,#N/A,FALSE,"Ratio Analysis";#N/A,#N/A,FALSE,"Test 120 Day Accts";#N/A,#N/A,FALSE,"Tickmarks"}</definedName>
    <definedName name="aaaaa_2_5_1_2" hidden="1">{#N/A,#N/A,FALSE,"Aging Summary";#N/A,#N/A,FALSE,"Ratio Analysis";#N/A,#N/A,FALSE,"Test 120 Day Accts";#N/A,#N/A,FALSE,"Tickmarks"}</definedName>
    <definedName name="aaaaa_2_5_2" hidden="1">{#N/A,#N/A,FALSE,"Aging Summary";#N/A,#N/A,FALSE,"Ratio Analysis";#N/A,#N/A,FALSE,"Test 120 Day Accts";#N/A,#N/A,FALSE,"Tickmarks"}</definedName>
    <definedName name="aaaaa_2_5_2_1" hidden="1">{#N/A,#N/A,FALSE,"Aging Summary";#N/A,#N/A,FALSE,"Ratio Analysis";#N/A,#N/A,FALSE,"Test 120 Day Accts";#N/A,#N/A,FALSE,"Tickmarks"}</definedName>
    <definedName name="aaaaa_2_5_2_2" hidden="1">{#N/A,#N/A,FALSE,"Aging Summary";#N/A,#N/A,FALSE,"Ratio Analysis";#N/A,#N/A,FALSE,"Test 120 Day Accts";#N/A,#N/A,FALSE,"Tickmarks"}</definedName>
    <definedName name="aaaaa_2_5_3" hidden="1">{#N/A,#N/A,FALSE,"Aging Summary";#N/A,#N/A,FALSE,"Ratio Analysis";#N/A,#N/A,FALSE,"Test 120 Day Accts";#N/A,#N/A,FALSE,"Tickmarks"}</definedName>
    <definedName name="aaaaa_2_5_4" hidden="1">{#N/A,#N/A,FALSE,"Aging Summary";#N/A,#N/A,FALSE,"Ratio Analysis";#N/A,#N/A,FALSE,"Test 120 Day Accts";#N/A,#N/A,FALSE,"Tickmarks"}</definedName>
    <definedName name="aaaaa_3" hidden="1">{#N/A,#N/A,FALSE,"Aging Summary";#N/A,#N/A,FALSE,"Ratio Analysis";#N/A,#N/A,FALSE,"Test 120 Day Accts";#N/A,#N/A,FALSE,"Tickmarks"}</definedName>
    <definedName name="aaaaa_3_1" hidden="1">{#N/A,#N/A,FALSE,"Aging Summary";#N/A,#N/A,FALSE,"Ratio Analysis";#N/A,#N/A,FALSE,"Test 120 Day Accts";#N/A,#N/A,FALSE,"Tickmarks"}</definedName>
    <definedName name="aaaaa_3_1_1" hidden="1">{#N/A,#N/A,FALSE,"Aging Summary";#N/A,#N/A,FALSE,"Ratio Analysis";#N/A,#N/A,FALSE,"Test 120 Day Accts";#N/A,#N/A,FALSE,"Tickmarks"}</definedName>
    <definedName name="aaaaa_3_1_1_1" hidden="1">{#N/A,#N/A,FALSE,"Aging Summary";#N/A,#N/A,FALSE,"Ratio Analysis";#N/A,#N/A,FALSE,"Test 120 Day Accts";#N/A,#N/A,FALSE,"Tickmarks"}</definedName>
    <definedName name="aaaaa_3_1_1_2" hidden="1">{#N/A,#N/A,FALSE,"Aging Summary";#N/A,#N/A,FALSE,"Ratio Analysis";#N/A,#N/A,FALSE,"Test 120 Day Accts";#N/A,#N/A,FALSE,"Tickmarks"}</definedName>
    <definedName name="aaaaa_3_1_2" hidden="1">{#N/A,#N/A,FALSE,"Aging Summary";#N/A,#N/A,FALSE,"Ratio Analysis";#N/A,#N/A,FALSE,"Test 120 Day Accts";#N/A,#N/A,FALSE,"Tickmarks"}</definedName>
    <definedName name="aaaaa_3_1_2_1" hidden="1">{#N/A,#N/A,FALSE,"Aging Summary";#N/A,#N/A,FALSE,"Ratio Analysis";#N/A,#N/A,FALSE,"Test 120 Day Accts";#N/A,#N/A,FALSE,"Tickmarks"}</definedName>
    <definedName name="aaaaa_3_1_2_2" hidden="1">{#N/A,#N/A,FALSE,"Aging Summary";#N/A,#N/A,FALSE,"Ratio Analysis";#N/A,#N/A,FALSE,"Test 120 Day Accts";#N/A,#N/A,FALSE,"Tickmarks"}</definedName>
    <definedName name="aaaaa_3_1_3" hidden="1">{#N/A,#N/A,FALSE,"Aging Summary";#N/A,#N/A,FALSE,"Ratio Analysis";#N/A,#N/A,FALSE,"Test 120 Day Accts";#N/A,#N/A,FALSE,"Tickmarks"}</definedName>
    <definedName name="aaaaa_3_1_4" hidden="1">{#N/A,#N/A,FALSE,"Aging Summary";#N/A,#N/A,FALSE,"Ratio Analysis";#N/A,#N/A,FALSE,"Test 120 Day Accts";#N/A,#N/A,FALSE,"Tickmarks"}</definedName>
    <definedName name="aaaaa_3_2" hidden="1">{#N/A,#N/A,FALSE,"Aging Summary";#N/A,#N/A,FALSE,"Ratio Analysis";#N/A,#N/A,FALSE,"Test 120 Day Accts";#N/A,#N/A,FALSE,"Tickmarks"}</definedName>
    <definedName name="aaaaa_3_2_1" hidden="1">{#N/A,#N/A,FALSE,"Aging Summary";#N/A,#N/A,FALSE,"Ratio Analysis";#N/A,#N/A,FALSE,"Test 120 Day Accts";#N/A,#N/A,FALSE,"Tickmarks"}</definedName>
    <definedName name="aaaaa_3_2_1_1" hidden="1">{#N/A,#N/A,FALSE,"Aging Summary";#N/A,#N/A,FALSE,"Ratio Analysis";#N/A,#N/A,FALSE,"Test 120 Day Accts";#N/A,#N/A,FALSE,"Tickmarks"}</definedName>
    <definedName name="aaaaa_3_2_1_2" hidden="1">{#N/A,#N/A,FALSE,"Aging Summary";#N/A,#N/A,FALSE,"Ratio Analysis";#N/A,#N/A,FALSE,"Test 120 Day Accts";#N/A,#N/A,FALSE,"Tickmarks"}</definedName>
    <definedName name="aaaaa_3_2_2" hidden="1">{#N/A,#N/A,FALSE,"Aging Summary";#N/A,#N/A,FALSE,"Ratio Analysis";#N/A,#N/A,FALSE,"Test 120 Day Accts";#N/A,#N/A,FALSE,"Tickmarks"}</definedName>
    <definedName name="aaaaa_3_2_2_1" hidden="1">{#N/A,#N/A,FALSE,"Aging Summary";#N/A,#N/A,FALSE,"Ratio Analysis";#N/A,#N/A,FALSE,"Test 120 Day Accts";#N/A,#N/A,FALSE,"Tickmarks"}</definedName>
    <definedName name="aaaaa_3_2_2_2" hidden="1">{#N/A,#N/A,FALSE,"Aging Summary";#N/A,#N/A,FALSE,"Ratio Analysis";#N/A,#N/A,FALSE,"Test 120 Day Accts";#N/A,#N/A,FALSE,"Tickmarks"}</definedName>
    <definedName name="aaaaa_3_2_3" hidden="1">{#N/A,#N/A,FALSE,"Aging Summary";#N/A,#N/A,FALSE,"Ratio Analysis";#N/A,#N/A,FALSE,"Test 120 Day Accts";#N/A,#N/A,FALSE,"Tickmarks"}</definedName>
    <definedName name="aaaaa_3_2_4" hidden="1">{#N/A,#N/A,FALSE,"Aging Summary";#N/A,#N/A,FALSE,"Ratio Analysis";#N/A,#N/A,FALSE,"Test 120 Day Accts";#N/A,#N/A,FALSE,"Tickmarks"}</definedName>
    <definedName name="aaaaa_3_3" hidden="1">{#N/A,#N/A,FALSE,"Aging Summary";#N/A,#N/A,FALSE,"Ratio Analysis";#N/A,#N/A,FALSE,"Test 120 Day Accts";#N/A,#N/A,FALSE,"Tickmarks"}</definedName>
    <definedName name="aaaaa_3_3_1" hidden="1">{#N/A,#N/A,FALSE,"Aging Summary";#N/A,#N/A,FALSE,"Ratio Analysis";#N/A,#N/A,FALSE,"Test 120 Day Accts";#N/A,#N/A,FALSE,"Tickmarks"}</definedName>
    <definedName name="aaaaa_3_3_1_1" hidden="1">{#N/A,#N/A,FALSE,"Aging Summary";#N/A,#N/A,FALSE,"Ratio Analysis";#N/A,#N/A,FALSE,"Test 120 Day Accts";#N/A,#N/A,FALSE,"Tickmarks"}</definedName>
    <definedName name="aaaaa_3_3_1_2" hidden="1">{#N/A,#N/A,FALSE,"Aging Summary";#N/A,#N/A,FALSE,"Ratio Analysis";#N/A,#N/A,FALSE,"Test 120 Day Accts";#N/A,#N/A,FALSE,"Tickmarks"}</definedName>
    <definedName name="aaaaa_3_3_2" hidden="1">{#N/A,#N/A,FALSE,"Aging Summary";#N/A,#N/A,FALSE,"Ratio Analysis";#N/A,#N/A,FALSE,"Test 120 Day Accts";#N/A,#N/A,FALSE,"Tickmarks"}</definedName>
    <definedName name="aaaaa_3_3_2_1" hidden="1">{#N/A,#N/A,FALSE,"Aging Summary";#N/A,#N/A,FALSE,"Ratio Analysis";#N/A,#N/A,FALSE,"Test 120 Day Accts";#N/A,#N/A,FALSE,"Tickmarks"}</definedName>
    <definedName name="aaaaa_3_3_2_2" hidden="1">{#N/A,#N/A,FALSE,"Aging Summary";#N/A,#N/A,FALSE,"Ratio Analysis";#N/A,#N/A,FALSE,"Test 120 Day Accts";#N/A,#N/A,FALSE,"Tickmarks"}</definedName>
    <definedName name="aaaaa_3_3_3" hidden="1">{#N/A,#N/A,FALSE,"Aging Summary";#N/A,#N/A,FALSE,"Ratio Analysis";#N/A,#N/A,FALSE,"Test 120 Day Accts";#N/A,#N/A,FALSE,"Tickmarks"}</definedName>
    <definedName name="aaaaa_3_3_4" hidden="1">{#N/A,#N/A,FALSE,"Aging Summary";#N/A,#N/A,FALSE,"Ratio Analysis";#N/A,#N/A,FALSE,"Test 120 Day Accts";#N/A,#N/A,FALSE,"Tickmarks"}</definedName>
    <definedName name="aaaaa_3_4" hidden="1">{#N/A,#N/A,FALSE,"Aging Summary";#N/A,#N/A,FALSE,"Ratio Analysis";#N/A,#N/A,FALSE,"Test 120 Day Accts";#N/A,#N/A,FALSE,"Tickmarks"}</definedName>
    <definedName name="aaaaa_3_4_1" hidden="1">{#N/A,#N/A,FALSE,"Aging Summary";#N/A,#N/A,FALSE,"Ratio Analysis";#N/A,#N/A,FALSE,"Test 120 Day Accts";#N/A,#N/A,FALSE,"Tickmarks"}</definedName>
    <definedName name="aaaaa_3_4_1_1" hidden="1">{#N/A,#N/A,FALSE,"Aging Summary";#N/A,#N/A,FALSE,"Ratio Analysis";#N/A,#N/A,FALSE,"Test 120 Day Accts";#N/A,#N/A,FALSE,"Tickmarks"}</definedName>
    <definedName name="aaaaa_3_4_1_2" hidden="1">{#N/A,#N/A,FALSE,"Aging Summary";#N/A,#N/A,FALSE,"Ratio Analysis";#N/A,#N/A,FALSE,"Test 120 Day Accts";#N/A,#N/A,FALSE,"Tickmarks"}</definedName>
    <definedName name="aaaaa_3_4_2" hidden="1">{#N/A,#N/A,FALSE,"Aging Summary";#N/A,#N/A,FALSE,"Ratio Analysis";#N/A,#N/A,FALSE,"Test 120 Day Accts";#N/A,#N/A,FALSE,"Tickmarks"}</definedName>
    <definedName name="aaaaa_3_4_2_1" hidden="1">{#N/A,#N/A,FALSE,"Aging Summary";#N/A,#N/A,FALSE,"Ratio Analysis";#N/A,#N/A,FALSE,"Test 120 Day Accts";#N/A,#N/A,FALSE,"Tickmarks"}</definedName>
    <definedName name="aaaaa_3_4_2_2" hidden="1">{#N/A,#N/A,FALSE,"Aging Summary";#N/A,#N/A,FALSE,"Ratio Analysis";#N/A,#N/A,FALSE,"Test 120 Day Accts";#N/A,#N/A,FALSE,"Tickmarks"}</definedName>
    <definedName name="aaaaa_3_4_3" hidden="1">{#N/A,#N/A,FALSE,"Aging Summary";#N/A,#N/A,FALSE,"Ratio Analysis";#N/A,#N/A,FALSE,"Test 120 Day Accts";#N/A,#N/A,FALSE,"Tickmarks"}</definedName>
    <definedName name="aaaaa_3_4_4" hidden="1">{#N/A,#N/A,FALSE,"Aging Summary";#N/A,#N/A,FALSE,"Ratio Analysis";#N/A,#N/A,FALSE,"Test 120 Day Accts";#N/A,#N/A,FALSE,"Tickmarks"}</definedName>
    <definedName name="aaaaa_3_5" hidden="1">{#N/A,#N/A,FALSE,"Aging Summary";#N/A,#N/A,FALSE,"Ratio Analysis";#N/A,#N/A,FALSE,"Test 120 Day Accts";#N/A,#N/A,FALSE,"Tickmarks"}</definedName>
    <definedName name="aaaaa_3_5_1" hidden="1">{#N/A,#N/A,FALSE,"Aging Summary";#N/A,#N/A,FALSE,"Ratio Analysis";#N/A,#N/A,FALSE,"Test 120 Day Accts";#N/A,#N/A,FALSE,"Tickmarks"}</definedName>
    <definedName name="aaaaa_3_5_1_1" hidden="1">{#N/A,#N/A,FALSE,"Aging Summary";#N/A,#N/A,FALSE,"Ratio Analysis";#N/A,#N/A,FALSE,"Test 120 Day Accts";#N/A,#N/A,FALSE,"Tickmarks"}</definedName>
    <definedName name="aaaaa_3_5_1_2" hidden="1">{#N/A,#N/A,FALSE,"Aging Summary";#N/A,#N/A,FALSE,"Ratio Analysis";#N/A,#N/A,FALSE,"Test 120 Day Accts";#N/A,#N/A,FALSE,"Tickmarks"}</definedName>
    <definedName name="aaaaa_3_5_2" hidden="1">{#N/A,#N/A,FALSE,"Aging Summary";#N/A,#N/A,FALSE,"Ratio Analysis";#N/A,#N/A,FALSE,"Test 120 Day Accts";#N/A,#N/A,FALSE,"Tickmarks"}</definedName>
    <definedName name="aaaaa_3_5_2_1" hidden="1">{#N/A,#N/A,FALSE,"Aging Summary";#N/A,#N/A,FALSE,"Ratio Analysis";#N/A,#N/A,FALSE,"Test 120 Day Accts";#N/A,#N/A,FALSE,"Tickmarks"}</definedName>
    <definedName name="aaaaa_3_5_2_2" hidden="1">{#N/A,#N/A,FALSE,"Aging Summary";#N/A,#N/A,FALSE,"Ratio Analysis";#N/A,#N/A,FALSE,"Test 120 Day Accts";#N/A,#N/A,FALSE,"Tickmarks"}</definedName>
    <definedName name="aaaaa_3_5_3" hidden="1">{#N/A,#N/A,FALSE,"Aging Summary";#N/A,#N/A,FALSE,"Ratio Analysis";#N/A,#N/A,FALSE,"Test 120 Day Accts";#N/A,#N/A,FALSE,"Tickmarks"}</definedName>
    <definedName name="aaaaa_3_5_4" hidden="1">{#N/A,#N/A,FALSE,"Aging Summary";#N/A,#N/A,FALSE,"Ratio Analysis";#N/A,#N/A,FALSE,"Test 120 Day Accts";#N/A,#N/A,FALSE,"Tickmarks"}</definedName>
    <definedName name="aaaaa_4" hidden="1">{#N/A,#N/A,FALSE,"Aging Summary";#N/A,#N/A,FALSE,"Ratio Analysis";#N/A,#N/A,FALSE,"Test 120 Day Accts";#N/A,#N/A,FALSE,"Tickmarks"}</definedName>
    <definedName name="aaaaa_4_1" hidden="1">{#N/A,#N/A,FALSE,"Aging Summary";#N/A,#N/A,FALSE,"Ratio Analysis";#N/A,#N/A,FALSE,"Test 120 Day Accts";#N/A,#N/A,FALSE,"Tickmarks"}</definedName>
    <definedName name="aaaaa_4_1_1" hidden="1">{#N/A,#N/A,FALSE,"Aging Summary";#N/A,#N/A,FALSE,"Ratio Analysis";#N/A,#N/A,FALSE,"Test 120 Day Accts";#N/A,#N/A,FALSE,"Tickmarks"}</definedName>
    <definedName name="aaaaa_4_1_2" hidden="1">{#N/A,#N/A,FALSE,"Aging Summary";#N/A,#N/A,FALSE,"Ratio Analysis";#N/A,#N/A,FALSE,"Test 120 Day Accts";#N/A,#N/A,FALSE,"Tickmarks"}</definedName>
    <definedName name="aaaaa_4_2" hidden="1">{#N/A,#N/A,FALSE,"Aging Summary";#N/A,#N/A,FALSE,"Ratio Analysis";#N/A,#N/A,FALSE,"Test 120 Day Accts";#N/A,#N/A,FALSE,"Tickmarks"}</definedName>
    <definedName name="aaaaa_4_2_1" hidden="1">{#N/A,#N/A,FALSE,"Aging Summary";#N/A,#N/A,FALSE,"Ratio Analysis";#N/A,#N/A,FALSE,"Test 120 Day Accts";#N/A,#N/A,FALSE,"Tickmarks"}</definedName>
    <definedName name="aaaaa_4_2_2" hidden="1">{#N/A,#N/A,FALSE,"Aging Summary";#N/A,#N/A,FALSE,"Ratio Analysis";#N/A,#N/A,FALSE,"Test 120 Day Accts";#N/A,#N/A,FALSE,"Tickmarks"}</definedName>
    <definedName name="aaaaa_4_3" hidden="1">{#N/A,#N/A,FALSE,"Aging Summary";#N/A,#N/A,FALSE,"Ratio Analysis";#N/A,#N/A,FALSE,"Test 120 Day Accts";#N/A,#N/A,FALSE,"Tickmarks"}</definedName>
    <definedName name="aaaaa_4_4" hidden="1">{#N/A,#N/A,FALSE,"Aging Summary";#N/A,#N/A,FALSE,"Ratio Analysis";#N/A,#N/A,FALSE,"Test 120 Day Accts";#N/A,#N/A,FALSE,"Tickmarks"}</definedName>
    <definedName name="aaaaa_5" hidden="1">{#N/A,#N/A,FALSE,"Aging Summary";#N/A,#N/A,FALSE,"Ratio Analysis";#N/A,#N/A,FALSE,"Test 120 Day Accts";#N/A,#N/A,FALSE,"Tickmarks"}</definedName>
    <definedName name="aaaaa_5_1" hidden="1">{#N/A,#N/A,FALSE,"Aging Summary";#N/A,#N/A,FALSE,"Ratio Analysis";#N/A,#N/A,FALSE,"Test 120 Day Accts";#N/A,#N/A,FALSE,"Tickmarks"}</definedName>
    <definedName name="aaaaa_5_1_1" hidden="1">{#N/A,#N/A,FALSE,"Aging Summary";#N/A,#N/A,FALSE,"Ratio Analysis";#N/A,#N/A,FALSE,"Test 120 Day Accts";#N/A,#N/A,FALSE,"Tickmarks"}</definedName>
    <definedName name="aaaaa_5_1_2" hidden="1">{#N/A,#N/A,FALSE,"Aging Summary";#N/A,#N/A,FALSE,"Ratio Analysis";#N/A,#N/A,FALSE,"Test 120 Day Accts";#N/A,#N/A,FALSE,"Tickmarks"}</definedName>
    <definedName name="aaaaa_5_2" hidden="1">{#N/A,#N/A,FALSE,"Aging Summary";#N/A,#N/A,FALSE,"Ratio Analysis";#N/A,#N/A,FALSE,"Test 120 Day Accts";#N/A,#N/A,FALSE,"Tickmarks"}</definedName>
    <definedName name="aaaaa_5_2_1" hidden="1">{#N/A,#N/A,FALSE,"Aging Summary";#N/A,#N/A,FALSE,"Ratio Analysis";#N/A,#N/A,FALSE,"Test 120 Day Accts";#N/A,#N/A,FALSE,"Tickmarks"}</definedName>
    <definedName name="aaaaa_5_2_2" hidden="1">{#N/A,#N/A,FALSE,"Aging Summary";#N/A,#N/A,FALSE,"Ratio Analysis";#N/A,#N/A,FALSE,"Test 120 Day Accts";#N/A,#N/A,FALSE,"Tickmarks"}</definedName>
    <definedName name="aaaaa_5_3" hidden="1">{#N/A,#N/A,FALSE,"Aging Summary";#N/A,#N/A,FALSE,"Ratio Analysis";#N/A,#N/A,FALSE,"Test 120 Day Accts";#N/A,#N/A,FALSE,"Tickmarks"}</definedName>
    <definedName name="aaaaa_5_4" hidden="1">{#N/A,#N/A,FALSE,"Aging Summary";#N/A,#N/A,FALSE,"Ratio Analysis";#N/A,#N/A,FALSE,"Test 120 Day Accts";#N/A,#N/A,FALSE,"Tickmarks"}</definedName>
    <definedName name="aaaaaa" localSheetId="7" hidden="1">#REF!</definedName>
    <definedName name="aaaaaa" localSheetId="8" hidden="1">#REF!</definedName>
    <definedName name="AAAAAA" hidden="1">{"LargoAjustes",#N/A,FALSE,"Ajustes";"CortoAjustes",#N/A,FALSE,"Ajustes";"PLAjustes",#N/A,FALSE,"Ajustes"}</definedName>
    <definedName name="AAAAAA_1" localSheetId="8" hidden="1">{"LargoAjustes",#N/A,FALSE,"Ajustes";"CortoAjustes",#N/A,FALSE,"Ajustes";"PLAjustes",#N/A,FALSE,"Ajustes"}</definedName>
    <definedName name="AAAAAA_1" hidden="1">{"LargoAjustes",#N/A,FALSE,"Ajustes";"CortoAjustes",#N/A,FALSE,"Ajustes";"PLAjustes",#N/A,FALSE,"Ajustes"}</definedName>
    <definedName name="aaaaaa1" localSheetId="8" hidden="1">{#N/A,#N/A,FALSE,"Adm comp";#N/A,#N/A,FALSE,"Adm ajust";"adm",#N/A,FALSE,"Administration";#N/A,#N/A,FALSE,"Adm Bgt 97 vs Prév. 96";#N/A,#N/A,FALSE,"Adm Bgt 97 vs 96"}</definedName>
    <definedName name="aaaaaa1" hidden="1">{#N/A,#N/A,FALSE,"Adm comp";#N/A,#N/A,FALSE,"Adm ajust";"adm",#N/A,FALSE,"Administration";#N/A,#N/A,FALSE,"Adm Bgt 97 vs Prév. 96";#N/A,#N/A,FALSE,"Adm Bgt 97 vs 96"}</definedName>
    <definedName name="aaaaaaa" localSheetId="7" hidden="1">{#N/A,#N/A,FALSE,"REPORT"}</definedName>
    <definedName name="aaaaaaa" localSheetId="8" hidden="1">{#N/A,#N/A,FALSE,"REPORT"}</definedName>
    <definedName name="aaaaaaa" hidden="1">{#N/A,#N/A,FALSE,"REPORT"}</definedName>
    <definedName name="aaaaaaa_1" localSheetId="8" hidden="1">{"Eilbericht_UBA",#N/A,FALSE,"EB"}</definedName>
    <definedName name="aaaaaaa_1" hidden="1">{"Eilbericht_UBA",#N/A,FALSE,"EB"}</definedName>
    <definedName name="aaaaaaa11111111111111111" localSheetId="8" hidden="1">{#N/A,#N/A,FALSE,"cover";#N/A,#N/A,FALSE,"Content ";#N/A,#N/A,FALSE,"E&amp;C Op Stat";#N/A,#N/A,FALSE,"Telcos Op Stat";#N/A,#N/A,FALSE,"Media Op Stat";#N/A,#N/A,FALSE,"Oil Op Stat";#N/A,#N/A,FALSE,"Utilities Op Stat";#N/A,#N/A,FALSE,"E&amp;C Ord An";#N/A,#N/A,FALSE,"E&amp;C Debt Nar";#N/A,#N/A,FALSE,"E&amp;C Debtors";#N/A,#N/A,FALSE,"E&amp;C CO Debt";#N/A,#N/A,FALSE,"Telcos Presales";#N/A,#N/A,FALSE,"Oil Presales";#N/A,#N/A,FALSE,"Utilities Presales"}</definedName>
    <definedName name="aaaaaaa11111111111111111" hidden="1">{#N/A,#N/A,FALSE,"cover";#N/A,#N/A,FALSE,"Content ";#N/A,#N/A,FALSE,"E&amp;C Op Stat";#N/A,#N/A,FALSE,"Telcos Op Stat";#N/A,#N/A,FALSE,"Media Op Stat";#N/A,#N/A,FALSE,"Oil Op Stat";#N/A,#N/A,FALSE,"Utilities Op Stat";#N/A,#N/A,FALSE,"E&amp;C Ord An";#N/A,#N/A,FALSE,"E&amp;C Debt Nar";#N/A,#N/A,FALSE,"E&amp;C Debtors";#N/A,#N/A,FALSE,"E&amp;C CO Debt";#N/A,#N/A,FALSE,"Telcos Presales";#N/A,#N/A,FALSE,"Oil Presales";#N/A,#N/A,FALSE,"Utilities Presales"}</definedName>
    <definedName name="aaaaaaaaa" localSheetId="8" hidden="1">{#N/A,"PURCHM",FALSE,"Business Analysis";#N/A,"SPADD",FALSE,"Business Analysis"}</definedName>
    <definedName name="aaaaaaaaa" hidden="1">{#N/A,"PURCHM",FALSE,"Business Analysis";#N/A,"SPADD",FALSE,"Business Analysis"}</definedName>
    <definedName name="aaaaaaaaaa" hidden="1">#N/A</definedName>
    <definedName name="aaaaaaaaaaa" localSheetId="8" hidden="1">{#N/A,#N/A,FALSE,"REPORT"}</definedName>
    <definedName name="aaaaaaaaaaa" hidden="1">{#N/A,#N/A,FALSE,"REPORT"}</definedName>
    <definedName name="AAAAAAAAAAAA" localSheetId="8" hidden="1">{"'100'!$A$1:$M$83"}</definedName>
    <definedName name="AAAAAAAAAAAA" hidden="1">{"'100'!$A$1:$M$83"}</definedName>
    <definedName name="aaaaaaaaaaaaaa" localSheetId="8" hidden="1">{"Ergebnisbericht_UBA",#N/A,FALSE,"MB"}</definedName>
    <definedName name="aaaaaaaaaaaaaa" hidden="1">{"Ergebnisbericht_UBA",#N/A,FALSE,"MB"}</definedName>
    <definedName name="aaaaaaaaaaaaaa_1" localSheetId="8" hidden="1">{"Ergebnisbericht_UBA",#N/A,FALSE,"MB"}</definedName>
    <definedName name="aaaaaaaaaaaaaa_1" hidden="1">{"Ergebnisbericht_UBA",#N/A,FALSE,"MB"}</definedName>
    <definedName name="aaaaaaaaaaaaaaa" localSheetId="7" hidden="1">{#N/A,#N/A,FALSE,"Pharm";#N/A,#N/A,FALSE,"WWCM"}</definedName>
    <definedName name="aaaaaaaaaaaaaaa" localSheetId="8" hidden="1">{#N/A,#N/A,FALSE,"Pharm";#N/A,#N/A,FALSE,"WWCM"}</definedName>
    <definedName name="aaaaaaaaaaaaaaa" hidden="1">{#N/A,#N/A,FALSE,"Pharm";#N/A,#N/A,FALSE,"WWCM"}</definedName>
    <definedName name="aaaaaaaaaaaaaaaaa" localSheetId="8" hidden="1">{#N/A,"PURCHM",FALSE,"Business Analysis";#N/A,"SPADD",FALSE,"Business Analysis"}</definedName>
    <definedName name="aaaaaaaaaaaaaaaaa" hidden="1">{#N/A,"PURCHM",FALSE,"Business Analysis";#N/A,"SPADD",FALSE,"Business Analysis"}</definedName>
    <definedName name="aaaaaaaaaaaaaaaaaaaa" localSheetId="8" hidden="1">{#N/A,#N/A,FALSE,"cover";#N/A,#N/A,FALSE,"Content ";#N/A,#N/A,FALSE,"E&amp;C Op Stat";#N/A,#N/A,FALSE,"Telcos Op Stat";#N/A,#N/A,FALSE,"Media Op Stat";#N/A,#N/A,FALSE,"Oil Op Stat";#N/A,#N/A,FALSE,"Utilities Op Stat";#N/A,#N/A,FALSE,"E&amp;C Ord An";#N/A,#N/A,FALSE,"E&amp;C Debt Nar";#N/A,#N/A,FALSE,"E&amp;C Debtors";#N/A,#N/A,FALSE,"E&amp;C CO Debt";#N/A,#N/A,FALSE,"Telcos Presales";#N/A,#N/A,FALSE,"Oil Presales";#N/A,#N/A,FALSE,"Utilities Presales"}</definedName>
    <definedName name="aaaaaaaaaaaaaaaaaaaa" hidden="1">{#N/A,#N/A,FALSE,"cover";#N/A,#N/A,FALSE,"Content ";#N/A,#N/A,FALSE,"E&amp;C Op Stat";#N/A,#N/A,FALSE,"Telcos Op Stat";#N/A,#N/A,FALSE,"Media Op Stat";#N/A,#N/A,FALSE,"Oil Op Stat";#N/A,#N/A,FALSE,"Utilities Op Stat";#N/A,#N/A,FALSE,"E&amp;C Ord An";#N/A,#N/A,FALSE,"E&amp;C Debt Nar";#N/A,#N/A,FALSE,"E&amp;C Debtors";#N/A,#N/A,FALSE,"E&amp;C CO Debt";#N/A,#N/A,FALSE,"Telcos Presales";#N/A,#N/A,FALSE,"Oil Presales";#N/A,#N/A,FALSE,"Utilities Presales"}</definedName>
    <definedName name="aaaaaaaaaaaaaaaaaaaaaaaaaa" localSheetId="8" hidden="1">{"detail",#N/A,FALSE,"mfg";"summary",#N/A,FALSE,"mfg"}</definedName>
    <definedName name="aaaaaaaaaaaaaaaaaaaaaaaaaa" hidden="1">{"detail",#N/A,FALSE,"mfg";"summary",#N/A,FALSE,"mfg"}</definedName>
    <definedName name="AAAAAAAABBBBBCCCCC" hidden="1">#N/A</definedName>
    <definedName name="aaaaaqa" localSheetId="8" hidden="1">{#N/A,#N/A,FALSE,"MONTHDET";#N/A,#N/A,FALSE,"ACTUAL"}</definedName>
    <definedName name="aaaaaqa" hidden="1">{#N/A,#N/A,FALSE,"MONTHDET";#N/A,#N/A,FALSE,"ACTUAL"}</definedName>
    <definedName name="aaaaaqa_1" localSheetId="8" hidden="1">{#N/A,#N/A,FALSE,"MONTHDET";#N/A,#N/A,FALSE,"ACTUAL"}</definedName>
    <definedName name="aaaaaqa_1" hidden="1">{#N/A,#N/A,FALSE,"MONTHDET";#N/A,#N/A,FALSE,"ACTUAL"}</definedName>
    <definedName name="äääööö" localSheetId="8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äääööö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aaasb" localSheetId="7" hidden="1">{#N/A,#N/A,FALSE,"Pharm";#N/A,#N/A,FALSE,"WWCM"}</definedName>
    <definedName name="aaasb" localSheetId="8" hidden="1">{#N/A,#N/A,FALSE,"Pharm";#N/A,#N/A,FALSE,"WWCM"}</definedName>
    <definedName name="aaasb" hidden="1">{#N/A,#N/A,FALSE,"Pharm";#N/A,#N/A,FALSE,"WWCM"}</definedName>
    <definedName name="aab" localSheetId="7" hidden="1">{#N/A,#N/A,FALSE,"Pharm";#N/A,#N/A,FALSE,"WWCM"}</definedName>
    <definedName name="aab" localSheetId="8" hidden="1">{#N/A,#N/A,FALSE,"Pharm";#N/A,#N/A,FALSE,"WWCM"}</definedName>
    <definedName name="aab" hidden="1">{#N/A,#N/A,FALSE,"Pharm";#N/A,#N/A,FALSE,"WWCM"}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achart2" hidden="1">#REF!</definedName>
    <definedName name="aachart6" hidden="1">#REF!</definedName>
    <definedName name="aaddd" localSheetId="7" hidden="1">{#N/A,#N/A,FALSE,"REPORT"}</definedName>
    <definedName name="aaddd" localSheetId="8" hidden="1">{#N/A,#N/A,FALSE,"REPORT"}</definedName>
    <definedName name="aaddd" hidden="1">{#N/A,#N/A,FALSE,"REPORT"}</definedName>
    <definedName name="AALLALSKKDLA" hidden="1">#N/A</definedName>
    <definedName name="Aanalitica" hidden="1">{#N/A,#N/A,FALSE,"Pliego";#N/A,#N/A,FALSE,"Coeficientes";#N/A,#N/A,FALSE,"Cond. Diseño";#N/A,#N/A,FALSE,"Reactor Cullera";#N/A,#N/A,FALSE,"Tres fases";#N/A,#N/A,FALSE,"Dos fases";#N/A,#N/A,FALSE,"Resumen";#N/A,#N/A,FALSE,"Fosforo";#N/A,#N/A,FALSE,"Recirculacion";#N/A,#N/A,FALSE,"Exceso fango";#N/A,#N/A,FALSE,"Decantador";#N/A,#N/A,FALSE,"Desinfeccion";#N/A,#N/A,FALSE,"Recir. int."}</definedName>
    <definedName name="Aaron" localSheetId="8" hidden="1">{"'100'!$A$1:$M$83"}</definedName>
    <definedName name="Aaron" hidden="1">{"'100'!$A$1:$M$83"}</definedName>
    <definedName name="aas" localSheetId="7" hidden="1">{#N/A,#N/A,FALSE,"1";#N/A,#N/A,FALSE,"2";#N/A,#N/A,FALSE,"16 - 17";#N/A,#N/A,FALSE,"18 - 19";#N/A,#N/A,FALSE,"26";#N/A,#N/A,FALSE,"27";#N/A,#N/A,FALSE,"28"}</definedName>
    <definedName name="aas" localSheetId="8" hidden="1">{#N/A,#N/A,FALSE,"1";#N/A,#N/A,FALSE,"2";#N/A,#N/A,FALSE,"16 - 17";#N/A,#N/A,FALSE,"18 - 19";#N/A,#N/A,FALSE,"26";#N/A,#N/A,FALSE,"27";#N/A,#N/A,FALSE,"28"}</definedName>
    <definedName name="aas" hidden="1">{#N/A,#N/A,FALSE,"1";#N/A,#N/A,FALSE,"2";#N/A,#N/A,FALSE,"16 - 17";#N/A,#N/A,FALSE,"18 - 19";#N/A,#N/A,FALSE,"26";#N/A,#N/A,FALSE,"27";#N/A,#N/A,FALSE,"28"}</definedName>
    <definedName name="aasadaad" localSheetId="8" hidden="1">{#N/A,#N/A,FALSE,"MERCHANT GAS MARGIN";#N/A,#N/A,FALSE,"BULK";#N/A,#N/A,FALSE,"BULK CO2";#N/A,#N/A,FALSE,"ON-SITE";#N/A,#N/A,FALSE,"CYLINDERS"}</definedName>
    <definedName name="aasadaad" hidden="1">{#N/A,#N/A,FALSE,"MERCHANT GAS MARGIN";#N/A,#N/A,FALSE,"BULK";#N/A,#N/A,FALSE,"BULK CO2";#N/A,#N/A,FALSE,"ON-SITE";#N/A,#N/A,FALSE,"CYLINDERS"}</definedName>
    <definedName name="aasadaad_1" localSheetId="8" hidden="1">{#N/A,#N/A,FALSE,"MERCHANT GAS MARGIN";#N/A,#N/A,FALSE,"BULK";#N/A,#N/A,FALSE,"BULK CO2";#N/A,#N/A,FALSE,"ON-SITE";#N/A,#N/A,FALSE,"CYLINDERS"}</definedName>
    <definedName name="aasadaad_1" hidden="1">{#N/A,#N/A,FALSE,"MERCHANT GAS MARGIN";#N/A,#N/A,FALSE,"BULK";#N/A,#N/A,FALSE,"BULK CO2";#N/A,#N/A,FALSE,"ON-SITE";#N/A,#N/A,FALSE,"CYLINDERS"}</definedName>
    <definedName name="aasadef" localSheetId="8" hidden="1">{#N/A,#N/A,FALSE,"cover";#N/A,#N/A,FALSE,"Content ";#N/A,#N/A,FALSE,"E&amp;C Op Stat";#N/A,#N/A,FALSE,"Telcos Op Stat";#N/A,#N/A,FALSE,"Media Op Stat";#N/A,#N/A,FALSE,"Oil Op Stat";#N/A,#N/A,FALSE,"Utilities Op Stat";#N/A,#N/A,FALSE,"E&amp;C Ord An";#N/A,#N/A,FALSE,"E&amp;C Debt Nar";#N/A,#N/A,FALSE,"E&amp;C Debtors";#N/A,#N/A,FALSE,"E&amp;C CO Debt";#N/A,#N/A,FALSE,"Telcos Presales";#N/A,#N/A,FALSE,"Oil Presales";#N/A,#N/A,FALSE,"Utilities Presales"}</definedName>
    <definedName name="aasadef" hidden="1">{#N/A,#N/A,FALSE,"cover";#N/A,#N/A,FALSE,"Content ";#N/A,#N/A,FALSE,"E&amp;C Op Stat";#N/A,#N/A,FALSE,"Telcos Op Stat";#N/A,#N/A,FALSE,"Media Op Stat";#N/A,#N/A,FALSE,"Oil Op Stat";#N/A,#N/A,FALSE,"Utilities Op Stat";#N/A,#N/A,FALSE,"E&amp;C Ord An";#N/A,#N/A,FALSE,"E&amp;C Debt Nar";#N/A,#N/A,FALSE,"E&amp;C Debtors";#N/A,#N/A,FALSE,"E&amp;C CO Debt";#N/A,#N/A,FALSE,"Telcos Presales";#N/A,#N/A,FALSE,"Oil Presales";#N/A,#N/A,FALSE,"Utilities Presales"}</definedName>
    <definedName name="aass" localSheetId="8" hidden="1">{"detail",#N/A,FALSE,"mfg";"summary",#N/A,FALSE,"mfg"}</definedName>
    <definedName name="aass" hidden="1">{"detail",#N/A,FALSE,"mfg";"summary",#N/A,FALSE,"mfg"}</definedName>
    <definedName name="aassw" localSheetId="8" hidden="1">{TRUE,TRUE,-2.75,-17,487.5,256.5,FALSE,TRUE,TRUE,TRUE,0,1,1,3,1,1.41666666666667,2.2,4,TRUE,TRUE,3,TRUE,1,FALSE,100,"Swvu.MDC1.","ACwvu.MDC1.",#N/A,FALSE,FALSE,0.62,0.61,1,0.984251969,2,"&amp;LAPRILIA HISPANIA
control de gestion
Margenes de contribucion y facturacion neta mensual 1996
&amp;R&amp;D","&amp;C&amp;P",FALSE,FALSE,FALSE,FALSE,1,90,#N/A,#N/A,"=R1C1:R46C18","=C1,R1:R4",#N/A,#N/A,FALSE,FALSE,TRUE,9,300,300,FALSE,FALSE,TRUE,TRUE,TRUE}</definedName>
    <definedName name="aassw" hidden="1">{TRUE,TRUE,-2.75,-17,487.5,256.5,FALSE,TRUE,TRUE,TRUE,0,1,1,3,1,1.41666666666667,2.2,4,TRUE,TRUE,3,TRUE,1,FALSE,100,"Swvu.MDC1.","ACwvu.MDC1.",#N/A,FALSE,FALSE,0.62,0.61,1,0.984251969,2,"&amp;LAPRILIA HISPANIA
control de gestion
Margenes de contribucion y facturacion neta mensual 1996
&amp;R&amp;D","&amp;C&amp;P",FALSE,FALSE,FALSE,FALSE,1,90,#N/A,#N/A,"=R1C1:R46C18","=C1,R1:R4",#N/A,#N/A,FALSE,FALSE,TRUE,9,300,300,FALSE,FALSE,TRUE,TRUE,TRUE}</definedName>
    <definedName name="aassw_1" localSheetId="8" hidden="1">{TRUE,TRUE,-2.75,-17,487.5,256.5,FALSE,TRUE,TRUE,TRUE,0,1,1,3,1,1.41666666666667,2.2,4,TRUE,TRUE,3,TRUE,1,FALSE,100,"Swvu.MDC1.","ACwvu.MDC1.",#N/A,FALSE,FALSE,0.62,0.61,1,0.984251969,2,"&amp;LAPRILIA HISPANIA
control de gestion
Margenes de contribucion y facturacion neta mensual 1996
&amp;R&amp;D","&amp;C&amp;P",FALSE,FALSE,FALSE,FALSE,1,90,#N/A,#N/A,"=R1C1:R46C18","=C1,R1:R4",#N/A,#N/A,FALSE,FALSE,TRUE,9,300,300,FALSE,FALSE,TRUE,TRUE,TRUE}</definedName>
    <definedName name="aassw_1" hidden="1">{TRUE,TRUE,-2.75,-17,487.5,256.5,FALSE,TRUE,TRUE,TRUE,0,1,1,3,1,1.41666666666667,2.2,4,TRUE,TRUE,3,TRUE,1,FALSE,100,"Swvu.MDC1.","ACwvu.MDC1.",#N/A,FALSE,FALSE,0.62,0.61,1,0.984251969,2,"&amp;LAPRILIA HISPANIA
control de gestion
Margenes de contribucion y facturacion neta mensual 1996
&amp;R&amp;D","&amp;C&amp;P",FALSE,FALSE,FALSE,FALSE,1,90,#N/A,#N/A,"=R1C1:R46C18","=C1,R1:R4",#N/A,#N/A,FALSE,FALSE,TRUE,9,300,300,FALSE,FALSE,TRUE,TRUE,TRUE}</definedName>
    <definedName name="aaubn" localSheetId="8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aaubn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aaww" localSheetId="8" hidden="1">{"Polymers Details",#N/A,FALSE,"Current Yr";"Polymer Details",#N/A,FALSE,"Budget";"Polymer Details",#N/A,FALSE,"Prior Year"}</definedName>
    <definedName name="aaww" hidden="1">{"Polymers Details",#N/A,FALSE,"Current Yr";"Polymer Details",#N/A,FALSE,"Budget";"Polymer Details",#N/A,FALSE,"Prior Year"}</definedName>
    <definedName name="aax" localSheetId="8" hidden="1">{"detail",#N/A,FALSE,"mfg";"summary",#N/A,FALSE,"mfg"}</definedName>
    <definedName name="aax" hidden="1">{"detail",#N/A,FALSE,"mfg";"summary",#N/A,FALSE,"mfg"}</definedName>
    <definedName name="AB" localSheetId="7" hidden="1">#REF!</definedName>
    <definedName name="AB" localSheetId="8" hidden="1">#REF!</definedName>
    <definedName name="ab" hidden="1">{"'100'!$A$1:$M$83"}</definedName>
    <definedName name="ab_1" localSheetId="8" hidden="1">{"Eilbericht_UBA",#N/A,FALSE,"EB"}</definedName>
    <definedName name="ab_1" hidden="1">{"Eilbericht_UBA",#N/A,FALSE,"EB"}</definedName>
    <definedName name="abbb" localSheetId="8" hidden="1">{"Fiesta Facer Page",#N/A,FALSE,"Q_C_S";"Fiesta Main Page",#N/A,FALSE,"V_L";"Fiesta 95BP Struct",#N/A,FALSE,"StructBP";"Fiesta Post 95BP Struct",#N/A,FALSE,"AdjStructBP"}</definedName>
    <definedName name="abbb" hidden="1">{"Fiesta Facer Page",#N/A,FALSE,"Q_C_S";"Fiesta Main Page",#N/A,FALSE,"V_L";"Fiesta 95BP Struct",#N/A,FALSE,"StructBP";"Fiesta Post 95BP Struct",#N/A,FALSE,"AdjStructBP"}</definedName>
    <definedName name="abbb_1" localSheetId="8" hidden="1">{"Fiesta Facer Page",#N/A,FALSE,"Q_C_S";"Fiesta Main Page",#N/A,FALSE,"V_L";"Fiesta 95BP Struct",#N/A,FALSE,"StructBP";"Fiesta Post 95BP Struct",#N/A,FALSE,"AdjStructBP"}</definedName>
    <definedName name="abbb_1" hidden="1">{"Fiesta Facer Page",#N/A,FALSE,"Q_C_S";"Fiesta Main Page",#N/A,FALSE,"V_L";"Fiesta 95BP Struct",#N/A,FALSE,"StructBP";"Fiesta Post 95BP Struct",#N/A,FALSE,"AdjStructBP"}</definedName>
    <definedName name="abc" localSheetId="7" hidden="1">#REF!</definedName>
    <definedName name="abc" localSheetId="8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bc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bc_1" localSheetId="8" hidden="1">{#N/A,#N/A,FALSE,"Cover";#N/A,#N/A,FALSE,"Assumptions";#N/A,#N/A,FALSE,"Acquirer";#N/A,#N/A,FALSE,"Target";#N/A,#N/A,FALSE,"Income Statement";#N/A,#N/A,FALSE,"Summary Tables"}</definedName>
    <definedName name="abc_1" hidden="1">{#N/A,#N/A,FALSE,"Cover";#N/A,#N/A,FALSE,"Assumptions";#N/A,#N/A,FALSE,"Acquirer";#N/A,#N/A,FALSE,"Target";#N/A,#N/A,FALSE,"Income Statement";#N/A,#N/A,FALSE,"Summary Tables"}</definedName>
    <definedName name="abc0mq" localSheetId="8" hidden="1">{#N/A,"PURCHM",FALSE,"Business Analysis";#N/A,"SPADD",FALSE,"Business Analysis"}</definedName>
    <definedName name="abc0mq" hidden="1">{#N/A,"PURCHM",FALSE,"Business Analysis";#N/A,"SPADD",FALSE,"Business Analysis"}</definedName>
    <definedName name="abc0nks" localSheetId="8" hidden="1">{"detail",#N/A,FALSE,"mfg";"summary",#N/A,FALSE,"mfg"}</definedName>
    <definedName name="abc0nks" hidden="1">{"detail",#N/A,FALSE,"mfg";"summary",#N/A,FALSE,"mfg"}</definedName>
    <definedName name="abc101a" localSheetId="8" hidden="1">{#N/A,"PURCHM",FALSE,"Business Analysis";#N/A,"SPADD",FALSE,"Business Analysis"}</definedName>
    <definedName name="abc101a" hidden="1">{#N/A,"PURCHM",FALSE,"Business Analysis";#N/A,"SPADD",FALSE,"Business Analysis"}</definedName>
    <definedName name="abc109a" localSheetId="8" hidden="1">{"detail",#N/A,FALSE,"mfg";"summary",#N/A,FALSE,"mfg"}</definedName>
    <definedName name="abc109a" hidden="1">{"detail",#N/A,FALSE,"mfg";"summary",#N/A,FALSE,"mfg"}</definedName>
    <definedName name="abc11a" localSheetId="8" hidden="1">{"detail",#N/A,FALSE,"mfg";"summary",#N/A,FALSE,"mfg"}</definedName>
    <definedName name="abc11a" hidden="1">{"detail",#N/A,FALSE,"mfg";"summary",#N/A,FALSE,"mfg"}</definedName>
    <definedName name="abc11ab" localSheetId="8" hidden="1">{#N/A,"PURCHM",FALSE,"Business Analysis";#N/A,"SPADD",FALSE,"Business Analysis"}</definedName>
    <definedName name="abc11ab" hidden="1">{#N/A,"PURCHM",FALSE,"Business Analysis";#N/A,"SPADD",FALSE,"Business Analysis"}</definedName>
    <definedName name="abc12a" localSheetId="8" hidden="1">{"detail",#N/A,FALSE,"mfg";"summary",#N/A,FALSE,"mfg"}</definedName>
    <definedName name="abc12a" hidden="1">{"detail",#N/A,FALSE,"mfg";"summary",#N/A,FALSE,"mfg"}</definedName>
    <definedName name="abc13a" localSheetId="8" hidden="1">{"detail",#N/A,FALSE,"mfg";"summary",#N/A,FALSE,"mfg"}</definedName>
    <definedName name="abc13a" hidden="1">{"detail",#N/A,FALSE,"mfg";"summary",#N/A,FALSE,"mfg"}</definedName>
    <definedName name="abc14a" localSheetId="8" hidden="1">{"detail",#N/A,FALSE,"mfg";"summary",#N/A,FALSE,"mfg"}</definedName>
    <definedName name="abc14a" hidden="1">{"detail",#N/A,FALSE,"mfg";"summary",#N/A,FALSE,"mfg"}</definedName>
    <definedName name="abc1b" localSheetId="8" hidden="1">{#N/A,"PURCHM",FALSE,"Business Analysis";#N/A,"SPADD",FALSE,"Business Analysis"}</definedName>
    <definedName name="abc1b" hidden="1">{#N/A,"PURCHM",FALSE,"Business Analysis";#N/A,"SPADD",FALSE,"Business Analysis"}</definedName>
    <definedName name="abc200a" localSheetId="8" hidden="1">{"detail",#N/A,FALSE,"mfg";"summary",#N/A,FALSE,"mfg"}</definedName>
    <definedName name="abc200a" hidden="1">{"detail",#N/A,FALSE,"mfg";"summary",#N/A,FALSE,"mfg"}</definedName>
    <definedName name="abc202a" localSheetId="8" hidden="1">{"detail",#N/A,FALSE,"mfg";"summary",#N/A,FALSE,"mfg"}</definedName>
    <definedName name="abc202a" hidden="1">{"detail",#N/A,FALSE,"mfg";"summary",#N/A,FALSE,"mfg"}</definedName>
    <definedName name="abc202b" localSheetId="8" hidden="1">{#N/A,"PURCHM",FALSE,"Business Analysis";#N/A,"SPADD",FALSE,"Business Analysis"}</definedName>
    <definedName name="abc202b" hidden="1">{#N/A,"PURCHM",FALSE,"Business Analysis";#N/A,"SPADD",FALSE,"Business Analysis"}</definedName>
    <definedName name="abc213a" localSheetId="8" hidden="1">{"detail",#N/A,FALSE,"mfg";"summary",#N/A,FALSE,"mfg"}</definedName>
    <definedName name="abc213a" hidden="1">{"detail",#N/A,FALSE,"mfg";"summary",#N/A,FALSE,"mfg"}</definedName>
    <definedName name="abc2a" localSheetId="8" hidden="1">{"detail",#N/A,FALSE,"mfg";"summary",#N/A,FALSE,"mfg"}</definedName>
    <definedName name="abc2a" hidden="1">{"detail",#N/A,FALSE,"mfg";"summary",#N/A,FALSE,"mfg"}</definedName>
    <definedName name="abc312b" localSheetId="8" hidden="1">{"detail",#N/A,FALSE,"mfg";"summary",#N/A,FALSE,"mfg"}</definedName>
    <definedName name="abc312b" hidden="1">{"detail",#N/A,FALSE,"mfg";"summary",#N/A,FALSE,"mfg"}</definedName>
    <definedName name="abc31a" localSheetId="8" hidden="1">{"detail",#N/A,FALSE,"mfg";"summary",#N/A,FALSE,"mfg"}</definedName>
    <definedName name="abc31a" hidden="1">{"detail",#N/A,FALSE,"mfg";"summary",#N/A,FALSE,"mfg"}</definedName>
    <definedName name="abc32b" localSheetId="8" hidden="1">{"detail",#N/A,FALSE,"mfg";"summary",#N/A,FALSE,"mfg"}</definedName>
    <definedName name="abc32b" hidden="1">{"detail",#N/A,FALSE,"mfg";"summary",#N/A,FALSE,"mfg"}</definedName>
    <definedName name="abc35b" localSheetId="8" hidden="1">{"detail",#N/A,FALSE,"mfg";"summary",#N/A,FALSE,"mfg"}</definedName>
    <definedName name="abc35b" hidden="1">{"detail",#N/A,FALSE,"mfg";"summary",#N/A,FALSE,"mfg"}</definedName>
    <definedName name="abc36b" localSheetId="8" hidden="1">{"detail",#N/A,FALSE,"mfg";"summary",#N/A,FALSE,"mfg"}</definedName>
    <definedName name="abc36b" hidden="1">{"detail",#N/A,FALSE,"mfg";"summary",#N/A,FALSE,"mfg"}</definedName>
    <definedName name="abc37b" localSheetId="8" hidden="1">{"detail",#N/A,FALSE,"mfg";"summary",#N/A,FALSE,"mfg"}</definedName>
    <definedName name="abc37b" hidden="1">{"detail",#N/A,FALSE,"mfg";"summary",#N/A,FALSE,"mfg"}</definedName>
    <definedName name="abc38b" localSheetId="8" hidden="1">{"detail",#N/A,FALSE,"mfg";"summary",#N/A,FALSE,"mfg"}</definedName>
    <definedName name="abc38b" hidden="1">{"detail",#N/A,FALSE,"mfg";"summary",#N/A,FALSE,"mfg"}</definedName>
    <definedName name="abc41b" localSheetId="8" hidden="1">{"detail",#N/A,FALSE,"mfg";"summary",#N/A,FALSE,"mfg"}</definedName>
    <definedName name="abc41b" hidden="1">{"detail",#N/A,FALSE,"mfg";"summary",#N/A,FALSE,"mfg"}</definedName>
    <definedName name="abc42b" localSheetId="8" hidden="1">{"detail",#N/A,FALSE,"mfg";"summary",#N/A,FALSE,"mfg"}</definedName>
    <definedName name="abc42b" hidden="1">{"detail",#N/A,FALSE,"mfg";"summary",#N/A,FALSE,"mfg"}</definedName>
    <definedName name="abc51b" localSheetId="8" hidden="1">{"detail",#N/A,FALSE,"mfg";"summary",#N/A,FALSE,"mfg"}</definedName>
    <definedName name="abc51b" hidden="1">{"detail",#N/A,FALSE,"mfg";"summary",#N/A,FALSE,"mfg"}</definedName>
    <definedName name="abc61b" localSheetId="8" hidden="1">{"detail",#N/A,FALSE,"mfg";"summary",#N/A,FALSE,"mfg"}</definedName>
    <definedName name="abc61b" hidden="1">{"detail",#N/A,FALSE,"mfg";"summary",#N/A,FALSE,"mfg"}</definedName>
    <definedName name="abc67v" localSheetId="8" hidden="1">{#N/A,"PURCHM",FALSE,"Business Analysis";#N/A,"SPADD",FALSE,"Business Analysis"}</definedName>
    <definedName name="abc67v" hidden="1">{#N/A,"PURCHM",FALSE,"Business Analysis";#N/A,"SPADD",FALSE,"Business Analysis"}</definedName>
    <definedName name="abc71b" localSheetId="8" hidden="1">{"detail",#N/A,FALSE,"mfg";"summary",#N/A,FALSE,"mfg"}</definedName>
    <definedName name="abc71b" hidden="1">{"detail",#N/A,FALSE,"mfg";"summary",#N/A,FALSE,"mfg"}</definedName>
    <definedName name="abc9bn" localSheetId="8" hidden="1">{"detail",#N/A,FALSE,"mfg";"summary",#N/A,FALSE,"mfg"}</definedName>
    <definedName name="abc9bn" hidden="1">{"detail",#N/A,FALSE,"mfg";"summary",#N/A,FALSE,"mfg"}</definedName>
    <definedName name="abc9er" localSheetId="8" hidden="1">{"detail",#N/A,FALSE,"mfg";"summary",#N/A,FALSE,"mfg"}</definedName>
    <definedName name="abc9er" hidden="1">{"detail",#N/A,FALSE,"mfg";"summary",#N/A,FALSE,"mfg"}</definedName>
    <definedName name="abc9kn" localSheetId="8" hidden="1">{"detail",#N/A,FALSE,"mfg";"summary",#N/A,FALSE,"mfg"}</definedName>
    <definedName name="abc9kn" hidden="1">{"detail",#N/A,FALSE,"mfg";"summary",#N/A,FALSE,"mfg"}</definedName>
    <definedName name="abca312" localSheetId="8" hidden="1">{"detail",#N/A,FALSE,"mfg";"summary",#N/A,FALSE,"mfg"}</definedName>
    <definedName name="abca312" hidden="1">{"detail",#N/A,FALSE,"mfg";"summary",#N/A,FALSE,"mfg"}</definedName>
    <definedName name="abca312b" localSheetId="8" hidden="1">{"detail",#N/A,FALSE,"mfg";"summary",#N/A,FALSE,"mfg"}</definedName>
    <definedName name="abca312b" hidden="1">{"detail",#N/A,FALSE,"mfg";"summary",#N/A,FALSE,"mfg"}</definedName>
    <definedName name="abcccahrt1b" localSheetId="8" hidden="1">#REF!</definedName>
    <definedName name="abcccahrt1b" hidden="1">#REF!</definedName>
    <definedName name="abccchart1" localSheetId="8" hidden="1">#REF!</definedName>
    <definedName name="abccchart1" hidden="1">#REF!</definedName>
    <definedName name="abccchart2" localSheetId="8" hidden="1">#REF!</definedName>
    <definedName name="abccchart2" hidden="1">#REF!</definedName>
    <definedName name="abccchart23" localSheetId="8" hidden="1">#REF!</definedName>
    <definedName name="abccchart23" hidden="1">#REF!</definedName>
    <definedName name="abccchart3" localSheetId="8" hidden="1">#REF!</definedName>
    <definedName name="abccchart3" hidden="1">#REF!</definedName>
    <definedName name="abccchart4" localSheetId="8" hidden="1">#REF!</definedName>
    <definedName name="abccchart4" hidden="1">#REF!</definedName>
    <definedName name="abcchart1" localSheetId="8" hidden="1">#REF!</definedName>
    <definedName name="abcchart1" hidden="1">#REF!</definedName>
    <definedName name="abcchart1b" localSheetId="8" hidden="1">#REF!</definedName>
    <definedName name="abcchart1b" hidden="1">#REF!</definedName>
    <definedName name="abcchart2" localSheetId="8" hidden="1">#REF!</definedName>
    <definedName name="abcchart2" hidden="1">#REF!</definedName>
    <definedName name="abcchart23" localSheetId="8" hidden="1">#REF!</definedName>
    <definedName name="abcchart23" hidden="1">#REF!</definedName>
    <definedName name="abcchart3" localSheetId="8" hidden="1">#REF!</definedName>
    <definedName name="abcchart3" hidden="1">#REF!</definedName>
    <definedName name="abcchart4" localSheetId="8" hidden="1">#REF!</definedName>
    <definedName name="abcchart4" hidden="1">#REF!</definedName>
    <definedName name="abcchart5" localSheetId="8" hidden="1">#REF!</definedName>
    <definedName name="abcchart5" hidden="1">#REF!</definedName>
    <definedName name="abcd" localSheetId="8" hidden="1">{#N/A,"PURCHM",FALSE,"Business Analysis";#N/A,"SPADD",FALSE,"Business Analysis"}</definedName>
    <definedName name="abcd" hidden="1">{#N/A,"PURCHM",FALSE,"Business Analysis";#N/A,"SPADD",FALSE,"Business Analysis"}</definedName>
    <definedName name="abcd1" localSheetId="8" hidden="1">{#N/A,"PURCHM",FALSE,"Business Analysis";#N/A,"SPADD",FALSE,"Business Analysis"}</definedName>
    <definedName name="abcd1" hidden="1">{#N/A,"PURCHM",FALSE,"Business Analysis";#N/A,"SPADD",FALSE,"Business Analysis"}</definedName>
    <definedName name="abcd10" localSheetId="8" hidden="1">{#N/A,"PURCHM",FALSE,"Business Analysis";#N/A,"SPADD",FALSE,"Business Analysis"}</definedName>
    <definedName name="abcd10" hidden="1">{#N/A,"PURCHM",FALSE,"Business Analysis";#N/A,"SPADD",FALSE,"Business Analysis"}</definedName>
    <definedName name="abcd101" localSheetId="8" hidden="1">{#N/A,"PURCHM",FALSE,"Business Analysis";#N/A,"SPADD",FALSE,"Business Analysis"}</definedName>
    <definedName name="abcd101" hidden="1">{#N/A,"PURCHM",FALSE,"Business Analysis";#N/A,"SPADD",FALSE,"Business Analysis"}</definedName>
    <definedName name="abcd10a" localSheetId="8" hidden="1">{#N/A,"PURCHM",FALSE,"Business Analysis";#N/A,"SPADD",FALSE,"Business Analysis"}</definedName>
    <definedName name="abcd10a" hidden="1">{#N/A,"PURCHM",FALSE,"Business Analysis";#N/A,"SPADD",FALSE,"Business Analysis"}</definedName>
    <definedName name="abcd11" localSheetId="8" hidden="1">{#N/A,"PURCHM",FALSE,"Business Analysis";#N/A,"SPADD",FALSE,"Business Analysis"}</definedName>
    <definedName name="abcd11" hidden="1">{#N/A,"PURCHM",FALSE,"Business Analysis";#N/A,"SPADD",FALSE,"Business Analysis"}</definedName>
    <definedName name="abcd12" localSheetId="8" hidden="1">{#N/A,"PURCHM",FALSE,"Business Analysis";#N/A,"SPADD",FALSE,"Business Analysis"}</definedName>
    <definedName name="abcd12" hidden="1">{#N/A,"PURCHM",FALSE,"Business Analysis";#N/A,"SPADD",FALSE,"Business Analysis"}</definedName>
    <definedName name="abcd12b" localSheetId="8" hidden="1">{#N/A,"PURCHM",FALSE,"Business Analysis";#N/A,"SPADD",FALSE,"Business Analysis"}</definedName>
    <definedName name="abcd12b" hidden="1">{#N/A,"PURCHM",FALSE,"Business Analysis";#N/A,"SPADD",FALSE,"Business Analysis"}</definedName>
    <definedName name="abcd2" localSheetId="8" hidden="1">{#N/A,"PURCHM",FALSE,"Business Analysis";#N/A,"SPADD",FALSE,"Business Analysis"}</definedName>
    <definedName name="abcd2" hidden="1">{#N/A,"PURCHM",FALSE,"Business Analysis";#N/A,"SPADD",FALSE,"Business Analysis"}</definedName>
    <definedName name="abcd200" localSheetId="8" hidden="1">{#N/A,"PURCHM",FALSE,"Business Analysis";#N/A,"SPADD",FALSE,"Business Analysis"}</definedName>
    <definedName name="abcd200" hidden="1">{#N/A,"PURCHM",FALSE,"Business Analysis";#N/A,"SPADD",FALSE,"Business Analysis"}</definedName>
    <definedName name="abcd200b" localSheetId="8" hidden="1">{#N/A,"PURCHM",FALSE,"Business Analysis";#N/A,"SPADD",FALSE,"Business Analysis"}</definedName>
    <definedName name="abcd200b" hidden="1">{#N/A,"PURCHM",FALSE,"Business Analysis";#N/A,"SPADD",FALSE,"Business Analysis"}</definedName>
    <definedName name="abcd202" localSheetId="8" hidden="1">{#N/A,"PURCHM",FALSE,"Business Analysis";#N/A,"SPADD",FALSE,"Business Analysis"}</definedName>
    <definedName name="abcd202" hidden="1">{#N/A,"PURCHM",FALSE,"Business Analysis";#N/A,"SPADD",FALSE,"Business Analysis"}</definedName>
    <definedName name="abcd21" localSheetId="8" hidden="1">{#N/A,"PURCHM",FALSE,"Business Analysis";#N/A,"SPADD",FALSE,"Business Analysis"}</definedName>
    <definedName name="abcd21" hidden="1">{#N/A,"PURCHM",FALSE,"Business Analysis";#N/A,"SPADD",FALSE,"Business Analysis"}</definedName>
    <definedName name="abcd212" localSheetId="8" hidden="1">{#N/A,"PURCHM",FALSE,"Business Analysis";#N/A,"SPADD",FALSE,"Business Analysis"}</definedName>
    <definedName name="abcd212" hidden="1">{#N/A,"PURCHM",FALSE,"Business Analysis";#N/A,"SPADD",FALSE,"Business Analysis"}</definedName>
    <definedName name="abcd21225b" localSheetId="8" hidden="1">{#N/A,"PURCHM",FALSE,"Business Analysis";#N/A,"SPADD",FALSE,"Business Analysis"}</definedName>
    <definedName name="abcd21225b" hidden="1">{#N/A,"PURCHM",FALSE,"Business Analysis";#N/A,"SPADD",FALSE,"Business Analysis"}</definedName>
    <definedName name="abcd212b" localSheetId="8" hidden="1">{#N/A,"PURCHM",FALSE,"Business Analysis";#N/A,"SPADD",FALSE,"Business Analysis"}</definedName>
    <definedName name="abcd212b" hidden="1">{#N/A,"PURCHM",FALSE,"Business Analysis";#N/A,"SPADD",FALSE,"Business Analysis"}</definedName>
    <definedName name="abcd213" localSheetId="8" hidden="1">{#N/A,"PURCHM",FALSE,"Business Analysis";#N/A,"SPADD",FALSE,"Business Analysis"}</definedName>
    <definedName name="abcd213" hidden="1">{#N/A,"PURCHM",FALSE,"Business Analysis";#N/A,"SPADD",FALSE,"Business Analysis"}</definedName>
    <definedName name="abcd213b" localSheetId="8" hidden="1">{#N/A,"PURCHM",FALSE,"Business Analysis";#N/A,"SPADD",FALSE,"Business Analysis"}</definedName>
    <definedName name="abcd213b" hidden="1">{#N/A,"PURCHM",FALSE,"Business Analysis";#N/A,"SPADD",FALSE,"Business Analysis"}</definedName>
    <definedName name="abcd21kb" localSheetId="8" hidden="1">{#N/A,"PURCHM",FALSE,"Business Analysis";#N/A,"SPADD",FALSE,"Business Analysis"}</definedName>
    <definedName name="abcd21kb" hidden="1">{#N/A,"PURCHM",FALSE,"Business Analysis";#N/A,"SPADD",FALSE,"Business Analysis"}</definedName>
    <definedName name="abcd254" localSheetId="8" hidden="1">{#N/A,"PURCHM",FALSE,"Business Analysis";#N/A,"SPADD",FALSE,"Business Analysis"}</definedName>
    <definedName name="abcd254" hidden="1">{#N/A,"PURCHM",FALSE,"Business Analysis";#N/A,"SPADD",FALSE,"Business Analysis"}</definedName>
    <definedName name="abcd2ab" localSheetId="8" hidden="1">{#N/A,"PURCHM",FALSE,"Business Analysis";#N/A,"SPADD",FALSE,"Business Analysis"}</definedName>
    <definedName name="abcd2ab" hidden="1">{#N/A,"PURCHM",FALSE,"Business Analysis";#N/A,"SPADD",FALSE,"Business Analysis"}</definedName>
    <definedName name="abcd312" localSheetId="8" hidden="1">{#N/A,"PURCHM",FALSE,"Business Analysis";#N/A,"SPADD",FALSE,"Business Analysis"}</definedName>
    <definedName name="abcd312" hidden="1">{#N/A,"PURCHM",FALSE,"Business Analysis";#N/A,"SPADD",FALSE,"Business Analysis"}</definedName>
    <definedName name="abcd312bd" localSheetId="8" hidden="1">{#N/A,"PURCHM",FALSE,"Business Analysis";#N/A,"SPADD",FALSE,"Business Analysis"}</definedName>
    <definedName name="abcd312bd" hidden="1">{#N/A,"PURCHM",FALSE,"Business Analysis";#N/A,"SPADD",FALSE,"Business Analysis"}</definedName>
    <definedName name="abcd32" localSheetId="8" hidden="1">{#N/A,"PURCHM",FALSE,"Business Analysis";#N/A,"SPADD",FALSE,"Business Analysis"}</definedName>
    <definedName name="abcd32" hidden="1">{#N/A,"PURCHM",FALSE,"Business Analysis";#N/A,"SPADD",FALSE,"Business Analysis"}</definedName>
    <definedName name="abcd32b" localSheetId="8" hidden="1">{#N/A,"PURCHM",FALSE,"Business Analysis";#N/A,"SPADD",FALSE,"Business Analysis"}</definedName>
    <definedName name="abcd32b" hidden="1">{#N/A,"PURCHM",FALSE,"Business Analysis";#N/A,"SPADD",FALSE,"Business Analysis"}</definedName>
    <definedName name="abcd33" localSheetId="8" hidden="1">{"detail",#N/A,FALSE,"mfg";"summary",#N/A,FALSE,"mfg"}</definedName>
    <definedName name="abcd33" hidden="1">{"detail",#N/A,FALSE,"mfg";"summary",#N/A,FALSE,"mfg"}</definedName>
    <definedName name="abcd33b" localSheetId="8" hidden="1">{"detail",#N/A,FALSE,"mfg";"summary",#N/A,FALSE,"mfg"}</definedName>
    <definedName name="abcd33b" hidden="1">{"detail",#N/A,FALSE,"mfg";"summary",#N/A,FALSE,"mfg"}</definedName>
    <definedName name="abcd34" localSheetId="8" hidden="1">{#N/A,"PURCHM",FALSE,"Business Analysis";#N/A,"SPADD",FALSE,"Business Analysis"}</definedName>
    <definedName name="abcd34" hidden="1">{#N/A,"PURCHM",FALSE,"Business Analysis";#N/A,"SPADD",FALSE,"Business Analysis"}</definedName>
    <definedName name="abcd34b" localSheetId="8" hidden="1">{#N/A,"PURCHM",FALSE,"Business Analysis";#N/A,"SPADD",FALSE,"Business Analysis"}</definedName>
    <definedName name="abcd34b" hidden="1">{#N/A,"PURCHM",FALSE,"Business Analysis";#N/A,"SPADD",FALSE,"Business Analysis"}</definedName>
    <definedName name="abcd35" localSheetId="8" hidden="1">{#N/A,"PURCHM",FALSE,"Business Analysis";#N/A,"SPADD",FALSE,"Business Analysis"}</definedName>
    <definedName name="abcd35" hidden="1">{#N/A,"PURCHM",FALSE,"Business Analysis";#N/A,"SPADD",FALSE,"Business Analysis"}</definedName>
    <definedName name="abcd35b" localSheetId="8" hidden="1">{#N/A,"PURCHM",FALSE,"Business Analysis";#N/A,"SPADD",FALSE,"Business Analysis"}</definedName>
    <definedName name="abcd35b" hidden="1">{#N/A,"PURCHM",FALSE,"Business Analysis";#N/A,"SPADD",FALSE,"Business Analysis"}</definedName>
    <definedName name="abcd36" localSheetId="8" hidden="1">{"detail",#N/A,FALSE,"mfg";"summary",#N/A,FALSE,"mfg"}</definedName>
    <definedName name="abcd36" hidden="1">{"detail",#N/A,FALSE,"mfg";"summary",#N/A,FALSE,"mfg"}</definedName>
    <definedName name="abcd36b" localSheetId="8" hidden="1">{"detail",#N/A,FALSE,"mfg";"summary",#N/A,FALSE,"mfg"}</definedName>
    <definedName name="abcd36b" hidden="1">{"detail",#N/A,FALSE,"mfg";"summary",#N/A,FALSE,"mfg"}</definedName>
    <definedName name="abcd39" localSheetId="8" hidden="1">{#N/A,"PURCHM",FALSE,"Business Analysis";#N/A,"SPADD",FALSE,"Business Analysis"}</definedName>
    <definedName name="abcd39" hidden="1">{#N/A,"PURCHM",FALSE,"Business Analysis";#N/A,"SPADD",FALSE,"Business Analysis"}</definedName>
    <definedName name="abcd39bd" localSheetId="8" hidden="1">{#N/A,"PURCHM",FALSE,"Business Analysis";#N/A,"SPADD",FALSE,"Business Analysis"}</definedName>
    <definedName name="abcd39bd" hidden="1">{#N/A,"PURCHM",FALSE,"Business Analysis";#N/A,"SPADD",FALSE,"Business Analysis"}</definedName>
    <definedName name="ABCD41" localSheetId="8" hidden="1">{#N/A,"PURCHM",FALSE,"Business Analysis";#N/A,"SPADD",FALSE,"Business Analysis"}</definedName>
    <definedName name="ABCD41" hidden="1">{#N/A,"PURCHM",FALSE,"Business Analysis";#N/A,"SPADD",FALSE,"Business Analysis"}</definedName>
    <definedName name="abcd412" localSheetId="8" hidden="1">{#N/A,"PURCHM",FALSE,"Business Analysis";#N/A,"SPADD",FALSE,"Business Analysis"}</definedName>
    <definedName name="abcd412" hidden="1">{#N/A,"PURCHM",FALSE,"Business Analysis";#N/A,"SPADD",FALSE,"Business Analysis"}</definedName>
    <definedName name="abcd412bd" localSheetId="8" hidden="1">{#N/A,"PURCHM",FALSE,"Business Analysis";#N/A,"SPADD",FALSE,"Business Analysis"}</definedName>
    <definedName name="abcd412bd" hidden="1">{#N/A,"PURCHM",FALSE,"Business Analysis";#N/A,"SPADD",FALSE,"Business Analysis"}</definedName>
    <definedName name="abcd41bd" localSheetId="8" hidden="1">{#N/A,"PURCHM",FALSE,"Business Analysis";#N/A,"SPADD",FALSE,"Business Analysis"}</definedName>
    <definedName name="abcd41bd" hidden="1">{#N/A,"PURCHM",FALSE,"Business Analysis";#N/A,"SPADD",FALSE,"Business Analysis"}</definedName>
    <definedName name="abcd42" localSheetId="8" hidden="1">{#N/A,"PURCHM",FALSE,"Business Analysis";#N/A,"SPADD",FALSE,"Business Analysis"}</definedName>
    <definedName name="abcd42" hidden="1">{#N/A,"PURCHM",FALSE,"Business Analysis";#N/A,"SPADD",FALSE,"Business Analysis"}</definedName>
    <definedName name="abcd42bd" localSheetId="8" hidden="1">{#N/A,"PURCHM",FALSE,"Business Analysis";#N/A,"SPADD",FALSE,"Business Analysis"}</definedName>
    <definedName name="abcd42bd" hidden="1">{#N/A,"PURCHM",FALSE,"Business Analysis";#N/A,"SPADD",FALSE,"Business Analysis"}</definedName>
    <definedName name="abcd45" localSheetId="8" hidden="1">{#N/A,"PURCHM",FALSE,"Business Analysis";#N/A,"SPADD",FALSE,"Business Analysis"}</definedName>
    <definedName name="abcd45" hidden="1">{#N/A,"PURCHM",FALSE,"Business Analysis";#N/A,"SPADD",FALSE,"Business Analysis"}</definedName>
    <definedName name="abcd45bd" localSheetId="8" hidden="1">{#N/A,"PURCHM",FALSE,"Business Analysis";#N/A,"SPADD",FALSE,"Business Analysis"}</definedName>
    <definedName name="abcd45bd" hidden="1">{#N/A,"PURCHM",FALSE,"Business Analysis";#N/A,"SPADD",FALSE,"Business Analysis"}</definedName>
    <definedName name="abcd50" localSheetId="8" hidden="1">{#N/A,"PURCHM",FALSE,"Business Analysis";#N/A,"SPADD",FALSE,"Business Analysis"}</definedName>
    <definedName name="abcd50" hidden="1">{#N/A,"PURCHM",FALSE,"Business Analysis";#N/A,"SPADD",FALSE,"Business Analysis"}</definedName>
    <definedName name="abcd51" localSheetId="8" hidden="1">{#N/A,"PURCHM",FALSE,"Business Analysis";#N/A,"SPADD",FALSE,"Business Analysis"}</definedName>
    <definedName name="abcd51" hidden="1">{#N/A,"PURCHM",FALSE,"Business Analysis";#N/A,"SPADD",FALSE,"Business Analysis"}</definedName>
    <definedName name="abcd51bd" localSheetId="8" hidden="1">{#N/A,"PURCHM",FALSE,"Business Analysis";#N/A,"SPADD",FALSE,"Business Analysis"}</definedName>
    <definedName name="abcd51bd" hidden="1">{#N/A,"PURCHM",FALSE,"Business Analysis";#N/A,"SPADD",FALSE,"Business Analysis"}</definedName>
    <definedName name="abcd61" localSheetId="8" hidden="1">{#N/A,"PURCHM",FALSE,"Business Analysis";#N/A,"SPADD",FALSE,"Business Analysis"}</definedName>
    <definedName name="abcd61" hidden="1">{#N/A,"PURCHM",FALSE,"Business Analysis";#N/A,"SPADD",FALSE,"Business Analysis"}</definedName>
    <definedName name="abcd61bd" localSheetId="8" hidden="1">{#N/A,"PURCHM",FALSE,"Business Analysis";#N/A,"SPADD",FALSE,"Business Analysis"}</definedName>
    <definedName name="abcd61bd" hidden="1">{#N/A,"PURCHM",FALSE,"Business Analysis";#N/A,"SPADD",FALSE,"Business Analysis"}</definedName>
    <definedName name="abcd71" localSheetId="8" hidden="1">{#N/A,"PURCHM",FALSE,"Business Analysis";#N/A,"SPADD",FALSE,"Business Analysis"}</definedName>
    <definedName name="abcd71" hidden="1">{#N/A,"PURCHM",FALSE,"Business Analysis";#N/A,"SPADD",FALSE,"Business Analysis"}</definedName>
    <definedName name="abcd71bd" localSheetId="8" hidden="1">{#N/A,"PURCHM",FALSE,"Business Analysis";#N/A,"SPADD",FALSE,"Business Analysis"}</definedName>
    <definedName name="abcd71bd" hidden="1">{#N/A,"PURCHM",FALSE,"Business Analysis";#N/A,"SPADD",FALSE,"Business Analysis"}</definedName>
    <definedName name="abcd90" localSheetId="8" hidden="1">{#N/A,"PURCHM",FALSE,"Business Analysis";#N/A,"SPADD",FALSE,"Business Analysis"}</definedName>
    <definedName name="abcd90" hidden="1">{#N/A,"PURCHM",FALSE,"Business Analysis";#N/A,"SPADD",FALSE,"Business Analysis"}</definedName>
    <definedName name="abcd98b" localSheetId="8" hidden="1">{#N/A,"PURCHM",FALSE,"Business Analysis";#N/A,"SPADD",FALSE,"Business Analysis"}</definedName>
    <definedName name="abcd98b" hidden="1">{#N/A,"PURCHM",FALSE,"Business Analysis";#N/A,"SPADD",FALSE,"Business Analysis"}</definedName>
    <definedName name="abcda" localSheetId="8" hidden="1">{#N/A,"PURCHM",FALSE,"Business Analysis";#N/A,"SPADD",FALSE,"Business Analysis"}</definedName>
    <definedName name="abcda" hidden="1">{#N/A,"PURCHM",FALSE,"Business Analysis";#N/A,"SPADD",FALSE,"Business Analysis"}</definedName>
    <definedName name="abcda101" localSheetId="8" hidden="1">{#N/A,"PURCHM",FALSE,"Business Analysis";#N/A,"SPADD",FALSE,"Business Analysis"}</definedName>
    <definedName name="abcda101" hidden="1">{#N/A,"PURCHM",FALSE,"Business Analysis";#N/A,"SPADD",FALSE,"Business Analysis"}</definedName>
    <definedName name="abcde" localSheetId="8" hidden="1">{#N/A,#N/A,FALSE,"cover";#N/A,#N/A,FALSE,"Content ";#N/A,#N/A,FALSE,"E&amp;C Op Stat";#N/A,#N/A,FALSE,"Telcos Op Stat";#N/A,#N/A,FALSE,"Media Op Stat";#N/A,#N/A,FALSE,"Oil Op Stat";#N/A,#N/A,FALSE,"Utilities Op Stat";#N/A,#N/A,FALSE,"E&amp;C Ord An";#N/A,#N/A,FALSE,"E&amp;C Debt Nar";#N/A,#N/A,FALSE,"E&amp;C Debtors";#N/A,#N/A,FALSE,"E&amp;C CO Debt";#N/A,#N/A,FALSE,"Telcos Presales";#N/A,#N/A,FALSE,"Oil Presales";#N/A,#N/A,FALSE,"Utilities Presales"}</definedName>
    <definedName name="abcde" hidden="1">{#N/A,#N/A,FALSE,"cover";#N/A,#N/A,FALSE,"Content ";#N/A,#N/A,FALSE,"E&amp;C Op Stat";#N/A,#N/A,FALSE,"Telcos Op Stat";#N/A,#N/A,FALSE,"Media Op Stat";#N/A,#N/A,FALSE,"Oil Op Stat";#N/A,#N/A,FALSE,"Utilities Op Stat";#N/A,#N/A,FALSE,"E&amp;C Ord An";#N/A,#N/A,FALSE,"E&amp;C Debt Nar";#N/A,#N/A,FALSE,"E&amp;C Debtors";#N/A,#N/A,FALSE,"E&amp;C CO Debt";#N/A,#N/A,FALSE,"Telcos Presales";#N/A,#N/A,FALSE,"Oil Presales";#N/A,#N/A,FALSE,"Utilities Presales"}</definedName>
    <definedName name="abcdefg" localSheetId="8" hidden="1">{#N/A,#N/A,FALSE,"Table of Content ";#N/A,#N/A,FALSE,"1-Summ- Key Figures";#N/A,#N/A,FALSE,"2-Summary P&amp;L - Other ";#N/A,#N/A,FALSE,"3-P&amp;L by Bus.Unt-Serv.Unt";#N/A,#N/A,FALSE,"4-P&amp;L by Business";#N/A,#N/A,FALSE,"5-Bal_Sheet CF";#N/A,#N/A,FALSE,"6-Bal_Sheet CF by Business ";#N/A,#N/A,FALSE,"7-Sales Orders Capex";#N/A,#N/A,FALSE,"8-Headc.Funct.";#N/A,#N/A,FALSE,"9-Custom. Satisf.  #Customers";#N/A,#N/A,FALSE,"P1-Orders RevGap";#N/A,#N/A,FALSE,"P2-Sales Prospects WinLoss";#N/A,#N/A,FALSE,"P3-Detail P&amp;L";#N/A,#N/A,FALSE,"P4-GM per Product";#N/A,#N/A,FALSE,"P5-Mobile(1) ";#N/A,#N/A,FALSE,"P6-Mobile(2)";#N/A,#N/A,FALSE,"P7-Data(1)";#N/A,#N/A,FALSE,"P8-Data (2)";#N/A,#N/A,FALSE,"P9-Voice(1)";#N/A,#N/A,FALSE,"P10-Voice (2)";#N/A,#N/A,FALSE,"P11-Infraestr(1)";#N/A,#N/A,FALSE,"P12-Infraestr(2)";#N/A,#N/A,FALSE,"P13-Funding- Inter.";#N/A,#N/A,FALSE,"P14-Risk &amp; Fraud";#N/A,#N/A,FALSE,"P15-Network ";#N/A,#N/A,FALSE,"P16- Productivity";#N/A,#N/A,FALSE,"Detail P&amp;L-by BU";#N/A,#N/A,FALSE,"Detail P&amp;L-Carriers";#N/A,#N/A,FALSE,"Detail P&amp;L-Large Accounts";#N/A,#N/A,FALSE,"Detail P&amp;L-Consumer_SME";#N/A,#N/A,FALSE,"Detail P&amp;L-Networks &amp; Systems";#N/A,#N/A,FALSE,"Detail P&amp;L-ITBilling";#N/A,#N/A,FALSE,"Detail P&amp;L-Corporate";#N/A,#N/A,FALSE,"Billing &amp; IT"}</definedName>
    <definedName name="abcdefg" hidden="1">{#N/A,#N/A,FALSE,"Table of Content ";#N/A,#N/A,FALSE,"1-Summ- Key Figures";#N/A,#N/A,FALSE,"2-Summary P&amp;L - Other ";#N/A,#N/A,FALSE,"3-P&amp;L by Bus.Unt-Serv.Unt";#N/A,#N/A,FALSE,"4-P&amp;L by Business";#N/A,#N/A,FALSE,"5-Bal_Sheet CF";#N/A,#N/A,FALSE,"6-Bal_Sheet CF by Business ";#N/A,#N/A,FALSE,"7-Sales Orders Capex";#N/A,#N/A,FALSE,"8-Headc.Funct.";#N/A,#N/A,FALSE,"9-Custom. Satisf.  #Customers";#N/A,#N/A,FALSE,"P1-Orders RevGap";#N/A,#N/A,FALSE,"P2-Sales Prospects WinLoss";#N/A,#N/A,FALSE,"P3-Detail P&amp;L";#N/A,#N/A,FALSE,"P4-GM per Product";#N/A,#N/A,FALSE,"P5-Mobile(1) ";#N/A,#N/A,FALSE,"P6-Mobile(2)";#N/A,#N/A,FALSE,"P7-Data(1)";#N/A,#N/A,FALSE,"P8-Data (2)";#N/A,#N/A,FALSE,"P9-Voice(1)";#N/A,#N/A,FALSE,"P10-Voice (2)";#N/A,#N/A,FALSE,"P11-Infraestr(1)";#N/A,#N/A,FALSE,"P12-Infraestr(2)";#N/A,#N/A,FALSE,"P13-Funding- Inter.";#N/A,#N/A,FALSE,"P14-Risk &amp; Fraud";#N/A,#N/A,FALSE,"P15-Network ";#N/A,#N/A,FALSE,"P16- Productivity";#N/A,#N/A,FALSE,"Detail P&amp;L-by BU";#N/A,#N/A,FALSE,"Detail P&amp;L-Carriers";#N/A,#N/A,FALSE,"Detail P&amp;L-Large Accounts";#N/A,#N/A,FALSE,"Detail P&amp;L-Consumer_SME";#N/A,#N/A,FALSE,"Detail P&amp;L-Networks &amp; Systems";#N/A,#N/A,FALSE,"Detail P&amp;L-ITBilling";#N/A,#N/A,FALSE,"Detail P&amp;L-Corporate";#N/A,#N/A,FALSE,"Billing &amp; IT"}</definedName>
    <definedName name="abcdmibh" localSheetId="8" hidden="1">{#N/A,"PURCHM",FALSE,"Business Analysis";#N/A,"SPADD",FALSE,"Business Analysis"}</definedName>
    <definedName name="abcdmibh" hidden="1">{#N/A,"PURCHM",FALSE,"Business Analysis";#N/A,"SPADD",FALSE,"Business Analysis"}</definedName>
    <definedName name="abcdv102" localSheetId="8" hidden="1">{#N/A,"PURCHM",FALSE,"Business Analysis";#N/A,"SPADD",FALSE,"Business Analysis"}</definedName>
    <definedName name="abcdv102" hidden="1">{#N/A,"PURCHM",FALSE,"Business Analysis";#N/A,"SPADD",FALSE,"Business Analysis"}</definedName>
    <definedName name="abcdv102d" localSheetId="8" hidden="1">{#N/A,"PURCHM",FALSE,"Business Analysis";#N/A,"SPADD",FALSE,"Business Analysis"}</definedName>
    <definedName name="abcdv102d" hidden="1">{#N/A,"PURCHM",FALSE,"Business Analysis";#N/A,"SPADD",FALSE,"Business Analysis"}</definedName>
    <definedName name="ABchart1" localSheetId="8" hidden="1">#REF!</definedName>
    <definedName name="ABchart1" hidden="1">#REF!</definedName>
    <definedName name="abchart1b" localSheetId="8" hidden="1">#REF!</definedName>
    <definedName name="abchart1b" hidden="1">#REF!</definedName>
    <definedName name="abchart2" localSheetId="8" hidden="1">#REF!</definedName>
    <definedName name="abchart2" hidden="1">#REF!</definedName>
    <definedName name="abchart23" localSheetId="8" hidden="1">#REF!</definedName>
    <definedName name="abchart23" hidden="1">#REF!</definedName>
    <definedName name="abchart3" localSheetId="8" hidden="1">#REF!</definedName>
    <definedName name="abchart3" hidden="1">#REF!</definedName>
    <definedName name="abchart4" localSheetId="8" hidden="1">#REF!</definedName>
    <definedName name="abchart4" hidden="1">#REF!</definedName>
    <definedName name="abchart4e" localSheetId="8" hidden="1">#REF!</definedName>
    <definedName name="abchart4e" hidden="1">#REF!</definedName>
    <definedName name="abchart5" localSheetId="8" hidden="1">#REF!</definedName>
    <definedName name="abchart5" hidden="1">#REF!</definedName>
    <definedName name="abchart6" localSheetId="8" hidden="1">#REF!</definedName>
    <definedName name="abchart6" hidden="1">#REF!</definedName>
    <definedName name="abchart7" localSheetId="8" hidden="1">#REF!</definedName>
    <definedName name="abchart7" hidden="1">#REF!</definedName>
    <definedName name="abchart8" localSheetId="8" hidden="1">#REF!</definedName>
    <definedName name="abchart8" hidden="1">#REF!</definedName>
    <definedName name="abci9" localSheetId="8" hidden="1">{#N/A,"PURCHM",FALSE,"Business Analysis";#N/A,"SPADD",FALSE,"Business Analysis"}</definedName>
    <definedName name="abci9" hidden="1">{#N/A,"PURCHM",FALSE,"Business Analysis";#N/A,"SPADD",FALSE,"Business Analysis"}</definedName>
    <definedName name="abci92" localSheetId="8" hidden="1">{#N/A,"PURCHM",FALSE,"Business Analysis";#N/A,"SPADD",FALSE,"Business Analysis"}</definedName>
    <definedName name="abci92" hidden="1">{#N/A,"PURCHM",FALSE,"Business Analysis";#N/A,"SPADD",FALSE,"Business Analysis"}</definedName>
    <definedName name="abcj9i" localSheetId="8" hidden="1">{"detail",#N/A,FALSE,"mfg";"summary",#N/A,FALSE,"mfg"}</definedName>
    <definedName name="abcj9i" hidden="1">{"detail",#N/A,FALSE,"mfg";"summary",#N/A,FALSE,"mfg"}</definedName>
    <definedName name="abckg" localSheetId="8" hidden="1">{#N/A,"PURCHM",FALSE,"Business Analysis";#N/A,"SPADD",FALSE,"Business Analysis"}</definedName>
    <definedName name="abckg" hidden="1">{#N/A,"PURCHM",FALSE,"Business Analysis";#N/A,"SPADD",FALSE,"Business Analysis"}</definedName>
    <definedName name="abcklg" localSheetId="8" hidden="1">{"detail",#N/A,FALSE,"mfg";"summary",#N/A,FALSE,"mfg"}</definedName>
    <definedName name="abcklg" hidden="1">{"detail",#N/A,FALSE,"mfg";"summary",#N/A,FALSE,"mfg"}</definedName>
    <definedName name="abcl96\" localSheetId="8" hidden="1">{#N/A,"PURCHM",FALSE,"Business Analysis";#N/A,"SPADD",FALSE,"Business Analysis"}</definedName>
    <definedName name="abcl96\" hidden="1">{#N/A,"PURCHM",FALSE,"Business Analysis";#N/A,"SPADD",FALSE,"Business Analysis"}</definedName>
    <definedName name="abclkj" localSheetId="8" hidden="1">{"detail",#N/A,FALSE,"mfg";"summary",#N/A,FALSE,"mfg"}</definedName>
    <definedName name="abclkj" hidden="1">{"detail",#N/A,FALSE,"mfg";"summary",#N/A,FALSE,"mfg"}</definedName>
    <definedName name="abclxs" localSheetId="8" hidden="1">{"detail",#N/A,FALSE,"mfg";"summary",#N/A,FALSE,"mfg"}</definedName>
    <definedName name="abclxs" hidden="1">{"detail",#N/A,FALSE,"mfg";"summary",#N/A,FALSE,"mfg"}</definedName>
    <definedName name="abcoi" localSheetId="8" hidden="1">{"detail",#N/A,FALSE,"mfg";"summary",#N/A,FALSE,"mfg"}</definedName>
    <definedName name="abcoi" hidden="1">{"detail",#N/A,FALSE,"mfg";"summary",#N/A,FALSE,"mfg"}</definedName>
    <definedName name="abcois" localSheetId="8" hidden="1">{"detail",#N/A,FALSE,"mfg";"summary",#N/A,FALSE,"mfg"}</definedName>
    <definedName name="abcois" hidden="1">{"detail",#N/A,FALSE,"mfg";"summary",#N/A,FALSE,"mfg"}</definedName>
    <definedName name="abd" localSheetId="8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d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ebzb" hidden="1">#REF!</definedName>
    <definedName name="abji" localSheetId="8" hidden="1">{#N/A,"PURCHM",FALSE,"Business Analysis";#N/A,"SPADD",FALSE,"Business Analysis"}</definedName>
    <definedName name="abji" hidden="1">{#N/A,"PURCHM",FALSE,"Business Analysis";#N/A,"SPADD",FALSE,"Business Analysis"}</definedName>
    <definedName name="abki9" localSheetId="8" hidden="1">{#N/A,"PURCHM",FALSE,"Business Analysis";#N/A,"SPADD",FALSE,"Business Analysis"}</definedName>
    <definedName name="abki9" hidden="1">{#N/A,"PURCHM",FALSE,"Business Analysis";#N/A,"SPADD",FALSE,"Business Analysis"}</definedName>
    <definedName name="ablo5" localSheetId="8" hidden="1">{#N/A,"PURCHM",FALSE,"Business Analysis";#N/A,"SPADD",FALSE,"Business Analysis"}</definedName>
    <definedName name="ablo5" hidden="1">{#N/A,"PURCHM",FALSE,"Business Analysis";#N/A,"SPADD",FALSE,"Business Analysis"}</definedName>
    <definedName name="ABRACADABRA" hidden="1">#REF!</definedName>
    <definedName name="ABRAHAM" localSheetId="8" hidden="1">{"'100'!$A$1:$M$83"}</definedName>
    <definedName name="ABRAHAM" hidden="1">{"'100'!$A$1:$M$83"}</definedName>
    <definedName name="abrff" localSheetId="8" hidden="1">{"werbung",#N/A,FALSE,"GuV9900-0399";"betrieb",#N/A,FALSE,"GuV9900-0399";"personal",#N/A,FALSE,"GuV9900-0399";"tvg",#N/A,FALSE,"GuV9900-0399";"verwaltung",#N/A,FALSE,"GuV9900-0399"}</definedName>
    <definedName name="abrff" hidden="1">{"werbung",#N/A,FALSE,"GuV9900-0399";"betrieb",#N/A,FALSE,"GuV9900-0399";"personal",#N/A,FALSE,"GuV9900-0399";"tvg",#N/A,FALSE,"GuV9900-0399";"verwaltung",#N/A,FALSE,"GuV9900-0399"}</definedName>
    <definedName name="abrff_1" localSheetId="8" hidden="1">{"werbung",#N/A,FALSE,"GuV9900-0399";"betrieb",#N/A,FALSE,"GuV9900-0399";"personal",#N/A,FALSE,"GuV9900-0399";"tvg",#N/A,FALSE,"GuV9900-0399";"verwaltung",#N/A,FALSE,"GuV9900-0399"}</definedName>
    <definedName name="abrff_1" hidden="1">{"werbung",#N/A,FALSE,"GuV9900-0399";"betrieb",#N/A,FALSE,"GuV9900-0399";"personal",#N/A,FALSE,"GuV9900-0399";"tvg",#N/A,FALSE,"GuV9900-0399";"verwaltung",#N/A,FALSE,"GuV9900-0399"}</definedName>
    <definedName name="Abri" hidden="1">{#N/A,#N/A,FALSE,"Resultados_is";#N/A,#N/A,FALSE,"IngresosG_is";#N/A,#N/A,FALSE,"Ingresosp_is";#N/A,#N/A,FALSE,"Financiero_is";#N/A,#N/A,FALSE,"Estructura_is";#N/A,#N/A,FALSE,"EstructuraG_is";#N/A,#N/A,FALSE,"FComercio_is";#N/A,#N/A,FALSE,"Pbeneficios_is";#N/A,#N/A,FALSE,"Gerenciamiento_is";#N/A,#N/A,FALSE,"Desinv_is"}</definedName>
    <definedName name="abril" hidden="1">#REF!</definedName>
    <definedName name="abvhjqbv" localSheetId="8" hidden="1">#REF!</definedName>
    <definedName name="abvhjqbv" hidden="1">#REF!</definedName>
    <definedName name="abz" localSheetId="8" hidden="1">{"0,0525";"0";"0";"20";"0";"0,025";"7"}</definedName>
    <definedName name="abz" hidden="1">{"0,0525";"0";"0";"20";"0";"0,025";"7"}</definedName>
    <definedName name="ac" localSheetId="8" hidden="1">{#N/A,"PURCHM",FALSE,"Business Analysis";#N/A,"SPADD",FALSE,"Business Analysis"}</definedName>
    <definedName name="ac" hidden="1">{#N/A,"PURCHM",FALSE,"Business Analysis";#N/A,"SPADD",FALSE,"Business Analysis"}</definedName>
    <definedName name="ac_1" localSheetId="8" hidden="1">{"Ergebnisbericht_UBA",#N/A,FALSE,"MB"}</definedName>
    <definedName name="ac_1" hidden="1">{"Ergebnisbericht_UBA",#N/A,FALSE,"MB"}</definedName>
    <definedName name="Access_Button" localSheetId="7" hidden="1">"ESTIMATE_XLW_Assumptions_List"</definedName>
    <definedName name="Access_Button" localSheetId="8" hidden="1">"ESTIMATE_XLW_Assumptions_List"</definedName>
    <definedName name="Access_Button" hidden="1">"Pipeline_Costing_1_Labour_RATES_List"</definedName>
    <definedName name="AccessDatabase" localSheetId="7" hidden="1">"S:\SEE\EMP\FORMS\ESTIMATE.mdb"</definedName>
    <definedName name="AccessDatabase" localSheetId="8" hidden="1">"C:\ncux\bud\rms_inv.mdb"</definedName>
    <definedName name="AccessDatabase" hidden="1">"C:\Grupo Playcenter\Pmpsv_SA\Despesas_Corporativas\2002_06_Desp_Corp.mdb"</definedName>
    <definedName name="AccessOpt" hidden="1">"Yes"</definedName>
    <definedName name="accs" localSheetId="8" hidden="1">{"detail",#N/A,FALSE,"mfg";"summary",#N/A,FALSE,"mfg"}</definedName>
    <definedName name="accs" hidden="1">{"detail",#N/A,FALSE,"mfg";"summary",#N/A,FALSE,"mfg"}</definedName>
    <definedName name="acfullyear" localSheetId="8" hidden="1">{#N/A,#N/A,FALSE,"Summary (Target)";#N/A,#N/A,FALSE,"Extnl Targets  Var";#N/A,#N/A,FALSE,"Total Revenue Analysis";#N/A,#N/A,FALSE,"Total Revenue by Products";#N/A,#N/A,FALSE,"OOC External Analysis";#N/A,#N/A,FALSE,"OOC External by Products";#N/A,#N/A,FALSE,"Joint Ventures"}</definedName>
    <definedName name="acfullyear" hidden="1">{#N/A,#N/A,FALSE,"Summary (Target)";#N/A,#N/A,FALSE,"Extnl Targets  Var";#N/A,#N/A,FALSE,"Total Revenue Analysis";#N/A,#N/A,FALSE,"Total Revenue by Products";#N/A,#N/A,FALSE,"OOC External Analysis";#N/A,#N/A,FALSE,"OOC External by Products";#N/A,#N/A,FALSE,"Joint Ventures"}</definedName>
    <definedName name="achart2" localSheetId="8" hidden="1">#REF!</definedName>
    <definedName name="achart2" hidden="1">#REF!</definedName>
    <definedName name="achart3" localSheetId="8" hidden="1">#REF!</definedName>
    <definedName name="achart3" hidden="1">#REF!</definedName>
    <definedName name="achart4" localSheetId="8" hidden="1">#REF!</definedName>
    <definedName name="achart4" hidden="1">#REF!</definedName>
    <definedName name="achart5" hidden="1">#REF!</definedName>
    <definedName name="acm" localSheetId="8" hidden="1">{"'100'!$A$1:$M$83"}</definedName>
    <definedName name="acm" hidden="1">{"'100'!$A$1:$M$83"}</definedName>
    <definedName name="ACOMPLIA" hidden="1">#REF!</definedName>
    <definedName name="act" localSheetId="8" hidden="1">{"tableau a",#N/A,FALSE,"Feuil3";"tableau b",#N/A,FALSE,"Feuil3"}</definedName>
    <definedName name="act" hidden="1">{"tableau a",#N/A,FALSE,"Feuil3";"tableau b",#N/A,FALSE,"Feuil3"}</definedName>
    <definedName name="actionplan" localSheetId="8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actionplan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ACTONEL" hidden="1">#REF!</definedName>
    <definedName name="acts" localSheetId="8" hidden="1">{"tableau a",#N/A,FALSE,"Feuil3";"tableau b",#N/A,FALSE,"Feuil3"}</definedName>
    <definedName name="acts" hidden="1">{"tableau a",#N/A,FALSE,"Feuil3";"tableau b",#N/A,FALSE,"Feuil3"}</definedName>
    <definedName name="actu" localSheetId="8" hidden="1">{"tableau a",#N/A,FALSE,"Feuil3";"tableau b",#N/A,FALSE,"Feuil3"}</definedName>
    <definedName name="actu" hidden="1">{"tableau a",#N/A,FALSE,"Feuil3";"tableau b",#N/A,FALSE,"Feuil3"}</definedName>
    <definedName name="actua" localSheetId="8" hidden="1">{"tableau a",#N/A,FALSE,"Feuil3";"tableau b",#N/A,FALSE,"Feuil3"}</definedName>
    <definedName name="actua" hidden="1">{"tableau a",#N/A,FALSE,"Feuil3";"tableau b",#N/A,FALSE,"Feuil3"}</definedName>
    <definedName name="actual" localSheetId="8" hidden="1">{"tableau a",#N/A,FALSE,"Feuil3";"tableau b",#N/A,FALSE,"Feuil3"}</definedName>
    <definedName name="actual" hidden="1">{"tableau a",#N/A,FALSE,"Feuil3";"tableau b",#N/A,FALSE,"Feuil3"}</definedName>
    <definedName name="ACwvu.Ausgabe." hidden="1">#REF!</definedName>
    <definedName name="ACwvu.CE_BF_AG." hidden="1">#REF!</definedName>
    <definedName name="ACwvu.CE_BF_MGD." hidden="1">#REF!</definedName>
    <definedName name="ACwvu.CE_BF_RICLASS." hidden="1">#REF!</definedName>
    <definedName name="ACwvu.ce_storici." hidden="1">#REF!</definedName>
    <definedName name="ACwvu.dd." hidden="1">#REF!</definedName>
    <definedName name="ACwvu.Eingabe." hidden="1">#REF!</definedName>
    <definedName name="ACwvu.Extracommissioni." hidden="1">#REF!</definedName>
    <definedName name="ACwvu.FASE1_BUDGET." hidden="1">#REF!</definedName>
    <definedName name="ACwvu.FASE1_PREC." hidden="1">#REF!</definedName>
    <definedName name="ACwvu.FASE1_REVBUDGET." hidden="1">#REF!</definedName>
    <definedName name="ACwvu.FASE2_BUDGET." hidden="1">#REF!</definedName>
    <definedName name="ACwvu.FASE2_PREC." hidden="1">#REF!</definedName>
    <definedName name="ACwvu.FASE2_REVBUDGET." hidden="1">#REF!</definedName>
    <definedName name="ACwvu.FASE3_BUDGET." hidden="1">#REF!</definedName>
    <definedName name="ACwvu.FASE3_PREC." hidden="1">#REF!</definedName>
    <definedName name="ACwvu.FASE3_REVBUDGET." hidden="1">#REF!</definedName>
    <definedName name="ACwvu.FASE4_BUDGET." hidden="1">#REF!</definedName>
    <definedName name="ACwvu.FASE4_PREC." hidden="1">#REF!</definedName>
    <definedName name="ACwvu.FASE4_REVBUDGET." hidden="1">#REF!</definedName>
    <definedName name="ACwvu.FASI_RIEPILOGO_BUDGET." hidden="1">#REF!</definedName>
    <definedName name="ACwvu.FASI_RIEPILOGO_PREC." hidden="1">#REF!</definedName>
    <definedName name="ACwvu.FASI_RIEPILOGO_REVBUDGET." hidden="1">#REF!</definedName>
    <definedName name="ACwvu.IMPOSTE_BF." hidden="1">#REF!</definedName>
    <definedName name="ACwvu.inputs._.raw._.data." hidden="1">#REF!</definedName>
    <definedName name="ACwvu.MDC1." hidden="1">#REF!</definedName>
    <definedName name="ACwvu.MDC2." hidden="1">#REF!</definedName>
    <definedName name="ACwvu.MDC3." hidden="1">#REF!</definedName>
    <definedName name="ACwvu.MDC4." hidden="1">#REF!</definedName>
    <definedName name="ACwvu.Page4." hidden="1">#REF!</definedName>
    <definedName name="ACwvu.PREC_CE_BF_AREE_GEST." hidden="1">#REF!</definedName>
    <definedName name="ACwvu.PREC_CE_BF_MGD." hidden="1">#REF!</definedName>
    <definedName name="ACwvu.PREC_CE_BF_UTILE." hidden="1">#REF!</definedName>
    <definedName name="ACwvu.RACC_IMP." hidden="1">#REF!</definedName>
    <definedName name="ACwvu.REV_DIV." hidden="1">#REF!</definedName>
    <definedName name="ACwvu.RIEPILOGOFASI_BUDGET." hidden="1">#REF!</definedName>
    <definedName name="ACwvu.Servizi_bancari." hidden="1">#REF!</definedName>
    <definedName name="ACwvu.Servizi_finanziari." hidden="1">#REF!</definedName>
    <definedName name="ACwvu.summary1." hidden="1">#REF!</definedName>
    <definedName name="ACwvu.summary2." hidden="1">#REF!</definedName>
    <definedName name="ACwvu.summary3." hidden="1">#REF!</definedName>
    <definedName name="ad" localSheetId="8" hidden="1">{"Ergebnisbericht_UBA",#N/A,FALSE,"MB"}</definedName>
    <definedName name="ad" hidden="1">{"Ergebnisbericht_UBA",#N/A,FALSE,"MB"}</definedName>
    <definedName name="ad_1" localSheetId="8" hidden="1">{"Ergebnisbericht_UBA",#N/A,FALSE,"MB"}</definedName>
    <definedName name="ad_1" hidden="1">{"Ergebnisbericht_UBA",#N/A,FALSE,"MB"}</definedName>
    <definedName name="adaa" hidden="1">{#N/A,#N/A,FALSE,"CA";#N/A,#N/A,FALSE,"CN";#N/A,#N/A,FALSE,"Inv";#N/A,#N/A,FALSE,"Inv Acc";"Miguel_balance",#N/A,FALSE,"Bal";#N/A,#N/A,FALSE,"Plantilla";#N/A,#N/A,FALSE,"CA (2)";#N/A,#N/A,FALSE,"CN (2)"}</definedName>
    <definedName name="ADAD" localSheetId="8" hidden="1">{#N/A,#N/A,FALSE,"Adm comp";#N/A,#N/A,FALSE,"Adm ajust";"adm",#N/A,FALSE,"Administration";#N/A,#N/A,FALSE,"Adm Bgt 97 vs Prév. 96";#N/A,#N/A,FALSE,"Adm Bgt 97 vs 96"}</definedName>
    <definedName name="ADAD" hidden="1">{#N/A,#N/A,FALSE,"Adm comp";#N/A,#N/A,FALSE,"Adm ajust";"adm",#N/A,FALSE,"Administration";#N/A,#N/A,FALSE,"Adm Bgt 97 vs Prév. 96";#N/A,#N/A,FALSE,"Adm Bgt 97 vs 96"}</definedName>
    <definedName name="adadad" localSheetId="8" hidden="1">{"EVA",#N/A,FALSE,"SMT2";#N/A,#N/A,FALSE,"Summary";#N/A,#N/A,FALSE,"Graphs";#N/A,#N/A,FALSE,"4 Panel"}</definedName>
    <definedName name="adadad" hidden="1">{"EVA",#N/A,FALSE,"SMT2";#N/A,#N/A,FALSE,"Summary";#N/A,#N/A,FALSE,"Graphs";#N/A,#N/A,FALSE,"4 Panel"}</definedName>
    <definedName name="adasd" localSheetId="8" hidden="1">{#N/A,#N/A,FALSE,"KA CH  (2)"}</definedName>
    <definedName name="adasd" hidden="1">#REF!</definedName>
    <definedName name="adb" localSheetId="8" hidden="1">{#N/A,#N/A,TRUE,"Voorblad";#N/A,#N/A,TRUE,"Table of Content A";#N/A,#N/A,TRUE,"A1-Summ- Key Figures";#N/A,#N/A,TRUE,"A2-Summ Month Man";#N/A,#N/A,TRUE,"A3-P&amp;L by Bus.Unt-Serv.Unt";#N/A,#N/A,TRUE,"A4-P&amp;L by Old org.";#N/A,#N/A,TRUE,"A6-Bal_Sheet CF by Old org. ";#N/A,#N/A,TRUE,"A8-Headc.Funct."}</definedName>
    <definedName name="adb" hidden="1">{#N/A,#N/A,TRUE,"Voorblad";#N/A,#N/A,TRUE,"Table of Content A";#N/A,#N/A,TRUE,"A1-Summ- Key Figures";#N/A,#N/A,TRUE,"A2-Summ Month Man";#N/A,#N/A,TRUE,"A3-P&amp;L by Bus.Unt-Serv.Unt";#N/A,#N/A,TRUE,"A4-P&amp;L by Old org.";#N/A,#N/A,TRUE,"A6-Bal_Sheet CF by Old org. ";#N/A,#N/A,TRUE,"A8-Headc.Funct."}</definedName>
    <definedName name="adc" localSheetId="8" hidden="1">{#N/A,"PURCHM",FALSE,"Business Analysis";#N/A,"SPADD",FALSE,"Business Analysis"}</definedName>
    <definedName name="adc" hidden="1">{#N/A,"PURCHM",FALSE,"Business Analysis";#N/A,"SPADD",FALSE,"Business Analysis"}</definedName>
    <definedName name="ADDAF" hidden="1">{#N/A,#N/A,FALSE,"CA";#N/A,#N/A,FALSE,"CN";#N/A,#N/A,FALSE,"Inv";#N/A,#N/A,FALSE,"Inv Acc";"Miguel_balance",#N/A,FALSE,"Bal";#N/A,#N/A,FALSE,"Plantilla";#N/A,#N/A,FALSE,"CA (2)";#N/A,#N/A,FALSE,"CN (2)"}</definedName>
    <definedName name="addb" localSheetId="8" hidden="1">{#N/A,#N/A,FALSE,"CBE";#N/A,#N/A,FALSE,"SWK"}</definedName>
    <definedName name="addb" hidden="1">{#N/A,#N/A,FALSE,"CBE";#N/A,#N/A,FALSE,"SWK"}</definedName>
    <definedName name="addb_1" localSheetId="8" hidden="1">{#N/A,#N/A,FALSE,"CBE";#N/A,#N/A,FALSE,"SWK"}</definedName>
    <definedName name="addb_1" hidden="1">{#N/A,#N/A,FALSE,"CBE";#N/A,#N/A,FALSE,"SWK"}</definedName>
    <definedName name="addg" localSheetId="8" hidden="1">{#N/A,#N/A,FALSE,"CBE";#N/A,#N/A,FALSE,"SWK"}</definedName>
    <definedName name="addg" hidden="1">{#N/A,#N/A,FALSE,"CBE";#N/A,#N/A,FALSE,"SWK"}</definedName>
    <definedName name="addg_1" localSheetId="8" hidden="1">{#N/A,#N/A,FALSE,"CBE";#N/A,#N/A,FALSE,"SWK"}</definedName>
    <definedName name="addg_1" hidden="1">{#N/A,#N/A,FALSE,"CBE";#N/A,#N/A,FALSE,"SWK"}</definedName>
    <definedName name="ADETRUIRE" localSheetId="8" hidden="1">{#N/A,#N/A,TRUE,"Forecast &amp; Analysis";#N/A,#N/A,TRUE,"Market Values";#N/A,#N/A,TRUE,"Ratios";#N/A,#N/A,TRUE,"Regressions";#N/A,#N/A,TRUE,"Market Values";#N/A,#N/A,TRUE,"Parameters &amp; Results"}</definedName>
    <definedName name="ADETRUIRE" hidden="1">{#N/A,#N/A,TRUE,"Forecast &amp; Analysis";#N/A,#N/A,TRUE,"Market Values";#N/A,#N/A,TRUE,"Ratios";#N/A,#N/A,TRUE,"Regressions";#N/A,#N/A,TRUE,"Market Values";#N/A,#N/A,TRUE,"Parameters &amp; Results"}</definedName>
    <definedName name="adf" localSheetId="8" hidden="1">{#N/A,#N/A,FALSE,"CHANGES";#N/A,#N/A,FALSE,"PROD SUMMARY";#N/A,#N/A,FALSE,"1995 PO SUM";#N/A,#N/A,FALSE,"1995 GEOG SUM";#N/A,#N/A,FALSE,"1996 PO SUM";#N/A,#N/A,FALSE,"1996 GEOG SUM"}</definedName>
    <definedName name="ADF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dfd" localSheetId="8" hidden="1">{"sales growth",#N/A,FALSE,"summary";"oper income",#N/A,FALSE,"summary";"oros rank",#N/A,FALSE,"summary";"net assets",#N/A,FALSE,"summary";"asset turnover",#N/A,FALSE,"summary";"orona",#N/A,FALSE,"summary"}</definedName>
    <definedName name="adfd" hidden="1">{"sales growth",#N/A,FALSE,"summary";"oper income",#N/A,FALSE,"summary";"oros rank",#N/A,FALSE,"summary";"net assets",#N/A,FALSE,"summary";"asset turnover",#N/A,FALSE,"summary";"orona",#N/A,FALSE,"summary"}</definedName>
    <definedName name="adff" localSheetId="8" hidden="1">{"werbung",#N/A,FALSE,"GuV9900-0399";"betrieb",#N/A,FALSE,"GuV9900-0399";"personal",#N/A,FALSE,"GuV9900-0399";"tvg",#N/A,FALSE,"GuV9900-0399";"verwaltung",#N/A,FALSE,"GuV9900-0399"}</definedName>
    <definedName name="adff" hidden="1">{"werbung",#N/A,FALSE,"GuV9900-0399";"betrieb",#N/A,FALSE,"GuV9900-0399";"personal",#N/A,FALSE,"GuV9900-0399";"tvg",#N/A,FALSE,"GuV9900-0399";"verwaltung",#N/A,FALSE,"GuV9900-0399"}</definedName>
    <definedName name="adff_1" localSheetId="8" hidden="1">{"werbung",#N/A,FALSE,"GuV9900-0399";"betrieb",#N/A,FALSE,"GuV9900-0399";"personal",#N/A,FALSE,"GuV9900-0399";"tvg",#N/A,FALSE,"GuV9900-0399";"verwaltung",#N/A,FALSE,"GuV9900-0399"}</definedName>
    <definedName name="adff_1" hidden="1">{"werbung",#N/A,FALSE,"GuV9900-0399";"betrieb",#N/A,FALSE,"GuV9900-0399";"personal",#N/A,FALSE,"GuV9900-0399";"tvg",#N/A,FALSE,"GuV9900-0399";"verwaltung",#N/A,FALSE,"GuV9900-0399"}</definedName>
    <definedName name="adfgadag" localSheetId="8" hidden="1">{#N/A,#N/A,FALSE,"Calc";#N/A,#N/A,FALSE,"Sensitivity";#N/A,#N/A,FALSE,"LT Earn.Dil.";#N/A,#N/A,FALSE,"Dil. AVP"}</definedName>
    <definedName name="adfgadag" hidden="1">{#N/A,#N/A,FALSE,"Calc";#N/A,#N/A,FALSE,"Sensitivity";#N/A,#N/A,FALSE,"LT Earn.Dil.";#N/A,#N/A,FALSE,"Dil. AVP"}</definedName>
    <definedName name="adfgadag_1" localSheetId="8" hidden="1">{#N/A,#N/A,FALSE,"Calc";#N/A,#N/A,FALSE,"Sensitivity";#N/A,#N/A,FALSE,"LT Earn.Dil.";#N/A,#N/A,FALSE,"Dil. AVP"}</definedName>
    <definedName name="adfgadag_1" hidden="1">{#N/A,#N/A,FALSE,"Calc";#N/A,#N/A,FALSE,"Sensitivity";#N/A,#N/A,FALSE,"LT Earn.Dil.";#N/A,#N/A,FALSE,"Dil. AVP"}</definedName>
    <definedName name="adfgadg" localSheetId="8" hidden="1">{"comps",#N/A,FALSE,"HANDPACK";"footnotes",#N/A,FALSE,"HANDPACK"}</definedName>
    <definedName name="adfgadg" hidden="1">{"comps",#N/A,FALSE,"HANDPACK";"footnotes",#N/A,FALSE,"HANDPACK"}</definedName>
    <definedName name="adfgadg_1" localSheetId="8" hidden="1">{"comps",#N/A,FALSE,"HANDPACK";"footnotes",#N/A,FALSE,"HANDPACK"}</definedName>
    <definedName name="adfgadg_1" hidden="1">{"comps",#N/A,FALSE,"HANDPACK";"footnotes",#N/A,FALSE,"HANDPACK"}</definedName>
    <definedName name="adfgadga" localSheetId="8" hidden="1">{#N/A,#N/A,FALSE,"Calc";#N/A,#N/A,FALSE,"Sensitivity";#N/A,#N/A,FALSE,"LT Earn.Dil.";#N/A,#N/A,FALSE,"Dil. AVP"}</definedName>
    <definedName name="adfgadga" hidden="1">{#N/A,#N/A,FALSE,"Calc";#N/A,#N/A,FALSE,"Sensitivity";#N/A,#N/A,FALSE,"LT Earn.Dil.";#N/A,#N/A,FALSE,"Dil. AVP"}</definedName>
    <definedName name="adfgadga_1" localSheetId="8" hidden="1">{#N/A,#N/A,FALSE,"Calc";#N/A,#N/A,FALSE,"Sensitivity";#N/A,#N/A,FALSE,"LT Earn.Dil.";#N/A,#N/A,FALSE,"Dil. AVP"}</definedName>
    <definedName name="adfgadga_1" hidden="1">{#N/A,#N/A,FALSE,"Calc";#N/A,#N/A,FALSE,"Sensitivity";#N/A,#N/A,FALSE,"LT Earn.Dil.";#N/A,#N/A,FALSE,"Dil. AVP"}</definedName>
    <definedName name="adfgadgadg" localSheetId="8" hidden="1">{"assumption 50 50",#N/A,TRUE,"Merger";"has gets cash",#N/A,TRUE,"Merger";"accretion dilution",#N/A,TRUE,"Merger";"comparison credit stats",#N/A,TRUE,"Merger";"pf credit stats",#N/A,TRUE,"Merger";"pf sheets",#N/A,TRUE,"Merger"}</definedName>
    <definedName name="adfgadgadg" hidden="1">{"assumption 50 50",#N/A,TRUE,"Merger";"has gets cash",#N/A,TRUE,"Merger";"accretion dilution",#N/A,TRUE,"Merger";"comparison credit stats",#N/A,TRUE,"Merger";"pf credit stats",#N/A,TRUE,"Merger";"pf sheets",#N/A,TRUE,"Merger"}</definedName>
    <definedName name="adfgadgadg_1" localSheetId="8" hidden="1">{"assumption 50 50",#N/A,TRUE,"Merger";"has gets cash",#N/A,TRUE,"Merger";"accretion dilution",#N/A,TRUE,"Merger";"comparison credit stats",#N/A,TRUE,"Merger";"pf credit stats",#N/A,TRUE,"Merger";"pf sheets",#N/A,TRUE,"Merger"}</definedName>
    <definedName name="adfgadgadg_1" hidden="1">{"assumption 50 50",#N/A,TRUE,"Merger";"has gets cash",#N/A,TRUE,"Merger";"accretion dilution",#N/A,TRUE,"Merger";"comparison credit stats",#N/A,TRUE,"Merger";"pf credit stats",#N/A,TRUE,"Merger";"pf sheets",#N/A,TRUE,"Merger"}</definedName>
    <definedName name="adfgasdysty" localSheetId="7" hidden="1">{#N/A,#N/A,FALSE,"REPORT"}</definedName>
    <definedName name="adfgasdysty" localSheetId="8" hidden="1">{#N/A,#N/A,FALSE,"REPORT"}</definedName>
    <definedName name="adfgasdysty" hidden="1">{#N/A,#N/A,FALSE,"REPORT"}</definedName>
    <definedName name="adfgdag" localSheetId="8" hidden="1">{#N/A,#N/A,TRUE,"Pro Forma";#N/A,#N/A,TRUE,"PF_Bal";#N/A,#N/A,TRUE,"PF_INC";#N/A,#N/A,TRUE,"CBE";#N/A,#N/A,TRUE,"SWK"}</definedName>
    <definedName name="adfgdag" hidden="1">{#N/A,#N/A,TRUE,"Pro Forma";#N/A,#N/A,TRUE,"PF_Bal";#N/A,#N/A,TRUE,"PF_INC";#N/A,#N/A,TRUE,"CBE";#N/A,#N/A,TRUE,"SWK"}</definedName>
    <definedName name="adfgdag_1" localSheetId="8" hidden="1">{#N/A,#N/A,TRUE,"Pro Forma";#N/A,#N/A,TRUE,"PF_Bal";#N/A,#N/A,TRUE,"PF_INC";#N/A,#N/A,TRUE,"CBE";#N/A,#N/A,TRUE,"SWK"}</definedName>
    <definedName name="adfgdag_1" hidden="1">{#N/A,#N/A,TRUE,"Pro Forma";#N/A,#N/A,TRUE,"PF_Bal";#N/A,#N/A,TRUE,"PF_INC";#N/A,#N/A,TRUE,"CBE";#N/A,#N/A,TRUE,"SWK"}</definedName>
    <definedName name="adfgdgdag" localSheetId="8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adfgdgdag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adfgdgdag_1" localSheetId="8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adfgdgdag_1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adfgfg" localSheetId="8" hidden="1">{#N/A,#N/A,FALSE,"Calc";#N/A,#N/A,FALSE,"Sensitivity";#N/A,#N/A,FALSE,"LT Earn.Dil.";#N/A,#N/A,FALSE,"Dil. AVP"}</definedName>
    <definedName name="adfgfg" hidden="1">{#N/A,#N/A,FALSE,"Calc";#N/A,#N/A,FALSE,"Sensitivity";#N/A,#N/A,FALSE,"LT Earn.Dil.";#N/A,#N/A,FALSE,"Dil. AVP"}</definedName>
    <definedName name="adfgfg_1" localSheetId="8" hidden="1">{#N/A,#N/A,FALSE,"Calc";#N/A,#N/A,FALSE,"Sensitivity";#N/A,#N/A,FALSE,"LT Earn.Dil.";#N/A,#N/A,FALSE,"Dil. AVP"}</definedName>
    <definedName name="adfgfg_1" hidden="1">{#N/A,#N/A,FALSE,"Calc";#N/A,#N/A,FALSE,"Sensitivity";#N/A,#N/A,FALSE,"LT Earn.Dil.";#N/A,#N/A,FALSE,"Dil. AVP"}</definedName>
    <definedName name="adfsfjfjky" localSheetId="7" hidden="1">{#N/A,#N/A,FALSE,"REPORT"}</definedName>
    <definedName name="adfsfjfjky" localSheetId="8" hidden="1">{#N/A,#N/A,FALSE,"REPORT"}</definedName>
    <definedName name="adfsfjfjky" hidden="1">{#N/A,#N/A,FALSE,"REPORT"}</definedName>
    <definedName name="adg" localSheetId="8" hidden="1">{"'Sheet1'!$A$1:$O$40"}</definedName>
    <definedName name="adg" hidden="1">{"'Sheet1'!$A$1:$O$40"}</definedName>
    <definedName name="adgfgd" localSheetId="8" hidden="1">{"detail",#N/A,FALSE,"mfg";"summary",#N/A,FALSE,"mfg"}</definedName>
    <definedName name="adgfgd" hidden="1">{"detail",#N/A,FALSE,"mfg";"summary",#N/A,FALSE,"mfg"}</definedName>
    <definedName name="adjnb" localSheetId="8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adjn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adkjbn" localSheetId="8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adkjbn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ADM_1" hidden="1">"ADM_CODE1001"</definedName>
    <definedName name="ADM_10" hidden="1">"ADM_CODE1010"</definedName>
    <definedName name="ADM_100" hidden="1">"ADM_CODE1264"</definedName>
    <definedName name="ADM_101" hidden="1">"ADM_CODE1266"</definedName>
    <definedName name="ADM_102" hidden="1">"ADM_CODE1270"</definedName>
    <definedName name="ADM_103" hidden="1">"ADM_CODE1272"</definedName>
    <definedName name="ADM_11" hidden="1">"ADM_CODE1011"</definedName>
    <definedName name="ADM_12" hidden="1">"ADM_CODE1015"</definedName>
    <definedName name="ADM_13" hidden="1">"ADM_CODE1016"</definedName>
    <definedName name="ADM_14" hidden="1">"ADM_CODE1017"</definedName>
    <definedName name="ADM_15" hidden="1">"ADM_CODE1018"</definedName>
    <definedName name="ADM_16" hidden="1">"ADM_CODE1019"</definedName>
    <definedName name="ADM_17" hidden="1">"ADM_CODE1021"</definedName>
    <definedName name="ADM_18" hidden="1">"ADM_CODE1022"</definedName>
    <definedName name="ADM_19" hidden="1">"ADM_CODE1023"</definedName>
    <definedName name="ADM_2" hidden="1">"ADM_CODE1002"</definedName>
    <definedName name="ADM_20" hidden="1">"ADM_CODE1024"</definedName>
    <definedName name="ADM_21" hidden="1">"ADM_CODE1026"</definedName>
    <definedName name="ADM_22" hidden="1">"ADM_CODE1040"</definedName>
    <definedName name="ADM_23" hidden="1">"ADM_CODE1041"</definedName>
    <definedName name="ADM_24" hidden="1">"ADM_CODE1045"</definedName>
    <definedName name="ADM_25" hidden="1">"ADM_CODE1050"</definedName>
    <definedName name="ADM_26" hidden="1">"ADM_CODE1052"</definedName>
    <definedName name="ADM_27" hidden="1">"ADM_CODE1054"</definedName>
    <definedName name="ADM_28" hidden="1">"ADM_CODE1055"</definedName>
    <definedName name="ADM_29" hidden="1">"ADM_CODE1056"</definedName>
    <definedName name="ADM_3" hidden="1">"ADM_CODE1003"</definedName>
    <definedName name="ADM_30" hidden="1">"ADM_CODE1057"</definedName>
    <definedName name="ADM_31" hidden="1">"ADM_CODE1058"</definedName>
    <definedName name="ADM_32" hidden="1">"ADM_CODE1059"</definedName>
    <definedName name="ADM_33" hidden="1">"ADM_CODE1060"</definedName>
    <definedName name="ADM_34" hidden="1">"ADM_CODE1064"</definedName>
    <definedName name="ADM_35" hidden="1">"ADM_CODE1066"</definedName>
    <definedName name="ADM_36" hidden="1">"ADM_CODE1070"</definedName>
    <definedName name="ADM_37" hidden="1">"ADM_CODE1072"</definedName>
    <definedName name="ADM_38" hidden="1">"ADM_CODE1110"</definedName>
    <definedName name="ADM_39" hidden="1">"ADM_CODE1111"</definedName>
    <definedName name="ADM_4" hidden="1">"ADM_CODE1004"</definedName>
    <definedName name="ADM_40" hidden="1">"ADM_CODE1116"</definedName>
    <definedName name="ADM_41" hidden="1">"ADM_CODE1117"</definedName>
    <definedName name="ADM_42" hidden="1">"ADM_CODE1118"</definedName>
    <definedName name="ADM_43" hidden="1">"ADM_CODE1119"</definedName>
    <definedName name="ADM_44" hidden="1">"ADM_CODE1121"</definedName>
    <definedName name="ADM_45" hidden="1">"ADM_CODE1122"</definedName>
    <definedName name="ADM_46" hidden="1">"ADM_CODE1123"</definedName>
    <definedName name="ADM_47" hidden="1">"ADM_CODE1124"</definedName>
    <definedName name="ADM_48" hidden="1">"ADM_CODE1126"</definedName>
    <definedName name="ADM_49" hidden="1">"ADM_CODE1140"</definedName>
    <definedName name="ADM_5" hidden="1">"ADM_CODE1005"</definedName>
    <definedName name="ADM_50" hidden="1">"ADM_CODE1141"</definedName>
    <definedName name="ADM_51" hidden="1">"ADM_CODE1145"</definedName>
    <definedName name="ADM_52" hidden="1">"ADM_CODE1146"</definedName>
    <definedName name="ADM_53" hidden="1">"ADM_CODE1150"</definedName>
    <definedName name="ADM_54" hidden="1">"ADM_CODE1152"</definedName>
    <definedName name="ADM_55" hidden="1">"ADM_CODE1154"</definedName>
    <definedName name="ADM_56" hidden="1">"ADM_CODE1155"</definedName>
    <definedName name="ADM_57" hidden="1">"ADM_CODE1156"</definedName>
    <definedName name="ADM_58" hidden="1">"ADM_CODE1201"</definedName>
    <definedName name="ADM_59" hidden="1">"ADM_CODE1202"</definedName>
    <definedName name="ADM_6" hidden="1">"ADM_CODE1006"</definedName>
    <definedName name="ADM_60" hidden="1">"ADM_CODE1203"</definedName>
    <definedName name="ADM_61" hidden="1">"ADM_CODE1204"</definedName>
    <definedName name="ADM_62" hidden="1">"ADM_CODE1205"</definedName>
    <definedName name="ADM_63" hidden="1">"ADM_CODE1206"</definedName>
    <definedName name="ADM_64" hidden="1">"ADM_CODE1206A"</definedName>
    <definedName name="ADM_65" hidden="1">"ADM_CODE1206B"</definedName>
    <definedName name="ADM_66" hidden="1">"ADM_CODE1206C"</definedName>
    <definedName name="ADM_67" hidden="1">"ADM_CODE1206E"</definedName>
    <definedName name="ADM_68" hidden="1">"ADM_CODE1206G"</definedName>
    <definedName name="ADM_69" hidden="1">"ADM_CODE1206H"</definedName>
    <definedName name="ADM_7" hidden="1">"ADM_CODE1007"</definedName>
    <definedName name="ADM_70" hidden="1">"ADM_CODE1207"</definedName>
    <definedName name="ADM_71" hidden="1">"ADM_CODE1208"</definedName>
    <definedName name="ADM_72" hidden="1">"ADM_CODE1209"</definedName>
    <definedName name="ADM_73" hidden="1">"ADM_CODE1210"</definedName>
    <definedName name="ADM_74" hidden="1">"ADM_CODE1211"</definedName>
    <definedName name="ADM_75" hidden="1">"ADM_CODE1216"</definedName>
    <definedName name="ADM_76" hidden="1">"ADM_CODE1217"</definedName>
    <definedName name="ADM_77" hidden="1">"ADM_CODE1218"</definedName>
    <definedName name="ADM_78" hidden="1">"ADM_CODE1219"</definedName>
    <definedName name="ADM_79" hidden="1">"ADM_CODE1221"</definedName>
    <definedName name="ADM_8" hidden="1">"ADM_CODE1008"</definedName>
    <definedName name="ADM_80" hidden="1">"ADM_CODE1222"</definedName>
    <definedName name="ADM_81" hidden="1">"ADM_CODE1223"</definedName>
    <definedName name="ADM_82" hidden="1">"ADM_CODE1224"</definedName>
    <definedName name="ADM_83" hidden="1">"ADM_CODE1226"</definedName>
    <definedName name="ADM_84" hidden="1">"ADM_CODE1229"</definedName>
    <definedName name="ADM_85" hidden="1">"ADM_CODE1239"</definedName>
    <definedName name="ADM_86" hidden="1">"ADM_CODE1240"</definedName>
    <definedName name="ADM_87" hidden="1">"ADM_CODE1241"</definedName>
    <definedName name="ADM_88" hidden="1">"ADM_CODE1245"</definedName>
    <definedName name="ADM_89" hidden="1">"ADM_CODE1246"</definedName>
    <definedName name="ADM_9" hidden="1">"ADM_CODE1009"</definedName>
    <definedName name="ADM_90" hidden="1">"ADM_CODE1250"</definedName>
    <definedName name="ADM_91" hidden="1">"ADM_CODE1252"</definedName>
    <definedName name="ADM_92" hidden="1">"ADM_CODE1254"</definedName>
    <definedName name="ADM_93" hidden="1">"ADM_CODE1255"</definedName>
    <definedName name="ADM_94" hidden="1">"ADM_CODE1256"</definedName>
    <definedName name="ADM_95" hidden="1">"ADM_CODE1257"</definedName>
    <definedName name="ADM_96" hidden="1">"ADM_CODE1258"</definedName>
    <definedName name="ADM_97" hidden="1">"ADM_CODE1259"</definedName>
    <definedName name="ADM_98" hidden="1">"ADM_CODE1260"</definedName>
    <definedName name="ADM_99" hidden="1">"ADM_CODE1263"</definedName>
    <definedName name="ADM_boekee_ADM_PRF_1" hidden="1">TRUE</definedName>
    <definedName name="ADM_boekee_ADM_PRF_10" hidden="1">TRUE</definedName>
    <definedName name="ADM_boekee_ADM_PRF_100" hidden="1">TRUE</definedName>
    <definedName name="ADM_boekee_ADM_PRF_101" hidden="1">TRUE</definedName>
    <definedName name="ADM_boekee_ADM_PRF_102" hidden="1">TRUE</definedName>
    <definedName name="ADM_boekee_ADM_PRF_103" hidden="1">TRUE</definedName>
    <definedName name="ADM_boekee_ADM_PRF_11" hidden="1">TRUE</definedName>
    <definedName name="ADM_boekee_ADM_PRF_12" hidden="1">TRUE</definedName>
    <definedName name="ADM_boekee_ADM_PRF_13" hidden="1">TRUE</definedName>
    <definedName name="ADM_boekee_ADM_PRF_14" hidden="1">TRUE</definedName>
    <definedName name="ADM_boekee_ADM_PRF_15" hidden="1">TRUE</definedName>
    <definedName name="ADM_boekee_ADM_PRF_16" hidden="1">TRUE</definedName>
    <definedName name="ADM_boekee_ADM_PRF_17" hidden="1">TRUE</definedName>
    <definedName name="ADM_boekee_ADM_PRF_18" hidden="1">TRUE</definedName>
    <definedName name="ADM_boekee_ADM_PRF_19" hidden="1">TRUE</definedName>
    <definedName name="ADM_boekee_ADM_PRF_2" hidden="1">TRUE</definedName>
    <definedName name="ADM_boekee_ADM_PRF_20" hidden="1">TRUE</definedName>
    <definedName name="ADM_boekee_ADM_PRF_21" hidden="1">TRUE</definedName>
    <definedName name="ADM_boekee_ADM_PRF_22" hidden="1">TRUE</definedName>
    <definedName name="ADM_boekee_ADM_PRF_23" hidden="1">TRUE</definedName>
    <definedName name="ADM_boekee_ADM_PRF_24" hidden="1">TRUE</definedName>
    <definedName name="ADM_boekee_ADM_PRF_25" hidden="1">TRUE</definedName>
    <definedName name="ADM_boekee_ADM_PRF_26" hidden="1">TRUE</definedName>
    <definedName name="ADM_boekee_ADM_PRF_27" hidden="1">TRUE</definedName>
    <definedName name="ADM_boekee_ADM_PRF_28" hidden="1">TRUE</definedName>
    <definedName name="ADM_boekee_ADM_PRF_29" hidden="1">TRUE</definedName>
    <definedName name="ADM_boekee_ADM_PRF_3" hidden="1">TRUE</definedName>
    <definedName name="ADM_boekee_ADM_PRF_30" hidden="1">TRUE</definedName>
    <definedName name="ADM_boekee_ADM_PRF_31" hidden="1">TRUE</definedName>
    <definedName name="ADM_boekee_ADM_PRF_32" hidden="1">TRUE</definedName>
    <definedName name="ADM_boekee_ADM_PRF_33" hidden="1">TRUE</definedName>
    <definedName name="ADM_boekee_ADM_PRF_34" hidden="1">TRUE</definedName>
    <definedName name="ADM_boekee_ADM_PRF_35" hidden="1">TRUE</definedName>
    <definedName name="ADM_boekee_ADM_PRF_36" hidden="1">TRUE</definedName>
    <definedName name="ADM_boekee_ADM_PRF_37" hidden="1">TRUE</definedName>
    <definedName name="ADM_boekee_ADM_PRF_38" hidden="1">TRUE</definedName>
    <definedName name="ADM_boekee_ADM_PRF_39" hidden="1">TRUE</definedName>
    <definedName name="ADM_boekee_ADM_PRF_4" hidden="1">TRUE</definedName>
    <definedName name="ADM_boekee_ADM_PRF_40" hidden="1">TRUE</definedName>
    <definedName name="ADM_boekee_ADM_PRF_41" hidden="1">TRUE</definedName>
    <definedName name="ADM_boekee_ADM_PRF_42" hidden="1">TRUE</definedName>
    <definedName name="ADM_boekee_ADM_PRF_43" hidden="1">TRUE</definedName>
    <definedName name="ADM_boekee_ADM_PRF_44" hidden="1">TRUE</definedName>
    <definedName name="ADM_boekee_ADM_PRF_45" hidden="1">TRUE</definedName>
    <definedName name="ADM_boekee_ADM_PRF_46" hidden="1">TRUE</definedName>
    <definedName name="ADM_boekee_ADM_PRF_47" hidden="1">TRUE</definedName>
    <definedName name="ADM_boekee_ADM_PRF_48" hidden="1">TRUE</definedName>
    <definedName name="ADM_boekee_ADM_PRF_49" hidden="1">TRUE</definedName>
    <definedName name="ADM_boekee_ADM_PRF_5" hidden="1">TRUE</definedName>
    <definedName name="ADM_boekee_ADM_PRF_50" hidden="1">TRUE</definedName>
    <definedName name="ADM_boekee_ADM_PRF_51" hidden="1">TRUE</definedName>
    <definedName name="ADM_boekee_ADM_PRF_52" hidden="1">TRUE</definedName>
    <definedName name="ADM_boekee_ADM_PRF_53" hidden="1">TRUE</definedName>
    <definedName name="ADM_boekee_ADM_PRF_54" hidden="1">TRUE</definedName>
    <definedName name="ADM_boekee_ADM_PRF_55" hidden="1">TRUE</definedName>
    <definedName name="ADM_boekee_ADM_PRF_56" hidden="1">TRUE</definedName>
    <definedName name="ADM_boekee_ADM_PRF_57" hidden="1">TRUE</definedName>
    <definedName name="ADM_boekee_ADM_PRF_58" hidden="1">TRUE</definedName>
    <definedName name="ADM_boekee_ADM_PRF_59" hidden="1">TRUE</definedName>
    <definedName name="ADM_boekee_ADM_PRF_6" hidden="1">TRUE</definedName>
    <definedName name="ADM_boekee_ADM_PRF_60" hidden="1">TRUE</definedName>
    <definedName name="ADM_boekee_ADM_PRF_61" hidden="1">TRUE</definedName>
    <definedName name="ADM_boekee_ADM_PRF_62" hidden="1">TRUE</definedName>
    <definedName name="ADM_boekee_ADM_PRF_63" hidden="1">TRUE</definedName>
    <definedName name="ADM_boekee_ADM_PRF_64" hidden="1">TRUE</definedName>
    <definedName name="ADM_boekee_ADM_PRF_65" hidden="1">TRUE</definedName>
    <definedName name="ADM_boekee_ADM_PRF_66" hidden="1">TRUE</definedName>
    <definedName name="ADM_boekee_ADM_PRF_67" hidden="1">TRUE</definedName>
    <definedName name="ADM_boekee_ADM_PRF_68" hidden="1">TRUE</definedName>
    <definedName name="ADM_boekee_ADM_PRF_69" hidden="1">TRUE</definedName>
    <definedName name="ADM_boekee_ADM_PRF_7" hidden="1">TRUE</definedName>
    <definedName name="ADM_boekee_ADM_PRF_70" hidden="1">TRUE</definedName>
    <definedName name="ADM_boekee_ADM_PRF_71" hidden="1">TRUE</definedName>
    <definedName name="ADM_boekee_ADM_PRF_72" hidden="1">TRUE</definedName>
    <definedName name="ADM_boekee_ADM_PRF_73" hidden="1">TRUE</definedName>
    <definedName name="ADM_boekee_ADM_PRF_74" hidden="1">TRUE</definedName>
    <definedName name="ADM_boekee_ADM_PRF_75" hidden="1">TRUE</definedName>
    <definedName name="ADM_boekee_ADM_PRF_76" hidden="1">TRUE</definedName>
    <definedName name="ADM_boekee_ADM_PRF_77" hidden="1">TRUE</definedName>
    <definedName name="ADM_boekee_ADM_PRF_78" hidden="1">TRUE</definedName>
    <definedName name="ADM_boekee_ADM_PRF_79" hidden="1">TRUE</definedName>
    <definedName name="ADM_boekee_ADM_PRF_8" hidden="1">TRUE</definedName>
    <definedName name="ADM_boekee_ADM_PRF_80" hidden="1">TRUE</definedName>
    <definedName name="ADM_boekee_ADM_PRF_81" hidden="1">TRUE</definedName>
    <definedName name="ADM_boekee_ADM_PRF_82" hidden="1">TRUE</definedName>
    <definedName name="ADM_boekee_ADM_PRF_83" hidden="1">TRUE</definedName>
    <definedName name="ADM_boekee_ADM_PRF_84" hidden="1">TRUE</definedName>
    <definedName name="ADM_boekee_ADM_PRF_85" hidden="1">TRUE</definedName>
    <definedName name="ADM_boekee_ADM_PRF_86" hidden="1">TRUE</definedName>
    <definedName name="ADM_boekee_ADM_PRF_87" hidden="1">TRUE</definedName>
    <definedName name="ADM_boekee_ADM_PRF_88" hidden="1">TRUE</definedName>
    <definedName name="ADM_boekee_ADM_PRF_89" hidden="1">TRUE</definedName>
    <definedName name="ADM_boekee_ADM_PRF_9" hidden="1">TRUE</definedName>
    <definedName name="ADM_boekee_ADM_PRF_90" hidden="1">TRUE</definedName>
    <definedName name="ADM_boekee_ADM_PRF_91" hidden="1">TRUE</definedName>
    <definedName name="ADM_boekee_ADM_PRF_92" hidden="1">TRUE</definedName>
    <definedName name="ADM_boekee_ADM_PRF_93" hidden="1">TRUE</definedName>
    <definedName name="ADM_boekee_ADM_PRF_94" hidden="1">TRUE</definedName>
    <definedName name="ADM_boekee_ADM_PRF_95" hidden="1">TRUE</definedName>
    <definedName name="ADM_boekee_ADM_PRF_96" hidden="1">TRUE</definedName>
    <definedName name="ADM_boekee_ADM_PRF_97" hidden="1">TRUE</definedName>
    <definedName name="ADM_boekee_ADM_PRF_98" hidden="1">TRUE</definedName>
    <definedName name="ADM_boekee_ADM_PRF_99" hidden="1">TRUE</definedName>
    <definedName name="ADM_boekee_BUDGET_1" hidden="1">TRUE</definedName>
    <definedName name="ADM_boekee_BUDGET_10" hidden="1">TRUE</definedName>
    <definedName name="ADM_boekee_BUDGET_100" hidden="1">TRUE</definedName>
    <definedName name="ADM_boekee_BUDGET_101" hidden="1">TRUE</definedName>
    <definedName name="ADM_boekee_BUDGET_102" hidden="1">TRUE</definedName>
    <definedName name="ADM_boekee_BUDGET_103" hidden="1">TRUE</definedName>
    <definedName name="ADM_boekee_BUDGET_11" hidden="1">TRUE</definedName>
    <definedName name="ADM_boekee_BUDGET_12" hidden="1">TRUE</definedName>
    <definedName name="ADM_boekee_BUDGET_13" hidden="1">TRUE</definedName>
    <definedName name="ADM_boekee_BUDGET_14" hidden="1">TRUE</definedName>
    <definedName name="ADM_boekee_BUDGET_15" hidden="1">TRUE</definedName>
    <definedName name="ADM_boekee_BUDGET_16" hidden="1">TRUE</definedName>
    <definedName name="ADM_boekee_BUDGET_17" hidden="1">TRUE</definedName>
    <definedName name="ADM_boekee_BUDGET_18" hidden="1">TRUE</definedName>
    <definedName name="ADM_boekee_BUDGET_19" hidden="1">TRUE</definedName>
    <definedName name="ADM_boekee_BUDGET_2" hidden="1">TRUE</definedName>
    <definedName name="ADM_boekee_BUDGET_20" hidden="1">TRUE</definedName>
    <definedName name="ADM_boekee_BUDGET_21" hidden="1">TRUE</definedName>
    <definedName name="ADM_boekee_BUDGET_22" hidden="1">TRUE</definedName>
    <definedName name="ADM_boekee_BUDGET_23" hidden="1">TRUE</definedName>
    <definedName name="ADM_boekee_BUDGET_24" hidden="1">TRUE</definedName>
    <definedName name="ADM_boekee_BUDGET_25" hidden="1">TRUE</definedName>
    <definedName name="ADM_boekee_BUDGET_26" hidden="1">TRUE</definedName>
    <definedName name="ADM_boekee_BUDGET_27" hidden="1">TRUE</definedName>
    <definedName name="ADM_boekee_BUDGET_28" hidden="1">TRUE</definedName>
    <definedName name="ADM_boekee_BUDGET_29" hidden="1">TRUE</definedName>
    <definedName name="ADM_boekee_BUDGET_3" hidden="1">TRUE</definedName>
    <definedName name="ADM_boekee_BUDGET_30" hidden="1">TRUE</definedName>
    <definedName name="ADM_boekee_BUDGET_31" hidden="1">TRUE</definedName>
    <definedName name="ADM_boekee_BUDGET_32" hidden="1">TRUE</definedName>
    <definedName name="ADM_boekee_BUDGET_33" hidden="1">TRUE</definedName>
    <definedName name="ADM_boekee_BUDGET_34" hidden="1">TRUE</definedName>
    <definedName name="ADM_boekee_BUDGET_35" hidden="1">TRUE</definedName>
    <definedName name="ADM_boekee_BUDGET_36" hidden="1">TRUE</definedName>
    <definedName name="ADM_boekee_BUDGET_37" hidden="1">TRUE</definedName>
    <definedName name="ADM_boekee_BUDGET_38" hidden="1">TRUE</definedName>
    <definedName name="ADM_boekee_BUDGET_39" hidden="1">TRUE</definedName>
    <definedName name="ADM_boekee_BUDGET_4" hidden="1">TRUE</definedName>
    <definedName name="ADM_boekee_BUDGET_40" hidden="1">TRUE</definedName>
    <definedName name="ADM_boekee_BUDGET_41" hidden="1">TRUE</definedName>
    <definedName name="ADM_boekee_BUDGET_42" hidden="1">TRUE</definedName>
    <definedName name="ADM_boekee_BUDGET_43" hidden="1">TRUE</definedName>
    <definedName name="ADM_boekee_BUDGET_44" hidden="1">TRUE</definedName>
    <definedName name="ADM_boekee_BUDGET_45" hidden="1">TRUE</definedName>
    <definedName name="ADM_boekee_BUDGET_46" hidden="1">TRUE</definedName>
    <definedName name="ADM_boekee_BUDGET_47" hidden="1">TRUE</definedName>
    <definedName name="ADM_boekee_BUDGET_48" hidden="1">TRUE</definedName>
    <definedName name="ADM_boekee_BUDGET_49" hidden="1">TRUE</definedName>
    <definedName name="ADM_boekee_BUDGET_5" hidden="1">TRUE</definedName>
    <definedName name="ADM_boekee_BUDGET_50" hidden="1">TRUE</definedName>
    <definedName name="ADM_boekee_BUDGET_51" hidden="1">TRUE</definedName>
    <definedName name="ADM_boekee_BUDGET_52" hidden="1">TRUE</definedName>
    <definedName name="ADM_boekee_BUDGET_53" hidden="1">TRUE</definedName>
    <definedName name="ADM_boekee_BUDGET_54" hidden="1">TRUE</definedName>
    <definedName name="ADM_boekee_BUDGET_55" hidden="1">TRUE</definedName>
    <definedName name="ADM_boekee_BUDGET_56" hidden="1">TRUE</definedName>
    <definedName name="ADM_boekee_BUDGET_57" hidden="1">TRUE</definedName>
    <definedName name="ADM_boekee_BUDGET_58" hidden="1">TRUE</definedName>
    <definedName name="ADM_boekee_BUDGET_59" hidden="1">TRUE</definedName>
    <definedName name="ADM_boekee_BUDGET_6" hidden="1">TRUE</definedName>
    <definedName name="ADM_boekee_BUDGET_60" hidden="1">TRUE</definedName>
    <definedName name="ADM_boekee_BUDGET_61" hidden="1">TRUE</definedName>
    <definedName name="ADM_boekee_BUDGET_62" hidden="1">TRUE</definedName>
    <definedName name="ADM_boekee_BUDGET_63" hidden="1">TRUE</definedName>
    <definedName name="ADM_boekee_BUDGET_64" hidden="1">TRUE</definedName>
    <definedName name="ADM_boekee_BUDGET_65" hidden="1">TRUE</definedName>
    <definedName name="ADM_boekee_BUDGET_66" hidden="1">TRUE</definedName>
    <definedName name="ADM_boekee_BUDGET_67" hidden="1">TRUE</definedName>
    <definedName name="ADM_boekee_BUDGET_68" hidden="1">TRUE</definedName>
    <definedName name="ADM_boekee_BUDGET_69" hidden="1">TRUE</definedName>
    <definedName name="ADM_boekee_BUDGET_7" hidden="1">TRUE</definedName>
    <definedName name="ADM_boekee_BUDGET_70" hidden="1">TRUE</definedName>
    <definedName name="ADM_boekee_BUDGET_71" hidden="1">TRUE</definedName>
    <definedName name="ADM_boekee_BUDGET_72" hidden="1">TRUE</definedName>
    <definedName name="ADM_boekee_BUDGET_73" hidden="1">TRUE</definedName>
    <definedName name="ADM_boekee_BUDGET_74" hidden="1">TRUE</definedName>
    <definedName name="ADM_boekee_BUDGET_75" hidden="1">TRUE</definedName>
    <definedName name="ADM_boekee_BUDGET_76" hidden="1">TRUE</definedName>
    <definedName name="ADM_boekee_BUDGET_77" hidden="1">TRUE</definedName>
    <definedName name="ADM_boekee_BUDGET_78" hidden="1">TRUE</definedName>
    <definedName name="ADM_boekee_BUDGET_79" hidden="1">TRUE</definedName>
    <definedName name="ADM_boekee_BUDGET_8" hidden="1">TRUE</definedName>
    <definedName name="ADM_boekee_BUDGET_80" hidden="1">TRUE</definedName>
    <definedName name="ADM_boekee_BUDGET_81" hidden="1">TRUE</definedName>
    <definedName name="ADM_boekee_BUDGET_82" hidden="1">TRUE</definedName>
    <definedName name="ADM_boekee_BUDGET_83" hidden="1">TRUE</definedName>
    <definedName name="ADM_boekee_BUDGET_84" hidden="1">TRUE</definedName>
    <definedName name="ADM_boekee_BUDGET_85" hidden="1">TRUE</definedName>
    <definedName name="ADM_boekee_BUDGET_86" hidden="1">TRUE</definedName>
    <definedName name="ADM_boekee_BUDGET_87" hidden="1">TRUE</definedName>
    <definedName name="ADM_boekee_BUDGET_88" hidden="1">TRUE</definedName>
    <definedName name="ADM_boekee_BUDGET_89" hidden="1">TRUE</definedName>
    <definedName name="ADM_boekee_BUDGET_9" hidden="1">TRUE</definedName>
    <definedName name="ADM_boekee_BUDGET_90" hidden="1">TRUE</definedName>
    <definedName name="ADM_boekee_BUDGET_91" hidden="1">TRUE</definedName>
    <definedName name="ADM_boekee_BUDGET_92" hidden="1">TRUE</definedName>
    <definedName name="ADM_boekee_BUDGET_93" hidden="1">TRUE</definedName>
    <definedName name="ADM_boekee_BUDGET_94" hidden="1">TRUE</definedName>
    <definedName name="ADM_boekee_BUDGET_95" hidden="1">TRUE</definedName>
    <definedName name="ADM_boekee_BUDGET_96" hidden="1">TRUE</definedName>
    <definedName name="ADM_boekee_BUDGET_97" hidden="1">TRUE</definedName>
    <definedName name="ADM_boekee_BUDGET_98" hidden="1">TRUE</definedName>
    <definedName name="ADM_boekee_BUDGET_99" hidden="1">TRUE</definedName>
    <definedName name="ADM_boekee_COST_1" hidden="1">TRUE</definedName>
    <definedName name="ADM_boekee_COST_10" hidden="1">TRUE</definedName>
    <definedName name="ADM_boekee_COST_100" hidden="1">TRUE</definedName>
    <definedName name="ADM_boekee_COST_101" hidden="1">TRUE</definedName>
    <definedName name="ADM_boekee_COST_102" hidden="1">TRUE</definedName>
    <definedName name="ADM_boekee_COST_103" hidden="1">TRUE</definedName>
    <definedName name="ADM_boekee_COST_11" hidden="1">TRUE</definedName>
    <definedName name="ADM_boekee_COST_12" hidden="1">TRUE</definedName>
    <definedName name="ADM_boekee_COST_13" hidden="1">TRUE</definedName>
    <definedName name="ADM_boekee_COST_14" hidden="1">TRUE</definedName>
    <definedName name="ADM_boekee_COST_15" hidden="1">TRUE</definedName>
    <definedName name="ADM_boekee_COST_16" hidden="1">TRUE</definedName>
    <definedName name="ADM_boekee_COST_17" hidden="1">TRUE</definedName>
    <definedName name="ADM_boekee_COST_18" hidden="1">TRUE</definedName>
    <definedName name="ADM_boekee_COST_19" hidden="1">TRUE</definedName>
    <definedName name="ADM_boekee_COST_2" hidden="1">TRUE</definedName>
    <definedName name="ADM_boekee_COST_20" hidden="1">TRUE</definedName>
    <definedName name="ADM_boekee_COST_21" hidden="1">TRUE</definedName>
    <definedName name="ADM_boekee_COST_22" hidden="1">TRUE</definedName>
    <definedName name="ADM_boekee_COST_23" hidden="1">TRUE</definedName>
    <definedName name="ADM_boekee_COST_24" hidden="1">TRUE</definedName>
    <definedName name="ADM_boekee_COST_25" hidden="1">TRUE</definedName>
    <definedName name="ADM_boekee_COST_26" hidden="1">TRUE</definedName>
    <definedName name="ADM_boekee_COST_27" hidden="1">TRUE</definedName>
    <definedName name="ADM_boekee_COST_28" hidden="1">TRUE</definedName>
    <definedName name="ADM_boekee_COST_29" hidden="1">TRUE</definedName>
    <definedName name="ADM_boekee_COST_3" hidden="1">TRUE</definedName>
    <definedName name="ADM_boekee_COST_30" hidden="1">TRUE</definedName>
    <definedName name="ADM_boekee_COST_31" hidden="1">TRUE</definedName>
    <definedName name="ADM_boekee_COST_32" hidden="1">TRUE</definedName>
    <definedName name="ADM_boekee_COST_33" hidden="1">TRUE</definedName>
    <definedName name="ADM_boekee_COST_34" hidden="1">TRUE</definedName>
    <definedName name="ADM_boekee_COST_35" hidden="1">TRUE</definedName>
    <definedName name="ADM_boekee_COST_36" hidden="1">TRUE</definedName>
    <definedName name="ADM_boekee_COST_37" hidden="1">TRUE</definedName>
    <definedName name="ADM_boekee_COST_38" hidden="1">TRUE</definedName>
    <definedName name="ADM_boekee_COST_39" hidden="1">TRUE</definedName>
    <definedName name="ADM_boekee_COST_4" hidden="1">TRUE</definedName>
    <definedName name="ADM_boekee_COST_40" hidden="1">TRUE</definedName>
    <definedName name="ADM_boekee_COST_41" hidden="1">TRUE</definedName>
    <definedName name="ADM_boekee_COST_42" hidden="1">TRUE</definedName>
    <definedName name="ADM_boekee_COST_43" hidden="1">TRUE</definedName>
    <definedName name="ADM_boekee_COST_44" hidden="1">TRUE</definedName>
    <definedName name="ADM_boekee_COST_45" hidden="1">TRUE</definedName>
    <definedName name="ADM_boekee_COST_46" hidden="1">TRUE</definedName>
    <definedName name="ADM_boekee_COST_47" hidden="1">TRUE</definedName>
    <definedName name="ADM_boekee_COST_48" hidden="1">TRUE</definedName>
    <definedName name="ADM_boekee_COST_49" hidden="1">TRUE</definedName>
    <definedName name="ADM_boekee_COST_5" hidden="1">TRUE</definedName>
    <definedName name="ADM_boekee_COST_50" hidden="1">TRUE</definedName>
    <definedName name="ADM_boekee_COST_51" hidden="1">TRUE</definedName>
    <definedName name="ADM_boekee_COST_52" hidden="1">TRUE</definedName>
    <definedName name="ADM_boekee_COST_53" hidden="1">TRUE</definedName>
    <definedName name="ADM_boekee_COST_54" hidden="1">TRUE</definedName>
    <definedName name="ADM_boekee_COST_55" hidden="1">TRUE</definedName>
    <definedName name="ADM_boekee_COST_56" hidden="1">TRUE</definedName>
    <definedName name="ADM_boekee_COST_57" hidden="1">TRUE</definedName>
    <definedName name="ADM_boekee_COST_58" hidden="1">TRUE</definedName>
    <definedName name="ADM_boekee_COST_59" hidden="1">TRUE</definedName>
    <definedName name="ADM_boekee_COST_6" hidden="1">TRUE</definedName>
    <definedName name="ADM_boekee_COST_60" hidden="1">TRUE</definedName>
    <definedName name="ADM_boekee_COST_61" hidden="1">TRUE</definedName>
    <definedName name="ADM_boekee_COST_62" hidden="1">TRUE</definedName>
    <definedName name="ADM_boekee_COST_63" hidden="1">TRUE</definedName>
    <definedName name="ADM_boekee_COST_64" hidden="1">TRUE</definedName>
    <definedName name="ADM_boekee_COST_65" hidden="1">TRUE</definedName>
    <definedName name="ADM_boekee_COST_66" hidden="1">TRUE</definedName>
    <definedName name="ADM_boekee_COST_67" hidden="1">TRUE</definedName>
    <definedName name="ADM_boekee_COST_68" hidden="1">TRUE</definedName>
    <definedName name="ADM_boekee_COST_69" hidden="1">TRUE</definedName>
    <definedName name="ADM_boekee_COST_7" hidden="1">TRUE</definedName>
    <definedName name="ADM_boekee_COST_70" hidden="1">TRUE</definedName>
    <definedName name="ADM_boekee_COST_71" hidden="1">TRUE</definedName>
    <definedName name="ADM_boekee_COST_72" hidden="1">TRUE</definedName>
    <definedName name="ADM_boekee_COST_73" hidden="1">TRUE</definedName>
    <definedName name="ADM_boekee_COST_74" hidden="1">TRUE</definedName>
    <definedName name="ADM_boekee_COST_75" hidden="1">TRUE</definedName>
    <definedName name="ADM_boekee_COST_76" hidden="1">TRUE</definedName>
    <definedName name="ADM_boekee_COST_77" hidden="1">TRUE</definedName>
    <definedName name="ADM_boekee_COST_78" hidden="1">TRUE</definedName>
    <definedName name="ADM_boekee_COST_79" hidden="1">TRUE</definedName>
    <definedName name="ADM_boekee_COST_8" hidden="1">TRUE</definedName>
    <definedName name="ADM_boekee_COST_80" hidden="1">TRUE</definedName>
    <definedName name="ADM_boekee_COST_81" hidden="1">TRUE</definedName>
    <definedName name="ADM_boekee_COST_82" hidden="1">TRUE</definedName>
    <definedName name="ADM_boekee_COST_83" hidden="1">TRUE</definedName>
    <definedName name="ADM_boekee_COST_84" hidden="1">TRUE</definedName>
    <definedName name="ADM_boekee_COST_85" hidden="1">TRUE</definedName>
    <definedName name="ADM_boekee_COST_86" hidden="1">TRUE</definedName>
    <definedName name="ADM_boekee_COST_87" hidden="1">TRUE</definedName>
    <definedName name="ADM_boekee_COST_88" hidden="1">TRUE</definedName>
    <definedName name="ADM_boekee_COST_89" hidden="1">TRUE</definedName>
    <definedName name="ADM_boekee_COST_9" hidden="1">TRUE</definedName>
    <definedName name="ADM_boekee_COST_90" hidden="1">TRUE</definedName>
    <definedName name="ADM_boekee_COST_91" hidden="1">TRUE</definedName>
    <definedName name="ADM_boekee_COST_92" hidden="1">TRUE</definedName>
    <definedName name="ADM_boekee_COST_93" hidden="1">TRUE</definedName>
    <definedName name="ADM_boekee_COST_94" hidden="1">TRUE</definedName>
    <definedName name="ADM_boekee_COST_95" hidden="1">TRUE</definedName>
    <definedName name="ADM_boekee_COST_96" hidden="1">TRUE</definedName>
    <definedName name="ADM_boekee_COST_97" hidden="1">TRUE</definedName>
    <definedName name="ADM_boekee_COST_98" hidden="1">TRUE</definedName>
    <definedName name="ADM_boekee_COST_99" hidden="1">TRUE</definedName>
    <definedName name="ADM_boekee_CRED_1" hidden="1">TRUE</definedName>
    <definedName name="ADM_boekee_CRED_10" hidden="1">TRUE</definedName>
    <definedName name="ADM_boekee_CRED_100" hidden="1">TRUE</definedName>
    <definedName name="ADM_boekee_CRED_101" hidden="1">TRUE</definedName>
    <definedName name="ADM_boekee_CRED_102" hidden="1">TRUE</definedName>
    <definedName name="ADM_boekee_CRED_103" hidden="1">TRUE</definedName>
    <definedName name="ADM_boekee_CRED_11" hidden="1">TRUE</definedName>
    <definedName name="ADM_boekee_CRED_12" hidden="1">TRUE</definedName>
    <definedName name="ADM_boekee_CRED_13" hidden="1">TRUE</definedName>
    <definedName name="ADM_boekee_CRED_14" hidden="1">TRUE</definedName>
    <definedName name="ADM_boekee_CRED_15" hidden="1">TRUE</definedName>
    <definedName name="ADM_boekee_CRED_16" hidden="1">TRUE</definedName>
    <definedName name="ADM_boekee_CRED_17" hidden="1">TRUE</definedName>
    <definedName name="ADM_boekee_CRED_18" hidden="1">TRUE</definedName>
    <definedName name="ADM_boekee_CRED_19" hidden="1">TRUE</definedName>
    <definedName name="ADM_boekee_CRED_2" hidden="1">TRUE</definedName>
    <definedName name="ADM_boekee_CRED_20" hidden="1">TRUE</definedName>
    <definedName name="ADM_boekee_CRED_21" hidden="1">TRUE</definedName>
    <definedName name="ADM_boekee_CRED_22" hidden="1">TRUE</definedName>
    <definedName name="ADM_boekee_CRED_23" hidden="1">TRUE</definedName>
    <definedName name="ADM_boekee_CRED_24" hidden="1">TRUE</definedName>
    <definedName name="ADM_boekee_CRED_25" hidden="1">TRUE</definedName>
    <definedName name="ADM_boekee_CRED_26" hidden="1">TRUE</definedName>
    <definedName name="ADM_boekee_CRED_27" hidden="1">TRUE</definedName>
    <definedName name="ADM_boekee_CRED_28" hidden="1">TRUE</definedName>
    <definedName name="ADM_boekee_CRED_29" hidden="1">TRUE</definedName>
    <definedName name="ADM_boekee_CRED_3" hidden="1">TRUE</definedName>
    <definedName name="ADM_boekee_CRED_30" hidden="1">TRUE</definedName>
    <definedName name="ADM_boekee_CRED_31" hidden="1">TRUE</definedName>
    <definedName name="ADM_boekee_CRED_32" hidden="1">TRUE</definedName>
    <definedName name="ADM_boekee_CRED_33" hidden="1">TRUE</definedName>
    <definedName name="ADM_boekee_CRED_34" hidden="1">TRUE</definedName>
    <definedName name="ADM_boekee_CRED_35" hidden="1">TRUE</definedName>
    <definedName name="ADM_boekee_CRED_36" hidden="1">TRUE</definedName>
    <definedName name="ADM_boekee_CRED_37" hidden="1">TRUE</definedName>
    <definedName name="ADM_boekee_CRED_38" hidden="1">TRUE</definedName>
    <definedName name="ADM_boekee_CRED_39" hidden="1">TRUE</definedName>
    <definedName name="ADM_boekee_CRED_4" hidden="1">TRUE</definedName>
    <definedName name="ADM_boekee_CRED_40" hidden="1">TRUE</definedName>
    <definedName name="ADM_boekee_CRED_41" hidden="1">TRUE</definedName>
    <definedName name="ADM_boekee_CRED_42" hidden="1">TRUE</definedName>
    <definedName name="ADM_boekee_CRED_43" hidden="1">TRUE</definedName>
    <definedName name="ADM_boekee_CRED_44" hidden="1">TRUE</definedName>
    <definedName name="ADM_boekee_CRED_45" hidden="1">TRUE</definedName>
    <definedName name="ADM_boekee_CRED_46" hidden="1">TRUE</definedName>
    <definedName name="ADM_boekee_CRED_47" hidden="1">TRUE</definedName>
    <definedName name="ADM_boekee_CRED_48" hidden="1">TRUE</definedName>
    <definedName name="ADM_boekee_CRED_49" hidden="1">TRUE</definedName>
    <definedName name="ADM_boekee_CRED_5" hidden="1">TRUE</definedName>
    <definedName name="ADM_boekee_CRED_50" hidden="1">TRUE</definedName>
    <definedName name="ADM_boekee_CRED_51" hidden="1">TRUE</definedName>
    <definedName name="ADM_boekee_CRED_52" hidden="1">TRUE</definedName>
    <definedName name="ADM_boekee_CRED_53" hidden="1">TRUE</definedName>
    <definedName name="ADM_boekee_CRED_54" hidden="1">TRUE</definedName>
    <definedName name="ADM_boekee_CRED_55" hidden="1">TRUE</definedName>
    <definedName name="ADM_boekee_CRED_56" hidden="1">TRUE</definedName>
    <definedName name="ADM_boekee_CRED_57" hidden="1">TRUE</definedName>
    <definedName name="ADM_boekee_CRED_58" hidden="1">TRUE</definedName>
    <definedName name="ADM_boekee_CRED_59" hidden="1">TRUE</definedName>
    <definedName name="ADM_boekee_CRED_6" hidden="1">TRUE</definedName>
    <definedName name="ADM_boekee_CRED_60" hidden="1">TRUE</definedName>
    <definedName name="ADM_boekee_CRED_61" hidden="1">TRUE</definedName>
    <definedName name="ADM_boekee_CRED_62" hidden="1">TRUE</definedName>
    <definedName name="ADM_boekee_CRED_63" hidden="1">TRUE</definedName>
    <definedName name="ADM_boekee_CRED_64" hidden="1">TRUE</definedName>
    <definedName name="ADM_boekee_CRED_65" hidden="1">TRUE</definedName>
    <definedName name="ADM_boekee_CRED_66" hidden="1">TRUE</definedName>
    <definedName name="ADM_boekee_CRED_67" hidden="1">TRUE</definedName>
    <definedName name="ADM_boekee_CRED_68" hidden="1">TRUE</definedName>
    <definedName name="ADM_boekee_CRED_69" hidden="1">TRUE</definedName>
    <definedName name="ADM_boekee_CRED_7" hidden="1">TRUE</definedName>
    <definedName name="ADM_boekee_CRED_70" hidden="1">TRUE</definedName>
    <definedName name="ADM_boekee_CRED_71" hidden="1">TRUE</definedName>
    <definedName name="ADM_boekee_CRED_72" hidden="1">TRUE</definedName>
    <definedName name="ADM_boekee_CRED_73" hidden="1">TRUE</definedName>
    <definedName name="ADM_boekee_CRED_74" hidden="1">TRUE</definedName>
    <definedName name="ADM_boekee_CRED_75" hidden="1">TRUE</definedName>
    <definedName name="ADM_boekee_CRED_76" hidden="1">TRUE</definedName>
    <definedName name="ADM_boekee_CRED_77" hidden="1">TRUE</definedName>
    <definedName name="ADM_boekee_CRED_78" hidden="1">TRUE</definedName>
    <definedName name="ADM_boekee_CRED_79" hidden="1">TRUE</definedName>
    <definedName name="ADM_boekee_CRED_8" hidden="1">TRUE</definedName>
    <definedName name="ADM_boekee_CRED_80" hidden="1">TRUE</definedName>
    <definedName name="ADM_boekee_CRED_81" hidden="1">TRUE</definedName>
    <definedName name="ADM_boekee_CRED_82" hidden="1">TRUE</definedName>
    <definedName name="ADM_boekee_CRED_83" hidden="1">TRUE</definedName>
    <definedName name="ADM_boekee_CRED_84" hidden="1">TRUE</definedName>
    <definedName name="ADM_boekee_CRED_85" hidden="1">TRUE</definedName>
    <definedName name="ADM_boekee_CRED_86" hidden="1">TRUE</definedName>
    <definedName name="ADM_boekee_CRED_87" hidden="1">TRUE</definedName>
    <definedName name="ADM_boekee_CRED_88" hidden="1">TRUE</definedName>
    <definedName name="ADM_boekee_CRED_89" hidden="1">TRUE</definedName>
    <definedName name="ADM_boekee_CRED_9" hidden="1">TRUE</definedName>
    <definedName name="ADM_boekee_CRED_90" hidden="1">TRUE</definedName>
    <definedName name="ADM_boekee_CRED_91" hidden="1">TRUE</definedName>
    <definedName name="ADM_boekee_CRED_92" hidden="1">TRUE</definedName>
    <definedName name="ADM_boekee_CRED_93" hidden="1">TRUE</definedName>
    <definedName name="ADM_boekee_CRED_94" hidden="1">TRUE</definedName>
    <definedName name="ADM_boekee_CRED_95" hidden="1">TRUE</definedName>
    <definedName name="ADM_boekee_CRED_96" hidden="1">TRUE</definedName>
    <definedName name="ADM_boekee_CRED_97" hidden="1">TRUE</definedName>
    <definedName name="ADM_boekee_CRED_98" hidden="1">TRUE</definedName>
    <definedName name="ADM_boekee_CRED_99" hidden="1">TRUE</definedName>
    <definedName name="ADM_boekee_DEB_1" hidden="1">TRUE</definedName>
    <definedName name="ADM_boekee_DEB_10" hidden="1">TRUE</definedName>
    <definedName name="ADM_boekee_DEB_100" hidden="1">TRUE</definedName>
    <definedName name="ADM_boekee_DEB_101" hidden="1">TRUE</definedName>
    <definedName name="ADM_boekee_DEB_102" hidden="1">TRUE</definedName>
    <definedName name="ADM_boekee_DEB_103" hidden="1">TRUE</definedName>
    <definedName name="ADM_boekee_DEB_11" hidden="1">TRUE</definedName>
    <definedName name="ADM_boekee_DEB_12" hidden="1">TRUE</definedName>
    <definedName name="ADM_boekee_DEB_13" hidden="1">TRUE</definedName>
    <definedName name="ADM_boekee_DEB_14" hidden="1">TRUE</definedName>
    <definedName name="ADM_boekee_DEB_15" hidden="1">TRUE</definedName>
    <definedName name="ADM_boekee_DEB_16" hidden="1">TRUE</definedName>
    <definedName name="ADM_boekee_DEB_17" hidden="1">TRUE</definedName>
    <definedName name="ADM_boekee_DEB_18" hidden="1">TRUE</definedName>
    <definedName name="ADM_boekee_DEB_19" hidden="1">TRUE</definedName>
    <definedName name="ADM_boekee_DEB_2" hidden="1">TRUE</definedName>
    <definedName name="ADM_boekee_DEB_20" hidden="1">TRUE</definedName>
    <definedName name="ADM_boekee_DEB_21" hidden="1">TRUE</definedName>
    <definedName name="ADM_boekee_DEB_22" hidden="1">TRUE</definedName>
    <definedName name="ADM_boekee_DEB_23" hidden="1">TRUE</definedName>
    <definedName name="ADM_boekee_DEB_24" hidden="1">TRUE</definedName>
    <definedName name="ADM_boekee_DEB_25" hidden="1">TRUE</definedName>
    <definedName name="ADM_boekee_DEB_26" hidden="1">TRUE</definedName>
    <definedName name="ADM_boekee_DEB_27" hidden="1">TRUE</definedName>
    <definedName name="ADM_boekee_DEB_28" hidden="1">TRUE</definedName>
    <definedName name="ADM_boekee_DEB_29" hidden="1">TRUE</definedName>
    <definedName name="ADM_boekee_DEB_3" hidden="1">TRUE</definedName>
    <definedName name="ADM_boekee_DEB_30" hidden="1">TRUE</definedName>
    <definedName name="ADM_boekee_DEB_31" hidden="1">TRUE</definedName>
    <definedName name="ADM_boekee_DEB_32" hidden="1">TRUE</definedName>
    <definedName name="ADM_boekee_DEB_33" hidden="1">TRUE</definedName>
    <definedName name="ADM_boekee_DEB_34" hidden="1">TRUE</definedName>
    <definedName name="ADM_boekee_DEB_35" hidden="1">TRUE</definedName>
    <definedName name="ADM_boekee_DEB_36" hidden="1">TRUE</definedName>
    <definedName name="ADM_boekee_DEB_37" hidden="1">TRUE</definedName>
    <definedName name="ADM_boekee_DEB_38" hidden="1">TRUE</definedName>
    <definedName name="ADM_boekee_DEB_39" hidden="1">TRUE</definedName>
    <definedName name="ADM_boekee_DEB_4" hidden="1">TRUE</definedName>
    <definedName name="ADM_boekee_DEB_40" hidden="1">TRUE</definedName>
    <definedName name="ADM_boekee_DEB_41" hidden="1">TRUE</definedName>
    <definedName name="ADM_boekee_DEB_42" hidden="1">TRUE</definedName>
    <definedName name="ADM_boekee_DEB_43" hidden="1">TRUE</definedName>
    <definedName name="ADM_boekee_DEB_44" hidden="1">TRUE</definedName>
    <definedName name="ADM_boekee_DEB_45" hidden="1">TRUE</definedName>
    <definedName name="ADM_boekee_DEB_46" hidden="1">TRUE</definedName>
    <definedName name="ADM_boekee_DEB_47" hidden="1">TRUE</definedName>
    <definedName name="ADM_boekee_DEB_48" hidden="1">TRUE</definedName>
    <definedName name="ADM_boekee_DEB_49" hidden="1">TRUE</definedName>
    <definedName name="ADM_boekee_DEB_5" hidden="1">TRUE</definedName>
    <definedName name="ADM_boekee_DEB_50" hidden="1">TRUE</definedName>
    <definedName name="ADM_boekee_DEB_51" hidden="1">TRUE</definedName>
    <definedName name="ADM_boekee_DEB_52" hidden="1">TRUE</definedName>
    <definedName name="ADM_boekee_DEB_53" hidden="1">TRUE</definedName>
    <definedName name="ADM_boekee_DEB_54" hidden="1">TRUE</definedName>
    <definedName name="ADM_boekee_DEB_55" hidden="1">TRUE</definedName>
    <definedName name="ADM_boekee_DEB_56" hidden="1">TRUE</definedName>
    <definedName name="ADM_boekee_DEB_57" hidden="1">TRUE</definedName>
    <definedName name="ADM_boekee_DEB_58" hidden="1">TRUE</definedName>
    <definedName name="ADM_boekee_DEB_59" hidden="1">TRUE</definedName>
    <definedName name="ADM_boekee_DEB_6" hidden="1">TRUE</definedName>
    <definedName name="ADM_boekee_DEB_60" hidden="1">TRUE</definedName>
    <definedName name="ADM_boekee_DEB_61" hidden="1">TRUE</definedName>
    <definedName name="ADM_boekee_DEB_62" hidden="1">TRUE</definedName>
    <definedName name="ADM_boekee_DEB_63" hidden="1">TRUE</definedName>
    <definedName name="ADM_boekee_DEB_64" hidden="1">TRUE</definedName>
    <definedName name="ADM_boekee_DEB_65" hidden="1">TRUE</definedName>
    <definedName name="ADM_boekee_DEB_66" hidden="1">TRUE</definedName>
    <definedName name="ADM_boekee_DEB_67" hidden="1">TRUE</definedName>
    <definedName name="ADM_boekee_DEB_68" hidden="1">TRUE</definedName>
    <definedName name="ADM_boekee_DEB_69" hidden="1">TRUE</definedName>
    <definedName name="ADM_boekee_DEB_7" hidden="1">TRUE</definedName>
    <definedName name="ADM_boekee_DEB_70" hidden="1">TRUE</definedName>
    <definedName name="ADM_boekee_DEB_71" hidden="1">TRUE</definedName>
    <definedName name="ADM_boekee_DEB_72" hidden="1">TRUE</definedName>
    <definedName name="ADM_boekee_DEB_73" hidden="1">TRUE</definedName>
    <definedName name="ADM_boekee_DEB_74" hidden="1">TRUE</definedName>
    <definedName name="ADM_boekee_DEB_75" hidden="1">TRUE</definedName>
    <definedName name="ADM_boekee_DEB_76" hidden="1">TRUE</definedName>
    <definedName name="ADM_boekee_DEB_77" hidden="1">TRUE</definedName>
    <definedName name="ADM_boekee_DEB_78" hidden="1">TRUE</definedName>
    <definedName name="ADM_boekee_DEB_79" hidden="1">TRUE</definedName>
    <definedName name="ADM_boekee_DEB_8" hidden="1">TRUE</definedName>
    <definedName name="ADM_boekee_DEB_80" hidden="1">TRUE</definedName>
    <definedName name="ADM_boekee_DEB_81" hidden="1">TRUE</definedName>
    <definedName name="ADM_boekee_DEB_82" hidden="1">TRUE</definedName>
    <definedName name="ADM_boekee_DEB_83" hidden="1">TRUE</definedName>
    <definedName name="ADM_boekee_DEB_84" hidden="1">TRUE</definedName>
    <definedName name="ADM_boekee_DEB_85" hidden="1">TRUE</definedName>
    <definedName name="ADM_boekee_DEB_86" hidden="1">TRUE</definedName>
    <definedName name="ADM_boekee_DEB_87" hidden="1">TRUE</definedName>
    <definedName name="ADM_boekee_DEB_88" hidden="1">TRUE</definedName>
    <definedName name="ADM_boekee_DEB_89" hidden="1">TRUE</definedName>
    <definedName name="ADM_boekee_DEB_9" hidden="1">TRUE</definedName>
    <definedName name="ADM_boekee_DEB_90" hidden="1">TRUE</definedName>
    <definedName name="ADM_boekee_DEB_91" hidden="1">TRUE</definedName>
    <definedName name="ADM_boekee_DEB_92" hidden="1">TRUE</definedName>
    <definedName name="ADM_boekee_DEB_93" hidden="1">TRUE</definedName>
    <definedName name="ADM_boekee_DEB_94" hidden="1">TRUE</definedName>
    <definedName name="ADM_boekee_DEB_95" hidden="1">TRUE</definedName>
    <definedName name="ADM_boekee_DEB_96" hidden="1">TRUE</definedName>
    <definedName name="ADM_boekee_DEB_97" hidden="1">TRUE</definedName>
    <definedName name="ADM_boekee_DEB_98" hidden="1">TRUE</definedName>
    <definedName name="ADM_boekee_DEB_99" hidden="1">TRUE</definedName>
    <definedName name="ADM_boekee_EFS_1" hidden="1">TRUE</definedName>
    <definedName name="ADM_boekee_EFS_10" hidden="1">TRUE</definedName>
    <definedName name="ADM_boekee_EFS_100" hidden="1">TRUE</definedName>
    <definedName name="ADM_boekee_EFS_101" hidden="1">TRUE</definedName>
    <definedName name="ADM_boekee_EFS_102" hidden="1">TRUE</definedName>
    <definedName name="ADM_boekee_EFS_103" hidden="1">TRUE</definedName>
    <definedName name="ADM_boekee_EFS_11" hidden="1">TRUE</definedName>
    <definedName name="ADM_boekee_EFS_12" hidden="1">TRUE</definedName>
    <definedName name="ADM_boekee_EFS_13" hidden="1">TRUE</definedName>
    <definedName name="ADM_boekee_EFS_14" hidden="1">TRUE</definedName>
    <definedName name="ADM_boekee_EFS_15" hidden="1">TRUE</definedName>
    <definedName name="ADM_boekee_EFS_16" hidden="1">TRUE</definedName>
    <definedName name="ADM_boekee_EFS_17" hidden="1">TRUE</definedName>
    <definedName name="ADM_boekee_EFS_18" hidden="1">TRUE</definedName>
    <definedName name="ADM_boekee_EFS_19" hidden="1">TRUE</definedName>
    <definedName name="ADM_boekee_EFS_2" hidden="1">TRUE</definedName>
    <definedName name="ADM_boekee_EFS_20" hidden="1">TRUE</definedName>
    <definedName name="ADM_boekee_EFS_21" hidden="1">TRUE</definedName>
    <definedName name="ADM_boekee_EFS_22" hidden="1">TRUE</definedName>
    <definedName name="ADM_boekee_EFS_23" hidden="1">TRUE</definedName>
    <definedName name="ADM_boekee_EFS_24" hidden="1">TRUE</definedName>
    <definedName name="ADM_boekee_EFS_25" hidden="1">TRUE</definedName>
    <definedName name="ADM_boekee_EFS_26" hidden="1">TRUE</definedName>
    <definedName name="ADM_boekee_EFS_27" hidden="1">TRUE</definedName>
    <definedName name="ADM_boekee_EFS_28" hidden="1">TRUE</definedName>
    <definedName name="ADM_boekee_EFS_29" hidden="1">TRUE</definedName>
    <definedName name="ADM_boekee_EFS_3" hidden="1">TRUE</definedName>
    <definedName name="ADM_boekee_EFS_30" hidden="1">TRUE</definedName>
    <definedName name="ADM_boekee_EFS_31" hidden="1">TRUE</definedName>
    <definedName name="ADM_boekee_EFS_32" hidden="1">TRUE</definedName>
    <definedName name="ADM_boekee_EFS_33" hidden="1">TRUE</definedName>
    <definedName name="ADM_boekee_EFS_34" hidden="1">TRUE</definedName>
    <definedName name="ADM_boekee_EFS_35" hidden="1">TRUE</definedName>
    <definedName name="ADM_boekee_EFS_36" hidden="1">TRUE</definedName>
    <definedName name="ADM_boekee_EFS_37" hidden="1">TRUE</definedName>
    <definedName name="ADM_boekee_EFS_38" hidden="1">TRUE</definedName>
    <definedName name="ADM_boekee_EFS_39" hidden="1">TRUE</definedName>
    <definedName name="ADM_boekee_EFS_4" hidden="1">TRUE</definedName>
    <definedName name="ADM_boekee_EFS_40" hidden="1">TRUE</definedName>
    <definedName name="ADM_boekee_EFS_41" hidden="1">TRUE</definedName>
    <definedName name="ADM_boekee_EFS_42" hidden="1">TRUE</definedName>
    <definedName name="ADM_boekee_EFS_43" hidden="1">TRUE</definedName>
    <definedName name="ADM_boekee_EFS_44" hidden="1">TRUE</definedName>
    <definedName name="ADM_boekee_EFS_45" hidden="1">TRUE</definedName>
    <definedName name="ADM_boekee_EFS_46" hidden="1">TRUE</definedName>
    <definedName name="ADM_boekee_EFS_47" hidden="1">TRUE</definedName>
    <definedName name="ADM_boekee_EFS_48" hidden="1">TRUE</definedName>
    <definedName name="ADM_boekee_EFS_49" hidden="1">TRUE</definedName>
    <definedName name="ADM_boekee_EFS_5" hidden="1">TRUE</definedName>
    <definedName name="ADM_boekee_EFS_50" hidden="1">TRUE</definedName>
    <definedName name="ADM_boekee_EFS_51" hidden="1">TRUE</definedName>
    <definedName name="ADM_boekee_EFS_52" hidden="1">TRUE</definedName>
    <definedName name="ADM_boekee_EFS_53" hidden="1">TRUE</definedName>
    <definedName name="ADM_boekee_EFS_54" hidden="1">TRUE</definedName>
    <definedName name="ADM_boekee_EFS_55" hidden="1">TRUE</definedName>
    <definedName name="ADM_boekee_EFS_56" hidden="1">TRUE</definedName>
    <definedName name="ADM_boekee_EFS_57" hidden="1">TRUE</definedName>
    <definedName name="ADM_boekee_EFS_58" hidden="1">TRUE</definedName>
    <definedName name="ADM_boekee_EFS_59" hidden="1">TRUE</definedName>
    <definedName name="ADM_boekee_EFS_6" hidden="1">TRUE</definedName>
    <definedName name="ADM_boekee_EFS_60" hidden="1">TRUE</definedName>
    <definedName name="ADM_boekee_EFS_61" hidden="1">TRUE</definedName>
    <definedName name="ADM_boekee_EFS_62" hidden="1">TRUE</definedName>
    <definedName name="ADM_boekee_EFS_63" hidden="1">TRUE</definedName>
    <definedName name="ADM_boekee_EFS_64" hidden="1">TRUE</definedName>
    <definedName name="ADM_boekee_EFS_65" hidden="1">TRUE</definedName>
    <definedName name="ADM_boekee_EFS_66" hidden="1">TRUE</definedName>
    <definedName name="ADM_boekee_EFS_67" hidden="1">TRUE</definedName>
    <definedName name="ADM_boekee_EFS_68" hidden="1">TRUE</definedName>
    <definedName name="ADM_boekee_EFS_69" hidden="1">TRUE</definedName>
    <definedName name="ADM_boekee_EFS_7" hidden="1">TRUE</definedName>
    <definedName name="ADM_boekee_EFS_70" hidden="1">TRUE</definedName>
    <definedName name="ADM_boekee_EFS_71" hidden="1">TRUE</definedName>
    <definedName name="ADM_boekee_EFS_72" hidden="1">TRUE</definedName>
    <definedName name="ADM_boekee_EFS_73" hidden="1">TRUE</definedName>
    <definedName name="ADM_boekee_EFS_74" hidden="1">TRUE</definedName>
    <definedName name="ADM_boekee_EFS_75" hidden="1">TRUE</definedName>
    <definedName name="ADM_boekee_EFS_76" hidden="1">TRUE</definedName>
    <definedName name="ADM_boekee_EFS_77" hidden="1">TRUE</definedName>
    <definedName name="ADM_boekee_EFS_78" hidden="1">TRUE</definedName>
    <definedName name="ADM_boekee_EFS_79" hidden="1">TRUE</definedName>
    <definedName name="ADM_boekee_EFS_8" hidden="1">TRUE</definedName>
    <definedName name="ADM_boekee_EFS_80" hidden="1">TRUE</definedName>
    <definedName name="ADM_boekee_EFS_81" hidden="1">TRUE</definedName>
    <definedName name="ADM_boekee_EFS_82" hidden="1">TRUE</definedName>
    <definedName name="ADM_boekee_EFS_83" hidden="1">TRUE</definedName>
    <definedName name="ADM_boekee_EFS_84" hidden="1">TRUE</definedName>
    <definedName name="ADM_boekee_EFS_85" hidden="1">TRUE</definedName>
    <definedName name="ADM_boekee_EFS_86" hidden="1">TRUE</definedName>
    <definedName name="ADM_boekee_EFS_87" hidden="1">TRUE</definedName>
    <definedName name="ADM_boekee_EFS_88" hidden="1">TRUE</definedName>
    <definedName name="ADM_boekee_EFS_89" hidden="1">TRUE</definedName>
    <definedName name="ADM_boekee_EFS_9" hidden="1">TRUE</definedName>
    <definedName name="ADM_boekee_EFS_90" hidden="1">TRUE</definedName>
    <definedName name="ADM_boekee_EFS_91" hidden="1">TRUE</definedName>
    <definedName name="ADM_boekee_EFS_92" hidden="1">TRUE</definedName>
    <definedName name="ADM_boekee_EFS_93" hidden="1">TRUE</definedName>
    <definedName name="ADM_boekee_EFS_94" hidden="1">TRUE</definedName>
    <definedName name="ADM_boekee_EFS_95" hidden="1">TRUE</definedName>
    <definedName name="ADM_boekee_EFS_96" hidden="1">TRUE</definedName>
    <definedName name="ADM_boekee_EFS_97" hidden="1">TRUE</definedName>
    <definedName name="ADM_boekee_EFS_98" hidden="1">TRUE</definedName>
    <definedName name="ADM_boekee_EFS_99" hidden="1">TRUE</definedName>
    <definedName name="ADM_boekee_FA_1" hidden="1">TRUE</definedName>
    <definedName name="ADM_boekee_FA_10" hidden="1">TRUE</definedName>
    <definedName name="ADM_boekee_FA_100" hidden="1">TRUE</definedName>
    <definedName name="ADM_boekee_FA_101" hidden="1">TRUE</definedName>
    <definedName name="ADM_boekee_FA_102" hidden="1">TRUE</definedName>
    <definedName name="ADM_boekee_FA_103" hidden="1">TRUE</definedName>
    <definedName name="ADM_boekee_FA_11" hidden="1">TRUE</definedName>
    <definedName name="ADM_boekee_FA_12" hidden="1">TRUE</definedName>
    <definedName name="ADM_boekee_FA_13" hidden="1">TRUE</definedName>
    <definedName name="ADM_boekee_FA_14" hidden="1">TRUE</definedName>
    <definedName name="ADM_boekee_FA_15" hidden="1">TRUE</definedName>
    <definedName name="ADM_boekee_FA_16" hidden="1">TRUE</definedName>
    <definedName name="ADM_boekee_FA_17" hidden="1">TRUE</definedName>
    <definedName name="ADM_boekee_FA_18" hidden="1">TRUE</definedName>
    <definedName name="ADM_boekee_FA_19" hidden="1">TRUE</definedName>
    <definedName name="ADM_boekee_FA_2" hidden="1">TRUE</definedName>
    <definedName name="ADM_boekee_FA_20" hidden="1">TRUE</definedName>
    <definedName name="ADM_boekee_FA_21" hidden="1">TRUE</definedName>
    <definedName name="ADM_boekee_FA_22" hidden="1">TRUE</definedName>
    <definedName name="ADM_boekee_FA_23" hidden="1">TRUE</definedName>
    <definedName name="ADM_boekee_FA_24" hidden="1">TRUE</definedName>
    <definedName name="ADM_boekee_FA_25" hidden="1">TRUE</definedName>
    <definedName name="ADM_boekee_FA_26" hidden="1">TRUE</definedName>
    <definedName name="ADM_boekee_FA_27" hidden="1">TRUE</definedName>
    <definedName name="ADM_boekee_FA_28" hidden="1">TRUE</definedName>
    <definedName name="ADM_boekee_FA_29" hidden="1">TRUE</definedName>
    <definedName name="ADM_boekee_FA_3" hidden="1">TRUE</definedName>
    <definedName name="ADM_boekee_FA_30" hidden="1">TRUE</definedName>
    <definedName name="ADM_boekee_FA_31" hidden="1">TRUE</definedName>
    <definedName name="ADM_boekee_FA_32" hidden="1">TRUE</definedName>
    <definedName name="ADM_boekee_FA_33" hidden="1">TRUE</definedName>
    <definedName name="ADM_boekee_FA_34" hidden="1">TRUE</definedName>
    <definedName name="ADM_boekee_FA_35" hidden="1">TRUE</definedName>
    <definedName name="ADM_boekee_FA_36" hidden="1">TRUE</definedName>
    <definedName name="ADM_boekee_FA_37" hidden="1">TRUE</definedName>
    <definedName name="ADM_boekee_FA_38" hidden="1">TRUE</definedName>
    <definedName name="ADM_boekee_FA_39" hidden="1">TRUE</definedName>
    <definedName name="ADM_boekee_FA_4" hidden="1">TRUE</definedName>
    <definedName name="ADM_boekee_FA_40" hidden="1">TRUE</definedName>
    <definedName name="ADM_boekee_FA_41" hidden="1">TRUE</definedName>
    <definedName name="ADM_boekee_FA_42" hidden="1">TRUE</definedName>
    <definedName name="ADM_boekee_FA_43" hidden="1">TRUE</definedName>
    <definedName name="ADM_boekee_FA_44" hidden="1">TRUE</definedName>
    <definedName name="ADM_boekee_FA_45" hidden="1">TRUE</definedName>
    <definedName name="ADM_boekee_FA_46" hidden="1">TRUE</definedName>
    <definedName name="ADM_boekee_FA_47" hidden="1">TRUE</definedName>
    <definedName name="ADM_boekee_FA_48" hidden="1">TRUE</definedName>
    <definedName name="ADM_boekee_FA_49" hidden="1">TRUE</definedName>
    <definedName name="ADM_boekee_FA_5" hidden="1">TRUE</definedName>
    <definedName name="ADM_boekee_FA_50" hidden="1">TRUE</definedName>
    <definedName name="ADM_boekee_FA_51" hidden="1">TRUE</definedName>
    <definedName name="ADM_boekee_FA_52" hidden="1">TRUE</definedName>
    <definedName name="ADM_boekee_FA_53" hidden="1">TRUE</definedName>
    <definedName name="ADM_boekee_FA_54" hidden="1">TRUE</definedName>
    <definedName name="ADM_boekee_FA_55" hidden="1">TRUE</definedName>
    <definedName name="ADM_boekee_FA_56" hidden="1">TRUE</definedName>
    <definedName name="ADM_boekee_FA_57" hidden="1">TRUE</definedName>
    <definedName name="ADM_boekee_FA_58" hidden="1">TRUE</definedName>
    <definedName name="ADM_boekee_FA_59" hidden="1">TRUE</definedName>
    <definedName name="ADM_boekee_FA_6" hidden="1">TRUE</definedName>
    <definedName name="ADM_boekee_FA_60" hidden="1">TRUE</definedName>
    <definedName name="ADM_boekee_FA_61" hidden="1">TRUE</definedName>
    <definedName name="ADM_boekee_FA_62" hidden="1">TRUE</definedName>
    <definedName name="ADM_boekee_FA_63" hidden="1">TRUE</definedName>
    <definedName name="ADM_boekee_FA_64" hidden="1">TRUE</definedName>
    <definedName name="ADM_boekee_FA_65" hidden="1">TRUE</definedName>
    <definedName name="ADM_boekee_FA_66" hidden="1">TRUE</definedName>
    <definedName name="ADM_boekee_FA_67" hidden="1">TRUE</definedName>
    <definedName name="ADM_boekee_FA_68" hidden="1">TRUE</definedName>
    <definedName name="ADM_boekee_FA_69" hidden="1">TRUE</definedName>
    <definedName name="ADM_boekee_FA_7" hidden="1">TRUE</definedName>
    <definedName name="ADM_boekee_FA_70" hidden="1">TRUE</definedName>
    <definedName name="ADM_boekee_FA_71" hidden="1">TRUE</definedName>
    <definedName name="ADM_boekee_FA_72" hidden="1">TRUE</definedName>
    <definedName name="ADM_boekee_FA_73" hidden="1">TRUE</definedName>
    <definedName name="ADM_boekee_FA_74" hidden="1">TRUE</definedName>
    <definedName name="ADM_boekee_FA_75" hidden="1">TRUE</definedName>
    <definedName name="ADM_boekee_FA_76" hidden="1">TRUE</definedName>
    <definedName name="ADM_boekee_FA_77" hidden="1">TRUE</definedName>
    <definedName name="ADM_boekee_FA_78" hidden="1">TRUE</definedName>
    <definedName name="ADM_boekee_FA_79" hidden="1">TRUE</definedName>
    <definedName name="ADM_boekee_FA_8" hidden="1">TRUE</definedName>
    <definedName name="ADM_boekee_FA_80" hidden="1">TRUE</definedName>
    <definedName name="ADM_boekee_FA_81" hidden="1">TRUE</definedName>
    <definedName name="ADM_boekee_FA_82" hidden="1">TRUE</definedName>
    <definedName name="ADM_boekee_FA_83" hidden="1">TRUE</definedName>
    <definedName name="ADM_boekee_FA_84" hidden="1">TRUE</definedName>
    <definedName name="ADM_boekee_FA_85" hidden="1">TRUE</definedName>
    <definedName name="ADM_boekee_FA_86" hidden="1">TRUE</definedName>
    <definedName name="ADM_boekee_FA_87" hidden="1">TRUE</definedName>
    <definedName name="ADM_boekee_FA_88" hidden="1">TRUE</definedName>
    <definedName name="ADM_boekee_FA_89" hidden="1">TRUE</definedName>
    <definedName name="ADM_boekee_FA_9" hidden="1">TRUE</definedName>
    <definedName name="ADM_boekee_FA_90" hidden="1">TRUE</definedName>
    <definedName name="ADM_boekee_FA_91" hidden="1">TRUE</definedName>
    <definedName name="ADM_boekee_FA_92" hidden="1">TRUE</definedName>
    <definedName name="ADM_boekee_FA_93" hidden="1">TRUE</definedName>
    <definedName name="ADM_boekee_FA_94" hidden="1">TRUE</definedName>
    <definedName name="ADM_boekee_FA_95" hidden="1">TRUE</definedName>
    <definedName name="ADM_boekee_FA_96" hidden="1">TRUE</definedName>
    <definedName name="ADM_boekee_FA_97" hidden="1">TRUE</definedName>
    <definedName name="ADM_boekee_FA_98" hidden="1">TRUE</definedName>
    <definedName name="ADM_boekee_FA_99" hidden="1">TRUE</definedName>
    <definedName name="ADM_boekee_LEAD_1" hidden="1">TRUE</definedName>
    <definedName name="ADM_boekee_LEAD_10" hidden="1">TRUE</definedName>
    <definedName name="ADM_boekee_LEAD_100" hidden="1">TRUE</definedName>
    <definedName name="ADM_boekee_LEAD_101" hidden="1">TRUE</definedName>
    <definedName name="ADM_boekee_LEAD_102" hidden="1">TRUE</definedName>
    <definedName name="ADM_boekee_LEAD_103" hidden="1">TRUE</definedName>
    <definedName name="ADM_boekee_LEAD_11" hidden="1">TRUE</definedName>
    <definedName name="ADM_boekee_LEAD_12" hidden="1">TRUE</definedName>
    <definedName name="ADM_boekee_LEAD_13" hidden="1">TRUE</definedName>
    <definedName name="ADM_boekee_LEAD_14" hidden="1">TRUE</definedName>
    <definedName name="ADM_boekee_LEAD_15" hidden="1">TRUE</definedName>
    <definedName name="ADM_boekee_LEAD_16" hidden="1">TRUE</definedName>
    <definedName name="ADM_boekee_LEAD_17" hidden="1">TRUE</definedName>
    <definedName name="ADM_boekee_LEAD_18" hidden="1">TRUE</definedName>
    <definedName name="ADM_boekee_LEAD_19" hidden="1">TRUE</definedName>
    <definedName name="ADM_boekee_LEAD_2" hidden="1">TRUE</definedName>
    <definedName name="ADM_boekee_LEAD_20" hidden="1">TRUE</definedName>
    <definedName name="ADM_boekee_LEAD_21" hidden="1">TRUE</definedName>
    <definedName name="ADM_boekee_LEAD_22" hidden="1">TRUE</definedName>
    <definedName name="ADM_boekee_LEAD_23" hidden="1">TRUE</definedName>
    <definedName name="ADM_boekee_LEAD_24" hidden="1">TRUE</definedName>
    <definedName name="ADM_boekee_LEAD_25" hidden="1">TRUE</definedName>
    <definedName name="ADM_boekee_LEAD_26" hidden="1">TRUE</definedName>
    <definedName name="ADM_boekee_LEAD_27" hidden="1">TRUE</definedName>
    <definedName name="ADM_boekee_LEAD_28" hidden="1">TRUE</definedName>
    <definedName name="ADM_boekee_LEAD_29" hidden="1">TRUE</definedName>
    <definedName name="ADM_boekee_LEAD_3" hidden="1">TRUE</definedName>
    <definedName name="ADM_boekee_LEAD_30" hidden="1">TRUE</definedName>
    <definedName name="ADM_boekee_LEAD_31" hidden="1">TRUE</definedName>
    <definedName name="ADM_boekee_LEAD_32" hidden="1">TRUE</definedName>
    <definedName name="ADM_boekee_LEAD_33" hidden="1">TRUE</definedName>
    <definedName name="ADM_boekee_LEAD_34" hidden="1">TRUE</definedName>
    <definedName name="ADM_boekee_LEAD_35" hidden="1">TRUE</definedName>
    <definedName name="ADM_boekee_LEAD_36" hidden="1">TRUE</definedName>
    <definedName name="ADM_boekee_LEAD_37" hidden="1">TRUE</definedName>
    <definedName name="ADM_boekee_LEAD_38" hidden="1">TRUE</definedName>
    <definedName name="ADM_boekee_LEAD_39" hidden="1">TRUE</definedName>
    <definedName name="ADM_boekee_LEAD_4" hidden="1">TRUE</definedName>
    <definedName name="ADM_boekee_LEAD_40" hidden="1">TRUE</definedName>
    <definedName name="ADM_boekee_LEAD_41" hidden="1">TRUE</definedName>
    <definedName name="ADM_boekee_LEAD_42" hidden="1">TRUE</definedName>
    <definedName name="ADM_boekee_LEAD_43" hidden="1">TRUE</definedName>
    <definedName name="ADM_boekee_LEAD_44" hidden="1">TRUE</definedName>
    <definedName name="ADM_boekee_LEAD_45" hidden="1">TRUE</definedName>
    <definedName name="ADM_boekee_LEAD_46" hidden="1">TRUE</definedName>
    <definedName name="ADM_boekee_LEAD_47" hidden="1">TRUE</definedName>
    <definedName name="ADM_boekee_LEAD_48" hidden="1">TRUE</definedName>
    <definedName name="ADM_boekee_LEAD_49" hidden="1">TRUE</definedName>
    <definedName name="ADM_boekee_LEAD_5" hidden="1">TRUE</definedName>
    <definedName name="ADM_boekee_LEAD_50" hidden="1">TRUE</definedName>
    <definedName name="ADM_boekee_LEAD_51" hidden="1">TRUE</definedName>
    <definedName name="ADM_boekee_LEAD_52" hidden="1">TRUE</definedName>
    <definedName name="ADM_boekee_LEAD_53" hidden="1">TRUE</definedName>
    <definedName name="ADM_boekee_LEAD_54" hidden="1">TRUE</definedName>
    <definedName name="ADM_boekee_LEAD_55" hidden="1">TRUE</definedName>
    <definedName name="ADM_boekee_LEAD_56" hidden="1">TRUE</definedName>
    <definedName name="ADM_boekee_LEAD_57" hidden="1">TRUE</definedName>
    <definedName name="ADM_boekee_LEAD_58" hidden="1">TRUE</definedName>
    <definedName name="ADM_boekee_LEAD_59" hidden="1">TRUE</definedName>
    <definedName name="ADM_boekee_LEAD_6" hidden="1">TRUE</definedName>
    <definedName name="ADM_boekee_LEAD_60" hidden="1">TRUE</definedName>
    <definedName name="ADM_boekee_LEAD_61" hidden="1">TRUE</definedName>
    <definedName name="ADM_boekee_LEAD_62" hidden="1">TRUE</definedName>
    <definedName name="ADM_boekee_LEAD_63" hidden="1">TRUE</definedName>
    <definedName name="ADM_boekee_LEAD_64" hidden="1">TRUE</definedName>
    <definedName name="ADM_boekee_LEAD_65" hidden="1">TRUE</definedName>
    <definedName name="ADM_boekee_LEAD_66" hidden="1">TRUE</definedName>
    <definedName name="ADM_boekee_LEAD_67" hidden="1">TRUE</definedName>
    <definedName name="ADM_boekee_LEAD_68" hidden="1">TRUE</definedName>
    <definedName name="ADM_boekee_LEAD_69" hidden="1">TRUE</definedName>
    <definedName name="ADM_boekee_LEAD_7" hidden="1">TRUE</definedName>
    <definedName name="ADM_boekee_LEAD_70" hidden="1">TRUE</definedName>
    <definedName name="ADM_boekee_LEAD_71" hidden="1">TRUE</definedName>
    <definedName name="ADM_boekee_LEAD_72" hidden="1">TRUE</definedName>
    <definedName name="ADM_boekee_LEAD_73" hidden="1">TRUE</definedName>
    <definedName name="ADM_boekee_LEAD_74" hidden="1">TRUE</definedName>
    <definedName name="ADM_boekee_LEAD_75" hidden="1">TRUE</definedName>
    <definedName name="ADM_boekee_LEAD_76" hidden="1">TRUE</definedName>
    <definedName name="ADM_boekee_LEAD_77" hidden="1">TRUE</definedName>
    <definedName name="ADM_boekee_LEAD_78" hidden="1">TRUE</definedName>
    <definedName name="ADM_boekee_LEAD_79" hidden="1">TRUE</definedName>
    <definedName name="ADM_boekee_LEAD_8" hidden="1">TRUE</definedName>
    <definedName name="ADM_boekee_LEAD_80" hidden="1">TRUE</definedName>
    <definedName name="ADM_boekee_LEAD_81" hidden="1">TRUE</definedName>
    <definedName name="ADM_boekee_LEAD_82" hidden="1">TRUE</definedName>
    <definedName name="ADM_boekee_LEAD_83" hidden="1">TRUE</definedName>
    <definedName name="ADM_boekee_LEAD_84" hidden="1">TRUE</definedName>
    <definedName name="ADM_boekee_LEAD_85" hidden="1">TRUE</definedName>
    <definedName name="ADM_boekee_LEAD_86" hidden="1">TRUE</definedName>
    <definedName name="ADM_boekee_LEAD_87" hidden="1">TRUE</definedName>
    <definedName name="ADM_boekee_LEAD_88" hidden="1">TRUE</definedName>
    <definedName name="ADM_boekee_LEAD_89" hidden="1">TRUE</definedName>
    <definedName name="ADM_boekee_LEAD_9" hidden="1">TRUE</definedName>
    <definedName name="ADM_boekee_LEAD_90" hidden="1">TRUE</definedName>
    <definedName name="ADM_boekee_LEAD_91" hidden="1">TRUE</definedName>
    <definedName name="ADM_boekee_LEAD_92" hidden="1">TRUE</definedName>
    <definedName name="ADM_boekee_LEAD_93" hidden="1">TRUE</definedName>
    <definedName name="ADM_boekee_LEAD_94" hidden="1">TRUE</definedName>
    <definedName name="ADM_boekee_LEAD_95" hidden="1">TRUE</definedName>
    <definedName name="ADM_boekee_LEAD_96" hidden="1">TRUE</definedName>
    <definedName name="ADM_boekee_LEAD_97" hidden="1">TRUE</definedName>
    <definedName name="ADM_boekee_LEAD_98" hidden="1">TRUE</definedName>
    <definedName name="ADM_boekee_LEAD_99" hidden="1">TRUE</definedName>
    <definedName name="ADM_boekee_LEDGER_1" hidden="1">TRUE</definedName>
    <definedName name="ADM_boekee_LEDGER_10" hidden="1">TRUE</definedName>
    <definedName name="ADM_boekee_LEDGER_100" hidden="1">TRUE</definedName>
    <definedName name="ADM_boekee_LEDGER_101" hidden="1">TRUE</definedName>
    <definedName name="ADM_boekee_LEDGER_102" hidden="1">TRUE</definedName>
    <definedName name="ADM_boekee_LEDGER_103" hidden="1">TRUE</definedName>
    <definedName name="ADM_boekee_LEDGER_11" hidden="1">TRUE</definedName>
    <definedName name="ADM_boekee_LEDGER_12" hidden="1">TRUE</definedName>
    <definedName name="ADM_boekee_LEDGER_13" hidden="1">TRUE</definedName>
    <definedName name="ADM_boekee_LEDGER_14" hidden="1">TRUE</definedName>
    <definedName name="ADM_boekee_LEDGER_15" hidden="1">TRUE</definedName>
    <definedName name="ADM_boekee_LEDGER_16" hidden="1">TRUE</definedName>
    <definedName name="ADM_boekee_LEDGER_17" hidden="1">TRUE</definedName>
    <definedName name="ADM_boekee_LEDGER_18" hidden="1">TRUE</definedName>
    <definedName name="ADM_boekee_LEDGER_19" hidden="1">TRUE</definedName>
    <definedName name="ADM_boekee_LEDGER_2" hidden="1">TRUE</definedName>
    <definedName name="ADM_boekee_LEDGER_20" hidden="1">TRUE</definedName>
    <definedName name="ADM_boekee_LEDGER_21" hidden="1">TRUE</definedName>
    <definedName name="ADM_boekee_LEDGER_22" hidden="1">TRUE</definedName>
    <definedName name="ADM_boekee_LEDGER_23" hidden="1">TRUE</definedName>
    <definedName name="ADM_boekee_LEDGER_24" hidden="1">TRUE</definedName>
    <definedName name="ADM_boekee_LEDGER_25" hidden="1">TRUE</definedName>
    <definedName name="ADM_boekee_LEDGER_26" hidden="1">TRUE</definedName>
    <definedName name="ADM_boekee_LEDGER_27" hidden="1">TRUE</definedName>
    <definedName name="ADM_boekee_LEDGER_28" hidden="1">TRUE</definedName>
    <definedName name="ADM_boekee_LEDGER_29" hidden="1">TRUE</definedName>
    <definedName name="ADM_boekee_LEDGER_3" hidden="1">TRUE</definedName>
    <definedName name="ADM_boekee_LEDGER_30" hidden="1">TRUE</definedName>
    <definedName name="ADM_boekee_LEDGER_31" hidden="1">TRUE</definedName>
    <definedName name="ADM_boekee_LEDGER_32" hidden="1">TRUE</definedName>
    <definedName name="ADM_boekee_LEDGER_33" hidden="1">TRUE</definedName>
    <definedName name="ADM_boekee_LEDGER_34" hidden="1">TRUE</definedName>
    <definedName name="ADM_boekee_LEDGER_35" hidden="1">TRUE</definedName>
    <definedName name="ADM_boekee_LEDGER_36" hidden="1">TRUE</definedName>
    <definedName name="ADM_boekee_LEDGER_37" hidden="1">TRUE</definedName>
    <definedName name="ADM_boekee_LEDGER_38" hidden="1">TRUE</definedName>
    <definedName name="ADM_boekee_LEDGER_39" hidden="1">TRUE</definedName>
    <definedName name="ADM_boekee_LEDGER_4" hidden="1">TRUE</definedName>
    <definedName name="ADM_boekee_LEDGER_40" hidden="1">TRUE</definedName>
    <definedName name="ADM_boekee_LEDGER_41" hidden="1">TRUE</definedName>
    <definedName name="ADM_boekee_LEDGER_42" hidden="1">TRUE</definedName>
    <definedName name="ADM_boekee_LEDGER_43" hidden="1">TRUE</definedName>
    <definedName name="ADM_boekee_LEDGER_44" hidden="1">TRUE</definedName>
    <definedName name="ADM_boekee_LEDGER_45" hidden="1">TRUE</definedName>
    <definedName name="ADM_boekee_LEDGER_46" hidden="1">TRUE</definedName>
    <definedName name="ADM_boekee_LEDGER_47" hidden="1">TRUE</definedName>
    <definedName name="ADM_boekee_LEDGER_48" hidden="1">TRUE</definedName>
    <definedName name="ADM_boekee_LEDGER_49" hidden="1">TRUE</definedName>
    <definedName name="ADM_boekee_LEDGER_5" hidden="1">TRUE</definedName>
    <definedName name="ADM_boekee_LEDGER_50" hidden="1">TRUE</definedName>
    <definedName name="ADM_boekee_LEDGER_51" hidden="1">TRUE</definedName>
    <definedName name="ADM_boekee_LEDGER_52" hidden="1">TRUE</definedName>
    <definedName name="ADM_boekee_LEDGER_53" hidden="1">TRUE</definedName>
    <definedName name="ADM_boekee_LEDGER_54" hidden="1">TRUE</definedName>
    <definedName name="ADM_boekee_LEDGER_55" hidden="1">TRUE</definedName>
    <definedName name="ADM_boekee_LEDGER_56" hidden="1">TRUE</definedName>
    <definedName name="ADM_boekee_LEDGER_57" hidden="1">TRUE</definedName>
    <definedName name="ADM_boekee_LEDGER_58" hidden="1">TRUE</definedName>
    <definedName name="ADM_boekee_LEDGER_59" hidden="1">TRUE</definedName>
    <definedName name="ADM_boekee_LEDGER_6" hidden="1">TRUE</definedName>
    <definedName name="ADM_boekee_LEDGER_60" hidden="1">TRUE</definedName>
    <definedName name="ADM_boekee_LEDGER_61" hidden="1">TRUE</definedName>
    <definedName name="ADM_boekee_LEDGER_62" hidden="1">TRUE</definedName>
    <definedName name="ADM_boekee_LEDGER_63" hidden="1">TRUE</definedName>
    <definedName name="ADM_boekee_LEDGER_64" hidden="1">TRUE</definedName>
    <definedName name="ADM_boekee_LEDGER_65" hidden="1">TRUE</definedName>
    <definedName name="ADM_boekee_LEDGER_66" hidden="1">TRUE</definedName>
    <definedName name="ADM_boekee_LEDGER_67" hidden="1">TRUE</definedName>
    <definedName name="ADM_boekee_LEDGER_68" hidden="1">TRUE</definedName>
    <definedName name="ADM_boekee_LEDGER_69" hidden="1">TRUE</definedName>
    <definedName name="ADM_boekee_LEDGER_7" hidden="1">TRUE</definedName>
    <definedName name="ADM_boekee_LEDGER_70" hidden="1">TRUE</definedName>
    <definedName name="ADM_boekee_LEDGER_71" hidden="1">TRUE</definedName>
    <definedName name="ADM_boekee_LEDGER_72" hidden="1">TRUE</definedName>
    <definedName name="ADM_boekee_LEDGER_73" hidden="1">TRUE</definedName>
    <definedName name="ADM_boekee_LEDGER_74" hidden="1">TRUE</definedName>
    <definedName name="ADM_boekee_LEDGER_75" hidden="1">TRUE</definedName>
    <definedName name="ADM_boekee_LEDGER_76" hidden="1">TRUE</definedName>
    <definedName name="ADM_boekee_LEDGER_77" hidden="1">TRUE</definedName>
    <definedName name="ADM_boekee_LEDGER_78" hidden="1">TRUE</definedName>
    <definedName name="ADM_boekee_LEDGER_79" hidden="1">TRUE</definedName>
    <definedName name="ADM_boekee_LEDGER_8" hidden="1">TRUE</definedName>
    <definedName name="ADM_boekee_LEDGER_80" hidden="1">TRUE</definedName>
    <definedName name="ADM_boekee_LEDGER_81" hidden="1">TRUE</definedName>
    <definedName name="ADM_boekee_LEDGER_82" hidden="1">TRUE</definedName>
    <definedName name="ADM_boekee_LEDGER_83" hidden="1">TRUE</definedName>
    <definedName name="ADM_boekee_LEDGER_84" hidden="1">TRUE</definedName>
    <definedName name="ADM_boekee_LEDGER_85" hidden="1">TRUE</definedName>
    <definedName name="ADM_boekee_LEDGER_86" hidden="1">TRUE</definedName>
    <definedName name="ADM_boekee_LEDGER_87" hidden="1">TRUE</definedName>
    <definedName name="ADM_boekee_LEDGER_88" hidden="1">TRUE</definedName>
    <definedName name="ADM_boekee_LEDGER_89" hidden="1">TRUE</definedName>
    <definedName name="ADM_boekee_LEDGER_9" hidden="1">TRUE</definedName>
    <definedName name="ADM_boekee_LEDGER_90" hidden="1">TRUE</definedName>
    <definedName name="ADM_boekee_LEDGER_91" hidden="1">TRUE</definedName>
    <definedName name="ADM_boekee_LEDGER_92" hidden="1">TRUE</definedName>
    <definedName name="ADM_boekee_LEDGER_93" hidden="1">TRUE</definedName>
    <definedName name="ADM_boekee_LEDGER_94" hidden="1">TRUE</definedName>
    <definedName name="ADM_boekee_LEDGER_95" hidden="1">TRUE</definedName>
    <definedName name="ADM_boekee_LEDGER_96" hidden="1">TRUE</definedName>
    <definedName name="ADM_boekee_LEDGER_97" hidden="1">TRUE</definedName>
    <definedName name="ADM_boekee_LEDGER_98" hidden="1">TRUE</definedName>
    <definedName name="ADM_boekee_LEDGER_99" hidden="1">TRUE</definedName>
    <definedName name="ADM_boekee_PROJ_1" hidden="1">TRUE</definedName>
    <definedName name="ADM_boekee_PROJ_10" hidden="1">TRUE</definedName>
    <definedName name="ADM_boekee_PROJ_100" hidden="1">TRUE</definedName>
    <definedName name="ADM_boekee_PROJ_101" hidden="1">TRUE</definedName>
    <definedName name="ADM_boekee_PROJ_102" hidden="1">TRUE</definedName>
    <definedName name="ADM_boekee_PROJ_103" hidden="1">TRUE</definedName>
    <definedName name="ADM_boekee_PROJ_11" hidden="1">TRUE</definedName>
    <definedName name="ADM_boekee_PROJ_12" hidden="1">TRUE</definedName>
    <definedName name="ADM_boekee_PROJ_13" hidden="1">TRUE</definedName>
    <definedName name="ADM_boekee_PROJ_14" hidden="1">TRUE</definedName>
    <definedName name="ADM_boekee_PROJ_15" hidden="1">TRUE</definedName>
    <definedName name="ADM_boekee_PROJ_16" hidden="1">TRUE</definedName>
    <definedName name="ADM_boekee_PROJ_17" hidden="1">TRUE</definedName>
    <definedName name="ADM_boekee_PROJ_18" hidden="1">TRUE</definedName>
    <definedName name="ADM_boekee_PROJ_19" hidden="1">TRUE</definedName>
    <definedName name="ADM_boekee_PROJ_2" hidden="1">TRUE</definedName>
    <definedName name="ADM_boekee_PROJ_20" hidden="1">TRUE</definedName>
    <definedName name="ADM_boekee_PROJ_21" hidden="1">TRUE</definedName>
    <definedName name="ADM_boekee_PROJ_22" hidden="1">TRUE</definedName>
    <definedName name="ADM_boekee_PROJ_23" hidden="1">TRUE</definedName>
    <definedName name="ADM_boekee_PROJ_24" hidden="1">TRUE</definedName>
    <definedName name="ADM_boekee_PROJ_25" hidden="1">TRUE</definedName>
    <definedName name="ADM_boekee_PROJ_26" hidden="1">TRUE</definedName>
    <definedName name="ADM_boekee_PROJ_27" hidden="1">TRUE</definedName>
    <definedName name="ADM_boekee_PROJ_28" hidden="1">TRUE</definedName>
    <definedName name="ADM_boekee_PROJ_29" hidden="1">TRUE</definedName>
    <definedName name="ADM_boekee_PROJ_3" hidden="1">TRUE</definedName>
    <definedName name="ADM_boekee_PROJ_30" hidden="1">TRUE</definedName>
    <definedName name="ADM_boekee_PROJ_31" hidden="1">TRUE</definedName>
    <definedName name="ADM_boekee_PROJ_32" hidden="1">TRUE</definedName>
    <definedName name="ADM_boekee_PROJ_33" hidden="1">TRUE</definedName>
    <definedName name="ADM_boekee_PROJ_34" hidden="1">TRUE</definedName>
    <definedName name="ADM_boekee_PROJ_35" hidden="1">TRUE</definedName>
    <definedName name="ADM_boekee_PROJ_36" hidden="1">TRUE</definedName>
    <definedName name="ADM_boekee_PROJ_37" hidden="1">TRUE</definedName>
    <definedName name="ADM_boekee_PROJ_38" hidden="1">TRUE</definedName>
    <definedName name="ADM_boekee_PROJ_39" hidden="1">TRUE</definedName>
    <definedName name="ADM_boekee_PROJ_4" hidden="1">TRUE</definedName>
    <definedName name="ADM_boekee_PROJ_40" hidden="1">TRUE</definedName>
    <definedName name="ADM_boekee_PROJ_41" hidden="1">TRUE</definedName>
    <definedName name="ADM_boekee_PROJ_42" hidden="1">TRUE</definedName>
    <definedName name="ADM_boekee_PROJ_43" hidden="1">TRUE</definedName>
    <definedName name="ADM_boekee_PROJ_44" hidden="1">TRUE</definedName>
    <definedName name="ADM_boekee_PROJ_45" hidden="1">TRUE</definedName>
    <definedName name="ADM_boekee_PROJ_46" hidden="1">TRUE</definedName>
    <definedName name="ADM_boekee_PROJ_47" hidden="1">TRUE</definedName>
    <definedName name="ADM_boekee_PROJ_48" hidden="1">TRUE</definedName>
    <definedName name="ADM_boekee_PROJ_49" hidden="1">TRUE</definedName>
    <definedName name="ADM_boekee_PROJ_5" hidden="1">TRUE</definedName>
    <definedName name="ADM_boekee_PROJ_50" hidden="1">TRUE</definedName>
    <definedName name="ADM_boekee_PROJ_51" hidden="1">TRUE</definedName>
    <definedName name="ADM_boekee_PROJ_52" hidden="1">TRUE</definedName>
    <definedName name="ADM_boekee_PROJ_53" hidden="1">TRUE</definedName>
    <definedName name="ADM_boekee_PROJ_54" hidden="1">TRUE</definedName>
    <definedName name="ADM_boekee_PROJ_55" hidden="1">TRUE</definedName>
    <definedName name="ADM_boekee_PROJ_56" hidden="1">TRUE</definedName>
    <definedName name="ADM_boekee_PROJ_57" hidden="1">TRUE</definedName>
    <definedName name="ADM_boekee_PROJ_58" hidden="1">TRUE</definedName>
    <definedName name="ADM_boekee_PROJ_59" hidden="1">TRUE</definedName>
    <definedName name="ADM_boekee_PROJ_6" hidden="1">TRUE</definedName>
    <definedName name="ADM_boekee_PROJ_60" hidden="1">TRUE</definedName>
    <definedName name="ADM_boekee_PROJ_61" hidden="1">TRUE</definedName>
    <definedName name="ADM_boekee_PROJ_62" hidden="1">TRUE</definedName>
    <definedName name="ADM_boekee_PROJ_63" hidden="1">TRUE</definedName>
    <definedName name="ADM_boekee_PROJ_64" hidden="1">TRUE</definedName>
    <definedName name="ADM_boekee_PROJ_65" hidden="1">TRUE</definedName>
    <definedName name="ADM_boekee_PROJ_66" hidden="1">TRUE</definedName>
    <definedName name="ADM_boekee_PROJ_67" hidden="1">TRUE</definedName>
    <definedName name="ADM_boekee_PROJ_68" hidden="1">TRUE</definedName>
    <definedName name="ADM_boekee_PROJ_69" hidden="1">TRUE</definedName>
    <definedName name="ADM_boekee_PROJ_7" hidden="1">TRUE</definedName>
    <definedName name="ADM_boekee_PROJ_70" hidden="1">TRUE</definedName>
    <definedName name="ADM_boekee_PROJ_71" hidden="1">TRUE</definedName>
    <definedName name="ADM_boekee_PROJ_72" hidden="1">TRUE</definedName>
    <definedName name="ADM_boekee_PROJ_73" hidden="1">TRUE</definedName>
    <definedName name="ADM_boekee_PROJ_74" hidden="1">TRUE</definedName>
    <definedName name="ADM_boekee_PROJ_75" hidden="1">TRUE</definedName>
    <definedName name="ADM_boekee_PROJ_76" hidden="1">TRUE</definedName>
    <definedName name="ADM_boekee_PROJ_77" hidden="1">TRUE</definedName>
    <definedName name="ADM_boekee_PROJ_78" hidden="1">TRUE</definedName>
    <definedName name="ADM_boekee_PROJ_79" hidden="1">TRUE</definedName>
    <definedName name="ADM_boekee_PROJ_8" hidden="1">TRUE</definedName>
    <definedName name="ADM_boekee_PROJ_80" hidden="1">TRUE</definedName>
    <definedName name="ADM_boekee_PROJ_81" hidden="1">TRUE</definedName>
    <definedName name="ADM_boekee_PROJ_82" hidden="1">TRUE</definedName>
    <definedName name="ADM_boekee_PROJ_83" hidden="1">TRUE</definedName>
    <definedName name="ADM_boekee_PROJ_84" hidden="1">TRUE</definedName>
    <definedName name="ADM_boekee_PROJ_85" hidden="1">TRUE</definedName>
    <definedName name="ADM_boekee_PROJ_86" hidden="1">TRUE</definedName>
    <definedName name="ADM_boekee_PROJ_87" hidden="1">TRUE</definedName>
    <definedName name="ADM_boekee_PROJ_88" hidden="1">TRUE</definedName>
    <definedName name="ADM_boekee_PROJ_89" hidden="1">TRUE</definedName>
    <definedName name="ADM_boekee_PROJ_9" hidden="1">TRUE</definedName>
    <definedName name="ADM_boekee_PROJ_90" hidden="1">TRUE</definedName>
    <definedName name="ADM_boekee_PROJ_91" hidden="1">TRUE</definedName>
    <definedName name="ADM_boekee_PROJ_92" hidden="1">TRUE</definedName>
    <definedName name="ADM_boekee_PROJ_93" hidden="1">TRUE</definedName>
    <definedName name="ADM_boekee_PROJ_94" hidden="1">TRUE</definedName>
    <definedName name="ADM_boekee_PROJ_95" hidden="1">TRUE</definedName>
    <definedName name="ADM_boekee_PROJ_96" hidden="1">TRUE</definedName>
    <definedName name="ADM_boekee_PROJ_97" hidden="1">TRUE</definedName>
    <definedName name="ADM_boekee_PROJ_98" hidden="1">TRUE</definedName>
    <definedName name="ADM_boekee_PROJ_99" hidden="1">TRUE</definedName>
    <definedName name="ADM_boekee_TRANSACT_1" hidden="1">TRUE</definedName>
    <definedName name="ADM_boekee_TRANSACT_10" hidden="1">TRUE</definedName>
    <definedName name="ADM_boekee_TRANSACT_100" hidden="1">TRUE</definedName>
    <definedName name="ADM_boekee_TRANSACT_101" hidden="1">TRUE</definedName>
    <definedName name="ADM_boekee_TRANSACT_102" hidden="1">TRUE</definedName>
    <definedName name="ADM_boekee_TRANSACT_103" hidden="1">TRUE</definedName>
    <definedName name="ADM_boekee_TRANSACT_11" hidden="1">TRUE</definedName>
    <definedName name="ADM_boekee_TRANSACT_12" hidden="1">TRUE</definedName>
    <definedName name="ADM_boekee_TRANSACT_13" hidden="1">TRUE</definedName>
    <definedName name="ADM_boekee_TRANSACT_14" hidden="1">TRUE</definedName>
    <definedName name="ADM_boekee_TRANSACT_15" hidden="1">TRUE</definedName>
    <definedName name="ADM_boekee_TRANSACT_16" hidden="1">TRUE</definedName>
    <definedName name="ADM_boekee_TRANSACT_17" hidden="1">TRUE</definedName>
    <definedName name="ADM_boekee_TRANSACT_18" hidden="1">TRUE</definedName>
    <definedName name="ADM_boekee_TRANSACT_19" hidden="1">TRUE</definedName>
    <definedName name="ADM_boekee_TRANSACT_2" hidden="1">TRUE</definedName>
    <definedName name="ADM_boekee_TRANSACT_20" hidden="1">TRUE</definedName>
    <definedName name="ADM_boekee_TRANSACT_21" hidden="1">TRUE</definedName>
    <definedName name="ADM_boekee_TRANSACT_22" hidden="1">TRUE</definedName>
    <definedName name="ADM_boekee_TRANSACT_23" hidden="1">TRUE</definedName>
    <definedName name="ADM_boekee_TRANSACT_24" hidden="1">TRUE</definedName>
    <definedName name="ADM_boekee_TRANSACT_25" hidden="1">TRUE</definedName>
    <definedName name="ADM_boekee_TRANSACT_26" hidden="1">TRUE</definedName>
    <definedName name="ADM_boekee_TRANSACT_27" hidden="1">TRUE</definedName>
    <definedName name="ADM_boekee_TRANSACT_28" hidden="1">TRUE</definedName>
    <definedName name="ADM_boekee_TRANSACT_29" hidden="1">TRUE</definedName>
    <definedName name="ADM_boekee_TRANSACT_3" hidden="1">TRUE</definedName>
    <definedName name="ADM_boekee_TRANSACT_30" hidden="1">TRUE</definedName>
    <definedName name="ADM_boekee_TRANSACT_31" hidden="1">TRUE</definedName>
    <definedName name="ADM_boekee_TRANSACT_32" hidden="1">TRUE</definedName>
    <definedName name="ADM_boekee_TRANSACT_33" hidden="1">TRUE</definedName>
    <definedName name="ADM_boekee_TRANSACT_34" hidden="1">TRUE</definedName>
    <definedName name="ADM_boekee_TRANSACT_35" hidden="1">TRUE</definedName>
    <definedName name="ADM_boekee_TRANSACT_36" hidden="1">TRUE</definedName>
    <definedName name="ADM_boekee_TRANSACT_37" hidden="1">TRUE</definedName>
    <definedName name="ADM_boekee_TRANSACT_38" hidden="1">TRUE</definedName>
    <definedName name="ADM_boekee_TRANSACT_39" hidden="1">TRUE</definedName>
    <definedName name="ADM_boekee_TRANSACT_4" hidden="1">TRUE</definedName>
    <definedName name="ADM_boekee_TRANSACT_40" hidden="1">TRUE</definedName>
    <definedName name="ADM_boekee_TRANSACT_41" hidden="1">TRUE</definedName>
    <definedName name="ADM_boekee_TRANSACT_42" hidden="1">TRUE</definedName>
    <definedName name="ADM_boekee_TRANSACT_43" hidden="1">TRUE</definedName>
    <definedName name="ADM_boekee_TRANSACT_44" hidden="1">TRUE</definedName>
    <definedName name="ADM_boekee_TRANSACT_45" hidden="1">TRUE</definedName>
    <definedName name="ADM_boekee_TRANSACT_46" hidden="1">TRUE</definedName>
    <definedName name="ADM_boekee_TRANSACT_47" hidden="1">TRUE</definedName>
    <definedName name="ADM_boekee_TRANSACT_48" hidden="1">TRUE</definedName>
    <definedName name="ADM_boekee_TRANSACT_49" hidden="1">TRUE</definedName>
    <definedName name="ADM_boekee_TRANSACT_5" hidden="1">TRUE</definedName>
    <definedName name="ADM_boekee_TRANSACT_50" hidden="1">TRUE</definedName>
    <definedName name="ADM_boekee_TRANSACT_51" hidden="1">TRUE</definedName>
    <definedName name="ADM_boekee_TRANSACT_52" hidden="1">TRUE</definedName>
    <definedName name="ADM_boekee_TRANSACT_53" hidden="1">TRUE</definedName>
    <definedName name="ADM_boekee_TRANSACT_54" hidden="1">TRUE</definedName>
    <definedName name="ADM_boekee_TRANSACT_55" hidden="1">TRUE</definedName>
    <definedName name="ADM_boekee_TRANSACT_56" hidden="1">TRUE</definedName>
    <definedName name="ADM_boekee_TRANSACT_57" hidden="1">TRUE</definedName>
    <definedName name="ADM_boekee_TRANSACT_58" hidden="1">TRUE</definedName>
    <definedName name="ADM_boekee_TRANSACT_59" hidden="1">TRUE</definedName>
    <definedName name="ADM_boekee_TRANSACT_6" hidden="1">TRUE</definedName>
    <definedName name="ADM_boekee_TRANSACT_60" hidden="1">TRUE</definedName>
    <definedName name="ADM_boekee_TRANSACT_61" hidden="1">TRUE</definedName>
    <definedName name="ADM_boekee_TRANSACT_62" hidden="1">TRUE</definedName>
    <definedName name="ADM_boekee_TRANSACT_63" hidden="1">TRUE</definedName>
    <definedName name="ADM_boekee_TRANSACT_64" hidden="1">TRUE</definedName>
    <definedName name="ADM_boekee_TRANSACT_65" hidden="1">TRUE</definedName>
    <definedName name="ADM_boekee_TRANSACT_66" hidden="1">TRUE</definedName>
    <definedName name="ADM_boekee_TRANSACT_67" hidden="1">TRUE</definedName>
    <definedName name="ADM_boekee_TRANSACT_68" hidden="1">TRUE</definedName>
    <definedName name="ADM_boekee_TRANSACT_69" hidden="1">TRUE</definedName>
    <definedName name="ADM_boekee_TRANSACT_7" hidden="1">TRUE</definedName>
    <definedName name="ADM_boekee_TRANSACT_70" hidden="1">TRUE</definedName>
    <definedName name="ADM_boekee_TRANSACT_71" hidden="1">TRUE</definedName>
    <definedName name="ADM_boekee_TRANSACT_72" hidden="1">TRUE</definedName>
    <definedName name="ADM_boekee_TRANSACT_73" hidden="1">TRUE</definedName>
    <definedName name="ADM_boekee_TRANSACT_74" hidden="1">TRUE</definedName>
    <definedName name="ADM_boekee_TRANSACT_75" hidden="1">TRUE</definedName>
    <definedName name="ADM_boekee_TRANSACT_76" hidden="1">TRUE</definedName>
    <definedName name="ADM_boekee_TRANSACT_77" hidden="1">TRUE</definedName>
    <definedName name="ADM_boekee_TRANSACT_78" hidden="1">TRUE</definedName>
    <definedName name="ADM_boekee_TRANSACT_79" hidden="1">TRUE</definedName>
    <definedName name="ADM_boekee_TRANSACT_8" hidden="1">TRUE</definedName>
    <definedName name="ADM_boekee_TRANSACT_80" hidden="1">TRUE</definedName>
    <definedName name="ADM_boekee_TRANSACT_81" hidden="1">TRUE</definedName>
    <definedName name="ADM_boekee_TRANSACT_82" hidden="1">TRUE</definedName>
    <definedName name="ADM_boekee_TRANSACT_83" hidden="1">TRUE</definedName>
    <definedName name="ADM_boekee_TRANSACT_84" hidden="1">TRUE</definedName>
    <definedName name="ADM_boekee_TRANSACT_85" hidden="1">TRUE</definedName>
    <definedName name="ADM_boekee_TRANSACT_86" hidden="1">TRUE</definedName>
    <definedName name="ADM_boekee_TRANSACT_87" hidden="1">TRUE</definedName>
    <definedName name="ADM_boekee_TRANSACT_88" hidden="1">TRUE</definedName>
    <definedName name="ADM_boekee_TRANSACT_89" hidden="1">TRUE</definedName>
    <definedName name="ADM_boekee_TRANSACT_9" hidden="1">TRUE</definedName>
    <definedName name="ADM_boekee_TRANSACT_90" hidden="1">TRUE</definedName>
    <definedName name="ADM_boekee_TRANSACT_91" hidden="1">TRUE</definedName>
    <definedName name="ADM_boekee_TRANSACT_92" hidden="1">TRUE</definedName>
    <definedName name="ADM_boekee_TRANSACT_93" hidden="1">TRUE</definedName>
    <definedName name="ADM_boekee_TRANSACT_94" hidden="1">TRUE</definedName>
    <definedName name="ADM_boekee_TRANSACT_95" hidden="1">TRUE</definedName>
    <definedName name="ADM_boekee_TRANSACT_96" hidden="1">TRUE</definedName>
    <definedName name="ADM_boekee_TRANSACT_97" hidden="1">TRUE</definedName>
    <definedName name="ADM_boekee_TRANSACT_98" hidden="1">TRUE</definedName>
    <definedName name="ADM_boekee_TRANSACT_99" hidden="1">TRUE</definedName>
    <definedName name="ADM_COUNT" hidden="1">103</definedName>
    <definedName name="ADM_DIR_1" hidden="1">"\\vlisw307\accviewwin_8.0\2010\001\ADM6UW71.DBC"</definedName>
    <definedName name="ADM_DIR_10" hidden="1">"\\vlisw307\accviewwin_8.0\2010\010\ADMX06Z8.DBC"</definedName>
    <definedName name="ADM_DIR_100" hidden="1">"\\vlisw307\accviewwin_8.0\2012\064\ADMX1VQW.DBC"</definedName>
    <definedName name="ADM_DIR_101" hidden="1">"\\vlisw307\accviewwin_8.0\2012\066\ADMWDENK.DBC"</definedName>
    <definedName name="ADM_DIR_102" hidden="1">"\\vlisw307\accviewwin_8.0\2012\070\ADMWFEPA.DBC"</definedName>
    <definedName name="ADM_DIR_103" hidden="1">"\\vlisw307\accviewwin_8.0\2012\072\ADMXBA6Z.DBC"</definedName>
    <definedName name="ADM_DIR_11" hidden="1">"\\vlisw307\accviewwin_8.0\2010\011\ADMN4UNY.DBC"</definedName>
    <definedName name="ADM_DIR_12" hidden="1">"\\vlisw307\accviewwin_8.0\2010\015\ADMHI2Z7.DBC"</definedName>
    <definedName name="ADM_DIR_13" hidden="1">"\\vlisw307\accviewwin_8.0\2010\016\ADMQXAC9.DBC"</definedName>
    <definedName name="ADM_DIR_14" hidden="1">"\\vlisw307\accviewwin_8.0\2010\017\ADM68YUR.DBC"</definedName>
    <definedName name="ADM_DIR_15" hidden="1">"\\vlisw307\accviewwin_8.0\2010\018\ADMNAFC0.DBC"</definedName>
    <definedName name="ADM_DIR_16" hidden="1">"\\vlisw307\accviewwin_8.0\2010\019\ADM1964O.DBC"</definedName>
    <definedName name="ADM_DIR_17" hidden="1">"\\vlisw307\accviewwin_8.0\2010\021\ADM6F5VZ.DBC"</definedName>
    <definedName name="ADM_DIR_18" hidden="1">"\\vlisw307\accviewwin_8.0\2010\022\ADMR07EV.DBC"</definedName>
    <definedName name="ADM_DIR_19" hidden="1">"\\vlisw307\accviewwin_8.0\2010\023\ADM2P45G.DBC"</definedName>
    <definedName name="ADM_DIR_2" hidden="1">"\\vlisw307\accviewwin_8.0\2010\002\ADM62M06.DBC"</definedName>
    <definedName name="ADM_DIR_20" hidden="1">"\\vlisw307\accviewwin_8.0\2010\024\ADMXRXRH.DBC"</definedName>
    <definedName name="ADM_DIR_21" hidden="1">"\\vlisw307\accviewwin_8.0\2010\026\ADMU25SG.DBC"</definedName>
    <definedName name="ADM_DIR_22" hidden="1">"\\vlisw307\accviewwin_8.0\2010\040\ADMPPLJI.DBC"</definedName>
    <definedName name="ADM_DIR_23" hidden="1">"\\vlisw307\accviewwin_8.0\2010\041\ADM0DMYD.DBC"</definedName>
    <definedName name="ADM_DIR_24" hidden="1">"\\vlisw307\accviewwin_8.0\2010\045\ADMR1DBT.DBC"</definedName>
    <definedName name="ADM_DIR_25" hidden="1">"\\vlisw307\accviewwin_8.0\2010\050\ADMIMWQM.DBC"</definedName>
    <definedName name="ADM_DIR_26" hidden="1">"\\vlisw307\accviewwin_8.0\2010\052\ADMA5BHQ.DBC"</definedName>
    <definedName name="ADM_DIR_27" hidden="1">"\\vlisw307\accviewwin_8.0\2010\054\ADM85IH5.DBC"</definedName>
    <definedName name="ADM_DIR_28" hidden="1">"\\vlisw307\accviewwin_8.0\2010\055\ADMPBB9M.DBC"</definedName>
    <definedName name="ADM_DIR_29" hidden="1">"\\vlisw307\accviewwin_8.0\2010\056\ADMBD6GF.DBC"</definedName>
    <definedName name="ADM_DIR_3" hidden="1">"\\vlisw307\accviewwin_8.0\2010\003\ADMURGAC.DBC"</definedName>
    <definedName name="ADM_DIR_30" hidden="1">"\\vlisw307\accviewwin_8.0\2010\057\ADMBF5SK.DBC"</definedName>
    <definedName name="ADM_DIR_31" hidden="1">"\\vlisw307\accviewwin_8.0\2010\058\ADMBGI09.DBC"</definedName>
    <definedName name="ADM_DIR_32" hidden="1">"\\vlisw307\accviewwin_8.0\2010\059\ADMBHOIM.DBC"</definedName>
    <definedName name="ADM_DIR_33" hidden="1">"\\vlisw307\accviewwin_8.0\2010\060\ADM0UHF7.DBC"</definedName>
    <definedName name="ADM_DIR_34" hidden="1">"\\vlisw307\accviewwin_8.0\2010\064\ADMRCFRK.DBC"</definedName>
    <definedName name="ADM_DIR_35" hidden="1">"\\vlisw307\accviewwin_8.0\2010\066\ADMMV2FB.DBC"</definedName>
    <definedName name="ADM_DIR_36" hidden="1">"\\vlisw307\accviewwin_8.0\2010\070\ADM26B14.DBC"</definedName>
    <definedName name="ADM_DIR_37" hidden="1">"\\vlisw307\accviewwin_8.0\2010\072\ADMW3H05.DBC"</definedName>
    <definedName name="ADM_DIR_38" hidden="1">"\\vlisw307\accviewwin_8.0\2011\010\ADMYW363.DBC"</definedName>
    <definedName name="ADM_DIR_39" hidden="1">"\\vlisw307\accviewwin_8.0\2011\011\ADM17SBI.DBC"</definedName>
    <definedName name="ADM_DIR_4" hidden="1">"\\vlisw307\accviewwin_8.0\2010\004\ADM6L120.DBC"</definedName>
    <definedName name="ADM_DIR_40" hidden="1">"\\vlisw307\accviewwin_8.0\2011\016\ADMXOUH9.DBC"</definedName>
    <definedName name="ADM_DIR_41" hidden="1">"\\vlisw307\accviewwin_8.0\2011\017\ADM1DACA.DBC"</definedName>
    <definedName name="ADM_DIR_42" hidden="1">"\\vlisw307\accviewwin_8.0\2011\018\ADM2BS4U.DBC"</definedName>
    <definedName name="ADM_DIR_43" hidden="1">"\\vlisw307\accviewwin_8.0\2011\019\ADM2JH1P.DBC"</definedName>
    <definedName name="ADM_DIR_44" hidden="1">"\\vlisw307\accviewwin_8.0\2011\021\ADMOM5JC.DBC"</definedName>
    <definedName name="ADM_DIR_45" hidden="1">"\\vlisw307\accviewwin_8.0\2011\022\ADMM7ZOJ.DBC"</definedName>
    <definedName name="ADM_DIR_46" hidden="1">"\\vlisw307\accviewwin_8.0\2011\023\ADMZWOP1.DBC"</definedName>
    <definedName name="ADM_DIR_47" hidden="1">"\\vlisw307\accviewwin_8.0\2011\024\ADMYXCGV.DBC"</definedName>
    <definedName name="ADM_DIR_48" hidden="1">"\\vlisw307\accviewwin_8.0\2011\026\ADM399MY.DBC"</definedName>
    <definedName name="ADM_DIR_49" hidden="1">"\\vlisw307\accviewwin_8.0\2011\040\ADMUXZA7.DBC"</definedName>
    <definedName name="ADM_DIR_5" hidden="1">"\\vlisw307\accviewwin_8.0\2010\005\ADMTNYGG.DBC"</definedName>
    <definedName name="ADM_DIR_50" hidden="1">"\\vlisw307\accviewwin_8.0\2011\041\ADMVXN4C.DBC"</definedName>
    <definedName name="ADM_DIR_51" hidden="1">"\\vlisw307\accviewwin_8.0\2011\045\ADMUWT8P.DBC"</definedName>
    <definedName name="ADM_DIR_52" hidden="1">"\\vlisw307\accviewwin_8.0\2011\046\ADM0BMSN.DBC"</definedName>
    <definedName name="ADM_DIR_53" hidden="1">"\\vlisw307\accviewwin_8.0\2011\050\ADM3JY38.DBC"</definedName>
    <definedName name="ADM_DIR_54" hidden="1">"\\vlisw307\accviewwin_8.0\2011\052\ADMSXBD3.DBC"</definedName>
    <definedName name="ADM_DIR_55" hidden="1">"\\vlisw307\accviewwin_8.0\2011\054\ADMQ8ZF1.DBC"</definedName>
    <definedName name="ADM_DIR_56" hidden="1">"\\vlisw307\accviewwin_8.0\2011\055\ADMSW479.DBC"</definedName>
    <definedName name="ADM_DIR_57" hidden="1">"\\vlisw307\accviewwin_8.0\2011\056\ADMNAD11.DBC"</definedName>
    <definedName name="ADM_DIR_58" hidden="1">"\\vlisw307\accviewwin_8.0\2012\001\ADMXGY2Y.DBC"</definedName>
    <definedName name="ADM_DIR_59" hidden="1">"\\vlisw307\accviewwin_8.0\2012\002\ADMU5VIF.DBC"</definedName>
    <definedName name="ADM_DIR_6" hidden="1">"\\vlisw307\accviewwin_8.0\2010\006\ADMPZDCF.DBC"</definedName>
    <definedName name="ADM_DIR_60" hidden="1">"\\vlisw307\accviewwin_8.0\2012\003\ADMTIKI6.DBC"</definedName>
    <definedName name="ADM_DIR_61" hidden="1">"\\vlisw307\accviewwin_8.0\2012\004\ADMR4DSW.DBC"</definedName>
    <definedName name="ADM_DIR_62" hidden="1">"\\vlisw307\accviewwin_8.0\2012\005\ADMUMLZC.DBC"</definedName>
    <definedName name="ADM_DIR_63" hidden="1">"\\vlisw307\accviewwin_8.0\2012\006\ADMVUV8D.DBC"</definedName>
    <definedName name="ADM_DIR_64" hidden="1">"\\vlisw307\accviewwin_8.0\2012\006a\ADMN8V8M.DBC"</definedName>
    <definedName name="ADM_DIR_65" hidden="1">"\\vlisw307\accviewwin_8.0\2012\006b\ADMNMR7B.DBC"</definedName>
    <definedName name="ADM_DIR_66" hidden="1">"\\vlisw307\accviewwin_8.0\2012\006c\ADMNP83V.DBC"</definedName>
    <definedName name="ADM_DIR_67" hidden="1">"\\vlisw307\accviewwin_8.0\2012\006e\ADMNSXD5.DBC"</definedName>
    <definedName name="ADM_DIR_68" hidden="1">"\\vlisw307\accviewwin_8.0\2012\006g\ADMNXQP6.DBC"</definedName>
    <definedName name="ADM_DIR_69" hidden="1">"\\vlisw307\accviewwin_8.0\2012\006h\ADMO626F.DBC"</definedName>
    <definedName name="ADM_DIR_7" hidden="1">"\\vlisw307\accviewwin_8.0\2010\007\ADMH5PKV.DBC"</definedName>
    <definedName name="ADM_DIR_70" hidden="1">"\\vlisw307\accviewwin_8.0\2012\007\ADMV3FAQ.DBC"</definedName>
    <definedName name="ADM_DIR_71" hidden="1">"\\vlisw307\accviewwin_8.0\2012\008\ADMV2IC8.DBC"</definedName>
    <definedName name="ADM_DIR_72" hidden="1">"\\vlisw307\accviewwin_8.0\2012\009\ADMV4ECO.DBC"</definedName>
    <definedName name="ADM_DIR_73" hidden="1">"\\vlisw307\accviewwin_8.0\2012\010\ADM0R146.DBC"</definedName>
    <definedName name="ADM_DIR_74" hidden="1">"\\vlisw307\accviewwin_8.0\2012\011\ADM0U81J.DBC"</definedName>
    <definedName name="ADM_DIR_75" hidden="1">"\\vlisw307\accviewwin_8.0\2012\016\ADMTZJFX.DBC"</definedName>
    <definedName name="ADM_DIR_76" hidden="1">"\\vlisw307\accviewwin_8.0\2012\017\ADMPC25U.DBC"</definedName>
    <definedName name="ADM_DIR_77" hidden="1">"\\vlisw307\accviewwin_8.0\2012\018\ADM0SQ9M.DBC"</definedName>
    <definedName name="ADM_DIR_78" hidden="1">"\\vlisw307\accviewwin_8.0\2012\019\ADMVPG4H.DBC"</definedName>
    <definedName name="ADM_DIR_79" hidden="1">"\\vlisw307\accviewwin_8.0\2012\021\ADMYCQNZ.DBC"</definedName>
    <definedName name="ADM_DIR_8" hidden="1">"\\vlisw307\accviewwin_8.0\2010\008\ADM175LZ.DBC"</definedName>
    <definedName name="ADM_DIR_80" hidden="1">"\\vlisw307\accviewwin_8.0\2012\022\ADM3IXX3.DBC"</definedName>
    <definedName name="ADM_DIR_81" hidden="1">"\\vlisw307\accviewwin_8.0\2012\023\ADMTWSMY.DBC"</definedName>
    <definedName name="ADM_DIR_82" hidden="1">"\\vlisw307\accviewwin_8.0\2012\024\ADMPERRP.DBC"</definedName>
    <definedName name="ADM_DIR_83" hidden="1">"\\vlisw307\accviewwin_8.0\2012\026\ADMWE9YX.DBC"</definedName>
    <definedName name="ADM_DIR_84" hidden="1">"\\vlisw307\accviewwin_8.0\2012\029\ADMSHWT7.DBC"</definedName>
    <definedName name="ADM_DIR_85" hidden="1">"\\vlisw307\accviewwin_8.0\2012\039\ADMSTUV6.DBC"</definedName>
    <definedName name="ADM_DIR_86" hidden="1">"\\vlisw307\accviewwin_8.0\2012\040\ADMQ9OZ5.DBC"</definedName>
    <definedName name="ADM_DIR_87" hidden="1">"\\vlisw307\accviewwin_8.0\2012\041\ADMR8DIQ.DBC"</definedName>
    <definedName name="ADM_DIR_88" hidden="1">"\\vlisw307\accviewwin_8.0\2012\045\ADMQARJ6.DBC"</definedName>
    <definedName name="ADM_DIR_89" hidden="1">"\\vlisw307\accviewwin_8.0\2012\046\ADMZTGOR.DBC"</definedName>
    <definedName name="ADM_DIR_9" hidden="1">"\\vlisw307\accviewwin_8.0\2010\009\ADMPEBRX.DBC"</definedName>
    <definedName name="ADM_DIR_90" hidden="1">"\\vlisw307\accviewwin_8.0\2012\050\ADMVOILZ.DBC"</definedName>
    <definedName name="ADM_DIR_91" hidden="1">"\\vlisw307\accviewwin_8.0\2012\052\ADMSM3UK.DBC"</definedName>
    <definedName name="ADM_DIR_92" hidden="1">"\\vlisw307\accviewwin_8.0\2012\054\ADMT852G.DBC"</definedName>
    <definedName name="ADM_DIR_93" hidden="1">"\\vlisw307\accviewwin_8.0\2012\055\ADMNDF28.DBC"</definedName>
    <definedName name="ADM_DIR_94" hidden="1">"\\vlisw307\accviewwin_8.0\2012\056\ADMLFHZB.DBC"</definedName>
    <definedName name="ADM_DIR_95" hidden="1">"\\vlisw307\accviewwin_8.0\2012\057\ADMMHQG3.DBC"</definedName>
    <definedName name="ADM_DIR_96" hidden="1">"\\vlisw307\accviewwin_8.0\2012\058\ADMM7VB3.DBC"</definedName>
    <definedName name="ADM_DIR_97" hidden="1">"\\vlisw307\accviewwin_8.0\2012\059\ADMLXV8P.DBC"</definedName>
    <definedName name="ADM_DIR_98" hidden="1">"\\vlisw307\accviewwin_8.0\2012\060\ADMXIOQ1.DBC"</definedName>
    <definedName name="ADM_DIR_99" hidden="1">"\\vlisw307\accviewwin_8.0\2012\063\ADMZW5XW.DBC"</definedName>
    <definedName name="ADMAMD" localSheetId="8" hidden="1">{#N/A,#N/A,FALSE,"Adm comp";#N/A,#N/A,FALSE,"Adm ajust";"adm",#N/A,FALSE,"Administration";#N/A,#N/A,FALSE,"Adm Bgt 97 vs Prév. 96";#N/A,#N/A,FALSE,"Adm Bgt 97 vs 96"}</definedName>
    <definedName name="ADMAMD" hidden="1">{#N/A,#N/A,FALSE,"Adm comp";#N/A,#N/A,FALSE,"Adm ajust";"adm",#N/A,FALSE,"Administration";#N/A,#N/A,FALSE,"Adm Bgt 97 vs Prév. 96";#N/A,#N/A,FALSE,"Adm Bgt 97 vs 96"}</definedName>
    <definedName name="adohfvbr" localSheetId="8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adohfvbr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ADREQE" hidden="1">#REF!</definedName>
    <definedName name="ads" localSheetId="8" hidden="1">{"detail",#N/A,FALSE,"mfg";"summary",#N/A,FALSE,"mfg"}</definedName>
    <definedName name="ads" hidden="1">{"detail",#N/A,FALSE,"mfg";"summary",#N/A,FALSE,"mfg"}</definedName>
    <definedName name="ADSA" localSheetId="8" hidden="1">{#N/A,#N/A,FALSE,"Adm comp";#N/A,#N/A,FALSE,"Adm ajust";"adm",#N/A,FALSE,"Administration";#N/A,#N/A,FALSE,"Adm Bgt 97 vs Prév. 96";#N/A,#N/A,FALSE,"Adm Bgt 97 vs 96"}</definedName>
    <definedName name="ADSA" hidden="1">{#N/A,#N/A,FALSE,"Adm comp";#N/A,#N/A,FALSE,"Adm ajust";"adm",#N/A,FALSE,"Administration";#N/A,#N/A,FALSE,"Adm Bgt 97 vs Prév. 96";#N/A,#N/A,FALSE,"Adm Bgt 97 vs 96"}</definedName>
    <definedName name="ADSDASDAS" localSheetId="7" hidden="1">{"Acum Div 3",#N/A,FALSE,"Acum Diversos 3"}</definedName>
    <definedName name="ADSDASDAS" localSheetId="8" hidden="1">{"Acum Div 3",#N/A,FALSE,"Acum Diversos 3"}</definedName>
    <definedName name="ADSDASDAS" hidden="1">{"Acum Div 3",#N/A,FALSE,"Acum Diversos 3"}</definedName>
    <definedName name="adsf" localSheetId="8" hidden="1">{"QTD",#N/A,FALSE,"SUM"}</definedName>
    <definedName name="adsf" hidden="1">{"QTD",#N/A,FALSE,"SUM"}</definedName>
    <definedName name="adsfgds" localSheetId="8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adsfgds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adskvb" localSheetId="8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adskv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adslkjf" localSheetId="8" hidden="1">{"'100'!$A$1:$M$83"}</definedName>
    <definedName name="adslkjf" hidden="1">{"'100'!$A$1:$M$83"}</definedName>
    <definedName name="aedfadf" localSheetId="8" hidden="1">[0]!TextRefCopy1</definedName>
    <definedName name="aedfadf" hidden="1">[0]!TextRefCopy1</definedName>
    <definedName name="aefaef" localSheetId="8" hidden="1">{"werbung",#N/A,FALSE,"GuV9900-0399";"betrieb",#N/A,FALSE,"GuV9900-0399";"personal",#N/A,FALSE,"GuV9900-0399";"tvg",#N/A,FALSE,"GuV9900-0399";"verwaltung",#N/A,FALSE,"GuV9900-0399"}</definedName>
    <definedName name="aefaef" hidden="1">{"werbung",#N/A,FALSE,"GuV9900-0399";"betrieb",#N/A,FALSE,"GuV9900-0399";"personal",#N/A,FALSE,"GuV9900-0399";"tvg",#N/A,FALSE,"GuV9900-0399";"verwaltung",#N/A,FALSE,"GuV9900-0399"}</definedName>
    <definedName name="aefaef_1" localSheetId="8" hidden="1">{"werbung",#N/A,FALSE,"GuV9900-0399";"betrieb",#N/A,FALSE,"GuV9900-0399";"personal",#N/A,FALSE,"GuV9900-0399";"tvg",#N/A,FALSE,"GuV9900-0399";"verwaltung",#N/A,FALSE,"GuV9900-0399"}</definedName>
    <definedName name="aefaef_1" hidden="1">{"werbung",#N/A,FALSE,"GuV9900-0399";"betrieb",#N/A,FALSE,"GuV9900-0399";"personal",#N/A,FALSE,"GuV9900-0399";"tvg",#N/A,FALSE,"GuV9900-0399";"verwaltung",#N/A,FALSE,"GuV9900-0399"}</definedName>
    <definedName name="AEFDVFDSVDSFV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àèl" hidden="1">#REF!</definedName>
    <definedName name="aer" localSheetId="8" hidden="1">{"werbung",#N/A,FALSE,"GuV9900-0399";"betrieb",#N/A,FALSE,"GuV9900-0399";"personal",#N/A,FALSE,"GuV9900-0399";"tvg",#N/A,FALSE,"GuV9900-0399";"verwaltung",#N/A,FALSE,"GuV9900-0399"}</definedName>
    <definedName name="aer" hidden="1">{"werbung",#N/A,FALSE,"GuV9900-0399";"betrieb",#N/A,FALSE,"GuV9900-0399";"personal",#N/A,FALSE,"GuV9900-0399";"tvg",#N/A,FALSE,"GuV9900-0399";"verwaltung",#N/A,FALSE,"GuV9900-0399"}</definedName>
    <definedName name="aer_1" localSheetId="8" hidden="1">{"werbung",#N/A,FALSE,"GuV9900-0399";"betrieb",#N/A,FALSE,"GuV9900-0399";"personal",#N/A,FALSE,"GuV9900-0399";"tvg",#N/A,FALSE,"GuV9900-0399";"verwaltung",#N/A,FALSE,"GuV9900-0399"}</definedName>
    <definedName name="aer_1" hidden="1">{"werbung",#N/A,FALSE,"GuV9900-0399";"betrieb",#N/A,FALSE,"GuV9900-0399";"personal",#N/A,FALSE,"GuV9900-0399";"tvg",#N/A,FALSE,"GuV9900-0399";"verwaltung",#N/A,FALSE,"GuV9900-0399"}</definedName>
    <definedName name="aerew" hidden="1">{#N/A,#N/A,FALSE,"Acum Julio - 00"}</definedName>
    <definedName name="aergea" localSheetId="8" hidden="1">{"assumption 50 50",#N/A,TRUE,"Merger";"has gets cash",#N/A,TRUE,"Merger";"accretion dilution",#N/A,TRUE,"Merger";"comparison credit stats",#N/A,TRUE,"Merger";"pf credit stats",#N/A,TRUE,"Merger";"pf sheets",#N/A,TRUE,"Merger"}</definedName>
    <definedName name="aergea" hidden="1">{"assumption 50 50",#N/A,TRUE,"Merger";"has gets cash",#N/A,TRUE,"Merger";"accretion dilution",#N/A,TRUE,"Merger";"comparison credit stats",#N/A,TRUE,"Merger";"pf credit stats",#N/A,TRUE,"Merger";"pf sheets",#N/A,TRUE,"Merger"}</definedName>
    <definedName name="aergea_1" localSheetId="8" hidden="1">{"assumption 50 50",#N/A,TRUE,"Merger";"has gets cash",#N/A,TRUE,"Merger";"accretion dilution",#N/A,TRUE,"Merger";"comparison credit stats",#N/A,TRUE,"Merger";"pf credit stats",#N/A,TRUE,"Merger";"pf sheets",#N/A,TRUE,"Merger"}</definedName>
    <definedName name="aergea_1" hidden="1">{"assumption 50 50",#N/A,TRUE,"Merger";"has gets cash",#N/A,TRUE,"Merger";"accretion dilution",#N/A,TRUE,"Merger";"comparison credit stats",#N/A,TRUE,"Merger";"pf credit stats",#N/A,TRUE,"Merger";"pf sheets",#N/A,TRUE,"Merger"}</definedName>
    <definedName name="aew" localSheetId="8" hidden="1">{#N/A,"PURCHM",FALSE,"Business Analysis";#N/A,"SPADD",FALSE,"Business Analysis"}</definedName>
    <definedName name="aew" hidden="1">{#N/A,"PURCHM",FALSE,"Business Analysis";#N/A,"SPADD",FALSE,"Business Analysis"}</definedName>
    <definedName name="AF" localSheetId="8" hidden="1">{TRUE,TRUE,-2.75,-17,487.5,256.5,FALSE,TRUE,TRUE,TRUE,0,1,1,3,1,1.41666666666667,2.2,4,TRUE,TRUE,3,TRUE,1,FALSE,100,"Swvu.MDC1.","ACwvu.MDC1.",#N/A,FALSE,FALSE,0.62,0.61,1,0.984251969,2,"&amp;LAPRILIA HISPANIA
control de gestion
Margenes de contribucion y facturacion neta mensual 1996
&amp;R&amp;D","&amp;C&amp;P",FALSE,FALSE,FALSE,FALSE,1,90,#N/A,#N/A,"=R1C1:R46C18","=C1,R1:R4",#N/A,#N/A,FALSE,FALSE,TRUE,9,300,300,FALSE,FALSE,TRUE,TRUE,TRUE}</definedName>
    <definedName name="AF" hidden="1">{TRUE,TRUE,-2.75,-17,487.5,256.5,FALSE,TRUE,TRUE,TRUE,0,1,1,3,1,1.41666666666667,2.2,4,TRUE,TRUE,3,TRUE,1,FALSE,100,"Swvu.MDC1.","ACwvu.MDC1.",#N/A,FALSE,FALSE,0.62,0.61,1,0.984251969,2,"&amp;LAPRILIA HISPANIA
control de gestion
Margenes de contribucion y facturacion neta mensual 1996
&amp;R&amp;D","&amp;C&amp;P",FALSE,FALSE,FALSE,FALSE,1,90,#N/A,#N/A,"=R1C1:R46C18","=C1,R1:R4",#N/A,#N/A,FALSE,FALSE,TRUE,9,300,300,FALSE,FALSE,TRUE,TRUE,TRUE}</definedName>
    <definedName name="AF_1" localSheetId="8" hidden="1">{TRUE,TRUE,-2.75,-17,487.5,256.5,FALSE,TRUE,TRUE,TRUE,0,1,1,3,1,1.41666666666667,2.2,4,TRUE,TRUE,3,TRUE,1,FALSE,100,"Swvu.MDC1.","ACwvu.MDC1.",#N/A,FALSE,FALSE,0.62,0.61,1,0.984251969,2,"&amp;LAPRILIA HISPANIA
control de gestion
Margenes de contribucion y facturacion neta mensual 1996
&amp;R&amp;D","&amp;C&amp;P",FALSE,FALSE,FALSE,FALSE,1,90,#N/A,#N/A,"=R1C1:R46C18","=C1,R1:R4",#N/A,#N/A,FALSE,FALSE,TRUE,9,300,300,FALSE,FALSE,TRUE,TRUE,TRUE}</definedName>
    <definedName name="AF_1" hidden="1">{TRUE,TRUE,-2.75,-17,487.5,256.5,FALSE,TRUE,TRUE,TRUE,0,1,1,3,1,1.41666666666667,2.2,4,TRUE,TRUE,3,TRUE,1,FALSE,100,"Swvu.MDC1.","ACwvu.MDC1.",#N/A,FALSE,FALSE,0.62,0.61,1,0.984251969,2,"&amp;LAPRILIA HISPANIA
control de gestion
Margenes de contribucion y facturacion neta mensual 1996
&amp;R&amp;D","&amp;C&amp;P",FALSE,FALSE,FALSE,FALSE,1,90,#N/A,#N/A,"=R1C1:R46C18","=C1,R1:R4",#N/A,#N/A,FALSE,FALSE,TRUE,9,300,300,FALSE,FALSE,TRUE,TRUE,TRUE}</definedName>
    <definedName name="afaf" hidden="1">#REF!</definedName>
    <definedName name="afag" localSheetId="8" hidden="1">{"werbung",#N/A,FALSE,"GuV9900-0399";"betrieb",#N/A,FALSE,"GuV9900-0399";"personal",#N/A,FALSE,"GuV9900-0399";"tvg",#N/A,FALSE,"GuV9900-0399";"verwaltung",#N/A,FALSE,"GuV9900-0399"}</definedName>
    <definedName name="afag" hidden="1">{"werbung",#N/A,FALSE,"GuV9900-0399";"betrieb",#N/A,FALSE,"GuV9900-0399";"personal",#N/A,FALSE,"GuV9900-0399";"tvg",#N/A,FALSE,"GuV9900-0399";"verwaltung",#N/A,FALSE,"GuV9900-0399"}</definedName>
    <definedName name="afag_1" localSheetId="8" hidden="1">{"werbung",#N/A,FALSE,"GuV9900-0399";"betrieb",#N/A,FALSE,"GuV9900-0399";"personal",#N/A,FALSE,"GuV9900-0399";"tvg",#N/A,FALSE,"GuV9900-0399";"verwaltung",#N/A,FALSE,"GuV9900-0399"}</definedName>
    <definedName name="afag_1" hidden="1">{"werbung",#N/A,FALSE,"GuV9900-0399";"betrieb",#N/A,FALSE,"GuV9900-0399";"personal",#N/A,FALSE,"GuV9900-0399";"tvg",#N/A,FALSE,"GuV9900-0399";"verwaltung",#N/A,FALSE,"GuV9900-0399"}</definedName>
    <definedName name="afc" localSheetId="8" hidden="1">{"detail",#N/A,FALSE,"mfg";"summary",#N/A,FALSE,"mfg"}</definedName>
    <definedName name="afc" hidden="1">{"detail",#N/A,FALSE,"mfg";"summary",#N/A,FALSE,"mfg"}</definedName>
    <definedName name="afdadg" localSheetId="8" hidden="1">{"comp1",#N/A,FALSE,"COMPS";"footnotes",#N/A,FALSE,"COMPS"}</definedName>
    <definedName name="afdadg" hidden="1">{"comp1",#N/A,FALSE,"COMPS";"footnotes",#N/A,FALSE,"COMPS"}</definedName>
    <definedName name="afdadg_1" localSheetId="8" hidden="1">{"comp1",#N/A,FALSE,"COMPS";"footnotes",#N/A,FALSE,"COMPS"}</definedName>
    <definedName name="afdadg_1" hidden="1">{"comp1",#N/A,FALSE,"COMPS";"footnotes",#N/A,FALSE,"COMPS"}</definedName>
    <definedName name="AFDADSFDAS" localSheetId="7" hidden="1">{#N/A,#N/A,FALSE,"REPORT"}</definedName>
    <definedName name="AFDADSFDAS" localSheetId="8" hidden="1">{#N/A,#N/A,FALSE,"REPORT"}</definedName>
    <definedName name="AFDADSFDAS" hidden="1">{#N/A,#N/A,FALSE,"REPORT"}</definedName>
    <definedName name="afdgafdga" localSheetId="8" hidden="1">{"away stand alones",#N/A,FALSE,"Target"}</definedName>
    <definedName name="afdgafdga" hidden="1">{"away stand alones",#N/A,FALSE,"Target"}</definedName>
    <definedName name="afdgafdga_1" localSheetId="8" hidden="1">{"away stand alones",#N/A,FALSE,"Target"}</definedName>
    <definedName name="afdgafdga_1" hidden="1">{"away stand alones",#N/A,FALSE,"Target"}</definedName>
    <definedName name="afdgafg" localSheetId="8" hidden="1">{#N/A,#N/A,FALSE,"output";#N/A,#N/A,FALSE,"contrib";#N/A,#N/A,FALSE,"profile";#N/A,#N/A,FALSE,"comps"}</definedName>
    <definedName name="afdgafg" hidden="1">{#N/A,#N/A,FALSE,"output";#N/A,#N/A,FALSE,"contrib";#N/A,#N/A,FALSE,"profile";#N/A,#N/A,FALSE,"comps"}</definedName>
    <definedName name="afdgafg_1" localSheetId="8" hidden="1">{#N/A,#N/A,FALSE,"output";#N/A,#N/A,FALSE,"contrib";#N/A,#N/A,FALSE,"profile";#N/A,#N/A,FALSE,"comps"}</definedName>
    <definedName name="afdgafg_1" hidden="1">{#N/A,#N/A,FALSE,"output";#N/A,#N/A,FALSE,"contrib";#N/A,#N/A,FALSE,"profile";#N/A,#N/A,FALSE,"comps"}</definedName>
    <definedName name="afds" localSheetId="8" hidden="1">{"YTD",#N/A,FALSE,"SUM"}</definedName>
    <definedName name="afds" hidden="1">{"YTD",#N/A,FALSE,"SUM"}</definedName>
    <definedName name="afga" localSheetId="8" hidden="1">{#N/A,#N/A,FALSE,"Calc";#N/A,#N/A,FALSE,"Sensitivity";#N/A,#N/A,FALSE,"LT Earn.Dil.";#N/A,#N/A,FALSE,"Dil. AVP"}</definedName>
    <definedName name="afga" hidden="1">{#N/A,#N/A,FALSE,"Calc";#N/A,#N/A,FALSE,"Sensitivity";#N/A,#N/A,FALSE,"LT Earn.Dil.";#N/A,#N/A,FALSE,"Dil. AVP"}</definedName>
    <definedName name="afga_1" localSheetId="8" hidden="1">{#N/A,#N/A,FALSE,"Calc";#N/A,#N/A,FALSE,"Sensitivity";#N/A,#N/A,FALSE,"LT Earn.Dil.";#N/A,#N/A,FALSE,"Dil. AVP"}</definedName>
    <definedName name="afga_1" hidden="1">{#N/A,#N/A,FALSE,"Calc";#N/A,#N/A,FALSE,"Sensitivity";#N/A,#N/A,FALSE,"LT Earn.Dil.";#N/A,#N/A,FALSE,"Dil. AVP"}</definedName>
    <definedName name="afgadfg" localSheetId="8" hidden="1">{#N/A,#N/A,FALSE,"Calc";#N/A,#N/A,FALSE,"Sensitivity";#N/A,#N/A,FALSE,"LT Earn.Dil.";#N/A,#N/A,FALSE,"Dil. AVP"}</definedName>
    <definedName name="afgadfg" hidden="1">{#N/A,#N/A,FALSE,"Calc";#N/A,#N/A,FALSE,"Sensitivity";#N/A,#N/A,FALSE,"LT Earn.Dil.";#N/A,#N/A,FALSE,"Dil. AVP"}</definedName>
    <definedName name="afgadfg_1" localSheetId="8" hidden="1">{#N/A,#N/A,FALSE,"Calc";#N/A,#N/A,FALSE,"Sensitivity";#N/A,#N/A,FALSE,"LT Earn.Dil.";#N/A,#N/A,FALSE,"Dil. AVP"}</definedName>
    <definedName name="afgadfg_1" hidden="1">{#N/A,#N/A,FALSE,"Calc";#N/A,#N/A,FALSE,"Sensitivity";#N/A,#N/A,FALSE,"LT Earn.Dil.";#N/A,#N/A,FALSE,"Dil. AVP"}</definedName>
    <definedName name="afgafgadfgf" localSheetId="8" hidden="1">{#N/A,#N/A,FALSE,"Calc";#N/A,#N/A,FALSE,"Sensitivity";#N/A,#N/A,FALSE,"LT Earn.Dil.";#N/A,#N/A,FALSE,"Dil. AVP"}</definedName>
    <definedName name="afgafgadfgf" hidden="1">{#N/A,#N/A,FALSE,"Calc";#N/A,#N/A,FALSE,"Sensitivity";#N/A,#N/A,FALSE,"LT Earn.Dil.";#N/A,#N/A,FALSE,"Dil. AVP"}</definedName>
    <definedName name="afgafgadfgf_1" localSheetId="8" hidden="1">{#N/A,#N/A,FALSE,"Calc";#N/A,#N/A,FALSE,"Sensitivity";#N/A,#N/A,FALSE,"LT Earn.Dil.";#N/A,#N/A,FALSE,"Dil. AVP"}</definedName>
    <definedName name="afgafgadfgf_1" hidden="1">{#N/A,#N/A,FALSE,"Calc";#N/A,#N/A,FALSE,"Sensitivity";#N/A,#N/A,FALSE,"LT Earn.Dil.";#N/A,#N/A,FALSE,"Dil. AVP"}</definedName>
    <definedName name="afgeag" localSheetId="8" hidden="1">{#N/A,#N/A,FALSE,"Calc";#N/A,#N/A,FALSE,"Sensitivity";#N/A,#N/A,FALSE,"LT Earn.Dil.";#N/A,#N/A,FALSE,"Dil. AVP"}</definedName>
    <definedName name="afgeag" hidden="1">{#N/A,#N/A,FALSE,"Calc";#N/A,#N/A,FALSE,"Sensitivity";#N/A,#N/A,FALSE,"LT Earn.Dil.";#N/A,#N/A,FALSE,"Dil. AVP"}</definedName>
    <definedName name="afgeag_1" localSheetId="8" hidden="1">{#N/A,#N/A,FALSE,"Calc";#N/A,#N/A,FALSE,"Sensitivity";#N/A,#N/A,FALSE,"LT Earn.Dil.";#N/A,#N/A,FALSE,"Dil. AVP"}</definedName>
    <definedName name="afgeag_1" hidden="1">{#N/A,#N/A,FALSE,"Calc";#N/A,#N/A,FALSE,"Sensitivity";#N/A,#N/A,FALSE,"LT Earn.Dil.";#N/A,#N/A,FALSE,"Dil. AVP"}</definedName>
    <definedName name="afggf" localSheetId="8" hidden="1">{#N/A,#N/A,FALSE,"CBE";#N/A,#N/A,FALSE,"SWK"}</definedName>
    <definedName name="afggf" hidden="1">{#N/A,#N/A,FALSE,"CBE";#N/A,#N/A,FALSE,"SWK"}</definedName>
    <definedName name="afggf_1" localSheetId="8" hidden="1">{#N/A,#N/A,FALSE,"CBE";#N/A,#N/A,FALSE,"SWK"}</definedName>
    <definedName name="afggf_1" hidden="1">{#N/A,#N/A,FALSE,"CBE";#N/A,#N/A,FALSE,"SWK"}</definedName>
    <definedName name="afñh" localSheetId="8" hidden="1">{"CAP VOL",#N/A,FALSE,"CAPITAL";"CAP VAR",#N/A,FALSE,"CAPITAL";"CAP FIJ",#N/A,FALSE,"CAPITAL";"CAP CONS",#N/A,FALSE,"CAPITAL";"CAP DATA",#N/A,FALSE,"CAPITAL"}</definedName>
    <definedName name="afñh" hidden="1">{"CAP VOL",#N/A,FALSE,"CAPITAL";"CAP VAR",#N/A,FALSE,"CAPITAL";"CAP FIJ",#N/A,FALSE,"CAPITAL";"CAP CONS",#N/A,FALSE,"CAPITAL";"CAP DATA",#N/A,FALSE,"CAPITAL"}</definedName>
    <definedName name="afñh_1" localSheetId="8" hidden="1">{"CAP VOL",#N/A,FALSE,"CAPITAL";"CAP VAR",#N/A,FALSE,"CAPITAL";"CAP FIJ",#N/A,FALSE,"CAPITAL";"CAP CONS",#N/A,FALSE,"CAPITAL";"CAP DATA",#N/A,FALSE,"CAPITAL"}</definedName>
    <definedName name="afñh_1" hidden="1">{"CAP VOL",#N/A,FALSE,"CAPITAL";"CAP VAR",#N/A,FALSE,"CAPITAL";"CAP FIJ",#N/A,FALSE,"CAPITAL";"CAP CONS",#N/A,FALSE,"CAPITAL";"CAP DATA",#N/A,FALSE,"CAPITAL"}</definedName>
    <definedName name="africa" localSheetId="7" hidden="1">{#N/A,#N/A,FALSE,"CNS";#N/A,#N/A,FALSE,"Serz";#N/A,#N/A,FALSE,"Ace"}</definedName>
    <definedName name="africa" localSheetId="8" hidden="1">{#N/A,#N/A,FALSE,"CNS";#N/A,#N/A,FALSE,"Serz";#N/A,#N/A,FALSE,"Ace"}</definedName>
    <definedName name="africa" hidden="1">{#N/A,#N/A,FALSE,"CNS";#N/A,#N/A,FALSE,"Serz";#N/A,#N/A,FALSE,"Ace"}</definedName>
    <definedName name="afwrfwf" localSheetId="8" hidden="1">{#N/A,#N/A,FALSE,"SMT1";#N/A,#N/A,FALSE,"SMT2";#N/A,#N/A,FALSE,"Summary";#N/A,#N/A,FALSE,"Graphs";#N/A,#N/A,FALSE,"4 Panel"}</definedName>
    <definedName name="afwrfwf" hidden="1">{#N/A,#N/A,FALSE,"SMT1";#N/A,#N/A,FALSE,"SMT2";#N/A,#N/A,FALSE,"Summary";#N/A,#N/A,FALSE,"Graphs";#N/A,#N/A,FALSE,"4 Panel"}</definedName>
    <definedName name="ag" localSheetId="8" hidden="1">{"detail",#N/A,FALSE,"mfg";"summary",#N/A,FALSE,"mfg"}</definedName>
    <definedName name="ag" hidden="1">{"detail",#N/A,FALSE,"mfg";"summary",#N/A,FALSE,"mfg"}</definedName>
    <definedName name="ag4h" localSheetId="8" hidden="1">{"werbung",#N/A,FALSE,"GuV9900-0399";"betrieb",#N/A,FALSE,"GuV9900-0399";"personal",#N/A,FALSE,"GuV9900-0399";"tvg",#N/A,FALSE,"GuV9900-0399";"verwaltung",#N/A,FALSE,"GuV9900-0399"}</definedName>
    <definedName name="ag4h" hidden="1">{"werbung",#N/A,FALSE,"GuV9900-0399";"betrieb",#N/A,FALSE,"GuV9900-0399";"personal",#N/A,FALSE,"GuV9900-0399";"tvg",#N/A,FALSE,"GuV9900-0399";"verwaltung",#N/A,FALSE,"GuV9900-0399"}</definedName>
    <definedName name="ag4h_1" localSheetId="8" hidden="1">{"werbung",#N/A,FALSE,"GuV9900-0399";"betrieb",#N/A,FALSE,"GuV9900-0399";"personal",#N/A,FALSE,"GuV9900-0399";"tvg",#N/A,FALSE,"GuV9900-0399";"verwaltung",#N/A,FALSE,"GuV9900-0399"}</definedName>
    <definedName name="ag4h_1" hidden="1">{"werbung",#N/A,FALSE,"GuV9900-0399";"betrieb",#N/A,FALSE,"GuV9900-0399";"personal",#N/A,FALSE,"GuV9900-0399";"tvg",#N/A,FALSE,"GuV9900-0399";"verwaltung",#N/A,FALSE,"GuV9900-0399"}</definedName>
    <definedName name="aga" localSheetId="8" hidden="1">{#N/A,#N/A,FALSE,"Calc";#N/A,#N/A,FALSE,"Sensitivity";#N/A,#N/A,FALSE,"LT Earn.Dil.";#N/A,#N/A,FALSE,"Dil. AVP"}</definedName>
    <definedName name="aga" hidden="1">{#N/A,#N/A,FALSE,"Calc";#N/A,#N/A,FALSE,"Sensitivity";#N/A,#N/A,FALSE,"LT Earn.Dil.";#N/A,#N/A,FALSE,"Dil. AVP"}</definedName>
    <definedName name="aga_1" localSheetId="8" hidden="1">{#N/A,#N/A,FALSE,"Calc";#N/A,#N/A,FALSE,"Sensitivity";#N/A,#N/A,FALSE,"LT Earn.Dil.";#N/A,#N/A,FALSE,"Dil. AVP"}</definedName>
    <definedName name="aga_1" hidden="1">{#N/A,#N/A,FALSE,"Calc";#N/A,#N/A,FALSE,"Sensitivity";#N/A,#N/A,FALSE,"LT Earn.Dil.";#N/A,#N/A,FALSE,"Dil. AVP"}</definedName>
    <definedName name="agafdhsdh" localSheetId="7" hidden="1">{#N/A,#N/A,FALSE,"REPORT"}</definedName>
    <definedName name="agafdhsdh" localSheetId="8" hidden="1">{#N/A,#N/A,FALSE,"REPORT"}</definedName>
    <definedName name="agafdhsdh" hidden="1">{#N/A,#N/A,FALSE,"REPORT"}</definedName>
    <definedName name="agcd22" localSheetId="8" hidden="1">{#N/A,"PURCHM",FALSE,"Business Analysis";#N/A,"SPADD",FALSE,"Business Analysis"}</definedName>
    <definedName name="agcd22" hidden="1">{#N/A,"PURCHM",FALSE,"Business Analysis";#N/A,"SPADD",FALSE,"Business Analysis"}</definedName>
    <definedName name="agcd22bd" localSheetId="8" hidden="1">{#N/A,"PURCHM",FALSE,"Business Analysis";#N/A,"SPADD",FALSE,"Business Analysis"}</definedName>
    <definedName name="agcd22bd" hidden="1">{#N/A,"PURCHM",FALSE,"Business Analysis";#N/A,"SPADD",FALSE,"Business Analysis"}</definedName>
    <definedName name="AGE" localSheetId="8" hidden="1">{TRUE,TRUE,-2.75,-17,487.5,256.5,FALSE,TRUE,TRUE,TRUE,0,1,1,3,1,1.41666666666667,2.2,4,TRUE,TRUE,3,TRUE,1,FALSE,100,"Swvu.MDC2.","ACwvu.MDC2.",#N/A,FALSE,FALSE,0.62,0.61,1,0.984251969,2,"&amp;LAPRILIA HISPANIA
control de gestion
Margenes de contribucion y facturacion neta mensual 1996
&amp;R&amp;D","&amp;C6",FALSE,FALSE,FALSE,FALSE,1,90,#N/A,#N/A,"=R1C19:R46C34","=C1,R1:R4",#N/A,#N/A,FALSE,FALSE,TRUE,9,300,300,FALSE,FALSE,TRUE,TRUE,TRUE}</definedName>
    <definedName name="AGE" hidden="1">{TRUE,TRUE,-2.75,-17,487.5,256.5,FALSE,TRUE,TRUE,TRUE,0,1,1,3,1,1.41666666666667,2.2,4,TRUE,TRUE,3,TRUE,1,FALSE,100,"Swvu.MDC2.","ACwvu.MDC2.",#N/A,FALSE,FALSE,0.62,0.61,1,0.984251969,2,"&amp;LAPRILIA HISPANIA
control de gestion
Margenes de contribucion y facturacion neta mensual 1996
&amp;R&amp;D","&amp;C6",FALSE,FALSE,FALSE,FALSE,1,90,#N/A,#N/A,"=R1C19:R46C34","=C1,R1:R4",#N/A,#N/A,FALSE,FALSE,TRUE,9,300,300,FALSE,FALSE,TRUE,TRUE,TRUE}</definedName>
    <definedName name="AGE_1" localSheetId="8" hidden="1">{TRUE,TRUE,-2.75,-17,487.5,256.5,FALSE,TRUE,TRUE,TRUE,0,1,1,3,1,1.41666666666667,2.2,4,TRUE,TRUE,3,TRUE,1,FALSE,100,"Swvu.MDC2.","ACwvu.MDC2.",#N/A,FALSE,FALSE,0.62,0.61,1,0.984251969,2,"&amp;LAPRILIA HISPANIA
control de gestion
Margenes de contribucion y facturacion neta mensual 1996
&amp;R&amp;D","&amp;C6",FALSE,FALSE,FALSE,FALSE,1,90,#N/A,#N/A,"=R1C19:R46C34","=C1,R1:R4",#N/A,#N/A,FALSE,FALSE,TRUE,9,300,300,FALSE,FALSE,TRUE,TRUE,TRUE}</definedName>
    <definedName name="AGE_1" hidden="1">{TRUE,TRUE,-2.75,-17,487.5,256.5,FALSE,TRUE,TRUE,TRUE,0,1,1,3,1,1.41666666666667,2.2,4,TRUE,TRUE,3,TRUE,1,FALSE,100,"Swvu.MDC2.","ACwvu.MDC2.",#N/A,FALSE,FALSE,0.62,0.61,1,0.984251969,2,"&amp;LAPRILIA HISPANIA
control de gestion
Margenes de contribucion y facturacion neta mensual 1996
&amp;R&amp;D","&amp;C6",FALSE,FALSE,FALSE,FALSE,1,90,#N/A,#N/A,"=R1C19:R46C34","=C1,R1:R4",#N/A,#N/A,FALSE,FALSE,TRUE,9,300,300,FALSE,FALSE,TRUE,TRUE,TRUE}</definedName>
    <definedName name="agfdg" localSheetId="8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agfdg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agfraf" hidden="1">#REF!</definedName>
    <definedName name="agn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gra" localSheetId="8" hidden="1">{"Ergebnisbericht_UBA",#N/A,FALSE,"MB"}</definedName>
    <definedName name="agra" hidden="1">{"Ergebnisbericht_UBA",#N/A,FALSE,"MB"}</definedName>
    <definedName name="agra_1" localSheetId="8" hidden="1">{"Ergebnisbericht_UBA",#N/A,FALSE,"MB"}</definedName>
    <definedName name="agra_1" hidden="1">{"Ergebnisbericht_UBA",#N/A,FALSE,"MB"}</definedName>
    <definedName name="agsgaghgfj" localSheetId="7" hidden="1">{#N/A,#N/A,FALSE,"Pharm";#N/A,#N/A,FALSE,"WWCM"}</definedName>
    <definedName name="agsgaghgfj" localSheetId="8" hidden="1">{#N/A,#N/A,FALSE,"Pharm";#N/A,#N/A,FALSE,"WWCM"}</definedName>
    <definedName name="agsgaghgfj" hidden="1">{#N/A,#N/A,FALSE,"Pharm";#N/A,#N/A,FALSE,"WWCM"}</definedName>
    <definedName name="ah" localSheetId="8" hidden="1">{"detail",#N/A,FALSE,"mfg";"summary",#N/A,FALSE,"mfg"}</definedName>
    <definedName name="ah" hidden="1">{"detail",#N/A,FALSE,"mfg";"summary",#N/A,FALSE,"mfg"}</definedName>
    <definedName name="ahebgr" localSheetId="8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ahebgr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aheh" localSheetId="8" hidden="1">{#N/A,#N/A,FALSE,"REPORT"}</definedName>
    <definedName name="aheh" hidden="1">{#N/A,#N/A,FALSE,"REPORT"}</definedName>
    <definedName name="ahu" localSheetId="8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ahu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AI" localSheetId="8" hidden="1">{"'Sheet1'!$A$1:$H$145"}</definedName>
    <definedName name="AI" hidden="1">{"'Sheet1'!$A$1:$H$145"}</definedName>
    <definedName name="aj" localSheetId="8" hidden="1">{"detail",#N/A,FALSE,"mfg";"summary",#N/A,FALSE,"mfg"}</definedName>
    <definedName name="aj" hidden="1">{"detail",#N/A,FALSE,"mfg";"summary",#N/A,FALSE,"mfg"}</definedName>
    <definedName name="Ajax" localSheetId="8" hidden="1">{#N/A,#N/A,TRUE,"Pro Forma";#N/A,#N/A,TRUE,"PF_Bal";#N/A,#N/A,TRUE,"PF_INC";#N/A,#N/A,TRUE,"CBE";#N/A,#N/A,TRUE,"SWK"}</definedName>
    <definedName name="Ajax" hidden="1">{#N/A,#N/A,TRUE,"Pro Forma";#N/A,#N/A,TRUE,"PF_Bal";#N/A,#N/A,TRUE,"PF_INC";#N/A,#N/A,TRUE,"CBE";#N/A,#N/A,TRUE,"SWK"}</definedName>
    <definedName name="Ajax_1" localSheetId="8" hidden="1">{#N/A,#N/A,TRUE,"Pro Forma";#N/A,#N/A,TRUE,"PF_Bal";#N/A,#N/A,TRUE,"PF_INC";#N/A,#N/A,TRUE,"CBE";#N/A,#N/A,TRUE,"SWK"}</definedName>
    <definedName name="Ajax_1" hidden="1">{#N/A,#N/A,TRUE,"Pro Forma";#N/A,#N/A,TRUE,"PF_Bal";#N/A,#N/A,TRUE,"PF_INC";#N/A,#N/A,TRUE,"CBE";#N/A,#N/A,TRUE,"SWK"}</definedName>
    <definedName name="AJSXBDEI" localSheetId="8" hidden="1">{#N/A,#N/A,FALSE,"Min compa cad";#N/A,#N/A,FALSE,"Min CAN Equité ";#N/A,#N/A,FALSE,"Analyse can"}</definedName>
    <definedName name="AJSXBDEI" hidden="1">{#N/A,#N/A,FALSE,"Min compa cad";#N/A,#N/A,FALSE,"Min CAN Equité ";#N/A,#N/A,FALSE,"Analyse can"}</definedName>
    <definedName name="akdunb" localSheetId="8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akdun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akhdsvb" localSheetId="8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akhdsv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AKKQIW" localSheetId="8" hidden="1">{#N/A,#N/A,FALSE,"Adm comp";#N/A,#N/A,FALSE,"Adm ajust";"adm",#N/A,FALSE,"Administration";#N/A,#N/A,FALSE,"Adm Bgt 97 vs Prév. 96";#N/A,#N/A,FALSE,"Adm Bgt 97 vs 96"}</definedName>
    <definedName name="AKKQIW" hidden="1">{#N/A,#N/A,FALSE,"Adm comp";#N/A,#N/A,FALSE,"Adm ajust";"adm",#N/A,FALSE,"Administration";#N/A,#N/A,FALSE,"Adm Bgt 97 vs Prév. 96";#N/A,#N/A,FALSE,"Adm Bgt 97 vs 96"}</definedName>
    <definedName name="AKQIS" localSheetId="8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AKQIS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AKSJD" localSheetId="8" hidden="1">{#N/A,#N/A,FALSE,"Min compa cad";#N/A,#N/A,FALSE,"Min CAN Equité ";#N/A,#N/A,FALSE,"Analyse can"}</definedName>
    <definedName name="AKSJD" hidden="1">{#N/A,#N/A,FALSE,"Min compa cad";#N/A,#N/A,FALSE,"Min CAN Equité ";#N/A,#N/A,FALSE,"Analyse can"}</definedName>
    <definedName name="al" localSheetId="7" hidden="1">#REF!</definedName>
    <definedName name="al" localSheetId="8" hidden="1">{#N/A,#N/A,FALSE,"Global Assumptions";#N/A,#N/A,FALSE,"NZ Valuation";#N/A,#N/A,FALSE,"P&amp;L";#N/A,#N/A,FALSE,"Balance Sheet";#N/A,#N/A,FALSE,"Cash Flow";#N/A,#N/A,FALSE,"Key Assumptions";#N/A,#N/A,FALSE,"Graphs";#N/A,#N/A,FALSE,"Core EBIT Summary";#N/A,#N/A,FALSE,"National Tolls - Residential";#N/A,#N/A,FALSE,"National Tolls - Business";#N/A,#N/A,FALSE,"Internat'l Tolls - Residential";#N/A,#N/A,FALSE,"Internat'l Tolls - Business";#N/A,#N/A,FALSE,"Faxplus";#N/A,#N/A,FALSE,"Business Local Service";#N/A,#N/A,FALSE,"Data Services";#N/A,#N/A,FALSE,"Cellular"}</definedName>
    <definedName name="al" hidden="1">{#N/A,#N/A,FALSE,"Global Assumptions";#N/A,#N/A,FALSE,"NZ Valuation";#N/A,#N/A,FALSE,"P&amp;L";#N/A,#N/A,FALSE,"Balance Sheet";#N/A,#N/A,FALSE,"Cash Flow";#N/A,#N/A,FALSE,"Key Assumptions";#N/A,#N/A,FALSE,"Graphs";#N/A,#N/A,FALSE,"Core EBIT Summary";#N/A,#N/A,FALSE,"National Tolls - Residential";#N/A,#N/A,FALSE,"National Tolls - Business";#N/A,#N/A,FALSE,"Internat'l Tolls - Residential";#N/A,#N/A,FALSE,"Internat'l Tolls - Business";#N/A,#N/A,FALSE,"Faxplus";#N/A,#N/A,FALSE,"Business Local Service";#N/A,#N/A,FALSE,"Data Services";#N/A,#N/A,FALSE,"Cellular"}</definedName>
    <definedName name="ale" localSheetId="8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ale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ale_1" localSheetId="8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ale_1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alex" localSheetId="7" hidden="1">{#N/A,#N/A,FALSE,"REPORT"}</definedName>
    <definedName name="alex" localSheetId="8" hidden="1">{#N/A,#N/A,FALSE,"REPORT"}</definedName>
    <definedName name="alex" hidden="1">{#N/A,#N/A,FALSE,"REPORT"}</definedName>
    <definedName name="alexan" localSheetId="7" hidden="1">{#N/A,#N/A,FALSE,"REPORT"}</definedName>
    <definedName name="alexan" localSheetId="8" hidden="1">{#N/A,#N/A,FALSE,"REPORT"}</definedName>
    <definedName name="alexan" hidden="1">{#N/A,#N/A,FALSE,"REPORT"}</definedName>
    <definedName name="ALFA" localSheetId="8" hidden="1">{#N/A,#N/A,FALSE,"Graficos";#N/A,#N/A,FALSE,"P.Ingresos";#N/A,#N/A,FALSE,"P.Gastos";#N/A,#N/A,FALSE,"I.Trafico";#N/A,#N/A,FALSE,"I.Peajes";#N/A,#N/A,FALSE,"G.Operativos";#N/A,#N/A,FALSE,"Cf Proyecto";#N/A,#N/A,FALSE,"C.PYG";#N/A,#N/A,FALSE,"Balance";#N/A,#N/A,FALSE,"TIR AC";#N/A,#N/A,FALSE,"TIR E"}</definedName>
    <definedName name="ALFA" hidden="1">{#N/A,#N/A,FALSE,"Graficos";#N/A,#N/A,FALSE,"P.Ingresos";#N/A,#N/A,FALSE,"P.Gastos";#N/A,#N/A,FALSE,"I.Trafico";#N/A,#N/A,FALSE,"I.Peajes";#N/A,#N/A,FALSE,"G.Operativos";#N/A,#N/A,FALSE,"Cf Proyecto";#N/A,#N/A,FALSE,"C.PYG";#N/A,#N/A,FALSE,"Balance";#N/A,#N/A,FALSE,"TIR AC";#N/A,#N/A,FALSE,"TIR E"}</definedName>
    <definedName name="alireu" localSheetId="8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alireu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ALKSKDJ" localSheetId="8" hidden="1">{#N/A,#N/A,FALSE,"Centres";#N/A,#N/A,FALSE,"Partenariats";#N/A,#N/A,FALSE,"P.Diverses";#N/A,#N/A,FALSE,"Adm";#N/A,#N/A,FALSE,"Autres R-D";#N/A,#N/A,FALSE,"Intérêts"}</definedName>
    <definedName name="ALKSKDJ" hidden="1">{#N/A,#N/A,FALSE,"Centres";#N/A,#N/A,FALSE,"Partenariats";#N/A,#N/A,FALSE,"P.Diverses";#N/A,#N/A,FALSE,"Adm";#N/A,#N/A,FALSE,"Autres R-D";#N/A,#N/A,FALSE,"Intérêts"}</definedName>
    <definedName name="All" localSheetId="8" hidden="1">{#N/A,#N/A,TRUE,"Cover";#N/A,#N/A,TRUE,"Macro Assumptions";#N/A,#N/A,TRUE,"P&amp;L";#N/A,#N/A,TRUE,"BS";#N/A,#N/A,TRUE,"Tariffs DTe";#N/A,#N/A,TRUE,"Revenues";#N/A,#N/A,TRUE,"System Services";#N/A,#N/A,TRUE,"TPA";#N/A,#N/A,TRUE,"Opex 1";#N/A,#N/A,TRUE,"Opex";#N/A,#N/A,TRUE,"Assumptions";#N/A,#N/A,TRUE,"Depreciation";#N/A,#N/A,TRUE,"Capital Expenditures";#N/A,#N/A,TRUE,"WACC_DTe";#N/A,#N/A,TRUE,"WACC";#N/A,#N/A,TRUE,"DCF EBITDA Multiple";#N/A,#N/A,TRUE,"DCF Perpetual Growth";#N/A,#N/A,TRUE,"TComps";#N/A,#N/A,TRUE,"AComps"}</definedName>
    <definedName name="All" hidden="1">{#N/A,#N/A,TRUE,"Cover";#N/A,#N/A,TRUE,"Macro Assumptions";#N/A,#N/A,TRUE,"P&amp;L";#N/A,#N/A,TRUE,"BS";#N/A,#N/A,TRUE,"Tariffs DTe";#N/A,#N/A,TRUE,"Revenues";#N/A,#N/A,TRUE,"System Services";#N/A,#N/A,TRUE,"TPA";#N/A,#N/A,TRUE,"Opex 1";#N/A,#N/A,TRUE,"Opex";#N/A,#N/A,TRUE,"Assumptions";#N/A,#N/A,TRUE,"Depreciation";#N/A,#N/A,TRUE,"Capital Expenditures";#N/A,#N/A,TRUE,"WACC_DTe";#N/A,#N/A,TRUE,"WACC";#N/A,#N/A,TRUE,"DCF EBITDA Multiple";#N/A,#N/A,TRUE,"DCF Perpetual Growth";#N/A,#N/A,TRUE,"TComps";#N/A,#N/A,TRUE,"AComps"}</definedName>
    <definedName name="All_1" localSheetId="8" hidden="1">{#N/A,#N/A,TRUE,"Cover";#N/A,#N/A,TRUE,"Macro Assumptions";#N/A,#N/A,TRUE,"P&amp;L";#N/A,#N/A,TRUE,"BS";#N/A,#N/A,TRUE,"Tariffs DTe";#N/A,#N/A,TRUE,"Revenues";#N/A,#N/A,TRUE,"System Services";#N/A,#N/A,TRUE,"TPA";#N/A,#N/A,TRUE,"Opex 1";#N/A,#N/A,TRUE,"Opex";#N/A,#N/A,TRUE,"Assumptions";#N/A,#N/A,TRUE,"Depreciation";#N/A,#N/A,TRUE,"Capital Expenditures";#N/A,#N/A,TRUE,"WACC_DTe";#N/A,#N/A,TRUE,"WACC";#N/A,#N/A,TRUE,"DCF EBITDA Multiple";#N/A,#N/A,TRUE,"DCF Perpetual Growth";#N/A,#N/A,TRUE,"TComps";#N/A,#N/A,TRUE,"AComps"}</definedName>
    <definedName name="All_1" hidden="1">{#N/A,#N/A,TRUE,"Cover";#N/A,#N/A,TRUE,"Macro Assumptions";#N/A,#N/A,TRUE,"P&amp;L";#N/A,#N/A,TRUE,"BS";#N/A,#N/A,TRUE,"Tariffs DTe";#N/A,#N/A,TRUE,"Revenues";#N/A,#N/A,TRUE,"System Services";#N/A,#N/A,TRUE,"TPA";#N/A,#N/A,TRUE,"Opex 1";#N/A,#N/A,TRUE,"Opex";#N/A,#N/A,TRUE,"Assumptions";#N/A,#N/A,TRUE,"Depreciation";#N/A,#N/A,TRUE,"Capital Expenditures";#N/A,#N/A,TRUE,"WACC_DTe";#N/A,#N/A,TRUE,"WACC";#N/A,#N/A,TRUE,"DCF EBITDA Multiple";#N/A,#N/A,TRUE,"DCF Perpetual Growth";#N/A,#N/A,TRUE,"TComps";#N/A,#N/A,TRUE,"AComps"}</definedName>
    <definedName name="All_Divisions" hidden="1">#REF!</definedName>
    <definedName name="ALLEGRA" hidden="1">#REF!</definedName>
    <definedName name="Allema" hidden="1">#REF!</definedName>
    <definedName name="älll" localSheetId="8" hidden="1">{#N/A,#N/A,FALSE,"Produkte Erw.";#N/A,#N/A,FALSE,"Produkte Plan";#N/A,#N/A,FALSE,"Leistungen Erw.";#N/A,#N/A,FALSE,"Leistungen Plan";#N/A,#N/A,FALSE,"KA Allg.Kosten (2)";#N/A,#N/A,FALSE,"KA All.Kosten"}</definedName>
    <definedName name="älll" hidden="1">{#N/A,#N/A,FALSE,"Produkte Erw.";#N/A,#N/A,FALSE,"Produkte Plan";#N/A,#N/A,FALSE,"Leistungen Erw.";#N/A,#N/A,FALSE,"Leistungen Plan";#N/A,#N/A,FALSE,"KA Allg.Kosten (2)";#N/A,#N/A,FALSE,"KA All.Kosten"}</definedName>
    <definedName name="alpha" localSheetId="8" hidden="1">{#N/A,#N/A,FALSE,"CHANGES";#N/A,#N/A,FALSE,"PROD SUMMARY";#N/A,#N/A,FALSE,"1995 PO SUM";#N/A,#N/A,FALSE,"1995 GEOG SUM";#N/A,#N/A,FALSE,"1996 PO SUM";#N/A,#N/A,FALSE,"1996 GEOG SUM"}</definedName>
    <definedName name="alpha" hidden="1">{#N/A,#N/A,FALSE,"CHANGES";#N/A,#N/A,FALSE,"PROD SUMMARY";#N/A,#N/A,FALSE,"1995 PO SUM";#N/A,#N/A,FALSE,"1995 GEOG SUM";#N/A,#N/A,FALSE,"1996 PO SUM";#N/A,#N/A,FALSE,"1996 GEOG SUM"}</definedName>
    <definedName name="ALSKDJFH" localSheetId="8" hidden="1">{#N/A,#N/A,FALSE,"Min compa cad";#N/A,#N/A,FALSE,"Min CAN Equité ";#N/A,#N/A,FALSE,"Analyse can"}</definedName>
    <definedName name="ALSKDJFH" hidden="1">{#N/A,#N/A,FALSE,"Min compa cad";#N/A,#N/A,FALSE,"Min CAN Equité ";#N/A,#N/A,FALSE,"Analyse can"}</definedName>
    <definedName name="alt" localSheetId="8" hidden="1">{#N/A,#N/A,FALSE,"cover";#N/A,#N/A,FALSE,"Content ";#N/A,#N/A,FALSE,"E&amp;C Op Stat";#N/A,#N/A,FALSE,"Telcos Op Stat";#N/A,#N/A,FALSE,"Media Op Stat";#N/A,#N/A,FALSE,"Oil Op Stat";#N/A,#N/A,FALSE,"Utilities Op Stat";#N/A,#N/A,FALSE,"E&amp;C Ord An";#N/A,#N/A,FALSE,"E&amp;C Debt Nar";#N/A,#N/A,FALSE,"E&amp;C Debtors";#N/A,#N/A,FALSE,"E&amp;C CO Debt";#N/A,#N/A,FALSE,"Telcos Presales";#N/A,#N/A,FALSE,"Oil Presales";#N/A,#N/A,FALSE,"Utilities Presales"}</definedName>
    <definedName name="alt" hidden="1">{#N/A,#N/A,FALSE,"cover";#N/A,#N/A,FALSE,"Content ";#N/A,#N/A,FALSE,"E&amp;C Op Stat";#N/A,#N/A,FALSE,"Telcos Op Stat";#N/A,#N/A,FALSE,"Media Op Stat";#N/A,#N/A,FALSE,"Oil Op Stat";#N/A,#N/A,FALSE,"Utilities Op Stat";#N/A,#N/A,FALSE,"E&amp;C Ord An";#N/A,#N/A,FALSE,"E&amp;C Debt Nar";#N/A,#N/A,FALSE,"E&amp;C Debtors";#N/A,#N/A,FALSE,"E&amp;C CO Debt";#N/A,#N/A,FALSE,"Telcos Presales";#N/A,#N/A,FALSE,"Oil Presales";#N/A,#N/A,FALSE,"Utilities Presales"}</definedName>
    <definedName name="Alterinjahren" localSheetId="8" hidden="1">{#N/A,#N/A,FALSE,"USCSS ROLLUP";#N/A,#N/A,FALSE,"USCS";#N/A,#N/A,FALSE,"TARGET";#N/A,#N/A,FALSE,"MICROSOFT";#N/A,#N/A,FALSE,"AT&amp;T";#N/A,#N/A,FALSE,"ALT CHANNELS";#N/A,#N/A,FALSE,"USCS HQ"}</definedName>
    <definedName name="Alterinjahren" hidden="1">{#N/A,#N/A,FALSE,"USCSS ROLLUP";#N/A,#N/A,FALSE,"USCS";#N/A,#N/A,FALSE,"TARGET";#N/A,#N/A,FALSE,"MICROSOFT";#N/A,#N/A,FALSE,"AT&amp;T";#N/A,#N/A,FALSE,"ALT CHANNELS";#N/A,#N/A,FALSE,"USCS HQ"}</definedName>
    <definedName name="am" localSheetId="8" hidden="1">{"Res_010",#N/A,FALSE,"Res_010";"sum1",#N/A,FALSE,"Res_010"}</definedName>
    <definedName name="am" hidden="1">{"Res_010",#N/A,FALSE,"Res_010";"sum1",#N/A,FALSE,"Res_010"}</definedName>
    <definedName name="AMARYL" hidden="1">#REF!</definedName>
    <definedName name="Amilly" hidden="1">#REF!</definedName>
    <definedName name="Analyst" hidden="1">#REF!</definedName>
    <definedName name="andy" localSheetId="7" hidden="1">{#N/A,#N/A,FALSE,"REPORT"}</definedName>
    <definedName name="andy" localSheetId="8" hidden="1">{#N/A,#N/A,FALSE,"REPORT"}</definedName>
    <definedName name="andy" hidden="1">{#N/A,#N/A,FALSE,"REPORT"}</definedName>
    <definedName name="Anklesh" hidden="1">#REF!</definedName>
    <definedName name="ANKLESWSWAP" hidden="1">#REF!</definedName>
    <definedName name="anna" localSheetId="8" hidden="1">{"standalone1",#N/A,FALSE,"DCFBase";"standalone2",#N/A,FALSE,"DCFBase"}</definedName>
    <definedName name="anna" hidden="1">{"standalone1",#N/A,FALSE,"DCFBase";"standalone2",#N/A,FALSE,"DCFBase"}</definedName>
    <definedName name="anna_1" localSheetId="8" hidden="1">{"standalone1",#N/A,FALSE,"DCFBase";"standalone2",#N/A,FALSE,"DCFBase"}</definedName>
    <definedName name="anna_1" hidden="1">{"standalone1",#N/A,FALSE,"DCFBase";"standalone2",#N/A,FALSE,"DCFBase"}</definedName>
    <definedName name="anscount" localSheetId="8" hidden="1">2</definedName>
    <definedName name="anscount" hidden="1">1</definedName>
    <definedName name="anscount_1" hidden="1">1</definedName>
    <definedName name="añ" localSheetId="8" hidden="1">{"Performance Details",#N/A,FALSE,"Current Yr";"Performance Details",#N/A,FALSE,"Budget";"Performance Details",#N/A,FALSE,"Prior Year"}</definedName>
    <definedName name="añ" hidden="1">{"Performance Details",#N/A,FALSE,"Current Yr";"Performance Details",#N/A,FALSE,"Budget";"Performance Details",#N/A,FALSE,"Prior Year"}</definedName>
    <definedName name="äöäö" localSheetId="8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äöäö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AOQBD" localSheetId="8" hidden="1">{#N/A,#N/A,FALSE,"Adm comp";#N/A,#N/A,FALSE,"Adm ajust";"adm",#N/A,FALSE,"Administration";#N/A,#N/A,FALSE,"Adm Bgt 97 vs Prév. 96";#N/A,#N/A,FALSE,"Adm Bgt 97 vs 96"}</definedName>
    <definedName name="AOQBD" hidden="1">{#N/A,#N/A,FALSE,"Adm comp";#N/A,#N/A,FALSE,"Adm ajust";"adm",#N/A,FALSE,"Administration";#N/A,#N/A,FALSE,"Adm Bgt 97 vs Prév. 96";#N/A,#N/A,FALSE,"Adm Bgt 97 vs 96"}</definedName>
    <definedName name="ap" localSheetId="8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ap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ap_1" localSheetId="8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ap_1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APIDRA" hidden="1">#REF!</definedName>
    <definedName name="Appendices" hidden="1">{#N/A,#N/A,FALSE,"ACQ_GRAPHS";#N/A,#N/A,FALSE,"T_1 GRAPHS";#N/A,#N/A,FALSE,"T_2 GRAPHS";#N/A,#N/A,FALSE,"COMB_GRAPHS"}</definedName>
    <definedName name="appendix4" localSheetId="7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pendix4" localSheetId="8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pendix4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pendix4_1" localSheetId="7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pendix4_1" localSheetId="8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pendix4_1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pendix41" localSheetId="8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pendix41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ROVEL" hidden="1">#REF!</definedName>
    <definedName name="aqw" localSheetId="8" hidden="1">{#N/A,"PURCHM",FALSE,"Business Analysis";#N/A,"SPADD",FALSE,"Business Analysis"}</definedName>
    <definedName name="aqw" hidden="1">{#N/A,"PURCHM",FALSE,"Business Analysis";#N/A,"SPADD",FALSE,"Business Analysis"}</definedName>
    <definedName name="ARACELI" localSheetId="8" hidden="1">{"'Segmentos de Clientes'!$B$3:$F$14"}</definedName>
    <definedName name="ARACELI" hidden="1">{"'Segmentos de Clientes'!$B$3:$F$14"}</definedName>
    <definedName name="ARACELI_1" localSheetId="8" hidden="1">{"'Segmentos de Clientes'!$B$3:$F$14"}</definedName>
    <definedName name="ARACELI_1" hidden="1">{"'Segmentos de Clientes'!$B$3:$F$14"}</definedName>
    <definedName name="ARAVA" hidden="1">#REF!</definedName>
    <definedName name="ard" localSheetId="8" hidden="1">{"'TYPE (2)'!$A$1:$Q$76"}</definedName>
    <definedName name="ard" hidden="1">{"'TYPE (2)'!$A$1:$Q$76"}</definedName>
    <definedName name="are" localSheetId="8" hidden="1">{#N/A,#N/A,FALSE,"Sheet1"}</definedName>
    <definedName name="are" hidden="1">{#N/A,#N/A,FALSE,"Sheet1"}</definedName>
    <definedName name="Arg" hidden="1">#REF!</definedName>
    <definedName name="argag" localSheetId="8" hidden="1">{"comps",#N/A,FALSE,"comps";"notes",#N/A,FALSE,"comps"}</definedName>
    <definedName name="argag" hidden="1">{"comps",#N/A,FALSE,"comps";"notes",#N/A,FALSE,"comps"}</definedName>
    <definedName name="argag_1" localSheetId="8" hidden="1">{"comps",#N/A,FALSE,"comps";"notes",#N/A,FALSE,"comps"}</definedName>
    <definedName name="argag_1" hidden="1">{"comps",#N/A,FALSE,"comps";"notes",#N/A,FALSE,"comps"}</definedName>
    <definedName name="argdfae" localSheetId="8" hidden="1">{"werbung",#N/A,FALSE,"GuV9900-0399";"betrieb",#N/A,FALSE,"GuV9900-0399";"personal",#N/A,FALSE,"GuV9900-0399";"tvg",#N/A,FALSE,"GuV9900-0399";"verwaltung",#N/A,FALSE,"GuV9900-0399"}</definedName>
    <definedName name="argdfae" hidden="1">{"werbung",#N/A,FALSE,"GuV9900-0399";"betrieb",#N/A,FALSE,"GuV9900-0399";"personal",#N/A,FALSE,"GuV9900-0399";"tvg",#N/A,FALSE,"GuV9900-0399";"verwaltung",#N/A,FALSE,"GuV9900-0399"}</definedName>
    <definedName name="argdfae_1" localSheetId="8" hidden="1">{"werbung",#N/A,FALSE,"GuV9900-0399";"betrieb",#N/A,FALSE,"GuV9900-0399";"personal",#N/A,FALSE,"GuV9900-0399";"tvg",#N/A,FALSE,"GuV9900-0399";"verwaltung",#N/A,FALSE,"GuV9900-0399"}</definedName>
    <definedName name="argdfae_1" hidden="1">{"werbung",#N/A,FALSE,"GuV9900-0399";"betrieb",#N/A,FALSE,"GuV9900-0399";"personal",#N/A,FALSE,"GuV9900-0399";"tvg",#N/A,FALSE,"GuV9900-0399";"verwaltung",#N/A,FALSE,"GuV9900-0399"}</definedName>
    <definedName name="aRGENTINA" hidden="1">#REF!</definedName>
    <definedName name="art" localSheetId="8" hidden="1">{"First Page",#N/A,FALSE,"Surfactants LBO";"Second Page",#N/A,FALSE,"Surfactants LBO"}</definedName>
    <definedName name="art" hidden="1">{"First Page",#N/A,FALSE,"Surfactants LBO";"Second Page",#N/A,FALSE,"Surfactants LBO"}</definedName>
    <definedName name="art_1" localSheetId="8" hidden="1">{"First Page",#N/A,FALSE,"Surfactants LBO";"Second Page",#N/A,FALSE,"Surfactants LBO"}</definedName>
    <definedName name="art_1" hidden="1">{"First Page",#N/A,FALSE,"Surfactants LBO";"Second Page",#N/A,FALSE,"Surfactants LBO"}</definedName>
    <definedName name="Artems" localSheetId="8" hidden="1">{"First Page",#N/A,FALSE,"Surfactants LBO";"Second Page",#N/A,FALSE,"Surfactants LBO"}</definedName>
    <definedName name="Artems" hidden="1">{"First Page",#N/A,FALSE,"Surfactants LBO";"Second Page",#N/A,FALSE,"Surfactants LBO"}</definedName>
    <definedName name="Artems_1" localSheetId="8" hidden="1">{"First Page",#N/A,FALSE,"Surfactants LBO";"Second Page",#N/A,FALSE,"Surfactants LBO"}</definedName>
    <definedName name="Artems_1" hidden="1">{"First Page",#N/A,FALSE,"Surfactants LBO";"Second Page",#N/A,FALSE,"Surfactants LBO"}</definedName>
    <definedName name="Artic" localSheetId="8" hidden="1">{"First Page",#N/A,FALSE,"Surfactants LBO";"Second Page",#N/A,FALSE,"Surfactants LBO"}</definedName>
    <definedName name="Artic" hidden="1">{"First Page",#N/A,FALSE,"Surfactants LBO";"Second Page",#N/A,FALSE,"Surfactants LBO"}</definedName>
    <definedName name="Artic_1" localSheetId="8" hidden="1">{"First Page",#N/A,FALSE,"Surfactants LBO";"Second Page",#N/A,FALSE,"Surfactants LBO"}</definedName>
    <definedName name="Artic_1" hidden="1">{"First Page",#N/A,FALSE,"Surfactants LBO";"Second Page",#N/A,FALSE,"Surfactants LBO"}</definedName>
    <definedName name="arv" localSheetId="8" hidden="1">{"'TYPE (2)'!$A$1:$Q$76"}</definedName>
    <definedName name="arv" hidden="1">{"'TYPE (2)'!$A$1:$Q$76"}</definedName>
    <definedName name="AS" localSheetId="7" hidden="1">{#N/A,#N/A,FALSE,"Pharm";#N/A,#N/A,FALSE,"WWCM"}</definedName>
    <definedName name="AS" localSheetId="8" hidden="1">{#N/A,#N/A,FALSE,"Pharm";#N/A,#N/A,FALSE,"WWCM"}</definedName>
    <definedName name="as" hidden="1">{#N/A,#N/A,FALSE,"Pliego";#N/A,#N/A,FALSE,"Coeficientes";#N/A,#N/A,FALSE,"Cond. Diseño";#N/A,#N/A,FALSE,"Reactor Cullera";#N/A,#N/A,FALSE,"Tres fases";#N/A,#N/A,FALSE,"Dos fases";#N/A,#N/A,FALSE,"Resumen";#N/A,#N/A,FALSE,"Fosforo";#N/A,#N/A,FALSE,"Recirculacion";#N/A,#N/A,FALSE,"Exceso fango";#N/A,#N/A,FALSE,"Decantador";#N/A,#N/A,FALSE,"Desinfeccion";#N/A,#N/A,FALSE,"Recir. int."}</definedName>
    <definedName name="as.as." hidden="1">{#N/A,#N/A,FALSE,"Acum Julio - 00"}</definedName>
    <definedName name="AS2DocOpenMode" hidden="1">"AS2DocumentEdit"</definedName>
    <definedName name="AS2HasNoAutoHeaderFooter" hidden="1">" "</definedName>
    <definedName name="AS2LinkLS" hidden="1">#REF!</definedName>
    <definedName name="AS2NamedRange" localSheetId="7" hidden="1">4</definedName>
    <definedName name="AS2NamedRange" localSheetId="8" hidden="1">4</definedName>
    <definedName name="AS2NamedRange" hidden="1">9</definedName>
    <definedName name="AS2ReportLS" hidden="1">1</definedName>
    <definedName name="AS2StaticLS" localSheetId="7" hidden="1">#REF!</definedName>
    <definedName name="AS2StaticLS" localSheetId="8" hidden="1">#REF!</definedName>
    <definedName name="AS2StaticLS" hidden="1">#REF!</definedName>
    <definedName name="AS2SyncStepLS" hidden="1">0</definedName>
    <definedName name="AS2TaxWorkpaper" hidden="1">" "</definedName>
    <definedName name="AS2TickmarkLS" localSheetId="7" hidden="1">#REF!</definedName>
    <definedName name="AS2TickmarkLS" localSheetId="8" hidden="1">#REF!</definedName>
    <definedName name="AS2TickmarkLS" hidden="1">#REF!</definedName>
    <definedName name="AS2VersionLS" hidden="1">300</definedName>
    <definedName name="asas" localSheetId="7" hidden="1">{#N/A,#N/A,FALSE,"Pharm";#N/A,#N/A,FALSE,"WWCM"}</definedName>
    <definedName name="asas" localSheetId="8" hidden="1">{#N/A,#N/A,FALSE,"Pharm";#N/A,#N/A,FALSE,"WWCM"}</definedName>
    <definedName name="asas" hidden="1">{#N/A,#N/A,FALSE,"Pharm";#N/A,#N/A,FALSE,"WWCM"}</definedName>
    <definedName name="asasa" localSheetId="7" hidden="1">{"Monthly6Q",#N/A,FALSE,"0614ESL"}</definedName>
    <definedName name="asasa" localSheetId="8" hidden="1">{"Monthly6Q",#N/A,FALSE,"0614ESL"}</definedName>
    <definedName name="asasa" hidden="1">{"Acum Div 1",#N/A,FALSE,"Acum Diversos 1"}</definedName>
    <definedName name="asazs" localSheetId="8" hidden="1">{#N/A,#N/A,FALSE,"Valuation Assumptions";#N/A,#N/A,FALSE,"Summary";#N/A,#N/A,FALSE,"DCF";#N/A,#N/A,FALSE,"Valuation";#N/A,#N/A,FALSE,"WACC";#N/A,#N/A,FALSE,"UBVH";#N/A,#N/A,FALSE,"Free Cash Flow"}</definedName>
    <definedName name="asazs" hidden="1">{#N/A,#N/A,FALSE,"Valuation Assumptions";#N/A,#N/A,FALSE,"Summary";#N/A,#N/A,FALSE,"DCF";#N/A,#N/A,FALSE,"Valuation";#N/A,#N/A,FALSE,"WACC";#N/A,#N/A,FALSE,"UBVH";#N/A,#N/A,FALSE,"Free Cash Flow"}</definedName>
    <definedName name="asbfahnahtqahq" localSheetId="8" hidden="1">#REF!</definedName>
    <definedName name="asbfahnahtqahq" hidden="1">#REF!</definedName>
    <definedName name="asc" localSheetId="8" hidden="1">{#N/A,#N/A,TRUE,"Voorblad B";#N/A,#N/A,TRUE,"Table of Content FinCom B";#N/A,#N/A,TRUE,"A3-P&amp;L by Bus.Unt-Serv.Unt";#N/A,#N/A,TRUE,"Summary carrier service";#N/A,#N/A,TRUE,"Summary Large accounts";#N/A,#N/A,TRUE,"Summary Consumer";#N/A,#N/A,TRUE,"Mobile";#N/A,#N/A,TRUE,"B5-Mobile(1) ";#N/A,#N/A,TRUE,"B4-GM per Product";#N/A,#N/A,TRUE,"Summary N&amp;S";#N/A,#N/A,TRUE,"B15-Network ";#N/A,#N/A,TRUE,"Summary ITbilling";#N/A,#N/A,TRUE,"Billing backlog";#N/A,#N/A,TRUE,"Summary Corporate";#N/A,#N/A,TRUE,"A5-Bal_Sheet CF";#N/A,#N/A,TRUE,"A6-Bal_Sheet CF by Old org. ";#N/A,#N/A,TRUE,"P13-Funding- Inter.";#N/A,#N/A,TRUE,"P14-Risk &amp; Fraud Fixed";#N/A,#N/A,TRUE,"P14-Risk &amp; Fraud Mobile";#N/A,#N/A,TRUE,"Accounts payable"}</definedName>
    <definedName name="asc" hidden="1">{#N/A,#N/A,TRUE,"Voorblad B";#N/A,#N/A,TRUE,"Table of Content FinCom B";#N/A,#N/A,TRUE,"A3-P&amp;L by Bus.Unt-Serv.Unt";#N/A,#N/A,TRUE,"Summary carrier service";#N/A,#N/A,TRUE,"Summary Large accounts";#N/A,#N/A,TRUE,"Summary Consumer";#N/A,#N/A,TRUE,"Mobile";#N/A,#N/A,TRUE,"B5-Mobile(1) ";#N/A,#N/A,TRUE,"B4-GM per Product";#N/A,#N/A,TRUE,"Summary N&amp;S";#N/A,#N/A,TRUE,"B15-Network ";#N/A,#N/A,TRUE,"Summary ITbilling";#N/A,#N/A,TRUE,"Billing backlog";#N/A,#N/A,TRUE,"Summary Corporate";#N/A,#N/A,TRUE,"A5-Bal_Sheet CF";#N/A,#N/A,TRUE,"A6-Bal_Sheet CF by Old org. ";#N/A,#N/A,TRUE,"P13-Funding- Inter.";#N/A,#N/A,TRUE,"P14-Risk &amp; Fraud Fixed";#N/A,#N/A,TRUE,"P14-Risk &amp; Fraud Mobile";#N/A,#N/A,TRUE,"Accounts payable"}</definedName>
    <definedName name="asd" localSheetId="7" hidden="1">{#N/A,#N/A,FALSE,"Pharm";#N/A,#N/A,FALSE,"WWCM"}</definedName>
    <definedName name="asd" localSheetId="8" hidden="1">{#N/A,#N/A,FALSE,"Pharm";#N/A,#N/A,FALSE,"WWCM"}</definedName>
    <definedName name="asd" hidden="1">{#N/A,#N/A,FALSE,"Pharm";#N/A,#N/A,FALSE,"WWCM"}</definedName>
    <definedName name="asd_s.mcscmlcscñcl" hidden="1">{#N/A,#N/A,FALSE,"INPUTS";#N/A,#N/A,FALSE,"PROFORMA BSHEET";#N/A,#N/A,FALSE,"COMBINED";#N/A,#N/A,FALSE,"ACQUIROR";#N/A,#N/A,FALSE,"TARGET 1";#N/A,#N/A,FALSE,"TARGET 2";#N/A,#N/A,FALSE,"HIGH YIELD";#N/A,#N/A,FALSE,"OVERFUND"}</definedName>
    <definedName name="asda" localSheetId="8" hidden="1">{"AS",#N/A,FALSE,"Dec_BS";"LIAB",#N/A,FALSE,"Dec_BS"}</definedName>
    <definedName name="asda" hidden="1">{"'FLUOXETINE'!$A$1:$I$24"}</definedName>
    <definedName name="asdad" localSheetId="8" hidden="1">{"AS",#N/A,FALSE,"Dec_BS_Fnl";"LIAB",#N/A,FALSE,"Dec_BS_Fnl"}</definedName>
    <definedName name="asdad" hidden="1">{"AS",#N/A,FALSE,"Dec_BS_Fnl";"LIAB",#N/A,FALSE,"Dec_BS_Fnl"}</definedName>
    <definedName name="asdadsad" localSheetId="8" hidden="1">{"AS",#N/A,FALSE,"Dec_BS";"LIAB",#N/A,FALSE,"Dec_BS"}</definedName>
    <definedName name="asdadsad" hidden="1">{"AS",#N/A,FALSE,"Dec_BS";"LIAB",#N/A,FALSE,"Dec_BS"}</definedName>
    <definedName name="asdasd" hidden="1">#REF!</definedName>
    <definedName name="asdd" hidden="1">{"'RR'!$A$2:$E$81"}</definedName>
    <definedName name="asddddddd" hidden="1">{#N/A,#N/A,FALSE,"Acum Julio - 00"}</definedName>
    <definedName name="asder" hidden="1">#REF!</definedName>
    <definedName name="asdf" localSheetId="7" hidden="1">#REF!</definedName>
    <definedName name="asdf" localSheetId="8" hidden="1">#REF!</definedName>
    <definedName name="asdf" hidden="1">{"Commentary",#N/A,FALSE,"May"}</definedName>
    <definedName name="asdf_1" localSheetId="8" hidden="1">{"Ergebnisbericht_UBA",#N/A,FALSE,"MB"}</definedName>
    <definedName name="asdf_1" hidden="1">{"Ergebnisbericht_UBA",#N/A,FALSE,"MB"}</definedName>
    <definedName name="asdf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asdfas" localSheetId="8" hidden="1">{"comp1",#N/A,FALSE,"COMPS";"footnotes",#N/A,FALSE,"COMPS"}</definedName>
    <definedName name="asdfas" hidden="1">{"comp1",#N/A,FALSE,"COMPS";"footnotes",#N/A,FALSE,"COMPS"}</definedName>
    <definedName name="asdfasd" localSheetId="8" hidden="1">#REF!</definedName>
    <definedName name="asdfasd" hidden="1">#REF!</definedName>
    <definedName name="asdfasdf" localSheetId="8" hidden="1">{"Eilbericht_UBA",#N/A,FALSE,"EB"}</definedName>
    <definedName name="asdfasdf" hidden="1">{"Eilbericht_UBA",#N/A,FALSE,"EB"}</definedName>
    <definedName name="asdfasdf_1" localSheetId="8" hidden="1">{"Eilbericht_UBA",#N/A,FALSE,"EB"}</definedName>
    <definedName name="asdfasdf_1" hidden="1">{"Eilbericht_UBA",#N/A,FALSE,"EB"}</definedName>
    <definedName name="asdfasdfasdf" localSheetId="8" hidden="1">{"comp1",#N/A,FALSE,"COMPS";"footnotes",#N/A,FALSE,"COMPS"}</definedName>
    <definedName name="asdfasdfasdf" hidden="1">{"comp1",#N/A,FALSE,"COMPS";"footnotes",#N/A,FALSE,"COMPS"}</definedName>
    <definedName name="asdfasdfasdf_1" localSheetId="8" hidden="1">{"comp1",#N/A,FALSE,"COMPS";"footnotes",#N/A,FALSE,"COMPS"}</definedName>
    <definedName name="asdfasdfasdf_1" hidden="1">{"comp1",#N/A,FALSE,"COMPS";"footnotes",#N/A,FALSE,"COMPS"}</definedName>
    <definedName name="asdfasdfsad" localSheetId="8" hidden="1">{#N/A,#N/A,FALSE,"output";#N/A,#N/A,FALSE,"contrib";#N/A,#N/A,FALSE,"profile";#N/A,#N/A,FALSE,"comps"}</definedName>
    <definedName name="asdfasdfsad" hidden="1">{#N/A,#N/A,FALSE,"output";#N/A,#N/A,FALSE,"contrib";#N/A,#N/A,FALSE,"profile";#N/A,#N/A,FALSE,"comps"}</definedName>
    <definedName name="asdfasdfsad_1" localSheetId="8" hidden="1">{#N/A,#N/A,FALSE,"output";#N/A,#N/A,FALSE,"contrib";#N/A,#N/A,FALSE,"profile";#N/A,#N/A,FALSE,"comps"}</definedName>
    <definedName name="asdfasdfsad_1" hidden="1">{#N/A,#N/A,FALSE,"output";#N/A,#N/A,FALSE,"contrib";#N/A,#N/A,FALSE,"profile";#N/A,#N/A,FALSE,"comps"}</definedName>
    <definedName name="asdfase" localSheetId="8" hidden="1">{"Ergebnisbericht_UBA",#N/A,FALSE,"MB"}</definedName>
    <definedName name="asdfase" hidden="1">{"Ergebnisbericht_UBA",#N/A,FALSE,"MB"}</definedName>
    <definedName name="asdfase_1" localSheetId="8" hidden="1">{"Ergebnisbericht_UBA",#N/A,FALSE,"MB"}</definedName>
    <definedName name="asdfase_1" hidden="1">{"Ergebnisbericht_UBA",#N/A,FALSE,"MB"}</definedName>
    <definedName name="asdfdfddfsf" localSheetId="8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asdfdfddfsf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asdfef" localSheetId="8" hidden="1">{"werbung",#N/A,FALSE,"GuV9900-0399";"betrieb",#N/A,FALSE,"GuV9900-0399";"personal",#N/A,FALSE,"GuV9900-0399";"tvg",#N/A,FALSE,"GuV9900-0399";"verwaltung",#N/A,FALSE,"GuV9900-0399"}</definedName>
    <definedName name="asdfef" hidden="1">{"werbung",#N/A,FALSE,"GuV9900-0399";"betrieb",#N/A,FALSE,"GuV9900-0399";"personal",#N/A,FALSE,"GuV9900-0399";"tvg",#N/A,FALSE,"GuV9900-0399";"verwaltung",#N/A,FALSE,"GuV9900-0399"}</definedName>
    <definedName name="asdfef_1" localSheetId="8" hidden="1">{"werbung",#N/A,FALSE,"GuV9900-0399";"betrieb",#N/A,FALSE,"GuV9900-0399";"personal",#N/A,FALSE,"GuV9900-0399";"tvg",#N/A,FALSE,"GuV9900-0399";"verwaltung",#N/A,FALSE,"GuV9900-0399"}</definedName>
    <definedName name="asdfef_1" hidden="1">{"werbung",#N/A,FALSE,"GuV9900-0399";"betrieb",#N/A,FALSE,"GuV9900-0399";"personal",#N/A,FALSE,"GuV9900-0399";"tvg",#N/A,FALSE,"GuV9900-0399";"verwaltung",#N/A,FALSE,"GuV9900-0399"}</definedName>
    <definedName name="asdff" localSheetId="8" hidden="1">{#N/A,#N/A,FALSE,"CHANGES";#N/A,#N/A,FALSE,"PROD SUMMARY";#N/A,#N/A,FALSE,"1995 PO SUM";#N/A,#N/A,FALSE,"1995 GEOG SUM";#N/A,#N/A,FALSE,"1996 PO SUM";#N/A,#N/A,FALSE,"1996 GEOG SUM"}</definedName>
    <definedName name="asdff" hidden="1">{#N/A,#N/A,FALSE,"CHANGES";#N/A,#N/A,FALSE,"PROD SUMMARY";#N/A,#N/A,FALSE,"1995 PO SUM";#N/A,#N/A,FALSE,"1995 GEOG SUM";#N/A,#N/A,FALSE,"1996 PO SUM";#N/A,#N/A,FALSE,"1996 GEOG SUM"}</definedName>
    <definedName name="asdfg" localSheetId="7" hidden="1">{#N/A,#N/A,FALSE,"Pharm";#N/A,#N/A,FALSE,"WWCM"}</definedName>
    <definedName name="asdfg" localSheetId="8" hidden="1">{#N/A,#N/A,FALSE,"Pharm";#N/A,#N/A,FALSE,"WWCM"}</definedName>
    <definedName name="asdfg" hidden="1">{#N/A,#N/A,FALSE,"Pharm";#N/A,#N/A,FALSE,"WWCM"}</definedName>
    <definedName name="ASDFGHJKK" localSheetId="8" hidden="1">{"Fiesta Facer Page",#N/A,FALSE,"Q_C_S";"Fiesta Main Page",#N/A,FALSE,"V_L";"Fiesta 95BP Struct",#N/A,FALSE,"StructBP";"Fiesta Post 95BP Struct",#N/A,FALSE,"AdjStructBP"}</definedName>
    <definedName name="ASDFGHJKK" hidden="1">{"Fiesta Facer Page",#N/A,FALSE,"Q_C_S";"Fiesta Main Page",#N/A,FALSE,"V_L";"Fiesta 95BP Struct",#N/A,FALSE,"StructBP";"Fiesta Post 95BP Struct",#N/A,FALSE,"AdjStructBP"}</definedName>
    <definedName name="ASDFGHJKK_1" localSheetId="8" hidden="1">{"Fiesta Facer Page",#N/A,FALSE,"Q_C_S";"Fiesta Main Page",#N/A,FALSE,"V_L";"Fiesta 95BP Struct",#N/A,FALSE,"StructBP";"Fiesta Post 95BP Struct",#N/A,FALSE,"AdjStructBP"}</definedName>
    <definedName name="ASDFGHJKK_1" hidden="1">{"Fiesta Facer Page",#N/A,FALSE,"Q_C_S";"Fiesta Main Page",#N/A,FALSE,"V_L";"Fiesta 95BP Struct",#N/A,FALSE,"StructBP";"Fiesta Post 95BP Struct",#N/A,FALSE,"AdjStructBP"}</definedName>
    <definedName name="asdfsd" localSheetId="8" hidden="1">{"Ergebnisbericht_UBA",#N/A,FALSE,"MB"}</definedName>
    <definedName name="asdfsd" hidden="1">{"Ergebnisbericht_UBA",#N/A,FALSE,"MB"}</definedName>
    <definedName name="asdfsd_1" localSheetId="8" hidden="1">{"Ergebnisbericht_UBA",#N/A,FALSE,"MB"}</definedName>
    <definedName name="asdfsd_1" hidden="1">{"Ergebnisbericht_UBA",#N/A,FALSE,"MB"}</definedName>
    <definedName name="asdfwer" localSheetId="8" hidden="1">{"Ergebnisbericht_UBA",#N/A,FALSE,"MB"}</definedName>
    <definedName name="asdfwer" hidden="1">{"Ergebnisbericht_UBA",#N/A,FALSE,"MB"}</definedName>
    <definedName name="asdfwer_1" localSheetId="8" hidden="1">{"Ergebnisbericht_UBA",#N/A,FALSE,"MB"}</definedName>
    <definedName name="asdfwer_1" hidden="1">{"Ergebnisbericht_UBA",#N/A,FALSE,"MB"}</definedName>
    <definedName name="asdgahdfhth" localSheetId="7" hidden="1">{#N/A,#N/A,FALSE,"REPORT"}</definedName>
    <definedName name="asdgahdfhth" localSheetId="8" hidden="1">{#N/A,#N/A,FALSE,"REPORT"}</definedName>
    <definedName name="asdgahdfhth" hidden="1">{#N/A,#N/A,FALSE,"REPORT"}</definedName>
    <definedName name="asdgayery" localSheetId="7" hidden="1">{#N/A,#N/A,FALSE,"Pharm";#N/A,#N/A,FALSE,"WWCM"}</definedName>
    <definedName name="asdgayery" localSheetId="8" hidden="1">{#N/A,#N/A,FALSE,"Pharm";#N/A,#N/A,FALSE,"WWCM"}</definedName>
    <definedName name="asdgayery" hidden="1">{#N/A,#N/A,FALSE,"Pharm";#N/A,#N/A,FALSE,"WWCM"}</definedName>
    <definedName name="asdgfdytyet" localSheetId="7" hidden="1">{#N/A,#N/A,FALSE,"REPORT"}</definedName>
    <definedName name="asdgfdytyet" localSheetId="8" hidden="1">{#N/A,#N/A,FALSE,"REPORT"}</definedName>
    <definedName name="asdgfdytyet" hidden="1">{#N/A,#N/A,FALSE,"REPORT"}</definedName>
    <definedName name="asdgtryukuio" localSheetId="7" hidden="1">{#N/A,#N/A,FALSE,"REPORT"}</definedName>
    <definedName name="asdgtryukuio" localSheetId="8" hidden="1">{#N/A,#N/A,FALSE,"REPORT"}</definedName>
    <definedName name="asdgtryukuio" hidden="1">{#N/A,#N/A,FALSE,"REPORT"}</definedName>
    <definedName name="asdjgkl" localSheetId="7" hidden="1">{#N/A,#N/A,FALSE,"Pharm";#N/A,#N/A,FALSE,"WWCM"}</definedName>
    <definedName name="asdjgkl" localSheetId="8" hidden="1">{#N/A,#N/A,FALSE,"Pharm";#N/A,#N/A,FALSE,"WWCM"}</definedName>
    <definedName name="asdjgkl" hidden="1">{#N/A,#N/A,FALSE,"Pharm";#N/A,#N/A,FALSE,"WWCM"}</definedName>
    <definedName name="asdrf" hidden="1">#REF!</definedName>
    <definedName name="asds" localSheetId="8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asds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asdsad" hidden="1">#N/A</definedName>
    <definedName name="asedfdf" localSheetId="8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asedfdf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asf" localSheetId="8" hidden="1">{"QTD",#N/A,FALSE,"SUM"}</definedName>
    <definedName name="asf" hidden="1">{"QTD",#N/A,FALSE,"SUM"}</definedName>
    <definedName name="asffghujyki" localSheetId="7" hidden="1">{#N/A,#N/A,FALSE,"Pharm";#N/A,#N/A,FALSE,"WWCM"}</definedName>
    <definedName name="asffghujyki" localSheetId="8" hidden="1">{#N/A,#N/A,FALSE,"Pharm";#N/A,#N/A,FALSE,"WWCM"}</definedName>
    <definedName name="asffghujyki" hidden="1">{#N/A,#N/A,FALSE,"Pharm";#N/A,#N/A,FALSE,"WWCM"}</definedName>
    <definedName name="ASGF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sqq" localSheetId="8" hidden="1">{"Performance Details",#N/A,FALSE,"Current Yr";"Performance Details",#N/A,FALSE,"Budget";"Performance Details",#N/A,FALSE,"Prior Year"}</definedName>
    <definedName name="asqq" hidden="1">{"Performance Details",#N/A,FALSE,"Current Yr";"Performance Details",#N/A,FALSE,"Budget";"Performance Details",#N/A,FALSE,"Prior Year"}</definedName>
    <definedName name="asqwqwwwe" hidden="1">#REF!</definedName>
    <definedName name="asr" localSheetId="8" hidden="1">{#N/A,#N/A,TRUE,"Voorblad B";#N/A,#N/A,TRUE,"Table of Content FinCom B";#N/A,#N/A,TRUE,"A3-P&amp;L by Bus.Unt-Serv.Unt";#N/A,#N/A,TRUE,"Summary carrier service";#N/A,#N/A,TRUE,"Summary Large accounts";#N/A,#N/A,TRUE,"Summary Consumer";#N/A,#N/A,TRUE,"Mobile";#N/A,#N/A,TRUE,"B5-Mobile(1) ";#N/A,#N/A,TRUE,"B4-GM per Product";#N/A,#N/A,TRUE,"Summary N&amp;S";#N/A,#N/A,TRUE,"B15-Network ";#N/A,#N/A,TRUE,"Summary ITbilling";#N/A,#N/A,TRUE,"Billing backlog";#N/A,#N/A,TRUE,"Summary Corporate";#N/A,#N/A,TRUE,"A5-Bal_Sheet CF";#N/A,#N/A,TRUE,"A6-Bal_Sheet CF by Old org. ";#N/A,#N/A,TRUE,"P13-Funding- Inter.";#N/A,#N/A,TRUE,"P14-Risk &amp; Fraud Fixed";#N/A,#N/A,TRUE,"P14-Risk &amp; Fraud Mobile";#N/A,#N/A,TRUE,"Accounts payable"}</definedName>
    <definedName name="asr" hidden="1">{#N/A,#N/A,TRUE,"Voorblad B";#N/A,#N/A,TRUE,"Table of Content FinCom B";#N/A,#N/A,TRUE,"A3-P&amp;L by Bus.Unt-Serv.Unt";#N/A,#N/A,TRUE,"Summary carrier service";#N/A,#N/A,TRUE,"Summary Large accounts";#N/A,#N/A,TRUE,"Summary Consumer";#N/A,#N/A,TRUE,"Mobile";#N/A,#N/A,TRUE,"B5-Mobile(1) ";#N/A,#N/A,TRUE,"B4-GM per Product";#N/A,#N/A,TRUE,"Summary N&amp;S";#N/A,#N/A,TRUE,"B15-Network ";#N/A,#N/A,TRUE,"Summary ITbilling";#N/A,#N/A,TRUE,"Billing backlog";#N/A,#N/A,TRUE,"Summary Corporate";#N/A,#N/A,TRUE,"A5-Bal_Sheet CF";#N/A,#N/A,TRUE,"A6-Bal_Sheet CF by Old org. ";#N/A,#N/A,TRUE,"P13-Funding- Inter.";#N/A,#N/A,TRUE,"P14-Risk &amp; Fraud Fixed";#N/A,#N/A,TRUE,"P14-Risk &amp; Fraud Mobile";#N/A,#N/A,TRUE,"Accounts payable"}</definedName>
    <definedName name="ass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ASSA" localSheetId="7" hidden="1">{#N/A,#N/A,FALSE,"1";#N/A,#N/A,FALSE,"2";#N/A,#N/A,FALSE,"16 - 17";#N/A,#N/A,FALSE,"18 - 19";#N/A,#N/A,FALSE,"26";#N/A,#N/A,FALSE,"27";#N/A,#N/A,FALSE,"28"}</definedName>
    <definedName name="ASSA" localSheetId="8" hidden="1">{#N/A,#N/A,FALSE,"1";#N/A,#N/A,FALSE,"2";#N/A,#N/A,FALSE,"16 - 17";#N/A,#N/A,FALSE,"18 - 19";#N/A,#N/A,FALSE,"26";#N/A,#N/A,FALSE,"27";#N/A,#N/A,FALSE,"28"}</definedName>
    <definedName name="ASSA" hidden="1">{#N/A,#N/A,FALSE,"1";#N/A,#N/A,FALSE,"2";#N/A,#N/A,FALSE,"16 - 17";#N/A,#N/A,FALSE,"18 - 19";#N/A,#N/A,FALSE,"26";#N/A,#N/A,FALSE,"27";#N/A,#N/A,FALSE,"28"}</definedName>
    <definedName name="asvcxvcx" hidden="1">{#N/A,#N/A,FALSE,"Acum Julio - 00"}</definedName>
    <definedName name="aswe" localSheetId="8" hidden="1">{"TXO2N2_GP",#N/A,FALSE,"MTHLYGP";"TXH2_GP",#N/A,FALSE,"MTHLYGP";"LOUIS_GP",#N/A,FALSE,"MTHLYGP";"H2_GP",#N/A,FALSE,"MTHLYGP";"O2N2_GP",#N/A,FALSE,"MTHLYGP";"PACKAGE_GP",#N/A,FALSE,"MTHLYGP";"OTHER_GP",#N/A,FALSE,"MTHLYGP"}</definedName>
    <definedName name="aswe" hidden="1">{"TXO2N2_GP",#N/A,FALSE,"MTHLYGP";"TXH2_GP",#N/A,FALSE,"MTHLYGP";"LOUIS_GP",#N/A,FALSE,"MTHLYGP";"H2_GP",#N/A,FALSE,"MTHLYGP";"O2N2_GP",#N/A,FALSE,"MTHLYGP";"PACKAGE_GP",#N/A,FALSE,"MTHLYGP";"OTHER_GP",#N/A,FALSE,"MTHLYGP"}</definedName>
    <definedName name="aszaz" localSheetId="8" hidden="1">{#N/A,#N/A,FALSE,"ACQ_GRAPHS";#N/A,#N/A,FALSE,"T_1 GRAPHS";#N/A,#N/A,FALSE,"T_2 GRAPHS";#N/A,#N/A,FALSE,"COMB_GRAPHS"}</definedName>
    <definedName name="aszaz" hidden="1">{#N/A,#N/A,FALSE,"ACQ_GRAPHS";#N/A,#N/A,FALSE,"T_1 GRAPHS";#N/A,#N/A,FALSE,"T_2 GRAPHS";#N/A,#N/A,FALSE,"COMB_GRAPHS"}</definedName>
    <definedName name="aszazs" localSheetId="8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aszazs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ATPlanguage" hidden="1">1</definedName>
    <definedName name="ATSeXToEUR" localSheetId="8" hidden="1">1/EUReXToATS</definedName>
    <definedName name="ATSeXToEUR" hidden="1">1/EUReXToATS</definedName>
    <definedName name="ATXQAVersion" hidden="1">2</definedName>
    <definedName name="atzt" hidden="1">#REF!</definedName>
    <definedName name="Audit3" localSheetId="8" hidden="1">{#N/A,#N/A,FALSE,"Aging Summary";#N/A,#N/A,FALSE,"Ratio Analysis";#N/A,#N/A,FALSE,"Test 120 Day Accts";#N/A,#N/A,FALSE,"Tickmarks"}</definedName>
    <definedName name="Audit3" hidden="1">{#N/A,#N/A,FALSE,"Aging Summary";#N/A,#N/A,FALSE,"Ratio Analysis";#N/A,#N/A,FALSE,"Test 120 Day Accts";#N/A,#N/A,FALSE,"Tickmarks"}</definedName>
    <definedName name="Audit3_1" localSheetId="8" hidden="1">{#N/A,#N/A,FALSE,"Aging Summary";#N/A,#N/A,FALSE,"Ratio Analysis";#N/A,#N/A,FALSE,"Test 120 Day Accts";#N/A,#N/A,FALSE,"Tickmarks"}</definedName>
    <definedName name="Audit3_1" hidden="1">{#N/A,#N/A,FALSE,"Aging Summary";#N/A,#N/A,FALSE,"Ratio Analysis";#N/A,#N/A,FALSE,"Test 120 Day Accts";#N/A,#N/A,FALSE,"Tickmarks"}</definedName>
    <definedName name="aug" localSheetId="8" hidden="1">#REF!</definedName>
    <definedName name="aug" hidden="1">#REF!</definedName>
    <definedName name="AUNA" localSheetId="8" hidden="1">{"Informes",#N/A,FALSE,"CA";"Informes",#N/A,FALSE,"CN";"Informes",#N/A,FALSE,"INVERSIONES";"Informes",#N/A,FALSE,"CN Oficial";"Informes",#N/A,FALSE,"CA Oficial";"Informes",#N/A,FALSE,"Res Datos Areas"}</definedName>
    <definedName name="AUNA" hidden="1">{"Informes",#N/A,FALSE,"CA";"Informes",#N/A,FALSE,"CN";"Informes",#N/A,FALSE,"INVERSIONES";"Informes",#N/A,FALSE,"CN Oficial";"Informes",#N/A,FALSE,"CA Oficial";"Informes",#N/A,FALSE,"Res Datos Areas"}</definedName>
    <definedName name="AUNA_1" localSheetId="8" hidden="1">{"Informes",#N/A,FALSE,"CA";"Informes",#N/A,FALSE,"CN";"Informes",#N/A,FALSE,"INVERSIONES";"Informes",#N/A,FALSE,"CN Oficial";"Informes",#N/A,FALSE,"CA Oficial";"Informes",#N/A,FALSE,"Res Datos Areas"}</definedName>
    <definedName name="AUNA_1" hidden="1">{"Informes",#N/A,FALSE,"CA";"Informes",#N/A,FALSE,"CN";"Informes",#N/A,FALSE,"INVERSIONES";"Informes",#N/A,FALSE,"CN Oficial";"Informes",#N/A,FALSE,"CA Oficial";"Informes",#N/A,FALSE,"Res Datos Areas"}</definedName>
    <definedName name="avdd" localSheetId="8" hidden="1">{#N/A,#N/A,FALSE,"Calc";#N/A,#N/A,FALSE,"Sensitivity";#N/A,#N/A,FALSE,"LT Earn.Dil.";#N/A,#N/A,FALSE,"Dil. AVP"}</definedName>
    <definedName name="avdd" hidden="1">{#N/A,#N/A,FALSE,"Calc";#N/A,#N/A,FALSE,"Sensitivity";#N/A,#N/A,FALSE,"LT Earn.Dil.";#N/A,#N/A,FALSE,"Dil. AVP"}</definedName>
    <definedName name="avdd_1" localSheetId="8" hidden="1">{#N/A,#N/A,FALSE,"Calc";#N/A,#N/A,FALSE,"Sensitivity";#N/A,#N/A,FALSE,"LT Earn.Dil.";#N/A,#N/A,FALSE,"Dil. AVP"}</definedName>
    <definedName name="avdd_1" hidden="1">{#N/A,#N/A,FALSE,"Calc";#N/A,#N/A,FALSE,"Sensitivity";#N/A,#N/A,FALSE,"LT Earn.Dil.";#N/A,#N/A,FALSE,"Dil. AVP"}</definedName>
    <definedName name="AVE" localSheetId="8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VE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wd" localSheetId="8" hidden="1">{#N/A,#N/A,TRUE,"Voorblad A";#N/A,#N/A,TRUE,"Table of Content FinCom A";#N/A,#N/A,TRUE,"A1-Summ- Key Figures";#N/A,#N/A,TRUE,"Summary Telfort Figures";#N/A,#N/A,TRUE,"A2-Summ Month Man";#N/A,#N/A,TRUE,"Summary Telfort";#N/A,#N/A,TRUE,"A4-P&amp;L by Old org.";#N/A,#N/A,TRUE,"Summary Fixed";#N/A,#N/A,TRUE,"A6-Bal_Sheet CF by Old org. ";#N/A,#N/A,TRUE,"B1-Orders RevGap"}</definedName>
    <definedName name="awd" hidden="1">{#N/A,#N/A,TRUE,"Voorblad A";#N/A,#N/A,TRUE,"Table of Content FinCom A";#N/A,#N/A,TRUE,"A1-Summ- Key Figures";#N/A,#N/A,TRUE,"Summary Telfort Figures";#N/A,#N/A,TRUE,"A2-Summ Month Man";#N/A,#N/A,TRUE,"Summary Telfort";#N/A,#N/A,TRUE,"A4-P&amp;L by Old org.";#N/A,#N/A,TRUE,"Summary Fixed";#N/A,#N/A,TRUE,"A6-Bal_Sheet CF by Old org. ";#N/A,#N/A,TRUE,"B1-Orders RevGap"}</definedName>
    <definedName name="awq" localSheetId="8" hidden="1">{"YTD",#N/A,FALSE,"SUM"}</definedName>
    <definedName name="awq" hidden="1">{"YTD",#N/A,FALSE,"SUM"}</definedName>
    <definedName name="awqe" localSheetId="8" hidden="1">{"net assets",#N/A,FALSE,"summary";"asset turnover",#N/A,FALSE,"summary";"orona",#N/A,FALSE,"summary"}</definedName>
    <definedName name="awqe" hidden="1">{"net assets",#N/A,FALSE,"summary";"asset turnover",#N/A,FALSE,"summary";"orona",#N/A,FALSE,"summary"}</definedName>
    <definedName name="awqx" localSheetId="8" hidden="1">{"Comp_of_Price_Effect",#N/A,FALSE,"QTRDPVAR"}</definedName>
    <definedName name="awqx" hidden="1">{"Comp_of_Price_Effect",#N/A,FALSE,"QTRDPVAR"}</definedName>
    <definedName name="AX" localSheetId="7" hidden="1">{#N/A,#N/A,FALSE,"Pharm";#N/A,#N/A,FALSE,"WWCM"}</definedName>
    <definedName name="AX" localSheetId="8" hidden="1">{#N/A,#N/A,FALSE,"Pharm";#N/A,#N/A,FALSE,"WWCM"}</definedName>
    <definedName name="AX" hidden="1">{#N/A,#N/A,FALSE,"Pharm";#N/A,#N/A,FALSE,"WWCM"}</definedName>
    <definedName name="axs" localSheetId="8" hidden="1">{"QTD",#N/A,FALSE,"SUM"}</definedName>
    <definedName name="axs" hidden="1">{"QTD",#N/A,FALSE,"SUM"}</definedName>
    <definedName name="axz" localSheetId="8" hidden="1">{#N/A,"PURCHM",FALSE,"Business Analysis";#N/A,"SPADD",FALSE,"Business Analysis"}</definedName>
    <definedName name="axz" hidden="1">{#N/A,"PURCHM",FALSE,"Business Analysis";#N/A,"SPADD",FALSE,"Business Analysis"}</definedName>
    <definedName name="ayman" localSheetId="7" hidden="1">{#N/A,#N/A,FALSE,"1";#N/A,#N/A,FALSE,"2";#N/A,#N/A,FALSE,"16 - 17";#N/A,#N/A,FALSE,"18 - 19";#N/A,#N/A,FALSE,"26";#N/A,#N/A,FALSE,"27";#N/A,#N/A,FALSE,"28"}</definedName>
    <definedName name="ayman" localSheetId="8" hidden="1">{#N/A,#N/A,FALSE,"1";#N/A,#N/A,FALSE,"2";#N/A,#N/A,FALSE,"16 - 17";#N/A,#N/A,FALSE,"18 - 19";#N/A,#N/A,FALSE,"26";#N/A,#N/A,FALSE,"27";#N/A,#N/A,FALSE,"28"}</definedName>
    <definedName name="ayman" hidden="1">{#N/A,#N/A,FALSE,"1";#N/A,#N/A,FALSE,"2";#N/A,#N/A,FALSE,"16 - 17";#N/A,#N/A,FALSE,"18 - 19";#N/A,#N/A,FALSE,"26";#N/A,#N/A,FALSE,"27";#N/A,#N/A,FALSE,"28"}</definedName>
    <definedName name="ayman1" localSheetId="7" hidden="1">{#N/A,#N/A,FALSE,"Pharm";#N/A,#N/A,FALSE,"WWCM"}</definedName>
    <definedName name="ayman1" localSheetId="8" hidden="1">{#N/A,#N/A,FALSE,"Pharm";#N/A,#N/A,FALSE,"WWCM"}</definedName>
    <definedName name="ayman1" hidden="1">{#N/A,#N/A,FALSE,"Pharm";#N/A,#N/A,FALSE,"WWCM"}</definedName>
    <definedName name="ayman2" localSheetId="7" hidden="1">{#N/A,#N/A,FALSE,"Pharm";#N/A,#N/A,FALSE,"WWCM"}</definedName>
    <definedName name="ayman2" localSheetId="8" hidden="1">{#N/A,#N/A,FALSE,"Pharm";#N/A,#N/A,FALSE,"WWCM"}</definedName>
    <definedName name="ayman2" hidden="1">{#N/A,#N/A,FALSE,"Pharm";#N/A,#N/A,FALSE,"WWCM"}</definedName>
    <definedName name="ayman7" localSheetId="7" hidden="1">{#N/A,#N/A,FALSE,"REPORT"}</definedName>
    <definedName name="ayman7" localSheetId="8" hidden="1">{#N/A,#N/A,FALSE,"REPORT"}</definedName>
    <definedName name="ayman7" hidden="1">{#N/A,#N/A,FALSE,"REPORT"}</definedName>
    <definedName name="ayman8" localSheetId="7" hidden="1">{#N/A,#N/A,FALSE,"REPORT"}</definedName>
    <definedName name="ayman8" localSheetId="8" hidden="1">{#N/A,#N/A,FALSE,"REPORT"}</definedName>
    <definedName name="ayman8" hidden="1">{#N/A,#N/A,FALSE,"REPORT"}</definedName>
    <definedName name="az" localSheetId="7" hidden="1">{#N/A,#N/A,FALSE,"Pharm";#N/A,#N/A,FALSE,"WWCM"}</definedName>
    <definedName name="az" localSheetId="8" hidden="1">{#N/A,#N/A,FALSE,"Pharm";#N/A,#N/A,FALSE,"WWCM"}</definedName>
    <definedName name="az" hidden="1">{"'FLUOXETINE'!$A$1:$I$24"}</definedName>
    <definedName name="aza" localSheetId="8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aza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aza_1" localSheetId="8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aza_1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azaa" localSheetId="8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azaa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azaa_1" localSheetId="8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azaa_1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azaaa" localSheetId="8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azaaa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azaaa_1" localSheetId="8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azaaa_1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azeazr" localSheetId="7" hidden="1">{#N/A,#N/A,FALSE,"Sales Graph";#N/A,#N/A,FALSE,"BUC Graph";#N/A,#N/A,FALSE,"P&amp;L - YTD"}</definedName>
    <definedName name="azeazr" localSheetId="8" hidden="1">{#N/A,#N/A,FALSE,"Sales Graph";#N/A,#N/A,FALSE,"BUC Graph";#N/A,#N/A,FALSE,"P&amp;L - YTD"}</definedName>
    <definedName name="azeazr" hidden="1">{#N/A,#N/A,FALSE,"Sales Graph";#N/A,#N/A,FALSE,"BUC Graph";#N/A,#N/A,FALSE,"P&amp;L - YTD"}</definedName>
    <definedName name="azeazr1" localSheetId="8" hidden="1">{#N/A,#N/A,FALSE,"Sales Graph";#N/A,#N/A,FALSE,"BUC Graph";#N/A,#N/A,FALSE,"P&amp;L - YTD"}</definedName>
    <definedName name="azeazr1" hidden="1">{#N/A,#N/A,FALSE,"Sales Graph";#N/A,#N/A,FALSE,"BUC Graph";#N/A,#N/A,FALSE,"P&amp;L - YTD"}</definedName>
    <definedName name="azerety" localSheetId="7" hidden="1">{#N/A,#N/A,FALSE,"Pharm";#N/A,#N/A,FALSE,"WWCM"}</definedName>
    <definedName name="azerety" localSheetId="8" hidden="1">{#N/A,#N/A,FALSE,"Pharm";#N/A,#N/A,FALSE,"WWCM"}</definedName>
    <definedName name="azerety" hidden="1">{#N/A,#N/A,FALSE,"Pharm";#N/A,#N/A,FALSE,"WWCM"}</definedName>
    <definedName name="azerty" localSheetId="8" hidden="1">{#N/A,#N/A,FALSE,"INPUTS";#N/A,#N/A,FALSE,"PROFORMA BSHEET";#N/A,#N/A,FALSE,"COMBINED";#N/A,#N/A,FALSE,"HIGH YIELD";#N/A,#N/A,FALSE,"COMB_GRAPHS"}</definedName>
    <definedName name="azerty" hidden="1">{#N/A,#N/A,FALSE,"INPUTS";#N/A,#N/A,FALSE,"PROFORMA BSHEET";#N/A,#N/A,FALSE,"COMBINED";#N/A,#N/A,FALSE,"HIGH YIELD";#N/A,#N/A,FALSE,"COMB_GRAPHS"}</definedName>
    <definedName name="azerty_1" localSheetId="8" hidden="1">{#N/A,#N/A,FALSE,"INPUTS";#N/A,#N/A,FALSE,"PROFORMA BSHEET";#N/A,#N/A,FALSE,"COMBINED";#N/A,#N/A,FALSE,"HIGH YIELD";#N/A,#N/A,FALSE,"COMB_GRAPHS"}</definedName>
    <definedName name="azerty_1" hidden="1">{#N/A,#N/A,FALSE,"INPUTS";#N/A,#N/A,FALSE,"PROFORMA BSHEET";#N/A,#N/A,FALSE,"COMBINED";#N/A,#N/A,FALSE,"HIGH YIELD";#N/A,#N/A,FALSE,"COMB_GRAPHS"}</definedName>
    <definedName name="azerty4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azete" hidden="1">#REF!</definedName>
    <definedName name="azsa" localSheetId="8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azsa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azsaz" localSheetId="8" hidden="1">{#N/A,#N/A,FALSE,"INPUTS";#N/A,#N/A,FALSE,"PROFORMA BSHEET";#N/A,#N/A,FALSE,"COMBINED";#N/A,#N/A,FALSE,"ACQUIROR";#N/A,#N/A,FALSE,"TARGET 1";#N/A,#N/A,FALSE,"TARGET 2";#N/A,#N/A,FALSE,"HIGH YIELD";#N/A,#N/A,FALSE,"OVERFUND"}</definedName>
    <definedName name="azsaz" hidden="1">{#N/A,#N/A,FALSE,"INPUTS";#N/A,#N/A,FALSE,"PROFORMA BSHEET";#N/A,#N/A,FALSE,"COMBINED";#N/A,#N/A,FALSE,"ACQUIROR";#N/A,#N/A,FALSE,"TARGET 1";#N/A,#N/A,FALSE,"TARGET 2";#N/A,#N/A,FALSE,"HIGH YIELD";#N/A,#N/A,FALSE,"OVERFUND"}</definedName>
    <definedName name="azsazs" localSheetId="8" hidden="1">{#N/A,#N/A,FALSE,"INPUTS";#N/A,#N/A,FALSE,"PROFORMA BSHEET";#N/A,#N/A,FALSE,"COMBINED";#N/A,#N/A,FALSE,"HIGH YIELD";#N/A,#N/A,FALSE,"COMB_GRAPHS"}</definedName>
    <definedName name="azsazs" hidden="1">{#N/A,#N/A,FALSE,"INPUTS";#N/A,#N/A,FALSE,"PROFORMA BSHEET";#N/A,#N/A,FALSE,"COMBINED";#N/A,#N/A,FALSE,"HIGH YIELD";#N/A,#N/A,FALSE,"COMB_GRAPHS"}</definedName>
    <definedName name="aztt" hidden="1">#REF!</definedName>
    <definedName name="b" localSheetId="7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b" localSheetId="8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b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b_1" localSheetId="7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b_1" localSheetId="8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b_1" hidden="1">{"LargoAjustes",#N/A,FALSE,"Ajustes";"CortoAjustes",#N/A,FALSE,"Ajustes";"PLAjustes",#N/A,FALSE,"Ajustes"}</definedName>
    <definedName name="baba" localSheetId="8" hidden="1">{#N/A,#N/A,FALSE,"9709 (2)"}</definedName>
    <definedName name="baba" hidden="1">{#N/A,#N/A,FALSE,"9709 (2)"}</definedName>
    <definedName name="bacd1101bd" localSheetId="8" hidden="1">{#N/A,"PURCHM",FALSE,"Business Analysis";#N/A,"SPADD",FALSE,"Business Analysis"}</definedName>
    <definedName name="bacd1101bd" hidden="1">{#N/A,"PURCHM",FALSE,"Business Analysis";#N/A,"SPADD",FALSE,"Business Analysis"}</definedName>
    <definedName name="bacd31" localSheetId="8" hidden="1">{#N/A,"PURCHM",FALSE,"Business Analysis";#N/A,"SPADD",FALSE,"Business Analysis"}</definedName>
    <definedName name="bacd31" hidden="1">{#N/A,"PURCHM",FALSE,"Business Analysis";#N/A,"SPADD",FALSE,"Business Analysis"}</definedName>
    <definedName name="bacd31bd" localSheetId="8" hidden="1">{#N/A,"PURCHM",FALSE,"Business Analysis";#N/A,"SPADD",FALSE,"Business Analysis"}</definedName>
    <definedName name="bacd31bd" hidden="1">{#N/A,"PURCHM",FALSE,"Business Analysis";#N/A,"SPADD",FALSE,"Business Analysis"}</definedName>
    <definedName name="BALANCE" hidden="1">"6000..9998"</definedName>
    <definedName name="balllll" localSheetId="8" hidden="1">{"First Page",#N/A,FALSE,"Surfactants LBO";"Second Page",#N/A,FALSE,"Surfactants LBO"}</definedName>
    <definedName name="balllll" hidden="1">{"First Page",#N/A,FALSE,"Surfactants LBO";"Second Page",#N/A,FALSE,"Surfactants LBO"}</definedName>
    <definedName name="balllll_1" localSheetId="8" hidden="1">{"First Page",#N/A,FALSE,"Surfactants LBO";"Second Page",#N/A,FALSE,"Surfactants LBO"}</definedName>
    <definedName name="balllll_1" hidden="1">{"First Page",#N/A,FALSE,"Surfactants LBO";"Second Page",#N/A,FALSE,"Surfactants LBO"}</definedName>
    <definedName name="BalType" hidden="1">TRUE</definedName>
    <definedName name="balufdh" localSheetId="8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balufdh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barra" localSheetId="8" hidden="1">{"mgmt forecast",#N/A,FALSE,"Mgmt Forecast";"dcf table",#N/A,FALSE,"Mgmt Forecast";"sensitivity",#N/A,FALSE,"Mgmt Forecast";"table inputs",#N/A,FALSE,"Mgmt Forecast";"calculations",#N/A,FALSE,"Mgmt Forecast"}</definedName>
    <definedName name="barra" hidden="1">{"mgmt forecast",#N/A,FALSE,"Mgmt Forecast";"dcf table",#N/A,FALSE,"Mgmt Forecast";"sensitivity",#N/A,FALSE,"Mgmt Forecast";"table inputs",#N/A,FALSE,"Mgmt Forecast";"calculations",#N/A,FALSE,"Mgmt Forecast"}</definedName>
    <definedName name="barra_1" localSheetId="8" hidden="1">{"mgmt forecast",#N/A,FALSE,"Mgmt Forecast";"dcf table",#N/A,FALSE,"Mgmt Forecast";"sensitivity",#N/A,FALSE,"Mgmt Forecast";"table inputs",#N/A,FALSE,"Mgmt Forecast";"calculations",#N/A,FALSE,"Mgmt Forecast"}</definedName>
    <definedName name="barra_1" hidden="1">{"mgmt forecast",#N/A,FALSE,"Mgmt Forecast";"dcf table",#N/A,FALSE,"Mgmt Forecast";"sensitivity",#N/A,FALSE,"Mgmt Forecast";"table inputs",#N/A,FALSE,"Mgmt Forecast";"calculations",#N/A,FALSE,"Mgmt Forecast"}</definedName>
    <definedName name="base1" localSheetId="8" hidden="1">{#N/A,#N/A,TRUE,"Schema Riferimento";"CdC_Commesse",#N/A,TRUE,"5 Centri di Costo e 40 Commesse";"Commesse_Sistemi",#N/A,TRUE,"5 Centri di Costo e 40 Commesse";#N/A,#N/A,TRUE,"Lista 39 Sistemi";#N/A,#N/A,TRUE,"Pivot"}</definedName>
    <definedName name="base1" hidden="1">{#N/A,#N/A,TRUE,"Schema Riferimento";"CdC_Commesse",#N/A,TRUE,"5 Centri di Costo e 40 Commesse";"Commesse_Sistemi",#N/A,TRUE,"5 Centri di Costo e 40 Commesse";#N/A,#N/A,TRUE,"Lista 39 Sistemi";#N/A,#N/A,TRUE,"Pivot"}</definedName>
    <definedName name="base1_1" localSheetId="8" hidden="1">{#N/A,#N/A,TRUE,"Schema Riferimento";"CdC_Commesse",#N/A,TRUE,"5 Centri di Costo e 40 Commesse";"Commesse_Sistemi",#N/A,TRUE,"5 Centri di Costo e 40 Commesse";#N/A,#N/A,TRUE,"Lista 39 Sistemi";#N/A,#N/A,TRUE,"Pivot"}</definedName>
    <definedName name="base1_1" hidden="1">{#N/A,#N/A,TRUE,"Schema Riferimento";"CdC_Commesse",#N/A,TRUE,"5 Centri di Costo e 40 Commesse";"Commesse_Sistemi",#N/A,TRUE,"5 Centri di Costo e 40 Commesse";#N/A,#N/A,TRUE,"Lista 39 Sistemi";#N/A,#N/A,TRUE,"Pivot"}</definedName>
    <definedName name="bb" localSheetId="7" hidden="1">{"Vend Volume 96",#N/A,FALSE,"Vendas Volume 1996"}</definedName>
    <definedName name="bb" localSheetId="8" hidden="1">{"Vend Volume 96",#N/A,FALSE,"Vendas Volume 1996"}</definedName>
    <definedName name="bb" hidden="1">{#N/A,#N/A,TRUE,"DIVIDER PAGE";#N/A,#N/A,TRUE,"Exist + Reg A IS";#N/A,#N/A,TRUE,"Summary IS exc. B";#N/A,#N/A,TRUE,"New Stores";#N/A,#N/A,TRUE,"Existing DCF";#N/A,#N/A,TRUE,"Region A DCF";#N/A,#N/A,TRUE,"Existing + Reg. A DCF"}</definedName>
    <definedName name="bb.gb._98" localSheetId="8" hidden="1">{#N/A,#N/A,FALSE,"Umsatz 99";#N/A,#N/A,FALSE,"ER 99 "}</definedName>
    <definedName name="bb.gb._98" hidden="1">{#N/A,#N/A,FALSE,"Umsatz 99";#N/A,#N/A,FALSE,"ER 99 "}</definedName>
    <definedName name="bb.gb._99" localSheetId="8" hidden="1">{#N/A,#N/A,FALSE,"Umsatz 99";#N/A,#N/A,FALSE,"ER 99 "}</definedName>
    <definedName name="bb.gb._99" hidden="1">{#N/A,#N/A,FALSE,"Umsatz 99";#N/A,#N/A,FALSE,"ER 99 "}</definedName>
    <definedName name="bbarl" hidden="1">#REF!</definedName>
    <definedName name="bbb" localSheetId="7" hidden="1">{#N/A,#N/A,FALSE,"Pharm";#N/A,#N/A,FALSE,"WWCM"}</definedName>
    <definedName name="bbb" localSheetId="8" hidden="1">{#N/A,#N/A,FALSE,"Pharm";#N/A,#N/A,FALSE,"WWCM"}</definedName>
    <definedName name="bbb" hidden="1">{#N/A,#N/A,FALSE,"Pharm";#N/A,#N/A,FALSE,"WWCM"}</definedName>
    <definedName name="bbbb" localSheetId="7" hidden="1">{#N/A,#N/A,FALSE,"REPORT"}</definedName>
    <definedName name="bbbb" localSheetId="8" hidden="1">{#N/A,#N/A,FALSE,"REPORT"}</definedName>
    <definedName name="bbbb" hidden="1">{#N/A,#N/A,FALSE,"GP";#N/A,#N/A,FALSE,"Assinantes";#N/A,#N/A,FALSE,"Rede";#N/A,#N/A,FALSE,"Evolução";#N/A,#N/A,FALSE,"Resultado"}</definedName>
    <definedName name="bbbb_1" localSheetId="8" hidden="1">{"LargoAgreg",#N/A,FALSE,"Agregado";"CortoAgreg",#N/A,FALSE,"Agregado";"PLAgreg",#N/A,FALSE,"Agregado"}</definedName>
    <definedName name="bbbb_1" hidden="1">{"LargoAgreg",#N/A,FALSE,"Agregado";"CortoAgreg",#N/A,FALSE,"Agregado";"PLAgreg",#N/A,FALSE,"Agregado"}</definedName>
    <definedName name="bbbbb" localSheetId="7" hidden="1">{#N/A,#N/A,FALSE,"Pharm";#N/A,#N/A,FALSE,"WWCM"}</definedName>
    <definedName name="bbbbb" localSheetId="8" hidden="1">{#N/A,#N/A,FALSE,"Pharm";#N/A,#N/A,FALSE,"WWCM"}</definedName>
    <definedName name="bbbbb" hidden="1">{"LargoAgreg",#N/A,FALSE,"Agregado";"CortoAgreg",#N/A,FALSE,"Agregado";"PLAgreg",#N/A,FALSE,"Agregado"}</definedName>
    <definedName name="bbbbb_1" localSheetId="8" hidden="1">{"LargoAgreg",#N/A,FALSE,"Agregado";"CortoAgreg",#N/A,FALSE,"Agregado";"PLAgreg",#N/A,FALSE,"Agregado"}</definedName>
    <definedName name="bbbbb_1" hidden="1">{"LargoAgreg",#N/A,FALSE,"Agregado";"CortoAgreg",#N/A,FALSE,"Agregado";"PLAgreg",#N/A,FALSE,"Agregado"}</definedName>
    <definedName name="BBBBBB" localSheetId="7" hidden="1">{#N/A,#N/A,FALSE,"REPORT"}</definedName>
    <definedName name="BBBBBB" localSheetId="8" hidden="1">{#N/A,#N/A,FALSE,"REPORT"}</definedName>
    <definedName name="BBBBBB" hidden="1">{#N/A,#N/A,FALSE,"REPORT"}</definedName>
    <definedName name="bbbbbb1" localSheetId="8" hidden="1">{#N/A,#N/A,FALSE,"Adm comp";#N/A,#N/A,FALSE,"Adm ajust";"adm",#N/A,FALSE,"Administration";#N/A,#N/A,FALSE,"Adm Bgt 97 vs Prév. 96";#N/A,#N/A,FALSE,"Adm Bgt 97 vs 96"}</definedName>
    <definedName name="bbbbbb1" hidden="1">{#N/A,#N/A,FALSE,"Adm comp";#N/A,#N/A,FALSE,"Adm ajust";"adm",#N/A,FALSE,"Administration";#N/A,#N/A,FALSE,"Adm Bgt 97 vs Prév. 96";#N/A,#N/A,FALSE,"Adm Bgt 97 vs 96"}</definedName>
    <definedName name="bbbbbbb" localSheetId="8" hidden="1">{"detail",#N/A,FALSE,"mfg";"summary",#N/A,FALSE,"mfg"}</definedName>
    <definedName name="bbbbbbb" hidden="1">{"detail",#N/A,FALSE,"mfg";"summary",#N/A,FALSE,"mfg"}</definedName>
    <definedName name="BBBBBBBBB" localSheetId="7" hidden="1">{#N/A,#N/A,FALSE,"REPORT"}</definedName>
    <definedName name="BBBBBBBBB" localSheetId="8" hidden="1">{#N/A,#N/A,FALSE,"REPORT"}</definedName>
    <definedName name="BBBBBBBBB" hidden="1">{#N/A,#N/A,FALSE,"REPORT"}</definedName>
    <definedName name="bbbbbbbbbb" localSheetId="8" hidden="1">{"detail",#N/A,FALSE,"mfg";"summary",#N/A,FALSE,"mfg"}</definedName>
    <definedName name="bbbbbbbbbb" hidden="1">{"detail",#N/A,FALSE,"mfg";"summary",#N/A,FALSE,"mfg"}</definedName>
    <definedName name="bbbbbbbbbbbb" hidden="1">#N/A</definedName>
    <definedName name="bbbbbbbbbbbbb" localSheetId="7" hidden="1">{#N/A,#N/A,FALSE,"Pharm";#N/A,#N/A,FALSE,"WWCM"}</definedName>
    <definedName name="bbbbbbbbbbbbb" localSheetId="8" hidden="1">{#N/A,#N/A,FALSE,"Pharm";#N/A,#N/A,FALSE,"WWCM"}</definedName>
    <definedName name="bbbbbbbbbbbbb" hidden="1">{#N/A,#N/A,FALSE,"Pharm";#N/A,#N/A,FALSE,"WWCM"}</definedName>
    <definedName name="bbbbbbbbbbbbbbbbbbbb" localSheetId="8" hidden="1">{"detail",#N/A,FALSE,"mfg";"summary",#N/A,FALSE,"mfg"}</definedName>
    <definedName name="bbbbbbbbbbbbbbbbbbbb" hidden="1">{"detail",#N/A,FALSE,"mfg";"summary",#N/A,FALSE,"mfg"}</definedName>
    <definedName name="bbchart1" hidden="1">#REF!</definedName>
    <definedName name="bbchart2" hidden="1">#REF!</definedName>
    <definedName name="bbchart3" hidden="1">#REF!</definedName>
    <definedName name="bbchart4" hidden="1">#REF!</definedName>
    <definedName name="bbchart5" hidden="1">#REF!</definedName>
    <definedName name="BBF" localSheetId="8" hidden="1">{#N/A,#N/A,FALSE,"Aging Summary";#N/A,#N/A,FALSE,"Ratio Analysis";#N/A,#N/A,FALSE,"Test 120 Day Accts";#N/A,#N/A,FALSE,"Tickmarks"}</definedName>
    <definedName name="BBF" hidden="1">{#N/A,#N/A,FALSE,"Aging Summary";#N/A,#N/A,FALSE,"Ratio Analysis";#N/A,#N/A,FALSE,"Test 120 Day Accts";#N/A,#N/A,FALSE,"Tickmarks"}</definedName>
    <definedName name="BBFB" localSheetId="8" hidden="1">{#N/A,#N/A,FALSE,"IR E CS 1997";#N/A,#N/A,FALSE,"PR ND";#N/A,#N/A,FALSE,"8191";#N/A,#N/A,FALSE,"8383";#N/A,#N/A,FALSE,"MP 1024";#N/A,#N/A,FALSE,"AD_EX_97";#N/A,#N/A,FALSE,"BD 97"}</definedName>
    <definedName name="BBFB" hidden="1">{#N/A,#N/A,FALSE,"IR E CS 1997";#N/A,#N/A,FALSE,"PR ND";#N/A,#N/A,FALSE,"8191";#N/A,#N/A,FALSE,"8383";#N/A,#N/A,FALSE,"MP 1024";#N/A,#N/A,FALSE,"AD_EX_97";#N/A,#N/A,FALSE,"BD 97"}</definedName>
    <definedName name="BBscard" localSheetId="8" hidden="1">{#N/A,#N/A,TRUE,"Voorblad";#N/A,#N/A,TRUE,"Table of Content A";#N/A,#N/A,TRUE,"A1-Summ- Key Figures";#N/A,#N/A,TRUE,"A2-Summ Month Man";#N/A,#N/A,TRUE,"A3-P&amp;L by Bus.Unt-Serv.Unt";#N/A,#N/A,TRUE,"A4-P&amp;L by Old org.";#N/A,#N/A,TRUE,"A6-Bal_Sheet CF by Old org. ";#N/A,#N/A,TRUE,"A8-Headc.Funct."}</definedName>
    <definedName name="BBscard" hidden="1">{#N/A,#N/A,TRUE,"Voorblad";#N/A,#N/A,TRUE,"Table of Content A";#N/A,#N/A,TRUE,"A1-Summ- Key Figures";#N/A,#N/A,TRUE,"A2-Summ Month Man";#N/A,#N/A,TRUE,"A3-P&amp;L by Bus.Unt-Serv.Unt";#N/A,#N/A,TRUE,"A4-P&amp;L by Old org.";#N/A,#N/A,TRUE,"A6-Bal_Sheet CF by Old org. ";#N/A,#N/A,TRUE,"A8-Headc.Funct."}</definedName>
    <definedName name="bbvcx" localSheetId="8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bbvcx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bcahrt2" localSheetId="8" hidden="1">#REF!</definedName>
    <definedName name="bcahrt2" hidden="1">#REF!</definedName>
    <definedName name="bcahrt4" localSheetId="8" hidden="1">#REF!</definedName>
    <definedName name="bcahrt4" hidden="1">#REF!</definedName>
    <definedName name="bcbcbcbcb" hidden="1">#REF!</definedName>
    <definedName name="bcd" localSheetId="8" hidden="1">{"detail",#N/A,FALSE,"mfg";"summary",#N/A,FALSE,"mfg"}</definedName>
    <definedName name="bcd" hidden="1">{"detail",#N/A,FALSE,"mfg";"summary",#N/A,FALSE,"mfg"}</definedName>
    <definedName name="BCH" hidden="1">{#N/A,#N/A,FALSE,"Aging Summary";#N/A,#N/A,FALSE,"Ratio Analysis";#N/A,#N/A,FALSE,"Test 120 Day Accts";#N/A,#N/A,FALSE,"Tickmarks"}</definedName>
    <definedName name="BCH_1" hidden="1">{#N/A,#N/A,FALSE,"Aging Summary";#N/A,#N/A,FALSE,"Ratio Analysis";#N/A,#N/A,FALSE,"Test 120 Day Accts";#N/A,#N/A,FALSE,"Tickmarks"}</definedName>
    <definedName name="BCH_1_1" hidden="1">{#N/A,#N/A,FALSE,"Aging Summary";#N/A,#N/A,FALSE,"Ratio Analysis";#N/A,#N/A,FALSE,"Test 120 Day Accts";#N/A,#N/A,FALSE,"Tickmarks"}</definedName>
    <definedName name="BCH_1_1_1" hidden="1">{#N/A,#N/A,FALSE,"Aging Summary";#N/A,#N/A,FALSE,"Ratio Analysis";#N/A,#N/A,FALSE,"Test 120 Day Accts";#N/A,#N/A,FALSE,"Tickmarks"}</definedName>
    <definedName name="BCH_1_1_1_1" hidden="1">{#N/A,#N/A,FALSE,"Aging Summary";#N/A,#N/A,FALSE,"Ratio Analysis";#N/A,#N/A,FALSE,"Test 120 Day Accts";#N/A,#N/A,FALSE,"Tickmarks"}</definedName>
    <definedName name="BCH_1_1_1_2" hidden="1">{#N/A,#N/A,FALSE,"Aging Summary";#N/A,#N/A,FALSE,"Ratio Analysis";#N/A,#N/A,FALSE,"Test 120 Day Accts";#N/A,#N/A,FALSE,"Tickmarks"}</definedName>
    <definedName name="BCH_1_1_2" hidden="1">{#N/A,#N/A,FALSE,"Aging Summary";#N/A,#N/A,FALSE,"Ratio Analysis";#N/A,#N/A,FALSE,"Test 120 Day Accts";#N/A,#N/A,FALSE,"Tickmarks"}</definedName>
    <definedName name="BCH_1_1_2_1" hidden="1">{#N/A,#N/A,FALSE,"Aging Summary";#N/A,#N/A,FALSE,"Ratio Analysis";#N/A,#N/A,FALSE,"Test 120 Day Accts";#N/A,#N/A,FALSE,"Tickmarks"}</definedName>
    <definedName name="BCH_1_1_2_2" hidden="1">{#N/A,#N/A,FALSE,"Aging Summary";#N/A,#N/A,FALSE,"Ratio Analysis";#N/A,#N/A,FALSE,"Test 120 Day Accts";#N/A,#N/A,FALSE,"Tickmarks"}</definedName>
    <definedName name="BCH_1_1_3" hidden="1">{#N/A,#N/A,FALSE,"Aging Summary";#N/A,#N/A,FALSE,"Ratio Analysis";#N/A,#N/A,FALSE,"Test 120 Day Accts";#N/A,#N/A,FALSE,"Tickmarks"}</definedName>
    <definedName name="BCH_1_1_4" hidden="1">{#N/A,#N/A,FALSE,"Aging Summary";#N/A,#N/A,FALSE,"Ratio Analysis";#N/A,#N/A,FALSE,"Test 120 Day Accts";#N/A,#N/A,FALSE,"Tickmarks"}</definedName>
    <definedName name="BCH_1_2" hidden="1">{#N/A,#N/A,FALSE,"Aging Summary";#N/A,#N/A,FALSE,"Ratio Analysis";#N/A,#N/A,FALSE,"Test 120 Day Accts";#N/A,#N/A,FALSE,"Tickmarks"}</definedName>
    <definedName name="BCH_1_2_1" hidden="1">{#N/A,#N/A,FALSE,"Aging Summary";#N/A,#N/A,FALSE,"Ratio Analysis";#N/A,#N/A,FALSE,"Test 120 Day Accts";#N/A,#N/A,FALSE,"Tickmarks"}</definedName>
    <definedName name="BCH_1_2_1_1" hidden="1">{#N/A,#N/A,FALSE,"Aging Summary";#N/A,#N/A,FALSE,"Ratio Analysis";#N/A,#N/A,FALSE,"Test 120 Day Accts";#N/A,#N/A,FALSE,"Tickmarks"}</definedName>
    <definedName name="BCH_1_2_1_2" hidden="1">{#N/A,#N/A,FALSE,"Aging Summary";#N/A,#N/A,FALSE,"Ratio Analysis";#N/A,#N/A,FALSE,"Test 120 Day Accts";#N/A,#N/A,FALSE,"Tickmarks"}</definedName>
    <definedName name="BCH_1_2_2" hidden="1">{#N/A,#N/A,FALSE,"Aging Summary";#N/A,#N/A,FALSE,"Ratio Analysis";#N/A,#N/A,FALSE,"Test 120 Day Accts";#N/A,#N/A,FALSE,"Tickmarks"}</definedName>
    <definedName name="BCH_1_2_2_1" hidden="1">{#N/A,#N/A,FALSE,"Aging Summary";#N/A,#N/A,FALSE,"Ratio Analysis";#N/A,#N/A,FALSE,"Test 120 Day Accts";#N/A,#N/A,FALSE,"Tickmarks"}</definedName>
    <definedName name="BCH_1_2_2_2" hidden="1">{#N/A,#N/A,FALSE,"Aging Summary";#N/A,#N/A,FALSE,"Ratio Analysis";#N/A,#N/A,FALSE,"Test 120 Day Accts";#N/A,#N/A,FALSE,"Tickmarks"}</definedName>
    <definedName name="BCH_1_2_3" hidden="1">{#N/A,#N/A,FALSE,"Aging Summary";#N/A,#N/A,FALSE,"Ratio Analysis";#N/A,#N/A,FALSE,"Test 120 Day Accts";#N/A,#N/A,FALSE,"Tickmarks"}</definedName>
    <definedName name="BCH_1_2_4" hidden="1">{#N/A,#N/A,FALSE,"Aging Summary";#N/A,#N/A,FALSE,"Ratio Analysis";#N/A,#N/A,FALSE,"Test 120 Day Accts";#N/A,#N/A,FALSE,"Tickmarks"}</definedName>
    <definedName name="BCH_1_3" hidden="1">{#N/A,#N/A,FALSE,"Aging Summary";#N/A,#N/A,FALSE,"Ratio Analysis";#N/A,#N/A,FALSE,"Test 120 Day Accts";#N/A,#N/A,FALSE,"Tickmarks"}</definedName>
    <definedName name="BCH_1_3_1" hidden="1">{#N/A,#N/A,FALSE,"Aging Summary";#N/A,#N/A,FALSE,"Ratio Analysis";#N/A,#N/A,FALSE,"Test 120 Day Accts";#N/A,#N/A,FALSE,"Tickmarks"}</definedName>
    <definedName name="BCH_1_3_1_1" hidden="1">{#N/A,#N/A,FALSE,"Aging Summary";#N/A,#N/A,FALSE,"Ratio Analysis";#N/A,#N/A,FALSE,"Test 120 Day Accts";#N/A,#N/A,FALSE,"Tickmarks"}</definedName>
    <definedName name="BCH_1_3_1_2" hidden="1">{#N/A,#N/A,FALSE,"Aging Summary";#N/A,#N/A,FALSE,"Ratio Analysis";#N/A,#N/A,FALSE,"Test 120 Day Accts";#N/A,#N/A,FALSE,"Tickmarks"}</definedName>
    <definedName name="BCH_1_3_2" hidden="1">{#N/A,#N/A,FALSE,"Aging Summary";#N/A,#N/A,FALSE,"Ratio Analysis";#N/A,#N/A,FALSE,"Test 120 Day Accts";#N/A,#N/A,FALSE,"Tickmarks"}</definedName>
    <definedName name="BCH_1_3_2_1" hidden="1">{#N/A,#N/A,FALSE,"Aging Summary";#N/A,#N/A,FALSE,"Ratio Analysis";#N/A,#N/A,FALSE,"Test 120 Day Accts";#N/A,#N/A,FALSE,"Tickmarks"}</definedName>
    <definedName name="BCH_1_3_2_2" hidden="1">{#N/A,#N/A,FALSE,"Aging Summary";#N/A,#N/A,FALSE,"Ratio Analysis";#N/A,#N/A,FALSE,"Test 120 Day Accts";#N/A,#N/A,FALSE,"Tickmarks"}</definedName>
    <definedName name="BCH_1_3_3" hidden="1">{#N/A,#N/A,FALSE,"Aging Summary";#N/A,#N/A,FALSE,"Ratio Analysis";#N/A,#N/A,FALSE,"Test 120 Day Accts";#N/A,#N/A,FALSE,"Tickmarks"}</definedName>
    <definedName name="BCH_1_3_4" hidden="1">{#N/A,#N/A,FALSE,"Aging Summary";#N/A,#N/A,FALSE,"Ratio Analysis";#N/A,#N/A,FALSE,"Test 120 Day Accts";#N/A,#N/A,FALSE,"Tickmarks"}</definedName>
    <definedName name="BCH_1_4" hidden="1">{#N/A,#N/A,FALSE,"Aging Summary";#N/A,#N/A,FALSE,"Ratio Analysis";#N/A,#N/A,FALSE,"Test 120 Day Accts";#N/A,#N/A,FALSE,"Tickmarks"}</definedName>
    <definedName name="BCH_1_4_1" hidden="1">{#N/A,#N/A,FALSE,"Aging Summary";#N/A,#N/A,FALSE,"Ratio Analysis";#N/A,#N/A,FALSE,"Test 120 Day Accts";#N/A,#N/A,FALSE,"Tickmarks"}</definedName>
    <definedName name="BCH_1_4_1_1" hidden="1">{#N/A,#N/A,FALSE,"Aging Summary";#N/A,#N/A,FALSE,"Ratio Analysis";#N/A,#N/A,FALSE,"Test 120 Day Accts";#N/A,#N/A,FALSE,"Tickmarks"}</definedName>
    <definedName name="BCH_1_4_1_2" hidden="1">{#N/A,#N/A,FALSE,"Aging Summary";#N/A,#N/A,FALSE,"Ratio Analysis";#N/A,#N/A,FALSE,"Test 120 Day Accts";#N/A,#N/A,FALSE,"Tickmarks"}</definedName>
    <definedName name="BCH_1_4_2" hidden="1">{#N/A,#N/A,FALSE,"Aging Summary";#N/A,#N/A,FALSE,"Ratio Analysis";#N/A,#N/A,FALSE,"Test 120 Day Accts";#N/A,#N/A,FALSE,"Tickmarks"}</definedName>
    <definedName name="BCH_1_4_2_1" hidden="1">{#N/A,#N/A,FALSE,"Aging Summary";#N/A,#N/A,FALSE,"Ratio Analysis";#N/A,#N/A,FALSE,"Test 120 Day Accts";#N/A,#N/A,FALSE,"Tickmarks"}</definedName>
    <definedName name="BCH_1_4_2_2" hidden="1">{#N/A,#N/A,FALSE,"Aging Summary";#N/A,#N/A,FALSE,"Ratio Analysis";#N/A,#N/A,FALSE,"Test 120 Day Accts";#N/A,#N/A,FALSE,"Tickmarks"}</definedName>
    <definedName name="BCH_1_4_3" hidden="1">{#N/A,#N/A,FALSE,"Aging Summary";#N/A,#N/A,FALSE,"Ratio Analysis";#N/A,#N/A,FALSE,"Test 120 Day Accts";#N/A,#N/A,FALSE,"Tickmarks"}</definedName>
    <definedName name="BCH_1_4_4" hidden="1">{#N/A,#N/A,FALSE,"Aging Summary";#N/A,#N/A,FALSE,"Ratio Analysis";#N/A,#N/A,FALSE,"Test 120 Day Accts";#N/A,#N/A,FALSE,"Tickmarks"}</definedName>
    <definedName name="BCH_1_5" hidden="1">{#N/A,#N/A,FALSE,"Aging Summary";#N/A,#N/A,FALSE,"Ratio Analysis";#N/A,#N/A,FALSE,"Test 120 Day Accts";#N/A,#N/A,FALSE,"Tickmarks"}</definedName>
    <definedName name="BCH_1_5_1" hidden="1">{#N/A,#N/A,FALSE,"Aging Summary";#N/A,#N/A,FALSE,"Ratio Analysis";#N/A,#N/A,FALSE,"Test 120 Day Accts";#N/A,#N/A,FALSE,"Tickmarks"}</definedName>
    <definedName name="BCH_1_5_1_1" hidden="1">{#N/A,#N/A,FALSE,"Aging Summary";#N/A,#N/A,FALSE,"Ratio Analysis";#N/A,#N/A,FALSE,"Test 120 Day Accts";#N/A,#N/A,FALSE,"Tickmarks"}</definedName>
    <definedName name="BCH_1_5_1_2" hidden="1">{#N/A,#N/A,FALSE,"Aging Summary";#N/A,#N/A,FALSE,"Ratio Analysis";#N/A,#N/A,FALSE,"Test 120 Day Accts";#N/A,#N/A,FALSE,"Tickmarks"}</definedName>
    <definedName name="BCH_1_5_2" hidden="1">{#N/A,#N/A,FALSE,"Aging Summary";#N/A,#N/A,FALSE,"Ratio Analysis";#N/A,#N/A,FALSE,"Test 120 Day Accts";#N/A,#N/A,FALSE,"Tickmarks"}</definedName>
    <definedName name="BCH_1_5_2_1" hidden="1">{#N/A,#N/A,FALSE,"Aging Summary";#N/A,#N/A,FALSE,"Ratio Analysis";#N/A,#N/A,FALSE,"Test 120 Day Accts";#N/A,#N/A,FALSE,"Tickmarks"}</definedName>
    <definedName name="BCH_1_5_2_2" hidden="1">{#N/A,#N/A,FALSE,"Aging Summary";#N/A,#N/A,FALSE,"Ratio Analysis";#N/A,#N/A,FALSE,"Test 120 Day Accts";#N/A,#N/A,FALSE,"Tickmarks"}</definedName>
    <definedName name="BCH_1_5_3" hidden="1">{#N/A,#N/A,FALSE,"Aging Summary";#N/A,#N/A,FALSE,"Ratio Analysis";#N/A,#N/A,FALSE,"Test 120 Day Accts";#N/A,#N/A,FALSE,"Tickmarks"}</definedName>
    <definedName name="BCH_1_5_4" hidden="1">{#N/A,#N/A,FALSE,"Aging Summary";#N/A,#N/A,FALSE,"Ratio Analysis";#N/A,#N/A,FALSE,"Test 120 Day Accts";#N/A,#N/A,FALSE,"Tickmarks"}</definedName>
    <definedName name="BCH_2" hidden="1">{#N/A,#N/A,FALSE,"Aging Summary";#N/A,#N/A,FALSE,"Ratio Analysis";#N/A,#N/A,FALSE,"Test 120 Day Accts";#N/A,#N/A,FALSE,"Tickmarks"}</definedName>
    <definedName name="BCH_2_1" hidden="1">{#N/A,#N/A,FALSE,"Aging Summary";#N/A,#N/A,FALSE,"Ratio Analysis";#N/A,#N/A,FALSE,"Test 120 Day Accts";#N/A,#N/A,FALSE,"Tickmarks"}</definedName>
    <definedName name="BCH_2_1_1" hidden="1">{#N/A,#N/A,FALSE,"Aging Summary";#N/A,#N/A,FALSE,"Ratio Analysis";#N/A,#N/A,FALSE,"Test 120 Day Accts";#N/A,#N/A,FALSE,"Tickmarks"}</definedName>
    <definedName name="BCH_2_1_1_1" hidden="1">{#N/A,#N/A,FALSE,"Aging Summary";#N/A,#N/A,FALSE,"Ratio Analysis";#N/A,#N/A,FALSE,"Test 120 Day Accts";#N/A,#N/A,FALSE,"Tickmarks"}</definedName>
    <definedName name="BCH_2_1_1_2" hidden="1">{#N/A,#N/A,FALSE,"Aging Summary";#N/A,#N/A,FALSE,"Ratio Analysis";#N/A,#N/A,FALSE,"Test 120 Day Accts";#N/A,#N/A,FALSE,"Tickmarks"}</definedName>
    <definedName name="BCH_2_1_2" hidden="1">{#N/A,#N/A,FALSE,"Aging Summary";#N/A,#N/A,FALSE,"Ratio Analysis";#N/A,#N/A,FALSE,"Test 120 Day Accts";#N/A,#N/A,FALSE,"Tickmarks"}</definedName>
    <definedName name="BCH_2_1_2_1" hidden="1">{#N/A,#N/A,FALSE,"Aging Summary";#N/A,#N/A,FALSE,"Ratio Analysis";#N/A,#N/A,FALSE,"Test 120 Day Accts";#N/A,#N/A,FALSE,"Tickmarks"}</definedName>
    <definedName name="BCH_2_1_2_2" hidden="1">{#N/A,#N/A,FALSE,"Aging Summary";#N/A,#N/A,FALSE,"Ratio Analysis";#N/A,#N/A,FALSE,"Test 120 Day Accts";#N/A,#N/A,FALSE,"Tickmarks"}</definedName>
    <definedName name="BCH_2_1_3" hidden="1">{#N/A,#N/A,FALSE,"Aging Summary";#N/A,#N/A,FALSE,"Ratio Analysis";#N/A,#N/A,FALSE,"Test 120 Day Accts";#N/A,#N/A,FALSE,"Tickmarks"}</definedName>
    <definedName name="BCH_2_1_4" hidden="1">{#N/A,#N/A,FALSE,"Aging Summary";#N/A,#N/A,FALSE,"Ratio Analysis";#N/A,#N/A,FALSE,"Test 120 Day Accts";#N/A,#N/A,FALSE,"Tickmarks"}</definedName>
    <definedName name="BCH_2_2" hidden="1">{#N/A,#N/A,FALSE,"Aging Summary";#N/A,#N/A,FALSE,"Ratio Analysis";#N/A,#N/A,FALSE,"Test 120 Day Accts";#N/A,#N/A,FALSE,"Tickmarks"}</definedName>
    <definedName name="BCH_2_2_1" hidden="1">{#N/A,#N/A,FALSE,"Aging Summary";#N/A,#N/A,FALSE,"Ratio Analysis";#N/A,#N/A,FALSE,"Test 120 Day Accts";#N/A,#N/A,FALSE,"Tickmarks"}</definedName>
    <definedName name="BCH_2_2_1_1" hidden="1">{#N/A,#N/A,FALSE,"Aging Summary";#N/A,#N/A,FALSE,"Ratio Analysis";#N/A,#N/A,FALSE,"Test 120 Day Accts";#N/A,#N/A,FALSE,"Tickmarks"}</definedName>
    <definedName name="BCH_2_2_1_2" hidden="1">{#N/A,#N/A,FALSE,"Aging Summary";#N/A,#N/A,FALSE,"Ratio Analysis";#N/A,#N/A,FALSE,"Test 120 Day Accts";#N/A,#N/A,FALSE,"Tickmarks"}</definedName>
    <definedName name="BCH_2_2_2" hidden="1">{#N/A,#N/A,FALSE,"Aging Summary";#N/A,#N/A,FALSE,"Ratio Analysis";#N/A,#N/A,FALSE,"Test 120 Day Accts";#N/A,#N/A,FALSE,"Tickmarks"}</definedName>
    <definedName name="BCH_2_2_2_1" hidden="1">{#N/A,#N/A,FALSE,"Aging Summary";#N/A,#N/A,FALSE,"Ratio Analysis";#N/A,#N/A,FALSE,"Test 120 Day Accts";#N/A,#N/A,FALSE,"Tickmarks"}</definedName>
    <definedName name="BCH_2_2_2_2" hidden="1">{#N/A,#N/A,FALSE,"Aging Summary";#N/A,#N/A,FALSE,"Ratio Analysis";#N/A,#N/A,FALSE,"Test 120 Day Accts";#N/A,#N/A,FALSE,"Tickmarks"}</definedName>
    <definedName name="BCH_2_2_3" hidden="1">{#N/A,#N/A,FALSE,"Aging Summary";#N/A,#N/A,FALSE,"Ratio Analysis";#N/A,#N/A,FALSE,"Test 120 Day Accts";#N/A,#N/A,FALSE,"Tickmarks"}</definedName>
    <definedName name="BCH_2_2_4" hidden="1">{#N/A,#N/A,FALSE,"Aging Summary";#N/A,#N/A,FALSE,"Ratio Analysis";#N/A,#N/A,FALSE,"Test 120 Day Accts";#N/A,#N/A,FALSE,"Tickmarks"}</definedName>
    <definedName name="BCH_2_3" hidden="1">{#N/A,#N/A,FALSE,"Aging Summary";#N/A,#N/A,FALSE,"Ratio Analysis";#N/A,#N/A,FALSE,"Test 120 Day Accts";#N/A,#N/A,FALSE,"Tickmarks"}</definedName>
    <definedName name="BCH_2_3_1" hidden="1">{#N/A,#N/A,FALSE,"Aging Summary";#N/A,#N/A,FALSE,"Ratio Analysis";#N/A,#N/A,FALSE,"Test 120 Day Accts";#N/A,#N/A,FALSE,"Tickmarks"}</definedName>
    <definedName name="BCH_2_3_1_1" hidden="1">{#N/A,#N/A,FALSE,"Aging Summary";#N/A,#N/A,FALSE,"Ratio Analysis";#N/A,#N/A,FALSE,"Test 120 Day Accts";#N/A,#N/A,FALSE,"Tickmarks"}</definedName>
    <definedName name="BCH_2_3_1_2" hidden="1">{#N/A,#N/A,FALSE,"Aging Summary";#N/A,#N/A,FALSE,"Ratio Analysis";#N/A,#N/A,FALSE,"Test 120 Day Accts";#N/A,#N/A,FALSE,"Tickmarks"}</definedName>
    <definedName name="BCH_2_3_2" hidden="1">{#N/A,#N/A,FALSE,"Aging Summary";#N/A,#N/A,FALSE,"Ratio Analysis";#N/A,#N/A,FALSE,"Test 120 Day Accts";#N/A,#N/A,FALSE,"Tickmarks"}</definedName>
    <definedName name="BCH_2_3_2_1" hidden="1">{#N/A,#N/A,FALSE,"Aging Summary";#N/A,#N/A,FALSE,"Ratio Analysis";#N/A,#N/A,FALSE,"Test 120 Day Accts";#N/A,#N/A,FALSE,"Tickmarks"}</definedName>
    <definedName name="BCH_2_3_2_2" hidden="1">{#N/A,#N/A,FALSE,"Aging Summary";#N/A,#N/A,FALSE,"Ratio Analysis";#N/A,#N/A,FALSE,"Test 120 Day Accts";#N/A,#N/A,FALSE,"Tickmarks"}</definedName>
    <definedName name="BCH_2_3_3" hidden="1">{#N/A,#N/A,FALSE,"Aging Summary";#N/A,#N/A,FALSE,"Ratio Analysis";#N/A,#N/A,FALSE,"Test 120 Day Accts";#N/A,#N/A,FALSE,"Tickmarks"}</definedName>
    <definedName name="BCH_2_3_4" hidden="1">{#N/A,#N/A,FALSE,"Aging Summary";#N/A,#N/A,FALSE,"Ratio Analysis";#N/A,#N/A,FALSE,"Test 120 Day Accts";#N/A,#N/A,FALSE,"Tickmarks"}</definedName>
    <definedName name="BCH_2_4" hidden="1">{#N/A,#N/A,FALSE,"Aging Summary";#N/A,#N/A,FALSE,"Ratio Analysis";#N/A,#N/A,FALSE,"Test 120 Day Accts";#N/A,#N/A,FALSE,"Tickmarks"}</definedName>
    <definedName name="BCH_2_4_1" hidden="1">{#N/A,#N/A,FALSE,"Aging Summary";#N/A,#N/A,FALSE,"Ratio Analysis";#N/A,#N/A,FALSE,"Test 120 Day Accts";#N/A,#N/A,FALSE,"Tickmarks"}</definedName>
    <definedName name="BCH_2_4_1_1" hidden="1">{#N/A,#N/A,FALSE,"Aging Summary";#N/A,#N/A,FALSE,"Ratio Analysis";#N/A,#N/A,FALSE,"Test 120 Day Accts";#N/A,#N/A,FALSE,"Tickmarks"}</definedName>
    <definedName name="BCH_2_4_1_2" hidden="1">{#N/A,#N/A,FALSE,"Aging Summary";#N/A,#N/A,FALSE,"Ratio Analysis";#N/A,#N/A,FALSE,"Test 120 Day Accts";#N/A,#N/A,FALSE,"Tickmarks"}</definedName>
    <definedName name="BCH_2_4_2" hidden="1">{#N/A,#N/A,FALSE,"Aging Summary";#N/A,#N/A,FALSE,"Ratio Analysis";#N/A,#N/A,FALSE,"Test 120 Day Accts";#N/A,#N/A,FALSE,"Tickmarks"}</definedName>
    <definedName name="BCH_2_4_2_1" hidden="1">{#N/A,#N/A,FALSE,"Aging Summary";#N/A,#N/A,FALSE,"Ratio Analysis";#N/A,#N/A,FALSE,"Test 120 Day Accts";#N/A,#N/A,FALSE,"Tickmarks"}</definedName>
    <definedName name="BCH_2_4_2_2" hidden="1">{#N/A,#N/A,FALSE,"Aging Summary";#N/A,#N/A,FALSE,"Ratio Analysis";#N/A,#N/A,FALSE,"Test 120 Day Accts";#N/A,#N/A,FALSE,"Tickmarks"}</definedName>
    <definedName name="BCH_2_4_3" hidden="1">{#N/A,#N/A,FALSE,"Aging Summary";#N/A,#N/A,FALSE,"Ratio Analysis";#N/A,#N/A,FALSE,"Test 120 Day Accts";#N/A,#N/A,FALSE,"Tickmarks"}</definedName>
    <definedName name="BCH_2_4_4" hidden="1">{#N/A,#N/A,FALSE,"Aging Summary";#N/A,#N/A,FALSE,"Ratio Analysis";#N/A,#N/A,FALSE,"Test 120 Day Accts";#N/A,#N/A,FALSE,"Tickmarks"}</definedName>
    <definedName name="BCH_2_5" hidden="1">{#N/A,#N/A,FALSE,"Aging Summary";#N/A,#N/A,FALSE,"Ratio Analysis";#N/A,#N/A,FALSE,"Test 120 Day Accts";#N/A,#N/A,FALSE,"Tickmarks"}</definedName>
    <definedName name="BCH_2_5_1" hidden="1">{#N/A,#N/A,FALSE,"Aging Summary";#N/A,#N/A,FALSE,"Ratio Analysis";#N/A,#N/A,FALSE,"Test 120 Day Accts";#N/A,#N/A,FALSE,"Tickmarks"}</definedName>
    <definedName name="BCH_2_5_1_1" hidden="1">{#N/A,#N/A,FALSE,"Aging Summary";#N/A,#N/A,FALSE,"Ratio Analysis";#N/A,#N/A,FALSE,"Test 120 Day Accts";#N/A,#N/A,FALSE,"Tickmarks"}</definedName>
    <definedName name="BCH_2_5_1_2" hidden="1">{#N/A,#N/A,FALSE,"Aging Summary";#N/A,#N/A,FALSE,"Ratio Analysis";#N/A,#N/A,FALSE,"Test 120 Day Accts";#N/A,#N/A,FALSE,"Tickmarks"}</definedName>
    <definedName name="BCH_2_5_2" hidden="1">{#N/A,#N/A,FALSE,"Aging Summary";#N/A,#N/A,FALSE,"Ratio Analysis";#N/A,#N/A,FALSE,"Test 120 Day Accts";#N/A,#N/A,FALSE,"Tickmarks"}</definedName>
    <definedName name="BCH_2_5_2_1" hidden="1">{#N/A,#N/A,FALSE,"Aging Summary";#N/A,#N/A,FALSE,"Ratio Analysis";#N/A,#N/A,FALSE,"Test 120 Day Accts";#N/A,#N/A,FALSE,"Tickmarks"}</definedName>
    <definedName name="BCH_2_5_2_2" hidden="1">{#N/A,#N/A,FALSE,"Aging Summary";#N/A,#N/A,FALSE,"Ratio Analysis";#N/A,#N/A,FALSE,"Test 120 Day Accts";#N/A,#N/A,FALSE,"Tickmarks"}</definedName>
    <definedName name="BCH_2_5_3" hidden="1">{#N/A,#N/A,FALSE,"Aging Summary";#N/A,#N/A,FALSE,"Ratio Analysis";#N/A,#N/A,FALSE,"Test 120 Day Accts";#N/A,#N/A,FALSE,"Tickmarks"}</definedName>
    <definedName name="BCH_2_5_4" hidden="1">{#N/A,#N/A,FALSE,"Aging Summary";#N/A,#N/A,FALSE,"Ratio Analysis";#N/A,#N/A,FALSE,"Test 120 Day Accts";#N/A,#N/A,FALSE,"Tickmarks"}</definedName>
    <definedName name="BCH_3" hidden="1">{#N/A,#N/A,FALSE,"Aging Summary";#N/A,#N/A,FALSE,"Ratio Analysis";#N/A,#N/A,FALSE,"Test 120 Day Accts";#N/A,#N/A,FALSE,"Tickmarks"}</definedName>
    <definedName name="BCH_3_1" hidden="1">{#N/A,#N/A,FALSE,"Aging Summary";#N/A,#N/A,FALSE,"Ratio Analysis";#N/A,#N/A,FALSE,"Test 120 Day Accts";#N/A,#N/A,FALSE,"Tickmarks"}</definedName>
    <definedName name="BCH_3_1_1" hidden="1">{#N/A,#N/A,FALSE,"Aging Summary";#N/A,#N/A,FALSE,"Ratio Analysis";#N/A,#N/A,FALSE,"Test 120 Day Accts";#N/A,#N/A,FALSE,"Tickmarks"}</definedName>
    <definedName name="BCH_3_1_1_1" hidden="1">{#N/A,#N/A,FALSE,"Aging Summary";#N/A,#N/A,FALSE,"Ratio Analysis";#N/A,#N/A,FALSE,"Test 120 Day Accts";#N/A,#N/A,FALSE,"Tickmarks"}</definedName>
    <definedName name="BCH_3_1_1_2" hidden="1">{#N/A,#N/A,FALSE,"Aging Summary";#N/A,#N/A,FALSE,"Ratio Analysis";#N/A,#N/A,FALSE,"Test 120 Day Accts";#N/A,#N/A,FALSE,"Tickmarks"}</definedName>
    <definedName name="BCH_3_1_2" hidden="1">{#N/A,#N/A,FALSE,"Aging Summary";#N/A,#N/A,FALSE,"Ratio Analysis";#N/A,#N/A,FALSE,"Test 120 Day Accts";#N/A,#N/A,FALSE,"Tickmarks"}</definedName>
    <definedName name="BCH_3_1_2_1" hidden="1">{#N/A,#N/A,FALSE,"Aging Summary";#N/A,#N/A,FALSE,"Ratio Analysis";#N/A,#N/A,FALSE,"Test 120 Day Accts";#N/A,#N/A,FALSE,"Tickmarks"}</definedName>
    <definedName name="BCH_3_1_2_2" hidden="1">{#N/A,#N/A,FALSE,"Aging Summary";#N/A,#N/A,FALSE,"Ratio Analysis";#N/A,#N/A,FALSE,"Test 120 Day Accts";#N/A,#N/A,FALSE,"Tickmarks"}</definedName>
    <definedName name="BCH_3_1_3" hidden="1">{#N/A,#N/A,FALSE,"Aging Summary";#N/A,#N/A,FALSE,"Ratio Analysis";#N/A,#N/A,FALSE,"Test 120 Day Accts";#N/A,#N/A,FALSE,"Tickmarks"}</definedName>
    <definedName name="BCH_3_1_4" hidden="1">{#N/A,#N/A,FALSE,"Aging Summary";#N/A,#N/A,FALSE,"Ratio Analysis";#N/A,#N/A,FALSE,"Test 120 Day Accts";#N/A,#N/A,FALSE,"Tickmarks"}</definedName>
    <definedName name="BCH_3_2" hidden="1">{#N/A,#N/A,FALSE,"Aging Summary";#N/A,#N/A,FALSE,"Ratio Analysis";#N/A,#N/A,FALSE,"Test 120 Day Accts";#N/A,#N/A,FALSE,"Tickmarks"}</definedName>
    <definedName name="BCH_3_2_1" hidden="1">{#N/A,#N/A,FALSE,"Aging Summary";#N/A,#N/A,FALSE,"Ratio Analysis";#N/A,#N/A,FALSE,"Test 120 Day Accts";#N/A,#N/A,FALSE,"Tickmarks"}</definedName>
    <definedName name="BCH_3_2_1_1" hidden="1">{#N/A,#N/A,FALSE,"Aging Summary";#N/A,#N/A,FALSE,"Ratio Analysis";#N/A,#N/A,FALSE,"Test 120 Day Accts";#N/A,#N/A,FALSE,"Tickmarks"}</definedName>
    <definedName name="BCH_3_2_1_2" hidden="1">{#N/A,#N/A,FALSE,"Aging Summary";#N/A,#N/A,FALSE,"Ratio Analysis";#N/A,#N/A,FALSE,"Test 120 Day Accts";#N/A,#N/A,FALSE,"Tickmarks"}</definedName>
    <definedName name="BCH_3_2_2" hidden="1">{#N/A,#N/A,FALSE,"Aging Summary";#N/A,#N/A,FALSE,"Ratio Analysis";#N/A,#N/A,FALSE,"Test 120 Day Accts";#N/A,#N/A,FALSE,"Tickmarks"}</definedName>
    <definedName name="BCH_3_2_2_1" hidden="1">{#N/A,#N/A,FALSE,"Aging Summary";#N/A,#N/A,FALSE,"Ratio Analysis";#N/A,#N/A,FALSE,"Test 120 Day Accts";#N/A,#N/A,FALSE,"Tickmarks"}</definedName>
    <definedName name="BCH_3_2_2_2" hidden="1">{#N/A,#N/A,FALSE,"Aging Summary";#N/A,#N/A,FALSE,"Ratio Analysis";#N/A,#N/A,FALSE,"Test 120 Day Accts";#N/A,#N/A,FALSE,"Tickmarks"}</definedName>
    <definedName name="BCH_3_2_3" hidden="1">{#N/A,#N/A,FALSE,"Aging Summary";#N/A,#N/A,FALSE,"Ratio Analysis";#N/A,#N/A,FALSE,"Test 120 Day Accts";#N/A,#N/A,FALSE,"Tickmarks"}</definedName>
    <definedName name="BCH_3_2_4" hidden="1">{#N/A,#N/A,FALSE,"Aging Summary";#N/A,#N/A,FALSE,"Ratio Analysis";#N/A,#N/A,FALSE,"Test 120 Day Accts";#N/A,#N/A,FALSE,"Tickmarks"}</definedName>
    <definedName name="BCH_3_3" hidden="1">{#N/A,#N/A,FALSE,"Aging Summary";#N/A,#N/A,FALSE,"Ratio Analysis";#N/A,#N/A,FALSE,"Test 120 Day Accts";#N/A,#N/A,FALSE,"Tickmarks"}</definedName>
    <definedName name="BCH_3_3_1" hidden="1">{#N/A,#N/A,FALSE,"Aging Summary";#N/A,#N/A,FALSE,"Ratio Analysis";#N/A,#N/A,FALSE,"Test 120 Day Accts";#N/A,#N/A,FALSE,"Tickmarks"}</definedName>
    <definedName name="BCH_3_3_1_1" hidden="1">{#N/A,#N/A,FALSE,"Aging Summary";#N/A,#N/A,FALSE,"Ratio Analysis";#N/A,#N/A,FALSE,"Test 120 Day Accts";#N/A,#N/A,FALSE,"Tickmarks"}</definedName>
    <definedName name="BCH_3_3_1_2" hidden="1">{#N/A,#N/A,FALSE,"Aging Summary";#N/A,#N/A,FALSE,"Ratio Analysis";#N/A,#N/A,FALSE,"Test 120 Day Accts";#N/A,#N/A,FALSE,"Tickmarks"}</definedName>
    <definedName name="BCH_3_3_2" hidden="1">{#N/A,#N/A,FALSE,"Aging Summary";#N/A,#N/A,FALSE,"Ratio Analysis";#N/A,#N/A,FALSE,"Test 120 Day Accts";#N/A,#N/A,FALSE,"Tickmarks"}</definedName>
    <definedName name="BCH_3_3_2_1" hidden="1">{#N/A,#N/A,FALSE,"Aging Summary";#N/A,#N/A,FALSE,"Ratio Analysis";#N/A,#N/A,FALSE,"Test 120 Day Accts";#N/A,#N/A,FALSE,"Tickmarks"}</definedName>
    <definedName name="BCH_3_3_2_2" hidden="1">{#N/A,#N/A,FALSE,"Aging Summary";#N/A,#N/A,FALSE,"Ratio Analysis";#N/A,#N/A,FALSE,"Test 120 Day Accts";#N/A,#N/A,FALSE,"Tickmarks"}</definedName>
    <definedName name="BCH_3_3_3" hidden="1">{#N/A,#N/A,FALSE,"Aging Summary";#N/A,#N/A,FALSE,"Ratio Analysis";#N/A,#N/A,FALSE,"Test 120 Day Accts";#N/A,#N/A,FALSE,"Tickmarks"}</definedName>
    <definedName name="BCH_3_3_4" hidden="1">{#N/A,#N/A,FALSE,"Aging Summary";#N/A,#N/A,FALSE,"Ratio Analysis";#N/A,#N/A,FALSE,"Test 120 Day Accts";#N/A,#N/A,FALSE,"Tickmarks"}</definedName>
    <definedName name="BCH_3_4" hidden="1">{#N/A,#N/A,FALSE,"Aging Summary";#N/A,#N/A,FALSE,"Ratio Analysis";#N/A,#N/A,FALSE,"Test 120 Day Accts";#N/A,#N/A,FALSE,"Tickmarks"}</definedName>
    <definedName name="BCH_3_4_1" hidden="1">{#N/A,#N/A,FALSE,"Aging Summary";#N/A,#N/A,FALSE,"Ratio Analysis";#N/A,#N/A,FALSE,"Test 120 Day Accts";#N/A,#N/A,FALSE,"Tickmarks"}</definedName>
    <definedName name="BCH_3_4_1_1" hidden="1">{#N/A,#N/A,FALSE,"Aging Summary";#N/A,#N/A,FALSE,"Ratio Analysis";#N/A,#N/A,FALSE,"Test 120 Day Accts";#N/A,#N/A,FALSE,"Tickmarks"}</definedName>
    <definedName name="BCH_3_4_1_2" hidden="1">{#N/A,#N/A,FALSE,"Aging Summary";#N/A,#N/A,FALSE,"Ratio Analysis";#N/A,#N/A,FALSE,"Test 120 Day Accts";#N/A,#N/A,FALSE,"Tickmarks"}</definedName>
    <definedName name="BCH_3_4_2" hidden="1">{#N/A,#N/A,FALSE,"Aging Summary";#N/A,#N/A,FALSE,"Ratio Analysis";#N/A,#N/A,FALSE,"Test 120 Day Accts";#N/A,#N/A,FALSE,"Tickmarks"}</definedName>
    <definedName name="BCH_3_4_2_1" hidden="1">{#N/A,#N/A,FALSE,"Aging Summary";#N/A,#N/A,FALSE,"Ratio Analysis";#N/A,#N/A,FALSE,"Test 120 Day Accts";#N/A,#N/A,FALSE,"Tickmarks"}</definedName>
    <definedName name="BCH_3_4_2_2" hidden="1">{#N/A,#N/A,FALSE,"Aging Summary";#N/A,#N/A,FALSE,"Ratio Analysis";#N/A,#N/A,FALSE,"Test 120 Day Accts";#N/A,#N/A,FALSE,"Tickmarks"}</definedName>
    <definedName name="BCH_3_4_3" hidden="1">{#N/A,#N/A,FALSE,"Aging Summary";#N/A,#N/A,FALSE,"Ratio Analysis";#N/A,#N/A,FALSE,"Test 120 Day Accts";#N/A,#N/A,FALSE,"Tickmarks"}</definedName>
    <definedName name="BCH_3_4_4" hidden="1">{#N/A,#N/A,FALSE,"Aging Summary";#N/A,#N/A,FALSE,"Ratio Analysis";#N/A,#N/A,FALSE,"Test 120 Day Accts";#N/A,#N/A,FALSE,"Tickmarks"}</definedName>
    <definedName name="BCH_3_5" hidden="1">{#N/A,#N/A,FALSE,"Aging Summary";#N/A,#N/A,FALSE,"Ratio Analysis";#N/A,#N/A,FALSE,"Test 120 Day Accts";#N/A,#N/A,FALSE,"Tickmarks"}</definedName>
    <definedName name="BCH_3_5_1" hidden="1">{#N/A,#N/A,FALSE,"Aging Summary";#N/A,#N/A,FALSE,"Ratio Analysis";#N/A,#N/A,FALSE,"Test 120 Day Accts";#N/A,#N/A,FALSE,"Tickmarks"}</definedName>
    <definedName name="BCH_3_5_1_1" hidden="1">{#N/A,#N/A,FALSE,"Aging Summary";#N/A,#N/A,FALSE,"Ratio Analysis";#N/A,#N/A,FALSE,"Test 120 Day Accts";#N/A,#N/A,FALSE,"Tickmarks"}</definedName>
    <definedName name="BCH_3_5_1_2" hidden="1">{#N/A,#N/A,FALSE,"Aging Summary";#N/A,#N/A,FALSE,"Ratio Analysis";#N/A,#N/A,FALSE,"Test 120 Day Accts";#N/A,#N/A,FALSE,"Tickmarks"}</definedName>
    <definedName name="BCH_3_5_2" hidden="1">{#N/A,#N/A,FALSE,"Aging Summary";#N/A,#N/A,FALSE,"Ratio Analysis";#N/A,#N/A,FALSE,"Test 120 Day Accts";#N/A,#N/A,FALSE,"Tickmarks"}</definedName>
    <definedName name="BCH_3_5_2_1" hidden="1">{#N/A,#N/A,FALSE,"Aging Summary";#N/A,#N/A,FALSE,"Ratio Analysis";#N/A,#N/A,FALSE,"Test 120 Day Accts";#N/A,#N/A,FALSE,"Tickmarks"}</definedName>
    <definedName name="BCH_3_5_2_2" hidden="1">{#N/A,#N/A,FALSE,"Aging Summary";#N/A,#N/A,FALSE,"Ratio Analysis";#N/A,#N/A,FALSE,"Test 120 Day Accts";#N/A,#N/A,FALSE,"Tickmarks"}</definedName>
    <definedName name="BCH_3_5_3" hidden="1">{#N/A,#N/A,FALSE,"Aging Summary";#N/A,#N/A,FALSE,"Ratio Analysis";#N/A,#N/A,FALSE,"Test 120 Day Accts";#N/A,#N/A,FALSE,"Tickmarks"}</definedName>
    <definedName name="BCH_3_5_4" hidden="1">{#N/A,#N/A,FALSE,"Aging Summary";#N/A,#N/A,FALSE,"Ratio Analysis";#N/A,#N/A,FALSE,"Test 120 Day Accts";#N/A,#N/A,FALSE,"Tickmarks"}</definedName>
    <definedName name="BCH_4" hidden="1">{#N/A,#N/A,FALSE,"Aging Summary";#N/A,#N/A,FALSE,"Ratio Analysis";#N/A,#N/A,FALSE,"Test 120 Day Accts";#N/A,#N/A,FALSE,"Tickmarks"}</definedName>
    <definedName name="BCH_4_1" hidden="1">{#N/A,#N/A,FALSE,"Aging Summary";#N/A,#N/A,FALSE,"Ratio Analysis";#N/A,#N/A,FALSE,"Test 120 Day Accts";#N/A,#N/A,FALSE,"Tickmarks"}</definedName>
    <definedName name="BCH_4_1_1" hidden="1">{#N/A,#N/A,FALSE,"Aging Summary";#N/A,#N/A,FALSE,"Ratio Analysis";#N/A,#N/A,FALSE,"Test 120 Day Accts";#N/A,#N/A,FALSE,"Tickmarks"}</definedName>
    <definedName name="BCH_4_1_2" hidden="1">{#N/A,#N/A,FALSE,"Aging Summary";#N/A,#N/A,FALSE,"Ratio Analysis";#N/A,#N/A,FALSE,"Test 120 Day Accts";#N/A,#N/A,FALSE,"Tickmarks"}</definedName>
    <definedName name="BCH_4_2" hidden="1">{#N/A,#N/A,FALSE,"Aging Summary";#N/A,#N/A,FALSE,"Ratio Analysis";#N/A,#N/A,FALSE,"Test 120 Day Accts";#N/A,#N/A,FALSE,"Tickmarks"}</definedName>
    <definedName name="BCH_4_2_1" hidden="1">{#N/A,#N/A,FALSE,"Aging Summary";#N/A,#N/A,FALSE,"Ratio Analysis";#N/A,#N/A,FALSE,"Test 120 Day Accts";#N/A,#N/A,FALSE,"Tickmarks"}</definedName>
    <definedName name="BCH_4_2_2" hidden="1">{#N/A,#N/A,FALSE,"Aging Summary";#N/A,#N/A,FALSE,"Ratio Analysis";#N/A,#N/A,FALSE,"Test 120 Day Accts";#N/A,#N/A,FALSE,"Tickmarks"}</definedName>
    <definedName name="BCH_4_3" hidden="1">{#N/A,#N/A,FALSE,"Aging Summary";#N/A,#N/A,FALSE,"Ratio Analysis";#N/A,#N/A,FALSE,"Test 120 Day Accts";#N/A,#N/A,FALSE,"Tickmarks"}</definedName>
    <definedName name="BCH_4_4" hidden="1">{#N/A,#N/A,FALSE,"Aging Summary";#N/A,#N/A,FALSE,"Ratio Analysis";#N/A,#N/A,FALSE,"Test 120 Day Accts";#N/A,#N/A,FALSE,"Tickmarks"}</definedName>
    <definedName name="BCH_5" hidden="1">{#N/A,#N/A,FALSE,"Aging Summary";#N/A,#N/A,FALSE,"Ratio Analysis";#N/A,#N/A,FALSE,"Test 120 Day Accts";#N/A,#N/A,FALSE,"Tickmarks"}</definedName>
    <definedName name="BCH_5_1" hidden="1">{#N/A,#N/A,FALSE,"Aging Summary";#N/A,#N/A,FALSE,"Ratio Analysis";#N/A,#N/A,FALSE,"Test 120 Day Accts";#N/A,#N/A,FALSE,"Tickmarks"}</definedName>
    <definedName name="BCH_5_1_1" hidden="1">{#N/A,#N/A,FALSE,"Aging Summary";#N/A,#N/A,FALSE,"Ratio Analysis";#N/A,#N/A,FALSE,"Test 120 Day Accts";#N/A,#N/A,FALSE,"Tickmarks"}</definedName>
    <definedName name="BCH_5_1_2" hidden="1">{#N/A,#N/A,FALSE,"Aging Summary";#N/A,#N/A,FALSE,"Ratio Analysis";#N/A,#N/A,FALSE,"Test 120 Day Accts";#N/A,#N/A,FALSE,"Tickmarks"}</definedName>
    <definedName name="BCH_5_2" hidden="1">{#N/A,#N/A,FALSE,"Aging Summary";#N/A,#N/A,FALSE,"Ratio Analysis";#N/A,#N/A,FALSE,"Test 120 Day Accts";#N/A,#N/A,FALSE,"Tickmarks"}</definedName>
    <definedName name="BCH_5_2_1" hidden="1">{#N/A,#N/A,FALSE,"Aging Summary";#N/A,#N/A,FALSE,"Ratio Analysis";#N/A,#N/A,FALSE,"Test 120 Day Accts";#N/A,#N/A,FALSE,"Tickmarks"}</definedName>
    <definedName name="BCH_5_2_2" hidden="1">{#N/A,#N/A,FALSE,"Aging Summary";#N/A,#N/A,FALSE,"Ratio Analysis";#N/A,#N/A,FALSE,"Test 120 Day Accts";#N/A,#N/A,FALSE,"Tickmarks"}</definedName>
    <definedName name="BCH_5_3" hidden="1">{#N/A,#N/A,FALSE,"Aging Summary";#N/A,#N/A,FALSE,"Ratio Analysis";#N/A,#N/A,FALSE,"Test 120 Day Accts";#N/A,#N/A,FALSE,"Tickmarks"}</definedName>
    <definedName name="BCH_5_4" hidden="1">{#N/A,#N/A,FALSE,"Aging Summary";#N/A,#N/A,FALSE,"Ratio Analysis";#N/A,#N/A,FALSE,"Test 120 Day Accts";#N/A,#N/A,FALSE,"Tickmarks"}</definedName>
    <definedName name="bchart1" localSheetId="8" hidden="1">#REF!</definedName>
    <definedName name="bchart1" hidden="1">#REF!</definedName>
    <definedName name="bchart5" localSheetId="8" hidden="1">#REF!</definedName>
    <definedName name="bchart5" hidden="1">#REF!</definedName>
    <definedName name="bchjw" hidden="1">#REF!</definedName>
    <definedName name="bcjcekw" hidden="1">#REF!</definedName>
    <definedName name="bcjhwka" hidden="1">#REF!</definedName>
    <definedName name="BD_YTS" localSheetId="8" hidden="1">{TRUE,TRUE,-1.25,-15.5,484.5,278.25,FALSE,FALSE,TRUE,FALSE,0,1,#N/A,452,#N/A,5.92592592592593,22.5714285714286,1,FALSE,FALSE,3,TRUE,1,FALSE,100,"Swvu.ACC.","ACwvu.ACC.",#N/A,FALSE,FALSE,0,0,0,0,2,"","",FALSE,FALSE,FALSE,FALSE,1,90,#N/A,#N/A,"=R1C1:R650C11",FALSE,#N/A,#N/A,FALSE,FALSE,FALSE,1,65532,65532,FALSE,FALSE,TRUE,TRUE,TRUE}</definedName>
    <definedName name="BD_YTS" hidden="1">{TRUE,TRUE,-1.25,-15.5,484.5,278.25,FALSE,FALSE,TRUE,FALSE,0,1,#N/A,452,#N/A,5.92592592592593,22.5714285714286,1,FALSE,FALSE,3,TRUE,1,FALSE,100,"Swvu.ACC.","ACwvu.ACC.",#N/A,FALSE,FALSE,0,0,0,0,2,"","",FALSE,FALSE,FALSE,FALSE,1,90,#N/A,#N/A,"=R1C1:R650C11",FALSE,#N/A,#N/A,FALSE,FALSE,FALSE,1,65532,65532,FALSE,FALSE,TRUE,TRUE,TRUE}</definedName>
    <definedName name="bddsbsd" localSheetId="8" hidden="1">{#N/A,#N/A,FALSE,"Assessment";#N/A,#N/A,FALSE,"Staffing";#N/A,#N/A,FALSE,"Hires";#N/A,#N/A,FALSE,"Assumptions"}</definedName>
    <definedName name="bddsbsd" hidden="1">{#N/A,#N/A,FALSE,"Assessment";#N/A,#N/A,FALSE,"Staffing";#N/A,#N/A,FALSE,"Hires";#N/A,#N/A,FALSE,"Assumptions"}</definedName>
    <definedName name="bdsbds" localSheetId="8" hidden="1">{#N/A,#N/A,FALSE,"Assessment";#N/A,#N/A,FALSE,"Staffing";#N/A,#N/A,FALSE,"Hires";#N/A,#N/A,FALSE,"Assumptions"}</definedName>
    <definedName name="bdsbds" hidden="1">{#N/A,#N/A,FALSE,"Assessment";#N/A,#N/A,FALSE,"Staffing";#N/A,#N/A,FALSE,"Hires";#N/A,#N/A,FALSE,"Assumptions"}</definedName>
    <definedName name="bdsbn" localSheetId="8" hidden="1">{#N/A,#N/A,FALSE,"Assessment";#N/A,#N/A,FALSE,"Staffing";#N/A,#N/A,FALSE,"Hires";#N/A,#N/A,FALSE,"Assumptions"}</definedName>
    <definedName name="bdsbn" hidden="1">{#N/A,#N/A,FALSE,"Assessment";#N/A,#N/A,FALSE,"Staffing";#N/A,#N/A,FALSE,"Hires";#N/A,#N/A,FALSE,"Assumptions"}</definedName>
    <definedName name="bdsbnsd" localSheetId="8" hidden="1">{#N/A,#N/A,FALSE,"Assessment";#N/A,#N/A,FALSE,"Staffing";#N/A,#N/A,FALSE,"Hires";#N/A,#N/A,FALSE,"Assumptions"}</definedName>
    <definedName name="bdsbnsd" hidden="1">{#N/A,#N/A,FALSE,"Assessment";#N/A,#N/A,FALSE,"Staffing";#N/A,#N/A,FALSE,"Hires";#N/A,#N/A,FALSE,"Assumptions"}</definedName>
    <definedName name="bdsbsd" localSheetId="8" hidden="1">{#N/A,#N/A,FALSE,"Assessment";#N/A,#N/A,FALSE,"Staffing";#N/A,#N/A,FALSE,"Hires";#N/A,#N/A,FALSE,"Assumptions"}</definedName>
    <definedName name="bdsbsd" hidden="1">{#N/A,#N/A,FALSE,"Assessment";#N/A,#N/A,FALSE,"Staffing";#N/A,#N/A,FALSE,"Hires";#N/A,#N/A,FALSE,"Assumptions"}</definedName>
    <definedName name="bdsdbdsb" localSheetId="8" hidden="1">{#N/A,#N/A,FALSE,"Assessment";#N/A,#N/A,FALSE,"Staffing";#N/A,#N/A,FALSE,"Hires";#N/A,#N/A,FALSE,"Assumptions"}</definedName>
    <definedName name="bdsdbdsb" hidden="1">{#N/A,#N/A,FALSE,"Assessment";#N/A,#N/A,FALSE,"Staffing";#N/A,#N/A,FALSE,"Hires";#N/A,#N/A,FALSE,"Assumptions"}</definedName>
    <definedName name="beazbzea" hidden="1">#REF!</definedName>
    <definedName name="BEFeXToEUR" localSheetId="8" hidden="1">1/EUReXToBEF</definedName>
    <definedName name="BEFeXToEUR" hidden="1">1/EUReXToBEF</definedName>
    <definedName name="bel" localSheetId="8" hidden="1">{#N/A,#N/A,TRUE,"A-Voorblad";#N/A,#N/A,TRUE,"Table of content";#N/A,#N/A,TRUE,"A1-Summ- Key Indic";#N/A,#N/A,TRUE,"CEO comment";#N/A,#N/A,TRUE,"strategicObjectives";#N/A,#N/A,TRUE,"A3 Financialschutblad";#N/A,#N/A,TRUE,"3.1 Telf Consolidate";#N/A,#N/A,TRUE,"3.2 KPI per unit";#N/A,#N/A,TRUE,"A3 Cashflow statement";#N/A,#N/A,TRUE,"A3 Capex";#N/A,#N/A,TRUE,"Schutblad Customers 4";#N/A,#N/A,TRUE,"A4 KPI's Customers";#N/A,#N/A,TRUE,"Sum sales orders";#N/A,#N/A,TRUE,"Schutblad Processes 5";#N/A,#N/A,TRUE,"A5 KPI's Processes";#N/A,#N/A,TRUE,"Schutblad inn. &amp; Learning 6";#N/A,#N/A,TRUE,"A6 KPI's Inn. &amp; learn."}</definedName>
    <definedName name="bel" hidden="1">{#N/A,#N/A,TRUE,"A-Voorblad";#N/A,#N/A,TRUE,"Table of content";#N/A,#N/A,TRUE,"A1-Summ- Key Indic";#N/A,#N/A,TRUE,"CEO comment";#N/A,#N/A,TRUE,"strategicObjectives";#N/A,#N/A,TRUE,"A3 Financialschutblad";#N/A,#N/A,TRUE,"3.1 Telf Consolidate";#N/A,#N/A,TRUE,"3.2 KPI per unit";#N/A,#N/A,TRUE,"A3 Cashflow statement";#N/A,#N/A,TRUE,"A3 Capex";#N/A,#N/A,TRUE,"Schutblad Customers 4";#N/A,#N/A,TRUE,"A4 KPI's Customers";#N/A,#N/A,TRUE,"Sum sales orders";#N/A,#N/A,TRUE,"Schutblad Processes 5";#N/A,#N/A,TRUE,"A5 KPI's Processes";#N/A,#N/A,TRUE,"Schutblad inn. &amp; Learning 6";#N/A,#N/A,TRUE,"A6 KPI's Inn. &amp; learn."}</definedName>
    <definedName name="belnew" localSheetId="8" hidden="1">{"IS",#N/A,FALSE,"IS";"RPTIS",#N/A,FALSE,"RPTIS";"STATS",#N/A,FALSE,"STATS";"CELL",#N/A,FALSE,"CELL";"BS",#N/A,FALSE,"BS"}</definedName>
    <definedName name="belnew" hidden="1">{"IS",#N/A,FALSE,"IS";"RPTIS",#N/A,FALSE,"RPTIS";"STATS",#N/A,FALSE,"STATS";"CELL",#N/A,FALSE,"CELL";"BS",#N/A,FALSE,"BS"}</definedName>
    <definedName name="belnew_1" localSheetId="8" hidden="1">{"IS",#N/A,FALSE,"IS";"RPTIS",#N/A,FALSE,"RPTIS";"STATS",#N/A,FALSE,"STATS";"CELL",#N/A,FALSE,"CELL";"BS",#N/A,FALSE,"BS"}</definedName>
    <definedName name="belnew_1" hidden="1">{"IS",#N/A,FALSE,"IS";"RPTIS",#N/A,FALSE,"RPTIS";"STATS",#N/A,FALSE,"STATS";"CELL",#N/A,FALSE,"CELL";"BS",#N/A,FALSE,"BS"}</definedName>
    <definedName name="belnew1" localSheetId="8" hidden="1">{"IS",#N/A,FALSE,"IS";"RPTIS",#N/A,FALSE,"RPTIS";"STATS",#N/A,FALSE,"STATS";"CELL",#N/A,FALSE,"CELL";"BS",#N/A,FALSE,"BS"}</definedName>
    <definedName name="belnew1" hidden="1">{"IS",#N/A,FALSE,"IS";"RPTIS",#N/A,FALSE,"RPTIS";"STATS",#N/A,FALSE,"STATS";"CELL",#N/A,FALSE,"CELL";"BS",#N/A,FALSE,"BS"}</definedName>
    <definedName name="belnew1_1" localSheetId="8" hidden="1">{"IS",#N/A,FALSE,"IS";"RPTIS",#N/A,FALSE,"RPTIS";"STATS",#N/A,FALSE,"STATS";"CELL",#N/A,FALSE,"CELL";"BS",#N/A,FALSE,"BS"}</definedName>
    <definedName name="belnew1_1" hidden="1">{"IS",#N/A,FALSE,"IS";"RPTIS",#N/A,FALSE,"RPTIS";"STATS",#N/A,FALSE,"STATS";"CELL",#N/A,FALSE,"CELL";"BS",#N/A,FALSE,"BS"}</definedName>
    <definedName name="belnew10" localSheetId="8" hidden="1">{"IS",#N/A,FALSE,"IS";"RPTIS",#N/A,FALSE,"RPTIS";"STATS",#N/A,FALSE,"STATS";"CELL",#N/A,FALSE,"CELL";"BS",#N/A,FALSE,"BS"}</definedName>
    <definedName name="belnew10" hidden="1">{"IS",#N/A,FALSE,"IS";"RPTIS",#N/A,FALSE,"RPTIS";"STATS",#N/A,FALSE,"STATS";"CELL",#N/A,FALSE,"CELL";"BS",#N/A,FALSE,"BS"}</definedName>
    <definedName name="belnew10_1" localSheetId="8" hidden="1">{"IS",#N/A,FALSE,"IS";"RPTIS",#N/A,FALSE,"RPTIS";"STATS",#N/A,FALSE,"STATS";"CELL",#N/A,FALSE,"CELL";"BS",#N/A,FALSE,"BS"}</definedName>
    <definedName name="belnew10_1" hidden="1">{"IS",#N/A,FALSE,"IS";"RPTIS",#N/A,FALSE,"RPTIS";"STATS",#N/A,FALSE,"STATS";"CELL",#N/A,FALSE,"CELL";"BS",#N/A,FALSE,"BS"}</definedName>
    <definedName name="bestia" localSheetId="8" hidden="1">{"Bilancio non rettificato",#N/A,FALSE,"A";"Bilancio Rettifiche",#N/A,FALSE,"B";"Bilancio Rettifiche",#N/A,FALSE,"C";"movimenti",#N/A,FALSE,"D";"amm",#N/A,FALSE,"D";"cpl",#N/A,FALSE,"D";"cola",#N/A,FALSE,"D";"imposte",#N/A,FALSE,"D"}</definedName>
    <definedName name="bestia" hidden="1">{"Bilancio non rettificato",#N/A,FALSE,"A";"Bilancio Rettifiche",#N/A,FALSE,"B";"Bilancio Rettifiche",#N/A,FALSE,"C";"movimenti",#N/A,FALSE,"D";"amm",#N/A,FALSE,"D";"cpl",#N/A,FALSE,"D";"cola",#N/A,FALSE,"D";"imposte",#N/A,FALSE,"D"}</definedName>
    <definedName name="bestia_1" localSheetId="8" hidden="1">{"Bilancio non rettificato",#N/A,FALSE,"A";"Bilancio Rettifiche",#N/A,FALSE,"B";"Bilancio Rettifiche",#N/A,FALSE,"C";"movimenti",#N/A,FALSE,"D";"amm",#N/A,FALSE,"D";"cpl",#N/A,FALSE,"D";"cola",#N/A,FALSE,"D";"imposte",#N/A,FALSE,"D"}</definedName>
    <definedName name="bestia_1" hidden="1">{"Bilancio non rettificato",#N/A,FALSE,"A";"Bilancio Rettifiche",#N/A,FALSE,"B";"Bilancio Rettifiche",#N/A,FALSE,"C";"movimenti",#N/A,FALSE,"D";"amm",#N/A,FALSE,"D";"cpl",#N/A,FALSE,"D";"cola",#N/A,FALSE,"D";"imposte",#N/A,FALSE,"D"}</definedName>
    <definedName name="beta" localSheetId="8" hidden="1">{TRUE,TRUE,-1.25,-15.5,484.5,301.5,FALSE,FALSE,TRUE,TRUE,0,1,#N/A,13,#N/A,7.06382978723404,20.2352941176471,1,FALSE,FALSE,3,TRUE,1,FALSE,100,"Swvu.ce_storici.","ACwvu.ce_storici.",1,FALSE,FALSE,0.36,0.44,0.984251968503937,0.984251968503937,2,"&amp;C&amp;B&amp;UBangers Distribution Italia S.p.A.","",TRUE,TRUE,FALSE,FALSE,1,110,#N/A,#N/A,"=R12C1:R242C6,R12C8,R12C8,R12C8:R75C20,R12C22:R242C30",FALSE,#N/A,#N/A,FALSE,FALSE}</definedName>
    <definedName name="beta" hidden="1">{TRUE,TRUE,-1.25,-15.5,484.5,301.5,FALSE,FALSE,TRUE,TRUE,0,1,#N/A,13,#N/A,7.06382978723404,20.2352941176471,1,FALSE,FALSE,3,TRUE,1,FALSE,100,"Swvu.ce_storici.","ACwvu.ce_storici.",1,FALSE,FALSE,0.36,0.44,0.984251968503937,0.984251968503937,2,"&amp;C&amp;B&amp;UBangers Distribution Italia S.p.A.","",TRUE,TRUE,FALSE,FALSE,1,110,#N/A,#N/A,"=R12C1:R242C6,R12C8,R12C8,R12C8:R75C20,R12C22:R242C30",FALSE,#N/A,#N/A,FALSE,FALSE}</definedName>
    <definedName name="beta_1" localSheetId="8" hidden="1">{TRUE,TRUE,-1.25,-15.5,484.5,301.5,FALSE,FALSE,TRUE,TRUE,0,1,#N/A,13,#N/A,7.06382978723404,20.2352941176471,1,FALSE,FALSE,3,TRUE,1,FALSE,100,"Swvu.ce_storici.","ACwvu.ce_storici.",1,FALSE,FALSE,0.36,0.44,0.984251968503937,0.984251968503937,2,"&amp;C&amp;B&amp;UBangers Distribution Italia S.p.A.","",TRUE,TRUE,FALSE,FALSE,1,110,#N/A,#N/A,"=R12C1:R242C6,R12C8,R12C8,R12C8:R75C20,R12C22:R242C30",FALSE,#N/A,#N/A,FALSE,FALSE}</definedName>
    <definedName name="beta_1" hidden="1">{TRUE,TRUE,-1.25,-15.5,484.5,301.5,FALSE,FALSE,TRUE,TRUE,0,1,#N/A,13,#N/A,7.06382978723404,20.2352941176471,1,FALSE,FALSE,3,TRUE,1,FALSE,100,"Swvu.ce_storici.","ACwvu.ce_storici.",1,FALSE,FALSE,0.36,0.44,0.984251968503937,0.984251968503937,2,"&amp;C&amp;B&amp;UBangers Distribution Italia S.p.A.","",TRUE,TRUE,FALSE,FALSE,1,110,#N/A,#N/A,"=R12C1:R242C6,R12C8,R12C8,R12C8:R75C20,R12C22:R242C30",FALSE,#N/A,#N/A,FALSE,FALSE}</definedName>
    <definedName name="bewhjew" hidden="1">#REF!</definedName>
    <definedName name="BEx00177720PEYOIAR88OYT0A93U" hidden="1">#REF!</definedName>
    <definedName name="BEx0017DGUEDPCFJUPUZOOLJCS2B" localSheetId="8" hidden="1">#REF!</definedName>
    <definedName name="BEx0017DGUEDPCFJUPUZOOLJCS2B" hidden="1">#REF!</definedName>
    <definedName name="BEx001CNWHJ5RULCSFM36ZCGJ1UH" hidden="1">#REF!</definedName>
    <definedName name="BEx0041RNVGGN8SKGQTWHTVAGKBV" localSheetId="8" hidden="1">#REF!</definedName>
    <definedName name="BEx0041RNVGGN8SKGQTWHTVAGKBV" hidden="1">#REF!</definedName>
    <definedName name="BEx004791UAJIJSN57OT7YBLNP82" hidden="1">#REF!</definedName>
    <definedName name="BEx004CJT081TGZ0NSWCXWXUQBTQ" hidden="1">#REF!</definedName>
    <definedName name="BEx008P2NVFDLBHL7IZ5WTMVOQ1F" hidden="1">#REF!</definedName>
    <definedName name="BEx009G00IN0JUIAQ4WE9NHTMQE2" hidden="1">#REF!</definedName>
    <definedName name="BEx00AN5X23RKBO05OHZQ42RGUC4" hidden="1">#REF!</definedName>
    <definedName name="BEx00ASMQJKW17LTXGF9Z1K3PYYN" hidden="1">#REF!</definedName>
    <definedName name="BEx00DXTY2JDVGWQKV8H7FG4SV30" hidden="1">#REF!</definedName>
    <definedName name="BEx00GHLTYRH5N2S6P78YW1CD30N" hidden="1">#REF!</definedName>
    <definedName name="BEx00J6L4N3WDFUWI1GNCD89U2A5" localSheetId="8" hidden="1">#REF!</definedName>
    <definedName name="BEx00J6L4N3WDFUWI1GNCD89U2A5" hidden="1">#REF!</definedName>
    <definedName name="BEx00JC31DY11L45SEU4B10BIN6W" hidden="1">#REF!</definedName>
    <definedName name="BEx00KZHZBHP3TDV1YMX4B19B95O" hidden="1">#REF!</definedName>
    <definedName name="BEx00MBY8XXUOHIZ4LHXHPD7WYD5" localSheetId="8" hidden="1">#REF!</definedName>
    <definedName name="BEx00MBY8XXUOHIZ4LHXHPD7WYD5" hidden="1">#REF!</definedName>
    <definedName name="BEx00OQ91R0O4ZFGSBANJX5ONQ6G" hidden="1">#REF!</definedName>
    <definedName name="BEx00U9SHQ0NHO9GPJITAMG5T4E9" localSheetId="8" hidden="1">#REF!</definedName>
    <definedName name="BEx00U9SHQ0NHO9GPJITAMG5T4E9" hidden="1">#REF!</definedName>
    <definedName name="BEx01049R9ZE3WM0TJWIDL7I2AO5" hidden="1">#REF!</definedName>
    <definedName name="BEx0140J9FZD1Y9S25QYVAL8WI9Z" hidden="1">#REF!</definedName>
    <definedName name="BEx01E7DCTQJ9032177IJU6MM1S2" hidden="1">#REF!</definedName>
    <definedName name="BEx01HY6E3GJ66ABU5ABN26V6Q13" hidden="1">#REF!</definedName>
    <definedName name="BEx01PW5YQKEGAR8JDDI5OARYXDF" hidden="1">#REF!</definedName>
    <definedName name="BEx01T1EVAEW9BLAP4L6II4G6OC4" localSheetId="8" hidden="1">#REF!</definedName>
    <definedName name="BEx01T1EVAEW9BLAP4L6II4G6OC4" hidden="1">#REF!</definedName>
    <definedName name="BEx01X35DZBL50I19K4ZSW4F1ESH" localSheetId="8" hidden="1">#REF!</definedName>
    <definedName name="BEx01X35DZBL50I19K4ZSW4F1ESH" hidden="1">#REF!</definedName>
    <definedName name="BEx01XJ94SHJ1YQ7ORPW0RQGKI2H" hidden="1">#REF!</definedName>
    <definedName name="BEx020TWNGCWOCOSVQNAK6A2XNRS" hidden="1">#REF!</definedName>
    <definedName name="BEx0286CU1R7XVW84IIGJM38P6F2" hidden="1">#REF!</definedName>
    <definedName name="BEx0292Q1TQ975QB1JDI5NN3DM48" localSheetId="8" hidden="1">#REF!</definedName>
    <definedName name="BEx0292Q1TQ975QB1JDI5NN3DM48" hidden="1">#REF!</definedName>
    <definedName name="BEx02Q08R9G839Q4RFGG9026C7PX" hidden="1">#REF!</definedName>
    <definedName name="BEx02SEL3Z1QWGAHXDPUA9WLTTPS" hidden="1">#REF!</definedName>
    <definedName name="BEx02Y3KJZH5BGDM9QEZ1PVVI114" hidden="1">#REF!</definedName>
    <definedName name="BEx02ZWBXOGC5N43H0PAPKIZP87S" localSheetId="8" hidden="1">#REF!</definedName>
    <definedName name="BEx02ZWBXOGC5N43H0PAPKIZP87S" hidden="1">#REF!</definedName>
    <definedName name="BEx0313GRLLASDTVPW5DHTXHE74M" hidden="1">#REF!</definedName>
    <definedName name="BEx03HKW9N5IHZLW4FZ353MXT3LO" hidden="1">#REF!</definedName>
    <definedName name="BEx03TKGOIY2SOJPPOLKRIB4YI54" localSheetId="8" hidden="1">#REF!</definedName>
    <definedName name="BEx03TKGOIY2SOJPPOLKRIB4YI54" hidden="1">#REF!</definedName>
    <definedName name="BEx040GNGACOQI5MY5X2NE42ZWDU" localSheetId="8" hidden="1">#REF!</definedName>
    <definedName name="BEx040GNGACOQI5MY5X2NE42ZWDU" hidden="1">#REF!</definedName>
    <definedName name="BEx1F0SOZ3H5XUHXD7O01TCR8T6J" hidden="1">#REF!</definedName>
    <definedName name="BEx1F9HL824UCNCVZ2U62J4KZCX8" hidden="1">#REF!</definedName>
    <definedName name="BEx1FEVSJKTI1Q1Z874QZVFSJSVA" hidden="1">#REF!</definedName>
    <definedName name="BEx1FGDRUHHLI1GBHELT4PK0LY4V" hidden="1">#REF!</definedName>
    <definedName name="BEx1FJZ7GKO99IYTP6GGGF7EUL3Z" hidden="1">#REF!</definedName>
    <definedName name="BEx1FZV2CM77TBH1R6YYV9P06KA2" hidden="1">#REF!</definedName>
    <definedName name="BEx1G59AY8195JTUM6P18VXUFJ3E" hidden="1">#REF!</definedName>
    <definedName name="BEx1G896DO7E4JJXE7HCBTB6KJAW" hidden="1">#REF!</definedName>
    <definedName name="BEx1GACQL91IG43LSU6M1F2TWPZN" localSheetId="8" hidden="1">#REF!</definedName>
    <definedName name="BEx1GACQL91IG43LSU6M1F2TWPZN" hidden="1">#REF!</definedName>
    <definedName name="BEx1GB3KZUN3O0URTW2CN5SI7ZAQ" hidden="1">#REF!</definedName>
    <definedName name="BEx1GB92OWY6P3B3Z6EYFUUWMITG" localSheetId="8" hidden="1">#REF!</definedName>
    <definedName name="BEx1GB92OWY6P3B3Z6EYFUUWMITG" hidden="1">#REF!</definedName>
    <definedName name="BEx1GI58M5W2R6098SFJ3BDL1FYR" hidden="1">#REF!</definedName>
    <definedName name="BEx1GT8HT69Z09KPC36F5H85D8DM" hidden="1">#REF!</definedName>
    <definedName name="BEx1GTJ93SOGMNCPE596AAVXIMMP" localSheetId="8" hidden="1">#REF!</definedName>
    <definedName name="BEx1GTJ93SOGMNCPE596AAVXIMMP" hidden="1">#REF!</definedName>
    <definedName name="BEx1GVMRHFXUP6XYYY9NR12PV5TF" hidden="1">#REF!</definedName>
    <definedName name="BEx1H22NYD2ZHKCSKAIZN703DY4D" hidden="1">#REF!</definedName>
    <definedName name="BEx1H4MFSRJF3SKS436E188PK8HP" hidden="1">#REF!</definedName>
    <definedName name="BEx1H4MHS13DNW07315IXV02J1JY" hidden="1">#REF!</definedName>
    <definedName name="BEx1H6KIT7BHUH6MDDWC935V9N47" hidden="1">#REF!</definedName>
    <definedName name="BEx1H70SCXZXAZ7RF809AFN133D4" hidden="1">#REF!</definedName>
    <definedName name="BEx1HDGOOJ3SKHYMWUZJ1P0RQZ9N" hidden="1">#REF!</definedName>
    <definedName name="BEx1HDM5ZXSJG6JQEMSFV52PZ10V" hidden="1">#REF!</definedName>
    <definedName name="BEx1HETBBZVN5F43LKOFMC4QB0CR" hidden="1">#REF!</definedName>
    <definedName name="BEx1HGM2TBFL6UBVA6E4PKNSPI96" localSheetId="8" hidden="1">#REF!</definedName>
    <definedName name="BEx1HGM2TBFL6UBVA6E4PKNSPI96" hidden="1">#REF!</definedName>
    <definedName name="BEx1HGWNWPLNXICOTP90TKQVVE4E" hidden="1">#REF!</definedName>
    <definedName name="BEx1HIPLJZABY0EMUOTZN0EQMDPU" hidden="1">#REF!</definedName>
    <definedName name="BEx1HK21OWQ1U9HYXEIVFB3S72GR" hidden="1">#REF!</definedName>
    <definedName name="BEx1HKCUSE7D6MORKQ0NQJRD6SWK" hidden="1">#REF!</definedName>
    <definedName name="BEx1HKNMKIET9O35K18OSGSFX6Y2" localSheetId="8" hidden="1">#REF!</definedName>
    <definedName name="BEx1HKNMKIET9O35K18OSGSFX6Y2" hidden="1">#REF!</definedName>
    <definedName name="BEx1HO94JIRX219MPWMB5E5XZ04X" hidden="1">#REF!</definedName>
    <definedName name="BEx1HQI38AXEI459BSYA7EG5JN3C" localSheetId="8" hidden="1">#REF!</definedName>
    <definedName name="BEx1HQI38AXEI459BSYA7EG5JN3C" hidden="1">#REF!</definedName>
    <definedName name="BEx1HQNF6KHM21E3XLW0NMSSEI9S" hidden="1">#REF!</definedName>
    <definedName name="BEx1HSLNWIW4S97ZBYY7I7M5YVH4" hidden="1">#REF!</definedName>
    <definedName name="BEx1HW7343RRAE3NPYR4YQ8O6JLH" hidden="1">#REF!</definedName>
    <definedName name="BEx1I1AK0SKUU1X920J8SIYHHFBU" hidden="1">#REF!</definedName>
    <definedName name="BEx1I2XS4VQ1BI7C38TZCFUFWVTX" localSheetId="8" hidden="1">#REF!</definedName>
    <definedName name="BEx1I2XS4VQ1BI7C38TZCFUFWVTX" hidden="1">#REF!</definedName>
    <definedName name="BEx1I38LBZSH2UZJIZXAE5XOUU55" localSheetId="8" hidden="1">#REF!</definedName>
    <definedName name="BEx1I38LBZSH2UZJIZXAE5XOUU55" hidden="1">#REF!</definedName>
    <definedName name="BEx1I4FQZ59E979CR3V0U4T35BFH" hidden="1">#REF!</definedName>
    <definedName name="BEx1I4QKTILCKZUSOJCVZN7SNHL5" hidden="1">#REF!</definedName>
    <definedName name="BEx1IE0ZP7RIFM9FI24S9I6AAJ14" hidden="1">#REF!</definedName>
    <definedName name="BEx1IGQ5B697MNDOE06MVSR0H58E" hidden="1">#REF!</definedName>
    <definedName name="BEx1IJKJJWR6EU75VAA2VDCW7WLE" hidden="1">#REF!</definedName>
    <definedName name="BEx1IKRPW8MLB9Y485M1TL2IT9SH" hidden="1">#REF!</definedName>
    <definedName name="BEx1IONZKLDGB6QN2O5TDQZTKBIO" localSheetId="8" hidden="1">#REF!</definedName>
    <definedName name="BEx1IONZKLDGB6QN2O5TDQZTKBIO" hidden="1">#REF!</definedName>
    <definedName name="BEx1ITGKTMDLBSMOJW6BPN3ZD6AA" hidden="1">#REF!</definedName>
    <definedName name="BEx1J07HKOB1IO0N5C94SKD231ME" hidden="1">#REF!</definedName>
    <definedName name="BEx1J0CSSHDJGBJUHVOEMCF2P4DL" hidden="1">#REF!</definedName>
    <definedName name="BEx1J3COLDI7FQ5YH3466OE56V4Y" hidden="1">#REF!</definedName>
    <definedName name="BEx1J678D87YJAWNCEASI1NDU8NA" hidden="1">#REF!</definedName>
    <definedName name="BEx1J7E8VCGLPYU82QXVUG5N3ZAI" hidden="1">#REF!</definedName>
    <definedName name="BEx1JCHTP45D5FAZH5ZB47RIJL6W" hidden="1">#REF!</definedName>
    <definedName name="BEx1JEFVD48QU7VQ955NY4WAIWOY" hidden="1">#REF!</definedName>
    <definedName name="BEx1JFC9CF3ZT9G7BL7803E73FH6" hidden="1">#REF!</definedName>
    <definedName name="BEx1JGE2YQWH8S25USOY08XVGO0D" hidden="1">#REF!</definedName>
    <definedName name="BEx1JJJC9T1W7HY4V7HP1S1W4JO1" hidden="1">#REF!</definedName>
    <definedName name="BEx1JKKZSJ7DI4PTFVI9VVFMB1X2" hidden="1">#REF!</definedName>
    <definedName name="BEx1JUBQFRVMASSFK4B3V0AD7YP9" hidden="1">#REF!</definedName>
    <definedName name="BEx1JX0TWX3IBQ8Q3VFY8144JH0B" hidden="1">#REF!</definedName>
    <definedName name="BEx1JXBM5W4YRWNQ0P95QQS6JWD6" hidden="1">#REF!</definedName>
    <definedName name="BEx1KCWQ445PDI0YUBIXZBK5EWCP" localSheetId="8" hidden="1">#REF!</definedName>
    <definedName name="BEx1KCWQ445PDI0YUBIXZBK5EWCP" hidden="1">#REF!</definedName>
    <definedName name="BEx1KGY9QEHZ9QSARMQUTQKRK4UX" hidden="1">#REF!</definedName>
    <definedName name="BEx1KKP1ELIF2UII2FWVGL7M1X7J" hidden="1">#REF!</definedName>
    <definedName name="BEx1KMHXTP4TGT9N42ZGTD3I9EMZ" hidden="1">#REF!</definedName>
    <definedName name="BEx1KUVWMB0QCWA3RBE4CADFVRIS" hidden="1">#REF!</definedName>
    <definedName name="BEx1KVC61ZSED4Q3B3XJ30AGGJX4" hidden="1">#REF!</definedName>
    <definedName name="BEx1KZU0XOPKRQ1R2C3EAYIQYEJ2" hidden="1">#REF!</definedName>
    <definedName name="BEx1L2OG1SDFK2TPXELJ77YP4NI2" hidden="1">#REF!</definedName>
    <definedName name="BEx1L46EQPVDCLBSAL9BNEDBWHQ7" hidden="1">#REF!</definedName>
    <definedName name="BEx1L6Q60MWRDJB4L20LK0XPA0Z2" hidden="1">#REF!</definedName>
    <definedName name="BEx1LD63FP2Z4BR9TKSHOZW9KKZ5" hidden="1">#REF!</definedName>
    <definedName name="BEx1LDMB9RW982DUILM2WPT5VWQ3" hidden="1">#REF!</definedName>
    <definedName name="BEx1LIV2E7LTI3QOJGYXAI1TN6AQ" hidden="1">#REF!</definedName>
    <definedName name="BEx1LRPGDQCOEMW8YT80J1XCDCIV" hidden="1">#REF!</definedName>
    <definedName name="BEx1LRUSJW4JG54X07QWD9R27WV9" hidden="1">#REF!</definedName>
    <definedName name="BEx1LVG97QWD2C4RMEG9ODUOTBNW" hidden="1">#REF!</definedName>
    <definedName name="BEx1M1WBK5T0LP1AK2JYV6W87ID6" hidden="1">#REF!</definedName>
    <definedName name="BEx1M3JJGKF1YALMTNWMK99YH9FT" localSheetId="8" hidden="1">#REF!</definedName>
    <definedName name="BEx1M3JJGKF1YALMTNWMK99YH9FT" hidden="1">#REF!</definedName>
    <definedName name="BEx1M51HHDYGIT8PON7U8ICL2S95" hidden="1">#REF!</definedName>
    <definedName name="BEx1M6U8IX3C3B1SUSLPAXX7QJIB" hidden="1">#REF!</definedName>
    <definedName name="BEx1M98KWWSKF057KVFLVWWJP06V" hidden="1">#REF!</definedName>
    <definedName name="BEx1MAW0QF61Q0VKL3G8YBTHKFJM" hidden="1">#REF!</definedName>
    <definedName name="BEx1MEBZTWO6XAWNC9Z6T7VUC26Q" localSheetId="8" hidden="1">#REF!</definedName>
    <definedName name="BEx1MEBZTWO6XAWNC9Z6T7VUC26Q" hidden="1">#REF!</definedName>
    <definedName name="BEx1MMQ3H3E9MBH330J6MD3EP8AD" localSheetId="8" hidden="1">#REF!</definedName>
    <definedName name="BEx1MMQ3H3E9MBH330J6MD3EP8AD" hidden="1">#REF!</definedName>
    <definedName name="BEx1MTRKKVCHOZ0YGID6HZ49LJTO" hidden="1">#REF!</definedName>
    <definedName name="BEx1MUD55DNKCSM4SO9AV0B5PD81" hidden="1">#REF!</definedName>
    <definedName name="BEx1MW0GHR31SZKN8Z0IEWZHU1O2" hidden="1">#REF!</definedName>
    <definedName name="BEx1N0IFWPSL686RSLZTZA4KIY2A" localSheetId="8" hidden="1">#REF!</definedName>
    <definedName name="BEx1N0IFWPSL686RSLZTZA4KIY2A" hidden="1">#REF!</definedName>
    <definedName name="BEx1N3CUJ3UX61X38ZAJVPEN4KMC" hidden="1">#REF!</definedName>
    <definedName name="BEx1NFCG8AI9NXWO5ROKI6DYZP77" localSheetId="8" hidden="1">#REF!</definedName>
    <definedName name="BEx1NFCG8AI9NXWO5ROKI6DYZP77" hidden="1">#REF!</definedName>
    <definedName name="BEx1NM34KQTO1LDNSAFD1L82UZFG" hidden="1">#REF!</definedName>
    <definedName name="BEx1NO6TXZVOGCUWCCRTXRXWW0XL" hidden="1">#REF!</definedName>
    <definedName name="BEx1NS8EU5P9FQV3S0WRTXI5L361" hidden="1">#REF!</definedName>
    <definedName name="BEx1NT4RIIP1DMELF4Z1FL5857FC" hidden="1">#REF!</definedName>
    <definedName name="BEx1NUBX5VUYZFKQH69FN6BTLWCR" hidden="1">#REF!</definedName>
    <definedName name="BEx1NZ4K1L8UON80Y2A4RASKWGNP" hidden="1">#REF!</definedName>
    <definedName name="BEx1O0XA02OXBEY6AAS94L6P1KSR" localSheetId="8" hidden="1">#REF!</definedName>
    <definedName name="BEx1O0XA02OXBEY6AAS94L6P1KSR" hidden="1">#REF!</definedName>
    <definedName name="BEx1O1Z5CA1XAIG6RKFFSK4EU1EW" hidden="1">#REF!</definedName>
    <definedName name="BEx1O24G4IEAASUD0BLAP3TKYA8K" localSheetId="8" hidden="1">#REF!</definedName>
    <definedName name="BEx1O24G4IEAASUD0BLAP3TKYA8K" hidden="1">#REF!</definedName>
    <definedName name="BEx1O47XYBAH2WN5TU1SKU3HU7UC" hidden="1">#REF!</definedName>
    <definedName name="BEx1O77VD8QWFM43OUR9RZCR0JZ3" hidden="1">#REF!</definedName>
    <definedName name="BEx1OA2BPIESC8X7XDZK0N5UAJ0L" hidden="1">#REF!</definedName>
    <definedName name="BEx1OLAZ915OGYWP0QP1QQWDLCRX" hidden="1">#REF!</definedName>
    <definedName name="BEx1OO5ER042IS6IC4TLDI75JNVH" hidden="1">#REF!</definedName>
    <definedName name="BEx1OTE54CBSUT8FWKRALEDCUWN4" hidden="1">#REF!</definedName>
    <definedName name="BEx1OVN4MKHMSMW6OVFB5EGL4SXV" hidden="1">#REF!</definedName>
    <definedName name="BEx1OVSMPADTX95QUOX34KZQ8EDY" hidden="1">#REF!</definedName>
    <definedName name="BEx1OW3DJ9MVYQ1B4G8M5RNU92PZ" hidden="1">#REF!</definedName>
    <definedName name="BEx1OWUBFJIQ35KUIQAO9IM7H1IJ" hidden="1">#REF!</definedName>
    <definedName name="BEx1OX544IO9FQJI7YYQGZCEHB3O" hidden="1">#REF!</definedName>
    <definedName name="BEx1OY6SVEUT2EQ26P7EKEND342G" hidden="1">#REF!</definedName>
    <definedName name="BEx1OYN1LPIPI12O9G6F7QAOS9T4" hidden="1">#REF!</definedName>
    <definedName name="BEx1P1HHKJA799O3YZXQAX6KFH58" hidden="1">#REF!</definedName>
    <definedName name="BEx1P34W467WGPOXPK292QFJIPHJ" hidden="1">#REF!</definedName>
    <definedName name="BEx1P4S5Y4X1AG5YL9DS164978PB" localSheetId="8" hidden="1">#REF!</definedName>
    <definedName name="BEx1P4S5Y4X1AG5YL9DS164978PB" hidden="1">#REF!</definedName>
    <definedName name="BEx1P7S1J4TKGVJ43C2Q2R3M9WRB" hidden="1">#REF!</definedName>
    <definedName name="BEx1P8DRF2TGOWQ29TNFDOFY7DWE" hidden="1">#REF!</definedName>
    <definedName name="BEx1PA11BLPVZM8RC5BL46WX8YB5" hidden="1">#REF!</definedName>
    <definedName name="BEx1PBZ4BEFIPGMQXT9T8S4PZ2IM" hidden="1">#REF!</definedName>
    <definedName name="BEx1PGGY1WUHPB3O64ZVN3N99DD6" hidden="1">#REF!</definedName>
    <definedName name="BEx1PHYW9CI00OVWJEPXMBWEKDO8" hidden="1">#REF!</definedName>
    <definedName name="BEx1PLF2CFSXBZPVI6CJ534EIJDN" hidden="1">#REF!</definedName>
    <definedName name="BEx1PMWZB2DO6EM9BKLUICZJ65HD" hidden="1">#REF!</definedName>
    <definedName name="BEx1PNYOWWBL11EHN4FNT3L2CFO7" hidden="1">#REF!</definedName>
    <definedName name="BEx1POV1R0QSD66PW04JJLTFW7DC" hidden="1">#REF!</definedName>
    <definedName name="BEx1PQNSMD3SN4NWS10BUE1ZFF0A" hidden="1">#REF!</definedName>
    <definedName name="BEx1PR415U01RF514LC24LSXZ46E" localSheetId="8" hidden="1">#REF!</definedName>
    <definedName name="BEx1PR415U01RF514LC24LSXZ46E" hidden="1">#REF!</definedName>
    <definedName name="BEx1PXUPD5XRUU2SPVGZCRNTWS98" localSheetId="8" hidden="1">#REF!</definedName>
    <definedName name="BEx1PXUPD5XRUU2SPVGZCRNTWS98" hidden="1">#REF!</definedName>
    <definedName name="BEx1PZ7CJ6Y4O2GAHF5SA2FBF8NF" hidden="1">#REF!</definedName>
    <definedName name="BEx1Q2NDZLMDFT8TFIE016R64N68" localSheetId="8" hidden="1">#REF!</definedName>
    <definedName name="BEx1Q2NDZLMDFT8TFIE016R64N68" hidden="1">#REF!</definedName>
    <definedName name="BEx1Q3ZUKYHQ8DR7I9DW319KW39M" hidden="1">#REF!</definedName>
    <definedName name="BEx1QA54J2A4I7IBQR19BTY28ZMR" hidden="1">#REF!</definedName>
    <definedName name="BEx1QDL4BIHRGIVABI67I5YOLIBW" localSheetId="8" hidden="1">#REF!</definedName>
    <definedName name="BEx1QDL4BIHRGIVABI67I5YOLIBW" hidden="1">#REF!</definedName>
    <definedName name="BEx1QFON5L8T6R5J6HA8MWUNW1VQ" hidden="1">#REF!</definedName>
    <definedName name="BEx1QGAEELWGTB1AIVEDDVC429FB" hidden="1">#REF!</definedName>
    <definedName name="BEx1QI8FUPS6PKXGX8E9WYJKCTHE" hidden="1">#REF!</definedName>
    <definedName name="BEx1QIU02UKQDRQO4JFJQTQPA9M2" localSheetId="8" hidden="1">#REF!</definedName>
    <definedName name="BEx1QIU02UKQDRQO4JFJQTQPA9M2" hidden="1">#REF!</definedName>
    <definedName name="BEx1QM4POM8TW07OIB7SKD712X2U" hidden="1">#REF!</definedName>
    <definedName name="BEx1QMQAHG3KQUK59DVM68SWKZIZ" hidden="1">#REF!</definedName>
    <definedName name="BEx1QOTTD8A7ZISZKTC3BOOVKWEN" localSheetId="8" hidden="1">#REF!</definedName>
    <definedName name="BEx1QOTTD8A7ZISZKTC3BOOVKWEN" hidden="1">#REF!</definedName>
    <definedName name="BEx1QQ0Y9HYM4N4QV58OIPOO3GYP" hidden="1">#REF!</definedName>
    <definedName name="BEx1QRDLR9G9I3UAEZUXPQZJYRT1" hidden="1">#REF!</definedName>
    <definedName name="BEx1R02C8KNH9YXA8P430NC2J4P0" localSheetId="8" hidden="1">#REF!</definedName>
    <definedName name="BEx1R02C8KNH9YXA8P430NC2J4P0" hidden="1">#REF!</definedName>
    <definedName name="BEx1R3IHPOS54R7SDYONI063CBNF" hidden="1">#REF!</definedName>
    <definedName name="BEx1R9YFKJCMSEST8OVCAO5E47FO" hidden="1">#REF!</definedName>
    <definedName name="BEx1RBGC06B3T52OIC0EQ1KGVP1I" hidden="1">#REF!</definedName>
    <definedName name="BEx1RJJPMTTC8XCJ5SKEOJZ2A0T2" hidden="1">#REF!</definedName>
    <definedName name="BEx1RRC7X4NI1CU4EO5XYE2GVARJ" hidden="1">#REF!</definedName>
    <definedName name="BEx1RS33HC49USFSCE8PRU7F7O25" hidden="1">#REF!</definedName>
    <definedName name="BEx1RUXNQ9CHULX7KODJL8PSLY78" localSheetId="8" hidden="1">#REF!</definedName>
    <definedName name="BEx1RUXNQ9CHULX7KODJL8PSLY78" hidden="1">#REF!</definedName>
    <definedName name="BEx1RZA1NCGT832L7EMR7GMF588W" hidden="1">#REF!</definedName>
    <definedName name="BEx1S0MOOGSSYT24R5GZFG5GMGFR" localSheetId="8" hidden="1">#REF!</definedName>
    <definedName name="BEx1S0MOOGSSYT24R5GZFG5GMGFR" hidden="1">#REF!</definedName>
    <definedName name="BEx1S0XGIPUSZQUCSGWSK10GKW7Y" hidden="1">#REF!</definedName>
    <definedName name="BEx1S42VKD30F71QYS0I2F1P1OTI" hidden="1">#REF!</definedName>
    <definedName name="BEx1S5VFNKIXHTTCWSV60UC50EZ8" hidden="1">#REF!</definedName>
    <definedName name="BEx1SB9N8WIJ88O4HJ4ENHOPJSO4" hidden="1">#REF!</definedName>
    <definedName name="BEx1SGNU3S1LF4NH986NZDCX9TZ1" hidden="1">#REF!</definedName>
    <definedName name="BEx1SIRDIC62K90DB7VGSDS1ZZRD" hidden="1">#REF!</definedName>
    <definedName name="BEx1SK3U02H0RGKEYXW7ZMCEOF3V" hidden="1">#REF!</definedName>
    <definedName name="BEx1SQEMEJSID4EHAN68M7U2G9Z8" hidden="1">#REF!</definedName>
    <definedName name="BEx1SSNEZINBJT29QVS62VS1THT4" hidden="1">#REF!</definedName>
    <definedName name="BEx1SSSWQADAF5BHBC63QATCKQ1P" hidden="1">#REF!</definedName>
    <definedName name="BEx1SSY8BBOG94FS3H1PUS54E3DT" localSheetId="8" hidden="1">#REF!</definedName>
    <definedName name="BEx1SSY8BBOG94FS3H1PUS54E3DT" hidden="1">#REF!</definedName>
    <definedName name="BEx1ST3O5TFJUGMO6AYM4U56O3BX" hidden="1">#REF!</definedName>
    <definedName name="BEx1SVNCHNANBJIDIQVB8AFK4HAN" hidden="1">#REF!</definedName>
    <definedName name="BEx1SZ8SXTKLOCRBJQY3WCR6V5NK" localSheetId="8" hidden="1">#REF!</definedName>
    <definedName name="BEx1SZ8SXTKLOCRBJQY3WCR6V5NK" hidden="1">#REF!</definedName>
    <definedName name="BEx1T4C7QC5FF172CKXJALEXRCDT" hidden="1">#REF!</definedName>
    <definedName name="BEx1T4XTGGAH8EOHEUNW87AO4AWU" hidden="1">#REF!</definedName>
    <definedName name="BEx1T7SCX7KK0ROG334AKM67Y8WU" localSheetId="8" hidden="1">#REF!</definedName>
    <definedName name="BEx1T7SCX7KK0ROG334AKM67Y8WU" hidden="1">#REF!</definedName>
    <definedName name="BEx1T8JAAHTLSD7E0KGH6JFZUH2K" hidden="1">#REF!</definedName>
    <definedName name="BEx1TJ0WLS9O7KNSGIPWTYHDYI1D" hidden="1">#REF!</definedName>
    <definedName name="BEx1TKIV4J00FJ3B7GUOMXNEMC4G" hidden="1">#REF!</definedName>
    <definedName name="BEx1TNTKITTEKOJ5Q0RUF0799ZGD" localSheetId="8" hidden="1">#REF!</definedName>
    <definedName name="BEx1TNTKITTEKOJ5Q0RUF0799ZGD" hidden="1">#REF!</definedName>
    <definedName name="BEx1TVRE4KBZ9T7HKGX7K1HHK5YD" hidden="1">#REF!</definedName>
    <definedName name="BEx1TZCVPPEE0X9SL476D5ZN97EZ" hidden="1">#REF!</definedName>
    <definedName name="BEx1U15M7LVVFZENH830B2BGWC04" localSheetId="8" hidden="1">#REF!</definedName>
    <definedName name="BEx1U15M7LVVFZENH830B2BGWC04" hidden="1">#REF!</definedName>
    <definedName name="BEx1U45JE7R98FDAJXKIVIPBEBEJ" hidden="1">#REF!</definedName>
    <definedName name="BEx1U7WFO8OZKB1EBF4H386JW91L" hidden="1">#REF!</definedName>
    <definedName name="BEx1U7WGMDP8AIER0NDZ619HXOPA" hidden="1">#REF!</definedName>
    <definedName name="BEx1U87938YR9N6HYI24KVBKLOS3" hidden="1">#REF!</definedName>
    <definedName name="BEx1UESH4KDWHYESQU2IE55RS3LI" hidden="1">#REF!</definedName>
    <definedName name="BEx1UI8N9KTCPSOJ7RDW0T8UEBNP" hidden="1">#REF!</definedName>
    <definedName name="BEx1UJW0MBSPK3N5VXR3RSV6DV1V" localSheetId="8" hidden="1">#REF!</definedName>
    <definedName name="BEx1UJW0MBSPK3N5VXR3RSV6DV1V" hidden="1">#REF!</definedName>
    <definedName name="BEx1UML0HHJFHA5TBOYQ24I3RV1W" hidden="1">#REF!</definedName>
    <definedName name="BEx1UNXN2LRV0805ISLUYC76DC2D" hidden="1">#REF!</definedName>
    <definedName name="BEx1UPKVPOKSXPPDG9XNYGA0CS1M" hidden="1">#REF!</definedName>
    <definedName name="BEx1UUDIQPZ23XQ79GUL0RAWRSCK" hidden="1">#REF!</definedName>
    <definedName name="BEx1UUZ393GCBN6CJ0T9AHYPXME5" hidden="1">#REF!</definedName>
    <definedName name="BEx1V0IRPENWVHEQCABCOXBZ9NUQ" hidden="1">#REF!</definedName>
    <definedName name="BEx1V67SEV778NVW68J8W5SND1J7" hidden="1">#REF!</definedName>
    <definedName name="BEx1V97P88TF7IDTSD7Y2K8T2NH9" hidden="1">#REF!</definedName>
    <definedName name="BEx1VFCSZ4EXL6PN3SRFHJ8V6XZR" localSheetId="8" hidden="1">#REF!</definedName>
    <definedName name="BEx1VFCSZ4EXL6PN3SRFHJ8V6XZR" hidden="1">#REF!</definedName>
    <definedName name="BEx1VG964RLGKQS43VC7OMJAZCN5" hidden="1">#REF!</definedName>
    <definedName name="BEx1VIY9SQLRESD11CC4PHYT0XSG" hidden="1">#REF!</definedName>
    <definedName name="BEx1VMEA4THI18GFH2QC87NN3BOR" hidden="1">#REF!</definedName>
    <definedName name="BEx1VMZZW2GD5SQKLR0HS14G8VA1" hidden="1">#REF!</definedName>
    <definedName name="BEx1VQQSB5BKTBE7EAFXSN31CNVX" localSheetId="8" hidden="1">#REF!</definedName>
    <definedName name="BEx1VQQSB5BKTBE7EAFXSN31CNVX" hidden="1">#REF!</definedName>
    <definedName name="BEx1VSZMUJ12XWI0NHZAJDI3QPSL" hidden="1">#REF!</definedName>
    <definedName name="BEx1W7OIAUWM7G3RCJUC2BMAHGL0" hidden="1">#REF!</definedName>
    <definedName name="BEx1W8FDLOFGE28JXY6J54MICRMP" localSheetId="8" hidden="1">#REF!</definedName>
    <definedName name="BEx1W8FDLOFGE28JXY6J54MICRMP" hidden="1">#REF!</definedName>
    <definedName name="BEx1WC67EH10SC38QWX3WEA5KH3A" hidden="1">#REF!</definedName>
    <definedName name="BEx1WDO53ZG95BCDDJH20QVTZIEM" localSheetId="8" hidden="1">#REF!</definedName>
    <definedName name="BEx1WDO53ZG95BCDDJH20QVTZIEM" hidden="1">#REF!</definedName>
    <definedName name="BEx1WGYTKZZIPM1577W5FEYKFH3V" hidden="1">#REF!</definedName>
    <definedName name="BEx1WHPURIV3D3PTJJ359H1OP7ZV" hidden="1">#REF!</definedName>
    <definedName name="BEx1WI0OSAMTGPLUBO2J2TKZGNZ4" localSheetId="8" hidden="1">#REF!</definedName>
    <definedName name="BEx1WI0OSAMTGPLUBO2J2TKZGNZ4" hidden="1">#REF!</definedName>
    <definedName name="BEx1WKV8U6EH7I5CHCT45FISJ7FH" localSheetId="8" hidden="1">#REF!</definedName>
    <definedName name="BEx1WKV8U6EH7I5CHCT45FISJ7FH" hidden="1">#REF!</definedName>
    <definedName name="BEx1WLWY2CR1WRD694JJSWSDFAIR" hidden="1">#REF!</definedName>
    <definedName name="BEx1WMD1LWPWRIK6GGAJRJAHJM8I" hidden="1">#REF!</definedName>
    <definedName name="BEx1WR0D41MR174LBF3P9E3K0J51" hidden="1">#REF!</definedName>
    <definedName name="BEx1WU09CIHOI0L84XXCKC501H1F" localSheetId="8" hidden="1">#REF!</definedName>
    <definedName name="BEx1WU09CIHOI0L84XXCKC501H1F" hidden="1">#REF!</definedName>
    <definedName name="BEx1WUB1FAS5PHU33TJ60SUHR618" hidden="1">#REF!</definedName>
    <definedName name="BEx1WX04G0INSPPG9NTNR3DYR6PZ" hidden="1">#REF!</definedName>
    <definedName name="BEx1WYY74I3RJOD73UOPU57ORJPM" hidden="1">#REF!</definedName>
    <definedName name="BEx1X3G0DAZGK6UJT8VC2IAADLNC" hidden="1">#REF!</definedName>
    <definedName name="BEx1X3LHU9DPG01VWX2IF65TRATF" hidden="1">#REF!</definedName>
    <definedName name="BEx1X3QU07GK7I7KLROCFBELK7NH" localSheetId="8" hidden="1">#REF!</definedName>
    <definedName name="BEx1X3QU07GK7I7KLROCFBELK7NH" hidden="1">#REF!</definedName>
    <definedName name="BEx1X9QMGPU2QMV9E620NSLCN6EF" hidden="1">#REF!</definedName>
    <definedName name="BEx1XCW07F6B7N6LLK9EO4U4MHYM" hidden="1">#REF!</definedName>
    <definedName name="BEx1XG17MF08UHP2KVDHDJA5B976" localSheetId="8" hidden="1">#REF!</definedName>
    <definedName name="BEx1XG17MF08UHP2KVDHDJA5B976" hidden="1">#REF!</definedName>
    <definedName name="BEx1XG17MUD8N4XKIXLF89CWGC0S" hidden="1">#REF!</definedName>
    <definedName name="BEx1XK8AAMO0AH0Z1OUKW30CA7EQ" hidden="1">#REF!</definedName>
    <definedName name="BEx1XL4MZ7C80495GHQRWOBS16PQ" hidden="1">#REF!</definedName>
    <definedName name="BEx1XN86QZPXEC2550TP8XT6SWZX" localSheetId="8" hidden="1">#REF!</definedName>
    <definedName name="BEx1XN86QZPXEC2550TP8XT6SWZX" hidden="1">#REF!</definedName>
    <definedName name="BEx1Y2IGS2K95E1M51PEF9KJZ0KB" hidden="1">#REF!</definedName>
    <definedName name="BEx1Y3PKK83X2FN9SAALFHOWKMRQ" hidden="1">#REF!</definedName>
    <definedName name="BEx1YIP218G616DN2W0NI1RI6RT1" hidden="1">#REF!</definedName>
    <definedName name="BEx1YKHSW5HDSZLEI6ETN0XC509V" localSheetId="8" hidden="1">#REF!</definedName>
    <definedName name="BEx1YKHSW5HDSZLEI6ETN0XC509V" hidden="1">#REF!</definedName>
    <definedName name="BEx1YL3DJ7Y4AZ01ERCOGW0FJ26T" hidden="1">#REF!</definedName>
    <definedName name="BEx1Z2RYHSVD1H37817SN93VMURZ" hidden="1">#REF!</definedName>
    <definedName name="BEx3A7WON9DFYBY69VY1ZYJRNUG0" hidden="1">#REF!</definedName>
    <definedName name="BEx3AA05U8E8IPPLJJFMMMC2H428" hidden="1">#REF!</definedName>
    <definedName name="BEx3AKSML0KLKE7UATZY9FF9RGBX" hidden="1">#REF!</definedName>
    <definedName name="BEx3AMAKWI6458B67VKZO56MCNJW" hidden="1">#REF!</definedName>
    <definedName name="BEx3AOOVM42G82TNF53W0EKXLUSI" hidden="1">#REF!</definedName>
    <definedName name="BEx3AZH9W4SUFCAHNDOQ728R9V4L" hidden="1">#REF!</definedName>
    <definedName name="BEx3BIT64QOETNTZ352FLDRQ7FKK" hidden="1">#REF!</definedName>
    <definedName name="BEx3BNR9ES4KY7Q1DK83KC5NDGL8" hidden="1">#REF!</definedName>
    <definedName name="BEx3BQR5VZXNQ4H949ORM8ESU3B3" hidden="1">#REF!</definedName>
    <definedName name="BEx3BTLL3ASJN134DLEQTQM70VZM" hidden="1">#REF!</definedName>
    <definedName name="BEx3BW5CTV0DJU5AQS3ZQFK2VLF3" hidden="1">#REF!</definedName>
    <definedName name="BEx3BYP0FG369M7G3JEFLMMXAKTS" hidden="1">#REF!</definedName>
    <definedName name="BEx3C2QR0WUD19QSVO8EMIPNQJKH" hidden="1">#REF!</definedName>
    <definedName name="BEx3C5ACPKV4XIAY0LO077TCRNLJ" localSheetId="8" hidden="1">#REF!</definedName>
    <definedName name="BEx3C5ACPKV4XIAY0LO077TCRNLJ" hidden="1">#REF!</definedName>
    <definedName name="BEx3CBKXPIN2XM7QJNI7O0MB70AR" localSheetId="8" hidden="1">#REF!</definedName>
    <definedName name="BEx3CBKXPIN2XM7QJNI7O0MB70AR" hidden="1">#REF!</definedName>
    <definedName name="BEx3CCS3VNR1KW2R7DKSQFZ17QW0" localSheetId="8" hidden="1">#REF!</definedName>
    <definedName name="BEx3CCS3VNR1KW2R7DKSQFZ17QW0" hidden="1">#REF!</definedName>
    <definedName name="BEx3CKFCCPZZ6ROLAT5C1DZNIC1U" hidden="1">#REF!</definedName>
    <definedName name="BEx3CO0SVO4WLH0DO43DCHYDTH1P" hidden="1">#REF!</definedName>
    <definedName name="BEx3CPYUUCAG47G10NJB10D13XAV" hidden="1">#REF!</definedName>
    <definedName name="BEx3CQV90WBUKXBMURX1SB7CBMSB" hidden="1">#REF!</definedName>
    <definedName name="BEx3CURHCE22PEI9IYRSO99A8YS3" localSheetId="8" hidden="1">#REF!</definedName>
    <definedName name="BEx3CURHCE22PEI9IYRSO99A8YS3" hidden="1">#REF!</definedName>
    <definedName name="BEx3D35KVB55GTY44YX4O9YGEVQI" localSheetId="8" hidden="1">#REF!</definedName>
    <definedName name="BEx3D35KVB55GTY44YX4O9YGEVQI" hidden="1">#REF!</definedName>
    <definedName name="BEx3D9G6QTSPF9UYI4X0XY0VE896" hidden="1">#REF!</definedName>
    <definedName name="BEx3DCQU9PBRXIMLO62KS5RLH447" hidden="1">#REF!</definedName>
    <definedName name="BEx3DGN4JE7BNLSKTCPE8IUIBPM0" hidden="1">#REF!</definedName>
    <definedName name="BEx3DJ6RYKUCR1E91OQQBIGCSK0F" hidden="1">#REF!</definedName>
    <definedName name="BEx3DSH8H61UTT9686JPRB0SCKSJ" hidden="1">#REF!</definedName>
    <definedName name="BEx3E22INXU2VKWET4AVSBR8WAD6" localSheetId="8" hidden="1">#REF!</definedName>
    <definedName name="BEx3E22INXU2VKWET4AVSBR8WAD6" hidden="1">#REF!</definedName>
    <definedName name="BEx3EABAWPDD1ZZ42HM4C21RA6X9" hidden="1">#REF!</definedName>
    <definedName name="BEx3EF99FD6QNNCNOKDEE67JHTUJ" hidden="1">#REF!</definedName>
    <definedName name="BEx3EHCSERZ2O2OAG8Y95UPG2IY9" hidden="1">#REF!</definedName>
    <definedName name="BEx3EJR3TCJDYS7ZXNDS5N9KTGIK" hidden="1">#REF!</definedName>
    <definedName name="BEx3EK7DQ3TCC4CKQ6I7HWQOS3JK" localSheetId="8" hidden="1">#REF!</definedName>
    <definedName name="BEx3EK7DQ3TCC4CKQ6I7HWQOS3JK" hidden="1">#REF!</definedName>
    <definedName name="BEx3EKI72JX1X9FQW6QN6JAGW389" hidden="1">#REF!</definedName>
    <definedName name="BEx3ELJTTBS6P05CNISMGOJOA60V" hidden="1">#REF!</definedName>
    <definedName name="BEx3EPQXQRVRDOYCW81VPBLZGAHH" localSheetId="8" hidden="1">#REF!</definedName>
    <definedName name="BEx3EPQXQRVRDOYCW81VPBLZGAHH" hidden="1">#REF!</definedName>
    <definedName name="BEx3EQSLJBDDJRHNX19PBFCKNY2I" hidden="1">#REF!</definedName>
    <definedName name="BEx3EQY1DLE7G1BN4GY27QI7C7L8" localSheetId="8" hidden="1">#REF!</definedName>
    <definedName name="BEx3EQY1DLE7G1BN4GY27QI7C7L8" hidden="1">#REF!</definedName>
    <definedName name="BEx3EUUAX947Q5N6MY6W0KSNY78Y" hidden="1">#REF!</definedName>
    <definedName name="BEx3EWHLL38YV8A07YEF74WQSAZN" localSheetId="8" hidden="1">#REF!</definedName>
    <definedName name="BEx3EWHLL38YV8A07YEF74WQSAZN" hidden="1">#REF!</definedName>
    <definedName name="BEx3F74P168HA7VJNS9N4ZFBZIRN" hidden="1">#REF!</definedName>
    <definedName name="BEx3FG4DPAPTA9PM2Q6BMWI6BIHV" localSheetId="8" hidden="1">#REF!</definedName>
    <definedName name="BEx3FG4DPAPTA9PM2Q6BMWI6BIHV" hidden="1">#REF!</definedName>
    <definedName name="BEx3FHMD1P5XBCH23ZKIFO6ZTCNB" hidden="1">#REF!</definedName>
    <definedName name="BEx3FI2G3YYIACQHXNXEA15M8ZK5" hidden="1">#REF!</definedName>
    <definedName name="BEx3FJ9MHSLDK8W91GO85FX1GX57" hidden="1">#REF!</definedName>
    <definedName name="BEx3FR251HFU7A33PU01SJUENL2B" hidden="1">#REF!</definedName>
    <definedName name="BEx3FX7EJL47JSLSWP3EOC265WAE" hidden="1">#REF!</definedName>
    <definedName name="BEx3G0NET3U3721ED0EL6DQ44XTM" hidden="1">#REF!</definedName>
    <definedName name="BEx3G201R8NLJ6FIHO2QS0SW9QVV" hidden="1">#REF!</definedName>
    <definedName name="BEx3G2LL2II66XY5YCDPG4JE13A3" hidden="1">#REF!</definedName>
    <definedName name="BEx3G2WA0DTYY9D8AGHHOBTPE2B2" hidden="1">#REF!</definedName>
    <definedName name="BEx3G8FY85SUKO01ZJQZYO51EA75" localSheetId="8" hidden="1">#REF!</definedName>
    <definedName name="BEx3G8FY85SUKO01ZJQZYO51EA75" hidden="1">#REF!</definedName>
    <definedName name="BEx3GCXR6IAS0B6WJ03GJVH7CO52" hidden="1">#REF!</definedName>
    <definedName name="BEx3GDZH5KHUU0C7RY1PDVGKTH8E" localSheetId="8" hidden="1">#REF!</definedName>
    <definedName name="BEx3GDZH5KHUU0C7RY1PDVGKTH8E" hidden="1">#REF!</definedName>
    <definedName name="BEx3GEVV18SEQDI1JGY7EN6D1GT1" hidden="1">#REF!</definedName>
    <definedName name="BEx3GK4QHP44NS03S00KYLQNS6U9" hidden="1">#REF!</definedName>
    <definedName name="BEx3GKFH64MKQX61S7DYTZ15JCPY" hidden="1">#REF!</definedName>
    <definedName name="BEx3GMJ1Y6UU02DLRL0QXCEKDA6C" hidden="1">#REF!</definedName>
    <definedName name="BEx3GN4LY0135CBDIN1TU2UEODGF" hidden="1">#REF!</definedName>
    <definedName name="BEx3GOXDBP15QFL8SE9F1BTHW0NP" hidden="1">#REF!</definedName>
    <definedName name="BEx3GPDH2AH4QKT4OOSN563XUHBD" hidden="1">#REF!</definedName>
    <definedName name="BEx3GQ9V1DONRHIKU8HGIPUP1EGT" localSheetId="8" hidden="1">#REF!</definedName>
    <definedName name="BEx3GQ9V1DONRHIKU8HGIPUP1EGT" hidden="1">#REF!</definedName>
    <definedName name="BEx3H5UX2GZFZZT657YR76RHW5I6" hidden="1">#REF!</definedName>
    <definedName name="BEx3HEPAD0Z29KG27NF70Z1IF8TW" hidden="1">#REF!</definedName>
    <definedName name="BEx3HMSEFOP6DBM4R97XA6B7NFG6" hidden="1">#REF!</definedName>
    <definedName name="BEx3HWJ5SQSD2CVCQNR183X44FR8" hidden="1">#REF!</definedName>
    <definedName name="BEx3HYXGY53USYPC8BOQ5MVY2ZZX" localSheetId="8" hidden="1">#REF!</definedName>
    <definedName name="BEx3HYXGY53USYPC8BOQ5MVY2ZZX" hidden="1">#REF!</definedName>
    <definedName name="BEx3I09YVXO0G4X7KGSA4WGORM35" hidden="1">#REF!</definedName>
    <definedName name="BEx3I2Z24BXARE0CNXII4YEKOCEW" hidden="1">#REF!</definedName>
    <definedName name="BEx3I5O61WLKF2TC4EQZXE9N9C2M" hidden="1">#REF!</definedName>
    <definedName name="BEx3ICF1GY8HQEBIU9S43PDJ90BX" hidden="1">#REF!</definedName>
    <definedName name="BEx3IH27PZYJ2BYD10VEQNSBH5EW" localSheetId="8" hidden="1">#REF!</definedName>
    <definedName name="BEx3IH27PZYJ2BYD10VEQNSBH5EW" hidden="1">#REF!</definedName>
    <definedName name="BEx3IHNR78VSYTTRGGVZT6WN9068" localSheetId="8" hidden="1">#REF!</definedName>
    <definedName name="BEx3IHNR78VSYTTRGGVZT6WN9068" hidden="1">#REF!</definedName>
    <definedName name="BEx3ILPHV26EHIQUCP0NBQ1M5TSM" localSheetId="8" hidden="1">#REF!</definedName>
    <definedName name="BEx3ILPHV26EHIQUCP0NBQ1M5TSM" hidden="1">#REF!</definedName>
    <definedName name="BEx3IMLPLFDY04Z6ON69TCWA33TL" localSheetId="8" hidden="1">#REF!</definedName>
    <definedName name="BEx3IMLPLFDY04Z6ON69TCWA33TL" hidden="1">#REF!</definedName>
    <definedName name="BEx3IUUHYO7OY6C0W3TF0PQVA8FQ" hidden="1">#REF!</definedName>
    <definedName name="BEx3IWN8YPN2XHSCISQB9608ZLOD" localSheetId="8" hidden="1">#REF!</definedName>
    <definedName name="BEx3IWN8YPN2XHSCISQB9608ZLOD" hidden="1">#REF!</definedName>
    <definedName name="BEx3IX3C5OE03465C1HO0PLYSXYS" hidden="1">#REF!</definedName>
    <definedName name="BEx3IYAH2DEBFWO8F94H4MXE3RLY" hidden="1">#REF!</definedName>
    <definedName name="BEx3IZXXSYEW50379N2EAFWO8DZV" hidden="1">#REF!</definedName>
    <definedName name="BEx3J1FVD4S3SA9EQK4HKHMAZWBE" hidden="1">#REF!</definedName>
    <definedName name="BEx3J1FW9KC6Y802RUXV7ZWSL07M" hidden="1">#REF!</definedName>
    <definedName name="BEx3J1VZVGTKT4ATPO9O5JCSFTTR" hidden="1">#REF!</definedName>
    <definedName name="BEx3J2XUDDF0SSPYVBJC3N2BVRNR" localSheetId="8" hidden="1">#REF!</definedName>
    <definedName name="BEx3J2XUDDF0SSPYVBJC3N2BVRNR" hidden="1">#REF!</definedName>
    <definedName name="BEx3J4FRQAN0ZC6SZL9XE2RADR1E" hidden="1">#REF!</definedName>
    <definedName name="BEx3J98FD3IKPAG0Y8AXZU157UR5" hidden="1">#REF!</definedName>
    <definedName name="BEx3JC2TY7JNAAC3L7QHVPQXLGQ8" hidden="1">#REF!</definedName>
    <definedName name="BEx3JHXAIDGHMF0FZ0KT1MOQLZBT" hidden="1">#REF!</definedName>
    <definedName name="BEx3JWB8EIB42E4QPNP0F6ZKJHSM" localSheetId="8" hidden="1">#REF!</definedName>
    <definedName name="BEx3JWB8EIB42E4QPNP0F6ZKJHSM" hidden="1">#REF!</definedName>
    <definedName name="BEx3JWLZ2346W3PVQQNS1TU0T3TL" hidden="1">#REF!</definedName>
    <definedName name="BEx3JX23SYDIGOGM4Y0CQFBW8ZBV" hidden="1">#REF!</definedName>
    <definedName name="BEx3JXCXCVBZJGV5VEG9MJEI01AL" hidden="1">#REF!</definedName>
    <definedName name="BEx3JYK2N7X59TPJSKYZ77ENY8SS" hidden="1">#REF!</definedName>
    <definedName name="BEx3JZAXL8KNT6BS2DKSBQW8WFTT" localSheetId="8" hidden="1">#REF!</definedName>
    <definedName name="BEx3JZAXL8KNT6BS2DKSBQW8WFTT" hidden="1">#REF!</definedName>
    <definedName name="BEx3K4EII7GU1CG0BN7UL15M6J8Z" hidden="1">#REF!</definedName>
    <definedName name="BEx3K4ZXQUQ2KYZF74B84SO48XMW" hidden="1">#REF!</definedName>
    <definedName name="BEx3K7JQ6SYZRESM8TJVBZLYA5KQ" localSheetId="8" hidden="1">#REF!</definedName>
    <definedName name="BEx3K7JQ6SYZRESM8TJVBZLYA5KQ" hidden="1">#REF!</definedName>
    <definedName name="BEx3KEFXUCVNVPH7KSEGAZYX13B5" hidden="1">#REF!</definedName>
    <definedName name="BEx3KFXTZBQZ2H2YCBC1ZY8INFIF" hidden="1">#REF!</definedName>
    <definedName name="BEx3KFXUAF6YXAA47B7Q6X9B3VGB" hidden="1">#REF!</definedName>
    <definedName name="BEx3KIXQYOGMPK4WJJAVBRX4NR28" hidden="1">#REF!</definedName>
    <definedName name="BEx3KJOMVOSFZVJUL3GKCNP6DQDS" hidden="1">#REF!</definedName>
    <definedName name="BEx3KP2VRBMORK0QEAZUYCXL3DHJ" hidden="1">#REF!</definedName>
    <definedName name="BEx3L4IN3LI4C26SITKTGAH27CDU" hidden="1">#REF!</definedName>
    <definedName name="BEx3L4YQ0J7ZU0M5QM6YIPCEYC9K" hidden="1">#REF!</definedName>
    <definedName name="BEx3L60DJOR7NQN42G7YSAODP1EX" hidden="1">#REF!</definedName>
    <definedName name="BEx3L7D0PI38HWZ7VADU16C9E33D" hidden="1">#REF!</definedName>
    <definedName name="BEx3L9WT886UPC0M8AH5Y82YAB1H" localSheetId="8" hidden="1">#REF!</definedName>
    <definedName name="BEx3L9WT886UPC0M8AH5Y82YAB1H" hidden="1">#REF!</definedName>
    <definedName name="BEx3LFAWAPSIRJGSP56CX0C0L5QU" hidden="1">#REF!</definedName>
    <definedName name="BEx3LG1Y7P7GVV6JIR6OROFUVAHK" hidden="1">#REF!</definedName>
    <definedName name="BEx3LJCLWZ5ET5EWM9NVDLDMMV1T" hidden="1">#REF!</definedName>
    <definedName name="BEx3LM1PR4Y7KINKMTMKR984GX8Q" hidden="1">#REF!</definedName>
    <definedName name="BEx3LM1QC9DPN0O9V8B5SII2E63J" localSheetId="8" hidden="1">#REF!</definedName>
    <definedName name="BEx3LM1QC9DPN0O9V8B5SII2E63J" hidden="1">#REF!</definedName>
    <definedName name="BEx3LPCEZ1C0XEKNCM3YT09JWCUO" hidden="1">#REF!</definedName>
    <definedName name="BEx3LRQPBEYUQ8NMLL8AOZ2SXLOI" localSheetId="8" hidden="1">#REF!</definedName>
    <definedName name="BEx3LRQPBEYUQ8NMLL8AOZ2SXLOI" hidden="1">#REF!</definedName>
    <definedName name="BEx3LTJGIA6CQF2BZCDISQRFC58M" localSheetId="8" hidden="1">#REF!</definedName>
    <definedName name="BEx3LTJGIA6CQF2BZCDISQRFC58M" hidden="1">#REF!</definedName>
    <definedName name="BEx3LZU2CIOOHPU6WN1TNDSD39OS" hidden="1">#REF!</definedName>
    <definedName name="BEx3M1MQXPSOI8UXGIPZN706L4KK" hidden="1">#REF!</definedName>
    <definedName name="BEx3M1MR1K1NQD03H74BFWOK4MWQ" hidden="1">#REF!</definedName>
    <definedName name="BEx3M4H77MYUKOOD31H9F80NMVK8" hidden="1">#REF!</definedName>
    <definedName name="BEx3M9VFX329PZWYC4DMZ6P3W9R2" hidden="1">#REF!</definedName>
    <definedName name="BEx3MAH07ZP0YAFJHQ0343NWS16F" hidden="1">#REF!</definedName>
    <definedName name="BEx3MCQ0VEBV0CZXDS505L38EQ8N" hidden="1">#REF!</definedName>
    <definedName name="BEx3MDRPETONRA6GYLP7VYG9ECN0" hidden="1">#REF!</definedName>
    <definedName name="BEx3MEYV5LQY0BAL7V3CFAFVOM3T" hidden="1">#REF!</definedName>
    <definedName name="BEx3MREOFWJQEYMCMBL7ZE06NBN6" hidden="1">#REF!</definedName>
    <definedName name="BEx3MT7A6UQSBI4B3JYYOCOLHSPA" hidden="1">#REF!</definedName>
    <definedName name="BEx3MW1VHR8JIAS5J58XQ0CC4L8U" localSheetId="8" hidden="1">#REF!</definedName>
    <definedName name="BEx3MW1VHR8JIAS5J58XQ0CC4L8U" hidden="1">#REF!</definedName>
    <definedName name="BEx3MX903ZUUBLAB6J6ELSHCJ1UC" hidden="1">#REF!</definedName>
    <definedName name="BEx3N51IHA88UXRPEENI44P0KP7U" hidden="1">#REF!</definedName>
    <definedName name="BEx3N5CB8E7A6B8THM69LQPMVADO" hidden="1">#REF!</definedName>
    <definedName name="BEx3N7FW0O3BI5FG5H3TN8ESSC61" localSheetId="8" hidden="1">#REF!</definedName>
    <definedName name="BEx3N7FW0O3BI5FG5H3TN8ESSC61" hidden="1">#REF!</definedName>
    <definedName name="BEx3N7VYL8CCBFTRFOA6W3BWAQJ0" localSheetId="8" hidden="1">#REF!</definedName>
    <definedName name="BEx3N7VYL8CCBFTRFOA6W3BWAQJ0" hidden="1">#REF!</definedName>
    <definedName name="BEx3N8C93BQ6EHCZ38T4Q13GBVLJ" hidden="1">#REF!</definedName>
    <definedName name="BEx3NIOEHAFUCFDREQ6Q94AMSGFB" hidden="1">#REF!</definedName>
    <definedName name="BEx3NKXF7GYXHBK75UI6MDRUSU0J" hidden="1">#REF!</definedName>
    <definedName name="BEx3NLIZ7PHF2XE59ECZ3MD04ZG1" hidden="1">#REF!</definedName>
    <definedName name="BEx3NMQ4BVC94728AUM7CCX7UHTU" hidden="1">#REF!</definedName>
    <definedName name="BEx3NR2I4OUFP3Z2QZEDU2PIFIDI" hidden="1">#REF!</definedName>
    <definedName name="BEx3O19B8FTTAPVT5DZXQGQXWFR8" hidden="1">#REF!</definedName>
    <definedName name="BEx3O5GEZP549DIKB8297RJ84PXL" localSheetId="8" hidden="1">#REF!</definedName>
    <definedName name="BEx3O5GEZP549DIKB8297RJ84PXL" hidden="1">#REF!</definedName>
    <definedName name="BEx3O6NJP4Z97OMAUDUVW7BV010W" hidden="1">#REF!</definedName>
    <definedName name="BEx3O85IKWARA6NCJOLRBRJFMEWW" localSheetId="7" hidden="1">#REF!</definedName>
    <definedName name="BEx3O85IKWARA6NCJOLRBRJFMEWW" hidden="1">#REF!</definedName>
    <definedName name="BEx3O8R2PTUV8UDMEZFHQ63L2SYL" hidden="1">#REF!</definedName>
    <definedName name="BEx3OC78TRV4LU403RPCBG54U8UX" hidden="1">#REF!</definedName>
    <definedName name="BEx3OD3MRKZIBJ51C9Z6CZ01QY3M" hidden="1">#REF!</definedName>
    <definedName name="BEx3OJZSCGFRW7SVGBFI0X9DNVMM" hidden="1">#REF!</definedName>
    <definedName name="BEx3OK5349EJ2XRYXV7W13YG9FSL" localSheetId="8" hidden="1">#REF!</definedName>
    <definedName name="BEx3OK5349EJ2XRYXV7W13YG9FSL" hidden="1">#REF!</definedName>
    <definedName name="BEx3ONAGJNMK4NWJ2KSX7Z6J4LHP" hidden="1">#REF!</definedName>
    <definedName name="BEx3ORSBUXAF21MKEY90YJV9AY9A" hidden="1">#REF!</definedName>
    <definedName name="BEx3OSDPC76YELEXOE4HPHR08Z63" localSheetId="8" hidden="1">#REF!</definedName>
    <definedName name="BEx3OSDPC76YELEXOE4HPHR08Z63" hidden="1">#REF!</definedName>
    <definedName name="BEx3OV8BH6PYNZT7C246LOAU9SVX" hidden="1">#REF!</definedName>
    <definedName name="BEx3OXRYJZUEY6E72UJU0PHLMYAR" hidden="1">#REF!</definedName>
    <definedName name="BEx3P54EFPJ9XERKXPZGLNSLQXCN" localSheetId="8" hidden="1">#REF!</definedName>
    <definedName name="BEx3P54EFPJ9XERKXPZGLNSLQXCN" hidden="1">#REF!</definedName>
    <definedName name="BEx3P59TTRSGQY888P5C1O7M2PQT" hidden="1">#REF!</definedName>
    <definedName name="BEx3PDNRRNKD5GOUBUQFXAHIXLD9" hidden="1">#REF!</definedName>
    <definedName name="BEx3PDT8GNPWLLN02IH1XPV90XYK" hidden="1">#REF!</definedName>
    <definedName name="BEx3PH99MLZU1LB38QDL3NELDJBG" localSheetId="8" hidden="1">#REF!</definedName>
    <definedName name="BEx3PH99MLZU1LB38QDL3NELDJBG" hidden="1">#REF!</definedName>
    <definedName name="BEx3PKEMDW8KZEP11IL927C5O7I2" hidden="1">#REF!</definedName>
    <definedName name="BEx3PKJZ1Z7L9S6KV8KXVS6B2FX4" hidden="1">#REF!</definedName>
    <definedName name="BEx3PMNG53Z5HY138H99QOMTX8W3" hidden="1">#REF!</definedName>
    <definedName name="BEx3PP1RRSFZ8UC0JC9R91W6LNKW" hidden="1">#REF!</definedName>
    <definedName name="BEx3PPNDD7L6SUISGSI2D375NSCH" localSheetId="8" hidden="1">#REF!</definedName>
    <definedName name="BEx3PPNDD7L6SUISGSI2D375NSCH" hidden="1">#REF!</definedName>
    <definedName name="BEx3PQZZ6L9TOCDKNGIDPO8Y2G54" localSheetId="8" hidden="1">#REF!</definedName>
    <definedName name="BEx3PQZZ6L9TOCDKNGIDPO8Y2G54" hidden="1">#REF!</definedName>
    <definedName name="BEx3PVXYZC8WB9ZJE7OCKUXZ46EA" hidden="1">#REF!</definedName>
    <definedName name="BEx3PY1HMDIDSGTGKZ527NBLJ1NN" localSheetId="8" hidden="1">#REF!</definedName>
    <definedName name="BEx3PY1HMDIDSGTGKZ527NBLJ1NN" hidden="1">#REF!</definedName>
    <definedName name="BEx3Q0VWPU5EQECK7MQ47TYJ3SWW" hidden="1">#REF!</definedName>
    <definedName name="BEx3Q3QHHJB3PUJIXDIL8G6EHCRE" localSheetId="8" hidden="1">#REF!</definedName>
    <definedName name="BEx3Q3QHHJB3PUJIXDIL8G6EHCRE" hidden="1">#REF!</definedName>
    <definedName name="BEx3Q7BZ9PUXK2RLIOFSIS9AHU1B" hidden="1">#REF!</definedName>
    <definedName name="BEx3Q8J42S9VU6EAN2Y28MR6DF88" hidden="1">#REF!</definedName>
    <definedName name="BEx3Q9QA35ZVN9VVHN81BBIVN881" localSheetId="8" hidden="1">#REF!</definedName>
    <definedName name="BEx3Q9QA35ZVN9VVHN81BBIVN881" hidden="1">#REF!</definedName>
    <definedName name="BEx3QB2RCF7CSX5GNLCO7Z3YXDES" hidden="1">#REF!</definedName>
    <definedName name="BEx3QD0XYUEL1G6J200V2STCORG5" localSheetId="8" hidden="1">#REF!</definedName>
    <definedName name="BEx3QD0XYUEL1G6J200V2STCORG5" hidden="1">#REF!</definedName>
    <definedName name="BEx3QEDFOYFY5NBTININ5W4RLD4Q" hidden="1">#REF!</definedName>
    <definedName name="BEx3QH2K40ZZFYJES4QCRY78Q560" localSheetId="8" hidden="1">#REF!</definedName>
    <definedName name="BEx3QH2K40ZZFYJES4QCRY78Q560" hidden="1">#REF!</definedName>
    <definedName name="BEx3QHYVRORWC4H2K909BRBEGGD5" hidden="1">#REF!</definedName>
    <definedName name="BEx3QIKJ3U962US1Q564NZDLU8LD" hidden="1">#REF!</definedName>
    <definedName name="BEx3QR9D45DHW50VQ7Y3Q1AXPOB9" hidden="1">#REF!</definedName>
    <definedName name="BEx3QSWT2S5KWG6U2V9711IYDQBM" hidden="1">#REF!</definedName>
    <definedName name="BEx3QVGG7Q2X4HZHJAM35A8T3VR7" hidden="1">#REF!</definedName>
    <definedName name="BEx3QWNMTVAFZK582HI1F226WEQG" hidden="1">#REF!</definedName>
    <definedName name="BEx3QXUQPNFALM4TKBJ1Z0MREAMU" hidden="1">#REF!</definedName>
    <definedName name="BEx3R0JUB9YN8PHPPQTAMIT1IHWK" hidden="1">#REF!</definedName>
    <definedName name="BEx3R81NFRO7M81VHVKOBFT0QBIL" hidden="1">#REF!</definedName>
    <definedName name="BEx3RFE1UCPY647W3E06QBVFRF4S" hidden="1">#REF!</definedName>
    <definedName name="BEx3RHC2ZD5UFS6QD4OPFCNNMWH1" hidden="1">#REF!</definedName>
    <definedName name="BEx3RIJ8VWLU9EYBV2XKIPSYQ5G9" hidden="1">#REF!</definedName>
    <definedName name="BEx3RQ10QIWBAPHALAA91BUUCM2X" hidden="1">#REF!</definedName>
    <definedName name="BEx3RSFBB83TAKX7N3F394TT3RW4" localSheetId="8" hidden="1">#REF!</definedName>
    <definedName name="BEx3RSFBB83TAKX7N3F394TT3RW4" hidden="1">#REF!</definedName>
    <definedName name="BEx3RTMI0KJ07X8P5J7QT0PVEDQK" hidden="1">#REF!</definedName>
    <definedName name="BEx3RV4E1WT43SZBUN09RTB8EK1O" hidden="1">#REF!</definedName>
    <definedName name="BEx3RXYU0QLFXSFTM5EB20GD03W5" hidden="1">#REF!</definedName>
    <definedName name="BEx3RYKLC3QQO3XTUN7BEW2AQL98" hidden="1">#REF!</definedName>
    <definedName name="BEx3S0D4WQX6F84LL6J61CR9JQAG" hidden="1">#REF!</definedName>
    <definedName name="BEx3S2WXUEQA8PLX4U6G9LJB63ZN" localSheetId="8" hidden="1">#REF!</definedName>
    <definedName name="BEx3S2WXUEQA8PLX4U6G9LJB63ZN" hidden="1">#REF!</definedName>
    <definedName name="BEx3S8LYD1F7GWH83K3FBENFJYI6" hidden="1">#REF!</definedName>
    <definedName name="BEx3SAURKU6UIKOQQ8USSRSQ2UGQ" hidden="1">#REF!</definedName>
    <definedName name="BEx3SICJ45BYT6FHBER86PJT25FC" hidden="1">#REF!</definedName>
    <definedName name="BEx3SL1NUYCLQWKW8EFSFZGONHKE" localSheetId="8" hidden="1">#REF!</definedName>
    <definedName name="BEx3SL1NUYCLQWKW8EFSFZGONHKE" hidden="1">#REF!</definedName>
    <definedName name="BEx3SMUCMJVGQ2H4EHQI5ZFHEF0P" hidden="1">#REF!</definedName>
    <definedName name="BEx3SN56F03CPDRDA7LZ763V0N4I" hidden="1">#REF!</definedName>
    <definedName name="BEx3SPE6N1ORXPRCDL3JPZD73Z9F" hidden="1">#REF!</definedName>
    <definedName name="BEx3ST4Y5OZXSIK7V846SMFT5B23" localSheetId="8" hidden="1">#REF!</definedName>
    <definedName name="BEx3ST4Y5OZXSIK7V846SMFT5B23" hidden="1">#REF!</definedName>
    <definedName name="BEx3SVZJEOD0AZ1FLDBEPN315A96" hidden="1">#REF!</definedName>
    <definedName name="BEx3SWQG9ED1M1Q5D63K0HZ15GQG" localSheetId="8" hidden="1">#REF!</definedName>
    <definedName name="BEx3SWQG9ED1M1Q5D63K0HZ15GQG" hidden="1">#REF!</definedName>
    <definedName name="BEx3T29YG4VF0HF00V5SDJEQ1QTX" hidden="1">#REF!</definedName>
    <definedName name="BEx3T29ZTULQE0OMSMWUMZDU9ZZ0" hidden="1">#REF!</definedName>
    <definedName name="BEx3T6MJ1QDJ929WMUDVZ0O3UW0Y" hidden="1">#REF!</definedName>
    <definedName name="BEx3TCX23OOWTGGN33PFEM6T1GVP" hidden="1">#REF!</definedName>
    <definedName name="BEx3TEPSM88IET8PDLKKCHMFEMFM" localSheetId="8" hidden="1">#REF!</definedName>
    <definedName name="BEx3TEPSM88IET8PDLKKCHMFEMFM" hidden="1">#REF!</definedName>
    <definedName name="BEx3TH44CBMBQNVIFHXPDGZ2FJWV" hidden="1">#REF!</definedName>
    <definedName name="BEx3TO09F9SV99SJXCUC1B49RVCJ" localSheetId="8" hidden="1">#REF!</definedName>
    <definedName name="BEx3TO09F9SV99SJXCUC1B49RVCJ" hidden="1">#REF!</definedName>
    <definedName name="BEx3TPCSI16OAB2L9M9IULQMQ9J9" hidden="1">#REF!</definedName>
    <definedName name="BEx3U64YUOZ419BAJS2W78UMATAW" hidden="1">#REF!</definedName>
    <definedName name="BEx3U94WCEA5DKMWBEX1GU0LKYG2" hidden="1">#REF!</definedName>
    <definedName name="BEx3U9VZ8SQVYS6ZA038J7AP7ZGW" hidden="1">#REF!</definedName>
    <definedName name="BEx3UEJ2XVUAUG054PUDKJPYZPAQ" hidden="1">#REF!</definedName>
    <definedName name="BEx3UHJ0D0Y13WNHVR138OR8SC32" hidden="1">#REF!</definedName>
    <definedName name="BEx3UIQ5WRJBGNTFCCLOR4N7B1OQ" hidden="1">#REF!</definedName>
    <definedName name="BEx3UJBQWUJW9KX0PXKZ4TRHMR71" localSheetId="8" hidden="1">#REF!</definedName>
    <definedName name="BEx3UJBQWUJW9KX0PXKZ4TRHMR71" hidden="1">#REF!</definedName>
    <definedName name="BEx3UJMIX2NUSSWGMSI25A5DM4CH" hidden="1">#REF!</definedName>
    <definedName name="BEx3UKOCOQG7S1YQ436S997K1KWV" hidden="1">#REF!</definedName>
    <definedName name="BEx3UMX7LRQZXGH5V3SL4KEFLK8B" hidden="1">#REF!</definedName>
    <definedName name="BEx3UYM19VIXLA0EU7LB9NHA77PB" hidden="1">#REF!</definedName>
    <definedName name="BEx3V6EJO8BG91O9M5DVBLNPDBKG" localSheetId="8" hidden="1">#REF!</definedName>
    <definedName name="BEx3V6EJO8BG91O9M5DVBLNPDBKG" hidden="1">#REF!</definedName>
    <definedName name="BEx3VML7CG70HPISMVYIUEN3711Q" hidden="1">#REF!</definedName>
    <definedName name="BEx56FFH12GCLX0K0E1IEA5S9X5A" hidden="1">#REF!</definedName>
    <definedName name="BEx56ZID5H04P9AIYLP1OASFGV56" hidden="1">#REF!</definedName>
    <definedName name="BEx57YKQRQP834IGYTYRZTV3UH1S" hidden="1">#REF!</definedName>
    <definedName name="BEx5802QAJKNHFBFPTR0PSRHQPJE" localSheetId="8" hidden="1">#REF!</definedName>
    <definedName name="BEx5802QAJKNHFBFPTR0PSRHQPJE" hidden="1">#REF!</definedName>
    <definedName name="BEx587EYSS57E3PI8DT973HLJM9E" hidden="1">#REF!</definedName>
    <definedName name="BEx587KFQ3VKCOCY1SA5F24PQGUI" hidden="1">#REF!</definedName>
    <definedName name="BEx587V8L237ZCC6C84U1HLANSXF" hidden="1">#REF!</definedName>
    <definedName name="BEx58GK5RIQXR8T1T66A6L7I65TM" hidden="1">#REF!</definedName>
    <definedName name="BEx58HGIK5C6SM403U7CM3SDMR68" hidden="1">#REF!</definedName>
    <definedName name="BEx58O780PQ05NF0Z1SKKRB3N099" hidden="1">#REF!</definedName>
    <definedName name="BEx58XCCSAJJYVS6FALWKIAIA1M1" hidden="1">#REF!</definedName>
    <definedName name="BEx58XHO7ZULLF2EUD7YIS0MGQJ5" hidden="1">#REF!</definedName>
    <definedName name="BEx58ZW0HAIGIPEX9CVA1PQQTR6X" hidden="1">#REF!</definedName>
    <definedName name="BEx591ZJ14LAJI4Q8DU3CQQBHZDV" localSheetId="8" hidden="1">#REF!</definedName>
    <definedName name="BEx591ZJ14LAJI4Q8DU3CQQBHZDV" hidden="1">#REF!</definedName>
    <definedName name="BEx5978F2X0YB60A8U0RF9IGFL5H" hidden="1">#REF!</definedName>
    <definedName name="BEx59BA1KH3RG6K1LHL7YS2VB79N" hidden="1">#REF!</definedName>
    <definedName name="BEx59E9WABJP2TN71QAIKK79HPK9" hidden="1">#REF!</definedName>
    <definedName name="BEx59P7MAPNU129ZTC5H3EH892G1" hidden="1">#REF!</definedName>
    <definedName name="BEx59WPJZYWUOEGJHPOVM5ETCM6G" localSheetId="8" hidden="1">#REF!</definedName>
    <definedName name="BEx59WPJZYWUOEGJHPOVM5ETCM6G" hidden="1">#REF!</definedName>
    <definedName name="BEx59WUUTWPNVR53V93MXRQ4CHLU" hidden="1">#REF!</definedName>
    <definedName name="BEx5A11WZRQSIE089QE119AOX9ZG" hidden="1">#REF!</definedName>
    <definedName name="BEx5A53I4OI80LV9DRIR9EFD2XUD" localSheetId="8" hidden="1">#REF!</definedName>
    <definedName name="BEx5A53I4OI80LV9DRIR9EFD2XUD" hidden="1">#REF!</definedName>
    <definedName name="BEx5A7CIGCOTHJKHGUBDZG91JGPZ" hidden="1">#REF!</definedName>
    <definedName name="BEx5A8UFLT2SWVSG5COFA9B8P376" hidden="1">#REF!</definedName>
    <definedName name="BEx5ACAHJPLAS35SPSXQ88PJYGPI" localSheetId="8" hidden="1">#REF!</definedName>
    <definedName name="BEx5ACAHJPLAS35SPSXQ88PJYGPI" hidden="1">#REF!</definedName>
    <definedName name="BEx5AFFTN3IXIBHDKM0FYC4OFL1S" hidden="1">#REF!</definedName>
    <definedName name="BEx5ANDOOW91YBCYUL4H4JOJKCSS" localSheetId="8" hidden="1">#REF!</definedName>
    <definedName name="BEx5ANDOOW91YBCYUL4H4JOJKCSS" hidden="1">#REF!</definedName>
    <definedName name="BEx5AOFIO8KVRHIZ1RII337AA8ML" hidden="1">#REF!</definedName>
    <definedName name="BEx5APRZ66L5BWHFE8E4YYNEDTI4" hidden="1">#REF!</definedName>
    <definedName name="BEx5ARQ6V82KDMN77WT0B1AK7B5S" localSheetId="8" hidden="1">#REF!</definedName>
    <definedName name="BEx5ARQ6V82KDMN77WT0B1AK7B5S" hidden="1">#REF!</definedName>
    <definedName name="BEx5AUVDSQ35VO4BD9AKKGBM5S7D" hidden="1">#REF!</definedName>
    <definedName name="BEx5B4LZ38YVR2X2Y3VFMV9EMGRL" hidden="1">#REF!</definedName>
    <definedName name="BEx5B4RHHX0J1BF2FZKEA0SPP29O" hidden="1">#REF!</definedName>
    <definedName name="BEx5B5YMSWP0OVI5CIQRP5V18D0C" hidden="1">#REF!</definedName>
    <definedName name="BEx5B825RW35M5H0UB2IZGGRS4ER" hidden="1">#REF!</definedName>
    <definedName name="BEx5BAWPMY0TL684WDXX6KKJLRCN" hidden="1">#REF!</definedName>
    <definedName name="BEx5BBI61U4Y65GD0ARMTALPP7SJ" hidden="1">#REF!</definedName>
    <definedName name="BEx5BCPHCDHNQXYUNRCZ0GUWX8FI" localSheetId="8" hidden="1">#REF!</definedName>
    <definedName name="BEx5BCPHCDHNQXYUNRCZ0GUWX8FI" hidden="1">#REF!</definedName>
    <definedName name="BEx5BDR56MEV4IHY6CIH2SVNG1UB" hidden="1">#REF!</definedName>
    <definedName name="BEx5BESZC5H329SKHGJOHZFILYJJ" hidden="1">#REF!</definedName>
    <definedName name="BEx5BHSQ42B50IU1TEQFUXFX9XQD" hidden="1">#REF!</definedName>
    <definedName name="BEx5BKSM4UN4C1DM3EYKM79MRC5K" hidden="1">#REF!</definedName>
    <definedName name="BEx5BLZXQHE4JV85JYO6K2LIE6WY" localSheetId="8" hidden="1">#REF!</definedName>
    <definedName name="BEx5BLZXQHE4JV85JYO6K2LIE6WY" hidden="1">#REF!</definedName>
    <definedName name="BEx5BNN8NPH9KVOBARB9CDD9WLB6" hidden="1">#REF!</definedName>
    <definedName name="BEx5BPW1SB0ZG63ULYUN7PTMO9MV" hidden="1">#REF!</definedName>
    <definedName name="BEx5BQN48A0P0HALA6YWGQLFIY7R" localSheetId="8" hidden="1">#REF!</definedName>
    <definedName name="BEx5BQN48A0P0HALA6YWGQLFIY7R" hidden="1">#REF!</definedName>
    <definedName name="BEx5BYFMZ80TDDN2EZO8CF39AIAC" hidden="1">#REF!</definedName>
    <definedName name="BEx5C2BWFW6SHZBFDEISKGXHZCQW" hidden="1">#REF!</definedName>
    <definedName name="BEx5C2S14UC9RWQKY40NCRNC49BD" hidden="1">#REF!</definedName>
    <definedName name="BEx5C49ZFH8TO9ZU55729C3F7XG7" hidden="1">#REF!</definedName>
    <definedName name="BEx5C62QD63Y2GZGD3VZD1287JUQ" hidden="1">#REF!</definedName>
    <definedName name="BEx5C8GZQK13G60ZM70P63I5OS0L" hidden="1">#REF!</definedName>
    <definedName name="BEx5CAPTVN2NBT3UOMA1UFAL1C2R" hidden="1">#REF!</definedName>
    <definedName name="BEx5CEM3SYF9XP0ZZVE0GEPCLV3F" hidden="1">#REF!</definedName>
    <definedName name="BEx5CFYQ0F1Z6P8SCVJ0I3UPVFE4" hidden="1">#REF!</definedName>
    <definedName name="BEx5CGPNSFC219H3FMRO5UYPEKK7" hidden="1">#REF!</definedName>
    <definedName name="BEx5CINUDCSDCAJSNNV7XVNU8Q79" hidden="1">#REF!</definedName>
    <definedName name="BEx5CKB3W833VQYHQOVI5O1N787U" localSheetId="8" hidden="1">#REF!</definedName>
    <definedName name="BEx5CKB3W833VQYHQOVI5O1N787U" hidden="1">#REF!</definedName>
    <definedName name="BEx5CL272V9XMDJMSB0U5TS9WSFO" hidden="1">#REF!</definedName>
    <definedName name="BEx5CNLUIOYU8EODGA03Z3547I9T" hidden="1">#REF!</definedName>
    <definedName name="BEx5CNR9ZYFH7VDST1YKR6JOAOVD" localSheetId="8" hidden="1">#REF!</definedName>
    <definedName name="BEx5CNR9ZYFH7VDST1YKR6JOAOVD" hidden="1">#REF!</definedName>
    <definedName name="BEx5CNWQGUO8Y8YCNIOBD2BO6AY2" localSheetId="8" hidden="1">#REF!</definedName>
    <definedName name="BEx5CNWQGUO8Y8YCNIOBD2BO6AY2" hidden="1">#REF!</definedName>
    <definedName name="BEx5CPEKNSJORIPFQC2E1LTRYY8L" hidden="1">#REF!</definedName>
    <definedName name="BEx5CQR6PPHZ1S1UI8J4XM1TRDYC" localSheetId="8" hidden="1">#REF!</definedName>
    <definedName name="BEx5CQR6PPHZ1S1UI8J4XM1TRDYC" hidden="1">#REF!</definedName>
    <definedName name="BEx5CQWIBT7P3SYM5SUOT74XS37W" hidden="1">#REF!</definedName>
    <definedName name="BEx5CSUOL05D8PAM2TRDA9VRJT1O" hidden="1">#REF!</definedName>
    <definedName name="BEx5CUNFOO4YDFJ22HCMI2QKIGKM" hidden="1">#REF!</definedName>
    <definedName name="BEx5D8L47OF0WHBPFWXGZINZWUBZ" hidden="1">#REF!</definedName>
    <definedName name="BEx5DAJAHQ2SKUPCKSCR3PYML67L" hidden="1">#REF!</definedName>
    <definedName name="BEx5DBVSB9110VRI2YKS5PXYX8O1" hidden="1">#REF!</definedName>
    <definedName name="BEx5DC18JM1KJCV44PF18E0LNRKA" hidden="1">#REF!</definedName>
    <definedName name="BEx5DCS5AA37GEOUKX5ALVTJ1T62" hidden="1">#REF!</definedName>
    <definedName name="BEx5DJIZBTNS011R9IIG2OQ2L6ZX" hidden="1">#REF!</definedName>
    <definedName name="BEx5DM2LVUTB6WNSDM8K8FS31QNP" hidden="1">#REF!</definedName>
    <definedName name="BEx5DM83CDUS0YKUCLCWX3W3BHHD" hidden="1">#REF!</definedName>
    <definedName name="BEx5E0GIA7ZU1PVXVYPNY7058BG7" hidden="1">#REF!</definedName>
    <definedName name="BEx5E123OLO9WQUOIRIDJ967KAGK" hidden="1">#REF!</definedName>
    <definedName name="BEx5E2UU5NES6W779W2OZTZOB4O7" hidden="1">#REF!</definedName>
    <definedName name="BEx5E4CSE5G83J5K32WENF7BXL82" hidden="1">#REF!</definedName>
    <definedName name="BEx5E607B8AR3MDSL195ID4JA2VA" hidden="1">#REF!</definedName>
    <definedName name="BEx5EJN36R6NX482EK3TRXJ4KDFG" hidden="1">#REF!</definedName>
    <definedName name="BEx5ELQL9B0VR6UT18KP11DHOTFX" hidden="1">#REF!</definedName>
    <definedName name="BEx5EMMY9EII5O7D63WSFNZVQJIS" hidden="1">#REF!</definedName>
    <definedName name="BEx5ER4TJTFPN7IB1MNEB1ZFR5M6" hidden="1">#REF!</definedName>
    <definedName name="BEx5EZ2ORDJQSTT4KQMZALOFR80B" localSheetId="8" hidden="1">#REF!</definedName>
    <definedName name="BEx5EZ2ORDJQSTT4KQMZALOFR80B" hidden="1">#REF!</definedName>
    <definedName name="BEx5F22JKUKVKW6L6SS8NCKVQYL0" hidden="1">#REF!</definedName>
    <definedName name="BEx5F6V72QTCK7O39Y59R0EVM6CW" hidden="1">#REF!</definedName>
    <definedName name="BEx5FGLQVACD5F5YZG4DGSCHCGO2" hidden="1">#REF!</definedName>
    <definedName name="BEx5FGR7YST9UWW32VFER0W4LEF2" localSheetId="8" hidden="1">#REF!</definedName>
    <definedName name="BEx5FGR7YST9UWW32VFER0W4LEF2" hidden="1">#REF!</definedName>
    <definedName name="BEx5FLJWHLW3BTZILDPN5NMA449V" hidden="1">#REF!</definedName>
    <definedName name="BEx5FLUNYF0RSBHMSDSPYA0KPPB9" hidden="1">#REF!</definedName>
    <definedName name="BEx5FNI2O10YN2SI1NO4X5GP3GTF" hidden="1">#REF!</definedName>
    <definedName name="BEx5FO8YRFSZCG3L608EHIHIHFY4" hidden="1">#REF!</definedName>
    <definedName name="BEx5FOZVR2GS01NNZURBG1XLUBTM" hidden="1">#REF!</definedName>
    <definedName name="BEx5FQCIK2WFTQ520N18Y8A2HBXZ" hidden="1">#REF!</definedName>
    <definedName name="BEx5FQNA6V4CNYSH013K45RI4BCV" hidden="1">#REF!</definedName>
    <definedName name="BEx5FSW55LVAZI956T9XU4KIBELE" localSheetId="8" hidden="1">#REF!</definedName>
    <definedName name="BEx5FSW55LVAZI956T9XU4KIBELE" hidden="1">#REF!</definedName>
    <definedName name="BEx5FTCEIIRM9OOPXK6PB2KJSLTA" localSheetId="8" hidden="1">#REF!</definedName>
    <definedName name="BEx5FTCEIIRM9OOPXK6PB2KJSLTA" hidden="1">#REF!</definedName>
    <definedName name="BEx5FVQPPEU32CPNV9RRQ9MNLLVE" hidden="1">#REF!</definedName>
    <definedName name="BEx5FZ6P6C891T1PMDTRSVJ5NIX0" hidden="1">#REF!</definedName>
    <definedName name="BEx5G08KGMG5X2AQKDGPFYG5GH94" hidden="1">#REF!</definedName>
    <definedName name="BEx5G1A8TFN4C4QII35U9DKYNIS8" hidden="1">#REF!</definedName>
    <definedName name="BEx5G1L0QO91KEPDMV1D8OT4BT73" hidden="1">#REF!</definedName>
    <definedName name="BEx5G86DZL1VYUX6KWODAP3WFAWP" hidden="1">#REF!</definedName>
    <definedName name="BEx5G8BV2GIOCM3C7IUFK8L04A6M" hidden="1">#REF!</definedName>
    <definedName name="BEx5G8H70AOIQNK90C2VU5BAF8TV" localSheetId="8" hidden="1">#REF!</definedName>
    <definedName name="BEx5G8H70AOIQNK90C2VU5BAF8TV" hidden="1">#REF!</definedName>
    <definedName name="BEx5G9TUWZVLWKJDZOSPVFASD25E" hidden="1">#REF!</definedName>
    <definedName name="BEx5GE66YNPSS5MSPTBXLYLNUHSJ" localSheetId="8" hidden="1">#REF!</definedName>
    <definedName name="BEx5GE66YNPSS5MSPTBXLYLNUHSJ" hidden="1">#REF!</definedName>
    <definedName name="BEx5GID9MVBUPFFT9M8K8B5MO9NV" hidden="1">#REF!</definedName>
    <definedName name="BEx5GL2CVWMY3S947ALVPBQG1W21" localSheetId="8" hidden="1">#REF!</definedName>
    <definedName name="BEx5GL2CVWMY3S947ALVPBQG1W21" hidden="1">#REF!</definedName>
    <definedName name="BEx5GN0EWA9SCQDPQ7NTUQH82QVK" hidden="1">#REF!</definedName>
    <definedName name="BEx5GNBCU4WZ74I0UXFL9ZG2XSGJ" hidden="1">#REF!</definedName>
    <definedName name="BEx5GNWSQ942FPULISKTN9O4JDUJ" hidden="1">#REF!</definedName>
    <definedName name="BEx5GSK44REON5C9JKB1KH5Y3AYD" hidden="1">#REF!</definedName>
    <definedName name="BEx5GT5PB17R2GKX3F4H7WWN4M94" localSheetId="8" hidden="1">#REF!</definedName>
    <definedName name="BEx5GT5PB17R2GKX3F4H7WWN4M94" hidden="1">#REF!</definedName>
    <definedName name="BEx5GUCTYC7QCWGWU5BTO7Y7HDZX" hidden="1">#REF!</definedName>
    <definedName name="BEx5GYUPJULJQ624TEESYFG1NFOH" hidden="1">#REF!</definedName>
    <definedName name="BEx5GZR2KDETMC7ZPNE1YU6YELWI" localSheetId="8" hidden="1">#REF!</definedName>
    <definedName name="BEx5GZR2KDETMC7ZPNE1YU6YELWI" hidden="1">#REF!</definedName>
    <definedName name="BEx5H0NEE0AIN5E2UHJ9J9ISU9N1" hidden="1">#REF!</definedName>
    <definedName name="BEx5H1UJSEUQM2K8QHQXO5THVHSO" hidden="1">#REF!</definedName>
    <definedName name="BEx5H2WFSII73OJ41QGRAZ28JO53" hidden="1">#REF!</definedName>
    <definedName name="BEx5H6XZI7PS9WPKAXT7MJLYWZ9C" hidden="1">#REF!</definedName>
    <definedName name="BEx5H8L8WTEL5TPQXJA23CNMGRG2" hidden="1">#REF!</definedName>
    <definedName name="BEx5HAOT9XWUF7XIFRZZS8B9F5TZ" hidden="1">#REF!</definedName>
    <definedName name="BEx5HE4XRF9BUY04MENWY9CHHN5H" hidden="1">#REF!</definedName>
    <definedName name="BEx5HFHMABAT0H9KKS754X4T304E" hidden="1">#REF!</definedName>
    <definedName name="BEx5HGDSIWUSUAIGI0HUMIZLHWNZ" hidden="1">#REF!</definedName>
    <definedName name="BEx5HGDZ7MX1S3KNXLRL9WU565V4" hidden="1">#REF!</definedName>
    <definedName name="BEx5HJZ9FAVNZSSBTAYRPZDYM9NU" hidden="1">#REF!</definedName>
    <definedName name="BEx5HYYSI4VY2RRT300XO8IIYMFX" hidden="1">#REF!</definedName>
    <definedName name="BEx5HZ9JMKHNLFWLVUB1WP5B39BL" hidden="1">#REF!</definedName>
    <definedName name="BEx5I244LQHZTF3XI66J8705R9XX" hidden="1">#REF!</definedName>
    <definedName name="BEx5I2K9HQ49JO0CC9PBPM8FGLPG" localSheetId="8" hidden="1">#REF!</definedName>
    <definedName name="BEx5I2K9HQ49JO0CC9PBPM8FGLPG" hidden="1">#REF!</definedName>
    <definedName name="BEx5I3B4OHOD6SAPLK3PZDRO1GYC" localSheetId="8" hidden="1">#REF!</definedName>
    <definedName name="BEx5I3B4OHOD6SAPLK3PZDRO1GYC" hidden="1">#REF!</definedName>
    <definedName name="BEx5I4CZWURJPJZH95QO8E7MXFWV" localSheetId="8" hidden="1">#REF!</definedName>
    <definedName name="BEx5I4CZWURJPJZH95QO8E7MXFWV" hidden="1">#REF!</definedName>
    <definedName name="BEx5I8PBP4LIXDGID5BP0THLO0AQ" hidden="1">#REF!</definedName>
    <definedName name="BEx5I8USVUB3JP4S9OXGMZVMOQXR" hidden="1">#REF!</definedName>
    <definedName name="BEx5I9GDQSYIAL65UQNDMNFQCS9Y" hidden="1">#REF!</definedName>
    <definedName name="BEx5IBUPG9AWNW5PK7JGRGEJ4OLM" hidden="1">#REF!</definedName>
    <definedName name="BEx5IC06RVN8BSAEPREVKHKLCJ2L" hidden="1">#REF!</definedName>
    <definedName name="BEx5ITU4CES5RKIPD4C3NFJMR47U" hidden="1">#REF!</definedName>
    <definedName name="BEx5IVHD4TLSV54FO45ZBU2BA31T" hidden="1">#REF!</definedName>
    <definedName name="BEx5J0FFP1KS4NGY20AEJI8VREEA" hidden="1">#REF!</definedName>
    <definedName name="BEx5JA61J76B1FR7GJII0G9SYLFC" hidden="1">#REF!</definedName>
    <definedName name="BEx5JENVO7X0TBQGRMGKRTMFB470" localSheetId="8" hidden="1">#REF!</definedName>
    <definedName name="BEx5JENVO7X0TBQGRMGKRTMFB470" hidden="1">#REF!</definedName>
    <definedName name="BEx5JF3ZXLDIS8VNKDCY7ZI7H1CI" hidden="1">#REF!</definedName>
    <definedName name="BEx5JGB5G9JMFMDB0HEF6J6X9FN0" hidden="1">#REF!</definedName>
    <definedName name="BEx5JHCZJ8G6OOOW6EF3GABXKH6F" hidden="1">#REF!</definedName>
    <definedName name="BEx5JJB6W446THXQCRUKD3I7RKLP" hidden="1">#REF!</definedName>
    <definedName name="BEx5JJWTMI37U3RDEJOYLO93RJ6Z" localSheetId="8" hidden="1">#REF!</definedName>
    <definedName name="BEx5JJWTMI37U3RDEJOYLO93RJ6Z" hidden="1">#REF!</definedName>
    <definedName name="BEx5JL3SJ82VTS93D8QJILV3OI3S" hidden="1">#REF!</definedName>
    <definedName name="BEx5JNCT8Z7XSSPD5EMNAJELCU2V" hidden="1">#REF!</definedName>
    <definedName name="BEx5JP02DZ97IB62ITCKG1MMWBKN" localSheetId="8" hidden="1">#REF!</definedName>
    <definedName name="BEx5JP02DZ97IB62ITCKG1MMWBKN" hidden="1">#REF!</definedName>
    <definedName name="BEx5JQCNT9Y4RM306CHC8IPY3HBZ" hidden="1">#REF!</definedName>
    <definedName name="BEx5JR91NO6ECBKQUI7KBAUHVWQY" hidden="1">#REF!</definedName>
    <definedName name="BEx5JTHW7OW4QTNV5XZ3NC20LDLF" localSheetId="8" hidden="1">#REF!</definedName>
    <definedName name="BEx5JTHW7OW4QTNV5XZ3NC20LDLF" hidden="1">#REF!</definedName>
    <definedName name="BEx5JZCEJFUI0W0B4VPWMX31NQ1O" localSheetId="8" hidden="1">#REF!</definedName>
    <definedName name="BEx5JZCEJFUI0W0B4VPWMX31NQ1O" hidden="1">#REF!</definedName>
    <definedName name="BEx5K08PYKE6JOKBYIB006TX619P" hidden="1">#REF!</definedName>
    <definedName name="BEx5K1AKPNBF18M8BS3MHI13PF7R" localSheetId="8" hidden="1">#REF!</definedName>
    <definedName name="BEx5K1AKPNBF18M8BS3MHI13PF7R" hidden="1">#REF!</definedName>
    <definedName name="BEx5K21HQCDNYPG2QWFOVS99PE4A" localSheetId="8" hidden="1">#REF!</definedName>
    <definedName name="BEx5K21HQCDNYPG2QWFOVS99PE4A" hidden="1">#REF!</definedName>
    <definedName name="BEx5K51DSERT1TR7B4A29R41W4NX" hidden="1">#REF!</definedName>
    <definedName name="BEx5K7FOOF3M9OWJW2BZMLR9TTM5" hidden="1">#REF!</definedName>
    <definedName name="BEx5KCJ4JCAHU2E4LCLVKFWL64CX" localSheetId="8" hidden="1">#REF!</definedName>
    <definedName name="BEx5KCJ4JCAHU2E4LCLVKFWL64CX" hidden="1">#REF!</definedName>
    <definedName name="BEx5KE12AZK7EIEKKE1K0G1WFS9D" hidden="1">#REF!</definedName>
    <definedName name="BEx5KM9PJMIQFJSBANJO5FVW3Z28" localSheetId="8" hidden="1">#REF!</definedName>
    <definedName name="BEx5KM9PJMIQFJSBANJO5FVW3Z28" hidden="1">#REF!</definedName>
    <definedName name="BEx5KOO1FHA4BJJBZGOZKTK8PRRN" localSheetId="8" hidden="1">#REF!</definedName>
    <definedName name="BEx5KOO1FHA4BJJBZGOZKTK8PRRN" hidden="1">#REF!</definedName>
    <definedName name="BEx5KRIL3PFC9PIM7NQWA09TEQWG" localSheetId="8" hidden="1">#REF!</definedName>
    <definedName name="BEx5KRIL3PFC9PIM7NQWA09TEQWG" hidden="1">#REF!</definedName>
    <definedName name="BEx5KYER580I4T7WTLMUN7NLNP5K" hidden="1">#REF!</definedName>
    <definedName name="BEx5LHLB3M6K4ZKY2F42QBZT30ZH" hidden="1">#REF!</definedName>
    <definedName name="BEx5LRMNU3HXIE1BUMDHRU31F7JJ" hidden="1">#REF!</definedName>
    <definedName name="BEx5LSJ1LPUAX3ENSPECWPG4J7D1" hidden="1">#REF!</definedName>
    <definedName name="BEx5LTKQ8RQWJE4BC88OP928893U" hidden="1">#REF!</definedName>
    <definedName name="BEx5LWQ2YRWKLHNPUOX7A77685LZ" localSheetId="8" hidden="1">#REF!</definedName>
    <definedName name="BEx5LWQ2YRWKLHNPUOX7A77685LZ" hidden="1">#REF!</definedName>
    <definedName name="BEx5LYO5AGM9ICPKZBV7EN03XYO9" localSheetId="8" hidden="1">#REF!</definedName>
    <definedName name="BEx5LYO5AGM9ICPKZBV7EN03XYO9" hidden="1">#REF!</definedName>
    <definedName name="BEx5M7T5JER9G2MLDH3G50GCW8PO" localSheetId="8" hidden="1">#REF!</definedName>
    <definedName name="BEx5M7T5JER9G2MLDH3G50GCW8PO" hidden="1">#REF!</definedName>
    <definedName name="BEx5MAIGJD3C3AO0RGLKRTEZBVUE" localSheetId="8" hidden="1">#REF!</definedName>
    <definedName name="BEx5MAIGJD3C3AO0RGLKRTEZBVUE" hidden="1">#REF!</definedName>
    <definedName name="BEx5MB9BR71LZDG7XXQ2EO58JC5F" hidden="1">#REF!</definedName>
    <definedName name="BEx5MC5O36IAKUN7WX1YXF31K17F" hidden="1">#REF!</definedName>
    <definedName name="BEx5MD7HNL43BZXIPDASXN6JU8CY" hidden="1">#REF!</definedName>
    <definedName name="BEx5MF5LP5FJAOVRTF4ZSMN3Z4K0" hidden="1">#REF!</definedName>
    <definedName name="BEx5MHUNUABQZ6Q92MOBOBB952IK" hidden="1">#REF!</definedName>
    <definedName name="BEx5MJHXP3SU6I0KVI5CCJ0UI6OL" hidden="1">#REF!</definedName>
    <definedName name="BEx5MJSWQ04VS8WFHCZXYA7ZWU81" localSheetId="8" hidden="1">#REF!</definedName>
    <definedName name="BEx5MJSWQ04VS8WFHCZXYA7ZWU81" hidden="1">#REF!</definedName>
    <definedName name="BEx5MK904FS4SAHTMQ370XHMCXYJ" hidden="1">#REF!</definedName>
    <definedName name="BEx5MLQZM68YQSKARVWTTPINFQ2C" localSheetId="7" hidden="1">#REF!</definedName>
    <definedName name="BEx5MLQZM68YQSKARVWTTPINFQ2C" hidden="1">#REF!</definedName>
    <definedName name="BEx5MVXTKNBXHNWTL43C670E4KXC" hidden="1">#REF!</definedName>
    <definedName name="BEx5MXFQGI32SW4NX9SPP4BOEJVW" localSheetId="8" hidden="1">#REF!</definedName>
    <definedName name="BEx5MXFQGI32SW4NX9SPP4BOEJVW" hidden="1">#REF!</definedName>
    <definedName name="BEx5MYMVZ69HZV8T0YELOJBFMXXP" hidden="1">#REF!</definedName>
    <definedName name="BEx5N3VO85FQBJ87U4MGIIG8GZP5" localSheetId="8" hidden="1">#REF!</definedName>
    <definedName name="BEx5N3VO85FQBJ87U4MGIIG8GZP5" hidden="1">#REF!</definedName>
    <definedName name="BEx5N4XI4PWB1W9PMZ4O5R0HWTYD" hidden="1">#REF!</definedName>
    <definedName name="BEx5NA68N6FJFX9UJXK4M14U487F" hidden="1">#REF!</definedName>
    <definedName name="BEx5NIKBG2GDJOYGE3WCXKU7YY51" hidden="1">#REF!</definedName>
    <definedName name="BEx5NJBE20K8AXXH9ATDGU0UPNBC" hidden="1">#REF!</definedName>
    <definedName name="BEx5NUEM24ZED9VYADF1LHA31YNV" localSheetId="8" hidden="1">#REF!</definedName>
    <definedName name="BEx5NUEM24ZED9VYADF1LHA31YNV" hidden="1">#REF!</definedName>
    <definedName name="BEx5NV06L5J5IMKGOMGKGJ4PBZCD" hidden="1">#REF!</definedName>
    <definedName name="BEx5NXULT3GFHA88LGVNCM66JODM" hidden="1">#REF!</definedName>
    <definedName name="BEx5NZSSQ6PY99ZX2D7Q9IGOR34W" hidden="1">#REF!</definedName>
    <definedName name="BEx5O3E4KQQLB0PW435QM4ENRU5F" localSheetId="8" hidden="1">#REF!</definedName>
    <definedName name="BEx5O3E4KQQLB0PW435QM4ENRU5F" hidden="1">#REF!</definedName>
    <definedName name="BEx5O3ZUQ2OARA1CDOZ3NC4UE5AA" hidden="1">#REF!</definedName>
    <definedName name="BEx5OAFS0NJ2CB86A02E1JYHMLQ1" hidden="1">#REF!</definedName>
    <definedName name="BEx5OC8J68N0LRUPA83350KF4XBY" localSheetId="8" hidden="1">#REF!</definedName>
    <definedName name="BEx5OC8J68N0LRUPA83350KF4XBY" hidden="1">#REF!</definedName>
    <definedName name="BEx5OG4RPU8W1ETWDWM234NYYYEN" hidden="1">#REF!</definedName>
    <definedName name="BEx5OHXI4R617RH4NY6VKOI4ZRA2" localSheetId="8" hidden="1">#REF!</definedName>
    <definedName name="BEx5OHXI4R617RH4NY6VKOI4ZRA2" hidden="1">#REF!</definedName>
    <definedName name="BEx5OL87PVSZSDHUK8KZBXSXHK2L" localSheetId="8" hidden="1">#REF!</definedName>
    <definedName name="BEx5OL87PVSZSDHUK8KZBXSXHK2L" hidden="1">#REF!</definedName>
    <definedName name="BEx5OP9Y43F99O2IT69MKCCXGL61" hidden="1">#REF!</definedName>
    <definedName name="BEx5OXIKDIYQDT89AL1I005KPLFQ" localSheetId="8" hidden="1">#REF!</definedName>
    <definedName name="BEx5OXIKDIYQDT89AL1I005KPLFQ" hidden="1">#REF!</definedName>
    <definedName name="BEx5P50C5L2GJK1XC5WV7JS9SQX6" hidden="1">#REF!</definedName>
    <definedName name="BEx5P91WKW2LO1GSGXG9WTRRFBU1" hidden="1">#REF!</definedName>
    <definedName name="BEx5P9Y9RDXNUAJ6CZ2LHMM8IM7T" hidden="1">#REF!</definedName>
    <definedName name="BEx5PD3N3SOCSTRBLBXI5CSUFQ94" hidden="1">#REF!</definedName>
    <definedName name="BEx5PHG040UB6SAJGMT6H4JLV2O8" localSheetId="8" hidden="1">#REF!</definedName>
    <definedName name="BEx5PHG040UB6SAJGMT6H4JLV2O8" hidden="1">#REF!</definedName>
    <definedName name="BEx5PHWB2C0D5QLP3BZIP3UO7DIZ" hidden="1">#REF!</definedName>
    <definedName name="BEx5PJP02W68K2E46L5C5YBSNU6T" hidden="1">#REF!</definedName>
    <definedName name="BEx5PLCA8DOMAU315YCS5275L2HS" hidden="1">#REF!</definedName>
    <definedName name="BEx5PRXMZ5M65Z732WNNGV564C2J" hidden="1">#REF!</definedName>
    <definedName name="BEx5PYJ1M7KNW4566RAPKTK159HP" localSheetId="8" hidden="1">#REF!</definedName>
    <definedName name="BEx5PYJ1M7KNW4566RAPKTK159HP" hidden="1">#REF!</definedName>
    <definedName name="BEx5Q5VF8MOFX5QMFNLQOTNOLKUF" hidden="1">#REF!</definedName>
    <definedName name="BEx5Q7TIFGTXZ7OEVKT7FIS0BI63" hidden="1">#REF!</definedName>
    <definedName name="BEx5Q8F3P5IJKV3J9K31CA78XIPF" hidden="1">#REF!</definedName>
    <definedName name="BEx5QGT6ZJDVW73MNRC6IUML0GKF" localSheetId="8" hidden="1">#REF!</definedName>
    <definedName name="BEx5QGT6ZJDVW73MNRC6IUML0GKF" hidden="1">#REF!</definedName>
    <definedName name="BEx5QPSW4IPLH50WSR87HRER05RF" hidden="1">#REF!</definedName>
    <definedName name="BEx73SWV5RKV6JTSVR8CC96SL1U2" localSheetId="8" hidden="1">#REF!</definedName>
    <definedName name="BEx73SWV5RKV6JTSVR8CC96SL1U2" hidden="1">#REF!</definedName>
    <definedName name="BEx73V0EP8EMNRC3EZJJKKVKWQVB" hidden="1">#REF!</definedName>
    <definedName name="BEx741WJHIJVXUX131SBXTVW8D71" hidden="1">#REF!</definedName>
    <definedName name="BEx746ZZ73QHTXKD87X7R3HKC2KM" localSheetId="8" hidden="1">#REF!</definedName>
    <definedName name="BEx746ZZ73QHTXKD87X7R3HKC2KM" hidden="1">#REF!</definedName>
    <definedName name="BEx74ESIB9Y8KGETIERMKU5PLCQR" localSheetId="8" hidden="1">#REF!</definedName>
    <definedName name="BEx74ESIB9Y8KGETIERMKU5PLCQR" hidden="1">#REF!</definedName>
    <definedName name="BEx74IZJLRUQ03RCK06W91H2260J" localSheetId="8" hidden="1">#REF!</definedName>
    <definedName name="BEx74IZJLRUQ03RCK06W91H2260J" hidden="1">#REF!</definedName>
    <definedName name="BEx74PKX5CRH9WA3EISVE0KQMY67" hidden="1">#REF!</definedName>
    <definedName name="BEx74Q6H3O7133AWQXWC21MI2UFT" hidden="1">#REF!</definedName>
    <definedName name="BEx74W6BJ8ENO3J25WNM5H5APKA3" hidden="1">#REF!</definedName>
    <definedName name="BEx755GRRD9BL27YHLH5QWIYLWB7" hidden="1">#REF!</definedName>
    <definedName name="BEx757V4HY4OAGXYAJGM7RJQE3NM" localSheetId="8" hidden="1">#REF!</definedName>
    <definedName name="BEx757V4HY4OAGXYAJGM7RJQE3NM" hidden="1">#REF!</definedName>
    <definedName name="BEx758GOAXIL7LI7XQAK4M0H6XLJ" hidden="1">#REF!</definedName>
    <definedName name="BEx759D1D5SXS5ELLZVBI0SXYUNF" hidden="1">#REF!</definedName>
    <definedName name="BEx75BGL4B587TM29E78APZYJUTT" localSheetId="8" hidden="1">#REF!</definedName>
    <definedName name="BEx75BGL4B587TM29E78APZYJUTT" hidden="1">#REF!</definedName>
    <definedName name="BEx75GJZSZHUDN6OOAGQYFUDA2LP" hidden="1">#REF!</definedName>
    <definedName name="BEx75HGCCV5K4UCJWYV8EV9AG5YT" hidden="1">#REF!</definedName>
    <definedName name="BEx75HGCV02A5Y22AZYJLX0B132H" localSheetId="8" hidden="1">#REF!</definedName>
    <definedName name="BEx75HGCV02A5Y22AZYJLX0B132H" hidden="1">#REF!</definedName>
    <definedName name="BEx75JEE25C5EVDLBO4ONO6F7OXG" hidden="1">#REF!</definedName>
    <definedName name="BEx75MJT47XEWZSLZAG6IUOQKXIX" localSheetId="8" hidden="1">#REF!</definedName>
    <definedName name="BEx75MJT47XEWZSLZAG6IUOQKXIX" hidden="1">#REF!</definedName>
    <definedName name="BEx75PZT8TY5P13U978NVBUXKHT4" hidden="1">#REF!</definedName>
    <definedName name="BEx75T55F7GML8V1DMWL26WRT006" hidden="1">#REF!</definedName>
    <definedName name="BEx75UCBR3YB426LXJDNE1H6QDDJ" hidden="1">#REF!</definedName>
    <definedName name="BEx75VJGR07JY6UUWURQ4PJ29UKC" hidden="1">#REF!</definedName>
    <definedName name="BEx762VR9D0KOU867T1NWRVIIG84" hidden="1">#REF!</definedName>
    <definedName name="BEx765A28KL05DU9PG2REPK40UX3" localSheetId="8" hidden="1">#REF!</definedName>
    <definedName name="BEx765A28KL05DU9PG2REPK40UX3" hidden="1">#REF!</definedName>
    <definedName name="BEx76DDE5CIT8FA32NWHRL9TS04H" hidden="1">#REF!</definedName>
    <definedName name="BEx76LGP8932A6EF21Y08NSGN9KL" hidden="1">#REF!</definedName>
    <definedName name="BEx76NER7CM7MHIJUK6ZMSQU4J7C" hidden="1">#REF!</definedName>
    <definedName name="BEx76OB9UM9FM97LUZW7BL6LMBFY" hidden="1">#REF!</definedName>
    <definedName name="BEx76V1XKGBEDZIV9DV1A2YV1JOI" localSheetId="8" hidden="1">#REF!</definedName>
    <definedName name="BEx76V1XKGBEDZIV9DV1A2YV1JOI" hidden="1">#REF!</definedName>
    <definedName name="BEx7741OUGLA0WJQLQRUJSL4DE00" hidden="1">#REF!</definedName>
    <definedName name="BEx774N83DXLJZ54Q42PWIJZ2DN1" hidden="1">#REF!</definedName>
    <definedName name="BEx779QNIY3061ZV9BR462WKEGRW" hidden="1">#REF!</definedName>
    <definedName name="BEx77G19QU9A95CNHE6QMVSQR2T3" hidden="1">#REF!</definedName>
    <definedName name="BEx77OQ625E4LSEXLQEMAZHPDMMC" localSheetId="8" hidden="1">#REF!</definedName>
    <definedName name="BEx77OQ625E4LSEXLQEMAZHPDMMC" hidden="1">#REF!</definedName>
    <definedName name="BEx77P0S3GVMS7BJUL9OWUGJ1B02" hidden="1">#REF!</definedName>
    <definedName name="BEx77QDESURI6WW5582YXSK3A972" hidden="1">#REF!</definedName>
    <definedName name="BEx77R4AWWLMM6HUSL3N2MF9M9U5" hidden="1">#REF!</definedName>
    <definedName name="BEx77VBI9XOPFHKEWU5EHQ9J675Y" hidden="1">#REF!</definedName>
    <definedName name="BEx77YWZ2HI4YBSBYG1DKR1A1Y4C" hidden="1">#REF!</definedName>
    <definedName name="BEx7809GQOCLHSNH95VOYIX7P1TV" hidden="1">#REF!</definedName>
    <definedName name="BEx780K8XAXUHGVZGZWQ74DK4CI3" hidden="1">#REF!</definedName>
    <definedName name="BEx78226TN58UE0CTY98YEDU0LSL" hidden="1">#REF!</definedName>
    <definedName name="BEx782T31YM0FWA1CDLERQ1WKVGT" hidden="1">#REF!</definedName>
    <definedName name="BEx784WME69IXNSX2K0A6BT4VX14" localSheetId="8" hidden="1">#REF!</definedName>
    <definedName name="BEx784WME69IXNSX2K0A6BT4VX14" hidden="1">#REF!</definedName>
    <definedName name="BEx7881ZZBWHRAX6W2GY19J8MGEQ" hidden="1">#REF!</definedName>
    <definedName name="BEx788I3EEK5EXRZGDBKCNEH42WU" hidden="1">#REF!</definedName>
    <definedName name="BEx78A5IYYCMR88AXOWEFKVY8371" localSheetId="8" hidden="1">#REF!</definedName>
    <definedName name="BEx78A5IYYCMR88AXOWEFKVY8371" hidden="1">#REF!</definedName>
    <definedName name="BEx78A5JAWI6EMCWJ7AJWGAH8AMJ" localSheetId="8" hidden="1">#REF!</definedName>
    <definedName name="BEx78A5JAWI6EMCWJ7AJWGAH8AMJ" hidden="1">#REF!</definedName>
    <definedName name="BEx78GQV1TZVVNHPTQ871499Z817" hidden="1">#REF!</definedName>
    <definedName name="BEx78HHRIWDLHQX2LG0HWFRYEL1T" hidden="1">#REF!</definedName>
    <definedName name="BEx78KXYTAZQK93N67ASFA7BO6XC" hidden="1">#REF!</definedName>
    <definedName name="BEx78NSKC3OQCQ4WQAIZ6JURE7GW" localSheetId="8" hidden="1">#REF!</definedName>
    <definedName name="BEx78NSKC3OQCQ4WQAIZ6JURE7GW" hidden="1">#REF!</definedName>
    <definedName name="BEx78OOPYID4QYC9KQ8TPDG220E4" localSheetId="8" hidden="1">#REF!</definedName>
    <definedName name="BEx78OOPYID4QYC9KQ8TPDG220E4" hidden="1">#REF!</definedName>
    <definedName name="BEx78QMXZ2P1ZB3HJ9O50DWHCMXR" hidden="1">#REF!</definedName>
    <definedName name="BEx78SFO5VR28677DWZEMDN7G86X" hidden="1">#REF!</definedName>
    <definedName name="BEx78SFOYH1Z0ZDTO47W2M60TW6K" hidden="1">#REF!</definedName>
    <definedName name="BEx790DI4F3NHCWPBYW1GW3M35H6" localSheetId="8" hidden="1">#REF!</definedName>
    <definedName name="BEx790DI4F3NHCWPBYW1GW3M35H6" hidden="1">#REF!</definedName>
    <definedName name="BEx79HRD8NL9EMUOALME68ALFZYA" localSheetId="8" hidden="1">#REF!</definedName>
    <definedName name="BEx79HRD8NL9EMUOALME68ALFZYA" hidden="1">#REF!</definedName>
    <definedName name="BEx79JK3E6JO8MX4O35A5G8NZCC8" hidden="1">#REF!</definedName>
    <definedName name="BEx79NLSMSAM3Y6UM2ON9LIC1WUI" hidden="1">#REF!</definedName>
    <definedName name="BEx79OCP4HQ6XP8EWNGEUDLOZBBS" hidden="1">#REF!</definedName>
    <definedName name="BEx79SEAYKUZB0H4LYBCD6WWJBG2" hidden="1">#REF!</definedName>
    <definedName name="BEx79SJRHTLS9PYM69O9BWW1FMJK" hidden="1">#REF!</definedName>
    <definedName name="BEx79YJJLBELICW9F9FRYSCQ101L" hidden="1">#REF!</definedName>
    <definedName name="BEx79YOUHTDD16ZGGUBH3JDBW1VZ" localSheetId="8" hidden="1">#REF!</definedName>
    <definedName name="BEx79YOUHTDD16ZGGUBH3JDBW1VZ" hidden="1">#REF!</definedName>
    <definedName name="BEx79YUC7B0V77FSBGIRCY1BR4VK" hidden="1">#REF!</definedName>
    <definedName name="BEx7A06T3RC2891FUX05G3QPRAUE" hidden="1">#REF!</definedName>
    <definedName name="BEx7A3MZ1398G9RRD846RSQ3UUDB" hidden="1">#REF!</definedName>
    <definedName name="BEx7A8Q991ZYCLNJP19MY772Y5U4" hidden="1">#REF!</definedName>
    <definedName name="BEx7A9S3JA1X7FH4CFSQLTZC4691" hidden="1">#REF!</definedName>
    <definedName name="BEx7ABA2C9IWH5VSLVLLLCY62161" hidden="1">#REF!</definedName>
    <definedName name="BEx7AE4LPLX8N85BYB0WCO5S7ZPV" hidden="1">#REF!</definedName>
    <definedName name="BEx7AQV3PGI9EVX19Y61TNZWQD3Z" localSheetId="8" hidden="1">#REF!</definedName>
    <definedName name="BEx7AQV3PGI9EVX19Y61TNZWQD3Z" hidden="1">#REF!</definedName>
    <definedName name="BEx7AS28XGM4STFIRLXKT240GY2R" hidden="1">#REF!</definedName>
    <definedName name="BEx7AS7PXRUPWFAR86I0JRD67O9C" hidden="1">#REF!</definedName>
    <definedName name="BEx7ASD1I654MEDCO6GGWA95PXSC" hidden="1">#REF!</definedName>
    <definedName name="BEx7ASNUACIS4WSJYH0MW3Q759ZA" hidden="1">#REF!</definedName>
    <definedName name="BEx7ASYMO87QTI4OGS8RP4M3OLYE" localSheetId="8" hidden="1">#REF!</definedName>
    <definedName name="BEx7ASYMO87QTI4OGS8RP4M3OLYE" hidden="1">#REF!</definedName>
    <definedName name="BEx7AVCX9S5RJP3NSZ4QM4E6ERDT" hidden="1">#REF!</definedName>
    <definedName name="BEx7AVYIGP0930MV5JEBWRYCJN68" hidden="1">#REF!</definedName>
    <definedName name="BEx7B11YDBMRZG7EYCKJUO3H1Y6F" localSheetId="8" hidden="1">#REF!</definedName>
    <definedName name="BEx7B11YDBMRZG7EYCKJUO3H1Y6F" hidden="1">#REF!</definedName>
    <definedName name="BEx7B3LKPGMDIE1WTF5ZO95GA2PN" localSheetId="8" hidden="1">#REF!</definedName>
    <definedName name="BEx7B3LKPGMDIE1WTF5ZO95GA2PN" hidden="1">#REF!</definedName>
    <definedName name="BEx7B6LH6917TXOSAAQ6U7HVF018" hidden="1">#REF!</definedName>
    <definedName name="BEx7BD6UG8A4U4RJSY2FMOJOYQXT" hidden="1">#REF!</definedName>
    <definedName name="BEx7BIQJ5XHOJHZUAVG3KLP0T1HX" localSheetId="8" hidden="1">#REF!</definedName>
    <definedName name="BEx7BIQJ5XHOJHZUAVG3KLP0T1HX" hidden="1">#REF!</definedName>
    <definedName name="BEx7BN8EGRSGHE5MN32UIMJCPUUX" hidden="1">#REF!</definedName>
    <definedName name="BEx7BPXFZXJ79FQ0E8AQE21PGVHA" hidden="1">#REF!</definedName>
    <definedName name="BEx7BSBT8V0XZ1552HUA1ESRUUBP" hidden="1">#REF!</definedName>
    <definedName name="BEx7BYGXQ73VC6P9VG0NQ77T8WNN" hidden="1">#REF!</definedName>
    <definedName name="BEx7C04AM39DQMC1TIX7CFZ2ADHX" hidden="1">#REF!</definedName>
    <definedName name="BEx7C22D5O69L06SALDBZEU4X7HF" hidden="1">#REF!</definedName>
    <definedName name="BEx7C3V3MI9C3EQ3XUTF6N1GIRP6" hidden="1">#REF!</definedName>
    <definedName name="BEx7C40F0PQURHPI6YQ39NFIR86Z" hidden="1">#REF!</definedName>
    <definedName name="BEx7C93VR7SYRIJS1JO8YZKSFAW9" hidden="1">#REF!</definedName>
    <definedName name="BEx7CCPC6R1KQQZ2JQU6EFI1G0RM" hidden="1">#REF!</definedName>
    <definedName name="BEx7CGLLT6MOSA37RSO7J8MAZMWP" hidden="1">#REF!</definedName>
    <definedName name="BEx7CIJST9GLS2QD383UK7VUDTGL" hidden="1">#REF!</definedName>
    <definedName name="BEx7CO8T2XKC7GHDSYNAWTZ9L7YR" hidden="1">#REF!</definedName>
    <definedName name="BEx7CW1CF00DO8A36UNC2X7K65C2" hidden="1">#REF!</definedName>
    <definedName name="BEx7CW6NFRL2P4XWP0MWHIYA97KF" hidden="1">#REF!</definedName>
    <definedName name="BEx7CWC5LGZUVLOWL4D6A20UN6RU" hidden="1">#REF!</definedName>
    <definedName name="BEx7D5RWKRS4W71J4NZ6ZSFHPKFT" hidden="1">#REF!</definedName>
    <definedName name="BEx7D8H1TPOX1UN17QZYEV7Q58GA" hidden="1">#REF!</definedName>
    <definedName name="BEx7DD4D7DAI5BN4L7AHWYB979CQ" localSheetId="8" hidden="1">#REF!</definedName>
    <definedName name="BEx7DD4D7DAI5BN4L7AHWYB979CQ" hidden="1">#REF!</definedName>
    <definedName name="BEx7DEX2U4AEBIKJI0EMSDUODVCX" hidden="1">#REF!</definedName>
    <definedName name="BEx7DGF13H2074LRWFZQ45PZ6JPX" hidden="1">#REF!</definedName>
    <definedName name="BEx7DHBEATOIDA3Z3PE0HIFOXLR1" hidden="1">#REF!</definedName>
    <definedName name="BEx7DKWUXEDIISSX4GDD4YYT887F" hidden="1">#REF!</definedName>
    <definedName name="BEx7DMUYR2HC26WW7AOB1TULERMB" hidden="1">#REF!</definedName>
    <definedName name="BEx7DVJTRV44IMJIBFXELE67SZ7S" hidden="1">#REF!</definedName>
    <definedName name="BEx7DVUMFCI5INHMVFIJ44RTTSTT" hidden="1">#REF!</definedName>
    <definedName name="BEx7DXHVQ3XRVZ2H7QO8TYMIA4P9" localSheetId="8" hidden="1">#REF!</definedName>
    <definedName name="BEx7DXHVQ3XRVZ2H7QO8TYMIA4P9" hidden="1">#REF!</definedName>
    <definedName name="BEx7DY3MD5DOW1ZPA2LIUR031AV5" hidden="1">#REF!</definedName>
    <definedName name="BEx7E2QT2U8THYOKBPXONB1B47WH" hidden="1">#REF!</definedName>
    <definedName name="BEx7E5QP7W6UKO74F5Y0VJ741HS5" hidden="1">#REF!</definedName>
    <definedName name="BEx7E6N29HGH3I47AFB2DCS6MVS6" hidden="1">#REF!</definedName>
    <definedName name="BEx7E91DRGXUK4EWNWKL598CERSR" hidden="1">#REF!</definedName>
    <definedName name="BEx7EBA8IYHQKT7IQAOAML660SYA" hidden="1">#REF!</definedName>
    <definedName name="BEx7EI6C8MCRZFEQYUBE5FSUTIHK" hidden="1">#REF!</definedName>
    <definedName name="BEx7EI6DL1Z6UWLFBXAKVGZTKHWJ" hidden="1">#REF!</definedName>
    <definedName name="BEx7EJTSM6RKI49IEWI8YO6KHO2B" hidden="1">#REF!</definedName>
    <definedName name="BEx7EQKHX7GZYOLXRDU534TT4H64" hidden="1">#REF!</definedName>
    <definedName name="BEx7ETV6L1TM7JSXJIGK3FC6RVZW" hidden="1">#REF!</definedName>
    <definedName name="BEx7EWK9GUVV6FXWYIGH0TAI4V2O" localSheetId="8" hidden="1">#REF!</definedName>
    <definedName name="BEx7EWK9GUVV6FXWYIGH0TAI4V2O" hidden="1">#REF!</definedName>
    <definedName name="BEx7EYYLHMBYQTH6I377FCQS7CSX" hidden="1">#REF!</definedName>
    <definedName name="BEx7F1CXDWHPHRGKYN7KUF7CJ0BF" hidden="1">#REF!</definedName>
    <definedName name="BEx7F3GG2FI10JUMINUOIYICFVD9" localSheetId="8" hidden="1">#REF!</definedName>
    <definedName name="BEx7F3GG2FI10JUMINUOIYICFVD9" hidden="1">#REF!</definedName>
    <definedName name="BEx7F4NMGGTZWR8S7710RWGFG8W2" localSheetId="8" hidden="1">#REF!</definedName>
    <definedName name="BEx7F4NMGGTZWR8S7710RWGFG8W2" hidden="1">#REF!</definedName>
    <definedName name="BEx7FASVVSNZXD5E1I4VMPCU7KCN" localSheetId="8" hidden="1">#REF!</definedName>
    <definedName name="BEx7FASVVSNZXD5E1I4VMPCU7KCN" hidden="1">#REF!</definedName>
    <definedName name="BEx7FBJRLJUZKK1FVSCNP0F4GBYT" localSheetId="8" hidden="1">#REF!</definedName>
    <definedName name="BEx7FBJRLJUZKK1FVSCNP0F4GBYT" hidden="1">#REF!</definedName>
    <definedName name="BEx7FCLG1RYI2SNOU1Y2GQZNZSWA" hidden="1">#REF!</definedName>
    <definedName name="BEx7FD1Q97APBFW27MXA3LK4ZZ68" hidden="1">#REF!</definedName>
    <definedName name="BEx7FEJOQNYA7A6O7YB4SBB1KK73" localSheetId="8" hidden="1">#REF!</definedName>
    <definedName name="BEx7FEJOQNYA7A6O7YB4SBB1KK73" hidden="1">#REF!</definedName>
    <definedName name="BEx7FH8SGZFYKL2DDNOJ6651MVWS" hidden="1">#REF!</definedName>
    <definedName name="BEx7FIL87TXQSUJ03S7NBB9S4HA5" localSheetId="8" hidden="1">#REF!</definedName>
    <definedName name="BEx7FIL87TXQSUJ03S7NBB9S4HA5" hidden="1">#REF!</definedName>
    <definedName name="BEx7FN32ZGWOAA4TTH79KINTDWR9" hidden="1">#REF!</definedName>
    <definedName name="BEx7FTOFOYQLDCCOJY1H3JHICFOI" localSheetId="8" hidden="1">#REF!</definedName>
    <definedName name="BEx7FTOFOYQLDCCOJY1H3JHICFOI" hidden="1">#REF!</definedName>
    <definedName name="BEx7FVMORQ1N6SIECWJVJWT23E6Y" localSheetId="8" hidden="1">#REF!</definedName>
    <definedName name="BEx7FVMORQ1N6SIECWJVJWT23E6Y" hidden="1">#REF!</definedName>
    <definedName name="BEx7FYRWH6903K8IWXZ7V4VIAZIB" hidden="1">#REF!</definedName>
    <definedName name="BEx7FZ2NBD60FXGNYS120WYBTXA3" localSheetId="8" hidden="1">#REF!</definedName>
    <definedName name="BEx7FZ2NBD60FXGNYS120WYBTXA3" hidden="1">#REF!</definedName>
    <definedName name="BEx7G2820MVII2IBB6WEC4D6J6B5" hidden="1">#REF!</definedName>
    <definedName name="BEx7G5O14C28XZBXEIP3G1W79VSH" hidden="1">#REF!</definedName>
    <definedName name="BEx7G6KEP4LAQE2UFKFPLTG9499S" hidden="1">#REF!</definedName>
    <definedName name="BEx7G82CKM3NIY1PHNFK28M09PCH" hidden="1">#REF!</definedName>
    <definedName name="BEx7GCK7NK6BQ4Y0RT1JGB73I6IG" hidden="1">#REF!</definedName>
    <definedName name="BEx7GH21K9DJ89SKZ9WHBZD9Z7YB" hidden="1">#REF!</definedName>
    <definedName name="BEx7GJ5LBMF321W6H3BUXL9Z2BZA" hidden="1">#REF!</definedName>
    <definedName name="BEx7GM5GU255ZPZ785HUTKGK55P9" hidden="1">#REF!</definedName>
    <definedName name="BEx7GMG8RQ2YB3WVSLKZZZKKRMV0" localSheetId="8" hidden="1">#REF!</definedName>
    <definedName name="BEx7GMG8RQ2YB3WVSLKZZZKKRMV0" hidden="1">#REF!</definedName>
    <definedName name="BEx7GQCIM1W1OR8EP7JKRMYGFHW2" localSheetId="8" hidden="1">#REF!</definedName>
    <definedName name="BEx7GQCIM1W1OR8EP7JKRMYGFHW2" hidden="1">#REF!</definedName>
    <definedName name="BEx7GR3ENYWRXXS5IT0UMEGOLGUH" hidden="1">#REF!</definedName>
    <definedName name="BEx7GSAL6P7TASL8MB63RFST1LJL" hidden="1">#REF!</definedName>
    <definedName name="BEx7GSLEAEDT83F2LWWOC5ZLL5JW" localSheetId="8" hidden="1">#REF!</definedName>
    <definedName name="BEx7GSLEAEDT83F2LWWOC5ZLL5JW" hidden="1">#REF!</definedName>
    <definedName name="BEx7H0JD6I5I8WQLLWOYWY5YWPQE" hidden="1">#REF!</definedName>
    <definedName name="BEx7H14XCXH7WEXEY1HVO53A6AGH" hidden="1">#REF!</definedName>
    <definedName name="BEx7H6ZA84EDCYX9HQKE2VH03R77" localSheetId="8" hidden="1">#REF!</definedName>
    <definedName name="BEx7H6ZA84EDCYX9HQKE2VH03R77" hidden="1">#REF!</definedName>
    <definedName name="BEx7H7A3IND3XX895B1NI519TC8J" localSheetId="8" hidden="1">#REF!</definedName>
    <definedName name="BEx7H7A3IND3XX895B1NI519TC8J" hidden="1">#REF!</definedName>
    <definedName name="BEx7HFTIA8AC8BR8HKIN81VE1SGW" hidden="1">#REF!</definedName>
    <definedName name="BEx7HGVBEF4LEIF6RC14N3PSU461" hidden="1">#REF!</definedName>
    <definedName name="BEx7HHRP6OIBN749NAR4JO512P36" localSheetId="8" hidden="1">#REF!</definedName>
    <definedName name="BEx7HHRP6OIBN749NAR4JO512P36" hidden="1">#REF!</definedName>
    <definedName name="BEx7HQ5T9FZ42QWS09UO4DT42Y0R" hidden="1">#REF!</definedName>
    <definedName name="BEx7HRCZE3CVGON1HV07MT5MNDZ3" hidden="1">#REF!</definedName>
    <definedName name="BEx7HU7E26W54FIVUGDI18329XJS" hidden="1">#REF!</definedName>
    <definedName name="BEx7HUYGD98HBBHVKMZQUEIEK2KT" localSheetId="8" hidden="1">#REF!</definedName>
    <definedName name="BEx7HUYGD98HBBHVKMZQUEIEK2KT" hidden="1">#REF!</definedName>
    <definedName name="BEx7HWGE2CANG5M17X4C8YNC3N8F" hidden="1">#REF!</definedName>
    <definedName name="BEx7I6CGCBQAOFHPIBN5B1DJP5OJ" hidden="1">#REF!</definedName>
    <definedName name="BEx7I7OY57MGBDS0WE4OMPJ82FSI" hidden="1">#REF!</definedName>
    <definedName name="BEx7I8FZ96C5JAHXS18ZV0912LZP" localSheetId="8" hidden="1">#REF!</definedName>
    <definedName name="BEx7I8FZ96C5JAHXS18ZV0912LZP" hidden="1">#REF!</definedName>
    <definedName name="BEx7I9CD6ZFRLQF39W4CAVDTWAZ1" hidden="1">#REF!</definedName>
    <definedName name="BEx7IBVYN47SFZIA0K4MDKQZNN9V" hidden="1">#REF!</definedName>
    <definedName name="BEx7IJTYZHWYWQ1TQVKRC67VVT77" localSheetId="8" hidden="1">#REF!</definedName>
    <definedName name="BEx7IJTYZHWYWQ1TQVKRC67VVT77" hidden="1">#REF!</definedName>
    <definedName name="BEx7IK4SPDXA8OMQMEZGCBXT2PXB" hidden="1">#REF!</definedName>
    <definedName name="BEx7IV2IJ5WT7UC0UG7WP0WF2JZI" hidden="1">#REF!</definedName>
    <definedName name="BEx7IV2J553LYUOYH60KTSYKHRBR" hidden="1">#REF!</definedName>
    <definedName name="BEx7IWV99LM4FB1AXIXRNLT7DZJM" localSheetId="8" hidden="1">#REF!</definedName>
    <definedName name="BEx7IWV99LM4FB1AXIXRNLT7DZJM" hidden="1">#REF!</definedName>
    <definedName name="BEx7IXGU74GE5E4S6W4Z13AR092Y" hidden="1">#REF!</definedName>
    <definedName name="BEx7J4YKLOHQ0R22SDEJK30FISN5" hidden="1">#REF!</definedName>
    <definedName name="BEx7J4YL8Q3BI1MLH16YYQ18IJRD" hidden="1">#REF!</definedName>
    <definedName name="BEx7J6B6MBBWTENAKY5B0N23VGGR" hidden="1">#REF!</definedName>
    <definedName name="BEx7J6GHGW67PQ6XILMPMICAG0I7" hidden="1">#REF!</definedName>
    <definedName name="BEx7J8PCZ1WLQC2K0RFJLI4QVWJF" hidden="1">#REF!</definedName>
    <definedName name="BEx7J9B4EOP8JPRQCUQJTYF4X0D6" localSheetId="8" hidden="1">#REF!</definedName>
    <definedName name="BEx7J9B4EOP8JPRQCUQJTYF4X0D6" hidden="1">#REF!</definedName>
    <definedName name="BEx7JFWHO0X6P0YKR4YIUK1JGDTO" hidden="1">#REF!</definedName>
    <definedName name="BEx7JH3HGBPI07OHZ5LFYK0UFZQR" hidden="1">#REF!</definedName>
    <definedName name="BEx7JHUIAH3S0ULWXVEPE06V4FYU" hidden="1">#REF!</definedName>
    <definedName name="BEx7JTJCJHN6VB35474WU9CMVHJ6" hidden="1">#REF!</definedName>
    <definedName name="BEx7JV194190CNM6WWGQ3UBJ3CHH" hidden="1">#REF!</definedName>
    <definedName name="BEx7JW2XXPAYOGWTYCEBM24G3V29" hidden="1">#REF!</definedName>
    <definedName name="BEx7JWJ879FNVW8POO4KPVXF35CH" hidden="1">#REF!</definedName>
    <definedName name="BEx7JYH9WR9Z9J5H6Z6SP59OG9ND" hidden="1">#REF!</definedName>
    <definedName name="BEx7JZZ7ZHYFQ4TCWBQB78OSYSI0" hidden="1">#REF!</definedName>
    <definedName name="BEx7K0VKKVEG308DIZ0Z8WOR0WNY" hidden="1">#REF!</definedName>
    <definedName name="BEx7K0VL25LF11UTEBHWBIQ4JLM9" localSheetId="8" hidden="1">#REF!</definedName>
    <definedName name="BEx7K0VL25LF11UTEBHWBIQ4JLM9" hidden="1">#REF!</definedName>
    <definedName name="BEx7K3VGTC8UK9ZNARNPL58BVGHY" hidden="1">#REF!</definedName>
    <definedName name="BEx7K7GZ607XQOGB81A1HINBTGOZ" hidden="1">#REF!</definedName>
    <definedName name="BEx7KEYPBDXSNROH8M6CDCBN6B50" hidden="1">#REF!</definedName>
    <definedName name="BEx7KMWKGDVBWH6KBTU3NHSE3FUE" hidden="1">#REF!</definedName>
    <definedName name="BEx7KSAS8BZT6H8OQCZ5DNSTMO07" hidden="1">#REF!</definedName>
    <definedName name="BEx7KTI30Y39PNWRZJWVF07E5KFU" hidden="1">#REF!</definedName>
    <definedName name="BEx7KWHTBD21COXVI4HNEQH0Z3L8" hidden="1">#REF!</definedName>
    <definedName name="BEx7KXUGRMRSUXCM97Z7VRZQ9JH2" hidden="1">#REF!</definedName>
    <definedName name="BEx7L21IQVP1N1TTQLRMANSSLSLE" hidden="1">#REF!</definedName>
    <definedName name="BEx7L3DZH58ZUVXJY3QMJYM4KE2N" localSheetId="8" hidden="1">#REF!</definedName>
    <definedName name="BEx7L3DZH58ZUVXJY3QMJYM4KE2N" hidden="1">#REF!</definedName>
    <definedName name="BEx7L5C6U8MP6IZ67BD649WQYJEK" hidden="1">#REF!</definedName>
    <definedName name="BEx7L8HEYEVTATR0OG5JJO647KNI" hidden="1">#REF!</definedName>
    <definedName name="BEx7L8XOV64OMS15ZFURFEUXLMWF" hidden="1">#REF!</definedName>
    <definedName name="BEx7LB16OREOAUIVM50ERQ8J3L19" hidden="1">#REF!</definedName>
    <definedName name="BEx7LCDO8WBYNLTNO9PF1CQ1109W" hidden="1">#REF!</definedName>
    <definedName name="BEx7LJVFQACL9F4DRS9YZQ9R2N30" localSheetId="8" hidden="1">#REF!</definedName>
    <definedName name="BEx7LJVFQACL9F4DRS9YZQ9R2N30" hidden="1">#REF!</definedName>
    <definedName name="BEx7LQM9AC22XRNVZ0E4MR01CWHR" hidden="1">#REF!</definedName>
    <definedName name="BEx7LTWYJXX9LTVQDW51X4WMSBSU" hidden="1">#REF!</definedName>
    <definedName name="BEx7M2GCEVKGFD3IPUEJ0D40Q5XY" hidden="1">#REF!</definedName>
    <definedName name="BEx7MAP5XIM7ROHVINRN01T6ZXUG" hidden="1">#REF!</definedName>
    <definedName name="BEx7MAUI1JJFDIJGDW4RWY5384LY" hidden="1">#REF!</definedName>
    <definedName name="BEx7MFCBEM2D4S4A87QS0DYRG1X5" hidden="1">#REF!</definedName>
    <definedName name="BEx7MJ8LQFQFFITBJNWMU6HE20EA" hidden="1">#REF!</definedName>
    <definedName name="BEx7MJZO3UKAMJ53UWOJ5ZD4GGMQ" hidden="1">#REF!</definedName>
    <definedName name="BEx7ML1C3UWY5OW00PWS7BEBEZZ6" hidden="1">#REF!</definedName>
    <definedName name="BEx7MT4MFNXIVQGAT6D971GZW7CA" hidden="1">#REF!</definedName>
    <definedName name="BEx7N0X62TSJQW7G6DOMT0LW8O9V" hidden="1">#REF!</definedName>
    <definedName name="BEx7NI062THZAM6I8AJWTFJL91CS" hidden="1">#REF!</definedName>
    <definedName name="BEx7NJ7C2K5YQ4P9GE3FJN56I1A3" hidden="1">#REF!</definedName>
    <definedName name="BEx8ZY6UFM571XUE82FQZRNOKP90" localSheetId="8" hidden="1">#REF!</definedName>
    <definedName name="BEx8ZY6UFM571XUE82FQZRNOKP90" hidden="1">#REF!</definedName>
    <definedName name="BEx904S75BPRYMHF0083JF7ES4NG" hidden="1">#REF!</definedName>
    <definedName name="BEx90CVJHW2G83ZSI8F4ZSPTFSPI" localSheetId="8" hidden="1">#REF!</definedName>
    <definedName name="BEx90CVJHW2G83ZSI8F4ZSPTFSPI" hidden="1">#REF!</definedName>
    <definedName name="BEx90H2L4JSL2WOSXEIZ9XQ67E1O" hidden="1">#REF!</definedName>
    <definedName name="BEx90HDD4RWF7JZGA8GCGG7D63MG" hidden="1">#REF!</definedName>
    <definedName name="BEx90L9MND94U5B3HVPPFAAZV719" hidden="1">#REF!</definedName>
    <definedName name="BEx90VGH5H09ON2QXYC9WIIEU98T" hidden="1">#REF!</definedName>
    <definedName name="BEx9175B70QXYAU5A8DJPGZQ46L9" hidden="1">#REF!</definedName>
    <definedName name="BEx91AQQRTV87AO27VWHSFZAD4ZR" hidden="1">#REF!</definedName>
    <definedName name="BEx91CJH9AYU2T333RXP1QD1BH5R" hidden="1">#REF!</definedName>
    <definedName name="BEx91IOMJVDR7B9T4Y6TOBBNM71X" hidden="1">#REF!</definedName>
    <definedName name="BEx91L8FLL5CWLA2CDHKCOMGVDZN" hidden="1">#REF!</definedName>
    <definedName name="BEx91OTVH9ZDBC3QTORU8RZX4EOC" hidden="1">#REF!</definedName>
    <definedName name="BEx91Q10IGBGZCWBL5BLTOKT7B0D" hidden="1">#REF!</definedName>
    <definedName name="BEx91QH5JRZKQP1GPN2SQMR3CKAG" hidden="1">#REF!</definedName>
    <definedName name="BEx91ROALDNHO7FI4X8L61RH4UJE" hidden="1">#REF!</definedName>
    <definedName name="BEx91TMID71GVYH0U16QM1RV3PX0" hidden="1">#REF!</definedName>
    <definedName name="BEx91VF2D78PAF337E3L2L81K9W2" hidden="1">#REF!</definedName>
    <definedName name="BEx91YKG5M0ZZDVWNGF80SPL8GUP" localSheetId="8" hidden="1">#REF!</definedName>
    <definedName name="BEx91YKG5M0ZZDVWNGF80SPL8GUP" hidden="1">#REF!</definedName>
    <definedName name="BEx921PNZ46VORG2VRMWREWIC0SE" hidden="1">#REF!</definedName>
    <definedName name="BEx925B4DDCVN9NZKIWXV3BXZHLC" localSheetId="8" hidden="1">#REF!</definedName>
    <definedName name="BEx925B4DDCVN9NZKIWXV3BXZHLC" hidden="1">#REF!</definedName>
    <definedName name="BEx929231DUEXKT4ZJZRUY4H8LM8" hidden="1">#REF!</definedName>
    <definedName name="BEx92A3RVH8K71FS4MRGQ7KSKKIK" hidden="1">#REF!</definedName>
    <definedName name="BEx92DJXEXVC627QL1HYSV2VSHSS" localSheetId="8" hidden="1">#REF!</definedName>
    <definedName name="BEx92DJXEXVC627QL1HYSV2VSHSS" hidden="1">#REF!</definedName>
    <definedName name="BEx92DPEKL5WM5A3CN8674JI0PR3" hidden="1">#REF!</definedName>
    <definedName name="BEx92ER2RMY93TZK0D9L9T3H0GI5" hidden="1">#REF!</definedName>
    <definedName name="BEx92FI04PJT4LI23KKIHRXWJDTT" hidden="1">#REF!</definedName>
    <definedName name="BEx92G92H1ZBUFY2UC9RMLVABAP9" hidden="1">#REF!</definedName>
    <definedName name="BEx92HR14HQ9D5JXCSPA4SS4RT62" hidden="1">#REF!</definedName>
    <definedName name="BEx92HWA2D6A5EX9MFG68G0NOMSN" hidden="1">#REF!</definedName>
    <definedName name="BEx92PUBDIXAU1FW5ZAXECMAU0LN" hidden="1">#REF!</definedName>
    <definedName name="BEx92S8MHFFIVRQ2YSHZNQGOFUHD" hidden="1">#REF!</definedName>
    <definedName name="BEx935VHGQGAJAXJKSPCC6GC2KIE" localSheetId="8" hidden="1">#REF!</definedName>
    <definedName name="BEx935VHGQGAJAXJKSPCC6GC2KIE" hidden="1">#REF!</definedName>
    <definedName name="BEx93B9OULL2YGC896XXYAAJSTRK" hidden="1">#REF!</definedName>
    <definedName name="BEx93E9KYSUMIMHSVZGTA8PFU9W8" localSheetId="8" hidden="1">#REF!</definedName>
    <definedName name="BEx93E9KYSUMIMHSVZGTA8PFU9W8" hidden="1">#REF!</definedName>
    <definedName name="BEx93EF2OPUY92WSYH0W2RMHNX2M" localSheetId="8" hidden="1">#REF!</definedName>
    <definedName name="BEx93EF2OPUY92WSYH0W2RMHNX2M" hidden="1">#REF!</definedName>
    <definedName name="BEx93FRKF99NRT3LH99UTIH7AAYF" hidden="1">#REF!</definedName>
    <definedName name="BEx93KUZ0IO0BQUUWY9MEMBRIED4" hidden="1">#REF!</definedName>
    <definedName name="BEx93M7FSHP50OG34A4W8W8DF12U" hidden="1">#REF!</definedName>
    <definedName name="BEx93OLWY2O3PRA74U41VG5RXT4Q" hidden="1">#REF!</definedName>
    <definedName name="BEx93RWFAF6YJGYUTITVM445C02U" hidden="1">#REF!</definedName>
    <definedName name="BEx93SY9RWG3HUV4YXQKXJH9FH14" hidden="1">#REF!</definedName>
    <definedName name="BEx93TJUX3U0FJDBG6DDSNQ91R5J" hidden="1">#REF!</definedName>
    <definedName name="BEx93WEA051NWMGGFH0U4UHSLY82" hidden="1">#REF!</definedName>
    <definedName name="BEx942UCRHMI4B0US31HO95GSC2X" hidden="1">#REF!</definedName>
    <definedName name="BEx944XVOZAXUZNA9N4HI0AXOD03" hidden="1">#REF!</definedName>
    <definedName name="BEx948ZFFQWVIDNG4AZAUGGGEB5U" hidden="1">#REF!</definedName>
    <definedName name="BEx94BJ9STXMCF9HJ9ND0M6T4Z7R" hidden="1">#REF!</definedName>
    <definedName name="BEx94CKXG92OMURH41SNU6IOHK4J" hidden="1">#REF!</definedName>
    <definedName name="BEx94E8CBMGM9YP8Z0W8OWHAAZH1" localSheetId="8" hidden="1">#REF!</definedName>
    <definedName name="BEx94E8CBMGM9YP8Z0W8OWHAAZH1" hidden="1">#REF!</definedName>
    <definedName name="BEx94GXG30CIVB6ZQN3X3IK6BZXQ" hidden="1">#REF!</definedName>
    <definedName name="BEx94HZ5LURYM9ST744ALV6ZCKYP" hidden="1">#REF!</definedName>
    <definedName name="BEx94IQ75E90YUMWJ9N591LR7DQQ" hidden="1">#REF!</definedName>
    <definedName name="BEx94L9TBK45AUQSX1IUZ86U1GPQ" localSheetId="8" hidden="1">#REF!</definedName>
    <definedName name="BEx94L9TBK45AUQSX1IUZ86U1GPQ" hidden="1">#REF!</definedName>
    <definedName name="BEx94N7W5T3U7UOE97D6OVIBUCXS" hidden="1">#REF!</definedName>
    <definedName name="BEx94OKIX43L4YWYWTVI8IB10A7Y" hidden="1">#REF!</definedName>
    <definedName name="BEx94WIDUUWAW0YT3JXU83LEZWEA" hidden="1">#REF!</definedName>
    <definedName name="BEx953PB6S6ECMD8N0JSW0CBG0DA" localSheetId="8" hidden="1">#REF!</definedName>
    <definedName name="BEx953PB6S6ECMD8N0JSW0CBG0DA" hidden="1">#REF!</definedName>
    <definedName name="BEx955NIAWX5OLAHMTV6QFUZPR30" hidden="1">#REF!</definedName>
    <definedName name="BEx955NIC706L7X0YKP9U4C7A26B" hidden="1">#REF!</definedName>
    <definedName name="BEx9581TYVI2M5TT4ISDAJV4W7Z6" hidden="1">#REF!</definedName>
    <definedName name="BEx95DQV39PL6CRG96FQXLCH034A" hidden="1">#REF!</definedName>
    <definedName name="BEx95NHF4RVUE0YDOAFZEIVBYJXD" hidden="1">#REF!</definedName>
    <definedName name="BEx95NS6BCACI9GK010WKSR1VD0S" hidden="1">#REF!</definedName>
    <definedName name="BEx95QBZMG0E2KQ9BERJ861QLYN3" hidden="1">#REF!</definedName>
    <definedName name="BEx95QHBVDN795UNQJLRXG3RDU49" hidden="1">#REF!</definedName>
    <definedName name="BEx95RJ5K9KENDOSUJCYGK6XCUY8" hidden="1">#REF!</definedName>
    <definedName name="BEx95TBVUWV7L7OMFMZDQEXGVHU6" hidden="1">#REF!</definedName>
    <definedName name="BEx95U89DZZSVO39TGS62CX8G9N4" hidden="1">#REF!</definedName>
    <definedName name="BEx95YQ4W3EVBNJXTW4RONX0WWFX" hidden="1">#REF!</definedName>
    <definedName name="BEx95ZBPVBQBIU0LCXSH93UZK4VU" hidden="1">#REF!</definedName>
    <definedName name="BEx9602K2GHNBUEUVT9ONRQU1GMD" hidden="1">#REF!</definedName>
    <definedName name="BEx962BL3Y4LA53EBYI64ZYMZE8U" hidden="1">#REF!</definedName>
    <definedName name="BEx966TA286M31SR70Q0TS1BHH79" hidden="1">#REF!</definedName>
    <definedName name="BEx96F21DX50X91RJ1JE24EVNKWS" hidden="1">#REF!</definedName>
    <definedName name="BEx96KR21O7H9R29TN0S45Y3QPUK" hidden="1">#REF!</definedName>
    <definedName name="BEx96SUFKHHFE8XQ6UUO6ILDOXHO" hidden="1">#REF!</definedName>
    <definedName name="BEx96UN4YWXBDEZ1U1ZUIPP41Z7I" hidden="1">#REF!</definedName>
    <definedName name="BEx9706NFOGJWDFFOFDUAFC8NNTP" localSheetId="8" hidden="1">#REF!</definedName>
    <definedName name="BEx9706NFOGJWDFFOFDUAFC8NNTP" hidden="1">#REF!</definedName>
    <definedName name="BEx970MYCPJ6DQ44TKLOIGZO5LHH" hidden="1">#REF!</definedName>
    <definedName name="BEx971J9M2PR7D8I2U6P9JJVTCPR" hidden="1">#REF!</definedName>
    <definedName name="BEx9742W21XLIX1098VCKWELGM2H" hidden="1">#REF!</definedName>
    <definedName name="BEx978KSD61YJH3S9DGO050R2EHA" hidden="1">#REF!</definedName>
    <definedName name="BEx97BKO9WGLWHFCVNDDTX7ZPK2L" localSheetId="8" hidden="1">#REF!</definedName>
    <definedName name="BEx97BKO9WGLWHFCVNDDTX7ZPK2L" hidden="1">#REF!</definedName>
    <definedName name="BEx97G2J1JEFW4JGUPMY2WXVKVSU" hidden="1">#REF!</definedName>
    <definedName name="BEx97H9O1NAKAPK4MX4PKO34ICL5" hidden="1">#REF!</definedName>
    <definedName name="BEx97HVA5F2I0D6ID81KCUDEQOIH" hidden="1">#REF!</definedName>
    <definedName name="BEx97MNUZQ1Z0AO2FL7XQYVNCPR7" hidden="1">#REF!</definedName>
    <definedName name="BEx97NPQBACJVD9K1YXI08RTW9E2" hidden="1">#REF!</definedName>
    <definedName name="BEx97OWRDW08HUST92V8C3FPRD4A" hidden="1">#REF!</definedName>
    <definedName name="BEx97RWQLXS0OORDCN69IGA58CWU" hidden="1">#REF!</definedName>
    <definedName name="BEx97VNKN1YQQV8Y338FWD6USRIN" hidden="1">#REF!</definedName>
    <definedName name="BEx97YNGGDFIXHTMGFL2IHAQX9MI" hidden="1">#REF!</definedName>
    <definedName name="BEx981HW73BUZWT14TBTZHC0ZTJ4" hidden="1">#REF!</definedName>
    <definedName name="BEx981Y4Y8Q1NLYZRUIPHJPZQ1GT" hidden="1">#REF!</definedName>
    <definedName name="BEx9871KU0N99P0900EAK69VFYT2" hidden="1">#REF!</definedName>
    <definedName name="BEx98I4RX2IDB7XCPG029ZMYO00Z" hidden="1">#REF!</definedName>
    <definedName name="BEx98IFKNJFGZFLID1YTRFEG1SXY" hidden="1">#REF!</definedName>
    <definedName name="BEx98S66F4TYZR8P5MBGJEI9BHYU" hidden="1">#REF!</definedName>
    <definedName name="BEx98TDCCBBMQK8BVJGIR7NV98VI" hidden="1">#REF!</definedName>
    <definedName name="BEx98XV75G3GJNRQCYY7RLW87LFI" localSheetId="8" hidden="1">#REF!</definedName>
    <definedName name="BEx98XV75G3GJNRQCYY7RLW87LFI" hidden="1">#REF!</definedName>
    <definedName name="BEx9903ZVBMIJQF7KICXB5A0VNFT" localSheetId="8" hidden="1">#REF!</definedName>
    <definedName name="BEx9903ZVBMIJQF7KICXB5A0VNFT" hidden="1">#REF!</definedName>
    <definedName name="BEx9915UFD01X89EKHJQU03BX8GA" hidden="1">#REF!</definedName>
    <definedName name="BEx9915UVD4G7RA3IMLFZ0LG3UA2" hidden="1">#REF!</definedName>
    <definedName name="BEx992278EZS84MXTC6XBC8QPBGT" hidden="1">#REF!</definedName>
    <definedName name="BEx992CZON8AO7U7V88VN1JBO0MG" hidden="1">#REF!</definedName>
    <definedName name="BEx9952469XMFGSPXL7CMXHPJF90" hidden="1">#REF!</definedName>
    <definedName name="BEx9975MRTEP7C63DIJP604XFPPA" hidden="1">#REF!</definedName>
    <definedName name="BEx998CSF6LK2QF5E5YCVHTLN1GM" hidden="1">#REF!</definedName>
    <definedName name="BEx99995OO0X4HC0IQDAISYRWAJG" localSheetId="8" hidden="1">#REF!</definedName>
    <definedName name="BEx99995OO0X4HC0IQDAISYRWAJG" hidden="1">#REF!</definedName>
    <definedName name="BEx99B77I7TUSHRR4HIZ9FU2EIUT" hidden="1">#REF!</definedName>
    <definedName name="BEx99FP357Y0FJZ1SM6VC50O6GD1" hidden="1">#REF!</definedName>
    <definedName name="BEx99GQX02YPH3M2MJAVOHBWYSH3" hidden="1">#REF!</definedName>
    <definedName name="BEx99KXZCRU3QYIK2PP8OHBAX5JP" hidden="1">#REF!</definedName>
    <definedName name="BEx99Q6PH5F3OQKCCAAO75PYDEFN" hidden="1">#REF!</definedName>
    <definedName name="BEx99VQEHAZUB9MMP7KCSM51KS5X" hidden="1">#REF!</definedName>
    <definedName name="BEx99WBYT2D6UUC1PT7A40ENYID4" hidden="1">#REF!</definedName>
    <definedName name="BEx99XOGHOM28CNCYKQWYGL56W2S" localSheetId="8" hidden="1">#REF!</definedName>
    <definedName name="BEx99XOGHOM28CNCYKQWYGL56W2S" hidden="1">#REF!</definedName>
    <definedName name="BEx99YFJ8JDPEEEQRABGIA0M020Y" localSheetId="8" hidden="1">#REF!</definedName>
    <definedName name="BEx99YFJ8JDPEEEQRABGIA0M020Y" hidden="1">#REF!</definedName>
    <definedName name="BEx99ZRZ4I7FHDPGRAT5VW7NVBPU" hidden="1">#REF!</definedName>
    <definedName name="BEx9A7VB5Z51WZ6V81VLP38HAVRE" hidden="1">#REF!</definedName>
    <definedName name="BEx9ADPRQZSMQBC5ZVK9Y67PRZBV" localSheetId="8" hidden="1">#REF!</definedName>
    <definedName name="BEx9ADPRQZSMQBC5ZVK9Y67PRZBV" hidden="1">#REF!</definedName>
    <definedName name="BEx9AHB9P5G8E948O3JH21C6MG0S" localSheetId="8" hidden="1">#REF!</definedName>
    <definedName name="BEx9AHB9P5G8E948O3JH21C6MG0S" hidden="1">#REF!</definedName>
    <definedName name="BEx9AKWPNM58M88D1ZL7PKKW6ES3" localSheetId="8" hidden="1">#REF!</definedName>
    <definedName name="BEx9AKWPNM58M88D1ZL7PKKW6ES3" hidden="1">#REF!</definedName>
    <definedName name="BEx9ARY7F2Q2JQT63RW0CEZQ1WDB" localSheetId="8" hidden="1">#REF!</definedName>
    <definedName name="BEx9ARY7F2Q2JQT63RW0CEZQ1WDB" hidden="1">#REF!</definedName>
    <definedName name="BEx9AT5E3ZSHKSOL35O38L8HF9TH" hidden="1">#REF!</definedName>
    <definedName name="BEx9AV8W1FAWF5BHATYEN47X12JN" hidden="1">#REF!</definedName>
    <definedName name="BEx9B7ZCAJLQLJ28PTR00WBY27J6" localSheetId="8" hidden="1">#REF!</definedName>
    <definedName name="BEx9B7ZCAJLQLJ28PTR00WBY27J6" hidden="1">#REF!</definedName>
    <definedName name="BEx9B8A5186FNTQQNLIO5LK02ABI" hidden="1">#REF!</definedName>
    <definedName name="BEx9B8VR20E2CILU4CDQUQQ9ONXK" hidden="1">#REF!</definedName>
    <definedName name="BEx9B917EUP13X6FQ3NPQL76XM5V" hidden="1">#REF!</definedName>
    <definedName name="BEx9BAJ5WYEQ623HUT9NNCMP3RUG" hidden="1">#REF!</definedName>
    <definedName name="BEx9BAOGUISRQKRB42IUZNSUS3RS" localSheetId="8" hidden="1">#REF!</definedName>
    <definedName name="BEx9BAOGUISRQKRB42IUZNSUS3RS" hidden="1">#REF!</definedName>
    <definedName name="BEx9BCBV86NAOTMCAYGOG2K426CC" localSheetId="8" hidden="1">#REF!</definedName>
    <definedName name="BEx9BCBV86NAOTMCAYGOG2K426CC" hidden="1">#REF!</definedName>
    <definedName name="BEx9BQKBEM4BCGSH4E0OC1JEMF5Z" hidden="1">#REF!</definedName>
    <definedName name="BEx9BQV4OXFB7XUCPM8WQSIZZEQ7" hidden="1">#REF!</definedName>
    <definedName name="BEx9BYSYW7QCPXS2NAVLFAU5Y2Z2" hidden="1">#REF!</definedName>
    <definedName name="BEx9C17AHM4NMY8G3WK6YQ0T0WDU" localSheetId="8" hidden="1">#REF!</definedName>
    <definedName name="BEx9C17AHM4NMY8G3WK6YQ0T0WDU" hidden="1">#REF!</definedName>
    <definedName name="BEx9C2UP959UPNBSDPZE7OBIBRX3" hidden="1">#REF!</definedName>
    <definedName name="BEx9C590HJ2O31IWJB73C1HR74AI" hidden="1">#REF!</definedName>
    <definedName name="BEx9CCQRMYYOGIOYTOM73VKDIPS1" hidden="1">#REF!</definedName>
    <definedName name="BEx9CJHG02ADUIJ0WCG5FYLWETIN" localSheetId="8" hidden="1">#REF!</definedName>
    <definedName name="BEx9CJHG02ADUIJ0WCG5FYLWETIN" hidden="1">#REF!</definedName>
    <definedName name="BEx9CMMSQA4LXHX5RGGTAJ9WVHTY" localSheetId="8" hidden="1">#REF!</definedName>
    <definedName name="BEx9CMMSQA4LXHX5RGGTAJ9WVHTY" hidden="1">#REF!</definedName>
    <definedName name="BEx9CNZAU1QZ1LDW630YPRIH3ZND" hidden="1">#REF!</definedName>
    <definedName name="BEx9CSBSCHAVHJOYOGVC2C8S8G88" hidden="1">#REF!</definedName>
    <definedName name="BEx9CTDJ6OYUCCHJVREB4QE71EVB" localSheetId="8" hidden="1">#REF!</definedName>
    <definedName name="BEx9CTDJ6OYUCCHJVREB4QE71EVB" hidden="1">#REF!</definedName>
    <definedName name="BEx9D0KFKH89VW7HGKKZF4V85RV3" hidden="1">#REF!</definedName>
    <definedName name="BEx9D1BC9FT19KY0INAABNDBAMR1" hidden="1">#REF!</definedName>
    <definedName name="BEx9D2IOYJMUTOCBX0JQGG49M5W0" hidden="1">#REF!</definedName>
    <definedName name="BEx9DBSZJPYIDY2Q1IP4VT2EODLC" hidden="1">#REF!</definedName>
    <definedName name="BEx9DGLRBAA81DUUOT35XR05XLKG" localSheetId="8" hidden="1">#REF!</definedName>
    <definedName name="BEx9DGLRBAA81DUUOT35XR05XLKG" hidden="1">#REF!</definedName>
    <definedName name="BEx9DIZXF9X0GE90ROFYKV6K3PM9" localSheetId="8" hidden="1">#REF!</definedName>
    <definedName name="BEx9DIZXF9X0GE90ROFYKV6K3PM9" hidden="1">#REF!</definedName>
    <definedName name="BEx9DN6ZMF18Q39MPMXSDJTZQNJ3" hidden="1">#REF!</definedName>
    <definedName name="BEx9DQ6WGFPMOUVH61F4Z0VWK1FL" hidden="1">#REF!</definedName>
    <definedName name="BEx9DUU8DALPSCW66GTMQRPXZ6GL" localSheetId="8" hidden="1">#REF!</definedName>
    <definedName name="BEx9DUU8DALPSCW66GTMQRPXZ6GL" hidden="1">#REF!</definedName>
    <definedName name="BEx9E08EK253W8SNA7NOGR32IG6U" localSheetId="8" hidden="1">#REF!</definedName>
    <definedName name="BEx9E08EK253W8SNA7NOGR32IG6U" hidden="1">#REF!</definedName>
    <definedName name="BEx9E14TDNSEMI784W0OTIEQMWN6" hidden="1">#REF!</definedName>
    <definedName name="BEx9E2BZ2B1R41FMGJCJ7JLGLUAJ" hidden="1">#REF!</definedName>
    <definedName name="BEx9E2S1LDHWNY3YCSQ6AY2CX2VH" localSheetId="8" hidden="1">#REF!</definedName>
    <definedName name="BEx9E2S1LDHWNY3YCSQ6AY2CX2VH" hidden="1">#REF!</definedName>
    <definedName name="BEx9EEGVFGD9P2J88ICA4KVPXY9N" localSheetId="8" hidden="1">#REF!</definedName>
    <definedName name="BEx9EEGVFGD9P2J88ICA4KVPXY9N" hidden="1">#REF!</definedName>
    <definedName name="BEx9EG9KBJ77M8LEOR9ITOKN5KXY" hidden="1">#REF!</definedName>
    <definedName name="BEx9EGEWUA5VNCIOLVT1CCI62QJL" hidden="1">#REF!</definedName>
    <definedName name="BEx9EHGQHOBSWB60JAPUOVE46FK0" localSheetId="8" hidden="1">#REF!</definedName>
    <definedName name="BEx9EHGQHOBSWB60JAPUOVE46FK0" hidden="1">#REF!</definedName>
    <definedName name="BEx9EMK6HAJJMVYZTN5AUIV7O1E6" hidden="1">#REF!</definedName>
    <definedName name="BEx9EQLVZHYQ1TPX7WH3SOWXCZLE" hidden="1">#REF!</definedName>
    <definedName name="BEx9ERYD2KEC7VCKSGKV774JIOMK" hidden="1">#REF!</definedName>
    <definedName name="BEx9ETLU0EK5LGEM1QCNYN2S8O5F" hidden="1">#REF!</definedName>
    <definedName name="BEx9ETR5CWM7GMNZN1V4LLM03AMU" localSheetId="8" hidden="1">#REF!</definedName>
    <definedName name="BEx9ETR5CWM7GMNZN1V4LLM03AMU" hidden="1">#REF!</definedName>
    <definedName name="BEx9EX1SWUKA53XNRIZJMJ5JPIF6" hidden="1">#REF!</definedName>
    <definedName name="BEx9EYUJZG4TFG0A7V00WFU17BUM" hidden="1">#REF!</definedName>
    <definedName name="BEx9EYUK57ITXRSR8L419HJGSQDT" hidden="1">#REF!</definedName>
    <definedName name="BEx9F0Y2ESUNE3U7TQDLMPE9BO67" hidden="1">#REF!</definedName>
    <definedName name="BEx9F5W18ZGFOKGRE8PR6T1MO6GT" hidden="1">#REF!</definedName>
    <definedName name="BEx9F78N4HY0XFGBQ4UJRD52L1EI" hidden="1">#REF!</definedName>
    <definedName name="BEx9FF16LOQP5QIR4UHW5EIFGQB8" hidden="1">#REF!</definedName>
    <definedName name="BEx9FIXBKKYLMGI2RXP6VKAQ4JYJ" hidden="1">#REF!</definedName>
    <definedName name="BEx9FJTSRCZ3ZXT3QVBJT5NF8T7V" hidden="1">#REF!</definedName>
    <definedName name="BEx9FLRVEKHKYUC14ZMVEXYYH8R8" localSheetId="8" hidden="1">#REF!</definedName>
    <definedName name="BEx9FLRVEKHKYUC14ZMVEXYYH8R8" hidden="1">#REF!</definedName>
    <definedName name="BEx9FRBEEYPS5HLS3XT34AKZN94G" hidden="1">#REF!</definedName>
    <definedName name="BEx9G17GB2V3PQ50QQFW2NROEZT9" localSheetId="8" hidden="1">#REF!</definedName>
    <definedName name="BEx9G17GB2V3PQ50QQFW2NROEZT9" hidden="1">#REF!</definedName>
    <definedName name="BEx9G4YFK05TPDWNQ07LTZD0MT4Q" hidden="1">#REF!</definedName>
    <definedName name="BEx9G892CF6SM99J007LDYZPPYNL" localSheetId="8" hidden="1">#REF!</definedName>
    <definedName name="BEx9G892CF6SM99J007LDYZPPYNL" hidden="1">#REF!</definedName>
    <definedName name="BEx9GACM4UNZ92LPP9D7AO4WD32Z" hidden="1">#REF!</definedName>
    <definedName name="BEx9GBUKLGLMZ3S4DXZ2LNZ31ET6" hidden="1">#REF!</definedName>
    <definedName name="BEx9GDY3CZ5Q8DC7AEPSA6E1LTB1" hidden="1">#REF!</definedName>
    <definedName name="BEx9GDY4D8ZPQJCYFIMYM0V0C51Y" hidden="1">#REF!</definedName>
    <definedName name="BEx9GGY04V0ZWI6O9KZH4KSBB389" hidden="1">#REF!</definedName>
    <definedName name="BEx9GJCC7BWX156MTPY59VC5JN0O" localSheetId="8" hidden="1">#REF!</definedName>
    <definedName name="BEx9GJCC7BWX156MTPY59VC5JN0O" hidden="1">#REF!</definedName>
    <definedName name="BEx9GK36QETGHJC9GFJUXM8QMC09" hidden="1">#REF!</definedName>
    <definedName name="BEx9GNOPB6OZ2RH3FCDNJR38RJOS" hidden="1">#REF!</definedName>
    <definedName name="BEx9GNU701BD7YSS9TFG6GMA2Z8A" localSheetId="8" hidden="1">#REF!</definedName>
    <definedName name="BEx9GNU701BD7YSS9TFG6GMA2Z8A" hidden="1">#REF!</definedName>
    <definedName name="BEx9GSHBQOA5F75EXE2CSZ9PTYEE" hidden="1">#REF!</definedName>
    <definedName name="BEx9GUQALUWCD30UKUQGSWW8KBQ7" hidden="1">#REF!</definedName>
    <definedName name="BEx9GY6BVFQGCLMOWVT6PIC9WP5X" hidden="1">#REF!</definedName>
    <definedName name="BEx9GZ2P3FDHKXEBXX2VS0BG2NP2" hidden="1">#REF!</definedName>
    <definedName name="BEx9H04IB14E1437FF2OIRRWBSD7" hidden="1">#REF!</definedName>
    <definedName name="BEx9H5O1KDZJCW91Q29VRPY5YS6P" hidden="1">#REF!</definedName>
    <definedName name="BEx9H8YR0E906F1JXZMBX3LNT004" hidden="1">#REF!</definedName>
    <definedName name="BEx9H9V5D52IFWEZD3I221Z2VYVD" localSheetId="8" hidden="1">#REF!</definedName>
    <definedName name="BEx9H9V5D52IFWEZD3I221Z2VYVD" hidden="1">#REF!</definedName>
    <definedName name="BEx9HCV0YZOQ4FJ48KRSCXFG1S01" hidden="1">#REF!</definedName>
    <definedName name="BEx9HQHV4N00R3PBTH3QTYPDU3WQ" localSheetId="8" hidden="1">#REF!</definedName>
    <definedName name="BEx9HQHV4N00R3PBTH3QTYPDU3WQ" hidden="1">#REF!</definedName>
    <definedName name="BEx9HU8T31RETME381PIDV4JSIQN" hidden="1">#REF!</definedName>
    <definedName name="BEx9HU8T7BDWIZX0PRSAG86LAGSL" hidden="1">#REF!</definedName>
    <definedName name="BEx9HU8UFWS0S8VCZG4LG5XN5QFH" hidden="1">#REF!</definedName>
    <definedName name="BEx9I518AKHHBPBOWE9NF0E12BPH" hidden="1">#REF!</definedName>
    <definedName name="BEx9I8XIG7E5NB48QQHXP23FIN60" hidden="1">#REF!</definedName>
    <definedName name="BEx9IQ0HT5HZ9BZA3QZAO0GLLU57" hidden="1">#REF!</definedName>
    <definedName name="BEx9IQRF01ATLVK0YE60ARKQJ68L" hidden="1">#REF!</definedName>
    <definedName name="BEx9ISUY3XFBR5RJT9AWRMOFL5WQ" hidden="1">#REF!</definedName>
    <definedName name="BEx9IT5QNZWKM6YQ5WER0DC2PMMU" hidden="1">#REF!</definedName>
    <definedName name="BEx9IW5MFLXTVCJHVUZTUH93AXOS" hidden="1">#REF!</definedName>
    <definedName name="BEx9IX1ZRFUE85ATW4NGTSACFIOO" localSheetId="8" hidden="1">#REF!</definedName>
    <definedName name="BEx9IX1ZRFUE85ATW4NGTSACFIOO" hidden="1">#REF!</definedName>
    <definedName name="BEx9IXCSPSZC80YZUPRCYTG326KV" hidden="1">#REF!</definedName>
    <definedName name="BEx9IZR39NHDGOM97H4E6F81RTQW" hidden="1">#REF!</definedName>
    <definedName name="BEx9J1EJIB9UVZKMZ7QHB9U6VVOO" localSheetId="8" hidden="1">#REF!</definedName>
    <definedName name="BEx9J1EJIB9UVZKMZ7QHB9U6VVOO" hidden="1">#REF!</definedName>
    <definedName name="BEx9J6CH5E7YZPER7HXEIOIKGPCA" hidden="1">#REF!</definedName>
    <definedName name="BEx9JDU8RH8BWPM6FZ1JIJ7T0TWD" hidden="1">#REF!</definedName>
    <definedName name="BEx9JJTZKVUJAVPTRE0RAVTEH41G" hidden="1">#REF!</definedName>
    <definedName name="BEx9JLBYIZOER6XBAK1NNVSC15XF" hidden="1">#REF!</definedName>
    <definedName name="BEx9JLBYK239B3F841C7YG1GT7ST" hidden="1">#REF!</definedName>
    <definedName name="BEx9K17SSEZ1SQ2UV4ELZTOPVDOR" hidden="1">#REF!</definedName>
    <definedName name="BEx9K83YGPAZK7IL9BXDNDN6TEJ4" hidden="1">#REF!</definedName>
    <definedName name="BExAW4IIW5D0MDY6TJ3G4FOLPYIR" hidden="1">#REF!</definedName>
    <definedName name="BExAWILLI2BKB1J9HZSAW9042P7Q" localSheetId="8" hidden="1">#REF!</definedName>
    <definedName name="BExAWILLI2BKB1J9HZSAW9042P7Q" hidden="1">#REF!</definedName>
    <definedName name="BExAWMXYBW22M9AVJRBN9V5827U6" hidden="1">#REF!</definedName>
    <definedName name="BExAWPSKSTRZQTHOBTL56RVAVU5F" hidden="1">#REF!</definedName>
    <definedName name="BExAX2TU15VIP65OGKSZD41PMO4N" localSheetId="8" hidden="1">#REF!</definedName>
    <definedName name="BExAX2TU15VIP65OGKSZD41PMO4N" hidden="1">#REF!</definedName>
    <definedName name="BExAX410NB4F2XOB84OR2197H8M5" hidden="1">#REF!</definedName>
    <definedName name="BExAX584ACBXJUB45PDS9GHRNPO3" hidden="1">#REF!</definedName>
    <definedName name="BExAX8TNG8LQ5Q4904SAYQIPGBSV" hidden="1">#REF!</definedName>
    <definedName name="BExAXEDC2IXZ6Z8R5OUFS8OGJR89" localSheetId="8" hidden="1">#REF!</definedName>
    <definedName name="BExAXEDC2IXZ6Z8R5OUFS8OGJR89" hidden="1">#REF!</definedName>
    <definedName name="BExAXGBEHU7I1HTBJUMTJS7SWVO4" hidden="1">#REF!</definedName>
    <definedName name="BExAXI9K2PJQH4QLETR7MGS2BNZZ" localSheetId="8" hidden="1">#REF!</definedName>
    <definedName name="BExAXI9K2PJQH4QLETR7MGS2BNZZ" hidden="1">#REF!</definedName>
    <definedName name="BExAXL3ZT02BUZOGSRNS6WGCOV7K" localSheetId="8" hidden="1">#REF!</definedName>
    <definedName name="BExAXL3ZT02BUZOGSRNS6WGCOV7K" hidden="1">#REF!</definedName>
    <definedName name="BExAXL40LDNIK611AYB1QPTYW9XW" localSheetId="8" hidden="1">#REF!</definedName>
    <definedName name="BExAXL40LDNIK611AYB1QPTYW9XW" hidden="1">#REF!</definedName>
    <definedName name="BExAXLK9HFQA19N9VTNH0W7AA5I7" hidden="1">#REF!</definedName>
    <definedName name="BExAXM5U4XJ5SQVB7K3KEG3ORDAG" hidden="1">#REF!</definedName>
    <definedName name="BExAXWYA04X1APXU9RVQZZ92023T" hidden="1">#REF!</definedName>
    <definedName name="BExAY0EAT2LXR5MFGM0DLIB45PLO" hidden="1">#REF!</definedName>
    <definedName name="BExAY1G4RZKRROFTS7ZQF1SUZNQE" localSheetId="8" hidden="1">#REF!</definedName>
    <definedName name="BExAY1G4RZKRROFTS7ZQF1SUZNQE" hidden="1">#REF!</definedName>
    <definedName name="BExAY4AJYNDA8PN4HKR2LE6LAZQM" hidden="1">#REF!</definedName>
    <definedName name="BExAY6JE0YLAESF8FF8K91EPUWDX" hidden="1">#REF!</definedName>
    <definedName name="BExAY98MXT3414J2DMJYTGSI3I2H" localSheetId="8" hidden="1">#REF!</definedName>
    <definedName name="BExAY98MXT3414J2DMJYTGSI3I2H" hidden="1">#REF!</definedName>
    <definedName name="BExAY9DZDS6RN4F7LPICOBGZ4AF5" localSheetId="8" hidden="1">#REF!</definedName>
    <definedName name="BExAY9DZDS6RN4F7LPICOBGZ4AF5" hidden="1">#REF!</definedName>
    <definedName name="BExAY9ZJT64UBNSHPOGOXOER0FA5" localSheetId="8" hidden="1">#REF!</definedName>
    <definedName name="BExAY9ZJT64UBNSHPOGOXOER0FA5" hidden="1">#REF!</definedName>
    <definedName name="BExAYE6LNIEBR9DSNI5JGNITGKIT" hidden="1">#REF!</definedName>
    <definedName name="BExAYHMLXGGO25P8HYB2S75DEB4F" hidden="1">#REF!</definedName>
    <definedName name="BExAYKXAUWGDOPG952TEJ2UKZKWN" hidden="1">#REF!</definedName>
    <definedName name="BExAYO2O1C3VS61FNDAIJGGP4LSH" hidden="1">#REF!</definedName>
    <definedName name="BExAYOO9DKXP4BYOJNDXGK1R2ZSV" localSheetId="8" hidden="1">#REF!</definedName>
    <definedName name="BExAYOO9DKXP4BYOJNDXGK1R2ZSV" hidden="1">#REF!</definedName>
    <definedName name="BExAYP9TDTI2MBP6EYE0H39CPMXN" hidden="1">#REF!</definedName>
    <definedName name="BExAYPPWJPWDKU59O051WMGB7O0J" hidden="1">#REF!</definedName>
    <definedName name="BExAYR2J34NNE0ZJQLZ772Z1PE05" hidden="1">#REF!</definedName>
    <definedName name="BExAYR2JZCJBUH6F1LZC2A7JIVRJ" hidden="1">#REF!</definedName>
    <definedName name="BExAYTGVRD3DLKO75RFPMBKCIWB8" hidden="1">#REF!</definedName>
    <definedName name="BExAYVKDXJJ761HTFFUOH6P2CSF7" localSheetId="8" hidden="1">#REF!</definedName>
    <definedName name="BExAYVKDXJJ761HTFFUOH6P2CSF7" hidden="1">#REF!</definedName>
    <definedName name="BExAYY9H9COOT46HJLPVDLTO12UL" hidden="1">#REF!</definedName>
    <definedName name="BExAZ7EHTTLOJQQF880QKZL7CL3X" hidden="1">#REF!</definedName>
    <definedName name="BExAZ7UREMPCZNF6MWZXJ2RDEYOG" localSheetId="8" hidden="1">#REF!</definedName>
    <definedName name="BExAZ7UREMPCZNF6MWZXJ2RDEYOG" hidden="1">#REF!</definedName>
    <definedName name="BExAZCNEGB4JYHC8CZ51KTN890US" hidden="1">#REF!</definedName>
    <definedName name="BExAZFCI302YFYRDJYQDWQQL0Q0O" hidden="1">#REF!</definedName>
    <definedName name="BExAZJZOINVF7SRWM94YI9RP6WPA" hidden="1">#REF!</definedName>
    <definedName name="BExAZLHLST9OP89R1HJMC1POQG8H" hidden="1">#REF!</definedName>
    <definedName name="BExAZMDYMIAA7RX1BMCKU1VLBRGY" hidden="1">#REF!</definedName>
    <definedName name="BExAZNFTTSXASHLBAG5O0MNFU583" localSheetId="8" hidden="1">#REF!</definedName>
    <definedName name="BExAZNFTTSXASHLBAG5O0MNFU583" hidden="1">#REF!</definedName>
    <definedName name="BExAZNL6BHI8DCQWXOX4I2P839UX" hidden="1">#REF!</definedName>
    <definedName name="BExAZP33SOCITBD7M4FT92Z5NYSD" hidden="1">#REF!</definedName>
    <definedName name="BExAZRMWSONMCG9KDUM4KAQ7BONM" hidden="1">#REF!</definedName>
    <definedName name="BExAZTFG4SJRG4TW6JXRF7N08JFI" hidden="1">#REF!</definedName>
    <definedName name="BExAZUS4A8OHDZK0MWAOCCCKTH73" hidden="1">#REF!</definedName>
    <definedName name="BExAZWA0QAYWONYM66TBVW3PUCM9" localSheetId="8" hidden="1">#REF!</definedName>
    <definedName name="BExAZWA0QAYWONYM66TBVW3PUCM9" hidden="1">#REF!</definedName>
    <definedName name="BExAZX6FECVK3E07KXM2XPYKGM6U" hidden="1">#REF!</definedName>
    <definedName name="BExAZXXHD1OP55WHP4KJ91SO2BUH" hidden="1">#REF!</definedName>
    <definedName name="BExB00XECM2WCQ2FESEGNEPBHH73" hidden="1">#REF!</definedName>
    <definedName name="BExB012NJ8GASTNNPBRRFTLHIOC9" hidden="1">#REF!</definedName>
    <definedName name="BExB05PUW6L1BH05DCFBDQ9OEF4F" hidden="1">#REF!</definedName>
    <definedName name="BExB072HHXVMUC0VYNGG48GRSH5Q" hidden="1">#REF!</definedName>
    <definedName name="BExB0BV4JEMUAIRJZ3ZB45A7I3FF" hidden="1">#REF!</definedName>
    <definedName name="BExB0DYN55SCU5NRYKF18SRTHV4V" localSheetId="8" hidden="1">#REF!</definedName>
    <definedName name="BExB0DYN55SCU5NRYKF18SRTHV4V" hidden="1">#REF!</definedName>
    <definedName name="BExB0FRDEYDEUEAB1W8KD6D965XA" hidden="1">#REF!</definedName>
    <definedName name="BExB0KPCN7YJORQAYUCF4YKIKPMC" hidden="1">#REF!</definedName>
    <definedName name="BExB0OASZZC08FMDYX9HRSM9OXEF" localSheetId="8" hidden="1">#REF!</definedName>
    <definedName name="BExB0OASZZC08FMDYX9HRSM9OXEF" hidden="1">#REF!</definedName>
    <definedName name="BExB0RQYVTFVPAGG8TKVPNRZTI83" hidden="1">#REF!</definedName>
    <definedName name="BExB0UQP5DOLRXNKU8KGP8MA9NDK" hidden="1">#REF!</definedName>
    <definedName name="BExB0VSJKIECL5LWGYYE1B8AX809" hidden="1">#REF!</definedName>
    <definedName name="BExB0WE4PI3NOBXXVO9CTEN4DIU2" hidden="1">#REF!</definedName>
    <definedName name="BExB10QNIVITUYS55OAEKK3VLJFE" hidden="1">#REF!</definedName>
    <definedName name="BExB10VYVSXSSCKSMSORN8BVFQT6" hidden="1">#REF!</definedName>
    <definedName name="BExB12OPX4FIWY3UUQ7N9MXBTXY2" localSheetId="8" hidden="1">#REF!</definedName>
    <definedName name="BExB12OPX4FIWY3UUQ7N9MXBTXY2" hidden="1">#REF!</definedName>
    <definedName name="BExB12ZHTPYICL0A8RA5MRDZPYAX" localSheetId="8" hidden="1">#REF!</definedName>
    <definedName name="BExB12ZHTPYICL0A8RA5MRDZPYAX" hidden="1">#REF!</definedName>
    <definedName name="BExB15ZDRY4CIJ911DONP0KCY9KU" hidden="1">#REF!</definedName>
    <definedName name="BExB16VQY0O0RLZYJFU3OFEONVTE" hidden="1">#REF!</definedName>
    <definedName name="BExB1BTW1ZMVRXQCZ8BZ0RIZJCDC" localSheetId="8" hidden="1">#REF!</definedName>
    <definedName name="BExB1BTW1ZMVRXQCZ8BZ0RIZJCDC" hidden="1">#REF!</definedName>
    <definedName name="BExB1D6DDDMV7AOB9S4XD45OPKJ3" localSheetId="8" hidden="1">#REF!</definedName>
    <definedName name="BExB1D6DDDMV7AOB9S4XD45OPKJ3" hidden="1">#REF!</definedName>
    <definedName name="BExB1FKN9YUYJ7B8ZJSMRSJ6ONT6" localSheetId="8" hidden="1">#REF!</definedName>
    <definedName name="BExB1FKN9YUYJ7B8ZJSMRSJ6ONT6" hidden="1">#REF!</definedName>
    <definedName name="BExB1FKNY2UO4W5FUGFHJOA2WFGG" hidden="1">#REF!</definedName>
    <definedName name="BExB1GMD0PIDGTFBGQOPRWQSP9I4" hidden="1">#REF!</definedName>
    <definedName name="BExB1HIQKUZGEBQ2MPH0TPTAZKIT" localSheetId="8" hidden="1">#REF!</definedName>
    <definedName name="BExB1HIQKUZGEBQ2MPH0TPTAZKIT" hidden="1">#REF!</definedName>
    <definedName name="BExB1I4BK3AB6GEEFY7ZAOON31BO" localSheetId="8" hidden="1">#REF!</definedName>
    <definedName name="BExB1I4BK3AB6GEEFY7ZAOON31BO" hidden="1">#REF!</definedName>
    <definedName name="BExB1JBG7EB4P43NW2JL4Y9T9NKZ" localSheetId="8" hidden="1">#REF!</definedName>
    <definedName name="BExB1JBG7EB4P43NW2JL4Y9T9NKZ" hidden="1">#REF!</definedName>
    <definedName name="BExB1Q29OO6LNFNT1EQLA3KYE7MX" hidden="1">#REF!</definedName>
    <definedName name="BExB1QIJTYP1NPWQM0DHL7KMDKVN" hidden="1">#REF!</definedName>
    <definedName name="BExB1RV0PZNGSH5CMC4N7ND0DBRG" hidden="1">#REF!</definedName>
    <definedName name="BExB1SB4ATPXTFUESWK9K168TL3Z" hidden="1">#REF!</definedName>
    <definedName name="BExB1SWPVTIQJFN4QTRXZ5L8YCQ5" hidden="1">#REF!</definedName>
    <definedName name="BExB1TNRV5EBWZEHYLHI76T0FVA7" hidden="1">#REF!</definedName>
    <definedName name="BExB1UENFKIO27UN311RA6Q7UZX5" localSheetId="8" hidden="1">#REF!</definedName>
    <definedName name="BExB1UENFKIO27UN311RA6Q7UZX5" hidden="1">#REF!</definedName>
    <definedName name="BExB1WI6M8I0EEP1ANUQZCFY24EV" hidden="1">#REF!</definedName>
    <definedName name="BExB1ZSVOSV5I0TKP40AUHW8B3WO" hidden="1">#REF!</definedName>
    <definedName name="BExB203OWC9QZA3BYOKQ18L4FUJE" hidden="1">#REF!</definedName>
    <definedName name="BExB23UMFLNRV9ERE2YRPA7REZ8K" hidden="1">#REF!</definedName>
    <definedName name="BExB2CJHTU7C591BR4WRL5L2F2K6" hidden="1">#REF!</definedName>
    <definedName name="BExB2K1AV4PGNS1O6C7D7AO411AX" hidden="1">#REF!</definedName>
    <definedName name="BExB2O2UYHKI324YE324E1N7FVIB" hidden="1">#REF!</definedName>
    <definedName name="BExB2Q0VJ0MU2URO3JOVUAVHEI3V" hidden="1">#REF!</definedName>
    <definedName name="BExB2ROBSJ3M15CUOBQQH7HC897E" hidden="1">#REF!</definedName>
    <definedName name="BExB2V4G4W3DIHZU05TOOTUR2SQF" localSheetId="8" hidden="1">#REF!</definedName>
    <definedName name="BExB2V4G4W3DIHZU05TOOTUR2SQF" hidden="1">#REF!</definedName>
    <definedName name="BExB30D8YZQLDJLHIE44FWIQY8E7" hidden="1">#REF!</definedName>
    <definedName name="BExB30IP1DNKNQ6PZ5ERUGR5MK4Z" hidden="1">#REF!</definedName>
    <definedName name="BExB31V75KNAXOXUQOJQ58YKNQ6A" hidden="1">#REF!</definedName>
    <definedName name="BExB35M4M9VQF0DHGYBEA3KV711P" localSheetId="8" hidden="1">#REF!</definedName>
    <definedName name="BExB35M4M9VQF0DHGYBEA3KV711P" hidden="1">#REF!</definedName>
    <definedName name="BExB3KLGC24UJGN4T7G1I1AGNU8K" hidden="1">#REF!</definedName>
    <definedName name="BExB3M8VE1MNKOB3QYXOPMG4HPSC" hidden="1">#REF!</definedName>
    <definedName name="BExB3NW5SHSI571HI3NSWWL4NX9V" hidden="1">#REF!</definedName>
    <definedName name="BExB406HXCZGNSDPPO8VOG1110ZG" localSheetId="8" hidden="1">#REF!</definedName>
    <definedName name="BExB406HXCZGNSDPPO8VOG1110ZG" hidden="1">#REF!</definedName>
    <definedName name="BExB442RX0T3L6HUL6X5T21CENW6" hidden="1">#REF!</definedName>
    <definedName name="BExB4ADD0L7417CII901XTFKXD1J" hidden="1">#REF!</definedName>
    <definedName name="BExB4B9PTN6T4CSKH6U5OZ3JFDD8" localSheetId="8" hidden="1">#REF!</definedName>
    <definedName name="BExB4B9PTN6T4CSKH6U5OZ3JFDD8" hidden="1">#REF!</definedName>
    <definedName name="BExB4BF1B1WWTD8YM41KXY5OFWX1" hidden="1">#REF!</definedName>
    <definedName name="BExB4DO1V1NL2AVK5YE1RSL5RYHL" hidden="1">#REF!</definedName>
    <definedName name="BExB4DYU06HCGRIPBSWRCXK804UM" hidden="1">#REF!</definedName>
    <definedName name="BExB4MYJBRW1OWXTL49L0JHRNSUZ" hidden="1">#REF!</definedName>
    <definedName name="BExB4R5JZFW6A1CMY56N51JV2U9K" localSheetId="8" hidden="1">#REF!</definedName>
    <definedName name="BExB4R5JZFW6A1CMY56N51JV2U9K" hidden="1">#REF!</definedName>
    <definedName name="BExB4W3IAMUYBB6P2PWM1W1W9T94" hidden="1">#REF!</definedName>
    <definedName name="BExB4YY3ZEMJ8V6XL2TDGSQWU5TI" hidden="1">#REF!</definedName>
    <definedName name="BExB4Z3EZBGYYI33U0KQ8NEIH8PY" hidden="1">#REF!</definedName>
    <definedName name="BExB541CBB1D8CTY30SOY75V64NO" localSheetId="8" hidden="1">#REF!</definedName>
    <definedName name="BExB541CBB1D8CTY30SOY75V64NO" hidden="1">#REF!</definedName>
    <definedName name="BExB55368XW7UX657ZSPC6BFE92S" hidden="1">#REF!</definedName>
    <definedName name="BExB57MZEPL2SA2ONPK66YFLZWJU" hidden="1">#REF!</definedName>
    <definedName name="BExB5833OAOJ22VK1YK47FHUSVK2" hidden="1">#REF!</definedName>
    <definedName name="BExB58JDIHS42JZT9DJJMKA8QFCO" hidden="1">#REF!</definedName>
    <definedName name="BExB58U5FQC5JWV9CGC83HLLZUZI" hidden="1">#REF!</definedName>
    <definedName name="BExB5EDO9XUKHF74X3HAU2WPPHZH" hidden="1">#REF!</definedName>
    <definedName name="BExB5EZ9LBY41WNI7YK2YZJOE429" hidden="1">#REF!</definedName>
    <definedName name="BExB5FQ566H073TI93VDHDF4KT3E" hidden="1">#REF!</definedName>
    <definedName name="BExB5G6EH68AYEP1UT0GHUEL3SLN" hidden="1">#REF!</definedName>
    <definedName name="BExB5Q2HC2G18RW1LE7XZ628VP4F" localSheetId="8" hidden="1">#REF!</definedName>
    <definedName name="BExB5Q2HC2G18RW1LE7XZ628VP4F" hidden="1">#REF!</definedName>
    <definedName name="BExB5QO30WI9WES28Y2RINNXRHWC" localSheetId="8" hidden="1">#REF!</definedName>
    <definedName name="BExB5QO30WI9WES28Y2RINNXRHWC" hidden="1">#REF!</definedName>
    <definedName name="BExB5QYVEZWFE5DQVHAM760EV05X" hidden="1">#REF!</definedName>
    <definedName name="BExB5U9IRH14EMOE0YGIE3WIVLFS" hidden="1">#REF!</definedName>
    <definedName name="BExB5VWYMOV6BAIH7XUBBVPU7MMD" hidden="1">#REF!</definedName>
    <definedName name="BExB5Z25JZ638DKF25UHDHNCZOWV" hidden="1">#REF!</definedName>
    <definedName name="BExB610DZWIJP1B72U9QM42COH2B" hidden="1">#REF!</definedName>
    <definedName name="BExB61GI2VIIURJ3I3ZFC8NODL58" localSheetId="8" hidden="1">#REF!</definedName>
    <definedName name="BExB61GI2VIIURJ3I3ZFC8NODL58" hidden="1">#REF!</definedName>
    <definedName name="BExB6692ZQP36NHHWV7TLSTYCP8G" localSheetId="8" hidden="1">#REF!</definedName>
    <definedName name="BExB6692ZQP36NHHWV7TLSTYCP8G" hidden="1">#REF!</definedName>
    <definedName name="BExB68SR0OTVZQXAY7NJ7RFJGV1K" hidden="1">#REF!</definedName>
    <definedName name="BExB6C3FUAKK9ML5T767NMWGA9YB" hidden="1">#REF!</definedName>
    <definedName name="BExB6C8X6JYRLKZKK17VE3QUNL3D" hidden="1">#REF!</definedName>
    <definedName name="BExB6CZTE0PWILZ6X0SQ2FCCSK0D" localSheetId="8" hidden="1">#REF!</definedName>
    <definedName name="BExB6CZTE0PWILZ6X0SQ2FCCSK0D" hidden="1">#REF!</definedName>
    <definedName name="BExB6E6ZCOZF2DHTFKPPFFUJ07BY" hidden="1">#REF!</definedName>
    <definedName name="BExB6HN3QRFPXM71MDUK21BKM7PF" hidden="1">#REF!</definedName>
    <definedName name="BExB6IZMHCZ3LB7N73KD90YB1HBZ" hidden="1">#REF!</definedName>
    <definedName name="BExB6Q6JKBMO3M4WX8XUD0JET6HB" localSheetId="8" hidden="1">#REF!</definedName>
    <definedName name="BExB6Q6JKBMO3M4WX8XUD0JET6HB" hidden="1">#REF!</definedName>
    <definedName name="BExB719SGNX4Y8NE6JEXC555K596" hidden="1">#REF!</definedName>
    <definedName name="BExB7265DCHKS7V2OWRBXCZTEIW9" hidden="1">#REF!</definedName>
    <definedName name="BExB74F088Z5LM9SEUAESIZUQ3X8" hidden="1">#REF!</definedName>
    <definedName name="BExB74PS5P9G0P09Y6DZSCX0FLTJ" hidden="1">#REF!</definedName>
    <definedName name="BExB78RH79J0MIF7H8CAZ0CFE88Q" hidden="1">#REF!</definedName>
    <definedName name="BExB7CD0T5XNH3XU4EOPY9UDALK3" hidden="1">#REF!</definedName>
    <definedName name="BExB7ELT09HGDVO5BJC1ZY9D09GZ" hidden="1">#REF!</definedName>
    <definedName name="BExB7GUTK999NAAKWY8XKASC42AE" hidden="1">#REF!</definedName>
    <definedName name="BExB7MULV07NKF9E8HMW8N2UG18G" hidden="1">#REF!</definedName>
    <definedName name="BExB7XHJJ0DJMJYKUE9E7A8B0TMB" hidden="1">#REF!</definedName>
    <definedName name="BExB806PAXX70XUTA3ZI7OORD78R" hidden="1">#REF!</definedName>
    <definedName name="BExB83HCHVBLXMQJAXC4DVTDBBJ6" hidden="1">#REF!</definedName>
    <definedName name="BExB872UBZ08PB4OOVO1FCN8823C" hidden="1">#REF!</definedName>
    <definedName name="BExB8GDBGJDXNMWTM8KFUZVW4OCL" hidden="1">#REF!</definedName>
    <definedName name="BExB8H4EGZSNG11XFII02OSDKWUA" hidden="1">#REF!</definedName>
    <definedName name="BExB8HF4UBVZKQCSRFRUQL2EE6VL" hidden="1">#REF!</definedName>
    <definedName name="BExB8HKHKZ1ORJZUYGG2M4VSCC39" hidden="1">#REF!</definedName>
    <definedName name="BExB8I0KIJV93J9O8186AUU395R4" hidden="1">#REF!</definedName>
    <definedName name="BExB8IMB7XUC1HO04C1IBKLFXVDB" hidden="1">#REF!</definedName>
    <definedName name="BExB8MD4XJ83YWDC32G7DYY4MXTN" hidden="1">#REF!</definedName>
    <definedName name="BExB8QPH8DC5BESEVPSMBCWVN6PO" hidden="1">#REF!</definedName>
    <definedName name="BExB8TER9RB9RMXFLGGNJ67MG8GM" localSheetId="8" hidden="1">#REF!</definedName>
    <definedName name="BExB8TER9RB9RMXFLGGNJ67MG8GM" hidden="1">#REF!</definedName>
    <definedName name="BExB8U5MGIUNQLB1Y9ZHH00OOSYX" hidden="1">#REF!</definedName>
    <definedName name="BExB8U5N0D85YR8APKN3PPKG0FWP" hidden="1">#REF!</definedName>
    <definedName name="BExB976X0VAZQWTKTTNXLAYST4O5" hidden="1">#REF!</definedName>
    <definedName name="BExB9BJEZQADRS7SN5A0DQBLXJAF" hidden="1">#REF!</definedName>
    <definedName name="BExB9DHI5I2TJ2LXYPM98EE81L27" hidden="1">#REF!</definedName>
    <definedName name="BExB9Q2MZZHBGW8QQKVEYIMJBPIE" hidden="1">#REF!</definedName>
    <definedName name="BExB9S66MFUL9J891R547MSVIVV1" localSheetId="8" hidden="1">#REF!</definedName>
    <definedName name="BExB9S66MFUL9J891R547MSVIVV1" hidden="1">#REF!</definedName>
    <definedName name="BExBA1BCT86K7W70TIOHLC2MCH9C" hidden="1">#REF!</definedName>
    <definedName name="BExBA1GON0EZRJ20UYPILAPLNQWM" hidden="1">#REF!</definedName>
    <definedName name="BExBA2YNBXXCWCN2GUTE5LEQS9CY" hidden="1">#REF!</definedName>
    <definedName name="BExBA69ASGYRZW1G1DYIS9QRRTBN" hidden="1">#REF!</definedName>
    <definedName name="BExBA6K42582A14WFFWQ3Q8QQWB6" hidden="1">#REF!</definedName>
    <definedName name="BExBA8I5D4R8R2PYQ1K16TWGTOEP" hidden="1">#REF!</definedName>
    <definedName name="BExBA93PE0DGUUTA7LLSIGBIXWE5" hidden="1">#REF!</definedName>
    <definedName name="BExBAALNZ3MCJD01RAYLEOGIAFVW" localSheetId="8" hidden="1">#REF!</definedName>
    <definedName name="BExBAALNZ3MCJD01RAYLEOGIAFVW" hidden="1">#REF!</definedName>
    <definedName name="BExBAENE69RMQ95Z761AF07BRVS9" hidden="1">#REF!</definedName>
    <definedName name="BExBAGQYIBV77JKN346FU4VT1MB4" localSheetId="8" hidden="1">#REF!</definedName>
    <definedName name="BExBAGQYIBV77JKN346FU4VT1MB4" hidden="1">#REF!</definedName>
    <definedName name="BExBAI8X0FKDQJ6YZJQDTTG4ZCWY" hidden="1">#REF!</definedName>
    <definedName name="BExBAJLJDNMJWH3ZV31DQL7GQ6SI" hidden="1">#REF!</definedName>
    <definedName name="BExBAKN7XIBAXCF9PCNVS038PCQO" hidden="1">#REF!</definedName>
    <definedName name="BExBAKXZ7PBW3DDKKA5MWC1ZUC7O" hidden="1">#REF!</definedName>
    <definedName name="BExBAO8NLXZXHO6KCIECSFCH3RR0" hidden="1">#REF!</definedName>
    <definedName name="BExBAOOT1KBSIEISN1ADL4RMY879" hidden="1">#REF!</definedName>
    <definedName name="BExBATS6QTKFZ3S66DBSAAJJ1257" localSheetId="8" hidden="1">#REF!</definedName>
    <definedName name="BExBATS6QTKFZ3S66DBSAAJJ1257" hidden="1">#REF!</definedName>
    <definedName name="BExBAUU2P01RJ8Q6P1HJ7A9WYQWT" hidden="1">#REF!</definedName>
    <definedName name="BExBAVKX8Q09370X1GCZWJ4E91YJ" hidden="1">#REF!</definedName>
    <definedName name="BExBAX2X2ENJYO4QTR5VAIQ86L7B" hidden="1">#REF!</definedName>
    <definedName name="BExBAYKTRUY7ZE4RSNJ97IGO9IYH" hidden="1">#REF!</definedName>
    <definedName name="BExBAZ13D3F1DVJQ6YJ8JGUYEYJE" hidden="1">#REF!</definedName>
    <definedName name="BExBAZH7ZWR1AVR7VVEH175XPSCF" hidden="1">#REF!</definedName>
    <definedName name="BExBB2X8Y6I6DD9BGND9M3YV72T8" hidden="1">#REF!</definedName>
    <definedName name="BExBB9D9GNURCRZN3NR6UY375OX5" localSheetId="8" hidden="1">#REF!</definedName>
    <definedName name="BExBB9D9GNURCRZN3NR6UY375OX5" hidden="1">#REF!</definedName>
    <definedName name="BExBBCTA8J5NHIKK0PFTQUA00B8R" hidden="1">#REF!</definedName>
    <definedName name="BExBBJ9BWME32GCDTD4GDSQBG1SE" hidden="1">#REF!</definedName>
    <definedName name="BExBBTG649R9I0CT042JLL8LXV18" hidden="1">#REF!</definedName>
    <definedName name="BExBBUCJQRR74Q7GPWDEZXYK2KJL" hidden="1">#REF!</definedName>
    <definedName name="BExBBV8XVMD9CKZY711T0BN7H3PM" hidden="1">#REF!</definedName>
    <definedName name="BExBBWG22XAI71QRXFIYF7XNWLOW" hidden="1">#REF!</definedName>
    <definedName name="BExBC5VVE2SA6T7E4SBQ9CV7HWAS" hidden="1">#REF!</definedName>
    <definedName name="BExBC6S9JZS9ZX6V7SBKDJ5R3CGN" localSheetId="8" hidden="1">#REF!</definedName>
    <definedName name="BExBC6S9JZS9ZX6V7SBKDJ5R3CGN" hidden="1">#REF!</definedName>
    <definedName name="BExBC78HXWXHO3XAB6E8NVTBGLJS" hidden="1">#REF!</definedName>
    <definedName name="BExBC7U2Y7N4KNCKFFUMR1PB0D0P" hidden="1">#REF!</definedName>
    <definedName name="BExBCDTV7GTBOTIE9EFJ36EX4FKM" localSheetId="8" hidden="1">#REF!</definedName>
    <definedName name="BExBCDTV7GTBOTIE9EFJ36EX4FKM" hidden="1">#REF!</definedName>
    <definedName name="BExBCHQ4GGJG0H01ZQYF47694AS8" hidden="1">#REF!</definedName>
    <definedName name="BExBCK4H2CF3XDL7AH3W254CWF4R" localSheetId="8" hidden="1">#REF!</definedName>
    <definedName name="BExBCK4H2CF3XDL7AH3W254CWF4R" hidden="1">#REF!</definedName>
    <definedName name="BExBCKKJTIRKC1RZJRTK65HHLX4W" hidden="1">#REF!</definedName>
    <definedName name="BExBCLGY2MZ6ORGTMNGJZCVA645T" hidden="1">#REF!</definedName>
    <definedName name="BExBCLMEPAN3XXX174TU8SS0627Q" hidden="1">#REF!</definedName>
    <definedName name="BExBCMTEH63P6H1CKWQH2DGVNSVX" localSheetId="8" hidden="1">#REF!</definedName>
    <definedName name="BExBCMTEH63P6H1CKWQH2DGVNSVX" hidden="1">#REF!</definedName>
    <definedName name="BExBCP2ERRVM0RU2BSBBU4F8NBXG" hidden="1">#REF!</definedName>
    <definedName name="BExBCRBEYR2KZ8FAQFZ2NHY13WIY" hidden="1">#REF!</definedName>
    <definedName name="BExBCRRIKFW21WXBGYPJVQWFNG5F" hidden="1">#REF!</definedName>
    <definedName name="BExBCZUU1UR90PQUCOSYNFQQTXI1" localSheetId="8" hidden="1">#REF!</definedName>
    <definedName name="BExBCZUU1UR90PQUCOSYNFQQTXI1" hidden="1">#REF!</definedName>
    <definedName name="BExBD1CR31JE4TBZEMZ6ZNRFIDNP" localSheetId="8" hidden="1">#REF!</definedName>
    <definedName name="BExBD1CR31JE4TBZEMZ6ZNRFIDNP" hidden="1">#REF!</definedName>
    <definedName name="BExBD3AUV06KN2MW5HRC78OE27IR" hidden="1">#REF!</definedName>
    <definedName name="BExBD4CO145CV9ARJJMGR8JL8YB8" localSheetId="8" hidden="1">#REF!</definedName>
    <definedName name="BExBD4CO145CV9ARJJMGR8JL8YB8" hidden="1">#REF!</definedName>
    <definedName name="BExBD4I559NXSV6J07Q343TKYMVJ" hidden="1">#REF!</definedName>
    <definedName name="BExBD5916JMQEW4K80O97MHT2GFM" hidden="1">#REF!</definedName>
    <definedName name="BExBDBZQLTX3OGFYGULQFK5WEZU5" hidden="1">#REF!</definedName>
    <definedName name="BExBDCAIJ2ICAUKWSHUULZZ4HQG1" hidden="1">#REF!</definedName>
    <definedName name="BExBDJS9TUEU8Z84IV59E5V4T8K6" hidden="1">#REF!</definedName>
    <definedName name="BExBDKOMSVH4XMH52CFJ3F028I9R" hidden="1">#REF!</definedName>
    <definedName name="BExBDSRXVZQ0W5WXQMP5XD00GRRL" hidden="1">#REF!</definedName>
    <definedName name="BExBDTDIHS3IA85P49E3FM64KE4B" localSheetId="8" hidden="1">#REF!</definedName>
    <definedName name="BExBDTDIHS3IA85P49E3FM64KE4B" hidden="1">#REF!</definedName>
    <definedName name="BExBDUVGK3E1J4JY9ZYTS7V14BLY" hidden="1">#REF!</definedName>
    <definedName name="BExBDWDG2GXBTEGBOQMQLB38QUEV" localSheetId="8" hidden="1">#REF!</definedName>
    <definedName name="BExBDWDG2GXBTEGBOQMQLB38QUEV" hidden="1">#REF!</definedName>
    <definedName name="BExBDZITI2UCDSH0V24NITQG9SFA" localSheetId="8" hidden="1">#REF!</definedName>
    <definedName name="BExBDZITI2UCDSH0V24NITQG9SFA" hidden="1">#REF!</definedName>
    <definedName name="BExBE162OSBKD30I7T1DKKPT3I9I" hidden="1">#REF!</definedName>
    <definedName name="BExBE3493YDNVAX3KCV3FRU13TCJ" hidden="1">#REF!</definedName>
    <definedName name="BExBE4M6YL512JJD7QCT5NHC893P" localSheetId="8" hidden="1">#REF!</definedName>
    <definedName name="BExBE4M6YL512JJD7QCT5NHC893P" hidden="1">#REF!</definedName>
    <definedName name="BExBEC9ATLQZF86W1M3APSM4HEOH" hidden="1">#REF!</definedName>
    <definedName name="BExBEQ72T9GY2RWNLPRJC8HIH9K6" hidden="1">#REF!</definedName>
    <definedName name="BExBEYFQJE9YK12A6JBMRFKEC7RN" hidden="1">#REF!</definedName>
    <definedName name="BExBF0U1PNBWLGLVVPNYEZHKB0ON" localSheetId="8" hidden="1">#REF!</definedName>
    <definedName name="BExBF0U1PNBWLGLVVPNYEZHKB0ON" hidden="1">#REF!</definedName>
    <definedName name="BExBF3TXJTJ52WTH5JS1IEEUKRWA" localSheetId="8" hidden="1">#REF!</definedName>
    <definedName name="BExBF3TXJTJ52WTH5JS1IEEUKRWA" hidden="1">#REF!</definedName>
    <definedName name="BExBG1ED81J2O4A2S5F5Y3BPHMCR" hidden="1">#REF!</definedName>
    <definedName name="BExCRHBH98454Q2M4VYGPQLHB7P9" hidden="1">#REF!</definedName>
    <definedName name="BExCRLIHS7466WFJ3RPIUGGXYESZ" hidden="1">#REF!</definedName>
    <definedName name="BExCRMEVQUZ8K6RAX04ABIU5NJOR" hidden="1">#REF!</definedName>
    <definedName name="BExCROIFDQP6GEN1GZNTC0JUNTOZ" hidden="1">#REF!</definedName>
    <definedName name="BExCRRIBGG57IJ1DUG0GCSPL72DO" localSheetId="8" hidden="1">#REF!</definedName>
    <definedName name="BExCRRIBGG57IJ1DUG0GCSPL72DO" hidden="1">#REF!</definedName>
    <definedName name="BExCS077GNWF855JKOJVH531UQTS" hidden="1">#REF!</definedName>
    <definedName name="BExCS078RE3CUATM8A8NCC0WWHGC" localSheetId="8" hidden="1">#REF!</definedName>
    <definedName name="BExCS078RE3CUATM8A8NCC0WWHGC" hidden="1">#REF!</definedName>
    <definedName name="BExCS1EDDUEAEWHVYXHIP9I1WCJH" hidden="1">#REF!</definedName>
    <definedName name="BExCS6SLRCBH006GNRE27HFRHP40" hidden="1">#REF!</definedName>
    <definedName name="BExCS7ZPMHFJ4UJDAL8CQOLSZ13B" hidden="1">#REF!</definedName>
    <definedName name="BExCS8W4NJUZH9S1CYB6XSDLEPBW" hidden="1">#REF!</definedName>
    <definedName name="BExCSAE1M6G20R41J0Y24YNN0YC1" hidden="1">#REF!</definedName>
    <definedName name="BExCSAOUZOYKHN7HV511TO8VDJ02" hidden="1">#REF!</definedName>
    <definedName name="BExCSD8HM2MPQ13VY30LZ01H9PVZ" localSheetId="8" hidden="1">#REF!</definedName>
    <definedName name="BExCSD8HM2MPQ13VY30LZ01H9PVZ" hidden="1">#REF!</definedName>
    <definedName name="BExCSGZG9G2SOKYYBCQF48XUIYCJ" localSheetId="8" hidden="1">#REF!</definedName>
    <definedName name="BExCSGZG9G2SOKYYBCQF48XUIYCJ" hidden="1">#REF!</definedName>
    <definedName name="BExCSJ8A7X06U9ITMXJZN8IUODH6" localSheetId="8" hidden="1">#REF!</definedName>
    <definedName name="BExCSJ8A7X06U9ITMXJZN8IUODH6" hidden="1">#REF!</definedName>
    <definedName name="BExCSMOFTXSUEC1T46LR1UPYRCX5" hidden="1">#REF!</definedName>
    <definedName name="BExCSSDG3TM6TPKS19E9QYJEELZ6" hidden="1">#REF!</definedName>
    <definedName name="BExCSVDCJRBF2N7QJPIREO21E6DE" hidden="1">#REF!</definedName>
    <definedName name="BExCSYTCSMYHS9DUCAAOZZ0KKCKA" hidden="1">#REF!</definedName>
    <definedName name="BExCSZV7U67UWXL2HKJNM5W1E4OO" hidden="1">#REF!</definedName>
    <definedName name="BExCT4NSDT61OCH04Y2QIFIOP75H" hidden="1">#REF!</definedName>
    <definedName name="BExCTQU8YYU24P9SD07DLFC1KD2L" hidden="1">#REF!</definedName>
    <definedName name="BExCTW8G3VCZ55S09HTUGXKB1P2M" hidden="1">#REF!</definedName>
    <definedName name="BExCTYS2KX0QANOLT8LGZ9WV3S3T" hidden="1">#REF!</definedName>
    <definedName name="BExCTZZ9JNES4EDHW97NP0EGQALX" hidden="1">#REF!</definedName>
    <definedName name="BExCU0A1V6NMZQ9ASYJ8QIVQ5UR2" hidden="1">#REF!</definedName>
    <definedName name="BExCU16FAFHSYEENQXBNLERR7V3K" localSheetId="8" hidden="1">#REF!</definedName>
    <definedName name="BExCU16FAFHSYEENQXBNLERR7V3K" hidden="1">#REF!</definedName>
    <definedName name="BExCU2834920JBHSPCRC4UF80OLL" hidden="1">#REF!</definedName>
    <definedName name="BExCU8O54I3P3WRYWY1CRP3S78QY" hidden="1">#REF!</definedName>
    <definedName name="BExCUD60H1UMM2E28QIX022PMAO3" localSheetId="8" hidden="1">#REF!</definedName>
    <definedName name="BExCUD60H1UMM2E28QIX022PMAO3" hidden="1">#REF!</definedName>
    <definedName name="BExCUDRJO23YOKT8GPWOVQ4XEHF5" hidden="1">#REF!</definedName>
    <definedName name="BExCUH29SLP1EN5YGNRVBZBK20VH" hidden="1">#REF!</definedName>
    <definedName name="BExCUPAWHM0P4BSKFZ5SJKV1ERM7" localSheetId="8" hidden="1">#REF!</definedName>
    <definedName name="BExCUPAWHM0P4BSKFZ5SJKV1ERM7" hidden="1">#REF!</definedName>
    <definedName name="BExCUPAXFR16YMWL30ME3F3BSRDZ" hidden="1">#REF!</definedName>
    <definedName name="BExCUR94DHCE47PUUWEMT5QZOYR2" hidden="1">#REF!</definedName>
    <definedName name="BExCUSWD8VOVJ7L97H1QM4UG464T" hidden="1">#REF!</definedName>
    <definedName name="BExCUW1Q2AR1JX2Z1B9CGJ6H60GY" localSheetId="8" hidden="1">#REF!</definedName>
    <definedName name="BExCUW1Q2AR1JX2Z1B9CGJ6H60GY" hidden="1">#REF!</definedName>
    <definedName name="BExCUW1RF5RHW7OK9J4GFUGR30IK" localSheetId="8" hidden="1">#REF!</definedName>
    <definedName name="BExCUW1RF5RHW7OK9J4GFUGR30IK" hidden="1">#REF!</definedName>
    <definedName name="BExCV2SGM4HFBI632BE8SU49QK0K" hidden="1">#REF!</definedName>
    <definedName name="BExCV634L7SVHGB0UDDTRRQ2Q72H" hidden="1">#REF!</definedName>
    <definedName name="BExCVBXG4TTE2ERW52ZA09FBTDH2" localSheetId="8" hidden="1">#REF!</definedName>
    <definedName name="BExCVBXG4TTE2ERW52ZA09FBTDH2" hidden="1">#REF!</definedName>
    <definedName name="BExCVBXGSXT9FWJRG62PX9S1RK83" hidden="1">#REF!</definedName>
    <definedName name="BExCVGVKKWG87FQ2Y8VLUNGK7CVW" localSheetId="8" hidden="1">#REF!</definedName>
    <definedName name="BExCVGVKKWG87FQ2Y8VLUNGK7CVW" hidden="1">#REF!</definedName>
    <definedName name="BExCVHBNLOHNFS0JAV3I1XGPNH9W" hidden="1">#REF!</definedName>
    <definedName name="BExCVI86R31A2IOZIEBY1FJLVILD" hidden="1">#REF!</definedName>
    <definedName name="BExCVKGZXE0I9EIXKBZVSGSEY2RR" hidden="1">#REF!</definedName>
    <definedName name="BExCVKH0KFLY4D0IVRFGVTJYRXFX" localSheetId="8" hidden="1">#REF!</definedName>
    <definedName name="BExCVKH0KFLY4D0IVRFGVTJYRXFX" hidden="1">#REF!</definedName>
    <definedName name="BExCVV44WY5807WGMTGKPW0GT256" hidden="1">#REF!</definedName>
    <definedName name="BExCVWLXVAKW0MGL9EAXK4DRRB6T" localSheetId="8" hidden="1">#REF!</definedName>
    <definedName name="BExCVWLXVAKW0MGL9EAXK4DRRB6T" hidden="1">#REF!</definedName>
    <definedName name="BExCVZ5PN4V6MRBZ04PZJW3GEF8S" hidden="1">#REF!</definedName>
    <definedName name="BExCW13R0GWJYGXZBNCPAHQN4NR2" hidden="1">#REF!</definedName>
    <definedName name="BExCW2LPRBJ7N2BXT8WRNEZE8N23" hidden="1">#REF!</definedName>
    <definedName name="BExCW3SV40ME5CLLMFXYRWPLUXZR" hidden="1">#REF!</definedName>
    <definedName name="BExCW675YJ71653TB0Y4RMCYCD8I" hidden="1">#REF!</definedName>
    <definedName name="BExCW9Y5HWU4RJTNX74O6L24VGCK" hidden="1">#REF!</definedName>
    <definedName name="BExCWBLEB6E5FIHAWJQWJ4M5JC0S" hidden="1">#REF!</definedName>
    <definedName name="BExCWGZN8B0JC08KJKJVE3FRHVCW" hidden="1">#REF!</definedName>
    <definedName name="BExCWMDUC55BB9243HJDENQJYCT9" hidden="1">#REF!</definedName>
    <definedName name="BExCWPDPESGZS07QGBLSBWDNVJLZ" hidden="1">#REF!</definedName>
    <definedName name="BExCWRS0SANK62JU3H3QY4UHBPS5" hidden="1">#REF!</definedName>
    <definedName name="BExCWTVKHIVCRHF8GC39KI58YM5K" hidden="1">#REF!</definedName>
    <definedName name="BExCWX69ER7R6C6VGOZAPRGXJR2R" localSheetId="8" hidden="1">#REF!</definedName>
    <definedName name="BExCWX69ER7R6C6VGOZAPRGXJR2R" hidden="1">#REF!</definedName>
    <definedName name="BExCWYO6M4P3VV6KD88DK5I58G43" localSheetId="8" hidden="1">#REF!</definedName>
    <definedName name="BExCWYO6M4P3VV6KD88DK5I58G43" hidden="1">#REF!</definedName>
    <definedName name="BExCX0MAF5RFFCEI0XRB4OC6E3SE" hidden="1">#REF!</definedName>
    <definedName name="BExCX2KGRZBRVLZNM8SUSIE6A0RL" hidden="1">#REF!</definedName>
    <definedName name="BExCX3X451T70LZ1VF95L7W4Y4TM" hidden="1">#REF!</definedName>
    <definedName name="BExCX4NZ2N1OUGXM7EV0U7VULJMM" hidden="1">#REF!</definedName>
    <definedName name="BExCX90C3AM9NVXNIAH55ECADWNZ" localSheetId="8" hidden="1">#REF!</definedName>
    <definedName name="BExCX90C3AM9NVXNIAH55ECADWNZ" hidden="1">#REF!</definedName>
    <definedName name="BExCX9BC2RAU4BGJVX7TDS6ZTPFF" hidden="1">#REF!</definedName>
    <definedName name="BExCXAYLA3TMOHIRCEXCXXUSNOKZ" localSheetId="8" hidden="1">#REF!</definedName>
    <definedName name="BExCXAYLA3TMOHIRCEXCXXUSNOKZ" hidden="1">#REF!</definedName>
    <definedName name="BExCXC0EIRZGKHGFWVH6BZGZKSL5" localSheetId="8" hidden="1">#REF!</definedName>
    <definedName name="BExCXC0EIRZGKHGFWVH6BZGZKSL5" hidden="1">#REF!</definedName>
    <definedName name="BExCXILMURGYMAH6N5LF5DV6K3GM" hidden="1">#REF!</definedName>
    <definedName name="BExCXQUFBMXQ1650735H48B1AZT3" hidden="1">#REF!</definedName>
    <definedName name="BExCXQZRFVJXM2E084RXWUFL61VL" hidden="1">#REF!</definedName>
    <definedName name="BExCY1S7BAKSBQMKR4B4654P19NF" hidden="1">#REF!</definedName>
    <definedName name="BExCY2DQO9VLA77Q7EG3T0XNXX4F" hidden="1">#REF!</definedName>
    <definedName name="BExCY4H9JMPB090TG2SILY28IPCR" localSheetId="8" hidden="1">#REF!</definedName>
    <definedName name="BExCY4H9JMPB090TG2SILY28IPCR" hidden="1">#REF!</definedName>
    <definedName name="BExCY6VMJ68MX3C981R5Q0BX5791" hidden="1">#REF!</definedName>
    <definedName name="BExCYAH2SAZCPW6XCB7V7PMMCAWO" hidden="1">#REF!</definedName>
    <definedName name="BExCYJBB52X8B3AREHCC1L5QNPX7" hidden="1">#REF!</definedName>
    <definedName name="BExCYK7MZ56O5XIV8T5XIE9VBQXN" localSheetId="8" hidden="1">#REF!</definedName>
    <definedName name="BExCYK7MZ56O5XIV8T5XIE9VBQXN" hidden="1">#REF!</definedName>
    <definedName name="BExCYPRC5HJE6N2XQTHCT6NXGP8N" hidden="1">#REF!</definedName>
    <definedName name="BExCYR9B6SIZITMC4OCT87X4W6IF" hidden="1">#REF!</definedName>
    <definedName name="BExCYUK0I3UEXZNFDW71G6Z6D8XR" hidden="1">#REF!</definedName>
    <definedName name="BExCZ8CBDM0KM3020JJW3VO0I6F3" hidden="1">#REF!</definedName>
    <definedName name="BExCZ9DYZYQUBPDR6HDH1TVR75YZ" hidden="1">#REF!</definedName>
    <definedName name="BExCZAL5ZRKLUDOAFQQCJB0VL5Y2" hidden="1">#REF!</definedName>
    <definedName name="BExCZBHJ4ZDFD4N4ZS7VAL7FA7P7" localSheetId="8" hidden="1">#REF!</definedName>
    <definedName name="BExCZBHJ4ZDFD4N4ZS7VAL7FA7P7" hidden="1">#REF!</definedName>
    <definedName name="BExCZFZCXMLY5DWESYJ9NGTJYQ8M" hidden="1">#REF!</definedName>
    <definedName name="BExCZIIYIVR25RPUAFTTOCSM7P42" hidden="1">#REF!</definedName>
    <definedName name="BExCZJ4P8WS0BDT31WDXI0ROE7D6" hidden="1">#REF!</definedName>
    <definedName name="BExCZKH6NI0EE02L995IFVBD1J59" hidden="1">#REF!</definedName>
    <definedName name="BExCZRO5I1P399PC3XI683LVMAAN" hidden="1">#REF!</definedName>
    <definedName name="BExCZTROJ5XSVSEXZET42LFXT97X" hidden="1">#REF!</definedName>
    <definedName name="BExCZUD9FEOJBKDJ51Z3JON9LKJ8" hidden="1">#REF!</definedName>
    <definedName name="BExD0508DAALLU00PHFPBC8SRRKT" hidden="1">#REF!</definedName>
    <definedName name="BExD06SXR2OPV4282WTX6ARRQ4JS" localSheetId="8" hidden="1">#REF!</definedName>
    <definedName name="BExD06SXR2OPV4282WTX6ARRQ4JS" hidden="1">#REF!</definedName>
    <definedName name="BExD0HALIN0JR4JTPGDEVAEE5EX5" hidden="1">#REF!</definedName>
    <definedName name="BExD0I1N7IIRDFMIR4ASLPJOCJBF" localSheetId="8" hidden="1">#REF!</definedName>
    <definedName name="BExD0I1N7IIRDFMIR4ASLPJOCJBF" hidden="1">#REF!</definedName>
    <definedName name="BExD0LCCDPG16YLY5WQSZF1XI5DA" hidden="1">#REF!</definedName>
    <definedName name="BExD0NVY9MNB1AD3GIJ610O8Y724" hidden="1">#REF!</definedName>
    <definedName name="BExD0RHFP0BT88XUEPXLV4QEG7LP" hidden="1">#REF!</definedName>
    <definedName name="BExD0RMWSB4TRECEHTH6NN4K9DFZ" hidden="1">#REF!</definedName>
    <definedName name="BExD0U6KG10QGVDI1XSHK0J10A2V" hidden="1">#REF!</definedName>
    <definedName name="BExD0WQ71JYMUDXQTQEITA6DXV3F" localSheetId="8" hidden="1">#REF!</definedName>
    <definedName name="BExD0WQ71JYMUDXQTQEITA6DXV3F" hidden="1">#REF!</definedName>
    <definedName name="BExD13MBFR5LP5BOIIZWTSCNYWKP" hidden="1">#REF!</definedName>
    <definedName name="BExD13RUIBGRXDL4QDZ305UKUR12" hidden="1">#REF!</definedName>
    <definedName name="BExD14DETV5R4OOTMAXD5NAKWRO3" hidden="1">#REF!</definedName>
    <definedName name="BExD189NLCZ0MV1E8GXPW23W160D" localSheetId="8" hidden="1">#REF!</definedName>
    <definedName name="BExD189NLCZ0MV1E8GXPW23W160D" hidden="1">#REF!</definedName>
    <definedName name="BExD1A2EUKN3BALIS4QSGW4TWL4Y" hidden="1">#REF!</definedName>
    <definedName name="BExD1G7IF1T7LBAHHBG2BJ1DV905" localSheetId="8" hidden="1">#REF!</definedName>
    <definedName name="BExD1G7IF1T7LBAHHBG2BJ1DV905" hidden="1">#REF!</definedName>
    <definedName name="BExD1OAU9OXQAZA4D70HP72CU6GB" hidden="1">#REF!</definedName>
    <definedName name="BExD1P77QUX98XVDU9Z3MNR7LL06" hidden="1">#REF!</definedName>
    <definedName name="BExD1WZP4AU40YCW7GWTHNXDE1IU" hidden="1">#REF!</definedName>
    <definedName name="BExD1Y1JV61416YA1XRQHKWPZIE7" hidden="1">#REF!</definedName>
    <definedName name="BExD2CFHIRMBKN5KXE5QP4XXEWFS" hidden="1">#REF!</definedName>
    <definedName name="BExD2DMHH1HWXQ9W0YYMDP8AAX8Q" hidden="1">#REF!</definedName>
    <definedName name="BExD2HIRA37W2G2NB8VJS1FWXZXV" hidden="1">#REF!</definedName>
    <definedName name="BExD2HTPC7IWBAU6OSQ67MQA8BYZ" hidden="1">#REF!</definedName>
    <definedName name="BExD2JBHB4WDFBDQ5LMSFZCP0X1T" hidden="1">#REF!</definedName>
    <definedName name="BExD2MRMSOCW29ZLJ226FVCE2K34" localSheetId="8" hidden="1">#REF!</definedName>
    <definedName name="BExD2MRMSOCW29ZLJ226FVCE2K34" hidden="1">#REF!</definedName>
    <definedName name="BExD2NNZDMGEP8W1QGEAV7N2P1BK" hidden="1">#REF!</definedName>
    <definedName name="BExD2RK9LE7I985N677G3WNH5DIV" localSheetId="8" hidden="1">#REF!</definedName>
    <definedName name="BExD2RK9LE7I985N677G3WNH5DIV" hidden="1">#REF!</definedName>
    <definedName name="BExD363H2VGFIQUCE6LS4AC5J0ZT" hidden="1">#REF!</definedName>
    <definedName name="BExD37W7YUULHO5DGYRP7KYM65NC" localSheetId="8" hidden="1">#REF!</definedName>
    <definedName name="BExD37W7YUULHO5DGYRP7KYM65NC" hidden="1">#REF!</definedName>
    <definedName name="BExD3A588E939V61P1XEW0FI5Q0S" hidden="1">#REF!</definedName>
    <definedName name="BExD3CJJDKVR9M18XI3WDZH80WL6" hidden="1">#REF!</definedName>
    <definedName name="BExD3CZN9Q1O82T1J0TMGD7VV70O" hidden="1">#REF!</definedName>
    <definedName name="BExD3DFXLUDAJ93EAQGTNFX31SZX" localSheetId="8" hidden="1">#REF!</definedName>
    <definedName name="BExD3DFXLUDAJ93EAQGTNFX31SZX" hidden="1">#REF!</definedName>
    <definedName name="BExD3EHK5D22OBA4INIHYLCS42BH" hidden="1">#REF!</definedName>
    <definedName name="BExD3ESD9WYJIB3TRDPJ1CKXRAVL" hidden="1">#REF!</definedName>
    <definedName name="BExD3F368X5S25MWSUNIV57RDB57" hidden="1">#REF!</definedName>
    <definedName name="BExD3GVWH0ACNL9KJW2X5MNXCHIE" hidden="1">#REF!</definedName>
    <definedName name="BExD3IJ5IT335SOSNV9L85WKAOSI" hidden="1">#REF!</definedName>
    <definedName name="BExD3KBVUY57GMMQTOFEU6S6G1AY" hidden="1">#REF!</definedName>
    <definedName name="BExD3LZBWZT37SJXH80S0SS58NYE" localSheetId="8" hidden="1">#REF!</definedName>
    <definedName name="BExD3LZBWZT37SJXH80S0SS58NYE" hidden="1">#REF!</definedName>
    <definedName name="BExD3NMR7AW2Z6V8SC79VQR37NA6" hidden="1">#REF!</definedName>
    <definedName name="BExD3PKTT0MHJPK56ADYPFIYXKO7" localSheetId="8" hidden="1">#REF!</definedName>
    <definedName name="BExD3PKTT0MHJPK56ADYPFIYXKO7" hidden="1">#REF!</definedName>
    <definedName name="BExD3QXA2UQ2W4N7NYLUEOG40BZB" hidden="1">#REF!</definedName>
    <definedName name="BExD3U2N041TEJ7GCN005UTPHNXY" hidden="1">#REF!</definedName>
    <definedName name="BExD402GFM60T7W08L4Z83VSLJWQ" hidden="1">#REF!</definedName>
    <definedName name="BExD40O0CFTNJFOFMMM1KH0P7BUI" hidden="1">#REF!</definedName>
    <definedName name="BExD4441BCLKH9FEJVJQT0KFYF89" hidden="1">#REF!</definedName>
    <definedName name="BExD467PBJ0B3U96GO7S13SBOVKD" hidden="1">#REF!</definedName>
    <definedName name="BExD47UZN79E7UZ1PF13H1AL03VT" localSheetId="8" hidden="1">#REF!</definedName>
    <definedName name="BExD47UZN79E7UZ1PF13H1AL03VT" hidden="1">#REF!</definedName>
    <definedName name="BExD4B5OJKUPJMFR7AZJGR6UVR3E" localSheetId="8" hidden="1">#REF!</definedName>
    <definedName name="BExD4B5OJKUPJMFR7AZJGR6UVR3E" hidden="1">#REF!</definedName>
    <definedName name="BExD4BR9HJ3MWWZ5KLVZWX9FJAUS" hidden="1">#REF!</definedName>
    <definedName name="BExD4F1WTKT3H0N9MF4H1LX7MBSY" hidden="1">#REF!</definedName>
    <definedName name="BExD4H5GQWXBS6LUL3TSP36DVO38" hidden="1">#REF!</definedName>
    <definedName name="BExD4JEB7QFKYHEZ552EE2F2ZTXW" hidden="1">#REF!</definedName>
    <definedName name="BExD4JJSS3QDBLABCJCHD45SRNPI" hidden="1">#REF!</definedName>
    <definedName name="BExD4ON7CQ430NE8T7SNGLMY7BNJ" hidden="1">#REF!</definedName>
    <definedName name="BExD4PE23WWMJJW34MFPPYYBJK74" hidden="1">#REF!</definedName>
    <definedName name="BExD4R1I0MKF033I5LPUYIMTZ6E8" hidden="1">#REF!</definedName>
    <definedName name="BExD4RHMHOHG2WM6HI950PSP13F8" localSheetId="8" hidden="1">#REF!</definedName>
    <definedName name="BExD4RHMHOHG2WM6HI950PSP13F8" hidden="1">#REF!</definedName>
    <definedName name="BExD4TADDG8AJ703VRKQLSKRCXO8" hidden="1">#REF!</definedName>
    <definedName name="BExD50MT3M6XZLNUP9JL93EG6D9R" hidden="1">#REF!</definedName>
    <definedName name="BExD5EV7KDSVF1CJT38M4IBPFLPY" hidden="1">#REF!</definedName>
    <definedName name="BExD5FRK547OESJRYAW574DZEZ7J" hidden="1">#REF!</definedName>
    <definedName name="BExD5HV385KSJ9M6T393OIXRCAQL" hidden="1">#REF!</definedName>
    <definedName name="BExD5I5X2YA2YNCTCDSMEL4CWF4N" hidden="1">#REF!</definedName>
    <definedName name="BExD5P7D7B3TCMJQY4TM56KCPB73" localSheetId="8" hidden="1">#REF!</definedName>
    <definedName name="BExD5P7D7B3TCMJQY4TM56KCPB73" hidden="1">#REF!</definedName>
    <definedName name="BExD5QUSRFJWRQ1ZM50WYLCF74DF" hidden="1">#REF!</definedName>
    <definedName name="BExD5SSUIF6AJQHBHK8PNMFBPRYB" hidden="1">#REF!</definedName>
    <definedName name="BExD623C9LRX18BE0W2V6SZLQUXX" hidden="1">#REF!</definedName>
    <definedName name="BExD6BZF6UGC8YXEZJ8URJDY0HUJ" localSheetId="8" hidden="1">#REF!</definedName>
    <definedName name="BExD6BZF6UGC8YXEZJ8URJDY0HUJ" hidden="1">#REF!</definedName>
    <definedName name="BExD6CQA7UMJBXV7AIFAIHUF2ICX" hidden="1">#REF!</definedName>
    <definedName name="BExD6FKVK8WJWNYPVENR7Q8Q30PK" hidden="1">#REF!</definedName>
    <definedName name="BExD6GMP0LK8WKVWMIT1NNH8CHLF" hidden="1">#REF!</definedName>
    <definedName name="BExD6H2TE0WWAUIWVSSCLPZ6B88N" hidden="1">#REF!</definedName>
    <definedName name="BExD6N2MO6ZGTGRCNBDOE0J6RH0Y" hidden="1">#REF!</definedName>
    <definedName name="BExD6P0T1888A5GQ5S7DYIUXU2BV" hidden="1">#REF!</definedName>
    <definedName name="BExD6XV0BDU8LPQPWSKHU0XX0UPR" localSheetId="8" hidden="1">#REF!</definedName>
    <definedName name="BExD6XV0BDU8LPQPWSKHU0XX0UPR" hidden="1">#REF!</definedName>
    <definedName name="BExD71LTOE015TV5RSAHM8NT8GVW" hidden="1">#REF!</definedName>
    <definedName name="BExD73USXVADC7EHGHVTQNCT06ZA" hidden="1">#REF!</definedName>
    <definedName name="BExD7BHV7HLM7UK7DAJVVXNT0B1S" hidden="1">#REF!</definedName>
    <definedName name="BExD7CE8ZR0EL3ZQP0AYQ5XQUH9L" localSheetId="8" hidden="1">#REF!</definedName>
    <definedName name="BExD7CE8ZR0EL3ZQP0AYQ5XQUH9L" hidden="1">#REF!</definedName>
    <definedName name="BExD7EN8PG0TMWG47ZZ7YQSGRX27" hidden="1">#REF!</definedName>
    <definedName name="BExD7F8UMTBH71VHG0B7P1ZHKH3S" hidden="1">#REF!</definedName>
    <definedName name="BExD7GAIGULTB3YHM1OS9RBQOTEC" hidden="1">#REF!</definedName>
    <definedName name="BExD7GAIHX094KROB46WFTL2XBWL" localSheetId="8" hidden="1">#REF!</definedName>
    <definedName name="BExD7GAIHX094KROB46WFTL2XBWL" hidden="1">#REF!</definedName>
    <definedName name="BExD7GLBT30WAEOW69QFUOM1PODZ" hidden="1">#REF!</definedName>
    <definedName name="BExD7IE1DHIS52UFDCTSKPJQNRD5" hidden="1">#REF!</definedName>
    <definedName name="BExD7IUBGUWHYC9UNZ1IY5XFYKQN" hidden="1">#REF!</definedName>
    <definedName name="BExD7IZMKM0QIFE7EV1NYL6EZVJZ" localSheetId="8" hidden="1">#REF!</definedName>
    <definedName name="BExD7IZMKM0QIFE7EV1NYL6EZVJZ" hidden="1">#REF!</definedName>
    <definedName name="BExD7JQOJ35HGL8U2OCEI2P2JT7I" hidden="1">#REF!</definedName>
    <definedName name="BExD7KSDKNDNH95NDT3S7GM3MUU2" hidden="1">#REF!</definedName>
    <definedName name="BExD7SVOH5J3ZVHK9KI2N1XE0CC3" localSheetId="8" hidden="1">#REF!</definedName>
    <definedName name="BExD7SVOH5J3ZVHK9KI2N1XE0CC3" hidden="1">#REF!</definedName>
    <definedName name="BExD7V4PCVR1ACVPOJXKJ4CSROIX" localSheetId="8" hidden="1">#REF!</definedName>
    <definedName name="BExD7V4PCVR1ACVPOJXKJ4CSROIX" hidden="1">#REF!</definedName>
    <definedName name="BExD802NBWWQ98QVTFANXF3YBY9A" hidden="1">#REF!</definedName>
    <definedName name="BExD819S39VUTMASCBMYI883THJ3" localSheetId="8" hidden="1">#REF!</definedName>
    <definedName name="BExD819S39VUTMASCBMYI883THJ3" hidden="1">#REF!</definedName>
    <definedName name="BExD81F8Z3TF3RSZBN3O38DFUW0J" hidden="1">#REF!</definedName>
    <definedName name="BExD83ILVRP7W0P4N8AX9IOL1GT3" hidden="1">#REF!</definedName>
    <definedName name="BExD897MVOM5FHBO8JAOQ5MUCYO7" hidden="1">#REF!</definedName>
    <definedName name="BExD89YOLET3OFLL6OPYTM3F9V41" hidden="1">#REF!</definedName>
    <definedName name="BExD8CYKX2WGEDSW6KFP6MND1PM0" localSheetId="8" hidden="1">#REF!</definedName>
    <definedName name="BExD8CYKX2WGEDSW6KFP6MND1PM0" hidden="1">#REF!</definedName>
    <definedName name="BExD8H5MGJFMK4HK6DOAGTFYV6JT" localSheetId="8" hidden="1">#REF!</definedName>
    <definedName name="BExD8H5MGJFMK4HK6DOAGTFYV6JT" hidden="1">#REF!</definedName>
    <definedName name="BExD8H5O087KQVWIVPUUID5VMGMS" hidden="1">#REF!</definedName>
    <definedName name="BExD8KWFYVMYYY2YJ34JT4QNLLTE" localSheetId="8" hidden="1">#REF!</definedName>
    <definedName name="BExD8KWFYVMYYY2YJ34JT4QNLLTE" hidden="1">#REF!</definedName>
    <definedName name="BExD8OCLZMFN5K3VZYI4Q4ITVKUA" hidden="1">#REF!</definedName>
    <definedName name="BExD91ONIN2Y749KG9C06DWVC7J4" hidden="1">#REF!</definedName>
    <definedName name="BExD92L1552LNG75NH03KRT0DOAA" hidden="1">#REF!</definedName>
    <definedName name="BExD93C1R6LC0631ECHVFYH0R0PD" hidden="1">#REF!</definedName>
    <definedName name="BExD97TXIO0COVNN4OH3DEJ33YLM" hidden="1">#REF!</definedName>
    <definedName name="BExD99RZ1RFIMK6O1ZHSPJ68X9Y5" hidden="1">#REF!</definedName>
    <definedName name="BExD9IMBI0P6S6QRAXHE26HMK86D" localSheetId="8" hidden="1">#REF!</definedName>
    <definedName name="BExD9IMBI0P6S6QRAXHE26HMK86D" hidden="1">#REF!</definedName>
    <definedName name="BExD9KKDZOHZ7TBKKZETNO3HIGC0" localSheetId="8" hidden="1">#REF!</definedName>
    <definedName name="BExD9KKDZOHZ7TBKKZETNO3HIGC0" hidden="1">#REF!</definedName>
    <definedName name="BExD9L0ID3VSOU609GKWYTA5BFMA" hidden="1">#REF!</definedName>
    <definedName name="BExD9M7SEMG0JK2FUTTZXWIEBTKB" hidden="1">#REF!</definedName>
    <definedName name="BExD9MNYBYB1AICQL5165G472IE2" hidden="1">#REF!</definedName>
    <definedName name="BExD9PNSYT7GASEGUVL48MUQ02WO" hidden="1">#REF!</definedName>
    <definedName name="BExD9TK2MIWFH5SKUYU9ZKF4NPHQ" hidden="1">#REF!</definedName>
    <definedName name="BExD9UGHCPM7MXB7OMM12AT9HR38" hidden="1">#REF!</definedName>
    <definedName name="BExD9VSWKZT82BVBIM6C0E9T774T" hidden="1">#REF!</definedName>
    <definedName name="BExD9WJZAKI090PW80DNS1CWQV57" hidden="1">#REF!</definedName>
    <definedName name="BExDA0G8VAMUXKMZ23KBF44VMEBA" hidden="1">#REF!</definedName>
    <definedName name="BExDA6LD9061UULVKUUI4QP8SK13" hidden="1">#REF!</definedName>
    <definedName name="BExDAGMVMNLQ6QXASB9R6D8DIT12" hidden="1">#REF!</definedName>
    <definedName name="BExDAHOLCBTYVDWL96LYOL9EBEKT" hidden="1">#REF!</definedName>
    <definedName name="BExDAYBHU9ADLXI8VRC7F608RVGM" hidden="1">#REF!</definedName>
    <definedName name="BExDB39GNDHCPPB7U2PZQO5TJ1OI" localSheetId="8" hidden="1">#REF!</definedName>
    <definedName name="BExDB39GNDHCPPB7U2PZQO5TJ1OI" hidden="1">#REF!</definedName>
    <definedName name="BExDBAGEQE9K580PDS8EIIHO0JW3" hidden="1">#REF!</definedName>
    <definedName name="BExDBBCQT7FCG4Z32N4ZRZA36P86" hidden="1">#REF!</definedName>
    <definedName name="BExDBDR1XR0FV0CYUCB2OJ7CJCZU" hidden="1">#REF!</definedName>
    <definedName name="BExDBECNFJKO0HIOIKTWDCSWP755" localSheetId="8" hidden="1">#REF!</definedName>
    <definedName name="BExDBECNFJKO0HIOIKTWDCSWP755" hidden="1">#REF!</definedName>
    <definedName name="BExDBGQYJ8F0SOKQX4QKND4SR29E" hidden="1">#REF!</definedName>
    <definedName name="BExDBI8WRY61SHXKAT4UFXLB15E8" localSheetId="8" hidden="1">#REF!</definedName>
    <definedName name="BExDBI8WRY61SHXKAT4UFXLB15E8" hidden="1">#REF!</definedName>
    <definedName name="BExDBZBW3EHQF6J0XXIT3ZMXPL8C" localSheetId="8" hidden="1">#REF!</definedName>
    <definedName name="BExDBZBW3EHQF6J0XXIT3ZMXPL8C" hidden="1">#REF!</definedName>
    <definedName name="BExDC14NKAONR590UUFQW3WREIHW" localSheetId="8" hidden="1">#REF!</definedName>
    <definedName name="BExDC14NKAONR590UUFQW3WREIHW" hidden="1">#REF!</definedName>
    <definedName name="BExDC7F818VN0S18ID7XRCRVYPJ4" hidden="1">#REF!</definedName>
    <definedName name="BExDCL7K96PC9VZYB70ZW3QPVIJE" hidden="1">#REF!</definedName>
    <definedName name="BExDCMPIHH27EAXTDLP095HYA29X" hidden="1">#REF!</definedName>
    <definedName name="BExDCP3UZ3C2O4C1F7KMU0Z9U32N" hidden="1">#REF!</definedName>
    <definedName name="BExENRJDC2MGQRJ6EHLAWX5I4SRS" localSheetId="8" hidden="1">#REF!</definedName>
    <definedName name="BExENRJDC2MGQRJ6EHLAWX5I4SRS" hidden="1">#REF!</definedName>
    <definedName name="BExEO14PEHD6S5WFLRI9NDM2E63Y" hidden="1">#REF!</definedName>
    <definedName name="BExEOBX3WECDMYCV9RLN49APTXMM" hidden="1">#REF!</definedName>
    <definedName name="BExEP0SNWZSBUGCSCRTHDPSYMAJN" hidden="1">#REF!</definedName>
    <definedName name="BExEP36ZGH1QC8MST1ZYK0THYQOC" hidden="1">#REF!</definedName>
    <definedName name="BExEP4E4F36662JDI0TOD85OP7X9" hidden="1">#REF!</definedName>
    <definedName name="BExEP7388TKNL6FEJW00XN7FHEUG" localSheetId="8" hidden="1">#REF!</definedName>
    <definedName name="BExEP7388TKNL6FEJW00XN7FHEUG" hidden="1">#REF!</definedName>
    <definedName name="BExEPG2W0Q7WJU9FU3W3NB9VZJFP" hidden="1">#REF!</definedName>
    <definedName name="BExEPHKUTAAJ43E9OWDB3R2NF740" hidden="1">#REF!</definedName>
    <definedName name="BExEPJDLNCM548KHJGBJU8P61PDW" hidden="1">#REF!</definedName>
    <definedName name="BExEPN9VIYI0FVL0HLZQXJFO6TT0" hidden="1">#REF!</definedName>
    <definedName name="BExEPTV6VLCSQ9HSOZTP4P3IPK64" hidden="1">#REF!</definedName>
    <definedName name="BExEPYT6VDSMR8MU2341Q5GM2Y9V" hidden="1">#REF!</definedName>
    <definedName name="BExEQ2ENYLMY8K1796XBB31CJHNN" hidden="1">#REF!</definedName>
    <definedName name="BExEQ2PFE4N40LEPGDPS90WDL6BN" hidden="1">#REF!</definedName>
    <definedName name="BExEQ2PFURT24NQYGYVE8NKX1EGA" hidden="1">#REF!</definedName>
    <definedName name="BExEQAY8TS4K6HET6G6NK8OBQZ9E" hidden="1">#REF!</definedName>
    <definedName name="BExEQB8ZWXO6IIGOEPWTLOJGE2NR" hidden="1">#REF!</definedName>
    <definedName name="BExEQBZX0EL6LIKPY01197ACK65H" hidden="1">#REF!</definedName>
    <definedName name="BExEQD73QE34MW57L1HFXSTB7QEG" localSheetId="8" hidden="1">#REF!</definedName>
    <definedName name="BExEQD73QE34MW57L1HFXSTB7QEG" hidden="1">#REF!</definedName>
    <definedName name="BExEQDXZALJLD4OBF74IKZBR13SR" hidden="1">#REF!</definedName>
    <definedName name="BExEQFLE2RPWGMWQAI4JMKUEFRPT" hidden="1">#REF!</definedName>
    <definedName name="BExEQFW78LO7D638MFM90MRNXIRH" hidden="1">#REF!</definedName>
    <definedName name="BExEQRQAFHODQBYKVP4D54PLD171" hidden="1">#REF!</definedName>
    <definedName name="BExEQTZAP8R69U31W4LKGTKKGKQE" hidden="1">#REF!</definedName>
    <definedName name="BExEQUKUTJ9LJYXSO53AFU5360R4" localSheetId="8" hidden="1">#REF!</definedName>
    <definedName name="BExEQUKUTJ9LJYXSO53AFU5360R4" hidden="1">#REF!</definedName>
    <definedName name="BExEQVH9SOLPJ0C7ZZ2X1H7QI1VL" localSheetId="8" hidden="1">#REF!</definedName>
    <definedName name="BExEQVH9SOLPJ0C7ZZ2X1H7QI1VL" hidden="1">#REF!</definedName>
    <definedName name="BExER1BJWNQC5QAD42O6AR60W9HF" hidden="1">#REF!</definedName>
    <definedName name="BExER2O72H1F9WV6S1J04C15PXX7" hidden="1">#REF!</definedName>
    <definedName name="BExER9EVBIGPD433TKGCYZJS4YQ1" hidden="1">#REF!</definedName>
    <definedName name="BExERCETL5ZVXSS6EENB85QCSRYG" localSheetId="8" hidden="1">#REF!</definedName>
    <definedName name="BExERCETL5ZVXSS6EENB85QCSRYG" hidden="1">#REF!</definedName>
    <definedName name="BExERIUTB21WQ9WVQXUCDCGSH23E" localSheetId="8" hidden="1">#REF!</definedName>
    <definedName name="BExERIUTB21WQ9WVQXUCDCGSH23E" hidden="1">#REF!</definedName>
    <definedName name="BExERRUIKIOATPZ9U4HQ0V52RJAU" hidden="1">#REF!</definedName>
    <definedName name="BExERSANFNM1O7T65PC5MJ301YET" hidden="1">#REF!</definedName>
    <definedName name="BExERSLFEDXNMOLAZ2VOI6VVJCBW" localSheetId="8" hidden="1">#REF!</definedName>
    <definedName name="BExERSLFEDXNMOLAZ2VOI6VVJCBW" hidden="1">#REF!</definedName>
    <definedName name="BExERWCEBKQRYWRQLYJ4UCMMKTHG" localSheetId="7" hidden="1">#REF!</definedName>
    <definedName name="BExERWCEBKQRYWRQLYJ4UCMMKTHG" hidden="1">#REF!</definedName>
    <definedName name="BExERWSHQNEWSH3ARK7ZZK48HFFL" hidden="1">#REF!</definedName>
    <definedName name="BExERWSHS5678NWP0NM8J09K2OGY" localSheetId="8" hidden="1">#REF!</definedName>
    <definedName name="BExERWSHS5678NWP0NM8J09K2OGY" hidden="1">#REF!</definedName>
    <definedName name="BExERYL7R20WGD1NOBYXHB8DYS5N" localSheetId="8" hidden="1">#REF!</definedName>
    <definedName name="BExERYL7R20WGD1NOBYXHB8DYS5N" hidden="1">#REF!</definedName>
    <definedName name="BExES1L3SHESYMK6Q262IG9GVUHF" hidden="1">#REF!</definedName>
    <definedName name="BExES44RHHDL3V7FLV6M20834WF1" hidden="1">#REF!</definedName>
    <definedName name="BExES4A7VE2X3RYYTVRLKZD4I7WU" hidden="1">#REF!</definedName>
    <definedName name="BExES6ZC8R7PHJ21OVJFLIR7DY30" hidden="1">#REF!</definedName>
    <definedName name="BExESMKD95A649M0WRSG6CXXP326" hidden="1">#REF!</definedName>
    <definedName name="BExESR27ZXJG5VMY4PR9D940VS7T" hidden="1">#REF!</definedName>
    <definedName name="BExESZ03KXL8DQ2591HLR56ZML94" hidden="1">#REF!</definedName>
    <definedName name="BExESZAW5N443NRTKIP59OEI1CR6" hidden="1">#REF!</definedName>
    <definedName name="BExET3HXQ60A4O2OLKX8QNXRI6LQ" hidden="1">#REF!</definedName>
    <definedName name="BExET4UKH1NKE5IRJ9FB3XDVK6I5" hidden="1">#REF!</definedName>
    <definedName name="BExETA3B1FCIOA80H94K90FWXQKE" hidden="1">#REF!</definedName>
    <definedName name="BExETAUD7SPNZXP864UMHMCSJS1H" localSheetId="8" hidden="1">#REF!</definedName>
    <definedName name="BExETAUD7SPNZXP864UMHMCSJS1H" hidden="1">#REF!</definedName>
    <definedName name="BExETAZOYT4CJIT8RRKC9F2HJG1D" hidden="1">#REF!</definedName>
    <definedName name="BExETF6QD5A9GEINE1KZRRC2LXWM" hidden="1">#REF!</definedName>
    <definedName name="BExETL11QS689GERX9VTTBKMYAOG" hidden="1">#REF!</definedName>
    <definedName name="BExETQ9XRXLUACN82805SPSPNKHI" hidden="1">#REF!</definedName>
    <definedName name="BExETQFFLH766OHX0PD3NEIK0DIF" localSheetId="8" hidden="1">#REF!</definedName>
    <definedName name="BExETQFFLH766OHX0PD3NEIK0DIF" hidden="1">#REF!</definedName>
    <definedName name="BExETR0YRMOR63E6DHLEHV9QVVON" hidden="1">#REF!</definedName>
    <definedName name="BExETVDCXGPYA4OP2UI1URTJ60TK" localSheetId="8" hidden="1">#REF!</definedName>
    <definedName name="BExETVDCXGPYA4OP2UI1URTJ60TK" hidden="1">#REF!</definedName>
    <definedName name="BExETVTGY38YXYYF7N73OYN6FYY3" hidden="1">#REF!</definedName>
    <definedName name="BExEU8PG8HSCF1IMIYHRSI0VWUBX" hidden="1">#REF!</definedName>
    <definedName name="BExEUM6Y5MUDV2WYYY9ICV8796JQ" localSheetId="8" hidden="1">#REF!</definedName>
    <definedName name="BExEUM6Y5MUDV2WYYY9ICV8796JQ" hidden="1">#REF!</definedName>
    <definedName name="BExEUNE4T242Y59C6MS28MXEUGCP" hidden="1">#REF!</definedName>
    <definedName name="BExEURADM1OSOB6E25G6028W6HWC" hidden="1">#REF!</definedName>
    <definedName name="BExEUTOOSAR1CJ6S2O9NTTQMWXNZ" localSheetId="8" hidden="1">#REF!</definedName>
    <definedName name="BExEUTOOSAR1CJ6S2O9NTTQMWXNZ" hidden="1">#REF!</definedName>
    <definedName name="BExEUWZEXWRRHI1WSA089PODEXZH" hidden="1">#REF!</definedName>
    <definedName name="BExEV2TP7NA3ZR6RJGH5ER370OUM" hidden="1">#REF!</definedName>
    <definedName name="BExEV69USLNYO2QRJRC0J92XUF00" hidden="1">#REF!</definedName>
    <definedName name="BExEV6KNTQOCFD7GV726XQEVQ7R6" hidden="1">#REF!</definedName>
    <definedName name="BExEV6VGM4POO9QT9KH3QA3VYCWM" hidden="1">#REF!</definedName>
    <definedName name="BExEVAM8BLTWVS6IMVJWDOZBQK9R" localSheetId="8" hidden="1">#REF!</definedName>
    <definedName name="BExEVAM8BLTWVS6IMVJWDOZBQK9R" hidden="1">#REF!</definedName>
    <definedName name="BExEVET98G3FU6QBF9LHYWSAMV0O" hidden="1">#REF!</definedName>
    <definedName name="BExEVL3UZ22W55ZRF3F0J21PKQLX" localSheetId="8" hidden="1">#REF!</definedName>
    <definedName name="BExEVL3UZ22W55ZRF3F0J21PKQLX" hidden="1">#REF!</definedName>
    <definedName name="BExEVNCUT0PDUYNJH7G6BSEWZOT2" hidden="1">#REF!</definedName>
    <definedName name="BExEVPGF4V5J0WQRZKUM8F9TTKZJ" hidden="1">#REF!</definedName>
    <definedName name="BExEVPWH8S9GER9M14SPIT6XZ8SG" localSheetId="8" hidden="1">#REF!</definedName>
    <definedName name="BExEVPWH8S9GER9M14SPIT6XZ8SG" hidden="1">#REF!</definedName>
    <definedName name="BExEVVLIEVWYRF2UUC1H0H5QU1CP" hidden="1">#REF!</definedName>
    <definedName name="BExEVWCKO8T84GW9Z3X47915XKSH" hidden="1">#REF!</definedName>
    <definedName name="BExEVZSJWMZ5L2ZE7AZC57CXKW6T" hidden="1">#REF!</definedName>
    <definedName name="BExEW0JL1GFFCXMDGW54CI7Y8FZN" hidden="1">#REF!</definedName>
    <definedName name="BExEW6357VV6LVZCWOOM0R3T78QK" localSheetId="8" hidden="1">#REF!</definedName>
    <definedName name="BExEW6357VV6LVZCWOOM0R3T78QK" hidden="1">#REF!</definedName>
    <definedName name="BExEW68M9WL8214QH9C7VCK7BN08" hidden="1">#REF!</definedName>
    <definedName name="BExEW8HFKH6F47KIHYBDRUEFZ2ZZ" hidden="1">#REF!</definedName>
    <definedName name="BExEWCZACBUSDFC8RZQKS0U765L8" hidden="1">#REF!</definedName>
    <definedName name="BExEWHXF5F2E8FN7TRI5U2ZY0T0P" localSheetId="8" hidden="1">#REF!</definedName>
    <definedName name="BExEWHXF5F2E8FN7TRI5U2ZY0T0P" hidden="1">#REF!</definedName>
    <definedName name="BExEWLIR5Y5Q2I6BXUK3HY37HA62" hidden="1">#REF!</definedName>
    <definedName name="BExEWLO75K95C6IRKHXSP7VP81T4" hidden="1">#REF!</definedName>
    <definedName name="BExEWNBGQS1U2LW3W84T4LSJ9K00" hidden="1">#REF!</definedName>
    <definedName name="BExEWO7STL7HNZSTY8VQBPTX1WK6" hidden="1">#REF!</definedName>
    <definedName name="BExEWQ0M1N3KMKTDJ73H10QSG4W1" hidden="1">#REF!</definedName>
    <definedName name="BExEX2R7WFRKMNAJNYDENREKS4A1" hidden="1">#REF!</definedName>
    <definedName name="BExEX85F3OSW8NSCYGYPS9372Z1Q" hidden="1">#REF!</definedName>
    <definedName name="BExEX9HWY2G6928ZVVVQF77QCM2C" hidden="1">#REF!</definedName>
    <definedName name="BExEX9Y5R4ZL127FGOBRLEKRQSZZ" hidden="1">#REF!</definedName>
    <definedName name="BExEXAJLG00EOC2895Y227ELMBGY" hidden="1">#REF!</definedName>
    <definedName name="BExEXBQWAYKMVBRJRHB8PFCSYFVN" hidden="1">#REF!</definedName>
    <definedName name="BExEXHFVZAL9DQ8MGZKLEYHF02OV" hidden="1">#REF!</definedName>
    <definedName name="BExEXPZCBF06HJPPFDFH9Y1TRQJP" hidden="1">#REF!</definedName>
    <definedName name="BExEXRBZ0DI9E2UFLLKYWGN66B61" hidden="1">#REF!</definedName>
    <definedName name="BExEXU6EQ0ZOBMJY0WDXS51MY0HP" hidden="1">#REF!</definedName>
    <definedName name="BExEY067KMBNYP9WMRGOH8ITDBLD" localSheetId="8" hidden="1">#REF!</definedName>
    <definedName name="BExEY067KMBNYP9WMRGOH8ITDBLD" hidden="1">#REF!</definedName>
    <definedName name="BExEYGCSYH6XC1X89ZT8VJVQ6THP" localSheetId="8" hidden="1">#REF!</definedName>
    <definedName name="BExEYGCSYH6XC1X89ZT8VJVQ6THP" hidden="1">#REF!</definedName>
    <definedName name="BExEYK92XABLKZCSZM777K996FCT" hidden="1">#REF!</definedName>
    <definedName name="BExEYLG9FL9V1JPPNZ3FUDNSEJ4V" hidden="1">#REF!</definedName>
    <definedName name="BExEYOW8C1B3OUUCIGEC7L8OOW1Z" hidden="1">#REF!</definedName>
    <definedName name="BExEYUQJXZT6N5HJH8ACJF6SRWEE" hidden="1">#REF!</definedName>
    <definedName name="BExEYVHM7COM2XBAZH71USCAT6K9" localSheetId="8" hidden="1">#REF!</definedName>
    <definedName name="BExEYVHM7COM2XBAZH71USCAT6K9" hidden="1">#REF!</definedName>
    <definedName name="BExEYW8O56SE67A8CIT413PPQFWN" localSheetId="8" hidden="1">#REF!</definedName>
    <definedName name="BExEYW8O56SE67A8CIT413PPQFWN" hidden="1">#REF!</definedName>
    <definedName name="BExEYXQGOT90CC2QXVUDAMIS2SD6" localSheetId="8" hidden="1">#REF!</definedName>
    <definedName name="BExEYXQGOT90CC2QXVUDAMIS2SD6" hidden="1">#REF!</definedName>
    <definedName name="BExEYY17N22FDMK6IA4HQRCTNPYL" localSheetId="8" hidden="1">#REF!</definedName>
    <definedName name="BExEYY17N22FDMK6IA4HQRCTNPYL" hidden="1">#REF!</definedName>
    <definedName name="BExEZ1S6VZCG01ZPLBSS9Z1SBOJ2" hidden="1">#REF!</definedName>
    <definedName name="BExEZ4BZN11HWAPZM9XQVA79EQ0F" hidden="1">#REF!</definedName>
    <definedName name="BExEZ5J01IP8PSXJXS7XRZ7MYR97" hidden="1">#REF!</definedName>
    <definedName name="BExEZ9KQBODL9XV164BUJ60ZI2LZ" hidden="1">#REF!</definedName>
    <definedName name="BExEZFPZKLS4GGKV39NX0GL8AK7B" localSheetId="8" hidden="1">#REF!</definedName>
    <definedName name="BExEZFPZKLS4GGKV39NX0GL8AK7B" hidden="1">#REF!</definedName>
    <definedName name="BExEZGBFNJR8DLPN0V11AU22L6WY" hidden="1">#REF!</definedName>
    <definedName name="BExEZJM4BTHK3A2MWPMUH9HX96WI" hidden="1">#REF!</definedName>
    <definedName name="BExEZJRKPQ67MRSB21PBWOTIHPA5" hidden="1">#REF!</definedName>
    <definedName name="BExEZQYJOJHYEPP1KDKO5GH7U528" hidden="1">#REF!</definedName>
    <definedName name="BExEZQYJW81F362CWKW5HLAAM45I" localSheetId="8" hidden="1">#REF!</definedName>
    <definedName name="BExEZQYJW81F362CWKW5HLAAM45I" hidden="1">#REF!</definedName>
    <definedName name="BExEZRUWACAK4QIB9Q22G1ZXAWO4" hidden="1">#REF!</definedName>
    <definedName name="BExEZSB03XBNS6U0IDXZELANIPFI" hidden="1">#REF!</definedName>
    <definedName name="BExEZSWLMZZ2RK34GSJ9Q3NPCFT2" localSheetId="8" hidden="1">#REF!</definedName>
    <definedName name="BExEZSWLMZZ2RK34GSJ9Q3NPCFT2" hidden="1">#REF!</definedName>
    <definedName name="BExEZTYFQE913AWJM0RACY0UWBIN" localSheetId="8" hidden="1">#REF!</definedName>
    <definedName name="BExEZTYFQE913AWJM0RACY0UWBIN" hidden="1">#REF!</definedName>
    <definedName name="BExF02Y3V3QEPO2XLDSK47APK9XJ" hidden="1">#REF!</definedName>
    <definedName name="BExF09OS91RT7N7IW8JLMZ121ZP3" hidden="1">#REF!</definedName>
    <definedName name="BExF0GFNDFCOY4V86D03W6SAWVEJ" localSheetId="8" hidden="1">#REF!</definedName>
    <definedName name="BExF0GFNDFCOY4V86D03W6SAWVEJ" hidden="1">#REF!</definedName>
    <definedName name="BExF0L2SH2VPVSYUHFE931ZWDJOC" localSheetId="8" hidden="1">#REF!</definedName>
    <definedName name="BExF0L2SH2VPVSYUHFE931ZWDJOC" hidden="1">#REF!</definedName>
    <definedName name="BExF0L2TP18E48BYIVEYR9BGX4HR" hidden="1">#REF!</definedName>
    <definedName name="BExF0LOEHV42P2DV7QL8O7HOQ3N9" hidden="1">#REF!</definedName>
    <definedName name="BExF0QH116YF95UAL83HSM0C2X7Y" localSheetId="8" hidden="1">#REF!</definedName>
    <definedName name="BExF0QH116YF95UAL83HSM0C2X7Y" hidden="1">#REF!</definedName>
    <definedName name="BExF0WRM9VO25RLSO03ZOCE8H7K5" hidden="1">#REF!</definedName>
    <definedName name="BExF0ZRI7W4RSLIDLHTSM0AWXO3S" hidden="1">#REF!</definedName>
    <definedName name="BExF10IEFZWINP1SHIOXW7QVEMIU" hidden="1">#REF!</definedName>
    <definedName name="BExF13IAWSCX1379TCIKJUH41D40" hidden="1">#REF!</definedName>
    <definedName name="BExF19CT3MMZZ2T5EWMDNG3UOJ01" hidden="1">#REF!</definedName>
    <definedName name="BExF19NK0LEJ9OSKXWQSUJH0N2LK" hidden="1">#REF!</definedName>
    <definedName name="BExF1AUPM93ZRMLZ7XXV0UW6TALS" localSheetId="8" hidden="1">#REF!</definedName>
    <definedName name="BExF1AUPM93ZRMLZ7XXV0UW6TALS" hidden="1">#REF!</definedName>
    <definedName name="BExF1B5JFRPKOI4HEM7E3F90ONDX" hidden="1">#REF!</definedName>
    <definedName name="BExF1M38U6NX17YJA8YU359B5Z4M" hidden="1">#REF!</definedName>
    <definedName name="BExF1MU4W3NPEY0OHRDWP5IANCBB" hidden="1">#REF!</definedName>
    <definedName name="BExF1MZN8MWMOKOARHJ1QAF9HPGT" hidden="1">#REF!</definedName>
    <definedName name="BExF1SJB8QBUMZ9CRYZS9YNF69IS" hidden="1">#REF!</definedName>
    <definedName name="BExF1US4ZIQYSU5LBFYNRA9N0K2O" hidden="1">#REF!</definedName>
    <definedName name="BExF1X10XW9J6O71HHSZAIQ8GF4P" hidden="1">#REF!</definedName>
    <definedName name="BExF200VK438ANZMJEAPZ2RQDB8U" localSheetId="8" hidden="1">#REF!</definedName>
    <definedName name="BExF200VK438ANZMJEAPZ2RQDB8U" hidden="1">#REF!</definedName>
    <definedName name="BExF20BOO0Z6DFH2IE69JDBPM0HN" localSheetId="8" hidden="1">#REF!</definedName>
    <definedName name="BExF20BOO0Z6DFH2IE69JDBPM0HN" hidden="1">#REF!</definedName>
    <definedName name="BExF21OBXGVA9D1CPMHVJHL599BC" localSheetId="8" hidden="1">#REF!</definedName>
    <definedName name="BExF21OBXGVA9D1CPMHVJHL599BC" hidden="1">#REF!</definedName>
    <definedName name="BExF26GWW1I2VY6SMP91NK0QDK1M" hidden="1">#REF!</definedName>
    <definedName name="BExF28PXA9VBW4OZ74OITX6LHR12" localSheetId="8" hidden="1">#REF!</definedName>
    <definedName name="BExF28PXA9VBW4OZ74OITX6LHR12" hidden="1">#REF!</definedName>
    <definedName name="BExF2B48P9TFZYK3Z5C83AV4K0P5" hidden="1">#REF!</definedName>
    <definedName name="BExF2CWZN6E87RGTBMD4YQI2QT7R" hidden="1">#REF!</definedName>
    <definedName name="BExF2DYO1WQ7GMXSTAQRDBW1NSFG" hidden="1">#REF!</definedName>
    <definedName name="BExF2EK9NJJCEQ8MYLMTEWU5QVSS" hidden="1">#REF!</definedName>
    <definedName name="BExF2F5U8H6Y07CKBH9EH4O37D1B" localSheetId="8" hidden="1">#REF!</definedName>
    <definedName name="BExF2F5U8H6Y07CKBH9EH4O37D1B" hidden="1">#REF!</definedName>
    <definedName name="BExF2LR83KWDOSK9ACAROCGMTQ8X" localSheetId="8" hidden="1">#REF!</definedName>
    <definedName name="BExF2LR83KWDOSK9ACAROCGMTQ8X" hidden="1">#REF!</definedName>
    <definedName name="BExF2MSWNUY9Z6BZJQZ538PPTION" hidden="1">#REF!</definedName>
    <definedName name="BExF2QZYWHTYGUTTXR15CKCV3LS7" hidden="1">#REF!</definedName>
    <definedName name="BExF2T8Y6TSJ74RMSZOA9CEH4OZ6" hidden="1">#REF!</definedName>
    <definedName name="BExF2TP23TPAFIJGSJAFFYHHJ10C" hidden="1">#REF!</definedName>
    <definedName name="BExF31CA5QKE5BSV641B2FGIUW68" hidden="1">#REF!</definedName>
    <definedName name="BExF31N3YM4F37EOOY8M8VI1KXN8" hidden="1">#REF!</definedName>
    <definedName name="BExF37C1YKBT79Z9SOJAG5MXQGTU" hidden="1">#REF!</definedName>
    <definedName name="BExF3A6GVMGMQ44RKERETM15LWDZ" hidden="1">#REF!</definedName>
    <definedName name="BExF3A6HPA6DGYALZNHHJPMCUYZR" hidden="1">#REF!</definedName>
    <definedName name="BExF3AS2T7GFVNU9JPBXWUQH845Y" localSheetId="8" hidden="1">#REF!</definedName>
    <definedName name="BExF3AS2T7GFVNU9JPBXWUQH845Y" hidden="1">#REF!</definedName>
    <definedName name="BExF3GBMLCA5ZT2251N0N3CRN11O" localSheetId="8" hidden="1">#REF!</definedName>
    <definedName name="BExF3GBMLCA5ZT2251N0N3CRN11O" hidden="1">#REF!</definedName>
    <definedName name="BExF3I9T44X7DV9HHV51DVDDPPZG" hidden="1">#REF!</definedName>
    <definedName name="BExF3JMFX5DILOIFUDIO1HZUK875" hidden="1">#REF!</definedName>
    <definedName name="BExF3JX89JC62RD22ALJLJ1D3UXX" hidden="1">#REF!</definedName>
    <definedName name="BExF3NTC4BGZEM6B87TCFX277QCS" hidden="1">#REF!</definedName>
    <definedName name="BExF3Q7NI90WT31QHYSJDIG0LLLJ" hidden="1">#REF!</definedName>
    <definedName name="BExF3QD55TIY1MSBSRK9TUJKBEWO" hidden="1">#REF!</definedName>
    <definedName name="BExF3QT8J6RIF1L3R700MBSKIOKW" hidden="1">#REF!</definedName>
    <definedName name="BExF3RET913530OJZJYWUA4LCSLF" localSheetId="8" hidden="1">#REF!</definedName>
    <definedName name="BExF3RET913530OJZJYWUA4LCSLF" hidden="1">#REF!</definedName>
    <definedName name="BExF3RV3T99FM5OU04B9631T7MSU" hidden="1">#REF!</definedName>
    <definedName name="BExF3Z7DKAX7USNYIB75U4I2U5DT" localSheetId="8" hidden="1">#REF!</definedName>
    <definedName name="BExF3Z7DKAX7USNYIB75U4I2U5DT" hidden="1">#REF!</definedName>
    <definedName name="BExF42SSBVPMLK2UB3B7FPEIY9TU" hidden="1">#REF!</definedName>
    <definedName name="BExF42ST5424L4AFTH5EPD4SAWUA" hidden="1">#REF!</definedName>
    <definedName name="BExF45SPJ4L49C4J9SX13V5F0YAU" localSheetId="8" hidden="1">#REF!</definedName>
    <definedName name="BExF45SPJ4L49C4J9SX13V5F0YAU" hidden="1">#REF!</definedName>
    <definedName name="BExF4HXSWB50BKYPWA0HTT8W56H6" hidden="1">#REF!</definedName>
    <definedName name="BExF4KHF04IWW4LQ95FHQPFE4Y9K" hidden="1">#REF!</definedName>
    <definedName name="BExF4LU2NV3A47BCWPM3EZXUEH37" localSheetId="8" hidden="1">#REF!</definedName>
    <definedName name="BExF4LU2NV3A47BCWPM3EZXUEH37" hidden="1">#REF!</definedName>
    <definedName name="BExF4MVQM5Y0QRDLDFSKWWTF709C" hidden="1">#REF!</definedName>
    <definedName name="BExF4NS2T8RPMYYIO8VI2EMHW31L" localSheetId="8" hidden="1">#REF!</definedName>
    <definedName name="BExF4NS2T8RPMYYIO8VI2EMHW31L" hidden="1">#REF!</definedName>
    <definedName name="BExF4PVMZYV36E8HOYY06J81AMBI" hidden="1">#REF!</definedName>
    <definedName name="BExF4SF9NEX1FZE9N8EXT89PM54D" hidden="1">#REF!</definedName>
    <definedName name="BExF52GTGP8MHGII4KJ8TJGR8W8U" hidden="1">#REF!</definedName>
    <definedName name="BExF57K7L3UC1I2FSAWURR4SN0UN" hidden="1">#REF!</definedName>
    <definedName name="BExF59NPM5YFI4YVUNYI3FF5DFHP" hidden="1">#REF!</definedName>
    <definedName name="BExF59NQHJ39J7AF8B91RVX0H3P6" localSheetId="8" hidden="1">#REF!</definedName>
    <definedName name="BExF59NQHJ39J7AF8B91RVX0H3P6" hidden="1">#REF!</definedName>
    <definedName name="BExF5CCVG0N7ZG83QYO1ZEIQ0OYC" hidden="1">#REF!</definedName>
    <definedName name="BExF5D96JEPDW6LV89G2REZJ1ES7" localSheetId="8" hidden="1">#REF!</definedName>
    <definedName name="BExF5D96JEPDW6LV89G2REZJ1ES7" hidden="1">#REF!</definedName>
    <definedName name="BExF5EAXEH47MRZK68QOG7EUKOVG" hidden="1">#REF!</definedName>
    <definedName name="BExF5HR2GFV7O8LKG9SJ4BY78LYA" hidden="1">#REF!</definedName>
    <definedName name="BExF5M8W9XT9SO62O1LD19D5RP1F" hidden="1">#REF!</definedName>
    <definedName name="BExF5ZFO2A29GHWR5ES64Z9OS16J" hidden="1">#REF!</definedName>
    <definedName name="BExF60HBGIV4Z12NO1XZBW900OOL" hidden="1">#REF!</definedName>
    <definedName name="BExF63S045JO7H2ZJCBTBVH3SUIF" hidden="1">#REF!</definedName>
    <definedName name="BExF63S0INWCEKIRUVO61A0KN8X9" hidden="1">#REF!</definedName>
    <definedName name="BExF642TEGTXCI9A61ZOONJCB0U1" hidden="1">#REF!</definedName>
    <definedName name="BExF65FFOHNFLM63A7M0XSPHOAGY" hidden="1">#REF!</definedName>
    <definedName name="BExF67O951CF8UJF3KBDNR0E83C1" hidden="1">#REF!</definedName>
    <definedName name="BExF6BF7YDVYMZAN57WLBGSHRKBG" hidden="1">#REF!</definedName>
    <definedName name="BExF6D2H8XLE1O1IUFTUW8HI37T5" hidden="1">#REF!</definedName>
    <definedName name="BExF6EV7I35NVMIJGYTB6E24YVPA" hidden="1">#REF!</definedName>
    <definedName name="BExF6FGUF393KTMBT40S5BYAFG00" hidden="1">#REF!</definedName>
    <definedName name="BExF6GNYXWY8A0SY4PW1B6KJMMTM" hidden="1">#REF!</definedName>
    <definedName name="BExF6IB8K74Z0AFT05GPOKKZW7C9" hidden="1">#REF!</definedName>
    <definedName name="BExF6JNVNNZY5QOSQA6YK0BM061B" hidden="1">#REF!</definedName>
    <definedName name="BExF6JNWE4H8L694Y8Z1VCZ9EMVP" localSheetId="8" hidden="1">#REF!</definedName>
    <definedName name="BExF6JNWE4H8L694Y8Z1VCZ9EMVP" hidden="1">#REF!</definedName>
    <definedName name="BExF6NUXJI11W2IAZNAM1QWC0459" hidden="1">#REF!</definedName>
    <definedName name="BExF6PCW33HCHKOP1PTUHRA20K5V" hidden="1">#REF!</definedName>
    <definedName name="BExF6RR76KNVIXGJOVFO8GDILKGZ" hidden="1">#REF!</definedName>
    <definedName name="BExF6ZE8D5CMPJPRWT6S4HM56LPF" hidden="1">#REF!</definedName>
    <definedName name="BExF71SL7S5BDGRZ694893ZZ2ZTI" localSheetId="8" hidden="1">#REF!</definedName>
    <definedName name="BExF71SL7S5BDGRZ694893ZZ2ZTI" hidden="1">#REF!</definedName>
    <definedName name="BExF72ZPMZBX2R8T5ZDQIZHOY68A" hidden="1">#REF!</definedName>
    <definedName name="BExF75OUHEW7KGJP2PFPTCWQIGX5" hidden="1">#REF!</definedName>
    <definedName name="BExF76FV8SF7AJK7B35AL7VTZF6D" hidden="1">#REF!</definedName>
    <definedName name="BExF7EOIMC1OYL1N7835KGOI0FIZ" hidden="1">#REF!</definedName>
    <definedName name="BExF7FVNFEHQQH5MIO6AIUWSERR7" localSheetId="8" hidden="1">#REF!</definedName>
    <definedName name="BExF7FVNFEHQQH5MIO6AIUWSERR7" hidden="1">#REF!</definedName>
    <definedName name="BExF7K88K7ASGV6RAOAGH52G04VR" hidden="1">#REF!</definedName>
    <definedName name="BExF7KDIXA8OYAPXNN38P7VK41J7" hidden="1">#REF!</definedName>
    <definedName name="BExF7OVDRP3LHNAF2CX4V84CKKIR" hidden="1">#REF!</definedName>
    <definedName name="BExF7QO41X2A2SL8UXDNP99GY7U9" hidden="1">#REF!</definedName>
    <definedName name="BExF7RV9JQHNUU59Z7TLWW2ARAN8" localSheetId="8" hidden="1">#REF!</definedName>
    <definedName name="BExF7RV9JQHNUU59Z7TLWW2ARAN8" hidden="1">#REF!</definedName>
    <definedName name="BExF81GI8B8WBHXFTET68A9358BR" hidden="1">#REF!</definedName>
    <definedName name="BExF84R8ZH2K4C0CYI1IVFH8WUYD" localSheetId="8" hidden="1">#REF!</definedName>
    <definedName name="BExF84R8ZH2K4C0CYI1IVFH8WUYD" hidden="1">#REF!</definedName>
    <definedName name="BExF8E1O5EXRLO3IVFHMDUTYJJPY" hidden="1">#REF!</definedName>
    <definedName name="BExF8O8JM32PBS8GN9V6TR1QXTBJ" localSheetId="8" hidden="1">#REF!</definedName>
    <definedName name="BExF8O8JM32PBS8GN9V6TR1QXTBJ" hidden="1">#REF!</definedName>
    <definedName name="BExF9CTA0UGH0U2JUPUJKMEEI1Z2" localSheetId="8" hidden="1">#REF!</definedName>
    <definedName name="BExF9CTA0UGH0U2JUPUJKMEEI1Z2" hidden="1">#REF!</definedName>
    <definedName name="BExGKNC6UCNO0YTOPVJZMQ34IVMH" localSheetId="8" hidden="1">#REF!</definedName>
    <definedName name="BExGKNC6UCNO0YTOPVJZMQ34IVMH" hidden="1">#REF!</definedName>
    <definedName name="BExGKT17Q7NLLXEVPD5JH5USNBZN" localSheetId="8" hidden="1">#REF!</definedName>
    <definedName name="BExGKT17Q7NLLXEVPD5JH5USNBZN" hidden="1">#REF!</definedName>
    <definedName name="BExGL80OGJT6CJLPHOC44HU68CSP" localSheetId="8" hidden="1">#REF!</definedName>
    <definedName name="BExGL80OGJT6CJLPHOC44HU68CSP" hidden="1">#REF!</definedName>
    <definedName name="BExGL97US0Y3KXXASUTVR26XLT70" hidden="1">#REF!</definedName>
    <definedName name="BExGLBM4Y05S8R9ZO7N6LD9WTKFR" hidden="1">#REF!</definedName>
    <definedName name="BExGLC7R4C33RO0PID97ZPPVCW4M" hidden="1">#REF!</definedName>
    <definedName name="BExGLFIF7HCFSHNQHKEV6RY0WCO3" hidden="1">#REF!</definedName>
    <definedName name="BExGLNAXSNY7C49NATB9OPWTF123" hidden="1">#REF!</definedName>
    <definedName name="BExGLTARRL0J772UD2TXEYAVPY6E" hidden="1">#REF!</definedName>
    <definedName name="BExGLVP1IU8K5A8J1340XFMYPR88" hidden="1">#REF!</definedName>
    <definedName name="BExGLYE6RZTAAWHJBG2QFJPTDS2Q" hidden="1">#REF!</definedName>
    <definedName name="BExGM4DZ65OAQP7MA4LN6QMYZOFF" hidden="1">#REF!</definedName>
    <definedName name="BExGMCXCWEC9XNUOEMZ61TMI6CUO" hidden="1">#REF!</definedName>
    <definedName name="BExGMEFBL47KYW564WF1RQ6VY453" localSheetId="8" hidden="1">#REF!</definedName>
    <definedName name="BExGMEFBL47KYW564WF1RQ6VY453" hidden="1">#REF!</definedName>
    <definedName name="BExGMJDGIH0MEPC2TUSFUCY2ROTB" hidden="1">#REF!</definedName>
    <definedName name="BExGMK4BNJ4OQOD1UX2IGKX11DR0" hidden="1">#REF!</definedName>
    <definedName name="BExGMKPW2HPKN0M0XKF3AZ8YP0D6" hidden="1">#REF!</definedName>
    <definedName name="BExGMLGYNL2WD08L7UOD2IKGSSSH" hidden="1">#REF!</definedName>
    <definedName name="BExGMP2F175LGL6QVSJGP6GKYHHA" hidden="1">#REF!</definedName>
    <definedName name="BExGMPIIP8GKML2VVA8OEFL43NCS" hidden="1">#REF!</definedName>
    <definedName name="BExGMT9I02VK97BGLEJGA4ZWUHKI" localSheetId="8" hidden="1">#REF!</definedName>
    <definedName name="BExGMT9I02VK97BGLEJGA4ZWUHKI" hidden="1">#REF!</definedName>
    <definedName name="BExGMZ3SRIXLXMWBVOXXV3M4U4YL" hidden="1">#REF!</definedName>
    <definedName name="BExGMZ3UBN48IXU1ZEFYECEMZ1IM" hidden="1">#REF!</definedName>
    <definedName name="BExGMZPEHUQJXCKVCMH316OJPCX6" hidden="1">#REF!</definedName>
    <definedName name="BExGN0LRKAPMAKXJTDAKS7Q1MV6S" localSheetId="8" hidden="1">#REF!</definedName>
    <definedName name="BExGN0LRKAPMAKXJTDAKS7Q1MV6S" hidden="1">#REF!</definedName>
    <definedName name="BExGN4I0QATXNZCLZJM1KH1OIJQH" hidden="1">#REF!</definedName>
    <definedName name="BExGN8P2VIUMF9ZG2UHI9ITACB27" localSheetId="8" hidden="1">#REF!</definedName>
    <definedName name="BExGN8P2VIUMF9ZG2UHI9ITACB27" hidden="1">#REF!</definedName>
    <definedName name="BExGN9FZ2RWCMSY1YOBJKZMNIM9R" hidden="1">#REF!</definedName>
    <definedName name="BExGNCFW1HJRE2CBZ65J7JB4DCF3" localSheetId="8" hidden="1">#REF!</definedName>
    <definedName name="BExGNCFW1HJRE2CBZ65J7JB4DCF3" hidden="1">#REF!</definedName>
    <definedName name="BExGNDSIMTHOCXXG6QOGR6DA8SGG" hidden="1">#REF!</definedName>
    <definedName name="BExGNHOR9TYWQPSQXUUT42CLE0UU" hidden="1">#REF!</definedName>
    <definedName name="BExGNN2YQ9BDAZXT2GLCSAPXKIM7" hidden="1">#REF!</definedName>
    <definedName name="BExGNN2ZQQU7BD7ND584BMV3V33I" hidden="1">#REF!</definedName>
    <definedName name="BExGNPBUQ4MFVXFVD9LJPL5PZU68" localSheetId="8" hidden="1">#REF!</definedName>
    <definedName name="BExGNPBUQ4MFVXFVD9LJPL5PZU68" hidden="1">#REF!</definedName>
    <definedName name="BExGNSS0CKRPKHO25R3TDBEL2NHX" hidden="1">#REF!</definedName>
    <definedName name="BExGNYH0MO8NOVS85L15G0RWX4GW" hidden="1">#REF!</definedName>
    <definedName name="BExGNZO44DEG8CGIDYSEGDUQ531R" hidden="1">#REF!</definedName>
    <definedName name="BExGO2O0V6UYDY26AX8OSN72F77N" hidden="1">#REF!</definedName>
    <definedName name="BExGO2YUBOVLYHY1QSIHRE1KLAFV" hidden="1">#REF!</definedName>
    <definedName name="BExGO70E2O70LF46V8T26YFPL4V8" hidden="1">#REF!</definedName>
    <definedName name="BExGOAGLTAMAD0GTLRRV7RFORW9A" hidden="1">#REF!</definedName>
    <definedName name="BExGOB25QJMQCQE76MRW9X58OIOO" hidden="1">#REF!</definedName>
    <definedName name="BExGODAZKJ9EXMQZNQR5YDBSS525" hidden="1">#REF!</definedName>
    <definedName name="BExGODR8ZSMUC11I56QHSZ686XV5" hidden="1">#REF!</definedName>
    <definedName name="BExGOE7C2HSW9M6L6R25H0Z4JEKM" localSheetId="8" hidden="1">#REF!</definedName>
    <definedName name="BExGOE7C2HSW9M6L6R25H0Z4JEKM" hidden="1">#REF!</definedName>
    <definedName name="BExGOI3M84PCOV0FSX0APR834A9T" localSheetId="8" hidden="1">#REF!</definedName>
    <definedName name="BExGOI3M84PCOV0FSX0APR834A9T" hidden="1">#REF!</definedName>
    <definedName name="BExGOL903YF63SRYHHD7UNE2B0E7" localSheetId="8" hidden="1">#REF!</definedName>
    <definedName name="BExGOL903YF63SRYHHD7UNE2B0E7" hidden="1">#REF!</definedName>
    <definedName name="BExGOROWSCEN1I6IXZVXWNFSY76K" localSheetId="8" hidden="1">#REF!</definedName>
    <definedName name="BExGOROWSCEN1I6IXZVXWNFSY76K" hidden="1">#REF!</definedName>
    <definedName name="BExGOXJDHUDPDT8I8IVGVW9J0R5Q" hidden="1">#REF!</definedName>
    <definedName name="BExGP4FCO8GHMHP01MEGT47WYYSV" localSheetId="8" hidden="1">#REF!</definedName>
    <definedName name="BExGP4FCO8GHMHP01MEGT47WYYSV" hidden="1">#REF!</definedName>
    <definedName name="BExGPB0QWZQYZ4O1B28QZMIZK4R5" localSheetId="8" hidden="1">#REF!</definedName>
    <definedName name="BExGPB0QWZQYZ4O1B28QZMIZK4R5" hidden="1">#REF!</definedName>
    <definedName name="BExGPHGT5KDOCMV2EFS4OVKTWBRD" hidden="1">#REF!</definedName>
    <definedName name="BExGPID72Y4Y619LWASUQZKZHJNC" hidden="1">#REF!</definedName>
    <definedName name="BExGPJ43FYJO4J4Y9WJ1LJIGW9LE" hidden="1">#REF!</definedName>
    <definedName name="BExGPP3UK19KHOM50C4QCS0TFGZ1" hidden="1">#REF!</definedName>
    <definedName name="BExGPP9DBPVRLJH8H8WGWIQ3ZKZP" localSheetId="8" hidden="1">#REF!</definedName>
    <definedName name="BExGPP9DBPVRLJH8H8WGWIQ3ZKZP" hidden="1">#REF!</definedName>
    <definedName name="BExGPPENQIANVGLVQJ77DK5JPRTB" hidden="1">#REF!</definedName>
    <definedName name="BExGPSUT81RWXX8YP1NN3JUY69ML" hidden="1">#REF!</definedName>
    <definedName name="BExGQ1ZU4967P72AHF4V1D0FOL5C" hidden="1">#REF!</definedName>
    <definedName name="BExGQ36ZOMR9GV8T05M605MMOY3Y" hidden="1">#REF!</definedName>
    <definedName name="BExGQ61DTJ0SBFMDFBAK3XZ9O0ZO" hidden="1">#REF!</definedName>
    <definedName name="BExGQ6SG9XEOD0VMBAR22YPZWSTA" hidden="1">#REF!</definedName>
    <definedName name="BExGQGJ1A7LNZUS8QSMOG8UNGLMK" hidden="1">#REF!</definedName>
    <definedName name="BExGQGTZEGP6NW5HRVE6QRA67WZR" hidden="1">#REF!</definedName>
    <definedName name="BExGQMDJMLLE9DDO939KXDDBXA45" hidden="1">#REF!</definedName>
    <definedName name="BExGQOX5SC3QE5GND2P8HAHC7ZN6" localSheetId="8" hidden="1">#REF!</definedName>
    <definedName name="BExGQOX5SC3QE5GND2P8HAHC7ZN6" hidden="1">#REF!</definedName>
    <definedName name="BExGQP2M90PWKZU8RDMLC9SJN90J" localSheetId="8" hidden="1">#REF!</definedName>
    <definedName name="BExGQP2M90PWKZU8RDMLC9SJN90J" hidden="1">#REF!</definedName>
    <definedName name="BExGQPO7ENFEQC0NC6MC9OZR2LHY" hidden="1">#REF!</definedName>
    <definedName name="BExGQRM9NCME1AQA8RNH8GRKBEY8" localSheetId="8" hidden="1">#REF!</definedName>
    <definedName name="BExGQRM9NCME1AQA8RNH8GRKBEY8" hidden="1">#REF!</definedName>
    <definedName name="BExGQVYRRRC9GG3JMNXMPQYWMS9N" hidden="1">#REF!</definedName>
    <definedName name="BExGQX0H4EZMXBJTKJJE4ICJWN5O" hidden="1">#REF!</definedName>
    <definedName name="BExGQXGQ6NTZ7MW14CFL9FEOM4K0" hidden="1">#REF!</definedName>
    <definedName name="BExGQYD4BIEBLUFWQ9SB3UHY2YE0" hidden="1">#REF!</definedName>
    <definedName name="BExGR23WEFG8G3CHQC5Q2M1VP9Q0" localSheetId="8" hidden="1">#REF!</definedName>
    <definedName name="BExGR23WEFG8G3CHQC5Q2M1VP9Q0" hidden="1">#REF!</definedName>
    <definedName name="BExGR4CW3WRIID17GGX4MI9ZDHFE" hidden="1">#REF!</definedName>
    <definedName name="BExGR65GJX27MU2OL6NI5PB8XVB4" hidden="1">#REF!</definedName>
    <definedName name="BExGR6LQ97HETGS3CT96L4IK0JSH" hidden="1">#REF!</definedName>
    <definedName name="BExGR9ATP2LVT7B9OCPSLJ11H9SX" hidden="1">#REF!</definedName>
    <definedName name="BExGRHZROC86IFGNDBDWZNBH5Q2V" localSheetId="8" hidden="1">#REF!</definedName>
    <definedName name="BExGRHZROC86IFGNDBDWZNBH5Q2V" hidden="1">#REF!</definedName>
    <definedName name="BExGRPMTSEV5W6ZLIKUGI5OA95XH" hidden="1">#REF!</definedName>
    <definedName name="BExGRUKVVKDL8483WI70VN2QZDGD" hidden="1">#REF!</definedName>
    <definedName name="BExGRWOG8H774BWL55XHDM510RIO" localSheetId="8" hidden="1">#REF!</definedName>
    <definedName name="BExGRWOG8H774BWL55XHDM510RIO" hidden="1">#REF!</definedName>
    <definedName name="BExGS2IWR5DUNJ1U9PAKIV8CMBNI" hidden="1">#REF!</definedName>
    <definedName name="BExGS69P9FFTEOPDS0MWFKF45G47" hidden="1">#REF!</definedName>
    <definedName name="BExGS6F1JFHM5MUJ1RFO50WP6D05" hidden="1">#REF!</definedName>
    <definedName name="BExGSA5YB5ZGE4NHDVCZ55TQAJTL" hidden="1">#REF!</definedName>
    <definedName name="BExGSCEUCQQVDEEKWJ677QTGUVTE" hidden="1">#REF!</definedName>
    <definedName name="BExGSKSWBYZWG9OYX4T6Q8C5SBV6" hidden="1">#REF!</definedName>
    <definedName name="BExGSNSS8HQGYBPTJVW5KJ3OM6V9" hidden="1">#REF!</definedName>
    <definedName name="BExGSQY65LH1PCKKM5WHDW83F35O" hidden="1">#REF!</definedName>
    <definedName name="BExGSYW1GKISF0PMUAK3XJK9PEW9" hidden="1">#REF!</definedName>
    <definedName name="BExGSZCB2G1BKAQUD1ZYG0OF8P62" hidden="1">#REF!</definedName>
    <definedName name="BExGT0DZJB6LSF6L693UUB9EY1VQ" hidden="1">#REF!</definedName>
    <definedName name="BExGT6U0UDTXYB594SFUYF9NAART" hidden="1">#REF!</definedName>
    <definedName name="BExGTF7Z9RHFAU2LRPP6K6T4RFS5" hidden="1">#REF!</definedName>
    <definedName name="BExGTGVFIF8HOQXR54SK065A8M4K" hidden="1">#REF!</definedName>
    <definedName name="BExGTIYX3OWPIINOGY1E4QQYSKHP" hidden="1">#REF!</definedName>
    <definedName name="BExGTKGUN0KUU3C0RL2LK98D8MEK" hidden="1">#REF!</definedName>
    <definedName name="BExGTWAZNMEZDJFWUIZX1MYURPPE" hidden="1">#REF!</definedName>
    <definedName name="BExGTZ046J7VMUG4YPKFN2K8TWB7" hidden="1">#REF!</definedName>
    <definedName name="BExGU2G9OPRZRIU9YGF6NX9FUW0J" hidden="1">#REF!</definedName>
    <definedName name="BExGU2R1IBR6EEI1ODZ3NB2DJTCU" hidden="1">#REF!</definedName>
    <definedName name="BExGU6HTKLRZO8UOI3DTAM5RFDBA" hidden="1">#REF!</definedName>
    <definedName name="BExGUDDZXFFQHAF4UZF8ZB1HO7H6" hidden="1">#REF!</definedName>
    <definedName name="BExGUIBXBRHGM97ZX6GBA4ZDQ79C" hidden="1">#REF!</definedName>
    <definedName name="BExGUM8D91UNPCOO4TKP9FGX85TF" hidden="1">#REF!</definedName>
    <definedName name="BExGUOXC8UH0REF56GSSM680NVPT" hidden="1">#REF!</definedName>
    <definedName name="BExGUQF9N9FKI7S0H30WUAEB5LPD" hidden="1">#REF!</definedName>
    <definedName name="BExGUQVJE1MV019H8EUN9O73RXA9" localSheetId="8" hidden="1">#REF!</definedName>
    <definedName name="BExGUQVJE1MV019H8EUN9O73RXA9" hidden="1">#REF!</definedName>
    <definedName name="BExGUR6BA03XPBK60SQUW197GJ5X" hidden="1">#REF!</definedName>
    <definedName name="BExGUVIP60TA4B7X2PFGMBFUSKGX" hidden="1">#REF!</definedName>
    <definedName name="BExGUZKF06F209XL1IZWVJEQ82EE" hidden="1">#REF!</definedName>
    <definedName name="BExGV2EVT380QHD4AP2RL9MR8L5L" hidden="1">#REF!</definedName>
    <definedName name="BExGVFWDKW8LO48OL2ZZUGFJFDDA" localSheetId="8" hidden="1">#REF!</definedName>
    <definedName name="BExGVFWDKW8LO48OL2ZZUGFJFDDA" hidden="1">#REF!</definedName>
    <definedName name="BExGVI5FK3I4JYNXKNNU517HX148" hidden="1">#REF!</definedName>
    <definedName name="BExGVKZUJ2U3M5VT1FKS72LC1KX4" hidden="1">#REF!</definedName>
    <definedName name="BExGVV6OOLDQ3TXZK51TTF3YX0WN" hidden="1">#REF!</definedName>
    <definedName name="BExGW0KVOL93Z29HD7AAKNQ59I24" localSheetId="8" hidden="1">#REF!</definedName>
    <definedName name="BExGW0KVOL93Z29HD7AAKNQ59I24" hidden="1">#REF!</definedName>
    <definedName name="BExGW0KVS7U0C87XFZ78QW991IEV" hidden="1">#REF!</definedName>
    <definedName name="BExGW2Z7AMPG6H9EXA9ML6EZVGGA" hidden="1">#REF!</definedName>
    <definedName name="BExGWABG5VT5XO1A196RK61AXA8C" hidden="1">#REF!</definedName>
    <definedName name="BExGWEO0JDG84NYLEAV5NSOAGMJZ" hidden="1">#REF!</definedName>
    <definedName name="BExGWF4AM3RT5R79G3JDQJ2HBPX5" hidden="1">#REF!</definedName>
    <definedName name="BExGWLEOC70Z8QAJTPT2PDHTNM4L" hidden="1">#REF!</definedName>
    <definedName name="BExGWNCXLCRTLBVMTXYJ5PHQI6SS" hidden="1">#REF!</definedName>
    <definedName name="BExGWPLQIWT0VPKNTACXO9KA3A8B" hidden="1">#REF!</definedName>
    <definedName name="BExGWQCSMIBIP2KNOELCXNQEXIAD" hidden="1">#REF!</definedName>
    <definedName name="BExGX453OMLZPGJF63K8PNB8EDJJ" localSheetId="8" hidden="1">#REF!</definedName>
    <definedName name="BExGX453OMLZPGJF63K8PNB8EDJJ" hidden="1">#REF!</definedName>
    <definedName name="BExGX5XV2QYU6U5OKPCPYC5EGHU6" hidden="1">#REF!</definedName>
    <definedName name="BExGX6U988MCFIGDA1282F92U9AA" hidden="1">#REF!</definedName>
    <definedName name="BExGX7FTB1CKAT5HUW6H531FIY6I" hidden="1">#REF!</definedName>
    <definedName name="BExGX9DVACJQIZ4GH6YAD2A7F70O" hidden="1">#REF!</definedName>
    <definedName name="BExGXDVP2S2Y8Z8Q43I78RCIK3DD" hidden="1">#REF!</definedName>
    <definedName name="BExGXI2QGOWZXA22NELPOPAOQLTQ" hidden="1">#REF!</definedName>
    <definedName name="BExGXJ9W5JU7TT9S0BKL5Y6VVB39" hidden="1">#REF!</definedName>
    <definedName name="BExGXJKQ0RWAWTWQ3AQZJYDFR79J" hidden="1">#REF!</definedName>
    <definedName name="BExGXJVHPOW3OXBVR9PLY9BHSDK1" hidden="1">#REF!</definedName>
    <definedName name="BExGXQGVELUHEDSBNLEGTLOGNVS5" localSheetId="8" hidden="1">#REF!</definedName>
    <definedName name="BExGXQGVELUHEDSBNLEGTLOGNVS5" hidden="1">#REF!</definedName>
    <definedName name="BExGXWB73RJ4BASBQTQ8EY0EC1EB" hidden="1">#REF!</definedName>
    <definedName name="BExGXZ0ABB43C7SMRKZHWOSU9EQX" hidden="1">#REF!</definedName>
    <definedName name="BExGY0T0UPBWF73OV2QYIOSP1VVJ" hidden="1">#REF!</definedName>
    <definedName name="BExGY6SU3SYVCJ3AG2ITY59SAZ5A" hidden="1">#REF!</definedName>
    <definedName name="BExGY6YA4P5KMY2VHT0DYK3YTFAX" hidden="1">#REF!</definedName>
    <definedName name="BExGY7EFC7LC8V33BKMG969KE3DM" hidden="1">#REF!</definedName>
    <definedName name="BExGY8G88PVVRYHPHRPJZFSX6HSC" hidden="1">#REF!</definedName>
    <definedName name="BExGYC718HTZ80PNKYPVIYGRJVF6" hidden="1">#REF!</definedName>
    <definedName name="BExGYCNATXZY2FID93B17YWIPPRD" hidden="1">#REF!</definedName>
    <definedName name="BExGYGJJJ3BBCQAOA51WHP01HN73" hidden="1">#REF!</definedName>
    <definedName name="BExGYHAGG5SZB63JJJ2CP6HIZCNJ" hidden="1">#REF!</definedName>
    <definedName name="BExGYHAGH0IZT9WAS43U752U84WI" localSheetId="8" hidden="1">#REF!</definedName>
    <definedName name="BExGYHAGH0IZT9WAS43U752U84WI" hidden="1">#REF!</definedName>
    <definedName name="BExGYOS6TV2C72PLRFU8RP1I58GY" hidden="1">#REF!</definedName>
    <definedName name="BExGYRXDU4XBHFEH5Y1WQD3YSMR5" hidden="1">#REF!</definedName>
    <definedName name="BExGYSZ9RW2ORM4QEZRYMWMM0SXY" hidden="1">#REF!</definedName>
    <definedName name="BExGYXXCM53K2H84S4WZTHTHZPHE" localSheetId="8" hidden="1">#REF!</definedName>
    <definedName name="BExGYXXCM53K2H84S4WZTHTHZPHE" hidden="1">#REF!</definedName>
    <definedName name="BExGYY2PBI68I55GPNKXV5RYR1WF" localSheetId="8" hidden="1">#REF!</definedName>
    <definedName name="BExGYY2PBI68I55GPNKXV5RYR1WF" hidden="1">#REF!</definedName>
    <definedName name="BExGZ0H0316XPQ1X1J2PCAAI2BFX" hidden="1">#REF!</definedName>
    <definedName name="BExGZ0MC1XT4VWABFT1UK2UMI0CP" localSheetId="8" hidden="1">#REF!</definedName>
    <definedName name="BExGZ0MC1XT4VWABFT1UK2UMI0CP" hidden="1">#REF!</definedName>
    <definedName name="BExGZ7NXZ0IBS44C2NZ9VMD6T6K2" localSheetId="8" hidden="1">#REF!</definedName>
    <definedName name="BExGZ7NXZ0IBS44C2NZ9VMD6T6K2" hidden="1">#REF!</definedName>
    <definedName name="BExGZEUWPPWUA8GMHEQHFZA9XPHC" hidden="1">#REF!</definedName>
    <definedName name="BExGZJ78ZWZCVHZ3BKEKFJZ6MAEO" hidden="1">#REF!</definedName>
    <definedName name="BExGZOLH2QV73J3M9IWDDPA62TP4" hidden="1">#REF!</definedName>
    <definedName name="BExGZP1PWGFKVVVN4YDIS22DZPCR" hidden="1">#REF!</definedName>
    <definedName name="BExGZSN96MC2HMMYQ3BMZ50490SJ" localSheetId="8" hidden="1">#REF!</definedName>
    <definedName name="BExGZSN96MC2HMMYQ3BMZ50490SJ" hidden="1">#REF!</definedName>
    <definedName name="BExGZWU4XD06KMMKU5QOZBGTNZFC" hidden="1">#REF!</definedName>
    <definedName name="BExGZYXS0GTA29TRAW6KAUBGG6D4" localSheetId="8" hidden="1">#REF!</definedName>
    <definedName name="BExGZYXS0GTA29TRAW6KAUBGG6D4" hidden="1">#REF!</definedName>
    <definedName name="BExGZZ8L58CV4F5QJY0BLWOB7O33" hidden="1">#REF!</definedName>
    <definedName name="BExH00L21GZX5YJJGVMOAWBERLP5" hidden="1">#REF!</definedName>
    <definedName name="BExH011BMA3MZ33K98R86DYBE17A" hidden="1">#REF!</definedName>
    <definedName name="BExH02ZD6VAY1KQLAQYBBI6WWIZB" hidden="1">#REF!</definedName>
    <definedName name="BExH07XC83E8WXF2O7EJTNS1DOZD" localSheetId="8" hidden="1">#REF!</definedName>
    <definedName name="BExH07XC83E8WXF2O7EJTNS1DOZD" hidden="1">#REF!</definedName>
    <definedName name="BExH08J2A0FD7QKOEWBAAUESJQI5" hidden="1">#REF!</definedName>
    <definedName name="BExH08Z6LQCGGSGSAILMHX4X7JMD" hidden="1">#REF!</definedName>
    <definedName name="BExH0BO9DWUV1MF4TUHTS5XHI24Q" hidden="1">#REF!</definedName>
    <definedName name="BExH0EDEHY3B71UDZG8FD0BAU2YN" hidden="1">#REF!</definedName>
    <definedName name="BExH0KT9Z8HEVRRQRGQ8YHXRLIJA" hidden="1">#REF!</definedName>
    <definedName name="BExH0KTA6PC3C1H961G6G3WB4ROD" hidden="1">#REF!</definedName>
    <definedName name="BExH0M0FDN12YBOCKL3XL2Z7T7Y8" hidden="1">#REF!</definedName>
    <definedName name="BExH0O9G06YPZ5TN9RYT326I1CP2" hidden="1">#REF!</definedName>
    <definedName name="BExH0TI6DBHKW6K8VXDOL0MWBZLF" hidden="1">#REF!</definedName>
    <definedName name="BExH0WNJAKTJRCKMTX8O4KNMIIJM" hidden="1">#REF!</definedName>
    <definedName name="BExH0Y5JGUO7Z6TD8HXAB8MDIXSA" localSheetId="8" hidden="1">#REF!</definedName>
    <definedName name="BExH0Y5JGUO7Z6TD8HXAB8MDIXSA" hidden="1">#REF!</definedName>
    <definedName name="BExH0ZNG80DZQJFCE23DV9WBA7RW" localSheetId="8" hidden="1">#REF!</definedName>
    <definedName name="BExH0ZNG80DZQJFCE23DV9WBA7RW" hidden="1">#REF!</definedName>
    <definedName name="BExH12Y4WX542WI3ZEM15AK4UM9J" hidden="1">#REF!</definedName>
    <definedName name="BExH12Y5H6VBBGESTCP6YNYUOGPK" hidden="1">#REF!</definedName>
    <definedName name="BExH138R3KO9GBKS3YT6C8PRN6QL" hidden="1">#REF!</definedName>
    <definedName name="BExH16E44OAD0H9GBITHN03U92QD" hidden="1">#REF!</definedName>
    <definedName name="BExH1AFVY3DFB10LXJXXA05EU6X8" localSheetId="8" hidden="1">#REF!</definedName>
    <definedName name="BExH1AFVY3DFB10LXJXXA05EU6X8" hidden="1">#REF!</definedName>
    <definedName name="BExH1FDTQXR9QQ31WDB7OPXU7MPT" hidden="1">#REF!</definedName>
    <definedName name="BExH1FOMEUIJNIDJAUY0ZQFBJSY9" hidden="1">#REF!</definedName>
    <definedName name="BExH1JFFHEBFX9BWJMNIA3N66R3Z" hidden="1">#REF!</definedName>
    <definedName name="BExH1JKVD64LC0LTF12BYPBRJJHQ" hidden="1">#REF!</definedName>
    <definedName name="BExH1NRXNXU0WLQASP81I62087ON" localSheetId="8" hidden="1">#REF!</definedName>
    <definedName name="BExH1NRXNXU0WLQASP81I62087ON" hidden="1">#REF!</definedName>
    <definedName name="BExH1OTSXDAMHHAKIEV0XSY4HUFI" localSheetId="8" hidden="1">#REF!</definedName>
    <definedName name="BExH1OTSXDAMHHAKIEV0XSY4HUFI" hidden="1">#REF!</definedName>
    <definedName name="BExH1QMD1UU8X5NZERDZ7OIP3IBI" localSheetId="8" hidden="1">#REF!</definedName>
    <definedName name="BExH1QMD1UU8X5NZERDZ7OIP3IBI" hidden="1">#REF!</definedName>
    <definedName name="BExH1VV95S3FEYFRA7XAO4YXA4YG" hidden="1">#REF!</definedName>
    <definedName name="BExH1Z0GIUSVTF2H1G1I3PDGBNK2" hidden="1">#REF!</definedName>
    <definedName name="BExH225UTM6S9FW4MUDZS7F1PQSH" hidden="1">#REF!</definedName>
    <definedName name="BExH23271RF7AYZ542KHQTH68GQ7" hidden="1">#REF!</definedName>
    <definedName name="BExH2C78QK2MWUCWYIK8RYY8TXQ8" hidden="1">#REF!</definedName>
    <definedName name="BExH2FCJQGYR8JV59GFLFEKMAUS1" hidden="1">#REF!</definedName>
    <definedName name="BExH2GJQR4JALNB314RY0LDI49VH" hidden="1">#REF!</definedName>
    <definedName name="BExH2JZR49T7644JFVE7B3N7RZM9" hidden="1">#REF!</definedName>
    <definedName name="BExH2QQLYMDYTGLSPANJTCWT4L4N" hidden="1">#REF!</definedName>
    <definedName name="BExH2UHF0QTJG107MULYB16WBJM9" hidden="1">#REF!</definedName>
    <definedName name="BExH2VU17ZSQ6UMFZ9FOP753TT9E" localSheetId="8" hidden="1">#REF!</definedName>
    <definedName name="BExH2VU17ZSQ6UMFZ9FOP753TT9E" hidden="1">#REF!</definedName>
    <definedName name="BExH2WKXV8X5S2GSBBTWGI0NLNAH" hidden="1">#REF!</definedName>
    <definedName name="BExH2X6HT4ZFX60GGBK8IGMCXIPQ" localSheetId="8" hidden="1">#REF!</definedName>
    <definedName name="BExH2X6HT4ZFX60GGBK8IGMCXIPQ" hidden="1">#REF!</definedName>
    <definedName name="BExH2XS1UFYFGU0S0EBXX90W2WE8" hidden="1">#REF!</definedName>
    <definedName name="BExH2XS2TND9SB0GC295R4FP6K5Y" hidden="1">#REF!</definedName>
    <definedName name="BExH2ZA0SZ4SSITL50NA8LZ3OEX6" hidden="1">#REF!</definedName>
    <definedName name="BExH31Z3JNVJPESWKXHILGXZHP2M" hidden="1">#REF!</definedName>
    <definedName name="BExH37DBMA1OL5ANMI18RYT5K8EI" hidden="1">#REF!</definedName>
    <definedName name="BExH3BPW245WVGA1K1DGTL1XWDCH" localSheetId="8" hidden="1">#REF!</definedName>
    <definedName name="BExH3BPW245WVGA1K1DGTL1XWDCH" hidden="1">#REF!</definedName>
    <definedName name="BExH3E9HZ3QJCDZW7WI7YACFQCHE" hidden="1">#REF!</definedName>
    <definedName name="BExH3GYLJVJUVI41QT9JC7DG3203" hidden="1">#REF!</definedName>
    <definedName name="BExH3IRB6764RQ5HBYRLH6XCT29X" hidden="1">#REF!</definedName>
    <definedName name="BExH3R5G31P90BQF43PVFYXT2GBZ" localSheetId="8" hidden="1">#REF!</definedName>
    <definedName name="BExH3R5G31P90BQF43PVFYXT2GBZ" hidden="1">#REF!</definedName>
    <definedName name="BExH3WUHGM7R1XC023EME23QL7PF" localSheetId="8" hidden="1">#REF!</definedName>
    <definedName name="BExH3WUHGM7R1XC023EME23QL7PF" hidden="1">#REF!</definedName>
    <definedName name="BExH40QQG7XV5RGFD77K0KT9BYJW" hidden="1">#REF!</definedName>
    <definedName name="BExH42JHFTXN0JQ9Y9U83IFSMCEM" hidden="1">#REF!</definedName>
    <definedName name="BExH4HTPYPQ91XIJ8IWIMHWOB0RA" localSheetId="8" hidden="1">#REF!</definedName>
    <definedName name="BExH4HTPYPQ91XIJ8IWIMHWOB0RA" hidden="1">#REF!</definedName>
    <definedName name="BExIG2U8V6RSB47SXLCQG3Q68YRO" hidden="1">#REF!</definedName>
    <definedName name="BExIG9FMY6OOSODNTWQJ2F28Y2FK" localSheetId="8" hidden="1">#REF!</definedName>
    <definedName name="BExIG9FMY6OOSODNTWQJ2F28Y2FK" hidden="1">#REF!</definedName>
    <definedName name="BExIGE89QOSZBGZFZ8HV84PMMC42" localSheetId="8" hidden="1">#REF!</definedName>
    <definedName name="BExIGE89QOSZBGZFZ8HV84PMMC42" hidden="1">#REF!</definedName>
    <definedName name="BExIGJBO8R13LV7CZ7C1YCP974NN" hidden="1">#REF!</definedName>
    <definedName name="BExIGWT86FPOEYTI8GXCGU5Y3KGK" hidden="1">#REF!</definedName>
    <definedName name="BExIH51URLQJA6KNX5CJKIUIR5UQ" localSheetId="8" hidden="1">#REF!</definedName>
    <definedName name="BExIH51URLQJA6KNX5CJKIUIR5UQ" hidden="1">#REF!</definedName>
    <definedName name="BExIHBHXA7E7VUTBVHXXXCH3A5CL" hidden="1">#REF!</definedName>
    <definedName name="BExIHKHMPN38179SXC35POA6WERQ" hidden="1">#REF!</definedName>
    <definedName name="BExIHNMT9P59WY619GEWB1XONTAE" localSheetId="8" hidden="1">#REF!</definedName>
    <definedName name="BExIHNMT9P59WY619GEWB1XONTAE" hidden="1">#REF!</definedName>
    <definedName name="BExIHNMTY8HBM7KQDSTMXEM6MHL4" localSheetId="8" hidden="1">#REF!</definedName>
    <definedName name="BExIHNMTY8HBM7KQDSTMXEM6MHL4" hidden="1">#REF!</definedName>
    <definedName name="BExIHPQCQTGEW8QOJVIQ4VX0P6DX" hidden="1">#REF!</definedName>
    <definedName name="BExIHSKX5PR29CF4M3ZLVWGDXGS9" hidden="1">#REF!</definedName>
    <definedName name="BExIHU2VSXTKRMO3RHJI6RZ206Q5" localSheetId="8" hidden="1">#REF!</definedName>
    <definedName name="BExIHU2VSXTKRMO3RHJI6RZ206Q5" hidden="1">#REF!</definedName>
    <definedName name="BExIHZ6ALVREAYK4T741OOLGXOZA" localSheetId="8" hidden="1">#REF!</definedName>
    <definedName name="BExIHZ6ALVREAYK4T741OOLGXOZA" hidden="1">#REF!</definedName>
    <definedName name="BExII1KN91Q7DLW0UB7W2TJ5ACT9" hidden="1">#REF!</definedName>
    <definedName name="BExII20QQ1K3GHOPL1ZQX5SL618M" localSheetId="8" hidden="1">#REF!</definedName>
    <definedName name="BExII20QQ1K3GHOPL1ZQX5SL618M" hidden="1">#REF!</definedName>
    <definedName name="BExII50LI8I0CDOOZEMIVHVA2V95" hidden="1">#REF!</definedName>
    <definedName name="BExII50LWQU27MD1P0MRQFUBZPTS" hidden="1">#REF!</definedName>
    <definedName name="BExIIOSPPTVTBZVMDJXCZXZ7EK5F" localSheetId="8" hidden="1">#REF!</definedName>
    <definedName name="BExIIOSPPTVTBZVMDJXCZXZ7EK5F" hidden="1">#REF!</definedName>
    <definedName name="BExIIXMY38TQD12CVV4S57L3I809" hidden="1">#REF!</definedName>
    <definedName name="BExIIY37NEVU2LGS1JE4VR9AN6W4" hidden="1">#REF!</definedName>
    <definedName name="BExIIYJAGXR8TPZ1KCYM7EGJ79UW" hidden="1">#REF!</definedName>
    <definedName name="BExIJ3160YCWGAVEU0208ZGXXG3P" hidden="1">#REF!</definedName>
    <definedName name="BExIJ4DSI8C7A9NVFPBSNODWPPEM" localSheetId="8" hidden="1">#REF!</definedName>
    <definedName name="BExIJ4DSI8C7A9NVFPBSNODWPPEM" hidden="1">#REF!</definedName>
    <definedName name="BExIJ8Q4WWPTKVONF0FPLTD4L7CH" localSheetId="8" hidden="1">#REF!</definedName>
    <definedName name="BExIJ8Q4WWPTKVONF0FPLTD4L7CH" hidden="1">#REF!</definedName>
    <definedName name="BExIJ9MI8QNCVF6L1SK4ZWC4CPJ7" localSheetId="8" hidden="1">#REF!</definedName>
    <definedName name="BExIJ9MI8QNCVF6L1SK4ZWC4CPJ7" hidden="1">#REF!</definedName>
    <definedName name="BExIJ9XGRXFJ2S4HEPOIVKXGDRKR" hidden="1">#REF!</definedName>
    <definedName name="BExIJCH3WG0S5W4R8OAPJISSRI3A" hidden="1">#REF!</definedName>
    <definedName name="BExIJFGZJ5ED9D6KAY4PGQYLELAX" hidden="1">#REF!</definedName>
    <definedName name="BExIJHPUVJPL5ALWAEKD6OFDCXZY" hidden="1">#REF!</definedName>
    <definedName name="BExIJQK80ZEKSTV62E59AYJYUNLI" hidden="1">#REF!</definedName>
    <definedName name="BExIJRLX3M0YQLU1D5Y9V7HM5QNM" hidden="1">#REF!</definedName>
    <definedName name="BExIJV22J0QA7286KNPMHO1ZUCB3" hidden="1">#REF!</definedName>
    <definedName name="BExIJVI6OC7B6ZE9V4PAOYZXKNER" hidden="1">#REF!</definedName>
    <definedName name="BExIJWK0NGTGQ4X7D5VIVXD14JHI" hidden="1">#REF!</definedName>
    <definedName name="BExIJWPCIYINEJUTXU74VK7WG031" hidden="1">#REF!</definedName>
    <definedName name="BExIJZP8AKK000EFDGK7KZ1YKRXT" localSheetId="8" hidden="1">#REF!</definedName>
    <definedName name="BExIJZP8AKK000EFDGK7KZ1YKRXT" hidden="1">#REF!</definedName>
    <definedName name="BExIKHTXPZR5A8OHB6HDP6QWDHAD" hidden="1">#REF!</definedName>
    <definedName name="BExIKJHCUYSF9NW101OAF76SFYF8" hidden="1">#REF!</definedName>
    <definedName name="BExIKMMJOETSAXJYY1SIKM58LMA2" hidden="1">#REF!</definedName>
    <definedName name="BExIKRF6AQ6VOO9KCIWSM6FY8M7D" hidden="1">#REF!</definedName>
    <definedName name="BExIKS0YE9BENU47WPYME7A0RM0L" hidden="1">#REF!</definedName>
    <definedName name="BExIKTYZESFT3LC0ASFMFKSE0D1X" hidden="1">#REF!</definedName>
    <definedName name="BExIKUPVMW8ECDIWI7HNOM4A6PEL" hidden="1">#REF!</definedName>
    <definedName name="BExIKXVA6M8K0PTRYAGXS666L335" hidden="1">#REF!</definedName>
    <definedName name="BExIL0PMZ2SXK9R6MLP43KBU1J2P" hidden="1">#REF!</definedName>
    <definedName name="BExIL45UAJTQCLO0PRR3OAT4FUN0" localSheetId="8" hidden="1">#REF!</definedName>
    <definedName name="BExIL45UAJTQCLO0PRR3OAT4FUN0" hidden="1">#REF!</definedName>
    <definedName name="BExILAAXRTRAD18K74M6MGUEEPUM" hidden="1">#REF!</definedName>
    <definedName name="BExILG5F338C0FFLMVOKMKF8X5ZP" hidden="1">#REF!</definedName>
    <definedName name="BExILGQTQM0HOD0BJI90YO7GOIN3" hidden="1">#REF!</definedName>
    <definedName name="BExILI8Z41WP1I83L06KGRLKLGUL" hidden="1">#REF!</definedName>
    <definedName name="BExILJ558DU4VWYTKQGUZWNZN6KS" localSheetId="8" hidden="1">#REF!</definedName>
    <definedName name="BExILJ558DU4VWYTKQGUZWNZN6KS" hidden="1">#REF!</definedName>
    <definedName name="BExILKHTBP5736ANDKLP8V8138TP" hidden="1">#REF!</definedName>
    <definedName name="BExILRZINF58ZE661FFK71L7EIL6" hidden="1">#REF!</definedName>
    <definedName name="BExILT17U3QOJUWPZYFA7EE8ISEK" localSheetId="8" hidden="1">#REF!</definedName>
    <definedName name="BExILT17U3QOJUWPZYFA7EE8ISEK" hidden="1">#REF!</definedName>
    <definedName name="BExIM02UP3RCUWZ2RO86WO6595EZ" localSheetId="8" hidden="1">#REF!</definedName>
    <definedName name="BExIM02UP3RCUWZ2RO86WO6595EZ" hidden="1">#REF!</definedName>
    <definedName name="BExIM26D3TGJ1VZFLUYBWYYOWB2S" hidden="1">#REF!</definedName>
    <definedName name="BExIM6TITNVB6XTPVEYTBT3JSW08" hidden="1">#REF!</definedName>
    <definedName name="BExIM7PW4URCHKI7ITZ60JKIC70Z" hidden="1">#REF!</definedName>
    <definedName name="BExIM7PX4WW2WKC81XYRCCH5LDGQ" localSheetId="8" hidden="1">#REF!</definedName>
    <definedName name="BExIM7PX4WW2WKC81XYRCCH5LDGQ" hidden="1">#REF!</definedName>
    <definedName name="BExIM9DBUB7ZGF4B20FVUO9QGOX2" hidden="1">#REF!</definedName>
    <definedName name="BExIMAV9I45KS8Z9G7FGKEF0LSLK" hidden="1">#REF!</definedName>
    <definedName name="BExIMGK9Z94TFPWWZFMD10HV0IF6" hidden="1">#REF!</definedName>
    <definedName name="BExIMIT427CJSYOCFG8JGTIJC8EC" localSheetId="8" hidden="1">#REF!</definedName>
    <definedName name="BExIMIT427CJSYOCFG8JGTIJC8EC" hidden="1">#REF!</definedName>
    <definedName name="BExIMPEGKG18TELVC33T4OQTNBWC" hidden="1">#REF!</definedName>
    <definedName name="BExIMTAR1TFV3DP2D7HWECJEOYUG" localSheetId="8" hidden="1">#REF!</definedName>
    <definedName name="BExIMTAR1TFV3DP2D7HWECJEOYUG" hidden="1">#REF!</definedName>
    <definedName name="BExIN2AFXERQ2UD0HQOSX5UBVBSC" hidden="1">#REF!</definedName>
    <definedName name="BExIN3SELWXIGE9EWSK9QJ3RHFPD" hidden="1">#REF!</definedName>
    <definedName name="BExIN4OR435DL1US13JQPOQK8GD5" hidden="1">#REF!</definedName>
    <definedName name="BExIN78K3VRNIST5MISZ3GS0D2ZA" hidden="1">#REF!</definedName>
    <definedName name="BExIN8FK0VJT3CRRWGRO3XE26YZS" localSheetId="8" hidden="1">#REF!</definedName>
    <definedName name="BExIN8FK0VJT3CRRWGRO3XE26YZS" hidden="1">#REF!</definedName>
    <definedName name="BExINI6A7H3KSFRFA6UBBDPKW37F" hidden="1">#REF!</definedName>
    <definedName name="BExINIMK8XC3JOBT2EXYFHHH52H0" hidden="1">#REF!</definedName>
    <definedName name="BExINLGZBBJDQEA3SQ0LGCUWFBJA" hidden="1">#REF!</definedName>
    <definedName name="BExINLX401ZKEGWU168DS4JUM2J6" hidden="1">#REF!</definedName>
    <definedName name="BExINMYYJO1FTV1CZF6O5XCFAMQX" hidden="1">#REF!</definedName>
    <definedName name="BExINO0MM0VFZGX84AO4LV2VTJSL" hidden="1">#REF!</definedName>
    <definedName name="BExINP2H4KI05FRFV5PKZFE00HKO" hidden="1">#REF!</definedName>
    <definedName name="BExINVT50DNQFXWZEBLEC0HIJDBS" localSheetId="8" hidden="1">#REF!</definedName>
    <definedName name="BExINVT50DNQFXWZEBLEC0HIJDBS" hidden="1">#REF!</definedName>
    <definedName name="BExINYT1S9HTKX12F6T1MBDFL53T" localSheetId="8" hidden="1">#REF!</definedName>
    <definedName name="BExINYT1S9HTKX12F6T1MBDFL53T" hidden="1">#REF!</definedName>
    <definedName name="BExINZELVWYGU876QUUZCIMXPBQC" hidden="1">#REF!</definedName>
    <definedName name="BExIO53MZVT7NLIJEU9MPUT8A7F7" hidden="1">#REF!</definedName>
    <definedName name="BExIOCQUQHKUU1KONGSDOLQTQEIC" hidden="1">#REF!</definedName>
    <definedName name="BExIOD1HRNJXOMH322KLGUTATV57" hidden="1">#REF!</definedName>
    <definedName name="BExIOEUDLMQULYKSXV94CO63QD9I" localSheetId="8" hidden="1">#REF!</definedName>
    <definedName name="BExIOEUDLMQULYKSXV94CO63QD9I" hidden="1">#REF!</definedName>
    <definedName name="BExIOFL8Y5O61VLKTB4H20IJNWS1" hidden="1">#REF!</definedName>
    <definedName name="BExIOMBXRW5NS4ZPYX9G5QREZ5J6" hidden="1">#REF!</definedName>
    <definedName name="BExIORA3GK78T7C7SNBJJUONJ0LS" hidden="1">#REF!</definedName>
    <definedName name="BExIORFDXP4AVIEBLSTZ8ETSXMNM" hidden="1">#REF!</definedName>
    <definedName name="BExIOTZ5EFZ2NASVQ05RH15HRSW6" hidden="1">#REF!</definedName>
    <definedName name="BExIOX9UJCTEWI0LIK3BMTPYWPVC" hidden="1">#REF!</definedName>
    <definedName name="BExIP3EYMLXYSYD644AIULVB4SM4" localSheetId="8" hidden="1">#REF!</definedName>
    <definedName name="BExIP3EYMLXYSYD644AIULVB4SM4" hidden="1">#REF!</definedName>
    <definedName name="BExIP5TAEMGL7Q5GGKBQLYKT7TWS" localSheetId="8" hidden="1">#REF!</definedName>
    <definedName name="BExIP5TAEMGL7Q5GGKBQLYKT7TWS" hidden="1">#REF!</definedName>
    <definedName name="BExIP6V4FGJ8B5O78LX39EL66J64" hidden="1">#REF!</definedName>
    <definedName name="BExIP8YNN6UUE1GZ223SWH7DLGKO" hidden="1">#REF!</definedName>
    <definedName name="BExIPAB4AOL592OJCC1CFAXTLF1A" hidden="1">#REF!</definedName>
    <definedName name="BExIPB25DKX4S2ZCKQN7KWSC3JBF" hidden="1">#REF!</definedName>
    <definedName name="BExIPDLT8JYAMGE5HTN4D1YHZF3V" hidden="1">#REF!</definedName>
    <definedName name="BExIPG040Q08EWIWL6CAVR3GRI43" hidden="1">#REF!</definedName>
    <definedName name="BExIPKCNG2M6L73ES2UQI5310WB7" localSheetId="8" hidden="1">#REF!</definedName>
    <definedName name="BExIPKCNG2M6L73ES2UQI5310WB7" hidden="1">#REF!</definedName>
    <definedName name="BExIPKHZWORATW0JSXNEQ67DRCGZ" localSheetId="8" hidden="1">#REF!</definedName>
    <definedName name="BExIPKHZWORATW0JSXNEQ67DRCGZ" hidden="1">#REF!</definedName>
    <definedName name="BExIPKNFUDPDKOSH5GHDVNA8D66S" hidden="1">#REF!</definedName>
    <definedName name="BExIPL9077GYHRZRT5LK4PW044LA" hidden="1">#REF!</definedName>
    <definedName name="BExIPLJTRJRKOL7VVP0PEP05W0QL" localSheetId="8" hidden="1">#REF!</definedName>
    <definedName name="BExIPLJTRJRKOL7VVP0PEP05W0QL" hidden="1">#REF!</definedName>
    <definedName name="BExIPO3G9VHAGO82ZP4W1QK42IXT" localSheetId="8" hidden="1">#REF!</definedName>
    <definedName name="BExIPO3G9VHAGO82ZP4W1QK42IXT" hidden="1">#REF!</definedName>
    <definedName name="BExIPVAF6CAV5ALJ3W92Y0LPK4FH" localSheetId="8" hidden="1">#REF!</definedName>
    <definedName name="BExIPVAF6CAV5ALJ3W92Y0LPK4FH" hidden="1">#REF!</definedName>
    <definedName name="BExIPVQI1S9QZBMI1DWCI05PEUWF" hidden="1">#REF!</definedName>
    <definedName name="BExIPYFR9Q89IRAL0HPOES7623H9" localSheetId="8" hidden="1">#REF!</definedName>
    <definedName name="BExIPYFR9Q89IRAL0HPOES7623H9" hidden="1">#REF!</definedName>
    <definedName name="BExIPYVVJQQ33WRNTEARTWC6R3IH" localSheetId="8" hidden="1">#REF!</definedName>
    <definedName name="BExIPYVVJQQ33WRNTEARTWC6R3IH" hidden="1">#REF!</definedName>
    <definedName name="BExIQ1VS9A2FHVD9TUHKG9K8EVVP" hidden="1">#REF!</definedName>
    <definedName name="BExIQ3J19L30PSQ2CXNT6IHW0I7V" hidden="1">#REF!</definedName>
    <definedName name="BExIQ3OJ7M04XCY276IO0LJA5XUK" hidden="1">#REF!</definedName>
    <definedName name="BExIQ5S19ITB0NDRUN4XV7B905ED" hidden="1">#REF!</definedName>
    <definedName name="BExIQ9TMQT2EIXSVQW7GVSOAW2VJ" hidden="1">#REF!</definedName>
    <definedName name="BExIQBH1YRNS3DL5Z8LXVHLXL1LQ" hidden="1">#REF!</definedName>
    <definedName name="BExIQBMDE1L6J4H27K1FMSHQKDSE" hidden="1">#REF!</definedName>
    <definedName name="BExIQCDFFALELXAMMR1ZQBGNV1HO" localSheetId="8" hidden="1">#REF!</definedName>
    <definedName name="BExIQCDFFALELXAMMR1ZQBGNV1HO" hidden="1">#REF!</definedName>
    <definedName name="BExIQCTILU1D6OD8XR0K44Z9OTI8" localSheetId="8" hidden="1">#REF!</definedName>
    <definedName name="BExIQCTILU1D6OD8XR0K44Z9OTI8" hidden="1">#REF!</definedName>
    <definedName name="BExIQDF3DDR9IJ4S4KRE5GD8BSAV" hidden="1">#REF!</definedName>
    <definedName name="BExIQE65LVXUOF3UZFO7SDHFJH22" hidden="1">#REF!</definedName>
    <definedName name="BExIQG9OO2KKBOWTMD1OXY36TEGA" hidden="1">#REF!</definedName>
    <definedName name="BExIQIII4MABGPDVFEBH294F5JBS" localSheetId="8" hidden="1">#REF!</definedName>
    <definedName name="BExIQIII4MABGPDVFEBH294F5JBS" hidden="1">#REF!</definedName>
    <definedName name="BExIQX1XBB31HZTYEEVOBSE3C5A6" hidden="1">#REF!</definedName>
    <definedName name="BExIQYP5T1TPAQYW7QU1Q98BKX7W" hidden="1">#REF!</definedName>
    <definedName name="BExIR2ALYRP9FW99DK2084J7IIDC" hidden="1">#REF!</definedName>
    <definedName name="BExIR8FQETPTQYW37DBVDWG3J4JW" hidden="1">#REF!</definedName>
    <definedName name="BExIRG2Z7U3IAPH7PJ1QGSL9CU6I" hidden="1">#REF!</definedName>
    <definedName name="BExIRRBGTY01OQOI3U5SW59RFDFI" hidden="1">#REF!</definedName>
    <definedName name="BExIRSYVP3PF011XJHOWFQKS1OXL" hidden="1">#REF!</definedName>
    <definedName name="BExIS29CTGF7XHFBI9Y8DEJ8RMYE" hidden="1">#REF!</definedName>
    <definedName name="BExIS4T0DRF57HYO7OGG72KBOFOI" hidden="1">#REF!</definedName>
    <definedName name="BExIS77BJDDK18PGI9DSEYZPIL7P" hidden="1">#REF!</definedName>
    <definedName name="BExIS8USL1T3Z97CZ30HJ98E2GXQ" hidden="1">#REF!</definedName>
    <definedName name="BExIS9R4LASPAZD8OWDJBLST3VP7" hidden="1">#REF!</definedName>
    <definedName name="BExISA78CJCF48LAUSIU4W017JO8" hidden="1">#REF!</definedName>
    <definedName name="BExISC5B700MZUBFTQ9K4IKTF7HR" hidden="1">#REF!</definedName>
    <definedName name="BExISD742V9J7MRMHWIJ0X9RBI92" hidden="1">#REF!</definedName>
    <definedName name="BExISDHXS49S1H56ENBPRF1NLD5C" hidden="1">#REF!</definedName>
    <definedName name="BExISJ6WFYQKE0RGTDWHAWUAE1AP" localSheetId="8" hidden="1">#REF!</definedName>
    <definedName name="BExISJ6WFYQKE0RGTDWHAWUAE1AP" hidden="1">#REF!</definedName>
    <definedName name="BExISJCF3DOPQNO1YGNCNWHRK77M" localSheetId="8" hidden="1">#REF!</definedName>
    <definedName name="BExISJCF3DOPQNO1YGNCNWHRK77M" hidden="1">#REF!</definedName>
    <definedName name="BExISM1JLV54A21A164IURMPGUMU" hidden="1">#REF!</definedName>
    <definedName name="BExISRFKJYUZ4AKW44IJF7RF9Y90" hidden="1">#REF!</definedName>
    <definedName name="BExIT1MDWW3TO556NH3U7B2A47HU" hidden="1">#REF!</definedName>
    <definedName name="BExIT1MK8TBAK3SNP36A8FKDQSOK" hidden="1">#REF!</definedName>
    <definedName name="BExIT2IT2V9GEHP8BOT7V4TQL64A" localSheetId="8" hidden="1">#REF!</definedName>
    <definedName name="BExIT2IT2V9GEHP8BOT7V4TQL64A" hidden="1">#REF!</definedName>
    <definedName name="BExIT3VEBJU8JPHFDK9KDMHQ8MBB" localSheetId="8" hidden="1">#REF!</definedName>
    <definedName name="BExIT3VEBJU8JPHFDK9KDMHQ8MBB" hidden="1">#REF!</definedName>
    <definedName name="BExIT9EXHHRW7STOAU6ZVW1B0Z5Q" hidden="1">#REF!</definedName>
    <definedName name="BExITBNYANV2S8KD56GOGCKW393R" hidden="1">#REF!</definedName>
    <definedName name="BExITN7AKL30C3J94XX9I1QN4NUJ" hidden="1">#REF!</definedName>
    <definedName name="BExITYFRZV70CYUT0MNU47L9925W" hidden="1">#REF!</definedName>
    <definedName name="BExIU0E0FSKSO6MSQIOM5TQG8QK8" hidden="1">#REF!</definedName>
    <definedName name="BExIUB6GMB0SK1G4X7OS9A0AYW30" localSheetId="8" hidden="1">#REF!</definedName>
    <definedName name="BExIUB6GMB0SK1G4X7OS9A0AYW30" hidden="1">#REF!</definedName>
    <definedName name="BExIUD4OJGH65NFNQ4VMCE3R4J1X" hidden="1">#REF!</definedName>
    <definedName name="BExIULYTKJ6F74ZZ6GFR3H0502B9" localSheetId="8" hidden="1">#REF!</definedName>
    <definedName name="BExIULYTKJ6F74ZZ6GFR3H0502B9" hidden="1">#REF!</definedName>
    <definedName name="BExIUTB5OAAXYW0OFMP0PS40SPOB" hidden="1">#REF!</definedName>
    <definedName name="BExIUUT2MHIOV6R3WHA0DPM1KBKY" hidden="1">#REF!</definedName>
    <definedName name="BExIUXI7T2XUZCSZE9GKUIN8NC2X" localSheetId="8" hidden="1">#REF!</definedName>
    <definedName name="BExIUXI7T2XUZCSZE9GKUIN8NC2X" hidden="1">#REF!</definedName>
    <definedName name="BExIUYPDT1AM6MWGWQS646PIZIWC" hidden="1">#REF!</definedName>
    <definedName name="BExIV0I2O9F8D1UK1SI8AEYR6U0A" hidden="1">#REF!</definedName>
    <definedName name="BExIV2GAJHOQWM4Z25QUB5BBUV9K" hidden="1">#REF!</definedName>
    <definedName name="BExIV2LM38XPLRTWT0R44TMQ59E5" hidden="1">#REF!</definedName>
    <definedName name="BExIV3HY4S0YRV1F7XEMF2YHAR2I" hidden="1">#REF!</definedName>
    <definedName name="BExIV3NFTEZBFBOKF18XH6SH9H5M" hidden="1">#REF!</definedName>
    <definedName name="BExIV6HUZFRIFLXW2SICKGTAH1PV" hidden="1">#REF!</definedName>
    <definedName name="BExIVAOXHOAAWUNUQ3W0RVH1YTUO" hidden="1">#REF!</definedName>
    <definedName name="BExIVC6WZMHRBRGIBUVX0CO2RK05" hidden="1">#REF!</definedName>
    <definedName name="BExIVCC698E0P5KKRO4ROKGCTFNZ" hidden="1">#REF!</definedName>
    <definedName name="BExIVCXWL6H5LD9DHDIA4F5U9TQL" hidden="1">#REF!</definedName>
    <definedName name="BExIVHVWLE97GSYXI5MCGEPG5OPB" localSheetId="8" hidden="1">#REF!</definedName>
    <definedName name="BExIVHVWLE97GSYXI5MCGEPG5OPB" hidden="1">#REF!</definedName>
    <definedName name="BExIVMOIPSEWSIHIDDLOXESQ28A0" hidden="1">#REF!</definedName>
    <definedName name="BExIVNVNJX9BYDLC88NG09YF5XQ6" hidden="1">#REF!</definedName>
    <definedName name="BExIVQVKLMGSRYT1LFZH0KUIA4OR" hidden="1">#REF!</definedName>
    <definedName name="BExIVX65FDHJXYG8G3CKKNBLY5DW" hidden="1">#REF!</definedName>
    <definedName name="BExIVY2HXJPO1969SF6CLLSKB4QL" hidden="1">#REF!</definedName>
    <definedName name="BExIVYTFI35KNR2XSA6N8OJYUTUR" hidden="1">#REF!</definedName>
    <definedName name="BExIW3RIP51CKI68L0PKUAYOE1UE" hidden="1">#REF!</definedName>
    <definedName name="BExIWB3SY3WRIVIOF988DNNODBOA" hidden="1">#REF!</definedName>
    <definedName name="BExIWB99CG0H52LRD6QWPN4L6DV2" hidden="1">#REF!</definedName>
    <definedName name="BExIWG1W7XP9DFYYSZAIOSHM0QLQ" hidden="1">#REF!</definedName>
    <definedName name="BExIWH3KUK94B7833DD4TB0Y6KP9" hidden="1">#REF!</definedName>
    <definedName name="BExIWHZXWKU268UH5LLWXLFBJJH5" hidden="1">#REF!</definedName>
    <definedName name="BExIWIWAXJ1A1GCSVB8B144Q0TNN" hidden="1">#REF!</definedName>
    <definedName name="BExIWKE9MGIDWORBI43AWTUNYFAN" hidden="1">#REF!</definedName>
    <definedName name="BExIWOLBZSFLF41D5WIWCPL1MZ80" localSheetId="8" hidden="1">#REF!</definedName>
    <definedName name="BExIWOLBZSFLF41D5WIWCPL1MZ80" hidden="1">#REF!</definedName>
    <definedName name="BExIX2DMJCFY68X9XPKX7A9YBWQV" localSheetId="8" hidden="1">#REF!</definedName>
    <definedName name="BExIX2DMJCFY68X9XPKX7A9YBWQV" hidden="1">#REF!</definedName>
    <definedName name="BExIX34PM5DBTRHRQWP6PL6WIX88" hidden="1">#REF!</definedName>
    <definedName name="BExIX4S01VKH0V2KWQZGAY2FUFFS" localSheetId="8" hidden="1">#REF!</definedName>
    <definedName name="BExIX4S01VKH0V2KWQZGAY2FUFFS" hidden="1">#REF!</definedName>
    <definedName name="BExIX5OAP9KSUE5SIZCW9P39Q4WE" hidden="1">#REF!</definedName>
    <definedName name="BExIX5Z4A18HV7ZXX0DLE5VGSGXY" hidden="1">#REF!</definedName>
    <definedName name="BExIXAGY4LMNI7SCVWGXYIAQNCEX" localSheetId="8" hidden="1">#REF!</definedName>
    <definedName name="BExIXAGY4LMNI7SCVWGXYIAQNCEX" hidden="1">#REF!</definedName>
    <definedName name="BExIXGRJPVJMUDGSG7IHPXPNO69B" hidden="1">#REF!</definedName>
    <definedName name="BExIXKYM1PNNURBBV8RPVF28THZ6" hidden="1">#REF!</definedName>
    <definedName name="BExIXM5R87ZL3FHALWZXYCPHGX3E" hidden="1">#REF!</definedName>
    <definedName name="BExIXNNQBG5AG9YFURL57YSGFMKU" hidden="1">#REF!</definedName>
    <definedName name="BExIXS036ZCKT2Z8XZKLZ8PFWQGL" hidden="1">#REF!</definedName>
    <definedName name="BExIXY5CF9PFM0P40AZ4U51TMWV0" hidden="1">#REF!</definedName>
    <definedName name="BExIYEXJBK8JDWIRSVV4RJSKZVV1" hidden="1">#REF!</definedName>
    <definedName name="BExIYF8CO0BM6S6WFH7T7VU662KW" hidden="1">#REF!</definedName>
    <definedName name="BExIYI2RH0K4225XO970K2IQ1E79" hidden="1">#REF!</definedName>
    <definedName name="BExIYKH4H734YC1PD8S6FJ8DM52W" hidden="1">#REF!</definedName>
    <definedName name="BExIYMPZ0KS2KOJFQAUQJ77L7701" hidden="1">#REF!</definedName>
    <definedName name="BExIYNH04YV85AKWHAJJXY7C99KH" hidden="1">#REF!</definedName>
    <definedName name="BExIYOO4P2NLI0GTES3GN8FDL0US" localSheetId="8" hidden="1">#REF!</definedName>
    <definedName name="BExIYOO4P2NLI0GTES3GN8FDL0US" hidden="1">#REF!</definedName>
    <definedName name="BExIYP9Q6FV9T0R9G3UDKLS4TTYX" hidden="1">#REF!</definedName>
    <definedName name="BExIYRTCOZA1OQ7D46XDWMCW6RFR" localSheetId="8" hidden="1">#REF!</definedName>
    <definedName name="BExIYRTCOZA1OQ7D46XDWMCW6RFR" hidden="1">#REF!</definedName>
    <definedName name="BExIYTWWN644VO7CIA8R6V0AA7Z7" hidden="1">#REF!</definedName>
    <definedName name="BExIYZGLDQ1TN7BIIN4RLDP31GIM" hidden="1">#REF!</definedName>
    <definedName name="BExIZ4K0EZJK6PW3L8SVKTJFSWW9" hidden="1">#REF!</definedName>
    <definedName name="BExIZ504CMI479IN3YXH91Q2T6KK" hidden="1">#REF!</definedName>
    <definedName name="BExIZAECOEZGBAO29QMV14E6XDIV" hidden="1">#REF!</definedName>
    <definedName name="BExIZF6XROLQWB401M8UPS7ISD8S" hidden="1">#REF!</definedName>
    <definedName name="BExIZKVXYD5O2JBU81F2UFJZLLSI" hidden="1">#REF!</definedName>
    <definedName name="BExIZPZDHC8HGER83WHCZAHOX7LK" hidden="1">#REF!</definedName>
    <definedName name="BExIZY2PJ0V2SSOOBW4A3NZNI5RZ" hidden="1">#REF!</definedName>
    <definedName name="BExIZY2PUZ0OF9YKK1B13IW0VS6G" hidden="1">#REF!</definedName>
    <definedName name="BExJ07D65VP31CQCQPI511JPYTW4" localSheetId="8" hidden="1">#REF!</definedName>
    <definedName name="BExJ07D65VP31CQCQPI511JPYTW4" hidden="1">#REF!</definedName>
    <definedName name="BExJ08KB42GOUC2P92D8UI7KEHKL" localSheetId="8" hidden="1">#REF!</definedName>
    <definedName name="BExJ08KB42GOUC2P92D8UI7KEHKL" hidden="1">#REF!</definedName>
    <definedName name="BExJ08KBRR2XMWW3VZMPSQKXHZUH" hidden="1">#REF!</definedName>
    <definedName name="BExJ0DYJWXGE7DA39PYL3WM05U9O" hidden="1">#REF!</definedName>
    <definedName name="BExJ0JCRE7HP1J5ICCTGR58SY007" hidden="1">#REF!</definedName>
    <definedName name="BExJ0MY8SY5J5V50H3UKE78ODTVB" hidden="1">#REF!</definedName>
    <definedName name="BExJ0P1R7G5WDB7DBH75H8JKVLX8" localSheetId="8" hidden="1">#REF!</definedName>
    <definedName name="BExJ0P1R7G5WDB7DBH75H8JKVLX8" hidden="1">#REF!</definedName>
    <definedName name="BExJ0YC98G37ML4N8FLP8D95EFRF" hidden="1">#REF!</definedName>
    <definedName name="BExJ11MY9B0F7RFESFSORX1Z25QM" localSheetId="8" hidden="1">#REF!</definedName>
    <definedName name="BExJ11MY9B0F7RFESFSORX1Z25QM" hidden="1">#REF!</definedName>
    <definedName name="BExKCCREBIWYDT3KYY47J6PKFUJC" localSheetId="8" hidden="1">#REF!</definedName>
    <definedName name="BExKCCREBIWYDT3KYY47J6PKFUJC" hidden="1">#REF!</definedName>
    <definedName name="BExKCDYKAEV45AFXHVHZZ62E5BM3" hidden="1">#REF!</definedName>
    <definedName name="BExKDJBKAJPY1RL4WY6D99TGYHCW" localSheetId="8" hidden="1">#REF!</definedName>
    <definedName name="BExKDJBKAJPY1RL4WY6D99TGYHCW" hidden="1">#REF!</definedName>
    <definedName name="BExKDKO0W4AGQO1V7K6Q4VM750FT" hidden="1">#REF!</definedName>
    <definedName name="BExKDLF10G7W77J87QWH3ZGLUCLW" hidden="1">#REF!</definedName>
    <definedName name="BExKDO45GL6PAZQR3PAOWFVA6WLZ" localSheetId="8" hidden="1">#REF!</definedName>
    <definedName name="BExKDO45GL6PAZQR3PAOWFVA6WLZ" hidden="1">#REF!</definedName>
    <definedName name="BExKE0PCZXWTPBREK7OXAQ3SSKW9" hidden="1">#REF!</definedName>
    <definedName name="BExKE1WHQVIIZ9SUX33BHG4TJLK0" hidden="1">#REF!</definedName>
    <definedName name="BExKE2NDQNPSHEQNLLYASTADHPI9" hidden="1">#REF!</definedName>
    <definedName name="BExKE400P7WOFSUK628BT91CWB4H" hidden="1">#REF!</definedName>
    <definedName name="BExKECE3VJT69GMPT5M7QTW7XEXX" hidden="1">#REF!</definedName>
    <definedName name="BExKEFE0I3MT6ZLC4T1L9465HKTN" hidden="1">#REF!</definedName>
    <definedName name="BExKEK6O5BVJP4VY02FY7JNAZ6BT" hidden="1">#REF!</definedName>
    <definedName name="BExKEKMRQLC0TPETMUVPBOHVEK6D" localSheetId="8" hidden="1">#REF!</definedName>
    <definedName name="BExKEKMRQLC0TPETMUVPBOHVEK6D" hidden="1">#REF!</definedName>
    <definedName name="BExKEKXK6E6QX339ELPXDIRZSJE0" hidden="1">#REF!</definedName>
    <definedName name="BExKEOOIBMP7N8033EY2CJYCBX6H" hidden="1">#REF!</definedName>
    <definedName name="BExKES9ZA5L22XTSO9Y8GAI2RIIH" localSheetId="8" hidden="1">#REF!</definedName>
    <definedName name="BExKES9ZA5L22XTSO9Y8GAI2RIIH" hidden="1">#REF!</definedName>
    <definedName name="BExKEW0RR5LA3VC46A2BEOOMQE56" hidden="1">#REF!</definedName>
    <definedName name="BExKF02HYBPMKRSPJGAK1MWM2V4R" localSheetId="8" hidden="1">#REF!</definedName>
    <definedName name="BExKF02HYBPMKRSPJGAK1MWM2V4R" hidden="1">#REF!</definedName>
    <definedName name="BExKFA3VI1CZK21SM0N3LZWT9LA1" hidden="1">#REF!</definedName>
    <definedName name="BExKFINBFV5J2NFRCL4YUO3YF0ZE" hidden="1">#REF!</definedName>
    <definedName name="BExKFISRBFACTAMJSALEYMY66F6X" hidden="1">#REF!</definedName>
    <definedName name="BExKFOSK5DJ151C4E8544UWMYTOC" hidden="1">#REF!</definedName>
    <definedName name="BExKFXC0VDAP3RK3188HBA63MBWR" hidden="1">#REF!</definedName>
    <definedName name="BExKFYJC4EVEV54F82K6VKP7Q3OU" hidden="1">#REF!</definedName>
    <definedName name="BExKG0BV6A1422D4NW5W2RT75DVW" hidden="1">#REF!</definedName>
    <definedName name="BExKG4IYHBKQQ8J8FN10GB2IKO33" hidden="1">#REF!</definedName>
    <definedName name="BExKG8KO0T2K2PJKN0MY59LZRPC0" localSheetId="8" hidden="1">#REF!</definedName>
    <definedName name="BExKG8KO0T2K2PJKN0MY59LZRPC0" hidden="1">#REF!</definedName>
    <definedName name="BExKGB4BQ8EN99BNKIECUK3QZ33B" hidden="1">#REF!</definedName>
    <definedName name="BExKGF0L44S78D33WMQ1A75TRKB9" hidden="1">#REF!</definedName>
    <definedName name="BExKGFRN31B3G20LMQ4LRF879J68" hidden="1">#REF!</definedName>
    <definedName name="BExKGJD3U3ADZILP20U3EURP0UQP" hidden="1">#REF!</definedName>
    <definedName name="BExKGNK5YGKP0YHHTAAOV17Z9EIM" hidden="1">#REF!</definedName>
    <definedName name="BExKGV77YH9YXIQTRKK2331QGYKF" hidden="1">#REF!</definedName>
    <definedName name="BExKGWUGUAZ9RHGMMEHY6AG0GBZC" localSheetId="8" hidden="1">#REF!</definedName>
    <definedName name="BExKGWUGUAZ9RHGMMEHY6AG0GBZC" hidden="1">#REF!</definedName>
    <definedName name="BExKH0ANKNJUT5MEASVBDV24PB47" localSheetId="8" hidden="1">#REF!</definedName>
    <definedName name="BExKH0ANKNJUT5MEASVBDV24PB47" hidden="1">#REF!</definedName>
    <definedName name="BExKH3FTZ5VGTB86W9M4AB39R0G8" hidden="1">#REF!</definedName>
    <definedName name="BExKH3FV5U5O6XZM7STS3NZKQFGJ" hidden="1">#REF!</definedName>
    <definedName name="BExKH6L8BUEGZ1O7ZYFE7R04MJJV" localSheetId="8" hidden="1">#REF!</definedName>
    <definedName name="BExKH6L8BUEGZ1O7ZYFE7R04MJJV" hidden="1">#REF!</definedName>
    <definedName name="BExKHAMUH8NR3HRV0V6FHJE3ROLN" hidden="1">#REF!</definedName>
    <definedName name="BExKHCFKOWFHO2WW0N7Y5XDXEWAO" hidden="1">#REF!</definedName>
    <definedName name="BExKHIVLONZ46HLMR50DEXKEUNEP" hidden="1">#REF!</definedName>
    <definedName name="BExKHKDK2PRBCUJS8TEDP8K3VODQ" localSheetId="8" hidden="1">#REF!</definedName>
    <definedName name="BExKHKDK2PRBCUJS8TEDP8K3VODQ" hidden="1">#REF!</definedName>
    <definedName name="BExKHL4GG5J525ZIKTNERPF05QA8" localSheetId="8" hidden="1">#REF!</definedName>
    <definedName name="BExKHL4GG5J525ZIKTNERPF05QA8" hidden="1">#REF!</definedName>
    <definedName name="BExKHPM9XA0ADDK7TUR0N38EXWEP" hidden="1">#REF!</definedName>
    <definedName name="BExKHS63AXXKA3OY4980RN0HCTAA" localSheetId="8" hidden="1">#REF!</definedName>
    <definedName name="BExKHS63AXXKA3OY4980RN0HCTAA" hidden="1">#REF!</definedName>
    <definedName name="BExKHUEXEQV4BDLPB58BUY8UOF5P" hidden="1">#REF!</definedName>
    <definedName name="BExKI4076KXCDE5KXL79KT36OKLO" hidden="1">#REF!</definedName>
    <definedName name="BExKI6PAQABIKCF3EQ90E9VC7RRY" hidden="1">#REF!</definedName>
    <definedName name="BExKI703C2AB484V2HWPLEVDXHNP" hidden="1">#REF!</definedName>
    <definedName name="BExKI703H6LLQ9SUAO1Q66RXBCFT" localSheetId="8" hidden="1">#REF!</definedName>
    <definedName name="BExKI703H6LLQ9SUAO1Q66RXBCFT" hidden="1">#REF!</definedName>
    <definedName name="BExKI7LO70WYISR7Q0Y1ZDWO9M3B" hidden="1">#REF!</definedName>
    <definedName name="BExKIGQV6TXIZG039HBOJU62WP2U" hidden="1">#REF!</definedName>
    <definedName name="BExKIGW6WRWQHSJ525OVXPW15PDT" hidden="1">#REF!</definedName>
    <definedName name="BExKILE008SF3KTAN8WML3XKI1NZ" hidden="1">#REF!</definedName>
    <definedName name="BExKINSBB6RS7I489QHMCOMU4Z2X" hidden="1">#REF!</definedName>
    <definedName name="BExKITBUIU5IJYM7R8GCTTERB80S" hidden="1">#REF!</definedName>
    <definedName name="BExKIU87ZKSOC2DYZWFK6SAK9I8E" hidden="1">#REF!</definedName>
    <definedName name="BExKJ449HLYX2DJ9UF0H9GTPSQ73" hidden="1">#REF!</definedName>
    <definedName name="BExKJDERCUHK9PKO6D5WFT7A9D4Q" hidden="1">#REF!</definedName>
    <definedName name="BExKJELX2RUC8UEC56IZPYYZXHA7" hidden="1">#REF!</definedName>
    <definedName name="BExKJF7HU3XFAA0P2HSYBV03N2SD" localSheetId="8" hidden="1">#REF!</definedName>
    <definedName name="BExKJF7HU3XFAA0P2HSYBV03N2SD" hidden="1">#REF!</definedName>
    <definedName name="BExKJHRAQ9YK75NAQLJUPXR4JHPB" hidden="1">#REF!</definedName>
    <definedName name="BExKJINMXS61G2TZEXCJAWVV4F57" hidden="1">#REF!</definedName>
    <definedName name="BExKJISYQXD7CK93AXDVI2H0HJF1" hidden="1">#REF!</definedName>
    <definedName name="BExKJJUT6P4G0845RKM9STOIZT5R" localSheetId="8" hidden="1">#REF!</definedName>
    <definedName name="BExKJJUT6P4G0845RKM9STOIZT5R" hidden="1">#REF!</definedName>
    <definedName name="BExKJK5ME8KB7HA0180L7OUZDDGV" hidden="1">#REF!</definedName>
    <definedName name="BExKJN5IF0VMDILJ5K8ZENF2QYV1" hidden="1">#REF!</definedName>
    <definedName name="BExKJS8X44L7F6830KFMV8VKEHJT" hidden="1">#REF!</definedName>
    <definedName name="BExKJUSJPFUIK20FTVAFJWR2OUYX" hidden="1">#REF!</definedName>
    <definedName name="BExKJVE3LU3IUT3ECPEIO6HPFGZ4" hidden="1">#REF!</definedName>
    <definedName name="BExKK6BVPRE28WDW4S83V1T6W2YG" hidden="1">#REF!</definedName>
    <definedName name="BExKK7Z9YQA57TOU14HMO7HW4ZJZ" localSheetId="8" hidden="1">#REF!</definedName>
    <definedName name="BExKK7Z9YQA57TOU14HMO7HW4ZJZ" hidden="1">#REF!</definedName>
    <definedName name="BExKK8VP5RS3D0UXZVKA37C4SYBP" hidden="1">#REF!</definedName>
    <definedName name="BExKKIM9NPF6B3SPMPIQB27HQME4" hidden="1">#REF!</definedName>
    <definedName name="BExKKIX1BCBQ4R3K41QD8NTV0OV0" hidden="1">#REF!</definedName>
    <definedName name="BExKKQ3ZWADYV03YHMXDOAMU90EB" hidden="1">#REF!</definedName>
    <definedName name="BExKKUGD2HMJWQEYZ8H3X1BMXFS9" hidden="1">#REF!</definedName>
    <definedName name="BExKKWPD7Z2BLU68DV53168ACLBT" hidden="1">#REF!</definedName>
    <definedName name="BExKKX05KCZZZPKOR1NE5A8RGVT4" hidden="1">#REF!</definedName>
    <definedName name="BExKL002TQQTZZ9BETERCDLUDV0K" localSheetId="8" hidden="1">#REF!</definedName>
    <definedName name="BExKL002TQQTZZ9BETERCDLUDV0K" hidden="1">#REF!</definedName>
    <definedName name="BExKLD6S9L66QYREYHBE5J44OK7X" hidden="1">#REF!</definedName>
    <definedName name="BExKLEZK32L28GYJWVO63BZ5E1JD" hidden="1">#REF!</definedName>
    <definedName name="BExKLFVWASFTSA5M8TOW1BXAC4MM" hidden="1">#REF!</definedName>
    <definedName name="BExKLGBZ8D7W1HW672WZB4ZK47TN" localSheetId="8" hidden="1">#REF!</definedName>
    <definedName name="BExKLGBZ8D7W1HW672WZB4ZK47TN" hidden="1">#REF!</definedName>
    <definedName name="BExKLLKVVHT06LA55JB2FC871DC5" hidden="1">#REF!</definedName>
    <definedName name="BExKLO4OJ4LE6YA3WZB02FDH4ZBC" hidden="1">#REF!</definedName>
    <definedName name="BExKLOA0213AEW8BCBHZXOCKFFHG" hidden="1">#REF!</definedName>
    <definedName name="BExKLV0PDWHKLR3GVVFTZ5OWHH48" hidden="1">#REF!</definedName>
    <definedName name="BExKLWYWL8HEKZRA5IGCCM60HYID" localSheetId="8" hidden="1">#REF!</definedName>
    <definedName name="BExKLWYWL8HEKZRA5IGCCM60HYID" hidden="1">#REF!</definedName>
    <definedName name="BExKLX9OMIZRVELEESUGRFHXM0CU" localSheetId="8" hidden="1">#REF!</definedName>
    <definedName name="BExKLX9OMIZRVELEESUGRFHXM0CU" hidden="1">#REF!</definedName>
    <definedName name="BExKM87GFZWSY7FOAFBUU7BQRMHU" hidden="1">#REF!</definedName>
    <definedName name="BExKMI3I1NNLFSLC3V3VEJ5C0SGT" hidden="1">#REF!</definedName>
    <definedName name="BExKMWBX4EH3EYJ07UFEM08NB40Z" hidden="1">#REF!</definedName>
    <definedName name="BExKN2H6WJ6GAKX2A1B36MJ8W77Y" localSheetId="8" hidden="1">#REF!</definedName>
    <definedName name="BExKN2H6WJ6GAKX2A1B36MJ8W77Y" hidden="1">#REF!</definedName>
    <definedName name="BExKNBGV2IR3S7M0BX4810KZB4V3" hidden="1">#REF!</definedName>
    <definedName name="BExKNCTBZTSY3MO42VU5PLV6YUHZ" hidden="1">#REF!</definedName>
    <definedName name="BExKNGV2YY749C42AQ2T9QNIE5C3" hidden="1">#REF!</definedName>
    <definedName name="BExKNM3TO8JLDR94J4BKF7TE6872" localSheetId="8" hidden="1">#REF!</definedName>
    <definedName name="BExKNM3TO8JLDR94J4BKF7TE6872" hidden="1">#REF!</definedName>
    <definedName name="BExKNV8UOHVWEHDJWI2WMJ9X6QHZ" hidden="1">#REF!</definedName>
    <definedName name="BExKNWG4GU4GGURT06RK2YCAR8YA" localSheetId="8" hidden="1">#REF!</definedName>
    <definedName name="BExKNWG4GU4GGURT06RK2YCAR8YA" hidden="1">#REF!</definedName>
    <definedName name="BExKNYUAYWR68YCUOIW6WYVNJ198" localSheetId="8" hidden="1">#REF!</definedName>
    <definedName name="BExKNYUAYWR68YCUOIW6WYVNJ198" hidden="1">#REF!</definedName>
    <definedName name="BExKNZLD7UATC1MYRNJD8H2NH4KU" hidden="1">#REF!</definedName>
    <definedName name="BExKNZQUKQQG2Y97R74G4O4BJP1L" hidden="1">#REF!</definedName>
    <definedName name="BExKO06X0EAD3ABEG1E8PWLDWHBA" hidden="1">#REF!</definedName>
    <definedName name="BExKO2AHHSGNI1AZOIOW21KPXKPE" hidden="1">#REF!</definedName>
    <definedName name="BExKO2FXWJWC5IZLDN8JHYILQJ2N" hidden="1">#REF!</definedName>
    <definedName name="BExKO438WZ8FKOU00NURGFMOYXWN" hidden="1">#REF!</definedName>
    <definedName name="BExKO5VYS9H7CXGKMERQ65KRLMK5" hidden="1">#REF!</definedName>
    <definedName name="BExKO6SC6877UWDVDEJR5GMUF5LM" hidden="1">#REF!</definedName>
    <definedName name="BExKOBVR6FBO1U02GWCHZEQEFC13" localSheetId="8" hidden="1">#REF!</definedName>
    <definedName name="BExKOBVR6FBO1U02GWCHZEQEFC13" hidden="1">#REF!</definedName>
    <definedName name="BExKODIZGWW2EQD0FEYW6WK6XLCM" hidden="1">#REF!</definedName>
    <definedName name="BExKOEA1HY8RIY04636RSKF38SDX" localSheetId="8" hidden="1">#REF!</definedName>
    <definedName name="BExKOEA1HY8RIY04636RSKF38SDX" hidden="1">#REF!</definedName>
    <definedName name="BExKOIMERZS2ZNE01B10O5CB754U" localSheetId="8" hidden="1">#REF!</definedName>
    <definedName name="BExKOIMERZS2ZNE01B10O5CB754U" hidden="1">#REF!</definedName>
    <definedName name="BExKOPO2HPWVQGAKW8LOZMPIDEFG" hidden="1">#REF!</definedName>
    <definedName name="BExKOQV7K6BBJQZY5CVYC942OQVT" hidden="1">#REF!</definedName>
    <definedName name="BExKOXB55MXBO86JQ6RZK8LBJUKT" hidden="1">#REF!</definedName>
    <definedName name="BExKP05O0F1T0330YN3DX1623MX9" hidden="1">#REF!</definedName>
    <definedName name="BExKP0LTGW36APLDTEF2CUP14W3M" hidden="1">#REF!</definedName>
    <definedName name="BExKPEZP0QTKOTLIMMIFSVTHQEEK" hidden="1">#REF!</definedName>
    <definedName name="BExKPLQJX0HJ8OTXBXH9IC9J2V0W" hidden="1">#REF!</definedName>
    <definedName name="BExKPN8C7GN36ZJZHLOB74LU6KT0" hidden="1">#REF!</definedName>
    <definedName name="BExKPPBWP2GJCKICM1SSBMWH2D7L" hidden="1">#REF!</definedName>
    <definedName name="BExKPSMIVQ1E8VB5QF705XLJH9B4" hidden="1">#REF!</definedName>
    <definedName name="BExKPX9VZ1J5021Q98K60HMPJU58" hidden="1">#REF!</definedName>
    <definedName name="BExKQCPHKIMOMZPUNLOJYYANAJL0" hidden="1">#REF!</definedName>
    <definedName name="BExKQJ01GRP9KX7BHWUGSV76KSSN" localSheetId="8" hidden="1">#REF!</definedName>
    <definedName name="BExKQJ01GRP9KX7BHWUGSV76KSSN" hidden="1">#REF!</definedName>
    <definedName name="BExKQJGAAWNM3NT19E9I0CQDBTU0" hidden="1">#REF!</definedName>
    <definedName name="BExKQM5GJ1ZN5REKFE7YVBQ0KXWF" hidden="1">#REF!</definedName>
    <definedName name="BExKQNN6RW34L73X09RK2M9MN7Q0" hidden="1">#REF!</definedName>
    <definedName name="BExKQO3G0R230211GSQXEUMGOJJH" localSheetId="8" hidden="1">#REF!</definedName>
    <definedName name="BExKQO3G0R230211GSQXEUMGOJJH" hidden="1">#REF!</definedName>
    <definedName name="BExKQOEA7HV9U5DH9C8JXFD62EKH" hidden="1">#REF!</definedName>
    <definedName name="BExKQQ71278061G7ZFYGPWOMOMY2" hidden="1">#REF!</definedName>
    <definedName name="BExKQROXFHOAXZAJ9P338TCB51AS" localSheetId="8" hidden="1">#REF!</definedName>
    <definedName name="BExKQROXFHOAXZAJ9P338TCB51AS" hidden="1">#REF!</definedName>
    <definedName name="BExKQTXRG3ECU8NT47UR7643LO5G" hidden="1">#REF!</definedName>
    <definedName name="BExKQVL7HPOIZ4FHANDFMVOJLEPR" hidden="1">#REF!</definedName>
    <definedName name="BExKR0J4RS46WHNCZ4QG8ASOBPZ4" hidden="1">#REF!</definedName>
    <definedName name="BExKR32XG1WY77WDT8KW9FJPGQTU" hidden="1">#REF!</definedName>
    <definedName name="BExKR8RZSEHW184G0Z56B4EGNU72" hidden="1">#REF!</definedName>
    <definedName name="BExKRS3TU9ZISEFNAGIP4D2THSPK" localSheetId="8" hidden="1">#REF!</definedName>
    <definedName name="BExKRS3TU9ZISEFNAGIP4D2THSPK" hidden="1">#REF!</definedName>
    <definedName name="BExKRSEKZKCEVXLA3O7ELB99UE5G" localSheetId="8" hidden="1">#REF!</definedName>
    <definedName name="BExKRSEKZKCEVXLA3O7ELB99UE5G" hidden="1">#REF!</definedName>
    <definedName name="BExKRVUSQ6PA7ZYQSTEQL3X7PB9P" hidden="1">#REF!</definedName>
    <definedName name="BExKRY3KZ7F7RB2KH8HXSQ85IEQO" hidden="1">#REF!</definedName>
    <definedName name="BExKS4E7M18NRD93YOAN0R9PDSUA" hidden="1">#REF!</definedName>
    <definedName name="BExKS8L97MJQ0FNMENB2ZX3RINUM" hidden="1">#REF!</definedName>
    <definedName name="BExKS96TZTDVOJUTE4C2EYK62II4" hidden="1">#REF!</definedName>
    <definedName name="BExKSA37DZTCK6H13HPIKR0ZFVL8" hidden="1">#REF!</definedName>
    <definedName name="BExKSAJ9PLFSAM5DGYLJ0LGWBOCJ" localSheetId="8" hidden="1">#REF!</definedName>
    <definedName name="BExKSAJ9PLFSAM5DGYLJ0LGWBOCJ" hidden="1">#REF!</definedName>
    <definedName name="BExKSFHEJYQU3MJ64AXH349TS3AS" localSheetId="8" hidden="1">#REF!</definedName>
    <definedName name="BExKSFHEJYQU3MJ64AXH349TS3AS" hidden="1">#REF!</definedName>
    <definedName name="BExKSFMOMSZYDE0WNC94F40S6636" hidden="1">#REF!</definedName>
    <definedName name="BExKSGU1VJGIZQ1A9L3ZPOI86L5Z" hidden="1">#REF!</definedName>
    <definedName name="BExKSHQ9K79S8KYUWIV5M5LAHHF1" hidden="1">#REF!</definedName>
    <definedName name="BExKSIS3VA1NCEFCZZSIK8B3YIBZ" hidden="1">#REF!</definedName>
    <definedName name="BExKSJTWG9L3FCX8FLK4EMUJMF27" hidden="1">#REF!</definedName>
    <definedName name="BExKSMDKVAO0A43CLVBQQD41BXOS" localSheetId="8" hidden="1">#REF!</definedName>
    <definedName name="BExKSMDKVAO0A43CLVBQQD41BXOS" hidden="1">#REF!</definedName>
    <definedName name="BExKSR66M8VX6DOVY5XKESJ3UH2N" localSheetId="8" hidden="1">#REF!</definedName>
    <definedName name="BExKSR66M8VX6DOVY5XKESJ3UH2N" hidden="1">#REF!</definedName>
    <definedName name="BExKSU0MKNAVZYYPKCYTZDWQX4R8" hidden="1">#REF!</definedName>
    <definedName name="BExKSX60G1MUS689FXIGYP2F7C62" hidden="1">#REF!</definedName>
    <definedName name="BExKT2UZ7Y2VWF5NQE18SJRLD2RN" hidden="1">#REF!</definedName>
    <definedName name="BExKT3GJFNGAM09H5F615E36A38C" hidden="1">#REF!</definedName>
    <definedName name="BExKT3LVAAFH38XWJ47ZIWCD3PH3" localSheetId="8" hidden="1">#REF!</definedName>
    <definedName name="BExKT3LVAAFH38XWJ47ZIWCD3PH3" hidden="1">#REF!</definedName>
    <definedName name="BExKTASUMBZA6ZXMS3N0KNEIR2S2" localSheetId="8" hidden="1">#REF!</definedName>
    <definedName name="BExKTASUMBZA6ZXMS3N0KNEIR2S2" hidden="1">#REF!</definedName>
    <definedName name="BExKTG72EX4AZKT0PQTLCCZHMO0U" hidden="1">#REF!</definedName>
    <definedName name="BExKTGHU41U7OXQNLCH9L528CTKN" localSheetId="8" hidden="1">#REF!</definedName>
    <definedName name="BExKTGHU41U7OXQNLCH9L528CTKN" hidden="1">#REF!</definedName>
    <definedName name="BExKTQZGN8GI3XGSEXMPCCA3S19H" hidden="1">#REF!</definedName>
    <definedName name="BExKTSS7AONESOP1LOBOPARGOYE1" hidden="1">#REF!</definedName>
    <definedName name="BExKTSS7KAAL29OI447ZSEX14PP3" hidden="1">#REF!</definedName>
    <definedName name="BExKTUKYYU0F6TUW1RXV24LRAZFE" hidden="1">#REF!</definedName>
    <definedName name="BExKU1XD5B5PQ0QWZDH3VV2COKCF" hidden="1">#REF!</definedName>
    <definedName name="BExKU2871LMNYTGAS6Q3EB56B096" hidden="1">#REF!</definedName>
    <definedName name="BExKU3FBLHQBIUTN6XEZW5GC9OG1" hidden="1">#REF!</definedName>
    <definedName name="BExKU82I99FEUIZLODXJDOJC96CQ" hidden="1">#REF!</definedName>
    <definedName name="BExKUBNYRCUWETT33QI39XKFKACM" hidden="1">#REF!</definedName>
    <definedName name="BExKUDM0DFSCM3D91SH0XLXJSL18" hidden="1">#REF!</definedName>
    <definedName name="BExKUEIEGD9JH03Q4QGCL2ZVM2AQ" localSheetId="8" hidden="1">#REF!</definedName>
    <definedName name="BExKUEIEGD9JH03Q4QGCL2ZVM2AQ" hidden="1">#REF!</definedName>
    <definedName name="BExKUGB4Y21U8DRQ1IJ4WQXT9TTC" hidden="1">#REF!</definedName>
    <definedName name="BExKULEKJLA77AUQPDUHSM94Y76Z" hidden="1">#REF!</definedName>
    <definedName name="BExKUPASS3H5268MTUCTQGAWNU4C" localSheetId="8" hidden="1">#REF!</definedName>
    <definedName name="BExKUPASS3H5268MTUCTQGAWNU4C" hidden="1">#REF!</definedName>
    <definedName name="BExKUXJMOE3H7JQJ3M2YTKONHS8K" hidden="1">#REF!</definedName>
    <definedName name="BExKV08R85MKI3MAX9E2HERNQUNL" hidden="1">#REF!</definedName>
    <definedName name="BExKV4AAUNNJL5JWD7PX6BFKVS6O" hidden="1">#REF!</definedName>
    <definedName name="BExKV8S497WD25N3LA72PSCGO8G3" localSheetId="8" hidden="1">#REF!</definedName>
    <definedName name="BExKV8S497WD25N3LA72PSCGO8G3" hidden="1">#REF!</definedName>
    <definedName name="BExKV9DQEP3JIWJGG0EALWM53J0Z" localSheetId="8" hidden="1">#REF!</definedName>
    <definedName name="BExKV9DQEP3JIWJGG0EALWM53J0Z" hidden="1">#REF!</definedName>
    <definedName name="BExKVBH8E1QQOTWVMBWYMGF5KPPM" hidden="1">#REF!</definedName>
    <definedName name="BExKVDVK6HN74GQPTXICP9BFC8CF" hidden="1">#REF!</definedName>
    <definedName name="BExKVFZ3ZZGIC1QI8XN6BYFWN0ZY" hidden="1">#REF!</definedName>
    <definedName name="BExKVG4KGO28KPGTAFL1R8TTZ10N" hidden="1">#REF!</definedName>
    <definedName name="BExKVPKBNV11Z7VCCN6FEBHDHWQH" hidden="1">#REF!</definedName>
    <definedName name="BExKW0CSH7DA02YSNV64PSEIXB2P" hidden="1">#REF!</definedName>
    <definedName name="BExM9CGG5XOX04JEBMT21GGW3C3K" hidden="1">#REF!</definedName>
    <definedName name="BExM9MNAIA30QFN5TN1C6M8I5668" hidden="1">#REF!</definedName>
    <definedName name="BExM9NUG3Q31X01AI9ZJCZIX25CS" hidden="1">#REF!</definedName>
    <definedName name="BExM9OG182RP30MY23PG49LVPZ1C" hidden="1">#REF!</definedName>
    <definedName name="BExM9UQN0TIL2QB8BQX5YK9L7EW9" localSheetId="8" hidden="1">#REF!</definedName>
    <definedName name="BExM9UQN0TIL2QB8BQX5YK9L7EW9" hidden="1">#REF!</definedName>
    <definedName name="BExMA64MW1S18NH8DCKPCCEI5KCB" hidden="1">#REF!</definedName>
    <definedName name="BExMALEWFUEM8Y686IT03ECURUBR" hidden="1">#REF!</definedName>
    <definedName name="BExMAR3XSK6RSFLHP7ZX1EWGHASI" localSheetId="8" hidden="1">#REF!</definedName>
    <definedName name="BExMAR3XSK6RSFLHP7ZX1EWGHASI" hidden="1">#REF!</definedName>
    <definedName name="BExMAXJS82ZJ8RS22VLE0V0LDUII" hidden="1">#REF!</definedName>
    <definedName name="BExMB2Y08ZQ6ES53Z1Z85LK1XPJG" hidden="1">#REF!</definedName>
    <definedName name="BExMB4LFUTLSAY28TARWVAHO9BY2" hidden="1">#REF!</definedName>
    <definedName name="BExMB4QRS0R3MTB4CMUHFZ84LNZQ" hidden="1">#REF!</definedName>
    <definedName name="BExMBC35WKQY5CWQJLV4D05O6971" hidden="1">#REF!</definedName>
    <definedName name="BExMBFTZV4Q1A5KG25C1N9PHQNSW" hidden="1">#REF!</definedName>
    <definedName name="BExMBI8AKQLYXHYU45ID76JT92YO" hidden="1">#REF!</definedName>
    <definedName name="BExMBK6ISK3U7KHZKUJXIDKGF6VW" hidden="1">#REF!</definedName>
    <definedName name="BExMBYKEWOK2XF4B0TIGYXGEZNOZ" hidden="1">#REF!</definedName>
    <definedName name="BExMBYPQDG9AYDQ5E8IECVFREPO6" localSheetId="7" hidden="1">#REF!</definedName>
    <definedName name="BExMBYPQDG9AYDQ5E8IECVFREPO6" hidden="1">#REF!</definedName>
    <definedName name="BExMC5R82S07KSLMO7YA8CCU0ZAI" localSheetId="8" hidden="1">#REF!</definedName>
    <definedName name="BExMC5R82S07KSLMO7YA8CCU0ZAI" hidden="1">#REF!</definedName>
    <definedName name="BExMC8AZUTX8LG89K2JJR7ZG62XX" hidden="1">#REF!</definedName>
    <definedName name="BExMCA96YR10V72G2R0SCIKPZLIZ" hidden="1">#REF!</definedName>
    <definedName name="BExMCAPB2KR2CNKS8MYVWTH5MOT2" localSheetId="8" hidden="1">#REF!</definedName>
    <definedName name="BExMCAPB2KR2CNKS8MYVWTH5MOT2" hidden="1">#REF!</definedName>
    <definedName name="BExMCB5JU5I2VQDUBS4O42BTEVKI" hidden="1">#REF!</definedName>
    <definedName name="BExMCDEENRW8YVHDI992BERZ8IRZ" hidden="1">#REF!</definedName>
    <definedName name="BExMCFSQFSEMPY5IXDIRKZDASDBR" hidden="1">#REF!</definedName>
    <definedName name="BExMCG8ZS292XXLBFFFHIB1HG4PW" hidden="1">#REF!</definedName>
    <definedName name="BExMCGZUGWKOVRJZLUA6SNAW01O8" localSheetId="8" hidden="1">#REF!</definedName>
    <definedName name="BExMCGZUGWKOVRJZLUA6SNAW01O8" hidden="1">#REF!</definedName>
    <definedName name="BExMCICDTOYK0UMQOHMXKL4DTFI8" hidden="1">#REF!</definedName>
    <definedName name="BExMCJP015LCM5TSD4B0Y2WV1XSZ" hidden="1">#REF!</definedName>
    <definedName name="BExMCMZOEYWVOOJ98TBHTTCS7XB8" hidden="1">#REF!</definedName>
    <definedName name="BExMCRSC61GNE2C255DR0NN6NYI0" localSheetId="8" hidden="1">#REF!</definedName>
    <definedName name="BExMCRSC61GNE2C255DR0NN6NYI0" hidden="1">#REF!</definedName>
    <definedName name="BExMCS8EF2W3FS9QADNKREYSI8P0" hidden="1">#REF!</definedName>
    <definedName name="BExMCUS7GSOM96J0HJ7EH0FFM2AC" hidden="1">#REF!</definedName>
    <definedName name="BExMCXMMDFHHNJDRURMCXF1DGUOM" localSheetId="8" hidden="1">#REF!</definedName>
    <definedName name="BExMCXMMDFHHNJDRURMCXF1DGUOM" hidden="1">#REF!</definedName>
    <definedName name="BExMCYTT6TVDWMJXO1NZANRTVNAN" hidden="1">#REF!</definedName>
    <definedName name="BExMD5F6IAV108XYJLXUO9HD0IT6" hidden="1">#REF!</definedName>
    <definedName name="BExMD963673NTBXBO0VDNBAG9YWM" localSheetId="8" hidden="1">#REF!</definedName>
    <definedName name="BExMD963673NTBXBO0VDNBAG9YWM" hidden="1">#REF!</definedName>
    <definedName name="BExMDANV66W9T3XAXID40XFJ0J93" hidden="1">#REF!</definedName>
    <definedName name="BExMDGD1KQP7NNR78X2ZX4FCBQ1S" hidden="1">#REF!</definedName>
    <definedName name="BExMDIB37W213G5OI8XQE308POHQ" localSheetId="8" hidden="1">#REF!</definedName>
    <definedName name="BExMDIB37W213G5OI8XQE308POHQ" hidden="1">#REF!</definedName>
    <definedName name="BExMDIRDK0DI8P86HB7WPH8QWLSQ" hidden="1">#REF!</definedName>
    <definedName name="BExMDPI2FVMORSWDDCVAJ85WYAYO" hidden="1">#REF!</definedName>
    <definedName name="BExMDQ3NI3GV1A8JDHIRIL4YLESR" localSheetId="8" hidden="1">#REF!</definedName>
    <definedName name="BExMDQ3NI3GV1A8JDHIRIL4YLESR" hidden="1">#REF!</definedName>
    <definedName name="BExMDUWAATB6AI7BI1UYVBD6BVVO" hidden="1">#REF!</definedName>
    <definedName name="BExMDUWB7VWHFFR266QXO46BNV2S" hidden="1">#REF!</definedName>
    <definedName name="BExMDVSO20ADTTVCKT513NZBKC0Q" localSheetId="8" hidden="1">#REF!</definedName>
    <definedName name="BExMDVSO20ADTTVCKT513NZBKC0Q" hidden="1">#REF!</definedName>
    <definedName name="BExMDY6ZMJYEZ5QYADRQYY1ZM35N" hidden="1">#REF!</definedName>
    <definedName name="BExME0AHRVOI7WDQVBYW4GD2LNIT" localSheetId="8" hidden="1">#REF!</definedName>
    <definedName name="BExME0AHRVOI7WDQVBYW4GD2LNIT" hidden="1">#REF!</definedName>
    <definedName name="BExME2U47N8LZG0BPJ49ANY5QVV2" hidden="1">#REF!</definedName>
    <definedName name="BExME76MVOMQ36IJAJ84VITATV2F" hidden="1">#REF!</definedName>
    <definedName name="BExME88DH5DUKMUFI9FNVECXFD2E" hidden="1">#REF!</definedName>
    <definedName name="BExME9A7MOGAK7YTTQYXP5DL6VYA" hidden="1">#REF!</definedName>
    <definedName name="BExMEHDIVZGB2UUTY8Q9GZ3N204Z" localSheetId="8" hidden="1">#REF!</definedName>
    <definedName name="BExMEHDIVZGB2UUTY8Q9GZ3N204Z" hidden="1">#REF!</definedName>
    <definedName name="BExMEIF5Q68CE6DDF3PUPWZYP7I3" hidden="1">#REF!</definedName>
    <definedName name="BExMEKTHIM47ERJ7ML7M759FF32G" localSheetId="8" hidden="1">#REF!</definedName>
    <definedName name="BExMEKTHIM47ERJ7ML7M759FF32G" hidden="1">#REF!</definedName>
    <definedName name="BExMEMM85FA3VF7FASHC5W2OR7VR" hidden="1">#REF!</definedName>
    <definedName name="BExMEOV9YFRY5C3GDLU60GIX10BY" hidden="1">#REF!</definedName>
    <definedName name="BExMEPBDGXCXUBWP9A4V33YU1ZJS" hidden="1">#REF!</definedName>
    <definedName name="BExMEQ2E8AVM0TATQQ2FEU5AL99N" hidden="1">#REF!</definedName>
    <definedName name="BExMEV0DUNFFKK13O1ASGPMZSKBJ" hidden="1">#REF!</definedName>
    <definedName name="BExMEY095ELVR1FY94CBBWCTD3ND" localSheetId="8" hidden="1">#REF!</definedName>
    <definedName name="BExMEY095ELVR1FY94CBBWCTD3ND" hidden="1">#REF!</definedName>
    <definedName name="BExMEY09ESM4H2YGKEQQRYUD114R" hidden="1">#REF!</definedName>
    <definedName name="BExMF4G4IUPQY1Y5GEY5N3E04CL6" hidden="1">#REF!</definedName>
    <definedName name="BExMF8Y5KX5016YCG98NN1ZKA3KS" hidden="1">#REF!</definedName>
    <definedName name="BExMF9UIGYMOAQK0ELUWP0S0HZZY" hidden="1">#REF!</definedName>
    <definedName name="BExMFDLBSWFMRDYJ2DZETI3EXKN2" hidden="1">#REF!</definedName>
    <definedName name="BExMFFJCU2N6QOC5V50II5WTLPAF" localSheetId="8" hidden="1">#REF!</definedName>
    <definedName name="BExMFFJCU2N6QOC5V50II5WTLPAF" hidden="1">#REF!</definedName>
    <definedName name="BExMFH6SWBYCN98LEO4HJ8MYBMEV" localSheetId="8" hidden="1">#REF!</definedName>
    <definedName name="BExMFH6SWBYCN98LEO4HJ8MYBMEV" hidden="1">#REF!</definedName>
    <definedName name="BExMFLDTMRTCHKA37LQW67BG8D5C" hidden="1">#REF!</definedName>
    <definedName name="BExMFLOLMKKG8LPX8Q9JN37KQOTG" hidden="1">#REF!</definedName>
    <definedName name="BExMFMA6PFF4NG1TOV1TMA0CZKYH" hidden="1">#REF!</definedName>
    <definedName name="BExMFQ102FN53YEFF1Q73O5PKTN2" localSheetId="8" hidden="1">#REF!</definedName>
    <definedName name="BExMFQ102FN53YEFF1Q73O5PKTN2" hidden="1">#REF!</definedName>
    <definedName name="BExMFU812WH9HSK03IWYY30A1FVR" hidden="1">#REF!</definedName>
    <definedName name="BExMFY4B5JW31L4PL9F4S16LTC8G" localSheetId="8" hidden="1">#REF!</definedName>
    <definedName name="BExMFY4B5JW31L4PL9F4S16LTC8G" hidden="1">#REF!</definedName>
    <definedName name="BExMG9NSK30KD01QX0UBN2VNRTG4" localSheetId="8" hidden="1">#REF!</definedName>
    <definedName name="BExMG9NSK30KD01QX0UBN2VNRTG4" hidden="1">#REF!</definedName>
    <definedName name="BExMG9YFPQ9OXTBCFFV89HF09XY4" hidden="1">#REF!</definedName>
    <definedName name="BExMGFSWSVUC8O4EM6ZP6T82VC1A" localSheetId="8" hidden="1">#REF!</definedName>
    <definedName name="BExMGFSWSVUC8O4EM6ZP6T82VC1A" hidden="1">#REF!</definedName>
    <definedName name="BExMGG3PFIHPHX7NXB7HDFI3N12L" hidden="1">#REF!</definedName>
    <definedName name="BExMGG90EKMHX77UJP8VES5C1ERB" hidden="1">#REF!</definedName>
    <definedName name="BExMGISTGXEOT7LDM1K7VQ76D5QE" localSheetId="8" hidden="1">#REF!</definedName>
    <definedName name="BExMGISTGXEOT7LDM1K7VQ76D5QE" hidden="1">#REF!</definedName>
    <definedName name="BExMGMJQZRFYPPQJT05UAPUB85H0" localSheetId="8" hidden="1">#REF!</definedName>
    <definedName name="BExMGMJQZRFYPPQJT05UAPUB85H0" hidden="1">#REF!</definedName>
    <definedName name="BExMGT54EFOT64HZ8LFV6MY76XXM" hidden="1">#REF!</definedName>
    <definedName name="BExMGTFR384STRM9BY4A7PNUWFEO" hidden="1">#REF!</definedName>
    <definedName name="BExMH3H9TW5TJCNU5Z1EWXP3BAEP" hidden="1">#REF!</definedName>
    <definedName name="BExMHOWPB34KPZ76M2KIX2C9R2VB" hidden="1">#REF!</definedName>
    <definedName name="BExMHSSYC6KVHA3QDTSYPN92TWMI" hidden="1">#REF!</definedName>
    <definedName name="BExMI0WA793SF41LQ40A28U8OXQY" hidden="1">#REF!</definedName>
    <definedName name="BExMI3AJ9477KDL4T9DHET4LJJTW" hidden="1">#REF!</definedName>
    <definedName name="BExMI3QOZTYEQUF0SE6AK4HHWJO7" localSheetId="8" hidden="1">#REF!</definedName>
    <definedName name="BExMI3QOZTYEQUF0SE6AK4HHWJO7" hidden="1">#REF!</definedName>
    <definedName name="BExMI6L9KX05GAK523JFKICJMTA5" hidden="1">#REF!</definedName>
    <definedName name="BExMI6QQ20XHD0NWJUN741B37182" hidden="1">#REF!</definedName>
    <definedName name="BExMI8JB94SBD9EMNJEK7Y2T6GYU" hidden="1">#REF!</definedName>
    <definedName name="BExMI8OS85YTW3KYVE4YD0R7Z6UV" hidden="1">#REF!</definedName>
    <definedName name="BExMIBOOZU40JS3F89OMPSRCE9MM" hidden="1">#REF!</definedName>
    <definedName name="BExMIDHEHGRXCKPPIPOVA8DONADS" hidden="1">#REF!</definedName>
    <definedName name="BExMIIQ5MBWSIHTFWAQADXMZC22Q" hidden="1">#REF!</definedName>
    <definedName name="BExMIKZ5EDDZDK5D6GTXJPH9XWND" localSheetId="8" hidden="1">#REF!</definedName>
    <definedName name="BExMIKZ5EDDZDK5D6GTXJPH9XWND" hidden="1">#REF!</definedName>
    <definedName name="BExMIL4I2GE866I25CR5JBLJWJ6A" hidden="1">#REF!</definedName>
    <definedName name="BExMILFAN5WP07GKUO5ZMYH6UHY3" hidden="1">#REF!</definedName>
    <definedName name="BExMIRKIPF27SNO82SPFSB3T5U17" hidden="1">#REF!</definedName>
    <definedName name="BExMIV0KC8555D5E42ZGWG15Y0MO" hidden="1">#REF!</definedName>
    <definedName name="BExMIZT6AN7E6YMW2S87CTCN2UXH" hidden="1">#REF!</definedName>
    <definedName name="BExMJ15T9F3475M0896SG60TN0SR" hidden="1">#REF!</definedName>
    <definedName name="BExMJ51XJZN31B84NVPI18J3CWTB" localSheetId="8" hidden="1">#REF!</definedName>
    <definedName name="BExMJ51XJZN31B84NVPI18J3CWTB" hidden="1">#REF!</definedName>
    <definedName name="BExMJ5SYVUK540AL39HSHEAYGZ8S" hidden="1">#REF!</definedName>
    <definedName name="BExMJ63SJTG3B8DUGC9ZV10T6YEM" hidden="1">#REF!</definedName>
    <definedName name="BExMJA01LCAWUR1OX7H4E7JGNN3W" localSheetId="8" hidden="1">#REF!</definedName>
    <definedName name="BExMJA01LCAWUR1OX7H4E7JGNN3W" hidden="1">#REF!</definedName>
    <definedName name="BExMJJFSCBGXV49FYKJ8X1LA5JMW" hidden="1">#REF!</definedName>
    <definedName name="BExMJNC8ZFB9DRFOJ961ZAJ8U3A8" hidden="1">#REF!</definedName>
    <definedName name="BExMJR30LHH6RNHEWEO1G2WDPKG0" localSheetId="8" hidden="1">#REF!</definedName>
    <definedName name="BExMJR30LHH6RNHEWEO1G2WDPKG0" hidden="1">#REF!</definedName>
    <definedName name="BExMJTBV8A3D31W2IQHP9RDFPPHQ" hidden="1">#REF!</definedName>
    <definedName name="BExMK0OA4CYPHQFXIOZFG5E4Y027" localSheetId="8" hidden="1">#REF!</definedName>
    <definedName name="BExMK0OA4CYPHQFXIOZFG5E4Y027" hidden="1">#REF!</definedName>
    <definedName name="BExMK2RTXN4QJWEUNX002XK8VQP8" hidden="1">#REF!</definedName>
    <definedName name="BExMKBGQDUZ8AWXYHA3QVMSDVZ3D" hidden="1">#REF!</definedName>
    <definedName name="BExMKBM1467553LDFZRRKVSHN374" hidden="1">#REF!</definedName>
    <definedName name="BExMKGK5FJUC0AU8MABRGDC5ZM70" hidden="1">#REF!</definedName>
    <definedName name="BExMKOI0IEYQSWL82F4MI37J9NZ3" localSheetId="8" hidden="1">#REF!</definedName>
    <definedName name="BExMKOI0IEYQSWL82F4MI37J9NZ3" hidden="1">#REF!</definedName>
    <definedName name="BExMKQWBO0YTBQJPD31N5O02FFVX" hidden="1">#REF!</definedName>
    <definedName name="BExMKTW7R5SOV4PHAFGHU3W73DYE" hidden="1">#REF!</definedName>
    <definedName name="BExMKU7051J2W1RQXGZGE62NBRUZ" hidden="1">#REF!</definedName>
    <definedName name="BExMKUN3WPECJR2XRID2R7GZRGNX" hidden="1">#REF!</definedName>
    <definedName name="BExMKWQN1VK3SXKXL6VAT8MNQ9D9" hidden="1">#REF!</definedName>
    <definedName name="BExMKZ535P011X4TNV16GCOH4H21" hidden="1">#REF!</definedName>
    <definedName name="BExML3XQNDIMX55ZCHHXKUV3D6E6" hidden="1">#REF!</definedName>
    <definedName name="BExML5QGSWHLI18BGY4CGOTD3UWH" hidden="1">#REF!</definedName>
    <definedName name="BExMLLWYNRF4I3SN13DJUNWQY0EH" hidden="1">#REF!</definedName>
    <definedName name="BExMLN44GW0AD5BNSKWH2F0GZTMB" hidden="1">#REF!</definedName>
    <definedName name="BExMLO5Z61RE85X8HHX2G4IU3AZW" hidden="1">#REF!</definedName>
    <definedName name="BExMLPNWLYIWKO1Q3XV19L159CH9" localSheetId="8" hidden="1">#REF!</definedName>
    <definedName name="BExMLPNWLYIWKO1Q3XV19L159CH9" hidden="1">#REF!</definedName>
    <definedName name="BExMLVI7UORSHM9FMO8S2EI0TMTS" hidden="1">#REF!</definedName>
    <definedName name="BExMM4NDCQ2J31H2VSTFCG358C4B" hidden="1">#REF!</definedName>
    <definedName name="BExMM5UCOT2HSSN0ZIPZW55GSOVO" hidden="1">#REF!</definedName>
    <definedName name="BExMM7CDB304TDFK56LCT6QD7SF2" hidden="1">#REF!</definedName>
    <definedName name="BExMM8ZRS5RQ8H1H55RVPVTDL5NL" hidden="1">#REF!</definedName>
    <definedName name="BExMMH8EAZB09XXQ5X4LR0P4NHG9" hidden="1">#REF!</definedName>
    <definedName name="BExMMIQH5BABNZVCIQ7TBCQ10AY5" hidden="1">#REF!</definedName>
    <definedName name="BExMMNIZ2T7M22WECMUQXEF4NJ71" hidden="1">#REF!</definedName>
    <definedName name="BExMMPMIOU7BURTV0L1K6ACW9X73" hidden="1">#REF!</definedName>
    <definedName name="BExMMQ835AJDHS4B419SS645P67Q" hidden="1">#REF!</definedName>
    <definedName name="BExMMQIUVPCOBISTEJJYNCCLUCPY" hidden="1">#REF!</definedName>
    <definedName name="BExMMTIXETA5VAKBSOFDD5SRU887" hidden="1">#REF!</definedName>
    <definedName name="BExMMV0P6P5YS3C35G0JYYHI7992" hidden="1">#REF!</definedName>
    <definedName name="BExMMYGVXOSIDQ8QAXTLJFKW8YE3" hidden="1">#REF!</definedName>
    <definedName name="BExMMZTDDCFDHK0GU54VF8EVH99F" localSheetId="8" hidden="1">#REF!</definedName>
    <definedName name="BExMMZTDDCFDHK0GU54VF8EVH99F" hidden="1">#REF!</definedName>
    <definedName name="BExMNDR4V2VG5RFZDGTAGD3Q9PPG" hidden="1">#REF!</definedName>
    <definedName name="BExMNJLFWZBRN9PZF1IO9CYWV1B2" hidden="1">#REF!</definedName>
    <definedName name="BExMNKCJ0FA57YEUUAJE43U1QN5P" hidden="1">#REF!</definedName>
    <definedName name="BExMNKN5D1WEF2OOJVP6LZ6DLU3Y" hidden="1">#REF!</definedName>
    <definedName name="BExMNN6XVKCNFPILESZPG5D1UIZP" hidden="1">#REF!</definedName>
    <definedName name="BExMNQ1J7QX20FWV4DQ41E6S4T2W" localSheetId="8" hidden="1">#REF!</definedName>
    <definedName name="BExMNQ1J7QX20FWV4DQ41E6S4T2W" hidden="1">#REF!</definedName>
    <definedName name="BExMNQMY2IUP61KESI720VOMTAJ1" localSheetId="8" hidden="1">#REF!</definedName>
    <definedName name="BExMNQMY2IUP61KESI720VOMTAJ1" hidden="1">#REF!</definedName>
    <definedName name="BExMNR38HMPLWAJRQ9MMS3ZAZ9IU" hidden="1">#REF!</definedName>
    <definedName name="BExMNRDZULKJMVY2VKIIRM2M5A1M" hidden="1">#REF!</definedName>
    <definedName name="BExMNSQLNZ9OQLAY867Y8FMYJ33B" hidden="1">#REF!</definedName>
    <definedName name="BExMNUZHMKFZ814RTA641MNKZ7HQ" localSheetId="8" hidden="1">#REF!</definedName>
    <definedName name="BExMNUZHMKFZ814RTA641MNKZ7HQ" hidden="1">#REF!</definedName>
    <definedName name="BExMNVAAIL246UJQPK3S1VG1DYHU" hidden="1">#REF!</definedName>
    <definedName name="BExMNW6NIOK4PW2K16RX2DT8BCKP" localSheetId="8" hidden="1">#REF!</definedName>
    <definedName name="BExMNW6NIOK4PW2K16RX2DT8BCKP" hidden="1">#REF!</definedName>
    <definedName name="BExMNZ6I3MB0O5BORHYHX20PKXLW" hidden="1">#REF!</definedName>
    <definedName name="BExMO20YFGMRBAD8RH8BDN4DNA59" hidden="1">#REF!</definedName>
    <definedName name="BExMO9IOWKTWHO8LQJJQI5P3INWY" hidden="1">#REF!</definedName>
    <definedName name="BExMOAVBRIFF7WQOZGCEM78L1148" hidden="1">#REF!</definedName>
    <definedName name="BExMOI29DOEK5R1A5QZPUDKF7N6T" hidden="1">#REF!</definedName>
    <definedName name="BExMOJ9GY6AQGI153FV703AE296H" localSheetId="8" hidden="1">#REF!</definedName>
    <definedName name="BExMOJ9GY6AQGI153FV703AE296H" hidden="1">#REF!</definedName>
    <definedName name="BExMONGHU5V350H4MZC0PRVNT4U6" hidden="1">#REF!</definedName>
    <definedName name="BExMOQAW9Q58DJSXC0AVCMXFMJSY" hidden="1">#REF!</definedName>
    <definedName name="BExMP06Y7JRUYXTNBLZEZIIFMP8Z" localSheetId="8" hidden="1">#REF!</definedName>
    <definedName name="BExMP06Y7JRUYXTNBLZEZIIFMP8Z" hidden="1">#REF!</definedName>
    <definedName name="BExMPAJ5AJAXGKGK3F6H3ODS6RF4" hidden="1">#REF!</definedName>
    <definedName name="BExMPD2X55FFBVJ6CBUKNPROIOEU" hidden="1">#REF!</definedName>
    <definedName name="BExMPGTVPYQ1ACGV1RRRS5LYB125" localSheetId="8" hidden="1">#REF!</definedName>
    <definedName name="BExMPGTVPYQ1ACGV1RRRS5LYB125" hidden="1">#REF!</definedName>
    <definedName name="BExMPGZ848E38FUH1JBQN97DGWAT" hidden="1">#REF!</definedName>
    <definedName name="BExMPLBKFPJM4GF27I2D45X0U9QF" localSheetId="8" hidden="1">#REF!</definedName>
    <definedName name="BExMPLBKFPJM4GF27I2D45X0U9QF" hidden="1">#REF!</definedName>
    <definedName name="BExMPMTICOSMQENOFKQ18K0ZT4S8" hidden="1">#REF!</definedName>
    <definedName name="BExMPMZ07II0R4KGWQQ7PGS3RZS4" hidden="1">#REF!</definedName>
    <definedName name="BExMPOBH04JMDO6Z8DMSEJZM4ANN" hidden="1">#REF!</definedName>
    <definedName name="BExMPQ9MZPVIOI4TLB7ZQD4YHWGM" hidden="1">#REF!</definedName>
    <definedName name="BExMPSD77XQ3HA6A4FZOJK8G2JP3" hidden="1">#REF!</definedName>
    <definedName name="BExMPXGMX3KR3ENP6HGUR237P06A" localSheetId="8" hidden="1">#REF!</definedName>
    <definedName name="BExMPXGMX3KR3ENP6HGUR237P06A" hidden="1">#REF!</definedName>
    <definedName name="BExMPZ3VVHFR4R371YAX3WGPMV82" hidden="1">#REF!</definedName>
    <definedName name="BExMPZ3W2IXB8BPQP5LP2FV5Q2J9" hidden="1">#REF!</definedName>
    <definedName name="BExMQ41ZQNCI291UVV7EBWD8RXWS" localSheetId="8" hidden="1">#REF!</definedName>
    <definedName name="BExMQ41ZQNCI291UVV7EBWD8RXWS" hidden="1">#REF!</definedName>
    <definedName name="BExMQ4I3Q7F0BMPHSFMFW9TZ87UD" hidden="1">#REF!</definedName>
    <definedName name="BExMQ4SUS2UQRH0LQX9W41TRADBF" localSheetId="8" hidden="1">#REF!</definedName>
    <definedName name="BExMQ4SUS2UQRH0LQX9W41TRADBF" hidden="1">#REF!</definedName>
    <definedName name="BExMQ4SWDWI4N16AZ0T5CJ6HH8WC" hidden="1">#REF!</definedName>
    <definedName name="BExMQ71WHW50GVX45JU951AGPLFQ" hidden="1">#REF!</definedName>
    <definedName name="BExMQC5B5XF9Y6DOQ750D8TGJ4A3" localSheetId="8" hidden="1">#REF!</definedName>
    <definedName name="BExMQC5B5XF9Y6DOQ750D8TGJ4A3" hidden="1">#REF!</definedName>
    <definedName name="BExMQGXSLPT4A6N47LE6FBVHWBOF" hidden="1">#REF!</definedName>
    <definedName name="BExMQHOU63Z7ABJE5RLNKHBGAZVA" hidden="1">#REF!</definedName>
    <definedName name="BExMQSBR7PL4KLB1Q4961QO45Y4G" hidden="1">#REF!</definedName>
    <definedName name="BExMQTIYKYBXBUZRA2VD02FKUGPA" hidden="1">#REF!</definedName>
    <definedName name="BExMQTOFF2TO783SOJ3QRB1NSQMF" hidden="1">#REF!</definedName>
    <definedName name="BExMQXF7Q3RLKE2OW6RTIUNNK9NB" hidden="1">#REF!</definedName>
    <definedName name="BExMR1666FQK831L0AEONJHN57KR" localSheetId="8" hidden="1">#REF!</definedName>
    <definedName name="BExMR1666FQK831L0AEONJHN57KR" hidden="1">#REF!</definedName>
    <definedName name="BExMR1MA4I1X77714ZEPUVC8W398" hidden="1">#REF!</definedName>
    <definedName name="BExMR4GUTFCN4RD7H81IOKECLEG3" localSheetId="8" hidden="1">#REF!</definedName>
    <definedName name="BExMR4GUTFCN4RD7H81IOKECLEG3" hidden="1">#REF!</definedName>
    <definedName name="BExMR8YQHA7N77HGHY4Y6R30I3XT" hidden="1">#REF!</definedName>
    <definedName name="BExMRBNTWIAJX0DSLI6JNXMS4WBO" localSheetId="8" hidden="1">#REF!</definedName>
    <definedName name="BExMRBNTWIAJX0DSLI6JNXMS4WBO" hidden="1">#REF!</definedName>
    <definedName name="BExMRENOIARWRYOIVPDIEBVNRDO7" hidden="1">#REF!</definedName>
    <definedName name="BExMRKYB54MWZC8QZEEAE7QS856W" hidden="1">#REF!</definedName>
    <definedName name="BExMRMWAXPEYKSX3ZM3QSI38FCD2" hidden="1">#REF!</definedName>
    <definedName name="BExMRP5C9V3XNIT2DRA9I6G73H2V" localSheetId="8" hidden="1">#REF!</definedName>
    <definedName name="BExMRP5C9V3XNIT2DRA9I6G73H2V" hidden="1">#REF!</definedName>
    <definedName name="BExMRPG54LNH7HRC92MBSUT6UL6L" localSheetId="8" hidden="1">#REF!</definedName>
    <definedName name="BExMRPG54LNH7HRC92MBSUT6UL6L" hidden="1">#REF!</definedName>
    <definedName name="BExMRQHUEHGF2FS4LCB0THFELGDI" localSheetId="8" hidden="1">#REF!</definedName>
    <definedName name="BExMRQHUEHGF2FS4LCB0THFELGDI" hidden="1">#REF!</definedName>
    <definedName name="BExMRRJNUMGRSDD5GGKKGEIZ6FTS" hidden="1">#REF!</definedName>
    <definedName name="BExMRTHPM961OVFO34NU5DACGU3J" hidden="1">#REF!</definedName>
    <definedName name="BExMRU3ACIU0RD2BNWO55LH5U2BR" hidden="1">#REF!</definedName>
    <definedName name="BExMRZSB9NV7R5AQFX7SP1QVQ1GZ" hidden="1">#REF!</definedName>
    <definedName name="BExMSGVBF79ID9QVVPV54ZBJJEOI" hidden="1">#REF!</definedName>
    <definedName name="BExMSIO1ZVLGRH6HQZQIH85WJK1I" localSheetId="8" hidden="1">#REF!</definedName>
    <definedName name="BExMSIO1ZVLGRH6HQZQIH85WJK1I" hidden="1">#REF!</definedName>
    <definedName name="BExMSKGRNWOYNHA15FLSIS80GC1L" hidden="1">#REF!</definedName>
    <definedName name="BExMSLYQ3VL42O7FTTVFXQSDE2DG" localSheetId="8" hidden="1">#REF!</definedName>
    <definedName name="BExMSLYQ3VL42O7FTTVFXQSDE2DG" hidden="1">#REF!</definedName>
    <definedName name="BExMSM9I7XZ0BC793Y8GWVJNG1V9" localSheetId="8" hidden="1">#REF!</definedName>
    <definedName name="BExMSM9I7XZ0BC793Y8GWVJNG1V9" hidden="1">#REF!</definedName>
    <definedName name="BExMSQRCC40AP8BDUPL2I2DNC210" hidden="1">#REF!</definedName>
    <definedName name="BExO4J9LR712G00TVA82VNTG8O7H" hidden="1">#REF!</definedName>
    <definedName name="BExO4ONTU0VJG9BL1CDUBZ4ERO4Y" hidden="1">#REF!</definedName>
    <definedName name="BExO4P9EEYJ06QUCKJR6ATSCPKK4" hidden="1">#REF!</definedName>
    <definedName name="BExO4P9G3CC5P66YXQJ1MQZE3Q3L" localSheetId="8" hidden="1">#REF!</definedName>
    <definedName name="BExO4P9G3CC5P66YXQJ1MQZE3Q3L" hidden="1">#REF!</definedName>
    <definedName name="BExO4Q5T1IO39TUFXG41PZPWD8H5" localSheetId="8" hidden="1">#REF!</definedName>
    <definedName name="BExO4Q5T1IO39TUFXG41PZPWD8H5" hidden="1">#REF!</definedName>
    <definedName name="BExO4ZR1K4BYHQY36XATLOLFOE2Y" localSheetId="8" hidden="1">#REF!</definedName>
    <definedName name="BExO4ZR1K4BYHQY36XATLOLFOE2Y" hidden="1">#REF!</definedName>
    <definedName name="BExO55G2KVZ7MIJ30N827CLH0I2A" hidden="1">#REF!</definedName>
    <definedName name="BExO5A8PZD9EUHC5CMPU6N3SQ15L" hidden="1">#REF!</definedName>
    <definedName name="BExO5D8KY6CEKG1VPHR4QXW6QX7U" hidden="1">#REF!</definedName>
    <definedName name="BExO5W4CD538366O3UUP825JC959" hidden="1">#REF!</definedName>
    <definedName name="BExO5XMAHL7CY3X0B1OPKZ28DCJ5" hidden="1">#REF!</definedName>
    <definedName name="BExO66LYZIX8JJ60DOC7IBUT64B7" hidden="1">#REF!</definedName>
    <definedName name="BExO66LZJKY4PTQVREELI6POS4AY" hidden="1">#REF!</definedName>
    <definedName name="BExO6LLHCYTF7CIVHKAO0NMET14Q" hidden="1">#REF!</definedName>
    <definedName name="BExO6RL8W6W7FMY76AE7GXHMTSQB" localSheetId="8" hidden="1">#REF!</definedName>
    <definedName name="BExO6RL8W6W7FMY76AE7GXHMTSQB" hidden="1">#REF!</definedName>
    <definedName name="BExO6S1CG69DMNRGT7LNWRRBPF6L" hidden="1">#REF!</definedName>
    <definedName name="BExO6W330CY90DKRJRYU88H1P9AA" hidden="1">#REF!</definedName>
    <definedName name="BExO7A0RAM8VLJ9WVOS0CNSGVOZA" localSheetId="8" hidden="1">#REF!</definedName>
    <definedName name="BExO7A0RAM8VLJ9WVOS0CNSGVOZA" hidden="1">#REF!</definedName>
    <definedName name="BExO7G0IZ6DFQCMVZMMIDQEWBAA5" hidden="1">#REF!</definedName>
    <definedName name="BExO7M5SVKPS35FJKGOF6LQ6QCKS" hidden="1">#REF!</definedName>
    <definedName name="BExO7OUQS3XTUQ2LDKGQ8AAQ3OJJ" hidden="1">#REF!</definedName>
    <definedName name="BExO7PB0QSBSAIHAM7FURC846TTH" hidden="1">#REF!</definedName>
    <definedName name="BExO7RUSODZC2NQZMT2AFSMV2ONF" hidden="1">#REF!</definedName>
    <definedName name="BExO7W1PSMP8KLLJ6LI9QUDVQEVV" localSheetId="8" hidden="1">#REF!</definedName>
    <definedName name="BExO7W1PSMP8KLLJ6LI9QUDVQEVV" hidden="1">#REF!</definedName>
    <definedName name="BExO7ZCECF47BCPLZUBCS8ZD5HC5" hidden="1">#REF!</definedName>
    <definedName name="BExO81FVQ7XK5PN0N8F6E7256INP" hidden="1">#REF!</definedName>
    <definedName name="BExO85HMYXZJ7SONWBKKIAXMCI3C" hidden="1">#REF!</definedName>
    <definedName name="BExO863922O4PBGQMUNEQKGN3K96" hidden="1">#REF!</definedName>
    <definedName name="BExO89U0MUSVPQS90A9A74WZ947N" localSheetId="8" hidden="1">#REF!</definedName>
    <definedName name="BExO89U0MUSVPQS90A9A74WZ947N" hidden="1">#REF!</definedName>
    <definedName name="BExO89ZIOXN0HOKHY24F7HDZ87UT" hidden="1">#REF!</definedName>
    <definedName name="BExO8CDTBCABLEUD6PE2UM2EZ6C4" hidden="1">#REF!</definedName>
    <definedName name="BExO8GQ6JODIV2AG2HMFBBZ241U4" hidden="1">#REF!</definedName>
    <definedName name="BExO8IZ05ZG0XVOL3W41KBQE176A" hidden="1">#REF!</definedName>
    <definedName name="BExO8NGV0TO5XKQOGIJ8JJDYY7FO" hidden="1">#REF!</definedName>
    <definedName name="BExO8TM4L261JTCSQ24FHE73242J" localSheetId="8" hidden="1">#REF!</definedName>
    <definedName name="BExO8TM4L261JTCSQ24FHE73242J" hidden="1">#REF!</definedName>
    <definedName name="BExO8TM5V5CFSV5A13AYOWY4NGRS" localSheetId="8" hidden="1">#REF!</definedName>
    <definedName name="BExO8TM5V5CFSV5A13AYOWY4NGRS" hidden="1">#REF!</definedName>
    <definedName name="BExO8UTAGQWDBQZEEF4HUNMLQCVU" hidden="1">#REF!</definedName>
    <definedName name="BExO937E20IHMGQOZMECL3VZC7OX" hidden="1">#REF!</definedName>
    <definedName name="BExO94UTJKQQ7TJTTJRTSR70YVJC" hidden="1">#REF!</definedName>
    <definedName name="BExO98WF9LXOJVPBLQFZEIK6T7FN" hidden="1">#REF!</definedName>
    <definedName name="BExO9CCKFUC3EU2J48SHSJSOJD2A" hidden="1">#REF!</definedName>
    <definedName name="BExO9IHNQPTE146DXBGIN8ML4UM2" hidden="1">#REF!</definedName>
    <definedName name="BExO9J3A438976RXIUX5U9SU5T55" hidden="1">#REF!</definedName>
    <definedName name="BExO9R13YCYG3AVPC13YP8DHEDHD" hidden="1">#REF!</definedName>
    <definedName name="BExO9RS5RXFJ1911HL3CCK6M74EP" hidden="1">#REF!</definedName>
    <definedName name="BExO9SDRI1M6KMHXSG3AE5L0F2U3" hidden="1">#REF!</definedName>
    <definedName name="BExO9T4N3BGPR3UDVR7GQ8PWKVLO" hidden="1">#REF!</definedName>
    <definedName name="BExO9V2U2YXAY904GYYGU6TD8Y7M" hidden="1">#REF!</definedName>
    <definedName name="BExOA4O3AYNDE00458PJJH57LW0V" hidden="1">#REF!</definedName>
    <definedName name="BExOA8PPAT6BFKDHD9OQK39O9RSG" localSheetId="8" hidden="1">#REF!</definedName>
    <definedName name="BExOA8PPAT6BFKDHD9OQK39O9RSG" hidden="1">#REF!</definedName>
    <definedName name="BExOADIBBSF7EJ6JU06MYSR1JF2L" hidden="1">#REF!</definedName>
    <definedName name="BExOADT4NLHKM3FJ0L0TC4X8ZXKI" hidden="1">#REF!</definedName>
    <definedName name="BExOAFR6JHRK4AP8O7TB9UDEAVJL" localSheetId="8" hidden="1">#REF!</definedName>
    <definedName name="BExOAFR6JHRK4AP8O7TB9UDEAVJL" hidden="1">#REF!</definedName>
    <definedName name="BExOAGCX9ISY83KMXO02KFMKR8OW" localSheetId="8" hidden="1">#REF!</definedName>
    <definedName name="BExOAGCX9ISY83KMXO02KFMKR8OW" hidden="1">#REF!</definedName>
    <definedName name="BExOAQ3GKCT7YZW1EMVU3EILSZL2" hidden="1">#REF!</definedName>
    <definedName name="BExOB886RIKYRO6D0LXJDAB2M84Z" localSheetId="8" hidden="1">#REF!</definedName>
    <definedName name="BExOB886RIKYRO6D0LXJDAB2M84Z" hidden="1">#REF!</definedName>
    <definedName name="BExOB9KT2THGV4SPLDVFTFXS4B14" hidden="1">#REF!</definedName>
    <definedName name="BExOBBTMIAS15AWW6IUGOXC5O163" hidden="1">#REF!</definedName>
    <definedName name="BExOBEZ0IE2WBEYY3D3CMRI72N1K" hidden="1">#REF!</definedName>
    <definedName name="BExOBIPU8760ITY0C8N27XZ3KWEF" hidden="1">#REF!</definedName>
    <definedName name="BExOBK2GUT5ZRJ84WPBIJ5IYIAM3" hidden="1">#REF!</definedName>
    <definedName name="BExOBM0I5L0MZ1G4H9MGMD87SBMZ" hidden="1">#REF!</definedName>
    <definedName name="BExOBNNWXJI9Y0IQ9VT4NMZCB3SW" localSheetId="8" hidden="1">#REF!</definedName>
    <definedName name="BExOBNNWXJI9Y0IQ9VT4NMZCB3SW" hidden="1">#REF!</definedName>
    <definedName name="BExOBOUXMP88KJY2BX2JLUJH5N0K" hidden="1">#REF!</definedName>
    <definedName name="BExOBP0FKQ4SVR59FB48UNLKCOR6" hidden="1">#REF!</definedName>
    <definedName name="BExOBVR392G5YNBGS6627BO0WKL3" hidden="1">#REF!</definedName>
    <definedName name="BExOBYAVUCQ0IGM0Y6A75QHP0Q1A" hidden="1">#REF!</definedName>
    <definedName name="BExOBYLMYCYZ1NJLHJCPLA3PVKYK" localSheetId="8" hidden="1">#REF!</definedName>
    <definedName name="BExOBYLMYCYZ1NJLHJCPLA3PVKYK" hidden="1">#REF!</definedName>
    <definedName name="BExOBYLO8NTLBKV3569Y2UNNIV1K" localSheetId="8" hidden="1">#REF!</definedName>
    <definedName name="BExOBYLO8NTLBKV3569Y2UNNIV1K" hidden="1">#REF!</definedName>
    <definedName name="BExOBZSTVTBXJB6Q55KPK1KNHS9W" hidden="1">#REF!</definedName>
    <definedName name="BExOC08Y6OIMB5N7XH5Q1IR1M20Q" localSheetId="8" hidden="1">#REF!</definedName>
    <definedName name="BExOC08Y6OIMB5N7XH5Q1IR1M20Q" hidden="1">#REF!</definedName>
    <definedName name="BExOC0EEXLRYOQFR8UOTB72TIO8T" hidden="1">#REF!</definedName>
    <definedName name="BExOC1LL9XO3PQLC4RA66Y469W0A" hidden="1">#REF!</definedName>
    <definedName name="BExOC3UEHB1CZNINSQHZANWJYKR8" hidden="1">#REF!</definedName>
    <definedName name="BExOC7LCVAJC36Q60I8PKPCD0T1S" localSheetId="8" hidden="1">#REF!</definedName>
    <definedName name="BExOC7LCVAJC36Q60I8PKPCD0T1S" hidden="1">#REF!</definedName>
    <definedName name="BExOC98LSECM5N4KUTHSI9PSD30Y" localSheetId="8" hidden="1">#REF!</definedName>
    <definedName name="BExOC98LSECM5N4KUTHSI9PSD30Y" hidden="1">#REF!</definedName>
    <definedName name="BExOCBSF3XGO9YJ23LX2H78VOUR7" hidden="1">#REF!</definedName>
    <definedName name="BExOCESBLKLT4IVX9EHUTJ7G00T7" hidden="1">#REF!</definedName>
    <definedName name="BExOCJKX7M5197NO99C6XUBWF1C5" hidden="1">#REF!</definedName>
    <definedName name="BExOCKXFMOW6WPFEVX1I7R7FNDSS" hidden="1">#REF!</definedName>
    <definedName name="BExOCQX7MZG1R6UPBHNGI606SL8K" localSheetId="8" hidden="1">#REF!</definedName>
    <definedName name="BExOCQX7MZG1R6UPBHNGI606SL8K" hidden="1">#REF!</definedName>
    <definedName name="BExOCTBILC9OGHYC8IHZ3L0HWNK3" hidden="1">#REF!</definedName>
    <definedName name="BExOCUTHM7YMWVVHBCCV74IXUI9F" hidden="1">#REF!</definedName>
    <definedName name="BExOCYEXOB95DH5NOB0M5NOYX398" hidden="1">#REF!</definedName>
    <definedName name="BExOD4ERMDMFD8X1016N4EXOUR0S" hidden="1">#REF!</definedName>
    <definedName name="BExOD55RS7BQUHRQ6H3USVGKR0P7" hidden="1">#REF!</definedName>
    <definedName name="BExOD8083M9M3JXJVPFIBWKST98N" localSheetId="8" hidden="1">#REF!</definedName>
    <definedName name="BExOD8083M9M3JXJVPFIBWKST98N" hidden="1">#REF!</definedName>
    <definedName name="BExODEWDDEABM4ZY3XREJIBZ8IVP" hidden="1">#REF!</definedName>
    <definedName name="BExODNLAA1L7WQ9ZQX6A1ZOXK9VR" localSheetId="8" hidden="1">#REF!</definedName>
    <definedName name="BExODNLAA1L7WQ9ZQX6A1ZOXK9VR" hidden="1">#REF!</definedName>
    <definedName name="BExODZFEIWV26E8RFU7XQYX1J458" hidden="1">#REF!</definedName>
    <definedName name="BExOE89QWLYZ033JJYOXL9EN126C" localSheetId="8" hidden="1">#REF!</definedName>
    <definedName name="BExOE89QWLYZ033JJYOXL9EN126C" hidden="1">#REF!</definedName>
    <definedName name="BExOEBKG55EROA2VL360A06LKASE" hidden="1">#REF!</definedName>
    <definedName name="BExOEDD10Y4CL2GY4AGV7ZN1YP4Z" hidden="1">#REF!</definedName>
    <definedName name="BExOEDYSALTHLNMTE3AX43J4S9RT" hidden="1">#REF!</definedName>
    <definedName name="BExOEFWTOKWI373B7Y2ZQA3UXU0O" hidden="1">#REF!</definedName>
    <definedName name="BExOEGNPC7ALN1XHPMNQHIFWQJF5" hidden="1">#REF!</definedName>
    <definedName name="BExOERG5LWXYYEN1DY1H2FWRJS9T" hidden="1">#REF!</definedName>
    <definedName name="BExOEV1S6JJVO5PP4BZ20SNGZR7D" hidden="1">#REF!</definedName>
    <definedName name="BExOEVXZDPH9N5LQNV1COWDRKMX4" hidden="1">#REF!</definedName>
    <definedName name="BExOF0W49CVS5IILWDIV0UNH9EXW" hidden="1">#REF!</definedName>
    <definedName name="BExOF1SFTTHAEGE2IK1KUSGSKX4U" localSheetId="8" hidden="1">#REF!</definedName>
    <definedName name="BExOF1SFTTHAEGE2IK1KUSGSKX4U" hidden="1">#REF!</definedName>
    <definedName name="BExOF5ZJR1UJ9IQRGDTEZM7GPQX4" localSheetId="8" hidden="1">#REF!</definedName>
    <definedName name="BExOF5ZJR1UJ9IQRGDTEZM7GPQX4" hidden="1">#REF!</definedName>
    <definedName name="BExOFDBS0BT0BJYOHZCR6BYEBK5I" hidden="1">#REF!</definedName>
    <definedName name="BExOFEDNCYI2TPTMQ8SJN3AW4YMF" hidden="1">#REF!</definedName>
    <definedName name="BExOFG6DIHFVS9C1HLK4NRCQQ0VY" hidden="1">#REF!</definedName>
    <definedName name="BExOFI4FCGM53GJIPTP0IKR1LJ2A" hidden="1">#REF!</definedName>
    <definedName name="BExOFJH1W33H5R9GH680DNXTZ0ZN" localSheetId="8" hidden="1">#REF!</definedName>
    <definedName name="BExOFJH1W33H5R9GH680DNXTZ0ZN" hidden="1">#REF!</definedName>
    <definedName name="BExOFN2CCI1J0EUWG6CV07EKJOT7" localSheetId="8" hidden="1">#REF!</definedName>
    <definedName name="BExOFN2CCI1J0EUWG6CV07EKJOT7" hidden="1">#REF!</definedName>
    <definedName name="BExOFQYS23VU2RTSR117I97QV1QI" hidden="1">#REF!</definedName>
    <definedName name="BExOFSB9FF1K5KO4Z75Z8DQ36IVO" hidden="1">#REF!</definedName>
    <definedName name="BExOFVLXVD6RVHSQO8KZOOACSV24" hidden="1">#REF!</definedName>
    <definedName name="BExOFXPGURYPAY9J8SNH2AT9EXZ0" hidden="1">#REF!</definedName>
    <definedName name="BExOG1AZCK9QN09SNEN2DTTFFCLJ" localSheetId="8" hidden="1">#REF!</definedName>
    <definedName name="BExOG1AZCK9QN09SNEN2DTTFFCLJ" hidden="1">#REF!</definedName>
    <definedName name="BExOG2SW3XOGP9VAPQ3THV3VWV12" hidden="1">#REF!</definedName>
    <definedName name="BExOG4021BVKISQRQQZPFHBLUTBS" hidden="1">#REF!</definedName>
    <definedName name="BExOG45J81K4OPA40KW5VQU54KY3" hidden="1">#REF!</definedName>
    <definedName name="BExOGB7151U4RT68RWP7NERXIPUY" hidden="1">#REF!</definedName>
    <definedName name="BExOGFE2SCL8HHT4DFAXKLUTJZOG" hidden="1">#REF!</definedName>
    <definedName name="BExOGNXGUJFLK28UXJ3JJOG8ZS14" hidden="1">#REF!</definedName>
    <definedName name="BExOGT6D0LJ3C22RDW8COECKB1J5" hidden="1">#REF!</definedName>
    <definedName name="BExOGTMI1HT31M1RGWVRAVHAK7DE" hidden="1">#REF!</definedName>
    <definedName name="BExOGXO9JE5XSE9GC3I6O21UEKAO" hidden="1">#REF!</definedName>
    <definedName name="BExOGYVD3NHZQJK45W7U0B32IG7F" hidden="1">#REF!</definedName>
    <definedName name="BExOGYVEAJFUXQVT8YQO2U7YT5OY" localSheetId="8" hidden="1">#REF!</definedName>
    <definedName name="BExOGYVEAJFUXQVT8YQO2U7YT5OY" hidden="1">#REF!</definedName>
    <definedName name="BExOH2GVFOFXDG3YQK89NSKG7WJG" localSheetId="8" hidden="1">#REF!</definedName>
    <definedName name="BExOH2GVFOFXDG3YQK89NSKG7WJG" hidden="1">#REF!</definedName>
    <definedName name="BExOH4KDCW946WKSLA7VIRJRUFGU" hidden="1">#REF!</definedName>
    <definedName name="BExOH7KB5HAPBB5K1Z3DIW5LCRSI" localSheetId="8" hidden="1">#REF!</definedName>
    <definedName name="BExOH7KB5HAPBB5K1Z3DIW5LCRSI" hidden="1">#REF!</definedName>
    <definedName name="BExOH9ICZ13C1LAW8OTYTR9S7ZP3" hidden="1">#REF!</definedName>
    <definedName name="BExOHBB43JS54D6MARIQR5PJNUDG" localSheetId="8" hidden="1">#REF!</definedName>
    <definedName name="BExOHBB43JS54D6MARIQR5PJNUDG" hidden="1">#REF!</definedName>
    <definedName name="BExOHELSLF2NUHFRV9S5GRWEL31W" localSheetId="8" hidden="1">#REF!</definedName>
    <definedName name="BExOHELSLF2NUHFRV9S5GRWEL31W" hidden="1">#REF!</definedName>
    <definedName name="BExOHL75H3OT4WAKKPUXIVXWFVDS" hidden="1">#REF!</definedName>
    <definedName name="BExOHLHXXJL6363CC082M9M5VVXQ" hidden="1">#REF!</definedName>
    <definedName name="BExOHNAO5UDXSO73BK2ARHWKS90Y" hidden="1">#REF!</definedName>
    <definedName name="BExOHPE8FZEKHK0MJOZFBSS6YTLB" hidden="1">#REF!</definedName>
    <definedName name="BExOHR1G1I9A9CI1HG94EWBLWNM2" hidden="1">#REF!</definedName>
    <definedName name="BExOHTQPP8LQ98L6PYUI6QW08YID" hidden="1">#REF!</definedName>
    <definedName name="BExOHX6Q6NJI793PGX59O5EKTP4G" hidden="1">#REF!</definedName>
    <definedName name="BExOI3S395YCMMOS8PTXJQW63AXL" hidden="1">#REF!</definedName>
    <definedName name="BExOI5VMTHH7Y8MQQ1N635CHYI0P" hidden="1">#REF!</definedName>
    <definedName name="BExOI6MJAC64QA2B6MF90GATMZ5F" localSheetId="8" hidden="1">#REF!</definedName>
    <definedName name="BExOI6MJAC64QA2B6MF90GATMZ5F" hidden="1">#REF!</definedName>
    <definedName name="BExOIEVCP4Y6VDS23AK84MCYYHRT" hidden="1">#REF!</definedName>
    <definedName name="BExOIFM8UW8HGSFWBQBZPVEJW5UQ" hidden="1">#REF!</definedName>
    <definedName name="BExOIHPQIXR0NDR5WD01BZKPKEO3" hidden="1">#REF!</definedName>
    <definedName name="BExOIM7L0Z3LSII9P7ZTV4KJ8RMA" hidden="1">#REF!</definedName>
    <definedName name="BExOIMT5K79KNRWNUPP0YFOIDUZ0" hidden="1">#REF!</definedName>
    <definedName name="BExOIN9ETPA87K6NINBIFRSWHK4C" localSheetId="8" hidden="1">#REF!</definedName>
    <definedName name="BExOIN9ETPA87K6NINBIFRSWHK4C" hidden="1">#REF!</definedName>
    <definedName name="BExOIRWKCAIMNND66VIR8I0IKG5E" hidden="1">#REF!</definedName>
    <definedName name="BExOIWJVMJ6MG6JC4SPD1L00OHU1" hidden="1">#REF!</definedName>
    <definedName name="BExOIXASXON7X5R3RMXEE7JHMR5Z" hidden="1">#REF!</definedName>
    <definedName name="BExOIYCN8Z4JK3OOG86KYUCV0ME8" hidden="1">#REF!</definedName>
    <definedName name="BExOJ3AKZ9BCBZT3KD8WMSLK6MN2" hidden="1">#REF!</definedName>
    <definedName name="BExOJ7XQK71I4YZDD29AKOOWZ47E" hidden="1">#REF!</definedName>
    <definedName name="BExOJM0W6XGSW5MXPTTX0GNF6SFT" hidden="1">#REF!</definedName>
    <definedName name="BExOJMMFYMR5B8B3RZVRQH28ZANZ" hidden="1">#REF!</definedName>
    <definedName name="BExOJOPYXEHTEHA5T29MO78CNQ68" hidden="1">#REF!</definedName>
    <definedName name="BExOJP0QW4UUP9QLKHHD3VNID09J" hidden="1">#REF!</definedName>
    <definedName name="BExOJTYVAAELQHKEB6LQFYJ5AZ1Z" hidden="1">#REF!</definedName>
    <definedName name="BExOJXEUJJ9SYRJXKYYV2NCCDT2R" hidden="1">#REF!</definedName>
    <definedName name="BExOK03ZRESG8OFMCR7EPFOIO1NB" hidden="1">#REF!</definedName>
    <definedName name="BExOK0EQYM9JUMAGWOUN7QDH7VMZ" hidden="1">#REF!</definedName>
    <definedName name="BExOK1REPRPOWQG031T6HIB6DRT8" localSheetId="8" hidden="1">#REF!</definedName>
    <definedName name="BExOK1REPRPOWQG031T6HIB6DRT8" hidden="1">#REF!</definedName>
    <definedName name="BExOK4WM9O7QNG6O57FOASI5QSN1" hidden="1">#REF!</definedName>
    <definedName name="BExOKCECQSFWA99RY6KEDPH30KT6" localSheetId="8" hidden="1">#REF!</definedName>
    <definedName name="BExOKCECQSFWA99RY6KEDPH30KT6" hidden="1">#REF!</definedName>
    <definedName name="BExOKDAQ31PVS0Q7NXOF66C24GYL" localSheetId="8" hidden="1">#REF!</definedName>
    <definedName name="BExOKDAQ31PVS0Q7NXOF66C24GYL" hidden="1">#REF!</definedName>
    <definedName name="BExOKE1LVSGC7YJQMJWJVKWVZ4KC" hidden="1">#REF!</definedName>
    <definedName name="BExOKKHOPWUVRJGQJ5ONR2U40JX8" hidden="1">#REF!</definedName>
    <definedName name="BExOKPVX41TOAQ8T15ZU60XVUPPM" hidden="1">#REF!</definedName>
    <definedName name="BExOKQS9DOTKXGRVSOQF8537HDDF" hidden="1">#REF!</definedName>
    <definedName name="BExOKS4QPXJU4I175FB4Q0SGZTKN" localSheetId="8" hidden="1">#REF!</definedName>
    <definedName name="BExOKS4QPXJU4I175FB4Q0SGZTKN" hidden="1">#REF!</definedName>
    <definedName name="BExOKTS59KHKE84UYS7LZRC8KUNZ" hidden="1">#REF!</definedName>
    <definedName name="BExOKTXMJP351VXKH8VT6SXUNIMF" hidden="1">#REF!</definedName>
    <definedName name="BExOKU8GMLOCNVORDE329819XN67" hidden="1">#REF!</definedName>
    <definedName name="BExOL0Z3Z7IAMHPB91EO2MF49U57" hidden="1">#REF!</definedName>
    <definedName name="BExOL7KH12VAR0LG741SIOJTLWFD" hidden="1">#REF!</definedName>
    <definedName name="BExOLAV6AWDYEKHT4ZBILU0E2WUX" hidden="1">#REF!</definedName>
    <definedName name="BExOLB5SC7VD8OG53K8II93SAENQ" localSheetId="8" hidden="1">#REF!</definedName>
    <definedName name="BExOLB5SC7VD8OG53K8II93SAENQ" hidden="1">#REF!</definedName>
    <definedName name="BExOLD411QWFX4FN11349510DRJ8" localSheetId="8" hidden="1">#REF!</definedName>
    <definedName name="BExOLD411QWFX4FN11349510DRJ8" hidden="1">#REF!</definedName>
    <definedName name="BExOLICXFHJLILCJVFMJE5MGGWKR" hidden="1">#REF!</definedName>
    <definedName name="BExOLIT11TDHUQG29715LXGRBVT6" localSheetId="8" hidden="1">#REF!</definedName>
    <definedName name="BExOLIT11TDHUQG29715LXGRBVT6" hidden="1">#REF!</definedName>
    <definedName name="BExOLJPEGUHW73684X9VAAFDQTHR" hidden="1">#REF!</definedName>
    <definedName name="BExOLKWJDYWJ72VN8D8J181MAX5D" hidden="1">#REF!</definedName>
    <definedName name="BExOLOI0WJS3QC12I3ISL0D9AWOF" hidden="1">#REF!</definedName>
    <definedName name="BExOLSZW1UDDD5MODQW3AKRDNKF3" hidden="1">#REF!</definedName>
    <definedName name="BExOLUSL43ZMJ1TZKXYJEPH25BPV" hidden="1">#REF!</definedName>
    <definedName name="BExOLYZNCQU9YFRCJTSR1R7098U7" localSheetId="8" hidden="1">#REF!</definedName>
    <definedName name="BExOLYZNCQU9YFRCJTSR1R7098U7" hidden="1">#REF!</definedName>
    <definedName name="BExOLYZNG5RBD0BTS1OEZJNU92Q5" hidden="1">#REF!</definedName>
    <definedName name="BExOM1DYLZEYTIM6ALFTSUMOQLNC" hidden="1">#REF!</definedName>
    <definedName name="BExOM3HIJ3UZPOKJI68KPBJAHPDC" hidden="1">#REF!</definedName>
    <definedName name="BExOM4J6DS5CYMR7LMO1V4L80Q4X" hidden="1">#REF!</definedName>
    <definedName name="BExOM5L0DC56QUS6HNA1Y2XHG7V3" hidden="1">#REF!</definedName>
    <definedName name="BExOMBFCBGGM6KO5RX1LMJ0M22S4" localSheetId="8" hidden="1">#REF!</definedName>
    <definedName name="BExOMBFCBGGM6KO5RX1LMJ0M22S4" hidden="1">#REF!</definedName>
    <definedName name="BExOMI672TH8VPB5MGW4I7CD339Q" localSheetId="8" hidden="1">#REF!</definedName>
    <definedName name="BExOMI672TH8VPB5MGW4I7CD339Q" hidden="1">#REF!</definedName>
    <definedName name="BExOMKPURE33YQ3K1JG9NVQD4W49" hidden="1">#REF!</definedName>
    <definedName name="BExOMLM6ZBN01NGXZZBV1WSVR4X4" hidden="1">#REF!</definedName>
    <definedName name="BExOMP7NGCLUNFK50QD2LPKRG078" hidden="1">#REF!</definedName>
    <definedName name="BExOMU0A6XMY48SZRYL4WQZD13BI" hidden="1">#REF!</definedName>
    <definedName name="BExOMVT0HSNC59DJP4CLISASGHKL" hidden="1">#REF!</definedName>
    <definedName name="BExOMVYCXK1DGBXR3HHH5TJC1PTJ" localSheetId="8" hidden="1">#REF!</definedName>
    <definedName name="BExOMVYCXK1DGBXR3HHH5TJC1PTJ" hidden="1">#REF!</definedName>
    <definedName name="BExON0AX35F2SI0UCVMGWGVIUNI3" hidden="1">#REF!</definedName>
    <definedName name="BExON41U4296DV3DPG6I5EF3OEYF" hidden="1">#REF!</definedName>
    <definedName name="BExON8UB96J8UZO1ZX4IVWLM8DGA" localSheetId="8" hidden="1">#REF!</definedName>
    <definedName name="BExON8UB96J8UZO1ZX4IVWLM8DGA" hidden="1">#REF!</definedName>
    <definedName name="BExONB3A7CO4YD8RB41PHC93BQ9M" hidden="1">#REF!</definedName>
    <definedName name="BExONB3BH8534P5M3PFDL55UOEBO" hidden="1">#REF!</definedName>
    <definedName name="BExONF52CIADPJCY269LL8M49BYP" hidden="1">#REF!</definedName>
    <definedName name="BExONFL4TFXSXWK3WNKGBKED9MO0" localSheetId="8" hidden="1">#REF!</definedName>
    <definedName name="BExONFL4TFXSXWK3WNKGBKED9MO0" hidden="1">#REF!</definedName>
    <definedName name="BExONFQH6UUXF8V0GI4BRIST9RFO" hidden="1">#REF!</definedName>
    <definedName name="BExONIL1EPN8W1SVF4S473NVT9G0" localSheetId="8" hidden="1">#REF!</definedName>
    <definedName name="BExONIL1EPN8W1SVF4S473NVT9G0" hidden="1">#REF!</definedName>
    <definedName name="BExONIL31DZWU7IFVN3VV0XTXJA1" hidden="1">#REF!</definedName>
    <definedName name="BExONJ1BU17R0F5A2UP1UGJBOGKS" hidden="1">#REF!</definedName>
    <definedName name="BExONNZ9VMHVX3J6NLNJY7KZA61O" hidden="1">#REF!</definedName>
    <definedName name="BExONRQ1BAA4F3TXP2MYQ4YCZ09S" hidden="1">#REF!</definedName>
    <definedName name="BExONVBIXX436X1BG1TMAO4S9LD0" localSheetId="8" hidden="1">#REF!</definedName>
    <definedName name="BExONVBIXX436X1BG1TMAO4S9LD0" hidden="1">#REF!</definedName>
    <definedName name="BExOO1WWIZSGB0YTGKESB45TSVMZ" hidden="1">#REF!</definedName>
    <definedName name="BExOO4B8FPAFYPHCTYTX37P1TQM5" hidden="1">#REF!</definedName>
    <definedName name="BExOOIULUDOJRMYABWV5CCL906X6" hidden="1">#REF!</definedName>
    <definedName name="BExOORE1DP6UVW28XJX2VS05649B" localSheetId="8" hidden="1">#REF!</definedName>
    <definedName name="BExOORE1DP6UVW28XJX2VS05649B" hidden="1">#REF!</definedName>
    <definedName name="BExOOTN0KTXJCL7E476XBN1CJ553" hidden="1">#REF!</definedName>
    <definedName name="BExOOUDY8S98F01OC3C6HYPX40JB" hidden="1">#REF!</definedName>
    <definedName name="BExOOYKZYFIAXIYQYUQGS85AUWXN" hidden="1">#REF!</definedName>
    <definedName name="BExOP9DEBV5W5P4Q25J3XCJBP5S9" hidden="1">#REF!</definedName>
    <definedName name="BExOPFNYRBL0BFM23LZBJTADNOE4" hidden="1">#REF!</definedName>
    <definedName name="BExOPINVFSIZMCVT9YGT2AODVCX3" hidden="1">#REF!</definedName>
    <definedName name="BExOPJV0G43Z50LNI0UWME9NPU9S" localSheetId="8" hidden="1">#REF!</definedName>
    <definedName name="BExOPJV0G43Z50LNI0UWME9NPU9S" hidden="1">#REF!</definedName>
    <definedName name="BExOQ1JN4SAC44RTMZIGHSW023WA" hidden="1">#REF!</definedName>
    <definedName name="BExOQ256YMF115DJL3KBPNKABJ90" hidden="1">#REF!</definedName>
    <definedName name="BExOQ91CVG0HST8PB9NIXVB7HD8V" hidden="1">#REF!</definedName>
    <definedName name="BExQ19DEUOLC11IW32E2AMVZLFF1" hidden="1">#REF!</definedName>
    <definedName name="BExQ1E61FAJBIONZYSFLJRQLQ9PB" hidden="1">#REF!</definedName>
    <definedName name="BExQ1FD6KISGYU1JWEQ4G243ZPVD" hidden="1">#REF!</definedName>
    <definedName name="BExQ1OYGXWOZAM0AYM6BGHDKMISU" localSheetId="8" hidden="1">#REF!</definedName>
    <definedName name="BExQ1OYGXWOZAM0AYM6BGHDKMISU" hidden="1">#REF!</definedName>
    <definedName name="BExQ1RNL9KBWAG7NPSB1T7XKRJ05" hidden="1">#REF!</definedName>
    <definedName name="BExQ1X1RE71HCCMKWV64X8HPHR0R" localSheetId="8" hidden="1">#REF!</definedName>
    <definedName name="BExQ1X1RE71HCCMKWV64X8HPHR0R" hidden="1">#REF!</definedName>
    <definedName name="BExQ29C73XR33S3668YYSYZAIHTG" hidden="1">#REF!</definedName>
    <definedName name="BExQ2BQHMXJ2S1ZX7DXG6XR8O1CP" localSheetId="8" hidden="1">#REF!</definedName>
    <definedName name="BExQ2BQHMXJ2S1ZX7DXG6XR8O1CP" hidden="1">#REF!</definedName>
    <definedName name="BExQ2FS228IUDUP2023RA1D4AO4C" hidden="1">#REF!</definedName>
    <definedName name="BExQ2L0XYWLY9VPZWXYYFRIRQRJ1" hidden="1">#REF!</definedName>
    <definedName name="BExQ2M841F5Z1BQYR8DG5FKK0LIU" hidden="1">#REF!</definedName>
    <definedName name="BExQ2MIWCYE74E6FEENZU94SAWTT" hidden="1">#REF!</definedName>
    <definedName name="BExQ2QPZZQDRWDFXEUGNHJ5UAIVB" hidden="1">#REF!</definedName>
    <definedName name="BExQ2W9HOC046ITTI4GIDY78WGN1" localSheetId="8" hidden="1">#REF!</definedName>
    <definedName name="BExQ2W9HOC046ITTI4GIDY78WGN1" hidden="1">#REF!</definedName>
    <definedName name="BExQ2Y28WWO2U5OOMDA3EA4038YM" hidden="1">#REF!</definedName>
    <definedName name="BExQ300G8I8TK45A0MVHV15422EU" hidden="1">#REF!</definedName>
    <definedName name="BExQ39LPSG53SQDGTXVRSSK67YG3" hidden="1">#REF!</definedName>
    <definedName name="BExQ39R28MXSG2SEV956F0KZ20AN" hidden="1">#REF!</definedName>
    <definedName name="BExQ3D1P3M5Z3HLMEZ17E0BLEE4U" hidden="1">#REF!</definedName>
    <definedName name="BExQ3NU4EC4KCH75GPNK281PNDFO" localSheetId="8" hidden="1">#REF!</definedName>
    <definedName name="BExQ3NU4EC4KCH75GPNK281PNDFO" hidden="1">#REF!</definedName>
    <definedName name="BExQ3O4W7QF8BOXTUT4IOGF6YKUD" hidden="1">#REF!</definedName>
    <definedName name="BExQ3OAEOYN31IFX3S97H0F1BYK3" hidden="1">#REF!</definedName>
    <definedName name="BExQ3PXOWSN8561ZR8IEY8ZASI3B" hidden="1">#REF!</definedName>
    <definedName name="BExQ3Q34EP771U3GS3TOK27IQSH9" hidden="1">#REF!</definedName>
    <definedName name="BExQ3TZF04IPY0B0UG9CQQ5736UA" hidden="1">#REF!</definedName>
    <definedName name="BExQ3Y6GDLYXLG7SM9A8AF97SNHJ" hidden="1">#REF!</definedName>
    <definedName name="BExQ41BOL730OSEM60CEMAMP4ARQ" localSheetId="8" hidden="1">#REF!</definedName>
    <definedName name="BExQ41BOL730OSEM60CEMAMP4ARQ" hidden="1">#REF!</definedName>
    <definedName name="BExQ41RS1Z7KHNYZ89VRPTBAAOKV" hidden="1">#REF!</definedName>
    <definedName name="BExQ42IU9MNDYLODP41DL6YTZMAR" hidden="1">#REF!</definedName>
    <definedName name="BExQ452HF7N1HYPXJXQ8WD6SOWUV" hidden="1">#REF!</definedName>
    <definedName name="BExQ499KBJ5W7A1G293A0K14EVQB" hidden="1">#REF!</definedName>
    <definedName name="BExQ4B7Q3NN5PZMR9C0YCQ9KMIUO" localSheetId="8" hidden="1">#REF!</definedName>
    <definedName name="BExQ4B7Q3NN5PZMR9C0YCQ9KMIUO" hidden="1">#REF!</definedName>
    <definedName name="BExQ4BTBSHPHVEDRCXC2ROW8PLFC" hidden="1">#REF!</definedName>
    <definedName name="BExQ4DGKF54SRKQUTUT4B1CZSS62" hidden="1">#REF!</definedName>
    <definedName name="BExQ4T74LQ5PYTV1MUQUW75A4BDY" hidden="1">#REF!</definedName>
    <definedName name="BExQ4UUD73HFANZ99D0MP2X37V9B" hidden="1">#REF!</definedName>
    <definedName name="BExQ4VANQ1MAN6DK4K5P4FWN2Y4Q" hidden="1">#REF!</definedName>
    <definedName name="BExQ4XJHD7EJCNH7S1MJDZJ2MNWG" hidden="1">#REF!</definedName>
    <definedName name="BExQ5039ZCEWBUJHU682G4S89J03" hidden="1">#REF!</definedName>
    <definedName name="BExQ51AGJKIAVC876R0CDU5FV8NY" hidden="1">#REF!</definedName>
    <definedName name="BExQ53U1WPQDQWX1BVV1GSXRBF6E" localSheetId="8" hidden="1">#REF!</definedName>
    <definedName name="BExQ53U1WPQDQWX1BVV1GSXRBF6E" hidden="1">#REF!</definedName>
    <definedName name="BExQ56Z9W6YHZHRXOFFI8EFA7CDI" hidden="1">#REF!</definedName>
    <definedName name="BExQ57L0BC8XVPE72PGTSRCXW4PS" hidden="1">#REF!</definedName>
    <definedName name="BExQ5KX3Z668H1KUCKZ9J24HUQ1F" hidden="1">#REF!</definedName>
    <definedName name="BExQ5L2E4CY31FLWKIMGLRZRARGH" hidden="1">#REF!</definedName>
    <definedName name="BExQ5RCZT9G4D32MK61RE7BK0M89" hidden="1">#REF!</definedName>
    <definedName name="BExQ5SPMSOCJYLAY20NB5A6O32RE" hidden="1">#REF!</definedName>
    <definedName name="BExQ5T0FHNHLJD3VNW48YGMA8LIW" hidden="1">#REF!</definedName>
    <definedName name="BExQ5UICMGTMK790KTLK49MAGXRC" hidden="1">#REF!</definedName>
    <definedName name="BExQ5VPID16U3QB2YJ55X35O4LAJ" hidden="1">#REF!</definedName>
    <definedName name="BExQ5YUUK9FD0QGTY4WD0W90O7OL" hidden="1">#REF!</definedName>
    <definedName name="BExQ63793YQ9BH7JLCNRIATIGTRG" hidden="1">#REF!</definedName>
    <definedName name="BExQ643L188A78Y1XOJO0YRZZX17" hidden="1">#REF!</definedName>
    <definedName name="BExQ6CN1EF2UPZ57ZYMGK8TUJQSS" hidden="1">#REF!</definedName>
    <definedName name="BExQ6GJAFAV70WSPLJ86NFRIHU5C" hidden="1">#REF!</definedName>
    <definedName name="BExQ6JJ6GQ820H268M24Q000VLS5" localSheetId="8" hidden="1">#REF!</definedName>
    <definedName name="BExQ6JJ6GQ820H268M24Q000VLS5" hidden="1">#REF!</definedName>
    <definedName name="BExQ6M2YXJ8AMRJF3QGHC40ADAHZ" hidden="1">#REF!</definedName>
    <definedName name="BExQ6M8B0X44N9TV56ATUVHGDI00" hidden="1">#REF!</definedName>
    <definedName name="BExQ6NKT7GLCK5DO3FT99FA0VH7Y" localSheetId="8" hidden="1">#REF!</definedName>
    <definedName name="BExQ6NKT7GLCK5DO3FT99FA0VH7Y" hidden="1">#REF!</definedName>
    <definedName name="BExQ6PIZEB3532T46HXOTSDMM8XR" localSheetId="8" hidden="1">#REF!</definedName>
    <definedName name="BExQ6PIZEB3532T46HXOTSDMM8XR" hidden="1">#REF!</definedName>
    <definedName name="BExQ6POH065GV0I74XXVD0VUPBJW" hidden="1">#REF!</definedName>
    <definedName name="BExQ6UH32UV82ERS1R8DU5D4LJZ7" hidden="1">#REF!</definedName>
    <definedName name="BExQ6V7ZYUY78QRFSU4M6SK1MWQN" localSheetId="8" hidden="1">#REF!</definedName>
    <definedName name="BExQ6V7ZYUY78QRFSU4M6SK1MWQN" hidden="1">#REF!</definedName>
    <definedName name="BExQ6WV9KPSMXPPLGZ3KK4WNYTHU" hidden="1">#REF!</definedName>
    <definedName name="BExQ730ICD1016VN9ZYAUFFZMEA5" hidden="1">#REF!</definedName>
    <definedName name="BExQ7723D7SWW98VB4X2SUGN4SN3" hidden="1">#REF!</definedName>
    <definedName name="BExQ783XTMM2A9I3UKCFWJH1PP2N" hidden="1">#REF!</definedName>
    <definedName name="BExQ78PIQ32IIQO9LZK46CWQKXIY" hidden="1">#REF!</definedName>
    <definedName name="BExQ79LX01ZPQB8EGD1ZHR2VK2H3" hidden="1">#REF!</definedName>
    <definedName name="BExQ7B3V9MGDK2OIJ61XXFBFLJFZ" hidden="1">#REF!</definedName>
    <definedName name="BExQ7CB046NVPF9ZXDGA7OXOLSLX" hidden="1">#REF!</definedName>
    <definedName name="BExQ7IWDCGGOO1HTJ97YGO1CK3R9" hidden="1">#REF!</definedName>
    <definedName name="BExQ7J1OXHRG2IMKOHQFXLVYH4SE" localSheetId="8" hidden="1">#REF!</definedName>
    <definedName name="BExQ7J1OXHRG2IMKOHQFXLVYH4SE" hidden="1">#REF!</definedName>
    <definedName name="BExQ7JNFIEGS2HKNBALH3Q2N5G7Z" hidden="1">#REF!</definedName>
    <definedName name="BExQ7MY3U2Z1IZ71U5LJUD00VVB4" hidden="1">#REF!</definedName>
    <definedName name="BExQ7SHN5CYQIN41HVG4B8PLDDVK" hidden="1">#REF!</definedName>
    <definedName name="BExQ7XL2Q1GVUFL1F9KK0K0EXMWG" hidden="1">#REF!</definedName>
    <definedName name="BExQ7Z30SKFWU6YGVECLIZP0R3Z1" hidden="1">#REF!</definedName>
    <definedName name="BExQ8469L3ZRZ3KYZPYMSJIDL7Y5" hidden="1">#REF!</definedName>
    <definedName name="BExQ84MJB94HL3BWRN50M4NCB6Z0" hidden="1">#REF!</definedName>
    <definedName name="BExQ8583ZE00NW7T9OF11OT9IA14" hidden="1">#REF!</definedName>
    <definedName name="BExQ8A0RPE3IMIFIZLUE7KD2N21W" hidden="1">#REF!</definedName>
    <definedName name="BExQ8ABK6H1ADV2R2OYT8NFFYG2N" hidden="1">#REF!</definedName>
    <definedName name="BExQ8DM90XJ6GCJIK9LC5O82I2TJ" hidden="1">#REF!</definedName>
    <definedName name="BExQ8G0K46ZORA0QVQTDI7Z8LXGF" hidden="1">#REF!</definedName>
    <definedName name="BExQ8HD7ANETBD85KOCAFH9GEJUQ" hidden="1">#REF!</definedName>
    <definedName name="BExQ8O3WEU8HNTTGKTW5T0QSKCLP" hidden="1">#REF!</definedName>
    <definedName name="BExQ8U95JXE2ZGDDWOEHH46ENO5L" localSheetId="8" hidden="1">#REF!</definedName>
    <definedName name="BExQ8U95JXE2ZGDDWOEHH46ENO5L" hidden="1">#REF!</definedName>
    <definedName name="BExQ8UUP7KQWLXPL81ZMF3AC1K7V" localSheetId="8" hidden="1">#REF!</definedName>
    <definedName name="BExQ8UUP7KQWLXPL81ZMF3AC1K7V" hidden="1">#REF!</definedName>
    <definedName name="BExQ8YG1FD0T9ZNSCR84U2ZS63OS" hidden="1">#REF!</definedName>
    <definedName name="BExQ8ZCEDBOBJA3D9LDP5TU2WYGR" hidden="1">#REF!</definedName>
    <definedName name="BExQ9270GE3W301057O617813LH9" hidden="1">#REF!</definedName>
    <definedName name="BExQ94FTZPMPRNEUPNXSJXS7W3JW" hidden="1">#REF!</definedName>
    <definedName name="BExQ94LAW6MAQBWY25WTBFV5PPZJ" hidden="1">#REF!</definedName>
    <definedName name="BExQ97QIPOSSRK978N8P234Y1XA4" hidden="1">#REF!</definedName>
    <definedName name="BExQ9B6NDCWJ5YL91BTH9HO24ANT" hidden="1">#REF!</definedName>
    <definedName name="BExQ9DQATTM64NGUOQWM96CIR7J1" localSheetId="8" hidden="1">#REF!</definedName>
    <definedName name="BExQ9DQATTM64NGUOQWM96CIR7J1" hidden="1">#REF!</definedName>
    <definedName name="BExQ9DVR0WJQK432BJFWT5WHPMRB" localSheetId="8" hidden="1">#REF!</definedName>
    <definedName name="BExQ9DVR0WJQK432BJFWT5WHPMRB" hidden="1">#REF!</definedName>
    <definedName name="BExQ9E6FBAXTHGF3RXANFIA77GXP" hidden="1">#REF!</definedName>
    <definedName name="BExQ9F2YH4UUCCMQITJ475B3S3NP" hidden="1">#REF!</definedName>
    <definedName name="BExQ9KX9734KIAK7IMRLHCPYDHO2" hidden="1">#REF!</definedName>
    <definedName name="BExQ9L80R3H6LKR7T2HJ40OX9NJ8" hidden="1">#REF!</definedName>
    <definedName name="BExQ9L81FF4I7816VTPFBDWVU4CW" hidden="1">#REF!</definedName>
    <definedName name="BExQ9M4E2ACZOWWWP1JJIQO8AHUM" hidden="1">#REF!</definedName>
    <definedName name="BExQ9PVD75P95ZMPDVIBIEAMN0J9" hidden="1">#REF!</definedName>
    <definedName name="BExQ9Q0OSU2BKUFE9FHZN4WB3MKK" hidden="1">#REF!</definedName>
    <definedName name="BExQ9UTANMJCK7LJ4OQMD6F2Q01L" hidden="1">#REF!</definedName>
    <definedName name="BExQ9YV0WI46QUMIWSMROI29JKRV" hidden="1">#REF!</definedName>
    <definedName name="BExQ9ZLYHWABXAA9NJDW8ZS0UQ9P" localSheetId="7" hidden="1">#REF!</definedName>
    <definedName name="BExQ9ZLYHWABXAA9NJDW8ZS0UQ9P" hidden="1">#REF!</definedName>
    <definedName name="BExQA324HSCK40ENJUT9CS9EC71B" hidden="1">#REF!</definedName>
    <definedName name="BExQA55GY0STSNBWQCWN8E31ZXCS" hidden="1">#REF!</definedName>
    <definedName name="BExQA9HZIN9XEMHEEVHT99UU9Z82" hidden="1">#REF!</definedName>
    <definedName name="BExQAELFYH92K8CJL155181UDORO" hidden="1">#REF!</definedName>
    <definedName name="BExQAG8PP8R5NJKNQD1U4QOSD6X5" hidden="1">#REF!</definedName>
    <definedName name="BExQALHM7GOQYCEX7YUA3JB0B9FO" hidden="1">#REF!</definedName>
    <definedName name="BExQB77RUY9D205PCTCZIBSV65FS" localSheetId="8" hidden="1">#REF!</definedName>
    <definedName name="BExQB77RUY9D205PCTCZIBSV65FS" hidden="1">#REF!</definedName>
    <definedName name="BExQB9WVLWT620D6UX7AYUWNUFEL" hidden="1">#REF!</definedName>
    <definedName name="BExQBAD5UTWCYL9SRX7KXGQZTM8W" hidden="1">#REF!</definedName>
    <definedName name="BExQBANY3L9KXHN1L09BO5WI88S3" hidden="1">#REF!</definedName>
    <definedName name="BExQBBESQQ54NCTJ3KBRTXCJ5P17" hidden="1">#REF!</definedName>
    <definedName name="BExQBDICMZTSA1X73TMHNO4JSFLN" hidden="1">#REF!</definedName>
    <definedName name="BExQBEER6CRCRPSSL61S0OMH57ZA" hidden="1">#REF!</definedName>
    <definedName name="BExQBIGGY5TXI2FJVVZSLZ0LTZYH" hidden="1">#REF!</definedName>
    <definedName name="BExQBM1RUSIQ85LLMM2159BYDPIP" hidden="1">#REF!</definedName>
    <definedName name="BExQBPSOZ47V81YAEURP0NQJNTJH" hidden="1">#REF!</definedName>
    <definedName name="BExQBYMXFQF4RSQ6EGL8BAZHLSEV" localSheetId="8" hidden="1">#REF!</definedName>
    <definedName name="BExQBYMXFQF4RSQ6EGL8BAZHLSEV" hidden="1">#REF!</definedName>
    <definedName name="BExQC5TWT21CGBKD0IHAXTIN2QB8" hidden="1">#REF!</definedName>
    <definedName name="BExQC6A5BO7G7IGYTB6S8C8UBLQO" hidden="1">#REF!</definedName>
    <definedName name="BExQC94JL9F5GW4S8DQCAF4WB2DA" hidden="1">#REF!</definedName>
    <definedName name="BExQCBZ5424E2J7J9C1ZU88GCDPN" hidden="1">#REF!</definedName>
    <definedName name="BExQCH7WBP2W4URPST8TDWIAZ0RJ" hidden="1">#REF!</definedName>
    <definedName name="BExQCI9M5F9BX0WO90T8KQKXJECZ" localSheetId="8" hidden="1">#REF!</definedName>
    <definedName name="BExQCI9M5F9BX0WO90T8KQKXJECZ" hidden="1">#REF!</definedName>
    <definedName name="BExQCKTD8AT0824LGWREXM1B5D1X" hidden="1">#REF!</definedName>
    <definedName name="BExQCNIHIW1M3YC79T7WYLMCSV3J" localSheetId="8" hidden="1">#REF!</definedName>
    <definedName name="BExQCNIHIW1M3YC79T7WYLMCSV3J" hidden="1">#REF!</definedName>
    <definedName name="BExQCZCQ64EZV6ABO2I1WC94GTDB" hidden="1">#REF!</definedName>
    <definedName name="BExQD571YWOXKR2SX85K5MKQ0AO2" hidden="1">#REF!</definedName>
    <definedName name="BExQD7LE9P6LHERXH2MKK9YPQLK6" hidden="1">#REF!</definedName>
    <definedName name="BExQD8N1S7NH30ELQZ96IRM3QGBK" localSheetId="8" hidden="1">#REF!</definedName>
    <definedName name="BExQD8N1S7NH30ELQZ96IRM3QGBK" hidden="1">#REF!</definedName>
    <definedName name="BExQDB6VCHN8PNX8EA6JNIEQ2JC2" hidden="1">#REF!</definedName>
    <definedName name="BExQDE1B6U2Q9B73KBENABP71YM1" hidden="1">#REF!</definedName>
    <definedName name="BExQDGQCN7ZW41QDUHOBJUGQAX40" hidden="1">#REF!</definedName>
    <definedName name="BExQDJFIGV05BTKD5RXVL4SCTIW0" hidden="1">#REF!</definedName>
    <definedName name="BExQDMQ7KX4W4AFABHEIGB04NLFY" hidden="1">#REF!</definedName>
    <definedName name="BExQDUTIPJ4NY1S8G06SYWOSVMO4" hidden="1">#REF!</definedName>
    <definedName name="BExQE1EVCGSVZ7AJX4IMOR560H5S" hidden="1">#REF!</definedName>
    <definedName name="BExQE6IAA3QFZ6TX9BXPJISLE0Q1" localSheetId="8" hidden="1">#REF!</definedName>
    <definedName name="BExQE6IAA3QFZ6TX9BXPJISLE0Q1" hidden="1">#REF!</definedName>
    <definedName name="BExQEC7BRIJ30PTU3UPFOIP2HPE3" hidden="1">#REF!</definedName>
    <definedName name="BExQEI1M9KMFQ0ILDLQ4YIBHQ6FF" hidden="1">#REF!</definedName>
    <definedName name="BExQEJUD5RQJ325ULPV2E4W8QAL6" localSheetId="8" hidden="1">#REF!</definedName>
    <definedName name="BExQEJUD5RQJ325ULPV2E4W8QAL6" hidden="1">#REF!</definedName>
    <definedName name="BExQEL70691FKBAMG0ZQ1WSRW2MP" hidden="1">#REF!</definedName>
    <definedName name="BExQEMUA4HEFM4OVO8M8MA8PIAW1" hidden="1">#REF!</definedName>
    <definedName name="BExQEQ4XZQFIKUXNU9H7WE7AMZ1U" hidden="1">#REF!</definedName>
    <definedName name="BExQF00ZDAC842R706797DN4H4HE" localSheetId="8" hidden="1">#REF!</definedName>
    <definedName name="BExQF00ZDAC842R706797DN4H4HE" hidden="1">#REF!</definedName>
    <definedName name="BExQF1OEB07CRAP6ALNNMJNJ3P2D" hidden="1">#REF!</definedName>
    <definedName name="BExQF6BL2EIIOCQ8TM4OAK7F0GZA" hidden="1">#REF!</definedName>
    <definedName name="BExQF9X2AQPFJZTCHTU5PTTR0JAH" hidden="1">#REF!</definedName>
    <definedName name="BExQFBKGZXCAB5PU8BDQW0CXDFHA" hidden="1">#REF!</definedName>
    <definedName name="BExQFC0M9KKFMQKPLPEO2RQDB7MM" hidden="1">#REF!</definedName>
    <definedName name="BExQFEEV7627R8TYZCM28C6V6WHE" hidden="1">#REF!</definedName>
    <definedName name="BExQFEK8NUD04X2OBRA275ADPSDL" hidden="1">#REF!</definedName>
    <definedName name="BExQFGYIWDR4W0YF7XR6E4EWWJ02" hidden="1">#REF!</definedName>
    <definedName name="BExQFMNOOBC2XE1R03V1MF8QJSDG" localSheetId="8" hidden="1">#REF!</definedName>
    <definedName name="BExQFMNOOBC2XE1R03V1MF8QJSDG" hidden="1">#REF!</definedName>
    <definedName name="BExQFNPE0JNBFPGM91B5GNSDG31N" localSheetId="8" hidden="1">#REF!</definedName>
    <definedName name="BExQFNPE0JNBFPGM91B5GNSDG31N" hidden="1">#REF!</definedName>
    <definedName name="BExQFP1ZFEZ8FYFPQP4VZE03EQJT" hidden="1">#REF!</definedName>
    <definedName name="BExQFPNFKA36IAPS22LAUMBDI4KE" hidden="1">#REF!</definedName>
    <definedName name="BExQFPSWEMA8WBUZ4WK20LR13VSU" hidden="1">#REF!</definedName>
    <definedName name="BExQFQP9YZH9TTTM3XIIM99X67J0" hidden="1">#REF!</definedName>
    <definedName name="BExQFVSPOSCCPF1TLJPIWYWYB8A9" hidden="1">#REF!</definedName>
    <definedName name="BExQFWJQXNQAW6LUMOEDS6KMJMYL" hidden="1">#REF!</definedName>
    <definedName name="BExQFXLFCTFSRSNKLILOUML2BTLK" hidden="1">#REF!</definedName>
    <definedName name="BExQG34XZRQF4F20GBEB61UN59UD" hidden="1">#REF!</definedName>
    <definedName name="BExQG8TYRD2G42UA5ZPCRLNKUDMX" hidden="1">#REF!</definedName>
    <definedName name="BExQGD6ILNCGPL5DH927PMCECHB4" hidden="1">#REF!</definedName>
    <definedName name="BExQGDS2M3MSNZ8ZIV7IJKZL0ITK" hidden="1">#REF!</definedName>
    <definedName name="BExQGFKTOP6WGJAF2OI8PXQPMWT4" localSheetId="8" hidden="1">#REF!</definedName>
    <definedName name="BExQGFKTOP6WGJAF2OI8PXQPMWT4" hidden="1">#REF!</definedName>
    <definedName name="BExQGGRZQ5B1LS6PW36KFE1M42KX" localSheetId="8" hidden="1">#REF!</definedName>
    <definedName name="BExQGGRZQ5B1LS6PW36KFE1M42KX" hidden="1">#REF!</definedName>
    <definedName name="BExQGMM9RZL83B2Z0ZZPHKUY6VTK" localSheetId="8" hidden="1">#REF!</definedName>
    <definedName name="BExQGMM9RZL83B2Z0ZZPHKUY6VTK" hidden="1">#REF!</definedName>
    <definedName name="BExQGN2JIK3SC1G7D4WWJA38UFXM" localSheetId="8" hidden="1">#REF!</definedName>
    <definedName name="BExQGN2JIK3SC1G7D4WWJA38UFXM" hidden="1">#REF!</definedName>
    <definedName name="BExQGO48J9MPCDQ96RBB9UN9AIGT" hidden="1">#REF!</definedName>
    <definedName name="BExQGSBB6MJWDW7AYWA0MSFTXKRR" hidden="1">#REF!</definedName>
    <definedName name="BExQGTD4YXCZV9UN1QGE6FJ4P426" localSheetId="8" hidden="1">#REF!</definedName>
    <definedName name="BExQGTD4YXCZV9UN1QGE6FJ4P426" hidden="1">#REF!</definedName>
    <definedName name="BExQGV5VAFEC5AQDDKD3VUTWM0J5" hidden="1">#REF!</definedName>
    <definedName name="BExQH0UURAJ13AVO5UI04HSRGVYW" hidden="1">#REF!</definedName>
    <definedName name="BExQH5I0R5Y6QJJXC82DU6D7PU8A" hidden="1">#REF!</definedName>
    <definedName name="BExQH5I1MQS3BMVES7TYZ7SUZ4O6" hidden="1">#REF!</definedName>
    <definedName name="BExQH6ZZY0NR8SE48PSI9D0CU1TC" hidden="1">#REF!</definedName>
    <definedName name="BExQH9JL86CJECOJYC9Z7IXJ01VT" hidden="1">#REF!</definedName>
    <definedName name="BExQH9P2MCXAJOVEO4GFQT6MNW22" hidden="1">#REF!</definedName>
    <definedName name="BExQHCZSBYUY8OKKJXFYWKBBM6AH" hidden="1">#REF!</definedName>
    <definedName name="BExQHKHIDAMA2878N8MKFT07Z60V" localSheetId="8" hidden="1">#REF!</definedName>
    <definedName name="BExQHKHIDAMA2878N8MKFT07Z60V" hidden="1">#REF!</definedName>
    <definedName name="BExQHPKXZ1K33V2F90NZIQRZYIAW" hidden="1">#REF!</definedName>
    <definedName name="BExQHVF9KD06AG2RXUQJ9X4PVGX4" hidden="1">#REF!</definedName>
    <definedName name="BExQHWX82915PD9US1HTXS9DZ79E" hidden="1">#REF!</definedName>
    <definedName name="BExQHYF6V8I04448CSUDBVCXCGOB" hidden="1">#REF!</definedName>
    <definedName name="BExQHZBHVN2L4HC7ACTR73T5OCV0" hidden="1">#REF!</definedName>
    <definedName name="BExQHZGZ5JZ4AE00IROC5LG5734F" localSheetId="8" hidden="1">#REF!</definedName>
    <definedName name="BExQHZGZ5JZ4AE00IROC5LG5734F" hidden="1">#REF!</definedName>
    <definedName name="BExQI80GG8RU9TT6ZKJLJKD5G701" hidden="1">#REF!</definedName>
    <definedName name="BExQI85V9TNLDJT5LTRZS10Y26SG" hidden="1">#REF!</definedName>
    <definedName name="BExQIAPKHVEV8CU1L3TTHJW67FJ5" hidden="1">#REF!</definedName>
    <definedName name="BExQIBB4I3Z6AUU0HYV1DHRS13M4" hidden="1">#REF!</definedName>
    <definedName name="BExQIBREG5B7UTRSHYH7ZYYR7JAD" hidden="1">#REF!</definedName>
    <definedName name="BExQIBWPAXU7HJZLKGJZY3EB7MIS" hidden="1">#REF!</definedName>
    <definedName name="BExQICT281Q1E6HHLEIC7LOYTR4F" localSheetId="8" hidden="1">#REF!</definedName>
    <definedName name="BExQICT281Q1E6HHLEIC7LOYTR4F" hidden="1">#REF!</definedName>
    <definedName name="BExQIDUXFRRQTUP42M6V5KODFDPZ" localSheetId="8" hidden="1">#REF!</definedName>
    <definedName name="BExQIDUXFRRQTUP42M6V5KODFDPZ" hidden="1">#REF!</definedName>
    <definedName name="BExQIEWM4YHWE15RFGAT8AWBZ25Y" localSheetId="8" hidden="1">#REF!</definedName>
    <definedName name="BExQIEWM4YHWE15RFGAT8AWBZ25Y" hidden="1">#REF!</definedName>
    <definedName name="BExQIII2YKNNBPUFZNOC88FK394S" localSheetId="8" hidden="1">#REF!</definedName>
    <definedName name="BExQIII2YKNNBPUFZNOC88FK394S" hidden="1">#REF!</definedName>
    <definedName name="BExQINW95C7N048P3U0KM5A2Q0VU" localSheetId="8" hidden="1">#REF!</definedName>
    <definedName name="BExQINW95C7N048P3U0KM5A2Q0VU" hidden="1">#REF!</definedName>
    <definedName name="BExQIS8O6R36CI01XRY9ISM99TW9" hidden="1">#REF!</definedName>
    <definedName name="BExQIVJB9MJ25NDUHTCVMSODJY2C" hidden="1">#REF!</definedName>
    <definedName name="BExQIWFPPCUYMWAKQQHA0PTN3D9F" localSheetId="8" hidden="1">#REF!</definedName>
    <definedName name="BExQIWFPPCUYMWAKQQHA0PTN3D9F" hidden="1">#REF!</definedName>
    <definedName name="BExQJ36JFLCUW9VC46YWQXSBJ2YL" hidden="1">#REF!</definedName>
    <definedName name="BExQJ6H7AMPZV1NBG11IPLYL926E" hidden="1">#REF!</definedName>
    <definedName name="BExQJ7IXTYN8ELZIUSOUURFAP5Z5" localSheetId="8" hidden="1">#REF!</definedName>
    <definedName name="BExQJ7IXTYN8ELZIUSOUURFAP5Z5" hidden="1">#REF!</definedName>
    <definedName name="BExQJ90UHHSEA4CFV5C5OB6WABIX" hidden="1">#REF!</definedName>
    <definedName name="BExQJBF7LAX128WR7VTMJC88ZLPG" hidden="1">#REF!</definedName>
    <definedName name="BExQJEVCKX6KZHNCLYXY7D0MX5KN" hidden="1">#REF!</definedName>
    <definedName name="BExQJGO2S5L6WFQLURW9ARP7AE2Y" hidden="1">#REF!</definedName>
    <definedName name="BExQJHV9HAB5CHD6D3WS41CN13VH" hidden="1">#REF!</definedName>
    <definedName name="BExQJIBCENFZ4FNIPQ8IC1PBMHA9" localSheetId="8" hidden="1">#REF!</definedName>
    <definedName name="BExQJIBCENFZ4FNIPQ8IC1PBMHA9" hidden="1">#REF!</definedName>
    <definedName name="BExQJJYSDX8B0J1QGF2HL071KKA3" hidden="1">#REF!</definedName>
    <definedName name="BExQJK433DQ38YRL9UDI8STQOBV8" localSheetId="8" hidden="1">#REF!</definedName>
    <definedName name="BExQJK433DQ38YRL9UDI8STQOBV8" hidden="1">#REF!</definedName>
    <definedName name="BExQJO0COBKBQ7N8280B6P5HFILD" hidden="1">#REF!</definedName>
    <definedName name="BExQJRB0YPZNRUF9H3Y2EZGT6RYO" hidden="1">#REF!</definedName>
    <definedName name="BExQJX019VWBQMW1HCV154DP9287" localSheetId="8" hidden="1">#REF!</definedName>
    <definedName name="BExQJX019VWBQMW1HCV154DP9287" hidden="1">#REF!</definedName>
    <definedName name="BExQK1HV6SQQ7CP8H8IUKI9TYXTD" hidden="1">#REF!</definedName>
    <definedName name="BExQK1SODHG66277P2K5V2W6173O" localSheetId="8" hidden="1">#REF!</definedName>
    <definedName name="BExQK1SODHG66277P2K5V2W6173O" hidden="1">#REF!</definedName>
    <definedName name="BExQK3LE5CSBW1E4H4KHW548FL2R" hidden="1">#REF!</definedName>
    <definedName name="BExQKG6LD6PLNDGNGO9DJXY865BR" hidden="1">#REF!</definedName>
    <definedName name="BExQKM6EA4JJMVRKQL5NGADIJA98" hidden="1">#REF!</definedName>
    <definedName name="BExQKMH6DRKO4QF9INJEBXWVJXQJ" hidden="1">#REF!</definedName>
    <definedName name="BExQLE1TOW3A287TQB0AVWENT8O1" hidden="1">#REF!</definedName>
    <definedName name="BExRYCD5YHKWU5AEEX4PVCYG54XP" hidden="1">#REF!</definedName>
    <definedName name="BExRYF29J9DF7BNGY6FOBWW4O7LH" hidden="1">#REF!</definedName>
    <definedName name="BExRYOYB4A3E5F6MTROY69LR0PMG" hidden="1">#REF!</definedName>
    <definedName name="BExRYZLA9EW71H4SXQR525S72LLP" hidden="1">#REF!</definedName>
    <definedName name="BExRZ54ZJLHKAAHZRZ0HJAGNKY5P" hidden="1">#REF!</definedName>
    <definedName name="BExRZ66M8G9FQ0VFP077QSZBSOA5" hidden="1">#REF!</definedName>
    <definedName name="BExRZ8FMQQL46I8AQWU17LRNZD5T" hidden="1">#REF!</definedName>
    <definedName name="BExRZHQ539AXXAYUEPA0O1X0XFHE" hidden="1">#REF!</definedName>
    <definedName name="BExRZIRRIXRUMZ5GOO95S7460BMP" hidden="1">#REF!</definedName>
    <definedName name="BExRZJDDLN3LY6D5I8MR260GICK8" hidden="1">#REF!</definedName>
    <definedName name="BExRZK9RAHMM0ZLTNSK7A4LDC42D" hidden="1">#REF!</definedName>
    <definedName name="BExRZOGSR69INI6GAEPHDWSNK5Q4" hidden="1">#REF!</definedName>
    <definedName name="BExS01I8TCSGWMA00Y22R9G60XRY" hidden="1">#REF!</definedName>
    <definedName name="BExS02PDU3RIYDBR02EV6VUXEVN6" localSheetId="8" hidden="1">#REF!</definedName>
    <definedName name="BExS02PDU3RIYDBR02EV6VUXEVN6" hidden="1">#REF!</definedName>
    <definedName name="BExS03GASVONK9A9KS1V691SDLXT" hidden="1">#REF!</definedName>
    <definedName name="BExS04Y7UX5XVYSTAZOGHTOVCQLH" localSheetId="8" hidden="1">#REF!</definedName>
    <definedName name="BExS04Y7UX5XVYSTAZOGHTOVCQLH" hidden="1">#REF!</definedName>
    <definedName name="BExS0ASQBKRTPDWFK0KUDFOS9LE5" hidden="1">#REF!</definedName>
    <definedName name="BExS0GHQUF6YT0RU3TKDEO8CSJYB" hidden="1">#REF!</definedName>
    <definedName name="BExS0K8IHC45I78DMZBOJ1P13KQA" hidden="1">#REF!</definedName>
    <definedName name="BExS0UFCKI6Z4BDWL0C1TI1UZA8D" localSheetId="8" hidden="1">#REF!</definedName>
    <definedName name="BExS0UFCKI6Z4BDWL0C1TI1UZA8D" hidden="1">#REF!</definedName>
    <definedName name="BExS152AA7SINYXW9OIZ8PQ1BGBT" hidden="1">#REF!</definedName>
    <definedName name="BExS152B2LFCRAUHSLI5T6QRNII0" hidden="1">#REF!</definedName>
    <definedName name="BExS15IJV0WW662NXQUVT3FGP4ST" hidden="1">#REF!</definedName>
    <definedName name="BExS16PROWSNHW3MZQBGQNQU7S8R" localSheetId="8" hidden="1">#REF!</definedName>
    <definedName name="BExS16PROWSNHW3MZQBGQNQU7S8R" hidden="1">#REF!</definedName>
    <definedName name="BExS18D0V6W7TZWUPKUNIV3XXK0Z" localSheetId="8" hidden="1">#REF!</definedName>
    <definedName name="BExS18D0V6W7TZWUPKUNIV3XXK0Z" hidden="1">#REF!</definedName>
    <definedName name="BExS194110MR25BYJI3CJ2EGZ8XT" hidden="1">#REF!</definedName>
    <definedName name="BExS1BNVGNSGD4EP90QL8WXYWZ66" hidden="1">#REF!</definedName>
    <definedName name="BExS1CEQCYYCBQBK2EPP53MCJK69" hidden="1">#REF!</definedName>
    <definedName name="BExS1DGF08JO742YGUPBHIWRH262" hidden="1">#REF!</definedName>
    <definedName name="BExS1FJYYN1PJHIXDXF25ISFY2JB" hidden="1">#REF!</definedName>
    <definedName name="BExS1IUSLJKRZ9BQ1C8OXL0CI3Z9" localSheetId="8" hidden="1">#REF!</definedName>
    <definedName name="BExS1IUSLJKRZ9BQ1C8OXL0CI3Z9" hidden="1">#REF!</definedName>
    <definedName name="BExS1MWCBVTVWQG6V5Y6O4NNDEZC" localSheetId="8" hidden="1">#REF!</definedName>
    <definedName name="BExS1MWCBVTVWQG6V5Y6O4NNDEZC" hidden="1">#REF!</definedName>
    <definedName name="BExS1UE39N6NCND7MAARSBWXS6HU" hidden="1">#REF!</definedName>
    <definedName name="BExS1VQKWZC7SM0UY7BWIPST3VU3" localSheetId="8" hidden="1">#REF!</definedName>
    <definedName name="BExS1VQKWZC7SM0UY7BWIPST3VU3" hidden="1">#REF!</definedName>
    <definedName name="BExS1W6O33ETTD70C9L6XFGT8VY0" localSheetId="8" hidden="1">#REF!</definedName>
    <definedName name="BExS1W6O33ETTD70C9L6XFGT8VY0" hidden="1">#REF!</definedName>
    <definedName name="BExS1W6VDKYLNNUIDUQP81IK3Z1E" hidden="1">#REF!</definedName>
    <definedName name="BExS226HTWL5WVC76MP5A1IBI8WD" hidden="1">#REF!</definedName>
    <definedName name="BExS238BOZAMVNQPI1H1FTEZ4UVL" hidden="1">#REF!</definedName>
    <definedName name="BExS24QAWORHWXUHIZ2HSKDNFE6A" hidden="1">#REF!</definedName>
    <definedName name="BExS24VR0S5QENBMPVR3H1BV1M0R" hidden="1">#REF!</definedName>
    <definedName name="BExS25MO0MHSAVED16GRG7LWXOVF" hidden="1">#REF!</definedName>
    <definedName name="BExS26OI2QNNAH2WMDD95Z400048" hidden="1">#REF!</definedName>
    <definedName name="BExS2DF6B4ZUF3VZLI4G6LJ3BF38" hidden="1">#REF!</definedName>
    <definedName name="BExS2OT61VXS58SSI0I90Z76DFCQ" localSheetId="8" hidden="1">#REF!</definedName>
    <definedName name="BExS2OT61VXS58SSI0I90Z76DFCQ" hidden="1">#REF!</definedName>
    <definedName name="BExS2QB5FS5LYTFYO4BROTWG3OV5" hidden="1">#REF!</definedName>
    <definedName name="BExS2RIBMZPBDB3W6PKRNHUM06WI" localSheetId="8" hidden="1">#REF!</definedName>
    <definedName name="BExS2RIBMZPBDB3W6PKRNHUM06WI" hidden="1">#REF!</definedName>
    <definedName name="BExS2TLU1HONYV6S3ZD9T12D7CIG" hidden="1">#REF!</definedName>
    <definedName name="BExS2VPCKWE4Z9KIBRXEITXALFM3" hidden="1">#REF!</definedName>
    <definedName name="BExS2X1THKDR67F31A8924MUPOYI" hidden="1">#REF!</definedName>
    <definedName name="BExS318UV9I2FXPQQWUKKX00QLPJ" hidden="1">#REF!</definedName>
    <definedName name="BExS32LHJ5LP2LJ2WKBCR2MK4UN1" localSheetId="8" hidden="1">#REF!</definedName>
    <definedName name="BExS32LHJ5LP2LJ2WKBCR2MK4UN1" hidden="1">#REF!</definedName>
    <definedName name="BExS38AHQWKT950DKJR1SJAY5NKD" hidden="1">#REF!</definedName>
    <definedName name="BExS3AJBUPJXSO4FH5OSI6H7UO5B" hidden="1">#REF!</definedName>
    <definedName name="BExS3BL7KZUM0PK7UW1Y6M98ZKXC" localSheetId="8" hidden="1">#REF!</definedName>
    <definedName name="BExS3BL7KZUM0PK7UW1Y6M98ZKXC" hidden="1">#REF!</definedName>
    <definedName name="BExS3GZF0ZTUVZFHEBNCPDDN07CA" hidden="1">#REF!</definedName>
    <definedName name="BExS3IMNZ60VV35E8N3QQL2SR3T8" hidden="1">#REF!</definedName>
    <definedName name="BExS3J89Y13VUJ8O8Y5Z2HUZJYGE" hidden="1">#REF!</definedName>
    <definedName name="BExS3LBS0SMTHALVM4NRI1BAV1NP" hidden="1">#REF!</definedName>
    <definedName name="BExS3MTQ75VBXDGEBURP6YT8RROE" hidden="1">#REF!</definedName>
    <definedName name="BExS3MZ7M756RN23W3WDVT4M5OAW" hidden="1">#REF!</definedName>
    <definedName name="BExS3OH5XH1H0NEUDJGB0D1EF3C6" localSheetId="8" hidden="1">#REF!</definedName>
    <definedName name="BExS3OH5XH1H0NEUDJGB0D1EF3C6" hidden="1">#REF!</definedName>
    <definedName name="BExS3OMGYO0DFN5186UFKEXZ2RX3" hidden="1">#REF!</definedName>
    <definedName name="BExS3SDERJ27OER67TIGOVZU13A2" hidden="1">#REF!</definedName>
    <definedName name="BExS3SIPKM3YEJQ73CXHZJN4YURO" localSheetId="8" hidden="1">#REF!</definedName>
    <definedName name="BExS3SIPKM3YEJQ73CXHZJN4YURO" hidden="1">#REF!</definedName>
    <definedName name="BExS3U60GK3VOURIVMZGFP6FD7XJ" localSheetId="8" hidden="1">#REF!</definedName>
    <definedName name="BExS3U60GK3VOURIVMZGFP6FD7XJ" hidden="1">#REF!</definedName>
    <definedName name="BExS3WV2VQ19L2A1DJ73AUFN7SRX" localSheetId="8" hidden="1">#REF!</definedName>
    <definedName name="BExS3WV2VQ19L2A1DJ73AUFN7SRX" hidden="1">#REF!</definedName>
    <definedName name="BExS405XS2NPQT6WBEIMY75H5UYI" hidden="1">#REF!</definedName>
    <definedName name="BExS429GV41LIJA5WOTXMSF0075A" localSheetId="8" hidden="1">#REF!</definedName>
    <definedName name="BExS429GV41LIJA5WOTXMSF0075A" hidden="1">#REF!</definedName>
    <definedName name="BExS46R5WDNU5KL04FKY5LHJUCB8" hidden="1">#REF!</definedName>
    <definedName name="BExS4ASWKM93XA275AXHYP8AG6SU" hidden="1">#REF!</definedName>
    <definedName name="BExS4IAMWTT1CKFNHGN8SPWSD3QR" localSheetId="8" hidden="1">#REF!</definedName>
    <definedName name="BExS4IAMWTT1CKFNHGN8SPWSD3QR" hidden="1">#REF!</definedName>
    <definedName name="BExS4JN3Y6SVBKILQK0R9HS45Y52" hidden="1">#REF!</definedName>
    <definedName name="BExS4P6S41O6Z6BED77U3GD9PNH1" hidden="1">#REF!</definedName>
    <definedName name="BExS4UFKWNI7QAX0PTOVVBUB0LP8" localSheetId="8" hidden="1">#REF!</definedName>
    <definedName name="BExS4UFKWNI7QAX0PTOVVBUB0LP8" hidden="1">#REF!</definedName>
    <definedName name="BExS51H0N51UT0FZOPZRCF1GU063" hidden="1">#REF!</definedName>
    <definedName name="BExS54X72TJFC41FJK72MLRR2OO7" hidden="1">#REF!</definedName>
    <definedName name="BExS55IQTVTR85UGG69DQ5SEU4K2" hidden="1">#REF!</definedName>
    <definedName name="BExS582JZ0H64P90GN3K99IN7AOY" hidden="1">#REF!</definedName>
    <definedName name="BExS59F0PA1V2ZC7S5TN6IT41SXP" hidden="1">#REF!</definedName>
    <definedName name="BExS5BYO19H5ZKO75ERO60KF7DQH" localSheetId="8" hidden="1">#REF!</definedName>
    <definedName name="BExS5BYO19H5ZKO75ERO60KF7DQH" hidden="1">#REF!</definedName>
    <definedName name="BExS5DRER9US6NXY9ATYT41KZII3" hidden="1">#REF!</definedName>
    <definedName name="BExS5L3TGB8JVW9ROYWTKYTUPW27" hidden="1">#REF!</definedName>
    <definedName name="BExS5PWGE5EY0AFJ108EI1DEVC1Q" hidden="1">#REF!</definedName>
    <definedName name="BExS5S59X1LFLD6PH5H3EEVVH8GI" hidden="1">#REF!</definedName>
    <definedName name="BExS5SG3GBHVDR15MOYHV230A4BG" localSheetId="8" hidden="1">#REF!</definedName>
    <definedName name="BExS5SG3GBHVDR15MOYHV230A4BG" hidden="1">#REF!</definedName>
    <definedName name="BExS5TY0F5R1ZXIVJHAAVVG81G5H" localSheetId="8" hidden="1">#REF!</definedName>
    <definedName name="BExS5TY0F5R1ZXIVJHAAVVG81G5H" hidden="1">#REF!</definedName>
    <definedName name="BExS64QH2J135QQB9WGPYP6EBN80" localSheetId="8" hidden="1">#REF!</definedName>
    <definedName name="BExS64QH2J135QQB9WGPYP6EBN80" hidden="1">#REF!</definedName>
    <definedName name="BExS67FLB741QHX07JN12FHOVPQK" hidden="1">#REF!</definedName>
    <definedName name="BExS69J38UBQKTW0NRZ242Y87464" hidden="1">#REF!</definedName>
    <definedName name="BExS6C2WM2V8W6ON4A755OG3V2EM" hidden="1">#REF!</definedName>
    <definedName name="BExS6GKPBOGCKCZYX7N6VQ2N9NYO" hidden="1">#REF!</definedName>
    <definedName name="BExS6GKQ96EHVLYWNJDWXZXUZW90" hidden="1">#REF!</definedName>
    <definedName name="BExS6H661O0QQ4MJPR0GK7TXCYSA" hidden="1">#REF!</definedName>
    <definedName name="BExS6ITKSZFRR01YD5B0F676SYN7" hidden="1">#REF!</definedName>
    <definedName name="BExS6IYVVGGZJXGGYPX7UNAQOB2X" localSheetId="8" hidden="1">#REF!</definedName>
    <definedName name="BExS6IYVVGGZJXGGYPX7UNAQOB2X" hidden="1">#REF!</definedName>
    <definedName name="BExS6KGU63BUOXCPJ9TSCDS9ZY2T" localSheetId="8" hidden="1">#REF!</definedName>
    <definedName name="BExS6KGU63BUOXCPJ9TSCDS9ZY2T" hidden="1">#REF!</definedName>
    <definedName name="BExS6N0LI574IAC89EFW6CLTCQ33" hidden="1">#REF!</definedName>
    <definedName name="BExS6OD3IHWPHE3B6TTN2YK2WQHD" hidden="1">#REF!</definedName>
    <definedName name="BExS6R7OKV6IMO5C9G2KDZCMWD5I" hidden="1">#REF!</definedName>
    <definedName name="BExS6UCVCTFDMB197LVFRS7NN8ZF" hidden="1">#REF!</definedName>
    <definedName name="BExS6WRDBF3ST86ZOBBUL3GTCR11" hidden="1">#REF!</definedName>
    <definedName name="BExS6XNRKR0C3MTA0LV5B60UB908" hidden="1">#REF!</definedName>
    <definedName name="BExS75QWAVN54J9I6UPQ8V7T7I1C" hidden="1">#REF!</definedName>
    <definedName name="BExS79HUY1GAJJP4VMMZHU8UJI6O" localSheetId="8" hidden="1">#REF!</definedName>
    <definedName name="BExS79HUY1GAJJP4VMMZHU8UJI6O" hidden="1">#REF!</definedName>
    <definedName name="BExS7DU7IOWG5MHL28Z4KOM2V434" localSheetId="8" hidden="1">#REF!</definedName>
    <definedName name="BExS7DU7IOWG5MHL28Z4KOM2V434" hidden="1">#REF!</definedName>
    <definedName name="BExS7G38ASJVTDO2IAPA36EB2SPF" localSheetId="8" hidden="1">#REF!</definedName>
    <definedName name="BExS7G38ASJVTDO2IAPA36EB2SPF" hidden="1">#REF!</definedName>
    <definedName name="BExS7HQI0PBQNP39JUZ69RMC7M7N" localSheetId="8" hidden="1">#REF!</definedName>
    <definedName name="BExS7HQI0PBQNP39JUZ69RMC7M7N" hidden="1">#REF!</definedName>
    <definedName name="BExS7TKQYLRZGM93UY3ZJZJBQNFJ" hidden="1">#REF!</definedName>
    <definedName name="BExS7TVIHJQ54K2Q7S5TI60WWB6A" localSheetId="8" hidden="1">#REF!</definedName>
    <definedName name="BExS7TVIHJQ54K2Q7S5TI60WWB6A" hidden="1">#REF!</definedName>
    <definedName name="BExS7Y2LNGVHSIBKC7C3R6X4LDR6" hidden="1">#REF!</definedName>
    <definedName name="BExS7Z9MX40CUEV1JLZ93OMVXXTN" hidden="1">#REF!</definedName>
    <definedName name="BExS80RP8GCPNFHHGN85D3RLJQWW" localSheetId="8" hidden="1">#REF!</definedName>
    <definedName name="BExS80RP8GCPNFHHGN85D3RLJQWW" hidden="1">#REF!</definedName>
    <definedName name="BExS81TE0EY44Y3W2M4Z4MGNP5OM" hidden="1">#REF!</definedName>
    <definedName name="BExS81YPDZDVJJVS15HV2HDXAC3Y" hidden="1">#REF!</definedName>
    <definedName name="BExS82PRVNUTEKQZS56YT2DVF6C2" hidden="1">#REF!</definedName>
    <definedName name="BExS8BPG5A0GR5AO1U951NDGGR0L" hidden="1">#REF!</definedName>
    <definedName name="BExS8GSUS17UY50TEM2AWF36BR9Z" hidden="1">#REF!</definedName>
    <definedName name="BExS8HJRBVG0XI6PWA9KTMJZMQXK" hidden="1">#REF!</definedName>
    <definedName name="BExS8KZXYDRXJBNQ587H7RYH75E2" hidden="1">#REF!</definedName>
    <definedName name="BExS8LQTNX922FCMI8FORKMV1ZCD" localSheetId="8" hidden="1">#REF!</definedName>
    <definedName name="BExS8LQTNX922FCMI8FORKMV1ZCD" hidden="1">#REF!</definedName>
    <definedName name="BExS8R51C8RM2FS6V6IRTYO9GA4A" hidden="1">#REF!</definedName>
    <definedName name="BExS8TJD7O787MICP77GOZAT4G90" localSheetId="8" hidden="1">#REF!</definedName>
    <definedName name="BExS8TJD7O787MICP77GOZAT4G90" hidden="1">#REF!</definedName>
    <definedName name="BExS8W8G0X4RIQXAZCCLUM05FF9P" localSheetId="8" hidden="1">#REF!</definedName>
    <definedName name="BExS8W8G0X4RIQXAZCCLUM05FF9P" hidden="1">#REF!</definedName>
    <definedName name="BExS8WDX408F60MH1X9B9UZ2H4R7" hidden="1">#REF!</definedName>
    <definedName name="BExS8Z2W2QEC3MH0BZIYLDFQNUIP" hidden="1">#REF!</definedName>
    <definedName name="BExS92DKGRFFCIA9C0IXDOLO57EP" hidden="1">#REF!</definedName>
    <definedName name="BExS92J1HAC5A5GN8KQEPXTGJQG5" hidden="1">#REF!</definedName>
    <definedName name="BExS92TTWG6PU1QCLK2G0U4WPWEG" hidden="1">#REF!</definedName>
    <definedName name="BExS970VMB40OE1CEB7FR2ZHFGZ0" localSheetId="8" hidden="1">#REF!</definedName>
    <definedName name="BExS970VMB40OE1CEB7FR2ZHFGZ0" hidden="1">#REF!</definedName>
    <definedName name="BExS97RRBMY33WD7CWAACAFVPNVK" hidden="1">#REF!</definedName>
    <definedName name="BExS98OB4321YCHLCQ022PXKTT2W" hidden="1">#REF!</definedName>
    <definedName name="BExS9C9N8GFISC6HUERJ0EI06GB2" hidden="1">#REF!</definedName>
    <definedName name="BExS9DX13CACP3J8JDREK30JB1SQ" hidden="1">#REF!</definedName>
    <definedName name="BExS9FPRS2KRRCS33SE6WFNF5GYL" hidden="1">#REF!</definedName>
    <definedName name="BExS9L9GJ1VBWXXGRZBIG3FO2YP0" localSheetId="8" hidden="1">#REF!</definedName>
    <definedName name="BExS9L9GJ1VBWXXGRZBIG3FO2YP0" hidden="1">#REF!</definedName>
    <definedName name="BExS9WI0A6PSEB8N9GPXF2Z7MWHM" hidden="1">#REF!</definedName>
    <definedName name="BExS9XP59V9UQ8E8XH9QS5EMCHCX" hidden="1">#REF!</definedName>
    <definedName name="BExSA155DMKA2FSDK0NEJ42OSZ2J" hidden="1">#REF!</definedName>
    <definedName name="BExSA1FYAPMER3UFW9ER4BNUM2NN" localSheetId="8" hidden="1">#REF!</definedName>
    <definedName name="BExSA1FYAPMER3UFW9ER4BNUM2NN" hidden="1">#REF!</definedName>
    <definedName name="BExSA3OXQSYOAN5B89QEO3KC4UM9" localSheetId="8" hidden="1">#REF!</definedName>
    <definedName name="BExSA3OXQSYOAN5B89QEO3KC4UM9" hidden="1">#REF!</definedName>
    <definedName name="BExSA5HP306TN9XJS0TU619DLRR7" hidden="1">#REF!</definedName>
    <definedName name="BExSAA4TQVBEW9YTSAC7IB9WGR0N" localSheetId="8" hidden="1">#REF!</definedName>
    <definedName name="BExSAA4TQVBEW9YTSAC7IB9WGR0N" hidden="1">#REF!</definedName>
    <definedName name="BExSAAVWQOOIA6B3JHQVGP08HFEM" hidden="1">#REF!</definedName>
    <definedName name="BExSAFJ3IICU2M7QPVE4ARYMXZKX" hidden="1">#REF!</definedName>
    <definedName name="BExSAH6ID8OHX379UXVNGFO8J6KQ" hidden="1">#REF!</definedName>
    <definedName name="BExSAI2VVH280T8XNOMSH8UZ5NAG" hidden="1">#REF!</definedName>
    <definedName name="BExSAQBHIXGQRNIRGCJMBXUPCZQA" hidden="1">#REF!</definedName>
    <definedName name="BExSAT5WZEM6Z4GG7X374JPK349Y" localSheetId="8" hidden="1">#REF!</definedName>
    <definedName name="BExSAT5WZEM6Z4GG7X374JPK349Y" hidden="1">#REF!</definedName>
    <definedName name="BExSAUTCT4P7JP57NOR9MTX33QJZ" hidden="1">#REF!</definedName>
    <definedName name="BExSAWM2BTR6HSZ0DWHT19OYENH3" hidden="1">#REF!</definedName>
    <definedName name="BExSAY9CA9TFXQ9M9FBJRGJO9T9E" hidden="1">#REF!</definedName>
    <definedName name="BExSAZWRDYQWGGP5I3BL4SD58464" hidden="1">#REF!</definedName>
    <definedName name="BExSB4EN7SP1EW7AC5NEGGLD1XDH" hidden="1">#REF!</definedName>
    <definedName name="BExSB4JYKQ3MINI7RAYK5M8BLJDC" hidden="1">#REF!</definedName>
    <definedName name="BExSB5LSLCJ1L82INH39PN95PUMK" hidden="1">#REF!</definedName>
    <definedName name="BExSBJZOABKYSO7T1NQ7YMXHSIAG" hidden="1">#REF!</definedName>
    <definedName name="BExSBLHMDPAU7TLJHXOGAD2L0A74" localSheetId="8" hidden="1">#REF!</definedName>
    <definedName name="BExSBLHMDPAU7TLJHXOGAD2L0A74" hidden="1">#REF!</definedName>
    <definedName name="BExSBMOS41ZRLWYLOU29V6Y7YORR" hidden="1">#REF!</definedName>
    <definedName name="BExSBP8EIR4HZGR8Y52PVMB5F09V" hidden="1">#REF!</definedName>
    <definedName name="BExSBRBXXQMBU1TYDW1BXTEVEPRU" hidden="1">#REF!</definedName>
    <definedName name="BExSBSDR3MXTGEW5R9K8VMCMIR9H" hidden="1">#REF!</definedName>
    <definedName name="BExSC12OH52AGW0DP8082HORQSYF" hidden="1">#REF!</definedName>
    <definedName name="BExSC54998WTZ21DSL0R8UN0Y9JH" hidden="1">#REF!</definedName>
    <definedName name="BExSC60N7WR9PJSNC9B7ORCX9NGY" hidden="1">#REF!</definedName>
    <definedName name="BExSC9M353D3EKCXI5GRYJZYPZYZ" localSheetId="8" hidden="1">#REF!</definedName>
    <definedName name="BExSC9M353D3EKCXI5GRYJZYPZYZ" hidden="1">#REF!</definedName>
    <definedName name="BExSCE99EZTILTTCE4NJJF96OYYM" hidden="1">#REF!</definedName>
    <definedName name="BExSCFB35L76CKEGRBCXNSK66WLY" hidden="1">#REF!</definedName>
    <definedName name="BExSCHUQZ2HFEWS54X67DIS8OSXZ" hidden="1">#REF!</definedName>
    <definedName name="BExSCOG41SKKG4GYU76WRWW1CTE6" hidden="1">#REF!</definedName>
    <definedName name="BExSCVC9P86YVFMRKKUVRV29MZXZ" hidden="1">#REF!</definedName>
    <definedName name="BExSCVN2LO6C54UNBXK2FXWDN6Z8" hidden="1">#REF!</definedName>
    <definedName name="BExSD16RWPJ4BKJERNVKGA3W1V8N" localSheetId="8" hidden="1">#REF!</definedName>
    <definedName name="BExSD16RWPJ4BKJERNVKGA3W1V8N" hidden="1">#REF!</definedName>
    <definedName name="BExSD233CH4MU9ZMGNRF97ZV7KWU" hidden="1">#REF!</definedName>
    <definedName name="BExSD2U0F3BN6IN9N4R2DTTJG15H" hidden="1">#REF!</definedName>
    <definedName name="BExSD6A6NY15YSMFH51ST6XJY429" hidden="1">#REF!</definedName>
    <definedName name="BExSD9VH6PF6RQ135VOEE08YXPAW" hidden="1">#REF!</definedName>
    <definedName name="BExSDE81DKVYU58M1KH68OYERZ27" hidden="1">#REF!</definedName>
    <definedName name="BExSDJ5ZE3T46HSF6W0OXL80TXQG" localSheetId="8" hidden="1">#REF!</definedName>
    <definedName name="BExSDJ5ZE3T46HSF6W0OXL80TXQG" hidden="1">#REF!</definedName>
    <definedName name="BExSDP5Y04WWMX2WWRITWOX8R5I9" hidden="1">#REF!</definedName>
    <definedName name="BExSDSGM203BJTNS9MKCBX453HMD" hidden="1">#REF!</definedName>
    <definedName name="BExSDT20XUFXTDM37M148AXAP7HN" hidden="1">#REF!</definedName>
    <definedName name="BExSE4G10JISEN62IDKEQZNDD7IA" hidden="1">#REF!</definedName>
    <definedName name="BExSE573JXGCDZVZY6MFS4MILJJE" hidden="1">#REF!</definedName>
    <definedName name="BExSE6UCKNTYBDRYURI4QIJXOIED" hidden="1">#REF!</definedName>
    <definedName name="BExSEALAUDP3K28C6V53111SG2HJ" hidden="1">#REF!</definedName>
    <definedName name="BExSEEHK1VLWD7JBV9SVVVIKQZ3I" hidden="1">#REF!</definedName>
    <definedName name="BExSEFJ9KICHGHZWGBIOZSG45919" hidden="1">#REF!</definedName>
    <definedName name="BExSEJKZLX37P3V33TRTFJ30BFRK" hidden="1">#REF!</definedName>
    <definedName name="BExSEP9UVOAI6TMXKNK587PQ3328" hidden="1">#REF!</definedName>
    <definedName name="BExSERZ34ETZF8OI93MYIVZX4RDV" localSheetId="8" hidden="1">#REF!</definedName>
    <definedName name="BExSERZ34ETZF8OI93MYIVZX4RDV" hidden="1">#REF!</definedName>
    <definedName name="BExSEZ0KFFX9CB3H1CTIH93KNFUP" hidden="1">#REF!</definedName>
    <definedName name="BExSF07QFLZCO4P6K6QF05XG7PH1" hidden="1">#REF!</definedName>
    <definedName name="BExSF3IEIJK9U00D1RMWF009ANZV" hidden="1">#REF!</definedName>
    <definedName name="BExSFDPAGPKA9X515372QIGRBG1H" hidden="1">#REF!</definedName>
    <definedName name="BExSFELNPJYUZX393PKWKNNZYV1N" hidden="1">#REF!</definedName>
    <definedName name="BExSFJ8ZAGQ63A4MVMZRQWLVRGQ5" hidden="1">#REF!</definedName>
    <definedName name="BExSFJP15UL8RWAI6B0QHVCTFALK" hidden="1">#REF!</definedName>
    <definedName name="BExSFKQRST2S9KXWWLCXYLKSF4G1" hidden="1">#REF!</definedName>
    <definedName name="BExSFLCBOS0LBRI3FH55T42O5SM1" hidden="1">#REF!</definedName>
    <definedName name="BExSFLSLQFYBYFJIT5OXN4ONH315" hidden="1">#REF!</definedName>
    <definedName name="BExSFO6VT7X6XMCX15TC4NYGNHFY" hidden="1">#REF!</definedName>
    <definedName name="BExSFYDRRTAZVPXRWUF5PDQ97WFF" hidden="1">#REF!</definedName>
    <definedName name="BExSFZVPFTXA3F0IJ2NGH1GXX9R7" hidden="1">#REF!</definedName>
    <definedName name="BExSG0XD4QU7SOP1SOK75RQMKGWR" hidden="1">#REF!</definedName>
    <definedName name="BExSG2FBOCBJRFA6R22KL5YHZ2FG" hidden="1">#REF!</definedName>
    <definedName name="BExSG59WRCLW9T3P8OPQAIM1J6JA" hidden="1">#REF!</definedName>
    <definedName name="BExSG90Q4ZUU2IPGDYOM169NJV9S" hidden="1">#REF!</definedName>
    <definedName name="BExSG9X3DU845PNXYJGGLBQY2UHG" hidden="1">#REF!</definedName>
    <definedName name="BExSGDTCHA6KUVDGN45E7TD2882G" hidden="1">#REF!</definedName>
    <definedName name="BExSGE45J27MDUUNXW7Z8Q33UAON" hidden="1">#REF!</definedName>
    <definedName name="BExSGE9LY91Q0URHB4YAMX0UAMYI" hidden="1">#REF!</definedName>
    <definedName name="BExSGEEWSM6V6B3J3F29MN7WAH14" localSheetId="8" hidden="1">#REF!</definedName>
    <definedName name="BExSGEEWSM6V6B3J3F29MN7WAH14" hidden="1">#REF!</definedName>
    <definedName name="BExSGJT4LF1CNH5RN5GZ373ISW9D" localSheetId="8" hidden="1">#REF!</definedName>
    <definedName name="BExSGJT4LF1CNH5RN5GZ373ISW9D" hidden="1">#REF!</definedName>
    <definedName name="BExSGLB2URTLBCKBB4Y885W925F2" hidden="1">#REF!</definedName>
    <definedName name="BExSGOAYG73SFWOPAQV80P710GID" hidden="1">#REF!</definedName>
    <definedName name="BExSGOWJHRW7FWKLO2EHUOOGHNAF" hidden="1">#REF!</definedName>
    <definedName name="BExSGOWJTAP41ZV5Q23H7MI9C76W" hidden="1">#REF!</definedName>
    <definedName name="BExSGR5JQVX2HQ0PKCGZNSSUM1RV" hidden="1">#REF!</definedName>
    <definedName name="BExSGVHX69GJZHD99DKE4RZ042B1" hidden="1">#REF!</definedName>
    <definedName name="BExSGZJO4J4ZO04E2N2ECVYS9DEZ" hidden="1">#REF!</definedName>
    <definedName name="BExSH4HLTQVL4MI545VJL4WFN9U2" localSheetId="8" hidden="1">#REF!</definedName>
    <definedName name="BExSH4HLTQVL4MI545VJL4WFN9U2" hidden="1">#REF!</definedName>
    <definedName name="BExSH4HMJS0TXSYHRWJRFTJ7NOSN" localSheetId="8" hidden="1">#REF!</definedName>
    <definedName name="BExSH4HMJS0TXSYHRWJRFTJ7NOSN" hidden="1">#REF!</definedName>
    <definedName name="BExSHAHFHS7MMNJR8JPVABRGBVIT" hidden="1">#REF!</definedName>
    <definedName name="BExSHBDT7P4KAQ3QPLUM68D68AD7" hidden="1">#REF!</definedName>
    <definedName name="BExSHDS3RJMD6MEJ67RL63M0SEIC" localSheetId="8" hidden="1">#REF!</definedName>
    <definedName name="BExSHDS3RJMD6MEJ67RL63M0SEIC" hidden="1">#REF!</definedName>
    <definedName name="BExSHGH88QZWW4RNAX4YKAZ5JEBL" hidden="1">#REF!</definedName>
    <definedName name="BExSHOKK1OO3CX9Z28C58E5J1D9W" hidden="1">#REF!</definedName>
    <definedName name="BExSHQD8KYLTQGDXIRKCHQQ7MKIH" hidden="1">#REF!</definedName>
    <definedName name="BExSHUKBQVT2G9G0K9ORVIJO6TU8" localSheetId="8" hidden="1">#REF!</definedName>
    <definedName name="BExSHUKBQVT2G9G0K9ORVIJO6TU8" hidden="1">#REF!</definedName>
    <definedName name="BExSHVGPIAHXI97UBLI9G4I4M29F" hidden="1">#REF!</definedName>
    <definedName name="BExSI09CFP9S334JFBRYLUHFSVDN" hidden="1">#REF!</definedName>
    <definedName name="BExSI0K2YL3HTCQAD8A7TR4QCUR6" hidden="1">#REF!</definedName>
    <definedName name="BExSI4R6KXPILDYPR6ET6EW875RK" localSheetId="8" hidden="1">#REF!</definedName>
    <definedName name="BExSI4R6KXPILDYPR6ET6EW875RK" hidden="1">#REF!</definedName>
    <definedName name="BExSI51YXBO1YTEGZNWOO0WRERZI" hidden="1">#REF!</definedName>
    <definedName name="BExSIFUDNRWXWIWNGCCFOOD8WIAZ" hidden="1">#REF!</definedName>
    <definedName name="BExTTR9NLFJ539EC4ORUHJT3GZV6" hidden="1">#REF!</definedName>
    <definedName name="BExTTWD2PGX3Y9FR5F2MRNLY1DIY" localSheetId="8" hidden="1">#REF!</definedName>
    <definedName name="BExTTWD2PGX3Y9FR5F2MRNLY1DIY" hidden="1">#REF!</definedName>
    <definedName name="BExTTZNS2PBCR93C9IUW49UZ4I6T" hidden="1">#REF!</definedName>
    <definedName name="BExTU2YFQ25JQ6MEMRHHN66VLTPJ" hidden="1">#REF!</definedName>
    <definedName name="BExTU75IOII1V5O0C9X2VAYYVJUG" hidden="1">#REF!</definedName>
    <definedName name="BExTUA5F7V4LUIIAM17J3A8XF3JE" hidden="1">#REF!</definedName>
    <definedName name="BExTUJ53ANGZ3H1KDK4CR4Q0OD6P" hidden="1">#REF!</definedName>
    <definedName name="BExTUK1FX3CG6N98FI1M4PX9OS1P" hidden="1">#REF!</definedName>
    <definedName name="BExTUKXSZBM7C57G6NGLWGU4WOHY" hidden="1">#REF!</definedName>
    <definedName name="BExTUOOMC43GH95KQ1PJ86MN9XDF" localSheetId="8" hidden="1">#REF!</definedName>
    <definedName name="BExTUOOMC43GH95KQ1PJ86MN9XDF" hidden="1">#REF!</definedName>
    <definedName name="BExTUSQCFFYZCDNHWHADBC2E1ZP1" hidden="1">#REF!</definedName>
    <definedName name="BExTUVFGOJEYS28JURA5KHQFDU5J" hidden="1">#REF!</definedName>
    <definedName name="BExTUW10U40QCYGHM5NJ3YR1O5SP" hidden="1">#REF!</definedName>
    <definedName name="BExTUWMM5AGXHZRCJK6JYFHX1AFN" hidden="1">#REF!</definedName>
    <definedName name="BExTUWXFQHINU66YG82BI20ATMB5" hidden="1">#REF!</definedName>
    <definedName name="BExTUY9WNSJ91GV8CP0SKJTEIV82" localSheetId="7" hidden="1">#REF!</definedName>
    <definedName name="BExTUY9WNSJ91GV8CP0SKJTEIV82" hidden="1">#REF!</definedName>
    <definedName name="BExTV44DIEVZO0EDP0FAWYVT3WMU" hidden="1">#REF!</definedName>
    <definedName name="BExTV67VIM8PV6KO253M4DUBJQLC" hidden="1">#REF!</definedName>
    <definedName name="BExTVELZCF2YA5L6F23BYZZR6WHF" hidden="1">#REF!</definedName>
    <definedName name="BExTVGPIQZ99YFXUC8OONUX5BD42" hidden="1">#REF!</definedName>
    <definedName name="BExTVGUU6OJQBEGO0RB99DCXBXSE" hidden="1">#REF!</definedName>
    <definedName name="BExTVTLH2E1SH7Z2XBYHUOQBWWLI" localSheetId="8" hidden="1">#REF!</definedName>
    <definedName name="BExTVTLH2E1SH7Z2XBYHUOQBWWLI" hidden="1">#REF!</definedName>
    <definedName name="BExTVY3AV8ZGPEPKKY0P48BEEYLP" hidden="1">#REF!</definedName>
    <definedName name="BExTVZQLP9VFLEYQ9280W13X7E8K" hidden="1">#REF!</definedName>
    <definedName name="BExTW2FOFQX5RWFZWWBTLEPGM6XH" hidden="1">#REF!</definedName>
    <definedName name="BExTWB4LA1PODQOH4LDTHQKBN16K" hidden="1">#REF!</definedName>
    <definedName name="BExTWFX8OYD9IX59PTP73YAC8O9G" localSheetId="8" hidden="1">#REF!</definedName>
    <definedName name="BExTWFX8OYD9IX59PTP73YAC8O9G" hidden="1">#REF!</definedName>
    <definedName name="BExTWI0Q8AWXUA3ZN7I5V3QK2KM1" hidden="1">#REF!</definedName>
    <definedName name="BExTWI0R31187AOWYLZ1W1WNI84K" localSheetId="8" hidden="1">#REF!</definedName>
    <definedName name="BExTWI0R31187AOWYLZ1W1WNI84K" hidden="1">#REF!</definedName>
    <definedName name="BExTWJTGTEM42YMMOXES1DOPT9UG" localSheetId="8" hidden="1">#REF!</definedName>
    <definedName name="BExTWJTGTEM42YMMOXES1DOPT9UG" hidden="1">#REF!</definedName>
    <definedName name="BExTWJTIA3WUW1PUWXAOP9O8NKLZ" hidden="1">#REF!</definedName>
    <definedName name="BExTWTERU1SE8R3LRC2C4HQMOIB1" localSheetId="8" hidden="1">#REF!</definedName>
    <definedName name="BExTWTERU1SE8R3LRC2C4HQMOIB1" hidden="1">#REF!</definedName>
    <definedName name="BExTWW95OX07FNA01WF5MSSSFQLX" hidden="1">#REF!</definedName>
    <definedName name="BExTX476KI0RNB71XI5TYMANSGBG" hidden="1">#REF!</definedName>
    <definedName name="BExTXJ6HBAIXMMWKZTJNFDYVZCAY" hidden="1">#REF!</definedName>
    <definedName name="BExTXJ6OGNQ7PUTMLRN6BLNGQW1V" hidden="1">#REF!</definedName>
    <definedName name="BExTXO9XU41CLG2DBJ35W4ABRABK" hidden="1">#REF!</definedName>
    <definedName name="BExTXRQ32OWXUN4RYMJNLCNCT3VY" hidden="1">#REF!</definedName>
    <definedName name="BExTXT812NQT8GAEGH738U29BI0D" hidden="1">#REF!</definedName>
    <definedName name="BExTXWIP2TFPTQ76NHFOB72NICRZ" hidden="1">#REF!</definedName>
    <definedName name="BExTY0EZBV9CO00GD1HY0T1QQYU6" hidden="1">#REF!</definedName>
    <definedName name="BExTY0EZO8RWPWVT1U0JTB1JOJLT" hidden="1">#REF!</definedName>
    <definedName name="BExTY1WXTBXUD0M1NWE12NMAUGCO" localSheetId="8" hidden="1">#REF!</definedName>
    <definedName name="BExTY1WXTBXUD0M1NWE12NMAUGCO" hidden="1">#REF!</definedName>
    <definedName name="BExTY5T62H651VC86QM4X7E28JVA" hidden="1">#REF!</definedName>
    <definedName name="BExTY8T41OBZ32MRCWT76H4XO1YE" localSheetId="8" hidden="1">#REF!</definedName>
    <definedName name="BExTY8T41OBZ32MRCWT76H4XO1YE" hidden="1">#REF!</definedName>
    <definedName name="BExTYDR7AFOFE68RE7XPPFDWBQR0" localSheetId="8" hidden="1">#REF!</definedName>
    <definedName name="BExTYDR7AFOFE68RE7XPPFDWBQR0" hidden="1">#REF!</definedName>
    <definedName name="BExTYGG5U8625OJOLQOVT7WPFKXK" hidden="1">#REF!</definedName>
    <definedName name="BExTYHCJJ2NWRM1RV59FYR41534U" hidden="1">#REF!</definedName>
    <definedName name="BExTYI3LC7S0Z6SD6H45BC131D9Q" hidden="1">#REF!</definedName>
    <definedName name="BExTYKCEFJ83LZM95M1V7CSFQVEA" hidden="1">#REF!</definedName>
    <definedName name="BExTYOJGUZXHE4GQ8U356JAVSO5W" hidden="1">#REF!</definedName>
    <definedName name="BExTYPAIEJERHL8E0M07YBL0EJVR" hidden="1">#REF!</definedName>
    <definedName name="BExTYPLA9N640MFRJJQPKXT7P88M" hidden="1">#REF!</definedName>
    <definedName name="BExTYTXOL0WLUB2O9YXDUWF6PG86" localSheetId="8" hidden="1">#REF!</definedName>
    <definedName name="BExTYTXOL0WLUB2O9YXDUWF6PG86" hidden="1">#REF!</definedName>
    <definedName name="BExTYYQC6JPVUHD788EDMHHWAFGF" hidden="1">#REF!</definedName>
    <definedName name="BExTZ7F71SNTOX4LLZCK5R9VUMIJ" hidden="1">#REF!</definedName>
    <definedName name="BExTZ8X5G9S3PA4FPSNK7T69W7QT" hidden="1">#REF!</definedName>
    <definedName name="BExTZ97Y0RMR8V5BI9F2H4MFB77O" hidden="1">#REF!</definedName>
    <definedName name="BExTZK5PMCAXJL4DUIGL6H9Y8U4C" hidden="1">#REF!</definedName>
    <definedName name="BExTZKB6L5SXV5UN71YVTCBEIGWY" hidden="1">#REF!</definedName>
    <definedName name="BExTZLICVKK4NBJFEGL270GJ2VQO" hidden="1">#REF!</definedName>
    <definedName name="BExTZO2596CBZKPI7YNA1QQNPAIJ" hidden="1">#REF!</definedName>
    <definedName name="BExTZOCRFEHAKSD54FTERIGMS5CU" hidden="1">#REF!</definedName>
    <definedName name="BExTZY8TDV4U7FQL7O10G6VKWKPJ" hidden="1">#REF!</definedName>
    <definedName name="BExTZYJLFDCI3PLGJDL5QVO7NKUF" hidden="1">#REF!</definedName>
    <definedName name="BExU02AEI4UE1LAAC7IYO513H2YG" hidden="1">#REF!</definedName>
    <definedName name="BExU02QNT4LT7H9JPUC4FXTLVGZT" hidden="1">#REF!</definedName>
    <definedName name="BExU061CJBFQ968WXH8SXE9AKTG2" hidden="1">#REF!</definedName>
    <definedName name="BExU084VNMWH5Q73DZNNOTHOSDN8" hidden="1">#REF!</definedName>
    <definedName name="BExU091A10QVE7583Q5CAHW138RD" localSheetId="8" hidden="1">#REF!</definedName>
    <definedName name="BExU091A10QVE7583Q5CAHW138RD" hidden="1">#REF!</definedName>
    <definedName name="BExU0A8EHXCBVH7RP654RJ3SBZLI" hidden="1">#REF!</definedName>
    <definedName name="BExU0BFJJQO1HJZKI14QGOQ6JROO" hidden="1">#REF!</definedName>
    <definedName name="BExU0DZC8FUUUZEET3KQ1N072ONZ" hidden="1">#REF!</definedName>
    <definedName name="BExU0FH5WTGW8MRFUFMDDSMJ6YQ5" hidden="1">#REF!</definedName>
    <definedName name="BExU0FMLYKBHXH0JHAD0FA64EF92" localSheetId="8" hidden="1">#REF!</definedName>
    <definedName name="BExU0FMLYKBHXH0JHAD0FA64EF92" hidden="1">#REF!</definedName>
    <definedName name="BExU0GDOIL9U33QGU9ZU3YX3V1I4" hidden="1">#REF!</definedName>
    <definedName name="BExU0HKTO8WJDQDWRTUK5TETM3HS" hidden="1">#REF!</definedName>
    <definedName name="BExU0MTJQPE041ZN7H8UKGV6MZT7" hidden="1">#REF!</definedName>
    <definedName name="BExU0ORR6KMYNYV877UXDTIWLGUN" hidden="1">#REF!</definedName>
    <definedName name="BExU0WEUJ8NWU46XSD668WY10TXZ" hidden="1">#REF!</definedName>
    <definedName name="BExU0XB6XCXI4SZ92YEUFMW4TAXF" localSheetId="8" hidden="1">#REF!</definedName>
    <definedName name="BExU0XB6XCXI4SZ92YEUFMW4TAXF" hidden="1">#REF!</definedName>
    <definedName name="BExU0ZUUFYHLUK4M4E8GLGIBBNT0" hidden="1">#REF!</definedName>
    <definedName name="BExU112063IOKZXYX861TWSO582C" hidden="1">#REF!</definedName>
    <definedName name="BExU147D6RPG6ZVTSXRKFSVRHSBG" hidden="1">#REF!</definedName>
    <definedName name="BExU16R10W1SOAPNG4CDJ01T7JRE" hidden="1">#REF!</definedName>
    <definedName name="BExU16WH2MYNS7O9ZNAMW1GORIVF" hidden="1">#REF!</definedName>
    <definedName name="BExU17CKOR3GNIHDNVLH9L1IOJS9" hidden="1">#REF!</definedName>
    <definedName name="BExU1DN4RELJSQTQUF8YK7BNGXKO" localSheetId="8" hidden="1">#REF!</definedName>
    <definedName name="BExU1DN4RELJSQTQUF8YK7BNGXKO" hidden="1">#REF!</definedName>
    <definedName name="BExU1FAL98OL7O7QKM57131JQNG7" hidden="1">#REF!</definedName>
    <definedName name="BExU1GXUTLRPJN4MRINLAPHSZQFG" hidden="1">#REF!</definedName>
    <definedName name="BExU1IL9AOHFO85BZB6S60DK3N8H" hidden="1">#REF!</definedName>
    <definedName name="BExU1NOPS09CLFZL1O31RAF9BQNQ" hidden="1">#REF!</definedName>
    <definedName name="BExU1PH9MOEX1JZVZ3D5M9DXB191" hidden="1">#REF!</definedName>
    <definedName name="BExU1QZEEKJA35IMEOLOJ3ODX0ZA" hidden="1">#REF!</definedName>
    <definedName name="BExU1TZ9TT1OT2M089ECHFD8AGX2" hidden="1">#REF!</definedName>
    <definedName name="BExU1VMJKZVWUXX1K7G1AEBD7L95" hidden="1">#REF!</definedName>
    <definedName name="BExU1VRURIWWVJ95O40WA23LMTJD" hidden="1">#REF!</definedName>
    <definedName name="BExU21RNKU48IRLQGWBR983MAJ26" hidden="1">#REF!</definedName>
    <definedName name="BExU245YN17VNY3PXIPZQZ7WQ9SM" hidden="1">#REF!</definedName>
    <definedName name="BExU25TDW26XELJGXBA3K80PYT2Y" localSheetId="8" hidden="1">#REF!</definedName>
    <definedName name="BExU25TDW26XELJGXBA3K80PYT2Y" hidden="1">#REF!</definedName>
    <definedName name="BExU2941Z7GTMQ5O1VVPEU7YRR7P" localSheetId="8" hidden="1">#REF!</definedName>
    <definedName name="BExU2941Z7GTMQ5O1VVPEU7YRR7P" hidden="1">#REF!</definedName>
    <definedName name="BExU2FPG44HL0T7MP8JOJ1Z82FW2" hidden="1">#REF!</definedName>
    <definedName name="BExU2M5CK6XK55UIHDVYRXJJJRI4" hidden="1">#REF!</definedName>
    <definedName name="BExU2TXVT25ZTOFQAF6CM53Z1RLF" hidden="1">#REF!</definedName>
    <definedName name="BExU2UE4LHN3AD1P1CJSPYNGYVJ0" hidden="1">#REF!</definedName>
    <definedName name="BExU2XZLYIU19G7358W5T9E87AFR" hidden="1">#REF!</definedName>
    <definedName name="BExU3B66MCKJFSKT3HL8B5EJGVX0" hidden="1">#REF!</definedName>
    <definedName name="BExU3BRRAWSERMSAK2EBG8EHI1CA" localSheetId="8" hidden="1">#REF!</definedName>
    <definedName name="BExU3BRRAWSERMSAK2EBG8EHI1CA" hidden="1">#REF!</definedName>
    <definedName name="BExU3D9R4DRJADX0E7E2OZ3T6J9D" localSheetId="8" hidden="1">#REF!</definedName>
    <definedName name="BExU3D9R4DRJADX0E7E2OZ3T6J9D" hidden="1">#REF!</definedName>
    <definedName name="BExU3HX1IEJGNDJI6N6CLR8ZJK9D" localSheetId="8" hidden="1">#REF!</definedName>
    <definedName name="BExU3HX1IEJGNDJI6N6CLR8ZJK9D" hidden="1">#REF!</definedName>
    <definedName name="BExU3LNZJ5SSRE10RGSTEJZN0LPW" hidden="1">#REF!</definedName>
    <definedName name="BExU3QWQVA35KFNEQYRLU0ZG2TZ0" localSheetId="8" hidden="1">#REF!</definedName>
    <definedName name="BExU3QWQVA35KFNEQYRLU0ZG2TZ0" hidden="1">#REF!</definedName>
    <definedName name="BExU3RIAAE7GN5SOU59WOCHYB7IW" hidden="1">#REF!</definedName>
    <definedName name="BExU3UNI9NR1RNZR07NSLSZMDOQQ" hidden="1">#REF!</definedName>
    <definedName name="BExU401R18N6XKZKL7CNFOZQCM14" hidden="1">#REF!</definedName>
    <definedName name="BExU42QVGY7TK39W1BIN6CDRG2OE" hidden="1">#REF!</definedName>
    <definedName name="BExU44P2AEX6PD8VC4ISCROUCQSP" hidden="1">#REF!</definedName>
    <definedName name="BExU47OZMS6TCWMEHHF0UCSFLLPI" hidden="1">#REF!</definedName>
    <definedName name="BExU4D36E8TXN0M8KSNGEAFYP4DQ" hidden="1">#REF!</definedName>
    <definedName name="BExU4DU1I0SLJMY0PIYAY11URZWL" hidden="1">#REF!</definedName>
    <definedName name="BExU4EVRAW9U53WDOULXY35HR9XP" hidden="1">#REF!</definedName>
    <definedName name="BExU4G31RRVLJ3AC6E1FNEFMXM3O" hidden="1">#REF!</definedName>
    <definedName name="BExU4G8COWVTU30QKUKKIOYRLEN0" hidden="1">#REF!</definedName>
    <definedName name="BExU4GDVLPUEWBA4MRYRTQAUNO7B" hidden="1">#REF!</definedName>
    <definedName name="BExU4I148DA7PRCCISLWQ6ABXFK6" hidden="1">#REF!</definedName>
    <definedName name="BExU4L101H2KQHVKCKQ4PBAWZV6K" hidden="1">#REF!</definedName>
    <definedName name="BExU4MIZMMFZZWTK4WHGFZSMWPS8" localSheetId="8" hidden="1">#REF!</definedName>
    <definedName name="BExU4MIZMMFZZWTK4WHGFZSMWPS8" hidden="1">#REF!</definedName>
    <definedName name="BExU4NA00RRRBGRT6TOB0MXZRCRZ" hidden="1">#REF!</definedName>
    <definedName name="BExU4TPVPQNM0GDHIWYPD3HEMAH1" hidden="1">#REF!</definedName>
    <definedName name="BExU4TV8K83IXN8BHMATUZ11QQZ9" hidden="1">#REF!</definedName>
    <definedName name="BExU4XBDYCNPJ9EOLT8ROUDB6UU2" hidden="1">#REF!</definedName>
    <definedName name="BExU4XWZRGDFLCPK6HI2B3EXIQNU" localSheetId="8" hidden="1">#REF!</definedName>
    <definedName name="BExU4XWZRGDFLCPK6HI2B3EXIQNU" hidden="1">#REF!</definedName>
    <definedName name="BExU4Z44UJSXLUGX2NOOL85DKW3H" hidden="1">#REF!</definedName>
    <definedName name="BExU51IFNZXPBDES28457LR8X60M" hidden="1">#REF!</definedName>
    <definedName name="BExU529CJ5AWHU0WNPZUYLVVT9GO" localSheetId="8" hidden="1">#REF!</definedName>
    <definedName name="BExU529CJ5AWHU0WNPZUYLVVT9GO" hidden="1">#REF!</definedName>
    <definedName name="BExU529I6YHVOG83TJHWSILIQU1S" hidden="1">#REF!</definedName>
    <definedName name="BExU57YCIKPRD8QWL6EU0YR3NG3J" hidden="1">#REF!</definedName>
    <definedName name="BExU5ACMN9TNBPLZSHIU21TRP49O" hidden="1">#REF!</definedName>
    <definedName name="BExU5DSTBWXLN6E59B757KRWRI6E" hidden="1">#REF!</definedName>
    <definedName name="BExU5N8L0E2WDEBA4ITD4A8FT8ON" localSheetId="8" hidden="1">#REF!</definedName>
    <definedName name="BExU5N8L0E2WDEBA4ITD4A8FT8ON" hidden="1">#REF!</definedName>
    <definedName name="BExU5SMTVT8J53P00UNFQOYWE6KQ" hidden="1">#REF!</definedName>
    <definedName name="BExU5TDWM8NNDHYPQ7OQODTQ368A" hidden="1">#REF!</definedName>
    <definedName name="BExU5V6GZWGHCDG9TBTLB892UIT8" localSheetId="8" hidden="1">#REF!</definedName>
    <definedName name="BExU5V6GZWGHCDG9TBTLB892UIT8" hidden="1">#REF!</definedName>
    <definedName name="BExU5X4OX1V1XHS6WSSORVQPP6Z3" hidden="1">#REF!</definedName>
    <definedName name="BExU5XVPARTFMRYHNUTBKDIL4UJN" hidden="1">#REF!</definedName>
    <definedName name="BExU66KMFBAP8JCVG9VM1RD1TNFF" hidden="1">#REF!</definedName>
    <definedName name="BExU6767P7NVGY2LPD7VSY503R77" hidden="1">#REF!</definedName>
    <definedName name="BExU67BIP4IDGLTCZMUKNEA7DFWZ" localSheetId="8" hidden="1">#REF!</definedName>
    <definedName name="BExU67BIP4IDGLTCZMUKNEA7DFWZ" hidden="1">#REF!</definedName>
    <definedName name="BExU68IOM3CB3TACNAE9565TW7SH" hidden="1">#REF!</definedName>
    <definedName name="BExU6AM82KN21E82HMWVP3LWP9IL" hidden="1">#REF!</definedName>
    <definedName name="BExU6FEU1MRHU98R9YOJC5OKUJ6L" hidden="1">#REF!</definedName>
    <definedName name="BExU6HNTXIK0OTCGXHQ5HZEN1L4C" hidden="1">#REF!</definedName>
    <definedName name="BExU6IPI9WDMPCSH44XA343G9UUN" hidden="1">#REF!</definedName>
    <definedName name="BExU6KIAJ663Y8W8QMU4HCF183DF" hidden="1">#REF!</definedName>
    <definedName name="BExU6KT19B4PG6SHXFBGBPLM66KT" hidden="1">#REF!</definedName>
    <definedName name="BExU6MWL30NHY8I1G97R2SU1TD1Y" localSheetId="8" hidden="1">#REF!</definedName>
    <definedName name="BExU6MWL30NHY8I1G97R2SU1TD1Y" hidden="1">#REF!</definedName>
    <definedName name="BExU6N7DDWVJQHDBXT8MAWOF9EDJ" hidden="1">#REF!</definedName>
    <definedName name="BExU6P5LP58TMUB2TCB006UEJ3X8" hidden="1">#REF!</definedName>
    <definedName name="BExU6PAVKIOAIMQ9XQIHHF1SUAGO" hidden="1">#REF!</definedName>
    <definedName name="BExU6WXXC7SSQDMHSLUN5C2V4IYX" hidden="1">#REF!</definedName>
    <definedName name="BExU73387E74XE8A9UKZLZNJYY65" hidden="1">#REF!</definedName>
    <definedName name="BExU73JBGHS9F1C004VP63G29K44" hidden="1">#REF!</definedName>
    <definedName name="BExU76ZHCJM8I7VSICCMSTC33O6U" hidden="1">#REF!</definedName>
    <definedName name="BExU77L1ZM2BRJB4M5RWTLREPRBO" localSheetId="8" hidden="1">#REF!</definedName>
    <definedName name="BExU77L1ZM2BRJB4M5RWTLREPRBO" hidden="1">#REF!</definedName>
    <definedName name="BExU79J52LZYE77AM4OTV5OVMKL1" localSheetId="8" hidden="1">#REF!</definedName>
    <definedName name="BExU79J52LZYE77AM4OTV5OVMKL1" hidden="1">#REF!</definedName>
    <definedName name="BExU7AVRSMWXISHXXUY8HW4IQI6J" hidden="1">#REF!</definedName>
    <definedName name="BExU7BBTUF8BQ42DSGM94X5TG5GF" hidden="1">#REF!</definedName>
    <definedName name="BExU7DVMNLPZ8DIZKTOS0GLZESXN" localSheetId="8" hidden="1">#REF!</definedName>
    <definedName name="BExU7DVMNLPZ8DIZKTOS0GLZESXN" hidden="1">#REF!</definedName>
    <definedName name="BExU7F2T9J8XGOFB2NY9IAM1WIX0" localSheetId="8" hidden="1">#REF!</definedName>
    <definedName name="BExU7F2T9J8XGOFB2NY9IAM1WIX0" hidden="1">#REF!</definedName>
    <definedName name="BExU7HH4EAHFQHT4AXKGWAWZP3I0" hidden="1">#REF!</definedName>
    <definedName name="BExU7MF1ZVPDHOSMCAXOSYICHZ4I" hidden="1">#REF!</definedName>
    <definedName name="BExU7O2BJ6D5YCKEL6FD2EFCWYRX" hidden="1">#REF!</definedName>
    <definedName name="BExU7Q0JS9YIUKUPNSSAIDK2KJAV" hidden="1">#REF!</definedName>
    <definedName name="BExU7T0G03QMXCBNGJ6DSVY060LQ" localSheetId="8" hidden="1">#REF!</definedName>
    <definedName name="BExU7T0G03QMXCBNGJ6DSVY060LQ" hidden="1">#REF!</definedName>
    <definedName name="BExU7VUWIK7942LR3XULMKX3BJWZ" localSheetId="8" hidden="1">#REF!</definedName>
    <definedName name="BExU7VUWIK7942LR3XULMKX3BJWZ" hidden="1">#REF!</definedName>
    <definedName name="BExU7WLWK4AHRUGOC6O3SOPG90WH" hidden="1">#REF!</definedName>
    <definedName name="BExU80225XEMO915UIGK77I95390" localSheetId="8" hidden="1">#REF!</definedName>
    <definedName name="BExU80225XEMO915UIGK77I95390" hidden="1">#REF!</definedName>
    <definedName name="BExU80I6AE5OU7P7F5V7HWIZBJ4P" hidden="1">#REF!</definedName>
    <definedName name="BExU837A98WP2OHJZNS9UCOVFA6V" hidden="1">#REF!</definedName>
    <definedName name="BExU85AUW6RSKQIVXFO60KKE5T20" localSheetId="8" hidden="1">#REF!</definedName>
    <definedName name="BExU85AUW6RSKQIVXFO60KKE5T20" hidden="1">#REF!</definedName>
    <definedName name="BExU86NB26MCPYIISZ36HADONGT2" hidden="1">#REF!</definedName>
    <definedName name="BExU87JNFVJ19DEGXSWMM6JW15YA" localSheetId="8" hidden="1">#REF!</definedName>
    <definedName name="BExU87JNFVJ19DEGXSWMM6JW15YA" hidden="1">#REF!</definedName>
    <definedName name="BExU87ZXKYDWSDPAZAYP8LYY7RG4" hidden="1">#REF!</definedName>
    <definedName name="BExU885EZZNSZV3GP298UJ8LB7OL" hidden="1">#REF!</definedName>
    <definedName name="BExU89XZ24NAEGSD8GN6NKO3596G" localSheetId="8" hidden="1">#REF!</definedName>
    <definedName name="BExU89XZ24NAEGSD8GN6NKO3596G" hidden="1">#REF!</definedName>
    <definedName name="BExU8DJG9M5QODJJF1JLA1Y50PWL" localSheetId="8" hidden="1">#REF!</definedName>
    <definedName name="BExU8DJG9M5QODJJF1JLA1Y50PWL" hidden="1">#REF!</definedName>
    <definedName name="BExU8DU8W13ZJZCMRRL5Z2R1MRB8" hidden="1">#REF!</definedName>
    <definedName name="BExU8FSAUP9TUZ1NO9WXK80QPHWV" hidden="1">#REF!</definedName>
    <definedName name="BExU8FSGATXULCM675VF1KYAHGP1" localSheetId="8" hidden="1">#REF!</definedName>
    <definedName name="BExU8FSGATXULCM675VF1KYAHGP1" hidden="1">#REF!</definedName>
    <definedName name="BExU8IXN255KCFMS3RP5ODNT0AWE" localSheetId="8" hidden="1">#REF!</definedName>
    <definedName name="BExU8IXN255KCFMS3RP5ODNT0AWE" hidden="1">#REF!</definedName>
    <definedName name="BExU8KFLAN778MBN93NYZB0FV30G" hidden="1">#REF!</definedName>
    <definedName name="BExU8OMNBTAQQ0RA2FDDS4CP8WO8" hidden="1">#REF!</definedName>
    <definedName name="BExU8S2O68RLH6LUDGJKFXMKKE5J" localSheetId="8" hidden="1">#REF!</definedName>
    <definedName name="BExU8S2O68RLH6LUDGJKFXMKKE5J" hidden="1">#REF!</definedName>
    <definedName name="BExU8UX9JX3XLB47YZ8GFXE0V7R2" hidden="1">#REF!</definedName>
    <definedName name="BExU8V2QEONF9R0X2D3R15MZ0GVY" localSheetId="8" hidden="1">#REF!</definedName>
    <definedName name="BExU8V2QEONF9R0X2D3R15MZ0GVY" hidden="1">#REF!</definedName>
    <definedName name="BExU91DC3DGKPZD6LTER2IRTF89C" hidden="1">#REF!</definedName>
    <definedName name="BExU930KY4R3L0F7X8MUT4650PWE" hidden="1">#REF!</definedName>
    <definedName name="BExU96M1J7P9DZQ3S9H0C12KGYTW" hidden="1">#REF!</definedName>
    <definedName name="BExU9B98E0WUJ89KDTIKL2K0JEM7" localSheetId="8" hidden="1">#REF!</definedName>
    <definedName name="BExU9B98E0WUJ89KDTIKL2K0JEM7" hidden="1">#REF!</definedName>
    <definedName name="BExU9F05OR1GZ3057R6UL3WPEIYI" hidden="1">#REF!</definedName>
    <definedName name="BExU9GCSO5YILIKG6VAHN13DL75K" hidden="1">#REF!</definedName>
    <definedName name="BExU9KJOZLO15N11MJVN782NFGJ0" hidden="1">#REF!</definedName>
    <definedName name="BExU9LG29XU2K1GNKRO4438JYQZE" hidden="1">#REF!</definedName>
    <definedName name="BExU9QU8YUABEJP5N18FRU11PFKG" localSheetId="8" hidden="1">#REF!</definedName>
    <definedName name="BExU9QU8YUABEJP5N18FRU11PFKG" hidden="1">#REF!</definedName>
    <definedName name="BExU9R51JJS04X4XZ0ZRBYUUIBHF" hidden="1">#REF!</definedName>
    <definedName name="BExU9RW36I5Z6JIXUIUB3PJH86LT" hidden="1">#REF!</definedName>
    <definedName name="BExUA28AO7OWDG3H23Q0CL4B7BHW" hidden="1">#REF!</definedName>
    <definedName name="BExUA5O923FFNEBY8BPO1TU3QGBM" hidden="1">#REF!</definedName>
    <definedName name="BExUA6Q4K25VH452AQ3ZIRBCMS61" hidden="1">#REF!</definedName>
    <definedName name="BExUA82QR3GO9SQ0P6XZSM234UTR" hidden="1">#REF!</definedName>
    <definedName name="BExUAFV4JMBSM2SKBQL9NHL0NIBS" hidden="1">#REF!</definedName>
    <definedName name="BExUAG0KRZB7VEZIB049WGI4FDVL" hidden="1">#REF!</definedName>
    <definedName name="BExUALK9BA26N1B7Y1T3WE90ZMH0" hidden="1">#REF!</definedName>
    <definedName name="BExUAMRGG79KGUTML053LJ311F9H" hidden="1">#REF!</definedName>
    <definedName name="BExUAMWQODKBXMRH1QCMJLJBF8M7" hidden="1">#REF!</definedName>
    <definedName name="BExUAPWOBEUU38UVGI0RJKR5N9I3" hidden="1">#REF!</definedName>
    <definedName name="BExUAX8WS5OPVLCDXRGKTU2QMTFO" hidden="1">#REF!</definedName>
    <definedName name="BExUB33FJHDI3XKPQSVL75HO9RQ3" localSheetId="8" hidden="1">#REF!</definedName>
    <definedName name="BExUB33FJHDI3XKPQSVL75HO9RQ3" hidden="1">#REF!</definedName>
    <definedName name="BExUB3JHDL430WKBOVB9KNTSWU3Q" localSheetId="8" hidden="1">#REF!</definedName>
    <definedName name="BExUB3JHDL430WKBOVB9KNTSWU3Q" hidden="1">#REF!</definedName>
    <definedName name="BExUB8HLEXSBVPZ5AXNQEK96F1N4" hidden="1">#REF!</definedName>
    <definedName name="BExUBCDVZIEA7YT0LPSMHL5ZSERQ" hidden="1">#REF!</definedName>
    <definedName name="BExUBIZ8D9R2ILETLIT3D96ZD3ZJ" hidden="1">#REF!</definedName>
    <definedName name="BExUBKXBUCN760QYU7Q8GESBWOQH" hidden="1">#REF!</definedName>
    <definedName name="BExUBL83ED0P076RN9RJ8P1MZ299" hidden="1">#REF!</definedName>
    <definedName name="BExUBN0UGBJ5MXA93PIILDGQMY55" hidden="1">#REF!</definedName>
    <definedName name="BExUBN64LPXX4Z738WO97YQ5MXMX" localSheetId="8" hidden="1">#REF!</definedName>
    <definedName name="BExUBN64LPXX4Z738WO97YQ5MXMX" hidden="1">#REF!</definedName>
    <definedName name="BExUBNRVHXRIJBHKA2TWL10IFYUF" localSheetId="8" hidden="1">#REF!</definedName>
    <definedName name="BExUBNRVHXRIJBHKA2TWL10IFYUF" hidden="1">#REF!</definedName>
    <definedName name="BExUBPV8GB3LLCKQZCK9OFOFPN4G" localSheetId="8" hidden="1">#REF!</definedName>
    <definedName name="BExUBPV8GB3LLCKQZCK9OFOFPN4G" hidden="1">#REF!</definedName>
    <definedName name="BExUBRNYV0CHZH7F6IQ222AZCL47" localSheetId="8" hidden="1">#REF!</definedName>
    <definedName name="BExUBRNYV0CHZH7F6IQ222AZCL47" hidden="1">#REF!</definedName>
    <definedName name="BExUBY9C7RFN5NOJ5NH3OUJVWY7F" hidden="1">#REF!</definedName>
    <definedName name="BExUC0YHBSPPXWBKD1FAX8XCC130" hidden="1">#REF!</definedName>
    <definedName name="BExUC2LWCAG065EQVTSWWEG6XUW6" hidden="1">#REF!</definedName>
    <definedName name="BExUC623BDYEODBN0N4DO6PJQ7NU" hidden="1">#REF!</definedName>
    <definedName name="BExUC8WH8TCKBB5313JGYYQ1WFLT" hidden="1">#REF!</definedName>
    <definedName name="BExUCAEGQZ6PB4AG64761OAR17RY" localSheetId="8" hidden="1">#REF!</definedName>
    <definedName name="BExUCAEGQZ6PB4AG64761OAR17RY" hidden="1">#REF!</definedName>
    <definedName name="BExUCEQT0YL51FKSGJBM6S9QAPZY" hidden="1">#REF!</definedName>
    <definedName name="BExUCF72BIYL0J7AHX7OU1N83R6S" hidden="1">#REF!</definedName>
    <definedName name="BExUCFCDK6SPH86I6STXX8X3WMC4" hidden="1">#REF!</definedName>
    <definedName name="BExUCHALQATD2GL6094FY0GD8JAM" hidden="1">#REF!</definedName>
    <definedName name="BExUCIN2A5XI59UERQ8PWA7F4UU6" hidden="1">#REF!</definedName>
    <definedName name="BExUCJZODSBWXILL5HFVK2IT8KTF" hidden="1">#REF!</definedName>
    <definedName name="BExUCLC6AQ5KR6LXSAXV4QQ8ASVG" hidden="1">#REF!</definedName>
    <definedName name="BExUCPDWWM9S8AKKS7ACY45HFYD2" hidden="1">#REF!</definedName>
    <definedName name="BExUD4IOJ12X3PJG5WXNNGDRCKAP" hidden="1">#REF!</definedName>
    <definedName name="BExUD6GXZNN1BLJXOEVXFW2KADVR" hidden="1">#REF!</definedName>
    <definedName name="BExUD90KAXUQLINZKGUA7TAXH8V6" localSheetId="8" hidden="1">#REF!</definedName>
    <definedName name="BExUD90KAXUQLINZKGUA7TAXH8V6" hidden="1">#REF!</definedName>
    <definedName name="BExUD9WX9BWK72UWVSLYZJLAY5VY" hidden="1">#REF!</definedName>
    <definedName name="BExUDATB1DKZOFUV9TS2UJCIOB7C" hidden="1">#REF!</definedName>
    <definedName name="BExUDBEUJH9IACZDBL1VAUWPG0QW" hidden="1">#REF!</definedName>
    <definedName name="BExUDE3ZQI1DKDM1A40YSWSJTNTW" hidden="1">#REF!</definedName>
    <definedName name="BExUDEV0CYVO7Y5IQQBEJ6FUY9S6" hidden="1">#REF!</definedName>
    <definedName name="BExUDLAX1S9V8CUBIHZBGRMQKVX4" localSheetId="8" hidden="1">#REF!</definedName>
    <definedName name="BExUDLAX1S9V8CUBIHZBGRMQKVX4" hidden="1">#REF!</definedName>
    <definedName name="BExUDOASJSMPK7L6ZZQNMFMERMJM" hidden="1">#REF!</definedName>
    <definedName name="BExUDQ3JPLF15XXZMZ6T43VLXCV3" localSheetId="8" hidden="1">#REF!</definedName>
    <definedName name="BExUDQ3JPLF15XXZMZ6T43VLXCV3" hidden="1">#REF!</definedName>
    <definedName name="BExUDWOXQGIZW0EAIIYLQUPXF8YV" hidden="1">#REF!</definedName>
    <definedName name="BExUDXAIC17W1FUU8Z10XUAVB7CS" hidden="1">#REF!</definedName>
    <definedName name="BExUE5OMY7OAJQ9WR8C8HG311ORP" hidden="1">#REF!</definedName>
    <definedName name="BExUEFKOQWXXGRNLAOJV2BJ66UB8" hidden="1">#REF!</definedName>
    <definedName name="BExUEI9S2XSK8U1DN61NFJH3VAYI" hidden="1">#REF!</definedName>
    <definedName name="BExUEJGX3OQQP5KFRJSRCZ70EI9V" hidden="1">#REF!</definedName>
    <definedName name="BExUEYR71COFS2X8PDNU21IPMQEU" hidden="1">#REF!</definedName>
    <definedName name="BExVPRLJ9I6RX45EDVFSQGCPJSOK" hidden="1">#REF!</definedName>
    <definedName name="BExVPXW4DPLVS2UZQAC99RNMZT86" hidden="1">#REF!</definedName>
    <definedName name="BExVR15ITEN8TF2H5MGLG77YNGFE" localSheetId="8" hidden="1">#REF!</definedName>
    <definedName name="BExVR15ITEN8TF2H5MGLG77YNGFE" hidden="1">#REF!</definedName>
    <definedName name="BExVR21X4VDDPV478CKQCRNVCRAA" hidden="1">#REF!</definedName>
    <definedName name="BExVR7G5EBCF11P7UDSKGRSCW2DT" localSheetId="8" hidden="1">#REF!</definedName>
    <definedName name="BExVR7G5EBCF11P7UDSKGRSCW2DT" hidden="1">#REF!</definedName>
    <definedName name="BExVR8NAH73TVNEQ6TXX8GAYA4RX" localSheetId="8" hidden="1">#REF!</definedName>
    <definedName name="BExVR8NAH73TVNEQ6TXX8GAYA4RX" hidden="1">#REF!</definedName>
    <definedName name="BExVR9ZRJU7ZZYKWKM7FMFKNEG99" hidden="1">#REF!</definedName>
    <definedName name="BExVS6TAND82CBJNY4L4SO9LKEMV" localSheetId="8" hidden="1">#REF!</definedName>
    <definedName name="BExVS6TAND82CBJNY4L4SO9LKEMV" hidden="1">#REF!</definedName>
    <definedName name="BExVSCYFGNFGMF7KYK20PSOJ0YAW" hidden="1">#REF!</definedName>
    <definedName name="BExVSL787C8E4HFQZ2NVLT35I2XV" hidden="1">#REF!</definedName>
    <definedName name="BExVSTFTVV14SFGHQUOJL5SQ5TX9" hidden="1">#REF!</definedName>
    <definedName name="BExVT3MPE8LQ5JFN3HQIFKSQ80U4" hidden="1">#REF!</definedName>
    <definedName name="BExVT7TRK3NZHPME2TFBXOF1WBR9" hidden="1">#REF!</definedName>
    <definedName name="BExVT7Z1MQ7DYRZ5FKCYETEYLJJR" localSheetId="8" hidden="1">#REF!</definedName>
    <definedName name="BExVT7Z1MQ7DYRZ5FKCYETEYLJJR" hidden="1">#REF!</definedName>
    <definedName name="BExVT8Q3UDNWYEPCX9KILJUPX6IM" localSheetId="8" hidden="1">#REF!</definedName>
    <definedName name="BExVT8Q3UDNWYEPCX9KILJUPX6IM" hidden="1">#REF!</definedName>
    <definedName name="BExVT9H0R0T7WGQAAC0HABMG54YM" hidden="1">#REF!</definedName>
    <definedName name="BExVTCMDDEDGLUIMUU6BSFHEWTOP" hidden="1">#REF!</definedName>
    <definedName name="BExVTCMDQMLKRA2NQR72XU6Y54IK" hidden="1">#REF!</definedName>
    <definedName name="BExVTCRV8FQ5U9OYWWL44N6KFNHU" hidden="1">#REF!</definedName>
    <definedName name="BExVTGYWZKSBYXPSJAWAJIK2PD2U" hidden="1">#REF!</definedName>
    <definedName name="BExVTJIIJRH7LRJG2Y0XPIDQ9R7R" hidden="1">#REF!</definedName>
    <definedName name="BExVTL0IH2PKM7AQXP60XXY1EFW1" hidden="1">#REF!</definedName>
    <definedName name="BExVTNESHPVG0A0KZ7BRX26MS0PF" hidden="1">#REF!</definedName>
    <definedName name="BExVTTJVTNRSBHBTUZ78WG2JM5MK" hidden="1">#REF!</definedName>
    <definedName name="BExVTUAYUR922VXBNO4MN569BULR" localSheetId="8" hidden="1">#REF!</definedName>
    <definedName name="BExVTUAYUR922VXBNO4MN569BULR" hidden="1">#REF!</definedName>
    <definedName name="BExVTW3OZ04QHKTFPPDM5JDNT6C1" localSheetId="8" hidden="1">#REF!</definedName>
    <definedName name="BExVTW3OZ04QHKTFPPDM5JDNT6C1" hidden="1">#REF!</definedName>
    <definedName name="BExVTX5DD3EVA4SS94M6TWIZCXQR" hidden="1">#REF!</definedName>
    <definedName name="BExVTXLMYR87BC04D1ERALPUFVPG" hidden="1">#REF!</definedName>
    <definedName name="BExVU5JHDQ2AWTDI8313D5BFB6IT" hidden="1">#REF!</definedName>
    <definedName name="BExVU6QMM5J49S1312H8AMNK3Y8U" localSheetId="8" hidden="1">#REF!</definedName>
    <definedName name="BExVU6QMM5J49S1312H8AMNK3Y8U" hidden="1">#REF!</definedName>
    <definedName name="BExVUL9V3H8ZF6Y72LQBBN639YAA" hidden="1">#REF!</definedName>
    <definedName name="BExVUYBB33M8GXCLAKHCUBXNA4LM" hidden="1">#REF!</definedName>
    <definedName name="BExVV5T14N2HZIK7HQ4P2KG09U0J" hidden="1">#REF!</definedName>
    <definedName name="BExVV7R410VYLADLX9LNG63ID6H1" hidden="1">#REF!</definedName>
    <definedName name="BExVV8SWXYKK1LSH6LLMYJ65EI4Q" hidden="1">#REF!</definedName>
    <definedName name="BExVVA033OB71P301YYKYS90S2LK" localSheetId="8" hidden="1">#REF!</definedName>
    <definedName name="BExVVA033OB71P301YYKYS90S2LK" hidden="1">#REF!</definedName>
    <definedName name="BExVVCEED4JEKF59OV0G3T4XFMFO" hidden="1">#REF!</definedName>
    <definedName name="BExVVJAKZZA7HKK1EKZO338VRB7D" hidden="1">#REF!</definedName>
    <definedName name="BExVVM518U25MW6FZ4SKOYG32G06" hidden="1">#REF!</definedName>
    <definedName name="BExVVPFO2J7FMSRPD36909HN4BZJ" hidden="1">#REF!</definedName>
    <definedName name="BExVVQ19AQ3VCARJOC38SF7OYE9Y" hidden="1">#REF!</definedName>
    <definedName name="BExVVQ19TAECID45CS4HXT1RD3AQ" hidden="1">#REF!</definedName>
    <definedName name="BExVVXJ04N6U8OV2TPPCK6M1NQUB" localSheetId="8" hidden="1">#REF!</definedName>
    <definedName name="BExVVXJ04N6U8OV2TPPCK6M1NQUB" hidden="1">#REF!</definedName>
    <definedName name="BExVW3YV5XGIVJ97UUPDJGJ2P15B" hidden="1">#REF!</definedName>
    <definedName name="BExVW5X571GEYR5SCU1Z2DHKWM79" hidden="1">#REF!</definedName>
    <definedName name="BExVW6YTKA098AF57M4PHNQ54XMH" hidden="1">#REF!</definedName>
    <definedName name="BExVWINKCH0V0NUWH363SMXAZE62" hidden="1">#REF!</definedName>
    <definedName name="BExVWINLHFTA1QT02PQWIVPZ6DFV" hidden="1">#REF!</definedName>
    <definedName name="BExVWYU8EK669NP172GEIGCTVPPA" hidden="1">#REF!</definedName>
    <definedName name="BExVX3HJPV9ZPAY12RMBV261NE68" localSheetId="8" hidden="1">#REF!</definedName>
    <definedName name="BExVX3HJPV9ZPAY12RMBV261NE68" hidden="1">#REF!</definedName>
    <definedName name="BExVX3MVJ0GHWPP1EL59ZQNKMX0B" hidden="1">#REF!</definedName>
    <definedName name="BExVX3XN2DRJKL8EDBIG58RYQ36R" hidden="1">#REF!</definedName>
    <definedName name="BExVXDZ63PUART77BBR5SI63TPC6" hidden="1">#REF!</definedName>
    <definedName name="BExVXG81AS5ZPVVVS127FO24P7X2" localSheetId="8" hidden="1">#REF!</definedName>
    <definedName name="BExVXG81AS5ZPVVVS127FO24P7X2" hidden="1">#REF!</definedName>
    <definedName name="BExVXHKI6LFYMGWISMPACMO247HL" hidden="1">#REF!</definedName>
    <definedName name="BExVXLX2BZ5EF2X6R41BTKRJR1NM" hidden="1">#REF!</definedName>
    <definedName name="BExVXNKA2EQ6BOM3KOZIQU0E86CY" hidden="1">#REF!</definedName>
    <definedName name="BExVXVT4073C292GBUXXQ35921D7" hidden="1">#REF!</definedName>
    <definedName name="BExVY11V7U1SAY4QKYE0PBSPD7LW" hidden="1">#REF!</definedName>
    <definedName name="BExVY1SV37DL5YU59HS4IG3VBCP4" hidden="1">#REF!</definedName>
    <definedName name="BExVY2JRLC73TAO0TFWGDJK7ODBJ" hidden="1">#REF!</definedName>
    <definedName name="BExVY3G5WDINI12QE7MSSWN2485K" hidden="1">#REF!</definedName>
    <definedName name="BExVY3LNREVQPJDBPYGYFFD4PY1G" localSheetId="8" hidden="1">#REF!</definedName>
    <definedName name="BExVY3LNREVQPJDBPYGYFFD4PY1G" hidden="1">#REF!</definedName>
    <definedName name="BExVY3WFGJKSQA08UF9NCMST928Y" hidden="1">#REF!</definedName>
    <definedName name="BExVY7N7APOSX562C86T41J73BNN" localSheetId="8" hidden="1">#REF!</definedName>
    <definedName name="BExVY7N7APOSX562C86T41J73BNN" hidden="1">#REF!</definedName>
    <definedName name="BExVY7XZS7ZEEEI66TWUYUKRGMHJ" localSheetId="8" hidden="1">#REF!</definedName>
    <definedName name="BExVY7XZS7ZEEEI66TWUYUKRGMHJ" hidden="1">#REF!</definedName>
    <definedName name="BExVY954UOEVQEIC5OFO4NEWVKAQ" hidden="1">#REF!</definedName>
    <definedName name="BExVYHDYIV5397LC02V4FEP8VD6W" hidden="1">#REF!</definedName>
    <definedName name="BExVYK2WD1UWSWHL3FVZLZ2ZWOQZ" hidden="1">#REF!</definedName>
    <definedName name="BExVYOVIZDA18YIQ0A30Q052PCAK" hidden="1">#REF!</definedName>
    <definedName name="BExVYQDHLYA8QV4QI18TFHABUPN1" hidden="1">#REF!</definedName>
    <definedName name="BExVYQIXPEM6J4JVP78BRHIC05PV" hidden="1">#REF!</definedName>
    <definedName name="BExVYSX9R0T1MZUQ1MJ8OIVJ9XCU" hidden="1">#REF!</definedName>
    <definedName name="BExVYVGWN7SONLVDH9WJ2F1JS264" hidden="1">#REF!</definedName>
    <definedName name="BExVYZIOB37VKU73GKLR1AXCU459" hidden="1">#REF!</definedName>
    <definedName name="BExVZ048MF6SDKCWXQ2ZNCRR5XKJ" hidden="1">#REF!</definedName>
    <definedName name="BExVZ2TBETD5EROR8VHRRC72RR6X" hidden="1">#REF!</definedName>
    <definedName name="BExVZ8YFYA9JIZ0GMIXMB928SMI0" hidden="1">#REF!</definedName>
    <definedName name="BExVZ9EO732IK6MNMG17Y1EFTJQC" hidden="1">#REF!</definedName>
    <definedName name="BExVZB1Y5J4UL2LKK0363EU7GIJ1" hidden="1">#REF!</definedName>
    <definedName name="BExVZBT0VYICC4GQT9ICC12HQN4Q" hidden="1">#REF!</definedName>
    <definedName name="BExVZESW4KWQ72XZ6AAT3JSAGMMO" localSheetId="8" hidden="1">#REF!</definedName>
    <definedName name="BExVZESW4KWQ72XZ6AAT3JSAGMMO" hidden="1">#REF!</definedName>
    <definedName name="BExVZJQVO5LQ0BJH5JEN5NOBIAF6" hidden="1">#REF!</definedName>
    <definedName name="BExVZNSLZLBWC27PULND0Y9IULVS" hidden="1">#REF!</definedName>
    <definedName name="BExVZNXWS91RD7NXV5NE2R3C8WW7" hidden="1">#REF!</definedName>
    <definedName name="BExVZQ6SI3A6PXY3532K5WCT9L4Z" hidden="1">#REF!</definedName>
    <definedName name="BExVZX33UM6YWNLZX4V95ATW4T3S" hidden="1">#REF!</definedName>
    <definedName name="BExW0386REQRCQCVT9BCX80UPTRY" hidden="1">#REF!</definedName>
    <definedName name="BExW08X7MUCAUZUT84HH2K0HG8JM" localSheetId="8" hidden="1">#REF!</definedName>
    <definedName name="BExW08X7MUCAUZUT84HH2K0HG8JM" hidden="1">#REF!</definedName>
    <definedName name="BExW097Z6MZI8RP8FWSQNL3TNKIY" hidden="1">#REF!</definedName>
    <definedName name="BExW0FYP4WXY71CYUG40SUBG9UWU" hidden="1">#REF!</definedName>
    <definedName name="BExW0HBAR94L0RTT4FLGEJ88FO94" localSheetId="8" hidden="1">#REF!</definedName>
    <definedName name="BExW0HBAR94L0RTT4FLGEJ88FO94" hidden="1">#REF!</definedName>
    <definedName name="BExW0HBC1RMZ2GDGOGDTNAOOFO74" localSheetId="8" hidden="1">#REF!</definedName>
    <definedName name="BExW0HBC1RMZ2GDGOGDTNAOOFO74" hidden="1">#REF!</definedName>
    <definedName name="BExW0PJY0QT1YYHEOQPDHHNJJOC5" localSheetId="8" hidden="1">#REF!</definedName>
    <definedName name="BExW0PJY0QT1YYHEOQPDHHNJJOC5" hidden="1">#REF!</definedName>
    <definedName name="BExW0RI61B4VV0ARXTFVBAWRA1C5" hidden="1">#REF!</definedName>
    <definedName name="BExW0RY8VOQA1YFLWZEGBMS14NCY" hidden="1">#REF!</definedName>
    <definedName name="BExW0ZFZK22WVH1ET2MVEUVKIIWF" localSheetId="8" hidden="1">#REF!</definedName>
    <definedName name="BExW0ZFZK22WVH1ET2MVEUVKIIWF" hidden="1">#REF!</definedName>
    <definedName name="BExW1072UR7MGYVZLWUTAB6UE6V2" localSheetId="8" hidden="1">#REF!</definedName>
    <definedName name="BExW1072UR7MGYVZLWUTAB6UE6V2" hidden="1">#REF!</definedName>
    <definedName name="BExW18QGNRQEY0PQ3QWW8W2KCUE4" localSheetId="8" hidden="1">#REF!</definedName>
    <definedName name="BExW18QGNRQEY0PQ3QWW8W2KCUE4" hidden="1">#REF!</definedName>
    <definedName name="BExW191A5JV8FOKAP2WPE9UTOK3T" hidden="1">#REF!</definedName>
    <definedName name="BExW1B4S2ZED3NZZLJWZ6JF3YUXX" hidden="1">#REF!</definedName>
    <definedName name="BExW1BVUYQTKMOR56MW7RVRX4L1L" hidden="1">#REF!</definedName>
    <definedName name="BExW1F1220628FOMTW5UAATHRJHK" hidden="1">#REF!</definedName>
    <definedName name="BExW1PIPI1PMAMEPZUBMOY3LVYEL" hidden="1">#REF!</definedName>
    <definedName name="BExW1TKA0Z9OP2DTG50GZR5EG8C7" hidden="1">#REF!</definedName>
    <definedName name="BExW1U0JLKQ094DW5MMOI8UHO09V" hidden="1">#REF!</definedName>
    <definedName name="BExW22PGTQTO5C5TK1RQUWPR4X8X" localSheetId="8" hidden="1">#REF!</definedName>
    <definedName name="BExW22PGTQTO5C5TK1RQUWPR4X8X" hidden="1">#REF!</definedName>
    <definedName name="BExW27CKTHXIQCUL3RSLAFEQV8VT" localSheetId="8" hidden="1">#REF!</definedName>
    <definedName name="BExW27CKTHXIQCUL3RSLAFEQV8VT" hidden="1">#REF!</definedName>
    <definedName name="BExW283NP9D366XFPXLGSCI5UB0L" hidden="1">#REF!</definedName>
    <definedName name="BExW29WF535OHEG91SW5OF7MQBU2" localSheetId="8" hidden="1">#REF!</definedName>
    <definedName name="BExW29WF535OHEG91SW5OF7MQBU2" hidden="1">#REF!</definedName>
    <definedName name="BExW2CAP4G8FXH7782ACMG7V7R50" hidden="1">#REF!</definedName>
    <definedName name="BExW2E8RGKBSXXTBNSTE4JUFV4OG" hidden="1">#REF!</definedName>
    <definedName name="BExW2H3C8WJSBW5FGTFKVDVJC4CL" hidden="1">#REF!</definedName>
    <definedName name="BExW2IL57OCON6E1CCZIG12QFVS8" hidden="1">#REF!</definedName>
    <definedName name="BExW2JSF724K5GER4XUA2TSH73W8" hidden="1">#REF!</definedName>
    <definedName name="BExW2MSCKPGF5K3I7TL4KF5ISUOL" hidden="1">#REF!</definedName>
    <definedName name="BExW2N35DIVUUCZLIIL7KVH9DD1I" hidden="1">#REF!</definedName>
    <definedName name="BExW2NJ9UD6A2PICNQTFQ3B22TKO" localSheetId="8" hidden="1">#REF!</definedName>
    <definedName name="BExW2NJ9UD6A2PICNQTFQ3B22TKO" hidden="1">#REF!</definedName>
    <definedName name="BExW2OL4BUDIIU10PRQA6PK9BW7S" hidden="1">#REF!</definedName>
    <definedName name="BExW2SMO90FU9W8DVVES6Q4E6BZR" hidden="1">#REF!</definedName>
    <definedName name="BExW310SPUW708QANDB5WTQ7FMU7" hidden="1">#REF!</definedName>
    <definedName name="BExW35YV9V70DFOPLUGI2W7IYOU2" localSheetId="8" hidden="1">#REF!</definedName>
    <definedName name="BExW35YV9V70DFOPLUGI2W7IYOU2" hidden="1">#REF!</definedName>
    <definedName name="BExW36V9N91OHCUMGWJQL3I5P4JK" hidden="1">#REF!</definedName>
    <definedName name="BExW3EIBA1J9Q9NA9VCGZGRS8WV7" hidden="1">#REF!</definedName>
    <definedName name="BExW3FEO8FI8N6AGQKYEG4SQVJWB" hidden="1">#REF!</definedName>
    <definedName name="BExW3GB28STOMJUSZEIA7YKYNS4Y" hidden="1">#REF!</definedName>
    <definedName name="BExW3T1K638HT5E0Y8MMK108P5JT" hidden="1">#REF!</definedName>
    <definedName name="BExW4217ZHL9VO39POSTJOD090WU" hidden="1">#REF!</definedName>
    <definedName name="BExW4GPW71EBF8XPS2QGVQHBCDX3" hidden="1">#REF!</definedName>
    <definedName name="BExW4JKC5837JBPCOJV337ZVYYY3" hidden="1">#REF!</definedName>
    <definedName name="BExW4L7R1NVUKEQSVWZPXWCI6NVN" localSheetId="8" hidden="1">#REF!</definedName>
    <definedName name="BExW4L7R1NVUKEQSVWZPXWCI6NVN" hidden="1">#REF!</definedName>
    <definedName name="BExW4NWU6FLMY0L4K46EV86OJEL0" hidden="1">#REF!</definedName>
    <definedName name="BExW4QR9FV9MP5K610THBSM51RYO" hidden="1">#REF!</definedName>
    <definedName name="BExW4S980QVHHT7SZ0CMVH1Z25PN" localSheetId="8" hidden="1">#REF!</definedName>
    <definedName name="BExW4S980QVHHT7SZ0CMVH1Z25PN" hidden="1">#REF!</definedName>
    <definedName name="BExW4W5HHUEZ3O9DYN9KJZWC1FEL" localSheetId="8" hidden="1">#REF!</definedName>
    <definedName name="BExW4W5HHUEZ3O9DYN9KJZWC1FEL" hidden="1">#REF!</definedName>
    <definedName name="BExW4Z029R9E19ZENN3WEA3VDAD1" hidden="1">#REF!</definedName>
    <definedName name="BExW56N5QH8OXAJA04QGSLJTMV6Z" localSheetId="8" hidden="1">#REF!</definedName>
    <definedName name="BExW56N5QH8OXAJA04QGSLJTMV6Z" hidden="1">#REF!</definedName>
    <definedName name="BExW5AZNT6IAZGNF2C879ODHY1B8" hidden="1">#REF!</definedName>
    <definedName name="BExW5CHN55M1EA2M2IHSWG72R204" hidden="1">#REF!</definedName>
    <definedName name="BExW5EFO6R6U4UQLT4G2G4W9SX94" localSheetId="8" hidden="1">#REF!</definedName>
    <definedName name="BExW5EFO6R6U4UQLT4G2G4W9SX94" hidden="1">#REF!</definedName>
    <definedName name="BExW5WPU27WD4NWZOT0ZEJIDLX5J" hidden="1">#REF!</definedName>
    <definedName name="BExW5X64UZDAB8GEIIQBWQV66NV9" localSheetId="8" hidden="1">#REF!</definedName>
    <definedName name="BExW5X64UZDAB8GEIIQBWQV66NV9" hidden="1">#REF!</definedName>
    <definedName name="BExW5YIKVFH6ZG37WCSEAZDQGCC6" hidden="1">#REF!</definedName>
    <definedName name="BExW61NYOHBXEBCZ80ZJTB38E7BS" localSheetId="8" hidden="1">#REF!</definedName>
    <definedName name="BExW61NYOHBXEBCZ80ZJTB38E7BS" hidden="1">#REF!</definedName>
    <definedName name="BExW63B77I61G0A10BBBR5RATZUN" hidden="1">#REF!</definedName>
    <definedName name="BExW64T5GUYKW4V1314DJGUR4ABG" localSheetId="8" hidden="1">#REF!</definedName>
    <definedName name="BExW64T5GUYKW4V1314DJGUR4ABG" hidden="1">#REF!</definedName>
    <definedName name="BExW660AV1TUV2XNUPD65RZR3QOO" hidden="1">#REF!</definedName>
    <definedName name="BExW66LVVZK656PQY1257QMHP2AY" hidden="1">#REF!</definedName>
    <definedName name="BExW6EJPHAP1TWT380AZLXNHR22P" hidden="1">#REF!</definedName>
    <definedName name="BExW6G1PJ38H10DVLL8WPQ736OEB" hidden="1">#REF!</definedName>
    <definedName name="BExW6QE0VJ5RRAQZB4SWWF8JTHCL" localSheetId="8" hidden="1">#REF!</definedName>
    <definedName name="BExW6QE0VJ5RRAQZB4SWWF8JTHCL" hidden="1">#REF!</definedName>
    <definedName name="BExW6SMTP1950FFPH9X1DUT9RKZV" hidden="1">#REF!</definedName>
    <definedName name="BExW6T34CGPWXA98W2I16DO6HM6H" hidden="1">#REF!</definedName>
    <definedName name="BExW6WJ2VW51JNF32JZF98WJDRR3" localSheetId="8" hidden="1">#REF!</definedName>
    <definedName name="BExW6WJ2VW51JNF32JZF98WJDRR3" hidden="1">#REF!</definedName>
    <definedName name="BExW7283TGJGOUJLNQXPGKA5MR6U" hidden="1">#REF!</definedName>
    <definedName name="BExW74MG1WIOS7FRGX4CXWYNPZV1" localSheetId="8" hidden="1">#REF!</definedName>
    <definedName name="BExW74MG1WIOS7FRGX4CXWYNPZV1" hidden="1">#REF!</definedName>
    <definedName name="BExW782LBJUIVCV6ACRLJBIKVJFQ" localSheetId="8" hidden="1">#REF!</definedName>
    <definedName name="BExW782LBJUIVCV6ACRLJBIKVJFQ" hidden="1">#REF!</definedName>
    <definedName name="BExW794A74Z5F2K8LVQLD6VSKXUE" hidden="1">#REF!</definedName>
    <definedName name="BExW79F1ITR93483DM0DS6C9VAL6" hidden="1">#REF!</definedName>
    <definedName name="BExW79PUI1MOWHU9EW5GW59XZCQD" hidden="1">#REF!</definedName>
    <definedName name="BExW7NSY9CQA1O23DAZ9TYTC0PAO" localSheetId="8" hidden="1">#REF!</definedName>
    <definedName name="BExW7NSY9CQA1O23DAZ9TYTC0PAO" hidden="1">#REF!</definedName>
    <definedName name="BExW7Q79RJWXCSWJIY4GLGGQXX5G" localSheetId="8" hidden="1">#REF!</definedName>
    <definedName name="BExW7Q79RJWXCSWJIY4GLGGQXX5G" hidden="1">#REF!</definedName>
    <definedName name="BExW7SG4F78GMPKNY2T4IXL633U5" hidden="1">#REF!</definedName>
    <definedName name="BExW7SLL3S0L3CVPXGNDKO5PEUQG" hidden="1">#REF!</definedName>
    <definedName name="BExW7U8VX5TDDJSY9S8GBBS6UP4N" hidden="1">#REF!</definedName>
    <definedName name="BExW7YW6I0H0SD602VCWVG16UO7F" localSheetId="8" hidden="1">#REF!</definedName>
    <definedName name="BExW7YW6I0H0SD602VCWVG16UO7F" hidden="1">#REF!</definedName>
    <definedName name="BExW89DT2OUQ24LOFUS7BMP44P4B" localSheetId="8" hidden="1">#REF!</definedName>
    <definedName name="BExW89DT2OUQ24LOFUS7BMP44P4B" hidden="1">#REF!</definedName>
    <definedName name="BExW8K0SSIPSKBVP06IJ71600HJZ" hidden="1">#REF!</definedName>
    <definedName name="BExW8NM8DJJESE7GF7VGTO2XO6P1" localSheetId="8" hidden="1">#REF!</definedName>
    <definedName name="BExW8NM8DJJESE7GF7VGTO2XO6P1" hidden="1">#REF!</definedName>
    <definedName name="BExW8T0GVY3ZYO4ACSBLHS8SH895" hidden="1">#REF!</definedName>
    <definedName name="BExW8XIBPPVVO08SLMGF9R1W4MUC" hidden="1">#REF!</definedName>
    <definedName name="BExW8YEP73JMMU9HZ08PM4WHJQZ4" hidden="1">#REF!</definedName>
    <definedName name="BExW937AT53OZQRHNWQZ5BVH24IE" hidden="1">#REF!</definedName>
    <definedName name="BExW95LN5N0LYFFVP7GJEGDVDLF0" hidden="1">#REF!</definedName>
    <definedName name="BExW967733Q8RAJOHR2GJ3HO8JIW" hidden="1">#REF!</definedName>
    <definedName name="BExW9G39OTNN3UWQ9ZGWV1B96AOF" hidden="1">#REF!</definedName>
    <definedName name="BExW9G39X58B5FGJEE8EY65TJ80A" localSheetId="8" hidden="1">#REF!</definedName>
    <definedName name="BExW9G39X58B5FGJEE8EY65TJ80A" hidden="1">#REF!</definedName>
    <definedName name="BExW9JZK2CSFMKED1TX7YD9FRDO3" localSheetId="8" hidden="1">#REF!</definedName>
    <definedName name="BExW9JZK2CSFMKED1TX7YD9FRDO3" hidden="1">#REF!</definedName>
    <definedName name="BExW9POK1KIOI0ALS5MZIKTDIYMA" hidden="1">#REF!</definedName>
    <definedName name="BExW9QKXEGUJNTXQ21ITN5HTHZWF" hidden="1">#REF!</definedName>
    <definedName name="BExW9TVLB7OIHTG98I7I4EXBL61S" localSheetId="8" hidden="1">#REF!</definedName>
    <definedName name="BExW9TVLB7OIHTG98I7I4EXBL61S" hidden="1">#REF!</definedName>
    <definedName name="BExWA4O0AMI6CF2P3E3TD6DLI1B4" hidden="1">#REF!</definedName>
    <definedName name="BExWA89HXWEFO7AY22HZWNHIHCOJ" hidden="1">#REF!</definedName>
    <definedName name="BExXLDE6PN4ESWT3LXJNQCY94NE4" hidden="1">#REF!</definedName>
    <definedName name="BExXLDOYNIS8GLKISUIBXIOW06CA" localSheetId="8" hidden="1">#REF!</definedName>
    <definedName name="BExXLDOYNIS8GLKISUIBXIOW06CA" hidden="1">#REF!</definedName>
    <definedName name="BExXLQVPK2H3IF0NDDA5CT612EUK" hidden="1">#REF!</definedName>
    <definedName name="BExXLR6IO70TYTACKQH9M5PGV24J" hidden="1">#REF!</definedName>
    <definedName name="BExXLU6DIIQS9F6KJMO3JIGORSFN" hidden="1">#REF!</definedName>
    <definedName name="BExXM065WOLYRYHGHOJE0OOFXA4M" hidden="1">#REF!</definedName>
    <definedName name="BExXM3GUNXVDM82KUR17NNUMQCNI" hidden="1">#REF!</definedName>
    <definedName name="BExXMA28M8SH7MKIGETSDA72WUIZ" hidden="1">#REF!</definedName>
    <definedName name="BExXMDI8Q7RVGM8YILTPKCARRWLA" hidden="1">#REF!</definedName>
    <definedName name="BExXMOLHIAHDLFSA31PUB36SC3I9" hidden="1">#REF!</definedName>
    <definedName name="BExXMT8T5Z3M2JBQN65X2LKH0YQI" hidden="1">#REF!</definedName>
    <definedName name="BExXMVXVXAUPYV2TUW0OYUE1JPIW" hidden="1">#REF!</definedName>
    <definedName name="BExXN1MVRTLPZZC7O0PB3PGBU87E" hidden="1">#REF!</definedName>
    <definedName name="BExXN1XNO7H60M9X1E7EVWFJDM5N" hidden="1">#REF!</definedName>
    <definedName name="BExXN22ZOTIW49GPLWFYKVM90FNZ" hidden="1">#REF!</definedName>
    <definedName name="BExXN3KY0QG96C6VMB3J4CMVC5XW" hidden="1">#REF!</definedName>
    <definedName name="BExXN4C031W9DK73MJHKL8YT1QA8" localSheetId="8" hidden="1">#REF!</definedName>
    <definedName name="BExXN4C031W9DK73MJHKL8YT1QA8" hidden="1">#REF!</definedName>
    <definedName name="BExXN6QAP8UJQVN4R4BQKPP4QK35" hidden="1">#REF!</definedName>
    <definedName name="BExXNBOA39T2X6Y5Y5GZ5DDNA1AX" hidden="1">#REF!</definedName>
    <definedName name="BExXND6872VJ3M2PGT056WQMWBHD" hidden="1">#REF!</definedName>
    <definedName name="BExXNPM24UN2PGVL9D1TUBFRIKR4" hidden="1">#REF!</definedName>
    <definedName name="BExXNRUWHTVKJZUNKVBFHLNVSDV2" localSheetId="8" hidden="1">#REF!</definedName>
    <definedName name="BExXNRUWHTVKJZUNKVBFHLNVSDV2" hidden="1">#REF!</definedName>
    <definedName name="BExXNSLYWITH4246M4YVOUIV04ZJ" localSheetId="8" hidden="1">#REF!</definedName>
    <definedName name="BExXNSLYWITH4246M4YVOUIV04ZJ" hidden="1">#REF!</definedName>
    <definedName name="BExXNWYB165VO9MHARCL5WLCHWS0" hidden="1">#REF!</definedName>
    <definedName name="BExXO1G5TG80TSHNS86X0DXO6YHY" localSheetId="8" hidden="1">#REF!</definedName>
    <definedName name="BExXO1G5TG80TSHNS86X0DXO6YHY" hidden="1">#REF!</definedName>
    <definedName name="BExXO278QHQN8JDK5425EJ615ECC" hidden="1">#REF!</definedName>
    <definedName name="BExXO6E9ABFOYA2LVN6RLW4BO9G6" localSheetId="8" hidden="1">#REF!</definedName>
    <definedName name="BExXO6E9ABFOYA2LVN6RLW4BO9G6" hidden="1">#REF!</definedName>
    <definedName name="BExXO6ZP85325PSLSXWM38N73O6V" localSheetId="8" hidden="1">#REF!</definedName>
    <definedName name="BExXO6ZP85325PSLSXWM38N73O6V" hidden="1">#REF!</definedName>
    <definedName name="BExXO8N547NXKY9M9NBXVUS4CJ87" hidden="1">#REF!</definedName>
    <definedName name="BExXOAFUWIDV78N81E4XSZSIRH0A" localSheetId="8" hidden="1">#REF!</definedName>
    <definedName name="BExXOAFUWIDV78N81E4XSZSIRH0A" hidden="1">#REF!</definedName>
    <definedName name="BExXOBHOP0WGFHI2Y9AO4L440UVQ" hidden="1">#REF!</definedName>
    <definedName name="BExXOH6PRAB49K5NI7Q3GC2AF05L" hidden="1">#REF!</definedName>
    <definedName name="BExXOHSAD2NSHOLLMZ2JWA4I3I1R" hidden="1">#REF!</definedName>
    <definedName name="BExXOJQBVBDGLVEYZAE7AL8F0VWX" localSheetId="8" hidden="1">#REF!</definedName>
    <definedName name="BExXOJQBVBDGLVEYZAE7AL8F0VWX" hidden="1">#REF!</definedName>
    <definedName name="BExXOMQ9421Y32TZ81U6YGIP35QU" localSheetId="8" hidden="1">#REF!</definedName>
    <definedName name="BExXOMQ9421Y32TZ81U6YGIP35QU" hidden="1">#REF!</definedName>
    <definedName name="BExXORTNZZINB1LB6HNIFMW4KVH1" hidden="1">#REF!</definedName>
    <definedName name="BExXOY9JN8ZID1SV8IO8F4QV5EKO" localSheetId="8" hidden="1">#REF!</definedName>
    <definedName name="BExXOY9JN8ZID1SV8IO8F4QV5EKO" hidden="1">#REF!</definedName>
    <definedName name="BExXP37NGPFT3HVMLRURWQ8XG5IV" hidden="1">#REF!</definedName>
    <definedName name="BExXP3NS75DJ5H3ZCG1NDQBV98YZ" hidden="1">#REF!</definedName>
    <definedName name="BExXP80B5FGA00JCM7UXKPI3PB7Y" hidden="1">#REF!</definedName>
    <definedName name="BExXP85M4WXYVN1UVHUTOEKEG5XS" hidden="1">#REF!</definedName>
    <definedName name="BExXPAUQ472D6SBHYYT7N1Y8VFIN" hidden="1">#REF!</definedName>
    <definedName name="BExXPCNFMOG1OIP9TG8GVARBG142" hidden="1">#REF!</definedName>
    <definedName name="BExXPDUMN4B85QFXGPSJPII52QR3" localSheetId="8" hidden="1">#REF!</definedName>
    <definedName name="BExXPDUMN4B85QFXGPSJPII52QR3" hidden="1">#REF!</definedName>
    <definedName name="BExXPELOTHOAG0OWILLAH94OZV5J" hidden="1">#REF!</definedName>
    <definedName name="BExXPFY58VHSZEXCZ1R5BRGCNJW6" hidden="1">#REF!</definedName>
    <definedName name="BExXPI1OIBAXJEF12CB034UPCQ34" hidden="1">#REF!</definedName>
    <definedName name="BExXPJUEJZYTJUC0RPIAEGABH3SW" localSheetId="8" hidden="1">#REF!</definedName>
    <definedName name="BExXPJUEJZYTJUC0RPIAEGABH3SW" hidden="1">#REF!</definedName>
    <definedName name="BExXPP3BF8HMOA6U8ZCNNKLNPEDR" hidden="1">#REF!</definedName>
    <definedName name="BExXPS31W1VD2NMIE4E37LHVDF0L" hidden="1">#REF!</definedName>
    <definedName name="BExXPTFODBTZ59OOO94QAE9VR76H" hidden="1">#REF!</definedName>
    <definedName name="BExXPUMU4BLFWI2L0MHMM5F3OUPL" localSheetId="8" hidden="1">#REF!</definedName>
    <definedName name="BExXPUMU4BLFWI2L0MHMM5F3OUPL" hidden="1">#REF!</definedName>
    <definedName name="BExXPWA3X08H370YKRDHR6W2V2K4" hidden="1">#REF!</definedName>
    <definedName name="BExXPZKYEMVF5JOC14HYOOYQK6JK" hidden="1">#REF!</definedName>
    <definedName name="BExXQ06J7OF0O2FO4WR0QK93RJ17" localSheetId="8" hidden="1">#REF!</definedName>
    <definedName name="BExXQ06J7OF0O2FO4WR0QK93RJ17" hidden="1">#REF!</definedName>
    <definedName name="BExXQ24L5X7BA1R6IMB53WS8D1CQ" localSheetId="8" hidden="1">#REF!</definedName>
    <definedName name="BExXQ24L5X7BA1R6IMB53WS8D1CQ" hidden="1">#REF!</definedName>
    <definedName name="BExXQ4DF9IGQXOUG2KMPD2L2GQHR" hidden="1">#REF!</definedName>
    <definedName name="BExXQ89PA10X79WBWOEP1AJX1OQM" hidden="1">#REF!</definedName>
    <definedName name="BExXQCGQGGYSI0LTRVR73MUO50AW" hidden="1">#REF!</definedName>
    <definedName name="BExXQEEXFHDQ8DSRAJSB5ET6J004" hidden="1">#REF!</definedName>
    <definedName name="BExXQH41O5HZAH8BO6HCFY8YC3TU" hidden="1">#REF!</definedName>
    <definedName name="BExXQHPNAFE4M6C2HYRCQNIU9D31" localSheetId="8" hidden="1">#REF!</definedName>
    <definedName name="BExXQHPNAFE4M6C2HYRCQNIU9D31" hidden="1">#REF!</definedName>
    <definedName name="BExXQIRBLQSLAJTFL7224FCFUTKH" hidden="1">#REF!</definedName>
    <definedName name="BExXQJIEF5R3QQ6D8HO3NGPU0IQC" hidden="1">#REF!</definedName>
    <definedName name="BExXQMT29RQZY7R4JNOOLIFQOTBY" hidden="1">#REF!</definedName>
    <definedName name="BExXQMYEOGRO69K9BLZF14USRMVP" localSheetId="8" hidden="1">#REF!</definedName>
    <definedName name="BExXQMYEOGRO69K9BLZF14USRMVP" hidden="1">#REF!</definedName>
    <definedName name="BExXQS1SGPIQX0ESRMCECOYMUQQJ" localSheetId="8" hidden="1">#REF!</definedName>
    <definedName name="BExXQS1SGPIQX0ESRMCECOYMUQQJ" hidden="1">#REF!</definedName>
    <definedName name="BExXQU00K9ER4I1WM7T9J0W1E7ZC" hidden="1">#REF!</definedName>
    <definedName name="BExXQU00KOR7XLM8B13DGJ1MIQDY" hidden="1">#REF!</definedName>
    <definedName name="BExXQXG18PS8HGBOS03OSTQ0KEYC" hidden="1">#REF!</definedName>
    <definedName name="BExXQXQT4OAFQT5B0YB3USDJOJOB" hidden="1">#REF!</definedName>
    <definedName name="BExXR3FSEXAHSXEQNJORWFCPX86N" hidden="1">#REF!</definedName>
    <definedName name="BExXR3FT5LGDRX9ZFO8781ULOLNI" hidden="1">#REF!</definedName>
    <definedName name="BExXR3W3FKYQBLR299HO9RZ70C43" hidden="1">#REF!</definedName>
    <definedName name="BExXR46U23CRRBV6IZT982MAEQKI" hidden="1">#REF!</definedName>
    <definedName name="BExXR4C6ZKB184QTJPXFGH01R4EW" hidden="1">#REF!</definedName>
    <definedName name="BExXR8OKAVX7O70V5IYG2PRKXSTI" hidden="1">#REF!</definedName>
    <definedName name="BExXRA6N6XCLQM6XDV724ZIH6G93" hidden="1">#REF!</definedName>
    <definedName name="BExXRABZ1CNKCG6K1MR6OUFHF7J9" hidden="1">#REF!</definedName>
    <definedName name="BExXRBOFETC0OTJ6WY3VPMFH03VB" hidden="1">#REF!</definedName>
    <definedName name="BExXRD13K1S9Y3JGR7CXSONT7RJZ" hidden="1">#REF!</definedName>
    <definedName name="BExXRHIY77F53DUYX7CMZPXGRDAG" localSheetId="8" hidden="1">#REF!</definedName>
    <definedName name="BExXRHIY77F53DUYX7CMZPXGRDAG" hidden="1">#REF!</definedName>
    <definedName name="BExXRIFB4QQ87QIGA9AG0NXP577K" hidden="1">#REF!</definedName>
    <definedName name="BExXRIKLDCEN0RD63JA5B4JIKDT4" hidden="1">#REF!</definedName>
    <definedName name="BExXRIQ2JF2CVTRDQX2D9SPH7FTN" hidden="1">#REF!</definedName>
    <definedName name="BExXRN2FW0QK8I36FHKBOOMGHC75" hidden="1">#REF!</definedName>
    <definedName name="BExXRO4A6VUH1F4XV8N1BRJ4896W" hidden="1">#REF!</definedName>
    <definedName name="BExXRO9N1SNJZGKD90P4K7FU1J0P" hidden="1">#REF!</definedName>
    <definedName name="BExXRV5QP3Z0KAQ1EQT9JYT2FV0L" hidden="1">#REF!</definedName>
    <definedName name="BExXRXUW5QFMB82PQEBFFWI9S6CH" hidden="1">#REF!</definedName>
    <definedName name="BExXRYLYA6NJD3X8UH2GIHOEY2P1" hidden="1">#REF!</definedName>
    <definedName name="BExXRYWPPABDSX0Z9ZGUXDTSM4IV" hidden="1">#REF!</definedName>
    <definedName name="BExXRZ20LZZCW8LVGDK0XETOTSAI" hidden="1">#REF!</definedName>
    <definedName name="BExXRZNM651EJ5HJPGKGTVYLAZQ1" hidden="1">#REF!</definedName>
    <definedName name="BExXS63O4OMWMNXXAODZQFSDG33N" hidden="1">#REF!</definedName>
    <definedName name="BExXSBSP1TOY051HSPEPM0AEIO2M" hidden="1">#REF!</definedName>
    <definedName name="BExXSBY0S70HRJ1R0POASBK3RJTG" localSheetId="8" hidden="1">#REF!</definedName>
    <definedName name="BExXSBY0S70HRJ1R0POASBK3RJTG" hidden="1">#REF!</definedName>
    <definedName name="BExXSC8RFK5D68FJD2HI4K66SA6I" hidden="1">#REF!</definedName>
    <definedName name="BExXSIE21ZMDOIA758W16EPZKI6T" hidden="1">#REF!</definedName>
    <definedName name="BExXSJQJOOQLLFD83XLKCA1N1S84" hidden="1">#REF!</definedName>
    <definedName name="BExXSNHC88W4UMXEOIOOATJAIKZO" hidden="1">#REF!</definedName>
    <definedName name="BExXSTBS08WIA9TLALV3UQ2Z3MRG" hidden="1">#REF!</definedName>
    <definedName name="BExXSTXE4NO7V96RGHQXZ625U4TG" hidden="1">#REF!</definedName>
    <definedName name="BExXSVQ2WOJJ73YEO8Q2FK60V4G8" hidden="1">#REF!</definedName>
    <definedName name="BExXT9T8CDIHAP3EW4DVUNVI9O6P" hidden="1">#REF!</definedName>
    <definedName name="BExXTAPK97MMMX747O2TREJCAR7R" hidden="1">#REF!</definedName>
    <definedName name="BExXTC7JP8NT3W5X20RS1DN1J2JV" hidden="1">#REF!</definedName>
    <definedName name="BExXTHLRNL82GN7KZY3TOLO508N7" hidden="1">#REF!</definedName>
    <definedName name="BExXTINEGPKZ75DCUCEF3QOV6OES" localSheetId="8" hidden="1">#REF!</definedName>
    <definedName name="BExXTINEGPKZ75DCUCEF3QOV6OES" hidden="1">#REF!</definedName>
    <definedName name="BExXTKAV4Y4JQ7D62LKGD89F9WMF" localSheetId="8" hidden="1">#REF!</definedName>
    <definedName name="BExXTKAV4Y4JQ7D62LKGD89F9WMF" hidden="1">#REF!</definedName>
    <definedName name="BExXTL72MKEQSQH9L2OTFLU8DM2B" hidden="1">#REF!</definedName>
    <definedName name="BExXTLCIQNRS5ENLT0ZOVR3C5R5N" hidden="1">#REF!</definedName>
    <definedName name="BExXTM3M4RTCRSX7VGAXGQNPP668" hidden="1">#REF!</definedName>
    <definedName name="BExXTOCF78J7WY6FOVBRY1N2RBBR" hidden="1">#REF!</definedName>
    <definedName name="BExXTP3GYO6Z9RTKKT10XA0UTV3T" hidden="1">#REF!</definedName>
    <definedName name="BExXTP8ST3GSEQAAREAHKZIH99A2" hidden="1">#REF!</definedName>
    <definedName name="BExXTS8P9O8INL4O8Y72DDBDNHC4" localSheetId="8" hidden="1">#REF!</definedName>
    <definedName name="BExXTS8P9O8INL4O8Y72DDBDNHC4" hidden="1">#REF!</definedName>
    <definedName name="BExXTYDYOSDQLHJD85PWYAENPWP4" hidden="1">#REF!</definedName>
    <definedName name="BExXTZKZ4CG92ZQLIRKEXXH9BFIR" hidden="1">#REF!</definedName>
    <definedName name="BExXU0HJ6E7ODEIYYRGIN5Y3D0RV" hidden="1">#REF!</definedName>
    <definedName name="BExXU2FJJ8QFL3LQ84FA6EAK7XAL" hidden="1">#REF!</definedName>
    <definedName name="BExXU4J2BM2964GD5UZHM752Q4NS" hidden="1">#REF!</definedName>
    <definedName name="BExXU5Q82TGJZ4FSO1KROKOBRC17" hidden="1">#REF!</definedName>
    <definedName name="BExXU6XDTT7RM93KILIDEYPA9XKF" hidden="1">#REF!</definedName>
    <definedName name="BExXU8VLZA7WLPZ3RAQZGNERUD26" hidden="1">#REF!</definedName>
    <definedName name="BExXUATMWEHDA6KBD94FYBEOVYFI" hidden="1">#REF!</definedName>
    <definedName name="BExXUB9RSLSCNN5ETLXY72DAPZZM" hidden="1">#REF!</definedName>
    <definedName name="BExXUFRM82XQIN2T8KGLDQL1IBQW" hidden="1">#REF!</definedName>
    <definedName name="BExXUGYRPOP0ZBQW2P8UTG3ENWUE" hidden="1">#REF!</definedName>
    <definedName name="BExXUQEQBF6FI240ZGIF9YXZSRAU" hidden="1">#REF!</definedName>
    <definedName name="BExXUYND6EJO7CJ5KRICV4O1JNWK" hidden="1">#REF!</definedName>
    <definedName name="BExXV1HWKTB46UXT08JLMPP8P4SP" localSheetId="8" hidden="1">#REF!</definedName>
    <definedName name="BExXV1HWKTB46UXT08JLMPP8P4SP" hidden="1">#REF!</definedName>
    <definedName name="BExXV6FWG4H3S2QEUJZYIXILNGJ7" hidden="1">#REF!</definedName>
    <definedName name="BExXVASABI3UPD3NIUECE6NBSRAE" hidden="1">#REF!</definedName>
    <definedName name="BExXVIVM6CYEGEAC15388PPQ8J3M" hidden="1">#REF!</definedName>
    <definedName name="BExXVK87BMMO6LHKV0CFDNIQVIBS" hidden="1">#REF!</definedName>
    <definedName name="BExXVKZ9WXPGL6IVY6T61IDD771I" hidden="1">#REF!</definedName>
    <definedName name="BExXVNDF8JQ7GXH2MXV0SL0TSQ3N" hidden="1">#REF!</definedName>
    <definedName name="BExXVR9OKB8NLRQFLDZW3Q350SEE" hidden="1">#REF!</definedName>
    <definedName name="BExXW0K72T1Y8K1I4VZT87UY9S2G" hidden="1">#REF!</definedName>
    <definedName name="BExXW27MMXHXUXX78SDTBE1JYTHT" hidden="1">#REF!</definedName>
    <definedName name="BExXW2YIM2MYBSHRIX0RP9D4PRMN" hidden="1">#REF!</definedName>
    <definedName name="BExXWBNE4KTFSXKVSRF6WX039WPB" hidden="1">#REF!</definedName>
    <definedName name="BExXWCEFPM2UFC3LC37H8GSMA5GA" localSheetId="8" hidden="1">#REF!</definedName>
    <definedName name="BExXWCEFPM2UFC3LC37H8GSMA5GA" hidden="1">#REF!</definedName>
    <definedName name="BExXWFP5AYE7EHYTJWBZSQ8PQ0YX" hidden="1">#REF!</definedName>
    <definedName name="BExXWSKWMRCX1WDDI8PU7RS1GUPJ" hidden="1">#REF!</definedName>
    <definedName name="BExXWVFIBQT8OY1O41FRFPFGXQHK" hidden="1">#REF!</definedName>
    <definedName name="BExXWWXHBZHA9J3N8K47F84X0M0L" hidden="1">#REF!</definedName>
    <definedName name="BExXX3DC7Q1C19A257L7KIHY3NK9" hidden="1">#REF!</definedName>
    <definedName name="BExXX50RF9930S03FSW6SAQQVF8J" hidden="1">#REF!</definedName>
    <definedName name="BExXXA479BQVNKI767SVGSPU7JKE" hidden="1">#REF!</definedName>
    <definedName name="BExXXA9I866QU7TL60S52KYU7VG4" localSheetId="8" hidden="1">#REF!</definedName>
    <definedName name="BExXXA9I866QU7TL60S52KYU7VG4" hidden="1">#REF!</definedName>
    <definedName name="BExXXBM521DL8R4ZX7NZ3DBCUOR5" hidden="1">#REF!</definedName>
    <definedName name="BExXXC29I0X9JHKX0AK0R6539J4D" localSheetId="8" hidden="1">#REF!</definedName>
    <definedName name="BExXXC29I0X9JHKX0AK0R6539J4D" hidden="1">#REF!</definedName>
    <definedName name="BExXXC7OZI33XZ03NRMEP7VRLQK4" hidden="1">#REF!</definedName>
    <definedName name="BExXXH5N3NKBQ7BCJPJTBF8CYM2Q" hidden="1">#REF!</definedName>
    <definedName name="BExXXKWLM4D541BH6O8GOJMHFHMW" hidden="1">#REF!</definedName>
    <definedName name="BExXXONFJE91PVB8J984D03VHBM7" hidden="1">#REF!</definedName>
    <definedName name="BExXXPPA1Q87XPI97X0OXCPBPDON" hidden="1">#REF!</definedName>
    <definedName name="BExXXVUDA98IZTQ6MANKU4MTTDVR" hidden="1">#REF!</definedName>
    <definedName name="BExXXZQNZY6IZI45DJXJK0MQZWA7" hidden="1">#REF!</definedName>
    <definedName name="BExXY0N185JJVZ0RFKR3J5ZGZR8S" hidden="1">#REF!</definedName>
    <definedName name="BExXY0SAZOPJMDG9GOR625UDCCS8" localSheetId="8" hidden="1">#REF!</definedName>
    <definedName name="BExXY0SAZOPJMDG9GOR625UDCCS8" hidden="1">#REF!</definedName>
    <definedName name="BExXY2FR7PFLXNGA6J0Z6IQF8TYJ" localSheetId="8" hidden="1">#REF!</definedName>
    <definedName name="BExXY2FR7PFLXNGA6J0Z6IQF8TYJ" hidden="1">#REF!</definedName>
    <definedName name="BExXY5QFG6QP94SFT3935OBM8Y4K" hidden="1">#REF!</definedName>
    <definedName name="BExXY6C043WLQ2LPH5FBPWIOIFQL" hidden="1">#REF!</definedName>
    <definedName name="BExXY7TYEBFXRYUYIFHTN65RJ8EW" hidden="1">#REF!</definedName>
    <definedName name="BExXY8FIKQPVMQGY64FUDQ4K9TDB" hidden="1">#REF!</definedName>
    <definedName name="BExXYH9Q5S3SY5J5ZETYSGHJ78ZK" hidden="1">#REF!</definedName>
    <definedName name="BExXYI0RRO1POYYMMN2Q7WIC79J8" hidden="1">#REF!</definedName>
    <definedName name="BExXYLBHANUXC5FCTDDTGOVD3GQS" hidden="1">#REF!</definedName>
    <definedName name="BExXYMNYAYH3WA2ZCFAYKZID9ZCI" hidden="1">#REF!</definedName>
    <definedName name="BExXYYT12SVN2VDMLVNV4P3ISD8T" hidden="1">#REF!</definedName>
    <definedName name="BExXZ3WEYVVV9XKKD5E86QEX5U57" localSheetId="8" hidden="1">#REF!</definedName>
    <definedName name="BExXZ3WEYVVV9XKKD5E86QEX5U57" hidden="1">#REF!</definedName>
    <definedName name="BExXZ4CKWN3R9HA311KINBA3R2K4" localSheetId="8" hidden="1">#REF!</definedName>
    <definedName name="BExXZ4CKWN3R9HA311KINBA3R2K4" hidden="1">#REF!</definedName>
    <definedName name="BExXZ6QU5C0UMWY7U4BHVZNIPANK" localSheetId="8" hidden="1">#REF!</definedName>
    <definedName name="BExXZ6QU5C0UMWY7U4BHVZNIPANK" hidden="1">#REF!</definedName>
    <definedName name="BExXZEDWUYH25UZMW2QU2RXFILJE" hidden="1">#REF!</definedName>
    <definedName name="BExXZFVV4YB42AZ3H1I40YG3JAPU" hidden="1">#REF!</definedName>
    <definedName name="BExXZG1CH7PK7FFBBYJOTV3CR66I" hidden="1">#REF!</definedName>
    <definedName name="BExXZHJ9T2JELF12CHHGD54J1B0C" hidden="1">#REF!</definedName>
    <definedName name="BExXZM14XID3OAA88OURJ7QSZW1E" localSheetId="8" hidden="1">#REF!</definedName>
    <definedName name="BExXZM14XID3OAA88OURJ7QSZW1E" hidden="1">#REF!</definedName>
    <definedName name="BExXZNJ2X1TK2LRK5ZY3MX49H5T7" hidden="1">#REF!</definedName>
    <definedName name="BExXZOVPCEP495TQSON6PSRQ8XCY" hidden="1">#REF!</definedName>
    <definedName name="BExXZXKH7NBARQQAZM69Z57IH1MM" hidden="1">#REF!</definedName>
    <definedName name="BExY04M308Q36DDYNA3IWREBRADG" hidden="1">#REF!</definedName>
    <definedName name="BExY05T95YHBLI9ZYWFFT2O2B871" localSheetId="8" hidden="1">#REF!</definedName>
    <definedName name="BExY05T95YHBLI9ZYWFFT2O2B871" hidden="1">#REF!</definedName>
    <definedName name="BExY07WSDH5QEVM7BJXJK2ZRAI1O" hidden="1">#REF!</definedName>
    <definedName name="BExY0C3UBVC4M59JIRXVQ8OWAJC1" hidden="1">#REF!</definedName>
    <definedName name="BExY0OE8GFHMLLTEAFIOQTOPEVPB" hidden="1">#REF!</definedName>
    <definedName name="BExY0OJHW85S0VKBA8T4HTYPYBOS" hidden="1">#REF!</definedName>
    <definedName name="BExY0PFW1PSG6T0HEQROUN8HA6GI" hidden="1">#REF!</definedName>
    <definedName name="BExY0T1E034D7XAXNC6F7540LLIE" hidden="1">#REF!</definedName>
    <definedName name="BExY0XTZLHN49J2JH94BYTKBJLT3" hidden="1">#REF!</definedName>
    <definedName name="BExY0ZH9GQG3RPD9XWA4GUMEO74D" hidden="1">#REF!</definedName>
    <definedName name="BExY11FH9TXHERUYGG8FE50U7H7J" hidden="1">#REF!</definedName>
    <definedName name="BExY180UKNW5NIAWD6ZUYTFEH8QS" hidden="1">#REF!</definedName>
    <definedName name="BExY1DKE1HKUF34D2JT3O7ZKZWT9" hidden="1">#REF!</definedName>
    <definedName name="BExY1DPTV4LSY9MEOUGXF8X052NA" hidden="1">#REF!</definedName>
    <definedName name="BExY1FIMLW9L499KIE7ZJ706UYLM" localSheetId="8" hidden="1">#REF!</definedName>
    <definedName name="BExY1FIMLW9L499KIE7ZJ706UYLM" hidden="1">#REF!</definedName>
    <definedName name="BExY1GK9ELBEKDD7O6HR6DUO8YGO" hidden="1">#REF!</definedName>
    <definedName name="BExY1LIEL4FMH4WIINZR5V1EPSVU" hidden="1">#REF!</definedName>
    <definedName name="BExY1NWOXXFV9GGZ3PX444LZ8TVX" hidden="1">#REF!</definedName>
    <definedName name="BExY1ONMI973LYH6W67SZIDXWDA0" localSheetId="8" hidden="1">#REF!</definedName>
    <definedName name="BExY1ONMI973LYH6W67SZIDXWDA0" hidden="1">#REF!</definedName>
    <definedName name="BExY1UCL0RND63LLSM9X5SFRG117" hidden="1">#REF!</definedName>
    <definedName name="BExY1WAT3937L08HLHIRQHMP2A3H" hidden="1">#REF!</definedName>
    <definedName name="BExY1YEBOSLMID7LURP8QB46AI91" hidden="1">#REF!</definedName>
    <definedName name="BExY1ZAPKW981036H87LR88Y4K42" hidden="1">#REF!</definedName>
    <definedName name="BExY2C16OB9Z3KY6HFIGC2TKXBG6" localSheetId="8" hidden="1">#REF!</definedName>
    <definedName name="BExY2C16OB9Z3KY6HFIGC2TKXBG6" hidden="1">#REF!</definedName>
    <definedName name="BExY2FS4LFX9OHOTQT7SJ2PXAC25" hidden="1">#REF!</definedName>
    <definedName name="BExY2GDPCZPVU0IQ6IJIB1YQQRQ6" hidden="1">#REF!</definedName>
    <definedName name="BExY2GTSZ3VA9TXLY7KW1LIAKJ61" hidden="1">#REF!</definedName>
    <definedName name="BExY2IXBR1SGYZH08T7QHKEFS8HA" hidden="1">#REF!</definedName>
    <definedName name="BExY2J84V6CAM7P9KBXQC7UOIM5U" hidden="1">#REF!</definedName>
    <definedName name="BExY2JOEL3SQJ6HU35KBB72K9RPN" localSheetId="8" hidden="1">#REF!</definedName>
    <definedName name="BExY2JOEL3SQJ6HU35KBB72K9RPN" hidden="1">#REF!</definedName>
    <definedName name="BExY2K9SYT923XWQS4U7BMUAEKB0" hidden="1">#REF!</definedName>
    <definedName name="BExY2LRSUMPMFZC0QB80BFNHGP8R" localSheetId="8" hidden="1">#REF!</definedName>
    <definedName name="BExY2LRSUMPMFZC0QB80BFNHGP8R" hidden="1">#REF!</definedName>
    <definedName name="BExY2Q4B5FUDA5VU4VRUHX327QN0" hidden="1">#REF!</definedName>
    <definedName name="BExY2QF477VSHB0ZFO0OPS5KLDRO" localSheetId="8" hidden="1">#REF!</definedName>
    <definedName name="BExY2QF477VSHB0ZFO0OPS5KLDRO" hidden="1">#REF!</definedName>
    <definedName name="BExY2YT7QKD5Z4L9WQ7EWWMUIBJ1" hidden="1">#REF!</definedName>
    <definedName name="BExY37SVFHFISPQE7HPH64XDNSEQ" hidden="1">#REF!</definedName>
    <definedName name="BExY38EH6NZF5ZTQ5DBM4O000PFX" hidden="1">#REF!</definedName>
    <definedName name="BExY3902SXUCW94CTQJ0LITJ75WW" localSheetId="8" hidden="1">#REF!</definedName>
    <definedName name="BExY3902SXUCW94CTQJ0LITJ75WW" hidden="1">#REF!</definedName>
    <definedName name="BExY3BUHF49HBMC20Z30YPLFCPS7" localSheetId="8" hidden="1">#REF!</definedName>
    <definedName name="BExY3BUHF49HBMC20Z30YPLFCPS7" hidden="1">#REF!</definedName>
    <definedName name="BExY3C59PDF2BON135CH8LLYNO9W" localSheetId="8" hidden="1">#REF!</definedName>
    <definedName name="BExY3C59PDF2BON135CH8LLYNO9W" hidden="1">#REF!</definedName>
    <definedName name="BExY3CAP9EQC23NHAHV1LH8JOQR2" hidden="1">#REF!</definedName>
    <definedName name="BExY3FAME3HIN2RXBJJ7BFZOQELW" localSheetId="8" hidden="1">#REF!</definedName>
    <definedName name="BExY3FAME3HIN2RXBJJ7BFZOQELW" hidden="1">#REF!</definedName>
    <definedName name="BExY3HOSK7YI364K15OX70AVR6F1" hidden="1">#REF!</definedName>
    <definedName name="BExY3JXT10HDV8IRQXYNHEEU49VD" localSheetId="8" hidden="1">#REF!</definedName>
    <definedName name="BExY3JXT10HDV8IRQXYNHEEU49VD" hidden="1">#REF!</definedName>
    <definedName name="BExY3PBZYNUJO20PFZSG69D7LD2M" hidden="1">#REF!</definedName>
    <definedName name="BExY3PS9FF16S8QWSYU89GM4E8VB" localSheetId="8" hidden="1">#REF!</definedName>
    <definedName name="BExY3PS9FF16S8QWSYU89GM4E8VB" hidden="1">#REF!</definedName>
    <definedName name="BExY3QDTVVCV2147S1BCE3LB6Y1K" hidden="1">#REF!</definedName>
    <definedName name="BExY3T89AUR83SOAZZ3OMDEJDQ39" hidden="1">#REF!</definedName>
    <definedName name="BExY3YMHKXSM8ZA6J2QVK2F5QV01" localSheetId="8" hidden="1">#REF!</definedName>
    <definedName name="BExY3YMHKXSM8ZA6J2QVK2F5QV01" hidden="1">#REF!</definedName>
    <definedName name="BExY4DRA1NB56I6KHB22C0U0NKPH" localSheetId="8" hidden="1">#REF!</definedName>
    <definedName name="BExY4DRA1NB56I6KHB22C0U0NKPH" hidden="1">#REF!</definedName>
    <definedName name="BExY4GB352II60SLYE48UBSXFMJB" localSheetId="8" hidden="1">#REF!</definedName>
    <definedName name="BExY4GB352II60SLYE48UBSXFMJB" hidden="1">#REF!</definedName>
    <definedName name="BExY4H7GIE8JI6Q4UJBJE45NHOA8" hidden="1">#REF!</definedName>
    <definedName name="BExY4MG771JQ84EMIVB6HQGGHZY7" hidden="1">#REF!</definedName>
    <definedName name="BExY4PQUTBYZGBCOH80JJH5VLRD6" localSheetId="8" hidden="1">#REF!</definedName>
    <definedName name="BExY4PQUTBYZGBCOH80JJH5VLRD6" hidden="1">#REF!</definedName>
    <definedName name="BExY4PWCSFB8P3J3TBQB2MD67263" hidden="1">#REF!</definedName>
    <definedName name="BExY4RZW3KK11JLYBA4DWZ92M6LQ" hidden="1">#REF!</definedName>
    <definedName name="BExY4SW8AV0ZS8G2TZLIRJTOBSGD" localSheetId="8" hidden="1">#REF!</definedName>
    <definedName name="BExY4SW8AV0ZS8G2TZLIRJTOBSGD" hidden="1">#REF!</definedName>
    <definedName name="BExY4XOVTTNVZ577RLIEC7NZQFIX" hidden="1">#REF!</definedName>
    <definedName name="BExY50JAF5CG01GTHAUS7I4ZLUDC" hidden="1">#REF!</definedName>
    <definedName name="BExY53J7EXFEOFTRNAHLK7IH3ACB" hidden="1">#REF!</definedName>
    <definedName name="BExY5515SJTJS3VM80M3YYR0WF37" hidden="1">#REF!</definedName>
    <definedName name="BExY5515WE39FQ3EG5QHG67V9C0O" hidden="1">#REF!</definedName>
    <definedName name="BExY5986WNAD8NFCPXC9TVLBU4FG" hidden="1">#REF!</definedName>
    <definedName name="BExY5B6EN6LT0NAG4PIO7E51N8OP" hidden="1">#REF!</definedName>
    <definedName name="BExY5BMIC2L86HSL4ELRQA035LPA" hidden="1">#REF!</definedName>
    <definedName name="BExY5BRZBQTFJBIE7UCCPUE5RRFV" hidden="1">#REF!</definedName>
    <definedName name="BExY5BXBLQUW4SOF44M3WMGHRNE2" localSheetId="8" hidden="1">#REF!</definedName>
    <definedName name="BExY5BXBLQUW4SOF44M3WMGHRNE2" hidden="1">#REF!</definedName>
    <definedName name="BExY5DF9MS25IFNWGJ1YAS5MDN8R" hidden="1">#REF!</definedName>
    <definedName name="BExY5ERVGL3UM2MGT8LJ0XPKTZEK" hidden="1">#REF!</definedName>
    <definedName name="BExY5EX6NJFK8W754ZVZDN5DS04K" hidden="1">#REF!</definedName>
    <definedName name="BExY5QLZNYLX9M7M2RE6HVJW24NS" hidden="1">#REF!</definedName>
    <definedName name="BExY5S3XD1NJT109CV54IFOHVLQ6" hidden="1">#REF!</definedName>
    <definedName name="BExY5TB2VAI3GHKCPXMCVIOM8B8W" localSheetId="8" hidden="1">#REF!</definedName>
    <definedName name="BExY5TB2VAI3GHKCPXMCVIOM8B8W" hidden="1">#REF!</definedName>
    <definedName name="BExY5YPAY4CN1PGDXL0HRB26IZ5H" hidden="1">#REF!</definedName>
    <definedName name="BExY65LGXPSFBNRUQXGIWY8763VY" hidden="1">#REF!</definedName>
    <definedName name="BExY6671MA1NEV6H29UACJ9VDF0W" hidden="1">#REF!</definedName>
    <definedName name="BExY69HRGDAI01IVVV8GINLYWMJ5" hidden="1">#REF!</definedName>
    <definedName name="BExY6KVS1MMZ2R34PGEFR2BMTU9W" hidden="1">#REF!</definedName>
    <definedName name="BExY6Q9YY7LW745GP7CYOGGSPHGE" hidden="1">#REF!</definedName>
    <definedName name="BExY74NU76JULT8RIEH2G4KZCJET" hidden="1">#REF!</definedName>
    <definedName name="BExZIA3C8LKJTEH3MKQ57KJH5TA2" hidden="1">#REF!</definedName>
    <definedName name="BExZIIHH3QNQE3GFMHEE4UMHY6WQ" hidden="1">#REF!</definedName>
    <definedName name="BExZIYO22G5UXOB42GDLYGVRJ6U7" hidden="1">#REF!</definedName>
    <definedName name="BExZJ7I9T8XU4MZRKJ1VVU76V2LZ" hidden="1">#REF!</definedName>
    <definedName name="BExZJA22HQFUO0AXG89KJGS2WE03" localSheetId="8" hidden="1">#REF!</definedName>
    <definedName name="BExZJA22HQFUO0AXG89KJGS2WE03" hidden="1">#REF!</definedName>
    <definedName name="BExZJGI0J75AG7YBJRPPW0ZP40KW" hidden="1">#REF!</definedName>
    <definedName name="BExZJMY170JCUU1RWASNZ1HJPRTA" hidden="1">#REF!</definedName>
    <definedName name="BExZJOQR77H0P4SUKVYACDCFBBXO" hidden="1">#REF!</definedName>
    <definedName name="BExZJS6RG34ODDY9HMZ0O34MEMSB" hidden="1">#REF!</definedName>
    <definedName name="BExZJU4ZJUO53Z0ZDKXRX3KI682X" localSheetId="8" hidden="1">#REF!</definedName>
    <definedName name="BExZJU4ZJUO53Z0ZDKXRX3KI682X" hidden="1">#REF!</definedName>
    <definedName name="BExZJZOIX1S8LL8TXENRLLD4OPTP" hidden="1">#REF!</definedName>
    <definedName name="BExZK34NR4BAD7HJAP7SQ926UQP3" hidden="1">#REF!</definedName>
    <definedName name="BExZK3FGPHH5H771U7D5XY7XBS6E" hidden="1">#REF!</definedName>
    <definedName name="BExZK82MDEP0L4GZPZMN7SROQUE5" hidden="1">#REF!</definedName>
    <definedName name="BExZKGRIH1C8XY2R7Z1LHBXCBRJC" localSheetId="8" hidden="1">#REF!</definedName>
    <definedName name="BExZKGRIH1C8XY2R7Z1LHBXCBRJC" hidden="1">#REF!</definedName>
    <definedName name="BExZKHYORG3O8C772XPFHM1N8T80" hidden="1">#REF!</definedName>
    <definedName name="BExZKIV1EQOPVFEA0QSUJU7DJ9P4" hidden="1">#REF!</definedName>
    <definedName name="BExZKJRF2IRR57DG9CLC7MSHWNNN" hidden="1">#REF!</definedName>
    <definedName name="BExZKKNT4T6TDEMY3PAISXMOVYIA" localSheetId="8" hidden="1">#REF!</definedName>
    <definedName name="BExZKKNT4T6TDEMY3PAISXMOVYIA" hidden="1">#REF!</definedName>
    <definedName name="BExZKV046L2M9RAN06MPXPQCP9LX" hidden="1">#REF!</definedName>
    <definedName name="BExZKV5GYXO0X760SBD9TWTIQHGI" hidden="1">#REF!</definedName>
    <definedName name="BExZKX8YNM8TWF5H05B3AODSNYWE" hidden="1">#REF!</definedName>
    <definedName name="BExZL6E4YVXRUN7ZGF2BIGIXFR8K" hidden="1">#REF!</definedName>
    <definedName name="BExZLC8FW3D2UK06SQLUIRZGK4P7" hidden="1">#REF!</definedName>
    <definedName name="BExZLCDWOXSAL3E45Y87GOH1NUUX" localSheetId="8" hidden="1">#REF!</definedName>
    <definedName name="BExZLCDWOXSAL3E45Y87GOH1NUUX" hidden="1">#REF!</definedName>
    <definedName name="BExZLFTXR9FS2H840NO66O0LGKFQ" hidden="1">#REF!</definedName>
    <definedName name="BExZLGA0ARAM6EJ1EPZ0KFDXMG8L" hidden="1">#REF!</definedName>
    <definedName name="BExZLGVLMKTPFXG42QYT0PO81G7F" hidden="1">#REF!</definedName>
    <definedName name="BExZLHRZMB1LAT56CZDZRRPS2Q5E" localSheetId="8" hidden="1">#REF!</definedName>
    <definedName name="BExZLHRZMB1LAT56CZDZRRPS2Q5E" hidden="1">#REF!</definedName>
    <definedName name="BExZLKMK7LRK14S09WLMH7MXSQXM" hidden="1">#REF!</definedName>
    <definedName name="BExZLT5ZPFGYISDYWOPOK90JLRBR" localSheetId="8" hidden="1">#REF!</definedName>
    <definedName name="BExZLT5ZPFGYISDYWOPOK90JLRBR" hidden="1">#REF!</definedName>
    <definedName name="BExZLY9ETW8ECD8JKDZ13GOHH49T" hidden="1">#REF!</definedName>
    <definedName name="BExZM1K45F7NTB913PQ94UZOKISD" hidden="1">#REF!</definedName>
    <definedName name="BExZM6SYQIE0Q3CO8PV4T4RBINSY" hidden="1">#REF!</definedName>
    <definedName name="BExZM7JVLG0W8EG5RBU915U3SKBY" hidden="1">#REF!</definedName>
    <definedName name="BExZM85FOVUFF110XMQ9O2ODSJUK" hidden="1">#REF!</definedName>
    <definedName name="BExZMF1MMTZ1TA14PZ8ASSU2CBSP" hidden="1">#REF!</definedName>
    <definedName name="BExZMIN26SCHBYDS0XRH8LA060M3" hidden="1">#REF!</definedName>
    <definedName name="BExZMKL5YQZD7F0FUCSVFGLPFK52" hidden="1">#REF!</definedName>
    <definedName name="BExZMOC3VNZALJM71X2T6FV91GTB" hidden="1">#REF!</definedName>
    <definedName name="BExZMSJ5N8DBIDY63T59AQ3DOZ2O" hidden="1">#REF!</definedName>
    <definedName name="BExZMXH39OB0I43XEL3K11U3G9PM" hidden="1">#REF!</definedName>
    <definedName name="BExZMZQ3RBKDHT5GLFNLS52OSJA0" hidden="1">#REF!</definedName>
    <definedName name="BExZN2F7Y2J2L2LN5WZRG949MS4A" hidden="1">#REF!</definedName>
    <definedName name="BExZN847WUWKRYTZWG9TCQZJS3OL" hidden="1">#REF!</definedName>
    <definedName name="BExZNAD2I5PQ7NR3JD60JYZQK5UX" hidden="1">#REF!</definedName>
    <definedName name="BExZNH3VISFF4NQI11BZDP5IQ7VG" hidden="1">#REF!</definedName>
    <definedName name="BExZNIB2Z0PW4MJVTRVEDQX8NTGC" localSheetId="8" hidden="1">#REF!</definedName>
    <definedName name="BExZNIB2Z0PW4MJVTRVEDQX8NTGC" hidden="1">#REF!</definedName>
    <definedName name="BExZNJ1Y8RSOGU7HCLNI4JJ9WA8U" localSheetId="8" hidden="1">#REF!</definedName>
    <definedName name="BExZNJ1Y8RSOGU7HCLNI4JJ9WA8U" hidden="1">#REF!</definedName>
    <definedName name="BExZNJYCFYVMAOI62GB2BABK1ELE" hidden="1">#REF!</definedName>
    <definedName name="BExZNNEH2S8VXUN1PT1HYX3PT7MK" hidden="1">#REF!</definedName>
    <definedName name="BExZNR5A4HCAUIHN35LB4SYSF95W" hidden="1">#REF!</definedName>
    <definedName name="BExZNT3IENBP4PJ3O1VRGS96XB1T" localSheetId="8" hidden="1">#REF!</definedName>
    <definedName name="BExZNT3IENBP4PJ3O1VRGS96XB1T" hidden="1">#REF!</definedName>
    <definedName name="BExZNV707LIU6Z5H6QI6H67LHTI1" hidden="1">#REF!</definedName>
    <definedName name="BExZNVCBKB930QQ9QW7KSGOZ0V1M" hidden="1">#REF!</definedName>
    <definedName name="BExZNW8QJ18X0RSGFDWAE9ZSDX39" hidden="1">#REF!</definedName>
    <definedName name="BExZNYC80GNKYQ5CUVY7VS7XR25N" hidden="1">#REF!</definedName>
    <definedName name="BExZNYSBUWDY2WKXYK2ZWGWX9H9B" hidden="1">#REF!</definedName>
    <definedName name="BExZNZDWRS6Q40L8OCWFEIVI0A1O" hidden="1">#REF!</definedName>
    <definedName name="BExZO5TZK75SUOPQCED0R34BX4LS" hidden="1">#REF!</definedName>
    <definedName name="BExZOABT7XQF4HV11RM2632V7RWS" hidden="1">#REF!</definedName>
    <definedName name="BExZOBO9NYLGVJQ31LVQ9XS2ZT4N" hidden="1">#REF!</definedName>
    <definedName name="BExZOEIVPQXLMQIOFZKVB6QU4PL2" localSheetId="8" hidden="1">#REF!</definedName>
    <definedName name="BExZOEIVPQXLMQIOFZKVB6QU4PL2" hidden="1">#REF!</definedName>
    <definedName name="BExZOETNB1CJ3Y2RKLI1ZK0S8Z6H" hidden="1">#REF!</definedName>
    <definedName name="BExZOGBLV9VKIJSZA9FTH6F6I902" localSheetId="8" hidden="1">#REF!</definedName>
    <definedName name="BExZOGBLV9VKIJSZA9FTH6F6I902" hidden="1">#REF!</definedName>
    <definedName name="BExZOKYQUVH084V6SQKTJ7A51RUY" localSheetId="8" hidden="1">#REF!</definedName>
    <definedName name="BExZOKYQUVH084V6SQKTJ7A51RUY" hidden="1">#REF!</definedName>
    <definedName name="BExZOL48WYBNJ7W40FKJ9MFKH4C3" hidden="1">#REF!</definedName>
    <definedName name="BExZOL9K1RUXBTLZ6FJ65BIE9G5R" hidden="1">#REF!</definedName>
    <definedName name="BExZOO452NBT35T02PXH8ZNPR6S2" hidden="1">#REF!</definedName>
    <definedName name="BExZOREMVSK4E5VSWM838KHUB8AI" hidden="1">#REF!</definedName>
    <definedName name="BExZOVR745T5P1KS9NV2PXZPZVRG" hidden="1">#REF!</definedName>
    <definedName name="BExZOWI88Z94884AH5U6RQC0FD9N" hidden="1">#REF!</definedName>
    <definedName name="BExZOZSWGLSY2XYVRIS6VSNJDSGD" hidden="1">#REF!</definedName>
    <definedName name="BExZP51OT7L4AH06MF3KMFB1P4MR" hidden="1">#REF!</definedName>
    <definedName name="BExZP7AIJKLM6C6CSUIIFAHFBNX2" hidden="1">#REF!</definedName>
    <definedName name="BExZPFU3AP7RASS5X21Q6MTP5DI1" localSheetId="8" hidden="1">#REF!</definedName>
    <definedName name="BExZPFU3AP7RASS5X21Q6MTP5DI1" hidden="1">#REF!</definedName>
    <definedName name="BExZPP4LP52IZI98TLL4LM762Z6O" hidden="1">#REF!</definedName>
    <definedName name="BExZPPFCRV7TZ9XAAMVY898Y2PRA" localSheetId="8" hidden="1">#REF!</definedName>
    <definedName name="BExZPPFCRV7TZ9XAAMVY898Y2PRA" hidden="1">#REF!</definedName>
    <definedName name="BExZPQ0XY507N8FJMVPKCTK8HC9H" hidden="1">#REF!</definedName>
    <definedName name="BExZPUO3WXZZLJS5CMNV98Z7IUYV" localSheetId="8" hidden="1">#REF!</definedName>
    <definedName name="BExZPUO3WXZZLJS5CMNV98Z7IUYV" hidden="1">#REF!</definedName>
    <definedName name="BExZPWBJ4H8RND8XVKNCJ474L2J6" localSheetId="8" hidden="1">#REF!</definedName>
    <definedName name="BExZPWBJ4H8RND8XVKNCJ474L2J6" hidden="1">#REF!</definedName>
    <definedName name="BExZQ37OVBR25U32CO2YYVPZOMR5" hidden="1">#REF!</definedName>
    <definedName name="BExZQ3IHNAFF2HI20IH754T349LH" localSheetId="8" hidden="1">#REF!</definedName>
    <definedName name="BExZQ3IHNAFF2HI20IH754T349LH" hidden="1">#REF!</definedName>
    <definedName name="BExZQ3NT7H06VO0AR48WHZULZB93" hidden="1">#REF!</definedName>
    <definedName name="BExZQ5RBRB2FBYA20CKEWCCIBKYJ" hidden="1">#REF!</definedName>
    <definedName name="BExZQ7PJU07SEJMDX18U9YVDC2GU" hidden="1">#REF!</definedName>
    <definedName name="BExZQ97GRS1JT451BUNZG7OVGF7Q" localSheetId="8" hidden="1">#REF!</definedName>
    <definedName name="BExZQ97GRS1JT451BUNZG7OVGF7Q" hidden="1">#REF!</definedName>
    <definedName name="BExZQAPGF9XG3KXDAOVFASF5PA51" hidden="1">#REF!</definedName>
    <definedName name="BExZQH5CDF4FLD9WZ6Q8YP6BH3VL" hidden="1">#REF!</definedName>
    <definedName name="BExZQIHTGHK7OOI2Y2PN3JYBY82I" hidden="1">#REF!</definedName>
    <definedName name="BExZQJJMGU5MHQOILGXGJPAQI5XI" hidden="1">#REF!</definedName>
    <definedName name="BExZQLXYOUSGIFRYECPLBEBEN7ON" hidden="1">#REF!</definedName>
    <definedName name="BExZQSOOI813QXHZD1HCEMXXH6KG" hidden="1">#REF!</definedName>
    <definedName name="BExZQXBYEBN28QUH1KOVW6KKA5UM" hidden="1">#REF!</definedName>
    <definedName name="BExZQZKT146WEN8FTVZ7Y5TSB8L5" hidden="1">#REF!</definedName>
    <definedName name="BExZR12YBZX23ZTW7WA0X0I2FE9X" hidden="1">#REF!</definedName>
    <definedName name="BExZR485AKBH93YZ08CMUC3WROED" hidden="1">#REF!</definedName>
    <definedName name="BExZR4DGISQH7LQ51Z3IWP6EM6IV" hidden="1">#REF!</definedName>
    <definedName name="BExZR54H8GTM5OEJ00DJZ2YP3OM0" hidden="1">#REF!</definedName>
    <definedName name="BExZR7TL98P2PPUVGIZYR5873DWW" hidden="1">#REF!</definedName>
    <definedName name="BExZRGD1603X5ACFALUUDKCD7X48" hidden="1">#REF!</definedName>
    <definedName name="BExZRGNSUPG6TBX2L292MP1PLVMU" localSheetId="8" hidden="1">#REF!</definedName>
    <definedName name="BExZRGNSUPG6TBX2L292MP1PLVMU" hidden="1">#REF!</definedName>
    <definedName name="BExZRP1X6UVLN1UOLHH5VF4STP1O" hidden="1">#REF!</definedName>
    <definedName name="BExZRQ930U6OCYNV00CH5I0Q4LPE" hidden="1">#REF!</definedName>
    <definedName name="BExZRVCIUOZ6OTY2IQAWTF65UNO2" hidden="1">#REF!</definedName>
    <definedName name="BExZRW8W514W8OZ72YBONYJ64GXF" hidden="1">#REF!</definedName>
    <definedName name="BExZRWJP2BUVFJPO8U8ATQEP0LZU" hidden="1">#REF!</definedName>
    <definedName name="BExZRYN6TKLS1N70DLRI2IKWN37Q" localSheetId="8" hidden="1">#REF!</definedName>
    <definedName name="BExZRYN6TKLS1N70DLRI2IKWN37Q" hidden="1">#REF!</definedName>
    <definedName name="BExZS1CBTC8QC8S2HIB93A2TPFQA" localSheetId="8" hidden="1">#REF!</definedName>
    <definedName name="BExZS1CBTC8QC8S2HIB93A2TPFQA" hidden="1">#REF!</definedName>
    <definedName name="BExZS2OY9JTSSP01ZQ6V2T2LO5R9" hidden="1">#REF!</definedName>
    <definedName name="BExZS9ACBP04QB7RKFPHH9YM98C1" hidden="1">#REF!</definedName>
    <definedName name="BExZSETU9OLTJ79LO0TQPXVZ9KP2" hidden="1">#REF!</definedName>
    <definedName name="BExZSI9USDLZAN8LI8M4YYQL24GZ" hidden="1">#REF!</definedName>
    <definedName name="BExZSS0LA2JY4ZLJ1Z5YCMLJJZCH" hidden="1">#REF!</definedName>
    <definedName name="BExZSTTBGNXMPQH1HT7E2HERIY3F" hidden="1">#REF!</definedName>
    <definedName name="BExZSYRAL38T8SFTHLEC94VZAPTB" localSheetId="8" hidden="1">#REF!</definedName>
    <definedName name="BExZSYRAL38T8SFTHLEC94VZAPTB" hidden="1">#REF!</definedName>
    <definedName name="BExZSZ21VX9ESDG8PFXHDLT82KLO" localSheetId="8" hidden="1">#REF!</definedName>
    <definedName name="BExZSZ21VX9ESDG8PFXHDLT82KLO" hidden="1">#REF!</definedName>
    <definedName name="BExZT099CSLD6DJMIKJKIXDO8GD5" hidden="1">#REF!</definedName>
    <definedName name="BExZT4052JTT2VOTYA6FLK89KO6I" hidden="1">#REF!</definedName>
    <definedName name="BExZT4G9XWEXQ18D0PEKSEHI6WID" hidden="1">#REF!</definedName>
    <definedName name="BExZTAQV2QVSZY5Y3VCCWUBSBW9P" hidden="1">#REF!</definedName>
    <definedName name="BExZTC8S1L60TW34BLBQLDKD9RH4" localSheetId="8" hidden="1">#REF!</definedName>
    <definedName name="BExZTC8S1L60TW34BLBQLDKD9RH4" hidden="1">#REF!</definedName>
    <definedName name="BExZTCP3AS1RQUH3NNZGOJY7ORHW" localSheetId="8" hidden="1">#REF!</definedName>
    <definedName name="BExZTCP3AS1RQUH3NNZGOJY7ORHW" hidden="1">#REF!</definedName>
    <definedName name="BExZTD560OBTQ7X1UGNBA7K2WAR3" hidden="1">#REF!</definedName>
    <definedName name="BExZTEHTINIPA1LOK3AB82LW4MQ8" hidden="1">#REF!</definedName>
    <definedName name="BExZTGAJOE5NZGJKOT7LVT6KS4AQ" hidden="1">#REF!</definedName>
    <definedName name="BExZTHSI2FX56PWRSNX9H5EWTZFO" hidden="1">#REF!</definedName>
    <definedName name="BExZTI3ATC705CLNX63ZROBID6K0" hidden="1">#REF!</definedName>
    <definedName name="BExZTJFRAFGNSLVKQCHKZRIA82IG" localSheetId="8" hidden="1">#REF!</definedName>
    <definedName name="BExZTJFRAFGNSLVKQCHKZRIA82IG" hidden="1">#REF!</definedName>
    <definedName name="BExZTJL3HVBFY139H6CJHEQCT1EL" hidden="1">#REF!</definedName>
    <definedName name="BExZTJVVAMM0T978W6MWJZLNSAO8" hidden="1">#REF!</definedName>
    <definedName name="BExZTLOL8OPABZI453E0KVNA1GJS" hidden="1">#REF!</definedName>
    <definedName name="BExZTNS5CULWUE81F7O78TBTP5DO" hidden="1">#REF!</definedName>
    <definedName name="BExZTOJ725GPIX22RYI9W1QERD0N" hidden="1">#REF!</definedName>
    <definedName name="BExZTQ6LEYKXHQJ6NT0N9USRB6JA" hidden="1">#REF!</definedName>
    <definedName name="BExZTT6J3X0TOX0ZY6YPLUVMCW9X" hidden="1">#REF!</definedName>
    <definedName name="BExZTW6ECBRA0BBITWBQ8R93RMCL" hidden="1">#REF!</definedName>
    <definedName name="BExZTYQ1JEJ7OY2XU5OVPIV2ST7B" localSheetId="8" hidden="1">#REF!</definedName>
    <definedName name="BExZTYQ1JEJ7OY2XU5OVPIV2ST7B" hidden="1">#REF!</definedName>
    <definedName name="BExZU2BHYAOKSCBM3C5014ZF6IXS" hidden="1">#REF!</definedName>
    <definedName name="BExZU2RMJTXOCS0ROPMYPE6WTD87" hidden="1">#REF!</definedName>
    <definedName name="BExZU3INLNVAHT8PDQ83BY7YWO7A" hidden="1">#REF!</definedName>
    <definedName name="BExZUF7G8FENTJKH9R1XUWXM6CWD" hidden="1">#REF!</definedName>
    <definedName name="BExZUI7DFVZOAGRC9TBJTKJ4CDR7" hidden="1">#REF!</definedName>
    <definedName name="BExZUNARUJBIZ08VCAV3GEVBIR3D" hidden="1">#REF!</definedName>
    <definedName name="BExZUSZSJZU49WES7TCI0N0HW4M5" localSheetId="8" hidden="1">#REF!</definedName>
    <definedName name="BExZUSZSJZU49WES7TCI0N0HW4M5" hidden="1">#REF!</definedName>
    <definedName name="BExZUSZT5496UMBP4LFSLTR1GVEW" hidden="1">#REF!</definedName>
    <definedName name="BExZUT54340I38GVCV79EL116WR0" hidden="1">#REF!</definedName>
    <definedName name="BExZUYDULCX65H9OZ9JHPBNKF3MI" hidden="1">#REF!</definedName>
    <definedName name="BExZV2QD5ZDK3AGDRULLA7JB46C3" hidden="1">#REF!</definedName>
    <definedName name="BExZV3XIUUBS5AXS9JMZ2CY6JXWS" hidden="1">#REF!</definedName>
    <definedName name="BExZV4OFC4E044NV2AK8G2UA1XAF" localSheetId="8" hidden="1">#REF!</definedName>
    <definedName name="BExZV4OFC4E044NV2AK8G2UA1XAF" hidden="1">#REF!</definedName>
    <definedName name="BExZV8A2D6HE3W7CS8215VUU10W7" localSheetId="8" hidden="1">#REF!</definedName>
    <definedName name="BExZV8A2D6HE3W7CS8215VUU10W7" hidden="1">#REF!</definedName>
    <definedName name="BExZVBQ29OM0V8XAL3HL0JIM0MMU" hidden="1">#REF!</definedName>
    <definedName name="BExZVCRRWDAEMKOMWLKW8Y589BTB" localSheetId="8" hidden="1">#REF!</definedName>
    <definedName name="BExZVCRRWDAEMKOMWLKW8Y589BTB" hidden="1">#REF!</definedName>
    <definedName name="BExZVEPYS6HYXG8RN9GMWZTHDEMK" localSheetId="8" hidden="1">#REF!</definedName>
    <definedName name="BExZVEPYS6HYXG8RN9GMWZTHDEMK" hidden="1">#REF!</definedName>
    <definedName name="BExZVLM4T9ORS4ZWHME46U4Q103C" hidden="1">#REF!</definedName>
    <definedName name="BExZVM7OZWPPRH5YQW50EYMMIW1A" hidden="1">#REF!</definedName>
    <definedName name="BExZVPYGX2C5OSHMZ6F0KBKZ6B1S" hidden="1">#REF!</definedName>
    <definedName name="BExZVW92BIGOE7S7BGNAK369OBAA" localSheetId="8" hidden="1">#REF!</definedName>
    <definedName name="BExZVW92BIGOE7S7BGNAK369OBAA" hidden="1">#REF!</definedName>
    <definedName name="BExZW3FZSCEMJN6C7V09D448RYMD" hidden="1">#REF!</definedName>
    <definedName name="BExZW5UARC8W9AQNLJX2I5WQWS5F" hidden="1">#REF!</definedName>
    <definedName name="BExZW7HRGN6A9YS41KI2B2UUMJ7X" hidden="1">#REF!</definedName>
    <definedName name="BExZW8ZPNV43UXGOT98FDNIBQHZY" hidden="1">#REF!</definedName>
    <definedName name="BExZW9W1PLX4NC0H6IU9TUSQSX6E" hidden="1">#REF!</definedName>
    <definedName name="BExZWCFOS7CCWMBXZMW8CWKFXD97" hidden="1">#REF!</definedName>
    <definedName name="BExZWCQGN3FAF882JPIR26H0FS4J" hidden="1">#REF!</definedName>
    <definedName name="BExZWKZ5N3RDXU8MZ8HQVYYD8O0F" hidden="1">#REF!</definedName>
    <definedName name="BExZWO4ITR24TI60TY7ZB4VTJJ3K" localSheetId="8" hidden="1">#REF!</definedName>
    <definedName name="BExZWO4ITR24TI60TY7ZB4VTJJ3K" hidden="1">#REF!</definedName>
    <definedName name="BExZWSMC9T48W74GFGQCIUJ8ZPP3" hidden="1">#REF!</definedName>
    <definedName name="BExZWTO13WI5HYOD923V9HWRJYKJ" localSheetId="8" hidden="1">#REF!</definedName>
    <definedName name="BExZWTO13WI5HYOD923V9HWRJYKJ" hidden="1">#REF!</definedName>
    <definedName name="BExZWUF2V4HY3HI8JN9ZVPRWK1H3" hidden="1">#REF!</definedName>
    <definedName name="BExZWX45URTK9KYDJHEXL1OTZ833" hidden="1">#REF!</definedName>
    <definedName name="BExZX0EWQEZO86WDAD9A4EAEZ012" hidden="1">#REF!</definedName>
    <definedName name="BExZX1WSR48BBWSFW7QP7EUMPQM7" localSheetId="8" hidden="1">#REF!</definedName>
    <definedName name="BExZX1WSR48BBWSFW7QP7EUMPQM7" hidden="1">#REF!</definedName>
    <definedName name="BExZX2T6ZT2DZLYSDJJBPVIT5OK2" hidden="1">#REF!</definedName>
    <definedName name="BExZX8I6XYE9MJFC5JUG3ZJE9YCS" localSheetId="8" hidden="1">#REF!</definedName>
    <definedName name="BExZX8I6XYE9MJFC5JUG3ZJE9YCS" hidden="1">#REF!</definedName>
    <definedName name="BExZXGWAT1C3GDP06NOW6EVMGR9V" hidden="1">#REF!</definedName>
    <definedName name="BExZXKXVOZHDIZT9661V66Z5N9C9" hidden="1">#REF!</definedName>
    <definedName name="BExZXO39DJZX1NPOJWP32X88LGTY" localSheetId="8" hidden="1">#REF!</definedName>
    <definedName name="BExZXO39DJZX1NPOJWP32X88LGTY" hidden="1">#REF!</definedName>
    <definedName name="BExZXOJDELULNLEH7WG0OYJT0NJ4" hidden="1">#REF!</definedName>
    <definedName name="BExZXOOTRNUK8LGEAZ8ZCFW9KXQ1" hidden="1">#REF!</definedName>
    <definedName name="BExZXT6JOXNKEDU23DKL8XZAJZIH" hidden="1">#REF!</definedName>
    <definedName name="BExZXTMSS16REZMEEEHHGMZ0WLCX" hidden="1">#REF!</definedName>
    <definedName name="BExZXUTYW1HWEEZ1LIX4OQWC7HL1" hidden="1">#REF!</definedName>
    <definedName name="BExZXY4NKQL9QD76YMQJ15U1C2G8" hidden="1">#REF!</definedName>
    <definedName name="BExZXYA4YA3LROELPDUCJ8SP9YM0" localSheetId="8" hidden="1">#REF!</definedName>
    <definedName name="BExZXYA4YA3LROELPDUCJ8SP9YM0" hidden="1">#REF!</definedName>
    <definedName name="BExZXYQ7U5G08FQGUIGYT14QCBOF" hidden="1">#REF!</definedName>
    <definedName name="BExZY02P8BBK4QG4M86ZC4J1I6XM" hidden="1">#REF!</definedName>
    <definedName name="BExZY02V77YJBMODJSWZOYCMPS5X" hidden="1">#REF!</definedName>
    <definedName name="BExZY49QRZIR6CA41LFA9LM6EULU" hidden="1">#REF!</definedName>
    <definedName name="BExZY5BKD8V4HFA8EXS9GRV2TRYW" hidden="1">#REF!</definedName>
    <definedName name="BExZYLYCAET1KY2X5L4FE0BA1MVJ" hidden="1">#REF!</definedName>
    <definedName name="BExZYR1RYI88GS39CTAP2VH5U8QB" hidden="1">#REF!</definedName>
    <definedName name="BExZYVZV1PUS6S5DDDUNJ6IQ47D3" hidden="1">#REF!</definedName>
    <definedName name="BExZYYZRAM2J2KU195NA20F089WK" localSheetId="8" hidden="1">#REF!</definedName>
    <definedName name="BExZYYZRAM2J2KU195NA20F089WK" hidden="1">#REF!</definedName>
    <definedName name="BExZZ0HJAE67O8WASSD9OOAW8E0G" hidden="1">#REF!</definedName>
    <definedName name="BExZZ24YQOBUJTDPVU4JE2DI81OU" localSheetId="8" hidden="1">#REF!</definedName>
    <definedName name="BExZZ24YQOBUJTDPVU4JE2DI81OU" hidden="1">#REF!</definedName>
    <definedName name="BExZZ2FQA9A8C7CJKMEFQ9VPSLCE" hidden="1">#REF!</definedName>
    <definedName name="BExZZAODZBQ1YN8A0CCYAG5NT9GE" hidden="1">#REF!</definedName>
    <definedName name="BExZZC6HAIITD2LG9VYL7VF2213L" localSheetId="8" hidden="1">#REF!</definedName>
    <definedName name="BExZZC6HAIITD2LG9VYL7VF2213L" hidden="1">#REF!</definedName>
    <definedName name="BExZZCHAVHW8C2H649KRGVQ0WVRT" hidden="1">#REF!</definedName>
    <definedName name="BExZZF6E6GC2U9C67QI1OSG1WTUM" localSheetId="8" hidden="1">#REF!</definedName>
    <definedName name="BExZZF6E6GC2U9C67QI1OSG1WTUM" hidden="1">#REF!</definedName>
    <definedName name="BExZZLRLXQRLR8LP3OPDDFUHKXMT" hidden="1">#REF!</definedName>
    <definedName name="BExZZT419M27GXCBHIR7Q73LGRIR" hidden="1">#REF!</definedName>
    <definedName name="BExZZTK54OTLF2YB68BHGOS27GEN" hidden="1">#REF!</definedName>
    <definedName name="BExZZX5LNMXWHX5WKP9XRZI1YZA1" hidden="1">#REF!</definedName>
    <definedName name="BExZZXB3JQQG4SIZS4MRU6NNW7HI" hidden="1">#REF!</definedName>
    <definedName name="BExZZZEMIIFKMLLV4DJKX5TB9R5V" hidden="1">#REF!</definedName>
    <definedName name="bezbeazb" hidden="1">#REF!</definedName>
    <definedName name="BFL_Dropdown" hidden="1">#REF!</definedName>
    <definedName name="bg" localSheetId="8" hidden="1">{"net assets",#N/A,FALSE,"summary";"asset turnover",#N/A,FALSE,"summary";"orona",#N/A,FALSE,"summary"}</definedName>
    <definedName name="bg" hidden="1">{"net assets",#N/A,FALSE,"summary";"asset turnover",#N/A,FALSE,"summary";"orona",#N/A,FALSE,"summary"}</definedName>
    <definedName name="BG_1" localSheetId="8" hidden="1">{#N/A,#N/A,TRUE,"Cover sheet";#N/A,#N/A,TRUE,"DCF analysis";#N/A,#N/A,TRUE,"WACC calculation"}</definedName>
    <definedName name="BG_1" hidden="1">{#N/A,#N/A,TRUE,"Cover sheet";#N/A,#N/A,TRUE,"DCF analysis";#N/A,#N/A,TRUE,"WACC calculation"}</definedName>
    <definedName name="BG_Del" hidden="1">15</definedName>
    <definedName name="BG_Ins" hidden="1">4</definedName>
    <definedName name="BG_Mod" hidden="1">6</definedName>
    <definedName name="bgbg" localSheetId="8" hidden="1">{"comps2_1",#N/A,FALSE,"Comps2";"comps2_2",#N/A,FALSE,"Comps2";"comps2_3",#N/A,FALSE,"Comps2";"comps2_4",#N/A,FALSE,"Comps2";"comps2_5",#N/A,FALSE,"Comps2"}</definedName>
    <definedName name="bgbg" hidden="1">{"comps2_1",#N/A,FALSE,"Comps2";"comps2_2",#N/A,FALSE,"Comps2";"comps2_3",#N/A,FALSE,"Comps2";"comps2_4",#N/A,FALSE,"Comps2";"comps2_5",#N/A,FALSE,"Comps2"}</definedName>
    <definedName name="bgbgf" localSheetId="8" hidden="1">{"DCF",#N/A,FALSE,"DCF"}</definedName>
    <definedName name="bgbgf" hidden="1">{"DCF",#N/A,FALSE,"DCF"}</definedName>
    <definedName name="BGR" localSheetId="8" hidden="1">{#N/A,#N/A,FALSE,"Centres";#N/A,#N/A,FALSE,"Partenariats";#N/A,#N/A,FALSE,"P.Diverses";#N/A,#N/A,FALSE,"Adm";#N/A,#N/A,FALSE,"Autres R-D";#N/A,#N/A,FALSE,"Intérêts"}</definedName>
    <definedName name="BGR" hidden="1">{#N/A,#N/A,FALSE,"Centres";#N/A,#N/A,FALSE,"Partenariats";#N/A,#N/A,FALSE,"P.Diverses";#N/A,#N/A,FALSE,"Adm";#N/A,#N/A,FALSE,"Autres R-D";#N/A,#N/A,FALSE,"Intérêts"}</definedName>
    <definedName name="BGRFVG" localSheetId="8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BGRFVG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bhbhbhbh" localSheetId="8" hidden="1">{#N/A,#N/A,FALSE,"Centres";#N/A,#N/A,FALSE,"Partenariats";#N/A,#N/A,FALSE,"P.Diverses";#N/A,#N/A,FALSE,"Adm";#N/A,#N/A,FALSE,"Autres R-D";#N/A,#N/A,FALSE,"Intérêts"}</definedName>
    <definedName name="bhbhbhbh" hidden="1">{#N/A,#N/A,FALSE,"Centres";#N/A,#N/A,FALSE,"Partenariats";#N/A,#N/A,FALSE,"P.Diverses";#N/A,#N/A,FALSE,"Adm";#N/A,#N/A,FALSE,"Autres R-D";#N/A,#N/A,FALSE,"Intérêts"}</definedName>
    <definedName name="BigMac" localSheetId="8" hidden="1">{"CECons",#N/A,FALSE,"CE"}</definedName>
    <definedName name="BigMac" hidden="1">{"CECons",#N/A,FALSE,"CE"}</definedName>
    <definedName name="BigMac_1" localSheetId="8" hidden="1">{"CECons",#N/A,FALSE,"CE"}</definedName>
    <definedName name="BigMac_1" hidden="1">{"CECons",#N/A,FALSE,"CE"}</definedName>
    <definedName name="BIL" localSheetId="8" hidden="1">{#N/A,#N/A,FALSE,"AMMORTAMENTI 1994"}</definedName>
    <definedName name="BIL" hidden="1">{#N/A,#N/A,FALSE,"AMMORTAMENTI 1994"}</definedName>
    <definedName name="BIL_1" localSheetId="8" hidden="1">{#N/A,#N/A,FALSE,"AMMORTAMENTI 1994"}</definedName>
    <definedName name="BIL_1" hidden="1">{#N/A,#N/A,FALSE,"AMMORTAMENTI 1994"}</definedName>
    <definedName name="BIL1DIC" localSheetId="8" hidden="1">{#N/A,#N/A,FALSE,"Sintesi  A + B";#N/A,#N/A,FALSE,"Dati base";#N/A,#N/A,FALSE,"Descriz.";#N/A,#N/A,FALSE,"Costi";#N/A,#N/A,FALSE,"Risparmi";#N/A,#N/A,FALSE,"Time table";#N/A,#N/A,FALSE,"Pay Back";#N/A,#N/A,FALSE,"C. Econ.";#N/A,#N/A,FALSE,"C.N.I.+Cop."}</definedName>
    <definedName name="BIL1DIC" hidden="1">{#N/A,#N/A,FALSE,"Sintesi  A + B";#N/A,#N/A,FALSE,"Dati base";#N/A,#N/A,FALSE,"Descriz.";#N/A,#N/A,FALSE,"Costi";#N/A,#N/A,FALSE,"Risparmi";#N/A,#N/A,FALSE,"Time table";#N/A,#N/A,FALSE,"Pay Back";#N/A,#N/A,FALSE,"C. Econ.";#N/A,#N/A,FALSE,"C.N.I.+Cop."}</definedName>
    <definedName name="BIL1DIC_1" localSheetId="8" hidden="1">{#N/A,#N/A,FALSE,"Sintesi  A + B";#N/A,#N/A,FALSE,"Dati base";#N/A,#N/A,FALSE,"Descriz.";#N/A,#N/A,FALSE,"Costi";#N/A,#N/A,FALSE,"Risparmi";#N/A,#N/A,FALSE,"Time table";#N/A,#N/A,FALSE,"Pay Back";#N/A,#N/A,FALSE,"C. Econ.";#N/A,#N/A,FALSE,"C.N.I.+Cop."}</definedName>
    <definedName name="BIL1DIC_1" hidden="1">{#N/A,#N/A,FALSE,"Sintesi  A + B";#N/A,#N/A,FALSE,"Dati base";#N/A,#N/A,FALSE,"Descriz.";#N/A,#N/A,FALSE,"Costi";#N/A,#N/A,FALSE,"Risparmi";#N/A,#N/A,FALSE,"Time table";#N/A,#N/A,FALSE,"Pay Back";#N/A,#N/A,FALSE,"C. Econ.";#N/A,#N/A,FALSE,"C.N.I.+Cop."}</definedName>
    <definedName name="BIL2DIC" localSheetId="8" hidden="1">{#N/A,#N/A,FALSE,"Sintesi  A + B";#N/A,#N/A,FALSE,"Dati base";#N/A,#N/A,FALSE,"Descriz.";#N/A,#N/A,FALSE,"Costi";#N/A,#N/A,FALSE,"Risparmi";#N/A,#N/A,FALSE,"Time table";#N/A,#N/A,FALSE,"Pay Back";#N/A,#N/A,FALSE,"C. Econ.";#N/A,#N/A,FALSE,"C.N.I.+Cop."}</definedName>
    <definedName name="BIL2DIC" hidden="1">{#N/A,#N/A,FALSE,"Sintesi  A + B";#N/A,#N/A,FALSE,"Dati base";#N/A,#N/A,FALSE,"Descriz.";#N/A,#N/A,FALSE,"Costi";#N/A,#N/A,FALSE,"Risparmi";#N/A,#N/A,FALSE,"Time table";#N/A,#N/A,FALSE,"Pay Back";#N/A,#N/A,FALSE,"C. Econ.";#N/A,#N/A,FALSE,"C.N.I.+Cop."}</definedName>
    <definedName name="BIL2DIC_1" localSheetId="8" hidden="1">{#N/A,#N/A,FALSE,"Sintesi  A + B";#N/A,#N/A,FALSE,"Dati base";#N/A,#N/A,FALSE,"Descriz.";#N/A,#N/A,FALSE,"Costi";#N/A,#N/A,FALSE,"Risparmi";#N/A,#N/A,FALSE,"Time table";#N/A,#N/A,FALSE,"Pay Back";#N/A,#N/A,FALSE,"C. Econ.";#N/A,#N/A,FALSE,"C.N.I.+Cop."}</definedName>
    <definedName name="BIL2DIC_1" hidden="1">{#N/A,#N/A,FALSE,"Sintesi  A + B";#N/A,#N/A,FALSE,"Dati base";#N/A,#N/A,FALSE,"Descriz.";#N/A,#N/A,FALSE,"Costi";#N/A,#N/A,FALSE,"Risparmi";#N/A,#N/A,FALSE,"Time table";#N/A,#N/A,FALSE,"Pay Back";#N/A,#N/A,FALSE,"C. Econ.";#N/A,#N/A,FALSE,"C.N.I.+Cop."}</definedName>
    <definedName name="BILA" localSheetId="8" hidden="1">{#N/A,#N/A,FALSE,"AMMORTAMENTI 1994"}</definedName>
    <definedName name="BILA" hidden="1">{#N/A,#N/A,FALSE,"AMMORTAMENTI 1994"}</definedName>
    <definedName name="BILA_1" localSheetId="8" hidden="1">{#N/A,#N/A,FALSE,"AMMORTAMENTI 1994"}</definedName>
    <definedName name="BILA_1" hidden="1">{#N/A,#N/A,FALSE,"AMMORTAMENTI 1994"}</definedName>
    <definedName name="Bilan2004V2" localSheetId="8" hidden="1">{#N/A,#N/A,FALSE,"INPUTS";#N/A,#N/A,FALSE,"PROFORMA BSHEET";#N/A,#N/A,FALSE,"COMBINED";#N/A,#N/A,FALSE,"ACQUIROR";#N/A,#N/A,FALSE,"TARGET 1";#N/A,#N/A,FALSE,"TARGET 2";#N/A,#N/A,FALSE,"HIGH YIELD";#N/A,#N/A,FALSE,"OVERFUND"}</definedName>
    <definedName name="Bilan2004V2" hidden="1">{#N/A,#N/A,FALSE,"INPUTS";#N/A,#N/A,FALSE,"PROFORMA BSHEET";#N/A,#N/A,FALSE,"COMBINED";#N/A,#N/A,FALSE,"ACQUIROR";#N/A,#N/A,FALSE,"TARGET 1";#N/A,#N/A,FALSE,"TARGET 2";#N/A,#N/A,FALSE,"HIGH YIELD";#N/A,#N/A,FALSE,"OVERFUND"}</definedName>
    <definedName name="bimdk2" localSheetId="8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bimdk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bimw09" localSheetId="8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bimw09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bj" localSheetId="8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bj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bj_1" localSheetId="8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bj_1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bjewk" hidden="1">#REF!</definedName>
    <definedName name="bjhbhjbjhvbjhvbjhvbjh" localSheetId="8" hidden="1">#REF!</definedName>
    <definedName name="bjhbhjbjhvbjhvbjhvbjh" hidden="1">#REF!</definedName>
    <definedName name="bjnd" localSheetId="8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bjnd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bkls" localSheetId="8" hidden="1">{#N/A,"PURCHM",FALSE,"Business Analysis";#N/A,"SPADD",FALSE,"Business Analysis"}</definedName>
    <definedName name="bkls" hidden="1">{#N/A,"PURCHM",FALSE,"Business Analysis";#N/A,"SPADD",FALSE,"Business Analysis"}</definedName>
    <definedName name="bla" hidden="1">1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3" hidden="1">#REF!</definedName>
    <definedName name="Blank4" hidden="1">#REF!</definedName>
    <definedName name="Blank5" hidden="1">#REF!</definedName>
    <definedName name="Blank6" hidden="1">#REF!</definedName>
    <definedName name="Blank7" hidden="1">#REF!</definedName>
    <definedName name="Blank8" hidden="1">#REF!</definedName>
    <definedName name="blblhbvhvjlvjkvkgjv" hidden="1">#REF!</definedName>
    <definedName name="BLP" hidden="1">#REF!</definedName>
    <definedName name="BLPB1" hidden="1">#REF!</definedName>
    <definedName name="BLPB10" hidden="1">#REF!</definedName>
    <definedName name="BLPB11" hidden="1">#REF!</definedName>
    <definedName name="BLPB12" hidden="1">#REF!</definedName>
    <definedName name="BLPB13" hidden="1">#REF!</definedName>
    <definedName name="BLPB14" hidden="1">#REF!</definedName>
    <definedName name="BLPB15" hidden="1">#REF!</definedName>
    <definedName name="BLPB16" hidden="1">#REF!</definedName>
    <definedName name="BLPB17" hidden="1">#REF!</definedName>
    <definedName name="BLPB18" hidden="1">#REF!</definedName>
    <definedName name="BLPB19" hidden="1">#REF!</definedName>
    <definedName name="BLPB2" hidden="1">#REF!</definedName>
    <definedName name="BLPB20" hidden="1">#REF!</definedName>
    <definedName name="BLPB21" hidden="1">#REF!</definedName>
    <definedName name="BLPB22" hidden="1">#REF!</definedName>
    <definedName name="BLPB23" hidden="1">#REF!</definedName>
    <definedName name="BLPB24" hidden="1">#REF!</definedName>
    <definedName name="BLPB25" hidden="1">#REF!</definedName>
    <definedName name="BLPB26" hidden="1">#REF!</definedName>
    <definedName name="BLPB27" hidden="1">#REF!</definedName>
    <definedName name="BLPB28" hidden="1">#REF!</definedName>
    <definedName name="BLPB29" hidden="1">#REF!</definedName>
    <definedName name="BLPB3" hidden="1">#REF!</definedName>
    <definedName name="BLPB30" hidden="1">#REF!</definedName>
    <definedName name="BLPB31" hidden="1">#REF!</definedName>
    <definedName name="BLPB32" hidden="1">#REF!</definedName>
    <definedName name="BLPB33" hidden="1">#REF!</definedName>
    <definedName name="BLPB34" hidden="1">#REF!</definedName>
    <definedName name="BLPB35" hidden="1">#REF!</definedName>
    <definedName name="BLPB36" hidden="1">#REF!</definedName>
    <definedName name="BLPB37" hidden="1">#REF!</definedName>
    <definedName name="BLPB38" hidden="1">#REF!</definedName>
    <definedName name="BLPB39" hidden="1">#REF!</definedName>
    <definedName name="BLPB4" hidden="1">#REF!</definedName>
    <definedName name="BLPB40" hidden="1">#REF!</definedName>
    <definedName name="BLPB41" hidden="1">#REF!</definedName>
    <definedName name="BLPB42" hidden="1">#REF!</definedName>
    <definedName name="BLPB43" hidden="1">#REF!</definedName>
    <definedName name="BLPB44" hidden="1">#REF!</definedName>
    <definedName name="BLPB45" hidden="1">#REF!</definedName>
    <definedName name="BLPB46" hidden="1">#REF!</definedName>
    <definedName name="BLPB47" hidden="1">#REF!</definedName>
    <definedName name="BLPB48" hidden="1">#REF!</definedName>
    <definedName name="BLPB49" hidden="1">#REF!</definedName>
    <definedName name="BLPB5" hidden="1">#REF!</definedName>
    <definedName name="BLPB6" hidden="1">#REF!</definedName>
    <definedName name="BLPB7" hidden="1">#REF!</definedName>
    <definedName name="BLPB8" hidden="1">#REF!</definedName>
    <definedName name="BLPB9" hidden="1">#REF!</definedName>
    <definedName name="BLPH1" localSheetId="7" hidden="1">#REF!</definedName>
    <definedName name="BLPH1" localSheetId="8" hidden="1">#REF!</definedName>
    <definedName name="BLPH1" hidden="1">#REF!</definedName>
    <definedName name="BLPH10" localSheetId="7" hidden="1">#REF!</definedName>
    <definedName name="BLPH10" localSheetId="8" hidden="1">#REF!</definedName>
    <definedName name="BLPH10" hidden="1">#REF!</definedName>
    <definedName name="BLPH100" hidden="1">#REF!</definedName>
    <definedName name="BLPH1000" hidden="1">#REF!</definedName>
    <definedName name="BLPH1000000001" hidden="1">#REF!</definedName>
    <definedName name="BLPH1000000002" hidden="1">#REF!</definedName>
    <definedName name="BLPH1000000003" hidden="1">#REF!</definedName>
    <definedName name="BLPH1000000004" hidden="1">#REF!</definedName>
    <definedName name="BLPH1000000005" hidden="1">#REF!</definedName>
    <definedName name="BLPH1000000006" hidden="1">#REF!</definedName>
    <definedName name="BLPH1000000007" hidden="1">#REF!</definedName>
    <definedName name="BLPH1000000008" hidden="1">#REF!</definedName>
    <definedName name="BLPH1000000009" hidden="1">#REF!</definedName>
    <definedName name="BLPH1000000010" hidden="1">#REF!</definedName>
    <definedName name="BLPH1000000029" hidden="1">#REF!</definedName>
    <definedName name="BLPH1000000030" hidden="1">#REF!</definedName>
    <definedName name="BLPH1000000031" hidden="1">#REF!</definedName>
    <definedName name="BLPH1000000032" hidden="1">#REF!</definedName>
    <definedName name="BLPH1000000033" hidden="1">#REF!</definedName>
    <definedName name="BLPH1000000034" hidden="1">#REF!</definedName>
    <definedName name="BLPH1000000035" hidden="1">#REF!</definedName>
    <definedName name="BLPH1000000036" hidden="1">#REF!</definedName>
    <definedName name="BLPH1000000037" hidden="1">#REF!</definedName>
    <definedName name="BLPH1000000038" hidden="1">#REF!</definedName>
    <definedName name="BLPH1000000039" hidden="1">#REF!</definedName>
    <definedName name="BLPH1000000040" hidden="1">#REF!</definedName>
    <definedName name="BLPH1000000041" hidden="1">#REF!</definedName>
    <definedName name="BLPH1000000042" hidden="1">#REF!</definedName>
    <definedName name="BLPH1000000043" hidden="1">#REF!</definedName>
    <definedName name="BLPH1000000044" hidden="1">#REF!</definedName>
    <definedName name="BLPH1000000045" hidden="1">#REF!</definedName>
    <definedName name="BLPH1001" hidden="1">#REF!</definedName>
    <definedName name="BLPH1002" hidden="1">#REF!</definedName>
    <definedName name="BLPH1003" hidden="1">#REF!</definedName>
    <definedName name="BLPH1004" hidden="1">#REF!</definedName>
    <definedName name="BLPH1005" hidden="1">#REF!</definedName>
    <definedName name="BLPH1006" hidden="1">#REF!</definedName>
    <definedName name="BLPH1007" hidden="1">#REF!</definedName>
    <definedName name="BLPH1008" hidden="1">#REF!</definedName>
    <definedName name="BLPH1009" hidden="1">#REF!</definedName>
    <definedName name="BLPH101" hidden="1">#REF!</definedName>
    <definedName name="BLPH1010" hidden="1">#REF!</definedName>
    <definedName name="BLPH1011" hidden="1">#REF!</definedName>
    <definedName name="BLPH1012" hidden="1">#REF!</definedName>
    <definedName name="BLPH1013" hidden="1">#REF!</definedName>
    <definedName name="BLPH1014" hidden="1">#REF!</definedName>
    <definedName name="BLPH1015" hidden="1">#REF!</definedName>
    <definedName name="BLPH1016" hidden="1">#REF!</definedName>
    <definedName name="BLPH1017" hidden="1">#REF!</definedName>
    <definedName name="BLPH1018" hidden="1">#REF!</definedName>
    <definedName name="BLPH1019" hidden="1">#REF!</definedName>
    <definedName name="BLPH102" hidden="1">#REF!</definedName>
    <definedName name="BLPH1020" hidden="1">#REF!</definedName>
    <definedName name="BLPH1021" hidden="1">#REF!</definedName>
    <definedName name="BLPH1022" hidden="1">#REF!</definedName>
    <definedName name="BLPH1023" hidden="1">#REF!</definedName>
    <definedName name="BLPH1024" hidden="1">#REF!</definedName>
    <definedName name="BLPH1025" hidden="1">#REF!</definedName>
    <definedName name="BLPH1026" hidden="1">#REF!</definedName>
    <definedName name="BLPH1027" hidden="1">#REF!</definedName>
    <definedName name="BLPH1028" hidden="1">#REF!</definedName>
    <definedName name="BLPH1029" hidden="1">#REF!</definedName>
    <definedName name="BLPH103" hidden="1">#REF!</definedName>
    <definedName name="BLPH1030" hidden="1">#REF!</definedName>
    <definedName name="BLPH1031" hidden="1">#REF!</definedName>
    <definedName name="BLPH1032" hidden="1">#REF!</definedName>
    <definedName name="BLPH1033" hidden="1">#REF!</definedName>
    <definedName name="BLPH1034" hidden="1">#REF!</definedName>
    <definedName name="BLPH1035" hidden="1">#REF!</definedName>
    <definedName name="BLPH1036" hidden="1">#REF!</definedName>
    <definedName name="BLPH1037" hidden="1">#REF!</definedName>
    <definedName name="BLPH1038" hidden="1">#REF!</definedName>
    <definedName name="BLPH1039" hidden="1">#REF!</definedName>
    <definedName name="BLPH104" hidden="1">#REF!</definedName>
    <definedName name="BLPH1040" hidden="1">#REF!</definedName>
    <definedName name="BLPH1041" hidden="1">#REF!</definedName>
    <definedName name="BLPH1042" hidden="1">#REF!</definedName>
    <definedName name="BLPH1043" hidden="1">#REF!</definedName>
    <definedName name="BLPH1044" hidden="1">#REF!</definedName>
    <definedName name="BLPH1045" hidden="1">#REF!</definedName>
    <definedName name="BLPH1046" hidden="1">#REF!</definedName>
    <definedName name="BLPH1047" hidden="1">#REF!</definedName>
    <definedName name="BLPH1048" hidden="1">#REF!</definedName>
    <definedName name="BLPH1049" hidden="1">#REF!</definedName>
    <definedName name="BLPH105" hidden="1">#REF!</definedName>
    <definedName name="BLPH1050" hidden="1">#REF!</definedName>
    <definedName name="BLPH1051" hidden="1">#REF!</definedName>
    <definedName name="BLPH1052" hidden="1">#REF!</definedName>
    <definedName name="BLPH1053" hidden="1">#REF!</definedName>
    <definedName name="BLPH1054" hidden="1">#REF!</definedName>
    <definedName name="BLPH1055" hidden="1">#REF!</definedName>
    <definedName name="BLPH1056" hidden="1">#REF!</definedName>
    <definedName name="BLPH1057" hidden="1">#REF!</definedName>
    <definedName name="BLPH1058" hidden="1">#REF!</definedName>
    <definedName name="BLPH1059" hidden="1">#REF!</definedName>
    <definedName name="BLPH106" hidden="1">#REF!</definedName>
    <definedName name="BLPH1060" hidden="1">#REF!</definedName>
    <definedName name="BLPH1061" hidden="1">#REF!</definedName>
    <definedName name="BLPH1062" hidden="1">#REF!</definedName>
    <definedName name="BLPH1063" hidden="1">#REF!</definedName>
    <definedName name="BLPH1064" hidden="1">#REF!</definedName>
    <definedName name="BLPH1065" hidden="1">#REF!</definedName>
    <definedName name="BLPH1066" hidden="1">#REF!</definedName>
    <definedName name="BLPH1067" hidden="1">#REF!</definedName>
    <definedName name="BLPH1068" hidden="1">#REF!</definedName>
    <definedName name="BLPH1069" hidden="1">#REF!</definedName>
    <definedName name="BLPH107" hidden="1">#REF!</definedName>
    <definedName name="BLPH1070" hidden="1">#REF!</definedName>
    <definedName name="BLPH1071" hidden="1">#REF!</definedName>
    <definedName name="BLPH1072" hidden="1">#REF!</definedName>
    <definedName name="BLPH1073" hidden="1">#REF!</definedName>
    <definedName name="BLPH1074" hidden="1">#REF!</definedName>
    <definedName name="BLPH1075" hidden="1">#REF!</definedName>
    <definedName name="BLPH1076" hidden="1">#REF!</definedName>
    <definedName name="BLPH1077" hidden="1">#REF!</definedName>
    <definedName name="BLPH1078" hidden="1">#REF!</definedName>
    <definedName name="BLPH1079" hidden="1">#REF!</definedName>
    <definedName name="BLPH108" hidden="1">#REF!</definedName>
    <definedName name="BLPH1080" hidden="1">#REF!</definedName>
    <definedName name="BLPH1081" hidden="1">#REF!</definedName>
    <definedName name="BLPH1082" hidden="1">#REF!</definedName>
    <definedName name="BLPH1083" hidden="1">#REF!</definedName>
    <definedName name="BLPH1084" hidden="1">#REF!</definedName>
    <definedName name="BLPH1085" hidden="1">#REF!</definedName>
    <definedName name="BLPH1086" hidden="1">#REF!</definedName>
    <definedName name="BLPH1087" hidden="1">#REF!</definedName>
    <definedName name="BLPH1088" hidden="1">#REF!</definedName>
    <definedName name="BLPH1089" hidden="1">#REF!</definedName>
    <definedName name="BLPH109" hidden="1">#REF!</definedName>
    <definedName name="BLPH1090" hidden="1">#REF!</definedName>
    <definedName name="BLPH1091" hidden="1">#REF!</definedName>
    <definedName name="BLPH1092" hidden="1">#REF!</definedName>
    <definedName name="BLPH1093" hidden="1">#REF!</definedName>
    <definedName name="BLPH1094" hidden="1">#REF!</definedName>
    <definedName name="BLPH1095" hidden="1">#REF!</definedName>
    <definedName name="BLPH1096" hidden="1">#REF!</definedName>
    <definedName name="BLPH1097" hidden="1">#REF!</definedName>
    <definedName name="BLPH1098" hidden="1">#REF!</definedName>
    <definedName name="BLPH1099" hidden="1">#REF!</definedName>
    <definedName name="BLPH11" localSheetId="7" hidden="1">#REF!</definedName>
    <definedName name="BLPH11" localSheetId="8" hidden="1">#REF!</definedName>
    <definedName name="BLPH11" hidden="1">#REF!</definedName>
    <definedName name="BLPH110" hidden="1">#REF!</definedName>
    <definedName name="BLPH1100" hidden="1">#REF!</definedName>
    <definedName name="BLPH1101" hidden="1">#REF!</definedName>
    <definedName name="BLPH1102" hidden="1">#REF!</definedName>
    <definedName name="BLPH1103" hidden="1">#REF!</definedName>
    <definedName name="BLPH1104" hidden="1">#REF!</definedName>
    <definedName name="BLPH1105" hidden="1">#REF!</definedName>
    <definedName name="BLPH1106" hidden="1">#REF!</definedName>
    <definedName name="BLPH1107" hidden="1">#REF!</definedName>
    <definedName name="BLPH1108" hidden="1">#REF!</definedName>
    <definedName name="BLPH1109" hidden="1">#REF!</definedName>
    <definedName name="BLPH111" hidden="1">#REF!</definedName>
    <definedName name="BLPH1110" hidden="1">#REF!</definedName>
    <definedName name="BLPH1111" hidden="1">#REF!</definedName>
    <definedName name="BLPH1112" hidden="1">#REF!</definedName>
    <definedName name="BLPH1113" hidden="1">#REF!</definedName>
    <definedName name="BLPH1114" hidden="1">#REF!</definedName>
    <definedName name="BLPH1115" hidden="1">#REF!</definedName>
    <definedName name="BLPH1116" hidden="1">#REF!</definedName>
    <definedName name="BLPH1117" hidden="1">#REF!</definedName>
    <definedName name="BLPH1118" hidden="1">#REF!</definedName>
    <definedName name="BLPH1119" hidden="1">#REF!</definedName>
    <definedName name="BLPH112" hidden="1">#REF!</definedName>
    <definedName name="BLPH1120" hidden="1">#REF!</definedName>
    <definedName name="BLPH1121" hidden="1">#REF!</definedName>
    <definedName name="BLPH1122" hidden="1">#REF!</definedName>
    <definedName name="BLPH1123" hidden="1">#REF!</definedName>
    <definedName name="BLPH1124" hidden="1">#REF!</definedName>
    <definedName name="BLPH1125" hidden="1">#REF!</definedName>
    <definedName name="BLPH1126" hidden="1">#REF!</definedName>
    <definedName name="BLPH1127" hidden="1">#REF!</definedName>
    <definedName name="BLPH1128" hidden="1">#REF!</definedName>
    <definedName name="BLPH1129" hidden="1">#REF!</definedName>
    <definedName name="BLPH113" hidden="1">#REF!</definedName>
    <definedName name="BLPH1130" hidden="1">#REF!</definedName>
    <definedName name="BLPH1131" hidden="1">#REF!</definedName>
    <definedName name="BLPH1132" hidden="1">#REF!</definedName>
    <definedName name="BLPH1133" hidden="1">#REF!</definedName>
    <definedName name="BLPH1134" hidden="1">#REF!</definedName>
    <definedName name="BLPH1135" hidden="1">#REF!</definedName>
    <definedName name="BLPH1136" hidden="1">#REF!</definedName>
    <definedName name="BLPH1137" hidden="1">#REF!</definedName>
    <definedName name="BLPH1138" hidden="1">#REF!</definedName>
    <definedName name="BLPH1139" hidden="1">#REF!</definedName>
    <definedName name="BLPH114" hidden="1">#REF!</definedName>
    <definedName name="BLPH1140" hidden="1">#REF!</definedName>
    <definedName name="BLPH1141" hidden="1">#REF!</definedName>
    <definedName name="BLPH1142" hidden="1">#REF!</definedName>
    <definedName name="BLPH1143" hidden="1">#REF!</definedName>
    <definedName name="BLPH1144" hidden="1">#REF!</definedName>
    <definedName name="BLPH1145" hidden="1">#REF!</definedName>
    <definedName name="BLPH1146" hidden="1">#REF!</definedName>
    <definedName name="BLPH1147" hidden="1">#REF!</definedName>
    <definedName name="BLPH1148" hidden="1">#REF!</definedName>
    <definedName name="BLPH1149" hidden="1">#REF!</definedName>
    <definedName name="BLPH115" hidden="1">#REF!</definedName>
    <definedName name="BLPH1150" hidden="1">#REF!</definedName>
    <definedName name="BLPH1151" hidden="1">#REF!</definedName>
    <definedName name="BLPH1152" hidden="1">#REF!</definedName>
    <definedName name="BLPH1153" hidden="1">#REF!</definedName>
    <definedName name="BLPH1154" hidden="1">#REF!</definedName>
    <definedName name="BLPH1155" hidden="1">#REF!</definedName>
    <definedName name="BLPH1156" hidden="1">#REF!</definedName>
    <definedName name="BLPH1157" hidden="1">#REF!</definedName>
    <definedName name="BLPH1158" hidden="1">#REF!</definedName>
    <definedName name="BLPH1159" hidden="1">#REF!</definedName>
    <definedName name="BLPH116" hidden="1">#REF!</definedName>
    <definedName name="BLPH1160" hidden="1">#REF!</definedName>
    <definedName name="BLPH1161" hidden="1">#REF!</definedName>
    <definedName name="BLPH1162" hidden="1">#REF!</definedName>
    <definedName name="BLPH1163" hidden="1">#REF!</definedName>
    <definedName name="BLPH1164" hidden="1">#REF!</definedName>
    <definedName name="BLPH1165" hidden="1">#REF!</definedName>
    <definedName name="BLPH1166" hidden="1">#REF!</definedName>
    <definedName name="BLPH1167" hidden="1">#REF!</definedName>
    <definedName name="BLPH1168" hidden="1">#REF!</definedName>
    <definedName name="BLPH1169" hidden="1">#REF!</definedName>
    <definedName name="BLPH117" hidden="1">#REF!</definedName>
    <definedName name="BLPH1170" hidden="1">#REF!</definedName>
    <definedName name="BLPH1171" hidden="1">#REF!</definedName>
    <definedName name="BLPH1172" hidden="1">#REF!</definedName>
    <definedName name="BLPH1173" hidden="1">#REF!</definedName>
    <definedName name="BLPH1174" hidden="1">#REF!</definedName>
    <definedName name="BLPH1175" hidden="1">#REF!</definedName>
    <definedName name="BLPH1176" hidden="1">#REF!</definedName>
    <definedName name="BLPH1177" hidden="1">#REF!</definedName>
    <definedName name="BLPH1178" hidden="1">#REF!</definedName>
    <definedName name="BLPH1179" hidden="1">#REF!</definedName>
    <definedName name="BLPH118" hidden="1">#REF!</definedName>
    <definedName name="BLPH1180" hidden="1">#REF!</definedName>
    <definedName name="BLPH1181" hidden="1">#REF!</definedName>
    <definedName name="BLPH1182" hidden="1">#REF!</definedName>
    <definedName name="BLPH1183" hidden="1">#REF!</definedName>
    <definedName name="BLPH1184" hidden="1">#REF!</definedName>
    <definedName name="BLPH1185" hidden="1">#REF!</definedName>
    <definedName name="BLPH1186" hidden="1">#REF!</definedName>
    <definedName name="BLPH1187" hidden="1">#REF!</definedName>
    <definedName name="BLPH1188" hidden="1">#REF!</definedName>
    <definedName name="BLPH1189" hidden="1">#REF!</definedName>
    <definedName name="BLPH119" hidden="1">#REF!</definedName>
    <definedName name="BLPH1190" hidden="1">#REF!</definedName>
    <definedName name="BLPH1191" hidden="1">#REF!</definedName>
    <definedName name="BLPH1192" hidden="1">#REF!</definedName>
    <definedName name="BLPH1193" hidden="1">#REF!</definedName>
    <definedName name="BLPH1194" hidden="1">#REF!</definedName>
    <definedName name="BLPH1195" hidden="1">#REF!</definedName>
    <definedName name="BLPH1196" hidden="1">#REF!</definedName>
    <definedName name="BLPH1197" hidden="1">#REF!</definedName>
    <definedName name="BLPH1198" hidden="1">#REF!</definedName>
    <definedName name="BLPH1199" hidden="1">#REF!</definedName>
    <definedName name="BLPH12" localSheetId="7" hidden="1">#REF!</definedName>
    <definedName name="BLPH12" localSheetId="8" hidden="1">#REF!</definedName>
    <definedName name="BLPH12" hidden="1">#REF!</definedName>
    <definedName name="BLPH120" hidden="1">#REF!</definedName>
    <definedName name="BLPH1200" hidden="1">#REF!</definedName>
    <definedName name="BLPH1201" hidden="1">#REF!</definedName>
    <definedName name="BLPH1202" hidden="1">#REF!</definedName>
    <definedName name="BLPH1203" hidden="1">#REF!</definedName>
    <definedName name="BLPH1204" hidden="1">#REF!</definedName>
    <definedName name="BLPH1205" hidden="1">#REF!</definedName>
    <definedName name="BLPH1206" hidden="1">#REF!</definedName>
    <definedName name="BLPH1207" hidden="1">#REF!</definedName>
    <definedName name="BLPH1208" hidden="1">#REF!</definedName>
    <definedName name="BLPH1209" hidden="1">#REF!</definedName>
    <definedName name="BLPH121" hidden="1">#REF!</definedName>
    <definedName name="BLPH1210" hidden="1">#REF!</definedName>
    <definedName name="BLPH1211" hidden="1">#REF!</definedName>
    <definedName name="BLPH1212" hidden="1">#REF!</definedName>
    <definedName name="BLPH1213" hidden="1">#REF!</definedName>
    <definedName name="BLPH1214" hidden="1">#REF!</definedName>
    <definedName name="BLPH1215" hidden="1">#REF!</definedName>
    <definedName name="BLPH1216" hidden="1">#REF!</definedName>
    <definedName name="BLPH1217" hidden="1">#REF!</definedName>
    <definedName name="BLPH1218" hidden="1">#REF!</definedName>
    <definedName name="BLPH1219" hidden="1">#REF!</definedName>
    <definedName name="BLPH122" hidden="1">#REF!</definedName>
    <definedName name="BLPH1220" hidden="1">#REF!</definedName>
    <definedName name="BLPH1221" hidden="1">#REF!</definedName>
    <definedName name="BLPH1222" hidden="1">#REF!</definedName>
    <definedName name="BLPH1223" hidden="1">#REF!</definedName>
    <definedName name="BLPH1224" hidden="1">#REF!</definedName>
    <definedName name="BLPH1225" hidden="1">#REF!</definedName>
    <definedName name="BLPH1226" hidden="1">#REF!</definedName>
    <definedName name="BLPH1227" hidden="1">#REF!</definedName>
    <definedName name="BLPH1228" hidden="1">#REF!</definedName>
    <definedName name="BLPH1229" hidden="1">#REF!</definedName>
    <definedName name="BLPH123" hidden="1">#REF!</definedName>
    <definedName name="BLPH1230" hidden="1">#REF!</definedName>
    <definedName name="BLPH1231" hidden="1">#REF!</definedName>
    <definedName name="BLPH1232" hidden="1">#REF!</definedName>
    <definedName name="BLPH1233" hidden="1">#REF!</definedName>
    <definedName name="BLPH1234" hidden="1">#REF!</definedName>
    <definedName name="BLPH1235" hidden="1">#REF!</definedName>
    <definedName name="BLPH1236" hidden="1">#REF!</definedName>
    <definedName name="BLPH1237" hidden="1">#REF!</definedName>
    <definedName name="BLPH1238" hidden="1">#REF!</definedName>
    <definedName name="BLPH1239" hidden="1">#REF!</definedName>
    <definedName name="BLPH124" hidden="1">#REF!</definedName>
    <definedName name="BLPH1240" hidden="1">#REF!</definedName>
    <definedName name="BLPH1241" hidden="1">#REF!</definedName>
    <definedName name="BLPH1242" hidden="1">#REF!</definedName>
    <definedName name="BLPH1243" hidden="1">#REF!</definedName>
    <definedName name="BLPH1244" hidden="1">#REF!</definedName>
    <definedName name="BLPH1245" hidden="1">#REF!</definedName>
    <definedName name="BLPH1246" hidden="1">#REF!</definedName>
    <definedName name="BLPH1247" hidden="1">#REF!</definedName>
    <definedName name="BLPH1248" hidden="1">#REF!</definedName>
    <definedName name="BLPH1249" hidden="1">#REF!</definedName>
    <definedName name="BLPH125" hidden="1">#REF!</definedName>
    <definedName name="BLPH1250" hidden="1">#REF!</definedName>
    <definedName name="BLPH1251" hidden="1">#REF!</definedName>
    <definedName name="BLPH1252" hidden="1">#REF!</definedName>
    <definedName name="BLPH1253" hidden="1">#REF!</definedName>
    <definedName name="BLPH1254" hidden="1">#REF!</definedName>
    <definedName name="BLPH1255" hidden="1">#REF!</definedName>
    <definedName name="BLPH1256" hidden="1">#REF!</definedName>
    <definedName name="BLPH1257" hidden="1">#REF!</definedName>
    <definedName name="BLPH1258" hidden="1">#REF!</definedName>
    <definedName name="BLPH1259" hidden="1">#REF!</definedName>
    <definedName name="BLPH126" hidden="1">#REF!</definedName>
    <definedName name="BLPH1260" hidden="1">#REF!</definedName>
    <definedName name="BLPH1261" hidden="1">#REF!</definedName>
    <definedName name="BLPH1262" hidden="1">#REF!</definedName>
    <definedName name="BLPH1263" hidden="1">#REF!</definedName>
    <definedName name="BLPH1264" hidden="1">#REF!</definedName>
    <definedName name="BLPH1265" hidden="1">#REF!</definedName>
    <definedName name="BLPH1266" hidden="1">#REF!</definedName>
    <definedName name="BLPH1267" hidden="1">#REF!</definedName>
    <definedName name="BLPH1268" hidden="1">#REF!</definedName>
    <definedName name="BLPH1269" hidden="1">#REF!</definedName>
    <definedName name="BLPH127" hidden="1">#REF!</definedName>
    <definedName name="BLPH1270" hidden="1">#REF!</definedName>
    <definedName name="BLPH1271" hidden="1">#REF!</definedName>
    <definedName name="BLPH1272" hidden="1">#REF!</definedName>
    <definedName name="BLPH1273" hidden="1">#REF!</definedName>
    <definedName name="BLPH1274" hidden="1">#REF!</definedName>
    <definedName name="BLPH1275" hidden="1">#REF!</definedName>
    <definedName name="BLPH1276" hidden="1">#REF!</definedName>
    <definedName name="BLPH1277" hidden="1">#REF!</definedName>
    <definedName name="BLPH1278" hidden="1">#REF!</definedName>
    <definedName name="BLPH1279" hidden="1">#REF!</definedName>
    <definedName name="BLPH128" hidden="1">#REF!</definedName>
    <definedName name="BLPH1280" hidden="1">#REF!</definedName>
    <definedName name="BLPH1281" hidden="1">#REF!</definedName>
    <definedName name="BLPH1282" hidden="1">#REF!</definedName>
    <definedName name="BLPH1283" hidden="1">#REF!</definedName>
    <definedName name="BLPH1284" hidden="1">#REF!</definedName>
    <definedName name="BLPH1285" hidden="1">#REF!</definedName>
    <definedName name="BLPH1286" hidden="1">#REF!</definedName>
    <definedName name="BLPH1287" hidden="1">#REF!</definedName>
    <definedName name="BLPH1288" hidden="1">#REF!</definedName>
    <definedName name="BLPH1289" hidden="1">#REF!</definedName>
    <definedName name="BLPH129" hidden="1">#REF!</definedName>
    <definedName name="BLPH1290" hidden="1">#REF!</definedName>
    <definedName name="BLPH1291" hidden="1">#REF!</definedName>
    <definedName name="BLPH1292" hidden="1">#REF!</definedName>
    <definedName name="BLPH1293" hidden="1">#REF!</definedName>
    <definedName name="BLPH1294" hidden="1">#REF!</definedName>
    <definedName name="BLPH1295" hidden="1">#REF!</definedName>
    <definedName name="BLPH1296" hidden="1">#REF!</definedName>
    <definedName name="BLPH1297" hidden="1">#REF!</definedName>
    <definedName name="BLPH1298" hidden="1">#REF!</definedName>
    <definedName name="BLPH1299" hidden="1">#REF!</definedName>
    <definedName name="BLPH13" localSheetId="7" hidden="1">#REF!</definedName>
    <definedName name="BLPH13" localSheetId="8" hidden="1">#REF!</definedName>
    <definedName name="BLPH13" hidden="1">#REF!</definedName>
    <definedName name="BLPH130" hidden="1">#REF!</definedName>
    <definedName name="BLPH1300" hidden="1">#REF!</definedName>
    <definedName name="BLPH1301" hidden="1">#REF!</definedName>
    <definedName name="BLPH1302" hidden="1">#REF!</definedName>
    <definedName name="BLPH1303" hidden="1">#REF!</definedName>
    <definedName name="BLPH1304" hidden="1">#REF!</definedName>
    <definedName name="BLPH1305" hidden="1">#REF!</definedName>
    <definedName name="BLPH1306" hidden="1">#REF!</definedName>
    <definedName name="BLPH1307" hidden="1">#REF!</definedName>
    <definedName name="BLPH1308" hidden="1">#REF!</definedName>
    <definedName name="BLPH1309" hidden="1">#REF!</definedName>
    <definedName name="BLPH131" hidden="1">#REF!</definedName>
    <definedName name="BLPH1310" hidden="1">#REF!</definedName>
    <definedName name="BLPH1311" hidden="1">#REF!</definedName>
    <definedName name="BLPH1312" hidden="1">#REF!</definedName>
    <definedName name="BLPH1313" hidden="1">#REF!</definedName>
    <definedName name="BLPH1314" hidden="1">#REF!</definedName>
    <definedName name="BLPH1315" hidden="1">#REF!</definedName>
    <definedName name="BLPH1316" hidden="1">#REF!</definedName>
    <definedName name="BLPH1317" hidden="1">#REF!</definedName>
    <definedName name="BLPH1318" hidden="1">#REF!</definedName>
    <definedName name="BLPH1319" hidden="1">#REF!</definedName>
    <definedName name="BLPH132" hidden="1">#REF!</definedName>
    <definedName name="BLPH1320" hidden="1">#REF!</definedName>
    <definedName name="BLPH1321" hidden="1">#REF!</definedName>
    <definedName name="BLPH1322" hidden="1">#REF!</definedName>
    <definedName name="BLPH1323" hidden="1">#REF!</definedName>
    <definedName name="BLPH1324" hidden="1">#REF!</definedName>
    <definedName name="BLPH1325" hidden="1">#REF!</definedName>
    <definedName name="BLPH1326" hidden="1">#REF!</definedName>
    <definedName name="BLPH1327" hidden="1">#REF!</definedName>
    <definedName name="BLPH1328" hidden="1">#REF!</definedName>
    <definedName name="BLPH1329" hidden="1">#REF!</definedName>
    <definedName name="BLPH133" hidden="1">#REF!</definedName>
    <definedName name="BLPH1330" hidden="1">#REF!</definedName>
    <definedName name="BLPH1331" hidden="1">#REF!</definedName>
    <definedName name="BLPH1332" hidden="1">#REF!</definedName>
    <definedName name="BLPH1333" hidden="1">#REF!</definedName>
    <definedName name="BLPH1334" hidden="1">#REF!</definedName>
    <definedName name="BLPH1335" hidden="1">#REF!</definedName>
    <definedName name="BLPH1336" hidden="1">#REF!</definedName>
    <definedName name="BLPH1337" hidden="1">#REF!</definedName>
    <definedName name="BLPH1338" hidden="1">#REF!</definedName>
    <definedName name="BLPH1339" hidden="1">#REF!</definedName>
    <definedName name="BLPH134" hidden="1">#REF!</definedName>
    <definedName name="BLPH1340" hidden="1">#REF!</definedName>
    <definedName name="BLPH1341" hidden="1">#REF!</definedName>
    <definedName name="BLPH1342" hidden="1">#REF!</definedName>
    <definedName name="BLPH1343" hidden="1">#REF!</definedName>
    <definedName name="BLPH1344" hidden="1">#REF!</definedName>
    <definedName name="BLPH1345" hidden="1">#REF!</definedName>
    <definedName name="BLPH1346" hidden="1">#REF!</definedName>
    <definedName name="BLPH1347" hidden="1">#REF!</definedName>
    <definedName name="BLPH1348" hidden="1">#REF!</definedName>
    <definedName name="BLPH1349" hidden="1">#REF!</definedName>
    <definedName name="BLPH135" hidden="1">#REF!</definedName>
    <definedName name="BLPH1350" hidden="1">#REF!</definedName>
    <definedName name="BLPH1351" hidden="1">#REF!</definedName>
    <definedName name="BLPH1352" hidden="1">#REF!</definedName>
    <definedName name="BLPH1353" hidden="1">#REF!</definedName>
    <definedName name="BLPH1354" hidden="1">#REF!</definedName>
    <definedName name="BLPH1355" hidden="1">#REF!</definedName>
    <definedName name="BLPH1356" hidden="1">#REF!</definedName>
    <definedName name="BLPH1357" hidden="1">#REF!</definedName>
    <definedName name="BLPH1358" hidden="1">#REF!</definedName>
    <definedName name="BLPH1359" hidden="1">#REF!</definedName>
    <definedName name="BLPH136" hidden="1">#REF!</definedName>
    <definedName name="BLPH1360" hidden="1">#REF!</definedName>
    <definedName name="BLPH1361" hidden="1">#REF!</definedName>
    <definedName name="BLPH1362" hidden="1">#REF!</definedName>
    <definedName name="BLPH1363" hidden="1">#REF!</definedName>
    <definedName name="BLPH1364" hidden="1">#REF!</definedName>
    <definedName name="BLPH1365" hidden="1">#REF!</definedName>
    <definedName name="BLPH1366" hidden="1">#REF!</definedName>
    <definedName name="BLPH1367" hidden="1">#REF!</definedName>
    <definedName name="BLPH1368" hidden="1">#REF!</definedName>
    <definedName name="BLPH1369" hidden="1">#REF!</definedName>
    <definedName name="BLPH137" hidden="1">#REF!</definedName>
    <definedName name="BLPH1370" hidden="1">#REF!</definedName>
    <definedName name="BLPH1371" hidden="1">#REF!</definedName>
    <definedName name="BLPH1372" hidden="1">#REF!</definedName>
    <definedName name="BLPH1373" hidden="1">#REF!</definedName>
    <definedName name="BLPH1374" hidden="1">#REF!</definedName>
    <definedName name="BLPH1375" hidden="1">#REF!</definedName>
    <definedName name="BLPH1376" hidden="1">#REF!</definedName>
    <definedName name="BLPH1377" hidden="1">#REF!</definedName>
    <definedName name="BLPH1378" hidden="1">#REF!</definedName>
    <definedName name="BLPH1379" hidden="1">#REF!</definedName>
    <definedName name="BLPH138" hidden="1">#REF!</definedName>
    <definedName name="BLPH1380" hidden="1">#REF!</definedName>
    <definedName name="BLPH1381" hidden="1">#REF!</definedName>
    <definedName name="BLPH1382" hidden="1">#REF!</definedName>
    <definedName name="BLPH1383" hidden="1">#REF!</definedName>
    <definedName name="BLPH1384" hidden="1">#REF!</definedName>
    <definedName name="BLPH1385" hidden="1">#REF!</definedName>
    <definedName name="BLPH1386" hidden="1">#REF!</definedName>
    <definedName name="BLPH1387" hidden="1">#REF!</definedName>
    <definedName name="BLPH1388" hidden="1">#REF!</definedName>
    <definedName name="BLPH1389" hidden="1">#REF!</definedName>
    <definedName name="BLPH139" hidden="1">#REF!</definedName>
    <definedName name="BLPH1390" hidden="1">#REF!</definedName>
    <definedName name="BLPH1391" hidden="1">#REF!</definedName>
    <definedName name="BLPH1392" hidden="1">#REF!</definedName>
    <definedName name="BLPH1393" hidden="1">#REF!</definedName>
    <definedName name="BLPH1394" hidden="1">#REF!</definedName>
    <definedName name="BLPH1395" hidden="1">#REF!</definedName>
    <definedName name="BLPH1396" hidden="1">#REF!</definedName>
    <definedName name="BLPH1397" hidden="1">#REF!</definedName>
    <definedName name="BLPH1398" hidden="1">#REF!</definedName>
    <definedName name="BLPH1399" hidden="1">#REF!</definedName>
    <definedName name="BLPH14" localSheetId="7" hidden="1">#REF!</definedName>
    <definedName name="BLPH14" localSheetId="8" hidden="1">#REF!</definedName>
    <definedName name="BLPH14" hidden="1">#REF!</definedName>
    <definedName name="BLPH140" hidden="1">#REF!</definedName>
    <definedName name="BLPH1400" hidden="1">#REF!</definedName>
    <definedName name="BLPH1401" hidden="1">#REF!</definedName>
    <definedName name="BLPH1402" hidden="1">#REF!</definedName>
    <definedName name="BLPH1403" hidden="1">#REF!</definedName>
    <definedName name="BLPH1404" hidden="1">#REF!</definedName>
    <definedName name="BLPH1405" hidden="1">#REF!</definedName>
    <definedName name="BLPH1406" hidden="1">#REF!</definedName>
    <definedName name="BLPH1407" hidden="1">#REF!</definedName>
    <definedName name="BLPH1408" hidden="1">#REF!</definedName>
    <definedName name="BLPH1409" hidden="1">#REF!</definedName>
    <definedName name="BLPH141" hidden="1">#REF!</definedName>
    <definedName name="BLPH1410" hidden="1">#REF!</definedName>
    <definedName name="BLPH1411" hidden="1">#REF!</definedName>
    <definedName name="BLPH1412" hidden="1">#REF!</definedName>
    <definedName name="BLPH1413" hidden="1">#REF!</definedName>
    <definedName name="BLPH1414" hidden="1">#REF!</definedName>
    <definedName name="BLPH1415" hidden="1">#REF!</definedName>
    <definedName name="BLPH1416" hidden="1">#REF!</definedName>
    <definedName name="BLPH1417" hidden="1">#REF!</definedName>
    <definedName name="BLPH1418" hidden="1">#REF!</definedName>
    <definedName name="BLPH1419" hidden="1">#REF!</definedName>
    <definedName name="BLPH142" hidden="1">#REF!</definedName>
    <definedName name="BLPH1420" hidden="1">#REF!</definedName>
    <definedName name="BLPH1421" hidden="1">#REF!</definedName>
    <definedName name="BLPH1422" hidden="1">#REF!</definedName>
    <definedName name="BLPH1423" hidden="1">#REF!</definedName>
    <definedName name="BLPH1424" hidden="1">#REF!</definedName>
    <definedName name="BLPH1425" hidden="1">#REF!</definedName>
    <definedName name="BLPH1426" hidden="1">#REF!</definedName>
    <definedName name="BLPH1427" hidden="1">#REF!</definedName>
    <definedName name="BLPH1428" hidden="1">#REF!</definedName>
    <definedName name="BLPH1429" hidden="1">#REF!</definedName>
    <definedName name="BLPH143" hidden="1">#REF!</definedName>
    <definedName name="BLPH1430" hidden="1">#REF!</definedName>
    <definedName name="BLPH1431" hidden="1">#REF!</definedName>
    <definedName name="BLPH1434" hidden="1">#REF!</definedName>
    <definedName name="BLPH1435" hidden="1">#REF!</definedName>
    <definedName name="BLPH1436" hidden="1">#REF!</definedName>
    <definedName name="BLPH1437" hidden="1">#REF!</definedName>
    <definedName name="BLPH1438" hidden="1">#REF!</definedName>
    <definedName name="BLPH1439" hidden="1">#REF!</definedName>
    <definedName name="BLPH144" hidden="1">#REF!</definedName>
    <definedName name="BLPH1440" hidden="1">#REF!</definedName>
    <definedName name="BLPH1441" hidden="1">#REF!</definedName>
    <definedName name="BLPH1442" hidden="1">#REF!</definedName>
    <definedName name="BLPH1443" hidden="1">#REF!</definedName>
    <definedName name="BLPH1444" hidden="1">#REF!</definedName>
    <definedName name="BLPH1445" hidden="1">#REF!</definedName>
    <definedName name="BLPH1446" hidden="1">#REF!</definedName>
    <definedName name="BLPH1447" hidden="1">#REF!</definedName>
    <definedName name="BLPH1448" hidden="1">#REF!</definedName>
    <definedName name="BLPH1449" hidden="1">#REF!</definedName>
    <definedName name="BLPH145" hidden="1">#REF!</definedName>
    <definedName name="BLPH1450" hidden="1">#REF!</definedName>
    <definedName name="BLPH1451" hidden="1">#REF!</definedName>
    <definedName name="BLPH1452" hidden="1">#REF!</definedName>
    <definedName name="BLPH1453" hidden="1">#REF!</definedName>
    <definedName name="BLPH1454" hidden="1">#REF!</definedName>
    <definedName name="BLPH1455" hidden="1">#REF!</definedName>
    <definedName name="BLPH1456" hidden="1">#REF!</definedName>
    <definedName name="BLPH1457" hidden="1">#REF!</definedName>
    <definedName name="BLPH1458" hidden="1">#REF!</definedName>
    <definedName name="BLPH1459" hidden="1">#REF!</definedName>
    <definedName name="BLPH146" hidden="1">#REF!</definedName>
    <definedName name="BLPH1460" hidden="1">#REF!</definedName>
    <definedName name="BLPH1461" hidden="1">#REF!</definedName>
    <definedName name="BLPH1462" hidden="1">#REF!</definedName>
    <definedName name="BLPH1463" hidden="1">#REF!</definedName>
    <definedName name="BLPH1464" hidden="1">#REF!</definedName>
    <definedName name="BLPH1465" hidden="1">#REF!</definedName>
    <definedName name="BLPH1466" hidden="1">#REF!</definedName>
    <definedName name="BLPH1467" hidden="1">#REF!</definedName>
    <definedName name="BLPH1468" hidden="1">#REF!</definedName>
    <definedName name="BLPH1469" hidden="1">#REF!</definedName>
    <definedName name="BLPH147" hidden="1">#REF!</definedName>
    <definedName name="BLPH1470" hidden="1">#REF!</definedName>
    <definedName name="BLPH1471" hidden="1">#REF!</definedName>
    <definedName name="BLPH1472" hidden="1">#REF!</definedName>
    <definedName name="BLPH1473" hidden="1">#REF!</definedName>
    <definedName name="BLPH1474" hidden="1">#REF!</definedName>
    <definedName name="BLPH1475" hidden="1">#REF!</definedName>
    <definedName name="BLPH1476" hidden="1">#REF!</definedName>
    <definedName name="BLPH1477" hidden="1">#REF!</definedName>
    <definedName name="BLPH1478" hidden="1">#REF!</definedName>
    <definedName name="BLPH1479" hidden="1">#REF!</definedName>
    <definedName name="BLPH148" hidden="1">#REF!</definedName>
    <definedName name="BLPH1480" hidden="1">#REF!</definedName>
    <definedName name="BLPH1481" hidden="1">#REF!</definedName>
    <definedName name="BLPH1482" hidden="1">#REF!</definedName>
    <definedName name="BLPH1483" hidden="1">#REF!</definedName>
    <definedName name="BLPH1484" hidden="1">#REF!</definedName>
    <definedName name="BLPH1485" hidden="1">#REF!</definedName>
    <definedName name="BLPH1486" hidden="1">#REF!</definedName>
    <definedName name="BLPH1487" hidden="1">#REF!</definedName>
    <definedName name="BLPH1488" hidden="1">#REF!</definedName>
    <definedName name="BLPH1489" hidden="1">#REF!</definedName>
    <definedName name="BLPH149" hidden="1">#REF!</definedName>
    <definedName name="BLPH1490" hidden="1">#REF!</definedName>
    <definedName name="BLPH1491" hidden="1">#REF!</definedName>
    <definedName name="BLPH1492" hidden="1">#REF!</definedName>
    <definedName name="BLPH1493" hidden="1">#REF!</definedName>
    <definedName name="BLPH1494" hidden="1">#REF!</definedName>
    <definedName name="BLPH1495" hidden="1">#REF!</definedName>
    <definedName name="BLPH1496" hidden="1">#REF!</definedName>
    <definedName name="BLPH1497" hidden="1">#REF!</definedName>
    <definedName name="BLPH1498" hidden="1">#REF!</definedName>
    <definedName name="BLPH1499" hidden="1">#REF!</definedName>
    <definedName name="BLPH15" localSheetId="7" hidden="1">#REF!</definedName>
    <definedName name="BLPH15" localSheetId="8" hidden="1">#REF!</definedName>
    <definedName name="BLPH15" hidden="1">#REF!</definedName>
    <definedName name="BLPH150" hidden="1">#REF!</definedName>
    <definedName name="BLPH1500" hidden="1">#REF!</definedName>
    <definedName name="BLPH1501" hidden="1">#REF!</definedName>
    <definedName name="BLPH1502" hidden="1">#REF!</definedName>
    <definedName name="BLPH1503" hidden="1">#REF!</definedName>
    <definedName name="BLPH1504" hidden="1">#REF!</definedName>
    <definedName name="BLPH1505" hidden="1">#REF!</definedName>
    <definedName name="BLPH1506" hidden="1">#REF!</definedName>
    <definedName name="BLPH1508" hidden="1">#REF!</definedName>
    <definedName name="BLPH1509" hidden="1">#REF!</definedName>
    <definedName name="BLPH151" hidden="1">#REF!</definedName>
    <definedName name="BLPH1510" hidden="1">#REF!</definedName>
    <definedName name="BLPH1511" hidden="1">#REF!</definedName>
    <definedName name="BLPH1512" hidden="1">#REF!</definedName>
    <definedName name="BLPH1513" hidden="1">#REF!</definedName>
    <definedName name="BLPH1514" hidden="1">#REF!</definedName>
    <definedName name="BLPH1515" hidden="1">#REF!</definedName>
    <definedName name="BLPH1516" hidden="1">#REF!</definedName>
    <definedName name="BLPH1517" hidden="1">#REF!</definedName>
    <definedName name="BLPH1518" hidden="1">#REF!</definedName>
    <definedName name="BLPH1519" hidden="1">#REF!</definedName>
    <definedName name="BLPH152" hidden="1">#REF!</definedName>
    <definedName name="BLPH1520" hidden="1">#REF!</definedName>
    <definedName name="BLPH1521" hidden="1">#REF!</definedName>
    <definedName name="BLPH1522" hidden="1">#REF!</definedName>
    <definedName name="BLPH1523" hidden="1">#REF!</definedName>
    <definedName name="BLPH1524" hidden="1">#REF!</definedName>
    <definedName name="BLPH1525" hidden="1">#REF!</definedName>
    <definedName name="BLPH1526" hidden="1">#REF!</definedName>
    <definedName name="BLPH1527" hidden="1">#REF!</definedName>
    <definedName name="BLPH1528" hidden="1">#REF!</definedName>
    <definedName name="BLPH1529" hidden="1">#REF!</definedName>
    <definedName name="BLPH153" hidden="1">#REF!</definedName>
    <definedName name="BLPH1530" hidden="1">#REF!</definedName>
    <definedName name="BLPH1531" hidden="1">#REF!</definedName>
    <definedName name="BLPH1532" hidden="1">#REF!</definedName>
    <definedName name="BLPH1533" hidden="1">#REF!</definedName>
    <definedName name="BLPH1534" hidden="1">#REF!</definedName>
    <definedName name="BLPH1535" hidden="1">#REF!</definedName>
    <definedName name="BLPH1536" hidden="1">#REF!</definedName>
    <definedName name="BLPH1537" hidden="1">#REF!</definedName>
    <definedName name="BLPH1538" hidden="1">#REF!</definedName>
    <definedName name="BLPH1539" hidden="1">#REF!</definedName>
    <definedName name="BLPH154" hidden="1">#REF!</definedName>
    <definedName name="BLPH1540" hidden="1">#REF!</definedName>
    <definedName name="BLPH1541" hidden="1">#REF!</definedName>
    <definedName name="BLPH1542" hidden="1">#REF!</definedName>
    <definedName name="BLPH1543" hidden="1">#REF!</definedName>
    <definedName name="BLPH1544" hidden="1">#REF!</definedName>
    <definedName name="BLPH1545" hidden="1">#REF!</definedName>
    <definedName name="BLPH1546" hidden="1">#REF!</definedName>
    <definedName name="BLPH1547" hidden="1">#REF!</definedName>
    <definedName name="BLPH1548" hidden="1">#REF!</definedName>
    <definedName name="BLPH1549" hidden="1">#REF!</definedName>
    <definedName name="BLPH155" hidden="1">#REF!</definedName>
    <definedName name="BLPH1550" hidden="1">#REF!</definedName>
    <definedName name="BLPH1551" hidden="1">#REF!</definedName>
    <definedName name="BLPH1552" hidden="1">#REF!</definedName>
    <definedName name="BLPH1553" hidden="1">#REF!</definedName>
    <definedName name="BLPH1554" hidden="1">#REF!</definedName>
    <definedName name="BLPH1555" hidden="1">#REF!</definedName>
    <definedName name="BLPH1556" hidden="1">#REF!</definedName>
    <definedName name="BLPH1557" hidden="1">#REF!</definedName>
    <definedName name="BLPH1558" hidden="1">#REF!</definedName>
    <definedName name="BLPH1559" hidden="1">#REF!</definedName>
    <definedName name="BLPH156" hidden="1">#REF!</definedName>
    <definedName name="BLPH1560" hidden="1">#REF!</definedName>
    <definedName name="BLPH1561" hidden="1">#REF!</definedName>
    <definedName name="BLPH1562" hidden="1">#REF!</definedName>
    <definedName name="BLPH1563" hidden="1">#REF!</definedName>
    <definedName name="BLPH1564" hidden="1">#REF!</definedName>
    <definedName name="BLPH1565" hidden="1">#REF!</definedName>
    <definedName name="BLPH1566" hidden="1">#REF!</definedName>
    <definedName name="BLPH1567" hidden="1">#REF!</definedName>
    <definedName name="BLPH1568" hidden="1">#REF!</definedName>
    <definedName name="BLPH1569" hidden="1">#REF!</definedName>
    <definedName name="BLPH157" hidden="1">#REF!</definedName>
    <definedName name="BLPH1570" hidden="1">#REF!</definedName>
    <definedName name="BLPH1571" hidden="1">#REF!</definedName>
    <definedName name="BLPH1572" hidden="1">#REF!</definedName>
    <definedName name="BLPH1573" hidden="1">#REF!</definedName>
    <definedName name="BLPH1574" hidden="1">#REF!</definedName>
    <definedName name="BLPH1575" hidden="1">#REF!</definedName>
    <definedName name="BLPH158" hidden="1">#REF!</definedName>
    <definedName name="BLPH159" hidden="1">#REF!</definedName>
    <definedName name="BLPH16" localSheetId="7" hidden="1">#REF!</definedName>
    <definedName name="BLPH16" localSheetId="8" hidden="1">#REF!</definedName>
    <definedName name="BLPH16" hidden="1">#REF!</definedName>
    <definedName name="BLPH160" hidden="1">#REF!</definedName>
    <definedName name="BLPH161" hidden="1">#REF!</definedName>
    <definedName name="BLPH162" hidden="1">#REF!</definedName>
    <definedName name="BLPH163" hidden="1">#REF!</definedName>
    <definedName name="BLPH164" hidden="1">#REF!</definedName>
    <definedName name="BLPH165" hidden="1">#REF!</definedName>
    <definedName name="BLPH166" hidden="1">#REF!</definedName>
    <definedName name="BLPH167" hidden="1">#REF!</definedName>
    <definedName name="BLPH168" hidden="1">#REF!</definedName>
    <definedName name="BLPH169" hidden="1">#REF!</definedName>
    <definedName name="BLPH17" localSheetId="7" hidden="1">#REF!</definedName>
    <definedName name="BLPH17" localSheetId="8" hidden="1">#REF!</definedName>
    <definedName name="BLPH17" hidden="1">#REF!</definedName>
    <definedName name="BLPH170" hidden="1">#REF!</definedName>
    <definedName name="BLPH171" hidden="1">#REF!</definedName>
    <definedName name="BLPH172" hidden="1">#REF!</definedName>
    <definedName name="BLPH173" hidden="1">#REF!</definedName>
    <definedName name="BLPH174" hidden="1">#REF!</definedName>
    <definedName name="BLPH175" hidden="1">#REF!</definedName>
    <definedName name="BLPH176" hidden="1">#REF!</definedName>
    <definedName name="BLPH177" hidden="1">#REF!</definedName>
    <definedName name="BLPH178" hidden="1">#REF!</definedName>
    <definedName name="BLPH179" hidden="1">#REF!</definedName>
    <definedName name="BLPH18" localSheetId="7" hidden="1">#REF!</definedName>
    <definedName name="BLPH18" localSheetId="8" hidden="1">#REF!</definedName>
    <definedName name="BLPH18" hidden="1">#REF!</definedName>
    <definedName name="BLPH180" hidden="1">#REF!</definedName>
    <definedName name="BLPH181" hidden="1">#REF!</definedName>
    <definedName name="BLPH182" hidden="1">#REF!</definedName>
    <definedName name="BLPH183" hidden="1">#REF!</definedName>
    <definedName name="BLPH184" hidden="1">#REF!</definedName>
    <definedName name="BLPH185" hidden="1">#REF!</definedName>
    <definedName name="BLPH186" hidden="1">#REF!</definedName>
    <definedName name="BLPH187" hidden="1">#REF!</definedName>
    <definedName name="BLPH188" hidden="1">#REF!</definedName>
    <definedName name="BLPH189" hidden="1">#REF!</definedName>
    <definedName name="BLPH19" localSheetId="7" hidden="1">#REF!</definedName>
    <definedName name="BLPH19" localSheetId="8" hidden="1">#REF!</definedName>
    <definedName name="BLPH19" hidden="1">#REF!</definedName>
    <definedName name="BLPH190" hidden="1">#REF!</definedName>
    <definedName name="BLPH191" hidden="1">#REF!</definedName>
    <definedName name="BLPH192" hidden="1">#REF!</definedName>
    <definedName name="BLPH193" hidden="1">#REF!</definedName>
    <definedName name="BLPH194" hidden="1">#REF!</definedName>
    <definedName name="BLPH195" hidden="1">#REF!</definedName>
    <definedName name="BLPH196" hidden="1">#REF!</definedName>
    <definedName name="BLPH197" hidden="1">#REF!</definedName>
    <definedName name="BLPH198" hidden="1">#REF!</definedName>
    <definedName name="BLPH199" hidden="1">#REF!</definedName>
    <definedName name="BLPH2" localSheetId="7" hidden="1">#REF!</definedName>
    <definedName name="BLPH2" localSheetId="8" hidden="1">#REF!</definedName>
    <definedName name="BLPH2" hidden="1">#REF!</definedName>
    <definedName name="BLPH20" localSheetId="7" hidden="1">#REF!</definedName>
    <definedName name="BLPH20" localSheetId="8" hidden="1">#REF!</definedName>
    <definedName name="BLPH20" hidden="1">#REF!</definedName>
    <definedName name="BLPH200" hidden="1">#REF!</definedName>
    <definedName name="BLPH201" hidden="1">#REF!</definedName>
    <definedName name="BLPH202" hidden="1">#REF!</definedName>
    <definedName name="BLPH203" hidden="1">#REF!</definedName>
    <definedName name="BLPH204" hidden="1">#REF!</definedName>
    <definedName name="BLPH205" hidden="1">#REF!</definedName>
    <definedName name="BLPH206" hidden="1">#REF!</definedName>
    <definedName name="BLPH207" hidden="1">#REF!</definedName>
    <definedName name="BLPH208" hidden="1">#REF!</definedName>
    <definedName name="BLPH209" hidden="1">#REF!</definedName>
    <definedName name="BLPH21" hidden="1">#REF!</definedName>
    <definedName name="BLPH210" hidden="1">#REF!</definedName>
    <definedName name="BLPH211" hidden="1">#REF!</definedName>
    <definedName name="BLPH212" hidden="1">#REF!</definedName>
    <definedName name="BLPH213" hidden="1">#REF!</definedName>
    <definedName name="BLPH214" hidden="1">#REF!</definedName>
    <definedName name="BLPH215" hidden="1">#REF!</definedName>
    <definedName name="BLPH216" hidden="1">#REF!</definedName>
    <definedName name="BLPH217" hidden="1">#REF!</definedName>
    <definedName name="BLPH218" hidden="1">#REF!</definedName>
    <definedName name="BLPH219" hidden="1">#REF!</definedName>
    <definedName name="BLPH22" hidden="1">#REF!</definedName>
    <definedName name="BLPH220" hidden="1">#REF!</definedName>
    <definedName name="BLPH221" hidden="1">#REF!</definedName>
    <definedName name="BLPH222" hidden="1">#REF!</definedName>
    <definedName name="BLPH223" hidden="1">#REF!</definedName>
    <definedName name="BLPH224" hidden="1">#REF!</definedName>
    <definedName name="BLPH225" hidden="1">#REF!</definedName>
    <definedName name="BLPH226" hidden="1">#REF!</definedName>
    <definedName name="BLPH227" hidden="1">#REF!</definedName>
    <definedName name="BLPH228" hidden="1">#REF!</definedName>
    <definedName name="BLPH229" hidden="1">#REF!</definedName>
    <definedName name="BLPH23" hidden="1">#REF!</definedName>
    <definedName name="BLPH230" hidden="1">#REF!</definedName>
    <definedName name="BLPH231" hidden="1">#REF!</definedName>
    <definedName name="BLPH232" hidden="1">#REF!</definedName>
    <definedName name="BLPH233" hidden="1">#REF!</definedName>
    <definedName name="BLPH234" hidden="1">#REF!</definedName>
    <definedName name="BLPH235" hidden="1">#REF!</definedName>
    <definedName name="BLPH236" hidden="1">#REF!</definedName>
    <definedName name="BLPH237" hidden="1">#REF!</definedName>
    <definedName name="BLPH238" hidden="1">#REF!</definedName>
    <definedName name="BLPH239" hidden="1">#REF!</definedName>
    <definedName name="BLPH24" hidden="1">#REF!</definedName>
    <definedName name="BLPH240" hidden="1">#REF!</definedName>
    <definedName name="BLPH241" hidden="1">#REF!</definedName>
    <definedName name="BLPH242" hidden="1">#REF!</definedName>
    <definedName name="BLPH243" hidden="1">#REF!</definedName>
    <definedName name="BLPH244" hidden="1">#REF!</definedName>
    <definedName name="BLPH245" hidden="1">#REF!</definedName>
    <definedName name="BLPH246" hidden="1">#REF!</definedName>
    <definedName name="BLPH247" hidden="1">#REF!</definedName>
    <definedName name="BLPH248" hidden="1">#REF!</definedName>
    <definedName name="BLPH249" hidden="1">#REF!</definedName>
    <definedName name="BLPH25" hidden="1">#REF!</definedName>
    <definedName name="BLPH250" hidden="1">#REF!</definedName>
    <definedName name="BLPH251" hidden="1">#REF!</definedName>
    <definedName name="BLPH252" hidden="1">#REF!</definedName>
    <definedName name="BLPH253" hidden="1">#REF!</definedName>
    <definedName name="BLPH254" hidden="1">#REF!</definedName>
    <definedName name="BLPH255" hidden="1">#REF!</definedName>
    <definedName name="BLPH256" hidden="1">#REF!</definedName>
    <definedName name="BLPH257" hidden="1">#REF!</definedName>
    <definedName name="BLPH258" hidden="1">#REF!</definedName>
    <definedName name="BLPH259" hidden="1">#REF!</definedName>
    <definedName name="BLPH26" hidden="1">#REF!</definedName>
    <definedName name="BLPH260" hidden="1">#REF!</definedName>
    <definedName name="BLPH261" hidden="1">#REF!</definedName>
    <definedName name="BLPH262" hidden="1">#REF!</definedName>
    <definedName name="BLPH263" hidden="1">#REF!</definedName>
    <definedName name="BLPH264" hidden="1">#REF!</definedName>
    <definedName name="BLPH265" hidden="1">#REF!</definedName>
    <definedName name="BLPH266" hidden="1">#REF!</definedName>
    <definedName name="BLPH267" hidden="1">#REF!</definedName>
    <definedName name="BLPH268" hidden="1">#REF!</definedName>
    <definedName name="BLPH269" hidden="1">#REF!</definedName>
    <definedName name="BLPH27" hidden="1">#REF!</definedName>
    <definedName name="BLPH270" hidden="1">#REF!</definedName>
    <definedName name="BLPH271" hidden="1">#REF!</definedName>
    <definedName name="BLPH272" hidden="1">#REF!</definedName>
    <definedName name="BLPH273" hidden="1">#REF!</definedName>
    <definedName name="BLPH274" hidden="1">#REF!</definedName>
    <definedName name="BLPH275" hidden="1">#REF!</definedName>
    <definedName name="BLPH276" hidden="1">#REF!</definedName>
    <definedName name="BLPH277" hidden="1">#REF!</definedName>
    <definedName name="BLPH278" hidden="1">#REF!</definedName>
    <definedName name="BLPH279" hidden="1">#REF!</definedName>
    <definedName name="BLPH28" hidden="1">#REF!</definedName>
    <definedName name="BLPH280" hidden="1">#REF!</definedName>
    <definedName name="BLPH281" hidden="1">#REF!</definedName>
    <definedName name="BLPH282" hidden="1">#REF!</definedName>
    <definedName name="BLPH283" hidden="1">#REF!</definedName>
    <definedName name="BLPH284" hidden="1">#REF!</definedName>
    <definedName name="BLPH285" hidden="1">#REF!</definedName>
    <definedName name="BLPH286" hidden="1">#REF!</definedName>
    <definedName name="BLPH287" hidden="1">#REF!</definedName>
    <definedName name="BLPH288" hidden="1">#REF!</definedName>
    <definedName name="BLPH289" hidden="1">#REF!</definedName>
    <definedName name="BLPH29" hidden="1">#REF!</definedName>
    <definedName name="BLPH290" hidden="1">#REF!</definedName>
    <definedName name="BLPH291" hidden="1">#REF!</definedName>
    <definedName name="BLPH292" hidden="1">#REF!</definedName>
    <definedName name="BLPH293" hidden="1">#REF!</definedName>
    <definedName name="BLPH294" hidden="1">#REF!</definedName>
    <definedName name="BLPH295" hidden="1">#REF!</definedName>
    <definedName name="BLPH296" hidden="1">#REF!</definedName>
    <definedName name="BLPH297" hidden="1">#REF!</definedName>
    <definedName name="BLPH298" hidden="1">#REF!</definedName>
    <definedName name="BLPH299" hidden="1">#REF!</definedName>
    <definedName name="BLPH3" localSheetId="7" hidden="1">#REF!</definedName>
    <definedName name="BLPH3" localSheetId="8" hidden="1">#REF!</definedName>
    <definedName name="BLPH3" hidden="1">#REF!</definedName>
    <definedName name="BLPH30" hidden="1">#REF!</definedName>
    <definedName name="BLPH300" hidden="1">#REF!</definedName>
    <definedName name="BLPH301" hidden="1">#REF!</definedName>
    <definedName name="BLPH302" hidden="1">#REF!</definedName>
    <definedName name="BLPH303" hidden="1">#REF!</definedName>
    <definedName name="BLPH304" hidden="1">#REF!</definedName>
    <definedName name="BLPH305" hidden="1">#REF!</definedName>
    <definedName name="BLPH306" hidden="1">#REF!</definedName>
    <definedName name="BLPH307" hidden="1">#REF!</definedName>
    <definedName name="BLPH308" hidden="1">#REF!</definedName>
    <definedName name="BLPH309" hidden="1">#REF!</definedName>
    <definedName name="BLPH31" hidden="1">#REF!</definedName>
    <definedName name="BLPH310" hidden="1">#REF!</definedName>
    <definedName name="BLPH311" hidden="1">#REF!</definedName>
    <definedName name="BLPH312" hidden="1">#REF!</definedName>
    <definedName name="BLPH313" hidden="1">#REF!</definedName>
    <definedName name="BLPH314" hidden="1">#REF!</definedName>
    <definedName name="BLPH315" hidden="1">#REF!</definedName>
    <definedName name="BLPH316" hidden="1">#REF!</definedName>
    <definedName name="BLPH317" hidden="1">#REF!</definedName>
    <definedName name="BLPH318" hidden="1">#REF!</definedName>
    <definedName name="BLPH319" hidden="1">#REF!</definedName>
    <definedName name="BLPH32" hidden="1">#REF!</definedName>
    <definedName name="BLPH320" hidden="1">#REF!</definedName>
    <definedName name="BLPH321" hidden="1">#REF!</definedName>
    <definedName name="BLPH322" hidden="1">#REF!</definedName>
    <definedName name="BLPH323" hidden="1">#REF!</definedName>
    <definedName name="BLPH324" hidden="1">#REF!</definedName>
    <definedName name="BLPH325" hidden="1">#REF!</definedName>
    <definedName name="BLPH326" hidden="1">#REF!</definedName>
    <definedName name="BLPH327" hidden="1">#REF!</definedName>
    <definedName name="BLPH328" hidden="1">#REF!</definedName>
    <definedName name="BLPH329" hidden="1">#REF!</definedName>
    <definedName name="BLPH33" hidden="1">#REF!</definedName>
    <definedName name="BLPH330" hidden="1">#REF!</definedName>
    <definedName name="BLPH331" hidden="1">#REF!</definedName>
    <definedName name="BLPH332" hidden="1">#REF!</definedName>
    <definedName name="BLPH333" hidden="1">#REF!</definedName>
    <definedName name="BLPH334" hidden="1">#REF!</definedName>
    <definedName name="BLPH335" hidden="1">#REF!</definedName>
    <definedName name="BLPH336" hidden="1">#REF!</definedName>
    <definedName name="BLPH337" hidden="1">#REF!</definedName>
    <definedName name="BLPH338" hidden="1">#REF!</definedName>
    <definedName name="BLPH339" hidden="1">#REF!</definedName>
    <definedName name="BLPH34" hidden="1">#REF!</definedName>
    <definedName name="BLPH340" hidden="1">#REF!</definedName>
    <definedName name="BLPH341" hidden="1">#REF!</definedName>
    <definedName name="BLPH342" hidden="1">#REF!</definedName>
    <definedName name="BLPH343" hidden="1">#REF!</definedName>
    <definedName name="BLPH344" hidden="1">#REF!</definedName>
    <definedName name="BLPH345" hidden="1">#REF!</definedName>
    <definedName name="BLPH346" hidden="1">#REF!</definedName>
    <definedName name="BLPH347" hidden="1">#REF!</definedName>
    <definedName name="BLPH348" hidden="1">#REF!</definedName>
    <definedName name="BLPH349" hidden="1">#REF!</definedName>
    <definedName name="BLPH35" hidden="1">#REF!</definedName>
    <definedName name="BLPH350" hidden="1">#REF!</definedName>
    <definedName name="BLPH351" hidden="1">#REF!</definedName>
    <definedName name="BLPH352" hidden="1">#REF!</definedName>
    <definedName name="BLPH353" hidden="1">#REF!</definedName>
    <definedName name="BLPH354" hidden="1">#REF!</definedName>
    <definedName name="BLPH355" hidden="1">#REF!</definedName>
    <definedName name="BLPH356" hidden="1">#REF!</definedName>
    <definedName name="BLPH357" hidden="1">#REF!</definedName>
    <definedName name="BLPH358" hidden="1">#REF!</definedName>
    <definedName name="BLPH359" hidden="1">#REF!</definedName>
    <definedName name="BLPH36" hidden="1">#REF!</definedName>
    <definedName name="BLPH360" hidden="1">#REF!</definedName>
    <definedName name="BLPH361" hidden="1">#REF!</definedName>
    <definedName name="BLPH362" hidden="1">#REF!</definedName>
    <definedName name="BLPH363" hidden="1">#REF!</definedName>
    <definedName name="BLPH364" hidden="1">#REF!</definedName>
    <definedName name="BLPH365" hidden="1">#REF!</definedName>
    <definedName name="BLPH366" hidden="1">#REF!</definedName>
    <definedName name="BLPH367" hidden="1">#REF!</definedName>
    <definedName name="BLPH368" hidden="1">#REF!</definedName>
    <definedName name="BLPH369" hidden="1">#REF!</definedName>
    <definedName name="BLPH37" hidden="1">#REF!</definedName>
    <definedName name="BLPH370" hidden="1">#REF!</definedName>
    <definedName name="BLPH371" hidden="1">#REF!</definedName>
    <definedName name="BLPH372" hidden="1">#REF!</definedName>
    <definedName name="BLPH373" hidden="1">#REF!</definedName>
    <definedName name="BLPH374" hidden="1">#REF!</definedName>
    <definedName name="BLPH375" hidden="1">#REF!</definedName>
    <definedName name="BLPH376" hidden="1">#REF!</definedName>
    <definedName name="BLPH377" hidden="1">#REF!</definedName>
    <definedName name="BLPH378" hidden="1">#REF!</definedName>
    <definedName name="BLPH379" hidden="1">#REF!</definedName>
    <definedName name="BLPH38" hidden="1">#REF!</definedName>
    <definedName name="BLPH380" hidden="1">#REF!</definedName>
    <definedName name="BLPH381" hidden="1">#REF!</definedName>
    <definedName name="BLPH382" hidden="1">#REF!</definedName>
    <definedName name="BLPH383" hidden="1">#REF!</definedName>
    <definedName name="BLPH384" hidden="1">#REF!</definedName>
    <definedName name="BLPH385" hidden="1">#REF!</definedName>
    <definedName name="BLPH386" hidden="1">#REF!</definedName>
    <definedName name="BLPH387" hidden="1">#REF!</definedName>
    <definedName name="BLPH388" hidden="1">#REF!</definedName>
    <definedName name="BLPH389" hidden="1">#REF!</definedName>
    <definedName name="BLPH39" hidden="1">#REF!</definedName>
    <definedName name="BLPH390" hidden="1">#REF!</definedName>
    <definedName name="BLPH391" hidden="1">#REF!</definedName>
    <definedName name="BLPH392" hidden="1">#REF!</definedName>
    <definedName name="BLPH393" hidden="1">#REF!</definedName>
    <definedName name="BLPH394" hidden="1">#REF!</definedName>
    <definedName name="BLPH395" hidden="1">#REF!</definedName>
    <definedName name="BLPH396" hidden="1">#REF!</definedName>
    <definedName name="BLPH397" hidden="1">#REF!</definedName>
    <definedName name="BLPH398" hidden="1">#REF!</definedName>
    <definedName name="BLPH399" hidden="1">#REF!</definedName>
    <definedName name="BLPH4" localSheetId="7" hidden="1">#REF!</definedName>
    <definedName name="BLPH4" localSheetId="8" hidden="1">#REF!</definedName>
    <definedName name="BLPH4" hidden="1">#REF!</definedName>
    <definedName name="BLPH40" hidden="1">#REF!</definedName>
    <definedName name="BLPH400" hidden="1">#REF!</definedName>
    <definedName name="BLPH401" hidden="1">#REF!</definedName>
    <definedName name="BLPH402" hidden="1">#REF!</definedName>
    <definedName name="BLPH403" hidden="1">#REF!</definedName>
    <definedName name="BLPH404" hidden="1">#REF!</definedName>
    <definedName name="BLPH405" hidden="1">#REF!</definedName>
    <definedName name="BLPH406" hidden="1">#REF!</definedName>
    <definedName name="BLPH407" hidden="1">#REF!</definedName>
    <definedName name="BLPH408" hidden="1">#REF!</definedName>
    <definedName name="BLPH409" hidden="1">#REF!</definedName>
    <definedName name="BLPH41" hidden="1">#REF!</definedName>
    <definedName name="BLPH410" hidden="1">#REF!</definedName>
    <definedName name="BLPH411" hidden="1">#REF!</definedName>
    <definedName name="BLPH412" hidden="1">#REF!</definedName>
    <definedName name="BLPH413" hidden="1">#REF!</definedName>
    <definedName name="BLPH414" hidden="1">#REF!</definedName>
    <definedName name="BLPH415" hidden="1">#REF!</definedName>
    <definedName name="BLPH416" hidden="1">#REF!</definedName>
    <definedName name="BLPH417" hidden="1">#REF!</definedName>
    <definedName name="BLPH418" hidden="1">#REF!</definedName>
    <definedName name="BLPH419" hidden="1">#REF!</definedName>
    <definedName name="BLPH42" hidden="1">#REF!</definedName>
    <definedName name="BLPH420" hidden="1">#REF!</definedName>
    <definedName name="BLPH421" hidden="1">#REF!</definedName>
    <definedName name="BLPH422" hidden="1">#REF!</definedName>
    <definedName name="BLPH423" hidden="1">#REF!</definedName>
    <definedName name="BLPH424" hidden="1">#REF!</definedName>
    <definedName name="BLPH425" hidden="1">#REF!</definedName>
    <definedName name="BLPH426" hidden="1">#REF!</definedName>
    <definedName name="BLPH427" hidden="1">#REF!</definedName>
    <definedName name="BLPH428" hidden="1">#REF!</definedName>
    <definedName name="BLPH429" hidden="1">#REF!</definedName>
    <definedName name="BLPH43" hidden="1">#REF!</definedName>
    <definedName name="BLPH430" hidden="1">#REF!</definedName>
    <definedName name="BLPH431" hidden="1">#REF!</definedName>
    <definedName name="BLPH432" hidden="1">#REF!</definedName>
    <definedName name="BLPH433" hidden="1">#REF!</definedName>
    <definedName name="BLPH434" hidden="1">#REF!</definedName>
    <definedName name="BLPH435" hidden="1">#REF!</definedName>
    <definedName name="BLPH436" hidden="1">#REF!</definedName>
    <definedName name="BLPH437" hidden="1">#REF!</definedName>
    <definedName name="BLPH438" hidden="1">#REF!</definedName>
    <definedName name="BLPH439" hidden="1">#REF!</definedName>
    <definedName name="BLPH44" hidden="1">#REF!</definedName>
    <definedName name="BLPH440" hidden="1">#REF!</definedName>
    <definedName name="BLPH441" hidden="1">#REF!</definedName>
    <definedName name="BLPH442" hidden="1">#REF!</definedName>
    <definedName name="BLPH443" hidden="1">#REF!</definedName>
    <definedName name="BLPH444" hidden="1">#REF!</definedName>
    <definedName name="BLPH445" hidden="1">#REF!</definedName>
    <definedName name="BLPH446" hidden="1">#REF!</definedName>
    <definedName name="BLPH447" hidden="1">#REF!</definedName>
    <definedName name="BLPH448" hidden="1">#REF!</definedName>
    <definedName name="BLPH449" hidden="1">#REF!</definedName>
    <definedName name="BLPH45" hidden="1">#REF!</definedName>
    <definedName name="BLPH450" hidden="1">#REF!</definedName>
    <definedName name="BLPH451" hidden="1">#REF!</definedName>
    <definedName name="BLPH452" hidden="1">#REF!</definedName>
    <definedName name="BLPH453" hidden="1">#REF!</definedName>
    <definedName name="BLPH455" hidden="1">#REF!</definedName>
    <definedName name="BLPH456" hidden="1">#REF!</definedName>
    <definedName name="BLPH457" hidden="1">#REF!</definedName>
    <definedName name="BLPH458" hidden="1">#REF!</definedName>
    <definedName name="BLPH459" hidden="1">#REF!</definedName>
    <definedName name="BLPH46" hidden="1">#REF!</definedName>
    <definedName name="BLPH460" hidden="1">#REF!</definedName>
    <definedName name="BLPH461" hidden="1">#REF!</definedName>
    <definedName name="BLPH462" hidden="1">#REF!</definedName>
    <definedName name="BLPH463" hidden="1">#REF!</definedName>
    <definedName name="BLPH464" hidden="1">#REF!</definedName>
    <definedName name="BLPH465" hidden="1">#REF!</definedName>
    <definedName name="BLPH466" hidden="1">#REF!</definedName>
    <definedName name="BLPH467" hidden="1">#REF!</definedName>
    <definedName name="BLPH468" hidden="1">#REF!</definedName>
    <definedName name="BLPH469" hidden="1">#REF!</definedName>
    <definedName name="BLPH47" hidden="1">#REF!</definedName>
    <definedName name="BLPH470" hidden="1">#REF!</definedName>
    <definedName name="BLPH471" hidden="1">#REF!</definedName>
    <definedName name="BLPH472" hidden="1">#REF!</definedName>
    <definedName name="BLPH473" hidden="1">#REF!</definedName>
    <definedName name="BLPH474" hidden="1">#REF!</definedName>
    <definedName name="BLPH475" hidden="1">#REF!</definedName>
    <definedName name="BLPH476" hidden="1">#REF!</definedName>
    <definedName name="BLPH477" hidden="1">#REF!</definedName>
    <definedName name="BLPH478" hidden="1">#REF!</definedName>
    <definedName name="BLPH479" hidden="1">#REF!</definedName>
    <definedName name="BLPH48" hidden="1">#REF!</definedName>
    <definedName name="BLPH480" hidden="1">#REF!</definedName>
    <definedName name="BLPH481" hidden="1">#REF!</definedName>
    <definedName name="BLPH482" hidden="1">#REF!</definedName>
    <definedName name="BLPH483" hidden="1">#REF!</definedName>
    <definedName name="BLPH484" hidden="1">#REF!</definedName>
    <definedName name="BLPH485" hidden="1">#REF!</definedName>
    <definedName name="BLPH486" hidden="1">#REF!</definedName>
    <definedName name="BLPH487" hidden="1">#REF!</definedName>
    <definedName name="BLPH488" hidden="1">#REF!</definedName>
    <definedName name="BLPH489" hidden="1">#REF!</definedName>
    <definedName name="BLPH49" hidden="1">#REF!</definedName>
    <definedName name="BLPH490" hidden="1">#REF!</definedName>
    <definedName name="BLPH491" hidden="1">#REF!</definedName>
    <definedName name="BLPH492" hidden="1">#REF!</definedName>
    <definedName name="BLPH493" hidden="1">#REF!</definedName>
    <definedName name="BLPH494" hidden="1">#REF!</definedName>
    <definedName name="BLPH495" hidden="1">#REF!</definedName>
    <definedName name="BLPH496" hidden="1">#REF!</definedName>
    <definedName name="BLPH497" hidden="1">#REF!</definedName>
    <definedName name="BLPH498" hidden="1">#REF!</definedName>
    <definedName name="BLPH499" hidden="1">#REF!</definedName>
    <definedName name="BLPH5" localSheetId="7" hidden="1">#REF!</definedName>
    <definedName name="BLPH5" localSheetId="8" hidden="1">#REF!</definedName>
    <definedName name="BLPH5" hidden="1">#REF!</definedName>
    <definedName name="BLPH50" hidden="1">#REF!</definedName>
    <definedName name="BLPH500" hidden="1">#REF!</definedName>
    <definedName name="BLPH501" hidden="1">#REF!</definedName>
    <definedName name="BLPH502" hidden="1">#REF!</definedName>
    <definedName name="BLPH503" hidden="1">#REF!</definedName>
    <definedName name="BLPH504" hidden="1">#REF!</definedName>
    <definedName name="BLPH505" hidden="1">#REF!</definedName>
    <definedName name="BLPH506" hidden="1">#REF!</definedName>
    <definedName name="BLPH507" hidden="1">#REF!</definedName>
    <definedName name="BLPH508" hidden="1">#REF!</definedName>
    <definedName name="BLPH509" hidden="1">#REF!</definedName>
    <definedName name="BLPH51" hidden="1">#REF!</definedName>
    <definedName name="BLPH510" hidden="1">#REF!</definedName>
    <definedName name="BLPH511" hidden="1">#REF!</definedName>
    <definedName name="BLPH512" hidden="1">#REF!</definedName>
    <definedName name="BLPH513" hidden="1">#REF!</definedName>
    <definedName name="BLPH514" hidden="1">#REF!</definedName>
    <definedName name="BLPH515" hidden="1">#REF!</definedName>
    <definedName name="BLPH516" hidden="1">#REF!</definedName>
    <definedName name="BLPH517" hidden="1">#REF!</definedName>
    <definedName name="BLPH518" hidden="1">#REF!</definedName>
    <definedName name="BLPH519" hidden="1">#REF!</definedName>
    <definedName name="BLPH52" hidden="1">#REF!</definedName>
    <definedName name="BLPH520" hidden="1">#REF!</definedName>
    <definedName name="BLPH521" hidden="1">#REF!</definedName>
    <definedName name="BLPH522" hidden="1">#REF!</definedName>
    <definedName name="BLPH523" hidden="1">#REF!</definedName>
    <definedName name="BLPH524" hidden="1">#REF!</definedName>
    <definedName name="BLPH525" hidden="1">#REF!</definedName>
    <definedName name="BLPH526" hidden="1">#REF!</definedName>
    <definedName name="BLPH527" hidden="1">#REF!</definedName>
    <definedName name="BLPH528" hidden="1">#REF!</definedName>
    <definedName name="BLPH529" hidden="1">#REF!</definedName>
    <definedName name="BLPH53" hidden="1">#REF!</definedName>
    <definedName name="BLPH530" hidden="1">#REF!</definedName>
    <definedName name="BLPH531" hidden="1">#REF!</definedName>
    <definedName name="BLPH532" hidden="1">#REF!</definedName>
    <definedName name="BLPH533" hidden="1">#REF!</definedName>
    <definedName name="BLPH534" hidden="1">#REF!</definedName>
    <definedName name="BLPH535" hidden="1">#REF!</definedName>
    <definedName name="BLPH536" hidden="1">#REF!</definedName>
    <definedName name="BLPH537" hidden="1">#REF!</definedName>
    <definedName name="BLPH538" hidden="1">#REF!</definedName>
    <definedName name="BLPH539" hidden="1">#REF!</definedName>
    <definedName name="BLPH54" hidden="1">#REF!</definedName>
    <definedName name="BLPH540" hidden="1">#REF!</definedName>
    <definedName name="BLPH541" hidden="1">#REF!</definedName>
    <definedName name="BLPH542" hidden="1">#REF!</definedName>
    <definedName name="BLPH543" hidden="1">#REF!</definedName>
    <definedName name="BLPH544" hidden="1">#REF!</definedName>
    <definedName name="BLPH545" hidden="1">#REF!</definedName>
    <definedName name="BLPH546" hidden="1">#REF!</definedName>
    <definedName name="BLPH547" hidden="1">#REF!</definedName>
    <definedName name="BLPH548" hidden="1">#REF!</definedName>
    <definedName name="BLPH549" hidden="1">#REF!</definedName>
    <definedName name="BLPH55" hidden="1">#REF!</definedName>
    <definedName name="BLPH550" hidden="1">#REF!</definedName>
    <definedName name="BLPH551" hidden="1">#REF!</definedName>
    <definedName name="BLPH552" hidden="1">#REF!</definedName>
    <definedName name="BLPH553" hidden="1">#REF!</definedName>
    <definedName name="BLPH554" hidden="1">#REF!</definedName>
    <definedName name="BLPH555" hidden="1">#REF!</definedName>
    <definedName name="BLPH556" hidden="1">#REF!</definedName>
    <definedName name="BLPH557" hidden="1">#REF!</definedName>
    <definedName name="BLPH558" hidden="1">#REF!</definedName>
    <definedName name="BLPH559" hidden="1">#REF!</definedName>
    <definedName name="BLPH56" hidden="1">#REF!</definedName>
    <definedName name="BLPH560" hidden="1">#REF!</definedName>
    <definedName name="BLPH561" hidden="1">#REF!</definedName>
    <definedName name="BLPH562" hidden="1">#REF!</definedName>
    <definedName name="BLPH563" hidden="1">#REF!</definedName>
    <definedName name="BLPH564" hidden="1">#REF!</definedName>
    <definedName name="BLPH565" hidden="1">#REF!</definedName>
    <definedName name="BLPH566" hidden="1">#REF!</definedName>
    <definedName name="BLPH567" hidden="1">#REF!</definedName>
    <definedName name="BLPH568" hidden="1">#REF!</definedName>
    <definedName name="BLPH569" hidden="1">#REF!</definedName>
    <definedName name="BLPH57" hidden="1">#REF!</definedName>
    <definedName name="BLPH570" hidden="1">#REF!</definedName>
    <definedName name="BLPH571" hidden="1">#REF!</definedName>
    <definedName name="BLPH572" hidden="1">#REF!</definedName>
    <definedName name="BLPH573" hidden="1">#REF!</definedName>
    <definedName name="BLPH574" hidden="1">#REF!</definedName>
    <definedName name="BLPH575" hidden="1">#REF!</definedName>
    <definedName name="BLPH576" hidden="1">#REF!</definedName>
    <definedName name="BLPH577" hidden="1">#REF!</definedName>
    <definedName name="BLPH579" hidden="1">#REF!</definedName>
    <definedName name="BLPH58" hidden="1">#REF!</definedName>
    <definedName name="BLPH580" hidden="1">#REF!</definedName>
    <definedName name="BLPH581" hidden="1">#REF!</definedName>
    <definedName name="BLPH583" hidden="1">#REF!</definedName>
    <definedName name="BLPH584" hidden="1">#REF!</definedName>
    <definedName name="BLPH585" hidden="1">#REF!</definedName>
    <definedName name="BLPH586" hidden="1">#REF!</definedName>
    <definedName name="BLPH587" hidden="1">#REF!</definedName>
    <definedName name="BLPH588" hidden="1">#REF!</definedName>
    <definedName name="BLPH589" hidden="1">#REF!</definedName>
    <definedName name="BLPH59" hidden="1">#REF!</definedName>
    <definedName name="BLPH590" hidden="1">#REF!</definedName>
    <definedName name="BLPH591" hidden="1">#REF!</definedName>
    <definedName name="BLPH592" hidden="1">#REF!</definedName>
    <definedName name="BLPH593" hidden="1">#REF!</definedName>
    <definedName name="BLPH594" hidden="1">#REF!</definedName>
    <definedName name="BLPH595" hidden="1">#REF!</definedName>
    <definedName name="BLPH596" hidden="1">#REF!</definedName>
    <definedName name="BLPH597" hidden="1">#REF!</definedName>
    <definedName name="BLPH598" hidden="1">#REF!</definedName>
    <definedName name="BLPH599" hidden="1">#REF!</definedName>
    <definedName name="BLPH6" localSheetId="7" hidden="1">#REF!</definedName>
    <definedName name="BLPH6" localSheetId="8" hidden="1">#REF!</definedName>
    <definedName name="BLPH6" hidden="1">#REF!</definedName>
    <definedName name="BLPH60" hidden="1">#REF!</definedName>
    <definedName name="BLPH600" hidden="1">#REF!</definedName>
    <definedName name="BLPH601" hidden="1">#REF!</definedName>
    <definedName name="BLPH602" hidden="1">#REF!</definedName>
    <definedName name="BLPH603" hidden="1">#REF!</definedName>
    <definedName name="BLPH604" hidden="1">#REF!</definedName>
    <definedName name="BLPH605" hidden="1">#REF!</definedName>
    <definedName name="BLPH606" hidden="1">#REF!</definedName>
    <definedName name="BLPH607" hidden="1">#REF!</definedName>
    <definedName name="BLPH608" hidden="1">#REF!</definedName>
    <definedName name="BLPH609" hidden="1">#REF!</definedName>
    <definedName name="BLPH61" hidden="1">#REF!</definedName>
    <definedName name="BLPH610" hidden="1">#REF!</definedName>
    <definedName name="BLPH611" hidden="1">#REF!</definedName>
    <definedName name="BLPH612" hidden="1">#REF!</definedName>
    <definedName name="BLPH613" hidden="1">#REF!</definedName>
    <definedName name="BLPH614" hidden="1">#REF!</definedName>
    <definedName name="BLPH615" hidden="1">#REF!</definedName>
    <definedName name="BLPH616" hidden="1">#REF!</definedName>
    <definedName name="BLPH617" hidden="1">#REF!</definedName>
    <definedName name="BLPH618" hidden="1">#REF!</definedName>
    <definedName name="BLPH619" hidden="1">#REF!</definedName>
    <definedName name="BLPH62" hidden="1">#REF!</definedName>
    <definedName name="BLPH620" hidden="1">#REF!</definedName>
    <definedName name="BLPH621" hidden="1">#REF!</definedName>
    <definedName name="BLPH622" hidden="1">#REF!</definedName>
    <definedName name="BLPH623" hidden="1">#REF!</definedName>
    <definedName name="BLPH624" hidden="1">#REF!</definedName>
    <definedName name="BLPH625" hidden="1">#REF!</definedName>
    <definedName name="BLPH626" hidden="1">#REF!</definedName>
    <definedName name="BLPH627" hidden="1">#REF!</definedName>
    <definedName name="BLPH628" hidden="1">#REF!</definedName>
    <definedName name="BLPH629" hidden="1">#REF!</definedName>
    <definedName name="BLPH63" hidden="1">#REF!</definedName>
    <definedName name="BLPH630" hidden="1">#REF!</definedName>
    <definedName name="BLPH631" hidden="1">#REF!</definedName>
    <definedName name="BLPH632" hidden="1">#REF!</definedName>
    <definedName name="BLPH633" hidden="1">#REF!</definedName>
    <definedName name="BLPH634" hidden="1">#REF!</definedName>
    <definedName name="BLPH635" hidden="1">#REF!</definedName>
    <definedName name="BLPH636" hidden="1">#REF!</definedName>
    <definedName name="BLPH637" hidden="1">#REF!</definedName>
    <definedName name="BLPH638" hidden="1">#REF!</definedName>
    <definedName name="BLPH639" hidden="1">#REF!</definedName>
    <definedName name="BLPH64" hidden="1">#REF!</definedName>
    <definedName name="BLPH640" hidden="1">#REF!</definedName>
    <definedName name="BLPH641" hidden="1">#REF!</definedName>
    <definedName name="BLPH642" hidden="1">#REF!</definedName>
    <definedName name="BLPH643" hidden="1">#REF!</definedName>
    <definedName name="BLPH644" hidden="1">#REF!</definedName>
    <definedName name="BLPH645" hidden="1">#REF!</definedName>
    <definedName name="BLPH646" hidden="1">#REF!</definedName>
    <definedName name="BLPH647" hidden="1">#REF!</definedName>
    <definedName name="BLPH648" hidden="1">#REF!</definedName>
    <definedName name="BLPH649" hidden="1">#REF!</definedName>
    <definedName name="BLPH65" hidden="1">#REF!</definedName>
    <definedName name="BLPH650" hidden="1">#REF!</definedName>
    <definedName name="BLPH651" hidden="1">#REF!</definedName>
    <definedName name="BLPH652" hidden="1">#REF!</definedName>
    <definedName name="BLPH653" hidden="1">#REF!</definedName>
    <definedName name="BLPH654" hidden="1">#REF!</definedName>
    <definedName name="BLPH655" hidden="1">#REF!</definedName>
    <definedName name="BLPH656" hidden="1">#REF!</definedName>
    <definedName name="BLPH657" hidden="1">#REF!</definedName>
    <definedName name="BLPH658" hidden="1">#REF!</definedName>
    <definedName name="BLPH659" hidden="1">#REF!</definedName>
    <definedName name="BLPH66" hidden="1">#REF!</definedName>
    <definedName name="BLPH660" hidden="1">#REF!</definedName>
    <definedName name="BLPH661" hidden="1">#REF!</definedName>
    <definedName name="BLPH662" hidden="1">#REF!</definedName>
    <definedName name="BLPH663" hidden="1">#REF!</definedName>
    <definedName name="BLPH664" hidden="1">#REF!</definedName>
    <definedName name="BLPH665" hidden="1">#REF!</definedName>
    <definedName name="BLPH666" hidden="1">#REF!</definedName>
    <definedName name="BLPH668" hidden="1">#REF!</definedName>
    <definedName name="BLPH669" hidden="1">#REF!</definedName>
    <definedName name="BLPH67" hidden="1">#REF!</definedName>
    <definedName name="BLPH670" hidden="1">#REF!</definedName>
    <definedName name="BLPH671" hidden="1">#REF!</definedName>
    <definedName name="BLPH672" hidden="1">#REF!</definedName>
    <definedName name="BLPH673" hidden="1">#REF!</definedName>
    <definedName name="BLPH674" hidden="1">#REF!</definedName>
    <definedName name="BLPH675" hidden="1">#REF!</definedName>
    <definedName name="BLPH676" hidden="1">#REF!</definedName>
    <definedName name="BLPH677" hidden="1">#REF!</definedName>
    <definedName name="BLPH678" hidden="1">#REF!</definedName>
    <definedName name="BLPH679" hidden="1">#REF!</definedName>
    <definedName name="BLPH68" hidden="1">#REF!</definedName>
    <definedName name="BLPH680" hidden="1">#REF!</definedName>
    <definedName name="BLPH681" hidden="1">#REF!</definedName>
    <definedName name="BLPH682" hidden="1">#REF!</definedName>
    <definedName name="BLPH683" hidden="1">#REF!</definedName>
    <definedName name="BLPH684" hidden="1">#REF!</definedName>
    <definedName name="BLPH685" hidden="1">#REF!</definedName>
    <definedName name="BLPH686" hidden="1">#REF!</definedName>
    <definedName name="BLPH687" hidden="1">#REF!</definedName>
    <definedName name="BLPH688" hidden="1">#REF!</definedName>
    <definedName name="BLPH689" hidden="1">#REF!</definedName>
    <definedName name="BLPH69" hidden="1">#REF!</definedName>
    <definedName name="BLPH690" hidden="1">#REF!</definedName>
    <definedName name="BLPH691" hidden="1">#REF!</definedName>
    <definedName name="BLPH692" hidden="1">#REF!</definedName>
    <definedName name="BLPH693" hidden="1">#REF!</definedName>
    <definedName name="BLPH694" hidden="1">#REF!</definedName>
    <definedName name="BLPH695" hidden="1">#REF!</definedName>
    <definedName name="BLPH696" hidden="1">#REF!</definedName>
    <definedName name="BLPH697" hidden="1">#REF!</definedName>
    <definedName name="BLPH698" hidden="1">#REF!</definedName>
    <definedName name="BLPH699" hidden="1">#REF!</definedName>
    <definedName name="BLPH7" localSheetId="7" hidden="1">#REF!</definedName>
    <definedName name="BLPH7" localSheetId="8" hidden="1">#REF!</definedName>
    <definedName name="BLPH7" hidden="1">#REF!</definedName>
    <definedName name="BLPH70" hidden="1">#REF!</definedName>
    <definedName name="BLPH700" hidden="1">#REF!</definedName>
    <definedName name="BLPH701" hidden="1">#REF!</definedName>
    <definedName name="BLPH702" hidden="1">#REF!</definedName>
    <definedName name="BLPH703" hidden="1">#REF!</definedName>
    <definedName name="BLPH704" hidden="1">#REF!</definedName>
    <definedName name="BLPH705" hidden="1">#REF!</definedName>
    <definedName name="BLPH706" hidden="1">#REF!</definedName>
    <definedName name="BLPH707" hidden="1">#REF!</definedName>
    <definedName name="BLPH708" hidden="1">#REF!</definedName>
    <definedName name="BLPH709" hidden="1">#REF!</definedName>
    <definedName name="BLPH71" hidden="1">#REF!</definedName>
    <definedName name="BLPH710" hidden="1">#REF!</definedName>
    <definedName name="BLPH711" hidden="1">#REF!</definedName>
    <definedName name="BLPH712" hidden="1">#REF!</definedName>
    <definedName name="BLPH713" hidden="1">#REF!</definedName>
    <definedName name="BLPH714" hidden="1">#REF!</definedName>
    <definedName name="BLPH715" hidden="1">#REF!</definedName>
    <definedName name="BLPH716" hidden="1">#REF!</definedName>
    <definedName name="BLPH717" hidden="1">#REF!</definedName>
    <definedName name="BLPH718" hidden="1">#REF!</definedName>
    <definedName name="BLPH719" hidden="1">#REF!</definedName>
    <definedName name="BLPH72" hidden="1">#REF!</definedName>
    <definedName name="BLPH720" hidden="1">#REF!</definedName>
    <definedName name="BLPH721" hidden="1">#REF!</definedName>
    <definedName name="BLPH722" hidden="1">#REF!</definedName>
    <definedName name="BLPH723" hidden="1">#REF!</definedName>
    <definedName name="BLPH724" hidden="1">#REF!</definedName>
    <definedName name="BLPH725" hidden="1">#REF!</definedName>
    <definedName name="BLPH726" hidden="1">#REF!</definedName>
    <definedName name="BLPH727" hidden="1">#REF!</definedName>
    <definedName name="BLPH728" hidden="1">#REF!</definedName>
    <definedName name="BLPH729" hidden="1">#REF!</definedName>
    <definedName name="BLPH73" hidden="1">#REF!</definedName>
    <definedName name="BLPH730" hidden="1">#REF!</definedName>
    <definedName name="BLPH731" hidden="1">#REF!</definedName>
    <definedName name="BLPH732" hidden="1">#REF!</definedName>
    <definedName name="BLPH733" hidden="1">#REF!</definedName>
    <definedName name="BLPH734" hidden="1">#REF!</definedName>
    <definedName name="BLPH735" hidden="1">#REF!</definedName>
    <definedName name="BLPH736" hidden="1">#REF!</definedName>
    <definedName name="BLPH737" hidden="1">#REF!</definedName>
    <definedName name="BLPH738" hidden="1">#REF!</definedName>
    <definedName name="BLPH739" hidden="1">#REF!</definedName>
    <definedName name="BLPH74" hidden="1">#REF!</definedName>
    <definedName name="BLPH740" hidden="1">#REF!</definedName>
    <definedName name="BLPH741" hidden="1">#REF!</definedName>
    <definedName name="BLPH742" hidden="1">#REF!</definedName>
    <definedName name="BLPH743" hidden="1">#REF!</definedName>
    <definedName name="BLPH744" hidden="1">#REF!</definedName>
    <definedName name="BLPH745" hidden="1">#REF!</definedName>
    <definedName name="BLPH746" hidden="1">#REF!</definedName>
    <definedName name="BLPH747" hidden="1">#REF!</definedName>
    <definedName name="BLPH748" hidden="1">#REF!</definedName>
    <definedName name="BLPH749" hidden="1">#REF!</definedName>
    <definedName name="BLPH75" hidden="1">#REF!</definedName>
    <definedName name="BLPH750" hidden="1">#REF!</definedName>
    <definedName name="BLPH751" hidden="1">#REF!</definedName>
    <definedName name="BLPH752" hidden="1">#REF!</definedName>
    <definedName name="BLPH753" hidden="1">#REF!</definedName>
    <definedName name="BLPH754" hidden="1">#REF!</definedName>
    <definedName name="BLPH755" hidden="1">#REF!</definedName>
    <definedName name="BLPH756" hidden="1">#REF!</definedName>
    <definedName name="BLPH757" hidden="1">#REF!</definedName>
    <definedName name="BLPH758" hidden="1">#REF!</definedName>
    <definedName name="BLPH759" hidden="1">#REF!</definedName>
    <definedName name="BLPH76" hidden="1">#REF!</definedName>
    <definedName name="BLPH760" hidden="1">#REF!</definedName>
    <definedName name="BLPH761" hidden="1">#REF!</definedName>
    <definedName name="BLPH762" hidden="1">#REF!</definedName>
    <definedName name="BLPH763" hidden="1">#REF!</definedName>
    <definedName name="BLPH764" hidden="1">#REF!</definedName>
    <definedName name="BLPH765" hidden="1">#REF!</definedName>
    <definedName name="BLPH766" hidden="1">#REF!</definedName>
    <definedName name="BLPH767" hidden="1">#REF!</definedName>
    <definedName name="BLPH768" hidden="1">#REF!</definedName>
    <definedName name="BLPH769" hidden="1">#REF!</definedName>
    <definedName name="BLPH77" hidden="1">#REF!</definedName>
    <definedName name="BLPH770" hidden="1">#REF!</definedName>
    <definedName name="BLPH771" hidden="1">#REF!</definedName>
    <definedName name="BLPH772" hidden="1">#REF!</definedName>
    <definedName name="BLPH773" hidden="1">#REF!</definedName>
    <definedName name="BLPH774" hidden="1">#REF!</definedName>
    <definedName name="BLPH775" hidden="1">#REF!</definedName>
    <definedName name="BLPH776" hidden="1">#REF!</definedName>
    <definedName name="BLPH777" hidden="1">#REF!</definedName>
    <definedName name="BLPH778" hidden="1">#REF!</definedName>
    <definedName name="BLPH779" hidden="1">#REF!</definedName>
    <definedName name="BLPH78" hidden="1">#REF!</definedName>
    <definedName name="BLPH780" hidden="1">#REF!</definedName>
    <definedName name="BLPH781" hidden="1">#REF!</definedName>
    <definedName name="BLPH782" hidden="1">#REF!</definedName>
    <definedName name="BLPH783" hidden="1">#REF!</definedName>
    <definedName name="BLPH784" hidden="1">#REF!</definedName>
    <definedName name="BLPH785" hidden="1">#REF!</definedName>
    <definedName name="BLPH786" hidden="1">#REF!</definedName>
    <definedName name="BLPH787" hidden="1">#REF!</definedName>
    <definedName name="BLPH788" hidden="1">#REF!</definedName>
    <definedName name="BLPH789" hidden="1">#REF!</definedName>
    <definedName name="BLPH79" hidden="1">#REF!</definedName>
    <definedName name="BLPH790" hidden="1">#REF!</definedName>
    <definedName name="BLPH791" hidden="1">#REF!</definedName>
    <definedName name="BLPH792" hidden="1">#REF!</definedName>
    <definedName name="BLPH793" hidden="1">#REF!</definedName>
    <definedName name="BLPH794" hidden="1">#REF!</definedName>
    <definedName name="BLPH795" hidden="1">#REF!</definedName>
    <definedName name="BLPH796" hidden="1">#REF!</definedName>
    <definedName name="BLPH797" hidden="1">#REF!</definedName>
    <definedName name="BLPH798" hidden="1">#REF!</definedName>
    <definedName name="BLPH799" hidden="1">#REF!</definedName>
    <definedName name="BLPH8" localSheetId="7" hidden="1">#REF!</definedName>
    <definedName name="BLPH8" localSheetId="8" hidden="1">#REF!</definedName>
    <definedName name="BLPH8" hidden="1">#REF!</definedName>
    <definedName name="BLPH80" hidden="1">#REF!</definedName>
    <definedName name="BLPH800" hidden="1">#REF!</definedName>
    <definedName name="BLPH801" hidden="1">#REF!</definedName>
    <definedName name="BLPH802" hidden="1">#REF!</definedName>
    <definedName name="BLPH803" hidden="1">#REF!</definedName>
    <definedName name="BLPH804" hidden="1">#REF!</definedName>
    <definedName name="BLPH805" hidden="1">#REF!</definedName>
    <definedName name="BLPH806" hidden="1">#REF!</definedName>
    <definedName name="BLPH807" hidden="1">#REF!</definedName>
    <definedName name="BLPH808" hidden="1">#REF!</definedName>
    <definedName name="BLPH809" hidden="1">#REF!</definedName>
    <definedName name="BLPH81" hidden="1">#REF!</definedName>
    <definedName name="BLPH810" hidden="1">#REF!</definedName>
    <definedName name="BLPH811" hidden="1">#REF!</definedName>
    <definedName name="BLPH812" hidden="1">#REF!</definedName>
    <definedName name="BLPH813" hidden="1">#REF!</definedName>
    <definedName name="BLPH814" hidden="1">#REF!</definedName>
    <definedName name="BLPH815" hidden="1">#REF!</definedName>
    <definedName name="BLPH816" hidden="1">#REF!</definedName>
    <definedName name="BLPH817" hidden="1">#REF!</definedName>
    <definedName name="BLPH818" hidden="1">#REF!</definedName>
    <definedName name="BLPH819" hidden="1">#REF!</definedName>
    <definedName name="BLPH82" hidden="1">#REF!</definedName>
    <definedName name="BLPH820" hidden="1">#REF!</definedName>
    <definedName name="BLPH821" hidden="1">#REF!</definedName>
    <definedName name="BLPH822" hidden="1">#REF!</definedName>
    <definedName name="BLPH823" hidden="1">#REF!</definedName>
    <definedName name="BLPH824" hidden="1">#REF!</definedName>
    <definedName name="BLPH825" hidden="1">#REF!</definedName>
    <definedName name="BLPH826" hidden="1">#REF!</definedName>
    <definedName name="BLPH827" hidden="1">#REF!</definedName>
    <definedName name="BLPH828" hidden="1">#REF!</definedName>
    <definedName name="BLPH829" hidden="1">#REF!</definedName>
    <definedName name="BLPH83" hidden="1">#REF!</definedName>
    <definedName name="BLPH830" hidden="1">#REF!</definedName>
    <definedName name="BLPH831" hidden="1">#REF!</definedName>
    <definedName name="BLPH832" hidden="1">#REF!</definedName>
    <definedName name="BLPH833" hidden="1">#REF!</definedName>
    <definedName name="BLPH834" hidden="1">#REF!</definedName>
    <definedName name="BLPH835" hidden="1">#REF!</definedName>
    <definedName name="BLPH836" hidden="1">#REF!</definedName>
    <definedName name="BLPH837" hidden="1">#REF!</definedName>
    <definedName name="BLPH838" hidden="1">#REF!</definedName>
    <definedName name="BLPH839" hidden="1">#REF!</definedName>
    <definedName name="BLPH84" hidden="1">#REF!</definedName>
    <definedName name="BLPH840" hidden="1">#REF!</definedName>
    <definedName name="BLPH841" hidden="1">#REF!</definedName>
    <definedName name="BLPH842" hidden="1">#REF!</definedName>
    <definedName name="BLPH843" hidden="1">#REF!</definedName>
    <definedName name="BLPH844" hidden="1">#REF!</definedName>
    <definedName name="BLPH845" hidden="1">#REF!</definedName>
    <definedName name="BLPH846" hidden="1">#REF!</definedName>
    <definedName name="BLPH847" hidden="1">#REF!</definedName>
    <definedName name="BLPH848" hidden="1">#REF!</definedName>
    <definedName name="BLPH85" hidden="1">#REF!</definedName>
    <definedName name="BLPH86" hidden="1">#REF!</definedName>
    <definedName name="BLPH860" hidden="1">#REF!</definedName>
    <definedName name="BLPH861" hidden="1">#REF!</definedName>
    <definedName name="BLPH862" hidden="1">#REF!</definedName>
    <definedName name="BLPH863" hidden="1">#REF!</definedName>
    <definedName name="BLPH864" hidden="1">#REF!</definedName>
    <definedName name="BLPH865" hidden="1">#REF!</definedName>
    <definedName name="BLPH866" hidden="1">#REF!</definedName>
    <definedName name="BLPH867" hidden="1">#REF!</definedName>
    <definedName name="BLPH868" hidden="1">#REF!</definedName>
    <definedName name="BLPH869" hidden="1">#REF!</definedName>
    <definedName name="BLPH87" hidden="1">#REF!</definedName>
    <definedName name="BLPH870" hidden="1">#REF!</definedName>
    <definedName name="BLPH871" hidden="1">#REF!</definedName>
    <definedName name="BLPH872" hidden="1">#REF!</definedName>
    <definedName name="BLPH873" hidden="1">#REF!</definedName>
    <definedName name="BLPH874" hidden="1">#REF!</definedName>
    <definedName name="BLPH875" hidden="1">#REF!</definedName>
    <definedName name="BLPH876" hidden="1">#REF!</definedName>
    <definedName name="BLPH877" hidden="1">#REF!</definedName>
    <definedName name="BLPH878" hidden="1">#REF!</definedName>
    <definedName name="BLPH879" hidden="1">#REF!</definedName>
    <definedName name="BLPH88" hidden="1">#REF!</definedName>
    <definedName name="BLPH880" hidden="1">#REF!</definedName>
    <definedName name="BLPH881" hidden="1">#REF!</definedName>
    <definedName name="BLPH882" hidden="1">#REF!</definedName>
    <definedName name="BLPH883" hidden="1">#REF!</definedName>
    <definedName name="BLPH884" hidden="1">#REF!</definedName>
    <definedName name="BLPH885" hidden="1">#REF!</definedName>
    <definedName name="BLPH886" hidden="1">#REF!</definedName>
    <definedName name="BLPH887" hidden="1">#REF!</definedName>
    <definedName name="BLPH888" hidden="1">#REF!</definedName>
    <definedName name="BLPH889" hidden="1">#REF!</definedName>
    <definedName name="BLPH89" hidden="1">#REF!</definedName>
    <definedName name="BLPH890" hidden="1">#REF!</definedName>
    <definedName name="BLPH891" hidden="1">#REF!</definedName>
    <definedName name="BLPH892" hidden="1">#REF!</definedName>
    <definedName name="BLPH893" hidden="1">#REF!</definedName>
    <definedName name="BLPH894" hidden="1">#REF!</definedName>
    <definedName name="BLPH895" hidden="1">#REF!</definedName>
    <definedName name="BLPH896" hidden="1">#REF!</definedName>
    <definedName name="BLPH897" hidden="1">#REF!</definedName>
    <definedName name="BLPH898" hidden="1">#REF!</definedName>
    <definedName name="BLPH899" hidden="1">#REF!</definedName>
    <definedName name="BLPH9" localSheetId="7" hidden="1">#REF!</definedName>
    <definedName name="BLPH9" localSheetId="8" hidden="1">#REF!</definedName>
    <definedName name="BLPH9" hidden="1">#REF!</definedName>
    <definedName name="BLPH90" hidden="1">#REF!</definedName>
    <definedName name="BLPH900" hidden="1">#REF!</definedName>
    <definedName name="BLPH901" hidden="1">#REF!</definedName>
    <definedName name="BLPH902" hidden="1">#REF!</definedName>
    <definedName name="BLPH903" hidden="1">#REF!</definedName>
    <definedName name="BLPH904" hidden="1">#REF!</definedName>
    <definedName name="BLPH905" hidden="1">#REF!</definedName>
    <definedName name="BLPH906" hidden="1">#REF!</definedName>
    <definedName name="BLPH907" hidden="1">#REF!</definedName>
    <definedName name="BLPH908" hidden="1">#REF!</definedName>
    <definedName name="BLPH909" hidden="1">#REF!</definedName>
    <definedName name="BLPH91" hidden="1">#REF!</definedName>
    <definedName name="BLPH910" hidden="1">#REF!</definedName>
    <definedName name="BLPH911" hidden="1">#REF!</definedName>
    <definedName name="BLPH912" hidden="1">#REF!</definedName>
    <definedName name="BLPH913" hidden="1">#REF!</definedName>
    <definedName name="BLPH914" hidden="1">#REF!</definedName>
    <definedName name="BLPH915" hidden="1">#REF!</definedName>
    <definedName name="BLPH916" hidden="1">#REF!</definedName>
    <definedName name="BLPH917" hidden="1">#REF!</definedName>
    <definedName name="BLPH918" hidden="1">#REF!</definedName>
    <definedName name="BLPH919" hidden="1">#REF!</definedName>
    <definedName name="BLPH92" hidden="1">#REF!</definedName>
    <definedName name="BLPH920" hidden="1">#REF!</definedName>
    <definedName name="BLPH921" hidden="1">#REF!</definedName>
    <definedName name="BLPH922" hidden="1">#REF!</definedName>
    <definedName name="BLPH923" hidden="1">#REF!</definedName>
    <definedName name="BLPH924" hidden="1">#REF!</definedName>
    <definedName name="BLPH925" hidden="1">#REF!</definedName>
    <definedName name="BLPH926" hidden="1">#REF!</definedName>
    <definedName name="BLPH927" hidden="1">#REF!</definedName>
    <definedName name="BLPH928" hidden="1">#REF!</definedName>
    <definedName name="BLPH929" hidden="1">#REF!</definedName>
    <definedName name="BLPH93" hidden="1">#REF!</definedName>
    <definedName name="BLPH930" hidden="1">#REF!</definedName>
    <definedName name="BLPH931" hidden="1">#REF!</definedName>
    <definedName name="BLPH932" hidden="1">#REF!</definedName>
    <definedName name="BLPH933" hidden="1">#REF!</definedName>
    <definedName name="BLPH934" hidden="1">#REF!</definedName>
    <definedName name="BLPH935" hidden="1">#REF!</definedName>
    <definedName name="BLPH936" hidden="1">#REF!</definedName>
    <definedName name="BLPH937" hidden="1">#REF!</definedName>
    <definedName name="BLPH938" hidden="1">#REF!</definedName>
    <definedName name="BLPH939" hidden="1">#REF!</definedName>
    <definedName name="BLPH94" hidden="1">#REF!</definedName>
    <definedName name="BLPH940" hidden="1">#REF!</definedName>
    <definedName name="BLPH941" hidden="1">#REF!</definedName>
    <definedName name="BLPH942" hidden="1">#REF!</definedName>
    <definedName name="BLPH943" hidden="1">#REF!</definedName>
    <definedName name="BLPH944" hidden="1">#REF!</definedName>
    <definedName name="BLPH945" hidden="1">#REF!</definedName>
    <definedName name="BLPH946" hidden="1">#REF!</definedName>
    <definedName name="BLPH947" hidden="1">#REF!</definedName>
    <definedName name="BLPH948" hidden="1">#REF!</definedName>
    <definedName name="BLPH949" hidden="1">#REF!</definedName>
    <definedName name="BLPH95" hidden="1">#REF!</definedName>
    <definedName name="BLPH950" hidden="1">#REF!</definedName>
    <definedName name="BLPH951" hidden="1">#REF!</definedName>
    <definedName name="BLPH952" hidden="1">#REF!</definedName>
    <definedName name="BLPH953" hidden="1">#REF!</definedName>
    <definedName name="BLPH954" hidden="1">#REF!</definedName>
    <definedName name="BLPH955" hidden="1">#REF!</definedName>
    <definedName name="BLPH956" hidden="1">#REF!</definedName>
    <definedName name="BLPH957" hidden="1">#REF!</definedName>
    <definedName name="BLPH958" hidden="1">#REF!</definedName>
    <definedName name="BLPH959" hidden="1">#REF!</definedName>
    <definedName name="BLPH96" hidden="1">#REF!</definedName>
    <definedName name="BLPH960" hidden="1">#REF!</definedName>
    <definedName name="BLPH961" hidden="1">#REF!</definedName>
    <definedName name="BLPH962" hidden="1">#REF!</definedName>
    <definedName name="BLPH963" hidden="1">#REF!</definedName>
    <definedName name="BLPH964" hidden="1">#REF!</definedName>
    <definedName name="BLPH965" hidden="1">#REF!</definedName>
    <definedName name="BLPH966" hidden="1">#REF!</definedName>
    <definedName name="BLPH967" hidden="1">#REF!</definedName>
    <definedName name="BLPH968" hidden="1">#REF!</definedName>
    <definedName name="BLPH969" hidden="1">#REF!</definedName>
    <definedName name="BLPH97" hidden="1">#REF!</definedName>
    <definedName name="BLPH970" hidden="1">#REF!</definedName>
    <definedName name="BLPH971" hidden="1">#REF!</definedName>
    <definedName name="BLPH972" hidden="1">#REF!</definedName>
    <definedName name="BLPH973" hidden="1">#REF!</definedName>
    <definedName name="BLPH974" hidden="1">#REF!</definedName>
    <definedName name="BLPH975" hidden="1">#REF!</definedName>
    <definedName name="BLPH976" hidden="1">#REF!</definedName>
    <definedName name="BLPH977" hidden="1">#REF!</definedName>
    <definedName name="BLPH978" hidden="1">#REF!</definedName>
    <definedName name="BLPH979" hidden="1">#REF!</definedName>
    <definedName name="BLPH98" hidden="1">#REF!</definedName>
    <definedName name="BLPH980" hidden="1">#REF!</definedName>
    <definedName name="BLPH981" hidden="1">#REF!</definedName>
    <definedName name="BLPH982" hidden="1">#REF!</definedName>
    <definedName name="BLPH983" hidden="1">#REF!</definedName>
    <definedName name="BLPH984" hidden="1">#REF!</definedName>
    <definedName name="BLPH985" hidden="1">#REF!</definedName>
    <definedName name="BLPH986" hidden="1">#REF!</definedName>
    <definedName name="BLPH987" hidden="1">#REF!</definedName>
    <definedName name="BLPH988" hidden="1">#REF!</definedName>
    <definedName name="BLPH989" hidden="1">#REF!</definedName>
    <definedName name="BLPH99" hidden="1">#REF!</definedName>
    <definedName name="BLPH990" hidden="1">#REF!</definedName>
    <definedName name="BLPH991" hidden="1">#REF!</definedName>
    <definedName name="BLPH992" hidden="1">#REF!</definedName>
    <definedName name="BLPH993" hidden="1">#REF!</definedName>
    <definedName name="BLPH994" hidden="1">#REF!</definedName>
    <definedName name="BLPH995" hidden="1">#REF!</definedName>
    <definedName name="BLPH996" hidden="1">#REF!</definedName>
    <definedName name="BLPH997" hidden="1">#REF!</definedName>
    <definedName name="BLPH998" hidden="1">#REF!</definedName>
    <definedName name="BLPH999" hidden="1">#REF!</definedName>
    <definedName name="BLPI1" hidden="1">#REF!</definedName>
    <definedName name="BLPI10" hidden="1">#REF!</definedName>
    <definedName name="BLPI2" hidden="1">#REF!</definedName>
    <definedName name="BLPI3" hidden="1">#REF!</definedName>
    <definedName name="BLPI4" hidden="1">#REF!</definedName>
    <definedName name="BLPI7" hidden="1">#REF!</definedName>
    <definedName name="BLPI8" hidden="1">#REF!</definedName>
    <definedName name="BLPI9" hidden="1">#REF!</definedName>
    <definedName name="BLPR1020040129204514642" hidden="1">#REF!</definedName>
    <definedName name="BLPR1020040129204514642_1_5" hidden="1">#REF!</definedName>
    <definedName name="BLPR1020040129204514642_2_5" hidden="1">#REF!</definedName>
    <definedName name="BLPR1020040129204514642_3_5" hidden="1">#REF!</definedName>
    <definedName name="BLPR1020040129204514642_4_5" hidden="1">#REF!</definedName>
    <definedName name="BLPR1020040129204514642_5_5" hidden="1">#REF!</definedName>
    <definedName name="BLPR1120040129204514642" hidden="1">#REF!</definedName>
    <definedName name="BLPR1120040129204514642_1_5" hidden="1">#REF!</definedName>
    <definedName name="BLPR1120040129204514642_2_5" hidden="1">#REF!</definedName>
    <definedName name="BLPR1120040129204514642_3_5" hidden="1">#REF!</definedName>
    <definedName name="BLPR1120040129204514642_4_5" hidden="1">#REF!</definedName>
    <definedName name="BLPR1120040129204514642_5_5" hidden="1">#REF!</definedName>
    <definedName name="BLPR120040129203645421" hidden="1">#REF!</definedName>
    <definedName name="BLPR120040129203645421_1_4" hidden="1">#REF!</definedName>
    <definedName name="BLPR120040129203645421_2_4" hidden="1">#REF!</definedName>
    <definedName name="BLPR120040129203645421_3_4" hidden="1">#REF!</definedName>
    <definedName name="BLPR120040129203645421_4_4" hidden="1">#REF!</definedName>
    <definedName name="BLPR1220040129204514642" hidden="1">#REF!</definedName>
    <definedName name="BLPR1220040129204514642_1_5" hidden="1">#REF!</definedName>
    <definedName name="BLPR1220040129204514642_2_5" hidden="1">#REF!</definedName>
    <definedName name="BLPR1220040129204514642_3_5" hidden="1">#REF!</definedName>
    <definedName name="BLPR1220040129204514642_4_5" hidden="1">#REF!</definedName>
    <definedName name="BLPR1220040129204514642_5_5" hidden="1">#REF!</definedName>
    <definedName name="BLPR1320040129204514642" hidden="1">#REF!</definedName>
    <definedName name="BLPR1320040129204514642_1_5" hidden="1">#REF!</definedName>
    <definedName name="BLPR1320040129204514642_2_5" hidden="1">#REF!</definedName>
    <definedName name="BLPR1320040129204514642_3_5" hidden="1">#REF!</definedName>
    <definedName name="BLPR1320040129204514642_4_5" hidden="1">#REF!</definedName>
    <definedName name="BLPR1320040129204514642_5_5" hidden="1">#REF!</definedName>
    <definedName name="BLPR1420040129204514642" hidden="1">#REF!</definedName>
    <definedName name="BLPR1420040129204514642_1_5" hidden="1">#REF!</definedName>
    <definedName name="BLPR1420040129204514642_2_5" hidden="1">#REF!</definedName>
    <definedName name="BLPR1420040129204514642_3_5" hidden="1">#REF!</definedName>
    <definedName name="BLPR1420040129204514642_4_5" hidden="1">#REF!</definedName>
    <definedName name="BLPR1420040129204514642_5_5" hidden="1">#REF!</definedName>
    <definedName name="BLPR1520040129204514652" hidden="1">#REF!</definedName>
    <definedName name="BLPR1520040129204514652_1_5" hidden="1">#REF!</definedName>
    <definedName name="BLPR1520040129204514652_2_5" hidden="1">#REF!</definedName>
    <definedName name="BLPR1520040129204514652_3_5" hidden="1">#REF!</definedName>
    <definedName name="BLPR1520040129204514652_4_5" hidden="1">#REF!</definedName>
    <definedName name="BLPR1520040129204514652_5_5" hidden="1">#REF!</definedName>
    <definedName name="BLPR1620040129204514652" hidden="1">#REF!</definedName>
    <definedName name="BLPR1620040129204514652_1_5" hidden="1">#REF!</definedName>
    <definedName name="BLPR1620040129204514652_2_5" hidden="1">#REF!</definedName>
    <definedName name="BLPR1620040129204514652_3_5" hidden="1">#REF!</definedName>
    <definedName name="BLPR1620040129204514652_4_5" hidden="1">#REF!</definedName>
    <definedName name="BLPR1620040129204514652_5_5" hidden="1">#REF!</definedName>
    <definedName name="BLPR1720040129204514652" hidden="1">#REF!</definedName>
    <definedName name="BLPR1720040129204514652_1_5" hidden="1">#REF!</definedName>
    <definedName name="BLPR1720040129204514652_2_5" hidden="1">#REF!</definedName>
    <definedName name="BLPR1720040129204514652_3_5" hidden="1">#REF!</definedName>
    <definedName name="BLPR1720040129204514652_4_5" hidden="1">#REF!</definedName>
    <definedName name="BLPR1720040129204514652_5_5" hidden="1">#REF!</definedName>
    <definedName name="BLPR1820040129204514652" hidden="1">#REF!</definedName>
    <definedName name="BLPR1820040129204514652_1_5" hidden="1">#REF!</definedName>
    <definedName name="BLPR1820040129204514652_2_5" hidden="1">#REF!</definedName>
    <definedName name="BLPR1820040129204514652_3_5" hidden="1">#REF!</definedName>
    <definedName name="BLPR1820040129204514652_4_5" hidden="1">#REF!</definedName>
    <definedName name="BLPR1820040129204514652_5_5" hidden="1">#REF!</definedName>
    <definedName name="BLPR1920040129204514652" hidden="1">#REF!</definedName>
    <definedName name="BLPR1920040129204514652_1_5" hidden="1">#REF!</definedName>
    <definedName name="BLPR1920040129204514652_2_5" hidden="1">#REF!</definedName>
    <definedName name="BLPR1920040129204514652_3_5" hidden="1">#REF!</definedName>
    <definedName name="BLPR1920040129204514652_4_5" hidden="1">#REF!</definedName>
    <definedName name="BLPR1920040129204514652_5_5" hidden="1">#REF!</definedName>
    <definedName name="BLPR2020040129204514652" hidden="1">#REF!</definedName>
    <definedName name="BLPR2020040129204514652_1_5" hidden="1">#REF!</definedName>
    <definedName name="BLPR2020040129204514652_2_5" hidden="1">#REF!</definedName>
    <definedName name="BLPR2020040129204514652_3_5" hidden="1">#REF!</definedName>
    <definedName name="BLPR2020040129204514652_4_5" hidden="1">#REF!</definedName>
    <definedName name="BLPR2020040129204514652_5_5" hidden="1">#REF!</definedName>
    <definedName name="BLPR2120040129204514652" hidden="1">#REF!</definedName>
    <definedName name="BLPR2120040129204514652_1_5" hidden="1">#REF!</definedName>
    <definedName name="BLPR2120040129204514652_2_5" hidden="1">#REF!</definedName>
    <definedName name="BLPR2120040129204514652_3_5" hidden="1">#REF!</definedName>
    <definedName name="BLPR2120040129204514652_4_5" hidden="1">#REF!</definedName>
    <definedName name="BLPR2120040129204514652_5_5" hidden="1">#REF!</definedName>
    <definedName name="BLPR220040129203645421" hidden="1">#REF!</definedName>
    <definedName name="BLPR220040129203645421_1_4" hidden="1">#REF!</definedName>
    <definedName name="BLPR220040129203645421_2_4" hidden="1">#REF!</definedName>
    <definedName name="BLPR220040129203645421_3_4" hidden="1">#REF!</definedName>
    <definedName name="BLPR220040129203645421_4_4" hidden="1">#REF!</definedName>
    <definedName name="BLPR2220040129204514652" hidden="1">#REF!</definedName>
    <definedName name="BLPR2220040129204514652_1_5" hidden="1">#REF!</definedName>
    <definedName name="BLPR2220040129204514652_2_5" hidden="1">#REF!</definedName>
    <definedName name="BLPR2220040129204514652_3_5" hidden="1">#REF!</definedName>
    <definedName name="BLPR2220040129204514652_4_5" hidden="1">#REF!</definedName>
    <definedName name="BLPR2220040129204514652_5_5" hidden="1">#REF!</definedName>
    <definedName name="BLPR2320040129204514662" hidden="1">#REF!</definedName>
    <definedName name="BLPR2320040129204514662_1_5" hidden="1">#REF!</definedName>
    <definedName name="BLPR2320040129204514662_2_5" hidden="1">#REF!</definedName>
    <definedName name="BLPR2320040129204514662_3_5" hidden="1">#REF!</definedName>
    <definedName name="BLPR2320040129204514662_4_5" hidden="1">#REF!</definedName>
    <definedName name="BLPR2320040129204514662_5_5" hidden="1">#REF!</definedName>
    <definedName name="BLPR2420040129204514662" hidden="1">#REF!</definedName>
    <definedName name="BLPR2420040129204514662_1_5" hidden="1">#REF!</definedName>
    <definedName name="BLPR2420040129204514662_2_5" hidden="1">#REF!</definedName>
    <definedName name="BLPR2420040129204514662_3_5" hidden="1">#REF!</definedName>
    <definedName name="BLPR2420040129204514662_4_5" hidden="1">#REF!</definedName>
    <definedName name="BLPR2420040129204514662_5_5" hidden="1">#REF!</definedName>
    <definedName name="BLPR2520040129204514662" hidden="1">#REF!</definedName>
    <definedName name="BLPR2520040129204514662_1_5" hidden="1">#REF!</definedName>
    <definedName name="BLPR2520040129204514662_2_5" hidden="1">#REF!</definedName>
    <definedName name="BLPR2520040129204514662_3_5" hidden="1">#REF!</definedName>
    <definedName name="BLPR2520040129204514662_4_5" hidden="1">#REF!</definedName>
    <definedName name="BLPR2520040129204514662_5_5" hidden="1">#REF!</definedName>
    <definedName name="BLPR2620040129204514662" hidden="1">#REF!</definedName>
    <definedName name="BLPR2620040129204514662_1_5" hidden="1">#REF!</definedName>
    <definedName name="BLPR2620040129204514662_2_5" hidden="1">#REF!</definedName>
    <definedName name="BLPR2620040129204514662_3_5" hidden="1">#REF!</definedName>
    <definedName name="BLPR2620040129204514662_4_5" hidden="1">#REF!</definedName>
    <definedName name="BLPR2620040129204514662_5_5" hidden="1">#REF!</definedName>
    <definedName name="BLPR2720040129204514662" hidden="1">#REF!</definedName>
    <definedName name="BLPR2720040129204514662_1_5" hidden="1">#REF!</definedName>
    <definedName name="BLPR2720040129204514662_2_5" hidden="1">#REF!</definedName>
    <definedName name="BLPR2720040129204514662_3_5" hidden="1">#REF!</definedName>
    <definedName name="BLPR2720040129204514662_4_5" hidden="1">#REF!</definedName>
    <definedName name="BLPR2720040129204514662_5_5" hidden="1">#REF!</definedName>
    <definedName name="BLPR2820040129204514662" hidden="1">#REF!</definedName>
    <definedName name="BLPR2820040129204514662_1_5" hidden="1">#REF!</definedName>
    <definedName name="BLPR2820040129204514662_2_5" hidden="1">#REF!</definedName>
    <definedName name="BLPR2820040129204514662_3_5" hidden="1">#REF!</definedName>
    <definedName name="BLPR2820040129204514662_4_5" hidden="1">#REF!</definedName>
    <definedName name="BLPR2820040129204514662_5_5" hidden="1">#REF!</definedName>
    <definedName name="BLPR2920040129204514662" hidden="1">#REF!</definedName>
    <definedName name="BLPR2920040129204514662_1_5" hidden="1">#REF!</definedName>
    <definedName name="BLPR2920040129204514662_2_5" hidden="1">#REF!</definedName>
    <definedName name="BLPR2920040129204514662_3_5" hidden="1">#REF!</definedName>
    <definedName name="BLPR2920040129204514662_4_5" hidden="1">#REF!</definedName>
    <definedName name="BLPR2920040129204514662_5_5" hidden="1">#REF!</definedName>
    <definedName name="BLPR3020040129204514672" hidden="1">#REF!</definedName>
    <definedName name="BLPR3020040129204514672_1_5" hidden="1">#REF!</definedName>
    <definedName name="BLPR3020040129204514672_2_5" hidden="1">#REF!</definedName>
    <definedName name="BLPR3020040129204514672_3_5" hidden="1">#REF!</definedName>
    <definedName name="BLPR3020040129204514672_4_5" hidden="1">#REF!</definedName>
    <definedName name="BLPR3020040129204514672_5_5" hidden="1">#REF!</definedName>
    <definedName name="BLPR3120040129204514692" hidden="1">#REF!</definedName>
    <definedName name="BLPR3120040129204514692_1_1" hidden="1">#REF!</definedName>
    <definedName name="BLPR320040129203645431" hidden="1">#REF!</definedName>
    <definedName name="BLPR320040129203645431_1_4" hidden="1">#REF!</definedName>
    <definedName name="BLPR320040129203645431_2_4" hidden="1">#REF!</definedName>
    <definedName name="BLPR320040129203645431_3_4" hidden="1">#REF!</definedName>
    <definedName name="BLPR320040129203645431_4_4" hidden="1">#REF!</definedName>
    <definedName name="BLPR3220040129204514692" hidden="1">#REF!</definedName>
    <definedName name="BLPR3220040129204514692_1_1" hidden="1">#REF!</definedName>
    <definedName name="BLPR3320040129204514702" hidden="1">#REF!</definedName>
    <definedName name="BLPR3320040129204514702_1_1" hidden="1">#REF!</definedName>
    <definedName name="BLPR3420040129204514702" hidden="1">#REF!</definedName>
    <definedName name="BLPR3420040129204514702_1_1" hidden="1">#REF!</definedName>
    <definedName name="BLPR3520040129204514702" hidden="1">#REF!</definedName>
    <definedName name="BLPR3520040129204514702_1_1" hidden="1">#REF!</definedName>
    <definedName name="BLPR420040129203645431" hidden="1">#REF!</definedName>
    <definedName name="BLPR420040129203645431_1_4" hidden="1">#REF!</definedName>
    <definedName name="BLPR420040129203645431_2_4" hidden="1">#REF!</definedName>
    <definedName name="BLPR420040129203645431_3_4" hidden="1">#REF!</definedName>
    <definedName name="BLPR420040129203645431_4_4" hidden="1">#REF!</definedName>
    <definedName name="BLPR520040129203645441" hidden="1">#REF!</definedName>
    <definedName name="BLPR520040129203645441_1_4" hidden="1">#REF!</definedName>
    <definedName name="BLPR520040129203645441_2_4" hidden="1">#REF!</definedName>
    <definedName name="BLPR520040129203645441_3_4" hidden="1">#REF!</definedName>
    <definedName name="BLPR520040129203645441_4_4" hidden="1">#REF!</definedName>
    <definedName name="BLPR620040129204149993" hidden="1">#REF!</definedName>
    <definedName name="BLPR620040129204149993_1_5" hidden="1">#REF!</definedName>
    <definedName name="BLPR620040129204149993_2_5" hidden="1">#REF!</definedName>
    <definedName name="BLPR620040129204149993_3_5" hidden="1">#REF!</definedName>
    <definedName name="BLPR620040129204149993_4_5" hidden="1">#REF!</definedName>
    <definedName name="BLPR620040129204149993_5_5" hidden="1">#REF!</definedName>
    <definedName name="BLPR720040129204514631" hidden="1">#REF!</definedName>
    <definedName name="BLPR720040129204514631_1_5" hidden="1">#REF!</definedName>
    <definedName name="BLPR720040129204514631_2_5" hidden="1">#REF!</definedName>
    <definedName name="BLPR720040129204514631_3_5" hidden="1">#REF!</definedName>
    <definedName name="BLPR720040129204514631_4_5" hidden="1">#REF!</definedName>
    <definedName name="BLPR720040129204514631_5_5" hidden="1">#REF!</definedName>
    <definedName name="BLPR820040129204514642" hidden="1">#REF!</definedName>
    <definedName name="BLPR820040129204514642_1_5" hidden="1">#REF!</definedName>
    <definedName name="BLPR820040129204514642_2_5" hidden="1">#REF!</definedName>
    <definedName name="BLPR820040129204514642_3_5" hidden="1">#REF!</definedName>
    <definedName name="BLPR820040129204514642_4_5" hidden="1">#REF!</definedName>
    <definedName name="BLPR820040129204514642_5_5" hidden="1">#REF!</definedName>
    <definedName name="BLPR920040129204514642" hidden="1">#REF!</definedName>
    <definedName name="BLPR920040129204514642_1_5" hidden="1">#REF!</definedName>
    <definedName name="BLPR920040129204514642_2_5" hidden="1">#REF!</definedName>
    <definedName name="BLPR920040129204514642_3_5" hidden="1">#REF!</definedName>
    <definedName name="BLPR920040129204514642_4_5" hidden="1">#REF!</definedName>
    <definedName name="BLPR920040129204514642_5_5" hidden="1">#REF!</definedName>
    <definedName name="blue" localSheetId="8" hidden="1">{#N/A,#N/A,FALSE,"ACQ_GRAPHS";#N/A,#N/A,FALSE,"T_1 GRAPHS";#N/A,#N/A,FALSE,"T_2 GRAPHS";#N/A,#N/A,FALSE,"COMB_GRAPHS"}</definedName>
    <definedName name="blue" hidden="1">{#N/A,#N/A,FALSE,"ACQ_GRAPHS";#N/A,#N/A,FALSE,"T_1 GRAPHS";#N/A,#N/A,FALSE,"T_2 GRAPHS";#N/A,#N/A,FALSE,"COMB_GRAPHS"}</definedName>
    <definedName name="blue_1" localSheetId="8" hidden="1">{#N/A,#N/A,FALSE,"ACQ_GRAPHS";#N/A,#N/A,FALSE,"T_1 GRAPHS";#N/A,#N/A,FALSE,"T_2 GRAPHS";#N/A,#N/A,FALSE,"COMB_GRAPHS"}</definedName>
    <definedName name="blue_1" hidden="1">{#N/A,#N/A,FALSE,"ACQ_GRAPHS";#N/A,#N/A,FALSE,"T_1 GRAPHS";#N/A,#N/A,FALSE,"T_2 GRAPHS";#N/A,#N/A,FALSE,"COMB_GRAPHS"}</definedName>
    <definedName name="bmbnmn" localSheetId="8" hidden="1">{#N/A,#N/A,FALSE,"KA CH  (2)"}</definedName>
    <definedName name="bmbnmn" hidden="1">{#N/A,#N/A,FALSE,"KA CH  (2)"}</definedName>
    <definedName name="BMGHIndex" hidden="1">"O"</definedName>
    <definedName name="BMINUS" hidden="1">FALSE</definedName>
    <definedName name="bn" localSheetId="8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bn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bnbn" localSheetId="8" hidden="1">{"oct_res_comm",#N/A,FALSE,"VarToBud"}</definedName>
    <definedName name="bnbn" hidden="1">{"oct_res_comm",#N/A,FALSE,"VarToBud"}</definedName>
    <definedName name="BNE_MESSAGES_HIDDEN" localSheetId="8" hidden="1">#REF!</definedName>
    <definedName name="BNE_MESSAGES_HIDDEN" hidden="1">#REF!</definedName>
    <definedName name="bnkj" localSheetId="8" hidden="1">{#N/A,#N/A,FALSE,"output";#N/A,#N/A,FALSE,"contrib";#N/A,#N/A,FALSE,"profile";#N/A,#N/A,FALSE,"comps"}</definedName>
    <definedName name="bnkj" hidden="1">{#N/A,#N/A,FALSE,"output";#N/A,#N/A,FALSE,"contrib";#N/A,#N/A,FALSE,"profile";#N/A,#N/A,FALSE,"comps"}</definedName>
    <definedName name="bnkj_1" localSheetId="8" hidden="1">{#N/A,#N/A,FALSE,"output";#N/A,#N/A,FALSE,"contrib";#N/A,#N/A,FALSE,"profile";#N/A,#N/A,FALSE,"comps"}</definedName>
    <definedName name="bnkj_1" hidden="1">{#N/A,#N/A,FALSE,"output";#N/A,#N/A,FALSE,"contrib";#N/A,#N/A,FALSE,"profile";#N/A,#N/A,FALSE,"comps"}</definedName>
    <definedName name="bnm" localSheetId="7" hidden="1">{#N/A,#N/A,FALSE,"REPORT"}</definedName>
    <definedName name="bnm" localSheetId="8" hidden="1">{#N/A,#N/A,FALSE,"REPORT"}</definedName>
    <definedName name="bnm" hidden="1">{#N/A,#N/A,FALSE,"REPORT"}</definedName>
    <definedName name="bnmbm" localSheetId="8" hidden="1">{#N/A,#N/A,TRUE,"Main Issues";#N/A,#N/A,TRUE,"Income statement ($)"}</definedName>
    <definedName name="bnmbm" hidden="1">{#N/A,#N/A,TRUE,"Main Issues";#N/A,#N/A,TRUE,"Income statement ($)"}</definedName>
    <definedName name="bnmbm_1" localSheetId="8" hidden="1">{#N/A,#N/A,TRUE,"Main Issues";#N/A,#N/A,TRUE,"Income statement ($)"}</definedName>
    <definedName name="bnmbm_1" hidden="1">{#N/A,#N/A,TRUE,"Main Issues";#N/A,#N/A,TRUE,"Income statement ($)"}</definedName>
    <definedName name="bnmk" localSheetId="8" hidden="1">{#N/A,#N/A,FALSE,"Produkte Erw.";#N/A,#N/A,FALSE,"Produkte Plan";#N/A,#N/A,FALSE,"Leistungen Erw.";#N/A,#N/A,FALSE,"Leistungen Plan";#N/A,#N/A,FALSE,"KA Allg.Kosten (2)";#N/A,#N/A,FALSE,"KA All.Kosten"}</definedName>
    <definedName name="bnmk" hidden="1">{#N/A,#N/A,FALSE,"Produkte Erw.";#N/A,#N/A,FALSE,"Produkte Plan";#N/A,#N/A,FALSE,"Leistungen Erw.";#N/A,#N/A,FALSE,"Leistungen Plan";#N/A,#N/A,FALSE,"KA Allg.Kosten (2)";#N/A,#N/A,FALSE,"KA All.Kosten"}</definedName>
    <definedName name="bnmm" localSheetId="8" hidden="1">{"detail",#N/A,FALSE,"mfg";"summary",#N/A,FALSE,"mfg"}</definedName>
    <definedName name="bnmm" hidden="1">{"detail",#N/A,FALSE,"mfg";"summary",#N/A,FALSE,"mfg"}</definedName>
    <definedName name="bnnn" localSheetId="8" hidden="1">{"consolidated",#N/A,FALSE,"Sheet1";"cms",#N/A,FALSE,"Sheet1";"fse",#N/A,FALSE,"Sheet1"}</definedName>
    <definedName name="bnnn" hidden="1">{"consolidated",#N/A,FALSE,"Sheet1";"cms",#N/A,FALSE,"Sheet1";"fse",#N/A,FALSE,"Sheet1"}</definedName>
    <definedName name="bnnn_1" localSheetId="8" hidden="1">{"consolidated",#N/A,FALSE,"Sheet1";"cms",#N/A,FALSE,"Sheet1";"fse",#N/A,FALSE,"Sheet1"}</definedName>
    <definedName name="bnnn_1" hidden="1">{"consolidated",#N/A,FALSE,"Sheet1";"cms",#N/A,FALSE,"Sheet1";"fse",#N/A,FALSE,"Sheet1"}</definedName>
    <definedName name="bnvb" localSheetId="8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bnvb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bob" localSheetId="8" hidden="1">{#N/A,#N/A,FALSE,"Main Table"}</definedName>
    <definedName name="bob" hidden="1">{#N/A,#N/A,FALSE,"Main Table"}</definedName>
    <definedName name="both203" localSheetId="8" hidden="1">{"detail",#N/A,FALSE,"mfg";"summary",#N/A,FALSE,"mfg"}</definedName>
    <definedName name="both203" hidden="1">{"detail",#N/A,FALSE,"mfg";"summary",#N/A,FALSE,"mfg"}</definedName>
    <definedName name="both204" localSheetId="8" hidden="1">{"detail",#N/A,FALSE,"mfg";"summary",#N/A,FALSE,"mfg"}</definedName>
    <definedName name="both204" hidden="1">{"detail",#N/A,FALSE,"mfg";"summary",#N/A,FALSE,"mfg"}</definedName>
    <definedName name="both89n" localSheetId="8" hidden="1">{"detail",#N/A,FALSE,"mfg";"summary",#N/A,FALSE,"mfg"}</definedName>
    <definedName name="both89n" hidden="1">{"detail",#N/A,FALSE,"mfg";"summary",#N/A,FALSE,"mfg"}</definedName>
    <definedName name="both8mj" localSheetId="8" hidden="1">{"detail",#N/A,FALSE,"mfg";"summary",#N/A,FALSE,"mfg"}</definedName>
    <definedName name="both8mj" hidden="1">{"detail",#N/A,FALSE,"mfg";"summary",#N/A,FALSE,"mfg"}</definedName>
    <definedName name="bou" localSheetId="8" hidden="1">{"tableau a",#N/A,FALSE,"Feuil3";"tableau b",#N/A,FALSE,"Feuil3"}</definedName>
    <definedName name="bou" hidden="1">{"tableau a",#N/A,FALSE,"Feuil3";"tableau b",#N/A,FALSE,"Feuil3"}</definedName>
    <definedName name="bouw" hidden="1">39364.6068865741</definedName>
    <definedName name="bqjwvbcfkvwqkghvwckhgq" localSheetId="8" hidden="1">#REF!</definedName>
    <definedName name="bqjwvbcfkvwqkghvwckhgq" hidden="1">#REF!</definedName>
    <definedName name="bqkjnv" localSheetId="8" hidden="1">#REF!</definedName>
    <definedName name="bqkjnv" hidden="1">#REF!</definedName>
    <definedName name="br" localSheetId="8" hidden="1">{"oct_res_comm",#N/A,FALSE,"VarToBud"}</definedName>
    <definedName name="br" hidden="1">{"oct_res_comm",#N/A,FALSE,"VarToBud"}</definedName>
    <definedName name="BRA" localSheetId="8" hidden="1">{#N/A,#N/A,FALSE,"Pharm";#N/A,#N/A,FALSE,"WWCM"}</definedName>
    <definedName name="BRA" hidden="1">{#N/A,#N/A,FALSE,"Pharm";#N/A,#N/A,FALSE,"WWCM"}</definedName>
    <definedName name="BRHDEV" hidden="1">#REF!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r" hidden="1">#REF!</definedName>
    <definedName name="Bryan" localSheetId="8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Bryan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bs" hidden="1">#N/A</definedName>
    <definedName name="BS.PÁG.5" localSheetId="8" hidden="1">{#N/A,#N/A,FALSE,"Aging Summary";#N/A,#N/A,FALSE,"Ratio Analysis";#N/A,#N/A,FALSE,"Test 120 Day Accts";#N/A,#N/A,FALSE,"Tickmarks"}</definedName>
    <definedName name="BS.PÁG.5" hidden="1">{#N/A,#N/A,FALSE,"Aging Summary";#N/A,#N/A,FALSE,"Ratio Analysis";#N/A,#N/A,FALSE,"Test 120 Day Accts";#N/A,#N/A,FALSE,"Tickmarks"}</definedName>
    <definedName name="BS_Data_Col" hidden="1">#REF!</definedName>
    <definedName name="BSDEC02" localSheetId="8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BSDEC02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bsehnsrnjnj" hidden="1">#REF!</definedName>
    <definedName name="bskjnd" localSheetId="8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bskjnd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BSpb" hidden="1">#REF!</definedName>
    <definedName name="bss" localSheetId="8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bss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bt" localSheetId="8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bt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BTHOUSAND" hidden="1">FALSE</definedName>
    <definedName name="BU" localSheetId="8" hidden="1">{"MAJCore",#N/A,FALSE,"MAJ";"BISCore",#N/A,FALSE,"BIS";"SMECore",#N/A,FALSE,"SME";"SMMCore",#N/A,FALSE,"SMM";"SMPCore",#N/A,FALSE,"SMP";"SMCCore",#N/A,FALSE,"SMC";"SMRCore",#N/A,FALSE,"SMR";"CNSCore",#N/A,FALSE,"CNS";"REGCore",#N/A,FALSE,"REG"}</definedName>
    <definedName name="BU" hidden="1">{"MAJCore",#N/A,FALSE,"MAJ";"BISCore",#N/A,FALSE,"BIS";"SMECore",#N/A,FALSE,"SME";"SMMCore",#N/A,FALSE,"SMM";"SMPCore",#N/A,FALSE,"SMP";"SMCCore",#N/A,FALSE,"SMC";"SMRCore",#N/A,FALSE,"SMR";"CNSCore",#N/A,FALSE,"CNS";"REGCore",#N/A,FALSE,"REG"}</definedName>
    <definedName name="BUDGET" hidden="1">"BD12"</definedName>
    <definedName name="BUDGETNAME" hidden="1">2003</definedName>
    <definedName name="BUDGETPERIOD" hidden="1">"01-01-2009..31-12-2009"</definedName>
    <definedName name="buibd" localSheetId="8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buibd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bull" localSheetId="8" hidden="1">{"detail",#N/A,FALSE,"mfg";"summary",#N/A,FALSE,"mfg"}</definedName>
    <definedName name="bull" hidden="1">{"detail",#N/A,FALSE,"mfg";"summary",#N/A,FALSE,"mfg"}</definedName>
    <definedName name="bull2" localSheetId="8" hidden="1">{#N/A,"PURCHM",FALSE,"Business Analysis";#N/A,"SPADD",FALSE,"Business Analysis"}</definedName>
    <definedName name="bull2" hidden="1">{#N/A,"PURCHM",FALSE,"Business Analysis";#N/A,"SPADD",FALSE,"Business Analysis"}</definedName>
    <definedName name="bull3" localSheetId="8" hidden="1">{"detail",#N/A,FALSE,"mfg";"summary",#N/A,FALSE,"mfg"}</definedName>
    <definedName name="bull3" hidden="1">{"detail",#N/A,FALSE,"mfg";"summary",#N/A,FALSE,"mfg"}</definedName>
    <definedName name="bull4" localSheetId="8" hidden="1">{#N/A,"PURCHM",FALSE,"Business Analysis";#N/A,"SPADD",FALSE,"Business Analysis"}</definedName>
    <definedName name="bull4" hidden="1">{#N/A,"PURCHM",FALSE,"Business Analysis";#N/A,"SPADD",FALSE,"Business Analysis"}</definedName>
    <definedName name="bull5" localSheetId="8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bull5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busais" localSheetId="8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busais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busarea201" localSheetId="8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busarea201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busarea203" localSheetId="8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busarea203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BUSECONCERN" hidden="1">FALSE</definedName>
    <definedName name="business" localSheetId="8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business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BUSINESSCA" hidden="1">#REF!</definedName>
    <definedName name="bv" localSheetId="8" hidden="1">{"net assets",#N/A,FALSE,"summary";"asset turnover",#N/A,FALSE,"summary";"orona",#N/A,FALSE,"summary"}</definedName>
    <definedName name="bv" hidden="1">{"net assets",#N/A,FALSE,"summary";"asset turnover",#N/A,FALSE,"summary";"orona",#N/A,FALSE,"summary"}</definedName>
    <definedName name="BVBVB" localSheetId="8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BVBVB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bvcx" localSheetId="8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bvcx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bveazv" hidden="1">#REF!</definedName>
    <definedName name="bvjvj" localSheetId="8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bvjvj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bvjvj_1" localSheetId="8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bvjvj_1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bvkjremlñ" hidden="1">#REF!</definedName>
    <definedName name="BW" hidden="1">38561.6363425926</definedName>
    <definedName name="bwkj" hidden="1">#REF!</definedName>
    <definedName name="bwrwb" localSheetId="8" hidden="1">{#N/A,#N/A,FALSE,"Assessment";#N/A,#N/A,FALSE,"Staffing";#N/A,#N/A,FALSE,"Hires";#N/A,#N/A,FALSE,"Assumptions"}</definedName>
    <definedName name="bwrwb" hidden="1">{#N/A,#N/A,FALSE,"Assessment";#N/A,#N/A,FALSE,"Staffing";#N/A,#N/A,FALSE,"Hires";#N/A,#N/A,FALSE,"Assumptions"}</definedName>
    <definedName name="by" hidden="1">#REF!</definedName>
    <definedName name="bz" localSheetId="8" hidden="1">{"sales growth",#N/A,FALSE,"summary";"oper income",#N/A,FALSE,"summary";"oros rank",#N/A,FALSE,"summary";"net assets",#N/A,FALSE,"summary";"asset turnover",#N/A,FALSE,"summary";"orona",#N/A,FALSE,"summary"}</definedName>
    <definedName name="bz" hidden="1">{"sales growth",#N/A,FALSE,"summary";"oper income",#N/A,FALSE,"summary";"oros rank",#N/A,FALSE,"summary";"net assets",#N/A,FALSE,"summary";"asset turnover",#N/A,FALSE,"summary";"orona",#N/A,FALSE,"summary"}</definedName>
    <definedName name="bzebt" hidden="1">#REF!</definedName>
    <definedName name="bzu" hidden="1">"BW1"</definedName>
    <definedName name="bzvdb" hidden="1">{"'RR'!$A$2:$E$81"}</definedName>
    <definedName name="c.LTMYear" hidden="1">#REF!</definedName>
    <definedName name="CA" localSheetId="8" hidden="1">{#N/A,#N/A,FALSE,"MERCHANT GAS MARGIN";#N/A,#N/A,FALSE,"BULK";#N/A,#N/A,FALSE,"BULK CO2";#N/A,#N/A,FALSE,"ON-SITE";#N/A,#N/A,FALSE,"CYLINDERS"}</definedName>
    <definedName name="CA" hidden="1">{#N/A,#N/A,FALSE,"MERCHANT GAS MARGIN";#N/A,#N/A,FALSE,"BULK";#N/A,#N/A,FALSE,"BULK CO2";#N/A,#N/A,FALSE,"ON-SITE";#N/A,#N/A,FALSE,"CYLINDERS"}</definedName>
    <definedName name="CA_1" localSheetId="8" hidden="1">{#N/A,#N/A,FALSE,"MERCHANT GAS MARGIN";#N/A,#N/A,FALSE,"BULK";#N/A,#N/A,FALSE,"BULK CO2";#N/A,#N/A,FALSE,"ON-SITE";#N/A,#N/A,FALSE,"CYLINDERS"}</definedName>
    <definedName name="CA_1" hidden="1">{#N/A,#N/A,FALSE,"MERCHANT GAS MARGIN";#N/A,#N/A,FALSE,"BULK";#N/A,#N/A,FALSE,"BULK CO2";#N/A,#N/A,FALSE,"ON-SITE";#N/A,#N/A,FALSE,"CYLINDERS"}</definedName>
    <definedName name="Cable" localSheetId="8" hidden="1">{#N/A,#N/A,FALSE,"Operations";#N/A,#N/A,FALSE,"Financials"}</definedName>
    <definedName name="Cable" hidden="1">{#N/A,#N/A,FALSE,"Operations";#N/A,#N/A,FALSE,"Financials"}</definedName>
    <definedName name="Cable_1" localSheetId="8" hidden="1">{#N/A,#N/A,FALSE,"Operations";#N/A,#N/A,FALSE,"Financials"}</definedName>
    <definedName name="Cable_1" hidden="1">{#N/A,#N/A,FALSE,"Operations";#N/A,#N/A,FALSE,"Financials"}</definedName>
    <definedName name="Cable2" localSheetId="8" hidden="1">{#N/A,#N/A,FALSE,"Operations";#N/A,#N/A,FALSE,"Financials"}</definedName>
    <definedName name="Cable2" hidden="1">{#N/A,#N/A,FALSE,"Operations";#N/A,#N/A,FALSE,"Financials"}</definedName>
    <definedName name="Cable2_1" localSheetId="8" hidden="1">{#N/A,#N/A,FALSE,"Operations";#N/A,#N/A,FALSE,"Financials"}</definedName>
    <definedName name="Cable2_1" hidden="1">{#N/A,#N/A,FALSE,"Operations";#N/A,#N/A,FALSE,"Financials"}</definedName>
    <definedName name="cac" localSheetId="8" hidden="1">{#N/A,#N/A,TRUE,"covmen";#N/A,#N/A,TRUE,"ECORID";#N/A,#N/A,TRUE,"ECOTRA";#N/A,#N/A,TRUE,"ECOTOT";#N/A,#N/A,TRUE,"FATSOC";#N/A,#N/A,TRUE,"FATDIV";#N/A,#N/A,TRUE,"FATGEO";#N/A,#N/A,TRUE,"ORDINI";#N/A,#N/A,TRUE,"TESORI";#N/A,#N/A,TRUE,"RENDFIN"}</definedName>
    <definedName name="cac" hidden="1">{#N/A,#N/A,TRUE,"covmen";#N/A,#N/A,TRUE,"ECORID";#N/A,#N/A,TRUE,"ECOTRA";#N/A,#N/A,TRUE,"ECOTOT";#N/A,#N/A,TRUE,"FATSOC";#N/A,#N/A,TRUE,"FATDIV";#N/A,#N/A,TRUE,"FATGEO";#N/A,#N/A,TRUE,"ORDINI";#N/A,#N/A,TRUE,"TESORI";#N/A,#N/A,TRUE,"RENDFIN"}</definedName>
    <definedName name="cac_1" localSheetId="8" hidden="1">{#N/A,#N/A,TRUE,"covmen";#N/A,#N/A,TRUE,"ECORID";#N/A,#N/A,TRUE,"ECOTRA";#N/A,#N/A,TRUE,"ECOTOT";#N/A,#N/A,TRUE,"FATSOC";#N/A,#N/A,TRUE,"FATDIV";#N/A,#N/A,TRUE,"FATGEO";#N/A,#N/A,TRUE,"ORDINI";#N/A,#N/A,TRUE,"TESORI";#N/A,#N/A,TRUE,"RENDFIN"}</definedName>
    <definedName name="cac_1" hidden="1">{#N/A,#N/A,TRUE,"covmen";#N/A,#N/A,TRUE,"ECORID";#N/A,#N/A,TRUE,"ECOTRA";#N/A,#N/A,TRUE,"ECOTOT";#N/A,#N/A,TRUE,"FATSOC";#N/A,#N/A,TRUE,"FATDIV";#N/A,#N/A,TRUE,"FATGEO";#N/A,#N/A,TRUE,"ORDINI";#N/A,#N/A,TRUE,"TESORI";#N/A,#N/A,TRUE,"RENDFIN"}</definedName>
    <definedName name="CAIXA5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CAJA06" localSheetId="8" hidden="1">{#N/A,#N/A,TRUE,"Graficos";#N/A,#N/A,TRUE,"P.Ingresos";#N/A,#N/A,TRUE,"P.Gastos";#N/A,#N/A,TRUE,"I.Trafico";#N/A,#N/A,TRUE,"I.Peajes";#N/A,#N/A,TRUE,"G.Operativos";#N/A,#N/A,TRUE,"Cf Proyecto";#N/A,#N/A,TRUE,"C.PYG";#N/A,#N/A,TRUE,"Balance";#N/A,#N/A,TRUE,"TIR AC";#N/A,#N/A,TRUE,"Ratios";#N/A,#N/A,TRUE,"Amortizacion";#N/A,#N/A,TRUE,"FC fin";#N/A,#N/A,TRUE,"Coeficientes";#N/A,#N/A,TRUE,"Tesoreria";#N/A,#N/A,TRUE,"Prest.inv";#N/A,#N/A,TRUE,"Obligacion";#N/A,#N/A,TRUE,"Impuestos";#N/A,#N/A,TRUE,"Reservas";#N/A,#N/A,TRUE,"Inversion";#N/A,#N/A,TRUE,"P.Inversion";#N/A,#N/A,TRUE,"C.Fl Inv.";#N/A,#N/A,TRUE,"VAN Oferta"}</definedName>
    <definedName name="CAJA06" hidden="1">{#N/A,#N/A,TRUE,"Graficos";#N/A,#N/A,TRUE,"P.Ingresos";#N/A,#N/A,TRUE,"P.Gastos";#N/A,#N/A,TRUE,"I.Trafico";#N/A,#N/A,TRUE,"I.Peajes";#N/A,#N/A,TRUE,"G.Operativos";#N/A,#N/A,TRUE,"Cf Proyecto";#N/A,#N/A,TRUE,"C.PYG";#N/A,#N/A,TRUE,"Balance";#N/A,#N/A,TRUE,"TIR AC";#N/A,#N/A,TRUE,"Ratios";#N/A,#N/A,TRUE,"Amortizacion";#N/A,#N/A,TRUE,"FC fin";#N/A,#N/A,TRUE,"Coeficientes";#N/A,#N/A,TRUE,"Tesoreria";#N/A,#N/A,TRUE,"Prest.inv";#N/A,#N/A,TRUE,"Obligacion";#N/A,#N/A,TRUE,"Impuestos";#N/A,#N/A,TRUE,"Reservas";#N/A,#N/A,TRUE,"Inversion";#N/A,#N/A,TRUE,"P.Inversion";#N/A,#N/A,TRUE,"C.Fl Inv.";#N/A,#N/A,TRUE,"VAN Oferta"}</definedName>
    <definedName name="cal" hidden="1">{#N/A,#N/A,FALSE,"Pliego";#N/A,#N/A,FALSE,"Coeficientes";#N/A,#N/A,FALSE,"Cond. Diseño";#N/A,#N/A,FALSE,"Reactor Cullera";#N/A,#N/A,FALSE,"Tres fases";#N/A,#N/A,FALSE,"Dos fases";#N/A,#N/A,FALSE,"Resumen";#N/A,#N/A,FALSE,"Fosforo";#N/A,#N/A,FALSE,"Recirculacion";#N/A,#N/A,FALSE,"Exceso fango";#N/A,#N/A,FALSE,"Decantador";#N/A,#N/A,FALSE,"Desinfeccion";#N/A,#N/A,FALSE,"Recir. int."}</definedName>
    <definedName name="CanBeDeleted" localSheetId="8" hidden="1">{"Summary",#N/A,FALSE,"(3) Causal Analysis - Year-end"}</definedName>
    <definedName name="CanBeDeleted" hidden="1">{"Summary",#N/A,FALSE,"(3) Causal Analysis - Year-end"}</definedName>
    <definedName name="cap" localSheetId="8" hidden="1">{"'EARLY LIFE SAVINGS - COSTS '!$A$1:$N$56"}</definedName>
    <definedName name="cap" hidden="1">{"'EARLY LIFE SAVINGS - COSTS '!$A$1:$N$56"}</definedName>
    <definedName name="CAP1B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C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C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EX" hidden="1">{"'RR'!$A$2:$E$81"}</definedName>
    <definedName name="Capitalpb" hidden="1">#REF!</definedName>
    <definedName name="CapitalStructure" hidden="1">#REF!</definedName>
    <definedName name="CapSpendingExcludesSanFu" localSheetId="8" hidden="1">{"detail",#N/A,FALSE,"mfg";"summary",#N/A,FALSE,"mfg"}</definedName>
    <definedName name="CapSpendingExcludesSanFu" hidden="1">{"detail",#N/A,FALSE,"mfg";"summary",#N/A,FALSE,"mfg"}</definedName>
    <definedName name="Carmen" localSheetId="8" hidden="1">{"Area1",#N/A,TRUE,"Obiettivo";"Area2",#N/A,TRUE,"Dati per Direzione"}</definedName>
    <definedName name="Carmen" hidden="1">{"Area1",#N/A,TRUE,"Obiettivo";"Area2",#N/A,TRUE,"Dati per Direzione"}</definedName>
    <definedName name="Carmen_1" localSheetId="8" hidden="1">{"Area1",#N/A,TRUE,"Obiettivo";"Area2",#N/A,TRUE,"Dati per Direzione"}</definedName>
    <definedName name="Carmen_1" hidden="1">{"Area1",#N/A,TRUE,"Obiettivo";"Area2",#N/A,TRUE,"Dati per Direzione"}</definedName>
    <definedName name="Cashflow" localSheetId="8" hidden="1">{#N/A,#N/A,TRUE,"Voorblad B";#N/A,#N/A,TRUE,"Table of Content FinCom B";#N/A,#N/A,TRUE,"A3-P&amp;L by Bus.Unt-Serv.Unt";#N/A,#N/A,TRUE,"Summary carrier service";#N/A,#N/A,TRUE,"Summary Large accounts";#N/A,#N/A,TRUE,"Summary Consumer";#N/A,#N/A,TRUE,"Mobile";#N/A,#N/A,TRUE,"B5-Mobile(1) ";#N/A,#N/A,TRUE,"B4-GM per Product";#N/A,#N/A,TRUE,"Summary N&amp;S";#N/A,#N/A,TRUE,"B15-Network ";#N/A,#N/A,TRUE,"Summary ITbilling";#N/A,#N/A,TRUE,"Billing backlog";#N/A,#N/A,TRUE,"Summary Corporate";#N/A,#N/A,TRUE,"A5-Bal_Sheet CF";#N/A,#N/A,TRUE,"A6-Bal_Sheet CF by Old org. ";#N/A,#N/A,TRUE,"P13-Funding- Inter.";#N/A,#N/A,TRUE,"P14-Risk &amp; Fraud Fixed";#N/A,#N/A,TRUE,"P14-Risk &amp; Fraud Mobile";#N/A,#N/A,TRUE,"Accounts payable"}</definedName>
    <definedName name="Cashflow" hidden="1">{#N/A,#N/A,TRUE,"Voorblad B";#N/A,#N/A,TRUE,"Table of Content FinCom B";#N/A,#N/A,TRUE,"A3-P&amp;L by Bus.Unt-Serv.Unt";#N/A,#N/A,TRUE,"Summary carrier service";#N/A,#N/A,TRUE,"Summary Large accounts";#N/A,#N/A,TRUE,"Summary Consumer";#N/A,#N/A,TRUE,"Mobile";#N/A,#N/A,TRUE,"B5-Mobile(1) ";#N/A,#N/A,TRUE,"B4-GM per Product";#N/A,#N/A,TRUE,"Summary N&amp;S";#N/A,#N/A,TRUE,"B15-Network ";#N/A,#N/A,TRUE,"Summary ITbilling";#N/A,#N/A,TRUE,"Billing backlog";#N/A,#N/A,TRUE,"Summary Corporate";#N/A,#N/A,TRUE,"A5-Bal_Sheet CF";#N/A,#N/A,TRUE,"A6-Bal_Sheet CF by Old org. ";#N/A,#N/A,TRUE,"P13-Funding- Inter.";#N/A,#N/A,TRUE,"P14-Risk &amp; Fraud Fixed";#N/A,#N/A,TRUE,"P14-Risk &amp; Fraud Mobile";#N/A,#N/A,TRUE,"Accounts payable"}</definedName>
    <definedName name="CashFlowUp" localSheetId="8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CashFlowUp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Cashpb" hidden="1">#REF!</definedName>
    <definedName name="CASO" localSheetId="8" hidden="1">{#N/A,#N/A,FALSE,"MERCHANT GAS MARGIN";#N/A,#N/A,FALSE,"BULK";#N/A,#N/A,FALSE,"BULK CO2";#N/A,#N/A,FALSE,"ON-SITE";#N/A,#N/A,FALSE,"CYLINDERS"}</definedName>
    <definedName name="CASO" hidden="1">{#N/A,#N/A,FALSE,"MERCHANT GAS MARGIN";#N/A,#N/A,FALSE,"BULK";#N/A,#N/A,FALSE,"BULK CO2";#N/A,#N/A,FALSE,"ON-SITE";#N/A,#N/A,FALSE,"CYLINDERS"}</definedName>
    <definedName name="CASO_1" localSheetId="8" hidden="1">{#N/A,#N/A,FALSE,"MERCHANT GAS MARGIN";#N/A,#N/A,FALSE,"BULK";#N/A,#N/A,FALSE,"BULK CO2";#N/A,#N/A,FALSE,"ON-SITE";#N/A,#N/A,FALSE,"CYLINDERS"}</definedName>
    <definedName name="CASO_1" hidden="1">{#N/A,#N/A,FALSE,"MERCHANT GAS MARGIN";#N/A,#N/A,FALSE,"BULK";#N/A,#N/A,FALSE,"BULK CO2";#N/A,#N/A,FALSE,"ON-SITE";#N/A,#N/A,FALSE,"CYLINDERS"}</definedName>
    <definedName name="CATEGORIAS" hidden="1">#REF!</definedName>
    <definedName name="cb_Add_CalloutChart_24_opts" hidden="1">"1, 9, 1, False, 2, False, False, , 0, False, False, 1, 1"</definedName>
    <definedName name="cb_Add_CalloutChart_25_opts" hidden="1">"1, 10, 1, False, 2, False, False, , 0, False, True, 1, 1"</definedName>
    <definedName name="cb_Add_CalloutChart_26_opts" hidden="1">"1, 9, 1, False, 2, False, False, , 0, False, True, 1, 1"</definedName>
    <definedName name="cb_ALT_STACKED_COLUMNChart_22_opts" hidden="1">"1, 3, 1, False, 2, True, False, , 0, False, True, 1, 2"</definedName>
    <definedName name="cb_ALT_STACKED_COLUMNChart_23_opts" hidden="1">"1, 3, 1, False, 2, True, False, , 0, False, True, 1, 2"</definedName>
    <definedName name="cb_bChart595EC34_opts" hidden="1">"1, 9, 1, False, 2, False, False, , 0, False, True, 1, 1"</definedName>
    <definedName name="cb_bChart9876793_opts" hidden="1">"1, 2, 1, False, 2, False, False, , 0, False, False, 2, 2"</definedName>
    <definedName name="cb_Chart_1_opts" hidden="1">"1, 6, 1, False, 2, False, False, , 0, False, True, 1, 2"</definedName>
    <definedName name="cb_Chart_10_opts" hidden="1">"1, 8, 1, False, 2, False, False, , 0, False, False, 2, 2"</definedName>
    <definedName name="cb_Chart_100032_opts" hidden="1">"1, 10, 1, False, 2, True, False, , 0, False, False, 2, 2"</definedName>
    <definedName name="cb_Chart_10104_opts" hidden="1">"1, 5, 1, False, 2, True, False, , 0, True, False, 2, 1"</definedName>
    <definedName name="cb_Chart_10401_opts" hidden="1">"1, 5, 1, False, 2, False, False, , 0, True, False, 2, 1"</definedName>
    <definedName name="cb_Chart_10736_opts" hidden="1">"1, 10, 1, False, 2, False, False, , 0, False, False, 2, 2"</definedName>
    <definedName name="cb_Chart_11_opts" hidden="1">"1, 1, 1, False, 2, False, False, , 0, False, False, 2, 2"</definedName>
    <definedName name="cb_Chart_12_opts" hidden="1">"1, 8, 1, False, 2, False, False, , 0, False, False, 2, 2"</definedName>
    <definedName name="cb_Chart_13_opts" hidden="1">"1, 8, 1, False, 2, False, False, , 0, False, False, 2, 2"</definedName>
    <definedName name="cb_Chart_14_opts" hidden="1">"1, 8, 1, False, 2, False, False, , 0, False, False, 2, 2"</definedName>
    <definedName name="cb_Chart_15_opts" hidden="1">"2, 1, 2, True, 2, False, False, , 0, False, True, 1, 2"</definedName>
    <definedName name="cb_Chart_1501_opts" hidden="1">"1, 10, 1, False, 2, True, False, , 0, False, False, 2, 2"</definedName>
    <definedName name="cb_Chart_16_opts" hidden="1">"1, 8, 1, False, 2, False, False, , 0, False, False, 2, 2"</definedName>
    <definedName name="cb_Chart_1670_opts" hidden="1">"1, 5, 1, False, 2, True, False, , 0, False, False, 2, 1"</definedName>
    <definedName name="cb_Chart_17_opts" hidden="1">"1, 6, 1, False, 2, False, False, , 0, False, True, 2, 2"</definedName>
    <definedName name="cb_Chart_18_opts" hidden="1">"1, 9, 1, False, 2, False, False, , 0, False, False, 1, 1"</definedName>
    <definedName name="cb_Chart_19_opts" hidden="1">"1, 2, 1, False, 2, True, False, , 0, True, False, 2, 1"</definedName>
    <definedName name="cb_Chart_1opts1" hidden="1">"1, 9, 1, False, 2, False, True, , 1, False, True, 1, 1"</definedName>
    <definedName name="cb_Chart_2_opts" hidden="1">"1, 6, 1, False, 2, False, False, , 0, False, False, 1, 2"</definedName>
    <definedName name="cb_Chart_20_opts" hidden="1">"1, 9, 1, False, 2, False, False, , 0, False, False, 1, 1"</definedName>
    <definedName name="cb_Chart_21_opts" hidden="1">"1, 2, 1, False, 2, False, False, , 0, False, False, 2, 1"</definedName>
    <definedName name="cb_Chart_22_opts" hidden="1">"1, 2, 1, False, 2, True, False, , 0, False, False, 2, 1"</definedName>
    <definedName name="cb_Chart_22784_opts" hidden="1">"1, 9, 1, False, 2, False, False, , 0, False, True, 1, 2"</definedName>
    <definedName name="cb_Chart_23_opts" hidden="1">"1, 9, 1, False, 2, False, False, , 0, False, False, 1, 1"</definedName>
    <definedName name="cb_Chart_24_opts" hidden="1">"1, 2, 1, False, 2, False, False, , 0, False, False, 2, 1"</definedName>
    <definedName name="cb_Chart_24490_opts" hidden="1">"1, 10, 1, False, 2, True, False, , 0, False, False, 2, 2"</definedName>
    <definedName name="cb_Chart_25_opts" hidden="1">"1, 3, 1, False, 2, False, False, , 0, True, True, 1, 2"</definedName>
    <definedName name="cb_Chart_26_opts" hidden="1">"1, 8, 1, False, 2, False, False, , 0, False, False, 2, 2"</definedName>
    <definedName name="cb_Chart_26476_opts" hidden="1">"1, 1, 1, False, 2, True, False, , 0, False, False, 1, 2"</definedName>
    <definedName name="cb_Chart_27_opts" hidden="1">"1, 1, 1, False, 2, True, False, , 0, False, True, 1, 2"</definedName>
    <definedName name="cb_Chart_28_opts" hidden="1">"1, 3, 1, False, 2, True, False, , 0, False, True, 1, 2"</definedName>
    <definedName name="cb_Chart_28031_opts" hidden="1">"1, 1, 1, False, 2, True, False, , 0, False, False, 1, 2"</definedName>
    <definedName name="cb_Chart_28545_opts" hidden="1">"1, 5, 1, False, 2, True, False, , 0, False, True, 2, 1"</definedName>
    <definedName name="cb_Chart_29_opts" hidden="1">"1, 3, 1, False, 2, False, False, , 0, False, False, 1, 1"</definedName>
    <definedName name="cb_Chart_29053_opts" hidden="1">"1, 10, 1, False, 2, True, False, , 0, False, False, 2, 2"</definedName>
    <definedName name="cb_Chart_29913_opts" hidden="1">"1, 1, 1, False, 2, False, False, , 0, False, False, 1, 1"</definedName>
    <definedName name="cb_Chart_3_opts" hidden="1">"1, 1, 1, False, 2, True, False, , 0, False, False, 2, 2"</definedName>
    <definedName name="cb_Chart_30_opts" hidden="1">"1, 3, 1, False, 2, True, False, , 0, False, True, 1, 2"</definedName>
    <definedName name="cb_Chart_30292_opts" hidden="1">"1, 1, 1, False, 2, False, False, , 0, False, False, 1, 2"</definedName>
    <definedName name="cb_Chart_31_opts" hidden="1">"1, 1, 1, False, 2, True, False, , 0, True, True, 2, 2"</definedName>
    <definedName name="cb_Chart_32_opts" hidden="1">"1, 1, 1, False, 2, True, False, , 0, False, False, 2, 2"</definedName>
    <definedName name="cb_Chart_33_opts" hidden="1">"1, 1, 1, False, 2, True, False, , 0, False, True, 3, 2"</definedName>
    <definedName name="cb_Chart_34_opts" hidden="1">"1, 3, 1, False, 2, True, False, , 0, False, True, 2, 1"</definedName>
    <definedName name="cb_Chart_36498_opts" hidden="1">"1, 1, 1, False, 2, True, False, , 0, False, False, 1, 2"</definedName>
    <definedName name="cb_Chart_37450_opts" hidden="1">"1, 10, 1, False, 2, True, False, , 0, False, False, 2, 2"</definedName>
    <definedName name="cb_Chart_4_opts" hidden="1">"1, 7, 1, False, 2, False, False, , 0, False, True, 1, 2"</definedName>
    <definedName name="cb_Chart_40_opts" hidden="1">"1, 1, 1, False, 2, False, False, , 0, False, False, 3, 2"</definedName>
    <definedName name="cb_Chart_41_opts" hidden="1">"1, 10, 1, False, 2, True, False, , 0, False, False, 2, 1"</definedName>
    <definedName name="cb_Chart_41499_opts" hidden="1">"1, 10, 1, False, 2, True, False, , 0, False, False, 2, 2"</definedName>
    <definedName name="cb_Chart_42_opts" hidden="1">"1, 3, 1, False, 2, True, False, , 0, False, True, 1, 2"</definedName>
    <definedName name="cb_Chart_43_opts" hidden="1">"1, 10, 1, False, 2, True, False, , 0, False, False, 2, 1"</definedName>
    <definedName name="cb_Chart_4634_opts" hidden="1">"1, 10, 1, False, 2, True, False, , 0, False, False, 2, 2"</definedName>
    <definedName name="cb_Chart_4664_opts" hidden="1">"1, 5, 1, False, 2, True, False, , 0, False, True, 1, 2"</definedName>
    <definedName name="cb_Chart_46965_opts" hidden="1">"1, 1, 1, False, 2, False, False, , 0, False, False, 1, 1"</definedName>
    <definedName name="cb_Chart_48_opts" hidden="1">"2, 1, 2, True, 2, False, False, , 0, False, True, 1, 1"</definedName>
    <definedName name="cb_Chart_49_opts" hidden="1">"2, 1, 2, True, 2, False, False, , 0, False, True, 1, 1"</definedName>
    <definedName name="cb_Chart_5_opts" hidden="1">"1, 8, 1, False, 2, False, False, , 0, False, False, 1, 2"</definedName>
    <definedName name="cb_Chart_50_opts" hidden="1">"2, 1, 2, True, 2, False, False, , 0, False, True, 1, 1"</definedName>
    <definedName name="cb_Chart_51_opts" hidden="1">"1, 2, 1, False, 2, False, False, , 0, False, False, 2, 1"</definedName>
    <definedName name="cb_Chart_52_opts" hidden="1">"1, 2, 1, False, 2, False, False, , 0, False, False, 2, 1"</definedName>
    <definedName name="cb_Chart_52582_opts" hidden="1">"1, 1, 1, False, 2, False, False, , 0, False, False, 1, 2"</definedName>
    <definedName name="cb_Chart_53_opts" hidden="1">"1, 9, 1, False, 2, False, True, , 3, False, False, 1, 1"</definedName>
    <definedName name="cb_Chart_53437_opts" hidden="1">"1, 10, 1, False, 2, True, False, , 0, False, False, 2, 2"</definedName>
    <definedName name="cb_Chart_53482_opts" hidden="1">"1, 10, 1, False, 2, True, False, , 0, False, False, 2, 2"</definedName>
    <definedName name="cb_Chart_54_opts" hidden="1">"1, 2, 1, False, 2, False, False, , 0, False, False, 2, 1"</definedName>
    <definedName name="cb_Chart_5449_opts" hidden="1">"1, 1, 1, False, 2, False, False, , 0, False, False, 1, 1"</definedName>
    <definedName name="cb_Chart_55_opts" hidden="1">"1, 7, 1, False, 2, False, False, , 0, False, True, 2, 2"</definedName>
    <definedName name="cb_Chart_5723_opts" hidden="1">"1, 1, 1, False, 2, True, False, , 0, False, True, 1, 2"</definedName>
    <definedName name="cb_Chart_57613_opts" hidden="1">"1, 5, 1, False, 2, True, False, , 0, False, True, 2, 1"</definedName>
    <definedName name="cb_Chart_58046_opts" hidden="1">"1, 10, 1, False, 2, True, False, , 0, False, False, 2, 2"</definedName>
    <definedName name="cb_Chart_59010_opts" hidden="1">"1, 2, 1, False, 2, False, False, , 0, False, False, 2, 1"</definedName>
    <definedName name="cb_Chart_59340_opts" hidden="1">"1, 1, 1, False, 2, False, False, , 0, False, False, 1, 1"</definedName>
    <definedName name="cb_Chart_6_opts" hidden="1">"1, 10, 1, False, 2, True, False, , 0, False, False, 2, 2"</definedName>
    <definedName name="cb_Chart_62364_opts" hidden="1">"1, 1, 1, False, 2, True, False, , 0, False, False, 1, 2"</definedName>
    <definedName name="cb_Chart_64876_opts" hidden="1">"1, 1, 1, False, 2, True, False, , 0, False, False, 1, 2"</definedName>
    <definedName name="cb_Chart_66_opts" hidden="1">"1, 1, 1, False, 2, False, False, , 0, False, False, 1, 1"</definedName>
    <definedName name="cb_Chart_67711_opts" hidden="1">"1, 10, 1, False, 2, True, False, , 0, False, False, 2, 2"</definedName>
    <definedName name="cb_Chart_69605_opts" hidden="1">"1, 2, 1, False, 2, False, False, , 0, False, False, 2, 1"</definedName>
    <definedName name="cb_Chart_7_opts" hidden="1">"2, 1, 2, True, 2, False, False, , 0, False, True, 1, 2"</definedName>
    <definedName name="cb_Chart_70_opts" hidden="1">"1, 10, 1, False, 2, True, False, , 0, False, False, 1, 1"</definedName>
    <definedName name="cb_Chart_70648_opts" hidden="1">"1, 1, 1, False, 2, True, False, , 0, False, False, 2, 2"</definedName>
    <definedName name="cb_Chart_70997_opts" hidden="1">"1, 10, 1, False, 2, False, False, , 0, False, False, 1, 1"</definedName>
    <definedName name="cb_Chart_71_opts" hidden="1">"1, 10, 1, False, 2, False, False, , 0, False, False, 1, 1"</definedName>
    <definedName name="cb_Chart_72_opts" hidden="1">"1, 10, 1, False, 2, True, False, , 0, False, False, 1, 1"</definedName>
    <definedName name="cb_Chart_73_opts" hidden="1">"1, 10, 1, False, 2, False, False, , 0, False, False, 1, 1"</definedName>
    <definedName name="cb_Chart_76165_opts" hidden="1">"1, 10, 1, False, 2, True, False, , 0, False, False, 2, 2"</definedName>
    <definedName name="cb_Chart_76804_opts" hidden="1">"1, 1, 1, False, 2, False, False, , 0, False, False, 1, 1"</definedName>
    <definedName name="cb_Chart_77567_opts" hidden="1">"1, 10, 1, False, 2, False, False, , 0, False, False, 1, 1"</definedName>
    <definedName name="cb_Chart_79140_opts" hidden="1">"1, 10, 1, False, 2, True, False, , 0, False, False, 2, 2"</definedName>
    <definedName name="cb_Chart_79981_opts" hidden="1">"1, 5, 1, False, 2, True, False, , 0, True, False, 2, 1"</definedName>
    <definedName name="cb_Chart_8_opts" hidden="1">"1, 7, 1, False, 2, False, False, , 0, False, True, 2, 2"</definedName>
    <definedName name="cb_Chart_81541_opts" hidden="1">"1, 10, 1, False, 2, True, False, , 0, False, False, 2, 2"</definedName>
    <definedName name="cb_Chart_82552_opts" hidden="1">"1, 1, 1, False, 2, True, False, , 0, False, False, 1, 2"</definedName>
    <definedName name="cb_Chart_83072_opts" hidden="1">"1, 1, 1, False, 2, True, False, , 0, False, False, 1, 2"</definedName>
    <definedName name="cb_Chart_86354_opts" hidden="1">"1, 10, 1, False, 2, False, False, , 0, False, False, 1, 1"</definedName>
    <definedName name="cb_Chart_87236_opts" hidden="1">"1, 1, 1, False, 2, True, False, , 0, False, False, 1, 2"</definedName>
    <definedName name="cb_Chart_9_opts" hidden="1">"1, 8, 1, False, 2, False, False, , 0, False, False, 1, 1"</definedName>
    <definedName name="cb_Chart_91188_opts" hidden="1">"1, 8, 1, False, 2, False, False, , 0, False, False, 1, 2"</definedName>
    <definedName name="cb_Chart_95047_opts" hidden="1">"1, 1, 1, False, 2, False, False, , 0, False, False, 1, 2"</definedName>
    <definedName name="cb_Chart_96286_opts" hidden="1">"1, 10, 1, False, 2, True, False, , 0, False, False, 2, 2"</definedName>
    <definedName name="cb_Chart_98091_opts" hidden="1">"1, 2, 1, False, 2, False, False, , 0, False, False, 2, 1"</definedName>
    <definedName name="cb_Chart_98700_opts" hidden="1">"1, 8, 1, False, 2, False, False, , 0, False, False, 1, 2"</definedName>
    <definedName name="cb_Copy_Chart_w_New_DataChart_10_opts" hidden="1">"2, 1, 1, True, 4, False, False, , 0, False, False, 2, 2"</definedName>
    <definedName name="cb_Copy_Chart_w_New_DataChart_7_opts" hidden="1">"2, 1, 1, True, 4, False, False, , 0, False, False, 2, 2"</definedName>
    <definedName name="cb_Copy_Chart_w_New_DataChart_8_opts" hidden="1">"2, 1, 1, True, 4, False, False, , 0, False, False, 2, 2"</definedName>
    <definedName name="cb_Copy_Chart_w_New_DataChart_9_opts" hidden="1">"2, 1, 1, True, 4, False, False, , 0, False, False, 2, 2"</definedName>
    <definedName name="cb_Dimension_Pie_ChartsChart_1_opts" hidden="1">"1, 1, 1, False, 2, True, False, , 0, False, False, 2, 2"</definedName>
    <definedName name="cb_Dimension_Pie_ChartsChart_2_opts" hidden="1">"1, 10, 1, False, 2, True, False, , 0, False, False, 2, 2"</definedName>
    <definedName name="cb_Export_LegendChart_14_opts" hidden="1">"1, 10, 1, False, 2, True, False, , 0, False, False, 2, 2"</definedName>
    <definedName name="cb_Export_LegendChart_15_opts" hidden="1">"1, 10, 1, False, 2, True, False, , 0, False, False, 2, 2"</definedName>
    <definedName name="cb_PieChart_16_opts" hidden="1">"1, 10, 1, False, 2, True, False, , 0, False, False, 2, 2"</definedName>
    <definedName name="cb_sChart_1501_opts" hidden="1">"1, 1, 1, False, 2, True, False, , 0, False, False, 1, 2"</definedName>
    <definedName name="cb_sChart_26476_opts" hidden="1">"1, 4, 1, False, 2, True, False, , 0, False, False, 1, 2"</definedName>
    <definedName name="cb_sChart_28031_opts" hidden="1">"1, 4, 1, False, 2, True, False, , 0, False, False, 1, 1"</definedName>
    <definedName name="cb_sChart_29053_opts" hidden="1">"1, 2, 1, False, 2, False, False, , 0, False, False, 2, 1"</definedName>
    <definedName name="cb_sChart_29913_opts" hidden="1">"1, 3, 1, False, 2, False, False, , 0, False, True, 2, 2"</definedName>
    <definedName name="cb_sChart_30292_opts" hidden="1">"1, 1, 1, False, 2, True, False, , 0, False, False, 1, 2"</definedName>
    <definedName name="cb_sChart_36498_opts" hidden="1">"1, 3, 1, False, 2, False, False, , 0, False, False, 1, 2"</definedName>
    <definedName name="cb_sChart_37450_opts" hidden="1">"1, 5, 1, False, 2, True, False, , 0, False, True, 2, 1"</definedName>
    <definedName name="cb_sChart_41499_opts" hidden="1">"1, 2, 1, False, 2, False, False, , 0, False, False, 2, 1"</definedName>
    <definedName name="cb_sChart_4634_opts" hidden="1">"1, 2, 1, False, 2, False, False, , 0, False, False, 2, 1"</definedName>
    <definedName name="cb_sChart_46965_opts" hidden="1">"1, 1, 1, False, 2, False, False, , 0, False, False, 1, 1"</definedName>
    <definedName name="cb_sChart_52582_opts" hidden="1">"1, 5, 1, False, 2, False, False, , 0, False, True, 1, 2"</definedName>
    <definedName name="cb_sChart_53437_opts" hidden="1">"1, 9, 1, False, 2, False, False, , 0, False, True, 2, 2"</definedName>
    <definedName name="cb_sChart_5449_opts" hidden="1">"1, 3, 1, False, 2, False, False, , 0, False, True, 2, 2"</definedName>
    <definedName name="cb_sChart_5723_opts" hidden="1">"1, 3, 1, False, 2, False, False, , 0, False, True, 2, 2"</definedName>
    <definedName name="cb_sChart_58046_opts" hidden="1">"1, 9, 1, False, 2, False, False, , 0, False, True, 2, 2"</definedName>
    <definedName name="cb_sChart_59010_opts" hidden="1">"1, 5, 1, False, 2, True, False, , 0, False, False, 2, 1"</definedName>
    <definedName name="cb_sChart_59340_opts" hidden="1">"1, 3, 1, False, 2, False, False, , 0, False, True, 2, 2"</definedName>
    <definedName name="cb_sChart_62364_opts" hidden="1">"1, 3, 1, False, 2, False, False, , 0, False, True, 2, 2"</definedName>
    <definedName name="cb_sChart_64876_opts" hidden="1">"1, 5, 1, False, 2, True, False, , 0, False, False, 2, 2"</definedName>
    <definedName name="cb_sChart_70648_opts" hidden="1">"1, 8, 1, False, 2, False, False, , 0, False, False, 2, 2"</definedName>
    <definedName name="cb_sChart_70997_opts" hidden="1">"1, 2, 1, False, 2, False, False, , 0, False, False, 2, 1"</definedName>
    <definedName name="cb_sChart_76165_opts" hidden="1">"1, 2, 1, False, 2, False, False, , 0, False, False, 2, 1"</definedName>
    <definedName name="cb_sChart_76804_opts" hidden="1">"1, 3, 1, False, 2, False, False, , 0, False, True, 2, 2"</definedName>
    <definedName name="cb_sChart_77567_opts" hidden="1">"1, 1, 1, False, 2, True, False, , 0, False, False, 1, 2"</definedName>
    <definedName name="cb_sChart_79140_opts" hidden="1">"1, 5, 1, False, 2, False, False, , 0, False, True, 2, 1"</definedName>
    <definedName name="cb_sChart_81541_opts" hidden="1">"1, 2, 1, False, 2, False, False, , 0, False, False, 2, 1"</definedName>
    <definedName name="cb_sChart_82552_opts" hidden="1">"1, 4, 1, False, 2, True, False, , 0, False, False, 2, 1"</definedName>
    <definedName name="cb_sChart_83072_opts" hidden="1">"1, 4, 1, False, 2, True, False, , 0, False, False, 2, 1"</definedName>
    <definedName name="cb_sChart_86354_opts" hidden="1">"1, 4, 1, False, 2, True, False, , 0, False, False, 1, 1"</definedName>
    <definedName name="cb_sChart_87236_opts" hidden="1">"1, 1, 1, False, 2, False, False, , 0, False, False, 1, 1"</definedName>
    <definedName name="cb_sChart_95047_opts" hidden="1">"1, 6, 1, False, 2, False, False, , 0, False, True, 2, 2"</definedName>
    <definedName name="cb_sChart_96286_opts" hidden="1">"1, 2, 1, False, 2, False, False, , 0, False, False, 2, 1"</definedName>
    <definedName name="cb_sChart105F0196_opts" hidden="1">"1, 2, 1, False, 2, False, False, , 1, False, False, 2, 1"</definedName>
    <definedName name="cb_sChart10D6460A_opts" hidden="1">"1, 1, 1, False, 2, True, False, , 0, False, False, 1, 1"</definedName>
    <definedName name="cb_sChart10D65256_opts" hidden="1">"1, 1, 1, False, 2, True, False, , 0, False, False, 1, 1"</definedName>
    <definedName name="cb_sChart10D653EB_opts" hidden="1">"1, 1, 1, False, 2, True, False, , 0, False, False, 1, 1"</definedName>
    <definedName name="cb_sChart10D65893_opts" hidden="1">"1, 1, 1, False, 2, True, False, , 0, False, False, 1, 1"</definedName>
    <definedName name="cb_sChart12D83A2_opts" hidden="1">"1, 1, 1, False, 2, False, False, , 0, False, True, 2, 2"</definedName>
    <definedName name="cb_sChart12D852C_opts" hidden="1">"1, 1, 1, False, 2, False, False, , 0, False, True, 2, 2"</definedName>
    <definedName name="cb_sChart12D89EB_opts" hidden="1">"1, 1, 1, False, 2, False, False, , 0, False, True, 2, 2"</definedName>
    <definedName name="cb_sChart12DAD51_opts" hidden="1">"1, 1, 1, False, 2, False, False, , 0, False, True, 2, 2"</definedName>
    <definedName name="cb_sChart12E7B7B_opts" hidden="1">"1, 1, 1, False, 2, True, False, , 0, False, True, 2, 2"</definedName>
    <definedName name="cb_sChart12E83C1_opts" hidden="1">"1, 1, 1, False, 2, False, False, , 0, False, True, 2, 1"</definedName>
    <definedName name="cb_sChart12E85B3_opts" hidden="1">"1, 1, 1, False, 2, False, False, , 0, False, True, 2, 2"</definedName>
    <definedName name="cb_sChart12E8C9E_opts" hidden="1">"1, 2, 1, False, 2, False, False, , 0, False, False, 2, 1"</definedName>
    <definedName name="cb_sChart12EA8E0_opts" hidden="1">"1, 1, 1, False, 2, True, False, , 0, False, False, 2, 2"</definedName>
    <definedName name="cb_sChart12EB078_opts" hidden="1">"1, 1, 1, False, 2, False, False, , 0, False, False, 2, 2"</definedName>
    <definedName name="cb_sChart12EBD15_opts" hidden="1">"1, 1, 1, False, 2, False, False, , 0, False, False, 2, 2"</definedName>
    <definedName name="cb_sChart12FE48A_opts" hidden="1">"1, 2, 1, False, 2, False, False, , 0, False, False, 2, 1"</definedName>
    <definedName name="cb_sChart12FE9EB_opts" hidden="1">"1, 1, 1, False, 2, False, False, , 0, False, False, 1, 2"</definedName>
    <definedName name="cb_sChart12FEDFD_opts" hidden="1">"1, 1, 1, False, 2, False, False, , 0, False, False, 1, 2"</definedName>
    <definedName name="cb_sChart12FF231_opts" hidden="1">"1, 1, 1, False, 2, False, False, , 0, False, False, 1, 2"</definedName>
    <definedName name="cb_sChart12FF8BF_opts" hidden="1">"1, 1, 1, False, 2, False, False, , 0, False, False, 1, 2"</definedName>
    <definedName name="cb_sChart12FF933_opts" hidden="1">"1, 3, 1, False, 2, False, False, , 0, False, False, 1, 2"</definedName>
    <definedName name="cb_sChart12FFC46_opts" hidden="1">"1, 1, 1, False, 2, False, False, , 0, False, False, 1, 2"</definedName>
    <definedName name="cb_sChart16EBA7BA_opts" hidden="1">"1, 1, 1, False, 2, True, False, , 0, False, True, 1, 2"</definedName>
    <definedName name="cb_sChart181DCCD8_opts" hidden="1">"1, 9, 1, False, 2, False, False, , 0, False, True, 1, 2"</definedName>
    <definedName name="cb_sChart181DCFF7_opts" hidden="1">"1, 3, 1, False, 2, True, False, , 0, True, True, 2, 1"</definedName>
    <definedName name="cb_sChart181DDD93_opts" hidden="1">"1, 3, 1, False, 2, True, False, , 0, True, True, 2, 1"</definedName>
    <definedName name="cb_sChart181DDEEE_opts" hidden="1">"1, 3, 1, False, 2, True, False, , 0, True, True, 2, 1"</definedName>
    <definedName name="cb_sChart181DE1C7_opts" hidden="1">"1, 10, 1, False, 2, True, False, , 0, False, True, 2, 1"</definedName>
    <definedName name="cb_sChart181E8791_opts" hidden="1">"2, 1, 2, True, 2, True, False, , 0, False, True, 1, 2"</definedName>
    <definedName name="cb_sChart181E96D9_opts" hidden="1">"1, 9, 1, False, 2, False, False, , 0, False, True, 1, 2"</definedName>
    <definedName name="cb_sChart1AC0211C_opts" hidden="1">"1, 1, 1, False, 2, False, False, , 0, False, False, 2, 2"</definedName>
    <definedName name="cb_sChart1AC021B3_opts" hidden="1">"1, 1, 1, False, 2, False, False, , 0, False, False, 2, 2"</definedName>
    <definedName name="cb_sChart1AC02226_opts" hidden="1">"1, 1, 1, False, 2, False, False, , 0, False, False, 2, 2"</definedName>
    <definedName name="cb_sChart1AC02446_opts" hidden="1">"1, 1, 1, False, 2, True, False, , 0, False, True, 2, 2"</definedName>
    <definedName name="cb_sChart1AC02765_opts" hidden="1">"1, 1, 1, False, 2, True, False, , 0, False, True, 2, 2"</definedName>
    <definedName name="cb_sChart1AC027D9_opts" hidden="1">"1, 1, 1, False, 2, True, False, , 0, False, True, 2, 2"</definedName>
    <definedName name="cb_sChart1B7AB11_opts" hidden="1">"1, 7, 1, False, 2, False, False, , 0, False, True, 1, 1"</definedName>
    <definedName name="cb_sChart1B7ECF0_opts" hidden="1">"1, 9, 1, False, 2, False, False, , 0, False, False, 1, 1"</definedName>
    <definedName name="cb_sChart1B8AF1F_opts" hidden="1">"1, 9, 1, False, 2, False, True, , 0, False, False, 1, 1"</definedName>
    <definedName name="cb_sChart1B99DE1_opts" hidden="1">"1, 7, 1, False, 2, False, False, , 0, False, True, 1, 2"</definedName>
    <definedName name="cb_sChart1BA8AA_opts" hidden="1">"1, 1, 1, False, 2, False, False, , 0, False, False, 1, 2"</definedName>
    <definedName name="cb_sChart1BADD1_opts" hidden="1">"1, 1, 1, False, 2, False, False, , 0, False, False, 2, 2"</definedName>
    <definedName name="cb_sChart1CAAAF_opts" hidden="1">"1, 1, 1, False, 2, False, False, , 0, False, False, 3, 2"</definedName>
    <definedName name="cb_sChart1D05BD_opts" hidden="1">"1, 4, 1, False, 2, True, False, , 0, False, False, 2, 1"</definedName>
    <definedName name="cb_sChart1D0E49_opts" hidden="1">"1, 1, 1, False, 2, True, False, , 0, False, True, 2, 1"</definedName>
    <definedName name="cb_sChart1D0EF7_opts" hidden="1">"1, 5, 1, False, 2, True, False, , 0, False, True, 2, 1"</definedName>
    <definedName name="cb_sChart1D3AE8_opts" hidden="1">"1, 6, 1, False, 2, False, False, , 0, False, True, 2, 2"</definedName>
    <definedName name="cb_sChart1D3EEF_opts" hidden="1">"1, 7, 1, False, 2, False, False, , 0, False, True, 2, 2"</definedName>
    <definedName name="cb_sChart1D41EA_opts" hidden="1">"1, 8, 1, False, 2, False, False, , 0, False, False, 2, 2"</definedName>
    <definedName name="cb_sChart1D5372A5_opts" hidden="1">"1, 5, 1, False, 2, False, False, , 0, False, False, 1, 1"</definedName>
    <definedName name="cb_sChart1D5891_opts" hidden="1">"1, 9, 1, False, 2, False, False, , 0, False, True, 2, 2"</definedName>
    <definedName name="cb_sChart1D9CE2_opts" hidden="1">"1, 10, 1, False, 2, True, False, , 0, False, False, 2, 2"</definedName>
    <definedName name="cb_sChart1DA03A_opts" hidden="1">"2, 1, 1, True, 3, False, False, , 0, False, True, 1, 2"</definedName>
    <definedName name="cb_sChart1DA590_opts" hidden="1">"2, 1, 1, True, 3, False, False, , 0, False, True, 2, 2"</definedName>
    <definedName name="cb_sChart1DBAAD_opts" hidden="1">"2, 1, 2, True, 2, False, False, , 0, False, True, 1, 2"</definedName>
    <definedName name="cb_sChart1DBB89_opts" hidden="1">"2, 1, 2, True, 2, False, False, , 0, False, True, 1, 1"</definedName>
    <definedName name="cb_sChart1DCA97_opts" hidden="1">"2, 1, 1, True, 2, False, False, , 0, False, True, 2, 1"</definedName>
    <definedName name="cb_sChart1DCCF1_opts" hidden="1">"2, 1, 1, True, 2, False, False, , 0, False, True, 1, 2"</definedName>
    <definedName name="cb_sChart1E1206_opts" hidden="1">"2, 1, 3, False, 2, False, False, , 0, False, True, 2, 2"</definedName>
    <definedName name="cb_sChart1E17F2_opts" hidden="1">"1, 9, 1, False, 2, False, False, , 0, False, True, 1, 1"</definedName>
    <definedName name="cb_sChart1E2D49_opts" hidden="1">"1, 10, 1, False, 2, True, False, , 0, False, False, 3, 2"</definedName>
    <definedName name="cb_sChart1E2DEB_opts" hidden="1">"1, 10, 1, False, 2, True, False, , 0, False, False, 2, 2"</definedName>
    <definedName name="cb_sChart1E3944_opts" hidden="1">"1, 10, 1, False, 2, True, False, , 0, False, False, 2, 2"</definedName>
    <definedName name="cb_sChart1E3BE4_opts" hidden="1">"1, 10, 1, False, 2, True, False, , 0, False, False, 2, 2"</definedName>
    <definedName name="cb_sChart1E3E3D_opts" hidden="1">"1, 10, 1, False, 2, True, False, , 0, False, False, 1, 2"</definedName>
    <definedName name="cb_sChart1E4314_opts" hidden="1">"1, 10, 1, False, 2, True, False, , 0, False, False, 2, 2"</definedName>
    <definedName name="cb_sChart1E4E56_opts" hidden="1">"1, 1, 1, False, 2, False, False, , 0, False, False, 2, 2"</definedName>
    <definedName name="cb_sChart1E5372_opts" hidden="1">"1, 1, 1, False, 2, True, False, , 0, False, True, 2, 2"</definedName>
    <definedName name="cb_sChart1E5975_opts" hidden="1">"2, 1, 2, True, 2, False, False, , 0, False, True, 1, 2"</definedName>
    <definedName name="cb_sChart1E5C43_opts" hidden="1">"2, 1, 2, True, 2, False, False, , 0, False, True, 2, 2"</definedName>
    <definedName name="cb_sChart1E5F4A_opts" hidden="1">"2, 1, 2, True, 2, False, False, , 0, False, True, 1, 2"</definedName>
    <definedName name="cb_sChart23F891A_opts" hidden="1">"1, 9, 1, False, 2, False, False, , 0, False, True, 1, 1"</definedName>
    <definedName name="cb_sChart24ED245_opts" hidden="1">"1, 9, 1, False, 2, False, False, , 0, False, True, 1, 1"</definedName>
    <definedName name="cb_sChart24ED930_opts" hidden="1">"1, 9, 1, False, 2, False, False, , 0, False, False, 1, 1"</definedName>
    <definedName name="cb_sChart250B349A_opts" hidden="1">"2, 1, 1, True, 2, False, False, , 0, False, False, 1, 1"</definedName>
    <definedName name="cb_sChart250B5702_opts" hidden="1">"2, 1, 1, False, 2, False, False, , 0, False, False, 1, 1"</definedName>
    <definedName name="cb_sChart250B585D_opts" hidden="1">"2, 1, 1, True, 2, False, False, , 0, False, False, 1, 1"</definedName>
    <definedName name="cb_sChart26CA498_opts" hidden="1">"1, 9, 1, False, 2, False, False, , 0, False, False, 1, 1"</definedName>
    <definedName name="cb_sChart27D31D5_opts" hidden="1">"1, 9, 1, False, 2, False, False, , 0, False, True, 1, 1"</definedName>
    <definedName name="cb_sChart27D3990_opts" hidden="1">"1, 9, 1, False, 2, False, False, , 0, False, True, 1, 1"</definedName>
    <definedName name="cb_sChart2A64D8F_opts" hidden="1">"1, 8, 1, False, 2, False, False, , 0, False, True, 1, 1"</definedName>
    <definedName name="cb_sChart2A65748_opts" hidden="1">"1, 8, 1, False, 2, False, False, , 0, False, True, 1, 1"</definedName>
    <definedName name="cb_sChart2A667D4_opts" hidden="1">"1, 8, 1, False, 2, False, False, , 0, False, True, 1, 1"</definedName>
    <definedName name="cb_sChart2A66D9D_opts" hidden="1">"1, 8, 1, False, 2, False, False, , 0, False, True, 1, 1"</definedName>
    <definedName name="cb_sChart2A67124_opts" hidden="1">"2, 1, 3, False, 2, False, False, , 0, False, True, 1, 1"</definedName>
    <definedName name="cb_sChart2A673A1_opts" hidden="1">"1, 8, 1, False, 2, False, False, , 0, False, True, 1, 1"</definedName>
    <definedName name="cb_sChart2A67A0C_opts" hidden="1">"1, 8, 1, False, 2, False, False, , 0, False, True, 1, 1"</definedName>
    <definedName name="cb_sChart2A68670_opts" hidden="1">"1, 8, 1, False, 2, False, False, , 0, False, True, 1, 1"</definedName>
    <definedName name="cb_sChart2A6C43D_opts" hidden="1">"1, 9, 1, False, 2, False, False, , 0, False, True, 1, 1"</definedName>
    <definedName name="cb_sChart2A74E8A_opts" hidden="1">"1, 9, 1, False, 2, False, False, , 0, False, True, 1, 1"</definedName>
    <definedName name="cb_sChart2A76BA8_opts" hidden="1">"1, 9, 1, False, 2, False, False, , 0, False, True, 1, 1"</definedName>
    <definedName name="cb_sChart2D6F93B_opts" hidden="1">"1, 9, 1, False, 2, False, False, , 0, False, True, 1, 1"</definedName>
    <definedName name="cb_sChart2D714FE_opts" hidden="1">"1, 9, 1, False, 2, False, False, , 0, False, True, 1, 2"</definedName>
    <definedName name="cb_sChart2D737E5_opts" hidden="1">"1, 9, 1, False, 2, False, False, , 0, False, False, 1, 2"</definedName>
    <definedName name="cb_sChart2D73A28_opts" hidden="1">"1, 9, 1, False, 2, False, False, , 0, False, True, 1, 1"</definedName>
    <definedName name="cb_sChart2D759D9_opts" hidden="1">"1, 10, 1, False, 2, False, False, , 0, False, False, 1, 2"</definedName>
    <definedName name="cb_sChart2D76823_opts" hidden="1">"1, 9, 1, False, 2, False, False, , 0, False, True, 1, 2"</definedName>
    <definedName name="cb_sChart2D76BFA_opts" hidden="1">"1, 9, 1, False, 2, False, False, , 0, False, True, 1, 2"</definedName>
    <definedName name="cb_sChart2D9FB96_opts" hidden="1">"1, 9, 1, False, 2, False, False, , 0, False, True, 1, 2"</definedName>
    <definedName name="cb_sChart2D9FE6F_opts" hidden="1">"1, 9, 1, False, 2, False, False, , 0, False, True, 1, 2"</definedName>
    <definedName name="cb_sChart2DA6F48_opts" hidden="1">"1, 9, 1, False, 2, False, False, , 0, False, True, 1, 2"</definedName>
    <definedName name="cb_sChart2DAB5B8_opts" hidden="1">"1, 7, 1, False, 2, False, False, , 0, False, True, 1, 1"</definedName>
    <definedName name="cb_sChart2DAC2D5_opts" hidden="1">"1, 7, 1, False, 2, False, False, , 0, False, True, 1, 1"</definedName>
    <definedName name="cb_sChart2DADDDE_opts" hidden="1">"1, 7, 1, False, 2, False, False, , 0, False, False, 1, 1"</definedName>
    <definedName name="cb_sChart2DADE5D_opts" hidden="1">"1, 7, 1, False, 2, False, False, , 0, False, True, 1, 1"</definedName>
    <definedName name="cb_sChart2DAF358_opts" hidden="1">"1, 7, 1, False, 2, False, False, , 0, False, True, 1, 1"</definedName>
    <definedName name="cb_sChart2DB05D6_opts" hidden="1">"1, 7, 1, False, 2, False, False, , 0, False, True, 1, 1"</definedName>
    <definedName name="cb_sChart2DBCB46_opts" hidden="1">"1, 7, 1, False, 2, False, False, , 0, False, True, 1, 1"</definedName>
    <definedName name="cb_sChart2E6278B_opts" hidden="1">"1, 9, 1, False, 2, False, False, , 0, False, True, 1, 1"</definedName>
    <definedName name="cb_sChart2EB0678_opts" hidden="1">"1, 1, 1, False, 2, True, False, , 0, False, True, 2, 2"</definedName>
    <definedName name="cb_sChart2F3EBCE_opts" hidden="1">"2, 1, 1, False, 2, False, False, , 0, False, True, 2, 2"</definedName>
    <definedName name="cb_sChart2F3F63F_opts" hidden="1">"1, 5, 1, False, 2, True, False, , 0, False, False, 1, 1"</definedName>
    <definedName name="cb_sChart2F3F90D_opts" hidden="1">"1, 5, 1, False, 2, True, False, , 0, False, False, 2, 2"</definedName>
    <definedName name="cb_sChart2F46DBE_opts" hidden="1">"2, 1, 1, True, 2, False, False, , 0, False, True, 1, 2"</definedName>
    <definedName name="cb_sChart2F470D1_opts" hidden="1">"2, 1, 1, False, 2, True, False, , 0, False, True, 1, 2"</definedName>
    <definedName name="cb_sChart2F4952A_opts" hidden="1">"1, 5, 1, False, 2, False, False, , 0, False, False, 1, 1"</definedName>
    <definedName name="cb_sChart2F49CDA_opts" hidden="1">"1, 5, 1, False, 2, False, False, , 0, False, False, 1, 1"</definedName>
    <definedName name="cb_sChart2F4A3D0_opts" hidden="1">"1, 5, 1, False, 2, False, False, , 0, False, False, 1, 1"</definedName>
    <definedName name="cb_sChart2F4A9B1_opts" hidden="1">"1, 5, 1, False, 2, False, False, , 0, False, False, 1, 1"</definedName>
    <definedName name="cb_sChart2F65E86_opts" hidden="1">"1, 1, 1, False, 2, True, False, , 0, False, False, 2, 2"</definedName>
    <definedName name="cb_sChart2F6A8C2_opts" hidden="1">"1, 1, 1, False, 2, True, False, , 0, False, False, 1, 2"</definedName>
    <definedName name="cb_sChart2F6AAB4_opts" hidden="1">"1, 1, 1, False, 2, True, False, , 0, False, True, 1, 2"</definedName>
    <definedName name="cb_sChart2F6B601_opts" hidden="1">"1, 1, 1, False, 2, False, False, , 0, False, False, 1, 1"</definedName>
    <definedName name="cb_sChart2F730C1_opts" hidden="1">"1, 4, 1, False, 2, False, False, , 0, False, False, 1, 1"</definedName>
    <definedName name="cb_sChart2FA9A3C_opts" hidden="1">"1, 3, 1, False, 2, False, False, , 0, False, True, 1, 2"</definedName>
    <definedName name="cb_sChart2FA9CC4_opts" hidden="1">"1, 3, 1, False, 2, False, False, , 0, False, True, 1, 2"</definedName>
    <definedName name="cb_sChart33FC2FF_opts" hidden="1">"1, 5, 1, False, 2, False, False, , 0, False, False, 1, 2"</definedName>
    <definedName name="cb_sChart33FC8D4_opts" hidden="1">"1, 5, 1, False, 2, False, False, , 0, False, False, 1, 2"</definedName>
    <definedName name="cb_sChart33FE8BF_opts" hidden="1">"1, 5, 1, False, 2, False, False, , 0, False, False, 1, 2"</definedName>
    <definedName name="cb_sChart34010F1_opts" hidden="1">"1, 5, 1, False, 2, False, False, , 0, False, False, 1, 2"</definedName>
    <definedName name="cb_sChart3401AFA_opts" hidden="1">"1, 5, 1, False, 2, False, False, , 0, False, False, 1, 2"</definedName>
    <definedName name="cb_sChart3409186_opts" hidden="1">"1, 5, 1, False, 2, False, False, , 0, False, False, 1, 2"</definedName>
    <definedName name="cb_sChart340A263_opts" hidden="1">"1, 5, 1, False, 2, False, False, , 0, False, False, 1, 1"</definedName>
    <definedName name="cb_sChart340F629_opts" hidden="1">"1, 8, 1, False, 2, False, False, , 0, False, False, 1, 2"</definedName>
    <definedName name="cb_sChart340FD14_opts" hidden="1">"1, 8, 1, False, 2, False, False, , 0, False, False, 1, 2"</definedName>
    <definedName name="cb_sChart34107E2_opts" hidden="1">"1, 8, 1, False, 2, False, False, , 0, False, False, 1, 1"</definedName>
    <definedName name="cb_sChart3434ED7_opts" hidden="1">"1, 5, 1, False, 2, False, False, , 0, False, False, 1, 2"</definedName>
    <definedName name="cb_sChart343DEED_opts" hidden="1">"2, 1, 2, True, 2, False, False, , 0, False, True, 1, 2"</definedName>
    <definedName name="cb_sChart344EE9A_opts" hidden="1">"1, 9, 1, False, 2, False, False, , 0, False, True, 1, 1"</definedName>
    <definedName name="cb_sChart344F24F_opts" hidden="1">"1, 9, 1, False, 2, False, False, , 0, False, True, 1, 2"</definedName>
    <definedName name="cb_sChart3450777_opts" hidden="1">"1, 9, 1, False, 2, False, True, 13, 2, False, False, 1, 1"</definedName>
    <definedName name="cb_sChart3450E85_opts" hidden="1">"1, 9, 1, False, 2, False, False, , 0, False, True, 1, 2"</definedName>
    <definedName name="cb_sChart3452C22_opts" hidden="1">"1, 3, 1, False, 2, False, False, , 0, False, True, 1, 2"</definedName>
    <definedName name="cb_sChart345311B_opts" hidden="1">"1, 3, 1, False, 2, False, False, , 0, False, True, 1, 2"</definedName>
    <definedName name="cb_sChart3453B0D_opts" hidden="1">"2, 1, 1, True, 2, False, False, , 0, False, True, 1, 2"</definedName>
    <definedName name="cb_sChart34647CA_opts" hidden="1">"1, 8, 1, False, 2, False, False, , 0, False, False, 2, 2"</definedName>
    <definedName name="cb_sChart346520D_opts" hidden="1">"1, 8, 1, False, 2, False, False, , 0, False, False, 1, 2"</definedName>
    <definedName name="cb_sChart34654DB_opts" hidden="1">"1, 8, 1, False, 2, False, False, , 0, False, False, 1, 2"</definedName>
    <definedName name="cb_sChart346953C_opts" hidden="1">"2, 1, 1, False, 2, False, False, , 0, False, False, 2, 2"</definedName>
    <definedName name="cb_sChart346A27B_opts" hidden="1">"1, 3, 1, False, 2, False, False, , 0, False, True, 2, 2"</definedName>
    <definedName name="cb_sChart347102A_opts" hidden="1">"2, 1, 1, False, 2, False, False, , 0, False, True, 2, 2"</definedName>
    <definedName name="cb_sChart34E448E_opts" hidden="1">"1, 1, 1, False, 2, False, False, , 0, False, False, 1, 1"</definedName>
    <definedName name="cb_sChart34F5376_opts" hidden="1">"2, 1, 2, True, 2, False, False, , 0, False, True, 1, 2"</definedName>
    <definedName name="cb_sChart34F577C_opts" hidden="1">"2, 1, 2, True, 2, False, False, , 0, False, True, 1, 2"</definedName>
    <definedName name="cb_sChart34F5A05_opts" hidden="1">"2, 1, 2, True, 2, False, False, , 0, False, True, 1, 2"</definedName>
    <definedName name="cb_sChart34F5F2C_opts" hidden="1">"2, 1, 2, True, 2, False, False, , 0, False, True, 1, 2"</definedName>
    <definedName name="cb_sChart34F92FC_opts" hidden="1">"1, 1, 1, False, 2, True, False, , 0, False, False, 1, 2"</definedName>
    <definedName name="cb_sChart34F9B08_opts" hidden="1">"1, 4, 1, False, 2, False, False, , 0, False, False, 1, 1"</definedName>
    <definedName name="cb_sChart34FAEB3_opts" hidden="1">"1, 3, 1, False, 2, False, False, , 0, False, True, 1, 1"</definedName>
    <definedName name="cb_sChart34FB053_opts" hidden="1">"1, 3, 1, False, 2, True, False, , 0, False, False, 1, 1"</definedName>
    <definedName name="cb_sChart352F02B_opts" hidden="1">"1, 5, 1, False, 2, True, False, , 0, False, False, 1, 2"</definedName>
    <definedName name="cb_sChart3532FF6_opts" hidden="1">"2, 1, 1, False, 2, False, False, , 0, False, True, 1, 2"</definedName>
    <definedName name="cb_sChart355BCAD_opts" hidden="1">"2, 1, 1, False, 2, False, False, , 0, False, True, 1, 2"</definedName>
    <definedName name="cb_sChart35FF6A2_opts" hidden="1">"1, 8, 1, False, 2, False, False, , 0, False, False, 1, 2"</definedName>
    <definedName name="cb_sChart3624091_opts" hidden="1">"1, 8, 1, False, 2, False, False, , 0, False, False, 1, 2"</definedName>
    <definedName name="cb_sChart36406CE_opts" hidden="1">"1, 3, 1, False, 2, True, False, , 0, False, True, 1, 1"</definedName>
    <definedName name="cb_sChart3AB73A1_opts" hidden="1">"2, 1, 1, False, 2, True, False, , 0, False, True, 2, 2"</definedName>
    <definedName name="cb_sChart3ABAD51_opts" hidden="1">"1, 5, 1, False, 2, True, False, , 0, False, False, 2, 2"</definedName>
    <definedName name="cb_sChart3AE4A4F_opts" hidden="1">"2, 1, 1, True, 2, False, False, , 0, False, True, 2, 2"</definedName>
    <definedName name="cb_sChart3AEA7B7_opts" hidden="1">"2, 1, 1, True, 2, False, False, , 0, False, True, 1, 1"</definedName>
    <definedName name="cb_sChart3AEAB83_opts" hidden="1">"2, 1, 1, True, 2, False, False, , 0, False, True, 2, 2"</definedName>
    <definedName name="cb_sChart3AF2834_opts" hidden="1">"1, 3, 1, False, 2, False, False, , 0, False, False, 2, 2"</definedName>
    <definedName name="cb_sChart3AF5310_opts" hidden="1">"1, 1, 1, False, 2, False, False, , 0, False, False, 1, 2"</definedName>
    <definedName name="cb_sChart3AF68AD_opts" hidden="1">"1, 1, 1, False, 2, False, False, , 0, False, False, 2, 2"</definedName>
    <definedName name="cb_sChart3AF71DA_opts" hidden="1">"1, 1, 1, False, 2, False, False, , 0, False, False, 1, 1"</definedName>
    <definedName name="cb_sChart3AF76D4_opts" hidden="1">"1, 1, 1, False, 2, False, False, , 0, False, False, 2, 2"</definedName>
    <definedName name="cb_sChart3AF8492_opts" hidden="1">"1, 1, 1, False, 2, False, False, , 0, False, False, 1, 1"</definedName>
    <definedName name="cb_sChart3AFF994_opts" hidden="1">"1, 1, 1, False, 2, False, False, , 0, False, False, 2, 2"</definedName>
    <definedName name="cb_sChart3B004D6_opts" hidden="1">"1, 1, 1, False, 2, False, False, , 0, False, False, 1, 1"</definedName>
    <definedName name="cb_sChart3B03C44_opts" hidden="1">"1, 1, 1, False, 2, False, False, , 0, False, False, 1, 1"</definedName>
    <definedName name="cb_sChart3B08D31_opts" hidden="1">"1, 8, 1, False, 2, False, False, , 0, False, False, 2, 2"</definedName>
    <definedName name="cb_sChart3B09A9F_opts" hidden="1">"1, 8, 1, False, 2, False, False, , 0, False, False, 2, 2"</definedName>
    <definedName name="cb_sChart3B09F8C_opts" hidden="1">"1, 8, 1, False, 2, False, False, , 0, False, False, 2, 2"</definedName>
    <definedName name="cb_sChart3B0ABD8_opts" hidden="1">"1, 8, 1, False, 2, False, False, , 0, False, False, 2, 2"</definedName>
    <definedName name="cb_sChart3B12357_opts" hidden="1">"1, 8, 1, False, 2, False, False, , 0, False, False, 2, 2"</definedName>
    <definedName name="cb_sChart3B12816_opts" hidden="1">"1, 8, 1, False, 2, False, False, , 0, False, False, 2, 2"</definedName>
    <definedName name="cb_sChart3B12D0F_opts" hidden="1">"1, 8, 1, False, 2, False, False, , 0, False, False, 2, 2"</definedName>
    <definedName name="cb_sChart3BA9EF5_opts" hidden="1">"1, 9, 1, False, 2, False, False, , 0, False, True, 1, 1"</definedName>
    <definedName name="cb_sChart3BAA0A1_opts" hidden="1">"1, 9, 1, False, 2, False, False, , 0, False, True, 1, 1"</definedName>
    <definedName name="cb_sChart3BAA29E_opts" hidden="1">"1, 9, 1, False, 2, False, False, , 0, False, True, 1, 1"</definedName>
    <definedName name="cb_sChart3BAACED_opts" hidden="1">"1, 9, 1, False, 2, False, False, , 0, False, True, 1, 1"</definedName>
    <definedName name="cb_sChart3BAD7A6_opts" hidden="1">"2, 1, 2, True, 2, False, False, , 0, False, True, 1, 2"</definedName>
    <definedName name="cb_sChart3BBD972_opts" hidden="1">"1, 1, 1, False, 2, False, False, , 0, False, False, 1, 1"</definedName>
    <definedName name="cb_sChart3BC0E91_opts" hidden="1">"2, 1, 1, False, 2, True, False, , 0, False, True, 1, 1"</definedName>
    <definedName name="cb_sChart3BFC30E_opts" hidden="1">"1, 4, 1, False, 2, False, False, , 0, False, False, 1, 1"</definedName>
    <definedName name="cb_sChart3BFD9FA_opts" hidden="1">"2, 1, 1, True, 2, False, False, , 0, False, True, 2, 2"</definedName>
    <definedName name="cb_sChart3BFEF23_opts" hidden="1">"1, 4, 1, False, 2, False, False, , 0, False, False, 1, 1"</definedName>
    <definedName name="cb_sChart3BFF2E3_opts" hidden="1">"1, 1, 1, False, 2, False, False, , 0, False, False, 1, 1"</definedName>
    <definedName name="cb_sChart41E9A35_opts" hidden="1">"1, 9, 1, False, 2, False, False, , 0, False, True, 1, 1"</definedName>
    <definedName name="cb_sChart463330_opts" hidden="1">"2, 1, 2, True, 2, False, False, , 0, False, True, 1, 2"</definedName>
    <definedName name="cb_sChart4665D3_opts" hidden="1">"1, 9, 1, False, 2, False, False, , 0, False, True, 2, 2"</definedName>
    <definedName name="cb_sChart4680DD_opts" hidden="1">"1, 10, 1, False, 2, True, False, , 0, False, False, 2, 2"</definedName>
    <definedName name="cb_sChart468801_opts" hidden="1">"1, 10, 1, False, 2, True, False, , 0, False, False, 2, 2"</definedName>
    <definedName name="cb_sChart46BC0B_opts" hidden="1">"2, 1, 2, True, 2, False, False, , 0, False, True, 1, 2"</definedName>
    <definedName name="cb_sChart4828C3_opts" hidden="1">"1, 1, 1, False, 2, False, False, , 0, False, False, 1, 2"</definedName>
    <definedName name="cb_sChart482D03_opts" hidden="1">"1, 1, 1, False, 2, False, False, , 0, False, False, 1, 2"</definedName>
    <definedName name="cb_sChart595EE0E_opts" hidden="1">"1, 9, 1, False, 2, False, True, , 3, False, True, 1, 1"</definedName>
    <definedName name="cb_sChart5D0C805_opts" hidden="1">"1, 4, 1, False, 2, False, False, , 0, False, False, 1, 1"</definedName>
    <definedName name="cb_sChart5D375C8_opts" hidden="1">"1, 9, 1, False, 2, False, False, , 0, False, True, 1, 1"</definedName>
    <definedName name="cb_sChart6A2ED7_opts" hidden="1">"1, 10, 1, False, 2, True, False, , 0, False, False, 1, 1"</definedName>
    <definedName name="cb_sChart6A6617_opts" hidden="1">"1, 10, 1, False, 2, True, False, , 0, False, False, 1, 1"</definedName>
    <definedName name="cb_sChart6A66F3_opts" hidden="1">"1, 10, 1, False, 2, True, False, , 0, False, False, 1, 1"</definedName>
    <definedName name="cb_sChart6A7DF6_opts" hidden="1">"1, 3, 1, False, 2, True, False, , 0, False, True, 2, 1"</definedName>
    <definedName name="cb_sChart74E984_opts" hidden="1">"1, 1, 1, False, 2, False, False, , 0, False, False, 2, 2"</definedName>
    <definedName name="cb_sChart8CD287E_opts" hidden="1">"1, 1, 1, False, 2, False, False, , 0, False, False, 1, 1"</definedName>
    <definedName name="cb_sChartD086F3E_opts" hidden="1">"1, 1, 1, False, 2, False, False, , 1, False, True, 2, 2"</definedName>
    <definedName name="cb_sChartD0876B3_opts" hidden="1">"2, 2, 2, True, 2, False, False, , 1, False, True, 2, 2"</definedName>
    <definedName name="cb_sChartEB337E1_opts" hidden="1">"1, 10, 1, False, 2, False, False, , 1, False, True, 2, 2"</definedName>
    <definedName name="cb_sChartEB33A80_opts" hidden="1">"1, 10, 1, False, 2, False, False, , 1, False, True, 2, 2"</definedName>
    <definedName name="cb_sChartEB33EA9_opts" hidden="1">"1, 10, 1, False, 2, False, False, , 1, False, True, 2, 2"</definedName>
    <definedName name="cb_sChartEB340BD_opts" hidden="1">"1, 10, 1, False, 2, False, False, , 1, False, True, 2, 2"</definedName>
    <definedName name="cb_sChartEB344DA_opts" hidden="1">"1, 10, 1, False, 2, False, False, , 1, False, False, 2, 2"</definedName>
    <definedName name="cb_sChartEB3479C_opts" hidden="1">"1, 1, 1, False, 2, False, False, , 1, False, True, 2, 1"</definedName>
    <definedName name="cb_sChartEB34833_opts" hidden="1">"1, 10, 1, False, 2, False, False, , 1, False, True, 2, 1"</definedName>
    <definedName name="cb_sChartEB34DCE_opts" hidden="1">"1, 10, 1, False, 2, False, False, , 1, False, True, 2, 1"</definedName>
    <definedName name="cb_sChartEB36CAF_opts" hidden="1">"1, 9, 1, False, 2, False, False, , 1, False, True, 1, 2"</definedName>
    <definedName name="cb_sChartEB38838_opts" hidden="1">"1, 9, 1, False, 2, False, False, , 1, False, True, 2, 2"</definedName>
    <definedName name="cb_sChartEB38E8C_opts" hidden="1">"1, 10, 1, False, 2, False, False, , 1, False, True, 2, 2"</definedName>
    <definedName name="cb_sChartEB3980B_opts" hidden="1">"1, 2, 1, False, 2, False, False, , 1, False, False, 2, 1"</definedName>
    <definedName name="cb_sChartEB39C1C_opts" hidden="1">"1, 2, 1, False, 2, False, False, , 1, False, False, 2, 1"</definedName>
    <definedName name="cb_sChartEE4CE1B_opts" hidden="1">"1, 4, 1, False, 2, False, False, , 0, False, False, 1, 1"</definedName>
    <definedName name="cb_sChartEE4CF99_opts" hidden="1">"1, 1, 1, False, 2, False, False, , 0, False, False, 1, 1"</definedName>
    <definedName name="cb_sChartEE4DD06_opts" hidden="1">"1, 1, 1, False, 2, False, False, , 0, False, False, 1, 2"</definedName>
    <definedName name="cb_sChartEE4E93B_opts" hidden="1">"1, 1, 1, False, 2, False, False, , 0, False, False, 1, 1"</definedName>
    <definedName name="cb_sChartEE51E95_opts" hidden="1">"1, 1, 1, False, 2, False, False, , 0, False, False, 1, 1"</definedName>
    <definedName name="cb_sChartEED7645_opts" hidden="1">"1, 1, 1, False, 2, False, False, , 0, False, False, 1, 1"</definedName>
    <definedName name="cb_sChartEEDA195_opts" hidden="1">"1, 1, 1, False, 2, False, False, , 0, False, False, 1, 1"</definedName>
    <definedName name="cb_sChartEEDC338_opts" hidden="1">"1, 1, 1, False, 2, False, False, , 0, False, False, 1, 1"</definedName>
    <definedName name="cb_sChartEEDEDB8_opts" hidden="1">"1, 1, 1, False, 2, False, False, , 0, False, True, 1, 1"</definedName>
    <definedName name="cb_sChartEEDEE5A_opts" hidden="1">"1, 3, 1, False, 2, True, False, , 0, False, True, 1, 1"</definedName>
    <definedName name="cb_sChartEEDF178_opts" hidden="1">"1, 3, 1, False, 2, False, False, , 0, False, True, 1, 1"</definedName>
    <definedName name="cb_sChartF0FF3D7_opts" hidden="1">"1, 8, 1, False, 2, False, False, , 1, False, True, 1, 2"</definedName>
    <definedName name="cb_sChartF1BF8C8_opts" hidden="1">"1, 8, 1, False, 2, False, False, , 1, False, True, 1, 2"</definedName>
    <definedName name="cb_sChartF1C057C_opts" hidden="1">"1, 2, 1, False, 2, False, False, , 1, False, False, 2, 1"</definedName>
    <definedName name="cb_sChartF1C0A0D_opts" hidden="1">"1, 8, 1, False, 2, False, False, , 1, False, True, 1, 1"</definedName>
    <definedName name="cb_sChartF1C9DF0_opts" hidden="1">"1, 8, 1, False, 2, False, False, , 1, False, True, 1, 2"</definedName>
    <definedName name="cb_sChartF1F24F5_opts" hidden="1">"1, 8, 1, False, 2, False, False, , 1, False, True, 1, 2"</definedName>
    <definedName name="cb_sChartF6A6B11_opts" hidden="1">"1, 1, 1, False, 2, True, False, , 0, False, False, 1, 1"</definedName>
    <definedName name="cb_sChartFD191DC_opts" hidden="1">"1, 3, 1, False, 2, True, False, , 0, False, True, 1, 1"</definedName>
    <definedName name="cb_sChartFD1A245_opts" hidden="1">"1, 3, 1, False, 2, True, False, , 0, False, True, 1, 1"</definedName>
    <definedName name="cb_sChartFD3F0E9_opts" hidden="1">"1, 3, 1, False, 2, True, False, , 0, False, False, 1, 1"</definedName>
    <definedName name="cb_sChartFD3F27E_opts" hidden="1">"1, 3, 1, False, 2, True, False, , 0, False, True, 1, 1"</definedName>
    <definedName name="cb_sChartFD58483_opts" hidden="1">"1, 1, 1, False, 2, True, False, , 0, False, False, 1, 1"</definedName>
    <definedName name="cb_sChartFD5C4CD_opts" hidden="1">"1, 1, 1, False, 2, True, False, , 0, False, False, 1, 1"</definedName>
    <definedName name="cb_sChartFD5D4CE_opts" hidden="1">"1, 1, 1, False, 2, True, False, , 0, False, False, 1, 1"</definedName>
    <definedName name="cb_sChartFD5DF34_opts" hidden="1">"1, 1, 1, False, 2, True, False, , 0, False, False, 1, 1"</definedName>
    <definedName name="cb_sChartFD5EFC0_opts" hidden="1">"1, 1, 1, False, 2, True, False, , 0, False, False, 1, 1"</definedName>
    <definedName name="cb_sChartFD5FDB9_opts" hidden="1">"1, 1, 1, False, 2, True, False, , 0, False, False, 1, 1"</definedName>
    <definedName name="cb_sChartFE54712_opts" hidden="1">"1, 3, 1, False, 2, True, False, , 0, False, True, 1, 1"</definedName>
    <definedName name="cb_Size_by_height_and_widthChart_16_opts" hidden="1">"1, 4, 1, False, 2, False, False, , 0, False, False, 1, 1"</definedName>
    <definedName name="cb_Size_by_height_and_widthChart_7_opts" hidden="1">"1, 4, 1, False, 2, False, False, , 0, False, False, 1, 1"</definedName>
    <definedName name="cb_Size_by_height_and_widthChart_8_opts" hidden="1">"1, 4, 1, False, 2, False, False, , 0, False, False, 1, 1"</definedName>
    <definedName name="cbhwk" hidden="1">#REF!</definedName>
    <definedName name="cbjkw" hidden="1">#REF!</definedName>
    <definedName name="CBWorkbookPriority" localSheetId="7" hidden="1">-592437265</definedName>
    <definedName name="CBWorkbookPriority" localSheetId="8" hidden="1">-592437265</definedName>
    <definedName name="CBWorkbookPriority" hidden="1">-2042846187</definedName>
    <definedName name="cc" localSheetId="7" hidden="1">{"Vend Volume 96",#N/A,FALSE,"Vendas Volume 1996"}</definedName>
    <definedName name="cc" localSheetId="8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cc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cc_1" localSheetId="7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cc_1" localSheetId="8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cc_1" hidden="1">{"pl9601",#N/A,FALSE,"PL96";"pl9602",#N/A,FALSE,"PL96";"pl9603",#N/A,FALSE,"PL96";"PL9604",#N/A,FALSE,"PL96";"pl9605",#N/A,FALSE,"PL96";"pl9606",#N/A,FALSE,"PL96";"pl9607",#N/A,FALSE,"PL96";"pl9608",#N/A,FALSE,"PL96";"pl9609",#N/A,FALSE,"PL96";"pl9610",#N/A,FALSE,"PL96";"pl9611",#N/A,FALSE,"PL96";"fssum01",#N/A,FALSE,"fssum";"fssum02",#N/A,FALSE,"fssum"}</definedName>
    <definedName name="ccc" localSheetId="8" hidden="1">{"detail",#N/A,FALSE,"mfg";"summary",#N/A,FALSE,"mfg"}</definedName>
    <definedName name="ccc" hidden="1">{"detail",#N/A,FALSE,"mfg";"summary",#N/A,FALSE,"mfg"}</definedName>
    <definedName name="cccc" localSheetId="8" hidden="1">{#N/A,#N/A,FALSE,"projcf";#N/A,#N/A,FALSE,"Projline";#N/A,#N/A,FALSE,"bankline";#N/A,#N/A,FALSE,"Fast95is";#N/A,#N/A,FALSE,"tool95is";#N/A,#N/A,FALSE,"tot95is";#N/A,#N/A,FALSE,"tool950h";#N/A,#N/A,FALSE,"fas95oh";#N/A,#N/A,FALSE,"tot95oh";#N/A,#N/A,FALSE,"95sga";#N/A,#N/A,FALSE,"95projcf";#N/A,#N/A,FALSE,"95loc";#N/A,#N/A,FALSE,"95bankline"}</definedName>
    <definedName name="cccc" hidden="1">{#N/A,#N/A,FALSE,"projcf";#N/A,#N/A,FALSE,"Projline";#N/A,#N/A,FALSE,"bankline";#N/A,#N/A,FALSE,"Fast95is";#N/A,#N/A,FALSE,"tool95is";#N/A,#N/A,FALSE,"tot95is";#N/A,#N/A,FALSE,"tool950h";#N/A,#N/A,FALSE,"fas95oh";#N/A,#N/A,FALSE,"tot95oh";#N/A,#N/A,FALSE,"95sga";#N/A,#N/A,FALSE,"95projcf";#N/A,#N/A,FALSE,"95loc";#N/A,#N/A,FALSE,"95bankline"}</definedName>
    <definedName name="cccc_1" localSheetId="8" hidden="1">{#N/A,#N/A,FALSE,"projcf";#N/A,#N/A,FALSE,"Projline";#N/A,#N/A,FALSE,"bankline";#N/A,#N/A,FALSE,"Fast95is";#N/A,#N/A,FALSE,"tool95is";#N/A,#N/A,FALSE,"tot95is";#N/A,#N/A,FALSE,"tool950h";#N/A,#N/A,FALSE,"fas95oh";#N/A,#N/A,FALSE,"tot95oh";#N/A,#N/A,FALSE,"95sga";#N/A,#N/A,FALSE,"95projcf";#N/A,#N/A,FALSE,"95loc";#N/A,#N/A,FALSE,"95bankline"}</definedName>
    <definedName name="cccc_1" hidden="1">{#N/A,#N/A,FALSE,"projcf";#N/A,#N/A,FALSE,"Projline";#N/A,#N/A,FALSE,"bankline";#N/A,#N/A,FALSE,"Fast95is";#N/A,#N/A,FALSE,"tool95is";#N/A,#N/A,FALSE,"tot95is";#N/A,#N/A,FALSE,"tool950h";#N/A,#N/A,FALSE,"fas95oh";#N/A,#N/A,FALSE,"tot95oh";#N/A,#N/A,FALSE,"95sga";#N/A,#N/A,FALSE,"95projcf";#N/A,#N/A,FALSE,"95loc";#N/A,#N/A,FALSE,"95bankline"}</definedName>
    <definedName name="ccccb" hidden="1">#REF!</definedName>
    <definedName name="ccccc" localSheetId="7" hidden="1">{"10yp key data",#N/A,FALSE,"Market Data"}</definedName>
    <definedName name="ccccc" localSheetId="8" hidden="1">{"10yp key data",#N/A,FALSE,"Market Data"}</definedName>
    <definedName name="ccccc" hidden="1">{"LargoAjustes",#N/A,FALSE,"Ajustes";"CortoAjustes",#N/A,FALSE,"Ajustes";"PLAjustes",#N/A,FALSE,"Ajustes"}</definedName>
    <definedName name="ccccc_1" localSheetId="8" hidden="1">{"LargoAjustes",#N/A,FALSE,"Ajustes";"CortoAjustes",#N/A,FALSE,"Ajustes";"PLAjustes",#N/A,FALSE,"Ajustes"}</definedName>
    <definedName name="ccccc_1" hidden="1">{"LargoAjustes",#N/A,FALSE,"Ajustes";"CortoAjustes",#N/A,FALSE,"Ajustes";"PLAjustes",#N/A,FALSE,"Ajustes"}</definedName>
    <definedName name="cccccc" localSheetId="8" hidden="1">{"PARTE1",#N/A,FALSE,"Plan1"}</definedName>
    <definedName name="cccccc" hidden="1">{"PARTE1",#N/A,FALSE,"Plan1"}</definedName>
    <definedName name="ccccccc" hidden="1">#REF!</definedName>
    <definedName name="cccccccccc" localSheetId="8" hidden="1">{#N/A,#N/A,FALSE,"CBE";#N/A,#N/A,FALSE,"SWK"}</definedName>
    <definedName name="cccccccccc" hidden="1">{#N/A,#N/A,FALSE,"CBE";#N/A,#N/A,FALSE,"SWK"}</definedName>
    <definedName name="cccccccccc_1" localSheetId="8" hidden="1">{#N/A,#N/A,FALSE,"CBE";#N/A,#N/A,FALSE,"SWK"}</definedName>
    <definedName name="cccccccccc_1" hidden="1">{#N/A,#N/A,FALSE,"CBE";#N/A,#N/A,FALSE,"SWK"}</definedName>
    <definedName name="ccccccccccccccc" hidden="1">#N/A</definedName>
    <definedName name="ccchart1" localSheetId="8" hidden="1">#REF!</definedName>
    <definedName name="ccchart1" hidden="1">#REF!</definedName>
    <definedName name="ccchart2" localSheetId="8" hidden="1">#REF!</definedName>
    <definedName name="ccchart2" hidden="1">#REF!</definedName>
    <definedName name="ccchart3" localSheetId="8" hidden="1">#REF!</definedName>
    <definedName name="ccchart3" hidden="1">#REF!</definedName>
    <definedName name="ccchart4" hidden="1">#REF!</definedName>
    <definedName name="ccchart5" hidden="1">#REF!</definedName>
    <definedName name="CCCOOO" localSheetId="8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CCCOOO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ccf" localSheetId="8" hidden="1">{"YD PRS",#N/A,FALSE,"YTD"}</definedName>
    <definedName name="ccf" hidden="1">{"YD PRS",#N/A,FALSE,"YTD"}</definedName>
    <definedName name="ccfb" localSheetId="8" hidden="1">{#N/A,#N/A,TRUE,"Header";#N/A,#N/A,TRUE,"Total";#N/A,#N/A,TRUE,"Core";#N/A,#N/A,TRUE,"New";#N/A,#N/A,TRUE,"Core Units Rev";#N/A,#N/A,TRUE,"Core Units GM";#N/A,#N/A,TRUE,"Core Units GM%";#N/A,#N/A,TRUE,"Core Units SGA";#N/A,#N/A,TRUE,"Core Units EBIT";#N/A,#N/A,TRUE,"New Units Rev";#N/A,#N/A,TRUE,"New Units GM";#N/A,#N/A,TRUE,"New Units GM%";#N/A,#N/A,TRUE,"New Units SGA";#N/A,#N/A,TRUE,"New Units EBIT";#N/A,#N/A,TRUE,"Summary";#N/A,#N/A,TRUE,"Summary (2)";#N/A,#N/A,TRUE,"Var to last mth";#N/A,#N/A,TRUE,"Revenue";#N/A,#N/A,TRUE,"COS";#N/A,#N/A,TRUE,"Gross Margin";#N/A,#N/A,TRUE,"SG&amp;A";#N/A,#N/A,TRUE,"EBITDA";#N/A,#N/A,TRUE,"Depn&amp;Amort";#N/A,#N/A,TRUE,"EBIT";#N/A,#N/A,TRUE,"Contingency"}</definedName>
    <definedName name="ccfb" hidden="1">{#N/A,#N/A,TRUE,"Header";#N/A,#N/A,TRUE,"Total";#N/A,#N/A,TRUE,"Core";#N/A,#N/A,TRUE,"New";#N/A,#N/A,TRUE,"Core Units Rev";#N/A,#N/A,TRUE,"Core Units GM";#N/A,#N/A,TRUE,"Core Units GM%";#N/A,#N/A,TRUE,"Core Units SGA";#N/A,#N/A,TRUE,"Core Units EBIT";#N/A,#N/A,TRUE,"New Units Rev";#N/A,#N/A,TRUE,"New Units GM";#N/A,#N/A,TRUE,"New Units GM%";#N/A,#N/A,TRUE,"New Units SGA";#N/A,#N/A,TRUE,"New Units EBIT";#N/A,#N/A,TRUE,"Summary";#N/A,#N/A,TRUE,"Summary (2)";#N/A,#N/A,TRUE,"Var to last mth";#N/A,#N/A,TRUE,"Revenue";#N/A,#N/A,TRUE,"COS";#N/A,#N/A,TRUE,"Gross Margin";#N/A,#N/A,TRUE,"SG&amp;A";#N/A,#N/A,TRUE,"EBITDA";#N/A,#N/A,TRUE,"Depn&amp;Amort";#N/A,#N/A,TRUE,"EBIT";#N/A,#N/A,TRUE,"Contingency"}</definedName>
    <definedName name="ccfb1" localSheetId="8" hidden="1">{#N/A,#N/A,TRUE,"Header";#N/A,#N/A,TRUE,"Total";#N/A,#N/A,TRUE,"Core";#N/A,#N/A,TRUE,"New";#N/A,#N/A,TRUE,"Core Units Rev";#N/A,#N/A,TRUE,"Core Units GM";#N/A,#N/A,TRUE,"Core Units GM%";#N/A,#N/A,TRUE,"Core Units SGA";#N/A,#N/A,TRUE,"Core Units EBIT";#N/A,#N/A,TRUE,"New Units Rev";#N/A,#N/A,TRUE,"New Units GM";#N/A,#N/A,TRUE,"New Units GM%";#N/A,#N/A,TRUE,"New Units SGA";#N/A,#N/A,TRUE,"New Units EBIT";#N/A,#N/A,TRUE,"Summary";#N/A,#N/A,TRUE,"Summary (2)";#N/A,#N/A,TRUE,"Var to last mth";#N/A,#N/A,TRUE,"Revenue";#N/A,#N/A,TRUE,"COS";#N/A,#N/A,TRUE,"Gross Margin";#N/A,#N/A,TRUE,"SG&amp;A";#N/A,#N/A,TRUE,"EBITDA";#N/A,#N/A,TRUE,"Depn&amp;Amort";#N/A,#N/A,TRUE,"EBIT";#N/A,#N/A,TRUE,"Contingency"}</definedName>
    <definedName name="ccfb1" hidden="1">{#N/A,#N/A,TRUE,"Header";#N/A,#N/A,TRUE,"Total";#N/A,#N/A,TRUE,"Core";#N/A,#N/A,TRUE,"New";#N/A,#N/A,TRUE,"Core Units Rev";#N/A,#N/A,TRUE,"Core Units GM";#N/A,#N/A,TRUE,"Core Units GM%";#N/A,#N/A,TRUE,"Core Units SGA";#N/A,#N/A,TRUE,"Core Units EBIT";#N/A,#N/A,TRUE,"New Units Rev";#N/A,#N/A,TRUE,"New Units GM";#N/A,#N/A,TRUE,"New Units GM%";#N/A,#N/A,TRUE,"New Units SGA";#N/A,#N/A,TRUE,"New Units EBIT";#N/A,#N/A,TRUE,"Summary";#N/A,#N/A,TRUE,"Summary (2)";#N/A,#N/A,TRUE,"Var to last mth";#N/A,#N/A,TRUE,"Revenue";#N/A,#N/A,TRUE,"COS";#N/A,#N/A,TRUE,"Gross Margin";#N/A,#N/A,TRUE,"SG&amp;A";#N/A,#N/A,TRUE,"EBITDA";#N/A,#N/A,TRUE,"Depn&amp;Amort";#N/A,#N/A,TRUE,"EBIT";#N/A,#N/A,TRUE,"Contingency"}</definedName>
    <definedName name="ccfb2" localSheetId="8" hidden="1">{#N/A,#N/A,TRUE,"Header";#N/A,#N/A,TRUE,"Total";#N/A,#N/A,TRUE,"Core";#N/A,#N/A,TRUE,"New";#N/A,#N/A,TRUE,"Core Units Rev";#N/A,#N/A,TRUE,"Core Units GM";#N/A,#N/A,TRUE,"Core Units GM%";#N/A,#N/A,TRUE,"Core Units SGA";#N/A,#N/A,TRUE,"Core Units EBIT";#N/A,#N/A,TRUE,"New Units Rev";#N/A,#N/A,TRUE,"New Units GM";#N/A,#N/A,TRUE,"New Units GM%";#N/A,#N/A,TRUE,"New Units SGA";#N/A,#N/A,TRUE,"New Units EBIT";#N/A,#N/A,TRUE,"Summary";#N/A,#N/A,TRUE,"Summary (2)";#N/A,#N/A,TRUE,"Var to last mth";#N/A,#N/A,TRUE,"Revenue";#N/A,#N/A,TRUE,"COS";#N/A,#N/A,TRUE,"Gross Margin";#N/A,#N/A,TRUE,"SG&amp;A";#N/A,#N/A,TRUE,"EBITDA";#N/A,#N/A,TRUE,"Depn&amp;Amort";#N/A,#N/A,TRUE,"EBIT";#N/A,#N/A,TRUE,"Contingency"}</definedName>
    <definedName name="ccfb2" hidden="1">{#N/A,#N/A,TRUE,"Header";#N/A,#N/A,TRUE,"Total";#N/A,#N/A,TRUE,"Core";#N/A,#N/A,TRUE,"New";#N/A,#N/A,TRUE,"Core Units Rev";#N/A,#N/A,TRUE,"Core Units GM";#N/A,#N/A,TRUE,"Core Units GM%";#N/A,#N/A,TRUE,"Core Units SGA";#N/A,#N/A,TRUE,"Core Units EBIT";#N/A,#N/A,TRUE,"New Units Rev";#N/A,#N/A,TRUE,"New Units GM";#N/A,#N/A,TRUE,"New Units GM%";#N/A,#N/A,TRUE,"New Units SGA";#N/A,#N/A,TRUE,"New Units EBIT";#N/A,#N/A,TRUE,"Summary";#N/A,#N/A,TRUE,"Summary (2)";#N/A,#N/A,TRUE,"Var to last mth";#N/A,#N/A,TRUE,"Revenue";#N/A,#N/A,TRUE,"COS";#N/A,#N/A,TRUE,"Gross Margin";#N/A,#N/A,TRUE,"SG&amp;A";#N/A,#N/A,TRUE,"EBITDA";#N/A,#N/A,TRUE,"Depn&amp;Amort";#N/A,#N/A,TRUE,"EBIT";#N/A,#N/A,TRUE,"Contingency"}</definedName>
    <definedName name="ccfb3" localSheetId="8" hidden="1">{#N/A,#N/A,TRUE,"Header";#N/A,#N/A,TRUE,"Total";#N/A,#N/A,TRUE,"Core";#N/A,#N/A,TRUE,"New";#N/A,#N/A,TRUE,"Core Units Rev";#N/A,#N/A,TRUE,"Core Units GM";#N/A,#N/A,TRUE,"Core Units GM%";#N/A,#N/A,TRUE,"Core Units SGA";#N/A,#N/A,TRUE,"Core Units EBIT";#N/A,#N/A,TRUE,"New Units Rev";#N/A,#N/A,TRUE,"New Units GM";#N/A,#N/A,TRUE,"New Units GM%";#N/A,#N/A,TRUE,"New Units SGA";#N/A,#N/A,TRUE,"New Units EBIT";#N/A,#N/A,TRUE,"Summary";#N/A,#N/A,TRUE,"Summary (2)";#N/A,#N/A,TRUE,"Var to last mth";#N/A,#N/A,TRUE,"Revenue";#N/A,#N/A,TRUE,"COS";#N/A,#N/A,TRUE,"Gross Margin";#N/A,#N/A,TRUE,"SG&amp;A";#N/A,#N/A,TRUE,"EBITDA";#N/A,#N/A,TRUE,"Depn&amp;Amort";#N/A,#N/A,TRUE,"EBIT";#N/A,#N/A,TRUE,"Contingency"}</definedName>
    <definedName name="ccfb3" hidden="1">{#N/A,#N/A,TRUE,"Header";#N/A,#N/A,TRUE,"Total";#N/A,#N/A,TRUE,"Core";#N/A,#N/A,TRUE,"New";#N/A,#N/A,TRUE,"Core Units Rev";#N/A,#N/A,TRUE,"Core Units GM";#N/A,#N/A,TRUE,"Core Units GM%";#N/A,#N/A,TRUE,"Core Units SGA";#N/A,#N/A,TRUE,"Core Units EBIT";#N/A,#N/A,TRUE,"New Units Rev";#N/A,#N/A,TRUE,"New Units GM";#N/A,#N/A,TRUE,"New Units GM%";#N/A,#N/A,TRUE,"New Units SGA";#N/A,#N/A,TRUE,"New Units EBIT";#N/A,#N/A,TRUE,"Summary";#N/A,#N/A,TRUE,"Summary (2)";#N/A,#N/A,TRUE,"Var to last mth";#N/A,#N/A,TRUE,"Revenue";#N/A,#N/A,TRUE,"COS";#N/A,#N/A,TRUE,"Gross Margin";#N/A,#N/A,TRUE,"SG&amp;A";#N/A,#N/A,TRUE,"EBITDA";#N/A,#N/A,TRUE,"Depn&amp;Amort";#N/A,#N/A,TRUE,"EBIT";#N/A,#N/A,TRUE,"Contingency"}</definedName>
    <definedName name="cchart1" localSheetId="8" hidden="1">#REF!</definedName>
    <definedName name="cchart1" hidden="1">#REF!</definedName>
    <definedName name="cchart2" localSheetId="8" hidden="1">#REF!</definedName>
    <definedName name="cchart2" hidden="1">#REF!</definedName>
    <definedName name="cchart4" localSheetId="8" hidden="1">#REF!</definedName>
    <definedName name="cchart4" hidden="1">#REF!</definedName>
    <definedName name="cchart5" hidden="1">#REF!</definedName>
    <definedName name="cd" localSheetId="8" hidden="1">{"People Table",#N/A,FALSE,"Sheet1";"Function table",#N/A,FALSE,"Sheet1"}</definedName>
    <definedName name="cd" hidden="1">{"People Table",#N/A,FALSE,"Sheet1";"Function table",#N/A,FALSE,"Sheet1"}</definedName>
    <definedName name="cdcdc" hidden="1">1</definedName>
    <definedName name="CDDCA" hidden="1">#REF!</definedName>
    <definedName name="cdds" localSheetId="8" hidden="1">{"detail",#N/A,FALSE,"mfg";"summary",#N/A,FALSE,"mfg"}</definedName>
    <definedName name="cdds" hidden="1">{"detail",#N/A,FALSE,"mfg";"summary",#N/A,FALSE,"mfg"}</definedName>
    <definedName name="cdf" localSheetId="8" hidden="1">{"sales growth",#N/A,FALSE,"summary";"oper income",#N/A,FALSE,"summary";"oros rank",#N/A,FALSE,"summary";"net assets",#N/A,FALSE,"summary";"asset turnover",#N/A,FALSE,"summary";"orona",#N/A,FALSE,"summary"}</definedName>
    <definedName name="cdf" hidden="1">{"sales growth",#N/A,FALSE,"summary";"oper income",#N/A,FALSE,"summary";"oros rank",#N/A,FALSE,"summary";"net assets",#N/A,FALSE,"summary";"asset turnover",#N/A,FALSE,"summary";"orona",#N/A,FALSE,"summary"}</definedName>
    <definedName name="cds" localSheetId="8" hidden="1">{"detail",#N/A,FALSE,"mfg";"summary",#N/A,FALSE,"mfg"}</definedName>
    <definedName name="cds" hidden="1">{"detail",#N/A,FALSE,"mfg";"summary",#N/A,FALSE,"mfg"}</definedName>
    <definedName name="ce" hidden="1">#REF!</definedName>
    <definedName name="cea" localSheetId="8" hidden="1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cea" hidden="1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ceawr" localSheetId="8" hidden="1">{"werbung",#N/A,FALSE,"GuV9900-0399";"betrieb",#N/A,FALSE,"GuV9900-0399";"personal",#N/A,FALSE,"GuV9900-0399";"tvg",#N/A,FALSE,"GuV9900-0399";"verwaltung",#N/A,FALSE,"GuV9900-0399"}</definedName>
    <definedName name="ceawr" hidden="1">{"werbung",#N/A,FALSE,"GuV9900-0399";"betrieb",#N/A,FALSE,"GuV9900-0399";"personal",#N/A,FALSE,"GuV9900-0399";"tvg",#N/A,FALSE,"GuV9900-0399";"verwaltung",#N/A,FALSE,"GuV9900-0399"}</definedName>
    <definedName name="ceawr_1" localSheetId="8" hidden="1">{"werbung",#N/A,FALSE,"GuV9900-0399";"betrieb",#N/A,FALSE,"GuV9900-0399";"personal",#N/A,FALSE,"GuV9900-0399";"tvg",#N/A,FALSE,"GuV9900-0399";"verwaltung",#N/A,FALSE,"GuV9900-0399"}</definedName>
    <definedName name="ceawr_1" hidden="1">{"werbung",#N/A,FALSE,"GuV9900-0399";"betrieb",#N/A,FALSE,"GuV9900-0399";"personal",#N/A,FALSE,"GuV9900-0399";"tvg",#N/A,FALSE,"GuV9900-0399";"verwaltung",#N/A,FALSE,"GuV9900-0399"}</definedName>
    <definedName name="CellStream" localSheetId="8" hidden="1">{"Profit",#N/A,FALSE,"4500(8P)";"Capital",#N/A,FALSE,"4500(8P)"}</definedName>
    <definedName name="CellStream" hidden="1">{"Profit",#N/A,FALSE,"4500(8P)";"Capital",#N/A,FALSE,"4500(8P)"}</definedName>
    <definedName name="cew" localSheetId="8" hidden="1">{"ICD Details",#N/A,FALSE,"Current Yr";"ICD Details",#N/A,FALSE,"Budget";"ICD Details",#N/A,FALSE,"Prior Year"}</definedName>
    <definedName name="cew" hidden="1">{"ICD Details",#N/A,FALSE,"Current Yr";"ICD Details",#N/A,FALSE,"Budget";"ICD Details",#N/A,FALSE,"Prior Year"}</definedName>
    <definedName name="cf" localSheetId="8" hidden="1">{"detail",#N/A,FALSE,"mfg";"summary",#N/A,FALSE,"mfg"}</definedName>
    <definedName name="cf" hidden="1">{"detail",#N/A,FALSE,"mfg";"summary",#N/A,FALSE,"mfg"}</definedName>
    <definedName name="cfd" localSheetId="8" hidden="1">{"ProductCo PSTN Lines",#N/A,FALSE,"ProductCo Lines Output"}</definedName>
    <definedName name="cfd" hidden="1">{"ProductCo PSTN Lines",#N/A,FALSE,"ProductCo Lines Output"}</definedName>
    <definedName name="cfdgdhtrgtrh" localSheetId="8" hidden="1">{#N/A,#N/A,FALSE,"Centres";#N/A,#N/A,FALSE,"Partenariats";#N/A,#N/A,FALSE,"P.Diverses";#N/A,#N/A,FALSE,"Adm";#N/A,#N/A,FALSE,"Autres R-D";#N/A,#N/A,FALSE,"Intérêts"}</definedName>
    <definedName name="cfdgdhtrgtrh" hidden="1">{#N/A,#N/A,FALSE,"Centres";#N/A,#N/A,FALSE,"Partenariats";#N/A,#N/A,FALSE,"P.Diverses";#N/A,#N/A,FALSE,"Adm";#N/A,#N/A,FALSE,"Autres R-D";#N/A,#N/A,FALSE,"Intérêts"}</definedName>
    <definedName name="cff" localSheetId="8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cff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cff_1" localSheetId="8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cff_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cfg" localSheetId="8" hidden="1">{"Act_vs_Budget",#N/A,FALSE,"QTRDPVAR";"Act_vs_Prior_Year",#N/A,FALSE,"QTRDPVAR"}</definedName>
    <definedName name="cfg" hidden="1">{"Act_vs_Budget",#N/A,FALSE,"QTRDPVAR";"Act_vs_Prior_Year",#N/A,FALSE,"QTRDPVAR"}</definedName>
    <definedName name="cfjcfcfgc" localSheetId="8" hidden="1">#REF!</definedName>
    <definedName name="cfjcfcfgc" hidden="1">#REF!</definedName>
    <definedName name="cfs" localSheetId="8" hidden="1">{"YD LOUISIANA",#N/A,FALSE,"YTD"}</definedName>
    <definedName name="cfs" hidden="1">{"YD LOUISIANA",#N/A,FALSE,"YTD"}</definedName>
    <definedName name="CG" hidden="1">#REF!</definedName>
    <definedName name="cgbcvh" localSheetId="8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cgbcvh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cgbcvh_1" localSheetId="8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cgbcvh_1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cgc" localSheetId="8" hidden="1">{#N/A,#N/A,FALSE,"projcf";#N/A,#N/A,FALSE,"Projline";#N/A,#N/A,FALSE,"bankline";#N/A,#N/A,FALSE,"Fast95is";#N/A,#N/A,FALSE,"tool95is";#N/A,#N/A,FALSE,"tot95is";#N/A,#N/A,FALSE,"tool950h";#N/A,#N/A,FALSE,"fas95oh";#N/A,#N/A,FALSE,"tot95oh";#N/A,#N/A,FALSE,"95sga";#N/A,#N/A,FALSE,"95projcf";#N/A,#N/A,FALSE,"95loc";#N/A,#N/A,FALSE,"95bankline"}</definedName>
    <definedName name="cgc" hidden="1">{#N/A,#N/A,FALSE,"projcf";#N/A,#N/A,FALSE,"Projline";#N/A,#N/A,FALSE,"bankline";#N/A,#N/A,FALSE,"Fast95is";#N/A,#N/A,FALSE,"tool95is";#N/A,#N/A,FALSE,"tot95is";#N/A,#N/A,FALSE,"tool950h";#N/A,#N/A,FALSE,"fas95oh";#N/A,#N/A,FALSE,"tot95oh";#N/A,#N/A,FALSE,"95sga";#N/A,#N/A,FALSE,"95projcf";#N/A,#N/A,FALSE,"95loc";#N/A,#N/A,FALSE,"95bankline"}</definedName>
    <definedName name="cgc_1" localSheetId="8" hidden="1">{#N/A,#N/A,FALSE,"projcf";#N/A,#N/A,FALSE,"Projline";#N/A,#N/A,FALSE,"bankline";#N/A,#N/A,FALSE,"Fast95is";#N/A,#N/A,FALSE,"tool95is";#N/A,#N/A,FALSE,"tot95is";#N/A,#N/A,FALSE,"tool950h";#N/A,#N/A,FALSE,"fas95oh";#N/A,#N/A,FALSE,"tot95oh";#N/A,#N/A,FALSE,"95sga";#N/A,#N/A,FALSE,"95projcf";#N/A,#N/A,FALSE,"95loc";#N/A,#N/A,FALSE,"95bankline"}</definedName>
    <definedName name="cgc_1" hidden="1">{#N/A,#N/A,FALSE,"projcf";#N/A,#N/A,FALSE,"Projline";#N/A,#N/A,FALSE,"bankline";#N/A,#N/A,FALSE,"Fast95is";#N/A,#N/A,FALSE,"tool95is";#N/A,#N/A,FALSE,"tot95is";#N/A,#N/A,FALSE,"tool950h";#N/A,#N/A,FALSE,"fas95oh";#N/A,#N/A,FALSE,"tot95oh";#N/A,#N/A,FALSE,"95sga";#N/A,#N/A,FALSE,"95projcf";#N/A,#N/A,FALSE,"95loc";#N/A,#N/A,FALSE,"95bankline"}</definedName>
    <definedName name="cggcc" localSheetId="8" hidden="1">{#N/A,#N/A,FALSE,"F94is";#N/A,#N/A,FALSE,"T94is";#N/A,#N/A,FALSE,"TOT94is";#N/A,#N/A,FALSE,"f94oh";#N/A,#N/A,FALSE,"Toh94";#N/A,#N/A,FALSE,"TOT94oh";#N/A,#N/A,FALSE,"SGA94";#N/A,#N/A,FALSE,"bs94";#N/A,#N/A,FALSE,"debt";#N/A,#N/A,FALSE,"f94proj";#N/A,#N/A,FALSE,"t94proj";#N/A,#N/A,FALSE,"tot94proj";#N/A,#N/A,FALSE,"f94ohproj";#N/A,#N/A,FALSE,"t94ohproj";#N/A,#N/A,FALSE,"tot94ohproj";#N/A,#N/A,FALSE,"projsga";#N/A,#N/A,FALSE,"projcf";#N/A,#N/A,FALSE,"Projline";#N/A,#N/A,FALSE,"bankline";#N/A,#N/A,FALSE,"Fast95is";#N/A,#N/A,FALSE,"tool95is";#N/A,#N/A,FALSE,"tot95is";#N/A,#N/A,FALSE,"tool950h";#N/A,#N/A,FALSE,"fas95oh";#N/A,#N/A,FALSE,"tot95oh";#N/A,#N/A,FALSE,"95sga"}</definedName>
    <definedName name="cggcc" hidden="1">{#N/A,#N/A,FALSE,"F94is";#N/A,#N/A,FALSE,"T94is";#N/A,#N/A,FALSE,"TOT94is";#N/A,#N/A,FALSE,"f94oh";#N/A,#N/A,FALSE,"Toh94";#N/A,#N/A,FALSE,"TOT94oh";#N/A,#N/A,FALSE,"SGA94";#N/A,#N/A,FALSE,"bs94";#N/A,#N/A,FALSE,"debt";#N/A,#N/A,FALSE,"f94proj";#N/A,#N/A,FALSE,"t94proj";#N/A,#N/A,FALSE,"tot94proj";#N/A,#N/A,FALSE,"f94ohproj";#N/A,#N/A,FALSE,"t94ohproj";#N/A,#N/A,FALSE,"tot94ohproj";#N/A,#N/A,FALSE,"projsga";#N/A,#N/A,FALSE,"projcf";#N/A,#N/A,FALSE,"Projline";#N/A,#N/A,FALSE,"bankline";#N/A,#N/A,FALSE,"Fast95is";#N/A,#N/A,FALSE,"tool95is";#N/A,#N/A,FALSE,"tot95is";#N/A,#N/A,FALSE,"tool950h";#N/A,#N/A,FALSE,"fas95oh";#N/A,#N/A,FALSE,"tot95oh";#N/A,#N/A,FALSE,"95sga"}</definedName>
    <definedName name="cggcc_1" localSheetId="8" hidden="1">{#N/A,#N/A,FALSE,"F94is";#N/A,#N/A,FALSE,"T94is";#N/A,#N/A,FALSE,"TOT94is";#N/A,#N/A,FALSE,"f94oh";#N/A,#N/A,FALSE,"Toh94";#N/A,#N/A,FALSE,"TOT94oh";#N/A,#N/A,FALSE,"SGA94";#N/A,#N/A,FALSE,"bs94";#N/A,#N/A,FALSE,"debt";#N/A,#N/A,FALSE,"f94proj";#N/A,#N/A,FALSE,"t94proj";#N/A,#N/A,FALSE,"tot94proj";#N/A,#N/A,FALSE,"f94ohproj";#N/A,#N/A,FALSE,"t94ohproj";#N/A,#N/A,FALSE,"tot94ohproj";#N/A,#N/A,FALSE,"projsga";#N/A,#N/A,FALSE,"projcf";#N/A,#N/A,FALSE,"Projline";#N/A,#N/A,FALSE,"bankline";#N/A,#N/A,FALSE,"Fast95is";#N/A,#N/A,FALSE,"tool95is";#N/A,#N/A,FALSE,"tot95is";#N/A,#N/A,FALSE,"tool950h";#N/A,#N/A,FALSE,"fas95oh";#N/A,#N/A,FALSE,"tot95oh";#N/A,#N/A,FALSE,"95sga"}</definedName>
    <definedName name="cggcc_1" hidden="1">{#N/A,#N/A,FALSE,"F94is";#N/A,#N/A,FALSE,"T94is";#N/A,#N/A,FALSE,"TOT94is";#N/A,#N/A,FALSE,"f94oh";#N/A,#N/A,FALSE,"Toh94";#N/A,#N/A,FALSE,"TOT94oh";#N/A,#N/A,FALSE,"SGA94";#N/A,#N/A,FALSE,"bs94";#N/A,#N/A,FALSE,"debt";#N/A,#N/A,FALSE,"f94proj";#N/A,#N/A,FALSE,"t94proj";#N/A,#N/A,FALSE,"tot94proj";#N/A,#N/A,FALSE,"f94ohproj";#N/A,#N/A,FALSE,"t94ohproj";#N/A,#N/A,FALSE,"tot94ohproj";#N/A,#N/A,FALSE,"projsga";#N/A,#N/A,FALSE,"projcf";#N/A,#N/A,FALSE,"Projline";#N/A,#N/A,FALSE,"bankline";#N/A,#N/A,FALSE,"Fast95is";#N/A,#N/A,FALSE,"tool95is";#N/A,#N/A,FALSE,"tot95is";#N/A,#N/A,FALSE,"tool950h";#N/A,#N/A,FALSE,"fas95oh";#N/A,#N/A,FALSE,"tot95oh";#N/A,#N/A,FALSE,"95sga"}</definedName>
    <definedName name="cggch" localSheetId="8" hidden="1">{#N/A,#N/A,FALSE,"debt";#N/A,#N/A,FALSE,"apsort";#N/A,#N/A,FALSE,"AR"}</definedName>
    <definedName name="cggch" hidden="1">{#N/A,#N/A,FALSE,"debt";#N/A,#N/A,FALSE,"apsort";#N/A,#N/A,FALSE,"AR"}</definedName>
    <definedName name="cggch_1" localSheetId="8" hidden="1">{#N/A,#N/A,FALSE,"debt";#N/A,#N/A,FALSE,"apsort";#N/A,#N/A,FALSE,"AR"}</definedName>
    <definedName name="cggch_1" hidden="1">{#N/A,#N/A,FALSE,"debt";#N/A,#N/A,FALSE,"apsort";#N/A,#N/A,FALSE,"AR"}</definedName>
    <definedName name="cggh" localSheetId="8" hidden="1">{#N/A,#N/A,TRUE,"consinc";#N/A,#N/A,TRUE,"consproj";#N/A,#N/A,TRUE,"deminc";#N/A,#N/A,TRUE,"incproj";#N/A,#N/A,TRUE,"demman";#N/A,#N/A,TRUE,"manproj";#N/A,#N/A,TRUE,"S&amp;Gact";#N/A,#N/A,TRUE,"S&amp;Gproj ";#N/A,#N/A,TRUE,"dengis";#N/A,#N/A,TRUE,"dengisproj";#N/A,#N/A,TRUE,"mitinc";#N/A,#N/A,TRUE,"mitincproj";#N/A,#N/A,TRUE,"mits&amp;G";#N/A,#N/A,TRUE,"mits&amp;gproj";#N/A,#N/A,TRUE,"arcis";#N/A,#N/A,TRUE,"arcproj";#N/A,#N/A,TRUE,"ampinc";#N/A,#N/A,TRUE,"ampincproj";#N/A,#N/A,TRUE,"ampman";#N/A,#N/A,TRUE,"ampmanproj";#N/A,#N/A,TRUE,"ampS&amp;G";#N/A,#N/A,TRUE,"amps&amp;GProj"}</definedName>
    <definedName name="cggh" hidden="1">{#N/A,#N/A,TRUE,"consinc";#N/A,#N/A,TRUE,"consproj";#N/A,#N/A,TRUE,"deminc";#N/A,#N/A,TRUE,"incproj";#N/A,#N/A,TRUE,"demman";#N/A,#N/A,TRUE,"manproj";#N/A,#N/A,TRUE,"S&amp;Gact";#N/A,#N/A,TRUE,"S&amp;Gproj ";#N/A,#N/A,TRUE,"dengis";#N/A,#N/A,TRUE,"dengisproj";#N/A,#N/A,TRUE,"mitinc";#N/A,#N/A,TRUE,"mitincproj";#N/A,#N/A,TRUE,"mits&amp;G";#N/A,#N/A,TRUE,"mits&amp;gproj";#N/A,#N/A,TRUE,"arcis";#N/A,#N/A,TRUE,"arcproj";#N/A,#N/A,TRUE,"ampinc";#N/A,#N/A,TRUE,"ampincproj";#N/A,#N/A,TRUE,"ampman";#N/A,#N/A,TRUE,"ampmanproj";#N/A,#N/A,TRUE,"ampS&amp;G";#N/A,#N/A,TRUE,"amps&amp;GProj"}</definedName>
    <definedName name="cggh_1" localSheetId="8" hidden="1">{#N/A,#N/A,TRUE,"consinc";#N/A,#N/A,TRUE,"consproj";#N/A,#N/A,TRUE,"deminc";#N/A,#N/A,TRUE,"incproj";#N/A,#N/A,TRUE,"demman";#N/A,#N/A,TRUE,"manproj";#N/A,#N/A,TRUE,"S&amp;Gact";#N/A,#N/A,TRUE,"S&amp;Gproj ";#N/A,#N/A,TRUE,"dengis";#N/A,#N/A,TRUE,"dengisproj";#N/A,#N/A,TRUE,"mitinc";#N/A,#N/A,TRUE,"mitincproj";#N/A,#N/A,TRUE,"mits&amp;G";#N/A,#N/A,TRUE,"mits&amp;gproj";#N/A,#N/A,TRUE,"arcis";#N/A,#N/A,TRUE,"arcproj";#N/A,#N/A,TRUE,"ampinc";#N/A,#N/A,TRUE,"ampincproj";#N/A,#N/A,TRUE,"ampman";#N/A,#N/A,TRUE,"ampmanproj";#N/A,#N/A,TRUE,"ampS&amp;G";#N/A,#N/A,TRUE,"amps&amp;GProj"}</definedName>
    <definedName name="cggh_1" hidden="1">{#N/A,#N/A,TRUE,"consinc";#N/A,#N/A,TRUE,"consproj";#N/A,#N/A,TRUE,"deminc";#N/A,#N/A,TRUE,"incproj";#N/A,#N/A,TRUE,"demman";#N/A,#N/A,TRUE,"manproj";#N/A,#N/A,TRUE,"S&amp;Gact";#N/A,#N/A,TRUE,"S&amp;Gproj ";#N/A,#N/A,TRUE,"dengis";#N/A,#N/A,TRUE,"dengisproj";#N/A,#N/A,TRUE,"mitinc";#N/A,#N/A,TRUE,"mitincproj";#N/A,#N/A,TRUE,"mits&amp;G";#N/A,#N/A,TRUE,"mits&amp;gproj";#N/A,#N/A,TRUE,"arcis";#N/A,#N/A,TRUE,"arcproj";#N/A,#N/A,TRUE,"ampinc";#N/A,#N/A,TRUE,"ampincproj";#N/A,#N/A,TRUE,"ampman";#N/A,#N/A,TRUE,"ampmanproj";#N/A,#N/A,TRUE,"ampS&amp;G";#N/A,#N/A,TRUE,"amps&amp;GProj"}</definedName>
    <definedName name="cghc" localSheetId="8" hidden="1">{#N/A,#N/A,TRUE,"consinc";#N/A,#N/A,TRUE,"consproj";#N/A,#N/A,TRUE,"deminc";#N/A,#N/A,TRUE,"incproj";#N/A,#N/A,TRUE,"demman";#N/A,#N/A,TRUE,"manproj";#N/A,#N/A,TRUE,"S&amp;Gact";#N/A,#N/A,TRUE,"S&amp;Gproj ";#N/A,#N/A,TRUE,"dengis";#N/A,#N/A,TRUE,"dengisproj";#N/A,#N/A,TRUE,"mitinc";#N/A,#N/A,TRUE,"mitincproj";#N/A,#N/A,TRUE,"mits&amp;G";#N/A,#N/A,TRUE,"mits&amp;gproj";#N/A,#N/A,TRUE,"arcis";#N/A,#N/A,TRUE,"arcproj";#N/A,#N/A,TRUE,"ampinc";#N/A,#N/A,TRUE,"ampincproj";#N/A,#N/A,TRUE,"ampman";#N/A,#N/A,TRUE,"ampmanproj";#N/A,#N/A,TRUE,"ampS&amp;G";#N/A,#N/A,TRUE,"amps&amp;GProj"}</definedName>
    <definedName name="cghc" hidden="1">{#N/A,#N/A,TRUE,"consinc";#N/A,#N/A,TRUE,"consproj";#N/A,#N/A,TRUE,"deminc";#N/A,#N/A,TRUE,"incproj";#N/A,#N/A,TRUE,"demman";#N/A,#N/A,TRUE,"manproj";#N/A,#N/A,TRUE,"S&amp;Gact";#N/A,#N/A,TRUE,"S&amp;Gproj ";#N/A,#N/A,TRUE,"dengis";#N/A,#N/A,TRUE,"dengisproj";#N/A,#N/A,TRUE,"mitinc";#N/A,#N/A,TRUE,"mitincproj";#N/A,#N/A,TRUE,"mits&amp;G";#N/A,#N/A,TRUE,"mits&amp;gproj";#N/A,#N/A,TRUE,"arcis";#N/A,#N/A,TRUE,"arcproj";#N/A,#N/A,TRUE,"ampinc";#N/A,#N/A,TRUE,"ampincproj";#N/A,#N/A,TRUE,"ampman";#N/A,#N/A,TRUE,"ampmanproj";#N/A,#N/A,TRUE,"ampS&amp;G";#N/A,#N/A,TRUE,"amps&amp;GProj"}</definedName>
    <definedName name="cghc_1" localSheetId="8" hidden="1">{#N/A,#N/A,TRUE,"consinc";#N/A,#N/A,TRUE,"consproj";#N/A,#N/A,TRUE,"deminc";#N/A,#N/A,TRUE,"incproj";#N/A,#N/A,TRUE,"demman";#N/A,#N/A,TRUE,"manproj";#N/A,#N/A,TRUE,"S&amp;Gact";#N/A,#N/A,TRUE,"S&amp;Gproj ";#N/A,#N/A,TRUE,"dengis";#N/A,#N/A,TRUE,"dengisproj";#N/A,#N/A,TRUE,"mitinc";#N/A,#N/A,TRUE,"mitincproj";#N/A,#N/A,TRUE,"mits&amp;G";#N/A,#N/A,TRUE,"mits&amp;gproj";#N/A,#N/A,TRUE,"arcis";#N/A,#N/A,TRUE,"arcproj";#N/A,#N/A,TRUE,"ampinc";#N/A,#N/A,TRUE,"ampincproj";#N/A,#N/A,TRUE,"ampman";#N/A,#N/A,TRUE,"ampmanproj";#N/A,#N/A,TRUE,"ampS&amp;G";#N/A,#N/A,TRUE,"amps&amp;GProj"}</definedName>
    <definedName name="cghc_1" hidden="1">{#N/A,#N/A,TRUE,"consinc";#N/A,#N/A,TRUE,"consproj";#N/A,#N/A,TRUE,"deminc";#N/A,#N/A,TRUE,"incproj";#N/A,#N/A,TRUE,"demman";#N/A,#N/A,TRUE,"manproj";#N/A,#N/A,TRUE,"S&amp;Gact";#N/A,#N/A,TRUE,"S&amp;Gproj ";#N/A,#N/A,TRUE,"dengis";#N/A,#N/A,TRUE,"dengisproj";#N/A,#N/A,TRUE,"mitinc";#N/A,#N/A,TRUE,"mitincproj";#N/A,#N/A,TRUE,"mits&amp;G";#N/A,#N/A,TRUE,"mits&amp;gproj";#N/A,#N/A,TRUE,"arcis";#N/A,#N/A,TRUE,"arcproj";#N/A,#N/A,TRUE,"ampinc";#N/A,#N/A,TRUE,"ampincproj";#N/A,#N/A,TRUE,"ampman";#N/A,#N/A,TRUE,"ampmanproj";#N/A,#N/A,TRUE,"ampS&amp;G";#N/A,#N/A,TRUE,"amps&amp;GProj"}</definedName>
    <definedName name="cghcg" localSheetId="8" hidden="1">{#N/A,#N/A,FALSE,"projcf";#N/A,#N/A,FALSE,"Projline";#N/A,#N/A,FALSE,"bankline";#N/A,#N/A,FALSE,"Fast95is";#N/A,#N/A,FALSE,"tool95is";#N/A,#N/A,FALSE,"tot95is";#N/A,#N/A,FALSE,"tool950h";#N/A,#N/A,FALSE,"fas95oh";#N/A,#N/A,FALSE,"tot95oh";#N/A,#N/A,FALSE,"95sga";#N/A,#N/A,FALSE,"95projcf";#N/A,#N/A,FALSE,"95loc";#N/A,#N/A,FALSE,"95bankline"}</definedName>
    <definedName name="cghcg" hidden="1">{#N/A,#N/A,FALSE,"projcf";#N/A,#N/A,FALSE,"Projline";#N/A,#N/A,FALSE,"bankline";#N/A,#N/A,FALSE,"Fast95is";#N/A,#N/A,FALSE,"tool95is";#N/A,#N/A,FALSE,"tot95is";#N/A,#N/A,FALSE,"tool950h";#N/A,#N/A,FALSE,"fas95oh";#N/A,#N/A,FALSE,"tot95oh";#N/A,#N/A,FALSE,"95sga";#N/A,#N/A,FALSE,"95projcf";#N/A,#N/A,FALSE,"95loc";#N/A,#N/A,FALSE,"95bankline"}</definedName>
    <definedName name="cghcg_1" localSheetId="8" hidden="1">{#N/A,#N/A,FALSE,"projcf";#N/A,#N/A,FALSE,"Projline";#N/A,#N/A,FALSE,"bankline";#N/A,#N/A,FALSE,"Fast95is";#N/A,#N/A,FALSE,"tool95is";#N/A,#N/A,FALSE,"tot95is";#N/A,#N/A,FALSE,"tool950h";#N/A,#N/A,FALSE,"fas95oh";#N/A,#N/A,FALSE,"tot95oh";#N/A,#N/A,FALSE,"95sga";#N/A,#N/A,FALSE,"95projcf";#N/A,#N/A,FALSE,"95loc";#N/A,#N/A,FALSE,"95bankline"}</definedName>
    <definedName name="cghcg_1" hidden="1">{#N/A,#N/A,FALSE,"projcf";#N/A,#N/A,FALSE,"Projline";#N/A,#N/A,FALSE,"bankline";#N/A,#N/A,FALSE,"Fast95is";#N/A,#N/A,FALSE,"tool95is";#N/A,#N/A,FALSE,"tot95is";#N/A,#N/A,FALSE,"tool950h";#N/A,#N/A,FALSE,"fas95oh";#N/A,#N/A,FALSE,"tot95oh";#N/A,#N/A,FALSE,"95sga";#N/A,#N/A,FALSE,"95projcf";#N/A,#N/A,FALSE,"95loc";#N/A,#N/A,FALSE,"95bankline"}</definedName>
    <definedName name="cghcgh" localSheetId="8" hidden="1">{#N/A,#N/A,TRUE,"consinc";#N/A,#N/A,TRUE,"consproj";#N/A,#N/A,TRUE,"deminc";#N/A,#N/A,TRUE,"incproj";#N/A,#N/A,TRUE,"demman";#N/A,#N/A,TRUE,"manproj";#N/A,#N/A,TRUE,"S&amp;Gact";#N/A,#N/A,TRUE,"S&amp;Gproj ";#N/A,#N/A,TRUE,"dengis";#N/A,#N/A,TRUE,"dengisproj";#N/A,#N/A,TRUE,"mitinc";#N/A,#N/A,TRUE,"mitincproj";#N/A,#N/A,TRUE,"mits&amp;G";#N/A,#N/A,TRUE,"mits&amp;gproj";#N/A,#N/A,TRUE,"arcis";#N/A,#N/A,TRUE,"arcproj";#N/A,#N/A,TRUE,"ampinc";#N/A,#N/A,TRUE,"ampincproj";#N/A,#N/A,TRUE,"ampman";#N/A,#N/A,TRUE,"ampmanproj";#N/A,#N/A,TRUE,"ampS&amp;G";#N/A,#N/A,TRUE,"amps&amp;GProj"}</definedName>
    <definedName name="cghcgh" hidden="1">{#N/A,#N/A,TRUE,"consinc";#N/A,#N/A,TRUE,"consproj";#N/A,#N/A,TRUE,"deminc";#N/A,#N/A,TRUE,"incproj";#N/A,#N/A,TRUE,"demman";#N/A,#N/A,TRUE,"manproj";#N/A,#N/A,TRUE,"S&amp;Gact";#N/A,#N/A,TRUE,"S&amp;Gproj ";#N/A,#N/A,TRUE,"dengis";#N/A,#N/A,TRUE,"dengisproj";#N/A,#N/A,TRUE,"mitinc";#N/A,#N/A,TRUE,"mitincproj";#N/A,#N/A,TRUE,"mits&amp;G";#N/A,#N/A,TRUE,"mits&amp;gproj";#N/A,#N/A,TRUE,"arcis";#N/A,#N/A,TRUE,"arcproj";#N/A,#N/A,TRUE,"ampinc";#N/A,#N/A,TRUE,"ampincproj";#N/A,#N/A,TRUE,"ampman";#N/A,#N/A,TRUE,"ampmanproj";#N/A,#N/A,TRUE,"ampS&amp;G";#N/A,#N/A,TRUE,"amps&amp;GProj"}</definedName>
    <definedName name="cghcgh_1" localSheetId="8" hidden="1">{#N/A,#N/A,TRUE,"consinc";#N/A,#N/A,TRUE,"consproj";#N/A,#N/A,TRUE,"deminc";#N/A,#N/A,TRUE,"incproj";#N/A,#N/A,TRUE,"demman";#N/A,#N/A,TRUE,"manproj";#N/A,#N/A,TRUE,"S&amp;Gact";#N/A,#N/A,TRUE,"S&amp;Gproj ";#N/A,#N/A,TRUE,"dengis";#N/A,#N/A,TRUE,"dengisproj";#N/A,#N/A,TRUE,"mitinc";#N/A,#N/A,TRUE,"mitincproj";#N/A,#N/A,TRUE,"mits&amp;G";#N/A,#N/A,TRUE,"mits&amp;gproj";#N/A,#N/A,TRUE,"arcis";#N/A,#N/A,TRUE,"arcproj";#N/A,#N/A,TRUE,"ampinc";#N/A,#N/A,TRUE,"ampincproj";#N/A,#N/A,TRUE,"ampman";#N/A,#N/A,TRUE,"ampmanproj";#N/A,#N/A,TRUE,"ampS&amp;G";#N/A,#N/A,TRUE,"amps&amp;GProj"}</definedName>
    <definedName name="cghcgh_1" hidden="1">{#N/A,#N/A,TRUE,"consinc";#N/A,#N/A,TRUE,"consproj";#N/A,#N/A,TRUE,"deminc";#N/A,#N/A,TRUE,"incproj";#N/A,#N/A,TRUE,"demman";#N/A,#N/A,TRUE,"manproj";#N/A,#N/A,TRUE,"S&amp;Gact";#N/A,#N/A,TRUE,"S&amp;Gproj ";#N/A,#N/A,TRUE,"dengis";#N/A,#N/A,TRUE,"dengisproj";#N/A,#N/A,TRUE,"mitinc";#N/A,#N/A,TRUE,"mitincproj";#N/A,#N/A,TRUE,"mits&amp;G";#N/A,#N/A,TRUE,"mits&amp;gproj";#N/A,#N/A,TRUE,"arcis";#N/A,#N/A,TRUE,"arcproj";#N/A,#N/A,TRUE,"ampinc";#N/A,#N/A,TRUE,"ampincproj";#N/A,#N/A,TRUE,"ampman";#N/A,#N/A,TRUE,"ampmanproj";#N/A,#N/A,TRUE,"ampS&amp;G";#N/A,#N/A,TRUE,"amps&amp;GProj"}</definedName>
    <definedName name="cghcghc" localSheetId="8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cghcghc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cghcghc_1" localSheetId="8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cghcghc_1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cghgc" localSheetId="8" hidden="1">{"fssum01",#N/A,FALSE,"fssum";"fssum02",#N/A,FALSE,"fssum"}</definedName>
    <definedName name="cghgc" hidden="1">{"fssum01",#N/A,FALSE,"fssum";"fssum02",#N/A,FALSE,"fssum"}</definedName>
    <definedName name="cghgc_1" localSheetId="8" hidden="1">{"fssum01",#N/A,FALSE,"fssum";"fssum02",#N/A,FALSE,"fssum"}</definedName>
    <definedName name="cghgc_1" hidden="1">{"fssum01",#N/A,FALSE,"fssum";"fssum02",#N/A,FALSE,"fssum"}</definedName>
    <definedName name="cghgcgch" localSheetId="8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cghgcgch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cghgcgch_1" localSheetId="8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cghgcgch_1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cghgch" localSheetId="8" hidden="1">{"pl9601",#N/A,FALSE,"PL96";"pl9602",#N/A,FALSE,"PL96";"pl9603",#N/A,FALSE,"PL96";"PL9604",#N/A,FALSE,"PL96";"pl9605",#N/A,FALSE,"PL96";"pl9606",#N/A,FALSE,"PL96";"pl9607",#N/A,FALSE,"PL96";"pl9608",#N/A,FALSE,"PL96";"pl9609",#N/A,FALSE,"PL96";"pl9610",#N/A,FALSE,"PL96";"pl9611",#N/A,FALSE,"PL96";"fssum01",#N/A,FALSE,"fssum";"fssum02",#N/A,FALSE,"fssum"}</definedName>
    <definedName name="cghgch" hidden="1">{"pl9601",#N/A,FALSE,"PL96";"pl9602",#N/A,FALSE,"PL96";"pl9603",#N/A,FALSE,"PL96";"PL9604",#N/A,FALSE,"PL96";"pl9605",#N/A,FALSE,"PL96";"pl9606",#N/A,FALSE,"PL96";"pl9607",#N/A,FALSE,"PL96";"pl9608",#N/A,FALSE,"PL96";"pl9609",#N/A,FALSE,"PL96";"pl9610",#N/A,FALSE,"PL96";"pl9611",#N/A,FALSE,"PL96";"fssum01",#N/A,FALSE,"fssum";"fssum02",#N/A,FALSE,"fssum"}</definedName>
    <definedName name="cghgch_1" localSheetId="8" hidden="1">{"pl9601",#N/A,FALSE,"PL96";"pl9602",#N/A,FALSE,"PL96";"pl9603",#N/A,FALSE,"PL96";"PL9604",#N/A,FALSE,"PL96";"pl9605",#N/A,FALSE,"PL96";"pl9606",#N/A,FALSE,"PL96";"pl9607",#N/A,FALSE,"PL96";"pl9608",#N/A,FALSE,"PL96";"pl9609",#N/A,FALSE,"PL96";"pl9610",#N/A,FALSE,"PL96";"pl9611",#N/A,FALSE,"PL96";"fssum01",#N/A,FALSE,"fssum";"fssum02",#N/A,FALSE,"fssum"}</definedName>
    <definedName name="cghgch_1" hidden="1">{"pl9601",#N/A,FALSE,"PL96";"pl9602",#N/A,FALSE,"PL96";"pl9603",#N/A,FALSE,"PL96";"PL9604",#N/A,FALSE,"PL96";"pl9605",#N/A,FALSE,"PL96";"pl9606",#N/A,FALSE,"PL96";"pl9607",#N/A,FALSE,"PL96";"pl9608",#N/A,FALSE,"PL96";"pl9609",#N/A,FALSE,"PL96";"pl9610",#N/A,FALSE,"PL96";"pl9611",#N/A,FALSE,"PL96";"fssum01",#N/A,FALSE,"fssum";"fssum02",#N/A,FALSE,"fssum"}</definedName>
    <definedName name="ch" localSheetId="8" hidden="1">{#N/A,#N/A,TRUE,"consinc";#N/A,#N/A,TRUE,"consproj";#N/A,#N/A,TRUE,"deminc";#N/A,#N/A,TRUE,"incproj";#N/A,#N/A,TRUE,"demman";#N/A,#N/A,TRUE,"manproj";#N/A,#N/A,TRUE,"S&amp;Gact";#N/A,#N/A,TRUE,"S&amp;Gproj ";#N/A,#N/A,TRUE,"dengis";#N/A,#N/A,TRUE,"dengisproj";#N/A,#N/A,TRUE,"mitinc";#N/A,#N/A,TRUE,"mitincproj";#N/A,#N/A,TRUE,"mits&amp;G";#N/A,#N/A,TRUE,"mits&amp;gproj";#N/A,#N/A,TRUE,"arcis";#N/A,#N/A,TRUE,"arcproj";#N/A,#N/A,TRUE,"ampinc";#N/A,#N/A,TRUE,"ampincproj";#N/A,#N/A,TRUE,"ampman";#N/A,#N/A,TRUE,"ampmanproj";#N/A,#N/A,TRUE,"ampS&amp;G";#N/A,#N/A,TRUE,"amps&amp;GProj"}</definedName>
    <definedName name="ch" hidden="1">{#N/A,#N/A,TRUE,"consinc";#N/A,#N/A,TRUE,"consproj";#N/A,#N/A,TRUE,"deminc";#N/A,#N/A,TRUE,"incproj";#N/A,#N/A,TRUE,"demman";#N/A,#N/A,TRUE,"manproj";#N/A,#N/A,TRUE,"S&amp;Gact";#N/A,#N/A,TRUE,"S&amp;Gproj ";#N/A,#N/A,TRUE,"dengis";#N/A,#N/A,TRUE,"dengisproj";#N/A,#N/A,TRUE,"mitinc";#N/A,#N/A,TRUE,"mitincproj";#N/A,#N/A,TRUE,"mits&amp;G";#N/A,#N/A,TRUE,"mits&amp;gproj";#N/A,#N/A,TRUE,"arcis";#N/A,#N/A,TRUE,"arcproj";#N/A,#N/A,TRUE,"ampinc";#N/A,#N/A,TRUE,"ampincproj";#N/A,#N/A,TRUE,"ampman";#N/A,#N/A,TRUE,"ampmanproj";#N/A,#N/A,TRUE,"ampS&amp;G";#N/A,#N/A,TRUE,"amps&amp;GProj"}</definedName>
    <definedName name="Change_in_Cash" hidden="1">#REF!</definedName>
    <definedName name="ChangeRange" localSheetId="8" hidden="1">#N/A</definedName>
    <definedName name="ChangeRange" hidden="1">#REF!</definedName>
    <definedName name="chargers" localSheetId="8" hidden="1">{"PAGE 1",#N/A,FALSE,"ES-01-XX";"PAGE 2",#N/A,FALSE,"ES-01-XX"}</definedName>
    <definedName name="chargers" hidden="1">{"PAGE 1",#N/A,FALSE,"ES-01-XX";"PAGE 2",#N/A,FALSE,"ES-01-XX"}</definedName>
    <definedName name="Chart" localSheetId="7" hidden="1">{#N/A,#N/A,FALSE,"Pharm";#N/A,#N/A,FALSE,"WWCM"}</definedName>
    <definedName name="Chart" localSheetId="8" hidden="1">{#N/A,#N/A,FALSE,"Pharm";#N/A,#N/A,FALSE,"WWCM"}</definedName>
    <definedName name="Chart" hidden="1">{#N/A,#N/A,FALSE,"Pharm";#N/A,#N/A,FALSE,"WWCM"}</definedName>
    <definedName name="Chart2" localSheetId="8" hidden="1">{#N/A,#N/A,TRUE,"Pro Forma";#N/A,#N/A,TRUE,"PF_Bal";#N/A,#N/A,TRUE,"PF_INC";#N/A,#N/A,TRUE,"CBE";#N/A,#N/A,TRUE,"SWK"}</definedName>
    <definedName name="Chart2" hidden="1">{#N/A,#N/A,TRUE,"Pro Forma";#N/A,#N/A,TRUE,"PF_Bal";#N/A,#N/A,TRUE,"PF_INC";#N/A,#N/A,TRUE,"CBE";#N/A,#N/A,TRUE,"SWK"}</definedName>
    <definedName name="chartdata" hidden="1">#REF!</definedName>
    <definedName name="chch" localSheetId="8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chch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chch_1" localSheetId="8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chch_1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Check_to_Cash" hidden="1">#REF!</definedName>
    <definedName name="chop" localSheetId="8" hidden="1">{"Pèrdues i Guanys analític.Català",#N/A,FALSE,"Català";"Pèrdues i G. analític.castellà",#N/A,FALSE,"Castellà"}</definedName>
    <definedName name="chop" hidden="1">{"Pèrdues i Guanys analític.Català",#N/A,FALSE,"Català";"Pèrdues i G. analític.castellà",#N/A,FALSE,"Castellà"}</definedName>
    <definedName name="chop2" localSheetId="8" hidden="1">{"Pèrdues i Guanys analític.Català",#N/A,FALSE,"Català";"Pèrdues i G. analític.castellà",#N/A,FALSE,"Castellà"}</definedName>
    <definedName name="chop2" hidden="1">{"Pèrdues i Guanys analític.Català",#N/A,FALSE,"Català";"Pèrdues i G. analític.castellà",#N/A,FALSE,"Castellà"}</definedName>
    <definedName name="CHOP22" localSheetId="8" hidden="1">{"Pèrdues i Guanys analític.Català",#N/A,FALSE,"Català";"Pèrdues i G. analític.castellà",#N/A,FALSE,"Castellà"}</definedName>
    <definedName name="CHOP22" hidden="1">{"Pèrdues i Guanys analític.Català",#N/A,FALSE,"Català";"Pèrdues i G. analític.castellà",#N/A,FALSE,"Castellà"}</definedName>
    <definedName name="CHOP3" localSheetId="8" hidden="1">{"Pèrdues i Guanys analític.Català",#N/A,FALSE,"Català";"Pèrdues i G. analític.castellà",#N/A,FALSE,"Castellà"}</definedName>
    <definedName name="CHOP3" hidden="1">{"Pèrdues i Guanys analític.Català",#N/A,FALSE,"Català";"Pèrdues i G. analític.castellà",#N/A,FALSE,"Castellà"}</definedName>
    <definedName name="CHOP7" localSheetId="8" hidden="1">{"Pèrdues i Guanys analític.Català",#N/A,FALSE,"Català";"Pèrdues i G. analític.castellà",#N/A,FALSE,"Castellà"}</definedName>
    <definedName name="CHOP7" hidden="1">{"Pèrdues i Guanys analític.Català",#N/A,FALSE,"Català";"Pèrdues i G. analític.castellà",#N/A,FALSE,"Castellà"}</definedName>
    <definedName name="chosie" localSheetId="7" hidden="1">{#N/A,#N/A,FALSE,"Pharm";#N/A,#N/A,FALSE,"WWCM"}</definedName>
    <definedName name="chosie" localSheetId="8" hidden="1">{#N/A,#N/A,FALSE,"Pharm";#N/A,#N/A,FALSE,"WWCM"}</definedName>
    <definedName name="chosie" hidden="1">{#N/A,#N/A,FALSE,"Pharm";#N/A,#N/A,FALSE,"WWCM"}</definedName>
    <definedName name="CHZDEVD" hidden="1">#REF!</definedName>
    <definedName name="CIAO" localSheetId="7" hidden="1">#N/A</definedName>
    <definedName name="CIAO" localSheetId="8" hidden="1">#N/A</definedName>
    <definedName name="ciao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ciao_1" localSheetId="8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ciao_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CILTYRI" hidden="1">#REF!</definedName>
    <definedName name="CIQWBGuid" localSheetId="7" hidden="1">"9a4a99d1-760f-40a8-a3b6-7fa03e2bed9b"</definedName>
    <definedName name="CIQWBGuid" localSheetId="8" hidden="1">"26bbfda4-37a4-4be4-9d6f-25e7e8344f7b"</definedName>
    <definedName name="CIQWBGuid" hidden="1">"d41c40b3-ff5a-4b66-b647-8a035af2b7fc"</definedName>
    <definedName name="CIQWBGuid_1" hidden="1">"81cec266-2a6a-4c0f-a637-3762f1491773"</definedName>
    <definedName name="CIQWBGuid2" hidden="1">"4813d7c6-5c52-498d-aa4b-2f2b152e63c3"</definedName>
    <definedName name="CIQWBInfo" hidden="1">"{ ""CIQVersion"":""9.45.614.5792"" }"</definedName>
    <definedName name="circularização" hidden="1">"AS2DocumentBrowse"</definedName>
    <definedName name="civ" localSheetId="8" hidden="1">{#N/A,#N/A,TRUE,"covmen";#N/A,#N/A,TRUE,"ECORID";#N/A,#N/A,TRUE,"ECOTRA";#N/A,#N/A,TRUE,"ECOTOT";#N/A,#N/A,TRUE,"FATSOC";#N/A,#N/A,TRUE,"FATDIV";#N/A,#N/A,TRUE,"FATGEO";#N/A,#N/A,TRUE,"ORDINI";#N/A,#N/A,TRUE,"TESORI";#N/A,#N/A,TRUE,"RENDFIN"}</definedName>
    <definedName name="civ" hidden="1">{#N/A,#N/A,TRUE,"covmen";#N/A,#N/A,TRUE,"ECORID";#N/A,#N/A,TRUE,"ECOTRA";#N/A,#N/A,TRUE,"ECOTOT";#N/A,#N/A,TRUE,"FATSOC";#N/A,#N/A,TRUE,"FATDIV";#N/A,#N/A,TRUE,"FATGEO";#N/A,#N/A,TRUE,"ORDINI";#N/A,#N/A,TRUE,"TESORI";#N/A,#N/A,TRUE,"RENDFIN"}</definedName>
    <definedName name="civ_1" localSheetId="8" hidden="1">{#N/A,#N/A,TRUE,"covmen";#N/A,#N/A,TRUE,"ECORID";#N/A,#N/A,TRUE,"ECOTRA";#N/A,#N/A,TRUE,"ECOTOT";#N/A,#N/A,TRUE,"FATSOC";#N/A,#N/A,TRUE,"FATDIV";#N/A,#N/A,TRUE,"FATGEO";#N/A,#N/A,TRUE,"ORDINI";#N/A,#N/A,TRUE,"TESORI";#N/A,#N/A,TRUE,"RENDFIN"}</definedName>
    <definedName name="civ_1" hidden="1">{#N/A,#N/A,TRUE,"covmen";#N/A,#N/A,TRUE,"ECORID";#N/A,#N/A,TRUE,"ECOTRA";#N/A,#N/A,TRUE,"ECOTOT";#N/A,#N/A,TRUE,"FATSOC";#N/A,#N/A,TRUE,"FATDIV";#N/A,#N/A,TRUE,"FATGEO";#N/A,#N/A,TRUE,"ORDINI";#N/A,#N/A,TRUE,"TESORI";#N/A,#N/A,TRUE,"RENDFIN"}</definedName>
    <definedName name="cjghjhj" localSheetId="8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cjghjhj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cjsbhcjw" hidden="1">#REF!</definedName>
    <definedName name="cjwkdkmcñew" hidden="1">#REF!</definedName>
    <definedName name="ckew" hidden="1">#REF!</definedName>
    <definedName name="CMVNFH" localSheetId="8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CMVNFH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cmw" localSheetId="8" hidden="1">{#N/A,#N/A,FALSE,"A&amp;E";#N/A,#N/A,FALSE,"HighTop";#N/A,#N/A,FALSE,"JG";#N/A,#N/A,FALSE,"RI";#N/A,#N/A,FALSE,"woHT";#N/A,#N/A,FALSE,"woHT&amp;JG"}</definedName>
    <definedName name="cmw" hidden="1">{#N/A,#N/A,FALSE,"A&amp;E";#N/A,#N/A,FALSE,"HighTop";#N/A,#N/A,FALSE,"JG";#N/A,#N/A,FALSE,"RI";#N/A,#N/A,FALSE,"woHT";#N/A,#N/A,FALSE,"woHT&amp;JG"}</definedName>
    <definedName name="cmw_1" localSheetId="8" hidden="1">{#N/A,#N/A,FALSE,"A&amp;E";#N/A,#N/A,FALSE,"HighTop";#N/A,#N/A,FALSE,"JG";#N/A,#N/A,FALSE,"RI";#N/A,#N/A,FALSE,"woHT";#N/A,#N/A,FALSE,"woHT&amp;JG"}</definedName>
    <definedName name="cmw_1" hidden="1">{#N/A,#N/A,FALSE,"A&amp;E";#N/A,#N/A,FALSE,"HighTop";#N/A,#N/A,FALSE,"JG";#N/A,#N/A,FALSE,"RI";#N/A,#N/A,FALSE,"woHT";#N/A,#N/A,FALSE,"woHT&amp;JG"}</definedName>
    <definedName name="cndskj" hidden="1">#REF!</definedName>
    <definedName name="cnefjkcn" localSheetId="8" hidden="1">{#N/A,#N/A,FALSE,"Aging Summary";#N/A,#N/A,FALSE,"Ratio Analysis";#N/A,#N/A,FALSE,"Test 120 Day Accts";#N/A,#N/A,FALSE,"Tickmarks"}</definedName>
    <definedName name="cnefjkcn" hidden="1">{#N/A,#N/A,FALSE,"Aging Summary";#N/A,#N/A,FALSE,"Ratio Analysis";#N/A,#N/A,FALSE,"Test 120 Day Accts";#N/A,#N/A,FALSE,"Tickmarks"}</definedName>
    <definedName name="cnjwkmcedw" hidden="1">#REF!</definedName>
    <definedName name="COAL" localSheetId="8" hidden="1">{#N/A,#N/A,FALSE,"Input"}</definedName>
    <definedName name="COAL" hidden="1">{#N/A,#N/A,FALSE,"Input"}</definedName>
    <definedName name="COCO" localSheetId="8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COCO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Code" hidden="1">#REF!</definedName>
    <definedName name="cofi" hidden="1">15</definedName>
    <definedName name="COGstandard" localSheetId="7" hidden="1">{#N/A,#N/A,FALSE,"Pharm";#N/A,#N/A,FALSE,"WWCM"}</definedName>
    <definedName name="COGstandard" localSheetId="8" hidden="1">{#N/A,#N/A,FALSE,"Pharm";#N/A,#N/A,FALSE,"WWCM"}</definedName>
    <definedName name="COGstandard" hidden="1">{#N/A,#N/A,FALSE,"Pharm";#N/A,#N/A,FALSE,"WWCM"}</definedName>
    <definedName name="COLTRAMYL" hidden="1">#REF!</definedName>
    <definedName name="COMBO" hidden="1">"Afdelinger"</definedName>
    <definedName name="Comp" localSheetId="8" hidden="1">{"First Page",#N/A,FALSE,"Surfactants LBO";"Second Page",#N/A,FALSE,"Surfactants LBO"}</definedName>
    <definedName name="Comp" hidden="1">{"First Page",#N/A,FALSE,"Surfactants LBO";"Second Page",#N/A,FALSE,"Surfactants LBO"}</definedName>
    <definedName name="Comp_1" localSheetId="8" hidden="1">{"First Page",#N/A,FALSE,"Surfactants LBO";"Second Page",#N/A,FALSE,"Surfactants LBO"}</definedName>
    <definedName name="Comp_1" hidden="1">{"First Page",#N/A,FALSE,"Surfactants LBO";"Second Page",#N/A,FALSE,"Surfactants LBO"}</definedName>
    <definedName name="comp2003" localSheetId="8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comp2003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CompanyName2" hidden="1">#REF!</definedName>
    <definedName name="Comparable" localSheetId="8" hidden="1">{"First Page",#N/A,FALSE,"Surfactants LBO";"Second Page",#N/A,FALSE,"Surfactants LBO"}</definedName>
    <definedName name="Comparable" hidden="1">{"First Page",#N/A,FALSE,"Surfactants LBO";"Second Page",#N/A,FALSE,"Surfactants LBO"}</definedName>
    <definedName name="Comparable_1" localSheetId="8" hidden="1">{"First Page",#N/A,FALSE,"Surfactants LBO";"Second Page",#N/A,FALSE,"Surfactants LBO"}</definedName>
    <definedName name="Comparable_1" hidden="1">{"First Page",#N/A,FALSE,"Surfactants LBO";"Second Page",#N/A,FALSE,"Surfactants LBO"}</definedName>
    <definedName name="ComparatEU" localSheetId="8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ComparatEU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ComparatEU_1" localSheetId="8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ComparatEU_1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competencia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COmpiegne" hidden="1">#REF!</definedName>
    <definedName name="CompRange" hidden="1">OFFSET(#REF!,9,0,COUNTA(#REF!)-COUNTA(#REF!),1)</definedName>
    <definedName name="CompRange1" hidden="1">OFFSET(#REF!,9,0,COUNTA(#REF!)-COUNTA(#REF!),1)</definedName>
    <definedName name="CompRange1Main" hidden="1">#REF!</definedName>
    <definedName name="CompRange2" hidden="1">OFFSET(#REF!,9,0,COUNTA(#REF!)-COUNTA(#REF!),1)</definedName>
    <definedName name="CompRange2Main" hidden="1">#REF!</definedName>
    <definedName name="compras" hidden="1">3</definedName>
    <definedName name="compresult" localSheetId="8" hidden="1">{"FCB_ALL",#N/A,FALSE,"FCB"}</definedName>
    <definedName name="compresult" hidden="1">{"FCB_ALL",#N/A,FALSE,"FCB"}</definedName>
    <definedName name="compresults" localSheetId="8" hidden="1">{"FCB_ALL",#N/A,FALSE,"FCB"}</definedName>
    <definedName name="compresults" hidden="1">{"FCB_ALL",#N/A,FALSE,"FCB"}</definedName>
    <definedName name="comtencia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CON" localSheetId="8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CON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CONCERNCUR" hidden="1">FALSE</definedName>
    <definedName name="Confused" hidden="1">#REF!</definedName>
    <definedName name="cons" localSheetId="8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cons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conso" localSheetId="8" hidden="1">{"'TYPE (2)'!$A$1:$Q$76"}</definedName>
    <definedName name="conso" hidden="1">{"'TYPE (2)'!$A$1:$Q$76"}</definedName>
    <definedName name="Conso1_1" localSheetId="8" hidden="1">{"'SLS VS. BUD'!$B$11:$AG$33"}</definedName>
    <definedName name="Conso1_1" hidden="1">{"'SLS VS. BUD'!$B$11:$AG$33"}</definedName>
    <definedName name="CONSODEV" hidden="1">#REF!</definedName>
    <definedName name="CONSODEVDEUX" hidden="1">#REF!</definedName>
    <definedName name="CONSOL" localSheetId="8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CONSOL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Consolidamento" localSheetId="8" hidden="1">{#N/A,#N/A,TRUE,"Schema Riferimento";"CdC_Commesse",#N/A,TRUE,"5 Centri di Costo e 40 Commesse";"Commesse_Sistemi",#N/A,TRUE,"5 Centri di Costo e 40 Commesse";#N/A,#N/A,TRUE,"Lista 39 Sistemi";#N/A,#N/A,TRUE,"Pivot"}</definedName>
    <definedName name="Consolidamento" hidden="1">{#N/A,#N/A,TRUE,"Schema Riferimento";"CdC_Commesse",#N/A,TRUE,"5 Centri di Costo e 40 Commesse";"Commesse_Sistemi",#N/A,TRUE,"5 Centri di Costo e 40 Commesse";#N/A,#N/A,TRUE,"Lista 39 Sistemi";#N/A,#N/A,TRUE,"Pivot"}</definedName>
    <definedName name="Consolidamento_1" localSheetId="8" hidden="1">{#N/A,#N/A,TRUE,"Schema Riferimento";"CdC_Commesse",#N/A,TRUE,"5 Centri di Costo e 40 Commesse";"Commesse_Sistemi",#N/A,TRUE,"5 Centri di Costo e 40 Commesse";#N/A,#N/A,TRUE,"Lista 39 Sistemi";#N/A,#N/A,TRUE,"Pivot"}</definedName>
    <definedName name="Consolidamento_1" hidden="1">{#N/A,#N/A,TRUE,"Schema Riferimento";"CdC_Commesse",#N/A,TRUE,"5 Centri di Costo e 40 Commesse";"Commesse_Sistemi",#N/A,TRUE,"5 Centri di Costo e 40 Commesse";#N/A,#N/A,TRUE,"Lista 39 Sistemi";#N/A,#N/A,TRUE,"Pivot"}</definedName>
    <definedName name="consultoria" localSheetId="8" hidden="1">{#N/A,#N/A,FALSE,"Calc";#N/A,#N/A,FALSE,"Sensitivity";#N/A,#N/A,FALSE,"LT Earn.Dil.";#N/A,#N/A,FALSE,"Dil. AVP"}</definedName>
    <definedName name="consultoria" hidden="1">{#N/A,#N/A,FALSE,"Calc";#N/A,#N/A,FALSE,"Sensitivity";#N/A,#N/A,FALSE,"LT Earn.Dil.";#N/A,#N/A,FALSE,"Dil. AVP"}</definedName>
    <definedName name="Consumer" localSheetId="8" hidden="1">{#N/A,#N/A,TRUE,"Voorblad";#N/A,#N/A,TRUE,"Table of Content A";#N/A,#N/A,TRUE,"A1-Summ- Key Figures";#N/A,#N/A,TRUE,"A2-Summ Month Man";#N/A,#N/A,TRUE,"A3-P&amp;L by Bus.Unt-Serv.Unt";#N/A,#N/A,TRUE,"A4-P&amp;L by Old org.";#N/A,#N/A,TRUE,"A6-Bal_Sheet CF by Old org. ";#N/A,#N/A,TRUE,"A8-Headc.Funct."}</definedName>
    <definedName name="Consumer" hidden="1">{#N/A,#N/A,TRUE,"Voorblad";#N/A,#N/A,TRUE,"Table of Content A";#N/A,#N/A,TRUE,"A1-Summ- Key Figures";#N/A,#N/A,TRUE,"A2-Summ Month Man";#N/A,#N/A,TRUE,"A3-P&amp;L by Bus.Unt-Serv.Unt";#N/A,#N/A,TRUE,"A4-P&amp;L by Old org.";#N/A,#N/A,TRUE,"A6-Bal_Sheet CF by Old org. ";#N/A,#N/A,TRUE,"A8-Headc.Funct."}</definedName>
    <definedName name="ConsumersfirstT2s" localSheetId="8" hidden="1">{"Statements",#N/A,TRUE,"Income Statement";"Statements",#N/A,TRUE,"Cash Flow Statement";"Statements",#N/A,TRUE,"Balance Sheet ";#N/A,#N/A,TRUE,"Revenue Data Table";#N/A,#N/A,TRUE,"Costs &amp; Expenses Data Table";#N/A,#N/A,TRUE,"Cash Flow Data Table ";#N/A,#N/A,TRUE,"Shor-term Interest Expense"}</definedName>
    <definedName name="ConsumersfirstT2s" hidden="1">{"Statements",#N/A,TRUE,"Income Statement";"Statements",#N/A,TRUE,"Cash Flow Statement";"Statements",#N/A,TRUE,"Balance Sheet ";#N/A,#N/A,TRUE,"Revenue Data Table";#N/A,#N/A,TRUE,"Costs &amp; Expenses Data Table";#N/A,#N/A,TRUE,"Cash Flow Data Table ";#N/A,#N/A,TRUE,"Shor-term Interest Expense"}</definedName>
    <definedName name="CONTENCIOSO" localSheetId="8" hidden="1">{#N/A,#N/A,TRUE,"SIT.GLOBAL (2)";#N/A,#N/A,TRUE,"SIT.GLOBAL (1)";#N/A,#N/A,TRUE,"7.PROC JUD";#N/A,#N/A,TRUE,"GRAF.RENTAS";#N/A,#N/A,TRUE,"GRAF PTE.COB-COBNET (3)";#N/A,#N/A,TRUE,"GRAF FACT TOTAL-ORD (3)";#N/A,#N/A,TRUE,"DATOSGRAFICO";#N/A,#N/A,TRUE,"RESCINDIDOS";#N/A,#N/A,TRUE,"DETALLE PTE."}</definedName>
    <definedName name="CONTENCIOSO" hidden="1">{#N/A,#N/A,TRUE,"SIT.GLOBAL (2)";#N/A,#N/A,TRUE,"SIT.GLOBAL (1)";#N/A,#N/A,TRUE,"7.PROC JUD";#N/A,#N/A,TRUE,"GRAF.RENTAS";#N/A,#N/A,TRUE,"GRAF PTE.COB-COBNET (3)";#N/A,#N/A,TRUE,"GRAF FACT TOTAL-ORD (3)";#N/A,#N/A,TRUE,"DATOSGRAFICO";#N/A,#N/A,TRUE,"RESCINDIDOS";#N/A,#N/A,TRUE,"DETALLE PTE."}</definedName>
    <definedName name="ContentsHelp" localSheetId="8" hidden="1">#N/A</definedName>
    <definedName name="ContentsHelp" hidden="1">#REF!</definedName>
    <definedName name="cooper2" localSheetId="8" hidden="1">{#N/A,#N/A,TRUE,"Pro Forma";#N/A,#N/A,TRUE,"PF_Bal";#N/A,#N/A,TRUE,"PF_INC";#N/A,#N/A,TRUE,"CBE";#N/A,#N/A,TRUE,"SWK"}</definedName>
    <definedName name="cooper2" hidden="1">{#N/A,#N/A,TRUE,"Pro Forma";#N/A,#N/A,TRUE,"PF_Bal";#N/A,#N/A,TRUE,"PF_INC";#N/A,#N/A,TRUE,"CBE";#N/A,#N/A,TRUE,"SWK"}</definedName>
    <definedName name="cooper2_1" localSheetId="8" hidden="1">{#N/A,#N/A,TRUE,"Pro Forma";#N/A,#N/A,TRUE,"PF_Bal";#N/A,#N/A,TRUE,"PF_INC";#N/A,#N/A,TRUE,"CBE";#N/A,#N/A,TRUE,"SWK"}</definedName>
    <definedName name="cooper2_1" hidden="1">{#N/A,#N/A,TRUE,"Pro Forma";#N/A,#N/A,TRUE,"PF_Bal";#N/A,#N/A,TRUE,"PF_INC";#N/A,#N/A,TRUE,"CBE";#N/A,#N/A,TRUE,"SWK"}</definedName>
    <definedName name="cop" localSheetId="8" hidden="1">{"First Page",#N/A,FALSE,"Surfactants LBO";"Second Page",#N/A,FALSE,"Surfactants LBO"}</definedName>
    <definedName name="cop" hidden="1">{"First Page",#N/A,FALSE,"Surfactants LBO";"Second Page",#N/A,FALSE,"Surfactants LBO"}</definedName>
    <definedName name="cop_1" localSheetId="8" hidden="1">{"First Page",#N/A,FALSE,"Surfactants LBO";"Second Page",#N/A,FALSE,"Surfactants LBO"}</definedName>
    <definedName name="cop_1" hidden="1">{"First Page",#N/A,FALSE,"Surfactants LBO";"Second Page",#N/A,FALSE,"Surfactants LBO"}</definedName>
    <definedName name="copiaranch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copiaranch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COPY" localSheetId="7" hidden="1">{#N/A,#N/A,FALSE,"Pharm";#N/A,#N/A,FALSE,"WWCM"}</definedName>
    <definedName name="COPY" localSheetId="8" hidden="1">{#N/A,#N/A,FALSE,"Pharm";#N/A,#N/A,FALSE,"WWCM"}</definedName>
    <definedName name="COPY" hidden="1">{#N/A,#N/A,FALSE,"Pharm";#N/A,#N/A,FALSE,"WWCM"}</definedName>
    <definedName name="copy1" localSheetId="7" hidden="1">{#N/A,#N/A,FALSE,"Pharm";#N/A,#N/A,FALSE,"WWCM"}</definedName>
    <definedName name="copy1" localSheetId="8" hidden="1">{#N/A,#N/A,FALSE,"Pharm";#N/A,#N/A,FALSE,"WWCM"}</definedName>
    <definedName name="copy1" hidden="1">{#N/A,#N/A,FALSE,"Pharm";#N/A,#N/A,FALSE,"WWCM"}</definedName>
    <definedName name="COPY2" localSheetId="7" hidden="1">{#N/A,#N/A,FALSE,"Pharm";#N/A,#N/A,FALSE,"WWCM"}</definedName>
    <definedName name="COPY2" localSheetId="8" hidden="1">{#N/A,#N/A,FALSE,"Pharm";#N/A,#N/A,FALSE,"WWCM"}</definedName>
    <definedName name="COPY2" hidden="1">{#N/A,#N/A,FALSE,"Pharm";#N/A,#N/A,FALSE,"WWCM"}</definedName>
    <definedName name="copy233" localSheetId="7" hidden="1">{#N/A,#N/A,FALSE,"Pharm";#N/A,#N/A,FALSE,"WWCM"}</definedName>
    <definedName name="copy233" localSheetId="8" hidden="1">{#N/A,#N/A,FALSE,"Pharm";#N/A,#N/A,FALSE,"WWCM"}</definedName>
    <definedName name="copy233" hidden="1">{#N/A,#N/A,FALSE,"Pharm";#N/A,#N/A,FALSE,"WWCM"}</definedName>
    <definedName name="copy33" localSheetId="7" hidden="1">{#N/A,#N/A,FALSE,"Pharm";#N/A,#N/A,FALSE,"WWCM"}</definedName>
    <definedName name="copy33" localSheetId="8" hidden="1">{#N/A,#N/A,FALSE,"Pharm";#N/A,#N/A,FALSE,"WWCM"}</definedName>
    <definedName name="copy33" hidden="1">{#N/A,#N/A,FALSE,"Pharm";#N/A,#N/A,FALSE,"WWCM"}</definedName>
    <definedName name="copy38" localSheetId="7" hidden="1">{#N/A,#N/A,FALSE,"Pharm";#N/A,#N/A,FALSE,"WWCM"}</definedName>
    <definedName name="copy38" localSheetId="8" hidden="1">{#N/A,#N/A,FALSE,"Pharm";#N/A,#N/A,FALSE,"WWCM"}</definedName>
    <definedName name="copy38" hidden="1">{#N/A,#N/A,FALSE,"Pharm";#N/A,#N/A,FALSE,"WWCM"}</definedName>
    <definedName name="CORRELATEBIS" localSheetId="8" hidden="1">{#N/A,#N/A,TRUE,"INPUT";#N/A,#N/A,TRUE,"vend_rid";#N/A,#N/A,TRUE,"vend_tra";#N/A,#N/A,TRUE,"ordinato";#N/A,#N/A,TRUE,"costi_rid";#N/A,#N/A,TRUE,"costi_tra";#N/A,#N/A,TRUE,"dipendenti";#N/A,#N/A,TRUE,"costo_pers";#N/A,#N/A,TRUE,"inv_98";#N/A,#N/A,TRUE,"ECO_COMP";#N/A,#N/A,TRUE,"anal_gen";#N/A,#N/A,TRUE,"dett_inv";#N/A,#N/A,TRUE,"cover";#N/A,#N/A,TRUE,"indice_R"}</definedName>
    <definedName name="CORRELATEBIS" hidden="1">{#N/A,#N/A,TRUE,"INPUT";#N/A,#N/A,TRUE,"vend_rid";#N/A,#N/A,TRUE,"vend_tra";#N/A,#N/A,TRUE,"ordinato";#N/A,#N/A,TRUE,"costi_rid";#N/A,#N/A,TRUE,"costi_tra";#N/A,#N/A,TRUE,"dipendenti";#N/A,#N/A,TRUE,"costo_pers";#N/A,#N/A,TRUE,"inv_98";#N/A,#N/A,TRUE,"ECO_COMP";#N/A,#N/A,TRUE,"anal_gen";#N/A,#N/A,TRUE,"dett_inv";#N/A,#N/A,TRUE,"cover";#N/A,#N/A,TRUE,"indice_R"}</definedName>
    <definedName name="CORRELATEBIS_1" localSheetId="8" hidden="1">{#N/A,#N/A,TRUE,"INPUT";#N/A,#N/A,TRUE,"vend_rid";#N/A,#N/A,TRUE,"vend_tra";#N/A,#N/A,TRUE,"ordinato";#N/A,#N/A,TRUE,"costi_rid";#N/A,#N/A,TRUE,"costi_tra";#N/A,#N/A,TRUE,"dipendenti";#N/A,#N/A,TRUE,"costo_pers";#N/A,#N/A,TRUE,"inv_98";#N/A,#N/A,TRUE,"ECO_COMP";#N/A,#N/A,TRUE,"anal_gen";#N/A,#N/A,TRUE,"dett_inv";#N/A,#N/A,TRUE,"cover";#N/A,#N/A,TRUE,"indice_R"}</definedName>
    <definedName name="CORRELATEBIS_1" hidden="1">{#N/A,#N/A,TRUE,"INPUT";#N/A,#N/A,TRUE,"vend_rid";#N/A,#N/A,TRUE,"vend_tra";#N/A,#N/A,TRUE,"ordinato";#N/A,#N/A,TRUE,"costi_rid";#N/A,#N/A,TRUE,"costi_tra";#N/A,#N/A,TRUE,"dipendenti";#N/A,#N/A,TRUE,"costo_pers";#N/A,#N/A,TRUE,"inv_98";#N/A,#N/A,TRUE,"ECO_COMP";#N/A,#N/A,TRUE,"anal_gen";#N/A,#N/A,TRUE,"dett_inv";#N/A,#N/A,TRUE,"cover";#N/A,#N/A,TRUE,"indice_R"}</definedName>
    <definedName name="costi_mens_integrazione" localSheetId="8" hidden="1">{#N/A,#N/A,FALSE,"Table of Content ";#N/A,#N/A,FALSE,"1-Summ- Key Figures";#N/A,#N/A,FALSE,"2-Summary P&amp;L - Other ";#N/A,#N/A,FALSE,"3-P&amp;L by Bus.Unt-Serv.Unt";#N/A,#N/A,FALSE,"4-P&amp;L by Business";#N/A,#N/A,FALSE,"5-Bal_Sheet CF";#N/A,#N/A,FALSE,"6-Bal_Sheet CF by Business ";#N/A,#N/A,FALSE,"7-Sales Orders Capex";#N/A,#N/A,FALSE,"8-Headc.Funct.";#N/A,#N/A,FALSE,"9-Custom. Satisf.  #Customers";#N/A,#N/A,FALSE,"P1-Orders RevGap";#N/A,#N/A,FALSE,"P2-Sales Prospects WinLoss";#N/A,#N/A,FALSE,"P3-Detail P&amp;L";#N/A,#N/A,FALSE,"P4-GM per Product";#N/A,#N/A,FALSE,"P5-Mobile(1) ";#N/A,#N/A,FALSE,"P6-Mobile(2)";#N/A,#N/A,FALSE,"P7-Data(1)";#N/A,#N/A,FALSE,"P8-Data (2)";#N/A,#N/A,FALSE,"P9-Voice(1)";#N/A,#N/A,FALSE,"P10-Voice (2)";#N/A,#N/A,FALSE,"P11-Infraestr(1)";#N/A,#N/A,FALSE,"P12-Infraestr(2)";#N/A,#N/A,FALSE,"P13-Funding- Inter.";#N/A,#N/A,FALSE,"P14-Risk &amp; Fraud";#N/A,#N/A,FALSE,"P15-Network ";#N/A,#N/A,FALSE,"P16- Productivity";#N/A,#N/A,FALSE,"Detail P&amp;L-by BU";#N/A,#N/A,FALSE,"Detail P&amp;L-Carriers";#N/A,#N/A,FALSE,"Detail P&amp;L-Large Accounts";#N/A,#N/A,FALSE,"Detail P&amp;L-Consumer_SME";#N/A,#N/A,FALSE,"Detail P&amp;L-Networks &amp; Systems";#N/A,#N/A,FALSE,"Detail P&amp;L-ITBilling";#N/A,#N/A,FALSE,"Detail P&amp;L-Corporate";#N/A,#N/A,FALSE,"Billing &amp; IT"}</definedName>
    <definedName name="costi_mens_integrazione" hidden="1">{#N/A,#N/A,FALSE,"Table of Content ";#N/A,#N/A,FALSE,"1-Summ- Key Figures";#N/A,#N/A,FALSE,"2-Summary P&amp;L - Other ";#N/A,#N/A,FALSE,"3-P&amp;L by Bus.Unt-Serv.Unt";#N/A,#N/A,FALSE,"4-P&amp;L by Business";#N/A,#N/A,FALSE,"5-Bal_Sheet CF";#N/A,#N/A,FALSE,"6-Bal_Sheet CF by Business ";#N/A,#N/A,FALSE,"7-Sales Orders Capex";#N/A,#N/A,FALSE,"8-Headc.Funct.";#N/A,#N/A,FALSE,"9-Custom. Satisf.  #Customers";#N/A,#N/A,FALSE,"P1-Orders RevGap";#N/A,#N/A,FALSE,"P2-Sales Prospects WinLoss";#N/A,#N/A,FALSE,"P3-Detail P&amp;L";#N/A,#N/A,FALSE,"P4-GM per Product";#N/A,#N/A,FALSE,"P5-Mobile(1) ";#N/A,#N/A,FALSE,"P6-Mobile(2)";#N/A,#N/A,FALSE,"P7-Data(1)";#N/A,#N/A,FALSE,"P8-Data (2)";#N/A,#N/A,FALSE,"P9-Voice(1)";#N/A,#N/A,FALSE,"P10-Voice (2)";#N/A,#N/A,FALSE,"P11-Infraestr(1)";#N/A,#N/A,FALSE,"P12-Infraestr(2)";#N/A,#N/A,FALSE,"P13-Funding- Inter.";#N/A,#N/A,FALSE,"P14-Risk &amp; Fraud";#N/A,#N/A,FALSE,"P15-Network ";#N/A,#N/A,FALSE,"P16- Productivity";#N/A,#N/A,FALSE,"Detail P&amp;L-by BU";#N/A,#N/A,FALSE,"Detail P&amp;L-Carriers";#N/A,#N/A,FALSE,"Detail P&amp;L-Large Accounts";#N/A,#N/A,FALSE,"Detail P&amp;L-Consumer_SME";#N/A,#N/A,FALSE,"Detail P&amp;L-Networks &amp; Systems";#N/A,#N/A,FALSE,"Detail P&amp;L-ITBilling";#N/A,#N/A,FALSE,"Detail P&amp;L-Corporate";#N/A,#N/A,FALSE,"Billing &amp; IT"}</definedName>
    <definedName name="Cot" localSheetId="8" hidden="1">#REF!</definedName>
    <definedName name="Cot" hidden="1">#REF!</definedName>
    <definedName name="coucou" localSheetId="8" hidden="1">{#N/A,#N/A,TRUE,"Cover sheet";#N/A,#N/A,TRUE,"INPUTS";#N/A,#N/A,TRUE,"OUTPUTS";#N/A,#N/A,TRUE,"VALUATION"}</definedName>
    <definedName name="coucou" hidden="1">{#N/A,#N/A,TRUE,"Cover sheet";#N/A,#N/A,TRUE,"INPUTS";#N/A,#N/A,TRUE,"OUTPUTS";#N/A,#N/A,TRUE,"VALUATION"}</definedName>
    <definedName name="coucou_1" localSheetId="8" hidden="1">{#N/A,#N/A,TRUE,"Cover sheet";#N/A,#N/A,TRUE,"INPUTS";#N/A,#N/A,TRUE,"OUTPUTS";#N/A,#N/A,TRUE,"VALUATION"}</definedName>
    <definedName name="coucou_1" hidden="1">{#N/A,#N/A,TRUE,"Cover sheet";#N/A,#N/A,TRUE,"INPUTS";#N/A,#N/A,TRUE,"OUTPUTS";#N/A,#N/A,TRUE,"VALUATION"}</definedName>
    <definedName name="coun" localSheetId="8" hidden="1">{#N/A,#N/A,FALSE,"Assessment";#N/A,#N/A,FALSE,"Staffing";#N/A,#N/A,FALSE,"Hires";#N/A,#N/A,FALSE,"Assumptions"}</definedName>
    <definedName name="coun" hidden="1">{#N/A,#N/A,FALSE,"Assessment";#N/A,#N/A,FALSE,"Staffing";#N/A,#N/A,FALSE,"Hires";#N/A,#N/A,FALSE,"Assumptions"}</definedName>
    <definedName name="coun_1" localSheetId="8" hidden="1">{#N/A,#N/A,FALSE,"Assessment";#N/A,#N/A,FALSE,"Staffing";#N/A,#N/A,FALSE,"Hires";#N/A,#N/A,FALSE,"Assumptions"}</definedName>
    <definedName name="coun_1" hidden="1">{#N/A,#N/A,FALSE,"Assessment";#N/A,#N/A,FALSE,"Staffing";#N/A,#N/A,FALSE,"Hires";#N/A,#N/A,FALSE,"Assumptions"}</definedName>
    <definedName name="COUNT2" localSheetId="8" hidden="1">{#N/A,#N/A,FALSE,"Assessment";#N/A,#N/A,FALSE,"Staffing";#N/A,#N/A,FALSE,"Hires";#N/A,#N/A,FALSE,"Assumptions"}</definedName>
    <definedName name="COUNT2" hidden="1">{#N/A,#N/A,FALSE,"Assessment";#N/A,#N/A,FALSE,"Staffing";#N/A,#N/A,FALSE,"Hires";#N/A,#N/A,FALSE,"Assumptions"}</definedName>
    <definedName name="COUNT2_1" localSheetId="8" hidden="1">{#N/A,#N/A,FALSE,"Assessment";#N/A,#N/A,FALSE,"Staffing";#N/A,#N/A,FALSE,"Hires";#N/A,#N/A,FALSE,"Assumptions"}</definedName>
    <definedName name="COUNT2_1" hidden="1">{#N/A,#N/A,FALSE,"Assessment";#N/A,#N/A,FALSE,"Staffing";#N/A,#N/A,FALSE,"Hires";#N/A,#N/A,FALSE,"Assumptions"}</definedName>
    <definedName name="COUNTRY" localSheetId="8" hidden="1">{#N/A,#N/A,FALSE,"Assessment";#N/A,#N/A,FALSE,"Staffing";#N/A,#N/A,FALSE,"Hires";#N/A,#N/A,FALSE,"Assumptions"}</definedName>
    <definedName name="COUNTRY" hidden="1">{#N/A,#N/A,FALSE,"Assessment";#N/A,#N/A,FALSE,"Staffing";#N/A,#N/A,FALSE,"Hires";#N/A,#N/A,FALSE,"Assumptions"}</definedName>
    <definedName name="cpk.Lookups" localSheetId="8" hidden="1">{#N/A,#N/A,FALSE,"Introduction";#N/A,#N/A,FALSE,"ESRiskNos";#N/A,#N/A,FALSE,"AuditeeCheck";#N/A,#N/A,FALSE,"ReftoESRiskNos";#N/A,#N/A,FALSE,"Instructions"}</definedName>
    <definedName name="cpk.Lookups" hidden="1">{#N/A,#N/A,FALSE,"Introduction";#N/A,#N/A,FALSE,"ESRiskNos";#N/A,#N/A,FALSE,"AuditeeCheck";#N/A,#N/A,FALSE,"ReftoESRiskNos";#N/A,#N/A,FALSE,"Instructions"}</definedName>
    <definedName name="cr" hidden="1">#REF!</definedName>
    <definedName name="crap" localSheetId="8" hidden="1">{"'EARLY LIFE SAVINGS - COSTS '!$A$1:$N$56"}</definedName>
    <definedName name="crap" hidden="1">{"'EARLY LIFE SAVINGS - COSTS '!$A$1:$N$56"}</definedName>
    <definedName name="create4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CreateTable" localSheetId="8" hidden="1">#N/A</definedName>
    <definedName name="CreateTable" hidden="1">#REF!</definedName>
    <definedName name="CreditStats" hidden="1">#REF!</definedName>
    <definedName name="cris" localSheetId="8" hidden="1">{#N/A,#N/A,FALSE,"CA";#N/A,#N/A,FALSE,"CN";#N/A,#N/A,FALSE,"Inv";#N/A,#N/A,FALSE,"Inv Acc";"Miguel_balance",#N/A,FALSE,"Bal";#N/A,#N/A,FALSE,"Plantilla";#N/A,#N/A,FALSE,"CA (2)";#N/A,#N/A,FALSE,"CN (2)"}</definedName>
    <definedName name="cris" hidden="1">{#N/A,#N/A,FALSE,"CA";#N/A,#N/A,FALSE,"CN";#N/A,#N/A,FALSE,"Inv";#N/A,#N/A,FALSE,"Inv Acc";"Miguel_balance",#N/A,FALSE,"Bal";#N/A,#N/A,FALSE,"Plantilla";#N/A,#N/A,FALSE,"CA (2)";#N/A,#N/A,FALSE,"CN (2)"}</definedName>
    <definedName name="cristina" localSheetId="8" hidden="1">{#N/A,#N/A,FALSE,"CA";#N/A,#N/A,FALSE,"CN";#N/A,#N/A,FALSE,"Inv";#N/A,#N/A,FALSE,"Inv Acc";"Miguel_balance",#N/A,FALSE,"Bal";#N/A,#N/A,FALSE,"Plantilla";#N/A,#N/A,FALSE,"CA (2)";#N/A,#N/A,FALSE,"CN (2)"}</definedName>
    <definedName name="cristina" hidden="1">{#N/A,#N/A,FALSE,"CA";#N/A,#N/A,FALSE,"CN";#N/A,#N/A,FALSE,"Inv";#N/A,#N/A,FALSE,"Inv Acc";"Miguel_balance",#N/A,FALSE,"Bal";#N/A,#N/A,FALSE,"Plantilla";#N/A,#N/A,FALSE,"CA (2)";#N/A,#N/A,FALSE,"CN (2)"}</definedName>
    <definedName name="_xlnm.Criteria" hidden="1">{#N/A,#N/A,FALSE,"GRAFICO";#N/A,#N/A,FALSE,"CAJA (2)";#N/A,#N/A,FALSE,"TERCEROS-PROMEDIO";#N/A,#N/A,FALSE,"CAJA";#N/A,#N/A,FALSE,"INGRESOS1995-2003";#N/A,#N/A,FALSE,"GASTOS1995-2003"}</definedName>
    <definedName name="CROISSANCE" localSheetId="8" hidden="1">{#N/A,#N/A,FALSE,"MERCHANT GAS MARGIN";#N/A,#N/A,FALSE,"BULK";#N/A,#N/A,FALSE,"BULK CO2";#N/A,#N/A,FALSE,"ON-SITE";#N/A,#N/A,FALSE,"CYLINDERS"}</definedName>
    <definedName name="CROISSANCE" hidden="1">{#N/A,#N/A,FALSE,"MERCHANT GAS MARGIN";#N/A,#N/A,FALSE,"BULK";#N/A,#N/A,FALSE,"BULK CO2";#N/A,#N/A,FALSE,"ON-SITE";#N/A,#N/A,FALSE,"CYLINDERS"}</definedName>
    <definedName name="CROISSANCE_1" localSheetId="8" hidden="1">{#N/A,#N/A,FALSE,"MERCHANT GAS MARGIN";#N/A,#N/A,FALSE,"BULK";#N/A,#N/A,FALSE,"BULK CO2";#N/A,#N/A,FALSE,"ON-SITE";#N/A,#N/A,FALSE,"CYLINDERS"}</definedName>
    <definedName name="CROISSANCE_1" hidden="1">{#N/A,#N/A,FALSE,"MERCHANT GAS MARGIN";#N/A,#N/A,FALSE,"BULK";#N/A,#N/A,FALSE,"BULK CO2";#N/A,#N/A,FALSE,"ON-SITE";#N/A,#N/A,FALSE,"CYLINDERS"}</definedName>
    <definedName name="crt" hidden="1">{#N/A,#N/A,FALSE,"GRAFICO";#N/A,#N/A,FALSE,"CAJA (2)";#N/A,#N/A,FALSE,"TERCEROS-PROMEDIO";#N/A,#N/A,FALSE,"CAJA";#N/A,#N/A,FALSE,"INGRESOS1995-2003";#N/A,#N/A,FALSE,"GASTOS1995-2003"}</definedName>
    <definedName name="crude" hidden="1">#REF!</definedName>
    <definedName name="Crystal_1_1_WEBI_DataGrid" hidden="1">#REF!</definedName>
    <definedName name="Crystal_1_1_WEBI_Table" hidden="1">#REF!</definedName>
    <definedName name="Crystal_1_1_WEBI_VHeading" hidden="1">#REF!</definedName>
    <definedName name="Crystal_2_1_WEBI_DataGrid" hidden="1">#REF!</definedName>
    <definedName name="Crystal_2_1_WEBI_HHeading" hidden="1">#REF!</definedName>
    <definedName name="Crystal_2_1_WEBI_ReportCrossTab" hidden="1">#REF!</definedName>
    <definedName name="Crystal_2_1_WEBI_Space" hidden="1">#REF!</definedName>
    <definedName name="Crystal_2_1_WEBI_VHeading" hidden="1">#REF!</definedName>
    <definedName name="cs" localSheetId="8" hidden="1">{"AS REP",#N/A,FALSE,"EEFSNAP2";"PROP",#N/A,FALSE,"EEFSNAP2";"RISKS",#N/A,FALSE,"EEFSNAP2";"VIEW ALL",#N/A,FALSE,"EEFSNAP2"}</definedName>
    <definedName name="cs" hidden="1">{"AS REP",#N/A,FALSE,"EEFSNAP2";"PROP",#N/A,FALSE,"EEFSNAP2";"RISKS",#N/A,FALSE,"EEFSNAP2";"VIEW ALL",#N/A,FALSE,"EEFSNAP2"}</definedName>
    <definedName name="csa" localSheetId="8" hidden="1">{"TXO2N2_GP",#N/A,FALSE,"MTHLYGP";"TXH2_GP",#N/A,FALSE,"MTHLYGP";"LOUIS_GP",#N/A,FALSE,"MTHLYGP";"H2_GP",#N/A,FALSE,"MTHLYGP";"O2N2_GP",#N/A,FALSE,"MTHLYGP";"PACKAGE_GP",#N/A,FALSE,"MTHLYGP";"OTHER_GP",#N/A,FALSE,"MTHLYGP"}</definedName>
    <definedName name="csa" hidden="1">{"TXO2N2_GP",#N/A,FALSE,"MTHLYGP";"TXH2_GP",#N/A,FALSE,"MTHLYGP";"LOUIS_GP",#N/A,FALSE,"MTHLYGP";"H2_GP",#N/A,FALSE,"MTHLYGP";"O2N2_GP",#N/A,FALSE,"MTHLYGP";"PACKAGE_GP",#N/A,FALSE,"MTHLYGP";"OTHER_GP",#N/A,FALSE,"MTHLYGP"}</definedName>
    <definedName name="CSDCDS" hidden="1">#REF!</definedName>
    <definedName name="csdln" hidden="1">#REF!</definedName>
    <definedName name="CSSL" localSheetId="8" hidden="1">{#N/A,#N/A,FALSE,"IR E CS 1997";#N/A,#N/A,FALSE,"PR ND";#N/A,#N/A,FALSE,"8191";#N/A,#N/A,FALSE,"8383";#N/A,#N/A,FALSE,"MP 1024";#N/A,#N/A,FALSE,"AD_EX_97";#N/A,#N/A,FALSE,"BD 97"}</definedName>
    <definedName name="CSSL" hidden="1">{#N/A,#N/A,FALSE,"IR E CS 1997";#N/A,#N/A,FALSE,"PR ND";#N/A,#N/A,FALSE,"8191";#N/A,#N/A,FALSE,"8383";#N/A,#N/A,FALSE,"MP 1024";#N/A,#N/A,FALSE,"AD_EX_97";#N/A,#N/A,FALSE,"BD 97"}</definedName>
    <definedName name="CSSL1998" localSheetId="8" hidden="1">{#N/A,#N/A,FALSE,"IR E CS 1997";#N/A,#N/A,FALSE,"PR ND";#N/A,#N/A,FALSE,"8191";#N/A,#N/A,FALSE,"8383";#N/A,#N/A,FALSE,"MP 1024";#N/A,#N/A,FALSE,"AD_EX_97";#N/A,#N/A,FALSE,"BD 97"}</definedName>
    <definedName name="CSSL1998" hidden="1">{#N/A,#N/A,FALSE,"IR E CS 1997";#N/A,#N/A,FALSE,"PR ND";#N/A,#N/A,FALSE,"8191";#N/A,#N/A,FALSE,"8383";#N/A,#N/A,FALSE,"MP 1024";#N/A,#N/A,FALSE,"AD_EX_97";#N/A,#N/A,FALSE,"BD 97"}</definedName>
    <definedName name="ctardossuma" localSheetId="8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ctardossuma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cu102.ShareScalingFactor" hidden="1">1000000</definedName>
    <definedName name="cu103.EmployeeScalingFactor" hidden="1">1000</definedName>
    <definedName name="cu107.DPSSymbol" hidden="1">"p"</definedName>
    <definedName name="cu107.EPSSymbol" hidden="1">"CHF"</definedName>
    <definedName name="cu71.ScalingFactor" hidden="1">1000000</definedName>
    <definedName name="CUA" localSheetId="8" hidden="1">{#N/A,#N/A,FALSE,"Aging Summary";#N/A,#N/A,FALSE,"Ratio Analysis";#N/A,#N/A,FALSE,"Test 120 Day Accts";#N/A,#N/A,FALSE,"Tickmarks"}</definedName>
    <definedName name="CUA" hidden="1">{#N/A,#N/A,FALSE,"Aging Summary";#N/A,#N/A,FALSE,"Ratio Analysis";#N/A,#N/A,FALSE,"Test 120 Day Accts";#N/A,#N/A,FALSE,"Tickmarks"}</definedName>
    <definedName name="cur" localSheetId="8" hidden="1">{"'EARLY LIFE SAVINGS - COSTS '!$A$1:$N$56"}</definedName>
    <definedName name="cur" hidden="1">{"'EARLY LIFE SAVINGS - COSTS '!$A$1:$N$56"}</definedName>
    <definedName name="CurMonth" hidden="1">#REF!</definedName>
    <definedName name="CURRENCYVALUE" hidden="1">100</definedName>
    <definedName name="CURRENCYVALUE2" hidden="1">100</definedName>
    <definedName name="custom2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Customer" hidden="1">{"'P&amp;L'!$AE$9"}</definedName>
    <definedName name="Custos" hidden="1">{#N/A,#N/A,FALSE,"Acum Julio - 00"}</definedName>
    <definedName name="CUTDATE" hidden="1">" "</definedName>
    <definedName name="cv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cvb" localSheetId="8" hidden="1">{"detail",#N/A,FALSE,"mfg";"summary",#N/A,FALSE,"mfg"}</definedName>
    <definedName name="cvb" hidden="1">{"detail",#N/A,FALSE,"mfg";"summary",#N/A,FALSE,"mfg"}</definedName>
    <definedName name="cvb_1" localSheetId="8" hidden="1">{#N/A,#N/A,FALSE,"Operations";#N/A,#N/A,FALSE,"Financials"}</definedName>
    <definedName name="cvb_1" hidden="1">{#N/A,#N/A,FALSE,"Operations";#N/A,#N/A,FALSE,"Financials"}</definedName>
    <definedName name="cvbn" localSheetId="8" hidden="1">{"vol data",#N/A,FALSE,"Datasheet";"vol graph",#N/A,FALSE,"Volume";"price data",#N/A,FALSE,"Datasheet";"price graph",#N/A,FALSE,"Price";"dp data",#N/A,FALSE,"Datasheet";"dp graph",#N/A,FALSE,"DirectProfit"}</definedName>
    <definedName name="cvbn" hidden="1">{"vol data",#N/A,FALSE,"Datasheet";"vol graph",#N/A,FALSE,"Volume";"price data",#N/A,FALSE,"Datasheet";"price graph",#N/A,FALSE,"Price";"dp data",#N/A,FALSE,"Datasheet";"dp graph",#N/A,FALSE,"DirectProfit"}</definedName>
    <definedName name="cvbncvnvbn" localSheetId="8" hidden="1">{#N/A,#N/A,FALSE,"Operations";#N/A,#N/A,FALSE,"Financials"}</definedName>
    <definedName name="cvbncvnvbn" hidden="1">{#N/A,#N/A,FALSE,"Operations";#N/A,#N/A,FALSE,"Financials"}</definedName>
    <definedName name="cvbncvnvbn_1" localSheetId="8" hidden="1">{#N/A,#N/A,FALSE,"Operations";#N/A,#N/A,FALSE,"Financials"}</definedName>
    <definedName name="cvbncvnvbn_1" hidden="1">{#N/A,#N/A,FALSE,"Operations";#N/A,#N/A,FALSE,"Financials"}</definedName>
    <definedName name="cvc" localSheetId="8" hidden="1">{#N/A,#N/A,FALSE,"KA CH  (2)"}</definedName>
    <definedName name="cvc" hidden="1">{#N/A,#N/A,FALSE,"KA CH  (2)"}</definedName>
    <definedName name="cvcv" localSheetId="8" hidden="1">{"AS REP",#N/A,FALSE,"EEFSNAP2";"PROP",#N/A,FALSE,"EEFSNAP2";"RISKS",#N/A,FALSE,"EEFSNAP2";"VIEW ALL",#N/A,FALSE,"EEFSNAP2"}</definedName>
    <definedName name="cvcv" hidden="1">{"AS REP",#N/A,FALSE,"EEFSNAP2";"PROP",#N/A,FALSE,"EEFSNAP2";"RISKS",#N/A,FALSE,"EEFSNAP2";"VIEW ALL",#N/A,FALSE,"EEFSNAP2"}</definedName>
    <definedName name="cvg" localSheetId="8" hidden="1">{#N/A,#N/A,FALSE,"F94is";#N/A,#N/A,FALSE,"T94is";#N/A,#N/A,FALSE,"TOT94is";#N/A,#N/A,FALSE,"f94oh";#N/A,#N/A,FALSE,"Toh94";#N/A,#N/A,FALSE,"TOT94oh";#N/A,#N/A,FALSE,"SGA94";#N/A,#N/A,FALSE,"bs94";#N/A,#N/A,FALSE,"debt";#N/A,#N/A,FALSE,"f94proj";#N/A,#N/A,FALSE,"t94proj";#N/A,#N/A,FALSE,"tot94proj";#N/A,#N/A,FALSE,"f94ohproj";#N/A,#N/A,FALSE,"t94ohproj";#N/A,#N/A,FALSE,"tot94ohproj";#N/A,#N/A,FALSE,"projsga";#N/A,#N/A,FALSE,"projcf";#N/A,#N/A,FALSE,"Projline";#N/A,#N/A,FALSE,"bankline";#N/A,#N/A,FALSE,"Fast95is";#N/A,#N/A,FALSE,"tool95is";#N/A,#N/A,FALSE,"tot95is";#N/A,#N/A,FALSE,"tool950h";#N/A,#N/A,FALSE,"fas95oh";#N/A,#N/A,FALSE,"tot95oh";#N/A,#N/A,FALSE,"95sga"}</definedName>
    <definedName name="cvg" hidden="1">{#N/A,#N/A,FALSE,"F94is";#N/A,#N/A,FALSE,"T94is";#N/A,#N/A,FALSE,"TOT94is";#N/A,#N/A,FALSE,"f94oh";#N/A,#N/A,FALSE,"Toh94";#N/A,#N/A,FALSE,"TOT94oh";#N/A,#N/A,FALSE,"SGA94";#N/A,#N/A,FALSE,"bs94";#N/A,#N/A,FALSE,"debt";#N/A,#N/A,FALSE,"f94proj";#N/A,#N/A,FALSE,"t94proj";#N/A,#N/A,FALSE,"tot94proj";#N/A,#N/A,FALSE,"f94ohproj";#N/A,#N/A,FALSE,"t94ohproj";#N/A,#N/A,FALSE,"tot94ohproj";#N/A,#N/A,FALSE,"projsga";#N/A,#N/A,FALSE,"projcf";#N/A,#N/A,FALSE,"Projline";#N/A,#N/A,FALSE,"bankline";#N/A,#N/A,FALSE,"Fast95is";#N/A,#N/A,FALSE,"tool95is";#N/A,#N/A,FALSE,"tot95is";#N/A,#N/A,FALSE,"tool950h";#N/A,#N/A,FALSE,"fas95oh";#N/A,#N/A,FALSE,"tot95oh";#N/A,#N/A,FALSE,"95sga"}</definedName>
    <definedName name="cvg_1" localSheetId="8" hidden="1">{#N/A,#N/A,FALSE,"F94is";#N/A,#N/A,FALSE,"T94is";#N/A,#N/A,FALSE,"TOT94is";#N/A,#N/A,FALSE,"f94oh";#N/A,#N/A,FALSE,"Toh94";#N/A,#N/A,FALSE,"TOT94oh";#N/A,#N/A,FALSE,"SGA94";#N/A,#N/A,FALSE,"bs94";#N/A,#N/A,FALSE,"debt";#N/A,#N/A,FALSE,"f94proj";#N/A,#N/A,FALSE,"t94proj";#N/A,#N/A,FALSE,"tot94proj";#N/A,#N/A,FALSE,"f94ohproj";#N/A,#N/A,FALSE,"t94ohproj";#N/A,#N/A,FALSE,"tot94ohproj";#N/A,#N/A,FALSE,"projsga";#N/A,#N/A,FALSE,"projcf";#N/A,#N/A,FALSE,"Projline";#N/A,#N/A,FALSE,"bankline";#N/A,#N/A,FALSE,"Fast95is";#N/A,#N/A,FALSE,"tool95is";#N/A,#N/A,FALSE,"tot95is";#N/A,#N/A,FALSE,"tool950h";#N/A,#N/A,FALSE,"fas95oh";#N/A,#N/A,FALSE,"tot95oh";#N/A,#N/A,FALSE,"95sga"}</definedName>
    <definedName name="cvg_1" hidden="1">{#N/A,#N/A,FALSE,"F94is";#N/A,#N/A,FALSE,"T94is";#N/A,#N/A,FALSE,"TOT94is";#N/A,#N/A,FALSE,"f94oh";#N/A,#N/A,FALSE,"Toh94";#N/A,#N/A,FALSE,"TOT94oh";#N/A,#N/A,FALSE,"SGA94";#N/A,#N/A,FALSE,"bs94";#N/A,#N/A,FALSE,"debt";#N/A,#N/A,FALSE,"f94proj";#N/A,#N/A,FALSE,"t94proj";#N/A,#N/A,FALSE,"tot94proj";#N/A,#N/A,FALSE,"f94ohproj";#N/A,#N/A,FALSE,"t94ohproj";#N/A,#N/A,FALSE,"tot94ohproj";#N/A,#N/A,FALSE,"projsga";#N/A,#N/A,FALSE,"projcf";#N/A,#N/A,FALSE,"Projline";#N/A,#N/A,FALSE,"bankline";#N/A,#N/A,FALSE,"Fast95is";#N/A,#N/A,FALSE,"tool95is";#N/A,#N/A,FALSE,"tot95is";#N/A,#N/A,FALSE,"tool950h";#N/A,#N/A,FALSE,"fas95oh";#N/A,#N/A,FALSE,"tot95oh";#N/A,#N/A,FALSE,"95sga"}</definedName>
    <definedName name="CVNCVNBVN" localSheetId="8" hidden="1">{"comp1",#N/A,FALSE,"COMPS";"footnotes",#N/A,FALSE,"COMPS"}</definedName>
    <definedName name="CVNCVNBVN" hidden="1">{"comp1",#N/A,FALSE,"COMPS";"footnotes",#N/A,FALSE,"COMPS"}</definedName>
    <definedName name="CVNCVNBVN_1" localSheetId="8" hidden="1">{"comp1",#N/A,FALSE,"COMPS";"footnotes",#N/A,FALSE,"COMPS"}</definedName>
    <definedName name="CVNCVNBVN_1" hidden="1">{"comp1",#N/A,FALSE,"COMPS";"footnotes",#N/A,FALSE,"COMPS"}</definedName>
    <definedName name="cvxc" localSheetId="8" hidden="1">{#N/A,#N/A,FALSE,"EMEA";#N/A,#N/A,FALSE,"INT'L ROLLUP";#N/A,#N/A,FALSE,"ASIA PACIFIC";#N/A,#N/A,FALSE,"INTL MGMT";#N/A,#N/A,FALSE,"LATIN AMERICA";#N/A,#N/A,FALSE,"CANADA"}</definedName>
    <definedName name="cvxc" hidden="1">{#N/A,#N/A,FALSE,"EMEA";#N/A,#N/A,FALSE,"INT'L ROLLUP";#N/A,#N/A,FALSE,"ASIA PACIFIC";#N/A,#N/A,FALSE,"INTL MGMT";#N/A,#N/A,FALSE,"LATIN AMERICA";#N/A,#N/A,FALSE,"CANADA"}</definedName>
    <definedName name="cwlksd" localSheetId="8" hidden="1">{#N/A,#N/A,FALSE,"Aging Summary";#N/A,#N/A,FALSE,"Ratio Analysis";#N/A,#N/A,FALSE,"Test 120 Day Accts";#N/A,#N/A,FALSE,"Tickmarks"}</definedName>
    <definedName name="cwlksd" hidden="1">{#N/A,#N/A,FALSE,"Aging Summary";#N/A,#N/A,FALSE,"Ratio Analysis";#N/A,#N/A,FALSE,"Test 120 Day Accts";#N/A,#N/A,FALSE,"Tickmarks"}</definedName>
    <definedName name="Cwvu.CE_BF_AG." hidden="1">#REF!</definedName>
    <definedName name="Cwvu.CE_BF_MGD." hidden="1">#REF!</definedName>
    <definedName name="Cwvu.CE_BF_UTILE." hidden="1">#REF!</definedName>
    <definedName name="Cwvu.FASE1_BUDGET." hidden="1">#REF!</definedName>
    <definedName name="Cwvu.FASE1_REVBUDGET." hidden="1">#REF!</definedName>
    <definedName name="Cwvu.FASE2_BUDGET." hidden="1">#REF!</definedName>
    <definedName name="Cwvu.FASE2_REVBUDGET." hidden="1">#REF!</definedName>
    <definedName name="Cwvu.FASE3_BUDGET." hidden="1">#REF!</definedName>
    <definedName name="Cwvu.FASE3_REVBUDGET." hidden="1">#REF!</definedName>
    <definedName name="Cwvu.FASE4_BUDGET." hidden="1">#REF!</definedName>
    <definedName name="Cwvu.FASE4_REVBUDGET." hidden="1">#REF!</definedName>
    <definedName name="Cwvu.FASI_RIEPILOGO_BUDGET." hidden="1">#REF!</definedName>
    <definedName name="Cwvu.FASI_RIEPILOGO_REVBUDGET." hidden="1">#REF!</definedName>
    <definedName name="Cwvu.GREY_ALL." localSheetId="7" hidden="1">#REF!</definedName>
    <definedName name="Cwvu.GREY_ALL." localSheetId="8" hidden="1">#REF!</definedName>
    <definedName name="Cwvu.GREY_ALL." hidden="1">#REF!</definedName>
    <definedName name="Cwvu.IMPOSTE_BF." hidden="1">#REF!</definedName>
    <definedName name="Cwvu.Page1." hidden="1">#REF!,#REF!,#REF!,#REF!,#REF!,#REF!,#REF!,#REF!,#REF!</definedName>
    <definedName name="Cwvu.Page2." hidden="1">#REF!,#REF!,#REF!,#REF!,#REF!,#REF!,#REF!,#REF!,#REF!</definedName>
    <definedName name="Cwvu.Page3." hidden="1">#REF!,#REF!,#REF!,#REF!,#REF!,#REF!,#REF!,#REF!,#REF!</definedName>
    <definedName name="Cwvu.Page4." hidden="1">#REF!,#REF!,#REF!,#REF!,#REF!,#REF!,#REF!,#REF!,#REF!</definedName>
    <definedName name="Cwvu.RACC_IMP." hidden="1">#REF!</definedName>
    <definedName name="Cwvu.REV_DIV." hidden="1">#REF!</definedName>
    <definedName name="cx" localSheetId="8" hidden="1">{#N/A,#N/A,FALSE,"Min compa cad";#N/A,#N/A,FALSE,"Min CAN Equité ";#N/A,#N/A,FALSE,"Analyse can"}</definedName>
    <definedName name="cx" hidden="1">{#N/A,#N/A,FALSE,"Min compa cad";#N/A,#N/A,FALSE,"Min CAN Equité ";#N/A,#N/A,FALSE,"Analyse can"}</definedName>
    <definedName name="cxfh" localSheetId="8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cxfh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cxfh_1" localSheetId="8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cxfh_1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cxv" localSheetId="8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cxv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cxvbvcxb" hidden="1">#REF!</definedName>
    <definedName name="cxvsd" localSheetId="8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cxvsd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cyril" localSheetId="8" hidden="1">{"CECons",#N/A,FALSE,"CE"}</definedName>
    <definedName name="cyril" hidden="1">{"CECons",#N/A,FALSE,"CE"}</definedName>
    <definedName name="cyril_1" localSheetId="8" hidden="1">{"CECons",#N/A,FALSE,"CE"}</definedName>
    <definedName name="cyril_1" hidden="1">{"CECons",#N/A,FALSE,"CE"}</definedName>
    <definedName name="cz" localSheetId="8" hidden="1">{"pro_view",#N/A,FALSE,"EEFSNAP2";"rep_view",#N/A,FALSE,"EEFSNAP2"}</definedName>
    <definedName name="cz" hidden="1">{"pro_view",#N/A,FALSE,"EEFSNAP2";"rep_view",#N/A,FALSE,"EEFSNAP2"}</definedName>
    <definedName name="czf" localSheetId="8" hidden="1">{"AS REP",#N/A,FALSE,"EEFSNAP2";"PROP",#N/A,FALSE,"EEFSNAP2";"RISKS",#N/A,FALSE,"EEFSNAP2";"VIEW ALL",#N/A,FALSE,"EEFSNAP2"}</definedName>
    <definedName name="czf" hidden="1">{"AS REP",#N/A,FALSE,"EEFSNAP2";"PROP",#N/A,FALSE,"EEFSNAP2";"RISKS",#N/A,FALSE,"EEFSNAP2";"VIEW ALL",#N/A,FALSE,"EEFSNAP2"}</definedName>
    <definedName name="CZH" hidden="1">#REF!</definedName>
    <definedName name="CZH0DEUX" hidden="1">#REF!</definedName>
    <definedName name="D" localSheetId="7" hidden="1">#REF!</definedName>
    <definedName name="d" localSheetId="8" hidden="1">Main.SAPF4Help()</definedName>
    <definedName name="d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D.DCF1" hidden="1">#REF!</definedName>
    <definedName name="D.DCF2" hidden="1">#REF!</definedName>
    <definedName name="D.DCF3" hidden="1">#REF!</definedName>
    <definedName name="D.DCF4" hidden="1">#REF!</definedName>
    <definedName name="D.DCF5" hidden="1">#REF!</definedName>
    <definedName name="D.DCF6" hidden="1">#REF!</definedName>
    <definedName name="D.DCF7" hidden="1">#REF!</definedName>
    <definedName name="D.DCF8" hidden="1">#REF!</definedName>
    <definedName name="DA_1113836407800000617" hidden="1">#REF!</definedName>
    <definedName name="DA_1826568454900000496" hidden="1">#REF!</definedName>
    <definedName name="DA_1826568454900000567" hidden="1">#REF!</definedName>
    <definedName name="DA_1826568454900000587" hidden="1">#REF!</definedName>
    <definedName name="DA_1826568454900000593" hidden="1">#REF!</definedName>
    <definedName name="DA_1826568454900000597" hidden="1">#REF!</definedName>
    <definedName name="DA_1826568454900000603" hidden="1">#REF!</definedName>
    <definedName name="DA_1826568454900000635" hidden="1">#REF!</definedName>
    <definedName name="DA_1826568454900000639" hidden="1">#REF!</definedName>
    <definedName name="DA_1826568454900000699" hidden="1">#REF!</definedName>
    <definedName name="DA_1826568454900000704" hidden="1">#REF!</definedName>
    <definedName name="DA_1826568454900000720" hidden="1">#REF!</definedName>
    <definedName name="DA_1826568454900000725" hidden="1">#REF!</definedName>
    <definedName name="DA_1826568454900000777" hidden="1">#REF!</definedName>
    <definedName name="DA_2199563515800000005" hidden="1">#REF!</definedName>
    <definedName name="DA_2199563515800000011" hidden="1">#REF!</definedName>
    <definedName name="DA_2199563515800000016" hidden="1">#REF!</definedName>
    <definedName name="DA_2199563515800000024" hidden="1">#REF!</definedName>
    <definedName name="DA_2199563515800000036" hidden="1">#REF!</definedName>
    <definedName name="DA_2199563515800000040" hidden="1">#REF!</definedName>
    <definedName name="DA_2199563515800000045" hidden="1">#REF!</definedName>
    <definedName name="daaaad" localSheetId="8" hidden="1">{#N/A,#N/A,FALSE,"Assessment";#N/A,#N/A,FALSE,"Staffing";#N/A,#N/A,FALSE,"Hires";#N/A,#N/A,FALSE,"Assumptions"}</definedName>
    <definedName name="daaaad" hidden="1">{#N/A,#N/A,FALSE,"Assessment";#N/A,#N/A,FALSE,"Staffing";#N/A,#N/A,FALSE,"Hires";#N/A,#N/A,FALSE,"Assumptions"}</definedName>
    <definedName name="DAD" localSheetId="7" hidden="1">{#N/A,#N/A,FALSE,"REPORT"}</definedName>
    <definedName name="DAD" localSheetId="8" hidden="1">{#N/A,#N/A,FALSE,"REPORT"}</definedName>
    <definedName name="DAD" hidden="1">{#N/A,#N/A,FALSE,"REPORT"}</definedName>
    <definedName name="dadadasdsa" localSheetId="8" hidden="1">{"'EARLY LIFE SAVINGS - COSTS '!$A$1:$N$56"}</definedName>
    <definedName name="dadadasdsa" hidden="1">{"'EARLY LIFE SAVINGS - COSTS '!$A$1:$N$56"}</definedName>
    <definedName name="dadasd" hidden="1">#REF!</definedName>
    <definedName name="DADF" localSheetId="7" hidden="1">{#N/A,#N/A,FALSE,"REPORT"}</definedName>
    <definedName name="DADF" localSheetId="8" hidden="1">{#N/A,#N/A,FALSE,"REPORT"}</definedName>
    <definedName name="DADF" hidden="1">{#N/A,#N/A,FALSE,"REPORT"}</definedName>
    <definedName name="dados_ok" hidden="1">{#N/A,#N/A,FALSE,"NET";#N/A,#N/A,FALSE,"caxi";#N/A,#N/A,FALSE,"nhai";#N/A,#N/A,FALSE,"urui";#N/A,#N/A,FALSE,"cali";#N/A,#N/A,FALSE,"joii";#N/A,#N/A,FALSE,"hol";#N/A,#N/A,FALSE,"poa";#N/A,#N/A,FALSE,"pel";#N/A,#N/A,FALSE,"cha";#N/A,#N/A,FALSE,"rgr";#N/A,#N/A,FALSE,"ere";#N/A,#N/A,FALSE,"scr";#N/A,#N/A,FALSE,"cri";#N/A,#N/A,FALSE,"bag";#N/A,#N/A,FALSE,"pfu";#N/A,#N/A,FALSE,"lit";#N/A,#N/A,FALSE,"mmd";#N/A,#N/A,FALSE,"sma";#N/A,#N/A,FALSE,"btg";#N/A,#N/A,FALSE,"far";#N/A,#N/A,FALSE,"laj";#N/A,#N/A,FALSE,"flo";#N/A,#N/A,FALSE,"076";#N/A,#N/A,FALSE,"iflo";#N/A,#N/A,FALSE,"blu"}</definedName>
    <definedName name="dados2" hidden="1">{#N/A,#N/A,FALSE,"NET";#N/A,#N/A,FALSE,"caxi";#N/A,#N/A,FALSE,"nhai";#N/A,#N/A,FALSE,"urui";#N/A,#N/A,FALSE,"cali";#N/A,#N/A,FALSE,"joii";#N/A,#N/A,FALSE,"hol";#N/A,#N/A,FALSE,"poa";#N/A,#N/A,FALSE,"pel";#N/A,#N/A,FALSE,"cha";#N/A,#N/A,FALSE,"rgr";#N/A,#N/A,FALSE,"ere";#N/A,#N/A,FALSE,"scr";#N/A,#N/A,FALSE,"cri";#N/A,#N/A,FALSE,"bag";#N/A,#N/A,FALSE,"pfu";#N/A,#N/A,FALSE,"lit";#N/A,#N/A,FALSE,"mmd";#N/A,#N/A,FALSE,"sma";#N/A,#N/A,FALSE,"btg";#N/A,#N/A,FALSE,"far";#N/A,#N/A,FALSE,"laj";#N/A,#N/A,FALSE,"flo";#N/A,#N/A,FALSE,"076";#N/A,#N/A,FALSE,"iflo";#N/A,#N/A,FALSE,"blu"}</definedName>
    <definedName name="dados3" hidden="1">{#N/A,#N/A,FALSE,"NET";#N/A,#N/A,FALSE,"caxi";#N/A,#N/A,FALSE,"nhai";#N/A,#N/A,FALSE,"urui";#N/A,#N/A,FALSE,"cali";#N/A,#N/A,FALSE,"joii";#N/A,#N/A,FALSE,"hol";#N/A,#N/A,FALSE,"poa";#N/A,#N/A,FALSE,"pel";#N/A,#N/A,FALSE,"cha";#N/A,#N/A,FALSE,"rgr";#N/A,#N/A,FALSE,"ere";#N/A,#N/A,FALSE,"scr";#N/A,#N/A,FALSE,"cri";#N/A,#N/A,FALSE,"bag";#N/A,#N/A,FALSE,"pfu";#N/A,#N/A,FALSE,"lit";#N/A,#N/A,FALSE,"mmd";#N/A,#N/A,FALSE,"sma";#N/A,#N/A,FALSE,"btg";#N/A,#N/A,FALSE,"far";#N/A,#N/A,FALSE,"laj";#N/A,#N/A,FALSE,"flo";#N/A,#N/A,FALSE,"076";#N/A,#N/A,FALSE,"iflo";#N/A,#N/A,FALSE,"blu"}</definedName>
    <definedName name="dados31" hidden="1">{#N/A,#N/A,FALSE,"NET";#N/A,#N/A,FALSE,"caxi";#N/A,#N/A,FALSE,"nhai";#N/A,#N/A,FALSE,"urui";#N/A,#N/A,FALSE,"cali";#N/A,#N/A,FALSE,"joii";#N/A,#N/A,FALSE,"hol";#N/A,#N/A,FALSE,"poa";#N/A,#N/A,FALSE,"pel";#N/A,#N/A,FALSE,"cha";#N/A,#N/A,FALSE,"rgr";#N/A,#N/A,FALSE,"ere";#N/A,#N/A,FALSE,"scr";#N/A,#N/A,FALSE,"cri";#N/A,#N/A,FALSE,"bag";#N/A,#N/A,FALSE,"pfu";#N/A,#N/A,FALSE,"lit";#N/A,#N/A,FALSE,"mmd";#N/A,#N/A,FALSE,"sma";#N/A,#N/A,FALSE,"btg";#N/A,#N/A,FALSE,"far";#N/A,#N/A,FALSE,"laj";#N/A,#N/A,FALSE,"flo";#N/A,#N/A,FALSE,"076";#N/A,#N/A,FALSE,"iflo";#N/A,#N/A,FALSE,"blu"}</definedName>
    <definedName name="dadosok" hidden="1">{#N/A,#N/A,FALSE,"NET";#N/A,#N/A,FALSE,"caxi";#N/A,#N/A,FALSE,"nhai";#N/A,#N/A,FALSE,"urui";#N/A,#N/A,FALSE,"cali";#N/A,#N/A,FALSE,"joii";#N/A,#N/A,FALSE,"hol";#N/A,#N/A,FALSE,"poa";#N/A,#N/A,FALSE,"pel";#N/A,#N/A,FALSE,"cha";#N/A,#N/A,FALSE,"rgr";#N/A,#N/A,FALSE,"ere";#N/A,#N/A,FALSE,"scr";#N/A,#N/A,FALSE,"cri";#N/A,#N/A,FALSE,"bag";#N/A,#N/A,FALSE,"pfu";#N/A,#N/A,FALSE,"lit";#N/A,#N/A,FALSE,"mmd";#N/A,#N/A,FALSE,"sma";#N/A,#N/A,FALSE,"btg";#N/A,#N/A,FALSE,"far";#N/A,#N/A,FALSE,"laj";#N/A,#N/A,FALSE,"flo";#N/A,#N/A,FALSE,"076";#N/A,#N/A,FALSE,"iflo";#N/A,#N/A,FALSE,"blu"}</definedName>
    <definedName name="dadsd" localSheetId="8" hidden="1">{#N/A,#N/A,FALSE,"DCF Summary";#N/A,#N/A,FALSE,"Casema";#N/A,#N/A,FALSE,"Casema NoTel";#N/A,#N/A,FALSE,"UK";#N/A,#N/A,FALSE,"RCF";#N/A,#N/A,FALSE,"Intercable CZ";#N/A,#N/A,FALSE,"Interkabel P"}</definedName>
    <definedName name="dadsd" hidden="1">{#N/A,#N/A,FALSE,"DCF Summary";#N/A,#N/A,FALSE,"Casema";#N/A,#N/A,FALSE,"Casema NoTel";#N/A,#N/A,FALSE,"UK";#N/A,#N/A,FALSE,"RCF";#N/A,#N/A,FALSE,"Intercable CZ";#N/A,#N/A,FALSE,"Interkabel P"}</definedName>
    <definedName name="daf" localSheetId="7" hidden="1">{#N/A,#N/A,FALSE,"1";#N/A,#N/A,FALSE,"2";#N/A,#N/A,FALSE,"16 - 17";#N/A,#N/A,FALSE,"18 - 19";#N/A,#N/A,FALSE,"26";#N/A,#N/A,FALSE,"27";#N/A,#N/A,FALSE,"28"}</definedName>
    <definedName name="daf" localSheetId="8" hidden="1">{#N/A,#N/A,FALSE,"1";#N/A,#N/A,FALSE,"2";#N/A,#N/A,FALSE,"16 - 17";#N/A,#N/A,FALSE,"18 - 19";#N/A,#N/A,FALSE,"26";#N/A,#N/A,FALSE,"27";#N/A,#N/A,FALSE,"28"}</definedName>
    <definedName name="daf" hidden="1">{#N/A,#N/A,FALSE,"1";#N/A,#N/A,FALSE,"2";#N/A,#N/A,FALSE,"16 - 17";#N/A,#N/A,FALSE,"18 - 19";#N/A,#N/A,FALSE,"26";#N/A,#N/A,FALSE,"27";#N/A,#N/A,FALSE,"28"}</definedName>
    <definedName name="DAFG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dafgadg" localSheetId="8" hidden="1">{"consolidated",#N/A,FALSE,"Sheet1";"cms",#N/A,FALSE,"Sheet1";"fse",#N/A,FALSE,"Sheet1"}</definedName>
    <definedName name="dafgadg" hidden="1">{"consolidated",#N/A,FALSE,"Sheet1";"cms",#N/A,FALSE,"Sheet1";"fse",#N/A,FALSE,"Sheet1"}</definedName>
    <definedName name="dafgadg_1" localSheetId="8" hidden="1">{"consolidated",#N/A,FALSE,"Sheet1";"cms",#N/A,FALSE,"Sheet1";"fse",#N/A,FALSE,"Sheet1"}</definedName>
    <definedName name="dafgadg_1" hidden="1">{"consolidated",#N/A,FALSE,"Sheet1";"cms",#N/A,FALSE,"Sheet1";"fse",#N/A,FALSE,"Sheet1"}</definedName>
    <definedName name="dafgadgf" localSheetId="8" hidden="1">{"hiden",#N/A,FALSE,"14";"hidden",#N/A,FALSE,"16";"hidden",#N/A,FALSE,"18";"hidden",#N/A,FALSE,"20"}</definedName>
    <definedName name="dafgadgf" hidden="1">{"hiden",#N/A,FALSE,"14";"hidden",#N/A,FALSE,"16";"hidden",#N/A,FALSE,"18";"hidden",#N/A,FALSE,"20"}</definedName>
    <definedName name="dafgadgf_1" localSheetId="8" hidden="1">{"hiden",#N/A,FALSE,"14";"hidden",#N/A,FALSE,"16";"hidden",#N/A,FALSE,"18";"hidden",#N/A,FALSE,"20"}</definedName>
    <definedName name="dafgadgf_1" hidden="1">{"hiden",#N/A,FALSE,"14";"hidden",#N/A,FALSE,"16";"hidden",#N/A,FALSE,"18";"hidden",#N/A,FALSE,"20"}</definedName>
    <definedName name="dafhvb" localSheetId="8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dafhv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dakfkjafgkeaj" localSheetId="7" hidden="1">{#N/A,#N/A,FALSE,"Pharm";#N/A,#N/A,FALSE,"WWCM"}</definedName>
    <definedName name="dakfkjafgkeaj" localSheetId="8" hidden="1">{#N/A,#N/A,FALSE,"Pharm";#N/A,#N/A,FALSE,"WWCM"}</definedName>
    <definedName name="dakfkjafgkeaj" hidden="1">{#N/A,#N/A,FALSE,"Pharm";#N/A,#N/A,FALSE,"WWCM"}</definedName>
    <definedName name="DALS_GrandTotal" hidden="1">#REF!</definedName>
    <definedName name="danilo" localSheetId="8" hidden="1">{#N/A,#N/A,TRUE,"Main Issues";#N/A,#N/A,TRUE,"Income statement ($)"}</definedName>
    <definedName name="danilo" hidden="1">{#N/A,#N/A,TRUE,"Main Issues";#N/A,#N/A,TRUE,"Income statement ($)"}</definedName>
    <definedName name="das" localSheetId="8" hidden="1">{#N/A,#N/A,FALSE,"Produkte Erw.";#N/A,#N/A,FALSE,"Produkte Plan";#N/A,#N/A,FALSE,"Leistungen Erw.";#N/A,#N/A,FALSE,"Leistungen Plan";#N/A,#N/A,FALSE,"KA Allg.Kosten (2)";#N/A,#N/A,FALSE,"KA All.Kosten"}</definedName>
    <definedName name="das" hidden="1">{#N/A,#N/A,FALSE,"Produkte Erw.";#N/A,#N/A,FALSE,"Produkte Plan";#N/A,#N/A,FALSE,"Leistungen Erw.";#N/A,#N/A,FALSE,"Leistungen Plan";#N/A,#N/A,FALSE,"KA Allg.Kosten (2)";#N/A,#N/A,FALSE,"KA All.Kosten"}</definedName>
    <definedName name="das_1" localSheetId="8" hidden="1">{#N/A,#N/A,TRUE,"Cover";#N/A,#N/A,TRUE,"Header (ld)";#N/A,#N/A,TRUE,"T&amp;O By Region";#N/A,#N/A,TRUE,"Region Charts ";#N/A,#N/A,TRUE,"T&amp;O London";#N/A,#N/A,TRUE,"AD Report";#N/A,#N/A,TRUE,"Var by OU"}</definedName>
    <definedName name="das_1" hidden="1">{#N/A,#N/A,TRUE,"Cover";#N/A,#N/A,TRUE,"Header (ld)";#N/A,#N/A,TRUE,"T&amp;O By Region";#N/A,#N/A,TRUE,"Region Charts ";#N/A,#N/A,TRUE,"T&amp;O London";#N/A,#N/A,TRUE,"AD Report";#N/A,#N/A,TRUE,"Var by OU"}</definedName>
    <definedName name="dasdsadsad" hidden="1">#N/A</definedName>
    <definedName name="dasdsas" hidden="1">{#N/A,#N/A,FALSE,"SIM95"}</definedName>
    <definedName name="dasf" localSheetId="8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dasf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dasf_1" localSheetId="8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dasf_1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dat" localSheetId="8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at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at_1" localSheetId="8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at_1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ata_summary" localSheetId="8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ata_summary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ata_summary_1" localSheetId="8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ata_summary_1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ata1" hidden="1">#REF!</definedName>
    <definedName name="data10" localSheetId="8" hidden="1">{#N/A,#N/A,FALSE,"BANNERS";#N/A,#N/A,FALSE,"Market";#N/A,#N/A,FALSE,"# of POP MAN";#N/A,#N/A,FALSE,"Penet Input";#N/A,#N/A,FALSE,"Tel Rev";#N/A,#N/A,FALSE,"Invest";#N/A,#N/A,FALSE,"Op Cost1";#N/A,#N/A,FALSE,"Op Cost2";#N/A,#N/A,FALSE,"Oth_&amp;_Tot_Revenues";#N/A,#N/A,FALSE,"Fin Mod";#N/A,#N/A,FALSE,"P&amp;E Burocrat";#N/A,#N/A,FALSE,"cash flow"}</definedName>
    <definedName name="data10" hidden="1">{#N/A,#N/A,FALSE,"BANNERS";#N/A,#N/A,FALSE,"Market";#N/A,#N/A,FALSE,"# of POP MAN";#N/A,#N/A,FALSE,"Penet Input";#N/A,#N/A,FALSE,"Tel Rev";#N/A,#N/A,FALSE,"Invest";#N/A,#N/A,FALSE,"Op Cost1";#N/A,#N/A,FALSE,"Op Cost2";#N/A,#N/A,FALSE,"Oth_&amp;_Tot_Revenues";#N/A,#N/A,FALSE,"Fin Mod";#N/A,#N/A,FALSE,"P&amp;E Burocrat";#N/A,#N/A,FALSE,"cash flow"}</definedName>
    <definedName name="data10_1" localSheetId="8" hidden="1">{#N/A,#N/A,FALSE,"BANNERS";#N/A,#N/A,FALSE,"Market";#N/A,#N/A,FALSE,"# of POP MAN";#N/A,#N/A,FALSE,"Penet Input";#N/A,#N/A,FALSE,"Tel Rev";#N/A,#N/A,FALSE,"Invest";#N/A,#N/A,FALSE,"Op Cost1";#N/A,#N/A,FALSE,"Op Cost2";#N/A,#N/A,FALSE,"Oth_&amp;_Tot_Revenues";#N/A,#N/A,FALSE,"Fin Mod";#N/A,#N/A,FALSE,"P&amp;E Burocrat";#N/A,#N/A,FALSE,"cash flow"}</definedName>
    <definedName name="data10_1" hidden="1">{#N/A,#N/A,FALSE,"BANNERS";#N/A,#N/A,FALSE,"Market";#N/A,#N/A,FALSE,"# of POP MAN";#N/A,#N/A,FALSE,"Penet Input";#N/A,#N/A,FALSE,"Tel Rev";#N/A,#N/A,FALSE,"Invest";#N/A,#N/A,FALSE,"Op Cost1";#N/A,#N/A,FALSE,"Op Cost2";#N/A,#N/A,FALSE,"Oth_&amp;_Tot_Revenues";#N/A,#N/A,FALSE,"Fin Mod";#N/A,#N/A,FALSE,"P&amp;E Burocrat";#N/A,#N/A,FALSE,"cash flow"}</definedName>
    <definedName name="data2" localSheetId="8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ata2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ata3" localSheetId="8" hidden="1">{#N/A,#N/A,FALSE,"BANNERS";#N/A,#N/A,FALSE,"Market";#N/A,#N/A,FALSE,"# of POP MAN";#N/A,#N/A,FALSE,"Penet Input";#N/A,#N/A,FALSE,"Tel Rev";#N/A,#N/A,FALSE,"Invest";#N/A,#N/A,FALSE,"Op Cost1";#N/A,#N/A,FALSE,"Op Cost2";#N/A,#N/A,FALSE,"Oth_&amp;_Tot_Revenues";#N/A,#N/A,FALSE,"Fin Mod";#N/A,#N/A,FALSE,"P&amp;E Burocrat";#N/A,#N/A,FALSE,"cash flow"}</definedName>
    <definedName name="data3" hidden="1">{#N/A,#N/A,FALSE,"BANNERS";#N/A,#N/A,FALSE,"Market";#N/A,#N/A,FALSE,"# of POP MAN";#N/A,#N/A,FALSE,"Penet Input";#N/A,#N/A,FALSE,"Tel Rev";#N/A,#N/A,FALSE,"Invest";#N/A,#N/A,FALSE,"Op Cost1";#N/A,#N/A,FALSE,"Op Cost2";#N/A,#N/A,FALSE,"Oth_&amp;_Tot_Revenues";#N/A,#N/A,FALSE,"Fin Mod";#N/A,#N/A,FALSE,"P&amp;E Burocrat";#N/A,#N/A,FALSE,"cash flow"}</definedName>
    <definedName name="data7" localSheetId="8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ata7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ata7_1" localSheetId="8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ata7_1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ata8" localSheetId="8" hidden="1">{#N/A,#N/A,FALSE,"BANNERS";#N/A,#N/A,FALSE,"Market";#N/A,#N/A,FALSE,"Tel Rev";#N/A,#N/A,FALSE,"Revenues IOL";#N/A,#N/A,FALSE,"Invest";#N/A,#N/A,FALSE,"Op Cost1";#N/A,#N/A,FALSE,"Op Cost2";#N/A,#N/A,FALSE,"Oth_&amp;_Tot_Revenues";#N/A,#N/A,FALSE,"Fin Mod";#N/A,#N/A,FALSE,"FinMod_RoW";#N/A,#N/A,FALSE,"P&amp;E Burocrat";#N/A,#N/A,FALSE,"cash flow"}</definedName>
    <definedName name="data8" hidden="1">{#N/A,#N/A,FALSE,"BANNERS";#N/A,#N/A,FALSE,"Market";#N/A,#N/A,FALSE,"Tel Rev";#N/A,#N/A,FALSE,"Revenues IOL";#N/A,#N/A,FALSE,"Invest";#N/A,#N/A,FALSE,"Op Cost1";#N/A,#N/A,FALSE,"Op Cost2";#N/A,#N/A,FALSE,"Oth_&amp;_Tot_Revenues";#N/A,#N/A,FALSE,"Fin Mod";#N/A,#N/A,FALSE,"FinMod_RoW";#N/A,#N/A,FALSE,"P&amp;E Burocrat";#N/A,#N/A,FALSE,"cash flow"}</definedName>
    <definedName name="data8_1" localSheetId="8" hidden="1">{#N/A,#N/A,FALSE,"BANNERS";#N/A,#N/A,FALSE,"Market";#N/A,#N/A,FALSE,"Tel Rev";#N/A,#N/A,FALSE,"Revenues IOL";#N/A,#N/A,FALSE,"Invest";#N/A,#N/A,FALSE,"Op Cost1";#N/A,#N/A,FALSE,"Op Cost2";#N/A,#N/A,FALSE,"Oth_&amp;_Tot_Revenues";#N/A,#N/A,FALSE,"Fin Mod";#N/A,#N/A,FALSE,"FinMod_RoW";#N/A,#N/A,FALSE,"P&amp;E Burocrat";#N/A,#N/A,FALSE,"cash flow"}</definedName>
    <definedName name="data8_1" hidden="1">{#N/A,#N/A,FALSE,"BANNERS";#N/A,#N/A,FALSE,"Market";#N/A,#N/A,FALSE,"Tel Rev";#N/A,#N/A,FALSE,"Revenues IOL";#N/A,#N/A,FALSE,"Invest";#N/A,#N/A,FALSE,"Op Cost1";#N/A,#N/A,FALSE,"Op Cost2";#N/A,#N/A,FALSE,"Oth_&amp;_Tot_Revenues";#N/A,#N/A,FALSE,"Fin Mod";#N/A,#N/A,FALSE,"FinMod_RoW";#N/A,#N/A,FALSE,"P&amp;E Burocrat";#N/A,#N/A,FALSE,"cash flow"}</definedName>
    <definedName name="data9" localSheetId="8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ata9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ata9_1" localSheetId="8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ata9_1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ateRangeComp" hidden="1">OFFSET(#REF!,9,0,COUNTA(#REF!)-COUNTA(#REF!),1)</definedName>
    <definedName name="DateRangeCompMain" hidden="1">#REF!</definedName>
    <definedName name="DateRangePrice" hidden="1">OFFSET(#REF!,5,0,COUNTA(#REF!)-COUNTA(#REF!),1)</definedName>
    <definedName name="DateRangePriceMain" hidden="1">#REF!</definedName>
    <definedName name="dati" localSheetId="8" hidden="1">{#N/A,#N/A,FALSE,"BANNERS";#N/A,#N/A,FALSE,"Market";#N/A,#N/A,FALSE,"Tel Rev";#N/A,#N/A,FALSE,"Revenues IOL";#N/A,#N/A,FALSE,"Invest";#N/A,#N/A,FALSE,"Op Cost1";#N/A,#N/A,FALSE,"Op Cost2";#N/A,#N/A,FALSE,"Oth_&amp;_Tot_Revenues";#N/A,#N/A,FALSE,"Fin Mod";#N/A,#N/A,FALSE,"FinMod_RoW";#N/A,#N/A,FALSE,"P&amp;E Burocrat";#N/A,#N/A,FALSE,"cash flow"}</definedName>
    <definedName name="dati" hidden="1">{#N/A,#N/A,FALSE,"BANNERS";#N/A,#N/A,FALSE,"Market";#N/A,#N/A,FALSE,"Tel Rev";#N/A,#N/A,FALSE,"Revenues IOL";#N/A,#N/A,FALSE,"Invest";#N/A,#N/A,FALSE,"Op Cost1";#N/A,#N/A,FALSE,"Op Cost2";#N/A,#N/A,FALSE,"Oth_&amp;_Tot_Revenues";#N/A,#N/A,FALSE,"Fin Mod";#N/A,#N/A,FALSE,"FinMod_RoW";#N/A,#N/A,FALSE,"P&amp;E Burocrat";#N/A,#N/A,FALSE,"cash flow"}</definedName>
    <definedName name="dati1" localSheetId="8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ati1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ati1_1" localSheetId="8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ati1_1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ati2" localSheetId="8" hidden="1">{#N/A,#N/A,FALSE,"BANNERS";#N/A,#N/A,FALSE,"Market";#N/A,#N/A,FALSE,"# of POP MAN";#N/A,#N/A,FALSE,"Penet Input";#N/A,#N/A,FALSE,"Tel Rev";#N/A,#N/A,FALSE,"Invest";#N/A,#N/A,FALSE,"Op Cost1";#N/A,#N/A,FALSE,"Op Cost2";#N/A,#N/A,FALSE,"Oth_&amp;_Tot_Revenues";#N/A,#N/A,FALSE,"Fin Mod";#N/A,#N/A,FALSE,"P&amp;E Burocrat";#N/A,#N/A,FALSE,"cash flow"}</definedName>
    <definedName name="dati2" hidden="1">{#N/A,#N/A,FALSE,"BANNERS";#N/A,#N/A,FALSE,"Market";#N/A,#N/A,FALSE,"# of POP MAN";#N/A,#N/A,FALSE,"Penet Input";#N/A,#N/A,FALSE,"Tel Rev";#N/A,#N/A,FALSE,"Invest";#N/A,#N/A,FALSE,"Op Cost1";#N/A,#N/A,FALSE,"Op Cost2";#N/A,#N/A,FALSE,"Oth_&amp;_Tot_Revenues";#N/A,#N/A,FALSE,"Fin Mod";#N/A,#N/A,FALSE,"P&amp;E Burocrat";#N/A,#N/A,FALSE,"cash flow"}</definedName>
    <definedName name="dati2_1" localSheetId="8" hidden="1">{#N/A,#N/A,FALSE,"BANNERS";#N/A,#N/A,FALSE,"Market";#N/A,#N/A,FALSE,"# of POP MAN";#N/A,#N/A,FALSE,"Penet Input";#N/A,#N/A,FALSE,"Tel Rev";#N/A,#N/A,FALSE,"Invest";#N/A,#N/A,FALSE,"Op Cost1";#N/A,#N/A,FALSE,"Op Cost2";#N/A,#N/A,FALSE,"Oth_&amp;_Tot_Revenues";#N/A,#N/A,FALSE,"Fin Mod";#N/A,#N/A,FALSE,"P&amp;E Burocrat";#N/A,#N/A,FALSE,"cash flow"}</definedName>
    <definedName name="dati2_1" hidden="1">{#N/A,#N/A,FALSE,"BANNERS";#N/A,#N/A,FALSE,"Market";#N/A,#N/A,FALSE,"# of POP MAN";#N/A,#N/A,FALSE,"Penet Input";#N/A,#N/A,FALSE,"Tel Rev";#N/A,#N/A,FALSE,"Invest";#N/A,#N/A,FALSE,"Op Cost1";#N/A,#N/A,FALSE,"Op Cost2";#N/A,#N/A,FALSE,"Oth_&amp;_Tot_Revenues";#N/A,#N/A,FALSE,"Fin Mod";#N/A,#N/A,FALSE,"P&amp;E Burocrat";#N/A,#N/A,FALSE,"cash flow"}</definedName>
    <definedName name="dati3" localSheetId="8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ati3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ati3_1" localSheetId="8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ati3_1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ati6" localSheetId="8" hidden="1">{#N/A,#N/A,FALSE,"BANNERS";#N/A,#N/A,FALSE,"Market";#N/A,#N/A,FALSE,"Tel Rev";#N/A,#N/A,FALSE,"Revenues IOL";#N/A,#N/A,FALSE,"Invest";#N/A,#N/A,FALSE,"Op Cost1";#N/A,#N/A,FALSE,"Op Cost2";#N/A,#N/A,FALSE,"Oth_&amp;_Tot_Revenues";#N/A,#N/A,FALSE,"Fin Mod";#N/A,#N/A,FALSE,"FinMod_RoW";#N/A,#N/A,FALSE,"P&amp;E Burocrat";#N/A,#N/A,FALSE,"cash flow"}</definedName>
    <definedName name="dati6" hidden="1">{#N/A,#N/A,FALSE,"BANNERS";#N/A,#N/A,FALSE,"Market";#N/A,#N/A,FALSE,"Tel Rev";#N/A,#N/A,FALSE,"Revenues IOL";#N/A,#N/A,FALSE,"Invest";#N/A,#N/A,FALSE,"Op Cost1";#N/A,#N/A,FALSE,"Op Cost2";#N/A,#N/A,FALSE,"Oth_&amp;_Tot_Revenues";#N/A,#N/A,FALSE,"Fin Mod";#N/A,#N/A,FALSE,"FinMod_RoW";#N/A,#N/A,FALSE,"P&amp;E Burocrat";#N/A,#N/A,FALSE,"cash flow"}</definedName>
    <definedName name="dati6_1" localSheetId="8" hidden="1">{#N/A,#N/A,FALSE,"BANNERS";#N/A,#N/A,FALSE,"Market";#N/A,#N/A,FALSE,"Tel Rev";#N/A,#N/A,FALSE,"Revenues IOL";#N/A,#N/A,FALSE,"Invest";#N/A,#N/A,FALSE,"Op Cost1";#N/A,#N/A,FALSE,"Op Cost2";#N/A,#N/A,FALSE,"Oth_&amp;_Tot_Revenues";#N/A,#N/A,FALSE,"Fin Mod";#N/A,#N/A,FALSE,"FinMod_RoW";#N/A,#N/A,FALSE,"P&amp;E Burocrat";#N/A,#N/A,FALSE,"cash flow"}</definedName>
    <definedName name="dati6_1" hidden="1">{#N/A,#N/A,FALSE,"BANNERS";#N/A,#N/A,FALSE,"Market";#N/A,#N/A,FALSE,"Tel Rev";#N/A,#N/A,FALSE,"Revenues IOL";#N/A,#N/A,FALSE,"Invest";#N/A,#N/A,FALSE,"Op Cost1";#N/A,#N/A,FALSE,"Op Cost2";#N/A,#N/A,FALSE,"Oth_&amp;_Tot_Revenues";#N/A,#N/A,FALSE,"Fin Mod";#N/A,#N/A,FALSE,"FinMod_RoW";#N/A,#N/A,FALSE,"P&amp;E Burocrat";#N/A,#N/A,FALSE,"cash flow"}</definedName>
    <definedName name="dati7" localSheetId="8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ati7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ati7_1" localSheetId="8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ati7_1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ati8" localSheetId="8" hidden="1">{#N/A,#N/A,FALSE,"BANNERS";#N/A,#N/A,FALSE,"Market";#N/A,#N/A,FALSE,"# of POP MAN";#N/A,#N/A,FALSE,"Penet Input";#N/A,#N/A,FALSE,"Tel Rev";#N/A,#N/A,FALSE,"Invest";#N/A,#N/A,FALSE,"Op Cost1";#N/A,#N/A,FALSE,"Op Cost2";#N/A,#N/A,FALSE,"Oth_&amp;_Tot_Revenues";#N/A,#N/A,FALSE,"Fin Mod";#N/A,#N/A,FALSE,"P&amp;E Burocrat";#N/A,#N/A,FALSE,"cash flow"}</definedName>
    <definedName name="dati8" hidden="1">{#N/A,#N/A,FALSE,"BANNERS";#N/A,#N/A,FALSE,"Market";#N/A,#N/A,FALSE,"# of POP MAN";#N/A,#N/A,FALSE,"Penet Input";#N/A,#N/A,FALSE,"Tel Rev";#N/A,#N/A,FALSE,"Invest";#N/A,#N/A,FALSE,"Op Cost1";#N/A,#N/A,FALSE,"Op Cost2";#N/A,#N/A,FALSE,"Oth_&amp;_Tot_Revenues";#N/A,#N/A,FALSE,"Fin Mod";#N/A,#N/A,FALSE,"P&amp;E Burocrat";#N/A,#N/A,FALSE,"cash flow"}</definedName>
    <definedName name="dati8_1" localSheetId="8" hidden="1">{#N/A,#N/A,FALSE,"BANNERS";#N/A,#N/A,FALSE,"Market";#N/A,#N/A,FALSE,"# of POP MAN";#N/A,#N/A,FALSE,"Penet Input";#N/A,#N/A,FALSE,"Tel Rev";#N/A,#N/A,FALSE,"Invest";#N/A,#N/A,FALSE,"Op Cost1";#N/A,#N/A,FALSE,"Op Cost2";#N/A,#N/A,FALSE,"Oth_&amp;_Tot_Revenues";#N/A,#N/A,FALSE,"Fin Mod";#N/A,#N/A,FALSE,"P&amp;E Burocrat";#N/A,#N/A,FALSE,"cash flow"}</definedName>
    <definedName name="dati8_1" hidden="1">{#N/A,#N/A,FALSE,"BANNERS";#N/A,#N/A,FALSE,"Market";#N/A,#N/A,FALSE,"# of POP MAN";#N/A,#N/A,FALSE,"Penet Input";#N/A,#N/A,FALSE,"Tel Rev";#N/A,#N/A,FALSE,"Invest";#N/A,#N/A,FALSE,"Op Cost1";#N/A,#N/A,FALSE,"Op Cost2";#N/A,#N/A,FALSE,"Oth_&amp;_Tot_Revenues";#N/A,#N/A,FALSE,"Fin Mod";#N/A,#N/A,FALSE,"P&amp;E Burocrat";#N/A,#N/A,FALSE,"cash flow"}</definedName>
    <definedName name="datos" hidden="1">#REF!</definedName>
    <definedName name="datos2" hidden="1">#REF!</definedName>
    <definedName name="david" localSheetId="8" hidden="1">{#N/A,#N/A,TRUE,"TransPrcd 1";#N/A,#N/A,TRUE,"TransPrcd 2";#N/A,#N/A,TRUE,"TransPrcd 3"}</definedName>
    <definedName name="david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david_1" localSheetId="8" hidden="1">{#N/A,#N/A,TRUE,"TransPrcd 1";#N/A,#N/A,TRUE,"TransPrcd 2";#N/A,#N/A,TRUE,"TransPrcd 3"}</definedName>
    <definedName name="david_1" hidden="1">{#N/A,#N/A,TRUE,"TransPrcd 1";#N/A,#N/A,TRUE,"TransPrcd 2";#N/A,#N/A,TRUE,"TransPrcd 3"}</definedName>
    <definedName name="db" localSheetId="8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d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dbfd" localSheetId="8" hidden="1">{#N/A,#N/A,TRUE,"Cover Page";#N/A,#N/A,TRUE,"Summary";#N/A,#N/A,TRUE,"Acquisition Analysis";#N/A,#N/A,TRUE,"Acquiror Financials";#N/A,#N/A,TRUE,"Target Financials";#N/A,#N/A,TRUE,"Pro Forma";#N/A,#N/A,TRUE,"Shares";#N/A,#N/A,TRUE,"ESOP Recon";#N/A,#N/A,TRUE,"IRR";#N/A,#N/A,TRUE,"Sensitivity";#N/A,#N/A,TRUE,"Inputs"}</definedName>
    <definedName name="dbfd" hidden="1">{#N/A,#N/A,TRUE,"Cover Page";#N/A,#N/A,TRUE,"Summary";#N/A,#N/A,TRUE,"Acquisition Analysis";#N/A,#N/A,TRUE,"Acquiror Financials";#N/A,#N/A,TRUE,"Target Financials";#N/A,#N/A,TRUE,"Pro Forma";#N/A,#N/A,TRUE,"Shares";#N/A,#N/A,TRUE,"ESOP Recon";#N/A,#N/A,TRUE,"IRR";#N/A,#N/A,TRUE,"Sensitivity";#N/A,#N/A,TRUE,"Inputs"}</definedName>
    <definedName name="dc" localSheetId="8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dc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DC.DCF1" localSheetId="8" hidden="1">#REF!</definedName>
    <definedName name="DC.DCF1" hidden="1">#REF!</definedName>
    <definedName name="DC.DCF2" localSheetId="8" hidden="1">#REF!</definedName>
    <definedName name="DC.DCF2" hidden="1">#REF!</definedName>
    <definedName name="dc_1" localSheetId="8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dc_1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DCF" localSheetId="8" hidden="1">{#N/A,#N/A,FALSE,"DCF Summary";#N/A,#N/A,FALSE,"Casema";#N/A,#N/A,FALSE,"Casema NoTel";#N/A,#N/A,FALSE,"UK";#N/A,#N/A,FALSE,"RCF";#N/A,#N/A,FALSE,"Intercable CZ";#N/A,#N/A,FALSE,"Interkabel P"}</definedName>
    <definedName name="DCF" hidden="1">{#N/A,#N/A,FALSE,"DCF Summary";#N/A,#N/A,FALSE,"Casema";#N/A,#N/A,FALSE,"Casema NoTel";#N/A,#N/A,FALSE,"UK";#N/A,#N/A,FALSE,"RCF";#N/A,#N/A,FALSE,"Intercable CZ";#N/A,#N/A,FALSE,"Interkabel P"}</definedName>
    <definedName name="DCF_" localSheetId="7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DCF_" localSheetId="8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DCF_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DCF__1" localSheetId="8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DCF__1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DCF_1" localSheetId="8" hidden="1">{#N/A,#N/A,FALSE,"DCF Summary";#N/A,#N/A,FALSE,"Casema";#N/A,#N/A,FALSE,"Casema NoTel";#N/A,#N/A,FALSE,"UK";#N/A,#N/A,FALSE,"RCF";#N/A,#N/A,FALSE,"Intercable CZ";#N/A,#N/A,FALSE,"Interkabel P"}</definedName>
    <definedName name="DCF_1" hidden="1">{#N/A,#N/A,FALSE,"DCF Summary";#N/A,#N/A,FALSE,"Casema";#N/A,#N/A,FALSE,"Casema NoTel";#N/A,#N/A,FALSE,"UK";#N/A,#N/A,FALSE,"RCF";#N/A,#N/A,FALSE,"Intercable CZ";#N/A,#N/A,FALSE,"Interkabel P"}</definedName>
    <definedName name="DCF_270204" localSheetId="8" hidden="1">{#N/A,#N/A,FALSE,"model"}</definedName>
    <definedName name="DCF_270204" hidden="1">{#N/A,#N/A,FALSE,"model"}</definedName>
    <definedName name="DCF_270204_1" localSheetId="8" hidden="1">{#N/A,#N/A,FALSE,"model"}</definedName>
    <definedName name="DCF_270204_1" hidden="1">{#N/A,#N/A,FALSE,"model"}</definedName>
    <definedName name="dcf1b" localSheetId="8" hidden="1">{#N/A,#N/A,FALSE,"DCF Summary";#N/A,#N/A,FALSE,"Casema";#N/A,#N/A,FALSE,"Casema NoTel";#N/A,#N/A,FALSE,"UK";#N/A,#N/A,FALSE,"RCF";#N/A,#N/A,FALSE,"Intercable CZ";#N/A,#N/A,FALSE,"Interkabel P"}</definedName>
    <definedName name="dcf1b" hidden="1">{#N/A,#N/A,FALSE,"DCF Summary";#N/A,#N/A,FALSE,"Casema";#N/A,#N/A,FALSE,"Casema NoTel";#N/A,#N/A,FALSE,"UK";#N/A,#N/A,FALSE,"RCF";#N/A,#N/A,FALSE,"Intercable CZ";#N/A,#N/A,FALSE,"Interkabel P"}</definedName>
    <definedName name="dcf1b_1" localSheetId="8" hidden="1">{#N/A,#N/A,FALSE,"DCF Summary";#N/A,#N/A,FALSE,"Casema";#N/A,#N/A,FALSE,"Casema NoTel";#N/A,#N/A,FALSE,"UK";#N/A,#N/A,FALSE,"RCF";#N/A,#N/A,FALSE,"Intercable CZ";#N/A,#N/A,FALSE,"Interkabel P"}</definedName>
    <definedName name="dcf1b_1" hidden="1">{#N/A,#N/A,FALSE,"DCF Summary";#N/A,#N/A,FALSE,"Casema";#N/A,#N/A,FALSE,"Casema NoTel";#N/A,#N/A,FALSE,"UK";#N/A,#N/A,FALSE,"RCF";#N/A,#N/A,FALSE,"Intercable CZ";#N/A,#N/A,FALSE,"Interkabel P"}</definedName>
    <definedName name="dcf2b" localSheetId="8" hidden="1">{#N/A,#N/A,FALSE,"DCF Summary";#N/A,#N/A,FALSE,"Casema";#N/A,#N/A,FALSE,"Casema NoTel";#N/A,#N/A,FALSE,"UK";#N/A,#N/A,FALSE,"RCF";#N/A,#N/A,FALSE,"Intercable CZ";#N/A,#N/A,FALSE,"Interkabel P"}</definedName>
    <definedName name="dcf2b" hidden="1">{#N/A,#N/A,FALSE,"DCF Summary";#N/A,#N/A,FALSE,"Casema";#N/A,#N/A,FALSE,"Casema NoTel";#N/A,#N/A,FALSE,"UK";#N/A,#N/A,FALSE,"RCF";#N/A,#N/A,FALSE,"Intercable CZ";#N/A,#N/A,FALSE,"Interkabel P"}</definedName>
    <definedName name="dcf2b_1" localSheetId="8" hidden="1">{#N/A,#N/A,FALSE,"DCF Summary";#N/A,#N/A,FALSE,"Casema";#N/A,#N/A,FALSE,"Casema NoTel";#N/A,#N/A,FALSE,"UK";#N/A,#N/A,FALSE,"RCF";#N/A,#N/A,FALSE,"Intercable CZ";#N/A,#N/A,FALSE,"Interkabel P"}</definedName>
    <definedName name="dcf2b_1" hidden="1">{#N/A,#N/A,FALSE,"DCF Summary";#N/A,#N/A,FALSE,"Casema";#N/A,#N/A,FALSE,"Casema NoTel";#N/A,#N/A,FALSE,"UK";#N/A,#N/A,FALSE,"RCF";#N/A,#N/A,FALSE,"Intercable CZ";#N/A,#N/A,FALSE,"Interkabel P"}</definedName>
    <definedName name="dcg" localSheetId="8" hidden="1">{#N/A,#N/A,FALSE,"Global Assumptions";#N/A,#N/A,FALSE,"NZ Valuation";#N/A,#N/A,FALSE,"P&amp;L";#N/A,#N/A,FALSE,"Balance Sheet";#N/A,#N/A,FALSE,"Cash Flow";#N/A,#N/A,FALSE,"Key Assumptions";#N/A,#N/A,FALSE,"Graphs";#N/A,#N/A,FALSE,"Core EBIT Summary";#N/A,#N/A,FALSE,"National Tolls - Residential";#N/A,#N/A,FALSE,"National Tolls - Business";#N/A,#N/A,FALSE,"Internat'l Tolls - Residential";#N/A,#N/A,FALSE,"Internat'l Tolls - Business";#N/A,#N/A,FALSE,"Faxplus";#N/A,#N/A,FALSE,"Business Local Service";#N/A,#N/A,FALSE,"Data Services";#N/A,#N/A,FALSE,"Cellular"}</definedName>
    <definedName name="dcg" hidden="1">{#N/A,#N/A,FALSE,"Global Assumptions";#N/A,#N/A,FALSE,"NZ Valuation";#N/A,#N/A,FALSE,"P&amp;L";#N/A,#N/A,FALSE,"Balance Sheet";#N/A,#N/A,FALSE,"Cash Flow";#N/A,#N/A,FALSE,"Key Assumptions";#N/A,#N/A,FALSE,"Graphs";#N/A,#N/A,FALSE,"Core EBIT Summary";#N/A,#N/A,FALSE,"National Tolls - Residential";#N/A,#N/A,FALSE,"National Tolls - Business";#N/A,#N/A,FALSE,"Internat'l Tolls - Residential";#N/A,#N/A,FALSE,"Internat'l Tolls - Business";#N/A,#N/A,FALSE,"Faxplus";#N/A,#N/A,FALSE,"Business Local Service";#N/A,#N/A,FALSE,"Data Services";#N/A,#N/A,FALSE,"Cellular"}</definedName>
    <definedName name="dchart1" localSheetId="8" hidden="1">#REF!</definedName>
    <definedName name="dchart1" hidden="1">#REF!</definedName>
    <definedName name="dchart4" localSheetId="8" hidden="1">#REF!</definedName>
    <definedName name="dchart4" hidden="1">#REF!</definedName>
    <definedName name="dcjdjs" localSheetId="8" hidden="1">{#N/A,#N/A,FALSE,"Customer Ops";#N/A,#N/A,FALSE,"Field Ops";#N/A,#N/A,FALSE,"Ops Management";#N/A,#N/A,FALSE,"Contact Centre";#N/A,#N/A,FALSE,"Credit Services";#N/A,#N/A,FALSE,"Horizon"}</definedName>
    <definedName name="dcjdjs" hidden="1">{#N/A,#N/A,FALSE,"Customer Ops";#N/A,#N/A,FALSE,"Field Ops";#N/A,#N/A,FALSE,"Ops Management";#N/A,#N/A,FALSE,"Contact Centre";#N/A,#N/A,FALSE,"Credit Services";#N/A,#N/A,FALSE,"Horizon"}</definedName>
    <definedName name="dd" localSheetId="7" hidden="1">#REF!</definedName>
    <definedName name="dd" localSheetId="8" hidden="1">#REF!</definedName>
    <definedName name="dd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dd_1" localSheetId="8" hidden="1">{#N/A,#N/A,FALSE,"MERCHANT GAS MARGIN";#N/A,#N/A,FALSE,"BULK";#N/A,#N/A,FALSE,"BULK CO2";#N/A,#N/A,FALSE,"ON-SITE";#N/A,#N/A,FALSE,"CYLINDERS"}</definedName>
    <definedName name="dd_1" hidden="1">{#N/A,#N/A,FALSE,"MERCHANT GAS MARGIN";#N/A,#N/A,FALSE,"BULK";#N/A,#N/A,FALSE,"BULK CO2";#N/A,#N/A,FALSE,"ON-SITE";#N/A,#N/A,FALSE,"CYLINDERS"}</definedName>
    <definedName name="DDAS" hidden="1">#REF!</definedName>
    <definedName name="ddasd" localSheetId="8" hidden="1">{#N/A,#N/A,FALSE,"CA";#N/A,#N/A,FALSE,"CN";#N/A,#N/A,FALSE,"Inv";#N/A,#N/A,FALSE,"Inv Acc";"Miguel_balance",#N/A,FALSE,"Bal";#N/A,#N/A,FALSE,"Plantilla";#N/A,#N/A,FALSE,"CA (2)";#N/A,#N/A,FALSE,"CN (2)"}</definedName>
    <definedName name="ddasd" hidden="1">{#N/A,#N/A,FALSE,"CA";#N/A,#N/A,FALSE,"CN";#N/A,#N/A,FALSE,"Inv";#N/A,#N/A,FALSE,"Inv Acc";"Miguel_balance",#N/A,FALSE,"Bal";#N/A,#N/A,FALSE,"Plantilla";#N/A,#N/A,FALSE,"CA (2)";#N/A,#N/A,FALSE,"CN (2)"}</definedName>
    <definedName name="ddchart1" localSheetId="8" hidden="1">#REF!</definedName>
    <definedName name="ddchart1" hidden="1">#REF!</definedName>
    <definedName name="ddd" localSheetId="7" hidden="1">#REF!</definedName>
    <definedName name="ddd" localSheetId="8" hidden="1">#REF!</definedName>
    <definedName name="ddd" hidden="1">{#N/A,#N/A,FALSE,"Pharm";#N/A,#N/A,FALSE,"WWCM"}</definedName>
    <definedName name="dddaz" localSheetId="7" hidden="1">{#N/A,#N/A,FALSE,"Pharm";#N/A,#N/A,FALSE,"WWCM"}</definedName>
    <definedName name="dddaz" localSheetId="8" hidden="1">{#N/A,#N/A,FALSE,"Pharm";#N/A,#N/A,FALSE,"WWCM"}</definedName>
    <definedName name="dddaz" hidden="1">{#N/A,#N/A,FALSE,"Pharm";#N/A,#N/A,FALSE,"WWCM"}</definedName>
    <definedName name="DDDD" localSheetId="7" hidden="1">{"Acum Div 1",#N/A,FALSE,"Acum Diversos 1"}</definedName>
    <definedName name="DDDD" localSheetId="8" hidden="1">{"Acum Div 1",#N/A,FALSE,"Acum Diversos 1"}</definedName>
    <definedName name="dddd" hidden="1">{0,0,0,0;0,0,0,0;#N/A,0,FALSE,0;#N/A,0,FALSE,0;#N/A,0,FALSE,0;#N/A,0,FALSE,0}</definedName>
    <definedName name="dddd_1" localSheetId="8" hidden="1">{0,0,0,0;0,0,0,0;#N/A,0,FALSE,0;#N/A,0,FALSE,0;#N/A,0,FALSE,0;#N/A,0,FALSE,0}</definedName>
    <definedName name="dddd_1" hidden="1">{0,0,0,0;0,0,0,0;#N/A,0,FALSE,0;#N/A,0,FALSE,0;#N/A,0,FALSE,0;#N/A,0,FALSE,0}</definedName>
    <definedName name="ddddd" localSheetId="7" hidden="1">{"10yp tariffs",#N/A,FALSE,"Celtel alternative 6"}</definedName>
    <definedName name="ddddd" localSheetId="8" hidden="1">{"10yp tariffs",#N/A,FALSE,"Celtel alternative 6"}</definedName>
    <definedName name="DDDDD" hidden="1">{#N/A,#N/A,FALSE,"cover";#N/A,#N/A,FALSE,"Content ";#N/A,#N/A,FALSE,"E&amp;C Op Stat";#N/A,#N/A,FALSE,"Telcos Op Stat";#N/A,#N/A,FALSE,"Media Op Stat";#N/A,#N/A,FALSE,"Oil Op Stat";#N/A,#N/A,FALSE,"Utilities Op Stat";#N/A,#N/A,FALSE,"E&amp;C Ord An";#N/A,#N/A,FALSE,"E&amp;C Debt Nar";#N/A,#N/A,FALSE,"E&amp;C Debtors";#N/A,#N/A,FALSE,"E&amp;C CO Debt";#N/A,#N/A,FALSE,"Telcos Presales";#N/A,#N/A,FALSE,"Oil Presales";#N/A,#N/A,FALSE,"Utilities Presales"}</definedName>
    <definedName name="dddddd" localSheetId="7" hidden="1">{#N/A,#N/A,FALSE,"Pharm";#N/A,#N/A,FALSE,"WWCM"}</definedName>
    <definedName name="dddddd" localSheetId="8" hidden="1">{"10yp profit and loss",#N/A,FALSE,"Celtel alternative 6"}</definedName>
    <definedName name="dddddd" hidden="1">{#N/A,#N/A,FALSE,"Pharm";#N/A,#N/A,FALSE,"WWCM"}</definedName>
    <definedName name="ddddddd" localSheetId="7" hidden="1">#REF!</definedName>
    <definedName name="ddddddd" localSheetId="8" hidden="1">#REF!</definedName>
    <definedName name="ddddddd" hidden="1">{"detail",#N/A,FALSE,"mfg";"summary",#N/A,FALSE,"mfg"}</definedName>
    <definedName name="dddddddddd" localSheetId="8" hidden="1">{#N/A,#N/A,FALSE,"cover";#N/A,#N/A,FALSE,"Content ";#N/A,#N/A,FALSE,"E&amp;C Op Stat";#N/A,#N/A,FALSE,"Telcos Op Stat";#N/A,#N/A,FALSE,"Media Op Stat";#N/A,#N/A,FALSE,"Oil Op Stat";#N/A,#N/A,FALSE,"Utilities Op Stat";#N/A,#N/A,FALSE,"E&amp;C Ord An";#N/A,#N/A,FALSE,"E&amp;C Debt Nar";#N/A,#N/A,FALSE,"E&amp;C Debtors";#N/A,#N/A,FALSE,"E&amp;C CO Debt";#N/A,#N/A,FALSE,"Telcos Presales";#N/A,#N/A,FALSE,"Oil Presales";#N/A,#N/A,FALSE,"Utilities Presales"}</definedName>
    <definedName name="dddddddddd" hidden="1">{#N/A,#N/A,FALSE,"cover";#N/A,#N/A,FALSE,"Content ";#N/A,#N/A,FALSE,"E&amp;C Op Stat";#N/A,#N/A,FALSE,"Telcos Op Stat";#N/A,#N/A,FALSE,"Media Op Stat";#N/A,#N/A,FALSE,"Oil Op Stat";#N/A,#N/A,FALSE,"Utilities Op Stat";#N/A,#N/A,FALSE,"E&amp;C Ord An";#N/A,#N/A,FALSE,"E&amp;C Debt Nar";#N/A,#N/A,FALSE,"E&amp;C Debtors";#N/A,#N/A,FALSE,"E&amp;C CO Debt";#N/A,#N/A,FALSE,"Telcos Presales";#N/A,#N/A,FALSE,"Oil Presales";#N/A,#N/A,FALSE,"Utilities Presales"}</definedName>
    <definedName name="ddddddddddddd" localSheetId="8" hidden="1">{#N/A,#N/A,FALSE,"Aging Summary";#N/A,#N/A,FALSE,"Ratio Analysis";#N/A,#N/A,FALSE,"Test 120 Day Accts";#N/A,#N/A,FALSE,"Tickmarks"}</definedName>
    <definedName name="ddddddddddddd" hidden="1">{#N/A,#N/A,FALSE,"Aging Summary";#N/A,#N/A,FALSE,"Ratio Analysis";#N/A,#N/A,FALSE,"Test 120 Day Accts";#N/A,#N/A,FALSE,"Tickmarks"}</definedName>
    <definedName name="ddddddddddddd_1" localSheetId="8" hidden="1">{#N/A,#N/A,FALSE,"Aging Summary";#N/A,#N/A,FALSE,"Ratio Analysis";#N/A,#N/A,FALSE,"Test 120 Day Accts";#N/A,#N/A,FALSE,"Tickmarks"}</definedName>
    <definedName name="ddddddddddddd_1" hidden="1">{#N/A,#N/A,FALSE,"Aging Summary";#N/A,#N/A,FALSE,"Ratio Analysis";#N/A,#N/A,FALSE,"Test 120 Day Accts";#N/A,#N/A,FALSE,"Tickmarks"}</definedName>
    <definedName name="dddddddddddddddda" localSheetId="8" hidden="1">{#N/A,#N/A,FALSE,"Assessment";#N/A,#N/A,FALSE,"Staffing";#N/A,#N/A,FALSE,"Hires";#N/A,#N/A,FALSE,"Assumptions"}</definedName>
    <definedName name="dddddddddddddddda" hidden="1">{#N/A,#N/A,FALSE,"Assessment";#N/A,#N/A,FALSE,"Staffing";#N/A,#N/A,FALSE,"Hires";#N/A,#N/A,FALSE,"Assumptions"}</definedName>
    <definedName name="DDDDDDDDDDDDDDDDDD" hidden="1">#REF!</definedName>
    <definedName name="dddddddddddddddddddddddd" localSheetId="8" hidden="1">{#N/A,#N/A,FALSE,"Assessment";#N/A,#N/A,FALSE,"Staffing";#N/A,#N/A,FALSE,"Hires";#N/A,#N/A,FALSE,"Assumptions"}</definedName>
    <definedName name="dddddddddddddddddddddddd" hidden="1">{#N/A,#N/A,FALSE,"Assessment";#N/A,#N/A,FALSE,"Staffing";#N/A,#N/A,FALSE,"Hires";#N/A,#N/A,FALSE,"Assumptions"}</definedName>
    <definedName name="dddddddddddddddddde" localSheetId="8" hidden="1">{#N/A,#N/A,FALSE,"Assessment";#N/A,#N/A,FALSE,"Staffing";#N/A,#N/A,FALSE,"Hires";#N/A,#N/A,FALSE,"Assumptions"}</definedName>
    <definedName name="dddddddddddddddddde" hidden="1">{#N/A,#N/A,FALSE,"Assessment";#N/A,#N/A,FALSE,"Staffing";#N/A,#N/A,FALSE,"Hires";#N/A,#N/A,FALSE,"Assumptions"}</definedName>
    <definedName name="dde" localSheetId="8" hidden="1">{#N/A,#N/A,TRUE,"Pro Forma";#N/A,#N/A,TRUE,"PF_Bal";#N/A,#N/A,TRUE,"PF_INC";#N/A,#N/A,TRUE,"CBE";#N/A,#N/A,TRUE,"SWK"}</definedName>
    <definedName name="dde" hidden="1">{#N/A,#N/A,TRUE,"Pro Forma";#N/A,#N/A,TRUE,"PF_Bal";#N/A,#N/A,TRUE,"PF_INC";#N/A,#N/A,TRUE,"CBE";#N/A,#N/A,TRUE,"SWK"}</definedName>
    <definedName name="dde_1" localSheetId="8" hidden="1">{#N/A,#N/A,TRUE,"Pro Forma";#N/A,#N/A,TRUE,"PF_Bal";#N/A,#N/A,TRUE,"PF_INC";#N/A,#N/A,TRUE,"CBE";#N/A,#N/A,TRUE,"SWK"}</definedName>
    <definedName name="dde_1" hidden="1">{#N/A,#N/A,TRUE,"Pro Forma";#N/A,#N/A,TRUE,"PF_Bal";#N/A,#N/A,TRUE,"PF_INC";#N/A,#N/A,TRUE,"CBE";#N/A,#N/A,TRUE,"SWK"}</definedName>
    <definedName name="ddedrù" localSheetId="8" hidden="1">{"comps",#N/A,FALSE,"HANDPACK";"footnotes",#N/A,FALSE,"HANDPACK"}</definedName>
    <definedName name="ddedrù" hidden="1">{"comps",#N/A,FALSE,"HANDPACK";"footnotes",#N/A,FALSE,"HANDPACK"}</definedName>
    <definedName name="ddedrù_1" localSheetId="8" hidden="1">{"comps",#N/A,FALSE,"HANDPACK";"footnotes",#N/A,FALSE,"HANDPACK"}</definedName>
    <definedName name="ddedrù_1" hidden="1">{"comps",#N/A,FALSE,"HANDPACK";"footnotes",#N/A,FALSE,"HANDPACK"}</definedName>
    <definedName name="ddf" localSheetId="8" hidden="1">{#N/A,#N/A,FALSE,"KA CH  (2)"}</definedName>
    <definedName name="ddf" hidden="1">{#N/A,#N/A,FALSE,"KA CH  (2)"}</definedName>
    <definedName name="ddggg" hidden="1">#REF!</definedName>
    <definedName name="DDGH" localSheetId="8" hidden="1">{#N/A,#N/A,FALSE,"Adm comp";#N/A,#N/A,FALSE,"Adm ajust";"adm",#N/A,FALSE,"Administration";#N/A,#N/A,FALSE,"Adm Bgt 97 vs Prév. 96";#N/A,#N/A,FALSE,"Adm Bgt 97 vs 96"}</definedName>
    <definedName name="DDGH" hidden="1">{#N/A,#N/A,FALSE,"Adm comp";#N/A,#N/A,FALSE,"Adm ajust";"adm",#N/A,FALSE,"Administration";#N/A,#N/A,FALSE,"Adm Bgt 97 vs Prév. 96";#N/A,#N/A,FALSE,"Adm Bgt 97 vs 96"}</definedName>
    <definedName name="ddkjas" localSheetId="8" hidden="1">{#N/A,#N/A,FALSE,"Customer Ops";#N/A,#N/A,FALSE,"Field Ops";#N/A,#N/A,FALSE,"Ops Management";#N/A,#N/A,FALSE,"Contact Centre";#N/A,#N/A,FALSE,"Credit Services";#N/A,#N/A,FALSE,"Horizon"}</definedName>
    <definedName name="ddkjas" hidden="1">{#N/A,#N/A,FALSE,"Customer Ops";#N/A,#N/A,FALSE,"Field Ops";#N/A,#N/A,FALSE,"Ops Management";#N/A,#N/A,FALSE,"Contact Centre";#N/A,#N/A,FALSE,"Credit Services";#N/A,#N/A,FALSE,"Horizon"}</definedName>
    <definedName name="ddx" localSheetId="8" hidden="1">{"YD LAPO2",#N/A,FALSE,"YTD";"YD LPH2",#N/A,FALSE,"YTD";"YD LOUISIANA",#N/A,FALSE,"YTD";"YD GENERALH2",#N/A,FALSE,"YTD";"YD PRS",#N/A,FALSE,"YTD";"YD PACKAGE",#N/A,FALSE,"YTD";"YD OTHER",#N/A,FALSE,"YTD"}</definedName>
    <definedName name="ddx" hidden="1">{"YD LAPO2",#N/A,FALSE,"YTD";"YD LPH2",#N/A,FALSE,"YTD";"YD LOUISIANA",#N/A,FALSE,"YTD";"YD GENERALH2",#N/A,FALSE,"YTD";"YD PRS",#N/A,FALSE,"YTD";"YD PACKAGE",#N/A,FALSE,"YTD";"YD OTHER",#N/A,FALSE,"YTD"}</definedName>
    <definedName name="DE" localSheetId="7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DE" localSheetId="8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de" hidden="1">{#N/A,#N/A,FALSE,"Pliego";#N/A,#N/A,FALSE,"Coeficientes";#N/A,#N/A,FALSE,"Cond. Diseño";#N/A,#N/A,FALSE,"Reactor Cullera";#N/A,#N/A,FALSE,"Tres fases";#N/A,#N/A,FALSE,"Dos fases";#N/A,#N/A,FALSE,"Resumen";#N/A,#N/A,FALSE,"Fosforo";#N/A,#N/A,FALSE,"Recirculacion";#N/A,#N/A,FALSE,"Exceso fango";#N/A,#N/A,FALSE,"Decantador";#N/A,#N/A,FALSE,"Desinfeccion";#N/A,#N/A,FALSE,"Recir. int."}</definedName>
    <definedName name="de_1" localSheetId="8" hidden="1">{#N/A,#N/A,FALSE,"projcf";#N/A,#N/A,FALSE,"Projline";#N/A,#N/A,FALSE,"bankline";#N/A,#N/A,FALSE,"Fast95is";#N/A,#N/A,FALSE,"tool95is";#N/A,#N/A,FALSE,"tot95is";#N/A,#N/A,FALSE,"tool950h";#N/A,#N/A,FALSE,"fas95oh";#N/A,#N/A,FALSE,"tot95oh";#N/A,#N/A,FALSE,"95sga";#N/A,#N/A,FALSE,"95projcf";#N/A,#N/A,FALSE,"95loc";#N/A,#N/A,FALSE,"95bankline"}</definedName>
    <definedName name="de_1" hidden="1">{#N/A,#N/A,FALSE,"projcf";#N/A,#N/A,FALSE,"Projline";#N/A,#N/A,FALSE,"bankline";#N/A,#N/A,FALSE,"Fast95is";#N/A,#N/A,FALSE,"tool95is";#N/A,#N/A,FALSE,"tot95is";#N/A,#N/A,FALSE,"tool950h";#N/A,#N/A,FALSE,"fas95oh";#N/A,#N/A,FALSE,"tot95oh";#N/A,#N/A,FALSE,"95sga";#N/A,#N/A,FALSE,"95projcf";#N/A,#N/A,FALSE,"95loc";#N/A,#N/A,FALSE,"95bankline"}</definedName>
    <definedName name="Dealpb" hidden="1">#REF!</definedName>
    <definedName name="dec" hidden="1">{#N/A,#N/A,FALSE,"fw or db 98 up"}</definedName>
    <definedName name="Dec_Plan_Income_Month" localSheetId="8" hidden="1">{"Oct_Plan_Income_Month",#N/A,FALSE,"OctInc";"Oct_Month_Lastyear_Inc",#N/A,FALSE,"OctInc"}</definedName>
    <definedName name="Dec_Plan_Income_Month" hidden="1">{"Oct_Plan_Income_Month",#N/A,FALSE,"OctInc";"Oct_Month_Lastyear_Inc",#N/A,FALSE,"OctInc"}</definedName>
    <definedName name="DECISIONS" localSheetId="8" hidden="1">{#N/A,#N/A,FALSE,"MERCHANT GAS MARGIN";#N/A,#N/A,FALSE,"BULK";#N/A,#N/A,FALSE,"BULK CO2";#N/A,#N/A,FALSE,"ON-SITE";#N/A,#N/A,FALSE,"CYLINDERS"}</definedName>
    <definedName name="DECISIONS" hidden="1">{#N/A,#N/A,FALSE,"MERCHANT GAS MARGIN";#N/A,#N/A,FALSE,"BULK";#N/A,#N/A,FALSE,"BULK CO2";#N/A,#N/A,FALSE,"ON-SITE";#N/A,#N/A,FALSE,"CYLINDERS"}</definedName>
    <definedName name="DECISIONS_1" localSheetId="8" hidden="1">{#N/A,#N/A,FALSE,"MERCHANT GAS MARGIN";#N/A,#N/A,FALSE,"BULK";#N/A,#N/A,FALSE,"BULK CO2";#N/A,#N/A,FALSE,"ON-SITE";#N/A,#N/A,FALSE,"CYLINDERS"}</definedName>
    <definedName name="DECISIONS_1" hidden="1">{#N/A,#N/A,FALSE,"MERCHANT GAS MARGIN";#N/A,#N/A,FALSE,"BULK";#N/A,#N/A,FALSE,"BULK CO2";#N/A,#N/A,FALSE,"ON-SITE";#N/A,#N/A,FALSE,"CYLINDERS"}</definedName>
    <definedName name="dede" localSheetId="7" hidden="1">{#N/A,#N/A,FALSE,"Pharm";#N/A,#N/A,FALSE,"WWCM"}</definedName>
    <definedName name="dede" localSheetId="8" hidden="1">{#N/A,#N/A,FALSE,"Pharm";#N/A,#N/A,FALSE,"WWCM"}</definedName>
    <definedName name="dede" hidden="1">{#N/A,#N/A,FALSE,"Pharm";#N/A,#N/A,FALSE,"WWCM"}</definedName>
    <definedName name="DEDED" localSheetId="7" hidden="1">{#N/A,#N/A,FALSE,"Card";#N/A,#N/A,FALSE,"Prav";#N/A,#N/A,FALSE,"Irbe";#N/A,#N/A,FALSE,"Plavix";#N/A,#N/A,FALSE,"Capt";#N/A,#N/A,FALSE,"Fosi"}</definedName>
    <definedName name="DEDED" localSheetId="8" hidden="1">{#N/A,#N/A,FALSE,"Card";#N/A,#N/A,FALSE,"Prav";#N/A,#N/A,FALSE,"Irbe";#N/A,#N/A,FALSE,"Plavix";#N/A,#N/A,FALSE,"Capt";#N/A,#N/A,FALSE,"Fosi"}</definedName>
    <definedName name="DEDED" hidden="1">{#N/A,#N/A,FALSE,"Card";#N/A,#N/A,FALSE,"Prav";#N/A,#N/A,FALSE,"Irbe";#N/A,#N/A,FALSE,"Plavix";#N/A,#N/A,FALSE,"Capt";#N/A,#N/A,FALSE,"Fosi"}</definedName>
    <definedName name="DEDEDZE" localSheetId="7" hidden="1">{#N/A,#N/A,FALSE,"Pharm";#N/A,#N/A,FALSE,"WWCM"}</definedName>
    <definedName name="DEDEDZE" localSheetId="8" hidden="1">{#N/A,#N/A,FALSE,"Pharm";#N/A,#N/A,FALSE,"WWCM"}</definedName>
    <definedName name="DEDEDZE" hidden="1">{#N/A,#N/A,FALSE,"Pharm";#N/A,#N/A,FALSE,"WWCM"}</definedName>
    <definedName name="DEDZD" localSheetId="7" hidden="1">{#N/A,#N/A,FALSE,"Pharm";#N/A,#N/A,FALSE,"WWCM"}</definedName>
    <definedName name="DEDZD" localSheetId="8" hidden="1">{#N/A,#N/A,FALSE,"Pharm";#N/A,#N/A,FALSE,"WWCM"}</definedName>
    <definedName name="DEDZD" hidden="1">{#N/A,#N/A,FALSE,"Pharm";#N/A,#N/A,FALSE,"WWCM"}</definedName>
    <definedName name="DEE" localSheetId="7" hidden="1">{#N/A,#N/A,FALSE,"Pharm";#N/A,#N/A,FALSE,"WWCM"}</definedName>
    <definedName name="DEE" localSheetId="8" hidden="1">{#N/A,#N/A,FALSE,"Pharm";#N/A,#N/A,FALSE,"WWCM"}</definedName>
    <definedName name="DEE" hidden="1">{#N/A,#N/A,FALSE,"Pharm";#N/A,#N/A,FALSE,"WWCM"}</definedName>
    <definedName name="deg" localSheetId="8" hidden="1">{"First Page",#N/A,FALSE,"Surfactants LBO";"Second Page",#N/A,FALSE,"Surfactants LBO"}</definedName>
    <definedName name="deg" hidden="1">{"First Page",#N/A,FALSE,"Surfactants LBO";"Second Page",#N/A,FALSE,"Surfactants LBO"}</definedName>
    <definedName name="deg_1" localSheetId="8" hidden="1">{"First Page",#N/A,FALSE,"Surfactants LBO";"Second Page",#N/A,FALSE,"Surfactants LBO"}</definedName>
    <definedName name="deg_1" hidden="1">{"First Page",#N/A,FALSE,"Surfactants LBO";"Second Page",#N/A,FALSE,"Surfactants LBO"}</definedName>
    <definedName name="DeleteRange" localSheetId="8" hidden="1">#N/A</definedName>
    <definedName name="DeleteRange" hidden="1">#REF!</definedName>
    <definedName name="DeleteTable" localSheetId="8" hidden="1">#N/A</definedName>
    <definedName name="DeleteTable" hidden="1">#REF!</definedName>
    <definedName name="DEMeXToEUR" localSheetId="8" hidden="1">1/EUReXToDEM</definedName>
    <definedName name="DEMeXToEUR" hidden="1">1/EUReXToDEM</definedName>
    <definedName name="demmer" localSheetId="8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demmer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demmer_1" localSheetId="8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demmer_1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demmer1" localSheetId="8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demmer1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demmer1_1" localSheetId="8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demmer1_1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DepreciationPB" hidden="1">#REF!</definedName>
    <definedName name="DEPRI" localSheetId="8" hidden="1">#REF!</definedName>
    <definedName name="DEPRI" hidden="1">#REF!</definedName>
    <definedName name="der" hidden="1">#REF!</definedName>
    <definedName name="DERECHOS" localSheetId="8" hidden="1">{#N/A,#N/A,TRUE,"SIT.GLOBAL (2)";#N/A,#N/A,TRUE,"SIT.GLOBAL (1)";#N/A,#N/A,TRUE,"7.PROC JUD";#N/A,#N/A,TRUE,"GRAF.RENTAS";#N/A,#N/A,TRUE,"GRAF PTE.COB-COBNET (3)";#N/A,#N/A,TRUE,"GRAF FACT TOTAL-ORD (3)";#N/A,#N/A,TRUE,"DATOSGRAFICO";#N/A,#N/A,TRUE,"RESCINDIDOS";#N/A,#N/A,TRUE,"DETALLE PTE."}</definedName>
    <definedName name="DERECHOS" hidden="1">{#N/A,#N/A,TRUE,"SIT.GLOBAL (2)";#N/A,#N/A,TRUE,"SIT.GLOBAL (1)";#N/A,#N/A,TRUE,"7.PROC JUD";#N/A,#N/A,TRUE,"GRAF.RENTAS";#N/A,#N/A,TRUE,"GRAF PTE.COB-COBNET (3)";#N/A,#N/A,TRUE,"GRAF FACT TOTAL-ORD (3)";#N/A,#N/A,TRUE,"DATOSGRAFICO";#N/A,#N/A,TRUE,"RESCINDIDOS";#N/A,#N/A,TRUE,"DETALLE PTE."}</definedName>
    <definedName name="des" localSheetId="8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des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Designer" hidden="1">"Designer: Eric Desart - ATP functions translated by the 'Analysis Toolpak Translator 7.0' MS Excel Utility."</definedName>
    <definedName name="DETAILS1_CMPNAME" localSheetId="8" hidden="1">#REF!</definedName>
    <definedName name="DETAILS1_CMPNAME" hidden="1">#REF!</definedName>
    <definedName name="DETAILS1_DH01" localSheetId="8" hidden="1">#REF!</definedName>
    <definedName name="DETAILS1_DH01" hidden="1">#REF!</definedName>
    <definedName name="DETAILS1_DH02" localSheetId="8" hidden="1">#REF!</definedName>
    <definedName name="DETAILS1_DH02" hidden="1">#REF!</definedName>
    <definedName name="DETAILS1_DH03" localSheetId="8" hidden="1">#REF!</definedName>
    <definedName name="DETAILS1_DH03" hidden="1">#REF!</definedName>
    <definedName name="DETAILS1_DH04" localSheetId="8" hidden="1">#REF!</definedName>
    <definedName name="DETAILS1_DH04" hidden="1">#REF!</definedName>
    <definedName name="DETAILS1_DH05" localSheetId="8" hidden="1">#REF!</definedName>
    <definedName name="DETAILS1_DH05" hidden="1">#REF!</definedName>
    <definedName name="DETAILS1_EH01" localSheetId="8" hidden="1">#REF!</definedName>
    <definedName name="DETAILS1_EH01" hidden="1">#REF!</definedName>
    <definedName name="DETAILS1_EH02" localSheetId="8" hidden="1">#REF!</definedName>
    <definedName name="DETAILS1_EH02" hidden="1">#REF!</definedName>
    <definedName name="DETAILS1_EH03" localSheetId="8" hidden="1">#REF!</definedName>
    <definedName name="DETAILS1_EH03" hidden="1">#REF!</definedName>
    <definedName name="DETAILS1_EH04" localSheetId="8" hidden="1">#REF!</definedName>
    <definedName name="DETAILS1_EH04" hidden="1">#REF!</definedName>
    <definedName name="DETAILS1_EH05" localSheetId="8" hidden="1">#REF!</definedName>
    <definedName name="DETAILS1_EH05" hidden="1">#REF!</definedName>
    <definedName name="DETAILS1_FORMNAME" localSheetId="8" hidden="1">#REF!</definedName>
    <definedName name="DETAILS1_FORMNAME" hidden="1">#REF!</definedName>
    <definedName name="DETAILS1_MONTH1" localSheetId="8" hidden="1">#REF!</definedName>
    <definedName name="DETAILS1_MONTH1" hidden="1">#REF!</definedName>
    <definedName name="DETAILS1_RULENAME" localSheetId="8" hidden="1">#REF!</definedName>
    <definedName name="DETAILS1_RULENAME" hidden="1">#REF!</definedName>
    <definedName name="Dett" localSheetId="8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Dett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detz" localSheetId="8" hidden="1">{"Ergebnisbericht_UBA",#N/A,FALSE,"MB"}</definedName>
    <definedName name="detz" hidden="1">{"Ergebnisbericht_UBA",#N/A,FALSE,"MB"}</definedName>
    <definedName name="detz_1" localSheetId="8" hidden="1">{"Ergebnisbericht_UBA",#N/A,FALSE,"MB"}</definedName>
    <definedName name="detz_1" hidden="1">{"Ergebnisbericht_UBA",#N/A,FALSE,"MB"}</definedName>
    <definedName name="Deuda" hidden="1">{#N/A,#N/A,FALSE,"ACQ_GRAPHS";#N/A,#N/A,FALSE,"T_1 GRAPHS";#N/A,#N/A,FALSE,"T_2 GRAPHS";#N/A,#N/A,FALSE,"COMB_GRAPHS"}</definedName>
    <definedName name="devc" localSheetId="8" hidden="1">{"TOTTEXAS",#N/A,FALSE,"CM"}</definedName>
    <definedName name="devc" hidden="1">{"TOTTEXAS",#N/A,FALSE,"CM"}</definedName>
    <definedName name="dewded" localSheetId="8" hidden="1">{#N/A,#N/A,FALSE,"Aging Summary";#N/A,#N/A,FALSE,"Ratio Analysis";#N/A,#N/A,FALSE,"Test 120 Day Accts";#N/A,#N/A,FALSE,"Tickmarks"}</definedName>
    <definedName name="dewded" hidden="1">{#N/A,#N/A,FALSE,"Aging Summary";#N/A,#N/A,FALSE,"Ratio Analysis";#N/A,#N/A,FALSE,"Test 120 Day Accts";#N/A,#N/A,FALSE,"Tickmarks"}</definedName>
    <definedName name="DEZLFEZKLHF" localSheetId="7" hidden="1">{#N/A,#N/A,FALSE,"Pharm";#N/A,#N/A,FALSE,"WWCM"}</definedName>
    <definedName name="DEZLFEZKLHF" localSheetId="8" hidden="1">{#N/A,#N/A,FALSE,"Pharm";#N/A,#N/A,FALSE,"WWCM"}</definedName>
    <definedName name="DEZLFEZKLHF" hidden="1">{#N/A,#N/A,FALSE,"Pharm";#N/A,#N/A,FALSE,"WWCM"}</definedName>
    <definedName name="df" localSheetId="8" hidden="1">#REF!</definedName>
    <definedName name="DF" hidden="1">{#N/A,#N/A,FALSE,"Acum Julio - 00"}</definedName>
    <definedName name="dfadfa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dfadfg" hidden="1">#REF!</definedName>
    <definedName name="dfagdfasf" localSheetId="8" hidden="1">{"cover",#N/A,TRUE,"Cover";"toc5",#N/A,TRUE,"TOC";"over",#N/A,TRUE,"Overview";"ts2",#N/A,TRUE,"Det_Trans_Sum";"ei1",#N/A,TRUE,"Earnings Impact";"ad1",#N/A,TRUE,"accretion dilution";"pfis1",#N/A,TRUE,"Pro Forma Income Statement";"ca1",#N/A,TRUE,"Contribution_Analysis";"acq1",#N/A,TRUE,"Acquirer";"tar1",#N/A,TRUE,"Target"}</definedName>
    <definedName name="dfagdfasf" hidden="1">{"cover",#N/A,TRUE,"Cover";"toc5",#N/A,TRUE,"TOC";"over",#N/A,TRUE,"Overview";"ts2",#N/A,TRUE,"Det_Trans_Sum";"ei1",#N/A,TRUE,"Earnings Impact";"ad1",#N/A,TRUE,"accretion dilution";"pfis1",#N/A,TRUE,"Pro Forma Income Statement";"ca1",#N/A,TRUE,"Contribution_Analysis";"acq1",#N/A,TRUE,"Acquirer";"tar1",#N/A,TRUE,"Target"}</definedName>
    <definedName name="dfahbeaf\" hidden="1">{"'RR'!$A$2:$E$81"}</definedName>
    <definedName name="dfanb" localSheetId="8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dfan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dfasdf" localSheetId="8" hidden="1">{"Largo",#N/A,FALSE,"FSCONSO";"Corto",#N/A,FALSE,"FSCONSO";"pl",#N/A,FALSE,"FSCONSO"}</definedName>
    <definedName name="dfasdf" hidden="1">{"Largo",#N/A,FALSE,"FSCONSO";"Corto",#N/A,FALSE,"FSCONSO";"pl",#N/A,FALSE,"FSCONSO"}</definedName>
    <definedName name="dfasdf_1" localSheetId="8" hidden="1">{"Largo",#N/A,FALSE,"FSCONSO";"Corto",#N/A,FALSE,"FSCONSO";"pl",#N/A,FALSE,"FSCONSO"}</definedName>
    <definedName name="dfasdf_1" hidden="1">{"Largo",#N/A,FALSE,"FSCONSO";"Corto",#N/A,FALSE,"FSCONSO";"pl",#N/A,FALSE,"FSCONSO"}</definedName>
    <definedName name="DFBFB" localSheetId="8" hidden="1">{"Pèrdues i Guanys analític.Català",#N/A,FALSE,"Català";"Pèrdues i G. analític.castellà",#N/A,FALSE,"Castellà"}</definedName>
    <definedName name="DFBFB" hidden="1">{"Pèrdues i Guanys analític.Català",#N/A,FALSE,"Català";"Pèrdues i G. analític.castellà",#N/A,FALSE,"Castellà"}</definedName>
    <definedName name="dfbgdan" hidden="1">{"'RR'!$A$2:$E$81"}</definedName>
    <definedName name="dfd" localSheetId="8" hidden="1">{"comp1",#N/A,FALSE,"COMPS";"footnotes",#N/A,FALSE,"COMPS"}</definedName>
    <definedName name="dfd" hidden="1">{#N/A,#N/A,FALSE,"NET";#N/A,#N/A,FALSE,"caxi";#N/A,#N/A,FALSE,"nhai";#N/A,#N/A,FALSE,"urui";#N/A,#N/A,FALSE,"cali";#N/A,#N/A,FALSE,"joii";#N/A,#N/A,FALSE,"hol";#N/A,#N/A,FALSE,"poa";#N/A,#N/A,FALSE,"pel";#N/A,#N/A,FALSE,"cha";#N/A,#N/A,FALSE,"rgr";#N/A,#N/A,FALSE,"ere";#N/A,#N/A,FALSE,"scr";#N/A,#N/A,FALSE,"cri";#N/A,#N/A,FALSE,"bag";#N/A,#N/A,FALSE,"pfu";#N/A,#N/A,FALSE,"lit";#N/A,#N/A,FALSE,"mmd";#N/A,#N/A,FALSE,"sma";#N/A,#N/A,FALSE,"btg";#N/A,#N/A,FALSE,"far";#N/A,#N/A,FALSE,"laj";#N/A,#N/A,FALSE,"flo";#N/A,#N/A,FALSE,"076";#N/A,#N/A,FALSE,"iflo";#N/A,#N/A,FALSE,"blu"}</definedName>
    <definedName name="dfd_1" localSheetId="8" hidden="1">{"comp1",#N/A,FALSE,"COMPS";"footnotes",#N/A,FALSE,"COMPS"}</definedName>
    <definedName name="dfd_1" hidden="1">{"comp1",#N/A,FALSE,"COMPS";"footnotes",#N/A,FALSE,"COMPS"}</definedName>
    <definedName name="dfdbfdbdbdbd" localSheetId="8" hidden="1">{#N/A,#N/A,FALSE,"Assessment";#N/A,#N/A,FALSE,"Staffing";#N/A,#N/A,FALSE,"Hires";#N/A,#N/A,FALSE,"Assumptions"}</definedName>
    <definedName name="dfdbfdbdbdbd" hidden="1">{#N/A,#N/A,FALSE,"Assessment";#N/A,#N/A,FALSE,"Staffing";#N/A,#N/A,FALSE,"Hires";#N/A,#N/A,FALSE,"Assumptions"}</definedName>
    <definedName name="DFDD" localSheetId="7" hidden="1">{#N/A,#N/A,FALSE,"REPORT"}</definedName>
    <definedName name="DFDD" localSheetId="8" hidden="1">{#N/A,#N/A,FALSE,"REPORT"}</definedName>
    <definedName name="DFDD" hidden="1">{#N/A,#N/A,FALSE,"REPORT"}</definedName>
    <definedName name="dfde" hidden="1">#REF!</definedName>
    <definedName name="dfdf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DFDFD" localSheetId="8" hidden="1">{#N/A,#N/A,FALSE,"Adm comp";#N/A,#N/A,FALSE,"Adm ajust";"adm",#N/A,FALSE,"Administration";#N/A,#N/A,FALSE,"Adm Bgt 97 vs Prév. 96";#N/A,#N/A,FALSE,"Adm Bgt 97 vs 96"}</definedName>
    <definedName name="DFDFD" hidden="1">{#N/A,#N/A,FALSE,"Adm comp";#N/A,#N/A,FALSE,"Adm ajust";"adm",#N/A,FALSE,"Administration";#N/A,#N/A,FALSE,"Adm Bgt 97 vs Prév. 96";#N/A,#N/A,FALSE,"Adm Bgt 97 vs 96"}</definedName>
    <definedName name="dfdfdfdfd" localSheetId="8" hidden="1">#REF!</definedName>
    <definedName name="dfdfdfdfd" hidden="1">#REF!</definedName>
    <definedName name="dffddf" localSheetId="8" hidden="1">{#N/A,#N/A,FALSE,"Assessment";#N/A,#N/A,FALSE,"Staffing";#N/A,#N/A,FALSE,"Hires";#N/A,#N/A,FALSE,"Assumptions"}</definedName>
    <definedName name="dffddf" hidden="1">{#N/A,#N/A,FALSE,"Assessment";#N/A,#N/A,FALSE,"Staffing";#N/A,#N/A,FALSE,"Hires";#N/A,#N/A,FALSE,"Assumptions"}</definedName>
    <definedName name="dffdfdfdn" localSheetId="8" hidden="1">{#N/A,#N/A,FALSE,"Assessment";#N/A,#N/A,FALSE,"Staffing";#N/A,#N/A,FALSE,"Hires";#N/A,#N/A,FALSE,"Assumptions"}</definedName>
    <definedName name="dffdfdfdn" hidden="1">{#N/A,#N/A,FALSE,"Assessment";#N/A,#N/A,FALSE,"Staffing";#N/A,#N/A,FALSE,"Hires";#N/A,#N/A,FALSE,"Assumptions"}</definedName>
    <definedName name="DFFDG" hidden="1">#REF!</definedName>
    <definedName name="dfg" localSheetId="8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dfg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dfga" localSheetId="8" hidden="1">{#N/A,#N/A,FALSE,"output";#N/A,#N/A,FALSE,"contrib";#N/A,#N/A,FALSE,"profile";#N/A,#N/A,FALSE,"comps"}</definedName>
    <definedName name="dfga" hidden="1">{#N/A,#N/A,FALSE,"output";#N/A,#N/A,FALSE,"contrib";#N/A,#N/A,FALSE,"profile";#N/A,#N/A,FALSE,"comps"}</definedName>
    <definedName name="dfga_1" localSheetId="8" hidden="1">{#N/A,#N/A,FALSE,"output";#N/A,#N/A,FALSE,"contrib";#N/A,#N/A,FALSE,"profile";#N/A,#N/A,FALSE,"comps"}</definedName>
    <definedName name="dfga_1" hidden="1">{#N/A,#N/A,FALSE,"output";#N/A,#N/A,FALSE,"contrib";#N/A,#N/A,FALSE,"profile";#N/A,#N/A,FALSE,"comps"}</definedName>
    <definedName name="dfgadg" localSheetId="8" hidden="1">{"assumption cash",#N/A,TRUE,"Merger";"has gets cash",#N/A,TRUE,"Merger";"accretion dilution",#N/A,TRUE,"Merger";"comparison credit stats",#N/A,TRUE,"Merger";"pf credit stats",#N/A,TRUE,"Merger";"pf sheets",#N/A,TRUE,"Merger"}</definedName>
    <definedName name="dfgadg" hidden="1">{"assumption cash",#N/A,TRUE,"Merger";"has gets cash",#N/A,TRUE,"Merger";"accretion dilution",#N/A,TRUE,"Merger";"comparison credit stats",#N/A,TRUE,"Merger";"pf credit stats",#N/A,TRUE,"Merger";"pf sheets",#N/A,TRUE,"Merger"}</definedName>
    <definedName name="dfgadg_1" localSheetId="8" hidden="1">{"assumption cash",#N/A,TRUE,"Merger";"has gets cash",#N/A,TRUE,"Merger";"accretion dilution",#N/A,TRUE,"Merger";"comparison credit stats",#N/A,TRUE,"Merger";"pf credit stats",#N/A,TRUE,"Merger";"pf sheets",#N/A,TRUE,"Merger"}</definedName>
    <definedName name="dfgadg_1" hidden="1">{"assumption cash",#N/A,TRUE,"Merger";"has gets cash",#N/A,TRUE,"Merger";"accretion dilution",#N/A,TRUE,"Merger";"comparison credit stats",#N/A,TRUE,"Merger";"pf credit stats",#N/A,TRUE,"Merger";"pf sheets",#N/A,TRUE,"Merger"}</definedName>
    <definedName name="dfgadrg" localSheetId="8" hidden="1">{#N/A,#N/A,TRUE,"Graficos";#N/A,#N/A,TRUE,"P.Ingresos";#N/A,#N/A,TRUE,"P.Gastos";#N/A,#N/A,TRUE,"I.Trafico";#N/A,#N/A,TRUE,"I.Peajes";#N/A,#N/A,TRUE,"G.Operativos";#N/A,#N/A,TRUE,"Cf Proyecto";#N/A,#N/A,TRUE,"C.PYG";#N/A,#N/A,TRUE,"Balance";#N/A,#N/A,TRUE,"TIR AC";#N/A,#N/A,TRUE,"Ratios";#N/A,#N/A,TRUE,"Amortizacion";#N/A,#N/A,TRUE,"FC fin";#N/A,#N/A,TRUE,"Coeficientes";#N/A,#N/A,TRUE,"Tesoreria";#N/A,#N/A,TRUE,"Prest.inv";#N/A,#N/A,TRUE,"Obligacion";#N/A,#N/A,TRUE,"Impuestos";#N/A,#N/A,TRUE,"Reservas";#N/A,#N/A,TRUE,"Inversion";#N/A,#N/A,TRUE,"P.Inversion";#N/A,#N/A,TRUE,"C.Fl Inv.";#N/A,#N/A,TRUE,"VAN Oferta"}</definedName>
    <definedName name="dfgadrg" hidden="1">{#N/A,#N/A,TRUE,"Graficos";#N/A,#N/A,TRUE,"P.Ingresos";#N/A,#N/A,TRUE,"P.Gastos";#N/A,#N/A,TRUE,"I.Trafico";#N/A,#N/A,TRUE,"I.Peajes";#N/A,#N/A,TRUE,"G.Operativos";#N/A,#N/A,TRUE,"Cf Proyecto";#N/A,#N/A,TRUE,"C.PYG";#N/A,#N/A,TRUE,"Balance";#N/A,#N/A,TRUE,"TIR AC";#N/A,#N/A,TRUE,"Ratios";#N/A,#N/A,TRUE,"Amortizacion";#N/A,#N/A,TRUE,"FC fin";#N/A,#N/A,TRUE,"Coeficientes";#N/A,#N/A,TRUE,"Tesoreria";#N/A,#N/A,TRUE,"Prest.inv";#N/A,#N/A,TRUE,"Obligacion";#N/A,#N/A,TRUE,"Impuestos";#N/A,#N/A,TRUE,"Reservas";#N/A,#N/A,TRUE,"Inversion";#N/A,#N/A,TRUE,"P.Inversion";#N/A,#N/A,TRUE,"C.Fl Inv.";#N/A,#N/A,TRUE,"VAN Oferta"}</definedName>
    <definedName name="dfgd" localSheetId="8" hidden="1">{"subs",#N/A,FALSE,"database ";"proportional",#N/A,FALSE,"database "}</definedName>
    <definedName name="dfgd" hidden="1">{"subs",#N/A,FALSE,"database ";"proportional",#N/A,FALSE,"database "}</definedName>
    <definedName name="dfgdagfd" localSheetId="8" hidden="1">{"away stand alones",#N/A,FALSE,"Target"}</definedName>
    <definedName name="dfgdagfd" hidden="1">{"away stand alones",#N/A,FALSE,"Target"}</definedName>
    <definedName name="dfgdagfd_1" localSheetId="8" hidden="1">{"away stand alones",#N/A,FALSE,"Target"}</definedName>
    <definedName name="dfgdagfd_1" hidden="1">{"away stand alones",#N/A,FALSE,"Target"}</definedName>
    <definedName name="dfgdf" localSheetId="8" hidden="1">{#N/A,#N/A,FALSE,"USCSS ROLLUP";#N/A,#N/A,FALSE,"USCS";#N/A,#N/A,FALSE,"TARGET";#N/A,#N/A,FALSE,"MICROSOFT";#N/A,#N/A,FALSE,"AT&amp;T";#N/A,#N/A,FALSE,"ALT CHANNELS";#N/A,#N/A,FALSE,"USCS HQ"}</definedName>
    <definedName name="dfgdf" hidden="1">{#N/A,#N/A,FALSE,"USCSS ROLLUP";#N/A,#N/A,FALSE,"USCS";#N/A,#N/A,FALSE,"TARGET";#N/A,#N/A,FALSE,"MICROSOFT";#N/A,#N/A,FALSE,"AT&amp;T";#N/A,#N/A,FALSE,"ALT CHANNELS";#N/A,#N/A,FALSE,"USCS HQ"}</definedName>
    <definedName name="dfgdf_1" localSheetId="8" hidden="1">{"Ergebnisbericht_UBA",#N/A,FALSE,"MB"}</definedName>
    <definedName name="dfgdf_1" hidden="1">{"Ergebnisbericht_UBA",#N/A,FALSE,"MB"}</definedName>
    <definedName name="DFGDFGDF" localSheetId="8" hidden="1">{"Pèrdues i Guanys analític.Català",#N/A,FALSE,"Català";"Pèrdues i G. analític.castellà",#N/A,FALSE,"Castellà"}</definedName>
    <definedName name="DFGDFGDF" hidden="1">{"Pèrdues i Guanys analític.Català",#N/A,FALSE,"Català";"Pèrdues i G. analític.castellà",#N/A,FALSE,"Castellà"}</definedName>
    <definedName name="dfgdg" localSheetId="8" hidden="1">{"casespecific",#N/A,FALSE,"Assumptions"}</definedName>
    <definedName name="dfgdg" hidden="1">{"casespecific",#N/A,FALSE,"Assumptions"}</definedName>
    <definedName name="dfgdg_1" localSheetId="8" hidden="1">{"casespecific",#N/A,FALSE,"Assumptions"}</definedName>
    <definedName name="dfgdg_1" hidden="1">{"casespecific",#N/A,FALSE,"Assumptions"}</definedName>
    <definedName name="dfgds" hidden="1">38922.8233796296</definedName>
    <definedName name="dfgfdg" localSheetId="8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dfgfdg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dfgfdgf" localSheetId="8" hidden="1">{#N/A,#N/A,FALSE,"Produkte Erw.";#N/A,#N/A,FALSE,"Produkte Plan";#N/A,#N/A,FALSE,"Leistungen Erw.";#N/A,#N/A,FALSE,"Leistungen Plan";#N/A,#N/A,FALSE,"KA Allg.Kosten (2)";#N/A,#N/A,FALSE,"KA All.Kosten"}</definedName>
    <definedName name="dfgfdgf" hidden="1">{#N/A,#N/A,FALSE,"Produkte Erw.";#N/A,#N/A,FALSE,"Produkte Plan";#N/A,#N/A,FALSE,"Leistungen Erw.";#N/A,#N/A,FALSE,"Leistungen Plan";#N/A,#N/A,FALSE,"KA Allg.Kosten (2)";#N/A,#N/A,FALSE,"KA All.Kosten"}</definedName>
    <definedName name="dfgfg" localSheetId="8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dfgfg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dfggfhhj" localSheetId="8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dfggfhhj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dfgh" localSheetId="8" hidden="1">{#N/A,"PURCHM",FALSE,"Business Analysis";#N/A,"SPADD",FALSE,"Business Analysis"}</definedName>
    <definedName name="dfgh" hidden="1">{#N/A,"PURCHM",FALSE,"Business Analysis";#N/A,"SPADD",FALSE,"Business Analysis"}</definedName>
    <definedName name="dfghdfhdg" localSheetId="8" hidden="1">{#N/A,#N/A,FALSE,"Umsatz 99";#N/A,#N/A,FALSE,"ER 99 "}</definedName>
    <definedName name="dfghdfhdg" hidden="1">{#N/A,#N/A,FALSE,"Umsatz 99";#N/A,#N/A,FALSE,"ER 99 "}</definedName>
    <definedName name="DFGHJK" hidden="1">8</definedName>
    <definedName name="dfghs" localSheetId="8" hidden="1">{"Ergebnisbericht_UBA",#N/A,FALSE,"MB"}</definedName>
    <definedName name="dfghs" hidden="1">{"Ergebnisbericht_UBA",#N/A,FALSE,"MB"}</definedName>
    <definedName name="dfghs_1" localSheetId="8" hidden="1">{"Ergebnisbericht_UBA",#N/A,FALSE,"MB"}</definedName>
    <definedName name="dfghs_1" hidden="1">{"Ergebnisbericht_UBA",#N/A,FALSE,"MB"}</definedName>
    <definedName name="dfh" localSheetId="8" hidden="1">{"Ergebnisbericht_UBA",#N/A,FALSE,"MB"}</definedName>
    <definedName name="dfh" hidden="1">{"Ergebnisbericht_UBA",#N/A,FALSE,"MB"}</definedName>
    <definedName name="dfh_1" localSheetId="8" hidden="1">{"Ergebnisbericht_UBA",#N/A,FALSE,"MB"}</definedName>
    <definedName name="dfh_1" hidden="1">{"Ergebnisbericht_UBA",#N/A,FALSE,"MB"}</definedName>
    <definedName name="DFHFDHFDH" localSheetId="8" hidden="1">{#N/A,#N/A,FALSE,"Operations";#N/A,#N/A,FALSE,"Financials"}</definedName>
    <definedName name="DFHFDHFDH" hidden="1">{#N/A,#N/A,FALSE,"Operations";#N/A,#N/A,FALSE,"Financials"}</definedName>
    <definedName name="DFHFDHFDH_1" localSheetId="8" hidden="1">{#N/A,#N/A,FALSE,"Operations";#N/A,#N/A,FALSE,"Financials"}</definedName>
    <definedName name="DFHFDHFDH_1" hidden="1">{#N/A,#N/A,FALSE,"Operations";#N/A,#N/A,FALSE,"Financials"}</definedName>
    <definedName name="dfhfh" hidden="1">#REF!</definedName>
    <definedName name="dfjdfj" localSheetId="8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dfjdfj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dfjdfj_1" localSheetId="8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dfjdfj_1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dfk" localSheetId="8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fk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fnfdnfd" localSheetId="8" hidden="1">{#N/A,#N/A,FALSE,"Assessment";#N/A,#N/A,FALSE,"Staffing";#N/A,#N/A,FALSE,"Hires";#N/A,#N/A,FALSE,"Assumptions"}</definedName>
    <definedName name="dfnfdnfd" hidden="1">{#N/A,#N/A,FALSE,"Assessment";#N/A,#N/A,FALSE,"Staffing";#N/A,#N/A,FALSE,"Hires";#N/A,#N/A,FALSE,"Assumptions"}</definedName>
    <definedName name="dfnjn" localSheetId="8" hidden="1">{"EVA",#N/A,FALSE,"SMT2";#N/A,#N/A,FALSE,"Summary";#N/A,#N/A,FALSE,"Graphs";#N/A,#N/A,FALSE,"4 Panel"}</definedName>
    <definedName name="dfnjn" hidden="1">{"EVA",#N/A,FALSE,"SMT2";#N/A,#N/A,FALSE,"Summary";#N/A,#N/A,FALSE,"Graphs";#N/A,#N/A,FALSE,"4 Panel"}</definedName>
    <definedName name="dfr" localSheetId="7" hidden="1">{#N/A,#N/A,FALSE,"Pharm";#N/A,#N/A,FALSE,"WWCM"}</definedName>
    <definedName name="dfr" localSheetId="8" hidden="1">{#N/A,#N/A,FALSE,"Pharm";#N/A,#N/A,FALSE,"WWCM"}</definedName>
    <definedName name="dfr" hidden="1">{#N/A,#N/A,FALSE,"Pharm";#N/A,#N/A,FALSE,"WWCM"}</definedName>
    <definedName name="dfr_1" localSheetId="8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dfr_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dfre" localSheetId="8" hidden="1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dfre" hidden="1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dfs" hidden="1">#REF!</definedName>
    <definedName name="dfsd" localSheetId="8" hidden="1">#REF!</definedName>
    <definedName name="dfsd" hidden="1">#REF!</definedName>
    <definedName name="dfsdfdsf" localSheetId="8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dfsdfdsf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dfsfds" localSheetId="8" hidden="1">{"mgmt forecast",#N/A,FALSE,"Mgmt Forecast";"dcf table",#N/A,FALSE,"Mgmt Forecast";"sensitivity",#N/A,FALSE,"Mgmt Forecast";"table inputs",#N/A,FALSE,"Mgmt Forecast";"calculations",#N/A,FALSE,"Mgmt Forecast"}</definedName>
    <definedName name="dfsfds" hidden="1">{"mgmt forecast",#N/A,FALSE,"Mgmt Forecast";"dcf table",#N/A,FALSE,"Mgmt Forecast";"sensitivity",#N/A,FALSE,"Mgmt Forecast";"table inputs",#N/A,FALSE,"Mgmt Forecast";"calculations",#N/A,FALSE,"Mgmt Forecast"}</definedName>
    <definedName name="dfsfds_1" localSheetId="8" hidden="1">{"mgmt forecast",#N/A,FALSE,"Mgmt Forecast";"dcf table",#N/A,FALSE,"Mgmt Forecast";"sensitivity",#N/A,FALSE,"Mgmt Forecast";"table inputs",#N/A,FALSE,"Mgmt Forecast";"calculations",#N/A,FALSE,"Mgmt Forecast"}</definedName>
    <definedName name="dfsfds_1" hidden="1">{"mgmt forecast",#N/A,FALSE,"Mgmt Forecast";"dcf table",#N/A,FALSE,"Mgmt Forecast";"sensitivity",#N/A,FALSE,"Mgmt Forecast";"table inputs",#N/A,FALSE,"Mgmt Forecast";"calculations",#N/A,FALSE,"Mgmt Forecast"}</definedName>
    <definedName name="dfsrtzrstz" localSheetId="8" hidden="1">{#N/A,#N/A,FALSE,"USCSS ROLLUP";#N/A,#N/A,FALSE,"USCS";#N/A,#N/A,FALSE,"TARGET";#N/A,#N/A,FALSE,"MICROSOFT";#N/A,#N/A,FALSE,"AT&amp;T";#N/A,#N/A,FALSE,"ALT CHANNELS";#N/A,#N/A,FALSE,"USCS HQ"}</definedName>
    <definedName name="dfsrtzrstz" hidden="1">{#N/A,#N/A,FALSE,"USCSS ROLLUP";#N/A,#N/A,FALSE,"USCS";#N/A,#N/A,FALSE,"TARGET";#N/A,#N/A,FALSE,"MICROSOFT";#N/A,#N/A,FALSE,"AT&amp;T";#N/A,#N/A,FALSE,"ALT CHANNELS";#N/A,#N/A,FALSE,"USCS HQ"}</definedName>
    <definedName name="dfvdfdsf" hidden="1">{#N/A,#N/A,FALSE,"Dutos";#N/A,#N/A,FALSE,"Terminais"}</definedName>
    <definedName name="dg" localSheetId="8" hidden="1">{"comp1",#N/A,FALSE,"COMPS";"footnotes",#N/A,FALSE,"COMPS"}</definedName>
    <definedName name="dg" hidden="1">{"comp1",#N/A,FALSE,"COMPS";"footnotes",#N/A,FALSE,"COMPS"}</definedName>
    <definedName name="dg_1" localSheetId="8" hidden="1">{"comp1",#N/A,FALSE,"COMPS";"footnotes",#N/A,FALSE,"COMPS"}</definedName>
    <definedName name="dg_1" hidden="1">{"comp1",#N/A,FALSE,"COMPS";"footnotes",#N/A,FALSE,"COMPS"}</definedName>
    <definedName name="dgas" localSheetId="8" hidden="1">{"Ergebnisbericht_UBA",#N/A,FALSE,"MB"}</definedName>
    <definedName name="dgas" hidden="1">{"Ergebnisbericht_UBA",#N/A,FALSE,"MB"}</definedName>
    <definedName name="dgas_1" localSheetId="8" hidden="1">{"Ergebnisbericht_UBA",#N/A,FALSE,"MB"}</definedName>
    <definedName name="dgas_1" hidden="1">{"Ergebnisbericht_UBA",#N/A,FALSE,"MB"}</definedName>
    <definedName name="dgdf" localSheetId="8" hidden="1">{#N/A,#N/A,FALSE,"Global Assumptions";#N/A,#N/A,FALSE,"NZ Valuation";#N/A,#N/A,FALSE,"P&amp;L";#N/A,#N/A,FALSE,"Balance Sheet";#N/A,#N/A,FALSE,"Cash Flow";#N/A,#N/A,FALSE,"Key Assumptions";#N/A,#N/A,FALSE,"Graphs";#N/A,#N/A,FALSE,"Core EBIT Summary";#N/A,#N/A,FALSE,"National Tolls - Residential";#N/A,#N/A,FALSE,"National Tolls - Business";#N/A,#N/A,FALSE,"Internat'l Tolls - Residential";#N/A,#N/A,FALSE,"Internat'l Tolls - Business";#N/A,#N/A,FALSE,"Faxplus";#N/A,#N/A,FALSE,"Business Local Service";#N/A,#N/A,FALSE,"Data Services";#N/A,#N/A,FALSE,"Cellular"}</definedName>
    <definedName name="dgdf" hidden="1">{#N/A,#N/A,FALSE,"Global Assumptions";#N/A,#N/A,FALSE,"NZ Valuation";#N/A,#N/A,FALSE,"P&amp;L";#N/A,#N/A,FALSE,"Balance Sheet";#N/A,#N/A,FALSE,"Cash Flow";#N/A,#N/A,FALSE,"Key Assumptions";#N/A,#N/A,FALSE,"Graphs";#N/A,#N/A,FALSE,"Core EBIT Summary";#N/A,#N/A,FALSE,"National Tolls - Residential";#N/A,#N/A,FALSE,"National Tolls - Business";#N/A,#N/A,FALSE,"Internat'l Tolls - Residential";#N/A,#N/A,FALSE,"Internat'l Tolls - Business";#N/A,#N/A,FALSE,"Faxplus";#N/A,#N/A,FALSE,"Business Local Service";#N/A,#N/A,FALSE,"Data Services";#N/A,#N/A,FALSE,"Cellular"}</definedName>
    <definedName name="dgdfgdgfdg" localSheetId="8" hidden="1">{"hiden",#N/A,FALSE,"14";"hidden",#N/A,FALSE,"16";"hidden",#N/A,FALSE,"18";"hidden",#N/A,FALSE,"20"}</definedName>
    <definedName name="dgdfgdgfdg" hidden="1">{"hiden",#N/A,FALSE,"14";"hidden",#N/A,FALSE,"16";"hidden",#N/A,FALSE,"18";"hidden",#N/A,FALSE,"20"}</definedName>
    <definedName name="dgdfgdgfdg_1" localSheetId="8" hidden="1">{"hiden",#N/A,FALSE,"14";"hidden",#N/A,FALSE,"16";"hidden",#N/A,FALSE,"18";"hidden",#N/A,FALSE,"20"}</definedName>
    <definedName name="dgdfgdgfdg_1" hidden="1">{"hiden",#N/A,FALSE,"14";"hidden",#N/A,FALSE,"16";"hidden",#N/A,FALSE,"18";"hidden",#N/A,FALSE,"20"}</definedName>
    <definedName name="dgdfgfd" localSheetId="8" hidden="1">{"up stand alones",#N/A,FALSE,"Acquiror"}</definedName>
    <definedName name="dgdfgfd" hidden="1">{"up stand alones",#N/A,FALSE,"Acquiror"}</definedName>
    <definedName name="dgdfgfd_1" localSheetId="8" hidden="1">{"up stand alones",#N/A,FALSE,"Acquiror"}</definedName>
    <definedName name="dgdfgfd_1" hidden="1">{"up stand alones",#N/A,FALSE,"Acquiror"}</definedName>
    <definedName name="dgdg" localSheetId="8" hidden="1">{#N/A,#N/A,FALSE,"Calc";#N/A,#N/A,FALSE,"Sensitivity";#N/A,#N/A,FALSE,"LT Earn.Dil.";#N/A,#N/A,FALSE,"Dil. AVP"}</definedName>
    <definedName name="dgdg" hidden="1">{#N/A,#N/A,FALSE,"Calc";#N/A,#N/A,FALSE,"Sensitivity";#N/A,#N/A,FALSE,"LT Earn.Dil.";#N/A,#N/A,FALSE,"Dil. AVP"}</definedName>
    <definedName name="dgdg_1" localSheetId="8" hidden="1">{#N/A,#N/A,FALSE,"Calc";#N/A,#N/A,FALSE,"Sensitivity";#N/A,#N/A,FALSE,"LT Earn.Dil.";#N/A,#N/A,FALSE,"Dil. AVP"}</definedName>
    <definedName name="dgdg_1" hidden="1">{#N/A,#N/A,FALSE,"Calc";#N/A,#N/A,FALSE,"Sensitivity";#N/A,#N/A,FALSE,"LT Earn.Dil.";#N/A,#N/A,FALSE,"Dil. AVP"}</definedName>
    <definedName name="dgdgdfg" localSheetId="8" hidden="1">{"away stand alones",#N/A,FALSE,"Target"}</definedName>
    <definedName name="dgdgdfg" hidden="1">{"away stand alones",#N/A,FALSE,"Target"}</definedName>
    <definedName name="dgdgdfg_1" localSheetId="8" hidden="1">{"away stand alones",#N/A,FALSE,"Target"}</definedName>
    <definedName name="dgdgdfg_1" hidden="1">{"away stand alones",#N/A,FALSE,"Target"}</definedName>
    <definedName name="dgdgdgfd" localSheetId="8" hidden="1">{#N/A,#N/A,FALSE,"Operations";#N/A,#N/A,FALSE,"Financials"}</definedName>
    <definedName name="dgdgdgfd" hidden="1">{#N/A,#N/A,FALSE,"Operations";#N/A,#N/A,FALSE,"Financials"}</definedName>
    <definedName name="dgdgdgfd_1" localSheetId="8" hidden="1">{#N/A,#N/A,FALSE,"Operations";#N/A,#N/A,FALSE,"Financials"}</definedName>
    <definedName name="dgdgdgfd_1" hidden="1">{#N/A,#N/A,FALSE,"Operations";#N/A,#N/A,FALSE,"Financials"}</definedName>
    <definedName name="dgdgdgfdg" localSheetId="8" hidden="1">{"assumption 50 50",#N/A,TRUE,"Merger";"has gets cash",#N/A,TRUE,"Merger";"accretion dilution",#N/A,TRUE,"Merger";"comparison credit stats",#N/A,TRUE,"Merger";"pf credit stats",#N/A,TRUE,"Merger";"pf sheets",#N/A,TRUE,"Merger"}</definedName>
    <definedName name="dgdgdgfdg" hidden="1">{"assumption 50 50",#N/A,TRUE,"Merger";"has gets cash",#N/A,TRUE,"Merger";"accretion dilution",#N/A,TRUE,"Merger";"comparison credit stats",#N/A,TRUE,"Merger";"pf credit stats",#N/A,TRUE,"Merger";"pf sheets",#N/A,TRUE,"Merger"}</definedName>
    <definedName name="dgdgdgfdg_1" localSheetId="8" hidden="1">{"assumption 50 50",#N/A,TRUE,"Merger";"has gets cash",#N/A,TRUE,"Merger";"accretion dilution",#N/A,TRUE,"Merger";"comparison credit stats",#N/A,TRUE,"Merger";"pf credit stats",#N/A,TRUE,"Merger";"pf sheets",#N/A,TRUE,"Merger"}</definedName>
    <definedName name="dgdgdgfdg_1" hidden="1">{"assumption 50 50",#N/A,TRUE,"Merger";"has gets cash",#N/A,TRUE,"Merger";"accretion dilution",#N/A,TRUE,"Merger";"comparison credit stats",#N/A,TRUE,"Merger";"pf credit stats",#N/A,TRUE,"Merger";"pf sheets",#N/A,TRUE,"Merger"}</definedName>
    <definedName name="dgdgfd" localSheetId="8" hidden="1">{"assumption 50 50",#N/A,TRUE,"Merger";"has gets cash",#N/A,TRUE,"Merger";"accretion dilution",#N/A,TRUE,"Merger";"comparison credit stats",#N/A,TRUE,"Merger";"pf credit stats",#N/A,TRUE,"Merger";"pf sheets",#N/A,TRUE,"Merger"}</definedName>
    <definedName name="dgdgfd" hidden="1">{"assumption 50 50",#N/A,TRUE,"Merger";"has gets cash",#N/A,TRUE,"Merger";"accretion dilution",#N/A,TRUE,"Merger";"comparison credit stats",#N/A,TRUE,"Merger";"pf credit stats",#N/A,TRUE,"Merger";"pf sheets",#N/A,TRUE,"Merger"}</definedName>
    <definedName name="dgdgfd_1" localSheetId="8" hidden="1">{"assumption 50 50",#N/A,TRUE,"Merger";"has gets cash",#N/A,TRUE,"Merger";"accretion dilution",#N/A,TRUE,"Merger";"comparison credit stats",#N/A,TRUE,"Merger";"pf credit stats",#N/A,TRUE,"Merger";"pf sheets",#N/A,TRUE,"Merger"}</definedName>
    <definedName name="dgdgfd_1" hidden="1">{"assumption 50 50",#N/A,TRUE,"Merger";"has gets cash",#N/A,TRUE,"Merger";"accretion dilution",#N/A,TRUE,"Merger";"comparison credit stats",#N/A,TRUE,"Merger";"pf credit stats",#N/A,TRUE,"Merger";"pf sheets",#N/A,TRUE,"Merger"}</definedName>
    <definedName name="dgdgfdgfdgfd" localSheetId="8" hidden="1">{"assumption cash",#N/A,TRUE,"Merger";"has gets cash",#N/A,TRUE,"Merger";"accretion dilution",#N/A,TRUE,"Merger";"comparison credit stats",#N/A,TRUE,"Merger";"pf credit stats",#N/A,TRUE,"Merger";"pf sheets",#N/A,TRUE,"Merger"}</definedName>
    <definedName name="dgdgfdgfdgfd" hidden="1">{"assumption cash",#N/A,TRUE,"Merger";"has gets cash",#N/A,TRUE,"Merger";"accretion dilution",#N/A,TRUE,"Merger";"comparison credit stats",#N/A,TRUE,"Merger";"pf credit stats",#N/A,TRUE,"Merger";"pf sheets",#N/A,TRUE,"Merger"}</definedName>
    <definedName name="dgdgfdgfdgfd_1" localSheetId="8" hidden="1">{"assumption cash",#N/A,TRUE,"Merger";"has gets cash",#N/A,TRUE,"Merger";"accretion dilution",#N/A,TRUE,"Merger";"comparison credit stats",#N/A,TRUE,"Merger";"pf credit stats",#N/A,TRUE,"Merger";"pf sheets",#N/A,TRUE,"Merger"}</definedName>
    <definedName name="dgdgfdgfdgfd_1" hidden="1">{"assumption cash",#N/A,TRUE,"Merger";"has gets cash",#N/A,TRUE,"Merger";"accretion dilution",#N/A,TRUE,"Merger";"comparison credit stats",#N/A,TRUE,"Merger";"pf credit stats",#N/A,TRUE,"Merger";"pf sheets",#N/A,TRUE,"Merger"}</definedName>
    <definedName name="dgdgss" localSheetId="8" hidden="1">{"consolidated",#N/A,FALSE,"Sheet1";"cms",#N/A,FALSE,"Sheet1";"fse",#N/A,FALSE,"Sheet1"}</definedName>
    <definedName name="dgdgss" hidden="1">{"consolidated",#N/A,FALSE,"Sheet1";"cms",#N/A,FALSE,"Sheet1";"fse",#N/A,FALSE,"Sheet1"}</definedName>
    <definedName name="dgdgss_1" localSheetId="8" hidden="1">{"consolidated",#N/A,FALSE,"Sheet1";"cms",#N/A,FALSE,"Sheet1";"fse",#N/A,FALSE,"Sheet1"}</definedName>
    <definedName name="dgdgss_1" hidden="1">{"consolidated",#N/A,FALSE,"Sheet1";"cms",#N/A,FALSE,"Sheet1";"fse",#N/A,FALSE,"Sheet1"}</definedName>
    <definedName name="dgdsgdsg" localSheetId="8" hidden="1">{"comps2",#N/A,FALSE,"AERO";"footnotes",#N/A,FALSE,"AERO"}</definedName>
    <definedName name="dgdsgdsg" hidden="1">{"comps2",#N/A,FALSE,"AERO";"footnotes",#N/A,FALSE,"AERO"}</definedName>
    <definedName name="dgdsgdsg_1" localSheetId="8" hidden="1">{"comps2",#N/A,FALSE,"AERO";"footnotes",#N/A,FALSE,"AERO"}</definedName>
    <definedName name="dgdsgdsg_1" hidden="1">{"comps2",#N/A,FALSE,"AERO";"footnotes",#N/A,FALSE,"AERO"}</definedName>
    <definedName name="dgf" localSheetId="8" hidden="1">{"Pèrdues i Guanys analític.Català",#N/A,FALSE,"Català";"Pèrdues i G. analític.castellà",#N/A,FALSE,"Castellà"}</definedName>
    <definedName name="dgf" hidden="1">{"Pèrdues i Guanys analític.Català",#N/A,FALSE,"Català";"Pèrdues i G. analític.castellà",#N/A,FALSE,"Castellà"}</definedName>
    <definedName name="dgfdgfdg" localSheetId="8" hidden="1">{#N/A,#N/A,FALSE,"Calc";#N/A,#N/A,FALSE,"Sensitivity";#N/A,#N/A,FALSE,"LT Earn.Dil.";#N/A,#N/A,FALSE,"Dil. AVP"}</definedName>
    <definedName name="dgfdgfdg" hidden="1">{#N/A,#N/A,FALSE,"Calc";#N/A,#N/A,FALSE,"Sensitivity";#N/A,#N/A,FALSE,"LT Earn.Dil.";#N/A,#N/A,FALSE,"Dil. AVP"}</definedName>
    <definedName name="dgfdgfdg_1" localSheetId="8" hidden="1">{#N/A,#N/A,FALSE,"Calc";#N/A,#N/A,FALSE,"Sensitivity";#N/A,#N/A,FALSE,"LT Earn.Dil.";#N/A,#N/A,FALSE,"Dil. AVP"}</definedName>
    <definedName name="dgfdgfdg_1" hidden="1">{#N/A,#N/A,FALSE,"Calc";#N/A,#N/A,FALSE,"Sensitivity";#N/A,#N/A,FALSE,"LT Earn.Dil.";#N/A,#N/A,FALSE,"Dil. AVP"}</definedName>
    <definedName name="dggd" localSheetId="8" hidden="1">{#N/A,#N/A,TRUE,"consinc";#N/A,#N/A,TRUE,"consproj";#N/A,#N/A,TRUE,"deminc";#N/A,#N/A,TRUE,"incproj";#N/A,#N/A,TRUE,"demman";#N/A,#N/A,TRUE,"manproj";#N/A,#N/A,TRUE,"S&amp;Gact";#N/A,#N/A,TRUE,"S&amp;Gproj ";#N/A,#N/A,TRUE,"dengis";#N/A,#N/A,TRUE,"dengisproj";#N/A,#N/A,TRUE,"mitinc";#N/A,#N/A,TRUE,"mitincproj";#N/A,#N/A,TRUE,"mits&amp;G";#N/A,#N/A,TRUE,"mits&amp;gproj";#N/A,#N/A,TRUE,"arcis";#N/A,#N/A,TRUE,"arcproj";#N/A,#N/A,TRUE,"ampinc";#N/A,#N/A,TRUE,"ampincproj";#N/A,#N/A,TRUE,"ampman";#N/A,#N/A,TRUE,"ampmanproj";#N/A,#N/A,TRUE,"ampS&amp;G";#N/A,#N/A,TRUE,"amps&amp;GProj"}</definedName>
    <definedName name="dggd" hidden="1">{#N/A,#N/A,TRUE,"consinc";#N/A,#N/A,TRUE,"consproj";#N/A,#N/A,TRUE,"deminc";#N/A,#N/A,TRUE,"incproj";#N/A,#N/A,TRUE,"demman";#N/A,#N/A,TRUE,"manproj";#N/A,#N/A,TRUE,"S&amp;Gact";#N/A,#N/A,TRUE,"S&amp;Gproj ";#N/A,#N/A,TRUE,"dengis";#N/A,#N/A,TRUE,"dengisproj";#N/A,#N/A,TRUE,"mitinc";#N/A,#N/A,TRUE,"mitincproj";#N/A,#N/A,TRUE,"mits&amp;G";#N/A,#N/A,TRUE,"mits&amp;gproj";#N/A,#N/A,TRUE,"arcis";#N/A,#N/A,TRUE,"arcproj";#N/A,#N/A,TRUE,"ampinc";#N/A,#N/A,TRUE,"ampincproj";#N/A,#N/A,TRUE,"ampman";#N/A,#N/A,TRUE,"ampmanproj";#N/A,#N/A,TRUE,"ampS&amp;G";#N/A,#N/A,TRUE,"amps&amp;GProj"}</definedName>
    <definedName name="dggd_1" localSheetId="8" hidden="1">{#N/A,#N/A,TRUE,"consinc";#N/A,#N/A,TRUE,"consproj";#N/A,#N/A,TRUE,"deminc";#N/A,#N/A,TRUE,"incproj";#N/A,#N/A,TRUE,"demman";#N/A,#N/A,TRUE,"manproj";#N/A,#N/A,TRUE,"S&amp;Gact";#N/A,#N/A,TRUE,"S&amp;Gproj ";#N/A,#N/A,TRUE,"dengis";#N/A,#N/A,TRUE,"dengisproj";#N/A,#N/A,TRUE,"mitinc";#N/A,#N/A,TRUE,"mitincproj";#N/A,#N/A,TRUE,"mits&amp;G";#N/A,#N/A,TRUE,"mits&amp;gproj";#N/A,#N/A,TRUE,"arcis";#N/A,#N/A,TRUE,"arcproj";#N/A,#N/A,TRUE,"ampinc";#N/A,#N/A,TRUE,"ampincproj";#N/A,#N/A,TRUE,"ampman";#N/A,#N/A,TRUE,"ampmanproj";#N/A,#N/A,TRUE,"ampS&amp;G";#N/A,#N/A,TRUE,"amps&amp;GProj"}</definedName>
    <definedName name="dggd_1" hidden="1">{#N/A,#N/A,TRUE,"consinc";#N/A,#N/A,TRUE,"consproj";#N/A,#N/A,TRUE,"deminc";#N/A,#N/A,TRUE,"incproj";#N/A,#N/A,TRUE,"demman";#N/A,#N/A,TRUE,"manproj";#N/A,#N/A,TRUE,"S&amp;Gact";#N/A,#N/A,TRUE,"S&amp;Gproj ";#N/A,#N/A,TRUE,"dengis";#N/A,#N/A,TRUE,"dengisproj";#N/A,#N/A,TRUE,"mitinc";#N/A,#N/A,TRUE,"mitincproj";#N/A,#N/A,TRUE,"mits&amp;G";#N/A,#N/A,TRUE,"mits&amp;gproj";#N/A,#N/A,TRUE,"arcis";#N/A,#N/A,TRUE,"arcproj";#N/A,#N/A,TRUE,"ampinc";#N/A,#N/A,TRUE,"ampincproj";#N/A,#N/A,TRUE,"ampman";#N/A,#N/A,TRUE,"ampmanproj";#N/A,#N/A,TRUE,"ampS&amp;G";#N/A,#N/A,TRUE,"amps&amp;GProj"}</definedName>
    <definedName name="dghdf" localSheetId="8" hidden="1">{#N/A,#N/A,TRUE,"Voorblad";#N/A,#N/A,TRUE,"Table of Content A";#N/A,#N/A,TRUE,"A1-Summ- Key Figures";#N/A,#N/A,TRUE,"A2-Summ Month Man";#N/A,#N/A,TRUE,"A3-P&amp;L by Bus.Unt-Serv.Unt";#N/A,#N/A,TRUE,"A4-P&amp;L by Old org.";#N/A,#N/A,TRUE,"A6-Bal_Sheet CF by Old org. ";#N/A,#N/A,TRUE,"A8-Headc.Funct."}</definedName>
    <definedName name="dghdf" hidden="1">{#N/A,#N/A,TRUE,"Voorblad";#N/A,#N/A,TRUE,"Table of Content A";#N/A,#N/A,TRUE,"A1-Summ- Key Figures";#N/A,#N/A,TRUE,"A2-Summ Month Man";#N/A,#N/A,TRUE,"A3-P&amp;L by Bus.Unt-Serv.Unt";#N/A,#N/A,TRUE,"A4-P&amp;L by Old org.";#N/A,#N/A,TRUE,"A6-Bal_Sheet CF by Old org. ";#N/A,#N/A,TRUE,"A8-Headc.Funct."}</definedName>
    <definedName name="dghgh" localSheetId="8" hidden="1">{#N/A,#N/A,FALSE,"Produkte Erw.";#N/A,#N/A,FALSE,"Produkte Plan";#N/A,#N/A,FALSE,"Leistungen Erw.";#N/A,#N/A,FALSE,"Leistungen Plan";#N/A,#N/A,FALSE,"KA Allg.Kosten (2)";#N/A,#N/A,FALSE,"KA All.Kosten"}</definedName>
    <definedName name="dghgh" hidden="1">{#N/A,#N/A,FALSE,"Produkte Erw.";#N/A,#N/A,FALSE,"Produkte Plan";#N/A,#N/A,FALSE,"Leistungen Erw.";#N/A,#N/A,FALSE,"Leistungen Plan";#N/A,#N/A,FALSE,"KA Allg.Kosten (2)";#N/A,#N/A,FALSE,"KA All.Kosten"}</definedName>
    <definedName name="dghghd" localSheetId="8" hidden="1">{"pl9601",#N/A,FALSE,"PL96";"pl9602",#N/A,FALSE,"PL96";"pl9603",#N/A,FALSE,"PL96";"PL9604",#N/A,FALSE,"PL96";"pl9605",#N/A,FALSE,"PL96";"pl9606",#N/A,FALSE,"PL96";"pl9607",#N/A,FALSE,"PL96";"pl9608",#N/A,FALSE,"PL96";"pl9609",#N/A,FALSE,"PL96";"pl9610",#N/A,FALSE,"PL96";"pl9611",#N/A,FALSE,"PL96";"fssum01",#N/A,FALSE,"fssum";"fssum02",#N/A,FALSE,"fssum"}</definedName>
    <definedName name="dghghd" hidden="1">{"pl9601",#N/A,FALSE,"PL96";"pl9602",#N/A,FALSE,"PL96";"pl9603",#N/A,FALSE,"PL96";"PL9604",#N/A,FALSE,"PL96";"pl9605",#N/A,FALSE,"PL96";"pl9606",#N/A,FALSE,"PL96";"pl9607",#N/A,FALSE,"PL96";"pl9608",#N/A,FALSE,"PL96";"pl9609",#N/A,FALSE,"PL96";"pl9610",#N/A,FALSE,"PL96";"pl9611",#N/A,FALSE,"PL96";"fssum01",#N/A,FALSE,"fssum";"fssum02",#N/A,FALSE,"fssum"}</definedName>
    <definedName name="dghghd_1" localSheetId="8" hidden="1">{"pl9601",#N/A,FALSE,"PL96";"pl9602",#N/A,FALSE,"PL96";"pl9603",#N/A,FALSE,"PL96";"PL9604",#N/A,FALSE,"PL96";"pl9605",#N/A,FALSE,"PL96";"pl9606",#N/A,FALSE,"PL96";"pl9607",#N/A,FALSE,"PL96";"pl9608",#N/A,FALSE,"PL96";"pl9609",#N/A,FALSE,"PL96";"pl9610",#N/A,FALSE,"PL96";"pl9611",#N/A,FALSE,"PL96";"fssum01",#N/A,FALSE,"fssum";"fssum02",#N/A,FALSE,"fssum"}</definedName>
    <definedName name="dghghd_1" hidden="1">{"pl9601",#N/A,FALSE,"PL96";"pl9602",#N/A,FALSE,"PL96";"pl9603",#N/A,FALSE,"PL96";"PL9604",#N/A,FALSE,"PL96";"pl9605",#N/A,FALSE,"PL96";"pl9606",#N/A,FALSE,"PL96";"pl9607",#N/A,FALSE,"PL96";"pl9608",#N/A,FALSE,"PL96";"pl9609",#N/A,FALSE,"PL96";"pl9610",#N/A,FALSE,"PL96";"pl9611",#N/A,FALSE,"PL96";"fssum01",#N/A,FALSE,"fssum";"fssum02",#N/A,FALSE,"fssum"}</definedName>
    <definedName name="dghj" localSheetId="8" hidden="1">{"Ergebnisbericht_UBA",#N/A,FALSE,"MB"}</definedName>
    <definedName name="dghj" hidden="1">{"Ergebnisbericht_UBA",#N/A,FALSE,"MB"}</definedName>
    <definedName name="dghj_1" localSheetId="8" hidden="1">{"Ergebnisbericht_UBA",#N/A,FALSE,"MB"}</definedName>
    <definedName name="dghj_1" hidden="1">{"Ergebnisbericht_UBA",#N/A,FALSE,"MB"}</definedName>
    <definedName name="dghjsg" localSheetId="8" hidden="1">{"Eilbericht_UBA",#N/A,FALSE,"EB"}</definedName>
    <definedName name="dghjsg" hidden="1">{"Eilbericht_UBA",#N/A,FALSE,"EB"}</definedName>
    <definedName name="dghjsg_1" localSheetId="8" hidden="1">{"Eilbericht_UBA",#N/A,FALSE,"EB"}</definedName>
    <definedName name="dghjsg_1" hidden="1">{"Eilbericht_UBA",#N/A,FALSE,"EB"}</definedName>
    <definedName name="dgjdghj" localSheetId="8" hidden="1">{"Segment Report",#N/A,FALSE,"Reports"}</definedName>
    <definedName name="dgjdghj" hidden="1">{"Segment Report",#N/A,FALSE,"Reports"}</definedName>
    <definedName name="dgjs" localSheetId="8" hidden="1">{"Ergebnisbericht_UBA",#N/A,FALSE,"MB"}</definedName>
    <definedName name="dgjs" hidden="1">{"Ergebnisbericht_UBA",#N/A,FALSE,"MB"}</definedName>
    <definedName name="dgjs_1" localSheetId="8" hidden="1">{"Ergebnisbericht_UBA",#N/A,FALSE,"MB"}</definedName>
    <definedName name="dgjs_1" hidden="1">{"Ergebnisbericht_UBA",#N/A,FALSE,"MB"}</definedName>
    <definedName name="dgndhgn" hidden="1">#REF!</definedName>
    <definedName name="dgr" localSheetId="8" hidden="1">{"common",#N/A,TRUE,"Common Input";"Sum Res_010",#N/A,TRUE,"Res_010";"Sum Res_011",#N/A,TRUE,"Res_011";"Sum Res_012",#N/A,TRUE,"Res_012";"Sum Res_013",#N/A,TRUE,"Res_013"}</definedName>
    <definedName name="dgr" hidden="1">{"common",#N/A,TRUE,"Common Input";"Sum Res_010",#N/A,TRUE,"Res_010";"Sum Res_011",#N/A,TRUE,"Res_011";"Sum Res_012",#N/A,TRUE,"Res_012";"Sum Res_013",#N/A,TRUE,"Res_013"}</definedName>
    <definedName name="dgsdg" localSheetId="8" hidden="1">{#N/A,#N/A,FALSE,"A&amp;E";#N/A,#N/A,FALSE,"HighTop";#N/A,#N/A,FALSE,"JG";#N/A,#N/A,FALSE,"RI";#N/A,#N/A,FALSE,"woHT";#N/A,#N/A,FALSE,"woHT&amp;JG"}</definedName>
    <definedName name="dgsdg" hidden="1">{#N/A,#N/A,FALSE,"A&amp;E";#N/A,#N/A,FALSE,"HighTop";#N/A,#N/A,FALSE,"JG";#N/A,#N/A,FALSE,"RI";#N/A,#N/A,FALSE,"woHT";#N/A,#N/A,FALSE,"woHT&amp;JG"}</definedName>
    <definedName name="dgsdg_1" localSheetId="8" hidden="1">{#N/A,#N/A,FALSE,"A&amp;E";#N/A,#N/A,FALSE,"HighTop";#N/A,#N/A,FALSE,"JG";#N/A,#N/A,FALSE,"RI";#N/A,#N/A,FALSE,"woHT";#N/A,#N/A,FALSE,"woHT&amp;JG"}</definedName>
    <definedName name="dgsdg_1" hidden="1">{#N/A,#N/A,FALSE,"A&amp;E";#N/A,#N/A,FALSE,"HighTop";#N/A,#N/A,FALSE,"JG";#N/A,#N/A,FALSE,"RI";#N/A,#N/A,FALSE,"woHT";#N/A,#N/A,FALSE,"woHT&amp;JG"}</definedName>
    <definedName name="dhd" localSheetId="8" hidden="1">{"Res_010",#N/A,FALSE,"Res_010";"sum1",#N/A,FALSE,"Res_010"}</definedName>
    <definedName name="dhd" hidden="1">{"Res_010",#N/A,FALSE,"Res_010";"sum1",#N/A,FALSE,"Res_010"}</definedName>
    <definedName name="dhds" localSheetId="8" hidden="1">{"Res_010",#N/A,FALSE,"Res_010";"sum1",#N/A,FALSE,"Res_010"}</definedName>
    <definedName name="dhds" hidden="1">{"Res_010",#N/A,FALSE,"Res_010";"sum1",#N/A,FALSE,"Res_010"}</definedName>
    <definedName name="dhfbvg" localSheetId="8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dhfbv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dhgndn" hidden="1">#REF!</definedName>
    <definedName name="dhjddj" localSheetId="8" hidden="1">{#N/A,#N/A,FALSE,"F94is";#N/A,#N/A,FALSE,"T94is";#N/A,#N/A,FALSE,"TOT94is";#N/A,#N/A,FALSE,"f94oh";#N/A,#N/A,FALSE,"Toh94";#N/A,#N/A,FALSE,"TOT94oh";#N/A,#N/A,FALSE,"SGA94";#N/A,#N/A,FALSE,"bs94";#N/A,#N/A,FALSE,"debt";#N/A,#N/A,FALSE,"f94proj";#N/A,#N/A,FALSE,"t94proj";#N/A,#N/A,FALSE,"tot94proj";#N/A,#N/A,FALSE,"f94ohproj";#N/A,#N/A,FALSE,"t94ohproj";#N/A,#N/A,FALSE,"tot94ohproj";#N/A,#N/A,FALSE,"projsga";#N/A,#N/A,FALSE,"projcf";#N/A,#N/A,FALSE,"Projline";#N/A,#N/A,FALSE,"bankline";#N/A,#N/A,FALSE,"Fast95is";#N/A,#N/A,FALSE,"tool95is";#N/A,#N/A,FALSE,"tot95is";#N/A,#N/A,FALSE,"tool950h";#N/A,#N/A,FALSE,"fas95oh";#N/A,#N/A,FALSE,"tot95oh";#N/A,#N/A,FALSE,"95sga"}</definedName>
    <definedName name="dhjddj" hidden="1">{#N/A,#N/A,FALSE,"F94is";#N/A,#N/A,FALSE,"T94is";#N/A,#N/A,FALSE,"TOT94is";#N/A,#N/A,FALSE,"f94oh";#N/A,#N/A,FALSE,"Toh94";#N/A,#N/A,FALSE,"TOT94oh";#N/A,#N/A,FALSE,"SGA94";#N/A,#N/A,FALSE,"bs94";#N/A,#N/A,FALSE,"debt";#N/A,#N/A,FALSE,"f94proj";#N/A,#N/A,FALSE,"t94proj";#N/A,#N/A,FALSE,"tot94proj";#N/A,#N/A,FALSE,"f94ohproj";#N/A,#N/A,FALSE,"t94ohproj";#N/A,#N/A,FALSE,"tot94ohproj";#N/A,#N/A,FALSE,"projsga";#N/A,#N/A,FALSE,"projcf";#N/A,#N/A,FALSE,"Projline";#N/A,#N/A,FALSE,"bankline";#N/A,#N/A,FALSE,"Fast95is";#N/A,#N/A,FALSE,"tool95is";#N/A,#N/A,FALSE,"tot95is";#N/A,#N/A,FALSE,"tool950h";#N/A,#N/A,FALSE,"fas95oh";#N/A,#N/A,FALSE,"tot95oh";#N/A,#N/A,FALSE,"95sga"}</definedName>
    <definedName name="dhjddj_1" localSheetId="8" hidden="1">{#N/A,#N/A,FALSE,"F94is";#N/A,#N/A,FALSE,"T94is";#N/A,#N/A,FALSE,"TOT94is";#N/A,#N/A,FALSE,"f94oh";#N/A,#N/A,FALSE,"Toh94";#N/A,#N/A,FALSE,"TOT94oh";#N/A,#N/A,FALSE,"SGA94";#N/A,#N/A,FALSE,"bs94";#N/A,#N/A,FALSE,"debt";#N/A,#N/A,FALSE,"f94proj";#N/A,#N/A,FALSE,"t94proj";#N/A,#N/A,FALSE,"tot94proj";#N/A,#N/A,FALSE,"f94ohproj";#N/A,#N/A,FALSE,"t94ohproj";#N/A,#N/A,FALSE,"tot94ohproj";#N/A,#N/A,FALSE,"projsga";#N/A,#N/A,FALSE,"projcf";#N/A,#N/A,FALSE,"Projline";#N/A,#N/A,FALSE,"bankline";#N/A,#N/A,FALSE,"Fast95is";#N/A,#N/A,FALSE,"tool95is";#N/A,#N/A,FALSE,"tot95is";#N/A,#N/A,FALSE,"tool950h";#N/A,#N/A,FALSE,"fas95oh";#N/A,#N/A,FALSE,"tot95oh";#N/A,#N/A,FALSE,"95sga"}</definedName>
    <definedName name="dhjddj_1" hidden="1">{#N/A,#N/A,FALSE,"F94is";#N/A,#N/A,FALSE,"T94is";#N/A,#N/A,FALSE,"TOT94is";#N/A,#N/A,FALSE,"f94oh";#N/A,#N/A,FALSE,"Toh94";#N/A,#N/A,FALSE,"TOT94oh";#N/A,#N/A,FALSE,"SGA94";#N/A,#N/A,FALSE,"bs94";#N/A,#N/A,FALSE,"debt";#N/A,#N/A,FALSE,"f94proj";#N/A,#N/A,FALSE,"t94proj";#N/A,#N/A,FALSE,"tot94proj";#N/A,#N/A,FALSE,"f94ohproj";#N/A,#N/A,FALSE,"t94ohproj";#N/A,#N/A,FALSE,"tot94ohproj";#N/A,#N/A,FALSE,"projsga";#N/A,#N/A,FALSE,"projcf";#N/A,#N/A,FALSE,"Projline";#N/A,#N/A,FALSE,"bankline";#N/A,#N/A,FALSE,"Fast95is";#N/A,#N/A,FALSE,"tool95is";#N/A,#N/A,FALSE,"tot95is";#N/A,#N/A,FALSE,"tool950h";#N/A,#N/A,FALSE,"fas95oh";#N/A,#N/A,FALSE,"tot95oh";#N/A,#N/A,FALSE,"95sga"}</definedName>
    <definedName name="dhjdghj" localSheetId="8" hidden="1">{"C3-RegView   Board Report Data",#N/A,FALSE,"C3-RegView"}</definedName>
    <definedName name="dhjdghj" hidden="1">{"C3-RegView   Board Report Data",#N/A,FALSE,"C3-RegView"}</definedName>
    <definedName name="Diable" localSheetId="8" hidden="1">{#N/A,#N/A,FALSE,"Operations";#N/A,#N/A,FALSE,"Financials"}</definedName>
    <definedName name="Diable" hidden="1">{#N/A,#N/A,FALSE,"Operations";#N/A,#N/A,FALSE,"Financials"}</definedName>
    <definedName name="Diable_1" localSheetId="8" hidden="1">{#N/A,#N/A,FALSE,"Operations";#N/A,#N/A,FALSE,"Financials"}</definedName>
    <definedName name="Diable_1" hidden="1">{#N/A,#N/A,FALSE,"Operations";#N/A,#N/A,FALSE,"Financials"}</definedName>
    <definedName name="Diferido" hidden="1">{#N/A,#N/A,FALSE,"Acum Julio - 00"}</definedName>
    <definedName name="Discount" hidden="1">#REF!</definedName>
    <definedName name="display_area_2" hidden="1">#REF!</definedName>
    <definedName name="dist" localSheetId="8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ist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ISTRIBUCION" hidden="1">{#N/A,#N/A,FALSE,"GRAFICO";#N/A,#N/A,FALSE,"CAJA (2)";#N/A,#N/A,FALSE,"TERCEROS-PROMEDIO";#N/A,#N/A,FALSE,"CAJA";#N/A,#N/A,FALSE,"INGRESOS1995-2003";#N/A,#N/A,FALSE,"GASTOS1995-2003"}</definedName>
    <definedName name="Div_Inc_pb" hidden="1">#REF!</definedName>
    <definedName name="DivApb" hidden="1">#REF!</definedName>
    <definedName name="DivBpb" hidden="1">#REF!</definedName>
    <definedName name="DivCpb" hidden="1">#REF!</definedName>
    <definedName name="DivDpb" hidden="1">#REF!</definedName>
    <definedName name="DivEpb" hidden="1">#REF!</definedName>
    <definedName name="DivFpb" hidden="1">#REF!</definedName>
    <definedName name="DivGpb" hidden="1">#REF!</definedName>
    <definedName name="DivHpb" hidden="1">#REF!</definedName>
    <definedName name="Divisional_Toggle" hidden="1">#REF!</definedName>
    <definedName name="djalfnb" localSheetId="8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djalfn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djd" localSheetId="8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jd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jfnbd" localSheetId="8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djfnbd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djj" localSheetId="8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djj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djj_1" localSheetId="8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djj_1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djksljd" localSheetId="7" hidden="1">{#N/A,#N/A,FALSE,"Other";#N/A,#N/A,FALSE,"Ace";#N/A,#N/A,FALSE,"Derm"}</definedName>
    <definedName name="djksljd" localSheetId="8" hidden="1">{#N/A,#N/A,FALSE,"Other";#N/A,#N/A,FALSE,"Ace";#N/A,#N/A,FALSE,"Derm"}</definedName>
    <definedName name="djksljd" hidden="1">{#N/A,#N/A,FALSE,"Other";#N/A,#N/A,FALSE,"Ace";#N/A,#N/A,FALSE,"Derm"}</definedName>
    <definedName name="djyjddj" localSheetId="8" hidden="1">{#N/A,#N/A,TRUE,"consinc";#N/A,#N/A,TRUE,"consproj";#N/A,#N/A,TRUE,"deminc";#N/A,#N/A,TRUE,"incproj";#N/A,#N/A,TRUE,"demman";#N/A,#N/A,TRUE,"manproj";#N/A,#N/A,TRUE,"S&amp;Gact";#N/A,#N/A,TRUE,"S&amp;Gproj ";#N/A,#N/A,TRUE,"dengis";#N/A,#N/A,TRUE,"dengisproj";#N/A,#N/A,TRUE,"mitinc";#N/A,#N/A,TRUE,"mitincproj";#N/A,#N/A,TRUE,"mits&amp;G";#N/A,#N/A,TRUE,"mits&amp;gproj";#N/A,#N/A,TRUE,"arcis";#N/A,#N/A,TRUE,"arcproj";#N/A,#N/A,TRUE,"ampinc";#N/A,#N/A,TRUE,"ampincproj";#N/A,#N/A,TRUE,"ampman";#N/A,#N/A,TRUE,"ampmanproj";#N/A,#N/A,TRUE,"ampS&amp;G";#N/A,#N/A,TRUE,"amps&amp;GProj"}</definedName>
    <definedName name="djyjddj" hidden="1">{#N/A,#N/A,TRUE,"consinc";#N/A,#N/A,TRUE,"consproj";#N/A,#N/A,TRUE,"deminc";#N/A,#N/A,TRUE,"incproj";#N/A,#N/A,TRUE,"demman";#N/A,#N/A,TRUE,"manproj";#N/A,#N/A,TRUE,"S&amp;Gact";#N/A,#N/A,TRUE,"S&amp;Gproj ";#N/A,#N/A,TRUE,"dengis";#N/A,#N/A,TRUE,"dengisproj";#N/A,#N/A,TRUE,"mitinc";#N/A,#N/A,TRUE,"mitincproj";#N/A,#N/A,TRUE,"mits&amp;G";#N/A,#N/A,TRUE,"mits&amp;gproj";#N/A,#N/A,TRUE,"arcis";#N/A,#N/A,TRUE,"arcproj";#N/A,#N/A,TRUE,"ampinc";#N/A,#N/A,TRUE,"ampincproj";#N/A,#N/A,TRUE,"ampman";#N/A,#N/A,TRUE,"ampmanproj";#N/A,#N/A,TRUE,"ampS&amp;G";#N/A,#N/A,TRUE,"amps&amp;GProj"}</definedName>
    <definedName name="djyjddj_1" localSheetId="8" hidden="1">{#N/A,#N/A,TRUE,"consinc";#N/A,#N/A,TRUE,"consproj";#N/A,#N/A,TRUE,"deminc";#N/A,#N/A,TRUE,"incproj";#N/A,#N/A,TRUE,"demman";#N/A,#N/A,TRUE,"manproj";#N/A,#N/A,TRUE,"S&amp;Gact";#N/A,#N/A,TRUE,"S&amp;Gproj ";#N/A,#N/A,TRUE,"dengis";#N/A,#N/A,TRUE,"dengisproj";#N/A,#N/A,TRUE,"mitinc";#N/A,#N/A,TRUE,"mitincproj";#N/A,#N/A,TRUE,"mits&amp;G";#N/A,#N/A,TRUE,"mits&amp;gproj";#N/A,#N/A,TRUE,"arcis";#N/A,#N/A,TRUE,"arcproj";#N/A,#N/A,TRUE,"ampinc";#N/A,#N/A,TRUE,"ampincproj";#N/A,#N/A,TRUE,"ampman";#N/A,#N/A,TRUE,"ampmanproj";#N/A,#N/A,TRUE,"ampS&amp;G";#N/A,#N/A,TRUE,"amps&amp;GProj"}</definedName>
    <definedName name="djyjddj_1" hidden="1">{#N/A,#N/A,TRUE,"consinc";#N/A,#N/A,TRUE,"consproj";#N/A,#N/A,TRUE,"deminc";#N/A,#N/A,TRUE,"incproj";#N/A,#N/A,TRUE,"demman";#N/A,#N/A,TRUE,"manproj";#N/A,#N/A,TRUE,"S&amp;Gact";#N/A,#N/A,TRUE,"S&amp;Gproj ";#N/A,#N/A,TRUE,"dengis";#N/A,#N/A,TRUE,"dengisproj";#N/A,#N/A,TRUE,"mitinc";#N/A,#N/A,TRUE,"mitincproj";#N/A,#N/A,TRUE,"mits&amp;G";#N/A,#N/A,TRUE,"mits&amp;gproj";#N/A,#N/A,TRUE,"arcis";#N/A,#N/A,TRUE,"arcproj";#N/A,#N/A,TRUE,"ampinc";#N/A,#N/A,TRUE,"ampincproj";#N/A,#N/A,TRUE,"ampman";#N/A,#N/A,TRUE,"ampmanproj";#N/A,#N/A,TRUE,"ampS&amp;G";#N/A,#N/A,TRUE,"amps&amp;GProj"}</definedName>
    <definedName name="dk" localSheetId="8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dk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dk_1" localSheetId="8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dk_1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dkdhae" localSheetId="8" hidden="1">{#N/A,#N/A,FALSE,"Customer Ops";#N/A,#N/A,FALSE,"Field Ops";#N/A,#N/A,FALSE,"Ops Management";#N/A,#N/A,FALSE,"Contact Centre";#N/A,#N/A,FALSE,"Credit Services";#N/A,#N/A,FALSE,"Horizon"}</definedName>
    <definedName name="dkdhae" hidden="1">{#N/A,#N/A,FALSE,"Customer Ops";#N/A,#N/A,FALSE,"Field Ops";#N/A,#N/A,FALSE,"Ops Management";#N/A,#N/A,FALSE,"Contact Centre";#N/A,#N/A,FALSE,"Credit Services";#N/A,#N/A,FALSE,"Horizon"}</definedName>
    <definedName name="dkfjdk" localSheetId="8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fjdk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fjdk1" localSheetId="8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fjdk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fjnb" localSheetId="8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dkfjn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dkgahirghigf" localSheetId="7" hidden="1">{#N/A,#N/A,FALSE,"Pharm";#N/A,#N/A,FALSE,"WWCM"}</definedName>
    <definedName name="dkgahirghigf" localSheetId="8" hidden="1">{#N/A,#N/A,FALSE,"Pharm";#N/A,#N/A,FALSE,"WWCM"}</definedName>
    <definedName name="dkgahirghigf" hidden="1">{#N/A,#N/A,FALSE,"Pharm";#N/A,#N/A,FALSE,"WWCM"}</definedName>
    <definedName name="dkj" localSheetId="8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j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jabn" localSheetId="8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dkjabn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dkjanb" localSheetId="8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dkjan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dkjkgjdskg" localSheetId="8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dkjkgjdskg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dkjkgjdskg_1" localSheetId="8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dkjkgjdskg_1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dkjlfnb" localSheetId="8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dkjlfn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dkjnb" localSheetId="8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dkjn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dlakjnb" localSheetId="8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dlakjn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DLASDLASKDLA" hidden="1">#N/A</definedName>
    <definedName name="dlkjfnb" localSheetId="8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dlkjfn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DLKSDHJAS" localSheetId="8" hidden="1">{#N/A,#N/A,FALSE,"Consumer Finance";#N/A,#N/A,FALSE,"Consumer Exec"}</definedName>
    <definedName name="DLKSDHJAS" hidden="1">{#N/A,#N/A,FALSE,"Consumer Finance";#N/A,#N/A,FALSE,"Consumer Exec"}</definedName>
    <definedName name="dlnb" localSheetId="8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dln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DLSA" localSheetId="8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DLSA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DME_Dirty" hidden="1">"False"</definedName>
    <definedName name="DME_LocalFile" hidden="1">"True"</definedName>
    <definedName name="DME_ODMALinks1" hidden="1">"::ODMA\DME-MSE\London-44590=C:\TEMP\Dme\London-44590.xls"</definedName>
    <definedName name="DME_ODMALinks2" hidden="1">"::ODMA\DME-MSE\Sorco-6534=C:\TEMP\Dme\Sorco-6534.xls"</definedName>
    <definedName name="DME_ODMALinks3" hidden="1">"::ODMA\DME-MSE\Sorco-6632=C:\TEMP\Dme\Sorco-6632.xls"</definedName>
    <definedName name="DME_ODMALinks4" hidden="1">"::ODMA\DME-MSE\SORCO-6534=C:\TEMP\Dme\SORCO-6534.xls"</definedName>
    <definedName name="DME_ODMALinks5" hidden="1">"::ODMA\DME-MSE\Sorco-6790=C:\TEMP\Dme\Sorco-6790(1).xls"</definedName>
    <definedName name="DME_ODMALinks6" hidden="1">"::ODMA\DME-MSE\Sorco-25030=C:\TEMP\Dme\Sorco-25030.xls"</definedName>
    <definedName name="DME_ODMALinks7" hidden="1">"::ODMA\DME-MSE\Sorco-26983=C:\TEMP\Dme\Sorco-26983.xls"</definedName>
    <definedName name="DME_ODMALinksCount" hidden="1">"1"</definedName>
    <definedName name="dn" localSheetId="8" hidden="1">{"Five Year",#N/A,FALSE,"Summary (2)";"Month 1 and Years",#N/A,FALSE,"Cash Budget"}</definedName>
    <definedName name="dn" hidden="1">{"Five Year",#N/A,FALSE,"Summary (2)";"Month 1 and Years",#N/A,FALSE,"Cash Budget"}</definedName>
    <definedName name="dnddddddddddddddddd" localSheetId="8" hidden="1">{#N/A,#N/A,FALSE,"Assessment";#N/A,#N/A,FALSE,"Staffing";#N/A,#N/A,FALSE,"Hires";#N/A,#N/A,FALSE,"Assumptions"}</definedName>
    <definedName name="dnddddddddddddddddd" hidden="1">{#N/A,#N/A,FALSE,"Assessment";#N/A,#N/A,FALSE,"Staffing";#N/A,#N/A,FALSE,"Hires";#N/A,#N/A,FALSE,"Assumptions"}</definedName>
    <definedName name="Donges" localSheetId="8" hidden="1">{#N/A,#N/A,FALSE,"9709 (2)"}</definedName>
    <definedName name="Donges" hidden="1">{#N/A,#N/A,FALSE,"9709 (2)"}</definedName>
    <definedName name="donna" hidden="1">#REF!</definedName>
    <definedName name="dont_know" localSheetId="8" hidden="1">{#N/A,#N/A,FALSE,"Aging Summary";#N/A,#N/A,FALSE,"Ratio Analysis";#N/A,#N/A,FALSE,"Test 120 Day Accts";#N/A,#N/A,FALSE,"Tickmarks"}</definedName>
    <definedName name="dont_know" hidden="1">{#N/A,#N/A,FALSE,"Aging Summary";#N/A,#N/A,FALSE,"Ratio Analysis";#N/A,#N/A,FALSE,"Test 120 Day Accts";#N/A,#N/A,FALSE,"Tickmarks"}</definedName>
    <definedName name="dont_know_1" localSheetId="8" hidden="1">{#N/A,#N/A,FALSE,"Aging Summary";#N/A,#N/A,FALSE,"Ratio Analysis";#N/A,#N/A,FALSE,"Test 120 Day Accts";#N/A,#N/A,FALSE,"Tickmarks"}</definedName>
    <definedName name="dont_know_1" hidden="1">{#N/A,#N/A,FALSE,"Aging Summary";#N/A,#N/A,FALSE,"Ratio Analysis";#N/A,#N/A,FALSE,"Test 120 Day Accts";#N/A,#N/A,FALSE,"Tickmarks"}</definedName>
    <definedName name="dos" localSheetId="8" hidden="1">{#N/A,#N/A,FALSE,"Aging Summary";#N/A,#N/A,FALSE,"Ratio Analysis";#N/A,#N/A,FALSE,"Test 120 Day Accts";#N/A,#N/A,FALSE,"Tickmarks"}</definedName>
    <definedName name="dos" hidden="1">{#N/A,#N/A,FALSE,"Aging Summary";#N/A,#N/A,FALSE,"Ratio Analysis";#N/A,#N/A,FALSE,"Test 120 Day Accts";#N/A,#N/A,FALSE,"Tickmarks"}</definedName>
    <definedName name="dos_1" localSheetId="8" hidden="1">{#N/A,#N/A,FALSE,"Aging Summary";#N/A,#N/A,FALSE,"Ratio Analysis";#N/A,#N/A,FALSE,"Test 120 Day Accts";#N/A,#N/A,FALSE,"Tickmarks"}</definedName>
    <definedName name="dos_1" hidden="1">{#N/A,#N/A,FALSE,"Aging Summary";#N/A,#N/A,FALSE,"Ratio Analysis";#N/A,#N/A,FALSE,"Test 120 Day Accts";#N/A,#N/A,FALSE,"Tickmarks"}</definedName>
    <definedName name="down" localSheetId="8" hidden="1">{#N/A,#N/A,FALSE,"Umsatz";#N/A,#N/A,FALSE,"Base V.02";#N/A,#N/A,FALSE,"Charts"}</definedName>
    <definedName name="down" hidden="1">{#N/A,#N/A,FALSE,"Umsatz";#N/A,#N/A,FALSE,"Base V.02";#N/A,#N/A,FALSE,"Charts"}</definedName>
    <definedName name="dpo" hidden="1">{#N/A,#N/A,FALSE,"INPUTS";#N/A,#N/A,FALSE,"PROFORMA BSHEET";#N/A,#N/A,FALSE,"COMBINED";#N/A,#N/A,FALSE,"HIGH YIELD";#N/A,#N/A,FALSE,"COMB_GRAPHS"}</definedName>
    <definedName name="dq" localSheetId="8" hidden="1">{"Comp_of_Price_Effect",#N/A,FALSE,"QTRDPVAR"}</definedName>
    <definedName name="dq" hidden="1">{"Comp_of_Price_Effect",#N/A,FALSE,"QTRDPVAR"}</definedName>
    <definedName name="dqsf" localSheetId="8" hidden="1">{#N/A,#N/A,FALSE,"Sales Graph";#N/A,#N/A,FALSE,"BUC Graph";#N/A,#N/A,FALSE,"P&amp;L - YTD"}</definedName>
    <definedName name="dqsf" hidden="1">{#N/A,#N/A,FALSE,"Sales Graph";#N/A,#N/A,FALSE,"BUC Graph";#N/A,#N/A,FALSE,"P&amp;L - YTD"}</definedName>
    <definedName name="dqsfr" localSheetId="8" hidden="1">{#N/A,#N/A,FALSE,"Pharm";#N/A,#N/A,FALSE,"WWCM"}</definedName>
    <definedName name="dqsfr" hidden="1">{#N/A,#N/A,FALSE,"Pharm";#N/A,#N/A,FALSE,"WWCM"}</definedName>
    <definedName name="draka" localSheetId="8" hidden="1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draka" hidden="1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dre" localSheetId="8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dre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DRE_TMAR_2002" hidden="1">{"report",#N/A,FALSE,"dataBase"}</definedName>
    <definedName name="DRF" hidden="1">#REF!</definedName>
    <definedName name="drsetr" localSheetId="8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drsetr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drsetr_1" localSheetId="8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drsetr_1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drsiAlpha_In1" hidden="1">0.5</definedName>
    <definedName name="drsiAlpha_In2" hidden="1">0.5</definedName>
    <definedName name="drsiAlpha_In3" hidden="1">0.5</definedName>
    <definedName name="drsiAlpha_In4" hidden="1">0.5</definedName>
    <definedName name="drsiBatchRangeCount" hidden="1">4</definedName>
    <definedName name="drsiBeta_In1" hidden="1">0.5</definedName>
    <definedName name="drsiBeta_In2" hidden="1">0.5</definedName>
    <definedName name="drsiBeta_In3" hidden="1">0.5</definedName>
    <definedName name="drsiBeta_In4" hidden="1">0.5</definedName>
    <definedName name="drsiDamp_In1" hidden="1">0.95</definedName>
    <definedName name="drsiDamp_In2" hidden="1">0.95</definedName>
    <definedName name="drsiDamp_In3" hidden="1">0.8</definedName>
    <definedName name="drsiDamp_In4" hidden="1">0.7</definedName>
    <definedName name="drsiFlag_Damp_Opt1" hidden="1">0</definedName>
    <definedName name="drsiFlag_Damp_Opt2" hidden="1">0</definedName>
    <definedName name="drsiFlag_Damp_Opt3" hidden="1">0</definedName>
    <definedName name="drsiFlag_Damp_Opt4" hidden="1">0</definedName>
    <definedName name="drsiFlag_Opt1" hidden="1">1</definedName>
    <definedName name="drsiFlag_Opt2" hidden="1">1</definedName>
    <definedName name="drsiFlag_Opt3" hidden="1">1</definedName>
    <definedName name="drsiFlag_Opt4" hidden="1">1</definedName>
    <definedName name="drsiFlag_Percent1" hidden="1">0</definedName>
    <definedName name="drsiFlag_Percent2" hidden="1">0</definedName>
    <definedName name="drsiFlag_Percent3" hidden="1">0</definedName>
    <definedName name="drsiFlag_Percent4" hidden="1">0</definedName>
    <definedName name="drsiFlag_Seasonal1" hidden="1">1</definedName>
    <definedName name="drsiFlag_Seasonal2" hidden="1">1</definedName>
    <definedName name="drsiFlag_Seasonal3" hidden="1">1</definedName>
    <definedName name="drsiFlag_Seasonal4" hidden="1">1</definedName>
    <definedName name="drsiFlag_Use_Damp1" hidden="1">1</definedName>
    <definedName name="drsiFlag_Use_Damp2" hidden="1">1</definedName>
    <definedName name="drsiFlag_Use_Damp3" hidden="1">1</definedName>
    <definedName name="drsiFlag_Use_Damp4" hidden="1">1</definedName>
    <definedName name="drsiForecastCell1" hidden="1">"'Hepatitis B - HBeAg +'!$M$322"</definedName>
    <definedName name="drsiForecastCell2" hidden="1">"'Hepatitis B - HBeAg +'!$M$312"</definedName>
    <definedName name="drsiForecastCell3" hidden="1">"'Hepatitis B - HBeAg +'!$M$313"</definedName>
    <definedName name="drsiForecastCell4" hidden="1">"'Hepatitis B - HBeAg +'!$M$314"</definedName>
    <definedName name="drsiGamma_In1" hidden="1">0.5</definedName>
    <definedName name="drsiGamma_In2" hidden="1">0.5</definedName>
    <definedName name="drsiGamma_In3" hidden="1">0.5</definedName>
    <definedName name="drsiGamma_In4" hidden="1">0.5</definedName>
    <definedName name="drsiGroupIDs1" hidden="1">";10;11;12;13;14;"</definedName>
    <definedName name="drsiGroupIDs2" hidden="1">";15;16;17;18;19;"</definedName>
    <definedName name="drsiGroupName1" hidden="1">"BaseTemplate_Wizard Group 1"</definedName>
    <definedName name="drsiGroupName2" hidden="1">"Hepatitis B - HBeAg -_Wizard Group 1"</definedName>
    <definedName name="drsiMainWizID10" hidden="1">"BaseTemplate_Market Wizards"</definedName>
    <definedName name="drsiMainWizID10Desc2ID1" hidden="1">" "</definedName>
    <definedName name="drsiMainWizID10Desc2ID2" hidden="1">" "</definedName>
    <definedName name="drsiMainWizID10Desc2ID3" hidden="1">"Double-click your mouse on the Periodicity of Treatment to get the valid values."</definedName>
    <definedName name="drsiMainWizID10Desc2ID4" hidden="1">" "</definedName>
    <definedName name="drsiMainWizID10Desc2ID5" hidden="1">" "</definedName>
    <definedName name="drsiMainWizID10Desc2ID6" hidden="1">" "</definedName>
    <definedName name="drsiMainWizID10Desc2ID7" hidden="1">" "</definedName>
    <definedName name="drsiMainWizID10DescID1" hidden="1">"Enter the patient prevalence and percent diagnosed."</definedName>
    <definedName name="drsiMainWizID10DescID2" hidden="1">"Enter the market definition."</definedName>
    <definedName name="drsiMainWizID10DescID3" hidden="1">"Enter the Treatment assumptions for each of the product."</definedName>
    <definedName name="drsiMainWizID10DescID4" hidden="1">"Enter the historical data for the products."</definedName>
    <definedName name="drsiMainWizID10DescID5" hidden="1">"Enter the percent usage for this market."</definedName>
    <definedName name="drsiMainWizID10DescID6" hidden="1">"Please forecast the highlighted area of % Patients Treated population, or press next to keep the default setting"</definedName>
    <definedName name="drsiMainWizID10DescID7" hidden="1">"Please forecast the highlighted area of Existing Product share, or press next to keep the default setting"</definedName>
    <definedName name="drsiMainWizID10InputID1InputEndCol1" hidden="1">41</definedName>
    <definedName name="drsiMainWizID10InputID1InputEndCol2" hidden="1">41</definedName>
    <definedName name="drsiMainWizID10InputID1InputEndCol3" hidden="1">41</definedName>
    <definedName name="drsiMainWizID10InputID1InputEndRow1" hidden="1">1</definedName>
    <definedName name="drsiMainWizID10InputID1InputEndRow2" hidden="1">4</definedName>
    <definedName name="drsiMainWizID10InputID1InputEndRow3" hidden="1">8</definedName>
    <definedName name="drsiMainWizID10InputID1InputStartCol1" hidden="1">6</definedName>
    <definedName name="drsiMainWizID10InputID1InputStartCol2" hidden="1">6</definedName>
    <definedName name="drsiMainWizID10InputID1InputStartCol3" hidden="1">6</definedName>
    <definedName name="drsiMainWizID10InputID1InputStartRow1" hidden="1">1</definedName>
    <definedName name="drsiMainWizID10InputID1InputStartRow2" hidden="1">4</definedName>
    <definedName name="drsiMainWizID10InputID1InputStartRow3" hidden="1">8</definedName>
    <definedName name="drsiMainWizID10InputID2InputEndCol1" hidden="1">1</definedName>
    <definedName name="drsiMainWizID10InputID2InputEndCol2" hidden="1">6</definedName>
    <definedName name="drsiMainWizID10InputID2InputEndRow1" hidden="1">10</definedName>
    <definedName name="drsiMainWizID10InputID2InputEndRow2" hidden="1">21</definedName>
    <definedName name="drsiMainWizID10InputID2InputStartCol1" hidden="1">1</definedName>
    <definedName name="drsiMainWizID10InputID2InputStartCol2" hidden="1">6</definedName>
    <definedName name="drsiMainWizID10InputID2InputStartRow1" hidden="1">1</definedName>
    <definedName name="drsiMainWizID10InputID2InputStartRow2" hidden="1">2</definedName>
    <definedName name="drsiMainWizID10InputID3InputEndCol1" hidden="1">12</definedName>
    <definedName name="drsiMainWizID10InputID3InputEndCol2" hidden="1">8</definedName>
    <definedName name="drsiMainWizID10InputID3InputEndCol3" hidden="1">35</definedName>
    <definedName name="drsiMainWizID10InputID3InputEndRow1" hidden="1">21</definedName>
    <definedName name="drsiMainWizID10InputID3InputEndRow2" hidden="1">21</definedName>
    <definedName name="drsiMainWizID10InputID3InputEndRow3" hidden="1">46</definedName>
    <definedName name="drsiMainWizID10InputID3InputStartCol1" hidden="1">10</definedName>
    <definedName name="drsiMainWizID10InputID3InputStartCol2" hidden="1">6</definedName>
    <definedName name="drsiMainWizID10InputID3InputStartCol3" hidden="1">6</definedName>
    <definedName name="drsiMainWizID10InputID3InputStartRow1" hidden="1">2</definedName>
    <definedName name="drsiMainWizID10InputID3InputStartRow2" hidden="1">2</definedName>
    <definedName name="drsiMainWizID10InputID3InputStartRow3" hidden="1">27</definedName>
    <definedName name="drsiMainWizID10InputID4InputEndCol1" hidden="1">10</definedName>
    <definedName name="drsiMainWizID10InputID4InputEndCol2" hidden="1">10</definedName>
    <definedName name="drsiMainWizID10InputID4InputEndCol3" hidden="1">10</definedName>
    <definedName name="drsiMainWizID10InputID4InputEndCol4" hidden="1">10</definedName>
    <definedName name="drsiMainWizID10InputID4InputEndCol5" hidden="1">10</definedName>
    <definedName name="drsiMainWizID10InputID4InputEndRow1" hidden="1">11</definedName>
    <definedName name="drsiMainWizID10InputID4InputEndRow2" hidden="1">23</definedName>
    <definedName name="drsiMainWizID10InputID4InputEndRow3" hidden="1">35</definedName>
    <definedName name="drsiMainWizID10InputID4InputEndRow4" hidden="1">47</definedName>
    <definedName name="drsiMainWizID10InputID4InputEndRow5" hidden="1">35</definedName>
    <definedName name="drsiMainWizID10InputID4InputStartCol1" hidden="1">6</definedName>
    <definedName name="drsiMainWizID10InputID4InputStartCol2" hidden="1">6</definedName>
    <definedName name="drsiMainWizID10InputID4InputStartCol3" hidden="1">7</definedName>
    <definedName name="drsiMainWizID10InputID4InputStartCol4" hidden="1">6</definedName>
    <definedName name="drsiMainWizID10InputID4InputStartCol5" hidden="1">6</definedName>
    <definedName name="drsiMainWizID10InputID4InputStartRow1" hidden="1">2</definedName>
    <definedName name="drsiMainWizID10InputID4InputStartRow2" hidden="1">14</definedName>
    <definedName name="drsiMainWizID10InputID4InputStartRow3" hidden="1">26</definedName>
    <definedName name="drsiMainWizID10InputID4InputStartRow4" hidden="1">38</definedName>
    <definedName name="drsiMainWizID10InputID4InputStartRow5" hidden="1">26</definedName>
    <definedName name="drsiMainWizID10InputID5InputEndCol1" hidden="1">5</definedName>
    <definedName name="drsiMainWizID10InputID5InputEndRow1" hidden="1">11</definedName>
    <definedName name="drsiMainWizID10InputID5InputStartCol1" hidden="1">5</definedName>
    <definedName name="drsiMainWizID10InputID5InputStartRow1" hidden="1">2</definedName>
    <definedName name="drsiMainWizID10InputID6InputEndCol1" hidden="1">40</definedName>
    <definedName name="drsiMainWizID10InputID6InputEndCol2" hidden="1">40</definedName>
    <definedName name="drsiMainWizID10InputID6InputEndRow1" hidden="1">10</definedName>
    <definedName name="drsiMainWizID10InputID6InputEndRow2" hidden="1">7</definedName>
    <definedName name="drsiMainWizID10InputID6InputStartCol1" hidden="1">6</definedName>
    <definedName name="drsiMainWizID10InputID6InputStartCol2" hidden="1">6</definedName>
    <definedName name="drsiMainWizID10InputID6InputStartRow1" hidden="1">10</definedName>
    <definedName name="drsiMainWizID10InputID6InputStartRow2" hidden="1">5</definedName>
    <definedName name="drsiMainWizID10InputID7InputEndCol1" hidden="1">41</definedName>
    <definedName name="drsiMainWizID10InputID7InputEndRow1" hidden="1">10</definedName>
    <definedName name="drsiMainWizID10InputID7InputStartCol1" hidden="1">9</definedName>
    <definedName name="drsiMainWizID10InputID7InputStartRow1" hidden="1">1</definedName>
    <definedName name="drsiMainWizID10TitleID1" hidden="1">"Enter Patient Information"</definedName>
    <definedName name="drsiMainWizID10TitleID2" hidden="1">"Market Definition"</definedName>
    <definedName name="drsiMainWizID10TitleID3" hidden="1">"Enter Treatment Assumptions"</definedName>
    <definedName name="drsiMainWizID10TitleID4" hidden="1">"Enter Historical Data"</definedName>
    <definedName name="drsiMainWizID10TitleID5" hidden="1">"Enter Percent Usage"</definedName>
    <definedName name="drsiMainWizID10TitleID6" hidden="1">"Enter Treated Patient Population"</definedName>
    <definedName name="drsiMainWizID10TitleID7" hidden="1">"Enter Forecasted Shares"</definedName>
    <definedName name="drsiMainWizID11" hidden="1">"BaseTemplate_Market Events"</definedName>
    <definedName name="drsiMainWizID11Desc2ID1" hidden="1">"Follow all of the steps."</definedName>
    <definedName name="drsiMainWizID11DescID1" hidden="1">"This wizard will guide you through the process of creating the market future events."</definedName>
    <definedName name="drsiMainWizID11StepID1" hidden="1">"TEMP01_MFE"</definedName>
    <definedName name="drsiMainWizID11TitleID1" hidden="1">"Run Create Market Future Events"</definedName>
    <definedName name="drsiMainWizID12" hidden="1">"BaseTemplate_Product Future Events"</definedName>
    <definedName name="drsiMainWizID12Desc2ID1" hidden="1">"Follow all of the steps."</definedName>
    <definedName name="drsiMainWizID12DescID1" hidden="1">"This wizard will guide you through the process of creating the product future events."</definedName>
    <definedName name="drsiMainWizID12StepID1" hidden="1">"TEMP01_PFE"</definedName>
    <definedName name="drsiMainWizID12TitleID1" hidden="1">"Run Create Product Future Events"</definedName>
    <definedName name="drsiMainWizID13" hidden="1">"BaseTemplate_Product Events Summary"</definedName>
    <definedName name="drsiMainWizID13Desc2ID1" hidden="1">" "</definedName>
    <definedName name="drsiMainWizID13DescID1" hidden="1">"This wizard will give you a summary of all your active product future events."</definedName>
    <definedName name="drsiMainWizID13StepID1" hidden="1">"TEMP01_VPFE"</definedName>
    <definedName name="drsiMainWizID13TitleID1" hidden="1">"Run View Product Future Events Summary"</definedName>
    <definedName name="drsiMainWizID14" hidden="1">"BaseTemplate_Add New Product"</definedName>
    <definedName name="drsiMainWizID14Desc2ID1" hidden="1">"Follow all of the steps."</definedName>
    <definedName name="drsiMainWizID14Desc2ID2" hidden="1">" "</definedName>
    <definedName name="drsiMainWizID14Desc2ID3" hidden="1">"Double-click your mouse on the Periodicity of Treatment to get the valid values."</definedName>
    <definedName name="drsiMainWizID14Desc2ID4" hidden="1">"Follow all of the steps."</definedName>
    <definedName name="drsiMainWizID14DescID1" hidden="1">"This wizard will run Predictor Engine wizard."</definedName>
    <definedName name="drsiMainWizID14DescID2" hidden="1">"Enter the market definition."</definedName>
    <definedName name="drsiMainWizID14DescID3" hidden="1">"Enter the Treatment assumptions for each of the product."</definedName>
    <definedName name="drsiMainWizID14DescID4" hidden="1">"This wizard will guide you through the process of creating the product future events."</definedName>
    <definedName name="drsiMainWizID14InputID2InputEndCol1" hidden="1">1</definedName>
    <definedName name="drsiMainWizID14InputID2InputEndCol2" hidden="1">6</definedName>
    <definedName name="drsiMainWizID14InputID2InputEndRow1" hidden="1">10</definedName>
    <definedName name="drsiMainWizID14InputID2InputEndRow2" hidden="1">21</definedName>
    <definedName name="drsiMainWizID14InputID2InputStartCol1" hidden="1">1</definedName>
    <definedName name="drsiMainWizID14InputID2InputStartCol2" hidden="1">6</definedName>
    <definedName name="drsiMainWizID14InputID2InputStartRow1" hidden="1">1</definedName>
    <definedName name="drsiMainWizID14InputID2InputStartRow2" hidden="1">2</definedName>
    <definedName name="drsiMainWizID14InputID3InputEndCol1" hidden="1">12</definedName>
    <definedName name="drsiMainWizID14InputID3InputEndCol2" hidden="1">8</definedName>
    <definedName name="drsiMainWizID14InputID3InputEndCol3" hidden="1">35</definedName>
    <definedName name="drsiMainWizID14InputID3InputEndRow1" hidden="1">21</definedName>
    <definedName name="drsiMainWizID14InputID3InputEndRow2" hidden="1">21</definedName>
    <definedName name="drsiMainWizID14InputID3InputEndRow3" hidden="1">46</definedName>
    <definedName name="drsiMainWizID14InputID3InputStartCol1" hidden="1">10</definedName>
    <definedName name="drsiMainWizID14InputID3InputStartCol2" hidden="1">6</definedName>
    <definedName name="drsiMainWizID14InputID3InputStartCol3" hidden="1">6</definedName>
    <definedName name="drsiMainWizID14InputID3InputStartRow1" hidden="1">2</definedName>
    <definedName name="drsiMainWizID14InputID3InputStartRow2" hidden="1">2</definedName>
    <definedName name="drsiMainWizID14InputID3InputStartRow3" hidden="1">27</definedName>
    <definedName name="drsiMainWizID14StepID1" hidden="1">"PW"</definedName>
    <definedName name="drsiMainWizID14StepID4" hidden="1">"TEMP01_PFE"</definedName>
    <definedName name="drsiMainWizID14TitleID1" hidden="1">"Insert Product Wizard"</definedName>
    <definedName name="drsiMainWizID14TitleID2" hidden="1">"Market Definition"</definedName>
    <definedName name="drsiMainWizID14TitleID3" hidden="1">"Enter Treatment Assumptions"</definedName>
    <definedName name="drsiMainWizID14TitleID4" hidden="1">"Run Create Product Future Events"</definedName>
    <definedName name="drsiMainWizID15" hidden="1">"Hepatitis B - HBeAg -_Market Wizards"</definedName>
    <definedName name="drsiMainWizID15Desc2ID1" hidden="1">" "</definedName>
    <definedName name="drsiMainWizID15Desc2ID2" hidden="1">" "</definedName>
    <definedName name="drsiMainWizID15Desc2ID3" hidden="1">"Double-click your mouse on the Periodicity of Treatment to get the valid values."</definedName>
    <definedName name="drsiMainWizID15Desc2ID4" hidden="1">" "</definedName>
    <definedName name="drsiMainWizID15Desc2ID5" hidden="1">" "</definedName>
    <definedName name="drsiMainWizID15Desc2ID6" hidden="1">" "</definedName>
    <definedName name="drsiMainWizID15Desc2ID7" hidden="1">" "</definedName>
    <definedName name="drsiMainWizID15DescID1" hidden="1">"Enter the patient prevalence and percent diagnosed."</definedName>
    <definedName name="drsiMainWizID15DescID2" hidden="1">"Enter the market definition."</definedName>
    <definedName name="drsiMainWizID15DescID3" hidden="1">"Enter the Treatment assumptions for each of the product."</definedName>
    <definedName name="drsiMainWizID15DescID4" hidden="1">"Enter the historical data for the products."</definedName>
    <definedName name="drsiMainWizID15DescID5" hidden="1">"Enter the percent usage for this market."</definedName>
    <definedName name="drsiMainWizID15DescID6" hidden="1">"Please forecast the highlighted area of % Patients Treated population, or press next to keep the default setting"</definedName>
    <definedName name="drsiMainWizID15DescID7" hidden="1">"Please forecast the highlighted area of Existing Product share, or press next to keep the default setting"</definedName>
    <definedName name="drsiMainWizID15InputID1F1BookRng1" hidden="1">#REF!</definedName>
    <definedName name="drsiMainWizID15InputID1F1BookRng2" hidden="1">#REF!</definedName>
    <definedName name="drsiMainWizID15InputID1F1BookRng3" hidden="1">#REF!</definedName>
    <definedName name="drsiMainWizID15InputID1InputEndCol1" hidden="1">41</definedName>
    <definedName name="drsiMainWizID15InputID1InputEndCol2" hidden="1">41</definedName>
    <definedName name="drsiMainWizID15InputID1InputEndCol3" hidden="1">41</definedName>
    <definedName name="drsiMainWizID15InputID1InputEndRow1" hidden="1">1</definedName>
    <definedName name="drsiMainWizID15InputID1InputEndRow2" hidden="1">4</definedName>
    <definedName name="drsiMainWizID15InputID1InputEndRow3" hidden="1">8</definedName>
    <definedName name="drsiMainWizID15InputID1InputStartCol1" hidden="1">6</definedName>
    <definedName name="drsiMainWizID15InputID1InputStartCol2" hidden="1">6</definedName>
    <definedName name="drsiMainWizID15InputID1InputStartCol3" hidden="1">6</definedName>
    <definedName name="drsiMainWizID15InputID1InputStartRow1" hidden="1">1</definedName>
    <definedName name="drsiMainWizID15InputID1InputStartRow2" hidden="1">4</definedName>
    <definedName name="drsiMainWizID15InputID1InputStartRow3" hidden="1">8</definedName>
    <definedName name="drsiMainWizID15InputID2F1BookRng1" hidden="1">#REF!</definedName>
    <definedName name="drsiMainWizID15InputID2F1BookRng2" hidden="1">#REF!</definedName>
    <definedName name="drsiMainWizID15InputID2InputEndCol1" hidden="1">1</definedName>
    <definedName name="drsiMainWizID15InputID2InputEndCol2" hidden="1">6</definedName>
    <definedName name="drsiMainWizID15InputID2InputEndRow1" hidden="1">10</definedName>
    <definedName name="drsiMainWizID15InputID2InputEndRow2" hidden="1">21</definedName>
    <definedName name="drsiMainWizID15InputID2InputStartCol1" hidden="1">1</definedName>
    <definedName name="drsiMainWizID15InputID2InputStartCol2" hidden="1">6</definedName>
    <definedName name="drsiMainWizID15InputID2InputStartRow1" hidden="1">1</definedName>
    <definedName name="drsiMainWizID15InputID2InputStartRow2" hidden="1">2</definedName>
    <definedName name="drsiMainWizID15InputID3F1BookRng1" hidden="1">#REF!</definedName>
    <definedName name="drsiMainWizID15InputID3F1BookRng2" hidden="1">#REF!</definedName>
    <definedName name="drsiMainWizID15InputID3F1BookRng3" hidden="1">#REF!</definedName>
    <definedName name="drsiMainWizID15InputID3InputEndCol1" hidden="1">12</definedName>
    <definedName name="drsiMainWizID15InputID3InputEndCol2" hidden="1">8</definedName>
    <definedName name="drsiMainWizID15InputID3InputEndCol3" hidden="1">35</definedName>
    <definedName name="drsiMainWizID15InputID3InputEndRow1" hidden="1">21</definedName>
    <definedName name="drsiMainWizID15InputID3InputEndRow2" hidden="1">21</definedName>
    <definedName name="drsiMainWizID15InputID3InputEndRow3" hidden="1">46</definedName>
    <definedName name="drsiMainWizID15InputID3InputStartCol1" hidden="1">10</definedName>
    <definedName name="drsiMainWizID15InputID3InputStartCol2" hidden="1">6</definedName>
    <definedName name="drsiMainWizID15InputID3InputStartCol3" hidden="1">6</definedName>
    <definedName name="drsiMainWizID15InputID3InputStartRow1" hidden="1">2</definedName>
    <definedName name="drsiMainWizID15InputID3InputStartRow2" hidden="1">2</definedName>
    <definedName name="drsiMainWizID15InputID3InputStartRow3" hidden="1">27</definedName>
    <definedName name="drsiMainWizID15InputID4F1BookRng1" hidden="1">#REF!</definedName>
    <definedName name="drsiMainWizID15InputID4F1BookRng2" hidden="1">#REF!</definedName>
    <definedName name="drsiMainWizID15InputID4F1BookRng3" hidden="1">#REF!</definedName>
    <definedName name="drsiMainWizID15InputID4F1BookRng4" hidden="1">#REF!</definedName>
    <definedName name="drsiMainWizID15InputID4F1BookRng5" hidden="1">#REF!</definedName>
    <definedName name="drsiMainWizID15InputID4InputEndCol1" hidden="1">10</definedName>
    <definedName name="drsiMainWizID15InputID4InputEndCol2" hidden="1">10</definedName>
    <definedName name="drsiMainWizID15InputID4InputEndCol3" hidden="1">10</definedName>
    <definedName name="drsiMainWizID15InputID4InputEndCol4" hidden="1">10</definedName>
    <definedName name="drsiMainWizID15InputID4InputEndCol5" hidden="1">10</definedName>
    <definedName name="drsiMainWizID15InputID4InputEndRow1" hidden="1">11</definedName>
    <definedName name="drsiMainWizID15InputID4InputEndRow2" hidden="1">23</definedName>
    <definedName name="drsiMainWizID15InputID4InputEndRow3" hidden="1">35</definedName>
    <definedName name="drsiMainWizID15InputID4InputEndRow4" hidden="1">47</definedName>
    <definedName name="drsiMainWizID15InputID4InputEndRow5" hidden="1">35</definedName>
    <definedName name="drsiMainWizID15InputID4InputStartCol1" hidden="1">6</definedName>
    <definedName name="drsiMainWizID15InputID4InputStartCol2" hidden="1">6</definedName>
    <definedName name="drsiMainWizID15InputID4InputStartCol3" hidden="1">7</definedName>
    <definedName name="drsiMainWizID15InputID4InputStartCol4" hidden="1">6</definedName>
    <definedName name="drsiMainWizID15InputID4InputStartCol5" hidden="1">6</definedName>
    <definedName name="drsiMainWizID15InputID4InputStartRow1" hidden="1">2</definedName>
    <definedName name="drsiMainWizID15InputID4InputStartRow2" hidden="1">14</definedName>
    <definedName name="drsiMainWizID15InputID4InputStartRow3" hidden="1">26</definedName>
    <definedName name="drsiMainWizID15InputID4InputStartRow4" hidden="1">38</definedName>
    <definedName name="drsiMainWizID15InputID4InputStartRow5" hidden="1">26</definedName>
    <definedName name="drsiMainWizID15InputID5F1BookRng1" hidden="1">#REF!</definedName>
    <definedName name="drsiMainWizID15InputID5InputEndCol1" hidden="1">5</definedName>
    <definedName name="drsiMainWizID15InputID5InputEndRow1" hidden="1">11</definedName>
    <definedName name="drsiMainWizID15InputID5InputStartCol1" hidden="1">5</definedName>
    <definedName name="drsiMainWizID15InputID5InputStartRow1" hidden="1">2</definedName>
    <definedName name="drsiMainWizID15InputID6F1BookRng1" hidden="1">#REF!</definedName>
    <definedName name="drsiMainWizID15InputID6F1BookRng2" hidden="1">#REF!</definedName>
    <definedName name="drsiMainWizID15InputID6InputEndCol1" hidden="1">40</definedName>
    <definedName name="drsiMainWizID15InputID6InputEndCol2" hidden="1">40</definedName>
    <definedName name="drsiMainWizID15InputID6InputEndRow1" hidden="1">10</definedName>
    <definedName name="drsiMainWizID15InputID6InputEndRow2" hidden="1">7</definedName>
    <definedName name="drsiMainWizID15InputID6InputStartCol1" hidden="1">6</definedName>
    <definedName name="drsiMainWizID15InputID6InputStartCol2" hidden="1">6</definedName>
    <definedName name="drsiMainWizID15InputID6InputStartRow1" hidden="1">10</definedName>
    <definedName name="drsiMainWizID15InputID6InputStartRow2" hidden="1">5</definedName>
    <definedName name="drsiMainWizID15InputID7F1BookRng1" hidden="1">#REF!</definedName>
    <definedName name="drsiMainWizID15InputID7InputEndCol1" hidden="1">41</definedName>
    <definedName name="drsiMainWizID15InputID7InputEndRow1" hidden="1">10</definedName>
    <definedName name="drsiMainWizID15InputID7InputStartCol1" hidden="1">11</definedName>
    <definedName name="drsiMainWizID15InputID7InputStartRow1" hidden="1">1</definedName>
    <definedName name="drsiMainWizID15MainTitleCell1" hidden="1">#REF!</definedName>
    <definedName name="drsiMainWizID15MainTitleCell4" hidden="1">#REF!</definedName>
    <definedName name="drsiMainWizID15MainTitleCell5" hidden="1">#REF!</definedName>
    <definedName name="drsiMainWizID15MainTitleCell6" hidden="1">#REF!</definedName>
    <definedName name="drsiMainWizID15MainTitleCell7" hidden="1">#REF!</definedName>
    <definedName name="drsiMainWizID15StartCell1" hidden="1">#REF!</definedName>
    <definedName name="drsiMainWizID15StartCell2" hidden="1">#REF!</definedName>
    <definedName name="drsiMainWizID15StartCell3" hidden="1">#REF!</definedName>
    <definedName name="drsiMainWizID15StartCell4" hidden="1">#REF!</definedName>
    <definedName name="drsiMainWizID15StartCell5" hidden="1">#REF!</definedName>
    <definedName name="drsiMainWizID15StartCell6" hidden="1">#REF!</definedName>
    <definedName name="drsiMainWizID15StartCell7" hidden="1">#REF!</definedName>
    <definedName name="drsiMainWizID15StepID1" hidden="1">#REF!</definedName>
    <definedName name="drsiMainWizID15StepID2" hidden="1">#REF!</definedName>
    <definedName name="drsiMainWizID15StepID3" hidden="1">#REF!</definedName>
    <definedName name="drsiMainWizID15StepID4" hidden="1">#REF!</definedName>
    <definedName name="drsiMainWizID15StepID5" hidden="1">#REF!</definedName>
    <definedName name="drsiMainWizID15StepID6" hidden="1">#REF!</definedName>
    <definedName name="drsiMainWizID15StepID7" hidden="1">#REF!</definedName>
    <definedName name="drsiMainWizID15TitleID1" hidden="1">"Enter Patient Information"</definedName>
    <definedName name="drsiMainWizID15TitleID2" hidden="1">"Market Definition"</definedName>
    <definedName name="drsiMainWizID15TitleID3" hidden="1">"Enter Treatment Assumptions"</definedName>
    <definedName name="drsiMainWizID15TitleID4" hidden="1">"Enter Historical Data"</definedName>
    <definedName name="drsiMainWizID15TitleID5" hidden="1">"Enter Percent Usage"</definedName>
    <definedName name="drsiMainWizID15TitleID6" hidden="1">"Enter Treated Patient Population"</definedName>
    <definedName name="drsiMainWizID15TitleID7" hidden="1">"Enter Forecasted Shares"</definedName>
    <definedName name="drsiMainWizID16" hidden="1">"Hepatitis B - HBeAg -_Market Events"</definedName>
    <definedName name="drsiMainWizID16Desc2ID1" hidden="1">"Follow all of the steps."</definedName>
    <definedName name="drsiMainWizID16DescID1" hidden="1">"This wizard will guide you through the process of creating the market future events."</definedName>
    <definedName name="drsiMainWizID16MainSheetRef1" hidden="1">#REF!</definedName>
    <definedName name="drsiMainWizID16StepID1" hidden="1">"TEMP01_MFE"</definedName>
    <definedName name="drsiMainWizID16TitleID1" hidden="1">"Run Create Market Future Events"</definedName>
    <definedName name="drsiMainWizID17" hidden="1">"Hepatitis B - HBeAg -_Product Future Events"</definedName>
    <definedName name="drsiMainWizID17Desc2ID1" hidden="1">"Follow all of the steps."</definedName>
    <definedName name="drsiMainWizID17DescID1" hidden="1">"This wizard will guide you through the process of creating the product future events."</definedName>
    <definedName name="drsiMainWizID17MainSheetRef1" hidden="1">#REF!</definedName>
    <definedName name="drsiMainWizID17StepID1" hidden="1">"TEMP01_PFE"</definedName>
    <definedName name="drsiMainWizID17TitleID1" hidden="1">"Run Create Product Future Events"</definedName>
    <definedName name="drsiMainWizID18" hidden="1">"Hepatitis B - HBeAg -_Product Events Summary"</definedName>
    <definedName name="drsiMainWizID18Desc2ID1" hidden="1">" "</definedName>
    <definedName name="drsiMainWizID18DescID1" hidden="1">"This wizard will give you a summary of all your active product future events."</definedName>
    <definedName name="drsiMainWizID18MainSheetRef1" hidden="1">#REF!</definedName>
    <definedName name="drsiMainWizID18StepID1" hidden="1">"TEMP01_VPFE"</definedName>
    <definedName name="drsiMainWizID18TitleID1" hidden="1">"Run View Product Future Events Summary"</definedName>
    <definedName name="drsiMainWizID19" hidden="1">"Hepatitis B - HBeAg -_Add New Product"</definedName>
    <definedName name="drsiMainWizID19Desc2ID1" hidden="1">"Follow all of the steps."</definedName>
    <definedName name="drsiMainWizID19Desc2ID2" hidden="1">" "</definedName>
    <definedName name="drsiMainWizID19Desc2ID3" hidden="1">"Double-click your mouse on the Periodicity of Treatment to get the valid values."</definedName>
    <definedName name="drsiMainWizID19Desc2ID4" hidden="1">"Follow all of the steps."</definedName>
    <definedName name="drsiMainWizID19DescID1" hidden="1">"This wizard will run Predictor Engine wizard."</definedName>
    <definedName name="drsiMainWizID19DescID2" hidden="1">"Enter the market definition."</definedName>
    <definedName name="drsiMainWizID19DescID3" hidden="1">"Enter the Treatment assumptions for each of the product."</definedName>
    <definedName name="drsiMainWizID19DescID4" hidden="1">"This wizard will guide you through the process of creating the product future events."</definedName>
    <definedName name="drsiMainWizID19InputID2F1BookRng1" hidden="1">#REF!</definedName>
    <definedName name="drsiMainWizID19InputID2F1BookRng2" hidden="1">#REF!</definedName>
    <definedName name="drsiMainWizID19InputID2InputEndCol1" hidden="1">1</definedName>
    <definedName name="drsiMainWizID19InputID2InputEndCol2" hidden="1">6</definedName>
    <definedName name="drsiMainWizID19InputID2InputEndRow1" hidden="1">10</definedName>
    <definedName name="drsiMainWizID19InputID2InputEndRow2" hidden="1">21</definedName>
    <definedName name="drsiMainWizID19InputID2InputStartCol1" hidden="1">1</definedName>
    <definedName name="drsiMainWizID19InputID2InputStartCol2" hidden="1">6</definedName>
    <definedName name="drsiMainWizID19InputID2InputStartRow1" hidden="1">1</definedName>
    <definedName name="drsiMainWizID19InputID2InputStartRow2" hidden="1">2</definedName>
    <definedName name="drsiMainWizID19InputID3F1BookRng1" hidden="1">#REF!</definedName>
    <definedName name="drsiMainWizID19InputID3F1BookRng2" hidden="1">#REF!</definedName>
    <definedName name="drsiMainWizID19InputID3F1BookRng3" hidden="1">#REF!</definedName>
    <definedName name="drsiMainWizID19InputID3InputEndCol1" hidden="1">12</definedName>
    <definedName name="drsiMainWizID19InputID3InputEndCol2" hidden="1">8</definedName>
    <definedName name="drsiMainWizID19InputID3InputEndCol3" hidden="1">35</definedName>
    <definedName name="drsiMainWizID19InputID3InputEndRow1" hidden="1">21</definedName>
    <definedName name="drsiMainWizID19InputID3InputEndRow2" hidden="1">21</definedName>
    <definedName name="drsiMainWizID19InputID3InputEndRow3" hidden="1">46</definedName>
    <definedName name="drsiMainWizID19InputID3InputStartCol1" hidden="1">10</definedName>
    <definedName name="drsiMainWizID19InputID3InputStartCol2" hidden="1">6</definedName>
    <definedName name="drsiMainWizID19InputID3InputStartCol3" hidden="1">6</definedName>
    <definedName name="drsiMainWizID19InputID3InputStartRow1" hidden="1">2</definedName>
    <definedName name="drsiMainWizID19InputID3InputStartRow2" hidden="1">2</definedName>
    <definedName name="drsiMainWizID19InputID3InputStartRow3" hidden="1">27</definedName>
    <definedName name="drsiMainWizID19MainSheetRef4" hidden="1">#REF!</definedName>
    <definedName name="drsiMainWizID19StartCell2" hidden="1">#REF!</definedName>
    <definedName name="drsiMainWizID19StartCell3" hidden="1">#REF!</definedName>
    <definedName name="drsiMainWizID19StepID1" hidden="1">"PW"</definedName>
    <definedName name="drsiMainWizID19StepID2" hidden="1">#REF!</definedName>
    <definedName name="drsiMainWizID19StepID3" hidden="1">#REF!</definedName>
    <definedName name="drsiMainWizID19StepID4" hidden="1">"TEMP01_PFE"</definedName>
    <definedName name="drsiMainWizID19TitleID1" hidden="1">"Insert Product Wizard"</definedName>
    <definedName name="drsiMainWizID19TitleID2" hidden="1">"Market Definition"</definedName>
    <definedName name="drsiMainWizID19TitleID3" hidden="1">"Enter Treatment Assumptions"</definedName>
    <definedName name="drsiMainWizID19TitleID4" hidden="1">"Run Create Product Future Events"</definedName>
    <definedName name="drsiModel_In1" hidden="1">0</definedName>
    <definedName name="drsiModel_In2" hidden="1">0</definedName>
    <definedName name="drsiModel_In3" hidden="1">0</definedName>
    <definedName name="drsiModel_In4" hidden="1">2</definedName>
    <definedName name="drsiOnError1" hidden="1">0</definedName>
    <definedName name="drsiOnError2" hidden="1">0</definedName>
    <definedName name="drsiOnError3" hidden="1">0</definedName>
    <definedName name="drsiOnError4" hidden="1">0</definedName>
    <definedName name="drsiProdName1" hidden="1">"Totals Row"</definedName>
    <definedName name="drsiProdName2" hidden="1">2</definedName>
    <definedName name="drsiProdName3" hidden="1">3</definedName>
    <definedName name="drsiProdName4" hidden="1">4</definedName>
    <definedName name="drsiSeasonCycles1" hidden="1">12</definedName>
    <definedName name="drsiSeasonCycles2" hidden="1">12</definedName>
    <definedName name="drsiSeasonCycles3" hidden="1">12</definedName>
    <definedName name="drsiSeasonCycles4" hidden="1">12</definedName>
    <definedName name="drsiWizGroupCount" hidden="1">1</definedName>
    <definedName name="drt" localSheetId="8" hidden="1">{"'Demand Units'!$Z$2:$AF$53"}</definedName>
    <definedName name="drt" hidden="1">{"'Demand Units'!$Z$2:$AF$53"}</definedName>
    <definedName name="drtsdrt" hidden="1">#REF!</definedName>
    <definedName name="drw" localSheetId="8" hidden="1">{"PAGE 1",#N/A,FALSE,"COS";"PAGE 2",#N/A,FALSE,"COS";"PAGE 3",#N/A,FALSE,"COS"}</definedName>
    <definedName name="drw" hidden="1">{"PAGE 1",#N/A,FALSE,"COS";"PAGE 2",#N/A,FALSE,"COS";"PAGE 3",#N/A,FALSE,"COS"}</definedName>
    <definedName name="ds" localSheetId="7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ds" localSheetId="8" hidden="1">{#N/A,#N/A,FALSE,"model"}</definedName>
    <definedName name="ds" hidden="1">{"'ini'!$A$1"}</definedName>
    <definedName name="ds_1" localSheetId="8" hidden="1">{#N/A,#N/A,FALSE,"model"}</definedName>
    <definedName name="ds_1" hidden="1">{#N/A,#N/A,FALSE,"model"}</definedName>
    <definedName name="DS1JobInfo\174xx\17418\GreenBook\Performance\17418Rev2.dat" hidden="1">#REF!</definedName>
    <definedName name="dsad" hidden="1">#REF!</definedName>
    <definedName name="dsajsdj" localSheetId="8" hidden="1">{"mgmt forecast",#N/A,FALSE,"Mgmt Forecast";"dcf table",#N/A,FALSE,"Mgmt Forecast";"sensitivity",#N/A,FALSE,"Mgmt Forecast";"table inputs",#N/A,FALSE,"Mgmt Forecast";"calculations",#N/A,FALSE,"Mgmt Forecast"}</definedName>
    <definedName name="dsajsdj" hidden="1">{"mgmt forecast",#N/A,FALSE,"Mgmt Forecast";"dcf table",#N/A,FALSE,"Mgmt Forecast";"sensitivity",#N/A,FALSE,"Mgmt Forecast";"table inputs",#N/A,FALSE,"Mgmt Forecast";"calculations",#N/A,FALSE,"Mgmt Forecast"}</definedName>
    <definedName name="dsajsdj_1" localSheetId="8" hidden="1">{"mgmt forecast",#N/A,FALSE,"Mgmt Forecast";"dcf table",#N/A,FALSE,"Mgmt Forecast";"sensitivity",#N/A,FALSE,"Mgmt Forecast";"table inputs",#N/A,FALSE,"Mgmt Forecast";"calculations",#N/A,FALSE,"Mgmt Forecast"}</definedName>
    <definedName name="dsajsdj_1" hidden="1">{"mgmt forecast",#N/A,FALSE,"Mgmt Forecast";"dcf table",#N/A,FALSE,"Mgmt Forecast";"sensitivity",#N/A,FALSE,"Mgmt Forecast";"table inputs",#N/A,FALSE,"Mgmt Forecast";"calculations",#N/A,FALSE,"Mgmt Forecast"}</definedName>
    <definedName name="dsass" localSheetId="8" hidden="1">{#N/A,#N/A,FALSE,"Adm comp";#N/A,#N/A,FALSE,"Adm ajust";"adm",#N/A,FALSE,"Administration";#N/A,#N/A,FALSE,"Adm Bgt 97 vs Prév. 96";#N/A,#N/A,FALSE,"Adm Bgt 97 vs 96"}</definedName>
    <definedName name="dsass" hidden="1">{#N/A,#N/A,FALSE,"Adm comp";#N/A,#N/A,FALSE,"Adm ajust";"adm",#N/A,FALSE,"Administration";#N/A,#N/A,FALSE,"Adm Bgt 97 vs Prév. 96";#N/A,#N/A,FALSE,"Adm Bgt 97 vs 96"}</definedName>
    <definedName name="dsazz" localSheetId="8" hidden="1">{#N/A,#N/A,FALSE,"ACQ_GRAPHS";#N/A,#N/A,FALSE,"T_1 GRAPHS";#N/A,#N/A,FALSE,"T_2 GRAPHS";#N/A,#N/A,FALSE,"COMB_GRAPHS"}</definedName>
    <definedName name="dsazz" hidden="1">{#N/A,#N/A,FALSE,"ACQ_GRAPHS";#N/A,#N/A,FALSE,"T_1 GRAPHS";#N/A,#N/A,FALSE,"T_2 GRAPHS";#N/A,#N/A,FALSE,"COMB_GRAPHS"}</definedName>
    <definedName name="dsbdsb" localSheetId="8" hidden="1">{#N/A,#N/A,FALSE,"Assessment";#N/A,#N/A,FALSE,"Staffing";#N/A,#N/A,FALSE,"Hires";#N/A,#N/A,FALSE,"Assumptions"}</definedName>
    <definedName name="dsbdsb" hidden="1">{#N/A,#N/A,FALSE,"Assessment";#N/A,#N/A,FALSE,"Staffing";#N/A,#N/A,FALSE,"Hires";#N/A,#N/A,FALSE,"Assumptions"}</definedName>
    <definedName name="dsd" localSheetId="8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dsd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dsd_1" localSheetId="8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dsd_1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dsdafgsa" localSheetId="8" hidden="1">{"Performance Details",#N/A,FALSE,"Current Yr";"Performance Details",#N/A,FALSE,"Budget";"Performance Details",#N/A,FALSE,"Prior Year"}</definedName>
    <definedName name="dsdafgsa" hidden="1">{"Performance Details",#N/A,FALSE,"Current Yr";"Performance Details",#N/A,FALSE,"Budget";"Performance Details",#N/A,FALSE,"Prior Year"}</definedName>
    <definedName name="dse" localSheetId="8" hidden="1">{"YTDACT",#N/A,FALSE,"YTD Cum";"YTDBUD",#N/A,FALSE,"YTD Cum";"YTDPRIOR",#N/A,FALSE,"YTD Cum"}</definedName>
    <definedName name="dse" hidden="1">{"YTDACT",#N/A,FALSE,"YTD Cum";"YTDBUD",#N/A,FALSE,"YTD Cum";"YTDPRIOR",#N/A,FALSE,"YTD Cum"}</definedName>
    <definedName name="dsf" localSheetId="8" hidden="1">#REF!</definedName>
    <definedName name="DSF" hidden="1">{#N/A,#N/A,FALSE,"CA";#N/A,#N/A,FALSE,"CN";#N/A,#N/A,FALSE,"Inv";#N/A,#N/A,FALSE,"Inv Acc";"Miguel_balance",#N/A,FALSE,"Bal";#N/A,#N/A,FALSE,"Plantilla";#N/A,#N/A,FALSE,"CA (2)";#N/A,#N/A,FALSE,"CN (2)"}</definedName>
    <definedName name="DSFS" hidden="1">{#N/A,#N/A,FALSE,"CA";#N/A,#N/A,FALSE,"CN";#N/A,#N/A,FALSE,"Inv";#N/A,#N/A,FALSE,"Inv Acc";"Miguel_balance",#N/A,FALSE,"Bal";#N/A,#N/A,FALSE,"Plantilla";#N/A,#N/A,FALSE,"CA (2)";#N/A,#N/A,FALSE,"CN (2)"}</definedName>
    <definedName name="dsfsd" hidden="1">MAX(#REF!:INDEX(#REF!,ROW()-1))+1</definedName>
    <definedName name="dsfsdfdsf" hidden="1">{#N/A,#N/A,FALSE,"Valuation Summary";#N/A,#N/A,FALSE,"BT IS";#N/A,#N/A,FALSE,"BT CF";#N/A,#N/A,FALSE,"BT BS";#N/A,#N/A,FALSE,"BT FCF";#N/A,#N/A,FALSE,"BT Model";#N/A,#N/A,FALSE,"BT Finance"}</definedName>
    <definedName name="dsfsf" localSheetId="8" hidden="1">{"detail",#N/A,FALSE,"mfg";"summary",#N/A,FALSE,"mfg"}</definedName>
    <definedName name="dsfsf" hidden="1">{"detail",#N/A,FALSE,"mfg";"summary",#N/A,FALSE,"mfg"}</definedName>
    <definedName name="dsfsffss" localSheetId="7" hidden="1">{#N/A,#N/A,FALSE,"Pharm";#N/A,#N/A,FALSE,"WWCM"}</definedName>
    <definedName name="dsfsffss" localSheetId="8" hidden="1">{#N/A,#N/A,FALSE,"Pharm";#N/A,#N/A,FALSE,"WWCM"}</definedName>
    <definedName name="dsfsffss" hidden="1">{#N/A,#N/A,FALSE,"Pharm";#N/A,#N/A,FALSE,"WWCM"}</definedName>
    <definedName name="dsg" localSheetId="8" hidden="1">{#N/A,#N/A,FALSE,"Calc";#N/A,#N/A,FALSE,"Sensitivity";#N/A,#N/A,FALSE,"LT Earn.Dil.";#N/A,#N/A,FALSE,"Dil. AVP"}</definedName>
    <definedName name="dsg" hidden="1">{#N/A,#N/A,FALSE,"Calc";#N/A,#N/A,FALSE,"Sensitivity";#N/A,#N/A,FALSE,"LT Earn.Dil.";#N/A,#N/A,FALSE,"Dil. AVP"}</definedName>
    <definedName name="dsg_1" localSheetId="8" hidden="1">{#N/A,#N/A,FALSE,"Calc";#N/A,#N/A,FALSE,"Sensitivity";#N/A,#N/A,FALSE,"LT Earn.Dil.";#N/A,#N/A,FALSE,"Dil. AVP"}</definedName>
    <definedName name="dsg_1" hidden="1">{#N/A,#N/A,FALSE,"Calc";#N/A,#N/A,FALSE,"Sensitivity";#N/A,#N/A,FALSE,"LT Earn.Dil.";#N/A,#N/A,FALSE,"Dil. AVP"}</definedName>
    <definedName name="dsgfgdgf" localSheetId="8" hidden="1">{#N/A,#N/A,FALSE,"USCSS ROLLUP";#N/A,#N/A,FALSE,"USCS";#N/A,#N/A,FALSE,"TARGET";#N/A,#N/A,FALSE,"MICROSOFT";#N/A,#N/A,FALSE,"AT&amp;T";#N/A,#N/A,FALSE,"ALT CHANNELS";#N/A,#N/A,FALSE,"USCS HQ"}</definedName>
    <definedName name="dsgfgdgf" hidden="1">{#N/A,#N/A,FALSE,"USCSS ROLLUP";#N/A,#N/A,FALSE,"USCS";#N/A,#N/A,FALSE,"TARGET";#N/A,#N/A,FALSE,"MICROSOFT";#N/A,#N/A,FALSE,"AT&amp;T";#N/A,#N/A,FALSE,"ALT CHANNELS";#N/A,#N/A,FALSE,"USCS HQ"}</definedName>
    <definedName name="dsgfhgfv" localSheetId="8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dsgfhgfv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dsggd" localSheetId="8" hidden="1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dsggd" hidden="1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dsggd_1" localSheetId="8" hidden="1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dsggd_1" hidden="1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dsgsd" localSheetId="8" hidden="1">{#N/A,#N/A,FALSE,"Assessment";#N/A,#N/A,FALSE,"Staffing";#N/A,#N/A,FALSE,"Hires";#N/A,#N/A,FALSE,"Assumptions"}</definedName>
    <definedName name="dsgsd" hidden="1">{#N/A,#N/A,FALSE,"Assessment";#N/A,#N/A,FALSE,"Staffing";#N/A,#N/A,FALSE,"Hires";#N/A,#N/A,FALSE,"Assumptions"}</definedName>
    <definedName name="DSN" hidden="1">"Toolpack DW TAX (Iceland).dsn"</definedName>
    <definedName name="dsnb" localSheetId="8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dsn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DSO" hidden="1">{#N/A,#N/A,FALSE,"ACQ_GRAPHS";#N/A,#N/A,FALSE,"T_1 GRAPHS";#N/A,#N/A,FALSE,"T_2 GRAPHS";#N/A,#N/A,FALSE,"COMB_GRAPHS"}</definedName>
    <definedName name="dsqd" localSheetId="8" hidden="1">{"vue1",#N/A,FALSE,"synthese";"vue2",#N/A,FALSE,"synthese"}</definedName>
    <definedName name="dsqd" hidden="1">{"vue1",#N/A,FALSE,"synthese";"vue2",#N/A,FALSE,"synthese"}</definedName>
    <definedName name="dsqd_1" localSheetId="8" hidden="1">{"vue1",#N/A,FALSE,"synthese";"vue2",#N/A,FALSE,"synthese"}</definedName>
    <definedName name="dsqd_1" hidden="1">{"vue1",#N/A,FALSE,"synthese";"vue2",#N/A,FALSE,"synthese"}</definedName>
    <definedName name="dsqdsqd" localSheetId="8" hidden="1">{"vue1",#N/A,FALSE,"synthese";"vue2",#N/A,FALSE,"synthese"}</definedName>
    <definedName name="dsqdsqd" hidden="1">{"vue1",#N/A,FALSE,"synthese";"vue2",#N/A,FALSE,"synthese"}</definedName>
    <definedName name="dsqdsqd_1" localSheetId="8" hidden="1">{"vue1",#N/A,FALSE,"synthese";"vue2",#N/A,FALSE,"synthese"}</definedName>
    <definedName name="dsqdsqd_1" hidden="1">{"vue1",#N/A,FALSE,"synthese";"vue2",#N/A,FALSE,"synthese"}</definedName>
    <definedName name="dsv" hidden="1">#REF!</definedName>
    <definedName name="dswe" localSheetId="8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dswe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dszcv" hidden="1">#REF!</definedName>
    <definedName name="DT1Local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thy" localSheetId="8" hidden="1">{#N/A,#N/A,FALSE,"Graficos";#N/A,#N/A,FALSE,"P.Ingresos";#N/A,#N/A,FALSE,"P.Gastos";#N/A,#N/A,FALSE,"I.Trafico";#N/A,#N/A,FALSE,"I.Peajes";#N/A,#N/A,FALSE,"G.Operativos";#N/A,#N/A,FALSE,"Cf Proyecto";#N/A,#N/A,FALSE,"C.PYG";#N/A,#N/A,FALSE,"Balance";#N/A,#N/A,FALSE,"TIR AC";#N/A,#N/A,FALSE,"TIR E"}</definedName>
    <definedName name="dthy" hidden="1">{#N/A,#N/A,FALSE,"Graficos";#N/A,#N/A,FALSE,"P.Ingresos";#N/A,#N/A,FALSE,"P.Gastos";#N/A,#N/A,FALSE,"I.Trafico";#N/A,#N/A,FALSE,"I.Peajes";#N/A,#N/A,FALSE,"G.Operativos";#N/A,#N/A,FALSE,"Cf Proyecto";#N/A,#N/A,FALSE,"C.PYG";#N/A,#N/A,FALSE,"Balance";#N/A,#N/A,FALSE,"TIR AC";#N/A,#N/A,FALSE,"TIR E"}</definedName>
    <definedName name="DTLOCAL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TLOCAL2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tu" localSheetId="8" hidden="1">{#N/A,#N/A,TRUE,"financial";#N/A,#N/A,TRUE,"plants"}</definedName>
    <definedName name="dtu" hidden="1">{#N/A,#N/A,TRUE,"financial";#N/A,#N/A,TRUE,"plants"}</definedName>
    <definedName name="due" localSheetId="8" hidden="1">{"COVER DPS",#N/A,TRUE,"Cover - DP&amp;S";"Fornitori e Clienti",#N/A,TRUE,"7 Fornitori e 18 Clienti";"PRODOTTI E SERVIZI",#N/A,TRUE,"PRODOTTI &amp; SERVIZI";"CONCLUSE",#N/A,TRUE,"CONCLUSE"}</definedName>
    <definedName name="due" hidden="1">{"COVER DPS",#N/A,TRUE,"Cover - DP&amp;S";"Fornitori e Clienti",#N/A,TRUE,"7 Fornitori e 18 Clienti";"PRODOTTI E SERVIZI",#N/A,TRUE,"PRODOTTI &amp; SERVIZI";"CONCLUSE",#N/A,TRUE,"CONCLUSE"}</definedName>
    <definedName name="due_1" localSheetId="8" hidden="1">{"COVER DPS",#N/A,TRUE,"Cover - DP&amp;S";"Fornitori e Clienti",#N/A,TRUE,"7 Fornitori e 18 Clienti";"PRODOTTI E SERVIZI",#N/A,TRUE,"PRODOTTI &amp; SERVIZI";"CONCLUSE",#N/A,TRUE,"CONCLUSE"}</definedName>
    <definedName name="due_1" hidden="1">{"COVER DPS",#N/A,TRUE,"Cover - DP&amp;S";"Fornitori e Clienti",#N/A,TRUE,"7 Fornitori e 18 Clienti";"PRODOTTI E SERVIZI",#N/A,TRUE,"PRODOTTI &amp; SERVIZI";"CONCLUSE",#N/A,TRUE,"CONCLUSE"}</definedName>
    <definedName name="dujd" localSheetId="8" hidden="1">{"pl9601",#N/A,FALSE,"PL96";"pl9602",#N/A,FALSE,"PL96";"pl9603",#N/A,FALSE,"PL96";"PL9604",#N/A,FALSE,"PL96";"pl9605",#N/A,FALSE,"PL96";"pl9606",#N/A,FALSE,"PL96";"pl9607",#N/A,FALSE,"PL96";"pl9608",#N/A,FALSE,"PL96";"pl9609",#N/A,FALSE,"PL96";"pl9610",#N/A,FALSE,"PL96";"pl9611",#N/A,FALSE,"PL96";"fssum01",#N/A,FALSE,"fssum";"fssum02",#N/A,FALSE,"fssum"}</definedName>
    <definedName name="dujd" hidden="1">{"pl9601",#N/A,FALSE,"PL96";"pl9602",#N/A,FALSE,"PL96";"pl9603",#N/A,FALSE,"PL96";"PL9604",#N/A,FALSE,"PL96";"pl9605",#N/A,FALSE,"PL96";"pl9606",#N/A,FALSE,"PL96";"pl9607",#N/A,FALSE,"PL96";"pl9608",#N/A,FALSE,"PL96";"pl9609",#N/A,FALSE,"PL96";"pl9610",#N/A,FALSE,"PL96";"pl9611",#N/A,FALSE,"PL96";"fssum01",#N/A,FALSE,"fssum";"fssum02",#N/A,FALSE,"fssum"}</definedName>
    <definedName name="dujd_1" localSheetId="8" hidden="1">{"pl9601",#N/A,FALSE,"PL96";"pl9602",#N/A,FALSE,"PL96";"pl9603",#N/A,FALSE,"PL96";"PL9604",#N/A,FALSE,"PL96";"pl9605",#N/A,FALSE,"PL96";"pl9606",#N/A,FALSE,"PL96";"pl9607",#N/A,FALSE,"PL96";"pl9608",#N/A,FALSE,"PL96";"pl9609",#N/A,FALSE,"PL96";"pl9610",#N/A,FALSE,"PL96";"pl9611",#N/A,FALSE,"PL96";"fssum01",#N/A,FALSE,"fssum";"fssum02",#N/A,FALSE,"fssum"}</definedName>
    <definedName name="dujd_1" hidden="1">{"pl9601",#N/A,FALSE,"PL96";"pl9602",#N/A,FALSE,"PL96";"pl9603",#N/A,FALSE,"PL96";"PL9604",#N/A,FALSE,"PL96";"pl9605",#N/A,FALSE,"PL96";"pl9606",#N/A,FALSE,"PL96";"pl9607",#N/A,FALSE,"PL96";"pl9608",#N/A,FALSE,"PL96";"pl9609",#N/A,FALSE,"PL96";"pl9610",#N/A,FALSE,"PL96";"pl9611",#N/A,FALSE,"PL96";"fssum01",#N/A,FALSE,"fssum";"fssum02",#N/A,FALSE,"fssum"}</definedName>
    <definedName name="dummy32" localSheetId="8" hidden="1">{#N/A,#N/A,FALSE,"JA.1";#N/A,#N/A,FALSE,"JA.2";#N/A,#N/A,FALSE,"JA.3";#N/A,#N/A,FALSE,"JA.4";#N/A,#N/A,FALSE,"JA.5";#N/A,#N/A,FALSE,"JA.6";#N/A,#N/A,FALSE,"JA.7";#N/A,#N/A,FALSE,"JA.8";#N/A,#N/A,FALSE,"JA.9";#N/A,#N/A,FALSE,"JA.10";#N/A,#N/A,FALSE,"JB.1";#N/A,#N/A,FALSE,"JB.2";#N/A,#N/A,FALSE,"JB.3";#N/A,#N/A,FALSE,"JB.4";#N/A,#N/A,FALSE,"JB.5";#N/A,#N/A,FALSE,"JB.6";#N/A,#N/A,FALSE,"JB.7";#N/A,#N/A,FALSE,"JB.8";#N/A,#N/A,FALSE,"JB.9";#N/A,#N/A,FALSE,"JB.10";#N/A,#N/A,FALSE,"JC.1";#N/A,#N/A,FALSE,"JC.2";#N/A,#N/A,FALSE,"JC.3";#N/A,#N/A,FALSE,"JC.4";#N/A,#N/A,FALSE,"JC.5";#N/A,#N/A,FALSE,"JC.6";#N/A,#N/A,FALSE,"JC.7";#N/A,#N/A,FALSE,"JC.8";#N/A,#N/A,FALSE,"JC.9";#N/A,#N/A,FALSE,"JC.10";#N/A,#N/A,FALSE,"JD.1";#N/A,#N/A,FALSE,"JD.2";#N/A,#N/A,FALSE,"JD.3";#N/A,#N/A,FALSE,"JD.4";#N/A,#N/A,FALSE,"JD.5";#N/A,#N/A,FALSE,"JD.6";#N/A,#N/A,FALSE,"JD.7";#N/A,#N/A,FALSE,"JD.8";#N/A,#N/A,FALSE,"JD.9";#N/A,#N/A,FALSE,"JD.10"}</definedName>
    <definedName name="dummy32" hidden="1">{#N/A,#N/A,FALSE,"JA.1";#N/A,#N/A,FALSE,"JA.2";#N/A,#N/A,FALSE,"JA.3";#N/A,#N/A,FALSE,"JA.4";#N/A,#N/A,FALSE,"JA.5";#N/A,#N/A,FALSE,"JA.6";#N/A,#N/A,FALSE,"JA.7";#N/A,#N/A,FALSE,"JA.8";#N/A,#N/A,FALSE,"JA.9";#N/A,#N/A,FALSE,"JA.10";#N/A,#N/A,FALSE,"JB.1";#N/A,#N/A,FALSE,"JB.2";#N/A,#N/A,FALSE,"JB.3";#N/A,#N/A,FALSE,"JB.4";#N/A,#N/A,FALSE,"JB.5";#N/A,#N/A,FALSE,"JB.6";#N/A,#N/A,FALSE,"JB.7";#N/A,#N/A,FALSE,"JB.8";#N/A,#N/A,FALSE,"JB.9";#N/A,#N/A,FALSE,"JB.10";#N/A,#N/A,FALSE,"JC.1";#N/A,#N/A,FALSE,"JC.2";#N/A,#N/A,FALSE,"JC.3";#N/A,#N/A,FALSE,"JC.4";#N/A,#N/A,FALSE,"JC.5";#N/A,#N/A,FALSE,"JC.6";#N/A,#N/A,FALSE,"JC.7";#N/A,#N/A,FALSE,"JC.8";#N/A,#N/A,FALSE,"JC.9";#N/A,#N/A,FALSE,"JC.10";#N/A,#N/A,FALSE,"JD.1";#N/A,#N/A,FALSE,"JD.2";#N/A,#N/A,FALSE,"JD.3";#N/A,#N/A,FALSE,"JD.4";#N/A,#N/A,FALSE,"JD.5";#N/A,#N/A,FALSE,"JD.6";#N/A,#N/A,FALSE,"JD.7";#N/A,#N/A,FALSE,"JD.8";#N/A,#N/A,FALSE,"JD.9";#N/A,#N/A,FALSE,"JD.10"}</definedName>
    <definedName name="dummy33" localSheetId="8" hidden="1">{#N/A,#N/A,FALSE,"JA.1";#N/A,#N/A,FALSE,"JA.2";#N/A,#N/A,FALSE,"JA.3";#N/A,#N/A,FALSE,"JA.4";#N/A,#N/A,FALSE,"JA.5";#N/A,#N/A,FALSE,"JA.6";#N/A,#N/A,FALSE,"JA.7";#N/A,#N/A,FALSE,"JA.8";#N/A,#N/A,FALSE,"JA.9";#N/A,#N/A,FALSE,"JA.10";#N/A,#N/A,FALSE,"JB.1";#N/A,#N/A,FALSE,"JB.2";#N/A,#N/A,FALSE,"JB.3";#N/A,#N/A,FALSE,"JB.4";#N/A,#N/A,FALSE,"JB.5";#N/A,#N/A,FALSE,"JB.6";#N/A,#N/A,FALSE,"JB.7";#N/A,#N/A,FALSE,"JB.8";#N/A,#N/A,FALSE,"JB.9";#N/A,#N/A,FALSE,"JB.10";#N/A,#N/A,FALSE,"JC.1";#N/A,#N/A,FALSE,"JC.2";#N/A,#N/A,FALSE,"JC.3";#N/A,#N/A,FALSE,"JC.4";#N/A,#N/A,FALSE,"JC.5";#N/A,#N/A,FALSE,"JC.6";#N/A,#N/A,FALSE,"JC.7";#N/A,#N/A,FALSE,"JC.8";#N/A,#N/A,FALSE,"JC.9";#N/A,#N/A,FALSE,"JC.10";#N/A,#N/A,FALSE,"JD.1";#N/A,#N/A,FALSE,"JD.2";#N/A,#N/A,FALSE,"JD.3";#N/A,#N/A,FALSE,"JD.4";#N/A,#N/A,FALSE,"JD.5";#N/A,#N/A,FALSE,"JD.6";#N/A,#N/A,FALSE,"JD.7";#N/A,#N/A,FALSE,"JD.8";#N/A,#N/A,FALSE,"JD.9";#N/A,#N/A,FALSE,"JD.10"}</definedName>
    <definedName name="dummy33" hidden="1">{#N/A,#N/A,FALSE,"JA.1";#N/A,#N/A,FALSE,"JA.2";#N/A,#N/A,FALSE,"JA.3";#N/A,#N/A,FALSE,"JA.4";#N/A,#N/A,FALSE,"JA.5";#N/A,#N/A,FALSE,"JA.6";#N/A,#N/A,FALSE,"JA.7";#N/A,#N/A,FALSE,"JA.8";#N/A,#N/A,FALSE,"JA.9";#N/A,#N/A,FALSE,"JA.10";#N/A,#N/A,FALSE,"JB.1";#N/A,#N/A,FALSE,"JB.2";#N/A,#N/A,FALSE,"JB.3";#N/A,#N/A,FALSE,"JB.4";#N/A,#N/A,FALSE,"JB.5";#N/A,#N/A,FALSE,"JB.6";#N/A,#N/A,FALSE,"JB.7";#N/A,#N/A,FALSE,"JB.8";#N/A,#N/A,FALSE,"JB.9";#N/A,#N/A,FALSE,"JB.10";#N/A,#N/A,FALSE,"JC.1";#N/A,#N/A,FALSE,"JC.2";#N/A,#N/A,FALSE,"JC.3";#N/A,#N/A,FALSE,"JC.4";#N/A,#N/A,FALSE,"JC.5";#N/A,#N/A,FALSE,"JC.6";#N/A,#N/A,FALSE,"JC.7";#N/A,#N/A,FALSE,"JC.8";#N/A,#N/A,FALSE,"JC.9";#N/A,#N/A,FALSE,"JC.10";#N/A,#N/A,FALSE,"JD.1";#N/A,#N/A,FALSE,"JD.2";#N/A,#N/A,FALSE,"JD.3";#N/A,#N/A,FALSE,"JD.4";#N/A,#N/A,FALSE,"JD.5";#N/A,#N/A,FALSE,"JD.6";#N/A,#N/A,FALSE,"JD.7";#N/A,#N/A,FALSE,"JD.8";#N/A,#N/A,FALSE,"JD.9";#N/A,#N/A,FALSE,"JD.10"}</definedName>
    <definedName name="dummy34" localSheetId="8" hidden="1">{#N/A,#N/A,FALSE,"JA.1";#N/A,#N/A,FALSE,"JA.2";#N/A,#N/A,FALSE,"JA.3";#N/A,#N/A,FALSE,"JA.4";#N/A,#N/A,FALSE,"JA.5";#N/A,#N/A,FALSE,"JA.6";#N/A,#N/A,FALSE,"JA.7";#N/A,#N/A,FALSE,"JA.8";#N/A,#N/A,FALSE,"JA.9";#N/A,#N/A,FALSE,"JA.10";#N/A,#N/A,FALSE,"JB.1";#N/A,#N/A,FALSE,"JB.2";#N/A,#N/A,FALSE,"JB.3";#N/A,#N/A,FALSE,"JB.4";#N/A,#N/A,FALSE,"JB.5";#N/A,#N/A,FALSE,"JB.6";#N/A,#N/A,FALSE,"JB.7";#N/A,#N/A,FALSE,"JB.8";#N/A,#N/A,FALSE,"JB.9";#N/A,#N/A,FALSE,"JB.10";#N/A,#N/A,FALSE,"JC.1";#N/A,#N/A,FALSE,"JC.2";#N/A,#N/A,FALSE,"JC.3";#N/A,#N/A,FALSE,"JC.4";#N/A,#N/A,FALSE,"JC.5";#N/A,#N/A,FALSE,"JC.6";#N/A,#N/A,FALSE,"JC.7";#N/A,#N/A,FALSE,"JC.8";#N/A,#N/A,FALSE,"JC.9";#N/A,#N/A,FALSE,"JC.10";#N/A,#N/A,FALSE,"JD.1";#N/A,#N/A,FALSE,"JD.2";#N/A,#N/A,FALSE,"JD.3";#N/A,#N/A,FALSE,"JD.4";#N/A,#N/A,FALSE,"JD.5";#N/A,#N/A,FALSE,"JD.6";#N/A,#N/A,FALSE,"JD.7";#N/A,#N/A,FALSE,"JD.8";#N/A,#N/A,FALSE,"JD.9";#N/A,#N/A,FALSE,"JD.10"}</definedName>
    <definedName name="dummy34" hidden="1">{#N/A,#N/A,FALSE,"JA.1";#N/A,#N/A,FALSE,"JA.2";#N/A,#N/A,FALSE,"JA.3";#N/A,#N/A,FALSE,"JA.4";#N/A,#N/A,FALSE,"JA.5";#N/A,#N/A,FALSE,"JA.6";#N/A,#N/A,FALSE,"JA.7";#N/A,#N/A,FALSE,"JA.8";#N/A,#N/A,FALSE,"JA.9";#N/A,#N/A,FALSE,"JA.10";#N/A,#N/A,FALSE,"JB.1";#N/A,#N/A,FALSE,"JB.2";#N/A,#N/A,FALSE,"JB.3";#N/A,#N/A,FALSE,"JB.4";#N/A,#N/A,FALSE,"JB.5";#N/A,#N/A,FALSE,"JB.6";#N/A,#N/A,FALSE,"JB.7";#N/A,#N/A,FALSE,"JB.8";#N/A,#N/A,FALSE,"JB.9";#N/A,#N/A,FALSE,"JB.10";#N/A,#N/A,FALSE,"JC.1";#N/A,#N/A,FALSE,"JC.2";#N/A,#N/A,FALSE,"JC.3";#N/A,#N/A,FALSE,"JC.4";#N/A,#N/A,FALSE,"JC.5";#N/A,#N/A,FALSE,"JC.6";#N/A,#N/A,FALSE,"JC.7";#N/A,#N/A,FALSE,"JC.8";#N/A,#N/A,FALSE,"JC.9";#N/A,#N/A,FALSE,"JC.10";#N/A,#N/A,FALSE,"JD.1";#N/A,#N/A,FALSE,"JD.2";#N/A,#N/A,FALSE,"JD.3";#N/A,#N/A,FALSE,"JD.4";#N/A,#N/A,FALSE,"JD.5";#N/A,#N/A,FALSE,"JD.6";#N/A,#N/A,FALSE,"JD.7";#N/A,#N/A,FALSE,"JD.8";#N/A,#N/A,FALSE,"JD.9";#N/A,#N/A,FALSE,"JD.10"}</definedName>
    <definedName name="dummy35" localSheetId="8" hidden="1">{#N/A,#N/A,TRUE,"Index";#N/A,#N/A,TRUE,"Summary";#N/A,#N/A,TRUE,"General Assumptions";#N/A,#N/A,TRUE,"Economic Assumptions";#N/A,#N/A,TRUE,"Technical Assumptions";#N/A,#N/A,TRUE,"Construction sheet";#N/A,#N/A,TRUE,"Revenues &amp; Costs";#N/A,#N/A,TRUE,"Debt Sheet";#N/A,#N/A,TRUE,"Depreciation";#N/A,#N/A,TRUE,"Cashflow Statement";#N/A,#N/A,TRUE,"Income Statement";#N/A,#N/A,TRUE,"Balance Sheet";#N/A,#N/A,TRUE,"Ratios"}</definedName>
    <definedName name="dummy35" hidden="1">{#N/A,#N/A,TRUE,"Index";#N/A,#N/A,TRUE,"Summary";#N/A,#N/A,TRUE,"General Assumptions";#N/A,#N/A,TRUE,"Economic Assumptions";#N/A,#N/A,TRUE,"Technical Assumptions";#N/A,#N/A,TRUE,"Construction sheet";#N/A,#N/A,TRUE,"Revenues &amp; Costs";#N/A,#N/A,TRUE,"Debt Sheet";#N/A,#N/A,TRUE,"Depreciation";#N/A,#N/A,TRUE,"Cashflow Statement";#N/A,#N/A,TRUE,"Income Statement";#N/A,#N/A,TRUE,"Balance Sheet";#N/A,#N/A,TRUE,"Ratios"}</definedName>
    <definedName name="dummy37" localSheetId="8" hidden="1">{#N/A,#N/A,FALSE,"JA.1";#N/A,#N/A,FALSE,"JA.2";#N/A,#N/A,FALSE,"JA.3";#N/A,#N/A,FALSE,"JA.4";#N/A,#N/A,FALSE,"JA.5";#N/A,#N/A,FALSE,"JA.6";#N/A,#N/A,FALSE,"JA.7";#N/A,#N/A,FALSE,"JA.8";#N/A,#N/A,FALSE,"JA.9";#N/A,#N/A,FALSE,"JA.10";#N/A,#N/A,FALSE,"JB.1";#N/A,#N/A,FALSE,"JB.2";#N/A,#N/A,FALSE,"JB.3";#N/A,#N/A,FALSE,"JB.4";#N/A,#N/A,FALSE,"JB.5";#N/A,#N/A,FALSE,"JB.6";#N/A,#N/A,FALSE,"JB.7";#N/A,#N/A,FALSE,"JB.8";#N/A,#N/A,FALSE,"JB.9";#N/A,#N/A,FALSE,"JB.10";#N/A,#N/A,FALSE,"JC.1";#N/A,#N/A,FALSE,"JC.2";#N/A,#N/A,FALSE,"JC.3";#N/A,#N/A,FALSE,"JC.4";#N/A,#N/A,FALSE,"JC.5";#N/A,#N/A,FALSE,"JC.6";#N/A,#N/A,FALSE,"JC.7";#N/A,#N/A,FALSE,"JC.8";#N/A,#N/A,FALSE,"JC.9";#N/A,#N/A,FALSE,"JC.10";#N/A,#N/A,FALSE,"JD.1";#N/A,#N/A,FALSE,"JD.2";#N/A,#N/A,FALSE,"JD.3";#N/A,#N/A,FALSE,"JD.4";#N/A,#N/A,FALSE,"JD.5";#N/A,#N/A,FALSE,"JD.6";#N/A,#N/A,FALSE,"JD.7";#N/A,#N/A,FALSE,"JD.8";#N/A,#N/A,FALSE,"JD.9";#N/A,#N/A,FALSE,"JD.10"}</definedName>
    <definedName name="dummy37" hidden="1">{#N/A,#N/A,FALSE,"JA.1";#N/A,#N/A,FALSE,"JA.2";#N/A,#N/A,FALSE,"JA.3";#N/A,#N/A,FALSE,"JA.4";#N/A,#N/A,FALSE,"JA.5";#N/A,#N/A,FALSE,"JA.6";#N/A,#N/A,FALSE,"JA.7";#N/A,#N/A,FALSE,"JA.8";#N/A,#N/A,FALSE,"JA.9";#N/A,#N/A,FALSE,"JA.10";#N/A,#N/A,FALSE,"JB.1";#N/A,#N/A,FALSE,"JB.2";#N/A,#N/A,FALSE,"JB.3";#N/A,#N/A,FALSE,"JB.4";#N/A,#N/A,FALSE,"JB.5";#N/A,#N/A,FALSE,"JB.6";#N/A,#N/A,FALSE,"JB.7";#N/A,#N/A,FALSE,"JB.8";#N/A,#N/A,FALSE,"JB.9";#N/A,#N/A,FALSE,"JB.10";#N/A,#N/A,FALSE,"JC.1";#N/A,#N/A,FALSE,"JC.2";#N/A,#N/A,FALSE,"JC.3";#N/A,#N/A,FALSE,"JC.4";#N/A,#N/A,FALSE,"JC.5";#N/A,#N/A,FALSE,"JC.6";#N/A,#N/A,FALSE,"JC.7";#N/A,#N/A,FALSE,"JC.8";#N/A,#N/A,FALSE,"JC.9";#N/A,#N/A,FALSE,"JC.10";#N/A,#N/A,FALSE,"JD.1";#N/A,#N/A,FALSE,"JD.2";#N/A,#N/A,FALSE,"JD.3";#N/A,#N/A,FALSE,"JD.4";#N/A,#N/A,FALSE,"JD.5";#N/A,#N/A,FALSE,"JD.6";#N/A,#N/A,FALSE,"JD.7";#N/A,#N/A,FALSE,"JD.8";#N/A,#N/A,FALSE,"JD.9";#N/A,#N/A,FALSE,"JD.10"}</definedName>
    <definedName name="dummy38" localSheetId="8" hidden="1">{#N/A,#N/A,FALSE,"KA.1";#N/A,#N/A,FALSE,"KA.2";#N/A,#N/A,FALSE,"KB.1";#N/A,#N/A,FALSE,"KB.2";#N/A,#N/A,FALSE,"KC.1";#N/A,#N/A,FALSE,"KC.2";#N/A,#N/A,FALSE,"KD.1";#N/A,#N/A,FALSE,"KD.2"}</definedName>
    <definedName name="dummy38" hidden="1">{#N/A,#N/A,FALSE,"KA.1";#N/A,#N/A,FALSE,"KA.2";#N/A,#N/A,FALSE,"KB.1";#N/A,#N/A,FALSE,"KB.2";#N/A,#N/A,FALSE,"KC.1";#N/A,#N/A,FALSE,"KC.2";#N/A,#N/A,FALSE,"KD.1";#N/A,#N/A,FALSE,"KD.2"}</definedName>
    <definedName name="duplicate123A" hidden="1">#REF!</definedName>
    <definedName name="DVDV" localSheetId="8" hidden="1">{"PARTE1",#N/A,FALSE,"Plan1"}</definedName>
    <definedName name="DVDV" hidden="1">{"PARTE1",#N/A,FALSE,"Plan1"}</definedName>
    <definedName name="DVDVVD" localSheetId="8" hidden="1">{TRUE,TRUE,-1.25,-15.5,484.5,278.25,FALSE,FALSE,TRUE,FALSE,0,1,#N/A,452,#N/A,5.92592592592593,22.5714285714286,1,FALSE,FALSE,3,TRUE,1,FALSE,100,"Swvu.ACC.","ACwvu.ACC.",#N/A,FALSE,FALSE,0,0,0,0,2,"","",FALSE,FALSE,FALSE,FALSE,1,90,#N/A,#N/A,"=R1C1:R650C11",FALSE,#N/A,#N/A,FALSE,FALSE,FALSE,1,65532,65532,FALSE,FALSE,TRUE,TRUE,TRUE}</definedName>
    <definedName name="DVDVVD" hidden="1">{TRUE,TRUE,-1.25,-15.5,484.5,278.25,FALSE,FALSE,TRUE,FALSE,0,1,#N/A,452,#N/A,5.92592592592593,22.5714285714286,1,FALSE,FALSE,3,TRUE,1,FALSE,100,"Swvu.ACC.","ACwvu.ACC.",#N/A,FALSE,FALSE,0,0,0,0,2,"","",FALSE,FALSE,FALSE,FALSE,1,90,#N/A,#N/A,"=R1C1:R650C11",FALSE,#N/A,#N/A,FALSE,FALSE,FALSE,1,65532,65532,FALSE,FALSE,TRUE,TRUE,TRUE}</definedName>
    <definedName name="DVF" hidden="1">#REF!</definedName>
    <definedName name="dwdw" localSheetId="8" hidden="1">{"Res_010",#N/A,FALSE,"Res_010";"sum1",#N/A,FALSE,"Res_010"}</definedName>
    <definedName name="dwdw" hidden="1">{"Res_010",#N/A,FALSE,"Res_010";"sum1",#N/A,FALSE,"Res_010"}</definedName>
    <definedName name="dwx" localSheetId="8" hidden="1">{"Comp_of_Price_Effect",#N/A,FALSE,"QTRDPVAR"}</definedName>
    <definedName name="dwx" hidden="1">{"Comp_of_Price_Effect",#N/A,FALSE,"QTRDPVAR"}</definedName>
    <definedName name="dx" localSheetId="8" hidden="1">{"Month Summary",#N/A,FALSE,"Summary";"Total Details",#N/A,FALSE,"Current Yr";"Polymers Details",#N/A,FALSE,"Current Yr";"Performance Details",#N/A,FALSE,"Current Yr";"ICD Details",#N/A,FALSE,"Current Yr"}</definedName>
    <definedName name="dx" hidden="1">{"Month Summary",#N/A,FALSE,"Summary";"Total Details",#N/A,FALSE,"Current Yr";"Polymers Details",#N/A,FALSE,"Current Yr";"Performance Details",#N/A,FALSE,"Current Yr";"ICD Details",#N/A,FALSE,"Current Yr"}</definedName>
    <definedName name="dytedj" localSheetId="8" hidden="1">{"fssum01",#N/A,FALSE,"fssum";"fssum02",#N/A,FALSE,"fssum"}</definedName>
    <definedName name="dytedj" hidden="1">{"fssum01",#N/A,FALSE,"fssum";"fssum02",#N/A,FALSE,"fssum"}</definedName>
    <definedName name="dytedj_1" localSheetId="8" hidden="1">{"fssum01",#N/A,FALSE,"fssum";"fssum02",#N/A,FALSE,"fssum"}</definedName>
    <definedName name="dytedj_1" hidden="1">{"fssum01",#N/A,FALSE,"fssum";"fssum02",#N/A,FALSE,"fssum"}</definedName>
    <definedName name="dyugs" localSheetId="8" hidden="1">{#N/A,#N/A,FALSE,"Aging Summary";#N/A,#N/A,FALSE,"Ratio Analysis";#N/A,#N/A,FALSE,"Test 120 Day Accts";#N/A,#N/A,FALSE,"Tickmarks"}</definedName>
    <definedName name="dyugs" hidden="1">{#N/A,#N/A,FALSE,"Aging Summary";#N/A,#N/A,FALSE,"Ratio Analysis";#N/A,#N/A,FALSE,"Test 120 Day Accts";#N/A,#N/A,FALSE,"Tickmarks"}</definedName>
    <definedName name="DZ.DropZone" hidden="1">#REF!</definedName>
    <definedName name="DZ.DropZoneIS" hidden="1">#REF!</definedName>
    <definedName name="DZ.IndSpec_Left" hidden="1">#REF!</definedName>
    <definedName name="DZ.IndSpec_Right" hidden="1">#REF!</definedName>
    <definedName name="DZ.LTM" hidden="1">#REF!</definedName>
    <definedName name="dz.LTMDate" hidden="1">#REF!</definedName>
    <definedName name="DZ.LTMPlus" hidden="1">#REF!</definedName>
    <definedName name="DZ.Main" hidden="1">#REF!</definedName>
    <definedName name="dzd" hidden="1">#REF!</definedName>
    <definedName name="e" localSheetId="7" hidden="1">{#N/A,#N/A,FALSE,"Aging Summary";#N/A,#N/A,FALSE,"Ratio Analysis";#N/A,#N/A,FALSE,"Test 120 Day Accts";#N/A,#N/A,FALSE,"Tickmarks"}</definedName>
    <definedName name="e" localSheetId="8" hidden="1">{#N/A,#N/A,TRUE,"Header";#N/A,#N/A,TRUE,"Total";#N/A,#N/A,TRUE,"Core";#N/A,#N/A,TRUE,"New";#N/A,#N/A,TRUE,"Core Units Rev";#N/A,#N/A,TRUE,"Core Units GM";#N/A,#N/A,TRUE,"Core Units GM%";#N/A,#N/A,TRUE,"Core Units SGA";#N/A,#N/A,TRUE,"Core Units EBIT";#N/A,#N/A,TRUE,"New Units Rev";#N/A,#N/A,TRUE,"New Units GM";#N/A,#N/A,TRUE,"New Units GM%";#N/A,#N/A,TRUE,"New Units SGA";#N/A,#N/A,TRUE,"New Units EBIT";#N/A,#N/A,TRUE,"Summary";#N/A,#N/A,TRUE,"Summary (2)";#N/A,#N/A,TRUE,"Var to last mth";#N/A,#N/A,TRUE,"Revenue";#N/A,#N/A,TRUE,"COS";#N/A,#N/A,TRUE,"Gross Margin";#N/A,#N/A,TRUE,"SG&amp;A";#N/A,#N/A,TRUE,"EBITDA";#N/A,#N/A,TRUE,"Depn&amp;Amort";#N/A,#N/A,TRUE,"EBIT";#N/A,#N/A,TRUE,"Contingency"}</definedName>
    <definedName name="e" hidden="1">{#N/A,#N/A,FALSE,"Pliego";#N/A,#N/A,FALSE,"Coeficientes";#N/A,#N/A,FALSE,"Cond. Diseño";#N/A,#N/A,FALSE,"Reactor Cullera";#N/A,#N/A,FALSE,"Tres fases";#N/A,#N/A,FALSE,"Dos fases";#N/A,#N/A,FALSE,"Resumen";#N/A,#N/A,FALSE,"Fosforo";#N/A,#N/A,FALSE,"Recirculacion";#N/A,#N/A,FALSE,"Exceso fango";#N/A,#N/A,FALSE,"Decantador";#N/A,#N/A,FALSE,"Desinfeccion";#N/A,#N/A,FALSE,"Recir. int."}</definedName>
    <definedName name="é" hidden="1">#REF!</definedName>
    <definedName name="e_1" localSheetId="8" hidden="1">{#N/A,#N/A,FALSE,"BANNERS";#N/A,#N/A,FALSE,"Market";#N/A,#N/A,FALSE,"# of POP MAN";#N/A,#N/A,FALSE,"Penet Input";#N/A,#N/A,FALSE,"Tel Rev";#N/A,#N/A,FALSE,"Invest";#N/A,#N/A,FALSE,"Op Cost1";#N/A,#N/A,FALSE,"Op Cost2";#N/A,#N/A,FALSE,"Oth_&amp;_Tot_Revenues";#N/A,#N/A,FALSE,"Fin Mod";#N/A,#N/A,FALSE,"P&amp;E Burocrat";#N/A,#N/A,FALSE,"cash flow"}</definedName>
    <definedName name="e_1" hidden="1">{#N/A,#N/A,FALSE,"BANNERS";#N/A,#N/A,FALSE,"Market";#N/A,#N/A,FALSE,"# of POP MAN";#N/A,#N/A,FALSE,"Penet Input";#N/A,#N/A,FALSE,"Tel Rev";#N/A,#N/A,FALSE,"Invest";#N/A,#N/A,FALSE,"Op Cost1";#N/A,#N/A,FALSE,"Op Cost2";#N/A,#N/A,FALSE,"Oth_&amp;_Tot_Revenues";#N/A,#N/A,FALSE,"Fin Mod";#N/A,#N/A,FALSE,"P&amp;E Burocrat";#N/A,#N/A,FALSE,"cash flow"}</definedName>
    <definedName name="E2011BudgetCTGeconsolideerd" hidden="1">"DB01;030;nsch;1"</definedName>
    <definedName name="e4rt34" localSheetId="8" hidden="1">{"Balance Sheet",#N/A,FALSE,"USA Consolidation";"Cash Flows",#N/A,FALSE,"USA Consolidation"}</definedName>
    <definedName name="e4rt34" hidden="1">{"Balance Sheet",#N/A,FALSE,"USA Consolidation";"Cash Flows",#N/A,FALSE,"USA Consolidation"}</definedName>
    <definedName name="ea" localSheetId="8" hidden="1">{#N/A,#N/A,TRUE,"Forecast &amp; Analysis";#N/A,#N/A,TRUE,"Market Values";#N/A,#N/A,TRUE,"Ratios";#N/A,#N/A,TRUE,"Regressions";#N/A,#N/A,TRUE,"Market Values";#N/A,#N/A,TRUE,"Parameters &amp; Results"}</definedName>
    <definedName name="ea" hidden="1">{#N/A,#N/A,TRUE,"Forecast &amp; Analysis";#N/A,#N/A,TRUE,"Market Values";#N/A,#N/A,TRUE,"Ratios";#N/A,#N/A,TRUE,"Regressions";#N/A,#N/A,TRUE,"Market Values";#N/A,#N/A,TRUE,"Parameters &amp; Results"}</definedName>
    <definedName name="ea_1" localSheetId="8" hidden="1">{#N/A,#N/A,TRUE,"Forecast &amp; Analysis";#N/A,#N/A,TRUE,"Market Values";#N/A,#N/A,TRUE,"Ratios";#N/A,#N/A,TRUE,"Regressions";#N/A,#N/A,TRUE,"Market Values";#N/A,#N/A,TRUE,"Parameters &amp; Results"}</definedName>
    <definedName name="ea_1" hidden="1">{#N/A,#N/A,TRUE,"Forecast &amp; Analysis";#N/A,#N/A,TRUE,"Market Values";#N/A,#N/A,TRUE,"Ratios";#N/A,#N/A,TRUE,"Regressions";#N/A,#N/A,TRUE,"Market Values";#N/A,#N/A,TRUE,"Parameters &amp; Results"}</definedName>
    <definedName name="eaga" localSheetId="8" hidden="1">{"up stand alones",#N/A,FALSE,"Acquiror"}</definedName>
    <definedName name="eaga" hidden="1">{"up stand alones",#N/A,FALSE,"Acquiror"}</definedName>
    <definedName name="eaga_1" localSheetId="8" hidden="1">{"up stand alones",#N/A,FALSE,"Acquiror"}</definedName>
    <definedName name="eaga_1" hidden="1">{"up stand alones",#N/A,FALSE,"Acquiror"}</definedName>
    <definedName name="EAHYTHJWDRHYEJ" hidden="1">4</definedName>
    <definedName name="eakb" localSheetId="8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eak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eakjnb" localSheetId="8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eakjn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Early_life" hidden="1">"G:\USERS\NDJ5J2\CS South QPB 2000-01\BHAG Initiatives\actper.htm"</definedName>
    <definedName name="earvb" localSheetId="8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earv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eaur" localSheetId="8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eaur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eawrtwerzrtzt" localSheetId="8" hidden="1">{#N/A,#N/A,FALSE,"USCSS ROLLUP";#N/A,#N/A,FALSE,"USCS";#N/A,#N/A,FALSE,"TARGET";#N/A,#N/A,FALSE,"MICROSOFT";#N/A,#N/A,FALSE,"AT&amp;T";#N/A,#N/A,FALSE,"ALT CHANNELS";#N/A,#N/A,FALSE,"USCS HQ"}</definedName>
    <definedName name="eawrtwerzrtzt" hidden="1">{#N/A,#N/A,FALSE,"USCSS ROLLUP";#N/A,#N/A,FALSE,"USCS";#N/A,#N/A,FALSE,"TARGET";#N/A,#N/A,FALSE,"MICROSOFT";#N/A,#N/A,FALSE,"AT&amp;T";#N/A,#N/A,FALSE,"ALT CHANNELS";#N/A,#N/A,FALSE,"USCS HQ"}</definedName>
    <definedName name="Ebitda" hidden="1">{#N/A,#N/A,FALSE,"GRAFICO";#N/A,#N/A,FALSE,"CAJA (2)";#N/A,#N/A,FALSE,"TERCEROS-PROMEDIO";#N/A,#N/A,FALSE,"CAJA";#N/A,#N/A,FALSE,"INGRESOS1995-2003";#N/A,#N/A,FALSE,"GASTOS1995-2003"}</definedName>
    <definedName name="EBITDA_x_negocios_mensual" hidden="1">#REF!</definedName>
    <definedName name="ed" localSheetId="8" hidden="1">{"vol data",#N/A,FALSE,"Datasheet";"vol graph",#N/A,FALSE,"Volume";"price data",#N/A,FALSE,"Datasheet";"price graph",#N/A,FALSE,"Price";"dp data",#N/A,FALSE,"Datasheet";"dp graph",#N/A,FALSE,"DirectProfit"}</definedName>
    <definedName name="ed" hidden="1">{"vol data",#N/A,FALSE,"Datasheet";"vol graph",#N/A,FALSE,"Volume";"price data",#N/A,FALSE,"Datasheet";"price graph",#N/A,FALSE,"Price";"dp data",#N/A,FALSE,"Datasheet";"dp graph",#N/A,FALSE,"DirectProfit"}</definedName>
    <definedName name="ed_1" localSheetId="8" hidden="1">{#N/A,#N/A,FALSE,"Aging Summary";#N/A,#N/A,FALSE,"Ratio Analysis";#N/A,#N/A,FALSE,"Test 120 Day Accts";#N/A,#N/A,FALSE,"Tickmarks"}</definedName>
    <definedName name="ed_1" hidden="1">{#N/A,#N/A,FALSE,"Aging Summary";#N/A,#N/A,FALSE,"Ratio Analysis";#N/A,#N/A,FALSE,"Test 120 Day Accts";#N/A,#N/A,FALSE,"Tickmarks"}</definedName>
    <definedName name="ed5dyx" localSheetId="8" hidden="1">{#N/A,#N/A,FALSE,"CBE";#N/A,#N/A,FALSE,"SWK"}</definedName>
    <definedName name="ed5dyx" hidden="1">{#N/A,#N/A,FALSE,"CBE";#N/A,#N/A,FALSE,"SWK"}</definedName>
    <definedName name="edcdedc" localSheetId="8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edcdedc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edcdeed" localSheetId="8" hidden="1">{#N/A,#N/A,FALSE,"Adm comp";#N/A,#N/A,FALSE,"Adm ajust";"adm",#N/A,FALSE,"Administration";#N/A,#N/A,FALSE,"Adm Bgt 97 vs Prév. 96";#N/A,#N/A,FALSE,"Adm Bgt 97 vs 96"}</definedName>
    <definedName name="edcdeed" hidden="1">{#N/A,#N/A,FALSE,"Adm comp";#N/A,#N/A,FALSE,"Adm ajust";"adm",#N/A,FALSE,"Administration";#N/A,#N/A,FALSE,"Adm Bgt 97 vs Prév. 96";#N/A,#N/A,FALSE,"Adm Bgt 97 vs 96"}</definedName>
    <definedName name="EDCS" localSheetId="8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EDCS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ede" hidden="1">#REF!</definedName>
    <definedName name="edfd" localSheetId="8" hidden="1">{"common",#N/A,TRUE,"Common Input";"Sum Res_010",#N/A,TRUE,"Res_010";"Sum Res_011",#N/A,TRUE,"Res_011";"Sum Res_012",#N/A,TRUE,"Res_012";"Sum Res_013",#N/A,TRUE,"Res_013"}</definedName>
    <definedName name="edfd" hidden="1">{"common",#N/A,TRUE,"Common Input";"Sum Res_010",#N/A,TRUE,"Res_010";"Sum Res_011",#N/A,TRUE,"Res_011";"Sum Res_012",#N/A,TRUE,"Res_012";"Sum Res_013",#N/A,TRUE,"Res_013"}</definedName>
    <definedName name="edgar" hidden="1">#REF!</definedName>
    <definedName name="Editable" hidden="1">#REF!,#REF!,#REF!,#REF!</definedName>
    <definedName name="edl" localSheetId="8" hidden="1">{"assumption 50 50",#N/A,TRUE,"Merger";"has gets cash",#N/A,TRUE,"Merger";"accretion dilution",#N/A,TRUE,"Merger";"comparison credit stats",#N/A,TRUE,"Merger";"pf credit stats",#N/A,TRUE,"Merger";"pf sheets",#N/A,TRUE,"Merger"}</definedName>
    <definedName name="edl" hidden="1">{"assumption 50 50",#N/A,TRUE,"Merger";"has gets cash",#N/A,TRUE,"Merger";"accretion dilution",#N/A,TRUE,"Merger";"comparison credit stats",#N/A,TRUE,"Merger";"pf credit stats",#N/A,TRUE,"Merger";"pf sheets",#N/A,TRUE,"Merger"}</definedName>
    <definedName name="edl_1" localSheetId="8" hidden="1">{"assumption 50 50",#N/A,TRUE,"Merger";"has gets cash",#N/A,TRUE,"Merger";"accretion dilution",#N/A,TRUE,"Merger";"comparison credit stats",#N/A,TRUE,"Merger";"pf credit stats",#N/A,TRUE,"Merger";"pf sheets",#N/A,TRUE,"Merger"}</definedName>
    <definedName name="edl_1" hidden="1">{"assumption 50 50",#N/A,TRUE,"Merger";"has gets cash",#N/A,TRUE,"Merger";"accretion dilution",#N/A,TRUE,"Merger";"comparison credit stats",#N/A,TRUE,"Merger";"pf credit stats",#N/A,TRUE,"Merger";"pf sheets",#N/A,TRUE,"Merger"}</definedName>
    <definedName name="edp" localSheetId="8" hidden="1">{"assumption 50 50",#N/A,TRUE,"Merger";"has gets cash",#N/A,TRUE,"Merger";"accretion dilution",#N/A,TRUE,"Merger";"comparison credit stats",#N/A,TRUE,"Merger";"pf credit stats",#N/A,TRUE,"Merger";"pf sheets",#N/A,TRUE,"Merger"}</definedName>
    <definedName name="edp" hidden="1">{"assumption 50 50",#N/A,TRUE,"Merger";"has gets cash",#N/A,TRUE,"Merger";"accretion dilution",#N/A,TRUE,"Merger";"comparison credit stats",#N/A,TRUE,"Merger";"pf credit stats",#N/A,TRUE,"Merger";"pf sheets",#N/A,TRUE,"Merger"}</definedName>
    <definedName name="edp_1" localSheetId="8" hidden="1">{"assumption 50 50",#N/A,TRUE,"Merger";"has gets cash",#N/A,TRUE,"Merger";"accretion dilution",#N/A,TRUE,"Merger";"comparison credit stats",#N/A,TRUE,"Merger";"pf credit stats",#N/A,TRUE,"Merger";"pf sheets",#N/A,TRUE,"Merger"}</definedName>
    <definedName name="edp_1" hidden="1">{"assumption 50 50",#N/A,TRUE,"Merger";"has gets cash",#N/A,TRUE,"Merger";"accretion dilution",#N/A,TRUE,"Merger";"comparison credit stats",#N/A,TRUE,"Merger";"pf credit stats",#N/A,TRUE,"Merger";"pf sheets",#N/A,TRUE,"Merger"}</definedName>
    <definedName name="edqq" localSheetId="8" hidden="1">{#N/A,#N/A,FALSE,"Assessment";#N/A,#N/A,FALSE,"Staffing";#N/A,#N/A,FALSE,"Hires";#N/A,#N/A,FALSE,"Assumptions"}</definedName>
    <definedName name="edqq" hidden="1">{#N/A,#N/A,FALSE,"Assessment";#N/A,#N/A,FALSE,"Staffing";#N/A,#N/A,FALSE,"Hires";#N/A,#N/A,FALSE,"Assumptions"}</definedName>
    <definedName name="edr" localSheetId="8" hidden="1">{"Monthly6Q",#N/A,FALSE,"0614ESL"}</definedName>
    <definedName name="edr" hidden="1">{"Monthly6Q",#N/A,FALSE,"0614ESL"}</definedName>
    <definedName name="EDUSW" localSheetId="8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EDUSW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ee" localSheetId="7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ee" localSheetId="8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ee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ee_1" localSheetId="8" hidden="1">{#N/A,#N/A,FALSE,"P&amp;L-BS-CF"}</definedName>
    <definedName name="ee_1" hidden="1">{#N/A,#N/A,FALSE,"P&amp;L-BS-CF"}</definedName>
    <definedName name="eedd" localSheetId="8" hidden="1">{#N/A,#N/A,TRUE,"BD 97";#N/A,#N/A,TRUE,"IR E CS 1997";#N/A,#N/A,TRUE,"CONTINGÊNCIAS";#N/A,#N/A,TRUE,"AD_EX_97";#N/A,#N/A,TRUE,"PR ND";#N/A,#N/A,TRUE,"8191";#N/A,#N/A,TRUE,"8383";#N/A,#N/A,TRUE,"MP 1024"}</definedName>
    <definedName name="eedd" hidden="1">{#N/A,#N/A,TRUE,"BD 97";#N/A,#N/A,TRUE,"IR E CS 1997";#N/A,#N/A,TRUE,"CONTINGÊNCIAS";#N/A,#N/A,TRUE,"AD_EX_97";#N/A,#N/A,TRUE,"PR ND";#N/A,#N/A,TRUE,"8191";#N/A,#N/A,TRUE,"8383";#N/A,#N/A,TRUE,"MP 1024"}</definedName>
    <definedName name="eee" localSheetId="7" hidden="1">{#N/A,#N/A,FALSE,"Aging Summary";#N/A,#N/A,FALSE,"Ratio Analysis";#N/A,#N/A,FALSE,"Test 120 Day Accts";#N/A,#N/A,FALSE,"Tickmarks"}</definedName>
    <definedName name="eee" localSheetId="8" hidden="1">{#N/A,#N/A,FALSE,"Aging Summary";#N/A,#N/A,FALSE,"Ratio Analysis";#N/A,#N/A,FALSE,"Test 120 Day Accts";#N/A,#N/A,FALSE,"Tickmarks"}</definedName>
    <definedName name="EEE" hidden="1">{#N/A,#N/A,FALSE,"Pliego";#N/A,#N/A,FALSE,"Coeficientes";#N/A,#N/A,FALSE,"Cond. Diseño";#N/A,#N/A,FALSE,"Reactor Cullera";#N/A,#N/A,FALSE,"Tres fases";#N/A,#N/A,FALSE,"Dos fases";#N/A,#N/A,FALSE,"Resumen";#N/A,#N/A,FALSE,"Fosforo";#N/A,#N/A,FALSE,"Recirculacion";#N/A,#N/A,FALSE,"Exceso fango";#N/A,#N/A,FALSE,"Decantador";#N/A,#N/A,FALSE,"Desinfeccion";#N/A,#N/A,FALSE,"Recir. int."}</definedName>
    <definedName name="eee.lll" localSheetId="8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eee.lll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eee_1" localSheetId="8" hidden="1">{"fssum01",#N/A,FALSE,"fssum";"fssum02",#N/A,FALSE,"fssum"}</definedName>
    <definedName name="eee_1" hidden="1">{"fssum01",#N/A,FALSE,"fssum";"fssum02",#N/A,FALSE,"fssum"}</definedName>
    <definedName name="eeee" localSheetId="8" hidden="1">{"YD LAPO2",#N/A,FALSE,"YTD"}</definedName>
    <definedName name="eeee" hidden="1">{"YD LAPO2",#N/A,FALSE,"YTD"}</definedName>
    <definedName name="eeee_1" localSheetId="8" hidden="1">{"Cost_Centre_Summary",#N/A,FALSE,"Cost Centre Summary";#N/A,#N/A,FALSE,"Forecast 2000"}</definedName>
    <definedName name="eeee_1" hidden="1">{"Cost_Centre_Summary",#N/A,FALSE,"Cost Centre Summary";#N/A,#N/A,FALSE,"Forecast 2000"}</definedName>
    <definedName name="eeeee" localSheetId="7" hidden="1">{#N/A,#N/A,FALSE,"Pharm";#N/A,#N/A,FALSE,"WWCM"}</definedName>
    <definedName name="eeeee" localSheetId="8" hidden="1">{"budget992000 tariff and usage",#N/A,FALSE,"Celtel alternative 6"}</definedName>
    <definedName name="eeeee" hidden="1">{#N/A,#N/A,FALSE,"Pharm";#N/A,#N/A,FALSE,"WWCM"}</definedName>
    <definedName name="eeeeee" localSheetId="8" hidden="1">{"YD OTHER",#N/A,FALSE,"YTD"}</definedName>
    <definedName name="eeeeee" hidden="1">{#N/A,#N/A,FALSE,"Acum Julio - 00"}</definedName>
    <definedName name="eeeeeee" localSheetId="8" hidden="1">{"YD LPH2",#N/A,FALSE,"YTD"}</definedName>
    <definedName name="eeeeeee" hidden="1">#N/A</definedName>
    <definedName name="EEEEEEEE" localSheetId="8" hidden="1">{"LargoAjustes",#N/A,FALSE,"Ajustes";"CortoAjustes",#N/A,FALSE,"Ajustes";"PLAjustes",#N/A,FALSE,"Ajustes"}</definedName>
    <definedName name="EEEEEEEE" hidden="1">{"LargoAjustes",#N/A,FALSE,"Ajustes";"CortoAjustes",#N/A,FALSE,"Ajustes";"PLAjustes",#N/A,FALSE,"Ajustes"}</definedName>
    <definedName name="EEEEEEEE_1" localSheetId="8" hidden="1">{"LargoAjustes",#N/A,FALSE,"Ajustes";"CortoAjustes",#N/A,FALSE,"Ajustes";"PLAjustes",#N/A,FALSE,"Ajustes"}</definedName>
    <definedName name="EEEEEEEE_1" hidden="1">{"LargoAjustes",#N/A,FALSE,"Ajustes";"CortoAjustes",#N/A,FALSE,"Ajustes";"PLAjustes",#N/A,FALSE,"Ajustes"}</definedName>
    <definedName name="eeeeeeeee" localSheetId="8" hidden="1">{"Pa1",#N/A,FALSE,"OpExYTDvsPY";"Pa2",#N/A,FALSE,"OpExYTDvsPY"}</definedName>
    <definedName name="eeeeeeeee" hidden="1">{"Pa1",#N/A,FALSE,"OpExYTDvsPY";"Pa2",#N/A,FALSE,"OpExYTDvsPY"}</definedName>
    <definedName name="eeeeeeeeee" localSheetId="8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eeeeeeeeee" hidden="1">{#N/A,#N/A,FALSE,"Acum Julio - 00"}</definedName>
    <definedName name="eeeeeeeeeee" localSheetId="8" hidden="1">{#N/A,"PURCHM",FALSE,"Business Analysis";#N/A,"SPADD",FALSE,"Business Analysis"}</definedName>
    <definedName name="eeeeeeeeeee" hidden="1">{#N/A,"PURCHM",FALSE,"Business Analysis";#N/A,"SPADD",FALSE,"Business Analysis"}</definedName>
    <definedName name="eeeeeeeeeeee" localSheetId="8" hidden="1">{"pro_view",#N/A,FALSE,"EEFSNAP2";"rep_view",#N/A,FALSE,"EEFSNAP2"}</definedName>
    <definedName name="eeeeeeeeeeee" hidden="1">{"pro_view",#N/A,FALSE,"EEFSNAP2";"rep_view",#N/A,FALSE,"EEFSNAP2"}</definedName>
    <definedName name="EEEEEEEEEEEEE" localSheetId="8" hidden="1">{"LargoAgreg",#N/A,FALSE,"Agregado";"CortoAgreg",#N/A,FALSE,"Agregado";"PLAgreg",#N/A,FALSE,"Agregado"}</definedName>
    <definedName name="EEEEEEEEEEEEE" hidden="1">{"LargoAgreg",#N/A,FALSE,"Agregado";"CortoAgreg",#N/A,FALSE,"Agregado";"PLAgreg",#N/A,FALSE,"Agregado"}</definedName>
    <definedName name="EEEEEEEEEEEEE_1" localSheetId="8" hidden="1">{"LargoAgreg",#N/A,FALSE,"Agregado";"CortoAgreg",#N/A,FALSE,"Agregado";"PLAgreg",#N/A,FALSE,"Agregado"}</definedName>
    <definedName name="EEEEEEEEEEEEE_1" hidden="1">{"LargoAgreg",#N/A,FALSE,"Agregado";"CortoAgreg",#N/A,FALSE,"Agregado";"PLAgreg",#N/A,FALSE,"Agregado"}</definedName>
    <definedName name="eeeeeeeeeeeeee" hidden="1">{#N/A,#N/A,FALSE,"Acum Julio - 00"}</definedName>
    <definedName name="eeeeeeeeeeeeeee" localSheetId="8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eeeeeeeeeeeeeee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EEEEEEEEEEEEEEEEEEEEEE" localSheetId="8" hidden="1">{"Largo",#N/A,FALSE,"FSMILES (1)";"Corto",#N/A,FALSE,"FSMILES (1)";"PL",#N/A,FALSE,"FSMILES (1)"}</definedName>
    <definedName name="EEEEEEEEEEEEEEEEEEEEEE" hidden="1">{"Largo",#N/A,FALSE,"FSMILES (1)";"Corto",#N/A,FALSE,"FSMILES (1)";"PL",#N/A,FALSE,"FSMILES (1)"}</definedName>
    <definedName name="EEEEEEEEEEEEEEEEEEEEEE_1" localSheetId="8" hidden="1">{"Largo",#N/A,FALSE,"FSMILES (1)";"Corto",#N/A,FALSE,"FSMILES (1)";"PL",#N/A,FALSE,"FSMILES (1)"}</definedName>
    <definedName name="EEEEEEEEEEEEEEEEEEEEEE_1" hidden="1">{"Largo",#N/A,FALSE,"FSMILES (1)";"Corto",#N/A,FALSE,"FSMILES (1)";"PL",#N/A,FALSE,"FSMILES (1)"}</definedName>
    <definedName name="eer" localSheetId="7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eer" localSheetId="8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eer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eer_1" localSheetId="7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eer_1" localSheetId="8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eer_1" hidden="1">{#N/A,#N/A,FALSE,"Hoja1";#N/A,#N/A,FALSE,"Hoja2"}</definedName>
    <definedName name="eerr" hidden="1">{"Alle Perioden",#N/A,FALSE,"Erf";"Alle Perioden",#N/A,FALSE,"Ang";"Alle Perioden",#N/A,FALSE,"BV";"Alle Perioden",#N/A,FALSE,"BE";"Alle Perioden",#N/A,FALSE,"Re";"Alle Perioden",#N/A,FALSE,"Vol"}</definedName>
    <definedName name="eerr1" hidden="1">{"Alle Perioden",#N/A,FALSE,"Erf";"Alle Perioden",#N/A,FALSE,"Ang";"Alle Perioden",#N/A,FALSE,"BV";"Alle Perioden",#N/A,FALSE,"BE";"Alle Perioden",#N/A,FALSE,"Re";"Alle Perioden",#N/A,FALSE,"Vol"}</definedName>
    <definedName name="eert" localSheetId="8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eert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EERYREYREYERY" localSheetId="8" hidden="1">{"up stand alones",#N/A,FALSE,"Acquiror"}</definedName>
    <definedName name="EERYREYREYERY" hidden="1">{"up stand alones",#N/A,FALSE,"Acquiror"}</definedName>
    <definedName name="EERYREYREYERY_1" localSheetId="8" hidden="1">{"up stand alones",#N/A,FALSE,"Acquiror"}</definedName>
    <definedName name="EERYREYREYERY_1" hidden="1">{"up stand alones",#N/A,FALSE,"Acquiror"}</definedName>
    <definedName name="efa" localSheetId="8" hidden="1">{"werbung",#N/A,FALSE,"GuV9900-0399";"betrieb",#N/A,FALSE,"GuV9900-0399";"personal",#N/A,FALSE,"GuV9900-0399";"tvg",#N/A,FALSE,"GuV9900-0399";"verwaltung",#N/A,FALSE,"GuV9900-0399"}</definedName>
    <definedName name="efa" hidden="1">{"werbung",#N/A,FALSE,"GuV9900-0399";"betrieb",#N/A,FALSE,"GuV9900-0399";"personal",#N/A,FALSE,"GuV9900-0399";"tvg",#N/A,FALSE,"GuV9900-0399";"verwaltung",#N/A,FALSE,"GuV9900-0399"}</definedName>
    <definedName name="efa_1" localSheetId="8" hidden="1">{"werbung",#N/A,FALSE,"GuV9900-0399";"betrieb",#N/A,FALSE,"GuV9900-0399";"personal",#N/A,FALSE,"GuV9900-0399";"tvg",#N/A,FALSE,"GuV9900-0399";"verwaltung",#N/A,FALSE,"GuV9900-0399"}</definedName>
    <definedName name="efa_1" hidden="1">{"werbung",#N/A,FALSE,"GuV9900-0399";"betrieb",#N/A,FALSE,"GuV9900-0399";"personal",#N/A,FALSE,"GuV9900-0399";"tvg",#N/A,FALSE,"GuV9900-0399";"verwaltung",#N/A,FALSE,"GuV9900-0399"}</definedName>
    <definedName name="efaf" localSheetId="8" hidden="1">{"'SIVA Pricing Model'!$A$1:$F$39"}</definedName>
    <definedName name="efaf" hidden="1">{"'SIVA Pricing Model'!$A$1:$F$39"}</definedName>
    <definedName name="efag" localSheetId="8" hidden="1">{"werbung",#N/A,FALSE,"GuV9900-0399";"betrieb",#N/A,FALSE,"GuV9900-0399";"personal",#N/A,FALSE,"GuV9900-0399";"tvg",#N/A,FALSE,"GuV9900-0399";"verwaltung",#N/A,FALSE,"GuV9900-0399"}</definedName>
    <definedName name="efag" hidden="1">{"werbung",#N/A,FALSE,"GuV9900-0399";"betrieb",#N/A,FALSE,"GuV9900-0399";"personal",#N/A,FALSE,"GuV9900-0399";"tvg",#N/A,FALSE,"GuV9900-0399";"verwaltung",#N/A,FALSE,"GuV9900-0399"}</definedName>
    <definedName name="efag_1" localSheetId="8" hidden="1">{"werbung",#N/A,FALSE,"GuV9900-0399";"betrieb",#N/A,FALSE,"GuV9900-0399";"personal",#N/A,FALSE,"GuV9900-0399";"tvg",#N/A,FALSE,"GuV9900-0399";"verwaltung",#N/A,FALSE,"GuV9900-0399"}</definedName>
    <definedName name="efag_1" hidden="1">{"werbung",#N/A,FALSE,"GuV9900-0399";"betrieb",#N/A,FALSE,"GuV9900-0399";"personal",#N/A,FALSE,"GuV9900-0399";"tvg",#N/A,FALSE,"GuV9900-0399";"verwaltung",#N/A,FALSE,"GuV9900-0399"}</definedName>
    <definedName name="efasdf" localSheetId="8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efasdf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efasdf_1" localSheetId="8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efasdf_1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EFFEEF" localSheetId="8" hidden="1">{#N/A,#N/A,FALSE,"Aging Summary";#N/A,#N/A,FALSE,"Ratio Analysis";#N/A,#N/A,FALSE,"Test 120 Day Accts";#N/A,#N/A,FALSE,"Tickmarks"}</definedName>
    <definedName name="EFFEEF" hidden="1">{#N/A,#N/A,FALSE,"Aging Summary";#N/A,#N/A,FALSE,"Ratio Analysis";#N/A,#N/A,FALSE,"Test 120 Day Accts";#N/A,#N/A,FALSE,"Tickmarks"}</definedName>
    <definedName name="EFFIC" localSheetId="8" hidden="1">{#N/A,#N/A,FALSE,"MERCHANT GAS MARGIN";#N/A,#N/A,FALSE,"BULK";#N/A,#N/A,FALSE,"BULK CO2";#N/A,#N/A,FALSE,"ON-SITE";#N/A,#N/A,FALSE,"CYLINDERS"}</definedName>
    <definedName name="EFFIC" hidden="1">{#N/A,#N/A,FALSE,"MERCHANT GAS MARGIN";#N/A,#N/A,FALSE,"BULK";#N/A,#N/A,FALSE,"BULK CO2";#N/A,#N/A,FALSE,"ON-SITE";#N/A,#N/A,FALSE,"CYLINDERS"}</definedName>
    <definedName name="EFFIC_1" localSheetId="8" hidden="1">{#N/A,#N/A,FALSE,"MERCHANT GAS MARGIN";#N/A,#N/A,FALSE,"BULK";#N/A,#N/A,FALSE,"BULK CO2";#N/A,#N/A,FALSE,"ON-SITE";#N/A,#N/A,FALSE,"CYLINDERS"}</definedName>
    <definedName name="EFFIC_1" hidden="1">{#N/A,#N/A,FALSE,"MERCHANT GAS MARGIN";#N/A,#N/A,FALSE,"BULK";#N/A,#N/A,FALSE,"BULK CO2";#N/A,#N/A,FALSE,"ON-SITE";#N/A,#N/A,FALSE,"CYLINDERS"}</definedName>
    <definedName name="efficienc" localSheetId="8" hidden="1">{#N/A,#N/A,FALSE,"MERCHANT GAS MARGIN";#N/A,#N/A,FALSE,"BULK";#N/A,#N/A,FALSE,"BULK CO2";#N/A,#N/A,FALSE,"ON-SITE";#N/A,#N/A,FALSE,"CYLINDERS"}</definedName>
    <definedName name="efficienc" hidden="1">{#N/A,#N/A,FALSE,"MERCHANT GAS MARGIN";#N/A,#N/A,FALSE,"BULK";#N/A,#N/A,FALSE,"BULK CO2";#N/A,#N/A,FALSE,"ON-SITE";#N/A,#N/A,FALSE,"CYLINDERS"}</definedName>
    <definedName name="efficienc_1" localSheetId="8" hidden="1">{#N/A,#N/A,FALSE,"MERCHANT GAS MARGIN";#N/A,#N/A,FALSE,"BULK";#N/A,#N/A,FALSE,"BULK CO2";#N/A,#N/A,FALSE,"ON-SITE";#N/A,#N/A,FALSE,"CYLINDERS"}</definedName>
    <definedName name="efficienc_1" hidden="1">{#N/A,#N/A,FALSE,"MERCHANT GAS MARGIN";#N/A,#N/A,FALSE,"BULK";#N/A,#N/A,FALSE,"BULK CO2";#N/A,#N/A,FALSE,"ON-SITE";#N/A,#N/A,FALSE,"CYLINDERS"}</definedName>
    <definedName name="EFG" localSheetId="8" hidden="1">{"'100'!$A$1:$M$83"}</definedName>
    <definedName name="EFG" hidden="1">{"'100'!$A$1:$M$83"}</definedName>
    <definedName name="efgh" localSheetId="8" hidden="1">{#N/A,#N/A,FALSE,"9709 (2)"}</definedName>
    <definedName name="efgh" hidden="1">{#N/A,#N/A,FALSE,"9709 (2)"}</definedName>
    <definedName name="efs" localSheetId="8" hidden="1">{#N/A,#N/A,FALSE,"INPUTS";#N/A,#N/A,FALSE,"PROFORMA BSHEET";#N/A,#N/A,FALSE,"COMBINED";#N/A,#N/A,FALSE,"ACQUIROR";#N/A,#N/A,FALSE,"TARGET 1";#N/A,#N/A,FALSE,"TARGET 2";#N/A,#N/A,FALSE,"HIGH YIELD";#N/A,#N/A,FALSE,"OVERFUND"}</definedName>
    <definedName name="efs" hidden="1">{#N/A,#N/A,FALSE,"INPUTS";#N/A,#N/A,FALSE,"PROFORMA BSHEET";#N/A,#N/A,FALSE,"COMBINED";#N/A,#N/A,FALSE,"ACQUIROR";#N/A,#N/A,FALSE,"TARGET 1";#N/A,#N/A,FALSE,"TARGET 2";#N/A,#N/A,FALSE,"HIGH YIELD";#N/A,#N/A,FALSE,"OVERFUND"}</definedName>
    <definedName name="efs_1" localSheetId="8" hidden="1">{#N/A,#N/A,FALSE,"INPUTS";#N/A,#N/A,FALSE,"PROFORMA BSHEET";#N/A,#N/A,FALSE,"COMBINED";#N/A,#N/A,FALSE,"ACQUIROR";#N/A,#N/A,FALSE,"TARGET 1";#N/A,#N/A,FALSE,"TARGET 2";#N/A,#N/A,FALSE,"HIGH YIELD";#N/A,#N/A,FALSE,"OVERFUND"}</definedName>
    <definedName name="efs_1" hidden="1">{#N/A,#N/A,FALSE,"INPUTS";#N/A,#N/A,FALSE,"PROFORMA BSHEET";#N/A,#N/A,FALSE,"COMBINED";#N/A,#N/A,FALSE,"ACQUIROR";#N/A,#N/A,FALSE,"TARGET 1";#N/A,#N/A,FALSE,"TARGET 2";#N/A,#N/A,FALSE,"HIGH YIELD";#N/A,#N/A,FALSE,"OVERFUND"}</definedName>
    <definedName name="efsfg" localSheetId="8" hidden="1">{TRUE,TRUE,-2.75,-17,487.5,256.5,FALSE,TRUE,TRUE,TRUE,0,1,35,3,1,1.41666666666667,2.2,4,TRUE,TRUE,3,TRUE,1,FALSE,100,"Swvu.MDC4.","ACwvu.MDC4.",#N/A,FALSE,FALSE,0.62,0.61,1,0.984251969,2,"&amp;LAPRILIA HISPANIA
control de gestion
Margenes de contribucion y facturacion neta mensual 1996
&amp;R&amp;D","&amp;C8",FALSE,FALSE,FALSE,FALSE,1,90,#N/A,#N/A,"=R1C51:R46C55","=C1,R1:R4",#N/A,#N/A,FALSE,FALSE,TRUE,9,300,300,FALSE,FALSE,TRUE,TRUE,TRUE}</definedName>
    <definedName name="efsfg" hidden="1">{TRUE,TRUE,-2.75,-17,487.5,256.5,FALSE,TRUE,TRUE,TRUE,0,1,35,3,1,1.41666666666667,2.2,4,TRUE,TRUE,3,TRUE,1,FALSE,100,"Swvu.MDC4.","ACwvu.MDC4.",#N/A,FALSE,FALSE,0.62,0.61,1,0.984251969,2,"&amp;LAPRILIA HISPANIA
control de gestion
Margenes de contribucion y facturacion neta mensual 1996
&amp;R&amp;D","&amp;C8",FALSE,FALSE,FALSE,FALSE,1,90,#N/A,#N/A,"=R1C51:R46C55","=C1,R1:R4",#N/A,#N/A,FALSE,FALSE,TRUE,9,300,300,FALSE,FALSE,TRUE,TRUE,TRUE}</definedName>
    <definedName name="efsfg_1" localSheetId="8" hidden="1">{TRUE,TRUE,-2.75,-17,487.5,256.5,FALSE,TRUE,TRUE,TRUE,0,1,35,3,1,1.41666666666667,2.2,4,TRUE,TRUE,3,TRUE,1,FALSE,100,"Swvu.MDC4.","ACwvu.MDC4.",#N/A,FALSE,FALSE,0.62,0.61,1,0.984251969,2,"&amp;LAPRILIA HISPANIA
control de gestion
Margenes de contribucion y facturacion neta mensual 1996
&amp;R&amp;D","&amp;C8",FALSE,FALSE,FALSE,FALSE,1,90,#N/A,#N/A,"=R1C51:R46C55","=C1,R1:R4",#N/A,#N/A,FALSE,FALSE,TRUE,9,300,300,FALSE,FALSE,TRUE,TRUE,TRUE}</definedName>
    <definedName name="efsfg_1" hidden="1">{TRUE,TRUE,-2.75,-17,487.5,256.5,FALSE,TRUE,TRUE,TRUE,0,1,35,3,1,1.41666666666667,2.2,4,TRUE,TRUE,3,TRUE,1,FALSE,100,"Swvu.MDC4.","ACwvu.MDC4.",#N/A,FALSE,FALSE,0.62,0.61,1,0.984251969,2,"&amp;LAPRILIA HISPANIA
control de gestion
Margenes de contribucion y facturacion neta mensual 1996
&amp;R&amp;D","&amp;C8",FALSE,FALSE,FALSE,FALSE,1,90,#N/A,#N/A,"=R1C51:R46C55","=C1,R1:R4",#N/A,#N/A,FALSE,FALSE,TRUE,9,300,300,FALSE,FALSE,TRUE,TRUE,TRUE}</definedName>
    <definedName name="efw" localSheetId="8" hidden="1">{#N/A,#N/A,FALSE,"ACQ_GRAPHS";#N/A,#N/A,FALSE,"T_1 GRAPHS";#N/A,#N/A,FALSE,"T_2 GRAPHS";#N/A,#N/A,FALSE,"COMB_GRAPHS"}</definedName>
    <definedName name="efw" hidden="1">{#N/A,#N/A,FALSE,"ACQ_GRAPHS";#N/A,#N/A,FALSE,"T_1 GRAPHS";#N/A,#N/A,FALSE,"T_2 GRAPHS";#N/A,#N/A,FALSE,"COMB_GRAPHS"}</definedName>
    <definedName name="efw_1" localSheetId="8" hidden="1">{#N/A,#N/A,FALSE,"ACQ_GRAPHS";#N/A,#N/A,FALSE,"T_1 GRAPHS";#N/A,#N/A,FALSE,"T_2 GRAPHS";#N/A,#N/A,FALSE,"COMB_GRAPHS"}</definedName>
    <definedName name="efw_1" hidden="1">{#N/A,#N/A,FALSE,"ACQ_GRAPHS";#N/A,#N/A,FALSE,"T_1 GRAPHS";#N/A,#N/A,FALSE,"T_2 GRAPHS";#N/A,#N/A,FALSE,"COMB_GRAPHS"}</definedName>
    <definedName name="efze" hidden="1">#REF!</definedName>
    <definedName name="egerg" localSheetId="8" hidden="1">{#N/A,#N/A,TRUE,"Graficos";#N/A,#N/A,TRUE,"P.Ingresos";#N/A,#N/A,TRUE,"P.Gastos";#N/A,#N/A,TRUE,"I.Trafico";#N/A,#N/A,TRUE,"I.Peajes";#N/A,#N/A,TRUE,"G.Operativos";#N/A,#N/A,TRUE,"Cf Proyecto";#N/A,#N/A,TRUE,"C.PYG";#N/A,#N/A,TRUE,"Balance";#N/A,#N/A,TRUE,"TIR AC";#N/A,#N/A,TRUE,"Ratios";#N/A,#N/A,TRUE,"Amortizacion";#N/A,#N/A,TRUE,"FC fin";#N/A,#N/A,TRUE,"Coeficientes";#N/A,#N/A,TRUE,"Tesoreria";#N/A,#N/A,TRUE,"Prest.inv";#N/A,#N/A,TRUE,"Obligacion";#N/A,#N/A,TRUE,"Impuestos";#N/A,#N/A,TRUE,"Reservas";#N/A,#N/A,TRUE,"Inversion";#N/A,#N/A,TRUE,"P.Inversion";#N/A,#N/A,TRUE,"C.Fl Inv.";#N/A,#N/A,TRUE,"VAN Oferta"}</definedName>
    <definedName name="egerg" hidden="1">{#N/A,#N/A,TRUE,"Graficos";#N/A,#N/A,TRUE,"P.Ingresos";#N/A,#N/A,TRUE,"P.Gastos";#N/A,#N/A,TRUE,"I.Trafico";#N/A,#N/A,TRUE,"I.Peajes";#N/A,#N/A,TRUE,"G.Operativos";#N/A,#N/A,TRUE,"Cf Proyecto";#N/A,#N/A,TRUE,"C.PYG";#N/A,#N/A,TRUE,"Balance";#N/A,#N/A,TRUE,"TIR AC";#N/A,#N/A,TRUE,"Ratios";#N/A,#N/A,TRUE,"Amortizacion";#N/A,#N/A,TRUE,"FC fin";#N/A,#N/A,TRUE,"Coeficientes";#N/A,#N/A,TRUE,"Tesoreria";#N/A,#N/A,TRUE,"Prest.inv";#N/A,#N/A,TRUE,"Obligacion";#N/A,#N/A,TRUE,"Impuestos";#N/A,#N/A,TRUE,"Reservas";#N/A,#N/A,TRUE,"Inversion";#N/A,#N/A,TRUE,"P.Inversion";#N/A,#N/A,TRUE,"C.Fl Inv.";#N/A,#N/A,TRUE,"VAN Oferta"}</definedName>
    <definedName name="eh" localSheetId="8" hidden="1">{#N/A,#N/A,FALSE,"P&amp;L";#N/A,#N/A,FALSE,"BS";#N/A,#N/A,FALSE,"SPLIT";#N/A,#N/A,FALSE,"RATIOS";#N/A,#N/A,FALSE,"TURN ";#N/A,#N/A,FALSE,"%s"}</definedName>
    <definedName name="eh" hidden="1">{#N/A,#N/A,FALSE,"P&amp;L";#N/A,#N/A,FALSE,"BS";#N/A,#N/A,FALSE,"SPLIT";#N/A,#N/A,FALSE,"RATIOS";#N/A,#N/A,FALSE,"TURN ";#N/A,#N/A,FALSE,"%s"}</definedName>
    <definedName name="ehh" localSheetId="8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ehh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ehh_1" localSheetId="8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ehh_1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ei" localSheetId="8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ei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EI_1" localSheetId="8" hidden="1">{"vue1",#N/A,FALSE,"synthese";"vue2",#N/A,FALSE,"synthese"}</definedName>
    <definedName name="EI_1" hidden="1">{"vue1",#N/A,FALSE,"synthese";"vue2",#N/A,FALSE,"synthese"}</definedName>
    <definedName name="eiaiz" localSheetId="8" hidden="1">{#N/A,#N/A,FALSE,"Pharm";#N/A,#N/A,FALSE,"WWCM"}</definedName>
    <definedName name="eiaiz" hidden="1">{#N/A,#N/A,FALSE,"Pharm";#N/A,#N/A,FALSE,"WWCM"}</definedName>
    <definedName name="eid" localSheetId="8" hidden="1">{#N/A,#N/A,FALSE,"REPORT"}</definedName>
    <definedName name="eid" hidden="1">{#N/A,#N/A,FALSE,"REPORT"}</definedName>
    <definedName name="eiilgh" hidden="1">#REF!</definedName>
    <definedName name="EIN" hidden="1">255</definedName>
    <definedName name="eings" localSheetId="8" hidden="1">{#N/A,"PURCHM",FALSE,"Business Analysis";#N/A,"SPADD",FALSE,"Business Analysis"}</definedName>
    <definedName name="eings" hidden="1">{#N/A,"PURCHM",FALSE,"Business Analysis";#N/A,"SPADD",FALSE,"Business Analysis"}</definedName>
    <definedName name="eirubg" localSheetId="8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eirub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ejbg" localSheetId="8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ejb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ejkfgkjze" localSheetId="7" hidden="1">{#N/A,#N/A,FALSE,"Pharm";#N/A,#N/A,FALSE,"WWCM"}</definedName>
    <definedName name="ejkfgkjze" localSheetId="8" hidden="1">{#N/A,#N/A,FALSE,"Pharm";#N/A,#N/A,FALSE,"WWCM"}</definedName>
    <definedName name="ejkfgkjze" hidden="1">{#N/A,#N/A,FALSE,"Pharm";#N/A,#N/A,FALSE,"WWCM"}</definedName>
    <definedName name="ejrgb" localSheetId="8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ejrg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ejued" hidden="1">#REF!</definedName>
    <definedName name="ekf" localSheetId="8" hidden="1">{#N/A,#N/A,FALSE,"Pharm";#N/A,#N/A,FALSE,"WWCM"}</definedName>
    <definedName name="ekf" hidden="1">{#N/A,#N/A,FALSE,"Pharm";#N/A,#N/A,FALSE,"WWCM"}</definedName>
    <definedName name="elf" localSheetId="8" hidden="1">{#N/A,#N/A,FALSE,"REPORT"}</definedName>
    <definedName name="elf" hidden="1">{#N/A,#N/A,FALSE,"REPORT"}</definedName>
    <definedName name="ELI" localSheetId="8" hidden="1">{#N/A,#N/A,FALSE,"Aging Summary";#N/A,#N/A,FALSE,"Ratio Analysis";#N/A,#N/A,FALSE,"Test 120 Day Accts";#N/A,#N/A,FALSE,"Tickmarks"}</definedName>
    <definedName name="ELI" hidden="1">{#N/A,#N/A,FALSE,"Aging Summary";#N/A,#N/A,FALSE,"Ratio Analysis";#N/A,#N/A,FALSE,"Test 120 Day Accts";#N/A,#N/A,FALSE,"Tickmarks"}</definedName>
    <definedName name="ELI_1" localSheetId="8" hidden="1">{#N/A,#N/A,FALSE,"Aging Summary";#N/A,#N/A,FALSE,"Ratio Analysis";#N/A,#N/A,FALSE,"Test 120 Day Accts";#N/A,#N/A,FALSE,"Tickmarks"}</definedName>
    <definedName name="ELI_1" hidden="1">{#N/A,#N/A,FALSE,"Aging Summary";#N/A,#N/A,FALSE,"Ratio Analysis";#N/A,#N/A,FALSE,"Test 120 Day Accts";#N/A,#N/A,FALSE,"Tickmarks"}</definedName>
    <definedName name="eliurbg" localSheetId="8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eliurb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emi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emil" localSheetId="8" hidden="1">#REF!</definedName>
    <definedName name="emil" hidden="1">#REF!</definedName>
    <definedName name="emily" localSheetId="8" hidden="1">{#N/A,#N/A,FALSE,"Calc";#N/A,#N/A,FALSE,"Sensitivity";#N/A,#N/A,FALSE,"LT Earn.Dil.";#N/A,#N/A,FALSE,"Dil. AVP"}</definedName>
    <definedName name="emily" hidden="1">{#N/A,#N/A,FALSE,"Calc";#N/A,#N/A,FALSE,"Sensitivity";#N/A,#N/A,FALSE,"LT Earn.Dil.";#N/A,#N/A,FALSE,"Dil. AVP"}</definedName>
    <definedName name="emily_1" localSheetId="8" hidden="1">{#N/A,#N/A,FALSE,"Calc";#N/A,#N/A,FALSE,"Sensitivity";#N/A,#N/A,FALSE,"LT Earn.Dil.";#N/A,#N/A,FALSE,"Dil. AVP"}</definedName>
    <definedName name="emily_1" hidden="1">{#N/A,#N/A,FALSE,"Calc";#N/A,#N/A,FALSE,"Sensitivity";#N/A,#N/A,FALSE,"LT Earn.Dil.";#N/A,#N/A,FALSE,"Dil. AVP"}</definedName>
    <definedName name="Emploi" localSheetId="8" hidden="1">{"IS",#N/A,FALSE,"IS";"RPTIS",#N/A,FALSE,"RPTIS";"STATS",#N/A,FALSE,"STATS";"CELL",#N/A,FALSE,"CELL";"BS",#N/A,FALSE,"BS"}</definedName>
    <definedName name="Emploi" hidden="1">{"IS",#N/A,FALSE,"IS";"RPTIS",#N/A,FALSE,"RPTIS";"STATS",#N/A,FALSE,"STATS";"CELL",#N/A,FALSE,"CELL";"BS",#N/A,FALSE,"BS"}</definedName>
    <definedName name="Emploi_1" localSheetId="8" hidden="1">{"IS",#N/A,FALSE,"IS";"RPTIS",#N/A,FALSE,"RPTIS";"STATS",#N/A,FALSE,"STATS";"CELL",#N/A,FALSE,"CELL";"BS",#N/A,FALSE,"BS"}</definedName>
    <definedName name="Emploi_1" hidden="1">{"IS",#N/A,FALSE,"IS";"RPTIS",#N/A,FALSE,"RPTIS";"STATS",#N/A,FALSE,"STATS";"CELL",#N/A,FALSE,"CELL";"BS",#N/A,FALSE,"BS"}</definedName>
    <definedName name="EMSANOFI" hidden="1">#REF!</definedName>
    <definedName name="ENDDATEYTD" hidden="1">" "</definedName>
    <definedName name="Enel" localSheetId="8" hidden="1">{#N/A,#N/A,TRUE,"Cover sheet";#N/A,#N/A,TRUE,"INPUTS";#N/A,#N/A,TRUE,"OUTPUTS";#N/A,#N/A,TRUE,"VALUATION"}</definedName>
    <definedName name="Enel" hidden="1">{#N/A,#N/A,TRUE,"Cover sheet";#N/A,#N/A,TRUE,"INPUTS";#N/A,#N/A,TRUE,"OUTPUTS";#N/A,#N/A,TRUE,"VALUATION"}</definedName>
    <definedName name="Enel_1" localSheetId="8" hidden="1">{#N/A,#N/A,TRUE,"Cover sheet";#N/A,#N/A,TRUE,"INPUTS";#N/A,#N/A,TRUE,"OUTPUTS";#N/A,#N/A,TRUE,"VALUATION"}</definedName>
    <definedName name="Enel_1" hidden="1">{#N/A,#N/A,TRUE,"Cover sheet";#N/A,#N/A,TRUE,"INPUTS";#N/A,#N/A,TRUE,"OUTPUTS";#N/A,#N/A,TRUE,"VALUATION"}</definedName>
    <definedName name="enenenene" localSheetId="8" hidden="1">{#N/A,#N/A,FALSE,"Assessment";#N/A,#N/A,FALSE,"Staffing";#N/A,#N/A,FALSE,"Hires";#N/A,#N/A,FALSE,"Assumptions"}</definedName>
    <definedName name="enenenene" hidden="1">{#N/A,#N/A,FALSE,"Assessment";#N/A,#N/A,FALSE,"Staffing";#N/A,#N/A,FALSE,"Hires";#N/A,#N/A,FALSE,"Assumptions"}</definedName>
    <definedName name="enn" hidden="1">{#N/A,#N/A,FALSE,"changes";#N/A,#N/A,FALSE,"Assumptions";"view1",#N/A,FALSE,"BE Analysis";"view2",#N/A,FALSE,"BE Analysis";#N/A,#N/A,FALSE,"DCF Calculation - Scenario 1";"Dollar",#N/A,FALSE,"Consolidated - Scenario 1";"CS",#N/A,FALSE,"Consolidated - Scenario 1"}</definedName>
    <definedName name="Ennis" hidden="1">{#N/A,#N/A,FALSE,"changes";#N/A,#N/A,FALSE,"Assumptions";"view1",#N/A,FALSE,"BE Analysis";"view2",#N/A,FALSE,"BE Analysis";#N/A,#N/A,FALSE,"DCF Calculation - Scenario 1";"Dollar",#N/A,FALSE,"Consolidated - Scenario 1";"CS",#N/A,FALSE,"Consolidated - Scenario 1"}</definedName>
    <definedName name="eoflsru" localSheetId="8" hidden="1">{"QTD",#N/A,FALSE,"SUM"}</definedName>
    <definedName name="eoflsru" hidden="1">{"QTD",#N/A,FALSE,"SUM"}</definedName>
    <definedName name="eoil" localSheetId="8" hidden="1">{"detail",#N/A,FALSE,"mfg";"summary",#N/A,FALSE,"mfg"}</definedName>
    <definedName name="eoil" hidden="1">{"detail",#N/A,FALSE,"mfg";"summary",#N/A,FALSE,"mfg"}</definedName>
    <definedName name="eojhrbg" localSheetId="8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eojhrb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eold" localSheetId="8" hidden="1">{"'100'!$A$1:$M$83"}</definedName>
    <definedName name="eold" hidden="1">{"'100'!$A$1:$M$83"}</definedName>
    <definedName name="eouhg" localSheetId="8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eouh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EPMWorkbookOptions_1" localSheetId="8" hidden="1">"wEEAAB|LCAAAAAAABADtXFtzokgUfp|q|Q|WD/um0AJessQpAphYq8AKZnYqlaJA2oQaBRcwJv9|G8Uol2QhxezaBssH7D59|pyPr0|fbhvYb8/LRe0Jer7tOpd10CTrNejMXMt2Hi7r62DeAO36t/7XL|x31/tpuu5PeRUgUb|G2jn|xbNvXdYfg2B1QRCbzaa5oZqu90C0SBIQf41H6uwRLo36q7D978IN2/EDw5nBOuq1VmN513HgLOxTc/m"</definedName>
    <definedName name="EPMWorkbookOptions_1" hidden="1">"Wt8AAB+LCAAAAAAABADtXW1zokgQ/n5V9x9Sfhd5EV+23Fyxiol3UVjA7F2ltizUMaFWwQOS7P77G8AXUPQ0EmUmnUqqzEzP0Dz09Lz009j44+dsevWCXM9y7M8FjmELV8geOWPLfvxcePYnRa5S+OP6998a3xz3x9BxfihzH4t6V7id7X366Y0/F558f/6pVHp9fWVeBcZxH0s8y3Klv7t3+ugJzczCStj6f+GiZXu+aY9QAV/16qrRdGwb"</definedName>
    <definedName name="EPMWorkbookOptions_10" localSheetId="8" hidden="1">"C1vv8/w9J7m|cKMdfvTr7/Pj/62T5f5FAfvWKiHvy9e0AuSCffnrv3nv4IPv/L5dHpUjIeE9/r9/r/|tM980S5PmP8ihBs1u1GhBCounZmw8QwfcOPu//v1sEhR4hv53|/2K16f89PPfs|Zff/SFy3Kf/7|Y4UKOT63j|8OGPuM1vdqtWA9x29uLN6auTL3|IDPfg/90MpwQJee7sRzruG|W6l6||fPrVyZsPznW8P/cd/L|b|zqECbnwix9x4T"</definedName>
    <definedName name="EPMWorkbookOptions_10" hidden="1">"NUtYwsw7iI7sUPMSSaLAR6A/STRTXPBSmhJY8jOKLxA0opCcAEEjCBodHzRSHdefOFPLuWiUaKUFhIcgPAQJZeefPCChjIyEsuO/f4K+hc5HSJ7KGBtczNCRcZef0RzG1Qeqohlt5a5z0hnEcQFgCs+7N7DcSAWAOWiHmm/jKwwwtk25o53xNeIU5pvFgUzlLaxrCTfe7BGK4tHUAJSz0X3yjHR0VIvCQ/EEktvjW5dvuvh/OAROV5OI1FIK"</definedName>
    <definedName name="EPMWorkbookOptions_11" localSheetId="8" hidden="1">"fNhc/O3pycQuJ/iCz48P/1LGip0rG8Jz9iwCgD3thqgAFff/Xk1ennZ1|||CFy3|7O/7vZz9Ik5L3XP2K9b5T13px98fUzvV|D6/5fvr4FcoQMt7ezuzP|/wXTfaM0uff/D5r8v0cQvzg9fv3Vq9PXP0xh/H/5ip8hCXEc/e/3efOj1eX3ahRgE2/0|O7xalUW06wlOPbz4FPTnKBVyyUhTp89zdqMP/Y/fFN1B//4VX5e5838y|WXq3x5dJ6VT"</definedName>
    <definedName name="EPMWorkbookOptions_11" hidden="1">"z4BTeQNhKGdRAeaapia8nhYij3Sba793IksZ0rKuHxYgbpvrsgLMNU3N89Oy4G2je3hZNZ5nmhScqWSJS1dSpS8dQwdMYray2v0QDkp+3NoFiC51+hwbEF2A6HI80eXrs2n71gRrPjKdXKRGJzQC4gsQX3JOJaAwNxqoBEdjQw+V4B2AaUp3sBBJV/P8L3+AxPq0dz90OJZhOch43aUmvF86T++A0OUbRu7J2s3HnYd3A6PJ7U6P+OOZbHEx"</definedName>
    <definedName name="EPMWorkbookOptions_12" localSheetId="8" hidden="1">"f74bvghtzsp86wG0C|Xr7PL3LTsfsxtv1vVbydV9ZYYs2Uymtb9L8L2VzOeNdfwy5WM7/8B6FD0SrZpAAA="</definedName>
    <definedName name="EPMWorkbookOptions_12" hidden="1">"5K7KqJrc7ei6RPx5Xn583KnheXhFOUTnl1JnsNZTGY5Agbp+2Mndo4W3ly0w4UCmBJkcjeSzZ/jTSAujnGeTKS5qsEGmYH+cKSjw2gMaOFkUUgiBkxVJUcjJopBBuIeT9TUgZX3Yb3IHUtZhmHztSz1jYMi6IVNB4suPe4OvuN8QBG5WrJ4ybla80HA2b76hoYmLvCfFVubIXjJpkoWhXHOKTDfoVLF18wUtJTeLQ9lvjvtj6Dg/sG36IYxL"</definedName>
    <definedName name="EPMWorkbookOptions_13" hidden="1">"6e2KpPzrePHUGh3v3nQtczhFXeQ+rnvYKv/9t3W3yjxC4z+2UlV/Wt8AAA=="</definedName>
    <definedName name="EPMWorkbookOptions_2" localSheetId="8" hidden="1">"150EnuLXhZlsZqxaMwIhKUblkLOGu29cuA7hcrT172|fUh57iwTlE|mawidyo9/WBMtavFF76Dkj9LmoEyCboNFskaLaZiy4JSMI3VoS5mhH3|p3KKaOhdI2uBkOJk3gRXc2NhQ/vWSI04GAOt1ot7JlxBF1us/Y64lqOiiNv|5ENia53KB2AqxFvVt3YlgUdwV5CJ6SDHxOMi74K3dq|bdoLO3hJSCP5V6GpY/|9hluzOJ6Xp5LGElmVKQ07i/"</definedName>
    <definedName name="EPMWorkbookOptions_2" hidden="1">"jYJrGk7z2XWR7d9b6DWsTFS3TN9clOLynjlD0WVXl/TRbP7sWuE1+x5yVRdNEO5vhBh8G4XrQVvtDr6ozd43jh08LBoN5yNmjnzXGbqmx4ycGTN0S545DypK3wcPaudWvSvjDx37RXdGFvJN13Lw/xNz6qHvjVKgyFotaT6fWiMzBuHB6i37SPYSK17c9XVCkw0FIszWMF6VdlbdWuMxslvWDNleqO5u0bWqXkIGS+lPzuuqj6Yzddxr331G"</definedName>
    <definedName name="EPMWorkbookOptions_3" localSheetId="8" hidden="1">"qBt4YsEf1IGEUUsqosHzRB1LjhCGs3eE4Tr|XJD7ydkMcKJ|Htg8BpnDrhsfZBlLShhvdtGEqaOOFl3H2QJwLWLkwUjZ9OJqLE400nVbwei5jPdNpwLGLtwFjk1OlEVP8fJ2LC72ZXx84eEsBUBqY|uodOeXfhepGtGRXvNd16n9EyA5VtQ5RlB/A5GBhPrmcHyK5tlrtrnKrL0X5ge35wZEB2fULRq5VvA5RXqozk9FjHDnG0VmJIQHXBkYKse"</definedName>
    <definedName name="EPMWorkbookOptions_3" hidden="1">"jVJKxb6m4V2ktNy6u0VDbBc++um3zRfHtXysV/g8osZbdRvtb63Hpyn+83U0xbaFxrcWck139GSt+9krc4A+bcv1/NgNpddvdLS6692AHyoVl+vb1r/PKERyMPhL/qclGfJg0CilCezrJ3qK2GOILCfUuFgHac83bKu4Y+Res41S9CG1d28+NX+prjNHrv/r2kT1Yb1erhfHw6FQLItcrTicVM2iWRkLw7og8vxkHFw52Sql4zvTWz28LpoN"</definedName>
    <definedName name="EPMWorkbookOptions_4" localSheetId="8" hidden="1">"7FtK3sW9PokS|wuMrX7q4XxonjuCnqIWYBpM3NozhtM26IbdGvea3QZCBukAVu0ZXbojkmFPcdbZSgeGX6gwgVaNkFrDJcmWv1liMVJmSmARHbtj2C6i0C8b94pHIri2g1AlxyvC9Px|IeOytDiKNXqDe03NvQMb/b4chCtoVXkhWMvLushfeqJ5cz7Nzhf29io/Q|AGQFdGVWgJEAh9Su1AiUCpbUDpdsLP7ijwhJ5AtBRDP2V8b7QQj4r5JMk"</definedName>
    <definedName name="EPMWorkbookOptions_4" hidden="1">"sQ9MEUsaeqoAFonax2B6iAH5nXnAvyz+KYa/2Clsye/od2lUv9aiV9iLfrKt6edCYDyFjVG5//Ee1rZR2n/HjdIh0MWe/rtZq9RvdQxF60hvt1WWLddY9nBT5Y4wVU6siBM0nBTFyrhcLPOTerEmIlRkTcSXx8NquToUcmCqKxSxlaqSJveMWw5/7Eq9vnRHurFmDIqhGIN1FeHY5GcgN5We8fZBLAiiWC6XDx/EPH2DOEQwaavNWpVhOfLn"</definedName>
    <definedName name="EPMWorkbookOptions_5" localSheetId="8" hidden="1">"3SXJ/BEfnGXEj2BMDGNBH|iarOBO2F|CC8f/qcka7tCczlgutpuVMZIpimFoms4/klsFRrIBe2avR/calmlSDZoB3YY57xgNo21RZo9iWq25dQIjeQ9icjrWptynzVCyMbmaCteiBpgKlWNUKL034NUKlgQsLRLQIS7YJ7QnFO6L7PtnRPt2B5Ddbid/tKfOL2|LMIxzlR8ru6U67lwtHRVVnf5RgZJFlc|8q/MmMrWQL78Zy9XvwwqbBDbcCPt"</definedName>
    <definedName name="EPMWorkbookOptions_5" hidden="1">"m6wh4QGSTUgEgGQTEpZ8SPLj3+Wuqsn62z18pcqxtVr1cA8v0OfhFxgmTbUnDZblhBtrprAEyzTAZRsXDrzaLjXf4NXaeOqQB5rc7Gu6csoWtFIRhCP2oGX6nFsCyqTNtlk2mI050u32HaDB3j9ZCxBtQhTMBFRhlB/311Xk1gknb0efEov0ub0Qwuh8GI/l6D/C7TMDKPp6C1B4+KIRf/iaH1+lSJ0zeqoKfZ4KA7i19gjKCLfQzOAQeF5g"</definedName>
    <definedName name="EPMWorkbookOptions_6" localSheetId="8" hidden="1">"08nSmwkJ/H2dvYbTbFFVgD4M|v7kwAjFOVUENmSpUaVu2mR/gapFjAqX8wcKcH1V3GMaZKkqfPGvLBkUHoAIkAQhJcRUmKUyuKkxSmAi4Y3I6816hs2WlTHzt85v4IhATm9Ojkb6vqOiaZebH6Jr7GGEpbO2cJVsRhnGyDuVq6VsmTwufFS2FrN3zI|sRkIim6DvicWdpaVBcX33aEwwpLMQp9hu9pxO9Cp0QLyVy9c4vckUgxudZVdXJiqeZZn"</definedName>
    <definedName name="EPMWorkbookOptions_6" hidden="1">"GV5kqqLAsHytwvDVCocXrjzxG67MMArWYhTYTH68miprHaV1wtbzaM9Wpc+zLUBMmirPchUG2+vHDYDugkWgA5YcDeLezRkHcI3CAdy7SVopLuAqPMu0b8k/7XwPUD7sUVoqKCJXZ5oGWEocFNKxyJF315Q/ZeOcS7Q6hR4+AjFppq2+oeiGrHWLXMCqZAXSjTZTdEKimiZLPZn4wZyt1ahFjsPmItQBlhgsN1pfVfAgKpc/7uJgHy4cXyMd"</definedName>
    <definedName name="EPMWorkbookOptions_7" localSheetId="8" hidden="1">"6Ap/mfAiiFpKDIoWhMDtaEEKbOBDBNksadpaUCApqarOF/0uh0Rm6xx1/KGb1neMB1D|MuB1LEyVAWhtgnyCXSNIdQzJpsIZbIesA9VroXR9rSD/4fF6ZfFsBO4NyD/qPsyCvo7J9gihdu5fgFNLxQqeyoxhPcSyaLt7L7tyIgbgZbGPfS6Yq4/MaK7ho79G8NzzbMBRxD7|GgIVX|9ctBbfQWhv4/pfdoE8BBAAA="</definedName>
    <definedName name="EPMWorkbookOptions_7" hidden="1">"l/zMifcdXVIGitY846zIHZNjQMi0uMJx62R2XUO40WYMzb3Cch+aTLADl2C1QI3N5MfRdWVJ72uyfk4/R2GCyhLGKC4aHUx2wEyPEkpoky7UKKXllSZKl+K4t7S82zxl43rPM8fDNjt+9h1PR+7LhXNyt/SBzFzIzIXM3PPPJpCZC5m5hCx8PkISasbY0JG1nJ+BDJm5McHsEgzLVCQYZgqJCJBAGuo7p6H2jE5LasmQhxoJvi2xcAFitHi+"</definedName>
    <definedName name="EPMWorkbookOptions_8" localSheetId="8" hidden="1">"7P/z1vxb1D2btEowCbe6PHd49WqLKZZS3Ds58GnpjlBq5ZLQpw|e5q1mfk4|il9LlRblMvms4/mbbt6dPdumy9W67oYV/XF3a|avHY4jd81s4|Ofv9nL7/4/Z|8PHnx3d2d3/97|tLs7c5utnNwfzyd54tiWV1m42m1eHRAYf3dJlvdnaymd7//|3/v5NunX5yRCT/G74R1VRYzxp/|Ps/KJifeCfjlsT/G90TUI2CMfnb8RwEmHQSEem6GOjzl"</definedName>
    <definedName name="EPMWorkbookOptions_8" hidden="1">"uVO+wHy7Q81LUDrfNZuQkC0eUDqPggUonURTOinMiwNKJxD1ElJnIeoFjDLIElsIvpVDE4C4fVy1rABzTVOTCF7pMak/pKwTgTl5OC5AEdzLKOVEkXRY8uPdLkCcoTAxCngzwJs5kjfTxY/b8ZquYzuPrjkzvYuyZra0Ac4McGaAM3P+mQQ4M8CZIWTRQzUvJGNQqCIS5WcgnxxmBtoMhJnfeYMtac23Hx4CDQJvrgMEtxLvolIw0zQ1qWND"</definedName>
    <definedName name="EPMWorkbookOptions_9" localSheetId="8" hidden="1">"f/XtYjbLl3bCmw1NN3DM63l11VGUYObHdyNfbHqVRxF5MyKOt7MPt2s1YEWOT06|/OrFD3P56//l6QglSCcP9hDP/|fduW9QgX4o23319OzN2dOvz3Y7O/ukw27Pdf8vD72VHiHXHT9//vubL37EeV6zW7Ua4LyT4zenn3/56vf52qx37979|/v7|7dnvf|XO82GICHv0afH/9|PX/9fxHZfvnj95euTL19|/YTjpw92dw4OHtye8e79v5zxLEl"</definedName>
    <definedName name="EPMWorkbookOptions_9" hidden="1">"EGKpqWH/e5V4b5opHnhzA6MXaBA5G7lAgwAaRFyKxrgynTQIquPK+THXCwQKKXwFKgQKIVAYNRqjl4NihRz+0LZs0x5Z5tCaWmNzjFahwkuGDDeVgoghRAzPlu74vrFCQiaTlEw24l/NmJ8Fz8mxBYgRJmILm18auKwh3GCzRUZmlz+ASxwXCXBJxSX4VlIYSGkDqUOLweRnRjw1RgTB9t2ZoSJkhmZrrPeypks5DbwTwkWMIEyPi/SUe9Jt"</definedName>
    <definedName name="epwouhg" localSheetId="8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epwouh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eqbgroieqg" localSheetId="8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eqbgroieq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eqipug" localSheetId="8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eqipu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eqouibg" localSheetId="8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eqouib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eqr" localSheetId="8" hidden="1">{"common",#N/A,TRUE,"Common Input";"Sum Res_010",#N/A,TRUE,"Res_010";"Sum Res_011",#N/A,TRUE,"Res_011";"Sum Res_012",#N/A,TRUE,"Res_012";"Sum Res_013",#N/A,TRUE,"Res_013"}</definedName>
    <definedName name="eqr" hidden="1">{"common",#N/A,TRUE,"Common Input";"Sum Res_010",#N/A,TRUE,"Res_010";"Sum Res_011",#N/A,TRUE,"Res_011";"Sum Res_012",#N/A,TRUE,"Res_012";"Sum Res_013",#N/A,TRUE,"Res_013"}</definedName>
    <definedName name="eqrng" localSheetId="8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eqrn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equipe" hidden="1">{#N/A,#N/A,FALSE,"Dutos";#N/A,#N/A,FALSE,"Terminais"}</definedName>
    <definedName name="er" localSheetId="8" hidden="1">{#N/A,#N/A,FALSE,"Umsatz 99";#N/A,#N/A,FALSE,"ER 99 "}</definedName>
    <definedName name="er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er_1" localSheetId="8" hidden="1">{#N/A,#N/A,FALSE,"PRECIO FULL";#N/A,#N/A,FALSE,"LARA";#N/A,#N/A,FALSE,"CARACAS";#N/A,#N/A,FALSE,"DISBRACENTRO";#N/A,#N/A,FALSE,"ANDES";#N/A,#N/A,FALSE,"MAR CARIBE";#N/A,#N/A,FALSE,"RIO BEER";#N/A,#N/A,FALSE,"DISBRAH"}</definedName>
    <definedName name="er_1" hidden="1">{#N/A,#N/A,FALSE,"PRECIO FULL";#N/A,#N/A,FALSE,"LARA";#N/A,#N/A,FALSE,"CARACAS";#N/A,#N/A,FALSE,"DISBRACENTRO";#N/A,#N/A,FALSE,"ANDES";#N/A,#N/A,FALSE,"MAR CARIBE";#N/A,#N/A,FALSE,"RIO BEER";#N/A,#N/A,FALSE,"DISBRAH"}</definedName>
    <definedName name="erbgebr" localSheetId="8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erbgebr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erbv" hidden="1">#REF!</definedName>
    <definedName name="erd" localSheetId="7" hidden="1">{#N/A,#N/A,FALSE,"Pharm";#N/A,#N/A,FALSE,"WWCM"}</definedName>
    <definedName name="erd" localSheetId="8" hidden="1">{#N/A,#N/A,FALSE,"Pharm";#N/A,#N/A,FALSE,"WWCM"}</definedName>
    <definedName name="erd" hidden="1">{#N/A,#N/A,FALSE,"Pharm";#N/A,#N/A,FALSE,"WWCM"}</definedName>
    <definedName name="ere" localSheetId="8" hidden="1">{#N/A,#N/A,FALSE,"Pharm";#N/A,#N/A,FALSE,"WWCM"}</definedName>
    <definedName name="ere" hidden="1">{#N/A,#N/A,FALSE,"Pharm";#N/A,#N/A,FALSE,"WWCM"}</definedName>
    <definedName name="erederf" localSheetId="8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erederf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ERERE" localSheetId="8" hidden="1">{#N/A,#N/A,FALSE,"Min compar us";#N/A,#N/A,FALSE,"Min US Equité ";#N/A,#N/A,FALSE,"Analyse U.S."}</definedName>
    <definedName name="ERERE" hidden="1">{#N/A,#N/A,FALSE,"Min compar us";#N/A,#N/A,FALSE,"Min US Equité ";#N/A,#N/A,FALSE,"Analyse U.S."}</definedName>
    <definedName name="ererer" hidden="1">#REF!</definedName>
    <definedName name="erew" localSheetId="8" hidden="1">{#N/A,#N/A,FALSE,"Sheet1"}</definedName>
    <definedName name="erew" hidden="1">{#N/A,#N/A,FALSE,"Sheet1"}</definedName>
    <definedName name="erez" localSheetId="8" hidden="1">{#N/A,#N/A,FALSE,"REPORT"}</definedName>
    <definedName name="erez" hidden="1">{#N/A,#N/A,FALSE,"REPORT"}</definedName>
    <definedName name="erf" localSheetId="8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erf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erf_1" localSheetId="8" hidden="1">{"consolidated",#N/A,FALSE,"Sheet1";"cms",#N/A,FALSE,"Sheet1";"fse",#N/A,FALSE,"Sheet1"}</definedName>
    <definedName name="erf_1" hidden="1">{"consolidated",#N/A,FALSE,"Sheet1";"cms",#N/A,FALSE,"Sheet1";"fse",#N/A,FALSE,"Sheet1"}</definedName>
    <definedName name="erfe" localSheetId="8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fe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fe_1" localSheetId="8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fe_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g" localSheetId="8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erg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erg_1" localSheetId="8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erg_1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ergqerg" localSheetId="8" hidden="1">{#N/A,#N/A,TRUE,"Graficos";#N/A,#N/A,TRUE,"P.Ingresos";#N/A,#N/A,TRUE,"P.Gastos";#N/A,#N/A,TRUE,"I.Trafico";#N/A,#N/A,TRUE,"I.Peajes";#N/A,#N/A,TRUE,"G.Operativos";#N/A,#N/A,TRUE,"Cf Proyecto";#N/A,#N/A,TRUE,"C.PYG";#N/A,#N/A,TRUE,"Balance";#N/A,#N/A,TRUE,"TIR AC";#N/A,#N/A,TRUE,"Ratios";#N/A,#N/A,TRUE,"Amortizacion";#N/A,#N/A,TRUE,"FC fin";#N/A,#N/A,TRUE,"Coeficientes";#N/A,#N/A,TRUE,"Tesoreria";#N/A,#N/A,TRUE,"Prest.inv";#N/A,#N/A,TRUE,"Obligacion";#N/A,#N/A,TRUE,"Impuestos";#N/A,#N/A,TRUE,"Reservas";#N/A,#N/A,TRUE,"Inversion";#N/A,#N/A,TRUE,"P.Inversion";#N/A,#N/A,TRUE,"C.Fl Inv.";#N/A,#N/A,TRUE,"VAN Oferta"}</definedName>
    <definedName name="ergqerg" hidden="1">{#N/A,#N/A,TRUE,"Graficos";#N/A,#N/A,TRUE,"P.Ingresos";#N/A,#N/A,TRUE,"P.Gastos";#N/A,#N/A,TRUE,"I.Trafico";#N/A,#N/A,TRUE,"I.Peajes";#N/A,#N/A,TRUE,"G.Operativos";#N/A,#N/A,TRUE,"Cf Proyecto";#N/A,#N/A,TRUE,"C.PYG";#N/A,#N/A,TRUE,"Balance";#N/A,#N/A,TRUE,"TIR AC";#N/A,#N/A,TRUE,"Ratios";#N/A,#N/A,TRUE,"Amortizacion";#N/A,#N/A,TRUE,"FC fin";#N/A,#N/A,TRUE,"Coeficientes";#N/A,#N/A,TRUE,"Tesoreria";#N/A,#N/A,TRUE,"Prest.inv";#N/A,#N/A,TRUE,"Obligacion";#N/A,#N/A,TRUE,"Impuestos";#N/A,#N/A,TRUE,"Reservas";#N/A,#N/A,TRUE,"Inversion";#N/A,#N/A,TRUE,"P.Inversion";#N/A,#N/A,TRUE,"C.Fl Inv.";#N/A,#N/A,TRUE,"VAN Oferta"}</definedName>
    <definedName name="erj" localSheetId="8" hidden="1">{"Ergebnisbericht_UBA",#N/A,FALSE,"MB"}</definedName>
    <definedName name="erj" hidden="1">{"Ergebnisbericht_UBA",#N/A,FALSE,"MB"}</definedName>
    <definedName name="erj_1" localSheetId="8" hidden="1">{"Ergebnisbericht_UBA",#N/A,FALSE,"MB"}</definedName>
    <definedName name="erj_1" hidden="1">{"Ergebnisbericht_UBA",#N/A,FALSE,"MB"}</definedName>
    <definedName name="erjyyr" localSheetId="8" hidden="1">{#N/A,#N/A,TRUE,"Voorblad";#N/A,#N/A,TRUE,"Table of Content A";#N/A,#N/A,TRUE,"A1-Summ- Key Figures";#N/A,#N/A,TRUE,"A2-Summ Month Man";#N/A,#N/A,TRUE,"A3-P&amp;L by Bus.Unt-Serv.Unt";#N/A,#N/A,TRUE,"A4-P&amp;L by Old org.";#N/A,#N/A,TRUE,"A6-Bal_Sheet CF by Old org. ";#N/A,#N/A,TRUE,"A8-Headc.Funct."}</definedName>
    <definedName name="erjyyr" hidden="1">{#N/A,#N/A,TRUE,"Voorblad";#N/A,#N/A,TRUE,"Table of Content A";#N/A,#N/A,TRUE,"A1-Summ- Key Figures";#N/A,#N/A,TRUE,"A2-Summ Month Man";#N/A,#N/A,TRUE,"A3-P&amp;L by Bus.Unt-Serv.Unt";#N/A,#N/A,TRUE,"A4-P&amp;L by Old org.";#N/A,#N/A,TRUE,"A6-Bal_Sheet CF by Old org. ";#N/A,#N/A,TRUE,"A8-Headc.Funct."}</definedName>
    <definedName name="erlit" localSheetId="8" hidden="1">{"Res_010",#N/A,FALSE,"Res_010";"sum1",#N/A,FALSE,"Res_010"}</definedName>
    <definedName name="erlit" hidden="1">{"Res_010",#N/A,FALSE,"Res_010";"sum1",#N/A,FALSE,"Res_010"}</definedName>
    <definedName name="erljg" localSheetId="8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erlj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err.g." localSheetId="8" hidden="1">{#N/A,#N/A,FALSE,"KA CH  (2)"}</definedName>
    <definedName name="err.g." hidden="1">{#N/A,#N/A,FALSE,"KA CH  (2)"}</definedName>
    <definedName name="errr.g" localSheetId="8" hidden="1">{#N/A,#N/A,FALSE,"KA CH  (2)"}</definedName>
    <definedName name="errr.g" hidden="1">{#N/A,#N/A,FALSE,"KA CH  (2)"}</definedName>
    <definedName name="erryeyetyuu" localSheetId="7" hidden="1">{#N/A,#N/A,FALSE,"Pharm";#N/A,#N/A,FALSE,"WWCM"}</definedName>
    <definedName name="erryeyetyuu" localSheetId="8" hidden="1">{#N/A,#N/A,FALSE,"Pharm";#N/A,#N/A,FALSE,"WWCM"}</definedName>
    <definedName name="erryeyetyuu" hidden="1">{#N/A,#N/A,FALSE,"Pharm";#N/A,#N/A,FALSE,"WWCM"}</definedName>
    <definedName name="ert" localSheetId="8" hidden="1">{#N/A,#N/A,FALSE,"Umsatz 99";#N/A,#N/A,FALSE,"ER 99 "}</definedName>
    <definedName name="ert" hidden="1">{#N/A,#N/A,FALSE,"Umsatz 99";#N/A,#N/A,FALSE,"ER 99 "}</definedName>
    <definedName name="ert_1" localSheetId="8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ert_1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ertertetrrt" localSheetId="8" hidden="1">{#N/A,#N/A,FALSE,"USCSS ROLLUP";#N/A,#N/A,FALSE,"USCS";#N/A,#N/A,FALSE,"TARGET";#N/A,#N/A,FALSE,"MICROSOFT";#N/A,#N/A,FALSE,"AT&amp;T";#N/A,#N/A,FALSE,"ALT CHANNELS";#N/A,#N/A,FALSE,"USCS HQ"}</definedName>
    <definedName name="ertertetrrt" hidden="1">{#N/A,#N/A,FALSE,"USCSS ROLLUP";#N/A,#N/A,FALSE,"USCS";#N/A,#N/A,FALSE,"TARGET";#N/A,#N/A,FALSE,"MICROSOFT";#N/A,#N/A,FALSE,"AT&amp;T";#N/A,#N/A,FALSE,"ALT CHANNELS";#N/A,#N/A,FALSE,"USCS HQ"}</definedName>
    <definedName name="ertr" localSheetId="8" hidden="1">{#N/A,#N/A,FALSE,"Umsatz 99";#N/A,#N/A,FALSE,"ER 99 "}</definedName>
    <definedName name="ertr" hidden="1">{#N/A,#N/A,FALSE,"Umsatz 99";#N/A,#N/A,FALSE,"ER 99 "}</definedName>
    <definedName name="ertr_1" localSheetId="8" hidden="1">{#N/A,#N/A,TRUE,"financial";#N/A,#N/A,TRUE,"plants"}</definedName>
    <definedName name="ertr_1" hidden="1">{#N/A,#N/A,TRUE,"financial";#N/A,#N/A,TRUE,"plants"}</definedName>
    <definedName name="ERTY" localSheetId="8" hidden="1">{#N/A,#N/A,FALSE,"IC Annex";#N/A,#N/A,FALSE,"Sensitivity";#N/A,#N/A,FALSE,"Key Assumptions";#N/A,#N/A,FALSE,"Graphs";#N/A,#N/A,FALSE,"Global Assumptions";#N/A,#N/A,FALSE,"P&amp;L";#N/A,#N/A,FALSE,"Balance Sheet";#N/A,#N/A,FALSE,"Cash Flow"}</definedName>
    <definedName name="ERTY" hidden="1">{#N/A,#N/A,FALSE,"IC Annex";#N/A,#N/A,FALSE,"Sensitivity";#N/A,#N/A,FALSE,"Key Assumptions";#N/A,#N/A,FALSE,"Graphs";#N/A,#N/A,FALSE,"Global Assumptions";#N/A,#N/A,FALSE,"P&amp;L";#N/A,#N/A,FALSE,"Balance Sheet";#N/A,#N/A,FALSE,"Cash Flow"}</definedName>
    <definedName name="ertyjtyj" localSheetId="8" hidden="1">{"Print Summary",#N/A,FALSE,"Bal_Graphs";"Print Summary",#N/A,FALSE,"DCF";"Print Summary",#N/A,FALSE,"Graphs";"Print Summary",#N/A,FALSE,"Summary"}</definedName>
    <definedName name="ertyjtyj" hidden="1">{"Print Summary",#N/A,FALSE,"Bal_Graphs";"Print Summary",#N/A,FALSE,"DCF";"Print Summary",#N/A,FALSE,"Graphs";"Print Summary",#N/A,FALSE,"Summary"}</definedName>
    <definedName name="ertyjtyj_1" localSheetId="8" hidden="1">{"Print Summary",#N/A,FALSE,"Bal_Graphs";"Print Summary",#N/A,FALSE,"DCF";"Print Summary",#N/A,FALSE,"Graphs";"Print Summary",#N/A,FALSE,"Summary"}</definedName>
    <definedName name="ertyjtyj_1" hidden="1">{"Print Summary",#N/A,FALSE,"Bal_Graphs";"Print Summary",#N/A,FALSE,"DCF";"Print Summary",#N/A,FALSE,"Graphs";"Print Summary",#N/A,FALSE,"Summary"}</definedName>
    <definedName name="ERUUHJJJ" localSheetId="8" hidden="1">{#N/A,#N/A,FALSE,"Global Assumptions";#N/A,#N/A,FALSE,"NZ Valuation";#N/A,#N/A,FALSE,"P&amp;L";#N/A,#N/A,FALSE,"Balance Sheet";#N/A,#N/A,FALSE,"Cash Flow";#N/A,#N/A,FALSE,"Key Assumptions";#N/A,#N/A,FALSE,"Graphs";#N/A,#N/A,FALSE,"Core EBIT Summary";#N/A,#N/A,FALSE,"National Tolls - Residential";#N/A,#N/A,FALSE,"National Tolls - Business";#N/A,#N/A,FALSE,"Internat'l Tolls - Residential";#N/A,#N/A,FALSE,"Internat'l Tolls - Business";#N/A,#N/A,FALSE,"Faxplus";#N/A,#N/A,FALSE,"Business Local Service";#N/A,#N/A,FALSE,"Data Services";#N/A,#N/A,FALSE,"Cellular"}</definedName>
    <definedName name="ERUUHJJJ" hidden="1">{#N/A,#N/A,FALSE,"Global Assumptions";#N/A,#N/A,FALSE,"NZ Valuation";#N/A,#N/A,FALSE,"P&amp;L";#N/A,#N/A,FALSE,"Balance Sheet";#N/A,#N/A,FALSE,"Cash Flow";#N/A,#N/A,FALSE,"Key Assumptions";#N/A,#N/A,FALSE,"Graphs";#N/A,#N/A,FALSE,"Core EBIT Summary";#N/A,#N/A,FALSE,"National Tolls - Residential";#N/A,#N/A,FALSE,"National Tolls - Business";#N/A,#N/A,FALSE,"Internat'l Tolls - Residential";#N/A,#N/A,FALSE,"Internat'l Tolls - Business";#N/A,#N/A,FALSE,"Faxplus";#N/A,#N/A,FALSE,"Business Local Service";#N/A,#N/A,FALSE,"Data Services";#N/A,#N/A,FALSE,"Cellular"}</definedName>
    <definedName name="ervnj" localSheetId="8" hidden="1">{"YTDACT",#N/A,FALSE,"YTD Cum";"YTDBUD",#N/A,FALSE,"YTD Cum";"YTDPRIOR",#N/A,FALSE,"YTD Cum"}</definedName>
    <definedName name="ervnj" hidden="1">{"YTDACT",#N/A,FALSE,"YTD Cum";"YTDBUD",#N/A,FALSE,"YTD Cum";"YTDPRIOR",#N/A,FALSE,"YTD Cum"}</definedName>
    <definedName name="erw" localSheetId="8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erw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erwsdf" hidden="1">#REF!</definedName>
    <definedName name="erzrtzrwzrtzurt" localSheetId="8" hidden="1">{#N/A,#N/A,FALSE,"CSS";#N/A,#N/A,FALSE,"USCSS ROLLUP";#N/A,#N/A,FALSE,"INT'L ROLLUP";#N/A,#N/A,FALSE,"CSS HQ";#N/A,#N/A,FALSE,"USCS";#N/A,#N/A,FALSE,"TARGET";#N/A,#N/A,FALSE,"MICROSOFT";#N/A,#N/A,FALSE,"AT&amp;T";#N/A,#N/A,FALSE,"ALT CHANNELS";#N/A,#N/A,FALSE,"USCS HQ";#N/A,#N/A,FALSE,"INTL MGMT";#N/A,#N/A,FALSE,"EMEA";#N/A,#N/A,FALSE,"ASIA PACIFIC";#N/A,#N/A,FALSE,"LATIN AMERICA";#N/A,#N/A,FALSE,"CANADA"}</definedName>
    <definedName name="erzrtzrwzrtzurt" hidden="1">{#N/A,#N/A,FALSE,"CSS";#N/A,#N/A,FALSE,"USCSS ROLLUP";#N/A,#N/A,FALSE,"INT'L ROLLUP";#N/A,#N/A,FALSE,"CSS HQ";#N/A,#N/A,FALSE,"USCS";#N/A,#N/A,FALSE,"TARGET";#N/A,#N/A,FALSE,"MICROSOFT";#N/A,#N/A,FALSE,"AT&amp;T";#N/A,#N/A,FALSE,"ALT CHANNELS";#N/A,#N/A,FALSE,"USCS HQ";#N/A,#N/A,FALSE,"INTL MGMT";#N/A,#N/A,FALSE,"EMEA";#N/A,#N/A,FALSE,"ASIA PACIFIC";#N/A,#N/A,FALSE,"LATIN AMERICA";#N/A,#N/A,FALSE,"CANADA"}</definedName>
    <definedName name="es" localSheetId="8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es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ESC5MOS" localSheetId="8" hidden="1">{"Statements",#N/A,TRUE,"Income Statement";"Statements",#N/A,TRUE,"Cash Flow Statement";"Statements",#N/A,TRUE,"Balance Sheet ";#N/A,#N/A,TRUE,"Revenue Data Table";#N/A,#N/A,TRUE,"Costs &amp; Expenses Data Table";#N/A,#N/A,TRUE,"Cash Flow Data Table ";#N/A,#N/A,TRUE,"Shor-term Interest Expense"}</definedName>
    <definedName name="ESC5MOS" hidden="1">{"Statements",#N/A,TRUE,"Income Statement";"Statements",#N/A,TRUE,"Cash Flow Statement";"Statements",#N/A,TRUE,"Balance Sheet ";#N/A,#N/A,TRUE,"Revenue Data Table";#N/A,#N/A,TRUE,"Costs &amp; Expenses Data Table";#N/A,#N/A,TRUE,"Cash Flow Data Table ";#N/A,#N/A,TRUE,"Shor-term Interest Expense"}</definedName>
    <definedName name="escena3" localSheetId="8" hidden="1">{#N/A,#N/A,FALSE,"ACESA"}</definedName>
    <definedName name="escena3" hidden="1">{#N/A,#N/A,FALSE,"ACESA"}</definedName>
    <definedName name="ESCENARIO" hidden="1">{#N/A,#N/A,FALSE,"GRAFICO";#N/A,#N/A,FALSE,"CAJA (2)";#N/A,#N/A,FALSE,"TERCEROS-PROMEDIO";#N/A,#N/A,FALSE,"CAJA";#N/A,#N/A,FALSE,"INGRESOS1995-2003";#N/A,#N/A,FALSE,"GASTOS1995-2003"}</definedName>
    <definedName name="esdwert" localSheetId="8" hidden="1">{#N/A,#N/A,TRUE,"Table of Content Flash";#N/A,#N/A,TRUE,"A2-Summ Month Man";#N/A,#N/A,TRUE,"B3-Detail P&amp;L Consolidated";#N/A,#N/A,TRUE,"B4-GM per Product";#N/A,#N/A,TRUE,"A3-P&amp;L by Bus.Unt-Serv.Unt";#N/A,#N/A,TRUE,"A4-P&amp;L by Old org."}</definedName>
    <definedName name="esdwert" hidden="1">{#N/A,#N/A,TRUE,"Table of Content Flash";#N/A,#N/A,TRUE,"A2-Summ Month Man";#N/A,#N/A,TRUE,"B3-Detail P&amp;L Consolidated";#N/A,#N/A,TRUE,"B4-GM per Product";#N/A,#N/A,TRUE,"A3-P&amp;L by Bus.Unt-Serv.Unt";#N/A,#N/A,TRUE,"A4-P&amp;L by Old org."}</definedName>
    <definedName name="eshrvbe" localSheetId="8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eshrvbe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esnrc14c1" hidden="1">#REF!</definedName>
    <definedName name="esnrc2c1" hidden="1">#REF!</definedName>
    <definedName name="ESPAGNE" hidden="1">#REF!</definedName>
    <definedName name="ESPeXToEUR" localSheetId="8" hidden="1">1/EUReXToESP</definedName>
    <definedName name="ESPeXToEUR" hidden="1">1/EUReXToESP</definedName>
    <definedName name="ESS" localSheetId="8" hidden="1">{#N/A,#N/A,FALSE,"1";#N/A,#N/A,FALSE,"2";#N/A,#N/A,FALSE,"16 - 17";#N/A,#N/A,FALSE,"18 - 19";#N/A,#N/A,FALSE,"26";#N/A,#N/A,FALSE,"27";#N/A,#N/A,FALSE,"28"}</definedName>
    <definedName name="ESS" hidden="1">{#N/A,#N/A,FALSE,"1";#N/A,#N/A,FALSE,"2";#N/A,#N/A,FALSE,"16 - 17";#N/A,#N/A,FALSE,"18 - 19";#N/A,#N/A,FALSE,"26";#N/A,#N/A,FALSE,"27";#N/A,#N/A,FALSE,"28"}</definedName>
    <definedName name="ESSAI" localSheetId="7" hidden="1">{#N/A,#N/A,FALSE,"Pharm";#N/A,#N/A,FALSE,"WWCM"}</definedName>
    <definedName name="ESSAI" localSheetId="8" hidden="1">{#N/A,#N/A,FALSE,"Pharm";#N/A,#N/A,FALSE,"WWCM"}</definedName>
    <definedName name="ESSAI" hidden="1">{#N/A,#N/A,FALSE,"Pharm";#N/A,#N/A,FALSE,"WWCM"}</definedName>
    <definedName name="Estaciones2" hidden="1">"4APJ09J084B9DSHOQ43O8906O"</definedName>
    <definedName name="et" localSheetId="8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et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etc" hidden="1">#REF!</definedName>
    <definedName name="etet" localSheetId="8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etet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etet_1" localSheetId="8" hidden="1">{#N/A,#N/A,FALSE,"Calc";#N/A,#N/A,FALSE,"Sensitivity";#N/A,#N/A,FALSE,"LT Earn.Dil.";#N/A,#N/A,FALSE,"Dil. AVP"}</definedName>
    <definedName name="etet_1" hidden="1">{#N/A,#N/A,FALSE,"Calc";#N/A,#N/A,FALSE,"Sensitivity";#N/A,#N/A,FALSE,"LT Earn.Dil.";#N/A,#N/A,FALSE,"Dil. AVP"}</definedName>
    <definedName name="eteter" localSheetId="8" hidden="1">{#N/A,#N/A,FALSE,"projcf";#N/A,#N/A,FALSE,"Projline";#N/A,#N/A,FALSE,"bankline";#N/A,#N/A,FALSE,"Fast95is";#N/A,#N/A,FALSE,"tool95is";#N/A,#N/A,FALSE,"tot95is";#N/A,#N/A,FALSE,"tool950h";#N/A,#N/A,FALSE,"fas95oh";#N/A,#N/A,FALSE,"tot95oh";#N/A,#N/A,FALSE,"95sga";#N/A,#N/A,FALSE,"95projcf";#N/A,#N/A,FALSE,"95loc";#N/A,#N/A,FALSE,"95bankline"}</definedName>
    <definedName name="eteter" hidden="1">{#N/A,#N/A,FALSE,"projcf";#N/A,#N/A,FALSE,"Projline";#N/A,#N/A,FALSE,"bankline";#N/A,#N/A,FALSE,"Fast95is";#N/A,#N/A,FALSE,"tool95is";#N/A,#N/A,FALSE,"tot95is";#N/A,#N/A,FALSE,"tool950h";#N/A,#N/A,FALSE,"fas95oh";#N/A,#N/A,FALSE,"tot95oh";#N/A,#N/A,FALSE,"95sga";#N/A,#N/A,FALSE,"95projcf";#N/A,#N/A,FALSE,"95loc";#N/A,#N/A,FALSE,"95bankline"}</definedName>
    <definedName name="eteter_1" localSheetId="8" hidden="1">{#N/A,#N/A,FALSE,"projcf";#N/A,#N/A,FALSE,"Projline";#N/A,#N/A,FALSE,"bankline";#N/A,#N/A,FALSE,"Fast95is";#N/A,#N/A,FALSE,"tool95is";#N/A,#N/A,FALSE,"tot95is";#N/A,#N/A,FALSE,"tool950h";#N/A,#N/A,FALSE,"fas95oh";#N/A,#N/A,FALSE,"tot95oh";#N/A,#N/A,FALSE,"95sga";#N/A,#N/A,FALSE,"95projcf";#N/A,#N/A,FALSE,"95loc";#N/A,#N/A,FALSE,"95bankline"}</definedName>
    <definedName name="eteter_1" hidden="1">{#N/A,#N/A,FALSE,"projcf";#N/A,#N/A,FALSE,"Projline";#N/A,#N/A,FALSE,"bankline";#N/A,#N/A,FALSE,"Fast95is";#N/A,#N/A,FALSE,"tool95is";#N/A,#N/A,FALSE,"tot95is";#N/A,#N/A,FALSE,"tool950h";#N/A,#N/A,FALSE,"fas95oh";#N/A,#N/A,FALSE,"tot95oh";#N/A,#N/A,FALSE,"95sga";#N/A,#N/A,FALSE,"95projcf";#N/A,#N/A,FALSE,"95loc";#N/A,#N/A,FALSE,"95bankline"}</definedName>
    <definedName name="etrg" hidden="1">#REF!</definedName>
    <definedName name="etzjetz" localSheetId="8" hidden="1">{"Ergebnisbericht_UBA",#N/A,FALSE,"MB"}</definedName>
    <definedName name="etzjetz" hidden="1">{"Ergebnisbericht_UBA",#N/A,FALSE,"MB"}</definedName>
    <definedName name="etzjetz_1" localSheetId="8" hidden="1">{"Ergebnisbericht_UBA",#N/A,FALSE,"MB"}</definedName>
    <definedName name="etzjetz_1" hidden="1">{"Ergebnisbericht_UBA",#N/A,FALSE,"MB"}</definedName>
    <definedName name="etzjue" localSheetId="8" hidden="1">{"Ergebnisbericht_UBA",#N/A,FALSE,"MB"}</definedName>
    <definedName name="etzjue" hidden="1">{"Ergebnisbericht_UBA",#N/A,FALSE,"MB"}</definedName>
    <definedName name="etzjue_1" localSheetId="8" hidden="1">{"Ergebnisbericht_UBA",#N/A,FALSE,"MB"}</definedName>
    <definedName name="etzjue_1" hidden="1">{"Ergebnisbericht_UBA",#N/A,FALSE,"MB"}</definedName>
    <definedName name="etzrt" localSheetId="8" hidden="1">{"Balance Sheet",#N/A,FALSE,"102 - CBR Materials";"Cash Flows",#N/A,FALSE,"102 - CBR Materials"}</definedName>
    <definedName name="etzrt" hidden="1">{"Balance Sheet",#N/A,FALSE,"102 - CBR Materials";"Cash Flows",#N/A,FALSE,"102 - CBR Materials"}</definedName>
    <definedName name="etzuetz" localSheetId="8" hidden="1">{"Eilbericht_UBA",#N/A,FALSE,"EB"}</definedName>
    <definedName name="etzuetz" hidden="1">{"Eilbericht_UBA",#N/A,FALSE,"EB"}</definedName>
    <definedName name="etzuetz_1" localSheetId="8" hidden="1">{"Eilbericht_UBA",#N/A,FALSE,"EB"}</definedName>
    <definedName name="etzuetz_1" hidden="1">{"Eilbericht_UBA",#N/A,FALSE,"EB"}</definedName>
    <definedName name="eu" localSheetId="8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eu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eug" localSheetId="8" hidden="1">{#N/A,#N/A,FALSE,"Pharm";#N/A,#N/A,FALSE,"WWCM"}</definedName>
    <definedName name="eug" hidden="1">{#N/A,#N/A,FALSE,"Pharm";#N/A,#N/A,FALSE,"WWCM"}</definedName>
    <definedName name="eugé" localSheetId="8" hidden="1">{#N/A,#N/A,FALSE,"REPORT"}</definedName>
    <definedName name="eugé" hidden="1">{#N/A,#N/A,FALSE,"REPORT"}</definedName>
    <definedName name="EURUYTUTY" localSheetId="8" hidden="1">{#N/A,#N/A,FALSE,"IC Annex";#N/A,#N/A,FALSE,"Sensitivity";#N/A,#N/A,FALSE,"P&amp;L";#N/A,#N/A,FALSE,"Balance Sheet";#N/A,#N/A,FALSE,"Cash Flow";#N/A,#N/A,FALSE,"Key Assumptions";#N/A,#N/A,FALSE,"Global Assumptions";#N/A,#N/A,FALSE,"Graphs"}</definedName>
    <definedName name="EURUYTUTY" hidden="1">{#N/A,#N/A,FALSE,"IC Annex";#N/A,#N/A,FALSE,"Sensitivity";#N/A,#N/A,FALSE,"P&amp;L";#N/A,#N/A,FALSE,"Balance Sheet";#N/A,#N/A,FALSE,"Cash Flow";#N/A,#N/A,FALSE,"Key Assumptions";#N/A,#N/A,FALSE,"Global Assumptions";#N/A,#N/A,FALSE,"Graphs"}</definedName>
    <definedName name="ev.Calculation" localSheetId="7" hidden="1">2</definedName>
    <definedName name="ev.Calculation" localSheetId="8" hidden="1">2</definedName>
    <definedName name="ev.Calculation" hidden="1">2</definedName>
    <definedName name="ev.Calculation_1" hidden="1">-4135</definedName>
    <definedName name="ev.Initialized" hidden="1">FALSE</definedName>
    <definedName name="EV__ALLOWSTOPEXPAND__" hidden="1">1</definedName>
    <definedName name="EV__CVPARAMS__" hidden="1">"Any by Any!$B$17:$C$28;"</definedName>
    <definedName name="EV__DECIMALSYMBOL__" localSheetId="7" hidden="1">","</definedName>
    <definedName name="EV__DECIMALSYMBOL__" localSheetId="8" hidden="1">","</definedName>
    <definedName name="EV__DECIMALSYMBOL__" hidden="1">"."</definedName>
    <definedName name="EV__EVCOM_OPTIONS__" hidden="1">8</definedName>
    <definedName name="EV__EXPOPTIONS__" hidden="1">0</definedName>
    <definedName name="EV__LASTREFTIME__" localSheetId="7" hidden="1">41219.5160069444</definedName>
    <definedName name="EV__LASTREFTIME__" localSheetId="8" hidden="1">41219.5160069444</definedName>
    <definedName name="EV__LASTREFTIME__" hidden="1">"20/05/2008 14:24:46"</definedName>
    <definedName name="EV__LASTREFTIME___1" hidden="1">42256.4024421296</definedName>
    <definedName name="EV__LOCKEDCVW__ART_LOCAL_CONSO" hidden="1">"BS_Arteris,INPUT_IFRS,SF,ACTUAL_Y_CB,SUBGR_AUT_BRA,NON_GROUP,ALL_IC,EUR,SECTORS,SELECT_TIME,YTD,"</definedName>
    <definedName name="EV__LOCKEDCVW__AUTOPISTAS" hidden="1">"PCES_HORAPY,ACTUAL_Y_CB,CC_CG01_,TOT_DATASRC,TOT_DET,CG45,ALL_IC,PC_4500_9,SELECT_TIME,TOT_WBS_CG45,PERIODIC,"</definedName>
    <definedName name="EV__LOCKEDCVW__CORPORACION" hidden="1">"PCES_HORAPY,TOT_ACTIVITY,ACTUAL_Y_CB,CC_CG01_,TOT_DATASRC,TOT_DET,1001,ALL_IC,PC_CG01_,SELECT_TIME,TOT_WBS_CG01,PERIODIC,"</definedName>
    <definedName name="EV__LOCKEDCVW__DRIVERS_RISK" hidden="1">"ACTUAL,GLOBAL,EC_DRIVERS,EC_DATA,2004.YR,YTD,"</definedName>
    <definedName name="EV__LOCKEDCVW__EC_RISK" hidden="1">"A_SRC,ACTUAL,RealRate,EAD_TOT,EC_ENTITY_TOT,SRC_DATA,TOT_IndIndex,LGD_TOT,LoB_TOT,TOT_MC,PD_TOT,2004.YR,YTD,"</definedName>
    <definedName name="EV__LOCKEDCVW__FERGUS" hidden="1">"ALL_ACCDETAIL,LL05230,Actual,GBP,TotAdjVal,GUSSTATGP,CategoryRate,All_InterCo,2006.MAR,YTD,"</definedName>
    <definedName name="EV__LOCKEDCVW__FINANCE" localSheetId="7" hidden="1">"F99,B,ACTUAL,D_IFRS_IP_NN,RealRate,GEO_TOP,G_BPD_CL,IC_BG,LG_BO,P_TOP,2005.DEC,YTD,"</definedName>
    <definedName name="EV__LOCKEDCVW__FINANCE" localSheetId="8" hidden="1">"F99,B,ACTUAL,D_IFRS_IP_NN,RealRate,GEO_TOP,G_BPD_CL,IC_BG,LG_BO,P_TOP,2005.DEC,YTD,"</definedName>
    <definedName name="EV__LOCKEDCVW__FINANCE" hidden="1">"F_NONFLOW,PLACCTS,Actual,LC,INPUT,425NETH,CATEGORYRATE,GLOBLOB,2009.SEP,YTD,"</definedName>
    <definedName name="EV__LOCKEDCVW__FLASH" hidden="1">"QC,A_TotArea,BU_TOTGROUP,ACTUAL,CH_TotChannel,Piaggio,TotCompany,TotalTurnover,EURO,2002.TOTAL,YTD,"</definedName>
    <definedName name="EV__LOCKEDCVW__FORECAST" hidden="1">"ALL_ACCOUNTS,ACTUAL,ALL_CUSTOMER,Input,ALL_DEAL_ID,ALL_DEAL_STAT,ALL_DEAL_TYPE,B10134,ALL_GAM,ALL_PROB,ALL_REGION,2001.TOTAL,PERIODIC,"</definedName>
    <definedName name="EV__LOCKEDCVW__FS_FISCAL" hidden="1">"ACTUAL_Y_CB,CONSO,ACTIVITY_AUTOP,OUTPUT,F999,NON_GROUP,ALL_IC,EUR,SELECT_TIME,YTD,"</definedName>
    <definedName name="EV__LOCKEDCVW__FS_OWNERSHIP" hidden="1">"ACTUAL_Y_CB,ACTIVITY_AUTOP,NON_GROUP,ALL_IC,METHOD,SELECT_TIME,PERIODIC,"</definedName>
    <definedName name="EV__LOCKEDCVW__GESTIONALEGRUPPO" hidden="1">"A_BS_GR,A_GELE,ACTUAL,INPUT,PiaggioConsol,FLOW_SP,NON_INTERCO,LC,2005.APR,YTD,"</definedName>
    <definedName name="EV__LOCKEDCVW__GESTIONALEPEC" hidden="1">"A_CER,ACTUAL,TotalAdj,E_BU,2002.TOTAL,YTD,"</definedName>
    <definedName name="EV__LOCKEDCVW__HEADCOUNT" hidden="1">"ALL_ACCOUNTS,ACTUAL,TotalAdj,ALL_DEPARTMENT,ALL_ENTITY,2001.TOTAL,PERIODIC,"</definedName>
    <definedName name="EV__LOCKEDCVW__HHRR_BUDGET" hidden="1">"Headcount,ACTUAL_Y_CB,CC_CG01_ABERTIS,TOT_DATASRC,TOT_DET,1001,TOT_FA,ALL_IC,PC_CG01_CG01,SELECT_TIME,PERIODIC,"</definedName>
    <definedName name="EV__LOCKEDCVW__INTERCOMPANY" hidden="1">"Actual,LC,Input,001NEWEXP,TYBudgetRate,INTCOPL,All_InterCo,GLOBLOB,FY2003_04.TOTAL,YTD,"</definedName>
    <definedName name="EV__LOCKEDCVW__MEZZI_E_SERVIZI" hidden="1">"A_TOT,ACTUAL,TotalAdj,E_TOT,2002.TOTAL,YTD,"</definedName>
    <definedName name="EV__LOCKEDCVW__OWNERSHIP" localSheetId="7" hidden="1">"ACTUAL,LC,TPTOP,L_CENTR_V,PCON,2005.DEC,YTD,"</definedName>
    <definedName name="EV__LOCKEDCVW__OWNERSHIP" localSheetId="8" hidden="1">"ACTUAL,LC,TPTOP,L_CENTR_V,PCON,2005.DEC,YTD,"</definedName>
    <definedName name="EV__LOCKEDCVW__OWNERSHIP" hidden="1">"Actual,LC,001NEWEXP,All_InterCo,GLOBLOB,PCON,FY2003_04.TOTAL,YTD,"</definedName>
    <definedName name="EV__LOCKEDCVW__PRODUCT" hidden="1">"ALL_ACCOUNTS,ACTUAL,TotalAdj,ALL_ENTITY,ALL_PRODUCT,2001.TOTAL,PERIODIC,"</definedName>
    <definedName name="EV__LOCKEDCVW__RATE" localSheetId="7" hidden="1">"ACTUAL,DZD,Avg,Global,2005.YR,YTD,"</definedName>
    <definedName name="EV__LOCKEDCVW__RATE" localSheetId="8" hidden="1">"ACTUAL,DZD,Avg,Global,2005.YR,YTD,"</definedName>
    <definedName name="EV__LOCKEDCVW__RATE" hidden="1">"Actual,DZD,ALLRATE,Global,FY2003_04.TOTAL,YTD,"</definedName>
    <definedName name="EV__LOCKEDCVW__RC_RISK" hidden="1">"ACTUAL,AC_B99999,FL_TOT,OT_ETTOT,RU_200016,TE_UCR_TOT,2004.YR,YTD,"</definedName>
    <definedName name="EV__LOCKEDCVW__SERVICES" hidden="1">"ACTUAL,TotalAdj,ALL_ENTITY,UNSPEC_PS_ACCOUNT,ALL_PS_CUSTOMER,ALL_PS_PROJECT_ID,ALL_SVC_TYPE,2001.TOTAL,PERIODIC,"</definedName>
    <definedName name="EV__LOCKEDCVW__SF_LOCAL_SANEF" hidden="1">"ACTUAL_Y_CB,ACTIVITY_AUTOP,NON_GROUP,ALL_IC,EUR,BS,CC_NONE,CONSO,TOTAL_AMOUNT,SF,TOTAL_IFRS_ADJ,SELECT_TIME,YTD,"</definedName>
    <definedName name="EV__LOCKEDCVW__SUPPLYCHAIN" hidden="1">"CC4HO,ACTUAL,e450,EUR,psFrozen,lNone,sDEL,2010.SEP,YTD,"</definedName>
    <definedName name="EV__LOCKEDCVW__TELECOM" hidden="1">"PCES_HORAPY,ACTUAL_Y_CB,CC_CG08_CG08,TOT_CUSTOMER,TOT_DATASRC,TOT_DET,CG08,ALL_IC,INV_NONE,TOT_LOCATION,PC_CG08_CG08,SELECT_TIME,TOT_WBS_CG08,PERIODIC,"</definedName>
    <definedName name="EV__LOCKEDCVW__VEICOLI" hidden="1">"Support,A_US0000,B_TotBrand,BU_1,ACTUAL,CH_2R,TotCustThird,TotalAdj,PiaggioGroup,TOTCONSOLSTD,1A,EURO,2004.DEC,YTD,"</definedName>
    <definedName name="EV__LOCKSTATUS__" localSheetId="7" hidden="1">2</definedName>
    <definedName name="EV__LOCKSTATUS__" localSheetId="8" hidden="1">2</definedName>
    <definedName name="EV__LOCKSTATUS__" hidden="1">4</definedName>
    <definedName name="EV__MAXEXPCOLS__" hidden="1">100</definedName>
    <definedName name="EV__MAXEXPROWS__" hidden="1">1000</definedName>
    <definedName name="EV__MEMORYCVW__" hidden="1">0</definedName>
    <definedName name="EV__MEMORYCVW__01_MEN_REP_12.XLSM" hidden="1">"[FINANCE"</definedName>
    <definedName name="EV__MEMORYCVW__01_MEN_REP_12.XLSM_ACCOUNT_FIN" hidden="1">"[BS"</definedName>
    <definedName name="EV__MEMORYCVW__01_MEN_REP_12.XLSM_CATEGORY" hidden="1">"[COMP_PREV_YEAR"</definedName>
    <definedName name="EV__MEMORYCVW__01_MEN_REP_12.XLSM_COUNTRY" hidden="1">"[JER_1"</definedName>
    <definedName name="EV__MEMORYCVW__01_MEN_REP_12.XLSM_CUSTOM_1" hidden="1">"[DUMMY_C1"</definedName>
    <definedName name="EV__MEMORYCVW__01_MEN_REP_12.XLSM_CUSTOM_2" hidden="1">"[DUMMY_C2"</definedName>
    <definedName name="EV__MEMORYCVW__01_MEN_REP_12.XLSM_DATASRC" hidden="1">"[CONSO_2"</definedName>
    <definedName name="EV__MEMORYCVW__01_MEN_REP_12.XLSM_ENTITY" hidden="1">"[E193"</definedName>
    <definedName name="EV__MEMORYCVW__01_MEN_REP_12.XLSM_FLOW" hidden="1">"[SF"</definedName>
    <definedName name="EV__MEMORYCVW__01_MEN_REP_12.XLSM_GROUPS" hidden="1">"[G_193"</definedName>
    <definedName name="EV__MEMORYCVW__01_MEN_REP_12.XLSM_INTCO" hidden="1">"[ALL_IC"</definedName>
    <definedName name="EV__MEMORYCVW__01_MEN_REP_12.XLSM_MEASURES" hidden="1">"[YTD"</definedName>
    <definedName name="EV__MEMORYCVW__01_MEN_REP_12.XLSM_RPTCURRENCY" hidden="1">"[EUR"</definedName>
    <definedName name="EV__MEMORYCVW__01_MEN_REP_12.XLSM_SECTOR" hidden="1">"[SECTORS"</definedName>
    <definedName name="EV__MEMORYCVW__01_MEN_REP_12.XLSM_TIME" hidden="1">"[2012.JUN"</definedName>
    <definedName name="EV__MEMORYCVW__01_MEN_REP_12_FUNDACIO_OFFLINE_JUN.XLSM" hidden="1">"[FINANCE"</definedName>
    <definedName name="EV__MEMORYCVW__01_MEN_REP_12_FUNDACIO_OFFLINE_JUN.XLSM_ACCOUNT_FIN" hidden="1">"[BS"</definedName>
    <definedName name="EV__MEMORYCVW__01_MEN_REP_12_FUNDACIO_OFFLINE_JUN.XLSM_CATEGORY" hidden="1">"[ACTUAL"</definedName>
    <definedName name="EV__MEMORYCVW__01_MEN_REP_12_FUNDACIO_OFFLINE_JUN.XLSM_COUNTRY" hidden="1">"[JER_1"</definedName>
    <definedName name="EV__MEMORYCVW__01_MEN_REP_12_FUNDACIO_OFFLINE_JUN.XLSM_CUSTOM_1" hidden="1">"[DUMMY_C1"</definedName>
    <definedName name="EV__MEMORYCVW__01_MEN_REP_12_FUNDACIO_OFFLINE_JUN.XLSM_CUSTOM_2" hidden="1">"[DUMMY_C2"</definedName>
    <definedName name="EV__MEMORYCVW__01_MEN_REP_12_FUNDACIO_OFFLINE_JUN.XLSM_DATASRC" hidden="1">"[CONSO"</definedName>
    <definedName name="EV__MEMORYCVW__01_MEN_REP_12_FUNDACIO_OFFLINE_JUN.XLSM_ENTITY" hidden="1">"[1117"</definedName>
    <definedName name="EV__MEMORYCVW__01_MEN_REP_12_FUNDACIO_OFFLINE_JUN.XLSM_FLOW" hidden="1">"[SF"</definedName>
    <definedName name="EV__MEMORYCVW__01_MEN_REP_12_FUNDACIO_OFFLINE_JUN.XLSM_GROUPS" hidden="1">"[G_113"</definedName>
    <definedName name="EV__MEMORYCVW__01_MEN_REP_12_FUNDACIO_OFFLINE_JUN.XLSM_INTCO" hidden="1">"[ALL_IC"</definedName>
    <definedName name="EV__MEMORYCVW__01_MEN_REP_12_FUNDACIO_OFFLINE_JUN.XLSM_MEASURES" hidden="1">"[YTD"</definedName>
    <definedName name="EV__MEMORYCVW__01_MEN_REP_12_FUNDACIO_OFFLINE_JUN.XLSM_RPTCURRENCY" hidden="1">"[EUR"</definedName>
    <definedName name="EV__MEMORYCVW__01_MEN_REP_12_FUNDACIO_OFFLINE_JUN.XLSM_SECTOR" hidden="1">"[SECTORS"</definedName>
    <definedName name="EV__MEMORYCVW__01_MEN_REP_12_FUNDACIO_OFFLINE_JUN.XLSM_TIME" hidden="1">"[2012.FEB"</definedName>
    <definedName name="EV__MEMORYCVW__01_MEN_REP_12_PATCH1.XLSM" hidden="1">"[FINANCE"</definedName>
    <definedName name="EV__MEMORYCVW__01_MEN_REP_12_PATCH1.XLSM_ACCOUNT_FIN" hidden="1">"[BS"</definedName>
    <definedName name="EV__MEMORYCVW__01_MEN_REP_12_PATCH1.XLSM_CATEGORY" hidden="1">"[ACTUAL"</definedName>
    <definedName name="EV__MEMORYCVW__01_MEN_REP_12_PATCH1.XLSM_COUNTRY" hidden="1">"[JER_1"</definedName>
    <definedName name="EV__MEMORYCVW__01_MEN_REP_12_PATCH1.XLSM_CUSTOM_1" hidden="1">"[DUMMY_C1"</definedName>
    <definedName name="EV__MEMORYCVW__01_MEN_REP_12_PATCH1.XLSM_CUSTOM_2" hidden="1">"[DUMMY_C2"</definedName>
    <definedName name="EV__MEMORYCVW__01_MEN_REP_12_PATCH1.XLSM_DATASRC" hidden="1">"[CONSO"</definedName>
    <definedName name="EV__MEMORYCVW__01_MEN_REP_12_PATCH1.XLSM_ENTITY" hidden="1">"[1061"</definedName>
    <definedName name="EV__MEMORYCVW__01_MEN_REP_12_PATCH1.XLSM_FLOW" hidden="1">"[SF"</definedName>
    <definedName name="EV__MEMORYCVW__01_MEN_REP_12_PATCH1.XLSM_GROUPS" hidden="1">"[NON_GROUP"</definedName>
    <definedName name="EV__MEMORYCVW__01_MEN_REP_12_PATCH1.XLSM_INTCO" hidden="1">"[ALL_IC"</definedName>
    <definedName name="EV__MEMORYCVW__01_MEN_REP_12_PATCH1.XLSM_MEASURES" hidden="1">"[YTD"</definedName>
    <definedName name="EV__MEMORYCVW__01_MEN_REP_12_PATCH1.XLSM_RPTCURRENCY" hidden="1">"[LC"</definedName>
    <definedName name="EV__MEMORYCVW__01_MEN_REP_12_PATCH1.XLSM_SECTOR" hidden="1">"[SECTORS"</definedName>
    <definedName name="EV__MEMORYCVW__01_MEN_REP_12_PATCH1.XLSM_TIME" hidden="1">"[2010.DEC"</definedName>
    <definedName name="EV__MEMORYCVW__01_MEN_REP_12_PATCH2.XLSM" hidden="1">"[FINANCE"</definedName>
    <definedName name="EV__MEMORYCVW__01_MEN_REP_12_PATCH2.XLSM_ACCOUNT_FIN" hidden="1">"[100000"</definedName>
    <definedName name="EV__MEMORYCVW__01_MEN_REP_12_PATCH2.XLSM_CATEGORY" hidden="1">"[ACTUAL"</definedName>
    <definedName name="EV__MEMORYCVW__01_MEN_REP_12_PATCH2.XLSM_COUNTRY" hidden="1">"[ES"</definedName>
    <definedName name="EV__MEMORYCVW__01_MEN_REP_12_PATCH2.XLSM_CUSTOM_1" hidden="1">"[DUMMY_C1"</definedName>
    <definedName name="EV__MEMORYCVW__01_MEN_REP_12_PATCH2.XLSM_CUSTOM_2" hidden="1">"[DUMMY_C2"</definedName>
    <definedName name="EV__MEMORYCVW__01_MEN_REP_12_PATCH2.XLSM_DATASRC" hidden="1">"[RE_LC"</definedName>
    <definedName name="EV__MEMORYCVW__01_MEN_REP_12_PATCH2.XLSM_ENTITY" hidden="1">"[1113"</definedName>
    <definedName name="EV__MEMORYCVW__01_MEN_REP_12_PATCH2.XLSM_FLOW" hidden="1">"[F99"</definedName>
    <definedName name="EV__MEMORYCVW__01_MEN_REP_12_PATCH2.XLSM_GROUPS" hidden="1">"[NON_GROUP"</definedName>
    <definedName name="EV__MEMORYCVW__01_MEN_REP_12_PATCH2.XLSM_INTCO" hidden="1">"[I_NONE"</definedName>
    <definedName name="EV__MEMORYCVW__01_MEN_REP_12_PATCH2.XLSM_MEASURES" hidden="1">"[YTD"</definedName>
    <definedName name="EV__MEMORYCVW__01_MEN_REP_12_PATCH2.XLSM_RPTCURRENCY" hidden="1">"[LC"</definedName>
    <definedName name="EV__MEMORYCVW__01_MEN_REP_12_PATCH2.XLSM_SECTOR" hidden="1">"[CONC_ESP"</definedName>
    <definedName name="EV__MEMORYCVW__01_MEN_REP_12_PATCH2.XLSM_TIME" hidden="1">"[2026.DEC"</definedName>
    <definedName name="EV__MEMORYCVW__01_MEN_REP_12_V2.XLSM" hidden="1">"[ACTIVITY"</definedName>
    <definedName name="EV__MEMORYCVW__01_MEN_REP_12_V2.XLSM_ACCOUNT_ACT" hidden="1">"[ACC_ACT_AUTOP"</definedName>
    <definedName name="EV__MEMORYCVW__01_MEN_REP_12_V2.XLSM_ACCOUNT_FIN" hidden="1">"[BS"</definedName>
    <definedName name="EV__MEMORYCVW__01_MEN_REP_12_V2.XLSM_CATEGORY" hidden="1">"[ACTUAL"</definedName>
    <definedName name="EV__MEMORYCVW__01_MEN_REP_12_V2.XLSM_COUNTRY" hidden="1">"[JER_1"</definedName>
    <definedName name="EV__MEMORYCVW__01_MEN_REP_12_V2.XLSM_CUSTOM_1" hidden="1">"[DUMMY_C1"</definedName>
    <definedName name="EV__MEMORYCVW__01_MEN_REP_12_V2.XLSM_CUSTOM_2" hidden="1">"[DUMMY_C2"</definedName>
    <definedName name="EV__MEMORYCVW__01_MEN_REP_12_V2.XLSM_DATASRC" hidden="1">"[CONSO_2"</definedName>
    <definedName name="EV__MEMORYCVW__01_MEN_REP_12_V2.XLSM_DATASRC_ACT" hidden="1">"[INPUT"</definedName>
    <definedName name="EV__MEMORYCVW__01_MEN_REP_12_V2.XLSM_ENTITY" hidden="1">"[E001"</definedName>
    <definedName name="EV__MEMORYCVW__01_MEN_REP_12_V2.XLSM_FLOW" hidden="1">"[SF"</definedName>
    <definedName name="EV__MEMORYCVW__01_MEN_REP_12_V2.XLSM_GROUPS" hidden="1">"[G_113"</definedName>
    <definedName name="EV__MEMORYCVW__01_MEN_REP_12_V2.XLSM_INTCO" hidden="1">"[ALL_IC"</definedName>
    <definedName name="EV__MEMORYCVW__01_MEN_REP_12_V2.XLSM_MEASURES" hidden="1">"[YTD"</definedName>
    <definedName name="EV__MEMORYCVW__01_MEN_REP_12_V2.XLSM_RPTCURRENCY" hidden="1">"[EUR"</definedName>
    <definedName name="EV__MEMORYCVW__01_MEN_REP_12_V2.XLSM_SECTIONS" hidden="1">"[TRMODUMMY"</definedName>
    <definedName name="EV__MEMORYCVW__01_MEN_REP_12_V2.XLSM_SECTOR" hidden="1">"[SECTORS"</definedName>
    <definedName name="EV__MEMORYCVW__01_MEN_REP_12_V2.XLSM_TIME" hidden="1">"[2012.APR"</definedName>
    <definedName name="EV__MEMORYCVW__01_MEN_REP_121" hidden="1">"[Ownership"</definedName>
    <definedName name="EV__MEMORYCVW__01_MEN_REP_121_ACCOUNT_FIN" hidden="1">"[BS"</definedName>
    <definedName name="EV__MEMORYCVW__01_MEN_REP_121_CATEGORY" hidden="1">"[UPA_Y_CB"</definedName>
    <definedName name="EV__MEMORYCVW__01_MEN_REP_121_COUNTRY" hidden="1">"[JER_1"</definedName>
    <definedName name="EV__MEMORYCVW__01_MEN_REP_121_CUSTOM_1" hidden="1">"[DUMMY_C1"</definedName>
    <definedName name="EV__MEMORYCVW__01_MEN_REP_121_CUSTOM_2" hidden="1">"[DUMMY_C2"</definedName>
    <definedName name="EV__MEMORYCVW__01_MEN_REP_121_DATASRC" hidden="1">"[CONSO"</definedName>
    <definedName name="EV__MEMORYCVW__01_MEN_REP_121_ENTITY" hidden="1">"[ACTIVITY_AUTOP"</definedName>
    <definedName name="EV__MEMORYCVW__01_MEN_REP_121_FLOW" hidden="1">"[SF"</definedName>
    <definedName name="EV__MEMORYCVW__01_MEN_REP_121_GROUPS" hidden="1">"[NON_GROUP"</definedName>
    <definedName name="EV__MEMORYCVW__01_MEN_REP_121_INTCO" hidden="1">"[ALL_IC"</definedName>
    <definedName name="EV__MEMORYCVW__01_MEN_REP_121_MEASURES" hidden="1">"[YTD"</definedName>
    <definedName name="EV__MEMORYCVW__01_MEN_REP_121_RPTCURRENCY" hidden="1">"[EUR"</definedName>
    <definedName name="EV__MEMORYCVW__01_MEN_REP_121_SECTOR" hidden="1">"[SECTORS"</definedName>
    <definedName name="EV__MEMORYCVW__01_MEN_REP_121_TIME" hidden="1">"[SELECT_TIME"</definedName>
    <definedName name="EV__MEMORYCVW__01_MEN_REP_12V2.XLSM" hidden="1">"[FINANCE"</definedName>
    <definedName name="EV__MEMORYCVW__01_MEN_REP_2011.XLSM" hidden="1">"[FINANCE"</definedName>
    <definedName name="EV__MEMORYCVW__01_MEN_REP_2011.XLSM_ACCOUNT_FIN" hidden="1">"[RDOGRUPO"</definedName>
    <definedName name="EV__MEMORYCVW__01_MEN_REP_2011.XLSM_CATEGORY" hidden="1">"[ACTUAL"</definedName>
    <definedName name="EV__MEMORYCVW__01_MEN_REP_2011.XLSM_COUNTRY" hidden="1">"[JER_1"</definedName>
    <definedName name="EV__MEMORYCVW__01_MEN_REP_2011.XLSM_CUSTOM_1" hidden="1">"[DUMMY_C1"</definedName>
    <definedName name="EV__MEMORYCVW__01_MEN_REP_2011.XLSM_CUSTOM_2" hidden="1">"[DUMMY_C2"</definedName>
    <definedName name="EV__MEMORYCVW__01_MEN_REP_2011.XLSM_DATASRC" hidden="1">"[AJ_POST"</definedName>
    <definedName name="EV__MEMORYCVW__01_MEN_REP_2011.XLSM_ENTITY" hidden="1">"[1051"</definedName>
    <definedName name="EV__MEMORYCVW__01_MEN_REP_2011.XLSM_FLOW" hidden="1">"[SF"</definedName>
    <definedName name="EV__MEMORYCVW__01_MEN_REP_2011.XLSM_GROUPS" hidden="1">"[G_001"</definedName>
    <definedName name="EV__MEMORYCVW__01_MEN_REP_2011.XLSM_INTCO" hidden="1">"[ALL_IC"</definedName>
    <definedName name="EV__MEMORYCVW__01_MEN_REP_2011.XLSM_MEASURES" hidden="1">"[YTD"</definedName>
    <definedName name="EV__MEMORYCVW__01_MEN_REP_2011.XLSM_RPTCURRENCY" hidden="1">"[GBP"</definedName>
    <definedName name="EV__MEMORYCVW__01_MEN_REP_2011.XLSM_SECTOR" hidden="1">"[SECTORS"</definedName>
    <definedName name="EV__MEMORYCVW__01_MEN_REP_2011.XLSM_TIME" hidden="1">"[2010.DEC"</definedName>
    <definedName name="EV__MEMORYCVW__01_MEN_REP_AUCAT_2011_06.XLSM" hidden="1">"[FINANCE"</definedName>
    <definedName name="EV__MEMORYCVW__01_MEN_REP_AUCAT_2011_06.XLSM_ACCOUNT_ACT" hidden="1">"[ACC_ACT_000001"</definedName>
    <definedName name="EV__MEMORYCVW__01_MEN_REP_AUCAT_2011_06.XLSM_ACCOUNT_FIN" hidden="1">"[RDOGRUPO"</definedName>
    <definedName name="EV__MEMORYCVW__01_MEN_REP_AUCAT_2011_06.XLSM_ACCOUNT_RRHH" hidden="1">"[ACC_RRHH_000200"</definedName>
    <definedName name="EV__MEMORYCVW__01_MEN_REP_AUCAT_2011_06.XLSM_CATEGORY" hidden="1">"[ACTUAL"</definedName>
    <definedName name="EV__MEMORYCVW__01_MEN_REP_AUCAT_2011_06.XLSM_COUNTRY" hidden="1">"[JER_1"</definedName>
    <definedName name="EV__MEMORYCVW__01_MEN_REP_AUCAT_2011_06.XLSM_CUSTOM_1" hidden="1">"[DUMMY_C1"</definedName>
    <definedName name="EV__MEMORYCVW__01_MEN_REP_AUCAT_2011_06.XLSM_CUSTOM_2" hidden="1">"[DUMMY_C2"</definedName>
    <definedName name="EV__MEMORYCVW__01_MEN_REP_AUCAT_2011_06.XLSM_DATASRC" hidden="1">"[AJ_POST"</definedName>
    <definedName name="EV__MEMORYCVW__01_MEN_REP_AUCAT_2011_06.XLSM_DATASRC_ACT" hidden="1">"[INPUT_CORR"</definedName>
    <definedName name="EV__MEMORYCVW__01_MEN_REP_AUCAT_2011_06.XLSM_DEPARTMENT" hidden="1">"[DEP_RRHH_021700"</definedName>
    <definedName name="EV__MEMORYCVW__01_MEN_REP_AUCAT_2011_06.XLSM_ENTITY" hidden="1">"[1113"</definedName>
    <definedName name="EV__MEMORYCVW__01_MEN_REP_AUCAT_2011_06.XLSM_FLOW" hidden="1">"[SF"</definedName>
    <definedName name="EV__MEMORYCVW__01_MEN_REP_AUCAT_2011_06.XLSM_FLOW_RRHH" hidden="1">"[F_VAR"</definedName>
    <definedName name="EV__MEMORYCVW__01_MEN_REP_AUCAT_2011_06.XLSM_GROUPS" hidden="1">"[G_001"</definedName>
    <definedName name="EV__MEMORYCVW__01_MEN_REP_AUCAT_2011_06.XLSM_INTCO" hidden="1">"[ALL_IC"</definedName>
    <definedName name="EV__MEMORYCVW__01_MEN_REP_AUCAT_2011_06.XLSM_MEASURES" hidden="1">"[YTD"</definedName>
    <definedName name="EV__MEMORYCVW__01_MEN_REP_AUCAT_2011_06.XLSM_RPTCURRENCY" hidden="1">"[GBP"</definedName>
    <definedName name="EV__MEMORYCVW__01_MEN_REP_AUCAT_2011_06.XLSM_SECTIONS" hidden="1">"[TRMODUMMY"</definedName>
    <definedName name="EV__MEMORYCVW__01_MEN_REP_AUCAT_2011_06.XLSM_SECTOR" hidden="1">"[SECTORS"</definedName>
    <definedName name="EV__MEMORYCVW__01_MEN_REP_AUCAT_2011_06.XLSM_SEX" hidden="1">"[TOT_SEX"</definedName>
    <definedName name="EV__MEMORYCVW__01_MEN_REP_AUCAT_2011_06.XLSM_TIME" hidden="1">"[2013.FEB"</definedName>
    <definedName name="EV__MEMORYCVW__06_PRE_REP_12.XLSM" hidden="1">"[FINANCE"</definedName>
    <definedName name="EV__MEMORYCVW__06_PRE_REP_12.XLSM_ACCOUNT_FIN" hidden="1">"[BS"</definedName>
    <definedName name="EV__MEMORYCVW__06_PRE_REP_12.XLSM_CATEGORY" hidden="1">"[ACTUAL"</definedName>
    <definedName name="EV__MEMORYCVW__06_PRE_REP_12.XLSM_COUNTRY" hidden="1">"[JER_1"</definedName>
    <definedName name="EV__MEMORYCVW__06_PRE_REP_12.XLSM_CUSTOM_1" hidden="1">"[DUMMY_C1"</definedName>
    <definedName name="EV__MEMORYCVW__06_PRE_REP_12.XLSM_CUSTOM_2" hidden="1">"[DUMMY_C2"</definedName>
    <definedName name="EV__MEMORYCVW__06_PRE_REP_12.XLSM_DATASRC" hidden="1">"[CONSO_2"</definedName>
    <definedName name="EV__MEMORYCVW__06_PRE_REP_12.XLSM_ENTITY" hidden="1">"[1001"</definedName>
    <definedName name="EV__MEMORYCVW__06_PRE_REP_12.XLSM_FLOW" hidden="1">"[SF"</definedName>
    <definedName name="EV__MEMORYCVW__06_PRE_REP_12.XLSM_GROUPS" hidden="1">"[G_001"</definedName>
    <definedName name="EV__MEMORYCVW__06_PRE_REP_12.XLSM_INTCO" hidden="1">"[ALL_IC"</definedName>
    <definedName name="EV__MEMORYCVW__06_PRE_REP_12.XLSM_MEASURES" hidden="1">"[YTD"</definedName>
    <definedName name="EV__MEMORYCVW__06_PRE_REP_12.XLSM_RPTCURRENCY" hidden="1">"[EUR"</definedName>
    <definedName name="EV__MEMORYCVW__06_PRE_REP_12.XLSM_SECTOR" hidden="1">"[SECTORS"</definedName>
    <definedName name="EV__MEMORYCVW__06_PRE_REP_12.XLSM_TIME" hidden="1">"[2012.MAR"</definedName>
    <definedName name="EV__MEMORYCVW__06_PRE_REP_2013.XLSM" hidden="1">"[FINANCE"</definedName>
    <definedName name="EV__MEMORYCVW__06_PRE_REP_2013_DEF_RETEVISION.XLSM" hidden="1">"[TELECOM"</definedName>
    <definedName name="EV__MEMORYCVW__06_PRE_REP_INPUTOUTPUT.XLSM" hidden="1">"[HHRR"</definedName>
    <definedName name="EV__MEMORYCVW__121B.XLSM" hidden="1">"[FINANCE"</definedName>
    <definedName name="EV__MEMORYCVW__121B.XLSM_ACCOUNT_FIN" hidden="1">"[BS"</definedName>
    <definedName name="EV__MEMORYCVW__121B.XLSM_CATEGORY" hidden="1">"[ACTUAL_Y_CB"</definedName>
    <definedName name="EV__MEMORYCVW__121B.XLSM_COUNTRY" hidden="1">"[JER_1"</definedName>
    <definedName name="EV__MEMORYCVW__121B.XLSM_CUSTOM_1" hidden="1">"[DUMMY_C1"</definedName>
    <definedName name="EV__MEMORYCVW__121B.XLSM_CUSTOM_2" hidden="1">"[DUMMY_C2"</definedName>
    <definedName name="EV__MEMORYCVW__121B.XLSM_DATASRC" hidden="1">"[CONSO"</definedName>
    <definedName name="EV__MEMORYCVW__121B.XLSM_ENTITY" hidden="1">"[DUME"</definedName>
    <definedName name="EV__MEMORYCVW__121B.XLSM_FLOW" hidden="1">"[SF"</definedName>
    <definedName name="EV__MEMORYCVW__121B.XLSM_GROUPS" hidden="1">"[G_113"</definedName>
    <definedName name="EV__MEMORYCVW__121B.XLSM_INTCO" hidden="1">"[ALL_IC"</definedName>
    <definedName name="EV__MEMORYCVW__121B.XLSM_MEASURES" hidden="1">"[YTD"</definedName>
    <definedName name="EV__MEMORYCVW__121B.XLSM_RPTCURRENCY" hidden="1">"[EUR"</definedName>
    <definedName name="EV__MEMORYCVW__121B.XLSM_SECTOR" hidden="1">"[SECTORS"</definedName>
    <definedName name="EV__MEMORYCVW__121B.XLSM_TIME" hidden="1">"[SELECT_TIME"</definedName>
    <definedName name="EV__MEMORYCVW__23_VARIOS.XLSM" hidden="1">"[FINANCE"</definedName>
    <definedName name="EV__MEMORYCVW__6FEB.XLSX" hidden="1">"[FINANCE"</definedName>
    <definedName name="EV__MEMORYCVW__6FEB.XLSX_ACCOUNT_FIN" hidden="1">"[RDOGRUPO"</definedName>
    <definedName name="EV__MEMORYCVW__6FEB.XLSX_CATEGORY" hidden="1">"[ACTUAL"</definedName>
    <definedName name="EV__MEMORYCVW__6FEB.XLSX_COUNTRY" hidden="1">"[JER_1"</definedName>
    <definedName name="EV__MEMORYCVW__6FEB.XLSX_CUSTOM_1" hidden="1">"[DUMMY_C1"</definedName>
    <definedName name="EV__MEMORYCVW__6FEB.XLSX_CUSTOM_2" hidden="1">"[DUMMY_C2"</definedName>
    <definedName name="EV__MEMORYCVW__6FEB.XLSX_DATASRC" hidden="1">"[AJ_POST"</definedName>
    <definedName name="EV__MEMORYCVW__6FEB.XLSX_ENTITY" hidden="1">"[1002"</definedName>
    <definedName name="EV__MEMORYCVW__6FEB.XLSX_FLOW" hidden="1">"[SF"</definedName>
    <definedName name="EV__MEMORYCVW__6FEB.XLSX_GROUPS" hidden="1">"[G_001"</definedName>
    <definedName name="EV__MEMORYCVW__6FEB.XLSX_INTCO" hidden="1">"[ALL_IC"</definedName>
    <definedName name="EV__MEMORYCVW__6FEB.XLSX_MEASURES" hidden="1">"[YTD"</definedName>
    <definedName name="EV__MEMORYCVW__6FEB.XLSX_RPTCURRENCY" hidden="1">"[GBP"</definedName>
    <definedName name="EV__MEMORYCVW__6FEB.XLSX_SECTOR" hidden="1">"[SECTORS"</definedName>
    <definedName name="EV__MEMORYCVW__6FEB.XLSX_TIME" hidden="1">"[2004.MAY"</definedName>
    <definedName name="EV__MEMORYCVW__BOOK2_ACCOUNT_EXPS" hidden="1">"Expenses"</definedName>
    <definedName name="EV__MEMORYCVW__BOOK2_COSTCENTER" hidden="1">"CCNS"</definedName>
    <definedName name="EV__MEMORYCVW__BOOK2_ENTITY_CC" hidden="1">"1020_CC4925"</definedName>
    <definedName name="EV__MEMORYCVW__BOOK2_KEYACCOUNT" hidden="1">"KeyAcc_01"</definedName>
    <definedName name="EV__MEMORYCVW__BOOK4" hidden="1">"RATE"</definedName>
    <definedName name="EV__MEMORYCVW__BOOK4_ACTIVEAPPLICATION" hidden="1">"RATE"</definedName>
    <definedName name="EV__MEMORYCVW__BOOK4_CATEGORY" hidden="1">"BUDGET"</definedName>
    <definedName name="EV__MEMORYCVW__BOOK4_INPUTCURRENCY" hidden="1">"ARS"</definedName>
    <definedName name="EV__MEMORYCVW__BOOK4_MEASURES" hidden="1">"PERIODIC"</definedName>
    <definedName name="EV__MEMORYCVW__BOOK4_RATE" hidden="1">"Avg"</definedName>
    <definedName name="EV__MEMORYCVW__BOOK4_RATEENTITY" hidden="1">"RateCalc"</definedName>
    <definedName name="EV__MEMORYCVW__BOOK4_TIME" hidden="1">"FY2007.JUL"</definedName>
    <definedName name="EV__MEMORYCVW__BORRADOR.XLSM" hidden="1">"[HHRR"</definedName>
    <definedName name="EV__MEMORYCVW__BORRADOR.XLSM_ACCOUNT_RRHH" hidden="1">"[ACC_RRHH_000200"</definedName>
    <definedName name="EV__MEMORYCVW__BORRADOR.XLSM_CATEGORY" hidden="1">"[ACTUAL"</definedName>
    <definedName name="EV__MEMORYCVW__BORRADOR.XLSM_COUNTRY" hidden="1">"[JER_1"</definedName>
    <definedName name="EV__MEMORYCVW__BORRADOR.XLSM_CUSTOM_1" hidden="1">"[DUMMY_C1"</definedName>
    <definedName name="EV__MEMORYCVW__BORRADOR.XLSM_CUSTOM_2" hidden="1">"[DUMMY_C2"</definedName>
    <definedName name="EV__MEMORYCVW__BORRADOR.XLSM_DATASRC" hidden="1">"[CONSO"</definedName>
    <definedName name="EV__MEMORYCVW__BORRADOR.XLSM_DEPARTMENT" hidden="1">"[DEP_RRHH_021700"</definedName>
    <definedName name="EV__MEMORYCVW__BORRADOR.XLSM_ENTITY" hidden="1">"[DUME"</definedName>
    <definedName name="EV__MEMORYCVW__BORRADOR.XLSM_FLOW_RRHH" hidden="1">"[F_VAR"</definedName>
    <definedName name="EV__MEMORYCVW__BORRADOR.XLSM_GROUPS" hidden="1">"[NON_GROUP"</definedName>
    <definedName name="EV__MEMORYCVW__BORRADOR.XLSM_MEASURES" hidden="1">"[PERIODIC"</definedName>
    <definedName name="EV__MEMORYCVW__BORRADOR.XLSM_SECTOR" hidden="1">"[SECTORS"</definedName>
    <definedName name="EV__MEMORYCVW__BORRADOR.XLSM_SEX" hidden="1">"[TOT_SEX"</definedName>
    <definedName name="EV__MEMORYCVW__BORRADOR.XLSM_TIME" hidden="1">"[SELECT_TIME"</definedName>
    <definedName name="EV__MEMORYCVW__CLASSEUR2_ACCOUNT_RRHH" hidden="1">"[ACC_RRHH_000200"</definedName>
    <definedName name="EV__MEMORYCVW__CLASSEUR2_DATASRC_I_HR" hidden="1">"[TOTAL_DATASRC_I_HR"</definedName>
    <definedName name="EV__MEMORYCVW__CLASSEUR2_DEPARTMENT" hidden="1">"[DEP_RRHH_021700"</definedName>
    <definedName name="EV__MEMORYCVW__CLASSEUR2_FLOW_RRHH" hidden="1">"[F_VAR"</definedName>
    <definedName name="EV__MEMORYCVW__CLASSEUR2_SEX" hidden="1">"[TOT_SEX"</definedName>
    <definedName name="EV__MEMORYCVW__COLUMNAR_CONSO_SOC_SELECCIONABLE_PL1" hidden="1">"[FINANCE"</definedName>
    <definedName name="EV__MEMORYCVW__COLUMNAR_CONSO_SOC_SELECCIONABLE_PL1_ACCOUNT_FIN" hidden="1">"[RDOGRUPO"</definedName>
    <definedName name="EV__MEMORYCVW__COLUMNAR_CONSO_SOC_SELECCIONABLE_PL1_CATEGORY" hidden="1">"[ACTUAL"</definedName>
    <definedName name="EV__MEMORYCVW__COLUMNAR_CONSO_SOC_SELECCIONABLE_PL1_COUNTRY" hidden="1">"[JER_1"</definedName>
    <definedName name="EV__MEMORYCVW__COLUMNAR_CONSO_SOC_SELECCIONABLE_PL1_CUSTOM_1" hidden="1">"[DUMMY_C1"</definedName>
    <definedName name="EV__MEMORYCVW__COLUMNAR_CONSO_SOC_SELECCIONABLE_PL1_CUSTOM_2" hidden="1">"[DUMMY_C2"</definedName>
    <definedName name="EV__MEMORYCVW__COLUMNAR_CONSO_SOC_SELECCIONABLE_PL1_DATASRC" hidden="1">"[AJ_POST"</definedName>
    <definedName name="EV__MEMORYCVW__COLUMNAR_CONSO_SOC_SELECCIONABLE_PL1_ENTITY" hidden="1">"[SUBGR_FRANCE"</definedName>
    <definedName name="EV__MEMORYCVW__COLUMNAR_CONSO_SOC_SELECCIONABLE_PL1_FLOW" hidden="1">"[SF"</definedName>
    <definedName name="EV__MEMORYCVW__COLUMNAR_CONSO_SOC_SELECCIONABLE_PL1_GROUPS" hidden="1">"[G_001"</definedName>
    <definedName name="EV__MEMORYCVW__COLUMNAR_CONSO_SOC_SELECCIONABLE_PL1_INTCO" hidden="1">"[ALL_IC"</definedName>
    <definedName name="EV__MEMORYCVW__COLUMNAR_CONSO_SOC_SELECCIONABLE_PL1_MEASURES" hidden="1">"[YTD"</definedName>
    <definedName name="EV__MEMORYCVW__COLUMNAR_CONSO_SOC_SELECCIONABLE_PL1_RPTCURRENCY" hidden="1">"[GBP"</definedName>
    <definedName name="EV__MEMORYCVW__COLUMNAR_CONSO_SOC_SELECCIONABLE_PL1_SECTOR" hidden="1">"[SECTORS"</definedName>
    <definedName name="EV__MEMORYCVW__COLUMNAR_CONSO_SOC_SELECCIONABLE_PL1_TIME" hidden="1">"[2010.DEC"</definedName>
    <definedName name="EV__MEMORYCVW__COPIA_DE_INPUTMENSUALV30.XLSM" hidden="1">"[FINANCE"</definedName>
    <definedName name="EV__MEMORYCVW__COPIA_DE_INPUTMENSUALV30.XLSM_ACCOUNT_FIN" hidden="1">"[RDOGRUPO"</definedName>
    <definedName name="EV__MEMORYCVW__COPIA_DE_INPUTMENSUALV30.XLSM_CATEGORY" hidden="1">"[ACTUAL"</definedName>
    <definedName name="EV__MEMORYCVW__COPIA_DE_INPUTMENSUALV30.XLSM_COUNTRY" hidden="1">"[JER_1"</definedName>
    <definedName name="EV__MEMORYCVW__COPIA_DE_INPUTMENSUALV30.XLSM_CUSTOM_1" hidden="1">"[DUMMY_C1"</definedName>
    <definedName name="EV__MEMORYCVW__COPIA_DE_INPUTMENSUALV30.XLSM_CUSTOM_2" hidden="1">"[DUMMY_C2"</definedName>
    <definedName name="EV__MEMORYCVW__COPIA_DE_INPUTMENSUALV30.XLSM_DATASRC" hidden="1">"[AJ_POST"</definedName>
    <definedName name="EV__MEMORYCVW__COPIA_DE_INPUTMENSUALV30.XLSM_ENTITY" hidden="1">"[SUBGR_FRANCE"</definedName>
    <definedName name="EV__MEMORYCVW__COPIA_DE_INPUTMENSUALV30.XLSM_FLOW" hidden="1">"[SF"</definedName>
    <definedName name="EV__MEMORYCVW__COPIA_DE_INPUTMENSUALV30.XLSM_GROUPS" hidden="1">"[G_001"</definedName>
    <definedName name="EV__MEMORYCVW__COPIA_DE_INPUTMENSUALV30.XLSM_INTCO" hidden="1">"[ALL_IC"</definedName>
    <definedName name="EV__MEMORYCVW__COPIA_DE_INPUTMENSUALV30.XLSM_MEASURES" hidden="1">"[YTD"</definedName>
    <definedName name="EV__MEMORYCVW__COPIA_DE_INPUTMENSUALV30.XLSM_RPTCURRENCY" hidden="1">"[GBP"</definedName>
    <definedName name="EV__MEMORYCVW__COPIA_DE_INPUTMENSUALV30.XLSM_SECTOR" hidden="1">"[SECTORS"</definedName>
    <definedName name="EV__MEMORYCVW__COPIA_DE_INPUTMENSUALV30.XLSM_TIME" hidden="1">"[2011.JUN"</definedName>
    <definedName name="EV__MEMORYCVW__COPIA_DE_INPUTOUTPUTPCBUDGETV3.2.XLSM" hidden="1">"[FINANCE"</definedName>
    <definedName name="EV__MEMORYCVW__DESSIEPL.XLSX" hidden="1">"[FINANCE"</definedName>
    <definedName name="EV__MEMORYCVW__DESSIEPL.XLSX_ACCOUNT_FIN" hidden="1">"[BS"</definedName>
    <definedName name="EV__MEMORYCVW__DESSIEPL.XLSX_CATEGORY" hidden="1">"[ACTUAL"</definedName>
    <definedName name="EV__MEMORYCVW__DESSIEPL.XLSX_COUNTRY" hidden="1">"[JER_1"</definedName>
    <definedName name="EV__MEMORYCVW__DESSIEPL.XLSX_CUSTOM_1" hidden="1">"[DUMMY_C1"</definedName>
    <definedName name="EV__MEMORYCVW__DESSIEPL.XLSX_CUSTOM_2" hidden="1">"[DUMMY_C2"</definedName>
    <definedName name="EV__MEMORYCVW__DESSIEPL.XLSX_DATASRC" hidden="1">"[CONSO"</definedName>
    <definedName name="EV__MEMORYCVW__DESSIEPL.XLSX_ENTITY" hidden="1">"[1114"</definedName>
    <definedName name="EV__MEMORYCVW__DESSIEPL.XLSX_FLOW" hidden="1">"[SF"</definedName>
    <definedName name="EV__MEMORYCVW__DESSIEPL.XLSX_GROUPS" hidden="1">"[G_219_PLANO"</definedName>
    <definedName name="EV__MEMORYCVW__DESSIEPL.XLSX_INTCO" hidden="1">"[ALL_IC"</definedName>
    <definedName name="EV__MEMORYCVW__DESSIEPL.XLSX_MEASURES" hidden="1">"[YTD"</definedName>
    <definedName name="EV__MEMORYCVW__DESSIEPL.XLSX_RPTCURRENCY" hidden="1">"[GBP"</definedName>
    <definedName name="EV__MEMORYCVW__DESSIEPL.XLSX_SECTOR" hidden="1">"[CONC_ESP"</definedName>
    <definedName name="EV__MEMORYCVW__DESSIEPL.XLSX_TIME" hidden="1">"[2010.TOTAL"</definedName>
    <definedName name="EV__MEMORYCVW__DEUDA.XLSM" hidden="1">"[FINANCE"</definedName>
    <definedName name="EV__MEMORYCVW__ETIQUETTES.INI" hidden="1">"[FINANCE"</definedName>
    <definedName name="EV__MEMORYCVW__ETIQUETTES.INI_ACCOUNT_FIN" hidden="1">"[BS"</definedName>
    <definedName name="EV__MEMORYCVW__ETIQUETTES.INI_CATEGORY" hidden="1">"[ACTUAL"</definedName>
    <definedName name="EV__MEMORYCVW__ETIQUETTES.INI_COUNTRY" hidden="1">"[JER_1"</definedName>
    <definedName name="EV__MEMORYCVW__ETIQUETTES.INI_CUSTOM_1" hidden="1">"[DUMMY_C1"</definedName>
    <definedName name="EV__MEMORYCVW__ETIQUETTES.INI_CUSTOM_2" hidden="1">"[DUMMY_C2"</definedName>
    <definedName name="EV__MEMORYCVW__ETIQUETTES.INI_DATASRC" hidden="1">"[CONSO_2"</definedName>
    <definedName name="EV__MEMORYCVW__ETIQUETTES.INI_ENTITY" hidden="1">"[DUME"</definedName>
    <definedName name="EV__MEMORYCVW__ETIQUETTES.INI_FLOW" hidden="1">"[SF"</definedName>
    <definedName name="EV__MEMORYCVW__ETIQUETTES.INI_GROUPS" hidden="1">"[G_113"</definedName>
    <definedName name="EV__MEMORYCVW__ETIQUETTES.INI_INTCO" hidden="1">"[ALL_IC"</definedName>
    <definedName name="EV__MEMORYCVW__ETIQUETTES.INI_MEASURES" hidden="1">"[YTD"</definedName>
    <definedName name="EV__MEMORYCVW__ETIQUETTES.INI_RPTCURRENCY" hidden="1">"[EUR"</definedName>
    <definedName name="EV__MEMORYCVW__ETIQUETTES.INI_SECTOR" hidden="1">"[SECTORS"</definedName>
    <definedName name="EV__MEMORYCVW__ETIQUETTES.INI_TIME" hidden="1">"[2012.MAR"</definedName>
    <definedName name="EV__MEMORYCVW__FORMULARIO_HONORARIOS_2012_INDEPENDENCIA_FINAL.XLSX" hidden="1">"[FINANCE"</definedName>
    <definedName name="EV__MEMORYCVW__FORMULARIO_HONORARIOS_2012_INDEPENDENCIA_FINAL.XLSX_ACCOUNT_FIN" hidden="1">"[705999"</definedName>
    <definedName name="EV__MEMORYCVW__FORMULARIO_HONORARIOS_2012_INDEPENDENCIA_FINAL.XLSX_CATEGORY" hidden="1">"[ACTUAL"</definedName>
    <definedName name="EV__MEMORYCVW__FORMULARIO_HONORARIOS_2012_INDEPENDENCIA_FINAL.XLSX_COUNTRY" hidden="1">"[PT"</definedName>
    <definedName name="EV__MEMORYCVW__FORMULARIO_HONORARIOS_2012_INDEPENDENCIA_FINAL.XLSX_CUSTOM_1" hidden="1">"[DUMMY_C1"</definedName>
    <definedName name="EV__MEMORYCVW__FORMULARIO_HONORARIOS_2012_INDEPENDENCIA_FINAL.XLSX_CUSTOM_2" hidden="1">"[DUMMY_C2"</definedName>
    <definedName name="EV__MEMORYCVW__FORMULARIO_HONORARIOS_2012_INDEPENDENCIA_FINAL.XLSX_DATASRC" hidden="1">"[INPUT"</definedName>
    <definedName name="EV__MEMORYCVW__FORMULARIO_HONORARIOS_2012_INDEPENDENCIA_FINAL.XLSX_ENTITY" hidden="1">"[1219"</definedName>
    <definedName name="EV__MEMORYCVW__FORMULARIO_HONORARIOS_2012_INDEPENDENCIA_FINAL.XLSX_FLOW" hidden="1">"[F99"</definedName>
    <definedName name="EV__MEMORYCVW__FORMULARIO_HONORARIOS_2012_INDEPENDENCIA_FINAL.XLSX_GROUPS" hidden="1">"[G_001"</definedName>
    <definedName name="EV__MEMORYCVW__FORMULARIO_HONORARIOS_2012_INDEPENDENCIA_FINAL.XLSX_INTCO" hidden="1">"[I_NONE"</definedName>
    <definedName name="EV__MEMORYCVW__FORMULARIO_HONORARIOS_2012_INDEPENDENCIA_FINAL.XLSX_MEASURES" hidden="1">"[YTD"</definedName>
    <definedName name="EV__MEMORYCVW__FORMULARIO_HONORARIOS_2012_INDEPENDENCIA_FINAL.XLSX_RPTCURRENCY" hidden="1">"[LC"</definedName>
    <definedName name="EV__MEMORYCVW__FORMULARIO_HONORARIOS_2012_INDEPENDENCIA_FINAL.XLSX_SECTOR" hidden="1">"[CONC_ESP"</definedName>
    <definedName name="EV__MEMORYCVW__FORMULARIO_HONORARIOS_2012_INDEPENDENCIA_FINAL.XLSX_TIME" hidden="1">"[2004.APR"</definedName>
    <definedName name="EV__MEMORYCVW__HOJA_DE_CÁLCULO_EN_BPCFRAMERCONTROL" hidden="1">"[FINANCE"</definedName>
    <definedName name="EV__MEMORYCVW__HOJA_DE_CÁLCULO_EN_BPCFRAMERCONTROL_ACCOUNT_FIN" hidden="1">"[BS"</definedName>
    <definedName name="EV__MEMORYCVW__HOJA_DE_CÁLCULO_EN_BPCFRAMERCONTROL_CATEGORY" hidden="1">"[ACTUAL"</definedName>
    <definedName name="EV__MEMORYCVW__HOJA_DE_CÁLCULO_EN_BPCFRAMERCONTROL_COUNTRY" hidden="1">"[JER_1"</definedName>
    <definedName name="EV__MEMORYCVW__HOJA_DE_CÁLCULO_EN_BPCFRAMERCONTROL_CUSTOM_1" hidden="1">"[DUMMY_C1"</definedName>
    <definedName name="EV__MEMORYCVW__HOJA_DE_CÁLCULO_EN_BPCFRAMERCONTROL_CUSTOM_2" hidden="1">"[DUMMY_C2"</definedName>
    <definedName name="EV__MEMORYCVW__HOJA_DE_CÁLCULO_EN_BPCFRAMERCONTROL_DATASRC" hidden="1">"[CONSO_2"</definedName>
    <definedName name="EV__MEMORYCVW__HOJA_DE_CÁLCULO_EN_BPCFRAMERCONTROL_ENTITY" hidden="1">"[DUME"</definedName>
    <definedName name="EV__MEMORYCVW__HOJA_DE_CÁLCULO_EN_BPCFRAMERCONTROL_FLOW" hidden="1">"[SF"</definedName>
    <definedName name="EV__MEMORYCVW__HOJA_DE_CÁLCULO_EN_BPCFRAMERCONTROL_GROUPS" hidden="1">"[G_113"</definedName>
    <definedName name="EV__MEMORYCVW__HOJA_DE_CÁLCULO_EN_BPCFRAMERCONTROL_INTCO" hidden="1">"[ALL_IC"</definedName>
    <definedName name="EV__MEMORYCVW__HOJA_DE_CÁLCULO_EN_BPCFRAMERCONTROL_MEASURES" hidden="1">"[YTD"</definedName>
    <definedName name="EV__MEMORYCVW__HOJA_DE_CÁLCULO_EN_BPCFRAMERCONTROL_RPTCURRENCY" hidden="1">"[EUR"</definedName>
    <definedName name="EV__MEMORYCVW__HOJA_DE_CÁLCULO_EN_BPCFRAMERCONTROL_SECTOR" hidden="1">"[SECTORS"</definedName>
    <definedName name="EV__MEMORYCVW__HOJA_DE_CÁLCULO_EN_BPCFRAMERCONTROL_TIME" hidden="1">"[2011.MAY"</definedName>
    <definedName name="EV__MEMORYCVW__INFO_GENERAL_V1.XLSM" hidden="1">"[FINANCE"</definedName>
    <definedName name="EV__MEMORYCVW__INFO_GENERAL_V1.XLSM_ACCOUNT_FIN" hidden="1">"[RDOGRUPO"</definedName>
    <definedName name="EV__MEMORYCVW__INFO_GENERAL_V1.XLSM_CATEGORY" hidden="1">"[ACTUAL"</definedName>
    <definedName name="EV__MEMORYCVW__INFO_GENERAL_V1.XLSM_COUNTRY" hidden="1">"[JER_1"</definedName>
    <definedName name="EV__MEMORYCVW__INFO_GENERAL_V1.XLSM_CUSTOM_1" hidden="1">"[DUMMY_C1"</definedName>
    <definedName name="EV__MEMORYCVW__INFO_GENERAL_V1.XLSM_CUSTOM_2" hidden="1">"[DUMMY_C2"</definedName>
    <definedName name="EV__MEMORYCVW__INFO_GENERAL_V1.XLSM_DATASRC" hidden="1">"[AJ_POST"</definedName>
    <definedName name="EV__MEMORYCVW__INFO_GENERAL_V1.XLSM_ENTITY" hidden="1">"[1051"</definedName>
    <definedName name="EV__MEMORYCVW__INFO_GENERAL_V1.XLSM_FLOW" hidden="1">"[SF"</definedName>
    <definedName name="EV__MEMORYCVW__INFO_GENERAL_V1.XLSM_GROUPS" hidden="1">"[G_001"</definedName>
    <definedName name="EV__MEMORYCVW__INFO_GENERAL_V1.XLSM_INTCO" hidden="1">"[ALL_IC"</definedName>
    <definedName name="EV__MEMORYCVW__INFO_GENERAL_V1.XLSM_MEASURES" hidden="1">"[YTD"</definedName>
    <definedName name="EV__MEMORYCVW__INFO_GENERAL_V1.XLSM_RPTCURRENCY" hidden="1">"[GBP"</definedName>
    <definedName name="EV__MEMORYCVW__INFO_GENERAL_V1.XLSM_SECTOR" hidden="1">"[SECTORS"</definedName>
    <definedName name="EV__MEMORYCVW__INFO_GENERAL_V1.XLSM_TIME" hidden="1">"[2010.DEC"</definedName>
    <definedName name="EV__MEMORYCVW__INMOVILIZADO1" hidden="1">"CONSOLIDATION"</definedName>
    <definedName name="EV__MEMORYCVW__INPUTMENSUALV20.XLSM" hidden="1">"[FINANCE"</definedName>
    <definedName name="EV__MEMORYCVW__INPUTMENSUALV201" hidden="1">"[FINANCE"</definedName>
    <definedName name="EV__MEMORYCVW__INPUTMENSUALV21.XLSM" hidden="1">"[FINANCE"</definedName>
    <definedName name="EV__MEMORYCVW__INPUTMENSUALV211" hidden="1">"[FINANCE"</definedName>
    <definedName name="EV__MEMORYCVW__INPUTMENSUALV221" hidden="1">"[FINANCE"</definedName>
    <definedName name="EV__MEMORYCVW__INPUTMENSUALV23.XLSM" hidden="1">"[HHRR"</definedName>
    <definedName name="EV__MEMORYCVW__INPUTMENSUALV23.XLSM_ACCOUNT_FIN" hidden="1">"[BS"</definedName>
    <definedName name="EV__MEMORYCVW__INPUTMENSUALV23.XLSM_ACCOUNT_MACRO" hidden="1">"[ACC_MACRO_0001"</definedName>
    <definedName name="EV__MEMORYCVW__INPUTMENSUALV23.XLSM_ACCOUNT_RRHH" hidden="1">"[ACC_RRHH_000200"</definedName>
    <definedName name="EV__MEMORYCVW__INPUTMENSUALV23.XLSM_CATEGORY" hidden="1">"[ACTUAL"</definedName>
    <definedName name="EV__MEMORYCVW__INPUTMENSUALV23.XLSM_COUNTRY" hidden="1">"[JER_1"</definedName>
    <definedName name="EV__MEMORYCVW__INPUTMENSUALV23.XLSM_CUSTOM_1" hidden="1">"[DUMMY_C1"</definedName>
    <definedName name="EV__MEMORYCVW__INPUTMENSUALV23.XLSM_CUSTOM_2" hidden="1">"[DUMMY_C2"</definedName>
    <definedName name="EV__MEMORYCVW__INPUTMENSUALV23.XLSM_DATASRC" hidden="1">"[CONSO"</definedName>
    <definedName name="EV__MEMORYCVW__INPUTMENSUALV23.XLSM_DEPARTMENT" hidden="1">"[DEP_RRHH_021700"</definedName>
    <definedName name="EV__MEMORYCVW__INPUTMENSUALV23.XLSM_ENTITY" hidden="1">"[DUME"</definedName>
    <definedName name="EV__MEMORYCVW__INPUTMENSUALV23.XLSM_FLOW" hidden="1">"[SF"</definedName>
    <definedName name="EV__MEMORYCVW__INPUTMENSUALV23.XLSM_FLOW_RRHH" hidden="1">"[F_VAR"</definedName>
    <definedName name="EV__MEMORYCVW__INPUTMENSUALV23.XLSM_GROUPS" hidden="1">"[NON_GROUP"</definedName>
    <definedName name="EV__MEMORYCVW__INPUTMENSUALV23.XLSM_INTCO" hidden="1">"[ALL_IC"</definedName>
    <definedName name="EV__MEMORYCVW__INPUTMENSUALV23.XLSM_MEASURES" hidden="1">"[PERIODIC"</definedName>
    <definedName name="EV__MEMORYCVW__INPUTMENSUALV23.XLSM_RPTCURRENCY" hidden="1">"[GBP"</definedName>
    <definedName name="EV__MEMORYCVW__INPUTMENSUALV23.XLSM_SECTOR" hidden="1">"[SECTORS"</definedName>
    <definedName name="EV__MEMORYCVW__INPUTMENSUALV23.XLSM_SEX" hidden="1">"[TOT_SEX"</definedName>
    <definedName name="EV__MEMORYCVW__INPUTMENSUALV23.XLSM_TIME" hidden="1">"[SELECT_TIME"</definedName>
    <definedName name="EV__MEMORYCVW__INPUTMENSUALV231" hidden="1">"[FINANCE"</definedName>
    <definedName name="EV__MEMORYCVW__INPUTMENSUALV24.XLSM" hidden="1">"[HHRR"</definedName>
    <definedName name="EV__MEMORYCVW__INPUTMENSUALV25.XLSM" hidden="1">"[FINANCE"</definedName>
    <definedName name="EV__MEMORYCVW__INPUTMENSUALV26.XLSM" hidden="1">"[FINANCE"</definedName>
    <definedName name="EV__MEMORYCVW__INPUTMENSUALV26.XLSM_ACCOUNT_FIN" hidden="1">"[RDOGRUPO"</definedName>
    <definedName name="EV__MEMORYCVW__INPUTMENSUALV26.XLSM_CATEGORY" hidden="1">"[ACTUAL"</definedName>
    <definedName name="EV__MEMORYCVW__INPUTMENSUALV26.XLSM_COUNTRY" hidden="1">"[JER_1"</definedName>
    <definedName name="EV__MEMORYCVW__INPUTMENSUALV26.XLSM_CUSTOM_1" hidden="1">"[DUMMY_C1"</definedName>
    <definedName name="EV__MEMORYCVW__INPUTMENSUALV26.XLSM_CUSTOM_2" hidden="1">"[DUMMY_C2"</definedName>
    <definedName name="EV__MEMORYCVW__INPUTMENSUALV26.XLSM_DATASRC" hidden="1">"[AJ_POST"</definedName>
    <definedName name="EV__MEMORYCVW__INPUTMENSUALV26.XLSM_ENTITY" hidden="1">"[1113"</definedName>
    <definedName name="EV__MEMORYCVW__INPUTMENSUALV26.XLSM_FLOW" hidden="1">"[SF"</definedName>
    <definedName name="EV__MEMORYCVW__INPUTMENSUALV26.XLSM_GROUPS" hidden="1">"[G_001"</definedName>
    <definedName name="EV__MEMORYCVW__INPUTMENSUALV26.XLSM_INTCO" hidden="1">"[ALL_IC"</definedName>
    <definedName name="EV__MEMORYCVW__INPUTMENSUALV26.XLSM_MEASURES" hidden="1">"[YTD"</definedName>
    <definedName name="EV__MEMORYCVW__INPUTMENSUALV26.XLSM_RPTCURRENCY" hidden="1">"[GBP"</definedName>
    <definedName name="EV__MEMORYCVW__INPUTMENSUALV26.XLSM_SECTOR" hidden="1">"[SECTORS"</definedName>
    <definedName name="EV__MEMORYCVW__INPUTMENSUALV26.XLSM_TIME" hidden="1">"[2013.FEB"</definedName>
    <definedName name="EV__MEMORYCVW__INPUTMENSUALV27.XLSM" hidden="1">"[FINANCE"</definedName>
    <definedName name="EV__MEMORYCVW__INPUTMENSUALV28.XLSM" hidden="1">"[FINANCE"</definedName>
    <definedName name="EV__MEMORYCVW__INPUTMENSUALV29.XLSM" hidden="1">"[FINANCE"</definedName>
    <definedName name="EV__MEMORYCVW__INPUTMENSUALV30.XLSM" hidden="1">"[FINANCE"</definedName>
    <definedName name="EV__MEMORYCVW__INPUTMENSUALV30.XLSM_ACCOUNT_FIN" hidden="1">"[RDOGRUPO"</definedName>
    <definedName name="EV__MEMORYCVW__INPUTMENSUALV30.XLSM_CATEGORY" hidden="1">"[ACTUAL"</definedName>
    <definedName name="EV__MEMORYCVW__INPUTMENSUALV30.XLSM_COUNTRY" hidden="1">"[JER_1"</definedName>
    <definedName name="EV__MEMORYCVW__INPUTMENSUALV30.XLSM_CUSTOM_1" hidden="1">"[DUMMY_C1"</definedName>
    <definedName name="EV__MEMORYCVW__INPUTMENSUALV30.XLSM_CUSTOM_2" hidden="1">"[DUMMY_C2"</definedName>
    <definedName name="EV__MEMORYCVW__INPUTMENSUALV30.XLSM_DATASRC" hidden="1">"[AJ_POST"</definedName>
    <definedName name="EV__MEMORYCVW__INPUTMENSUALV30.XLSM_ENTITY" hidden="1">"[1113"</definedName>
    <definedName name="EV__MEMORYCVW__INPUTMENSUALV30.XLSM_FLOW" hidden="1">"[SF"</definedName>
    <definedName name="EV__MEMORYCVW__INPUTMENSUALV30.XLSM_GROUPS" hidden="1">"[G_001"</definedName>
    <definedName name="EV__MEMORYCVW__INPUTMENSUALV30.XLSM_INTCO" hidden="1">"[ALL_IC"</definedName>
    <definedName name="EV__MEMORYCVW__INPUTMENSUALV30.XLSM_MEASURES" hidden="1">"[YTD"</definedName>
    <definedName name="EV__MEMORYCVW__INPUTMENSUALV30.XLSM_RPTCURRENCY" hidden="1">"[GBP"</definedName>
    <definedName name="EV__MEMORYCVW__INPUTMENSUALV30.XLSM_SECTOR" hidden="1">"[SECTORS"</definedName>
    <definedName name="EV__MEMORYCVW__INPUTMENSUALV30.XLSM_TIME" hidden="1">"[2004.MAY"</definedName>
    <definedName name="EV__MEMORYCVW__INPUTMENSUALV31.XLSM" hidden="1">"[FINANCE"</definedName>
    <definedName name="EV__MEMORYCVW__INPUTMENSUALV31.XLSM_ACCOUNT_FIN" hidden="1">"[RDOGRUPO"</definedName>
    <definedName name="EV__MEMORYCVW__INPUTMENSUALV31.XLSM_CATEGORY" hidden="1">"[ACTUAL"</definedName>
    <definedName name="EV__MEMORYCVW__INPUTMENSUALV31.XLSM_COUNTRY" hidden="1">"[JER_1"</definedName>
    <definedName name="EV__MEMORYCVW__INPUTMENSUALV31.XLSM_CUSTOM_1" hidden="1">"[DUMMY_C1"</definedName>
    <definedName name="EV__MEMORYCVW__INPUTMENSUALV31.XLSM_CUSTOM_2" hidden="1">"[DUMMY_C2"</definedName>
    <definedName name="EV__MEMORYCVW__INPUTMENSUALV31.XLSM_DATASRC" hidden="1">"[AJ_POST"</definedName>
    <definedName name="EV__MEMORYCVW__INPUTMENSUALV31.XLSM_ENTITY" hidden="1">"[1113"</definedName>
    <definedName name="EV__MEMORYCVW__INPUTMENSUALV31.XLSM_FLOW" hidden="1">"[SF"</definedName>
    <definedName name="EV__MEMORYCVW__INPUTMENSUALV31.XLSM_GROUPS" hidden="1">"[G_001"</definedName>
    <definedName name="EV__MEMORYCVW__INPUTMENSUALV31.XLSM_INTCO" hidden="1">"[ALL_IC"</definedName>
    <definedName name="EV__MEMORYCVW__INPUTMENSUALV31.XLSM_MEASURES" hidden="1">"[YTD"</definedName>
    <definedName name="EV__MEMORYCVW__INPUTMENSUALV31.XLSM_RPTCURRENCY" hidden="1">"[GBP"</definedName>
    <definedName name="EV__MEMORYCVW__INPUTMENSUALV31.XLSM_SECTOR" hidden="1">"[SECTORS"</definedName>
    <definedName name="EV__MEMORYCVW__INPUTMENSUALV31.XLSM_TIME" hidden="1">"[2012.JUN"</definedName>
    <definedName name="EV__MEMORYCVW__INPUTMENSUALV311" hidden="1">"[FINANCE"</definedName>
    <definedName name="EV__MEMORYCVW__INPUTMENSUALV32.XLSM" hidden="1">"[HHRR"</definedName>
    <definedName name="EV__MEMORYCVW__INPUTMENSUALV32.XLSM_ACCOUNT_FIN" hidden="1">"[RDOGRUPO"</definedName>
    <definedName name="EV__MEMORYCVW__INPUTMENSUALV32.XLSM_CATEGORY" hidden="1">"[ACTUAL"</definedName>
    <definedName name="EV__MEMORYCVW__INPUTMENSUALV32.XLSM_COUNTRY" hidden="1">"[JER_1"</definedName>
    <definedName name="EV__MEMORYCVW__INPUTMENSUALV32.XLSM_CUSTOM_1" hidden="1">"[DUMMY_C1"</definedName>
    <definedName name="EV__MEMORYCVW__INPUTMENSUALV32.XLSM_CUSTOM_2" hidden="1">"[DUMMY_C2"</definedName>
    <definedName name="EV__MEMORYCVW__INPUTMENSUALV32.XLSM_DATASRC" hidden="1">"[AJ_POST"</definedName>
    <definedName name="EV__MEMORYCVW__INPUTMENSUALV32.XLSM_ENTITY" hidden="1">"[1113"</definedName>
    <definedName name="EV__MEMORYCVW__INPUTMENSUALV32.XLSM_FLOW" hidden="1">"[SF"</definedName>
    <definedName name="EV__MEMORYCVW__INPUTMENSUALV32.XLSM_GROUPS" hidden="1">"[G_001"</definedName>
    <definedName name="EV__MEMORYCVW__INPUTMENSUALV32.XLSM_INTCO" hidden="1">"[ALL_IC"</definedName>
    <definedName name="EV__MEMORYCVW__INPUTMENSUALV32.XLSM_MEASURES" hidden="1">"[YTD"</definedName>
    <definedName name="EV__MEMORYCVW__INPUTMENSUALV32.XLSM_RPTCURRENCY" hidden="1">"[GBP"</definedName>
    <definedName name="EV__MEMORYCVW__INPUTMENSUALV32.XLSM_SECTOR" hidden="1">"[SECTORS"</definedName>
    <definedName name="EV__MEMORYCVW__INPUTMENSUALV32.XLSM_TIME" hidden="1">"[2012.JAN"</definedName>
    <definedName name="EV__MEMORYCVW__INPUTOUTPUTACTUAL.XLSM" hidden="1">"[FINANCE"</definedName>
    <definedName name="EV__MEMORYCVW__INPUTOUTPUTACTUAL.XLSM_ACCOUNT_FIN" hidden="1">"[BS"</definedName>
    <definedName name="EV__MEMORYCVW__INPUTOUTPUTACTUAL.XLSM_CATEGORY" hidden="1">"[ACTUAL"</definedName>
    <definedName name="EV__MEMORYCVW__INPUTOUTPUTACTUAL.XLSM_COUNTRY" hidden="1">"[JER_1"</definedName>
    <definedName name="EV__MEMORYCVW__INPUTOUTPUTACTUAL.XLSM_CUSTOM_1" hidden="1">"[DUMMY_C1"</definedName>
    <definedName name="EV__MEMORYCVW__INPUTOUTPUTACTUAL.XLSM_CUSTOM_2" hidden="1">"[DUMMY_C2"</definedName>
    <definedName name="EV__MEMORYCVW__INPUTOUTPUTACTUAL.XLSM_DATASRC" hidden="1">"[CONSO"</definedName>
    <definedName name="EV__MEMORYCVW__INPUTOUTPUTACTUAL.XLSM_ENTITY" hidden="1">"[1001"</definedName>
    <definedName name="EV__MEMORYCVW__INPUTOUTPUTACTUAL.XLSM_FLOW" hidden="1">"[SF"</definedName>
    <definedName name="EV__MEMORYCVW__INPUTOUTPUTACTUAL.XLSM_FS_ACCOUNTFISCAL" hidden="1">"[24203009"</definedName>
    <definedName name="EV__MEMORYCVW__INPUTOUTPUTACTUAL.XLSM_FS_FLOW" hidden="1">"[F999"</definedName>
    <definedName name="EV__MEMORYCVW__INPUTOUTPUTACTUAL.XLSM_FS_GROUPS" hidden="1">"[NON_GROUP"</definedName>
    <definedName name="EV__MEMORYCVW__INPUTOUTPUTACTUAL.XLSM_GROUPS" hidden="1">"[G_113"</definedName>
    <definedName name="EV__MEMORYCVW__INPUTOUTPUTACTUAL.XLSM_INTCO" hidden="1">"[ALL_IC"</definedName>
    <definedName name="EV__MEMORYCVW__INPUTOUTPUTACTUAL.XLSM_MEASURES" hidden="1">"[YTD"</definedName>
    <definedName name="EV__MEMORYCVW__INPUTOUTPUTACTUAL.XLSM_RPTCURRENCY" hidden="1">"[LC"</definedName>
    <definedName name="EV__MEMORYCVW__INPUTOUTPUTACTUAL.XLSM_SECTOR" hidden="1">"[SECTORS"</definedName>
    <definedName name="EV__MEMORYCVW__INPUTOUTPUTACTUAL.XLSM_TIME" hidden="1">"[2011.DEC"</definedName>
    <definedName name="EV__MEMORYCVW__INPUTOUTPUTPCBUDGET.XLSM" hidden="1">"[HHRR"</definedName>
    <definedName name="EV__MEMORYCVW__INPUTOUTPUTPCBUDGETV2.XLSM" hidden="1">"[HHRR"</definedName>
    <definedName name="EV__MEMORYCVW__INPUTOUTPUTPCBUDGETV2.XLSM_ACCOUNT_RRHH" hidden="1">"[ACC_RRHH_000200"</definedName>
    <definedName name="EV__MEMORYCVW__INPUTOUTPUTPCBUDGETV2.XLSM_CATEGORY" hidden="1">"[UPA_Y_CB"</definedName>
    <definedName name="EV__MEMORYCVW__INPUTOUTPUTPCBUDGETV2.XLSM_COUNTRY" hidden="1">"[JER_1"</definedName>
    <definedName name="EV__MEMORYCVW__INPUTOUTPUTPCBUDGETV2.XLSM_CUSTOM_1" hidden="1">"[DUMMY_C1"</definedName>
    <definedName name="EV__MEMORYCVW__INPUTOUTPUTPCBUDGETV2.XLSM_CUSTOM_2" hidden="1">"[DUMMY_C2"</definedName>
    <definedName name="EV__MEMORYCVW__INPUTOUTPUTPCBUDGETV2.XLSM_DATASRC_I_HR" hidden="1">"[TOTAL_DATASRC_I_HR"</definedName>
    <definedName name="EV__MEMORYCVW__INPUTOUTPUTPCBUDGETV2.XLSM_DEPARTMENT" hidden="1">"[DEP_RRHH_021700"</definedName>
    <definedName name="EV__MEMORYCVW__INPUTOUTPUTPCBUDGETV2.XLSM_ENTITY" hidden="1">"[ACTIVITY_AUTOP"</definedName>
    <definedName name="EV__MEMORYCVW__INPUTOUTPUTPCBUDGETV2.XLSM_FLOW_RRHH" hidden="1">"[F_VAR"</definedName>
    <definedName name="EV__MEMORYCVW__INPUTOUTPUTPCBUDGETV2.XLSM_GROUPS" hidden="1">"[NON_GROUP"</definedName>
    <definedName name="EV__MEMORYCVW__INPUTOUTPUTPCBUDGETV2.XLSM_INTCO_INONE" hidden="1">"[I_NONE"</definedName>
    <definedName name="EV__MEMORYCVW__INPUTOUTPUTPCBUDGETV2.XLSM_MEASURES" hidden="1">"[PERIODIC"</definedName>
    <definedName name="EV__MEMORYCVW__INPUTOUTPUTPCBUDGETV2.XLSM_RPTCURRENCY" hidden="1">"[EUR"</definedName>
    <definedName name="EV__MEMORYCVW__INPUTOUTPUTPCBUDGETV2.XLSM_SECTOR" hidden="1">"[SECTORS"</definedName>
    <definedName name="EV__MEMORYCVW__INPUTOUTPUTPCBUDGETV2.XLSM_SEX" hidden="1">"[TOT_SEX"</definedName>
    <definedName name="EV__MEMORYCVW__INPUTOUTPUTPCBUDGETV2.XLSM_TIME" hidden="1">"[SELECT_TIME"</definedName>
    <definedName name="EV__MEMORYCVW__INPUTOUTPUTPCBUDGETV3.1.XLSM" hidden="1">"[FINANCE"</definedName>
    <definedName name="EV__MEMORYCVW__INPUTOUTPUTPCBUDGETV3.3.XLSM" hidden="1">"[FINANCE"</definedName>
    <definedName name="EV__MEMORYCVW__INPUTOUTPUTPCBUDGETV3.4.XLSM" hidden="1">"[FINANCE"</definedName>
    <definedName name="EV__MEMORYCVW__INPUTOUTPUTPCBUDGETV3.XLSM" hidden="1">"[FINANCE"</definedName>
    <definedName name="EV__MEMORYCVW__INPUTOUTPUTPCBUDGETV3_5.XLSM" hidden="1">"[FS_FISCAL"</definedName>
    <definedName name="EV__MEMORYCVW__INPUTOUTPUTV1.XLSM" hidden="1">"[FINANCE"</definedName>
    <definedName name="EV__MEMORYCVW__INPUTOUTPUTV1.XLSM_ACCOUNT_ACT" hidden="1">"[ACC_ACT_000001"</definedName>
    <definedName name="EV__MEMORYCVW__INPUTOUTPUTV1.XLSM_ACCOUNT_FIN" hidden="1">"[RDOGRUPO"</definedName>
    <definedName name="EV__MEMORYCVW__INPUTOUTPUTV1.XLSM_CATEGORY" hidden="1">"[ACTUAL"</definedName>
    <definedName name="EV__MEMORYCVW__INPUTOUTPUTV1.XLSM_COUNTRY" hidden="1">"[JER_1"</definedName>
    <definedName name="EV__MEMORYCVW__INPUTOUTPUTV1.XLSM_CUSTOM_1" hidden="1">"[DUMMY_C1"</definedName>
    <definedName name="EV__MEMORYCVW__INPUTOUTPUTV1.XLSM_CUSTOM_2" hidden="1">"[DUMMY_C2"</definedName>
    <definedName name="EV__MEMORYCVW__INPUTOUTPUTV1.XLSM_DATASRC" hidden="1">"[AJ_POST"</definedName>
    <definedName name="EV__MEMORYCVW__INPUTOUTPUTV1.XLSM_DATASRC_ACT" hidden="1">"[INPUT_CORR"</definedName>
    <definedName name="EV__MEMORYCVW__INPUTOUTPUTV1.XLSM_ENTITY" hidden="1">"[SUBGR_FRANCE"</definedName>
    <definedName name="EV__MEMORYCVW__INPUTOUTPUTV1.XLSM_FLOW" hidden="1">"[SF"</definedName>
    <definedName name="EV__MEMORYCVW__INPUTOUTPUTV1.XLSM_GROUPS" hidden="1">"[G_001"</definedName>
    <definedName name="EV__MEMORYCVW__INPUTOUTPUTV1.XLSM_INTCO" hidden="1">"[ALL_IC"</definedName>
    <definedName name="EV__MEMORYCVW__INPUTOUTPUTV1.XLSM_MEASURES" hidden="1">"[YTD"</definedName>
    <definedName name="EV__MEMORYCVW__INPUTOUTPUTV1.XLSM_RPTCURRENCY" hidden="1">"[GBP"</definedName>
    <definedName name="EV__MEMORYCVW__INPUTOUTPUTV1.XLSM_SECTIONS" hidden="1">"[TRMODUMMY"</definedName>
    <definedName name="EV__MEMORYCVW__INPUTOUTPUTV1.XLSM_SECTOR" hidden="1">"[SECTORS"</definedName>
    <definedName name="EV__MEMORYCVW__INPUTOUTPUTV1.XLSM_TIME" hidden="1">"[2004.MAY"</definedName>
    <definedName name="EV__MEMORYCVW__INPUTOUTPUTV2.XLSM" hidden="1">"[FINANCE"</definedName>
    <definedName name="EV__MEMORYCVW__INPUTOUTPUTV2.XLSM_ACCOUNT_BOLSA" hidden="1">"[ACC_BOLSA_0001"</definedName>
    <definedName name="EV__MEMORYCVW__INPUTOUTPUTV2.XLSM_ACCOUNT_FIN" hidden="1">"[RDOGRUPO"</definedName>
    <definedName name="EV__MEMORYCVW__INPUTOUTPUTV2.XLSM_ACCOUNT_INFOG" hidden="1">"[ACC_IG_001"</definedName>
    <definedName name="EV__MEMORYCVW__INPUTOUTPUTV2.XLSM_ACCOUNT_RRHH" hidden="1">"[ACC_RRHH_000200"</definedName>
    <definedName name="EV__MEMORYCVW__INPUTOUTPUTV2.XLSM_CATEGORY" hidden="1">"[ACTUAL"</definedName>
    <definedName name="EV__MEMORYCVW__INPUTOUTPUTV2.XLSM_COUNTRY" hidden="1">"[JER_1"</definedName>
    <definedName name="EV__MEMORYCVW__INPUTOUTPUTV2.XLSM_CUSTOM_1" hidden="1">"[DUMMY_C1"</definedName>
    <definedName name="EV__MEMORYCVW__INPUTOUTPUTV2.XLSM_CUSTOM_2" hidden="1">"[DUMMY_C2"</definedName>
    <definedName name="EV__MEMORYCVW__INPUTOUTPUTV2.XLSM_DATASRC" hidden="1">"[AJ_POST"</definedName>
    <definedName name="EV__MEMORYCVW__INPUTOUTPUTV2.XLSM_DATASRC_I_HR" hidden="1">"[CONSO"</definedName>
    <definedName name="EV__MEMORYCVW__INPUTOUTPUTV2.XLSM_DEPARTMENT" hidden="1">"[DEP_RRHH_021700"</definedName>
    <definedName name="EV__MEMORYCVW__INPUTOUTPUTV2.XLSM_ENTITY" hidden="1">"[SUBGR_FRANCE"</definedName>
    <definedName name="EV__MEMORYCVW__INPUTOUTPUTV2.XLSM_ENTITY_STOCK" hidden="1">"[1218"</definedName>
    <definedName name="EV__MEMORYCVW__INPUTOUTPUTV2.XLSM_FLOW" hidden="1">"[SF"</definedName>
    <definedName name="EV__MEMORYCVW__INPUTOUTPUTV2.XLSM_FLOW_RRHH" hidden="1">"[F_VAR"</definedName>
    <definedName name="EV__MEMORYCVW__INPUTOUTPUTV2.XLSM_GROUPS" hidden="1">"[G_001"</definedName>
    <definedName name="EV__MEMORYCVW__INPUTOUTPUTV2.XLSM_INTCO" hidden="1">"[ALL_IC"</definedName>
    <definedName name="EV__MEMORYCVW__INPUTOUTPUTV2.XLSM_MEASURES" hidden="1">"[YTD"</definedName>
    <definedName name="EV__MEMORYCVW__INPUTOUTPUTV2.XLSM_MONTHDAY" hidden="1">"[01"</definedName>
    <definedName name="EV__MEMORYCVW__INPUTOUTPUTV2.XLSM_RPTCURRENCY" hidden="1">"[GBP"</definedName>
    <definedName name="EV__MEMORYCVW__INPUTOUTPUTV2.XLSM_SECTOR" hidden="1">"[SECTORS"</definedName>
    <definedName name="EV__MEMORYCVW__INPUTOUTPUTV2.XLSM_SEX" hidden="1">"[TOT_SEX"</definedName>
    <definedName name="EV__MEMORYCVW__INPUTOUTPUTV2.XLSM_SHAREHOLDER" hidden="1">"[TOTAL"</definedName>
    <definedName name="EV__MEMORYCVW__INPUTOUTPUTV2.XLSM_TIME" hidden="1">"[2010.DEC"</definedName>
    <definedName name="EV__MEMORYCVW__INPUTOUTPUTV3.XLSM" hidden="1">"[HHRR"</definedName>
    <definedName name="EV__MEMORYCVW__INPUTOUTPUTV3.XLSM_ACCOUNT_RRHH" hidden="1">"[ACC_RRHH_000200"</definedName>
    <definedName name="EV__MEMORYCVW__INPUTOUTPUTV3.XLSM_CATEGORY" hidden="1">"[ACTUAL"</definedName>
    <definedName name="EV__MEMORYCVW__INPUTOUTPUTV3.XLSM_COUNTRY" hidden="1">"[JER_1"</definedName>
    <definedName name="EV__MEMORYCVW__INPUTOUTPUTV3.XLSM_CUSTOM_1" hidden="1">"[DUMMY_C1"</definedName>
    <definedName name="EV__MEMORYCVW__INPUTOUTPUTV3.XLSM_CUSTOM_2" hidden="1">"[DUMMY_C2"</definedName>
    <definedName name="EV__MEMORYCVW__INPUTOUTPUTV3.XLSM_DATASRC_I_HR" hidden="1">"[CONSO"</definedName>
    <definedName name="EV__MEMORYCVW__INPUTOUTPUTV3.XLSM_DEPARTMENT" hidden="1">"[DEP_RRHH_021700"</definedName>
    <definedName name="EV__MEMORYCVW__INPUTOUTPUTV3.XLSM_ENTITY" hidden="1">"[DUME"</definedName>
    <definedName name="EV__MEMORYCVW__INPUTOUTPUTV3.XLSM_FLOW_RRHH" hidden="1">"[F_VAR"</definedName>
    <definedName name="EV__MEMORYCVW__INPUTOUTPUTV3.XLSM_GROUPS" hidden="1">"[NON_GROUP"</definedName>
    <definedName name="EV__MEMORYCVW__INPUTOUTPUTV3.XLSM_MEASURES" hidden="1">"[PERIODIC"</definedName>
    <definedName name="EV__MEMORYCVW__INPUTOUTPUTV3.XLSM_SECTOR" hidden="1">"[SECTORS"</definedName>
    <definedName name="EV__MEMORYCVW__INPUTOUTPUTV3.XLSM_SEX" hidden="1">"[TOT_SEX"</definedName>
    <definedName name="EV__MEMORYCVW__INPUTOUTPUTV3.XLSM_TIME" hidden="1">"[SELECT_TIME"</definedName>
    <definedName name="EV__MEMORYCVW__INPUTOUTPUTV4.XLSM" hidden="1">"[FINANCE"</definedName>
    <definedName name="EV__MEMORYCVW__INPUTOUTPUTV41" hidden="1">"[FINANCE"</definedName>
    <definedName name="EV__MEMORYCVW__INPUTOUTPUTV5.XLSM" hidden="1">"[FINANCE"</definedName>
    <definedName name="EV__MEMORYCVW__INPUTOUTPUTV51" hidden="1">"[FINANCE"</definedName>
    <definedName name="EV__MEMORYCVW__INPUTOUTPUTV51_ACCOUNT_FIN" hidden="1">"[BS"</definedName>
    <definedName name="EV__MEMORYCVW__INPUTOUTPUTV51_CATEGORY" hidden="1">"[BUDGET"</definedName>
    <definedName name="EV__MEMORYCVW__INPUTOUTPUTV51_COUNTRY" hidden="1">"[JER_1"</definedName>
    <definedName name="EV__MEMORYCVW__INPUTOUTPUTV51_CUSTOM_1" hidden="1">"[DUMMY_C1"</definedName>
    <definedName name="EV__MEMORYCVW__INPUTOUTPUTV51_CUSTOM_2" hidden="1">"[DUMMY_C2"</definedName>
    <definedName name="EV__MEMORYCVW__INPUTOUTPUTV51_DATASRC" hidden="1">"[CONSO_2"</definedName>
    <definedName name="EV__MEMORYCVW__INPUTOUTPUTV51_ENTITY" hidden="1">"[E001"</definedName>
    <definedName name="EV__MEMORYCVW__INPUTOUTPUTV51_FLOW" hidden="1">"[SF"</definedName>
    <definedName name="EV__MEMORYCVW__INPUTOUTPUTV51_GROUPS" hidden="1">"[G_001"</definedName>
    <definedName name="EV__MEMORYCVW__INPUTOUTPUTV51_INTCO" hidden="1">"[ALL_IC"</definedName>
    <definedName name="EV__MEMORYCVW__INPUTOUTPUTV51_MEASURES" hidden="1">"[YTD"</definedName>
    <definedName name="EV__MEMORYCVW__INPUTOUTPUTV51_RPTCURRENCY" hidden="1">"[EUR"</definedName>
    <definedName name="EV__MEMORYCVW__INPUTOUTPUTV51_SECTOR" hidden="1">"[SECTORS"</definedName>
    <definedName name="EV__MEMORYCVW__INPUTOUTPUTV51_TIME" hidden="1">"[2007.MAR"</definedName>
    <definedName name="EV__MEMORYCVW__INPUTOUTPUTV6.XLSM" hidden="1">"[FINANCE"</definedName>
    <definedName name="EV__MEMORYCVW__INPUTOUTPUTV6_V2.XLSM" hidden="1">"[FINANCE"</definedName>
    <definedName name="EV__MEMORYCVW__INPUTOUTPUTV6_V2.XLSM_ACCOUNT_FIN" hidden="1">"[BS"</definedName>
    <definedName name="EV__MEMORYCVW__INPUTOUTPUTV6_V2.XLSM_CATEGORY" hidden="1">"[COMP_BUDGET"</definedName>
    <definedName name="EV__MEMORYCVW__INPUTOUTPUTV6_V2.XLSM_COUNTRY" hidden="1">"[JER_1"</definedName>
    <definedName name="EV__MEMORYCVW__INPUTOUTPUTV6_V2.XLSM_CUSTOM_1" hidden="1">"[DUMMY_C1"</definedName>
    <definedName name="EV__MEMORYCVW__INPUTOUTPUTV6_V2.XLSM_CUSTOM_2" hidden="1">"[DUMMY_C2"</definedName>
    <definedName name="EV__MEMORYCVW__INPUTOUTPUTV6_V2.XLSM_DATASRC" hidden="1">"[CONSO_2"</definedName>
    <definedName name="EV__MEMORYCVW__INPUTOUTPUTV6_V2.XLSM_ENTITY" hidden="1">"[E193"</definedName>
    <definedName name="EV__MEMORYCVW__INPUTOUTPUTV6_V2.XLSM_FLOW" hidden="1">"[SF"</definedName>
    <definedName name="EV__MEMORYCVW__INPUTOUTPUTV6_V2.XLSM_GROUPS" hidden="1">"[G_193"</definedName>
    <definedName name="EV__MEMORYCVW__INPUTOUTPUTV6_V2.XLSM_INTCO" hidden="1">"[ALL_IC"</definedName>
    <definedName name="EV__MEMORYCVW__INPUTOUTPUTV6_V2.XLSM_MEASURES" hidden="1">"[YTD"</definedName>
    <definedName name="EV__MEMORYCVW__INPUTOUTPUTV6_V2.XLSM_RPTCURRENCY" hidden="1">"[EUR"</definedName>
    <definedName name="EV__MEMORYCVW__INPUTOUTPUTV6_V2.XLSM_SECTOR" hidden="1">"[SECTORS"</definedName>
    <definedName name="EV__MEMORYCVW__INPUTOUTPUTV6_V2.XLSM_TIME" hidden="1">"[2012.JUN"</definedName>
    <definedName name="EV__MEMORYCVW__INPUTOUTPUTV61" hidden="1">"[FINANCE"</definedName>
    <definedName name="EV__MEMORYCVW__INTERCOS.XLS" hidden="1">"[LOCAL_FIN"</definedName>
    <definedName name="EV__MEMORYCVW__INTERCOS.XLS_ACCOUNT_LOCAL" hidden="1">"[BS"</definedName>
    <definedName name="EV__MEMORYCVW__INTERCOS.XLS_CATEGORY" hidden="1">"[ACTUAL_Y_CB"</definedName>
    <definedName name="EV__MEMORYCVW__INTERCOS.XLS_ENTITY" hidden="1">"[ACTIVITY_AUTOP"</definedName>
    <definedName name="EV__MEMORYCVW__INTERCOS.XLS_MEASURES" hidden="1">"[YTD"</definedName>
    <definedName name="EV__MEMORYCVW__INTERCOS.XLS_TIME" hidden="1">"[SELECT_TIME"</definedName>
    <definedName name="EV__MEMORYCVW__LIBRO10" hidden="1">"[HHRR"</definedName>
    <definedName name="EV__MEMORYCVW__LIBRO10_ACCOUNT_RRHH" hidden="1">"[ACC_RRHH_000200"</definedName>
    <definedName name="EV__MEMORYCVW__LIBRO10_CATEGORY" hidden="1">"[ACTUAL"</definedName>
    <definedName name="EV__MEMORYCVW__LIBRO10_COUNTRY" hidden="1">"[JER_1"</definedName>
    <definedName name="EV__MEMORYCVW__LIBRO10_CUSTOM_1" hidden="1">"[DUMMY_C1"</definedName>
    <definedName name="EV__MEMORYCVW__LIBRO10_CUSTOM_2" hidden="1">"[DUMMY_C2"</definedName>
    <definedName name="EV__MEMORYCVW__LIBRO10_DATASRC_I_HR" hidden="1">"[CORR"</definedName>
    <definedName name="EV__MEMORYCVW__LIBRO10_DEPARTMENT" hidden="1">"[DEP_RRHH_021700"</definedName>
    <definedName name="EV__MEMORYCVW__LIBRO10_ENTITY" hidden="1">"[GRUPO_CONS"</definedName>
    <definedName name="EV__MEMORYCVW__LIBRO10_FLOW_RRHH" hidden="1">"[F_VAR"</definedName>
    <definedName name="EV__MEMORYCVW__LIBRO10_GROUPS" hidden="1">"[NON_GROUP"</definedName>
    <definedName name="EV__MEMORYCVW__LIBRO10_INTCO_INONE" hidden="1">"[I_NONE"</definedName>
    <definedName name="EV__MEMORYCVW__LIBRO10_MEASURES" hidden="1">"[PERIODIC"</definedName>
    <definedName name="EV__MEMORYCVW__LIBRO10_RPTCURRENCY" hidden="1">"[EUR"</definedName>
    <definedName name="EV__MEMORYCVW__LIBRO10_SECTOR" hidden="1">"[SECTORS"</definedName>
    <definedName name="EV__MEMORYCVW__LIBRO10_SEX" hidden="1">"[TOT_SEX"</definedName>
    <definedName name="EV__MEMORYCVW__LIBRO10_TIME" hidden="1">"[SELECT_TIME"</definedName>
    <definedName name="EV__MEMORYCVW__LIBRO12" hidden="1">"[FINANCE"</definedName>
    <definedName name="EV__MEMORYCVW__LIBRO12_ACCOUNT_FIN" hidden="1">"[BS"</definedName>
    <definedName name="EV__MEMORYCVW__LIBRO12_CATEGORY" hidden="1">"[ACTUAL"</definedName>
    <definedName name="EV__MEMORYCVW__LIBRO12_COUNTRY" hidden="1">"[JER_1"</definedName>
    <definedName name="EV__MEMORYCVW__LIBRO12_CUSTOM_1" hidden="1">"[DUMMY_C1"</definedName>
    <definedName name="EV__MEMORYCVW__LIBRO12_CUSTOM_2" hidden="1">"[DUMMY_C2"</definedName>
    <definedName name="EV__MEMORYCVW__LIBRO12_DATASRC" hidden="1">"[CONSO_2"</definedName>
    <definedName name="EV__MEMORYCVW__LIBRO12_ENTITY" hidden="1">"[DUME"</definedName>
    <definedName name="EV__MEMORYCVW__LIBRO12_FLOW" hidden="1">"[SF"</definedName>
    <definedName name="EV__MEMORYCVW__LIBRO12_GROUPS" hidden="1">"[G_113"</definedName>
    <definedName name="EV__MEMORYCVW__LIBRO12_INTCO" hidden="1">"[ALL_IC"</definedName>
    <definedName name="EV__MEMORYCVW__LIBRO12_MEASURES" hidden="1">"[YTD"</definedName>
    <definedName name="EV__MEMORYCVW__LIBRO12_RPTCURRENCY" hidden="1">"[EUR"</definedName>
    <definedName name="EV__MEMORYCVW__LIBRO12_SECTOR" hidden="1">"[SECTORS"</definedName>
    <definedName name="EV__MEMORYCVW__LIBRO12_TIME" hidden="1">"[2012.MAR"</definedName>
    <definedName name="EV__MEMORYCVW__LIBRO2_ACCOUNT_ACT" hidden="1">"[ACC_ACT_AUTOP"</definedName>
    <definedName name="EV__MEMORYCVW__LIBRO2_ACCOUNT_LOCAL" hidden="1">"[BS"</definedName>
    <definedName name="EV__MEMORYCVW__LIBRO2_ACCOUNT_RRHH" hidden="1">"[ACC_RRHH_000300"</definedName>
    <definedName name="EV__MEMORYCVW__LIBRO2_DATASRC_ACT" hidden="1">"[INPUT_CORR"</definedName>
    <definedName name="EV__MEMORYCVW__LIBRO2_DATASRC_I_HR" hidden="1">"[TOTAL_DATASRC_I_HR"</definedName>
    <definedName name="EV__MEMORYCVW__LIBRO2_DEPARTMENT" hidden="1">"[DEP_RRHH_DUMMY"</definedName>
    <definedName name="EV__MEMORYCVW__LIBRO2_FLOW_RRHH" hidden="1">"[F_CIE"</definedName>
    <definedName name="EV__MEMORYCVW__LIBRO2_INTCO_INONE" hidden="1">"[I_NONE"</definedName>
    <definedName name="EV__MEMORYCVW__LIBRO2_SECTIONS" hidden="1">"[TRAMOS_DUMMY"</definedName>
    <definedName name="EV__MEMORYCVW__LIBRO2_SEX" hidden="1">"[TOT_SEX"</definedName>
    <definedName name="EV__MEMORYCVW__LIBRO20" hidden="1">"[FINANCE"</definedName>
    <definedName name="EV__MEMORYCVW__LIBRO20_ACCOUNT_FIN" hidden="1">"[BS"</definedName>
    <definedName name="EV__MEMORYCVW__LIBRO20_CATEGORY" hidden="1">"[ACTUAL"</definedName>
    <definedName name="EV__MEMORYCVW__LIBRO20_COUNTRY" hidden="1">"[JER_1"</definedName>
    <definedName name="EV__MEMORYCVW__LIBRO20_CUSTOM_1" hidden="1">"[DUMMY_C1"</definedName>
    <definedName name="EV__MEMORYCVW__LIBRO20_CUSTOM_2" hidden="1">"[DUMMY_C2"</definedName>
    <definedName name="EV__MEMORYCVW__LIBRO20_DATASRC" hidden="1">"[CONSO_2"</definedName>
    <definedName name="EV__MEMORYCVW__LIBRO20_ENTITY" hidden="1">"[DUME"</definedName>
    <definedName name="EV__MEMORYCVW__LIBRO20_FLOW" hidden="1">"[SF"</definedName>
    <definedName name="EV__MEMORYCVW__LIBRO20_GROUPS" hidden="1">"[G_113"</definedName>
    <definedName name="EV__MEMORYCVW__LIBRO20_INTCO" hidden="1">"[ALL_IC"</definedName>
    <definedName name="EV__MEMORYCVW__LIBRO20_MEASURES" hidden="1">"[YTD"</definedName>
    <definedName name="EV__MEMORYCVW__LIBRO20_RPTCURRENCY" hidden="1">"[EUR"</definedName>
    <definedName name="EV__MEMORYCVW__LIBRO20_SECTOR" hidden="1">"[SECTORS"</definedName>
    <definedName name="EV__MEMORYCVW__LIBRO20_TIME" hidden="1">"[2012.MAR"</definedName>
    <definedName name="EV__MEMORYCVW__LIBRO25" hidden="1">"[INVESTMENTS"</definedName>
    <definedName name="EV__MEMORYCVW__LIBRO25_ACCOUNT_INV" hidden="1">"[ACC_INV_00100"</definedName>
    <definedName name="EV__MEMORYCVW__LIBRO25_CATEGORY" hidden="1">"[IG_CATEGORY"</definedName>
    <definedName name="EV__MEMORYCVW__LIBRO25_COUNTRY" hidden="1">"[JER_1"</definedName>
    <definedName name="EV__MEMORYCVW__LIBRO25_CUSTOM_1" hidden="1">"[DUMMY_C1"</definedName>
    <definedName name="EV__MEMORYCVW__LIBRO25_CUSTOM_2" hidden="1">"[DUMMY_C2"</definedName>
    <definedName name="EV__MEMORYCVW__LIBRO25_DATASRC" hidden="1">"[CONSO"</definedName>
    <definedName name="EV__MEMORYCVW__LIBRO25_ENTITY" hidden="1">"[WORKSTATUS"</definedName>
    <definedName name="EV__MEMORYCVW__LIBRO25_FLOW" hidden="1">"[F99"</definedName>
    <definedName name="EV__MEMORYCVW__LIBRO25_GROUPS" hidden="1">"[NON_GROUP"</definedName>
    <definedName name="EV__MEMORYCVW__LIBRO25_INTCO_INONE" hidden="1">"[I_NONE"</definedName>
    <definedName name="EV__MEMORYCVW__LIBRO25_MEASURES" hidden="1">"[YTD"</definedName>
    <definedName name="EV__MEMORYCVW__LIBRO25_PROJECT" hidden="1">"[PROJECT_TOT"</definedName>
    <definedName name="EV__MEMORYCVW__LIBRO25_RPTCURRENCY" hidden="1">"[EUR"</definedName>
    <definedName name="EV__MEMORYCVW__LIBRO25_SECTOR" hidden="1">"[SECTORS"</definedName>
    <definedName name="EV__MEMORYCVW__LIBRO25_TIME" hidden="1">"[2012.JAN"</definedName>
    <definedName name="EV__MEMORYCVW__LIBRO3_ACCOUNT_ACT" hidden="1">"[ACC_ACT_000001"</definedName>
    <definedName name="EV__MEMORYCVW__LIBRO3_ACCOUNT_MACRO" hidden="1">"[ACC_MACRO_0001"</definedName>
    <definedName name="EV__MEMORYCVW__LIBRO3_DATASRC_ACT" hidden="1">"[INPUT_CORR"</definedName>
    <definedName name="EV__MEMORYCVW__LIBRO3_FS_ACCOUNTFISCAL" hidden="1">"[PCESAIII2.CG"</definedName>
    <definedName name="EV__MEMORYCVW__LIBRO3_FS_FLOW" hidden="1">"[F999"</definedName>
    <definedName name="EV__MEMORYCVW__LIBRO3_FS_GROUPS" hidden="1">"[G_001"</definedName>
    <definedName name="EV__MEMORYCVW__LIBRO3_SECTIONS" hidden="1">"[TRMODUMMY"</definedName>
    <definedName name="EV__MEMORYCVW__LIBRO5" hidden="1">"CONSOLIDATION"</definedName>
    <definedName name="EV__MEMORYCVW__LIBRO5_ACCOUNT" hidden="1">500000</definedName>
    <definedName name="EV__MEMORYCVW__LIBRO5_ACCOUNT_FIN" hidden="1">"[BS"</definedName>
    <definedName name="EV__MEMORYCVW__LIBRO5_AUDITID" hidden="1">"INPUT"</definedName>
    <definedName name="EV__MEMORYCVW__LIBRO5_CATEGORY" hidden="1">"ACTUAL"</definedName>
    <definedName name="EV__MEMORYCVW__LIBRO5_CONSOSCOPE" hidden="1">"LC"</definedName>
    <definedName name="EV__MEMORYCVW__LIBRO5_COUNTRY" hidden="1">"[JER_1"</definedName>
    <definedName name="EV__MEMORYCVW__LIBRO5_CUSTOM_1" hidden="1">"[DUMMY_C1"</definedName>
    <definedName name="EV__MEMORYCVW__LIBRO5_CUSTOM_2" hidden="1">"[DUMMY_C2"</definedName>
    <definedName name="EV__MEMORYCVW__LIBRO5_DATASRC" hidden="1">"[CONSO_2"</definedName>
    <definedName name="EV__MEMORYCVW__LIBRO5_ENTITY" hidden="1">"VCD"</definedName>
    <definedName name="EV__MEMORYCVW__LIBRO5_FLOW" hidden="1">"F99"</definedName>
    <definedName name="EV__MEMORYCVW__LIBRO5_GROUPS" hidden="1">"[G_113"</definedName>
    <definedName name="EV__MEMORYCVW__LIBRO5_INTCO" hidden="1">"[ALL_IC"</definedName>
    <definedName name="EV__MEMORYCVW__LIBRO5_INTERCO" hidden="1">"I_NONE"</definedName>
    <definedName name="EV__MEMORYCVW__LIBRO5_MEASURES" hidden="1">"YTD"</definedName>
    <definedName name="EV__MEMORYCVW__LIBRO5_RPTCURRENCY" hidden="1">"[EUR"</definedName>
    <definedName name="EV__MEMORYCVW__LIBRO5_SECTOR" hidden="1">"[SECTORS"</definedName>
    <definedName name="EV__MEMORYCVW__LIBRO5_TIME" hidden="1">"2008.FEB"</definedName>
    <definedName name="EV__MEMORYCVW__LIBRO6" hidden="1">"[FINANCE"</definedName>
    <definedName name="EV__MEMORYCVW__LIBRO6_ACCOUNT_FIN" hidden="1">"[RDOGRUPO"</definedName>
    <definedName name="EV__MEMORYCVW__LIBRO6_CATEGORY" hidden="1">"[TOT_CATEGORY"</definedName>
    <definedName name="EV__MEMORYCVW__LIBRO6_COUNTRY" hidden="1">"[JER_1"</definedName>
    <definedName name="EV__MEMORYCVW__LIBRO6_CUSTOM_1" hidden="1">"[DUMMY_C1"</definedName>
    <definedName name="EV__MEMORYCVW__LIBRO6_CUSTOM_2" hidden="1">"[DUMMY_C2"</definedName>
    <definedName name="EV__MEMORYCVW__LIBRO6_DATASRC" hidden="1">"[INPUT"</definedName>
    <definedName name="EV__MEMORYCVW__LIBRO6_ENTITY" hidden="1">"[WORKSTATUS"</definedName>
    <definedName name="EV__MEMORYCVW__LIBRO6_FLOW" hidden="1">"[SF"</definedName>
    <definedName name="EV__MEMORYCVW__LIBRO6_GROUPS" hidden="1">"[G_001"</definedName>
    <definedName name="EV__MEMORYCVW__LIBRO6_INTCO" hidden="1">"[ALL_IC"</definedName>
    <definedName name="EV__MEMORYCVW__LIBRO6_MEASURES" hidden="1">"[YTD"</definedName>
    <definedName name="EV__MEMORYCVW__LIBRO6_RPTCURRENCY" hidden="1">"[EUR"</definedName>
    <definedName name="EV__MEMORYCVW__LIBRO6_SECTOR" hidden="1">"[SECTORS"</definedName>
    <definedName name="EV__MEMORYCVW__LIBRO6_TIME" hidden="1">"[2005.TOTAL"</definedName>
    <definedName name="EV__MEMORYCVW__LIBRO8" hidden="1">"[FINANCE"</definedName>
    <definedName name="EV__MEMORYCVW__LIBRO8_ACCOUNT_FIN" hidden="1">"[BS"</definedName>
    <definedName name="EV__MEMORYCVW__LIBRO8_CATEGORY" hidden="1">"[ACTUAL"</definedName>
    <definedName name="EV__MEMORYCVW__LIBRO8_COUNTRY" hidden="1">"[JER_1"</definedName>
    <definedName name="EV__MEMORYCVW__LIBRO8_CUSTOM_1" hidden="1">"[DUMMY_C1"</definedName>
    <definedName name="EV__MEMORYCVW__LIBRO8_CUSTOM_2" hidden="1">"[DUMMY_C2"</definedName>
    <definedName name="EV__MEMORYCVW__LIBRO8_DATASRC" hidden="1">"[CONSO_2"</definedName>
    <definedName name="EV__MEMORYCVW__LIBRO8_ENTITY" hidden="1">"[DUME"</definedName>
    <definedName name="EV__MEMORYCVW__LIBRO8_FLOW" hidden="1">"[SF"</definedName>
    <definedName name="EV__MEMORYCVW__LIBRO8_GROUPS" hidden="1">"[G_113"</definedName>
    <definedName name="EV__MEMORYCVW__LIBRO8_INTCO" hidden="1">"[ALL_IC"</definedName>
    <definedName name="EV__MEMORYCVW__LIBRO8_MEASURES" hidden="1">"[YTD"</definedName>
    <definedName name="EV__MEMORYCVW__LIBRO8_RPTCURRENCY" hidden="1">"[EUR"</definedName>
    <definedName name="EV__MEMORYCVW__LIBRO8_SECTOR" hidden="1">"[SECTORS"</definedName>
    <definedName name="EV__MEMORYCVW__LIBRO8_TIME" hidden="1">"[2012.MAR"</definedName>
    <definedName name="EV__MEMORYCVW__LIBRO9" hidden="1">"[FINANCE"</definedName>
    <definedName name="EV__MEMORYCVW__LIBRO9_ACCOUNT_FIN" hidden="1">"[BS"</definedName>
    <definedName name="EV__MEMORYCVW__LIBRO9_CATEGORY" hidden="1">"[ACTUAL"</definedName>
    <definedName name="EV__MEMORYCVW__LIBRO9_COUNTRY" hidden="1">"[JER_1"</definedName>
    <definedName name="EV__MEMORYCVW__LIBRO9_CUSTOM_1" hidden="1">"[DUMMY_C1"</definedName>
    <definedName name="EV__MEMORYCVW__LIBRO9_CUSTOM_2" hidden="1">"[DUMMY_C2"</definedName>
    <definedName name="EV__MEMORYCVW__LIBRO9_DATASRC" hidden="1">"[CONSO"</definedName>
    <definedName name="EV__MEMORYCVW__LIBRO9_ENTITY" hidden="1">"[DUME"</definedName>
    <definedName name="EV__MEMORYCVW__LIBRO9_FLOW" hidden="1">"[SF"</definedName>
    <definedName name="EV__MEMORYCVW__LIBRO9_GROUPS" hidden="1">"[G_001_PLANO"</definedName>
    <definedName name="EV__MEMORYCVW__LIBRO9_INTCO" hidden="1">"[ALL_IC"</definedName>
    <definedName name="EV__MEMORYCVW__LIBRO9_MEASURES" hidden="1">"[YTD"</definedName>
    <definedName name="EV__MEMORYCVW__LIBRO9_RPTCURRENCY" hidden="1">"[EUR"</definedName>
    <definedName name="EV__MEMORYCVW__LIBRO9_SECTOR" hidden="1">"[SECTORS"</definedName>
    <definedName name="EV__MEMORYCVW__LIBRO9_TIME" hidden="1">"[2012.FEB"</definedName>
    <definedName name="EV__MEMORYCVW__NOVA_PESTANYA_RRHH.XLSM" hidden="1">"[FINANCE"</definedName>
    <definedName name="EV__MEMORYCVW__PERFIL_CIAS_V3.XLSX" hidden="1">"[FINANCE"</definedName>
    <definedName name="EV__MEMORYCVW__PERFIL_CIAS_V3.XLSX_ACCOUNT_FIN" hidden="1">"[220100"</definedName>
    <definedName name="EV__MEMORYCVW__PERFIL_CIAS_V3.XLSX_CATEGORY" hidden="1">"[ACTUAL"</definedName>
    <definedName name="EV__MEMORYCVW__PERFIL_CIAS_V3.XLSX_COUNTRY" hidden="1">"[JER_1"</definedName>
    <definedName name="EV__MEMORYCVW__PERFIL_CIAS_V3.XLSX_CUSTOM_1" hidden="1">"[DUMMY_C1"</definedName>
    <definedName name="EV__MEMORYCVW__PERFIL_CIAS_V3.XLSX_CUSTOM_2" hidden="1">"[DUMMY_C2"</definedName>
    <definedName name="EV__MEMORYCVW__PERFIL_CIAS_V3.XLSX_DATASRC" hidden="1">"[AJ_POST"</definedName>
    <definedName name="EV__MEMORYCVW__PERFIL_CIAS_V3.XLSX_ENTITY" hidden="1">"[1138"</definedName>
    <definedName name="EV__MEMORYCVW__PERFIL_CIAS_V3.XLSX_FLOW" hidden="1">"[SF"</definedName>
    <definedName name="EV__MEMORYCVW__PERFIL_CIAS_V3.XLSX_GROUPS" hidden="1">"[G_001"</definedName>
    <definedName name="EV__MEMORYCVW__PERFIL_CIAS_V3.XLSX_INTCO" hidden="1">"[ALL_IC"</definedName>
    <definedName name="EV__MEMORYCVW__PERFIL_CIAS_V3.XLSX_MEASURES" hidden="1">"[YTD"</definedName>
    <definedName name="EV__MEMORYCVW__PERFIL_CIAS_V3.XLSX_RPTCURRENCY" hidden="1">"[GBP"</definedName>
    <definedName name="EV__MEMORYCVW__PERFIL_CIAS_V3.XLSX_SECTOR" hidden="1">"[SECTORS"</definedName>
    <definedName name="EV__MEMORYCVW__PERFIL_CIAS_V3.XLSX_TIME" hidden="1">"[2011.JUN"</definedName>
    <definedName name="EV__MEMORYCVW__PRESUPUESTO_V3.XLSM" hidden="1">"[FINANCE"</definedName>
    <definedName name="EV__MEMORYCVW__PRESUPUESTO_V3.XLSM_ACCOUNT_FIN" hidden="1">"[BS"</definedName>
    <definedName name="EV__MEMORYCVW__PRESUPUESTO_V3.XLSM_CATEGORY" hidden="1">"[ACTUAL"</definedName>
    <definedName name="EV__MEMORYCVW__PRESUPUESTO_V3.XLSM_COUNTRY" hidden="1">"[JER_1"</definedName>
    <definedName name="EV__MEMORYCVW__PRESUPUESTO_V3.XLSM_CUSTOM_1" hidden="1">"[DUMMY_C1"</definedName>
    <definedName name="EV__MEMORYCVW__PRESUPUESTO_V3.XLSM_CUSTOM_2" hidden="1">"[DUMMY_C2"</definedName>
    <definedName name="EV__MEMORYCVW__PRESUPUESTO_V3.XLSM_DATASRC" hidden="1">"[CONSO_2"</definedName>
    <definedName name="EV__MEMORYCVW__PRESUPUESTO_V3.XLSM_ENTITY" hidden="1">"[E001"</definedName>
    <definedName name="EV__MEMORYCVW__PRESUPUESTO_V3.XLSM_FLOW" hidden="1">"[SF"</definedName>
    <definedName name="EV__MEMORYCVW__PRESUPUESTO_V3.XLSM_GROUPS" hidden="1">"[G_001"</definedName>
    <definedName name="EV__MEMORYCVW__PRESUPUESTO_V3.XLSM_INTCO" hidden="1">"[ALL_IC"</definedName>
    <definedName name="EV__MEMORYCVW__PRESUPUESTO_V3.XLSM_MEASURES" hidden="1">"[YTD"</definedName>
    <definedName name="EV__MEMORYCVW__PRESUPUESTO_V3.XLSM_RPTCURRENCY" hidden="1">"[EUR"</definedName>
    <definedName name="EV__MEMORYCVW__PRESUPUESTO_V3.XLSM_SECTOR" hidden="1">"[SECTORS"</definedName>
    <definedName name="EV__MEMORYCVW__PRESUPUESTO_V3.XLSM_TIME" hidden="1">"[2012.APR"</definedName>
    <definedName name="EV__MEMORYCVW__PRIORIZACIÓN_TAREAS_BPC_20120127.XLS" hidden="1">"[FINANCE"</definedName>
    <definedName name="EV__MEMORYCVW__PRIORIZACIÓN_TAREAS_BPC_20120127.XLS_ACCOUNT_FIN" hidden="1">"[BS"</definedName>
    <definedName name="EV__MEMORYCVW__PRIORIZACIÓN_TAREAS_BPC_20120127.XLS_CATEGORY" hidden="1">"[ACTUAL"</definedName>
    <definedName name="EV__MEMORYCVW__PRIORIZACIÓN_TAREAS_BPC_20120127.XLS_COUNTRY" hidden="1">"[JER_1"</definedName>
    <definedName name="EV__MEMORYCVW__PRIORIZACIÓN_TAREAS_BPC_20120127.XLS_CUSTOM_1" hidden="1">"[DUMMY_C1"</definedName>
    <definedName name="EV__MEMORYCVW__PRIORIZACIÓN_TAREAS_BPC_20120127.XLS_CUSTOM_2" hidden="1">"[DUMMY_C2"</definedName>
    <definedName name="EV__MEMORYCVW__PRIORIZACIÓN_TAREAS_BPC_20120127.XLS_DATASRC" hidden="1">"[CONSO"</definedName>
    <definedName name="EV__MEMORYCVW__PRIORIZACIÓN_TAREAS_BPC_20120127.XLS_ENTITY" hidden="1">"[1231"</definedName>
    <definedName name="EV__MEMORYCVW__PRIORIZACIÓN_TAREAS_BPC_20120127.XLS_FLOW" hidden="1">"[SF"</definedName>
    <definedName name="EV__MEMORYCVW__PRIORIZACIÓN_TAREAS_BPC_20120127.XLS_GROUPS" hidden="1">"[G_001"</definedName>
    <definedName name="EV__MEMORYCVW__PRIORIZACIÓN_TAREAS_BPC_20120127.XLS_INTCO" hidden="1">"[ALL_IC"</definedName>
    <definedName name="EV__MEMORYCVW__PRIORIZACIÓN_TAREAS_BPC_20120127.XLS_MEASURES" hidden="1">"[YTD"</definedName>
    <definedName name="EV__MEMORYCVW__PRIORIZACIÓN_TAREAS_BPC_20120127.XLS_RPTCURRENCY" hidden="1">"[GBP"</definedName>
    <definedName name="EV__MEMORYCVW__PRIORIZACIÓN_TAREAS_BPC_20120127.XLS_SECTOR" hidden="1">"[CONC_ESP"</definedName>
    <definedName name="EV__MEMORYCVW__PRIORIZACIÓN_TAREAS_BPC_20120127.XLS_TIME" hidden="1">"[2010.DEC"</definedName>
    <definedName name="EV__MEMORYCVW__RATE_MONTHLYRATESREPORT.XLT" hidden="1">"EXPENSES"</definedName>
    <definedName name="EV__MEMORYCVW__REPORTING_MENSUAL.XLSM" hidden="1">"[FINANCE"</definedName>
    <definedName name="EV__MEMORYCVW__REPORTING_MENSUAL.XLSM_ACCOUNT_FIN" hidden="1">"[BS"</definedName>
    <definedName name="EV__MEMORYCVW__REPORTING_MENSUAL.XLSM_CATEGORY" hidden="1">"[ACTUAL"</definedName>
    <definedName name="EV__MEMORYCVW__REPORTING_MENSUAL.XLSM_COUNTRY" hidden="1">"[JER_1"</definedName>
    <definedName name="EV__MEMORYCVW__REPORTING_MENSUAL.XLSM_CUSTOM_1" hidden="1">"[DUMMY_C1"</definedName>
    <definedName name="EV__MEMORYCVW__REPORTING_MENSUAL.XLSM_CUSTOM_2" hidden="1">"[DUMMY_C2"</definedName>
    <definedName name="EV__MEMORYCVW__REPORTING_MENSUAL.XLSM_DATASRC" hidden="1">"[CONSO_2"</definedName>
    <definedName name="EV__MEMORYCVW__REPORTING_MENSUAL.XLSM_ENTITY" hidden="1">"[1059"</definedName>
    <definedName name="EV__MEMORYCVW__REPORTING_MENSUAL.XLSM_FLOW" hidden="1">"[SF"</definedName>
    <definedName name="EV__MEMORYCVW__REPORTING_MENSUAL.XLSM_GROUPS" hidden="1">"[G_113"</definedName>
    <definedName name="EV__MEMORYCVW__REPORTING_MENSUAL.XLSM_INTCO" hidden="1">"[ALL_IC"</definedName>
    <definedName name="EV__MEMORYCVW__REPORTING_MENSUAL.XLSM_MEASURES" hidden="1">"[YTD"</definedName>
    <definedName name="EV__MEMORYCVW__REPORTING_MENSUAL.XLSM_RPTCURRENCY" hidden="1">"[EUR"</definedName>
    <definedName name="EV__MEMORYCVW__REPORTING_MENSUAL.XLSM_SECTOR" hidden="1">"[SECTORS"</definedName>
    <definedName name="EV__MEMORYCVW__REPORTING_MENSUAL.XLSM_TIME" hidden="1">"[2012.JAN"</definedName>
    <definedName name="EV__MEMORYCVW__SUMMARYDEVIATIONS_BUDGET.XLSM" hidden="1">"[FINANCE"</definedName>
    <definedName name="EV__MEMORYCVW__SUMMARYDEVIATIONS_BUDGET.XLSM_ACCOUNT_FIN" hidden="1">"[BS"</definedName>
    <definedName name="EV__MEMORYCVW__SUMMARYDEVIATIONS_BUDGET.XLSM_CATEGORY" hidden="1">"[ACTUAL"</definedName>
    <definedName name="EV__MEMORYCVW__SUMMARYDEVIATIONS_BUDGET.XLSM_COUNTRY" hidden="1">"[JER_1"</definedName>
    <definedName name="EV__MEMORYCVW__SUMMARYDEVIATIONS_BUDGET.XLSM_CUSTOM_1" hidden="1">"[DUMMY_C1"</definedName>
    <definedName name="EV__MEMORYCVW__SUMMARYDEVIATIONS_BUDGET.XLSM_CUSTOM_2" hidden="1">"[DUMMY_C2"</definedName>
    <definedName name="EV__MEMORYCVW__SUMMARYDEVIATIONS_BUDGET.XLSM_DATASRC" hidden="1">"[CONSO_2"</definedName>
    <definedName name="EV__MEMORYCVW__SUMMARYDEVIATIONS_BUDGET.XLSM_ENTITY" hidden="1">"[DUME"</definedName>
    <definedName name="EV__MEMORYCVW__SUMMARYDEVIATIONS_BUDGET.XLSM_FLOW" hidden="1">"[SF"</definedName>
    <definedName name="EV__MEMORYCVW__SUMMARYDEVIATIONS_BUDGET.XLSM_GROUPS" hidden="1">"[G_113"</definedName>
    <definedName name="EV__MEMORYCVW__SUMMARYDEVIATIONS_BUDGET.XLSM_INTCO" hidden="1">"[ALL_IC"</definedName>
    <definedName name="EV__MEMORYCVW__SUMMARYDEVIATIONS_BUDGET.XLSM_MEASURES" hidden="1">"[YTD"</definedName>
    <definedName name="EV__MEMORYCVW__SUMMARYDEVIATIONS_BUDGET.XLSM_RPTCURRENCY" hidden="1">"[EUR"</definedName>
    <definedName name="EV__MEMORYCVW__SUMMARYDEVIATIONS_BUDGET.XLSM_SECTOR" hidden="1">"[SECTORS"</definedName>
    <definedName name="EV__MEMORYCVW__SUMMARYDEVIATIONS_BUDGET.XLSM_TIME" hidden="1">"[2012.MAR"</definedName>
    <definedName name="EV__MEMORYCVW__TEST.XLSM" hidden="1">"[FINANCE"</definedName>
    <definedName name="EV__MEMORYCVW__TEST.XLSM_ACCOUNT_FIN" hidden="1">"[RDOGRUPO"</definedName>
    <definedName name="EV__MEMORYCVW__TEST.XLSM_CATEGORY" hidden="1">"[ACTUAL"</definedName>
    <definedName name="EV__MEMORYCVW__TEST.XLSM_COUNTRY" hidden="1">"[JER_1"</definedName>
    <definedName name="EV__MEMORYCVW__TEST.XLSM_CUSTOM_1" hidden="1">"[DUMMY_C1"</definedName>
    <definedName name="EV__MEMORYCVW__TEST.XLSM_CUSTOM_2" hidden="1">"[DUMMY_C2"</definedName>
    <definedName name="EV__MEMORYCVW__TEST.XLSM_DATASRC" hidden="1">"[AJ_POST"</definedName>
    <definedName name="EV__MEMORYCVW__TEST.XLSM_ENTITY" hidden="1">"[1113"</definedName>
    <definedName name="EV__MEMORYCVW__TEST.XLSM_FLOW" hidden="1">"[SF"</definedName>
    <definedName name="EV__MEMORYCVW__TEST.XLSM_GROUPS" hidden="1">"[G_001"</definedName>
    <definedName name="EV__MEMORYCVW__TEST.XLSM_INTCO" hidden="1">"[ALL_IC"</definedName>
    <definedName name="EV__MEMORYCVW__TEST.XLSM_MEASURES" hidden="1">"[YTD"</definedName>
    <definedName name="EV__MEMORYCVW__TEST.XLSM_RPTCURRENCY" hidden="1">"[GBP"</definedName>
    <definedName name="EV__MEMORYCVW__TEST.XLSM_SECTOR" hidden="1">"[SECTORS"</definedName>
    <definedName name="EV__MEMORYCVW__TEST.XLSM_TIME" hidden="1">"[2013.FEB"</definedName>
    <definedName name="EV__MEMORYCVW__TESTLV31.XLSM" hidden="1">"[FINANCE"</definedName>
    <definedName name="EV__MEMORYCVW__TESTV31.XLSM" hidden="1">"[FINANCE"</definedName>
    <definedName name="EV__MEMORYCVW__TESTV31.XLSM_ACCOUNT_FIN" hidden="1">"[RDOGRUPO"</definedName>
    <definedName name="EV__MEMORYCVW__TESTV31.XLSM_CATEGORY" hidden="1">"[ACTUAL"</definedName>
    <definedName name="EV__MEMORYCVW__TESTV31.XLSM_COUNTRY" hidden="1">"[JER_1"</definedName>
    <definedName name="EV__MEMORYCVW__TESTV31.XLSM_CUSTOM_1" hidden="1">"[DUMMY_C1"</definedName>
    <definedName name="EV__MEMORYCVW__TESTV31.XLSM_CUSTOM_2" hidden="1">"[DUMMY_C2"</definedName>
    <definedName name="EV__MEMORYCVW__TESTV31.XLSM_DATASRC" hidden="1">"[AJ_POST"</definedName>
    <definedName name="EV__MEMORYCVW__TESTV31.XLSM_ENTITY" hidden="1">"[1042"</definedName>
    <definedName name="EV__MEMORYCVW__TESTV31.XLSM_FLOW" hidden="1">"[SF"</definedName>
    <definedName name="EV__MEMORYCVW__TESTV31.XLSM_GROUPS" hidden="1">"[G_001"</definedName>
    <definedName name="EV__MEMORYCVW__TESTV31.XLSM_INTCO" hidden="1">"[ALL_IC"</definedName>
    <definedName name="EV__MEMORYCVW__TESTV31.XLSM_MEASURES" hidden="1">"[YTD"</definedName>
    <definedName name="EV__MEMORYCVW__TESTV31.XLSM_RPTCURRENCY" hidden="1">"[GBP"</definedName>
    <definedName name="EV__MEMORYCVW__TESTV31.XLSM_SECTOR" hidden="1">"[SECTORS"</definedName>
    <definedName name="EV__MEMORYCVW__TESTV31.XLSM_TIME" hidden="1">"[2012.JUN"</definedName>
    <definedName name="EV__MEMORYCVW__TRAMS2.XLSX" hidden="1">"[ACTIVITY"</definedName>
    <definedName name="EV__MEMORYCVW__TRAMS2.XLSX_ACCOUNT_ACT" hidden="1">"[ACC_ACT_000001"</definedName>
    <definedName name="EV__MEMORYCVW__TRAMS2.XLSX_CATEGORY" hidden="1">"[ACTUAL"</definedName>
    <definedName name="EV__MEMORYCVW__TRAMS2.XLSX_COUNTRY" hidden="1">"[JER_1"</definedName>
    <definedName name="EV__MEMORYCVW__TRAMS2.XLSX_CUSTOM_1" hidden="1">"[DUMMY_C1"</definedName>
    <definedName name="EV__MEMORYCVW__TRAMS2.XLSX_CUSTOM_2" hidden="1">"[DUMMY_C2"</definedName>
    <definedName name="EV__MEMORYCVW__TRAMS2.XLSX_DATASRC_ACT" hidden="1">"[INPUT_CORR"</definedName>
    <definedName name="EV__MEMORYCVW__TRAMS2.XLSX_ENTITY" hidden="1">"[1113"</definedName>
    <definedName name="EV__MEMORYCVW__TRAMS2.XLSX_MEASURES" hidden="1">"[YTD"</definedName>
    <definedName name="EV__MEMORYCVW__TRAMS2.XLSX_SECTIONS" hidden="1">"[TRMODUMMY"</definedName>
    <definedName name="EV__MEMORYCVW__TRAMS2.XLSX_SECTOR" hidden="1">"[SECTORS"</definedName>
    <definedName name="EV__MEMORYCVW__TRAMS2.XLSX_TIME" hidden="1">"[2011.JUN"</definedName>
    <definedName name="EV__WBEVMODE__" localSheetId="7" hidden="1">0</definedName>
    <definedName name="EV__WBEVMODE__" localSheetId="8" hidden="1">0</definedName>
    <definedName name="EV__WBEVMODE__" hidden="1">0</definedName>
    <definedName name="EV__WBREFOPTIONS__" localSheetId="7" hidden="1">55</definedName>
    <definedName name="EV__WBREFOPTIONS__" localSheetId="8" hidden="1">55</definedName>
    <definedName name="EV__WBREFOPTIONS__" hidden="1">37</definedName>
    <definedName name="EV__WBVERSION__" hidden="1">0</definedName>
    <definedName name="EV__WSINFO__" localSheetId="7" hidden="1">"ibt"</definedName>
    <definedName name="EV__WSINFO__" localSheetId="8" hidden="1">"ibt"</definedName>
    <definedName name="EV__WSINFO__" hidden="1">"csccsM4++"</definedName>
    <definedName name="EVA" localSheetId="8" hidden="1">{"'Sheet1'!$A$1:$H$145"}</definedName>
    <definedName name="EVA" hidden="1">{"'Sheet1'!$A$1:$H$145"}</definedName>
    <definedName name="evolucao" hidden="1">{#N/A,#N/A,FALSE,"GP";#N/A,#N/A,FALSE,"Assinantes";#N/A,#N/A,FALSE,"Rede";#N/A,#N/A,FALSE,"Evolução";#N/A,#N/A,FALSE,"Resultado"}</definedName>
    <definedName name="Evolução" hidden="1">{#N/A,#N/A,FALSE,"GP";#N/A,#N/A,FALSE,"Assinantes";#N/A,#N/A,FALSE,"Rede";#N/A,#N/A,FALSE,"Evolução";#N/A,#N/A,FALSE,"Resultado"}</definedName>
    <definedName name="ew" localSheetId="8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ew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ew_1" localSheetId="8" hidden="1">{"CAP VOL",#N/A,FALSE,"CAPITAL";"CAP VAR",#N/A,FALSE,"CAPITAL";"CAP FIJ",#N/A,FALSE,"CAPITAL";"CAP CONS",#N/A,FALSE,"CAPITAL";"CAP DATA",#N/A,FALSE,"CAPITAL"}</definedName>
    <definedName name="ew_1" hidden="1">{"CAP VOL",#N/A,FALSE,"CAPITAL";"CAP VAR",#N/A,FALSE,"CAPITAL";"CAP FIJ",#N/A,FALSE,"CAPITAL";"CAP CONS",#N/A,FALSE,"CAPITAL";"CAP DATA",#N/A,FALSE,"CAPITAL"}</definedName>
    <definedName name="ewaw" localSheetId="8" hidden="1">{"Act_vs_Budget",#N/A,FALSE,"QTRDPVAR";"Act_vs_Prior_Year",#N/A,FALSE,"QTRDPVAR"}</definedName>
    <definedName name="ewaw" hidden="1">{"Act_vs_Budget",#N/A,FALSE,"QTRDPVAR";"Act_vs_Prior_Year",#N/A,FALSE,"QTRDPVAR"}</definedName>
    <definedName name="ewde" hidden="1">1</definedName>
    <definedName name="ewdwqd" localSheetId="8" hidden="1">{#N/A,"PURCHM",FALSE,"Business Analysis";#N/A,"SPADD",FALSE,"Business Analysis"}</definedName>
    <definedName name="ewdwqd" hidden="1">{#N/A,"PURCHM",FALSE,"Business Analysis";#N/A,"SPADD",FALSE,"Business Analysis"}</definedName>
    <definedName name="ewe" localSheetId="8" hidden="1">{#N/A,#N/A,FALSE,"CSS";#N/A,#N/A,FALSE,"CSS HQ";#N/A,#N/A,FALSE,"USCSS ROLLUP";#N/A,#N/A,FALSE,"INT'L ROLLUP";#N/A,#N/A,FALSE,"352-XXX";#N/A,#N/A,FALSE,"353-XXX";#N/A,#N/A,FALSE,"INTL MGMT";#N/A,#N/A,FALSE,"EMEA";#N/A,#N/A,FALSE,"ASIA PACIFIC";#N/A,#N/A,FALSE,"LATIN AMERICA";#N/A,#N/A,FALSE,"CANADA"}</definedName>
    <definedName name="ewe" hidden="1">{#N/A,#N/A,FALSE,"CSS";#N/A,#N/A,FALSE,"CSS HQ";#N/A,#N/A,FALSE,"USCSS ROLLUP";#N/A,#N/A,FALSE,"INT'L ROLLUP";#N/A,#N/A,FALSE,"352-XXX";#N/A,#N/A,FALSE,"353-XXX";#N/A,#N/A,FALSE,"INTL MGMT";#N/A,#N/A,FALSE,"EMEA";#N/A,#N/A,FALSE,"ASIA PACIFIC";#N/A,#N/A,FALSE,"LATIN AMERICA";#N/A,#N/A,FALSE,"CANADA"}</definedName>
    <definedName name="ewf" localSheetId="8" hidden="1">{#N/A,#N/A,FALSE,"USCSS ROLLUP";#N/A,#N/A,FALSE,"USCS";#N/A,#N/A,FALSE,"TARGET";#N/A,#N/A,FALSE,"MICROSOFT";#N/A,#N/A,FALSE,"AT&amp;T";#N/A,#N/A,FALSE,"ALT CHANNELS";#N/A,#N/A,FALSE,"USCS HQ"}</definedName>
    <definedName name="ewf" hidden="1">{#N/A,#N/A,FALSE,"USCSS ROLLUP";#N/A,#N/A,FALSE,"USCS";#N/A,#N/A,FALSE,"TARGET";#N/A,#N/A,FALSE,"MICROSOFT";#N/A,#N/A,FALSE,"AT&amp;T";#N/A,#N/A,FALSE,"ALT CHANNELS";#N/A,#N/A,FALSE,"USCS HQ"}</definedName>
    <definedName name="ewjk" hidden="1">#REF!</definedName>
    <definedName name="ewkrhg" localSheetId="8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ewkrh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ewpohg" localSheetId="8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ewpoh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ewq" localSheetId="8" hidden="1">{"oct_res_comm",#N/A,FALSE,"VarToBud"}</definedName>
    <definedName name="ewq" hidden="1">{"oct_res_comm",#N/A,FALSE,"VarToBud"}</definedName>
    <definedName name="ewr" hidden="1">#REF!</definedName>
    <definedName name="ewrr" hidden="1">#REF!</definedName>
    <definedName name="ewrwer" localSheetId="8" hidden="1">{#N/A,#N/A,FALSE,"Adm comp";#N/A,#N/A,FALSE,"Adm ajust";"adm",#N/A,FALSE,"Administration";#N/A,#N/A,FALSE,"Adm Bgt 97 vs Prév. 96";#N/A,#N/A,FALSE,"Adm Bgt 97 vs 96"}</definedName>
    <definedName name="ewrwer" hidden="1">{#N/A,#N/A,FALSE,"Adm comp";#N/A,#N/A,FALSE,"Adm ajust";"adm",#N/A,FALSE,"Administration";#N/A,#N/A,FALSE,"Adm Bgt 97 vs Prév. 96";#N/A,#N/A,FALSE,"Adm Bgt 97 vs 96"}</definedName>
    <definedName name="ewu" localSheetId="8" hidden="1">{"Ergebnisbericht_UBA",#N/A,FALSE,"MB"}</definedName>
    <definedName name="ewu" hidden="1">{"Ergebnisbericht_UBA",#N/A,FALSE,"MB"}</definedName>
    <definedName name="ewu_1" localSheetId="8" hidden="1">{"Ergebnisbericht_UBA",#N/A,FALSE,"MB"}</definedName>
    <definedName name="ewu_1" hidden="1">{"Ergebnisbericht_UBA",#N/A,FALSE,"MB"}</definedName>
    <definedName name="ewv" localSheetId="8" hidden="1">{"Page1",#N/A,FALSE,"OpExJanvsBud";"Page2",#N/A,FALSE,"OpExJanvsBud"}</definedName>
    <definedName name="ewv" hidden="1">{"Page1",#N/A,FALSE,"OpExJanvsBud";"Page2",#N/A,FALSE,"OpExJanvsBud"}</definedName>
    <definedName name="ewwe" localSheetId="7" hidden="1">{#N/A,#N/A,FALSE,"REPORT"}</definedName>
    <definedName name="ewwe" localSheetId="8" hidden="1">{#N/A,#N/A,FALSE,"REPORT"}</definedName>
    <definedName name="ewwe" hidden="1">{#N/A,#N/A,FALSE,"REPORT"}</definedName>
    <definedName name="ewwwwwwwwwwwwwwwwwwwwwww" localSheetId="8" hidden="1">{#N/A,#N/A,FALSE,"Assessment";#N/A,#N/A,FALSE,"Staffing";#N/A,#N/A,FALSE,"Hires";#N/A,#N/A,FALSE,"Assumptions"}</definedName>
    <definedName name="ewwwwwwwwwwwwwwwwwwwwwww" hidden="1">{#N/A,#N/A,FALSE,"Assessment";#N/A,#N/A,FALSE,"Staffing";#N/A,#N/A,FALSE,"Hires";#N/A,#N/A,FALSE,"Assumptions"}</definedName>
    <definedName name="EX" localSheetId="8" hidden="1">{#N/A,#N/A,FALSE,"Centres";#N/A,#N/A,FALSE,"Partenariats";#N/A,#N/A,FALSE,"P.Diverses";#N/A,#N/A,FALSE,"Adm";#N/A,#N/A,FALSE,"Autres R-D";#N/A,#N/A,FALSE,"Intérêts"}</definedName>
    <definedName name="EX" hidden="1">{#N/A,#N/A,FALSE,"Centres";#N/A,#N/A,FALSE,"Partenariats";#N/A,#N/A,FALSE,"P.Diverses";#N/A,#N/A,FALSE,"Adm";#N/A,#N/A,FALSE,"Autres R-D";#N/A,#N/A,FALSE,"Intérêts"}</definedName>
    <definedName name="ExactAddinConnection" hidden="1">"001"</definedName>
    <definedName name="ExactAddinConnection.001" localSheetId="7" hidden="1">"NLAMSR043;001;BHni;1"</definedName>
    <definedName name="ExactAddinConnection.001" localSheetId="8" hidden="1">"NLAMSR043;001;BHni;1"</definedName>
    <definedName name="ExactAddinConnection.001" hidden="1">"PEPEBAR7;001;Daniel;1"</definedName>
    <definedName name="ExactAddinConnection.002" hidden="1">"NLAMSR043;998;Cbeane;1"</definedName>
    <definedName name="ExactAddinConnection.003" hidden="1">"WKISQL01;003;markk;1"</definedName>
    <definedName name="ExactAddinConnection.004" hidden="1">"wkisql01;004;markk;1"</definedName>
    <definedName name="ExactAddinConnection.005" hidden="1">"EXACT01;005;willemk;1"</definedName>
    <definedName name="ExactAddinConnection.006" hidden="1">"DB-FAVDRN02;001;kevin.vanhelvoort;1"</definedName>
    <definedName name="ExactAddinConnection.007" hidden="1">"WKISQL2014;001;MARKK;1"</definedName>
    <definedName name="ExactAddinConnection.009" hidden="1">"FS-GLOBE;001;hans.weustink;1"</definedName>
    <definedName name="ExactAddinConnection.010" hidden="1">"PCGLOBE;010;773074;1"</definedName>
    <definedName name="ExactAddinConnection.012" hidden="1">"FS-GLOBE;004;andre.vandijk;1"</definedName>
    <definedName name="ExactAddinConnection.014" hidden="1">"FS-GLOBE;001;hans.weustink;1"</definedName>
    <definedName name="ExactAddinConnection.020" hidden="1">"server01;020;HaraldvS;0"</definedName>
    <definedName name="ExactAddinConnection.030" hidden="1">"db01;030;ilin;1"</definedName>
    <definedName name="ExactAddinConnection.035" hidden="1">"AUXO;081;dwerdekker;1"</definedName>
    <definedName name="ExactAddinConnection.040" hidden="1">"AUXO;040;lkramer;1"</definedName>
    <definedName name="ExactAddinConnection.050" hidden="1">"PCGLOBE;050;773074;1"</definedName>
    <definedName name="ExactAddinConnection.060" hidden="1">"PCGLOBE;060;773074;1"</definedName>
    <definedName name="ExactAddinConnection.070" hidden="1">"PCGLOBE;070;773074;1"</definedName>
    <definedName name="ExactAddinConnection.080" hidden="1">"PCGLOBE;080;773074;1"</definedName>
    <definedName name="ExactAddinConnection.090" hidden="1">"PCGLOBE;090;773074;1"</definedName>
    <definedName name="ExactAddinConnection.100" hidden="1">"DB01;100;edam;1"</definedName>
    <definedName name="ExactAddinConnection.101" hidden="1">"KLR-SQL01;101;jhefel;1"</definedName>
    <definedName name="ExactAddinConnection.110" hidden="1">"DB01;110;edam;1"</definedName>
    <definedName name="ExactAddinConnection.120" hidden="1">"DB01;120;edam;1"</definedName>
    <definedName name="ExactAddinConnection.130" hidden="1">"DB01;130;edam;1"</definedName>
    <definedName name="ExactAddinConnection.140" hidden="1">"DB01;140;edam;1"</definedName>
    <definedName name="ExactAddinConnection.200" hidden="1">"DB-FAVDRN01;300;Hoofdadministratie;1"</definedName>
    <definedName name="ExactAddinConnection.300" hidden="1">"DB-FAVDRN01;200;Hoofdadministratie;1"</definedName>
    <definedName name="ExactAddinConnection.400" hidden="1">"NLDMNSA009;400;bakkumt;1"</definedName>
    <definedName name="ExactAddinConnection.940" hidden="1">"NLEHV00NTEX002;940;592471;1"</definedName>
    <definedName name="ExactAddinConnection.941" hidden="1">"pcglobe;941;773074;1"</definedName>
    <definedName name="ExactAddinConnection.996" hidden="1">"DVSSQL01;001;andre;1"</definedName>
    <definedName name="ExactAddinConnection.999" hidden="1">"NLEHV00NTEX002;050;592471;1"</definedName>
    <definedName name="ExactAddinReports" hidden="1">1</definedName>
    <definedName name="exc" localSheetId="8" hidden="1">{#N/A,#N/A,FALSE,"Centres";#N/A,#N/A,FALSE,"Partenariats";#N/A,#N/A,FALSE,"P.Diverses";#N/A,#N/A,FALSE,"Adm";#N/A,#N/A,FALSE,"Autres R-D";#N/A,#N/A,FALSE,"Intérêts"}</definedName>
    <definedName name="exc" hidden="1">{#N/A,#N/A,FALSE,"Centres";#N/A,#N/A,FALSE,"Partenariats";#N/A,#N/A,FALSE,"P.Diverses";#N/A,#N/A,FALSE,"Adm";#N/A,#N/A,FALSE,"Autres R-D";#N/A,#N/A,FALSE,"Intérêts"}</definedName>
    <definedName name="EXCCC" localSheetId="8" hidden="1">{#N/A,#N/A,FALSE,"Centres";#N/A,#N/A,FALSE,"Partenariats";#N/A,#N/A,FALSE,"P.Diverses";#N/A,#N/A,FALSE,"Adm";#N/A,#N/A,FALSE,"Autres R-D";#N/A,#N/A,FALSE,"Intérêts"}</definedName>
    <definedName name="EXCCC" hidden="1">{#N/A,#N/A,FALSE,"Centres";#N/A,#N/A,FALSE,"Partenariats";#N/A,#N/A,FALSE,"P.Diverses";#N/A,#N/A,FALSE,"Adm";#N/A,#N/A,FALSE,"Autres R-D";#N/A,#N/A,FALSE,"Intérêts"}</definedName>
    <definedName name="EXCLU" localSheetId="8" hidden="1">{#N/A,#N/A,FALSE,"Centres";#N/A,#N/A,FALSE,"Partenariats";#N/A,#N/A,FALSE,"P.Diverses";#N/A,#N/A,FALSE,"Adm";#N/A,#N/A,FALSE,"Autres R-D";#N/A,#N/A,FALSE,"Intérêts"}</definedName>
    <definedName name="EXCLU" hidden="1">{#N/A,#N/A,FALSE,"Centres";#N/A,#N/A,FALSE,"Partenariats";#N/A,#N/A,FALSE,"P.Diverses";#N/A,#N/A,FALSE,"Adm";#N/A,#N/A,FALSE,"Autres R-D";#N/A,#N/A,FALSE,"Intérêts"}</definedName>
    <definedName name="Executivepb" hidden="1">#REF!</definedName>
    <definedName name="exit" localSheetId="8" hidden="1">{#N/A,#N/A,FALSE,"CSS";#N/A,#N/A,FALSE,"CSS HQ";#N/A,#N/A,FALSE,"USCSS ROLLUP";#N/A,#N/A,FALSE,"INT'L ROLLUP";#N/A,#N/A,FALSE,"352-XXX";#N/A,#N/A,FALSE,"353-XXX";#N/A,#N/A,FALSE,"INTL MGMT";#N/A,#N/A,FALSE,"EMEA";#N/A,#N/A,FALSE,"ASIA PACIFIC";#N/A,#N/A,FALSE,"LATIN AMERICA";#N/A,#N/A,FALSE,"CANADA"}</definedName>
    <definedName name="exit" hidden="1">{#N/A,#N/A,FALSE,"CSS";#N/A,#N/A,FALSE,"CSS HQ";#N/A,#N/A,FALSE,"USCSS ROLLUP";#N/A,#N/A,FALSE,"INT'L ROLLUP";#N/A,#N/A,FALSE,"352-XXX";#N/A,#N/A,FALSE,"353-XXX";#N/A,#N/A,FALSE,"INTL MGMT";#N/A,#N/A,FALSE,"EMEA";#N/A,#N/A,FALSE,"ASIA PACIFIC";#N/A,#N/A,FALSE,"LATIN AMERICA";#N/A,#N/A,FALSE,"CANADA"}</definedName>
    <definedName name="exit2" localSheetId="8" hidden="1">{#N/A,#N/A,FALSE,"CSS";#N/A,#N/A,FALSE,"CSS HQ";#N/A,#N/A,FALSE,"USCSS ROLLUP";#N/A,#N/A,FALSE,"INT'L ROLLUP";#N/A,#N/A,FALSE,"352-XXX";#N/A,#N/A,FALSE,"353-XXX";#N/A,#N/A,FALSE,"INTL MGMT";#N/A,#N/A,FALSE,"EMEA";#N/A,#N/A,FALSE,"ASIA PACIFIC";#N/A,#N/A,FALSE,"LATIN AMERICA";#N/A,#N/A,FALSE,"CANADA"}</definedName>
    <definedName name="exit2" hidden="1">{#N/A,#N/A,FALSE,"CSS";#N/A,#N/A,FALSE,"CSS HQ";#N/A,#N/A,FALSE,"USCSS ROLLUP";#N/A,#N/A,FALSE,"INT'L ROLLUP";#N/A,#N/A,FALSE,"352-XXX";#N/A,#N/A,FALSE,"353-XXX";#N/A,#N/A,FALSE,"INTL MGMT";#N/A,#N/A,FALSE,"EMEA";#N/A,#N/A,FALSE,"ASIA PACIFIC";#N/A,#N/A,FALSE,"LATIN AMERICA";#N/A,#N/A,FALSE,"CANADA"}</definedName>
    <definedName name="ExRate_Yr1" hidden="1">#REF!</definedName>
    <definedName name="ExRate_Yr2" hidden="1">#REF!</definedName>
    <definedName name="ExRate_Yr3" hidden="1">#REF!</definedName>
    <definedName name="ExRate_Yr4" hidden="1">#REF!</definedName>
    <definedName name="ExRate_Yr5" hidden="1">#REF!</definedName>
    <definedName name="ExRate_Yr6" hidden="1">#REF!</definedName>
    <definedName name="ExRate_Yr7" hidden="1">#REF!</definedName>
    <definedName name="ExRateLTM_Yr1" hidden="1">#REF!</definedName>
    <definedName name="ExRateLTM_Yr2" hidden="1">#REF!</definedName>
    <definedName name="ExRateLTM_Yr3" hidden="1">#REF!</definedName>
    <definedName name="extr" hidden="1">{"P&amp;L",#N/A,TRUE,"HC";"P&amp;L Percents",#N/A,TRUE,"P&amp;L";"M&amp;A3 P&amp;L",#N/A,TRUE,"HC";"M&amp;A3 Pipeline",#N/A,TRUE,"HC";"Franchises",#N/A,TRUE,"HC";"CF&amp;BS",#N/A,TRUE,"HC"}</definedName>
    <definedName name="extr1" hidden="1">{"P&amp;L",#N/A,TRUE,"HC";"P&amp;L Percents",#N/A,TRUE,"P&amp;L";"M&amp;A3 P&amp;L",#N/A,TRUE,"HC";"M&amp;A3 Pipeline",#N/A,TRUE,"HC";"Franchises",#N/A,TRUE,"HC";"CF&amp;BS",#N/A,TRUE,"HC"}</definedName>
    <definedName name="EXX" localSheetId="8" hidden="1">{#N/A,#N/A,FALSE,"Centres";#N/A,#N/A,FALSE,"Partenariats";#N/A,#N/A,FALSE,"P.Diverses";#N/A,#N/A,FALSE,"Adm";#N/A,#N/A,FALSE,"Autres R-D";#N/A,#N/A,FALSE,"Intérêts"}</definedName>
    <definedName name="EXX" hidden="1">{#N/A,#N/A,FALSE,"Centres";#N/A,#N/A,FALSE,"Partenariats";#N/A,#N/A,FALSE,"P.Diverses";#N/A,#N/A,FALSE,"Adm";#N/A,#N/A,FALSE,"Autres R-D";#N/A,#N/A,FALSE,"Intérêts"}</definedName>
    <definedName name="EXXE" localSheetId="8" hidden="1">{#N/A,#N/A,FALSE,"Centres";#N/A,#N/A,FALSE,"Partenariats";#N/A,#N/A,FALSE,"P.Diverses";#N/A,#N/A,FALSE,"Adm";#N/A,#N/A,FALSE,"Autres R-D";#N/A,#N/A,FALSE,"Intérêts"}</definedName>
    <definedName name="EXXE" hidden="1">{#N/A,#N/A,FALSE,"Centres";#N/A,#N/A,FALSE,"Partenariats";#N/A,#N/A,FALSE,"P.Diverses";#N/A,#N/A,FALSE,"Adm";#N/A,#N/A,FALSE,"Autres R-D";#N/A,#N/A,FALSE,"Intérêts"}</definedName>
    <definedName name="EY" localSheetId="8" hidden="1">{"vue1",#N/A,FALSE,"synthese";"vue2",#N/A,FALSE,"synthese"}</definedName>
    <definedName name="EY" hidden="1">{"vue1",#N/A,FALSE,"synthese";"vue2",#N/A,FALSE,"synthese"}</definedName>
    <definedName name="EY_1" localSheetId="8" hidden="1">{"vue1",#N/A,FALSE,"synthese";"vue2",#N/A,FALSE,"synthese"}</definedName>
    <definedName name="EY_1" hidden="1">{"vue1",#N/A,FALSE,"synthese";"vue2",#N/A,FALSE,"synthese"}</definedName>
    <definedName name="eydsr" localSheetId="8" hidden="1">{#N/A,"PURCHM",FALSE,"Business Analysis";#N/A,"SPADD",FALSE,"Business Analysis"}</definedName>
    <definedName name="eydsr" hidden="1">{#N/A,"PURCHM",FALSE,"Business Analysis";#N/A,"SPADD",FALSE,"Business Analysis"}</definedName>
    <definedName name="eyhey" localSheetId="8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eyhey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eyhey_1" localSheetId="8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eyhey_1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eyr" localSheetId="8" hidden="1">{"hiden",#N/A,FALSE,"14";"hidden",#N/A,FALSE,"16";"hidden",#N/A,FALSE,"18";"hidden",#N/A,FALSE,"20"}</definedName>
    <definedName name="eyr" hidden="1">{"hiden",#N/A,FALSE,"14";"hidden",#N/A,FALSE,"16";"hidden",#N/A,FALSE,"18";"hidden",#N/A,FALSE,"20"}</definedName>
    <definedName name="eyr_1" localSheetId="8" hidden="1">{"hiden",#N/A,FALSE,"14";"hidden",#N/A,FALSE,"16";"hidden",#N/A,FALSE,"18";"hidden",#N/A,FALSE,"20"}</definedName>
    <definedName name="eyr_1" hidden="1">{"hiden",#N/A,FALSE,"14";"hidden",#N/A,FALSE,"16";"hidden",#N/A,FALSE,"18";"hidden",#N/A,FALSE,"20"}</definedName>
    <definedName name="EYvolume2" localSheetId="8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EYvolume2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ezaf" hidden="1">#REF!</definedName>
    <definedName name="ezatr" localSheetId="8" hidden="1">{#N/A,#N/A,FALSE,"REPORT"}</definedName>
    <definedName name="ezatr" hidden="1">{#N/A,#N/A,FALSE,"REPORT"}</definedName>
    <definedName name="ezcds" hidden="1">#REF!</definedName>
    <definedName name="ezfazef" hidden="1">#REF!</definedName>
    <definedName name="ezrtezr" hidden="1">#REF!</definedName>
    <definedName name="ezrtrezt" hidden="1">#REF!</definedName>
    <definedName name="eztezrt" hidden="1">#REF!</definedName>
    <definedName name="f" localSheetId="8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f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f.ffff" localSheetId="8" hidden="1">{#N/A,#N/A,FALSE,"Umsatz 99";#N/A,#N/A,FALSE,"ER 99 "}</definedName>
    <definedName name="f.ffff" hidden="1">{#N/A,#N/A,FALSE,"Umsatz 99";#N/A,#N/A,FALSE,"ER 99 "}</definedName>
    <definedName name="f\ef" localSheetId="8" hidden="1">{"werbung",#N/A,FALSE,"GuV9900-0399";"betrieb",#N/A,FALSE,"GuV9900-0399";"personal",#N/A,FALSE,"GuV9900-0399";"tvg",#N/A,FALSE,"GuV9900-0399";"verwaltung",#N/A,FALSE,"GuV9900-0399"}</definedName>
    <definedName name="f\ef" hidden="1">{"werbung",#N/A,FALSE,"GuV9900-0399";"betrieb",#N/A,FALSE,"GuV9900-0399";"personal",#N/A,FALSE,"GuV9900-0399";"tvg",#N/A,FALSE,"GuV9900-0399";"verwaltung",#N/A,FALSE,"GuV9900-0399"}</definedName>
    <definedName name="f\ef_1" localSheetId="8" hidden="1">{"werbung",#N/A,FALSE,"GuV9900-0399";"betrieb",#N/A,FALSE,"GuV9900-0399";"personal",#N/A,FALSE,"GuV9900-0399";"tvg",#N/A,FALSE,"GuV9900-0399";"verwaltung",#N/A,FALSE,"GuV9900-0399"}</definedName>
    <definedName name="f\ef_1" hidden="1">{"werbung",#N/A,FALSE,"GuV9900-0399";"betrieb",#N/A,FALSE,"GuV9900-0399";"personal",#N/A,FALSE,"GuV9900-0399";"tvg",#N/A,FALSE,"GuV9900-0399";"verwaltung",#N/A,FALSE,"GuV9900-0399"}</definedName>
    <definedName name="fa" localSheetId="8" hidden="1">{"vol data",#N/A,FALSE,"Datasheet";"vol graph",#N/A,FALSE,"Volume";"price data",#N/A,FALSE,"Datasheet";"price graph",#N/A,FALSE,"Price";"dp data",#N/A,FALSE,"Datasheet";"dp graph",#N/A,FALSE,"DirectProfit"}</definedName>
    <definedName name="fa" hidden="1">{"vol data",#N/A,FALSE,"Datasheet";"vol graph",#N/A,FALSE,"Volume";"price data",#N/A,FALSE,"Datasheet";"price graph",#N/A,FALSE,"Price";"dp data",#N/A,FALSE,"Datasheet";"dp graph",#N/A,FALSE,"DirectProfit"}</definedName>
    <definedName name="faa" localSheetId="8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faa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Factpb" hidden="1">#REF!</definedName>
    <definedName name="Factpb2" hidden="1">#REF!</definedName>
    <definedName name="fafa" hidden="1">#REF!</definedName>
    <definedName name="fagrgh" hidden="1">#REF!</definedName>
    <definedName name="fasf" localSheetId="8" hidden="1">{#N/A,#N/A,FALSE,"Cover";#N/A,#N/A,FALSE,"OFF";#N/A,#N/A,FALSE," ON";#N/A,#N/A,FALSE,"SUM";#N/A,#N/A,FALSE,"VPOP-POP"}</definedName>
    <definedName name="fasf" hidden="1">{#N/A,#N/A,FALSE,"Cover";#N/A,#N/A,FALSE,"OFF";#N/A,#N/A,FALSE," ON";#N/A,#N/A,FALSE,"SUM";#N/A,#N/A,FALSE,"VPOP-POP"}</definedName>
    <definedName name="fatih" hidden="1">{#N/A,#N/A,FALSE,"ACQ_GRAPHS";#N/A,#N/A,FALSE,"T_1 GRAPHS";#N/A,#N/A,FALSE,"T_2 GRAPHS";#N/A,#N/A,FALSE,"COMB_GRAPHS"}</definedName>
    <definedName name="fbewhjfbehwj" hidden="1">#REF!</definedName>
    <definedName name="fbewjkbfewj" hidden="1">#REF!</definedName>
    <definedName name="FBFFF" localSheetId="8" hidden="1">{#N/A,#N/A,FALSE,"IR E CS 1997";#N/A,#N/A,FALSE,"PR ND";#N/A,#N/A,FALSE,"8191";#N/A,#N/A,FALSE,"8383";#N/A,#N/A,FALSE,"MP 1024";#N/A,#N/A,FALSE,"AD_EX_97";#N/A,#N/A,FALSE,"BD 97"}</definedName>
    <definedName name="FBFFF" hidden="1">{#N/A,#N/A,FALSE,"IR E CS 1997";#N/A,#N/A,FALSE,"PR ND";#N/A,#N/A,FALSE,"8191";#N/A,#N/A,FALSE,"8383";#N/A,#N/A,FALSE,"MP 1024";#N/A,#N/A,FALSE,"AD_EX_97";#N/A,#N/A,FALSE,"BD 97"}</definedName>
    <definedName name="fbhwej" hidden="1">#REF!</definedName>
    <definedName name="fcb" localSheetId="8" hidden="1">{"FCB_ALL",#N/A,FALSE,"FCB"}</definedName>
    <definedName name="fcb" hidden="1">{"FCB_ALL",#N/A,FALSE,"FCB"}</definedName>
    <definedName name="fcknknfe" localSheetId="8" hidden="1">{#N/A,#N/A,FALSE,"FinPl"}</definedName>
    <definedName name="fcknknfe" hidden="1">{#N/A,#N/A,FALSE,"FinPl"}</definedName>
    <definedName name="FCode" hidden="1">#REF!</definedName>
    <definedName name="fcqe" localSheetId="8" hidden="1">{#N/A,#N/A,FALSE,"cover";#N/A,#N/A,FALSE,"Content ";#N/A,#N/A,FALSE,"E&amp;C Op Stat";#N/A,#N/A,FALSE,"Telcos Op Stat";#N/A,#N/A,FALSE,"Media Op Stat";#N/A,#N/A,FALSE,"Oil Op Stat";#N/A,#N/A,FALSE,"Utilities Op Stat";#N/A,#N/A,FALSE,"E&amp;C Ord An";#N/A,#N/A,FALSE,"E&amp;C Debt Nar";#N/A,#N/A,FALSE,"E&amp;C Debtors";#N/A,#N/A,FALSE,"E&amp;C CO Debt";#N/A,#N/A,FALSE,"Telcos Presales";#N/A,#N/A,FALSE,"Oil Presales";#N/A,#N/A,FALSE,"Utilities Presales"}</definedName>
    <definedName name="fcqe" hidden="1">{#N/A,#N/A,FALSE,"cover";#N/A,#N/A,FALSE,"Content ";#N/A,#N/A,FALSE,"E&amp;C Op Stat";#N/A,#N/A,FALSE,"Telcos Op Stat";#N/A,#N/A,FALSE,"Media Op Stat";#N/A,#N/A,FALSE,"Oil Op Stat";#N/A,#N/A,FALSE,"Utilities Op Stat";#N/A,#N/A,FALSE,"E&amp;C Ord An";#N/A,#N/A,FALSE,"E&amp;C Debt Nar";#N/A,#N/A,FALSE,"E&amp;C Debtors";#N/A,#N/A,FALSE,"E&amp;C CO Debt";#N/A,#N/A,FALSE,"Telcos Presales";#N/A,#N/A,FALSE,"Oil Presales";#N/A,#N/A,FALSE,"Utilities Presales"}</definedName>
    <definedName name="fd" localSheetId="8" hidden="1">{"detail",#N/A,FALSE,"mfg";"summary",#N/A,FALSE,"mfg"}</definedName>
    <definedName name="fd" hidden="1">{"detail",#N/A,FALSE,"mfg";"summary",#N/A,FALSE,"mfg"}</definedName>
    <definedName name="fd_1" localSheetId="8" hidden="1">{#N/A,#N/A,FALSE,"PRECIO FULL";#N/A,#N/A,FALSE,"LARA";#N/A,#N/A,FALSE,"CARACAS";#N/A,#N/A,FALSE,"DISBRACENTRO";#N/A,#N/A,FALSE,"ANDES";#N/A,#N/A,FALSE,"MAR CARIBE";#N/A,#N/A,FALSE,"RIO BEER";#N/A,#N/A,FALSE,"DISBRAH"}</definedName>
    <definedName name="fd_1" hidden="1">{#N/A,#N/A,FALSE,"PRECIO FULL";#N/A,#N/A,FALSE,"LARA";#N/A,#N/A,FALSE,"CARACAS";#N/A,#N/A,FALSE,"DISBRACENTRO";#N/A,#N/A,FALSE,"ANDES";#N/A,#N/A,FALSE,"MAR CARIBE";#N/A,#N/A,FALSE,"RIO BEER";#N/A,#N/A,FALSE,"DISBRAH"}</definedName>
    <definedName name="fdbbbdbfdf" localSheetId="8" hidden="1">{#N/A,#N/A,FALSE,"Assessment";#N/A,#N/A,FALSE,"Staffing";#N/A,#N/A,FALSE,"Hires";#N/A,#N/A,FALSE,"Assumptions"}</definedName>
    <definedName name="fdbbbdbfdf" hidden="1">{#N/A,#N/A,FALSE,"Assessment";#N/A,#N/A,FALSE,"Staffing";#N/A,#N/A,FALSE,"Hires";#N/A,#N/A,FALSE,"Assumptions"}</definedName>
    <definedName name="fdbfdfdbfd" localSheetId="8" hidden="1">{#N/A,#N/A,FALSE,"Assessment";#N/A,#N/A,FALSE,"Staffing";#N/A,#N/A,FALSE,"Hires";#N/A,#N/A,FALSE,"Assumptions"}</definedName>
    <definedName name="fdbfdfdbfd" hidden="1">{#N/A,#N/A,FALSE,"Assessment";#N/A,#N/A,FALSE,"Staffing";#N/A,#N/A,FALSE,"Hires";#N/A,#N/A,FALSE,"Assumptions"}</definedName>
    <definedName name="fdç" localSheetId="8" hidden="1">{#N/A,#N/A,FALSE,"CA";#N/A,#N/A,FALSE,"CN";#N/A,#N/A,FALSE,"Inv";#N/A,#N/A,FALSE,"Inv Acc";"Miguel_balance",#N/A,FALSE,"Bal";#N/A,#N/A,FALSE,"Plantilla";#N/A,#N/A,FALSE,"CA (2)";#N/A,#N/A,FALSE,"CN (2)"}</definedName>
    <definedName name="fdç" hidden="1">{#N/A,#N/A,FALSE,"CA";#N/A,#N/A,FALSE,"CN";#N/A,#N/A,FALSE,"Inv";#N/A,#N/A,FALSE,"Inv Acc";"Miguel_balance",#N/A,FALSE,"Bal";#N/A,#N/A,FALSE,"Plantilla";#N/A,#N/A,FALSE,"CA (2)";#N/A,#N/A,FALSE,"CN (2)"}</definedName>
    <definedName name="FDD_0_0" hidden="1">"A30681"</definedName>
    <definedName name="FDD_0_1" hidden="1">"A31047"</definedName>
    <definedName name="FDD_0_10" hidden="1">"A34334"</definedName>
    <definedName name="FDD_0_11" hidden="1">"A34699"</definedName>
    <definedName name="FDD_0_12" hidden="1">"A35064"</definedName>
    <definedName name="FDD_0_13" hidden="1">"A35430"</definedName>
    <definedName name="FDD_0_14" hidden="1">"A35795"</definedName>
    <definedName name="FDD_0_2" hidden="1">"A31412"</definedName>
    <definedName name="FDD_0_3" hidden="1">"A31777"</definedName>
    <definedName name="FDD_0_4" hidden="1">"A32142"</definedName>
    <definedName name="FDD_0_5" hidden="1">"A32508"</definedName>
    <definedName name="FDD_0_6" hidden="1">"A32873"</definedName>
    <definedName name="FDD_0_7" hidden="1">"A33238"</definedName>
    <definedName name="FDD_0_8" hidden="1">"A33603"</definedName>
    <definedName name="FDD_0_9" hidden="1">"A33969"</definedName>
    <definedName name="FDD_1_0" hidden="1">"U25569"</definedName>
    <definedName name="FDD_10_0" hidden="1">"A25569"</definedName>
    <definedName name="FDD_100_0" hidden="1">"A25569"</definedName>
    <definedName name="FDD_101_0" hidden="1">"A25569"</definedName>
    <definedName name="FDD_102_0" hidden="1">"A25569"</definedName>
    <definedName name="FDD_103_0" hidden="1">"A25569"</definedName>
    <definedName name="FDD_104_0" hidden="1">"A25569"</definedName>
    <definedName name="FDD_105_0" hidden="1">"A25569"</definedName>
    <definedName name="FDD_106_0" hidden="1">"A25569"</definedName>
    <definedName name="FDD_107_0" hidden="1">"A25569"</definedName>
    <definedName name="FDD_108_0" hidden="1">"A25569"</definedName>
    <definedName name="FDD_109_0" hidden="1">"A25569"</definedName>
    <definedName name="FDD_11_0" hidden="1">"A25569"</definedName>
    <definedName name="FDD_110_0" hidden="1">"A25569"</definedName>
    <definedName name="FDD_111_0" hidden="1">"A25569"</definedName>
    <definedName name="FDD_112_0" hidden="1">"A25569"</definedName>
    <definedName name="FDD_113_0" hidden="1">"A25569"</definedName>
    <definedName name="FDD_114_0" hidden="1">"A25569"</definedName>
    <definedName name="FDD_115_0" hidden="1">"A25569"</definedName>
    <definedName name="FDD_116_0" hidden="1">"A25569"</definedName>
    <definedName name="FDD_117_0" hidden="1">"A30681"</definedName>
    <definedName name="FDD_117_1" hidden="1">"A31047"</definedName>
    <definedName name="FDD_117_10" hidden="1">"A34334"</definedName>
    <definedName name="FDD_117_11" hidden="1">"A34699"</definedName>
    <definedName name="FDD_117_12" hidden="1">"A35064"</definedName>
    <definedName name="FDD_117_13" hidden="1">"A35430"</definedName>
    <definedName name="FDD_117_14" hidden="1">"A35795"</definedName>
    <definedName name="FDD_117_2" hidden="1">"A31412"</definedName>
    <definedName name="FDD_117_3" hidden="1">"A31777"</definedName>
    <definedName name="FDD_117_4" hidden="1">"A32142"</definedName>
    <definedName name="FDD_117_5" hidden="1">"A32508"</definedName>
    <definedName name="FDD_117_6" hidden="1">"A32873"</definedName>
    <definedName name="FDD_117_7" hidden="1">"A33238"</definedName>
    <definedName name="FDD_117_8" hidden="1">"A33603"</definedName>
    <definedName name="FDD_117_9" hidden="1">"A33969"</definedName>
    <definedName name="FDD_118_0" hidden="1">"A30681"</definedName>
    <definedName name="FDD_118_1" hidden="1">"A31047"</definedName>
    <definedName name="FDD_118_10" hidden="1">"A34334"</definedName>
    <definedName name="FDD_118_11" hidden="1">"A34699"</definedName>
    <definedName name="FDD_118_12" hidden="1">"A35064"</definedName>
    <definedName name="FDD_118_13" hidden="1">"A35430"</definedName>
    <definedName name="FDD_118_14" hidden="1">"A35795"</definedName>
    <definedName name="FDD_118_2" hidden="1">"A31412"</definedName>
    <definedName name="FDD_118_3" hidden="1">"A31777"</definedName>
    <definedName name="FDD_118_4" hidden="1">"A32142"</definedName>
    <definedName name="FDD_118_5" hidden="1">"A32508"</definedName>
    <definedName name="FDD_118_6" hidden="1">"A32873"</definedName>
    <definedName name="FDD_118_7" hidden="1">"A33238"</definedName>
    <definedName name="FDD_118_8" hidden="1">"A33603"</definedName>
    <definedName name="FDD_118_9" hidden="1">"A33969"</definedName>
    <definedName name="FDD_119_0" hidden="1">"A30681"</definedName>
    <definedName name="FDD_119_1" hidden="1">"A31047"</definedName>
    <definedName name="FDD_119_10" hidden="1">"A34334"</definedName>
    <definedName name="FDD_119_11" hidden="1">"A34699"</definedName>
    <definedName name="FDD_119_12" hidden="1">"A35064"</definedName>
    <definedName name="FDD_119_13" hidden="1">"A35430"</definedName>
    <definedName name="FDD_119_14" hidden="1">"A35795"</definedName>
    <definedName name="FDD_119_2" hidden="1">"A31412"</definedName>
    <definedName name="FDD_119_3" hidden="1">"A31777"</definedName>
    <definedName name="FDD_119_4" hidden="1">"A32142"</definedName>
    <definedName name="FDD_119_5" hidden="1">"A32508"</definedName>
    <definedName name="FDD_119_6" hidden="1">"A32873"</definedName>
    <definedName name="FDD_119_7" hidden="1">"A33238"</definedName>
    <definedName name="FDD_119_8" hidden="1">"A33603"</definedName>
    <definedName name="FDD_119_9" hidden="1">"A33969"</definedName>
    <definedName name="FDD_12_0" hidden="1">"A25569"</definedName>
    <definedName name="FDD_120_0" hidden="1">"A30681"</definedName>
    <definedName name="FDD_120_1" hidden="1">"A31047"</definedName>
    <definedName name="FDD_120_10" hidden="1">"A34334"</definedName>
    <definedName name="FDD_120_11" hidden="1">"A34699"</definedName>
    <definedName name="FDD_120_12" hidden="1">"A35064"</definedName>
    <definedName name="FDD_120_13" hidden="1">"A35430"</definedName>
    <definedName name="FDD_120_14" hidden="1">"A35795"</definedName>
    <definedName name="FDD_120_2" hidden="1">"A31412"</definedName>
    <definedName name="FDD_120_3" hidden="1">"A31777"</definedName>
    <definedName name="FDD_120_4" hidden="1">"A32142"</definedName>
    <definedName name="FDD_120_5" hidden="1">"A32508"</definedName>
    <definedName name="FDD_120_6" hidden="1">"A32873"</definedName>
    <definedName name="FDD_120_7" hidden="1">"A33238"</definedName>
    <definedName name="FDD_120_8" hidden="1">"A33603"</definedName>
    <definedName name="FDD_120_9" hidden="1">"A33969"</definedName>
    <definedName name="FDD_121_0" hidden="1">"A30681"</definedName>
    <definedName name="FDD_121_1" hidden="1">"A31047"</definedName>
    <definedName name="FDD_121_10" hidden="1">"A34334"</definedName>
    <definedName name="FDD_121_11" hidden="1">"A34699"</definedName>
    <definedName name="FDD_121_12" hidden="1">"A35064"</definedName>
    <definedName name="FDD_121_13" hidden="1">"A35430"</definedName>
    <definedName name="FDD_121_14" hidden="1">"A35795"</definedName>
    <definedName name="FDD_121_2" hidden="1">"A31412"</definedName>
    <definedName name="FDD_121_3" hidden="1">"A31777"</definedName>
    <definedName name="FDD_121_4" hidden="1">"A32142"</definedName>
    <definedName name="FDD_121_5" hidden="1">"A32508"</definedName>
    <definedName name="FDD_121_6" hidden="1">"A32873"</definedName>
    <definedName name="FDD_121_7" hidden="1">"A33238"</definedName>
    <definedName name="FDD_121_8" hidden="1">"A33603"</definedName>
    <definedName name="FDD_121_9" hidden="1">"A33969"</definedName>
    <definedName name="FDD_122_0" hidden="1">"A30681"</definedName>
    <definedName name="FDD_122_1" hidden="1">"A31047"</definedName>
    <definedName name="FDD_122_10" hidden="1">"A34334"</definedName>
    <definedName name="FDD_122_11" hidden="1">"A34699"</definedName>
    <definedName name="FDD_122_12" hidden="1">"A35064"</definedName>
    <definedName name="FDD_122_13" hidden="1">"A35430"</definedName>
    <definedName name="FDD_122_14" hidden="1">"A35795"</definedName>
    <definedName name="FDD_122_2" hidden="1">"A31412"</definedName>
    <definedName name="FDD_122_3" hidden="1">"A31777"</definedName>
    <definedName name="FDD_122_4" hidden="1">"A32142"</definedName>
    <definedName name="FDD_122_5" hidden="1">"A32508"</definedName>
    <definedName name="FDD_122_6" hidden="1">"A32873"</definedName>
    <definedName name="FDD_122_7" hidden="1">"A33238"</definedName>
    <definedName name="FDD_122_8" hidden="1">"A33603"</definedName>
    <definedName name="FDD_122_9" hidden="1">"A33969"</definedName>
    <definedName name="FDD_123_0" hidden="1">"A30681"</definedName>
    <definedName name="FDD_123_1" hidden="1">"A31047"</definedName>
    <definedName name="FDD_123_10" hidden="1">"A34334"</definedName>
    <definedName name="FDD_123_11" hidden="1">"A34699"</definedName>
    <definedName name="FDD_123_12" hidden="1">"A35064"</definedName>
    <definedName name="FDD_123_13" hidden="1">"A35430"</definedName>
    <definedName name="FDD_123_14" hidden="1">"A35795"</definedName>
    <definedName name="FDD_123_2" hidden="1">"A31412"</definedName>
    <definedName name="FDD_123_3" hidden="1">"A31777"</definedName>
    <definedName name="FDD_123_4" hidden="1">"A32142"</definedName>
    <definedName name="FDD_123_5" hidden="1">"A32508"</definedName>
    <definedName name="FDD_123_6" hidden="1">"A32873"</definedName>
    <definedName name="FDD_123_7" hidden="1">"A33238"</definedName>
    <definedName name="FDD_123_8" hidden="1">"A33603"</definedName>
    <definedName name="FDD_123_9" hidden="1">"A33969"</definedName>
    <definedName name="FDD_124_0" hidden="1">"A30681"</definedName>
    <definedName name="FDD_124_1" hidden="1">"A31047"</definedName>
    <definedName name="FDD_124_10" hidden="1">"A34334"</definedName>
    <definedName name="FDD_124_11" hidden="1">"A34699"</definedName>
    <definedName name="FDD_124_12" hidden="1">"A35064"</definedName>
    <definedName name="FDD_124_13" hidden="1">"A35430"</definedName>
    <definedName name="FDD_124_14" hidden="1">"A35795"</definedName>
    <definedName name="FDD_124_2" hidden="1">"A31412"</definedName>
    <definedName name="FDD_124_3" hidden="1">"A31777"</definedName>
    <definedName name="FDD_124_4" hidden="1">"A32142"</definedName>
    <definedName name="FDD_124_5" hidden="1">"A32508"</definedName>
    <definedName name="FDD_124_6" hidden="1">"A32873"</definedName>
    <definedName name="FDD_124_7" hidden="1">"A33238"</definedName>
    <definedName name="FDD_124_8" hidden="1">"A33603"</definedName>
    <definedName name="FDD_124_9" hidden="1">"A33969"</definedName>
    <definedName name="FDD_125_0" hidden="1">"A30681"</definedName>
    <definedName name="FDD_125_1" hidden="1">"A31047"</definedName>
    <definedName name="FDD_125_10" hidden="1">"A34334"</definedName>
    <definedName name="FDD_125_11" hidden="1">"A34699"</definedName>
    <definedName name="FDD_125_12" hidden="1">"A35064"</definedName>
    <definedName name="FDD_125_13" hidden="1">"A35430"</definedName>
    <definedName name="FDD_125_14" hidden="1">"A35795"</definedName>
    <definedName name="FDD_125_2" hidden="1">"A31412"</definedName>
    <definedName name="FDD_125_3" hidden="1">"A31777"</definedName>
    <definedName name="FDD_125_4" hidden="1">"A32142"</definedName>
    <definedName name="FDD_125_5" hidden="1">"A32508"</definedName>
    <definedName name="FDD_125_6" hidden="1">"A32873"</definedName>
    <definedName name="FDD_125_7" hidden="1">"A33238"</definedName>
    <definedName name="FDD_125_8" hidden="1">"A33603"</definedName>
    <definedName name="FDD_125_9" hidden="1">"A33969"</definedName>
    <definedName name="FDD_126_0" hidden="1">"A30681"</definedName>
    <definedName name="FDD_126_1" hidden="1">"A31047"</definedName>
    <definedName name="FDD_126_10" hidden="1">"A34334"</definedName>
    <definedName name="FDD_126_11" hidden="1">"A34699"</definedName>
    <definedName name="FDD_126_12" hidden="1">"A35064"</definedName>
    <definedName name="FDD_126_13" hidden="1">"A35430"</definedName>
    <definedName name="FDD_126_14" hidden="1">"A35795"</definedName>
    <definedName name="FDD_126_2" hidden="1">"A31412"</definedName>
    <definedName name="FDD_126_3" hidden="1">"A31777"</definedName>
    <definedName name="FDD_126_4" hidden="1">"A32142"</definedName>
    <definedName name="FDD_126_5" hidden="1">"A32508"</definedName>
    <definedName name="FDD_126_6" hidden="1">"A32873"</definedName>
    <definedName name="FDD_126_7" hidden="1">"A33238"</definedName>
    <definedName name="FDD_126_8" hidden="1">"A33603"</definedName>
    <definedName name="FDD_126_9" hidden="1">"A33969"</definedName>
    <definedName name="FDD_127_0" hidden="1">"A30681"</definedName>
    <definedName name="FDD_127_1" hidden="1">"A31047"</definedName>
    <definedName name="FDD_127_10" hidden="1">"A34334"</definedName>
    <definedName name="FDD_127_11" hidden="1">"A34699"</definedName>
    <definedName name="FDD_127_12" hidden="1">"A35064"</definedName>
    <definedName name="FDD_127_13" hidden="1">"A35430"</definedName>
    <definedName name="FDD_127_14" hidden="1">"A35795"</definedName>
    <definedName name="FDD_127_2" hidden="1">"A31412"</definedName>
    <definedName name="FDD_127_3" hidden="1">"A31777"</definedName>
    <definedName name="FDD_127_4" hidden="1">"A32142"</definedName>
    <definedName name="FDD_127_5" hidden="1">"A32508"</definedName>
    <definedName name="FDD_127_6" hidden="1">"A32873"</definedName>
    <definedName name="FDD_127_7" hidden="1">"A33238"</definedName>
    <definedName name="FDD_127_8" hidden="1">"A33603"</definedName>
    <definedName name="FDD_127_9" hidden="1">"A33969"</definedName>
    <definedName name="FDD_128_0" hidden="1">"A30681"</definedName>
    <definedName name="FDD_128_1" hidden="1">"A31047"</definedName>
    <definedName name="FDD_128_10" hidden="1">"A34334"</definedName>
    <definedName name="FDD_128_11" hidden="1">"A34699"</definedName>
    <definedName name="FDD_128_12" hidden="1">"A35064"</definedName>
    <definedName name="FDD_128_13" hidden="1">"A35430"</definedName>
    <definedName name="FDD_128_14" hidden="1">"A35795"</definedName>
    <definedName name="FDD_128_2" hidden="1">"A31412"</definedName>
    <definedName name="FDD_128_3" hidden="1">"A31777"</definedName>
    <definedName name="FDD_128_4" hidden="1">"A32142"</definedName>
    <definedName name="FDD_128_5" hidden="1">"A32508"</definedName>
    <definedName name="FDD_128_6" hidden="1">"A32873"</definedName>
    <definedName name="FDD_128_7" hidden="1">"A33238"</definedName>
    <definedName name="FDD_128_8" hidden="1">"A33603"</definedName>
    <definedName name="FDD_128_9" hidden="1">"A33969"</definedName>
    <definedName name="FDD_129_0" hidden="1">"A30681"</definedName>
    <definedName name="FDD_129_1" hidden="1">"A31047"</definedName>
    <definedName name="FDD_129_10" hidden="1">"A34334"</definedName>
    <definedName name="FDD_129_11" hidden="1">"A34699"</definedName>
    <definedName name="FDD_129_12" hidden="1">"A35064"</definedName>
    <definedName name="FDD_129_13" hidden="1">"A35430"</definedName>
    <definedName name="FDD_129_14" hidden="1">"A35795"</definedName>
    <definedName name="FDD_129_2" hidden="1">"A31412"</definedName>
    <definedName name="FDD_129_3" hidden="1">"A31777"</definedName>
    <definedName name="FDD_129_4" hidden="1">"A32142"</definedName>
    <definedName name="FDD_129_5" hidden="1">"A32508"</definedName>
    <definedName name="FDD_129_6" hidden="1">"A32873"</definedName>
    <definedName name="FDD_129_7" hidden="1">"A33238"</definedName>
    <definedName name="FDD_129_8" hidden="1">"A33603"</definedName>
    <definedName name="FDD_129_9" hidden="1">"A33969"</definedName>
    <definedName name="FDD_13_0" hidden="1">"A25569"</definedName>
    <definedName name="FDD_130_0" hidden="1">"A30681"</definedName>
    <definedName name="FDD_130_1" hidden="1">"A31047"</definedName>
    <definedName name="FDD_130_10" hidden="1">"A34334"</definedName>
    <definedName name="FDD_130_11" hidden="1">"A34699"</definedName>
    <definedName name="FDD_130_12" hidden="1">"A35064"</definedName>
    <definedName name="FDD_130_13" hidden="1">"A35430"</definedName>
    <definedName name="FDD_130_14" hidden="1">"A35795"</definedName>
    <definedName name="FDD_130_2" hidden="1">"A31412"</definedName>
    <definedName name="FDD_130_3" hidden="1">"A31777"</definedName>
    <definedName name="FDD_130_4" hidden="1">"A32142"</definedName>
    <definedName name="FDD_130_5" hidden="1">"A32508"</definedName>
    <definedName name="FDD_130_6" hidden="1">"A32873"</definedName>
    <definedName name="FDD_130_7" hidden="1">"A33238"</definedName>
    <definedName name="FDD_130_8" hidden="1">"A33603"</definedName>
    <definedName name="FDD_130_9" hidden="1">"A33969"</definedName>
    <definedName name="FDD_131_0" hidden="1">"A30681"</definedName>
    <definedName name="FDD_131_1" hidden="1">"A31047"</definedName>
    <definedName name="FDD_131_10" hidden="1">"A34334"</definedName>
    <definedName name="FDD_131_11" hidden="1">"A34699"</definedName>
    <definedName name="FDD_131_12" hidden="1">"A35064"</definedName>
    <definedName name="FDD_131_13" hidden="1">"A35430"</definedName>
    <definedName name="FDD_131_14" hidden="1">"A35795"</definedName>
    <definedName name="FDD_131_2" hidden="1">"A31412"</definedName>
    <definedName name="FDD_131_3" hidden="1">"A31777"</definedName>
    <definedName name="FDD_131_4" hidden="1">"A32142"</definedName>
    <definedName name="FDD_131_5" hidden="1">"A32508"</definedName>
    <definedName name="FDD_131_6" hidden="1">"A32873"</definedName>
    <definedName name="FDD_131_7" hidden="1">"A33238"</definedName>
    <definedName name="FDD_131_8" hidden="1">"A33603"</definedName>
    <definedName name="FDD_131_9" hidden="1">"A33969"</definedName>
    <definedName name="FDD_132_0" hidden="1">"U30681"</definedName>
    <definedName name="FDD_132_1" hidden="1">"U31047"</definedName>
    <definedName name="FDD_132_10" hidden="1">"U34334"</definedName>
    <definedName name="FDD_132_11" hidden="1">"U34699"</definedName>
    <definedName name="FDD_132_12" hidden="1">"U35064"</definedName>
    <definedName name="FDD_132_13" hidden="1">"U35430"</definedName>
    <definedName name="FDD_132_14" hidden="1">"U35795"</definedName>
    <definedName name="FDD_132_2" hidden="1">"U31412"</definedName>
    <definedName name="FDD_132_3" hidden="1">"U31777"</definedName>
    <definedName name="FDD_132_4" hidden="1">"U32142"</definedName>
    <definedName name="FDD_132_5" hidden="1">"U32508"</definedName>
    <definedName name="FDD_132_6" hidden="1">"U32873"</definedName>
    <definedName name="FDD_132_7" hidden="1">"U33238"</definedName>
    <definedName name="FDD_132_8" hidden="1">"U33603"</definedName>
    <definedName name="FDD_132_9" hidden="1">"U33969"</definedName>
    <definedName name="FDD_133_0" hidden="1">"A30681"</definedName>
    <definedName name="FDD_133_1" hidden="1">"A31047"</definedName>
    <definedName name="FDD_133_10" hidden="1">"A34334"</definedName>
    <definedName name="FDD_133_11" hidden="1">"A34699"</definedName>
    <definedName name="FDD_133_12" hidden="1">"A35064"</definedName>
    <definedName name="FDD_133_13" hidden="1">"A35430"</definedName>
    <definedName name="FDD_133_14" hidden="1">"A35795"</definedName>
    <definedName name="FDD_133_2" hidden="1">"A31412"</definedName>
    <definedName name="FDD_133_3" hidden="1">"A31777"</definedName>
    <definedName name="FDD_133_4" hidden="1">"A32142"</definedName>
    <definedName name="FDD_133_5" hidden="1">"A32508"</definedName>
    <definedName name="FDD_133_6" hidden="1">"A32873"</definedName>
    <definedName name="FDD_133_7" hidden="1">"A33238"</definedName>
    <definedName name="FDD_133_8" hidden="1">"A33603"</definedName>
    <definedName name="FDD_133_9" hidden="1">"A33969"</definedName>
    <definedName name="FDD_134_0" hidden="1">"A30681"</definedName>
    <definedName name="FDD_134_1" hidden="1">"A31047"</definedName>
    <definedName name="FDD_134_10" hidden="1">"A34334"</definedName>
    <definedName name="FDD_134_11" hidden="1">"A34699"</definedName>
    <definedName name="FDD_134_12" hidden="1">"A35064"</definedName>
    <definedName name="FDD_134_13" hidden="1">"A35430"</definedName>
    <definedName name="FDD_134_14" hidden="1">"A35795"</definedName>
    <definedName name="FDD_134_2" hidden="1">"A31412"</definedName>
    <definedName name="FDD_134_3" hidden="1">"A31777"</definedName>
    <definedName name="FDD_134_4" hidden="1">"A32142"</definedName>
    <definedName name="FDD_134_5" hidden="1">"A32508"</definedName>
    <definedName name="FDD_134_6" hidden="1">"A32873"</definedName>
    <definedName name="FDD_134_7" hidden="1">"A33238"</definedName>
    <definedName name="FDD_134_8" hidden="1">"A33603"</definedName>
    <definedName name="FDD_134_9" hidden="1">"A33969"</definedName>
    <definedName name="FDD_135_0" hidden="1">"A30681"</definedName>
    <definedName name="FDD_135_1" hidden="1">"A31047"</definedName>
    <definedName name="FDD_135_10" hidden="1">"A34334"</definedName>
    <definedName name="FDD_135_11" hidden="1">"A34699"</definedName>
    <definedName name="FDD_135_12" hidden="1">"A35064"</definedName>
    <definedName name="FDD_135_13" hidden="1">"A35430"</definedName>
    <definedName name="FDD_135_14" hidden="1">"A35795"</definedName>
    <definedName name="FDD_135_2" hidden="1">"A31412"</definedName>
    <definedName name="FDD_135_3" hidden="1">"A31777"</definedName>
    <definedName name="FDD_135_4" hidden="1">"A32142"</definedName>
    <definedName name="FDD_135_5" hidden="1">"A32508"</definedName>
    <definedName name="FDD_135_6" hidden="1">"A32873"</definedName>
    <definedName name="FDD_135_7" hidden="1">"A33238"</definedName>
    <definedName name="FDD_135_8" hidden="1">"A33603"</definedName>
    <definedName name="FDD_135_9" hidden="1">"A33969"</definedName>
    <definedName name="FDD_136_0" hidden="1">"A30681"</definedName>
    <definedName name="FDD_136_1" hidden="1">"A31047"</definedName>
    <definedName name="FDD_136_10" hidden="1">"A34334"</definedName>
    <definedName name="FDD_136_11" hidden="1">"A34699"</definedName>
    <definedName name="FDD_136_12" hidden="1">"A35064"</definedName>
    <definedName name="FDD_136_13" hidden="1">"A35430"</definedName>
    <definedName name="FDD_136_14" hidden="1">"A35795"</definedName>
    <definedName name="FDD_136_2" hidden="1">"A31412"</definedName>
    <definedName name="FDD_136_3" hidden="1">"A31777"</definedName>
    <definedName name="FDD_136_4" hidden="1">"A32142"</definedName>
    <definedName name="FDD_136_5" hidden="1">"A32508"</definedName>
    <definedName name="FDD_136_6" hidden="1">"A32873"</definedName>
    <definedName name="FDD_136_7" hidden="1">"A33238"</definedName>
    <definedName name="FDD_136_8" hidden="1">"A33603"</definedName>
    <definedName name="FDD_136_9" hidden="1">"A33969"</definedName>
    <definedName name="FDD_137_0" hidden="1">"A30681"</definedName>
    <definedName name="FDD_137_1" hidden="1">"A31047"</definedName>
    <definedName name="FDD_137_10" hidden="1">"A34334"</definedName>
    <definedName name="FDD_137_11" hidden="1">"A34699"</definedName>
    <definedName name="FDD_137_12" hidden="1">"A35064"</definedName>
    <definedName name="FDD_137_13" hidden="1">"A35430"</definedName>
    <definedName name="FDD_137_14" hidden="1">"A35795"</definedName>
    <definedName name="FDD_137_2" hidden="1">"A31412"</definedName>
    <definedName name="FDD_137_3" hidden="1">"A31777"</definedName>
    <definedName name="FDD_137_4" hidden="1">"A32142"</definedName>
    <definedName name="FDD_137_5" hidden="1">"A32508"</definedName>
    <definedName name="FDD_137_6" hidden="1">"A32873"</definedName>
    <definedName name="FDD_137_7" hidden="1">"A33238"</definedName>
    <definedName name="FDD_137_8" hidden="1">"A33603"</definedName>
    <definedName name="FDD_137_9" hidden="1">"A33969"</definedName>
    <definedName name="FDD_138_0" hidden="1">"A30681"</definedName>
    <definedName name="FDD_138_1" hidden="1">"A31047"</definedName>
    <definedName name="FDD_138_10" hidden="1">"A34334"</definedName>
    <definedName name="FDD_138_11" hidden="1">"A34699"</definedName>
    <definedName name="FDD_138_12" hidden="1">"A35064"</definedName>
    <definedName name="FDD_138_13" hidden="1">"A35430"</definedName>
    <definedName name="FDD_138_14" hidden="1">"A35795"</definedName>
    <definedName name="FDD_138_2" hidden="1">"A31412"</definedName>
    <definedName name="FDD_138_3" hidden="1">"A31777"</definedName>
    <definedName name="FDD_138_4" hidden="1">"A32142"</definedName>
    <definedName name="FDD_138_5" hidden="1">"A32508"</definedName>
    <definedName name="FDD_138_6" hidden="1">"A32873"</definedName>
    <definedName name="FDD_138_7" hidden="1">"A33238"</definedName>
    <definedName name="FDD_138_8" hidden="1">"A33603"</definedName>
    <definedName name="FDD_138_9" hidden="1">"A33969"</definedName>
    <definedName name="FDD_139_0" hidden="1">"A30681"</definedName>
    <definedName name="FDD_139_1" hidden="1">"A31047"</definedName>
    <definedName name="FDD_139_10" hidden="1">"U34334"</definedName>
    <definedName name="FDD_139_11" hidden="1">"U34699"</definedName>
    <definedName name="FDD_139_12" hidden="1">"U35064"</definedName>
    <definedName name="FDD_139_13" hidden="1">"U35430"</definedName>
    <definedName name="FDD_139_14" hidden="1">"U35795"</definedName>
    <definedName name="FDD_139_2" hidden="1">"A31412"</definedName>
    <definedName name="FDD_139_3" hidden="1">"U31777"</definedName>
    <definedName name="FDD_139_4" hidden="1">"U32142"</definedName>
    <definedName name="FDD_139_5" hidden="1">"U32508"</definedName>
    <definedName name="FDD_139_6" hidden="1">"U32873"</definedName>
    <definedName name="FDD_139_7" hidden="1">"U33238"</definedName>
    <definedName name="FDD_139_8" hidden="1">"U33603"</definedName>
    <definedName name="FDD_139_9" hidden="1">"U33969"</definedName>
    <definedName name="FDD_14_0" hidden="1">"A25569"</definedName>
    <definedName name="FDD_140_0" hidden="1">"A25569"</definedName>
    <definedName name="FDD_141_0" hidden="1">"A30681"</definedName>
    <definedName name="FDD_141_1" hidden="1">"A31047"</definedName>
    <definedName name="FDD_141_10" hidden="1">"A34334"</definedName>
    <definedName name="FDD_141_11" hidden="1">"A34699"</definedName>
    <definedName name="FDD_141_12" hidden="1">"A35064"</definedName>
    <definedName name="FDD_141_13" hidden="1">"A35430"</definedName>
    <definedName name="FDD_141_14" hidden="1">"A35795"</definedName>
    <definedName name="FDD_141_2" hidden="1">"A31412"</definedName>
    <definedName name="FDD_141_3" hidden="1">"A31777"</definedName>
    <definedName name="FDD_141_4" hidden="1">"A32142"</definedName>
    <definedName name="FDD_141_5" hidden="1">"A32508"</definedName>
    <definedName name="FDD_141_6" hidden="1">"A32873"</definedName>
    <definedName name="FDD_141_7" hidden="1">"A33238"</definedName>
    <definedName name="FDD_141_8" hidden="1">"A33603"</definedName>
    <definedName name="FDD_141_9" hidden="1">"A33969"</definedName>
    <definedName name="FDD_142_0" hidden="1">"A30681"</definedName>
    <definedName name="FDD_142_1" hidden="1">"A31047"</definedName>
    <definedName name="FDD_142_10" hidden="1">"A34334"</definedName>
    <definedName name="FDD_142_11" hidden="1">"A34699"</definedName>
    <definedName name="FDD_142_12" hidden="1">"A35064"</definedName>
    <definedName name="FDD_142_13" hidden="1">"A35430"</definedName>
    <definedName name="FDD_142_14" hidden="1">"A35795"</definedName>
    <definedName name="FDD_142_2" hidden="1">"A31412"</definedName>
    <definedName name="FDD_142_3" hidden="1">"A31777"</definedName>
    <definedName name="FDD_142_4" hidden="1">"A32142"</definedName>
    <definedName name="FDD_142_5" hidden="1">"A32508"</definedName>
    <definedName name="FDD_142_6" hidden="1">"A32873"</definedName>
    <definedName name="FDD_142_7" hidden="1">"A33238"</definedName>
    <definedName name="FDD_142_8" hidden="1">"A33603"</definedName>
    <definedName name="FDD_142_9" hidden="1">"A33969"</definedName>
    <definedName name="FDD_143_0" hidden="1">"A30681"</definedName>
    <definedName name="FDD_143_1" hidden="1">"A31047"</definedName>
    <definedName name="FDD_143_10" hidden="1">"A34334"</definedName>
    <definedName name="FDD_143_11" hidden="1">"A34699"</definedName>
    <definedName name="FDD_143_12" hidden="1">"A35064"</definedName>
    <definedName name="FDD_143_13" hidden="1">"A35430"</definedName>
    <definedName name="FDD_143_14" hidden="1">"A35795"</definedName>
    <definedName name="FDD_143_2" hidden="1">"A31412"</definedName>
    <definedName name="FDD_143_3" hidden="1">"A31777"</definedName>
    <definedName name="FDD_143_4" hidden="1">"A32142"</definedName>
    <definedName name="FDD_143_5" hidden="1">"A32508"</definedName>
    <definedName name="FDD_143_6" hidden="1">"A32873"</definedName>
    <definedName name="FDD_143_7" hidden="1">"A33238"</definedName>
    <definedName name="FDD_143_8" hidden="1">"A33603"</definedName>
    <definedName name="FDD_143_9" hidden="1">"A33969"</definedName>
    <definedName name="FDD_144_0" hidden="1">"A30681"</definedName>
    <definedName name="FDD_144_1" hidden="1">"A31047"</definedName>
    <definedName name="FDD_144_10" hidden="1">"A34334"</definedName>
    <definedName name="FDD_144_11" hidden="1">"A34699"</definedName>
    <definedName name="FDD_144_12" hidden="1">"A35064"</definedName>
    <definedName name="FDD_144_13" hidden="1">"A35430"</definedName>
    <definedName name="FDD_144_14" hidden="1">"A35795"</definedName>
    <definedName name="FDD_144_2" hidden="1">"A31412"</definedName>
    <definedName name="FDD_144_3" hidden="1">"A31777"</definedName>
    <definedName name="FDD_144_4" hidden="1">"A32142"</definedName>
    <definedName name="FDD_144_5" hidden="1">"A32508"</definedName>
    <definedName name="FDD_144_6" hidden="1">"A32873"</definedName>
    <definedName name="FDD_144_7" hidden="1">"A33238"</definedName>
    <definedName name="FDD_144_8" hidden="1">"A33603"</definedName>
    <definedName name="FDD_144_9" hidden="1">"A33969"</definedName>
    <definedName name="FDD_145_0" hidden="1">"A30681"</definedName>
    <definedName name="FDD_145_1" hidden="1">"A31047"</definedName>
    <definedName name="FDD_145_10" hidden="1">"A34334"</definedName>
    <definedName name="FDD_145_11" hidden="1">"A34699"</definedName>
    <definedName name="FDD_145_12" hidden="1">"A35064"</definedName>
    <definedName name="FDD_145_13" hidden="1">"A35430"</definedName>
    <definedName name="FDD_145_14" hidden="1">"A35795"</definedName>
    <definedName name="FDD_145_2" hidden="1">"A31412"</definedName>
    <definedName name="FDD_145_3" hidden="1">"A31777"</definedName>
    <definedName name="FDD_145_4" hidden="1">"A32142"</definedName>
    <definedName name="FDD_145_5" hidden="1">"A32508"</definedName>
    <definedName name="FDD_145_6" hidden="1">"A32873"</definedName>
    <definedName name="FDD_145_7" hidden="1">"A33238"</definedName>
    <definedName name="FDD_145_8" hidden="1">"A33603"</definedName>
    <definedName name="FDD_145_9" hidden="1">"A33969"</definedName>
    <definedName name="FDD_146_0" hidden="1">"A30681"</definedName>
    <definedName name="FDD_146_1" hidden="1">"A31047"</definedName>
    <definedName name="FDD_146_10" hidden="1">"A34334"</definedName>
    <definedName name="FDD_146_11" hidden="1">"A34699"</definedName>
    <definedName name="FDD_146_12" hidden="1">"A35064"</definedName>
    <definedName name="FDD_146_13" hidden="1">"A35430"</definedName>
    <definedName name="FDD_146_14" hidden="1">"A35795"</definedName>
    <definedName name="FDD_146_2" hidden="1">"A31412"</definedName>
    <definedName name="FDD_146_3" hidden="1">"A31777"</definedName>
    <definedName name="FDD_146_4" hidden="1">"A32142"</definedName>
    <definedName name="FDD_146_5" hidden="1">"A32508"</definedName>
    <definedName name="FDD_146_6" hidden="1">"A32873"</definedName>
    <definedName name="FDD_146_7" hidden="1">"A33238"</definedName>
    <definedName name="FDD_146_8" hidden="1">"A33603"</definedName>
    <definedName name="FDD_146_9" hidden="1">"A33969"</definedName>
    <definedName name="FDD_147_0" hidden="1">"U30681"</definedName>
    <definedName name="FDD_147_1" hidden="1">"U31047"</definedName>
    <definedName name="FDD_147_10" hidden="1">"U34334"</definedName>
    <definedName name="FDD_147_11" hidden="1">"U34699"</definedName>
    <definedName name="FDD_147_12" hidden="1">"U35064"</definedName>
    <definedName name="FDD_147_13" hidden="1">"U35430"</definedName>
    <definedName name="FDD_147_14" hidden="1">"U35795"</definedName>
    <definedName name="FDD_147_2" hidden="1">"U31412"</definedName>
    <definedName name="FDD_147_3" hidden="1">"U31777"</definedName>
    <definedName name="FDD_147_4" hidden="1">"U32142"</definedName>
    <definedName name="FDD_147_5" hidden="1">"U32508"</definedName>
    <definedName name="FDD_147_6" hidden="1">"U32873"</definedName>
    <definedName name="FDD_147_7" hidden="1">"U33238"</definedName>
    <definedName name="FDD_147_8" hidden="1">"U33603"</definedName>
    <definedName name="FDD_147_9" hidden="1">"U33969"</definedName>
    <definedName name="FDD_148_0" hidden="1">"A30681"</definedName>
    <definedName name="FDD_148_1" hidden="1">"A31047"</definedName>
    <definedName name="FDD_148_10" hidden="1">"A34334"</definedName>
    <definedName name="FDD_148_11" hidden="1">"A34699"</definedName>
    <definedName name="FDD_148_12" hidden="1">"A35064"</definedName>
    <definedName name="FDD_148_13" hidden="1">"A35430"</definedName>
    <definedName name="FDD_148_14" hidden="1">"A35795"</definedName>
    <definedName name="FDD_148_2" hidden="1">"A31412"</definedName>
    <definedName name="FDD_148_3" hidden="1">"A31777"</definedName>
    <definedName name="FDD_148_4" hidden="1">"A32142"</definedName>
    <definedName name="FDD_148_5" hidden="1">"A32508"</definedName>
    <definedName name="FDD_148_6" hidden="1">"A32873"</definedName>
    <definedName name="FDD_148_7" hidden="1">"A33238"</definedName>
    <definedName name="FDD_148_8" hidden="1">"A33603"</definedName>
    <definedName name="FDD_148_9" hidden="1">"A33969"</definedName>
    <definedName name="FDD_149_0" hidden="1">"U30681"</definedName>
    <definedName name="FDD_149_1" hidden="1">"U31047"</definedName>
    <definedName name="FDD_149_10" hidden="1">"U34334"</definedName>
    <definedName name="FDD_149_11" hidden="1">"U34699"</definedName>
    <definedName name="FDD_149_12" hidden="1">"U35064"</definedName>
    <definedName name="FDD_149_13" hidden="1">"U35430"</definedName>
    <definedName name="FDD_149_14" hidden="1">"A35795"</definedName>
    <definedName name="FDD_149_2" hidden="1">"U31412"</definedName>
    <definedName name="FDD_149_3" hidden="1">"U31777"</definedName>
    <definedName name="FDD_149_4" hidden="1">"U32142"</definedName>
    <definedName name="FDD_149_5" hidden="1">"U32508"</definedName>
    <definedName name="FDD_149_6" hidden="1">"U32873"</definedName>
    <definedName name="FDD_149_7" hidden="1">"U33238"</definedName>
    <definedName name="FDD_149_8" hidden="1">"U33603"</definedName>
    <definedName name="FDD_149_9" hidden="1">"U33969"</definedName>
    <definedName name="FDD_15_0" hidden="1">"A25569"</definedName>
    <definedName name="FDD_151_0" hidden="1">"A30681"</definedName>
    <definedName name="FDD_151_1" hidden="1">"A31047"</definedName>
    <definedName name="FDD_151_10" hidden="1">"A34334"</definedName>
    <definedName name="FDD_151_11" hidden="1">"A34699"</definedName>
    <definedName name="FDD_151_12" hidden="1">"A35064"</definedName>
    <definedName name="FDD_151_13" hidden="1">"A35430"</definedName>
    <definedName name="FDD_151_14" hidden="1">"A35795"</definedName>
    <definedName name="FDD_151_2" hidden="1">"A31412"</definedName>
    <definedName name="FDD_151_3" hidden="1">"A31777"</definedName>
    <definedName name="FDD_151_4" hidden="1">"A32142"</definedName>
    <definedName name="FDD_151_5" hidden="1">"A32508"</definedName>
    <definedName name="FDD_151_6" hidden="1">"A32873"</definedName>
    <definedName name="FDD_151_7" hidden="1">"A33238"</definedName>
    <definedName name="FDD_151_8" hidden="1">"A33603"</definedName>
    <definedName name="FDD_151_9" hidden="1">"A33969"</definedName>
    <definedName name="FDD_152_0" hidden="1">"A30681"</definedName>
    <definedName name="FDD_152_1" hidden="1">"A31047"</definedName>
    <definedName name="FDD_152_10" hidden="1">"A34334"</definedName>
    <definedName name="FDD_152_11" hidden="1">"A34699"</definedName>
    <definedName name="FDD_152_12" hidden="1">"A35064"</definedName>
    <definedName name="FDD_152_13" hidden="1">"A35430"</definedName>
    <definedName name="FDD_152_14" hidden="1">"A35795"</definedName>
    <definedName name="FDD_152_15" hidden="1">"E36160"</definedName>
    <definedName name="FDD_152_2" hidden="1">"A31412"</definedName>
    <definedName name="FDD_152_3" hidden="1">"A31777"</definedName>
    <definedName name="FDD_152_4" hidden="1">"A32142"</definedName>
    <definedName name="FDD_152_5" hidden="1">"A32508"</definedName>
    <definedName name="FDD_152_6" hidden="1">"A32873"</definedName>
    <definedName name="FDD_152_7" hidden="1">"A33238"</definedName>
    <definedName name="FDD_152_8" hidden="1">"A33603"</definedName>
    <definedName name="FDD_152_9" hidden="1">"A33969"</definedName>
    <definedName name="FDD_153_0" hidden="1">"A30681"</definedName>
    <definedName name="FDD_153_1" hidden="1">"A31047"</definedName>
    <definedName name="FDD_153_10" hidden="1">"A34334"</definedName>
    <definedName name="FDD_153_11" hidden="1">"A34699"</definedName>
    <definedName name="FDD_153_12" hidden="1">"A35064"</definedName>
    <definedName name="FDD_153_13" hidden="1">"A35430"</definedName>
    <definedName name="FDD_153_14" hidden="1">"A35795"</definedName>
    <definedName name="FDD_153_2" hidden="1">"A31412"</definedName>
    <definedName name="FDD_153_3" hidden="1">"A31777"</definedName>
    <definedName name="FDD_153_4" hidden="1">"A32142"</definedName>
    <definedName name="FDD_153_5" hidden="1">"A32508"</definedName>
    <definedName name="FDD_153_6" hidden="1">"A32873"</definedName>
    <definedName name="FDD_153_7" hidden="1">"A33238"</definedName>
    <definedName name="FDD_153_8" hidden="1">"A33603"</definedName>
    <definedName name="FDD_153_9" hidden="1">"A33969"</definedName>
    <definedName name="FDD_154_0" hidden="1">"A30681"</definedName>
    <definedName name="FDD_154_1" hidden="1">"A31047"</definedName>
    <definedName name="FDD_154_10" hidden="1">"A34334"</definedName>
    <definedName name="FDD_154_11" hidden="1">"A34699"</definedName>
    <definedName name="FDD_154_12" hidden="1">"A35064"</definedName>
    <definedName name="FDD_154_13" hidden="1">"A35430"</definedName>
    <definedName name="FDD_154_14" hidden="1">"A35795"</definedName>
    <definedName name="FDD_154_2" hidden="1">"A31412"</definedName>
    <definedName name="FDD_154_3" hidden="1">"A31777"</definedName>
    <definedName name="FDD_154_4" hidden="1">"A32142"</definedName>
    <definedName name="FDD_154_5" hidden="1">"A32508"</definedName>
    <definedName name="FDD_154_6" hidden="1">"A32873"</definedName>
    <definedName name="FDD_154_7" hidden="1">"A33238"</definedName>
    <definedName name="FDD_154_8" hidden="1">"A33603"</definedName>
    <definedName name="FDD_154_9" hidden="1">"A33969"</definedName>
    <definedName name="FDD_155_0" hidden="1">"A25569"</definedName>
    <definedName name="FDD_156_0" hidden="1">"A30681"</definedName>
    <definedName name="FDD_156_1" hidden="1">"A31047"</definedName>
    <definedName name="FDD_156_10" hidden="1">"A34334"</definedName>
    <definedName name="FDD_156_11" hidden="1">"A34699"</definedName>
    <definedName name="FDD_156_12" hidden="1">"A35064"</definedName>
    <definedName name="FDD_156_13" hidden="1">"A35430"</definedName>
    <definedName name="FDD_156_14" hidden="1">"A35795"</definedName>
    <definedName name="FDD_156_15" hidden="1">"E36160"</definedName>
    <definedName name="FDD_156_2" hidden="1">"A31412"</definedName>
    <definedName name="FDD_156_3" hidden="1">"A31777"</definedName>
    <definedName name="FDD_156_4" hidden="1">"A32142"</definedName>
    <definedName name="FDD_156_5" hidden="1">"A32508"</definedName>
    <definedName name="FDD_156_6" hidden="1">"A32873"</definedName>
    <definedName name="FDD_156_7" hidden="1">"A33238"</definedName>
    <definedName name="FDD_156_8" hidden="1">"A33603"</definedName>
    <definedName name="FDD_156_9" hidden="1">"A33969"</definedName>
    <definedName name="FDD_157_0" hidden="1">"A30681"</definedName>
    <definedName name="FDD_157_1" hidden="1">"A31047"</definedName>
    <definedName name="FDD_157_10" hidden="1">"A34334"</definedName>
    <definedName name="FDD_157_11" hidden="1">"A34699"</definedName>
    <definedName name="FDD_157_12" hidden="1">"A35064"</definedName>
    <definedName name="FDD_157_13" hidden="1">"A35430"</definedName>
    <definedName name="FDD_157_14" hidden="1">"A35795"</definedName>
    <definedName name="FDD_157_2" hidden="1">"A31412"</definedName>
    <definedName name="FDD_157_3" hidden="1">"A31777"</definedName>
    <definedName name="FDD_157_4" hidden="1">"A32142"</definedName>
    <definedName name="FDD_157_5" hidden="1">"A32508"</definedName>
    <definedName name="FDD_157_6" hidden="1">"A32873"</definedName>
    <definedName name="FDD_157_7" hidden="1">"A33238"</definedName>
    <definedName name="FDD_157_8" hidden="1">"A33603"</definedName>
    <definedName name="FDD_157_9" hidden="1">"A33969"</definedName>
    <definedName name="FDD_158_0" hidden="1">"A30681"</definedName>
    <definedName name="FDD_158_1" hidden="1">"A31047"</definedName>
    <definedName name="FDD_158_10" hidden="1">"A34334"</definedName>
    <definedName name="FDD_158_11" hidden="1">"A34699"</definedName>
    <definedName name="FDD_158_12" hidden="1">"A35064"</definedName>
    <definedName name="FDD_158_13" hidden="1">"A35430"</definedName>
    <definedName name="FDD_158_14" hidden="1">"A35795"</definedName>
    <definedName name="FDD_158_15" hidden="1">"E36160"</definedName>
    <definedName name="FDD_158_2" hidden="1">"A31412"</definedName>
    <definedName name="FDD_158_3" hidden="1">"A31777"</definedName>
    <definedName name="FDD_158_4" hidden="1">"A32142"</definedName>
    <definedName name="FDD_158_5" hidden="1">"A32508"</definedName>
    <definedName name="FDD_158_6" hidden="1">"A32873"</definedName>
    <definedName name="FDD_158_7" hidden="1">"A33238"</definedName>
    <definedName name="FDD_158_8" hidden="1">"A33603"</definedName>
    <definedName name="FDD_158_9" hidden="1">"A33969"</definedName>
    <definedName name="FDD_159_0" hidden="1">"A30681"</definedName>
    <definedName name="FDD_159_1" hidden="1">"A31047"</definedName>
    <definedName name="FDD_159_10" hidden="1">"A34334"</definedName>
    <definedName name="FDD_159_11" hidden="1">"A34699"</definedName>
    <definedName name="FDD_159_12" hidden="1">"A35064"</definedName>
    <definedName name="FDD_159_13" hidden="1">"A35430"</definedName>
    <definedName name="FDD_159_14" hidden="1">"A35795"</definedName>
    <definedName name="FDD_159_2" hidden="1">"A31412"</definedName>
    <definedName name="FDD_159_3" hidden="1">"A31777"</definedName>
    <definedName name="FDD_159_4" hidden="1">"A32142"</definedName>
    <definedName name="FDD_159_5" hidden="1">"A32508"</definedName>
    <definedName name="FDD_159_6" hidden="1">"A32873"</definedName>
    <definedName name="FDD_159_7" hidden="1">"A33238"</definedName>
    <definedName name="FDD_159_8" hidden="1">"A33603"</definedName>
    <definedName name="FDD_159_9" hidden="1">"A33969"</definedName>
    <definedName name="FDD_16_0" hidden="1">"A25569"</definedName>
    <definedName name="FDD_160_0" hidden="1">"A30681"</definedName>
    <definedName name="FDD_160_1" hidden="1">"A31047"</definedName>
    <definedName name="FDD_160_10" hidden="1">"A34334"</definedName>
    <definedName name="FDD_160_11" hidden="1">"A34699"</definedName>
    <definedName name="FDD_160_12" hidden="1">"A35064"</definedName>
    <definedName name="FDD_160_13" hidden="1">"A35430"</definedName>
    <definedName name="FDD_160_14" hidden="1">"A35795"</definedName>
    <definedName name="FDD_160_15" hidden="1">"E36160"</definedName>
    <definedName name="FDD_160_2" hidden="1">"A31412"</definedName>
    <definedName name="FDD_160_3" hidden="1">"A31777"</definedName>
    <definedName name="FDD_160_4" hidden="1">"A32142"</definedName>
    <definedName name="FDD_160_5" hidden="1">"A32508"</definedName>
    <definedName name="FDD_160_6" hidden="1">"A32873"</definedName>
    <definedName name="FDD_160_7" hidden="1">"A33238"</definedName>
    <definedName name="FDD_160_8" hidden="1">"A33603"</definedName>
    <definedName name="FDD_160_9" hidden="1">"A33969"</definedName>
    <definedName name="FDD_161_0" hidden="1">"A30681"</definedName>
    <definedName name="FDD_161_1" hidden="1">"A31047"</definedName>
    <definedName name="FDD_161_10" hidden="1">"A34334"</definedName>
    <definedName name="FDD_161_11" hidden="1">"A34699"</definedName>
    <definedName name="FDD_161_12" hidden="1">"A35064"</definedName>
    <definedName name="FDD_161_13" hidden="1">"A35430"</definedName>
    <definedName name="FDD_161_14" hidden="1">"A35795"</definedName>
    <definedName name="FDD_161_2" hidden="1">"A31412"</definedName>
    <definedName name="FDD_161_3" hidden="1">"A31777"</definedName>
    <definedName name="FDD_161_4" hidden="1">"A32142"</definedName>
    <definedName name="FDD_161_5" hidden="1">"A32508"</definedName>
    <definedName name="FDD_161_6" hidden="1">"A32873"</definedName>
    <definedName name="FDD_161_7" hidden="1">"A33238"</definedName>
    <definedName name="FDD_161_8" hidden="1">"A33603"</definedName>
    <definedName name="FDD_161_9" hidden="1">"A33969"</definedName>
    <definedName name="FDD_162_0" hidden="1">"A30681"</definedName>
    <definedName name="FDD_162_1" hidden="1">"A31047"</definedName>
    <definedName name="FDD_162_10" hidden="1">"A34334"</definedName>
    <definedName name="FDD_162_11" hidden="1">"A34699"</definedName>
    <definedName name="FDD_162_12" hidden="1">"A35064"</definedName>
    <definedName name="FDD_162_13" hidden="1">"A35430"</definedName>
    <definedName name="FDD_162_14" hidden="1">"A35795"</definedName>
    <definedName name="FDD_162_2" hidden="1">"A31412"</definedName>
    <definedName name="FDD_162_3" hidden="1">"A31777"</definedName>
    <definedName name="FDD_162_4" hidden="1">"A32142"</definedName>
    <definedName name="FDD_162_5" hidden="1">"A32508"</definedName>
    <definedName name="FDD_162_6" hidden="1">"A32873"</definedName>
    <definedName name="FDD_162_7" hidden="1">"A33238"</definedName>
    <definedName name="FDD_162_8" hidden="1">"A33603"</definedName>
    <definedName name="FDD_162_9" hidden="1">"A33969"</definedName>
    <definedName name="FDD_163_0" hidden="1">"A30681"</definedName>
    <definedName name="FDD_163_1" hidden="1">"A31047"</definedName>
    <definedName name="FDD_163_10" hidden="1">"A34334"</definedName>
    <definedName name="FDD_163_11" hidden="1">"A34699"</definedName>
    <definedName name="FDD_163_12" hidden="1">"A35064"</definedName>
    <definedName name="FDD_163_13" hidden="1">"A35430"</definedName>
    <definedName name="FDD_163_14" hidden="1">"A35795"</definedName>
    <definedName name="FDD_163_2" hidden="1">"A31412"</definedName>
    <definedName name="FDD_163_3" hidden="1">"A31777"</definedName>
    <definedName name="FDD_163_4" hidden="1">"A32142"</definedName>
    <definedName name="FDD_163_5" hidden="1">"A32508"</definedName>
    <definedName name="FDD_163_6" hidden="1">"A32873"</definedName>
    <definedName name="FDD_163_7" hidden="1">"A33238"</definedName>
    <definedName name="FDD_163_8" hidden="1">"A33603"</definedName>
    <definedName name="FDD_163_9" hidden="1">"A33969"</definedName>
    <definedName name="FDD_164_0" hidden="1">"A25569"</definedName>
    <definedName name="FDD_165_0" hidden="1">"A30681"</definedName>
    <definedName name="FDD_165_1" hidden="1">"A31047"</definedName>
    <definedName name="FDD_165_10" hidden="1">"A34334"</definedName>
    <definedName name="FDD_165_11" hidden="1">"A34699"</definedName>
    <definedName name="FDD_165_12" hidden="1">"A35064"</definedName>
    <definedName name="FDD_165_13" hidden="1">"A35430"</definedName>
    <definedName name="FDD_165_14" hidden="1">"A35795"</definedName>
    <definedName name="FDD_165_2" hidden="1">"A31412"</definedName>
    <definedName name="FDD_165_3" hidden="1">"A31777"</definedName>
    <definedName name="FDD_165_4" hidden="1">"A32142"</definedName>
    <definedName name="FDD_165_5" hidden="1">"A32508"</definedName>
    <definedName name="FDD_165_6" hidden="1">"A32873"</definedName>
    <definedName name="FDD_165_7" hidden="1">"A33238"</definedName>
    <definedName name="FDD_165_8" hidden="1">"A33603"</definedName>
    <definedName name="FDD_165_9" hidden="1">"A33969"</definedName>
    <definedName name="FDD_166_0" hidden="1">"A30681"</definedName>
    <definedName name="FDD_166_1" hidden="1">"A31047"</definedName>
    <definedName name="FDD_166_10" hidden="1">"A34334"</definedName>
    <definedName name="FDD_166_11" hidden="1">"A34699"</definedName>
    <definedName name="FDD_166_12" hidden="1">"A35064"</definedName>
    <definedName name="FDD_166_13" hidden="1">"A35430"</definedName>
    <definedName name="FDD_166_14" hidden="1">"A35795"</definedName>
    <definedName name="FDD_166_2" hidden="1">"A31412"</definedName>
    <definedName name="FDD_166_3" hidden="1">"A31777"</definedName>
    <definedName name="FDD_166_4" hidden="1">"A32142"</definedName>
    <definedName name="FDD_166_5" hidden="1">"A32508"</definedName>
    <definedName name="FDD_166_6" hidden="1">"A32873"</definedName>
    <definedName name="FDD_166_7" hidden="1">"A33238"</definedName>
    <definedName name="FDD_166_8" hidden="1">"A33603"</definedName>
    <definedName name="FDD_166_9" hidden="1">"A33969"</definedName>
    <definedName name="FDD_167_0" hidden="1">"A30681"</definedName>
    <definedName name="FDD_167_1" hidden="1">"A31047"</definedName>
    <definedName name="FDD_167_10" hidden="1">"A34334"</definedName>
    <definedName name="FDD_167_11" hidden="1">"A34699"</definedName>
    <definedName name="FDD_167_12" hidden="1">"A35064"</definedName>
    <definedName name="FDD_167_13" hidden="1">"A35430"</definedName>
    <definedName name="FDD_167_14" hidden="1">"A35795"</definedName>
    <definedName name="FDD_167_2" hidden="1">"A31412"</definedName>
    <definedName name="FDD_167_3" hidden="1">"A31777"</definedName>
    <definedName name="FDD_167_4" hidden="1">"A32142"</definedName>
    <definedName name="FDD_167_5" hidden="1">"A32508"</definedName>
    <definedName name="FDD_167_6" hidden="1">"A32873"</definedName>
    <definedName name="FDD_167_7" hidden="1">"A33238"</definedName>
    <definedName name="FDD_167_8" hidden="1">"A33603"</definedName>
    <definedName name="FDD_167_9" hidden="1">"A33969"</definedName>
    <definedName name="FDD_168_0" hidden="1">"E36160"</definedName>
    <definedName name="FDD_168_1" hidden="1">"E36525"</definedName>
    <definedName name="FDD_168_2" hidden="1">"E36891"</definedName>
    <definedName name="FDD_169_0" hidden="1">"A30681"</definedName>
    <definedName name="FDD_169_1" hidden="1">"A31047"</definedName>
    <definedName name="FDD_169_10" hidden="1">"A34334"</definedName>
    <definedName name="FDD_169_11" hidden="1">"A34699"</definedName>
    <definedName name="FDD_169_12" hidden="1">"A35064"</definedName>
    <definedName name="FDD_169_13" hidden="1">"A35430"</definedName>
    <definedName name="FDD_169_14" hidden="1">"A35795"</definedName>
    <definedName name="FDD_169_2" hidden="1">"A31412"</definedName>
    <definedName name="FDD_169_3" hidden="1">"A31777"</definedName>
    <definedName name="FDD_169_4" hidden="1">"A32142"</definedName>
    <definedName name="FDD_169_5" hidden="1">"A32508"</definedName>
    <definedName name="FDD_169_6" hidden="1">"A32873"</definedName>
    <definedName name="FDD_169_7" hidden="1">"A33238"</definedName>
    <definedName name="FDD_169_8" hidden="1">"A33603"</definedName>
    <definedName name="FDD_169_9" hidden="1">"A33969"</definedName>
    <definedName name="FDD_17_0" hidden="1">"A25569"</definedName>
    <definedName name="FDD_170_0" hidden="1">"A30681"</definedName>
    <definedName name="FDD_170_1" hidden="1">"A31047"</definedName>
    <definedName name="FDD_170_10" hidden="1">"A34334"</definedName>
    <definedName name="FDD_170_11" hidden="1">"A34699"</definedName>
    <definedName name="FDD_170_12" hidden="1">"A35064"</definedName>
    <definedName name="FDD_170_13" hidden="1">"A35430"</definedName>
    <definedName name="FDD_170_14" hidden="1">"A35795"</definedName>
    <definedName name="FDD_170_2" hidden="1">"A31412"</definedName>
    <definedName name="FDD_170_3" hidden="1">"A31777"</definedName>
    <definedName name="FDD_170_4" hidden="1">"A32142"</definedName>
    <definedName name="FDD_170_5" hidden="1">"A32508"</definedName>
    <definedName name="FDD_170_6" hidden="1">"A32873"</definedName>
    <definedName name="FDD_170_7" hidden="1">"A33238"</definedName>
    <definedName name="FDD_170_8" hidden="1">"A33603"</definedName>
    <definedName name="FDD_170_9" hidden="1">"A33969"</definedName>
    <definedName name="FDD_171_0" hidden="1">"A30681"</definedName>
    <definedName name="FDD_171_1" hidden="1">"A31047"</definedName>
    <definedName name="FDD_171_10" hidden="1">"A34334"</definedName>
    <definedName name="FDD_171_11" hidden="1">"A34699"</definedName>
    <definedName name="FDD_171_12" hidden="1">"A35064"</definedName>
    <definedName name="FDD_171_13" hidden="1">"A35430"</definedName>
    <definedName name="FDD_171_14" hidden="1">"A35795"</definedName>
    <definedName name="FDD_171_2" hidden="1">"A31412"</definedName>
    <definedName name="FDD_171_3" hidden="1">"A31777"</definedName>
    <definedName name="FDD_171_4" hidden="1">"A32142"</definedName>
    <definedName name="FDD_171_5" hidden="1">"A32508"</definedName>
    <definedName name="FDD_171_6" hidden="1">"A32873"</definedName>
    <definedName name="FDD_171_7" hidden="1">"A33238"</definedName>
    <definedName name="FDD_171_8" hidden="1">"A33603"</definedName>
    <definedName name="FDD_171_9" hidden="1">"A33969"</definedName>
    <definedName name="FDD_172_0" hidden="1">"A30681"</definedName>
    <definedName name="FDD_172_1" hidden="1">"A31047"</definedName>
    <definedName name="FDD_172_10" hidden="1">"A34334"</definedName>
    <definedName name="FDD_172_11" hidden="1">"A34699"</definedName>
    <definedName name="FDD_172_12" hidden="1">"A35064"</definedName>
    <definedName name="FDD_172_13" hidden="1">"A35430"</definedName>
    <definedName name="FDD_172_14" hidden="1">"A35795"</definedName>
    <definedName name="FDD_172_2" hidden="1">"A31412"</definedName>
    <definedName name="FDD_172_3" hidden="1">"A31777"</definedName>
    <definedName name="FDD_172_4" hidden="1">"A32142"</definedName>
    <definedName name="FDD_172_5" hidden="1">"A32508"</definedName>
    <definedName name="FDD_172_6" hidden="1">"A32873"</definedName>
    <definedName name="FDD_172_7" hidden="1">"A33238"</definedName>
    <definedName name="FDD_172_8" hidden="1">"A33603"</definedName>
    <definedName name="FDD_172_9" hidden="1">"A33969"</definedName>
    <definedName name="FDD_173_0" hidden="1">"A30681"</definedName>
    <definedName name="FDD_173_1" hidden="1">"A31047"</definedName>
    <definedName name="FDD_173_10" hidden="1">"A34334"</definedName>
    <definedName name="FDD_173_11" hidden="1">"A34699"</definedName>
    <definedName name="FDD_173_12" hidden="1">"A35064"</definedName>
    <definedName name="FDD_173_13" hidden="1">"A35430"</definedName>
    <definedName name="FDD_173_14" hidden="1">"A35795"</definedName>
    <definedName name="FDD_173_2" hidden="1">"A31412"</definedName>
    <definedName name="FDD_173_3" hidden="1">"A31777"</definedName>
    <definedName name="FDD_173_4" hidden="1">"A32142"</definedName>
    <definedName name="FDD_173_5" hidden="1">"A32508"</definedName>
    <definedName name="FDD_173_6" hidden="1">"A32873"</definedName>
    <definedName name="FDD_173_7" hidden="1">"A33238"</definedName>
    <definedName name="FDD_173_8" hidden="1">"A33603"</definedName>
    <definedName name="FDD_173_9" hidden="1">"A33969"</definedName>
    <definedName name="FDD_174_0" hidden="1">"A30681"</definedName>
    <definedName name="FDD_174_1" hidden="1">"A31047"</definedName>
    <definedName name="FDD_174_10" hidden="1">"A34334"</definedName>
    <definedName name="FDD_174_11" hidden="1">"A34699"</definedName>
    <definedName name="FDD_174_12" hidden="1">"A35064"</definedName>
    <definedName name="FDD_174_13" hidden="1">"A35430"</definedName>
    <definedName name="FDD_174_14" hidden="1">"A35795"</definedName>
    <definedName name="FDD_174_2" hidden="1">"A31412"</definedName>
    <definedName name="FDD_174_3" hidden="1">"A31777"</definedName>
    <definedName name="FDD_174_4" hidden="1">"A32142"</definedName>
    <definedName name="FDD_174_5" hidden="1">"A32508"</definedName>
    <definedName name="FDD_174_6" hidden="1">"A32873"</definedName>
    <definedName name="FDD_174_7" hidden="1">"A33238"</definedName>
    <definedName name="FDD_174_8" hidden="1">"A33603"</definedName>
    <definedName name="FDD_174_9" hidden="1">"A33969"</definedName>
    <definedName name="FDD_175_0" hidden="1">"E36160"</definedName>
    <definedName name="FDD_175_1" hidden="1">"E36525"</definedName>
    <definedName name="FDD_175_2" hidden="1">"E36891"</definedName>
    <definedName name="FDD_176_0" hidden="1">"E36160"</definedName>
    <definedName name="FDD_176_1" hidden="1">"E36525"</definedName>
    <definedName name="FDD_176_2" hidden="1">"E36891"</definedName>
    <definedName name="FDD_177_0" hidden="1">"E36160"</definedName>
    <definedName name="FDD_177_1" hidden="1">"E36525"</definedName>
    <definedName name="FDD_177_2" hidden="1">"E36891"</definedName>
    <definedName name="FDD_178_0" hidden="1">"E36160"</definedName>
    <definedName name="FDD_178_1" hidden="1">"E36525"</definedName>
    <definedName name="FDD_178_2" hidden="1">"E36891"</definedName>
    <definedName name="FDD_179_0" hidden="1">"E36160"</definedName>
    <definedName name="FDD_179_1" hidden="1">"E36525"</definedName>
    <definedName name="FDD_179_2" hidden="1">"E36891"</definedName>
    <definedName name="FDD_18_0" hidden="1">"A25569"</definedName>
    <definedName name="FDD_180_0" hidden="1">"E36160"</definedName>
    <definedName name="FDD_180_1" hidden="1">"E36525"</definedName>
    <definedName name="FDD_180_2" hidden="1">"E36891"</definedName>
    <definedName name="FDD_181_0" hidden="1">"E36160"</definedName>
    <definedName name="FDD_181_1" hidden="1">"E36525"</definedName>
    <definedName name="FDD_181_2" hidden="1">"E36891"</definedName>
    <definedName name="FDD_182_0" hidden="1">"E36160"</definedName>
    <definedName name="FDD_182_1" hidden="1">"E36525"</definedName>
    <definedName name="FDD_182_2" hidden="1">"E36891"</definedName>
    <definedName name="FDD_183_0" hidden="1">"E36160"</definedName>
    <definedName name="FDD_183_1" hidden="1">"E36525"</definedName>
    <definedName name="FDD_183_2" hidden="1">"E36891"</definedName>
    <definedName name="FDD_184_0" hidden="1">"E36160"</definedName>
    <definedName name="FDD_184_1" hidden="1">"E36525"</definedName>
    <definedName name="FDD_184_2" hidden="1">"E36891"</definedName>
    <definedName name="FDD_185_0" hidden="1">"E36160"</definedName>
    <definedName name="FDD_185_1" hidden="1">"E36525"</definedName>
    <definedName name="FDD_185_2" hidden="1">"E36891"</definedName>
    <definedName name="FDD_186_0" hidden="1">"E36160"</definedName>
    <definedName name="FDD_186_1" hidden="1">"E36525"</definedName>
    <definedName name="FDD_186_2" hidden="1">"E36891"</definedName>
    <definedName name="FDD_187_0" hidden="1">"E36160"</definedName>
    <definedName name="FDD_187_1" hidden="1">"E36525"</definedName>
    <definedName name="FDD_187_2" hidden="1">"E36891"</definedName>
    <definedName name="FDD_188_0" hidden="1">"A30681"</definedName>
    <definedName name="FDD_188_1" hidden="1">"A31047"</definedName>
    <definedName name="FDD_188_10" hidden="1">"A34334"</definedName>
    <definedName name="FDD_188_11" hidden="1">"A34699"</definedName>
    <definedName name="FDD_188_12" hidden="1">"A35064"</definedName>
    <definedName name="FDD_188_13" hidden="1">"A35430"</definedName>
    <definedName name="FDD_188_14" hidden="1">"A35795"</definedName>
    <definedName name="FDD_188_2" hidden="1">"A31412"</definedName>
    <definedName name="FDD_188_3" hidden="1">"A31777"</definedName>
    <definedName name="FDD_188_4" hidden="1">"A32142"</definedName>
    <definedName name="FDD_188_5" hidden="1">"A32508"</definedName>
    <definedName name="FDD_188_6" hidden="1">"A32873"</definedName>
    <definedName name="FDD_188_7" hidden="1">"A33238"</definedName>
    <definedName name="FDD_188_8" hidden="1">"A33603"</definedName>
    <definedName name="FDD_188_9" hidden="1">"A33969"</definedName>
    <definedName name="FDD_189_0" hidden="1">"A30681"</definedName>
    <definedName name="FDD_189_1" hidden="1">"A31047"</definedName>
    <definedName name="FDD_189_10" hidden="1">"A34334"</definedName>
    <definedName name="FDD_189_11" hidden="1">"A34699"</definedName>
    <definedName name="FDD_189_12" hidden="1">"A35064"</definedName>
    <definedName name="FDD_189_13" hidden="1">"A35430"</definedName>
    <definedName name="FDD_189_14" hidden="1">"A35795"</definedName>
    <definedName name="FDD_189_2" hidden="1">"A31412"</definedName>
    <definedName name="FDD_189_3" hidden="1">"A31777"</definedName>
    <definedName name="FDD_189_4" hidden="1">"A32142"</definedName>
    <definedName name="FDD_189_5" hidden="1">"A32508"</definedName>
    <definedName name="FDD_189_6" hidden="1">"A32873"</definedName>
    <definedName name="FDD_189_7" hidden="1">"A33238"</definedName>
    <definedName name="FDD_189_8" hidden="1">"A33603"</definedName>
    <definedName name="FDD_189_9" hidden="1">"A33969"</definedName>
    <definedName name="FDD_19_0" hidden="1">"A25569"</definedName>
    <definedName name="FDD_190_0" hidden="1">"A30681"</definedName>
    <definedName name="FDD_190_1" hidden="1">"A31047"</definedName>
    <definedName name="FDD_190_10" hidden="1">"A34334"</definedName>
    <definedName name="FDD_190_11" hidden="1">"A34699"</definedName>
    <definedName name="FDD_190_12" hidden="1">"A35064"</definedName>
    <definedName name="FDD_190_13" hidden="1">"A35430"</definedName>
    <definedName name="FDD_190_14" hidden="1">"A35795"</definedName>
    <definedName name="FDD_190_2" hidden="1">"A31412"</definedName>
    <definedName name="FDD_190_3" hidden="1">"A31777"</definedName>
    <definedName name="FDD_190_4" hidden="1">"A32142"</definedName>
    <definedName name="FDD_190_5" hidden="1">"A32508"</definedName>
    <definedName name="FDD_190_6" hidden="1">"A32873"</definedName>
    <definedName name="FDD_190_7" hidden="1">"A33238"</definedName>
    <definedName name="FDD_190_8" hidden="1">"A33603"</definedName>
    <definedName name="FDD_190_9" hidden="1">"A33969"</definedName>
    <definedName name="FDD_191_0" hidden="1">"A30681"</definedName>
    <definedName name="FDD_191_1" hidden="1">"A31047"</definedName>
    <definedName name="FDD_191_10" hidden="1">"A34334"</definedName>
    <definedName name="FDD_191_11" hidden="1">"A34699"</definedName>
    <definedName name="FDD_191_12" hidden="1">"A35064"</definedName>
    <definedName name="FDD_191_13" hidden="1">"A35430"</definedName>
    <definedName name="FDD_191_14" hidden="1">"A35795"</definedName>
    <definedName name="FDD_191_2" hidden="1">"A31412"</definedName>
    <definedName name="FDD_191_3" hidden="1">"A31777"</definedName>
    <definedName name="FDD_191_4" hidden="1">"A32142"</definedName>
    <definedName name="FDD_191_5" hidden="1">"A32508"</definedName>
    <definedName name="FDD_191_6" hidden="1">"A32873"</definedName>
    <definedName name="FDD_191_7" hidden="1">"A33238"</definedName>
    <definedName name="FDD_191_8" hidden="1">"A33603"</definedName>
    <definedName name="FDD_191_9" hidden="1">"A33969"</definedName>
    <definedName name="FDD_192_0" hidden="1">"E36160"</definedName>
    <definedName name="FDD_192_1" hidden="1">"E36525"</definedName>
    <definedName name="FDD_192_2" hidden="1">"E36891"</definedName>
    <definedName name="FDD_193_0" hidden="1">"A30681"</definedName>
    <definedName name="FDD_193_1" hidden="1">"A31047"</definedName>
    <definedName name="FDD_193_10" hidden="1">"A34334"</definedName>
    <definedName name="FDD_193_11" hidden="1">"A34699"</definedName>
    <definedName name="FDD_193_12" hidden="1">"A35064"</definedName>
    <definedName name="FDD_193_13" hidden="1">"A35430"</definedName>
    <definedName name="FDD_193_14" hidden="1">"A35795"</definedName>
    <definedName name="FDD_193_2" hidden="1">"A31412"</definedName>
    <definedName name="FDD_193_3" hidden="1">"A31777"</definedName>
    <definedName name="FDD_193_4" hidden="1">"A32142"</definedName>
    <definedName name="FDD_193_5" hidden="1">"A32508"</definedName>
    <definedName name="FDD_193_6" hidden="1">"A32873"</definedName>
    <definedName name="FDD_193_7" hidden="1">"A33238"</definedName>
    <definedName name="FDD_193_8" hidden="1">"A33603"</definedName>
    <definedName name="FDD_193_9" hidden="1">"A33969"</definedName>
    <definedName name="FDD_194_0" hidden="1">"A30681"</definedName>
    <definedName name="FDD_194_1" hidden="1">"A31047"</definedName>
    <definedName name="FDD_194_10" hidden="1">"A34334"</definedName>
    <definedName name="FDD_194_11" hidden="1">"A34699"</definedName>
    <definedName name="FDD_194_12" hidden="1">"A35064"</definedName>
    <definedName name="FDD_194_13" hidden="1">"A35430"</definedName>
    <definedName name="FDD_194_14" hidden="1">"A35795"</definedName>
    <definedName name="FDD_194_2" hidden="1">"A31412"</definedName>
    <definedName name="FDD_194_3" hidden="1">"A31777"</definedName>
    <definedName name="FDD_194_4" hidden="1">"A32142"</definedName>
    <definedName name="FDD_194_5" hidden="1">"A32508"</definedName>
    <definedName name="FDD_194_6" hidden="1">"A32873"</definedName>
    <definedName name="FDD_194_7" hidden="1">"A33238"</definedName>
    <definedName name="FDD_194_8" hidden="1">"A33603"</definedName>
    <definedName name="FDD_194_9" hidden="1">"A33969"</definedName>
    <definedName name="FDD_195_0" hidden="1">"A30681"</definedName>
    <definedName name="FDD_195_1" hidden="1">"A31047"</definedName>
    <definedName name="FDD_195_10" hidden="1">"A34334"</definedName>
    <definedName name="FDD_195_11" hidden="1">"A34699"</definedName>
    <definedName name="FDD_195_12" hidden="1">"A35064"</definedName>
    <definedName name="FDD_195_13" hidden="1">"A35430"</definedName>
    <definedName name="FDD_195_14" hidden="1">"A35795"</definedName>
    <definedName name="FDD_195_2" hidden="1">"A31412"</definedName>
    <definedName name="FDD_195_3" hidden="1">"A31777"</definedName>
    <definedName name="FDD_195_4" hidden="1">"A32142"</definedName>
    <definedName name="FDD_195_5" hidden="1">"A32508"</definedName>
    <definedName name="FDD_195_6" hidden="1">"A32873"</definedName>
    <definedName name="FDD_195_7" hidden="1">"A33238"</definedName>
    <definedName name="FDD_195_8" hidden="1">"A33603"</definedName>
    <definedName name="FDD_195_9" hidden="1">"A33969"</definedName>
    <definedName name="FDD_196_0" hidden="1">"E36160"</definedName>
    <definedName name="FDD_196_1" hidden="1">"E36525"</definedName>
    <definedName name="FDD_196_2" hidden="1">"E36891"</definedName>
    <definedName name="FDD_197_0" hidden="1">"A30681"</definedName>
    <definedName name="FDD_197_1" hidden="1">"A31047"</definedName>
    <definedName name="FDD_197_10" hidden="1">"A34334"</definedName>
    <definedName name="FDD_197_11" hidden="1">"A34699"</definedName>
    <definedName name="FDD_197_12" hidden="1">"A35064"</definedName>
    <definedName name="FDD_197_13" hidden="1">"A35430"</definedName>
    <definedName name="FDD_197_14" hidden="1">"A35795"</definedName>
    <definedName name="FDD_197_2" hidden="1">"A31412"</definedName>
    <definedName name="FDD_197_3" hidden="1">"A31777"</definedName>
    <definedName name="FDD_197_4" hidden="1">"A32142"</definedName>
    <definedName name="FDD_197_5" hidden="1">"A32508"</definedName>
    <definedName name="FDD_197_6" hidden="1">"A32873"</definedName>
    <definedName name="FDD_197_7" hidden="1">"A33238"</definedName>
    <definedName name="FDD_197_8" hidden="1">"A33603"</definedName>
    <definedName name="FDD_197_9" hidden="1">"A33969"</definedName>
    <definedName name="FDD_198_0" hidden="1">"A30681"</definedName>
    <definedName name="FDD_198_1" hidden="1">"A31047"</definedName>
    <definedName name="FDD_198_10" hidden="1">"U34334"</definedName>
    <definedName name="FDD_198_11" hidden="1">"U34699"</definedName>
    <definedName name="FDD_198_12" hidden="1">"U35064"</definedName>
    <definedName name="FDD_198_13" hidden="1">"U35430"</definedName>
    <definedName name="FDD_198_14" hidden="1">"U35795"</definedName>
    <definedName name="FDD_198_2" hidden="1">"A31412"</definedName>
    <definedName name="FDD_198_3" hidden="1">"U31777"</definedName>
    <definedName name="FDD_198_4" hidden="1">"U32142"</definedName>
    <definedName name="FDD_198_5" hidden="1">"U32508"</definedName>
    <definedName name="FDD_198_6" hidden="1">"U32873"</definedName>
    <definedName name="FDD_198_7" hidden="1">"U33238"</definedName>
    <definedName name="FDD_198_8" hidden="1">"U33603"</definedName>
    <definedName name="FDD_198_9" hidden="1">"U33969"</definedName>
    <definedName name="FDD_199_0" hidden="1">"E36160"</definedName>
    <definedName name="FDD_199_1" hidden="1">"E36525"</definedName>
    <definedName name="FDD_199_2" hidden="1">"E36891"</definedName>
    <definedName name="FDD_2_0" hidden="1">"A25569"</definedName>
    <definedName name="FDD_20_0" hidden="1">"A25569"</definedName>
    <definedName name="FDD_200_0" hidden="1">"E36160"</definedName>
    <definedName name="FDD_200_1" hidden="1">"E36525"</definedName>
    <definedName name="FDD_200_2" hidden="1">"E36891"</definedName>
    <definedName name="FDD_201_0" hidden="1">"A30681"</definedName>
    <definedName name="FDD_201_1" hidden="1">"A31047"</definedName>
    <definedName name="FDD_201_10" hidden="1">"A34334"</definedName>
    <definedName name="FDD_201_11" hidden="1">"A34699"</definedName>
    <definedName name="FDD_201_12" hidden="1">"A35064"</definedName>
    <definedName name="FDD_201_13" hidden="1">"A35430"</definedName>
    <definedName name="FDD_201_14" hidden="1">"A35795"</definedName>
    <definedName name="FDD_201_2" hidden="1">"A31412"</definedName>
    <definedName name="FDD_201_3" hidden="1">"A31777"</definedName>
    <definedName name="FDD_201_4" hidden="1">"A32142"</definedName>
    <definedName name="FDD_201_5" hidden="1">"A32508"</definedName>
    <definedName name="FDD_201_6" hidden="1">"A32873"</definedName>
    <definedName name="FDD_201_7" hidden="1">"A33238"</definedName>
    <definedName name="FDD_201_8" hidden="1">"A33603"</definedName>
    <definedName name="FDD_201_9" hidden="1">"A33969"</definedName>
    <definedName name="FDD_202_0" hidden="1">"A30681"</definedName>
    <definedName name="FDD_202_1" hidden="1">"A31047"</definedName>
    <definedName name="FDD_202_10" hidden="1">"A34334"</definedName>
    <definedName name="FDD_202_11" hidden="1">"A34699"</definedName>
    <definedName name="FDD_202_12" hidden="1">"A35064"</definedName>
    <definedName name="FDD_202_13" hidden="1">"A35430"</definedName>
    <definedName name="FDD_202_14" hidden="1">"A35795"</definedName>
    <definedName name="FDD_202_2" hidden="1">"A31412"</definedName>
    <definedName name="FDD_202_3" hidden="1">"A31777"</definedName>
    <definedName name="FDD_202_4" hidden="1">"A32142"</definedName>
    <definedName name="FDD_202_5" hidden="1">"A32508"</definedName>
    <definedName name="FDD_202_6" hidden="1">"A32873"</definedName>
    <definedName name="FDD_202_7" hidden="1">"A33238"</definedName>
    <definedName name="FDD_202_8" hidden="1">"A33603"</definedName>
    <definedName name="FDD_202_9" hidden="1">"A33969"</definedName>
    <definedName name="FDD_203_0" hidden="1">"E36160"</definedName>
    <definedName name="FDD_203_1" hidden="1">"E36525"</definedName>
    <definedName name="FDD_203_2" hidden="1">"E36891"</definedName>
    <definedName name="FDD_204_0" hidden="1">"A25569"</definedName>
    <definedName name="FDD_205_0" hidden="1">"A25569"</definedName>
    <definedName name="FDD_206_0" hidden="1">"A25569"</definedName>
    <definedName name="FDD_207_0" hidden="1">"A25569"</definedName>
    <definedName name="FDD_208_0" hidden="1">"E36160"</definedName>
    <definedName name="FDD_208_1" hidden="1">"E36525"</definedName>
    <definedName name="FDD_208_2" hidden="1">"E36891"</definedName>
    <definedName name="FDD_209_0" hidden="1">"A25569"</definedName>
    <definedName name="FDD_21_0" hidden="1">"A25569"</definedName>
    <definedName name="FDD_210_0" hidden="1">"A25569"</definedName>
    <definedName name="FDD_211_0" hidden="1">"A25569"</definedName>
    <definedName name="FDD_212_0" hidden="1">"A25569"</definedName>
    <definedName name="FDD_213_0" hidden="1">"E36160"</definedName>
    <definedName name="FDD_213_1" hidden="1">"E36525"</definedName>
    <definedName name="FDD_213_2" hidden="1">"E36891"</definedName>
    <definedName name="FDD_214_0" hidden="1">"A25569"</definedName>
    <definedName name="FDD_215_0" hidden="1">"A25569"</definedName>
    <definedName name="FDD_216_0" hidden="1">"A25569"</definedName>
    <definedName name="FDD_217_0" hidden="1">"A25569"</definedName>
    <definedName name="FDD_218_0" hidden="1">"E36160"</definedName>
    <definedName name="FDD_218_1" hidden="1">"E36525"</definedName>
    <definedName name="FDD_218_2" hidden="1">"E36891"</definedName>
    <definedName name="FDD_219_0" hidden="1">"U25569"</definedName>
    <definedName name="FDD_22_0" hidden="1">"A25569"</definedName>
    <definedName name="FDD_220_0" hidden="1">"U25569"</definedName>
    <definedName name="FDD_221_0" hidden="1">"U25569"</definedName>
    <definedName name="FDD_222_0" hidden="1">"U25569"</definedName>
    <definedName name="FDD_223_0" hidden="1">"E36160"</definedName>
    <definedName name="FDD_223_1" hidden="1">"E36525"</definedName>
    <definedName name="FDD_223_2" hidden="1">"E36891"</definedName>
    <definedName name="FDD_224_0" hidden="1">"A25569"</definedName>
    <definedName name="FDD_225_0" hidden="1">"A25569"</definedName>
    <definedName name="FDD_226_0" hidden="1">"A25569"</definedName>
    <definedName name="FDD_227_0" hidden="1">"A25569"</definedName>
    <definedName name="FDD_228_0" hidden="1">"E36160"</definedName>
    <definedName name="FDD_228_1" hidden="1">"E36525"</definedName>
    <definedName name="FDD_228_2" hidden="1">"E36891"</definedName>
    <definedName name="FDD_229_0" hidden="1">"A25569"</definedName>
    <definedName name="FDD_23_0" hidden="1">"A25569"</definedName>
    <definedName name="FDD_230_0" hidden="1">"A25569"</definedName>
    <definedName name="FDD_231_0" hidden="1">"A25569"</definedName>
    <definedName name="FDD_232_0" hidden="1">"A25569"</definedName>
    <definedName name="FDD_233_0" hidden="1">"A25569"</definedName>
    <definedName name="FDD_234_0" hidden="1">"A25569"</definedName>
    <definedName name="FDD_235_0" hidden="1">"A25569"</definedName>
    <definedName name="FDD_236_0" hidden="1">"A25569"</definedName>
    <definedName name="FDD_237_0" hidden="1">"A25569"</definedName>
    <definedName name="FDD_238_0" hidden="1">"A30681"</definedName>
    <definedName name="FDD_238_1" hidden="1">"A31047"</definedName>
    <definedName name="FDD_238_10" hidden="1">"A34334"</definedName>
    <definedName name="FDD_238_11" hidden="1">"A34699"</definedName>
    <definedName name="FDD_238_12" hidden="1">"A35064"</definedName>
    <definedName name="FDD_238_13" hidden="1">"A35430"</definedName>
    <definedName name="FDD_238_14" hidden="1">"A35795"</definedName>
    <definedName name="FDD_238_2" hidden="1">"A31412"</definedName>
    <definedName name="FDD_238_3" hidden="1">"A31777"</definedName>
    <definedName name="FDD_238_4" hidden="1">"A32142"</definedName>
    <definedName name="FDD_238_5" hidden="1">"A32508"</definedName>
    <definedName name="FDD_238_6" hidden="1">"A32873"</definedName>
    <definedName name="FDD_238_7" hidden="1">"A33238"</definedName>
    <definedName name="FDD_238_8" hidden="1">"A33603"</definedName>
    <definedName name="FDD_238_9" hidden="1">"A33969"</definedName>
    <definedName name="FDD_24_0" hidden="1">"A25569"</definedName>
    <definedName name="FDD_243_0" hidden="1">"E36160"</definedName>
    <definedName name="FDD_243_1" hidden="1">"E36525"</definedName>
    <definedName name="FDD_243_2" hidden="1">"E36891"</definedName>
    <definedName name="FDD_244_0" hidden="1">"A25569"</definedName>
    <definedName name="FDD_245_0" hidden="1">"A25569"</definedName>
    <definedName name="FDD_246_0" hidden="1">"A25569"</definedName>
    <definedName name="FDD_247_0" hidden="1">"A25569"</definedName>
    <definedName name="FDD_248_0" hidden="1">"E36160"</definedName>
    <definedName name="FDD_248_1" hidden="1">"E36525"</definedName>
    <definedName name="FDD_248_2" hidden="1">"E36891"</definedName>
    <definedName name="FDD_249_0" hidden="1">"A25569"</definedName>
    <definedName name="FDD_25_0" hidden="1">"A25569"</definedName>
    <definedName name="FDD_250_0" hidden="1">"A25569"</definedName>
    <definedName name="FDD_251_0" hidden="1">"A25569"</definedName>
    <definedName name="FDD_252_0" hidden="1">"A25569"</definedName>
    <definedName name="FDD_253_0" hidden="1">"E36160"</definedName>
    <definedName name="FDD_253_1" hidden="1">"E36525"</definedName>
    <definedName name="FDD_253_2" hidden="1">"E36891"</definedName>
    <definedName name="FDD_254_0" hidden="1">"E36160"</definedName>
    <definedName name="FDD_254_1" hidden="1">"E36525"</definedName>
    <definedName name="FDD_254_2" hidden="1">"E36891"</definedName>
    <definedName name="FDD_255_0" hidden="1">"E36160"</definedName>
    <definedName name="FDD_255_1" hidden="1">"E36525"</definedName>
    <definedName name="FDD_255_2" hidden="1">"E36891"</definedName>
    <definedName name="FDD_256_0" hidden="1">"U36160"</definedName>
    <definedName name="FDD_256_1" hidden="1">"U36525"</definedName>
    <definedName name="FDD_256_2" hidden="1">"U36891"</definedName>
    <definedName name="FDD_257_0" hidden="1">"E36160"</definedName>
    <definedName name="FDD_257_1" hidden="1">"E36525"</definedName>
    <definedName name="FDD_257_2" hidden="1">"E36891"</definedName>
    <definedName name="FDD_258_0" hidden="1">"E36160"</definedName>
    <definedName name="FDD_258_1" hidden="1">"E36525"</definedName>
    <definedName name="FDD_258_2" hidden="1">"E36891"</definedName>
    <definedName name="FDD_259_0" hidden="1">"E36160"</definedName>
    <definedName name="FDD_259_1" hidden="1">"E36525"</definedName>
    <definedName name="FDD_259_2" hidden="1">"E36891"</definedName>
    <definedName name="FDD_26_0" hidden="1">"A25569"</definedName>
    <definedName name="FDD_260_0" hidden="1">"E36160"</definedName>
    <definedName name="FDD_260_1" hidden="1">"E36525"</definedName>
    <definedName name="FDD_260_2" hidden="1">"E36891"</definedName>
    <definedName name="FDD_261_0" hidden="1">"E36160"</definedName>
    <definedName name="FDD_261_1" hidden="1">"E36525"</definedName>
    <definedName name="FDD_261_2" hidden="1">"E36891"</definedName>
    <definedName name="FDD_264_0" hidden="1">"E36160"</definedName>
    <definedName name="FDD_264_1" hidden="1">"E36525"</definedName>
    <definedName name="FDD_264_2" hidden="1">"E36891"</definedName>
    <definedName name="FDD_265_0" hidden="1">"A25569"</definedName>
    <definedName name="FDD_266_0" hidden="1">"A25569"</definedName>
    <definedName name="FDD_267_0" hidden="1">"A25569"</definedName>
    <definedName name="FDD_268_0" hidden="1">"A25569"</definedName>
    <definedName name="FDD_269_0" hidden="1">"E36160"</definedName>
    <definedName name="FDD_269_1" hidden="1">"E36525"</definedName>
    <definedName name="FDD_269_2" hidden="1">"E36891"</definedName>
    <definedName name="FDD_27_0" hidden="1">"A25569"</definedName>
    <definedName name="FDD_270_0" hidden="1">"A25569"</definedName>
    <definedName name="FDD_271_0" hidden="1">"A25569"</definedName>
    <definedName name="FDD_272_0" hidden="1">"A25569"</definedName>
    <definedName name="FDD_273_0" hidden="1">"A25569"</definedName>
    <definedName name="FDD_274_0" hidden="1">"E36160"</definedName>
    <definedName name="FDD_274_1" hidden="1">"E36525"</definedName>
    <definedName name="FDD_274_2" hidden="1">"E36891"</definedName>
    <definedName name="FDD_275_0" hidden="1">"A25569"</definedName>
    <definedName name="FDD_276_0" hidden="1">"A25569"</definedName>
    <definedName name="FDD_277_0" hidden="1">"A25569"</definedName>
    <definedName name="FDD_278_0" hidden="1">"A25569"</definedName>
    <definedName name="FDD_279_0" hidden="1">"E36160"</definedName>
    <definedName name="FDD_279_1" hidden="1">"E36525"</definedName>
    <definedName name="FDD_279_2" hidden="1">"E36891"</definedName>
    <definedName name="FDD_28_0" hidden="1">"A25569"</definedName>
    <definedName name="FDD_280_0" hidden="1">"E36160"</definedName>
    <definedName name="FDD_280_1" hidden="1">"E36525"</definedName>
    <definedName name="FDD_280_2" hidden="1">"E36891"</definedName>
    <definedName name="FDD_281_0" hidden="1">"E36160"</definedName>
    <definedName name="FDD_281_1" hidden="1">"E36525"</definedName>
    <definedName name="FDD_281_2" hidden="1">"E36891"</definedName>
    <definedName name="FDD_282_0" hidden="1">"E36160"</definedName>
    <definedName name="FDD_282_1" hidden="1">"E36525"</definedName>
    <definedName name="FDD_282_2" hidden="1">"E36891"</definedName>
    <definedName name="FDD_283_0" hidden="1">"E36160"</definedName>
    <definedName name="FDD_283_1" hidden="1">"E36525"</definedName>
    <definedName name="FDD_283_2" hidden="1">"E36891"</definedName>
    <definedName name="FDD_284_0" hidden="1">"A30681"</definedName>
    <definedName name="FDD_284_1" hidden="1">"A31047"</definedName>
    <definedName name="FDD_284_10" hidden="1">"A34334"</definedName>
    <definedName name="FDD_284_11" hidden="1">"A34699"</definedName>
    <definedName name="FDD_284_12" hidden="1">"A35064"</definedName>
    <definedName name="FDD_284_13" hidden="1">"A35430"</definedName>
    <definedName name="FDD_284_14" hidden="1">"A35795"</definedName>
    <definedName name="FDD_284_2" hidden="1">"A31412"</definedName>
    <definedName name="FDD_284_3" hidden="1">"A31777"</definedName>
    <definedName name="FDD_284_4" hidden="1">"A32142"</definedName>
    <definedName name="FDD_284_5" hidden="1">"A32508"</definedName>
    <definedName name="FDD_284_6" hidden="1">"A32873"</definedName>
    <definedName name="FDD_284_7" hidden="1">"A33238"</definedName>
    <definedName name="FDD_284_8" hidden="1">"A33603"</definedName>
    <definedName name="FDD_284_9" hidden="1">"A33969"</definedName>
    <definedName name="FDD_285_0" hidden="1">"A35795"</definedName>
    <definedName name="FDD_285_1" hidden="1">"E36160"</definedName>
    <definedName name="FDD_285_10" hidden="1">"E39447"</definedName>
    <definedName name="FDD_285_11" hidden="1">"E39813"</definedName>
    <definedName name="FDD_285_12" hidden="1">"E40178"</definedName>
    <definedName name="FDD_285_13" hidden="1">"E40543"</definedName>
    <definedName name="FDD_285_14" hidden="1">"E40908"</definedName>
    <definedName name="FDD_285_15" hidden="1">"E41274"</definedName>
    <definedName name="FDD_285_16" hidden="1">"E41639"</definedName>
    <definedName name="FDD_285_17" hidden="1">"E42004"</definedName>
    <definedName name="FDD_285_18" hidden="1">"E42369"</definedName>
    <definedName name="FDD_285_19" hidden="1">"E42735"</definedName>
    <definedName name="FDD_285_2" hidden="1">"E36525"</definedName>
    <definedName name="FDD_285_20" hidden="1">"E43100"</definedName>
    <definedName name="FDD_285_21" hidden="1">"E43465"</definedName>
    <definedName name="FDD_285_22" hidden="1">"E43830"</definedName>
    <definedName name="FDD_285_23" hidden="1">"E44196"</definedName>
    <definedName name="FDD_285_24" hidden="1">"E44561"</definedName>
    <definedName name="FDD_285_25" hidden="1">"E44926"</definedName>
    <definedName name="FDD_285_3" hidden="1">"E36891"</definedName>
    <definedName name="FDD_285_4" hidden="1">"E37256"</definedName>
    <definedName name="FDD_285_5" hidden="1">"E37621"</definedName>
    <definedName name="FDD_285_6" hidden="1">"E37986"</definedName>
    <definedName name="FDD_285_7" hidden="1">"E38352"</definedName>
    <definedName name="FDD_285_8" hidden="1">"E38717"</definedName>
    <definedName name="FDD_285_9" hidden="1">"E39082"</definedName>
    <definedName name="FDD_286_0" hidden="1">"E36160"</definedName>
    <definedName name="FDD_286_1" hidden="1">"E36525"</definedName>
    <definedName name="FDD_286_10" hidden="1">"E39813"</definedName>
    <definedName name="FDD_286_11" hidden="1">"E40178"</definedName>
    <definedName name="FDD_286_12" hidden="1">"E40543"</definedName>
    <definedName name="FDD_286_13" hidden="1">"E40908"</definedName>
    <definedName name="FDD_286_14" hidden="1">"E41274"</definedName>
    <definedName name="FDD_286_15" hidden="1">"E41639"</definedName>
    <definedName name="FDD_286_16" hidden="1">"E42004"</definedName>
    <definedName name="FDD_286_17" hidden="1">"E42369"</definedName>
    <definedName name="FDD_286_18" hidden="1">"E42735"</definedName>
    <definedName name="FDD_286_19" hidden="1">"E43100"</definedName>
    <definedName name="FDD_286_2" hidden="1">"E36891"</definedName>
    <definedName name="FDD_286_20" hidden="1">"E43465"</definedName>
    <definedName name="FDD_286_21" hidden="1">"E43830"</definedName>
    <definedName name="FDD_286_22" hidden="1">"E44196"</definedName>
    <definedName name="FDD_286_23" hidden="1">"E44561"</definedName>
    <definedName name="FDD_286_24" hidden="1">"E44926"</definedName>
    <definedName name="FDD_286_3" hidden="1">"E37256"</definedName>
    <definedName name="FDD_286_4" hidden="1">"E37621"</definedName>
    <definedName name="FDD_286_5" hidden="1">"E37986"</definedName>
    <definedName name="FDD_286_6" hidden="1">"E38352"</definedName>
    <definedName name="FDD_286_7" hidden="1">"E38717"</definedName>
    <definedName name="FDD_286_8" hidden="1">"E39082"</definedName>
    <definedName name="FDD_286_9" hidden="1">"E39447"</definedName>
    <definedName name="FDD_287_0" hidden="1">"A25569"</definedName>
    <definedName name="FDD_288_0" hidden="1">"A25569"</definedName>
    <definedName name="FDD_289_0" hidden="1">"A36890"</definedName>
    <definedName name="FDD_29_0" hidden="1">"A25569"</definedName>
    <definedName name="FDD_290_0" hidden="1">"A36890"</definedName>
    <definedName name="FDD_291_0" hidden="1">"A25569"</definedName>
    <definedName name="FDD_295_0" hidden="1">"U25569"</definedName>
    <definedName name="FDD_296_0" hidden="1">"A25569"</definedName>
    <definedName name="FDD_297_0" hidden="1">"A25569"</definedName>
    <definedName name="FDD_298_0" hidden="1">"A25569"</definedName>
    <definedName name="FDD_299_0" hidden="1">"A25569"</definedName>
    <definedName name="FDD_3_0" hidden="1">"A25569"</definedName>
    <definedName name="FDD_30_0" hidden="1">"A25569"</definedName>
    <definedName name="FDD_300_0" hidden="1">"U25569"</definedName>
    <definedName name="FDD_301_0" hidden="1">"U35795"</definedName>
    <definedName name="FDD_301_1" hidden="1">"U36160"</definedName>
    <definedName name="FDD_301_2" hidden="1">"U36525"</definedName>
    <definedName name="FDD_302_0" hidden="1">"U35795"</definedName>
    <definedName name="FDD_302_1" hidden="1">"U36160"</definedName>
    <definedName name="FDD_302_2" hidden="1">"U36525"</definedName>
    <definedName name="FDD_303_0" hidden="1">"U35795"</definedName>
    <definedName name="FDD_303_1" hidden="1">"U36160"</definedName>
    <definedName name="FDD_303_2" hidden="1">"U36525"</definedName>
    <definedName name="FDD_304_0" hidden="1">"U35795"</definedName>
    <definedName name="FDD_304_1" hidden="1">"U36160"</definedName>
    <definedName name="FDD_304_2" hidden="1">"U36525"</definedName>
    <definedName name="FDD_305_0" hidden="1">"A30681"</definedName>
    <definedName name="FDD_305_1" hidden="1">"A31047"</definedName>
    <definedName name="FDD_305_10" hidden="1">"U34334"</definedName>
    <definedName name="FDD_305_11" hidden="1">"U34699"</definedName>
    <definedName name="FDD_305_12" hidden="1">"U35064"</definedName>
    <definedName name="FDD_305_13" hidden="1">"U35430"</definedName>
    <definedName name="FDD_305_14" hidden="1">"U35795"</definedName>
    <definedName name="FDD_305_2" hidden="1">"A31412"</definedName>
    <definedName name="FDD_305_3" hidden="1">"U31777"</definedName>
    <definedName name="FDD_305_4" hidden="1">"U32142"</definedName>
    <definedName name="FDD_305_5" hidden="1">"U32508"</definedName>
    <definedName name="FDD_305_6" hidden="1">"U32873"</definedName>
    <definedName name="FDD_305_7" hidden="1">"U33238"</definedName>
    <definedName name="FDD_305_8" hidden="1">"U33603"</definedName>
    <definedName name="FDD_305_9" hidden="1">"U33969"</definedName>
    <definedName name="FDD_306_0" hidden="1">"U35795"</definedName>
    <definedName name="FDD_306_1" hidden="1">"E36160"</definedName>
    <definedName name="FDD_306_2" hidden="1">"U36525"</definedName>
    <definedName name="FDD_307_0" hidden="1">"A35795"</definedName>
    <definedName name="FDD_307_1" hidden="1">"U36160"</definedName>
    <definedName name="FDD_307_2" hidden="1">"U36525"</definedName>
    <definedName name="FDD_31_0" hidden="1">"A25569"</definedName>
    <definedName name="FDD_32_0" hidden="1">"A25569"</definedName>
    <definedName name="FDD_33_0" hidden="1">"A25569"</definedName>
    <definedName name="FDD_34_0" hidden="1">"A25569"</definedName>
    <definedName name="FDD_35_0" hidden="1">"A25569"</definedName>
    <definedName name="FDD_36_0" hidden="1">"A25569"</definedName>
    <definedName name="FDD_37_0" hidden="1">"A25569"</definedName>
    <definedName name="FDD_38_0" hidden="1">"A25569"</definedName>
    <definedName name="FDD_39_0" hidden="1">"A25569"</definedName>
    <definedName name="FDD_4_0" hidden="1">"A25569"</definedName>
    <definedName name="FDD_40_0" hidden="1">"A25569"</definedName>
    <definedName name="FDD_41_0" hidden="1">"U25569"</definedName>
    <definedName name="FDD_42_0" hidden="1">"U25569"</definedName>
    <definedName name="FDD_43_0" hidden="1">"A25569"</definedName>
    <definedName name="FDD_44_0" hidden="1">"A30681"</definedName>
    <definedName name="FDD_44_1" hidden="1">"A31047"</definedName>
    <definedName name="FDD_44_10" hidden="1">"A34334"</definedName>
    <definedName name="FDD_44_11" hidden="1">"A34699"</definedName>
    <definedName name="FDD_44_12" hidden="1">"A35064"</definedName>
    <definedName name="FDD_44_13" hidden="1">"A35430"</definedName>
    <definedName name="FDD_44_14" hidden="1">"A35795"</definedName>
    <definedName name="FDD_44_2" hidden="1">"A31412"</definedName>
    <definedName name="FDD_44_3" hidden="1">"A31777"</definedName>
    <definedName name="FDD_44_4" hidden="1">"A32142"</definedName>
    <definedName name="FDD_44_5" hidden="1">"A32508"</definedName>
    <definedName name="FDD_44_6" hidden="1">"A32873"</definedName>
    <definedName name="FDD_44_7" hidden="1">"A33238"</definedName>
    <definedName name="FDD_44_8" hidden="1">"A33603"</definedName>
    <definedName name="FDD_44_9" hidden="1">"A33969"</definedName>
    <definedName name="FDD_45_0" hidden="1">"A30681"</definedName>
    <definedName name="FDD_45_1" hidden="1">"A31047"</definedName>
    <definedName name="FDD_45_10" hidden="1">"A34334"</definedName>
    <definedName name="FDD_45_11" hidden="1">"A34699"</definedName>
    <definedName name="FDD_45_12" hidden="1">"A35064"</definedName>
    <definedName name="FDD_45_13" hidden="1">"A35430"</definedName>
    <definedName name="FDD_45_14" hidden="1">"A35795"</definedName>
    <definedName name="FDD_45_2" hidden="1">"A31412"</definedName>
    <definedName name="FDD_45_3" hidden="1">"A31777"</definedName>
    <definedName name="FDD_45_4" hidden="1">"A32142"</definedName>
    <definedName name="FDD_45_5" hidden="1">"A32508"</definedName>
    <definedName name="FDD_45_6" hidden="1">"A32873"</definedName>
    <definedName name="FDD_45_7" hidden="1">"A33238"</definedName>
    <definedName name="FDD_45_8" hidden="1">"A33603"</definedName>
    <definedName name="FDD_45_9" hidden="1">"A33969"</definedName>
    <definedName name="FDD_46_0" hidden="1">"A30681"</definedName>
    <definedName name="FDD_46_1" hidden="1">"A31047"</definedName>
    <definedName name="FDD_46_10" hidden="1">"A34334"</definedName>
    <definedName name="FDD_46_11" hidden="1">"A34699"</definedName>
    <definedName name="FDD_46_12" hidden="1">"A35064"</definedName>
    <definedName name="FDD_46_13" hidden="1">"A35430"</definedName>
    <definedName name="FDD_46_14" hidden="1">"A35795"</definedName>
    <definedName name="FDD_46_2" hidden="1">"A31412"</definedName>
    <definedName name="FDD_46_3" hidden="1">"A31777"</definedName>
    <definedName name="FDD_46_4" hidden="1">"A32142"</definedName>
    <definedName name="FDD_46_5" hidden="1">"A32508"</definedName>
    <definedName name="FDD_46_6" hidden="1">"A32873"</definedName>
    <definedName name="FDD_46_7" hidden="1">"A33238"</definedName>
    <definedName name="FDD_46_8" hidden="1">"A33603"</definedName>
    <definedName name="FDD_46_9" hidden="1">"A33969"</definedName>
    <definedName name="FDD_47_0" hidden="1">"A30681"</definedName>
    <definedName name="FDD_47_1" hidden="1">"A31047"</definedName>
    <definedName name="FDD_47_10" hidden="1">"A34334"</definedName>
    <definedName name="FDD_47_11" hidden="1">"A34699"</definedName>
    <definedName name="FDD_47_12" hidden="1">"A35064"</definedName>
    <definedName name="FDD_47_13" hidden="1">"A35430"</definedName>
    <definedName name="FDD_47_14" hidden="1">"A35795"</definedName>
    <definedName name="FDD_47_2" hidden="1">"A31412"</definedName>
    <definedName name="FDD_47_3" hidden="1">"A31777"</definedName>
    <definedName name="FDD_47_4" hidden="1">"A32142"</definedName>
    <definedName name="FDD_47_5" hidden="1">"A32508"</definedName>
    <definedName name="FDD_47_6" hidden="1">"A32873"</definedName>
    <definedName name="FDD_47_7" hidden="1">"A33238"</definedName>
    <definedName name="FDD_47_8" hidden="1">"A33603"</definedName>
    <definedName name="FDD_47_9" hidden="1">"A33969"</definedName>
    <definedName name="FDD_48_0" hidden="1">"A30681"</definedName>
    <definedName name="FDD_48_1" hidden="1">"A31047"</definedName>
    <definedName name="FDD_48_10" hidden="1">"A34334"</definedName>
    <definedName name="FDD_48_11" hidden="1">"A34699"</definedName>
    <definedName name="FDD_48_12" hidden="1">"A35064"</definedName>
    <definedName name="FDD_48_13" hidden="1">"A35430"</definedName>
    <definedName name="FDD_48_14" hidden="1">"A35795"</definedName>
    <definedName name="FDD_48_2" hidden="1">"A31412"</definedName>
    <definedName name="FDD_48_3" hidden="1">"A31777"</definedName>
    <definedName name="FDD_48_4" hidden="1">"A32142"</definedName>
    <definedName name="FDD_48_5" hidden="1">"A32508"</definedName>
    <definedName name="FDD_48_6" hidden="1">"A32873"</definedName>
    <definedName name="FDD_48_7" hidden="1">"A33238"</definedName>
    <definedName name="FDD_48_8" hidden="1">"A33603"</definedName>
    <definedName name="FDD_48_9" hidden="1">"A33969"</definedName>
    <definedName name="FDD_49_0" hidden="1">"A30681"</definedName>
    <definedName name="FDD_49_1" hidden="1">"A31047"</definedName>
    <definedName name="FDD_49_10" hidden="1">"A34334"</definedName>
    <definedName name="FDD_49_11" hidden="1">"A34699"</definedName>
    <definedName name="FDD_49_12" hidden="1">"A35064"</definedName>
    <definedName name="FDD_49_13" hidden="1">"A35430"</definedName>
    <definedName name="FDD_49_14" hidden="1">"A35795"</definedName>
    <definedName name="FDD_49_2" hidden="1">"A31412"</definedName>
    <definedName name="FDD_49_3" hidden="1">"A31777"</definedName>
    <definedName name="FDD_49_4" hidden="1">"A32142"</definedName>
    <definedName name="FDD_49_5" hidden="1">"A32508"</definedName>
    <definedName name="FDD_49_6" hidden="1">"A32873"</definedName>
    <definedName name="FDD_49_7" hidden="1">"A33238"</definedName>
    <definedName name="FDD_49_8" hidden="1">"A33603"</definedName>
    <definedName name="FDD_49_9" hidden="1">"A33969"</definedName>
    <definedName name="FDD_5_0" hidden="1">"A25569"</definedName>
    <definedName name="FDD_50_0" hidden="1">"A30681"</definedName>
    <definedName name="FDD_50_1" hidden="1">"A31047"</definedName>
    <definedName name="FDD_50_10" hidden="1">"A34334"</definedName>
    <definedName name="FDD_50_11" hidden="1">"A34699"</definedName>
    <definedName name="FDD_50_12" hidden="1">"A35064"</definedName>
    <definedName name="FDD_50_13" hidden="1">"A35430"</definedName>
    <definedName name="FDD_50_14" hidden="1">"A35795"</definedName>
    <definedName name="FDD_50_2" hidden="1">"A31412"</definedName>
    <definedName name="FDD_50_3" hidden="1">"A31777"</definedName>
    <definedName name="FDD_50_4" hidden="1">"A32142"</definedName>
    <definedName name="FDD_50_5" hidden="1">"A32508"</definedName>
    <definedName name="FDD_50_6" hidden="1">"A32873"</definedName>
    <definedName name="FDD_50_7" hidden="1">"A33238"</definedName>
    <definedName name="FDD_50_8" hidden="1">"A33603"</definedName>
    <definedName name="FDD_50_9" hidden="1">"A33969"</definedName>
    <definedName name="FDD_51_0" hidden="1">"A30681"</definedName>
    <definedName name="FDD_51_1" hidden="1">"A31047"</definedName>
    <definedName name="FDD_51_10" hidden="1">"A34334"</definedName>
    <definedName name="FDD_51_11" hidden="1">"A34699"</definedName>
    <definedName name="FDD_51_12" hidden="1">"A35064"</definedName>
    <definedName name="FDD_51_13" hidden="1">"A35430"</definedName>
    <definedName name="FDD_51_14" hidden="1">"A35795"</definedName>
    <definedName name="FDD_51_2" hidden="1">"A31412"</definedName>
    <definedName name="FDD_51_3" hidden="1">"A31777"</definedName>
    <definedName name="FDD_51_4" hidden="1">"A32142"</definedName>
    <definedName name="FDD_51_5" hidden="1">"A32508"</definedName>
    <definedName name="FDD_51_6" hidden="1">"A32873"</definedName>
    <definedName name="FDD_51_7" hidden="1">"A33238"</definedName>
    <definedName name="FDD_51_8" hidden="1">"A33603"</definedName>
    <definedName name="FDD_51_9" hidden="1">"A33969"</definedName>
    <definedName name="FDD_52_0" hidden="1">"A30681"</definedName>
    <definedName name="FDD_52_1" hidden="1">"A31047"</definedName>
    <definedName name="FDD_52_10" hidden="1">"A34334"</definedName>
    <definedName name="FDD_52_11" hidden="1">"A34699"</definedName>
    <definedName name="FDD_52_12" hidden="1">"A35064"</definedName>
    <definedName name="FDD_52_13" hidden="1">"A35430"</definedName>
    <definedName name="FDD_52_14" hidden="1">"A35795"</definedName>
    <definedName name="FDD_52_2" hidden="1">"A31412"</definedName>
    <definedName name="FDD_52_3" hidden="1">"A31777"</definedName>
    <definedName name="FDD_52_4" hidden="1">"A32142"</definedName>
    <definedName name="FDD_52_5" hidden="1">"A32508"</definedName>
    <definedName name="FDD_52_6" hidden="1">"A32873"</definedName>
    <definedName name="FDD_52_7" hidden="1">"A33238"</definedName>
    <definedName name="FDD_52_8" hidden="1">"A33603"</definedName>
    <definedName name="FDD_52_9" hidden="1">"A33969"</definedName>
    <definedName name="FDD_53_0" hidden="1">"U30681"</definedName>
    <definedName name="FDD_53_1" hidden="1">"A31047"</definedName>
    <definedName name="FDD_53_10" hidden="1">"A34334"</definedName>
    <definedName name="FDD_53_11" hidden="1">"A34699"</definedName>
    <definedName name="FDD_53_12" hidden="1">"A35064"</definedName>
    <definedName name="FDD_53_13" hidden="1">"A35430"</definedName>
    <definedName name="FDD_53_14" hidden="1">"A35795"</definedName>
    <definedName name="FDD_53_2" hidden="1">"A31412"</definedName>
    <definedName name="FDD_53_3" hidden="1">"A31777"</definedName>
    <definedName name="FDD_53_4" hidden="1">"A32142"</definedName>
    <definedName name="FDD_53_5" hidden="1">"A32508"</definedName>
    <definedName name="FDD_53_6" hidden="1">"A32873"</definedName>
    <definedName name="FDD_53_7" hidden="1">"A33238"</definedName>
    <definedName name="FDD_53_8" hidden="1">"A33603"</definedName>
    <definedName name="FDD_53_9" hidden="1">"A33969"</definedName>
    <definedName name="FDD_54_0" hidden="1">"A30681"</definedName>
    <definedName name="FDD_54_1" hidden="1">"A31047"</definedName>
    <definedName name="FDD_54_10" hidden="1">"A34334"</definedName>
    <definedName name="FDD_54_11" hidden="1">"A34699"</definedName>
    <definedName name="FDD_54_12" hidden="1">"A35064"</definedName>
    <definedName name="FDD_54_13" hidden="1">"A35430"</definedName>
    <definedName name="FDD_54_14" hidden="1">"A35795"</definedName>
    <definedName name="FDD_54_2" hidden="1">"A31412"</definedName>
    <definedName name="FDD_54_3" hidden="1">"A31777"</definedName>
    <definedName name="FDD_54_4" hidden="1">"A32142"</definedName>
    <definedName name="FDD_54_5" hidden="1">"A32508"</definedName>
    <definedName name="FDD_54_6" hidden="1">"A32873"</definedName>
    <definedName name="FDD_54_7" hidden="1">"A33238"</definedName>
    <definedName name="FDD_54_8" hidden="1">"A33603"</definedName>
    <definedName name="FDD_54_9" hidden="1">"A33969"</definedName>
    <definedName name="FDD_55_0" hidden="1">"A30681"</definedName>
    <definedName name="FDD_55_1" hidden="1">"A31047"</definedName>
    <definedName name="FDD_55_10" hidden="1">"A34334"</definedName>
    <definedName name="FDD_55_11" hidden="1">"A34699"</definedName>
    <definedName name="FDD_55_12" hidden="1">"A35064"</definedName>
    <definedName name="FDD_55_13" hidden="1">"A35430"</definedName>
    <definedName name="FDD_55_14" hidden="1">"A35795"</definedName>
    <definedName name="FDD_55_2" hidden="1">"A31412"</definedName>
    <definedName name="FDD_55_3" hidden="1">"A31777"</definedName>
    <definedName name="FDD_55_4" hidden="1">"A32142"</definedName>
    <definedName name="FDD_55_5" hidden="1">"A32508"</definedName>
    <definedName name="FDD_55_6" hidden="1">"A32873"</definedName>
    <definedName name="FDD_55_7" hidden="1">"A33238"</definedName>
    <definedName name="FDD_55_8" hidden="1">"A33603"</definedName>
    <definedName name="FDD_55_9" hidden="1">"A33969"</definedName>
    <definedName name="FDD_56_0" hidden="1">"A30681"</definedName>
    <definedName name="FDD_56_1" hidden="1">"A31047"</definedName>
    <definedName name="FDD_56_10" hidden="1">"A34334"</definedName>
    <definedName name="FDD_56_11" hidden="1">"A34699"</definedName>
    <definedName name="FDD_56_12" hidden="1">"A35064"</definedName>
    <definedName name="FDD_56_13" hidden="1">"A35430"</definedName>
    <definedName name="FDD_56_14" hidden="1">"A35795"</definedName>
    <definedName name="FDD_56_2" hidden="1">"A31412"</definedName>
    <definedName name="FDD_56_3" hidden="1">"A31777"</definedName>
    <definedName name="FDD_56_4" hidden="1">"A32142"</definedName>
    <definedName name="FDD_56_5" hidden="1">"A32508"</definedName>
    <definedName name="FDD_56_6" hidden="1">"A32873"</definedName>
    <definedName name="FDD_56_7" hidden="1">"A33238"</definedName>
    <definedName name="FDD_56_8" hidden="1">"A33603"</definedName>
    <definedName name="FDD_56_9" hidden="1">"A33969"</definedName>
    <definedName name="FDD_57_0" hidden="1">"A30681"</definedName>
    <definedName name="FDD_57_1" hidden="1">"A31047"</definedName>
    <definedName name="FDD_57_10" hidden="1">"A34334"</definedName>
    <definedName name="FDD_57_11" hidden="1">"A34699"</definedName>
    <definedName name="FDD_57_12" hidden="1">"A35064"</definedName>
    <definedName name="FDD_57_13" hidden="1">"A35430"</definedName>
    <definedName name="FDD_57_14" hidden="1">"A35795"</definedName>
    <definedName name="FDD_57_2" hidden="1">"A31412"</definedName>
    <definedName name="FDD_57_3" hidden="1">"A31777"</definedName>
    <definedName name="FDD_57_4" hidden="1">"A32142"</definedName>
    <definedName name="FDD_57_5" hidden="1">"A32508"</definedName>
    <definedName name="FDD_57_6" hidden="1">"A32873"</definedName>
    <definedName name="FDD_57_7" hidden="1">"A33238"</definedName>
    <definedName name="FDD_57_8" hidden="1">"A33603"</definedName>
    <definedName name="FDD_57_9" hidden="1">"A33969"</definedName>
    <definedName name="FDD_58_0" hidden="1">"A30681"</definedName>
    <definedName name="FDD_58_1" hidden="1">"A31047"</definedName>
    <definedName name="FDD_58_10" hidden="1">"A34334"</definedName>
    <definedName name="FDD_58_11" hidden="1">"A34699"</definedName>
    <definedName name="FDD_58_12" hidden="1">"A35064"</definedName>
    <definedName name="FDD_58_13" hidden="1">"A35430"</definedName>
    <definedName name="FDD_58_14" hidden="1">"A35795"</definedName>
    <definedName name="FDD_58_2" hidden="1">"A31412"</definedName>
    <definedName name="FDD_58_3" hidden="1">"A31777"</definedName>
    <definedName name="FDD_58_4" hidden="1">"A32142"</definedName>
    <definedName name="FDD_58_5" hidden="1">"A32508"</definedName>
    <definedName name="FDD_58_6" hidden="1">"A32873"</definedName>
    <definedName name="FDD_58_7" hidden="1">"A33238"</definedName>
    <definedName name="FDD_58_8" hidden="1">"A33603"</definedName>
    <definedName name="FDD_58_9" hidden="1">"A33969"</definedName>
    <definedName name="FDD_59_0" hidden="1">"A30681"</definedName>
    <definedName name="FDD_59_1" hidden="1">"A31047"</definedName>
    <definedName name="FDD_59_10" hidden="1">"A34334"</definedName>
    <definedName name="FDD_59_11" hidden="1">"A34699"</definedName>
    <definedName name="FDD_59_12" hidden="1">"A35064"</definedName>
    <definedName name="FDD_59_13" hidden="1">"A35430"</definedName>
    <definedName name="FDD_59_14" hidden="1">"A35795"</definedName>
    <definedName name="FDD_59_2" hidden="1">"A31412"</definedName>
    <definedName name="FDD_59_3" hidden="1">"A31777"</definedName>
    <definedName name="FDD_59_4" hidden="1">"A32142"</definedName>
    <definedName name="FDD_59_5" hidden="1">"A32508"</definedName>
    <definedName name="FDD_59_6" hidden="1">"A32873"</definedName>
    <definedName name="FDD_59_7" hidden="1">"A33238"</definedName>
    <definedName name="FDD_59_8" hidden="1">"A33603"</definedName>
    <definedName name="FDD_59_9" hidden="1">"A33969"</definedName>
    <definedName name="FDD_6_0" hidden="1">"A25569"</definedName>
    <definedName name="FDD_60_0" hidden="1">"A30681"</definedName>
    <definedName name="FDD_60_1" hidden="1">"A31047"</definedName>
    <definedName name="FDD_60_10" hidden="1">"A34334"</definedName>
    <definedName name="FDD_60_11" hidden="1">"A34699"</definedName>
    <definedName name="FDD_60_12" hidden="1">"A35064"</definedName>
    <definedName name="FDD_60_13" hidden="1">"A35430"</definedName>
    <definedName name="FDD_60_14" hidden="1">"A35795"</definedName>
    <definedName name="FDD_60_2" hidden="1">"A31412"</definedName>
    <definedName name="FDD_60_3" hidden="1">"A31777"</definedName>
    <definedName name="FDD_60_4" hidden="1">"A32142"</definedName>
    <definedName name="FDD_60_5" hidden="1">"A32508"</definedName>
    <definedName name="FDD_60_6" hidden="1">"A32873"</definedName>
    <definedName name="FDD_60_7" hidden="1">"A33238"</definedName>
    <definedName name="FDD_60_8" hidden="1">"A33603"</definedName>
    <definedName name="FDD_60_9" hidden="1">"A33969"</definedName>
    <definedName name="FDD_61_0" hidden="1">"A30681"</definedName>
    <definedName name="FDD_61_1" hidden="1">"A31047"</definedName>
    <definedName name="FDD_61_10" hidden="1">"A34334"</definedName>
    <definedName name="FDD_61_11" hidden="1">"A34699"</definedName>
    <definedName name="FDD_61_12" hidden="1">"A35064"</definedName>
    <definedName name="FDD_61_13" hidden="1">"A35430"</definedName>
    <definedName name="FDD_61_14" hidden="1">"A35795"</definedName>
    <definedName name="FDD_61_2" hidden="1">"A31412"</definedName>
    <definedName name="FDD_61_3" hidden="1">"A31777"</definedName>
    <definedName name="FDD_61_4" hidden="1">"A32142"</definedName>
    <definedName name="FDD_61_5" hidden="1">"A32508"</definedName>
    <definedName name="FDD_61_6" hidden="1">"A32873"</definedName>
    <definedName name="FDD_61_7" hidden="1">"A33238"</definedName>
    <definedName name="FDD_61_8" hidden="1">"A33603"</definedName>
    <definedName name="FDD_61_9" hidden="1">"A33969"</definedName>
    <definedName name="FDD_62_0" hidden="1">"A30681"</definedName>
    <definedName name="FDD_62_1" hidden="1">"A31047"</definedName>
    <definedName name="FDD_62_10" hidden="1">"A34334"</definedName>
    <definedName name="FDD_62_11" hidden="1">"A34699"</definedName>
    <definedName name="FDD_62_12" hidden="1">"A35064"</definedName>
    <definedName name="FDD_62_13" hidden="1">"A35430"</definedName>
    <definedName name="FDD_62_14" hidden="1">"A35795"</definedName>
    <definedName name="FDD_62_2" hidden="1">"A31412"</definedName>
    <definedName name="FDD_62_3" hidden="1">"A31777"</definedName>
    <definedName name="FDD_62_4" hidden="1">"A32142"</definedName>
    <definedName name="FDD_62_5" hidden="1">"A32508"</definedName>
    <definedName name="FDD_62_6" hidden="1">"A32873"</definedName>
    <definedName name="FDD_62_7" hidden="1">"A33238"</definedName>
    <definedName name="FDD_62_8" hidden="1">"A33603"</definedName>
    <definedName name="FDD_62_9" hidden="1">"A33969"</definedName>
    <definedName name="FDD_63_0" hidden="1">"A30681"</definedName>
    <definedName name="FDD_63_1" hidden="1">"A31047"</definedName>
    <definedName name="FDD_63_10" hidden="1">"A34334"</definedName>
    <definedName name="FDD_63_11" hidden="1">"A34699"</definedName>
    <definedName name="FDD_63_12" hidden="1">"A35064"</definedName>
    <definedName name="FDD_63_13" hidden="1">"A35430"</definedName>
    <definedName name="FDD_63_14" hidden="1">"A35795"</definedName>
    <definedName name="FDD_63_2" hidden="1">"A31412"</definedName>
    <definedName name="FDD_63_3" hidden="1">"A31777"</definedName>
    <definedName name="FDD_63_4" hidden="1">"A32142"</definedName>
    <definedName name="FDD_63_5" hidden="1">"A32508"</definedName>
    <definedName name="FDD_63_6" hidden="1">"A32873"</definedName>
    <definedName name="FDD_63_7" hidden="1">"A33238"</definedName>
    <definedName name="FDD_63_8" hidden="1">"A33603"</definedName>
    <definedName name="FDD_63_9" hidden="1">"A33969"</definedName>
    <definedName name="FDD_64_0" hidden="1">"A30681"</definedName>
    <definedName name="FDD_64_1" hidden="1">"A31047"</definedName>
    <definedName name="FDD_64_10" hidden="1">"A34334"</definedName>
    <definedName name="FDD_64_11" hidden="1">"A34699"</definedName>
    <definedName name="FDD_64_12" hidden="1">"A35064"</definedName>
    <definedName name="FDD_64_13" hidden="1">"A35430"</definedName>
    <definedName name="FDD_64_14" hidden="1">"A35795"</definedName>
    <definedName name="FDD_64_2" hidden="1">"A31412"</definedName>
    <definedName name="FDD_64_3" hidden="1">"A31777"</definedName>
    <definedName name="FDD_64_4" hidden="1">"A32142"</definedName>
    <definedName name="FDD_64_5" hidden="1">"A32508"</definedName>
    <definedName name="FDD_64_6" hidden="1">"A32873"</definedName>
    <definedName name="FDD_64_7" hidden="1">"A33238"</definedName>
    <definedName name="FDD_64_8" hidden="1">"A33603"</definedName>
    <definedName name="FDD_64_9" hidden="1">"A33969"</definedName>
    <definedName name="FDD_65_0" hidden="1">"A30681"</definedName>
    <definedName name="FDD_65_1" hidden="1">"A31047"</definedName>
    <definedName name="FDD_65_10" hidden="1">"A34334"</definedName>
    <definedName name="FDD_65_11" hidden="1">"A34699"</definedName>
    <definedName name="FDD_65_12" hidden="1">"A35064"</definedName>
    <definedName name="FDD_65_13" hidden="1">"A35430"</definedName>
    <definedName name="FDD_65_14" hidden="1">"A35795"</definedName>
    <definedName name="FDD_65_2" hidden="1">"A31412"</definedName>
    <definedName name="FDD_65_3" hidden="1">"A31777"</definedName>
    <definedName name="FDD_65_4" hidden="1">"A32142"</definedName>
    <definedName name="FDD_65_5" hidden="1">"A32508"</definedName>
    <definedName name="FDD_65_6" hidden="1">"A32873"</definedName>
    <definedName name="FDD_65_7" hidden="1">"A33238"</definedName>
    <definedName name="FDD_65_8" hidden="1">"A33603"</definedName>
    <definedName name="FDD_65_9" hidden="1">"A33969"</definedName>
    <definedName name="FDD_66_0" hidden="1">"A30681"</definedName>
    <definedName name="FDD_66_1" hidden="1">"A31047"</definedName>
    <definedName name="FDD_66_10" hidden="1">"A34334"</definedName>
    <definedName name="FDD_66_11" hidden="1">"A34699"</definedName>
    <definedName name="FDD_66_12" hidden="1">"A35064"</definedName>
    <definedName name="FDD_66_13" hidden="1">"A35430"</definedName>
    <definedName name="FDD_66_14" hidden="1">"A35795"</definedName>
    <definedName name="FDD_66_2" hidden="1">"A31412"</definedName>
    <definedName name="FDD_66_3" hidden="1">"A31777"</definedName>
    <definedName name="FDD_66_4" hidden="1">"A32142"</definedName>
    <definedName name="FDD_66_5" hidden="1">"A32508"</definedName>
    <definedName name="FDD_66_6" hidden="1">"A32873"</definedName>
    <definedName name="FDD_66_7" hidden="1">"A33238"</definedName>
    <definedName name="FDD_66_8" hidden="1">"A33603"</definedName>
    <definedName name="FDD_66_9" hidden="1">"A33969"</definedName>
    <definedName name="FDD_67_0" hidden="1">"A30681"</definedName>
    <definedName name="FDD_67_1" hidden="1">"A31047"</definedName>
    <definedName name="FDD_67_10" hidden="1">"A34334"</definedName>
    <definedName name="FDD_67_11" hidden="1">"A34699"</definedName>
    <definedName name="FDD_67_12" hidden="1">"A35064"</definedName>
    <definedName name="FDD_67_13" hidden="1">"A35430"</definedName>
    <definedName name="FDD_67_14" hidden="1">"A35795"</definedName>
    <definedName name="FDD_67_2" hidden="1">"A31412"</definedName>
    <definedName name="FDD_67_3" hidden="1">"A31777"</definedName>
    <definedName name="FDD_67_4" hidden="1">"A32142"</definedName>
    <definedName name="FDD_67_5" hidden="1">"A32508"</definedName>
    <definedName name="FDD_67_6" hidden="1">"A32873"</definedName>
    <definedName name="FDD_67_7" hidden="1">"A33238"</definedName>
    <definedName name="FDD_67_8" hidden="1">"A33603"</definedName>
    <definedName name="FDD_67_9" hidden="1">"A33969"</definedName>
    <definedName name="FDD_68_0" hidden="1">"A30681"</definedName>
    <definedName name="FDD_68_1" hidden="1">"A31047"</definedName>
    <definedName name="FDD_68_10" hidden="1">"A34334"</definedName>
    <definedName name="FDD_68_11" hidden="1">"A34699"</definedName>
    <definedName name="FDD_68_12" hidden="1">"A35064"</definedName>
    <definedName name="FDD_68_13" hidden="1">"A35430"</definedName>
    <definedName name="FDD_68_14" hidden="1">"A35795"</definedName>
    <definedName name="FDD_68_2" hidden="1">"A31412"</definedName>
    <definedName name="FDD_68_3" hidden="1">"A31777"</definedName>
    <definedName name="FDD_68_4" hidden="1">"A32142"</definedName>
    <definedName name="FDD_68_5" hidden="1">"A32508"</definedName>
    <definedName name="FDD_68_6" hidden="1">"A32873"</definedName>
    <definedName name="FDD_68_7" hidden="1">"A33238"</definedName>
    <definedName name="FDD_68_8" hidden="1">"A33603"</definedName>
    <definedName name="FDD_68_9" hidden="1">"A33969"</definedName>
    <definedName name="FDD_69_0" hidden="1">"U30681"</definedName>
    <definedName name="FDD_69_1" hidden="1">"A31047"</definedName>
    <definedName name="FDD_69_10" hidden="1">"A34334"</definedName>
    <definedName name="FDD_69_11" hidden="1">"A34699"</definedName>
    <definedName name="FDD_69_12" hidden="1">"A35064"</definedName>
    <definedName name="FDD_69_13" hidden="1">"A35430"</definedName>
    <definedName name="FDD_69_14" hidden="1">"A35795"</definedName>
    <definedName name="FDD_69_2" hidden="1">"A31412"</definedName>
    <definedName name="FDD_69_3" hidden="1">"A31777"</definedName>
    <definedName name="FDD_69_4" hidden="1">"A32142"</definedName>
    <definedName name="FDD_69_5" hidden="1">"A32508"</definedName>
    <definedName name="FDD_69_6" hidden="1">"A32873"</definedName>
    <definedName name="FDD_69_7" hidden="1">"A33238"</definedName>
    <definedName name="FDD_69_8" hidden="1">"A33603"</definedName>
    <definedName name="FDD_69_9" hidden="1">"A33969"</definedName>
    <definedName name="FDD_7_0" hidden="1">"A25569"</definedName>
    <definedName name="FDD_70_0" hidden="1">"A30681"</definedName>
    <definedName name="FDD_70_1" hidden="1">"A31047"</definedName>
    <definedName name="FDD_70_10" hidden="1">"A34334"</definedName>
    <definedName name="FDD_70_11" hidden="1">"A34699"</definedName>
    <definedName name="FDD_70_12" hidden="1">"A35064"</definedName>
    <definedName name="FDD_70_13" hidden="1">"A35430"</definedName>
    <definedName name="FDD_70_14" hidden="1">"A35795"</definedName>
    <definedName name="FDD_70_2" hidden="1">"A31412"</definedName>
    <definedName name="FDD_70_3" hidden="1">"A31777"</definedName>
    <definedName name="FDD_70_4" hidden="1">"A32142"</definedName>
    <definedName name="FDD_70_5" hidden="1">"A32508"</definedName>
    <definedName name="FDD_70_6" hidden="1">"A32873"</definedName>
    <definedName name="FDD_70_7" hidden="1">"A33238"</definedName>
    <definedName name="FDD_70_8" hidden="1">"A33603"</definedName>
    <definedName name="FDD_70_9" hidden="1">"A33969"</definedName>
    <definedName name="FDD_71_0" hidden="1">"A30681"</definedName>
    <definedName name="FDD_71_1" hidden="1">"A31047"</definedName>
    <definedName name="FDD_71_10" hidden="1">"A34334"</definedName>
    <definedName name="FDD_71_11" hidden="1">"A34699"</definedName>
    <definedName name="FDD_71_12" hidden="1">"A35064"</definedName>
    <definedName name="FDD_71_13" hidden="1">"A35430"</definedName>
    <definedName name="FDD_71_14" hidden="1">"A35795"</definedName>
    <definedName name="FDD_71_2" hidden="1">"A31412"</definedName>
    <definedName name="FDD_71_3" hidden="1">"A31777"</definedName>
    <definedName name="FDD_71_4" hidden="1">"A32142"</definedName>
    <definedName name="FDD_71_5" hidden="1">"A32508"</definedName>
    <definedName name="FDD_71_6" hidden="1">"A32873"</definedName>
    <definedName name="FDD_71_7" hidden="1">"A33238"</definedName>
    <definedName name="FDD_71_8" hidden="1">"A33603"</definedName>
    <definedName name="FDD_71_9" hidden="1">"A33969"</definedName>
    <definedName name="FDD_72_0" hidden="1">"A30681"</definedName>
    <definedName name="FDD_72_1" hidden="1">"A31047"</definedName>
    <definedName name="FDD_72_10" hidden="1">"A34334"</definedName>
    <definedName name="FDD_72_11" hidden="1">"A34699"</definedName>
    <definedName name="FDD_72_12" hidden="1">"A35064"</definedName>
    <definedName name="FDD_72_13" hidden="1">"A35430"</definedName>
    <definedName name="FDD_72_14" hidden="1">"A35795"</definedName>
    <definedName name="FDD_72_2" hidden="1">"A31412"</definedName>
    <definedName name="FDD_72_3" hidden="1">"A31777"</definedName>
    <definedName name="FDD_72_4" hidden="1">"A32142"</definedName>
    <definedName name="FDD_72_5" hidden="1">"A32508"</definedName>
    <definedName name="FDD_72_6" hidden="1">"A32873"</definedName>
    <definedName name="FDD_72_7" hidden="1">"A33238"</definedName>
    <definedName name="FDD_72_8" hidden="1">"A33603"</definedName>
    <definedName name="FDD_72_9" hidden="1">"A33969"</definedName>
    <definedName name="FDD_73_0" hidden="1">"A30681"</definedName>
    <definedName name="FDD_73_1" hidden="1">"A31047"</definedName>
    <definedName name="FDD_73_10" hidden="1">"A34334"</definedName>
    <definedName name="FDD_73_11" hidden="1">"A34699"</definedName>
    <definedName name="FDD_73_12" hidden="1">"A35064"</definedName>
    <definedName name="FDD_73_13" hidden="1">"A35430"</definedName>
    <definedName name="FDD_73_14" hidden="1">"A35795"</definedName>
    <definedName name="FDD_73_2" hidden="1">"A31412"</definedName>
    <definedName name="FDD_73_3" hidden="1">"A31777"</definedName>
    <definedName name="FDD_73_4" hidden="1">"A32142"</definedName>
    <definedName name="FDD_73_5" hidden="1">"A32508"</definedName>
    <definedName name="FDD_73_6" hidden="1">"A32873"</definedName>
    <definedName name="FDD_73_7" hidden="1">"A33238"</definedName>
    <definedName name="FDD_73_8" hidden="1">"A33603"</definedName>
    <definedName name="FDD_73_9" hidden="1">"A33969"</definedName>
    <definedName name="FDD_74_0" hidden="1">"A30681"</definedName>
    <definedName name="FDD_74_1" hidden="1">"A31047"</definedName>
    <definedName name="FDD_74_10" hidden="1">"A34334"</definedName>
    <definedName name="FDD_74_11" hidden="1">"A34699"</definedName>
    <definedName name="FDD_74_12" hidden="1">"A35064"</definedName>
    <definedName name="FDD_74_13" hidden="1">"A35430"</definedName>
    <definedName name="FDD_74_14" hidden="1">"A35795"</definedName>
    <definedName name="FDD_74_2" hidden="1">"A31412"</definedName>
    <definedName name="FDD_74_3" hidden="1">"A31777"</definedName>
    <definedName name="FDD_74_4" hidden="1">"A32142"</definedName>
    <definedName name="FDD_74_5" hidden="1">"A32508"</definedName>
    <definedName name="FDD_74_6" hidden="1">"A32873"</definedName>
    <definedName name="FDD_74_7" hidden="1">"A33238"</definedName>
    <definedName name="FDD_74_8" hidden="1">"A33603"</definedName>
    <definedName name="FDD_74_9" hidden="1">"A33969"</definedName>
    <definedName name="FDD_75_0" hidden="1">"A30681"</definedName>
    <definedName name="FDD_75_1" hidden="1">"A31047"</definedName>
    <definedName name="FDD_75_10" hidden="1">"A34334"</definedName>
    <definedName name="FDD_75_11" hidden="1">"A34699"</definedName>
    <definedName name="FDD_75_12" hidden="1">"A35064"</definedName>
    <definedName name="FDD_75_13" hidden="1">"A35430"</definedName>
    <definedName name="FDD_75_14" hidden="1">"A35795"</definedName>
    <definedName name="FDD_75_2" hidden="1">"A31412"</definedName>
    <definedName name="FDD_75_3" hidden="1">"A31777"</definedName>
    <definedName name="FDD_75_4" hidden="1">"A32142"</definedName>
    <definedName name="FDD_75_5" hidden="1">"A32508"</definedName>
    <definedName name="FDD_75_6" hidden="1">"A32873"</definedName>
    <definedName name="FDD_75_7" hidden="1">"A33238"</definedName>
    <definedName name="FDD_75_8" hidden="1">"A33603"</definedName>
    <definedName name="FDD_75_9" hidden="1">"A33969"</definedName>
    <definedName name="FDD_76_0" hidden="1">"A30681"</definedName>
    <definedName name="FDD_76_1" hidden="1">"A31047"</definedName>
    <definedName name="FDD_76_10" hidden="1">"A34334"</definedName>
    <definedName name="FDD_76_11" hidden="1">"A34699"</definedName>
    <definedName name="FDD_76_12" hidden="1">"A35064"</definedName>
    <definedName name="FDD_76_13" hidden="1">"A35430"</definedName>
    <definedName name="FDD_76_14" hidden="1">"A35795"</definedName>
    <definedName name="FDD_76_2" hidden="1">"A31412"</definedName>
    <definedName name="FDD_76_3" hidden="1">"A31777"</definedName>
    <definedName name="FDD_76_4" hidden="1">"A32142"</definedName>
    <definedName name="FDD_76_5" hidden="1">"A32508"</definedName>
    <definedName name="FDD_76_6" hidden="1">"A32873"</definedName>
    <definedName name="FDD_76_7" hidden="1">"A33238"</definedName>
    <definedName name="FDD_76_8" hidden="1">"A33603"</definedName>
    <definedName name="FDD_76_9" hidden="1">"A33969"</definedName>
    <definedName name="FDD_77_0" hidden="1">"A30681"</definedName>
    <definedName name="FDD_77_1" hidden="1">"A31047"</definedName>
    <definedName name="FDD_77_10" hidden="1">"A34334"</definedName>
    <definedName name="FDD_77_11" hidden="1">"A34699"</definedName>
    <definedName name="FDD_77_12" hidden="1">"A35064"</definedName>
    <definedName name="FDD_77_13" hidden="1">"A35430"</definedName>
    <definedName name="FDD_77_14" hidden="1">"A35795"</definedName>
    <definedName name="FDD_77_2" hidden="1">"A31412"</definedName>
    <definedName name="FDD_77_3" hidden="1">"A31777"</definedName>
    <definedName name="FDD_77_4" hidden="1">"A32142"</definedName>
    <definedName name="FDD_77_5" hidden="1">"A32508"</definedName>
    <definedName name="FDD_77_6" hidden="1">"A32873"</definedName>
    <definedName name="FDD_77_7" hidden="1">"A33238"</definedName>
    <definedName name="FDD_77_8" hidden="1">"A33603"</definedName>
    <definedName name="FDD_77_9" hidden="1">"A33969"</definedName>
    <definedName name="FDD_78_0" hidden="1">"A30681"</definedName>
    <definedName name="FDD_78_1" hidden="1">"A31047"</definedName>
    <definedName name="FDD_78_10" hidden="1">"A34334"</definedName>
    <definedName name="FDD_78_11" hidden="1">"A34699"</definedName>
    <definedName name="FDD_78_12" hidden="1">"A35064"</definedName>
    <definedName name="FDD_78_13" hidden="1">"A35430"</definedName>
    <definedName name="FDD_78_14" hidden="1">"A35795"</definedName>
    <definedName name="FDD_78_2" hidden="1">"A31412"</definedName>
    <definedName name="FDD_78_3" hidden="1">"A31777"</definedName>
    <definedName name="FDD_78_4" hidden="1">"A32142"</definedName>
    <definedName name="FDD_78_5" hidden="1">"A32508"</definedName>
    <definedName name="FDD_78_6" hidden="1">"A32873"</definedName>
    <definedName name="FDD_78_7" hidden="1">"A33238"</definedName>
    <definedName name="FDD_78_8" hidden="1">"A33603"</definedName>
    <definedName name="FDD_78_9" hidden="1">"A33969"</definedName>
    <definedName name="FDD_79_0" hidden="1">"A30681"</definedName>
    <definedName name="FDD_79_1" hidden="1">"A31047"</definedName>
    <definedName name="FDD_79_10" hidden="1">"A34334"</definedName>
    <definedName name="FDD_79_11" hidden="1">"A34699"</definedName>
    <definedName name="FDD_79_12" hidden="1">"A35064"</definedName>
    <definedName name="FDD_79_13" hidden="1">"A35430"</definedName>
    <definedName name="FDD_79_14" hidden="1">"A35795"</definedName>
    <definedName name="FDD_79_2" hidden="1">"A31412"</definedName>
    <definedName name="FDD_79_3" hidden="1">"A31777"</definedName>
    <definedName name="FDD_79_4" hidden="1">"A32142"</definedName>
    <definedName name="FDD_79_5" hidden="1">"A32508"</definedName>
    <definedName name="FDD_79_6" hidden="1">"A32873"</definedName>
    <definedName name="FDD_79_7" hidden="1">"A33238"</definedName>
    <definedName name="FDD_79_8" hidden="1">"A33603"</definedName>
    <definedName name="FDD_79_9" hidden="1">"A33969"</definedName>
    <definedName name="FDD_8_0" hidden="1">"A25569"</definedName>
    <definedName name="FDD_80_0" hidden="1">"A30681"</definedName>
    <definedName name="FDD_80_1" hidden="1">"A31047"</definedName>
    <definedName name="FDD_80_10" hidden="1">"A34334"</definedName>
    <definedName name="FDD_80_11" hidden="1">"A34699"</definedName>
    <definedName name="FDD_80_12" hidden="1">"A35064"</definedName>
    <definedName name="FDD_80_13" hidden="1">"A35430"</definedName>
    <definedName name="FDD_80_14" hidden="1">"A35795"</definedName>
    <definedName name="FDD_80_2" hidden="1">"A31412"</definedName>
    <definedName name="FDD_80_3" hidden="1">"A31777"</definedName>
    <definedName name="FDD_80_4" hidden="1">"A32142"</definedName>
    <definedName name="FDD_80_5" hidden="1">"A32508"</definedName>
    <definedName name="FDD_80_6" hidden="1">"A32873"</definedName>
    <definedName name="FDD_80_7" hidden="1">"A33238"</definedName>
    <definedName name="FDD_80_8" hidden="1">"A33603"</definedName>
    <definedName name="FDD_80_9" hidden="1">"A33969"</definedName>
    <definedName name="FDD_81_0" hidden="1">"A30681"</definedName>
    <definedName name="FDD_81_1" hidden="1">"A31047"</definedName>
    <definedName name="FDD_81_10" hidden="1">"A34334"</definedName>
    <definedName name="FDD_81_11" hidden="1">"A34699"</definedName>
    <definedName name="FDD_81_12" hidden="1">"A35064"</definedName>
    <definedName name="FDD_81_13" hidden="1">"A35430"</definedName>
    <definedName name="FDD_81_14" hidden="1">"A35795"</definedName>
    <definedName name="FDD_81_2" hidden="1">"A31412"</definedName>
    <definedName name="FDD_81_3" hidden="1">"A31777"</definedName>
    <definedName name="FDD_81_4" hidden="1">"A32142"</definedName>
    <definedName name="FDD_81_5" hidden="1">"A32508"</definedName>
    <definedName name="FDD_81_6" hidden="1">"A32873"</definedName>
    <definedName name="FDD_81_7" hidden="1">"A33238"</definedName>
    <definedName name="FDD_81_8" hidden="1">"A33603"</definedName>
    <definedName name="FDD_81_9" hidden="1">"A33969"</definedName>
    <definedName name="FDD_82_0" hidden="1">"A30681"</definedName>
    <definedName name="FDD_82_1" hidden="1">"A31047"</definedName>
    <definedName name="FDD_82_10" hidden="1">"A34334"</definedName>
    <definedName name="FDD_82_11" hidden="1">"A34699"</definedName>
    <definedName name="FDD_82_12" hidden="1">"A35064"</definedName>
    <definedName name="FDD_82_13" hidden="1">"A35430"</definedName>
    <definedName name="FDD_82_14" hidden="1">"A35795"</definedName>
    <definedName name="FDD_82_2" hidden="1">"A31412"</definedName>
    <definedName name="FDD_82_3" hidden="1">"A31777"</definedName>
    <definedName name="FDD_82_4" hidden="1">"A32142"</definedName>
    <definedName name="FDD_82_5" hidden="1">"A32508"</definedName>
    <definedName name="FDD_82_6" hidden="1">"A32873"</definedName>
    <definedName name="FDD_82_7" hidden="1">"A33238"</definedName>
    <definedName name="FDD_82_8" hidden="1">"A33603"</definedName>
    <definedName name="FDD_82_9" hidden="1">"A33969"</definedName>
    <definedName name="FDD_83_0" hidden="1">"A30681"</definedName>
    <definedName name="FDD_83_1" hidden="1">"A31047"</definedName>
    <definedName name="FDD_83_10" hidden="1">"A34334"</definedName>
    <definedName name="FDD_83_11" hidden="1">"A34699"</definedName>
    <definedName name="FDD_83_12" hidden="1">"A35064"</definedName>
    <definedName name="FDD_83_13" hidden="1">"A35430"</definedName>
    <definedName name="FDD_83_14" hidden="1">"A35795"</definedName>
    <definedName name="FDD_83_2" hidden="1">"A31412"</definedName>
    <definedName name="FDD_83_3" hidden="1">"A31777"</definedName>
    <definedName name="FDD_83_4" hidden="1">"A32142"</definedName>
    <definedName name="FDD_83_5" hidden="1">"A32508"</definedName>
    <definedName name="FDD_83_6" hidden="1">"A32873"</definedName>
    <definedName name="FDD_83_7" hidden="1">"A33238"</definedName>
    <definedName name="FDD_83_8" hidden="1">"A33603"</definedName>
    <definedName name="FDD_83_9" hidden="1">"A33969"</definedName>
    <definedName name="FDD_84_0" hidden="1">"A30681"</definedName>
    <definedName name="FDD_84_1" hidden="1">"A31047"</definedName>
    <definedName name="FDD_84_10" hidden="1">"A34334"</definedName>
    <definedName name="FDD_84_11" hidden="1">"A34699"</definedName>
    <definedName name="FDD_84_12" hidden="1">"A35064"</definedName>
    <definedName name="FDD_84_13" hidden="1">"A35430"</definedName>
    <definedName name="FDD_84_14" hidden="1">"A35795"</definedName>
    <definedName name="FDD_84_2" hidden="1">"A31412"</definedName>
    <definedName name="FDD_84_3" hidden="1">"A31777"</definedName>
    <definedName name="FDD_84_4" hidden="1">"A32142"</definedName>
    <definedName name="FDD_84_5" hidden="1">"A32508"</definedName>
    <definedName name="FDD_84_6" hidden="1">"A32873"</definedName>
    <definedName name="FDD_84_7" hidden="1">"A33238"</definedName>
    <definedName name="FDD_84_8" hidden="1">"A33603"</definedName>
    <definedName name="FDD_84_9" hidden="1">"A33969"</definedName>
    <definedName name="FDD_85_0" hidden="1">"A30681"</definedName>
    <definedName name="FDD_85_1" hidden="1">"A31047"</definedName>
    <definedName name="FDD_85_10" hidden="1">"A34334"</definedName>
    <definedName name="FDD_85_11" hidden="1">"A34699"</definedName>
    <definedName name="FDD_85_12" hidden="1">"A35064"</definedName>
    <definedName name="FDD_85_13" hidden="1">"A35430"</definedName>
    <definedName name="FDD_85_14" hidden="1">"A35795"</definedName>
    <definedName name="FDD_85_2" hidden="1">"A31412"</definedName>
    <definedName name="FDD_85_3" hidden="1">"A31777"</definedName>
    <definedName name="FDD_85_4" hidden="1">"A32142"</definedName>
    <definedName name="FDD_85_5" hidden="1">"A32508"</definedName>
    <definedName name="FDD_85_6" hidden="1">"A32873"</definedName>
    <definedName name="FDD_85_7" hidden="1">"A33238"</definedName>
    <definedName name="FDD_85_8" hidden="1">"A33603"</definedName>
    <definedName name="FDD_85_9" hidden="1">"A33969"</definedName>
    <definedName name="FDD_86_0" hidden="1">"A30681"</definedName>
    <definedName name="FDD_86_1" hidden="1">"A31047"</definedName>
    <definedName name="FDD_86_10" hidden="1">"A34334"</definedName>
    <definedName name="FDD_86_11" hidden="1">"A34699"</definedName>
    <definedName name="FDD_86_12" hidden="1">"A35064"</definedName>
    <definedName name="FDD_86_13" hidden="1">"A35430"</definedName>
    <definedName name="FDD_86_14" hidden="1">"A35795"</definedName>
    <definedName name="FDD_86_2" hidden="1">"A31412"</definedName>
    <definedName name="FDD_86_3" hidden="1">"A31777"</definedName>
    <definedName name="FDD_86_4" hidden="1">"A32142"</definedName>
    <definedName name="FDD_86_5" hidden="1">"A32508"</definedName>
    <definedName name="FDD_86_6" hidden="1">"A32873"</definedName>
    <definedName name="FDD_86_7" hidden="1">"A33238"</definedName>
    <definedName name="FDD_86_8" hidden="1">"A33603"</definedName>
    <definedName name="FDD_86_9" hidden="1">"A33969"</definedName>
    <definedName name="FDD_87_0" hidden="1">"A30681"</definedName>
    <definedName name="FDD_87_1" hidden="1">"A31047"</definedName>
    <definedName name="FDD_87_10" hidden="1">"A34334"</definedName>
    <definedName name="FDD_87_11" hidden="1">"A34699"</definedName>
    <definedName name="FDD_87_12" hidden="1">"A35064"</definedName>
    <definedName name="FDD_87_13" hidden="1">"A35430"</definedName>
    <definedName name="FDD_87_14" hidden="1">"A35795"</definedName>
    <definedName name="FDD_87_2" hidden="1">"A31412"</definedName>
    <definedName name="FDD_87_3" hidden="1">"A31777"</definedName>
    <definedName name="FDD_87_4" hidden="1">"A32142"</definedName>
    <definedName name="FDD_87_5" hidden="1">"A32508"</definedName>
    <definedName name="FDD_87_6" hidden="1">"A32873"</definedName>
    <definedName name="FDD_87_7" hidden="1">"A33238"</definedName>
    <definedName name="FDD_87_8" hidden="1">"A33603"</definedName>
    <definedName name="FDD_87_9" hidden="1">"A33969"</definedName>
    <definedName name="FDD_88_0" hidden="1">"A30681"</definedName>
    <definedName name="FDD_88_1" hidden="1">"A31047"</definedName>
    <definedName name="FDD_88_10" hidden="1">"A34334"</definedName>
    <definedName name="FDD_88_11" hidden="1">"A34699"</definedName>
    <definedName name="FDD_88_12" hidden="1">"A35064"</definedName>
    <definedName name="FDD_88_13" hidden="1">"A35430"</definedName>
    <definedName name="FDD_88_14" hidden="1">"A35795"</definedName>
    <definedName name="FDD_88_2" hidden="1">"A31412"</definedName>
    <definedName name="FDD_88_3" hidden="1">"A31777"</definedName>
    <definedName name="FDD_88_4" hidden="1">"A32142"</definedName>
    <definedName name="FDD_88_5" hidden="1">"A32508"</definedName>
    <definedName name="FDD_88_6" hidden="1">"A32873"</definedName>
    <definedName name="FDD_88_7" hidden="1">"A33238"</definedName>
    <definedName name="FDD_88_8" hidden="1">"A33603"</definedName>
    <definedName name="FDD_88_9" hidden="1">"A33969"</definedName>
    <definedName name="FDD_89_0" hidden="1">"A30681"</definedName>
    <definedName name="FDD_89_1" hidden="1">"A31047"</definedName>
    <definedName name="FDD_89_10" hidden="1">"A34334"</definedName>
    <definedName name="FDD_89_11" hidden="1">"A34699"</definedName>
    <definedName name="FDD_89_12" hidden="1">"A35064"</definedName>
    <definedName name="FDD_89_13" hidden="1">"A35430"</definedName>
    <definedName name="FDD_89_14" hidden="1">"A35795"</definedName>
    <definedName name="FDD_89_2" hidden="1">"A31412"</definedName>
    <definedName name="FDD_89_3" hidden="1">"A31777"</definedName>
    <definedName name="FDD_89_4" hidden="1">"A32142"</definedName>
    <definedName name="FDD_89_5" hidden="1">"A32508"</definedName>
    <definedName name="FDD_89_6" hidden="1">"A32873"</definedName>
    <definedName name="FDD_89_7" hidden="1">"A33238"</definedName>
    <definedName name="FDD_89_8" hidden="1">"A33603"</definedName>
    <definedName name="FDD_89_9" hidden="1">"A33969"</definedName>
    <definedName name="FDD_9_0" hidden="1">"A25569"</definedName>
    <definedName name="FDD_90_0" hidden="1">"A30681"</definedName>
    <definedName name="FDD_90_1" hidden="1">"A31047"</definedName>
    <definedName name="FDD_90_10" hidden="1">"A34334"</definedName>
    <definedName name="FDD_90_11" hidden="1">"A34699"</definedName>
    <definedName name="FDD_90_12" hidden="1">"A35064"</definedName>
    <definedName name="FDD_90_13" hidden="1">"A35430"</definedName>
    <definedName name="FDD_90_14" hidden="1">"A35795"</definedName>
    <definedName name="FDD_90_2" hidden="1">"A31412"</definedName>
    <definedName name="FDD_90_3" hidden="1">"A31777"</definedName>
    <definedName name="FDD_90_4" hidden="1">"A32142"</definedName>
    <definedName name="FDD_90_5" hidden="1">"A32508"</definedName>
    <definedName name="FDD_90_6" hidden="1">"A32873"</definedName>
    <definedName name="FDD_90_7" hidden="1">"A33238"</definedName>
    <definedName name="FDD_90_8" hidden="1">"A33603"</definedName>
    <definedName name="FDD_90_9" hidden="1">"A33969"</definedName>
    <definedName name="FDD_91_0" hidden="1">"A30681"</definedName>
    <definedName name="FDD_91_1" hidden="1">"A31047"</definedName>
    <definedName name="FDD_91_10" hidden="1">"A34334"</definedName>
    <definedName name="FDD_91_11" hidden="1">"A34699"</definedName>
    <definedName name="FDD_91_12" hidden="1">"A35064"</definedName>
    <definedName name="FDD_91_13" hidden="1">"A35430"</definedName>
    <definedName name="FDD_91_14" hidden="1">"A35795"</definedName>
    <definedName name="FDD_91_2" hidden="1">"A31412"</definedName>
    <definedName name="FDD_91_3" hidden="1">"A31777"</definedName>
    <definedName name="FDD_91_4" hidden="1">"A32142"</definedName>
    <definedName name="FDD_91_5" hidden="1">"A32508"</definedName>
    <definedName name="FDD_91_6" hidden="1">"A32873"</definedName>
    <definedName name="FDD_91_7" hidden="1">"A33238"</definedName>
    <definedName name="FDD_91_8" hidden="1">"A33603"</definedName>
    <definedName name="FDD_91_9" hidden="1">"A33969"</definedName>
    <definedName name="FDD_92_0" hidden="1">"A30681"</definedName>
    <definedName name="FDD_92_1" hidden="1">"A31047"</definedName>
    <definedName name="FDD_92_10" hidden="1">"A34334"</definedName>
    <definedName name="FDD_92_11" hidden="1">"A34699"</definedName>
    <definedName name="FDD_92_12" hidden="1">"A35064"</definedName>
    <definedName name="FDD_92_13" hidden="1">"A35430"</definedName>
    <definedName name="FDD_92_14" hidden="1">"A35795"</definedName>
    <definedName name="FDD_92_2" hidden="1">"A31412"</definedName>
    <definedName name="FDD_92_3" hidden="1">"A31777"</definedName>
    <definedName name="FDD_92_4" hidden="1">"A32142"</definedName>
    <definedName name="FDD_92_5" hidden="1">"A32508"</definedName>
    <definedName name="FDD_92_6" hidden="1">"A32873"</definedName>
    <definedName name="FDD_92_7" hidden="1">"A33238"</definedName>
    <definedName name="FDD_92_8" hidden="1">"A33603"</definedName>
    <definedName name="FDD_92_9" hidden="1">"A33969"</definedName>
    <definedName name="FDD_93_0" hidden="1">"A30681"</definedName>
    <definedName name="FDD_93_1" hidden="1">"A31047"</definedName>
    <definedName name="FDD_93_10" hidden="1">"A34334"</definedName>
    <definedName name="FDD_93_11" hidden="1">"A34699"</definedName>
    <definedName name="FDD_93_12" hidden="1">"A35064"</definedName>
    <definedName name="FDD_93_13" hidden="1">"A35430"</definedName>
    <definedName name="FDD_93_14" hidden="1">"A35795"</definedName>
    <definedName name="FDD_93_2" hidden="1">"A31412"</definedName>
    <definedName name="FDD_93_3" hidden="1">"A31777"</definedName>
    <definedName name="FDD_93_4" hidden="1">"A32142"</definedName>
    <definedName name="FDD_93_5" hidden="1">"A32508"</definedName>
    <definedName name="FDD_93_6" hidden="1">"A32873"</definedName>
    <definedName name="FDD_93_7" hidden="1">"A33238"</definedName>
    <definedName name="FDD_93_8" hidden="1">"A33603"</definedName>
    <definedName name="FDD_93_9" hidden="1">"A33969"</definedName>
    <definedName name="FDD_94_0" hidden="1">"A30681"</definedName>
    <definedName name="FDD_94_1" hidden="1">"A31047"</definedName>
    <definedName name="FDD_94_10" hidden="1">"A34334"</definedName>
    <definedName name="FDD_94_11" hidden="1">"A34699"</definedName>
    <definedName name="FDD_94_12" hidden="1">"A35064"</definedName>
    <definedName name="FDD_94_13" hidden="1">"A35430"</definedName>
    <definedName name="FDD_94_14" hidden="1">"A35795"</definedName>
    <definedName name="FDD_94_2" hidden="1">"A31412"</definedName>
    <definedName name="FDD_94_3" hidden="1">"A31777"</definedName>
    <definedName name="FDD_94_4" hidden="1">"A32142"</definedName>
    <definedName name="FDD_94_5" hidden="1">"A32508"</definedName>
    <definedName name="FDD_94_6" hidden="1">"A32873"</definedName>
    <definedName name="FDD_94_7" hidden="1">"A33238"</definedName>
    <definedName name="FDD_94_8" hidden="1">"A33603"</definedName>
    <definedName name="FDD_94_9" hidden="1">"A33969"</definedName>
    <definedName name="FDD_95_0" hidden="1">"A30681"</definedName>
    <definedName name="FDD_95_1" hidden="1">"A31047"</definedName>
    <definedName name="FDD_95_10" hidden="1">"A34334"</definedName>
    <definedName name="FDD_95_11" hidden="1">"A34699"</definedName>
    <definedName name="FDD_95_12" hidden="1">"A35064"</definedName>
    <definedName name="FDD_95_13" hidden="1">"A35430"</definedName>
    <definedName name="FDD_95_14" hidden="1">"A35795"</definedName>
    <definedName name="FDD_95_2" hidden="1">"A31412"</definedName>
    <definedName name="FDD_95_3" hidden="1">"A31777"</definedName>
    <definedName name="FDD_95_4" hidden="1">"A32142"</definedName>
    <definedName name="FDD_95_5" hidden="1">"A32508"</definedName>
    <definedName name="FDD_95_6" hidden="1">"A32873"</definedName>
    <definedName name="FDD_95_7" hidden="1">"A33238"</definedName>
    <definedName name="FDD_95_8" hidden="1">"A33603"</definedName>
    <definedName name="FDD_95_9" hidden="1">"A33969"</definedName>
    <definedName name="FDD_96_0" hidden="1">"U30681"</definedName>
    <definedName name="FDD_96_1" hidden="1">"A31047"</definedName>
    <definedName name="FDD_96_10" hidden="1">"A34334"</definedName>
    <definedName name="FDD_96_11" hidden="1">"A34699"</definedName>
    <definedName name="FDD_96_12" hidden="1">"A35064"</definedName>
    <definedName name="FDD_96_13" hidden="1">"A35430"</definedName>
    <definedName name="FDD_96_14" hidden="1">"A35795"</definedName>
    <definedName name="FDD_96_2" hidden="1">"A31412"</definedName>
    <definedName name="FDD_96_3" hidden="1">"A31777"</definedName>
    <definedName name="FDD_96_4" hidden="1">"A32142"</definedName>
    <definedName name="FDD_96_5" hidden="1">"A32508"</definedName>
    <definedName name="FDD_96_6" hidden="1">"A32873"</definedName>
    <definedName name="FDD_96_7" hidden="1">"A33238"</definedName>
    <definedName name="FDD_96_8" hidden="1">"A33603"</definedName>
    <definedName name="FDD_96_9" hidden="1">"A33969"</definedName>
    <definedName name="FDD_97_0" hidden="1">"U30681"</definedName>
    <definedName name="FDD_97_1" hidden="1">"A31047"</definedName>
    <definedName name="FDD_97_10" hidden="1">"A34334"</definedName>
    <definedName name="FDD_97_11" hidden="1">"A34699"</definedName>
    <definedName name="FDD_97_12" hidden="1">"A35064"</definedName>
    <definedName name="FDD_97_13" hidden="1">"A35430"</definedName>
    <definedName name="FDD_97_14" hidden="1">"A35795"</definedName>
    <definedName name="FDD_97_2" hidden="1">"A31412"</definedName>
    <definedName name="FDD_97_3" hidden="1">"A31777"</definedName>
    <definedName name="FDD_97_4" hidden="1">"A32142"</definedName>
    <definedName name="FDD_97_5" hidden="1">"A32508"</definedName>
    <definedName name="FDD_97_6" hidden="1">"A32873"</definedName>
    <definedName name="FDD_97_7" hidden="1">"A33238"</definedName>
    <definedName name="FDD_97_8" hidden="1">"A33603"</definedName>
    <definedName name="FDD_97_9" hidden="1">"A33969"</definedName>
    <definedName name="FDD_98_0" hidden="1">"U30681"</definedName>
    <definedName name="FDD_98_1" hidden="1">"A31047"</definedName>
    <definedName name="FDD_98_10" hidden="1">"A34334"</definedName>
    <definedName name="FDD_98_11" hidden="1">"A34699"</definedName>
    <definedName name="FDD_98_12" hidden="1">"A35064"</definedName>
    <definedName name="FDD_98_13" hidden="1">"A35430"</definedName>
    <definedName name="FDD_98_14" hidden="1">"A35795"</definedName>
    <definedName name="FDD_98_2" hidden="1">"A31412"</definedName>
    <definedName name="FDD_98_3" hidden="1">"A31777"</definedName>
    <definedName name="FDD_98_4" hidden="1">"A32142"</definedName>
    <definedName name="FDD_98_5" hidden="1">"A32508"</definedName>
    <definedName name="FDD_98_6" hidden="1">"A32873"</definedName>
    <definedName name="FDD_98_7" hidden="1">"A33238"</definedName>
    <definedName name="FDD_98_8" hidden="1">"A33603"</definedName>
    <definedName name="FDD_98_9" hidden="1">"A33969"</definedName>
    <definedName name="FDD_99_0" hidden="1">"U30681"</definedName>
    <definedName name="FDD_99_1" hidden="1">"A31047"</definedName>
    <definedName name="FDD_99_10" hidden="1">"A34334"</definedName>
    <definedName name="FDD_99_11" hidden="1">"A34699"</definedName>
    <definedName name="FDD_99_12" hidden="1">"A35064"</definedName>
    <definedName name="FDD_99_13" hidden="1">"A35430"</definedName>
    <definedName name="FDD_99_14" hidden="1">"A35795"</definedName>
    <definedName name="FDD_99_2" hidden="1">"A31412"</definedName>
    <definedName name="FDD_99_3" hidden="1">"A31777"</definedName>
    <definedName name="FDD_99_4" hidden="1">"A32142"</definedName>
    <definedName name="FDD_99_5" hidden="1">"A32508"</definedName>
    <definedName name="FDD_99_6" hidden="1">"A32873"</definedName>
    <definedName name="FDD_99_7" hidden="1">"A33238"</definedName>
    <definedName name="FDD_99_8" hidden="1">"A33603"</definedName>
    <definedName name="FDD_99_9" hidden="1">"A33969"</definedName>
    <definedName name="fddddddddddddddd" localSheetId="8" hidden="1">{#N/A,#N/A,FALSE,"Assessment";#N/A,#N/A,FALSE,"Staffing";#N/A,#N/A,FALSE,"Hires";#N/A,#N/A,FALSE,"Assumptions"}</definedName>
    <definedName name="fddddddddddddddd" hidden="1">{#N/A,#N/A,FALSE,"Assessment";#N/A,#N/A,FALSE,"Staffing";#N/A,#N/A,FALSE,"Hires";#N/A,#N/A,FALSE,"Assumptions"}</definedName>
    <definedName name="fdef" localSheetId="8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fdef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FDFD" localSheetId="7" hidden="1">{#N/A,#N/A,FALSE,"Pharm";#N/A,#N/A,FALSE,"WWCM"}</definedName>
    <definedName name="FDFD" localSheetId="8" hidden="1">{#N/A,#N/A,FALSE,"Pharm";#N/A,#N/A,FALSE,"WWCM"}</definedName>
    <definedName name="FDFD" hidden="1">{#N/A,#N/A,FALSE,"Pharm";#N/A,#N/A,FALSE,"WWCM"}</definedName>
    <definedName name="fdfgdgdfgfdg" localSheetId="8" hidden="1">{"comp",#N/A,FALSE,"SPEC";"footnotes",#N/A,FALSE,"SPEC"}</definedName>
    <definedName name="fdfgdgdfgfdg" hidden="1">{"comp",#N/A,FALSE,"SPEC";"footnotes",#N/A,FALSE,"SPEC"}</definedName>
    <definedName name="fdfgdgdfgfdg_1" localSheetId="8" hidden="1">{"comp",#N/A,FALSE,"SPEC";"footnotes",#N/A,FALSE,"SPEC"}</definedName>
    <definedName name="fdfgdgdfgfdg_1" hidden="1">{"comp",#N/A,FALSE,"SPEC";"footnotes",#N/A,FALSE,"SPEC"}</definedName>
    <definedName name="fdg" localSheetId="8" hidden="1">{"comps",#N/A,FALSE,"comps";"notes",#N/A,FALSE,"comps"}</definedName>
    <definedName name="fdg" hidden="1">{"comps",#N/A,FALSE,"comps";"notes",#N/A,FALSE,"comps"}</definedName>
    <definedName name="fdg_1" localSheetId="8" hidden="1">{"comps",#N/A,FALSE,"comps";"notes",#N/A,FALSE,"comps"}</definedName>
    <definedName name="fdg_1" hidden="1">{"comps",#N/A,FALSE,"comps";"notes",#N/A,FALSE,"comps"}</definedName>
    <definedName name="fdgdfgfdgf" localSheetId="8" hidden="1">{#N/A,#N/A,FALSE,"Produkte Erw.";#N/A,#N/A,FALSE,"Produkte Plan";#N/A,#N/A,FALSE,"Leistungen Erw.";#N/A,#N/A,FALSE,"Leistungen Plan";#N/A,#N/A,FALSE,"KA Allg.Kosten (2)";#N/A,#N/A,FALSE,"KA All.Kosten"}</definedName>
    <definedName name="fdgdfgfdgf" hidden="1">{#N/A,#N/A,FALSE,"Produkte Erw.";#N/A,#N/A,FALSE,"Produkte Plan";#N/A,#N/A,FALSE,"Leistungen Erw.";#N/A,#N/A,FALSE,"Leistungen Plan";#N/A,#N/A,FALSE,"KA Allg.Kosten (2)";#N/A,#N/A,FALSE,"KA All.Kosten"}</definedName>
    <definedName name="fdgfdg" localSheetId="8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fdgfdg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fdgfdgfdgfdg" localSheetId="8" hidden="1">{#N/A,#N/A,FALSE,"KA CH  (2)"}</definedName>
    <definedName name="fdgfdgfdgfdg" hidden="1">{#N/A,#N/A,FALSE,"KA CH  (2)"}</definedName>
    <definedName name="fdgfdgsdgsdgs" localSheetId="8" hidden="1">{#N/A,#N/A,FALSE,"KA CH  (2)"}</definedName>
    <definedName name="fdgfdgsdgsdgs" hidden="1">{#N/A,#N/A,FALSE,"KA CH  (2)"}</definedName>
    <definedName name="FDGG" hidden="1">{#N/A,#N/A,FALSE,"CA";#N/A,#N/A,FALSE,"CN";#N/A,#N/A,FALSE,"Inv";#N/A,#N/A,FALSE,"Inv Acc";"Miguel_balance",#N/A,FALSE,"Bal";#N/A,#N/A,FALSE,"Plantilla";#N/A,#N/A,FALSE,"CA (2)";#N/A,#N/A,FALSE,"CN (2)"}</definedName>
    <definedName name="fdhdftzertzertzt" localSheetId="8" hidden="1">{#N/A,#N/A,FALSE,"USCSS ROLLUP";#N/A,#N/A,FALSE,"USCS";#N/A,#N/A,FALSE,"TARGET";#N/A,#N/A,FALSE,"MICROSOFT";#N/A,#N/A,FALSE,"AT&amp;T";#N/A,#N/A,FALSE,"ALT CHANNELS";#N/A,#N/A,FALSE,"USCS HQ"}</definedName>
    <definedName name="fdhdftzertzertzt" hidden="1">{#N/A,#N/A,FALSE,"USCSS ROLLUP";#N/A,#N/A,FALSE,"USCS";#N/A,#N/A,FALSE,"TARGET";#N/A,#N/A,FALSE,"MICROSOFT";#N/A,#N/A,FALSE,"AT&amp;T";#N/A,#N/A,FALSE,"ALT CHANNELS";#N/A,#N/A,FALSE,"USCS HQ"}</definedName>
    <definedName name="fdhfdh" localSheetId="8" hidden="1">{"First Page",#N/A,FALSE,"Surfactants LBO";"Second Page",#N/A,FALSE,"Surfactants LBO"}</definedName>
    <definedName name="fdhfdh" hidden="1">{"First Page",#N/A,FALSE,"Surfactants LBO";"Second Page",#N/A,FALSE,"Surfactants LBO"}</definedName>
    <definedName name="fdhfdh_1" localSheetId="8" hidden="1">{"First Page",#N/A,FALSE,"Surfactants LBO";"Second Page",#N/A,FALSE,"Surfactants LBO"}</definedName>
    <definedName name="fdhfdh_1" hidden="1">{"First Page",#N/A,FALSE,"Surfactants LBO";"Second Page",#N/A,FALSE,"Surfactants LBO"}</definedName>
    <definedName name="FDHFDHHG" localSheetId="8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FDHFDHHG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FDHFDHHG_1" localSheetId="8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FDHFDHHG_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fdhfghfdh" localSheetId="8" hidden="1">{"First Page",#N/A,FALSE,"Surfactants LBO";"Second Page",#N/A,FALSE,"Surfactants LBO"}</definedName>
    <definedName name="fdhfghfdh" hidden="1">{"First Page",#N/A,FALSE,"Surfactants LBO";"Second Page",#N/A,FALSE,"Surfactants LBO"}</definedName>
    <definedName name="fdhfghfdh_1" localSheetId="8" hidden="1">{"First Page",#N/A,FALSE,"Surfactants LBO";"Second Page",#N/A,FALSE,"Surfactants LBO"}</definedName>
    <definedName name="fdhfghfdh_1" hidden="1">{"First Page",#N/A,FALSE,"Surfactants LBO";"Second Page",#N/A,FALSE,"Surfactants LBO"}</definedName>
    <definedName name="fdhhfhfgh" localSheetId="8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fdhhfhfgh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fdhhfhfgh_1" localSheetId="8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fdhhfhfgh_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fdjuy" localSheetId="8" hidden="1">{#N/A,#N/A,FALSE,"SMT1";#N/A,#N/A,FALSE,"SMT2";#N/A,#N/A,FALSE,"Summary";#N/A,#N/A,FALSE,"Graphs";#N/A,#N/A,FALSE,"4 Panel"}</definedName>
    <definedName name="fdjuy" hidden="1">{#N/A,#N/A,FALSE,"SMT1";#N/A,#N/A,FALSE,"SMT2";#N/A,#N/A,FALSE,"Summary";#N/A,#N/A,FALSE,"Graphs";#N/A,#N/A,FALSE,"4 Panel"}</definedName>
    <definedName name="fdlkfdw" localSheetId="8" hidden="1">{"Res_010",#N/A,FALSE,"Res_010";"sum1",#N/A,FALSE,"Res_010"}</definedName>
    <definedName name="fdlkfdw" hidden="1">{"Res_010",#N/A,FALSE,"Res_010";"sum1",#N/A,FALSE,"Res_010"}</definedName>
    <definedName name="fdnd" localSheetId="8" hidden="1">{#N/A,#N/A,FALSE,"Assessment";#N/A,#N/A,FALSE,"Staffing";#N/A,#N/A,FALSE,"Hires";#N/A,#N/A,FALSE,"Assumptions"}</definedName>
    <definedName name="fdnd" hidden="1">{#N/A,#N/A,FALSE,"Assessment";#N/A,#N/A,FALSE,"Staffing";#N/A,#N/A,FALSE,"Hires";#N/A,#N/A,FALSE,"Assumptions"}</definedName>
    <definedName name="fdnfd" localSheetId="8" hidden="1">{#N/A,#N/A,FALSE,"Assessment";#N/A,#N/A,FALSE,"Staffing";#N/A,#N/A,FALSE,"Hires";#N/A,#N/A,FALSE,"Assumptions"}</definedName>
    <definedName name="fdnfd" hidden="1">{#N/A,#N/A,FALSE,"Assessment";#N/A,#N/A,FALSE,"Staffing";#N/A,#N/A,FALSE,"Hires";#N/A,#N/A,FALSE,"Assumptions"}</definedName>
    <definedName name="fdnfdn" localSheetId="8" hidden="1">{#N/A,#N/A,FALSE,"Assessment";#N/A,#N/A,FALSE,"Staffing";#N/A,#N/A,FALSE,"Hires";#N/A,#N/A,FALSE,"Assumptions"}</definedName>
    <definedName name="fdnfdn" hidden="1">{#N/A,#N/A,FALSE,"Assessment";#N/A,#N/A,FALSE,"Staffing";#N/A,#N/A,FALSE,"Hires";#N/A,#N/A,FALSE,"Assumptions"}</definedName>
    <definedName name="fdold" localSheetId="8" hidden="1">{"'100'!$A$1:$M$83"}</definedName>
    <definedName name="fdold" hidden="1">{"'100'!$A$1:$M$83"}</definedName>
    <definedName name="FDP_0_1_aUrv" localSheetId="7" hidden="1">#REF!</definedName>
    <definedName name="FDP_0_1_aUrv" localSheetId="8" hidden="1">#REF!</definedName>
    <definedName name="FDP_0_1_aUrv" hidden="1">#REF!</definedName>
    <definedName name="FDP_1_1_dUrv" localSheetId="7" hidden="1">#REF!</definedName>
    <definedName name="FDP_1_1_dUrv" localSheetId="8" hidden="1">#REF!</definedName>
    <definedName name="FDP_1_1_dUrv" hidden="1">#REF!</definedName>
    <definedName name="FDP_10_1_aUrv" hidden="1">#REF!</definedName>
    <definedName name="FDP_100_1_aUrv" hidden="1">#REF!</definedName>
    <definedName name="FDP_101_1_aUrv" hidden="1">#REF!</definedName>
    <definedName name="FDP_102_1_aUrv" hidden="1">#REF!</definedName>
    <definedName name="FDP_103_1_aUrv" hidden="1">#REF!</definedName>
    <definedName name="FDP_104_1_aDrv" hidden="1">#REF!</definedName>
    <definedName name="FDP_105_1_aUrv" hidden="1">#REF!</definedName>
    <definedName name="FDP_106_1_aUrv" hidden="1">#REF!</definedName>
    <definedName name="FDP_107_1_aUrv" hidden="1">#REF!</definedName>
    <definedName name="FDP_108_1_aDrv" hidden="1">#REF!</definedName>
    <definedName name="FDP_109_1_aDrv" hidden="1">#REF!</definedName>
    <definedName name="FDP_11_1_aUrv" hidden="1">#REF!</definedName>
    <definedName name="FDP_110_1_aDrv" hidden="1">#REF!</definedName>
    <definedName name="FDP_111_1_aDrv" hidden="1">#REF!</definedName>
    <definedName name="FDP_112_1_aUrv" hidden="1">#REF!</definedName>
    <definedName name="FDP_113_1_aUrv" hidden="1">#REF!</definedName>
    <definedName name="FDP_114_1_aUrv" hidden="1">#REF!</definedName>
    <definedName name="FDP_115_1_aUrv" hidden="1">#REF!</definedName>
    <definedName name="FDP_116_1_aDrv" hidden="1">#REF!</definedName>
    <definedName name="FDP_117_1_aSrv" hidden="1">#REF!</definedName>
    <definedName name="FDP_118_1_aDrv" hidden="1">#REF!</definedName>
    <definedName name="FDP_119_1_aUrv" hidden="1">#REF!</definedName>
    <definedName name="FDP_12_1_aUrv" hidden="1">#REF!</definedName>
    <definedName name="FDP_120_1_aUrv" hidden="1">#REF!</definedName>
    <definedName name="FDP_121_1_aUrv" hidden="1">#REF!</definedName>
    <definedName name="FDP_122_1_aUrv" hidden="1">#REF!</definedName>
    <definedName name="FDP_123_1_aUrv" hidden="1">#REF!</definedName>
    <definedName name="FDP_124_1_aUrv" hidden="1">#REF!</definedName>
    <definedName name="FDP_125_1_aDrv" hidden="1">#REF!</definedName>
    <definedName name="FDP_126_1_aUrv" hidden="1">#REF!</definedName>
    <definedName name="FDP_127_1_aSrv" hidden="1">#REF!</definedName>
    <definedName name="FDP_128_1_aSrv" hidden="1">#REF!</definedName>
    <definedName name="FDP_129_1_aUrv" hidden="1">#REF!</definedName>
    <definedName name="FDP_13_1_aUrv" hidden="1">#REF!</definedName>
    <definedName name="FDP_130_1_aUrv" hidden="1">#REF!</definedName>
    <definedName name="FDP_131_1_aUrv" hidden="1">#REF!</definedName>
    <definedName name="FDP_132_1_aSrv" hidden="1">#REF!</definedName>
    <definedName name="FDP_133_1_aSrv" hidden="1">#REF!</definedName>
    <definedName name="FDP_14_1_aUrv" hidden="1">#REF!</definedName>
    <definedName name="FDP_15_1_aDrv" hidden="1">#REF!</definedName>
    <definedName name="FDP_16_1_aUrv" hidden="1">#REF!</definedName>
    <definedName name="FDP_17_1_aUrv" hidden="1">#REF!</definedName>
    <definedName name="FDP_18_1_aUrv" hidden="1">#REF!</definedName>
    <definedName name="FDP_19_1_aUrv" hidden="1">#REF!</definedName>
    <definedName name="FDP_2_1_aUrv" hidden="1">#REF!</definedName>
    <definedName name="FDP_20_1_aUrv" hidden="1">#REF!</definedName>
    <definedName name="FDP_21_1_aUrv" hidden="1">#REF!</definedName>
    <definedName name="FDP_22_1_aUrv" hidden="1">#REF!</definedName>
    <definedName name="FDP_23_1_aUrv" hidden="1">#REF!</definedName>
    <definedName name="FDP_24_1_aUrv" hidden="1">#REF!</definedName>
    <definedName name="FDP_25_1_aUrv" hidden="1">#REF!</definedName>
    <definedName name="FDP_26_1_aUrv" hidden="1">#REF!</definedName>
    <definedName name="FDP_27_1_aUrv" hidden="1">#REF!</definedName>
    <definedName name="FDP_28_1_aUrv" hidden="1">#REF!</definedName>
    <definedName name="FDP_29_1_aUrv" hidden="1">#REF!</definedName>
    <definedName name="FDP_3_1_aUrv" hidden="1">#REF!</definedName>
    <definedName name="FDP_30_1_aUrv" hidden="1">#REF!</definedName>
    <definedName name="FDP_31_1_aUrv" hidden="1">#REF!</definedName>
    <definedName name="FDP_32_1_aUrv" hidden="1">#REF!</definedName>
    <definedName name="FDP_33_1_aUrv" hidden="1">#REF!</definedName>
    <definedName name="FDP_34_1_aUrv" hidden="1">#REF!</definedName>
    <definedName name="FDP_35_1_aDrv" hidden="1">#REF!</definedName>
    <definedName name="FDP_36_1_aDrv" hidden="1">#REF!</definedName>
    <definedName name="FDP_37_1_aDrv" hidden="1">#REF!</definedName>
    <definedName name="FDP_38_1_aDrv" hidden="1">#REF!</definedName>
    <definedName name="FDP_39_1_aDrv" hidden="1">#REF!</definedName>
    <definedName name="FDP_4_1_aUrv" hidden="1">#REF!</definedName>
    <definedName name="FDP_40_1_aDrv" hidden="1">#REF!</definedName>
    <definedName name="FDP_41_1_aUrv" hidden="1">#REF!</definedName>
    <definedName name="FDP_42_1_aUrv" hidden="1">#REF!</definedName>
    <definedName name="FDP_43_1_aUrv" hidden="1">#REF!</definedName>
    <definedName name="FDP_44_1_aSrv" hidden="1">#REF!</definedName>
    <definedName name="FDP_45_1_aSrv" hidden="1">#REF!</definedName>
    <definedName name="FDP_46_1_aUrv" hidden="1">#REF!</definedName>
    <definedName name="FDP_47_1_aSrv" hidden="1">#REF!</definedName>
    <definedName name="FDP_48_1_aSrv" hidden="1">#REF!</definedName>
    <definedName name="FDP_49_1_aSrv" hidden="1">#REF!</definedName>
    <definedName name="FDP_5_1_aUrv" hidden="1">#REF!</definedName>
    <definedName name="FDP_50_1_aSrv" hidden="1">#REF!</definedName>
    <definedName name="FDP_51_1_aSrv" hidden="1">#REF!</definedName>
    <definedName name="FDP_52_1_aSrv" hidden="1">#REF!</definedName>
    <definedName name="FDP_53_1_aSrv" hidden="1">#REF!</definedName>
    <definedName name="FDP_54_1_aSrv" hidden="1">#REF!</definedName>
    <definedName name="FDP_55_1_aSrv" hidden="1">#REF!</definedName>
    <definedName name="FDP_56_1_aUrv" hidden="1">#REF!</definedName>
    <definedName name="FDP_57_1_aUrv" hidden="1">#REF!</definedName>
    <definedName name="FDP_58_1_aDrv" hidden="1">#REF!</definedName>
    <definedName name="FDP_59_1_aUrv" hidden="1">#REF!</definedName>
    <definedName name="FDP_6_1_aUrv" hidden="1">#REF!</definedName>
    <definedName name="FDP_60_1_aUrv" hidden="1">#REF!</definedName>
    <definedName name="FDP_61_1_aUrv" hidden="1">#REF!</definedName>
    <definedName name="FDP_62_1_aUrv" hidden="1">#REF!</definedName>
    <definedName name="FDP_63_1_aUrv" hidden="1">#REF!</definedName>
    <definedName name="FDP_64_1_aUrv" hidden="1">#REF!</definedName>
    <definedName name="FDP_65_1_aUrv" hidden="1">#REF!</definedName>
    <definedName name="FDP_66_1_aUrv" hidden="1">#REF!</definedName>
    <definedName name="FDP_67_1_aUdv" hidden="1">#REF!</definedName>
    <definedName name="FDP_68_1_aUdv" hidden="1">#REF!</definedName>
    <definedName name="FDP_68_1_dUdv" hidden="1">#REF!</definedName>
    <definedName name="FDP_69_1_aUrv" hidden="1">#REF!</definedName>
    <definedName name="FDP_7_1_aUrv" hidden="1">#REF!</definedName>
    <definedName name="FDP_70_1_aUrv" hidden="1">#REF!</definedName>
    <definedName name="FDP_70_1_rUrv" hidden="1">#REF!</definedName>
    <definedName name="FDP_71_1_aUrv" hidden="1">#REF!</definedName>
    <definedName name="FDP_72_1_aUrv" hidden="1">#REF!</definedName>
    <definedName name="FDP_73_1_aUrv" hidden="1">#REF!</definedName>
    <definedName name="FDP_74_1_aUrv" hidden="1">#REF!</definedName>
    <definedName name="FDP_75_1_aUrv" hidden="1">#REF!</definedName>
    <definedName name="FDP_76_1_aUrv" hidden="1">#REF!</definedName>
    <definedName name="FDP_77_1_aUrv" hidden="1">#REF!</definedName>
    <definedName name="FDP_78_1_aUrv" hidden="1">#REF!</definedName>
    <definedName name="FDP_79_1_aUrv" hidden="1">#REF!</definedName>
    <definedName name="FDP_8_1_aUrv" hidden="1">#REF!</definedName>
    <definedName name="FDP_80_1_aUrv" hidden="1">#REF!</definedName>
    <definedName name="FDP_81_1_aUrv" hidden="1">#REF!</definedName>
    <definedName name="FDP_82_1_aUrv" hidden="1">#REF!</definedName>
    <definedName name="FDP_83_1_aUrv" hidden="1">#REF!</definedName>
    <definedName name="FDP_84_1_aUrv" hidden="1">#REF!</definedName>
    <definedName name="FDP_85_1_aUrv" hidden="1">#REF!</definedName>
    <definedName name="FDP_86_1_aUrv" hidden="1">#REF!</definedName>
    <definedName name="FDP_87_1_aUrv" hidden="1">#REF!</definedName>
    <definedName name="FDP_88_1_aUrv" hidden="1">#REF!</definedName>
    <definedName name="FDP_89_1_aUrv" hidden="1">#REF!</definedName>
    <definedName name="FDP_9_1_aUrv" hidden="1">#REF!</definedName>
    <definedName name="FDP_90_1_aUrv" hidden="1">#REF!</definedName>
    <definedName name="FDP_91_1_aUrv" hidden="1">#REF!</definedName>
    <definedName name="FDP_92_1_aUrv" hidden="1">#REF!</definedName>
    <definedName name="FDP_93_1_aUrv" hidden="1">#REF!</definedName>
    <definedName name="FDP_94_1_aSrv" hidden="1">#REF!</definedName>
    <definedName name="FDP_95_1_aSrv" hidden="1">#REF!</definedName>
    <definedName name="FDP_96_1_aSrv" hidden="1">#REF!</definedName>
    <definedName name="FDP_97_1_aSrv" hidden="1">#REF!</definedName>
    <definedName name="FDP_98_1_aSrv" hidden="1">#REF!</definedName>
    <definedName name="FDP_99_1_aSrv" hidden="1">#REF!</definedName>
    <definedName name="FDQ" localSheetId="8" hidden="1">{"detail",#N/A,FALSE,"mfg";"summary",#N/A,FALSE,"mfg"}</definedName>
    <definedName name="FDQ" hidden="1">{"detail",#N/A,FALSE,"mfg";"summary",#N/A,FALSE,"mfg"}</definedName>
    <definedName name="fds" localSheetId="7" hidden="1">{#N/A,#N/A,FALSE,"Pharm";#N/A,#N/A,FALSE,"WWCM"}</definedName>
    <definedName name="fds" localSheetId="8" hidden="1">{#N/A,#N/A,FALSE,"Pharm";#N/A,#N/A,FALSE,"WWCM"}</definedName>
    <definedName name="fds" hidden="1">{#N/A,#N/A,FALSE,"Pharm";#N/A,#N/A,FALSE,"WWCM"}</definedName>
    <definedName name="fds_1" localSheetId="8" hidden="1">{"comps",#N/A,FALSE,"comps";"notes",#N/A,FALSE,"comps"}</definedName>
    <definedName name="fds_1" hidden="1">{"comps",#N/A,FALSE,"comps";"notes",#N/A,FALSE,"comps"}</definedName>
    <definedName name="fds_new" localSheetId="8" hidden="1">{#N/A,#N/A,FALSE,"Cover";#N/A,#N/A,FALSE,"OFF";#N/A,#N/A,FALSE," ON";#N/A,#N/A,FALSE,"SUM";#N/A,#N/A,FALSE,"VPOP-POP"}</definedName>
    <definedName name="fds_new" hidden="1">{#N/A,#N/A,FALSE,"Cover";#N/A,#N/A,FALSE,"OFF";#N/A,#N/A,FALSE," ON";#N/A,#N/A,FALSE,"SUM";#N/A,#N/A,FALSE,"VPOP-POP"}</definedName>
    <definedName name="fdsa" localSheetId="8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fdsa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FDSAFSA" localSheetId="8" hidden="1">#REF!</definedName>
    <definedName name="FDSAFSA" hidden="1">#REF!</definedName>
    <definedName name="fdsd" localSheetId="8" hidden="1">{"AS",#N/A,FALSE,"Dec_BS";"LIAB",#N/A,FALSE,"Dec_BS"}</definedName>
    <definedName name="fdsd" hidden="1">{"AS",#N/A,FALSE,"Dec_BS";"LIAB",#N/A,FALSE,"Dec_BS"}</definedName>
    <definedName name="fdsf" localSheetId="8" hidden="1">{"general",#N/A,FALSE,"Assumptions"}</definedName>
    <definedName name="fdsf" hidden="1">{"general",#N/A,FALSE,"Assumptions"}</definedName>
    <definedName name="fdsf_1" localSheetId="8" hidden="1">{"general",#N/A,FALSE,"Assumptions"}</definedName>
    <definedName name="fdsf_1" hidden="1">{"general",#N/A,FALSE,"Assumptions"}</definedName>
    <definedName name="fdsf2" localSheetId="8" hidden="1">{"general",#N/A,FALSE,"Assumptions"}</definedName>
    <definedName name="fdsf2" hidden="1">{"general",#N/A,FALSE,"Assumptions"}</definedName>
    <definedName name="fdsf2_1" localSheetId="8" hidden="1">{"general",#N/A,FALSE,"Assumptions"}</definedName>
    <definedName name="fdsf2_1" hidden="1">{"general",#N/A,FALSE,"Assumptions"}</definedName>
    <definedName name="fdsfsdf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fe" localSheetId="8" hidden="1">{"up stand alones",#N/A,FALSE,"Acquiror"}</definedName>
    <definedName name="fe" hidden="1">{"up stand alones",#N/A,FALSE,"Acquiror"}</definedName>
    <definedName name="fe_1" localSheetId="8" hidden="1">{"up stand alones",#N/A,FALSE,"Acquiror"}</definedName>
    <definedName name="fe_1" hidden="1">{"up stand alones",#N/A,FALSE,"Acquiror"}</definedName>
    <definedName name="fef" localSheetId="8" hidden="1">{"werbung",#N/A,FALSE,"GuV9900-0399";"betrieb",#N/A,FALSE,"GuV9900-0399";"personal",#N/A,FALSE,"GuV9900-0399";"tvg",#N/A,FALSE,"GuV9900-0399";"verwaltung",#N/A,FALSE,"GuV9900-0399"}</definedName>
    <definedName name="fef" hidden="1">{"werbung",#N/A,FALSE,"GuV9900-0399";"betrieb",#N/A,FALSE,"GuV9900-0399";"personal",#N/A,FALSE,"GuV9900-0399";"tvg",#N/A,FALSE,"GuV9900-0399";"verwaltung",#N/A,FALSE,"GuV9900-0399"}</definedName>
    <definedName name="fef_1" localSheetId="8" hidden="1">{"werbung",#N/A,FALSE,"GuV9900-0399";"betrieb",#N/A,FALSE,"GuV9900-0399";"personal",#N/A,FALSE,"GuV9900-0399";"tvg",#N/A,FALSE,"GuV9900-0399";"verwaltung",#N/A,FALSE,"GuV9900-0399"}</definedName>
    <definedName name="fef_1" hidden="1">{"werbung",#N/A,FALSE,"GuV9900-0399";"betrieb",#N/A,FALSE,"GuV9900-0399";"personal",#N/A,FALSE,"GuV9900-0399";"tvg",#N/A,FALSE,"GuV9900-0399";"verwaltung",#N/A,FALSE,"GuV9900-0399"}</definedName>
    <definedName name="femsif" localSheetId="8" hidden="1">{"werbung",#N/A,FALSE,"GuV9900-0399";"betrieb",#N/A,FALSE,"GuV9900-0399";"personal",#N/A,FALSE,"GuV9900-0399";"tvg",#N/A,FALSE,"GuV9900-0399";"verwaltung",#N/A,FALSE,"GuV9900-0399"}</definedName>
    <definedName name="femsif" hidden="1">{"werbung",#N/A,FALSE,"GuV9900-0399";"betrieb",#N/A,FALSE,"GuV9900-0399";"personal",#N/A,FALSE,"GuV9900-0399";"tvg",#N/A,FALSE,"GuV9900-0399";"verwaltung",#N/A,FALSE,"GuV9900-0399"}</definedName>
    <definedName name="femsif_1" localSheetId="8" hidden="1">{"werbung",#N/A,FALSE,"GuV9900-0399";"betrieb",#N/A,FALSE,"GuV9900-0399";"personal",#N/A,FALSE,"GuV9900-0399";"tvg",#N/A,FALSE,"GuV9900-0399";"verwaltung",#N/A,FALSE,"GuV9900-0399"}</definedName>
    <definedName name="femsif_1" hidden="1">{"werbung",#N/A,FALSE,"GuV9900-0399";"betrieb",#N/A,FALSE,"GuV9900-0399";"personal",#N/A,FALSE,"GuV9900-0399";"tvg",#N/A,FALSE,"GuV9900-0399";"verwaltung",#N/A,FALSE,"GuV9900-0399"}</definedName>
    <definedName name="fesa" localSheetId="8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fesa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fesij" localSheetId="8" hidden="1">{"werbung",#N/A,FALSE,"GuV9900-0399";"betrieb",#N/A,FALSE,"GuV9900-0399";"personal",#N/A,FALSE,"GuV9900-0399";"tvg",#N/A,FALSE,"GuV9900-0399";"verwaltung",#N/A,FALSE,"GuV9900-0399"}</definedName>
    <definedName name="fesij" hidden="1">{"werbung",#N/A,FALSE,"GuV9900-0399";"betrieb",#N/A,FALSE,"GuV9900-0399";"personal",#N/A,FALSE,"GuV9900-0399";"tvg",#N/A,FALSE,"GuV9900-0399";"verwaltung",#N/A,FALSE,"GuV9900-0399"}</definedName>
    <definedName name="fesij_1" localSheetId="8" hidden="1">{"werbung",#N/A,FALSE,"GuV9900-0399";"betrieb",#N/A,FALSE,"GuV9900-0399";"personal",#N/A,FALSE,"GuV9900-0399";"tvg",#N/A,FALSE,"GuV9900-0399";"verwaltung",#N/A,FALSE,"GuV9900-0399"}</definedName>
    <definedName name="fesij_1" hidden="1">{"werbung",#N/A,FALSE,"GuV9900-0399";"betrieb",#N/A,FALSE,"GuV9900-0399";"personal",#N/A,FALSE,"GuV9900-0399";"tvg",#N/A,FALSE,"GuV9900-0399";"verwaltung",#N/A,FALSE,"GuV9900-0399"}</definedName>
    <definedName name="fetr" localSheetId="8" hidden="1">{"BA detail",#N/A,FALSE,"Q3YTD "}</definedName>
    <definedName name="fetr" hidden="1">{"BA detail",#N/A,FALSE,"Q3YTD "}</definedName>
    <definedName name="FEUVERT" localSheetId="8" hidden="1">{"tableau a",#N/A,FALSE,"Feuil3";"tableau b",#N/A,FALSE,"Feuil3"}</definedName>
    <definedName name="FEUVERT" hidden="1">{"tableau a",#N/A,FALSE,"Feuil3";"tableau b",#N/A,FALSE,"Feuil3"}</definedName>
    <definedName name="fewq" localSheetId="8" hidden="1">{"Comp_of_Price_Effect",#N/A,FALSE,"QTRDPVAR"}</definedName>
    <definedName name="fewq" hidden="1">{"Comp_of_Price_Effect",#N/A,FALSE,"QTRDPVAR"}</definedName>
    <definedName name="ff" localSheetId="7" hidden="1">#REF!</definedName>
    <definedName name="ff" localSheetId="8" hidden="1">#REF!</definedName>
    <definedName name="ff" hidden="1">{#N/A,"S 0050 ",TRUE,"Sheet1";#N/A,"S 0130 ",TRUE,"Sheet1";#N/A,"S 0170 ",TRUE,"Sheet1";#N/A,"S 0280 ",TRUE,"Sheet1";#N/A,"S 0310 ",TRUE,"Sheet1";#N/A,"S 0480 ",TRUE,"Sheet1";#N/A,"S 0500 ",TRUE,"Sheet1"}</definedName>
    <definedName name="FF_1" localSheetId="8" hidden="1">{"'DepoFidu Servizio'!$A$1:$F$38","'DepoFidu'!$A$1:$K$31"}</definedName>
    <definedName name="FF_1" hidden="1">{"'DepoFidu Servizio'!$A$1:$F$38","'DepoFidu'!$A$1:$K$31"}</definedName>
    <definedName name="FFASF" localSheetId="8" hidden="1">#REF!</definedName>
    <definedName name="FFASF" hidden="1">#REF!</definedName>
    <definedName name="ffd" localSheetId="8" hidden="1">{#N/A,#N/A,FALSE,"Rohstoffnotierungen";#N/A,#N/A,FALSE,"ER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FFD" hidden="1">{"'RR'!$A$2:$E$81"}</definedName>
    <definedName name="ffdd" localSheetId="8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ffdd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FFE" hidden="1">{"'RR'!$A$2:$E$81"}</definedName>
    <definedName name="fff" localSheetId="7" hidden="1">{#N/A,#N/A,FALSE,"Pharm";#N/A,#N/A,FALSE,"WWCM"}</definedName>
    <definedName name="fff" localSheetId="8" hidden="1">{#N/A,#N/A,FALSE,"Pharm";#N/A,#N/A,FALSE,"WWCM"}</definedName>
    <definedName name="fff" hidden="1">{#N/A,#N/A,FALSE,"CA";#N/A,#N/A,FALSE,"CN";#N/A,#N/A,FALSE,"Inv";#N/A,#N/A,FALSE,"Inv Acc";"Miguel_balance",#N/A,FALSE,"Bal";#N/A,#N/A,FALSE,"Plantilla";#N/A,#N/A,FALSE,"CA (2)";#N/A,#N/A,FALSE,"CN (2)"}</definedName>
    <definedName name="fff_1" localSheetId="8" hidden="1">{#N/A,#N/A,FALSE,"BANNERS";#N/A,#N/A,FALSE,"Market";#N/A,#N/A,FALSE,"Tel Rev";#N/A,#N/A,FALSE,"Revenues IOL";#N/A,#N/A,FALSE,"Invest";#N/A,#N/A,FALSE,"Op Cost1";#N/A,#N/A,FALSE,"Op Cost2";#N/A,#N/A,FALSE,"Oth_&amp;_Tot_Revenues";#N/A,#N/A,FALSE,"Fin Mod";#N/A,#N/A,FALSE,"FinMod_RoW";#N/A,#N/A,FALSE,"P&amp;E Burocrat";#N/A,#N/A,FALSE,"cash flow"}</definedName>
    <definedName name="fff_1" hidden="1">{#N/A,#N/A,FALSE,"BANNERS";#N/A,#N/A,FALSE,"Market";#N/A,#N/A,FALSE,"Tel Rev";#N/A,#N/A,FALSE,"Revenues IOL";#N/A,#N/A,FALSE,"Invest";#N/A,#N/A,FALSE,"Op Cost1";#N/A,#N/A,FALSE,"Op Cost2";#N/A,#N/A,FALSE,"Oth_&amp;_Tot_Revenues";#N/A,#N/A,FALSE,"Fin Mod";#N/A,#N/A,FALSE,"FinMod_RoW";#N/A,#N/A,FALSE,"P&amp;E Burocrat";#N/A,#N/A,FALSE,"cash flow"}</definedName>
    <definedName name="ffff" localSheetId="7" hidden="1">#REF!</definedName>
    <definedName name="ffff" localSheetId="8" hidden="1">#REF!</definedName>
    <definedName name="ffff" hidden="1">#N/A</definedName>
    <definedName name="fffff" localSheetId="8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fffff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fffff_1" localSheetId="8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fffff_1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ffffff" localSheetId="7" hidden="1">{"budget992000 capex",#N/A,FALSE,"Celtel alternative 6"}</definedName>
    <definedName name="ffffff" localSheetId="8" hidden="1">{"budget992000 capex",#N/A,FALSE,"Celtel alternative 6"}</definedName>
    <definedName name="fffffff" localSheetId="7" hidden="1">{#N/A,#N/A,FALSE,"Pharm";#N/A,#N/A,FALSE,"WWCM"}</definedName>
    <definedName name="fffffff" localSheetId="8" hidden="1">{#N/A,#N/A,FALSE,"Pharm";#N/A,#N/A,FALSE,"WWCM"}</definedName>
    <definedName name="fffffff" hidden="1">{#N/A,#N/A,FALSE,"Pharm";#N/A,#N/A,FALSE,"WWCM"}</definedName>
    <definedName name="fffffffff" localSheetId="8" hidden="1">{#N/A,#N/A,FALSE,"Index";#N/A,#N/A,FALSE,"B_S";#N/A,#N/A,FALSE,"P_L";#N/A,#N/A,FALSE,"Form-3";#N/A,#N/A,FALSE,"Form-4";#N/A,#N/A,FALSE,"Form-5";#N/A,#N/A,FALSE,"Form-6";#N/A,#N/A,FALSE,"Form-7";#N/A,#N/A,FALSE,"Form-8";#N/A,#N/A,FALSE,"Form-8 bis";#N/A,#N/A,FALSE,"Form-9";#N/A,#N/A,FALSE,"Form-10";#N/A,#N/A,FALSE,"Form-11";#N/A,#N/A,FALSE,"Form-12";#N/A,#N/A,FALSE,"Form-13";#N/A,#N/A,FALSE,"Form-13 bis";#N/A,#N/A,FALSE,"Form-13 ter";#N/A,#N/A,FALSE,"Form-14";#N/A,#N/A,FALSE,"Form-15";#N/A,#N/A,FALSE,"Form-16";#N/A,#N/A,FALSE,"Form-17";#N/A,#N/A,FALSE,"Form-18";#N/A,#N/A,FALSE,"Form-19";#N/A,#N/A,FALSE,"Form-20";#N/A,#N/A,FALSE,"Form-21";#N/A,#N/A,FALSE,"Form-22";#N/A,#N/A,FALSE,"Form-23";#N/A,#N/A,FALSE,"Form-24";#N/A,#N/A,FALSE,"Form-25";#N/A,#N/A,FALSE,"Form-26";#N/A,#N/A,FALSE,"Form-27";#N/A,#N/A,FALSE,"Form-28";#N/A,#N/A,FALSE,"Form-29";#N/A,#N/A,FALSE,"Form-30";#N/A,#N/A,FALSE,"Form-31"}</definedName>
    <definedName name="fffffffff" hidden="1">{#N/A,#N/A,FALSE,"Index";#N/A,#N/A,FALSE,"B_S";#N/A,#N/A,FALSE,"P_L";#N/A,#N/A,FALSE,"Form-3";#N/A,#N/A,FALSE,"Form-4";#N/A,#N/A,FALSE,"Form-5";#N/A,#N/A,FALSE,"Form-6";#N/A,#N/A,FALSE,"Form-7";#N/A,#N/A,FALSE,"Form-8";#N/A,#N/A,FALSE,"Form-8 bis";#N/A,#N/A,FALSE,"Form-9";#N/A,#N/A,FALSE,"Form-10";#N/A,#N/A,FALSE,"Form-11";#N/A,#N/A,FALSE,"Form-12";#N/A,#N/A,FALSE,"Form-13";#N/A,#N/A,FALSE,"Form-13 bis";#N/A,#N/A,FALSE,"Form-13 ter";#N/A,#N/A,FALSE,"Form-14";#N/A,#N/A,FALSE,"Form-15";#N/A,#N/A,FALSE,"Form-16";#N/A,#N/A,FALSE,"Form-17";#N/A,#N/A,FALSE,"Form-18";#N/A,#N/A,FALSE,"Form-19";#N/A,#N/A,FALSE,"Form-20";#N/A,#N/A,FALSE,"Form-21";#N/A,#N/A,FALSE,"Form-22";#N/A,#N/A,FALSE,"Form-23";#N/A,#N/A,FALSE,"Form-24";#N/A,#N/A,FALSE,"Form-25";#N/A,#N/A,FALSE,"Form-26";#N/A,#N/A,FALSE,"Form-27";#N/A,#N/A,FALSE,"Form-28";#N/A,#N/A,FALSE,"Form-29";#N/A,#N/A,FALSE,"Form-30";#N/A,#N/A,FALSE,"Form-31"}</definedName>
    <definedName name="fffffffff_1" localSheetId="8" hidden="1">{#N/A,#N/A,FALSE,"Index";#N/A,#N/A,FALSE,"B_S";#N/A,#N/A,FALSE,"P_L";#N/A,#N/A,FALSE,"Form-3";#N/A,#N/A,FALSE,"Form-4";#N/A,#N/A,FALSE,"Form-5";#N/A,#N/A,FALSE,"Form-6";#N/A,#N/A,FALSE,"Form-7";#N/A,#N/A,FALSE,"Form-8";#N/A,#N/A,FALSE,"Form-8 bis";#N/A,#N/A,FALSE,"Form-9";#N/A,#N/A,FALSE,"Form-10";#N/A,#N/A,FALSE,"Form-11";#N/A,#N/A,FALSE,"Form-12";#N/A,#N/A,FALSE,"Form-13";#N/A,#N/A,FALSE,"Form-13 bis";#N/A,#N/A,FALSE,"Form-13 ter";#N/A,#N/A,FALSE,"Form-14";#N/A,#N/A,FALSE,"Form-15";#N/A,#N/A,FALSE,"Form-16";#N/A,#N/A,FALSE,"Form-17";#N/A,#N/A,FALSE,"Form-18";#N/A,#N/A,FALSE,"Form-19";#N/A,#N/A,FALSE,"Form-20";#N/A,#N/A,FALSE,"Form-21";#N/A,#N/A,FALSE,"Form-22";#N/A,#N/A,FALSE,"Form-23";#N/A,#N/A,FALSE,"Form-24";#N/A,#N/A,FALSE,"Form-25";#N/A,#N/A,FALSE,"Form-26";#N/A,#N/A,FALSE,"Form-27";#N/A,#N/A,FALSE,"Form-28";#N/A,#N/A,FALSE,"Form-29";#N/A,#N/A,FALSE,"Form-30";#N/A,#N/A,FALSE,"Form-31"}</definedName>
    <definedName name="fffffffff_1" hidden="1">{#N/A,#N/A,FALSE,"Index";#N/A,#N/A,FALSE,"B_S";#N/A,#N/A,FALSE,"P_L";#N/A,#N/A,FALSE,"Form-3";#N/A,#N/A,FALSE,"Form-4";#N/A,#N/A,FALSE,"Form-5";#N/A,#N/A,FALSE,"Form-6";#N/A,#N/A,FALSE,"Form-7";#N/A,#N/A,FALSE,"Form-8";#N/A,#N/A,FALSE,"Form-8 bis";#N/A,#N/A,FALSE,"Form-9";#N/A,#N/A,FALSE,"Form-10";#N/A,#N/A,FALSE,"Form-11";#N/A,#N/A,FALSE,"Form-12";#N/A,#N/A,FALSE,"Form-13";#N/A,#N/A,FALSE,"Form-13 bis";#N/A,#N/A,FALSE,"Form-13 ter";#N/A,#N/A,FALSE,"Form-14";#N/A,#N/A,FALSE,"Form-15";#N/A,#N/A,FALSE,"Form-16";#N/A,#N/A,FALSE,"Form-17";#N/A,#N/A,FALSE,"Form-18";#N/A,#N/A,FALSE,"Form-19";#N/A,#N/A,FALSE,"Form-20";#N/A,#N/A,FALSE,"Form-21";#N/A,#N/A,FALSE,"Form-22";#N/A,#N/A,FALSE,"Form-23";#N/A,#N/A,FALSE,"Form-24";#N/A,#N/A,FALSE,"Form-25";#N/A,#N/A,FALSE,"Form-26";#N/A,#N/A,FALSE,"Form-27";#N/A,#N/A,FALSE,"Form-28";#N/A,#N/A,FALSE,"Form-29";#N/A,#N/A,FALSE,"Form-30";#N/A,#N/A,FALSE,"Form-31"}</definedName>
    <definedName name="ffffffffff" localSheetId="8" hidden="1">{#N/A,#N/A,FALSE,"PERSONAL";#N/A,#N/A,FALSE,"explotación";#N/A,#N/A,FALSE,"generales"}</definedName>
    <definedName name="ffffffffff" hidden="1">{#N/A,#N/A,FALSE,"CA";#N/A,#N/A,FALSE,"CN";#N/A,#N/A,FALSE,"Inv";#N/A,#N/A,FALSE,"Inv Acc";"Miguel_balance",#N/A,FALSE,"Bal";#N/A,#N/A,FALSE,"Plantilla";#N/A,#N/A,FALSE,"CA (2)";#N/A,#N/A,FALSE,"CN (2)"}</definedName>
    <definedName name="ffffffffffffff" localSheetId="8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ffffffffffffff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ffffj" hidden="1">{#N/A,#N/A,FALSE,"CA";#N/A,#N/A,FALSE,"CN";#N/A,#N/A,FALSE,"Inv";#N/A,#N/A,FALSE,"Inv Acc";"Miguel_balance",#N/A,FALSE,"Bal";#N/A,#N/A,FALSE,"Plantilla";#N/A,#N/A,FALSE,"CA (2)";#N/A,#N/A,FALSE,"CN (2)"}</definedName>
    <definedName name="ffhn" localSheetId="8" hidden="1">{#N/A,#N/A,FALSE,"F94is";#N/A,#N/A,FALSE,"T94is";#N/A,#N/A,FALSE,"TOT94is";#N/A,#N/A,FALSE,"f94oh";#N/A,#N/A,FALSE,"Toh94";#N/A,#N/A,FALSE,"TOT94oh";#N/A,#N/A,FALSE,"SGA94";#N/A,#N/A,FALSE,"bs94";#N/A,#N/A,FALSE,"debt";#N/A,#N/A,FALSE,"f94proj";#N/A,#N/A,FALSE,"t94proj";#N/A,#N/A,FALSE,"tot94proj";#N/A,#N/A,FALSE,"f94ohproj";#N/A,#N/A,FALSE,"t94ohproj";#N/A,#N/A,FALSE,"tot94ohproj";#N/A,#N/A,FALSE,"projsga";#N/A,#N/A,FALSE,"projcf";#N/A,#N/A,FALSE,"Projline";#N/A,#N/A,FALSE,"bankline";#N/A,#N/A,FALSE,"Fast95is";#N/A,#N/A,FALSE,"tool95is";#N/A,#N/A,FALSE,"tot95is";#N/A,#N/A,FALSE,"tool950h";#N/A,#N/A,FALSE,"fas95oh";#N/A,#N/A,FALSE,"tot95oh";#N/A,#N/A,FALSE,"95sga"}</definedName>
    <definedName name="ffhn" hidden="1">{#N/A,#N/A,FALSE,"F94is";#N/A,#N/A,FALSE,"T94is";#N/A,#N/A,FALSE,"TOT94is";#N/A,#N/A,FALSE,"f94oh";#N/A,#N/A,FALSE,"Toh94";#N/A,#N/A,FALSE,"TOT94oh";#N/A,#N/A,FALSE,"SGA94";#N/A,#N/A,FALSE,"bs94";#N/A,#N/A,FALSE,"debt";#N/A,#N/A,FALSE,"f94proj";#N/A,#N/A,FALSE,"t94proj";#N/A,#N/A,FALSE,"tot94proj";#N/A,#N/A,FALSE,"f94ohproj";#N/A,#N/A,FALSE,"t94ohproj";#N/A,#N/A,FALSE,"tot94ohproj";#N/A,#N/A,FALSE,"projsga";#N/A,#N/A,FALSE,"projcf";#N/A,#N/A,FALSE,"Projline";#N/A,#N/A,FALSE,"bankline";#N/A,#N/A,FALSE,"Fast95is";#N/A,#N/A,FALSE,"tool95is";#N/A,#N/A,FALSE,"tot95is";#N/A,#N/A,FALSE,"tool950h";#N/A,#N/A,FALSE,"fas95oh";#N/A,#N/A,FALSE,"tot95oh";#N/A,#N/A,FALSE,"95sga"}</definedName>
    <definedName name="ffhn_1" localSheetId="8" hidden="1">{#N/A,#N/A,FALSE,"F94is";#N/A,#N/A,FALSE,"T94is";#N/A,#N/A,FALSE,"TOT94is";#N/A,#N/A,FALSE,"f94oh";#N/A,#N/A,FALSE,"Toh94";#N/A,#N/A,FALSE,"TOT94oh";#N/A,#N/A,FALSE,"SGA94";#N/A,#N/A,FALSE,"bs94";#N/A,#N/A,FALSE,"debt";#N/A,#N/A,FALSE,"f94proj";#N/A,#N/A,FALSE,"t94proj";#N/A,#N/A,FALSE,"tot94proj";#N/A,#N/A,FALSE,"f94ohproj";#N/A,#N/A,FALSE,"t94ohproj";#N/A,#N/A,FALSE,"tot94ohproj";#N/A,#N/A,FALSE,"projsga";#N/A,#N/A,FALSE,"projcf";#N/A,#N/A,FALSE,"Projline";#N/A,#N/A,FALSE,"bankline";#N/A,#N/A,FALSE,"Fast95is";#N/A,#N/A,FALSE,"tool95is";#N/A,#N/A,FALSE,"tot95is";#N/A,#N/A,FALSE,"tool950h";#N/A,#N/A,FALSE,"fas95oh";#N/A,#N/A,FALSE,"tot95oh";#N/A,#N/A,FALSE,"95sga"}</definedName>
    <definedName name="ffhn_1" hidden="1">{#N/A,#N/A,FALSE,"F94is";#N/A,#N/A,FALSE,"T94is";#N/A,#N/A,FALSE,"TOT94is";#N/A,#N/A,FALSE,"f94oh";#N/A,#N/A,FALSE,"Toh94";#N/A,#N/A,FALSE,"TOT94oh";#N/A,#N/A,FALSE,"SGA94";#N/A,#N/A,FALSE,"bs94";#N/A,#N/A,FALSE,"debt";#N/A,#N/A,FALSE,"f94proj";#N/A,#N/A,FALSE,"t94proj";#N/A,#N/A,FALSE,"tot94proj";#N/A,#N/A,FALSE,"f94ohproj";#N/A,#N/A,FALSE,"t94ohproj";#N/A,#N/A,FALSE,"tot94ohproj";#N/A,#N/A,FALSE,"projsga";#N/A,#N/A,FALSE,"projcf";#N/A,#N/A,FALSE,"Projline";#N/A,#N/A,FALSE,"bankline";#N/A,#N/A,FALSE,"Fast95is";#N/A,#N/A,FALSE,"tool95is";#N/A,#N/A,FALSE,"tot95is";#N/A,#N/A,FALSE,"tool950h";#N/A,#N/A,FALSE,"fas95oh";#N/A,#N/A,FALSE,"tot95oh";#N/A,#N/A,FALSE,"95sga"}</definedName>
    <definedName name="ffk" localSheetId="8" hidden="1">{"pl9601",#N/A,FALSE,"PL96";"pl9602",#N/A,FALSE,"PL96";"pl9603",#N/A,FALSE,"PL96";"PL9604",#N/A,FALSE,"PL96";"pl9605",#N/A,FALSE,"PL96";"pl9606",#N/A,FALSE,"PL96";"pl9607",#N/A,FALSE,"PL96";"pl9608",#N/A,FALSE,"PL96";"pl9609",#N/A,FALSE,"PL96";"pl9610",#N/A,FALSE,"PL96";"pl9611",#N/A,FALSE,"PL96";"fssum01",#N/A,FALSE,"fssum";"fssum02",#N/A,FALSE,"fssum"}</definedName>
    <definedName name="ffk" hidden="1">{"pl9601",#N/A,FALSE,"PL96";"pl9602",#N/A,FALSE,"PL96";"pl9603",#N/A,FALSE,"PL96";"PL9604",#N/A,FALSE,"PL96";"pl9605",#N/A,FALSE,"PL96";"pl9606",#N/A,FALSE,"PL96";"pl9607",#N/A,FALSE,"PL96";"pl9608",#N/A,FALSE,"PL96";"pl9609",#N/A,FALSE,"PL96";"pl9610",#N/A,FALSE,"PL96";"pl9611",#N/A,FALSE,"PL96";"fssum01",#N/A,FALSE,"fssum";"fssum02",#N/A,FALSE,"fssum"}</definedName>
    <definedName name="ffk_1" localSheetId="8" hidden="1">{"pl9601",#N/A,FALSE,"PL96";"pl9602",#N/A,FALSE,"PL96";"pl9603",#N/A,FALSE,"PL96";"PL9604",#N/A,FALSE,"PL96";"pl9605",#N/A,FALSE,"PL96";"pl9606",#N/A,FALSE,"PL96";"pl9607",#N/A,FALSE,"PL96";"pl9608",#N/A,FALSE,"PL96";"pl9609",#N/A,FALSE,"PL96";"pl9610",#N/A,FALSE,"PL96";"pl9611",#N/A,FALSE,"PL96";"fssum01",#N/A,FALSE,"fssum";"fssum02",#N/A,FALSE,"fssum"}</definedName>
    <definedName name="ffk_1" hidden="1">{"pl9601",#N/A,FALSE,"PL96";"pl9602",#N/A,FALSE,"PL96";"pl9603",#N/A,FALSE,"PL96";"PL9604",#N/A,FALSE,"PL96";"pl9605",#N/A,FALSE,"PL96";"pl9606",#N/A,FALSE,"PL96";"pl9607",#N/A,FALSE,"PL96";"pl9608",#N/A,FALSE,"PL96";"pl9609",#N/A,FALSE,"PL96";"pl9610",#N/A,FALSE,"PL96";"pl9611",#N/A,FALSE,"PL96";"fssum01",#N/A,FALSE,"fssum";"fssum02",#N/A,FALSE,"fssum"}</definedName>
    <definedName name="fFVvfGV" localSheetId="8" hidden="1">#REF!</definedName>
    <definedName name="fFVvfGV" hidden="1">#REF!</definedName>
    <definedName name="fg" localSheetId="7" hidden="1">{#N/A,#N/A,FALSE,"REPORT"}</definedName>
    <definedName name="fg" localSheetId="8" hidden="1">{#N/A,#N/A,FALSE,"REPORT"}</definedName>
    <definedName name="FG" hidden="1">#N/A</definedName>
    <definedName name="FGADF" hidden="1">{#N/A,#N/A,FALSE,"CA";#N/A,#N/A,FALSE,"CN";#N/A,#N/A,FALSE,"Inv";#N/A,#N/A,FALSE,"Inv Acc";"Miguel_balance",#N/A,FALSE,"Bal";#N/A,#N/A,FALSE,"Plantilla";#N/A,#N/A,FALSE,"CA (2)";#N/A,#N/A,FALSE,"CN (2)"}</definedName>
    <definedName name="fgds" localSheetId="8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fgds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fgdsgsd" localSheetId="8" hidden="1">{"cover",#N/A,TRUE,"BaseCase";"pnl",#N/A,TRUE,"BaseCase";"pnldet",#N/A,TRUE,"BaseCase";"bil",#N/A,TRUE,"BaseCase";"tabfi",#N/A,TRUE,"BaseCase";"ratios",#N/A,TRUE,"BaseCase";"variab",#N/A,TRUE,"BaseCase";"inv",#N/A,TRUE,"BaseCase"}</definedName>
    <definedName name="fgdsgsd" hidden="1">{"cover",#N/A,TRUE,"BaseCase";"pnl",#N/A,TRUE,"BaseCase";"pnldet",#N/A,TRUE,"BaseCase";"bil",#N/A,TRUE,"BaseCase";"tabfi",#N/A,TRUE,"BaseCase";"ratios",#N/A,TRUE,"BaseCase";"variab",#N/A,TRUE,"BaseCase";"inv",#N/A,TRUE,"BaseCase"}</definedName>
    <definedName name="fgdsgsd_1" localSheetId="8" hidden="1">{"cover",#N/A,TRUE,"BaseCase";"pnl",#N/A,TRUE,"BaseCase";"pnldet",#N/A,TRUE,"BaseCase";"bil",#N/A,TRUE,"BaseCase";"tabfi",#N/A,TRUE,"BaseCase";"ratios",#N/A,TRUE,"BaseCase";"variab",#N/A,TRUE,"BaseCase";"inv",#N/A,TRUE,"BaseCase"}</definedName>
    <definedName name="fgdsgsd_1" hidden="1">{"cover",#N/A,TRUE,"BaseCase";"pnl",#N/A,TRUE,"BaseCase";"pnldet",#N/A,TRUE,"BaseCase";"bil",#N/A,TRUE,"BaseCase";"tabfi",#N/A,TRUE,"BaseCase";"ratios",#N/A,TRUE,"BaseCase";"variab",#N/A,TRUE,"BaseCase";"inv",#N/A,TRUE,"BaseCase"}</definedName>
    <definedName name="fgf" localSheetId="8" hidden="1">{#N/A,#N/A,FALSE,"Umsatz 99";#N/A,#N/A,FALSE,"ER 99 "}</definedName>
    <definedName name="fgf" hidden="1">{#N/A,#N/A,FALSE,"Umsatz 99";#N/A,#N/A,FALSE,"ER 99 "}</definedName>
    <definedName name="fgfdgdgdf" localSheetId="8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fgfdgdgdf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fgfdgdgdf_1" localSheetId="8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fgfdgdgdf_1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fgfg" localSheetId="8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fgfg" hidden="1">{#N/A,#N/A,FALSE,"NET";#N/A,#N/A,FALSE,"caxi";#N/A,#N/A,FALSE,"nhai";#N/A,#N/A,FALSE,"urui";#N/A,#N/A,FALSE,"cali";#N/A,#N/A,FALSE,"joii";#N/A,#N/A,FALSE,"hol";#N/A,#N/A,FALSE,"poa";#N/A,#N/A,FALSE,"pel";#N/A,#N/A,FALSE,"cha";#N/A,#N/A,FALSE,"rgr";#N/A,#N/A,FALSE,"ere";#N/A,#N/A,FALSE,"scr";#N/A,#N/A,FALSE,"cri";#N/A,#N/A,FALSE,"bag";#N/A,#N/A,FALSE,"pfu";#N/A,#N/A,FALSE,"lit";#N/A,#N/A,FALSE,"mmd";#N/A,#N/A,FALSE,"sma";#N/A,#N/A,FALSE,"btg";#N/A,#N/A,FALSE,"far";#N/A,#N/A,FALSE,"laj";#N/A,#N/A,FALSE,"flo";#N/A,#N/A,FALSE,"076";#N/A,#N/A,FALSE,"iflo";#N/A,#N/A,FALSE,"blu"}</definedName>
    <definedName name="fgfgf" localSheetId="8" hidden="1">{#N/A,#N/A,FALSE,"Umsatz 99";#N/A,#N/A,FALSE,"ER 99 "}</definedName>
    <definedName name="fgfgf" hidden="1">{#N/A,#N/A,FALSE,"Umsatz 99";#N/A,#N/A,FALSE,"ER 99 "}</definedName>
    <definedName name="fgfh" localSheetId="8" hidden="1">{"EVA",#N/A,FALSE,"SMT2";#N/A,#N/A,FALSE,"Summary";#N/A,#N/A,FALSE,"Graphs";#N/A,#N/A,FALSE,"4 Panel"}</definedName>
    <definedName name="fgfh" hidden="1">{"EVA",#N/A,FALSE,"SMT2";#N/A,#N/A,FALSE,"Summary";#N/A,#N/A,FALSE,"Graphs";#N/A,#N/A,FALSE,"4 Panel"}</definedName>
    <definedName name="FGFR" localSheetId="8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FGFR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FGFR_1" localSheetId="8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FGFR_1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fgfx" localSheetId="8" hidden="1">{#N/A,#N/A,FALSE,"Umsatz 99";#N/A,#N/A,FALSE,"ER 99 "}</definedName>
    <definedName name="fgfx" hidden="1">{#N/A,#N/A,FALSE,"Umsatz 99";#N/A,#N/A,FALSE,"ER 99 "}</definedName>
    <definedName name="fgg" localSheetId="8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fgg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fgg_1" localSheetId="8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fgg_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fggddf" localSheetId="8" hidden="1">{"Employee Efficiency",#N/A,FALSE,"Benchmarking"}</definedName>
    <definedName name="fggddf" hidden="1">{"Employee Efficiency",#N/A,FALSE,"Benchmarking"}</definedName>
    <definedName name="fggh" localSheetId="8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fggh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fggh_1" localSheetId="8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fggh_1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fgghhjjk" localSheetId="8" hidden="1">{#N/A,#N/A,FALSE,"Centres";#N/A,#N/A,FALSE,"Partenariats";#N/A,#N/A,FALSE,"P.Diverses";#N/A,#N/A,FALSE,"Adm";#N/A,#N/A,FALSE,"Autres R-D";#N/A,#N/A,FALSE,"Intérêts"}</definedName>
    <definedName name="fgghhjjk" hidden="1">{#N/A,#N/A,FALSE,"Centres";#N/A,#N/A,FALSE,"Partenariats";#N/A,#N/A,FALSE,"P.Diverses";#N/A,#N/A,FALSE,"Adm";#N/A,#N/A,FALSE,"Autres R-D";#N/A,#N/A,FALSE,"Intérêts"}</definedName>
    <definedName name="fgh" localSheetId="8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fgh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fgh_1" localSheetId="8" hidden="1">{#N/A,#N/A,FALSE,"CBE";#N/A,#N/A,FALSE,"SWK"}</definedName>
    <definedName name="fgh_1" hidden="1">{#N/A,#N/A,FALSE,"CBE";#N/A,#N/A,FALSE,"SWK"}</definedName>
    <definedName name="fghdgfhdf" localSheetId="8" hidden="1">{#N/A,#N/A,TRUE,"Cover sheet";#N/A,#N/A,TRUE,"DCF analysis";#N/A,#N/A,TRUE,"WACC calculation"}</definedName>
    <definedName name="fghdgfhdf" hidden="1">{#N/A,#N/A,TRUE,"Cover sheet";#N/A,#N/A,TRUE,"DCF analysis";#N/A,#N/A,TRUE,"WACC calculation"}</definedName>
    <definedName name="fghdgfhdf_1" localSheetId="8" hidden="1">{#N/A,#N/A,TRUE,"Cover sheet";#N/A,#N/A,TRUE,"DCF analysis";#N/A,#N/A,TRUE,"WACC calculation"}</definedName>
    <definedName name="fghdgfhdf_1" hidden="1">{#N/A,#N/A,TRUE,"Cover sheet";#N/A,#N/A,TRUE,"DCF analysis";#N/A,#N/A,TRUE,"WACC calculation"}</definedName>
    <definedName name="fghdhgdfhfd" localSheetId="8" hidden="1">{"equity comps",#N/A,FALSE,"CS Comps";"equity comps",#N/A,FALSE,"PS Comps";"equity comps",#N/A,FALSE,"GIC_Comps";"equity comps",#N/A,FALSE,"GIC2_Comps"}</definedName>
    <definedName name="fghdhgdfhfd" hidden="1">{"equity comps",#N/A,FALSE,"CS Comps";"equity comps",#N/A,FALSE,"PS Comps";"equity comps",#N/A,FALSE,"GIC_Comps";"equity comps",#N/A,FALSE,"GIC2_Comps"}</definedName>
    <definedName name="fghdhgdfhfd_1" localSheetId="8" hidden="1">{"equity comps",#N/A,FALSE,"CS Comps";"equity comps",#N/A,FALSE,"PS Comps";"equity comps",#N/A,FALSE,"GIC_Comps";"equity comps",#N/A,FALSE,"GIC2_Comps"}</definedName>
    <definedName name="fghdhgdfhfd_1" hidden="1">{"equity comps",#N/A,FALSE,"CS Comps";"equity comps",#N/A,FALSE,"PS Comps";"equity comps",#N/A,FALSE,"GIC_Comps";"equity comps",#N/A,FALSE,"GIC2_Comps"}</definedName>
    <definedName name="fghfgh" localSheetId="8" hidden="1">{"away stand alones",#N/A,FALSE,"Target"}</definedName>
    <definedName name="fghfgh" hidden="1">{"away stand alones",#N/A,FALSE,"Target"}</definedName>
    <definedName name="fghfgh_1" localSheetId="8" hidden="1">{"away stand alones",#N/A,FALSE,"Target"}</definedName>
    <definedName name="fghfgh_1" hidden="1">{"away stand alones",#N/A,FALSE,"Target"}</definedName>
    <definedName name="fghfghfgh" localSheetId="8" hidden="1">{"assumption cash",#N/A,TRUE,"Merger";"has gets cash",#N/A,TRUE,"Merger";"accretion dilution",#N/A,TRUE,"Merger";"comparison credit stats",#N/A,TRUE,"Merger";"pf credit stats",#N/A,TRUE,"Merger";"pf sheets",#N/A,TRUE,"Merger"}</definedName>
    <definedName name="fghfghfgh" hidden="1">{"assumption cash",#N/A,TRUE,"Merger";"has gets cash",#N/A,TRUE,"Merger";"accretion dilution",#N/A,TRUE,"Merger";"comparison credit stats",#N/A,TRUE,"Merger";"pf credit stats",#N/A,TRUE,"Merger";"pf sheets",#N/A,TRUE,"Merger"}</definedName>
    <definedName name="fghfghfgh_1" localSheetId="8" hidden="1">{"assumption cash",#N/A,TRUE,"Merger";"has gets cash",#N/A,TRUE,"Merger";"accretion dilution",#N/A,TRUE,"Merger";"comparison credit stats",#N/A,TRUE,"Merger";"pf credit stats",#N/A,TRUE,"Merger";"pf sheets",#N/A,TRUE,"Merger"}</definedName>
    <definedName name="fghfghfgh_1" hidden="1">{"assumption cash",#N/A,TRUE,"Merger";"has gets cash",#N/A,TRUE,"Merger";"accretion dilution",#N/A,TRUE,"Merger";"comparison credit stats",#N/A,TRUE,"Merger";"pf credit stats",#N/A,TRUE,"Merger";"pf sheets",#N/A,TRUE,"Merger"}</definedName>
    <definedName name="fghfghfghgfh" localSheetId="8" hidden="1">{#N/A,#N/A,FALSE,"KA CH  (2)"}</definedName>
    <definedName name="fghfghfghgfh" hidden="1">{#N/A,#N/A,FALSE,"KA CH  (2)"}</definedName>
    <definedName name="fghfghfghgfhgfh" localSheetId="8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fghfghfghgfhgfh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fghfghgfh" localSheetId="8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fghfghgfh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fghfh" localSheetId="8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fghfh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fghj" localSheetId="8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fghj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fghjdg" localSheetId="8" hidden="1">{"Ergebnisbericht_UBA",#N/A,FALSE,"MB"}</definedName>
    <definedName name="fghjdg" hidden="1">{"Ergebnisbericht_UBA",#N/A,FALSE,"MB"}</definedName>
    <definedName name="fghjdg_1" localSheetId="8" hidden="1">{"Ergebnisbericht_UBA",#N/A,FALSE,"MB"}</definedName>
    <definedName name="fghjdg_1" hidden="1">{"Ergebnisbericht_UBA",#N/A,FALSE,"MB"}</definedName>
    <definedName name="fghsfhsftzsfh" localSheetId="8" hidden="1">{#N/A,#N/A,FALSE,"USCSS ROLLUP";#N/A,#N/A,FALSE,"USCS";#N/A,#N/A,FALSE,"TARGET";#N/A,#N/A,FALSE,"MICROSOFT";#N/A,#N/A,FALSE,"AT&amp;T";#N/A,#N/A,FALSE,"ALT CHANNELS";#N/A,#N/A,FALSE,"USCS HQ"}</definedName>
    <definedName name="fghsfhsftzsfh" hidden="1">{#N/A,#N/A,FALSE,"USCSS ROLLUP";#N/A,#N/A,FALSE,"USCS";#N/A,#N/A,FALSE,"TARGET";#N/A,#N/A,FALSE,"MICROSOFT";#N/A,#N/A,FALSE,"AT&amp;T";#N/A,#N/A,FALSE,"ALT CHANNELS";#N/A,#N/A,FALSE,"USCS HQ"}</definedName>
    <definedName name="fgjfgjfgj" localSheetId="8" hidden="1">{#N/A,#N/A,FALSE,"Produkte Erw.";#N/A,#N/A,FALSE,"Produkte Plan";#N/A,#N/A,FALSE,"Leistungen Erw.";#N/A,#N/A,FALSE,"Leistungen Plan";#N/A,#N/A,FALSE,"KA Allg.Kosten (2)";#N/A,#N/A,FALSE,"KA All.Kosten"}</definedName>
    <definedName name="fgjfgjfgj" hidden="1">{#N/A,#N/A,FALSE,"Produkte Erw.";#N/A,#N/A,FALSE,"Produkte Plan";#N/A,#N/A,FALSE,"Leistungen Erw.";#N/A,#N/A,FALSE,"Leistungen Plan";#N/A,#N/A,FALSE,"KA Allg.Kosten (2)";#N/A,#N/A,FALSE,"KA All.Kosten"}</definedName>
    <definedName name="fgjhfgjhgj" localSheetId="8" hidden="1">{"comp1",#N/A,FALSE,"COMPS";"footnotes",#N/A,FALSE,"COMPS"}</definedName>
    <definedName name="fgjhfgjhgj" hidden="1">{"comp1",#N/A,FALSE,"COMPS";"footnotes",#N/A,FALSE,"COMPS"}</definedName>
    <definedName name="fgjhfgjhgj_1" localSheetId="8" hidden="1">{"comp1",#N/A,FALSE,"COMPS";"footnotes",#N/A,FALSE,"COMPS"}</definedName>
    <definedName name="fgjhfgjhgj_1" hidden="1">{"comp1",#N/A,FALSE,"COMPS";"footnotes",#N/A,FALSE,"COMPS"}</definedName>
    <definedName name="fgkfgk" localSheetId="8" hidden="1">{#N/A,#N/A,FALSE,"Assessment";#N/A,#N/A,FALSE,"Staffing";#N/A,#N/A,FALSE,"Hires";#N/A,#N/A,FALSE,"Assumptions"}</definedName>
    <definedName name="fgkfgk" hidden="1">{#N/A,#N/A,FALSE,"Assessment";#N/A,#N/A,FALSE,"Staffing";#N/A,#N/A,FALSE,"Hires";#N/A,#N/A,FALSE,"Assumptions"}</definedName>
    <definedName name="fgkjkh" localSheetId="7" hidden="1">{#N/A,#N/A,FALSE,"REPORT"}</definedName>
    <definedName name="fgkjkh" localSheetId="8" hidden="1">{#N/A,#N/A,FALSE,"REPORT"}</definedName>
    <definedName name="fgkjkh" hidden="1">{#N/A,#N/A,FALSE,"REPORT"}</definedName>
    <definedName name="fgnfgnfngf" localSheetId="8" hidden="1">{#N/A,#N/A,FALSE,"Assessment";#N/A,#N/A,FALSE,"Staffing";#N/A,#N/A,FALSE,"Hires";#N/A,#N/A,FALSE,"Assumptions"}</definedName>
    <definedName name="fgnfgnfngf" hidden="1">{#N/A,#N/A,FALSE,"Assessment";#N/A,#N/A,FALSE,"Staffing";#N/A,#N/A,FALSE,"Hires";#N/A,#N/A,FALSE,"Assumptions"}</definedName>
    <definedName name="fgnfngf" localSheetId="8" hidden="1">{#N/A,#N/A,FALSE,"Assessment";#N/A,#N/A,FALSE,"Staffing";#N/A,#N/A,FALSE,"Hires";#N/A,#N/A,FALSE,"Assumptions"}</definedName>
    <definedName name="fgnfngf" hidden="1">{#N/A,#N/A,FALSE,"Assessment";#N/A,#N/A,FALSE,"Staffing";#N/A,#N/A,FALSE,"Hires";#N/A,#N/A,FALSE,"Assumptions"}</definedName>
    <definedName name="fgngfnf" localSheetId="8" hidden="1">{#N/A,#N/A,FALSE,"Assessment";#N/A,#N/A,FALSE,"Staffing";#N/A,#N/A,FALSE,"Hires";#N/A,#N/A,FALSE,"Assumptions"}</definedName>
    <definedName name="fgngfnf" hidden="1">{#N/A,#N/A,FALSE,"Assessment";#N/A,#N/A,FALSE,"Staffing";#N/A,#N/A,FALSE,"Hires";#N/A,#N/A,FALSE,"Assumptions"}</definedName>
    <definedName name="fgrsssss" localSheetId="8" hidden="1">#REF!</definedName>
    <definedName name="fgrsssss" hidden="1">#REF!</definedName>
    <definedName name="fgsd" localSheetId="8" hidden="1">{"PAGE 1",#N/A,FALSE,"COS Excluding Geismar";"PAGE 2",#N/A,FALSE,"COS Excluding Geismar";"PAGE 3",#N/A,FALSE,"COS Excluding Geismar"}</definedName>
    <definedName name="fgsd" hidden="1">{"PAGE 1",#N/A,FALSE,"COS Excluding Geismar";"PAGE 2",#N/A,FALSE,"COS Excluding Geismar";"PAGE 3",#N/A,FALSE,"COS Excluding Geismar"}</definedName>
    <definedName name="FGSFGSFG" localSheetId="8" hidden="1">#REF!</definedName>
    <definedName name="FGSFGSFG" hidden="1">#REF!</definedName>
    <definedName name="fgsg" localSheetId="8" hidden="1">{"consolidated",#N/A,FALSE,"Sheet1";"cms",#N/A,FALSE,"Sheet1";"fse",#N/A,FALSE,"Sheet1"}</definedName>
    <definedName name="fgsg" hidden="1">{"consolidated",#N/A,FALSE,"Sheet1";"cms",#N/A,FALSE,"Sheet1";"fse",#N/A,FALSE,"Sheet1"}</definedName>
    <definedName name="fgsg_1" localSheetId="8" hidden="1">{"consolidated",#N/A,FALSE,"Sheet1";"cms",#N/A,FALSE,"Sheet1";"fse",#N/A,FALSE,"Sheet1"}</definedName>
    <definedName name="fgsg_1" hidden="1">{"consolidated",#N/A,FALSE,"Sheet1";"cms",#N/A,FALSE,"Sheet1";"fse",#N/A,FALSE,"Sheet1"}</definedName>
    <definedName name="fgt" localSheetId="8" hidden="1">{"Performance Details",#N/A,FALSE,"Current Yr";"Performance Details",#N/A,FALSE,"Budget";"Performance Details",#N/A,FALSE,"Prior Year"}</definedName>
    <definedName name="fgt" hidden="1">{"Performance Details",#N/A,FALSE,"Current Yr";"Performance Details",#N/A,FALSE,"Budget";"Performance Details",#N/A,FALSE,"Prior Year"}</definedName>
    <definedName name="fgzuetz" localSheetId="8" hidden="1">{"Ergebnisbericht_UBA",#N/A,FALSE,"MB"}</definedName>
    <definedName name="fgzuetz" hidden="1">{"Ergebnisbericht_UBA",#N/A,FALSE,"MB"}</definedName>
    <definedName name="fgzuetz_1" localSheetId="8" hidden="1">{"Ergebnisbericht_UBA",#N/A,FALSE,"MB"}</definedName>
    <definedName name="fgzuetz_1" hidden="1">{"Ergebnisbericht_UBA",#N/A,FALSE,"MB"}</definedName>
    <definedName name="fh" localSheetId="8" hidden="1">{#N/A,#N/A,FALSE,"KA CH  (2)"}</definedName>
    <definedName name="fh" hidden="1">{#N/A,#N/A,FALSE,"KA CH  (2)"}</definedName>
    <definedName name="fh_1" localSheetId="8" hidden="1">{"fssum01",#N/A,FALSE,"fssum";"fssum02",#N/A,FALSE,"fssum"}</definedName>
    <definedName name="fh_1" hidden="1">{"fssum01",#N/A,FALSE,"fssum";"fssum02",#N/A,FALSE,"fssum"}</definedName>
    <definedName name="fhf" localSheetId="8" hidden="1">{#N/A,#N/A,FALSE,"CA";#N/A,#N/A,FALSE,"CN";#N/A,#N/A,FALSE,"Inv";#N/A,#N/A,FALSE,"Inv Acc";"Miguel_balance",#N/A,FALSE,"Bal";#N/A,#N/A,FALSE,"Plantilla";#N/A,#N/A,FALSE,"CA (2)";#N/A,#N/A,FALSE,"CN (2)"}</definedName>
    <definedName name="fhf" hidden="1">{#N/A,#N/A,FALSE,"CA";#N/A,#N/A,FALSE,"CN";#N/A,#N/A,FALSE,"Inv";#N/A,#N/A,FALSE,"Inv Acc";"Miguel_balance",#N/A,FALSE,"Bal";#N/A,#N/A,FALSE,"Plantilla";#N/A,#N/A,FALSE,"CA (2)";#N/A,#N/A,FALSE,"CN (2)"}</definedName>
    <definedName name="fhf_1" localSheetId="8" hidden="1">{#N/A,#N/A,FALSE,"CA";#N/A,#N/A,FALSE,"CN";#N/A,#N/A,FALSE,"Inv";#N/A,#N/A,FALSE,"Inv Acc";"Miguel_balance",#N/A,FALSE,"Bal";#N/A,#N/A,FALSE,"Plantilla";#N/A,#N/A,FALSE,"CA (2)";#N/A,#N/A,FALSE,"CN (2)"}</definedName>
    <definedName name="fhf_1" hidden="1">{#N/A,#N/A,FALSE,"CA";#N/A,#N/A,FALSE,"CN";#N/A,#N/A,FALSE,"Inv";#N/A,#N/A,FALSE,"Inv Acc";"Miguel_balance",#N/A,FALSE,"Bal";#N/A,#N/A,FALSE,"Plantilla";#N/A,#N/A,FALSE,"CA (2)";#N/A,#N/A,FALSE,"CN (2)"}</definedName>
    <definedName name="fhfgh" localSheetId="8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fhfgh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fhfghfghfgh" localSheetId="8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fhfghfghfgh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fhfghfghfgh_1" localSheetId="8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fhfghfghfgh_1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fhfhfgh" localSheetId="8" hidden="1">{"hiden",#N/A,FALSE,"14";"hidden",#N/A,FALSE,"16";"hidden",#N/A,FALSE,"18";"hidden",#N/A,FALSE,"20"}</definedName>
    <definedName name="fhfhfgh" hidden="1">{"hiden",#N/A,FALSE,"14";"hidden",#N/A,FALSE,"16";"hidden",#N/A,FALSE,"18";"hidden",#N/A,FALSE,"20"}</definedName>
    <definedName name="fhfhfgh_1" localSheetId="8" hidden="1">{"hiden",#N/A,FALSE,"14";"hidden",#N/A,FALSE,"16";"hidden",#N/A,FALSE,"18";"hidden",#N/A,FALSE,"20"}</definedName>
    <definedName name="fhfhfgh_1" hidden="1">{"hiden",#N/A,FALSE,"14";"hidden",#N/A,FALSE,"16";"hidden",#N/A,FALSE,"18";"hidden",#N/A,FALSE,"20"}</definedName>
    <definedName name="fhfhh" localSheetId="8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fhfhh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fhhf" localSheetId="8" hidden="1">{"EVA",#N/A,FALSE,"SMT2";#N/A,#N/A,FALSE,"Summary";#N/A,#N/A,FALSE,"Graphs";#N/A,#N/A,FALSE,"4 Panel"}</definedName>
    <definedName name="fhhf" hidden="1">{"EVA",#N/A,FALSE,"SMT2";#N/A,#N/A,FALSE,"Summary";#N/A,#N/A,FALSE,"Graphs";#N/A,#N/A,FALSE,"4 Panel"}</definedName>
    <definedName name="fhj" localSheetId="8" hidden="1">{"Eilbericht_UBA",#N/A,FALSE,"EB"}</definedName>
    <definedName name="fhj" hidden="1">{"Eilbericht_UBA",#N/A,FALSE,"EB"}</definedName>
    <definedName name="fhj_1" localSheetId="8" hidden="1">{"Eilbericht_UBA",#N/A,FALSE,"EB"}</definedName>
    <definedName name="fhj_1" hidden="1">{"Eilbericht_UBA",#N/A,FALSE,"EB"}</definedName>
    <definedName name="fhjss" localSheetId="8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fhjss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fhjss_1" localSheetId="8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fhjss_1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fhlò" localSheetId="8" hidden="1">{"Five Year",#N/A,FALSE,"Summary (2)";"Month 1 and Years",#N/A,FALSE,"Cash Budget"}</definedName>
    <definedName name="fhlò" hidden="1">{"Five Year",#N/A,FALSE,"Summary (2)";"Month 1 and Years",#N/A,FALSE,"Cash Budget"}</definedName>
    <definedName name="fhrtz" localSheetId="8" hidden="1">{#N/A,#N/A,FALSE,"PMW Gruppe 00_99";#N/A,#N/A,FALSE,"PMW KG 00_99";#N/A,#N/A,FALSE,"PMW Inc. 00_99";#N/A,#N/A,FALSE,"PMW VTECH 00_99";#N/A,#N/A,FALSE,"PMW Thail. 00_99";#N/A,#N/A,FALSE,"PMW Canada 00_99";#N/A,#N/A,FALSE,"Währungsabw. 00_99"}</definedName>
    <definedName name="fhrtz" hidden="1">{#N/A,#N/A,FALSE,"PMW Gruppe 00_99";#N/A,#N/A,FALSE,"PMW KG 00_99";#N/A,#N/A,FALSE,"PMW Inc. 00_99";#N/A,#N/A,FALSE,"PMW VTECH 00_99";#N/A,#N/A,FALSE,"PMW Thail. 00_99";#N/A,#N/A,FALSE,"PMW Canada 00_99";#N/A,#N/A,FALSE,"Währungsabw. 00_99"}</definedName>
    <definedName name="fi" localSheetId="8" hidden="1">#REF!</definedName>
    <definedName name="fi" hidden="1">#REF!</definedName>
    <definedName name="fiejf" localSheetId="8" hidden="1">{"werbung",#N/A,FALSE,"GuV9900-0399";"betrieb",#N/A,FALSE,"GuV9900-0399";"personal",#N/A,FALSE,"GuV9900-0399";"tvg",#N/A,FALSE,"GuV9900-0399";"verwaltung",#N/A,FALSE,"GuV9900-0399"}</definedName>
    <definedName name="fiejf" hidden="1">{"werbung",#N/A,FALSE,"GuV9900-0399";"betrieb",#N/A,FALSE,"GuV9900-0399";"personal",#N/A,FALSE,"GuV9900-0399";"tvg",#N/A,FALSE,"GuV9900-0399";"verwaltung",#N/A,FALSE,"GuV9900-0399"}</definedName>
    <definedName name="fiejf_1" localSheetId="8" hidden="1">{"werbung",#N/A,FALSE,"GuV9900-0399";"betrieb",#N/A,FALSE,"GuV9900-0399";"personal",#N/A,FALSE,"GuV9900-0399";"tvg",#N/A,FALSE,"GuV9900-0399";"verwaltung",#N/A,FALSE,"GuV9900-0399"}</definedName>
    <definedName name="fiejf_1" hidden="1">{"werbung",#N/A,FALSE,"GuV9900-0399";"betrieb",#N/A,FALSE,"GuV9900-0399";"personal",#N/A,FALSE,"GuV9900-0399";"tvg",#N/A,FALSE,"GuV9900-0399";"verwaltung",#N/A,FALSE,"GuV9900-0399"}</definedName>
    <definedName name="fill" hidden="1">#REF!</definedName>
    <definedName name="FIMeXToEUR" localSheetId="8" hidden="1">1/EUReXToFIM</definedName>
    <definedName name="FIMeXToEUR" hidden="1">1/EUReXToFIM</definedName>
    <definedName name="final" localSheetId="8" hidden="1">{"Res_010",#N/A,FALSE,"Res_010";"sum1",#N/A,FALSE,"Res_010"}</definedName>
    <definedName name="final" hidden="1">{"Res_010",#N/A,FALSE,"Res_010";"sum1",#N/A,FALSE,"Res_010"}</definedName>
    <definedName name="finance" localSheetId="8" hidden="1">{"standalone1",#N/A,FALSE,"DCFBase";"standalone2",#N/A,FALSE,"DCFBase"}</definedName>
    <definedName name="finance" hidden="1">{"standalone1",#N/A,FALSE,"DCFBase";"standalone2",#N/A,FALSE,"DCFBase"}</definedName>
    <definedName name="finance_1" localSheetId="8" hidden="1">{"standalone1",#N/A,FALSE,"DCFBase";"standalone2",#N/A,FALSE,"DCFBase"}</definedName>
    <definedName name="finance_1" hidden="1">{"standalone1",#N/A,FALSE,"DCFBase";"standalone2",#N/A,FALSE,"DCFBase"}</definedName>
    <definedName name="Financialpb" hidden="1">#REF!</definedName>
    <definedName name="Financialpb2" hidden="1">#REF!</definedName>
    <definedName name="financials_product" localSheetId="8" hidden="1">{#N/A,#N/A,TRUE,"Voorblad";#N/A,#N/A,TRUE,"Table of Content FinCom B";#N/A,#N/A,TRUE,"A3-P&amp;L by Bus.Unt-Serv.Unt";#N/A,#N/A,TRUE,"Summary carrier service";#N/A,#N/A,TRUE,"Summary Large accounts";#N/A,#N/A,TRUE,"Summary Consumer";#N/A,#N/A,TRUE,"Summary N&amp;S";#N/A,#N/A,TRUE,"Summary ITbilling";#N/A,#N/A,TRUE,"Billing backlog";#N/A,#N/A,TRUE,"Summary corporate";#N/A,#N/A,TRUE,"B1-Orders RevGap";#N/A,#N/A,TRUE,"B2-Sales Prospects WinLoss";#N/A,#N/A,TRUE,"B4-GM per Product";#N/A,#N/A,TRUE,"B5-Mobile(1) ";#N/A,#N/A,TRUE,"P13-Funding- Inter.";#N/A,#N/A,TRUE,"P14-Risk &amp; Fraud Fixed";#N/A,#N/A,TRUE,"P14-Risk &amp; Fraud Mobile";#N/A,#N/A,TRUE,"Accounts payable";#N/A,#N/A,TRUE,"B15-Network "}</definedName>
    <definedName name="financials_product" hidden="1">{#N/A,#N/A,TRUE,"Voorblad";#N/A,#N/A,TRUE,"Table of Content FinCom B";#N/A,#N/A,TRUE,"A3-P&amp;L by Bus.Unt-Serv.Unt";#N/A,#N/A,TRUE,"Summary carrier service";#N/A,#N/A,TRUE,"Summary Large accounts";#N/A,#N/A,TRUE,"Summary Consumer";#N/A,#N/A,TRUE,"Summary N&amp;S";#N/A,#N/A,TRUE,"Summary ITbilling";#N/A,#N/A,TRUE,"Billing backlog";#N/A,#N/A,TRUE,"Summary corporate";#N/A,#N/A,TRUE,"B1-Orders RevGap";#N/A,#N/A,TRUE,"B2-Sales Prospects WinLoss";#N/A,#N/A,TRUE,"B4-GM per Product";#N/A,#N/A,TRUE,"B5-Mobile(1) ";#N/A,#N/A,TRUE,"P13-Funding- Inter.";#N/A,#N/A,TRUE,"P14-Risk &amp; Fraud Fixed";#N/A,#N/A,TRUE,"P14-Risk &amp; Fraud Mobile";#N/A,#N/A,TRUE,"Accounts payable";#N/A,#N/A,TRUE,"B15-Network "}</definedName>
    <definedName name="finans" localSheetId="8" hidden="1">{#N/A,#N/A,FALSE,"Antony Financials";#N/A,#N/A,FALSE,"Cowboy Financials";#N/A,#N/A,FALSE,"Combined";#N/A,#N/A,FALSE,"Valuematrix";#N/A,#N/A,FALSE,"DCFAntony";#N/A,#N/A,FALSE,"DCFCowboy";#N/A,#N/A,FALSE,"DCFCombined"}</definedName>
    <definedName name="finans" hidden="1">{#N/A,#N/A,FALSE,"Antony Financials";#N/A,#N/A,FALSE,"Cowboy Financials";#N/A,#N/A,FALSE,"Combined";#N/A,#N/A,FALSE,"Valuematrix";#N/A,#N/A,FALSE,"DCFAntony";#N/A,#N/A,FALSE,"DCFCowboy";#N/A,#N/A,FALSE,"DCFCombined"}</definedName>
    <definedName name="finans_1" localSheetId="8" hidden="1">{#N/A,#N/A,FALSE,"Antony Financials";#N/A,#N/A,FALSE,"Cowboy Financials";#N/A,#N/A,FALSE,"Combined";#N/A,#N/A,FALSE,"Valuematrix";#N/A,#N/A,FALSE,"DCFAntony";#N/A,#N/A,FALSE,"DCFCowboy";#N/A,#N/A,FALSE,"DCFCombined"}</definedName>
    <definedName name="finans_1" hidden="1">{#N/A,#N/A,FALSE,"Antony Financials";#N/A,#N/A,FALSE,"Cowboy Financials";#N/A,#N/A,FALSE,"Combined";#N/A,#N/A,FALSE,"Valuematrix";#N/A,#N/A,FALSE,"DCFAntony";#N/A,#N/A,FALSE,"DCFCowboy";#N/A,#N/A,FALSE,"DCFCombined"}</definedName>
    <definedName name="Find" localSheetId="8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Find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Find_1" localSheetId="8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Find_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FinPeriod" hidden="1">#REF!</definedName>
    <definedName name="fix" localSheetId="8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fix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FJEZK" localSheetId="7" hidden="1">{#N/A,#N/A,FALSE,"Pharm";#N/A,#N/A,FALSE,"WWCM"}</definedName>
    <definedName name="FJEZK" localSheetId="8" hidden="1">{#N/A,#N/A,FALSE,"Pharm";#N/A,#N/A,FALSE,"WWCM"}</definedName>
    <definedName name="FJEZK" hidden="1">{#N/A,#N/A,FALSE,"Pharm";#N/A,#N/A,FALSE,"WWCM"}</definedName>
    <definedName name="fjf" localSheetId="8" hidden="1">{#N/A,#N/A,FALSE,"debt";#N/A,#N/A,FALSE,"apsort";#N/A,#N/A,FALSE,"AR"}</definedName>
    <definedName name="fjf" hidden="1">{#N/A,#N/A,FALSE,"debt";#N/A,#N/A,FALSE,"apsort";#N/A,#N/A,FALSE,"AR"}</definedName>
    <definedName name="fjf_1" localSheetId="8" hidden="1">{#N/A,#N/A,FALSE,"debt";#N/A,#N/A,FALSE,"apsort";#N/A,#N/A,FALSE,"AR"}</definedName>
    <definedName name="fjf_1" hidden="1">{#N/A,#N/A,FALSE,"debt";#N/A,#N/A,FALSE,"apsort";#N/A,#N/A,FALSE,"AR"}</definedName>
    <definedName name="fjjg" localSheetId="8" hidden="1">{"fssum01",#N/A,FALSE,"fssum";"fssum02",#N/A,FALSE,"fssum"}</definedName>
    <definedName name="fjjg" hidden="1">{"fssum01",#N/A,FALSE,"fssum";"fssum02",#N/A,FALSE,"fssum"}</definedName>
    <definedName name="fjjg_1" localSheetId="8" hidden="1">{"fssum01",#N/A,FALSE,"fssum";"fssum02",#N/A,FALSE,"fssum"}</definedName>
    <definedName name="fjjg_1" hidden="1">{"fssum01",#N/A,FALSE,"fssum";"fssum02",#N/A,FALSE,"fssum"}</definedName>
    <definedName name="fkfgkf" localSheetId="8" hidden="1">{#N/A,#N/A,FALSE,"Assessment";#N/A,#N/A,FALSE,"Staffing";#N/A,#N/A,FALSE,"Hires";#N/A,#N/A,FALSE,"Assumptions"}</definedName>
    <definedName name="fkfgkf" hidden="1">{#N/A,#N/A,FALSE,"Assessment";#N/A,#N/A,FALSE,"Staffing";#N/A,#N/A,FALSE,"Hires";#N/A,#N/A,FALSE,"Assumptions"}</definedName>
    <definedName name="fkfyu" localSheetId="8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fkfyu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fkfyu_1" localSheetId="8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fkfyu_1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fkgfkf" localSheetId="8" hidden="1">{#N/A,#N/A,FALSE,"Assessment";#N/A,#N/A,FALSE,"Staffing";#N/A,#N/A,FALSE,"Hires";#N/A,#N/A,FALSE,"Assumptions"}</definedName>
    <definedName name="fkgfkf" hidden="1">{#N/A,#N/A,FALSE,"Assessment";#N/A,#N/A,FALSE,"Staffing";#N/A,#N/A,FALSE,"Hires";#N/A,#N/A,FALSE,"Assumptions"}</definedName>
    <definedName name="flfllf" localSheetId="8" hidden="1">{#N/A,#N/A,FALSE,"1";#N/A,#N/A,FALSE,"2";#N/A,#N/A,FALSE,"16 - 17";#N/A,#N/A,FALSE,"18 - 19";#N/A,#N/A,FALSE,"26";#N/A,#N/A,FALSE,"27";#N/A,#N/A,FALSE,"28"}</definedName>
    <definedName name="flfllf" hidden="1">{#N/A,#N/A,FALSE,"1";#N/A,#N/A,FALSE,"2";#N/A,#N/A,FALSE,"16 - 17";#N/A,#N/A,FALSE,"18 - 19";#N/A,#N/A,FALSE,"26";#N/A,#N/A,FALSE,"27";#N/A,#N/A,FALSE,"28"}</definedName>
    <definedName name="FLUJOS.PÁG.113" localSheetId="8" hidden="1">{#N/A,#N/A,FALSE,"Aging Summary";#N/A,#N/A,FALSE,"Ratio Analysis";#N/A,#N/A,FALSE,"Test 120 Day Accts";#N/A,#N/A,FALSE,"Tickmarks"}</definedName>
    <definedName name="FLUJOS.PÁG.113" hidden="1">{#N/A,#N/A,FALSE,"Aging Summary";#N/A,#N/A,FALSE,"Ratio Analysis";#N/A,#N/A,FALSE,"Test 120 Day Accts";#N/A,#N/A,FALSE,"Tickmarks"}</definedName>
    <definedName name="Flux" localSheetId="8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Flux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FM1JobInfo\174xx\17418\GreenBook\Performance\17418Rev2.dat" hidden="1">#REF!</definedName>
    <definedName name="fmekwl" hidden="1">#REF!</definedName>
    <definedName name="fnfdnfd" localSheetId="8" hidden="1">{#N/A,#N/A,FALSE,"Assessment";#N/A,#N/A,FALSE,"Staffing";#N/A,#N/A,FALSE,"Hires";#N/A,#N/A,FALSE,"Assumptions"}</definedName>
    <definedName name="fnfdnfd" hidden="1">{#N/A,#N/A,FALSE,"Assessment";#N/A,#N/A,FALSE,"Staffing";#N/A,#N/A,FALSE,"Hires";#N/A,#N/A,FALSE,"Assumptions"}</definedName>
    <definedName name="fngfgfngfnfgnf" localSheetId="8" hidden="1">{#N/A,#N/A,FALSE,"Assessment";#N/A,#N/A,FALSE,"Staffing";#N/A,#N/A,FALSE,"Hires";#N/A,#N/A,FALSE,"Assumptions"}</definedName>
    <definedName name="fngfgfngfnfgnf" hidden="1">{#N/A,#N/A,FALSE,"Assessment";#N/A,#N/A,FALSE,"Staffing";#N/A,#N/A,FALSE,"Hires";#N/A,#N/A,FALSE,"Assumptions"}</definedName>
    <definedName name="fnrwkjfnewjk" hidden="1">#REF!</definedName>
    <definedName name="Forecast" localSheetId="8" hidden="1">{"'EARLY LIFE SAVINGS - COSTS '!$A$1:$N$56"}</definedName>
    <definedName name="Forecast" hidden="1">{"'EARLY LIFE SAVINGS - COSTS '!$A$1:$N$56"}</definedName>
    <definedName name="Forecast2" localSheetId="8" hidden="1">{"'EARLY LIFE SAVINGS - COSTS '!$A$1:$N$56"}</definedName>
    <definedName name="Forecast2" hidden="1">{"'EARLY LIFE SAVINGS - COSTS '!$A$1:$N$56"}</definedName>
    <definedName name="form3cd" hidden="1">#REF!</definedName>
    <definedName name="Formatted" localSheetId="8" hidden="1">{"'Sheet1'!$A$1:$F$101"}</definedName>
    <definedName name="Formatted" hidden="1">{"'Sheet1'!$A$1:$F$101"}</definedName>
    <definedName name="fqsddfqs" hidden="1">#REF!</definedName>
    <definedName name="fqsdfqsd" hidden="1">#REF!</definedName>
    <definedName name="fqsfqs" hidden="1">#REF!</definedName>
    <definedName name="fr" localSheetId="8" hidden="1">{#N/A,"PURCHM",FALSE,"Business Analysis";#N/A,"SPADD",FALSE,"Business Analysis"}</definedName>
    <definedName name="fr" hidden="1">{#N/A,"PURCHM",FALSE,"Business Analysis";#N/A,"SPADD",FALSE,"Business Analysis"}</definedName>
    <definedName name="fr_1" localSheetId="8" hidden="1">{#N/A,#N/A,FALSE,"Automezzi";#N/A,#N/A,FALSE,"Fabbricati";#N/A,#N/A,FALSE,"SOFTWARE";#N/A,#N/A,FALSE,"COSTRUZIONI LEGGERE";#N/A,#N/A,FALSE,"Impianti 10%";#N/A,#N/A,FALSE,"Impianti 12,5%";#N/A,#N/A,FALSE,"Macchine e impianti 15,5%";#N/A,#N/A,FALSE,"Macchine e Impianti 12,5%";#N/A,#N/A,FALSE,"Attrezzature 25%";#N/A,#N/A,FALSE,"Attrezzatura 35%";#N/A,#N/A,FALSE,"Macchine ufficio elettroniche";#N/A,#N/A,FALSE,"Mobili e arredi";#N/A,#N/A,FALSE,"Mobili officina"}</definedName>
    <definedName name="fr_1" hidden="1">{#N/A,#N/A,FALSE,"Automezzi";#N/A,#N/A,FALSE,"Fabbricati";#N/A,#N/A,FALSE,"SOFTWARE";#N/A,#N/A,FALSE,"COSTRUZIONI LEGGERE";#N/A,#N/A,FALSE,"Impianti 10%";#N/A,#N/A,FALSE,"Impianti 12,5%";#N/A,#N/A,FALSE,"Macchine e impianti 15,5%";#N/A,#N/A,FALSE,"Macchine e Impianti 12,5%";#N/A,#N/A,FALSE,"Attrezzature 25%";#N/A,#N/A,FALSE,"Attrezzatura 35%";#N/A,#N/A,FALSE,"Macchine ufficio elettroniche";#N/A,#N/A,FALSE,"Mobili e arredi";#N/A,#N/A,FALSE,"Mobili officina"}</definedName>
    <definedName name="Frank" localSheetId="8" hidden="1">{#N/A,#N/A,TRUE,"Cover sheet";#N/A,#N/A,TRUE,"DCF analysis";#N/A,#N/A,TRUE,"WACC calculation"}</definedName>
    <definedName name="Frank" hidden="1">{#N/A,#N/A,TRUE,"Cover sheet";#N/A,#N/A,TRUE,"DCF analysis";#N/A,#N/A,TRUE,"WACC calculation"}</definedName>
    <definedName name="Frank_1" localSheetId="8" hidden="1">{#N/A,#N/A,TRUE,"Cover sheet";#N/A,#N/A,TRUE,"DCF analysis";#N/A,#N/A,TRUE,"WACC calculation"}</definedName>
    <definedName name="Frank_1" hidden="1">{#N/A,#N/A,TRUE,"Cover sheet";#N/A,#N/A,TRUE,"DCF analysis";#N/A,#N/A,TRUE,"WACC calculation"}</definedName>
    <definedName name="frderf" localSheetId="8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frderf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fre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re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red" localSheetId="8" hidden="1">{#N/A,"Band8",FALSE,"Smoothing";#N/A,"Band9",FALSE,"Smoothing";#N/A,"Band10",FALSE,"Smoothing"}</definedName>
    <definedName name="fred" hidden="1">{#N/A,"Band8",FALSE,"Smoothing";#N/A,"Band9",FALSE,"Smoothing";#N/A,"Band10",FALSE,"Smoothing"}</definedName>
    <definedName name="fred1" localSheetId="8" hidden="1">{#N/A,#N/A,FALSE,"Assumptions";"finsumm",#N/A,FALSE,"Finsumm";"FBGroup",#N/A,FALSE,"FB - BT Group";"FBSync",#N/A,FALSE,"FB - Syncordia Total ";"PLCustom",#N/A,FALSE,"P&amp;L summary";"PriSumm",#N/A,FALSE,"Price Summary";"HoursPay",#N/A,FALSE,"pay_non pay input";"ResourceNonPay",#N/A,FALSE,"pay_non pay input";"CapitalInput",#N/A,FALSE,"Equipt Input";"CurrEqptInput",#N/A,FALSE,"Equipt Input";"TotMtce",#N/A,FALSE,"Equipt Input";"TPNwks",#N/A,FALSE,"Nwks Input";"BTNwks",#N/A,FALSE,"Nwks Input";"Miscellaneous",#N/A,FALSE,"Misc."}</definedName>
    <definedName name="fred1" hidden="1">{#N/A,#N/A,FALSE,"Assumptions";"finsumm",#N/A,FALSE,"Finsumm";"FBGroup",#N/A,FALSE,"FB - BT Group";"FBSync",#N/A,FALSE,"FB - Syncordia Total ";"PLCustom",#N/A,FALSE,"P&amp;L summary";"PriSumm",#N/A,FALSE,"Price Summary";"HoursPay",#N/A,FALSE,"pay_non pay input";"ResourceNonPay",#N/A,FALSE,"pay_non pay input";"CapitalInput",#N/A,FALSE,"Equipt Input";"CurrEqptInput",#N/A,FALSE,"Equipt Input";"TotMtce",#N/A,FALSE,"Equipt Input";"TPNwks",#N/A,FALSE,"Nwks Input";"BTNwks",#N/A,FALSE,"Nwks Input";"Miscellaneous",#N/A,FALSE,"Misc."}</definedName>
    <definedName name="freddie" localSheetId="8" hidden="1">{"People Table",#N/A,FALSE,"Sheet1";"Function table",#N/A,FALSE,"Sheet1"}</definedName>
    <definedName name="freddie" hidden="1">{"People Table",#N/A,FALSE,"Sheet1";"Function table",#N/A,FALSE,"Sheet1"}</definedName>
    <definedName name="freya" localSheetId="8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freya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FRF" localSheetId="7" hidden="1">{#N/A,#N/A,FALSE,"1";#N/A,#N/A,FALSE,"2";#N/A,#N/A,FALSE,"16 - 17";#N/A,#N/A,FALSE,"18 - 19";#N/A,#N/A,FALSE,"26";#N/A,#N/A,FALSE,"27";#N/A,#N/A,FALSE,"28"}</definedName>
    <definedName name="FRF" localSheetId="8" hidden="1">{#N/A,#N/A,FALSE,"1";#N/A,#N/A,FALSE,"2";#N/A,#N/A,FALSE,"16 - 17";#N/A,#N/A,FALSE,"18 - 19";#N/A,#N/A,FALSE,"26";#N/A,#N/A,FALSE,"27";#N/A,#N/A,FALSE,"28"}</definedName>
    <definedName name="FRF" hidden="1">{#N/A,#N/A,FALSE,"1";#N/A,#N/A,FALSE,"2";#N/A,#N/A,FALSE,"16 - 17";#N/A,#N/A,FALSE,"18 - 19";#N/A,#N/A,FALSE,"26";#N/A,#N/A,FALSE,"27";#N/A,#N/A,FALSE,"28"}</definedName>
    <definedName name="FRFERFE" localSheetId="7" hidden="1">{#N/A,#N/A,FALSE,"Pharm";#N/A,#N/A,FALSE,"WWCM"}</definedName>
    <definedName name="FRFERFE" localSheetId="8" hidden="1">{#N/A,#N/A,FALSE,"Pharm";#N/A,#N/A,FALSE,"WWCM"}</definedName>
    <definedName name="FRFERFE" hidden="1">{#N/A,#N/A,FALSE,"Pharm";#N/A,#N/A,FALSE,"WWCM"}</definedName>
    <definedName name="FRFeXToEUR" localSheetId="8" hidden="1">1/EUReXToFRF</definedName>
    <definedName name="FRFeXToEUR" hidden="1">1/EUReXToFRF</definedName>
    <definedName name="FRFFR" hidden="1">#REF!</definedName>
    <definedName name="fron" localSheetId="8" hidden="1">{#N/A,#N/A,FALSE,"SMT1";#N/A,#N/A,FALSE,"SMT2";#N/A,#N/A,FALSE,"Summary";#N/A,#N/A,FALSE,"Graphs";#N/A,#N/A,FALSE,"4 Panel"}</definedName>
    <definedName name="fron" hidden="1">{#N/A,#N/A,FALSE,"SMT1";#N/A,#N/A,FALSE,"SMT2";#N/A,#N/A,FALSE,"Summary";#N/A,#N/A,FALSE,"Graphs";#N/A,#N/A,FALSE,"4 Panel"}</definedName>
    <definedName name="frt" localSheetId="8" hidden="1">{#N/A,#N/A,FALSE,"EMEA";#N/A,#N/A,FALSE,"INT'L ROLLUP";#N/A,#N/A,FALSE,"ASIA PACIFIC";#N/A,#N/A,FALSE,"INTL MGMT";#N/A,#N/A,FALSE,"LATIN AMERICA";#N/A,#N/A,FALSE,"CANADA"}</definedName>
    <definedName name="frt" hidden="1">{#N/A,#N/A,FALSE,"EMEA";#N/A,#N/A,FALSE,"INT'L ROLLUP";#N/A,#N/A,FALSE,"ASIA PACIFIC";#N/A,#N/A,FALSE,"INTL MGMT";#N/A,#N/A,FALSE,"LATIN AMERICA";#N/A,#N/A,FALSE,"CANADA"}</definedName>
    <definedName name="frty" localSheetId="8" hidden="1">{"PRS",#N/A,FALSE,"CM"}</definedName>
    <definedName name="frty" hidden="1">{"PRS",#N/A,FALSE,"CM"}</definedName>
    <definedName name="FS" localSheetId="8" hidden="1">{#N/A,#N/A,FALSE,"Assessment";#N/A,#N/A,FALSE,"Staffing";#N/A,#N/A,FALSE,"Hires";#N/A,#N/A,FALSE,"Assumptions"}</definedName>
    <definedName name="FS" hidden="1">{#N/A,#N/A,FALSE,"Assessment";#N/A,#N/A,FALSE,"Staffing";#N/A,#N/A,FALSE,"Hires";#N/A,#N/A,FALSE,"Assumptions"}</definedName>
    <definedName name="fsd" localSheetId="7" hidden="1">#REF!</definedName>
    <definedName name="fsd" localSheetId="8" hidden="1">#REF!</definedName>
    <definedName name="fsd" hidden="1">#REF!</definedName>
    <definedName name="FSDAFDSAFA" localSheetId="8" hidden="1">#REF!</definedName>
    <definedName name="FSDAFDSAFA" hidden="1">#REF!</definedName>
    <definedName name="FSDDF" hidden="1">{#N/A,#N/A,FALSE,"CA";#N/A,#N/A,FALSE,"CN";#N/A,#N/A,FALSE,"Inv";#N/A,#N/A,FALSE,"Inv Acc";"Miguel_balance",#N/A,FALSE,"Bal";#N/A,#N/A,FALSE,"Plantilla";#N/A,#N/A,FALSE,"CA (2)";#N/A,#N/A,FALSE,"CN (2)"}</definedName>
    <definedName name="fsdf" localSheetId="8" hidden="1">{#N/A,#N/A,TRUE,"Voorblad A";#N/A,#N/A,TRUE,"Table of Content FinCom A";#N/A,#N/A,TRUE,"A1-Summ- Key Figures";#N/A,#N/A,TRUE,"Summary Telfort Figures";#N/A,#N/A,TRUE,"A2-Summ Month Man";#N/A,#N/A,TRUE,"Summary Telfort";#N/A,#N/A,TRUE,"A4-P&amp;L by Old org.";#N/A,#N/A,TRUE,"Summary Fixed";#N/A,#N/A,TRUE,"A6-Bal_Sheet CF by Old org. ";#N/A,#N/A,TRUE,"B1-Orders RevGap"}</definedName>
    <definedName name="fsdf" hidden="1">{#N/A,#N/A,TRUE,"Voorblad A";#N/A,#N/A,TRUE,"Table of Content FinCom A";#N/A,#N/A,TRUE,"A1-Summ- Key Figures";#N/A,#N/A,TRUE,"Summary Telfort Figures";#N/A,#N/A,TRUE,"A2-Summ Month Man";#N/A,#N/A,TRUE,"Summary Telfort";#N/A,#N/A,TRUE,"A4-P&amp;L by Old org.";#N/A,#N/A,TRUE,"Summary Fixed";#N/A,#N/A,TRUE,"A6-Bal_Sheet CF by Old org. ";#N/A,#N/A,TRUE,"B1-Orders RevGap"}</definedName>
    <definedName name="fsdfsdf" localSheetId="8" hidden="1">{0}</definedName>
    <definedName name="fsdfsdf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fsejfie" localSheetId="8" hidden="1">{"werbung",#N/A,FALSE,"GuV9900-0399";"betrieb",#N/A,FALSE,"GuV9900-0399";"personal",#N/A,FALSE,"GuV9900-0399";"tvg",#N/A,FALSE,"GuV9900-0399";"verwaltung",#N/A,FALSE,"GuV9900-0399"}</definedName>
    <definedName name="fsejfie" hidden="1">{"werbung",#N/A,FALSE,"GuV9900-0399";"betrieb",#N/A,FALSE,"GuV9900-0399";"personal",#N/A,FALSE,"GuV9900-0399";"tvg",#N/A,FALSE,"GuV9900-0399";"verwaltung",#N/A,FALSE,"GuV9900-0399"}</definedName>
    <definedName name="fsejfie_1" localSheetId="8" hidden="1">{"werbung",#N/A,FALSE,"GuV9900-0399";"betrieb",#N/A,FALSE,"GuV9900-0399";"personal",#N/A,FALSE,"GuV9900-0399";"tvg",#N/A,FALSE,"GuV9900-0399";"verwaltung",#N/A,FALSE,"GuV9900-0399"}</definedName>
    <definedName name="fsejfie_1" hidden="1">{"werbung",#N/A,FALSE,"GuV9900-0399";"betrieb",#N/A,FALSE,"GuV9900-0399";"personal",#N/A,FALSE,"GuV9900-0399";"tvg",#N/A,FALSE,"GuV9900-0399";"verwaltung",#N/A,FALSE,"GuV9900-0399"}</definedName>
    <definedName name="fsfs" localSheetId="8" hidden="1">{#N/A,#N/A,FALSE,"Calc";#N/A,#N/A,FALSE,"Sensitivity";#N/A,#N/A,FALSE,"LT Earn.Dil.";#N/A,#N/A,FALSE,"Dil. AVP"}</definedName>
    <definedName name="fsfs" hidden="1">{#N/A,#N/A,FALSE,"Calc";#N/A,#N/A,FALSE,"Sensitivity";#N/A,#N/A,FALSE,"LT Earn.Dil.";#N/A,#N/A,FALSE,"Dil. AVP"}</definedName>
    <definedName name="fsfs_1" localSheetId="8" hidden="1">{#N/A,#N/A,FALSE,"Calc";#N/A,#N/A,FALSE,"Sensitivity";#N/A,#N/A,FALSE,"LT Earn.Dil.";#N/A,#N/A,FALSE,"Dil. AVP"}</definedName>
    <definedName name="fsfs_1" hidden="1">{#N/A,#N/A,FALSE,"Calc";#N/A,#N/A,FALSE,"Sensitivity";#N/A,#N/A,FALSE,"LT Earn.Dil.";#N/A,#N/A,FALSE,"Dil. AVP"}</definedName>
    <definedName name="fsg" hidden="1">{"Alle Perioden",#N/A,FALSE,"Erf";"Alle Perioden",#N/A,FALSE,"Ang";"Alle Perioden",#N/A,FALSE,"BV";"Alle Perioden",#N/A,FALSE,"BE";"Alle Perioden",#N/A,FALSE,"Re";"Alle Perioden",#N/A,FALSE,"Vol"}</definedName>
    <definedName name="fsilje" localSheetId="8" hidden="1">{"werbung",#N/A,FALSE,"GuV9900-0399";"betrieb",#N/A,FALSE,"GuV9900-0399";"personal",#N/A,FALSE,"GuV9900-0399";"tvg",#N/A,FALSE,"GuV9900-0399";"verwaltung",#N/A,FALSE,"GuV9900-0399"}</definedName>
    <definedName name="fsilje" hidden="1">{"werbung",#N/A,FALSE,"GuV9900-0399";"betrieb",#N/A,FALSE,"GuV9900-0399";"personal",#N/A,FALSE,"GuV9900-0399";"tvg",#N/A,FALSE,"GuV9900-0399";"verwaltung",#N/A,FALSE,"GuV9900-0399"}</definedName>
    <definedName name="fsilje_1" localSheetId="8" hidden="1">{"werbung",#N/A,FALSE,"GuV9900-0399";"betrieb",#N/A,FALSE,"GuV9900-0399";"personal",#N/A,FALSE,"GuV9900-0399";"tvg",#N/A,FALSE,"GuV9900-0399";"verwaltung",#N/A,FALSE,"GuV9900-0399"}</definedName>
    <definedName name="fsilje_1" hidden="1">{"werbung",#N/A,FALSE,"GuV9900-0399";"betrieb",#N/A,FALSE,"GuV9900-0399";"personal",#N/A,FALSE,"GuV9900-0399";"tvg",#N/A,FALSE,"GuV9900-0399";"verwaltung",#N/A,FALSE,"GuV9900-0399"}</definedName>
    <definedName name="fske" localSheetId="8" hidden="1">{"werbung",#N/A,FALSE,"GuV9900-0399";"betrieb",#N/A,FALSE,"GuV9900-0399";"personal",#N/A,FALSE,"GuV9900-0399";"tvg",#N/A,FALSE,"GuV9900-0399";"verwaltung",#N/A,FALSE,"GuV9900-0399"}</definedName>
    <definedName name="fske" hidden="1">{"werbung",#N/A,FALSE,"GuV9900-0399";"betrieb",#N/A,FALSE,"GuV9900-0399";"personal",#N/A,FALSE,"GuV9900-0399";"tvg",#N/A,FALSE,"GuV9900-0399";"verwaltung",#N/A,FALSE,"GuV9900-0399"}</definedName>
    <definedName name="fske_1" localSheetId="8" hidden="1">{"werbung",#N/A,FALSE,"GuV9900-0399";"betrieb",#N/A,FALSE,"GuV9900-0399";"personal",#N/A,FALSE,"GuV9900-0399";"tvg",#N/A,FALSE,"GuV9900-0399";"verwaltung",#N/A,FALSE,"GuV9900-0399"}</definedName>
    <definedName name="fske_1" hidden="1">{"werbung",#N/A,FALSE,"GuV9900-0399";"betrieb",#N/A,FALSE,"GuV9900-0399";"personal",#N/A,FALSE,"GuV9900-0399";"tvg",#N/A,FALSE,"GuV9900-0399";"verwaltung",#N/A,FALSE,"GuV9900-0399"}</definedName>
    <definedName name="fsqfd" hidden="1">#REF!</definedName>
    <definedName name="FTE_Detail_neu" localSheetId="8" hidden="1">{#N/A,#N/A,FALSE,"CSS";#N/A,#N/A,FALSE,"USCSS ROLLUP";#N/A,#N/A,FALSE,"INT'L ROLLUP";#N/A,#N/A,FALSE,"CSS HQ";#N/A,#N/A,FALSE,"USCS";#N/A,#N/A,FALSE,"TARGET";#N/A,#N/A,FALSE,"MICROSOFT";#N/A,#N/A,FALSE,"AT&amp;T";#N/A,#N/A,FALSE,"ALT CHANNELS";#N/A,#N/A,FALSE,"USCS HQ";#N/A,#N/A,FALSE,"INTL MGMT";#N/A,#N/A,FALSE,"EMEA";#N/A,#N/A,FALSE,"ASIA PACIFIC";#N/A,#N/A,FALSE,"LATIN AMERICA";#N/A,#N/A,FALSE,"CANADA"}</definedName>
    <definedName name="FTE_Detail_neu" hidden="1">{#N/A,#N/A,FALSE,"CSS";#N/A,#N/A,FALSE,"USCSS ROLLUP";#N/A,#N/A,FALSE,"INT'L ROLLUP";#N/A,#N/A,FALSE,"CSS HQ";#N/A,#N/A,FALSE,"USCS";#N/A,#N/A,FALSE,"TARGET";#N/A,#N/A,FALSE,"MICROSOFT";#N/A,#N/A,FALSE,"AT&amp;T";#N/A,#N/A,FALSE,"ALT CHANNELS";#N/A,#N/A,FALSE,"USCS HQ";#N/A,#N/A,FALSE,"INTL MGMT";#N/A,#N/A,FALSE,"EMEA";#N/A,#N/A,FALSE,"ASIA PACIFIC";#N/A,#N/A,FALSE,"LATIN AMERICA";#N/A,#N/A,FALSE,"CANADA"}</definedName>
    <definedName name="fuck" hidden="1">#REF!</definedName>
    <definedName name="fuckoff" hidden="1">#REF!</definedName>
    <definedName name="fuffuy" localSheetId="8" hidden="1">{#N/A,#N/A,FALSE,"Cover";"outputs total",#N/A,FALSE,"Outputs"}</definedName>
    <definedName name="fuffuy" hidden="1">{#N/A,#N/A,FALSE,"Cover";"outputs total",#N/A,FALSE,"Outputs"}</definedName>
    <definedName name="fuffuy_1" localSheetId="8" hidden="1">{#N/A,#N/A,FALSE,"Cover";"outputs total",#N/A,FALSE,"Outputs"}</definedName>
    <definedName name="fuffuy_1" hidden="1">{#N/A,#N/A,FALSE,"Cover";"outputs total",#N/A,FALSE,"Outputs"}</definedName>
    <definedName name="fullyear" localSheetId="8" hidden="1">{#N/A,#N/A,FALSE,"Summary (Target)";#N/A,#N/A,FALSE,"Extnl Targets  Var";#N/A,#N/A,FALSE,"Total Revenue Analysis";#N/A,#N/A,FALSE,"Total Revenue by Products";#N/A,#N/A,FALSE,"OOC External Analysis";#N/A,#N/A,FALSE,"OOC External by Products";#N/A,#N/A,FALSE,"Joint Ventures"}</definedName>
    <definedName name="fullyear" hidden="1">{#N/A,#N/A,FALSE,"Summary (Target)";#N/A,#N/A,FALSE,"Extnl Targets  Var";#N/A,#N/A,FALSE,"Total Revenue Analysis";#N/A,#N/A,FALSE,"Total Revenue by Products";#N/A,#N/A,FALSE,"OOC External Analysis";#N/A,#N/A,FALSE,"OOC External by Products";#N/A,#N/A,FALSE,"Joint Ventures"}</definedName>
    <definedName name="fv" hidden="1">{#N/A,#N/A,FALSE,"Acum Julio - 00"}</definedName>
    <definedName name="fvd" hidden="1">#REF!</definedName>
    <definedName name="FVG" localSheetId="7" hidden="1">{#N/A,#N/A,FALSE,"Pharm";#N/A,#N/A,FALSE,"WWCM"}</definedName>
    <definedName name="FVG" localSheetId="8" hidden="1">{#N/A,#N/A,FALSE,"Pharm";#N/A,#N/A,FALSE,"WWCM"}</definedName>
    <definedName name="FVG" hidden="1">{#N/A,#N/A,FALSE,"Pharm";#N/A,#N/A,FALSE,"WWCM"}</definedName>
    <definedName name="FVGB" localSheetId="8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FVGB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fvjfdf" localSheetId="8" hidden="1">{#N/A,#N/A,FALSE,"Customer Ops";#N/A,#N/A,FALSE,"Field Ops";#N/A,#N/A,FALSE,"Ops Management";#N/A,#N/A,FALSE,"Contact Centre";#N/A,#N/A,FALSE,"Credit Services";#N/A,#N/A,FALSE,"Horizon"}</definedName>
    <definedName name="fvjfdf" hidden="1">{#N/A,#N/A,FALSE,"Customer Ops";#N/A,#N/A,FALSE,"Field Ops";#N/A,#N/A,FALSE,"Ops Management";#N/A,#N/A,FALSE,"Contact Centre";#N/A,#N/A,FALSE,"Credit Services";#N/A,#N/A,FALSE,"Horizon"}</definedName>
    <definedName name="FVVVFE" localSheetId="8" hidden="1">{"PARTE1",#N/A,FALSE,"Plan1"}</definedName>
    <definedName name="FVVVFE" hidden="1">{"PARTE1",#N/A,FALSE,"Plan1"}</definedName>
    <definedName name="fwe" localSheetId="8" hidden="1">{#N/A,#N/A,FALSE,"CSS";#N/A,#N/A,FALSE,"USCSS ROLLUP";#N/A,#N/A,FALSE,"INT'L ROLLUP";#N/A,#N/A,FALSE,"CSS HQ";#N/A,#N/A,FALSE,"USCS";#N/A,#N/A,FALSE,"TARGET";#N/A,#N/A,FALSE,"MICROSOFT";#N/A,#N/A,FALSE,"AT&amp;T";#N/A,#N/A,FALSE,"ALT CHANNELS";#N/A,#N/A,FALSE,"USCS HQ";#N/A,#N/A,FALSE,"INTL MGMT";#N/A,#N/A,FALSE,"EMEA";#N/A,#N/A,FALSE,"ASIA PACIFIC";#N/A,#N/A,FALSE,"LATIN AMERICA";#N/A,#N/A,FALSE,"CANADA"}</definedName>
    <definedName name="fwe" hidden="1">{#N/A,#N/A,FALSE,"CSS";#N/A,#N/A,FALSE,"USCSS ROLLUP";#N/A,#N/A,FALSE,"INT'L ROLLUP";#N/A,#N/A,FALSE,"CSS HQ";#N/A,#N/A,FALSE,"USCS";#N/A,#N/A,FALSE,"TARGET";#N/A,#N/A,FALSE,"MICROSOFT";#N/A,#N/A,FALSE,"AT&amp;T";#N/A,#N/A,FALSE,"ALT CHANNELS";#N/A,#N/A,FALSE,"USCS HQ";#N/A,#N/A,FALSE,"INTL MGMT";#N/A,#N/A,FALSE,"EMEA";#N/A,#N/A,FALSE,"ASIA PACIFIC";#N/A,#N/A,FALSE,"LATIN AMERICA";#N/A,#N/A,FALSE,"CANADA"}</definedName>
    <definedName name="fwer" localSheetId="8" hidden="1">{#N/A,"PURCHM",FALSE,"Business Analysis";#N/A,"SPADD",FALSE,"Business Analysis"}</definedName>
    <definedName name="fwer" hidden="1">{#N/A,"PURCHM",FALSE,"Business Analysis";#N/A,"SPADD",FALSE,"Business Analysis"}</definedName>
    <definedName name="fx" localSheetId="8" hidden="1">{"TOTTEXAS",#N/A,FALSE,"CM"}</definedName>
    <definedName name="fx" hidden="1">{"TOTTEXAS",#N/A,FALSE,"CM"}</definedName>
    <definedName name="FX_TOGGLE" hidden="1">#REF!</definedName>
    <definedName name="FXCurrencies" hidden="1">#REF!</definedName>
    <definedName name="fyui" localSheetId="8" hidden="1">{#N/A,#N/A,FALSE,"P&amp;L"}</definedName>
    <definedName name="fyui" hidden="1">{#N/A,#N/A,FALSE,"P&amp;L"}</definedName>
    <definedName name="fyui_1" localSheetId="8" hidden="1">{#N/A,#N/A,FALSE,"P&amp;L"}</definedName>
    <definedName name="fyui_1" hidden="1">{#N/A,#N/A,FALSE,"P&amp;L"}</definedName>
    <definedName name="fyukjfhk" localSheetId="8" hidden="1">{"A3-DivDirNWW_ClosedView",#N/A,FALSE,"A3-DivDirNWW";#N/A,#N/A,FALSE,"A4-DivDirNWW";#N/A,#N/A,FALSE,"B1-Co&amp;RegSum";#N/A,#N/A,FALSE,"C5-NWWRegView";#N/A,#N/A,FALSE,"H2-DivDirs2";#N/A,#N/A,FALSE,"C4-NorPro"}</definedName>
    <definedName name="fyukjfhk" hidden="1">{"A3-DivDirNWW_ClosedView",#N/A,FALSE,"A3-DivDirNWW";#N/A,#N/A,FALSE,"A4-DivDirNWW";#N/A,#N/A,FALSE,"B1-Co&amp;RegSum";#N/A,#N/A,FALSE,"C5-NWWRegView";#N/A,#N/A,FALSE,"H2-DivDirs2";#N/A,#N/A,FALSE,"C4-NorPro"}</definedName>
    <definedName name="FZCC" hidden="1">#REF!</definedName>
    <definedName name="fzuolrfzu" localSheetId="8" hidden="1">{#N/A,#N/A,FALSE,"CSSWITH";#N/A,#N/A,FALSE,"USCSSWITH";#N/A,#N/A,FALSE,"INTLWITH";#N/A,#N/A,FALSE,"WNP TOTAL";#N/A,#N/A,FALSE,"US WNP";#N/A,#N/A,FALSE,"EMEA WNP";#N/A,#N/A,FALSE,"ROW WNP";#N/A,#N/A,FALSE,"US LANMGMT"}</definedName>
    <definedName name="fzuolrfzu" hidden="1">{#N/A,#N/A,FALSE,"CSSWITH";#N/A,#N/A,FALSE,"USCSSWITH";#N/A,#N/A,FALSE,"INTLWITH";#N/A,#N/A,FALSE,"WNP TOTAL";#N/A,#N/A,FALSE,"US WNP";#N/A,#N/A,FALSE,"EMEA WNP";#N/A,#N/A,FALSE,"ROW WNP";#N/A,#N/A,FALSE,"US LANMGMT"}</definedName>
    <definedName name="fzuorfzuorz8or8uz" localSheetId="8" hidden="1">{#N/A,#N/A,FALSE,"EMEA";#N/A,#N/A,FALSE,"INT'L ROLLUP";#N/A,#N/A,FALSE,"ASIA PACIFIC";#N/A,#N/A,FALSE,"INTL MGMT";#N/A,#N/A,FALSE,"LATIN AMERICA";#N/A,#N/A,FALSE,"CANADA"}</definedName>
    <definedName name="fzuorfzuorz8or8uz" hidden="1">{#N/A,#N/A,FALSE,"EMEA";#N/A,#N/A,FALSE,"INT'L ROLLUP";#N/A,#N/A,FALSE,"ASIA PACIFIC";#N/A,#N/A,FALSE,"INTL MGMT";#N/A,#N/A,FALSE,"LATIN AMERICA";#N/A,#N/A,FALSE,"CANADA"}</definedName>
    <definedName name="g" localSheetId="7" hidden="1">{#N/A,#N/A,FALSE,"Pharm";#N/A,#N/A,FALSE,"WWCM"}</definedName>
    <definedName name="g" localSheetId="8" hidden="1">{#N/A,#N/A,FALSE,"Pharm";#N/A,#N/A,FALSE,"WWCM"}</definedName>
    <definedName name="g" hidden="1">{#N/A,#N/A,FALSE,"Pharm";#N/A,#N/A,FALSE,"WWCM"}</definedName>
    <definedName name="g_1" localSheetId="8" hidden="1">{#N/A,#N/A,FALSE,"BANNERS";#N/A,#N/A,FALSE,"Market";#N/A,#N/A,FALSE,"Tel Rev";#N/A,#N/A,FALSE,"Revenues IOL";#N/A,#N/A,FALSE,"Invest";#N/A,#N/A,FALSE,"Op Cost1";#N/A,#N/A,FALSE,"Op Cost2";#N/A,#N/A,FALSE,"Oth_&amp;_Tot_Revenues";#N/A,#N/A,FALSE,"Fin Mod";#N/A,#N/A,FALSE,"FinMod_RoW";#N/A,#N/A,FALSE,"P&amp;E Burocrat";#N/A,#N/A,FALSE,"cash flow"}</definedName>
    <definedName name="g_1" hidden="1">{#N/A,#N/A,FALSE,"BANNERS";#N/A,#N/A,FALSE,"Market";#N/A,#N/A,FALSE,"Tel Rev";#N/A,#N/A,FALSE,"Revenues IOL";#N/A,#N/A,FALSE,"Invest";#N/A,#N/A,FALSE,"Op Cost1";#N/A,#N/A,FALSE,"Op Cost2";#N/A,#N/A,FALSE,"Oth_&amp;_Tot_Revenues";#N/A,#N/A,FALSE,"Fin Mod";#N/A,#N/A,FALSE,"FinMod_RoW";#N/A,#N/A,FALSE,"P&amp;E Burocrat";#N/A,#N/A,FALSE,"cash flow"}</definedName>
    <definedName name="gaer" localSheetId="8" hidden="1">{#N/A,#N/A,FALSE,"Pharm";#N/A,#N/A,FALSE,"WWCM"}</definedName>
    <definedName name="gaer" hidden="1">{#N/A,#N/A,FALSE,"Pharm";#N/A,#N/A,FALSE,"WWCM"}</definedName>
    <definedName name="GAF" localSheetId="8" hidden="1">{#N/A,#N/A,FALSE,"Venta"}</definedName>
    <definedName name="GAF" hidden="1">{#N/A,#N/A,FALSE,"Venta"}</definedName>
    <definedName name="gaga" localSheetId="8" hidden="1">{#N/A,#N/A,TRUE,"Cover sheet";#N/A,#N/A,TRUE,"INPUTS";#N/A,#N/A,TRUE,"OUTPUTS";#N/A,#N/A,TRUE,"VALUATION"}</definedName>
    <definedName name="gaga" hidden="1">{#N/A,#N/A,TRUE,"Cover sheet";#N/A,#N/A,TRUE,"INPUTS";#N/A,#N/A,TRUE,"OUTPUTS";#N/A,#N/A,TRUE,"VALUATION"}</definedName>
    <definedName name="gaga_1" localSheetId="8" hidden="1">{#N/A,#N/A,TRUE,"Cover sheet";#N/A,#N/A,TRUE,"INPUTS";#N/A,#N/A,TRUE,"OUTPUTS";#N/A,#N/A,TRUE,"VALUATION"}</definedName>
    <definedName name="gaga_1" hidden="1">{#N/A,#N/A,TRUE,"Cover sheet";#N/A,#N/A,TRUE,"INPUTS";#N/A,#N/A,TRUE,"OUTPUTS";#N/A,#N/A,TRUE,"VALUATION"}</definedName>
    <definedName name="gar" localSheetId="8" hidden="1">{#N/A,#N/A,FALSE,"Pharm";#N/A,#N/A,FALSE,"WWCM"}</definedName>
    <definedName name="gar" hidden="1">{#N/A,#N/A,FALSE,"Pharm";#N/A,#N/A,FALSE,"WWCM"}</definedName>
    <definedName name="gas" localSheetId="8" hidden="1">#REF!</definedName>
    <definedName name="gas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GASTOS" localSheetId="8" hidden="1">{"Largo",#N/A,FALSE,"FSCONSO";"Corto",#N/A,FALSE,"FSCONSO";"pl",#N/A,FALSE,"FSCONSO"}</definedName>
    <definedName name="gastos" hidden="1">11</definedName>
    <definedName name="GASTOS_1" localSheetId="8" hidden="1">{"Largo",#N/A,FALSE,"FSCONSO";"Corto",#N/A,FALSE,"FSCONSO";"pl",#N/A,FALSE,"FSCONSO"}</definedName>
    <definedName name="GASTOS_1" hidden="1">{"Largo",#N/A,FALSE,"FSCONSO";"Corto",#N/A,FALSE,"FSCONSO";"pl",#N/A,FALSE,"FSCONSO"}</definedName>
    <definedName name="Gastosgescopy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gastosgescopy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gb" localSheetId="8" hidden="1">{"equity comps",#N/A,FALSE,"CS Comps";"equity comps",#N/A,FALSE,"PS Comps";"equity comps",#N/A,FALSE,"GIC_Comps";"equity comps",#N/A,FALSE,"GIC2_Comps"}</definedName>
    <definedName name="gb" hidden="1">{"equity comps",#N/A,FALSE,"CS Comps";"equity comps",#N/A,FALSE,"PS Comps";"equity comps",#N/A,FALSE,"GIC_Comps";"equity comps",#N/A,FALSE,"GIC2_Comps"}</definedName>
    <definedName name="gb_1" localSheetId="8" hidden="1">{"equity comps",#N/A,FALSE,"CS Comps";"equity comps",#N/A,FALSE,"PS Comps";"equity comps",#N/A,FALSE,"GIC_Comps";"equity comps",#N/A,FALSE,"GIC2_Comps"}</definedName>
    <definedName name="gb_1" hidden="1">{"equity comps",#N/A,FALSE,"CS Comps";"equity comps",#N/A,FALSE,"PS Comps";"equity comps",#N/A,FALSE,"GIC_Comps";"equity comps",#N/A,FALSE,"GIC2_Comps"}</definedName>
    <definedName name="GBHN" localSheetId="8" hidden="1">{#N/A,#N/A,FALSE,"Min compa cad";#N/A,#N/A,FALSE,"Min CAN Equité ";#N/A,#N/A,FALSE,"Analyse can"}</definedName>
    <definedName name="GBHN" hidden="1">{#N/A,#N/A,FALSE,"Min compa cad";#N/A,#N/A,FALSE,"Min CAN Equité ";#N/A,#N/A,FALSE,"Analyse can"}</definedName>
    <definedName name="GC" localSheetId="8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GC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gccgg" localSheetId="8" hidden="1">{#N/A,#N/A,TRUE,"consinc";#N/A,#N/A,TRUE,"consproj";#N/A,#N/A,TRUE,"deminc";#N/A,#N/A,TRUE,"incproj";#N/A,#N/A,TRUE,"demman";#N/A,#N/A,TRUE,"manproj";#N/A,#N/A,TRUE,"S&amp;Gact";#N/A,#N/A,TRUE,"S&amp;Gproj ";#N/A,#N/A,TRUE,"dengis";#N/A,#N/A,TRUE,"dengisproj";#N/A,#N/A,TRUE,"mitinc";#N/A,#N/A,TRUE,"mitincproj";#N/A,#N/A,TRUE,"mits&amp;G";#N/A,#N/A,TRUE,"mits&amp;gproj";#N/A,#N/A,TRUE,"arcis";#N/A,#N/A,TRUE,"arcproj";#N/A,#N/A,TRUE,"ampinc";#N/A,#N/A,TRUE,"ampincproj";#N/A,#N/A,TRUE,"ampman";#N/A,#N/A,TRUE,"ampmanproj";#N/A,#N/A,TRUE,"ampS&amp;G";#N/A,#N/A,TRUE,"amps&amp;GProj"}</definedName>
    <definedName name="gccgg" hidden="1">{#N/A,#N/A,TRUE,"consinc";#N/A,#N/A,TRUE,"consproj";#N/A,#N/A,TRUE,"deminc";#N/A,#N/A,TRUE,"incproj";#N/A,#N/A,TRUE,"demman";#N/A,#N/A,TRUE,"manproj";#N/A,#N/A,TRUE,"S&amp;Gact";#N/A,#N/A,TRUE,"S&amp;Gproj ";#N/A,#N/A,TRUE,"dengis";#N/A,#N/A,TRUE,"dengisproj";#N/A,#N/A,TRUE,"mitinc";#N/A,#N/A,TRUE,"mitincproj";#N/A,#N/A,TRUE,"mits&amp;G";#N/A,#N/A,TRUE,"mits&amp;gproj";#N/A,#N/A,TRUE,"arcis";#N/A,#N/A,TRUE,"arcproj";#N/A,#N/A,TRUE,"ampinc";#N/A,#N/A,TRUE,"ampincproj";#N/A,#N/A,TRUE,"ampman";#N/A,#N/A,TRUE,"ampmanproj";#N/A,#N/A,TRUE,"ampS&amp;G";#N/A,#N/A,TRUE,"amps&amp;GProj"}</definedName>
    <definedName name="gccgg_1" localSheetId="8" hidden="1">{#N/A,#N/A,TRUE,"consinc";#N/A,#N/A,TRUE,"consproj";#N/A,#N/A,TRUE,"deminc";#N/A,#N/A,TRUE,"incproj";#N/A,#N/A,TRUE,"demman";#N/A,#N/A,TRUE,"manproj";#N/A,#N/A,TRUE,"S&amp;Gact";#N/A,#N/A,TRUE,"S&amp;Gproj ";#N/A,#N/A,TRUE,"dengis";#N/A,#N/A,TRUE,"dengisproj";#N/A,#N/A,TRUE,"mitinc";#N/A,#N/A,TRUE,"mitincproj";#N/A,#N/A,TRUE,"mits&amp;G";#N/A,#N/A,TRUE,"mits&amp;gproj";#N/A,#N/A,TRUE,"arcis";#N/A,#N/A,TRUE,"arcproj";#N/A,#N/A,TRUE,"ampinc";#N/A,#N/A,TRUE,"ampincproj";#N/A,#N/A,TRUE,"ampman";#N/A,#N/A,TRUE,"ampmanproj";#N/A,#N/A,TRUE,"ampS&amp;G";#N/A,#N/A,TRUE,"amps&amp;GProj"}</definedName>
    <definedName name="gccgg_1" hidden="1">{#N/A,#N/A,TRUE,"consinc";#N/A,#N/A,TRUE,"consproj";#N/A,#N/A,TRUE,"deminc";#N/A,#N/A,TRUE,"incproj";#N/A,#N/A,TRUE,"demman";#N/A,#N/A,TRUE,"manproj";#N/A,#N/A,TRUE,"S&amp;Gact";#N/A,#N/A,TRUE,"S&amp;Gproj ";#N/A,#N/A,TRUE,"dengis";#N/A,#N/A,TRUE,"dengisproj";#N/A,#N/A,TRUE,"mitinc";#N/A,#N/A,TRUE,"mitincproj";#N/A,#N/A,TRUE,"mits&amp;G";#N/A,#N/A,TRUE,"mits&amp;gproj";#N/A,#N/A,TRUE,"arcis";#N/A,#N/A,TRUE,"arcproj";#N/A,#N/A,TRUE,"ampinc";#N/A,#N/A,TRUE,"ampincproj";#N/A,#N/A,TRUE,"ampman";#N/A,#N/A,TRUE,"ampmanproj";#N/A,#N/A,TRUE,"ampS&amp;G";#N/A,#N/A,TRUE,"amps&amp;GProj"}</definedName>
    <definedName name="gcgcg" localSheetId="8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gcgcg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gcgcg_1" localSheetId="8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gcgcg_1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gch" localSheetId="8" hidden="1">{#N/A,#N/A,TRUE,"consinc";#N/A,#N/A,TRUE,"consproj";#N/A,#N/A,TRUE,"deminc";#N/A,#N/A,TRUE,"incproj";#N/A,#N/A,TRUE,"demman";#N/A,#N/A,TRUE,"manproj";#N/A,#N/A,TRUE,"S&amp;Gact";#N/A,#N/A,TRUE,"S&amp;Gproj ";#N/A,#N/A,TRUE,"dengis";#N/A,#N/A,TRUE,"dengisproj";#N/A,#N/A,TRUE,"mitinc";#N/A,#N/A,TRUE,"mitincproj";#N/A,#N/A,TRUE,"mits&amp;G";#N/A,#N/A,TRUE,"mits&amp;gproj";#N/A,#N/A,TRUE,"arcis";#N/A,#N/A,TRUE,"arcproj";#N/A,#N/A,TRUE,"ampinc";#N/A,#N/A,TRUE,"ampincproj";#N/A,#N/A,TRUE,"ampman";#N/A,#N/A,TRUE,"ampmanproj";#N/A,#N/A,TRUE,"ampS&amp;G";#N/A,#N/A,TRUE,"amps&amp;GProj"}</definedName>
    <definedName name="gch" hidden="1">{#N/A,#N/A,TRUE,"consinc";#N/A,#N/A,TRUE,"consproj";#N/A,#N/A,TRUE,"deminc";#N/A,#N/A,TRUE,"incproj";#N/A,#N/A,TRUE,"demman";#N/A,#N/A,TRUE,"manproj";#N/A,#N/A,TRUE,"S&amp;Gact";#N/A,#N/A,TRUE,"S&amp;Gproj ";#N/A,#N/A,TRUE,"dengis";#N/A,#N/A,TRUE,"dengisproj";#N/A,#N/A,TRUE,"mitinc";#N/A,#N/A,TRUE,"mitincproj";#N/A,#N/A,TRUE,"mits&amp;G";#N/A,#N/A,TRUE,"mits&amp;gproj";#N/A,#N/A,TRUE,"arcis";#N/A,#N/A,TRUE,"arcproj";#N/A,#N/A,TRUE,"ampinc";#N/A,#N/A,TRUE,"ampincproj";#N/A,#N/A,TRUE,"ampman";#N/A,#N/A,TRUE,"ampmanproj";#N/A,#N/A,TRUE,"ampS&amp;G";#N/A,#N/A,TRUE,"amps&amp;GProj"}</definedName>
    <definedName name="gch_1" localSheetId="8" hidden="1">{#N/A,#N/A,TRUE,"consinc";#N/A,#N/A,TRUE,"consproj";#N/A,#N/A,TRUE,"deminc";#N/A,#N/A,TRUE,"incproj";#N/A,#N/A,TRUE,"demman";#N/A,#N/A,TRUE,"manproj";#N/A,#N/A,TRUE,"S&amp;Gact";#N/A,#N/A,TRUE,"S&amp;Gproj ";#N/A,#N/A,TRUE,"dengis";#N/A,#N/A,TRUE,"dengisproj";#N/A,#N/A,TRUE,"mitinc";#N/A,#N/A,TRUE,"mitincproj";#N/A,#N/A,TRUE,"mits&amp;G";#N/A,#N/A,TRUE,"mits&amp;gproj";#N/A,#N/A,TRUE,"arcis";#N/A,#N/A,TRUE,"arcproj";#N/A,#N/A,TRUE,"ampinc";#N/A,#N/A,TRUE,"ampincproj";#N/A,#N/A,TRUE,"ampman";#N/A,#N/A,TRUE,"ampmanproj";#N/A,#N/A,TRUE,"ampS&amp;G";#N/A,#N/A,TRUE,"amps&amp;GProj"}</definedName>
    <definedName name="gch_1" hidden="1">{#N/A,#N/A,TRUE,"consinc";#N/A,#N/A,TRUE,"consproj";#N/A,#N/A,TRUE,"deminc";#N/A,#N/A,TRUE,"incproj";#N/A,#N/A,TRUE,"demman";#N/A,#N/A,TRUE,"manproj";#N/A,#N/A,TRUE,"S&amp;Gact";#N/A,#N/A,TRUE,"S&amp;Gproj ";#N/A,#N/A,TRUE,"dengis";#N/A,#N/A,TRUE,"dengisproj";#N/A,#N/A,TRUE,"mitinc";#N/A,#N/A,TRUE,"mitincproj";#N/A,#N/A,TRUE,"mits&amp;G";#N/A,#N/A,TRUE,"mits&amp;gproj";#N/A,#N/A,TRUE,"arcis";#N/A,#N/A,TRUE,"arcproj";#N/A,#N/A,TRUE,"ampinc";#N/A,#N/A,TRUE,"ampincproj";#N/A,#N/A,TRUE,"ampman";#N/A,#N/A,TRUE,"ampmanproj";#N/A,#N/A,TRUE,"ampS&amp;G";#N/A,#N/A,TRUE,"amps&amp;GProj"}</definedName>
    <definedName name="gchc" localSheetId="8" hidden="1">{#N/A,#N/A,FALSE,"debt";#N/A,#N/A,FALSE,"apsort";#N/A,#N/A,FALSE,"AR"}</definedName>
    <definedName name="gchc" hidden="1">{#N/A,#N/A,FALSE,"debt";#N/A,#N/A,FALSE,"apsort";#N/A,#N/A,FALSE,"AR"}</definedName>
    <definedName name="gchc_1" localSheetId="8" hidden="1">{#N/A,#N/A,FALSE,"debt";#N/A,#N/A,FALSE,"apsort";#N/A,#N/A,FALSE,"AR"}</definedName>
    <definedName name="gchc_1" hidden="1">{#N/A,#N/A,FALSE,"debt";#N/A,#N/A,FALSE,"apsort";#N/A,#N/A,FALSE,"AR"}</definedName>
    <definedName name="gchch" localSheetId="8" hidden="1">{"fssum01",#N/A,FALSE,"fssum";"fssum02",#N/A,FALSE,"fssum"}</definedName>
    <definedName name="gchch" hidden="1">{"fssum01",#N/A,FALSE,"fssum";"fssum02",#N/A,FALSE,"fssum"}</definedName>
    <definedName name="gchch_1" localSheetId="8" hidden="1">{"fssum01",#N/A,FALSE,"fssum";"fssum02",#N/A,FALSE,"fssum"}</definedName>
    <definedName name="gchch_1" hidden="1">{"fssum01",#N/A,FALSE,"fssum";"fssum02",#N/A,FALSE,"fssum"}</definedName>
    <definedName name="gdd" localSheetId="8" hidden="1">{"fssum01",#N/A,FALSE,"fssum";"fssum02",#N/A,FALSE,"fssum"}</definedName>
    <definedName name="gdd" hidden="1">{"fssum01",#N/A,FALSE,"fssum";"fssum02",#N/A,FALSE,"fssum"}</definedName>
    <definedName name="gdd_1" localSheetId="8" hidden="1">{"fssum01",#N/A,FALSE,"fssum";"fssum02",#N/A,FALSE,"fssum"}</definedName>
    <definedName name="gdd_1" hidden="1">{"fssum01",#N/A,FALSE,"fssum";"fssum02",#N/A,FALSE,"fssum"}</definedName>
    <definedName name="gddddddd" localSheetId="8" hidden="1">{#N/A,#N/A,FALSE,"F94is";#N/A,#N/A,FALSE,"T94is";#N/A,#N/A,FALSE,"TOT94is";#N/A,#N/A,FALSE,"f94oh";#N/A,#N/A,FALSE,"Toh94";#N/A,#N/A,FALSE,"TOT94oh";#N/A,#N/A,FALSE,"SGA94";#N/A,#N/A,FALSE,"bs94";#N/A,#N/A,FALSE,"debt";#N/A,#N/A,FALSE,"f94proj";#N/A,#N/A,FALSE,"t94proj";#N/A,#N/A,FALSE,"tot94proj";#N/A,#N/A,FALSE,"f94ohproj";#N/A,#N/A,FALSE,"t94ohproj";#N/A,#N/A,FALSE,"tot94ohproj";#N/A,#N/A,FALSE,"projsga";#N/A,#N/A,FALSE,"projcf";#N/A,#N/A,FALSE,"Projline";#N/A,#N/A,FALSE,"bankline";#N/A,#N/A,FALSE,"Fast95is";#N/A,#N/A,FALSE,"tool95is";#N/A,#N/A,FALSE,"tot95is";#N/A,#N/A,FALSE,"tool950h";#N/A,#N/A,FALSE,"fas95oh";#N/A,#N/A,FALSE,"tot95oh";#N/A,#N/A,FALSE,"95sga"}</definedName>
    <definedName name="gddddddd" hidden="1">{#N/A,#N/A,FALSE,"F94is";#N/A,#N/A,FALSE,"T94is";#N/A,#N/A,FALSE,"TOT94is";#N/A,#N/A,FALSE,"f94oh";#N/A,#N/A,FALSE,"Toh94";#N/A,#N/A,FALSE,"TOT94oh";#N/A,#N/A,FALSE,"SGA94";#N/A,#N/A,FALSE,"bs94";#N/A,#N/A,FALSE,"debt";#N/A,#N/A,FALSE,"f94proj";#N/A,#N/A,FALSE,"t94proj";#N/A,#N/A,FALSE,"tot94proj";#N/A,#N/A,FALSE,"f94ohproj";#N/A,#N/A,FALSE,"t94ohproj";#N/A,#N/A,FALSE,"tot94ohproj";#N/A,#N/A,FALSE,"projsga";#N/A,#N/A,FALSE,"projcf";#N/A,#N/A,FALSE,"Projline";#N/A,#N/A,FALSE,"bankline";#N/A,#N/A,FALSE,"Fast95is";#N/A,#N/A,FALSE,"tool95is";#N/A,#N/A,FALSE,"tot95is";#N/A,#N/A,FALSE,"tool950h";#N/A,#N/A,FALSE,"fas95oh";#N/A,#N/A,FALSE,"tot95oh";#N/A,#N/A,FALSE,"95sga"}</definedName>
    <definedName name="gddddddd_1" localSheetId="8" hidden="1">{#N/A,#N/A,FALSE,"F94is";#N/A,#N/A,FALSE,"T94is";#N/A,#N/A,FALSE,"TOT94is";#N/A,#N/A,FALSE,"f94oh";#N/A,#N/A,FALSE,"Toh94";#N/A,#N/A,FALSE,"TOT94oh";#N/A,#N/A,FALSE,"SGA94";#N/A,#N/A,FALSE,"bs94";#N/A,#N/A,FALSE,"debt";#N/A,#N/A,FALSE,"f94proj";#N/A,#N/A,FALSE,"t94proj";#N/A,#N/A,FALSE,"tot94proj";#N/A,#N/A,FALSE,"f94ohproj";#N/A,#N/A,FALSE,"t94ohproj";#N/A,#N/A,FALSE,"tot94ohproj";#N/A,#N/A,FALSE,"projsga";#N/A,#N/A,FALSE,"projcf";#N/A,#N/A,FALSE,"Projline";#N/A,#N/A,FALSE,"bankline";#N/A,#N/A,FALSE,"Fast95is";#N/A,#N/A,FALSE,"tool95is";#N/A,#N/A,FALSE,"tot95is";#N/A,#N/A,FALSE,"tool950h";#N/A,#N/A,FALSE,"fas95oh";#N/A,#N/A,FALSE,"tot95oh";#N/A,#N/A,FALSE,"95sga"}</definedName>
    <definedName name="gddddddd_1" hidden="1">{#N/A,#N/A,FALSE,"F94is";#N/A,#N/A,FALSE,"T94is";#N/A,#N/A,FALSE,"TOT94is";#N/A,#N/A,FALSE,"f94oh";#N/A,#N/A,FALSE,"Toh94";#N/A,#N/A,FALSE,"TOT94oh";#N/A,#N/A,FALSE,"SGA94";#N/A,#N/A,FALSE,"bs94";#N/A,#N/A,FALSE,"debt";#N/A,#N/A,FALSE,"f94proj";#N/A,#N/A,FALSE,"t94proj";#N/A,#N/A,FALSE,"tot94proj";#N/A,#N/A,FALSE,"f94ohproj";#N/A,#N/A,FALSE,"t94ohproj";#N/A,#N/A,FALSE,"tot94ohproj";#N/A,#N/A,FALSE,"projsga";#N/A,#N/A,FALSE,"projcf";#N/A,#N/A,FALSE,"Projline";#N/A,#N/A,FALSE,"bankline";#N/A,#N/A,FALSE,"Fast95is";#N/A,#N/A,FALSE,"tool95is";#N/A,#N/A,FALSE,"tot95is";#N/A,#N/A,FALSE,"tool950h";#N/A,#N/A,FALSE,"fas95oh";#N/A,#N/A,FALSE,"tot95oh";#N/A,#N/A,FALSE,"95sga"}</definedName>
    <definedName name="gddg" localSheetId="8" hidden="1">{#N/A,#N/A,FALSE,"projcf";#N/A,#N/A,FALSE,"Projline";#N/A,#N/A,FALSE,"bankline";#N/A,#N/A,FALSE,"Fast95is";#N/A,#N/A,FALSE,"tool95is";#N/A,#N/A,FALSE,"tot95is";#N/A,#N/A,FALSE,"tool950h";#N/A,#N/A,FALSE,"fas95oh";#N/A,#N/A,FALSE,"tot95oh";#N/A,#N/A,FALSE,"95sga";#N/A,#N/A,FALSE,"95projcf";#N/A,#N/A,FALSE,"95loc";#N/A,#N/A,FALSE,"95bankline"}</definedName>
    <definedName name="gddg" hidden="1">{#N/A,#N/A,FALSE,"projcf";#N/A,#N/A,FALSE,"Projline";#N/A,#N/A,FALSE,"bankline";#N/A,#N/A,FALSE,"Fast95is";#N/A,#N/A,FALSE,"tool95is";#N/A,#N/A,FALSE,"tot95is";#N/A,#N/A,FALSE,"tool950h";#N/A,#N/A,FALSE,"fas95oh";#N/A,#N/A,FALSE,"tot95oh";#N/A,#N/A,FALSE,"95sga";#N/A,#N/A,FALSE,"95projcf";#N/A,#N/A,FALSE,"95loc";#N/A,#N/A,FALSE,"95bankline"}</definedName>
    <definedName name="gddg_1" localSheetId="8" hidden="1">{#N/A,#N/A,FALSE,"projcf";#N/A,#N/A,FALSE,"Projline";#N/A,#N/A,FALSE,"bankline";#N/A,#N/A,FALSE,"Fast95is";#N/A,#N/A,FALSE,"tool95is";#N/A,#N/A,FALSE,"tot95is";#N/A,#N/A,FALSE,"tool950h";#N/A,#N/A,FALSE,"fas95oh";#N/A,#N/A,FALSE,"tot95oh";#N/A,#N/A,FALSE,"95sga";#N/A,#N/A,FALSE,"95projcf";#N/A,#N/A,FALSE,"95loc";#N/A,#N/A,FALSE,"95bankline"}</definedName>
    <definedName name="gddg_1" hidden="1">{#N/A,#N/A,FALSE,"projcf";#N/A,#N/A,FALSE,"Projline";#N/A,#N/A,FALSE,"bankline";#N/A,#N/A,FALSE,"Fast95is";#N/A,#N/A,FALSE,"tool95is";#N/A,#N/A,FALSE,"tot95is";#N/A,#N/A,FALSE,"tool950h";#N/A,#N/A,FALSE,"fas95oh";#N/A,#N/A,FALSE,"tot95oh";#N/A,#N/A,FALSE,"95sga";#N/A,#N/A,FALSE,"95projcf";#N/A,#N/A,FALSE,"95loc";#N/A,#N/A,FALSE,"95bankline"}</definedName>
    <definedName name="GDF" localSheetId="8" hidden="1">{"detail",#N/A,FALSE,"mfg";"summary",#N/A,FALSE,"mfg"}</definedName>
    <definedName name="GDF" hidden="1">{"detail",#N/A,FALSE,"mfg";"summary",#N/A,FALSE,"mfg"}</definedName>
    <definedName name="gdff" localSheetId="8" hidden="1">{"Methodology and Sourcing",#N/A,FALSE,"Methodology and Sourcing";"britishtelecom",#N/A,FALSE,"BT out";"CTC",#N/A,FALSE,"CTC out";"DT",#N/A,FALSE,"DT out";"FT",#N/A,FALSE,"FT out";"HKT",#N/A,FALSE,"HKT out";"KPN",#N/A,FALSE,"KPN out";"MATAV",#N/A,FALSE,"MATAV out";"PT Telkom",#N/A,FALSE,"PT Telkom out";"Tel Arg",#N/A,FALSE,"Tel Arg out";"Telef Arg",#N/A,FALSE,"TASA out";"Tel Asia",#N/A,FALSE,"Tel. Asia Out";"T de E",#N/A,FALSE,"T de E out";"Tel Malay",#N/A,FALSE,"Tel Malay out";"TELMEX",#N/A,FALSE,"Telmex out";"TNZ",#N/A,FALSE,"TNZ out";"Telkom SA",#N/A,FALSE,"Telkom SA out";"SPT",#N/A,FALSE,"SPT out";"USA",#N/A,FALSE,"USA out"}</definedName>
    <definedName name="gdff" hidden="1">{"Methodology and Sourcing",#N/A,FALSE,"Methodology and Sourcing";"britishtelecom",#N/A,FALSE,"BT out";"CTC",#N/A,FALSE,"CTC out";"DT",#N/A,FALSE,"DT out";"FT",#N/A,FALSE,"FT out";"HKT",#N/A,FALSE,"HKT out";"KPN",#N/A,FALSE,"KPN out";"MATAV",#N/A,FALSE,"MATAV out";"PT Telkom",#N/A,FALSE,"PT Telkom out";"Tel Arg",#N/A,FALSE,"Tel Arg out";"Telef Arg",#N/A,FALSE,"TASA out";"Tel Asia",#N/A,FALSE,"Tel. Asia Out";"T de E",#N/A,FALSE,"T de E out";"Tel Malay",#N/A,FALSE,"Tel Malay out";"TELMEX",#N/A,FALSE,"Telmex out";"TNZ",#N/A,FALSE,"TNZ out";"Telkom SA",#N/A,FALSE,"Telkom SA out";"SPT",#N/A,FALSE,"SPT out";"USA",#N/A,FALSE,"USA out"}</definedName>
    <definedName name="gdfg" localSheetId="8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gdfg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gdfgdf" localSheetId="7" hidden="1">{#N/A,#N/A,FALSE,"Pharm";#N/A,#N/A,FALSE,"WWCM"}</definedName>
    <definedName name="gdfgdf" localSheetId="8" hidden="1">{#N/A,#N/A,FALSE,"Pharm";#N/A,#N/A,FALSE,"WWCM"}</definedName>
    <definedName name="gdfgdf" hidden="1">{#N/A,#N/A,FALSE,"Pharm";#N/A,#N/A,FALSE,"WWCM"}</definedName>
    <definedName name="gdmhg" localSheetId="8" hidden="1">{#N/A,#N/A,TRUE,"consinc";#N/A,#N/A,TRUE,"consproj";#N/A,#N/A,TRUE,"deminc";#N/A,#N/A,TRUE,"incproj";#N/A,#N/A,TRUE,"demman";#N/A,#N/A,TRUE,"manproj";#N/A,#N/A,TRUE,"S&amp;Gact";#N/A,#N/A,TRUE,"S&amp;Gproj ";#N/A,#N/A,TRUE,"dengis";#N/A,#N/A,TRUE,"dengisproj";#N/A,#N/A,TRUE,"mitinc";#N/A,#N/A,TRUE,"mitincproj";#N/A,#N/A,TRUE,"mits&amp;G";#N/A,#N/A,TRUE,"mits&amp;gproj";#N/A,#N/A,TRUE,"arcis";#N/A,#N/A,TRUE,"arcproj";#N/A,#N/A,TRUE,"ampinc";#N/A,#N/A,TRUE,"ampincproj";#N/A,#N/A,TRUE,"ampman";#N/A,#N/A,TRUE,"ampmanproj";#N/A,#N/A,TRUE,"ampS&amp;G";#N/A,#N/A,TRUE,"amps&amp;GProj"}</definedName>
    <definedName name="gdmhg" hidden="1">{#N/A,#N/A,TRUE,"consinc";#N/A,#N/A,TRUE,"consproj";#N/A,#N/A,TRUE,"deminc";#N/A,#N/A,TRUE,"incproj";#N/A,#N/A,TRUE,"demman";#N/A,#N/A,TRUE,"manproj";#N/A,#N/A,TRUE,"S&amp;Gact";#N/A,#N/A,TRUE,"S&amp;Gproj ";#N/A,#N/A,TRUE,"dengis";#N/A,#N/A,TRUE,"dengisproj";#N/A,#N/A,TRUE,"mitinc";#N/A,#N/A,TRUE,"mitincproj";#N/A,#N/A,TRUE,"mits&amp;G";#N/A,#N/A,TRUE,"mits&amp;gproj";#N/A,#N/A,TRUE,"arcis";#N/A,#N/A,TRUE,"arcproj";#N/A,#N/A,TRUE,"ampinc";#N/A,#N/A,TRUE,"ampincproj";#N/A,#N/A,TRUE,"ampman";#N/A,#N/A,TRUE,"ampmanproj";#N/A,#N/A,TRUE,"ampS&amp;G";#N/A,#N/A,TRUE,"amps&amp;GProj"}</definedName>
    <definedName name="gdmhg_1" localSheetId="8" hidden="1">{#N/A,#N/A,TRUE,"consinc";#N/A,#N/A,TRUE,"consproj";#N/A,#N/A,TRUE,"deminc";#N/A,#N/A,TRUE,"incproj";#N/A,#N/A,TRUE,"demman";#N/A,#N/A,TRUE,"manproj";#N/A,#N/A,TRUE,"S&amp;Gact";#N/A,#N/A,TRUE,"S&amp;Gproj ";#N/A,#N/A,TRUE,"dengis";#N/A,#N/A,TRUE,"dengisproj";#N/A,#N/A,TRUE,"mitinc";#N/A,#N/A,TRUE,"mitincproj";#N/A,#N/A,TRUE,"mits&amp;G";#N/A,#N/A,TRUE,"mits&amp;gproj";#N/A,#N/A,TRUE,"arcis";#N/A,#N/A,TRUE,"arcproj";#N/A,#N/A,TRUE,"ampinc";#N/A,#N/A,TRUE,"ampincproj";#N/A,#N/A,TRUE,"ampman";#N/A,#N/A,TRUE,"ampmanproj";#N/A,#N/A,TRUE,"ampS&amp;G";#N/A,#N/A,TRUE,"amps&amp;GProj"}</definedName>
    <definedName name="gdmhg_1" hidden="1">{#N/A,#N/A,TRUE,"consinc";#N/A,#N/A,TRUE,"consproj";#N/A,#N/A,TRUE,"deminc";#N/A,#N/A,TRUE,"incproj";#N/A,#N/A,TRUE,"demman";#N/A,#N/A,TRUE,"manproj";#N/A,#N/A,TRUE,"S&amp;Gact";#N/A,#N/A,TRUE,"S&amp;Gproj ";#N/A,#N/A,TRUE,"dengis";#N/A,#N/A,TRUE,"dengisproj";#N/A,#N/A,TRUE,"mitinc";#N/A,#N/A,TRUE,"mitincproj";#N/A,#N/A,TRUE,"mits&amp;G";#N/A,#N/A,TRUE,"mits&amp;gproj";#N/A,#N/A,TRUE,"arcis";#N/A,#N/A,TRUE,"arcproj";#N/A,#N/A,TRUE,"ampinc";#N/A,#N/A,TRUE,"ampincproj";#N/A,#N/A,TRUE,"ampman";#N/A,#N/A,TRUE,"ampmanproj";#N/A,#N/A,TRUE,"ampS&amp;G";#N/A,#N/A,TRUE,"amps&amp;GProj"}</definedName>
    <definedName name="gdrgs" localSheetId="8" hidden="1">{#N/A,#N/A,FALSE,"CA";#N/A,#N/A,FALSE,"CN";#N/A,#N/A,FALSE,"Inv";#N/A,#N/A,FALSE,"Inv Acc";"Miguel_balance",#N/A,FALSE,"Bal";#N/A,#N/A,FALSE,"Plantilla";#N/A,#N/A,FALSE,"CA (2)";#N/A,#N/A,FALSE,"CN (2)"}</definedName>
    <definedName name="gdrgs" hidden="1">{#N/A,#N/A,FALSE,"CA";#N/A,#N/A,FALSE,"CN";#N/A,#N/A,FALSE,"Inv";#N/A,#N/A,FALSE,"Inv Acc";"Miguel_balance",#N/A,FALSE,"Bal";#N/A,#N/A,FALSE,"Plantilla";#N/A,#N/A,FALSE,"CA (2)";#N/A,#N/A,FALSE,"CN (2)"}</definedName>
    <definedName name="gdsfg" localSheetId="8" hidden="1">{#N/A,#N/A,TRUE,"Cover sheet";#N/A,#N/A,TRUE,"INPUTS";#N/A,#N/A,TRUE,"OUTPUTS";#N/A,#N/A,TRUE,"VALUATION"}</definedName>
    <definedName name="gdsfg" hidden="1">{#N/A,#N/A,TRUE,"Cover sheet";#N/A,#N/A,TRUE,"INPUTS";#N/A,#N/A,TRUE,"OUTPUTS";#N/A,#N/A,TRUE,"VALUATION"}</definedName>
    <definedName name="gdsfg_1" localSheetId="8" hidden="1">{#N/A,#N/A,TRUE,"Cover sheet";#N/A,#N/A,TRUE,"INPUTS";#N/A,#N/A,TRUE,"OUTPUTS";#N/A,#N/A,TRUE,"VALUATION"}</definedName>
    <definedName name="gdsfg_1" hidden="1">{#N/A,#N/A,TRUE,"Cover sheet";#N/A,#N/A,TRUE,"INPUTS";#N/A,#N/A,TRUE,"OUTPUTS";#N/A,#N/A,TRUE,"VALUATION"}</definedName>
    <definedName name="GE" localSheetId="8" hidden="1">{TRUE,TRUE,-2.75,-17,487.5,256.5,FALSE,TRUE,TRUE,TRUE,0,1,19,3,1,1.41666666666667,2.2,4,TRUE,TRUE,3,TRUE,1,FALSE,100,"Swvu.MDC3.","ACwvu.MDC3.",#N/A,FALSE,FALSE,0.62,0.61,1,0.984251969,2,"&amp;LAPRILIA HISPANIA
control de gestion
Margenes de contribucion y facturacion neta mensual 1996
&amp;R&amp;D","&amp;C7",FALSE,FALSE,FALSE,FALSE,1,90,#N/A,#N/A,"=R1C35:R46C50","=C1,R1:R4",#N/A,#N/A,FALSE,FALSE,TRUE,9,300,300,FALSE,FALSE,TRUE,TRUE,TRUE}</definedName>
    <definedName name="GE" hidden="1">{TRUE,TRUE,-2.75,-17,487.5,256.5,FALSE,TRUE,TRUE,TRUE,0,1,19,3,1,1.41666666666667,2.2,4,TRUE,TRUE,3,TRUE,1,FALSE,100,"Swvu.MDC3.","ACwvu.MDC3.",#N/A,FALSE,FALSE,0.62,0.61,1,0.984251969,2,"&amp;LAPRILIA HISPANIA
control de gestion
Margenes de contribucion y facturacion neta mensual 1996
&amp;R&amp;D","&amp;C7",FALSE,FALSE,FALSE,FALSE,1,90,#N/A,#N/A,"=R1C35:R46C50","=C1,R1:R4",#N/A,#N/A,FALSE,FALSE,TRUE,9,300,300,FALSE,FALSE,TRUE,TRUE,TRUE}</definedName>
    <definedName name="GE_1" localSheetId="8" hidden="1">{TRUE,TRUE,-2.75,-17,487.5,256.5,FALSE,TRUE,TRUE,TRUE,0,1,19,3,1,1.41666666666667,2.2,4,TRUE,TRUE,3,TRUE,1,FALSE,100,"Swvu.MDC3.","ACwvu.MDC3.",#N/A,FALSE,FALSE,0.62,0.61,1,0.984251969,2,"&amp;LAPRILIA HISPANIA
control de gestion
Margenes de contribucion y facturacion neta mensual 1996
&amp;R&amp;D","&amp;C7",FALSE,FALSE,FALSE,FALSE,1,90,#N/A,#N/A,"=R1C35:R46C50","=C1,R1:R4",#N/A,#N/A,FALSE,FALSE,TRUE,9,300,300,FALSE,FALSE,TRUE,TRUE,TRUE}</definedName>
    <definedName name="GE_1" hidden="1">{TRUE,TRUE,-2.75,-17,487.5,256.5,FALSE,TRUE,TRUE,TRUE,0,1,19,3,1,1.41666666666667,2.2,4,TRUE,TRUE,3,TRUE,1,FALSE,100,"Swvu.MDC3.","ACwvu.MDC3.",#N/A,FALSE,FALSE,0.62,0.61,1,0.984251969,2,"&amp;LAPRILIA HISPANIA
control de gestion
Margenes de contribucion y facturacion neta mensual 1996
&amp;R&amp;D","&amp;C7",FALSE,FALSE,FALSE,FALSE,1,90,#N/A,#N/A,"=R1C35:R46C50","=C1,R1:R4",#N/A,#N/A,FALSE,FALSE,TRUE,9,300,300,FALSE,FALSE,TRUE,TRUE,TRUE}</definedName>
    <definedName name="geamte" localSheetId="8" hidden="1">{#N/A,#N/A,FALSE,"Assessment";#N/A,#N/A,FALSE,"Staffing";#N/A,#N/A,FALSE,"Hires";#N/A,#N/A,FALSE,"Assumptions"}</definedName>
    <definedName name="geamte" hidden="1">{#N/A,#N/A,FALSE,"Assessment";#N/A,#N/A,FALSE,"Staffing";#N/A,#N/A,FALSE,"Hires";#N/A,#N/A,FALSE,"Assumptions"}</definedName>
    <definedName name="geb" localSheetId="8" hidden="1">{"comps",#N/A,FALSE,"Intl comps";"notes",#N/A,FALSE,"Intl comps"}</definedName>
    <definedName name="geb" hidden="1">{"comps",#N/A,FALSE,"Intl comps";"notes",#N/A,FALSE,"Intl comps"}</definedName>
    <definedName name="geb_1" localSheetId="8" hidden="1">{"comps",#N/A,FALSE,"Intl comps";"notes",#N/A,FALSE,"Intl comps"}</definedName>
    <definedName name="geb_1" hidden="1">{"comps",#N/A,FALSE,"Intl comps";"notes",#N/A,FALSE,"Intl comps"}</definedName>
    <definedName name="GECA" localSheetId="8" hidden="1">{"'Sheet1'!$A$1:$H$145"}</definedName>
    <definedName name="GECA" hidden="1">{"'Sheet1'!$A$1:$H$145"}</definedName>
    <definedName name="GEE" hidden="1">#REF!</definedName>
    <definedName name="GEGE" hidden="1">#REF!</definedName>
    <definedName name="GEGEG" hidden="1">#REF!</definedName>
    <definedName name="GEI" localSheetId="8" hidden="1">{#N/A,#N/A,FALSE,"DeudAcre";#N/A,#N/A,FALSE,"Compvta";#N/A,#N/A,FALSE,"Ajust.IM";#N/A,#N/A,FALSE,"Ajust.Exi";#N/A,#N/A,FALSE,"Ajust.Div";#N/A,#N/A,FALSE,"Ajust.IF"}</definedName>
    <definedName name="GEI" hidden="1">{#N/A,#N/A,FALSE,"DeudAcre";#N/A,#N/A,FALSE,"Compvta";#N/A,#N/A,FALSE,"Ajust.IM";#N/A,#N/A,FALSE,"Ajust.Exi";#N/A,#N/A,FALSE,"Ajust.Div";#N/A,#N/A,FALSE,"Ajust.IF"}</definedName>
    <definedName name="Geographical" localSheetId="8" hidden="1">{"Acum Div 3",#N/A,FALSE,"Acum Diversos 3"}</definedName>
    <definedName name="Geographical" hidden="1">{"Acum Div 3",#N/A,FALSE,"Acum Diversos 3"}</definedName>
    <definedName name="GESP1201" localSheetId="8" hidden="1">{#N/A,#N/A,FALSE,"ATIVO";#N/A,#N/A,FALSE,"PASSIVO";#N/A,#N/A,FALSE,"L&amp;P";#N/A,#N/A,FALSE,"INTEREST";#N/A,#N/A,FALSE,"IRDIFERIDO"}</definedName>
    <definedName name="GESP1201" hidden="1">{#N/A,#N/A,FALSE,"ATIVO";#N/A,#N/A,FALSE,"PASSIVO";#N/A,#N/A,FALSE,"L&amp;P";#N/A,#N/A,FALSE,"INTEREST";#N/A,#N/A,FALSE,"IRDIFERIDO"}</definedName>
    <definedName name="gf" localSheetId="8" hidden="1">{#N/A,#N/A,FALSE,"KA CH  (2)"}</definedName>
    <definedName name="gf" hidden="1">{#N/A,#N/A,FALSE,"KA CH  (2)"}</definedName>
    <definedName name="gfd" localSheetId="8" hidden="1">{#N/A,"PURCHM",FALSE,"Business Analysis";#N/A,"SPADD",FALSE,"Business Analysis"}</definedName>
    <definedName name="gfd" hidden="1">{#N/A,"PURCHM",FALSE,"Business Analysis";#N/A,"SPADD",FALSE,"Business Analysis"}</definedName>
    <definedName name="gfdagf" localSheetId="8" hidden="1">{#N/A,#N/A,FALSE,"Cover";#N/A,#N/A,FALSE,"OFF";#N/A,#N/A,FALSE," ON";#N/A,#N/A,FALSE,"SUM";#N/A,#N/A,FALSE,"VPOP-POP"}</definedName>
    <definedName name="gfdagf" hidden="1">{#N/A,#N/A,FALSE,"Cover";#N/A,#N/A,FALSE,"OFF";#N/A,#N/A,FALSE," ON";#N/A,#N/A,FALSE,"SUM";#N/A,#N/A,FALSE,"VPOP-POP"}</definedName>
    <definedName name="gfdagf_new" localSheetId="8" hidden="1">{#N/A,#N/A,FALSE,"Cover";#N/A,#N/A,FALSE,"OFF";#N/A,#N/A,FALSE," ON";#N/A,#N/A,FALSE,"SUM";#N/A,#N/A,FALSE,"VPOP-POP"}</definedName>
    <definedName name="gfdagf_new" hidden="1">{#N/A,#N/A,FALSE,"Cover";#N/A,#N/A,FALSE,"OFF";#N/A,#N/A,FALSE," ON";#N/A,#N/A,FALSE,"SUM";#N/A,#N/A,FALSE,"VPOP-POP"}</definedName>
    <definedName name="gfdjhjh" localSheetId="7" hidden="1">{#N/A,#N/A,FALSE,"Pharm";#N/A,#N/A,FALSE,"WWCM"}</definedName>
    <definedName name="gfdjhjh" localSheetId="8" hidden="1">{#N/A,#N/A,FALSE,"Pharm";#N/A,#N/A,FALSE,"WWCM"}</definedName>
    <definedName name="gfdjhjh" hidden="1">{#N/A,#N/A,FALSE,"Pharm";#N/A,#N/A,FALSE,"WWCM"}</definedName>
    <definedName name="gfds" localSheetId="8" hidden="1">{"oct_res_comm",#N/A,FALSE,"VarToBud"}</definedName>
    <definedName name="gfds" hidden="1">{"oct_res_comm",#N/A,FALSE,"VarToBud"}</definedName>
    <definedName name="gfdsserrt" localSheetId="8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gfdsserrt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gfgf" localSheetId="8" hidden="1">{#N/A,#N/A,FALSE,"MONTHDET";#N/A,#N/A,FALSE,"ACTUAL"}</definedName>
    <definedName name="gfgf" hidden="1">{#N/A,#N/A,FALSE,"MONTHDET";#N/A,#N/A,FALSE,"ACTUAL"}</definedName>
    <definedName name="gfgf_1" localSheetId="8" hidden="1">{#N/A,#N/A,FALSE,"MONTHDET";#N/A,#N/A,FALSE,"ACTUAL"}</definedName>
    <definedName name="gfgf_1" hidden="1">{#N/A,#N/A,FALSE,"MONTHDET";#N/A,#N/A,FALSE,"ACTUAL"}</definedName>
    <definedName name="gfghdfgdf" localSheetId="8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fghdfgdf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fh" localSheetId="8" hidden="1">{"up stand alones",#N/A,FALSE,"Acquiror"}</definedName>
    <definedName name="gfh" hidden="1">{"up stand alones",#N/A,FALSE,"Acquiror"}</definedName>
    <definedName name="gfh_1" localSheetId="8" hidden="1">{"up stand alones",#N/A,FALSE,"Acquiror"}</definedName>
    <definedName name="gfh_1" hidden="1">{"up stand alones",#N/A,FALSE,"Acquiror"}</definedName>
    <definedName name="gfhd" localSheetId="8" hidden="1">{#N/A,#N/A,TRUE,"Voorblad";#N/A,#N/A,TRUE,"Table of Content A";#N/A,#N/A,TRUE,"A1-Summ- Key Figures";#N/A,#N/A,TRUE,"A2-Summ Month Man";#N/A,#N/A,TRUE,"A3-P&amp;L by Bus.Unt-Serv.Unt";#N/A,#N/A,TRUE,"A4-P&amp;L by Old org.";#N/A,#N/A,TRUE,"A6-Bal_Sheet CF by Old org. ";#N/A,#N/A,TRUE,"A8-Headc.Funct."}</definedName>
    <definedName name="gfhd" hidden="1">{#N/A,#N/A,TRUE,"Voorblad";#N/A,#N/A,TRUE,"Table of Content A";#N/A,#N/A,TRUE,"A1-Summ- Key Figures";#N/A,#N/A,TRUE,"A2-Summ Month Man";#N/A,#N/A,TRUE,"A3-P&amp;L by Bus.Unt-Serv.Unt";#N/A,#N/A,TRUE,"A4-P&amp;L by Old org.";#N/A,#N/A,TRUE,"A6-Bal_Sheet CF by Old org. ";#N/A,#N/A,TRUE,"A8-Headc.Funct."}</definedName>
    <definedName name="gfhf" localSheetId="8" hidden="1">{"fssum01",#N/A,FALSE,"fssum";"fssum02",#N/A,FALSE,"fssum"}</definedName>
    <definedName name="gfhf" hidden="1">{"fssum01",#N/A,FALSE,"fssum";"fssum02",#N/A,FALSE,"fssum"}</definedName>
    <definedName name="gfhf_1" localSheetId="8" hidden="1">{"fssum01",#N/A,FALSE,"fssum";"fssum02",#N/A,FALSE,"fssum"}</definedName>
    <definedName name="gfhf_1" hidden="1">{"fssum01",#N/A,FALSE,"fssum";"fssum02",#N/A,FALSE,"fssum"}</definedName>
    <definedName name="gfhfgh" localSheetId="8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gfhfgh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gfhfghgsdfghfg" localSheetId="8" hidden="1">{#N/A,#N/A,FALSE,"Umsatz 99";#N/A,#N/A,FALSE,"ER 99 "}</definedName>
    <definedName name="gfhfghgsdfghfg" hidden="1">{#N/A,#N/A,FALSE,"Umsatz 99";#N/A,#N/A,FALSE,"ER 99 "}</definedName>
    <definedName name="gfhh" localSheetId="8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fhh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fhj" localSheetId="8" hidden="1">{"Ergebnisbericht_UBA",#N/A,FALSE,"MB"}</definedName>
    <definedName name="gfhj" hidden="1">{"Ergebnisbericht_UBA",#N/A,FALSE,"MB"}</definedName>
    <definedName name="gfhj_1" localSheetId="8" hidden="1">{"Ergebnisbericht_UBA",#N/A,FALSE,"MB"}</definedName>
    <definedName name="gfhj_1" hidden="1">{"Ergebnisbericht_UBA",#N/A,FALSE,"MB"}</definedName>
    <definedName name="gfhjgzj" localSheetId="8" hidden="1">{"Eilbericht_UBA",#N/A,FALSE,"EB"}</definedName>
    <definedName name="gfhjgzj" hidden="1">{"Eilbericht_UBA",#N/A,FALSE,"EB"}</definedName>
    <definedName name="gfhjgzj_1" localSheetId="8" hidden="1">{"Eilbericht_UBA",#N/A,FALSE,"EB"}</definedName>
    <definedName name="gfhjgzj_1" hidden="1">{"Eilbericht_UBA",#N/A,FALSE,"EB"}</definedName>
    <definedName name="GFHRT" hidden="1">#REF!</definedName>
    <definedName name="gfjd" localSheetId="8" hidden="1">{#N/A,#N/A,FALSE,"Table of Content ";#N/A,#N/A,FALSE,"1-Summ- Key Figures";#N/A,#N/A,FALSE,"2-Summary P&amp;L - Other ";#N/A,#N/A,FALSE,"3-P&amp;L by Bus.Unt-Serv.Unt";#N/A,#N/A,FALSE,"4-P&amp;L by Business";#N/A,#N/A,FALSE,"5-Bal_Sheet CF";#N/A,#N/A,FALSE,"6-Bal_Sheet CF by Business ";#N/A,#N/A,FALSE,"7-Sales Orders Capex";#N/A,#N/A,FALSE,"8-Headc.Funct.";#N/A,#N/A,FALSE,"9-Custom. Satisf.  #Customers";#N/A,#N/A,FALSE,"P1-Orders RevGap";#N/A,#N/A,FALSE,"P2-Sales Prospects WinLoss";#N/A,#N/A,FALSE,"P3-Detail P&amp;L";#N/A,#N/A,FALSE,"P4-GM per Product";#N/A,#N/A,FALSE,"P5-Mobile(1) ";#N/A,#N/A,FALSE,"P6-Mobile(2)";#N/A,#N/A,FALSE,"P7-Data(1)";#N/A,#N/A,FALSE,"P8-Data (2)";#N/A,#N/A,FALSE,"P9-Voice(1)";#N/A,#N/A,FALSE,"P10-Voice (2)";#N/A,#N/A,FALSE,"P11-Infraestr(1)";#N/A,#N/A,FALSE,"P12-Infraestr(2)";#N/A,#N/A,FALSE,"P13-Funding- Inter.";#N/A,#N/A,FALSE,"P14-Risk &amp; Fraud";#N/A,#N/A,FALSE,"P15-Network ";#N/A,#N/A,FALSE,"P16- Productivity";#N/A,#N/A,FALSE,"Detail P&amp;L-by BU";#N/A,#N/A,FALSE,"Detail P&amp;L-Carriers";#N/A,#N/A,FALSE,"Detail P&amp;L-Large Accounts";#N/A,#N/A,FALSE,"Detail P&amp;L-Consumer_SME";#N/A,#N/A,FALSE,"Detail P&amp;L-Networks &amp; Systems";#N/A,#N/A,FALSE,"Detail P&amp;L-ITBilling";#N/A,#N/A,FALSE,"Detail P&amp;L-Corporate";#N/A,#N/A,FALSE,"Billing &amp; IT"}</definedName>
    <definedName name="gfjd" hidden="1">{#N/A,#N/A,FALSE,"Table of Content ";#N/A,#N/A,FALSE,"1-Summ- Key Figures";#N/A,#N/A,FALSE,"2-Summary P&amp;L - Other ";#N/A,#N/A,FALSE,"3-P&amp;L by Bus.Unt-Serv.Unt";#N/A,#N/A,FALSE,"4-P&amp;L by Business";#N/A,#N/A,FALSE,"5-Bal_Sheet CF";#N/A,#N/A,FALSE,"6-Bal_Sheet CF by Business ";#N/A,#N/A,FALSE,"7-Sales Orders Capex";#N/A,#N/A,FALSE,"8-Headc.Funct.";#N/A,#N/A,FALSE,"9-Custom. Satisf.  #Customers";#N/A,#N/A,FALSE,"P1-Orders RevGap";#N/A,#N/A,FALSE,"P2-Sales Prospects WinLoss";#N/A,#N/A,FALSE,"P3-Detail P&amp;L";#N/A,#N/A,FALSE,"P4-GM per Product";#N/A,#N/A,FALSE,"P5-Mobile(1) ";#N/A,#N/A,FALSE,"P6-Mobile(2)";#N/A,#N/A,FALSE,"P7-Data(1)";#N/A,#N/A,FALSE,"P8-Data (2)";#N/A,#N/A,FALSE,"P9-Voice(1)";#N/A,#N/A,FALSE,"P10-Voice (2)";#N/A,#N/A,FALSE,"P11-Infraestr(1)";#N/A,#N/A,FALSE,"P12-Infraestr(2)";#N/A,#N/A,FALSE,"P13-Funding- Inter.";#N/A,#N/A,FALSE,"P14-Risk &amp; Fraud";#N/A,#N/A,FALSE,"P15-Network ";#N/A,#N/A,FALSE,"P16- Productivity";#N/A,#N/A,FALSE,"Detail P&amp;L-by BU";#N/A,#N/A,FALSE,"Detail P&amp;L-Carriers";#N/A,#N/A,FALSE,"Detail P&amp;L-Large Accounts";#N/A,#N/A,FALSE,"Detail P&amp;L-Consumer_SME";#N/A,#N/A,FALSE,"Detail P&amp;L-Networks &amp; Systems";#N/A,#N/A,FALSE,"Detail P&amp;L-ITBilling";#N/A,#N/A,FALSE,"Detail P&amp;L-Corporate";#N/A,#N/A,FALSE,"Billing &amp; IT"}</definedName>
    <definedName name="gfjgfj" localSheetId="8" hidden="1">{"Ergebnisbericht_UBA",#N/A,FALSE,"MB"}</definedName>
    <definedName name="gfjgfj" hidden="1">{"Ergebnisbericht_UBA",#N/A,FALSE,"MB"}</definedName>
    <definedName name="gfjgfj_1" localSheetId="8" hidden="1">{"Ergebnisbericht_UBA",#N/A,FALSE,"MB"}</definedName>
    <definedName name="gfjgfj_1" hidden="1">{"Ergebnisbericht_UBA",#N/A,FALSE,"MB"}</definedName>
    <definedName name="gfmgf" localSheetId="8" hidden="1">{#N/A,#N/A,FALSE,"Assessment";#N/A,#N/A,FALSE,"Staffing";#N/A,#N/A,FALSE,"Hires";#N/A,#N/A,FALSE,"Assumptions"}</definedName>
    <definedName name="gfmgf" hidden="1">{#N/A,#N/A,FALSE,"Assessment";#N/A,#N/A,FALSE,"Staffing";#N/A,#N/A,FALSE,"Hires";#N/A,#N/A,FALSE,"Assumptions"}</definedName>
    <definedName name="gfngfngffg" localSheetId="8" hidden="1">{#N/A,#N/A,FALSE,"Assessment";#N/A,#N/A,FALSE,"Staffing";#N/A,#N/A,FALSE,"Hires";#N/A,#N/A,FALSE,"Assumptions"}</definedName>
    <definedName name="gfngfngffg" hidden="1">{#N/A,#N/A,FALSE,"Assessment";#N/A,#N/A,FALSE,"Staffing";#N/A,#N/A,FALSE,"Hires";#N/A,#N/A,FALSE,"Assumptions"}</definedName>
    <definedName name="GFRCodeList" localSheetId="8" hidden="1">OFFSET( 'Tax Model'!gfrr, 1, 0 ):OFFSET( 'Tax Model'!gfrr, COUNTA(#REF! ) - 1, 0 )</definedName>
    <definedName name="GFRCodeList" hidden="1">OFFSET( gfrr, 1, 0 ):OFFSET( gfrr, COUNTA(#REF! ) - 1, 0 )</definedName>
    <definedName name="gfrr" localSheetId="8" hidden="1">{#N/A,#N/A,FALSE,"Umsatz 99";#N/A,#N/A,FALSE,"ER 99 "}</definedName>
    <definedName name="gfrr" hidden="1">{#N/A,#N/A,FALSE,"Umsatz 99";#N/A,#N/A,FALSE,"ER 99 "}</definedName>
    <definedName name="GFV" localSheetId="8" hidden="1">{"BR Usage TOT - TOTAL",#N/A,FALSE,"BR Usage TOT";"BR Usage SUB - TOTAL",#N/A,FALSE,"BR Usage SUB";"BR REV - TOTAL",#N/A,FALSE,"BR REV";"BR Rev Min - TOTAL",#N/A,FALSE,"BR Rev Min";"BR ARPU - TOTAL",#N/A,FALSE," BR ARPU";"BR COS - TOTAL",#N/A,FALSE,"BR COS";"BR COS Min - TOTAL",#N/A,FALSE,"BR COS Min"}</definedName>
    <definedName name="GFV" hidden="1">{"BR Usage TOT - TOTAL",#N/A,FALSE,"BR Usage TOT";"BR Usage SUB - TOTAL",#N/A,FALSE,"BR Usage SUB";"BR REV - TOTAL",#N/A,FALSE,"BR REV";"BR Rev Min - TOTAL",#N/A,FALSE,"BR Rev Min";"BR ARPU - TOTAL",#N/A,FALSE," BR ARPU";"BR COS - TOTAL",#N/A,FALSE,"BR COS";"BR COS Min - TOTAL",#N/A,FALSE,"BR COS Min"}</definedName>
    <definedName name="gfyg" hidden="1">#REF!</definedName>
    <definedName name="gg" localSheetId="8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gg" hidden="1">{"'RR'!$A$2:$E$81"}</definedName>
    <definedName name="GG_1" localSheetId="8" hidden="1">{"'DepoFidu Servizio'!$A$1:$F$38","'DepoFidu'!$A$1:$K$31"}</definedName>
    <definedName name="GG_1" hidden="1">{"'DepoFidu Servizio'!$A$1:$F$38","'DepoFidu'!$A$1:$K$31"}</definedName>
    <definedName name="ggegewg" localSheetId="8" hidden="1">{TRUE,TRUE,-2.75,-17,486.75,278.25,FALSE,TRUE,TRUE,TRUE,0,1,12,5,1,0.921875,3.06666666666667,4,TRUE,TRUE,3,TRUE,1,FALSE,100,"Swvu.RDOTOT.","ACwvu.RDOTOT.",#N/A,FALSE,FALSE,1.4,0.22,0.43,0.5,1,"&amp;C
&amp;R&amp;D","&amp;C
&amp;P",FALSE,FALSE,FALSE,FALSE,1,78,#N/A,#N/A,FALSE,"=C1,R1:R6","Rwvu.RDOTOT.","Cwvu.RDOTOT.",FALSE,FALSE,FALSE,#NULL!,#NULL!,#NULL!,FALSE,FALSE,TRUE,TRUE,TRUE}</definedName>
    <definedName name="ggegewg" hidden="1">{TRUE,TRUE,-2.75,-17,486.75,278.25,FALSE,TRUE,TRUE,TRUE,0,1,12,5,1,0.921875,3.06666666666667,4,TRUE,TRUE,3,TRUE,1,FALSE,100,"Swvu.RDOTOT.","ACwvu.RDOTOT.",#N/A,FALSE,FALSE,1.4,0.22,0.43,0.5,1,"&amp;C
&amp;R&amp;D","&amp;C
&amp;P",FALSE,FALSE,FALSE,FALSE,1,78,#N/A,#N/A,FALSE,"=C1,R1:R6","Rwvu.RDOTOT.","Cwvu.RDOTOT.",FALSE,FALSE,FALSE,#NULL!,#NULL!,#NULL!,FALSE,FALSE,TRUE,TRUE,TRUE}</definedName>
    <definedName name="ggegewg_1" localSheetId="8" hidden="1">{TRUE,TRUE,-2.75,-17,486.75,278.25,FALSE,TRUE,TRUE,TRUE,0,1,12,5,1,0.921875,3.06666666666667,4,TRUE,TRUE,3,TRUE,1,FALSE,100,"Swvu.RDOTOT.","ACwvu.RDOTOT.",#N/A,FALSE,FALSE,1.4,0.22,0.43,0.5,1,"&amp;C
&amp;R&amp;D","&amp;C
&amp;P",FALSE,FALSE,FALSE,FALSE,1,78,#N/A,#N/A,FALSE,"=C1,R1:R6","Rwvu.RDOTOT.","Cwvu.RDOTOT.",FALSE,FALSE,FALSE,#NULL!,#NULL!,#NULL!,FALSE,FALSE,TRUE,TRUE,TRUE}</definedName>
    <definedName name="ggegewg_1" hidden="1">{TRUE,TRUE,-2.75,-17,486.75,278.25,FALSE,TRUE,TRUE,TRUE,0,1,12,5,1,0.921875,3.06666666666667,4,TRUE,TRUE,3,TRUE,1,FALSE,100,"Swvu.RDOTOT.","ACwvu.RDOTOT.",#N/A,FALSE,FALSE,1.4,0.22,0.43,0.5,1,"&amp;C
&amp;R&amp;D","&amp;C
&amp;P",FALSE,FALSE,FALSE,FALSE,1,78,#N/A,#N/A,FALSE,"=C1,R1:R6","Rwvu.RDOTOT.","Cwvu.RDOTOT.",FALSE,FALSE,FALSE,#NULL!,#NULL!,#NULL!,FALSE,FALSE,TRUE,TRUE,TRUE}</definedName>
    <definedName name="ggf" localSheetId="8" hidden="1">{"comps",#N/A,FALSE,"comps";"notes",#N/A,FALSE,"comps"}</definedName>
    <definedName name="ggf" hidden="1">{"comps",#N/A,FALSE,"comps";"notes",#N/A,FALSE,"comps"}</definedName>
    <definedName name="ggf_1" localSheetId="8" hidden="1">{"comps",#N/A,FALSE,"comps";"notes",#N/A,FALSE,"comps"}</definedName>
    <definedName name="ggf_1" hidden="1">{"comps",#N/A,FALSE,"comps";"notes",#N/A,FALSE,"comps"}</definedName>
    <definedName name="ggg" localSheetId="8" hidden="1">{#N/A,#N/A,FALSE,"cover";#N/A,#N/A,FALSE,"Content ";#N/A,#N/A,FALSE,"E&amp;C Op Stat";#N/A,#N/A,FALSE,"Telcos Op Stat";#N/A,#N/A,FALSE,"Media Op Stat";#N/A,#N/A,FALSE,"Oil Op Stat";#N/A,#N/A,FALSE,"Utilities Op Stat";#N/A,#N/A,FALSE,"E&amp;C Ord An";#N/A,#N/A,FALSE,"E&amp;C Debt Nar";#N/A,#N/A,FALSE,"E&amp;C Debtors";#N/A,#N/A,FALSE,"E&amp;C CO Debt";#N/A,#N/A,FALSE,"Telcos Presales";#N/A,#N/A,FALSE,"Oil Presales";#N/A,#N/A,FALSE,"Utilities Presales"}</definedName>
    <definedName name="ggg" hidden="1">{#N/A,#N/A,FALSE,"cover";#N/A,#N/A,FALSE,"Content ";#N/A,#N/A,FALSE,"E&amp;C Op Stat";#N/A,#N/A,FALSE,"Telcos Op Stat";#N/A,#N/A,FALSE,"Media Op Stat";#N/A,#N/A,FALSE,"Oil Op Stat";#N/A,#N/A,FALSE,"Utilities Op Stat";#N/A,#N/A,FALSE,"E&amp;C Ord An";#N/A,#N/A,FALSE,"E&amp;C Debt Nar";#N/A,#N/A,FALSE,"E&amp;C Debtors";#N/A,#N/A,FALSE,"E&amp;C CO Debt";#N/A,#N/A,FALSE,"Telcos Presales";#N/A,#N/A,FALSE,"Oil Presales";#N/A,#N/A,FALSE,"Utilities Presales"}</definedName>
    <definedName name="ggg.xls" localSheetId="8" hidden="1">{"test",#N/A,FALSE,"P4FLASH"}</definedName>
    <definedName name="ggg.xls" hidden="1">{"test",#N/A,FALSE,"P4FLASH"}</definedName>
    <definedName name="ggg_1" localSheetId="8" hidden="1">{0,0,0,0;0,0,0,0;0,0,0,0;0,0,0,0;0,0,0,0;0,0,0,0}</definedName>
    <definedName name="ggg_1" hidden="1">{0,0,0,0;0,0,0,0;0,0,0,0;0,0,0,0;0,0,0,0;0,0,0,0}</definedName>
    <definedName name="ggger" hidden="1">{#N/A,#N/A,FALSE,"Dutos";#N/A,#N/A,FALSE,"Terminais"}</definedName>
    <definedName name="gggg" localSheetId="8" hidden="1">{#N/A,#N/A,FALSE,"Umsatz 99";#N/A,#N/A,FALSE,"ER 99 "}</definedName>
    <definedName name="gggg" hidden="1">{#N/A,#N/A,FALSE,"Umsatz 99";#N/A,#N/A,FALSE,"ER 99 "}</definedName>
    <definedName name="gggg_1" localSheetId="8" hidden="1">{#N/A,#N/A,TRUE,"consinc";#N/A,#N/A,TRUE,"consproj";#N/A,#N/A,TRUE,"deminc";#N/A,#N/A,TRUE,"incproj";#N/A,#N/A,TRUE,"demman";#N/A,#N/A,TRUE,"manproj";#N/A,#N/A,TRUE,"S&amp;Gact";#N/A,#N/A,TRUE,"S&amp;Gproj ";#N/A,#N/A,TRUE,"dengis";#N/A,#N/A,TRUE,"dengisproj";#N/A,#N/A,TRUE,"mitinc";#N/A,#N/A,TRUE,"mitincproj";#N/A,#N/A,TRUE,"mits&amp;G";#N/A,#N/A,TRUE,"mits&amp;gproj";#N/A,#N/A,TRUE,"arcis";#N/A,#N/A,TRUE,"arcproj";#N/A,#N/A,TRUE,"ampinc";#N/A,#N/A,TRUE,"ampincproj";#N/A,#N/A,TRUE,"ampman";#N/A,#N/A,TRUE,"ampmanproj";#N/A,#N/A,TRUE,"ampS&amp;G";#N/A,#N/A,TRUE,"amps&amp;GProj"}</definedName>
    <definedName name="gggg_1" hidden="1">{#N/A,#N/A,TRUE,"consinc";#N/A,#N/A,TRUE,"consproj";#N/A,#N/A,TRUE,"deminc";#N/A,#N/A,TRUE,"incproj";#N/A,#N/A,TRUE,"demman";#N/A,#N/A,TRUE,"manproj";#N/A,#N/A,TRUE,"S&amp;Gact";#N/A,#N/A,TRUE,"S&amp;Gproj ";#N/A,#N/A,TRUE,"dengis";#N/A,#N/A,TRUE,"dengisproj";#N/A,#N/A,TRUE,"mitinc";#N/A,#N/A,TRUE,"mitincproj";#N/A,#N/A,TRUE,"mits&amp;G";#N/A,#N/A,TRUE,"mits&amp;gproj";#N/A,#N/A,TRUE,"arcis";#N/A,#N/A,TRUE,"arcproj";#N/A,#N/A,TRUE,"ampinc";#N/A,#N/A,TRUE,"ampincproj";#N/A,#N/A,TRUE,"ampman";#N/A,#N/A,TRUE,"ampmanproj";#N/A,#N/A,TRUE,"ampS&amp;G";#N/A,#N/A,TRUE,"amps&amp;GProj"}</definedName>
    <definedName name="gggg1" localSheetId="8" hidden="1">{#N/A,#N/A,FALSE,"cover";#N/A,#N/A,FALSE,"Content ";#N/A,#N/A,FALSE,"E&amp;C Op Stat";#N/A,#N/A,FALSE,"Telcos Op Stat";#N/A,#N/A,FALSE,"Media Op Stat";#N/A,#N/A,FALSE,"Oil Op Stat";#N/A,#N/A,FALSE,"Utilities Op Stat";#N/A,#N/A,FALSE,"E&amp;C Ord An";#N/A,#N/A,FALSE,"E&amp;C Debt Nar";#N/A,#N/A,FALSE,"E&amp;C Debtors";#N/A,#N/A,FALSE,"E&amp;C CO Debt";#N/A,#N/A,FALSE,"Telcos Presales";#N/A,#N/A,FALSE,"Oil Presales";#N/A,#N/A,FALSE,"Utilities Presales"}</definedName>
    <definedName name="gggg1" hidden="1">{#N/A,#N/A,FALSE,"cover";#N/A,#N/A,FALSE,"Content ";#N/A,#N/A,FALSE,"E&amp;C Op Stat";#N/A,#N/A,FALSE,"Telcos Op Stat";#N/A,#N/A,FALSE,"Media Op Stat";#N/A,#N/A,FALSE,"Oil Op Stat";#N/A,#N/A,FALSE,"Utilities Op Stat";#N/A,#N/A,FALSE,"E&amp;C Ord An";#N/A,#N/A,FALSE,"E&amp;C Debt Nar";#N/A,#N/A,FALSE,"E&amp;C Debtors";#N/A,#N/A,FALSE,"E&amp;C CO Debt";#N/A,#N/A,FALSE,"Telcos Presales";#N/A,#N/A,FALSE,"Oil Presales";#N/A,#N/A,FALSE,"Utilities Presales"}</definedName>
    <definedName name="ggggg" localSheetId="7" hidden="1">{"budget992000_customers",#N/A,FALSE,"Celtel alternative 6"}</definedName>
    <definedName name="ggggg" localSheetId="8" hidden="1">{"budget992000_customers",#N/A,FALSE,"Celtel alternative 6"}</definedName>
    <definedName name="ggggg" hidden="1">{#N/A,#N/A,FALSE,"cover";#N/A,#N/A,FALSE,"Content ";#N/A,#N/A,FALSE,"E&amp;C Op Stat";#N/A,#N/A,FALSE,"Telcos Op Stat";#N/A,#N/A,FALSE,"Media Op Stat";#N/A,#N/A,FALSE,"Oil Op Stat";#N/A,#N/A,FALSE,"Utilities Op Stat";#N/A,#N/A,FALSE,"E&amp;C Ord An";#N/A,#N/A,FALSE,"E&amp;C Debt Nar";#N/A,#N/A,FALSE,"E&amp;C Debtors";#N/A,#N/A,FALSE,"E&amp;C CO Debt";#N/A,#N/A,FALSE,"Telcos Presales";#N/A,#N/A,FALSE,"Oil Presales";#N/A,#N/A,FALSE,"Utilities Presales"}</definedName>
    <definedName name="gggggg" localSheetId="7" hidden="1">#REF!</definedName>
    <definedName name="gggggg" localSheetId="8" hidden="1">#REF!</definedName>
    <definedName name="ggggggg" localSheetId="7" hidden="1">{"budget992000 profit and loss",#N/A,FALSE,"Celtel alternative 6"}</definedName>
    <definedName name="ggggggg" localSheetId="8" hidden="1">{"budget992000 profit and loss",#N/A,FALSE,"Celtel alternative 6"}</definedName>
    <definedName name="ggggggg" hidden="1">#N/A</definedName>
    <definedName name="gggggggggg" hidden="1">#REF!</definedName>
    <definedName name="gggh" hidden="1">#REF!</definedName>
    <definedName name="ggyt" localSheetId="8" hidden="1">{#N/A,#N/A,FALSE,"debt";#N/A,#N/A,FALSE,"apsort";#N/A,#N/A,FALSE,"AR"}</definedName>
    <definedName name="ggyt" hidden="1">{#N/A,#N/A,FALSE,"debt";#N/A,#N/A,FALSE,"apsort";#N/A,#N/A,FALSE,"AR"}</definedName>
    <definedName name="ggyt_1" localSheetId="8" hidden="1">{#N/A,#N/A,FALSE,"debt";#N/A,#N/A,FALSE,"apsort";#N/A,#N/A,FALSE,"AR"}</definedName>
    <definedName name="ggyt_1" hidden="1">{#N/A,#N/A,FALSE,"debt";#N/A,#N/A,FALSE,"apsort";#N/A,#N/A,FALSE,"AR"}</definedName>
    <definedName name="gh" localSheetId="8" hidden="1">{"detail",#N/A,FALSE,"mfg";"summary",#N/A,FALSE,"mfg"}</definedName>
    <definedName name="gh" hidden="1">{#N/A,#N/A,FALSE,"CA";#N/A,#N/A,FALSE,"CN";#N/A,#N/A,FALSE,"Inv";#N/A,#N/A,FALSE,"Inv Acc";"Miguel_balance",#N/A,FALSE,"Bal";#N/A,#N/A,FALSE,"Plantilla";#N/A,#N/A,FALSE,"CA (2)";#N/A,#N/A,FALSE,"CN (2)"}</definedName>
    <definedName name="gh_1" localSheetId="8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gh_1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gh2old" localSheetId="8" hidden="1">{"'100'!$A$1:$M$83"}</definedName>
    <definedName name="gh2old" hidden="1">{"'100'!$A$1:$M$83"}</definedName>
    <definedName name="ghdgdm" localSheetId="8" hidden="1">{"fssum01",#N/A,FALSE,"fssum";"fssum02",#N/A,FALSE,"fssum"}</definedName>
    <definedName name="ghdgdm" hidden="1">{"fssum01",#N/A,FALSE,"fssum";"fssum02",#N/A,FALSE,"fssum"}</definedName>
    <definedName name="ghdgdm_1" localSheetId="8" hidden="1">{"fssum01",#N/A,FALSE,"fssum";"fssum02",#N/A,FALSE,"fssum"}</definedName>
    <definedName name="ghdgdm_1" hidden="1">{"fssum01",#N/A,FALSE,"fssum";"fssum02",#N/A,FALSE,"fssum"}</definedName>
    <definedName name="ghfgh" localSheetId="8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hfgh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hfjkh" localSheetId="8" hidden="1">{#N/A,#N/A,FALSE,"D9-NWWG";#N/A,#N/A,FALSE,"F2-WMG";#N/A,#N/A,FALSE,"F3-WWMG"}</definedName>
    <definedName name="ghfjkh" hidden="1">{#N/A,#N/A,FALSE,"D9-NWWG";#N/A,#N/A,FALSE,"F2-WMG";#N/A,#N/A,FALSE,"F3-WWMG"}</definedName>
    <definedName name="ghg" localSheetId="8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ghg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ghg_1" localSheetId="8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ghg_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ghgh" localSheetId="8" hidden="1">#REF!</definedName>
    <definedName name="ghgh" hidden="1">{#N/A,#N/A,FALSE,"SIM95"}</definedName>
    <definedName name="ghgh_1" localSheetId="8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ghgh_1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GHGHG" localSheetId="8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GHGHG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ghghgh" localSheetId="8" hidden="1">{#N/A,#N/A,TRUE,"Cover sheet";#N/A,#N/A,TRUE,"DCF analysis";#N/A,#N/A,TRUE,"WACC calculation"}</definedName>
    <definedName name="ghghgh" hidden="1">{#N/A,#N/A,TRUE,"Cover sheet";#N/A,#N/A,TRUE,"DCF analysis";#N/A,#N/A,TRUE,"WACC calculation"}</definedName>
    <definedName name="ghghgh_1" localSheetId="8" hidden="1">{#N/A,#N/A,TRUE,"Cover sheet";#N/A,#N/A,TRUE,"DCF analysis";#N/A,#N/A,TRUE,"WACC calculation"}</definedName>
    <definedName name="ghghgh_1" hidden="1">{#N/A,#N/A,TRUE,"Cover sheet";#N/A,#N/A,TRUE,"DCF analysis";#N/A,#N/A,TRUE,"WACC calculation"}</definedName>
    <definedName name="ghghghghg" localSheetId="8" hidden="1">{#N/A,#N/A,TRUE,"Cover sheet";#N/A,#N/A,TRUE,"DCF analysis";#N/A,#N/A,TRUE,"WACC calculation"}</definedName>
    <definedName name="ghghghghg" hidden="1">{#N/A,#N/A,TRUE,"Cover sheet";#N/A,#N/A,TRUE,"DCF analysis";#N/A,#N/A,TRUE,"WACC calculation"}</definedName>
    <definedName name="ghghghghg_1" localSheetId="8" hidden="1">{#N/A,#N/A,TRUE,"Cover sheet";#N/A,#N/A,TRUE,"DCF analysis";#N/A,#N/A,TRUE,"WACC calculation"}</definedName>
    <definedName name="ghghghghg_1" hidden="1">{#N/A,#N/A,TRUE,"Cover sheet";#N/A,#N/A,TRUE,"DCF analysis";#N/A,#N/A,TRUE,"WACC calculation"}</definedName>
    <definedName name="ghh" localSheetId="8" hidden="1">{#N/A,#N/A,FALSE,"KA CH  (2)"}</definedName>
    <definedName name="ghh" hidden="1">{#N/A,#N/A,FALSE,"KA CH  (2)"}</definedName>
    <definedName name="ghita" localSheetId="8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ghita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ghita_1" localSheetId="8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ghita_1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ghita10" localSheetId="8" hidden="1">{#N/A,#N/A,FALSE,"F94is";#N/A,#N/A,FALSE,"T94is";#N/A,#N/A,FALSE,"TOT94is";#N/A,#N/A,FALSE,"f94oh";#N/A,#N/A,FALSE,"Toh94";#N/A,#N/A,FALSE,"TOT94oh";#N/A,#N/A,FALSE,"SGA94";#N/A,#N/A,FALSE,"bs94";#N/A,#N/A,FALSE,"debt";#N/A,#N/A,FALSE,"f94proj";#N/A,#N/A,FALSE,"t94proj";#N/A,#N/A,FALSE,"tot94proj";#N/A,#N/A,FALSE,"f94ohproj";#N/A,#N/A,FALSE,"t94ohproj";#N/A,#N/A,FALSE,"tot94ohproj";#N/A,#N/A,FALSE,"projsga";#N/A,#N/A,FALSE,"projcf";#N/A,#N/A,FALSE,"Projline";#N/A,#N/A,FALSE,"bankline";#N/A,#N/A,FALSE,"Fast95is";#N/A,#N/A,FALSE,"tool95is";#N/A,#N/A,FALSE,"tot95is";#N/A,#N/A,FALSE,"tool950h";#N/A,#N/A,FALSE,"fas95oh";#N/A,#N/A,FALSE,"tot95oh";#N/A,#N/A,FALSE,"95sga"}</definedName>
    <definedName name="ghita10" hidden="1">{#N/A,#N/A,FALSE,"F94is";#N/A,#N/A,FALSE,"T94is";#N/A,#N/A,FALSE,"TOT94is";#N/A,#N/A,FALSE,"f94oh";#N/A,#N/A,FALSE,"Toh94";#N/A,#N/A,FALSE,"TOT94oh";#N/A,#N/A,FALSE,"SGA94";#N/A,#N/A,FALSE,"bs94";#N/A,#N/A,FALSE,"debt";#N/A,#N/A,FALSE,"f94proj";#N/A,#N/A,FALSE,"t94proj";#N/A,#N/A,FALSE,"tot94proj";#N/A,#N/A,FALSE,"f94ohproj";#N/A,#N/A,FALSE,"t94ohproj";#N/A,#N/A,FALSE,"tot94ohproj";#N/A,#N/A,FALSE,"projsga";#N/A,#N/A,FALSE,"projcf";#N/A,#N/A,FALSE,"Projline";#N/A,#N/A,FALSE,"bankline";#N/A,#N/A,FALSE,"Fast95is";#N/A,#N/A,FALSE,"tool95is";#N/A,#N/A,FALSE,"tot95is";#N/A,#N/A,FALSE,"tool950h";#N/A,#N/A,FALSE,"fas95oh";#N/A,#N/A,FALSE,"tot95oh";#N/A,#N/A,FALSE,"95sga"}</definedName>
    <definedName name="ghita10_1" localSheetId="8" hidden="1">{#N/A,#N/A,FALSE,"F94is";#N/A,#N/A,FALSE,"T94is";#N/A,#N/A,FALSE,"TOT94is";#N/A,#N/A,FALSE,"f94oh";#N/A,#N/A,FALSE,"Toh94";#N/A,#N/A,FALSE,"TOT94oh";#N/A,#N/A,FALSE,"SGA94";#N/A,#N/A,FALSE,"bs94";#N/A,#N/A,FALSE,"debt";#N/A,#N/A,FALSE,"f94proj";#N/A,#N/A,FALSE,"t94proj";#N/A,#N/A,FALSE,"tot94proj";#N/A,#N/A,FALSE,"f94ohproj";#N/A,#N/A,FALSE,"t94ohproj";#N/A,#N/A,FALSE,"tot94ohproj";#N/A,#N/A,FALSE,"projsga";#N/A,#N/A,FALSE,"projcf";#N/A,#N/A,FALSE,"Projline";#N/A,#N/A,FALSE,"bankline";#N/A,#N/A,FALSE,"Fast95is";#N/A,#N/A,FALSE,"tool95is";#N/A,#N/A,FALSE,"tot95is";#N/A,#N/A,FALSE,"tool950h";#N/A,#N/A,FALSE,"fas95oh";#N/A,#N/A,FALSE,"tot95oh";#N/A,#N/A,FALSE,"95sga"}</definedName>
    <definedName name="ghita10_1" hidden="1">{#N/A,#N/A,FALSE,"F94is";#N/A,#N/A,FALSE,"T94is";#N/A,#N/A,FALSE,"TOT94is";#N/A,#N/A,FALSE,"f94oh";#N/A,#N/A,FALSE,"Toh94";#N/A,#N/A,FALSE,"TOT94oh";#N/A,#N/A,FALSE,"SGA94";#N/A,#N/A,FALSE,"bs94";#N/A,#N/A,FALSE,"debt";#N/A,#N/A,FALSE,"f94proj";#N/A,#N/A,FALSE,"t94proj";#N/A,#N/A,FALSE,"tot94proj";#N/A,#N/A,FALSE,"f94ohproj";#N/A,#N/A,FALSE,"t94ohproj";#N/A,#N/A,FALSE,"tot94ohproj";#N/A,#N/A,FALSE,"projsga";#N/A,#N/A,FALSE,"projcf";#N/A,#N/A,FALSE,"Projline";#N/A,#N/A,FALSE,"bankline";#N/A,#N/A,FALSE,"Fast95is";#N/A,#N/A,FALSE,"tool95is";#N/A,#N/A,FALSE,"tot95is";#N/A,#N/A,FALSE,"tool950h";#N/A,#N/A,FALSE,"fas95oh";#N/A,#N/A,FALSE,"tot95oh";#N/A,#N/A,FALSE,"95sga"}</definedName>
    <definedName name="ghita2" localSheetId="8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ghita2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ghita2_1" localSheetId="8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ghita2_1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ghita3" localSheetId="8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ghita3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ghita3_1" localSheetId="8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ghita3_1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ghita4" localSheetId="8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ghita4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ghita4_1" localSheetId="8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ghita4_1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ghita5" localSheetId="8" hidden="1">{#N/A,#N/A,FALSE,"projcf";#N/A,#N/A,FALSE,"Projline";#N/A,#N/A,FALSE,"bankline";#N/A,#N/A,FALSE,"Fast95is";#N/A,#N/A,FALSE,"tool95is";#N/A,#N/A,FALSE,"tot95is";#N/A,#N/A,FALSE,"tool950h";#N/A,#N/A,FALSE,"fas95oh";#N/A,#N/A,FALSE,"tot95oh";#N/A,#N/A,FALSE,"95sga";#N/A,#N/A,FALSE,"95projcf";#N/A,#N/A,FALSE,"95loc";#N/A,#N/A,FALSE,"95bankline"}</definedName>
    <definedName name="ghita5" hidden="1">{#N/A,#N/A,FALSE,"projcf";#N/A,#N/A,FALSE,"Projline";#N/A,#N/A,FALSE,"bankline";#N/A,#N/A,FALSE,"Fast95is";#N/A,#N/A,FALSE,"tool95is";#N/A,#N/A,FALSE,"tot95is";#N/A,#N/A,FALSE,"tool950h";#N/A,#N/A,FALSE,"fas95oh";#N/A,#N/A,FALSE,"tot95oh";#N/A,#N/A,FALSE,"95sga";#N/A,#N/A,FALSE,"95projcf";#N/A,#N/A,FALSE,"95loc";#N/A,#N/A,FALSE,"95bankline"}</definedName>
    <definedName name="ghita5_1" localSheetId="8" hidden="1">{#N/A,#N/A,FALSE,"projcf";#N/A,#N/A,FALSE,"Projline";#N/A,#N/A,FALSE,"bankline";#N/A,#N/A,FALSE,"Fast95is";#N/A,#N/A,FALSE,"tool95is";#N/A,#N/A,FALSE,"tot95is";#N/A,#N/A,FALSE,"tool950h";#N/A,#N/A,FALSE,"fas95oh";#N/A,#N/A,FALSE,"tot95oh";#N/A,#N/A,FALSE,"95sga";#N/A,#N/A,FALSE,"95projcf";#N/A,#N/A,FALSE,"95loc";#N/A,#N/A,FALSE,"95bankline"}</definedName>
    <definedName name="ghita5_1" hidden="1">{#N/A,#N/A,FALSE,"projcf";#N/A,#N/A,FALSE,"Projline";#N/A,#N/A,FALSE,"bankline";#N/A,#N/A,FALSE,"Fast95is";#N/A,#N/A,FALSE,"tool95is";#N/A,#N/A,FALSE,"tot95is";#N/A,#N/A,FALSE,"tool950h";#N/A,#N/A,FALSE,"fas95oh";#N/A,#N/A,FALSE,"tot95oh";#N/A,#N/A,FALSE,"95sga";#N/A,#N/A,FALSE,"95projcf";#N/A,#N/A,FALSE,"95loc";#N/A,#N/A,FALSE,"95bankline"}</definedName>
    <definedName name="ghita6" localSheetId="8" hidden="1">{#N/A,#N/A,FALSE,"debt";#N/A,#N/A,FALSE,"apsort";#N/A,#N/A,FALSE,"AR"}</definedName>
    <definedName name="ghita6" hidden="1">{#N/A,#N/A,FALSE,"debt";#N/A,#N/A,FALSE,"apsort";#N/A,#N/A,FALSE,"AR"}</definedName>
    <definedName name="ghita6_1" localSheetId="8" hidden="1">{#N/A,#N/A,FALSE,"debt";#N/A,#N/A,FALSE,"apsort";#N/A,#N/A,FALSE,"AR"}</definedName>
    <definedName name="ghita6_1" hidden="1">{#N/A,#N/A,FALSE,"debt";#N/A,#N/A,FALSE,"apsort";#N/A,#N/A,FALSE,"AR"}</definedName>
    <definedName name="ghita7" localSheetId="8" hidden="1">{"pl9601",#N/A,FALSE,"PL96";"pl9602",#N/A,FALSE,"PL96";"pl9603",#N/A,FALSE,"PL96";"PL9604",#N/A,FALSE,"PL96";"pl9605",#N/A,FALSE,"PL96";"pl9606",#N/A,FALSE,"PL96";"pl9607",#N/A,FALSE,"PL96";"pl9608",#N/A,FALSE,"PL96";"pl9609",#N/A,FALSE,"PL96";"pl9610",#N/A,FALSE,"PL96";"pl9611",#N/A,FALSE,"PL96";"fssum01",#N/A,FALSE,"fssum";"fssum02",#N/A,FALSE,"fssum"}</definedName>
    <definedName name="ghita7" hidden="1">{"pl9601",#N/A,FALSE,"PL96";"pl9602",#N/A,FALSE,"PL96";"pl9603",#N/A,FALSE,"PL96";"PL9604",#N/A,FALSE,"PL96";"pl9605",#N/A,FALSE,"PL96";"pl9606",#N/A,FALSE,"PL96";"pl9607",#N/A,FALSE,"PL96";"pl9608",#N/A,FALSE,"PL96";"pl9609",#N/A,FALSE,"PL96";"pl9610",#N/A,FALSE,"PL96";"pl9611",#N/A,FALSE,"PL96";"fssum01",#N/A,FALSE,"fssum";"fssum02",#N/A,FALSE,"fssum"}</definedName>
    <definedName name="ghita7_1" localSheetId="8" hidden="1">{"pl9601",#N/A,FALSE,"PL96";"pl9602",#N/A,FALSE,"PL96";"pl9603",#N/A,FALSE,"PL96";"PL9604",#N/A,FALSE,"PL96";"pl9605",#N/A,FALSE,"PL96";"pl9606",#N/A,FALSE,"PL96";"pl9607",#N/A,FALSE,"PL96";"pl9608",#N/A,FALSE,"PL96";"pl9609",#N/A,FALSE,"PL96";"pl9610",#N/A,FALSE,"PL96";"pl9611",#N/A,FALSE,"PL96";"fssum01",#N/A,FALSE,"fssum";"fssum02",#N/A,FALSE,"fssum"}</definedName>
    <definedName name="ghita7_1" hidden="1">{"pl9601",#N/A,FALSE,"PL96";"pl9602",#N/A,FALSE,"PL96";"pl9603",#N/A,FALSE,"PL96";"PL9604",#N/A,FALSE,"PL96";"pl9605",#N/A,FALSE,"PL96";"pl9606",#N/A,FALSE,"PL96";"pl9607",#N/A,FALSE,"PL96";"pl9608",#N/A,FALSE,"PL96";"pl9609",#N/A,FALSE,"PL96";"pl9610",#N/A,FALSE,"PL96";"pl9611",#N/A,FALSE,"PL96";"fssum01",#N/A,FALSE,"fssum";"fssum02",#N/A,FALSE,"fssum"}</definedName>
    <definedName name="ghita8" localSheetId="8" hidden="1">{"fssum01",#N/A,FALSE,"fssum";"fssum02",#N/A,FALSE,"fssum"}</definedName>
    <definedName name="ghita8" hidden="1">{"fssum01",#N/A,FALSE,"fssum";"fssum02",#N/A,FALSE,"fssum"}</definedName>
    <definedName name="ghita8_1" localSheetId="8" hidden="1">{"fssum01",#N/A,FALSE,"fssum";"fssum02",#N/A,FALSE,"fssum"}</definedName>
    <definedName name="ghita8_1" hidden="1">{"fssum01",#N/A,FALSE,"fssum";"fssum02",#N/A,FALSE,"fssum"}</definedName>
    <definedName name="ghita9" localSheetId="8" hidden="1">{#N/A,#N/A,TRUE,"consinc";#N/A,#N/A,TRUE,"consproj";#N/A,#N/A,TRUE,"deminc";#N/A,#N/A,TRUE,"incproj";#N/A,#N/A,TRUE,"demman";#N/A,#N/A,TRUE,"manproj";#N/A,#N/A,TRUE,"S&amp;Gact";#N/A,#N/A,TRUE,"S&amp;Gproj ";#N/A,#N/A,TRUE,"dengis";#N/A,#N/A,TRUE,"dengisproj";#N/A,#N/A,TRUE,"mitinc";#N/A,#N/A,TRUE,"mitincproj";#N/A,#N/A,TRUE,"mits&amp;G";#N/A,#N/A,TRUE,"mits&amp;gproj";#N/A,#N/A,TRUE,"arcis";#N/A,#N/A,TRUE,"arcproj";#N/A,#N/A,TRUE,"ampinc";#N/A,#N/A,TRUE,"ampincproj";#N/A,#N/A,TRUE,"ampman";#N/A,#N/A,TRUE,"ampmanproj";#N/A,#N/A,TRUE,"ampS&amp;G";#N/A,#N/A,TRUE,"amps&amp;GProj"}</definedName>
    <definedName name="ghita9" hidden="1">{#N/A,#N/A,TRUE,"consinc";#N/A,#N/A,TRUE,"consproj";#N/A,#N/A,TRUE,"deminc";#N/A,#N/A,TRUE,"incproj";#N/A,#N/A,TRUE,"demman";#N/A,#N/A,TRUE,"manproj";#N/A,#N/A,TRUE,"S&amp;Gact";#N/A,#N/A,TRUE,"S&amp;Gproj ";#N/A,#N/A,TRUE,"dengis";#N/A,#N/A,TRUE,"dengisproj";#N/A,#N/A,TRUE,"mitinc";#N/A,#N/A,TRUE,"mitincproj";#N/A,#N/A,TRUE,"mits&amp;G";#N/A,#N/A,TRUE,"mits&amp;gproj";#N/A,#N/A,TRUE,"arcis";#N/A,#N/A,TRUE,"arcproj";#N/A,#N/A,TRUE,"ampinc";#N/A,#N/A,TRUE,"ampincproj";#N/A,#N/A,TRUE,"ampman";#N/A,#N/A,TRUE,"ampmanproj";#N/A,#N/A,TRUE,"ampS&amp;G";#N/A,#N/A,TRUE,"amps&amp;GProj"}</definedName>
    <definedName name="ghita9_1" localSheetId="8" hidden="1">{#N/A,#N/A,TRUE,"consinc";#N/A,#N/A,TRUE,"consproj";#N/A,#N/A,TRUE,"deminc";#N/A,#N/A,TRUE,"incproj";#N/A,#N/A,TRUE,"demman";#N/A,#N/A,TRUE,"manproj";#N/A,#N/A,TRUE,"S&amp;Gact";#N/A,#N/A,TRUE,"S&amp;Gproj ";#N/A,#N/A,TRUE,"dengis";#N/A,#N/A,TRUE,"dengisproj";#N/A,#N/A,TRUE,"mitinc";#N/A,#N/A,TRUE,"mitincproj";#N/A,#N/A,TRUE,"mits&amp;G";#N/A,#N/A,TRUE,"mits&amp;gproj";#N/A,#N/A,TRUE,"arcis";#N/A,#N/A,TRUE,"arcproj";#N/A,#N/A,TRUE,"ampinc";#N/A,#N/A,TRUE,"ampincproj";#N/A,#N/A,TRUE,"ampman";#N/A,#N/A,TRUE,"ampmanproj";#N/A,#N/A,TRUE,"ampS&amp;G";#N/A,#N/A,TRUE,"amps&amp;GProj"}</definedName>
    <definedName name="ghita9_1" hidden="1">{#N/A,#N/A,TRUE,"consinc";#N/A,#N/A,TRUE,"consproj";#N/A,#N/A,TRUE,"deminc";#N/A,#N/A,TRUE,"incproj";#N/A,#N/A,TRUE,"demman";#N/A,#N/A,TRUE,"manproj";#N/A,#N/A,TRUE,"S&amp;Gact";#N/A,#N/A,TRUE,"S&amp;Gproj ";#N/A,#N/A,TRUE,"dengis";#N/A,#N/A,TRUE,"dengisproj";#N/A,#N/A,TRUE,"mitinc";#N/A,#N/A,TRUE,"mitincproj";#N/A,#N/A,TRUE,"mits&amp;G";#N/A,#N/A,TRUE,"mits&amp;gproj";#N/A,#N/A,TRUE,"arcis";#N/A,#N/A,TRUE,"arcproj";#N/A,#N/A,TRUE,"ampinc";#N/A,#N/A,TRUE,"ampincproj";#N/A,#N/A,TRUE,"ampman";#N/A,#N/A,TRUE,"ampmanproj";#N/A,#N/A,TRUE,"ampS&amp;G";#N/A,#N/A,TRUE,"amps&amp;GProj"}</definedName>
    <definedName name="ghj" localSheetId="8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hj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hj.ljj" localSheetId="8" hidden="1">{#N/A,#N/A,FALSE,"Produkte Erw.";#N/A,#N/A,FALSE,"Produkte Plan";#N/A,#N/A,FALSE,"Leistungen Erw.";#N/A,#N/A,FALSE,"Leistungen Plan";#N/A,#N/A,FALSE,"KA Allg.Kosten (2)";#N/A,#N/A,FALSE,"KA All.Kosten"}</definedName>
    <definedName name="ghj.ljj" hidden="1">{#N/A,#N/A,FALSE,"Produkte Erw.";#N/A,#N/A,FALSE,"Produkte Plan";#N/A,#N/A,FALSE,"Leistungen Erw.";#N/A,#N/A,FALSE,"Leistungen Plan";#N/A,#N/A,FALSE,"KA Allg.Kosten (2)";#N/A,#N/A,FALSE,"KA All.Kosten"}</definedName>
    <definedName name="ghj.zz" localSheetId="8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hj.zz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hj_1" localSheetId="8" hidden="1">{"general",#N/A,FALSE,"Assumptions"}</definedName>
    <definedName name="ghj_1" hidden="1">{"general",#N/A,FALSE,"Assumptions"}</definedName>
    <definedName name="ghjgf" localSheetId="8" hidden="1">{#N/A,#N/A,TRUE,"Voorblad";#N/A,#N/A,TRUE,"Table of Content A";#N/A,#N/A,TRUE,"A1-Summ- Key Figures";#N/A,#N/A,TRUE,"A2-Summ Month Man";#N/A,#N/A,TRUE,"A3-P&amp;L by Bus.Unt-Serv.Unt";#N/A,#N/A,TRUE,"A4-P&amp;L by Old org.";#N/A,#N/A,TRUE,"A6-Bal_Sheet CF by Old org. ";#N/A,#N/A,TRUE,"A8-Headc.Funct."}</definedName>
    <definedName name="ghjgf" hidden="1">{#N/A,#N/A,TRUE,"Voorblad";#N/A,#N/A,TRUE,"Table of Content A";#N/A,#N/A,TRUE,"A1-Summ- Key Figures";#N/A,#N/A,TRUE,"A2-Summ Month Man";#N/A,#N/A,TRUE,"A3-P&amp;L by Bus.Unt-Serv.Unt";#N/A,#N/A,TRUE,"A4-P&amp;L by Old org.";#N/A,#N/A,TRUE,"A6-Bal_Sheet CF by Old org. ";#N/A,#N/A,TRUE,"A8-Headc.Funct."}</definedName>
    <definedName name="ghjgfj" localSheetId="8" hidden="1">{"pl9601",#N/A,FALSE,"PL96";"pl9602",#N/A,FALSE,"PL96";"pl9603",#N/A,FALSE,"PL96";"PL9604",#N/A,FALSE,"PL96";"pl9605",#N/A,FALSE,"PL96";"pl9606",#N/A,FALSE,"PL96";"pl9607",#N/A,FALSE,"PL96";"pl9608",#N/A,FALSE,"PL96";"pl9609",#N/A,FALSE,"PL96";"pl9610",#N/A,FALSE,"PL96";"pl9611",#N/A,FALSE,"PL96";"fssum01",#N/A,FALSE,"fssum";"fssum02",#N/A,FALSE,"fssum"}</definedName>
    <definedName name="ghjgfj" hidden="1">{"pl9601",#N/A,FALSE,"PL96";"pl9602",#N/A,FALSE,"PL96";"pl9603",#N/A,FALSE,"PL96";"PL9604",#N/A,FALSE,"PL96";"pl9605",#N/A,FALSE,"PL96";"pl9606",#N/A,FALSE,"PL96";"pl9607",#N/A,FALSE,"PL96";"pl9608",#N/A,FALSE,"PL96";"pl9609",#N/A,FALSE,"PL96";"pl9610",#N/A,FALSE,"PL96";"pl9611",#N/A,FALSE,"PL96";"fssum01",#N/A,FALSE,"fssum";"fssum02",#N/A,FALSE,"fssum"}</definedName>
    <definedName name="ghjgfj_1" localSheetId="8" hidden="1">{"pl9601",#N/A,FALSE,"PL96";"pl9602",#N/A,FALSE,"PL96";"pl9603",#N/A,FALSE,"PL96";"PL9604",#N/A,FALSE,"PL96";"pl9605",#N/A,FALSE,"PL96";"pl9606",#N/A,FALSE,"PL96";"pl9607",#N/A,FALSE,"PL96";"pl9608",#N/A,FALSE,"PL96";"pl9609",#N/A,FALSE,"PL96";"pl9610",#N/A,FALSE,"PL96";"pl9611",#N/A,FALSE,"PL96";"fssum01",#N/A,FALSE,"fssum";"fssum02",#N/A,FALSE,"fssum"}</definedName>
    <definedName name="ghjgfj_1" hidden="1">{"pl9601",#N/A,FALSE,"PL96";"pl9602",#N/A,FALSE,"PL96";"pl9603",#N/A,FALSE,"PL96";"PL9604",#N/A,FALSE,"PL96";"pl9605",#N/A,FALSE,"PL96";"pl9606",#N/A,FALSE,"PL96";"pl9607",#N/A,FALSE,"PL96";"pl9608",#N/A,FALSE,"PL96";"pl9609",#N/A,FALSE,"PL96";"pl9610",#N/A,FALSE,"PL96";"pl9611",#N/A,FALSE,"PL96";"fssum01",#N/A,FALSE,"fssum";"fssum02",#N/A,FALSE,"fssum"}</definedName>
    <definedName name="ghjggjh" localSheetId="7" hidden="1">{#N/A,#N/A,FALSE,"Pharm";#N/A,#N/A,FALSE,"WWCM"}</definedName>
    <definedName name="ghjggjh" localSheetId="8" hidden="1">{#N/A,#N/A,FALSE,"Pharm";#N/A,#N/A,FALSE,"WWCM"}</definedName>
    <definedName name="ghjggjh" hidden="1">{#N/A,#N/A,FALSE,"Pharm";#N/A,#N/A,FALSE,"WWCM"}</definedName>
    <definedName name="ghjgh" localSheetId="8" hidden="1">{#N/A,#N/A,TRUE,"Voorblad B";#N/A,#N/A,TRUE,"Table of Content FinCom B";#N/A,#N/A,TRUE,"A3-P&amp;L by Bus.Unt-Serv.Unt";#N/A,#N/A,TRUE,"Summary carrier service";#N/A,#N/A,TRUE,"Summary Large accounts";#N/A,#N/A,TRUE,"Summary Consumer";#N/A,#N/A,TRUE,"Mobile";#N/A,#N/A,TRUE,"B5-Mobile(1) ";#N/A,#N/A,TRUE,"B4-GM per Product";#N/A,#N/A,TRUE,"Summary N&amp;S";#N/A,#N/A,TRUE,"B15-Network ";#N/A,#N/A,TRUE,"Summary ITbilling";#N/A,#N/A,TRUE,"Billing backlog";#N/A,#N/A,TRUE,"Summary Corporate";#N/A,#N/A,TRUE,"A5-Bal_Sheet CF";#N/A,#N/A,TRUE,"A6-Bal_Sheet CF by Old org. ";#N/A,#N/A,TRUE,"P13-Funding- Inter.";#N/A,#N/A,TRUE,"P14-Risk &amp; Fraud Fixed";#N/A,#N/A,TRUE,"P14-Risk &amp; Fraud Mobile";#N/A,#N/A,TRUE,"Accounts payable"}</definedName>
    <definedName name="ghjgh" hidden="1">{#N/A,#N/A,TRUE,"Voorblad B";#N/A,#N/A,TRUE,"Table of Content FinCom B";#N/A,#N/A,TRUE,"A3-P&amp;L by Bus.Unt-Serv.Unt";#N/A,#N/A,TRUE,"Summary carrier service";#N/A,#N/A,TRUE,"Summary Large accounts";#N/A,#N/A,TRUE,"Summary Consumer";#N/A,#N/A,TRUE,"Mobile";#N/A,#N/A,TRUE,"B5-Mobile(1) ";#N/A,#N/A,TRUE,"B4-GM per Product";#N/A,#N/A,TRUE,"Summary N&amp;S";#N/A,#N/A,TRUE,"B15-Network ";#N/A,#N/A,TRUE,"Summary ITbilling";#N/A,#N/A,TRUE,"Billing backlog";#N/A,#N/A,TRUE,"Summary Corporate";#N/A,#N/A,TRUE,"A5-Bal_Sheet CF";#N/A,#N/A,TRUE,"A6-Bal_Sheet CF by Old org. ";#N/A,#N/A,TRUE,"P13-Funding- Inter.";#N/A,#N/A,TRUE,"P14-Risk &amp; Fraud Fixed";#N/A,#N/A,TRUE,"P14-Risk &amp; Fraud Mobile";#N/A,#N/A,TRUE,"Accounts payable"}</definedName>
    <definedName name="ghjhgj" localSheetId="8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ghjhgj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ghjhgjh" localSheetId="8" hidden="1">{#N/A,#N/A,FALSE,"KA CH  (2)"}</definedName>
    <definedName name="ghjhgjh" hidden="1">{#N/A,#N/A,FALSE,"KA CH  (2)"}</definedName>
    <definedName name="ghjhj" localSheetId="8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ghjhj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ghjk" localSheetId="8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ghjk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ghjsgtj" localSheetId="8" hidden="1">{"Ergebnisbericht_UBA",#N/A,FALSE,"MB"}</definedName>
    <definedName name="ghjsgtj" hidden="1">{"Ergebnisbericht_UBA",#N/A,FALSE,"MB"}</definedName>
    <definedName name="ghjsgtj_1" localSheetId="8" hidden="1">{"Ergebnisbericht_UBA",#N/A,FALSE,"MB"}</definedName>
    <definedName name="ghjsgtj_1" hidden="1">{"Ergebnisbericht_UBA",#N/A,FALSE,"MB"}</definedName>
    <definedName name="ghjv" localSheetId="8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ghjv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ghjv_1" localSheetId="8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ghjv_1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ghk" localSheetId="8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ghk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ghkdk" localSheetId="8" hidden="1">{"Ergebnisbericht_UBA",#N/A,FALSE,"MB"}</definedName>
    <definedName name="ghkdk" hidden="1">{"Ergebnisbericht_UBA",#N/A,FALSE,"MB"}</definedName>
    <definedName name="ghkdk_1" localSheetId="8" hidden="1">{"Ergebnisbericht_UBA",#N/A,FALSE,"MB"}</definedName>
    <definedName name="ghkdk_1" hidden="1">{"Ergebnisbericht_UBA",#N/A,FALSE,"MB"}</definedName>
    <definedName name="ghkj" localSheetId="8" hidden="1">{"Eilbericht_UBA",#N/A,FALSE,"EB"}</definedName>
    <definedName name="ghkj" hidden="1">{"Eilbericht_UBA",#N/A,FALSE,"EB"}</definedName>
    <definedName name="ghkj_1" localSheetId="8" hidden="1">{"Eilbericht_UBA",#N/A,FALSE,"EB"}</definedName>
    <definedName name="ghkj_1" hidden="1">{"Eilbericht_UBA",#N/A,FALSE,"EB"}</definedName>
    <definedName name="ghmjtyj" localSheetId="8" hidden="1">{"Profit",#N/A,FALSE,"448k";"Capital",#N/A,FALSE,"448k"}</definedName>
    <definedName name="ghmjtyj" hidden="1">{"Profit",#N/A,FALSE,"448k";"Capital",#N/A,FALSE,"448k"}</definedName>
    <definedName name="ghn" localSheetId="8" hidden="1">{#N/A,#N/A,FALSE,"debt";#N/A,#N/A,FALSE,"apsort";#N/A,#N/A,FALSE,"AR"}</definedName>
    <definedName name="ghn" hidden="1">{#N/A,#N/A,FALSE,"debt";#N/A,#N/A,FALSE,"apsort";#N/A,#N/A,FALSE,"AR"}</definedName>
    <definedName name="ghn_1" localSheetId="8" hidden="1">{#N/A,#N/A,FALSE,"debt";#N/A,#N/A,FALSE,"apsort";#N/A,#N/A,FALSE,"AR"}</definedName>
    <definedName name="ghn_1" hidden="1">{#N/A,#N/A,FALSE,"debt";#N/A,#N/A,FALSE,"apsort";#N/A,#N/A,FALSE,"AR"}</definedName>
    <definedName name="ghng" localSheetId="8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ghng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ghng_1" localSheetId="8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ghng_1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ghnj" hidden="1">#REF!</definedName>
    <definedName name="ghold" localSheetId="8" hidden="1">{"'100'!$A$1:$M$83"}</definedName>
    <definedName name="ghold" hidden="1">{"'100'!$A$1:$M$83"}</definedName>
    <definedName name="ghs" localSheetId="8" hidden="1">{"Ergebnisbericht_UBA",#N/A,FALSE,"MB"}</definedName>
    <definedName name="ghs" hidden="1">{"Ergebnisbericht_UBA",#N/A,FALSE,"MB"}</definedName>
    <definedName name="ghs_1" localSheetId="8" hidden="1">{"Ergebnisbericht_UBA",#N/A,FALSE,"MB"}</definedName>
    <definedName name="ghs_1" hidden="1">{"Ergebnisbericht_UBA",#N/A,FALSE,"MB"}</definedName>
    <definedName name="ghuifd" localSheetId="8" hidden="1">{#N/A,"PURCHM",FALSE,"Business Analysis";#N/A,"SPADD",FALSE,"Business Analysis"}</definedName>
    <definedName name="ghuifd" hidden="1">{#N/A,"PURCHM",FALSE,"Business Analysis";#N/A,"SPADD",FALSE,"Business Analysis"}</definedName>
    <definedName name="ghvhgvghvhgvghvhgcv" hidden="1">#REF!</definedName>
    <definedName name="giidnm" hidden="1">#REF!</definedName>
    <definedName name="gilöguioptu8io" localSheetId="8" hidden="1">{#N/A,#N/A,FALSE,"CSS";#N/A,#N/A,FALSE,"USCSS ROLLUP";#N/A,#N/A,FALSE,"INT'L ROLLUP";#N/A,#N/A,FALSE,"CSS HQ"}</definedName>
    <definedName name="gilöguioptu8io" hidden="1">{#N/A,#N/A,FALSE,"CSS";#N/A,#N/A,FALSE,"USCSS ROLLUP";#N/A,#N/A,FALSE,"INT'L ROLLUP";#N/A,#N/A,FALSE,"CSS HQ"}</definedName>
    <definedName name="Girokreditering" localSheetId="8" hidden="1">{#N/A,#N/A,FALSE,"Oppsumm DnB";#N/A,#N/A,FALSE,"Oppsumm BKD";#N/A,#N/A,FALSE,"Oppsumm KKD";#N/A,#N/A,FALSE,"Gen forutsetn";#N/A,#N/A,FALSE,"Strategisk alt.-Elektronisk";#N/A,#N/A,FALSE,"Kjøp av skillemynt";#N/A,#N/A,FALSE,"Salg av skillemynt";#N/A,#N/A,FALSE,"Sjekk andre bankers kunder";#N/A,#N/A,FALSE,"Innløsning av anvisning";#N/A,#N/A,FALSE,"Giro med kvittering";#N/A,#N/A,FALSE,"Giro uten kvittering";#N/A,#N/A,FALSE,"Uttak skranke";#N/A,#N/A,FALSE,"Innskudd skranke";#N/A,#N/A,FALSE,"Åpne punkter"}</definedName>
    <definedName name="Girokreditering" hidden="1">{#N/A,#N/A,FALSE,"Oppsumm DnB";#N/A,#N/A,FALSE,"Oppsumm BKD";#N/A,#N/A,FALSE,"Oppsumm KKD";#N/A,#N/A,FALSE,"Gen forutsetn";#N/A,#N/A,FALSE,"Strategisk alt.-Elektronisk";#N/A,#N/A,FALSE,"Kjøp av skillemynt";#N/A,#N/A,FALSE,"Salg av skillemynt";#N/A,#N/A,FALSE,"Sjekk andre bankers kunder";#N/A,#N/A,FALSE,"Innløsning av anvisning";#N/A,#N/A,FALSE,"Giro med kvittering";#N/A,#N/A,FALSE,"Giro uten kvittering";#N/A,#N/A,FALSE,"Uttak skranke";#N/A,#N/A,FALSE,"Innskudd skranke";#N/A,#N/A,FALSE,"Åpne punkter"}</definedName>
    <definedName name="giug" localSheetId="8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giug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giug_1" localSheetId="8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giug_1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gjh" localSheetId="8" hidden="1">{#N/A,#N/A,FALSE,"Umsatz 99";#N/A,#N/A,FALSE,"ER 99 "}</definedName>
    <definedName name="gjh" hidden="1">{#N/A,#N/A,FALSE,"Umsatz 99";#N/A,#N/A,FALSE,"ER 99 "}</definedName>
    <definedName name="gjh_1" localSheetId="8" hidden="1">{#N/A,#N/A,FALSE,"projcf";#N/A,#N/A,FALSE,"Projline";#N/A,#N/A,FALSE,"bankline";#N/A,#N/A,FALSE,"Fast95is";#N/A,#N/A,FALSE,"tool95is";#N/A,#N/A,FALSE,"tot95is";#N/A,#N/A,FALSE,"tool950h";#N/A,#N/A,FALSE,"fas95oh";#N/A,#N/A,FALSE,"tot95oh";#N/A,#N/A,FALSE,"95sga";#N/A,#N/A,FALSE,"95projcf";#N/A,#N/A,FALSE,"95loc";#N/A,#N/A,FALSE,"95bankline"}</definedName>
    <definedName name="gjh_1" hidden="1">{#N/A,#N/A,FALSE,"projcf";#N/A,#N/A,FALSE,"Projline";#N/A,#N/A,FALSE,"bankline";#N/A,#N/A,FALSE,"Fast95is";#N/A,#N/A,FALSE,"tool95is";#N/A,#N/A,FALSE,"tot95is";#N/A,#N/A,FALSE,"tool950h";#N/A,#N/A,FALSE,"fas95oh";#N/A,#N/A,FALSE,"tot95oh";#N/A,#N/A,FALSE,"95sga";#N/A,#N/A,FALSE,"95projcf";#N/A,#N/A,FALSE,"95loc";#N/A,#N/A,FALSE,"95bankline"}</definedName>
    <definedName name="gjk" localSheetId="8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gjk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gkg" localSheetId="8" hidden="1">{"pl9601",#N/A,FALSE,"PL96";"pl9602",#N/A,FALSE,"PL96";"pl9603",#N/A,FALSE,"PL96";"PL9604",#N/A,FALSE,"PL96";"pl9605",#N/A,FALSE,"PL96";"pl9606",#N/A,FALSE,"PL96";"pl9607",#N/A,FALSE,"PL96";"pl9608",#N/A,FALSE,"PL96";"pl9609",#N/A,FALSE,"PL96";"pl9610",#N/A,FALSE,"PL96";"pl9611",#N/A,FALSE,"PL96";"fssum01",#N/A,FALSE,"fssum";"fssum02",#N/A,FALSE,"fssum"}</definedName>
    <definedName name="gkg" hidden="1">{"pl9601",#N/A,FALSE,"PL96";"pl9602",#N/A,FALSE,"PL96";"pl9603",#N/A,FALSE,"PL96";"PL9604",#N/A,FALSE,"PL96";"pl9605",#N/A,FALSE,"PL96";"pl9606",#N/A,FALSE,"PL96";"pl9607",#N/A,FALSE,"PL96";"pl9608",#N/A,FALSE,"PL96";"pl9609",#N/A,FALSE,"PL96";"pl9610",#N/A,FALSE,"PL96";"pl9611",#N/A,FALSE,"PL96";"fssum01",#N/A,FALSE,"fssum";"fssum02",#N/A,FALSE,"fssum"}</definedName>
    <definedName name="gkg_1" localSheetId="8" hidden="1">{"pl9601",#N/A,FALSE,"PL96";"pl9602",#N/A,FALSE,"PL96";"pl9603",#N/A,FALSE,"PL96";"PL9604",#N/A,FALSE,"PL96";"pl9605",#N/A,FALSE,"PL96";"pl9606",#N/A,FALSE,"PL96";"pl9607",#N/A,FALSE,"PL96";"pl9608",#N/A,FALSE,"PL96";"pl9609",#N/A,FALSE,"PL96";"pl9610",#N/A,FALSE,"PL96";"pl9611",#N/A,FALSE,"PL96";"fssum01",#N/A,FALSE,"fssum";"fssum02",#N/A,FALSE,"fssum"}</definedName>
    <definedName name="gkg_1" hidden="1">{"pl9601",#N/A,FALSE,"PL96";"pl9602",#N/A,FALSE,"PL96";"pl9603",#N/A,FALSE,"PL96";"PL9604",#N/A,FALSE,"PL96";"pl9605",#N/A,FALSE,"PL96";"pl9606",#N/A,FALSE,"PL96";"pl9607",#N/A,FALSE,"PL96";"pl9608",#N/A,FALSE,"PL96";"pl9609",#N/A,FALSE,"PL96";"pl9610",#N/A,FALSE,"PL96";"pl9611",#N/A,FALSE,"PL96";"fssum01",#N/A,FALSE,"fssum";"fssum02",#N/A,FALSE,"fssum"}</definedName>
    <definedName name="gkj" hidden="1">{#N/A,#N/A,FALSE,"CA";#N/A,#N/A,FALSE,"CN";#N/A,#N/A,FALSE,"Inv";#N/A,#N/A,FALSE,"Inv Acc";"Miguel_balance",#N/A,FALSE,"Bal";#N/A,#N/A,FALSE,"Plantilla";#N/A,#N/A,FALSE,"CA (2)";#N/A,#N/A,FALSE,"CN (2)"}</definedName>
    <definedName name="GKJGKAGòJKAJJKA" localSheetId="8" hidden="1">{"Ergebnisbericht_UBA",#N/A,FALSE,"MB"}</definedName>
    <definedName name="GKJGKAGòJKAJJKA" hidden="1">{"Ergebnisbericht_UBA",#N/A,FALSE,"MB"}</definedName>
    <definedName name="GKJGKAGòJKAJJKA_1" localSheetId="8" hidden="1">{"Ergebnisbericht_UBA",#N/A,FALSE,"MB"}</definedName>
    <definedName name="GKJGKAGòJKAJJKA_1" hidden="1">{"Ergebnisbericht_UBA",#N/A,FALSE,"MB"}</definedName>
    <definedName name="gkjh" hidden="1">{#N/A,#N/A,FALSE,"CA";#N/A,#N/A,FALSE,"CN";#N/A,#N/A,FALSE,"Inv";#N/A,#N/A,FALSE,"Inv Acc";"Miguel_balance",#N/A,FALSE,"Bal";#N/A,#N/A,FALSE,"Plantilla";#N/A,#N/A,FALSE,"CA (2)";#N/A,#N/A,FALSE,"CN (2)"}</definedName>
    <definedName name="gkjjk" localSheetId="8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kjj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kòlakògasjgòkaògjòkakjgòkajgòa" localSheetId="8" hidden="1">{"Ergebnisbericht_UBA",#N/A,FALSE,"MB"}</definedName>
    <definedName name="gkòlakògasjgòkaògjòkakjgòkajgòa" hidden="1">{"Ergebnisbericht_UBA",#N/A,FALSE,"MB"}</definedName>
    <definedName name="gkòlakògasjgòkaògjòkakjgòkajgòa_1" localSheetId="8" hidden="1">{"Ergebnisbericht_UBA",#N/A,FALSE,"MB"}</definedName>
    <definedName name="gkòlakògasjgòkaògjòkakjgòkajgòa_1" hidden="1">{"Ergebnisbericht_UBA",#N/A,FALSE,"MB"}</definedName>
    <definedName name="GlideChartMarker" hidden="1">"Chart!A1"</definedName>
    <definedName name="GlideDataMarker" hidden="1">"Data!A1"</definedName>
    <definedName name="GlideHiddenMarker" hidden="1">"Costcurvedata!A1"</definedName>
    <definedName name="GlideMaxCharts" hidden="1">7</definedName>
    <definedName name="GLLG" localSheetId="8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GLLG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GLO" localSheetId="8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GLO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glob" localSheetId="8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glob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GLOBA" localSheetId="8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GLOBA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Global1" localSheetId="7" hidden="1">{#N/A,#N/A,FALSE,"Pharm";#N/A,#N/A,FALSE,"WWCM"}</definedName>
    <definedName name="Global1" localSheetId="8" hidden="1">{#N/A,#N/A,FALSE,"Pharm";#N/A,#N/A,FALSE,"WWCM"}</definedName>
    <definedName name="Global1" hidden="1">{#N/A,#N/A,FALSE,"Pharm";#N/A,#N/A,FALSE,"WWCM"}</definedName>
    <definedName name="GLOBBBLLLA" localSheetId="8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GLOBBBLLLA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GLOGLO" localSheetId="8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GLOGLO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GLOO" localSheetId="8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GLOO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gls_ACT_EST_ROW" localSheetId="8" hidden="1">#REF!</definedName>
    <definedName name="gls_ACT_EST_ROW" hidden="1">#REF!</definedName>
    <definedName name="gls_ACT_FORM_OFFSET" localSheetId="8" hidden="1">#REF!</definedName>
    <definedName name="gls_ACT_FORM_OFFSET" hidden="1">#REF!</definedName>
    <definedName name="gls_AnalystEmpNoHeading" localSheetId="8" hidden="1">#REF!</definedName>
    <definedName name="gls_AnalystEmpNoHeading" hidden="1">#REF!</definedName>
    <definedName name="gls_AnalystNameHeading" hidden="1">#REF!</definedName>
    <definedName name="gls_EST_FORM_OFFSET" hidden="1">#REF!</definedName>
    <definedName name="gls_EXTERNAL_COL_REF" hidden="1">#REF!</definedName>
    <definedName name="gls_FIRST_ITEM" hidden="1">#REF!</definedName>
    <definedName name="gls_FIRST_PK" hidden="1">#REF!</definedName>
    <definedName name="gls_FIRST_ROWMULT" hidden="1">#REF!</definedName>
    <definedName name="gls_FIRST_UNITS" hidden="1">#REF!</definedName>
    <definedName name="gls_FIXED_NAMES" hidden="1">#REF!</definedName>
    <definedName name="gls_FONT_STATUS" hidden="1">#REF!</definedName>
    <definedName name="gls_GenAccountingConvention" hidden="1">#REF!</definedName>
    <definedName name="gls_GenCompany" hidden="1">#REF!</definedName>
    <definedName name="gls_GenCompanyInfo" hidden="1">#REF!</definedName>
    <definedName name="gls_GenCountry" hidden="1">#REF!</definedName>
    <definedName name="gls_GenCurrency" hidden="1">#REF!</definedName>
    <definedName name="gls_GenCurrencyMultiplier" hidden="1">#REF!</definedName>
    <definedName name="gls_GenEnterCompInfo" hidden="1">#REF!</definedName>
    <definedName name="gls_GenLastPriceTargetRevised" hidden="1">#REF!</definedName>
    <definedName name="gls_GenLastPublished" hidden="1">#REF!</definedName>
    <definedName name="gls_GenLastRecRevised" hidden="1">#REF!</definedName>
    <definedName name="gls_GenMainInfo" hidden="1">#REF!</definedName>
    <definedName name="gls_GenProfile" hidden="1">#REF!</definedName>
    <definedName name="gls_GenRecComment" hidden="1">#REF!</definedName>
    <definedName name="gls_GenSheetVersion" hidden="1">#REF!</definedName>
    <definedName name="gls_genStockCore" hidden="1">#REF!</definedName>
    <definedName name="gls_genStockRec" hidden="1">#REF!</definedName>
    <definedName name="gls_GenTargetCurrency" hidden="1">#REF!</definedName>
    <definedName name="gls_IssuedStockClassHeading" hidden="1">#REF!</definedName>
    <definedName name="gls_IssuedStockCodeHeading" hidden="1">#REF!</definedName>
    <definedName name="gls_IssuedStockFreeFloatHeading" hidden="1">#REF!</definedName>
    <definedName name="gls_KEY_DATA" hidden="1">#REF!</definedName>
    <definedName name="gls_KEY_VALUE" hidden="1">#REF!</definedName>
    <definedName name="gls_PERIOD_CODE" hidden="1">#REF!</definedName>
    <definedName name="gls_PERIOD_INDICATOR" hidden="1">#REF!</definedName>
    <definedName name="gls_PERIOD_PARENT_OR_CONSOL" hidden="1">#REF!</definedName>
    <definedName name="gls_PERIOD_TYPE" hidden="1">#REF!</definedName>
    <definedName name="gls_PrincipalStockClass" hidden="1">#REF!</definedName>
    <definedName name="gls_ShareholderClassHeading" hidden="1">#REF!</definedName>
    <definedName name="gls_ShareholderHolding" hidden="1">#REF!</definedName>
    <definedName name="gls_ShareholderHoldingHeading" hidden="1">#REF!</definedName>
    <definedName name="gls_ShareholderName" hidden="1">#REF!</definedName>
    <definedName name="gls_ShareholderNameHeading" hidden="1">#REF!</definedName>
    <definedName name="gls_ShareholdingName" hidden="1">#REF!</definedName>
    <definedName name="gls_SPARE_YEARS" hidden="1">#REF!</definedName>
    <definedName name="gls_START_FORMULA_OVERRIDEABLE" hidden="1">#REF!</definedName>
    <definedName name="gls_START_LOCAL_NAMES" hidden="1">#REF!</definedName>
    <definedName name="gls_START_PERIOD_CURRENCY" hidden="1">#REF!</definedName>
    <definedName name="gls_START_STATUS" hidden="1">#REF!</definedName>
    <definedName name="gls_START_USER_STATUS" hidden="1">#REF!</definedName>
    <definedName name="gls_START_VALIDATION" hidden="1">#REF!</definedName>
    <definedName name="gls_START_WHAT" hidden="1">#REF!</definedName>
    <definedName name="gls_START_YEAR" hidden="1">#REF!</definedName>
    <definedName name="gls_TEMP_PERIOD_CODE" hidden="1">#REF!</definedName>
    <definedName name="gls_YEAR_AE_CONTROL" hidden="1">#REF!</definedName>
    <definedName name="gls_YEAR_END_ROW" hidden="1">#REF!</definedName>
    <definedName name="gmgfm" localSheetId="8" hidden="1">{#N/A,#N/A,FALSE,"Assessment";#N/A,#N/A,FALSE,"Staffing";#N/A,#N/A,FALSE,"Hires";#N/A,#N/A,FALSE,"Assumptions"}</definedName>
    <definedName name="gmgfm" hidden="1">{#N/A,#N/A,FALSE,"Assessment";#N/A,#N/A,FALSE,"Staffing";#N/A,#N/A,FALSE,"Hires";#N/A,#N/A,FALSE,"Assumptions"}</definedName>
    <definedName name="GMMP" localSheetId="8" hidden="1">{"'Sheet1'!$A$1:$H$145"}</definedName>
    <definedName name="GMMP" hidden="1">{"'Sheet1'!$A$1:$H$145"}</definedName>
    <definedName name="GMPub" localSheetId="8" hidden="1">{"'Sheet1'!$A$1:$H$145"}</definedName>
    <definedName name="GMPub" hidden="1">{"'Sheet1'!$A$1:$H$145"}</definedName>
    <definedName name="GMT120RepQ_TOTALE" hidden="1">#REF!</definedName>
    <definedName name="gnfgngf" localSheetId="8" hidden="1">{#N/A,#N/A,FALSE,"Assessment";#N/A,#N/A,FALSE,"Staffing";#N/A,#N/A,FALSE,"Hires";#N/A,#N/A,FALSE,"Assumptions"}</definedName>
    <definedName name="gnfgngf" hidden="1">{#N/A,#N/A,FALSE,"Assessment";#N/A,#N/A,FALSE,"Staffing";#N/A,#N/A,FALSE,"Hires";#N/A,#N/A,FALSE,"Assumptions"}</definedName>
    <definedName name="GOAextra" hidden="1">#REF!</definedName>
    <definedName name="gogo" localSheetId="8" hidden="1">{#N/A,#N/A,TRUE,"Cover sheet";#N/A,#N/A,TRUE,"INPUTS";#N/A,#N/A,TRUE,"OUTPUTS";#N/A,#N/A,TRUE,"VALUATION"}</definedName>
    <definedName name="gogo" hidden="1">{#N/A,#N/A,TRUE,"Cover sheet";#N/A,#N/A,TRUE,"INPUTS";#N/A,#N/A,TRUE,"OUTPUTS";#N/A,#N/A,TRUE,"VALUATION"}</definedName>
    <definedName name="gogo_1" localSheetId="8" hidden="1">{#N/A,#N/A,TRUE,"Cover sheet";#N/A,#N/A,TRUE,"INPUTS";#N/A,#N/A,TRUE,"OUTPUTS";#N/A,#N/A,TRUE,"VALUATION"}</definedName>
    <definedName name="gogo_1" hidden="1">{#N/A,#N/A,TRUE,"Cover sheet";#N/A,#N/A,TRUE,"INPUTS";#N/A,#N/A,TRUE,"OUTPUTS";#N/A,#N/A,TRUE,"VALUATION"}</definedName>
    <definedName name="goodbye" localSheetId="8" hidden="1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goodbye" hidden="1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goodbye_1" localSheetId="8" hidden="1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goodbye_1" hidden="1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Goodrich" localSheetId="8" hidden="1">{"comp1",#N/A,FALSE,"COMPS";"footnotes",#N/A,FALSE,"COMPS"}</definedName>
    <definedName name="Goodrich" hidden="1">{"comp1",#N/A,FALSE,"COMPS";"footnotes",#N/A,FALSE,"COMPS"}</definedName>
    <definedName name="Goodrich_1" localSheetId="8" hidden="1">{"comp1",#N/A,FALSE,"COMPS";"footnotes",#N/A,FALSE,"COMPS"}</definedName>
    <definedName name="Goodrich_1" hidden="1">{"comp1",#N/A,FALSE,"COMPS";"footnotes",#N/A,FALSE,"COMPS"}</definedName>
    <definedName name="gr" hidden="1">{#N/A,#N/A,FALSE,"VENTAS";#N/A,#N/A,FALSE,"U. BRUTA";#N/A,#N/A,FALSE,"G. PERSONAL";#N/A,#N/A,FALSE,"G. OPERACION";#N/A,#N/A,FALSE,"G. DEPYAM";#N/A,#N/A,FALSE,"INGRESOS";#N/A,#N/A,FALSE,"G.o P.1";#N/A,#N/A,FALSE,"3%Informe Junta";#N/A,#N/A,FALSE,"P Y G (2)";#N/A,#N/A,FALSE,"CART. PROV.";#N/A,#N/A,FALSE,"Usecmes";#N/A,#N/A,FALSE,"Usecacu"}</definedName>
    <definedName name="graefd" localSheetId="8" hidden="1">{"werbung",#N/A,FALSE,"GuV9900-0399";"betrieb",#N/A,FALSE,"GuV9900-0399";"personal",#N/A,FALSE,"GuV9900-0399";"tvg",#N/A,FALSE,"GuV9900-0399";"verwaltung",#N/A,FALSE,"GuV9900-0399"}</definedName>
    <definedName name="graefd" hidden="1">{"werbung",#N/A,FALSE,"GuV9900-0399";"betrieb",#N/A,FALSE,"GuV9900-0399";"personal",#N/A,FALSE,"GuV9900-0399";"tvg",#N/A,FALSE,"GuV9900-0399";"verwaltung",#N/A,FALSE,"GuV9900-0399"}</definedName>
    <definedName name="graefd_1" localSheetId="8" hidden="1">{"werbung",#N/A,FALSE,"GuV9900-0399";"betrieb",#N/A,FALSE,"GuV9900-0399";"personal",#N/A,FALSE,"GuV9900-0399";"tvg",#N/A,FALSE,"GuV9900-0399";"verwaltung",#N/A,FALSE,"GuV9900-0399"}</definedName>
    <definedName name="graefd_1" hidden="1">{"werbung",#N/A,FALSE,"GuV9900-0399";"betrieb",#N/A,FALSE,"GuV9900-0399";"personal",#N/A,FALSE,"GuV9900-0399";"tvg",#N/A,FALSE,"GuV9900-0399";"verwaltung",#N/A,FALSE,"GuV9900-0399"}</definedName>
    <definedName name="gráfico" hidden="1">0</definedName>
    <definedName name="GráficoCréditos" localSheetId="8" hidden="1">{#N/A,#N/A,FALSE,"Acreedores";#N/A,#N/A,FALSE,"Inversión";#N/A,#N/A,FALSE,"Cta Rtdos";#N/A,#N/A,FALSE,"Cta Rtdos %"}</definedName>
    <definedName name="GráficoCréditos" hidden="1">{#N/A,#N/A,FALSE,"Acreedores";#N/A,#N/A,FALSE,"Inversión";#N/A,#N/A,FALSE,"Cta Rtdos";#N/A,#N/A,FALSE,"Cta Rtdos %"}</definedName>
    <definedName name="graham" localSheetId="8" hidden="1">{"ICD Details",#N/A,FALSE,"Current Yr";"ICD Details",#N/A,FALSE,"Budget";"ICD Details",#N/A,FALSE,"Prior Year"}</definedName>
    <definedName name="graham" hidden="1">{"ICD Details",#N/A,FALSE,"Current Yr";"ICD Details",#N/A,FALSE,"Budget";"ICD Details",#N/A,FALSE,"Prior Year"}</definedName>
    <definedName name="graph" localSheetId="7" hidden="1">{#N/A,#N/A,FALSE,"REPORT"}</definedName>
    <definedName name="graph" localSheetId="8" hidden="1">{#N/A,#N/A,FALSE,"REPORT"}</definedName>
    <definedName name="graph" hidden="1">{#N/A,#N/A,FALSE,"REPORT"}</definedName>
    <definedName name="graph_bincome2" hidden="1">#N/A</definedName>
    <definedName name="Graph_Xdriver" hidden="1">#N/A</definedName>
    <definedName name="graZ" localSheetId="8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graZ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graZ_1" localSheetId="8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graZ_1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grghfgfg" localSheetId="8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rghfgfg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rgreg" hidden="1">{#N/A,#N/A,FALSE,"Dutos";#N/A,#N/A,FALSE,"Terminais"}</definedName>
    <definedName name="GrpAcct1" hidden="1">"5611"</definedName>
    <definedName name="GrpAcct2" hidden="1">"5612"</definedName>
    <definedName name="GrpLevel" hidden="1">2</definedName>
    <definedName name="GSDFG" localSheetId="8" hidden="1">{#N/A,#N/A,FALSE,"Assessment";#N/A,#N/A,FALSE,"Staffing";#N/A,#N/A,FALSE,"Hires";#N/A,#N/A,FALSE,"Assumptions"}</definedName>
    <definedName name="GSDFG" hidden="1">{#N/A,#N/A,FALSE,"Assessment";#N/A,#N/A,FALSE,"Staffing";#N/A,#N/A,FALSE,"Hires";#N/A,#N/A,FALSE,"Assumptions"}</definedName>
    <definedName name="gt" localSheetId="7" hidden="1">{#N/A,#N/A,FALSE,"P&amp;L Variance";#N/A,#N/A,FALSE,"Location P&amp;L (Actual)";#N/A,#N/A,FALSE,"Location P&amp;L (Budget)";#N/A,#N/A,FALSE,"Location P&amp;L (Variance)";#N/A,#N/A,FALSE,"By Month P&amp;L"}</definedName>
    <definedName name="gt" localSheetId="8" hidden="1">{#N/A,#N/A,FALSE,"P&amp;L Variance";#N/A,#N/A,FALSE,"Location P&amp;L (Actual)";#N/A,#N/A,FALSE,"Location P&amp;L (Budget)";#N/A,#N/A,FALSE,"Location P&amp;L (Variance)";#N/A,#N/A,FALSE,"By Month P&amp;L"}</definedName>
    <definedName name="gt" hidden="1">{"EVA",#N/A,FALSE,"SMT2";#N/A,#N/A,FALSE,"Summary";#N/A,#N/A,FALSE,"Graphs";#N/A,#N/A,FALSE,"4 Panel"}</definedName>
    <definedName name="gt_1" localSheetId="8" hidden="1">{"'Segmentos de Clientes'!$B$3:$F$14"}</definedName>
    <definedName name="gt_1" hidden="1">{"'Segmentos de Clientes'!$B$3:$F$14"}</definedName>
    <definedName name="gtr" localSheetId="8" hidden="1">{"EVA",#N/A,FALSE,"SMT2";#N/A,#N/A,FALSE,"Summary";#N/A,#N/A,FALSE,"Graphs";#N/A,#N/A,FALSE,"4 Panel"}</definedName>
    <definedName name="gtr" hidden="1">{"EVA",#N/A,FALSE,"SMT2";#N/A,#N/A,FALSE,"Summary";#N/A,#N/A,FALSE,"Graphs";#N/A,#N/A,FALSE,"4 Panel"}</definedName>
    <definedName name="gty" localSheetId="8" hidden="1">{"QTD_PACKAGE",#N/A,FALSE,"QTD"}</definedName>
    <definedName name="gty" hidden="1">{"QTD_PACKAGE",#N/A,FALSE,"QTD"}</definedName>
    <definedName name="GUATEMALA" hidden="1">{#N/A,#N/A,FALSE,"CA";#N/A,#N/A,FALSE,"CN";#N/A,#N/A,FALSE,"Inv";#N/A,#N/A,FALSE,"Inv Acc";"Miguel_balance",#N/A,FALSE,"Bal";#N/A,#N/A,FALSE,"Plantilla";#N/A,#N/A,FALSE,"CA (2)";#N/A,#N/A,FALSE,"CN (2)"}</definedName>
    <definedName name="gv" localSheetId="8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gv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gvc" localSheetId="8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gvc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gvc_1" localSheetId="8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gvc_1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gvcggvc" localSheetId="8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gvcggvc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gvcggvc_1" localSheetId="8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gvcggvc_1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gvcgvcg" localSheetId="8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gvcgvcg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gvcgvcg_1" localSheetId="8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gvcgvcg_1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gvghkvhgvchg" localSheetId="8" hidden="1">#REF!</definedName>
    <definedName name="gvghkvhgvchg" hidden="1">#REF!</definedName>
    <definedName name="gvjvc" localSheetId="8" hidden="1">{#N/A,#N/A,TRUE,"consinc";#N/A,#N/A,TRUE,"consproj";#N/A,#N/A,TRUE,"deminc";#N/A,#N/A,TRUE,"incproj";#N/A,#N/A,TRUE,"demman";#N/A,#N/A,TRUE,"manproj";#N/A,#N/A,TRUE,"S&amp;Gact";#N/A,#N/A,TRUE,"S&amp;Gproj ";#N/A,#N/A,TRUE,"dengis";#N/A,#N/A,TRUE,"dengisproj";#N/A,#N/A,TRUE,"mitinc";#N/A,#N/A,TRUE,"mitincproj";#N/A,#N/A,TRUE,"mits&amp;G";#N/A,#N/A,TRUE,"mits&amp;gproj";#N/A,#N/A,TRUE,"arcis";#N/A,#N/A,TRUE,"arcproj";#N/A,#N/A,TRUE,"ampinc";#N/A,#N/A,TRUE,"ampincproj";#N/A,#N/A,TRUE,"ampman";#N/A,#N/A,TRUE,"ampmanproj";#N/A,#N/A,TRUE,"ampS&amp;G";#N/A,#N/A,TRUE,"amps&amp;GProj"}</definedName>
    <definedName name="gvjvc" hidden="1">{#N/A,#N/A,TRUE,"consinc";#N/A,#N/A,TRUE,"consproj";#N/A,#N/A,TRUE,"deminc";#N/A,#N/A,TRUE,"incproj";#N/A,#N/A,TRUE,"demman";#N/A,#N/A,TRUE,"manproj";#N/A,#N/A,TRUE,"S&amp;Gact";#N/A,#N/A,TRUE,"S&amp;Gproj ";#N/A,#N/A,TRUE,"dengis";#N/A,#N/A,TRUE,"dengisproj";#N/A,#N/A,TRUE,"mitinc";#N/A,#N/A,TRUE,"mitincproj";#N/A,#N/A,TRUE,"mits&amp;G";#N/A,#N/A,TRUE,"mits&amp;gproj";#N/A,#N/A,TRUE,"arcis";#N/A,#N/A,TRUE,"arcproj";#N/A,#N/A,TRUE,"ampinc";#N/A,#N/A,TRUE,"ampincproj";#N/A,#N/A,TRUE,"ampman";#N/A,#N/A,TRUE,"ampmanproj";#N/A,#N/A,TRUE,"ampS&amp;G";#N/A,#N/A,TRUE,"amps&amp;GProj"}</definedName>
    <definedName name="gvjvc_1" localSheetId="8" hidden="1">{#N/A,#N/A,TRUE,"consinc";#N/A,#N/A,TRUE,"consproj";#N/A,#N/A,TRUE,"deminc";#N/A,#N/A,TRUE,"incproj";#N/A,#N/A,TRUE,"demman";#N/A,#N/A,TRUE,"manproj";#N/A,#N/A,TRUE,"S&amp;Gact";#N/A,#N/A,TRUE,"S&amp;Gproj ";#N/A,#N/A,TRUE,"dengis";#N/A,#N/A,TRUE,"dengisproj";#N/A,#N/A,TRUE,"mitinc";#N/A,#N/A,TRUE,"mitincproj";#N/A,#N/A,TRUE,"mits&amp;G";#N/A,#N/A,TRUE,"mits&amp;gproj";#N/A,#N/A,TRUE,"arcis";#N/A,#N/A,TRUE,"arcproj";#N/A,#N/A,TRUE,"ampinc";#N/A,#N/A,TRUE,"ampincproj";#N/A,#N/A,TRUE,"ampman";#N/A,#N/A,TRUE,"ampmanproj";#N/A,#N/A,TRUE,"ampS&amp;G";#N/A,#N/A,TRUE,"amps&amp;GProj"}</definedName>
    <definedName name="gvjvc_1" hidden="1">{#N/A,#N/A,TRUE,"consinc";#N/A,#N/A,TRUE,"consproj";#N/A,#N/A,TRUE,"deminc";#N/A,#N/A,TRUE,"incproj";#N/A,#N/A,TRUE,"demman";#N/A,#N/A,TRUE,"manproj";#N/A,#N/A,TRUE,"S&amp;Gact";#N/A,#N/A,TRUE,"S&amp;Gproj ";#N/A,#N/A,TRUE,"dengis";#N/A,#N/A,TRUE,"dengisproj";#N/A,#N/A,TRUE,"mitinc";#N/A,#N/A,TRUE,"mitincproj";#N/A,#N/A,TRUE,"mits&amp;G";#N/A,#N/A,TRUE,"mits&amp;gproj";#N/A,#N/A,TRUE,"arcis";#N/A,#N/A,TRUE,"arcproj";#N/A,#N/A,TRUE,"ampinc";#N/A,#N/A,TRUE,"ampincproj";#N/A,#N/A,TRUE,"ampman";#N/A,#N/A,TRUE,"ampmanproj";#N/A,#N/A,TRUE,"ampS&amp;G";#N/A,#N/A,TRUE,"amps&amp;GProj"}</definedName>
    <definedName name="gvv" localSheetId="8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gvv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gvv_1" localSheetId="8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gvv_1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GY" localSheetId="8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GY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gyi" localSheetId="8" hidden="1">{#N/A,#N/A,TRUE,"consinc";#N/A,#N/A,TRUE,"consproj";#N/A,#N/A,TRUE,"deminc";#N/A,#N/A,TRUE,"incproj";#N/A,#N/A,TRUE,"demman";#N/A,#N/A,TRUE,"manproj";#N/A,#N/A,TRUE,"S&amp;Gact";#N/A,#N/A,TRUE,"S&amp;Gproj ";#N/A,#N/A,TRUE,"dengis";#N/A,#N/A,TRUE,"dengisproj";#N/A,#N/A,TRUE,"mitinc";#N/A,#N/A,TRUE,"mitincproj";#N/A,#N/A,TRUE,"mits&amp;G";#N/A,#N/A,TRUE,"mits&amp;gproj";#N/A,#N/A,TRUE,"arcis";#N/A,#N/A,TRUE,"arcproj";#N/A,#N/A,TRUE,"ampinc";#N/A,#N/A,TRUE,"ampincproj";#N/A,#N/A,TRUE,"ampman";#N/A,#N/A,TRUE,"ampmanproj";#N/A,#N/A,TRUE,"ampS&amp;G";#N/A,#N/A,TRUE,"amps&amp;GProj"}</definedName>
    <definedName name="gyi" hidden="1">{#N/A,#N/A,TRUE,"consinc";#N/A,#N/A,TRUE,"consproj";#N/A,#N/A,TRUE,"deminc";#N/A,#N/A,TRUE,"incproj";#N/A,#N/A,TRUE,"demman";#N/A,#N/A,TRUE,"manproj";#N/A,#N/A,TRUE,"S&amp;Gact";#N/A,#N/A,TRUE,"S&amp;Gproj ";#N/A,#N/A,TRUE,"dengis";#N/A,#N/A,TRUE,"dengisproj";#N/A,#N/A,TRUE,"mitinc";#N/A,#N/A,TRUE,"mitincproj";#N/A,#N/A,TRUE,"mits&amp;G";#N/A,#N/A,TRUE,"mits&amp;gproj";#N/A,#N/A,TRUE,"arcis";#N/A,#N/A,TRUE,"arcproj";#N/A,#N/A,TRUE,"ampinc";#N/A,#N/A,TRUE,"ampincproj";#N/A,#N/A,TRUE,"ampman";#N/A,#N/A,TRUE,"ampmanproj";#N/A,#N/A,TRUE,"ampS&amp;G";#N/A,#N/A,TRUE,"amps&amp;GProj"}</definedName>
    <definedName name="gyi_1" localSheetId="8" hidden="1">{#N/A,#N/A,TRUE,"consinc";#N/A,#N/A,TRUE,"consproj";#N/A,#N/A,TRUE,"deminc";#N/A,#N/A,TRUE,"incproj";#N/A,#N/A,TRUE,"demman";#N/A,#N/A,TRUE,"manproj";#N/A,#N/A,TRUE,"S&amp;Gact";#N/A,#N/A,TRUE,"S&amp;Gproj ";#N/A,#N/A,TRUE,"dengis";#N/A,#N/A,TRUE,"dengisproj";#N/A,#N/A,TRUE,"mitinc";#N/A,#N/A,TRUE,"mitincproj";#N/A,#N/A,TRUE,"mits&amp;G";#N/A,#N/A,TRUE,"mits&amp;gproj";#N/A,#N/A,TRUE,"arcis";#N/A,#N/A,TRUE,"arcproj";#N/A,#N/A,TRUE,"ampinc";#N/A,#N/A,TRUE,"ampincproj";#N/A,#N/A,TRUE,"ampman";#N/A,#N/A,TRUE,"ampmanproj";#N/A,#N/A,TRUE,"ampS&amp;G";#N/A,#N/A,TRUE,"amps&amp;GProj"}</definedName>
    <definedName name="gyi_1" hidden="1">{#N/A,#N/A,TRUE,"consinc";#N/A,#N/A,TRUE,"consproj";#N/A,#N/A,TRUE,"deminc";#N/A,#N/A,TRUE,"incproj";#N/A,#N/A,TRUE,"demman";#N/A,#N/A,TRUE,"manproj";#N/A,#N/A,TRUE,"S&amp;Gact";#N/A,#N/A,TRUE,"S&amp;Gproj ";#N/A,#N/A,TRUE,"dengis";#N/A,#N/A,TRUE,"dengisproj";#N/A,#N/A,TRUE,"mitinc";#N/A,#N/A,TRUE,"mitincproj";#N/A,#N/A,TRUE,"mits&amp;G";#N/A,#N/A,TRUE,"mits&amp;gproj";#N/A,#N/A,TRUE,"arcis";#N/A,#N/A,TRUE,"arcproj";#N/A,#N/A,TRUE,"ampinc";#N/A,#N/A,TRUE,"ampincproj";#N/A,#N/A,TRUE,"ampman";#N/A,#N/A,TRUE,"ampmanproj";#N/A,#N/A,TRUE,"ampS&amp;G";#N/A,#N/A,TRUE,"amps&amp;GProj"}</definedName>
    <definedName name="h" localSheetId="7" hidden="1">{#N/A,#N/A,FALSE,"REPORT"}</definedName>
    <definedName name="h" localSheetId="8" hidden="1">{#N/A,#N/A,FALSE,"REPORT"}</definedName>
    <definedName name="h" hidden="1">{#N/A,#N/A,FALSE,"REPORT"}</definedName>
    <definedName name="h.ll" localSheetId="8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h.ll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HALO" localSheetId="8" hidden="1">{#N/A,#N/A,TRUE,"TransPrcd 1";#N/A,#N/A,TRUE,"TransPrcd 2";#N/A,#N/A,TRUE,"TransPrcd 3"}</definedName>
    <definedName name="HALO" hidden="1">{#N/A,#N/A,TRUE,"TransPrcd 1";#N/A,#N/A,TRUE,"TransPrcd 2";#N/A,#N/A,TRUE,"TransPrcd 3"}</definedName>
    <definedName name="HALO_1" localSheetId="8" hidden="1">{#N/A,#N/A,TRUE,"TransPrcd 1";#N/A,#N/A,TRUE,"TransPrcd 2";#N/A,#N/A,TRUE,"TransPrcd 3"}</definedName>
    <definedName name="HALO_1" hidden="1">{#N/A,#N/A,TRUE,"TransPrcd 1";#N/A,#N/A,TRUE,"TransPrcd 2";#N/A,#N/A,TRUE,"TransPrcd 3"}</definedName>
    <definedName name="hasgaJHDS" localSheetId="8" hidden="1">{#N/A,#N/A,FALSE,"Customer Ops";#N/A,#N/A,FALSE,"Field Ops";#N/A,#N/A,FALSE,"Ops Management";#N/A,#N/A,FALSE,"Contact Centre";#N/A,#N/A,FALSE,"Credit Services";#N/A,#N/A,FALSE,"Horizon"}</definedName>
    <definedName name="hasgaJHDS" hidden="1">{#N/A,#N/A,FALSE,"Customer Ops";#N/A,#N/A,FALSE,"Field Ops";#N/A,#N/A,FALSE,"Ops Management";#N/A,#N/A,FALSE,"Contact Centre";#N/A,#N/A,FALSE,"Credit Services";#N/A,#N/A,FALSE,"Horizon"}</definedName>
    <definedName name="hb" localSheetId="8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hb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hbhlvjlvlj" localSheetId="8" hidden="1">#REF!</definedName>
    <definedName name="hbhlvjlvlj" hidden="1">#REF!</definedName>
    <definedName name="hbjhbjhvbjhvbjkvbjvkkvk" localSheetId="8" hidden="1">#REF!</definedName>
    <definedName name="hbjhbjhvbjhvbjkvbjvkkvk" hidden="1">#REF!</definedName>
    <definedName name="hbjhlbjhbvjhvb" localSheetId="8" hidden="1">{#N/A,#N/A,TRUE,"8.0";#N/A,#N/A,TRUE,"8.1.1.1";#N/A,#N/A,TRUE,"8.1.1.2";#N/A,#N/A,TRUE,"8.1.2.1";#N/A,#N/A,TRUE,"8.1.2.2";#N/A,#N/A,TRUE,"8.1.3.1";#N/A,#N/A,TRUE,"8.1.3.2";#N/A,#N/A,TRUE,"8.1.3.3";#N/A,#N/A,TRUE,"8.1.3.4";#N/A,#N/A,TRUE,"8.1.4.1";#N/A,#N/A,TRUE,"8.1.4.2";#N/A,#N/A,TRUE,"8.1.4.3";#N/A,#N/A,TRUE,"8.1.4.4";#N/A,#N/A,TRUE,"8.1.5";#N/A,#N/A,TRUE,"8.1.6";#N/A,#N/A,TRUE,"8.1.10.1";#N/A,#N/A,TRUE,"8.1.10.2";#N/A,#N/A,TRUE,"8.1.10.3";#N/A,#N/A,TRUE,"8.1.10.4";#N/A,#N/A,TRUE,"8.1.11.1";#N/A,#N/A,TRUE,"8.1.11.2";#N/A,#N/A,TRUE,"8.1.11.3";#N/A,#N/A,TRUE,"8.1.11.4";#N/A,#N/A,TRUE,"8.1.11.5";#N/A,#N/A,TRUE,"8.1.12.1";#N/A,#N/A,TRUE,"8.1.12.2";#N/A,#N/A,TRUE,"8.1.12.3";#N/A,#N/A,TRUE,"8.1.12.4";#N/A,#N/A,TRUE,"8.1.12.5";#N/A,#N/A,TRUE,"8.1.13";#N/A,#N/A,TRUE,"8.2.1";#N/A,#N/A,TRUE,"8.2.2";#N/A,#N/A,TRUE,"8.2.3";#N/A,#N/A,TRUE,"8.2.4";#N/A,#N/A,TRUE,"8.2.5p1";#N/A,#N/A,TRUE,"8.2.5p2";#N/A,#N/A,TRUE,"8.2.5p3";#N/A,#N/A,TRUE,"8.2.5p4.1";#N/A,#N/A,TRUE,"8.2.5p4.2";#N/A,#N/A,TRUE,"8.2.6";#N/A,#N/A,TRUE,"8.2.7";#N/A,#N/A,TRUE,"8.3.1";#N/A,#N/A,TRUE,"8.3.2";#N/A,#N/A,TRUE,"8.4.1";#N/A,#N/A,TRUE,"8.4.2";#N/A,#N/A,TRUE,"8.4.3";#N/A,#N/A,TRUE,"8.4.4";#N/A,#N/A,TRUE,"Balance"}</definedName>
    <definedName name="hbjhlbjhbvjhvb" hidden="1">{#N/A,#N/A,TRUE,"8.0";#N/A,#N/A,TRUE,"8.1.1.1";#N/A,#N/A,TRUE,"8.1.1.2";#N/A,#N/A,TRUE,"8.1.2.1";#N/A,#N/A,TRUE,"8.1.2.2";#N/A,#N/A,TRUE,"8.1.3.1";#N/A,#N/A,TRUE,"8.1.3.2";#N/A,#N/A,TRUE,"8.1.3.3";#N/A,#N/A,TRUE,"8.1.3.4";#N/A,#N/A,TRUE,"8.1.4.1";#N/A,#N/A,TRUE,"8.1.4.2";#N/A,#N/A,TRUE,"8.1.4.3";#N/A,#N/A,TRUE,"8.1.4.4";#N/A,#N/A,TRUE,"8.1.5";#N/A,#N/A,TRUE,"8.1.6";#N/A,#N/A,TRUE,"8.1.10.1";#N/A,#N/A,TRUE,"8.1.10.2";#N/A,#N/A,TRUE,"8.1.10.3";#N/A,#N/A,TRUE,"8.1.10.4";#N/A,#N/A,TRUE,"8.1.11.1";#N/A,#N/A,TRUE,"8.1.11.2";#N/A,#N/A,TRUE,"8.1.11.3";#N/A,#N/A,TRUE,"8.1.11.4";#N/A,#N/A,TRUE,"8.1.11.5";#N/A,#N/A,TRUE,"8.1.12.1";#N/A,#N/A,TRUE,"8.1.12.2";#N/A,#N/A,TRUE,"8.1.12.3";#N/A,#N/A,TRUE,"8.1.12.4";#N/A,#N/A,TRUE,"8.1.12.5";#N/A,#N/A,TRUE,"8.1.13";#N/A,#N/A,TRUE,"8.2.1";#N/A,#N/A,TRUE,"8.2.2";#N/A,#N/A,TRUE,"8.2.3";#N/A,#N/A,TRUE,"8.2.4";#N/A,#N/A,TRUE,"8.2.5p1";#N/A,#N/A,TRUE,"8.2.5p2";#N/A,#N/A,TRUE,"8.2.5p3";#N/A,#N/A,TRUE,"8.2.5p4.1";#N/A,#N/A,TRUE,"8.2.5p4.2";#N/A,#N/A,TRUE,"8.2.6";#N/A,#N/A,TRUE,"8.2.7";#N/A,#N/A,TRUE,"8.3.1";#N/A,#N/A,TRUE,"8.3.2";#N/A,#N/A,TRUE,"8.4.1";#N/A,#N/A,TRUE,"8.4.2";#N/A,#N/A,TRUE,"8.4.3";#N/A,#N/A,TRUE,"8.4.4";#N/A,#N/A,TRUE,"Balance"}</definedName>
    <definedName name="HDHFH" localSheetId="8" hidden="1">{"landexbravo",#N/A,FALSE,"Land (ex Bravo)";"Schenker_HO",#N/A,FALSE,"Schenker HO";"Landincbravo",#N/A,FALSE,"Land + Bravo";"Logistics",#N/A,FALSE,"Logistics";"Airandsea",#N/A,FALSE,"Air &amp; Sea";"Schenkgroup",#N/A,FALSE,"Schenker Group";"RaabKarcher",#N/A,FALSE,"Raab Karcher";"Brenntag",#N/A,FALSE,"Brenntag";"Interfer",#N/A,FALSE,"Interfer";"F_S",#N/A,FALSE,"F&amp;S";"Full_line",#N/A,FALSE,"Wholesale";"Auto_S",#N/A,FALSE,"Auto_S";"Otherco",#N/A,FALSE,"Other co";"Centraladmin",#N/A,FALSE,"Central Ad";"Consol_adj",#N/A,FALSE,"Consol adj";"Summary98",#N/A,FALSE,"Summary";"Bravo",#N/A,FALSE,"Bravo";"Offerletter",#N/A,FALSE,"Offer letter 1";"Front sheet",#N/A,FALSE,"Comments"}</definedName>
    <definedName name="HDHFH" hidden="1">{"landexbravo",#N/A,FALSE,"Land (ex Bravo)";"Schenker_HO",#N/A,FALSE,"Schenker HO";"Landincbravo",#N/A,FALSE,"Land + Bravo";"Logistics",#N/A,FALSE,"Logistics";"Airandsea",#N/A,FALSE,"Air &amp; Sea";"Schenkgroup",#N/A,FALSE,"Schenker Group";"RaabKarcher",#N/A,FALSE,"Raab Karcher";"Brenntag",#N/A,FALSE,"Brenntag";"Interfer",#N/A,FALSE,"Interfer";"F_S",#N/A,FALSE,"F&amp;S";"Full_line",#N/A,FALSE,"Wholesale";"Auto_S",#N/A,FALSE,"Auto_S";"Otherco",#N/A,FALSE,"Other co";"Centraladmin",#N/A,FALSE,"Central Ad";"Consol_adj",#N/A,FALSE,"Consol adj";"Summary98",#N/A,FALSE,"Summary";"Bravo",#N/A,FALSE,"Bravo";"Offerletter",#N/A,FALSE,"Offer letter 1";"Front sheet",#N/A,FALSE,"Comments"}</definedName>
    <definedName name="HDHFH_1" localSheetId="8" hidden="1">{"landexbravo",#N/A,FALSE,"Land (ex Bravo)";"Schenker_HO",#N/A,FALSE,"Schenker HO";"Landincbravo",#N/A,FALSE,"Land + Bravo";"Logistics",#N/A,FALSE,"Logistics";"Airandsea",#N/A,FALSE,"Air &amp; Sea";"Schenkgroup",#N/A,FALSE,"Schenker Group";"RaabKarcher",#N/A,FALSE,"Raab Karcher";"Brenntag",#N/A,FALSE,"Brenntag";"Interfer",#N/A,FALSE,"Interfer";"F_S",#N/A,FALSE,"F&amp;S";"Full_line",#N/A,FALSE,"Wholesale";"Auto_S",#N/A,FALSE,"Auto_S";"Otherco",#N/A,FALSE,"Other co";"Centraladmin",#N/A,FALSE,"Central Ad";"Consol_adj",#N/A,FALSE,"Consol adj";"Summary98",#N/A,FALSE,"Summary";"Bravo",#N/A,FALSE,"Bravo";"Offerletter",#N/A,FALSE,"Offer letter 1";"Front sheet",#N/A,FALSE,"Comments"}</definedName>
    <definedName name="HDHFH_1" hidden="1">{"landexbravo",#N/A,FALSE,"Land (ex Bravo)";"Schenker_HO",#N/A,FALSE,"Schenker HO";"Landincbravo",#N/A,FALSE,"Land + Bravo";"Logistics",#N/A,FALSE,"Logistics";"Airandsea",#N/A,FALSE,"Air &amp; Sea";"Schenkgroup",#N/A,FALSE,"Schenker Group";"RaabKarcher",#N/A,FALSE,"Raab Karcher";"Brenntag",#N/A,FALSE,"Brenntag";"Interfer",#N/A,FALSE,"Interfer";"F_S",#N/A,FALSE,"F&amp;S";"Full_line",#N/A,FALSE,"Wholesale";"Auto_S",#N/A,FALSE,"Auto_S";"Otherco",#N/A,FALSE,"Other co";"Centraladmin",#N/A,FALSE,"Central Ad";"Consol_adj",#N/A,FALSE,"Consol adj";"Summary98",#N/A,FALSE,"Summary";"Bravo",#N/A,FALSE,"Bravo";"Offerletter",#N/A,FALSE,"Offer letter 1";"Front sheet",#N/A,FALSE,"Comments"}</definedName>
    <definedName name="HE" localSheetId="8" hidden="1">#N/A</definedName>
    <definedName name="He" hidden="1">{"'RR'!$A$2:$E$81"}</definedName>
    <definedName name="Header1" hidden="1">MAX(#REF!:INDEX(#REF!,ROW()-1))+1</definedName>
    <definedName name="Header2" hidden="1">IF(COUNTA(#REF!)=0,0,INDEX(#REF!,MATCH(ROW(#REF!),#REF!,TRUE)))+1</definedName>
    <definedName name="Header3" hidden="1">IF(COUNTA(#REF!)=0,0,INDEX(#REF!,MATCH(ROW(#REF!),#REF!,TRUE)))+1</definedName>
    <definedName name="HeaderSpot" hidden="1">#REF!</definedName>
    <definedName name="Hectolitros" localSheetId="7" hidden="1">{"Acum Div 3",#N/A,FALSE,"Acum Diversos 3"}</definedName>
    <definedName name="Hectolitros" localSheetId="8" hidden="1">{"Acum Div 3",#N/A,FALSE,"Acum Diversos 3"}</definedName>
    <definedName name="Hectolitros" hidden="1">{"Acum Div 3",#N/A,FALSE,"Acum Diversos 3"}</definedName>
    <definedName name="heimo" localSheetId="8" hidden="1">{#N/A,#N/A,TRUE,"Index";#N/A,#N/A,TRUE,"1";#N/A,#N/A,TRUE,"2";#N/A,#N/A,TRUE,"3";#N/A,#N/A,TRUE,"4";#N/A,#N/A,TRUE,"5";#N/A,#N/A,TRUE,"6";#N/A,#N/A,TRUE,"7";#N/A,#N/A,TRUE,"8";#N/A,#N/A,TRUE,"9";#N/A,#N/A,TRUE,"10";#N/A,#N/A,TRUE,"11";#N/A,#N/A,TRUE,"12";#N/A,#N/A,TRUE,"13";#N/A,#N/A,TRUE,"14";#N/A,#N/A,TRUE,"15";#N/A,#N/A,TRUE,"16";#N/A,#N/A,TRUE,"17";#N/A,#N/A,TRUE,"18";#N/A,#N/A,TRUE,"19";#N/A,#N/A,TRUE,"20";#N/A,#N/A,TRUE,"21";#N/A,#N/A,TRUE,"22";#N/A,#N/A,TRUE,"23";#N/A,#N/A,TRUE,"24";#N/A,#N/A,TRUE,"25";#N/A,#N/A,TRUE,"26";#N/A,#N/A,TRUE,"27";#N/A,#N/A,TRUE,"28";#N/A,#N/A,TRUE,"29";#N/A,#N/A,TRUE,"30";#N/A,#N/A,TRUE,"31";#N/A,#N/A,TRUE,"32";#N/A,#N/A,TRUE,"33";#N/A,#N/A,TRUE,"34";#N/A,#N/A,TRUE,"35";#N/A,#N/A,TRUE,"36";#N/A,#N/A,TRUE,"37";#N/A,#N/A,TRUE,"38";#N/A,#N/A,TRUE,"39";#N/A,#N/A,TRUE,"40";#N/A,#N/A,TRUE,"41";#N/A,#N/A,TRUE,"42";#N/A,#N/A,TRUE,"43";#N/A,#N/A,TRUE,"44";#N/A,#N/A,TRUE,"45"}</definedName>
    <definedName name="heimo" hidden="1">{#N/A,#N/A,TRUE,"Index";#N/A,#N/A,TRUE,"1";#N/A,#N/A,TRUE,"2";#N/A,#N/A,TRUE,"3";#N/A,#N/A,TRUE,"4";#N/A,#N/A,TRUE,"5";#N/A,#N/A,TRUE,"6";#N/A,#N/A,TRUE,"7";#N/A,#N/A,TRUE,"8";#N/A,#N/A,TRUE,"9";#N/A,#N/A,TRUE,"10";#N/A,#N/A,TRUE,"11";#N/A,#N/A,TRUE,"12";#N/A,#N/A,TRUE,"13";#N/A,#N/A,TRUE,"14";#N/A,#N/A,TRUE,"15";#N/A,#N/A,TRUE,"16";#N/A,#N/A,TRUE,"17";#N/A,#N/A,TRUE,"18";#N/A,#N/A,TRUE,"19";#N/A,#N/A,TRUE,"20";#N/A,#N/A,TRUE,"21";#N/A,#N/A,TRUE,"22";#N/A,#N/A,TRUE,"23";#N/A,#N/A,TRUE,"24";#N/A,#N/A,TRUE,"25";#N/A,#N/A,TRUE,"26";#N/A,#N/A,TRUE,"27";#N/A,#N/A,TRUE,"28";#N/A,#N/A,TRUE,"29";#N/A,#N/A,TRUE,"30";#N/A,#N/A,TRUE,"31";#N/A,#N/A,TRUE,"32";#N/A,#N/A,TRUE,"33";#N/A,#N/A,TRUE,"34";#N/A,#N/A,TRUE,"35";#N/A,#N/A,TRUE,"36";#N/A,#N/A,TRUE,"37";#N/A,#N/A,TRUE,"38";#N/A,#N/A,TRUE,"39";#N/A,#N/A,TRUE,"40";#N/A,#N/A,TRUE,"41";#N/A,#N/A,TRUE,"42";#N/A,#N/A,TRUE,"43";#N/A,#N/A,TRUE,"44";#N/A,#N/A,TRUE,"45"}</definedName>
    <definedName name="Heimo1" localSheetId="8" hidden="1">{#N/A,#N/A,TRUE,"Index";#N/A,#N/A,TRUE,"1";#N/A,#N/A,TRUE,"2";#N/A,#N/A,TRUE,"3";#N/A,#N/A,TRUE,"4";#N/A,#N/A,TRUE,"5";#N/A,#N/A,TRUE,"6";#N/A,#N/A,TRUE,"7";#N/A,#N/A,TRUE,"8";#N/A,#N/A,TRUE,"9";#N/A,#N/A,TRUE,"10";#N/A,#N/A,TRUE,"11";#N/A,#N/A,TRUE,"12";#N/A,#N/A,TRUE,"13";#N/A,#N/A,TRUE,"14";#N/A,#N/A,TRUE,"15";#N/A,#N/A,TRUE,"16";#N/A,#N/A,TRUE,"17";#N/A,#N/A,TRUE,"18";#N/A,#N/A,TRUE,"19";#N/A,#N/A,TRUE,"20";#N/A,#N/A,TRUE,"21";#N/A,#N/A,TRUE,"22";#N/A,#N/A,TRUE,"23";#N/A,#N/A,TRUE,"24";#N/A,#N/A,TRUE,"25";#N/A,#N/A,TRUE,"26";#N/A,#N/A,TRUE,"27";#N/A,#N/A,TRUE,"28";#N/A,#N/A,TRUE,"29";#N/A,#N/A,TRUE,"30";#N/A,#N/A,TRUE,"31";#N/A,#N/A,TRUE,"32";#N/A,#N/A,TRUE,"33";#N/A,#N/A,TRUE,"34";#N/A,#N/A,TRUE,"35";#N/A,#N/A,TRUE,"36";#N/A,#N/A,TRUE,"37";#N/A,#N/A,TRUE,"38";#N/A,#N/A,TRUE,"39";#N/A,#N/A,TRUE,"40";#N/A,#N/A,TRUE,"41";#N/A,#N/A,TRUE,"42";#N/A,#N/A,TRUE,"43";#N/A,#N/A,TRUE,"44";#N/A,#N/A,TRUE,"45"}</definedName>
    <definedName name="Heimo1" hidden="1">{#N/A,#N/A,TRUE,"Index";#N/A,#N/A,TRUE,"1";#N/A,#N/A,TRUE,"2";#N/A,#N/A,TRUE,"3";#N/A,#N/A,TRUE,"4";#N/A,#N/A,TRUE,"5";#N/A,#N/A,TRUE,"6";#N/A,#N/A,TRUE,"7";#N/A,#N/A,TRUE,"8";#N/A,#N/A,TRUE,"9";#N/A,#N/A,TRUE,"10";#N/A,#N/A,TRUE,"11";#N/A,#N/A,TRUE,"12";#N/A,#N/A,TRUE,"13";#N/A,#N/A,TRUE,"14";#N/A,#N/A,TRUE,"15";#N/A,#N/A,TRUE,"16";#N/A,#N/A,TRUE,"17";#N/A,#N/A,TRUE,"18";#N/A,#N/A,TRUE,"19";#N/A,#N/A,TRUE,"20";#N/A,#N/A,TRUE,"21";#N/A,#N/A,TRUE,"22";#N/A,#N/A,TRUE,"23";#N/A,#N/A,TRUE,"24";#N/A,#N/A,TRUE,"25";#N/A,#N/A,TRUE,"26";#N/A,#N/A,TRUE,"27";#N/A,#N/A,TRUE,"28";#N/A,#N/A,TRUE,"29";#N/A,#N/A,TRUE,"30";#N/A,#N/A,TRUE,"31";#N/A,#N/A,TRUE,"32";#N/A,#N/A,TRUE,"33";#N/A,#N/A,TRUE,"34";#N/A,#N/A,TRUE,"35";#N/A,#N/A,TRUE,"36";#N/A,#N/A,TRUE,"37";#N/A,#N/A,TRUE,"38";#N/A,#N/A,TRUE,"39";#N/A,#N/A,TRUE,"40";#N/A,#N/A,TRUE,"41";#N/A,#N/A,TRUE,"42";#N/A,#N/A,TRUE,"43";#N/A,#N/A,TRUE,"44";#N/A,#N/A,TRUE,"45"}</definedName>
    <definedName name="hell" localSheetId="8" hidden="1">{"Area1",#N/A,FALSE,"OREWACC";"Area2",#N/A,FALSE,"OREWACC"}</definedName>
    <definedName name="hell" hidden="1">{"Area1",#N/A,FALSE,"OREWACC";"Area2",#N/A,FALSE,"OREWACC"}</definedName>
    <definedName name="helleon" localSheetId="8" hidden="1">{"Area1",#N/A,FALSE,"OREWACC";"Area2",#N/A,FALSE,"OREWACC"}</definedName>
    <definedName name="helleon" hidden="1">{"Area1",#N/A,FALSE,"OREWACC";"Area2",#N/A,FALSE,"OREWACC"}</definedName>
    <definedName name="hello" localSheetId="8" hidden="1">{#N/A,#N/A,FALSE,"Cover";"outputs total",#N/A,FALSE,"Outputs"}</definedName>
    <definedName name="hello" hidden="1">{#N/A,#N/A,FALSE,"Cover";"outputs total",#N/A,FALSE,"Outputs"}</definedName>
    <definedName name="hello_1" localSheetId="8" hidden="1">{#N/A,#N/A,FALSE,"Cover";"outputs total",#N/A,FALSE,"Outputs"}</definedName>
    <definedName name="hello_1" hidden="1">{#N/A,#N/A,FALSE,"Cover";"outputs total",#N/A,FALSE,"Outputs"}</definedName>
    <definedName name="hello1" localSheetId="8" hidden="1">{"Area1",#N/A,FALSE,"OREWACC";"Area2",#N/A,FALSE,"OREWACC"}</definedName>
    <definedName name="hello1" hidden="1">{"Area1",#N/A,FALSE,"OREWACC";"Area2",#N/A,FALSE,"OREWACC"}</definedName>
    <definedName name="hello2" localSheetId="8" hidden="1">{"Area1",#N/A,FALSE,"OREWACC";"Area2",#N/A,FALSE,"OREWACC"}</definedName>
    <definedName name="hello2" hidden="1">{"Area1",#N/A,FALSE,"OREWACC";"Area2",#N/A,FALSE,"OREWACC"}</definedName>
    <definedName name="here" localSheetId="8" hidden="1">{"ProductCo PSTN Lines",#N/A,FALSE,"ProductCo Lines Output"}</definedName>
    <definedName name="here" hidden="1">{"ProductCo PSTN Lines",#N/A,FALSE,"ProductCo Lines Output"}</definedName>
    <definedName name="hf" localSheetId="8" hidden="1">{"detail",#N/A,FALSE,"mfg";"summary",#N/A,FALSE,"mfg"}</definedName>
    <definedName name="hf" hidden="1">{"detail",#N/A,FALSE,"mfg";"summary",#N/A,FALSE,"mfg"}</definedName>
    <definedName name="HFGH" localSheetId="8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HFGH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HFinGraph" localSheetId="7" hidden="1">{#N/A,#N/A,FALSE,"Pharm";#N/A,#N/A,FALSE,"WWCM"}</definedName>
    <definedName name="HFinGraph" localSheetId="8" hidden="1">{#N/A,#N/A,FALSE,"Pharm";#N/A,#N/A,FALSE,"WWCM"}</definedName>
    <definedName name="HFinGraph" hidden="1">{#N/A,#N/A,FALSE,"Pharm";#N/A,#N/A,FALSE,"WWCM"}</definedName>
    <definedName name="hg" localSheetId="8" hidden="1">{"detail",#N/A,FALSE,"mfg";"summary",#N/A,FALSE,"mfg"}</definedName>
    <definedName name="hg" hidden="1">{"detail",#N/A,FALSE,"mfg";"summary",#N/A,FALSE,"mfg"}</definedName>
    <definedName name="hg2old" localSheetId="8" hidden="1">{"'100'!$A$1:$M$83"}</definedName>
    <definedName name="hg2old" hidden="1">{"'100'!$A$1:$M$83"}</definedName>
    <definedName name="hgcgcgh" localSheetId="8" hidden="1">{#N/A,#N/A,FALSE,"projcf";#N/A,#N/A,FALSE,"Projline";#N/A,#N/A,FALSE,"bankline";#N/A,#N/A,FALSE,"Fast95is";#N/A,#N/A,FALSE,"tool95is";#N/A,#N/A,FALSE,"tot95is";#N/A,#N/A,FALSE,"tool950h";#N/A,#N/A,FALSE,"fas95oh";#N/A,#N/A,FALSE,"tot95oh";#N/A,#N/A,FALSE,"95sga";#N/A,#N/A,FALSE,"95projcf";#N/A,#N/A,FALSE,"95loc";#N/A,#N/A,FALSE,"95bankline"}</definedName>
    <definedName name="hgcgcgh" hidden="1">{#N/A,#N/A,FALSE,"projcf";#N/A,#N/A,FALSE,"Projline";#N/A,#N/A,FALSE,"bankline";#N/A,#N/A,FALSE,"Fast95is";#N/A,#N/A,FALSE,"tool95is";#N/A,#N/A,FALSE,"tot95is";#N/A,#N/A,FALSE,"tool950h";#N/A,#N/A,FALSE,"fas95oh";#N/A,#N/A,FALSE,"tot95oh";#N/A,#N/A,FALSE,"95sga";#N/A,#N/A,FALSE,"95projcf";#N/A,#N/A,FALSE,"95loc";#N/A,#N/A,FALSE,"95bankline"}</definedName>
    <definedName name="hgcgcgh_1" localSheetId="8" hidden="1">{#N/A,#N/A,FALSE,"projcf";#N/A,#N/A,FALSE,"Projline";#N/A,#N/A,FALSE,"bankline";#N/A,#N/A,FALSE,"Fast95is";#N/A,#N/A,FALSE,"tool95is";#N/A,#N/A,FALSE,"tot95is";#N/A,#N/A,FALSE,"tool950h";#N/A,#N/A,FALSE,"fas95oh";#N/A,#N/A,FALSE,"tot95oh";#N/A,#N/A,FALSE,"95sga";#N/A,#N/A,FALSE,"95projcf";#N/A,#N/A,FALSE,"95loc";#N/A,#N/A,FALSE,"95bankline"}</definedName>
    <definedName name="hgcgcgh_1" hidden="1">{#N/A,#N/A,FALSE,"projcf";#N/A,#N/A,FALSE,"Projline";#N/A,#N/A,FALSE,"bankline";#N/A,#N/A,FALSE,"Fast95is";#N/A,#N/A,FALSE,"tool95is";#N/A,#N/A,FALSE,"tot95is";#N/A,#N/A,FALSE,"tool950h";#N/A,#N/A,FALSE,"fas95oh";#N/A,#N/A,FALSE,"tot95oh";#N/A,#N/A,FALSE,"95sga";#N/A,#N/A,FALSE,"95projcf";#N/A,#N/A,FALSE,"95loc";#N/A,#N/A,FALSE,"95bankline"}</definedName>
    <definedName name="hgd" localSheetId="8" hidden="1">{"K1-Overview1",#N/A,FALSE,"K1-Overview";"K1-Overview2",#N/A,FALSE,"K1-Overview";"K1-Overview3 BUD &amp; CUR",#N/A,FALSE,"K1-Overview"}</definedName>
    <definedName name="hgd" hidden="1">{"K1-Overview1",#N/A,FALSE,"K1-Overview";"K1-Overview2",#N/A,FALSE,"K1-Overview";"K1-Overview3 BUD &amp; CUR",#N/A,FALSE,"K1-Overview"}</definedName>
    <definedName name="hgf" localSheetId="8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hgf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hgf_1" localSheetId="8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hgf_1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hgfd" localSheetId="8" hidden="1">{"BA detail",#N/A,FALSE,"Q3YTD "}</definedName>
    <definedName name="hgfd" hidden="1">{"BA detail",#N/A,FALSE,"Q3YTD "}</definedName>
    <definedName name="hgh" localSheetId="8" hidden="1">{#N/A,#N/A,FALSE,"cover";#N/A,#N/A,FALSE,"Content ";#N/A,#N/A,FALSE,"E&amp;C Op Stat";#N/A,#N/A,FALSE,"Telcos Op Stat";#N/A,#N/A,FALSE,"Media Op Stat";#N/A,#N/A,FALSE,"Oil Op Stat";#N/A,#N/A,FALSE,"Utilities Op Stat";#N/A,#N/A,FALSE,"E&amp;C Ord An";#N/A,#N/A,FALSE,"E&amp;C Debt Nar";#N/A,#N/A,FALSE,"E&amp;C Debtors";#N/A,#N/A,FALSE,"E&amp;C CO Debt";#N/A,#N/A,FALSE,"Telcos Presales";#N/A,#N/A,FALSE,"Oil Presales";#N/A,#N/A,FALSE,"Utilities Presales"}</definedName>
    <definedName name="hgh" hidden="1">{#N/A,#N/A,FALSE,"cover";#N/A,#N/A,FALSE,"Content ";#N/A,#N/A,FALSE,"E&amp;C Op Stat";#N/A,#N/A,FALSE,"Telcos Op Stat";#N/A,#N/A,FALSE,"Media Op Stat";#N/A,#N/A,FALSE,"Oil Op Stat";#N/A,#N/A,FALSE,"Utilities Op Stat";#N/A,#N/A,FALSE,"E&amp;C Ord An";#N/A,#N/A,FALSE,"E&amp;C Debt Nar";#N/A,#N/A,FALSE,"E&amp;C Debtors";#N/A,#N/A,FALSE,"E&amp;C CO Debt";#N/A,#N/A,FALSE,"Telcos Presales";#N/A,#N/A,FALSE,"Oil Presales";#N/A,#N/A,FALSE,"Utilities Presales"}</definedName>
    <definedName name="HGHFSGH" localSheetId="8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HGHFSGH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hghg" localSheetId="8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hghg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hgj" localSheetId="8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hgj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hgj_1" localSheetId="8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hgj_1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hgjghjhhg" localSheetId="8" hidden="1">{#N/A,#N/A,FALSE,"Produkte Erw.";#N/A,#N/A,FALSE,"Produkte Plan";#N/A,#N/A,FALSE,"Leistungen Erw.";#N/A,#N/A,FALSE,"Leistungen Plan";#N/A,#N/A,FALSE,"KA Allg.Kosten (2)";#N/A,#N/A,FALSE,"KA All.Kosten"}</definedName>
    <definedName name="hgjghjhhg" hidden="1">{#N/A,#N/A,FALSE,"Produkte Erw.";#N/A,#N/A,FALSE,"Produkte Plan";#N/A,#N/A,FALSE,"Leistungen Erw.";#N/A,#N/A,FALSE,"Leistungen Plan";#N/A,#N/A,FALSE,"KA Allg.Kosten (2)";#N/A,#N/A,FALSE,"KA All.Kosten"}</definedName>
    <definedName name="hgkjjk" localSheetId="8" hidden="1">{#N/A,#N/A,FALSE,"Full";#N/A,#N/A,FALSE,"Half";#N/A,#N/A,FALSE,"Op Expenses";#N/A,#N/A,FALSE,"Cap Charge";#N/A,#N/A,FALSE,"Cost C";#N/A,#N/A,FALSE,"PP&amp;E";#N/A,#N/A,FALSE,"R&amp;D"}</definedName>
    <definedName name="hgkjjk" hidden="1">{#N/A,#N/A,FALSE,"Full";#N/A,#N/A,FALSE,"Half";#N/A,#N/A,FALSE,"Op Expenses";#N/A,#N/A,FALSE,"Cap Charge";#N/A,#N/A,FALSE,"Cost C";#N/A,#N/A,FALSE,"PP&amp;E";#N/A,#N/A,FALSE,"R&amp;D"}</definedName>
    <definedName name="hgold" localSheetId="8" hidden="1">{"'100'!$A$1:$M$83"}</definedName>
    <definedName name="hgold" hidden="1">{"'100'!$A$1:$M$83"}</definedName>
    <definedName name="HGRAST" localSheetId="8" hidden="1">{"'100'!$A$1:$M$83"}</definedName>
    <definedName name="HGRAST" hidden="1">{"'100'!$A$1:$M$83"}</definedName>
    <definedName name="hgyl" localSheetId="8" hidden="1">{"'100'!$A$1:$M$83"}</definedName>
    <definedName name="hgyl" hidden="1">{"'100'!$A$1:$M$83"}</definedName>
    <definedName name="hh" localSheetId="8" hidden="1">{"ProductCo PSTN Lines",#N/A,FALSE,"ProductCo Lines Output"}</definedName>
    <definedName name="hh" hidden="1">{"ProductCo PSTN Lines",#N/A,FALSE,"ProductCo Lines Output"}</definedName>
    <definedName name="hh.k" localSheetId="8" hidden="1">{#N/A,#N/A,FALSE,"KA CH  (2)"}</definedName>
    <definedName name="hh.k" hidden="1">{#N/A,#N/A,FALSE,"KA CH  (2)"}</definedName>
    <definedName name="hhgc" localSheetId="8" hidden="1">{"fssum01",#N/A,FALSE,"fssum";"fssum02",#N/A,FALSE,"fssum"}</definedName>
    <definedName name="hhgc" hidden="1">{"fssum01",#N/A,FALSE,"fssum";"fssum02",#N/A,FALSE,"fssum"}</definedName>
    <definedName name="hhgc_1" localSheetId="8" hidden="1">{"fssum01",#N/A,FALSE,"fssum";"fssum02",#N/A,FALSE,"fssum"}</definedName>
    <definedName name="hhgc_1" hidden="1">{"fssum01",#N/A,FALSE,"fssum";"fssum02",#N/A,FALSE,"fssum"}</definedName>
    <definedName name="HHGF" localSheetId="8" hidden="1">{#N/A,#N/A,TRUE,"Graficos";#N/A,#N/A,TRUE,"P.Ingresos";#N/A,#N/A,TRUE,"P.Gastos";#N/A,#N/A,TRUE,"I.Trafico";#N/A,#N/A,TRUE,"I.Peajes";#N/A,#N/A,TRUE,"G.Operativos";#N/A,#N/A,TRUE,"Cf Proyecto";#N/A,#N/A,TRUE,"C.PYG";#N/A,#N/A,TRUE,"Balance";#N/A,#N/A,TRUE,"TIR AC";#N/A,#N/A,TRUE,"Ratios";#N/A,#N/A,TRUE,"Amortizacion";#N/A,#N/A,TRUE,"FC fin";#N/A,#N/A,TRUE,"Coeficientes";#N/A,#N/A,TRUE,"Tesoreria";#N/A,#N/A,TRUE,"Prest.inv";#N/A,#N/A,TRUE,"Obligacion";#N/A,#N/A,TRUE,"Impuestos";#N/A,#N/A,TRUE,"Reservas";#N/A,#N/A,TRUE,"Inversion";#N/A,#N/A,TRUE,"P.Inversion";#N/A,#N/A,TRUE,"C.Fl Inv.";#N/A,#N/A,TRUE,"VAN Oferta"}</definedName>
    <definedName name="HHGF" hidden="1">{#N/A,#N/A,TRUE,"Graficos";#N/A,#N/A,TRUE,"P.Ingresos";#N/A,#N/A,TRUE,"P.Gastos";#N/A,#N/A,TRUE,"I.Trafico";#N/A,#N/A,TRUE,"I.Peajes";#N/A,#N/A,TRUE,"G.Operativos";#N/A,#N/A,TRUE,"Cf Proyecto";#N/A,#N/A,TRUE,"C.PYG";#N/A,#N/A,TRUE,"Balance";#N/A,#N/A,TRUE,"TIR AC";#N/A,#N/A,TRUE,"Ratios";#N/A,#N/A,TRUE,"Amortizacion";#N/A,#N/A,TRUE,"FC fin";#N/A,#N/A,TRUE,"Coeficientes";#N/A,#N/A,TRUE,"Tesoreria";#N/A,#N/A,TRUE,"Prest.inv";#N/A,#N/A,TRUE,"Obligacion";#N/A,#N/A,TRUE,"Impuestos";#N/A,#N/A,TRUE,"Reservas";#N/A,#N/A,TRUE,"Inversion";#N/A,#N/A,TRUE,"P.Inversion";#N/A,#N/A,TRUE,"C.Fl Inv.";#N/A,#N/A,TRUE,"VAN Oferta"}</definedName>
    <definedName name="hhh" localSheetId="7" hidden="1">#REF!</definedName>
    <definedName name="hhh" localSheetId="8" hidden="1">#REF!</definedName>
    <definedName name="hhh" hidden="1">{#N/A,#N/A,FALSE,"cover";#N/A,#N/A,FALSE,"Content ";#N/A,#N/A,FALSE,"E&amp;C Op Stat";#N/A,#N/A,FALSE,"Telcos Op Stat";#N/A,#N/A,FALSE,"Media Op Stat";#N/A,#N/A,FALSE,"Oil Op Stat";#N/A,#N/A,FALSE,"Utilities Op Stat";#N/A,#N/A,FALSE,"E&amp;C Ord An";#N/A,#N/A,FALSE,"E&amp;C Debt Nar";#N/A,#N/A,FALSE,"E&amp;C Debtors";#N/A,#N/A,FALSE,"E&amp;C CO Debt";#N/A,#N/A,FALSE,"Telcos Presales";#N/A,#N/A,FALSE,"Oil Presales";#N/A,#N/A,FALSE,"Utilities Presales"}</definedName>
    <definedName name="hhh_1" localSheetId="8" hidden="1">{#N/A,#N/A,FALSE,"BANNERS";#N/A,#N/A,FALSE,"Market";#N/A,#N/A,FALSE,"# of POP MAN";#N/A,#N/A,FALSE,"Penet Input";#N/A,#N/A,FALSE,"Tel Rev";#N/A,#N/A,FALSE,"Invest";#N/A,#N/A,FALSE,"Op Cost1";#N/A,#N/A,FALSE,"Op Cost2";#N/A,#N/A,FALSE,"Oth_&amp;_Tot_Revenues";#N/A,#N/A,FALSE,"Fin Mod";#N/A,#N/A,FALSE,"P&amp;E Burocrat";#N/A,#N/A,FALSE,"cash flow"}</definedName>
    <definedName name="hhh_1" hidden="1">{#N/A,#N/A,FALSE,"BANNERS";#N/A,#N/A,FALSE,"Market";#N/A,#N/A,FALSE,"# of POP MAN";#N/A,#N/A,FALSE,"Penet Input";#N/A,#N/A,FALSE,"Tel Rev";#N/A,#N/A,FALSE,"Invest";#N/A,#N/A,FALSE,"Op Cost1";#N/A,#N/A,FALSE,"Op Cost2";#N/A,#N/A,FALSE,"Oth_&amp;_Tot_Revenues";#N/A,#N/A,FALSE,"Fin Mod";#N/A,#N/A,FALSE,"P&amp;E Burocrat";#N/A,#N/A,FALSE,"cash flow"}</definedName>
    <definedName name="hhhh" localSheetId="8" hidden="1">{"'100'!$A$1:$M$83"}</definedName>
    <definedName name="hhhh" hidden="1">{"'100'!$A$1:$M$83"}</definedName>
    <definedName name="hhhhh" hidden="1">#REF!</definedName>
    <definedName name="hhhhhh" localSheetId="8" hidden="1">#REF!</definedName>
    <definedName name="hhhhhh" hidden="1">#REF!</definedName>
    <definedName name="hhhsdf" localSheetId="8" hidden="1">{"up stand alones",#N/A,FALSE,"Acquiror"}</definedName>
    <definedName name="hhhsdf" hidden="1">{"up stand alones",#N/A,FALSE,"Acquiror"}</definedName>
    <definedName name="hhhsdf_1" localSheetId="8" hidden="1">{"up stand alones",#N/A,FALSE,"Acquiror"}</definedName>
    <definedName name="hhhsdf_1" hidden="1">{"up stand alones",#N/A,FALSE,"Acquiror"}</definedName>
    <definedName name="hhj.ls" localSheetId="8" hidden="1">{#N/A,#N/A,FALSE,"Produkte Erw.";#N/A,#N/A,FALSE,"Produkte Plan";#N/A,#N/A,FALSE,"Leistungen Erw.";#N/A,#N/A,FALSE,"Leistungen Plan";#N/A,#N/A,FALSE,"KA Allg.Kosten (2)";#N/A,#N/A,FALSE,"KA All.Kosten"}</definedName>
    <definedName name="hhj.ls" hidden="1">{#N/A,#N/A,FALSE,"Produkte Erw.";#N/A,#N/A,FALSE,"Produkte Plan";#N/A,#N/A,FALSE,"Leistungen Erw.";#N/A,#N/A,FALSE,"Leistungen Plan";#N/A,#N/A,FALSE,"KA Allg.Kosten (2)";#N/A,#N/A,FALSE,"KA All.Kosten"}</definedName>
    <definedName name="Hibh" localSheetId="7" hidden="1">{#N/A,#N/A,FALSE,"Pharm";#N/A,#N/A,FALSE,"WWCM"}</definedName>
    <definedName name="Hibh" localSheetId="8" hidden="1">{#N/A,#N/A,FALSE,"Pharm";#N/A,#N/A,FALSE,"WWCM"}</definedName>
    <definedName name="Hibh" hidden="1">{#N/A,#N/A,FALSE,"Pharm";#N/A,#N/A,FALSE,"WWCM"}</definedName>
    <definedName name="HiddenRows" hidden="1">#REF!</definedName>
    <definedName name="High" localSheetId="7" hidden="1">{#N/A,#N/A,FALSE,"Pharm";#N/A,#N/A,FALSE,"WWCM"}</definedName>
    <definedName name="High" localSheetId="8" hidden="1">{#N/A,#N/A,FALSE,"Pharm";#N/A,#N/A,FALSE,"WWCM"}</definedName>
    <definedName name="High" hidden="1">{#N/A,#N/A,FALSE,"Pharm";#N/A,#N/A,FALSE,"WWCM"}</definedName>
    <definedName name="HIlfstabellen" localSheetId="8" hidden="1">{"Eilbericht_UBA",#N/A,FALSE,"EB"}</definedName>
    <definedName name="HIlfstabellen" hidden="1">{"Eilbericht_UBA",#N/A,FALSE,"EB"}</definedName>
    <definedName name="HIlfstabellen_1" localSheetId="8" hidden="1">{"Eilbericht_UBA",#N/A,FALSE,"EB"}</definedName>
    <definedName name="HIlfstabellen_1" hidden="1">{"Eilbericht_UBA",#N/A,FALSE,"EB"}</definedName>
    <definedName name="His_BG" localSheetId="8" hidden="1">{#N/A,#N/A,FALSE,"Pharm";#N/A,#N/A,FALSE,"WWCM"}</definedName>
    <definedName name="His_BG" hidden="1">{#N/A,#N/A,FALSE,"Pharm";#N/A,#N/A,FALSE,"WWCM"}</definedName>
    <definedName name="HISTORICO" localSheetId="8" hidden="1">{#N/A,#N/A,TRUE,"Julio";#N/A,#N/A,TRUE,"Agosto";#N/A,#N/A,TRUE,"BHCo";#N/A,#N/A,TRUE,"Abril";#N/A,#N/A,TRUE,"Pro Forma"}</definedName>
    <definedName name="HISTORICO" hidden="1">{#N/A,#N/A,TRUE,"Julio";#N/A,#N/A,TRUE,"Agosto";#N/A,#N/A,TRUE,"BHCo";#N/A,#N/A,TRUE,"Abril";#N/A,#N/A,TRUE,"Pro Forma"}</definedName>
    <definedName name="HisYear_0" hidden="1">#REF!</definedName>
    <definedName name="HisYear_1" hidden="1">#REF!</definedName>
    <definedName name="HisYear_2" hidden="1">#REF!</definedName>
    <definedName name="HisYear_3" hidden="1">#REF!</definedName>
    <definedName name="hj" localSheetId="8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hj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hj.k" localSheetId="8" hidden="1">{#N/A,#N/A,FALSE,"Produkte Erw.";#N/A,#N/A,FALSE,"Produkte Plan";#N/A,#N/A,FALSE,"Leistungen Erw.";#N/A,#N/A,FALSE,"Leistungen Plan";#N/A,#N/A,FALSE,"KA Allg.Kosten (2)";#N/A,#N/A,FALSE,"KA All.Kosten"}</definedName>
    <definedName name="hj.k" hidden="1">{#N/A,#N/A,FALSE,"Produkte Erw.";#N/A,#N/A,FALSE,"Produkte Plan";#N/A,#N/A,FALSE,"Leistungen Erw.";#N/A,#N/A,FALSE,"Leistungen Plan";#N/A,#N/A,FALSE,"KA Allg.Kosten (2)";#N/A,#N/A,FALSE,"KA All.Kosten"}</definedName>
    <definedName name="hjbjlhbjhlbjhbvh" localSheetId="8" hidden="1">#REF!</definedName>
    <definedName name="hjbjlhbjhlbjhbvh" hidden="1">#REF!</definedName>
    <definedName name="hjfgjghj" localSheetId="8" hidden="1">{"up stand alones",#N/A,FALSE,"Acquiror"}</definedName>
    <definedName name="hjfgjghj" hidden="1">{"up stand alones",#N/A,FALSE,"Acquiror"}</definedName>
    <definedName name="hjfgjghj_1" localSheetId="8" hidden="1">{"up stand alones",#N/A,FALSE,"Acquiror"}</definedName>
    <definedName name="hjfgjghj_1" hidden="1">{"up stand alones",#N/A,FALSE,"Acquiror"}</definedName>
    <definedName name="hjgg" localSheetId="8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hjgg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hjgg_1" localSheetId="8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hjgg_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hjghhgyg" localSheetId="8" hidden="1">{"Polymers Details",#N/A,FALSE,"Current Yr";"Polymer Details",#N/A,FALSE,"Budget";"Polymer Details",#N/A,FALSE,"Prior Year"}</definedName>
    <definedName name="hjghhgyg" hidden="1">{"Polymers Details",#N/A,FALSE,"Current Yr";"Polymer Details",#N/A,FALSE,"Budget";"Polymer Details",#N/A,FALSE,"Prior Year"}</definedName>
    <definedName name="hjghjhgj" localSheetId="8" hidden="1">{#N/A,#N/A,FALSE,"Produkte Erw.";#N/A,#N/A,FALSE,"Produkte Plan";#N/A,#N/A,FALSE,"Leistungen Erw.";#N/A,#N/A,FALSE,"Leistungen Plan";#N/A,#N/A,FALSE,"KA Allg.Kosten (2)";#N/A,#N/A,FALSE,"KA All.Kosten"}</definedName>
    <definedName name="hjghjhgj" hidden="1">{#N/A,#N/A,FALSE,"Produkte Erw.";#N/A,#N/A,FALSE,"Produkte Plan";#N/A,#N/A,FALSE,"Leistungen Erw.";#N/A,#N/A,FALSE,"Leistungen Plan";#N/A,#N/A,FALSE,"KA Allg.Kosten (2)";#N/A,#N/A,FALSE,"KA All.Kosten"}</definedName>
    <definedName name="hjgjgyh" localSheetId="8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hjgjgyh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hjgjgyh_1" localSheetId="8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hjgjgyh_1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hjh" localSheetId="8" hidden="1">{#N/A,#N/A,FALSE,"Produkte Erw.";#N/A,#N/A,FALSE,"Produkte Plan";#N/A,#N/A,FALSE,"Leistungen Erw.";#N/A,#N/A,FALSE,"Leistungen Plan";#N/A,#N/A,FALSE,"KA Allg.Kosten (2)";#N/A,#N/A,FALSE,"KA All.Kosten"}</definedName>
    <definedName name="hjh" hidden="1">{#N/A,#N/A,FALSE,"Produkte Erw.";#N/A,#N/A,FALSE,"Produkte Plan";#N/A,#N/A,FALSE,"Leistungen Erw.";#N/A,#N/A,FALSE,"Leistungen Plan";#N/A,#N/A,FALSE,"KA Allg.Kosten (2)";#N/A,#N/A,FALSE,"KA All.Kosten"}</definedName>
    <definedName name="hjhjffukfuk" localSheetId="7" hidden="1">{#N/A,#N/A,FALSE,"Pharm";#N/A,#N/A,FALSE,"WWCM"}</definedName>
    <definedName name="hjhjffukfuk" localSheetId="8" hidden="1">{#N/A,#N/A,FALSE,"Pharm";#N/A,#N/A,FALSE,"WWCM"}</definedName>
    <definedName name="hjhjffukfuk" hidden="1">{#N/A,#N/A,FALSE,"Pharm";#N/A,#N/A,FALSE,"WWCM"}</definedName>
    <definedName name="hjhjfkfukywrte" localSheetId="7" hidden="1">{#N/A,#N/A,FALSE,"Pharm";#N/A,#N/A,FALSE,"WWCM"}</definedName>
    <definedName name="hjhjfkfukywrte" localSheetId="8" hidden="1">{#N/A,#N/A,FALSE,"Pharm";#N/A,#N/A,FALSE,"WWCM"}</definedName>
    <definedName name="hjhjfkfukywrte" hidden="1">{#N/A,#N/A,FALSE,"Pharm";#N/A,#N/A,FALSE,"WWCM"}</definedName>
    <definedName name="hjhkjkl" localSheetId="7" hidden="1">{#N/A,#N/A,FALSE,"Pharm";#N/A,#N/A,FALSE,"WWCM"}</definedName>
    <definedName name="hjhkjkl" localSheetId="8" hidden="1">{#N/A,#N/A,FALSE,"Pharm";#N/A,#N/A,FALSE,"WWCM"}</definedName>
    <definedName name="hjhkjkl" hidden="1">{#N/A,#N/A,FALSE,"Pharm";#N/A,#N/A,FALSE,"WWCM"}</definedName>
    <definedName name="hjhtwh" localSheetId="8" hidden="1">{#N/A,#N/A,FALSE,"Automezzi";#N/A,#N/A,FALSE,"Fabbricati";#N/A,#N/A,FALSE,"SOFTWARE";#N/A,#N/A,FALSE,"COSTRUZIONI LEGGERE";#N/A,#N/A,FALSE,"Impianti 10%";#N/A,#N/A,FALSE,"Impianti 12,5%";#N/A,#N/A,FALSE,"Macchine e impianti 15,5%";#N/A,#N/A,FALSE,"Macchine e Impianti 12,5%";#N/A,#N/A,FALSE,"Attrezzature 25%";#N/A,#N/A,FALSE,"Attrezzatura 35%";#N/A,#N/A,FALSE,"Macchine ufficio elettroniche";#N/A,#N/A,FALSE,"Mobili e arredi";#N/A,#N/A,FALSE,"Mobili officina"}</definedName>
    <definedName name="hjhtwh" hidden="1">{#N/A,#N/A,FALSE,"Automezzi";#N/A,#N/A,FALSE,"Fabbricati";#N/A,#N/A,FALSE,"SOFTWARE";#N/A,#N/A,FALSE,"COSTRUZIONI LEGGERE";#N/A,#N/A,FALSE,"Impianti 10%";#N/A,#N/A,FALSE,"Impianti 12,5%";#N/A,#N/A,FALSE,"Macchine e impianti 15,5%";#N/A,#N/A,FALSE,"Macchine e Impianti 12,5%";#N/A,#N/A,FALSE,"Attrezzature 25%";#N/A,#N/A,FALSE,"Attrezzatura 35%";#N/A,#N/A,FALSE,"Macchine ufficio elettroniche";#N/A,#N/A,FALSE,"Mobili e arredi";#N/A,#N/A,FALSE,"Mobili officina"}</definedName>
    <definedName name="hjhtwh_1" localSheetId="8" hidden="1">{#N/A,#N/A,FALSE,"Automezzi";#N/A,#N/A,FALSE,"Fabbricati";#N/A,#N/A,FALSE,"SOFTWARE";#N/A,#N/A,FALSE,"COSTRUZIONI LEGGERE";#N/A,#N/A,FALSE,"Impianti 10%";#N/A,#N/A,FALSE,"Impianti 12,5%";#N/A,#N/A,FALSE,"Macchine e impianti 15,5%";#N/A,#N/A,FALSE,"Macchine e Impianti 12,5%";#N/A,#N/A,FALSE,"Attrezzature 25%";#N/A,#N/A,FALSE,"Attrezzatura 35%";#N/A,#N/A,FALSE,"Macchine ufficio elettroniche";#N/A,#N/A,FALSE,"Mobili e arredi";#N/A,#N/A,FALSE,"Mobili officina"}</definedName>
    <definedName name="hjhtwh_1" hidden="1">{#N/A,#N/A,FALSE,"Automezzi";#N/A,#N/A,FALSE,"Fabbricati";#N/A,#N/A,FALSE,"SOFTWARE";#N/A,#N/A,FALSE,"COSTRUZIONI LEGGERE";#N/A,#N/A,FALSE,"Impianti 10%";#N/A,#N/A,FALSE,"Impianti 12,5%";#N/A,#N/A,FALSE,"Macchine e impianti 15,5%";#N/A,#N/A,FALSE,"Macchine e Impianti 12,5%";#N/A,#N/A,FALSE,"Attrezzature 25%";#N/A,#N/A,FALSE,"Attrezzatura 35%";#N/A,#N/A,FALSE,"Macchine ufficio elettroniche";#N/A,#N/A,FALSE,"Mobili e arredi";#N/A,#N/A,FALSE,"Mobili officina"}</definedName>
    <definedName name="hjiop" localSheetId="8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hjiop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hjiop_1" localSheetId="8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hjiop_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hjjhj" localSheetId="8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hjjhj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hjjhj_1" localSheetId="8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hjjhj_1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hjjjjjjjgh" localSheetId="8" hidden="1">{"trans assumptions",#N/A,FALSE,"Merger";"trans accretion",#N/A,FALSE,"Merger"}</definedName>
    <definedName name="hjjjjjjjgh" hidden="1">{"trans assumptions",#N/A,FALSE,"Merger";"trans accretion",#N/A,FALSE,"Merger"}</definedName>
    <definedName name="hjjjjjjjgh_1" localSheetId="8" hidden="1">{"trans assumptions",#N/A,FALSE,"Merger";"trans accretion",#N/A,FALSE,"Merger"}</definedName>
    <definedName name="hjjjjjjjgh_1" hidden="1">{"trans assumptions",#N/A,FALSE,"Merger";"trans accretion",#N/A,FALSE,"Merger"}</definedName>
    <definedName name="hjjjkk" localSheetId="7" hidden="1">{#N/A,#N/A,FALSE,"REPORT"}</definedName>
    <definedName name="hjjjkk" localSheetId="8" hidden="1">{#N/A,#N/A,FALSE,"REPORT"}</definedName>
    <definedName name="hjjjkk" hidden="1">{#N/A,#N/A,FALSE,"REPORT"}</definedName>
    <definedName name="hjjkk" localSheetId="7" hidden="1">{#N/A,#N/A,FALSE,"Pharm";#N/A,#N/A,FALSE,"WWCM"}</definedName>
    <definedName name="hjjkk" localSheetId="8" hidden="1">{#N/A,#N/A,FALSE,"Pharm";#N/A,#N/A,FALSE,"WWCM"}</definedName>
    <definedName name="hjjkk" hidden="1">{#N/A,#N/A,FALSE,"Pharm";#N/A,#N/A,FALSE,"WWCM"}</definedName>
    <definedName name="hjk" localSheetId="8" hidden="1">{#N/A,#N/A,FALSE,"Umsatz 99";#N/A,#N/A,FALSE,"ER 99 "}</definedName>
    <definedName name="hjk" hidden="1">{#N/A,#N/A,FALSE,"Umsatz 99";#N/A,#N/A,FALSE,"ER 99 "}</definedName>
    <definedName name="hjk.l" localSheetId="8" hidden="1">{#N/A,#N/A,FALSE,"Produkte Erw.";#N/A,#N/A,FALSE,"Produkte Plan";#N/A,#N/A,FALSE,"Leistungen Erw.";#N/A,#N/A,FALSE,"Leistungen Plan";#N/A,#N/A,FALSE,"KA Allg.Kosten (2)";#N/A,#N/A,FALSE,"KA All.Kosten"}</definedName>
    <definedName name="hjk.l" hidden="1">{#N/A,#N/A,FALSE,"Produkte Erw.";#N/A,#N/A,FALSE,"Produkte Plan";#N/A,#N/A,FALSE,"Leistungen Erw.";#N/A,#N/A,FALSE,"Leistungen Plan";#N/A,#N/A,FALSE,"KA Allg.Kosten (2)";#N/A,#N/A,FALSE,"KA All.Kosten"}</definedName>
    <definedName name="hjkh" localSheetId="8" hidden="1">{"assumption 50 50",#N/A,TRUE,"Merger";"has gets cash",#N/A,TRUE,"Merger";"accretion dilution",#N/A,TRUE,"Merger";"comparison credit stats",#N/A,TRUE,"Merger";"pf credit stats",#N/A,TRUE,"Merger";"pf sheets",#N/A,TRUE,"Merger"}</definedName>
    <definedName name="hjkh" hidden="1">{"assumption 50 50",#N/A,TRUE,"Merger";"has gets cash",#N/A,TRUE,"Merger";"accretion dilution",#N/A,TRUE,"Merger";"comparison credit stats",#N/A,TRUE,"Merger";"pf credit stats",#N/A,TRUE,"Merger";"pf sheets",#N/A,TRUE,"Merger"}</definedName>
    <definedName name="hjkh_1" localSheetId="8" hidden="1">{"assumption 50 50",#N/A,TRUE,"Merger";"has gets cash",#N/A,TRUE,"Merger";"accretion dilution",#N/A,TRUE,"Merger";"comparison credit stats",#N/A,TRUE,"Merger";"pf credit stats",#N/A,TRUE,"Merger";"pf sheets",#N/A,TRUE,"Merger"}</definedName>
    <definedName name="hjkh_1" hidden="1">{"assumption 50 50",#N/A,TRUE,"Merger";"has gets cash",#N/A,TRUE,"Merger";"accretion dilution",#N/A,TRUE,"Merger";"comparison credit stats",#N/A,TRUE,"Merger";"pf credit stats",#N/A,TRUE,"Merger";"pf sheets",#N/A,TRUE,"Merger"}</definedName>
    <definedName name="hjkhjk" localSheetId="8" hidden="1">{#N/A,#N/A,FALSE,"KA CH  (2)"}</definedName>
    <definedName name="hjkhjk" hidden="1">{#N/A,#N/A,FALSE,"KA CH  (2)"}</definedName>
    <definedName name="hjkhjkhjk" localSheetId="8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hjkhjkhjk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hjkhjkhjk_1" localSheetId="8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hjkhjkhjk_1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hjkı" localSheetId="8" hidden="1">{"EVA",#N/A,FALSE,"SMT2";#N/A,#N/A,FALSE,"Summary";#N/A,#N/A,FALSE,"Graphs";#N/A,#N/A,FALSE,"4 Panel"}</definedName>
    <definedName name="hjkı" hidden="1">{"EVA",#N/A,FALSE,"SMT2";#N/A,#N/A,FALSE,"Summary";#N/A,#N/A,FALSE,"Graphs";#N/A,#N/A,FALSE,"4 Panel"}</definedName>
    <definedName name="hjkjhk" localSheetId="8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hjkjhk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hjkjhk_1" localSheetId="8" hidden="1">{#N/A,#N/A,FALSE,"Calc";#N/A,#N/A,FALSE,"Sensitivity";#N/A,#N/A,FALSE,"LT Earn.Dil.";#N/A,#N/A,FALSE,"Dil. AVP"}</definedName>
    <definedName name="hjkjhk_1" hidden="1">{#N/A,#N/A,FALSE,"Calc";#N/A,#N/A,FALSE,"Sensitivity";#N/A,#N/A,FALSE,"LT Earn.Dil.";#N/A,#N/A,FALSE,"Dil. AVP"}</definedName>
    <definedName name="hjkk" localSheetId="7" hidden="1">{#N/A,#N/A,FALSE,"Pharm";#N/A,#N/A,FALSE,"WWCM"}</definedName>
    <definedName name="hjkk" localSheetId="8" hidden="1">{#N/A,#N/A,FALSE,"Pharm";#N/A,#N/A,FALSE,"WWCM"}</definedName>
    <definedName name="hjkk" hidden="1">{#N/A,#N/A,FALSE,"Pharm";#N/A,#N/A,FALSE,"WWCM"}</definedName>
    <definedName name="hjkkll" hidden="1">#REF!</definedName>
    <definedName name="hjkl" localSheetId="8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hjkl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HJKM" localSheetId="8" hidden="1">{#N/A,#N/A,FALSE,"Adm comp";#N/A,#N/A,FALSE,"Adm ajust";"adm",#N/A,FALSE,"Administration";#N/A,#N/A,FALSE,"Adm Bgt 97 vs Prév. 96";#N/A,#N/A,FALSE,"Adm Bgt 97 vs 96"}</definedName>
    <definedName name="HJKM" hidden="1">{#N/A,#N/A,FALSE,"Adm comp";#N/A,#N/A,FALSE,"Adm ajust";"adm",#N/A,FALSE,"Administration";#N/A,#N/A,FALSE,"Adm Bgt 97 vs Prév. 96";#N/A,#N/A,FALSE,"Adm Bgt 97 vs 96"}</definedName>
    <definedName name="hkhjk" localSheetId="8" hidden="1">{#N/A,#N/A,FALSE,"Operations";#N/A,#N/A,FALSE,"Financials"}</definedName>
    <definedName name="hkhjk" hidden="1">{#N/A,#N/A,FALSE,"Operations";#N/A,#N/A,FALSE,"Financials"}</definedName>
    <definedName name="hkhjk_1" localSheetId="8" hidden="1">{#N/A,#N/A,FALSE,"Operations";#N/A,#N/A,FALSE,"Financials"}</definedName>
    <definedName name="hkhjk_1" hidden="1">{#N/A,#N/A,FALSE,"Operations";#N/A,#N/A,FALSE,"Financials"}</definedName>
    <definedName name="hkjj" localSheetId="8" hidden="1">{"Line Efficiency",#N/A,FALSE,"Benchmarking"}</definedName>
    <definedName name="hkjj" hidden="1">{"Line Efficiency",#N/A,FALSE,"Benchmarking"}</definedName>
    <definedName name="hkjkh" localSheetId="8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hkjkh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HKSH" localSheetId="7" hidden="1">{#N/A,#N/A,FALSE,"REPORT"}</definedName>
    <definedName name="HKSH" localSheetId="8" hidden="1">{#N/A,#N/A,FALSE,"REPORT"}</definedName>
    <definedName name="HKSH" hidden="1">{#N/A,#N/A,FALSE,"REPORT"}</definedName>
    <definedName name="Hl" localSheetId="7" hidden="1">{"Vend Volume 96",#N/A,FALSE,"Vendas Volume 1996"}</definedName>
    <definedName name="Hl" localSheetId="8" hidden="1">{"Vend Volume 96",#N/A,FALSE,"Vendas Volume 1996"}</definedName>
    <definedName name="Hl" hidden="1">{"Vend Volume 96",#N/A,FALSE,"Vendas Volume 1996"}</definedName>
    <definedName name="HL_Sheet_Main_13" hidden="1">#REF!</definedName>
    <definedName name="HLHJ" hidden="1">{#N/A,#N/A,FALSE,"CA";#N/A,#N/A,FALSE,"CN";#N/A,#N/A,FALSE,"Inv";#N/A,#N/A,FALSE,"Inv Acc";"Miguel_balance",#N/A,FALSE,"Bal";#N/A,#N/A,FALSE,"Plantilla";#N/A,#N/A,FALSE,"CA (2)";#N/A,#N/A,FALSE,"CN (2)"}</definedName>
    <definedName name="HMG" localSheetId="7" hidden="1">{#N/A,#N/A,FALSE,"REPORT"}</definedName>
    <definedName name="HMG" localSheetId="8" hidden="1">{#N/A,#N/A,FALSE,"REPORT"}</definedName>
    <definedName name="HMG" hidden="1">{#N/A,#N/A,FALSE,"REPORT"}</definedName>
    <definedName name="hn._I006" hidden="1">#REF!</definedName>
    <definedName name="hn._I018" hidden="1">#REF!</definedName>
    <definedName name="hn._I024" hidden="1">#REF!</definedName>
    <definedName name="hn._I028" hidden="1">#REF!</definedName>
    <definedName name="hn._I029" hidden="1">#REF!</definedName>
    <definedName name="hn._I030" hidden="1">#REF!</definedName>
    <definedName name="hn._I031" hidden="1">#REF!</definedName>
    <definedName name="hn._I044" hidden="1">#REF!</definedName>
    <definedName name="hn._I051" hidden="1">#REF!</definedName>
    <definedName name="hn._I059" hidden="1">#REF!</definedName>
    <definedName name="hn._I062" hidden="1">#REF!</definedName>
    <definedName name="hn._I070" hidden="1">#REF!</definedName>
    <definedName name="hn._I071" hidden="1">#REF!</definedName>
    <definedName name="hn._I075" hidden="1">#REF!</definedName>
    <definedName name="hn._I077" hidden="1">#REF!</definedName>
    <definedName name="hn._I083" hidden="1">#REF!</definedName>
    <definedName name="hn._I085" hidden="1">#REF!</definedName>
    <definedName name="hn._P001" hidden="1">#REF!</definedName>
    <definedName name="hn._P002" hidden="1">#REF!</definedName>
    <definedName name="hn._P004" hidden="1">#REF!</definedName>
    <definedName name="hn._P014" hidden="1">#REF!</definedName>
    <definedName name="hn._P016" hidden="1">#REF!</definedName>
    <definedName name="hn._P017" hidden="1">#REF!</definedName>
    <definedName name="hn._P017g" hidden="1">#REF!</definedName>
    <definedName name="hn._P021" hidden="1">#REF!</definedName>
    <definedName name="hn._P024" hidden="1">#REF!</definedName>
    <definedName name="hn.Add015" hidden="1">#REF!</definedName>
    <definedName name="hn.Aggregate" hidden="1">#REF!</definedName>
    <definedName name="hn.CompanyInfo" hidden="1">#REF!</definedName>
    <definedName name="hn.CompanyName" hidden="1">#REF!</definedName>
    <definedName name="hn.CompanyUCN" hidden="1">#REF!</definedName>
    <definedName name="hn.ConvertVal1" hidden="1">#REF!</definedName>
    <definedName name="hn.ConvertZero1" hidden="1">#REF!,#REF!,#REF!,#REF!,#REF!,#REF!,#REF!,#REF!,#REF!,#REF!</definedName>
    <definedName name="hn.ConvertZero2" hidden="1">#REF!,#REF!,#REF!,#REF!,#REF!,#REF!,#REF!,#REF!</definedName>
    <definedName name="hn.ConvertZero3" hidden="1">#REF!,#REF!,#REF!,#REF!,#REF!</definedName>
    <definedName name="hn.ConvertZero4" hidden="1">#REF!,#REF!,#REF!,#REF!,#REF!,#REF!,#REF!,#REF!</definedName>
    <definedName name="hn.ConvertZeroUnhide1" hidden="1">#REF!,#REF!,#REF!</definedName>
    <definedName name="hn.CopyforPR" hidden="1">#REF!</definedName>
    <definedName name="hn.Delete015" hidden="1">#REF!,#REF!,#REF!,#REF!</definedName>
    <definedName name="hn.domestic" hidden="1">#REF!</definedName>
    <definedName name="hn.DomesticFlag" hidden="1">#REF!</definedName>
    <definedName name="hn.DZ_MultByFXRates" hidden="1">#REF!,#REF!,#REF!,#REF!</definedName>
    <definedName name="hn.DZdata" hidden="1">#REF!</definedName>
    <definedName name="hn.ExtDb" hidden="1">FALSE</definedName>
    <definedName name="hn.FromMain" hidden="1">#REF!</definedName>
    <definedName name="hn.FromMain1" hidden="1">#REF!</definedName>
    <definedName name="hn.FromMain2" hidden="1">#REF!</definedName>
    <definedName name="hn.FromMain3" hidden="1">#REF!</definedName>
    <definedName name="hn.FromMain4" hidden="1">#REF!</definedName>
    <definedName name="hn.FromMain5" hidden="1">#REF!</definedName>
    <definedName name="hn.Global" hidden="1">#REF!</definedName>
    <definedName name="hn.IssuerID" hidden="1">#REF!</definedName>
    <definedName name="hn.IssuerNameShort" hidden="1">#REF!</definedName>
    <definedName name="hn.LTM_MultByFXRates" hidden="1">#REF!,#REF!,#REF!,#REF!,#REF!,#REF!,#REF!</definedName>
    <definedName name="hn.LTMData" hidden="1">#REF!</definedName>
    <definedName name="hn.ModelType" hidden="1">"DEAL"</definedName>
    <definedName name="hn.ModelVersion" hidden="1">1</definedName>
    <definedName name="hn.MultbyFXRates" hidden="1">#REF!,#REF!,#REF!,#REF!,#REF!,#REF!,#REF!</definedName>
    <definedName name="hn.MultByFXRates1" hidden="1">#REF!,#REF!,#REF!,#REF!,#REF!</definedName>
    <definedName name="hn.MultByFXRates2" hidden="1">#REF!,#REF!,#REF!,#REF!,#REF!</definedName>
    <definedName name="hn.MultByFXRates3" hidden="1">#REF!,#REF!,#REF!,#REF!,#REF!</definedName>
    <definedName name="hn.MultbyFxrates4" hidden="1">#REF!,#REF!,#REF!,#REF!,#REF!,#REF!,#REF!</definedName>
    <definedName name="hn.multbyfxrates5" hidden="1">#REF!,#REF!,#REF!,#REF!,#REF!</definedName>
    <definedName name="hn.multbyfxrates6" hidden="1">#REF!,#REF!,#REF!,#REF!,#REF!</definedName>
    <definedName name="hn.multbyfxrates7" hidden="1">#REF!,#REF!,#REF!,#REF!,#REF!</definedName>
    <definedName name="hn.MultByFXRatesBot1" hidden="1">#REF!,#REF!,#REF!,#REF!,#REF!,#REF!,#REF!,#REF!,#REF!,#REF!,#REF!,#REF!</definedName>
    <definedName name="hn.MultByFXRatesBot2" hidden="1">#REF!,#REF!,#REF!,#REF!,#REF!,#REF!,#REF!,#REF!,#REF!,#REF!,#REF!,#REF!</definedName>
    <definedName name="hn.MultByFXRatesBot3" hidden="1">#REF!,#REF!,#REF!,#REF!,#REF!,#REF!,#REF!,#REF!,#REF!,#REF!,#REF!,#REF!</definedName>
    <definedName name="hn.MultByFXRatesBot4" hidden="1">#REF!,#REF!,#REF!,#REF!,#REF!,#REF!,#REF!,#REF!,#REF!,#REF!,#REF!,#REF!,#REF!</definedName>
    <definedName name="hn.MultByFXRatesBot5" hidden="1">#REF!,#REF!,#REF!,#REF!,#REF!,#REF!,#REF!,#REF!,#REF!,#REF!,#REF!</definedName>
    <definedName name="hn.MultByFXRatesBot6" hidden="1">#REF!,#REF!,#REF!,#REF!,#REF!,#REF!,#REF!,#REF!,#REF!,#REF!,#REF!</definedName>
    <definedName name="hn.MultByFXRatesBot7" hidden="1">#REF!,#REF!,#REF!,#REF!,#REF!,#REF!,#REF!,#REF!,#REF!,#REF!,#REF!</definedName>
    <definedName name="hn.MultByFXRatesTop1" hidden="1">#REF!,#REF!,#REF!,#REF!,#REF!,#REF!,#REF!,#REF!,#REF!,#REF!,#REF!,#REF!</definedName>
    <definedName name="hn.MultByFXRatesTop2" hidden="1">#REF!,#REF!,#REF!,#REF!,#REF!,#REF!,#REF!,#REF!,#REF!,#REF!,#REF!,#REF!,#REF!,#REF!,#REF!</definedName>
    <definedName name="hn.MultByFXRatesTop3" hidden="1">#REF!,#REF!,#REF!,#REF!,#REF!,#REF!,#REF!,#REF!,#REF!,#REF!,#REF!,#REF!,#REF!,#REF!,#REF!</definedName>
    <definedName name="hn.MultByFXRatesTop4" hidden="1">#REF!,#REF!,#REF!,#REF!,#REF!,#REF!,#REF!,#REF!,#REF!,#REF!,#REF!,#REF!,#REF!,#REF!,#REF!</definedName>
    <definedName name="hn.MultByFXRatesTop5" hidden="1">#REF!,#REF!,#REF!,#REF!,#REF!,#REF!,#REF!,#REF!,#REF!,#REF!,#REF!,#REF!</definedName>
    <definedName name="hn.MultByFXRatesTop6" hidden="1">#REF!,#REF!,#REF!,#REF!,#REF!,#REF!,#REF!,#REF!,#REF!,#REF!,#REF!,#REF!,#REF!,#REF!,#REF!</definedName>
    <definedName name="hn.MultByFXRatesTop7" hidden="1">#REF!,#REF!,#REF!,#REF!,#REF!,#REF!,#REF!,#REF!,#REF!,#REF!,#REF!,#REF!,#REF!,#REF!,#REF!</definedName>
    <definedName name="hn.NoUpload" hidden="1">0</definedName>
    <definedName name="hn.ObligorGrade" hidden="1">#REF!</definedName>
    <definedName name="hn.ParentName" hidden="1">#REF!</definedName>
    <definedName name="hn.ParentUCN" hidden="1">#REF!</definedName>
    <definedName name="hn.ParityCheck" hidden="1">#REF!</definedName>
    <definedName name="hn.PrivateEndMonth" hidden="1">#REF!</definedName>
    <definedName name="hn.PrivateLTM" hidden="1">#REF!</definedName>
    <definedName name="hn.PrivateLTMYear" hidden="1">#REF!</definedName>
    <definedName name="hn.PrivateQuarter" hidden="1">#REF!</definedName>
    <definedName name="hn.PrivateYear" hidden="1">#REF!</definedName>
    <definedName name="hn.PrivateYearEnd" hidden="1">#REF!</definedName>
    <definedName name="hn.PublicFlag" hidden="1">#REF!</definedName>
    <definedName name="hn.ReviewDescription" hidden="1">#REF!</definedName>
    <definedName name="hn.ReviewID" hidden="1">#REF!</definedName>
    <definedName name="hn.ReviewYear" hidden="1">#REF!</definedName>
    <definedName name="hn.RolledForward" hidden="1">FALSE</definedName>
    <definedName name="hn.Segment" hidden="1">#REF!</definedName>
    <definedName name="hn.SegmentDesc" hidden="1">#REF!</definedName>
    <definedName name="hn.SegmentID" hidden="1">#REF!</definedName>
    <definedName name="hn.Ticker" hidden="1">#REF!</definedName>
    <definedName name="hn.UserLogin" hidden="1">#REF!</definedName>
    <definedName name="hn.USLast" hidden="1">#REF!</definedName>
    <definedName name="hn.YearLabel" hidden="1">#REF!</definedName>
    <definedName name="HNJM" localSheetId="8" hidden="1">{#N/A,#N/A,FALSE,"Min compar us";#N/A,#N/A,FALSE,"Min US Equité ";#N/A,#N/A,FALSE,"Analyse U.S."}</definedName>
    <definedName name="HNJM" hidden="1">{#N/A,#N/A,FALSE,"Min compar us";#N/A,#N/A,FALSE,"Min US Equité ";#N/A,#N/A,FALSE,"Analyse U.S."}</definedName>
    <definedName name="hoi" localSheetId="8" hidden="1">{#N/A,#N/A,FALSE,"Table of Content ";#N/A,#N/A,FALSE,"1-Summ- Key Figures";#N/A,#N/A,FALSE,"2-Summary P&amp;L - Other ";#N/A,#N/A,FALSE,"3-P&amp;L by Bus.Unt-Serv.Unt";#N/A,#N/A,FALSE,"4-P&amp;L by Business";#N/A,#N/A,FALSE,"5-Bal_Sheet CF";#N/A,#N/A,FALSE,"6-Bal_Sheet CF by Business ";#N/A,#N/A,FALSE,"7-Sales Orders Capex";#N/A,#N/A,FALSE,"8-Headc.Funct.";#N/A,#N/A,FALSE,"9-Custom. Satisf.  #Customers";#N/A,#N/A,FALSE,"P1-Orders RevGap";#N/A,#N/A,FALSE,"P2-Sales Prospects WinLoss";#N/A,#N/A,FALSE,"P3-Detail P&amp;L";#N/A,#N/A,FALSE,"P4-GM per Product";#N/A,#N/A,FALSE,"P5-Mobile(1) ";#N/A,#N/A,FALSE,"P6-Mobile(2)";#N/A,#N/A,FALSE,"P7-Data(1)";#N/A,#N/A,FALSE,"P8-Data (2)";#N/A,#N/A,FALSE,"P9-Voice(1)";#N/A,#N/A,FALSE,"P10-Voice (2)";#N/A,#N/A,FALSE,"P11-Infraestr(1)";#N/A,#N/A,FALSE,"P12-Infraestr(2)";#N/A,#N/A,FALSE,"P13-Funding- Inter.";#N/A,#N/A,FALSE,"P14-Risk &amp; Fraud";#N/A,#N/A,FALSE,"P15-Network ";#N/A,#N/A,FALSE,"P16- Productivity";#N/A,#N/A,FALSE,"Detail P&amp;L-by BU";#N/A,#N/A,FALSE,"Detail P&amp;L-Carriers";#N/A,#N/A,FALSE,"Detail P&amp;L-Large Accounts";#N/A,#N/A,FALSE,"Detail P&amp;L-Consumer_SME";#N/A,#N/A,FALSE,"Detail P&amp;L-Networks &amp; Systems";#N/A,#N/A,FALSE,"Detail P&amp;L-ITBilling";#N/A,#N/A,FALSE,"Detail P&amp;L-Corporate";#N/A,#N/A,FALSE,"Billing &amp; IT"}</definedName>
    <definedName name="hoi" hidden="1">{#N/A,#N/A,FALSE,"Table of Content ";#N/A,#N/A,FALSE,"1-Summ- Key Figures";#N/A,#N/A,FALSE,"2-Summary P&amp;L - Other ";#N/A,#N/A,FALSE,"3-P&amp;L by Bus.Unt-Serv.Unt";#N/A,#N/A,FALSE,"4-P&amp;L by Business";#N/A,#N/A,FALSE,"5-Bal_Sheet CF";#N/A,#N/A,FALSE,"6-Bal_Sheet CF by Business ";#N/A,#N/A,FALSE,"7-Sales Orders Capex";#N/A,#N/A,FALSE,"8-Headc.Funct.";#N/A,#N/A,FALSE,"9-Custom. Satisf.  #Customers";#N/A,#N/A,FALSE,"P1-Orders RevGap";#N/A,#N/A,FALSE,"P2-Sales Prospects WinLoss";#N/A,#N/A,FALSE,"P3-Detail P&amp;L";#N/A,#N/A,FALSE,"P4-GM per Product";#N/A,#N/A,FALSE,"P5-Mobile(1) ";#N/A,#N/A,FALSE,"P6-Mobile(2)";#N/A,#N/A,FALSE,"P7-Data(1)";#N/A,#N/A,FALSE,"P8-Data (2)";#N/A,#N/A,FALSE,"P9-Voice(1)";#N/A,#N/A,FALSE,"P10-Voice (2)";#N/A,#N/A,FALSE,"P11-Infraestr(1)";#N/A,#N/A,FALSE,"P12-Infraestr(2)";#N/A,#N/A,FALSE,"P13-Funding- Inter.";#N/A,#N/A,FALSE,"P14-Risk &amp; Fraud";#N/A,#N/A,FALSE,"P15-Network ";#N/A,#N/A,FALSE,"P16- Productivity";#N/A,#N/A,FALSE,"Detail P&amp;L-by BU";#N/A,#N/A,FALSE,"Detail P&amp;L-Carriers";#N/A,#N/A,FALSE,"Detail P&amp;L-Large Accounts";#N/A,#N/A,FALSE,"Detail P&amp;L-Consumer_SME";#N/A,#N/A,FALSE,"Detail P&amp;L-Networks &amp; Systems";#N/A,#N/A,FALSE,"Detail P&amp;L-ITBilling";#N/A,#N/A,FALSE,"Detail P&amp;L-Corporate";#N/A,#N/A,FALSE,"Billing &amp; IT"}</definedName>
    <definedName name="Hola" localSheetId="7" hidden="1">#REF!</definedName>
    <definedName name="Hola" localSheetId="8" hidden="1">#REF!</definedName>
    <definedName name="hola" hidden="1">{"Vend Volume 96",#N/A,FALSE,"Vendas Volume 1996"}</definedName>
    <definedName name="HOME" localSheetId="8" hidden="1">{#N/A,#N/A,FALSE,"Assessment";#N/A,#N/A,FALSE,"Staffing";#N/A,#N/A,FALSE,"Hires";#N/A,#N/A,FALSE,"Assumptions"}</definedName>
    <definedName name="HOME" hidden="1">{#N/A,#N/A,FALSE,"Assessment";#N/A,#N/A,FALSE,"Staffing";#N/A,#N/A,FALSE,"Hires";#N/A,#N/A,FALSE,"Assumptions"}</definedName>
    <definedName name="HOMFE" localSheetId="8" hidden="1">{#N/A,#N/A,FALSE,"Assessment";#N/A,#N/A,FALSE,"Staffing";#N/A,#N/A,FALSE,"Hires";#N/A,#N/A,FALSE,"Assumptions"}</definedName>
    <definedName name="HOMFE" hidden="1">{#N/A,#N/A,FALSE,"Assessment";#N/A,#N/A,FALSE,"Staffing";#N/A,#N/A,FALSE,"Hires";#N/A,#N/A,FALSE,"Assumptions"}</definedName>
    <definedName name="HOMFE_1" localSheetId="8" hidden="1">{#N/A,#N/A,FALSE,"Assessment";#N/A,#N/A,FALSE,"Staffing";#N/A,#N/A,FALSE,"Hires";#N/A,#N/A,FALSE,"Assumptions"}</definedName>
    <definedName name="HOMFE_1" hidden="1">{#N/A,#N/A,FALSE,"Assessment";#N/A,#N/A,FALSE,"Staffing";#N/A,#N/A,FALSE,"Hires";#N/A,#N/A,FALSE,"Assumptions"}</definedName>
    <definedName name="horus" localSheetId="8" hidden="1">{#N/A,#N/A,FALSE,"9709 (2)"}</definedName>
    <definedName name="horus" hidden="1">{#N/A,#N/A,FALSE,"9709 (2)"}</definedName>
    <definedName name="HR" localSheetId="8" hidden="1">{"MAJCore",#N/A,FALSE,"MAJ";"BISCore",#N/A,FALSE,"BIS";"SMECore",#N/A,FALSE,"SME";"SMMCore",#N/A,FALSE,"SMM";"SMPCore",#N/A,FALSE,"SMP";"SMCCore",#N/A,FALSE,"SMC";"SMRCore",#N/A,FALSE,"SMR";"CNSCore",#N/A,FALSE,"CNS";"REGCore",#N/A,FALSE,"REG"}</definedName>
    <definedName name="HR" hidden="1">{"MAJCore",#N/A,FALSE,"MAJ";"BISCore",#N/A,FALSE,"BIS";"SMECore",#N/A,FALSE,"SME";"SMMCore",#N/A,FALSE,"SMM";"SMPCore",#N/A,FALSE,"SMP";"SMCCore",#N/A,FALSE,"SMC";"SMRCore",#N/A,FALSE,"SMR";"CNSCore",#N/A,FALSE,"CNS";"REGCore",#N/A,FALSE,"REG"}</definedName>
    <definedName name="HR_1" localSheetId="8" hidden="1">{TRUE,TRUE,-2.75,-17,487.5,256.5,FALSE,TRUE,TRUE,TRUE,0,1,35,3,1,1.41666666666667,2.2,4,TRUE,TRUE,3,TRUE,1,FALSE,100,"Swvu.MDC4.","ACwvu.MDC4.",#N/A,FALSE,FALSE,0.62,0.61,1,0.984251969,2,"&amp;LAPRILIA HISPANIA
control de gestion
Margenes de contribucion y facturacion neta mensual 1996
&amp;R&amp;D","&amp;C8",FALSE,FALSE,FALSE,FALSE,1,90,#N/A,#N/A,"=R1C51:R46C55","=C1,R1:R4",#N/A,#N/A,FALSE,FALSE,TRUE,9,300,300,FALSE,FALSE,TRUE,TRUE,TRUE}</definedName>
    <definedName name="HR_1" hidden="1">{TRUE,TRUE,-2.75,-17,487.5,256.5,FALSE,TRUE,TRUE,TRUE,0,1,35,3,1,1.41666666666667,2.2,4,TRUE,TRUE,3,TRUE,1,FALSE,100,"Swvu.MDC4.","ACwvu.MDC4.",#N/A,FALSE,FALSE,0.62,0.61,1,0.984251969,2,"&amp;LAPRILIA HISPANIA
control de gestion
Margenes de contribucion y facturacion neta mensual 1996
&amp;R&amp;D","&amp;C8",FALSE,FALSE,FALSE,FALSE,1,90,#N/A,#N/A,"=R1C51:R46C55","=C1,R1:R4",#N/A,#N/A,FALSE,FALSE,TRUE,9,300,300,FALSE,FALSE,TRUE,TRUE,TRUE}</definedName>
    <definedName name="HRRHW" localSheetId="8" hidden="1">{TRUE,TRUE,-2.75,-17,486.75,278.25,FALSE,TRUE,TRUE,TRUE,0,1,12,5,1,0.921875,3.06666666666667,4,TRUE,TRUE,3,TRUE,1,FALSE,100,"Swvu.RDOTOT.","ACwvu.RDOTOT.",#N/A,FALSE,FALSE,1.4,0.22,0.43,0.5,1,"&amp;C
&amp;R&amp;D","&amp;C
&amp;P",FALSE,FALSE,FALSE,FALSE,1,78,#N/A,#N/A,FALSE,"=C1,R1:R6","Rwvu.RDOTOT.","Cwvu.RDOTOT.",FALSE,FALSE,FALSE,#NULL!,#NULL!,#NULL!,FALSE,FALSE,TRUE,TRUE,TRUE}</definedName>
    <definedName name="HRRHW" hidden="1">{TRUE,TRUE,-2.75,-17,486.75,278.25,FALSE,TRUE,TRUE,TRUE,0,1,12,5,1,0.921875,3.06666666666667,4,TRUE,TRUE,3,TRUE,1,FALSE,100,"Swvu.RDOTOT.","ACwvu.RDOTOT.",#N/A,FALSE,FALSE,1.4,0.22,0.43,0.5,1,"&amp;C
&amp;R&amp;D","&amp;C
&amp;P",FALSE,FALSE,FALSE,FALSE,1,78,#N/A,#N/A,FALSE,"=C1,R1:R6","Rwvu.RDOTOT.","Cwvu.RDOTOT.",FALSE,FALSE,FALSE,#NULL!,#NULL!,#NULL!,FALSE,FALSE,TRUE,TRUE,TRUE}</definedName>
    <definedName name="HRRHW_1" localSheetId="8" hidden="1">{TRUE,TRUE,-2.75,-17,486.75,278.25,FALSE,TRUE,TRUE,TRUE,0,1,12,5,1,0.921875,3.06666666666667,4,TRUE,TRUE,3,TRUE,1,FALSE,100,"Swvu.RDOTOT.","ACwvu.RDOTOT.",#N/A,FALSE,FALSE,1.4,0.22,0.43,0.5,1,"&amp;C
&amp;R&amp;D","&amp;C
&amp;P",FALSE,FALSE,FALSE,FALSE,1,78,#N/A,#N/A,FALSE,"=C1,R1:R6","Rwvu.RDOTOT.","Cwvu.RDOTOT.",FALSE,FALSE,FALSE,#NULL!,#NULL!,#NULL!,FALSE,FALSE,TRUE,TRUE,TRUE}</definedName>
    <definedName name="HRRHW_1" hidden="1">{TRUE,TRUE,-2.75,-17,486.75,278.25,FALSE,TRUE,TRUE,TRUE,0,1,12,5,1,0.921875,3.06666666666667,4,TRUE,TRUE,3,TRUE,1,FALSE,100,"Swvu.RDOTOT.","ACwvu.RDOTOT.",#N/A,FALSE,FALSE,1.4,0.22,0.43,0.5,1,"&amp;C
&amp;R&amp;D","&amp;C
&amp;P",FALSE,FALSE,FALSE,FALSE,1,78,#N/A,#N/A,FALSE,"=C1,R1:R6","Rwvu.RDOTOT.","Cwvu.RDOTOT.",FALSE,FALSE,FALSE,#NULL!,#NULL!,#NULL!,FALSE,FALSE,TRUE,TRUE,TRUE}</definedName>
    <definedName name="htc" localSheetId="8" hidden="1">{"'100'!$A$1:$M$83"}</definedName>
    <definedName name="htc" hidden="1">{"'100'!$A$1:$M$83"}</definedName>
    <definedName name="hthjtnjgtngjjyk" localSheetId="8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hthjtnjgtngjjyk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htm" localSheetId="8" hidden="1">{"'100'!$A$1:$M$83"}</definedName>
    <definedName name="htm" hidden="1">{"'100'!$A$1:$M$83"}</definedName>
    <definedName name="HTM_Control_Old" localSheetId="8" hidden="1">{"'100'!$A$1:$M$83"}</definedName>
    <definedName name="HTM_Control_Old" hidden="1">{"'100'!$A$1:$M$83"}</definedName>
    <definedName name="html" localSheetId="8" hidden="1">{"'Demand Units'!$Z$2:$AF$53"}</definedName>
    <definedName name="html" hidden="1">{"'Demand Units'!$Z$2:$AF$53"}</definedName>
    <definedName name="HTML_CodePage" hidden="1">1252</definedName>
    <definedName name="HTML_Conrtol_Old" localSheetId="8" hidden="1">{"'100'!$A$1:$M$83"}</definedName>
    <definedName name="HTML_Conrtol_Old" hidden="1">{"'100'!$A$1:$M$83"}</definedName>
    <definedName name="HTML_Control" localSheetId="7" hidden="1">{"'Sheet1'!$A$1:$H$145"}</definedName>
    <definedName name="HTML_Control" localSheetId="8" hidden="1">{"'Sheet1'!$A$1:$H$145"}</definedName>
    <definedName name="HTML_Control" hidden="1">{"'ini'!$A$1"}</definedName>
    <definedName name="HTML_Control_1" localSheetId="8" hidden="1">{"'DepoFidu Servizio'!$A$1:$F$38","'DepoFidu'!$A$1:$K$31"}</definedName>
    <definedName name="HTML_Control_1" hidden="1">{"'DepoFidu Servizio'!$A$1:$F$38","'DepoFidu'!$A$1:$K$31"}</definedName>
    <definedName name="HTML_Control_TdE" localSheetId="8" hidden="1">{"'Segmentos de Clientes'!$B$3:$F$14"}</definedName>
    <definedName name="HTML_Control_TdE" hidden="1">{"'Segmentos de Clientes'!$B$3:$F$14"}</definedName>
    <definedName name="HTML_Control_TdE_1" localSheetId="8" hidden="1">{"'Segmentos de Clientes'!$B$3:$F$14"}</definedName>
    <definedName name="HTML_Control_TdE_1" hidden="1">{"'Segmentos de Clientes'!$B$3:$F$14"}</definedName>
    <definedName name="HTML_Control2" localSheetId="8" hidden="1">{"'SIVA Pricing Model'!$A$1:$F$39"}</definedName>
    <definedName name="HTML_Control2" hidden="1">{"'SIVA Pricing Model'!$A$1:$F$39"}</definedName>
    <definedName name="html_CONTROL2_1" localSheetId="8" hidden="1">{"'Segmentos de Clientes'!$B$3:$F$14"}</definedName>
    <definedName name="html_CONTROL2_1" hidden="1">{"'Segmentos de Clientes'!$B$3:$F$14"}</definedName>
    <definedName name="HTML_Control3" localSheetId="8" hidden="1">{"'SIVA Pricing Model'!$A$1:$F$39"}</definedName>
    <definedName name="HTML_Control3" hidden="1">{"'SIVA Pricing Model'!$A$1:$F$39"}</definedName>
    <definedName name="HTML_Control5" localSheetId="8" hidden="1">{"'SIVA Pricing Model'!$A$1:$F$39"}</definedName>
    <definedName name="HTML_Control5" hidden="1">{"'SIVA Pricing Model'!$A$1:$F$39"}</definedName>
    <definedName name="HTML_Description" hidden="1">""</definedName>
    <definedName name="HTML_Email" localSheetId="8" hidden="1">""</definedName>
    <definedName name="HTML_Email" hidden="1">"GANENJJ"</definedName>
    <definedName name="HTML_Header" localSheetId="7" hidden="1">"Country Risk Premiums"</definedName>
    <definedName name="HTML_Header" localSheetId="8" hidden="1">"Country Risk Premiums"</definedName>
    <definedName name="HTML_Header" hidden="1">""</definedName>
    <definedName name="html_icontrol" localSheetId="8" hidden="1">{"'Cash Requirements 5F '!$A$1:$AC$48"}</definedName>
    <definedName name="html_icontrol" hidden="1">{"'Cash Requirements 5F '!$A$1:$AC$48"}</definedName>
    <definedName name="HTML_LastUpdate" localSheetId="7" hidden="1">"2/19/99"</definedName>
    <definedName name="HTML_LastUpdate" localSheetId="8" hidden="1">"2/19/99"</definedName>
    <definedName name="HTML_LastUpdate" hidden="1">"17/11/98"</definedName>
    <definedName name="HTML_LineAfter" localSheetId="7" hidden="1">TRUE</definedName>
    <definedName name="HTML_LineAfter" localSheetId="8" hidden="1">TRUE</definedName>
    <definedName name="HTML_LineAfter" hidden="1">FALSE</definedName>
    <definedName name="HTML_LineBefore" localSheetId="7" hidden="1">TRUE</definedName>
    <definedName name="HTML_LineBefore" localSheetId="8" hidden="1">TRUE</definedName>
    <definedName name="HTML_LineBefore" hidden="1">FALSE</definedName>
    <definedName name="HTML_Name" localSheetId="7" hidden="1">"Aswath Damodaran"</definedName>
    <definedName name="HTML_Name" localSheetId="8" hidden="1">"Aswath Damodaran"</definedName>
    <definedName name="HTML_Name" hidden="1">"João Jacques G. joca"</definedName>
    <definedName name="HTML_OBDlg2" hidden="1">TRUE</definedName>
    <definedName name="HTML_OBDlg3" hidden="1">TRUE</definedName>
    <definedName name="HTML_OBDlg4" hidden="1">TRUE</definedName>
    <definedName name="HTML_OS" localSheetId="7" hidden="1">1</definedName>
    <definedName name="HTML_OS" localSheetId="8" hidden="1">1</definedName>
    <definedName name="HTML_OS" hidden="1">0</definedName>
    <definedName name="HTML_PathFile" localSheetId="7" hidden="1">"u:\MyHTML6.htm"</definedName>
    <definedName name="HTML_PathFile" localSheetId="8" hidden="1">"u:\MyHTML6.htm"</definedName>
    <definedName name="HTML_PathFile" hidden="1">"C:\Meus documentos\Estoques.htm"</definedName>
    <definedName name="HTML_PathFileMac" hidden="1">"Macintosh HD:HomePageStuff:New_Home_Page:datafile:ctryprem.html"</definedName>
    <definedName name="HTML_PathTemplate" localSheetId="8" hidden="1">"C:\IntegraCD\Clienti\G&amp;C_srl\BP_prova.htm"</definedName>
    <definedName name="HTML_PathTemplate" hidden="1">"H:\0\Prgs\pms\Mayo.htm"</definedName>
    <definedName name="HTML_Title" localSheetId="7" hidden="1">"Country Risk Premiums"</definedName>
    <definedName name="HTML_Title" localSheetId="8" hidden="1">"Country Risk Premiums"</definedName>
    <definedName name="HTML_Title" hidden="1">"Estoques"</definedName>
    <definedName name="HTML1_1" localSheetId="7" hidden="1">"[FCST1719.XLS]Feuil1!$A$1:$Q$26"</definedName>
    <definedName name="HTML1_1" localSheetId="8" hidden="1">"[FCFF3]Sheet1!$A$1:$L$34"</definedName>
    <definedName name="HTML1_1" hidden="1">"[map.xls]Plan1!$A$1:$B$8"</definedName>
    <definedName name="HTML1_10" hidden="1">""</definedName>
    <definedName name="HTML1_11" hidden="1">1</definedName>
    <definedName name="HTML1_12" localSheetId="7" hidden="1">"C:\Mes documents\Renaud Collery\Fw51\MyHTML.htm"</definedName>
    <definedName name="HTML1_12" localSheetId="8" hidden="1">"Aswath:Adobe SiteMill™ 1.0.2:MyHomePage:FCFF3.html"</definedName>
    <definedName name="HTML1_12" hidden="1">"C:\MyHTML.htm"</definedName>
    <definedName name="HTML1_13" hidden="1">#N/A</definedName>
    <definedName name="HTML1_14" hidden="1">#N/A</definedName>
    <definedName name="HTML1_15" hidden="1">#N/A</definedName>
    <definedName name="HTML1_2" hidden="1">1</definedName>
    <definedName name="HTML1_3" localSheetId="7" hidden="1">"FCST1719.XLS"</definedName>
    <definedName name="HTML1_3" localSheetId="8" hidden="1">"FCFF3"</definedName>
    <definedName name="HTML1_3" hidden="1">"map"</definedName>
    <definedName name="HTML1_4" localSheetId="7" hidden="1">"Feuil1"</definedName>
    <definedName name="HTML1_4" localSheetId="8" hidden="1">"Three-Stage FCFF Model"</definedName>
    <definedName name="HTML1_4" hidden="1">"Plan1"</definedName>
    <definedName name="HTML1_5" hidden="1">""</definedName>
    <definedName name="HTML1_6" hidden="1">-4146</definedName>
    <definedName name="HTML1_7" hidden="1">-4146</definedName>
    <definedName name="HTML1_8" localSheetId="7" hidden="1">"24/01/1999"</definedName>
    <definedName name="HTML1_8" localSheetId="8" hidden="1">"10/22/96"</definedName>
    <definedName name="HTML1_8" hidden="1">"16/02/98"</definedName>
    <definedName name="HTML1_9" localSheetId="7" hidden="1">"Prince Thierry   Business Planning Manager"</definedName>
    <definedName name="HTML1_9" localSheetId="8" hidden="1">"Aswath Damodaran"</definedName>
    <definedName name="HTML1_9" hidden="1">"C.S.N"</definedName>
    <definedName name="HTML10_1" hidden="1">"'[MANMAY96.XLS]BYMONTH (2)'!$B$20:$R$38"</definedName>
    <definedName name="HTML10_11" hidden="1">1</definedName>
    <definedName name="HTML10_12" hidden="1">"C:\WWWMAY\BYMONTH3.HTM"</definedName>
    <definedName name="HTML10_2" hidden="1">-4146</definedName>
    <definedName name="HTML10_3" hidden="1">"C:\WWWMAY\BYMONTH2.HTM"</definedName>
    <definedName name="HTML11_1" hidden="1">"'[MANMAY96.XLS]BYMONTH (2)'!$B$39:$R$50"</definedName>
    <definedName name="HTML11_11" hidden="1">1</definedName>
    <definedName name="HTML11_12" hidden="1">"C:\WWWMAY\BYMONTH.HTM"</definedName>
    <definedName name="HTML11_2" hidden="1">-4146</definedName>
    <definedName name="HTML11_3" hidden="1">"C:\WWWMAY\BYMONTH3.HTM"</definedName>
    <definedName name="HTML12_1" hidden="1">"[MANMAY96.XLS]SKILLS!$A$2:$K$14"</definedName>
    <definedName name="HTML12_11" hidden="1">1</definedName>
    <definedName name="HTML12_12" hidden="1">"C:\WWWMAY\SKILLS.HTM"</definedName>
    <definedName name="HTML12_2" hidden="1">-4146</definedName>
    <definedName name="HTML12_3" hidden="1">"C:\WWWMAY\SKILLS1.HTM"</definedName>
    <definedName name="HTML13_1" hidden="1">"'[MANMAY96.XLS]SKILLS (2)'!$A$1:$K$13"</definedName>
    <definedName name="HTML13_11" hidden="1">1</definedName>
    <definedName name="HTML13_12" hidden="1">"C:\WWWMAY\SKILLS.HTM"</definedName>
    <definedName name="HTML13_2" hidden="1">-4146</definedName>
    <definedName name="HTML13_3" hidden="1">"C:\WWWMAY\SKILLS1.HTM"</definedName>
    <definedName name="HTML14_1" hidden="1">"'[PEOPLE1.XLS]£COSTSUM (2)'!$A$1:$I$17"</definedName>
    <definedName name="HTML14_11" hidden="1">1</definedName>
    <definedName name="HTML14_12" hidden="1">"C:\WWWJUN\SUMMARY.HTM"</definedName>
    <definedName name="HTML14_2" hidden="1">-4146</definedName>
    <definedName name="HTML14_3" hidden="1">"C:\WWWJUN\SUMMARY1.HTM"</definedName>
    <definedName name="HTML15_1" hidden="1">"'[PEOPLE1.XLS]£COSTSUM (2)'!$A$1:$I$18"</definedName>
    <definedName name="HTML15_11" hidden="1">1</definedName>
    <definedName name="HTML15_12" hidden="1">"C:\WWWJUL\SUMMARY.HTM"</definedName>
    <definedName name="HTML15_2" hidden="1">-4146</definedName>
    <definedName name="HTML15_3" hidden="1">"C:\WWWJUL\SUMMARY1.HTM"</definedName>
    <definedName name="HTML16_1" hidden="1">"'[PEOPLE1.XLS]SKILLS (2)'!$A$1:$K$15"</definedName>
    <definedName name="HTML16_11" hidden="1">1</definedName>
    <definedName name="HTML16_12" hidden="1">"C:\WWWJUL\SKILLS.HTM"</definedName>
    <definedName name="HTML16_2" hidden="1">-4146</definedName>
    <definedName name="HTML16_3" hidden="1">"C:\WWWJUL\SKILLS1.HTM"</definedName>
    <definedName name="HTML17_1" hidden="1">"'[PEOPLE1.XLS]GRADEGP (2)'!$A$1:$O$37"</definedName>
    <definedName name="HTML17_11" hidden="1">1</definedName>
    <definedName name="HTML17_12" hidden="1">"C:\WWWJUL\GRADEGP.HTM"</definedName>
    <definedName name="HTML17_2" hidden="1">-4146</definedName>
    <definedName name="HTML17_3" hidden="1">"C:\WWWJUL\GRADEGP1.HTM"</definedName>
    <definedName name="HTML18_1" hidden="1">"'[PEOPLE1.XLS]OTHER (2)'!$A$2:$M$28"</definedName>
    <definedName name="HTML18_11" hidden="1">1</definedName>
    <definedName name="HTML18_12" hidden="1">"C:\WWWJUL\OTHER.HTM"</definedName>
    <definedName name="HTML18_2" hidden="1">-4146</definedName>
    <definedName name="HTML18_3" hidden="1">"C:\WWWJUL\OTHER1.HTM"</definedName>
    <definedName name="HTML19_1" hidden="1">"'[PEOPLE1.XLS]BYMONTH (2)'!$B$1:$R$19"</definedName>
    <definedName name="HTML19_11" hidden="1">1</definedName>
    <definedName name="HTML19_12" hidden="1">"C:\WWWJUL\BYMONTH2.HTM"</definedName>
    <definedName name="HTML19_2" hidden="1">-4146</definedName>
    <definedName name="HTML19_3" hidden="1">"C:\WWWJUL\BYMONTH1.HTM"</definedName>
    <definedName name="HTML2_1" hidden="1">"[JVVSN10.XLS]Sheet1!$A$1:$I$500"</definedName>
    <definedName name="HTML2_10" hidden="1">""</definedName>
    <definedName name="HTML2_11" hidden="1">-4146</definedName>
    <definedName name="HTML2_12" hidden="1">"C:\DATA\EXCEL\MyHTML6.htm"</definedName>
    <definedName name="HTML2_2" hidden="1">-4146</definedName>
    <definedName name="HTML2_3" hidden="1">"C:\DATA\EXCEL\JVUPLOAD.HTM"</definedName>
    <definedName name="HTML2_4" hidden="1">"Historical Returns on Stocks, Bonds and Bills"</definedName>
    <definedName name="HTML2_5" hidden="1">""</definedName>
    <definedName name="HTML2_6" hidden="1">1</definedName>
    <definedName name="HTML2_7" hidden="1">1</definedName>
    <definedName name="HTML2_8" hidden="1">"2/3/98"</definedName>
    <definedName name="HTML2_9" hidden="1">"Aswath Damodaran"</definedName>
    <definedName name="HTML20_1" hidden="1">"'[PEOPLE1.XLS]BYMONTH (2)'!$B$21:$R$38"</definedName>
    <definedName name="HTML20_11" hidden="1">1</definedName>
    <definedName name="HTML20_12" hidden="1">"C:\WWWJUL\BYMONTH3.HTM"</definedName>
    <definedName name="HTML20_2" hidden="1">-4146</definedName>
    <definedName name="HTML20_3" hidden="1">"C:\WWWJUL\BYMONTH2.HTM"</definedName>
    <definedName name="HTML21_1" hidden="1">"'[PEOPLE1.XLS]BYMONTH (2)'!$B$21:$R$40"</definedName>
    <definedName name="HTML21_11" hidden="1">1</definedName>
    <definedName name="HTML21_12" hidden="1">"C:\WWWJUL\BYMONTH3.HTM"</definedName>
    <definedName name="HTML21_2" hidden="1">-4146</definedName>
    <definedName name="HTML21_3" hidden="1">"C:\WWWJUL\BYMONTH2.HTM"</definedName>
    <definedName name="HTML22_1" hidden="1">"'[PEOPLE1.XLS]BYMONTH (2)'!$B$43:$R$53"</definedName>
    <definedName name="HTML22_11" hidden="1">1</definedName>
    <definedName name="HTML22_12" hidden="1">"C:\WWWJUL\BYMONTH.HTM"</definedName>
    <definedName name="HTML22_2" hidden="1">-4146</definedName>
    <definedName name="HTML22_3" hidden="1">"C:\WWWJUL\BYMONTH3.HTM"</definedName>
    <definedName name="HTML23_1" hidden="1">"'[PEOPLE1.XLS]SICK2 (2)'!$A$22:$F$44"</definedName>
    <definedName name="HTML23_11" hidden="1">1</definedName>
    <definedName name="HTML23_12" hidden="1">"C:\WWWJUL\SICK2.HTM"</definedName>
    <definedName name="HTML23_2" hidden="1">-4146</definedName>
    <definedName name="HTML23_3" hidden="1">"C:\WWWJUL\SICK21.HTM"</definedName>
    <definedName name="HTML24_1" hidden="1">"'[PEOPLE1.XLS]SKILLS (2)'!$A$2:$L$14"</definedName>
    <definedName name="HTML24_11" hidden="1">1</definedName>
    <definedName name="HTML24_12" hidden="1">"C:\WWWJUL\SKILLS.HTM"</definedName>
    <definedName name="HTML24_2" hidden="1">-4146</definedName>
    <definedName name="HTML24_3" hidden="1">"C:\WWWJUL\SKILLS1.HTM"</definedName>
    <definedName name="HTML25_1" hidden="1">"'[PEOPLE.XLS]BYMONTH (2)'!$B$1:$R$19"</definedName>
    <definedName name="HTML25_11" hidden="1">1</definedName>
    <definedName name="HTML25_12" hidden="1">"C:\WWWPIR\WWWAUG\BYMONTH2.HTM"</definedName>
    <definedName name="HTML25_2" hidden="1">-4146</definedName>
    <definedName name="HTML25_3" hidden="1">"C:\WWWPIR\WWWAUG\BYMONTH1.HTM"</definedName>
    <definedName name="HTML26_1" hidden="1">"'[PEOPLE.XLS]BYMONTH (2)'!$B$21:$R$39"</definedName>
    <definedName name="HTML26_11" hidden="1">1</definedName>
    <definedName name="HTML26_12" hidden="1">"C:\WWWPIR\WWWAUG\BYMONTH3.HTM"</definedName>
    <definedName name="HTML26_2" hidden="1">-4146</definedName>
    <definedName name="HTML26_3" hidden="1">"C:\WWWPIR\WWWAUG\BYMONTH2.HTM"</definedName>
    <definedName name="HTML27_1" hidden="1">"'[PEOPLE.XLS]BYMONTH (2)'!$B$43:$R$53"</definedName>
    <definedName name="HTML27_11" hidden="1">1</definedName>
    <definedName name="HTML27_12" hidden="1">"C:\WWWPIR\WWWAUG\BYMONTH.HTM"</definedName>
    <definedName name="HTML27_2" hidden="1">-4146</definedName>
    <definedName name="HTML27_3" hidden="1">"C:\WWWPIR\WWWAUG\BYMONTH3.HTM"</definedName>
    <definedName name="HTML28_1" hidden="1">"'[PEOPLE.XLS]GRADEGP (2)'!$A$2:$O$36"</definedName>
    <definedName name="HTML28_11" hidden="1">1</definedName>
    <definedName name="HTML28_12" hidden="1">"C:\WWW\PIR\OCT96\GRADEGP.HTM"</definedName>
    <definedName name="HTML28_2" hidden="1">-4146</definedName>
    <definedName name="HTML28_3" hidden="1">"C:\WWW\PIR\OCT96\GRADEGP1.HTM"</definedName>
    <definedName name="HTML29_1" hidden="1">"'[PEOPLE.XLS]OTHER (2)'!$A$2:$M$28"</definedName>
    <definedName name="HTML29_11" hidden="1">1</definedName>
    <definedName name="HTML29_12" hidden="1">"C:\WWWPIR\WWWAUG\OTHER.HTM"</definedName>
    <definedName name="HTML29_2" hidden="1">-4146</definedName>
    <definedName name="HTML29_3" hidden="1">"C:\WWWPIR\WWWAUG\OTHER1.HTM"</definedName>
    <definedName name="HTML3_1" hidden="1">"'[MANMAY96.XLS]BYMONTH (2)'!$B$2:$R$47"</definedName>
    <definedName name="HTML3_10" hidden="1">""</definedName>
    <definedName name="HTML3_11" hidden="1">1</definedName>
    <definedName name="HTML3_12" hidden="1">"C:\WWWMAY\BYMONTH.HTM"</definedName>
    <definedName name="HTML3_2" hidden="1">-4146</definedName>
    <definedName name="HTML3_3" hidden="1">"C:\WWWMAY\BYMONTH1.HTM"</definedName>
    <definedName name="HTML3_4" hidden="1">""</definedName>
    <definedName name="HTML3_5" hidden="1">""</definedName>
    <definedName name="HTML3_6" hidden="1">-4146</definedName>
    <definedName name="HTML3_7" hidden="1">-4146</definedName>
    <definedName name="HTML3_8" hidden="1">"2/17/98"</definedName>
    <definedName name="HTML3_9" hidden="1">"BPH"</definedName>
    <definedName name="HTML30_1" hidden="1">"'[PEOPLE.XLS]SICK1 (2)'!$B$21:$G$38"</definedName>
    <definedName name="HTML30_11" hidden="1">1</definedName>
    <definedName name="HTML30_12" hidden="1">"C:\WWW\PIR\OCT96\SICK1.HTM"</definedName>
    <definedName name="HTML30_2" hidden="1">-4146</definedName>
    <definedName name="HTML30_3" hidden="1">"C:\WWW\PIR\OCT96\SICK11.HTM"</definedName>
    <definedName name="HTML31_1" hidden="1">"'[PEOPLE.XLS]SICK2 (2)'!$A$22:$F$44"</definedName>
    <definedName name="HTML31_11" hidden="1">1</definedName>
    <definedName name="HTML31_12" hidden="1">"C:\WWW\PIR\OCT96\SICK2.HTM"</definedName>
    <definedName name="HTML31_2" hidden="1">-4146</definedName>
    <definedName name="HTML31_3" hidden="1">"C:\WWW\PIR\OCT96\SICK21.HTM"</definedName>
    <definedName name="HTML32_1" hidden="1">"'[PEOPLE.XLS]SKILLS (2)'!$A$2:$L$14"</definedName>
    <definedName name="HTML32_11" hidden="1">1</definedName>
    <definedName name="HTML32_12" hidden="1">"C:\WWW\PIR\OCT96\SKILLS.HTM"</definedName>
    <definedName name="HTML32_2" hidden="1">-4146</definedName>
    <definedName name="HTML32_3" hidden="1">"C:\WWW\PIR\OCT96\SKILLS1.HTM"</definedName>
    <definedName name="HTML33_1" hidden="1">"'[PEOPLE.XLS]£COSTSUM'!$A$2:$I$20"</definedName>
    <definedName name="HTML33_11" hidden="1">1</definedName>
    <definedName name="HTML33_12" hidden="1">"C:\WWWPIR\WWWAUG\SUMMARY.HTM"</definedName>
    <definedName name="HTML33_2" hidden="1">-4146</definedName>
    <definedName name="HTML33_3" hidden="1">"C:\WWWPIR\WWWAUG\SUMMARY1.HTM"</definedName>
    <definedName name="HTML34_1" hidden="1">"'[PEOPLE.XLS]£COSTSUM (2)'!$A$1:$I$18"</definedName>
    <definedName name="HTML34_11" hidden="1">1</definedName>
    <definedName name="HTML34_12" hidden="1">"C:\WWWPIR\WWWAUG\SUMMARY.HTM"</definedName>
    <definedName name="HTML34_2" hidden="1">-4146</definedName>
    <definedName name="HTML34_3" hidden="1">"C:\WWWPIR\WWWAUG\SUMMARY1.HTM"</definedName>
    <definedName name="HTML35_1" hidden="1">"'[PEOPLE.XLS]£COSTSUM (2)'!$A$2:$I$20"</definedName>
    <definedName name="HTML35_11" hidden="1">1</definedName>
    <definedName name="HTML35_12" hidden="1">"C:\WWWPIR\WWWAUG\SUMMARY.HTM"</definedName>
    <definedName name="HTML35_2" hidden="1">-4146</definedName>
    <definedName name="HTML35_3" hidden="1">"C:\WWWPIR\WWWAUG\SUMMARY1.HTM"</definedName>
    <definedName name="HTML36_1" hidden="1">"'[PEOPLE.XLS]OTHER (2)'!$A$2:$M$29"</definedName>
    <definedName name="HTML36_11" hidden="1">1</definedName>
    <definedName name="HTML36_12" hidden="1">"C:\WWWPIR\WWWAUG\OTHER.HTM"</definedName>
    <definedName name="HTML36_2" hidden="1">-4146</definedName>
    <definedName name="HTML36_3" hidden="1">"C:\WWWPIR\WWWAUG\OTHER1.HTM"</definedName>
    <definedName name="HTML37_1" hidden="1">"'[PEOPLE.XLS]BYMONTH (2)'!$B$1:$R$20"</definedName>
    <definedName name="HTML37_11" hidden="1">1</definedName>
    <definedName name="HTML37_12" hidden="1">"C:\WWW\PIR\OCT96\BYMONTH2.HTM"</definedName>
    <definedName name="HTML37_2" hidden="1">-4146</definedName>
    <definedName name="HTML37_3" hidden="1">"C:\WWW\PIR\OCT96\BYMONTH1.HTM"</definedName>
    <definedName name="HTML38_1" hidden="1">"'[PEOPLE.XLS]BYMONTH (2)'!$B$22:$R$40"</definedName>
    <definedName name="HTML38_11" hidden="1">1</definedName>
    <definedName name="HTML38_12" hidden="1">"C:\WWW\PIR\OCT96\BYMONTH3.HTM"</definedName>
    <definedName name="HTML38_2" hidden="1">-4146</definedName>
    <definedName name="HTML38_3" hidden="1">"C:\WWW\PIR\OCT96\BYMONTH2.HTM"</definedName>
    <definedName name="HTML39_1" hidden="1">"'[PEOPLE.XLS]BYMONTH (2)'!$B$44:$R$54"</definedName>
    <definedName name="HTML39_11" hidden="1">1</definedName>
    <definedName name="HTML39_12" hidden="1">"C:\WWW\PIR\OCT96\BYMONTH.HTM"</definedName>
    <definedName name="HTML39_2" hidden="1">-4146</definedName>
    <definedName name="HTML39_3" hidden="1">"C:\WWW\PIR\OCT96\BYMONTH3.HTM"</definedName>
    <definedName name="HTML4_1" hidden="1">"'[MANMAY96.XLS]BYMONTH (2)'!$B$2:$R$50"</definedName>
    <definedName name="HTML4_11" hidden="1">1</definedName>
    <definedName name="HTML4_12" hidden="1">"C:\WWWMAY\BYMONTH.HTM"</definedName>
    <definedName name="HTML4_2" hidden="1">-4146</definedName>
    <definedName name="HTML4_3" hidden="1">"C:\WWWMAY\BYMONTH1.HTM"</definedName>
    <definedName name="HTML40_1" hidden="1">"'[PEOPLE.XLS]OTHER (2)'!$A$2:$N$28"</definedName>
    <definedName name="HTML40_11" hidden="1">1</definedName>
    <definedName name="HTML40_12" hidden="1">"C:\WWW\PIR\OCT96\OTHER.HTM"</definedName>
    <definedName name="HTML40_2" hidden="1">-4146</definedName>
    <definedName name="HTML40_3" hidden="1">"C:\WWW\PIR\OCT96\OTHER1.HTM"</definedName>
    <definedName name="HTML41_1" hidden="1">"'[PEOPLE.XLS]OTHER (2)'!$A$2:$O$28"</definedName>
    <definedName name="HTML41_11" hidden="1">1</definedName>
    <definedName name="HTML41_12" hidden="1">"C:\WWW\PIR\OCT96\OTHER.HTM"</definedName>
    <definedName name="HTML41_2" hidden="1">-4146</definedName>
    <definedName name="HTML41_3" hidden="1">"C:\WWW\PIR\OCT96\OTHER1.HTM"</definedName>
    <definedName name="HTML42_1" hidden="1">"'[PEOPLE.XLS]£COSTSUM (2)'!$A$2:$I$22"</definedName>
    <definedName name="HTML42_11" hidden="1">1</definedName>
    <definedName name="HTML42_12" hidden="1">"C:\WWW\PIR\OCT96\SUMMARY.HTM"</definedName>
    <definedName name="HTML42_2" hidden="1">-4146</definedName>
    <definedName name="HTML42_3" hidden="1">"C:\WWW\PIR\OCT96\SUMMARY1.HTM"</definedName>
    <definedName name="HTML5_1" hidden="1">"[MANMAY96.XLS]GRADEGP!$A$2:$O$36"</definedName>
    <definedName name="HTML5_11" hidden="1">1</definedName>
    <definedName name="HTML5_12" hidden="1">"C:\WWWMAY\GRADEGP.HTM"</definedName>
    <definedName name="HTML5_2" hidden="1">-4146</definedName>
    <definedName name="HTML5_3" hidden="1">"C:\WWWMAY\GRADEGP1.HTM"</definedName>
    <definedName name="HTML6_1" hidden="1">"'[MANMAY96.XLS]OTHER (2)'!$A$2:$M$24"</definedName>
    <definedName name="HTML6_11" hidden="1">1</definedName>
    <definedName name="HTML6_12" hidden="1">"C:\WWWMAY\OTHER.HTM"</definedName>
    <definedName name="HTML6_2" hidden="1">-4146</definedName>
    <definedName name="HTML6_3" hidden="1">"C:\WWWMAY\OTHER1.HTM"</definedName>
    <definedName name="HTML7_1" hidden="1">"[MANMAY96.XLS]SICK1!$B$21:$G$38"</definedName>
    <definedName name="HTML7_11" hidden="1">1</definedName>
    <definedName name="HTML7_12" hidden="1">"C:\WWWMAY\SICK1.HTM"</definedName>
    <definedName name="HTML7_2" hidden="1">-4146</definedName>
    <definedName name="HTML7_3" hidden="1">"C:\WWWMAY\SICK11.HTM"</definedName>
    <definedName name="HTML8_1" hidden="1">"[MANMAY96.XLS]SICK2!$A$21:$F$41"</definedName>
    <definedName name="HTML8_11" hidden="1">1</definedName>
    <definedName name="HTML8_12" hidden="1">"C:\WWWMAY\SICK2.HTM"</definedName>
    <definedName name="HTML8_2" hidden="1">-4146</definedName>
    <definedName name="HTML8_3" hidden="1">"C:\WWWMAY\SICK21.HTM"</definedName>
    <definedName name="HTML9_1" hidden="1">"'[MANMAY96.XLS]BYMONTH (2)'!$B$1:$R$19"</definedName>
    <definedName name="HTML9_11" hidden="1">1</definedName>
    <definedName name="HTML9_12" hidden="1">"C:\WWWMAY\BYMONTH2.HTM"</definedName>
    <definedName name="HTML9_2" hidden="1">-4146</definedName>
    <definedName name="HTML9_3" hidden="1">"C:\WWWMAY\BYMONTH1.HTM"</definedName>
    <definedName name="HTMLCount" localSheetId="7" hidden="1">1</definedName>
    <definedName name="HTMLCount" localSheetId="8" hidden="1">1</definedName>
    <definedName name="HTMLCount" hidden="1">1</definedName>
    <definedName name="htmold" localSheetId="8" hidden="1">{"'100'!$A$1:$M$83"}</definedName>
    <definedName name="htmold" hidden="1">{"'100'!$A$1:$M$83"}</definedName>
    <definedName name="htr" localSheetId="8" hidden="1">{"EVA",#N/A,FALSE,"SMT2";#N/A,#N/A,FALSE,"Summary";#N/A,#N/A,FALSE,"Graphs";#N/A,#N/A,FALSE,"4 Panel"}</definedName>
    <definedName name="htr" hidden="1">{"EVA",#N/A,FALSE,"SMT2";#N/A,#N/A,FALSE,"Summary";#N/A,#N/A,FALSE,"Graphs";#N/A,#N/A,FALSE,"4 Panel"}</definedName>
    <definedName name="htrhthth" localSheetId="8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htrhthth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htyuityuiotio" localSheetId="7" hidden="1">{#N/A,#N/A,FALSE,"REPORT"}</definedName>
    <definedName name="htyuityuiotio" localSheetId="8" hidden="1">{#N/A,#N/A,FALSE,"REPORT"}</definedName>
    <definedName name="htyuityuiotio" hidden="1">{#N/A,#N/A,FALSE,"REPORT"}</definedName>
    <definedName name="hu" localSheetId="8" hidden="1">{"detail",#N/A,FALSE,"mfg";"summary",#N/A,FALSE,"mfg"}</definedName>
    <definedName name="hu" hidden="1">{"detail",#N/A,FALSE,"mfg";"summary",#N/A,FALSE,"mfg"}</definedName>
    <definedName name="huyèiu" hidden="1">#REF!</definedName>
    <definedName name="hvb" localSheetId="8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hv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hvchvc" localSheetId="8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hvchvc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hvchvc_1" localSheetId="8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hvchvc_1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hvjjh" localSheetId="8" hidden="1">{"pl9601",#N/A,FALSE,"PL96";"pl9602",#N/A,FALSE,"PL96";"pl9603",#N/A,FALSE,"PL96";"PL9604",#N/A,FALSE,"PL96";"pl9605",#N/A,FALSE,"PL96";"pl9606",#N/A,FALSE,"PL96";"pl9607",#N/A,FALSE,"PL96";"pl9608",#N/A,FALSE,"PL96";"pl9609",#N/A,FALSE,"PL96";"pl9610",#N/A,FALSE,"PL96";"pl9611",#N/A,FALSE,"PL96";"fssum01",#N/A,FALSE,"fssum";"fssum02",#N/A,FALSE,"fssum"}</definedName>
    <definedName name="hvjjh" hidden="1">{"pl9601",#N/A,FALSE,"PL96";"pl9602",#N/A,FALSE,"PL96";"pl9603",#N/A,FALSE,"PL96";"PL9604",#N/A,FALSE,"PL96";"pl9605",#N/A,FALSE,"PL96";"pl9606",#N/A,FALSE,"PL96";"pl9607",#N/A,FALSE,"PL96";"pl9608",#N/A,FALSE,"PL96";"pl9609",#N/A,FALSE,"PL96";"pl9610",#N/A,FALSE,"PL96";"pl9611",#N/A,FALSE,"PL96";"fssum01",#N/A,FALSE,"fssum";"fssum02",#N/A,FALSE,"fssum"}</definedName>
    <definedName name="hvjjh_1" localSheetId="8" hidden="1">{"pl9601",#N/A,FALSE,"PL96";"pl9602",#N/A,FALSE,"PL96";"pl9603",#N/A,FALSE,"PL96";"PL9604",#N/A,FALSE,"PL96";"pl9605",#N/A,FALSE,"PL96";"pl9606",#N/A,FALSE,"PL96";"pl9607",#N/A,FALSE,"PL96";"pl9608",#N/A,FALSE,"PL96";"pl9609",#N/A,FALSE,"PL96";"pl9610",#N/A,FALSE,"PL96";"pl9611",#N/A,FALSE,"PL96";"fssum01",#N/A,FALSE,"fssum";"fssum02",#N/A,FALSE,"fssum"}</definedName>
    <definedName name="hvjjh_1" hidden="1">{"pl9601",#N/A,FALSE,"PL96";"pl9602",#N/A,FALSE,"PL96";"pl9603",#N/A,FALSE,"PL96";"PL9604",#N/A,FALSE,"PL96";"pl9605",#N/A,FALSE,"PL96";"pl9606",#N/A,FALSE,"PL96";"pl9607",#N/A,FALSE,"PL96";"pl9608",#N/A,FALSE,"PL96";"pl9609",#N/A,FALSE,"PL96";"pl9610",#N/A,FALSE,"PL96";"pl9611",#N/A,FALSE,"PL96";"fssum01",#N/A,FALSE,"fssum";"fssum02",#N/A,FALSE,"fssum"}</definedName>
    <definedName name="hw" localSheetId="8" hidden="1">{"sales growth",#N/A,FALSE,"summary";"oper income",#N/A,FALSE,"summary";"oros rank",#N/A,FALSE,"summary";"net assets",#N/A,FALSE,"summary";"asset turnover",#N/A,FALSE,"summary";"orona",#N/A,FALSE,"summary"}</definedName>
    <definedName name="hw" hidden="1">{"sales growth",#N/A,FALSE,"summary";"oper income",#N/A,FALSE,"summary";"oros rank",#N/A,FALSE,"summary";"net assets",#N/A,FALSE,"summary";"asset turnover",#N/A,FALSE,"summary";"orona",#N/A,FALSE,"summary"}</definedName>
    <definedName name="hwr" localSheetId="8" hidden="1">{#N/A,#N/A,FALSE,"CA";#N/A,#N/A,FALSE,"CN";#N/A,#N/A,FALSE,"Inv";#N/A,#N/A,FALSE,"Inv Acc";"Miguel_balance",#N/A,FALSE,"Bal";#N/A,#N/A,FALSE,"Plantilla";#N/A,#N/A,FALSE,"CA (2)";#N/A,#N/A,FALSE,"CN (2)"}</definedName>
    <definedName name="hwr" hidden="1">{#N/A,#N/A,FALSE,"CA";#N/A,#N/A,FALSE,"CN";#N/A,#N/A,FALSE,"Inv";#N/A,#N/A,FALSE,"Inv Acc";"Miguel_balance",#N/A,FALSE,"Bal";#N/A,#N/A,FALSE,"Plantilla";#N/A,#N/A,FALSE,"CA (2)";#N/A,#N/A,FALSE,"CN (2)"}</definedName>
    <definedName name="hy" localSheetId="8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hy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hye" localSheetId="8" hidden="1">{"Res_010",#N/A,FALSE,"Res_010";"sum1",#N/A,FALSE,"Res_010"}</definedName>
    <definedName name="hye" hidden="1">{"Res_010",#N/A,FALSE,"Res_010";"sum1",#N/A,FALSE,"Res_010"}</definedName>
    <definedName name="hyk" hidden="1">#REF!</definedName>
    <definedName name="Hypertention" localSheetId="7" hidden="1">{#N/A,#N/A,FALSE,"Pharm";#N/A,#N/A,FALSE,"WWCM"}</definedName>
    <definedName name="Hypertention" localSheetId="8" hidden="1">{#N/A,#N/A,FALSE,"Pharm";#N/A,#N/A,FALSE,"WWCM"}</definedName>
    <definedName name="Hypertention" hidden="1">{#N/A,#N/A,FALSE,"Pharm";#N/A,#N/A,FALSE,"WWCM"}</definedName>
    <definedName name="hypo" localSheetId="7" hidden="1">{#N/A,#N/A,FALSE,"Pharm";#N/A,#N/A,FALSE,"WWCM"}</definedName>
    <definedName name="hypo" localSheetId="8" hidden="1">{#N/A,#N/A,FALSE,"Pharm";#N/A,#N/A,FALSE,"WWCM"}</definedName>
    <definedName name="hypo" hidden="1">{#N/A,#N/A,FALSE,"Pharm";#N/A,#N/A,FALSE,"WWCM"}</definedName>
    <definedName name="i" localSheetId="8" hidden="1">{#N/A,#N/A,FALSE,"BANNERS";#N/A,#N/A,FALSE,"Market";#N/A,#N/A,FALSE,"Tel Rev";#N/A,#N/A,FALSE,"Revenues IOL";#N/A,#N/A,FALSE,"Invest";#N/A,#N/A,FALSE,"Op Cost1";#N/A,#N/A,FALSE,"Op Cost2";#N/A,#N/A,FALSE,"Oth_&amp;_Tot_Revenues";#N/A,#N/A,FALSE,"Fin Mod";#N/A,#N/A,FALSE,"FinMod_RoW";#N/A,#N/A,FALSE,"P&amp;E Burocrat";#N/A,#N/A,FALSE,"cash flow"}</definedName>
    <definedName name="i" hidden="1">{#N/A,#N/A,FALSE,"BANNERS";#N/A,#N/A,FALSE,"Market";#N/A,#N/A,FALSE,"Tel Rev";#N/A,#N/A,FALSE,"Revenues IOL";#N/A,#N/A,FALSE,"Invest";#N/A,#N/A,FALSE,"Op Cost1";#N/A,#N/A,FALSE,"Op Cost2";#N/A,#N/A,FALSE,"Oth_&amp;_Tot_Revenues";#N/A,#N/A,FALSE,"Fin Mod";#N/A,#N/A,FALSE,"FinMod_RoW";#N/A,#N/A,FALSE,"P&amp;E Burocrat";#N/A,#N/A,FALSE,"cash flow"}</definedName>
    <definedName name="i_1" localSheetId="8" hidden="1">{#N/A,#N/A,FALSE,"BANNERS";#N/A,#N/A,FALSE,"Market";#N/A,#N/A,FALSE,"Tel Rev";#N/A,#N/A,FALSE,"Revenues IOL";#N/A,#N/A,FALSE,"Invest";#N/A,#N/A,FALSE,"Op Cost1";#N/A,#N/A,FALSE,"Op Cost2";#N/A,#N/A,FALSE,"Oth_&amp;_Tot_Revenues";#N/A,#N/A,FALSE,"Fin Mod";#N/A,#N/A,FALSE,"FinMod_RoW";#N/A,#N/A,FALSE,"P&amp;E Burocrat";#N/A,#N/A,FALSE,"cash flow"}</definedName>
    <definedName name="i_1" hidden="1">{#N/A,#N/A,FALSE,"BANNERS";#N/A,#N/A,FALSE,"Market";#N/A,#N/A,FALSE,"Tel Rev";#N/A,#N/A,FALSE,"Revenues IOL";#N/A,#N/A,FALSE,"Invest";#N/A,#N/A,FALSE,"Op Cost1";#N/A,#N/A,FALSE,"Op Cost2";#N/A,#N/A,FALSE,"Oth_&amp;_Tot_Revenues";#N/A,#N/A,FALSE,"Fin Mod";#N/A,#N/A,FALSE,"FinMod_RoW";#N/A,#N/A,FALSE,"P&amp;E Burocrat";#N/A,#N/A,FALSE,"cash flow"}</definedName>
    <definedName name="ibnjks" localSheetId="8" hidden="1">{"detail",#N/A,FALSE,"mfg";"summary",#N/A,FALSE,"mfg"}</definedName>
    <definedName name="ibnjks" hidden="1">{"detail",#N/A,FALSE,"mfg";"summary",#N/A,FALSE,"mfg"}</definedName>
    <definedName name="ICs" hidden="1">{"'RR'!$A$2:$E$81"}</definedName>
    <definedName name="ID_Dropdown" hidden="1">#REF!</definedName>
    <definedName name="IEPeXToEUR" localSheetId="8" hidden="1">1/EUReXToIEP</definedName>
    <definedName name="IEPeXToEUR" hidden="1">1/EUReXToIEP</definedName>
    <definedName name="iequwbg" localSheetId="8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iequwb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IGINDGRAF" localSheetId="8" hidden="1">{#N/A,#N/A,FALSE,"MERCHANT GAS MARGIN";#N/A,#N/A,FALSE,"BULK";#N/A,#N/A,FALSE,"BULK CO2";#N/A,#N/A,FALSE,"ON-SITE";#N/A,#N/A,FALSE,"CYLINDERS"}</definedName>
    <definedName name="IGINDGRAF" hidden="1">{#N/A,#N/A,FALSE,"MERCHANT GAS MARGIN";#N/A,#N/A,FALSE,"BULK";#N/A,#N/A,FALSE,"BULK CO2";#N/A,#N/A,FALSE,"ON-SITE";#N/A,#N/A,FALSE,"CYLINDERS"}</definedName>
    <definedName name="IGINDGRAF_1" localSheetId="8" hidden="1">{#N/A,#N/A,FALSE,"MERCHANT GAS MARGIN";#N/A,#N/A,FALSE,"BULK";#N/A,#N/A,FALSE,"BULK CO2";#N/A,#N/A,FALSE,"ON-SITE";#N/A,#N/A,FALSE,"CYLINDERS"}</definedName>
    <definedName name="IGINDGRAF_1" hidden="1">{#N/A,#N/A,FALSE,"MERCHANT GAS MARGIN";#N/A,#N/A,FALSE,"BULK";#N/A,#N/A,FALSE,"BULK CO2";#N/A,#N/A,FALSE,"ON-SITE";#N/A,#N/A,FALSE,"CYLINDERS"}</definedName>
    <definedName name="IHBIUGYHB" localSheetId="8" hidden="1">{#N/A,#N/A,FALSE,"MERCHANT GAS MARGIN";#N/A,#N/A,FALSE,"BULK";#N/A,#N/A,FALSE,"BULK CO2";#N/A,#N/A,FALSE,"ON-SITE";#N/A,#N/A,FALSE,"CYLINDERS"}</definedName>
    <definedName name="IHBIUGYHB" hidden="1">{#N/A,#N/A,FALSE,"MERCHANT GAS MARGIN";#N/A,#N/A,FALSE,"BULK";#N/A,#N/A,FALSE,"BULK CO2";#N/A,#N/A,FALSE,"ON-SITE";#N/A,#N/A,FALSE,"CYLINDERS"}</definedName>
    <definedName name="IHBIUGYHB_1" localSheetId="8" hidden="1">{#N/A,#N/A,FALSE,"MERCHANT GAS MARGIN";#N/A,#N/A,FALSE,"BULK";#N/A,#N/A,FALSE,"BULK CO2";#N/A,#N/A,FALSE,"ON-SITE";#N/A,#N/A,FALSE,"CYLINDERS"}</definedName>
    <definedName name="IHBIUGYHB_1" hidden="1">{#N/A,#N/A,FALSE,"MERCHANT GAS MARGIN";#N/A,#N/A,FALSE,"BULK";#N/A,#N/A,FALSE,"BULK CO2";#N/A,#N/A,FALSE,"ON-SITE";#N/A,#N/A,FALSE,"CYLINDERS"}</definedName>
    <definedName name="ihioh" localSheetId="8" hidden="1">{#N/A,#N/A,FALSE,"Global Assumptions";#N/A,#N/A,FALSE,"NZ Valuation";#N/A,#N/A,FALSE,"P&amp;L";#N/A,#N/A,FALSE,"Balance Sheet";#N/A,#N/A,FALSE,"Cash Flow";#N/A,#N/A,FALSE,"Key Assumptions";#N/A,#N/A,FALSE,"Graphs";#N/A,#N/A,FALSE,"Core EBIT Summary";#N/A,#N/A,FALSE,"National Tolls - Residential";#N/A,#N/A,FALSE,"National Tolls - Business";#N/A,#N/A,FALSE,"Internat'l Tolls - Residential";#N/A,#N/A,FALSE,"Internat'l Tolls - Business";#N/A,#N/A,FALSE,"Faxplus";#N/A,#N/A,FALSE,"Business Local Service";#N/A,#N/A,FALSE,"Data Services";#N/A,#N/A,FALSE,"Cellular"}</definedName>
    <definedName name="ihioh" hidden="1">{#N/A,#N/A,FALSE,"Global Assumptions";#N/A,#N/A,FALSE,"NZ Valuation";#N/A,#N/A,FALSE,"P&amp;L";#N/A,#N/A,FALSE,"Balance Sheet";#N/A,#N/A,FALSE,"Cash Flow";#N/A,#N/A,FALSE,"Key Assumptions";#N/A,#N/A,FALSE,"Graphs";#N/A,#N/A,FALSE,"Core EBIT Summary";#N/A,#N/A,FALSE,"National Tolls - Residential";#N/A,#N/A,FALSE,"National Tolls - Business";#N/A,#N/A,FALSE,"Internat'l Tolls - Residential";#N/A,#N/A,FALSE,"Internat'l Tolls - Business";#N/A,#N/A,FALSE,"Faxplus";#N/A,#N/A,FALSE,"Business Local Service";#N/A,#N/A,FALSE,"Data Services";#N/A,#N/A,FALSE,"Cellular"}</definedName>
    <definedName name="ihouio" localSheetId="8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ihouio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ihouio_1" localSheetId="8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ihouio_1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IHTR" localSheetId="8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IHTR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ii" localSheetId="7" hidden="1">#REF!</definedName>
    <definedName name="ii" localSheetId="8" hidden="1">#REF!</definedName>
    <definedName name="ii" hidden="1">{#N/A,#N/A,FALSE,"cover";#N/A,#N/A,FALSE,"Content ";#N/A,#N/A,FALSE,"E&amp;C Op Stat";#N/A,#N/A,FALSE,"Telcos Op Stat";#N/A,#N/A,FALSE,"Media Op Stat";#N/A,#N/A,FALSE,"Oil Op Stat";#N/A,#N/A,FALSE,"Utilities Op Stat";#N/A,#N/A,FALSE,"E&amp;C Ord An";#N/A,#N/A,FALSE,"E&amp;C Debt Nar";#N/A,#N/A,FALSE,"E&amp;C Debtors";#N/A,#N/A,FALSE,"E&amp;C CO Debt";#N/A,#N/A,FALSE,"Telcos Presales";#N/A,#N/A,FALSE,"Oil Presales";#N/A,#N/A,FALSE,"Utilities Presales"}</definedName>
    <definedName name="ii.oo" localSheetId="8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ii.oo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iii" localSheetId="7" hidden="1">#REF!</definedName>
    <definedName name="iii" localSheetId="8" hidden="1">#REF!</definedName>
    <definedName name="iii" hidden="1">{"detail",#N/A,FALSE,"mfg";"summary",#N/A,FALSE,"mfg"}</definedName>
    <definedName name="iiii" localSheetId="8" hidden="1">{"COVER DPS",#N/A,TRUE,"Cover - DP&amp;S";"Fornitori e Clienti",#N/A,TRUE,"7 Fornitori e 18 Clienti";"PRODOTTI E SERVIZI",#N/A,TRUE,"PRODOTTI &amp; SERVIZI";"CONCLUSE",#N/A,TRUE,"CONCLUSE"}</definedName>
    <definedName name="iiii" hidden="1">{"COVER DPS",#N/A,TRUE,"Cover - DP&amp;S";"Fornitori e Clienti",#N/A,TRUE,"7 Fornitori e 18 Clienti";"PRODOTTI E SERVIZI",#N/A,TRUE,"PRODOTTI &amp; SERVIZI";"CONCLUSE",#N/A,TRUE,"CONCLUSE"}</definedName>
    <definedName name="iiii_1" localSheetId="8" hidden="1">{"COVER DPS",#N/A,TRUE,"Cover - DP&amp;S";"Fornitori e Clienti",#N/A,TRUE,"7 Fornitori e 18 Clienti";"PRODOTTI E SERVIZI",#N/A,TRUE,"PRODOTTI &amp; SERVIZI";"CONCLUSE",#N/A,TRUE,"CONCLUSE"}</definedName>
    <definedName name="iiii_1" hidden="1">{"COVER DPS",#N/A,TRUE,"Cover - DP&amp;S";"Fornitori e Clienti",#N/A,TRUE,"7 Fornitori e 18 Clienti";"PRODOTTI E SERVIZI",#N/A,TRUE,"PRODOTTI &amp; SERVIZI";"CONCLUSE",#N/A,TRUE,"CONCLUSE"}</definedName>
    <definedName name="iiiii" localSheetId="8" hidden="1">{#N/A,#N/A,FALSE,"Calc";#N/A,#N/A,FALSE,"Sensitivity";#N/A,#N/A,FALSE,"LT Earn.Dil.";#N/A,#N/A,FALSE,"Dil. AVP"}</definedName>
    <definedName name="iiiii" hidden="1">{#N/A,#N/A,FALSE,"Calc";#N/A,#N/A,FALSE,"Sensitivity";#N/A,#N/A,FALSE,"LT Earn.Dil.";#N/A,#N/A,FALSE,"Dil. AVP"}</definedName>
    <definedName name="iiiii_1" localSheetId="8" hidden="1">{#N/A,#N/A,FALSE,"Calc";#N/A,#N/A,FALSE,"Sensitivity";#N/A,#N/A,FALSE,"LT Earn.Dil.";#N/A,#N/A,FALSE,"Dil. AVP"}</definedName>
    <definedName name="iiiii_1" hidden="1">{#N/A,#N/A,FALSE,"Calc";#N/A,#N/A,FALSE,"Sensitivity";#N/A,#N/A,FALSE,"LT Earn.Dil.";#N/A,#N/A,FALSE,"Dil. AVP"}</definedName>
    <definedName name="IIIIIII" localSheetId="8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IIIIIII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iiu" hidden="1">#REF!</definedName>
    <definedName name="ijji" localSheetId="8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ijji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ijki" localSheetId="8" hidden="1">{#N/A,#N/A,TRUE,"financial";#N/A,#N/A,TRUE,"plants"}</definedName>
    <definedName name="ijki" hidden="1">{#N/A,#N/A,TRUE,"financial";#N/A,#N/A,TRUE,"plants"}</definedName>
    <definedName name="ijki_1" localSheetId="8" hidden="1">{#N/A,#N/A,TRUE,"financial";#N/A,#N/A,TRUE,"plants"}</definedName>
    <definedName name="ijki_1" hidden="1">{#N/A,#N/A,TRUE,"financial";#N/A,#N/A,TRUE,"plants"}</definedName>
    <definedName name="ijkml" hidden="1">#REF!</definedName>
    <definedName name="ijljil" localSheetId="8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ijljil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ijljil_1" localSheetId="8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ijljil_1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IJNHYT" localSheetId="8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IJNHYT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ijoi" localSheetId="8" hidden="1">{#N/A,#N/A,FALSE,"Produkte Erw.";#N/A,#N/A,FALSE,"Produkte Plan";#N/A,#N/A,FALSE,"Leistungen Erw.";#N/A,#N/A,FALSE,"Leistungen Plan";#N/A,#N/A,FALSE,"KA Allg.Kosten (2)";#N/A,#N/A,FALSE,"KA All.Kosten"}</definedName>
    <definedName name="ijoi" hidden="1">{#N/A,#N/A,FALSE,"Produkte Erw.";#N/A,#N/A,FALSE,"Produkte Plan";#N/A,#N/A,FALSE,"Leistungen Erw.";#N/A,#N/A,FALSE,"Leistungen Plan";#N/A,#N/A,FALSE,"KA Allg.Kosten (2)";#N/A,#N/A,FALSE,"KA All.Kosten"}</definedName>
    <definedName name="ik" localSheetId="8" hidden="1">{"detail",#N/A,FALSE,"mfg";"summary",#N/A,FALSE,"mfg"}</definedName>
    <definedName name="ik" hidden="1">{"detail",#N/A,FALSE,"mfg";"summary",#N/A,FALSE,"mfg"}</definedName>
    <definedName name="ikk" localSheetId="8" hidden="1">{"'100'!$A$1:$M$83"}</definedName>
    <definedName name="ikk" hidden="1">{"'100'!$A$1:$M$83"}</definedName>
    <definedName name="IKLO" localSheetId="8" hidden="1">{#N/A,#N/A,FALSE,"Adm comp";#N/A,#N/A,FALSE,"Adm ajust";"adm",#N/A,FALSE,"Administration";#N/A,#N/A,FALSE,"Adm Bgt 97 vs Prév. 96";#N/A,#N/A,FALSE,"Adm Bgt 97 vs 96"}</definedName>
    <definedName name="IKLO" hidden="1">{#N/A,#N/A,FALSE,"Adm comp";#N/A,#N/A,FALSE,"Adm ajust";"adm",#N/A,FALSE,"Administration";#N/A,#N/A,FALSE,"Adm Bgt 97 vs Prév. 96";#N/A,#N/A,FALSE,"Adm Bgt 97 vs 96"}</definedName>
    <definedName name="ıl" localSheetId="8" hidden="1">{#N/A,#N/A,FALSE,"SMT1";#N/A,#N/A,FALSE,"SMT2";#N/A,#N/A,FALSE,"Summary";#N/A,#N/A,FALSE,"Graphs";#N/A,#N/A,FALSE,"4 Panel"}</definedName>
    <definedName name="ıl" hidden="1">{#N/A,#N/A,FALSE,"SMT1";#N/A,#N/A,FALSE,"SMT2";#N/A,#N/A,FALSE,"Summary";#N/A,#N/A,FALSE,"Graphs";#N/A,#N/A,FALSE,"4 Panel"}</definedName>
    <definedName name="ILL" localSheetId="8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ILL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ilou" hidden="1">#REF!</definedName>
    <definedName name="Imballi" hidden="1">#REF!</definedName>
    <definedName name="Img_ML_1s1r9i6q" hidden="1">"IMG_13"</definedName>
    <definedName name="Img_ML_3c7g1a7g" hidden="1">"IMG_10"</definedName>
    <definedName name="Img_ML_4u3z1k5l" hidden="1">"IMG_10"</definedName>
    <definedName name="Img_ML_9k9z1u3w" hidden="1">"IMG_10"</definedName>
    <definedName name="imob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imob1" hidden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IN" localSheetId="8" hidden="1">{"seg_mes",#N/A,FALSE,"Miralcamp";"SEG_ACU",#N/A,FALSE,"Miralcamp"}</definedName>
    <definedName name="IN" hidden="1">{"seg_mes",#N/A,FALSE,"Miralcamp";"SEG_ACU",#N/A,FALSE,"Miralcamp"}</definedName>
    <definedName name="Incomepb" hidden="1">#REF!</definedName>
    <definedName name="ind." localSheetId="8" hidden="1">{#N/A,#N/A,TRUE,"Main Issues";#N/A,#N/A,TRUE,"Income statement ($)"}</definedName>
    <definedName name="ind." hidden="1">{#N/A,#N/A,TRUE,"Main Issues";#N/A,#N/A,TRUE,"Income statement ($)"}</definedName>
    <definedName name="ind._1" localSheetId="8" hidden="1">{#N/A,#N/A,TRUE,"Main Issues";#N/A,#N/A,TRUE,"Income statement ($)"}</definedName>
    <definedName name="ind._1" hidden="1">{#N/A,#N/A,TRUE,"Main Issues";#N/A,#N/A,TRUE,"Income statement ($)"}</definedName>
    <definedName name="India" hidden="1">#REF!</definedName>
    <definedName name="Industrialmetrics" localSheetId="8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Industrialmetric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inflList" hidden="1">"10000000000000000000000000000000000000000000000000000000000000000000000000000000000000000000000000000000000000000000000000000000000000000000000000000000000000000000000000000000000000000000000000000000"</definedName>
    <definedName name="Informe13" localSheetId="8" hidden="1">{#N/A,#N/A,FALSE,"Informe1";#N/A,#N/A,FALSE,"Informe2";#N/A,#N/A,FALSE,"Informe3";#N/A,#N/A,FALSE,"Informe4"}</definedName>
    <definedName name="Informe13" hidden="1">{#N/A,#N/A,FALSE,"Informe1";#N/A,#N/A,FALSE,"Informe2";#N/A,#N/A,FALSE,"Informe3";#N/A,#N/A,FALSE,"Informe4"}</definedName>
    <definedName name="ingjks" localSheetId="8" hidden="1">{"detail",#N/A,FALSE,"mfg";"summary",#N/A,FALSE,"mfg"}</definedName>
    <definedName name="ingjks" hidden="1">{"detail",#N/A,FALSE,"mfg";"summary",#N/A,FALSE,"mfg"}</definedName>
    <definedName name="INGprimeraGen" localSheetId="8" hidden="1">{#N/A,#N/A,TRUE,"Graficos";#N/A,#N/A,TRUE,"P.Ingresos";#N/A,#N/A,TRUE,"P.Gastos";#N/A,#N/A,TRUE,"I.Trafico";#N/A,#N/A,TRUE,"I.Peajes";#N/A,#N/A,TRUE,"G.Operativos";#N/A,#N/A,TRUE,"Cf Proyecto";#N/A,#N/A,TRUE,"C.PYG";#N/A,#N/A,TRUE,"Balance";#N/A,#N/A,TRUE,"TIR AC";#N/A,#N/A,TRUE,"Ratios";#N/A,#N/A,TRUE,"Amortizacion";#N/A,#N/A,TRUE,"FC fin";#N/A,#N/A,TRUE,"Coeficientes";#N/A,#N/A,TRUE,"Tesoreria";#N/A,#N/A,TRUE,"Prest.inv";#N/A,#N/A,TRUE,"Obligacion";#N/A,#N/A,TRUE,"Impuestos";#N/A,#N/A,TRUE,"Reservas";#N/A,#N/A,TRUE,"Inversion";#N/A,#N/A,TRUE,"P.Inversion";#N/A,#N/A,TRUE,"C.Fl Inv.";#N/A,#N/A,TRUE,"VAN Oferta"}</definedName>
    <definedName name="INGprimeraGen" hidden="1">{#N/A,#N/A,TRUE,"Graficos";#N/A,#N/A,TRUE,"P.Ingresos";#N/A,#N/A,TRUE,"P.Gastos";#N/A,#N/A,TRUE,"I.Trafico";#N/A,#N/A,TRUE,"I.Peajes";#N/A,#N/A,TRUE,"G.Operativos";#N/A,#N/A,TRUE,"Cf Proyecto";#N/A,#N/A,TRUE,"C.PYG";#N/A,#N/A,TRUE,"Balance";#N/A,#N/A,TRUE,"TIR AC";#N/A,#N/A,TRUE,"Ratios";#N/A,#N/A,TRUE,"Amortizacion";#N/A,#N/A,TRUE,"FC fin";#N/A,#N/A,TRUE,"Coeficientes";#N/A,#N/A,TRUE,"Tesoreria";#N/A,#N/A,TRUE,"Prest.inv";#N/A,#N/A,TRUE,"Obligacion";#N/A,#N/A,TRUE,"Impuestos";#N/A,#N/A,TRUE,"Reservas";#N/A,#N/A,TRUE,"Inversion";#N/A,#N/A,TRUE,"P.Inversion";#N/A,#N/A,TRUE,"C.Fl Inv.";#N/A,#N/A,TRUE,"VAN Oferta"}</definedName>
    <definedName name="INHDEV" hidden="1">#REF!</definedName>
    <definedName name="INININ" localSheetId="8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INININ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iniske" localSheetId="8" hidden="1">{"detail",#N/A,FALSE,"mfg";"summary",#N/A,FALSE,"mfg"}</definedName>
    <definedName name="iniske" hidden="1">{"detail",#N/A,FALSE,"mfg";"summary",#N/A,FALSE,"mfg"}</definedName>
    <definedName name="inksl" localSheetId="8" hidden="1">{"detail",#N/A,FALSE,"mfg";"summary",#N/A,FALSE,"mfg"}</definedName>
    <definedName name="inksl" hidden="1">{"detail",#N/A,FALSE,"mfg";"summary",#N/A,FALSE,"mfg"}</definedName>
    <definedName name="INPPP" hidden="1">#REF!</definedName>
    <definedName name="INTERCO" localSheetId="8" hidden="1">{"Pèrdues i Guanys analític.Català",#N/A,FALSE,"Català";"Pèrdues i G. analític.castellà",#N/A,FALSE,"Castellà"}</definedName>
    <definedName name="INTERCO" hidden="1">{"Pèrdues i Guanys analític.Català",#N/A,FALSE,"Català";"Pèrdues i G. analític.castellà",#N/A,FALSE,"Castellà"}</definedName>
    <definedName name="INTERCODIEZ" localSheetId="8" hidden="1">{"Pèrdues i Guanys analític.Català",#N/A,FALSE,"Català";"Pèrdues i G. analític.castellà",#N/A,FALSE,"Castellà"}</definedName>
    <definedName name="INTERCODIEZ" hidden="1">{"Pèrdues i Guanys analític.Català",#N/A,FALSE,"Català";"Pèrdues i G. analític.castellà",#N/A,FALSE,"Castellà"}</definedName>
    <definedName name="INTERESTIN" hidden="1">0.02</definedName>
    <definedName name="INTERESTOUT" hidden="1">0.02</definedName>
    <definedName name="InternalRev" localSheetId="8" hidden="1">{#N/A,#N/A,FALSE,"Summary";#N/A,#N/A,FALSE,"PLTOTSUMM";#N/A,#N/A,FALSE,"Profit";#N/A,#N/A,FALSE,"Prod Mgmt";#N/A,#N/A,FALSE,"TotRevenue";#N/A,#N/A,FALSE,"Marketing";#N/A,#N/A,FALSE,"CSHelpdesks";#N/A,#N/A,FALSE,"Capital";#N/A,#N/A,FALSE,"FTE"}</definedName>
    <definedName name="InternalRev" hidden="1">{#N/A,#N/A,FALSE,"Summary";#N/A,#N/A,FALSE,"PLTOTSUMM";#N/A,#N/A,FALSE,"Profit";#N/A,#N/A,FALSE,"Prod Mgmt";#N/A,#N/A,FALSE,"TotRevenue";#N/A,#N/A,FALSE,"Marketing";#N/A,#N/A,FALSE,"CSHelpdesks";#N/A,#N/A,FALSE,"Capital";#N/A,#N/A,FALSE,"FTE"}</definedName>
    <definedName name="inv" localSheetId="7" hidden="1">{"Site",#N/A,FALSE,"Net Inventory Turns";"Site",#N/A,FALSE,"LInearity";"Site",#N/A,FALSE,"On Time Delivery";"Site",#N/A,FALSE,"Fill Rate";"Site",#N/A,FALSE,"Days Past Due";"Site",#N/A,FALSE,"COPQ";"Site",#N/A,FALSE,"Customer Returns";"Site",#N/A,FALSE,"LWCAIR";"Site",#N/A,FALSE,"TCIR";"Site",#N/A,FALSE,"TDU";"Site",#N/A,FALSE,"Supplier Defects";"Site",#N/A,FALSE,"Supplier Delivery";"Site",#N/A,FALSE,"OEC";"Site",#N/A,FALSE,"MM"}</definedName>
    <definedName name="inv" localSheetId="8" hidden="1">{"Site",#N/A,FALSE,"Net Inventory Turns";"Site",#N/A,FALSE,"LInearity";"Site",#N/A,FALSE,"On Time Delivery";"Site",#N/A,FALSE,"Fill Rate";"Site",#N/A,FALSE,"Days Past Due";"Site",#N/A,FALSE,"COPQ";"Site",#N/A,FALSE,"Customer Returns";"Site",#N/A,FALSE,"LWCAIR";"Site",#N/A,FALSE,"TCIR";"Site",#N/A,FALSE,"TDU";"Site",#N/A,FALSE,"Supplier Defects";"Site",#N/A,FALSE,"Supplier Delivery";"Site",#N/A,FALSE,"OEC";"Site",#N/A,FALSE,"MM"}</definedName>
    <definedName name="invC" localSheetId="8" hidden="1">{"Balance Sheet",#N/A,FALSE,"CBR NAM Consolidated vs. Plan";"Cash Flows",#N/A,FALSE,"CBR NAM Consolidated vs. Plan";"Balance Sheet",#N/A,FALSE,"CBR North America Consolidated";"Cash Flows",#N/A,FALSE,"CBR North America Consolidated";"Balance Sheet",#N/A,FALSE,"Canada Consolidation";"Cash Flows",#N/A,FALSE,"Canada Consolidation";"Balance Sheet",#N/A,FALSE,"USA Consolidation";"Cash Flows",#N/A,FALSE,"USA Consolidation";"Balance Sheet",#N/A,FALSE,"102 - CBR Materials";"Cash Flows",#N/A,FALSE,"102 - CBR Materials";"Bal Sheet",#N/A,FALSE,"101 - Calgary Corporate Office";"Cash Flow",#N/A,FALSE,"101 - Calgary Corporate Office";"Balance Sheet",#N/A,FALSE,"USA Consolidation";"Cash Flows",#N/A,FALSE,"USA Consolidation";"Bal Sheet",#N/A,FALSE,"151 - San Mateo Corporate";"Cash Flow",#N/A,FALSE,"151 - San Mateo Corporate"}</definedName>
    <definedName name="invC" hidden="1">{"Balance Sheet",#N/A,FALSE,"CBR NAM Consolidated vs. Plan";"Cash Flows",#N/A,FALSE,"CBR NAM Consolidated vs. Plan";"Balance Sheet",#N/A,FALSE,"CBR North America Consolidated";"Cash Flows",#N/A,FALSE,"CBR North America Consolidated";"Balance Sheet",#N/A,FALSE,"Canada Consolidation";"Cash Flows",#N/A,FALSE,"Canada Consolidation";"Balance Sheet",#N/A,FALSE,"USA Consolidation";"Cash Flows",#N/A,FALSE,"USA Consolidation";"Balance Sheet",#N/A,FALSE,"102 - CBR Materials";"Cash Flows",#N/A,FALSE,"102 - CBR Materials";"Bal Sheet",#N/A,FALSE,"101 - Calgary Corporate Office";"Cash Flow",#N/A,FALSE,"101 - Calgary Corporate Office";"Balance Sheet",#N/A,FALSE,"USA Consolidation";"Cash Flows",#N/A,FALSE,"USA Consolidation";"Bal Sheet",#N/A,FALSE,"151 - San Mateo Corporate";"Cash Flow",#N/A,FALSE,"151 - San Mateo Corporate"}</definedName>
    <definedName name="Inventory" localSheetId="8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Inventory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InversionesMMIN" hidden="1">"47L225YEXML2DN33S65UFESZA"</definedName>
    <definedName name="inves" localSheetId="8" hidden="1">{"tableau a",#N/A,FALSE,"Feuil3";"tableau b",#N/A,FALSE,"Feuil3"}</definedName>
    <definedName name="inves" hidden="1">{"tableau a",#N/A,FALSE,"Feuil3";"tableau b",#N/A,FALSE,"Feuil3"}</definedName>
    <definedName name="inves." localSheetId="8" hidden="1">{"tableau a",#N/A,FALSE,"Feuil3";"tableau b",#N/A,FALSE,"Feuil3"}</definedName>
    <definedName name="inves." hidden="1">{"tableau a",#N/A,FALSE,"Feuil3";"tableau b",#N/A,FALSE,"Feuil3"}</definedName>
    <definedName name="Inves.budget2003" localSheetId="8" hidden="1">{#N/A,#N/A,FALSE,"CAPA";#N/A,#N/A,FALSE,"INDICES";#N/A,#N/A,FALSE,"RES-GER-CONS";#N/A,#N/A,FALSE,"MAQ-S1";#N/A,#N/A,FALSE,"MAQ-S2";#N/A,#N/A,FALSE,"MAQ-S3";#N/A,#N/A,FALSE,"PROD-VEN";#N/A,#N/A,FALSE,"PRECOS";#N/A,#N/A,FALSE,"BILAN";#N/A,#N/A,FALSE,"CASH-FLOW";#N/A,#N/A,FALSE,"SP4-5"}</definedName>
    <definedName name="Inves.budget2003" hidden="1">{#N/A,#N/A,FALSE,"CAPA";#N/A,#N/A,FALSE,"INDICES";#N/A,#N/A,FALSE,"RES-GER-CONS";#N/A,#N/A,FALSE,"MAQ-S1";#N/A,#N/A,FALSE,"MAQ-S2";#N/A,#N/A,FALSE,"MAQ-S3";#N/A,#N/A,FALSE,"PROD-VEN";#N/A,#N/A,FALSE,"PRECOS";#N/A,#N/A,FALSE,"BILAN";#N/A,#N/A,FALSE,"CASH-FLOW";#N/A,#N/A,FALSE,"SP4-5"}</definedName>
    <definedName name="Inves.budget2003_1" localSheetId="8" hidden="1">{#N/A,#N/A,FALSE,"CAPA";#N/A,#N/A,FALSE,"INDICES";#N/A,#N/A,FALSE,"RES-GER-CONS";#N/A,#N/A,FALSE,"MAQ-S1";#N/A,#N/A,FALSE,"MAQ-S2";#N/A,#N/A,FALSE,"MAQ-S3";#N/A,#N/A,FALSE,"PROD-VEN";#N/A,#N/A,FALSE,"PRECOS";#N/A,#N/A,FALSE,"BILAN";#N/A,#N/A,FALSE,"CASH-FLOW";#N/A,#N/A,FALSE,"SP4-5"}</definedName>
    <definedName name="Inves.budget2003_1" hidden="1">{#N/A,#N/A,FALSE,"CAPA";#N/A,#N/A,FALSE,"INDICES";#N/A,#N/A,FALSE,"RES-GER-CONS";#N/A,#N/A,FALSE,"MAQ-S1";#N/A,#N/A,FALSE,"MAQ-S2";#N/A,#N/A,FALSE,"MAQ-S3";#N/A,#N/A,FALSE,"PROD-VEN";#N/A,#N/A,FALSE,"PRECOS";#N/A,#N/A,FALSE,"BILAN";#N/A,#N/A,FALSE,"CASH-FLOW";#N/A,#N/A,FALSE,"SP4-5"}</definedName>
    <definedName name="invest." localSheetId="8" hidden="1">{"tableau a",#N/A,FALSE,"Feuil3";"tableau b",#N/A,FALSE,"Feuil3"}</definedName>
    <definedName name="invest." hidden="1">{"tableau a",#N/A,FALSE,"Feuil3";"tableau b",#N/A,FALSE,"Feuil3"}</definedName>
    <definedName name="invest.5" localSheetId="8" hidden="1">{#N/A,#N/A,FALSE,"CAPA";#N/A,#N/A,FALSE,"INDICES";#N/A,#N/A,FALSE,"ATIV-CONS";#N/A,#N/A,FALSE,"ATIV-AGENT";#N/A,#N/A,FALSE,"ATIV-SALTO";#N/A,#N/A,FALSE,"ATIV-CMB";#N/A,#N/A,FALSE,"ATIV-DECOR";#N/A,#N/A,FALSE,"ATIV-IMPR";#N/A,#N/A,FALSE,"ATIV-INDUSTR";#N/A,#N/A,FALSE,"ATIV-SEGUR";#N/A,#N/A,FALSE,"SP4-5";#N/A,#N/A,FALSE,"EVOLUÇÂO (2)"}</definedName>
    <definedName name="invest.5" hidden="1">{#N/A,#N/A,FALSE,"CAPA";#N/A,#N/A,FALSE,"INDICES";#N/A,#N/A,FALSE,"ATIV-CONS";#N/A,#N/A,FALSE,"ATIV-AGENT";#N/A,#N/A,FALSE,"ATIV-SALTO";#N/A,#N/A,FALSE,"ATIV-CMB";#N/A,#N/A,FALSE,"ATIV-DECOR";#N/A,#N/A,FALSE,"ATIV-IMPR";#N/A,#N/A,FALSE,"ATIV-INDUSTR";#N/A,#N/A,FALSE,"ATIV-SEGUR";#N/A,#N/A,FALSE,"SP4-5";#N/A,#N/A,FALSE,"EVOLUÇÂO (2)"}</definedName>
    <definedName name="invest.5_1" localSheetId="8" hidden="1">{#N/A,#N/A,FALSE,"CAPA";#N/A,#N/A,FALSE,"INDICES";#N/A,#N/A,FALSE,"ATIV-CONS";#N/A,#N/A,FALSE,"ATIV-AGENT";#N/A,#N/A,FALSE,"ATIV-SALTO";#N/A,#N/A,FALSE,"ATIV-CMB";#N/A,#N/A,FALSE,"ATIV-DECOR";#N/A,#N/A,FALSE,"ATIV-IMPR";#N/A,#N/A,FALSE,"ATIV-INDUSTR";#N/A,#N/A,FALSE,"ATIV-SEGUR";#N/A,#N/A,FALSE,"SP4-5";#N/A,#N/A,FALSE,"EVOLUÇÂO (2)"}</definedName>
    <definedName name="invest.5_1" hidden="1">{#N/A,#N/A,FALSE,"CAPA";#N/A,#N/A,FALSE,"INDICES";#N/A,#N/A,FALSE,"ATIV-CONS";#N/A,#N/A,FALSE,"ATIV-AGENT";#N/A,#N/A,FALSE,"ATIV-SALTO";#N/A,#N/A,FALSE,"ATIV-CMB";#N/A,#N/A,FALSE,"ATIV-DECOR";#N/A,#N/A,FALSE,"ATIV-IMPR";#N/A,#N/A,FALSE,"ATIV-INDUSTR";#N/A,#N/A,FALSE,"ATIV-SEGUR";#N/A,#N/A,FALSE,"SP4-5";#N/A,#N/A,FALSE,"EVOLUÇÂO (2)"}</definedName>
    <definedName name="Invest3" localSheetId="8" hidden="1">{#N/A,#N/A,FALSE,"index";#N/A,#N/A,FALSE,"BA.1";#N/A,#N/A,FALSE,"BA.2";#N/A,#N/A,FALSE,"BA.3";#N/A,#N/A,FALSE,"BA.5";#N/A,#N/A,FALSE,"BA.6";#N/A,#N/A,FALSE,"BA.7";#N/A,#N/A,FALSE,"BA.9";#N/A,#N/A,FALSE,"BA.8";#N/A,#N/A,FALSE,"BA.10";#N/A,#N/A,FALSE,"BA.11";#N/A,#N/A,FALSE,"94BUD95";#N/A,#N/A,FALSE,"Annexe.1";#N/A,#N/A,FALSE,"94BUD95 (2)";#N/A,#N/A,FALSE,"Annexe.2";#N/A,#N/A,FALSE,"Annexe.3";#N/A,#N/A,FALSE,"Annexe.4";#N/A,#N/A,FALSE,"BILAN-MENSAL-cons";#N/A,#N/A,FALSE,"RES-mes-ACUM";#N/A,#N/A,FALSE,"RES-mes-MES-cons"}</definedName>
    <definedName name="Invest3" hidden="1">{#N/A,#N/A,FALSE,"index";#N/A,#N/A,FALSE,"BA.1";#N/A,#N/A,FALSE,"BA.2";#N/A,#N/A,FALSE,"BA.3";#N/A,#N/A,FALSE,"BA.5";#N/A,#N/A,FALSE,"BA.6";#N/A,#N/A,FALSE,"BA.7";#N/A,#N/A,FALSE,"BA.9";#N/A,#N/A,FALSE,"BA.8";#N/A,#N/A,FALSE,"BA.10";#N/A,#N/A,FALSE,"BA.11";#N/A,#N/A,FALSE,"94BUD95";#N/A,#N/A,FALSE,"Annexe.1";#N/A,#N/A,FALSE,"94BUD95 (2)";#N/A,#N/A,FALSE,"Annexe.2";#N/A,#N/A,FALSE,"Annexe.3";#N/A,#N/A,FALSE,"Annexe.4";#N/A,#N/A,FALSE,"BILAN-MENSAL-cons";#N/A,#N/A,FALSE,"RES-mes-ACUM";#N/A,#N/A,FALSE,"RES-mes-MES-cons"}</definedName>
    <definedName name="Invest3_1" localSheetId="8" hidden="1">{#N/A,#N/A,FALSE,"index";#N/A,#N/A,FALSE,"BA.1";#N/A,#N/A,FALSE,"BA.2";#N/A,#N/A,FALSE,"BA.3";#N/A,#N/A,FALSE,"BA.5";#N/A,#N/A,FALSE,"BA.6";#N/A,#N/A,FALSE,"BA.7";#N/A,#N/A,FALSE,"BA.9";#N/A,#N/A,FALSE,"BA.8";#N/A,#N/A,FALSE,"BA.10";#N/A,#N/A,FALSE,"BA.11";#N/A,#N/A,FALSE,"94BUD95";#N/A,#N/A,FALSE,"Annexe.1";#N/A,#N/A,FALSE,"94BUD95 (2)";#N/A,#N/A,FALSE,"Annexe.2";#N/A,#N/A,FALSE,"Annexe.3";#N/A,#N/A,FALSE,"Annexe.4";#N/A,#N/A,FALSE,"BILAN-MENSAL-cons";#N/A,#N/A,FALSE,"RES-mes-ACUM";#N/A,#N/A,FALSE,"RES-mes-MES-cons"}</definedName>
    <definedName name="Invest3_1" hidden="1">{#N/A,#N/A,FALSE,"index";#N/A,#N/A,FALSE,"BA.1";#N/A,#N/A,FALSE,"BA.2";#N/A,#N/A,FALSE,"BA.3";#N/A,#N/A,FALSE,"BA.5";#N/A,#N/A,FALSE,"BA.6";#N/A,#N/A,FALSE,"BA.7";#N/A,#N/A,FALSE,"BA.9";#N/A,#N/A,FALSE,"BA.8";#N/A,#N/A,FALSE,"BA.10";#N/A,#N/A,FALSE,"BA.11";#N/A,#N/A,FALSE,"94BUD95";#N/A,#N/A,FALSE,"Annexe.1";#N/A,#N/A,FALSE,"94BUD95 (2)";#N/A,#N/A,FALSE,"Annexe.2";#N/A,#N/A,FALSE,"Annexe.3";#N/A,#N/A,FALSE,"Annexe.4";#N/A,#N/A,FALSE,"BILAN-MENSAL-cons";#N/A,#N/A,FALSE,"RES-mes-ACUM";#N/A,#N/A,FALSE,"RES-mes-MES-cons"}</definedName>
    <definedName name="Investimento4" localSheetId="8" hidden="1">{#N/A,#N/A,FALSE,"BILAN-MENSAL-cons";#N/A,#N/A,FALSE,"RES-mes-MES-cons";#N/A,#N/A,FALSE,"BILAN-Mes-AWB";#N/A,#N/A,FALSE,"RES-mes-AWB";#N/A,#N/A,FALSE,"BILAN-Mes-AWB";#N/A,#N/A,FALSE,"RES-mes-AWP"}</definedName>
    <definedName name="Investimento4" hidden="1">{#N/A,#N/A,FALSE,"BILAN-MENSAL-cons";#N/A,#N/A,FALSE,"RES-mes-MES-cons";#N/A,#N/A,FALSE,"BILAN-Mes-AWB";#N/A,#N/A,FALSE,"RES-mes-AWB";#N/A,#N/A,FALSE,"BILAN-Mes-AWB";#N/A,#N/A,FALSE,"RES-mes-AWP"}</definedName>
    <definedName name="Investimento4_1" localSheetId="8" hidden="1">{#N/A,#N/A,FALSE,"BILAN-MENSAL-cons";#N/A,#N/A,FALSE,"RES-mes-MES-cons";#N/A,#N/A,FALSE,"BILAN-Mes-AWB";#N/A,#N/A,FALSE,"RES-mes-AWB";#N/A,#N/A,FALSE,"BILAN-Mes-AWB";#N/A,#N/A,FALSE,"RES-mes-AWP"}</definedName>
    <definedName name="Investimento4_1" hidden="1">{#N/A,#N/A,FALSE,"BILAN-MENSAL-cons";#N/A,#N/A,FALSE,"RES-mes-MES-cons";#N/A,#N/A,FALSE,"BILAN-Mes-AWB";#N/A,#N/A,FALSE,"RES-mes-AWB";#N/A,#N/A,FALSE,"BILAN-Mes-AWB";#N/A,#N/A,FALSE,"RES-mes-AWP"}</definedName>
    <definedName name="Investiss" localSheetId="8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Investiss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investments" hidden="1">#REF!</definedName>
    <definedName name="INVV" localSheetId="8" hidden="1">{#N/A,#N/A,FALSE,"Adm comp";#N/A,#N/A,FALSE,"Adm ajust";"adm",#N/A,FALSE,"Administration";#N/A,#N/A,FALSE,"Adm Bgt 97 vs Prév. 96";#N/A,#N/A,FALSE,"Adm Bgt 97 vs 96"}</definedName>
    <definedName name="INVV" hidden="1">{#N/A,#N/A,FALSE,"Adm comp";#N/A,#N/A,FALSE,"Adm ajust";"adm",#N/A,FALSE,"Administration";#N/A,#N/A,FALSE,"Adm Bgt 97 vs Prév. 96";#N/A,#N/A,FALSE,"Adm Bgt 97 vs 96"}</definedName>
    <definedName name="INVVV" localSheetId="8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INVVV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io" localSheetId="8" hidden="1">{"Performance Details",#N/A,FALSE,"Current Yr";"Performance Details",#N/A,FALSE,"Budget";"Performance Details",#N/A,FALSE,"Prior Year"}</definedName>
    <definedName name="io" hidden="1">{"Performance Details",#N/A,FALSE,"Current Yr";"Performance Details",#N/A,FALSE,"Budget";"Performance Details",#N/A,FALSE,"Prior Year"}</definedName>
    <definedName name="iofuiotiotuio" localSheetId="8" hidden="1">{#N/A,#N/A,FALSE,"USCSS ROLLUP";#N/A,#N/A,FALSE,"USCS";#N/A,#N/A,FALSE,"TARGET";#N/A,#N/A,FALSE,"MICROSOFT";#N/A,#N/A,FALSE,"AT&amp;T";#N/A,#N/A,FALSE,"ALT CHANNELS";#N/A,#N/A,FALSE,"USCS HQ"}</definedName>
    <definedName name="iofuiotiotuio" hidden="1">{#N/A,#N/A,FALSE,"USCSS ROLLUP";#N/A,#N/A,FALSE,"USCS";#N/A,#N/A,FALSE,"TARGET";#N/A,#N/A,FALSE,"MICROSOFT";#N/A,#N/A,FALSE,"AT&amp;T";#N/A,#N/A,FALSE,"ALT CHANNELS";#N/A,#N/A,FALSE,"USCS HQ"}</definedName>
    <definedName name="ioioo" localSheetId="8" hidden="1">{#N/A,#N/A,FALSE,"Rohstoffnotierungen";#N/A,#N/A,FALSE,"ER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ioioo" hidden="1">{#N/A,#N/A,FALSE,"Rohstoffnotierungen";#N/A,#N/A,FALSE,"ER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iolhl" localSheetId="8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iolhl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iolhl_1" localSheetId="8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iolhl_1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ioloo" hidden="1">#REF!</definedName>
    <definedName name="iols" localSheetId="8" hidden="1">{"'100'!$A$1:$M$83"}</definedName>
    <definedName name="iols" hidden="1">{"'100'!$A$1:$M$83"}</definedName>
    <definedName name="iop" localSheetId="8" hidden="1">{#N/A,"PURCHM",FALSE,"Business Analysis";#N/A,"SPADD",FALSE,"Business Analysis"}</definedName>
    <definedName name="iop" hidden="1">{#N/A,"PURCHM",FALSE,"Business Analysis";#N/A,"SPADD",FALSE,"Business Analysis"}</definedName>
    <definedName name="IOPPPP" localSheetId="8" hidden="1">{#N/A,#N/A,FALSE,"Adm comp";#N/A,#N/A,FALSE,"Adm ajust";"adm",#N/A,FALSE,"Administration";#N/A,#N/A,FALSE,"Adm Bgt 97 vs Prév. 96";#N/A,#N/A,FALSE,"Adm Bgt 97 vs 96"}</definedName>
    <definedName name="IOPPPP" hidden="1">{#N/A,#N/A,FALSE,"Adm comp";#N/A,#N/A,FALSE,"Adm ajust";"adm",#N/A,FALSE,"Administration";#N/A,#N/A,FALSE,"Adm Bgt 97 vs Prév. 96";#N/A,#N/A,FALSE,"Adm Bgt 97 vs 96"}</definedName>
    <definedName name="IP" localSheetId="7" hidden="1">{#N/A,#N/A,FALSE,"Pharm";#N/A,#N/A,FALSE,"WWCM"}</definedName>
    <definedName name="IP" localSheetId="8" hidden="1">{#N/A,#N/A,FALSE,"Pharm";#N/A,#N/A,FALSE,"WWCM"}</definedName>
    <definedName name="IP" hidden="1">{#N/A,#N/A,FALSE,"Pharm";#N/A,#N/A,FALSE,"WWCM"}</definedName>
    <definedName name="IQ_0_PCT_RISK_WEIGHT_TOTAL_THRIFT" hidden="1">"c25055"</definedName>
    <definedName name="IQ_1_4_CONST_LOANS_DOM_LOANS_RSTRC_DUE_30_89_FFIEC" hidden="1">"c27091"</definedName>
    <definedName name="IQ_1_4_CONST_LOANS_DOM_LOANS_RSTRC_DUE_90_FFIEC" hidden="1">"c27131"</definedName>
    <definedName name="IQ_1_4_CONST_LOANS_DOM_LOANS_RSTRC_NON_ACCRUAL_FFIEC" hidden="1">"c27171"</definedName>
    <definedName name="IQ_1_4_CONST_LOANS_DOM_LOANS_RSTRC_TERMS_FFIEC" hidden="1">"c27023"</definedName>
    <definedName name="IQ_1_4_CONST_LOANS_DOM_LOSS_SHARING_FFIEC" hidden="1">"c27188"</definedName>
    <definedName name="IQ_1_4_CONST_LOANS_SEC_RE_DOM_LOSS_SHARING_DUE_30_89_FFIEC" hidden="1">"c27071"</definedName>
    <definedName name="IQ_1_4_CONST_LOANS_SEC_RE_DOM_LOSS_SHARING_DUE_90_FFIEC" hidden="1">"c27111"</definedName>
    <definedName name="IQ_1_4_CONST_LOANS_SEC_RE_DOM_LOSS_SHARING_NON_ACCRUAL_FFIEC" hidden="1">"c27151"</definedName>
    <definedName name="IQ_1_4_CONSTRUCTION_GROSS_LOANS_FFIEC" hidden="1">"c13402"</definedName>
    <definedName name="IQ_1_4_CONSTRUCTION_LL_REC_DOM_FFIEC" hidden="1">"c12899"</definedName>
    <definedName name="IQ_1_4_CONSTRUCTION_LOAN_COMMITMENTS_UNUSED_FFIEC" hidden="1">"c13244"</definedName>
    <definedName name="IQ_1_4_CONSTRUCTION_LOANS_DUE_30_89_FFIEC" hidden="1">"c13257"</definedName>
    <definedName name="IQ_1_4_CONSTRUCTION_LOANS_DUE_90_FFIEC" hidden="1">"c13285"</definedName>
    <definedName name="IQ_1_4_CONSTRUCTION_LOANS_NON_ACCRUAL_FFIEC" hidden="1">"c13311"</definedName>
    <definedName name="IQ_1_4_CONSTRUCTION_RISK_BASED_FFIEC" hidden="1">"c13423"</definedName>
    <definedName name="IQ_1_4_DOM_LOSS_SHARING_FFIEC" hidden="1">"c27209"</definedName>
    <definedName name="IQ_1_4_DWELLING_UNITS_CONSTRUCTION_MORTGAGE_LOANS_ADJUSTED_NCOS_TOTAL_THRIFT" hidden="1">"c25200"</definedName>
    <definedName name="IQ_1_4_DWELLING_UNITS_CONSTRUCTION_MORTGAGE_LOANS_GVA_CHARGE_OFFS_THRIFT" hidden="1">"c25115"</definedName>
    <definedName name="IQ_1_4_DWELLING_UNITS_CONSTRUCTION_MORTGAGE_LOANS_GVA_RECOVERIES_THRIFT" hidden="1">"c25146"</definedName>
    <definedName name="IQ_1_4_DWELLING_UNITS_CONSTRUCTION_MORTGAGE_LOANS_SVA_PROVISIONS_TRANSFERS_FROM_GVA_TOTAL_THRIFT" hidden="1">"c25169"</definedName>
    <definedName name="IQ_1_4_DWELLING_UNITS_REVOLVING_OPEN_END_PML_ADJUSTED_NCOS_TOTAL_THRIFT" hidden="1">"c25203"</definedName>
    <definedName name="IQ_1_4_DWELLING_UNITS_REVOLVING_OPEN_END_PML_GVA_CHARGE_OFFS_THRIFT" hidden="1">"c25118"</definedName>
    <definedName name="IQ_1_4_DWELLING_UNITS_REVOLVING_OPEN_END_PML_GVA_RECOVERIES_THRIFT" hidden="1">"c25149"</definedName>
    <definedName name="IQ_1_4_DWELLING_UNITS_REVOLVING_OPEN_END_PML_SVA_PROVISIONS_TRANSFERS_FROM_GVA_TOTAL_THRIFT" hidden="1">"c25172"</definedName>
    <definedName name="IQ_1_4_DWELLING_UNITS_SECURED_FIRST_LIENS_IN_PROCESS_FORECLOSURE_THRIFT" hidden="1">"c25305"</definedName>
    <definedName name="IQ_1_4_DWELLING_UNITS_SECURED_FIRST_LIENS_PML_ADJUSTED_NCOS_TOTAL_THRIFT" hidden="1">"c25204"</definedName>
    <definedName name="IQ_1_4_DWELLING_UNITS_SECURED_FIRST_LIENS_PML_GVA_CHARGE_OFFS_THRIFT" hidden="1">"c25119"</definedName>
    <definedName name="IQ_1_4_DWELLING_UNITS_SECURED_FIRST_LIENS_PML_GVA_RECOVERIES_THRIFT" hidden="1">"c25150"</definedName>
    <definedName name="IQ_1_4_DWELLING_UNITS_SECURED_FIRST_LIENS_PML_SVA_PROVISIONS_TRANSFERS_FROM_GVA_TOTAL_THRIFT" hidden="1">"c25173"</definedName>
    <definedName name="IQ_1_4_DWELLING_UNITS_SECURED_JUNIOR_LIENS_IN_PROCESS_FORECLOSURE_THRIFT" hidden="1">"c25306"</definedName>
    <definedName name="IQ_1_4_DWELLING_UNITS_SECURED_JUNIOR_LIENS_PML_ADJUSTED_NCOS_TOTAL_THRIFT" hidden="1">"c25205"</definedName>
    <definedName name="IQ_1_4_DWELLING_UNITS_SECURED_JUNIOR_LIENS_PML_GVA_CHARGE_OFFS_THRIFT" hidden="1">"c25120"</definedName>
    <definedName name="IQ_1_4_DWELLING_UNITS_SECURED_JUNIOR_LIENS_PML_GVA_RECOVERIES_THRIFT" hidden="1">"c25151"</definedName>
    <definedName name="IQ_1_4_DWELLING_UNITS_SECURED_JUNIOR_LIENS_PML_SVA_PROVISIONS_TRANSFERS_FROM_GVA_TOTAL_THRIFT" hidden="1">"c25174"</definedName>
    <definedName name="IQ_1_4_DWELLING_UNITS_SECURED_REVOLVING_OPEN_END_LOANS_IN_PROCESS_FORECLOSURE_THRIFT" hidden="1">"c25304"</definedName>
    <definedName name="IQ_1_4_FAMILY_CONSTRUCTION_LOANS_GROSS_LOANS_THRIFT" hidden="1">"c25727"</definedName>
    <definedName name="IQ_1_4_FAMILY_CONSTRUCTION_LOANS_RISK_BASED_CAPITAL_THRIFT" hidden="1">"c25712"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RES_DOM_FFIEC" hidden="1">"c15269"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100_PCT_RISK_WEIGHT_TOTAL_THRIFT" hidden="1">"c25073"</definedName>
    <definedName name="IQ_20_PCT_RISK_WEIGHT_TOTAL_THRIFT" hidden="1">"c25062"</definedName>
    <definedName name="IQ_30YR_FIXED_MORTGAGE" hidden="1">"c6811"</definedName>
    <definedName name="IQ_30YR_FIXED_MORTGAGE_FC" hidden="1">"c7691"</definedName>
    <definedName name="IQ_30YR_FIXED_MORTGAGE_POP" hidden="1">"c7031"</definedName>
    <definedName name="IQ_30YR_FIXED_MORTGAGE_POP_FC" hidden="1">"c7911"</definedName>
    <definedName name="IQ_30YR_FIXED_MORTGAGE_YOY" hidden="1">"c7251"</definedName>
    <definedName name="IQ_30YR_FIXED_MORTGAGE_YOY_FC" hidden="1">"c8131"</definedName>
    <definedName name="IQ_50_PCT_RISK_WEIGHT_TOTAL_THRIFT" hidden="1">"c25069"</definedName>
    <definedName name="IQ_ABS_AFS_AMORT_COST_FFIEC" hidden="1">"c20499"</definedName>
    <definedName name="IQ_ABS_AFS_FAIR_VAL_FFIEC" hidden="1">"c20464"</definedName>
    <definedName name="IQ_ABS_AVAIL_SALE_FFIEC" hidden="1">"c12802"</definedName>
    <definedName name="IQ_ABS_FFIEC" hidden="1">"c12788"</definedName>
    <definedName name="IQ_ABS_HTM_AMORT_COST_FFIEC" hidden="1">"c20447"</definedName>
    <definedName name="IQ_ABS_HTM_FAIR_VAL_FFIEC" hidden="1">"c20482"</definedName>
    <definedName name="IQ_ABS_INVEST_SECURITIES_FFIEC" hidden="1">"c13461"</definedName>
    <definedName name="IQ_ABS_PERIOD" hidden="1">"c13823"</definedName>
    <definedName name="IQ_ABS_PERIOD_EST" hidden="1">"c16122"</definedName>
    <definedName name="IQ_ACCEPTANCES_OTHER_FOREIGN_BANKS_LL_REC_FFIEC" hidden="1">"c15293"</definedName>
    <definedName name="IQ_ACCEPTANCES_OTHER_US_BANKS_LL_REC_FFIEC" hidden="1">"c15292"</definedName>
    <definedName name="IQ_ACCOUNT_CHANGE" localSheetId="7" hidden="1">"c1449"</definedName>
    <definedName name="IQ_ACCOUNT_CHANGE" localSheetId="8" hidden="1">"c1449"</definedName>
    <definedName name="IQ_ACCOUNT_CHANGE" hidden="1">"c1449"</definedName>
    <definedName name="IQ_ACCOUNT_CHANGE2" hidden="1">"c413"</definedName>
    <definedName name="IQ_ACCOUNT_CODE_INTEREST_PENALTIES" hidden="1">"c15741"</definedName>
    <definedName name="IQ_ACCOUNTING_FFIEC" hidden="1">"c13054"</definedName>
    <definedName name="IQ_ACCOUNTING_STANDARD" hidden="1">"c4539"</definedName>
    <definedName name="IQ_ACCOUNTING_STANDARD_CIQ_COL" hidden="1">"c11739"</definedName>
    <definedName name="IQ_ACCOUNTS_PAY" localSheetId="7" hidden="1">"c1343"</definedName>
    <definedName name="IQ_ACCOUNTS_PAY" localSheetId="8" hidden="1">"c1343"</definedName>
    <definedName name="IQ_ACCOUNTS_PAY" hidden="1">"c1343"</definedName>
    <definedName name="IQ_ACCOUNTS_PAY2" hidden="1">"c32"</definedName>
    <definedName name="IQ_ACCOUNTS_PAYABLE_THRIFT" hidden="1">"c24910"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localSheetId="7" hidden="1">"c1341"</definedName>
    <definedName name="IQ_ACCRUED_EXP" localSheetId="8" hidden="1">"c1341"</definedName>
    <definedName name="IQ_ACCRUED_EXP" hidden="1">"c1341"</definedName>
    <definedName name="IQ_ACCRUED_EXP2" hidden="1">"c8"</definedName>
    <definedName name="IQ_ACCRUED_INT_PAYABLE_DEPOSITS_THRIFT" hidden="1">"c24907"</definedName>
    <definedName name="IQ_ACCRUED_INT_PAYABLE_THRIFT" hidden="1">"c24906"</definedName>
    <definedName name="IQ_ACCRUED_INT_RECEIVABLE_MBS_THRIFT" hidden="1">"c24836"</definedName>
    <definedName name="IQ_ACCRUED_INT_RECEIVABLE_THRIFT" hidden="1">"c24827"</definedName>
    <definedName name="IQ_ACCRUED_INTEREST_RECEIVABLE_FFIEC" hidden="1">"c12842"</definedName>
    <definedName name="IQ_ACCRUED_MORTGAGE_INT_RECEIVABLE_THRIFT" hidden="1">"c24849"</definedName>
    <definedName name="IQ_ACCRUED_NON_MORTGAGE_INT_RECEIVABLE_THRIFT" hidden="1">"c24866"</definedName>
    <definedName name="IQ_ACCRUED_TAXES_THRIFT" hidden="1">"c24909"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AMORT_GW" hidden="1">"c17749"</definedName>
    <definedName name="IQ_ACCUM_AMORT_INTAN_ASSETS" hidden="1">"c17747"</definedName>
    <definedName name="IQ_ACCUM_DEP" localSheetId="7" hidden="1">"c1340"</definedName>
    <definedName name="IQ_ACCUM_DEP" localSheetId="8" hidden="1">"c1340"</definedName>
    <definedName name="IQ_ACCUM_DEP" hidden="1">"c1340"</definedName>
    <definedName name="IQ_ACCUMULATED_GAINS_LOSSES_CASH_FLOW_HEDGES_THRIFT" hidden="1">"c24922"</definedName>
    <definedName name="IQ_ACCUMULATED_GAINS_LOSSES_CERTAIN_SEC_THRIFT" hidden="1">"c24921"</definedName>
    <definedName name="IQ_ACCUMULATED_LOSSES_GAINS_CASH_FLOW_HEDGES_ADJUSTED_ASSETS_THRIFT" hidden="1">"c25035"</definedName>
    <definedName name="IQ_ACCUMULATED_LOSSES_GAINS_CASH_FLOW_HEDGES_T1_THRIFT" hidden="1">"c25026"</definedName>
    <definedName name="IQ_ACCUMULATED_PENSION_OBLIGATION" localSheetId="7" hidden="1">"c2244"</definedName>
    <definedName name="IQ_ACCUMULATED_PENSION_OBLIGATION" localSheetId="8" hidden="1">"c2244"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_WIRELESS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COST_SUB" hidden="1">"c15807"</definedName>
    <definedName name="IQ_ACQUISITION_RE_ASSETS" hidden="1">"c1628"</definedName>
    <definedName name="IQ_ACTUAL_PRODUCTION_ALUM" hidden="1">"c9247"</definedName>
    <definedName name="IQ_ACTUAL_PRODUCTION_CATHODE_COP" hidden="1">"c9192"</definedName>
    <definedName name="IQ_ACTUAL_PRODUCTION_COAL" hidden="1">"c9821"</definedName>
    <definedName name="IQ_ACTUAL_PRODUCTION_COP" hidden="1">"c9191"</definedName>
    <definedName name="IQ_ACTUAL_PRODUCTION_DIAM" hidden="1">"c9671"</definedName>
    <definedName name="IQ_ACTUAL_PRODUCTION_GOLD" hidden="1">"c9032"</definedName>
    <definedName name="IQ_ACTUAL_PRODUCTION_IRON" hidden="1">"c9406"</definedName>
    <definedName name="IQ_ACTUAL_PRODUCTION_LEAD" hidden="1">"c9459"</definedName>
    <definedName name="IQ_ACTUAL_PRODUCTION_MANG" hidden="1">"c9512"</definedName>
    <definedName name="IQ_ACTUAL_PRODUCTION_MET_COAL" hidden="1">"c9761"</definedName>
    <definedName name="IQ_ACTUAL_PRODUCTION_MOLYB" hidden="1">"c9724"</definedName>
    <definedName name="IQ_ACTUAL_PRODUCTION_NICK" hidden="1">"c9300"</definedName>
    <definedName name="IQ_ACTUAL_PRODUCTION_PLAT" hidden="1">"c9138"</definedName>
    <definedName name="IQ_ACTUAL_PRODUCTION_SILVER" hidden="1">"c9085"</definedName>
    <definedName name="IQ_ACTUAL_PRODUCTION_STEAM" hidden="1">"c9791"</definedName>
    <definedName name="IQ_ACTUAL_PRODUCTION_TITAN" hidden="1">"c9565"</definedName>
    <definedName name="IQ_ACTUAL_PRODUCTION_URAN" hidden="1">"c9618"</definedName>
    <definedName name="IQ_ACTUAL_PRODUCTION_ZINC" hidden="1">"c9353"</definedName>
    <definedName name="IQ_ACTUAL_THRIFT_INV_PERCENTAGE_MONTH_END_FIRST_MONTH_QUARTER_THRIFT" hidden="1">"c25584"</definedName>
    <definedName name="IQ_ACTUAL_THRIFT_INV_PERCENTAGE_MONTH_END_SECOND_MONTH_QUARTER_THRIFT" hidden="1">"c25585"</definedName>
    <definedName name="IQ_ACTUAL_THRIFT_INV_PERCENTAGE_MONTH_END_THIRD_MONTH_QUARTER_THRIFT" hidden="1">"c25586"</definedName>
    <definedName name="IQ_AD" hidden="1">"c7"</definedName>
    <definedName name="IQ_ADD_PAID_IN" localSheetId="7" hidden="1">"c1344"</definedName>
    <definedName name="IQ_ADD_PAID_IN" localSheetId="8" hidden="1">"c1344"</definedName>
    <definedName name="IQ_ADD_PAID_IN" hidden="1">"c1344"</definedName>
    <definedName name="IQ_ADD_TAX_POSITIONS_CURRENT_YR" hidden="1">"c15733"</definedName>
    <definedName name="IQ_ADD_TAX_POSITIONS_PRIOR_YRS" hidden="1">"c15735"</definedName>
    <definedName name="IQ_ADDIN" hidden="1">"AUTO"</definedName>
    <definedName name="IQ_ADDITIONAL_NON_INT_INC_FDIC" hidden="1">"c6574"</definedName>
    <definedName name="IQ_ADDITIONS_NON_ACCRUAL_ASSET_DURING_QTR_FFIEC" hidden="1">"c15349"</definedName>
    <definedName name="IQ_ADJ_AVG_BANK_ASSETS" hidden="1">"c2671"</definedName>
    <definedName name="IQ_ADJUSTABLE_RATE_LOANS_FDIC" hidden="1">"c6375"</definedName>
    <definedName name="IQ_ADJUSTED_NAV_COVERED" hidden="1">"c9963"</definedName>
    <definedName name="IQ_ADJUSTED_NAV_GROUP" hidden="1">"c9949"</definedName>
    <definedName name="IQ_ADJUSTED_OPERATING_INCOME_AVG_ASSETS_THRIFT" hidden="1">"c25651"</definedName>
    <definedName name="IQ_ADJUSTED_TOTAL_ASSETS_ADJUSTED_ASSETS_THRIFT" hidden="1">"c25038"</definedName>
    <definedName name="IQ_ADJUSTMENTS_GVA_THRIFT" hidden="1">"c25095"</definedName>
    <definedName name="IQ_ADJUSTMENTS_SVA_THRIFT" hidden="1">"c25102"</definedName>
    <definedName name="IQ_ADJUSTMENTS_TVA_THRIFT" hidden="1">"c25109"</definedName>
    <definedName name="IQ_ADMIN_RATIO" hidden="1">"c2784"</definedName>
    <definedName name="IQ_ADVANCES_FROM_FHLB_THRIFT" hidden="1">"c24900"</definedName>
    <definedName name="IQ_ADVANCES_TAXES_INSURANCE_THRIFT" hidden="1">"c24850"</definedName>
    <definedName name="IQ_ADVERTISING" hidden="1">"c2246"</definedName>
    <definedName name="IQ_ADVERTISING_MARKETING" hidden="1">"c1566"</definedName>
    <definedName name="IQ_ADVERTISING_MARKETING_EXPENSES_FFIEC" hidden="1">"c13048"</definedName>
    <definedName name="IQ_AE" hidden="1">"c8"</definedName>
    <definedName name="IQ_AE_BNK" hidden="1">"c9"</definedName>
    <definedName name="IQ_AE_BR" hidden="1">"c10"</definedName>
    <definedName name="IQ_AE_CM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FFO" hidden="1">"c8756"</definedName>
    <definedName name="IQ_AFFO_DILUTED" hidden="1">"c16188"</definedName>
    <definedName name="IQ_AFFO_PER_SHARE_BASIC" hidden="1">"c8869"</definedName>
    <definedName name="IQ_AFFO_PER_SHARE_DILUTED" hidden="1">"c8870"</definedName>
    <definedName name="IQ_AFS_INVEST_SECURITIES_FFIEC" hidden="1">"c13456"</definedName>
    <definedName name="IQ_AFS_SEC_AMOUNTS_NETTED_THRIFT" hidden="1">"c25492"</definedName>
    <definedName name="IQ_AFS_SEC_INV_SEC_THRIFT" hidden="1">"c25670"</definedName>
    <definedName name="IQ_AFS_SEC_LEVEL_1_THRIFT" hidden="1">"c25488"</definedName>
    <definedName name="IQ_AFS_SEC_LEVEL_2_THRIFT" hidden="1">"c25489"</definedName>
    <definedName name="IQ_AFS_SEC_LEVEL_3_THRIFT" hidden="1">"c25490"</definedName>
    <definedName name="IQ_AFS_SEC_THRIFT" hidden="1">"c24933"</definedName>
    <definedName name="IQ_AFS_SEC_TIER_1_CAPITAL_THRIFT" hidden="1">"c25630"</definedName>
    <definedName name="IQ_AFS_SEC_TOTAL_AFTER_NETTING_THRIFT" hidden="1">"c25493"</definedName>
    <definedName name="IQ_AFS_SEC_TOTAL_BEFORE_NETTING_THRIFT" hidden="1">"c25491"</definedName>
    <definedName name="IQ_AFS_SECURITIES_TIER_1_FFIEC" hidden="1">"c13343"</definedName>
    <definedName name="IQ_AFTER_TAX_INCOME_FDIC" hidden="1">"c6583"</definedName>
    <definedName name="IQ_AG_PROD_FARM_LOANS_DOM_QUARTERLY_AVG_FFIEC" hidden="1">"c15477"</definedName>
    <definedName name="IQ_AGENCY" hidden="1">"c8960"</definedName>
    <definedName name="IQ_AGENCY_INVEST_SECURITIES_FFIEC" hidden="1">"c13458"</definedName>
    <definedName name="IQ_AGG_BANK_OVER_TOTAL" hidden="1">"c24684"</definedName>
    <definedName name="IQ_AGG_BANK_SHARES" hidden="1">"c24686"</definedName>
    <definedName name="IQ_AGG_BANK_VALUE" hidden="1">"c24685"</definedName>
    <definedName name="IQ_AGG_COMPANY_FOUNDATION_OVER_TOTAL" hidden="1">"c13769"</definedName>
    <definedName name="IQ_AGG_COMPANY_FOUNDATION_SHARES" hidden="1">"c13783"</definedName>
    <definedName name="IQ_AGG_COMPANY_FOUNDATION_VALUE" hidden="1">"c13776"</definedName>
    <definedName name="IQ_AGG_CORPORATE_OVER_TOTAL" hidden="1">"c13767"</definedName>
    <definedName name="IQ_AGG_CORPORATE_SHARES" hidden="1">"c13781"</definedName>
    <definedName name="IQ_AGG_CORPORATE_VALUE" hidden="1">"c13774"</definedName>
    <definedName name="IQ_AGG_ENDOWMENT_OVER_TOTAL" hidden="1">"c24678"</definedName>
    <definedName name="IQ_AGG_ENDOWMENT_SHARES" hidden="1">"c24680"</definedName>
    <definedName name="IQ_AGG_ENDOWMENT_VALUE" hidden="1">"c24679"</definedName>
    <definedName name="IQ_AGG_ESOP_OVER_TOTAL" hidden="1">"c13768"</definedName>
    <definedName name="IQ_AGG_ESOP_SHARES" hidden="1">"c13782"</definedName>
    <definedName name="IQ_AGG_ESOP_VALUE" hidden="1">"c13775"</definedName>
    <definedName name="IQ_AGG_FAMILY_OVER_TOTAL" hidden="1">"c24687"</definedName>
    <definedName name="IQ_AGG_FAMILY_SHARES" hidden="1">"c24689"</definedName>
    <definedName name="IQ_AGG_FAMILY_VALUE" hidden="1">"c24688"</definedName>
    <definedName name="IQ_AGG_FOUNDATION_SHARES" hidden="1">"c24731"</definedName>
    <definedName name="IQ_AGG_FOUNDATION_VALUE" hidden="1">"c24732"</definedName>
    <definedName name="IQ_AGG_HEDGEFUND_OVER_TOTAL" hidden="1">"c13771"</definedName>
    <definedName name="IQ_AGG_HEDGEFUND_SHARES" hidden="1">"c13785"</definedName>
    <definedName name="IQ_AGG_HEDGEFUND_VALUE" hidden="1">"c13778"</definedName>
    <definedName name="IQ_AGG_INSIDER_OVER_TOTAL" hidden="1">"c1581"</definedName>
    <definedName name="IQ_AGG_INSIDER_SHARES" hidden="1">"c13780"</definedName>
    <definedName name="IQ_AGG_INSIDER_VALUE" hidden="1">"c13773"</definedName>
    <definedName name="IQ_AGG_INSTITUTION_HEDGEFUND_OVER_TOTAL" hidden="1">"c24711"</definedName>
    <definedName name="IQ_AGG_INSTITUTION_HEDGEFUND_SHARES" hidden="1">"c24713"</definedName>
    <definedName name="IQ_AGG_INSTITUTION_HEDGEFUND_VALUE" hidden="1">"c24712"</definedName>
    <definedName name="IQ_AGG_INSTITUTION_SOVEREIGN_OVER_TOTAL" hidden="1">"c24717"</definedName>
    <definedName name="IQ_AGG_INSTITUTION_SOVEREIGN_SHARES" hidden="1">"c24719"</definedName>
    <definedName name="IQ_AGG_INSTITUTION_SOVEREIGN_VALUE" hidden="1">"c24718"</definedName>
    <definedName name="IQ_AGG_INSTITUTION_UNCLASSIFIED_OVER_TOTAL" hidden="1">"c24696"</definedName>
    <definedName name="IQ_AGG_INSTITUTION_UNCLASSIFIED_SHARES" hidden="1">"c24698"</definedName>
    <definedName name="IQ_AGG_INSTITUTION_UNCLASSIFIED_VALUE" hidden="1">"c24697"</definedName>
    <definedName name="IQ_AGG_INSTITUTION_VC_PE_OVER_TOTAL" hidden="1">"c24714"</definedName>
    <definedName name="IQ_AGG_INSTITUTION_VC_PE_SHARES" hidden="1">"c24716"</definedName>
    <definedName name="IQ_AGG_INSTITUTION_VC_PE_VALUE" hidden="1">"c24715"</definedName>
    <definedName name="IQ_AGG_INSTITUTIONAL_OVER_TOTAL" hidden="1">"c1580"</definedName>
    <definedName name="IQ_AGG_INSTITUTIONAL_SHARES" hidden="1">"c13779"</definedName>
    <definedName name="IQ_AGG_INSTITUTIONAL_VALUE" hidden="1">"c13772"</definedName>
    <definedName name="IQ_AGG_INSURANCE_OVER_TOTAL" hidden="1">"c24681"</definedName>
    <definedName name="IQ_AGG_INSURANCE_SHARES" hidden="1">"c24683"</definedName>
    <definedName name="IQ_AGG_INSURANCE_VALUE" hidden="1">"c24682"</definedName>
    <definedName name="IQ_AGG_INV_MANAGERS_OVER_TOTAL" hidden="1">"c26967"</definedName>
    <definedName name="IQ_AGG_INV_MANAGERS_SHARES" hidden="1">"c26968"</definedName>
    <definedName name="IQ_AGG_INV_MANAGERS_VALUE" hidden="1">"c26969"</definedName>
    <definedName name="IQ_AGG_MONEY_MANAGERS_OVER_TOTAL" hidden="1">"c24669"</definedName>
    <definedName name="IQ_AGG_MONEY_MANAGERS_SHARES" hidden="1">"c24671"</definedName>
    <definedName name="IQ_AGG_MONEY_MANAGERS_VALUE" hidden="1">"c24670"</definedName>
    <definedName name="IQ_AGG_OTHER_OVER_TOTAL" hidden="1">"c13770"</definedName>
    <definedName name="IQ_AGG_OTHER_SHARES" hidden="1">"c13784"</definedName>
    <definedName name="IQ_AGG_OTHER_VALUE" hidden="1">"c13777"</definedName>
    <definedName name="IQ_AGG_PENSION_OVER_TOTAL" hidden="1">"c24675"</definedName>
    <definedName name="IQ_AGG_PENSION_SHARES" hidden="1">"c24677"</definedName>
    <definedName name="IQ_AGG_PENSION_VALUE" hidden="1">"c24676"</definedName>
    <definedName name="IQ_AGG_REIT_OVER_TOTAL" hidden="1">"c24693"</definedName>
    <definedName name="IQ_AGG_REIT_SHARES" hidden="1">"c24695"</definedName>
    <definedName name="IQ_AGG_REIT_VALUE" hidden="1">"c24694"</definedName>
    <definedName name="IQ_AGG_SOVEREIGN_OVER_TOTAL" hidden="1">"c24690"</definedName>
    <definedName name="IQ_AGG_SOVEREIGN_SHARES" hidden="1">"c24692"</definedName>
    <definedName name="IQ_AGG_SOVEREIGN_VALUE" hidden="1">"c24691"</definedName>
    <definedName name="IQ_AGG_STATE_OVER_TOTAL" hidden="1">"c24705"</definedName>
    <definedName name="IQ_AGG_STATE_SHARES" hidden="1">"c24707"</definedName>
    <definedName name="IQ_AGG_STATE_VALUE" hidden="1">"c24706"</definedName>
    <definedName name="IQ_AGG_STRATEGIC_CORP_PRIVATE_OVER_TOTAL" hidden="1">"c24702"</definedName>
    <definedName name="IQ_AGG_STRATEGIC_CORP_PRIVATE_SHARES" hidden="1">"c24704"</definedName>
    <definedName name="IQ_AGG_STRATEGIC_CORP_PRIVATE_VALUE" hidden="1">"c24703"</definedName>
    <definedName name="IQ_AGG_STRATEGIC_CORP_PUBLIC_OVER_TOTAL" hidden="1">"c24699"</definedName>
    <definedName name="IQ_AGG_STRATEGIC_CORP_PUBLIC_SHARES" hidden="1">"c24701"</definedName>
    <definedName name="IQ_AGG_STRATEGIC_CORP_PUBLIC_VALUE" hidden="1">"c24700"</definedName>
    <definedName name="IQ_AGG_STRATEGIC_HEDGEFUND_OVER_TOTAL" hidden="1">"c24726"</definedName>
    <definedName name="IQ_AGG_STRATEGIC_HEDGEFUND_SHARES" hidden="1">"c24728"</definedName>
    <definedName name="IQ_AGG_STRATEGIC_HEDGEFUND_VALUE" hidden="1">"c24727"</definedName>
    <definedName name="IQ_AGG_STRATEGIC_OVER_TOTAL" hidden="1">"c24708"</definedName>
    <definedName name="IQ_AGG_STRATEGIC_SHARES" hidden="1">"c24710"</definedName>
    <definedName name="IQ_AGG_STRATEGIC_SWF_OVER_TOTAL" hidden="1">"c24723"</definedName>
    <definedName name="IQ_AGG_STRATEGIC_SWF_SHARES" hidden="1">"c24725"</definedName>
    <definedName name="IQ_AGG_STRATEGIC_SWF_VALUE" hidden="1">"c24724"</definedName>
    <definedName name="IQ_AGG_STRATEGIC_VALUE" hidden="1">"c24709"</definedName>
    <definedName name="IQ_AGG_STRATEGIC_VC_PE_OVER_TOTAL" hidden="1">"c24720"</definedName>
    <definedName name="IQ_AGG_STRATEGIC_VC_PE_SHARES" hidden="1">"c24722"</definedName>
    <definedName name="IQ_AGG_STRATEGIC_VC_PE_VALUE" hidden="1">"c24721"</definedName>
    <definedName name="IQ_AGG_VC_PE_OVER_TOTAL" hidden="1">"c24672"</definedName>
    <definedName name="IQ_AGG_VC_PE_SHARES" hidden="1">"c24674"</definedName>
    <definedName name="IQ_AGG_VC_PE_VALUE" hidden="1">"c24673"</definedName>
    <definedName name="IQ_AGGREGATE_AMT_ALL_EXTENSIONS_CREDIT_THRIFT" hidden="1">"c25589"</definedName>
    <definedName name="IQ_AGGREGATE_INV_IN_SERVICE_CORPORATIONS_THRIFT" hidden="1">"c25588"</definedName>
    <definedName name="IQ_AGRICULTURAL_GROSS_LOANS_FFIEC" hidden="1">"c13413"</definedName>
    <definedName name="IQ_AGRICULTURAL_LOANS_FOREIGN_FFIEC" hidden="1">"c13481"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GRICULTURAL_RISK_BASED_FFIEC" hidden="1">"c13434"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AVG_PSGR_FARE" hidden="1">"c10029"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NUMBER_HRS_FLOWN" hidden="1">"c10037"</definedName>
    <definedName name="IQ_AIR_NUMBER_OPERATING_AIRCRAFT_AVG" hidden="1">"c10035"</definedName>
    <definedName name="IQ_AIR_NUMBER_TRIPS_FLOWN" hidden="1">"c10030"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EX_PER_ASK_EXCL_FUEL" hidden="1">"c10034"</definedName>
    <definedName name="IQ_AIR_OPEX_PER_ASM_EXCL_FUEL" hidden="1">"c10033"</definedName>
    <definedName name="IQ_AIR_OPTIONS" hidden="1">"c2837"</definedName>
    <definedName name="IQ_AIR_ORDERS" hidden="1">"c2836"</definedName>
    <definedName name="IQ_AIR_OWNED" hidden="1">"c2832"</definedName>
    <definedName name="IQ_AIR_PERCENTAGE_SALES_VIA_INTERNET" hidden="1">"c10036"</definedName>
    <definedName name="IQ_AIR_PSGR_HAUL_AVG_LENGTH_KM" hidden="1">"c10032"</definedName>
    <definedName name="IQ_AIR_PSGR_HAUL_AVG_LENGTH_MILES" hidden="1">"c10031"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IRCRAFT_RENT" hidden="1">"c17872"</definedName>
    <definedName name="IQ_ALL_OTHER_ASSETS_ELIGIBLE_100_PCT_RISK_WEIGHT_THRIFT" hidden="1">"c25072"</definedName>
    <definedName name="IQ_ALL_OTHER_DEPOSITS_FOREIGN_DEP_FFIEC" hidden="1">"c15347"</definedName>
    <definedName name="IQ_ALL_OTHER_FINANCIAL_ASSETS_AMOUNTS_NETTED_THRIFT" hidden="1">"c25516"</definedName>
    <definedName name="IQ_ALL_OTHER_FINANCIAL_ASSETS_LEVEL_1_THRIFT" hidden="1">"c25512"</definedName>
    <definedName name="IQ_ALL_OTHER_FINANCIAL_ASSETS_LEVEL_2_THRIFT" hidden="1">"c25513"</definedName>
    <definedName name="IQ_ALL_OTHER_FINANCIAL_ASSETS_LEVEL_3_THRIFT" hidden="1">"c25514"</definedName>
    <definedName name="IQ_ALL_OTHER_FINANCIAL_ASSETS_TOTAL_AFTER_NETTING_THRIFT" hidden="1">"c25517"</definedName>
    <definedName name="IQ_ALL_OTHER_FINANCIAL_ASSETS_TOTAL_BEFORE_NETTING_THRIFT" hidden="1">"c25515"</definedName>
    <definedName name="IQ_ALL_OTHER_FINANCIAL_LIABILITIES_AMOUNTS_NETTED_THRIFT" hidden="1">"c25558"</definedName>
    <definedName name="IQ_ALL_OTHER_FINANCIAL_LIABILITIES_LEVEL_1_THRIFT" hidden="1">"c25554"</definedName>
    <definedName name="IQ_ALL_OTHER_FINANCIAL_LIABILITIES_LEVEL_2_THRIFT" hidden="1">"c25555"</definedName>
    <definedName name="IQ_ALL_OTHER_FINANCIAL_LIABILITIES_LEVEL_3_THRIFT" hidden="1">"c25556"</definedName>
    <definedName name="IQ_ALL_OTHER_FINANCIAL_LIABILITIES_TOTAL_AFTER_NETTING_THRIFT" hidden="1">"c25559"</definedName>
    <definedName name="IQ_ALL_OTHER_FINANCIAL_LIABILITIES_TOTAL_BEFORE_NETTING_THRIFT" hidden="1">"c25557"</definedName>
    <definedName name="IQ_ALL_OTHER_INVEST_UNCONSOL_SUBS_FFIEC" hidden="1">"c15275"</definedName>
    <definedName name="IQ_ALL_OTHER_LEASES_CHARGE_OFFS_FFIEC" hidden="1">"c13185"</definedName>
    <definedName name="IQ_ALL_OTHER_LEASES_RECOV_FFIEC" hidden="1">"c13207"</definedName>
    <definedName name="IQ_ALL_OTHER_LOANS_CHARGE_OFFS_FFIEC" hidden="1">"c13183"</definedName>
    <definedName name="IQ_ALL_OTHER_LOANS_EXCL_CONSUMER_LL_REC_DOM_FFIEC" hidden="1">"c25857"</definedName>
    <definedName name="IQ_ALL_OTHER_LOANS_EXCL_CONSUMER_LL_REC_FFIEC" hidden="1">"c25853"</definedName>
    <definedName name="IQ_ALL_OTHER_LOANS_LOSS_SHARING_DUE_30_89_FFIEC" hidden="1">"c27085"</definedName>
    <definedName name="IQ_ALL_OTHER_LOANS_LOSS_SHARING_DUE_90_FFIEC" hidden="1">"c27125"</definedName>
    <definedName name="IQ_ALL_OTHER_LOANS_LOSS_SHARING_NON_ACCRUAL_FFIEC" hidden="1">"c27165"</definedName>
    <definedName name="IQ_ALL_OTHER_LOANS_RECOV_FFIEC" hidden="1">"c13205"</definedName>
    <definedName name="IQ_ALL_OTHER_LOANS_RSTRC_DUE_30_89_FFIEC" hidden="1">"c27099"</definedName>
    <definedName name="IQ_ALL_OTHER_LOANS_RSTRC_DUE_90_FFIEC" hidden="1">"c27139"</definedName>
    <definedName name="IQ_ALL_OTHER_LOANS_RSTRC_NON_ACCRUAL_FFIEC" hidden="1">"c27179"</definedName>
    <definedName name="IQ_ALL_OTHER_LOANS_RSTRC_TERMS_FFIEC" hidden="1">"c27030"</definedName>
    <definedName name="IQ_ALL_OTHER_SEC_1_4_DOM_CHARGE_OFFS_FFIEC" hidden="1">"c25842"</definedName>
    <definedName name="IQ_ALL_OTHER_SEC_1_4_DOM_RECOV_FFIEC" hidden="1">"c25843"</definedName>
    <definedName name="IQ_ALL_OTHER_SEC_1_4_DUE_30_89_FFIEC" hidden="1">"c25835"</definedName>
    <definedName name="IQ_ALL_OTHER_SEC_1_4_DUE_90_FFIEC" hidden="1">"c25836"</definedName>
    <definedName name="IQ_ALL_OTHER_SEC_1_4_NON_ACCRUAL_FFIEC" hidden="1">"c25837"</definedName>
    <definedName name="IQ_ALL_OTHER_TRADING_LIABILITIES_DOM_FFIEC" hidden="1">"c12942"</definedName>
    <definedName name="IQ_ALL_OTHER_UNUSED_FFIEC" hidden="1">"c25861"</definedName>
    <definedName name="IQ_ALLOW_BORROW_CONST" hidden="1">"c15"</definedName>
    <definedName name="IQ_ALLOW_CONST" localSheetId="7" hidden="1">"c1342"</definedName>
    <definedName name="IQ_ALLOW_CONST" localSheetId="8" hidden="1">"c1342"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_LL_LOSSES_FFIEC" hidden="1">"c12810"</definedName>
    <definedName name="IQ_ALLOW_MORTGAGE_LL_LOSSES_THRIFT" hidden="1">"c24851"</definedName>
    <definedName name="IQ_ALLOW_NON_MORTGAGE_LOAN_LL_THRIFT" hidden="1">"c24867"</definedName>
    <definedName name="IQ_ALLOWABLE_T2_CAPITAL_FFIEC" hidden="1">"c13150"</definedName>
    <definedName name="IQ_ALLOWABLE_TIER_2_CAPITAL_T2_THRIFT" hidden="1">"c25046"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AMT_INCLUDED_IN_ALLOWANCE_LOAN_LEASE_LOSSES_PURCHASED_CREDIT_IMPAIRED_LOANS_THRIFT" hidden="1">"c25239"</definedName>
    <definedName name="IQ_ALLOWANCE_CHARGE_OFFS" hidden="1">"c24"</definedName>
    <definedName name="IQ_ALLOWANCE_CREDIT_LOSSES_OFF_BS_FFIEC" hidden="1">"c12871"</definedName>
    <definedName name="IQ_ALLOWANCE_LL_LOSSES_T2_FFIEC" hidden="1">"c13146"</definedName>
    <definedName name="IQ_ALLOWANCE_NON_PERF_LOANS" hidden="1">"c25"</definedName>
    <definedName name="IQ_ALLOWANCE_TOTAL_LOANS" hidden="1">"c26"</definedName>
    <definedName name="IQ_ALLOWANCES_LL_LOSSES_T2_THRIFT" hidden="1">"c25043"</definedName>
    <definedName name="IQ_ALPHA_SCORE_DATE" hidden="1">"c25923"</definedName>
    <definedName name="IQ_AMENDED_BALANCE_PREVIOUS_YR_FDIC" hidden="1">"c6499"</definedName>
    <definedName name="IQ_AMORT_EXP_IMPAIRMENT_OTHER_INTANGIBLE_ASSETS_FFIEC" hidden="1">"c13026"</definedName>
    <definedName name="IQ_AMORT_EXPENSE_FDIC" hidden="1">"c6677"</definedName>
    <definedName name="IQ_AMORT_LOAN_SERVICING_ASSETS_LIABILITIES_THRIFT" hidden="1">"c24767"</definedName>
    <definedName name="IQ_AMORTIZATION" localSheetId="7" hidden="1">"c1591"</definedName>
    <definedName name="IQ_AMORTIZATION" localSheetId="8" hidden="1">"c1591"</definedName>
    <definedName name="IQ_AMORTIZATION" hidden="1">"c1591"</definedName>
    <definedName name="IQ_AMORTIZED_COST_FDIC" hidden="1">"c6426"</definedName>
    <definedName name="IQ_AMOUNT_FINANCIAL_LOC_CONVEYED_FFIEC" hidden="1">"c13250"</definedName>
    <definedName name="IQ_AMOUNT_PERFORMANCE_LOC_CONVEYED_FFIEC" hidden="1">"c13252"</definedName>
    <definedName name="IQ_AMT_DIRECT_CREDIT_SUBSTITUTES_ASSETS_THRIFT" hidden="1">"c25616"</definedName>
    <definedName name="IQ_AMT_LOW_LEVEL_RECOURSE_RESIDUAL_INTERESTS_BEFORE_RISK_WEIGHTING_THRIFT" hidden="1">"c25074"</definedName>
    <definedName name="IQ_AMT_NONINTEREST_BEARING_TRANSACTION_ACCOUNTS_MORE_THAN_250000_THRIFT" hidden="1">"c25582"</definedName>
    <definedName name="IQ_AMT_OUT" hidden="1">"c2145"</definedName>
    <definedName name="IQ_AMT_RECOURSE_OBLIGATIONS_ASSETS_THRIFT" hidden="1">"c25617"</definedName>
    <definedName name="IQ_AMT_RECOURSE_OBLIGATIONS_LOANS_THRIFT" hidden="1">"c25618"</definedName>
    <definedName name="IQ_AMT_RECOURSE_OBLIGATIONS_LOANS_WHERE_RECOURSE_IS_120_DAYS_LESS_THRIFT" hidden="1">"c25619"</definedName>
    <definedName name="IQ_AMT_RECOURSE_OBLIGATIONS_LOANS_WHERE_RECOURSE_IS_GREATER_THAN_120_DAYS_THRIFT" hidden="1">"c25620"</definedName>
    <definedName name="IQ_AMT_THIS_QUARTER_TROUBLED_DEBT_RESTRUCTURED_THRIFT" hidden="1">"c25229"</definedName>
    <definedName name="IQ_ANALYST_DET_EST" hidden="1">"c12043"</definedName>
    <definedName name="IQ_ANALYST_DET_EST_THOM" hidden="1">"c12071"</definedName>
    <definedName name="IQ_ANALYST_EMAIL" hidden="1">"c13738"</definedName>
    <definedName name="IQ_ANALYST_NAME" hidden="1">"c13736"</definedName>
    <definedName name="IQ_ANALYST_NON_PER_DET_EST" hidden="1">"c12755"</definedName>
    <definedName name="IQ_ANALYST_NON_PER_DET_EST_THOM" hidden="1">"c12759"</definedName>
    <definedName name="IQ_ANALYST_PHONE" hidden="1">"c13737"</definedName>
    <definedName name="IQ_ANALYST_START_DATE" hidden="1">"c13740"</definedName>
    <definedName name="IQ_ANNU_DISTRIBUTION_UNIT" hidden="1">"c3004"</definedName>
    <definedName name="IQ_ANNUAL_DIVIDEND" hidden="1">"c229"</definedName>
    <definedName name="IQ_ANNUAL_PREMIUM_EQUIVALENT_NEW_BUSINESS" hidden="1">"c9972"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NNUITY_SALES_FEES_COMMISSIONS_FFIEC" hidden="1">"c13007"</definedName>
    <definedName name="IQ_AOCI_THRIFT" hidden="1">"c24920"</definedName>
    <definedName name="IQ_AP" hidden="1">"c32"</definedName>
    <definedName name="IQ_AP_BNK" hidden="1">"c33"</definedName>
    <definedName name="IQ_AP_BR" hidden="1">"c34"</definedName>
    <definedName name="IQ_AP_CM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PIC_THRIFT" hidden="1">"c24918"</definedName>
    <definedName name="IQ_APPLICABLE_INCOME_TAXES_AVG_ASSETS_THRIFT" hidden="1">"c25657"</definedName>
    <definedName name="IQ_APPLICABLE_INCOME_TAXES_FTE_FFIEC" hidden="1">"c13853"</definedName>
    <definedName name="IQ_AR" hidden="1">"c40"</definedName>
    <definedName name="IQ_AR_BR" hidden="1">"c41"</definedName>
    <definedName name="IQ_AR_CM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RPU_ANALOG_CABLE" hidden="1">"c2864"</definedName>
    <definedName name="IQ_ARPU_BASIC_CABLE" hidden="1">"c2866"</definedName>
    <definedName name="IQ_ARPU_BBAND" hidden="1">"c2867"</definedName>
    <definedName name="IQ_ARPU_DIG_CABLE" hidden="1">"c2865"</definedName>
    <definedName name="IQ_ARPU_PHONE" hidden="1">"c2868"</definedName>
    <definedName name="IQ_ARPU_POSTPAID_WIRELESS" hidden="1">"c15758"</definedName>
    <definedName name="IQ_ARPU_PREPAID_WIRELESS" hidden="1">"c15759"</definedName>
    <definedName name="IQ_ARPU_RETAIL_WIRELESS" hidden="1">"c15760"</definedName>
    <definedName name="IQ_ARPU_SATELLITE" hidden="1">"c15790"</definedName>
    <definedName name="IQ_ARPU_TOTAL" hidden="1">"c2869"</definedName>
    <definedName name="IQ_ARPU_WHOLESALE_WIRELESS" hidden="1">"c15761"</definedName>
    <definedName name="IQ_ARPU_WIRELESS" hidden="1">"c2126"</definedName>
    <definedName name="IQ_ASKPRICE" hidden="1">"c13927"</definedName>
    <definedName name="IQ_ASSET_BACKED_FDIC" hidden="1">"c6301"</definedName>
    <definedName name="IQ_ASSET_BACKED_SEC_INV_SEC_THRIFT" hidden="1">"c25674"</definedName>
    <definedName name="IQ_ASSET_MANAGED_GROWTH_RATE" hidden="1">"c20434"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CM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CM" hidden="1">"c50"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SUPPLE" hidden="1">"c13812"</definedName>
    <definedName name="IQ_ASSET_WRITEDOWN_UTI" hidden="1">"c61"</definedName>
    <definedName name="IQ_ASSETS_AP" hidden="1">"c8883"</definedName>
    <definedName name="IQ_ASSETS_AP_ABS" hidden="1">"c8902"</definedName>
    <definedName name="IQ_ASSETS_CAP_LEASE_DEPR" hidden="1">"c2068"</definedName>
    <definedName name="IQ_ASSETS_CAP_LEASE_GROSS" hidden="1">"c2069"</definedName>
    <definedName name="IQ_ASSETS_EXCLUDED_PURPOSES_OTS_ASSESSMENT_COMPLEXITY_COMPONENT_MANAGED_ASSETS_THRIFT" hidden="1">"c25356"</definedName>
    <definedName name="IQ_ASSETS_EXCLUDED_PURPOSES_OTS_ASSESSMENT_COMPLEXITY_COMPONENT_NONMANAGED_ASSETS_THRIFT" hidden="1">"c25378"</definedName>
    <definedName name="IQ_ASSETS_FAIR_VALUE" hidden="1">"c13843"</definedName>
    <definedName name="IQ_ASSETS_HELD_FDIC" hidden="1">"c6305"</definedName>
    <definedName name="IQ_ASSETS_HFS_THRIFT" hidden="1">"c24934"</definedName>
    <definedName name="IQ_ASSETS_LEVEL_1" hidden="1">"c13839"</definedName>
    <definedName name="IQ_ASSETS_LEVEL_2" hidden="1">"c13840"</definedName>
    <definedName name="IQ_ASSETS_LEVEL_3" hidden="1">"c13841"</definedName>
    <definedName name="IQ_ASSETS_LOSS_SHARING_DEBT_SEC_FFIEC" hidden="1">"c25867"</definedName>
    <definedName name="IQ_ASSETS_LOSS_SHARING_FFIEC" hidden="1">"c25864"</definedName>
    <definedName name="IQ_ASSETS_LOSS_SHARING_LL_FFIEC" hidden="1">"c25865"</definedName>
    <definedName name="IQ_ASSETS_LOSS_SHARING_OREO_FFIEC" hidden="1">"c25866"</definedName>
    <definedName name="IQ_ASSETS_LOSS_SHARING_OTHER_FFIEC" hidden="1">"c25868"</definedName>
    <definedName name="IQ_ASSETS_NAME_AP" hidden="1">"c8921"</definedName>
    <definedName name="IQ_ASSETS_NAME_AP_ABS" hidden="1">"c8940"</definedName>
    <definedName name="IQ_ASSETS_NETTING_OTHER_ADJUSTMENTS" hidden="1">"c13842"</definedName>
    <definedName name="IQ_ASSETS_NON_INCLUDABLE_SUBS_ADJUSTED_ASSETS_THRIFT" hidden="1">"c25031"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PER_EMPLOYEE_THRIFT" hidden="1">"c25783"</definedName>
    <definedName name="IQ_ASSETS_REPRICE_ASSETS_TOT_FFIEC" hidden="1">"c13454"</definedName>
    <definedName name="IQ_ASSETS_RISK_WEIGHT_THRIFT" hidden="1">"c25076"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ETS_UNDER_ADMINISTRATION" hidden="1">"c20432"</definedName>
    <definedName name="IQ_ASSIGNED_RESERVES_COAL" hidden="1">"c15912"</definedName>
    <definedName name="IQ_ASSIGNED_RESERVES_TO_TOTAL_RESERVES_COAL" hidden="1">"c15955"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LOSSES" hidden="1">"c15870"</definedName>
    <definedName name="IQ_ASSUMED_PC_EARNED" hidden="1">"c2746"</definedName>
    <definedName name="IQ_ASSUMED_PREMIUMS_EARNED_GROSS_PREMIUMS_EARNED" hidden="1">"c15886"</definedName>
    <definedName name="IQ_ASSUMED_PREMIUMS_WRITTEN_GROSS_PREMIUMS_WRITTEN" hidden="1">"c15884"</definedName>
    <definedName name="IQ_ASSUMED_WRITTEN" hidden="1">"c2725"</definedName>
    <definedName name="IQ_ATM_FEES_FFIEC" hidden="1">"c13042"</definedName>
    <definedName name="IQ_ATM_INTERCHANGE_EXPENSES_FFIEC" hidden="1">"c13056"</definedName>
    <definedName name="IQ_AUDITOR_NAME" hidden="1">"c1539"</definedName>
    <definedName name="IQ_AUDITOR_OPINION" hidden="1">"c1540"</definedName>
    <definedName name="IQ_AUM" hidden="1">"c10043"</definedName>
    <definedName name="IQ_AUM_ACQUISITIONS_TRANSFERS" hidden="1">"c20415"</definedName>
    <definedName name="IQ_AUM_AVERAGE" hidden="1">"c20418"</definedName>
    <definedName name="IQ_AUM_BOP" hidden="1">"c20409"</definedName>
    <definedName name="IQ_AUM_CASH_FLOWS_DIVIDENDS" hidden="1">"c20413"</definedName>
    <definedName name="IQ_AUM_DOMESTIC" hidden="1">"c20400"</definedName>
    <definedName name="IQ_AUM_EOP" hidden="1">"c20417"</definedName>
    <definedName name="IQ_AUM_EQUITY_FUNDS" hidden="1">"c10039"</definedName>
    <definedName name="IQ_AUM_FEE_EARNING" hidden="1">"c20402"</definedName>
    <definedName name="IQ_AUM_FIXED_INCOME_FUNDS" hidden="1">"c10040"</definedName>
    <definedName name="IQ_AUM_FOREIGN" hidden="1">"c20401"</definedName>
    <definedName name="IQ_AUM_HIGH_NET_WORTH" hidden="1">"c20398"</definedName>
    <definedName name="IQ_AUM_INFLOWS" hidden="1">"c20410"</definedName>
    <definedName name="IQ_AUM_INSTITUTIONAL" hidden="1">"c20396"</definedName>
    <definedName name="IQ_AUM_INSTITUTIONAL_CUSTOMERS" hidden="1">"c20405"</definedName>
    <definedName name="IQ_AUM_MARKET_APPRECIATION_DEPRECIATION" hidden="1">"c20414"</definedName>
    <definedName name="IQ_AUM_MONEY_MARKET_FUNDS" hidden="1">"c10041"</definedName>
    <definedName name="IQ_AUM_NET_CHANGE" hidden="1">"c20419"</definedName>
    <definedName name="IQ_AUM_NET_INFLOWS_OUTFLOWS" hidden="1">"c20412"</definedName>
    <definedName name="IQ_AUM_NON_FEE_EARNING" hidden="1">"c20403"</definedName>
    <definedName name="IQ_AUM_OTHER" hidden="1">"c10042"</definedName>
    <definedName name="IQ_AUM_OTHER_ADJUSTMENTS" hidden="1">"c20416"</definedName>
    <definedName name="IQ_AUM_OTHER_CLIENTS" hidden="1">"c20399"</definedName>
    <definedName name="IQ_AUM_OTHER_CUSTOMERS" hidden="1">"c20407"</definedName>
    <definedName name="IQ_AUM_OUTFLOWS" hidden="1">"c20411"</definedName>
    <definedName name="IQ_AUM_PRIVATE_EQUITY" hidden="1">"c20394"</definedName>
    <definedName name="IQ_AUM_REAL_ESTATE" hidden="1">"c20395"</definedName>
    <definedName name="IQ_AUM_RETAIL" hidden="1">"c20397"</definedName>
    <definedName name="IQ_AUM_RETAIL_CUSTOMERS" hidden="1">"c20404"</definedName>
    <definedName name="IQ_AUM_SME_CUSTOMERS" hidden="1">"c20406"</definedName>
    <definedName name="IQ_AUM_TOTAL_CUSTOMERS" hidden="1">"c20408"</definedName>
    <definedName name="IQ_AUTO_LOANS_CHARGE_OFFS_FFIEC" hidden="1">"c27055"</definedName>
    <definedName name="IQ_AUTO_LOANS_DUE_30_89_FFIEC" hidden="1">"c27057"</definedName>
    <definedName name="IQ_AUTO_LOANS_DUE_90_FFIEC" hidden="1">"c27058"</definedName>
    <definedName name="IQ_AUTO_LOANS_EXCD_10_RSTRC_DUE_30_89_FFIEC" hidden="1">"c27104"</definedName>
    <definedName name="IQ_AUTO_LOANS_EXCD_10_RSTRC_DUE_90_FFIEC" hidden="1">"c27144"</definedName>
    <definedName name="IQ_AUTO_LOANS_EXCD_10_RSTRC_NON_ACCRUAL_FFIEC" hidden="1">"c27184"</definedName>
    <definedName name="IQ_AUTO_LOANS_FAIR_VAL_DOM_FFIEC" hidden="1">"c27043"</definedName>
    <definedName name="IQ_AUTO_LOANS_FAIR_VAL_FFIEC" hidden="1">"c27039"</definedName>
    <definedName name="IQ_AUTO_LOANS_FFIEC" hidden="1">"c27007"</definedName>
    <definedName name="IQ_AUTO_LOANS_LL_REC_FFIEC" hidden="1">"c27011"</definedName>
    <definedName name="IQ_AUTO_LOANS_LOSS_SHARING_DUE_30_89_FFIEC" hidden="1">"c27083"</definedName>
    <definedName name="IQ_AUTO_LOANS_LOSS_SHARING_DUE_90_FFIEC" hidden="1">"c27123"</definedName>
    <definedName name="IQ_AUTO_LOANS_LOSS_SHARING_FFIEC" hidden="1">"c27200"</definedName>
    <definedName name="IQ_AUTO_LOANS_LOSS_SHARING_NON_ACCRUAL_FFIEC" hidden="1">"c27163"</definedName>
    <definedName name="IQ_AUTO_LOANS_NON_ACCRUAL_FFIEC" hidden="1">"c27059"</definedName>
    <definedName name="IQ_AUTO_LOANS_RECOV_FFIEC" hidden="1">"c27056"</definedName>
    <definedName name="IQ_AUTO_LOANS_RSTRC_TERMS_FFIEC" hidden="1">"c27035"</definedName>
    <definedName name="IQ_AUTO_LOANS_THRIFT" hidden="1">"c24862"</definedName>
    <definedName name="IQ_AUTO_LOANS_TOTAL_LOANS" hidden="1">"c15713"</definedName>
    <definedName name="IQ_AUTO_LOANS_TRADING_DOM_FFIEC" hidden="1">"c27014"</definedName>
    <definedName name="IQ_AUTO_LOANS_UNPAID_PRIN_FAIR_VAL_DOM_FFIEC" hidden="1">"c27045"</definedName>
    <definedName name="IQ_AUTO_LOANS_UNPAID_PRIN_FAIR_VAL_FFIEC" hidden="1">"c27041"</definedName>
    <definedName name="IQ_AUTO_LOANS_UNPAID_PRIN_FAIR_VAL_TRADING_DOM_FFIEC" hidden="1">"c27049"</definedName>
    <definedName name="IQ_AUTO_LOANS_UNPAID_PRIN_FAIR_VAL_TRADING_FFIEC" hidden="1">"c27047"</definedName>
    <definedName name="IQ_AUTO_REGIST_NEW" hidden="1">"c6923"</definedName>
    <definedName name="IQ_AUTO_REGIST_NEW_APR" hidden="1">"c7583"</definedName>
    <definedName name="IQ_AUTO_REGIST_NEW_APR_FC" hidden="1">"c8463"</definedName>
    <definedName name="IQ_AUTO_REGIST_NEW_FC" hidden="1">"c7803"</definedName>
    <definedName name="IQ_AUTO_REGIST_NEW_POP" hidden="1">"c7143"</definedName>
    <definedName name="IQ_AUTO_REGIST_NEW_POP_FC" hidden="1">"c8023"</definedName>
    <definedName name="IQ_AUTO_REGIST_NEW_YOY" hidden="1">"c7363"</definedName>
    <definedName name="IQ_AUTO_REGIST_NEW_YOY_FC" hidden="1">"c8243"</definedName>
    <definedName name="IQ_AUTO_SALES_DOM" hidden="1">"c6852"</definedName>
    <definedName name="IQ_AUTO_SALES_DOM_APR" hidden="1">"c7512"</definedName>
    <definedName name="IQ_AUTO_SALES_DOM_APR_FC" hidden="1">"c8392"</definedName>
    <definedName name="IQ_AUTO_SALES_DOM_FC" hidden="1">"c7732"</definedName>
    <definedName name="IQ_AUTO_SALES_DOM_POP" hidden="1">"c7072"</definedName>
    <definedName name="IQ_AUTO_SALES_DOM_POP_FC" hidden="1">"c7952"</definedName>
    <definedName name="IQ_AUTO_SALES_DOM_YOY" hidden="1">"c7292"</definedName>
    <definedName name="IQ_AUTO_SALES_DOM_YOY_FC" hidden="1">"c8172"</definedName>
    <definedName name="IQ_AUTO_SALES_FOREIGN" hidden="1">"c6873"</definedName>
    <definedName name="IQ_AUTO_SALES_FOREIGN_APR" hidden="1">"c7533"</definedName>
    <definedName name="IQ_AUTO_SALES_FOREIGN_APR_FC" hidden="1">"c8413"</definedName>
    <definedName name="IQ_AUTO_SALES_FOREIGN_FC" hidden="1">"c7753"</definedName>
    <definedName name="IQ_AUTO_SALES_FOREIGN_POP" hidden="1">"c7093"</definedName>
    <definedName name="IQ_AUTO_SALES_FOREIGN_POP_FC" hidden="1">"c7973"</definedName>
    <definedName name="IQ_AUTO_SALES_FOREIGN_YOY" hidden="1">"c7313"</definedName>
    <definedName name="IQ_AUTO_SALES_FOREIGN_YOY_FC" hidden="1">"c8193"</definedName>
    <definedName name="IQ_AUTO_WRITTEN" hidden="1">"c62"</definedName>
    <definedName name="IQ_AVAIL_FOR_SALE_FAIR_VALUE_TOT_FFIEC" hidden="1">"c15399"</definedName>
    <definedName name="IQ_AVAIL_FOR_SALE_LEVEL_1_FFIEC" hidden="1">"c15421"</definedName>
    <definedName name="IQ_AVAIL_FOR_SALE_LEVEL_2_FFIEC" hidden="1">"c15434"</definedName>
    <definedName name="IQ_AVAIL_FOR_SALE_LEVEL_3_FFIEC" hidden="1">"c15447"</definedName>
    <definedName name="IQ_AVAILABLE_FOR_SALE_FDIC" hidden="1">"c6409"</definedName>
    <definedName name="IQ_AVAILABLE_SALE_SEC_FFIEC" hidden="1">"c12791"</definedName>
    <definedName name="IQ_AVERAGE_ASSETS_FDIC" hidden="1">"c6362"</definedName>
    <definedName name="IQ_AVERAGE_ASSETS_QUART_FDIC" hidden="1">"c6363"</definedName>
    <definedName name="IQ_AVERAGE_DEPOSITS" hidden="1">"c15256"</definedName>
    <definedName name="IQ_AVERAGE_EARNING_ASSETS_FDIC" hidden="1">"c6748"</definedName>
    <definedName name="IQ_AVERAGE_EQUITY_FDIC" hidden="1">"c6749"</definedName>
    <definedName name="IQ_AVERAGE_INTEREST_BEARING_DEPOSITS" hidden="1">"c15254"</definedName>
    <definedName name="IQ_AVERAGE_LOANS_FDIC" hidden="1">"c6750"</definedName>
    <definedName name="IQ_AVERAGE_LOANS_HFI" hidden="1">"c15251"</definedName>
    <definedName name="IQ_AVERAGE_LOANS_HFS" hidden="1">"c15252"</definedName>
    <definedName name="IQ_AVERAGE_NON_INTEREST_BEARING_DEPOSITS" hidden="1">"c15255"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CIQ" hidden="1">"c3612"</definedName>
    <definedName name="IQ_AVG_BROKER_REC_NO" hidden="1">"c64"</definedName>
    <definedName name="IQ_AVG_BROKER_REC_NO_CIQ" hidden="1">"c4657"</definedName>
    <definedName name="IQ_AVG_BROKER_REC_NO_REUT" hidden="1">"c5315"</definedName>
    <definedName name="IQ_AVG_BROKER_REC_NO_THOM" hidden="1">"c5094"</definedName>
    <definedName name="IQ_AVG_BROKER_REC_REUT" hidden="1">"c3630"</definedName>
    <definedName name="IQ_AVG_BROKER_REC_THOM" hidden="1">"c3648"</definedName>
    <definedName name="IQ_AVG_CALORIFIC_VALUE_COAL" hidden="1">"c9828"</definedName>
    <definedName name="IQ_AVG_CALORIFIC_VALUE_MET_COAL" hidden="1">"c9764"</definedName>
    <definedName name="IQ_AVG_CALORIFIC_VALUE_STEAM" hidden="1">"c9794"</definedName>
    <definedName name="IQ_AVG_DAILY_VOL" hidden="1">"c65"</definedName>
    <definedName name="IQ_AVG_DEPOSITS_ESCROWS_THRIFT" hidden="1">"c24950"</definedName>
    <definedName name="IQ_AVG_DEPOSITS_INV_EXCLUDING_NON_INT_EARNING_ITEMS_THRIFT" hidden="1">"c24947"</definedName>
    <definedName name="IQ_AVG_EARNING_ASSETS_AVG_ASSETS_THRIFT" hidden="1">"c25645"</definedName>
    <definedName name="IQ_AVG_EMPLOYEES" hidden="1">"c6019"</definedName>
    <definedName name="IQ_AVG_GRADE_ALUM" hidden="1">"c9254"</definedName>
    <definedName name="IQ_AVG_GRADE_COP" hidden="1">"c9201"</definedName>
    <definedName name="IQ_AVG_GRADE_DIAM" hidden="1">"c9678"</definedName>
    <definedName name="IQ_AVG_GRADE_GOLD" hidden="1">"c9039"</definedName>
    <definedName name="IQ_AVG_GRADE_IRON" hidden="1">"c9413"</definedName>
    <definedName name="IQ_AVG_GRADE_LEAD" hidden="1">"c9466"</definedName>
    <definedName name="IQ_AVG_GRADE_MANG" hidden="1">"c9519"</definedName>
    <definedName name="IQ_AVG_GRADE_MOLYB" hidden="1">"c9731"</definedName>
    <definedName name="IQ_AVG_GRADE_NICK" hidden="1">"c9307"</definedName>
    <definedName name="IQ_AVG_GRADE_PLAT" hidden="1">"c9145"</definedName>
    <definedName name="IQ_AVG_GRADE_SILVER" hidden="1">"c9092"</definedName>
    <definedName name="IQ_AVG_GRADE_TITAN" hidden="1">"c9572"</definedName>
    <definedName name="IQ_AVG_GRADE_URAN" hidden="1">"c9625"</definedName>
    <definedName name="IQ_AVG_GRADE_ZINC" hidden="1">"c9360"</definedName>
    <definedName name="IQ_AVG_INDUSTRY_REC" hidden="1">"c4455"</definedName>
    <definedName name="IQ_AVG_INDUSTRY_REC_CIQ" hidden="1">"c4984"</definedName>
    <definedName name="IQ_AVG_INDUSTRY_REC_CIQ_COL" hidden="1">"c11631"</definedName>
    <definedName name="IQ_AVG_INDUSTRY_REC_NO" hidden="1">"c4454"</definedName>
    <definedName name="IQ_AVG_INDUSTRY_REC_NO_CIQ_COL" hidden="1">"c11630"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BEARING_FUNDS_AVG_ASSETS_THRIFT" hidden="1">"c25646"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INV_HOMEBUILDING" hidden="1">"c15812"</definedName>
    <definedName name="IQ_AVG_INV_HOMES" hidden="1">"c15810"</definedName>
    <definedName name="IQ_AVG_INV_LAND_LOTS" hidden="1">"c15811"</definedName>
    <definedName name="IQ_AVG_MARKETCAP_Z" hidden="1">"c25900"</definedName>
    <definedName name="IQ_AVG_MKTCAP" hidden="1">"c80"</definedName>
    <definedName name="IQ_AVG_MORTGAGE_LOANS_MBS_THRIFT" hidden="1">"c24948"</definedName>
    <definedName name="IQ_AVG_NON_MORTGAGE_LOANS_THRIFT" hidden="1">"c24949"</definedName>
    <definedName name="IQ_AVG_PORTFOLIO_DURATION" hidden="1">"c17693"</definedName>
    <definedName name="IQ_AVG_PRICE" hidden="1">"c81"</definedName>
    <definedName name="IQ_AVG_PRICE_TARGET" hidden="1">"c82"</definedName>
    <definedName name="IQ_AVG_PRODUCTION_PER_MINE_ALUM" hidden="1">"c9249"</definedName>
    <definedName name="IQ_AVG_PRODUCTION_PER_MINE_COAL" hidden="1">"c9823"</definedName>
    <definedName name="IQ_AVG_PRODUCTION_PER_MINE_COP" hidden="1">"c9194"</definedName>
    <definedName name="IQ_AVG_PRODUCTION_PER_MINE_DIAM" hidden="1">"c9673"</definedName>
    <definedName name="IQ_AVG_PRODUCTION_PER_MINE_GOLD" hidden="1">"c9034"</definedName>
    <definedName name="IQ_AVG_PRODUCTION_PER_MINE_IRON" hidden="1">"c9408"</definedName>
    <definedName name="IQ_AVG_PRODUCTION_PER_MINE_LEAD" hidden="1">"c9461"</definedName>
    <definedName name="IQ_AVG_PRODUCTION_PER_MINE_MANG" hidden="1">"c9514"</definedName>
    <definedName name="IQ_AVG_PRODUCTION_PER_MINE_MOLYB" hidden="1">"c9726"</definedName>
    <definedName name="IQ_AVG_PRODUCTION_PER_MINE_NICK" hidden="1">"c9302"</definedName>
    <definedName name="IQ_AVG_PRODUCTION_PER_MINE_PLAT" hidden="1">"c9140"</definedName>
    <definedName name="IQ_AVG_PRODUCTION_PER_MINE_SILVER" hidden="1">"c9087"</definedName>
    <definedName name="IQ_AVG_PRODUCTION_PER_MINE_TITAN" hidden="1">"c9567"</definedName>
    <definedName name="IQ_AVG_PRODUCTION_PER_MINE_URAN" hidden="1">"c9620"</definedName>
    <definedName name="IQ_AVG_PRODUCTION_PER_MINE_ZINC" hidden="1">"c9355"</definedName>
    <definedName name="IQ_AVG_REAL_PRICE_POST_TREAT_REFINING_ALUM" hidden="1">"c9259"</definedName>
    <definedName name="IQ_AVG_REAL_PRICE_POST_TREAT_REFINING_COP" hidden="1">"c9206"</definedName>
    <definedName name="IQ_AVG_REAL_PRICE_POST_TREAT_REFINING_DIAM" hidden="1">"c9683"</definedName>
    <definedName name="IQ_AVG_REAL_PRICE_POST_TREAT_REFINING_GOLD" hidden="1">"c9044"</definedName>
    <definedName name="IQ_AVG_REAL_PRICE_POST_TREAT_REFINING_IRON" hidden="1">"c9418"</definedName>
    <definedName name="IQ_AVG_REAL_PRICE_POST_TREAT_REFINING_LEAD" hidden="1">"c9471"</definedName>
    <definedName name="IQ_AVG_REAL_PRICE_POST_TREAT_REFINING_MANG" hidden="1">"c9524"</definedName>
    <definedName name="IQ_AVG_REAL_PRICE_POST_TREAT_REFINING_MOLYB" hidden="1">"c9736"</definedName>
    <definedName name="IQ_AVG_REAL_PRICE_POST_TREAT_REFINING_NICK" hidden="1">"c9311"</definedName>
    <definedName name="IQ_AVG_REAL_PRICE_POST_TREAT_REFINING_PLAT" hidden="1">"c9150"</definedName>
    <definedName name="IQ_AVG_REAL_PRICE_POST_TREAT_REFINING_SILVER" hidden="1">"c9097"</definedName>
    <definedName name="IQ_AVG_REAL_PRICE_POST_TREAT_REFINING_TITAN" hidden="1">"c9577"</definedName>
    <definedName name="IQ_AVG_REAL_PRICE_POST_TREAT_REFINING_URAN" hidden="1">"c9630"</definedName>
    <definedName name="IQ_AVG_REAL_PRICE_POST_TREAT_REFINING_ZINC" hidden="1">"c9365"</definedName>
    <definedName name="IQ_AVG_REAL_PRICE_PRE_TREAT_REFINING_ALUM" hidden="1">"c9258"</definedName>
    <definedName name="IQ_AVG_REAL_PRICE_PRE_TREAT_REFINING_COP" hidden="1">"c9205"</definedName>
    <definedName name="IQ_AVG_REAL_PRICE_PRE_TREAT_REFINING_DIAM" hidden="1">"c9682"</definedName>
    <definedName name="IQ_AVG_REAL_PRICE_PRE_TREAT_REFINING_GOLD" hidden="1">"c9043"</definedName>
    <definedName name="IQ_AVG_REAL_PRICE_PRE_TREAT_REFINING_IRON" hidden="1">"c9417"</definedName>
    <definedName name="IQ_AVG_REAL_PRICE_PRE_TREAT_REFINING_LEAD" hidden="1">"c9470"</definedName>
    <definedName name="IQ_AVG_REAL_PRICE_PRE_TREAT_REFINING_MANG" hidden="1">"c9523"</definedName>
    <definedName name="IQ_AVG_REAL_PRICE_PRE_TREAT_REFINING_MOLYB" hidden="1">"c9735"</definedName>
    <definedName name="IQ_AVG_REAL_PRICE_PRE_TREAT_REFINING_NICK" hidden="1">"c9312"</definedName>
    <definedName name="IQ_AVG_REAL_PRICE_PRE_TREAT_REFINING_PLAT" hidden="1">"c9149"</definedName>
    <definedName name="IQ_AVG_REAL_PRICE_PRE_TREAT_REFINING_SILVER" hidden="1">"c9096"</definedName>
    <definedName name="IQ_AVG_REAL_PRICE_PRE_TREAT_REFINING_TITAN" hidden="1">"c9576"</definedName>
    <definedName name="IQ_AVG_REAL_PRICE_PRE_TREAT_REFINING_URAN" hidden="1">"c9629"</definedName>
    <definedName name="IQ_AVG_REAL_PRICE_PRE_TREAT_REFINING_ZINC" hidden="1">"c9364"</definedName>
    <definedName name="IQ_AVG_REALIZED_PRICE_AFTER_HEDGING_ALUM" hidden="1">"c9257"</definedName>
    <definedName name="IQ_AVG_REALIZED_PRICE_AFTER_HEDGING_COAL" hidden="1">"c9830"</definedName>
    <definedName name="IQ_AVG_REALIZED_PRICE_AFTER_HEDGING_COP" hidden="1">"c9204"</definedName>
    <definedName name="IQ_AVG_REALIZED_PRICE_AFTER_HEDGING_DIAM" hidden="1">"c9681"</definedName>
    <definedName name="IQ_AVG_REALIZED_PRICE_AFTER_HEDGING_GOLD" hidden="1">"c9042"</definedName>
    <definedName name="IQ_AVG_REALIZED_PRICE_AFTER_HEDGING_IRON" hidden="1">"c9416"</definedName>
    <definedName name="IQ_AVG_REALIZED_PRICE_AFTER_HEDGING_LEAD" hidden="1">"c9469"</definedName>
    <definedName name="IQ_AVG_REALIZED_PRICE_AFTER_HEDGING_MANG" hidden="1">"c9522"</definedName>
    <definedName name="IQ_AVG_REALIZED_PRICE_AFTER_HEDGING_MET_COAL" hidden="1">"c9766"</definedName>
    <definedName name="IQ_AVG_REALIZED_PRICE_AFTER_HEDGING_MOLYB" hidden="1">"c9734"</definedName>
    <definedName name="IQ_AVG_REALIZED_PRICE_AFTER_HEDGING_NICK" hidden="1">"c9310"</definedName>
    <definedName name="IQ_AVG_REALIZED_PRICE_AFTER_HEDGING_PLAT" hidden="1">"c9148"</definedName>
    <definedName name="IQ_AVG_REALIZED_PRICE_AFTER_HEDGING_SILVER" hidden="1">"c9095"</definedName>
    <definedName name="IQ_AVG_REALIZED_PRICE_AFTER_HEDGING_STEAM" hidden="1">"c9796"</definedName>
    <definedName name="IQ_AVG_REALIZED_PRICE_AFTER_HEDGING_TITAN" hidden="1">"c9575"</definedName>
    <definedName name="IQ_AVG_REALIZED_PRICE_AFTER_HEDGING_URAN" hidden="1">"c9628"</definedName>
    <definedName name="IQ_AVG_REALIZED_PRICE_AFTER_HEDGING_ZINC" hidden="1">"c9363"</definedName>
    <definedName name="IQ_AVG_REALIZED_PRICE_BEFORE_HEDGING_ALUM" hidden="1">"c9256"</definedName>
    <definedName name="IQ_AVG_REALIZED_PRICE_BEFORE_HEDGING_COAL" hidden="1">"c9829"</definedName>
    <definedName name="IQ_AVG_REALIZED_PRICE_BEFORE_HEDGING_COP" hidden="1">"c9203"</definedName>
    <definedName name="IQ_AVG_REALIZED_PRICE_BEFORE_HEDGING_DIAM" hidden="1">"c9680"</definedName>
    <definedName name="IQ_AVG_REALIZED_PRICE_BEFORE_HEDGING_GOLD" hidden="1">"c9041"</definedName>
    <definedName name="IQ_AVG_REALIZED_PRICE_BEFORE_HEDGING_IRON" hidden="1">"c9415"</definedName>
    <definedName name="IQ_AVG_REALIZED_PRICE_BEFORE_HEDGING_LEAD" hidden="1">"c9468"</definedName>
    <definedName name="IQ_AVG_REALIZED_PRICE_BEFORE_HEDGING_MANG" hidden="1">"c9521"</definedName>
    <definedName name="IQ_AVG_REALIZED_PRICE_BEFORE_HEDGING_MET_COAL" hidden="1">"c9765"</definedName>
    <definedName name="IQ_AVG_REALIZED_PRICE_BEFORE_HEDGING_MOLYB" hidden="1">"c9733"</definedName>
    <definedName name="IQ_AVG_REALIZED_PRICE_BEFORE_HEDGING_NICK" hidden="1">"c9309"</definedName>
    <definedName name="IQ_AVG_REALIZED_PRICE_BEFORE_HEDGING_PLAT" hidden="1">"c9147"</definedName>
    <definedName name="IQ_AVG_REALIZED_PRICE_BEFORE_HEDGING_SILVER" hidden="1">"c9094"</definedName>
    <definedName name="IQ_AVG_REALIZED_PRICE_BEFORE_HEDGING_STEAM" hidden="1">"c9795"</definedName>
    <definedName name="IQ_AVG_REALIZED_PRICE_BEFORE_HEDGING_TITAN" hidden="1">"c9574"</definedName>
    <definedName name="IQ_AVG_REALIZED_PRICE_BEFORE_HEDGING_URAN" hidden="1">"c9627"</definedName>
    <definedName name="IQ_AVG_REALIZED_PRICE_BEFORE_HEDGING_ZINC" hidden="1">"c9362"</definedName>
    <definedName name="IQ_AVG_REV_PER_TRADE" hidden="1">"c20431"</definedName>
    <definedName name="IQ_AVG_SHAREOUTSTANDING" hidden="1">"c83"</definedName>
    <definedName name="IQ_AVG_TEMP_EMPLOYEES" hidden="1">"c6020"</definedName>
    <definedName name="IQ_AVG_TEV" hidden="1">"c84"</definedName>
    <definedName name="IQ_AVG_TOTAL_ASSETS_LEVERAGE_CAPITAL_FFIEC" hidden="1">"c13159"</definedName>
    <definedName name="IQ_AVG_TOTAL_ASSETS_LEVERAGE_RATIO_FFIEC" hidden="1">"c13154"</definedName>
    <definedName name="IQ_AVG_TOTAL_ASSETS_THRIFT" hidden="1">"c24946"</definedName>
    <definedName name="IQ_AVG_TOTAL_BORROWINGS_THRIFT" hidden="1">"c24951"</definedName>
    <definedName name="IQ_AVG_VOLUME" localSheetId="7" hidden="1">"c1346"</definedName>
    <definedName name="IQ_AVG_VOLUME" localSheetId="8" hidden="1">"c1346"</definedName>
    <definedName name="IQ_AVG_VOLUME" hidden="1">"c1346"</definedName>
    <definedName name="IQ_AVG_WAGES" hidden="1">"c6812"</definedName>
    <definedName name="IQ_AVG_WAGES_APR" hidden="1">"c7472"</definedName>
    <definedName name="IQ_AVG_WAGES_APR_FC" hidden="1">"c8352"</definedName>
    <definedName name="IQ_AVG_WAGES_FC" hidden="1">"c7692"</definedName>
    <definedName name="IQ_AVG_WAGES_POP" hidden="1">"c7032"</definedName>
    <definedName name="IQ_AVG_WAGES_POP_FC" hidden="1">"c7912"</definedName>
    <definedName name="IQ_AVG_WAGES_YOY" hidden="1">"c7252"</definedName>
    <definedName name="IQ_AVG_WAGES_YOY_FC" hidden="1">"c8132"</definedName>
    <definedName name="IQ_BALANCE_GOODS_APR_FC_UNUSED" hidden="1">"c8353"</definedName>
    <definedName name="IQ_BALANCE_GOODS_APR_FC_UNUSED_UNUSED_UNUSED" hidden="1">"c8353"</definedName>
    <definedName name="IQ_BALANCE_GOODS_APR_UNUSED" hidden="1">"c7473"</definedName>
    <definedName name="IQ_BALANCE_GOODS_APR_UNUSED_UNUSED_UNUSED" hidden="1">"c7473"</definedName>
    <definedName name="IQ_BALANCE_GOODS_FC_UNUSED" hidden="1">"c7693"</definedName>
    <definedName name="IQ_BALANCE_GOODS_FC_UNUSED_UNUSED_UNUSED" hidden="1">"c7693"</definedName>
    <definedName name="IQ_BALANCE_GOODS_POP_FC_UNUSED" hidden="1">"c7913"</definedName>
    <definedName name="IQ_BALANCE_GOODS_POP_FC_UNUSED_UNUSED_UNUSED" hidden="1">"c7913"</definedName>
    <definedName name="IQ_BALANCE_GOODS_POP_UNUSED" hidden="1">"c7033"</definedName>
    <definedName name="IQ_BALANCE_GOODS_POP_UNUSED_UNUSED_UNUSED" hidden="1">"c7033"</definedName>
    <definedName name="IQ_BALANCE_GOODS_REAL" hidden="1">"c6952"</definedName>
    <definedName name="IQ_BALANCE_GOODS_REAL_APR" hidden="1">"c7612"</definedName>
    <definedName name="IQ_BALANCE_GOODS_REAL_APR_FC" hidden="1">"c8492"</definedName>
    <definedName name="IQ_BALANCE_GOODS_REAL_FC" hidden="1">"c7832"</definedName>
    <definedName name="IQ_BALANCE_GOODS_REAL_POP" hidden="1">"c7172"</definedName>
    <definedName name="IQ_BALANCE_GOODS_REAL_POP_FC" hidden="1">"c8052"</definedName>
    <definedName name="IQ_BALANCE_GOODS_REAL_SAAR" hidden="1">"c6953"</definedName>
    <definedName name="IQ_BALANCE_GOODS_REAL_SAAR_APR" hidden="1">"c7613"</definedName>
    <definedName name="IQ_BALANCE_GOODS_REAL_SAAR_APR_FC" hidden="1">"c8493"</definedName>
    <definedName name="IQ_BALANCE_GOODS_REAL_SAAR_FC" hidden="1">"c7833"</definedName>
    <definedName name="IQ_BALANCE_GOODS_REAL_SAAR_POP" hidden="1">"c7173"</definedName>
    <definedName name="IQ_BALANCE_GOODS_REAL_SAAR_POP_FC" hidden="1">"c8053"</definedName>
    <definedName name="IQ_BALANCE_GOODS_REAL_SAAR_USD_APR_FC" hidden="1">"c11893"</definedName>
    <definedName name="IQ_BALANCE_GOODS_REAL_SAAR_USD_FC" hidden="1">"c11890"</definedName>
    <definedName name="IQ_BALANCE_GOODS_REAL_SAAR_USD_POP_FC" hidden="1">"c11891"</definedName>
    <definedName name="IQ_BALANCE_GOODS_REAL_SAAR_USD_YOY_FC" hidden="1">"c11892"</definedName>
    <definedName name="IQ_BALANCE_GOODS_REAL_SAAR_YOY" hidden="1">"c7393"</definedName>
    <definedName name="IQ_BALANCE_GOODS_REAL_SAAR_YOY_FC" hidden="1">"c8273"</definedName>
    <definedName name="IQ_BALANCE_GOODS_REAL_USD_APR_FC" hidden="1">"c11889"</definedName>
    <definedName name="IQ_BALANCE_GOODS_REAL_USD_FC" hidden="1">"c11886"</definedName>
    <definedName name="IQ_BALANCE_GOODS_REAL_USD_POP_FC" hidden="1">"c11887"</definedName>
    <definedName name="IQ_BALANCE_GOODS_REAL_USD_YOY_FC" hidden="1">"c11888"</definedName>
    <definedName name="IQ_BALANCE_GOODS_REAL_YOY" hidden="1">"c7392"</definedName>
    <definedName name="IQ_BALANCE_GOODS_REAL_YOY_FC" hidden="1">"c8272"</definedName>
    <definedName name="IQ_BALANCE_GOODS_SAAR" hidden="1">"c6814"</definedName>
    <definedName name="IQ_BALANCE_GOODS_SAAR_APR" hidden="1">"c7474"</definedName>
    <definedName name="IQ_BALANCE_GOODS_SAAR_APR_FC" hidden="1">"c8354"</definedName>
    <definedName name="IQ_BALANCE_GOODS_SAAR_FC" hidden="1">"c7694"</definedName>
    <definedName name="IQ_BALANCE_GOODS_SAAR_POP" hidden="1">"c7034"</definedName>
    <definedName name="IQ_BALANCE_GOODS_SAAR_POP_FC" hidden="1">"c7914"</definedName>
    <definedName name="IQ_BALANCE_GOODS_SAAR_USD_APR_FC" hidden="1">"c11762"</definedName>
    <definedName name="IQ_BALANCE_GOODS_SAAR_USD_FC" hidden="1">"c11759"</definedName>
    <definedName name="IQ_BALANCE_GOODS_SAAR_USD_POP_FC" hidden="1">"c11760"</definedName>
    <definedName name="IQ_BALANCE_GOODS_SAAR_USD_YOY_FC" hidden="1">"c11761"</definedName>
    <definedName name="IQ_BALANCE_GOODS_SAAR_YOY" hidden="1">"c7254"</definedName>
    <definedName name="IQ_BALANCE_GOODS_SAAR_YOY_FC" hidden="1">"c8134"</definedName>
    <definedName name="IQ_BALANCE_GOODS_UNUSED" hidden="1">"c6813"</definedName>
    <definedName name="IQ_BALANCE_GOODS_UNUSED_UNUSED_UNUSED" hidden="1">"c6813"</definedName>
    <definedName name="IQ_BALANCE_GOODS_USD_APR_FC" hidden="1">"c11758"</definedName>
    <definedName name="IQ_BALANCE_GOODS_USD_FC" hidden="1">"c11755"</definedName>
    <definedName name="IQ_BALANCE_GOODS_USD_POP_FC" hidden="1">"c11756"</definedName>
    <definedName name="IQ_BALANCE_GOODS_USD_YOY_FC" hidden="1">"c11757"</definedName>
    <definedName name="IQ_BALANCE_GOODS_YOY_FC_UNUSED" hidden="1">"c8133"</definedName>
    <definedName name="IQ_BALANCE_GOODS_YOY_FC_UNUSED_UNUSED_UNUSED" hidden="1">"c8133"</definedName>
    <definedName name="IQ_BALANCE_GOODS_YOY_UNUSED" hidden="1">"c7253"</definedName>
    <definedName name="IQ_BALANCE_GOODS_YOY_UNUSED_UNUSED_UNUSED" hidden="1">"c7253"</definedName>
    <definedName name="IQ_BALANCE_SERV_APR_FC_UNUSED" hidden="1">"c8355"</definedName>
    <definedName name="IQ_BALANCE_SERV_APR_FC_UNUSED_UNUSED_UNUSED" hidden="1">"c8355"</definedName>
    <definedName name="IQ_BALANCE_SERV_APR_UNUSED" hidden="1">"c7475"</definedName>
    <definedName name="IQ_BALANCE_SERV_APR_UNUSED_UNUSED_UNUSED" hidden="1">"c7475"</definedName>
    <definedName name="IQ_BALANCE_SERV_FC_UNUSED" hidden="1">"c7695"</definedName>
    <definedName name="IQ_BALANCE_SERV_FC_UNUSED_UNUSED_UNUSED" hidden="1">"c7695"</definedName>
    <definedName name="IQ_BALANCE_SERV_POP_FC_UNUSED" hidden="1">"c7915"</definedName>
    <definedName name="IQ_BALANCE_SERV_POP_FC_UNUSED_UNUSED_UNUSED" hidden="1">"c7915"</definedName>
    <definedName name="IQ_BALANCE_SERV_POP_UNUSED" hidden="1">"c7035"</definedName>
    <definedName name="IQ_BALANCE_SERV_POP_UNUSED_UNUSED_UNUSED" hidden="1">"c7035"</definedName>
    <definedName name="IQ_BALANCE_SERV_SAAR" hidden="1">"c6816"</definedName>
    <definedName name="IQ_BALANCE_SERV_SAAR_APR" hidden="1">"c7476"</definedName>
    <definedName name="IQ_BALANCE_SERV_SAAR_APR_FC" hidden="1">"c8356"</definedName>
    <definedName name="IQ_BALANCE_SERV_SAAR_FC" hidden="1">"c7696"</definedName>
    <definedName name="IQ_BALANCE_SERV_SAAR_POP" hidden="1">"c7036"</definedName>
    <definedName name="IQ_BALANCE_SERV_SAAR_POP_FC" hidden="1">"c7916"</definedName>
    <definedName name="IQ_BALANCE_SERV_SAAR_YOY" hidden="1">"c7256"</definedName>
    <definedName name="IQ_BALANCE_SERV_SAAR_YOY_FC" hidden="1">"c8136"</definedName>
    <definedName name="IQ_BALANCE_SERV_UNUSED" hidden="1">"c6815"</definedName>
    <definedName name="IQ_BALANCE_SERV_UNUSED_UNUSED_UNUSED" hidden="1">"c6815"</definedName>
    <definedName name="IQ_BALANCE_SERV_USD_APR_FC" hidden="1">"c11766"</definedName>
    <definedName name="IQ_BALANCE_SERV_USD_FC" hidden="1">"c11763"</definedName>
    <definedName name="IQ_BALANCE_SERV_USD_POP_FC" hidden="1">"c11764"</definedName>
    <definedName name="IQ_BALANCE_SERV_USD_YOY_FC" hidden="1">"c11765"</definedName>
    <definedName name="IQ_BALANCE_SERV_YOY_FC_UNUSED" hidden="1">"c8135"</definedName>
    <definedName name="IQ_BALANCE_SERV_YOY_FC_UNUSED_UNUSED_UNUSED" hidden="1">"c8135"</definedName>
    <definedName name="IQ_BALANCE_SERV_YOY_UNUSED" hidden="1">"c7255"</definedName>
    <definedName name="IQ_BALANCE_SERV_YOY_UNUSED_UNUSED_UNUSED" hidden="1">"c7255"</definedName>
    <definedName name="IQ_BALANCE_SERVICES_REAL" hidden="1">"c6954"</definedName>
    <definedName name="IQ_BALANCE_SERVICES_REAL_APR" hidden="1">"c7614"</definedName>
    <definedName name="IQ_BALANCE_SERVICES_REAL_APR_FC" hidden="1">"c8494"</definedName>
    <definedName name="IQ_BALANCE_SERVICES_REAL_FC" hidden="1">"c7834"</definedName>
    <definedName name="IQ_BALANCE_SERVICES_REAL_POP" hidden="1">"c7174"</definedName>
    <definedName name="IQ_BALANCE_SERVICES_REAL_POP_FC" hidden="1">"c8054"</definedName>
    <definedName name="IQ_BALANCE_SERVICES_REAL_SAAR" hidden="1">"c6955"</definedName>
    <definedName name="IQ_BALANCE_SERVICES_REAL_SAAR_APR" hidden="1">"c7615"</definedName>
    <definedName name="IQ_BALANCE_SERVICES_REAL_SAAR_APR_FC" hidden="1">"c8495"</definedName>
    <definedName name="IQ_BALANCE_SERVICES_REAL_SAAR_FC" hidden="1">"c7835"</definedName>
    <definedName name="IQ_BALANCE_SERVICES_REAL_SAAR_POP" hidden="1">"c7175"</definedName>
    <definedName name="IQ_BALANCE_SERVICES_REAL_SAAR_POP_FC" hidden="1">"c8055"</definedName>
    <definedName name="IQ_BALANCE_SERVICES_REAL_SAAR_YOY" hidden="1">"c7395"</definedName>
    <definedName name="IQ_BALANCE_SERVICES_REAL_SAAR_YOY_FC" hidden="1">"c8275"</definedName>
    <definedName name="IQ_BALANCE_SERVICES_REAL_USD_APR_FC" hidden="1">"c11897"</definedName>
    <definedName name="IQ_BALANCE_SERVICES_REAL_USD_FC" hidden="1">"c11894"</definedName>
    <definedName name="IQ_BALANCE_SERVICES_REAL_USD_POP_FC" hidden="1">"c11895"</definedName>
    <definedName name="IQ_BALANCE_SERVICES_REAL_USD_YOY_FC" hidden="1">"c11896"</definedName>
    <definedName name="IQ_BALANCE_SERVICES_REAL_YOY" hidden="1">"c7394"</definedName>
    <definedName name="IQ_BALANCE_SERVICES_REAL_YOY_FC" hidden="1">"c8274"</definedName>
    <definedName name="IQ_BALANCE_SHEET_AP" hidden="1">"c25883"</definedName>
    <definedName name="IQ_BALANCE_SHEET_AP_CO" hidden="1">"c25884"</definedName>
    <definedName name="IQ_BALANCE_SHEET_INDUSTRY" hidden="1">"c25879"</definedName>
    <definedName name="IQ_BALANCE_SHEET_INDUSTRY_CO" hidden="1">"c25880"</definedName>
    <definedName name="IQ_BALANCE_SHEET_STANDARD" hidden="1">"c25881"</definedName>
    <definedName name="IQ_BALANCE_SHEET_STANDARD_CO" hidden="1">"c25882"</definedName>
    <definedName name="IQ_BALANCE_TRADE_APR_FC_UNUSED" hidden="1">"c8357"</definedName>
    <definedName name="IQ_BALANCE_TRADE_APR_FC_UNUSED_UNUSED_UNUSED" hidden="1">"c8357"</definedName>
    <definedName name="IQ_BALANCE_TRADE_APR_UNUSED" hidden="1">"c7477"</definedName>
    <definedName name="IQ_BALANCE_TRADE_APR_UNUSED_UNUSED_UNUSED" hidden="1">"c7477"</definedName>
    <definedName name="IQ_BALANCE_TRADE_FC_UNUSED" hidden="1">"c7697"</definedName>
    <definedName name="IQ_BALANCE_TRADE_FC_UNUSED_UNUSED_UNUSED" hidden="1">"c7697"</definedName>
    <definedName name="IQ_BALANCE_TRADE_POP_FC_UNUSED" hidden="1">"c7917"</definedName>
    <definedName name="IQ_BALANCE_TRADE_POP_FC_UNUSED_UNUSED_UNUSED" hidden="1">"c7917"</definedName>
    <definedName name="IQ_BALANCE_TRADE_POP_UNUSED" hidden="1">"c7037"</definedName>
    <definedName name="IQ_BALANCE_TRADE_POP_UNUSED_UNUSED_UNUSED" hidden="1">"c7037"</definedName>
    <definedName name="IQ_BALANCE_TRADE_REAL" hidden="1">"c6956"</definedName>
    <definedName name="IQ_BALANCE_TRADE_REAL_APR" hidden="1">"c7616"</definedName>
    <definedName name="IQ_BALANCE_TRADE_REAL_APR_FC" hidden="1">"c8496"</definedName>
    <definedName name="IQ_BALANCE_TRADE_REAL_FC" hidden="1">"c7836"</definedName>
    <definedName name="IQ_BALANCE_TRADE_REAL_POP" hidden="1">"c7176"</definedName>
    <definedName name="IQ_BALANCE_TRADE_REAL_POP_FC" hidden="1">"c8056"</definedName>
    <definedName name="IQ_BALANCE_TRADE_REAL_SAAR" hidden="1">"c6957"</definedName>
    <definedName name="IQ_BALANCE_TRADE_REAL_SAAR_APR" hidden="1">"c7617"</definedName>
    <definedName name="IQ_BALANCE_TRADE_REAL_SAAR_APR_FC" hidden="1">"c8497"</definedName>
    <definedName name="IQ_BALANCE_TRADE_REAL_SAAR_FC" hidden="1">"c7837"</definedName>
    <definedName name="IQ_BALANCE_TRADE_REAL_SAAR_POP" hidden="1">"c7177"</definedName>
    <definedName name="IQ_BALANCE_TRADE_REAL_SAAR_POP_FC" hidden="1">"c8057"</definedName>
    <definedName name="IQ_BALANCE_TRADE_REAL_SAAR_USD_APR_FC" hidden="1">"c11905"</definedName>
    <definedName name="IQ_BALANCE_TRADE_REAL_SAAR_USD_FC" hidden="1">"c11902"</definedName>
    <definedName name="IQ_BALANCE_TRADE_REAL_SAAR_USD_POP_FC" hidden="1">"c11903"</definedName>
    <definedName name="IQ_BALANCE_TRADE_REAL_SAAR_USD_YOY_FC" hidden="1">"c11904"</definedName>
    <definedName name="IQ_BALANCE_TRADE_REAL_SAAR_YOY" hidden="1">"c7397"</definedName>
    <definedName name="IQ_BALANCE_TRADE_REAL_SAAR_YOY_FC" hidden="1">"c8277"</definedName>
    <definedName name="IQ_BALANCE_TRADE_REAL_USD_APR_FC" hidden="1">"c11901"</definedName>
    <definedName name="IQ_BALANCE_TRADE_REAL_USD_FC" hidden="1">"c11898"</definedName>
    <definedName name="IQ_BALANCE_TRADE_REAL_USD_POP_FC" hidden="1">"c11899"</definedName>
    <definedName name="IQ_BALANCE_TRADE_REAL_USD_YOY_FC" hidden="1">"c11900"</definedName>
    <definedName name="IQ_BALANCE_TRADE_REAL_YOY" hidden="1">"c7396"</definedName>
    <definedName name="IQ_BALANCE_TRADE_REAL_YOY_FC" hidden="1">"c8276"</definedName>
    <definedName name="IQ_BALANCE_TRADE_SAAR" hidden="1">"c6818"</definedName>
    <definedName name="IQ_BALANCE_TRADE_SAAR_APR" hidden="1">"c7478"</definedName>
    <definedName name="IQ_BALANCE_TRADE_SAAR_APR_FC" hidden="1">"c8358"</definedName>
    <definedName name="IQ_BALANCE_TRADE_SAAR_FC" hidden="1">"c7698"</definedName>
    <definedName name="IQ_BALANCE_TRADE_SAAR_POP" hidden="1">"c7038"</definedName>
    <definedName name="IQ_BALANCE_TRADE_SAAR_POP_FC" hidden="1">"c7918"</definedName>
    <definedName name="IQ_BALANCE_TRADE_SAAR_USD_APR_FC" hidden="1">"c11774"</definedName>
    <definedName name="IQ_BALANCE_TRADE_SAAR_USD_FC" hidden="1">"c11771"</definedName>
    <definedName name="IQ_BALANCE_TRADE_SAAR_USD_POP_FC" hidden="1">"c11772"</definedName>
    <definedName name="IQ_BALANCE_TRADE_SAAR_USD_YOY_FC" hidden="1">"c11773"</definedName>
    <definedName name="IQ_BALANCE_TRADE_SAAR_YOY" hidden="1">"c7258"</definedName>
    <definedName name="IQ_BALANCE_TRADE_SAAR_YOY_FC" hidden="1">"c8138"</definedName>
    <definedName name="IQ_BALANCE_TRADE_UNUSED" hidden="1">"c6817"</definedName>
    <definedName name="IQ_BALANCE_TRADE_UNUSED_UNUSED_UNUSED" hidden="1">"c6817"</definedName>
    <definedName name="IQ_BALANCE_TRADE_USD_APR_FC" hidden="1">"c11770"</definedName>
    <definedName name="IQ_BALANCE_TRADE_USD_FC" hidden="1">"c11767"</definedName>
    <definedName name="IQ_BALANCE_TRADE_USD_POP_FC" hidden="1">"c11768"</definedName>
    <definedName name="IQ_BALANCE_TRADE_USD_YOY_FC" hidden="1">"c11769"</definedName>
    <definedName name="IQ_BALANCE_TRADE_YOY_FC_UNUSED" hidden="1">"c8137"</definedName>
    <definedName name="IQ_BALANCE_TRADE_YOY_FC_UNUSED_UNUSED_UNUSED" hidden="1">"c8137"</definedName>
    <definedName name="IQ_BALANCE_TRADE_YOY_UNUSED" hidden="1">"c7257"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LOAN_LIST" hidden="1">"c13507"</definedName>
    <definedName name="IQ_BANK_OWNED_LIFE_INSURANCE_THRIFT" hidden="1">"c24884"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ING_FEES_OPERATING_INC_FFIEC" hidden="1">"c13386"</definedName>
    <definedName name="IQ_BANKS_FOREIGN_COUNTRIES_NON_TRANS_ACCTS_FFIEC" hidden="1">"c15326"</definedName>
    <definedName name="IQ_BANKS_FOREIGN_COUNTRIES_TOTAL_DEPOSITS_FDIC" hidden="1">"c6475"</definedName>
    <definedName name="IQ_BANKS_FOREIGN_COUNTRIES_TRANS_ACCTS_FFIEC" hidden="1">"c15318"</definedName>
    <definedName name="IQ_BASE_RENT" hidden="1">"c16017"</definedName>
    <definedName name="IQ_BASE_RENT_OPERATING_LEASE_EXPIRING_AFTER_FIVE" hidden="1">"c16107"</definedName>
    <definedName name="IQ_BASE_RENT_OPERATING_LEASE_EXPIRING_CY" hidden="1">"c16101"</definedName>
    <definedName name="IQ_BASE_RENT_OPERATING_LEASE_EXPIRING_CY1" hidden="1">"c16102"</definedName>
    <definedName name="IQ_BASE_RENT_OPERATING_LEASE_EXPIRING_CY2" hidden="1">"c16103"</definedName>
    <definedName name="IQ_BASE_RENT_OPERATING_LEASE_EXPIRING_CY3" hidden="1">"c16104"</definedName>
    <definedName name="IQ_BASE_RENT_OPERATING_LEASE_EXPIRING_CY4" hidden="1">"c16105"</definedName>
    <definedName name="IQ_BASE_RENT_OPERATING_LEASE_EXPIRING_NEXT_FIVE" hidden="1">"c16106"</definedName>
    <definedName name="IQ_BASE_RENT_OPERATING_LEASE_EXPIRING_TOTAL" hidden="1">"c16108"</definedName>
    <definedName name="IQ_BASE_RENT_RENTAL_REVENUE" hidden="1">"c16062"</definedName>
    <definedName name="IQ_BASEL" hidden="1">"c26996"</definedName>
    <definedName name="IQ_BASIC_EPS_EXCL" hidden="1">"c85"</definedName>
    <definedName name="IQ_BASIC_EPS_INCL" hidden="1">"c86"</definedName>
    <definedName name="IQ_BASIC_NAV_SHARES" hidden="1">"c16012"</definedName>
    <definedName name="IQ_BASIC_NORMAL_EPS" hidden="1">"c1592"</definedName>
    <definedName name="IQ_BASIC_OUTSTANDING_CURRENT_EST" hidden="1">"c4128"</definedName>
    <definedName name="IQ_BASIC_OUTSTANDING_CURRENT_HIGH_EST" hidden="1">"c4129"</definedName>
    <definedName name="IQ_BASIC_OUTSTANDING_CURRENT_LOW_EST" hidden="1">"c4130"</definedName>
    <definedName name="IQ_BASIC_OUTSTANDING_CURRENT_MEDIAN_EST" hidden="1">"c4131"</definedName>
    <definedName name="IQ_BASIC_OUTSTANDING_CURRENT_NUM_EST" hidden="1">"c4132"</definedName>
    <definedName name="IQ_BASIC_OUTSTANDING_CURRENT_STDDEV_EST" hidden="1">"c4133"</definedName>
    <definedName name="IQ_BASIC_OUTSTANDING_EST" hidden="1">"c4134"</definedName>
    <definedName name="IQ_BASIC_OUTSTANDING_HIGH_EST" hidden="1">"c4135"</definedName>
    <definedName name="IQ_BASIC_OUTSTANDING_LOW_EST" hidden="1">"c4136"</definedName>
    <definedName name="IQ_BASIC_OUTSTANDING_MEDIAN_EST" hidden="1">"c4137"</definedName>
    <definedName name="IQ_BASIC_OUTSTANDING_NUM_EST" hidden="1">"c4138"</definedName>
    <definedName name="IQ_BASIC_OUTSTANDING_STDDEV_EST" hidden="1">"c4139"</definedName>
    <definedName name="IQ_BASIC_WEIGHT" hidden="1">"c87"</definedName>
    <definedName name="IQ_BASIC_WEIGHT_EST" hidden="1">"c4140"</definedName>
    <definedName name="IQ_BASIC_WEIGHT_GUIDANCE" hidden="1">"c4141"</definedName>
    <definedName name="IQ_BASIC_WEIGHT_HIGH_EST" hidden="1">"c4142"</definedName>
    <definedName name="IQ_BASIC_WEIGHT_LOW_EST" hidden="1">"c4143"</definedName>
    <definedName name="IQ_BASIC_WEIGHT_MEDIAN_EST" hidden="1">"c4144"</definedName>
    <definedName name="IQ_BASIC_WEIGHT_NUM_EST" hidden="1">"c4145"</definedName>
    <definedName name="IQ_BASIC_WEIGHT_STDDEV_EST" hidden="1">"c4146"</definedName>
    <definedName name="IQ_BEGINNING_BALANCE_GVA_THRIFT" hidden="1">"c25091"</definedName>
    <definedName name="IQ_BEGINNING_BALANCE_REPORTED_QUARTERLY_BALANCE_GVA_THRIFT" hidden="1">"c25090"</definedName>
    <definedName name="IQ_BEGINNING_BALANCE_REPORTED_QUARTERLY_BALANCE_SVA_THRIFT" hidden="1">"c25098"</definedName>
    <definedName name="IQ_BEGINNING_BALANCE_REPORTED_QUARTERLY_BALANCE_TVA_THRIFT" hidden="1">"c25105"</definedName>
    <definedName name="IQ_BEGINNING_BALANCE_SVA_THRIFT" hidden="1">"c25099"</definedName>
    <definedName name="IQ_BEGINNING_BALANCE_TVA_THRIFT" hidden="1">"c25106"</definedName>
    <definedName name="IQ_BENCHMARK_SECURITY" hidden="1">"c2154"</definedName>
    <definedName name="IQ_BENCHMARK_SPRD" hidden="1">"c2153"</definedName>
    <definedName name="IQ_BENCHMARK_YIELD" hidden="1">"c8955"</definedName>
    <definedName name="IQ_BETA" localSheetId="7" hidden="1">"c2133"</definedName>
    <definedName name="IQ_BETA" localSheetId="8" hidden="1">"c2133"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DPRICE" hidden="1">"c13926"</definedName>
    <definedName name="IQ_BIG_INT_BEAR_CD" hidden="1">"c89"</definedName>
    <definedName name="IQ_BOARD_MEMBER" hidden="1">"c96"</definedName>
    <definedName name="IQ_BOARD_MEMBER_ALL_OTHER_COMP" hidden="1">"c18992"</definedName>
    <definedName name="IQ_BOARD_MEMBER_ANNUAL_CASH_COMP" hidden="1">"c18993"</definedName>
    <definedName name="IQ_BOARD_MEMBER_AS_REPORTED_COMP" hidden="1">"c18997"</definedName>
    <definedName name="IQ_BOARD_MEMBER_AS_REPORTED_DIRECTOR_COMP" hidden="1">"c19009"</definedName>
    <definedName name="IQ_BOARD_MEMBER_ASSISTANT_EMAIL" hidden="1">"c15179"</definedName>
    <definedName name="IQ_BOARD_MEMBER_ASSISTANT_FAX" hidden="1">"c15181"</definedName>
    <definedName name="IQ_BOARD_MEMBER_ASSISTANT_NAME" hidden="1">"c15178"</definedName>
    <definedName name="IQ_BOARD_MEMBER_ASSISTANT_PHONE" hidden="1">"c15180"</definedName>
    <definedName name="IQ_BOARD_MEMBER_BACKGROUND" hidden="1">"c2101"</definedName>
    <definedName name="IQ_BOARD_MEMBER_BONUS" hidden="1">"c18988"</definedName>
    <definedName name="IQ_BOARD_MEMBER_CALCULATED_COMP" hidden="1">"c18995"</definedName>
    <definedName name="IQ_BOARD_MEMBER_CHANGE_PENSION" hidden="1">"c19010"</definedName>
    <definedName name="IQ_BOARD_MEMBER_DIRECT_FAX" hidden="1">"c15176"</definedName>
    <definedName name="IQ_BOARD_MEMBER_DIRECT_PHONE" hidden="1">"c15175"</definedName>
    <definedName name="IQ_BOARD_MEMBER_DIRECTOR_BONUS" hidden="1">"c19004"</definedName>
    <definedName name="IQ_BOARD_MEMBER_DIRECTOR_CHANGE_PENSION" hidden="1">"c19005"</definedName>
    <definedName name="IQ_BOARD_MEMBER_DIRECTOR_FEE" hidden="1">"c19001"</definedName>
    <definedName name="IQ_BOARD_MEMBER_DIRECTOR_NON_EQUITY_COMP" hidden="1">"c19006"</definedName>
    <definedName name="IQ_BOARD_MEMBER_DIRECTOR_OPTION_AWARDS" hidden="1">"c19002"</definedName>
    <definedName name="IQ_BOARD_MEMBER_DIRECTOR_OTHER" hidden="1">"c19003"</definedName>
    <definedName name="IQ_BOARD_MEMBER_DIRECTOR_STOCK_AWARDS" hidden="1">"c19007"</definedName>
    <definedName name="IQ_BOARD_MEMBER_DIRECTOR_STOCK_GRANTS" hidden="1">"c19034"</definedName>
    <definedName name="IQ_BOARD_MEMBER_DIRECTOR_STOCK_OPTIONS" hidden="1">"c19008"</definedName>
    <definedName name="IQ_BOARD_MEMBER_EMAIL" hidden="1">"c15177"</definedName>
    <definedName name="IQ_BOARD_MEMBER_EQUITY_INCENTIVE" hidden="1">"c19030"</definedName>
    <definedName name="IQ_BOARD_MEMBER_EST_PAYMENTS_CHANGE_CONTROL" hidden="1">"c18999"</definedName>
    <definedName name="IQ_BOARD_MEMBER_EST_PAYMENTS_TERMINATION" hidden="1">"c19011"</definedName>
    <definedName name="IQ_BOARD_MEMBER_EXERCISABLE_OPTIONS" hidden="1">"c19014"</definedName>
    <definedName name="IQ_BOARD_MEMBER_EXERCISABLE_VALUES" hidden="1">"c19015"</definedName>
    <definedName name="IQ_BOARD_MEMBER_EXERCISED_OPTIONS" hidden="1">"c19012"</definedName>
    <definedName name="IQ_BOARD_MEMBER_EXERCISED_VALUES" hidden="1">"c19013"</definedName>
    <definedName name="IQ_BOARD_MEMBER_FAX" hidden="1">"c2100"</definedName>
    <definedName name="IQ_BOARD_MEMBER_ID" hidden="1">"c13756"</definedName>
    <definedName name="IQ_BOARD_MEMBER_LT_INCENTIVE" hidden="1">"c18991"</definedName>
    <definedName name="IQ_BOARD_MEMBER_MAIN_FAX" hidden="1">"c15174"</definedName>
    <definedName name="IQ_BOARD_MEMBER_MAIN_PHONE" hidden="1">"c15173"</definedName>
    <definedName name="IQ_BOARD_MEMBER_MARKET_VALUE_SHARES_NOT_VESTED" hidden="1">"c19029"</definedName>
    <definedName name="IQ_BOARD_MEMBER_NON_EQUITY_INCENTIVE" hidden="1">"c19000"</definedName>
    <definedName name="IQ_BOARD_MEMBER_NUM_SHARED_NOT_VESTED" hidden="1">"c19028"</definedName>
    <definedName name="IQ_BOARD_MEMBER_NUM_SHARES_ACQUIRED" hidden="1">"c19026"</definedName>
    <definedName name="IQ_BOARD_MEMBER_OFFICE" hidden="1">"c2098"</definedName>
    <definedName name="IQ_BOARD_MEMBER_OFFICE_ADDRESS" hidden="1">"c15172"</definedName>
    <definedName name="IQ_BOARD_MEMBER_OPTION_AWARDS" hidden="1">"c18996"</definedName>
    <definedName name="IQ_BOARD_MEMBER_OPTION_MARKET_PRICE" hidden="1">"c19025"</definedName>
    <definedName name="IQ_BOARD_MEMBER_OPTION_PRICE" hidden="1">"c19024"</definedName>
    <definedName name="IQ_BOARD_MEMBER_OTHER_ANNUAL_COMP" hidden="1">"c18989"</definedName>
    <definedName name="IQ_BOARD_MEMBER_OTHER_COMP" hidden="1">"c18998"</definedName>
    <definedName name="IQ_BOARD_MEMBER_PHONE" hidden="1">"c2099"</definedName>
    <definedName name="IQ_BOARD_MEMBER_RESTRICTED_STOCK_COMP" hidden="1">"c18990"</definedName>
    <definedName name="IQ_BOARD_MEMBER_SALARY" hidden="1">"c18987"</definedName>
    <definedName name="IQ_BOARD_MEMBER_ST_COMP" hidden="1">"c18994"</definedName>
    <definedName name="IQ_BOARD_MEMBER_TITLE" hidden="1">"c97"</definedName>
    <definedName name="IQ_BOARD_MEMBER_TOTAL_NUM_STOCK_AWARDS" hidden="1">"c19033"</definedName>
    <definedName name="IQ_BOARD_MEMBER_TOTAL_OPTIONS" hidden="1">"c19022"</definedName>
    <definedName name="IQ_BOARD_MEMBER_TOTAL_STOCK_VALUE" hidden="1">"c19032"</definedName>
    <definedName name="IQ_BOARD_MEMBER_TOTAL_VALUE_OPTIONS" hidden="1">"c19023"</definedName>
    <definedName name="IQ_BOARD_MEMBER_UNCLASSIFIED_OPTIONS" hidden="1">"c19018"</definedName>
    <definedName name="IQ_BOARD_MEMBER_UNCLASSIFIED_OPTIONS_VALUE" hidden="1">"c19019"</definedName>
    <definedName name="IQ_BOARD_MEMBER_UNEARNED_STOCK_VALUE" hidden="1">"c19031"</definedName>
    <definedName name="IQ_BOARD_MEMBER_UNEXERCISABLE_OPTIONS" hidden="1">"c19016"</definedName>
    <definedName name="IQ_BOARD_MEMBER_UNEXERCISABLE_VALUES" hidden="1">"c19017"</definedName>
    <definedName name="IQ_BOARD_MEMBER_UNEXERCISED_UNEARNED_OPTIONS" hidden="1">"c19020"</definedName>
    <definedName name="IQ_BOARD_MEMBER_UNEXERCISED_UNEARNED_OPTIONS_VALUE" hidden="1">"c19021"</definedName>
    <definedName name="IQ_BOARD_MEMBER_VALUE_VESTING" hidden="1">"c19027"</definedName>
    <definedName name="IQ_BOND_COUPON" hidden="1">"c2183"</definedName>
    <definedName name="IQ_BOND_COUPON_TYPE" hidden="1">"c2184"</definedName>
    <definedName name="IQ_BOND_LIST" hidden="1">"c13505"</definedName>
    <definedName name="IQ_BOND_PRICE" hidden="1">"c2162"</definedName>
    <definedName name="IQ_BONDRATING_FITCH" localSheetId="7" hidden="1">"c223"</definedName>
    <definedName name="IQ_BONDRATING_FITCH" localSheetId="8" hidden="1">"c223"</definedName>
    <definedName name="IQ_BONDRATING_FITCH" hidden="1">"IQ_BONDRATING_FITCH"</definedName>
    <definedName name="IQ_BONDRATING_FITCH_DATE" hidden="1">"c241"</definedName>
    <definedName name="IQ_BONDRATING_SP" localSheetId="7" hidden="1">"c224"</definedName>
    <definedName name="IQ_BONDRATING_SP" localSheetId="8" hidden="1">"c224"</definedName>
    <definedName name="IQ_BONDRATING_SP" hidden="1">"IQ_BONDRATING_SP"</definedName>
    <definedName name="IQ_BONDRATING_SP_DATE" hidden="1">"c242"</definedName>
    <definedName name="IQ_BOOK_VALUE" hidden="1">"IQ_BOOK_VALUE"</definedName>
    <definedName name="IQ_BOP" hidden="1">"c20560"</definedName>
    <definedName name="IQ_BOP_BALANCE_ON_CURRENT_ACCOUNT" hidden="1">"c20561"</definedName>
    <definedName name="IQ_BOP_BALANCE_ON_GOODS" hidden="1">"c20562"</definedName>
    <definedName name="IQ_BOP_BALANCE_ON_GOODS_SERVICES" hidden="1">"c20563"</definedName>
    <definedName name="IQ_BOP_BALANCE_ON_INCOME" hidden="1">"c20564"</definedName>
    <definedName name="IQ_BOP_BALANCE_ON_SERVICES" hidden="1">"c20565"</definedName>
    <definedName name="IQ_BOP_CAPITAL_TRANSACTION_NET" hidden="1">"c20566"</definedName>
    <definedName name="IQ_BOP_CURRENT_TRANSFER_GOVERNMENT_GRANTS" hidden="1">"c20567"</definedName>
    <definedName name="IQ_BOP_CURRENT_TRANSFER_GOVERNMENT_PENSIONS" hidden="1">"c20568"</definedName>
    <definedName name="IQ_BOP_CURRENT_TRANSFER_NET" hidden="1">"c20569"</definedName>
    <definedName name="IQ_BOP_CURRENT_TRANSFER_PRIVATE_TRANSFER" hidden="1">"c20570"</definedName>
    <definedName name="IQ_BOP_EXPORTS_AND_RECEIPTS" hidden="1">"c20571"</definedName>
    <definedName name="IQ_BOP_EXPORTS_GOODS" hidden="1">"c20572"</definedName>
    <definedName name="IQ_BOP_EXPORTS_GOODS_SERVICES" hidden="1">"c20573"</definedName>
    <definedName name="IQ_BOP_EXPORTS_SERVICES" hidden="1">"c20574"</definedName>
    <definedName name="IQ_BOP_EXPORTS_SERVICES_FARES" hidden="1">"c20575"</definedName>
    <definedName name="IQ_BOP_EXPORTS_SERVICES_GOVERNMENT_MISC" hidden="1">"c20576"</definedName>
    <definedName name="IQ_BOP_EXPORTS_SERVICES_MILITARY_SALES_CONTRACTS" hidden="1">"c20577"</definedName>
    <definedName name="IQ_BOP_EXPORTS_SERVICES_OTHER" hidden="1">"c20578"</definedName>
    <definedName name="IQ_BOP_EXPORTS_SERVICES_ROYALTIES" hidden="1">"c20579"</definedName>
    <definedName name="IQ_BOP_EXPORTS_SERVICES_TRANSPORTATION" hidden="1">"c20580"</definedName>
    <definedName name="IQ_BOP_EXPORTS_SERVICES_TRAVEL" hidden="1">"c20581"</definedName>
    <definedName name="IQ_BOP_FOREIGN_ASSETS" hidden="1">"c20582"</definedName>
    <definedName name="IQ_BOP_FOREIGN_ASSETS_OFFICIAL" hidden="1">"c20583"</definedName>
    <definedName name="IQ_BOP_FOREIGN_ASSETS_OFFICIAL_BANK_LIABILITIES" hidden="1">"c20584"</definedName>
    <definedName name="IQ_BOP_FOREIGN_ASSETS_OFFICIAL_GOVT_LIABILITIES" hidden="1">"c20585"</definedName>
    <definedName name="IQ_BOP_FOREIGN_ASSETS_OFFICIAL_GOVT_SECURITIES" hidden="1">"c20586"</definedName>
    <definedName name="IQ_BOP_FOREIGN_ASSETS_OFFICIAL_GOVT_SECURITIES_OTHER" hidden="1">"c20587"</definedName>
    <definedName name="IQ_BOP_FOREIGN_ASSETS_OFFICIAL_OTHER" hidden="1">"c20588"</definedName>
    <definedName name="IQ_BOP_FOREIGN_ASSETS_OFFICIAL_TREASURIES" hidden="1">"c20589"</definedName>
    <definedName name="IQ_BOP_FOREIGN_ASSETS_OTHER" hidden="1">"c20590"</definedName>
    <definedName name="IQ_BOP_FOREIGN_ASSETS_OTHER_BANK_LIABILITIES" hidden="1">"c20591"</definedName>
    <definedName name="IQ_BOP_FOREIGN_ASSETS_OTHER_CURRENCY" hidden="1">"c20592"</definedName>
    <definedName name="IQ_BOP_FOREIGN_ASSETS_OTHER_DIRECT_INVEST" hidden="1">"c20593"</definedName>
    <definedName name="IQ_BOP_FOREIGN_ASSETS_OTHER_LIABILITIES_TO_FOREIGNERS" hidden="1">"c20594"</definedName>
    <definedName name="IQ_BOP_FOREIGN_ASSETS_OTHER_SECURITIES" hidden="1">"c20595"</definedName>
    <definedName name="IQ_BOP_FOREIGN_ASSETS_OTHER_TREASURIES" hidden="1">"c20596"</definedName>
    <definedName name="IQ_BOP_IMPORTS_AND_PAYMENTS" hidden="1">"c20597"</definedName>
    <definedName name="IQ_BOP_IMPORTS_GOODS" hidden="1">"c20598"</definedName>
    <definedName name="IQ_BOP_IMPORTS_GOODS_SERVICES" hidden="1">"c20599"</definedName>
    <definedName name="IQ_BOP_IMPORTS_SERVICES" hidden="1">"c20600"</definedName>
    <definedName name="IQ_BOP_IMPORTS_SERVICES_DEF_EXPENDITURES" hidden="1">"c20601"</definedName>
    <definedName name="IQ_BOP_IMPORTS_SERVICES_FARES" hidden="1">"c20602"</definedName>
    <definedName name="IQ_BOP_IMPORTS_SERVICES_GOVERNMENT_MISC" hidden="1">"c20603"</definedName>
    <definedName name="IQ_BOP_IMPORTS_SERVICES_OTHER" hidden="1">"c20604"</definedName>
    <definedName name="IQ_BOP_IMPORTS_SERVICES_ROYALTIES" hidden="1">"c20605"</definedName>
    <definedName name="IQ_BOP_IMPORTS_SERVICES_TRANSPORTATION" hidden="1">"c20606"</definedName>
    <definedName name="IQ_BOP_IMPORTS_SERVICES_TRAVEL" hidden="1">"c20607"</definedName>
    <definedName name="IQ_BOP_PAYMENTS" hidden="1">"c20608"</definedName>
    <definedName name="IQ_BOP_PAYMENTS_DIRECT_INVEST" hidden="1">"c20609"</definedName>
    <definedName name="IQ_BOP_PAYMENTS_EMPLOYEE_COMPENSATION" hidden="1">"c20610"</definedName>
    <definedName name="IQ_BOP_PAYMENTS_FOREGN_OWNED_ASSETS" hidden="1">"c20611"</definedName>
    <definedName name="IQ_BOP_PAYMENTS_GOVT" hidden="1">"c20612"</definedName>
    <definedName name="IQ_BOP_PAYMENTS_OTHER" hidden="1">"c20613"</definedName>
    <definedName name="IQ_BOP_RECEIPTS" hidden="1">"c20614"</definedName>
    <definedName name="IQ_BOP_RECEIPTS_DIRECT_INVEST" hidden="1">"c20615"</definedName>
    <definedName name="IQ_BOP_RECEIPTS_EMPLOYEE_COMPENSATION" hidden="1">"c20616"</definedName>
    <definedName name="IQ_BOP_RECEIPTS_GOVT" hidden="1">"c20617"</definedName>
    <definedName name="IQ_BOP_RECEIPTS_OTHER" hidden="1">"c20618"</definedName>
    <definedName name="IQ_BOP_RECEIPTS_US_ASSETS_ABROAD" hidden="1">"c20619"</definedName>
    <definedName name="IQ_BOP_STATISTICAL_DISCREPANCY" hidden="1">"c20620"</definedName>
    <definedName name="IQ_BOP_US_ASSETS_ABROAD" hidden="1">"c20621"</definedName>
    <definedName name="IQ_BOP_US_GOVT_ASSETS" hidden="1">"c20622"</definedName>
    <definedName name="IQ_BOP_US_GOVT_ASSETS_FX" hidden="1">"c20623"</definedName>
    <definedName name="IQ_BOP_US_GOVT_ASSETS_US_CREDITS" hidden="1">"c20624"</definedName>
    <definedName name="IQ_BOP_US_GOVT_ASSETS_US_CREDITS_REPAYMENTS" hidden="1">"c20625"</definedName>
    <definedName name="IQ_BOP_US_PRIVATE_ASSETS" hidden="1">"c20626"</definedName>
    <definedName name="IQ_BOP_US_PRIVATE_ASSETS_CLAIMS_BANKS_BROKERS" hidden="1">"c20627"</definedName>
    <definedName name="IQ_BOP_US_PRIVATE_ASSETS_CLAIMS_ON_FOREIGNERS" hidden="1">"c20628"</definedName>
    <definedName name="IQ_BOP_US_PRIVATE_ASSETS_DIRECT_INVEST" hidden="1">"c20629"</definedName>
    <definedName name="IQ_BOP_US_PRIVATE_ASSETS_FOREIGN_SECURITIES" hidden="1">"c20630"</definedName>
    <definedName name="IQ_BOP_US_RESERVE_ASSETS" hidden="1">"c20631"</definedName>
    <definedName name="IQ_BOP_US_RESERVE_ASSETS_DRAWING_RIGHTS" hidden="1">"c20632"</definedName>
    <definedName name="IQ_BOP_US_RESERVE_ASSETS_FX" hidden="1">"c20633"</definedName>
    <definedName name="IQ_BOP_US_RESERVE_ASSETS_GOLD" hidden="1">"c20634"</definedName>
    <definedName name="IQ_BOP_US_RESERVE_ASSETS_IMF_RESERVES" hidden="1">"c20635"</definedName>
    <definedName name="IQ_BORROWED_MONEY_QUARTERLY_AVG_FFIEC" hidden="1">"c13091"</definedName>
    <definedName name="IQ_BORROWINGS_LESS_1YR_ASSETS_TOT_FFIEC" hidden="1">"c13450"</definedName>
    <definedName name="IQ_BR_FILING_DATE" hidden="1">"c16223"</definedName>
    <definedName name="IQ_BR_FILING_TYPE" hidden="1">"c16224"</definedName>
    <definedName name="IQ_BR_PLAN_APPROVE_DATE" hidden="1">"c16226"</definedName>
    <definedName name="IQ_BR_PLAN_CONFIRM" hidden="1">"c16225"</definedName>
    <definedName name="IQ_BROK_COMISSION" hidden="1">"c98"</definedName>
    <definedName name="IQ_BROK_COMMISSION" hidden="1">"c3514"</definedName>
    <definedName name="IQ_BROKER_DEPOSIT_LESS_THAN_100000_1_YR_LESS_FFIEC" hidden="1">"c15307"</definedName>
    <definedName name="IQ_BROKER_DEPOSIT_LESS_THAN_100000_1_YR_MORE_FFIEC" hidden="1">"c15308"</definedName>
    <definedName name="IQ_BROKER_DEPOSIT_LESS_THAN_100000_FFIEC" hidden="1">"c15306"</definedName>
    <definedName name="IQ_BROKER_DEPOSIT_MORE_THAN_100000_1_YR_LESS_FFIEC" hidden="1">"c15310"</definedName>
    <definedName name="IQ_BROKER_DEPOSIT_MORE_THAN_100000_1_YR_MORE_FFIEC" hidden="1">"c15311"</definedName>
    <definedName name="IQ_BROKER_DEPOSIT_MORE_THAN_100000_FFIEC" hidden="1">"c15309"</definedName>
    <definedName name="IQ_BROKER_DEPOSITS_TOTAL_DEPOSITS_THRIFT" hidden="1">"c25781"</definedName>
    <definedName name="IQ_BROKER_ORIGINATED_DEPOSITS_FULLY_INSURED_100000_THROUGH_250000_THRIFT" hidden="1">"c24980"</definedName>
    <definedName name="IQ_BROKER_ORIGINATED_DEPOSITS_FULLY_INSURED_LESS_THAN_100000_THRIFT" hidden="1">"c24979"</definedName>
    <definedName name="IQ_BROKERED_DEPOSITS_FDIC" hidden="1">"c6486"</definedName>
    <definedName name="IQ_BUDGET_BALANCE_APR_FC_UNUSED" hidden="1">"c8359"</definedName>
    <definedName name="IQ_BUDGET_BALANCE_APR_FC_UNUSED_UNUSED_UNUSED" hidden="1">"c8359"</definedName>
    <definedName name="IQ_BUDGET_BALANCE_APR_UNUSED" hidden="1">"c7479"</definedName>
    <definedName name="IQ_BUDGET_BALANCE_APR_UNUSED_UNUSED_UNUSED" hidden="1">"c7479"</definedName>
    <definedName name="IQ_BUDGET_BALANCE_FC_UNUSED" hidden="1">"c7699"</definedName>
    <definedName name="IQ_BUDGET_BALANCE_FC_UNUSED_UNUSED_UNUSED" hidden="1">"c7699"</definedName>
    <definedName name="IQ_BUDGET_BALANCE_POP_FC_UNUSED" hidden="1">"c7919"</definedName>
    <definedName name="IQ_BUDGET_BALANCE_POP_FC_UNUSED_UNUSED_UNUSED" hidden="1">"c7919"</definedName>
    <definedName name="IQ_BUDGET_BALANCE_POP_UNUSED" hidden="1">"c7039"</definedName>
    <definedName name="IQ_BUDGET_BALANCE_POP_UNUSED_UNUSED_UNUSED" hidden="1">"c7039"</definedName>
    <definedName name="IQ_BUDGET_BALANCE_SAAR" hidden="1">"c6820"</definedName>
    <definedName name="IQ_BUDGET_BALANCE_SAAR_APR" hidden="1">"c7480"</definedName>
    <definedName name="IQ_BUDGET_BALANCE_SAAR_APR_FC" hidden="1">"c8360"</definedName>
    <definedName name="IQ_BUDGET_BALANCE_SAAR_FC" hidden="1">"c7700"</definedName>
    <definedName name="IQ_BUDGET_BALANCE_SAAR_POP" hidden="1">"c7040"</definedName>
    <definedName name="IQ_BUDGET_BALANCE_SAAR_POP_FC" hidden="1">"c7920"</definedName>
    <definedName name="IQ_BUDGET_BALANCE_SAAR_YOY" hidden="1">"c7260"</definedName>
    <definedName name="IQ_BUDGET_BALANCE_SAAR_YOY_FC" hidden="1">"c8140"</definedName>
    <definedName name="IQ_BUDGET_BALANCE_UNUSED" hidden="1">"c6819"</definedName>
    <definedName name="IQ_BUDGET_BALANCE_UNUSED_UNUSED_UNUSED" hidden="1">"c6819"</definedName>
    <definedName name="IQ_BUDGET_BALANCE_YOY_FC_UNUSED" hidden="1">"c8139"</definedName>
    <definedName name="IQ_BUDGET_BALANCE_YOY_FC_UNUSED_UNUSED_UNUSED" hidden="1">"c8139"</definedName>
    <definedName name="IQ_BUDGET_BALANCE_YOY_UNUSED" hidden="1">"c7259"</definedName>
    <definedName name="IQ_BUDGET_BALANCE_YOY_UNUSED_UNUSED_UNUSED" hidden="1">"c7259"</definedName>
    <definedName name="IQ_BUDGET_RECEIPTS_APR_FC_UNUSED" hidden="1">"c8361"</definedName>
    <definedName name="IQ_BUDGET_RECEIPTS_APR_FC_UNUSED_UNUSED_UNUSED" hidden="1">"c8361"</definedName>
    <definedName name="IQ_BUDGET_RECEIPTS_APR_UNUSED" hidden="1">"c7481"</definedName>
    <definedName name="IQ_BUDGET_RECEIPTS_APR_UNUSED_UNUSED_UNUSED" hidden="1">"c7481"</definedName>
    <definedName name="IQ_BUDGET_RECEIPTS_FC_UNUSED" hidden="1">"c7701"</definedName>
    <definedName name="IQ_BUDGET_RECEIPTS_FC_UNUSED_UNUSED_UNUSED" hidden="1">"c7701"</definedName>
    <definedName name="IQ_BUDGET_RECEIPTS_POP_FC_UNUSED" hidden="1">"c7921"</definedName>
    <definedName name="IQ_BUDGET_RECEIPTS_POP_FC_UNUSED_UNUSED_UNUSED" hidden="1">"c7921"</definedName>
    <definedName name="IQ_BUDGET_RECEIPTS_POP_UNUSED" hidden="1">"c7041"</definedName>
    <definedName name="IQ_BUDGET_RECEIPTS_POP_UNUSED_UNUSED_UNUSED" hidden="1">"c7041"</definedName>
    <definedName name="IQ_BUDGET_RECEIPTS_UNUSED" hidden="1">"c6821"</definedName>
    <definedName name="IQ_BUDGET_RECEIPTS_UNUSED_UNUSED_UNUSED" hidden="1">"c6821"</definedName>
    <definedName name="IQ_BUDGET_RECEIPTS_YOY_FC_UNUSED" hidden="1">"c8141"</definedName>
    <definedName name="IQ_BUDGET_RECEIPTS_YOY_FC_UNUSED_UNUSED_UNUSED" hidden="1">"c8141"</definedName>
    <definedName name="IQ_BUDGET_RECEIPTS_YOY_UNUSED" hidden="1">"c7261"</definedName>
    <definedName name="IQ_BUDGET_RECEIPTS_YOY_UNUSED_UNUSED_UNUSED" hidden="1">"c7261"</definedName>
    <definedName name="IQ_BUDGET_SPENDING" hidden="1">"c6822"</definedName>
    <definedName name="IQ_BUDGET_SPENDING_APR" hidden="1">"c7482"</definedName>
    <definedName name="IQ_BUDGET_SPENDING_APR_FC" hidden="1">"c8362"</definedName>
    <definedName name="IQ_BUDGET_SPENDING_FC" hidden="1">"c7702"</definedName>
    <definedName name="IQ_BUDGET_SPENDING_POP" hidden="1">"c7042"</definedName>
    <definedName name="IQ_BUDGET_SPENDING_POP_FC" hidden="1">"c7922"</definedName>
    <definedName name="IQ_BUDGET_SPENDING_REAL" hidden="1">"c6958"</definedName>
    <definedName name="IQ_BUDGET_SPENDING_REAL_APR" hidden="1">"c7618"</definedName>
    <definedName name="IQ_BUDGET_SPENDING_REAL_APR_FC" hidden="1">"c8498"</definedName>
    <definedName name="IQ_BUDGET_SPENDING_REAL_FC" hidden="1">"c7838"</definedName>
    <definedName name="IQ_BUDGET_SPENDING_REAL_POP" hidden="1">"c7178"</definedName>
    <definedName name="IQ_BUDGET_SPENDING_REAL_POP_FC" hidden="1">"c8058"</definedName>
    <definedName name="IQ_BUDGET_SPENDING_REAL_SAAR" hidden="1">"c6959"</definedName>
    <definedName name="IQ_BUDGET_SPENDING_REAL_SAAR_APR" hidden="1">"c7619"</definedName>
    <definedName name="IQ_BUDGET_SPENDING_REAL_SAAR_APR_FC" hidden="1">"c8499"</definedName>
    <definedName name="IQ_BUDGET_SPENDING_REAL_SAAR_FC" hidden="1">"c7839"</definedName>
    <definedName name="IQ_BUDGET_SPENDING_REAL_SAAR_POP" hidden="1">"c7179"</definedName>
    <definedName name="IQ_BUDGET_SPENDING_REAL_SAAR_POP_FC" hidden="1">"c8059"</definedName>
    <definedName name="IQ_BUDGET_SPENDING_REAL_SAAR_USD" hidden="1">"c11906"</definedName>
    <definedName name="IQ_BUDGET_SPENDING_REAL_SAAR_USD_APR" hidden="1">"c11909"</definedName>
    <definedName name="IQ_BUDGET_SPENDING_REAL_SAAR_USD_POP" hidden="1">"c11907"</definedName>
    <definedName name="IQ_BUDGET_SPENDING_REAL_SAAR_USD_YOY" hidden="1">"c11908"</definedName>
    <definedName name="IQ_BUDGET_SPENDING_REAL_SAAR_YOY" hidden="1">"c7399"</definedName>
    <definedName name="IQ_BUDGET_SPENDING_REAL_SAAR_YOY_FC" hidden="1">"c8279"</definedName>
    <definedName name="IQ_BUDGET_SPENDING_REAL_YOY" hidden="1">"c7398"</definedName>
    <definedName name="IQ_BUDGET_SPENDING_REAL_YOY_FC" hidden="1">"c8278"</definedName>
    <definedName name="IQ_BUDGET_SPENDING_SAAR" hidden="1">"c6823"</definedName>
    <definedName name="IQ_BUDGET_SPENDING_SAAR_APR" hidden="1">"c7483"</definedName>
    <definedName name="IQ_BUDGET_SPENDING_SAAR_APR_FC" hidden="1">"c8363"</definedName>
    <definedName name="IQ_BUDGET_SPENDING_SAAR_FC" hidden="1">"c7703"</definedName>
    <definedName name="IQ_BUDGET_SPENDING_SAAR_POP" hidden="1">"c7043"</definedName>
    <definedName name="IQ_BUDGET_SPENDING_SAAR_POP_FC" hidden="1">"c7923"</definedName>
    <definedName name="IQ_BUDGET_SPENDING_SAAR_USD_APR_FC" hidden="1">"c11782"</definedName>
    <definedName name="IQ_BUDGET_SPENDING_SAAR_USD_FC" hidden="1">"c11779"</definedName>
    <definedName name="IQ_BUDGET_SPENDING_SAAR_USD_POP_FC" hidden="1">"c11780"</definedName>
    <definedName name="IQ_BUDGET_SPENDING_SAAR_USD_YOY_FC" hidden="1">"c11781"</definedName>
    <definedName name="IQ_BUDGET_SPENDING_SAAR_YOY" hidden="1">"c7263"</definedName>
    <definedName name="IQ_BUDGET_SPENDING_SAAR_YOY_FC" hidden="1">"c8143"</definedName>
    <definedName name="IQ_BUDGET_SPENDING_USD_APR_FC" hidden="1">"c11778"</definedName>
    <definedName name="IQ_BUDGET_SPENDING_USD_FC" hidden="1">"c11775"</definedName>
    <definedName name="IQ_BUDGET_SPENDING_USD_POP_FC" hidden="1">"c11776"</definedName>
    <definedName name="IQ_BUDGET_SPENDING_USD_YOY_FC" hidden="1">"c11777"</definedName>
    <definedName name="IQ_BUDGET_SPENDING_YOY" hidden="1">"c7262"</definedName>
    <definedName name="IQ_BUDGET_SPENDING_YOY_FC" hidden="1">"c8142"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DESCRIPTION" hidden="1">"c15589"</definedName>
    <definedName name="IQ_BUS_SEG_DESCRIPTION_ABS" hidden="1">"c15577"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IC" hidden="1">"c15588"</definedName>
    <definedName name="IQ_BUS_SEG_NAIC_ABS" hidden="1">"c15576"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PRIMARY_GIC" hidden="1">"c15584"</definedName>
    <definedName name="IQ_BUS_SEG_PRIMARY_GIC_ABS" hidden="1">"c15572"</definedName>
    <definedName name="IQ_BUS_SEG_PRIMARY_SIC" hidden="1">"c15586"</definedName>
    <definedName name="IQ_BUS_SEG_PRIMARY_SIC_ABS" hidden="1">"c15574"</definedName>
    <definedName name="IQ_BUS_SEG_REV" hidden="1">"c4068"</definedName>
    <definedName name="IQ_BUS_SEG_REV_ABS" hidden="1">"c4090"</definedName>
    <definedName name="IQ_BUS_SEG_REV_TOTAL" hidden="1">"c4106"</definedName>
    <definedName name="IQ_BUS_SEG_SECONDARY_GIC" hidden="1">"c15585"</definedName>
    <definedName name="IQ_BUS_SEG_SECONDARY_GIC_ABS" hidden="1">"c15573"</definedName>
    <definedName name="IQ_BUS_SEG_SECONDARY_SIC" hidden="1">"c15587"</definedName>
    <definedName name="IQ_BUS_SEG_SECONDARY_SIC_ABS" hidden="1">"c15575"</definedName>
    <definedName name="IQ_BUSINESS_COMBINATIONS_FFIEC" hidden="1">"c12967"</definedName>
    <definedName name="IQ_BUSINESS_DESCRIPTION" hidden="1">"c322"</definedName>
    <definedName name="IQ_BV_ACT_OR_EST_CIQ" hidden="1">"c5068"</definedName>
    <definedName name="IQ_BV_ACT_OR_EST_CIQ_COL" hidden="1">"c11715"</definedName>
    <definedName name="IQ_BV_ACT_OR_EST_REUT" hidden="1">"c5471"</definedName>
    <definedName name="IQ_BV_ACT_OR_EST_THOM" hidden="1">"c5308"</definedName>
    <definedName name="IQ_BV_EST" hidden="1">"c5624"</definedName>
    <definedName name="IQ_BV_EST_REUT" hidden="1">"c5403"</definedName>
    <definedName name="IQ_BV_EST_THOM" hidden="1">"c5147"</definedName>
    <definedName name="IQ_BV_HIGH_EST" hidden="1">"c5626"</definedName>
    <definedName name="IQ_BV_HIGH_EST_REUT" hidden="1">"c5405"</definedName>
    <definedName name="IQ_BV_HIGH_EST_THOM" hidden="1">"c5149"</definedName>
    <definedName name="IQ_BV_LOW_EST" hidden="1">"c5627"</definedName>
    <definedName name="IQ_BV_LOW_EST_REUT" hidden="1">"c5406"</definedName>
    <definedName name="IQ_BV_LOW_EST_THOM" hidden="1">"c5150"</definedName>
    <definedName name="IQ_BV_MEDIAN_EST" hidden="1">"c5625"</definedName>
    <definedName name="IQ_BV_MEDIAN_EST_REUT" hidden="1">"c5404"</definedName>
    <definedName name="IQ_BV_MEDIAN_EST_THOM" hidden="1">"c5148"</definedName>
    <definedName name="IQ_BV_NUM_EST" hidden="1">"c5628"</definedName>
    <definedName name="IQ_BV_NUM_EST_REUT" hidden="1">"c5407"</definedName>
    <definedName name="IQ_BV_NUM_EST_THOM" hidden="1">"c5151"</definedName>
    <definedName name="IQ_BV_OVER_SHARES" localSheetId="7" hidden="1">"c1349"</definedName>
    <definedName name="IQ_BV_OVER_SHARES" localSheetId="8" hidden="1">"c1349"</definedName>
    <definedName name="IQ_BV_OVER_SHARES" hidden="1">"c1349"</definedName>
    <definedName name="IQ_BV_SHARE" hidden="1">"c100"</definedName>
    <definedName name="IQ_BV_SHARE_ACT_OR_EST" hidden="1">"c3587"</definedName>
    <definedName name="IQ_BV_SHARE_ACT_OR_EST_CIQ_COL" hidden="1">"c11719"</definedName>
    <definedName name="IQ_BV_SHARE_ACT_OR_EST_REUT" hidden="1">"c5477"</definedName>
    <definedName name="IQ_BV_SHARE_ACT_OR_EST_THOM" hidden="1">"c5312"</definedName>
    <definedName name="IQ_BV_SHARE_DET_EST" hidden="1">"c12047"</definedName>
    <definedName name="IQ_BV_SHARE_DET_EST_CURRENCY" hidden="1">"c12456"</definedName>
    <definedName name="IQ_BV_SHARE_DET_EST_CURRENCY_THOM" hidden="1">"c12476"</definedName>
    <definedName name="IQ_BV_SHARE_DET_EST_DATE" hidden="1">"c12200"</definedName>
    <definedName name="IQ_BV_SHARE_DET_EST_DATE_THOM" hidden="1">"c12225"</definedName>
    <definedName name="IQ_BV_SHARE_DET_EST_INCL" hidden="1">"c12339"</definedName>
    <definedName name="IQ_BV_SHARE_DET_EST_INCL_THOM" hidden="1">"c12359"</definedName>
    <definedName name="IQ_BV_SHARE_DET_EST_ORIGIN" hidden="1">"c12573"</definedName>
    <definedName name="IQ_BV_SHARE_DET_EST_ORIGIN_THOM" hidden="1">"c12595"</definedName>
    <definedName name="IQ_BV_SHARE_DET_EST_THOM" hidden="1">"c12075"</definedName>
    <definedName name="IQ_BV_SHARE_EST" hidden="1">"c3541"</definedName>
    <definedName name="IQ_BV_SHARE_EST_REUT" hidden="1">"c5439"</definedName>
    <definedName name="IQ_BV_SHARE_EST_THOM" hidden="1">"c4020"</definedName>
    <definedName name="IQ_BV_SHARE_HIGH_EST" hidden="1">"c3542"</definedName>
    <definedName name="IQ_BV_SHARE_HIGH_EST_REUT" hidden="1">"c5441"</definedName>
    <definedName name="IQ_BV_SHARE_HIGH_EST_THOM" hidden="1">"c4022"</definedName>
    <definedName name="IQ_BV_SHARE_LOW_EST" hidden="1">"c3543"</definedName>
    <definedName name="IQ_BV_SHARE_LOW_EST_REUT" hidden="1">"c5442"</definedName>
    <definedName name="IQ_BV_SHARE_LOW_EST_THOM" hidden="1">"c4023"</definedName>
    <definedName name="IQ_BV_SHARE_MEDIAN_EST" hidden="1">"c3544"</definedName>
    <definedName name="IQ_BV_SHARE_MEDIAN_EST_REUT" hidden="1">"c5440"</definedName>
    <definedName name="IQ_BV_SHARE_MEDIAN_EST_THOM" hidden="1">"c4021"</definedName>
    <definedName name="IQ_BV_SHARE_NUM_EST" hidden="1">"c3539"</definedName>
    <definedName name="IQ_BV_SHARE_NUM_EST_REUT" hidden="1">"c5443"</definedName>
    <definedName name="IQ_BV_SHARE_NUM_EST_THOM" hidden="1">"c4024"</definedName>
    <definedName name="IQ_BV_SHARE_STDDEV_EST" hidden="1">"c3540"</definedName>
    <definedName name="IQ_BV_SHARE_STDDEV_EST_REUT" hidden="1">"c5444"</definedName>
    <definedName name="IQ_BV_SHARE_STDDEV_EST_THOM" hidden="1">"c4025"</definedName>
    <definedName name="IQ_BV_STDDEV_EST" hidden="1">"c5629"</definedName>
    <definedName name="IQ_BV_STDDEV_EST_REUT" hidden="1">"c5408"</definedName>
    <definedName name="IQ_BV_STDDEV_EST_THOM" hidden="1">"c5152"</definedName>
    <definedName name="IQ_CA_AP" hidden="1">"c8881"</definedName>
    <definedName name="IQ_CA_AP_ABS" hidden="1">"c8900"</definedName>
    <definedName name="IQ_CA_NAME_AP" hidden="1">"c8919"</definedName>
    <definedName name="IQ_CA_NAME_AP_ABS" hidden="1">"c8938"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BUS_PHONE" hidden="1">"c15773"</definedName>
    <definedName name="IQ_CABLE_SUBS_DIG" hidden="1">"c2856"</definedName>
    <definedName name="IQ_CABLE_SUBS_LONG_DIST_PHONE" hidden="1">"c15775"</definedName>
    <definedName name="IQ_CABLE_SUBS_NON_VIDEO" hidden="1">"c2860"</definedName>
    <definedName name="IQ_CABLE_SUBS_PHONE" hidden="1">"c2859"</definedName>
    <definedName name="IQ_CABLE_SUBS_RES_PHONE" hidden="1">"c15772"</definedName>
    <definedName name="IQ_CABLE_SUBS_SATELITE" hidden="1">"c15771"</definedName>
    <definedName name="IQ_CABLE_SUBS_TOTAL" hidden="1">"c2862"</definedName>
    <definedName name="IQ_CABLE_SUBS_WHOLE_PHONE" hidden="1">"c15774"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Q_EST" hidden="1">"c6796"</definedName>
    <definedName name="IQ_CAL_Q_EST_CIQ" hidden="1">"c6808"</definedName>
    <definedName name="IQ_CAL_Q_EST_CIQ_COL" hidden="1">"c11743"</definedName>
    <definedName name="IQ_CAL_Q_EST_REUT" hidden="1">"c6800"</definedName>
    <definedName name="IQ_CAL_Q_EST_THOM" hidden="1">"c6804"</definedName>
    <definedName name="IQ_CAL_Y" hidden="1">"c102"</definedName>
    <definedName name="IQ_CAL_Y_EST" hidden="1">"c6797"</definedName>
    <definedName name="IQ_CAL_Y_EST_CIQ" hidden="1">"c6809"</definedName>
    <definedName name="IQ_CAL_Y_EST_CIQ_COL" hidden="1">"c11744"</definedName>
    <definedName name="IQ_CAL_Y_EST_REUT" hidden="1">"c6801"</definedName>
    <definedName name="IQ_CAL_Y_EST_THOM" hidden="1">"c6805"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INVEST_CABLE" hidden="1">"c15794"</definedName>
    <definedName name="IQ_CAP_INVEST_COMMERCIAL" hidden="1">"c15800"</definedName>
    <definedName name="IQ_CAP_INVEST_CUST_PREMISE_EQUIP" hidden="1">"c15795"</definedName>
    <definedName name="IQ_CAP_INVEST_LINE_EXTENSIONS" hidden="1">"c15797"</definedName>
    <definedName name="IQ_CAP_INVEST_SCALABLE_INFRASTRUCTURE" hidden="1">"c15796"</definedName>
    <definedName name="IQ_CAP_INVEST_SUPPORT" hidden="1">"c15799"</definedName>
    <definedName name="IQ_CAP_INVEST_UPGRADE_REBUILD" hidden="1">"c15798"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_UTIL_RATE" hidden="1">"c6824"</definedName>
    <definedName name="IQ_CAP_UTIL_RATE_POP" hidden="1">"c7044"</definedName>
    <definedName name="IQ_CAP_UTIL_RATE_YOY" hidden="1">"c7264"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ACT_OR_EST" hidden="1">"c3584"</definedName>
    <definedName name="IQ_CAPEX_ACT_OR_EST_CIQ_COL" hidden="1">"c11718"</definedName>
    <definedName name="IQ_CAPEX_ACT_OR_EST_REUT" hidden="1">"c5474"</definedName>
    <definedName name="IQ_CAPEX_ACT_OR_EST_THOM" hidden="1">"c5546"</definedName>
    <definedName name="IQ_CAPEX_BNK" hidden="1">"c110"</definedName>
    <definedName name="IQ_CAPEX_BR" hidden="1">"c111"</definedName>
    <definedName name="IQ_CAPEX_CM" hidden="1">"c111"</definedName>
    <definedName name="IQ_CAPEX_DET_EST" hidden="1">"c12048"</definedName>
    <definedName name="IQ_CAPEX_DET_EST_CURRENCY" hidden="1">"c12457"</definedName>
    <definedName name="IQ_CAPEX_DET_EST_CURRENCY_THOM" hidden="1">"c12477"</definedName>
    <definedName name="IQ_CAPEX_DET_EST_DATE" hidden="1">"c12201"</definedName>
    <definedName name="IQ_CAPEX_DET_EST_DATE_THOM" hidden="1">"c12226"</definedName>
    <definedName name="IQ_CAPEX_DET_EST_INCL" hidden="1">"c12340"</definedName>
    <definedName name="IQ_CAPEX_DET_EST_INCL_THOM" hidden="1">"c12360"</definedName>
    <definedName name="IQ_CAPEX_DET_EST_ORIGIN" hidden="1">"c12765"</definedName>
    <definedName name="IQ_CAPEX_DET_EST_ORIGIN_THOM" hidden="1">"c12596"</definedName>
    <definedName name="IQ_CAPEX_DET_EST_THOM" hidden="1">"c12076"</definedName>
    <definedName name="IQ_CAPEX_EST" hidden="1">"c3523"</definedName>
    <definedName name="IQ_CAPEX_EST_REUT" hidden="1">"c3969"</definedName>
    <definedName name="IQ_CAPEX_EST_THOM" hidden="1">"c5502"</definedName>
    <definedName name="IQ_CAPEX_FIN" hidden="1">"c112"</definedName>
    <definedName name="IQ_CAPEX_GUIDANCE_CIQ" hidden="1">"c4562"</definedName>
    <definedName name="IQ_CAPEX_GUIDANCE_CIQ_COL" hidden="1">"c11211"</definedName>
    <definedName name="IQ_CAPEX_HIGH_EST" hidden="1">"c3524"</definedName>
    <definedName name="IQ_CAPEX_HIGH_EST_REUT" hidden="1">"c3971"</definedName>
    <definedName name="IQ_CAPEX_HIGH_EST_THOM" hidden="1">"c5504"</definedName>
    <definedName name="IQ_CAPEX_HIGH_GUIDANCE_CIQ" hidden="1">"c4592"</definedName>
    <definedName name="IQ_CAPEX_HIGH_GUIDANCE_CIQ_COL" hidden="1">"c11241"</definedName>
    <definedName name="IQ_CAPEX_INS" hidden="1">"c113"</definedName>
    <definedName name="IQ_CAPEX_LOW_EST" hidden="1">"c3525"</definedName>
    <definedName name="IQ_CAPEX_LOW_EST_REUT" hidden="1">"c3972"</definedName>
    <definedName name="IQ_CAPEX_LOW_EST_THOM" hidden="1">"c5505"</definedName>
    <definedName name="IQ_CAPEX_LOW_GUIDANCE_CIQ" hidden="1">"c4632"</definedName>
    <definedName name="IQ_CAPEX_LOW_GUIDANCE_CIQ_COL" hidden="1">"c11281"</definedName>
    <definedName name="IQ_CAPEX_MEDIAN_EST" hidden="1">"c3526"</definedName>
    <definedName name="IQ_CAPEX_MEDIAN_EST_REUT" hidden="1">"c3970"</definedName>
    <definedName name="IQ_CAPEX_MEDIAN_EST_THOM" hidden="1">"c5503"</definedName>
    <definedName name="IQ_CAPEX_NUM_EST" hidden="1">"c3521"</definedName>
    <definedName name="IQ_CAPEX_NUM_EST_REUT" hidden="1">"c3973"</definedName>
    <definedName name="IQ_CAPEX_NUM_EST_THOM" hidden="1">"c5506"</definedName>
    <definedName name="IQ_CAPEX_PCT_REV" hidden="1">"c19144"</definedName>
    <definedName name="IQ_CAPEX_STDDEV_EST" hidden="1">"c3522"</definedName>
    <definedName name="IQ_CAPEX_STDDEV_EST_REUT" hidden="1">"c3974"</definedName>
    <definedName name="IQ_CAPEX_STDDEV_EST_THOM" hidden="1">"c5507"</definedName>
    <definedName name="IQ_CAPEX_UTI" hidden="1">"c114"</definedName>
    <definedName name="IQ_CAPITAL_ALLOCATION_ADJUSTMENT_FOREIGN_FFIEC" hidden="1">"c15389"</definedName>
    <definedName name="IQ_CAPITAL_CONTRIBUTIONS_SAVINGS_ASSOCIATION_THRIFT" hidden="1">"c25014"</definedName>
    <definedName name="IQ_CAPITAL_LEASE" localSheetId="7" hidden="1">"c1350"</definedName>
    <definedName name="IQ_CAPITAL_LEASE" localSheetId="8" hidden="1">"c1350"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_RAISED_PERIOD_COVERED" hidden="1">"c9959"</definedName>
    <definedName name="IQ_CAPITAL_RAISED_PERIOD_GROUP" hidden="1">"c9945"</definedName>
    <definedName name="IQ_CAPITAL_UNDER_MANAGE" hidden="1">"c18929"</definedName>
    <definedName name="IQ_CAPITAL_UNDER_MANAGE_CURRENCY" hidden="1">"c19171"</definedName>
    <definedName name="IQ_CAPITAL_UNDER_MANAGE_DATE" hidden="1">"c18930"</definedName>
    <definedName name="IQ_CAPITALIZED_INT_THRIFT" hidden="1">"c24763"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RRYING_AMT_DEBT_SEC_COVERED_FDIC_LOSS_SHARING_AGREEMENTS_THRIFT" hidden="1">"c24944"</definedName>
    <definedName name="IQ_CARRYING_AMT_LOANS_LEASES_COVERED_FDIC_LOSS_SHARING_AGREEMENTS_THRIFT" hidden="1">"c24942"</definedName>
    <definedName name="IQ_CARRYING_AMT_OTHER_ASSETS_COVERED_FDIC_LOSS_SHARING_AGREEMENTS_THRIFT" hidden="1">"c24945"</definedName>
    <definedName name="IQ_CARRYING_AMT_RE_OWNED_COVERED_FDIC_LOSS_SHARING_AGREEMENTS_THRIFT" hidden="1">"c24943"</definedName>
    <definedName name="IQ_CASH" localSheetId="7" hidden="1">"c1458"</definedName>
    <definedName name="IQ_CASH" localSheetId="8" hidden="1">"c1458"</definedName>
    <definedName name="IQ_CASH" hidden="1">"c1458"</definedName>
    <definedName name="IQ_CASH_ACQUIRE_CF" localSheetId="7" hidden="1">"c116"</definedName>
    <definedName name="IQ_CASH_ACQUIRE_CF" localSheetId="8" hidden="1">"c116"</definedName>
    <definedName name="IQ_CASH_ACQUIRE_CF" hidden="1">"c116"</definedName>
    <definedName name="IQ_CASH_BALANCES_DUE_FFIEC" hidden="1">"c12773"</definedName>
    <definedName name="IQ_CASH_BANKS_FOREIGN_COUNTRIES_DOM_FFIEC" hidden="1">"c15289"</definedName>
    <definedName name="IQ_CASH_COLLECTION_UNPOSTED_DEBITS_CURRENCY_FFIEC" hidden="1">"c15279"</definedName>
    <definedName name="IQ_CASH_COLLECTION_UNPOSTED_DEBITS_DOM_FFIEC" hidden="1">"c15286"</definedName>
    <definedName name="IQ_CASH_CONVERSION" hidden="1">"c117"</definedName>
    <definedName name="IQ_CASH_COST_ALUM" hidden="1">"c9252"</definedName>
    <definedName name="IQ_CASH_COST_COAL" hidden="1">"c9825"</definedName>
    <definedName name="IQ_CASH_COST_COP" hidden="1">"c9199"</definedName>
    <definedName name="IQ_CASH_COST_DIAM" hidden="1">"c9676"</definedName>
    <definedName name="IQ_CASH_COST_GOLD" hidden="1">"c9037"</definedName>
    <definedName name="IQ_CASH_COST_IRON" hidden="1">"c9411"</definedName>
    <definedName name="IQ_CASH_COST_LEAD" hidden="1">"c9464"</definedName>
    <definedName name="IQ_CASH_COST_MANG" hidden="1">"c9517"</definedName>
    <definedName name="IQ_CASH_COST_MET_COAL" hidden="1">"c9762"</definedName>
    <definedName name="IQ_CASH_COST_MOLYB" hidden="1">"c9729"</definedName>
    <definedName name="IQ_CASH_COST_NICK" hidden="1">"c9305"</definedName>
    <definedName name="IQ_CASH_COST_PER_SUB" hidden="1">"c15763"</definedName>
    <definedName name="IQ_CASH_COST_PLAT" hidden="1">"c9143"</definedName>
    <definedName name="IQ_CASH_COST_SILVER" hidden="1">"c9090"</definedName>
    <definedName name="IQ_CASH_COST_STEAM" hidden="1">"c9792"</definedName>
    <definedName name="IQ_CASH_COST_TITAN" hidden="1">"c9570"</definedName>
    <definedName name="IQ_CASH_COST_URAN" hidden="1">"c9623"</definedName>
    <definedName name="IQ_CASH_COST_ZINC" hidden="1">"c9358"</definedName>
    <definedName name="IQ_CASH_DEPOSITORY_INSTIT_US_DOM_FFIEC" hidden="1">"c15288"</definedName>
    <definedName name="IQ_CASH_DIVIDENDS_NET_INCOME_FDIC" hidden="1">"c6738"</definedName>
    <definedName name="IQ_CASH_DIVIDENDS_NET_INCOME_THRIFT" hidden="1">"c25634"</definedName>
    <definedName name="IQ_CASH_DUE_BANKS" localSheetId="7" hidden="1">"c1351"</definedName>
    <definedName name="IQ_CASH_DUE_BANKS" localSheetId="8" hidden="1">"c1351"</definedName>
    <definedName name="IQ_CASH_DUE_BANKS" hidden="1">"c1351"</definedName>
    <definedName name="IQ_CASH_DUE_OTHER_FED_RESERVE_BANKS_DOM_FFIEC" hidden="1">"c15290"</definedName>
    <definedName name="IQ_CASH_DUE_OTHER_FED_RESERVE_BANKS_FFIEC" hidden="1">"c15284"</definedName>
    <definedName name="IQ_CASH_DUE_US_BRANCH_FOREIGN_BANK_FFIEC" hidden="1">"c15280"</definedName>
    <definedName name="IQ_CASH_ELIGIBLE_0_PCT_RISK_WEIGHT_THRIFT" hidden="1">"c25051"</definedName>
    <definedName name="IQ_CASH_EPS_ACT_OR_EST" hidden="1">"c5638"</definedName>
    <definedName name="IQ_CASH_EPS_ACT_OR_EST_THOM" hidden="1">"c5646"</definedName>
    <definedName name="IQ_CASH_EPS_DET_EST_CURRENCY_THOM" hidden="1">"c12478"</definedName>
    <definedName name="IQ_CASH_EPS_DET_EST_DATE_THOM" hidden="1">"c12227"</definedName>
    <definedName name="IQ_CASH_EPS_DET_EST_INCL_THOM" hidden="1">"c12361"</definedName>
    <definedName name="IQ_CASH_EPS_DET_EST_ORIGIN_THOM" hidden="1">"c12597"</definedName>
    <definedName name="IQ_CASH_EPS_DET_EST_THOM" hidden="1">"c12077"</definedName>
    <definedName name="IQ_CASH_EPS_EST" hidden="1">"c5631"</definedName>
    <definedName name="IQ_CASH_EPS_EST_THOM" hidden="1">"c5639"</definedName>
    <definedName name="IQ_CASH_EPS_HIGH_EST" hidden="1">"c5633"</definedName>
    <definedName name="IQ_CASH_EPS_HIGH_EST_THOM" hidden="1">"c5641"</definedName>
    <definedName name="IQ_CASH_EPS_LOW_EST" hidden="1">"c5634"</definedName>
    <definedName name="IQ_CASH_EPS_LOW_EST_THOM" hidden="1">"c5642"</definedName>
    <definedName name="IQ_CASH_EPS_MEDIAN_EST" hidden="1">"c5632"</definedName>
    <definedName name="IQ_CASH_EPS_MEDIAN_EST_THOM" hidden="1">"c5640"</definedName>
    <definedName name="IQ_CASH_EPS_NUM_EST" hidden="1">"c5635"</definedName>
    <definedName name="IQ_CASH_EPS_NUM_EST_THOM" hidden="1">"c5643"</definedName>
    <definedName name="IQ_CASH_EPS_STDDEV_EST" hidden="1">"c5636"</definedName>
    <definedName name="IQ_CASH_EPS_STDDEV_EST_THOM" hidden="1">"c5644"</definedName>
    <definedName name="IQ_CASH_EQUIV" hidden="1">"c118"</definedName>
    <definedName name="IQ_CASH_FINAN" hidden="1">"c119"</definedName>
    <definedName name="IQ_CASH_FINAN_AP" hidden="1">"c8890"</definedName>
    <definedName name="IQ_CASH_FINAN_AP_ABS" hidden="1">"c8909"</definedName>
    <definedName name="IQ_CASH_FINAN_NAME_AP" hidden="1">"c8928"</definedName>
    <definedName name="IQ_CASH_FINAN_NAME_AP_ABS" hidden="1">"c8947"</definedName>
    <definedName name="IQ_CASH_FINAN_SUBTOTAL_AP" hidden="1">"c10111"</definedName>
    <definedName name="IQ_CASH_FLOW_ACT_OR_EST" hidden="1">"c4154"</definedName>
    <definedName name="IQ_CASH_FLOW_ACT_OR_EST_CIQ" hidden="1">"c4566"</definedName>
    <definedName name="IQ_CASH_FLOW_ACT_OR_EST_CIQ_COL" hidden="1">"c11215"</definedName>
    <definedName name="IQ_CASH_FLOW_AP" hidden="1">"c25889"</definedName>
    <definedName name="IQ_CASH_FLOW_AP_CO" hidden="1">"c25890"</definedName>
    <definedName name="IQ_CASH_FLOW_EST" hidden="1">"c4153"</definedName>
    <definedName name="IQ_CASH_FLOW_GUIDANCE" hidden="1">"c4155"</definedName>
    <definedName name="IQ_CASH_FLOW_GUIDANCE_CIQ" hidden="1">"c4567"</definedName>
    <definedName name="IQ_CASH_FLOW_GUIDANCE_CIQ_COL" hidden="1">"c11216"</definedName>
    <definedName name="IQ_CASH_FLOW_HIGH_EST" hidden="1">"c4156"</definedName>
    <definedName name="IQ_CASH_FLOW_HIGH_GUIDANCE" hidden="1">"c4201"</definedName>
    <definedName name="IQ_CASH_FLOW_HIGH_GUIDANCE_CIQ" hidden="1">"c4613"</definedName>
    <definedName name="IQ_CASH_FLOW_HIGH_GUIDANCE_CIQ_COL" hidden="1">"c11262"</definedName>
    <definedName name="IQ_CASH_FLOW_INDUSTRY" hidden="1">"c25885"</definedName>
    <definedName name="IQ_CASH_FLOW_INDUSTRY_CO" hidden="1">"c25886"</definedName>
    <definedName name="IQ_CASH_FLOW_LOW_EST" hidden="1">"c4157"</definedName>
    <definedName name="IQ_CASH_FLOW_LOW_GUIDANCE" hidden="1">"c4241"</definedName>
    <definedName name="IQ_CASH_FLOW_LOW_GUIDANCE_CIQ" hidden="1">"c4653"</definedName>
    <definedName name="IQ_CASH_FLOW_LOW_GUIDANCE_CIQ_COL" hidden="1">"c11302"</definedName>
    <definedName name="IQ_CASH_FLOW_MEDIAN_EST" hidden="1">"c4158"</definedName>
    <definedName name="IQ_CASH_FLOW_NUM_EST" hidden="1">"c4159"</definedName>
    <definedName name="IQ_CASH_FLOW_STANDARD" hidden="1">"c25887"</definedName>
    <definedName name="IQ_CASH_FLOW_STANDARD_CO" hidden="1">"c25888"</definedName>
    <definedName name="IQ_CASH_FLOW_STDDEV_EST" hidden="1">"c4160"</definedName>
    <definedName name="IQ_CASH_FOREIGN_BRANCH_OTHER_US_BANKS_FFIEC" hidden="1">"c15282"</definedName>
    <definedName name="IQ_CASH_IN_PROCESS_FDIC" hidden="1">"c6386"</definedName>
    <definedName name="IQ_CASH_INTEREST" hidden="1">"c120"</definedName>
    <definedName name="IQ_CASH_INTEREST_FINAN" hidden="1">"c6295"</definedName>
    <definedName name="IQ_CASH_INTEREST_INVEST" hidden="1">"c6294"</definedName>
    <definedName name="IQ_CASH_INTEREST_NET" hidden="1">"c12753"</definedName>
    <definedName name="IQ_CASH_INTEREST_OPER" hidden="1">"c6293"</definedName>
    <definedName name="IQ_CASH_INTEREST_RECEIVED" hidden="1">"c12754"</definedName>
    <definedName name="IQ_CASH_INVEST" hidden="1">"c121"</definedName>
    <definedName name="IQ_CASH_INVEST_AP" hidden="1">"c8889"</definedName>
    <definedName name="IQ_CASH_INVEST_AP_ABS" hidden="1">"c8908"</definedName>
    <definedName name="IQ_CASH_INVEST_NAME_AP" hidden="1">"c8927"</definedName>
    <definedName name="IQ_CASH_INVEST_NAME_AP_ABS" hidden="1">"c8946"</definedName>
    <definedName name="IQ_CASH_INVEST_SUBTOTAL_AP" hidden="1">"c8991"</definedName>
    <definedName name="IQ_CASH_NON_INT_EARNING_DEPOSITS_THRIFT" hidden="1">"c24818"</definedName>
    <definedName name="IQ_CASH_OPER" hidden="1">"c122"</definedName>
    <definedName name="IQ_CASH_OPER_ACT_OR_EST" hidden="1">"c4164"</definedName>
    <definedName name="IQ_CASH_OPER_ACT_OR_EST_CIQ" hidden="1">"c4576"</definedName>
    <definedName name="IQ_CASH_OPER_ACT_OR_EST_CIQ_COL" hidden="1">"c11225"</definedName>
    <definedName name="IQ_CASH_OPER_AP" hidden="1">"c8888"</definedName>
    <definedName name="IQ_CASH_OPER_AP_ABS" hidden="1">"c8907"</definedName>
    <definedName name="IQ_CASH_OPER_EST" hidden="1">"c4163"</definedName>
    <definedName name="IQ_CASH_OPER_GUIDANCE_CIQ" hidden="1">"c4577"</definedName>
    <definedName name="IQ_CASH_OPER_GUIDANCE_CIQ_COL" hidden="1">"c11226"</definedName>
    <definedName name="IQ_CASH_OPER_HIGH_EST" hidden="1">"c4166"</definedName>
    <definedName name="IQ_CASH_OPER_HIGH_GUIDANCE_CIQ" hidden="1">"c4597"</definedName>
    <definedName name="IQ_CASH_OPER_HIGH_GUIDANCE_CIQ_COL" hidden="1">"c11246"</definedName>
    <definedName name="IQ_CASH_OPER_LOW_EST" hidden="1">"c4244"</definedName>
    <definedName name="IQ_CASH_OPER_LOW_GUIDANCE_CIQ" hidden="1">"c4637"</definedName>
    <definedName name="IQ_CASH_OPER_LOW_GUIDANCE_CIQ_COL" hidden="1">"c11286"</definedName>
    <definedName name="IQ_CASH_OPER_MEDIAN_EST" hidden="1">"c4245"</definedName>
    <definedName name="IQ_CASH_OPER_NAME_AP" hidden="1">"c8926"</definedName>
    <definedName name="IQ_CASH_OPER_NAME_AP_ABS" hidden="1">"c8945"</definedName>
    <definedName name="IQ_CASH_OPER_NUM_EST" hidden="1">"c4246"</definedName>
    <definedName name="IQ_CASH_OPER_STDDEV_EST" hidden="1">"c4247"</definedName>
    <definedName name="IQ_CASH_OPER_SUBTOTAL_AP" hidden="1">"c8990"</definedName>
    <definedName name="IQ_CASH_OTHER_ADJ_AP" hidden="1">"c8891"</definedName>
    <definedName name="IQ_CASH_OTHER_ADJ_AP_ABS" hidden="1">"c8910"</definedName>
    <definedName name="IQ_CASH_OTHER_ADJ_NAME_AP" hidden="1">"c8929"</definedName>
    <definedName name="IQ_CASH_OTHER_ADJ_NAME_AP_ABS" hidden="1">"c8948"</definedName>
    <definedName name="IQ_CASH_OTHER_BANKS_FOREIGN_COUNTRIES_FFIEC" hidden="1">"c15283"</definedName>
    <definedName name="IQ_CASH_OTHER_US_COMM_BANK_DEP_INSTIT_FFIEC" hidden="1">"c15281"</definedName>
    <definedName name="IQ_CASH_SEGREG" hidden="1">"c123"</definedName>
    <definedName name="IQ_CASH_SHARE" hidden="1">"c1911"</definedName>
    <definedName name="IQ_CASH_ST" localSheetId="7" hidden="1">"c1355"</definedName>
    <definedName name="IQ_CASH_ST" localSheetId="8" hidden="1">"c1355"</definedName>
    <definedName name="IQ_CASH_ST" hidden="1">"c1355"</definedName>
    <definedName name="IQ_CASH_ST_INVEST" hidden="1">"c124"</definedName>
    <definedName name="IQ_CASH_ST_INVEST_EST" hidden="1">"c4249"</definedName>
    <definedName name="IQ_CASH_ST_INVEST_GUIDANCE" hidden="1">"c4250"</definedName>
    <definedName name="IQ_CASH_ST_INVEST_GUIDANCE_CIQ" hidden="1">"c4776"</definedName>
    <definedName name="IQ_CASH_ST_INVEST_GUIDANCE_CIQ_COL" hidden="1">"c11423"</definedName>
    <definedName name="IQ_CASH_ST_INVEST_HIGH_EST" hidden="1">"c4251"</definedName>
    <definedName name="IQ_CASH_ST_INVEST_HIGH_GUIDANCE" hidden="1">"c4195"</definedName>
    <definedName name="IQ_CASH_ST_INVEST_HIGH_GUIDANCE_CIQ" hidden="1">"c4607"</definedName>
    <definedName name="IQ_CASH_ST_INVEST_HIGH_GUIDANCE_CIQ_COL" hidden="1">"c11256"</definedName>
    <definedName name="IQ_CASH_ST_INVEST_LOW_EST" hidden="1">"c4252"</definedName>
    <definedName name="IQ_CASH_ST_INVEST_LOW_GUIDANCE" hidden="1">"c4235"</definedName>
    <definedName name="IQ_CASH_ST_INVEST_LOW_GUIDANCE_CIQ" hidden="1">"c4647"</definedName>
    <definedName name="IQ_CASH_ST_INVEST_LOW_GUIDANCE_CIQ_COL" hidden="1">"c11296"</definedName>
    <definedName name="IQ_CASH_ST_INVEST_MEDIAN_EST" hidden="1">"c4253"</definedName>
    <definedName name="IQ_CASH_ST_INVEST_NUM_EST" hidden="1">"c4254"</definedName>
    <definedName name="IQ_CASH_ST_INVEST_STDDEV_EST" hidden="1">"c4255"</definedName>
    <definedName name="IQ_CASH_STRUCTURED_PRODUCTS_AFS_AMORT_COST_FFIEC" hidden="1">"c20500"</definedName>
    <definedName name="IQ_CASH_STRUCTURED_PRODUCTS_AFS_FAIR_VAL_FFIEC" hidden="1">"c20465"</definedName>
    <definedName name="IQ_CASH_STRUCTURED_PRODUCTS_AVAIL_SALE_FFIEC" hidden="1">"c15263"</definedName>
    <definedName name="IQ_CASH_STRUCTURED_PRODUCTS_FFIEC" hidden="1">"c15260"</definedName>
    <definedName name="IQ_CASH_STRUCTURED_PRODUCTS_HTM_AMORT_COST_FFIEC" hidden="1">"c20448"</definedName>
    <definedName name="IQ_CASH_STRUCTURED_PRODUCTS_HTM_FAIR_VAL_FFIEC" hidden="1">"c20483"</definedName>
    <definedName name="IQ_CASH_TAXES" hidden="1">"c125"</definedName>
    <definedName name="IQ_CASH_TAXES_FINAN" hidden="1">"c6292"</definedName>
    <definedName name="IQ_CASH_TAXES_INVEST" hidden="1">"c6291"</definedName>
    <definedName name="IQ_CASH_TAXES_OPER" hidden="1">"c6290"</definedName>
    <definedName name="IQ_CATASTROPHIC_LOSS_RATIO" hidden="1">"c15881"</definedName>
    <definedName name="IQ_CATASTROPHIC_LOSSES" hidden="1">"c17694"</definedName>
    <definedName name="IQ_CC_RELATED_DUE_90_FFIEC" hidden="1">"c25833"</definedName>
    <definedName name="IQ_CC_RELATED_LOANS_DUE_30_89_FFIEC" hidden="1">"c25832"</definedName>
    <definedName name="IQ_CC_RELATED_NON_ACCRUAL_FFIEC" hidden="1">"c25834"</definedName>
    <definedName name="IQ_CCE_FDIC" hidden="1">"c6296"</definedName>
    <definedName name="IQ_CDS_5YR_CIQID" hidden="1">"c11751"</definedName>
    <definedName name="IQ_CDS_ASK" hidden="1">"c6027"</definedName>
    <definedName name="IQ_CDS_BID" hidden="1">"c6026"</definedName>
    <definedName name="IQ_CDS_COUPON" hidden="1">"c15234"</definedName>
    <definedName name="IQ_CDS_CURRENCY" hidden="1">"c6031"</definedName>
    <definedName name="IQ_CDS_DERIVATIVES_BENEFICIARY_FFIEC" hidden="1">"c13119"</definedName>
    <definedName name="IQ_CDS_DERIVATIVES_GUARANTOR_FFIEC" hidden="1">"c13112"</definedName>
    <definedName name="IQ_CDS_EVAL_DATE" hidden="1">"c6029"</definedName>
    <definedName name="IQ_CDS_LIST" hidden="1">"c13510"</definedName>
    <definedName name="IQ_CDS_LOAN_LIST" hidden="1">"c13518"</definedName>
    <definedName name="IQ_CDS_MID" hidden="1">"c6028"</definedName>
    <definedName name="IQ_CDS_NAME" hidden="1">"c6034"</definedName>
    <definedName name="IQ_CDS_NEXT_SERIES_ID" hidden="1">"c15231"</definedName>
    <definedName name="IQ_CDS_PREV_SERIES_ID" hidden="1">"c15232"</definedName>
    <definedName name="IQ_CDS_PRICE_TYPE" hidden="1">"c15233"</definedName>
    <definedName name="IQ_CDS_SENIOR_LIST" hidden="1">"c13508"</definedName>
    <definedName name="IQ_CDS_SUB_LIST" hidden="1">"c13509"</definedName>
    <definedName name="IQ_CDS_TERM" hidden="1">"c6030"</definedName>
    <definedName name="IQ_CDS_TYPE" hidden="1">"c6025"</definedName>
    <definedName name="IQ_CEDED_AH_EARNED" hidden="1">"c2743"</definedName>
    <definedName name="IQ_CEDED_CLAIM_ADJ_EXP_RESERVE_BOP" hidden="1">"c15875"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LOSSES" hidden="1">"c15872"</definedName>
    <definedName name="IQ_CEDED_PC_EARNED" hidden="1">"c2748"</definedName>
    <definedName name="IQ_CEDED_PREMIUMS_EARNED_GROSS_PREMIUMS_EARNED" hidden="1">"c15887"</definedName>
    <definedName name="IQ_CEDED_PREMIUMS_WRITTEN_GROSS_PREMIUMS_WRITTEN" hidden="1">"c15885"</definedName>
    <definedName name="IQ_CEDED_WRITTEN" hidden="1">"c2727"</definedName>
    <definedName name="IQ_CEO_ID" hidden="1">"c15210"</definedName>
    <definedName name="IQ_CEO_NAME" hidden="1">"c15209"</definedName>
    <definedName name="IQ_CERTIFIED_OFFICIAL_CHECKS_TRANS_ACCTS_FFIEC" hidden="1">"c15320"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FO_ID" hidden="1">"c15212"</definedName>
    <definedName name="IQ_CFO_NAME" hidden="1">"c15211"</definedName>
    <definedName name="IQ_CFPS_ACT_OR_EST" hidden="1">"c2217"</definedName>
    <definedName name="IQ_CFPS_ACT_OR_EST_CIQ_COL" hidden="1">"c11708"</definedName>
    <definedName name="IQ_CFPS_ACT_OR_EST_REUT" hidden="1">"c5463"</definedName>
    <definedName name="IQ_CFPS_ACT_OR_EST_THOM" hidden="1">"c5301"</definedName>
    <definedName name="IQ_CFPS_DET_EST" hidden="1">"c12049"</definedName>
    <definedName name="IQ_CFPS_DET_EST_CURRENCY" hidden="1">"c12458"</definedName>
    <definedName name="IQ_CFPS_DET_EST_CURRENCY_THOM" hidden="1">"c12479"</definedName>
    <definedName name="IQ_CFPS_DET_EST_DATE" hidden="1">"c12202"</definedName>
    <definedName name="IQ_CFPS_DET_EST_DATE_THOM" hidden="1">"c12228"</definedName>
    <definedName name="IQ_CFPS_DET_EST_INCL" hidden="1">"c12341"</definedName>
    <definedName name="IQ_CFPS_DET_EST_INCL_THOM" hidden="1">"c12362"</definedName>
    <definedName name="IQ_CFPS_DET_EST_ORIGIN" hidden="1">"c12575"</definedName>
    <definedName name="IQ_CFPS_DET_EST_ORIGIN_THOM" hidden="1">"c12598"</definedName>
    <definedName name="IQ_CFPS_DET_EST_THOM" hidden="1">"c12078"</definedName>
    <definedName name="IQ_CFPS_EST" hidden="1">"c1667"</definedName>
    <definedName name="IQ_CFPS_EST_REUT" hidden="1">"c3844"</definedName>
    <definedName name="IQ_CFPS_EST_THOM" hidden="1">"c4006"</definedName>
    <definedName name="IQ_CFPS_GUIDANCE_CIQ" hidden="1">"c4782"</definedName>
    <definedName name="IQ_CFPS_GUIDANCE_CIQ_COL" hidden="1">"c11429"</definedName>
    <definedName name="IQ_CFPS_HIGH_EST" hidden="1">"c1669"</definedName>
    <definedName name="IQ_CFPS_HIGH_EST_REUT" hidden="1">"c3846"</definedName>
    <definedName name="IQ_CFPS_HIGH_EST_THOM" hidden="1">"c4008"</definedName>
    <definedName name="IQ_CFPS_HIGH_GUIDANCE_CIQ" hidden="1">"c4579"</definedName>
    <definedName name="IQ_CFPS_HIGH_GUIDANCE_CIQ_COL" hidden="1">"c11228"</definedName>
    <definedName name="IQ_CFPS_LOW_EST" hidden="1">"c1670"</definedName>
    <definedName name="IQ_CFPS_LOW_EST_REUT" hidden="1">"c3847"</definedName>
    <definedName name="IQ_CFPS_LOW_EST_THOM" hidden="1">"c4009"</definedName>
    <definedName name="IQ_CFPS_LOW_GUIDANCE_CIQ" hidden="1">"c4619"</definedName>
    <definedName name="IQ_CFPS_LOW_GUIDANCE_CIQ_COL" hidden="1">"c11268"</definedName>
    <definedName name="IQ_CFPS_MEDIAN_EST" hidden="1">"c1668"</definedName>
    <definedName name="IQ_CFPS_MEDIAN_EST_REUT" hidden="1">"c3845"</definedName>
    <definedName name="IQ_CFPS_MEDIAN_EST_THOM" hidden="1">"c4007"</definedName>
    <definedName name="IQ_CFPS_NUM_EST" hidden="1">"c1671"</definedName>
    <definedName name="IQ_CFPS_NUM_EST_REUT" hidden="1">"c3848"</definedName>
    <definedName name="IQ_CFPS_NUM_EST_THOM" hidden="1">"c4010"</definedName>
    <definedName name="IQ_CFPS_STDDEV_EST" hidden="1">"c1672"</definedName>
    <definedName name="IQ_CFPS_STDDEV_EST_REUT" hidden="1">"c3849"</definedName>
    <definedName name="IQ_CFPS_STDDEV_EST_THOM" hidden="1">"c4011"</definedName>
    <definedName name="IQ_CH" hidden="1">110000</definedName>
    <definedName name="IQ_CHAIRMAN_ID" hidden="1">"c15218"</definedName>
    <definedName name="IQ_CHAIRMAN_NAME" hidden="1">"c15217"</definedName>
    <definedName name="IQ_CHANGE_AP" hidden="1">"c133"</definedName>
    <definedName name="IQ_CHANGE_AP_BNK" hidden="1">"c134"</definedName>
    <definedName name="IQ_CHANGE_AP_BR" hidden="1">"c135"</definedName>
    <definedName name="IQ_CHANGE_AP_CM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CM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F_TAX_TOTAL" hidden="1">"c15557"</definedName>
    <definedName name="IQ_CHANGE_DEPOSIT_ACCT" hidden="1">"c148"</definedName>
    <definedName name="IQ_CHANGE_FAIR_VALUE_FINANCIAL_LIAB_T1_FFIEC" hidden="1">"c13138"</definedName>
    <definedName name="IQ_CHANGE_FAIR_VALUE_OPTIONS_FFIEC" hidden="1">"c13045"</definedName>
    <definedName name="IQ_CHANGE_INC_TAX" hidden="1">"c149"</definedName>
    <definedName name="IQ_CHANGE_INS_RES_LIAB" hidden="1">"c150"</definedName>
    <definedName name="IQ_CHANGE_INVENT" hidden="1">"c6826"</definedName>
    <definedName name="IQ_CHANGE_INVENT_APR" hidden="1">"c7486"</definedName>
    <definedName name="IQ_CHANGE_INVENT_POP" hidden="1">"c7046"</definedName>
    <definedName name="IQ_CHANGE_INVENT_REAL_APR_FC_UNUSED" hidden="1">"c8500"</definedName>
    <definedName name="IQ_CHANGE_INVENT_REAL_APR_FC_UNUSED_UNUSED_UNUSED" hidden="1">"c8500"</definedName>
    <definedName name="IQ_CHANGE_INVENT_REAL_APR_UNUSED" hidden="1">"c7620"</definedName>
    <definedName name="IQ_CHANGE_INVENT_REAL_APR_UNUSED_UNUSED_UNUSED" hidden="1">"c7620"</definedName>
    <definedName name="IQ_CHANGE_INVENT_REAL_FC_UNUSED" hidden="1">"c7840"</definedName>
    <definedName name="IQ_CHANGE_INVENT_REAL_FC_UNUSED_UNUSED_UNUSED" hidden="1">"c7840"</definedName>
    <definedName name="IQ_CHANGE_INVENT_REAL_POP_FC_UNUSED" hidden="1">"c8060"</definedName>
    <definedName name="IQ_CHANGE_INVENT_REAL_POP_FC_UNUSED_UNUSED_UNUSED" hidden="1">"c8060"</definedName>
    <definedName name="IQ_CHANGE_INVENT_REAL_POP_UNUSED" hidden="1">"c7180"</definedName>
    <definedName name="IQ_CHANGE_INVENT_REAL_POP_UNUSED_UNUSED_UNUSED" hidden="1">"c7180"</definedName>
    <definedName name="IQ_CHANGE_INVENT_REAL_SAAR" hidden="1">"c6962"</definedName>
    <definedName name="IQ_CHANGE_INVENT_REAL_SAAR_APR" hidden="1">"c7622"</definedName>
    <definedName name="IQ_CHANGE_INVENT_REAL_SAAR_APR_FC" hidden="1">"c8502"</definedName>
    <definedName name="IQ_CHANGE_INVENT_REAL_SAAR_FC" hidden="1">"c7842"</definedName>
    <definedName name="IQ_CHANGE_INVENT_REAL_SAAR_POP" hidden="1">"c7182"</definedName>
    <definedName name="IQ_CHANGE_INVENT_REAL_SAAR_POP_FC" hidden="1">"c8062"</definedName>
    <definedName name="IQ_CHANGE_INVENT_REAL_SAAR_USD_APR_FC" hidden="1">"c11917"</definedName>
    <definedName name="IQ_CHANGE_INVENT_REAL_SAAR_USD_FC" hidden="1">"c11914"</definedName>
    <definedName name="IQ_CHANGE_INVENT_REAL_SAAR_USD_POP_FC" hidden="1">"c11915"</definedName>
    <definedName name="IQ_CHANGE_INVENT_REAL_SAAR_USD_YOY_FC" hidden="1">"c11916"</definedName>
    <definedName name="IQ_CHANGE_INVENT_REAL_SAAR_YOY" hidden="1">"c7402"</definedName>
    <definedName name="IQ_CHANGE_INVENT_REAL_SAAR_YOY_FC" hidden="1">"c8282"</definedName>
    <definedName name="IQ_CHANGE_INVENT_REAL_UNUSED" hidden="1">"c6960"</definedName>
    <definedName name="IQ_CHANGE_INVENT_REAL_UNUSED_UNUSED_UNUSED" hidden="1">"c6960"</definedName>
    <definedName name="IQ_CHANGE_INVENT_REAL_USD_APR_FC" hidden="1">"c11913"</definedName>
    <definedName name="IQ_CHANGE_INVENT_REAL_USD_FC" hidden="1">"c11910"</definedName>
    <definedName name="IQ_CHANGE_INVENT_REAL_USD_POP_FC" hidden="1">"c11911"</definedName>
    <definedName name="IQ_CHANGE_INVENT_REAL_USD_YOY_FC" hidden="1">"c11912"</definedName>
    <definedName name="IQ_CHANGE_INVENT_REAL_YOY_FC_UNUSED" hidden="1">"c8280"</definedName>
    <definedName name="IQ_CHANGE_INVENT_REAL_YOY_FC_UNUSED_UNUSED_UNUSED" hidden="1">"c8280"</definedName>
    <definedName name="IQ_CHANGE_INVENT_REAL_YOY_UNUSED" hidden="1">"c7400"</definedName>
    <definedName name="IQ_CHANGE_INVENT_REAL_YOY_UNUSED_UNUSED_UNUSED" hidden="1">"c7400"</definedName>
    <definedName name="IQ_CHANGE_INVENT_SAAR" hidden="1">"c6827"</definedName>
    <definedName name="IQ_CHANGE_INVENT_SAAR_APR" hidden="1">"c7487"</definedName>
    <definedName name="IQ_CHANGE_INVENT_SAAR_APR_FC" hidden="1">"c8367"</definedName>
    <definedName name="IQ_CHANGE_INVENT_SAAR_FC" hidden="1">"c7707"</definedName>
    <definedName name="IQ_CHANGE_INVENT_SAAR_POP" hidden="1">"c7047"</definedName>
    <definedName name="IQ_CHANGE_INVENT_SAAR_POP_FC" hidden="1">"c7927"</definedName>
    <definedName name="IQ_CHANGE_INVENT_SAAR_YOY" hidden="1">"c7267"</definedName>
    <definedName name="IQ_CHANGE_INVENT_SAAR_YOY_FC" hidden="1">"c8147"</definedName>
    <definedName name="IQ_CHANGE_INVENT_YOY" hidden="1">"c7266"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CM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CM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PRIVATE_INVENT" hidden="1">"c6828"</definedName>
    <definedName name="IQ_CHANGE_PRIVATE_INVENT_APR" hidden="1">"c7488"</definedName>
    <definedName name="IQ_CHANGE_PRIVATE_INVENT_APR_FC" hidden="1">"c8368"</definedName>
    <definedName name="IQ_CHANGE_PRIVATE_INVENT_FC" hidden="1">"c7708"</definedName>
    <definedName name="IQ_CHANGE_PRIVATE_INVENT_POP" hidden="1">"c7048"</definedName>
    <definedName name="IQ_CHANGE_PRIVATE_INVENT_POP_FC" hidden="1">"c7928"</definedName>
    <definedName name="IQ_CHANGE_PRIVATE_INVENT_YOY" hidden="1">"c7268"</definedName>
    <definedName name="IQ_CHANGE_PRIVATE_INVENT_YOY_FC" hidden="1">"c8148"</definedName>
    <definedName name="IQ_CHANGE_TRADING_ASSETS" hidden="1">"c159"</definedName>
    <definedName name="IQ_CHANGE_UNEARN_REV" hidden="1">"c160"</definedName>
    <definedName name="IQ_CHANGE_UNRECOG_TAX_BENEFIT_1_YR_MAX" hidden="1">"c15747"</definedName>
    <definedName name="IQ_CHANGE_UNRECOG_TAX_BENEFIT_1_YR_MIN" hidden="1">"c15746"</definedName>
    <definedName name="IQ_CHANGE_WORK_CAP" hidden="1">"c161"</definedName>
    <definedName name="IQ_CHANGES_WORK_CAP" localSheetId="7" hidden="1">"c1357"</definedName>
    <definedName name="IQ_CHANGES_WORK_CAP" localSheetId="8" hidden="1">"c1357"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GVA_THRIFT" hidden="1">"c25096"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SVA_THRIFT" hidden="1">"c25103"</definedName>
    <definedName name="IQ_CHARGE_OFFS_TOTAL_AVG_LOANS" hidden="1">"c165"</definedName>
    <definedName name="IQ_CHARGE_OFFS_TVA_THRIFT" hidden="1">"c25110"</definedName>
    <definedName name="IQ_CHICAGO_PMI" hidden="1">"c6829"</definedName>
    <definedName name="IQ_CHICAGO_PMI_APR" hidden="1">"c7489"</definedName>
    <definedName name="IQ_CHICAGO_PMI_APR_FC" hidden="1">"c8369"</definedName>
    <definedName name="IQ_CHICAGO_PMI_FC" hidden="1">"c7709"</definedName>
    <definedName name="IQ_CHICAGO_PMI_POP" hidden="1">"c7049"</definedName>
    <definedName name="IQ_CHICAGO_PMI_POP_FC" hidden="1">"c7929"</definedName>
    <definedName name="IQ_CHICAGO_PMI_YOY" hidden="1">"c7269"</definedName>
    <definedName name="IQ_CHICAGO_PMI_YOY_FC" hidden="1">"c8149"</definedName>
    <definedName name="IQ_CHURN_BASIC_CABLE" hidden="1">"c2871"</definedName>
    <definedName name="IQ_CHURN_BBAND" hidden="1">"c2872"</definedName>
    <definedName name="IQ_CHURN_DIG_CABLE" hidden="1">"c2870"</definedName>
    <definedName name="IQ_CHURN_PHONE" hidden="1">"c2873"</definedName>
    <definedName name="IQ_CHURN_POSTPAID_WIRELESS" hidden="1">"c2121"</definedName>
    <definedName name="IQ_CHURN_PREPAID_WIRELESS" hidden="1">"c2120"</definedName>
    <definedName name="IQ_CHURN_SATELLITE" hidden="1">"c15791"</definedName>
    <definedName name="IQ_CHURN_TOTAL" hidden="1">"c2874"</definedName>
    <definedName name="IQ_CHURN_TOTAL_WIRELESS" hidden="1">"c2122"</definedName>
    <definedName name="IQ_CIK" hidden="1">"c20384"</definedName>
    <definedName name="IQ_CIP" hidden="1">"c17551"</definedName>
    <definedName name="IQ_CITY" hidden="1">"c166"</definedName>
    <definedName name="IQ_CL_AP" hidden="1">"c8884"</definedName>
    <definedName name="IQ_CL_AP_ABS" hidden="1">"c8903"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NAME_AP" hidden="1">"c8922"</definedName>
    <definedName name="IQ_CL_NAME_AP_ABS" hidden="1">"c8941"</definedName>
    <definedName name="IQ_CL_OBLIGATION_IMMEDIATE" hidden="1">"c2253"</definedName>
    <definedName name="IQ_CLAIMS_ADJUSTMENT_EXP_PC_FFIEC" hidden="1">"c13100"</definedName>
    <definedName name="IQ_CLAIMS_DOMESTIC_DEPOSITORY_INSTITUTIONS_ELIGIBLE_20_PCT_RISK_WEIGHT_THRIFT" hidden="1">"c25060"</definedName>
    <definedName name="IQ_CLAIMS_FHLBS_ELIGIBLE_20_PCT_RISK_WEIGHT_THRIFT" hidden="1">"c25058"</definedName>
    <definedName name="IQ_CLASS_MARKETCAP" hidden="1">"c13512"</definedName>
    <definedName name="IQ_CLASS_SHARESOUTSTANDING" hidden="1">"c13513"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ASSB_OUTSTANDING_BS_DATE" hidden="1">"c1972"</definedName>
    <definedName name="IQ_CLASSB_OUTSTANDING_FILING_DATE" hidden="1">"c1974"</definedName>
    <definedName name="IQ_CLOSED_END_1_4_FAM_LOANS_TOT_LOANS_FFIEC" hidden="1">"c13866"</definedName>
    <definedName name="IQ_CLOSED_END_1_4_FAMILY_LOANS_TOTAL_LOANS_THRIFT" hidden="1">"c25742"</definedName>
    <definedName name="IQ_CLOSED_END_1_4_FIRST_LIENS_TRADING_DOM_FFIEC" hidden="1">"c12928"</definedName>
    <definedName name="IQ_CLOSED_END_1_4_JR_LIENS_LL_REC_DOM_FFIEC" hidden="1">"c12904"</definedName>
    <definedName name="IQ_CLOSED_END_1_4_JUNIOR_LIENS_TRADING_DOM_FFIEC" hidden="1">"c12929"</definedName>
    <definedName name="IQ_CLOSED_END_LOANS_GROSS_LOANS_THRIFT" hidden="1">"c25724"</definedName>
    <definedName name="IQ_CLOSED_END_LOANS_RISK_BASED_CAPITAL_THRIFT" hidden="1">"c25709"</definedName>
    <definedName name="IQ_CLOSED_END_SEC_1_4_1ST_LIENS_CHARGE_OFFS_FFIEC" hidden="1">"c13169"</definedName>
    <definedName name="IQ_CLOSED_END_SEC_1_4_1ST_LIENS_DOM_LOSS_SHARING_DUE_30_89_FFIEC" hidden="1">"c27075"</definedName>
    <definedName name="IQ_CLOSED_END_SEC_1_4_1ST_LIENS_DOM_LOSS_SHARING_DUE_90_FFIEC" hidden="1">"c27115"</definedName>
    <definedName name="IQ_CLOSED_END_SEC_1_4_1ST_LIENS_DOM_LOSS_SHARING_FFIEC" hidden="1">"c27192"</definedName>
    <definedName name="IQ_CLOSED_END_SEC_1_4_1ST_LIENS_DOM_LOSS_SHARING_NON_ACCRUAL_FFIEC" hidden="1">"c27155"</definedName>
    <definedName name="IQ_CLOSED_END_SEC_1_4_1ST_LIENS_DUE_30_89_FFIEC" hidden="1">"c13261"</definedName>
    <definedName name="IQ_CLOSED_END_SEC_1_4_1ST_LIENS_DUE_90_FFIEC" hidden="1">"c13289"</definedName>
    <definedName name="IQ_CLOSED_END_SEC_1_4_1ST_LIENS_NON_ACCRUAL_FFIEC" hidden="1">"c13315"</definedName>
    <definedName name="IQ_CLOSED_END_SEC_1_4_1ST_LIENS_RECOV_FFIEC" hidden="1">"c13191"</definedName>
    <definedName name="IQ_CLOSED_END_SEC_1_4_JR_LIENS_CHARGE_OFFS_FFIEC" hidden="1">"c13170"</definedName>
    <definedName name="IQ_CLOSED_END_SEC_1_4_JR_LIENS_DOM_LOSS_SHARING_DUE_30_89_FFIEC" hidden="1">"c27076"</definedName>
    <definedName name="IQ_CLOSED_END_SEC_1_4_JR_LIENS_DOM_LOSS_SHARING_DUE_90_FFIEC" hidden="1">"c27116"</definedName>
    <definedName name="IQ_CLOSED_END_SEC_1_4_JR_LIENS_DOM_LOSS_SHARING_FFIEC" hidden="1">"c27193"</definedName>
    <definedName name="IQ_CLOSED_END_SEC_1_4_JR_LIENS_DOM_LOSS_SHARING_NON_ACCRUAL_FFIEC" hidden="1">"c27156"</definedName>
    <definedName name="IQ_CLOSED_END_SEC_1_4_JR_LIENS_DUE_30_89_FFIEC" hidden="1">"c13262"</definedName>
    <definedName name="IQ_CLOSED_END_SEC_1_4_JR_LIENS_DUE_90_FFIEC" hidden="1">"c13290"</definedName>
    <definedName name="IQ_CLOSED_END_SEC_1_4_JR_LIENS_NON_ACCRUAL_FFIEC" hidden="1">"c13316"</definedName>
    <definedName name="IQ_CLOSED_END_SEC_1_4_JR_LIENS_RECOV_FFIEC" hidden="1">"c13192"</definedName>
    <definedName name="IQ_CLOSED_END_SEC_1_4_RESIDENT_CHARGE_OFFS_FFIEC" hidden="1">"c15397"</definedName>
    <definedName name="IQ_CLOSED_END_SEC_1_4_RESIDENT_DUE_30_89_FFIEC" hidden="1">"c15413"</definedName>
    <definedName name="IQ_CLOSED_END_SEC_1_4_RESIDENT_DUE_90_FFIEC" hidden="1">"c15417"</definedName>
    <definedName name="IQ_CLOSED_END_SEC_1_4_RESIDENT_NON_ACCRUAL_FFIEC" hidden="1">"c15460"</definedName>
    <definedName name="IQ_CLOSED_END_SEC_1_4_RESIDENT_RECOV_FFIEC" hidden="1">"c15398"</definedName>
    <definedName name="IQ_CLOSED_END_SECURED_1_4_FIRST_LIENS_LL_REC_DOM_FFIEC" hidden="1">"c12903"</definedName>
    <definedName name="IQ_CLOSED_LOANS_GROSS_LOANS_FFIEC" hidden="1">"c13399"</definedName>
    <definedName name="IQ_CLOSED_LOANS_RISK_BASED_FFIEC" hidden="1">"c13420"</definedName>
    <definedName name="IQ_CLOSED_PURCHASED_COMM_NON_MORTGAGE_LOANS_THRIFT" hidden="1">"c25339"</definedName>
    <definedName name="IQ_CLOSED_PURCHASED_CONSUMER_NON_MORTGAGE_LOANS_THRIFT" hidden="1">"c25341"</definedName>
    <definedName name="IQ_CLOSEPRICE" hidden="1">"c174"</definedName>
    <definedName name="IQ_CLOSEPRICE_ADJ" hidden="1">"c2115"</definedName>
    <definedName name="IQ_CLOSEPRICE_RT" hidden="1">"CLOSE"</definedName>
    <definedName name="IQ_CMBS_ISSUED_AFS_AMORT_COST_FFIEC" hidden="1">"c20497"</definedName>
    <definedName name="IQ_CMBS_ISSUED_AFS_FAIR_VAL_FFIEC" hidden="1">"c20462"</definedName>
    <definedName name="IQ_CMBS_ISSUED_AVAIL_SALE_FFIEC" hidden="1">"c12800"</definedName>
    <definedName name="IQ_CMBS_ISSUED_FFIEC" hidden="1">"c12786"</definedName>
    <definedName name="IQ_CMBS_ISSUED_HTM_AMORT_COST_FFIEC" hidden="1">"c20445"</definedName>
    <definedName name="IQ_CMBS_ISSUED_HTM_FAIR_VAL_FFIEC" hidden="1">"c20480"</definedName>
    <definedName name="IQ_CMO_FDIC" hidden="1">"c6406"</definedName>
    <definedName name="IQ_CMO_THRIFT" hidden="1">"c24903"</definedName>
    <definedName name="IQ_CO_INVESTORS" hidden="1">"c18910"</definedName>
    <definedName name="IQ_CO_INVESTORS_ID" hidden="1">"c18911"</definedName>
    <definedName name="IQ_CO_INVESTORS_INVESTMENT" hidden="1">"c19113"</definedName>
    <definedName name="IQ_CO_INVESTORS_NUM_INVESTMENTS" hidden="1">"c19170"</definedName>
    <definedName name="IQ_COAL_SALES_TO_OPERATING_REVENUE_COAL" hidden="1">"c15954"</definedName>
    <definedName name="IQ_COGS" hidden="1">"c175"</definedName>
    <definedName name="IQ_COLLATERAL_TYPE" hidden="1">"c8954"</definedName>
    <definedName name="IQ_COLLATERALIZED_MBS_ISSUED_GUARANTEED_FNMA_FHLMC_GNMA_THRIFT" hidden="1">"c24834"</definedName>
    <definedName name="IQ_COLLECTION_DOMESTIC_FDIC" hidden="1">"c6387"</definedName>
    <definedName name="IQ_COLLECTIVE_INV_FUNDS_COMMON_TRUST_FUNDS_DOMESTIC_EQUITY_MARKET_VALUE_FUNDED_ASSETS_THRIFT" hidden="1">"c25445"</definedName>
    <definedName name="IQ_COLLECTIVE_INV_FUNDS_COMMON_TRUST_FUNDS_DOMESTIC_EQUITY_NUMBER_FUNDS_THRIFT" hidden="1">"c25446"</definedName>
    <definedName name="IQ_COLLECTIVE_INV_FUNDS_COMMON_TRUST_FUNDS_INTERNATIONALGLOBAL_EQUITY_MARKET_VALUE_FUNDED_ASSETS_THRIFT" hidden="1">"c25447"</definedName>
    <definedName name="IQ_COLLECTIVE_INV_FUNDS_COMMON_TRUST_FUNDS_INTERNATIONALGLOBAL_EQUITY_NUMBER_FUNDS_THRIFT" hidden="1">"c25448"</definedName>
    <definedName name="IQ_COLLECTIVE_INV_FUNDS_COMMON_TRUST_FUNDS_MUNICIPAL_BOND_MARKET_VALUE_FUNDED_ASSETS_THRIFT" hidden="1">"c25453"</definedName>
    <definedName name="IQ_COLLECTIVE_INV_FUNDS_COMMON_TRUST_FUNDS_MUNICIPAL_BOND_NUMBER_FUNDS_THRIFT" hidden="1">"c25454"</definedName>
    <definedName name="IQ_COLLECTIVE_INV_FUNDS_COMMON_TRUST_FUNDS_SHORT_TERM_INVESTMENTSMONEY_MARKET_MARKET_VALUE_FUNDED_ASSETS_THRIFT" hidden="1">"c25455"</definedName>
    <definedName name="IQ_COLLECTIVE_INV_FUNDS_COMMON_TRUST_FUNDS_SHORT_TERM_INVESTMENTSMONEY_MARKET_NUMBER_FUNDS_THRIFT" hidden="1">"c25456"</definedName>
    <definedName name="IQ_COLLECTIVE_INV_FUNDS_COMMON_TRUST_FUNDS_SPECIALTYOTHER_MARKET_VALUE_FUNDED_ASSETS_THRIFT" hidden="1">"c25457"</definedName>
    <definedName name="IQ_COLLECTIVE_INV_FUNDS_COMMON_TRUST_FUNDS_SPECIALTYOTHER_NUMBER_FUNDS_THRIFT" hidden="1">"c25458"</definedName>
    <definedName name="IQ_COLLECTIVE_INV_FUNDS_COMMON_TRUST_FUNDS_STOCKBOND_BLEND_MARKET_VALUE_FUNDED_ASSETS_THRIFT" hidden="1">"c25449"</definedName>
    <definedName name="IQ_COLLECTIVE_INV_FUNDS_COMMON_TRUST_FUNDS_STOCKBOND_BLEND_NUMBER_FUNDS_THRIFT" hidden="1">"c25450"</definedName>
    <definedName name="IQ_COLLECTIVE_INV_FUNDS_COMMON_TRUST_FUNDS_TAXABLE_BOND_MARKET_VALUE_FUNDED_ASSETS_THRIFT" hidden="1">"c25451"</definedName>
    <definedName name="IQ_COLLECTIVE_INV_FUNDS_COMMON_TRUST_FUNDS_TAXABLE_BOND_NUMBER_FUNDS_THRIFT" hidden="1">"c25452"</definedName>
    <definedName name="IQ_COLLECTIVE_INV_FUNDS_COMMON_TRUST_FUNDS_TOTAL_COLLECTIVE_INV_FUNDS_MARKET_VALUE_FUNDED_ASSETS_THRIFT" hidden="1">"c25459"</definedName>
    <definedName name="IQ_COLLECTIVE_INV_FUNDS_COMMON_TRUST_FUNDS_TOTAL_COLLECTIVE_INV_FUNDS_NUMBER_FUNDS_THRIFT" hidden="1">"c25460"</definedName>
    <definedName name="IQ_COM_TARGET_PRICE" hidden="1">"c13606"</definedName>
    <definedName name="IQ_COM_TARGET_PRICE_CIQ" hidden="1">"c13599"</definedName>
    <definedName name="IQ_COM_TARGET_PRICE_HIGH" hidden="1">"c13607"</definedName>
    <definedName name="IQ_COM_TARGET_PRICE_HIGH_CIQ" hidden="1">"c13600"</definedName>
    <definedName name="IQ_COM_TARGET_PRICE_LOW" hidden="1">"c13608"</definedName>
    <definedName name="IQ_COM_TARGET_PRICE_LOW_CIQ" hidden="1">"c13601"</definedName>
    <definedName name="IQ_COM_TARGET_PRICE_MEDIAN" hidden="1">"c13609"</definedName>
    <definedName name="IQ_COM_TARGET_PRICE_MEDIAN_CIQ" hidden="1">"c13602"</definedName>
    <definedName name="IQ_COM_TARGET_PRICE_NUM" hidden="1">"c13604"</definedName>
    <definedName name="IQ_COM_TARGET_PRICE_NUM_CIQ" hidden="1">"c13597"</definedName>
    <definedName name="IQ_COM_TARGET_PRICE_STDDEV" hidden="1">"c13605"</definedName>
    <definedName name="IQ_COM_TARGET_PRICE_STDDEV_CIQ" hidden="1">"c13598"</definedName>
    <definedName name="IQ_COMBINED_RATIO" hidden="1">"c176"</definedName>
    <definedName name="IQ_COMM_BANKS_OTHER_DEP_INST_US_TRANS_ACCTS_FFIEC" hidden="1">"c15317"</definedName>
    <definedName name="IQ_COMM_BANKS_OTHER_INST_US_NON_TRANS_ACCTS_FFIEC" hidden="1">"c15325"</definedName>
    <definedName name="IQ_COMM_IND_LOANS_TOT_LOANS_FFIEC" hidden="1">"c13874"</definedName>
    <definedName name="IQ_COMM_INDUST_LL_LOSS_SHARING_DUE_30_89_FFIEC" hidden="1">"c27081"</definedName>
    <definedName name="IQ_COMM_INDUST_LL_LOSS_SHARING_DUE_90_FFIEC" hidden="1">"c27121"</definedName>
    <definedName name="IQ_COMM_INDUST_LL_LOSS_SHARING_NON_ACCRUAL_FFIEC" hidden="1">"c27161"</definedName>
    <definedName name="IQ_COMM_INDUST_LOANS_QUARTERLY_AVG_FFIEC" hidden="1">"c27064"</definedName>
    <definedName name="IQ_COMM_INDUST_LOSS_SHARING_FFIEC" hidden="1">"c27198"</definedName>
    <definedName name="IQ_COMM_INDUST_NON_US_ADR_LOANS_RSTRC_DUE_30_89_FFIEC" hidden="1">"c27098"</definedName>
    <definedName name="IQ_COMM_INDUST_NON_US_ADR_LOANS_RSTRC_NON_ACCRUAL_FFIEC" hidden="1">"c27178"</definedName>
    <definedName name="IQ_COMM_INDUST_NON_US_ADR_LOANS_RSTRC_TERMS_FFIEC" hidden="1">"c27029"</definedName>
    <definedName name="IQ_COMM_INDUST_US_ADR_LOANS_RSTRC_DUE_30_89_FFIEC" hidden="1">"c27097"</definedName>
    <definedName name="IQ_COMM_INDUST_US_ADR_LOANS_RSTRC_DUE_90_FFIEC" hidden="1">"c27137"</definedName>
    <definedName name="IQ_COMM_INDUST_US_ADR_LOANS_RSTRC_NON_ACCRUAL_FFIEC" hidden="1">"c27177"</definedName>
    <definedName name="IQ_COMM_INDUST_US_ADR_LOANS_RSTRC_TERMS_FFIEC" hidden="1">"c27028"</definedName>
    <definedName name="IQ_COMM_INDUSTRIA_NONL_US_ADR_LOANS_RSTRC_DUE_90_FFIEC" hidden="1">"c27138"</definedName>
    <definedName name="IQ_COMM_INDUSTRIAL_LL_REC_FFIEC" hidden="1">"c18880"</definedName>
    <definedName name="IQ_COMM_INDUSTRIAL_LOANS_FFIEC" hidden="1">"c12821"</definedName>
    <definedName name="IQ_COMM_INDUSTRIAL_NON_US_LL_REC_FFIEC" hidden="1">"c12888"</definedName>
    <definedName name="IQ_COMM_INDUSTRIAL_US_LL_REC_FFIEC" hidden="1">"c12887"</definedName>
    <definedName name="IQ_COMM_LETTERS_CREDIT_THRIFT" hidden="1">"c25613"</definedName>
    <definedName name="IQ_COMM_LOANS_GROSS_LOANS_THRIFT" hidden="1">"c25732"</definedName>
    <definedName name="IQ_COMM_LOANS_NON_MORTGAGE_ADJUSTED_NCOS_TOTAL_THRIFT" hidden="1">"c25210"</definedName>
    <definedName name="IQ_COMM_LOANS_NON_MORTGAGE_GVA_CHARGE_OFFS_THRIFT" hidden="1">"c25125"</definedName>
    <definedName name="IQ_COMM_LOANS_NON_MORTGAGE_GVA_RECOVERIES_THRIFT" hidden="1">"c25156"</definedName>
    <definedName name="IQ_COMM_LOANS_NON_MORTGAGE_SVA_PROVISIONS_TRANSFERS_FROM_GVA_TOTAL_THRIFT" hidden="1">"c25179"</definedName>
    <definedName name="IQ_COMM_LOANS_RISK_BASED_CAPITAL_THRIFT" hidden="1">"c25717"</definedName>
    <definedName name="IQ_COMM_LOANS_THRIFT" hidden="1">"c24853"</definedName>
    <definedName name="IQ_COMM_LOANS_TOTAL_LOANS_THRIFT" hidden="1">"c25749"</definedName>
    <definedName name="IQ_COMM_MBS_ISSUED_FNMA_TRADING_DOM_FFIEC" hidden="1">"c27012"</definedName>
    <definedName name="IQ_COMM_MBS_ISSUED_FNMA_TRADING_FFIEC" hidden="1">"c27005"</definedName>
    <definedName name="IQ_COMM_NON_MORTGAGE_LOANS_DUE_30_89_THRIFT" hidden="1">"c25247"</definedName>
    <definedName name="IQ_COMM_NON_MORTGAGE_LOANS_DUE_90_THRIFT" hidden="1">"c25268"</definedName>
    <definedName name="IQ_COMM_NON_MORTGAGE_LOANS_NON_ACCRUAL_THRIFT" hidden="1">"c25289"</definedName>
    <definedName name="IQ_COMM_RE_FARM_LOANS_TOT_LOANS_FFIEC" hidden="1">"c13872"</definedName>
    <definedName name="IQ_COMM_RE_FARM_LOANS_TOTAL_LOANS_THRIFT" hidden="1">"c25743"</definedName>
    <definedName name="IQ_COMM_RE_LOANS_GROSS_LOANS_THRIFT" hidden="1">"c25725"</definedName>
    <definedName name="IQ_COMM_RE_LOANS_RISK_BASED_CAPITAL_THRIFT" hidden="1">"c25710"</definedName>
    <definedName name="IQ_COMM_RE_NONFARM_NONRES_TOT_LOANS_FFIEC" hidden="1">"c13871"</definedName>
    <definedName name="IQ_COMM_RE_NONFARM_NONRESIDENTIAL_TOTAL_LOANS_THRIFT" hidden="1">"c25746"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_UNUSED_FFIEC" hidden="1">"c25859"</definedName>
    <definedName name="IQ_COMMERCIAL_INDUSTRIAL_CHARGE_OFFS_FDIC" hidden="1">"c6598"</definedName>
    <definedName name="IQ_COMMERCIAL_INDUSTRIAL_DOM_QUARTERLY_AVG_FFIEC" hidden="1">"c15478"</definedName>
    <definedName name="IQ_COMMERCIAL_INDUSTRIAL_GROSS_LOANS_FFIEC" hidden="1">"c13410"</definedName>
    <definedName name="IQ_COMMERCIAL_INDUSTRIAL_LOANS_DUE_30_89_FFIEC" hidden="1">"c13271"</definedName>
    <definedName name="IQ_COMMERCIAL_INDUSTRIAL_LOANS_DUE_90_FFIEC" hidden="1">"c13297"</definedName>
    <definedName name="IQ_COMMERCIAL_INDUSTRIAL_LOANS_LL_REC_DOM_FFIEC" hidden="1">"c12910"</definedName>
    <definedName name="IQ_COMMERCIAL_INDUSTRIAL_LOANS_NET_FDIC" hidden="1">"c6317"</definedName>
    <definedName name="IQ_COMMERCIAL_INDUSTRIAL_LOANS_NON_ACCRUAL_FFIEC" hidden="1">"c13323"</definedName>
    <definedName name="IQ_COMMERCIAL_INDUSTRIAL_NET_CHARGE_OFFS_FDIC" hidden="1">"c6636"</definedName>
    <definedName name="IQ_COMMERCIAL_INDUSTRIAL_NON_US_CHARGE_OFFS_FFIEC" hidden="1">"c13179"</definedName>
    <definedName name="IQ_COMMERCIAL_INDUSTRIAL_NON_US_DUE_30_89_FFIEC" hidden="1">"c15415"</definedName>
    <definedName name="IQ_COMMERCIAL_INDUSTRIAL_NON_US_DUE_90_FFIEC" hidden="1">"c15419"</definedName>
    <definedName name="IQ_COMMERCIAL_INDUSTRIAL_NON_US_NON_ACCRUAL_FFIEC" hidden="1">"c15464"</definedName>
    <definedName name="IQ_COMMERCIAL_INDUSTRIAL_NON_US_RECOV_FFIEC" hidden="1">"c13201"</definedName>
    <definedName name="IQ_COMMERCIAL_INDUSTRIAL_RECOVERIES_FDIC" hidden="1">"c6617"</definedName>
    <definedName name="IQ_COMMERCIAL_INDUSTRIAL_RISK_BASED_FFIEC" hidden="1">"c13431"</definedName>
    <definedName name="IQ_COMMERCIAL_INDUSTRIAL_TOTAL_LOANS_FOREIGN_FDIC" hidden="1">"c6451"</definedName>
    <definedName name="IQ_COMMERCIAL_INDUSTRIAL_TRADING_DOM_FFIEC" hidden="1">"c12932"</definedName>
    <definedName name="IQ_COMMERCIAL_INDUSTRIAL_US_CHARGE_OFFS_FFIEC" hidden="1">"c13178"</definedName>
    <definedName name="IQ_COMMERCIAL_INDUSTRIAL_US_DUE_30_89_FFIEC" hidden="1">"c15414"</definedName>
    <definedName name="IQ_COMMERCIAL_INDUSTRIAL_US_DUE_90_FFIEC" hidden="1">"c15418"</definedName>
    <definedName name="IQ_COMMERCIAL_INDUSTRIAL_US_NON_ACCRUAL_FFIEC" hidden="1">"c15463"</definedName>
    <definedName name="IQ_COMMERCIAL_INDUSTRIAL_US_RECOV_FFIEC" hidden="1">"c13200"</definedName>
    <definedName name="IQ_COMMERCIAL_INVEST_CABLE_INVEST" hidden="1">"c15806"</definedName>
    <definedName name="IQ_COMMERCIAL_LOANS_TOTAL_LOANS" hidden="1">"c15709"</definedName>
    <definedName name="IQ_COMMERCIAL_MORT" hidden="1">"c179"</definedName>
    <definedName name="IQ_COMMERCIAL_OTHER_LOC_FFIEC" hidden="1">"c13253"</definedName>
    <definedName name="IQ_COMMERCIAL_PAPER_ASSETS_TOT_FFIEC" hidden="1">"c13449"</definedName>
    <definedName name="IQ_COMMERCIAL_PAPER_FFIEC" hidden="1">"c12863"</definedName>
    <definedName name="IQ_COMMERCIAL_RE_CONSTRUCTION_LAND_DEV_FDIC" hidden="1">"c6526"</definedName>
    <definedName name="IQ_COMMERCIAL_RE_GROSS_LOANS_FFIEC" hidden="1">"c13400"</definedName>
    <definedName name="IQ_COMMERCIAL_RE_LOANS_FDIC" hidden="1">"c6312"</definedName>
    <definedName name="IQ_COMMERCIAL_RE_LOANS_TOTAL_LOANS" hidden="1">"c15710"</definedName>
    <definedName name="IQ_COMMERCIAL_RE_RISK_BASED_FFIEC" hidden="1">"c13421"</definedName>
    <definedName name="IQ_COMMISS_FEES" hidden="1">"c180"</definedName>
    <definedName name="IQ_COMMISSION_DEF" hidden="1">"c181"</definedName>
    <definedName name="IQ_COMMITMENTS_BUY_SEC_OTHER_OFF_BS_FFIEC" hidden="1">"c13128"</definedName>
    <definedName name="IQ_COMMITMENTS_COMMERCIAL_RE_UNUSED_FFIEC" hidden="1">"c13243"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ITMENTS_SELL_SEC_OTHER_OFF_BS_FFIEC" hidden="1">"c13129"</definedName>
    <definedName name="IQ_COMMODITY_EXPOSURE_FFIEC" hidden="1">"c13061"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CM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CM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CM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TOCK" localSheetId="7" hidden="1">"c1358"</definedName>
    <definedName name="IQ_COMMON_STOCK" localSheetId="8" hidden="1">"c1358"</definedName>
    <definedName name="IQ_COMMON_STOCK" hidden="1">"c1358"</definedName>
    <definedName name="IQ_COMMON_STOCK_DIVIDENDS_DECLARED_SAVINGS_ASSOCIATION_THRIFT" hidden="1">"c25011"</definedName>
    <definedName name="IQ_COMMON_STOCK_FFIEC" hidden="1">"c12876"</definedName>
    <definedName name="IQ_COMMON_STOCK_THRIFT" hidden="1">"c24917"</definedName>
    <definedName name="IQ_COMMON_TRUST_FUNDS_COLLECTIVE_INV_FUNDS_ALL_OTHER_ACCOUNTS_THRIFT" hidden="1">"c25430"</definedName>
    <definedName name="IQ_COMMON_TRUST_FUNDS_COLLECTIVE_INV_FUNDS_EMPLOYEE_BENEFIT_RETIREMENT_RELATED_ACCOUNTS_THRIFT" hidden="1">"c25414"</definedName>
    <definedName name="IQ_COMMON_TRUST_FUNDS_COLLECTIVE_INV_FUNDS_PERSONAL_TRUST_AGENCY_INV_MANAGEMENT_ACCOUNTS_THRIFT" hidden="1">"c25398"</definedName>
    <definedName name="IQ_COMP_BENEFITS" hidden="1">"c213"</definedName>
    <definedName name="IQ_COMPANY_ADDRESS" hidden="1">"c214"</definedName>
    <definedName name="IQ_COMPANY_ID" hidden="1">"c3513"</definedName>
    <definedName name="IQ_COMPANY_ID_QUICK_MATCH" hidden="1">"c16227"</definedName>
    <definedName name="IQ_COMPANY_MAIN_FAX" hidden="1">"c18016"</definedName>
    <definedName name="IQ_COMPANY_NAME" hidden="1">"c215"</definedName>
    <definedName name="IQ_COMPANY_NAME_LONG" hidden="1">"c1585"</definedName>
    <definedName name="IQ_COMPANY_NAME_QUICK_MATCH" hidden="1">"c16228"</definedName>
    <definedName name="IQ_COMPANY_NOTE" hidden="1">"c6792"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ICKER_NO_EXCH" hidden="1">"c15490"</definedName>
    <definedName name="IQ_COMPANY_TYPE" hidden="1">"c2096"</definedName>
    <definedName name="IQ_COMPANY_WEBSITE" hidden="1">"c220"</definedName>
    <definedName name="IQ_COMPANY_ZIP" hidden="1">"c221"</definedName>
    <definedName name="IQ_COMPETITOR_ALL" hidden="1">"c13754"</definedName>
    <definedName name="IQ_COMPETITOR_NAMED_BY_COMPANY" hidden="1">"c13751"</definedName>
    <definedName name="IQ_COMPETITOR_NAMED_BY_COMPETITOR" hidden="1">"c13752"</definedName>
    <definedName name="IQ_COMPETITOR_NAMED_BY_THIRDPARTY" hidden="1">"c13753"</definedName>
    <definedName name="IQ_COMPOSITE_CYCLICAL_IND" hidden="1">"c6830"</definedName>
    <definedName name="IQ_COMPOSITE_CYCLICAL_IND_APR" hidden="1">"c7490"</definedName>
    <definedName name="IQ_COMPOSITE_CYCLICAL_IND_APR_FC" hidden="1">"c8370"</definedName>
    <definedName name="IQ_COMPOSITE_CYCLICAL_IND_FC" hidden="1">"c7710"</definedName>
    <definedName name="IQ_COMPOSITE_CYCLICAL_IND_POP" hidden="1">"c7050"</definedName>
    <definedName name="IQ_COMPOSITE_CYCLICAL_IND_POP_FC" hidden="1">"c7930"</definedName>
    <definedName name="IQ_COMPOSITE_CYCLICAL_IND_YOY" hidden="1">"c7270"</definedName>
    <definedName name="IQ_COMPOSITE_CYCLICAL_IND_YOY_FC" hidden="1">"c8150"</definedName>
    <definedName name="IQ_CONSOL_BEDS" hidden="1">"c8782"</definedName>
    <definedName name="IQ_CONSOL_PROP_OPERATIONAL" hidden="1">"c8758"</definedName>
    <definedName name="IQ_CONSOL_PROP_OTHER_OWNED" hidden="1">"c8760"</definedName>
    <definedName name="IQ_CONSOL_PROP_TOTAL" hidden="1">"c8761"</definedName>
    <definedName name="IQ_CONSOL_PROP_UNDEVELOPED" hidden="1">"c8759"</definedName>
    <definedName name="IQ_CONSOL_ROOMS" hidden="1">"c8786"</definedName>
    <definedName name="IQ_CONSOL_SQ_FT_OPERATIONAL" hidden="1">"c8774"</definedName>
    <definedName name="IQ_CONSOL_SQ_FT_OTHER_OWNED" hidden="1">"c8776"</definedName>
    <definedName name="IQ_CONSOL_SQ_FT_TOTAL" hidden="1">"c8777"</definedName>
    <definedName name="IQ_CONSOL_SQ_FT_UNDEVELOPED" hidden="1">"c8775"</definedName>
    <definedName name="IQ_CONSOL_UNITS_OPERATIONAL" hidden="1">"c8766"</definedName>
    <definedName name="IQ_CONSOL_UNITS_OTHER_OWNED" hidden="1">"c8768"</definedName>
    <definedName name="IQ_CONSOL_UNITS_TOTAL" hidden="1">"c8769"</definedName>
    <definedName name="IQ_CONSOL_UNITS_UNDEVELOPED" hidden="1">"c8767"</definedName>
    <definedName name="IQ_CONSOLIDATED_ASSETS_QUARTERLY_AVG_FFIEC" hidden="1">"c13087"</definedName>
    <definedName name="IQ_CONSOLIDATED_NI_FOREIGN_FFIEC" hidden="1">"c15396"</definedName>
    <definedName name="IQ_CONST_LAND_DEV_LOANS_TOT_LOANS_FFIEC" hidden="1">"c13865"</definedName>
    <definedName name="IQ_CONST_LAND_DEVELOP_OTHER_DOM_CHARGE_OFFS_FFIEC" hidden="1">"c13628"</definedName>
    <definedName name="IQ_CONST_LAND_DEVELOP_OTHER_DOM_LOSS_SHARING_FFIEC" hidden="1">"c27207"</definedName>
    <definedName name="IQ_CONST_LAND_DEVELOP_OTHER_DOM_RECOV_FFIEC" hidden="1">"c13632"</definedName>
    <definedName name="IQ_CONSTITUENTS" hidden="1">"c19169"</definedName>
    <definedName name="IQ_CONSTITUENTS_ADD" hidden="1">"c26979"</definedName>
    <definedName name="IQ_CONSTITUENTS_ADD_DATE" hidden="1">"c26980"</definedName>
    <definedName name="IQ_CONSTITUENTS_NAME" hidden="1">"c19192"</definedName>
    <definedName name="IQ_CONSTITUENTS_REMOVE" hidden="1">"c26981"</definedName>
    <definedName name="IQ_CONSTITUENTS_REMOVE_DATE" hidden="1">"c26982"</definedName>
    <definedName name="IQ_CONSTRUCTION_1_4_DWELLING_UNITS_THRIFT" hidden="1">"c24839"</definedName>
    <definedName name="IQ_CONSTRUCTION_DEV_LOANS_FDIC" hidden="1">"c6313"</definedName>
    <definedName name="IQ_CONSTRUCTION_LAND_DEV_DOM_FFIEC" hidden="1">"c15267"</definedName>
    <definedName name="IQ_CONSTRUCTION_LAND_DEVELOPMENT_CHARGE_OFFS_FDIC" hidden="1">"c6594"</definedName>
    <definedName name="IQ_CONSTRUCTION_LAND_DEVELOPMENT_LOANS_TOTAL_LOANS_THRIFT" hidden="1">"c25744"</definedName>
    <definedName name="IQ_CONSTRUCTION_LAND_DEVELOPMENT_NET_CHARGE_OFFS_FDIC" hidden="1">"c6632"</definedName>
    <definedName name="IQ_CONSTRUCTION_LAND_DEVELOPMENT_RECOVERIES_FDIC" hidden="1">"c6613"</definedName>
    <definedName name="IQ_CONSTRUCTION_LL_REC_DOM_FFIEC" hidden="1">"c12900"</definedName>
    <definedName name="IQ_CONSTRUCTION_LOANS" hidden="1">"c222"</definedName>
    <definedName name="IQ_CONSTRUCTION_LOANS_DOM_DUE_30_89_FFIEC" hidden="1">"c13256"</definedName>
    <definedName name="IQ_CONSTRUCTION_LOANS_DOM_DUE_90_FFIEC" hidden="1">"c13284"</definedName>
    <definedName name="IQ_CONSTRUCTION_LOANS_DOM_NON_ACCRUAL_FFIEC" hidden="1">"c13310"</definedName>
    <definedName name="IQ_CONSTRUCTION_LOANS_GROSS_LOANS_FFIEC" hidden="1">"c13401"</definedName>
    <definedName name="IQ_CONSTRUCTION_LOANS_GROSS_LOANS_THRIFT" hidden="1">"c25726"</definedName>
    <definedName name="IQ_CONSTRUCTION_LOANS_IN_PROCESS_FORECLOSURE_THRIFT" hidden="1">"c25303"</definedName>
    <definedName name="IQ_CONSTRUCTION_LOANS_RISK_BASED_CAPITAL_THRIFT" hidden="1">"c25711"</definedName>
    <definedName name="IQ_CONSTRUCTION_LOANS_TOTAL_LOANS" hidden="1">"c15711"</definedName>
    <definedName name="IQ_CONSTRUCTION_MORTGAGE_LOANS_30_89_DAYS_PAST_DUE_STILL_ACCRUING_THRIFT" hidden="1">"c25240"</definedName>
    <definedName name="IQ_CONSTRUCTION_MORTGAGE_LOANS_DUE_90_THRIFT" hidden="1">"c25261"</definedName>
    <definedName name="IQ_CONSTRUCTION_MORTGAGE_LOANS_FORECLOSED_DURING_QUARTER_THRIFT" hidden="1">"c25231"</definedName>
    <definedName name="IQ_CONSTRUCTION_MORTGAGE_LOANS_NON_ACCRUAL_THRIFT" hidden="1">"c25282"</definedName>
    <definedName name="IQ_CONSTRUCTION_MORTGAGE_LOANS_THRIFT" hidden="1">"c24838"</definedName>
    <definedName name="IQ_CONSTRUCTION_MULTIFAMILY_DWELLING_UNITS_THRIFT" hidden="1">"c24840"</definedName>
    <definedName name="IQ_CONSTRUCTION_NONRES_PROPERTY_THRIFT" hidden="1">"c24841"</definedName>
    <definedName name="IQ_CONSTRUCTION_RISK_BASED_FFIEC" hidden="1">"c13422"</definedName>
    <definedName name="IQ_CONSULTING_FFIEC" hidden="1">"c13055"</definedName>
    <definedName name="IQ_CONSUMER_AUTO_LOANS_DUE_90_THRIFT" hidden="1">"c25272"</definedName>
    <definedName name="IQ_CONSUMER_AUTO_LOANS_NON_MORTGAGE_ADJUSTED_NCOS_TOTAL_THRIFT" hidden="1">"c25214"</definedName>
    <definedName name="IQ_CONSUMER_AUTO_LOANS_NON_MORTGAGE_GVA_CHARGE_OFFS_THRIFT" hidden="1">"c25129"</definedName>
    <definedName name="IQ_CONSUMER_AUTO_LOANS_NON_MORTGAGE_GVA_RECOVERIES_THRIFT" hidden="1">"c25160"</definedName>
    <definedName name="IQ_CONSUMER_AUTO_LOANS_NON_MORTGAGE_LOANS_DUE_30_89_THRIFT" hidden="1">"c25251"</definedName>
    <definedName name="IQ_CONSUMER_AUTO_LOANS_NON_MORTGAGE_LOANS_NON_ACCRUAL_THRIFT" hidden="1">"c25293"</definedName>
    <definedName name="IQ_CONSUMER_AUTO_LOANS_NON_MORTGAGE_SVA_PROVISIONS_TRANSFERS_FROM_GVA_TOTAL_THRIFT" hidden="1">"c25183"</definedName>
    <definedName name="IQ_CONSUMER_COMFORT" hidden="1">"c6831"</definedName>
    <definedName name="IQ_CONSUMER_COMFORT_APR" hidden="1">"c7491"</definedName>
    <definedName name="IQ_CONSUMER_COMFORT_APR_FC" hidden="1">"c8371"</definedName>
    <definedName name="IQ_CONSUMER_COMFORT_FC" hidden="1">"c7711"</definedName>
    <definedName name="IQ_CONSUMER_COMFORT_POP" hidden="1">"c7051"</definedName>
    <definedName name="IQ_CONSUMER_COMFORT_POP_FC" hidden="1">"c7931"</definedName>
    <definedName name="IQ_CONSUMER_CONFIDENCE" hidden="1">"c6832"</definedName>
    <definedName name="IQ_CONSUMER_CONFIDENCE_APR" hidden="1">"c7492"</definedName>
    <definedName name="IQ_CONSUMER_CONFIDENCE_APR_FC" hidden="1">"c8372"</definedName>
    <definedName name="IQ_CONSUMER_CONFIDENCE_FC" hidden="1">"c7712"</definedName>
    <definedName name="IQ_CONSUMER_CONFIDENCE_POP" hidden="1">"c7052"</definedName>
    <definedName name="IQ_CONSUMER_CONFIDENCE_POP_FC" hidden="1">"c7932"</definedName>
    <definedName name="IQ_CONSUMER_CONFIDENCE_YOY" hidden="1">"c7272"</definedName>
    <definedName name="IQ_CONSUMER_CONFIDENCE_YOY_FC" hidden="1">"c8152"</definedName>
    <definedName name="IQ_CONSUMER_CREDIT_CARD_LINES_UNUSED_FFIEC" hidden="1">"c25862"</definedName>
    <definedName name="IQ_CONSUMER_CREDIT_CARDS_NON_MORTGAGE_ADJUSTED_NCOS_TOTAL_THRIFT" hidden="1">"c25216"</definedName>
    <definedName name="IQ_CONSUMER_CREDIT_CARDS_NON_MORTGAGE_GVA_CHARGE_OFFS_THRIFT" hidden="1">"c25131"</definedName>
    <definedName name="IQ_CONSUMER_CREDIT_CARDS_NON_MORTGAGE_GVA_RECOVERIES_THRIFT" hidden="1">"c25162"</definedName>
    <definedName name="IQ_CONSUMER_CREDIT_CARDS_NON_MORTGAGE_LOANS_DUE_30_89_THRIFT" hidden="1">"c25253"</definedName>
    <definedName name="IQ_CONSUMER_CREDIT_CARDS_NON_MORTGAGE_LOANS_DUE_90_THRIFT" hidden="1">"c25274"</definedName>
    <definedName name="IQ_CONSUMER_CREDIT_CARDS_NON_MORTGAGE_LOANS_NON_ACCRUAL_THRIFT" hidden="1">"c25295"</definedName>
    <definedName name="IQ_CONSUMER_CREDIT_CARDS_NON_MORTGAGE_SVA_PROVISIONS_TRANSFERS_FROM_GVA_TOTAL_THRIFT" hidden="1">"c25185"</definedName>
    <definedName name="IQ_CONSUMER_EDUCATION_LOANS_NON_MORTGAGE_ADJUSTED_NCOS_TOTAL_THRIFT" hidden="1">"c25213"</definedName>
    <definedName name="IQ_CONSUMER_EDUCATION_LOANS_NON_MORTGAGE_GVA_CHARGE_OFFS_THRIFT" hidden="1">"c25128"</definedName>
    <definedName name="IQ_CONSUMER_EDUCATION_LOANS_NON_MORTGAGE_GVA_RECOVERIES_THRIFT" hidden="1">"c25159"</definedName>
    <definedName name="IQ_CONSUMER_EDUCATION_LOANS_NON_MORTGAGE_SVA_PROVISIONS_TRANSFERS_FROM_GVA_TOTAL_THRIFT" hidden="1">"c25182"</definedName>
    <definedName name="IQ_CONSUMER_EDUCATION_NON_MORTGAGE_LOANS_DUE_30_89_THRIFT" hidden="1">"c25250"</definedName>
    <definedName name="IQ_CONSUMER_EDUCATION_NON_MORTGAGE_LOANS_DUE_90_THRIFT" hidden="1">"c25271"</definedName>
    <definedName name="IQ_CONSUMER_EDUCATION_NON_MORTGAGE_LOANS_NON_ACCRUAL_THRIFT" hidden="1">"c25292"</definedName>
    <definedName name="IQ_CONSUMER_HOME_IMPROVEMENT_LOANS_NON_MORTGAGE_ADJUSTED_NCOS_TOTAL_THRIFT" hidden="1">"c25212"</definedName>
    <definedName name="IQ_CONSUMER_HOME_IMPROVEMENT_LOANS_NON_MORTGAGE_GVA_CHARGE_OFFS_THRIFT" hidden="1">"c25127"</definedName>
    <definedName name="IQ_CONSUMER_HOME_IMPROVEMENT_LOANS_NON_MORTGAGE_GVA_RECOVERIES_THRIFT" hidden="1">"c25158"</definedName>
    <definedName name="IQ_CONSUMER_HOME_IMPROVEMENT_LOANS_NON_MORTGAGE_SVA_PROVISIONS_TRANSFERS_FROM_GVA_TOTAL_THRIFT" hidden="1">"c25181"</definedName>
    <definedName name="IQ_CONSUMER_HOME_IMPROVEMENT_NON_MORTGAGE_LOANS_DUE_30_89_THRIFT" hidden="1">"c25249"</definedName>
    <definedName name="IQ_CONSUMER_HOME_IMPROVEMENT_NON_MORTGAGE_LOANS_DUE_90_THRIFT" hidden="1">"c25270"</definedName>
    <definedName name="IQ_CONSUMER_HOME_IMPROVEMENT_NON_MORTGAGE_LOANS_NON_ACCRUAL_THRIFT" hidden="1">"c25291"</definedName>
    <definedName name="IQ_CONSUMER_LEASES_LL_REC_FFIEC" hidden="1">"c12895"</definedName>
    <definedName name="IQ_CONSUMER_LENDING" hidden="1">"c6833"</definedName>
    <definedName name="IQ_CONSUMER_LENDING_APR" hidden="1">"c7493"</definedName>
    <definedName name="IQ_CONSUMER_LENDING_APR_FC" hidden="1">"c8373"</definedName>
    <definedName name="IQ_CONSUMER_LENDING_FC" hidden="1">"c7713"</definedName>
    <definedName name="IQ_CONSUMER_LENDING_GROSS" hidden="1">"c6878"</definedName>
    <definedName name="IQ_CONSUMER_LENDING_GROSS_APR" hidden="1">"c7538"</definedName>
    <definedName name="IQ_CONSUMER_LENDING_GROSS_APR_FC" hidden="1">"c8418"</definedName>
    <definedName name="IQ_CONSUMER_LENDING_GROSS_FC" hidden="1">"c7758"</definedName>
    <definedName name="IQ_CONSUMER_LENDING_GROSS_POP" hidden="1">"c7098"</definedName>
    <definedName name="IQ_CONSUMER_LENDING_GROSS_POP_FC" hidden="1">"c7978"</definedName>
    <definedName name="IQ_CONSUMER_LENDING_GROSS_YOY" hidden="1">"c7318"</definedName>
    <definedName name="IQ_CONSUMER_LENDING_GROSS_YOY_FC" hidden="1">"c8198"</definedName>
    <definedName name="IQ_CONSUMER_LENDING_NET" hidden="1">"c6922"</definedName>
    <definedName name="IQ_CONSUMER_LENDING_NET_APR" hidden="1">"c7582"</definedName>
    <definedName name="IQ_CONSUMER_LENDING_NET_APR_FC" hidden="1">"c8462"</definedName>
    <definedName name="IQ_CONSUMER_LENDING_NET_FC" hidden="1">"c7802"</definedName>
    <definedName name="IQ_CONSUMER_LENDING_NET_POP" hidden="1">"c7142"</definedName>
    <definedName name="IQ_CONSUMER_LENDING_NET_POP_FC" hidden="1">"c8022"</definedName>
    <definedName name="IQ_CONSUMER_LENDING_NET_YOY" hidden="1">"c7362"</definedName>
    <definedName name="IQ_CONSUMER_LENDING_NET_YOY_FC" hidden="1">"c8242"</definedName>
    <definedName name="IQ_CONSUMER_LENDING_POP" hidden="1">"c7053"</definedName>
    <definedName name="IQ_CONSUMER_LENDING_POP_FC" hidden="1">"c7933"</definedName>
    <definedName name="IQ_CONSUMER_LENDING_TOTAL" hidden="1">"c7018"</definedName>
    <definedName name="IQ_CONSUMER_LENDING_TOTAL_APR" hidden="1">"c7678"</definedName>
    <definedName name="IQ_CONSUMER_LENDING_TOTAL_APR_FC" hidden="1">"c8558"</definedName>
    <definedName name="IQ_CONSUMER_LENDING_TOTAL_FC" hidden="1">"c7898"</definedName>
    <definedName name="IQ_CONSUMER_LENDING_TOTAL_POP" hidden="1">"c7238"</definedName>
    <definedName name="IQ_CONSUMER_LENDING_TOTAL_POP_FC" hidden="1">"c8118"</definedName>
    <definedName name="IQ_CONSUMER_LENDING_TOTAL_YOY" hidden="1">"c7458"</definedName>
    <definedName name="IQ_CONSUMER_LENDING_TOTAL_YOY_FC" hidden="1">"c8338"</definedName>
    <definedName name="IQ_CONSUMER_LENDING_YOY" hidden="1">"c7273"</definedName>
    <definedName name="IQ_CONSUMER_LENDING_YOY_FC" hidden="1">"c8153"</definedName>
    <definedName name="IQ_CONSUMER_LL_REC_FFIEC" hidden="1">"c25869"</definedName>
    <definedName name="IQ_CONSUMER_LOANS" hidden="1">"c223"</definedName>
    <definedName name="IQ_CONSUMER_LOANS_CHARGE_OFFS_FFIEC" hidden="1">"c25838"</definedName>
    <definedName name="IQ_CONSUMER_LOANS_DEPOSITS_NON_MORTGAGE_ADJUSTED_NCOS_TOTAL_THRIFT" hidden="1">"c25211"</definedName>
    <definedName name="IQ_CONSUMER_LOANS_DEPOSITS_NON_MORTGAGE_GVA_CHARGE_OFFS_THRIFT" hidden="1">"c25126"</definedName>
    <definedName name="IQ_CONSUMER_LOANS_DEPOSITS_NON_MORTGAGE_GVA_RECOVERIES_THRIFT" hidden="1">"c25157"</definedName>
    <definedName name="IQ_CONSUMER_LOANS_DEPOSITS_NON_MORTGAGE_LOANS_DUE_30_89_THRIFT" hidden="1">"c25248"</definedName>
    <definedName name="IQ_CONSUMER_LOANS_DEPOSITS_NON_MORTGAGE_LOANS_DUE_90_THRIFT" hidden="1">"c25269"</definedName>
    <definedName name="IQ_CONSUMER_LOANS_DEPOSITS_NON_MORTGAGE_LOANS_NON_ACCRUAL_THRIFT" hidden="1">"c25290"</definedName>
    <definedName name="IQ_CONSUMER_LOANS_DEPOSITS_NON_MORTGAGE_SVA_PROVISIONS_TRANSFERS_FROM_GVA_TOTAL_THRIFT" hidden="1">"c25180"</definedName>
    <definedName name="IQ_CONSUMER_LOANS_DEPOSITS_THRIFT" hidden="1">"c24859"</definedName>
    <definedName name="IQ_CONSUMER_LOANS_DUE_30_89_FFIEC" hidden="1">"c25829"</definedName>
    <definedName name="IQ_CONSUMER_LOANS_DUE_90_FFIEC" hidden="1">"c25830"</definedName>
    <definedName name="IQ_CONSUMER_LOANS_LL_REC_DOM_FFIEC" hidden="1">"c12911"</definedName>
    <definedName name="IQ_CONSUMER_LOANS_NON_ACCRUAL_FFIEC" hidden="1">"c25831"</definedName>
    <definedName name="IQ_CONSUMER_LOANS_QUARTERLY_AVG_FFIEC" hidden="1">"c27065"</definedName>
    <definedName name="IQ_CONSUMER_LOANS_RECOV_FFIEC" hidden="1">"c25839"</definedName>
    <definedName name="IQ_CONSUMER_LOANS_THRIFT" hidden="1">"c24858"</definedName>
    <definedName name="IQ_CONSUMER_LOANS_TOT_LOANS_FFIEC" hidden="1">"c13875"</definedName>
    <definedName name="IQ_CONSUMER_LOANS_TOTAL_LOANS" hidden="1">"c15712"</definedName>
    <definedName name="IQ_CONSUMER_LOANS_TOTAL_LOANS_THRIFT" hidden="1">"c25750"</definedName>
    <definedName name="IQ_CONSUMER_MOBILE_HOME_LOANS_NON_MORTGAGE_ADJUSTED_NCOS_TOTAL_THRIFT" hidden="1">"c25215"</definedName>
    <definedName name="IQ_CONSUMER_MOBILE_HOME_LOANS_NON_MORTGAGE_GVA_CHARGE_OFFS_THRIFT" hidden="1">"c25130"</definedName>
    <definedName name="IQ_CONSUMER_MOBILE_HOME_LOANS_NON_MORTGAGE_GVA_RECOVERIES_THRIFT" hidden="1">"c25161"</definedName>
    <definedName name="IQ_CONSUMER_MOBILE_HOME_LOANS_NON_MORTGAGE_LOANS_DUE_30_89_THRIFT" hidden="1">"c25252"</definedName>
    <definedName name="IQ_CONSUMER_MOBILE_HOME_LOANS_NON_MORTGAGE_LOANS_DUE_90_THRIFT" hidden="1">"c25273"</definedName>
    <definedName name="IQ_CONSUMER_MOBILE_HOME_LOANS_NON_MORTGAGE_LOANS_NON_ACCRUAL_THRIFT" hidden="1">"c25294"</definedName>
    <definedName name="IQ_CONSUMER_MOBILE_HOME_LOANS_NON_MORTGAGE_SVA_PROVISIONS_TRANSFERS_FROM_GVA_TOTAL_THRIFT" hidden="1">"c25184"</definedName>
    <definedName name="IQ_CONSUMER_OTHER_NON_MORTGAGE_ADJUSTED_NCOS_TOTAL_THRIFT" hidden="1">"c25217"</definedName>
    <definedName name="IQ_CONSUMER_OTHER_NON_MORTGAGE_GVA_RECOVERIES_THRIFT" hidden="1">"c25163"</definedName>
    <definedName name="IQ_CONSUMER_OTHER_NON_MORTGAGE_LOANS_DUE_30_89_THRIFT" hidden="1">"c25254"</definedName>
    <definedName name="IQ_CONSUMER_OTHER_NON_MORTGAGE_LOANS_DUE_90_THRIFT" hidden="1">"c25275"</definedName>
    <definedName name="IQ_CONSUMER_OTHER_NON_MORTGAGE_LOANS_GVA_CHARGE_OFFS_THRIFT" hidden="1">"c25132"</definedName>
    <definedName name="IQ_CONSUMER_OTHER_NON_MORTGAGE_LOANS_NON_ACCRUAL_THRIFT" hidden="1">"c25296"</definedName>
    <definedName name="IQ_CONSUMER_OTHER_NON_MORTGAGE_SVA_PROVISIONS_TRANSFERS_FROM_GVA_TOTAL_THRIFT" hidden="1">"c25186"</definedName>
    <definedName name="IQ_CONSUMER_SPENDING" hidden="1">"c6834"</definedName>
    <definedName name="IQ_CONSUMER_SPENDING_APR" hidden="1">"c7494"</definedName>
    <definedName name="IQ_CONSUMER_SPENDING_APR_FC" hidden="1">"c8374"</definedName>
    <definedName name="IQ_CONSUMER_SPENDING_DURABLE" hidden="1">"c6835"</definedName>
    <definedName name="IQ_CONSUMER_SPENDING_DURABLE_APR" hidden="1">"c7495"</definedName>
    <definedName name="IQ_CONSUMER_SPENDING_DURABLE_APR_FC" hidden="1">"c8375"</definedName>
    <definedName name="IQ_CONSUMER_SPENDING_DURABLE_FC" hidden="1">"c7715"</definedName>
    <definedName name="IQ_CONSUMER_SPENDING_DURABLE_POP" hidden="1">"c7055"</definedName>
    <definedName name="IQ_CONSUMER_SPENDING_DURABLE_POP_FC" hidden="1">"c7935"</definedName>
    <definedName name="IQ_CONSUMER_SPENDING_DURABLE_REAL" hidden="1">"c6964"</definedName>
    <definedName name="IQ_CONSUMER_SPENDING_DURABLE_REAL_APR" hidden="1">"c7624"</definedName>
    <definedName name="IQ_CONSUMER_SPENDING_DURABLE_REAL_APR_FC" hidden="1">"c8504"</definedName>
    <definedName name="IQ_CONSUMER_SPENDING_DURABLE_REAL_FC" hidden="1">"c7844"</definedName>
    <definedName name="IQ_CONSUMER_SPENDING_DURABLE_REAL_POP" hidden="1">"c7184"</definedName>
    <definedName name="IQ_CONSUMER_SPENDING_DURABLE_REAL_POP_FC" hidden="1">"c8064"</definedName>
    <definedName name="IQ_CONSUMER_SPENDING_DURABLE_REAL_SAAR" hidden="1">"c6965"</definedName>
    <definedName name="IQ_CONSUMER_SPENDING_DURABLE_REAL_SAAR_APR" hidden="1">"c7625"</definedName>
    <definedName name="IQ_CONSUMER_SPENDING_DURABLE_REAL_SAAR_APR_FC" hidden="1">"c8505"</definedName>
    <definedName name="IQ_CONSUMER_SPENDING_DURABLE_REAL_SAAR_FC" hidden="1">"c7845"</definedName>
    <definedName name="IQ_CONSUMER_SPENDING_DURABLE_REAL_SAAR_POP" hidden="1">"c7185"</definedName>
    <definedName name="IQ_CONSUMER_SPENDING_DURABLE_REAL_SAAR_POP_FC" hidden="1">"c8065"</definedName>
    <definedName name="IQ_CONSUMER_SPENDING_DURABLE_REAL_SAAR_YOY" hidden="1">"c7405"</definedName>
    <definedName name="IQ_CONSUMER_SPENDING_DURABLE_REAL_SAAR_YOY_FC" hidden="1">"c8285"</definedName>
    <definedName name="IQ_CONSUMER_SPENDING_DURABLE_REAL_YOY" hidden="1">"c7404"</definedName>
    <definedName name="IQ_CONSUMER_SPENDING_DURABLE_REAL_YOY_FC" hidden="1">"c8284"</definedName>
    <definedName name="IQ_CONSUMER_SPENDING_DURABLE_YOY" hidden="1">"c7275"</definedName>
    <definedName name="IQ_CONSUMER_SPENDING_DURABLE_YOY_FC" hidden="1">"c8155"</definedName>
    <definedName name="IQ_CONSUMER_SPENDING_FC" hidden="1">"c7714"</definedName>
    <definedName name="IQ_CONSUMER_SPENDING_NONDURABLE" hidden="1">"c6836"</definedName>
    <definedName name="IQ_CONSUMER_SPENDING_NONDURABLE_APR" hidden="1">"c7496"</definedName>
    <definedName name="IQ_CONSUMER_SPENDING_NONDURABLE_APR_FC" hidden="1">"c8376"</definedName>
    <definedName name="IQ_CONSUMER_SPENDING_NONDURABLE_FC" hidden="1">"c7716"</definedName>
    <definedName name="IQ_CONSUMER_SPENDING_NONDURABLE_POP" hidden="1">"c7056"</definedName>
    <definedName name="IQ_CONSUMER_SPENDING_NONDURABLE_POP_FC" hidden="1">"c7936"</definedName>
    <definedName name="IQ_CONSUMER_SPENDING_NONDURABLE_REAL" hidden="1">"c6966"</definedName>
    <definedName name="IQ_CONSUMER_SPENDING_NONDURABLE_REAL_APR" hidden="1">"c7626"</definedName>
    <definedName name="IQ_CONSUMER_SPENDING_NONDURABLE_REAL_APR_FC" hidden="1">"c8506"</definedName>
    <definedName name="IQ_CONSUMER_SPENDING_NONDURABLE_REAL_FC" hidden="1">"c7846"</definedName>
    <definedName name="IQ_CONSUMER_SPENDING_NONDURABLE_REAL_POP" hidden="1">"c7186"</definedName>
    <definedName name="IQ_CONSUMER_SPENDING_NONDURABLE_REAL_POP_FC" hidden="1">"c8066"</definedName>
    <definedName name="IQ_CONSUMER_SPENDING_NONDURABLE_REAL_SAAR" hidden="1">"c6967"</definedName>
    <definedName name="IQ_CONSUMER_SPENDING_NONDURABLE_REAL_SAAR_APR" hidden="1">"c7627"</definedName>
    <definedName name="IQ_CONSUMER_SPENDING_NONDURABLE_REAL_SAAR_APR_FC" hidden="1">"c8507"</definedName>
    <definedName name="IQ_CONSUMER_SPENDING_NONDURABLE_REAL_SAAR_FC" hidden="1">"c7847"</definedName>
    <definedName name="IQ_CONSUMER_SPENDING_NONDURABLE_REAL_SAAR_POP" hidden="1">"c7187"</definedName>
    <definedName name="IQ_CONSUMER_SPENDING_NONDURABLE_REAL_SAAR_POP_FC" hidden="1">"c8067"</definedName>
    <definedName name="IQ_CONSUMER_SPENDING_NONDURABLE_REAL_SAAR_YOY" hidden="1">"c7407"</definedName>
    <definedName name="IQ_CONSUMER_SPENDING_NONDURABLE_REAL_SAAR_YOY_FC" hidden="1">"c8287"</definedName>
    <definedName name="IQ_CONSUMER_SPENDING_NONDURABLE_REAL_YOY" hidden="1">"c7406"</definedName>
    <definedName name="IQ_CONSUMER_SPENDING_NONDURABLE_REAL_YOY_FC" hidden="1">"c8286"</definedName>
    <definedName name="IQ_CONSUMER_SPENDING_NONDURABLE_YOY" hidden="1">"c7276"</definedName>
    <definedName name="IQ_CONSUMER_SPENDING_NONDURABLE_YOY_FC" hidden="1">"c8156"</definedName>
    <definedName name="IQ_CONSUMER_SPENDING_POP" hidden="1">"c7054"</definedName>
    <definedName name="IQ_CONSUMER_SPENDING_POP_FC" hidden="1">"c7934"</definedName>
    <definedName name="IQ_CONSUMER_SPENDING_REAL" hidden="1">"c6963"</definedName>
    <definedName name="IQ_CONSUMER_SPENDING_REAL_APR" hidden="1">"c7623"</definedName>
    <definedName name="IQ_CONSUMER_SPENDING_REAL_APR_FC" hidden="1">"c8503"</definedName>
    <definedName name="IQ_CONSUMER_SPENDING_REAL_FC" hidden="1">"c7843"</definedName>
    <definedName name="IQ_CONSUMER_SPENDING_REAL_POP" hidden="1">"c7183"</definedName>
    <definedName name="IQ_CONSUMER_SPENDING_REAL_POP_FC" hidden="1">"c8063"</definedName>
    <definedName name="IQ_CONSUMER_SPENDING_REAL_SAAR" hidden="1">"c6968"</definedName>
    <definedName name="IQ_CONSUMER_SPENDING_REAL_SAAR_APR" hidden="1">"c7628"</definedName>
    <definedName name="IQ_CONSUMER_SPENDING_REAL_SAAR_APR_FC" hidden="1">"c8508"</definedName>
    <definedName name="IQ_CONSUMER_SPENDING_REAL_SAAR_FC" hidden="1">"c7848"</definedName>
    <definedName name="IQ_CONSUMER_SPENDING_REAL_SAAR_POP" hidden="1">"c7188"</definedName>
    <definedName name="IQ_CONSUMER_SPENDING_REAL_SAAR_POP_FC" hidden="1">"c8068"</definedName>
    <definedName name="IQ_CONSUMER_SPENDING_REAL_SAAR_YOY" hidden="1">"c7408"</definedName>
    <definedName name="IQ_CONSUMER_SPENDING_REAL_SAAR_YOY_FC" hidden="1">"c8288"</definedName>
    <definedName name="IQ_CONSUMER_SPENDING_REAL_USD_APR_FC" hidden="1">"c11921"</definedName>
    <definedName name="IQ_CONSUMER_SPENDING_REAL_USD_FC" hidden="1">"c11918"</definedName>
    <definedName name="IQ_CONSUMER_SPENDING_REAL_USD_POP_FC" hidden="1">"c11919"</definedName>
    <definedName name="IQ_CONSUMER_SPENDING_REAL_USD_YOY_FC" hidden="1">"c11920"</definedName>
    <definedName name="IQ_CONSUMER_SPENDING_REAL_YOY" hidden="1">"c7403"</definedName>
    <definedName name="IQ_CONSUMER_SPENDING_REAL_YOY_FC" hidden="1">"c8283"</definedName>
    <definedName name="IQ_CONSUMER_SPENDING_SERVICES" hidden="1">"c6837"</definedName>
    <definedName name="IQ_CONSUMER_SPENDING_SERVICES_APR" hidden="1">"c7497"</definedName>
    <definedName name="IQ_CONSUMER_SPENDING_SERVICES_APR_FC" hidden="1">"c8377"</definedName>
    <definedName name="IQ_CONSUMER_SPENDING_SERVICES_FC" hidden="1">"c7717"</definedName>
    <definedName name="IQ_CONSUMER_SPENDING_SERVICES_POP" hidden="1">"c7057"</definedName>
    <definedName name="IQ_CONSUMER_SPENDING_SERVICES_POP_FC" hidden="1">"c7937"</definedName>
    <definedName name="IQ_CONSUMER_SPENDING_SERVICES_REAL" hidden="1">"c6969"</definedName>
    <definedName name="IQ_CONSUMER_SPENDING_SERVICES_REAL_APR" hidden="1">"c7629"</definedName>
    <definedName name="IQ_CONSUMER_SPENDING_SERVICES_REAL_APR_FC" hidden="1">"c8509"</definedName>
    <definedName name="IQ_CONSUMER_SPENDING_SERVICES_REAL_FC" hidden="1">"c7849"</definedName>
    <definedName name="IQ_CONSUMER_SPENDING_SERVICES_REAL_POP" hidden="1">"c7189"</definedName>
    <definedName name="IQ_CONSUMER_SPENDING_SERVICES_REAL_POP_FC" hidden="1">"c8069"</definedName>
    <definedName name="IQ_CONSUMER_SPENDING_SERVICES_REAL_SAAR" hidden="1">"c6970"</definedName>
    <definedName name="IQ_CONSUMER_SPENDING_SERVICES_REAL_SAAR_APR" hidden="1">"c7630"</definedName>
    <definedName name="IQ_CONSUMER_SPENDING_SERVICES_REAL_SAAR_APR_FC" hidden="1">"c8510"</definedName>
    <definedName name="IQ_CONSUMER_SPENDING_SERVICES_REAL_SAAR_FC" hidden="1">"c7850"</definedName>
    <definedName name="IQ_CONSUMER_SPENDING_SERVICES_REAL_SAAR_POP" hidden="1">"c7190"</definedName>
    <definedName name="IQ_CONSUMER_SPENDING_SERVICES_REAL_SAAR_POP_FC" hidden="1">"c8070"</definedName>
    <definedName name="IQ_CONSUMER_SPENDING_SERVICES_REAL_SAAR_YOY" hidden="1">"c7410"</definedName>
    <definedName name="IQ_CONSUMER_SPENDING_SERVICES_REAL_SAAR_YOY_FC" hidden="1">"c8290"</definedName>
    <definedName name="IQ_CONSUMER_SPENDING_SERVICES_REAL_YOY" hidden="1">"c7409"</definedName>
    <definedName name="IQ_CONSUMER_SPENDING_SERVICES_REAL_YOY_FC" hidden="1">"c8289"</definedName>
    <definedName name="IQ_CONSUMER_SPENDING_SERVICES_YOY" hidden="1">"c7277"</definedName>
    <definedName name="IQ_CONSUMER_SPENDING_SERVICES_YOY_FC" hidden="1">"c8157"</definedName>
    <definedName name="IQ_CONSUMER_SPENDING_YOY" hidden="1">"c7274"</definedName>
    <definedName name="IQ_CONSUMER_SPENDING_YOY_FC" hidden="1">"c8154"</definedName>
    <definedName name="IQ_CONTINGENT_ASSETS_THRIFT" hidden="1">"c25622"</definedName>
    <definedName name="IQ_CONTINGENT_LIABILITIES" hidden="1">"c18873"</definedName>
    <definedName name="IQ_CONTINGENT_RENTAL" hidden="1">"c17746"</definedName>
    <definedName name="IQ_CONTRACT_AMOUNT" hidden="1">"c13933"</definedName>
    <definedName name="IQ_CONTRACT_DETAILS" hidden="1">"c15555"</definedName>
    <definedName name="IQ_CONTRACT_MONTH" hidden="1">"c13934"</definedName>
    <definedName name="IQ_CONTRACT_OBLIGATION_AFTER_FIVE" hidden="1">"c15691"</definedName>
    <definedName name="IQ_CONTRACT_OBLIGATION_CY" hidden="1">"c15685"</definedName>
    <definedName name="IQ_CONTRACT_OBLIGATION_CY1" hidden="1">"c15686"</definedName>
    <definedName name="IQ_CONTRACT_OBLIGATION_CY2" hidden="1">"c15687"</definedName>
    <definedName name="IQ_CONTRACT_OBLIGATION_CY3" hidden="1">"c15688"</definedName>
    <definedName name="IQ_CONTRACT_OBLIGATION_CY4" hidden="1">"c15689"</definedName>
    <definedName name="IQ_CONTRACT_OBLIGATION_NEXT_FIVE" hidden="1">"c15690"</definedName>
    <definedName name="IQ_CONTRACT_OBLIGATION_TOTAL" hidden="1">"c15692"</definedName>
    <definedName name="IQ_CONTRACT_UNIT" hidden="1">"c13932"</definedName>
    <definedName name="IQ_CONTRACT_YEAR" hidden="1">"c13935"</definedName>
    <definedName name="IQ_CONTRACTS_OTHER_COMMODITIES_EQUITIES._FDIC" hidden="1">"c6522"</definedName>
    <definedName name="IQ_CONTRACTS_OTHER_COMMODITIES_EQUITIES_FDIC" hidden="1">"c6522"</definedName>
    <definedName name="IQ_CONTRIB_ID_DET_EST" hidden="1">"c12045"</definedName>
    <definedName name="IQ_CONTRIB_ID_DET_EST_THOM" hidden="1">"c12073"</definedName>
    <definedName name="IQ_CONTRIB_ID_NON_PER_DET_EST" hidden="1">"c13824"</definedName>
    <definedName name="IQ_CONTRIB_ID_NON_PER_DET_EST_THOM" hidden="1">"c13826"</definedName>
    <definedName name="IQ_CONTRIB_NAME_DET_EST" hidden="1">"c12046"</definedName>
    <definedName name="IQ_CONTRIB_NAME_DET_EST_THOM" hidden="1">"c12074"</definedName>
    <definedName name="IQ_CONTRIB_NAME_NON_PER_DET_EST" hidden="1">"c12760"</definedName>
    <definedName name="IQ_CONTRIB_NAME_NON_PER_DET_EST_THOM" hidden="1">"c12764"</definedName>
    <definedName name="IQ_CONTRIB_REC_DET_EST" hidden="1">"c12051"</definedName>
    <definedName name="IQ_CONTRIB_REC_DET_EST_DATE" hidden="1">"c12204"</definedName>
    <definedName name="IQ_CONTRIB_REC_DET_EST_DATE_THOM" hidden="1">"c12230"</definedName>
    <definedName name="IQ_CONTRIB_REC_DET_EST_ORIGIN" hidden="1">"c12577"</definedName>
    <definedName name="IQ_CONTRIB_REC_DET_EST_ORIGIN_THOM" hidden="1">"c12600"</definedName>
    <definedName name="IQ_CONTRIB_REC_DET_EST_THOM" hidden="1">"c12080"</definedName>
    <definedName name="IQ_CONTRIBUTOR_CIQID" hidden="1">"c13742"</definedName>
    <definedName name="IQ_CONTRIBUTOR_NAME" hidden="1">"c13735"</definedName>
    <definedName name="IQ_CONTRIBUTOR_START_DATE" hidden="1">"c13741"</definedName>
    <definedName name="IQ_CONV_DATE" hidden="1">"c2191"</definedName>
    <definedName name="IQ_CONV_EXP_DATE" hidden="1">"c3043"</definedName>
    <definedName name="IQ_CONV_PARITY" hidden="1">"c16197"</definedName>
    <definedName name="IQ_CONV_PREMIUM" hidden="1">"c2195"</definedName>
    <definedName name="IQ_CONV_PRICE" hidden="1">"c2193"</definedName>
    <definedName name="IQ_CONV_PRICE_ISSUE" hidden="1">"c16195"</definedName>
    <definedName name="IQ_CONV_PRICE_PREM_ISSUE" hidden="1">"c16196"</definedName>
    <definedName name="IQ_CONV_PRICE_PREMIUM" hidden="1">"c16198"</definedName>
    <definedName name="IQ_CONV_PT_PREMIUM" hidden="1">"c16199"</definedName>
    <definedName name="IQ_CONV_PT_PREMIUM_PCT" hidden="1">"c16200"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SION_COMMON_FFIEC" hidden="1">"c12964"</definedName>
    <definedName name="IQ_CONVERSION_PREF_FFIEC" hidden="1">"c12962"</definedName>
    <definedName name="IQ_CONVERT" hidden="1">"c2536"</definedName>
    <definedName name="IQ_CONVERT_DEBT" hidden="1">"c224"</definedName>
    <definedName name="IQ_CONVERT_PCT" hidden="1">"c2537"</definedName>
    <definedName name="IQ_CONVEXITY" hidden="1">"c2182"</definedName>
    <definedName name="IQ_CONVEYED_TO_OTHERS_FDIC" hidden="1">"c6534"</definedName>
    <definedName name="IQ_COO_ID" hidden="1">"c15222"</definedName>
    <definedName name="IQ_COO_NAME" hidden="1">"c15221"</definedName>
    <definedName name="IQ_CORE_CAPITAL_RATIO_FDIC" hidden="1">"c6745"</definedName>
    <definedName name="IQ_CORE_DEPOSITS_ASSETS_TOT_FFIEC" hidden="1">"c13442"</definedName>
    <definedName name="IQ_CORE_DEPOSITS_FFIEC" hidden="1">"c13862"</definedName>
    <definedName name="IQ_CORE_DEPOSITS_THRIFT" hidden="1">"c25089"</definedName>
    <definedName name="IQ_CORE_DEPOSITS_TOT_DEPOSITS_FFIEC" hidden="1">"c13911"</definedName>
    <definedName name="IQ_CORE_DEPOSITS_TOTAL_ASSETS_THRIFT" hidden="1">"c25699"</definedName>
    <definedName name="IQ_CORE_DEPOSITS_TOTAL_DEPOSITS_THRIFT" hidden="1">"c25782"</definedName>
    <definedName name="IQ_CORE_TIER_ONE_CAPITAL" hidden="1">"c15244"</definedName>
    <definedName name="IQ_CORE_TIER_ONE_CAPITAL_RATIO" hidden="1">"c15240"</definedName>
    <definedName name="IQ_CORP_DEPOSITS" hidden="1">"c26986"</definedName>
    <definedName name="IQ_CORP_GOODS_PRICE_INDEX_APR_FC_UNUSED" hidden="1">"c8381"</definedName>
    <definedName name="IQ_CORP_GOODS_PRICE_INDEX_APR_FC_UNUSED_UNUSED_UNUSED" hidden="1">"c8381"</definedName>
    <definedName name="IQ_CORP_GOODS_PRICE_INDEX_APR_UNUSED" hidden="1">"c7501"</definedName>
    <definedName name="IQ_CORP_GOODS_PRICE_INDEX_APR_UNUSED_UNUSED_UNUSED" hidden="1">"c7501"</definedName>
    <definedName name="IQ_CORP_GOODS_PRICE_INDEX_FC_UNUSED" hidden="1">"c7721"</definedName>
    <definedName name="IQ_CORP_GOODS_PRICE_INDEX_FC_UNUSED_UNUSED_UNUSED" hidden="1">"c7721"</definedName>
    <definedName name="IQ_CORP_GOODS_PRICE_INDEX_POP_FC_UNUSED" hidden="1">"c7941"</definedName>
    <definedName name="IQ_CORP_GOODS_PRICE_INDEX_POP_FC_UNUSED_UNUSED_UNUSED" hidden="1">"c7941"</definedName>
    <definedName name="IQ_CORP_GOODS_PRICE_INDEX_POP_UNUSED" hidden="1">"c7061"</definedName>
    <definedName name="IQ_CORP_GOODS_PRICE_INDEX_POP_UNUSED_UNUSED_UNUSED" hidden="1">"c7061"</definedName>
    <definedName name="IQ_CORP_GOODS_PRICE_INDEX_UNUSED" hidden="1">"c6841"</definedName>
    <definedName name="IQ_CORP_GOODS_PRICE_INDEX_UNUSED_UNUSED_UNUSED" hidden="1">"c6841"</definedName>
    <definedName name="IQ_CORP_GOODS_PRICE_INDEX_YOY_FC_UNUSED" hidden="1">"c8161"</definedName>
    <definedName name="IQ_CORP_GOODS_PRICE_INDEX_YOY_FC_UNUSED_UNUSED_UNUSED" hidden="1">"c8161"</definedName>
    <definedName name="IQ_CORP_GOODS_PRICE_INDEX_YOY_UNUSED" hidden="1">"c7281"</definedName>
    <definedName name="IQ_CORP_GOODS_PRICE_INDEX_YOY_UNUSED_UNUSED_UNUSED" hidden="1">"c7281"</definedName>
    <definedName name="IQ_CORP_PROFIT" hidden="1">"c20636"</definedName>
    <definedName name="IQ_CORP_PROFITS" hidden="1">"c6843"</definedName>
    <definedName name="IQ_CORP_PROFITS_AFTER_TAX_SAAR" hidden="1">"c6842"</definedName>
    <definedName name="IQ_CORP_PROFITS_AFTER_TAX_SAAR_APR" hidden="1">"c7502"</definedName>
    <definedName name="IQ_CORP_PROFITS_AFTER_TAX_SAAR_APR_FC" hidden="1">"c8382"</definedName>
    <definedName name="IQ_CORP_PROFITS_AFTER_TAX_SAAR_FC" hidden="1">"c7722"</definedName>
    <definedName name="IQ_CORP_PROFITS_AFTER_TAX_SAAR_POP" hidden="1">"c7062"</definedName>
    <definedName name="IQ_CORP_PROFITS_AFTER_TAX_SAAR_POP_FC" hidden="1">"c7942"</definedName>
    <definedName name="IQ_CORP_PROFITS_AFTER_TAX_SAAR_YOY" hidden="1">"c7282"</definedName>
    <definedName name="IQ_CORP_PROFITS_AFTER_TAX_SAAR_YOY_FC" hidden="1">"c8162"</definedName>
    <definedName name="IQ_CORP_PROFITS_AFTER_TAXES" hidden="1">"c20637"</definedName>
    <definedName name="IQ_CORP_PROFITS_APR" hidden="1">"c7503"</definedName>
    <definedName name="IQ_CORP_PROFITS_APR_FC" hidden="1">"c8383"</definedName>
    <definedName name="IQ_CORP_PROFITS_FC" hidden="1">"c7723"</definedName>
    <definedName name="IQ_CORP_PROFITS_POP" hidden="1">"c7063"</definedName>
    <definedName name="IQ_CORP_PROFITS_POP_FC" hidden="1">"c7943"</definedName>
    <definedName name="IQ_CORP_PROFITS_SAAR" hidden="1">"c6844"</definedName>
    <definedName name="IQ_CORP_PROFITS_SAAR_APR" hidden="1">"c7504"</definedName>
    <definedName name="IQ_CORP_PROFITS_SAAR_APR_FC" hidden="1">"c8384"</definedName>
    <definedName name="IQ_CORP_PROFITS_SAAR_FC" hidden="1">"c7724"</definedName>
    <definedName name="IQ_CORP_PROFITS_SAAR_POP" hidden="1">"c7064"</definedName>
    <definedName name="IQ_CORP_PROFITS_SAAR_POP_FC" hidden="1">"c7944"</definedName>
    <definedName name="IQ_CORP_PROFITS_SAAR_YOY" hidden="1">"c7284"</definedName>
    <definedName name="IQ_CORP_PROFITS_SAAR_YOY_FC" hidden="1">"c8164"</definedName>
    <definedName name="IQ_CORP_PROFITS_TAXES" hidden="1">"c20638"</definedName>
    <definedName name="IQ_CORP_PROFITS_YOY" hidden="1">"c7283"</definedName>
    <definedName name="IQ_CORP_PROFITS_YOY_FC" hidden="1">"c8163"</definedName>
    <definedName name="IQ_CORPORATE_MUNICIPAL_TRUSTEESHIPS_NUMBER_ISSUES_THRIFT" hidden="1">"c25441"</definedName>
    <definedName name="IQ_CORPORATE_MUNICIPAL_TRUSTEESHIPS_PRINCIPAL_AMT_OUTSTANDING_THRIFT" hidden="1">"c25440"</definedName>
    <definedName name="IQ_CORPORATE_OVER_TOTAL" hidden="1">"c24733"</definedName>
    <definedName name="IQ_CORPORATE_TRUST_AGENCY_ACCOUNTS_INC_THRIFT" hidden="1">"c24805"</definedName>
    <definedName name="IQ_CORPORATE_TRUST_AGENCY_ACCOUNTS_MANAGED_ASSETS_THRIFT" hidden="1">"c25352"</definedName>
    <definedName name="IQ_CORPORATE_TRUST_AGENCY_ACCOUNTS_NONMANAGED_ASSETS_THRIFT" hidden="1">"c25373"</definedName>
    <definedName name="IQ_CORPORATE_TRUST_AGENCY_ACCOUNTS_NUMBER_MANAGED_ACCOUNTS_THRIFT" hidden="1">"c25363"</definedName>
    <definedName name="IQ_CORPORATE_TRUST_AGENCY_ACCOUNTS_NUMBER_NONMANAGED_ACCOUNTS_THRIFT" hidden="1">"c25385"</definedName>
    <definedName name="IQ_COST_BORROWED_FUNDS_FFIEC" hidden="1">"c13492"</definedName>
    <definedName name="IQ_COST_BORROWING" hidden="1">"c2936"</definedName>
    <definedName name="IQ_COST_BORROWINGS" hidden="1">"c225"</definedName>
    <definedName name="IQ_COST_CAPITAL_NEW_BUSINESS" hidden="1">"c9968"</definedName>
    <definedName name="IQ_COST_FED_FUNDS_PURCHASED_THRIFT" hidden="1">"c25681"</definedName>
    <definedName name="IQ_COST_FOREIGN_DEPOSITS_FFIEC" hidden="1">"c13490"</definedName>
    <definedName name="IQ_COST_FUNDS" hidden="1">"c15726"</definedName>
    <definedName name="IQ_COST_FUNDS_PURCHASED_FFIEC" hidden="1">"c13491"</definedName>
    <definedName name="IQ_COST_INT_BEARING_DEPOSITS_THRIFT" hidden="1">"c25680"</definedName>
    <definedName name="IQ_COST_INT_DEPOSITS_FFIEC" hidden="1">"c13489"</definedName>
    <definedName name="IQ_COST_OF_FUNDING_ASSETS_FDIC" hidden="1">"c6725"</definedName>
    <definedName name="IQ_COST_OTHER_BORROWED_FUNDS_THRIFT" hidden="1">"c25682"</definedName>
    <definedName name="IQ_COST_REV" hidden="1">"c226"</definedName>
    <definedName name="IQ_COST_REVENUE" localSheetId="7" hidden="1">"c1359"</definedName>
    <definedName name="IQ_COST_REVENUE" localSheetId="8" hidden="1">"c1359"</definedName>
    <definedName name="IQ_COST_REVENUE" hidden="1">"c1359"</definedName>
    <definedName name="IQ_COST_SALES_COAL" hidden="1">"c15933"</definedName>
    <definedName name="IQ_COST_SALES_PER_UNIT_SOLD_COAL" hidden="1">"c15944"</definedName>
    <definedName name="IQ_COST_SALES_TO_SALES_COAL" hidden="1">"c15951"</definedName>
    <definedName name="IQ_COST_SAVINGS" hidden="1">"c227"</definedName>
    <definedName name="IQ_COST_SERVICE" hidden="1">"c228"</definedName>
    <definedName name="IQ_COST_SOLVENCY_CAPITAL_COVERED" hidden="1">"c9965"</definedName>
    <definedName name="IQ_COST_SOLVENCY_CAPITAL_GROUP" hidden="1">"c9951"</definedName>
    <definedName name="IQ_COST_TOTAL_BORROWINGS" hidden="1">"c229"</definedName>
    <definedName name="IQ_COUNTERPARTY_RISK" hidden="1">"c26989"</definedName>
    <definedName name="IQ_COUNTRY_NAME" hidden="1">"c230"</definedName>
    <definedName name="IQ_COUNTRY_NAME_ECON" hidden="1">"c11752"</definedName>
    <definedName name="IQ_COUPON_FORMULA" hidden="1">"c8965"</definedName>
    <definedName name="IQ_COVERAGE_RATIO" hidden="1">"c15243"</definedName>
    <definedName name="IQ_COVERED_POPS" hidden="1">"c2124"</definedName>
    <definedName name="IQ_COVERED_WIRELESS_POPS" hidden="1">"c2124"</definedName>
    <definedName name="IQ_CP" hidden="1">"c2495"</definedName>
    <definedName name="IQ_CP_PCT" hidden="1">"c2496"</definedName>
    <definedName name="IQ_CPI" hidden="1">"c6845"</definedName>
    <definedName name="IQ_CPI_APR" hidden="1">"c7505"</definedName>
    <definedName name="IQ_CPI_APR_FC" hidden="1">"c8385"</definedName>
    <definedName name="IQ_CPI_CORE" hidden="1">"c6838"</definedName>
    <definedName name="IQ_CPI_CORE_APR" hidden="1">"c7498"</definedName>
    <definedName name="IQ_CPI_CORE_POP" hidden="1">"c7058"</definedName>
    <definedName name="IQ_CPI_CORE_YOY" hidden="1">"c7278"</definedName>
    <definedName name="IQ_CPI_FC" hidden="1">"c7725"</definedName>
    <definedName name="IQ_CPI_POP" hidden="1">"c7065"</definedName>
    <definedName name="IQ_CPI_POP_FC" hidden="1">"c7945"</definedName>
    <definedName name="IQ_CPI_YOY" hidden="1">"c7285"</definedName>
    <definedName name="IQ_CPI_YOY_FC" hidden="1">"c8165"</definedName>
    <definedName name="IQ_CPI_YOY_PCT" hidden="1">"c20639"</definedName>
    <definedName name="IQ_CPI_YOY_PCT_FC" hidden="1">"c20640"</definedName>
    <definedName name="IQ_CQ" hidden="1">5000</definedName>
    <definedName name="IQ_CREDIT_CARD_CHARGE_OFFS_FDIC" hidden="1">"c6652"</definedName>
    <definedName name="IQ_CREDIT_CARD_CHARGE_OFFS_RELATED_ACCRUED_INTEREST_THRIFT" hidden="1">"c25228"</definedName>
    <definedName name="IQ_CREDIT_CARD_FEE" hidden="1">"c231"</definedName>
    <definedName name="IQ_CREDIT_CARD_FEE_BNK" hidden="1">"c231"</definedName>
    <definedName name="IQ_CREDIT_CARD_FEE_FIN" hidden="1">"c1583"</definedName>
    <definedName name="IQ_CREDIT_CARD_GROSS_LOANS_FFIEC" hidden="1">"c13412"</definedName>
    <definedName name="IQ_CREDIT_CARD_INTERCHANGE_FEES_FFIEC" hidden="1">"c13046"</definedName>
    <definedName name="IQ_CREDIT_CARD_LINES_FDIC" hidden="1">"c6525"</definedName>
    <definedName name="IQ_CREDIT_CARD_LINES_UNUSED_FFIEC" hidden="1">"c13242"</definedName>
    <definedName name="IQ_CREDIT_CARD_LOANS_CHARGE_OFFS_FFIEC" hidden="1">"c13180"</definedName>
    <definedName name="IQ_CREDIT_CARD_LOANS_DOM_QUARTERLY_AVG_FFIEC" hidden="1">"c15480"</definedName>
    <definedName name="IQ_CREDIT_CARD_LOANS_DUE_30_89_FFIEC" hidden="1">"c13272"</definedName>
    <definedName name="IQ_CREDIT_CARD_LOANS_DUE_90_FFIEC" hidden="1">"c13298"</definedName>
    <definedName name="IQ_CREDIT_CARD_LOANS_FDIC" hidden="1">"c6319"</definedName>
    <definedName name="IQ_CREDIT_CARD_LOANS_GROSS_LOANS_THRIFT" hidden="1">"c25734"</definedName>
    <definedName name="IQ_CREDIT_CARD_LOANS_LOSS_SHARING_DUE_30_89_FFIEC" hidden="1">"c27082"</definedName>
    <definedName name="IQ_CREDIT_CARD_LOANS_LOSS_SHARING_DUE_90_FFIEC" hidden="1">"c27122"</definedName>
    <definedName name="IQ_CREDIT_CARD_LOANS_LOSS_SHARING_FFIEC" hidden="1">"c27199"</definedName>
    <definedName name="IQ_CREDIT_CARD_LOANS_LOSS_SHARING_NON_ACCRUAL_FFIEC" hidden="1">"c27162"</definedName>
    <definedName name="IQ_CREDIT_CARD_LOANS_NON_ACCRUAL_FFIEC" hidden="1">"c13324"</definedName>
    <definedName name="IQ_CREDIT_CARD_LOANS_OUTSTANDING_BUS_NON_MORTGAGE_COMM_LOANS_THRIFT" hidden="1">"c24856"</definedName>
    <definedName name="IQ_CREDIT_CARD_LOANS_RECOV_FFIEC" hidden="1">"c13202"</definedName>
    <definedName name="IQ_CREDIT_CARD_LOANS_RELATED_CHARGE_OFFS_FFIEC" hidden="1">"c25840"</definedName>
    <definedName name="IQ_CREDIT_CARD_LOANS_RELATED_RECOV_FFIEC" hidden="1">"c25841"</definedName>
    <definedName name="IQ_CREDIT_CARD_LOANS_RISK_BASED_CAPITAL_THRIFT" hidden="1">"c25719"</definedName>
    <definedName name="IQ_CREDIT_CARD_LOANS_RSTRC_TERMS_FFIEC" hidden="1">"c27034"</definedName>
    <definedName name="IQ_CREDIT_CARD_NET_CHARGE_OFFS_FDIC" hidden="1">"c6654"</definedName>
    <definedName name="IQ_CREDIT_CARD_RECOVERIES_FDIC" hidden="1">"c6653"</definedName>
    <definedName name="IQ_CREDIT_CARD_RELATED_LL_REC_FFIEC" hidden="1">"c25870"</definedName>
    <definedName name="IQ_CREDIT_CARD_RISK_BASED_FFIEC" hidden="1">"c13433"</definedName>
    <definedName name="IQ_CREDIT_CARDS_CONSUMER_LOANS_FFIEC" hidden="1">"c12822"</definedName>
    <definedName name="IQ_CREDIT_CARDS_CONSUMER_LOANS_QUARTERLY_AVG_FFIEC" hidden="1">"c27066"</definedName>
    <definedName name="IQ_CREDIT_CARDS_CONSUMER_OPEN_END_LINES_CREDIT_THRIFT" hidden="1">"c25609"</definedName>
    <definedName name="IQ_CREDIT_CARDS_EXCD_10_RSTRC_DUE_30_89_FFIEC" hidden="1">"c27103"</definedName>
    <definedName name="IQ_CREDIT_CARDS_EXCD_10_RSTRC_DUE_90_FFIEC" hidden="1">"c27143"</definedName>
    <definedName name="IQ_CREDIT_CARDS_EXCD_10_RSTRC_NON_ACCRUAL_FFIEC" hidden="1">"c27183"</definedName>
    <definedName name="IQ_CREDIT_CARDS_LL_REC_FFIEC" hidden="1">"c12889"</definedName>
    <definedName name="IQ_CREDIT_CARDS_LOANS_TRADING_DOM_FFIEC" hidden="1">"c12933"</definedName>
    <definedName name="IQ_CREDIT_CARDS_OTHER_OPEN_END_LINES_CREDIT_THRIFT" hidden="1">"c25610"</definedName>
    <definedName name="IQ_CREDIT_CARDS_THRIFT" hidden="1">"c24864"</definedName>
    <definedName name="IQ_CREDIT_EXPOSURE" hidden="1">"c10038"</definedName>
    <definedName name="IQ_CREDIT_EXPOSURE_FFIEC" hidden="1">"c13062"</definedName>
    <definedName name="IQ_CREDIT_LOSS_CF" hidden="1">"c232"</definedName>
    <definedName name="IQ_CREDIT_LOSS_PROVISION_NET_CHARGE_OFFS_FDIC" hidden="1">"c6734"</definedName>
    <definedName name="IQ_CREDIT_LOSSES_DERIVATIVES_FFIEC" hidden="1">"c13068"</definedName>
    <definedName name="IQ_CREDIT_OPTIONS_DERIVATIVES_BENEFICIARY_FFIEC" hidden="1">"c13121"</definedName>
    <definedName name="IQ_CREDIT_OPTIONS_DERIVATIVES_GUARANTOR_FFIEC" hidden="1">"c13114"</definedName>
    <definedName name="IQ_CREDIT_RISK" hidden="1">"c26988"</definedName>
    <definedName name="IQ_CUM_EFFECT_CHANGE_ACCOUNTING_FFIEC" hidden="1">"c25849"</definedName>
    <definedName name="IQ_CUMULATIVE_PREF_THRIFT" hidden="1">"c24915"</definedName>
    <definedName name="IQ_CUMULATIVE_PREFERREDS_T2_FFIEC" hidden="1">"c13145"</definedName>
    <definedName name="IQ_CUMULATIVE_SPLIT_FACTOR" hidden="1">"c2094"</definedName>
    <definedName name="IQ_CURR_ACCT_BALANCE" hidden="1">"c20641"</definedName>
    <definedName name="IQ_CURR_ACCT_BALANCE_APR_FC_UNUSED" hidden="1">"c8387"</definedName>
    <definedName name="IQ_CURR_ACCT_BALANCE_APR_FC_UNUSED_UNUSED_UNUSED" hidden="1">"c8387"</definedName>
    <definedName name="IQ_CURR_ACCT_BALANCE_APR_UNUSED" hidden="1">"c7507"</definedName>
    <definedName name="IQ_CURR_ACCT_BALANCE_APR_UNUSED_UNUSED_UNUSED" hidden="1">"c7507"</definedName>
    <definedName name="IQ_CURR_ACCT_BALANCE_FC_UNUSED" hidden="1">"c7727"</definedName>
    <definedName name="IQ_CURR_ACCT_BALANCE_FC_UNUSED_UNUSED_UNUSED" hidden="1">"c7727"</definedName>
    <definedName name="IQ_CURR_ACCT_BALANCE_PCT" hidden="1">"c6846"</definedName>
    <definedName name="IQ_CURR_ACCT_BALANCE_PCT_FC" hidden="1">"c7726"</definedName>
    <definedName name="IQ_CURR_ACCT_BALANCE_PCT_GDP" hidden="1">"c20642"</definedName>
    <definedName name="IQ_CURR_ACCT_BALANCE_PCT_POP" hidden="1">"c7066"</definedName>
    <definedName name="IQ_CURR_ACCT_BALANCE_PCT_POP_FC" hidden="1">"c7946"</definedName>
    <definedName name="IQ_CURR_ACCT_BALANCE_PCT_YOY" hidden="1">"c7286"</definedName>
    <definedName name="IQ_CURR_ACCT_BALANCE_PCT_YOY_FC" hidden="1">"c8166"</definedName>
    <definedName name="IQ_CURR_ACCT_BALANCE_POP_FC_UNUSED" hidden="1">"c7947"</definedName>
    <definedName name="IQ_CURR_ACCT_BALANCE_POP_FC_UNUSED_UNUSED_UNUSED" hidden="1">"c7947"</definedName>
    <definedName name="IQ_CURR_ACCT_BALANCE_POP_UNUSED" hidden="1">"c7067"</definedName>
    <definedName name="IQ_CURR_ACCT_BALANCE_POP_UNUSED_UNUSED_UNUSED" hidden="1">"c7067"</definedName>
    <definedName name="IQ_CURR_ACCT_BALANCE_SAAR" hidden="1">"c6848"</definedName>
    <definedName name="IQ_CURR_ACCT_BALANCE_SAAR_APR" hidden="1">"c7508"</definedName>
    <definedName name="IQ_CURR_ACCT_BALANCE_SAAR_APR_FC" hidden="1">"c8388"</definedName>
    <definedName name="IQ_CURR_ACCT_BALANCE_SAAR_FC" hidden="1">"c7728"</definedName>
    <definedName name="IQ_CURR_ACCT_BALANCE_SAAR_POP" hidden="1">"c7068"</definedName>
    <definedName name="IQ_CURR_ACCT_BALANCE_SAAR_POP_FC" hidden="1">"c7948"</definedName>
    <definedName name="IQ_CURR_ACCT_BALANCE_SAAR_USD_APR_FC" hidden="1">"c11797"</definedName>
    <definedName name="IQ_CURR_ACCT_BALANCE_SAAR_USD_FC" hidden="1">"c11794"</definedName>
    <definedName name="IQ_CURR_ACCT_BALANCE_SAAR_USD_POP_FC" hidden="1">"c11795"</definedName>
    <definedName name="IQ_CURR_ACCT_BALANCE_SAAR_USD_YOY_FC" hidden="1">"c11796"</definedName>
    <definedName name="IQ_CURR_ACCT_BALANCE_SAAR_YOY" hidden="1">"c7288"</definedName>
    <definedName name="IQ_CURR_ACCT_BALANCE_SAAR_YOY_FC" hidden="1">"c8168"</definedName>
    <definedName name="IQ_CURR_ACCT_BALANCE_UNUSED" hidden="1">"c6847"</definedName>
    <definedName name="IQ_CURR_ACCT_BALANCE_UNUSED_UNUSED_UNUSED" hidden="1">"c6847"</definedName>
    <definedName name="IQ_CURR_ACCT_BALANCE_USD" hidden="1">"c11786"</definedName>
    <definedName name="IQ_CURR_ACCT_BALANCE_USD_APR" hidden="1">"c11789"</definedName>
    <definedName name="IQ_CURR_ACCT_BALANCE_USD_APR_FC" hidden="1">"c11793"</definedName>
    <definedName name="IQ_CURR_ACCT_BALANCE_USD_FC" hidden="1">"c11790"</definedName>
    <definedName name="IQ_CURR_ACCT_BALANCE_USD_POP" hidden="1">"c11787"</definedName>
    <definedName name="IQ_CURR_ACCT_BALANCE_USD_POP_FC" hidden="1">"c11791"</definedName>
    <definedName name="IQ_CURR_ACCT_BALANCE_USD_YOY" hidden="1">"c11788"</definedName>
    <definedName name="IQ_CURR_ACCT_BALANCE_USD_YOY_FC" hidden="1">"c11792"</definedName>
    <definedName name="IQ_CURR_ACCT_BALANCE_YOY_FC_UNUSED" hidden="1">"c8167"</definedName>
    <definedName name="IQ_CURR_ACCT_BALANCE_YOY_FC_UNUSED_UNUSED_UNUSED" hidden="1">"c8167"</definedName>
    <definedName name="IQ_CURR_ACCT_BALANCE_YOY_UNUSED" hidden="1">"c7287"</definedName>
    <definedName name="IQ_CURR_ACCT_BALANCE_YOY_UNUSED_UNUSED_UNUSED" hidden="1">"c7287"</definedName>
    <definedName name="IQ_CURR_ACCT_INC_RECEIPTS" hidden="1">"c6849"</definedName>
    <definedName name="IQ_CURR_ACCT_INC_RECEIPTS_APR" hidden="1">"c7509"</definedName>
    <definedName name="IQ_CURR_ACCT_INC_RECEIPTS_APR_FC" hidden="1">"c8389"</definedName>
    <definedName name="IQ_CURR_ACCT_INC_RECEIPTS_FC" hidden="1">"c7729"</definedName>
    <definedName name="IQ_CURR_ACCT_INC_RECEIPTS_POP" hidden="1">"c7069"</definedName>
    <definedName name="IQ_CURR_ACCT_INC_RECEIPTS_POP_FC" hidden="1">"c7949"</definedName>
    <definedName name="IQ_CURR_ACCT_INC_RECEIPTS_YOY" hidden="1">"c7289"</definedName>
    <definedName name="IQ_CURR_ACCT_INC_RECEIPTS_YOY_FC" hidden="1">"c8169"</definedName>
    <definedName name="IQ_CURR_DOMESTIC_TAXES" hidden="1">"c2074"</definedName>
    <definedName name="IQ_CURR_FOREIGN_TAXES" hidden="1">"c2075"</definedName>
    <definedName name="IQ_CURR_TAXES" hidden="1">"c19141"</definedName>
    <definedName name="IQ_CURRENCY_COIN_DOM_FFIEC" hidden="1">"c15287"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CM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T_BENCHMARK" hidden="1">"c6780"</definedName>
    <definedName name="IQ_CURRENT_BENCHMARK_CIQID" hidden="1">"c6781"</definedName>
    <definedName name="IQ_CURRENT_BENCHMARK_MATURITY" hidden="1">"c6782"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CM" hidden="1">"c1567"</definedName>
    <definedName name="IQ_CURRENT_PORT_DEBT_DERIVATIVES" hidden="1">"c17742"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USIP" hidden="1">"c2245"</definedName>
    <definedName name="IQ_CUST_PREMISE_EQUIP_CABLE_INVEST" hidden="1">"c15801"</definedName>
    <definedName name="IQ_CUSTODY_SAFEKEEPING_ACCOUNTS_INC_THRIFT" hidden="1">"c24809"</definedName>
    <definedName name="IQ_CUSTODY_SAFEKEEPING_ACCOUNTS_NONMANAGED_ASSETS_THRIFT" hidden="1">"c25377"</definedName>
    <definedName name="IQ_CUSTODY_SAFEKEEPING_ACCOUNTS_NUMBER_NONMANAGED_ACCOUNTS_THRIFT" hidden="1">"c25389"</definedName>
    <definedName name="IQ_CUSTOMER_LIAB_ACCEPTANCES_OUT_FFIEC" hidden="1">"c12835"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CM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CM" hidden="1">"c248"</definedName>
    <definedName name="IQ_DA_EBITDA" hidden="1">"c5528"</definedName>
    <definedName name="IQ_DA_FIN" hidden="1">"c256"</definedName>
    <definedName name="IQ_DA_INS" hidden="1">"c257"</definedName>
    <definedName name="IQ_DA_RE" hidden="1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CM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CM" hidden="1">"c260"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RT" hidden="1">"c20427"</definedName>
    <definedName name="IQ_DATA_PROCESSING_EXP_FFIEC" hidden="1">"c13047"</definedName>
    <definedName name="IQ_DATA_SET" hidden="1">"c19244"</definedName>
    <definedName name="IQ_DATED_DATE" hidden="1">"c2185"</definedName>
    <definedName name="IQ_DAY_COUNT" hidden="1">"c2161"</definedName>
    <definedName name="IQ_DAYS_COVER_SHORT" hidden="1">"c1578"</definedName>
    <definedName name="IQ_DAYS_DELAY" hidden="1">"c8963"</definedName>
    <definedName name="IQ_DAYS_INVENTORY_OUT" hidden="1">"c273"</definedName>
    <definedName name="IQ_DAYS_PAY_OUTST" localSheetId="7" hidden="1">"c1362"</definedName>
    <definedName name="IQ_DAYS_PAY_OUTST" localSheetId="8" hidden="1">"c1362"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localSheetId="7" hidden="1">"c1363"</definedName>
    <definedName name="IQ_DAYS_SALES_OUTST" localSheetId="8" hidden="1">"c1363"</definedName>
    <definedName name="IQ_DAYS_SALES_OUTST" hidden="1">"c1363"</definedName>
    <definedName name="IQ_DEBT_1_5_INVEST_SECURITIES_FFIEC" hidden="1">"c13465"</definedName>
    <definedName name="IQ_DEBT_ADJ" hidden="1">"c2515"</definedName>
    <definedName name="IQ_DEBT_ADJ_PCT" hidden="1">"c2516"</definedName>
    <definedName name="IQ_DEBT_EQUITY_EST" hidden="1">"c4257"</definedName>
    <definedName name="IQ_DEBT_EQUITY_HIGH_EST" hidden="1">"c4258"</definedName>
    <definedName name="IQ_DEBT_EQUITY_LOW_EST" hidden="1">"c4259"</definedName>
    <definedName name="IQ_DEBT_EQUITY_MEDIAN_EST" hidden="1">"c4260"</definedName>
    <definedName name="IQ_DEBT_EQUITY_NUM_EST" hidden="1">"c4261"</definedName>
    <definedName name="IQ_DEBT_EQUITY_STDDEV_EST" hidden="1">"c4262"</definedName>
    <definedName name="IQ_DEBT_EQUIV_NET_PBO" hidden="1">"c2938"</definedName>
    <definedName name="IQ_DEBT_EQUIV_OPER_LEASE" hidden="1">"c2935"</definedName>
    <definedName name="IQ_DEBT_LESS_1YR_INVEST_SECURITIES_FFIEC" hidden="1">"c13464"</definedName>
    <definedName name="IQ_DEBT_MATURING_MORE_THAN_ONE_YEAR_FFIEC" hidden="1">"c13164"</definedName>
    <definedName name="IQ_DEBT_MATURING_WITHIN_ONE_YEAR_FFIEC" hidden="1">"c13163"</definedName>
    <definedName name="IQ_DEBT_SEC_LOSS_SHARING_FFIEC" hidden="1">"c27214"</definedName>
    <definedName name="IQ_DEBT_SEC_OVER_5YR_INVEST_SECURITIES_FFIEC" hidden="1">"c13466"</definedName>
    <definedName name="IQ_DEBT_SECURITIES_FOREIGN_FFIEC" hidden="1">"c13484"</definedName>
    <definedName name="IQ_DEBT_SECURITIES_LESS_THAN_1YR_INV_SEC_THRIFT" hidden="1">"c25676"</definedName>
    <definedName name="IQ_DEBT_SECURITIES_OTHER_ASSETS_DUE_30_89_FFIEC" hidden="1">"c13279"</definedName>
    <definedName name="IQ_DEBT_SECURITIES_OTHER_ASSETS_DUE_90_FFIEC" hidden="1">"c13305"</definedName>
    <definedName name="IQ_DEBT_SECURITIES_OTHER_ASSETS_NON_ACCRUAL_FFIEC" hidden="1">"c13331"</definedName>
    <definedName name="IQ_DEBT_SECURITIES_OVER_1YR_INV_SEC_THRIFT" hidden="1">"c25677"</definedName>
    <definedName name="IQ_DECREASE_INT_EXPENSE_FFIEC" hidden="1">"c13064"</definedName>
    <definedName name="IQ_DEDUCTION_EQUITY_INV_OTHER_ASSETS_THRIFT" hidden="1">"c25047"</definedName>
    <definedName name="IQ_DEDUCTION_LOW_LEVEL_RECOURSE_RESIDUAL_INTERESTS_THRIFT" hidden="1">"c25048"</definedName>
    <definedName name="IQ_DEDUCTIONS_TOTAL_RISK_BASED_CAPITAL_FFIEC" hidden="1">"c13152"</definedName>
    <definedName name="IQ_DEF_ACQ_CST" localSheetId="7" hidden="1">"c1364"</definedName>
    <definedName name="IQ_DEF_ACQ_CST" localSheetId="8" hidden="1">"c1364"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CM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CM" hidden="1">"c288"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CM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localSheetId="7" hidden="1">"c1365"</definedName>
    <definedName name="IQ_DEF_INC_TAX" localSheetId="8" hidden="1">"c1365"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SPENDING_REAL_SAAR" hidden="1">"c6971"</definedName>
    <definedName name="IQ_DEF_SPENDING_REAL_SAAR_APR" hidden="1">"c7631"</definedName>
    <definedName name="IQ_DEF_SPENDING_REAL_SAAR_APR_FC" hidden="1">"c8511"</definedName>
    <definedName name="IQ_DEF_SPENDING_REAL_SAAR_FC" hidden="1">"c7851"</definedName>
    <definedName name="IQ_DEF_SPENDING_REAL_SAAR_POP" hidden="1">"c7191"</definedName>
    <definedName name="IQ_DEF_SPENDING_REAL_SAAR_POP_FC" hidden="1">"c8071"</definedName>
    <definedName name="IQ_DEF_SPENDING_REAL_SAAR_YOY" hidden="1">"c7411"</definedName>
    <definedName name="IQ_DEF_SPENDING_REAL_SAAR_YOY_FC" hidden="1">"c8291"</definedName>
    <definedName name="IQ_DEF_TAX_ASSET_LT_BR" hidden="1">"c304"</definedName>
    <definedName name="IQ_DEF_TAX_ASSET_LT_CM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CM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AULT_DATE" hidden="1">"c16220"</definedName>
    <definedName name="IQ_DEFAULT_TYPE" hidden="1">"c16219"</definedName>
    <definedName name="IQ_DEFERRED_CONTINGENT_RENT" hidden="1">"c16181"</definedName>
    <definedName name="IQ_DEFERRED_DOMESTIC_TAXES" hidden="1">"c2077"</definedName>
    <definedName name="IQ_DEFERRED_FOREIGN_TAXES" hidden="1">"c2078"</definedName>
    <definedName name="IQ_DEFERRED_INC_TAX" localSheetId="7" hidden="1">"c1447"</definedName>
    <definedName name="IQ_DEFERRED_INC_TAX" localSheetId="8" hidden="1">"c1447"</definedName>
    <definedName name="IQ_DEFERRED_INC_TAX" hidden="1">"c1447"</definedName>
    <definedName name="IQ_DEFERRED_INCOME_TAXES_THRIFT" hidden="1">"c24911"</definedName>
    <definedName name="IQ_DEFERRED_TAX_ASSETS_FFIEC" hidden="1">"c12843"</definedName>
    <definedName name="IQ_DEFERRED_TAX_ASSETS_T1_FFIEC" hidden="1">"c13141"</definedName>
    <definedName name="IQ_DEFERRED_TAX_LIAB_FFIEC" hidden="1">"c12870"</definedName>
    <definedName name="IQ_DEFERRED_TAX_NAV" hidden="1">"c16003"</definedName>
    <definedName name="IQ_DEFERRED_TAX_NNAV" hidden="1">"c16008"</definedName>
    <definedName name="IQ_DEFERRED_TAXES" localSheetId="7" hidden="1">"c1356"</definedName>
    <definedName name="IQ_DEFERRED_TAXES" localSheetId="8" hidden="1">"c1356"</definedName>
    <definedName name="IQ_DEFERRED_TAXES" hidden="1">"c1356"</definedName>
    <definedName name="IQ_DEFERRED_TAXES_TOTAL" hidden="1">"c19142"</definedName>
    <definedName name="IQ_DELIVERED_HOMES_NEW_ORDERS" hidden="1">"c15821"</definedName>
    <definedName name="IQ_DELIVERED_HOMES_PRICE_NEW_ORDER_PRICE" hidden="1">"c15822"</definedName>
    <definedName name="IQ_DEMAND_DEP" hidden="1">"c320"</definedName>
    <definedName name="IQ_DEMAND_DEPOSITS_COMMERCIAL_BANK_SUBS_FFIEC" hidden="1">"c12945"</definedName>
    <definedName name="IQ_DEMAND_DEPOSITS_CONSOLIDATED_SUBSIDIARIES_THRIFT" hidden="1">"c25570"</definedName>
    <definedName name="IQ_DEMAND_DEPOSITS_FDIC" hidden="1">"c6489"</definedName>
    <definedName name="IQ_DEMAND_DEPOSITS_TOT_DEPOSITS_FFIEC" hidden="1">"c13902"</definedName>
    <definedName name="IQ_DEPOSIT_ACCOUNTS_LESS_THAN_100K_FDIC" hidden="1">"c6494"</definedName>
    <definedName name="IQ_DEPOSIT_ACCOUNTS_MORE_THAN_100K_FDIC" hidden="1">"c6492"</definedName>
    <definedName name="IQ_DEPOSITORY_INST_ACCEPTANCES_LL_REC_DOM_FFIEC" hidden="1">"c12908"</definedName>
    <definedName name="IQ_DEPOSITORY_INST_GROSS_LOANS_FFIEC" hidden="1">"c13409"</definedName>
    <definedName name="IQ_DEPOSITORY_INST_RISK_BASED_FFIEC" hidden="1">"c13430"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100K_MORE_ASSETS_TOT_FFIEC" hidden="1">"c13444"</definedName>
    <definedName name="IQ_DEPOSITS_ACQUIRED_NET_DISPOSITIONS_IN_BULK_TRANSACTIONS_THRIFT" hidden="1">"c25345"</definedName>
    <definedName name="IQ_DEPOSITS_AMOUNTS_NETTED_THRIFT" hidden="1">"c25534"</definedName>
    <definedName name="IQ_DEPOSITS_DOM_FFIEC" hidden="1">"c12850"</definedName>
    <definedName name="IQ_DEPOSITS_ESCROWS_THRIFT" hidden="1">"c24895"</definedName>
    <definedName name="IQ_DEPOSITS_EXCLUDING_RETIREMENT_ACCOUNTS_GREATER_THAN_250000_THRIFT" hidden="1">"c24986"</definedName>
    <definedName name="IQ_DEPOSITS_EXCLUDING_RETIREMENT_ACCOUNTS_LESS_THAN_250000_THRIFT" hidden="1">"c24985"</definedName>
    <definedName name="IQ_DEPOSITS_FAIR_VALUE_TOT_FFIEC" hidden="1">"c13213"</definedName>
    <definedName name="IQ_DEPOSITS_FIN" hidden="1">"c321"</definedName>
    <definedName name="IQ_DEPOSITS_FOREIGN_BANKS_FOREIGN_AGENCIES_FFIEC" hidden="1">"c15344"</definedName>
    <definedName name="IQ_DEPOSITS_FOREIGN_FFIEC" hidden="1">"c12853"</definedName>
    <definedName name="IQ_DEPOSITS_HELD_DOMESTIC_FDIC" hidden="1">"c6340"</definedName>
    <definedName name="IQ_DEPOSITS_HELD_FOREIGN_FDIC" hidden="1">"c6341"</definedName>
    <definedName name="IQ_DEPOSITS_INTEREST_SECURITIES" hidden="1">"c5509"</definedName>
    <definedName name="IQ_DEPOSITS_INV_SEC_GVA_CHARGE_OFFS_THRIFT" hidden="1">"c25112"</definedName>
    <definedName name="IQ_DEPOSITS_INV_SEC_GVA_RECOVERIES_THRIFT" hidden="1">"c25143"</definedName>
    <definedName name="IQ_DEPOSITS_INV_SEC_SVA_PROVISIONS_TRANSFERS_FROM_GVA_THRIFT" hidden="1">"c25166"</definedName>
    <definedName name="IQ_DEPOSITS_INV_SEC_TOTAL_THRIFT" hidden="1">"c25197"</definedName>
    <definedName name="IQ_DEPOSITS_LESS_100K_COMMERCIAL_BANK_SUBS_FFIEC" hidden="1">"c12948"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LEVEL_1_FFIEC" hidden="1">"c13221"</definedName>
    <definedName name="IQ_DEPOSITS_LEVEL_1_THRIFT" hidden="1">"c25530"</definedName>
    <definedName name="IQ_DEPOSITS_LEVEL_2_FFIEC" hidden="1">"c13229"</definedName>
    <definedName name="IQ_DEPOSITS_LEVEL_2_THRIFT" hidden="1">"c25531"</definedName>
    <definedName name="IQ_DEPOSITS_LEVEL_3_FFIEC" hidden="1">"c13237"</definedName>
    <definedName name="IQ_DEPOSITS_LEVEL_3_THRIFT" hidden="1">"c25532"</definedName>
    <definedName name="IQ_DEPOSITS_MORE_100K_COMMERCIAL_BANK_SUBS_FFIEC" hidden="1">"c12949"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OSITS_THRIFT" hidden="1">"c24896"</definedName>
    <definedName name="IQ_DEPOSITS_TOTAL_AFTER_NETTING_THRIFT" hidden="1">"c25535"</definedName>
    <definedName name="IQ_DEPOSITS_TOTAL_BEFORE_NETTING_THRIFT" hidden="1">"c25533"</definedName>
    <definedName name="IQ_DEPRE_AMORT" localSheetId="7" hidden="1">"c1360"</definedName>
    <definedName name="IQ_DEPRE_AMORT" localSheetId="8" hidden="1">"c1360"</definedName>
    <definedName name="IQ_DEPRE_AMORT" hidden="1">"c1360"</definedName>
    <definedName name="IQ_DEPRE_AMORT_SUPPL" hidden="1">"c1593"</definedName>
    <definedName name="IQ_DEPRE_DEPLE" localSheetId="7" hidden="1">"c1361"</definedName>
    <definedName name="IQ_DEPRE_DEPLE" localSheetId="8" hidden="1">"c1361"</definedName>
    <definedName name="IQ_DEPRE_DEPLE" hidden="1">"c1361"</definedName>
    <definedName name="IQ_DEPRE_SUPP" hidden="1">"c1443"</definedName>
    <definedName name="IQ_DEPRECIATION_RENTAL_ASSETS" hidden="1">"c26972"</definedName>
    <definedName name="IQ_DEPRECIATION_RENTAL_ASSETS_CF" hidden="1">"c26973"</definedName>
    <definedName name="IQ_DERIVATIVE_ASSETS_AMOUNTS_NETTED_THRIFT" hidden="1">"c25510"</definedName>
    <definedName name="IQ_DERIVATIVE_ASSETS_CURRENT" hidden="1">"c17744"</definedName>
    <definedName name="IQ_DERIVATIVE_ASSETS_FAIR_VALUE_TOT_FFIEC" hidden="1">"c15403"</definedName>
    <definedName name="IQ_DERIVATIVE_ASSETS_LEVEL_1_FFIEC" hidden="1">"c15425"</definedName>
    <definedName name="IQ_DERIVATIVE_ASSETS_LEVEL_1_THRIFT" hidden="1">"c25506"</definedName>
    <definedName name="IQ_DERIVATIVE_ASSETS_LEVEL_2_FFIEC" hidden="1">"c15438"</definedName>
    <definedName name="IQ_DERIVATIVE_ASSETS_LEVEL_2_THRIFT" hidden="1">"c25507"</definedName>
    <definedName name="IQ_DERIVATIVE_ASSETS_LEVEL_3_FFIEC" hidden="1">"c15451"</definedName>
    <definedName name="IQ_DERIVATIVE_ASSETS_LEVEL_3_THRIFT" hidden="1">"c25508"</definedName>
    <definedName name="IQ_DERIVATIVE_ASSETS_LT" hidden="1">"c17745"</definedName>
    <definedName name="IQ_DERIVATIVE_ASSETS_TOTAL_AFTER_NETTING_THRIFT" hidden="1">"c25511"</definedName>
    <definedName name="IQ_DERIVATIVE_ASSETS_TOTAL_BEFORE_NETTING_THRIFT" hidden="1">"c25509"</definedName>
    <definedName name="IQ_DERIVATIVE_LIAB_CURRENT" hidden="1">"c17873"</definedName>
    <definedName name="IQ_DERIVATIVE_LIAB_NON_CURRENT" hidden="1">"c17874"</definedName>
    <definedName name="IQ_DERIVATIVE_LIABILITIES_AMOUNTS_NETTED_THRIFT" hidden="1">"c25552"</definedName>
    <definedName name="IQ_DERIVATIVE_LIABILITIES_FAIR_VALUE_TOT_FFIEC" hidden="1">"c15407"</definedName>
    <definedName name="IQ_DERIVATIVE_LIABILITIES_LEVEL_1_FFIEC" hidden="1">"c15429"</definedName>
    <definedName name="IQ_DERIVATIVE_LIABILITIES_LEVEL_1_THRIFT" hidden="1">"c25548"</definedName>
    <definedName name="IQ_DERIVATIVE_LIABILITIES_LEVEL_2_FFIEC" hidden="1">"c15442"</definedName>
    <definedName name="IQ_DERIVATIVE_LIABILITIES_LEVEL_2_THRIFT" hidden="1">"c25549"</definedName>
    <definedName name="IQ_DERIVATIVE_LIABILITIES_LEVEL_3_FFIEC" hidden="1">"c15455"</definedName>
    <definedName name="IQ_DERIVATIVE_LIABILITIES_LEVEL_3_THRIFT" hidden="1">"c25550"</definedName>
    <definedName name="IQ_DERIVATIVE_LIABILITIES_TOTAL_AFTER_NETTING_THRIFT" hidden="1">"c25553"</definedName>
    <definedName name="IQ_DERIVATIVE_LIABILITIES_TOTAL_BEFORE_NETTING_THRIFT" hidden="1">"c25551"</definedName>
    <definedName name="IQ_DERIVATIVE_TRADING_ASSETS" hidden="1">"c17875"</definedName>
    <definedName name="IQ_DERIVATIVES_FDIC" hidden="1">"c6523"</definedName>
    <definedName name="IQ_DERIVATIVES_NEGATIVE_FAIR_VALUE_DOM_FFIEC" hidden="1">"c12943"</definedName>
    <definedName name="IQ_DERIVATIVES_NEGATIVE_VALUE_FFIEC" hidden="1">"c12861"</definedName>
    <definedName name="IQ_DERIVATIVES_POS_FAIR_VALUE_FFIEC" hidden="1">"c12827"</definedName>
    <definedName name="IQ_DERIVATIVES_POSITIVE_FAIR_VALUE_TRADING_DOM_FFIEC" hidden="1">"c12938"</definedName>
    <definedName name="IQ_DESCRIPTION_LONG" localSheetId="7" hidden="1">"c1520"</definedName>
    <definedName name="IQ_DESCRIPTION_LONG" localSheetId="8" hidden="1">"c1520"</definedName>
    <definedName name="IQ_DESCRIPTION_LONG" hidden="1">"c1520"</definedName>
    <definedName name="IQ_DEVELOP_LAND" hidden="1">"c323"</definedName>
    <definedName name="IQ_DEVELOPMENT_EXPENSE" hidden="1">"c16040"</definedName>
    <definedName name="IQ_DEVELOPMENT_REVENUE" hidden="1">"c16024"</definedName>
    <definedName name="IQ_DIC" hidden="1">"c13834"</definedName>
    <definedName name="IQ_DIFF_LASTCLOSE_TARGET_PRICE" hidden="1">"c1854"</definedName>
    <definedName name="IQ_DIFF_LASTCLOSE_TARGET_PRICE_CIQ" hidden="1">"c4767"</definedName>
    <definedName name="IQ_DIFF_LASTCLOSE_TARGET_PRICE_REUT" hidden="1">"c5436"</definedName>
    <definedName name="IQ_DIFF_LASTCLOSE_TARGET_PRICE_THOM" hidden="1">"c5278"</definedName>
    <definedName name="IQ_DIG_SUB_BASIC_SUB" hidden="1">"c16202"</definedName>
    <definedName name="IQ_DIG_SUB_VIDEO_SUB" hidden="1">"c15788"</definedName>
    <definedName name="IQ_DIGITAL_SUB_TOTAL_HOMES_PASSED" hidden="1">"c15769"</definedName>
    <definedName name="IQ_DIGITAL_VIDEO_PENETRATION" hidden="1">"c15768"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OUTSTANDING_CURRENT_EST" hidden="1">"c4263"</definedName>
    <definedName name="IQ_DILUT_OUTSTANDING_CURRENT_HIGH_EST" hidden="1">"c4264"</definedName>
    <definedName name="IQ_DILUT_OUTSTANDING_CURRENT_LOW_EST" hidden="1">"c4265"</definedName>
    <definedName name="IQ_DILUT_OUTSTANDING_CURRENT_MEDIAN_EST" hidden="1">"c4266"</definedName>
    <definedName name="IQ_DILUT_OUTSTANDING_CURRENT_NUM_EST" hidden="1">"c4267"</definedName>
    <definedName name="IQ_DILUT_OUTSTANDING_CURRENT_STDDEV_EST" hidden="1">"c4268"</definedName>
    <definedName name="IQ_DILUT_WEIGHT" hidden="1">"c326"</definedName>
    <definedName name="IQ_DILUT_WEIGHT_EST" hidden="1">"c4269"</definedName>
    <definedName name="IQ_DILUT_WEIGHT_GUIDANCE" hidden="1">"c4270"</definedName>
    <definedName name="IQ_DILUT_WEIGHT_HIGH_EST" hidden="1">"c4271"</definedName>
    <definedName name="IQ_DILUT_WEIGHT_LOW_EST" hidden="1">"c4272"</definedName>
    <definedName name="IQ_DILUT_WEIGHT_MEDIAN_EST" hidden="1">"c4273"</definedName>
    <definedName name="IQ_DILUT_WEIGHT_NUM_EST" hidden="1">"c4274"</definedName>
    <definedName name="IQ_DILUT_WEIGHT_STDDEV_EST" hidden="1">"c4275"</definedName>
    <definedName name="IQ_DILUTED_EPRA_NAV" hidden="1">"c16005"</definedName>
    <definedName name="IQ_DILUTED_EPRA_NAV_SHARE_RE" hidden="1">"c16014"</definedName>
    <definedName name="IQ_DILUTED_EPRA_NNAV" hidden="1">"c16010"</definedName>
    <definedName name="IQ_DILUTED_EPRA_NNAV_SHARE_RE" hidden="1">"c16015"</definedName>
    <definedName name="IQ_DILUTED_NAV_RE" hidden="1">"c15998"</definedName>
    <definedName name="IQ_DILUTED_NAV_SHARE_RE" hidden="1">"c16013"</definedName>
    <definedName name="IQ_DILUTED_NAV_SHARES" hidden="1">"c16016"</definedName>
    <definedName name="IQ_DILUTION_EFFECT_NAV" hidden="1">"c15997"</definedName>
    <definedName name="IQ_DIRECT_AH_EARNED" hidden="1">"c2740"</definedName>
    <definedName name="IQ_DIRECT_EARNED" hidden="1">"c2730"</definedName>
    <definedName name="IQ_DIRECT_INDIRECT_RE_VENTURES_FFIEC" hidden="1">"c15266"</definedName>
    <definedName name="IQ_DIRECT_INDIRECT_RE_VENTURES_UNCONSOL_FFIEC" hidden="1">"c15274"</definedName>
    <definedName name="IQ_DIRECT_LIFE_EARNED" hidden="1">"c2735"</definedName>
    <definedName name="IQ_DIRECT_LIFE_IN_FORCE" hidden="1">"c2765"</definedName>
    <definedName name="IQ_DIRECT_LOSSES" hidden="1">"c15869"</definedName>
    <definedName name="IQ_DIRECT_PC_EARNED" hidden="1">"c2745"</definedName>
    <definedName name="IQ_DIRECT_WRITTEN" hidden="1">"c2724"</definedName>
    <definedName name="IQ_DIRECTORS_FEES_FFIEC" hidden="1">"c13049"</definedName>
    <definedName name="IQ_DISALLOWED_DEFERRED_TAX_ASSETS_FFIEC" hidden="1">"c13157"</definedName>
    <definedName name="IQ_DISALLOWED_GOODWILL_INTANGIBLE_ASSETS_FFIEC" hidden="1">"c13155"</definedName>
    <definedName name="IQ_DISALLOWED_GOODWILL_INTANGIBLES_T1_FFIEC" hidden="1">"c13137"</definedName>
    <definedName name="IQ_DISALLOWED_SERVICING_ASSETS_FFIEC" hidden="1">"c13156"</definedName>
    <definedName name="IQ_DISALLOWED_SERVICING_ASSETS_T1_FFIEC" hidden="1">"c13140"</definedName>
    <definedName name="IQ_DISALLOWED_SERVICING_OTHER_ASSETS_ADJUSTED_ASSETS_THRIFT" hidden="1">"c25033"</definedName>
    <definedName name="IQ_DISALLOWED_SERVICING_OTHER_ASSETS_T1_THRIFT" hidden="1">"c25024"</definedName>
    <definedName name="IQ_DISBURSED_CONSTRUCTION_MORTGAGE_LOANS_1_4_DWELLING_UNITS_THRIFT" hidden="1">"c25317"</definedName>
    <definedName name="IQ_DISBURSED_CONSTRUCTION_MORTGAGE_LOANS_MULTIFAMILY_5_MORE_DWELLING_UNITS_THRIFT" hidden="1">"c25318"</definedName>
    <definedName name="IQ_DISBURSED_CONSTRUCTION_MORTGAGE_LOANS_NONRES_THRIFT" hidden="1">"c25319"</definedName>
    <definedName name="IQ_DISBURSED_PML_1_4_DWELLING_UNITS_THRIFT" hidden="1">"c25320"</definedName>
    <definedName name="IQ_DISBURSED_PML_HOME_EQUITY_JUNIOR_LIENS_THRIFT" hidden="1">"c25321"</definedName>
    <definedName name="IQ_DISBURSED_PML_LAND_THRIFT" hidden="1">"c25324"</definedName>
    <definedName name="IQ_DISBURSED_PML_MULTIFAMILY_5_MORE_DWELLING_UNITS_THRIFT" hidden="1">"c25322"</definedName>
    <definedName name="IQ_DISBURSED_PML_NONRES_EXCEPT_LAND_THRIFT" hidden="1">"c25323"</definedName>
    <definedName name="IQ_DISCONT_OPER" localSheetId="7" hidden="1">"c1367"</definedName>
    <definedName name="IQ_DISCONT_OPER" localSheetId="8" hidden="1">"c1367"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CRETIONARY_CAPEX" hidden="1">"c16183"</definedName>
    <definedName name="IQ_DISPOSABLE_PERSONAL_INC" hidden="1">"c6850"</definedName>
    <definedName name="IQ_DISPOSABLE_PERSONAL_INC_APR" hidden="1">"c7510"</definedName>
    <definedName name="IQ_DISPOSABLE_PERSONAL_INC_APR_FC" hidden="1">"c8390"</definedName>
    <definedName name="IQ_DISPOSABLE_PERSONAL_INC_FC" hidden="1">"c7730"</definedName>
    <definedName name="IQ_DISPOSABLE_PERSONAL_INC_POP" hidden="1">"c7070"</definedName>
    <definedName name="IQ_DISPOSABLE_PERSONAL_INC_POP_FC" hidden="1">"c7950"</definedName>
    <definedName name="IQ_DISPOSABLE_PERSONAL_INC_REAL" hidden="1">"c11922"</definedName>
    <definedName name="IQ_DISPOSABLE_PERSONAL_INC_REAL_APR" hidden="1">"c11925"</definedName>
    <definedName name="IQ_DISPOSABLE_PERSONAL_INC_REAL_POP" hidden="1">"c11923"</definedName>
    <definedName name="IQ_DISPOSABLE_PERSONAL_INC_REAL_YOY" hidden="1">"c11924"</definedName>
    <definedName name="IQ_DISPOSABLE_PERSONAL_INC_SAAR" hidden="1">"c6851"</definedName>
    <definedName name="IQ_DISPOSABLE_PERSONAL_INC_SAAR_APR" hidden="1">"c7511"</definedName>
    <definedName name="IQ_DISPOSABLE_PERSONAL_INC_SAAR_APR_FC" hidden="1">"c8391"</definedName>
    <definedName name="IQ_DISPOSABLE_PERSONAL_INC_SAAR_FC" hidden="1">"c7731"</definedName>
    <definedName name="IQ_DISPOSABLE_PERSONAL_INC_SAAR_POP" hidden="1">"c7071"</definedName>
    <definedName name="IQ_DISPOSABLE_PERSONAL_INC_SAAR_POP_FC" hidden="1">"c7951"</definedName>
    <definedName name="IQ_DISPOSABLE_PERSONAL_INC_SAAR_USD_APR_FC" hidden="1">"c11805"</definedName>
    <definedName name="IQ_DISPOSABLE_PERSONAL_INC_SAAR_USD_FC" hidden="1">"c11802"</definedName>
    <definedName name="IQ_DISPOSABLE_PERSONAL_INC_SAAR_USD_POP_FC" hidden="1">"c11803"</definedName>
    <definedName name="IQ_DISPOSABLE_PERSONAL_INC_SAAR_USD_YOY_FC" hidden="1">"c11804"</definedName>
    <definedName name="IQ_DISPOSABLE_PERSONAL_INC_SAAR_YOY" hidden="1">"c7291"</definedName>
    <definedName name="IQ_DISPOSABLE_PERSONAL_INC_SAAR_YOY_FC" hidden="1">"c8171"</definedName>
    <definedName name="IQ_DISPOSABLE_PERSONAL_INC_USD_APR_FC" hidden="1">"c11801"</definedName>
    <definedName name="IQ_DISPOSABLE_PERSONAL_INC_USD_FC" hidden="1">"c11798"</definedName>
    <definedName name="IQ_DISPOSABLE_PERSONAL_INC_USD_POP_FC" hidden="1">"c11799"</definedName>
    <definedName name="IQ_DISPOSABLE_PERSONAL_INC_USD_YOY_FC" hidden="1">"c11800"</definedName>
    <definedName name="IQ_DISPOSABLE_PERSONAL_INC_YOY" hidden="1">"c7290"</definedName>
    <definedName name="IQ_DISPOSABLE_PERSONAL_INC_YOY_FC" hidden="1">"c8170"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ACT_OR_EST_CIQ" hidden="1">"c4803"</definedName>
    <definedName name="IQ_DISTRIBUTABLE_CASH_ACT_OR_EST_CIQ_COL" hidden="1">"c11450"</definedName>
    <definedName name="IQ_DISTRIBUTABLE_CASH_EST" hidden="1">"c4277"</definedName>
    <definedName name="IQ_DISTRIBUTABLE_CASH_EST_CIQ" hidden="1">"c4802"</definedName>
    <definedName name="IQ_DISTRIBUTABLE_CASH_GUIDANCE_CIQ" hidden="1">"c4804"</definedName>
    <definedName name="IQ_DISTRIBUTABLE_CASH_GUIDANCE_CIQ_COL" hidden="1">"c11451"</definedName>
    <definedName name="IQ_DISTRIBUTABLE_CASH_HIGH_EST" hidden="1">"c4280"</definedName>
    <definedName name="IQ_DISTRIBUTABLE_CASH_HIGH_EST_CIQ" hidden="1">"c4805"</definedName>
    <definedName name="IQ_DISTRIBUTABLE_CASH_HIGH_GUIDANCE_CIQ" hidden="1">"c4610"</definedName>
    <definedName name="IQ_DISTRIBUTABLE_CASH_HIGH_GUIDANCE_CIQ_COL" hidden="1">"c11259"</definedName>
    <definedName name="IQ_DISTRIBUTABLE_CASH_LOW_EST" hidden="1">"c4281"</definedName>
    <definedName name="IQ_DISTRIBUTABLE_CASH_LOW_EST_CIQ" hidden="1">"c4806"</definedName>
    <definedName name="IQ_DISTRIBUTABLE_CASH_LOW_GUIDANCE_CIQ" hidden="1">"c4650"</definedName>
    <definedName name="IQ_DISTRIBUTABLE_CASH_LOW_GUIDANCE_CIQ_COL" hidden="1">"c11299"</definedName>
    <definedName name="IQ_DISTRIBUTABLE_CASH_MEDIAN_EST" hidden="1">"c4282"</definedName>
    <definedName name="IQ_DISTRIBUTABLE_CASH_MEDIAN_EST_CIQ" hidden="1">"c4807"</definedName>
    <definedName name="IQ_DISTRIBUTABLE_CASH_NUM_EST" hidden="1">"c4283"</definedName>
    <definedName name="IQ_DISTRIBUTABLE_CASH_NUM_EST_CIQ" hidden="1">"c4808"</definedName>
    <definedName name="IQ_DISTRIBUTABLE_CASH_PAYOUT" hidden="1">"c3005"</definedName>
    <definedName name="IQ_DISTRIBUTABLE_CASH_PER_SHARE_DILUTED" hidden="1">"c16191"</definedName>
    <definedName name="IQ_DISTRIBUTABLE_CASH_SHARE" hidden="1">"c3003"</definedName>
    <definedName name="IQ_DISTRIBUTABLE_CASH_SHARE_ACT_OR_EST" hidden="1">"c4286"</definedName>
    <definedName name="IQ_DISTRIBUTABLE_CASH_SHARE_ACT_OR_EST_CIQ" hidden="1">"c4811"</definedName>
    <definedName name="IQ_DISTRIBUTABLE_CASH_SHARE_ACT_OR_EST_CIQ_COL" hidden="1">"c11458"</definedName>
    <definedName name="IQ_DISTRIBUTABLE_CASH_SHARE_EST" hidden="1">"c4285"</definedName>
    <definedName name="IQ_DISTRIBUTABLE_CASH_SHARE_EST_CIQ" hidden="1">"c4810"</definedName>
    <definedName name="IQ_DISTRIBUTABLE_CASH_SHARE_GUIDANCE_CIQ" hidden="1">"c4812"</definedName>
    <definedName name="IQ_DISTRIBUTABLE_CASH_SHARE_GUIDANCE_CIQ_COL" hidden="1">"c11459"</definedName>
    <definedName name="IQ_DISTRIBUTABLE_CASH_SHARE_HIGH_EST" hidden="1">"c4288"</definedName>
    <definedName name="IQ_DISTRIBUTABLE_CASH_SHARE_HIGH_EST_CIQ" hidden="1">"c4813"</definedName>
    <definedName name="IQ_DISTRIBUTABLE_CASH_SHARE_HIGH_GUIDANCE_CIQ" hidden="1">"c4611"</definedName>
    <definedName name="IQ_DISTRIBUTABLE_CASH_SHARE_HIGH_GUIDANCE_CIQ_COL" hidden="1">"c11260"</definedName>
    <definedName name="IQ_DISTRIBUTABLE_CASH_SHARE_LOW_EST" hidden="1">"c4289"</definedName>
    <definedName name="IQ_DISTRIBUTABLE_CASH_SHARE_LOW_EST_CIQ" hidden="1">"c4814"</definedName>
    <definedName name="IQ_DISTRIBUTABLE_CASH_SHARE_LOW_GUIDANCE_CIQ" hidden="1">"c4651"</definedName>
    <definedName name="IQ_DISTRIBUTABLE_CASH_SHARE_LOW_GUIDANCE_CIQ_COL" hidden="1">"c11300"</definedName>
    <definedName name="IQ_DISTRIBUTABLE_CASH_SHARE_MEDIAN_EST" hidden="1">"c4290"</definedName>
    <definedName name="IQ_DISTRIBUTABLE_CASH_SHARE_MEDIAN_EST_CIQ" hidden="1">"c4815"</definedName>
    <definedName name="IQ_DISTRIBUTABLE_CASH_SHARE_NUM_EST" hidden="1">"c4291"</definedName>
    <definedName name="IQ_DISTRIBUTABLE_CASH_SHARE_NUM_EST_CIQ" hidden="1">"c4816"</definedName>
    <definedName name="IQ_DISTRIBUTABLE_CASH_SHARE_STDDEV_EST" hidden="1">"c4292"</definedName>
    <definedName name="IQ_DISTRIBUTABLE_CASH_SHARE_STDDEV_EST_CIQ" hidden="1">"c4817"</definedName>
    <definedName name="IQ_DISTRIBUTABLE_CASH_SHARES_BASIC" hidden="1">"c16189"</definedName>
    <definedName name="IQ_DISTRIBUTABLE_CASH_SHARES_DILUTED" hidden="1">"c16190"</definedName>
    <definedName name="IQ_DISTRIBUTABLE_CASH_STANDARDIZED" hidden="1">"c20435"</definedName>
    <definedName name="IQ_DISTRIBUTABLE_CASH_STDDEV_EST" hidden="1">"c4294"</definedName>
    <definedName name="IQ_DISTRIBUTABLE_CASH_STDDEV_EST_CIQ" hidden="1">"c4819"</definedName>
    <definedName name="IQ_DIV_AMOUNT" hidden="1">"c3041"</definedName>
    <definedName name="IQ_DIV_AMOUNT_LIST" hidden="1">"c17417"</definedName>
    <definedName name="IQ_DIV_PAYMENT_DATE" localSheetId="7" hidden="1">"c2205"</definedName>
    <definedName name="IQ_DIV_PAYMENT_DATE" localSheetId="8" hidden="1">"c2205"</definedName>
    <definedName name="IQ_DIV_PAYMENT_DATE" hidden="1">"c2205"</definedName>
    <definedName name="IQ_DIV_PAYMENT_DATE_LIST" hidden="1">"c17418"</definedName>
    <definedName name="IQ_DIV_PAYMENT_TYPE" hidden="1">"c12752"</definedName>
    <definedName name="IQ_DIV_PAYMENT_TYPE_LIST" hidden="1">"c17419"</definedName>
    <definedName name="IQ_DIV_RECORD_DATE" localSheetId="7" hidden="1">"c2204"</definedName>
    <definedName name="IQ_DIV_RECORD_DATE" localSheetId="8" hidden="1">"c2204"</definedName>
    <definedName name="IQ_DIV_RECORD_DATE" hidden="1">"c2204"</definedName>
    <definedName name="IQ_DIV_RECORD_DATE_LIST" hidden="1">"c17420"</definedName>
    <definedName name="IQ_DIV_SHARE" hidden="1">"c330"</definedName>
    <definedName name="IQ_DIVEST_CF" hidden="1">"c331"</definedName>
    <definedName name="IQ_DIVID_SHARE" localSheetId="7" hidden="1">"c1366"</definedName>
    <definedName name="IQ_DIVID_SHARE" localSheetId="8" hidden="1">"c1366"</definedName>
    <definedName name="IQ_DIVID_SHARE" hidden="1">"c1366"</definedName>
    <definedName name="IQ_DIVIDEND_EST" hidden="1">"c4296"</definedName>
    <definedName name="IQ_DIVIDEND_HIGH_EST" hidden="1">"c4297"</definedName>
    <definedName name="IQ_DIVIDEND_INCOME_FHLB_STOCK_THRIFT" hidden="1">"c24754"</definedName>
    <definedName name="IQ_DIVIDEND_INCOME_OTHER_EQUITY_INV_THRIFT" hidden="1">"c24755"</definedName>
    <definedName name="IQ_DIVIDEND_LOW_EST" hidden="1">"c4298"</definedName>
    <definedName name="IQ_DIVIDEND_MEDIAN_EST" hidden="1">"c4299"</definedName>
    <definedName name="IQ_DIVIDEND_NUM_EST" hidden="1">"c4300"</definedName>
    <definedName name="IQ_DIVIDEND_STDDEV_EST" hidden="1">"c4301"</definedName>
    <definedName name="IQ_DIVIDEND_YIELD" hidden="1">"c332"</definedName>
    <definedName name="IQ_DIVIDENDS_DECLARED_COMMON_FDIC" hidden="1">"c6659"</definedName>
    <definedName name="IQ_DIVIDENDS_DECLARED_COMMON_FFIEC" hidden="1">"c12969"</definedName>
    <definedName name="IQ_DIVIDENDS_DECLARED_PREFERRED_FDIC" hidden="1">"c6658"</definedName>
    <definedName name="IQ_DIVIDENDS_DECLARED_PREFERRED_FFIEC" hidden="1">"c12968"</definedName>
    <definedName name="IQ_DIVIDENDS_FDIC" hidden="1">"c6660"</definedName>
    <definedName name="IQ_DIVIDENDS_NET_INCOME_FFIEC" hidden="1">"c13349"</definedName>
    <definedName name="IQ_DIVIDENDS_PAID_DECLARED_PERIOD_COVERED" hidden="1">"c9960"</definedName>
    <definedName name="IQ_DIVIDENDS_PAID_DECLARED_PERIOD_GROUP" hidden="1">"c9946"</definedName>
    <definedName name="IQ_DNB_OTHER_EXP_INC_TAX_US" hidden="1">"c6787"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 hidden="1">"c6032"</definedName>
    <definedName name="IQ_DOM_OFFICE_DEPOSITS_TOT_DEPOSITS_FFIEC" hidden="1">"c13910"</definedName>
    <definedName name="IQ_DPAC" hidden="1">"c2801"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PS_ACT_OR_EST" hidden="1">"c2218"</definedName>
    <definedName name="IQ_DPS_ACT_OR_EST_CIQ_COL" hidden="1">"c11709"</definedName>
    <definedName name="IQ_DPS_ACT_OR_EST_REUT" hidden="1">"c5464"</definedName>
    <definedName name="IQ_DPS_ACT_OR_EST_THOM" hidden="1">"c5302"</definedName>
    <definedName name="IQ_DPS_DET_EST" hidden="1">"c12052"</definedName>
    <definedName name="IQ_DPS_DET_EST_CURRENCY" hidden="1">"c12459"</definedName>
    <definedName name="IQ_DPS_DET_EST_CURRENCY_THOM" hidden="1">"c12480"</definedName>
    <definedName name="IQ_DPS_DET_EST_DATE" hidden="1">"c12205"</definedName>
    <definedName name="IQ_DPS_DET_EST_DATE_THOM" hidden="1">"c12231"</definedName>
    <definedName name="IQ_DPS_DET_EST_INCL" hidden="1">"c12342"</definedName>
    <definedName name="IQ_DPS_DET_EST_INCL_THOM" hidden="1">"c12363"</definedName>
    <definedName name="IQ_DPS_DET_EST_ORIGIN" hidden="1">"c12578"</definedName>
    <definedName name="IQ_DPS_DET_EST_ORIGIN_THOM" hidden="1">"c12601"</definedName>
    <definedName name="IQ_DPS_DET_EST_THOM" hidden="1">"c12081"</definedName>
    <definedName name="IQ_DPS_EST" hidden="1">"c1674"</definedName>
    <definedName name="IQ_DPS_EST_BOTTOM_UP" hidden="1">"c5493"</definedName>
    <definedName name="IQ_DPS_EST_BOTTOM_UP_REUT" hidden="1">"c5501"</definedName>
    <definedName name="IQ_DPS_EST_REUT" hidden="1">"c3851"</definedName>
    <definedName name="IQ_DPS_EST_THOM" hidden="1">"c4013"</definedName>
    <definedName name="IQ_DPS_GUIDANCE_CIQ" hidden="1">"c4827"</definedName>
    <definedName name="IQ_DPS_GUIDANCE_CIQ_COL" hidden="1">"c11474"</definedName>
    <definedName name="IQ_DPS_HIGH_EST" hidden="1">"c1676"</definedName>
    <definedName name="IQ_DPS_HIGH_EST_REUT" hidden="1">"c3853"</definedName>
    <definedName name="IQ_DPS_HIGH_EST_THOM" hidden="1">"c4015"</definedName>
    <definedName name="IQ_DPS_HIGH_GUIDANCE_CIQ" hidden="1">"c4580"</definedName>
    <definedName name="IQ_DPS_HIGH_GUIDANCE_CIQ_COL" hidden="1">"c11229"</definedName>
    <definedName name="IQ_DPS_LOW_EST" hidden="1">"c1677"</definedName>
    <definedName name="IQ_DPS_LOW_EST_REUT" hidden="1">"c3854"</definedName>
    <definedName name="IQ_DPS_LOW_EST_THOM" hidden="1">"c4016"</definedName>
    <definedName name="IQ_DPS_LOW_GUIDANCE_CIQ" hidden="1">"c4620"</definedName>
    <definedName name="IQ_DPS_LOW_GUIDANCE_CIQ_COL" hidden="1">"c11269"</definedName>
    <definedName name="IQ_DPS_MEDIAN_EST" hidden="1">"c1675"</definedName>
    <definedName name="IQ_DPS_MEDIAN_EST_REUT" hidden="1">"c3852"</definedName>
    <definedName name="IQ_DPS_MEDIAN_EST_THOM" hidden="1">"c4014"</definedName>
    <definedName name="IQ_DPS_NUM_EST" hidden="1">"c1678"</definedName>
    <definedName name="IQ_DPS_NUM_EST_REUT" hidden="1">"c3855"</definedName>
    <definedName name="IQ_DPS_NUM_EST_THOM" hidden="1">"c4017"</definedName>
    <definedName name="IQ_DPS_STDDEV_EST" hidden="1">"c1679"</definedName>
    <definedName name="IQ_DPS_STDDEV_EST_REUT" hidden="1">"c3856"</definedName>
    <definedName name="IQ_DPS_STDDEV_EST_THOM" hidden="1">"c4018"</definedName>
    <definedName name="IQ_DURABLE_INVENTORIES" hidden="1">"c6853"</definedName>
    <definedName name="IQ_DURABLE_INVENTORIES_APR" hidden="1">"c7513"</definedName>
    <definedName name="IQ_DURABLE_INVENTORIES_APR_FC" hidden="1">"c8393"</definedName>
    <definedName name="IQ_DURABLE_INVENTORIES_FC" hidden="1">"c7733"</definedName>
    <definedName name="IQ_DURABLE_INVENTORIES_POP" hidden="1">"c7073"</definedName>
    <definedName name="IQ_DURABLE_INVENTORIES_POP_FC" hidden="1">"c7953"</definedName>
    <definedName name="IQ_DURABLE_INVENTORIES_YOY" hidden="1">"c7293"</definedName>
    <definedName name="IQ_DURABLE_INVENTORIES_YOY_FC" hidden="1">"c8173"</definedName>
    <definedName name="IQ_DURABLE_ORDERS" hidden="1">"c6854"</definedName>
    <definedName name="IQ_DURABLE_ORDERS_APR" hidden="1">"c7514"</definedName>
    <definedName name="IQ_DURABLE_ORDERS_APR_FC" hidden="1">"c8394"</definedName>
    <definedName name="IQ_DURABLE_ORDERS_FC" hidden="1">"c7734"</definedName>
    <definedName name="IQ_DURABLE_ORDERS_POP" hidden="1">"c7074"</definedName>
    <definedName name="IQ_DURABLE_ORDERS_POP_FC" hidden="1">"c7954"</definedName>
    <definedName name="IQ_DURABLE_ORDERS_YOY" hidden="1">"c7294"</definedName>
    <definedName name="IQ_DURABLE_ORDERS_YOY_FC" hidden="1">"c8174"</definedName>
    <definedName name="IQ_DURABLE_SHIPMENTS" hidden="1">"c6855"</definedName>
    <definedName name="IQ_DURABLE_SHIPMENTS_APR" hidden="1">"c7515"</definedName>
    <definedName name="IQ_DURABLE_SHIPMENTS_APR_FC" hidden="1">"c8395"</definedName>
    <definedName name="IQ_DURABLE_SHIPMENTS_FC" hidden="1">"c7735"</definedName>
    <definedName name="IQ_DURABLE_SHIPMENTS_POP" hidden="1">"c7075"</definedName>
    <definedName name="IQ_DURABLE_SHIPMENTS_POP_FC" hidden="1">"c7955"</definedName>
    <definedName name="IQ_DURABLE_SHIPMENTS_YOY" hidden="1">"c7295"</definedName>
    <definedName name="IQ_DURABLE_SHIPMENTS_YOY_FC" hidden="1">"c8175"</definedName>
    <definedName name="IQ_DURATION" hidden="1">"c2181"</definedName>
    <definedName name="IQ_EARNING_ASSET_INT_BEAR_LIABILITIES" hidden="1">"c15703"</definedName>
    <definedName name="IQ_EARNING_ASSET_YIELD" hidden="1">"c343"</definedName>
    <definedName name="IQ_EARNING_ASSETS_AVG_ASSETS_FFIEC" hidden="1">"c13354"</definedName>
    <definedName name="IQ_EARNING_ASSETS_FDIC" hidden="1">"c6360"</definedName>
    <definedName name="IQ_EARNING_ASSETS_QUARTERLY_AVG_FFIEC" hidden="1">"c13086"</definedName>
    <definedName name="IQ_EARNING_ASSETS_REPRICE_ASSETS_TOT_FFIEC" hidden="1">"c13451"</definedName>
    <definedName name="IQ_EARNING_ASSETS_YIELD_FDIC" hidden="1">"c6724"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_PARENT_EXCL_EXTRA" hidden="1">"c25791"</definedName>
    <definedName name="IQ_EARNINGS_ANNOUNCE_DATE" hidden="1">"c1649"</definedName>
    <definedName name="IQ_EARNINGS_ANNOUNCE_DATE_CIQ" hidden="1">"c4656"</definedName>
    <definedName name="IQ_EARNINGS_ANNOUNCE_DATE_REUT" hidden="1">"c5314"</definedName>
    <definedName name="IQ_EARNINGS_ANNOUNCE_DATE_THOM" hidden="1">"c5093"</definedName>
    <definedName name="IQ_EARNINGS_BEFORE_TAXES_AVG_ASSETS_THRIFT" hidden="1">"c25656"</definedName>
    <definedName name="IQ_EARNINGS_CO_FFIEC" hidden="1">"c13032"</definedName>
    <definedName name="IQ_EARNINGS_CO_THRIFT" hidden="1">"c24796"</definedName>
    <definedName name="IQ_EARNINGS_CONT_OPS_HOMEBUILDING_SALES" hidden="1">"c15817"</definedName>
    <definedName name="IQ_EARNINGS_COVERAGE_LOSSES_FFIEC" hidden="1">"c13351"</definedName>
    <definedName name="IQ_EARNINGS_COVERAGE_NET_CHARGE_OFFS_FDIC" hidden="1">"c6735"</definedName>
    <definedName name="IQ_EARNINGS_COVERAGE_NET_LOSSES_THRIFT" hidden="1">"c25641"</definedName>
    <definedName name="IQ_EARNINGS_LIFE_INSURANCE_FFIEC" hidden="1">"c13041"</definedName>
    <definedName name="IQ_EARNINGS_PERIOD_COVERED" hidden="1">"c9958"</definedName>
    <definedName name="IQ_EARNINGS_PERIOD_GROUP" hidden="1">"c9944"</definedName>
    <definedName name="IQ_EBIT" hidden="1">"c352"</definedName>
    <definedName name="IQ_EBIT_10K" hidden="1">"IQ_EBIT_10K"</definedName>
    <definedName name="IQ_EBIT_10Q" hidden="1">"IQ_EBIT_10Q"</definedName>
    <definedName name="IQ_EBIT_10Q1" hidden="1">"IQ_EBIT_10Q1"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ACT_OR_EST" hidden="1">"c2219"</definedName>
    <definedName name="IQ_EBIT_ACT_OR_EST_CIQ_COL" hidden="1">"c11710"</definedName>
    <definedName name="IQ_EBIT_ACT_OR_EST_REUT" hidden="1">"c5465"</definedName>
    <definedName name="IQ_EBIT_ACT_OR_EST_THOM" hidden="1">"c5303"</definedName>
    <definedName name="IQ_EBIT_DET_EST" hidden="1">"c12053"</definedName>
    <definedName name="IQ_EBIT_DET_EST_CURRENCY" hidden="1">"c12460"</definedName>
    <definedName name="IQ_EBIT_DET_EST_CURRENCY_THOM" hidden="1">"c12481"</definedName>
    <definedName name="IQ_EBIT_DET_EST_DATE" hidden="1">"c12206"</definedName>
    <definedName name="IQ_EBIT_DET_EST_DATE_THOM" hidden="1">"c12232"</definedName>
    <definedName name="IQ_EBIT_DET_EST_INCL" hidden="1">"c12343"</definedName>
    <definedName name="IQ_EBIT_DET_EST_INCL_THOM" hidden="1">"c12364"</definedName>
    <definedName name="IQ_EBIT_DET_EST_ORIGIN" hidden="1">"c12579"</definedName>
    <definedName name="IQ_EBIT_DET_EST_ORIGIN_THOM" hidden="1">"c12602"</definedName>
    <definedName name="IQ_EBIT_DET_EST_THOM" hidden="1">"c12082"</definedName>
    <definedName name="IQ_EBIT_EQ_INC" hidden="1">"c3498"</definedName>
    <definedName name="IQ_EBIT_EQ_INC_EXCL_SBC" hidden="1">"c3502"</definedName>
    <definedName name="IQ_EBIT_EST" hidden="1">"c1681"</definedName>
    <definedName name="IQ_EBIT_EST_REUT" hidden="1">"c5333"</definedName>
    <definedName name="IQ_EBIT_EST_THOM" hidden="1">"c5105"</definedName>
    <definedName name="IQ_EBIT_EXCL_SBC" hidden="1">"c3082"</definedName>
    <definedName name="IQ_EBIT_GROWTH_1" localSheetId="7" hidden="1">"c157"</definedName>
    <definedName name="IQ_EBIT_GROWTH_1" localSheetId="8" hidden="1">"c157"</definedName>
    <definedName name="IQ_EBIT_GROWTH_1" hidden="1">"IQ_EBIT_GROWTH_1"</definedName>
    <definedName name="IQ_EBIT_GROWTH_2" localSheetId="7" hidden="1">"c161"</definedName>
    <definedName name="IQ_EBIT_GROWTH_2" localSheetId="8" hidden="1">"c161"</definedName>
    <definedName name="IQ_EBIT_GROWTH_2" hidden="1">"IQ_EBIT_GROWTH_2"</definedName>
    <definedName name="IQ_EBIT_GUIDANCE_CIQ" hidden="1">"c4828"</definedName>
    <definedName name="IQ_EBIT_GUIDANCE_CIQ_COL" hidden="1">"c11475"</definedName>
    <definedName name="IQ_EBIT_GW_ACT_OR_EST" hidden="1">"c4306"</definedName>
    <definedName name="IQ_EBIT_GW_ACT_OR_EST_CIQ_COL" hidden="1">"c11478"</definedName>
    <definedName name="IQ_EBIT_GW_EST" hidden="1">"c4305"</definedName>
    <definedName name="IQ_EBIT_GW_GUIDANCE" hidden="1">"c4307"</definedName>
    <definedName name="IQ_EBIT_GW_GUIDANCE_CIQ" hidden="1">"c4832"</definedName>
    <definedName name="IQ_EBIT_GW_GUIDANCE_CIQ_COL" hidden="1">"c11479"</definedName>
    <definedName name="IQ_EBIT_GW_HIGH_EST" hidden="1">"c4308"</definedName>
    <definedName name="IQ_EBIT_GW_HIGH_GUIDANCE" hidden="1">"c4171"</definedName>
    <definedName name="IQ_EBIT_GW_HIGH_GUIDANCE_CIQ" hidden="1">"c4583"</definedName>
    <definedName name="IQ_EBIT_GW_HIGH_GUIDANCE_CIQ_COL" hidden="1">"c11232"</definedName>
    <definedName name="IQ_EBIT_GW_LOW_EST" hidden="1">"c4309"</definedName>
    <definedName name="IQ_EBIT_GW_LOW_GUIDANCE" hidden="1">"c4211"</definedName>
    <definedName name="IQ_EBIT_GW_LOW_GUIDANCE_CIQ" hidden="1">"c4623"</definedName>
    <definedName name="IQ_EBIT_GW_LOW_GUIDANCE_CIQ_COL" hidden="1">"c11272"</definedName>
    <definedName name="IQ_EBIT_GW_MEDIAN_EST" hidden="1">"c4310"</definedName>
    <definedName name="IQ_EBIT_GW_NUM_EST" hidden="1">"c4311"</definedName>
    <definedName name="IQ_EBIT_GW_STDDEV_EST" hidden="1">"c4312"</definedName>
    <definedName name="IQ_EBIT_HIGH_EST" hidden="1">"c1683"</definedName>
    <definedName name="IQ_EBIT_HIGH_EST_REUT" hidden="1">"c5335"</definedName>
    <definedName name="IQ_EBIT_HIGH_EST_THOM" hidden="1">"c5107"</definedName>
    <definedName name="IQ_EBIT_HIGH_GUIDANCE_CIQ" hidden="1">"c4584"</definedName>
    <definedName name="IQ_EBIT_HIGH_GUIDANCE_CIQ_COL" hidden="1">"c11233"</definedName>
    <definedName name="IQ_EBIT_HOMEBUILDING_SALES" hidden="1">"c15815"</definedName>
    <definedName name="IQ_EBIT_INT" hidden="1">"c360"</definedName>
    <definedName name="IQ_EBIT_LOW_EST" hidden="1">"c1684"</definedName>
    <definedName name="IQ_EBIT_LOW_EST_REUT" hidden="1">"c5336"</definedName>
    <definedName name="IQ_EBIT_LOW_EST_THOM" hidden="1">"c5108"</definedName>
    <definedName name="IQ_EBIT_LOW_GUIDANCE_CIQ" hidden="1">"c4624"</definedName>
    <definedName name="IQ_EBIT_LOW_GUIDANCE_CIQ_COL" hidden="1">"c11273"</definedName>
    <definedName name="IQ_EBIT_MARGIN" hidden="1">"c359"</definedName>
    <definedName name="IQ_EBIT_MEDIAN_EST" hidden="1">"c1682"</definedName>
    <definedName name="IQ_EBIT_MEDIAN_EST_REUT" hidden="1">"c5334"</definedName>
    <definedName name="IQ_EBIT_MEDIAN_EST_THOM" hidden="1">"c5106"</definedName>
    <definedName name="IQ_EBIT_NUM_EST" hidden="1">"c1685"</definedName>
    <definedName name="IQ_EBIT_NUM_EST_REUT" hidden="1">"c5337"</definedName>
    <definedName name="IQ_EBIT_NUM_EST_THOM" hidden="1">"c5109"</definedName>
    <definedName name="IQ_EBIT_OVER_IE" localSheetId="7" hidden="1">"c1369"</definedName>
    <definedName name="IQ_EBIT_OVER_IE" localSheetId="8" hidden="1">"c1369"</definedName>
    <definedName name="IQ_EBIT_OVER_IE" hidden="1">"c1369"</definedName>
    <definedName name="IQ_EBIT_SBC_ACT_OR_EST" hidden="1">"c4316"</definedName>
    <definedName name="IQ_EBIT_SBC_ACT_OR_EST_CIQ" hidden="1">"c4841"</definedName>
    <definedName name="IQ_EBIT_SBC_ACT_OR_EST_CIQ_COL" hidden="1">"c11488"</definedName>
    <definedName name="IQ_EBIT_SBC_EST" hidden="1">"c4315"</definedName>
    <definedName name="IQ_EBIT_SBC_GUIDANCE" hidden="1">"c4317"</definedName>
    <definedName name="IQ_EBIT_SBC_GUIDANCE_CIQ" hidden="1">"c4842"</definedName>
    <definedName name="IQ_EBIT_SBC_GUIDANCE_CIQ_COL" hidden="1">"c11489"</definedName>
    <definedName name="IQ_EBIT_SBC_GW_ACT_OR_EST" hidden="1">"c4320"</definedName>
    <definedName name="IQ_EBIT_SBC_GW_ACT_OR_EST_CIQ" hidden="1">"c4845"</definedName>
    <definedName name="IQ_EBIT_SBC_GW_ACT_OR_EST_CIQ_COL" hidden="1">"c11492"</definedName>
    <definedName name="IQ_EBIT_SBC_GW_EST" hidden="1">"c4319"</definedName>
    <definedName name="IQ_EBIT_SBC_GW_GUIDANCE" hidden="1">"c4321"</definedName>
    <definedName name="IQ_EBIT_SBC_GW_GUIDANCE_CIQ" hidden="1">"c4846"</definedName>
    <definedName name="IQ_EBIT_SBC_GW_GUIDANCE_CIQ_COL" hidden="1">"c11493"</definedName>
    <definedName name="IQ_EBIT_SBC_GW_HIGH_EST" hidden="1">"c4322"</definedName>
    <definedName name="IQ_EBIT_SBC_GW_HIGH_GUIDANCE" hidden="1">"c4193"</definedName>
    <definedName name="IQ_EBIT_SBC_GW_HIGH_GUIDANCE_CIQ" hidden="1">"c4605"</definedName>
    <definedName name="IQ_EBIT_SBC_GW_HIGH_GUIDANCE_CIQ_COL" hidden="1">"c11254"</definedName>
    <definedName name="IQ_EBIT_SBC_GW_LOW_EST" hidden="1">"c4323"</definedName>
    <definedName name="IQ_EBIT_SBC_GW_LOW_GUIDANCE" hidden="1">"c4233"</definedName>
    <definedName name="IQ_EBIT_SBC_GW_LOW_GUIDANCE_CIQ" hidden="1">"c4645"</definedName>
    <definedName name="IQ_EBIT_SBC_GW_LOW_GUIDANCE_CIQ_COL" hidden="1">"c11294"</definedName>
    <definedName name="IQ_EBIT_SBC_GW_MEDIAN_EST" hidden="1">"c4324"</definedName>
    <definedName name="IQ_EBIT_SBC_GW_NUM_EST" hidden="1">"c4325"</definedName>
    <definedName name="IQ_EBIT_SBC_GW_STDDEV_EST" hidden="1">"c4326"</definedName>
    <definedName name="IQ_EBIT_SBC_HIGH_EST" hidden="1">"c4328"</definedName>
    <definedName name="IQ_EBIT_SBC_HIGH_GUIDANCE" hidden="1">"c4192"</definedName>
    <definedName name="IQ_EBIT_SBC_HIGH_GUIDANCE_CIQ" hidden="1">"c4604"</definedName>
    <definedName name="IQ_EBIT_SBC_HIGH_GUIDANCE_CIQ_COL" hidden="1">"c11253"</definedName>
    <definedName name="IQ_EBIT_SBC_LOW_EST" hidden="1">"c4329"</definedName>
    <definedName name="IQ_EBIT_SBC_LOW_GUIDANCE" hidden="1">"c4232"</definedName>
    <definedName name="IQ_EBIT_SBC_LOW_GUIDANCE_CIQ" hidden="1">"c4644"</definedName>
    <definedName name="IQ_EBIT_SBC_LOW_GUIDANCE_CIQ_COL" hidden="1">"c11293"</definedName>
    <definedName name="IQ_EBIT_SBC_MEDIAN_EST" hidden="1">"c4330"</definedName>
    <definedName name="IQ_EBIT_SBC_NUM_EST" hidden="1">"c4331"</definedName>
    <definedName name="IQ_EBIT_SBC_STDDEV_EST" hidden="1">"c4332"</definedName>
    <definedName name="IQ_EBIT_STDDEV_EST" hidden="1">"c1686"</definedName>
    <definedName name="IQ_EBIT_STDDEV_EST_REUT" hidden="1">"c5338"</definedName>
    <definedName name="IQ_EBIT_STDDEV_EST_THOM" hidden="1">"c5110"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K" hidden="1">"IQ_EBITDA_10K"</definedName>
    <definedName name="IQ_EBITDA_10Q" hidden="1">"IQ_EBITDA_10Q"</definedName>
    <definedName name="IQ_EBITDA_10Q1" hidden="1">"IQ_EBITDA_10Q1"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ACT_OR_EST" hidden="1">"c2215"</definedName>
    <definedName name="IQ_EBITDA_ACT_OR_EST_CIQ" hidden="1">"c5060"</definedName>
    <definedName name="IQ_EBITDA_ACT_OR_EST_CIQ_COL" hidden="1">"c11707"</definedName>
    <definedName name="IQ_EBITDA_ACT_OR_EST_REUT" hidden="1">"c5462"</definedName>
    <definedName name="IQ_EBITDA_ACT_OR_EST_THOM" hidden="1">"c5300"</definedName>
    <definedName name="IQ_EBITDA_CAPEX" hidden="1">"c19143"</definedName>
    <definedName name="IQ_EBITDA_CAPEX_INT" hidden="1">"c368"</definedName>
    <definedName name="IQ_EBITDA_CAPEX_OVER_TOTAL_IE" localSheetId="7" hidden="1">"c1370"</definedName>
    <definedName name="IQ_EBITDA_CAPEX_OVER_TOTAL_IE" localSheetId="8" hidden="1">"c1370"</definedName>
    <definedName name="IQ_EBITDA_CAPEX_OVER_TOTAL_IE" hidden="1">"c1370"</definedName>
    <definedName name="IQ_EBITDA_DET_EST" hidden="1">"c12054"</definedName>
    <definedName name="IQ_EBITDA_DET_EST_CURRENCY" hidden="1">"c12461"</definedName>
    <definedName name="IQ_EBITDA_DET_EST_CURRENCY_THOM" hidden="1">"c12482"</definedName>
    <definedName name="IQ_EBITDA_DET_EST_DATE" hidden="1">"c12207"</definedName>
    <definedName name="IQ_EBITDA_DET_EST_DATE_THOM" hidden="1">"c12233"</definedName>
    <definedName name="IQ_EBITDA_DET_EST_INCL" hidden="1">"c12344"</definedName>
    <definedName name="IQ_EBITDA_DET_EST_INCL_THOM" hidden="1">"c12365"</definedName>
    <definedName name="IQ_EBITDA_DET_EST_ORIGIN" hidden="1">"c12580"</definedName>
    <definedName name="IQ_EBITDA_DET_EST_ORIGIN_THOM" hidden="1">"c12603"</definedName>
    <definedName name="IQ_EBITDA_DET_EST_THOM" hidden="1">"c12083"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CIQ" hidden="1">"c3622"</definedName>
    <definedName name="IQ_EBITDA_EST_DOWN_2MONTH" hidden="1">"c16297"</definedName>
    <definedName name="IQ_EBITDA_EST_DOWN_2MONTH_CIQ" hidden="1">"c16621"</definedName>
    <definedName name="IQ_EBITDA_EST_DOWN_3MONTH" hidden="1">"c16301"</definedName>
    <definedName name="IQ_EBITDA_EST_DOWN_3MONTH_CIQ" hidden="1">"c16625"</definedName>
    <definedName name="IQ_EBITDA_EST_DOWN_MONTH" hidden="1">"c16293"</definedName>
    <definedName name="IQ_EBITDA_EST_DOWN_MONTH_CIQ" hidden="1">"c16617"</definedName>
    <definedName name="IQ_EBITDA_EST_NOTE" hidden="1">"c17503"</definedName>
    <definedName name="IQ_EBITDA_EST_NOTE_CIQ" hidden="1">"c17456"</definedName>
    <definedName name="IQ_EBITDA_EST_NUM_ANALYSTS_2MONTH" hidden="1">"c16295"</definedName>
    <definedName name="IQ_EBITDA_EST_NUM_ANALYSTS_2MONTH_CIQ" hidden="1">"c16619"</definedName>
    <definedName name="IQ_EBITDA_EST_NUM_ANALYSTS_3MONTH" hidden="1">"c16299"</definedName>
    <definedName name="IQ_EBITDA_EST_NUM_ANALYSTS_3MONTH_CIQ" hidden="1">"c16623"</definedName>
    <definedName name="IQ_EBITDA_EST_NUM_ANALYSTS_MONTH" hidden="1">"c16291"</definedName>
    <definedName name="IQ_EBITDA_EST_NUM_ANALYSTS_MONTH_CIQ" hidden="1">"c16615"</definedName>
    <definedName name="IQ_EBITDA_EST_REUT" hidden="1">"c3640"</definedName>
    <definedName name="IQ_EBITDA_EST_THOM" hidden="1">"c3658"</definedName>
    <definedName name="IQ_EBITDA_EST_TOTAL_REVISED_2MONTH" hidden="1">"c16298"</definedName>
    <definedName name="IQ_EBITDA_EST_TOTAL_REVISED_2MONTH_CIQ" hidden="1">"c16622"</definedName>
    <definedName name="IQ_EBITDA_EST_TOTAL_REVISED_3MONTH" hidden="1">"c16302"</definedName>
    <definedName name="IQ_EBITDA_EST_TOTAL_REVISED_3MONTH_CIQ" hidden="1">"c16626"</definedName>
    <definedName name="IQ_EBITDA_EST_TOTAL_REVISED_MONTH" hidden="1">"c16294"</definedName>
    <definedName name="IQ_EBITDA_EST_TOTAL_REVISED_MONTH_CIQ" hidden="1">"c16618"</definedName>
    <definedName name="IQ_EBITDA_EST_UP_2MONTH" hidden="1">"c16296"</definedName>
    <definedName name="IQ_EBITDA_EST_UP_2MONTH_CIQ" hidden="1">"c16620"</definedName>
    <definedName name="IQ_EBITDA_EST_UP_3MONTH" hidden="1">"c16300"</definedName>
    <definedName name="IQ_EBITDA_EST_UP_3MONTH_CIQ" hidden="1">"c16624"</definedName>
    <definedName name="IQ_EBITDA_EST_UP_MONTH" hidden="1">"c16292"</definedName>
    <definedName name="IQ_EBITDA_EST_UP_MONTH_CIQ" hidden="1">"c16616"</definedName>
    <definedName name="IQ_EBITDA_EXCL_SBC" hidden="1">"c3081"</definedName>
    <definedName name="IQ_EBITDA_GROWTH_1" localSheetId="7" hidden="1">"c156"</definedName>
    <definedName name="IQ_EBITDA_GROWTH_1" localSheetId="8" hidden="1">"c156"</definedName>
    <definedName name="IQ_EBITDA_GROWTH_1" hidden="1">"IQ_EBITDA_GROWTH_1"</definedName>
    <definedName name="IQ_EBITDA_GROWTH_2" localSheetId="7" hidden="1">"c160"</definedName>
    <definedName name="IQ_EBITDA_GROWTH_2" localSheetId="8" hidden="1">"c160"</definedName>
    <definedName name="IQ_EBITDA_GROWTH_2" hidden="1">"IQ_EBITDA_GROWTH_2"</definedName>
    <definedName name="IQ_EBITDA_GUIDANCE_CIQ" hidden="1">"c4859"</definedName>
    <definedName name="IQ_EBITDA_GUIDANCE_CIQ_COL" hidden="1">"c11506"</definedName>
    <definedName name="IQ_EBITDA_HIGH_EST" hidden="1">"c370"</definedName>
    <definedName name="IQ_EBITDA_HIGH_EST_CIQ" hidden="1">"c3624"</definedName>
    <definedName name="IQ_EBITDA_HIGH_EST_REUT" hidden="1">"c3642"</definedName>
    <definedName name="IQ_EBITDA_HIGH_EST_THOM" hidden="1">"c3660"</definedName>
    <definedName name="IQ_EBITDA_HIGH_GUIDANCE_CIQ" hidden="1">"c4582"</definedName>
    <definedName name="IQ_EBITDA_HIGH_GUIDANCE_CIQ_COL" hidden="1">"c11231"</definedName>
    <definedName name="IQ_EBITDA_HOMEBUILDING_SALES" hidden="1">"c15814"</definedName>
    <definedName name="IQ_EBITDA_INT" hidden="1">"c373"</definedName>
    <definedName name="IQ_EBITDA_LOW_EST" hidden="1">"c371"</definedName>
    <definedName name="IQ_EBITDA_LOW_EST_CIQ" hidden="1">"c3625"</definedName>
    <definedName name="IQ_EBITDA_LOW_EST_REUT" hidden="1">"c3643"</definedName>
    <definedName name="IQ_EBITDA_LOW_EST_THOM" hidden="1">"c3661"</definedName>
    <definedName name="IQ_EBITDA_LOW_GUIDANCE_CIQ" hidden="1">"c4622"</definedName>
    <definedName name="IQ_EBITDA_LOW_GUIDANCE_CIQ_COL" hidden="1">"c11271"</definedName>
    <definedName name="IQ_EBITDA_MARGIN" hidden="1">"c372"</definedName>
    <definedName name="IQ_EBITDA_MEDIAN_EST" hidden="1">"c1663"</definedName>
    <definedName name="IQ_EBITDA_MEDIAN_EST_CIQ" hidden="1">"c3623"</definedName>
    <definedName name="IQ_EBITDA_MEDIAN_EST_REUT" hidden="1">"c3641"</definedName>
    <definedName name="IQ_EBITDA_MEDIAN_EST_THOM" hidden="1">"c3659"</definedName>
    <definedName name="IQ_EBITDA_NUM_EST" hidden="1">"c374"</definedName>
    <definedName name="IQ_EBITDA_NUM_EST_CIQ" hidden="1">"c3626"</definedName>
    <definedName name="IQ_EBITDA_NUM_EST_REUT" hidden="1">"c3644"</definedName>
    <definedName name="IQ_EBITDA_NUM_EST_THOM" hidden="1">"c3662"</definedName>
    <definedName name="IQ_EBITDA_OVER_TOTAL_IE" localSheetId="7" hidden="1">"c1371"</definedName>
    <definedName name="IQ_EBITDA_OVER_TOTAL_IE" localSheetId="8" hidden="1">"c1371"</definedName>
    <definedName name="IQ_EBITDA_OVER_TOTAL_IE" hidden="1">"c1371"</definedName>
    <definedName name="IQ_EBITDA_SBC_ACT_OR_EST" hidden="1">"c4337"</definedName>
    <definedName name="IQ_EBITDA_SBC_ACT_OR_EST_CIQ" hidden="1">"c4862"</definedName>
    <definedName name="IQ_EBITDA_SBC_ACT_OR_EST_CIQ_COL" hidden="1">"c11509"</definedName>
    <definedName name="IQ_EBITDA_SBC_EST" hidden="1">"c4336"</definedName>
    <definedName name="IQ_EBITDA_SBC_GUIDANCE" hidden="1">"c4338"</definedName>
    <definedName name="IQ_EBITDA_SBC_GUIDANCE_CIQ" hidden="1">"c4863"</definedName>
    <definedName name="IQ_EBITDA_SBC_GUIDANCE_CIQ_COL" hidden="1">"c11510"</definedName>
    <definedName name="IQ_EBITDA_SBC_HIGH_EST" hidden="1">"c4339"</definedName>
    <definedName name="IQ_EBITDA_SBC_HIGH_GUIDANCE" hidden="1">"c4194"</definedName>
    <definedName name="IQ_EBITDA_SBC_HIGH_GUIDANCE_CIQ" hidden="1">"c4606"</definedName>
    <definedName name="IQ_EBITDA_SBC_HIGH_GUIDANCE_CIQ_COL" hidden="1">"c11255"</definedName>
    <definedName name="IQ_EBITDA_SBC_LOW_EST" hidden="1">"c4340"</definedName>
    <definedName name="IQ_EBITDA_SBC_LOW_GUIDANCE" hidden="1">"c4234"</definedName>
    <definedName name="IQ_EBITDA_SBC_LOW_GUIDANCE_CIQ" hidden="1">"c4646"</definedName>
    <definedName name="IQ_EBITDA_SBC_LOW_GUIDANCE_CIQ_COL" hidden="1">"c11295"</definedName>
    <definedName name="IQ_EBITDA_SBC_MEDIAN_EST" hidden="1">"c4341"</definedName>
    <definedName name="IQ_EBITDA_SBC_NUM_EST" hidden="1">"c4342"</definedName>
    <definedName name="IQ_EBITDA_SBC_STDDEV_EST" hidden="1">"c4343"</definedName>
    <definedName name="IQ_EBITDA_STDDEV_EST" hidden="1">"c375"</definedName>
    <definedName name="IQ_EBITDA_STDDEV_EST_CIQ" hidden="1">"c3627"</definedName>
    <definedName name="IQ_EBITDA_STDDEV_EST_REUT" hidden="1">"c3645"</definedName>
    <definedName name="IQ_EBITDA_STDDEV_EST_THOM" hidden="1">"c3663"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CM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CM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FIEC" hidden="1">"c13029"</definedName>
    <definedName name="IQ_EBT_FIN" hidden="1">"c386"</definedName>
    <definedName name="IQ_EBT_FTE_FFIEC" hidden="1">"c13037"</definedName>
    <definedName name="IQ_EBT_GAAP_GUIDANCE_CIQ" hidden="1">"c4870"</definedName>
    <definedName name="IQ_EBT_GAAP_GUIDANCE_CIQ_COL" hidden="1">"c11517"</definedName>
    <definedName name="IQ_EBT_GAAP_HIGH_GUIDANCE_CIQ" hidden="1">"c4586"</definedName>
    <definedName name="IQ_EBT_GAAP_HIGH_GUIDANCE_CIQ_COL" hidden="1">"c11235"</definedName>
    <definedName name="IQ_EBT_GAAP_LOW_GUIDANCE_CIQ" hidden="1">"c4626"</definedName>
    <definedName name="IQ_EBT_GAAP_LOW_GUIDANCE_CIQ_COL" hidden="1">"c11275"</definedName>
    <definedName name="IQ_EBT_GUIDANCE_CIQ" hidden="1">"c4871"</definedName>
    <definedName name="IQ_EBT_GUIDANCE_CIQ_COL" hidden="1">"c11518"</definedName>
    <definedName name="IQ_EBT_GW_GUIDANCE_CIQ" hidden="1">"c4872"</definedName>
    <definedName name="IQ_EBT_GW_GUIDANCE_CIQ_COL" hidden="1">"c11519"</definedName>
    <definedName name="IQ_EBT_GW_HIGH_GUIDANCE_CIQ" hidden="1">"c4587"</definedName>
    <definedName name="IQ_EBT_GW_HIGH_GUIDANCE_CIQ_COL" hidden="1">"c11236"</definedName>
    <definedName name="IQ_EBT_GW_LOW_GUIDANCE_CIQ" hidden="1">"c4627"</definedName>
    <definedName name="IQ_EBT_GW_LOW_GUIDANCE_CIQ_COL" hidden="1">"c11276"</definedName>
    <definedName name="IQ_EBT_HIGH_GUIDANCE_CIQ" hidden="1">"c4585"</definedName>
    <definedName name="IQ_EBT_HIGH_GUIDANCE_CIQ_COL" hidden="1">"c11234"</definedName>
    <definedName name="IQ_EBT_HOMEBUILDING_SALES" hidden="1">"c15816"</definedName>
    <definedName name="IQ_EBT_INCL_MARGIN" hidden="1">"c387"</definedName>
    <definedName name="IQ_EBT_INS" hidden="1">"c388"</definedName>
    <definedName name="IQ_EBT_LOW_GUIDANCE_CIQ" hidden="1">"c4625"</definedName>
    <definedName name="IQ_EBT_LOW_GUIDANCE_CIQ_COL" hidden="1">"c11274"</definedName>
    <definedName name="IQ_EBT_RE" hidden="1">"c6215"</definedName>
    <definedName name="IQ_EBT_REIT" hidden="1">"c389"</definedName>
    <definedName name="IQ_EBT_SBC_ACT_OR_EST" hidden="1">"c4350"</definedName>
    <definedName name="IQ_EBT_SBC_ACT_OR_EST_CIQ" hidden="1">"c4875"</definedName>
    <definedName name="IQ_EBT_SBC_ACT_OR_EST_CIQ_COL" hidden="1">"c11522"</definedName>
    <definedName name="IQ_EBT_SBC_EST" hidden="1">"c4349"</definedName>
    <definedName name="IQ_EBT_SBC_GUIDANCE" hidden="1">"c4351"</definedName>
    <definedName name="IQ_EBT_SBC_GUIDANCE_CIQ" hidden="1">"c4876"</definedName>
    <definedName name="IQ_EBT_SBC_GUIDANCE_CIQ_COL" hidden="1">"c11523"</definedName>
    <definedName name="IQ_EBT_SBC_GW_ACT_OR_EST" hidden="1">"c4354"</definedName>
    <definedName name="IQ_EBT_SBC_GW_ACT_OR_EST_CIQ" hidden="1">"c4879"</definedName>
    <definedName name="IQ_EBT_SBC_GW_ACT_OR_EST_CIQ_COL" hidden="1">"c11526"</definedName>
    <definedName name="IQ_EBT_SBC_GW_EST" hidden="1">"c4353"</definedName>
    <definedName name="IQ_EBT_SBC_GW_GUIDANCE" hidden="1">"c4355"</definedName>
    <definedName name="IQ_EBT_SBC_GW_GUIDANCE_CIQ" hidden="1">"c4880"</definedName>
    <definedName name="IQ_EBT_SBC_GW_GUIDANCE_CIQ_COL" hidden="1">"c11527"</definedName>
    <definedName name="IQ_EBT_SBC_GW_HIGH_EST" hidden="1">"c4356"</definedName>
    <definedName name="IQ_EBT_SBC_GW_HIGH_GUIDANCE" hidden="1">"c4191"</definedName>
    <definedName name="IQ_EBT_SBC_GW_HIGH_GUIDANCE_CIQ" hidden="1">"c4603"</definedName>
    <definedName name="IQ_EBT_SBC_GW_HIGH_GUIDANCE_CIQ_COL" hidden="1">"c11252"</definedName>
    <definedName name="IQ_EBT_SBC_GW_LOW_EST" hidden="1">"c4357"</definedName>
    <definedName name="IQ_EBT_SBC_GW_LOW_GUIDANCE" hidden="1">"c4231"</definedName>
    <definedName name="IQ_EBT_SBC_GW_LOW_GUIDANCE_CIQ" hidden="1">"c4643"</definedName>
    <definedName name="IQ_EBT_SBC_GW_LOW_GUIDANCE_CIQ_COL" hidden="1">"c11292"</definedName>
    <definedName name="IQ_EBT_SBC_GW_MEDIAN_EST" hidden="1">"c4358"</definedName>
    <definedName name="IQ_EBT_SBC_GW_NUM_EST" hidden="1">"c4359"</definedName>
    <definedName name="IQ_EBT_SBC_GW_STDDEV_EST" hidden="1">"c4360"</definedName>
    <definedName name="IQ_EBT_SBC_HIGH_EST" hidden="1">"c4362"</definedName>
    <definedName name="IQ_EBT_SBC_HIGH_GUIDANCE" hidden="1">"c4190"</definedName>
    <definedName name="IQ_EBT_SBC_HIGH_GUIDANCE_CIQ" hidden="1">"c4602"</definedName>
    <definedName name="IQ_EBT_SBC_HIGH_GUIDANCE_CIQ_COL" hidden="1">"c11251"</definedName>
    <definedName name="IQ_EBT_SBC_LOW_EST" hidden="1">"c4363"</definedName>
    <definedName name="IQ_EBT_SBC_LOW_GUIDANCE" hidden="1">"c4230"</definedName>
    <definedName name="IQ_EBT_SBC_LOW_GUIDANCE_CIQ" hidden="1">"c4642"</definedName>
    <definedName name="IQ_EBT_SBC_LOW_GUIDANCE_CIQ_COL" hidden="1">"c11291"</definedName>
    <definedName name="IQ_EBT_SBC_MEDIAN_EST" hidden="1">"c4364"</definedName>
    <definedName name="IQ_EBT_SBC_NUM_EST" hidden="1">"c4365"</definedName>
    <definedName name="IQ_EBT_SBC_STDDEV_EST" hidden="1">"c4366"</definedName>
    <definedName name="IQ_EBT_SUBTOTAL_AP" hidden="1">"c8982"</definedName>
    <definedName name="IQ_EBT_THRIFT" hidden="1">"c24794"</definedName>
    <definedName name="IQ_EBT_UTI" hidden="1">"c390"</definedName>
    <definedName name="IQ_ECO_METRIC_6825_UNUSED" hidden="1">"c6825"</definedName>
    <definedName name="IQ_ECO_METRIC_6825_UNUSED_UNUSED_UNUSED" hidden="1">"c6825"</definedName>
    <definedName name="IQ_ECO_METRIC_6839_UNUSED" hidden="1">"c6839"</definedName>
    <definedName name="IQ_ECO_METRIC_6839_UNUSED_UNUSED_UNUSED" hidden="1">"c6839"</definedName>
    <definedName name="IQ_ECO_METRIC_6896_UNUSED" hidden="1">"c6896"</definedName>
    <definedName name="IQ_ECO_METRIC_6896_UNUSED_UNUSED_UNUSED" hidden="1">"c6896"</definedName>
    <definedName name="IQ_ECO_METRIC_6897_UNUSED" hidden="1">"c6897"</definedName>
    <definedName name="IQ_ECO_METRIC_6897_UNUSED_UNUSED_UNUSED" hidden="1">"c6897"</definedName>
    <definedName name="IQ_ECO_METRIC_6927" hidden="1">"c6927"</definedName>
    <definedName name="IQ_ECO_METRIC_6988_UNUSED" hidden="1">"c6988"</definedName>
    <definedName name="IQ_ECO_METRIC_6988_UNUSED_UNUSED_UNUSED" hidden="1">"c6988"</definedName>
    <definedName name="IQ_ECO_METRIC_7045_UNUSED" hidden="1">"c7045"</definedName>
    <definedName name="IQ_ECO_METRIC_7045_UNUSED_UNUSED_UNUSED" hidden="1">"c7045"</definedName>
    <definedName name="IQ_ECO_METRIC_7059_UNUSED" hidden="1">"c7059"</definedName>
    <definedName name="IQ_ECO_METRIC_7059_UNUSED_UNUSED_UNUSED" hidden="1">"c7059"</definedName>
    <definedName name="IQ_ECO_METRIC_7116_UNUSED" hidden="1">"c7116"</definedName>
    <definedName name="IQ_ECO_METRIC_7116_UNUSED_UNUSED_UNUSED" hidden="1">"c7116"</definedName>
    <definedName name="IQ_ECO_METRIC_7117_UNUSED" hidden="1">"c7117"</definedName>
    <definedName name="IQ_ECO_METRIC_7117_UNUSED_UNUSED_UNUSED" hidden="1">"c7117"</definedName>
    <definedName name="IQ_ECO_METRIC_7147" hidden="1">"c7147"</definedName>
    <definedName name="IQ_ECO_METRIC_7208_UNUSED" hidden="1">"c7208"</definedName>
    <definedName name="IQ_ECO_METRIC_7208_UNUSED_UNUSED_UNUSED" hidden="1">"c7208"</definedName>
    <definedName name="IQ_ECO_METRIC_7265_UNUSED" hidden="1">"c7265"</definedName>
    <definedName name="IQ_ECO_METRIC_7265_UNUSED_UNUSED_UNUSED" hidden="1">"c7265"</definedName>
    <definedName name="IQ_ECO_METRIC_7279_UNUSED" hidden="1">"c7279"</definedName>
    <definedName name="IQ_ECO_METRIC_7279_UNUSED_UNUSED_UNUSED" hidden="1">"c7279"</definedName>
    <definedName name="IQ_ECO_METRIC_7336_UNUSED" hidden="1">"c7336"</definedName>
    <definedName name="IQ_ECO_METRIC_7336_UNUSED_UNUSED_UNUSED" hidden="1">"c7336"</definedName>
    <definedName name="IQ_ECO_METRIC_7337_UNUSED" hidden="1">"c7337"</definedName>
    <definedName name="IQ_ECO_METRIC_7337_UNUSED_UNUSED_UNUSED" hidden="1">"c7337"</definedName>
    <definedName name="IQ_ECO_METRIC_7367" hidden="1">"c7367"</definedName>
    <definedName name="IQ_ECO_METRIC_7428_UNUSED" hidden="1">"c7428"</definedName>
    <definedName name="IQ_ECO_METRIC_7428_UNUSED_UNUSED_UNUSED" hidden="1">"c7428"</definedName>
    <definedName name="IQ_ECO_METRIC_7556_UNUSED" hidden="1">"c7556"</definedName>
    <definedName name="IQ_ECO_METRIC_7556_UNUSED_UNUSED_UNUSED" hidden="1">"c7556"</definedName>
    <definedName name="IQ_ECO_METRIC_7557_UNUSED" hidden="1">"c7557"</definedName>
    <definedName name="IQ_ECO_METRIC_7557_UNUSED_UNUSED_UNUSED" hidden="1">"c7557"</definedName>
    <definedName name="IQ_ECO_METRIC_7587" hidden="1">"c7587"</definedName>
    <definedName name="IQ_ECO_METRIC_7648_UNUSED" hidden="1">"c7648"</definedName>
    <definedName name="IQ_ECO_METRIC_7648_UNUSED_UNUSED_UNUSED" hidden="1">"c7648"</definedName>
    <definedName name="IQ_ECO_METRIC_7704" hidden="1">"c7704"</definedName>
    <definedName name="IQ_ECO_METRIC_7705_UNUSED" hidden="1">"c7705"</definedName>
    <definedName name="IQ_ECO_METRIC_7705_UNUSED_UNUSED_UNUSED" hidden="1">"c7705"</definedName>
    <definedName name="IQ_ECO_METRIC_7706" hidden="1">"c7706"</definedName>
    <definedName name="IQ_ECO_METRIC_7718" hidden="1">"c7718"</definedName>
    <definedName name="IQ_ECO_METRIC_7719_UNUSED" hidden="1">"c7719"</definedName>
    <definedName name="IQ_ECO_METRIC_7719_UNUSED_UNUSED_UNUSED" hidden="1">"c7719"</definedName>
    <definedName name="IQ_ECO_METRIC_7776_UNUSED" hidden="1">"c7776"</definedName>
    <definedName name="IQ_ECO_METRIC_7776_UNUSED_UNUSED_UNUSED" hidden="1">"c7776"</definedName>
    <definedName name="IQ_ECO_METRIC_7777_UNUSED" hidden="1">"c7777"</definedName>
    <definedName name="IQ_ECO_METRIC_7777_UNUSED_UNUSED_UNUSED" hidden="1">"c7777"</definedName>
    <definedName name="IQ_ECO_METRIC_7807" hidden="1">"c7807"</definedName>
    <definedName name="IQ_ECO_METRIC_7811" hidden="1">"c7811"</definedName>
    <definedName name="IQ_ECO_METRIC_7868_UNUSED" hidden="1">"c7868"</definedName>
    <definedName name="IQ_ECO_METRIC_7868_UNUSED_UNUSED_UNUSED" hidden="1">"c7868"</definedName>
    <definedName name="IQ_ECO_METRIC_7873" hidden="1">"c7873"</definedName>
    <definedName name="IQ_ECO_METRIC_7924" hidden="1">"c7924"</definedName>
    <definedName name="IQ_ECO_METRIC_7925_UNUSED" hidden="1">"c7925"</definedName>
    <definedName name="IQ_ECO_METRIC_7925_UNUSED_UNUSED_UNUSED" hidden="1">"c7925"</definedName>
    <definedName name="IQ_ECO_METRIC_7926" hidden="1">"c7926"</definedName>
    <definedName name="IQ_ECO_METRIC_7938" hidden="1">"c7938"</definedName>
    <definedName name="IQ_ECO_METRIC_7939_UNUSED" hidden="1">"c7939"</definedName>
    <definedName name="IQ_ECO_METRIC_7939_UNUSED_UNUSED_UNUSED" hidden="1">"c7939"</definedName>
    <definedName name="IQ_ECO_METRIC_7996_UNUSED" hidden="1">"c7996"</definedName>
    <definedName name="IQ_ECO_METRIC_7996_UNUSED_UNUSED_UNUSED" hidden="1">"c7996"</definedName>
    <definedName name="IQ_ECO_METRIC_7997_UNUSED" hidden="1">"c7997"</definedName>
    <definedName name="IQ_ECO_METRIC_7997_UNUSED_UNUSED_UNUSED" hidden="1">"c7997"</definedName>
    <definedName name="IQ_ECO_METRIC_8027" hidden="1">"c8027"</definedName>
    <definedName name="IQ_ECO_METRIC_8031" hidden="1">"c8031"</definedName>
    <definedName name="IQ_ECO_METRIC_8088_UNUSED" hidden="1">"c8088"</definedName>
    <definedName name="IQ_ECO_METRIC_8088_UNUSED_UNUSED_UNUSED" hidden="1">"c8088"</definedName>
    <definedName name="IQ_ECO_METRIC_8093" hidden="1">"c8093"</definedName>
    <definedName name="IQ_ECO_METRIC_8144" hidden="1">"c8144"</definedName>
    <definedName name="IQ_ECO_METRIC_8145_UNUSED" hidden="1">"c8145"</definedName>
    <definedName name="IQ_ECO_METRIC_8145_UNUSED_UNUSED_UNUSED" hidden="1">"c8145"</definedName>
    <definedName name="IQ_ECO_METRIC_8146" hidden="1">"c8146"</definedName>
    <definedName name="IQ_ECO_METRIC_8158" hidden="1">"c8158"</definedName>
    <definedName name="IQ_ECO_METRIC_8159_UNUSED" hidden="1">"c8159"</definedName>
    <definedName name="IQ_ECO_METRIC_8159_UNUSED_UNUSED_UNUSED" hidden="1">"c8159"</definedName>
    <definedName name="IQ_ECO_METRIC_8216_UNUSED" hidden="1">"c8216"</definedName>
    <definedName name="IQ_ECO_METRIC_8216_UNUSED_UNUSED_UNUSED" hidden="1">"c8216"</definedName>
    <definedName name="IQ_ECO_METRIC_8217_UNUSED" hidden="1">"c8217"</definedName>
    <definedName name="IQ_ECO_METRIC_8217_UNUSED_UNUSED_UNUSED" hidden="1">"c8217"</definedName>
    <definedName name="IQ_ECO_METRIC_8247" hidden="1">"c8247"</definedName>
    <definedName name="IQ_ECO_METRIC_8251" hidden="1">"c8251"</definedName>
    <definedName name="IQ_ECO_METRIC_8308_UNUSED" hidden="1">"c8308"</definedName>
    <definedName name="IQ_ECO_METRIC_8308_UNUSED_UNUSED_UNUSED" hidden="1">"c8308"</definedName>
    <definedName name="IQ_ECO_METRIC_8313" hidden="1">"c8313"</definedName>
    <definedName name="IQ_ECO_METRIC_8366" hidden="1">"c8366"</definedName>
    <definedName name="IQ_ECO_METRIC_8378" hidden="1">"c8378"</definedName>
    <definedName name="IQ_ECO_METRIC_8436_UNUSED" hidden="1">"c8436"</definedName>
    <definedName name="IQ_ECO_METRIC_8436_UNUSED_UNUSED_UNUSED" hidden="1">"c8436"</definedName>
    <definedName name="IQ_ECO_METRIC_8437_UNUSED" hidden="1">"c8437"</definedName>
    <definedName name="IQ_ECO_METRIC_8437_UNUSED_UNUSED_UNUSED" hidden="1">"c8437"</definedName>
    <definedName name="IQ_ECO_METRIC_8467" hidden="1">"c8467"</definedName>
    <definedName name="IQ_ECO_METRIC_8471" hidden="1">"c8471"</definedName>
    <definedName name="IQ_ECO_METRIC_8528_UNUSED" hidden="1">"c8528"</definedName>
    <definedName name="IQ_ECO_METRIC_8528_UNUSED_UNUSED_UNUSED" hidden="1">"c8528"</definedName>
    <definedName name="IQ_ECO_METRIC_8533" hidden="1">"c8533"</definedName>
    <definedName name="IQ_ECS_AUTHORIZED_SHARES" hidden="1">"c5583"</definedName>
    <definedName name="IQ_ECS_AUTHORIZED_SHARES_ABS" hidden="1">"c5597"</definedName>
    <definedName name="IQ_ECS_AUTHORIZED_SHARES_OTHER" hidden="1">"c15613"</definedName>
    <definedName name="IQ_ECS_AUTHORIZED_SHARES_OTHER_ABS" hidden="1">"c15630"</definedName>
    <definedName name="IQ_ECS_CONVERT_FACTOR" hidden="1">"c5581"</definedName>
    <definedName name="IQ_ECS_CONVERT_FACTOR_ABS" hidden="1">"c5595"</definedName>
    <definedName name="IQ_ECS_CONVERT_FACTOR_OTHER" hidden="1">"c15611"</definedName>
    <definedName name="IQ_ECS_CONVERT_FACTOR_OTHER_ABS" hidden="1">"c15628"</definedName>
    <definedName name="IQ_ECS_CONVERT_INTO" hidden="1">"c5580"</definedName>
    <definedName name="IQ_ECS_CONVERT_INTO_ABS" hidden="1">"c5594"</definedName>
    <definedName name="IQ_ECS_CONVERT_INTO_OTHER" hidden="1">"c15610"</definedName>
    <definedName name="IQ_ECS_CONVERT_INTO_OTHER_ABS" hidden="1">"c15627"</definedName>
    <definedName name="IQ_ECS_CONVERT_PRIMARY_FACTOR" hidden="1">"c15592"</definedName>
    <definedName name="IQ_ECS_CONVERT_PRIMARY_FACTOR_ABS" hidden="1">"c15596"</definedName>
    <definedName name="IQ_ECS_CONVERT_TYPE" hidden="1">"c5579"</definedName>
    <definedName name="IQ_ECS_CONVERT_TYPE_ABS" hidden="1">"c5593"</definedName>
    <definedName name="IQ_ECS_CONVERT_TYPE_OTHER" hidden="1">"c15609"</definedName>
    <definedName name="IQ_ECS_CONVERT_TYPE_OTHER_ABS" hidden="1">"c15626"</definedName>
    <definedName name="IQ_ECS_INACTIVE_DATE" hidden="1">"c5576"</definedName>
    <definedName name="IQ_ECS_INACTIVE_DATE_ABS" hidden="1">"c5590"</definedName>
    <definedName name="IQ_ECS_INACTIVE_DATE_OTHER" hidden="1">"c15606"</definedName>
    <definedName name="IQ_ECS_INACTIVE_DATE_OTHER_ABS" hidden="1">"c15623"</definedName>
    <definedName name="IQ_ECS_NAME" hidden="1">"c5571"</definedName>
    <definedName name="IQ_ECS_NAME_ABS" hidden="1">"c5585"</definedName>
    <definedName name="IQ_ECS_NAME_OTHER" hidden="1">"c15599"</definedName>
    <definedName name="IQ_ECS_NAME_OTHER_ABS" hidden="1">"c15616"</definedName>
    <definedName name="IQ_ECS_NUM_SHAREHOLDERS" hidden="1">"c16242"</definedName>
    <definedName name="IQ_ECS_NUM_SHAREHOLDERS_ABS" hidden="1">"c16243"</definedName>
    <definedName name="IQ_ECS_NUM_SHAREHOLDERS_BENEFICIAL_BS_DATE" hidden="1">"c16234"</definedName>
    <definedName name="IQ_ECS_NUM_SHAREHOLDERS_BENEFICIAL_BS_DATE_ABS" hidden="1">"c16235"</definedName>
    <definedName name="IQ_ECS_NUM_SHAREHOLDERS_BENEFICIAL_BS_DATE_OTHER" hidden="1">"c16236"</definedName>
    <definedName name="IQ_ECS_NUM_SHAREHOLDERS_BENEFICIAL_BS_DATE_OTHER_ABS" hidden="1">"c16237"</definedName>
    <definedName name="IQ_ECS_NUM_SHAREHOLDERS_BENEFICIAL_FILING_DATE" hidden="1">"c16230"</definedName>
    <definedName name="IQ_ECS_NUM_SHAREHOLDERS_BENEFICIAL_FILING_DATE_ABS" hidden="1">"c16231"</definedName>
    <definedName name="IQ_ECS_NUM_SHAREHOLDERS_BENEFICIAL_FILING_DATE_OTHER" hidden="1">"c16232"</definedName>
    <definedName name="IQ_ECS_NUM_SHAREHOLDERS_BENEFICIAL_FILING_DATE_OTHER_ABS" hidden="1">"c16233"</definedName>
    <definedName name="IQ_ECS_NUM_SHAREHOLDERS_BS_DATE" hidden="1">"c16238"</definedName>
    <definedName name="IQ_ECS_NUM_SHAREHOLDERS_BS_DATE_ABS" hidden="1">"c16239"</definedName>
    <definedName name="IQ_ECS_NUM_SHAREHOLDERS_BS_DATE_OTHER" hidden="1">"c16240"</definedName>
    <definedName name="IQ_ECS_NUM_SHAREHOLDERS_BS_DATE_OTHER_ABS" hidden="1">"c16241"</definedName>
    <definedName name="IQ_ECS_NUM_SHAREHOLDERS_FILING_DATE" hidden="1">"c5584"</definedName>
    <definedName name="IQ_ECS_NUM_SHAREHOLDERS_FILING_DATE_ABS" hidden="1">"c5598"</definedName>
    <definedName name="IQ_ECS_NUM_SHAREHOLDERS_FILING_DATE_OTHER" hidden="1">"c15615"</definedName>
    <definedName name="IQ_ECS_NUM_SHAREHOLDERS_FILING_DATE_OTHER_ABS" hidden="1">"c15632"</definedName>
    <definedName name="IQ_ECS_NUM_SHAREHOLDERS_OTHER" hidden="1">"c16244"</definedName>
    <definedName name="IQ_ECS_NUM_SHAREHOLDERS_OTHER_ABS" hidden="1">"c16245"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PAR_VALUE_CURRENCY_OTHER" hidden="1">"c15608"</definedName>
    <definedName name="IQ_ECS_PAR_VALUE_CURRENCY_OTHER_ABS" hidden="1">"c15625"</definedName>
    <definedName name="IQ_ECS_PAR_VALUE_OTHER" hidden="1">"c15607"</definedName>
    <definedName name="IQ_ECS_PAR_VALUE_OTHER_ABS" hidden="1">"c15624"</definedName>
    <definedName name="IQ_ECS_PARTICIPATE_FLAG" hidden="1">"c15591"</definedName>
    <definedName name="IQ_ECS_PARTICIPATE_FLAG_ABS" hidden="1">"c15595"</definedName>
    <definedName name="IQ_ECS_PARTICIPATE_FLAG_OTHER" hidden="1">"c15614"</definedName>
    <definedName name="IQ_ECS_PARTICIPATE_FLAG_OTHER_ABS" hidden="1">"c15631"</definedName>
    <definedName name="IQ_ECS_SHARES_OUT_BS_DATE" hidden="1">"c5572"</definedName>
    <definedName name="IQ_ECS_SHARES_OUT_BS_DATE_ABS" hidden="1">"c5586"</definedName>
    <definedName name="IQ_ECS_SHARES_OUT_BS_DATE_OTHER" hidden="1">"c15600"</definedName>
    <definedName name="IQ_ECS_SHARES_OUT_BS_DATE_OTHER_ABS" hidden="1">"c15617"</definedName>
    <definedName name="IQ_ECS_SHARES_OUT_FILING_DATE" hidden="1">"c5573"</definedName>
    <definedName name="IQ_ECS_SHARES_OUT_FILING_DATE_ABS" hidden="1">"c5587"</definedName>
    <definedName name="IQ_ECS_SHARES_OUT_FILING_DATE_OTHER" hidden="1">"c15601"</definedName>
    <definedName name="IQ_ECS_SHARES_OUT_FILING_DATE_OTHER_ABS" hidden="1">"c15618"</definedName>
    <definedName name="IQ_ECS_START_DATE" hidden="1">"c5575"</definedName>
    <definedName name="IQ_ECS_START_DATE_ABS" hidden="1">"c5589"</definedName>
    <definedName name="IQ_ECS_START_DATE_OTHER" hidden="1">"c15605"</definedName>
    <definedName name="IQ_ECS_START_DATE_OTHER_ABS" hidden="1">"c15622"</definedName>
    <definedName name="IQ_ECS_TICKER" hidden="1">"c15594"</definedName>
    <definedName name="IQ_ECS_TICKER_ABS" hidden="1">"c15598"</definedName>
    <definedName name="IQ_ECS_TICKER_OTHER" hidden="1">"c15603"</definedName>
    <definedName name="IQ_ECS_TICKER_OTHER_ABS" hidden="1">"c15620"</definedName>
    <definedName name="IQ_ECS_TRADING_ITEM_CIQID" hidden="1">"c15593"</definedName>
    <definedName name="IQ_ECS_TRADING_ITEM_CIQID_ABS" hidden="1">"c15597"</definedName>
    <definedName name="IQ_ECS_TRADING_ITEM_CIQID_OTHER" hidden="1">"c15602"</definedName>
    <definedName name="IQ_ECS_TRADING_ITEM_CIQID_OTHER_ABS" hidden="1">"c15619"</definedName>
    <definedName name="IQ_ECS_TYPE" hidden="1">"c5574"</definedName>
    <definedName name="IQ_ECS_TYPE_ABS" hidden="1">"c5588"</definedName>
    <definedName name="IQ_ECS_TYPE_OTHER" hidden="1">"c15604"</definedName>
    <definedName name="IQ_ECS_TYPE_OTHER_ABS" hidden="1">"c15621"</definedName>
    <definedName name="IQ_ECS_VOTING" hidden="1">"c5582"</definedName>
    <definedName name="IQ_ECS_VOTING_ABS" hidden="1">"c5596"</definedName>
    <definedName name="IQ_ECS_VOTING_OTHER" hidden="1">"c15612"</definedName>
    <definedName name="IQ_ECS_VOTING_OTHER_ABS" hidden="1">"c15629"</definedName>
    <definedName name="IQ_EDUCATION_LOANS_THRIFT" hidden="1">"c24861"</definedName>
    <definedName name="IQ_EFFECT_SPECIAL_CHARGE" hidden="1">"c1595"</definedName>
    <definedName name="IQ_EFFECT_TAX_RATE" hidden="1">"c1899"</definedName>
    <definedName name="IQ_EFFECTIVE_DATE" hidden="1">"c8966"</definedName>
    <definedName name="IQ_EFFICIENCY_RATIO" hidden="1">"c391"</definedName>
    <definedName name="IQ_EFFICIENCY_RATIO_FDIC" hidden="1">"c6736"</definedName>
    <definedName name="IQ_ELIMINATIONS_CONSOL_OFFICES_FOREIGN_FFIEC" hidden="1">"c15395"</definedName>
    <definedName name="IQ_EMBEDDED_VAL_COVERED" hidden="1">"c9962"</definedName>
    <definedName name="IQ_EMBEDDED_VAL_COVERED_BEG" hidden="1">"c9957"</definedName>
    <definedName name="IQ_EMBEDDED_VAL_GROUP" hidden="1">"c9948"</definedName>
    <definedName name="IQ_EMBEDDED_VAL_GROUP_BEG" hidden="1">"c9943"</definedName>
    <definedName name="IQ_EMPLOY_COST_INDEX_BENEFITS" hidden="1">"c6857"</definedName>
    <definedName name="IQ_EMPLOY_COST_INDEX_BENEFITS_APR" hidden="1">"c7517"</definedName>
    <definedName name="IQ_EMPLOY_COST_INDEX_BENEFITS_APR_FC" hidden="1">"c8397"</definedName>
    <definedName name="IQ_EMPLOY_COST_INDEX_BENEFITS_FC" hidden="1">"c7737"</definedName>
    <definedName name="IQ_EMPLOY_COST_INDEX_BENEFITS_POP" hidden="1">"c7077"</definedName>
    <definedName name="IQ_EMPLOY_COST_INDEX_BENEFITS_POP_FC" hidden="1">"c7957"</definedName>
    <definedName name="IQ_EMPLOY_COST_INDEX_BENEFITS_YOY" hidden="1">"c7297"</definedName>
    <definedName name="IQ_EMPLOY_COST_INDEX_BENEFITS_YOY_FC" hidden="1">"c8177"</definedName>
    <definedName name="IQ_EMPLOY_COST_INDEX_COMP" hidden="1">"c6856"</definedName>
    <definedName name="IQ_EMPLOY_COST_INDEX_COMP_APR" hidden="1">"c7516"</definedName>
    <definedName name="IQ_EMPLOY_COST_INDEX_COMP_APR_FC" hidden="1">"c8396"</definedName>
    <definedName name="IQ_EMPLOY_COST_INDEX_COMP_FC" hidden="1">"c7736"</definedName>
    <definedName name="IQ_EMPLOY_COST_INDEX_COMP_POP" hidden="1">"c7076"</definedName>
    <definedName name="IQ_EMPLOY_COST_INDEX_COMP_POP_FC" hidden="1">"c7956"</definedName>
    <definedName name="IQ_EMPLOY_COST_INDEX_COMP_YOY" hidden="1">"c7296"</definedName>
    <definedName name="IQ_EMPLOY_COST_INDEX_COMP_YOY_FC" hidden="1">"c8176"</definedName>
    <definedName name="IQ_EMPLOY_COST_INDEX_WAGE_SALARY" hidden="1">"c6858"</definedName>
    <definedName name="IQ_EMPLOY_COST_INDEX_WAGE_SALARY_APR" hidden="1">"c7518"</definedName>
    <definedName name="IQ_EMPLOY_COST_INDEX_WAGE_SALARY_APR_FC" hidden="1">"c8398"</definedName>
    <definedName name="IQ_EMPLOY_COST_INDEX_WAGE_SALARY_FC" hidden="1">"c7738"</definedName>
    <definedName name="IQ_EMPLOY_COST_INDEX_WAGE_SALARY_POP" hidden="1">"c7078"</definedName>
    <definedName name="IQ_EMPLOY_COST_INDEX_WAGE_SALARY_POP_FC" hidden="1">"c7958"</definedName>
    <definedName name="IQ_EMPLOY_COST_INDEX_WAGE_SALARY_YOY" hidden="1">"c7298"</definedName>
    <definedName name="IQ_EMPLOY_COST_INDEX_WAGE_SALARY_YOY_FC" hidden="1">"c8178"</definedName>
    <definedName name="IQ_EMPLOYEES" hidden="1">"c392"</definedName>
    <definedName name="IQ_EMPLOYEES_FFIEC" hidden="1">"c13035"</definedName>
    <definedName name="IQ_EMPLOYEES_UNDER_UNION_CONTRACTS" hidden="1">"c16109"</definedName>
    <definedName name="IQ_EMPLOYMENT_YOY" hidden="1">"c20643"</definedName>
    <definedName name="IQ_ENDING_BALANCE_GVA_THRIFT" hidden="1">"c25097"</definedName>
    <definedName name="IQ_ENDING_BALANCE_SVA_THRIFT" hidden="1">"c25104"</definedName>
    <definedName name="IQ_ENDING_BALANCE_TVA_THRIFT" hidden="1">"c25111"</definedName>
    <definedName name="IQ_ENERGY_CRUDE_STOCK" hidden="1">"c20644"</definedName>
    <definedName name="IQ_ENERGY_FUEL_OIL_STOCK" hidden="1">"c20645"</definedName>
    <definedName name="IQ_ENERGY_GASOLINE_AVERAGE" hidden="1">"c20646"</definedName>
    <definedName name="IQ_ENERGY_GASOLINE_STOCK" hidden="1">"c20647"</definedName>
    <definedName name="IQ_ENERGY_PROPANE_STOCK" hidden="1">"c20648"</definedName>
    <definedName name="IQ_ENERGY_WTI_SPOT" hidden="1">"c20649"</definedName>
    <definedName name="IQ_ENTERPRISE_VALUE" localSheetId="7" hidden="1">"c1348"</definedName>
    <definedName name="IQ_ENTERPRISE_VALUE" localSheetId="8" hidden="1">"c1348"</definedName>
    <definedName name="IQ_ENTERPRISE_VALUE" hidden="1">"c1348"</definedName>
    <definedName name="IQ_ENTITLEMENT_DET_EST" hidden="1">"c12044"</definedName>
    <definedName name="IQ_ENTITLEMENT_DET_EST_THOM" hidden="1">"c12072"</definedName>
    <definedName name="IQ_ENTREPRENEURAL_PROPERTY_INC" hidden="1">"c6859"</definedName>
    <definedName name="IQ_ENTREPRENEURAL_PROPERTY_INC_APR" hidden="1">"c7519"</definedName>
    <definedName name="IQ_ENTREPRENEURAL_PROPERTY_INC_APR_FC" hidden="1">"c8399"</definedName>
    <definedName name="IQ_ENTREPRENEURAL_PROPERTY_INC_FC" hidden="1">"c7739"</definedName>
    <definedName name="IQ_ENTREPRENEURAL_PROPERTY_INC_POP" hidden="1">"c7079"</definedName>
    <definedName name="IQ_ENTREPRENEURAL_PROPERTY_INC_POP_FC" hidden="1">"c7959"</definedName>
    <definedName name="IQ_ENTREPRENEURAL_PROPERTY_INC_YOY" hidden="1">"c7299"</definedName>
    <definedName name="IQ_ENTREPRENEURAL_PROPERTY_INC_YOY_FC" hidden="1">"c8179"</definedName>
    <definedName name="IQ_EPS" hidden="1">"IQ_EPS"</definedName>
    <definedName name="IQ_EPS_10K" hidden="1">"IQ_EPS_10K"</definedName>
    <definedName name="IQ_EPS_10Q" hidden="1">"IQ_EPS_10Q"</definedName>
    <definedName name="IQ_EPS_10Q1" hidden="1">"IQ_EPS_10Q1"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ACT_OR_EST" hidden="1">"c2213"</definedName>
    <definedName name="IQ_EPS_ACT_OR_EST_CIQ" hidden="1">"c5058"</definedName>
    <definedName name="IQ_EPS_ACT_OR_EST_CIQ_COL" hidden="1">"c11705"</definedName>
    <definedName name="IQ_EPS_ACT_OR_EST_REUT" hidden="1">"c5460"</definedName>
    <definedName name="IQ_EPS_ACT_OR_EST_THOM" hidden="1">"c5298"</definedName>
    <definedName name="IQ_EPS_AP" hidden="1">"c8880"</definedName>
    <definedName name="IQ_EPS_AP_ABS" hidden="1">"c8899"</definedName>
    <definedName name="IQ_EPS_DET_EST" hidden="1">"c13571"</definedName>
    <definedName name="IQ_EPS_DET_EST_CURRENCY" hidden="1">"c13583"</definedName>
    <definedName name="IQ_EPS_DET_EST_CURRENCY_THOM" hidden="1">"c12484"</definedName>
    <definedName name="IQ_EPS_DET_EST_DATE" hidden="1">"c13575"</definedName>
    <definedName name="IQ_EPS_DET_EST_DATE_THOM" hidden="1">"c12235"</definedName>
    <definedName name="IQ_EPS_DET_EST_INCL" hidden="1">"c13587"</definedName>
    <definedName name="IQ_EPS_DET_EST_INCL_THOM" hidden="1">"c12367"</definedName>
    <definedName name="IQ_EPS_DET_EST_ORIGIN" hidden="1">"c13579"</definedName>
    <definedName name="IQ_EPS_DET_EST_ORIGIN_THOM" hidden="1">"c12605"</definedName>
    <definedName name="IQ_EPS_DET_EST_THOM" hidden="1">"c12085"</definedName>
    <definedName name="IQ_EPS_EST" hidden="1">"c399"</definedName>
    <definedName name="IQ_EPS_EST_1" hidden="1">"IQ_EPS_EST_1"</definedName>
    <definedName name="IQ_EPS_EST_BOTTOM_UP" hidden="1">"c5489"</definedName>
    <definedName name="IQ_EPS_EST_BOTTOM_UP_CIQ" hidden="1">"c12026"</definedName>
    <definedName name="IQ_EPS_EST_BOTTOM_UP_REUT" hidden="1">"c5497"</definedName>
    <definedName name="IQ_EPS_EST_BOTTOM_UP_THOM" hidden="1">"c5647"</definedName>
    <definedName name="IQ_EPS_EST_CIQ" hidden="1">"c4994"</definedName>
    <definedName name="IQ_EPS_EST_DOWN_2MONTH" hidden="1">"c16309"</definedName>
    <definedName name="IQ_EPS_EST_DOWN_2MONTH_CIQ" hidden="1">"c16633"</definedName>
    <definedName name="IQ_EPS_EST_DOWN_3MONTH" hidden="1">"c16313"</definedName>
    <definedName name="IQ_EPS_EST_DOWN_3MONTH_CIQ" hidden="1">"c16637"</definedName>
    <definedName name="IQ_EPS_EST_DOWN_MONTH" hidden="1">"c16305"</definedName>
    <definedName name="IQ_EPS_EST_DOWN_MONTH_CIQ" hidden="1">"c16629"</definedName>
    <definedName name="IQ_EPS_EST_NOTE" hidden="1">"c17504"</definedName>
    <definedName name="IQ_EPS_EST_NOTE_CIQ" hidden="1">"c17457"</definedName>
    <definedName name="IQ_EPS_EST_NUM_ANALYSTS_2MONTH" hidden="1">"c16307"</definedName>
    <definedName name="IQ_EPS_EST_NUM_ANALYSTS_2MONTH_CIQ" hidden="1">"c16631"</definedName>
    <definedName name="IQ_EPS_EST_NUM_ANALYSTS_3MONTH" hidden="1">"c16311"</definedName>
    <definedName name="IQ_EPS_EST_NUM_ANALYSTS_3MONTH_CIQ" hidden="1">"c16635"</definedName>
    <definedName name="IQ_EPS_EST_NUM_ANALYSTS_MONTH" hidden="1">"c16303"</definedName>
    <definedName name="IQ_EPS_EST_NUM_ANALYSTS_MONTH_CIQ" hidden="1">"c16627"</definedName>
    <definedName name="IQ_EPS_EST_REUT" hidden="1">"c5453"</definedName>
    <definedName name="IQ_EPS_EST_THOM" hidden="1">"c5290"</definedName>
    <definedName name="IQ_EPS_EST_TOTAL_REVISED_2MONTH" hidden="1">"c16310"</definedName>
    <definedName name="IQ_EPS_EST_TOTAL_REVISED_2MONTH_CIQ" hidden="1">"c16634"</definedName>
    <definedName name="IQ_EPS_EST_TOTAL_REVISED_3MONTH" hidden="1">"c16314"</definedName>
    <definedName name="IQ_EPS_EST_TOTAL_REVISED_3MONTH_CIQ" hidden="1">"c16638"</definedName>
    <definedName name="IQ_EPS_EST_TOTAL_REVISED_MONTH" hidden="1">"c16306"</definedName>
    <definedName name="IQ_EPS_EST_TOTAL_REVISED_MONTH_CIQ" hidden="1">"c16630"</definedName>
    <definedName name="IQ_EPS_EST_UP_2MONTH" hidden="1">"c16308"</definedName>
    <definedName name="IQ_EPS_EST_UP_2MONTH_CIQ" hidden="1">"c16632"</definedName>
    <definedName name="IQ_EPS_EST_UP_3MONTH" hidden="1">"c16312"</definedName>
    <definedName name="IQ_EPS_EST_UP_3MONTH_CIQ" hidden="1">"c16636"</definedName>
    <definedName name="IQ_EPS_EST_UP_MONTH" hidden="1">"c16304"</definedName>
    <definedName name="IQ_EPS_EST_UP_MONTH_CIQ" hidden="1">"c16628"</definedName>
    <definedName name="IQ_EPS_EXCL_GUIDANCE_CIQ" hidden="1">"c4893"</definedName>
    <definedName name="IQ_EPS_EXCL_GUIDANCE_CIQ_COL" hidden="1">"c11540"</definedName>
    <definedName name="IQ_EPS_EXCL_HIGH_GUIDANCE_CIQ" hidden="1">"c4894"</definedName>
    <definedName name="IQ_EPS_EXCL_HIGH_GUIDANCE_CIQ_COL" hidden="1">"c11541"</definedName>
    <definedName name="IQ_EPS_EXCL_LOW_GUIDANCE_CIQ" hidden="1">"c4616"</definedName>
    <definedName name="IQ_EPS_EXCL_LOW_GUIDANCE_CIQ_COL" hidden="1">"c11265"</definedName>
    <definedName name="IQ_EPS_GAAP_GUIDANCE_CIQ" hidden="1">"c4895"</definedName>
    <definedName name="IQ_EPS_GAAP_GUIDANCE_CIQ_COL" hidden="1">"c11542"</definedName>
    <definedName name="IQ_EPS_GAAP_HIGH_GUIDANCE_CIQ" hidden="1">"c4896"</definedName>
    <definedName name="IQ_EPS_GAAP_HIGH_GUIDANCE_CIQ_COL" hidden="1">"c11543"</definedName>
    <definedName name="IQ_EPS_GAAP_LOW_GUIDANCE_CIQ" hidden="1">"c4617"</definedName>
    <definedName name="IQ_EPS_GAAP_LOW_GUIDANCE_CIQ_COL" hidden="1">"c11266"</definedName>
    <definedName name="IQ_EPS_GROWTH_GUIDANCE_CIQ" hidden="1">"c32283"</definedName>
    <definedName name="IQ_EPS_GROWTH_GUIDANCE_CIQ_COL" hidden="1">"c32286"</definedName>
    <definedName name="IQ_EPS_GROWTH_HIGH_GUIDANCE_CIQ" hidden="1">"c32284"</definedName>
    <definedName name="IQ_EPS_GROWTH_HIGH_GUIDANCE_CIQ_COL" hidden="1">"c32287"</definedName>
    <definedName name="IQ_EPS_GROWTH_LOW_GUIDANCE_CIQ" hidden="1">"c32285"</definedName>
    <definedName name="IQ_EPS_GROWTH_LOW_GUIDANCE_CIQ_COL" hidden="1">"c32288"</definedName>
    <definedName name="IQ_EPS_GW_ACT_OR_EST" hidden="1">"c2223"</definedName>
    <definedName name="IQ_EPS_GW_ACT_OR_EST_CIQ" hidden="1">"c5066"</definedName>
    <definedName name="IQ_EPS_GW_ACT_OR_EST_REUT" hidden="1">"c5469"</definedName>
    <definedName name="IQ_EPS_GW_DET_EST" hidden="1">"c12056"</definedName>
    <definedName name="IQ_EPS_GW_DET_EST_CURRENCY" hidden="1">"c12463"</definedName>
    <definedName name="IQ_EPS_GW_DET_EST_CURRENCY_THOM" hidden="1">"c12485"</definedName>
    <definedName name="IQ_EPS_GW_DET_EST_DATE" hidden="1">"c12209"</definedName>
    <definedName name="IQ_EPS_GW_DET_EST_DATE_THOM" hidden="1">"c12236"</definedName>
    <definedName name="IQ_EPS_GW_DET_EST_INCL" hidden="1">"c12346"</definedName>
    <definedName name="IQ_EPS_GW_DET_EST_INCL_THOM" hidden="1">"c12368"</definedName>
    <definedName name="IQ_EPS_GW_DET_EST_ORIGIN" hidden="1">"c12582"</definedName>
    <definedName name="IQ_EPS_GW_DET_EST_ORIGIN_THOM" hidden="1">"c12606"</definedName>
    <definedName name="IQ_EPS_GW_DET_EST_THOM" hidden="1">"c12086"</definedName>
    <definedName name="IQ_EPS_GW_EST" hidden="1">"c1737"</definedName>
    <definedName name="IQ_EPS_GW_EST_BOTTOM_UP" hidden="1">"c5491"</definedName>
    <definedName name="IQ_EPS_GW_EST_BOTTOM_UP_CIQ" hidden="1">"c12028"</definedName>
    <definedName name="IQ_EPS_GW_EST_BOTTOM_UP_REUT" hidden="1">"c5499"</definedName>
    <definedName name="IQ_EPS_GW_EST_CIQ" hidden="1">"c4723"</definedName>
    <definedName name="IQ_EPS_GW_EST_DOWN_2MONTH" hidden="1">"c16465"</definedName>
    <definedName name="IQ_EPS_GW_EST_DOWN_2MONTH_CIQ" hidden="1">"c16753"</definedName>
    <definedName name="IQ_EPS_GW_EST_DOWN_3MONTH" hidden="1">"c16469"</definedName>
    <definedName name="IQ_EPS_GW_EST_DOWN_3MONTH_CIQ" hidden="1">"c16757"</definedName>
    <definedName name="IQ_EPS_GW_EST_DOWN_MONTH" hidden="1">"c16461"</definedName>
    <definedName name="IQ_EPS_GW_EST_DOWN_MONTH_CIQ" hidden="1">"c16749"</definedName>
    <definedName name="IQ_EPS_GW_EST_NOTE" hidden="1">"c17524"</definedName>
    <definedName name="IQ_EPS_GW_EST_NOTE_CIQ" hidden="1">"c17477"</definedName>
    <definedName name="IQ_EPS_GW_EST_NUM_ANALYSTS_2MONTH" hidden="1">"c16463"</definedName>
    <definedName name="IQ_EPS_GW_EST_NUM_ANALYSTS_2MONTH_CIQ" hidden="1">"c16751"</definedName>
    <definedName name="IQ_EPS_GW_EST_NUM_ANALYSTS_3MONTH" hidden="1">"c16467"</definedName>
    <definedName name="IQ_EPS_GW_EST_NUM_ANALYSTS_3MONTH_CIQ" hidden="1">"c16755"</definedName>
    <definedName name="IQ_EPS_GW_EST_NUM_ANALYSTS_MONTH" hidden="1">"c16459"</definedName>
    <definedName name="IQ_EPS_GW_EST_NUM_ANALYSTS_MONTH_CIQ" hidden="1">"c16747"</definedName>
    <definedName name="IQ_EPS_GW_EST_REUT" hidden="1">"c5389"</definedName>
    <definedName name="IQ_EPS_GW_EST_THOM" hidden="1">"c5133"</definedName>
    <definedName name="IQ_EPS_GW_EST_TOTAL_REVISED_2MONTH" hidden="1">"c16466"</definedName>
    <definedName name="IQ_EPS_GW_EST_TOTAL_REVISED_2MONTH_CIQ" hidden="1">"c16754"</definedName>
    <definedName name="IQ_EPS_GW_EST_TOTAL_REVISED_3MONTH" hidden="1">"c16470"</definedName>
    <definedName name="IQ_EPS_GW_EST_TOTAL_REVISED_3MONTH_CIQ" hidden="1">"c16758"</definedName>
    <definedName name="IQ_EPS_GW_EST_TOTAL_REVISED_MONTH" hidden="1">"c16462"</definedName>
    <definedName name="IQ_EPS_GW_EST_TOTAL_REVISED_MONTH_CIQ" hidden="1">"c16750"</definedName>
    <definedName name="IQ_EPS_GW_EST_UP_2MONTH" hidden="1">"c16464"</definedName>
    <definedName name="IQ_EPS_GW_EST_UP_2MONTH_CIQ" hidden="1">"c16752"</definedName>
    <definedName name="IQ_EPS_GW_EST_UP_3MONTH" hidden="1">"c16468"</definedName>
    <definedName name="IQ_EPS_GW_EST_UP_3MONTH_CIQ" hidden="1">"c16756"</definedName>
    <definedName name="IQ_EPS_GW_EST_UP_MONTH" hidden="1">"c16460"</definedName>
    <definedName name="IQ_EPS_GW_EST_UP_MONTH_CIQ" hidden="1">"c16748"</definedName>
    <definedName name="IQ_EPS_GW_GUIDANCE_CIQ" hidden="1">"c4897"</definedName>
    <definedName name="IQ_EPS_GW_GUIDANCE_CIQ_COL" hidden="1">"c11544"</definedName>
    <definedName name="IQ_EPS_GW_HIGH_EST" hidden="1">"c1739"</definedName>
    <definedName name="IQ_EPS_GW_HIGH_EST_CIQ" hidden="1">"c4725"</definedName>
    <definedName name="IQ_EPS_GW_HIGH_EST_REUT" hidden="1">"c5391"</definedName>
    <definedName name="IQ_EPS_GW_HIGH_EST_THOM" hidden="1">"c5135"</definedName>
    <definedName name="IQ_EPS_GW_HIGH_GUIDANCE_CIQ" hidden="1">"c4898"</definedName>
    <definedName name="IQ_EPS_GW_HIGH_GUIDANCE_CIQ_COL" hidden="1">"c11545"</definedName>
    <definedName name="IQ_EPS_GW_LOW_EST" hidden="1">"c1740"</definedName>
    <definedName name="IQ_EPS_GW_LOW_EST_CIQ" hidden="1">"c4726"</definedName>
    <definedName name="IQ_EPS_GW_LOW_EST_REUT" hidden="1">"c5392"</definedName>
    <definedName name="IQ_EPS_GW_LOW_EST_THOM" hidden="1">"c5136"</definedName>
    <definedName name="IQ_EPS_GW_LOW_GUIDANCE_CIQ" hidden="1">"c4618"</definedName>
    <definedName name="IQ_EPS_GW_LOW_GUIDANCE_CIQ_COL" hidden="1">"c11267"</definedName>
    <definedName name="IQ_EPS_GW_MEDIAN_EST" hidden="1">"c1738"</definedName>
    <definedName name="IQ_EPS_GW_MEDIAN_EST_CIQ" hidden="1">"c4724"</definedName>
    <definedName name="IQ_EPS_GW_MEDIAN_EST_REUT" hidden="1">"c5390"</definedName>
    <definedName name="IQ_EPS_GW_MEDIAN_EST_THOM" hidden="1">"c5134"</definedName>
    <definedName name="IQ_EPS_GW_NUM_EST" hidden="1">"c1741"</definedName>
    <definedName name="IQ_EPS_GW_NUM_EST_CIQ" hidden="1">"c4727"</definedName>
    <definedName name="IQ_EPS_GW_NUM_EST_REUT" hidden="1">"c5393"</definedName>
    <definedName name="IQ_EPS_GW_NUM_EST_THOM" hidden="1">"c5137"</definedName>
    <definedName name="IQ_EPS_GW_STDDEV_EST" hidden="1">"c1742"</definedName>
    <definedName name="IQ_EPS_GW_STDDEV_EST_CIQ" hidden="1">"c4728"</definedName>
    <definedName name="IQ_EPS_GW_STDDEV_EST_REUT" hidden="1">"c5394"</definedName>
    <definedName name="IQ_EPS_GW_STDDEV_EST_THOM" hidden="1">"c5138"</definedName>
    <definedName name="IQ_EPS_HIGH_EST" hidden="1">"c400"</definedName>
    <definedName name="IQ_EPS_HIGH_EST_CIQ" hidden="1">"c4995"</definedName>
    <definedName name="IQ_EPS_HIGH_EST_REUT" hidden="1">"c5454"</definedName>
    <definedName name="IQ_EPS_HIGH_EST_THOM" hidden="1">"c5291"</definedName>
    <definedName name="IQ_EPS_LOW_EST" hidden="1">"c401"</definedName>
    <definedName name="IQ_EPS_LOW_EST_CIQ" hidden="1">"c4996"</definedName>
    <definedName name="IQ_EPS_LOW_EST_REUT" hidden="1">"c5455"</definedName>
    <definedName name="IQ_EPS_LOW_EST_THOM" hidden="1">"c5292"</definedName>
    <definedName name="IQ_EPS_MEDIAN_EST" hidden="1">"c1661"</definedName>
    <definedName name="IQ_EPS_MEDIAN_EST_CIQ" hidden="1">"c4997"</definedName>
    <definedName name="IQ_EPS_MEDIAN_EST_REUT" hidden="1">"c5456"</definedName>
    <definedName name="IQ_EPS_MEDIAN_EST_THOM" hidden="1">"c5293"</definedName>
    <definedName name="IQ_EPS_NAME_AP" hidden="1">"c8918"</definedName>
    <definedName name="IQ_EPS_NAME_AP_ABS" hidden="1">"c8937"</definedName>
    <definedName name="IQ_EPS_NORM" hidden="1">"c1902"</definedName>
    <definedName name="IQ_EPS_NORM_DET_EST" hidden="1">"c12058"</definedName>
    <definedName name="IQ_EPS_NORM_DET_EST_CURRENCY" hidden="1">"c12465"</definedName>
    <definedName name="IQ_EPS_NORM_DET_EST_DATE" hidden="1">"c12211"</definedName>
    <definedName name="IQ_EPS_NORM_DET_EST_INCL" hidden="1">"c12348"</definedName>
    <definedName name="IQ_EPS_NORM_DET_EST_ORIGIN" hidden="1">"c12583"</definedName>
    <definedName name="IQ_EPS_NORM_DET_EST_ORIGIN_THOM" hidden="1">"c12607"</definedName>
    <definedName name="IQ_EPS_NORM_EST" hidden="1">"c2226"</definedName>
    <definedName name="IQ_EPS_NORM_EST_BOTTOM_UP" hidden="1">"c5490"</definedName>
    <definedName name="IQ_EPS_NORM_EST_BOTTOM_UP_CIQ" hidden="1">"c12027"</definedName>
    <definedName name="IQ_EPS_NORM_EST_BOTTOM_UP_REUT" hidden="1">"c5498"</definedName>
    <definedName name="IQ_EPS_NORM_EST_CIQ" hidden="1">"c4667"</definedName>
    <definedName name="IQ_EPS_NORM_EST_DOWN_2MONTH" hidden="1">"c16597"</definedName>
    <definedName name="IQ_EPS_NORM_EST_DOWN_2MONTH_CIQ" hidden="1">"c16861"</definedName>
    <definedName name="IQ_EPS_NORM_EST_DOWN_3MONTH" hidden="1">"c16601"</definedName>
    <definedName name="IQ_EPS_NORM_EST_DOWN_3MONTH_CIQ" hidden="1">"c16865"</definedName>
    <definedName name="IQ_EPS_NORM_EST_DOWN_MONTH" hidden="1">"c16593"</definedName>
    <definedName name="IQ_EPS_NORM_EST_DOWN_MONTH_CIQ" hidden="1">"c16857"</definedName>
    <definedName name="IQ_EPS_NORM_EST_NOTE" hidden="1">"c17505"</definedName>
    <definedName name="IQ_EPS_NORM_EST_NOTE_CIQ" hidden="1">"c17458"</definedName>
    <definedName name="IQ_EPS_NORM_EST_NUM_ANALYSTS_2MONTH" hidden="1">"c16595"</definedName>
    <definedName name="IQ_EPS_NORM_EST_NUM_ANALYSTS_2MONTH_CIQ" hidden="1">"c16859"</definedName>
    <definedName name="IQ_EPS_NORM_EST_NUM_ANALYSTS_3MONTH" hidden="1">"c16599"</definedName>
    <definedName name="IQ_EPS_NORM_EST_NUM_ANALYSTS_3MONTH_CIQ" hidden="1">"c16863"</definedName>
    <definedName name="IQ_EPS_NORM_EST_NUM_ANALYSTS_MONTH" hidden="1">"c16591"</definedName>
    <definedName name="IQ_EPS_NORM_EST_NUM_ANALYSTS_MONTH_CIQ" hidden="1">"c16855"</definedName>
    <definedName name="IQ_EPS_NORM_EST_REUT" hidden="1">"c5326"</definedName>
    <definedName name="IQ_EPS_NORM_EST_TOTAL_REVISED_2MONTH" hidden="1">"c16598"</definedName>
    <definedName name="IQ_EPS_NORM_EST_TOTAL_REVISED_2MONTH_CIQ" hidden="1">"c16862"</definedName>
    <definedName name="IQ_EPS_NORM_EST_TOTAL_REVISED_3MONTH" hidden="1">"c16602"</definedName>
    <definedName name="IQ_EPS_NORM_EST_TOTAL_REVISED_3MONTH_CIQ" hidden="1">"c16866"</definedName>
    <definedName name="IQ_EPS_NORM_EST_TOTAL_REVISED_MONTH" hidden="1">"c16594"</definedName>
    <definedName name="IQ_EPS_NORM_EST_TOTAL_REVISED_MONTH_CIQ" hidden="1">"c16858"</definedName>
    <definedName name="IQ_EPS_NORM_EST_UP_2MONTH" hidden="1">"c16596"</definedName>
    <definedName name="IQ_EPS_NORM_EST_UP_2MONTH_CIQ" hidden="1">"c16860"</definedName>
    <definedName name="IQ_EPS_NORM_EST_UP_3MONTH" hidden="1">"c16600"</definedName>
    <definedName name="IQ_EPS_NORM_EST_UP_3MONTH_CIQ" hidden="1">"c16864"</definedName>
    <definedName name="IQ_EPS_NORM_EST_UP_MONTH" hidden="1">"c16592"</definedName>
    <definedName name="IQ_EPS_NORM_EST_UP_MONTH_CIQ" hidden="1">"c16856"</definedName>
    <definedName name="IQ_EPS_NORM_HIGH_EST" hidden="1">"c2228"</definedName>
    <definedName name="IQ_EPS_NORM_HIGH_EST_CIQ" hidden="1">"c4669"</definedName>
    <definedName name="IQ_EPS_NORM_HIGH_EST_REUT" hidden="1">"c5328"</definedName>
    <definedName name="IQ_EPS_NORM_LOW_EST" hidden="1">"c2229"</definedName>
    <definedName name="IQ_EPS_NORM_LOW_EST_CIQ" hidden="1">"c4670"</definedName>
    <definedName name="IQ_EPS_NORM_LOW_EST_REUT" hidden="1">"c5329"</definedName>
    <definedName name="IQ_EPS_NORM_MEDIAN_EST" hidden="1">"c2227"</definedName>
    <definedName name="IQ_EPS_NORM_MEDIAN_EST_CIQ" hidden="1">"c4668"</definedName>
    <definedName name="IQ_EPS_NORM_MEDIAN_EST_REUT" hidden="1">"c5327"</definedName>
    <definedName name="IQ_EPS_NORM_NUM_EST" hidden="1">"c2230"</definedName>
    <definedName name="IQ_EPS_NORM_NUM_EST_CIQ" hidden="1">"c4671"</definedName>
    <definedName name="IQ_EPS_NORM_NUM_EST_REUT" hidden="1">"c5330"</definedName>
    <definedName name="IQ_EPS_NORM_STDDEV_EST" hidden="1">"c2231"</definedName>
    <definedName name="IQ_EPS_NORM_STDDEV_EST_CIQ" hidden="1">"c4672"</definedName>
    <definedName name="IQ_EPS_NORM_STDDEV_EST_REUT" hidden="1">"c5331"</definedName>
    <definedName name="IQ_EPS_NUM_EST" hidden="1">"c402"</definedName>
    <definedName name="IQ_EPS_NUM_EST_CIQ" hidden="1">"c4992"</definedName>
    <definedName name="IQ_EPS_NUM_EST_REUT" hidden="1">"c5451"</definedName>
    <definedName name="IQ_EPS_NUM_EST_THOM" hidden="1">"c5288"</definedName>
    <definedName name="IQ_EPS_PRIMARY_EST" hidden="1">"c2226"</definedName>
    <definedName name="IQ_EPS_PRIMARY_HIGH_EST" hidden="1">"c2228"</definedName>
    <definedName name="IQ_EPS_PRIMARY_LOW_EST" hidden="1">"c2229"</definedName>
    <definedName name="IQ_EPS_PRIMARY_MEDIAN_EST" hidden="1">"c2227"</definedName>
    <definedName name="IQ_EPS_PRIMARY_NUM_EST" hidden="1">"c2230"</definedName>
    <definedName name="IQ_EPS_PRIMARY_STDDEV_EST" hidden="1">"c2231"</definedName>
    <definedName name="IQ_EPS_REPORT_ACT_OR_EST" hidden="1">"c2224"</definedName>
    <definedName name="IQ_EPS_REPORT_ACT_OR_EST_CIQ" hidden="1">"c5067"</definedName>
    <definedName name="IQ_EPS_REPORT_ACT_OR_EST_REUT" hidden="1">"c5470"</definedName>
    <definedName name="IQ_EPS_REPORT_ACT_OR_EST_THOM" hidden="1">"c5307"</definedName>
    <definedName name="IQ_EPS_REPORTED_DET_EST" hidden="1">"c12057"</definedName>
    <definedName name="IQ_EPS_REPORTED_DET_EST_CURRENCY" hidden="1">"c12464"</definedName>
    <definedName name="IQ_EPS_REPORTED_DET_EST_CURRENCY_THOM" hidden="1">"c12486"</definedName>
    <definedName name="IQ_EPS_REPORTED_DET_EST_DATE" hidden="1">"c12210"</definedName>
    <definedName name="IQ_EPS_REPORTED_DET_EST_DATE_THOM" hidden="1">"c12237"</definedName>
    <definedName name="IQ_EPS_REPORTED_DET_EST_INCL" hidden="1">"c12347"</definedName>
    <definedName name="IQ_EPS_REPORTED_DET_EST_INCL_THOM" hidden="1">"c12369"</definedName>
    <definedName name="IQ_EPS_REPORTED_DET_EST_ORIGIN" hidden="1">"c12772"</definedName>
    <definedName name="IQ_EPS_REPORTED_DET_EST_ORIGIN_THOM" hidden="1">"c13511"</definedName>
    <definedName name="IQ_EPS_REPORTED_DET_EST_THOM" hidden="1">"c12087"</definedName>
    <definedName name="IQ_EPS_REPORTED_EST" hidden="1">"c1744"</definedName>
    <definedName name="IQ_EPS_REPORTED_EST_BOTTOM_UP" hidden="1">"c5492"</definedName>
    <definedName name="IQ_EPS_REPORTED_EST_BOTTOM_UP_CIQ" hidden="1">"c12029"</definedName>
    <definedName name="IQ_EPS_REPORTED_EST_BOTTOM_UP_REUT" hidden="1">"c5500"</definedName>
    <definedName name="IQ_EPS_REPORTED_EST_CIQ" hidden="1">"c4730"</definedName>
    <definedName name="IQ_EPS_REPORTED_EST_DOWN_2MONTH" hidden="1">"c16477"</definedName>
    <definedName name="IQ_EPS_REPORTED_EST_DOWN_2MONTH_CIQ" hidden="1">"c16765"</definedName>
    <definedName name="IQ_EPS_REPORTED_EST_DOWN_3MONTH" hidden="1">"c16481"</definedName>
    <definedName name="IQ_EPS_REPORTED_EST_DOWN_3MONTH_CIQ" hidden="1">"c16769"</definedName>
    <definedName name="IQ_EPS_REPORTED_EST_DOWN_MONTH" hidden="1">"c16473"</definedName>
    <definedName name="IQ_EPS_REPORTED_EST_DOWN_MONTH_CIQ" hidden="1">"c16761"</definedName>
    <definedName name="IQ_EPS_REPORTED_EST_NOTE" hidden="1">"c17517"</definedName>
    <definedName name="IQ_EPS_REPORTED_EST_NOTE_CIQ" hidden="1">"c17470"</definedName>
    <definedName name="IQ_EPS_REPORTED_EST_NUM_ANALYSTS_2MONTH" hidden="1">"c16475"</definedName>
    <definedName name="IQ_EPS_REPORTED_EST_NUM_ANALYSTS_2MONTH_CIQ" hidden="1">"c16763"</definedName>
    <definedName name="IQ_EPS_REPORTED_EST_NUM_ANALYSTS_3MONTH" hidden="1">"c16479"</definedName>
    <definedName name="IQ_EPS_REPORTED_EST_NUM_ANALYSTS_3MONTH_CIQ" hidden="1">"c16767"</definedName>
    <definedName name="IQ_EPS_REPORTED_EST_NUM_ANALYSTS_MONTH" hidden="1">"c16471"</definedName>
    <definedName name="IQ_EPS_REPORTED_EST_NUM_ANALYSTS_MONTH_CIQ" hidden="1">"c16759"</definedName>
    <definedName name="IQ_EPS_REPORTED_EST_REUT" hidden="1">"c5396"</definedName>
    <definedName name="IQ_EPS_REPORTED_EST_THOM" hidden="1">"c5140"</definedName>
    <definedName name="IQ_EPS_REPORTED_EST_TOTAL_REVISED_2MONTH" hidden="1">"c16478"</definedName>
    <definedName name="IQ_EPS_REPORTED_EST_TOTAL_REVISED_2MONTH_CIQ" hidden="1">"c16766"</definedName>
    <definedName name="IQ_EPS_REPORTED_EST_TOTAL_REVISED_3MONTH" hidden="1">"c16482"</definedName>
    <definedName name="IQ_EPS_REPORTED_EST_TOTAL_REVISED_3MONTH_CIQ" hidden="1">"c16770"</definedName>
    <definedName name="IQ_EPS_REPORTED_EST_TOTAL_REVISED_MONTH" hidden="1">"c16474"</definedName>
    <definedName name="IQ_EPS_REPORTED_EST_TOTAL_REVISED_MONTH_CIQ" hidden="1">"c16762"</definedName>
    <definedName name="IQ_EPS_REPORTED_EST_UP_2MONTH" hidden="1">"c16476"</definedName>
    <definedName name="IQ_EPS_REPORTED_EST_UP_2MONTH_CIQ" hidden="1">"c16764"</definedName>
    <definedName name="IQ_EPS_REPORTED_EST_UP_3MONTH" hidden="1">"c16480"</definedName>
    <definedName name="IQ_EPS_REPORTED_EST_UP_3MONTH_CIQ" hidden="1">"c16768"</definedName>
    <definedName name="IQ_EPS_REPORTED_EST_UP_MONTH" hidden="1">"c16472"</definedName>
    <definedName name="IQ_EPS_REPORTED_EST_UP_MONTH_CIQ" hidden="1">"c16760"</definedName>
    <definedName name="IQ_EPS_REPORTED_HIGH_EST" hidden="1">"c1746"</definedName>
    <definedName name="IQ_EPS_REPORTED_HIGH_EST_CIQ" hidden="1">"c4732"</definedName>
    <definedName name="IQ_EPS_REPORTED_HIGH_EST_REUT" hidden="1">"c5398"</definedName>
    <definedName name="IQ_EPS_REPORTED_HIGH_EST_THOM" hidden="1">"c5142"</definedName>
    <definedName name="IQ_EPS_REPORTED_LOW_EST" hidden="1">"c1747"</definedName>
    <definedName name="IQ_EPS_REPORTED_LOW_EST_CIQ" hidden="1">"c4733"</definedName>
    <definedName name="IQ_EPS_REPORTED_LOW_EST_REUT" hidden="1">"c5399"</definedName>
    <definedName name="IQ_EPS_REPORTED_LOW_EST_THOM" hidden="1">"c5143"</definedName>
    <definedName name="IQ_EPS_REPORTED_MEDIAN_EST" hidden="1">"c1745"</definedName>
    <definedName name="IQ_EPS_REPORTED_MEDIAN_EST_CIQ" hidden="1">"c4731"</definedName>
    <definedName name="IQ_EPS_REPORTED_MEDIAN_EST_REUT" hidden="1">"c5397"</definedName>
    <definedName name="IQ_EPS_REPORTED_MEDIAN_EST_THOM" hidden="1">"c5141"</definedName>
    <definedName name="IQ_EPS_REPORTED_NUM_EST" hidden="1">"c1748"</definedName>
    <definedName name="IQ_EPS_REPORTED_NUM_EST_CIQ" hidden="1">"c4734"</definedName>
    <definedName name="IQ_EPS_REPORTED_NUM_EST_REUT" hidden="1">"c5400"</definedName>
    <definedName name="IQ_EPS_REPORTED_NUM_EST_THOM" hidden="1">"c5144"</definedName>
    <definedName name="IQ_EPS_REPORTED_STDDEV_EST" hidden="1">"c1749"</definedName>
    <definedName name="IQ_EPS_REPORTED_STDDEV_EST_CIQ" hidden="1">"c4735"</definedName>
    <definedName name="IQ_EPS_REPORTED_STDDEV_EST_REUT" hidden="1">"c5401"</definedName>
    <definedName name="IQ_EPS_REPORTED_STDDEV_EST_THOM" hidden="1">"c5145"</definedName>
    <definedName name="IQ_EPS_SBC_ACT_OR_EST" hidden="1">"c4376"</definedName>
    <definedName name="IQ_EPS_SBC_ACT_OR_EST_CIQ" hidden="1">"c4901"</definedName>
    <definedName name="IQ_EPS_SBC_ACT_OR_EST_CIQ_COL" hidden="1">"c11548"</definedName>
    <definedName name="IQ_EPS_SBC_EST" hidden="1">"c4375"</definedName>
    <definedName name="IQ_EPS_SBC_GUIDANCE" hidden="1">"c4377"</definedName>
    <definedName name="IQ_EPS_SBC_GUIDANCE_CIQ" hidden="1">"c4902"</definedName>
    <definedName name="IQ_EPS_SBC_GUIDANCE_CIQ_COL" hidden="1">"c11549"</definedName>
    <definedName name="IQ_EPS_SBC_GW_ACT_OR_EST" hidden="1">"c4380"</definedName>
    <definedName name="IQ_EPS_SBC_GW_ACT_OR_EST_CIQ" hidden="1">"c4905"</definedName>
    <definedName name="IQ_EPS_SBC_GW_ACT_OR_EST_CIQ_COL" hidden="1">"c11552"</definedName>
    <definedName name="IQ_EPS_SBC_GW_EST" hidden="1">"c4379"</definedName>
    <definedName name="IQ_EPS_SBC_GW_GUIDANCE" hidden="1">"c4381"</definedName>
    <definedName name="IQ_EPS_SBC_GW_GUIDANCE_CIQ" hidden="1">"c4906"</definedName>
    <definedName name="IQ_EPS_SBC_GW_GUIDANCE_CIQ_COL" hidden="1">"c11553"</definedName>
    <definedName name="IQ_EPS_SBC_GW_HIGH_EST" hidden="1">"c4382"</definedName>
    <definedName name="IQ_EPS_SBC_GW_HIGH_GUIDANCE" hidden="1">"c4189"</definedName>
    <definedName name="IQ_EPS_SBC_GW_HIGH_GUIDANCE_CIQ" hidden="1">"c4601"</definedName>
    <definedName name="IQ_EPS_SBC_GW_HIGH_GUIDANCE_CIQ_COL" hidden="1">"c11250"</definedName>
    <definedName name="IQ_EPS_SBC_GW_LOW_EST" hidden="1">"c4383"</definedName>
    <definedName name="IQ_EPS_SBC_GW_LOW_GUIDANCE" hidden="1">"c4229"</definedName>
    <definedName name="IQ_EPS_SBC_GW_LOW_GUIDANCE_CIQ" hidden="1">"c4641"</definedName>
    <definedName name="IQ_EPS_SBC_GW_LOW_GUIDANCE_CIQ_COL" hidden="1">"c11290"</definedName>
    <definedName name="IQ_EPS_SBC_GW_MEDIAN_EST" hidden="1">"c4384"</definedName>
    <definedName name="IQ_EPS_SBC_GW_NUM_EST" hidden="1">"c4385"</definedName>
    <definedName name="IQ_EPS_SBC_GW_STDDEV_EST" hidden="1">"c4386"</definedName>
    <definedName name="IQ_EPS_SBC_HIGH_EST" hidden="1">"c4388"</definedName>
    <definedName name="IQ_EPS_SBC_HIGH_GUIDANCE" hidden="1">"c4188"</definedName>
    <definedName name="IQ_EPS_SBC_HIGH_GUIDANCE_CIQ" hidden="1">"c4600"</definedName>
    <definedName name="IQ_EPS_SBC_HIGH_GUIDANCE_CIQ_COL" hidden="1">"c11249"</definedName>
    <definedName name="IQ_EPS_SBC_LOW_EST" hidden="1">"c4389"</definedName>
    <definedName name="IQ_EPS_SBC_LOW_GUIDANCE" hidden="1">"c4228"</definedName>
    <definedName name="IQ_EPS_SBC_LOW_GUIDANCE_CIQ" hidden="1">"c4640"</definedName>
    <definedName name="IQ_EPS_SBC_LOW_GUIDANCE_CIQ_COL" hidden="1">"c11289"</definedName>
    <definedName name="IQ_EPS_SBC_MEDIAN_EST" hidden="1">"c4390"</definedName>
    <definedName name="IQ_EPS_SBC_NUM_EST" hidden="1">"c4391"</definedName>
    <definedName name="IQ_EPS_SBC_STDDEV_EST" hidden="1">"c4392"</definedName>
    <definedName name="IQ_EPS_STDDEV_EST" hidden="1">"c403"</definedName>
    <definedName name="IQ_EPS_STDDEV_EST_CIQ" hidden="1">"c4993"</definedName>
    <definedName name="IQ_EPS_STDDEV_EST_REUT" hidden="1">"c5452"</definedName>
    <definedName name="IQ_EPS_STDDEV_EST_THOM" hidden="1">"c5289"</definedName>
    <definedName name="IQ_EQUITY_AFFIL" localSheetId="7" hidden="1">"c1451"</definedName>
    <definedName name="IQ_EQUITY_AFFIL" localSheetId="8" hidden="1">"c1451"</definedName>
    <definedName name="IQ_EQUITY_AFFIL" hidden="1">"c1451"</definedName>
    <definedName name="IQ_EQUITY_AP" hidden="1">"c8887"</definedName>
    <definedName name="IQ_EQUITY_AP_ABS" hidden="1">"c8906"</definedName>
    <definedName name="IQ_EQUITY_ASKPRICE" hidden="1">"c17798"</definedName>
    <definedName name="IQ_EQUITY_ASSETS_TOT_FFIEC" hidden="1">"c13436"</definedName>
    <definedName name="IQ_EQUITY_BEG_EXCL_FFIEC" hidden="1">"c12957"</definedName>
    <definedName name="IQ_EQUITY_BEG_FFIEC" hidden="1">"c12959"</definedName>
    <definedName name="IQ_EQUITY_BIDPRICE" hidden="1">"c17797"</definedName>
    <definedName name="IQ_EQUITY_CAPITAL_ASSETS_FDIC" hidden="1">"c6744"</definedName>
    <definedName name="IQ_EQUITY_CAPITAL_QUARTERLY_AVG_FFIEC" hidden="1">"c13092"</definedName>
    <definedName name="IQ_EQUITY_ENDING_FFIEC" hidden="1">"c12973"</definedName>
    <definedName name="IQ_EQUITY_FDIC" hidden="1">"c6353"</definedName>
    <definedName name="IQ_EQUITY_INDEX_EXPOSURE_FFIEC" hidden="1">"c13060"</definedName>
    <definedName name="IQ_EQUITY_INV_NOT_CARRIED_FV_ADJUSTED_NCOS_THRIFT" hidden="1">"c25226"</definedName>
    <definedName name="IQ_EQUITY_INV_NOT_CARRIED_FV_SVA_PROVISIONS_TRANSFERS_FROM_GVA_THRIFT" hidden="1">"c25195"</definedName>
    <definedName name="IQ_EQUITY_INV_NOT_SUBJECT_SFAS_NO115_GVA_CHARGE_OFFS_THRIFT" hidden="1">"c25141"</definedName>
    <definedName name="IQ_EQUITY_INV_NOT_SUBJECT_SFAS_NO115_GVA_RECOVERIES_THRIFT" hidden="1">"c25164"</definedName>
    <definedName name="IQ_EQUITY_LIST" hidden="1">"c15158"</definedName>
    <definedName name="IQ_EQUITY_METHOD" hidden="1">"c404"</definedName>
    <definedName name="IQ_EQUITY_MIDPRICE" hidden="1">"c17799"</definedName>
    <definedName name="IQ_EQUITY_NAME_AP" hidden="1">"c8925"</definedName>
    <definedName name="IQ_EQUITY_NAME_AP_ABS" hidden="1">"c8944"</definedName>
    <definedName name="IQ_EQUITY_SEC_FAIR_VALUE_AFS_AMORT_COST_FFIEC" hidden="1">"c20505"</definedName>
    <definedName name="IQ_EQUITY_SEC_FAIR_VALUE_AFS_FAIR_VAL_FFIEC" hidden="1">"c20470"</definedName>
    <definedName name="IQ_EQUITY_SEC_FAIR_VALUE_FFIEC" hidden="1">"c12805"</definedName>
    <definedName name="IQ_EQUITY_SEC_FV_THRIFT" hidden="1">"c24823"</definedName>
    <definedName name="IQ_EQUITY_SEC_INVEST_SECURITIES_FFIEC" hidden="1">"c13463"</definedName>
    <definedName name="IQ_EQUITY_SECURITIES_FDIC" hidden="1">"c6304"</definedName>
    <definedName name="IQ_EQUITY_SECURITIES_QUARTERLY_AVG_FFIEC" hidden="1">"c15474"</definedName>
    <definedName name="IQ_EQUITY_SECURITIES_WITHOUT_FAIR_VALUES_FFIEC" hidden="1">"c12846"</definedName>
    <definedName name="IQ_EQUITY_SECURITY_EXPOSURES_FDIC" hidden="1">"c6664"</definedName>
    <definedName name="IQ_EQUITY_TIER_ONE_CAPITAL" hidden="1">"c15246"</definedName>
    <definedName name="IQ_EQUITY_TIER_ONE_CAPITAL_RATIO" hidden="1">"c15242"</definedName>
    <definedName name="IQ_EQV_OVER_BV" hidden="1">"c1596"</definedName>
    <definedName name="IQ_EQV_OVER_LTM_PRETAX_INC" localSheetId="7" hidden="1">"c1390"</definedName>
    <definedName name="IQ_EQV_OVER_LTM_PRETAX_INC" localSheetId="8" hidden="1">"c1390"</definedName>
    <definedName name="IQ_EQV_OVER_LTM_PRETAX_INC" hidden="1">"c1390"</definedName>
    <definedName name="IQ_ESCROWS_THRIFT" hidden="1">"c24897"</definedName>
    <definedName name="IQ_ESOP_DEBT" hidden="1">"c1597"</definedName>
    <definedName name="IQ_ESOP_DEBT_GUARANTEED_FFIEC" hidden="1">"c12971"</definedName>
    <definedName name="IQ_ESOP_OVER_TOTAL" hidden="1">"c24734"</definedName>
    <definedName name="IQ_EST_ACT_BV" hidden="1">"c5630"</definedName>
    <definedName name="IQ_EST_ACT_BV_REUT" hidden="1">"c5409"</definedName>
    <definedName name="IQ_EST_ACT_BV_SHARE" hidden="1">"c3549"</definedName>
    <definedName name="IQ_EST_ACT_BV_SHARE_REUT" hidden="1">"c5445"</definedName>
    <definedName name="IQ_EST_ACT_BV_SHARE_THOM" hidden="1">"c4026"</definedName>
    <definedName name="IQ_EST_ACT_BV_THOM" hidden="1">"c5153"</definedName>
    <definedName name="IQ_EST_ACT_CAPEX" hidden="1">"c3546"</definedName>
    <definedName name="IQ_EST_ACT_CAPEX_REUT" hidden="1">"c3975"</definedName>
    <definedName name="IQ_EST_ACT_CAPEX_THOM" hidden="1">"c5508"</definedName>
    <definedName name="IQ_EST_ACT_CASH_EPS" hidden="1">"c5637"</definedName>
    <definedName name="IQ_EST_ACT_CASH_EPS_THOM" hidden="1">"c5645"</definedName>
    <definedName name="IQ_EST_ACT_CASH_FLOW" hidden="1">"c4394"</definedName>
    <definedName name="IQ_EST_ACT_CASH_OPER" hidden="1">"c4395"</definedName>
    <definedName name="IQ_EST_ACT_CFPS" hidden="1">"c1673"</definedName>
    <definedName name="IQ_EST_ACT_CFPS_REUT" hidden="1">"c3850"</definedName>
    <definedName name="IQ_EST_ACT_CFPS_THOM" hidden="1">"c4012"</definedName>
    <definedName name="IQ_EST_ACT_DISTRIBUTABLE_CASH" hidden="1">"c4396"</definedName>
    <definedName name="IQ_EST_ACT_DISTRIBUTABLE_CASH_CIQ_COL" hidden="1">"c11568"</definedName>
    <definedName name="IQ_EST_ACT_DISTRIBUTABLE_CASH_SHARE" hidden="1">"c4397"</definedName>
    <definedName name="IQ_EST_ACT_DPS" hidden="1">"c1680"</definedName>
    <definedName name="IQ_EST_ACT_DPS_REUT" hidden="1">"c3857"</definedName>
    <definedName name="IQ_EST_ACT_DPS_THOM" hidden="1">"c4019"</definedName>
    <definedName name="IQ_EST_ACT_EBIT" hidden="1">"c1687"</definedName>
    <definedName name="IQ_EST_ACT_EBIT_GW" hidden="1">"c4398"</definedName>
    <definedName name="IQ_EST_ACT_EBIT_REUT" hidden="1">"c5339"</definedName>
    <definedName name="IQ_EST_ACT_EBIT_SBC" hidden="1">"c4399"</definedName>
    <definedName name="IQ_EST_ACT_EBIT_SBC_GW" hidden="1">"c4400"</definedName>
    <definedName name="IQ_EST_ACT_EBIT_THOM" hidden="1">"c5111"</definedName>
    <definedName name="IQ_EST_ACT_EBITDA" hidden="1">"c1664"</definedName>
    <definedName name="IQ_EST_ACT_EBITDA_CIQ" hidden="1">"c3667"</definedName>
    <definedName name="IQ_EST_ACT_EBITDA_REUT" hidden="1">"c3836"</definedName>
    <definedName name="IQ_EST_ACT_EBITDA_SBC" hidden="1">"c4401"</definedName>
    <definedName name="IQ_EST_ACT_EBITDA_THOM" hidden="1">"c3998"</definedName>
    <definedName name="IQ_EST_ACT_EBT_SBC" hidden="1">"c4402"</definedName>
    <definedName name="IQ_EST_ACT_EBT_SBC_GW" hidden="1">"c4403"</definedName>
    <definedName name="IQ_EST_ACT_EPS" hidden="1">"c1648"</definedName>
    <definedName name="IQ_EST_ACT_EPS_CIQ" hidden="1">"c4998"</definedName>
    <definedName name="IQ_EST_ACT_EPS_GW" hidden="1">"c1743"</definedName>
    <definedName name="IQ_EST_ACT_EPS_GW_CIQ" hidden="1">"c4729"</definedName>
    <definedName name="IQ_EST_ACT_EPS_GW_REUT" hidden="1">"c5395"</definedName>
    <definedName name="IQ_EST_ACT_EPS_GW_THOM" hidden="1">"c5139"</definedName>
    <definedName name="IQ_EST_ACT_EPS_NORM" hidden="1">"c2232"</definedName>
    <definedName name="IQ_EST_ACT_EPS_NORM_CIQ" hidden="1">"c4673"</definedName>
    <definedName name="IQ_EST_ACT_EPS_NORM_REUT" hidden="1">"c5332"</definedName>
    <definedName name="IQ_EST_ACT_EPS_PRIMARY" hidden="1">"c2232"</definedName>
    <definedName name="IQ_EST_ACT_EPS_REPORTED" hidden="1">"c1750"</definedName>
    <definedName name="IQ_EST_ACT_EPS_REPORTED_CIQ" hidden="1">"c4736"</definedName>
    <definedName name="IQ_EST_ACT_EPS_REPORTED_REUT" hidden="1">"c5402"</definedName>
    <definedName name="IQ_EST_ACT_EPS_REPORTED_THOM" hidden="1">"c5146"</definedName>
    <definedName name="IQ_EST_ACT_EPS_REUT" hidden="1">"c5457"</definedName>
    <definedName name="IQ_EST_ACT_EPS_SBC" hidden="1">"c4404"</definedName>
    <definedName name="IQ_EST_ACT_EPS_SBC_GW" hidden="1">"c4405"</definedName>
    <definedName name="IQ_EST_ACT_EPS_THOM" hidden="1">"c5294"</definedName>
    <definedName name="IQ_EST_ACT_FFO" hidden="1">"c1666"</definedName>
    <definedName name="IQ_EST_ACT_FFO_ADJ" hidden="1">"c4406"</definedName>
    <definedName name="IQ_EST_ACT_FFO_CIQ_COL" hidden="1">"c11579"</definedName>
    <definedName name="IQ_EST_ACT_FFO_REUT" hidden="1">"c3843"</definedName>
    <definedName name="IQ_EST_ACT_FFO_SHARE" hidden="1">"c1666"</definedName>
    <definedName name="IQ_EST_ACT_FFO_SHARE_SHARE_REUT" hidden="1">"c3843"</definedName>
    <definedName name="IQ_EST_ACT_FFO_SHARE_THOM" hidden="1">"c4005"</definedName>
    <definedName name="IQ_EST_ACT_FFO_THOM" hidden="1">"c4005"</definedName>
    <definedName name="IQ_EST_ACT_GROSS_MARGIN" hidden="1">"c5553"</definedName>
    <definedName name="IQ_EST_ACT_GROSS_MARGIN_THOM" hidden="1">"c5561"</definedName>
    <definedName name="IQ_EST_ACT_MAINT_CAPEX" hidden="1">"c4408"</definedName>
    <definedName name="IQ_EST_ACT_NAV" hidden="1">"c1757"</definedName>
    <definedName name="IQ_EST_ACT_NAV_SHARE" hidden="1">"c5608"</definedName>
    <definedName name="IQ_EST_ACT_NAV_SHARE_REUT" hidden="1">"c5616"</definedName>
    <definedName name="IQ_EST_ACT_NAV_THOM" hidden="1">"c5600"</definedName>
    <definedName name="IQ_EST_ACT_NET_DEBT" hidden="1">"c3545"</definedName>
    <definedName name="IQ_EST_ACT_NET_DEBT_REUT" hidden="1">"c5446"</definedName>
    <definedName name="IQ_EST_ACT_NET_DEBT_THOM" hidden="1">"c4033"</definedName>
    <definedName name="IQ_EST_ACT_NI" hidden="1">"c1722"</definedName>
    <definedName name="IQ_EST_ACT_NI_GW" hidden="1">"c1729"</definedName>
    <definedName name="IQ_EST_ACT_NI_GW_REUT" hidden="1">"c5381"</definedName>
    <definedName name="IQ_EST_ACT_NI_GW_THOM" hidden="1">"c5139"</definedName>
    <definedName name="IQ_EST_ACT_NI_REPORTED" hidden="1">"c1736"</definedName>
    <definedName name="IQ_EST_ACT_NI_REPORTED_REUT" hidden="1">"c5388"</definedName>
    <definedName name="IQ_EST_ACT_NI_REUT" hidden="1">"c5374"</definedName>
    <definedName name="IQ_EST_ACT_NI_SBC" hidden="1">"c4409"</definedName>
    <definedName name="IQ_EST_ACT_NI_SBC_GW" hidden="1">"c4410"</definedName>
    <definedName name="IQ_EST_ACT_NI_THOM" hidden="1">"c5132"</definedName>
    <definedName name="IQ_EST_ACT_OPER_INC" hidden="1">"c1694"</definedName>
    <definedName name="IQ_EST_ACT_OPER_INC_REUT" hidden="1">"c5346"</definedName>
    <definedName name="IQ_EST_ACT_OPER_INC_THOM" hidden="1">"c5118"</definedName>
    <definedName name="IQ_EST_ACT_PRETAX_GW_INC" hidden="1">"c1708"</definedName>
    <definedName name="IQ_EST_ACT_PRETAX_GW_INC_REUT" hidden="1">"c5360"</definedName>
    <definedName name="IQ_EST_ACT_PRETAX_INC" hidden="1">"c1701"</definedName>
    <definedName name="IQ_EST_ACT_PRETAX_INC_REUT" hidden="1">"c5353"</definedName>
    <definedName name="IQ_EST_ACT_PRETAX_INC_THOM" hidden="1">"c5125"</definedName>
    <definedName name="IQ_EST_ACT_PRETAX_REPORT_INC" hidden="1">"c1715"</definedName>
    <definedName name="IQ_EST_ACT_PRETAX_REPORT_INC_REUT" hidden="1">"c5367"</definedName>
    <definedName name="IQ_EST_ACT_RECURRING_PROFIT" hidden="1">"c4411"</definedName>
    <definedName name="IQ_EST_ACT_RECURRING_PROFIT_SHARE" hidden="1">"c4412"</definedName>
    <definedName name="IQ_EST_ACT_RETURN_ASSETS" hidden="1">"c3547"</definedName>
    <definedName name="IQ_EST_ACT_RETURN_ASSETS_REUT" hidden="1">"c3996"</definedName>
    <definedName name="IQ_EST_ACT_RETURN_ASSETS_THOM" hidden="1">"c4040"</definedName>
    <definedName name="IQ_EST_ACT_RETURN_EQUITY" hidden="1">"c3548"</definedName>
    <definedName name="IQ_EST_ACT_RETURN_EQUITY_REUT" hidden="1">"c3989"</definedName>
    <definedName name="IQ_EST_ACT_RETURN_EQUITY_THOM" hidden="1">"c5287"</definedName>
    <definedName name="IQ_EST_ACT_REV" hidden="1">"c2113"</definedName>
    <definedName name="IQ_EST_ACT_REV_CIQ" hidden="1">"c3666"</definedName>
    <definedName name="IQ_EST_ACT_REV_REUT" hidden="1">"c3835"</definedName>
    <definedName name="IQ_EST_ACT_REV_THOM" hidden="1">"c3997"</definedName>
    <definedName name="IQ_EST_BV_DIFF_CIQ" hidden="1">"c4765"</definedName>
    <definedName name="IQ_EST_BV_DIFF_REUT" hidden="1">"c5433"</definedName>
    <definedName name="IQ_EST_BV_DIFF_THOM" hidden="1">"c5204"</definedName>
    <definedName name="IQ_EST_BV_SHARE_DIFF" hidden="1">"c4147"</definedName>
    <definedName name="IQ_EST_BV_SHARE_SURPRISE_PERCENT" hidden="1">"c4148"</definedName>
    <definedName name="IQ_EST_BV_SURPRISE_PERCENT_CIQ" hidden="1">"c4766"</definedName>
    <definedName name="IQ_EST_BV_SURPRISE_PERCENT_REUT" hidden="1">"c5434"</definedName>
    <definedName name="IQ_EST_BV_SURPRISE_PERCENT_THOM" hidden="1">"c5205"</definedName>
    <definedName name="IQ_EST_CAPEX_DIFF" hidden="1">"c4149"</definedName>
    <definedName name="IQ_EST_CAPEX_GROWTH_1YR" hidden="1">"c3588"</definedName>
    <definedName name="IQ_EST_CAPEX_GROWTH_1YR_REUT" hidden="1">"c5447"</definedName>
    <definedName name="IQ_EST_CAPEX_GROWTH_1YR_THOM" hidden="1">"c5542"</definedName>
    <definedName name="IQ_EST_CAPEX_GROWTH_2YR" hidden="1">"c3589"</definedName>
    <definedName name="IQ_EST_CAPEX_GROWTH_2YR_REUT" hidden="1">"c5448"</definedName>
    <definedName name="IQ_EST_CAPEX_GROWTH_2YR_THOM" hidden="1">"c5543"</definedName>
    <definedName name="IQ_EST_CAPEX_GROWTH_Q_1YR" hidden="1">"c3590"</definedName>
    <definedName name="IQ_EST_CAPEX_GROWTH_Q_1YR_REUT" hidden="1">"c5449"</definedName>
    <definedName name="IQ_EST_CAPEX_GROWTH_Q_1YR_THOM" hidden="1">"c5544"</definedName>
    <definedName name="IQ_EST_CAPEX_SEQ_GROWTH_Q" hidden="1">"c3591"</definedName>
    <definedName name="IQ_EST_CAPEX_SEQ_GROWTH_Q_REUT" hidden="1">"c5450"</definedName>
    <definedName name="IQ_EST_CAPEX_SEQ_GROWTH_Q_THOM" hidden="1">"c5545"</definedName>
    <definedName name="IQ_EST_CAPEX_SURPRISE_PERCENT" hidden="1">"c4151"</definedName>
    <definedName name="IQ_EST_CASH_FLOW_DIFF" hidden="1">"c4152"</definedName>
    <definedName name="IQ_EST_CASH_FLOW_DIFF_CIQ_COL" hidden="1">"c11213"</definedName>
    <definedName name="IQ_EST_CASH_FLOW_SURPRISE_PERCENT" hidden="1">"c4161"</definedName>
    <definedName name="IQ_EST_CASH_FLOW_SURPRISE_PERCENT_CIQ_COL" hidden="1">"c11222"</definedName>
    <definedName name="IQ_EST_CASH_OPER_DIFF" hidden="1">"c4162"</definedName>
    <definedName name="IQ_EST_CASH_OPER_DIFF_CIQ_COL" hidden="1">"c11223"</definedName>
    <definedName name="IQ_EST_CASH_OPER_SURPRISE_PERCENT" hidden="1">"c4248"</definedName>
    <definedName name="IQ_EST_CASH_OPER_SURPRISE_PERCENT_CIQ_COL" hidden="1">"c11421"</definedName>
    <definedName name="IQ_EST_CFPS_DIFF" hidden="1">"c1871"</definedName>
    <definedName name="IQ_EST_CFPS_DIFF_REUT" hidden="1">"c3892"</definedName>
    <definedName name="IQ_EST_CFPS_DIFF_THOM" hidden="1">"c5188"</definedName>
    <definedName name="IQ_EST_CFPS_GROWTH_1YR" hidden="1">"c1774"</definedName>
    <definedName name="IQ_EST_CFPS_GROWTH_1YR_REUT" hidden="1">"c3878"</definedName>
    <definedName name="IQ_EST_CFPS_GROWTH_1YR_THOM" hidden="1">"c5174"</definedName>
    <definedName name="IQ_EST_CFPS_GROWTH_2YR" hidden="1">"c1775"</definedName>
    <definedName name="IQ_EST_CFPS_GROWTH_2YR_REUT" hidden="1">"c3879"</definedName>
    <definedName name="IQ_EST_CFPS_GROWTH_2YR_THOM" hidden="1">"c5175"</definedName>
    <definedName name="IQ_EST_CFPS_GROWTH_Q_1YR" hidden="1">"c1776"</definedName>
    <definedName name="IQ_EST_CFPS_GROWTH_Q_1YR_REUT" hidden="1">"c3880"</definedName>
    <definedName name="IQ_EST_CFPS_GROWTH_Q_1YR_THOM" hidden="1">"c5176"</definedName>
    <definedName name="IQ_EST_CFPS_SEQ_GROWTH_Q" hidden="1">"c1777"</definedName>
    <definedName name="IQ_EST_CFPS_SEQ_GROWTH_Q_REUT" hidden="1">"c3881"</definedName>
    <definedName name="IQ_EST_CFPS_SEQ_GROWTH_Q_THOM" hidden="1">"c5177"</definedName>
    <definedName name="IQ_EST_CFPS_SURPRISE_PERCENT" hidden="1">"c1872"</definedName>
    <definedName name="IQ_EST_CFPS_SURPRISE_PERCENT_REUT" hidden="1">"c3893"</definedName>
    <definedName name="IQ_EST_CFPS_SURPRISE_PERCENT_THOM" hidden="1">"c5189"</definedName>
    <definedName name="IQ_EST_CURRENCY" hidden="1">"c2140"</definedName>
    <definedName name="IQ_EST_CURRENCY_CIQ" hidden="1">"c4769"</definedName>
    <definedName name="IQ_EST_CURRENCY_REUT" hidden="1">"c5437"</definedName>
    <definedName name="IQ_EST_CURRENCY_THOM" hidden="1">"c5280"</definedName>
    <definedName name="IQ_EST_DATE" hidden="1">"c1634"</definedName>
    <definedName name="IQ_EST_DATE_CIQ" hidden="1">"c4770"</definedName>
    <definedName name="IQ_EST_DATE_REUT" hidden="1">"c5438"</definedName>
    <definedName name="IQ_EST_DATE_THOM" hidden="1">"c5281"</definedName>
    <definedName name="IQ_EST_DISTRIBUTABLE_CASH_DIFF" hidden="1">"c4276"</definedName>
    <definedName name="IQ_EST_DISTRIBUTABLE_CASH_DIFF_CIQ_COL" hidden="1">"c11448"</definedName>
    <definedName name="IQ_EST_DISTRIBUTABLE_CASH_GROWTH_1YR" hidden="1">"c4413"</definedName>
    <definedName name="IQ_EST_DISTRIBUTABLE_CASH_GROWTH_1YR_CIQ_COL" hidden="1">"c11585"</definedName>
    <definedName name="IQ_EST_DISTRIBUTABLE_CASH_GROWTH_2YR" hidden="1">"c4414"</definedName>
    <definedName name="IQ_EST_DISTRIBUTABLE_CASH_GROWTH_2YR_CIQ_COL" hidden="1">"c11586"</definedName>
    <definedName name="IQ_EST_DISTRIBUTABLE_CASH_GROWTH_Q_1YR" hidden="1">"c4415"</definedName>
    <definedName name="IQ_EST_DISTRIBUTABLE_CASH_GROWTH_Q_1YR_CIQ_COL" hidden="1">"c11587"</definedName>
    <definedName name="IQ_EST_DISTRIBUTABLE_CASH_SEQ_GROWTH_Q" hidden="1">"c4416"</definedName>
    <definedName name="IQ_EST_DISTRIBUTABLE_CASH_SEQ_GROWTH_Q_CIQ_COL" hidden="1">"c11588"</definedName>
    <definedName name="IQ_EST_DISTRIBUTABLE_CASH_SHARE_DIFF" hidden="1">"c4284"</definedName>
    <definedName name="IQ_EST_DISTRIBUTABLE_CASH_SHARE_DIFF_CIQ_COL" hidden="1">"c11456"</definedName>
    <definedName name="IQ_EST_DISTRIBUTABLE_CASH_SHARE_GROWTH_1YR" hidden="1">"c4417"</definedName>
    <definedName name="IQ_EST_DISTRIBUTABLE_CASH_SHARE_GROWTH_1YR_CIQ_COL" hidden="1">"c11589"</definedName>
    <definedName name="IQ_EST_DISTRIBUTABLE_CASH_SHARE_GROWTH_2YR" hidden="1">"c4418"</definedName>
    <definedName name="IQ_EST_DISTRIBUTABLE_CASH_SHARE_GROWTH_2YR_CIQ_COL" hidden="1">"c11590"</definedName>
    <definedName name="IQ_EST_DISTRIBUTABLE_CASH_SHARE_GROWTH_Q_1YR" hidden="1">"c4419"</definedName>
    <definedName name="IQ_EST_DISTRIBUTABLE_CASH_SHARE_GROWTH_Q_1YR_CIQ_COL" hidden="1">"c11591"</definedName>
    <definedName name="IQ_EST_DISTRIBUTABLE_CASH_SHARE_SEQ_GROWTH_Q" hidden="1">"c4420"</definedName>
    <definedName name="IQ_EST_DISTRIBUTABLE_CASH_SHARE_SEQ_GROWTH_Q_CIQ_COL" hidden="1">"c11592"</definedName>
    <definedName name="IQ_EST_DISTRIBUTABLE_CASH_SHARE_SURPRISE_PERCENT" hidden="1">"c4293"</definedName>
    <definedName name="IQ_EST_DISTRIBUTABLE_CASH_SHARE_SURPRISE_PERCENT_CIQ_COL" hidden="1">"c11465"</definedName>
    <definedName name="IQ_EST_DISTRIBUTABLE_CASH_SURPRISE_PERCENT" hidden="1">"c4295"</definedName>
    <definedName name="IQ_EST_DISTRIBUTABLE_CASH_SURPRISE_PERCENT_CIQ_COL" hidden="1">"c11467"</definedName>
    <definedName name="IQ_EST_DPS_DIFF" hidden="1">"c1873"</definedName>
    <definedName name="IQ_EST_DPS_DIFF_REUT" hidden="1">"c3894"</definedName>
    <definedName name="IQ_EST_DPS_DIFF_THOM" hidden="1">"c5190"</definedName>
    <definedName name="IQ_EST_DPS_GROWTH_1YR" hidden="1">"c1778"</definedName>
    <definedName name="IQ_EST_DPS_GROWTH_1YR_REUT" hidden="1">"c3882"</definedName>
    <definedName name="IQ_EST_DPS_GROWTH_1YR_THOM" hidden="1">"c5178"</definedName>
    <definedName name="IQ_EST_DPS_GROWTH_2YR" hidden="1">"c1779"</definedName>
    <definedName name="IQ_EST_DPS_GROWTH_2YR_REUT" hidden="1">"c3883"</definedName>
    <definedName name="IQ_EST_DPS_GROWTH_2YR_THOM" hidden="1">"c5179"</definedName>
    <definedName name="IQ_EST_DPS_GROWTH_Q_1YR" hidden="1">"c1780"</definedName>
    <definedName name="IQ_EST_DPS_GROWTH_Q_1YR_REUT" hidden="1">"c3884"</definedName>
    <definedName name="IQ_EST_DPS_GROWTH_Q_1YR_THOM" hidden="1">"c5180"</definedName>
    <definedName name="IQ_EST_DPS_SEQ_GROWTH_Q" hidden="1">"c1781"</definedName>
    <definedName name="IQ_EST_DPS_SEQ_GROWTH_Q_REUT" hidden="1">"c3885"</definedName>
    <definedName name="IQ_EST_DPS_SEQ_GROWTH_Q_THOM" hidden="1">"c5181"</definedName>
    <definedName name="IQ_EST_DPS_SURPRISE_PERCENT" hidden="1">"c1874"</definedName>
    <definedName name="IQ_EST_DPS_SURPRISE_PERCENT_REUT" hidden="1">"c3895"</definedName>
    <definedName name="IQ_EST_DPS_SURPRISE_PERCENT_THOM" hidden="1">"c5191"</definedName>
    <definedName name="IQ_EST_EBIT_DIFF" hidden="1">"c1875"</definedName>
    <definedName name="IQ_EST_EBIT_DIFF_REUT" hidden="1">"c5413"</definedName>
    <definedName name="IQ_EST_EBIT_DIFF_THOM" hidden="1">"c5192"</definedName>
    <definedName name="IQ_EST_EBIT_GW_DIFF" hidden="1">"c4304"</definedName>
    <definedName name="IQ_EST_EBIT_GW_DIFF_CIQ_COL" hidden="1">"c11476"</definedName>
    <definedName name="IQ_EST_EBIT_GW_SURPRISE_PERCENT" hidden="1">"c4313"</definedName>
    <definedName name="IQ_EST_EBIT_GW_SURPRISE_PERCENT_CIQ_COL" hidden="1">"c11485"</definedName>
    <definedName name="IQ_EST_EBIT_SBC_DIFF" hidden="1">"c4314"</definedName>
    <definedName name="IQ_EST_EBIT_SBC_DIFF_CIQ_COL" hidden="1">"c11486"</definedName>
    <definedName name="IQ_EST_EBIT_SBC_GW_DIFF" hidden="1">"c4318"</definedName>
    <definedName name="IQ_EST_EBIT_SBC_GW_DIFF_CIQ_COL" hidden="1">"c11490"</definedName>
    <definedName name="IQ_EST_EBIT_SBC_GW_SURPRISE_PERCENT" hidden="1">"c4327"</definedName>
    <definedName name="IQ_EST_EBIT_SBC_GW_SURPRISE_PERCENT_CIQ_COL" hidden="1">"c11499"</definedName>
    <definedName name="IQ_EST_EBIT_SBC_SURPRISE_PERCENT" hidden="1">"c4333"</definedName>
    <definedName name="IQ_EST_EBIT_SBC_SURPRISE_PERCENT_CIQ_COL" hidden="1">"c11505"</definedName>
    <definedName name="IQ_EST_EBIT_SURPRISE_PERCENT" hidden="1">"c1876"</definedName>
    <definedName name="IQ_EST_EBIT_SURPRISE_PERCENT_REUT" hidden="1">"c5414"</definedName>
    <definedName name="IQ_EST_EBIT_SURPRISE_PERCENT_THOM" hidden="1">"c5193"</definedName>
    <definedName name="IQ_EST_EBITDA_DIFF" hidden="1">"c1867"</definedName>
    <definedName name="IQ_EST_EBITDA_DIFF_CIQ" hidden="1">"c3719"</definedName>
    <definedName name="IQ_EST_EBITDA_DIFF_REUT" hidden="1">"c3888"</definedName>
    <definedName name="IQ_EST_EBITDA_DIFF_THOM" hidden="1">"c5184"</definedName>
    <definedName name="IQ_EST_EBITDA_GROWTH_1YR" hidden="1">"c1766"</definedName>
    <definedName name="IQ_EST_EBITDA_GROWTH_1YR_CIQ" hidden="1">"c3695"</definedName>
    <definedName name="IQ_EST_EBITDA_GROWTH_1YR_REUT" hidden="1">"c3864"</definedName>
    <definedName name="IQ_EST_EBITDA_GROWTH_1YR_THOM" hidden="1">"c5161"</definedName>
    <definedName name="IQ_EST_EBITDA_GROWTH_2YR" hidden="1">"c1767"</definedName>
    <definedName name="IQ_EST_EBITDA_GROWTH_2YR_CIQ" hidden="1">"c3696"</definedName>
    <definedName name="IQ_EST_EBITDA_GROWTH_2YR_REUT" hidden="1">"c3865"</definedName>
    <definedName name="IQ_EST_EBITDA_GROWTH_2YR_THOM" hidden="1">"c5162"</definedName>
    <definedName name="IQ_EST_EBITDA_GROWTH_Q_1YR" hidden="1">"c1768"</definedName>
    <definedName name="IQ_EST_EBITDA_GROWTH_Q_1YR_CIQ" hidden="1">"c3697"</definedName>
    <definedName name="IQ_EST_EBITDA_GROWTH_Q_1YR_REUT" hidden="1">"c3866"</definedName>
    <definedName name="IQ_EST_EBITDA_GROWTH_Q_1YR_THOM" hidden="1">"c5163"</definedName>
    <definedName name="IQ_EST_EBITDA_SBC_DIFF" hidden="1">"c4335"</definedName>
    <definedName name="IQ_EST_EBITDA_SBC_DIFF_CIQ_COL" hidden="1">"c11507"</definedName>
    <definedName name="IQ_EST_EBITDA_SBC_SURPRISE_PERCENT" hidden="1">"c4344"</definedName>
    <definedName name="IQ_EST_EBITDA_SBC_SURPRISE_PERCENT_CIQ_COL" hidden="1">"c11516"</definedName>
    <definedName name="IQ_EST_EBITDA_SEQ_GROWTH_Q" hidden="1">"c1769"</definedName>
    <definedName name="IQ_EST_EBITDA_SEQ_GROWTH_Q_CIQ" hidden="1">"c3698"</definedName>
    <definedName name="IQ_EST_EBITDA_SEQ_GROWTH_Q_REUT" hidden="1">"c3867"</definedName>
    <definedName name="IQ_EST_EBITDA_SEQ_GROWTH_Q_THOM" hidden="1">"c5164"</definedName>
    <definedName name="IQ_EST_EBITDA_SURPRISE_PERCENT" hidden="1">"c1868"</definedName>
    <definedName name="IQ_EST_EBITDA_SURPRISE_PERCENT_CIQ" hidden="1">"c3720"</definedName>
    <definedName name="IQ_EST_EBITDA_SURPRISE_PERCENT_REUT" hidden="1">"c3889"</definedName>
    <definedName name="IQ_EST_EBITDA_SURPRISE_PERCENT_THOM" hidden="1">"c5185"</definedName>
    <definedName name="IQ_EST_EBT_SBC_DIFF" hidden="1">"c4348"</definedName>
    <definedName name="IQ_EST_EBT_SBC_DIFF_CIQ_COL" hidden="1">"c11520"</definedName>
    <definedName name="IQ_EST_EBT_SBC_GW_DIFF" hidden="1">"c4352"</definedName>
    <definedName name="IQ_EST_EBT_SBC_GW_DIFF_CIQ_COL" hidden="1">"c11524"</definedName>
    <definedName name="IQ_EST_EBT_SBC_GW_SURPRISE_PERCENT" hidden="1">"c4361"</definedName>
    <definedName name="IQ_EST_EBT_SBC_GW_SURPRISE_PERCENT_CIQ_COL" hidden="1">"c11533"</definedName>
    <definedName name="IQ_EST_EBT_SBC_SURPRISE_PERCENT" hidden="1">"c4367"</definedName>
    <definedName name="IQ_EST_EBT_SBC_SURPRISE_PERCENT_CIQ_COL" hidden="1">"c11539"</definedName>
    <definedName name="IQ_EST_EPS_DIFF" hidden="1">"c1864"</definedName>
    <definedName name="IQ_EST_EPS_DIFF_CIQ" hidden="1">"c4999"</definedName>
    <definedName name="IQ_EST_EPS_DIFF_REUT" hidden="1">"c5458"</definedName>
    <definedName name="IQ_EST_EPS_DIFF_THOM" hidden="1">"c5295"</definedName>
    <definedName name="IQ_EST_EPS_GROWTH_1YR" hidden="1">"c1636"</definedName>
    <definedName name="IQ_EST_EPS_GROWTH_1YR_CIQ" hidden="1">"c3628"</definedName>
    <definedName name="IQ_EST_EPS_GROWTH_1YR_REUT" hidden="1">"c3646"</definedName>
    <definedName name="IQ_EST_EPS_GROWTH_1YR_THOM" hidden="1">"c3664"</definedName>
    <definedName name="IQ_EST_EPS_GROWTH_2YR" hidden="1">"c1637"</definedName>
    <definedName name="IQ_EST_EPS_GROWTH_2YR_CIQ" hidden="1">"c3689"</definedName>
    <definedName name="IQ_EST_EPS_GROWTH_2YR_REUT" hidden="1">"c3858"</definedName>
    <definedName name="IQ_EST_EPS_GROWTH_2YR_THOM" hidden="1">"c5154"</definedName>
    <definedName name="IQ_EST_EPS_GROWTH_5YR" hidden="1">"c1655"</definedName>
    <definedName name="IQ_EST_EPS_GROWTH_5YR_BOTTOM_UP" hidden="1">"c5487"</definedName>
    <definedName name="IQ_EST_EPS_GROWTH_5YR_BOTTOM_UP_CIQ" hidden="1">"c12024"</definedName>
    <definedName name="IQ_EST_EPS_GROWTH_5YR_BOTTOM_UP_REUT" hidden="1">"c5495"</definedName>
    <definedName name="IQ_EST_EPS_GROWTH_5YR_CIQ" hidden="1">"c3615"</definedName>
    <definedName name="IQ_EST_EPS_GROWTH_5YR_HIGH" hidden="1">"c1657"</definedName>
    <definedName name="IQ_EST_EPS_GROWTH_5YR_HIGH_CIQ" hidden="1">"c4663"</definedName>
    <definedName name="IQ_EST_EPS_GROWTH_5YR_HIGH_REUT" hidden="1">"c5322"</definedName>
    <definedName name="IQ_EST_EPS_GROWTH_5YR_HIGH_THOM" hidden="1">"c5101"</definedName>
    <definedName name="IQ_EST_EPS_GROWTH_5YR_LOW" hidden="1">"c1658"</definedName>
    <definedName name="IQ_EST_EPS_GROWTH_5YR_LOW_CIQ" hidden="1">"c4664"</definedName>
    <definedName name="IQ_EST_EPS_GROWTH_5YR_LOW_REUT" hidden="1">"c5323"</definedName>
    <definedName name="IQ_EST_EPS_GROWTH_5YR_LOW_THOM" hidden="1">"c5102"</definedName>
    <definedName name="IQ_EST_EPS_GROWTH_5YR_MEDIAN" hidden="1">"c1656"</definedName>
    <definedName name="IQ_EST_EPS_GROWTH_5YR_MEDIAN_CIQ" hidden="1">"c5480"</definedName>
    <definedName name="IQ_EST_EPS_GROWTH_5YR_MEDIAN_REUT" hidden="1">"c5321"</definedName>
    <definedName name="IQ_EST_EPS_GROWTH_5YR_MEDIAN_THOM" hidden="1">"c5100"</definedName>
    <definedName name="IQ_EST_EPS_GROWTH_5YR_NUM" hidden="1">"c1659"</definedName>
    <definedName name="IQ_EST_EPS_GROWTH_5YR_NUM_CIQ" hidden="1">"c4665"</definedName>
    <definedName name="IQ_EST_EPS_GROWTH_5YR_NUM_REUT" hidden="1">"c5324"</definedName>
    <definedName name="IQ_EST_EPS_GROWTH_5YR_NUM_THOM" hidden="1">"c5103"</definedName>
    <definedName name="IQ_EST_EPS_GROWTH_5YR_REUT" hidden="1">"c3633"</definedName>
    <definedName name="IQ_EST_EPS_GROWTH_5YR_STDDEV" hidden="1">"c1660"</definedName>
    <definedName name="IQ_EST_EPS_GROWTH_5YR_STDDEV_CIQ" hidden="1">"c4666"</definedName>
    <definedName name="IQ_EST_EPS_GROWTH_5YR_STDDEV_REUT" hidden="1">"c5325"</definedName>
    <definedName name="IQ_EST_EPS_GROWTH_5YR_STDDEV_THOM" hidden="1">"c5104"</definedName>
    <definedName name="IQ_EST_EPS_GROWTH_5YR_THOM" hidden="1">"c3651"</definedName>
    <definedName name="IQ_EST_EPS_GROWTH_Q_1YR" hidden="1">"c1641"</definedName>
    <definedName name="IQ_EST_EPS_GROWTH_Q_1YR_CIQ" hidden="1">"c4744"</definedName>
    <definedName name="IQ_EST_EPS_GROWTH_Q_1YR_REUT" hidden="1">"c5410"</definedName>
    <definedName name="IQ_EST_EPS_GROWTH_Q_1YR_THOM" hidden="1">"c5155"</definedName>
    <definedName name="IQ_EST_EPS_GW_DIFF" hidden="1">"c1891"</definedName>
    <definedName name="IQ_EST_EPS_GW_DIFF_CIQ" hidden="1">"c4761"</definedName>
    <definedName name="IQ_EST_EPS_GW_DIFF_REUT" hidden="1">"c5429"</definedName>
    <definedName name="IQ_EST_EPS_GW_DIFF_THOM" hidden="1">"c5200"</definedName>
    <definedName name="IQ_EST_EPS_GW_SURPRISE_PERCENT" hidden="1">"c1892"</definedName>
    <definedName name="IQ_EST_EPS_GW_SURPRISE_PERCENT_CIQ" hidden="1">"c4762"</definedName>
    <definedName name="IQ_EST_EPS_GW_SURPRISE_PERCENT_REUT" hidden="1">"c5430"</definedName>
    <definedName name="IQ_EST_EPS_GW_SURPRISE_PERCENT_THOM" hidden="1">"c5201"</definedName>
    <definedName name="IQ_EST_EPS_NORM_DIFF" hidden="1">"c2247"</definedName>
    <definedName name="IQ_EST_EPS_NORM_DIFF_CIQ" hidden="1">"c4745"</definedName>
    <definedName name="IQ_EST_EPS_NORM_DIFF_REUT" hidden="1">"c5411"</definedName>
    <definedName name="IQ_EST_EPS_NORM_SURPRISE_PERCENT" hidden="1">"c2248"</definedName>
    <definedName name="IQ_EST_EPS_NORM_SURPRISE_PERCENT_CIQ" hidden="1">"c4746"</definedName>
    <definedName name="IQ_EST_EPS_NORM_SURPRISE_PERCENT_REUT" hidden="1">"c5412"</definedName>
    <definedName name="IQ_EST_EPS_REPORT_DIFF" hidden="1">"c1893"</definedName>
    <definedName name="IQ_EST_EPS_REPORT_DIFF_CIQ" hidden="1">"c4763"</definedName>
    <definedName name="IQ_EST_EPS_REPORT_DIFF_REUT" hidden="1">"c5431"</definedName>
    <definedName name="IQ_EST_EPS_REPORT_DIFF_THOM" hidden="1">"c5202"</definedName>
    <definedName name="IQ_EST_EPS_REPORT_SURPRISE_PERCENT" hidden="1">"c1894"</definedName>
    <definedName name="IQ_EST_EPS_REPORT_SURPRISE_PERCENT_CIQ" hidden="1">"c4764"</definedName>
    <definedName name="IQ_EST_EPS_REPORT_SURPRISE_PERCENT_REUT" hidden="1">"c5432"</definedName>
    <definedName name="IQ_EST_EPS_REPORT_SURPRISE_PERCENT_THOM" hidden="1">"c5203"</definedName>
    <definedName name="IQ_EST_EPS_SBC_DIFF" hidden="1">"c4374"</definedName>
    <definedName name="IQ_EST_EPS_SBC_DIFF_CIQ_COL" hidden="1">"c11546"</definedName>
    <definedName name="IQ_EST_EPS_SBC_GW_DIFF" hidden="1">"c4378"</definedName>
    <definedName name="IQ_EST_EPS_SBC_GW_DIFF_CIQ_COL" hidden="1">"c11550"</definedName>
    <definedName name="IQ_EST_EPS_SBC_GW_SURPRISE_PERCENT" hidden="1">"c4387"</definedName>
    <definedName name="IQ_EST_EPS_SBC_GW_SURPRISE_PERCENT_CIQ_COL" hidden="1">"c11559"</definedName>
    <definedName name="IQ_EST_EPS_SBC_SURPRISE_PERCENT" hidden="1">"c4393"</definedName>
    <definedName name="IQ_EST_EPS_SBC_SURPRISE_PERCENT_CIQ_COL" hidden="1">"c11565"</definedName>
    <definedName name="IQ_EST_EPS_SEQ_GROWTH_Q" hidden="1">"c1764"</definedName>
    <definedName name="IQ_EST_EPS_SEQ_GROWTH_Q_CIQ" hidden="1">"c3690"</definedName>
    <definedName name="IQ_EST_EPS_SEQ_GROWTH_Q_REUT" hidden="1">"c3859"</definedName>
    <definedName name="IQ_EST_EPS_SEQ_GROWTH_Q_THOM" hidden="1">"c5156"</definedName>
    <definedName name="IQ_EST_EPS_SURPRISE" hidden="1">"c1635"</definedName>
    <definedName name="IQ_EST_EPS_SURPRISE_PERCENT" hidden="1">"c1635"</definedName>
    <definedName name="IQ_EST_EPS_SURPRISE_PERCENT_CIQ" hidden="1">"c5000"</definedName>
    <definedName name="IQ_EST_EPS_SURPRISE_PERCENT_REUT" hidden="1">"c5459"</definedName>
    <definedName name="IQ_EST_EPS_SURPRISE_PERCENT_THOM" hidden="1">"c5296"</definedName>
    <definedName name="IQ_EST_FAIR_VALUE_MORT_SERVICING_ASSETS_FFIEC" hidden="1">"c12956"</definedName>
    <definedName name="IQ_EST_FFO_ADJ_DIFF" hidden="1">"c4433"</definedName>
    <definedName name="IQ_EST_FFO_ADJ_DIFF_CIQ_COL" hidden="1">"c11605"</definedName>
    <definedName name="IQ_EST_FFO_ADJ_GROWTH_1YR" hidden="1">"c4421"</definedName>
    <definedName name="IQ_EST_FFO_ADJ_GROWTH_1YR_CIQ_COL" hidden="1">"c11593"</definedName>
    <definedName name="IQ_EST_FFO_ADJ_GROWTH_2YR" hidden="1">"c4422"</definedName>
    <definedName name="IQ_EST_FFO_ADJ_GROWTH_2YR_CIQ_COL" hidden="1">"c11594"</definedName>
    <definedName name="IQ_EST_FFO_ADJ_GROWTH_Q_1YR" hidden="1">"c4423"</definedName>
    <definedName name="IQ_EST_FFO_ADJ_GROWTH_Q_1YR_CIQ_COL" hidden="1">"c11595"</definedName>
    <definedName name="IQ_EST_FFO_ADJ_SEQ_GROWTH_Q" hidden="1">"c4424"</definedName>
    <definedName name="IQ_EST_FFO_ADJ_SEQ_GROWTH_Q_CIQ_COL" hidden="1">"c11596"</definedName>
    <definedName name="IQ_EST_FFO_ADJ_SURPRISE_PERCENT" hidden="1">"c4442"</definedName>
    <definedName name="IQ_EST_FFO_ADJ_SURPRISE_PERCENT_CIQ_COL" hidden="1">"c11614"</definedName>
    <definedName name="IQ_EST_FFO_DIFF" hidden="1">"c1869"</definedName>
    <definedName name="IQ_EST_FFO_DIFF_CIQ_COL" hidden="1">"c11616"</definedName>
    <definedName name="IQ_EST_FFO_DIFF_REUT" hidden="1">"c3890"</definedName>
    <definedName name="IQ_EST_FFO_DIFF_THOM" hidden="1">"c5186"</definedName>
    <definedName name="IQ_EST_FFO_GROWTH_1YR" hidden="1">"c1770"</definedName>
    <definedName name="IQ_EST_FFO_GROWTH_1YR_CIQ_COL" hidden="1">"c11597"</definedName>
    <definedName name="IQ_EST_FFO_GROWTH_1YR_REUT" hidden="1">"c3874"</definedName>
    <definedName name="IQ_EST_FFO_GROWTH_1YR_THOM" hidden="1">"c5170"</definedName>
    <definedName name="IQ_EST_FFO_GROWTH_2YR" hidden="1">"c1771"</definedName>
    <definedName name="IQ_EST_FFO_GROWTH_2YR_CIQ_COL" hidden="1">"c11598"</definedName>
    <definedName name="IQ_EST_FFO_GROWTH_2YR_REUT" hidden="1">"c3875"</definedName>
    <definedName name="IQ_EST_FFO_GROWTH_2YR_THOM" hidden="1">"c5171"</definedName>
    <definedName name="IQ_EST_FFO_GROWTH_Q_1YR" hidden="1">"c1772"</definedName>
    <definedName name="IQ_EST_FFO_GROWTH_Q_1YR_CIQ_COL" hidden="1">"c11599"</definedName>
    <definedName name="IQ_EST_FFO_GROWTH_Q_1YR_REUT" hidden="1">"c3876"</definedName>
    <definedName name="IQ_EST_FFO_GROWTH_Q_1YR_THOM" hidden="1">"c5172"</definedName>
    <definedName name="IQ_EST_FFO_SEQ_GROWTH_Q" hidden="1">"c1773"</definedName>
    <definedName name="IQ_EST_FFO_SEQ_GROWTH_Q_CIQ_COL" hidden="1">"c11600"</definedName>
    <definedName name="IQ_EST_FFO_SEQ_GROWTH_Q_REUT" hidden="1">"c3877"</definedName>
    <definedName name="IQ_EST_FFO_SEQ_GROWTH_Q_THOM" hidden="1">"c5173"</definedName>
    <definedName name="IQ_EST_FFO_SHARE_DIFF" hidden="1">"c1869"</definedName>
    <definedName name="IQ_EST_FFO_SHARE_DIFF_THOM" hidden="1">"c5186"</definedName>
    <definedName name="IQ_EST_FFO_SHARE_GROWTH_1YR" hidden="1">"c1770"</definedName>
    <definedName name="IQ_EST_FFO_SHARE_GROWTH_2YR" hidden="1">"c1771"</definedName>
    <definedName name="IQ_EST_FFO_SHARE_GROWTH_Q_1YR" hidden="1">"c1772"</definedName>
    <definedName name="IQ_EST_FFO_SHARE_SEQ_GROWTH_Q" hidden="1">"c1773"</definedName>
    <definedName name="IQ_EST_FFO_SHARE_SHARE_DIFF_REUT" hidden="1">"c3890"</definedName>
    <definedName name="IQ_EST_FFO_SHARE_SHARE_SURPRISE_PERCENT_REUT" hidden="1">"c3891"</definedName>
    <definedName name="IQ_EST_FFO_SHARE_SURPRISE_PERCENT" hidden="1">"c1870"</definedName>
    <definedName name="IQ_EST_FFO_SHARE_SURPRISE_PERCENT_THOM" hidden="1">"c5187"</definedName>
    <definedName name="IQ_EST_FFO_SURPRISE_PERCENT" hidden="1">"c1870"</definedName>
    <definedName name="IQ_EST_FFO_SURPRISE_PERCENT_CIQ_COL" hidden="1">"c11629"</definedName>
    <definedName name="IQ_EST_FFO_SURPRISE_PERCENT_REUT" hidden="1">"c3891"</definedName>
    <definedName name="IQ_EST_FFO_SURPRISE_PERCENT_THOM" hidden="1">"c5187"</definedName>
    <definedName name="IQ_EST_FOOTNOTE" hidden="1">"c4540"</definedName>
    <definedName name="IQ_EST_FOOTNOTE_CIQ" hidden="1">"c12022"</definedName>
    <definedName name="IQ_EST_FOOTNOTE_REUT" hidden="1">"c5478"</definedName>
    <definedName name="IQ_EST_FOOTNOTE_THOM" hidden="1">"c5313"</definedName>
    <definedName name="IQ_EST_MAINT_CAPEX_DIFF" hidden="1">"c4456"</definedName>
    <definedName name="IQ_EST_MAINT_CAPEX_DIFF_CIQ_COL" hidden="1">"c11632"</definedName>
    <definedName name="IQ_EST_MAINT_CAPEX_GROWTH_1YR" hidden="1">"c4429"</definedName>
    <definedName name="IQ_EST_MAINT_CAPEX_GROWTH_1YR_CIQ_COL" hidden="1">"c11601"</definedName>
    <definedName name="IQ_EST_MAINT_CAPEX_GROWTH_2YR" hidden="1">"c4430"</definedName>
    <definedName name="IQ_EST_MAINT_CAPEX_GROWTH_2YR_CIQ_COL" hidden="1">"c11602"</definedName>
    <definedName name="IQ_EST_MAINT_CAPEX_GROWTH_Q_1YR" hidden="1">"c4431"</definedName>
    <definedName name="IQ_EST_MAINT_CAPEX_GROWTH_Q_1YR_CIQ_COL" hidden="1">"c11603"</definedName>
    <definedName name="IQ_EST_MAINT_CAPEX_SEQ_GROWTH_Q" hidden="1">"c4432"</definedName>
    <definedName name="IQ_EST_MAINT_CAPEX_SEQ_GROWTH_Q_CIQ_COL" hidden="1">"c11604"</definedName>
    <definedName name="IQ_EST_MAINT_CAPEX_SURPRISE_PERCENT" hidden="1">"c4465"</definedName>
    <definedName name="IQ_EST_MAINT_CAPEX_SURPRISE_PERCENT_CIQ_COL" hidden="1">"c11650"</definedName>
    <definedName name="IQ_EST_NAV_DIFF" hidden="1">"c1895"</definedName>
    <definedName name="IQ_EST_NAV_SHARE_SURPRISE_PERCENT" hidden="1">"c1896"</definedName>
    <definedName name="IQ_EST_NAV_SURPRISE_PERCENT" hidden="1">"c1896"</definedName>
    <definedName name="IQ_EST_NET_DEBT_DIFF" hidden="1">"c4466"</definedName>
    <definedName name="IQ_EST_NET_DEBT_SURPRISE_PERCENT" hidden="1">"c4468"</definedName>
    <definedName name="IQ_EST_NEXT_EARNINGS_DATE" hidden="1">"c13591"</definedName>
    <definedName name="IQ_EST_NI_DIFF" hidden="1">"c1885"</definedName>
    <definedName name="IQ_EST_NI_DIFF_REUT" hidden="1">"c5423"</definedName>
    <definedName name="IQ_EST_NI_DIFF_THOM" hidden="1">"c5198"</definedName>
    <definedName name="IQ_EST_NI_GW_DIFF" hidden="1">"c1887"</definedName>
    <definedName name="IQ_EST_NI_GW_DIFF_REUT" hidden="1">"c5425"</definedName>
    <definedName name="IQ_EST_NI_GW_DIFF_THOM" hidden="1">"c5200"</definedName>
    <definedName name="IQ_EST_NI_GW_SURPRISE_PERCENT" hidden="1">"c1888"</definedName>
    <definedName name="IQ_EST_NI_GW_SURPRISE_PERCENT_REUT" hidden="1">"c5426"</definedName>
    <definedName name="IQ_EST_NI_GW_SURPRISE_PERCENT_THOM" hidden="1">"c5201"</definedName>
    <definedName name="IQ_EST_NI_REPORT_DIFF" hidden="1">"c1889"</definedName>
    <definedName name="IQ_EST_NI_REPORT_DIFF_REUT" hidden="1">"c5427"</definedName>
    <definedName name="IQ_EST_NI_REPORT_SURPRISE_PERCENT" hidden="1">"c1890"</definedName>
    <definedName name="IQ_EST_NI_REPORT_SURPRISE_PERCENT_REUT" hidden="1">"c5428"</definedName>
    <definedName name="IQ_EST_NI_SBC_DIFF" hidden="1">"c4472"</definedName>
    <definedName name="IQ_EST_NI_SBC_DIFF_CIQ_COL" hidden="1">"c11657"</definedName>
    <definedName name="IQ_EST_NI_SBC_GW_DIFF" hidden="1">"c4476"</definedName>
    <definedName name="IQ_EST_NI_SBC_GW_DIFF_CIQ_COL" hidden="1">"c11661"</definedName>
    <definedName name="IQ_EST_NI_SBC_GW_SURPRISE_PERCENT" hidden="1">"c4485"</definedName>
    <definedName name="IQ_EST_NI_SBC_GW_SURPRISE_PERCENT_CIQ_COL" hidden="1">"c11670"</definedName>
    <definedName name="IQ_EST_NI_SBC_SURPRISE_PERCENT" hidden="1">"c4491"</definedName>
    <definedName name="IQ_EST_NI_SBC_SURPRISE_PERCENT_CIQ_COL" hidden="1">"c11676"</definedName>
    <definedName name="IQ_EST_NI_SURPRISE_PERCENT" hidden="1">"c1886"</definedName>
    <definedName name="IQ_EST_NI_SURPRISE_PERCENT_REUT" hidden="1">"c5424"</definedName>
    <definedName name="IQ_EST_NI_SURPRISE_PERCENT_THOM" hidden="1">"c5199"</definedName>
    <definedName name="IQ_EST_NUM_BUY" hidden="1">"c1759"</definedName>
    <definedName name="IQ_EST_NUM_BUY_CIQ" hidden="1">"c3700"</definedName>
    <definedName name="IQ_EST_NUM_BUY_REUT" hidden="1">"c3869"</definedName>
    <definedName name="IQ_EST_NUM_BUY_THOM" hidden="1">"c5165"</definedName>
    <definedName name="IQ_EST_NUM_HIGH_REC" hidden="1">"c5649"</definedName>
    <definedName name="IQ_EST_NUM_HIGH_REC_CIQ" hidden="1">"c3701"</definedName>
    <definedName name="IQ_EST_NUM_HIGH_REC_REUT" hidden="1">"c3870"</definedName>
    <definedName name="IQ_EST_NUM_HIGH_REC_THOM" hidden="1">"c5166"</definedName>
    <definedName name="IQ_EST_NUM_HIGHEST_REC" hidden="1">"c5648"</definedName>
    <definedName name="IQ_EST_NUM_HIGHEST_REC_CIQ" hidden="1">"c3700"</definedName>
    <definedName name="IQ_EST_NUM_HIGHEST_REC_REUT" hidden="1">"c3869"</definedName>
    <definedName name="IQ_EST_NUM_HIGHEST_REC_THOM" hidden="1">"c5165"</definedName>
    <definedName name="IQ_EST_NUM_HOLD" hidden="1">"c1761"</definedName>
    <definedName name="IQ_EST_NUM_HOLD_CIQ" hidden="1">"c3702"</definedName>
    <definedName name="IQ_EST_NUM_HOLD_REUT" hidden="1">"c3871"</definedName>
    <definedName name="IQ_EST_NUM_HOLD_THOM" hidden="1">"c5167"</definedName>
    <definedName name="IQ_EST_NUM_LOW_REC" hidden="1">"c5651"</definedName>
    <definedName name="IQ_EST_NUM_LOW_REC_CIQ" hidden="1">"c3703"</definedName>
    <definedName name="IQ_EST_NUM_LOW_REC_REUT" hidden="1">"c3872"</definedName>
    <definedName name="IQ_EST_NUM_LOW_REC_THOM" hidden="1">"c5168"</definedName>
    <definedName name="IQ_EST_NUM_LOWEST_REC" hidden="1">"c5652"</definedName>
    <definedName name="IQ_EST_NUM_LOWEST_REC_CIQ" hidden="1">"c3704"</definedName>
    <definedName name="IQ_EST_NUM_LOWEST_REC_REUT" hidden="1">"c3873"</definedName>
    <definedName name="IQ_EST_NUM_LOWEST_REC_THOM" hidden="1">"c5169"</definedName>
    <definedName name="IQ_EST_NUM_NEUTRAL_REC" hidden="1">"c5650"</definedName>
    <definedName name="IQ_EST_NUM_NEUTRAL_REC_CIQ" hidden="1">"c3702"</definedName>
    <definedName name="IQ_EST_NUM_NEUTRAL_REC_REUT" hidden="1">"c3871"</definedName>
    <definedName name="IQ_EST_NUM_NEUTRAL_REC_THOM" hidden="1">"c5167"</definedName>
    <definedName name="IQ_EST_NUM_NO_OPINION" hidden="1">"c1758"</definedName>
    <definedName name="IQ_EST_NUM_NO_OPINION_CIQ" hidden="1">"c3699"</definedName>
    <definedName name="IQ_EST_NUM_NO_OPINION_REUT" hidden="1">"c3868"</definedName>
    <definedName name="IQ_EST_NUM_OUTPERFORM" hidden="1">"c1760"</definedName>
    <definedName name="IQ_EST_NUM_OUTPERFORM_CIQ" hidden="1">"c3701"</definedName>
    <definedName name="IQ_EST_NUM_OUTPERFORM_REUT" hidden="1">"c3870"</definedName>
    <definedName name="IQ_EST_NUM_OUTPERFORM_THOM" hidden="1">"c5166"</definedName>
    <definedName name="IQ_EST_NUM_SELL" hidden="1">"c1763"</definedName>
    <definedName name="IQ_EST_NUM_SELL_CIQ" hidden="1">"c3704"</definedName>
    <definedName name="IQ_EST_NUM_SELL_REUT" hidden="1">"c3873"</definedName>
    <definedName name="IQ_EST_NUM_SELL_THOM" hidden="1">"c5169"</definedName>
    <definedName name="IQ_EST_NUM_UNDERPERFORM" hidden="1">"c1762"</definedName>
    <definedName name="IQ_EST_NUM_UNDERPERFORM_CIQ" hidden="1">"c3703"</definedName>
    <definedName name="IQ_EST_NUM_UNDERPERFORM_REUT" hidden="1">"c3872"</definedName>
    <definedName name="IQ_EST_NUM_UNDERPERFORM_THOM" hidden="1">"c5168"</definedName>
    <definedName name="IQ_EST_OPER_INC_DIFF" hidden="1">"c1877"</definedName>
    <definedName name="IQ_EST_OPER_INC_DIFF_REUT" hidden="1">"c5415"</definedName>
    <definedName name="IQ_EST_OPER_INC_DIFF_THOM" hidden="1">"c5194"</definedName>
    <definedName name="IQ_EST_OPER_INC_SURPRISE_PERCENT" hidden="1">"c1878"</definedName>
    <definedName name="IQ_EST_OPER_INC_SURPRISE_PERCENT_REUT" hidden="1">"c5416"</definedName>
    <definedName name="IQ_EST_OPER_INC_SURPRISE_PERCENT_THOM" hidden="1">"c5195"</definedName>
    <definedName name="IQ_EST_PERIOD_ID" hidden="1">"c13923"</definedName>
    <definedName name="IQ_EST_PRE_TAX_DIFF" hidden="1">"c1879"</definedName>
    <definedName name="IQ_EST_PRE_TAX_DIFF_REUT" hidden="1">"c5417"</definedName>
    <definedName name="IQ_EST_PRE_TAX_DIFF_THOM" hidden="1">"c5196"</definedName>
    <definedName name="IQ_EST_PRE_TAX_GW_DIFF" hidden="1">"c1881"</definedName>
    <definedName name="IQ_EST_PRE_TAX_GW_DIFF_REUT" hidden="1">"c5419"</definedName>
    <definedName name="IQ_EST_PRE_TAX_GW_SURPRISE_PERCENT" hidden="1">"c1882"</definedName>
    <definedName name="IQ_EST_PRE_TAX_GW_SURPRISE_PERCENT_REUT" hidden="1">"c5420"</definedName>
    <definedName name="IQ_EST_PRE_TAX_REPORT_DIFF" hidden="1">"c1883"</definedName>
    <definedName name="IQ_EST_PRE_TAX_REPORT_DIFF_REUT" hidden="1">"c5421"</definedName>
    <definedName name="IQ_EST_PRE_TAX_REPORT_SURPRISE_PERCENT" hidden="1">"c1884"</definedName>
    <definedName name="IQ_EST_PRE_TAX_REPORT_SURPRISE_PERCENT_REUT" hidden="1">"c5422"</definedName>
    <definedName name="IQ_EST_PRE_TAX_SURPRISE_PERCENT" hidden="1">"c1880"</definedName>
    <definedName name="IQ_EST_PRE_TAX_SURPRISE_PERCENT_REUT" hidden="1">"c5418"</definedName>
    <definedName name="IQ_EST_PRE_TAX_SURPRISE_PERCENT_THOM" hidden="1">"c5197"</definedName>
    <definedName name="IQ_EST_RECURRING_PROFIT_SHARE_DIFF" hidden="1">"c4505"</definedName>
    <definedName name="IQ_EST_RECURRING_PROFIT_SHARE_DIFF_CIQ_COL" hidden="1">"c11690"</definedName>
    <definedName name="IQ_EST_RECURRING_PROFIT_SHARE_SURPRISE_PERCENT" hidden="1">"c4515"</definedName>
    <definedName name="IQ_EST_RECURRING_PROFIT_SHARE_SURPRISE_PERCENT_CIQ_COL" hidden="1">"c11700"</definedName>
    <definedName name="IQ_EST_REUT_ACT_CAPEX" hidden="1">"c3975"</definedName>
    <definedName name="IQ_EST_REV_DIFF" hidden="1">"c1865"</definedName>
    <definedName name="IQ_EST_REV_DIFF_CIQ" hidden="1">"c3717"</definedName>
    <definedName name="IQ_EST_REV_DIFF_REUT" hidden="1">"c3886"</definedName>
    <definedName name="IQ_EST_REV_DIFF_THOM" hidden="1">"c5182"</definedName>
    <definedName name="IQ_EST_REV_GROWTH_1YR" hidden="1">"c1638"</definedName>
    <definedName name="IQ_EST_REV_GROWTH_1YR_CIQ" hidden="1">"c3691"</definedName>
    <definedName name="IQ_EST_REV_GROWTH_1YR_REUT" hidden="1">"c3860"</definedName>
    <definedName name="IQ_EST_REV_GROWTH_1YR_THOM" hidden="1">"c5157"</definedName>
    <definedName name="IQ_EST_REV_GROWTH_2YR" hidden="1">"c1639"</definedName>
    <definedName name="IQ_EST_REV_GROWTH_2YR_CIQ" hidden="1">"c3692"</definedName>
    <definedName name="IQ_EST_REV_GROWTH_2YR_REUT" hidden="1">"c3861"</definedName>
    <definedName name="IQ_EST_REV_GROWTH_2YR_THOM" hidden="1">"c5158"</definedName>
    <definedName name="IQ_EST_REV_GROWTH_Q_1YR" hidden="1">"c1640"</definedName>
    <definedName name="IQ_EST_REV_GROWTH_Q_1YR_CIQ" hidden="1">"c3693"</definedName>
    <definedName name="IQ_EST_REV_GROWTH_Q_1YR_REUT" hidden="1">"c3862"</definedName>
    <definedName name="IQ_EST_REV_GROWTH_Q_1YR_THOM" hidden="1">"c5159"</definedName>
    <definedName name="IQ_EST_REV_SEQ_GROWTH_Q" hidden="1">"c1765"</definedName>
    <definedName name="IQ_EST_REV_SEQ_GROWTH_Q_CIQ" hidden="1">"c3694"</definedName>
    <definedName name="IQ_EST_REV_SEQ_GROWTH_Q_REUT" hidden="1">"c3863"</definedName>
    <definedName name="IQ_EST_REV_SEQ_GROWTH_Q_THOM" hidden="1">"c5160"</definedName>
    <definedName name="IQ_EST_REV_SURPRISE_PERCENT" hidden="1">"c1866"</definedName>
    <definedName name="IQ_EST_REV_SURPRISE_PERCENT_CIQ" hidden="1">"c3718"</definedName>
    <definedName name="IQ_EST_REV_SURPRISE_PERCENT_REUT" hidden="1">"c3887"</definedName>
    <definedName name="IQ_EST_REV_SURPRISE_PERCENT_THOM" hidden="1">"c5183"</definedName>
    <definedName name="IQ_EST_VENDOR" hidden="1">"c5564"</definedName>
    <definedName name="IQ_ESTIMATED_ASSESSABLE_DEPOSITS_FDIC" hidden="1">"c6490"</definedName>
    <definedName name="IQ_ESTIMATED_INSURED_DEPOSITS_FDIC" hidden="1">"c6491"</definedName>
    <definedName name="IQ_EV_OVER_EMPLOYEE" localSheetId="7" hidden="1">"c1428"</definedName>
    <definedName name="IQ_EV_OVER_EMPLOYEE" localSheetId="8" hidden="1">"c1428"</definedName>
    <definedName name="IQ_EV_OVER_EMPLOYEE" hidden="1">"c1428"</definedName>
    <definedName name="IQ_EV_OVER_LTM_EBIT" localSheetId="7" hidden="1">"c1426"</definedName>
    <definedName name="IQ_EV_OVER_LTM_EBIT" localSheetId="8" hidden="1">"c1426"</definedName>
    <definedName name="IQ_EV_OVER_LTM_EBIT" hidden="1">"c1426"</definedName>
    <definedName name="IQ_EV_OVER_LTM_EBITDA" localSheetId="7" hidden="1">"c1427"</definedName>
    <definedName name="IQ_EV_OVER_LTM_EBITDA" localSheetId="8" hidden="1">"c1427"</definedName>
    <definedName name="IQ_EV_OVER_LTM_EBITDA" hidden="1">"c1427"</definedName>
    <definedName name="IQ_EV_OVER_LTM_REVENUE" localSheetId="7" hidden="1">"c1429"</definedName>
    <definedName name="IQ_EV_OVER_LTM_REVENUE" localSheetId="8" hidden="1">"c1429"</definedName>
    <definedName name="IQ_EV_OVER_LTM_REVENUE" hidden="1">"c1429"</definedName>
    <definedName name="IQ_EV_OVER_REVENUE_EST" hidden="1">"IQ_EV_OVER_REVENUE_EST"</definedName>
    <definedName name="IQ_EV_OVER_REVENUE_EST_1" hidden="1">"IQ_EV_OVER_REVENUE_EST_1"</definedName>
    <definedName name="IQ_EVAL_DATE" hidden="1">"c2180"</definedName>
    <definedName name="IQ_EVENT_ADDRESS" hidden="1">"c19167"</definedName>
    <definedName name="IQ_EVENT_ADVISORS" hidden="1">"c19147"</definedName>
    <definedName name="IQ_EVENT_AGENDA" hidden="1">"c19168"</definedName>
    <definedName name="IQ_EVENT_CALL_DESCRIPTION" hidden="1">"c19154"</definedName>
    <definedName name="IQ_EVENT_CONTACT" hidden="1">"c19160"</definedName>
    <definedName name="IQ_EVENT_DATE" hidden="1">"c13819"</definedName>
    <definedName name="IQ_EVENT_EMAIL" hidden="1">"c19162"</definedName>
    <definedName name="IQ_EVENT_ID" hidden="1">"c13818"</definedName>
    <definedName name="IQ_EVENT_LIVE_AUDIO_DETAILS_WEBCAST_URL" hidden="1">"c19153"</definedName>
    <definedName name="IQ_EVENT_LIVE_OTHER_PASSCODE" hidden="1">"c19152"</definedName>
    <definedName name="IQ_EVENT_LIVE_OTHER_PHONE_NUMBER" hidden="1">"c19151"</definedName>
    <definedName name="IQ_EVENT_LIVE_PASSCODE" hidden="1">"c19150"</definedName>
    <definedName name="IQ_EVENT_LIVE_PHONE_NUMBER" hidden="1">"c19149"</definedName>
    <definedName name="IQ_EVENT_MARKETINDICATOR" hidden="1">"c19166"</definedName>
    <definedName name="IQ_EVENT_OTHER_CONTACT" hidden="1">"c19163"</definedName>
    <definedName name="IQ_EVENT_OTHER_CONTACT_EMAIL" hidden="1">"c19165"</definedName>
    <definedName name="IQ_EVENT_OTHER_CONTACT_PHONE" hidden="1">"c19164"</definedName>
    <definedName name="IQ_EVENT_PHONE" hidden="1">"c19161"</definedName>
    <definedName name="IQ_EVENT_REPLAY_AUDIO_DETAILS_WEBCAST_URL" hidden="1">"c19159"</definedName>
    <definedName name="IQ_EVENT_REPLAY_BEGINS" hidden="1">"c19157"</definedName>
    <definedName name="IQ_EVENT_REPLAY_ENDS" hidden="1">"c19158"</definedName>
    <definedName name="IQ_EVENT_REPLAY_PASSCODE" hidden="1">"c19156"</definedName>
    <definedName name="IQ_EVENT_REPLAY_PHONE_NUMBER" hidden="1">"c19155"</definedName>
    <definedName name="IQ_EVENT_SITUATION" hidden="1">"c19148"</definedName>
    <definedName name="IQ_EVENT_SOURCE" hidden="1">"c19146"</definedName>
    <definedName name="IQ_EVENT_TIME" hidden="1">"c13820"</definedName>
    <definedName name="IQ_EVENT_TYPE" hidden="1">"c13821"</definedName>
    <definedName name="IQ_EXCEL_DATA_METHOD" hidden="1">"c16229"</definedName>
    <definedName name="IQ_EXCESS_ALLOWANCE_LL_LOSSES_THRIFT" hidden="1">"c25078"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localSheetId="7" hidden="1">"c1897"</definedName>
    <definedName name="IQ_EXERCISE_PRICE" localSheetId="8" hidden="1">"c1897"</definedName>
    <definedName name="IQ_EXERCISE_PRICE" hidden="1">"c1897"</definedName>
    <definedName name="IQ_EXERCISED" hidden="1">"c406"</definedName>
    <definedName name="IQ_EXP_REIMBURSE_RENTAL_REVENUE" hidden="1">"c16064"</definedName>
    <definedName name="IQ_EXP_RETURN_PENSION_DOMESTIC" hidden="1">"c407"</definedName>
    <definedName name="IQ_EXP_RETURN_PENSION_FOREIGN" hidden="1">"c408"</definedName>
    <definedName name="IQ_EXPENSE_CODE_" hidden="1">"019802400"</definedName>
    <definedName name="IQ_EXPENSE_REIMBURSEMENTS" hidden="1">"c16020"</definedName>
    <definedName name="IQ_EXPENSES_AP" hidden="1">"c8875"</definedName>
    <definedName name="IQ_EXPENSES_AP_ABS" hidden="1">"c8894"</definedName>
    <definedName name="IQ_EXPENSES_FIXED_ASSETS_FFIEC" hidden="1">"c13024"</definedName>
    <definedName name="IQ_EXPENSES_NAME_AP" hidden="1">"c8913"</definedName>
    <definedName name="IQ_EXPENSES_NAME_AP_ABS" hidden="1">"c8932"</definedName>
    <definedName name="IQ_EXPIRATION_DATE" hidden="1">"c13930"</definedName>
    <definedName name="IQ_EXPLORATION_EXPENDITURE_ALUM" hidden="1">"c9255"</definedName>
    <definedName name="IQ_EXPLORATION_EXPENDITURE_COAL" hidden="1">"c9827"</definedName>
    <definedName name="IQ_EXPLORATION_EXPENDITURE_COP" hidden="1">"c9202"</definedName>
    <definedName name="IQ_EXPLORATION_EXPENDITURE_DIAM" hidden="1">"c9679"</definedName>
    <definedName name="IQ_EXPLORATION_EXPENDITURE_GOLD" hidden="1">"c9040"</definedName>
    <definedName name="IQ_EXPLORATION_EXPENDITURE_IRON" hidden="1">"c9414"</definedName>
    <definedName name="IQ_EXPLORATION_EXPENDITURE_LEAD" hidden="1">"c9467"</definedName>
    <definedName name="IQ_EXPLORATION_EXPENDITURE_MANG" hidden="1">"c9520"</definedName>
    <definedName name="IQ_EXPLORATION_EXPENDITURE_MOLYB" hidden="1">"c9732"</definedName>
    <definedName name="IQ_EXPLORATION_EXPENDITURE_NICK" hidden="1">"c9308"</definedName>
    <definedName name="IQ_EXPLORATION_EXPENDITURE_PLAT" hidden="1">"c9146"</definedName>
    <definedName name="IQ_EXPLORATION_EXPENDITURE_SILVER" hidden="1">"c9093"</definedName>
    <definedName name="IQ_EXPLORATION_EXPENDITURE_TITAN" hidden="1">"c9573"</definedName>
    <definedName name="IQ_EXPLORATION_EXPENDITURE_URAN" hidden="1">"c9626"</definedName>
    <definedName name="IQ_EXPLORATION_EXPENDITURE_ZINC" hidden="1">"c9361"</definedName>
    <definedName name="IQ_EXPLORE_DRILL" hidden="1">"c409"</definedName>
    <definedName name="IQ_EXPLORE_DRILL_EXP_TOTAL" hidden="1">"c13850"</definedName>
    <definedName name="IQ_EXPORT_PRICE_INDEX" hidden="1">"c6860"</definedName>
    <definedName name="IQ_EXPORT_PRICE_INDEX_APR" hidden="1">"c7520"</definedName>
    <definedName name="IQ_EXPORT_PRICE_INDEX_APR_FC" hidden="1">"c8400"</definedName>
    <definedName name="IQ_EXPORT_PRICE_INDEX_FC" hidden="1">"c7740"</definedName>
    <definedName name="IQ_EXPORT_PRICE_INDEX_POP" hidden="1">"c7080"</definedName>
    <definedName name="IQ_EXPORT_PRICE_INDEX_POP_FC" hidden="1">"c7960"</definedName>
    <definedName name="IQ_EXPORT_PRICE_INDEX_YOY" hidden="1">"c7300"</definedName>
    <definedName name="IQ_EXPORT_PRICE_INDEX_YOY_FC" hidden="1">"c8180"</definedName>
    <definedName name="IQ_EXPORT_USD" hidden="1">"c20650"</definedName>
    <definedName name="IQ_EXPORTS_APR_FC_UNUSED" hidden="1">"c8401"</definedName>
    <definedName name="IQ_EXPORTS_APR_FC_UNUSED_UNUSED_UNUSED" hidden="1">"c8401"</definedName>
    <definedName name="IQ_EXPORTS_APR_UNUSED" hidden="1">"c7521"</definedName>
    <definedName name="IQ_EXPORTS_APR_UNUSED_UNUSED_UNUSED" hidden="1">"c7521"</definedName>
    <definedName name="IQ_EXPORTS_FACTOR_SERVICES" hidden="1">"c6862"</definedName>
    <definedName name="IQ_EXPORTS_FACTOR_SERVICES_APR" hidden="1">"c7522"</definedName>
    <definedName name="IQ_EXPORTS_FACTOR_SERVICES_APR_FC" hidden="1">"c8402"</definedName>
    <definedName name="IQ_EXPORTS_FACTOR_SERVICES_FC" hidden="1">"c7742"</definedName>
    <definedName name="IQ_EXPORTS_FACTOR_SERVICES_POP" hidden="1">"c7082"</definedName>
    <definedName name="IQ_EXPORTS_FACTOR_SERVICES_POP_FC" hidden="1">"c7962"</definedName>
    <definedName name="IQ_EXPORTS_FACTOR_SERVICES_SAAR" hidden="1">"c6863"</definedName>
    <definedName name="IQ_EXPORTS_FACTOR_SERVICES_SAAR_APR" hidden="1">"c7523"</definedName>
    <definedName name="IQ_EXPORTS_FACTOR_SERVICES_SAAR_APR_FC" hidden="1">"c8403"</definedName>
    <definedName name="IQ_EXPORTS_FACTOR_SERVICES_SAAR_FC" hidden="1">"c7743"</definedName>
    <definedName name="IQ_EXPORTS_FACTOR_SERVICES_SAAR_POP" hidden="1">"c7083"</definedName>
    <definedName name="IQ_EXPORTS_FACTOR_SERVICES_SAAR_POP_FC" hidden="1">"c7963"</definedName>
    <definedName name="IQ_EXPORTS_FACTOR_SERVICES_SAAR_USD_APR_FC" hidden="1">"c11817"</definedName>
    <definedName name="IQ_EXPORTS_FACTOR_SERVICES_SAAR_USD_FC" hidden="1">"c11814"</definedName>
    <definedName name="IQ_EXPORTS_FACTOR_SERVICES_SAAR_USD_POP_FC" hidden="1">"c11815"</definedName>
    <definedName name="IQ_EXPORTS_FACTOR_SERVICES_SAAR_USD_YOY_FC" hidden="1">"c11816"</definedName>
    <definedName name="IQ_EXPORTS_FACTOR_SERVICES_SAAR_YOY" hidden="1">"c7303"</definedName>
    <definedName name="IQ_EXPORTS_FACTOR_SERVICES_SAAR_YOY_FC" hidden="1">"c8183"</definedName>
    <definedName name="IQ_EXPORTS_FACTOR_SERVICES_USD_APR_FC" hidden="1">"c11813"</definedName>
    <definedName name="IQ_EXPORTS_FACTOR_SERVICES_USD_FC" hidden="1">"c11810"</definedName>
    <definedName name="IQ_EXPORTS_FACTOR_SERVICES_USD_POP_FC" hidden="1">"c11811"</definedName>
    <definedName name="IQ_EXPORTS_FACTOR_SERVICES_USD_YOY_FC" hidden="1">"c11812"</definedName>
    <definedName name="IQ_EXPORTS_FACTOR_SERVICES_YOY" hidden="1">"c7302"</definedName>
    <definedName name="IQ_EXPORTS_FACTOR_SERVICES_YOY_FC" hidden="1">"c8182"</definedName>
    <definedName name="IQ_EXPORTS_FC_UNUSED" hidden="1">"c7741"</definedName>
    <definedName name="IQ_EXPORTS_FC_UNUSED_UNUSED_UNUSED" hidden="1">"c7741"</definedName>
    <definedName name="IQ_EXPORTS_GOODS" hidden="1">"c6864"</definedName>
    <definedName name="IQ_EXPORTS_GOODS_APR" hidden="1">"c7524"</definedName>
    <definedName name="IQ_EXPORTS_GOODS_APR_FC" hidden="1">"c8404"</definedName>
    <definedName name="IQ_EXPORTS_GOODS_FC" hidden="1">"c7744"</definedName>
    <definedName name="IQ_EXPORTS_GOODS_NONFACTOR_SERVICES" hidden="1">"c6865"</definedName>
    <definedName name="IQ_EXPORTS_GOODS_NONFACTOR_SERVICES_APR" hidden="1">"c7525"</definedName>
    <definedName name="IQ_EXPORTS_GOODS_NONFACTOR_SERVICES_APR_FC" hidden="1">"c8405"</definedName>
    <definedName name="IQ_EXPORTS_GOODS_NONFACTOR_SERVICES_FC" hidden="1">"c7745"</definedName>
    <definedName name="IQ_EXPORTS_GOODS_NONFACTOR_SERVICES_POP" hidden="1">"c7085"</definedName>
    <definedName name="IQ_EXPORTS_GOODS_NONFACTOR_SERVICES_POP_FC" hidden="1">"c7965"</definedName>
    <definedName name="IQ_EXPORTS_GOODS_NONFACTOR_SERVICES_YOY" hidden="1">"c7305"</definedName>
    <definedName name="IQ_EXPORTS_GOODS_NONFACTOR_SERVICES_YOY_FC" hidden="1">"c8185"</definedName>
    <definedName name="IQ_EXPORTS_GOODS_POP" hidden="1">"c7084"</definedName>
    <definedName name="IQ_EXPORTS_GOODS_POP_FC" hidden="1">"c7964"</definedName>
    <definedName name="IQ_EXPORTS_GOODS_REAL" hidden="1">"c6973"</definedName>
    <definedName name="IQ_EXPORTS_GOODS_REAL_APR" hidden="1">"c7633"</definedName>
    <definedName name="IQ_EXPORTS_GOODS_REAL_APR_FC" hidden="1">"c8513"</definedName>
    <definedName name="IQ_EXPORTS_GOODS_REAL_FC" hidden="1">"c7853"</definedName>
    <definedName name="IQ_EXPORTS_GOODS_REAL_POP" hidden="1">"c7193"</definedName>
    <definedName name="IQ_EXPORTS_GOODS_REAL_POP_FC" hidden="1">"c8073"</definedName>
    <definedName name="IQ_EXPORTS_GOODS_REAL_SAAR" hidden="1">"c11930"</definedName>
    <definedName name="IQ_EXPORTS_GOODS_REAL_SAAR_APR" hidden="1">"c11933"</definedName>
    <definedName name="IQ_EXPORTS_GOODS_REAL_SAAR_APR_FC_UNUSED" hidden="1">"c8512"</definedName>
    <definedName name="IQ_EXPORTS_GOODS_REAL_SAAR_APR_FC_UNUSED_UNUSED_UNUSED" hidden="1">"c8512"</definedName>
    <definedName name="IQ_EXPORTS_GOODS_REAL_SAAR_APR_UNUSED" hidden="1">"c7632"</definedName>
    <definedName name="IQ_EXPORTS_GOODS_REAL_SAAR_APR_UNUSED_UNUSED_UNUSED" hidden="1">"c7632"</definedName>
    <definedName name="IQ_EXPORTS_GOODS_REAL_SAAR_FC_UNUSED" hidden="1">"c7852"</definedName>
    <definedName name="IQ_EXPORTS_GOODS_REAL_SAAR_FC_UNUSED_UNUSED_UNUSED" hidden="1">"c7852"</definedName>
    <definedName name="IQ_EXPORTS_GOODS_REAL_SAAR_POP" hidden="1">"c11931"</definedName>
    <definedName name="IQ_EXPORTS_GOODS_REAL_SAAR_POP_FC_UNUSED" hidden="1">"c8072"</definedName>
    <definedName name="IQ_EXPORTS_GOODS_REAL_SAAR_POP_FC_UNUSED_UNUSED_UNUSED" hidden="1">"c8072"</definedName>
    <definedName name="IQ_EXPORTS_GOODS_REAL_SAAR_POP_UNUSED" hidden="1">"c7192"</definedName>
    <definedName name="IQ_EXPORTS_GOODS_REAL_SAAR_POP_UNUSED_UNUSED_UNUSED" hidden="1">"c7192"</definedName>
    <definedName name="IQ_EXPORTS_GOODS_REAL_SAAR_UNUSED" hidden="1">"c6972"</definedName>
    <definedName name="IQ_EXPORTS_GOODS_REAL_SAAR_UNUSED_UNUSED_UNUSED" hidden="1">"c6972"</definedName>
    <definedName name="IQ_EXPORTS_GOODS_REAL_SAAR_YOY" hidden="1">"c11932"</definedName>
    <definedName name="IQ_EXPORTS_GOODS_REAL_SAAR_YOY_FC_UNUSED" hidden="1">"c8292"</definedName>
    <definedName name="IQ_EXPORTS_GOODS_REAL_SAAR_YOY_FC_UNUSED_UNUSED_UNUSED" hidden="1">"c8292"</definedName>
    <definedName name="IQ_EXPORTS_GOODS_REAL_SAAR_YOY_UNUSED" hidden="1">"c7412"</definedName>
    <definedName name="IQ_EXPORTS_GOODS_REAL_SAAR_YOY_UNUSED_UNUSED_UNUSED" hidden="1">"c7412"</definedName>
    <definedName name="IQ_EXPORTS_GOODS_REAL_YOY" hidden="1">"c7413"</definedName>
    <definedName name="IQ_EXPORTS_GOODS_REAL_YOY_FC" hidden="1">"c8293"</definedName>
    <definedName name="IQ_EXPORTS_GOODS_SERVICES" hidden="1">"c6866"</definedName>
    <definedName name="IQ_EXPORTS_GOODS_SERVICES_APR" hidden="1">"c7526"</definedName>
    <definedName name="IQ_EXPORTS_GOODS_SERVICES_APR_FC" hidden="1">"c8406"</definedName>
    <definedName name="IQ_EXPORTS_GOODS_SERVICES_FC" hidden="1">"c7746"</definedName>
    <definedName name="IQ_EXPORTS_GOODS_SERVICES_POP" hidden="1">"c7086"</definedName>
    <definedName name="IQ_EXPORTS_GOODS_SERVICES_POP_FC" hidden="1">"c7966"</definedName>
    <definedName name="IQ_EXPORTS_GOODS_SERVICES_REAL" hidden="1">"c6974"</definedName>
    <definedName name="IQ_EXPORTS_GOODS_SERVICES_REAL_APR" hidden="1">"c7634"</definedName>
    <definedName name="IQ_EXPORTS_GOODS_SERVICES_REAL_APR_FC" hidden="1">"c8514"</definedName>
    <definedName name="IQ_EXPORTS_GOODS_SERVICES_REAL_FC" hidden="1">"c7854"</definedName>
    <definedName name="IQ_EXPORTS_GOODS_SERVICES_REAL_POP" hidden="1">"c7194"</definedName>
    <definedName name="IQ_EXPORTS_GOODS_SERVICES_REAL_POP_FC" hidden="1">"c8074"</definedName>
    <definedName name="IQ_EXPORTS_GOODS_SERVICES_REAL_SAAR" hidden="1">"c6975"</definedName>
    <definedName name="IQ_EXPORTS_GOODS_SERVICES_REAL_SAAR_APR" hidden="1">"c7635"</definedName>
    <definedName name="IQ_EXPORTS_GOODS_SERVICES_REAL_SAAR_APR_FC" hidden="1">"c8515"</definedName>
    <definedName name="IQ_EXPORTS_GOODS_SERVICES_REAL_SAAR_FC" hidden="1">"c7855"</definedName>
    <definedName name="IQ_EXPORTS_GOODS_SERVICES_REAL_SAAR_POP" hidden="1">"c7195"</definedName>
    <definedName name="IQ_EXPORTS_GOODS_SERVICES_REAL_SAAR_POP_FC" hidden="1">"c8075"</definedName>
    <definedName name="IQ_EXPORTS_GOODS_SERVICES_REAL_SAAR_YOY" hidden="1">"c7415"</definedName>
    <definedName name="IQ_EXPORTS_GOODS_SERVICES_REAL_SAAR_YOY_FC" hidden="1">"c8295"</definedName>
    <definedName name="IQ_EXPORTS_GOODS_SERVICES_REAL_USD" hidden="1">"c11926"</definedName>
    <definedName name="IQ_EXPORTS_GOODS_SERVICES_REAL_USD_APR" hidden="1">"c11929"</definedName>
    <definedName name="IQ_EXPORTS_GOODS_SERVICES_REAL_USD_POP" hidden="1">"c11927"</definedName>
    <definedName name="IQ_EXPORTS_GOODS_SERVICES_REAL_USD_YOY" hidden="1">"c11928"</definedName>
    <definedName name="IQ_EXPORTS_GOODS_SERVICES_REAL_YOY" hidden="1">"c7414"</definedName>
    <definedName name="IQ_EXPORTS_GOODS_SERVICES_REAL_YOY_FC" hidden="1">"c8294"</definedName>
    <definedName name="IQ_EXPORTS_GOODS_SERVICES_SAAR" hidden="1">"c6867"</definedName>
    <definedName name="IQ_EXPORTS_GOODS_SERVICES_SAAR_APR" hidden="1">"c7527"</definedName>
    <definedName name="IQ_EXPORTS_GOODS_SERVICES_SAAR_APR_FC" hidden="1">"c8407"</definedName>
    <definedName name="IQ_EXPORTS_GOODS_SERVICES_SAAR_FC" hidden="1">"c7747"</definedName>
    <definedName name="IQ_EXPORTS_GOODS_SERVICES_SAAR_POP" hidden="1">"c7087"</definedName>
    <definedName name="IQ_EXPORTS_GOODS_SERVICES_SAAR_POP_FC" hidden="1">"c7967"</definedName>
    <definedName name="IQ_EXPORTS_GOODS_SERVICES_SAAR_YOY" hidden="1">"c7307"</definedName>
    <definedName name="IQ_EXPORTS_GOODS_SERVICES_SAAR_YOY_FC" hidden="1">"c8187"</definedName>
    <definedName name="IQ_EXPORTS_GOODS_SERVICES_USD" hidden="1">"c11822"</definedName>
    <definedName name="IQ_EXPORTS_GOODS_SERVICES_USD_APR" hidden="1">"c11825"</definedName>
    <definedName name="IQ_EXPORTS_GOODS_SERVICES_USD_POP" hidden="1">"c11823"</definedName>
    <definedName name="IQ_EXPORTS_GOODS_SERVICES_USD_YOY" hidden="1">"c11824"</definedName>
    <definedName name="IQ_EXPORTS_GOODS_SERVICES_YOY" hidden="1">"c7306"</definedName>
    <definedName name="IQ_EXPORTS_GOODS_SERVICES_YOY_FC" hidden="1">"c8186"</definedName>
    <definedName name="IQ_EXPORTS_GOODS_USD" hidden="1">"c11818"</definedName>
    <definedName name="IQ_EXPORTS_GOODS_USD_APR" hidden="1">"c11821"</definedName>
    <definedName name="IQ_EXPORTS_GOODS_USD_POP" hidden="1">"c11819"</definedName>
    <definedName name="IQ_EXPORTS_GOODS_USD_YOY" hidden="1">"c11820"</definedName>
    <definedName name="IQ_EXPORTS_GOODS_YOY" hidden="1">"c7304"</definedName>
    <definedName name="IQ_EXPORTS_GOODS_YOY_FC" hidden="1">"c8184"</definedName>
    <definedName name="IQ_EXPORTS_NONFACTOR_SERVICES" hidden="1">"c6868"</definedName>
    <definedName name="IQ_EXPORTS_NONFACTOR_SERVICES_APR" hidden="1">"c7528"</definedName>
    <definedName name="IQ_EXPORTS_NONFACTOR_SERVICES_APR_FC" hidden="1">"c8408"</definedName>
    <definedName name="IQ_EXPORTS_NONFACTOR_SERVICES_FC" hidden="1">"c7748"</definedName>
    <definedName name="IQ_EXPORTS_NONFACTOR_SERVICES_POP" hidden="1">"c7088"</definedName>
    <definedName name="IQ_EXPORTS_NONFACTOR_SERVICES_POP_FC" hidden="1">"c7968"</definedName>
    <definedName name="IQ_EXPORTS_NONFACTOR_SERVICES_YOY" hidden="1">"c7308"</definedName>
    <definedName name="IQ_EXPORTS_NONFACTOR_SERVICES_YOY_FC" hidden="1">"c8188"</definedName>
    <definedName name="IQ_EXPORTS_POP_FC_UNUSED" hidden="1">"c7961"</definedName>
    <definedName name="IQ_EXPORTS_POP_FC_UNUSED_UNUSED_UNUSED" hidden="1">"c7961"</definedName>
    <definedName name="IQ_EXPORTS_POP_UNUSED" hidden="1">"c7081"</definedName>
    <definedName name="IQ_EXPORTS_POP_UNUSED_UNUSED_UNUSED" hidden="1">"c7081"</definedName>
    <definedName name="IQ_EXPORTS_SERVICES_REAL" hidden="1">"c6977"</definedName>
    <definedName name="IQ_EXPORTS_SERVICES_REAL_APR" hidden="1">"c7637"</definedName>
    <definedName name="IQ_EXPORTS_SERVICES_REAL_APR_FC" hidden="1">"c8517"</definedName>
    <definedName name="IQ_EXPORTS_SERVICES_REAL_FC" hidden="1">"c7857"</definedName>
    <definedName name="IQ_EXPORTS_SERVICES_REAL_POP" hidden="1">"c7197"</definedName>
    <definedName name="IQ_EXPORTS_SERVICES_REAL_POP_FC" hidden="1">"c8077"</definedName>
    <definedName name="IQ_EXPORTS_SERVICES_REAL_SAAR" hidden="1">"c11934"</definedName>
    <definedName name="IQ_EXPORTS_SERVICES_REAL_SAAR_APR" hidden="1">"c11937"</definedName>
    <definedName name="IQ_EXPORTS_SERVICES_REAL_SAAR_APR_FC_UNUSED" hidden="1">"c8516"</definedName>
    <definedName name="IQ_EXPORTS_SERVICES_REAL_SAAR_APR_FC_UNUSED_UNUSED_UNUSED" hidden="1">"c8516"</definedName>
    <definedName name="IQ_EXPORTS_SERVICES_REAL_SAAR_APR_UNUSED" hidden="1">"c7636"</definedName>
    <definedName name="IQ_EXPORTS_SERVICES_REAL_SAAR_APR_UNUSED_UNUSED_UNUSED" hidden="1">"c7636"</definedName>
    <definedName name="IQ_EXPORTS_SERVICES_REAL_SAAR_FC_UNUSED" hidden="1">"c7856"</definedName>
    <definedName name="IQ_EXPORTS_SERVICES_REAL_SAAR_FC_UNUSED_UNUSED_UNUSED" hidden="1">"c7856"</definedName>
    <definedName name="IQ_EXPORTS_SERVICES_REAL_SAAR_POP" hidden="1">"c11935"</definedName>
    <definedName name="IQ_EXPORTS_SERVICES_REAL_SAAR_POP_FC_UNUSED" hidden="1">"c8076"</definedName>
    <definedName name="IQ_EXPORTS_SERVICES_REAL_SAAR_POP_FC_UNUSED_UNUSED_UNUSED" hidden="1">"c8076"</definedName>
    <definedName name="IQ_EXPORTS_SERVICES_REAL_SAAR_POP_UNUSED" hidden="1">"c7196"</definedName>
    <definedName name="IQ_EXPORTS_SERVICES_REAL_SAAR_POP_UNUSED_UNUSED_UNUSED" hidden="1">"c7196"</definedName>
    <definedName name="IQ_EXPORTS_SERVICES_REAL_SAAR_UNUSED" hidden="1">"c6976"</definedName>
    <definedName name="IQ_EXPORTS_SERVICES_REAL_SAAR_UNUSED_UNUSED_UNUSED" hidden="1">"c6976"</definedName>
    <definedName name="IQ_EXPORTS_SERVICES_REAL_SAAR_YOY" hidden="1">"c11936"</definedName>
    <definedName name="IQ_EXPORTS_SERVICES_REAL_SAAR_YOY_FC_UNUSED" hidden="1">"c8296"</definedName>
    <definedName name="IQ_EXPORTS_SERVICES_REAL_SAAR_YOY_FC_UNUSED_UNUSED_UNUSED" hidden="1">"c8296"</definedName>
    <definedName name="IQ_EXPORTS_SERVICES_REAL_SAAR_YOY_UNUSED" hidden="1">"c7416"</definedName>
    <definedName name="IQ_EXPORTS_SERVICES_REAL_SAAR_YOY_UNUSED_UNUSED_UNUSED" hidden="1">"c7416"</definedName>
    <definedName name="IQ_EXPORTS_SERVICES_REAL_YOY" hidden="1">"c7417"</definedName>
    <definedName name="IQ_EXPORTS_SERVICES_REAL_YOY_FC" hidden="1">"c8297"</definedName>
    <definedName name="IQ_EXPORTS_UNUSED" hidden="1">"c6861"</definedName>
    <definedName name="IQ_EXPORTS_UNUSED_UNUSED_UNUSED" hidden="1">"c6861"</definedName>
    <definedName name="IQ_EXPORTS_USD" hidden="1">"c11806"</definedName>
    <definedName name="IQ_EXPORTS_USD_APR" hidden="1">"c11809"</definedName>
    <definedName name="IQ_EXPORTS_USD_POP" hidden="1">"c11807"</definedName>
    <definedName name="IQ_EXPORTS_USD_YOY" hidden="1">"c11808"</definedName>
    <definedName name="IQ_EXPORTS_YOY_FC_UNUSED" hidden="1">"c8181"</definedName>
    <definedName name="IQ_EXPORTS_YOY_FC_UNUSED_UNUSED_UNUSED" hidden="1">"c8181"</definedName>
    <definedName name="IQ_EXPORTS_YOY_UNUSED" hidden="1">"c7301"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CM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AVG_ASSETS_FFIEC" hidden="1">"c13369"</definedName>
    <definedName name="IQ_EXTRA_ITEMS" localSheetId="7" hidden="1">"c1459"</definedName>
    <definedName name="IQ_EXTRA_ITEMS" localSheetId="8" hidden="1">"c1459"</definedName>
    <definedName name="IQ_EXTRA_ITEMS" hidden="1">"c1459"</definedName>
    <definedName name="IQ_EXTRA_ITEMS_OTHER_ADJUSTMENTS_FOREIGN_FFIEC" hidden="1">"c15392"</definedName>
    <definedName name="IQ_EXTRAORDINARY_GAINS_FDIC" hidden="1">"c6586"</definedName>
    <definedName name="IQ_EXTRAORDINARY_ITEMS_AVG_ASSETS_THRIFT" hidden="1">"c25659"</definedName>
    <definedName name="IQ_EXTRAORDINARY_ITEMS_FFIEC" hidden="1">"c13033"</definedName>
    <definedName name="IQ_EXTRAORDINARY_ITEMS_THRIFT" hidden="1">"c24797"</definedName>
    <definedName name="IQ_FAD" hidden="1">"c8757"</definedName>
    <definedName name="IQ_FAD_PAYOUT_RATIO" hidden="1">"c8872"</definedName>
    <definedName name="IQ_FAIR_VALUE_CHANGE_INCL_EARNINGS" hidden="1">"c13849"</definedName>
    <definedName name="IQ_FAIR_VALUE_DEBT" hidden="1">"c16007"</definedName>
    <definedName name="IQ_FAIR_VALUE_FDIC" hidden="1">"c6427"</definedName>
    <definedName name="IQ_FAIR_VALUE_FIN_INSTRUMENTS_NAV" hidden="1">"c16002"</definedName>
    <definedName name="IQ_FAIR_VALUE_FIN_INSTRUMENTS_NNAV" hidden="1">"c16006"</definedName>
    <definedName name="IQ_FAIR_VALUE_TRADING_PROP" hidden="1">"c16001"</definedName>
    <definedName name="IQ_FARM_LOANS_NET_FDIC" hidden="1">"c6316"</definedName>
    <definedName name="IQ_FARM_LOANS_TOT_LOANS_FFIEC" hidden="1">"c13870"</definedName>
    <definedName name="IQ_FARM_LOANS_TOTAL_LOANS_FOREIGN_FDIC" hidden="1">"c6450"</definedName>
    <definedName name="IQ_FARMLAND_DOM_FFIEC" hidden="1">"c15268"</definedName>
    <definedName name="IQ_FARMLAND_DOM_LOSS_SHARING_FFIEC" hidden="1">"c27208"</definedName>
    <definedName name="IQ_FARMLAND_LOANS_FDIC" hidden="1">"c6314"</definedName>
    <definedName name="IQ_FDI_INFLOWS" hidden="1">"c20651"</definedName>
    <definedName name="IQ_FDI_NET" hidden="1">"c20652"</definedName>
    <definedName name="IQ_FDI_OUTFLOWS" hidden="1">"c20653"</definedName>
    <definedName name="IQ_FDIC" hidden="1">"c417"</definedName>
    <definedName name="IQ_FDIC_CERT_NUMBER_FFIEC" hidden="1">"c20507"</definedName>
    <definedName name="IQ_FDIC_DEPOSIT_INSURANCE_FFIEC" hidden="1">"c13053"</definedName>
    <definedName name="IQ_FED_BUDGET_RECEIPTS" hidden="1">"c6869"</definedName>
    <definedName name="IQ_FED_BUDGET_RECEIPTS_APR" hidden="1">"c7529"</definedName>
    <definedName name="IQ_FED_BUDGET_RECEIPTS_APR_FC" hidden="1">"c8409"</definedName>
    <definedName name="IQ_FED_BUDGET_RECEIPTS_FC" hidden="1">"c7749"</definedName>
    <definedName name="IQ_FED_BUDGET_RECEIPTS_POP" hidden="1">"c7089"</definedName>
    <definedName name="IQ_FED_BUDGET_RECEIPTS_POP_FC" hidden="1">"c7969"</definedName>
    <definedName name="IQ_FED_BUDGET_RECEIPTS_YOY" hidden="1">"c7309"</definedName>
    <definedName name="IQ_FED_BUDGET_RECEIPTS_YOY_FC" hidden="1">"c8189"</definedName>
    <definedName name="IQ_FED_FUND_PURCHASED_SEC_SOLD_REPURCHASE_FFIEC" hidden="1">"c15489"</definedName>
    <definedName name="IQ_FED_FUND_PURCHASED_SEC_SOLD_REPURCHASE_THRIFT" hidden="1">"c24901"</definedName>
    <definedName name="IQ_FED_FUND_SOLD_SEC_PURCHASED_RESELL_FFIEC" hidden="1">"c15488"</definedName>
    <definedName name="IQ_FED_FUND_SOLD_SEC_PURCHASED_RESELL_THRIFT" hidden="1">"c24821"</definedName>
    <definedName name="IQ_FED_FUNDS_AVAIL" hidden="1">"c2523"</definedName>
    <definedName name="IQ_FED_FUNDS_PURCH_SEC_SOLD_FAIR_VALUE_TOT_FFIEC" hidden="1">"c15406"</definedName>
    <definedName name="IQ_FED_FUNDS_PURCH_SEC_SOLD_LEVEL_1_FFIEC" hidden="1">"c15428"</definedName>
    <definedName name="IQ_FED_FUNDS_PURCH_SEC_SOLD_LEVEL_2_FFIEC" hidden="1">"c15441"</definedName>
    <definedName name="IQ_FED_FUNDS_PURCH_SEC_SOLD_LEVEL_3_FFIEC" hidden="1">"c15454"</definedName>
    <definedName name="IQ_FED_FUNDS_PURCHASED_DOM_FFIEC" hidden="1">"c12856"</definedName>
    <definedName name="IQ_FED_FUNDS_PURCHASED_FDIC" hidden="1">"c6343"</definedName>
    <definedName name="IQ_FED_FUNDS_PURCHASED_QUARTERLY_AVG_FFIEC" hidden="1">"c13090"</definedName>
    <definedName name="IQ_FED_FUNDS_PURCHASED_REPOS_TOTAL_ASSETS_THRIFT" hidden="1">"c25702"</definedName>
    <definedName name="IQ_FED_FUNDS_SOLD_DOM_FFIEC" hidden="1">"c12806"</definedName>
    <definedName name="IQ_FED_FUNDS_SOLD_FDIC" hidden="1">"c6307"</definedName>
    <definedName name="IQ_FED_FUNDS_SOLD_QUARTERLY_AVG_FFIEC" hidden="1">"c13080"</definedName>
    <definedName name="IQ_FED_FUNDS_SOLD_SEC_PURCH_FAIR_VALUE_TOT_FFIEC" hidden="1">"c15402"</definedName>
    <definedName name="IQ_FED_FUNDS_SOLD_SEC_PURCH_LEVEL_1_FFIEC" hidden="1">"c15424"</definedName>
    <definedName name="IQ_FED_FUNDS_SOLD_SEC_PURCH_LEVEL_2_FFIEC" hidden="1">"c15437"</definedName>
    <definedName name="IQ_FED_FUNDS_SOLD_SEC_PURCH_LEVEL_3_FFIEC" hidden="1">"c15450"</definedName>
    <definedName name="IQ_FEDERAL_FUNDS_PURCHASED_SEC_SOLD_UNDER_AGREEMENTS_REPURCHASE_AMOUNTS_NETTED_THRIFT" hidden="1">"c25528"</definedName>
    <definedName name="IQ_FEDERAL_FUNDS_PURCHASED_SEC_SOLD_UNDER_AGREEMENTS_REPURCHASE_LEVEL_1_THRIFT" hidden="1">"c25524"</definedName>
    <definedName name="IQ_FEDERAL_FUNDS_PURCHASED_SEC_SOLD_UNDER_AGREEMENTS_REPURCHASE_LEVEL_2_THRIFT" hidden="1">"c25525"</definedName>
    <definedName name="IQ_FEDERAL_FUNDS_PURCHASED_SEC_SOLD_UNDER_AGREEMENTS_REPURCHASE_LEVEL_3_THRIFT" hidden="1">"c25526"</definedName>
    <definedName name="IQ_FEDERAL_FUNDS_PURCHASED_SEC_SOLD_UNDER_AGREEMENTS_REPURCHASE_TOTAL_AFTER_NETTING_THRIFT" hidden="1">"c25529"</definedName>
    <definedName name="IQ_FEDERAL_FUNDS_PURCHASED_SEC_SOLD_UNDER_AGREEMENTS_REPURCHASE_TOTAL_BEFORE_NETTING_THRIFT" hidden="1">"c25527"</definedName>
    <definedName name="IQ_FEDERAL_FUNDS_SOLD_SEC_PURCHASED_UNDER_AGREEMENTS_RESELL_AMOUNTS_NETTED_THRIFT" hidden="1">"c25480"</definedName>
    <definedName name="IQ_FEDERAL_FUNDS_SOLD_SEC_PURCHASED_UNDER_AGREEMENTS_RESELL_LEVEL_1_THRIFT" hidden="1">"c25476"</definedName>
    <definedName name="IQ_FEDERAL_FUNDS_SOLD_SEC_PURCHASED_UNDER_AGREEMENTS_RESELL_LEVEL_2_THRIFT" hidden="1">"c25477"</definedName>
    <definedName name="IQ_FEDERAL_FUNDS_SOLD_SEC_PURCHASED_UNDER_AGREEMENTS_RESELL_LEVEL_3_THRIFT" hidden="1">"c25478"</definedName>
    <definedName name="IQ_FEDERAL_FUNDS_SOLD_SEC_PURCHASED_UNDER_AGREEMENTS_RESELL_TOTAL_AFTER_NETTING_THRIFT" hidden="1">"c25481"</definedName>
    <definedName name="IQ_FEDERAL_FUNDS_SOLD_SEC_PURCHASED_UNDER_AGREEMENTS_RESELL_TOTAL_BEFORE_NETTING_THRIFT" hidden="1">"c25479"</definedName>
    <definedName name="IQ_FEDERAL_INC_TAXES_THRIFT" hidden="1">"c24816"</definedName>
    <definedName name="IQ_FEDFUNDS_PURCHASED_RELATED" hidden="1">"c19132"</definedName>
    <definedName name="IQ_FEDFUNDS_SOLD" hidden="1">"c2256"</definedName>
    <definedName name="IQ_FEDFUNDS_SOLD_RELATED" hidden="1">"c19130"</definedName>
    <definedName name="IQ_FEE_INCOME_COMM_LOANS_THRIFT" hidden="1">"c24751"</definedName>
    <definedName name="IQ_FEE_INCOME_CONSUMER_LOANS_THRIFT" hidden="1">"c24752"</definedName>
    <definedName name="IQ_FEE_INCOME_MORTGAGE_LOANS_THRIFT" hidden="1">"c24750"</definedName>
    <definedName name="IQ_FEES_COMMISSIONS_BROKERAGE_FFIEC" hidden="1">"c13005"</definedName>
    <definedName name="IQ_FEES_OTHER_INCOME" hidden="1">"c15257"</definedName>
    <definedName name="IQ_FFO" hidden="1">"c1574"</definedName>
    <definedName name="IQ_FFO_ACT_OR_EST" hidden="1">"c4446"</definedName>
    <definedName name="IQ_FFO_ADJ_ACT_OR_EST" hidden="1">"c4435"</definedName>
    <definedName name="IQ_FFO_ADJ_ACT_OR_EST_CIQ" hidden="1">"c4960"</definedName>
    <definedName name="IQ_FFO_ADJ_ACT_OR_EST_CIQ_COL" hidden="1">"c11607"</definedName>
    <definedName name="IQ_FFO_ADJ_EST" hidden="1">"c4434"</definedName>
    <definedName name="IQ_FFO_ADJ_EST_CIQ" hidden="1">"c4959"</definedName>
    <definedName name="IQ_FFO_ADJ_GUIDANCE_CIQ" hidden="1">"c4961"</definedName>
    <definedName name="IQ_FFO_ADJ_GUIDANCE_CIQ_COL" hidden="1">"c11608"</definedName>
    <definedName name="IQ_FFO_ADJ_HIGH_EST" hidden="1">"c4437"</definedName>
    <definedName name="IQ_FFO_ADJ_HIGH_EST_CIQ" hidden="1">"c4962"</definedName>
    <definedName name="IQ_FFO_ADJ_HIGH_GUIDANCE_CIQ" hidden="1">"c4614"</definedName>
    <definedName name="IQ_FFO_ADJ_HIGH_GUIDANCE_CIQ_COL" hidden="1">"c11263"</definedName>
    <definedName name="IQ_FFO_ADJ_LOW_EST" hidden="1">"c4438"</definedName>
    <definedName name="IQ_FFO_ADJ_LOW_EST_CIQ" hidden="1">"c4963"</definedName>
    <definedName name="IQ_FFO_ADJ_LOW_GUIDANCE_CIQ" hidden="1">"c4654"</definedName>
    <definedName name="IQ_FFO_ADJ_LOW_GUIDANCE_CIQ_COL" hidden="1">"c11303"</definedName>
    <definedName name="IQ_FFO_ADJ_MEDIAN_EST" hidden="1">"c4439"</definedName>
    <definedName name="IQ_FFO_ADJ_MEDIAN_EST_CIQ" hidden="1">"c4964"</definedName>
    <definedName name="IQ_FFO_ADJ_NUM_EST" hidden="1">"c4440"</definedName>
    <definedName name="IQ_FFO_ADJ_NUM_EST_CIQ" hidden="1">"c4965"</definedName>
    <definedName name="IQ_FFO_ADJ_STDDEV_EST" hidden="1">"c4441"</definedName>
    <definedName name="IQ_FFO_ADJ_STDDEV_EST_CIQ" hidden="1">"c4966"</definedName>
    <definedName name="IQ_FFO_DILUTED" hidden="1">"c16186"</definedName>
    <definedName name="IQ_FFO_EST" hidden="1">"c418"</definedName>
    <definedName name="IQ_FFO_EST_CIQ" hidden="1">"c4970"</definedName>
    <definedName name="IQ_FFO_EST_CIQ_COL" hidden="1">"c11617"</definedName>
    <definedName name="IQ_FFO_EST_DET_EST" hidden="1">"c12059"</definedName>
    <definedName name="IQ_FFO_EST_DET_EST_CURRENCY" hidden="1">"c12466"</definedName>
    <definedName name="IQ_FFO_EST_DET_EST_CURRENCY_THOM" hidden="1">"c12487"</definedName>
    <definedName name="IQ_FFO_EST_DET_EST_DATE" hidden="1">"c12212"</definedName>
    <definedName name="IQ_FFO_EST_DET_EST_DATE_THOM" hidden="1">"c12238"</definedName>
    <definedName name="IQ_FFO_EST_DET_EST_INCL" hidden="1">"c12349"</definedName>
    <definedName name="IQ_FFO_EST_DET_EST_INCL_THOM" hidden="1">"c12370"</definedName>
    <definedName name="IQ_FFO_EST_DET_EST_ORIGIN" hidden="1">"c12722"</definedName>
    <definedName name="IQ_FFO_EST_DET_EST_ORIGIN_THOM" hidden="1">"c12608"</definedName>
    <definedName name="IQ_FFO_EST_DET_EST_THOM" hidden="1">"c12088"</definedName>
    <definedName name="IQ_FFO_EST_REUT" hidden="1">"c3837"</definedName>
    <definedName name="IQ_FFO_EST_THOM" hidden="1">"c3999"</definedName>
    <definedName name="IQ_FFO_GUIDANCE_CIQ" hidden="1">"c4968"</definedName>
    <definedName name="IQ_FFO_GUIDANCE_CIQ_COL" hidden="1">"c11615"</definedName>
    <definedName name="IQ_FFO_HIGH_EST" hidden="1">"c419"</definedName>
    <definedName name="IQ_FFO_HIGH_EST_CIQ" hidden="1">"c4977"</definedName>
    <definedName name="IQ_FFO_HIGH_EST_CIQ_COL" hidden="1">"c11624"</definedName>
    <definedName name="IQ_FFO_HIGH_EST_REUT" hidden="1">"c3839"</definedName>
    <definedName name="IQ_FFO_HIGH_EST_THOM" hidden="1">"c4001"</definedName>
    <definedName name="IQ_FFO_HIGH_GUIDANCE_CIQ" hidden="1">"c4596"</definedName>
    <definedName name="IQ_FFO_HIGH_GUIDANCE_CIQ_COL" hidden="1">"c11245"</definedName>
    <definedName name="IQ_FFO_LOW_EST" hidden="1">"c420"</definedName>
    <definedName name="IQ_FFO_LOW_EST_CIQ" hidden="1">"c4978"</definedName>
    <definedName name="IQ_FFO_LOW_EST_CIQ_COL" hidden="1">"c11625"</definedName>
    <definedName name="IQ_FFO_LOW_EST_REUT" hidden="1">"c3840"</definedName>
    <definedName name="IQ_FFO_LOW_EST_THOM" hidden="1">"c4002"</definedName>
    <definedName name="IQ_FFO_LOW_GUIDANCE_CIQ" hidden="1">"c4636"</definedName>
    <definedName name="IQ_FFO_LOW_GUIDANCE_CIQ_COL" hidden="1">"c11285"</definedName>
    <definedName name="IQ_FFO_MEDIAN_EST" hidden="1">"c1665"</definedName>
    <definedName name="IQ_FFO_MEDIAN_EST_CIQ" hidden="1">"c4979"</definedName>
    <definedName name="IQ_FFO_MEDIAN_EST_CIQ_COL" hidden="1">"c11626"</definedName>
    <definedName name="IQ_FFO_MEDIAN_EST_REUT" hidden="1">"c3838"</definedName>
    <definedName name="IQ_FFO_MEDIAN_EST_THOM" hidden="1">"c4000"</definedName>
    <definedName name="IQ_FFO_NUM_EST" hidden="1">"c421"</definedName>
    <definedName name="IQ_FFO_NUM_EST_CIQ" hidden="1">"c4980"</definedName>
    <definedName name="IQ_FFO_NUM_EST_CIQ_COL" hidden="1">"c11627"</definedName>
    <definedName name="IQ_FFO_NUM_EST_REUT" hidden="1">"c3841"</definedName>
    <definedName name="IQ_FFO_NUM_EST_THOM" hidden="1">"c4003"</definedName>
    <definedName name="IQ_FFO_PAYOUT_RATIO" hidden="1">"c3492"</definedName>
    <definedName name="IQ_FFO_PER_SHARE_BASIC" hidden="1">"c8867"</definedName>
    <definedName name="IQ_FFO_PER_SHARE_DILUTED" hidden="1">"c8868"</definedName>
    <definedName name="IQ_FFO_SHARE_ACT_OR_EST" hidden="1">"c2216"</definedName>
    <definedName name="IQ_FFO_SHARE_ACT_OR_EST_CIQ" hidden="1">"c4971"</definedName>
    <definedName name="IQ_FFO_SHARE_ACT_OR_EST_CIQ_COL" hidden="1">"c11618"</definedName>
    <definedName name="IQ_FFO_SHARE_EST" hidden="1">"c418"</definedName>
    <definedName name="IQ_FFO_SHARE_EST_DET_EST" hidden="1">"c12059"</definedName>
    <definedName name="IQ_FFO_SHARE_EST_DET_EST_CURRENCY" hidden="1">"c12466"</definedName>
    <definedName name="IQ_FFO_SHARE_EST_DET_EST_CURRENCY_THOM" hidden="1">"c12487"</definedName>
    <definedName name="IQ_FFO_SHARE_EST_DET_EST_DATE" hidden="1">"c12212"</definedName>
    <definedName name="IQ_FFO_SHARE_EST_DET_EST_DATE_THOM" hidden="1">"c12238"</definedName>
    <definedName name="IQ_FFO_SHARE_EST_DET_EST_INCL" hidden="1">"c12349"</definedName>
    <definedName name="IQ_FFO_SHARE_EST_DET_EST_INCL_THOM" hidden="1">"c12370"</definedName>
    <definedName name="IQ_FFO_SHARE_EST_DET_EST_ORIGIN" hidden="1">"c12722"</definedName>
    <definedName name="IQ_FFO_SHARE_EST_DET_EST_ORIGIN_THOM" hidden="1">"c12608"</definedName>
    <definedName name="IQ_FFO_SHARE_EST_DET_EST_THOM" hidden="1">"c12088"</definedName>
    <definedName name="IQ_FFO_SHARE_EST_THOM" hidden="1">"c3999"</definedName>
    <definedName name="IQ_FFO_SHARE_GUIDANCE_CIQ" hidden="1">"c4976"</definedName>
    <definedName name="IQ_FFO_SHARE_GUIDANCE_CIQ_COL" hidden="1">"c11623"</definedName>
    <definedName name="IQ_FFO_SHARE_HIGH_EST" hidden="1">"c419"</definedName>
    <definedName name="IQ_FFO_SHARE_HIGH_EST_THOM" hidden="1">"c4001"</definedName>
    <definedName name="IQ_FFO_SHARE_HIGH_GUIDANCE_CIQ" hidden="1">"c4615"</definedName>
    <definedName name="IQ_FFO_SHARE_HIGH_GUIDANCE_CIQ_COL" hidden="1">"c11264"</definedName>
    <definedName name="IQ_FFO_SHARE_LOW_EST" hidden="1">"c420"</definedName>
    <definedName name="IQ_FFO_SHARE_LOW_EST_THOM" hidden="1">"c4002"</definedName>
    <definedName name="IQ_FFO_SHARE_LOW_GUIDANCE_CIQ" hidden="1">"c4655"</definedName>
    <definedName name="IQ_FFO_SHARE_LOW_GUIDANCE_CIQ_COL" hidden="1">"c11304"</definedName>
    <definedName name="IQ_FFO_SHARE_MEDIAN_EST" hidden="1">"c1665"</definedName>
    <definedName name="IQ_FFO_SHARE_MEDIAN_EST_THOM" hidden="1">"c4000"</definedName>
    <definedName name="IQ_FFO_SHARE_NUM_EST" hidden="1">"c421"</definedName>
    <definedName name="IQ_FFO_SHARE_NUM_EST_THOM" hidden="1">"c4003"</definedName>
    <definedName name="IQ_FFO_SHARE_SHARE_EST_REUT" hidden="1">"c3837"</definedName>
    <definedName name="IQ_FFO_SHARE_SHARE_HIGH_EST_REUT" hidden="1">"c3839"</definedName>
    <definedName name="IQ_FFO_SHARE_SHARE_LOW_EST_REUT" hidden="1">"c3840"</definedName>
    <definedName name="IQ_FFO_SHARE_SHARE_MEDIAN_EST_REUT" hidden="1">"c3838"</definedName>
    <definedName name="IQ_FFO_SHARE_SHARE_NUM_EST_REUT" hidden="1">"c3841"</definedName>
    <definedName name="IQ_FFO_SHARE_SHARE_STDDEV_EST_REUT" hidden="1">"c3842"</definedName>
    <definedName name="IQ_FFO_SHARE_STDDEV_EST" hidden="1">"c422"</definedName>
    <definedName name="IQ_FFO_SHARE_STDDEV_EST_THOM" hidden="1">"c4004"</definedName>
    <definedName name="IQ_FFO_SHARES_BASIC" hidden="1">"c16185"</definedName>
    <definedName name="IQ_FFO_SHARES_DILUTED" hidden="1">"c16187"</definedName>
    <definedName name="IQ_FFO_STDDEV_EST" hidden="1">"c422"</definedName>
    <definedName name="IQ_FFO_STDDEV_EST_CIQ" hidden="1">"c4981"</definedName>
    <definedName name="IQ_FFO_STDDEV_EST_CIQ_COL" hidden="1">"c11628"</definedName>
    <definedName name="IQ_FFO_STDDEV_EST_REUT" hidden="1">"c3842"</definedName>
    <definedName name="IQ_FFO_STDDEV_EST_THOM" hidden="1">"c4004"</definedName>
    <definedName name="IQ_FFO_TOTAL_REVENUE" hidden="1">"c16060"</definedName>
    <definedName name="IQ_FH" hidden="1">100000</definedName>
    <definedName name="IQ_FHLB_ADVANCES_FDIC" hidden="1">"c6366"</definedName>
    <definedName name="IQ_FHLB_DEBT" hidden="1">"c423"</definedName>
    <definedName name="IQ_FHLB_DUE_AFTER_FIVE" hidden="1">"c2086"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HLB_STOCK_NOT_CARRIED_FV_THRIFT" hidden="1">"c24880"</definedName>
    <definedName name="IQ_FIDUCIARY_ACTIVITIES_FDIC" hidden="1">"c6571"</definedName>
    <definedName name="IQ_FIDUCIARY_ACTIVITIES_INCOME_ADJUSTED_OPERATING_INCOME_THRIFT" hidden="1">"c25689"</definedName>
    <definedName name="IQ_FIDUCIARY_INCOME_OPERATING_INC_FFIEC" hidden="1">"c13383"</definedName>
    <definedName name="IQ_FIDUCIARY_MANAGED_ASSETS_THRIFT" hidden="1">"c25438"</definedName>
    <definedName name="IQ_FIDUCIARY_RELATED_SERVICES_EXP_THRIFT" hidden="1">"c24812"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_CURRENCY_AP" hidden="1">"c11747"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ARCHITECTURE" hidden="1">"c20386"</definedName>
    <definedName name="IQ_FIN_COLLECTION_ID" hidden="1">"c13922"</definedName>
    <definedName name="IQ_FIN_DATA_SOURCE" hidden="1">"c6788"</definedName>
    <definedName name="IQ_FIN_DIV_ASSETS_CURRENT" hidden="1">"c427"</definedName>
    <definedName name="IQ_FIN_DIV_ASSETS_LT" hidden="1">"c428"</definedName>
    <definedName name="IQ_FIN_DIV_CASH_EQUIV" hidden="1">"c6289"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DEBT_TOTAL" hidden="1">"c5656"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MINORITY_INT_REDEEM" hidden="1">"c25788"</definedName>
    <definedName name="IQ_FIN_DIV_MINORITY_INTEREST" hidden="1">"c25790"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_DIV_ST_INVEST" hidden="1">"c6288"</definedName>
    <definedName name="IQ_FIN_INST_UNUSED_FFIEC" hidden="1">"c25860"</definedName>
    <definedName name="IQ_FIN_INSTANCE_ID" hidden="1">"c13921"</definedName>
    <definedName name="IQ_FIN_PERIOD_ID" hidden="1">"c13920"</definedName>
    <definedName name="IQ_FINANCIAL_ASSETS_CARRIED_FV_THROUGH_EARNINGS_THRIFT" hidden="1">"c24931"</definedName>
    <definedName name="IQ_FINANCIAL_ASSETS_HELD_TRADING_PURPOSES_THRIFT" hidden="1">"c24930"</definedName>
    <definedName name="IQ_FINANCIAL_LIABILITIES_CARRIED_FV_THROUGH_EARNINGS_THRIFT" hidden="1">"c24932"</definedName>
    <definedName name="IQ_FINANCIAL_LOC_FOREIGN_GUARANTEES_FFIEC" hidden="1">"c13249"</definedName>
    <definedName name="IQ_FINANCIAL_SERVICING_ASSETS_FAIR_VALUE_TOT_FFIEC" hidden="1">"c13212"</definedName>
    <definedName name="IQ_FINANCIAL_SERVICING_ASSETS_LEVEL_1_FFIEC" hidden="1">"c13220"</definedName>
    <definedName name="IQ_FINANCIAL_SERVICING_ASSETS_LEVEL_2_FFIEC" hidden="1">"c13228"</definedName>
    <definedName name="IQ_FINANCIAL_SERVICING_ASSETS_LEVEL_3_FFIEC" hidden="1">"c13236"</definedName>
    <definedName name="IQ_FINANCIAL_SERVICING_LIAB_FAIR_VALUE_TOT_FFIEC" hidden="1">"c13215"</definedName>
    <definedName name="IQ_FINANCIAL_SERVICING_LIAB_LEVEL_1_FFIEC" hidden="1">"c13223"</definedName>
    <definedName name="IQ_FINANCIAL_SERVICING_LIAB_LEVEL_2_FFIEC" hidden="1">"c13231"</definedName>
    <definedName name="IQ_FINANCIAL_SERVICING_LIAB_LEVEL_3_FFIEC" hidden="1">"c13239"</definedName>
    <definedName name="IQ_FINANCING_CASH" localSheetId="7" hidden="1">"c1405"</definedName>
    <definedName name="IQ_FINANCING_CASH" localSheetId="8" hidden="1">"c1405"</definedName>
    <definedName name="IQ_FINANCING_CASH" hidden="1">"c1405"</definedName>
    <definedName name="IQ_FINANCING_CASH_SUPPL" localSheetId="7" hidden="1">"c1406"</definedName>
    <definedName name="IQ_FINANCING_CASH_SUPPL" localSheetId="8" hidden="1">"c1406"</definedName>
    <definedName name="IQ_FINANCING_CASH_SUPPL" hidden="1">"c1406"</definedName>
    <definedName name="IQ_FINANCING_OBLIG_CURRENT" hidden="1">"c11753"</definedName>
    <definedName name="IQ_FINANCING_OBLIG_NON_CURRENT" hidden="1">"c11754"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BALANCE_PCT_GDP" hidden="1">"c20654"</definedName>
    <definedName name="IQ_FISCAL_Q" hidden="1">"c440"</definedName>
    <definedName name="IQ_FISCAL_Q_EST" hidden="1">"c6794"</definedName>
    <definedName name="IQ_FISCAL_Q_EST_CIQ" hidden="1">"c6806"</definedName>
    <definedName name="IQ_FISCAL_Q_EST_CIQ_COL" hidden="1">"c11741"</definedName>
    <definedName name="IQ_FISCAL_Q_EST_REUT" hidden="1">"c6798"</definedName>
    <definedName name="IQ_FISCAL_Q_EST_THOM" hidden="1">"c6802"</definedName>
    <definedName name="IQ_FISCAL_Y" hidden="1">"c441"</definedName>
    <definedName name="IQ_FISCAL_Y_EST" hidden="1">"c6795"</definedName>
    <definedName name="IQ_FISCAL_Y_EST_CIQ" hidden="1">"c6807"</definedName>
    <definedName name="IQ_FISCAL_Y_EST_CIQ_COL" hidden="1">"c11742"</definedName>
    <definedName name="IQ_FISCAL_Y_EST_REUT" hidden="1">"c6799"</definedName>
    <definedName name="IQ_FISCAL_Y_EST_THOM" hidden="1">"c6803"</definedName>
    <definedName name="IQ_FISCAL_YEAR_END_THRIFT" hidden="1">"c25020"</definedName>
    <definedName name="IQ_FIVE_PERCENT_AMOUNT" hidden="1">"c240"</definedName>
    <definedName name="IQ_FIVE_PERCENT_CIQID" hidden="1">"c19094"</definedName>
    <definedName name="IQ_FIVE_PERCENT_DERIVATIVES" hidden="1">"c19096"</definedName>
    <definedName name="IQ_FIVE_PERCENT_NAME" hidden="1">"c19093"</definedName>
    <definedName name="IQ_FIVE_PERCENT_OWNER" hidden="1">"c442"</definedName>
    <definedName name="IQ_FIVE_PERCENT_PERCENT" hidden="1">"c19097"</definedName>
    <definedName name="IQ_FIVE_PERCENT_POSITION_DATE" hidden="1">"c19099"</definedName>
    <definedName name="IQ_FIVE_PERCENT_SHARES" hidden="1">"c19095"</definedName>
    <definedName name="IQ_FIVE_PERCENT_VALUE" hidden="1">"c19098"</definedName>
    <definedName name="IQ_FIVE_YEAR_FIXED_AND_FLOATING_RATE_FDIC" hidden="1">"c6422"</definedName>
    <definedName name="IQ_FIVE_YEAR_MORTGAGE_PASS_THROUGHS_FDIC" hidden="1">"c6414"</definedName>
    <definedName name="IQ_FIVEPERCENT_OWNER" hidden="1">"c239"</definedName>
    <definedName name="IQ_FIVEPERCENT_PERCENT" hidden="1">"c443"</definedName>
    <definedName name="IQ_FIVEPERCENT_SHARES" hidden="1">"c444"</definedName>
    <definedName name="IQ_FIX_FREQUENCY" hidden="1">"c8964"</definedName>
    <definedName name="IQ_FIXED_ASSET_TURNS" hidden="1">"c445"</definedName>
    <definedName name="IQ_FIXED_INCOME_LIST" hidden="1">"c13504"</definedName>
    <definedName name="IQ_FIXED_INVEST_APR_FC_UNUSED" hidden="1">"c8410"</definedName>
    <definedName name="IQ_FIXED_INVEST_APR_FC_UNUSED_UNUSED_UNUSED" hidden="1">"c8410"</definedName>
    <definedName name="IQ_FIXED_INVEST_APR_UNUSED" hidden="1">"c7530"</definedName>
    <definedName name="IQ_FIXED_INVEST_APR_UNUSED_UNUSED_UNUSED" hidden="1">"c7530"</definedName>
    <definedName name="IQ_FIXED_INVEST_FC_UNUSED" hidden="1">"c7750"</definedName>
    <definedName name="IQ_FIXED_INVEST_FC_UNUSED_UNUSED_UNUSED" hidden="1">"c7750"</definedName>
    <definedName name="IQ_FIXED_INVEST_MACH_EQUIP" hidden="1">"c6871"</definedName>
    <definedName name="IQ_FIXED_INVEST_MACH_EQUIP_APR" hidden="1">"c7531"</definedName>
    <definedName name="IQ_FIXED_INVEST_MACH_EQUIP_APR_FC" hidden="1">"c8411"</definedName>
    <definedName name="IQ_FIXED_INVEST_MACH_EQUIP_FC" hidden="1">"c7751"</definedName>
    <definedName name="IQ_FIXED_INVEST_MACH_EQUIP_POP" hidden="1">"c7091"</definedName>
    <definedName name="IQ_FIXED_INVEST_MACH_EQUIP_POP_FC" hidden="1">"c7971"</definedName>
    <definedName name="IQ_FIXED_INVEST_MACH_EQUIP_REAL" hidden="1">"c6979"</definedName>
    <definedName name="IQ_FIXED_INVEST_MACH_EQUIP_REAL_APR" hidden="1">"c7639"</definedName>
    <definedName name="IQ_FIXED_INVEST_MACH_EQUIP_REAL_APR_FC" hidden="1">"c8519"</definedName>
    <definedName name="IQ_FIXED_INVEST_MACH_EQUIP_REAL_FC" hidden="1">"c7859"</definedName>
    <definedName name="IQ_FIXED_INVEST_MACH_EQUIP_REAL_POP" hidden="1">"c7199"</definedName>
    <definedName name="IQ_FIXED_INVEST_MACH_EQUIP_REAL_POP_FC" hidden="1">"c8079"</definedName>
    <definedName name="IQ_FIXED_INVEST_MACH_EQUIP_REAL_YOY" hidden="1">"c7419"</definedName>
    <definedName name="IQ_FIXED_INVEST_MACH_EQUIP_REAL_YOY_FC" hidden="1">"c8299"</definedName>
    <definedName name="IQ_FIXED_INVEST_MACH_EQUIP_YOY" hidden="1">"c7311"</definedName>
    <definedName name="IQ_FIXED_INVEST_MACH_EQUIP_YOY_FC" hidden="1">"c8191"</definedName>
    <definedName name="IQ_FIXED_INVEST_POP_FC_UNUSED" hidden="1">"c7970"</definedName>
    <definedName name="IQ_FIXED_INVEST_POP_FC_UNUSED_UNUSED_UNUSED" hidden="1">"c7970"</definedName>
    <definedName name="IQ_FIXED_INVEST_POP_UNUSED" hidden="1">"c7090"</definedName>
    <definedName name="IQ_FIXED_INVEST_POP_UNUSED_UNUSED_UNUSED" hidden="1">"c7090"</definedName>
    <definedName name="IQ_FIXED_INVEST_REAL_APR_FC_UNUSED" hidden="1">"c8518"</definedName>
    <definedName name="IQ_FIXED_INVEST_REAL_APR_FC_UNUSED_UNUSED_UNUSED" hidden="1">"c8518"</definedName>
    <definedName name="IQ_FIXED_INVEST_REAL_APR_UNUSED" hidden="1">"c7638"</definedName>
    <definedName name="IQ_FIXED_INVEST_REAL_APR_UNUSED_UNUSED_UNUSED" hidden="1">"c7638"</definedName>
    <definedName name="IQ_FIXED_INVEST_REAL_FC_UNUSED" hidden="1">"c7858"</definedName>
    <definedName name="IQ_FIXED_INVEST_REAL_FC_UNUSED_UNUSED_UNUSED" hidden="1">"c7858"</definedName>
    <definedName name="IQ_FIXED_INVEST_REAL_POP_FC_UNUSED" hidden="1">"c8078"</definedName>
    <definedName name="IQ_FIXED_INVEST_REAL_POP_FC_UNUSED_UNUSED_UNUSED" hidden="1">"c8078"</definedName>
    <definedName name="IQ_FIXED_INVEST_REAL_POP_UNUSED" hidden="1">"c7198"</definedName>
    <definedName name="IQ_FIXED_INVEST_REAL_POP_UNUSED_UNUSED_UNUSED" hidden="1">"c7198"</definedName>
    <definedName name="IQ_FIXED_INVEST_REAL_SAAR" hidden="1">"c6980"</definedName>
    <definedName name="IQ_FIXED_INVEST_REAL_SAAR_APR" hidden="1">"c7640"</definedName>
    <definedName name="IQ_FIXED_INVEST_REAL_SAAR_APR_FC" hidden="1">"c8520"</definedName>
    <definedName name="IQ_FIXED_INVEST_REAL_SAAR_FC" hidden="1">"c7860"</definedName>
    <definedName name="IQ_FIXED_INVEST_REAL_SAAR_POP" hidden="1">"c7200"</definedName>
    <definedName name="IQ_FIXED_INVEST_REAL_SAAR_POP_FC" hidden="1">"c8080"</definedName>
    <definedName name="IQ_FIXED_INVEST_REAL_SAAR_USD_APR_FC" hidden="1">"c11945"</definedName>
    <definedName name="IQ_FIXED_INVEST_REAL_SAAR_USD_FC" hidden="1">"c11942"</definedName>
    <definedName name="IQ_FIXED_INVEST_REAL_SAAR_USD_POP_FC" hidden="1">"c11943"</definedName>
    <definedName name="IQ_FIXED_INVEST_REAL_SAAR_USD_YOY_FC" hidden="1">"c11944"</definedName>
    <definedName name="IQ_FIXED_INVEST_REAL_SAAR_YOY" hidden="1">"c7420"</definedName>
    <definedName name="IQ_FIXED_INVEST_REAL_SAAR_YOY_FC" hidden="1">"c8300"</definedName>
    <definedName name="IQ_FIXED_INVEST_REAL_UNUSED" hidden="1">"c6978"</definedName>
    <definedName name="IQ_FIXED_INVEST_REAL_UNUSED_UNUSED_UNUSED" hidden="1">"c6978"</definedName>
    <definedName name="IQ_FIXED_INVEST_REAL_USD_APR_FC" hidden="1">"c11941"</definedName>
    <definedName name="IQ_FIXED_INVEST_REAL_USD_FC" hidden="1">"c11938"</definedName>
    <definedName name="IQ_FIXED_INVEST_REAL_USD_POP_FC" hidden="1">"c11939"</definedName>
    <definedName name="IQ_FIXED_INVEST_REAL_USD_YOY_FC" hidden="1">"c11940"</definedName>
    <definedName name="IQ_FIXED_INVEST_REAL_YOY_FC_UNUSED" hidden="1">"c8298"</definedName>
    <definedName name="IQ_FIXED_INVEST_REAL_YOY_FC_UNUSED_UNUSED_UNUSED" hidden="1">"c8298"</definedName>
    <definedName name="IQ_FIXED_INVEST_REAL_YOY_UNUSED" hidden="1">"c7418"</definedName>
    <definedName name="IQ_FIXED_INVEST_REAL_YOY_UNUSED_UNUSED_UNUSED" hidden="1">"c7418"</definedName>
    <definedName name="IQ_FIXED_INVEST_SAAR" hidden="1">"c6872"</definedName>
    <definedName name="IQ_FIXED_INVEST_SAAR_APR" hidden="1">"c7532"</definedName>
    <definedName name="IQ_FIXED_INVEST_SAAR_APR_FC" hidden="1">"c8412"</definedName>
    <definedName name="IQ_FIXED_INVEST_SAAR_FC" hidden="1">"c7752"</definedName>
    <definedName name="IQ_FIXED_INVEST_SAAR_POP" hidden="1">"c7092"</definedName>
    <definedName name="IQ_FIXED_INVEST_SAAR_POP_FC" hidden="1">"c7972"</definedName>
    <definedName name="IQ_FIXED_INVEST_SAAR_USD_APR_FC" hidden="1">"c11833"</definedName>
    <definedName name="IQ_FIXED_INVEST_SAAR_USD_FC" hidden="1">"c11830"</definedName>
    <definedName name="IQ_FIXED_INVEST_SAAR_USD_POP_FC" hidden="1">"c11831"</definedName>
    <definedName name="IQ_FIXED_INVEST_SAAR_USD_YOY_FC" hidden="1">"c11832"</definedName>
    <definedName name="IQ_FIXED_INVEST_SAAR_YOY" hidden="1">"c7312"</definedName>
    <definedName name="IQ_FIXED_INVEST_SAAR_YOY_FC" hidden="1">"c8192"</definedName>
    <definedName name="IQ_FIXED_INVEST_UNUSED" hidden="1">"c6870"</definedName>
    <definedName name="IQ_FIXED_INVEST_UNUSED_UNUSED_UNUSED" hidden="1">"c6870"</definedName>
    <definedName name="IQ_FIXED_INVEST_USD_APR_FC" hidden="1">"c11829"</definedName>
    <definedName name="IQ_FIXED_INVEST_USD_FC" hidden="1">"c11826"</definedName>
    <definedName name="IQ_FIXED_INVEST_USD_POP_FC" hidden="1">"c11827"</definedName>
    <definedName name="IQ_FIXED_INVEST_USD_YOY_FC" hidden="1">"c11828"</definedName>
    <definedName name="IQ_FIXED_INVEST_YOY_FC_UNUSED" hidden="1">"c8190"</definedName>
    <definedName name="IQ_FIXED_INVEST_YOY_FC_UNUSED_UNUSED_UNUSED" hidden="1">"c8190"</definedName>
    <definedName name="IQ_FIXED_INVEST_YOY_UNUSED" hidden="1">"c7310"</definedName>
    <definedName name="IQ_FIXED_INVEST_YOY_UNUSED_UNUSED_UNUSED" hidden="1">"c7310"</definedName>
    <definedName name="IQ_FIXED_RATE_DEBT" hidden="1">"c17894"</definedName>
    <definedName name="IQ_FIXED_RATE_DEBT_PCT" hidden="1">"c18008"</definedName>
    <definedName name="IQ_FLOAT" hidden="1">"c17421"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_GNMA_LOANS_FFIEC" hidden="1">"c15272"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DUE_30_89_FFIEC" hidden="1">"c13269"</definedName>
    <definedName name="IQ_FOREIGN_BANKS_DUE_90_FFIEC" hidden="1">"c13295"</definedName>
    <definedName name="IQ_FOREIGN_BANKS_LOAN_CHARG_OFFS_FDIC" hidden="1">"c6645"</definedName>
    <definedName name="IQ_FOREIGN_BANKS_NET_CHARGE_OFFS_FDIC" hidden="1">"c6647"</definedName>
    <definedName name="IQ_FOREIGN_BANKS_NON_ACCRUAL_FFIEC" hidden="1">"c13321"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ASSETS_TOT_FFIEC" hidden="1">"c13445"</definedName>
    <definedName name="IQ_FOREIGN_DEPOSITS_NONTRANSACTION_ACCOUNTS_FDIC" hidden="1">"c6549"</definedName>
    <definedName name="IQ_FOREIGN_DEPOSITS_TOT_FFIEC" hidden="1">"c13486"</definedName>
    <definedName name="IQ_FOREIGN_DEPOSITS_TOTAL_DEPOSITS" hidden="1">"c15719"</definedName>
    <definedName name="IQ_FOREIGN_DEPOSITS_TRANSACTION_ACCOUNTS_FDIC" hidden="1">"c6541"</definedName>
    <definedName name="IQ_FOREIGN_EXCHANGE" localSheetId="7" hidden="1">"c1376"</definedName>
    <definedName name="IQ_FOREIGN_EXCHANGE" localSheetId="8" hidden="1">"c1376"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GOVT_OFFICIAL_INST_FOREIGN_DEP_FFIEC" hidden="1">"c15345"</definedName>
    <definedName name="IQ_FOREIGN_GOVT_OFFICIAL_INST_NON_TRANS_ACCTS_FFIEC" hidden="1">"c15327"</definedName>
    <definedName name="IQ_FOREIGN_GOVT_OFFICIAL_INST_TRANS_ACCTS_FFIEC" hidden="1">"c15319"</definedName>
    <definedName name="IQ_FOREIGN_LL_REC_FFIEC" hidden="1">"c12892"</definedName>
    <definedName name="IQ_FOREIGN_LOANS" hidden="1">"c448"</definedName>
    <definedName name="IQ_FOREIGN_LOANS_LEASES_FOREIGN_FFIEC" hidden="1">"c13478"</definedName>
    <definedName name="IQ_FOREIGN_LOANS_TOTAL_LOANS" hidden="1">"c15714"</definedName>
    <definedName name="IQ_FOUNDATION_OVER_TOTAL" hidden="1">"c24735"</definedName>
    <definedName name="IQ_FOUNDATIONS_ENDOWMENT_ACCOUNTS_MANAGED_ASSETS_THRIFT" hidden="1">"c25354"</definedName>
    <definedName name="IQ_FOUNDATIONS_ENDOWMENT_ACCOUNTS_NONMANAGED_ASSETS_THRIFT" hidden="1">"c25375"</definedName>
    <definedName name="IQ_FOUNDATIONS_ENDOWMENT_ACCOUNTS_NUMBER_MANAGED_ACCOUNTS_THRIFT" hidden="1">"c25365"</definedName>
    <definedName name="IQ_FOUNDATIONS_ENDOWMENT_ACCOUNTS_NUMBER_NONMANAGED_ACCOUNTS_THRIFT" hidden="1">"c25387"</definedName>
    <definedName name="IQ_FOUNDATIONS_ENDOWMENTS_INC_THRIFT" hidden="1">"c24807"</definedName>
    <definedName name="IQ_FQ" hidden="1">500</definedName>
    <definedName name="IQ_FTOOL_CAPEX" hidden="1">"c16212"</definedName>
    <definedName name="IQ_FTOOL_CASH" hidden="1">"c16213"</definedName>
    <definedName name="IQ_FTOOL_CASH_INVEST" hidden="1">"c16214"</definedName>
    <definedName name="IQ_FTOOL_EBT" hidden="1">"c16215"</definedName>
    <definedName name="IQ_FTOOL_NI" hidden="1">"c16216"</definedName>
    <definedName name="IQ_FTOOL_NI_CF" hidden="1">"c16206"</definedName>
    <definedName name="IQ_FTOOL_NUMBER_SHAREHOLDERS" hidden="1">"c16207"</definedName>
    <definedName name="IQ_FTOOL_SHARES_PER_DR" hidden="1">"c16208"</definedName>
    <definedName name="IQ_FTOOL_TOTAL_ASSETS" hidden="1">"c16209"</definedName>
    <definedName name="IQ_FTOOL_TOTAL_LIAB_EQUITY" hidden="1">"c16210"</definedName>
    <definedName name="IQ_FTOOL_TOTAL_REV" hidden="1">"c16211"</definedName>
    <definedName name="IQ_FUEL" hidden="1">"c449"</definedName>
    <definedName name="IQ_FULL_TIME" hidden="1">"c450"</definedName>
    <definedName name="IQ_FULLY_INSURED_BROKERED_DEPOSITS_FFIEC" hidden="1">"c15305"</definedName>
    <definedName name="IQ_FULLY_INSURED_BROKERED_TIME_DEPOSITS_THRIFT" hidden="1">"c25005"</definedName>
    <definedName name="IQ_FULLY_INSURED_DEPOSITS_FDIC" hidden="1">"c6487"</definedName>
    <definedName name="IQ_FUND_ANALYSIS" hidden="1">"c19198"</definedName>
    <definedName name="IQ_FUND_AUTHORIZED_SALE" hidden="1">"c19199"</definedName>
    <definedName name="IQ_FUND_BENCHMARK" hidden="1">"c19200"</definedName>
    <definedName name="IQ_FUND_BENCHMARK_ID" hidden="1">"c19201"</definedName>
    <definedName name="IQ_FUND_DISCOUNT_OR_PREMIUM" hidden="1">"c19242"</definedName>
    <definedName name="IQ_FUND_FEE_INC_NON_INT_INC_FFIEC" hidden="1">"c13493"</definedName>
    <definedName name="IQ_FUND_GEOGRAPHIC_MANDATE" hidden="1">"c19195"</definedName>
    <definedName name="IQ_FUND_MARKET_CAP_EMPHASIS" hidden="1">"c19197"</definedName>
    <definedName name="IQ_FUND_NAV" hidden="1">"c15225"</definedName>
    <definedName name="IQ_FUND_PRIMARY_ADVISOR" hidden="1">"c19091"</definedName>
    <definedName name="IQ_FUND_SECTOR_EMPHASIS" hidden="1">"c19196"</definedName>
    <definedName name="IQ_FUND_VEHICLE_TYPE" hidden="1">"c19194"</definedName>
    <definedName name="IQ_FUNDING_DEPENDENCE_FFIEC" hidden="1">"c13336"</definedName>
    <definedName name="IQ_FUNDING_DEPENDENCE_ST_FFIEC" hidden="1">"c13337"</definedName>
    <definedName name="IQ_FUNDS_PURCHASED_ASSETS_TOT_FFIEC" hidden="1">"c13446"</definedName>
    <definedName name="IQ_FUTURES_CONTRACT_LIST" hidden="1">"c17682"</definedName>
    <definedName name="IQ_FUTURES_FORWARD_CONTRACTS_NOTIONAL_AMOUNT_FDIC" hidden="1">"c6518"</definedName>
    <definedName name="IQ_FUTURES_FORWARD_CONTRACTS_RATE_RISK_FDIC" hidden="1">"c6508"</definedName>
    <definedName name="IQ_FUTURES_NAME" hidden="1">"c13936"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" hidden="1">"c451"</definedName>
    <definedName name="IQ_FX_CONTRACTS_FDIC" hidden="1">"c6517"</definedName>
    <definedName name="IQ_FX_CONTRACTS_FFIEC" hidden="1">"c13125"</definedName>
    <definedName name="IQ_FX_CONTRACTS_SPOT_FDIC" hidden="1">"c6356"</definedName>
    <definedName name="IQ_FX_EXPOSURE_FFIEC" hidden="1">"c13059"</definedName>
    <definedName name="IQ_FX_RATE" hidden="1">"c20655"</definedName>
    <definedName name="IQ_FX_RATE_FC" hidden="1">"c20656"</definedName>
    <definedName name="IQ_FX_RESERVES" hidden="1">"c20657"</definedName>
    <definedName name="IQ_FX_RESERVES_PCT_GDP" hidden="1">"c20658"</definedName>
    <definedName name="IQ_FX_RESERVES_PCT_GDP_FC" hidden="1">"c20659"</definedName>
    <definedName name="IQ_FY" hidden="1">1000</definedName>
    <definedName name="IQ_FY_DATE" hidden="1">"IQ_FY_DATE"</definedName>
    <definedName name="IQ_GA_EXP" hidden="1">"c2241"</definedName>
    <definedName name="IQ_GAAP_BS" hidden="1">"c6789"</definedName>
    <definedName name="IQ_GAAP_CF" hidden="1">"c6790"</definedName>
    <definedName name="IQ_GAAP_COMBINED_RATIO" hidden="1">"c2781"</definedName>
    <definedName name="IQ_GAAP_COMBINED_RATIO_EXCL_CL" hidden="1">"c2782"</definedName>
    <definedName name="IQ_GAAP_EST_CIQ" hidden="1">"c13924"</definedName>
    <definedName name="IQ_GAAP_EXPENSE_RATIO" hidden="1">"c2780"</definedName>
    <definedName name="IQ_GAAP_IS" hidden="1">"c6194"</definedName>
    <definedName name="IQ_GAAP_LOSS" hidden="1">"c2779"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CM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CM" hidden="1">"c454"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CM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CREDIT_DERIVATIVES_FFIEC" hidden="1">"c13066"</definedName>
    <definedName name="IQ_GAIN_CREDIT_DERIVATIVES_NON_TRADING_FFIEC" hidden="1">"c13067"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CM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CM" hidden="1">"c1464"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C_BNK" hidden="1">"c488"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CM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LOSS_HTM_AFS_SECURITIES_FOREIGN_FFIEC" hidden="1">"c15384"</definedName>
    <definedName name="IQ_GAIN_SALE_ASSETS" localSheetId="7" hidden="1">"c1377"</definedName>
    <definedName name="IQ_GAIN_SALE_ASSETS" localSheetId="8" hidden="1">"c1377"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AFS_AVG_ASSETS_FFIEC" hidden="1">"c13364"</definedName>
    <definedName name="IQ_GAINS_ASSETS_TOT_FFIEC" hidden="1">"c13073"</definedName>
    <definedName name="IQ_GAINS_AVAIL_SALE_EQUITY_SEC_T2_FFIEC" hidden="1">"c13147"</definedName>
    <definedName name="IQ_GAINS_AVAIL_SALE_SEC_T1_FFIEC" hidden="1">"c13131"</definedName>
    <definedName name="IQ_GAINS_BARGAIN_PURCHASES_FFIEC" hidden="1">"c25844"</definedName>
    <definedName name="IQ_GAINS_CASH_FLOW_HEDGES_T1_FFIEC" hidden="1">"c13133"</definedName>
    <definedName name="IQ_GAINS_HTM_AVG_ASSETS_FFIEC" hidden="1">"c13363"</definedName>
    <definedName name="IQ_GAINS_INSTRUMENT_SPECIFIC_CREDIT_RISK_LIAB_FFIEC" hidden="1">"c13076"</definedName>
    <definedName name="IQ_GAINS_INSTRUMENT_SPECIFIC_RISK_FFIEC" hidden="1">"c13074"</definedName>
    <definedName name="IQ_GAINS_INSURANCE_ACTIVITIES_FFIEC" hidden="1">"c13072"</definedName>
    <definedName name="IQ_GAINS_LIABILITIES_FFIEC" hidden="1">"c13075"</definedName>
    <definedName name="IQ_GAINS_SALE_ASSETS_FDIC" hidden="1">"c6675"</definedName>
    <definedName name="IQ_GAINS_SALE_LOANS_LEASES_FFIEC" hidden="1">"c13013"</definedName>
    <definedName name="IQ_GAINS_SALE_OTHER_ASSETS_FFIEC" hidden="1">"c13015"</definedName>
    <definedName name="IQ_GAINS_SALE_OTHER_RE_OWNED_FFIEC" hidden="1">"c13014"</definedName>
    <definedName name="IQ_GAINS_SEC_AVAILABLE_SALE_AVG_ASSETS_THRIFT" hidden="1">"c25655"</definedName>
    <definedName name="IQ_GAINS_SEC_HELD_MATURITY_AVG_ASSETS_THRIFT" hidden="1">"c25654"</definedName>
    <definedName name="IQ_GAINS_SECURITIZATION_OPERATING_INC_FFIEC" hidden="1">"c13391"</definedName>
    <definedName name="IQ_GDP" hidden="1">"c6874"</definedName>
    <definedName name="IQ_GDP_APR" hidden="1">"c7534"</definedName>
    <definedName name="IQ_GDP_APR_FC" hidden="1">"c8414"</definedName>
    <definedName name="IQ_GDP_FC" hidden="1">"c7754"</definedName>
    <definedName name="IQ_GDP_POP" hidden="1">"c7094"</definedName>
    <definedName name="IQ_GDP_POP_FC" hidden="1">"c7974"</definedName>
    <definedName name="IQ_GDP_REAL" hidden="1">"c6981"</definedName>
    <definedName name="IQ_GDP_REAL_APR" hidden="1">"c7641"</definedName>
    <definedName name="IQ_GDP_REAL_APR_FC" hidden="1">"c8521"</definedName>
    <definedName name="IQ_GDP_REAL_FC" hidden="1">"c7861"</definedName>
    <definedName name="IQ_GDP_REAL_POP" hidden="1">"c7201"</definedName>
    <definedName name="IQ_GDP_REAL_POP_FC" hidden="1">"c8081"</definedName>
    <definedName name="IQ_GDP_REAL_SAAR" hidden="1">"c6982"</definedName>
    <definedName name="IQ_GDP_REAL_SAAR_APR" hidden="1">"c7642"</definedName>
    <definedName name="IQ_GDP_REAL_SAAR_APR_FC" hidden="1">"c8522"</definedName>
    <definedName name="IQ_GDP_REAL_SAAR_FC" hidden="1">"c7862"</definedName>
    <definedName name="IQ_GDP_REAL_SAAR_POP" hidden="1">"c7202"</definedName>
    <definedName name="IQ_GDP_REAL_SAAR_POP_FC" hidden="1">"c8082"</definedName>
    <definedName name="IQ_GDP_REAL_SAAR_YOY" hidden="1">"c7422"</definedName>
    <definedName name="IQ_GDP_REAL_SAAR_YOY_FC" hidden="1">"c8302"</definedName>
    <definedName name="IQ_GDP_REAL_USD" hidden="1">"c11946"</definedName>
    <definedName name="IQ_GDP_REAL_USD_APR" hidden="1">"c11949"</definedName>
    <definedName name="IQ_GDP_REAL_USD_POP" hidden="1">"c11947"</definedName>
    <definedName name="IQ_GDP_REAL_USD_YOY" hidden="1">"c11948"</definedName>
    <definedName name="IQ_GDP_REAL_YOY" hidden="1">"c7421"</definedName>
    <definedName name="IQ_GDP_REAL_YOY_FC" hidden="1">"c8301"</definedName>
    <definedName name="IQ_GDP_SAAR" hidden="1">"c6875"</definedName>
    <definedName name="IQ_GDP_SAAR_APR" hidden="1">"c7535"</definedName>
    <definedName name="IQ_GDP_SAAR_APR_FC" hidden="1">"c8415"</definedName>
    <definedName name="IQ_GDP_SAAR_FC" hidden="1">"c7755"</definedName>
    <definedName name="IQ_GDP_SAAR_POP" hidden="1">"c7095"</definedName>
    <definedName name="IQ_GDP_SAAR_POP_FC" hidden="1">"c7975"</definedName>
    <definedName name="IQ_GDP_SAAR_YOY" hidden="1">"c7315"</definedName>
    <definedName name="IQ_GDP_SAAR_YOY_FC" hidden="1">"c8195"</definedName>
    <definedName name="IQ_GDP_USD" hidden="1">"c11834"</definedName>
    <definedName name="IQ_GDP_USD_APR" hidden="1">"c11837"</definedName>
    <definedName name="IQ_GDP_USD_POP" hidden="1">"c11835"</definedName>
    <definedName name="IQ_GDP_USD_YOY" hidden="1">"c11836"</definedName>
    <definedName name="IQ_GDP_YOY" hidden="1">"c7314"</definedName>
    <definedName name="IQ_GDP_YOY_FC" hidden="1">"c8194"</definedName>
    <definedName name="IQ_GEN_LIFE_INSURANCE_ASSET_FFIEC" hidden="1">"c27008"</definedName>
    <definedName name="IQ_GENERAL_ALLOWANCE" hidden="1">"c15248"</definedName>
    <definedName name="IQ_GENERAL_OBLIGATIONS_STATE_LOCAL_GOVERNMENTS_ELIGIBLE_20_PCT_RISK_WEIGHT_THRIFT" hidden="1">"c25059"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ICS_CODE" hidden="1">"c16201"</definedName>
    <definedName name="IQ_GLA_PCT_LEASED_CONSOL" hidden="1">"c8810"</definedName>
    <definedName name="IQ_GLA_PCT_LEASED_MANAGED" hidden="1">"c8812"</definedName>
    <definedName name="IQ_GLA_PCT_LEASED_OTHER" hidden="1">"c8813"</definedName>
    <definedName name="IQ_GLA_PCT_LEASED_TOTAL" hidden="1">"c8814"</definedName>
    <definedName name="IQ_GLA_PCT_LEASED_UNCONSOL" hidden="1">"c8811"</definedName>
    <definedName name="IQ_GLA_SQ_FT_CONSOL" hidden="1">"c8790"</definedName>
    <definedName name="IQ_GLA_SQ_FT_MANAGED" hidden="1">"c8792"</definedName>
    <definedName name="IQ_GLA_SQ_FT_OTHER" hidden="1">"c8793"</definedName>
    <definedName name="IQ_GLA_SQ_FT_TOTAL" hidden="1">"c8794"</definedName>
    <definedName name="IQ_GLA_SQ_FT_UNCONSOL" hidden="1">"c8791"</definedName>
    <definedName name="IQ_GLA_SQ_METER_CONSOL" hidden="1">"c8795"</definedName>
    <definedName name="IQ_GLA_SQ_METER_MANAGED" hidden="1">"c8797"</definedName>
    <definedName name="IQ_GLA_SQ_METER_OTHER" hidden="1">"c8798"</definedName>
    <definedName name="IQ_GLA_SQ_METER_TOTAL" hidden="1">"c8799"</definedName>
    <definedName name="IQ_GLA_SQ_METER_UNCONSOL" hidden="1">"c8796"</definedName>
    <definedName name="IQ_GNMA_FDIC" hidden="1">"c6398"</definedName>
    <definedName name="IQ_GOODWILL_FDIC" hidden="1">"c6334"</definedName>
    <definedName name="IQ_GOODWILL_FFIEC" hidden="1">"c12836"</definedName>
    <definedName name="IQ_GOODWILL_IMPAIRMENT_FDIC" hidden="1">"c6678"</definedName>
    <definedName name="IQ_GOODWILL_IMPAIRMENT_FFIEC" hidden="1">"c13025"</definedName>
    <definedName name="IQ_GOODWILL_INTAN_FDIC" hidden="1">"c6333"</definedName>
    <definedName name="IQ_GOODWILL_INTANGIBLE_ASSETS_THRIFT" hidden="1">"c24887"</definedName>
    <definedName name="IQ_GOODWILL_NET" localSheetId="7" hidden="1">"c1380"</definedName>
    <definedName name="IQ_GOODWILL_NET" localSheetId="8" hidden="1">"c1380"</definedName>
    <definedName name="IQ_GOODWILL_NET" hidden="1">"c1380"</definedName>
    <definedName name="IQ_GOODWILL_OTHER_INTANGIBLE_ASSETS_ADJUSTED_ASSETS_THRIFT" hidden="1">"c25032"</definedName>
    <definedName name="IQ_GOODWILL_OTHER_INTANGIBLE_ASSETS_T1_THRIFT" hidden="1">"c25023"</definedName>
    <definedName name="IQ_GOODWILL_OTHER_INTANGIBLE_ASSETS_THRIFT" hidden="1">"c24890"</definedName>
    <definedName name="IQ_GOODWILL_OTHER_INTANGIBLES_EXP_THRIFT" hidden="1">"c24791"</definedName>
    <definedName name="IQ_GOVT_CAPITAL_TRANSFER_PAYMENTS" hidden="1">"c20660"</definedName>
    <definedName name="IQ_GOVT_CAPITAL_TRANSFER_RECEIPTS" hidden="1">"c20661"</definedName>
    <definedName name="IQ_GOVT_CONSUM_FIXED_CAPITAL" hidden="1">"c20663"</definedName>
    <definedName name="IQ_GOVT_CONTRIBUTIONS_SOCIAL_INSURANCE" hidden="1">"c20664"</definedName>
    <definedName name="IQ_GOVT_CURRENT_EXPENDITURES" hidden="1">"c20665"</definedName>
    <definedName name="IQ_GOVT_CURRENT_RECEIPTS" hidden="1">"c20666"</definedName>
    <definedName name="IQ_GOVT_DEPOSITS" hidden="1">"c26987"</definedName>
    <definedName name="IQ_GOVT_ENTERPRISE_SURPLUS" hidden="1">"c20667"</definedName>
    <definedName name="IQ_GOVT_EXPENDITURES" hidden="1">"c20668"</definedName>
    <definedName name="IQ_GOVT_EXPENDITURES_FEDERAL" hidden="1">"c20669"</definedName>
    <definedName name="IQ_GOVT_GROSS_INVEST" hidden="1">"c20673"</definedName>
    <definedName name="IQ_GOVT_GROSS_INVEST_EQUIP" hidden="1">"c20674"</definedName>
    <definedName name="IQ_GOVT_GROSS_INVEST_FEDERAL" hidden="1">"c20676"</definedName>
    <definedName name="IQ_GOVT_GROSS_INVEST_FEDERAL_DEF_EQUIP" hidden="1">"c20679"</definedName>
    <definedName name="IQ_GOVT_GROSS_INVEST_FEDERAL_DEFENSE_STRUCTURES" hidden="1">"c20677"</definedName>
    <definedName name="IQ_GOVT_GROSS_INVEST_FEDERAL_EQUIP" hidden="1">"c20680"</definedName>
    <definedName name="IQ_GOVT_GROSS_INVEST_FEDERAL_NONDEF_EQUIP" hidden="1">"c20682"</definedName>
    <definedName name="IQ_GOVT_GROSS_INVEST_FEDERAL_NONDEFENSE_STRUCTURES" hidden="1">"c24741"</definedName>
    <definedName name="IQ_GOVT_GROSS_INVEST_FEDERAL_STRUCTURES" hidden="1">"c20683"</definedName>
    <definedName name="IQ_GOVT_GROSS_INVEST_STATE_LOCAL_EQUIP" hidden="1">"c20685"</definedName>
    <definedName name="IQ_GOVT_GROSS_INVEST_STATE_LOCAL_STRUCTURES" hidden="1">"c20686"</definedName>
    <definedName name="IQ_GOVT_GROSS_INVEST_STRUCTURES" hidden="1">"c20687"</definedName>
    <definedName name="IQ_GOVT_INTEREST_PAYMENTS" hidden="1">"c20688"</definedName>
    <definedName name="IQ_GOVT_INTEREST_PAYMENTS_PERSON" hidden="1">"c20689"</definedName>
    <definedName name="IQ_GOVT_INTEREST_PAYMENTS_WORLD" hidden="1">"c20690"</definedName>
    <definedName name="IQ_GOVT_NET_BORROWING" hidden="1">"c20691"</definedName>
    <definedName name="IQ_GOVT_NET_PURCHASE_NONPRODUCED_ASSETS" hidden="1">"c20692"</definedName>
    <definedName name="IQ_GOVT_NET_SAVING" hidden="1">"c20693"</definedName>
    <definedName name="IQ_GOVT_PERSONAL_TAXES_RECEIPTS" hidden="1">"c6876"</definedName>
    <definedName name="IQ_GOVT_PERSONAL_TAXES_RECEIPTS_APR" hidden="1">"c7536"</definedName>
    <definedName name="IQ_GOVT_PERSONAL_TAXES_RECEIPTS_APR_FC" hidden="1">"c8416"</definedName>
    <definedName name="IQ_GOVT_PERSONAL_TAXES_RECEIPTS_FC" hidden="1">"c7756"</definedName>
    <definedName name="IQ_GOVT_PERSONAL_TAXES_RECEIPTS_POP" hidden="1">"c7096"</definedName>
    <definedName name="IQ_GOVT_PERSONAL_TAXES_RECEIPTS_POP_FC" hidden="1">"c7976"</definedName>
    <definedName name="IQ_GOVT_PERSONAL_TAXES_RECEIPTS_YOY" hidden="1">"c7316"</definedName>
    <definedName name="IQ_GOVT_PERSONAL_TAXES_RECEIPTS_YOY_FC" hidden="1">"c8196"</definedName>
    <definedName name="IQ_GOVT_REAL_EXPENDITURES" hidden="1">"c20694"</definedName>
    <definedName name="IQ_GOVT_REAL_EXPENDITURES_FEDERAL" hidden="1">"c20695"</definedName>
    <definedName name="IQ_GOVT_REAL_GROSS_INVEST" hidden="1">"c20699"</definedName>
    <definedName name="IQ_GOVT_REAL_GROSS_INVEST_EQUIP" hidden="1">"c20700"</definedName>
    <definedName name="IQ_GOVT_REAL_GROSS_INVEST_FEDERAL" hidden="1">"c20701"</definedName>
    <definedName name="IQ_GOVT_REAL_GROSS_INVEST_FEDERAL_DEF_EQUIP" hidden="1">"c20704"</definedName>
    <definedName name="IQ_GOVT_REAL_GROSS_INVEST_FEDERAL_DEFENSE_STRUCTURES" hidden="1">"c20702"</definedName>
    <definedName name="IQ_GOVT_REAL_GROSS_INVEST_FEDERAL_EQUIP" hidden="1">"c20705"</definedName>
    <definedName name="IQ_GOVT_REAL_GROSS_INVEST_FEDERAL_NONDEF_EQUIP" hidden="1">"c20707"</definedName>
    <definedName name="IQ_GOVT_REAL_GROSS_INVEST_FEDERAL_NONDEFENSE_STRUCTURES" hidden="1">"c24742"</definedName>
    <definedName name="IQ_GOVT_REAL_GROSS_INVEST_FEDERAL_STRUCTURES" hidden="1">"c20708"</definedName>
    <definedName name="IQ_GOVT_REAL_GROSS_INVEST_STATE_LOCAL_EQUIP" hidden="1">"c20710"</definedName>
    <definedName name="IQ_GOVT_REAL_GROSS_INVEST_STATE_LOCAL_STRUCTURES" hidden="1">"c20711"</definedName>
    <definedName name="IQ_GOVT_REAL_GROSS_INVEST_STRUCTURES" hidden="1">"c20712"</definedName>
    <definedName name="IQ_GOVT_REAL_RECEIPTS_CONSUM_INVEST_RESIDUAL" hidden="1">"c20717"</definedName>
    <definedName name="IQ_GOVT_RECEIPTS" hidden="1">"c6877"</definedName>
    <definedName name="IQ_GOVT_RECEIPTS_APR" hidden="1">"c7537"</definedName>
    <definedName name="IQ_GOVT_RECEIPTS_APR_FC" hidden="1">"c8417"</definedName>
    <definedName name="IQ_GOVT_RECEIPTS_ASSETS" hidden="1">"c20719"</definedName>
    <definedName name="IQ_GOVT_RECEIPTS_ASSETS_DIVIDENDS" hidden="1">"c20720"</definedName>
    <definedName name="IQ_GOVT_RECEIPTS_ASSETS_INTEREST" hidden="1">"c20721"</definedName>
    <definedName name="IQ_GOVT_RECEIPTS_ASSETS_RENT" hidden="1">"c20722"</definedName>
    <definedName name="IQ_GOVT_RECEIPTS_EXPENSITURES_OTHER" hidden="1">"c20728"</definedName>
    <definedName name="IQ_GOVT_RECEIPTS_FC" hidden="1">"c7757"</definedName>
    <definedName name="IQ_GOVT_RECEIPTS_POP" hidden="1">"c7097"</definedName>
    <definedName name="IQ_GOVT_RECEIPTS_POP_FC" hidden="1">"c7977"</definedName>
    <definedName name="IQ_GOVT_RECEIPTS_TRANSFER" hidden="1">"c20729"</definedName>
    <definedName name="IQ_GOVT_RECEIPTS_TRANSFER_BUSINESS" hidden="1">"c20730"</definedName>
    <definedName name="IQ_GOVT_RECEIPTS_TRANSFER_PERSONAL" hidden="1">"c20731"</definedName>
    <definedName name="IQ_GOVT_RECEIPTS_YOY" hidden="1">"c7317"</definedName>
    <definedName name="IQ_GOVT_RECEIPTS_YOY_FC" hidden="1">"c8197"</definedName>
    <definedName name="IQ_GOVT_SOCIAL_BENEFITS" hidden="1">"c20732"</definedName>
    <definedName name="IQ_GOVT_SOCIAL_BENEFITS_PERSONS" hidden="1">"c20733"</definedName>
    <definedName name="IQ_GOVT_SOCIAL_BENEFITS_WORLD" hidden="1">"c20734"</definedName>
    <definedName name="IQ_GOVT_SOCIAL_INSURANCE_FUNDS" hidden="1">"c20735"</definedName>
    <definedName name="IQ_GOVT_SUBSIDIES" hidden="1">"c20736"</definedName>
    <definedName name="IQ_GOVT_TAX_RECEIPTS" hidden="1">"c20737"</definedName>
    <definedName name="IQ_GOVT_TAX_RECEIPTS_CORPORATE" hidden="1">"c20738"</definedName>
    <definedName name="IQ_GOVT_TAX_RECEIPTS_CORPORATE_FED_RESERVE" hidden="1">"c20739"</definedName>
    <definedName name="IQ_GOVT_TAX_RECEIPTS_CORPORATE_OTHER" hidden="1">"c20740"</definedName>
    <definedName name="IQ_GOVT_TAX_RECEIPTS_CUSTOMS" hidden="1">"c20741"</definedName>
    <definedName name="IQ_GOVT_TAX_RECEIPTS_EXCISE" hidden="1">"c20742"</definedName>
    <definedName name="IQ_GOVT_TAX_RECEIPTS_PERSONAL" hidden="1">"c20743"</definedName>
    <definedName name="IQ_GOVT_TAX_RECEIPTS_PRODUCTION_IMPORTS" hidden="1">"c20744"</definedName>
    <definedName name="IQ_GOVT_TAX_RECEIPTS_WORLD" hidden="1">"c20745"</definedName>
    <definedName name="IQ_GOVT_TOTAL_EXPENDITURES" hidden="1">"c20746"</definedName>
    <definedName name="IQ_GOVT_TOTAL_RECEIPTS" hidden="1">"c20747"</definedName>
    <definedName name="IQ_GOVT_TRANSFER_PAYMENTS" hidden="1">"c20748"</definedName>
    <definedName name="IQ_GOVT_TRANSFER_PAYMENTS_OTHER" hidden="1">"c20749"</definedName>
    <definedName name="IQ_GOVT_TRANSFER_PAYMENTS_OTHER_STATE_LOCAL" hidden="1">"c20750"</definedName>
    <definedName name="IQ_GOVT_TRANSFER_PAYMENTS_OTHER_WORLD" hidden="1">"c20751"</definedName>
    <definedName name="IQ_GOVT_WAGE_ACCRUAL" hidden="1">"c20752"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DD_BASIC" hidden="1">"c15776"</definedName>
    <definedName name="IQ_GROSS_ADD_BBAND" hidden="1">"c15779"</definedName>
    <definedName name="IQ_GROSS_ADD_DIG" hidden="1">"c15777"</definedName>
    <definedName name="IQ_GROSS_ADD_PHONE" hidden="1">"c15780"</definedName>
    <definedName name="IQ_GROSS_ADD_POSTPAID_WIRELESS" hidden="1">"c15750"</definedName>
    <definedName name="IQ_GROSS_ADD_PREPAID_WIRELESS" hidden="1">"c15751"</definedName>
    <definedName name="IQ_GROSS_ADD_RESELL_WHOLESALE_WIRELESS" hidden="1">"c15752"</definedName>
    <definedName name="IQ_GROSS_ADD_RGU" hidden="1">"c15781"</definedName>
    <definedName name="IQ_GROSS_ADD_SATELLITE" hidden="1">"c15778"</definedName>
    <definedName name="IQ_GROSS_ADD_TOTAL_WIRELESS" hidden="1">"c15753"</definedName>
    <definedName name="IQ_GROSS_AH_EARNED" hidden="1">"c2742"</definedName>
    <definedName name="IQ_GROSS_CLAIM_ADJ_EXP_RESERVE_BOP" hidden="1">"c15874"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localSheetId="7" hidden="1">"c1446"</definedName>
    <definedName name="IQ_GROSS_DIVID" localSheetId="8" hidden="1">"c1446"</definedName>
    <definedName name="IQ_GROSS_DIVID" hidden="1">"c1446"</definedName>
    <definedName name="IQ_GROSS_EARNED" hidden="1">"c2732"</definedName>
    <definedName name="IQ_GROSS_GW" hidden="1">"c519"</definedName>
    <definedName name="IQ_GROSS_INTAN" hidden="1">"c520"</definedName>
    <definedName name="IQ_GROSS_INTAN_ASSETS" hidden="1">"c17748"</definedName>
    <definedName name="IQ_GROSS_LIFE_EARNED" hidden="1">"c2737"</definedName>
    <definedName name="IQ_GROSS_LIFE_IN_FORCE" hidden="1">"c2767"</definedName>
    <definedName name="IQ_GROSS_LOAN_AVG_LOANS_THRIFT" hidden="1">"c25636"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LOSSES" hidden="1">"c15871"</definedName>
    <definedName name="IQ_GROSS_LOSSES_AVG_LOANS_FFIEC" hidden="1">"c13475"</definedName>
    <definedName name="IQ_GROSS_MARGIN" hidden="1">"c529"</definedName>
    <definedName name="IQ_GROSS_MARGIN_ACT_OR_EST" hidden="1">"c5554"</definedName>
    <definedName name="IQ_GROSS_MARGIN_ACT_OR_EST_THOM" hidden="1">"c5562"</definedName>
    <definedName name="IQ_GROSS_MARGIN_DET_EST_DATE_THOM" hidden="1">"c12239"</definedName>
    <definedName name="IQ_GROSS_MARGIN_DET_EST_INCL_THOM" hidden="1">"c12371"</definedName>
    <definedName name="IQ_GROSS_MARGIN_DET_EST_ORIGIN_THOM" hidden="1">"c12609"</definedName>
    <definedName name="IQ_GROSS_MARGIN_DET_EST_THOM" hidden="1">"c12089"</definedName>
    <definedName name="IQ_GROSS_MARGIN_EST" hidden="1">"c5547"</definedName>
    <definedName name="IQ_GROSS_MARGIN_EST_THOM" hidden="1">"c5555"</definedName>
    <definedName name="IQ_GROSS_MARGIN_HIGH_EST" hidden="1">"c5549"</definedName>
    <definedName name="IQ_GROSS_MARGIN_HIGH_EST_THOM" hidden="1">"c5557"</definedName>
    <definedName name="IQ_GROSS_MARGIN_LOW_EST" hidden="1">"c5550"</definedName>
    <definedName name="IQ_GROSS_MARGIN_LOW_EST_THOM" hidden="1">"c5558"</definedName>
    <definedName name="IQ_GROSS_MARGIN_MEDIAN_EST" hidden="1">"c5548"</definedName>
    <definedName name="IQ_GROSS_MARGIN_MEDIAN_EST_THOM" hidden="1">"c5556"</definedName>
    <definedName name="IQ_GROSS_MARGIN_NUM_EST" hidden="1">"c5551"</definedName>
    <definedName name="IQ_GROSS_MARGIN_NUM_EST_THOM" hidden="1">"c5559"</definedName>
    <definedName name="IQ_GROSS_MARGIN_STDDEV_EST" hidden="1">"c5552"</definedName>
    <definedName name="IQ_GROSS_MARGIN_STDDEV_EST_THOM" hidden="1">"c5560"</definedName>
    <definedName name="IQ_GROSS_PC_EARNED" hidden="1">"c2747"</definedName>
    <definedName name="IQ_GROSS_PREMIUMS_WRITTEN_AVG_ASSETS" hidden="1">"c15893"</definedName>
    <definedName name="IQ_GROSS_PREMIUMS_WRITTEN_AVG_EQUITY" hidden="1">"c15892"</definedName>
    <definedName name="IQ_GROSS_PREMIUMS_WRITTEN_AVG_STATUTORY_SURPLUS" hidden="1">"c15894"</definedName>
    <definedName name="IQ_GROSS_PROFIT" localSheetId="7" hidden="1">"c1378"</definedName>
    <definedName name="IQ_GROSS_PROFIT" localSheetId="8" hidden="1">"c1378"</definedName>
    <definedName name="IQ_GROSS_PROFIT" hidden="1">"c1378"</definedName>
    <definedName name="IQ_GROSS_SPRD" hidden="1">"c2155"</definedName>
    <definedName name="IQ_GROSS_WRITTEN" hidden="1">"c2726"</definedName>
    <definedName name="IQ_GROUP_EMBEDDED_VALUE_ASSET_MANAGEMENT" hidden="1">"c9955"</definedName>
    <definedName name="IQ_GROUP_EMBEDDED_VALUE_HEALTH" hidden="1">"c9954"</definedName>
    <definedName name="IQ_GROUP_EMBEDDED_VALUE_LIFE" hidden="1">"c9953"</definedName>
    <definedName name="IQ_GROUP_EMBEDDED_VALUE_LIFE_OTHER" hidden="1">"c9956"</definedName>
    <definedName name="IQ_GUARANTEED_PORTION_OTHER_LOANS_LEASES_EXCLUDE_REBOOKED_GNMA_LOANS_DUE_90_THRIFT" hidden="1">"c25280"</definedName>
    <definedName name="IQ_GUARANTEED_PORTION_OTHER_LOANS_LEASES_EXCLUDE_REBOOKED_GNMA_LOANS_NON_ACCRUAL_THRIFT" hidden="1">"c25301"</definedName>
    <definedName name="IQ_GUARTANTEED_PORTION_OTHER_LOANS_LEASES_EXCLUDE_REBOOKED_GNMA_LOANS_DUE_30_89_THRIFT" hidden="1">"c25259"</definedName>
    <definedName name="IQ_GVKEY" hidden="1">"c15590"</definedName>
    <definedName name="IQ_GVKEY_OTHER" hidden="1">"c15633"</definedName>
    <definedName name="IQ_GW" hidden="1">"c530"</definedName>
    <definedName name="IQ_GW_AMORT_BR" hidden="1">"c532"</definedName>
    <definedName name="IQ_GW_AMORT_CM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" hidden="1">"c19145"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CM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CM" hidden="1">"c1470"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JUSTED_DISCHARGES" hidden="1">"c9977"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SO_COVERED_LIVES" hidden="1">"c9982"</definedName>
    <definedName name="IQ_HC_ASO_MEMBERSHIP" hidden="1">"c9985"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CASES" hidden="1">"c9978"</definedName>
    <definedName name="IQ_HC_CLAIMS_RESERVES" hidden="1">"c9989"</definedName>
    <definedName name="IQ_HC_DAYS_REV_OUT" hidden="1">"c5993"</definedName>
    <definedName name="IQ_HC_DISCHARGES" hidden="1">"c9976"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QUIVALENT_PATIENT_DAYS" hidden="1">"c9980"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L_EXPENSE_RATIO" hidden="1">"c9987"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CASE" hidden="1">"c9979"</definedName>
    <definedName name="IQ_HC_REV_PER_DISCHARGE" hidden="1">"c9990"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RISK_COVERED_LIVES" hidden="1">"c9981"</definedName>
    <definedName name="IQ_HC_RISK_MEMBERSHIP" hidden="1">"c9984"</definedName>
    <definedName name="IQ_HC_SALARIES_PCT_REV" hidden="1">"c5970"</definedName>
    <definedName name="IQ_HC_SGA_MARGIN" hidden="1">"c9988"</definedName>
    <definedName name="IQ_HC_SUPPLIES_PCT_REV" hidden="1">"c5971"</definedName>
    <definedName name="IQ_HC_TOTAL_COVERED_LIVES" hidden="1">"c9983"</definedName>
    <definedName name="IQ_HC_TOTAL_MEMBERSHIP" hidden="1">"c9986"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EDGEFUND_OVER_TOTAL" hidden="1">"c24736"</definedName>
    <definedName name="IQ_HEDGING_ACTIVITIES" hidden="1">"c17899"</definedName>
    <definedName name="IQ_HEDGING_ACTIVITIES_PCT" hidden="1">"c18013"</definedName>
    <definedName name="IQ_HELD_MATURITY_FDIC" hidden="1">"c6408"</definedName>
    <definedName name="IQ_HG_ACQUIRED_FRANCHISE_HOTEL_PROPERTIES" hidden="1">"c8584"</definedName>
    <definedName name="IQ_HG_ACQUIRED_FRANCHISE_ROOMS" hidden="1">"c8614"</definedName>
    <definedName name="IQ_HG_ACQUIRED_HOTEL_PROPERTIES" hidden="1">"c8572"</definedName>
    <definedName name="IQ_HG_ACQUIRED_MANAGED_HOTEL_PROPERTIES" hidden="1">"c8590"</definedName>
    <definedName name="IQ_HG_ACQUIRED_MANAGED_ROOMS" hidden="1">"c8620"</definedName>
    <definedName name="IQ_HG_ACQUIRED_OTHER_HOTEL_PROPERTIES" hidden="1">"c8596"</definedName>
    <definedName name="IQ_HG_ACQUIRED_OTHER_ROOMS" hidden="1">"c8626"</definedName>
    <definedName name="IQ_HG_ACQUIRED_OWNED_HOTEL_PROPERTIES" hidden="1">"c8578"</definedName>
    <definedName name="IQ_HG_ACQUIRED_OWNED_ROOMS" hidden="1">"c8608"</definedName>
    <definedName name="IQ_HG_ACQUIRED_ROOMS" hidden="1">"c8602"</definedName>
    <definedName name="IQ_HG_ADR_CHANGE_FRANCHISE" hidden="1">"c8684"</definedName>
    <definedName name="IQ_HG_ADR_CHANGE_MANAGED" hidden="1">"c8685"</definedName>
    <definedName name="IQ_HG_ADR_CHANGE_OTHER" hidden="1">"c8686"</definedName>
    <definedName name="IQ_HG_ADR_CHANGE_OWNED" hidden="1">"c8683"</definedName>
    <definedName name="IQ_HG_ADR_CHANGE_OWNED_COMP" hidden="1">"c8709"</definedName>
    <definedName name="IQ_HG_ADR_CHANGE_TOTAL" hidden="1">"c8687"</definedName>
    <definedName name="IQ_HG_ADR_CHANGE_TOTAL_COMP" hidden="1">"c8710"</definedName>
    <definedName name="IQ_HG_ADR_FRANCHISE" hidden="1">"c8664"</definedName>
    <definedName name="IQ_HG_ADR_MANAGED" hidden="1">"c8665"</definedName>
    <definedName name="IQ_HG_ADR_OTHER" hidden="1">"c8666"</definedName>
    <definedName name="IQ_HG_ADR_OWNED" hidden="1">"c8663"</definedName>
    <definedName name="IQ_HG_ADR_OWNED_COMP" hidden="1">"c8701"</definedName>
    <definedName name="IQ_HG_ADR_TOTAL" hidden="1">"c8667"</definedName>
    <definedName name="IQ_HG_ADR_TOTAL_COMP" hidden="1">"c8702"</definedName>
    <definedName name="IQ_HG_CASINO_EXP_DIRECT_OPERATING_EXP" hidden="1">"c15981"</definedName>
    <definedName name="IQ_HG_CASINO_GROSS_PROFIT" hidden="1">"c15974"</definedName>
    <definedName name="IQ_HG_CASINO_MARGIN" hidden="1">"c15976"</definedName>
    <definedName name="IQ_HG_CASINO_OPERATING_MARGIN" hidden="1">"c15977"</definedName>
    <definedName name="IQ_HG_CASINOS_JV" hidden="1">"c8631"</definedName>
    <definedName name="IQ_HG_CASINOS_MANAGED" hidden="1">"c8632"</definedName>
    <definedName name="IQ_HG_CASINOS_OWNED" hidden="1">"c8630"</definedName>
    <definedName name="IQ_HG_CASINOS_TOTAL" hidden="1">"c8633"</definedName>
    <definedName name="IQ_HG_CLOSED_FRANCHISE_HOTEL_PROPERTIES" hidden="1">"c8586"</definedName>
    <definedName name="IQ_HG_CLOSED_FRANCHISE_ROOMS" hidden="1">"c8616"</definedName>
    <definedName name="IQ_HG_CLOSED_HOTEL_PROPERTIES" hidden="1">"c8574"</definedName>
    <definedName name="IQ_HG_CLOSED_MANAGED_HOTEL_PROPERTIES" hidden="1">"c8592"</definedName>
    <definedName name="IQ_HG_CLOSED_MANAGED_ROOMS" hidden="1">"c8622"</definedName>
    <definedName name="IQ_HG_CLOSED_OTHER_HOTEL_PROPERTIES" hidden="1">"c8598"</definedName>
    <definedName name="IQ_HG_CLOSED_OTHER_ROOMS" hidden="1">"c8628"</definedName>
    <definedName name="IQ_HG_CLOSED_OWNED_HOTEL_PROPERTIES" hidden="1">"c8580"</definedName>
    <definedName name="IQ_HG_CLOSED_OWNED_ROOMS" hidden="1">"c8610"</definedName>
    <definedName name="IQ_HG_CLOSED_ROOMS" hidden="1">"c8604"</definedName>
    <definedName name="IQ_HG_CONFERENCE_SPACE" hidden="1">"c15971"</definedName>
    <definedName name="IQ_HG_EXP_CASINO" hidden="1">"c8733"</definedName>
    <definedName name="IQ_HG_EXP_DEVELOPMENT" hidden="1">"c8738"</definedName>
    <definedName name="IQ_HG_EXP_DIRECT_CASINO_GAMING" hidden="1">"c15994"</definedName>
    <definedName name="IQ_HG_EXP_ENTERTAINMENT" hidden="1">"c8736"</definedName>
    <definedName name="IQ_HG_EXP_FOOD_BEV" hidden="1">"c8734"</definedName>
    <definedName name="IQ_HG_EXP_FRANCHISE_MANAGEMENT" hidden="1">"c8744"</definedName>
    <definedName name="IQ_HG_EXP_OTHER_DIRECT_HOTEL_MOTEL" hidden="1">"c15995"</definedName>
    <definedName name="IQ_HG_EXP_OTHER_MNGD_FRANCHISE_PROP" hidden="1">"c8742"</definedName>
    <definedName name="IQ_HG_EXP_OWNED_LEASED_CONSOL_JV" hidden="1">"c8740"</definedName>
    <definedName name="IQ_HG_EXP_REIMBURSEMENTS" hidden="1">"c8743"</definedName>
    <definedName name="IQ_HG_EXP_RETAIL" hidden="1">"c8737"</definedName>
    <definedName name="IQ_HG_EXP_ROOMS" hidden="1">"c8735"</definedName>
    <definedName name="IQ_HG_EXP_THEATRE_CONCESSION" hidden="1">"c8739"</definedName>
    <definedName name="IQ_HG_EXP_VACA_OWNERSHIP_RES" hidden="1">"c8741"</definedName>
    <definedName name="IQ_HG_FOOD_BEV_EXP_DIRECT_OPERATING_EXP" hidden="1">"c15980"</definedName>
    <definedName name="IQ_HG_FOOD_BEV_REV_TOTAL_REV" hidden="1">"c15983"</definedName>
    <definedName name="IQ_HG_FOOD_PROM_COSTS" hidden="1">"c8746"</definedName>
    <definedName name="IQ_HG_FRANCHISE_HOTEL_PROPERTIES_BEG" hidden="1">"c8582"</definedName>
    <definedName name="IQ_HG_FRANCHISE_ROOMS_BEG" hidden="1">"c8612"</definedName>
    <definedName name="IQ_HG_GAMING_SPACE_JV" hidden="1">"c8635"</definedName>
    <definedName name="IQ_HG_GAMING_SPACE_MANAGED" hidden="1">"c8636"</definedName>
    <definedName name="IQ_HG_GAMING_SPACE_OWNED" hidden="1">"c8634"</definedName>
    <definedName name="IQ_HG_GAMING_SPACE_TOTAL" hidden="1">"c8637"</definedName>
    <definedName name="IQ_HG_HOTEL_PROPERTIES_BEG" hidden="1">"c8570"</definedName>
    <definedName name="IQ_HG_LAND_AVAIL_JV" hidden="1">"c8647"</definedName>
    <definedName name="IQ_HG_LAND_AVAIL_MANAGED" hidden="1">"c8648"</definedName>
    <definedName name="IQ_HG_LAND_AVAIL_OWNED" hidden="1">"c8646"</definedName>
    <definedName name="IQ_HG_LAND_AVAIL_TOTAL" hidden="1">"c8649"</definedName>
    <definedName name="IQ_HG_LAND_JV" hidden="1">"c8651"</definedName>
    <definedName name="IQ_HG_LAND_MANAGED" hidden="1">"c8652"</definedName>
    <definedName name="IQ_HG_LAND_OWNED" hidden="1">"c8650"</definedName>
    <definedName name="IQ_HG_LAND_TOTAL" hidden="1">"c8653"</definedName>
    <definedName name="IQ_HG_MANAGED_HOTEL_PROPERTIES_BEG" hidden="1">"c8588"</definedName>
    <definedName name="IQ_HG_MANAGED_ROOMS_BEG" hidden="1">"c8618"</definedName>
    <definedName name="IQ_HG_NUMBER_SUITES" hidden="1">"c15970"</definedName>
    <definedName name="IQ_HG_NUMBER_TABLES_AVG" hidden="1">"c15973"</definedName>
    <definedName name="IQ_HG_OCCUPANCY_CHANGE_FRANCHISE" hidden="1">"c8675"</definedName>
    <definedName name="IQ_HG_OCCUPANCY_CHANGE_MANAGED" hidden="1">"c8677"</definedName>
    <definedName name="IQ_HG_OCCUPANCY_CHANGE_OTHER" hidden="1">"c8679"</definedName>
    <definedName name="IQ_HG_OCCUPANCY_CHANGE_OWNED" hidden="1">"c8673"</definedName>
    <definedName name="IQ_HG_OCCUPANCY_CHANGE_OWNED_COMP" hidden="1">"c8705"</definedName>
    <definedName name="IQ_HG_OCCUPANCY_CHANGE_TOTAL" hidden="1">"c8681"</definedName>
    <definedName name="IQ_HG_OCCUPANCY_CHANGE_TOTAL_COMP" hidden="1">"c8707"</definedName>
    <definedName name="IQ_HG_OCCUPANCY_FRANCHISE" hidden="1">"c8659"</definedName>
    <definedName name="IQ_HG_OCCUPANCY_INCDEC_FRANCHISE" hidden="1">"c8676"</definedName>
    <definedName name="IQ_HG_OCCUPANCY_INCDEC_MANAGED" hidden="1">"c8678"</definedName>
    <definedName name="IQ_HG_OCCUPANCY_INCDEC_OTHER" hidden="1">"c8680"</definedName>
    <definedName name="IQ_HG_OCCUPANCY_INCDEC_OWNED" hidden="1">"c8674"</definedName>
    <definedName name="IQ_HG_OCCUPANCY_INCDEC_OWNED_COMP" hidden="1">"c8706"</definedName>
    <definedName name="IQ_HG_OCCUPANCY_INCDEC_TOTAL" hidden="1">"c8682"</definedName>
    <definedName name="IQ_HG_OCCUPANCY_INCDEC_TOTAL_COMP" hidden="1">"c8708"</definedName>
    <definedName name="IQ_HG_OCCUPANCY_MANAGED" hidden="1">"c8660"</definedName>
    <definedName name="IQ_HG_OCCUPANCY_OTHER" hidden="1">"c8661"</definedName>
    <definedName name="IQ_HG_OCCUPANCY_OWNED" hidden="1">"c8658"</definedName>
    <definedName name="IQ_HG_OCCUPANCY_OWNED_COMP" hidden="1">"c8699"</definedName>
    <definedName name="IQ_HG_OCCUPANCY_TOTAL" hidden="1">"c8662"</definedName>
    <definedName name="IQ_HG_OCCUPANCY_TOTAL_COMP" hidden="1">"c8700"</definedName>
    <definedName name="IQ_HG_OPENED_FRANCHISE_HOTEL_PROPERTIES" hidden="1">"c8583"</definedName>
    <definedName name="IQ_HG_OPENED_FRANCHISE_ROOMS" hidden="1">"c8613"</definedName>
    <definedName name="IQ_HG_OPENED_HOTEL_PROPERTIES" hidden="1">"c8571"</definedName>
    <definedName name="IQ_HG_OPENED_MANAGED_HOTEL_PROPERTIES" hidden="1">"c8589"</definedName>
    <definedName name="IQ_HG_OPENED_MANAGED_ROOMS" hidden="1">"c8619"</definedName>
    <definedName name="IQ_HG_OPENED_OTHER_HOTEL_PROPERTIES" hidden="1">"c8595"</definedName>
    <definedName name="IQ_HG_OPENED_OTHER_ROOMS" hidden="1">"c8625"</definedName>
    <definedName name="IQ_HG_OPENED_OWNED_HOTEL_PROPERTIES" hidden="1">"c8577"</definedName>
    <definedName name="IQ_HG_OPENED_OWNED_ROOMS" hidden="1">"c8607"</definedName>
    <definedName name="IQ_HG_OPENED_ROOMS" hidden="1">"c8601"</definedName>
    <definedName name="IQ_HG_OTHER_HOTEL_PROPERTIES_BEG" hidden="1">"c8594"</definedName>
    <definedName name="IQ_HG_OTHER_PROM_COSTS" hidden="1">"c8747"</definedName>
    <definedName name="IQ_HG_OTHER_ROOMS_BEG" hidden="1">"c8624"</definedName>
    <definedName name="IQ_HG_OWNED_HOTEL_PROPERTIES_BEG" hidden="1">"c8576"</definedName>
    <definedName name="IQ_HG_OWNED_ROOMS_BEG" hidden="1">"c8606"</definedName>
    <definedName name="IQ_HG_PARKING_SPACES_JV" hidden="1">"c8655"</definedName>
    <definedName name="IQ_HG_PARKING_SPACES_MANAGED" hidden="1">"c8656"</definedName>
    <definedName name="IQ_HG_PARKING_SPACES_OWNED" hidden="1">"c8654"</definedName>
    <definedName name="IQ_HG_PARKING_SPACES_TOTAL" hidden="1">"c8657"</definedName>
    <definedName name="IQ_HG_PROMO_ALLOW_GROSS_OPERATING_REV" hidden="1">"c15979"</definedName>
    <definedName name="IQ_HG_REV_BASE_MANAGEMENT_FEES" hidden="1">"c8726"</definedName>
    <definedName name="IQ_HG_REV_CASINO" hidden="1">"c8713"</definedName>
    <definedName name="IQ_HG_REV_COST_REIMBURSEMENT" hidden="1">"c8728"</definedName>
    <definedName name="IQ_HG_REV_ENTERTAINMENT" hidden="1">"c8716"</definedName>
    <definedName name="IQ_HG_REV_FOOD_BEV" hidden="1">"c8714"</definedName>
    <definedName name="IQ_HG_REV_FRANCHISE" hidden="1">"c8725"</definedName>
    <definedName name="IQ_HG_REV_GROSS_OPERATING" hidden="1">"c15993"</definedName>
    <definedName name="IQ_HG_REV_INCENTIVE_MANAGEMENT_FEES" hidden="1">"c8727"</definedName>
    <definedName name="IQ_HG_REV_MANAGEMENT_FEES" hidden="1">"c8718"</definedName>
    <definedName name="IQ_HG_REV_OTHER_CASINO" hidden="1">"c15992"</definedName>
    <definedName name="IQ_HG_REV_OTHER_MNGD_FRANCHISE_PROP" hidden="1">"c8730"</definedName>
    <definedName name="IQ_HG_REV_OTHER_OP_SEGMENT" hidden="1">"c8721"</definedName>
    <definedName name="IQ_HG_REV_OTHER_OWNERSHIP_MIX" hidden="1">"c8731"</definedName>
    <definedName name="IQ_HG_REV_OWNED_LEASED_CONSOL_JV_HOTELS" hidden="1">"c8724"</definedName>
    <definedName name="IQ_HG_REV_PROMOTIONAL_ALLOWANCE" hidden="1">"c8722"</definedName>
    <definedName name="IQ_HG_REV_RACING" hidden="1">"c8719"</definedName>
    <definedName name="IQ_HG_REV_RETAIL" hidden="1">"c8717"</definedName>
    <definedName name="IQ_HG_REV_ROOMS" hidden="1">"c8715"</definedName>
    <definedName name="IQ_HG_REV_SLOT_MACHINE" hidden="1">"c15990"</definedName>
    <definedName name="IQ_HG_REV_TABLE" hidden="1">"c15991"</definedName>
    <definedName name="IQ_HG_REV_THEATRE_CONCESSION" hidden="1">"c8720"</definedName>
    <definedName name="IQ_HG_REV_TOTAL_OP_SEGMENT" hidden="1">"c8723"</definedName>
    <definedName name="IQ_HG_REV_TOTAL_OWNERSHIP_MIX" hidden="1">"c8732"</definedName>
    <definedName name="IQ_HG_REV_VACA_OWNERSHIP_RES_SALES_SVCS" hidden="1">"c8729"</definedName>
    <definedName name="IQ_HG_REVENUES_CHANGE_OWNED_COMP" hidden="1">"c8697"</definedName>
    <definedName name="IQ_HG_REVENUES_CHANGE_TOTAL_COMP" hidden="1">"c8698"</definedName>
    <definedName name="IQ_HG_REVPAR_CHANGE_MANAGED" hidden="1">"c8690"</definedName>
    <definedName name="IQ_HG_REVPAR_CHANGE_OTHER" hidden="1">"c8691"</definedName>
    <definedName name="IQ_HG_REVPAR_CHANGE_OWNED" hidden="1">"c8688"</definedName>
    <definedName name="IQ_HG_REVPAR_CHANGE_OWNED_COMP" hidden="1">"c8711"</definedName>
    <definedName name="IQ_HG_REVPAR_CHANGE_TOTAL" hidden="1">"c8692"</definedName>
    <definedName name="IQ_HG_REVPAR_CHANGE_TOTAL_COMP" hidden="1">"c8712"</definedName>
    <definedName name="IQ_HG_REVPAR_CHNAGE_FRANCHISE" hidden="1">"c8689"</definedName>
    <definedName name="IQ_HG_REVPAR_FRANCHISE" hidden="1">"c8669"</definedName>
    <definedName name="IQ_HG_REVPAR_MANAGED" hidden="1">"c8670"</definedName>
    <definedName name="IQ_HG_REVPAR_OTHER" hidden="1">"c8671"</definedName>
    <definedName name="IQ_HG_REVPAR_OWNED" hidden="1">"c8668"</definedName>
    <definedName name="IQ_HG_REVPAR_OWNED_COMP" hidden="1">"c8703"</definedName>
    <definedName name="IQ_HG_REVPAR_TOTAL" hidden="1">"c8672"</definedName>
    <definedName name="IQ_HG_REVPAR_TOTAL_COMP" hidden="1">"c8704"</definedName>
    <definedName name="IQ_HG_ROOM_EXP_DIRECT_OPERATING_EXP" hidden="1">"c15982"</definedName>
    <definedName name="IQ_HG_ROOM_GROSS_PROFIT" hidden="1">"c15975"</definedName>
    <definedName name="IQ_HG_ROOM_MARGIN" hidden="1">"c15978"</definedName>
    <definedName name="IQ_HG_ROOM_PROM_COSTS" hidden="1">"c8745"</definedName>
    <definedName name="IQ_HG_ROOM_REV_TOTAL_REV" hidden="1">"c15984"</definedName>
    <definedName name="IQ_HG_ROOMS_BEG" hidden="1">"c8600"</definedName>
    <definedName name="IQ_HG_SAME_PROPERTIES_CASINO_REV_CHANGE" hidden="1">"c15987"</definedName>
    <definedName name="IQ_HG_SAME_PROPERTIES_FOOD_BEV_REV_CHANGE" hidden="1">"c15989"</definedName>
    <definedName name="IQ_HG_SAME_PROPERTIES_ROOM_REV_CHANGE" hidden="1">"c15988"</definedName>
    <definedName name="IQ_HG_SAME_PROPERTIES_SLOT_MACHINE_REV_CHANGE" hidden="1">"c15985"</definedName>
    <definedName name="IQ_HG_SAME_PROPERTIES_TABLE_REV_CHANGE" hidden="1">"c15986"</definedName>
    <definedName name="IQ_HG_SLOT_MACHINES_AVG" hidden="1">"c15972"</definedName>
    <definedName name="IQ_HG_SLOT_MACHINES_JV" hidden="1">"c8639"</definedName>
    <definedName name="IQ_HG_SLOT_MACHINES_MANAGED" hidden="1">"c8640"</definedName>
    <definedName name="IQ_HG_SLOT_MACHINES_OWNED" hidden="1">"c8638"</definedName>
    <definedName name="IQ_HG_SLOT_MACHINES_TOTAL" hidden="1">"c8641"</definedName>
    <definedName name="IQ_HG_SOLD_FRANCHISE_HOTEL_PROPERTIES" hidden="1">"c8585"</definedName>
    <definedName name="IQ_HG_SOLD_FRANCHISE_ROOMS" hidden="1">"c8615"</definedName>
    <definedName name="IQ_HG_SOLD_HOTEL_PROPERTIES" hidden="1">"c8573"</definedName>
    <definedName name="IQ_HG_SOLD_MANAGED_HOTEL_PROPERTIES" hidden="1">"c8591"</definedName>
    <definedName name="IQ_HG_SOLD_MANAGED_ROOMS" hidden="1">"c8621"</definedName>
    <definedName name="IQ_HG_SOLD_OTHER_HOTEL_PROPERTIES" hidden="1">"c8597"</definedName>
    <definedName name="IQ_HG_SOLD_OTHER_ROOMS" hidden="1">"c8627"</definedName>
    <definedName name="IQ_HG_SOLD_OWNED_HOTEL_PROPERTIES" hidden="1">"c8579"</definedName>
    <definedName name="IQ_HG_SOLD_OWNED_ROOMS" hidden="1">"c8609"</definedName>
    <definedName name="IQ_HG_SOLD_ROOMS" hidden="1">"c8603"</definedName>
    <definedName name="IQ_HG_TABLE_GAMES_JV" hidden="1">"c16124"</definedName>
    <definedName name="IQ_HG_TABLE_GAMES_MANAGED" hidden="1">"c16125"</definedName>
    <definedName name="IQ_HG_TABLE_GAMES_OWNED" hidden="1">"c16123"</definedName>
    <definedName name="IQ_HG_TABLE_GAMES_TOTAL" hidden="1">"c16126"</definedName>
    <definedName name="IQ_HG_TABLES_JV" hidden="1">"c8643"</definedName>
    <definedName name="IQ_HG_TABLES_MANAGED" hidden="1">"c8644"</definedName>
    <definedName name="IQ_HG_TABLES_OWNED" hidden="1">"c8642"</definedName>
    <definedName name="IQ_HG_TABLES_TOTAL" hidden="1">"c8645"</definedName>
    <definedName name="IQ_HG_TOTAL_FRANCHISE_HOTEL_PROPERTIES" hidden="1">"c8587"</definedName>
    <definedName name="IQ_HG_TOTAL_FRANCHISE_ROOMS" hidden="1">"c8617"</definedName>
    <definedName name="IQ_HG_TOTAL_HOTEL_PROPERTIES" hidden="1">"c8575"</definedName>
    <definedName name="IQ_HG_TOTAL_MANAGED_HOTEL_PROPERTIES" hidden="1">"c8593"</definedName>
    <definedName name="IQ_HG_TOTAL_MANAGED_ROOMS" hidden="1">"c8623"</definedName>
    <definedName name="IQ_HG_TOTAL_OTHER_HOTEL_PROPERTIES" hidden="1">"c8599"</definedName>
    <definedName name="IQ_HG_TOTAL_OTHER_ROOMS" hidden="1">"c8629"</definedName>
    <definedName name="IQ_HG_TOTAL_OWNED_HOTEL_PROPERTIES" hidden="1">"c8581"</definedName>
    <definedName name="IQ_HG_TOTAL_OWNED_PROPERTIES_COMP" hidden="1">"c8693"</definedName>
    <definedName name="IQ_HG_TOTAL_OWNED_ROOMS" hidden="1">"c8611"</definedName>
    <definedName name="IQ_HG_TOTAL_OWNED_ROOMS_COMP" hidden="1">"c8695"</definedName>
    <definedName name="IQ_HG_TOTAL_PROM_COSTS" hidden="1">"c8748"</definedName>
    <definedName name="IQ_HG_TOTAL_PROPERTIES_COMP" hidden="1">"c8694"</definedName>
    <definedName name="IQ_HG_TOTAL_ROOMS" hidden="1">"c8605"</definedName>
    <definedName name="IQ_HG_TOTAL_ROOMS_COMP" hidden="1">"c8696"</definedName>
    <definedName name="IQ_HIGH_LOW_CLOSEPRICE_DATE" hidden="1">"c1204"</definedName>
    <definedName name="IQ_HIGH_SULFUR_CONTENT_RESERVES_COAL" hidden="1">"c15928"</definedName>
    <definedName name="IQ_HIGH_SULFURE_RESERVES_TO_TOTAL_RESERVES_COAL" hidden="1">"c15963"</definedName>
    <definedName name="IQ_HIGH_TARGET_PRICE" hidden="1">"c1651"</definedName>
    <definedName name="IQ_HIGH_TARGET_PRICE_CIQ" hidden="1">"c4659"</definedName>
    <definedName name="IQ_HIGH_TARGET_PRICE_REUT" hidden="1">"c5317"</definedName>
    <definedName name="IQ_HIGH_TARGET_PRICE_THOM" hidden="1">"c5096"</definedName>
    <definedName name="IQ_HIGHPRICE" hidden="1">"c545"</definedName>
    <definedName name="IQ_HOLDER_CIQID" hidden="1">"c13787"</definedName>
    <definedName name="IQ_HOLDER_CIQID_SECURITY" hidden="1">"c13794"</definedName>
    <definedName name="IQ_HOLDER_DERIVATIVES" hidden="1">"c13789"</definedName>
    <definedName name="IQ_HOLDER_DERIVATIVES_SECURITY" hidden="1">"c13796"</definedName>
    <definedName name="IQ_HOLDER_FUND_CIQID" hidden="1">"c19084"</definedName>
    <definedName name="IQ_HOLDER_FUND_DERIVATIVES" hidden="1">"c19115"</definedName>
    <definedName name="IQ_HOLDER_FUND_NAME" hidden="1">"c19083"</definedName>
    <definedName name="IQ_HOLDER_FUND_NUMBER" hidden="1">"c19090"</definedName>
    <definedName name="IQ_HOLDER_FUND_PERCENT" hidden="1">"c19085"</definedName>
    <definedName name="IQ_HOLDER_FUND_POSITION_DATE" hidden="1">"c19088"</definedName>
    <definedName name="IQ_HOLDER_FUND_PRIMARY_ADVISOR" hidden="1">"c19089"</definedName>
    <definedName name="IQ_HOLDER_FUND_SHARES" hidden="1">"c19086"</definedName>
    <definedName name="IQ_HOLDER_FUND_VALUE" hidden="1">"c19087"</definedName>
    <definedName name="IQ_HOLDER_INSTITUTION_TYPE" hidden="1">"c24729"</definedName>
    <definedName name="IQ_HOLDER_NAME" hidden="1">"c13786"</definedName>
    <definedName name="IQ_HOLDER_NAME_SECURITY" hidden="1">"c13793"</definedName>
    <definedName name="IQ_HOLDER_PERCENT" hidden="1">"c13790"</definedName>
    <definedName name="IQ_HOLDER_PERCENT_SECURITY" hidden="1">"c13831"</definedName>
    <definedName name="IQ_HOLDER_POSITION_DATE" hidden="1">"c13792"</definedName>
    <definedName name="IQ_HOLDER_POSITION_DATE_SECURITY" hidden="1">"c13798"</definedName>
    <definedName name="IQ_HOLDER_SHARES" hidden="1">"c13788"</definedName>
    <definedName name="IQ_HOLDER_SHARES_SECURITY" hidden="1">"c13795"</definedName>
    <definedName name="IQ_HOLDER_VALUE" hidden="1">"c13791"</definedName>
    <definedName name="IQ_HOLDER_VALUE_SECURITY" hidden="1">"c13797"</definedName>
    <definedName name="IQ_HOLDING_CIQID" hidden="1">"c13802"</definedName>
    <definedName name="IQ_HOLDING_NAME" hidden="1">"c13799"</definedName>
    <definedName name="IQ_HOLDING_PERCENT" hidden="1">"c13805"</definedName>
    <definedName name="IQ_HOLDING_PERCENT_PORTFOLIO" hidden="1">"c13806"</definedName>
    <definedName name="IQ_HOLDING_POSITION_DATE" hidden="1">"c13808"</definedName>
    <definedName name="IQ_HOLDING_SECURITY_TYPE" hidden="1">"c13803"</definedName>
    <definedName name="IQ_HOLDING_SHARES" hidden="1">"c13804"</definedName>
    <definedName name="IQ_HOLDING_TICKER" hidden="1">"c13800"</definedName>
    <definedName name="IQ_HOLDING_TRADING_ITEM_CIQID" hidden="1">"c13801"</definedName>
    <definedName name="IQ_HOLDING_VALUE" hidden="1">"c13807"</definedName>
    <definedName name="IQ_HOLDINGS_AFRICA_MIDEAST_PERCENT" hidden="1">"c19235"</definedName>
    <definedName name="IQ_HOLDINGS_AFRICA_MIDEAST_VALUE" hidden="1">"c19234"</definedName>
    <definedName name="IQ_HOLDINGS_ASIA_PERCENT" hidden="1">"c19233"</definedName>
    <definedName name="IQ_HOLDINGS_ASIA_VALUE" hidden="1">"c19232"</definedName>
    <definedName name="IQ_HOLDINGS_CONSUMER_DISCRETIONARY_PERCENT" hidden="1">"c19213"</definedName>
    <definedName name="IQ_HOLDINGS_CONSUMER_DISCRETIONARY_VALUE" hidden="1">"c19212"</definedName>
    <definedName name="IQ_HOLDINGS_CONSUMER_STAPLES_PERCENT" hidden="1">"c19219"</definedName>
    <definedName name="IQ_HOLDINGS_CONSUMER_STAPLES_VALUE" hidden="1">"c19218"</definedName>
    <definedName name="IQ_HOLDINGS_ENERGY_PERCENT" hidden="1">"c19215"</definedName>
    <definedName name="IQ_HOLDINGS_ENERGY_VALUE" hidden="1">"c19214"</definedName>
    <definedName name="IQ_HOLDINGS_EQUITY_ASSETS" hidden="1">"c26966"</definedName>
    <definedName name="IQ_HOLDINGS_EUROPE_PERCENT" hidden="1">"c19229"</definedName>
    <definedName name="IQ_HOLDINGS_EUROPE_VALUE" hidden="1">"c19228"</definedName>
    <definedName name="IQ_HOLDINGS_FINANCIALS_PERCENT" hidden="1">"c19209"</definedName>
    <definedName name="IQ_HOLDINGS_FINANCIALS_VALUE" hidden="1">"c19208"</definedName>
    <definedName name="IQ_HOLDINGS_HEALTHCARE_PERCENT" hidden="1">"c19211"</definedName>
    <definedName name="IQ_HOLDINGS_HEALTHCARE_VALUE" hidden="1">"c19210"</definedName>
    <definedName name="IQ_HOLDINGS_INDUSTRIALS_PERCENT" hidden="1">"c19217"</definedName>
    <definedName name="IQ_HOLDINGS_INDUSTRIALS_VALUE" hidden="1">"c19216"</definedName>
    <definedName name="IQ_HOLDINGS_IT_PERCENT" hidden="1">"c19207"</definedName>
    <definedName name="IQ_HOLDINGS_IT_VALUE" hidden="1">"c19206"</definedName>
    <definedName name="IQ_HOLDINGS_LATIN_CARIBBEAN_PERCENT" hidden="1">"c19231"</definedName>
    <definedName name="IQ_HOLDINGS_LATIN_CARIBBEAN_VALUE" hidden="1">"c19230"</definedName>
    <definedName name="IQ_HOLDINGS_MATERIALS_PERCENT" hidden="1">"c19223"</definedName>
    <definedName name="IQ_HOLDINGS_MATERIALS_VALUE" hidden="1">"c19222"</definedName>
    <definedName name="IQ_HOLDINGS_TELECOMM_PERCENT" hidden="1">"c19221"</definedName>
    <definedName name="IQ_HOLDINGS_TELECOMM_VALUE" hidden="1">"c19220"</definedName>
    <definedName name="IQ_HOLDINGS_US_CANADA_PERCENT" hidden="1">"c19227"</definedName>
    <definedName name="IQ_HOLDINGS_US_CANADA_VALUE" hidden="1">"c19226"</definedName>
    <definedName name="IQ_HOLDINGS_UTILITIES_PERCENT" hidden="1">"c19225"</definedName>
    <definedName name="IQ_HOLDINGS_UTILITIES_VALUE" hidden="1">"c19224"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ANCELLATION_RATE" hidden="1">"c16192"</definedName>
    <definedName name="IQ_HOME_CANCELLATION_RATE_INCL_JV" hidden="1">"c16194"</definedName>
    <definedName name="IQ_HOME_CANCELLATION_RATE_JV" hidden="1">"c16193"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EQUITY_LOANS_TOT_LOANS_FFIEC" hidden="1">"c13867"</definedName>
    <definedName name="IQ_HOME_EQUITY_LOANS_TOTAL_LOANS_THRIFT" hidden="1">"c25748"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MPROVEMENT_LOANS_NOT_SECURED_RE_THRIFT" hidden="1">"c24860"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SALES_NEW" hidden="1">"c6924"</definedName>
    <definedName name="IQ_HOME_SALES_NEW_APR" hidden="1">"c7584"</definedName>
    <definedName name="IQ_HOME_SALES_NEW_APR_FC" hidden="1">"c8464"</definedName>
    <definedName name="IQ_HOME_SALES_NEW_FC" hidden="1">"c7804"</definedName>
    <definedName name="IQ_HOME_SALES_NEW_POP" hidden="1">"c7144"</definedName>
    <definedName name="IQ_HOME_SALES_NEW_POP_FC" hidden="1">"c8024"</definedName>
    <definedName name="IQ_HOME_SALES_NEW_YOY" hidden="1">"c7364"</definedName>
    <definedName name="IQ_HOME_SALES_NEW_YOY_FC" hidden="1">"c8244"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BUILDING_COGS_SALES" hidden="1">"c15813"</definedName>
    <definedName name="IQ_HOMEBUILDING_INV_TURN" hidden="1">"c15819"</definedName>
    <definedName name="IQ_HOMEBUILDING_TURN" hidden="1">"c15820"</definedName>
    <definedName name="IQ_HOMEOWNERS_WRITTEN" hidden="1">"c546"</definedName>
    <definedName name="IQ_HOTEL_OPERATING_EXPENSE" hidden="1">"c16042"</definedName>
    <definedName name="IQ_HOTEL_OPERATING_REVENUE" hidden="1">"c16026"</definedName>
    <definedName name="IQ_HOURLY_COMP" hidden="1">"c6879"</definedName>
    <definedName name="IQ_HOURLY_COMP_APR" hidden="1">"c7539"</definedName>
    <definedName name="IQ_HOURLY_COMP_APR_FC" hidden="1">"c8419"</definedName>
    <definedName name="IQ_HOURLY_COMP_FC" hidden="1">"c7759"</definedName>
    <definedName name="IQ_HOURLY_COMP_POP" hidden="1">"c7099"</definedName>
    <definedName name="IQ_HOURLY_COMP_POP_FC" hidden="1">"c7979"</definedName>
    <definedName name="IQ_HOURLY_COMP_YOY" hidden="1">"c7319"</definedName>
    <definedName name="IQ_HOURLY_COMP_YOY_FC" hidden="1">"c8199"</definedName>
    <definedName name="IQ_HOUSING_30YR_MORTGAGE" hidden="1">"c20753"</definedName>
    <definedName name="IQ_HOUSING_COMPLETION" hidden="1">"c20754"</definedName>
    <definedName name="IQ_HOUSING_COMPLETIONS" hidden="1">"c6881"</definedName>
    <definedName name="IQ_HOUSING_COMPLETIONS_APR" hidden="1">"c7541"</definedName>
    <definedName name="IQ_HOUSING_COMPLETIONS_APR_FC" hidden="1">"c8421"</definedName>
    <definedName name="IQ_HOUSING_COMPLETIONS_FC" hidden="1">"c7761"</definedName>
    <definedName name="IQ_HOUSING_COMPLETIONS_POP" hidden="1">"c7101"</definedName>
    <definedName name="IQ_HOUSING_COMPLETIONS_POP_FC" hidden="1">"c7981"</definedName>
    <definedName name="IQ_HOUSING_COMPLETIONS_SINGLE_FAM_APR_FC_UNUSED" hidden="1">"c8422"</definedName>
    <definedName name="IQ_HOUSING_COMPLETIONS_SINGLE_FAM_APR_FC_UNUSED_UNUSED_UNUSED" hidden="1">"c8422"</definedName>
    <definedName name="IQ_HOUSING_COMPLETIONS_SINGLE_FAM_APR_UNUSED" hidden="1">"c7542"</definedName>
    <definedName name="IQ_HOUSING_COMPLETIONS_SINGLE_FAM_APR_UNUSED_UNUSED_UNUSED" hidden="1">"c7542"</definedName>
    <definedName name="IQ_HOUSING_COMPLETIONS_SINGLE_FAM_FC_UNUSED" hidden="1">"c7762"</definedName>
    <definedName name="IQ_HOUSING_COMPLETIONS_SINGLE_FAM_FC_UNUSED_UNUSED_UNUSED" hidden="1">"c7762"</definedName>
    <definedName name="IQ_HOUSING_COMPLETIONS_SINGLE_FAM_POP_FC_UNUSED" hidden="1">"c7982"</definedName>
    <definedName name="IQ_HOUSING_COMPLETIONS_SINGLE_FAM_POP_FC_UNUSED_UNUSED_UNUSED" hidden="1">"c7982"</definedName>
    <definedName name="IQ_HOUSING_COMPLETIONS_SINGLE_FAM_POP_UNUSED" hidden="1">"c7102"</definedName>
    <definedName name="IQ_HOUSING_COMPLETIONS_SINGLE_FAM_POP_UNUSED_UNUSED_UNUSED" hidden="1">"c7102"</definedName>
    <definedName name="IQ_HOUSING_COMPLETIONS_SINGLE_FAM_UNUSED" hidden="1">"c6882"</definedName>
    <definedName name="IQ_HOUSING_COMPLETIONS_SINGLE_FAM_UNUSED_UNUSED_UNUSED" hidden="1">"c6882"</definedName>
    <definedName name="IQ_HOUSING_COMPLETIONS_SINGLE_FAM_YOY_FC_UNUSED" hidden="1">"c8202"</definedName>
    <definedName name="IQ_HOUSING_COMPLETIONS_SINGLE_FAM_YOY_FC_UNUSED_UNUSED_UNUSED" hidden="1">"c8202"</definedName>
    <definedName name="IQ_HOUSING_COMPLETIONS_SINGLE_FAM_YOY_UNUSED" hidden="1">"c7322"</definedName>
    <definedName name="IQ_HOUSING_COMPLETIONS_SINGLE_FAM_YOY_UNUSED_UNUSED_UNUSED" hidden="1">"c7322"</definedName>
    <definedName name="IQ_HOUSING_COMPLETIONS_YOY" hidden="1">"c7321"</definedName>
    <definedName name="IQ_HOUSING_COMPLETIONS_YOY_FC" hidden="1">"c8201"</definedName>
    <definedName name="IQ_HOUSING_CONSTRUCTION_PERMITS" hidden="1">"c20755"</definedName>
    <definedName name="IQ_HOUSING_CONSTRUCTION_PRIVATE" hidden="1">"c20756"</definedName>
    <definedName name="IQ_HOUSING_EXISTING_HOME_SALES" hidden="1">"c20757"</definedName>
    <definedName name="IQ_HOUSING_HOMEOWNER_VACANCY" hidden="1">"c20758"</definedName>
    <definedName name="IQ_HOUSING_HOMEOWNERSHIP_RATE" hidden="1">"c20759"</definedName>
    <definedName name="IQ_HOUSING_MEDIAN_SALES_PRICE" hidden="1">"c20760"</definedName>
    <definedName name="IQ_HOUSING_NEW_HOME_SALES" hidden="1">"c20761"</definedName>
    <definedName name="IQ_HOUSING_PENDING_HOME_SALE_INDEX" hidden="1">"c20762"</definedName>
    <definedName name="IQ_HOUSING_PERMITS" hidden="1">"c6883"</definedName>
    <definedName name="IQ_HOUSING_PERMITS_APR" hidden="1">"c7543"</definedName>
    <definedName name="IQ_HOUSING_PERMITS_APR_FC" hidden="1">"c8423"</definedName>
    <definedName name="IQ_HOUSING_PERMITS_FC" hidden="1">"c7763"</definedName>
    <definedName name="IQ_HOUSING_PERMITS_POP" hidden="1">"c7103"</definedName>
    <definedName name="IQ_HOUSING_PERMITS_POP_FC" hidden="1">"c7983"</definedName>
    <definedName name="IQ_HOUSING_PERMITS_YOY" hidden="1">"c7323"</definedName>
    <definedName name="IQ_HOUSING_PERMITS_YOY_FC" hidden="1">"c8203"</definedName>
    <definedName name="IQ_HOUSING_RENTAL_VACANCY" hidden="1">"c20763"</definedName>
    <definedName name="IQ_HOUSING_START" hidden="1">"c20764"</definedName>
    <definedName name="IQ_HOUSING_STARTS" hidden="1">"c6884"</definedName>
    <definedName name="IQ_HOUSING_STARTS_APR" hidden="1">"c7544"</definedName>
    <definedName name="IQ_HOUSING_STARTS_APR_FC" hidden="1">"c8424"</definedName>
    <definedName name="IQ_HOUSING_STARTS_FC" hidden="1">"c7764"</definedName>
    <definedName name="IQ_HOUSING_STARTS_POP" hidden="1">"c7104"</definedName>
    <definedName name="IQ_HOUSING_STARTS_POP_FC" hidden="1">"c7984"</definedName>
    <definedName name="IQ_HOUSING_STARTS_SAAR" hidden="1">"c6885"</definedName>
    <definedName name="IQ_HOUSING_STARTS_SAAR_APR" hidden="1">"c7545"</definedName>
    <definedName name="IQ_HOUSING_STARTS_SAAR_APR_FC" hidden="1">"c8425"</definedName>
    <definedName name="IQ_HOUSING_STARTS_SAAR_FC" hidden="1">"c7765"</definedName>
    <definedName name="IQ_HOUSING_STARTS_SAAR_POP" hidden="1">"c7105"</definedName>
    <definedName name="IQ_HOUSING_STARTS_SAAR_POP_FC" hidden="1">"c7985"</definedName>
    <definedName name="IQ_HOUSING_STARTS_SAAR_YOY" hidden="1">"c7325"</definedName>
    <definedName name="IQ_HOUSING_STARTS_SAAR_YOY_FC" hidden="1">"c8205"</definedName>
    <definedName name="IQ_HOUSING_STARTS_YOY" hidden="1">"c7324"</definedName>
    <definedName name="IQ_HOUSING_STARTS_YOY_FC" hidden="1">"c8204"</definedName>
    <definedName name="IQ_HRS_WORKED_FULL_PT" hidden="1">"c6880"</definedName>
    <definedName name="IQ_HRS_WORKED_FULL_PT_APR" hidden="1">"c7540"</definedName>
    <definedName name="IQ_HRS_WORKED_FULL_PT_APR_FC" hidden="1">"c8420"</definedName>
    <definedName name="IQ_HRS_WORKED_FULL_PT_FC" hidden="1">"c7760"</definedName>
    <definedName name="IQ_HRS_WORKED_FULL_PT_POP" hidden="1">"c7100"</definedName>
    <definedName name="IQ_HRS_WORKED_FULL_PT_POP_FC" hidden="1">"c7980"</definedName>
    <definedName name="IQ_HRS_WORKED_FULL_PT_YOY" hidden="1">"c7320"</definedName>
    <definedName name="IQ_HRS_WORKED_FULL_PT_YOY_FC" hidden="1">"c8200"</definedName>
    <definedName name="IQ_HTM_INVEST_SECURITIES_FFIEC" hidden="1">"c13455"</definedName>
    <definedName name="IQ_HTM_SEC_INV_SEC_THRIFT" hidden="1">"c25669"</definedName>
    <definedName name="IQ_HTM_SEC_TIER_1_CAPITAL_THRIFT" hidden="1">"c25629"</definedName>
    <definedName name="IQ_HTM_SECURITIES_TIER_1_FFIEC" hidden="1">"c13342"</definedName>
    <definedName name="IQ_HYBRID_CAPITAL" hidden="1">"c15245"</definedName>
    <definedName name="IQ_HYBRID_LIFE_INSURANCE_ASSET_FFIEC" hidden="1">"c27010"</definedName>
    <definedName name="IQ_HYBRID_STRUCTURED_PRODUCTS_AFS_AMORT_COST_FFIEC" hidden="1">"c20502"</definedName>
    <definedName name="IQ_HYBRID_STRUCTURED_PRODUCTS_AFS_FAIR_VAL_FFIEC" hidden="1">"c20467"</definedName>
    <definedName name="IQ_HYBRID_STRUCTURED_PRODUCTS_AVAIL_SALE_FFIEC" hidden="1">"c15265"</definedName>
    <definedName name="IQ_HYBRID_STRUCTURED_PRODUCTS_FFIEC" hidden="1">"c15262"</definedName>
    <definedName name="IQ_HYBRID_STRUCTURED_PRODUCTS_HTM_AMORT_COST_FFIEC" hidden="1">"c20450"</definedName>
    <definedName name="IQ_HYBRID_STRUCTURED_PRODUCTS_HTM_FAIR_VAL_FFIEC" hidden="1">"c20485"</definedName>
    <definedName name="IQ_IB_ADVISORY_UNDERWRITING_FEES_FOREIGN_FFIEC" hidden="1">"c15378"</definedName>
    <definedName name="IQ_IBF_COMM_INDUST_LOANS_FFIEC" hidden="1">"c15298"</definedName>
    <definedName name="IQ_IBF_DEPOSIT_LIABILITIES_DUE_TO_BANKS_FFIEC" hidden="1">"c15300"</definedName>
    <definedName name="IQ_IM_AVG_REV_PER_CLICK" hidden="1">"c9991"</definedName>
    <definedName name="IQ_IM_NUMBER_PAGE_VIEWS" hidden="1">"c9993"</definedName>
    <definedName name="IQ_IM_NUMBER_PAID_CLICKS" hidden="1">"c9995"</definedName>
    <definedName name="IQ_IM_NUMBER_PAID_CLICKS_GROWTH" hidden="1">"c9996"</definedName>
    <definedName name="IQ_IM_PAGE_VIEWS_GROWTH" hidden="1">"c9994"</definedName>
    <definedName name="IQ_IM_REV_PER_PAGE_VIEW_GROWTH" hidden="1">"c9992"</definedName>
    <definedName name="IQ_IM_TRAFFIC_ACQUISITION_CHANGE" hidden="1">"c9998"</definedName>
    <definedName name="IQ_IM_TRAFFIC_ACQUISITION_COST_TO_AD_REV_RATIO" hidden="1">"c10000"</definedName>
    <definedName name="IQ_IM_TRAFFIC_ACQUISITION_COST_TO_TOTAL_REV_RATIO" hidden="1">"c9999"</definedName>
    <definedName name="IQ_IM_TRAFFIC_ACQUISITION_COSTS" hidden="1">"c9997"</definedName>
    <definedName name="IQ_IMPACT_CHG_CREDITWORTH_BANK_HOLD_DRV_ASSET_TRADING_REV_FFIEC" hidden="1">"c27051"</definedName>
    <definedName name="IQ_IMPACT_CHG_CREDITWORTH_BANK_HOLD_DRV_LIAB_TRADING_REV_FFIEC" hidden="1">"c27052"</definedName>
    <definedName name="IQ_IMPACT_UNRECOG_TAX_BENEFIT_EFFECTIVE_TAX" hidden="1">"c15748"</definedName>
    <definedName name="IQ_IMPAIR_CHARGES_DEBT_EQUITY_SEC_THRIFT" hidden="1">"c24777"</definedName>
    <definedName name="IQ_IMPAIR_OIL" hidden="1">"c547"</definedName>
    <definedName name="IQ_IMPAIRED_LOANS" hidden="1">"c15250"</definedName>
    <definedName name="IQ_IMPAIRMENT_GW" hidden="1">"c548"</definedName>
    <definedName name="IQ_IMPAIRMENT_GW_SUPPLE" hidden="1">"c13811"</definedName>
    <definedName name="IQ_IMPORT_PRICE_INDEX" hidden="1">"c6886"</definedName>
    <definedName name="IQ_IMPORT_PRICE_INDEX_APR" hidden="1">"c7546"</definedName>
    <definedName name="IQ_IMPORT_PRICE_INDEX_APR_FC" hidden="1">"c8426"</definedName>
    <definedName name="IQ_IMPORT_PRICE_INDEX_FC" hidden="1">"c7766"</definedName>
    <definedName name="IQ_IMPORT_PRICE_INDEX_POP" hidden="1">"c7106"</definedName>
    <definedName name="IQ_IMPORT_PRICE_INDEX_POP_FC" hidden="1">"c7986"</definedName>
    <definedName name="IQ_IMPORT_PRICE_INDEX_YOY" hidden="1">"c7326"</definedName>
    <definedName name="IQ_IMPORT_PRICE_INDEX_YOY_FC" hidden="1">"c8206"</definedName>
    <definedName name="IQ_IMPORTS_GOODS" hidden="1">"c6887"</definedName>
    <definedName name="IQ_IMPORTS_GOODS_APR" hidden="1">"c7547"</definedName>
    <definedName name="IQ_IMPORTS_GOODS_APR_FC" hidden="1">"c8427"</definedName>
    <definedName name="IQ_IMPORTS_GOODS_FC" hidden="1">"c7767"</definedName>
    <definedName name="IQ_IMPORTS_GOODS_NONFACTOR_SERVICES" hidden="1">"c6888"</definedName>
    <definedName name="IQ_IMPORTS_GOODS_NONFACTOR_SERVICES_APR" hidden="1">"c7548"</definedName>
    <definedName name="IQ_IMPORTS_GOODS_NONFACTOR_SERVICES_APR_FC" hidden="1">"c8428"</definedName>
    <definedName name="IQ_IMPORTS_GOODS_NONFACTOR_SERVICES_FC" hidden="1">"c7768"</definedName>
    <definedName name="IQ_IMPORTS_GOODS_NONFACTOR_SERVICES_POP" hidden="1">"c7108"</definedName>
    <definedName name="IQ_IMPORTS_GOODS_NONFACTOR_SERVICES_POP_FC" hidden="1">"c7988"</definedName>
    <definedName name="IQ_IMPORTS_GOODS_NONFACTOR_SERVICES_YOY" hidden="1">"c7328"</definedName>
    <definedName name="IQ_IMPORTS_GOODS_NONFACTOR_SERVICES_YOY_FC" hidden="1">"c8208"</definedName>
    <definedName name="IQ_IMPORTS_GOODS_POP" hidden="1">"c7107"</definedName>
    <definedName name="IQ_IMPORTS_GOODS_POP_FC" hidden="1">"c7987"</definedName>
    <definedName name="IQ_IMPORTS_GOODS_REAL" hidden="1">"c11950"</definedName>
    <definedName name="IQ_IMPORTS_GOODS_REAL_APR" hidden="1">"c11953"</definedName>
    <definedName name="IQ_IMPORTS_GOODS_REAL_POP" hidden="1">"c11951"</definedName>
    <definedName name="IQ_IMPORTS_GOODS_REAL_SAAR_APR_FC_UNUSED" hidden="1">"c8523"</definedName>
    <definedName name="IQ_IMPORTS_GOODS_REAL_SAAR_APR_FC_UNUSED_UNUSED_UNUSED" hidden="1">"c8523"</definedName>
    <definedName name="IQ_IMPORTS_GOODS_REAL_SAAR_APR_UNUSED" hidden="1">"c7643"</definedName>
    <definedName name="IQ_IMPORTS_GOODS_REAL_SAAR_APR_UNUSED_UNUSED_UNUSED" hidden="1">"c7643"</definedName>
    <definedName name="IQ_IMPORTS_GOODS_REAL_SAAR_FC_UNUSED" hidden="1">"c7863"</definedName>
    <definedName name="IQ_IMPORTS_GOODS_REAL_SAAR_FC_UNUSED_UNUSED_UNUSED" hidden="1">"c7863"</definedName>
    <definedName name="IQ_IMPORTS_GOODS_REAL_SAAR_POP_FC_UNUSED" hidden="1">"c8083"</definedName>
    <definedName name="IQ_IMPORTS_GOODS_REAL_SAAR_POP_FC_UNUSED_UNUSED_UNUSED" hidden="1">"c8083"</definedName>
    <definedName name="IQ_IMPORTS_GOODS_REAL_SAAR_POP_UNUSED" hidden="1">"c7203"</definedName>
    <definedName name="IQ_IMPORTS_GOODS_REAL_SAAR_POP_UNUSED_UNUSED_UNUSED" hidden="1">"c7203"</definedName>
    <definedName name="IQ_IMPORTS_GOODS_REAL_SAAR_UNUSED" hidden="1">"c6983"</definedName>
    <definedName name="IQ_IMPORTS_GOODS_REAL_SAAR_UNUSED_UNUSED_UNUSED" hidden="1">"c6983"</definedName>
    <definedName name="IQ_IMPORTS_GOODS_REAL_SAAR_YOY_FC_UNUSED" hidden="1">"c8303"</definedName>
    <definedName name="IQ_IMPORTS_GOODS_REAL_SAAR_YOY_FC_UNUSED_UNUSED_UNUSED" hidden="1">"c8303"</definedName>
    <definedName name="IQ_IMPORTS_GOODS_REAL_SAAR_YOY_UNUSED" hidden="1">"c7423"</definedName>
    <definedName name="IQ_IMPORTS_GOODS_REAL_SAAR_YOY_UNUSED_UNUSED_UNUSED" hidden="1">"c7423"</definedName>
    <definedName name="IQ_IMPORTS_GOODS_REAL_YOY" hidden="1">"c11952"</definedName>
    <definedName name="IQ_IMPORTS_GOODS_SAAR" hidden="1">"c6891"</definedName>
    <definedName name="IQ_IMPORTS_GOODS_SAAR_APR" hidden="1">"c7551"</definedName>
    <definedName name="IQ_IMPORTS_GOODS_SAAR_APR_FC" hidden="1">"c8431"</definedName>
    <definedName name="IQ_IMPORTS_GOODS_SAAR_FC" hidden="1">"c7771"</definedName>
    <definedName name="IQ_IMPORTS_GOODS_SAAR_POP" hidden="1">"c7111"</definedName>
    <definedName name="IQ_IMPORTS_GOODS_SAAR_POP_FC" hidden="1">"c7991"</definedName>
    <definedName name="IQ_IMPORTS_GOODS_SAAR_USD_APR_FC" hidden="1">"c11849"</definedName>
    <definedName name="IQ_IMPORTS_GOODS_SAAR_USD_FC" hidden="1">"c11846"</definedName>
    <definedName name="IQ_IMPORTS_GOODS_SAAR_USD_POP_FC" hidden="1">"c11847"</definedName>
    <definedName name="IQ_IMPORTS_GOODS_SAAR_USD_YOY_FC" hidden="1">"c11848"</definedName>
    <definedName name="IQ_IMPORTS_GOODS_SAAR_YOY" hidden="1">"c7331"</definedName>
    <definedName name="IQ_IMPORTS_GOODS_SAAR_YOY_FC" hidden="1">"c8211"</definedName>
    <definedName name="IQ_IMPORTS_GOODS_SERVICES_APR_FC_UNUSED" hidden="1">"c8429"</definedName>
    <definedName name="IQ_IMPORTS_GOODS_SERVICES_APR_FC_UNUSED_UNUSED_UNUSED" hidden="1">"c8429"</definedName>
    <definedName name="IQ_IMPORTS_GOODS_SERVICES_APR_UNUSED" hidden="1">"c7549"</definedName>
    <definedName name="IQ_IMPORTS_GOODS_SERVICES_APR_UNUSED_UNUSED_UNUSED" hidden="1">"c7549"</definedName>
    <definedName name="IQ_IMPORTS_GOODS_SERVICES_FC_UNUSED" hidden="1">"c7769"</definedName>
    <definedName name="IQ_IMPORTS_GOODS_SERVICES_FC_UNUSED_UNUSED_UNUSED" hidden="1">"c7769"</definedName>
    <definedName name="IQ_IMPORTS_GOODS_SERVICES_POP_FC_UNUSED" hidden="1">"c7989"</definedName>
    <definedName name="IQ_IMPORTS_GOODS_SERVICES_POP_FC_UNUSED_UNUSED_UNUSED" hidden="1">"c7989"</definedName>
    <definedName name="IQ_IMPORTS_GOODS_SERVICES_POP_UNUSED" hidden="1">"c7109"</definedName>
    <definedName name="IQ_IMPORTS_GOODS_SERVICES_POP_UNUSED_UNUSED_UNUSED" hidden="1">"c7109"</definedName>
    <definedName name="IQ_IMPORTS_GOODS_SERVICES_REAL" hidden="1">"c6985"</definedName>
    <definedName name="IQ_IMPORTS_GOODS_SERVICES_REAL_APR" hidden="1">"c7645"</definedName>
    <definedName name="IQ_IMPORTS_GOODS_SERVICES_REAL_APR_FC" hidden="1">"c8525"</definedName>
    <definedName name="IQ_IMPORTS_GOODS_SERVICES_REAL_FC" hidden="1">"c7865"</definedName>
    <definedName name="IQ_IMPORTS_GOODS_SERVICES_REAL_POP" hidden="1">"c7205"</definedName>
    <definedName name="IQ_IMPORTS_GOODS_SERVICES_REAL_POP_FC" hidden="1">"c8085"</definedName>
    <definedName name="IQ_IMPORTS_GOODS_SERVICES_REAL_SAAR" hidden="1">"c11958"</definedName>
    <definedName name="IQ_IMPORTS_GOODS_SERVICES_REAL_SAAR_APR" hidden="1">"c11961"</definedName>
    <definedName name="IQ_IMPORTS_GOODS_SERVICES_REAL_SAAR_APR_FC_UNUSED" hidden="1">"c8524"</definedName>
    <definedName name="IQ_IMPORTS_GOODS_SERVICES_REAL_SAAR_APR_FC_UNUSED_UNUSED_UNUSED" hidden="1">"c8524"</definedName>
    <definedName name="IQ_IMPORTS_GOODS_SERVICES_REAL_SAAR_APR_UNUSED" hidden="1">"c7644"</definedName>
    <definedName name="IQ_IMPORTS_GOODS_SERVICES_REAL_SAAR_APR_UNUSED_UNUSED_UNUSED" hidden="1">"c7644"</definedName>
    <definedName name="IQ_IMPORTS_GOODS_SERVICES_REAL_SAAR_FC_UNUSED" hidden="1">"c7864"</definedName>
    <definedName name="IQ_IMPORTS_GOODS_SERVICES_REAL_SAAR_FC_UNUSED_UNUSED_UNUSED" hidden="1">"c7864"</definedName>
    <definedName name="IQ_IMPORTS_GOODS_SERVICES_REAL_SAAR_POP" hidden="1">"c11959"</definedName>
    <definedName name="IQ_IMPORTS_GOODS_SERVICES_REAL_SAAR_POP_FC_UNUSED" hidden="1">"c8084"</definedName>
    <definedName name="IQ_IMPORTS_GOODS_SERVICES_REAL_SAAR_POP_FC_UNUSED_UNUSED_UNUSED" hidden="1">"c8084"</definedName>
    <definedName name="IQ_IMPORTS_GOODS_SERVICES_REAL_SAAR_POP_UNUSED" hidden="1">"c7204"</definedName>
    <definedName name="IQ_IMPORTS_GOODS_SERVICES_REAL_SAAR_POP_UNUSED_UNUSED_UNUSED" hidden="1">"c7204"</definedName>
    <definedName name="IQ_IMPORTS_GOODS_SERVICES_REAL_SAAR_UNUSED" hidden="1">"c6984"</definedName>
    <definedName name="IQ_IMPORTS_GOODS_SERVICES_REAL_SAAR_UNUSED_UNUSED_UNUSED" hidden="1">"c6984"</definedName>
    <definedName name="IQ_IMPORTS_GOODS_SERVICES_REAL_SAAR_USD" hidden="1">"c11962"</definedName>
    <definedName name="IQ_IMPORTS_GOODS_SERVICES_REAL_SAAR_USD_APR" hidden="1">"c11965"</definedName>
    <definedName name="IQ_IMPORTS_GOODS_SERVICES_REAL_SAAR_USD_APR_FC" hidden="1">"c11969"</definedName>
    <definedName name="IQ_IMPORTS_GOODS_SERVICES_REAL_SAAR_USD_FC" hidden="1">"c11966"</definedName>
    <definedName name="IQ_IMPORTS_GOODS_SERVICES_REAL_SAAR_USD_POP" hidden="1">"c11963"</definedName>
    <definedName name="IQ_IMPORTS_GOODS_SERVICES_REAL_SAAR_USD_POP_FC" hidden="1">"c11967"</definedName>
    <definedName name="IQ_IMPORTS_GOODS_SERVICES_REAL_SAAR_USD_YOY" hidden="1">"c11964"</definedName>
    <definedName name="IQ_IMPORTS_GOODS_SERVICES_REAL_SAAR_USD_YOY_FC" hidden="1">"c11968"</definedName>
    <definedName name="IQ_IMPORTS_GOODS_SERVICES_REAL_SAAR_YOY" hidden="1">"c11960"</definedName>
    <definedName name="IQ_IMPORTS_GOODS_SERVICES_REAL_SAAR_YOY_FC_UNUSED" hidden="1">"c8304"</definedName>
    <definedName name="IQ_IMPORTS_GOODS_SERVICES_REAL_SAAR_YOY_FC_UNUSED_UNUSED_UNUSED" hidden="1">"c8304"</definedName>
    <definedName name="IQ_IMPORTS_GOODS_SERVICES_REAL_SAAR_YOY_UNUSED" hidden="1">"c7424"</definedName>
    <definedName name="IQ_IMPORTS_GOODS_SERVICES_REAL_SAAR_YOY_UNUSED_UNUSED_UNUSED" hidden="1">"c7424"</definedName>
    <definedName name="IQ_IMPORTS_GOODS_SERVICES_REAL_USD" hidden="1">"c11954"</definedName>
    <definedName name="IQ_IMPORTS_GOODS_SERVICES_REAL_USD_APR" hidden="1">"c11957"</definedName>
    <definedName name="IQ_IMPORTS_GOODS_SERVICES_REAL_USD_POP" hidden="1">"c11955"</definedName>
    <definedName name="IQ_IMPORTS_GOODS_SERVICES_REAL_USD_YOY" hidden="1">"c11956"</definedName>
    <definedName name="IQ_IMPORTS_GOODS_SERVICES_REAL_YOY" hidden="1">"c7425"</definedName>
    <definedName name="IQ_IMPORTS_GOODS_SERVICES_REAL_YOY_FC" hidden="1">"c8305"</definedName>
    <definedName name="IQ_IMPORTS_GOODS_SERVICES_SAAR" hidden="1">"c6890"</definedName>
    <definedName name="IQ_IMPORTS_GOODS_SERVICES_SAAR_APR" hidden="1">"c7550"</definedName>
    <definedName name="IQ_IMPORTS_GOODS_SERVICES_SAAR_APR_FC" hidden="1">"c8430"</definedName>
    <definedName name="IQ_IMPORTS_GOODS_SERVICES_SAAR_FC" hidden="1">"c7770"</definedName>
    <definedName name="IQ_IMPORTS_GOODS_SERVICES_SAAR_POP" hidden="1">"c7110"</definedName>
    <definedName name="IQ_IMPORTS_GOODS_SERVICES_SAAR_POP_FC" hidden="1">"c7990"</definedName>
    <definedName name="IQ_IMPORTS_GOODS_SERVICES_SAAR_YOY" hidden="1">"c7330"</definedName>
    <definedName name="IQ_IMPORTS_GOODS_SERVICES_SAAR_YOY_FC" hidden="1">"c8210"</definedName>
    <definedName name="IQ_IMPORTS_GOODS_SERVICES_UNUSED" hidden="1">"c6889"</definedName>
    <definedName name="IQ_IMPORTS_GOODS_SERVICES_UNUSED_UNUSED_UNUSED" hidden="1">"c6889"</definedName>
    <definedName name="IQ_IMPORTS_GOODS_SERVICES_USD" hidden="1">"c11842"</definedName>
    <definedName name="IQ_IMPORTS_GOODS_SERVICES_USD_APR" hidden="1">"c11845"</definedName>
    <definedName name="IQ_IMPORTS_GOODS_SERVICES_USD_POP" hidden="1">"c11843"</definedName>
    <definedName name="IQ_IMPORTS_GOODS_SERVICES_USD_YOY" hidden="1">"c11844"</definedName>
    <definedName name="IQ_IMPORTS_GOODS_SERVICES_YOY_FC_UNUSED" hidden="1">"c8209"</definedName>
    <definedName name="IQ_IMPORTS_GOODS_SERVICES_YOY_FC_UNUSED_UNUSED_UNUSED" hidden="1">"c8209"</definedName>
    <definedName name="IQ_IMPORTS_GOODS_SERVICES_YOY_UNUSED" hidden="1">"c7329"</definedName>
    <definedName name="IQ_IMPORTS_GOODS_SERVICES_YOY_UNUSED_UNUSED_UNUSED" hidden="1">"c7329"</definedName>
    <definedName name="IQ_IMPORTS_GOODS_USD_APR_FC" hidden="1">"c11841"</definedName>
    <definedName name="IQ_IMPORTS_GOODS_USD_FC" hidden="1">"c11838"</definedName>
    <definedName name="IQ_IMPORTS_GOODS_USD_POP_FC" hidden="1">"c11839"</definedName>
    <definedName name="IQ_IMPORTS_GOODS_USD_YOY_FC" hidden="1">"c11840"</definedName>
    <definedName name="IQ_IMPORTS_GOODS_YOY" hidden="1">"c7327"</definedName>
    <definedName name="IQ_IMPORTS_GOODS_YOY_FC" hidden="1">"c8207"</definedName>
    <definedName name="IQ_IMPORTS_NONFACTOR_SERVICES" hidden="1">"c6892"</definedName>
    <definedName name="IQ_IMPORTS_NONFACTOR_SERVICES_APR" hidden="1">"c7552"</definedName>
    <definedName name="IQ_IMPORTS_NONFACTOR_SERVICES_APR_FC" hidden="1">"c8432"</definedName>
    <definedName name="IQ_IMPORTS_NONFACTOR_SERVICES_FC" hidden="1">"c7772"</definedName>
    <definedName name="IQ_IMPORTS_NONFACTOR_SERVICES_POP" hidden="1">"c7112"</definedName>
    <definedName name="IQ_IMPORTS_NONFACTOR_SERVICES_POP_FC" hidden="1">"c7992"</definedName>
    <definedName name="IQ_IMPORTS_NONFACTOR_SERVICES_SAAR" hidden="1">"c6893"</definedName>
    <definedName name="IQ_IMPORTS_NONFACTOR_SERVICES_SAAR_APR" hidden="1">"c7553"</definedName>
    <definedName name="IQ_IMPORTS_NONFACTOR_SERVICES_SAAR_APR_FC" hidden="1">"c8433"</definedName>
    <definedName name="IQ_IMPORTS_NONFACTOR_SERVICES_SAAR_FC" hidden="1">"c7773"</definedName>
    <definedName name="IQ_IMPORTS_NONFACTOR_SERVICES_SAAR_POP" hidden="1">"c7113"</definedName>
    <definedName name="IQ_IMPORTS_NONFACTOR_SERVICES_SAAR_POP_FC" hidden="1">"c7993"</definedName>
    <definedName name="IQ_IMPORTS_NONFACTOR_SERVICES_SAAR_USD_APR_FC" hidden="1">"c11857"</definedName>
    <definedName name="IQ_IMPORTS_NONFACTOR_SERVICES_SAAR_USD_FC" hidden="1">"c11854"</definedName>
    <definedName name="IQ_IMPORTS_NONFACTOR_SERVICES_SAAR_USD_POP_FC" hidden="1">"c11855"</definedName>
    <definedName name="IQ_IMPORTS_NONFACTOR_SERVICES_SAAR_USD_YOY_FC" hidden="1">"c11856"</definedName>
    <definedName name="IQ_IMPORTS_NONFACTOR_SERVICES_SAAR_YOY" hidden="1">"c7333"</definedName>
    <definedName name="IQ_IMPORTS_NONFACTOR_SERVICES_SAAR_YOY_FC" hidden="1">"c8213"</definedName>
    <definedName name="IQ_IMPORTS_NONFACTOR_SERVICES_USD_APR_FC" hidden="1">"c11853"</definedName>
    <definedName name="IQ_IMPORTS_NONFACTOR_SERVICES_USD_FC" hidden="1">"c11850"</definedName>
    <definedName name="IQ_IMPORTS_NONFACTOR_SERVICES_USD_POP_FC" hidden="1">"c11851"</definedName>
    <definedName name="IQ_IMPORTS_NONFACTOR_SERVICES_USD_YOY_FC" hidden="1">"c11852"</definedName>
    <definedName name="IQ_IMPORTS_NONFACTOR_SERVICES_YOY" hidden="1">"c7332"</definedName>
    <definedName name="IQ_IMPORTS_NONFACTOR_SERVICES_YOY_FC" hidden="1">"c8212"</definedName>
    <definedName name="IQ_IMPORTS_SERVICES" hidden="1">"c11858"</definedName>
    <definedName name="IQ_IMPORTS_SERVICES_APR" hidden="1">"c11861"</definedName>
    <definedName name="IQ_IMPORTS_SERVICES_POP" hidden="1">"c11859"</definedName>
    <definedName name="IQ_IMPORTS_SERVICES_REAL" hidden="1">"c6986"</definedName>
    <definedName name="IQ_IMPORTS_SERVICES_REAL_APR" hidden="1">"c7646"</definedName>
    <definedName name="IQ_IMPORTS_SERVICES_REAL_APR_FC" hidden="1">"c8526"</definedName>
    <definedName name="IQ_IMPORTS_SERVICES_REAL_FC" hidden="1">"c7866"</definedName>
    <definedName name="IQ_IMPORTS_SERVICES_REAL_POP" hidden="1">"c7206"</definedName>
    <definedName name="IQ_IMPORTS_SERVICES_REAL_POP_FC" hidden="1">"c8086"</definedName>
    <definedName name="IQ_IMPORTS_SERVICES_REAL_YOY" hidden="1">"c7426"</definedName>
    <definedName name="IQ_IMPORTS_SERVICES_REAL_YOY_FC" hidden="1">"c8306"</definedName>
    <definedName name="IQ_IMPORTS_SERVICES_YOY" hidden="1">"c11860"</definedName>
    <definedName name="IQ_IMPORTS_USD" hidden="1">"c20765"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localSheetId="7" hidden="1">"c1395"</definedName>
    <definedName name="IQ_INC_AVAIL_EXCL" localSheetId="8" hidden="1">"c1395"</definedName>
    <definedName name="IQ_INC_AVAIL_EXCL" hidden="1">"c1395"</definedName>
    <definedName name="IQ_INC_AVAIL_INCL" localSheetId="7" hidden="1">"c1396"</definedName>
    <definedName name="IQ_INC_AVAIL_INCL" localSheetId="8" hidden="1">"c1396"</definedName>
    <definedName name="IQ_INC_AVAIL_INCL" hidden="1">"c1396"</definedName>
    <definedName name="IQ_INC_BEFORE_TAX" localSheetId="7" hidden="1">"c1375"</definedName>
    <definedName name="IQ_INC_BEFORE_TAX" localSheetId="8" hidden="1">"c1375"</definedName>
    <definedName name="IQ_INC_BEFORE_TAX" hidden="1">"c1375"</definedName>
    <definedName name="IQ_INC_DOM_LOANS_FFIEC" hidden="1">"c12975"</definedName>
    <definedName name="IQ_INC_EQUITY" hidden="1">"c549"</definedName>
    <definedName name="IQ_INC_EQUITY_BR" hidden="1">"c550"</definedName>
    <definedName name="IQ_INC_EQUITY_CF" hidden="1">"c551"</definedName>
    <definedName name="IQ_INC_EQUITY_CM" hidden="1">"c550"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BEFORE_EXTRAORDINARY_ITEMS_AVG_ASSETS_THRIFT" hidden="1">"c25658"</definedName>
    <definedName name="IQ_INCOME_CHECKS_FFIEC" hidden="1">"c13040"</definedName>
    <definedName name="IQ_INCOME_EARNED_FDIC" hidden="1">"c6359"</definedName>
    <definedName name="IQ_INCOME_FIDUCIARY_ACTIVITIES_FFIEC" hidden="1">"c13002"</definedName>
    <definedName name="IQ_INCOME_LEASE_FINANCING_REC_FFIEC" hidden="1">"c12980"</definedName>
    <definedName name="IQ_INCOME_LOANS_LEASES_TAX_EXEMPT_FFIEC" hidden="1">"c13038"</definedName>
    <definedName name="IQ_INCOME_OTHER_INSURANCE_ACTIVITIES_FFIEC" hidden="1">"c13009"</definedName>
    <definedName name="IQ_INCOME_SALE_MUTUAL_FUNDS_DOM_FFIEC" hidden="1">"c13069"</definedName>
    <definedName name="IQ_INCOME_SECURITIES_TAX_EXEMPT_FFIEC" hidden="1">"c13039"</definedName>
    <definedName name="IQ_INCOME_STATEMENT_AP" hidden="1">"c25877"</definedName>
    <definedName name="IQ_INCOME_STATEMENT_AP_CO" hidden="1">"c25878"</definedName>
    <definedName name="IQ_INCOME_STATEMENT_INDUSTRY" hidden="1">"c25873"</definedName>
    <definedName name="IQ_INCOME_STATEMENT_INDUSTRY_CO" hidden="1">"c25874"</definedName>
    <definedName name="IQ_INCOME_STATEMENT_STANDARD" hidden="1">"c25875"</definedName>
    <definedName name="IQ_INCOME_STATEMENT_STANDARD_CO" hidden="1">"c25876"</definedName>
    <definedName name="IQ_INCOME_TAX_FOREIGN_FFIEC" hidden="1">"c15391"</definedName>
    <definedName name="IQ_INCOME_TAXES_FDIC" hidden="1">"c6582"</definedName>
    <definedName name="IQ_INCOME_TAXES_FFIEC" hidden="1">"c13030"</definedName>
    <definedName name="IQ_INCOME_TAXES_PRETAX_NET_OPERATING_INCOME_THRIFT" hidden="1">"c25693"</definedName>
    <definedName name="IQ_INCOME_TAXES_THRIFT" hidden="1">"c24795"</definedName>
    <definedName name="IQ_INCREASE_INT_INCOME_FFIEC" hidden="1">"c13063"</definedName>
    <definedName name="IQ_IND_PROD_INDEX_GROWTH" hidden="1">"c20766"</definedName>
    <definedName name="IQ_INDEX_CURRENCY" hidden="1">"c15224"</definedName>
    <definedName name="IQ_INDEX_LEADING_IND" hidden="1">"c6894"</definedName>
    <definedName name="IQ_INDEX_LEADING_IND_APR" hidden="1">"c7554"</definedName>
    <definedName name="IQ_INDEX_LEADING_IND_APR_FC" hidden="1">"c8434"</definedName>
    <definedName name="IQ_INDEX_LEADING_IND_FC" hidden="1">"c7774"</definedName>
    <definedName name="IQ_INDEX_LEADING_IND_POP" hidden="1">"c7114"</definedName>
    <definedName name="IQ_INDEX_LEADING_IND_POP_FC" hidden="1">"c7994"</definedName>
    <definedName name="IQ_INDEX_LEADING_IND_YOY" hidden="1">"c7334"</definedName>
    <definedName name="IQ_INDEX_LEADING_IND_YOY_FC" hidden="1">"c8214"</definedName>
    <definedName name="IQ_INDEX_PROVIDED_DIVIDEND" hidden="1">"c19252"</definedName>
    <definedName name="IQ_INDEX_SHARES" hidden="1">"c19193"</definedName>
    <definedName name="IQ_INDEX_TYPE" hidden="1">"c15223"</definedName>
    <definedName name="IQ_INDEXCONSTITUENT_CLOSEPRICE" hidden="1">"c19241"</definedName>
    <definedName name="IQ_INDICATED_ATTRIB_ORE_RESOURCES_ALUM" hidden="1">"c9238"</definedName>
    <definedName name="IQ_INDICATED_ATTRIB_ORE_RESOURCES_COP" hidden="1">"c9182"</definedName>
    <definedName name="IQ_INDICATED_ATTRIB_ORE_RESOURCES_DIAM" hidden="1">"c9662"</definedName>
    <definedName name="IQ_INDICATED_ATTRIB_ORE_RESOURCES_GOLD" hidden="1">"c9023"</definedName>
    <definedName name="IQ_INDICATED_ATTRIB_ORE_RESOURCES_IRON" hidden="1">"c9397"</definedName>
    <definedName name="IQ_INDICATED_ATTRIB_ORE_RESOURCES_LEAD" hidden="1">"c9450"</definedName>
    <definedName name="IQ_INDICATED_ATTRIB_ORE_RESOURCES_MANG" hidden="1">"c9503"</definedName>
    <definedName name="IQ_INDICATED_ATTRIB_ORE_RESOURCES_MOLYB" hidden="1">"c9715"</definedName>
    <definedName name="IQ_INDICATED_ATTRIB_ORE_RESOURCES_NICK" hidden="1">"c9291"</definedName>
    <definedName name="IQ_INDICATED_ATTRIB_ORE_RESOURCES_PLAT" hidden="1">"c9129"</definedName>
    <definedName name="IQ_INDICATED_ATTRIB_ORE_RESOURCES_SILVER" hidden="1">"c9076"</definedName>
    <definedName name="IQ_INDICATED_ATTRIB_ORE_RESOURCES_TITAN" hidden="1">"c9556"</definedName>
    <definedName name="IQ_INDICATED_ATTRIB_ORE_RESOURCES_URAN" hidden="1">"c9609"</definedName>
    <definedName name="IQ_INDICATED_ATTRIB_ORE_RESOURCES_ZINC" hidden="1">"c9344"</definedName>
    <definedName name="IQ_INDICATED_ORE_RESOURCES_ALUM" hidden="1">"c9224"</definedName>
    <definedName name="IQ_INDICATED_ORE_RESOURCES_COP" hidden="1">"c9168"</definedName>
    <definedName name="IQ_INDICATED_ORE_RESOURCES_DIAM" hidden="1">"c9648"</definedName>
    <definedName name="IQ_INDICATED_ORE_RESOURCES_GOLD" hidden="1">"c9009"</definedName>
    <definedName name="IQ_INDICATED_ORE_RESOURCES_IRON" hidden="1">"c9383"</definedName>
    <definedName name="IQ_INDICATED_ORE_RESOURCES_LEAD" hidden="1">"c9436"</definedName>
    <definedName name="IQ_INDICATED_ORE_RESOURCES_MANG" hidden="1">"c9489"</definedName>
    <definedName name="IQ_INDICATED_ORE_RESOURCES_MOLYB" hidden="1">"c9701"</definedName>
    <definedName name="IQ_INDICATED_ORE_RESOURCES_NICK" hidden="1">"c9277"</definedName>
    <definedName name="IQ_INDICATED_ORE_RESOURCES_PLAT" hidden="1">"c9115"</definedName>
    <definedName name="IQ_INDICATED_ORE_RESOURCES_SILVER" hidden="1">"c9062"</definedName>
    <definedName name="IQ_INDICATED_ORE_RESOURCES_TITAN" hidden="1">"c9542"</definedName>
    <definedName name="IQ_INDICATED_ORE_RESOURCES_URAN" hidden="1">"c9595"</definedName>
    <definedName name="IQ_INDICATED_ORE_RESOURCES_ZINC" hidden="1">"c9330"</definedName>
    <definedName name="IQ_INDICATED_RECOV_ATTRIB_RESOURCES_ALUM" hidden="1">"c9243"</definedName>
    <definedName name="IQ_INDICATED_RECOV_ATTRIB_RESOURCES_COAL" hidden="1">"c9817"</definedName>
    <definedName name="IQ_INDICATED_RECOV_ATTRIB_RESOURCES_COP" hidden="1">"c9187"</definedName>
    <definedName name="IQ_INDICATED_RECOV_ATTRIB_RESOURCES_DIAM" hidden="1">"c9667"</definedName>
    <definedName name="IQ_INDICATED_RECOV_ATTRIB_RESOURCES_GOLD" hidden="1">"c9028"</definedName>
    <definedName name="IQ_INDICATED_RECOV_ATTRIB_RESOURCES_IRON" hidden="1">"c9402"</definedName>
    <definedName name="IQ_INDICATED_RECOV_ATTRIB_RESOURCES_LEAD" hidden="1">"c9455"</definedName>
    <definedName name="IQ_INDICATED_RECOV_ATTRIB_RESOURCES_MANG" hidden="1">"c9508"</definedName>
    <definedName name="IQ_INDICATED_RECOV_ATTRIB_RESOURCES_MET_COAL" hidden="1">"c9757"</definedName>
    <definedName name="IQ_INDICATED_RECOV_ATTRIB_RESOURCES_MOLYB" hidden="1">"c9720"</definedName>
    <definedName name="IQ_INDICATED_RECOV_ATTRIB_RESOURCES_NICK" hidden="1">"c9296"</definedName>
    <definedName name="IQ_INDICATED_RECOV_ATTRIB_RESOURCES_PLAT" hidden="1">"c9134"</definedName>
    <definedName name="IQ_INDICATED_RECOV_ATTRIB_RESOURCES_SILVER" hidden="1">"c9081"</definedName>
    <definedName name="IQ_INDICATED_RECOV_ATTRIB_RESOURCES_STEAM" hidden="1">"c9787"</definedName>
    <definedName name="IQ_INDICATED_RECOV_ATTRIB_RESOURCES_TITAN" hidden="1">"c9561"</definedName>
    <definedName name="IQ_INDICATED_RECOV_ATTRIB_RESOURCES_URAN" hidden="1">"c9614"</definedName>
    <definedName name="IQ_INDICATED_RECOV_ATTRIB_RESOURCES_ZINC" hidden="1">"c9349"</definedName>
    <definedName name="IQ_INDICATED_RECOV_RESOURCES_ALUM" hidden="1">"c9233"</definedName>
    <definedName name="IQ_INDICATED_RECOV_RESOURCES_COAL" hidden="1">"c9812"</definedName>
    <definedName name="IQ_INDICATED_RECOV_RESOURCES_COP" hidden="1">"c9177"</definedName>
    <definedName name="IQ_INDICATED_RECOV_RESOURCES_DIAM" hidden="1">"c9657"</definedName>
    <definedName name="IQ_INDICATED_RECOV_RESOURCES_GOLD" hidden="1">"c9018"</definedName>
    <definedName name="IQ_INDICATED_RECOV_RESOURCES_IRON" hidden="1">"c9392"</definedName>
    <definedName name="IQ_INDICATED_RECOV_RESOURCES_LEAD" hidden="1">"c9445"</definedName>
    <definedName name="IQ_INDICATED_RECOV_RESOURCES_MANG" hidden="1">"c9498"</definedName>
    <definedName name="IQ_INDICATED_RECOV_RESOURCES_MET_COAL" hidden="1">"c9752"</definedName>
    <definedName name="IQ_INDICATED_RECOV_RESOURCES_MOLYB" hidden="1">"c9710"</definedName>
    <definedName name="IQ_INDICATED_RECOV_RESOURCES_NICK" hidden="1">"c9286"</definedName>
    <definedName name="IQ_INDICATED_RECOV_RESOURCES_PLAT" hidden="1">"c9124"</definedName>
    <definedName name="IQ_INDICATED_RECOV_RESOURCES_SILVER" hidden="1">"c9071"</definedName>
    <definedName name="IQ_INDICATED_RECOV_RESOURCES_STEAM" hidden="1">"c9782"</definedName>
    <definedName name="IQ_INDICATED_RECOV_RESOURCES_TITAN" hidden="1">"c9551"</definedName>
    <definedName name="IQ_INDICATED_RECOV_RESOURCES_URAN" hidden="1">"c9604"</definedName>
    <definedName name="IQ_INDICATED_RECOV_RESOURCES_ZINC" hidden="1">"c9339"</definedName>
    <definedName name="IQ_INDICATED_RESOURCES_CALORIFIC_VALUE_COAL" hidden="1">"c9807"</definedName>
    <definedName name="IQ_INDICATED_RESOURCES_CALORIFIC_VALUE_MET_COAL" hidden="1">"c9747"</definedName>
    <definedName name="IQ_INDICATED_RESOURCES_CALORIFIC_VALUE_STEAM" hidden="1">"c9777"</definedName>
    <definedName name="IQ_INDICATED_RESOURCES_GRADE_ALUM" hidden="1">"c9225"</definedName>
    <definedName name="IQ_INDICATED_RESOURCES_GRADE_COP" hidden="1">"c9169"</definedName>
    <definedName name="IQ_INDICATED_RESOURCES_GRADE_DIAM" hidden="1">"c9649"</definedName>
    <definedName name="IQ_INDICATED_RESOURCES_GRADE_GOLD" hidden="1">"c9010"</definedName>
    <definedName name="IQ_INDICATED_RESOURCES_GRADE_IRON" hidden="1">"c9384"</definedName>
    <definedName name="IQ_INDICATED_RESOURCES_GRADE_LEAD" hidden="1">"c9437"</definedName>
    <definedName name="IQ_INDICATED_RESOURCES_GRADE_MANG" hidden="1">"c9490"</definedName>
    <definedName name="IQ_INDICATED_RESOURCES_GRADE_MOLYB" hidden="1">"c9702"</definedName>
    <definedName name="IQ_INDICATED_RESOURCES_GRADE_NICK" hidden="1">"c9278"</definedName>
    <definedName name="IQ_INDICATED_RESOURCES_GRADE_PLAT" hidden="1">"c9116"</definedName>
    <definedName name="IQ_INDICATED_RESOURCES_GRADE_SILVER" hidden="1">"c9063"</definedName>
    <definedName name="IQ_INDICATED_RESOURCES_GRADE_TITAN" hidden="1">"c9543"</definedName>
    <definedName name="IQ_INDICATED_RESOURCES_GRADE_URAN" hidden="1">"c9596"</definedName>
    <definedName name="IQ_INDICATED_RESOURCES_GRADE_ZINC" hidden="1">"c9331"</definedName>
    <definedName name="IQ_INDIVIDUAL" hidden="1">"c15182"</definedName>
    <definedName name="IQ_INDIVIDUAL_ACTIVE_BOARD_MEMBERSHIPS" hidden="1">"c15201"</definedName>
    <definedName name="IQ_INDIVIDUAL_ACTIVE_PRO_AFFILIATIONS" hidden="1">"c15199"</definedName>
    <definedName name="IQ_INDIVIDUAL_AGE" hidden="1">"c15191"</definedName>
    <definedName name="IQ_INDIVIDUAL_ALL_OTHER_COMP" hidden="1">"c19040"</definedName>
    <definedName name="IQ_INDIVIDUAL_ANNUAL_CASH_COMP" hidden="1">"c19041"</definedName>
    <definedName name="IQ_INDIVIDUAL_AS_REPORTED_COMP" hidden="1">"c19045"</definedName>
    <definedName name="IQ_INDIVIDUAL_AS_REPORTED_DIRECTOR_COMP" hidden="1">"c19057"</definedName>
    <definedName name="IQ_INDIVIDUAL_ASSISTANT_EMAIL" hidden="1">"c15206"</definedName>
    <definedName name="IQ_INDIVIDUAL_ASSISTANT_FAX" hidden="1">"c15208"</definedName>
    <definedName name="IQ_INDIVIDUAL_ASSISTANT_NAME" hidden="1">"c15205"</definedName>
    <definedName name="IQ_INDIVIDUAL_ASSISTANT_PHONE" hidden="1">"c15207"</definedName>
    <definedName name="IQ_INDIVIDUAL_BACKGROUND" hidden="1">"c15184"</definedName>
    <definedName name="IQ_INDIVIDUAL_BONUS" hidden="1">"c19036"</definedName>
    <definedName name="IQ_INDIVIDUAL_CALCULATED_COMP" hidden="1">"c19043"</definedName>
    <definedName name="IQ_INDIVIDUAL_CHANGE_PENSION" hidden="1">"c19058"</definedName>
    <definedName name="IQ_INDIVIDUAL_DIRECT_FAX" hidden="1">"c15189"</definedName>
    <definedName name="IQ_INDIVIDUAL_DIRECT_PHONE" hidden="1">"c15188"</definedName>
    <definedName name="IQ_INDIVIDUAL_DIRECTOR_BONUS" hidden="1">"c19052"</definedName>
    <definedName name="IQ_INDIVIDUAL_DIRECTOR_CHANGE_PENSION" hidden="1">"c19053"</definedName>
    <definedName name="IQ_INDIVIDUAL_DIRECTOR_FEE" hidden="1">"c19049"</definedName>
    <definedName name="IQ_INDIVIDUAL_DIRECTOR_NON_EQUITY_COMP" hidden="1">"c19054"</definedName>
    <definedName name="IQ_INDIVIDUAL_DIRECTOR_OPTION_AWARDS" hidden="1">"c19050"</definedName>
    <definedName name="IQ_INDIVIDUAL_DIRECTOR_OTHER" hidden="1">"c19051"</definedName>
    <definedName name="IQ_INDIVIDUAL_DIRECTOR_STOCK_AWARDS" hidden="1">"c19055"</definedName>
    <definedName name="IQ_INDIVIDUAL_DIRECTOR_STOCK_GRANTS" hidden="1">"c19082"</definedName>
    <definedName name="IQ_INDIVIDUAL_DIRECTOR_STOCK_OPTIONS" hidden="1">"c19056"</definedName>
    <definedName name="IQ_INDIVIDUAL_EDUCATION" hidden="1">"c15203"</definedName>
    <definedName name="IQ_INDIVIDUAL_EMAIL" hidden="1">"c15193"</definedName>
    <definedName name="IQ_INDIVIDUAL_EQUITY_INCENTIVE" hidden="1">"c19078"</definedName>
    <definedName name="IQ_INDIVIDUAL_EST_PAYMENTS_CHANGE_CONTROL" hidden="1">"c19047"</definedName>
    <definedName name="IQ_INDIVIDUAL_EST_PAYMENTS_TERMINATION" hidden="1">"c19059"</definedName>
    <definedName name="IQ_INDIVIDUAL_EXERCISABLE_OPTIONS" hidden="1">"c19062"</definedName>
    <definedName name="IQ_INDIVIDUAL_EXERCISABLE_VALUES" hidden="1">"c19063"</definedName>
    <definedName name="IQ_INDIVIDUAL_EXERCISED_OPTIONS" hidden="1">"c19060"</definedName>
    <definedName name="IQ_INDIVIDUAL_EXERCISED_VALUES" hidden="1">"c19061"</definedName>
    <definedName name="IQ_INDIVIDUAL_FAMILY_LOAN_DOM_QUARTERLY_AVG_FFIEC" hidden="1">"c15479"</definedName>
    <definedName name="IQ_INDIVIDUAL_HOME_ADDRESS" hidden="1">"c15194"</definedName>
    <definedName name="IQ_INDIVIDUAL_HOME_FAX" hidden="1">"c15196"</definedName>
    <definedName name="IQ_INDIVIDUAL_HOME_PHONE" hidden="1">"c15195"</definedName>
    <definedName name="IQ_INDIVIDUAL_LT_INCENTIVE" hidden="1">"c19039"</definedName>
    <definedName name="IQ_INDIVIDUAL_MAIN_FAX" hidden="1">"c15187"</definedName>
    <definedName name="IQ_INDIVIDUAL_MAIN_PHONE" hidden="1">"c15186"</definedName>
    <definedName name="IQ_INDIVIDUAL_MARKET_VALUE_SHARES_NOT_VESTED" hidden="1">"c19077"</definedName>
    <definedName name="IQ_INDIVIDUAL_MOBILE" hidden="1">"c15198"</definedName>
    <definedName name="IQ_INDIVIDUAL_NICKNAME" hidden="1">"c15192"</definedName>
    <definedName name="IQ_INDIVIDUAL_NON_EQUITY_INCENTIVE" hidden="1">"c19048"</definedName>
    <definedName name="IQ_INDIVIDUAL_NOTES" hidden="1">"c15204"</definedName>
    <definedName name="IQ_INDIVIDUAL_NUM_SHARED_NOT_VESTED" hidden="1">"c19076"</definedName>
    <definedName name="IQ_INDIVIDUAL_NUM_SHARES_ACQUIRED" hidden="1">"c19074"</definedName>
    <definedName name="IQ_INDIVIDUAL_OFFICE_ADDRESS" hidden="1">"c15185"</definedName>
    <definedName name="IQ_INDIVIDUAL_OPTION_AWARDS" hidden="1">"c19044"</definedName>
    <definedName name="IQ_INDIVIDUAL_OPTION_MARKET_PRICE" hidden="1">"c19073"</definedName>
    <definedName name="IQ_INDIVIDUAL_OPTION_PRICE" hidden="1">"c19072"</definedName>
    <definedName name="IQ_INDIVIDUAL_OTHER_ANNUAL_COMP" hidden="1">"c19037"</definedName>
    <definedName name="IQ_INDIVIDUAL_OTHER_COMP" hidden="1">"c19046"</definedName>
    <definedName name="IQ_INDIVIDUAL_OTHER_PHONE" hidden="1">"c15197"</definedName>
    <definedName name="IQ_INDIVIDUAL_PARTNER_CORP_NON_TRANS_ACCTS_FFIEC" hidden="1">"c15322"</definedName>
    <definedName name="IQ_INDIVIDUAL_PARTNER_CORP_TRANS_ACCTS_FFIEC" hidden="1">"c15314"</definedName>
    <definedName name="IQ_INDIVIDUAL_PARTNER_CORPS_FOREIGN_DEP_FFIEC" hidden="1">"c15342"</definedName>
    <definedName name="IQ_INDIVIDUAL_PRIOR_BOARD_MEMBERSHIPS" hidden="1">"c15202"</definedName>
    <definedName name="IQ_INDIVIDUAL_PRIOR_PRO_AFFILIATIONS" hidden="1">"c15200"</definedName>
    <definedName name="IQ_INDIVIDUAL_RESTRICTED_STOCK_COMP" hidden="1">"c19038"</definedName>
    <definedName name="IQ_INDIVIDUAL_SALARY" hidden="1">"c19035"</definedName>
    <definedName name="IQ_INDIVIDUAL_SPECIALTY" hidden="1">"c15190"</definedName>
    <definedName name="IQ_INDIVIDUAL_ST_COMP" hidden="1">"c19042"</definedName>
    <definedName name="IQ_INDIVIDUAL_TITLE" hidden="1">"c15183"</definedName>
    <definedName name="IQ_INDIVIDUAL_TOTAL_NUM_STOCK_AWARDS" hidden="1">"c19081"</definedName>
    <definedName name="IQ_INDIVIDUAL_TOTAL_OPTIONS" hidden="1">"c19070"</definedName>
    <definedName name="IQ_INDIVIDUAL_TOTAL_STOCK_VALUE" hidden="1">"c19080"</definedName>
    <definedName name="IQ_INDIVIDUAL_TOTAL_VALUE_OPTIONS" hidden="1">"c19071"</definedName>
    <definedName name="IQ_INDIVIDUAL_UNCLASSIFIED_OPTIONS" hidden="1">"c19066"</definedName>
    <definedName name="IQ_INDIVIDUAL_UNCLASSIFIED_OPTIONS_VALUE" hidden="1">"c19067"</definedName>
    <definedName name="IQ_INDIVIDUAL_UNEARNED_STOCK_VALUE" hidden="1">"c19079"</definedName>
    <definedName name="IQ_INDIVIDUAL_UNEXERCISABLE_OPTIONS" hidden="1">"c19064"</definedName>
    <definedName name="IQ_INDIVIDUAL_UNEXERCISABLE_VALUES" hidden="1">"c19065"</definedName>
    <definedName name="IQ_INDIVIDUAL_UNEXERCISED_UNEARNED_OPTIONS" hidden="1">"c19068"</definedName>
    <definedName name="IQ_INDIVIDUAL_UNEXERCISED_UNEARNED_OPTIONS_VALUE" hidden="1">"c19069"</definedName>
    <definedName name="IQ_INDIVIDUAL_VALUE_VESTING" hidden="1">"c19075"</definedName>
    <definedName name="IQ_INDIVIDUALS_CHARGE_OFFS_FDIC" hidden="1">"c6599"</definedName>
    <definedName name="IQ_INDIVIDUALS_GROSS_LOANS_FFIEC" hidden="1">"c13411"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IVIDUALS_RISK_BASED_FFIEC" hidden="1">"c13432"</definedName>
    <definedName name="IQ_INDUSTRIAL_AUTO_SALES_DOMESTIC" hidden="1">"c20767"</definedName>
    <definedName name="IQ_INDUSTRIAL_AUTO_SALES_FOREIGN" hidden="1">"c20768"</definedName>
    <definedName name="IQ_INDUSTRIAL_AUTO_SALES_TOTAL" hidden="1">"c20769"</definedName>
    <definedName name="IQ_INDUSTRIAL_CAPACITY_UTILIZATION" hidden="1">"c20770"</definedName>
    <definedName name="IQ_INDUSTRIAL_IPI" hidden="1">"c20771"</definedName>
    <definedName name="IQ_INDUSTRIAL_MV_ASSEMBLIES_AUTO" hidden="1">"c20772"</definedName>
    <definedName name="IQ_INDUSTRIAL_MV_ASSEMBLIES_TOTAL" hidden="1">"c20773"</definedName>
    <definedName name="IQ_INDUSTRIAL_MV_ASSEMBLIES_TRUCKS" hidden="1">"c20774"</definedName>
    <definedName name="IQ_INDUSTRIAL_MV_ASSEMBLIES_TRUCKS_HEAVY" hidden="1">"c20775"</definedName>
    <definedName name="IQ_INDUSTRIAL_MV_ASSEMBLIES_TRUCKS_LIGHT" hidden="1">"c20776"</definedName>
    <definedName name="IQ_INDUSTRIAL_PROD" hidden="1">"c6895"</definedName>
    <definedName name="IQ_INDUSTRIAL_PROD_APR" hidden="1">"c7555"</definedName>
    <definedName name="IQ_INDUSTRIAL_PROD_APR_FC" hidden="1">"c8435"</definedName>
    <definedName name="IQ_INDUSTRIAL_PROD_FC" hidden="1">"c7775"</definedName>
    <definedName name="IQ_INDUSTRIAL_PROD_POP" hidden="1">"c7115"</definedName>
    <definedName name="IQ_INDUSTRIAL_PROD_POP_FC" hidden="1">"c7995"</definedName>
    <definedName name="IQ_INDUSTRIAL_PROD_YOY" hidden="1">"c7335"</definedName>
    <definedName name="IQ_INDUSTRIAL_PROD_YOY_FC" hidden="1">"c8215"</definedName>
    <definedName name="IQ_INDUSTRY" hidden="1">"c3601"</definedName>
    <definedName name="IQ_INDUSTRY_GROUP" hidden="1">"c3602"</definedName>
    <definedName name="IQ_INDUSTRY_SECTOR" hidden="1">"c3603"</definedName>
    <definedName name="IQ_INFERRED_ATTRIB_ORE_RESOURCES_ALUM" hidden="1">"c9240"</definedName>
    <definedName name="IQ_INFERRED_ATTRIB_ORE_RESOURCES_COP" hidden="1">"c9184"</definedName>
    <definedName name="IQ_INFERRED_ATTRIB_ORE_RESOURCES_DIAM" hidden="1">"c9664"</definedName>
    <definedName name="IQ_INFERRED_ATTRIB_ORE_RESOURCES_GOLD" hidden="1">"c9025"</definedName>
    <definedName name="IQ_INFERRED_ATTRIB_ORE_RESOURCES_IRON" hidden="1">"c9399"</definedName>
    <definedName name="IQ_INFERRED_ATTRIB_ORE_RESOURCES_LEAD" hidden="1">"c9452"</definedName>
    <definedName name="IQ_INFERRED_ATTRIB_ORE_RESOURCES_MANG" hidden="1">"c9505"</definedName>
    <definedName name="IQ_INFERRED_ATTRIB_ORE_RESOURCES_MOLYB" hidden="1">"c9717"</definedName>
    <definedName name="IQ_INFERRED_ATTRIB_ORE_RESOURCES_NICK" hidden="1">"c9293"</definedName>
    <definedName name="IQ_INFERRED_ATTRIB_ORE_RESOURCES_PLAT" hidden="1">"c9131"</definedName>
    <definedName name="IQ_INFERRED_ATTRIB_ORE_RESOURCES_SILVER" hidden="1">"c9078"</definedName>
    <definedName name="IQ_INFERRED_ATTRIB_ORE_RESOURCES_TITAN" hidden="1">"c9558"</definedName>
    <definedName name="IQ_INFERRED_ATTRIB_ORE_RESOURCES_URAN" hidden="1">"c9611"</definedName>
    <definedName name="IQ_INFERRED_ATTRIB_ORE_RESOURCES_ZINC" hidden="1">"c9346"</definedName>
    <definedName name="IQ_INFERRED_ORE_RESOURCES_ALUM" hidden="1">"c9228"</definedName>
    <definedName name="IQ_INFERRED_ORE_RESOURCES_COP" hidden="1">"c9172"</definedName>
    <definedName name="IQ_INFERRED_ORE_RESOURCES_DIAM" hidden="1">"c9652"</definedName>
    <definedName name="IQ_INFERRED_ORE_RESOURCES_GOLD" hidden="1">"c9013"</definedName>
    <definedName name="IQ_INFERRED_ORE_RESOURCES_IRON" hidden="1">"c9387"</definedName>
    <definedName name="IQ_INFERRED_ORE_RESOURCES_LEAD" hidden="1">"c9440"</definedName>
    <definedName name="IQ_INFERRED_ORE_RESOURCES_MANG" hidden="1">"c9493"</definedName>
    <definedName name="IQ_INFERRED_ORE_RESOURCES_MOLYB" hidden="1">"c9705"</definedName>
    <definedName name="IQ_INFERRED_ORE_RESOURCES_NICK" hidden="1">"c9281"</definedName>
    <definedName name="IQ_INFERRED_ORE_RESOURCES_PLAT" hidden="1">"c9119"</definedName>
    <definedName name="IQ_INFERRED_ORE_RESOURCES_SILVER" hidden="1">"c9066"</definedName>
    <definedName name="IQ_INFERRED_ORE_RESOURCES_TITAN" hidden="1">"c9546"</definedName>
    <definedName name="IQ_INFERRED_ORE_RESOURCES_URAN" hidden="1">"c9599"</definedName>
    <definedName name="IQ_INFERRED_ORE_RESOURCES_ZINC" hidden="1">"c9334"</definedName>
    <definedName name="IQ_INFERRED_RECOV_ATTRIB_RESOURCES_ALUM" hidden="1">"c9245"</definedName>
    <definedName name="IQ_INFERRED_RECOV_ATTRIB_RESOURCES_COAL" hidden="1">"c9819"</definedName>
    <definedName name="IQ_INFERRED_RECOV_ATTRIB_RESOURCES_COP" hidden="1">"c9189"</definedName>
    <definedName name="IQ_INFERRED_RECOV_ATTRIB_RESOURCES_DIAM" hidden="1">"c9669"</definedName>
    <definedName name="IQ_INFERRED_RECOV_ATTRIB_RESOURCES_GOLD" hidden="1">"c9030"</definedName>
    <definedName name="IQ_INFERRED_RECOV_ATTRIB_RESOURCES_IRON" hidden="1">"c9404"</definedName>
    <definedName name="IQ_INFERRED_RECOV_ATTRIB_RESOURCES_LEAD" hidden="1">"c9457"</definedName>
    <definedName name="IQ_INFERRED_RECOV_ATTRIB_RESOURCES_MANG" hidden="1">"c9510"</definedName>
    <definedName name="IQ_INFERRED_RECOV_ATTRIB_RESOURCES_MET_COAL" hidden="1">"c9759"</definedName>
    <definedName name="IQ_INFERRED_RECOV_ATTRIB_RESOURCES_MOLYB" hidden="1">"c9722"</definedName>
    <definedName name="IQ_INFERRED_RECOV_ATTRIB_RESOURCES_NICK" hidden="1">"c9298"</definedName>
    <definedName name="IQ_INFERRED_RECOV_ATTRIB_RESOURCES_PLAT" hidden="1">"c9136"</definedName>
    <definedName name="IQ_INFERRED_RECOV_ATTRIB_RESOURCES_SILVER" hidden="1">"c9083"</definedName>
    <definedName name="IQ_INFERRED_RECOV_ATTRIB_RESOURCES_STEAM" hidden="1">"c9789"</definedName>
    <definedName name="IQ_INFERRED_RECOV_ATTRIB_RESOURCES_TITAN" hidden="1">"c9563"</definedName>
    <definedName name="IQ_INFERRED_RECOV_ATTRIB_RESOURCES_URAN" hidden="1">"c9616"</definedName>
    <definedName name="IQ_INFERRED_RECOV_ATTRIB_RESOURCES_ZINC" hidden="1">"c9351"</definedName>
    <definedName name="IQ_INFERRED_RECOV_RESOURCES_ALUM" hidden="1">"c9235"</definedName>
    <definedName name="IQ_INFERRED_RECOV_RESOURCES_COAL" hidden="1">"c9814"</definedName>
    <definedName name="IQ_INFERRED_RECOV_RESOURCES_COP" hidden="1">"c9179"</definedName>
    <definedName name="IQ_INFERRED_RECOV_RESOURCES_DIAM" hidden="1">"c9659"</definedName>
    <definedName name="IQ_INFERRED_RECOV_RESOURCES_GOLD" hidden="1">"c9020"</definedName>
    <definedName name="IQ_INFERRED_RECOV_RESOURCES_IRON" hidden="1">"c9394"</definedName>
    <definedName name="IQ_INFERRED_RECOV_RESOURCES_LEAD" hidden="1">"c9447"</definedName>
    <definedName name="IQ_INFERRED_RECOV_RESOURCES_MANG" hidden="1">"c9500"</definedName>
    <definedName name="IQ_INFERRED_RECOV_RESOURCES_MET_COAL" hidden="1">"c9754"</definedName>
    <definedName name="IQ_INFERRED_RECOV_RESOURCES_MOLYB" hidden="1">"c9712"</definedName>
    <definedName name="IQ_INFERRED_RECOV_RESOURCES_NICK" hidden="1">"c9288"</definedName>
    <definedName name="IQ_INFERRED_RECOV_RESOURCES_PLAT" hidden="1">"c9126"</definedName>
    <definedName name="IQ_INFERRED_RECOV_RESOURCES_SILVER" hidden="1">"c9073"</definedName>
    <definedName name="IQ_INFERRED_RECOV_RESOURCES_STEAM" hidden="1">"c9784"</definedName>
    <definedName name="IQ_INFERRED_RECOV_RESOURCES_TITAN" hidden="1">"c9553"</definedName>
    <definedName name="IQ_INFERRED_RECOV_RESOURCES_URAN" hidden="1">"c9606"</definedName>
    <definedName name="IQ_INFERRED_RECOV_RESOURCES_ZINC" hidden="1">"c9341"</definedName>
    <definedName name="IQ_INFERRED_RESOURCES_CALORIFIC_VALUE_COAL" hidden="1">"c9809"</definedName>
    <definedName name="IQ_INFERRED_RESOURCES_CALORIFIC_VALUE_MET_COAL" hidden="1">"c9749"</definedName>
    <definedName name="IQ_INFERRED_RESOURCES_CALORIFIC_VALUE_STEAM" hidden="1">"c9779"</definedName>
    <definedName name="IQ_INFERRED_RESOURCES_GRADE_ALUM" hidden="1">"c9229"</definedName>
    <definedName name="IQ_INFERRED_RESOURCES_GRADE_COP" hidden="1">"c9173"</definedName>
    <definedName name="IQ_INFERRED_RESOURCES_GRADE_DIAM" hidden="1">"c9653"</definedName>
    <definedName name="IQ_INFERRED_RESOURCES_GRADE_GOLD" hidden="1">"c9014"</definedName>
    <definedName name="IQ_INFERRED_RESOURCES_GRADE_IRON" hidden="1">"c9388"</definedName>
    <definedName name="IQ_INFERRED_RESOURCES_GRADE_LEAD" hidden="1">"c9441"</definedName>
    <definedName name="IQ_INFERRED_RESOURCES_GRADE_MANG" hidden="1">"c9494"</definedName>
    <definedName name="IQ_INFERRED_RESOURCES_GRADE_MOLYB" hidden="1">"c9706"</definedName>
    <definedName name="IQ_INFERRED_RESOURCES_GRADE_NICK" hidden="1">"c9282"</definedName>
    <definedName name="IQ_INFERRED_RESOURCES_GRADE_PLAT" hidden="1">"c9120"</definedName>
    <definedName name="IQ_INFERRED_RESOURCES_GRADE_SILVER" hidden="1">"c9067"</definedName>
    <definedName name="IQ_INFERRED_RESOURCES_GRADE_TITAN" hidden="1">"c9547"</definedName>
    <definedName name="IQ_INFERRED_RESOURCES_GRADE_URAN" hidden="1">"c9600"</definedName>
    <definedName name="IQ_INFERRED_RESOURCES_GRADE_ZINC" hidden="1">"c9335"</definedName>
    <definedName name="IQ_INFLATION_CPI_APPAREL" hidden="1">"c20777"</definedName>
    <definedName name="IQ_INFLATION_CPI_EDUCATION" hidden="1">"c20778"</definedName>
    <definedName name="IQ_INFLATION_CPI_FOOD" hidden="1">"c20779"</definedName>
    <definedName name="IQ_INFLATION_CPI_HOUSING" hidden="1">"c20780"</definedName>
    <definedName name="IQ_INFLATION_CPI_MEDICAL" hidden="1">"c20781"</definedName>
    <definedName name="IQ_INFLATION_CPI_OTHER" hidden="1">"c20782"</definedName>
    <definedName name="IQ_INFLATION_CPI_RECREATION" hidden="1">"c20783"</definedName>
    <definedName name="IQ_INFLATION_CPI_TRANSPORTATION" hidden="1">"c20784"</definedName>
    <definedName name="IQ_INFLATION_CPI_TRANSPORTATION_PUBLIC" hidden="1">"c20785"</definedName>
    <definedName name="IQ_INFLATION_CPI_URBAN_ALL" hidden="1">"c20786"</definedName>
    <definedName name="IQ_INFLATION_PPI_FINISHED_GOODS" hidden="1">"c20787"</definedName>
    <definedName name="IQ_INFLATION_PPI_FINISHED_GOODS_EX_FOOD_ENERGY" hidden="1">"c20788"</definedName>
    <definedName name="IQ_INFLATION_RATE" hidden="1">"c6899"</definedName>
    <definedName name="IQ_INFLATION_RATE_CORE" hidden="1">"c11783"</definedName>
    <definedName name="IQ_INFLATION_RATE_CORE_POP" hidden="1">"c11784"</definedName>
    <definedName name="IQ_INFLATION_RATE_CORE_YOY" hidden="1">"c11785"</definedName>
    <definedName name="IQ_INFLATION_RATE_FC" hidden="1">"c7779"</definedName>
    <definedName name="IQ_INFLATION_RATE_POP" hidden="1">"c7119"</definedName>
    <definedName name="IQ_INFLATION_RATE_POP_FC" hidden="1">"c7999"</definedName>
    <definedName name="IQ_INFLATION_RATE_YOY" hidden="1">"c7339"</definedName>
    <definedName name="IQ_INFLATION_RATE_YOY_FC" hidden="1">"c8219"</definedName>
    <definedName name="IQ_INITIAL_CLAIMS" hidden="1">"c6900"</definedName>
    <definedName name="IQ_INITIAL_CLAIMS_APR" hidden="1">"c7560"</definedName>
    <definedName name="IQ_INITIAL_CLAIMS_APR_FC" hidden="1">"c8440"</definedName>
    <definedName name="IQ_INITIAL_CLAIMS_FC" hidden="1">"c7780"</definedName>
    <definedName name="IQ_INITIAL_CLAIMS_POP" hidden="1">"c7120"</definedName>
    <definedName name="IQ_INITIAL_CLAIMS_POP_FC" hidden="1">"c8000"</definedName>
    <definedName name="IQ_INITIAL_TRANSACTION" hidden="1">"c18885"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CM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SUPPLE" hidden="1">"c13814"</definedName>
    <definedName name="IQ_INS_SETTLE_UTI" hidden="1">"c576"</definedName>
    <definedName name="IQ_INSIDER_3MTH_BOUGHT" hidden="1">"c1534"</definedName>
    <definedName name="IQ_INSIDER_3MTH_BOUGHT_PCT" hidden="1">"c1534"</definedName>
    <definedName name="IQ_INSIDER_3MTH_NET" hidden="1">"c1535"</definedName>
    <definedName name="IQ_INSIDER_3MTH_NET_PCT" hidden="1">"c1535"</definedName>
    <definedName name="IQ_INSIDER_3MTH_SOLD" hidden="1">"c1533"</definedName>
    <definedName name="IQ_INSIDER_3MTH_SOLD_PCT" hidden="1">"c1533"</definedName>
    <definedName name="IQ_INSIDER_6MTH_BOUGHT" hidden="1">"c1537"</definedName>
    <definedName name="IQ_INSIDER_6MTH_BOUGHT_PCT" hidden="1">"c1537"</definedName>
    <definedName name="IQ_INSIDER_6MTH_NET" hidden="1">"c1538"</definedName>
    <definedName name="IQ_INSIDER_6MTH_NET_PCT" hidden="1">"c1538"</definedName>
    <definedName name="IQ_INSIDER_6MTH_SOLD" hidden="1">"c1536"</definedName>
    <definedName name="IQ_INSIDER_6MTH_SOLD_PCT" hidden="1">"c1536"</definedName>
    <definedName name="IQ_INSIDER_AMOUNT" hidden="1">"c238"</definedName>
    <definedName name="IQ_INSIDER_CIQID" hidden="1">"c19101"</definedName>
    <definedName name="IQ_INSIDER_DERIVATIVES" hidden="1">"c19102"</definedName>
    <definedName name="IQ_INSIDER_LOANS_FDIC" hidden="1">"c6365"</definedName>
    <definedName name="IQ_INSIDER_NAME" hidden="1">"c19100"</definedName>
    <definedName name="IQ_INSIDER_OVER_TOTAL" hidden="1">"c1581"</definedName>
    <definedName name="IQ_INSIDER_OWNER" hidden="1">"c577"</definedName>
    <definedName name="IQ_INSIDER_PERCENT" hidden="1">"c578"</definedName>
    <definedName name="IQ_INSIDER_POSITION_DATE" hidden="1">"c19104"</definedName>
    <definedName name="IQ_INSIDER_SHARES" hidden="1">"c579"</definedName>
    <definedName name="IQ_INSIDER_VALUE" hidden="1">"c19103"</definedName>
    <definedName name="IQ_INST_DEPOSITS" hidden="1">"c89"</definedName>
    <definedName name="IQ_INSTITUTION_TYPE" hidden="1">"c24730"</definedName>
    <definedName name="IQ_INSTITUTIONAL_AMOUNT" hidden="1">"c236"</definedName>
    <definedName name="IQ_INSTITUTIONAL_CIQID" hidden="1">"c19106"</definedName>
    <definedName name="IQ_INSTITUTIONAL_DERIVATIVES" hidden="1">"c19107"</definedName>
    <definedName name="IQ_INSTITUTIONAL_NAME" hidden="1">"c19105"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POSITION_DATE" hidden="1">"c19109"</definedName>
    <definedName name="IQ_INSTITUTIONAL_SHARES" hidden="1">"c582"</definedName>
    <definedName name="IQ_INSTITUTIONAL_VALUE" hidden="1">"c19108"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REINSURANCE_UNDERWRITING_INCOME_FFIEC" hidden="1">"c13008"</definedName>
    <definedName name="IQ_INSURANCE_REV_OPERATING_INC_FFIEC" hidden="1">"c13387"</definedName>
    <definedName name="IQ_INSURANCE_UNDERWRITING_INCOME_FDIC" hidden="1">"c6671"</definedName>
    <definedName name="IQ_INSURED_GUARANTEED_AGENCY_US_SPONSORED_ENTERPRISE_THRIFT" hidden="1">"c24830"</definedName>
    <definedName name="IQ_INT_ADVANCES_FHLB_THRIFT" hidden="1">"c24759"</definedName>
    <definedName name="IQ_INT_BEARING_DEPOSITS" hidden="1">"c1166"</definedName>
    <definedName name="IQ_INT_BEARING_FUNDS_AVG_ASSETS_FFIEC" hidden="1">"c13355"</definedName>
    <definedName name="IQ_INT_BEARING_LIABILITIES_REPRICE_ASSETS_TOT_FFIEC" hidden="1">"c13452"</definedName>
    <definedName name="IQ_INT_BORROW" hidden="1">"c583"</definedName>
    <definedName name="IQ_INT_COMM_LOANS_LEASES_THRIFT" hidden="1">"c24748"</definedName>
    <definedName name="IQ_INT_CONSUMER_LOANS_LEASES_THRIFT" hidden="1">"c24749"</definedName>
    <definedName name="IQ_INT_DEMAND_NOTES_FDIC" hidden="1">"c6567"</definedName>
    <definedName name="IQ_INT_DEPOSITS" hidden="1">"c584"</definedName>
    <definedName name="IQ_INT_DEPOSITS_DOM_FFIEC" hidden="1">"c12852"</definedName>
    <definedName name="IQ_INT_DEPOSITS_DOM_QUARTERLY_AVG_FFIEC" hidden="1">"c13088"</definedName>
    <definedName name="IQ_INT_DEPOSITS_FOREIGN_FFIEC" hidden="1">"c12855"</definedName>
    <definedName name="IQ_INT_DEPOSITS_FOREIGN_QUARTERLY_AVG_FFIEC" hidden="1">"c13089"</definedName>
    <definedName name="IQ_INT_DEPOSITS_INV_SEC_THRIFT" hidden="1">"c24745"</definedName>
    <definedName name="IQ_INT_DEPOSITS_THRIFT" hidden="1">"c24757"</definedName>
    <definedName name="IQ_INT_DIV_INC" hidden="1">"c585"</definedName>
    <definedName name="IQ_INT_DIV_INC_MBS_FFIEC" hidden="1">"c12984"</definedName>
    <definedName name="IQ_INT_DIV_INC_SECURITIES_FFIEC" hidden="1">"c12982"</definedName>
    <definedName name="IQ_INT_DIV_INC_SECURITIES_OTHER_FFIEC" hidden="1">"c12985"</definedName>
    <definedName name="IQ_INT_DIV_INC_TREASURY_SECURITIES_FFIEC" hidden="1">"c12983"</definedName>
    <definedName name="IQ_INT_DOMESTIC_DEPOSITS_FDIC" hidden="1">"c6564"</definedName>
    <definedName name="IQ_INT_EARNING_DEPOSITS_FHLBS_THRIFT" hidden="1">"c24819"</definedName>
    <definedName name="IQ_INT_ESCROWS_THRIFT" hidden="1">"c24758"</definedName>
    <definedName name="IQ_INT_EXP_AVG_ASSETS_FFIEC" hidden="1">"c13357"</definedName>
    <definedName name="IQ_INT_EXP_AVG_ASSETS_THRIFT" hidden="1">"c25648"</definedName>
    <definedName name="IQ_INT_EXP_AVG_EARNING_ASSETS_THRIFT" hidden="1">"c25667"</definedName>
    <definedName name="IQ_INT_EXP_BR" hidden="1">"c586"</definedName>
    <definedName name="IQ_INT_EXP_CM" hidden="1">"c586"</definedName>
    <definedName name="IQ_INT_EXP_COVERAGE" hidden="1">"c587"</definedName>
    <definedName name="IQ_INT_EXP_EARNING_ASSETS_FFIEC" hidden="1">"c13376"</definedName>
    <definedName name="IQ_INT_EXP_FED_FUNDS_PURCHASED_FFIEC" hidden="1">"c12996"</definedName>
    <definedName name="IQ_INT_EXP_FIN" hidden="1">"c588"</definedName>
    <definedName name="IQ_INT_EXP_FULLY_INSURED_BROKERED_DEPOSITS_THRIFT" hidden="1">"c24982"</definedName>
    <definedName name="IQ_INT_EXP_INCL_CAP" hidden="1">"c2988"</definedName>
    <definedName name="IQ_INT_EXP_INS" hidden="1">"c589"</definedName>
    <definedName name="IQ_INT_EXP_LTD" hidden="1">"c2086"</definedName>
    <definedName name="IQ_INT_EXP_OTHER_BROKERED_DEPOSITS_THRIFT" hidden="1">"c24983"</definedName>
    <definedName name="IQ_INT_EXP_RE" hidden="1">"c6224"</definedName>
    <definedName name="IQ_INT_EXP_REIT" hidden="1">"c590"</definedName>
    <definedName name="IQ_INT_EXP_TOTAL" hidden="1">"c591"</definedName>
    <definedName name="IQ_INT_EXP_TOTAL_BNK_SUBTOTAL_AP" hidden="1">"c8977"</definedName>
    <definedName name="IQ_INT_EXP_TOTAL_FDIC" hidden="1">"c6569"</definedName>
    <definedName name="IQ_INT_EXP_UTI" hidden="1">"c592"</definedName>
    <definedName name="IQ_INT_EXPENSE_AVG_ASSET" hidden="1">"c15705"</definedName>
    <definedName name="IQ_INT_FED_FUNDS_FDIC" hidden="1">"c6566"</definedName>
    <definedName name="IQ_INT_FEE_INC_ACCEPTANCE_OTHER_BANKS_DOM_FFIEC" hidden="1">"c15357"</definedName>
    <definedName name="IQ_INT_FEE_INC_AGRICULTURE_LOANS_FARMERS_DOM_FFIEC" hidden="1">"c15355"</definedName>
    <definedName name="IQ_INT_FEE_INC_COMM_IND_LOANS_DOM_FFIEC" hidden="1">"c15356"</definedName>
    <definedName name="IQ_INT_FEE_INC_CREDIT_CARDS_DOM_FFIEC" hidden="1">"c15358"</definedName>
    <definedName name="IQ_INT_FEE_INC_DEPOSITORY_LOANS_DOM_FFIEC" hidden="1">"c15354"</definedName>
    <definedName name="IQ_INT_FEE_INC_FOREIGN_GOVT_LOANS_DOM_FFIEC" hidden="1">"c15360"</definedName>
    <definedName name="IQ_INT_FEE_INC_INDIVIDUAL_LOANS_DOM_FFIEC" hidden="1">"c15359"</definedName>
    <definedName name="IQ_INT_FEE_INC_LOANS_1_4_DOM_FFIEC" hidden="1">"c12976"</definedName>
    <definedName name="IQ_INT_FEE_INC_LOANS_DOM_FFIEC" hidden="1">"c13335"</definedName>
    <definedName name="IQ_INT_FEE_INC_LOANS_FOREIGN_FFIEC" hidden="1">"c12979"</definedName>
    <definedName name="IQ_INT_FEE_INC_LOANS_OTHER_DOM_FFIEC" hidden="1">"c12978"</definedName>
    <definedName name="IQ_INT_FEE_INC_RE_LOANS_DOM_FFIEC" hidden="1">"c15353"</definedName>
    <definedName name="IQ_INT_FEE_INC_SECURED_RE_DOM_FFIEC" hidden="1">"c12977"</definedName>
    <definedName name="IQ_INT_FEE_INC_TAX_EXEMPT_OBLIGATIONS_DOM_FFIEC" hidden="1">"c15362"</definedName>
    <definedName name="IQ_INT_FEE_INC_TAXABLE_OBLIGATIONS_DOM_FFIEC" hidden="1">"c15361"</definedName>
    <definedName name="IQ_INT_FEE_INCOME_FFIEC" hidden="1">"c12974"</definedName>
    <definedName name="IQ_INT_FOREIGN_DEPOSITS_FDIC" hidden="1">"c6565"</definedName>
    <definedName name="IQ_INT_INC_AVG_ASSETS_FFIEC" hidden="1">"c13356"</definedName>
    <definedName name="IQ_INT_INC_BR" hidden="1">"c593"</definedName>
    <definedName name="IQ_INT_INC_CM" hidden="1">"c593"</definedName>
    <definedName name="IQ_INT_INC_DEPOSITORY_INST_FDIC" hidden="1">"c6558"</definedName>
    <definedName name="IQ_INT_INC_DOM_LOANS_FDIC" hidden="1">"c6555"</definedName>
    <definedName name="IQ_INT_INC_DUE_DEPOSITORY_INSTITUTIONS_FFIEC" hidden="1">"c12981"</definedName>
    <definedName name="IQ_INT_INC_EARNING_ASSETS_FFIEC" hidden="1">"c13375"</definedName>
    <definedName name="IQ_INT_INC_FED_FUNDS_FDIC" hidden="1">"c6561"</definedName>
    <definedName name="IQ_INT_INC_FED_FUNDS_SOLD_FFIEC" hidden="1">"c12987"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" hidden="1">"c6225"</definedName>
    <definedName name="IQ_INT_INC_REIT" hidden="1">"c597"</definedName>
    <definedName name="IQ_INT_INC_SECURITIES_FDIC" hidden="1">"c6559"</definedName>
    <definedName name="IQ_INT_INC_TE_AVG_ASSETS_FFIEC" hidden="1">"c13358"</definedName>
    <definedName name="IQ_INT_INC_TE_EARNING_ASSETS_FFIEC" hidden="1">"c13377"</definedName>
    <definedName name="IQ_INT_INC_TOTAL" hidden="1">"c598"</definedName>
    <definedName name="IQ_INT_INC_TOTAL_BNK_SUBTOTAL_AP" hidden="1">"c8976"</definedName>
    <definedName name="IQ_INT_INC_TOTAL_FDIC" hidden="1">"c6563"</definedName>
    <definedName name="IQ_INT_INC_TRADING_ACCOUNTS_FDIC" hidden="1">"c6560"</definedName>
    <definedName name="IQ_INT_INC_TRADING_ASSETS_FFIEC" hidden="1">"c12986"</definedName>
    <definedName name="IQ_INT_INC_UTI" hidden="1">"c599"</definedName>
    <definedName name="IQ_INT_INCOME_AVG_ASSET" hidden="1">"c15704"</definedName>
    <definedName name="IQ_INT_INCOME_AVG_ASSETS_THRIFT" hidden="1">"c25647"</definedName>
    <definedName name="IQ_INT_INCOME_AVG_EARNING_ASSETS_THRIFT" hidden="1">"c25666"</definedName>
    <definedName name="IQ_INT_INCOME_FTE_AVG_ASSETS_FFIEC" hidden="1">"c13856"</definedName>
    <definedName name="IQ_INT_INCOME_FTE_AVG_EARNING_ASSETS_FFIEC" hidden="1">"c13857"</definedName>
    <definedName name="IQ_INT_INCOME_FTE_FFIEC" hidden="1">"c13852"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MBS_THRIFT" hidden="1">"c24746"</definedName>
    <definedName name="IQ_INT_MORTGAGE_COLLATERALIZED_SEC_THRIFT" hidden="1">"c24761"</definedName>
    <definedName name="IQ_INT_MORTGAGE_LOANS_THRIFT" hidden="1">"c24747"</definedName>
    <definedName name="IQ_INT_ON_BORROWING_COVERAGE" hidden="1">"c603"</definedName>
    <definedName name="IQ_INT_ON_DEPOSITS_DOM_FFIEC" hidden="1">"c12991"</definedName>
    <definedName name="IQ_INT_ON_DEPOSITS_FFIEC" hidden="1">"c12990"</definedName>
    <definedName name="IQ_INT_ON_DEPOSITS_FOREIGN_FFIEC" hidden="1">"c12995"</definedName>
    <definedName name="IQ_INT_ONLY_STRIP_RECEIVABLES_OTHER_INSTRUMENTS_THRIFT" hidden="1">"c24891"</definedName>
    <definedName name="IQ_INT_OTHER_BORROWINGS_THRIFT" hidden="1">"c24762"</definedName>
    <definedName name="IQ_INT_RATE_EXPOSURE_FFIEC" hidden="1">"c13058"</definedName>
    <definedName name="IQ_INT_RATE_SPREAD" hidden="1">"c604"</definedName>
    <definedName name="IQ_INT_SAVINGS_DEPOSITS_MMDA_DOM_FFIEC" hidden="1">"c15364"</definedName>
    <definedName name="IQ_INT_SUB_DEBT_THRIFT" hidden="1">"c24760"</definedName>
    <definedName name="IQ_INT_SUB_NOTES_FDIC" hidden="1">"c6568"</definedName>
    <definedName name="IQ_INT_SUB_NOTES_FFIEC" hidden="1">"c12998"</definedName>
    <definedName name="IQ_INT_TIME_DEPOSITS_LESS_THAN_100K_DOM_FFIEC" hidden="1">"c12993"</definedName>
    <definedName name="IQ_INT_TIME_DEPOSITS_MORE_THAN_100K_DOM_FFIEC" hidden="1">"c12992"</definedName>
    <definedName name="IQ_INT_TRADING_LIABILITIES_FFIEC" hidden="1">"c12997"</definedName>
    <definedName name="IQ_INT_TRANSACTION_ACCOUNTS_DOM_FFIEC" hidden="1">"c15363"</definedName>
    <definedName name="IQ_INT_YIELD_DEPOSITS_INV_SEC_THRIFT" hidden="1">"c25679"</definedName>
    <definedName name="IQ_INT_YIELD_MBS_THRIFT" hidden="1">"c25678"</definedName>
    <definedName name="IQ_INTANGIBLE_ASSETS_ADJUSTED_ASSETS_THRIFT" hidden="1">"c25036"</definedName>
    <definedName name="IQ_INTANGIBLE_ASSETS_T1_THRIFT" hidden="1">"c25027"</definedName>
    <definedName name="IQ_INTANGIBLES_NET" localSheetId="7" hidden="1">"c1407"</definedName>
    <definedName name="IQ_INTANGIBLES_NET" localSheetId="8" hidden="1">"c1407"</definedName>
    <definedName name="IQ_INTANGIBLES_NET" hidden="1">"c1407"</definedName>
    <definedName name="IQ_INTEL_EPS_EST" hidden="1">"c24729"</definedName>
    <definedName name="IQ_INTERBANK_RATIO" hidden="1">"c19134"</definedName>
    <definedName name="IQ_INTEREST_ACCRUED_ON_DEPOSITS_DOM_FFIEC" hidden="1">"c15277"</definedName>
    <definedName name="IQ_INTEREST_BEARING_BALANCES_FDIC" hidden="1">"c6371"</definedName>
    <definedName name="IQ_INTEREST_BEARING_BALANCES_QUARTERLY_AVG_FFIEC" hidden="1">"c15467"</definedName>
    <definedName name="IQ_INTEREST_BEARING_CASH_FFIEC" hidden="1">"c15259"</definedName>
    <definedName name="IQ_INTEREST_BEARING_CASH_FOREIGN_FFIEC" hidden="1">"c12776"</definedName>
    <definedName name="IQ_INTEREST_BEARING_CASH_US_FFIEC" hidden="1">"c12775"</definedName>
    <definedName name="IQ_INTEREST_BEARING_DEPOSITS_ALL_OTHER_ACCOUNTS_THRIFT" hidden="1">"c25424"</definedName>
    <definedName name="IQ_INTEREST_BEARING_DEPOSITS_DOMESTIC_FDIC" hidden="1">"c6478"</definedName>
    <definedName name="IQ_INTEREST_BEARING_DEPOSITS_EMPLOYEE_BENEFIT_RETIREMENT_RELATED_ACCOUNTS_THRIFT" hidden="1">"c25408"</definedName>
    <definedName name="IQ_INTEREST_BEARING_DEPOSITS_FDIC" hidden="1">"c6373"</definedName>
    <definedName name="IQ_INTEREST_BEARING_DEPOSITS_FOREIGN_FDIC" hidden="1">"c6485"</definedName>
    <definedName name="IQ_INTEREST_BEARING_DEPOSITS_PERSONAL_TRUST_AGENCY_INV_MANAGEMENT_AGENCY_ACCOUNTS_THRIFT_THRIFT" hidden="1">"c25392"</definedName>
    <definedName name="IQ_INTEREST_BEARING_TRANS_DOM_QUARTERLY_AVG_FFIEC" hidden="1">"c15484"</definedName>
    <definedName name="IQ_INTEREST_CASH_DEPOSITS" hidden="1">"c2255"</definedName>
    <definedName name="IQ_INTEREST_CREDITED_DEPOSITS_THRIFT" hidden="1">"c25344"</definedName>
    <definedName name="IQ_INTEREST_EXP" hidden="1">"c618"</definedName>
    <definedName name="IQ_INTEREST_EXP_NET" hidden="1">"c1450"</definedName>
    <definedName name="IQ_INTEREST_EXP_NON" localSheetId="7" hidden="1">"c1383"</definedName>
    <definedName name="IQ_INTEREST_EXP_NON" localSheetId="8" hidden="1">"c1383"</definedName>
    <definedName name="IQ_INTEREST_EXP_NON" hidden="1">"c1383"</definedName>
    <definedName name="IQ_INTEREST_EXP_SUPPL" hidden="1">"c1460"</definedName>
    <definedName name="IQ_INTEREST_INC" localSheetId="7" hidden="1">"c1393"</definedName>
    <definedName name="IQ_INTEREST_INC" localSheetId="8" hidden="1">"c1393"</definedName>
    <definedName name="IQ_INTEREST_INC" hidden="1">"c1393"</definedName>
    <definedName name="IQ_INTEREST_INC_10K" hidden="1">"IQ_INTEREST_INC_10K"</definedName>
    <definedName name="IQ_INTEREST_INC_10Q" hidden="1">"IQ_INTEREST_INC_10Q"</definedName>
    <definedName name="IQ_INTEREST_INC_10Q1" hidden="1">"IQ_INTEREST_INC_10Q1"</definedName>
    <definedName name="IQ_INTEREST_INC_NON" localSheetId="7" hidden="1">"c1384"</definedName>
    <definedName name="IQ_INTEREST_INC_NON" localSheetId="8" hidden="1">"c1384"</definedName>
    <definedName name="IQ_INTEREST_INC_NON" hidden="1">"c1384"</definedName>
    <definedName name="IQ_INTEREST_INVEST_INC" hidden="1">"c619"</definedName>
    <definedName name="IQ_INTEREST_LT_DEBT" hidden="1">"c2086"</definedName>
    <definedName name="IQ_INTEREST_PENALTIES_RECOG_BS_AFTER_TAX" hidden="1">"c15745"</definedName>
    <definedName name="IQ_INTEREST_PENALTIES_RECOG_BS_PRE_TAX" hidden="1">"c15744"</definedName>
    <definedName name="IQ_INTEREST_PENALTIES_RECOG_IS_AFTER_TAX" hidden="1">"c15743"</definedName>
    <definedName name="IQ_INTEREST_PENALTIES_RECOG_IS_PRE_TAX" hidden="1">"c15742"</definedName>
    <definedName name="IQ_INTEREST_RATE_CONTRACTS_FDIC" hidden="1">"c6512"</definedName>
    <definedName name="IQ_INTEREST_RATE_EXPOSURES_FDIC" hidden="1">"c6662"</definedName>
    <definedName name="IQ_INTERNAL_ALLOCATIONS_INC_EXP_FOREIGN_FFIEC" hidden="1">"c15394"</definedName>
    <definedName name="IQ_INTRACO_INC_CREDITS_FIDUCIARY_RELATED_SERVICES_THRIFT" hidden="1">"c24814"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IN_UNREGISTERED_FUNDS_PRIVATE_EQUITY_INV_ALL_OTHER_ACCOUNTS_THRIFT" hidden="1">"c25433"</definedName>
    <definedName name="IQ_INV_IN_UNREGISTERED_FUNDS_PRIVATE_EQUITY_INV_EMPLOYEE_BENEFIT_RETIREMENT_RELATED_ACCOUNTS_THRIFT" hidden="1">"c25417"</definedName>
    <definedName name="IQ_INV_IN_UNREGISTERED_FUNDS_PRIVATE_EQUITY_INV_PERSONAL_TRUST_AGENCY_INV_MANAGEMENT_ACCOUNTS_THRIFT" hidden="1">"c25401"</definedName>
    <definedName name="IQ_INV_MANAGEMENT_INV_ADVISORY_AGENCY_ACCOUNTS_GROSS_LOSSES_MANAGED_ACCOUNTS_THRIFT" hidden="1">"c25463"</definedName>
    <definedName name="IQ_INV_MANAGEMENT_INV_ADVISORY_AGENCY_ACCOUNTS_GROSS_LOSSES_NONMANAGED_ACCOUNTS_THRIFT" hidden="1">"c25468"</definedName>
    <definedName name="IQ_INV_MANAGEMENT_INV_ADVISORY_AGENCY_ACCOUNTS_MANAGED_ASSETS_THRIFT" hidden="1">"c25353"</definedName>
    <definedName name="IQ_INV_MANAGEMENT_INV_ADVISORY_AGENCY_ACCOUNTS_NONMANAGED_ASSETS_THRIFT" hidden="1">"c25374"</definedName>
    <definedName name="IQ_INV_MANAGEMENT_INV_ADVISORY_AGENCY_ACCOUNTS_NUMBER_MANAGED_ACCOUNTS_THRIFT" hidden="1">"c25364"</definedName>
    <definedName name="IQ_INV_MANAGEMENT_INV_ADVISORY_AGENCY_ACCOUNTS_NUMBER_NONMANAGED_ACCOUNTS_THRIFT" hidden="1">"c25386"</definedName>
    <definedName name="IQ_INV_MANAGEMENT_INV_ADVISORY_AGENCY_ACCOUNTS_RECOVERIES_THRIFT" hidden="1">"c25473"</definedName>
    <definedName name="IQ_INV_METHOD" hidden="1">"c621"</definedName>
    <definedName name="IQ_INV_MGMT_ADVISORY_AGENCY_ACCOUNTS_INC_THRIFT" hidden="1">"c24806"</definedName>
    <definedName name="IQ_INV_NONCONTROLLING_INTERESTS_IN_SUBS_T1_THRIFT" hidden="1">"c25022"</definedName>
    <definedName name="IQ_INV_REL_ID" hidden="1">"c15220"</definedName>
    <definedName name="IQ_INV_REL_NAME" hidden="1">"c15219"</definedName>
    <definedName name="IQ_INV_SEC_TOTAL_ASSETS_THRIFT" hidden="1">"c25697"</definedName>
    <definedName name="IQ_INVENTORIES" hidden="1">"c6901"</definedName>
    <definedName name="IQ_INVENTORIES_APR" hidden="1">"c7561"</definedName>
    <definedName name="IQ_INVENTORIES_APR_FC" hidden="1">"c8441"</definedName>
    <definedName name="IQ_INVENTORIES_FC" hidden="1">"c7781"</definedName>
    <definedName name="IQ_INVENTORIES_POP" hidden="1">"c7121"</definedName>
    <definedName name="IQ_INVENTORIES_POP_FC" hidden="1">"c8001"</definedName>
    <definedName name="IQ_INVENTORIES_YOY" hidden="1">"c7341"</definedName>
    <definedName name="IQ_INVENTORIES_YOY_FC" hidden="1">"c8221"</definedName>
    <definedName name="IQ_INVENTORY" hidden="1">"c622"</definedName>
    <definedName name="IQ_INVENTORY_TURNS" hidden="1">"c623"</definedName>
    <definedName name="IQ_INVENTORY_UTI" hidden="1">"c624"</definedName>
    <definedName name="IQ_INVEST_BREAKUP_ASSET_MBS" hidden="1">"c17796"</definedName>
    <definedName name="IQ_INVEST_BREAKUP_COMMON" hidden="1">"c17687"</definedName>
    <definedName name="IQ_INVEST_BREAKUP_CORP_DEBT" hidden="1">"c17684"</definedName>
    <definedName name="IQ_INVEST_BREAKUP_CORP_EQUITY" hidden="1">"c17689"</definedName>
    <definedName name="IQ_INVEST_BREAKUP_NON_US_GOVT" hidden="1">"c17794"</definedName>
    <definedName name="IQ_INVEST_BREAKUP_NOT_CLASSIFIED" hidden="1">"c17690"</definedName>
    <definedName name="IQ_INVEST_BREAKUP_OTHER_FIXED" hidden="1">"c17685"</definedName>
    <definedName name="IQ_INVEST_BREAKUP_PREFERRED" hidden="1">"c17688"</definedName>
    <definedName name="IQ_INVEST_BREAKUP_PUBLIC_UTIL_DEBT" hidden="1">"c17683"</definedName>
    <definedName name="IQ_INVEST_BREAKUP_STATE_MUNI" hidden="1">"c17795"</definedName>
    <definedName name="IQ_INVEST_BREAKUP_TOTAL_FIXED" hidden="1">"c17686"</definedName>
    <definedName name="IQ_INVEST_BREAKUP_TOTAL_INVEST" hidden="1">"c17691"</definedName>
    <definedName name="IQ_INVEST_BREAKUP_US_GOVT" hidden="1">"c17793"</definedName>
    <definedName name="IQ_INVEST_CREDIT_QUAL_AMORT_TYPE_1" hidden="1">"c17785"</definedName>
    <definedName name="IQ_INVEST_CREDIT_QUAL_AMORT_TYPE_1_PCT" hidden="1">"c17844"</definedName>
    <definedName name="IQ_INVEST_CREDIT_QUAL_AMORT_TYPE_2" hidden="1">"c17786"</definedName>
    <definedName name="IQ_INVEST_CREDIT_QUAL_AMORT_TYPE_2_PCT" hidden="1">"c17845"</definedName>
    <definedName name="IQ_INVEST_CREDIT_QUAL_AMORT_TYPE_3" hidden="1">"c17787"</definedName>
    <definedName name="IQ_INVEST_CREDIT_QUAL_AMORT_TYPE_3_PCT" hidden="1">"c17846"</definedName>
    <definedName name="IQ_INVEST_CREDIT_QUAL_AMORT_TYPE_4" hidden="1">"c17788"</definedName>
    <definedName name="IQ_INVEST_CREDIT_QUAL_AMORT_TYPE_4_PCT" hidden="1">"c17847"</definedName>
    <definedName name="IQ_INVEST_CREDIT_QUAL_AMORT_TYPE_5" hidden="1">"c17789"</definedName>
    <definedName name="IQ_INVEST_CREDIT_QUAL_AMORT_TYPE_5_PCT" hidden="1">"c17848"</definedName>
    <definedName name="IQ_INVEST_CREDIT_QUAL_AMORT_TYPE_6" hidden="1">"c17790"</definedName>
    <definedName name="IQ_INVEST_CREDIT_QUAL_AMORT_TYPE_6_PCT" hidden="1">"c17849"</definedName>
    <definedName name="IQ_INVEST_CREDIT_QUAL_AMORT_TYPE_OTHER" hidden="1">"c17791"</definedName>
    <definedName name="IQ_INVEST_CREDIT_QUAL_AMORT_TYPE_OTHER_PCT" hidden="1">"c17850"</definedName>
    <definedName name="IQ_INVEST_CREDIT_QUAL_AMORT_TYPE_TOTAL_FIXED" hidden="1">"c17792"</definedName>
    <definedName name="IQ_INVEST_CREDIT_QUAL_CV_TYPE_1" hidden="1">"c17769"</definedName>
    <definedName name="IQ_INVEST_CREDIT_QUAL_CV_TYPE_1_PCT" hidden="1">"c17830"</definedName>
    <definedName name="IQ_INVEST_CREDIT_QUAL_CV_TYPE_2" hidden="1">"c17770"</definedName>
    <definedName name="IQ_INVEST_CREDIT_QUAL_CV_TYPE_2_PCT" hidden="1">"c17831"</definedName>
    <definedName name="IQ_INVEST_CREDIT_QUAL_CV_TYPE_3" hidden="1">"c17771"</definedName>
    <definedName name="IQ_INVEST_CREDIT_QUAL_CV_TYPE_3_PCT" hidden="1">"c17832"</definedName>
    <definedName name="IQ_INVEST_CREDIT_QUAL_CV_TYPE_4" hidden="1">"c17772"</definedName>
    <definedName name="IQ_INVEST_CREDIT_QUAL_CV_TYPE_4_PCT" hidden="1">"c17833"</definedName>
    <definedName name="IQ_INVEST_CREDIT_QUAL_CV_TYPE_5" hidden="1">"c17773"</definedName>
    <definedName name="IQ_INVEST_CREDIT_QUAL_CV_TYPE_5_PCT" hidden="1">"c17834"</definedName>
    <definedName name="IQ_INVEST_CREDIT_QUAL_CV_TYPE_6" hidden="1">"c17774"</definedName>
    <definedName name="IQ_INVEST_CREDIT_QUAL_CV_TYPE_6_PCT" hidden="1">"c17835"</definedName>
    <definedName name="IQ_INVEST_CREDIT_QUAL_CV_TYPE_OTHER" hidden="1">"c17775"</definedName>
    <definedName name="IQ_INVEST_CREDIT_QUAL_CV_TYPE_OTHER_PCT" hidden="1">"c17836"</definedName>
    <definedName name="IQ_INVEST_CREDIT_QUAL_CV_TYPE_TOTAL_FIXED" hidden="1">"c17776"</definedName>
    <definedName name="IQ_INVEST_CREDIT_QUAL_FV_TYPE_1" hidden="1">"c17777"</definedName>
    <definedName name="IQ_INVEST_CREDIT_QUAL_FV_TYPE_1_PCT" hidden="1">"c17837"</definedName>
    <definedName name="IQ_INVEST_CREDIT_QUAL_FV_TYPE_2" hidden="1">"c17778"</definedName>
    <definedName name="IQ_INVEST_CREDIT_QUAL_FV_TYPE_2_PCT" hidden="1">"c17838"</definedName>
    <definedName name="IQ_INVEST_CREDIT_QUAL_FV_TYPE_3" hidden="1">"c17779"</definedName>
    <definedName name="IQ_INVEST_CREDIT_QUAL_FV_TYPE_3_PCT" hidden="1">"c17839"</definedName>
    <definedName name="IQ_INVEST_CREDIT_QUAL_FV_TYPE_4" hidden="1">"c17780"</definedName>
    <definedName name="IQ_INVEST_CREDIT_QUAL_FV_TYPE_4_PCT" hidden="1">"c17840"</definedName>
    <definedName name="IQ_INVEST_CREDIT_QUAL_FV_TYPE_5" hidden="1">"c17781"</definedName>
    <definedName name="IQ_INVEST_CREDIT_QUAL_FV_TYPE_5_PCT" hidden="1">"c17841"</definedName>
    <definedName name="IQ_INVEST_CREDIT_QUAL_FV_TYPE_6" hidden="1">"c17782"</definedName>
    <definedName name="IQ_INVEST_CREDIT_QUAL_FV_TYPE_6_PCT" hidden="1">"c17842"</definedName>
    <definedName name="IQ_INVEST_CREDIT_QUAL_FV_TYPE_OTHER" hidden="1">"c17783"</definedName>
    <definedName name="IQ_INVEST_CREDIT_QUAL_FV_TYPE_OTHER_PCT" hidden="1">"c17843"</definedName>
    <definedName name="IQ_INVEST_CREDIT_QUAL_FV_TYPE_TOTAL_FIXED" hidden="1">"c17784"</definedName>
    <definedName name="IQ_INVEST_CRITERIA_EBITDA_MAX" hidden="1">"c18907"</definedName>
    <definedName name="IQ_INVEST_CRITERIA_EBITDA_MIN" hidden="1">"c18906"</definedName>
    <definedName name="IQ_INVEST_CRITERIA_EQUITY_MAX" hidden="1">"c18901"</definedName>
    <definedName name="IQ_INVEST_CRITERIA_EQUITY_MIN" hidden="1">"c18900"</definedName>
    <definedName name="IQ_INVEST_CRITERIA_EV_MAX" hidden="1">"c18903"</definedName>
    <definedName name="IQ_INVEST_CRITERIA_EV_MIN" hidden="1">"c18902"</definedName>
    <definedName name="IQ_INVEST_CRITERIA_GEOGRAPHY" hidden="1">"c18898"</definedName>
    <definedName name="IQ_INVEST_CRITERIA_INDUSTRY" hidden="1">"c18897"</definedName>
    <definedName name="IQ_INVEST_CRITERIA_STAGES" hidden="1">"c18899"</definedName>
    <definedName name="IQ_INVEST_CRITERIA_TOT_REV_MAX" hidden="1">"c18905"</definedName>
    <definedName name="IQ_INVEST_CRITERIA_TOT_REV_MIN" hidden="1">"c18904"</definedName>
    <definedName name="IQ_INVEST_DEBT" hidden="1">"c625"</definedName>
    <definedName name="IQ_INVEST_DETAIL_AVAIL_SALE" hidden="1">"c17692"</definedName>
    <definedName name="IQ_INVEST_DETAIL_AVAIL_SALE_AMORT" hidden="1">"c17810"</definedName>
    <definedName name="IQ_INVEST_DETAIL_HELD_MATURITY" hidden="1">"c17807"</definedName>
    <definedName name="IQ_INVEST_DETAIL_OTHER" hidden="1">"c17809"</definedName>
    <definedName name="IQ_INVEST_DETAIL_TRADING" hidden="1">"c17808"</definedName>
    <definedName name="IQ_INVEST_DETAIL_TRADING_AMORT" hidden="1">"c17811"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CM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AT_AMORT_1_5_YR" hidden="1">"c17764"</definedName>
    <definedName name="IQ_INVEST_MAT_AMORT_1_5_YR_PCT" hidden="1">"c17825"</definedName>
    <definedName name="IQ_INVEST_MAT_AMORT_1_YR" hidden="1">"c17763"</definedName>
    <definedName name="IQ_INVEST_MAT_AMORT_1_YR_PCT" hidden="1">"c17824"</definedName>
    <definedName name="IQ_INVEST_MAT_AMORT_5_10_YR" hidden="1">"c17765"</definedName>
    <definedName name="IQ_INVEST_MAT_AMORT_5_10_YR_PCT" hidden="1">"c17826"</definedName>
    <definedName name="IQ_INVEST_MAT_AMORT_AFTER_10_YR" hidden="1">"c17766"</definedName>
    <definedName name="IQ_INVEST_MAT_AMORT_AFTER_10_YR_PCT" hidden="1">"c17827"</definedName>
    <definedName name="IQ_INVEST_MAT_AMORT_ASSET_MBS" hidden="1">"c17767"</definedName>
    <definedName name="IQ_INVEST_MAT_AMORT_ASSET_MBS_PCT" hidden="1">"c17828"</definedName>
    <definedName name="IQ_INVEST_MAT_AMORT_OTHER_FIXED" hidden="1">"c17768"</definedName>
    <definedName name="IQ_INVEST_MAT_AMORT_OTHER_FIXED_PCT" hidden="1">"c17829"</definedName>
    <definedName name="IQ_INVEST_MAT_CV_1_5_YR" hidden="1">"c17752"</definedName>
    <definedName name="IQ_INVEST_MAT_CV_1_5_YR_PCT" hidden="1">"c17813"</definedName>
    <definedName name="IQ_INVEST_MAT_CV_1_YR" hidden="1">"c17751"</definedName>
    <definedName name="IQ_INVEST_MAT_CV_1_YR_PCT" hidden="1">"c17812"</definedName>
    <definedName name="IQ_INVEST_MAT_CV_5_10_YR" hidden="1">"c17753"</definedName>
    <definedName name="IQ_INVEST_MAT_CV_5_10_YR_PCT" hidden="1">"c17814"</definedName>
    <definedName name="IQ_INVEST_MAT_CV_AFTER_10_YR" hidden="1">"c17754"</definedName>
    <definedName name="IQ_INVEST_MAT_CV_AFTER_10_YR_PCT" hidden="1">"c17815"</definedName>
    <definedName name="IQ_INVEST_MAT_CV_ASSET_MBS" hidden="1">"c17755"</definedName>
    <definedName name="IQ_INVEST_MAT_CV_ASSET_MBS_PCT" hidden="1">"c17816"</definedName>
    <definedName name="IQ_INVEST_MAT_CV_OTHER_FIXED" hidden="1">"c17756"</definedName>
    <definedName name="IQ_INVEST_MAT_CV_OTHER_FIXED_PCT" hidden="1">"c17817"</definedName>
    <definedName name="IQ_INVEST_MAT_FV_1_5_YR" hidden="1">"c17758"</definedName>
    <definedName name="IQ_INVEST_MAT_FV_1_5_YR_PCT" hidden="1">"c17819"</definedName>
    <definedName name="IQ_INVEST_MAT_FV_1_YR" hidden="1">"c17757"</definedName>
    <definedName name="IQ_INVEST_MAT_FV_1_YR_PCT" hidden="1">"c17818"</definedName>
    <definedName name="IQ_INVEST_MAT_FV_5_10_YR" hidden="1">"c17759"</definedName>
    <definedName name="IQ_INVEST_MAT_FV_5_10_YR_PCT" hidden="1">"c17820"</definedName>
    <definedName name="IQ_INVEST_MAT_FV_AFTER_10_YR" hidden="1">"c17760"</definedName>
    <definedName name="IQ_INVEST_MAT_FV_AFTER_10_YR_PCT" hidden="1">"c17821"</definedName>
    <definedName name="IQ_INVEST_MAT_FV_ASSET_MBS" hidden="1">"c17761"</definedName>
    <definedName name="IQ_INVEST_MAT_FV_ASSET_MBS_PCT" hidden="1">"c17822"</definedName>
    <definedName name="IQ_INVEST_MAT_FV_OTHER_FIXED" hidden="1">"c17762"</definedName>
    <definedName name="IQ_INVEST_MAT_FV_OTHER_FIXED_PCT" hidden="1">"c17823"</definedName>
    <definedName name="IQ_INVEST_MUNI_SECURITY" hidden="1">"c5512"</definedName>
    <definedName name="IQ_INVEST_REAL_ESTATE" hidden="1">"c635"</definedName>
    <definedName name="IQ_INVEST_SECURITIES_ASSETS_TOT_FFIEC" hidden="1">"c13440"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CM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NVEST_UNCONSOLIDATED_SUBS_FFIEC" hidden="1">"c12834"</definedName>
    <definedName name="IQ_INVESTMENT_ADVISOR" hidden="1">"c19236"</definedName>
    <definedName name="IQ_INVESTMENT_ADVISOR_ID" hidden="1">"c19237"</definedName>
    <definedName name="IQ_INVESTMENT_ADVISOR_PRIMARY" hidden="1">"c19239"</definedName>
    <definedName name="IQ_INVESTMENT_ADVISOR_PRIMARY_ID" hidden="1">"c19240"</definedName>
    <definedName name="IQ_INVESTMENT_ADVISOR_REL" hidden="1">"c19238"</definedName>
    <definedName name="IQ_INVESTMENT_BANKING_BROKERAGE_FEES_FFIEC" hidden="1">"c13627"</definedName>
    <definedName name="IQ_INVESTMENT_BANKING_FEES_COMMISSIONS_FFIEC" hidden="1">"c13006"</definedName>
    <definedName name="IQ_INVESTMENT_BANKING_OTHER_FEES_FDIC" hidden="1">"c6666"</definedName>
    <definedName name="IQ_INVESTMENT_PARTNERSHIP" hidden="1">"c16072"</definedName>
    <definedName name="IQ_INVESTMENTS_ALL" hidden="1">"c18891"</definedName>
    <definedName name="IQ_INVESTMENTS_ALL_COVER" hidden="1">"c19112"</definedName>
    <definedName name="IQ_INVESTMENTS_ALL_ID" hidden="1">"c18892"</definedName>
    <definedName name="IQ_INVESTMENTS_ALL_REL" hidden="1">"c18894"</definedName>
    <definedName name="IQ_INVESTMENTS_ALL_STAKE" hidden="1">"c18893"</definedName>
    <definedName name="IQ_INVESTMENTS_CURR" hidden="1">"c18881"</definedName>
    <definedName name="IQ_INVESTMENTS_CURR_COVER" hidden="1">"c19110"</definedName>
    <definedName name="IQ_INVESTMENTS_CURR_ID" hidden="1">"c18882"</definedName>
    <definedName name="IQ_INVESTMENTS_CURR_REL" hidden="1">"c18884"</definedName>
    <definedName name="IQ_INVESTMENTS_CURR_STAKE" hidden="1">"c18883"</definedName>
    <definedName name="IQ_INVESTMENTS_LP" hidden="1">"c18912"</definedName>
    <definedName name="IQ_INVESTMENTS_LP_ID" hidden="1">"c18913"</definedName>
    <definedName name="IQ_INVESTMENTS_LP_REL" hidden="1">"c18914"</definedName>
    <definedName name="IQ_INVESTMENTS_PENDING" hidden="1">"c18887"</definedName>
    <definedName name="IQ_INVESTMENTS_PENDING_COVER" hidden="1">"c19111"</definedName>
    <definedName name="IQ_INVESTMENTS_PENDING_ID" hidden="1">"c18888"</definedName>
    <definedName name="IQ_INVESTMENTS_PENDING_REL" hidden="1">"c18890"</definedName>
    <definedName name="IQ_INVESTMENTS_PENDING_STAKE" hidden="1">"c18889"</definedName>
    <definedName name="IQ_INVESTMENTS_PRIOR" hidden="1">"c18895"</definedName>
    <definedName name="IQ_INVESTMENTS_PRIOR_ID" hidden="1">"c18896"</definedName>
    <definedName name="IQ_INVESTORS_ALL" hidden="1">"c20509"</definedName>
    <definedName name="IQ_INVESTORS_ALL_COVER" hidden="1">"c20510"</definedName>
    <definedName name="IQ_INVESTORS_ALL_ID" hidden="1">"C20508"</definedName>
    <definedName name="IQ_INVESTORS_ALL_REL" hidden="1">"c20511"</definedName>
    <definedName name="IQ_INVESTORS_ALL_STAKE" hidden="1">"c20512"</definedName>
    <definedName name="IQ_INVESTORS_CURR" hidden="1">"c20514"</definedName>
    <definedName name="IQ_INVESTORS_CURR_COVER" hidden="1">"c20515"</definedName>
    <definedName name="IQ_INVESTORS_CURR_ID" hidden="1">"c20513"</definedName>
    <definedName name="IQ_INVESTORS_CURR_RECENT_AMOUNT" hidden="1">"c20516"</definedName>
    <definedName name="IQ_INVESTORS_CURR_REL" hidden="1">"c20517"</definedName>
    <definedName name="IQ_INVESTORS_CURR_STAKE" hidden="1">"c20518"</definedName>
    <definedName name="IQ_INVESTORS_CURR_TRANSACTION_DATE" hidden="1">"c20519"</definedName>
    <definedName name="IQ_INVESTORS_CURR_TRANSACTION_ID" hidden="1">"c20520"</definedName>
    <definedName name="IQ_INVESTORS_PENDING" hidden="1">"c20522"</definedName>
    <definedName name="IQ_INVESTORS_PENDING_COVER" hidden="1">"c20523"</definedName>
    <definedName name="IQ_INVESTORS_PENDING_ID" hidden="1">"c20521"</definedName>
    <definedName name="IQ_INVESTORS_PENDING_REL" hidden="1">"c20524"</definedName>
    <definedName name="IQ_INVESTORS_PENDING_STAKE" hidden="1">"c20525"</definedName>
    <definedName name="IQ_INVESTORS_PRIOR" hidden="1">"c20526"</definedName>
    <definedName name="IQ_INVESTORS_PRIOR_ID" hidden="1">"c20527"</definedName>
    <definedName name="IQ_IPRD" hidden="1">"c644"</definedName>
    <definedName name="IQ_IPRD_SUPPLE" hidden="1">"c13813"</definedName>
    <definedName name="IQ_IRA_KEOGH_ACCOUNTS_FDIC" hidden="1">"c6496"</definedName>
    <definedName name="IQ_IRA_KEOGH_ACCOUNTS_GREATER_THAN_100000_INCLUDED_IN_TIME_DEPOSITS_THRIFT" hidden="1">"c25004"</definedName>
    <definedName name="IQ_IRA_KEOGH_ACCOUNTS_THRIFT" hidden="1">"c24994"</definedName>
    <definedName name="IQ_IRAS_HSAS_SIMILAR_ACCOUNTS_MANAGED_ASSETS_THRIFT" hidden="1">"c25351"</definedName>
    <definedName name="IQ_IRAS_HSAS_SIMILAR_ACCOUNTS_NONMANAGED_ASSETS_THRIFT" hidden="1">"c25372"</definedName>
    <definedName name="IQ_IRAS_HSAS_SIMILAR_ACCOUNTS_NUMBER_MANAGED_ACCOUNTS_THRIFT" hidden="1">"c25362"</definedName>
    <definedName name="IQ_IRAS_HSAS_SIMILAR_ACCOUNTS_NUMBER_NONMANAGED_ACCOUNTS_THRIFT" hidden="1">"c25384"</definedName>
    <definedName name="IQ_ISIN" hidden="1">"c12041"</definedName>
    <definedName name="IQ_ISM_INDEX" hidden="1">"c6902"</definedName>
    <definedName name="IQ_ISM_INDEX_APR" hidden="1">"c7562"</definedName>
    <definedName name="IQ_ISM_INDEX_APR_FC" hidden="1">"c8442"</definedName>
    <definedName name="IQ_ISM_INDEX_FC" hidden="1">"c7782"</definedName>
    <definedName name="IQ_ISM_INDEX_POP" hidden="1">"c7122"</definedName>
    <definedName name="IQ_ISM_INDEX_POP_FC" hidden="1">"c8002"</definedName>
    <definedName name="IQ_ISM_INDEX_YOY" hidden="1">"c7342"</definedName>
    <definedName name="IQ_ISM_INDEX_YOY_FC" hidden="1">"c8222"</definedName>
    <definedName name="IQ_ISM_SERVICES_APR_FC_UNUSED" hidden="1">"c8443"</definedName>
    <definedName name="IQ_ISM_SERVICES_APR_FC_UNUSED_UNUSED_UNUSED" hidden="1">"c8443"</definedName>
    <definedName name="IQ_ISM_SERVICES_APR_UNUSED" hidden="1">"c7563"</definedName>
    <definedName name="IQ_ISM_SERVICES_APR_UNUSED_UNUSED_UNUSED" hidden="1">"c7563"</definedName>
    <definedName name="IQ_ISM_SERVICES_FC_UNUSED" hidden="1">"c7783"</definedName>
    <definedName name="IQ_ISM_SERVICES_FC_UNUSED_UNUSED_UNUSED" hidden="1">"c7783"</definedName>
    <definedName name="IQ_ISM_SERVICES_INDEX" hidden="1">"c11862"</definedName>
    <definedName name="IQ_ISM_SERVICES_INDEX_APR" hidden="1">"c11865"</definedName>
    <definedName name="IQ_ISM_SERVICES_INDEX_POP" hidden="1">"c11863"</definedName>
    <definedName name="IQ_ISM_SERVICES_INDEX_YOY" hidden="1">"c11864"</definedName>
    <definedName name="IQ_ISM_SERVICES_POP_FC_UNUSED" hidden="1">"c8003"</definedName>
    <definedName name="IQ_ISM_SERVICES_POP_FC_UNUSED_UNUSED_UNUSED" hidden="1">"c8003"</definedName>
    <definedName name="IQ_ISM_SERVICES_POP_UNUSED" hidden="1">"c7123"</definedName>
    <definedName name="IQ_ISM_SERVICES_POP_UNUSED_UNUSED_UNUSED" hidden="1">"c7123"</definedName>
    <definedName name="IQ_ISM_SERVICES_UNUSED" hidden="1">"c6903"</definedName>
    <definedName name="IQ_ISM_SERVICES_UNUSED_UNUSED_UNUSED" hidden="1">"c6903"</definedName>
    <definedName name="IQ_ISM_SERVICES_YOY_FC_UNUSED" hidden="1">"c8223"</definedName>
    <definedName name="IQ_ISM_SERVICES_YOY_FC_UNUSED_UNUSED_UNUSED" hidden="1">"c8223"</definedName>
    <definedName name="IQ_ISM_SERVICES_YOY_UNUSED" hidden="1">"c7343"</definedName>
    <definedName name="IQ_ISM_SERVICES_YOY_UNUSED_UNUSED_UNUSED" hidden="1">"c7343"</definedName>
    <definedName name="IQ_ISS_DEBT_NET" localSheetId="7" hidden="1">"c1391"</definedName>
    <definedName name="IQ_ISS_DEBT_NET" localSheetId="8" hidden="1">"c1391"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FNMA_FHLMC_GNMA_THRIFT" hidden="1">"c24833"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ISSUES_IN_DEFAULT_PRINCIPAL_AMT_OUTSTANDING_THRIFT" hidden="1">"c25442"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KEY_DEV_COMPANY_ID" hidden="1">"c13830"</definedName>
    <definedName name="IQ_KEY_DEV_COMPANY_NAME" hidden="1">"c13829"</definedName>
    <definedName name="IQ_KEY_DEV_DATE" hidden="1">"c13763"</definedName>
    <definedName name="IQ_KEY_DEV_HEADLINE" hidden="1">"c13761"</definedName>
    <definedName name="IQ_KEY_DEV_ID" hidden="1">"c13760"</definedName>
    <definedName name="IQ_KEY_DEV_ID_INCL_SUBS" hidden="1">"c13832"</definedName>
    <definedName name="IQ_KEY_DEV_SITUATION" hidden="1">"c13762"</definedName>
    <definedName name="IQ_KEY_DEV_SOURCE" hidden="1">"c13765"</definedName>
    <definedName name="IQ_KEY_DEV_TIME" hidden="1">"c13833"</definedName>
    <definedName name="IQ_KEY_DEV_TRANSACTION_ID" hidden="1">"c13766"</definedName>
    <definedName name="IQ_KEY_DEV_TYPE" hidden="1">"c13764"</definedName>
    <definedName name="IQ_KEY_PERSON_LIFE_INSURANCE_THRIFT" hidden="1">"c24885"</definedName>
    <definedName name="IQ_LABOR_BENEFITS_CIVILIANS" hidden="1">"c20789"</definedName>
    <definedName name="IQ_LABOR_BENEFITS_GOVT" hidden="1">"c20790"</definedName>
    <definedName name="IQ_LABOR_BENEFITS_PRIVATE_INDUSTRY" hidden="1">"c20791"</definedName>
    <definedName name="IQ_LABOR_COMP_CIVILIANS" hidden="1">"c20792"</definedName>
    <definedName name="IQ_LABOR_COMP_GOVT" hidden="1">"c20793"</definedName>
    <definedName name="IQ_LABOR_COMP_PRIVATE_INDUSTRY" hidden="1">"c20794"</definedName>
    <definedName name="IQ_LABOR_NONFARM_PAYROLL" hidden="1">"c20795"</definedName>
    <definedName name="IQ_LABOR_UNEMPLOYMENT_CLAIMS" hidden="1">"c20796"</definedName>
    <definedName name="IQ_LABOR_UNEMPLOYMENT_CLAIMS_4WEEK" hidden="1">"c20797"</definedName>
    <definedName name="IQ_LABOR_UNEMPLOYMENT_RATE" hidden="1">"c20798"</definedName>
    <definedName name="IQ_LABOR_UNEMPLOYMENT_RATE_PCT_INSURED" hidden="1">"c20799"</definedName>
    <definedName name="IQ_LABOR_WAGES_CIVILIANS" hidden="1">"c20800"</definedName>
    <definedName name="IQ_LABOR_WAGES_GOVT" hidden="1">"c20801"</definedName>
    <definedName name="IQ_LABOR_WAGES_PRIVATE_INDUSTRY" hidden="1">"c20802"</definedName>
    <definedName name="IQ_LAND" hidden="1">"c645"</definedName>
    <definedName name="IQ_LAND_LOANS_IN_PROCESS_FORECLOSURE_THRIFT" hidden="1">"c25309"</definedName>
    <definedName name="IQ_LAND_LOANS_TOTAL_LOANS_THRIFT" hidden="1">"c25747"</definedName>
    <definedName name="IQ_LAND_MINERAL_RIGHTS_TO_PPE_GROSS_COAL" hidden="1">"c15949"</definedName>
    <definedName name="IQ_LAND_MINERAL_RIGHTS_TO_PPE_NET_COAL" hidden="1">"c15950"</definedName>
    <definedName name="IQ_LAND_PML_ADJUSTED_NCOS_TOTAL_THRIFT" hidden="1">"c25208"</definedName>
    <definedName name="IQ_LAND_PML_GVA_CHARGE_OFFS_THRIFT" hidden="1">"c25123"</definedName>
    <definedName name="IQ_LAND_PML_GVA_RECOVERIES_THRIFT" hidden="1">"c25154"</definedName>
    <definedName name="IQ_LAND_PML_SVA_PROVISIONS_TRANSFERS_FROM_GVA_TOTAL_THRIFT" hidden="1">"c25177"</definedName>
    <definedName name="IQ_LANDS_MINERAL_RIGHTS_GROSS_COAL" hidden="1">"c15938"</definedName>
    <definedName name="IQ_LANDS_MINERAL_RIGHTS_NET_COAL" hidden="1">"c15939"</definedName>
    <definedName name="IQ_LAPSE_STATUTE_LIMITATIONS" hidden="1">"c15738"</definedName>
    <definedName name="IQ_LARGE_CAP_LABOR_COST_INDEX" hidden="1">"c6904"</definedName>
    <definedName name="IQ_LARGE_CAP_LABOR_COST_INDEX_APR" hidden="1">"c7564"</definedName>
    <definedName name="IQ_LARGE_CAP_LABOR_COST_INDEX_APR_FC" hidden="1">"c8444"</definedName>
    <definedName name="IQ_LARGE_CAP_LABOR_COST_INDEX_FC" hidden="1">"c7784"</definedName>
    <definedName name="IQ_LARGE_CAP_LABOR_COST_INDEX_POP" hidden="1">"c7124"</definedName>
    <definedName name="IQ_LARGE_CAP_LABOR_COST_INDEX_POP_FC" hidden="1">"c8004"</definedName>
    <definedName name="IQ_LARGE_CAP_LABOR_COST_INDEX_YOY" hidden="1">"c7344"</definedName>
    <definedName name="IQ_LARGE_CAP_LABOR_COST_INDEX_YOY_FC" hidden="1">"c8224"</definedName>
    <definedName name="IQ_LAST_EBIT_MARGIN" hidden="1">"IQ_LAST_EBIT_MARGIN"</definedName>
    <definedName name="IQ_LAST_EBITDA_MARGIN" hidden="1">"IQ_LAST_EBITDA_MARGIN"</definedName>
    <definedName name="IQ_LAST_GROSS_MARGIN" hidden="1">"IQ_LAST_GROSS_MARGIN"</definedName>
    <definedName name="IQ_LAST_NET_INC_MARGIN" hidden="1">"IQ_LAST_NET_INC_MARGIN"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" hidden="1">"1"</definedName>
    <definedName name="IQ_LATEST_MONTHLY_FACTOR" hidden="1">"c8971"</definedName>
    <definedName name="IQ_LATEST_MONTHLY_FACTOR_DATE" hidden="1">"c8972"</definedName>
    <definedName name="IQ_LATEST_TRANSACTION" hidden="1">"c18886"</definedName>
    <definedName name="IQ_LATESTK" hidden="1">1000</definedName>
    <definedName name="IQ_LATESTKFR" hidden="1">"100"</definedName>
    <definedName name="IQ_LATESTQ" hidden="1">500</definedName>
    <definedName name="IQ_LATESTQFR" hidden="1">"50"</definedName>
    <definedName name="IQ_LEAD_UNDERWRITER" hidden="1">"c8957"</definedName>
    <definedName name="IQ_LEASE_EXPENSE" hidden="1">"c16039"</definedName>
    <definedName name="IQ_LEASE_FIN_REC_INCL_EXCD_10_LL_FFIEC" hidden="1">"c27206"</definedName>
    <definedName name="IQ_LEASE_FIN_REC_LOSS_SHARING_DUE_30_89_FFIEC" hidden="1">"c27089"</definedName>
    <definedName name="IQ_LEASE_FIN_REC_LOSS_SHARING_DUE_90_FFIEC" hidden="1">"c27129"</definedName>
    <definedName name="IQ_LEASE_FIN_REC_LOSS_SHARING_NON_ACCRUAL_FFIEC" hidden="1">"c27169"</definedName>
    <definedName name="IQ_LEASE_FIN_RECEIVABLES_NON_US_CHARGE_OFFS_FFIEC" hidden="1">"c13631"</definedName>
    <definedName name="IQ_LEASE_FIN_RECEIVABLES_NON_US_RECOV_FFIEC" hidden="1">"c13635"</definedName>
    <definedName name="IQ_LEASE_FIN_RECEIVABLES_US_CHARGE_OFFS_FFIEC" hidden="1">"c13630"</definedName>
    <definedName name="IQ_LEASE_FIN_RECEIVABLES_US_RECOV_FFIEC" hidden="1">"c13634"</definedName>
    <definedName name="IQ_LEASE_FINANCE" hidden="1">"c5654"</definedName>
    <definedName name="IQ_LEASE_FINANCING_REC_DUE_30_89_FFIEC" hidden="1">"c13276"</definedName>
    <definedName name="IQ_LEASE_FINANCING_REC_DUE_90_FFIEC" hidden="1">"c13302"</definedName>
    <definedName name="IQ_LEASE_FINANCING_REC_NON_ACCRUAL_FFIEC" hidden="1">"c13328"</definedName>
    <definedName name="IQ_LEASE_FINANCING_RECEIVABLES_CHARGE_OFFS_FDIC" hidden="1">"c6602"</definedName>
    <definedName name="IQ_LEASE_FINANCING_RECEIVABLES_DOM_FFIEC" hidden="1">"c12915"</definedName>
    <definedName name="IQ_LEASE_FINANCING_RECEIVABLES_FDIC" hidden="1">"c6433"</definedName>
    <definedName name="IQ_LEASE_FINANCING_RECEIVABLES_NET_CHARGE_OFFS_FDIC" hidden="1">"c6640"</definedName>
    <definedName name="IQ_LEASE_FINANCING_RECEIVABLES_QUARTERLY_AVG_FFIEC" hidden="1">"c15483"</definedName>
    <definedName name="IQ_LEASE_FINANCING_RECEIVABLES_RECOVERIES_FDIC" hidden="1">"c6621"</definedName>
    <definedName name="IQ_LEASE_FINANCING_RECEIVABLES_TOTAL_LOANS_FOREIGN_FDIC" hidden="1">"c6449"</definedName>
    <definedName name="IQ_LEASE_PMT_REC_AFTER_FIVE" hidden="1">"c16099"</definedName>
    <definedName name="IQ_LEASE_PMT_REC_CY" hidden="1">"c16093"</definedName>
    <definedName name="IQ_LEASE_PMT_REC_CY1" hidden="1">"c16094"</definedName>
    <definedName name="IQ_LEASE_PMT_REC_CY2" hidden="1">"c16095"</definedName>
    <definedName name="IQ_LEASE_PMT_REC_CY3" hidden="1">"c16096"</definedName>
    <definedName name="IQ_LEASE_PMT_REC_CY4" hidden="1">"c16097"</definedName>
    <definedName name="IQ_LEASE_PMT_REC_NEXT_FIVE" hidden="1">"c16098"</definedName>
    <definedName name="IQ_LEASE_PMT_REC_TOTAL" hidden="1">"c16100"</definedName>
    <definedName name="IQ_LEASE_RECEIVABLES_FOREIGN_FFIEC" hidden="1">"c13483"</definedName>
    <definedName name="IQ_LEASE_RECEIVABLES_THRIFT" hidden="1">"c24857"</definedName>
    <definedName name="IQ_LEASE_REVENUE" hidden="1">"c16023"</definedName>
    <definedName name="IQ_LEASE_TERMINATION_FEES" hidden="1">"c16182"</definedName>
    <definedName name="IQ_LEASED_RESERVES_COAL" hidden="1">"c15918"</definedName>
    <definedName name="IQ_LEASED_RESERVES_TO_TOTAL_RESERVES_COAL" hidden="1">"c15958"</definedName>
    <definedName name="IQ_LEASEHOLD_IMPROVEMENT" hidden="1">"c17549"</definedName>
    <definedName name="IQ_LEASES_INDIVIDUALS_CHARGE_OFFS_FFIEC" hidden="1">"c13184"</definedName>
    <definedName name="IQ_LEASES_INDIVIDUALS_RECOV_FFIEC" hidden="1">"c13206"</definedName>
    <definedName name="IQ_LEASES_PERSONAL_EXP_DUE_30_89_FFIEC" hidden="1">"c13277"</definedName>
    <definedName name="IQ_LEASES_PERSONAL_EXP_DUE_90_FFIEC" hidden="1">"c13303"</definedName>
    <definedName name="IQ_LEASES_PERSONAL_EXP_NON_ACCRUAL_FFIEC" hidden="1">"c13329"</definedName>
    <definedName name="IQ_LEGAL_EXP_THRIFT" hidden="1">"c24789"</definedName>
    <definedName name="IQ_LEGAL_FEES_FFIEC" hidden="1">"c13052"</definedName>
    <definedName name="IQ_LEGAL_SETTLE" hidden="1">"c647"</definedName>
    <definedName name="IQ_LEGAL_SETTLE_BNK" hidden="1">"c648"</definedName>
    <definedName name="IQ_LEGAL_SETTLE_BR" hidden="1">"c649"</definedName>
    <definedName name="IQ_LEGAL_SETTLE_CM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SUPPLE" hidden="1">"c13815"</definedName>
    <definedName name="IQ_LEGAL_SETTLE_UTI" hidden="1">"c653"</definedName>
    <definedName name="IQ_LETTERS_CREDIT_THRIFT" hidden="1">"c25612"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AB_AP" hidden="1">"c8886"</definedName>
    <definedName name="IQ_LIAB_AP_ABS" hidden="1">"c8905"</definedName>
    <definedName name="IQ_LIAB_NAME_AP" hidden="1">"c8924"</definedName>
    <definedName name="IQ_LIAB_NAME_AP_ABS" hidden="1">"c8943"</definedName>
    <definedName name="IQ_LIABILITIES_FAIR_VALUE" hidden="1">"c13848"</definedName>
    <definedName name="IQ_LIABILITIES_LEVEL_1" hidden="1">"c13844"</definedName>
    <definedName name="IQ_LIABILITIES_LEVEL_2" hidden="1">"c13845"</definedName>
    <definedName name="IQ_LIABILITIES_LEVEL_3" hidden="1">"c13846"</definedName>
    <definedName name="IQ_LIABILITIES_NETTING_OTHER_ADJUSTMENTS" hidden="1">"c13847"</definedName>
    <definedName name="IQ_LIABILITY_ACCEPTANCES_OUT_FFIEC" hidden="1">"c12866"</definedName>
    <definedName name="IQ_LIABILITY_SHORT_POSITIONS_DOM_FFIEC" hidden="1">"c12941"</definedName>
    <definedName name="IQ_LICENSED_POPS" hidden="1">"c2123"</definedName>
    <definedName name="IQ_LICENSED_WIRELESS_POPS" hidden="1">"c2123"</definedName>
    <definedName name="IQ_LIFE_EARNED" hidden="1">"c2739"</definedName>
    <definedName name="IQ_LIFE_INSURANCE_ASSETS_FDIC" hidden="1">"c6372"</definedName>
    <definedName name="IQ_LIFE_INSURANCE_ASSETS_FFIEC" hidden="1">"c12847"</definedName>
    <definedName name="IQ_LIFOR" hidden="1">"c655"</definedName>
    <definedName name="IQ_LIMITED_PARTNERS" hidden="1">"c18915"</definedName>
    <definedName name="IQ_LIMITED_PARTNERS_ID" hidden="1">"c18916"</definedName>
    <definedName name="IQ_LIMITED_PARTNERS_REL" hidden="1">"c19114"</definedName>
    <definedName name="IQ_LINE_EXTENSIONS_CABLE_INVEST" hidden="1">"c15803"</definedName>
    <definedName name="IQ_LIQUID_ASSETS_ASSETS_TOT_FFIEC" hidden="1">"c13439"</definedName>
    <definedName name="IQ_LIQUID_ASSETS_NON_LIQUID_ASSETS_THRIFT" hidden="1">"c25626"</definedName>
    <definedName name="IQ_LIQUID_ASSETS_NONCORE_FUNDING_FFIEC" hidden="1">"c13339"</definedName>
    <definedName name="IQ_LIQUID_ASSETS_TOTAL_ASSETS_THRIFT" hidden="1">"c25696"</definedName>
    <definedName name="IQ_LIQUIDATION_VALUE_PREFERRED_CONVERT" hidden="1">"c13835"</definedName>
    <definedName name="IQ_LIQUIDATION_VALUE_PREFERRED_NON_REDEEM" hidden="1">"c13836"</definedName>
    <definedName name="IQ_LIQUIDATION_VALUE_PREFERRED_REDEEM" hidden="1">"c13837"</definedName>
    <definedName name="IQ_LISTING_CURRENCY" hidden="1">"c2127"</definedName>
    <definedName name="IQ_LL" hidden="1">"c656"</definedName>
    <definedName name="IQ_LL_ALLOWANCE_GROSS_LOANS_THRIFT" hidden="1">"c25637"</definedName>
    <definedName name="IQ_LL_ALLOWANCE_NET_LOANS_LOSSES_THRIFT" hidden="1">"c25642"</definedName>
    <definedName name="IQ_LL_ALLOWANCE_NONACCRUAL_ASSETS_THRIFT" hidden="1">"c25638"</definedName>
    <definedName name="IQ_LL_GUARANTEED_US_GOVT_EXCL_LOSS_SHARING_DUE_30_89_FFIEC" hidden="1">"c27068"</definedName>
    <definedName name="IQ_LL_GUARANTEED_US_GOVT_EXCL_LOSS_SHARING_DUE_90_FFIEC" hidden="1">"c27108"</definedName>
    <definedName name="IQ_LL_GUARANTEED_US_GOVT_EXCL_LOSS_SHARING_NON_ACCRUAL_FFIEC" hidden="1">"c27148"</definedName>
    <definedName name="IQ_LL_LOSS_SHARING_DUE_30_89_FFIEC" hidden="1">"c27090"</definedName>
    <definedName name="IQ_LL_LOSS_SHARING_DUE_90_FFIEC" hidden="1">"c27130"</definedName>
    <definedName name="IQ_LL_LOSS_SHARING_NON_ACCRUAL_FFIEC" hidden="1">"c27170"</definedName>
    <definedName name="IQ_LME_INVENTORY" hidden="1">"c24740"</definedName>
    <definedName name="IQ_LOAN_ALLOW_GROSS_LOANS_FFIEC" hidden="1">"c13415"</definedName>
    <definedName name="IQ_LOAN_ALLOWANCE_GROSS_LOSSES_FFIEC" hidden="1">"c13352"</definedName>
    <definedName name="IQ_LOAN_ALLOWANCE_NET_LOANS_FFIEC" hidden="1">"c13472"</definedName>
    <definedName name="IQ_LOAN_ALLOWANCE_NONACCRUAL_ASSETS_FFIEC" hidden="1">"c13473"</definedName>
    <definedName name="IQ_LOAN_ALLOWANCE_PAST_DUE_NONACCRUAL_FFIEC" hidden="1">"c13474"</definedName>
    <definedName name="IQ_LOAN_COMMITMENTS_FAIR_VALUE_TOT_FFIEC" hidden="1">"c13216"</definedName>
    <definedName name="IQ_LOAN_COMMITMENTS_LEVEL_1_FFIEC" hidden="1">"c13224"</definedName>
    <definedName name="IQ_LOAN_COMMITMENTS_LEVEL_2_FFIEC" hidden="1">"c13232"</definedName>
    <definedName name="IQ_LOAN_COMMITMENTS_LEVEL_3_FFIEC" hidden="1">"c13240"</definedName>
    <definedName name="IQ_LOAN_COMMITMENTS_REVOLVING_FDIC" hidden="1">"c6524"</definedName>
    <definedName name="IQ_LOAN_LEASE_ALLOWANCE_PAST_DUE_NONACCRUAL_LOANS_THRIFT" hidden="1">"c25643"</definedName>
    <definedName name="IQ_LOAN_LEASE_RECEIV" hidden="1">"c657"</definedName>
    <definedName name="IQ_LOAN_LOSS" localSheetId="7" hidden="1">"c1386"</definedName>
    <definedName name="IQ_LOAN_LOSS" localSheetId="8" hidden="1">"c1386"</definedName>
    <definedName name="IQ_LOAN_LOSS" hidden="1">"c1386"</definedName>
    <definedName name="IQ_LOAN_LOSS_ALLOW_FDIC" hidden="1">"c6326"</definedName>
    <definedName name="IQ_LOAN_LOSS_ALLOWANCE_GROSS_LOANS_THRIFT" hidden="1">"c25736"</definedName>
    <definedName name="IQ_LOAN_LOSS_ALLOWANCE_NON_PERF_ASSETS_FFIEC" hidden="1">"c13912"</definedName>
    <definedName name="IQ_LOAN_LOSS_ALLOWANCE_NONCURRENT_LOANS_FDIC" hidden="1">"c6740"</definedName>
    <definedName name="IQ_LOAN_LOSS_PROVISION_FOREIGN_FFIEC" hidden="1">"c15382"</definedName>
    <definedName name="IQ_LOAN_LOSSES_AVERAGE_LOANS_FFIEC" hidden="1">"c13350"</definedName>
    <definedName name="IQ_LOAN_LOSSES_FDIC" hidden="1">"c6580"</definedName>
    <definedName name="IQ_LOAN_RECOVERIES_AVG_LOANS_THRIFT" hidden="1">"c25644"</definedName>
    <definedName name="IQ_LOAN_SERVICE_REV" hidden="1">"c658"</definedName>
    <definedName name="IQ_LOAN_SERVICING_FEES_THRIFT" hidden="1">"c24790"</definedName>
    <definedName name="IQ_LOANS_AGRICULTURAL_PROD_LL_REC_FFIEC" hidden="1">"c12886"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CM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DEP_INST_BANKS_EXCD_10_LL_FFIEC" hidden="1">"c27203"</definedName>
    <definedName name="IQ_LOANS_DEP_INST_BANKS_EXCD_10_RSTRC_DUE_30_89_FFIEC" hidden="1">"c27101"</definedName>
    <definedName name="IQ_LOANS_DEP_INST_BANKS_EXCD_10_RSTRC_DUE_90_FFIEC" hidden="1">"c27141"</definedName>
    <definedName name="IQ_LOANS_DEP_INST_BANKS_EXCD_10_RSTRC_NON_ACCRUAL_FFIEC" hidden="1">"c27181"</definedName>
    <definedName name="IQ_LOANS_DEP_INST_BANKS_EXCD_10_RSTRC_TERMS_FFIEC" hidden="1">"c27032"</definedName>
    <definedName name="IQ_LOANS_DEP_INST_BANKS_LOSS_SHARING_DUE_30_89_FFIEC" hidden="1">"c27086"</definedName>
    <definedName name="IQ_LOANS_DEP_INST_BANKS_LOSS_SHARING_DUE_90_FFIEC" hidden="1">"c27126"</definedName>
    <definedName name="IQ_LOANS_DEP_INST_BANKS_LOSS_SHARING_NON_ACCRUAL_FFIEC" hidden="1">"c27166"</definedName>
    <definedName name="IQ_LOANS_DEP_LL_REC_DOM_FFIEC" hidden="1">"c25855"</definedName>
    <definedName name="IQ_LOANS_DEP_LL_REC_FFIEC" hidden="1">"c25851"</definedName>
    <definedName name="IQ_LOANS_DEP_OTHER_LL_REC_DOM_FFIEC" hidden="1">"c25854"</definedName>
    <definedName name="IQ_LOANS_DEP_OTHER_LL_REC_FFIEC" hidden="1">"c25850"</definedName>
    <definedName name="IQ_LOANS_DEPOSITORY_INST_US_LL_REC_FFIEC" hidden="1">"c12884"</definedName>
    <definedName name="IQ_LOANS_DEPOSITORY_INSTITUTIONS_FDIC" hidden="1">"c6382"</definedName>
    <definedName name="IQ_LOANS_DOM_QUARTERLY_AVG_FFIEC" hidden="1">"c13084"</definedName>
    <definedName name="IQ_LOANS_FARMERS_CHARGE_OFFS_FFIEC" hidden="1">"c13177"</definedName>
    <definedName name="IQ_LOANS_FARMERS_RECOV_FFIEC" hidden="1">"c13199"</definedName>
    <definedName name="IQ_LOANS_FINANCE_AGRICULTURAL_DUE_30_89_FFIEC" hidden="1">"c13270"</definedName>
    <definedName name="IQ_LOANS_FINANCE_AGRICULTURAL_DUE_90_FFIEC" hidden="1">"c13296"</definedName>
    <definedName name="IQ_LOANS_FINANCE_AGRICULTURAL_NON_ACCRUAL_FFIEC" hidden="1">"c13322"</definedName>
    <definedName name="IQ_LOANS_FINANCE_AGRICULTURAL_PROD_EXCD_10_RSTRC_DUE_30_89_FFIEC" hidden="1">"c27102"</definedName>
    <definedName name="IQ_LOANS_FINANCE_AGRICULTURAL_PROD_EXCD_10_RSTRC_DUE_90_FFIEC" hidden="1">"c27142"</definedName>
    <definedName name="IQ_LOANS_FINANCE_AGRICULTURAL_PROD_EXCD_10_RSTRC_NON_ACCRUAL_FFIEC" hidden="1">"c27182"</definedName>
    <definedName name="IQ_LOANS_FINANCE_AGRICULTURAL_PROD_EXCD_10_RSTRC_TERMS_FFIEC" hidden="1">"c27033"</definedName>
    <definedName name="IQ_LOANS_FINANCE_AGRICULTURAL_PROD_LL_REC_DOM_FFIEC" hidden="1">"c12909"</definedName>
    <definedName name="IQ_LOANS_FINANCE_AGRICULTURAL_PROD_LOSS_SHARING_DUE_30_89_FFIEC" hidden="1">"c27080"</definedName>
    <definedName name="IQ_LOANS_FINANCE_AGRICULTURAL_PROD_LOSS_SHARING_DUE_90_FFIEC" hidden="1">"c27120"</definedName>
    <definedName name="IQ_LOANS_FINANCE_AGRICULTURAL_PROD_LOSS_SHARING_FFIEC" hidden="1">"c27197"</definedName>
    <definedName name="IQ_LOANS_FINANCE_AGRICULTURAL_PROD_LOSS_SHARING_NON_ACCRUAL_FFIEC" hidden="1">"c27160"</definedName>
    <definedName name="IQ_LOANS_FINANCE_AGRICULTURAL_PROD_QUARTERLY_AVG_FFIEC" hidden="1">"c27063"</definedName>
    <definedName name="IQ_LOANS_FOR_SALE" hidden="1">"c666"</definedName>
    <definedName name="IQ_LOANS_FOREIGN_GOV_CHARGE_OFFS_FFIEC" hidden="1">"c13182"</definedName>
    <definedName name="IQ_LOANS_FOREIGN_GOV_DUE_30_89_FFIEC" hidden="1">"c13274"</definedName>
    <definedName name="IQ_LOANS_FOREIGN_GOV_DUE_90_FFIEC" hidden="1">"c13300"</definedName>
    <definedName name="IQ_LOANS_FOREIGN_GOV_LL_REC_DOM_FFIEC" hidden="1">"c12912"</definedName>
    <definedName name="IQ_LOANS_FOREIGN_GOV_NON_ACCRUAL_FFIEC" hidden="1">"c13326"</definedName>
    <definedName name="IQ_LOANS_FOREIGN_GOV_RECOV_FFIEC" hidden="1">"c13204"</definedName>
    <definedName name="IQ_LOANS_FOREIGN_GOVT_OFFICIAL_EXCD_10_LL_FFIEC" hidden="1">"c27204"</definedName>
    <definedName name="IQ_LOANS_FOREIGN_GOVT_OFFICIAL_EXCD_10_RSTRC_DUE_30_89_FFIEC" hidden="1">"c27106"</definedName>
    <definedName name="IQ_LOANS_FOREIGN_GOVT_OFFICIAL_EXCD_10_RSTRC_DUE_90_FFIEC" hidden="1">"c27146"</definedName>
    <definedName name="IQ_LOANS_FOREIGN_GOVT_OFFICIAL_EXCD_10_RSTRC_NON_ACCRUAL_FFIEC" hidden="1">"c27186"</definedName>
    <definedName name="IQ_LOANS_FOREIGN_GOVT_OFFICIAL_EXCD_10_RSTRC_TERMS_FFIEC" hidden="1">"c27037"</definedName>
    <definedName name="IQ_LOANS_FOREIGN_GOVT_OFFICIAL_INST_LOSS_SHARING_DUE_30_89_FFIEC" hidden="1">"c27087"</definedName>
    <definedName name="IQ_LOANS_FOREIGN_GOVT_OFFICIAL_INST_LOSS_SHARING_DUE_90_FFIEC" hidden="1">"c27127"</definedName>
    <definedName name="IQ_LOANS_FOREIGN_GOVT_OFFICIAL_INST_LOSS_SHARING_NON_ACCRUAL_FFIEC" hidden="1">"c27167"</definedName>
    <definedName name="IQ_LOANS_FOREIGN_INST_CHARGE_OFFS_FFIEC" hidden="1">"c13176"</definedName>
    <definedName name="IQ_LOANS_FOREIGN_INST_RECOV_FFIEC" hidden="1">"c13198"</definedName>
    <definedName name="IQ_LOANS_FOREIGN_LL_REC_FFIEC" hidden="1">"c12885"</definedName>
    <definedName name="IQ_LOANS_GOV_GUARANTEED_DUE_30_89_FFIEC" hidden="1">"c13281"</definedName>
    <definedName name="IQ_LOANS_GOV_GUARANTEED_DUE_90_FFIEC" hidden="1">"c13307"</definedName>
    <definedName name="IQ_LOANS_GOV_GUARANTEED_EXCL_GNMA_DUE_30_89_FFIEC" hidden="1">"c13282"</definedName>
    <definedName name="IQ_LOANS_GOV_GUARANTEED_EXCL_GNMA_DUE_90_FFIEC" hidden="1">"c13308"</definedName>
    <definedName name="IQ_LOANS_GOV_GUARANTEED_EXCL_GNMA_NON_ACCRUAL_FFIEC" hidden="1">"c13333"</definedName>
    <definedName name="IQ_LOANS_GOV_GUARANTEED_NON_ACCRUAL_FFIEC" hidden="1">"c13332"</definedName>
    <definedName name="IQ_LOANS_HELD_FOREIGN_FDIC" hidden="1">"c6315"</definedName>
    <definedName name="IQ_LOANS_INDIVIDUALS_FOREIGN_FFIEC" hidden="1">"c13480"</definedName>
    <definedName name="IQ_LOANS_INDIVIDUALS_GROSS_LOANS_THRIFT" hidden="1">"c25733"</definedName>
    <definedName name="IQ_LOANS_INDIVIDUALS_RISK_BASED_CAPITAL_THRIFT" hidden="1">"c25718"</definedName>
    <definedName name="IQ_LOANS_LEASES_AMOUNTS_NETTED_THRIFT" hidden="1">"c25498"</definedName>
    <definedName name="IQ_LOANS_LEASES_ASSETS_TOT_FFIEC" hidden="1">"c13437"</definedName>
    <definedName name="IQ_LOANS_LEASES_FAIR_VALUE_TOT_FFIEC" hidden="1">"c13209"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HELD_SALE_FFIEC" hidden="1">"c12808"</definedName>
    <definedName name="IQ_LOANS_LEASES_HFI_FAIR_VALUE_TOT_FFIEC" hidden="1">"c15401"</definedName>
    <definedName name="IQ_LOANS_LEASES_HFI_LEVEL_1_FFIEC" hidden="1">"c15423"</definedName>
    <definedName name="IQ_LOANS_LEASES_HFI_LEVEL_2_FFIEC" hidden="1">"c15436"</definedName>
    <definedName name="IQ_LOANS_LEASES_HFI_LEVEL_3_FFIEC" hidden="1">"c15449"</definedName>
    <definedName name="IQ_LOANS_LEASES_HFS_DUE_30_89_THRIFT" hidden="1">"c25257"</definedName>
    <definedName name="IQ_LOANS_LEASES_HFS_DUE_90_THRIFT" hidden="1">"c25278"</definedName>
    <definedName name="IQ_LOANS_LEASES_HFS_FAIR_VALUE_TOT_FFIEC" hidden="1">"c15400"</definedName>
    <definedName name="IQ_LOANS_LEASES_HFS_LEVEL_1_FFIEC" hidden="1">"c15422"</definedName>
    <definedName name="IQ_LOANS_LEASES_HFS_LEVEL_2_FFIEC" hidden="1">"c15435"</definedName>
    <definedName name="IQ_LOANS_LEASES_HFS_LEVEL_3_FFIEC" hidden="1">"c15448"</definedName>
    <definedName name="IQ_LOANS_LEASES_HFS_NON_ACCRUAL_THRIFT" hidden="1">"c25299"</definedName>
    <definedName name="IQ_LOANS_LEASES_LEVEL_1_FFIEC" hidden="1">"c13217"</definedName>
    <definedName name="IQ_LOANS_LEASES_LEVEL_1_THRIFT" hidden="1">"c25494"</definedName>
    <definedName name="IQ_LOANS_LEASES_LEVEL_2_FFIEC" hidden="1">"c13225"</definedName>
    <definedName name="IQ_LOANS_LEASES_LEVEL_2_THRIFT" hidden="1">"c25495"</definedName>
    <definedName name="IQ_LOANS_LEASES_LEVEL_3_FFIEC" hidden="1">"c13233"</definedName>
    <definedName name="IQ_LOANS_LEASES_LEVEL_3_THRIFT" hidden="1">"c25496"</definedName>
    <definedName name="IQ_LOANS_LEASES_NET_FDIC" hidden="1">"c6327"</definedName>
    <definedName name="IQ_LOANS_LEASES_NET_UNEARNED_FDIC" hidden="1">"c6325"</definedName>
    <definedName name="IQ_LOANS_LEASES_NET_UNEARNED_INC_ALLOWANCE_FFIEC" hidden="1">"c12811"</definedName>
    <definedName name="IQ_LOANS_LEASES_NET_UNEARNED_INCOME_FFIEC" hidden="1">"c12809"</definedName>
    <definedName name="IQ_LOANS_LEASES_QUARTERLY_AVG_FFIEC" hidden="1">"c13081"</definedName>
    <definedName name="IQ_LOANS_LEASES_REPORTED_WHOLLY_PARTIALLY_GUARANT_US_GOVT_AGENCY_SPONS_ENTITY_DUE_30_89_THRIFT" hidden="1">"c25258"</definedName>
    <definedName name="IQ_LOANS_LEASES_REPORTED_WHOLLY_PARTIALLY_GUARANT_US_GOVT_AGENCY_SPONS_ENTITY_DUE_90_THRIFT" hidden="1">"c25279"</definedName>
    <definedName name="IQ_LOANS_LEASES_REPORTED_WHOLLY_PARTIALLY_GUARANT_US_GOVT_AGENCY_SPONS_ENTITY_NON_ACCRUAL_THRIFT" hidden="1">"c25300"</definedName>
    <definedName name="IQ_LOANS_LEASES_TOTAL_AFTER_NETTING_THRIFT" hidden="1">"c25499"</definedName>
    <definedName name="IQ_LOANS_LEASES_TOTAL_BEFORE_NETTING_THRIFT" hidden="1">"c25497"</definedName>
    <definedName name="IQ_LOANS_LOC_ASSETS_TOT_FFIEC" hidden="1">"c13441"</definedName>
    <definedName name="IQ_LOANS_NOT_SECURED_RE_FDIC" hidden="1">"c6381"</definedName>
    <definedName name="IQ_LOANS_PAST_DUE" hidden="1">"c667"</definedName>
    <definedName name="IQ_LOANS_PURCHASE_CARRY_LL_REC_DOM_FFIEC" hidden="1">"c25856"</definedName>
    <definedName name="IQ_LOANS_PURCHASE_CARRY_LL_REC_FFIEC" hidden="1">"c25852"</definedName>
    <definedName name="IQ_LOANS_PURCHASING_CARRYING_SECURITIES_LL_REC_DOM_FFIEC" hidden="1">"c12913"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_FARMLAND_DOM_LOANS_EXCD_10_RSTRC_DUE_30_89_FFIEC" hidden="1">"c27100"</definedName>
    <definedName name="IQ_LOANS_SEC_FARMLAND_DOM_LOANS_EXCD_10_RSTRC_DUE_90_FFIEC" hidden="1">"c27140"</definedName>
    <definedName name="IQ_LOANS_SEC_FARMLAND_DOM_LOANS_EXCD_10_RSTRC_NON_ACCRUAL_FFIEC" hidden="1">"c27180"</definedName>
    <definedName name="IQ_LOANS_SEC_FARMLAND_DOM_LOANS_EXCD_10_RSTRC_TERMS_FFIEC" hidden="1">"c27031"</definedName>
    <definedName name="IQ_LOANS_SEC_RE_FOREIGN_CHARGE_OFFS_FFIEC" hidden="1">"c13174"</definedName>
    <definedName name="IQ_LOANS_SEC_RE_FOREIGN_RECOV_FFIEC" hidden="1">"c13196"</definedName>
    <definedName name="IQ_LOANS_SECURED_1_4_DOM_QUARTERLY_AVG_FFIEC" hidden="1">"c13082"</definedName>
    <definedName name="IQ_LOANS_SECURED_BY_RE_CHARGE_OFFS_FDIC" hidden="1">"c6588"</definedName>
    <definedName name="IQ_LOANS_SECURED_BY_RE_RECOVERIES_FDIC" hidden="1">"c6607"</definedName>
    <definedName name="IQ_LOANS_SECURED_CONSTRUCTION_TRADING_DOM_FFIEC" hidden="1">"c12925"</definedName>
    <definedName name="IQ_LOANS_SECURED_FARM_100000_THROUGH_250000_THRIFT" hidden="1">"c24968"</definedName>
    <definedName name="IQ_LOANS_SECURED_FARM_250000_THROUGH_500000_THRIFT" hidden="1">"c24970"</definedName>
    <definedName name="IQ_LOANS_SECURED_FARM_LESS_THAN_EQUAL_100000_THRIFT" hidden="1">"c24966"</definedName>
    <definedName name="IQ_LOANS_SECURED_FARMLAND_TRADING_DOM_FFIEC" hidden="1">"c12926"</definedName>
    <definedName name="IQ_LOANS_SECURED_NON_US_FDIC" hidden="1">"c6380"</definedName>
    <definedName name="IQ_LOANS_SECURED_RE_DOM_QUARTERLY_AVG_FFIEC" hidden="1">"c13083"</definedName>
    <definedName name="IQ_LOANS_SECURED_RE_FFIEC" hidden="1">"c12820"</definedName>
    <definedName name="IQ_LOANS_SECURED_RE_LL_REC_FFIEC" hidden="1">"c12883"</definedName>
    <definedName name="IQ_LOANS_SECURED_RE_NET_CHARGE_OFFS_FDIC" hidden="1">"c6626"</definedName>
    <definedName name="IQ_LOANS_SERVICED_OTHERS_THRIFT" hidden="1">"c24935"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ANS_US_INST_CHARGE_OFFS_FFIEC" hidden="1">"c13175"</definedName>
    <definedName name="IQ_LOANS_US_INST_RECOV_FFIEC" hidden="1">"c13197"</definedName>
    <definedName name="IQ_LONG_TERM_ASSETS_FDIC" hidden="1">"c6361"</definedName>
    <definedName name="IQ_LONG_TERM_DEBT" localSheetId="7" hidden="1">"c1387"</definedName>
    <definedName name="IQ_LONG_TERM_DEBT" localSheetId="8" hidden="1">"c1387"</definedName>
    <definedName name="IQ_LONG_TERM_DEBT" hidden="1">"c1387"</definedName>
    <definedName name="IQ_LONG_TERM_DEBT_OVER_TOTAL_CAP" localSheetId="7" hidden="1">"c1388"</definedName>
    <definedName name="IQ_LONG_TERM_DEBT_OVER_TOTAL_CAP" localSheetId="8" hidden="1">"c1388"</definedName>
    <definedName name="IQ_LONG_TERM_DEBT_OVER_TOTAL_CAP" hidden="1">"c1388"</definedName>
    <definedName name="IQ_LONG_TERM_GROWTH" hidden="1">"c671"</definedName>
    <definedName name="IQ_LONG_TERM_INV" localSheetId="7" hidden="1">"c1389"</definedName>
    <definedName name="IQ_LONG_TERM_INV" localSheetId="8" hidden="1">"c1389"</definedName>
    <definedName name="IQ_LONG_TERM_INV" hidden="1">"c1389"</definedName>
    <definedName name="IQ_LOSS_ALLOWANCE_LOANS_FDIC" hidden="1">"c6739"</definedName>
    <definedName name="IQ_LOSS_AVAIL_SALE_EQUITY_SEC_T1_FFIEC" hidden="1">"c13132"</definedName>
    <definedName name="IQ_LOSS_LOSS_EXP" hidden="1">"c672"</definedName>
    <definedName name="IQ_LOSS_RECOGNIZED_OCI_FFIEC" hidden="1">"c25847"</definedName>
    <definedName name="IQ_LOSS_TO_NET_EARNED" hidden="1">"c2751"</definedName>
    <definedName name="IQ_LOW_SULFUR_CONTENT_RESERVES_COAL" hidden="1">"c15924"</definedName>
    <definedName name="IQ_LOW_SULFURE_RESERVES_TO_TOTAL_RESERVES_COAL" hidden="1">"c15961"</definedName>
    <definedName name="IQ_LOW_TARGET_PRICE" hidden="1">"c1652"</definedName>
    <definedName name="IQ_LOW_TARGET_PRICE_CIQ" hidden="1">"c4660"</definedName>
    <definedName name="IQ_LOW_TARGET_PRICE_REUT" hidden="1">"c5318"</definedName>
    <definedName name="IQ_LOW_TARGET_PRICE_THOM" hidden="1">"c5097"</definedName>
    <definedName name="IQ_LOWPRICE" hidden="1">"c673"</definedName>
    <definedName name="IQ_LT_ASSETS_AP" hidden="1">"c8882"</definedName>
    <definedName name="IQ_LT_ASSETS_AP_ABS" hidden="1">"c8901"</definedName>
    <definedName name="IQ_LT_ASSETS_NAME_AP" hidden="1">"c8920"</definedName>
    <definedName name="IQ_LT_ASSETS_NAME_AP_ABS" hidden="1">"c8939"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CM" hidden="1">"c676"</definedName>
    <definedName name="IQ_LT_DEBT_DERIVATIVES" hidden="1">"c17743"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CM" hidden="1">"c683"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MATURING_1YR_INT_SENSITIVITY_FFIEC" hidden="1">"c13097"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CM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REPRICE_ASSETS_TOT_FFIEC" hidden="1">"c13453"</definedName>
    <definedName name="IQ_LT_DEBT_REPRICING_WITHIN_1_YR_INT_SENSITIVITY_FFIEC" hidden="1">"c13095"</definedName>
    <definedName name="IQ_LT_DEBT_UTI" hidden="1">"c696"</definedName>
    <definedName name="IQ_LT_GROWTH_DET_EST" hidden="1">"c12060"</definedName>
    <definedName name="IQ_LT_GROWTH_DET_EST_DATE" hidden="1">"c12213"</definedName>
    <definedName name="IQ_LT_GROWTH_DET_EST_DATE_THOM" hidden="1">"c12240"</definedName>
    <definedName name="IQ_LT_GROWTH_DET_EST_INCL" hidden="1">"c12350"</definedName>
    <definedName name="IQ_LT_GROWTH_DET_EST_INCL_THOM" hidden="1">"c12372"</definedName>
    <definedName name="IQ_LT_GROWTH_DET_EST_ORIGIN" hidden="1">"c12725"</definedName>
    <definedName name="IQ_LT_GROWTH_DET_EST_ORIGIN_THOM" hidden="1">"c12610"</definedName>
    <definedName name="IQ_LT_GROWTH_DET_EST_THOM" hidden="1">"c12090"</definedName>
    <definedName name="IQ_LT_INVEST" hidden="1">"c697"</definedName>
    <definedName name="IQ_LT_INVEST_BR" hidden="1">"c698"</definedName>
    <definedName name="IQ_LT_INVEST_CM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LIAB_AP" hidden="1">"c8885"</definedName>
    <definedName name="IQ_LT_LIAB_AP_ABS" hidden="1">"c8904"</definedName>
    <definedName name="IQ_LT_LIAB_NAME_AP" hidden="1">"c8923"</definedName>
    <definedName name="IQ_LT_LIAB_NAME_AP_ABS" hidden="1">"c8942"</definedName>
    <definedName name="IQ_LT_NOTE_RECEIV" hidden="1">"c1602"</definedName>
    <definedName name="IQ_LT_SENIOR_DEBT" hidden="1">"c702"</definedName>
    <definedName name="IQ_LT_SUB_DEBT" hidden="1">"c703"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DATE" hidden="1">"IQ_LTM_DATE"</definedName>
    <definedName name="IQ_LTM_REVENUE_OVER_EMPLOYEES" localSheetId="7" hidden="1">"c1437"</definedName>
    <definedName name="IQ_LTM_REVENUE_OVER_EMPLOYEES" localSheetId="8" hidden="1">"c1437"</definedName>
    <definedName name="IQ_LTM_REVENUE_OVER_EMPLOYEES" hidden="1">"c1437"</definedName>
    <definedName name="IQ_LTMMONTH" hidden="1">120000</definedName>
    <definedName name="IQ_M1" hidden="1">"c6906"</definedName>
    <definedName name="IQ_M1_APR" hidden="1">"c7566"</definedName>
    <definedName name="IQ_M1_APR_FC" hidden="1">"c8446"</definedName>
    <definedName name="IQ_M1_FC" hidden="1">"c7786"</definedName>
    <definedName name="IQ_M1_POP" hidden="1">"c7126"</definedName>
    <definedName name="IQ_M1_POP_FC" hidden="1">"c8006"</definedName>
    <definedName name="IQ_M1_YOY" hidden="1">"c7346"</definedName>
    <definedName name="IQ_M1_YOY_FC" hidden="1">"c8226"</definedName>
    <definedName name="IQ_M2" hidden="1">"c6907"</definedName>
    <definedName name="IQ_M2_APR" hidden="1">"c7567"</definedName>
    <definedName name="IQ_M2_APR_FC" hidden="1">"c8447"</definedName>
    <definedName name="IQ_M2_FC" hidden="1">"c7787"</definedName>
    <definedName name="IQ_M2_POP" hidden="1">"c7127"</definedName>
    <definedName name="IQ_M2_POP_FC" hidden="1">"c8007"</definedName>
    <definedName name="IQ_M2_YOY" hidden="1">"c7347"</definedName>
    <definedName name="IQ_M2_YOY_FC" hidden="1">"c8227"</definedName>
    <definedName name="IQ_M3" hidden="1">"c6908"</definedName>
    <definedName name="IQ_M3_APR" hidden="1">"c7568"</definedName>
    <definedName name="IQ_M3_APR_FC" hidden="1">"c8448"</definedName>
    <definedName name="IQ_M3_FC" hidden="1">"c7788"</definedName>
    <definedName name="IQ_M3_POP" hidden="1">"c7128"</definedName>
    <definedName name="IQ_M3_POP_FC" hidden="1">"c8008"</definedName>
    <definedName name="IQ_M3_YOY" hidden="1">"c7348"</definedName>
    <definedName name="IQ_M3_YOY_FC" hidden="1">"c8228"</definedName>
    <definedName name="IQ_MACHINERY" hidden="1">"c711"</definedName>
    <definedName name="IQ_MACRO_SURVEY_BUSINESS_BAROMETER" hidden="1">"c20803"</definedName>
    <definedName name="IQ_MACRO_SURVEY_BUSINESS_CONDITION" hidden="1">"c20804"</definedName>
    <definedName name="IQ_MACRO_SURVEY_BUSINESS_CONDITIONS" hidden="1">"c20805"</definedName>
    <definedName name="IQ_MACRO_SURVEY_CONSUMER_COMFORT" hidden="1">"c20806"</definedName>
    <definedName name="IQ_MACRO_SURVEY_CONSUMER_CONFIDENCE" hidden="1">"c20807"</definedName>
    <definedName name="IQ_MACRO_SURVEY_CONSUMER_SENTIMENT" hidden="1">"c20808"</definedName>
    <definedName name="IQ_MACRO_SURVEY_ISM_NONMANUFACTURING" hidden="1">"c20809"</definedName>
    <definedName name="IQ_MACRO_SURVEY_ISM_PMI" hidden="1">"c20810"</definedName>
    <definedName name="IQ_MACRO_SURVEY_LEADING_INDICATOR" hidden="1">"c20811"</definedName>
    <definedName name="IQ_MACRO_SURVEY_PMAC_DIFFUSION" hidden="1">"c20812"</definedName>
    <definedName name="IQ_MAINT_CAPEX" hidden="1">"c2947"</definedName>
    <definedName name="IQ_MAINT_CAPEX_ACT_OR_EST" hidden="1">"c4458"</definedName>
    <definedName name="IQ_MAINT_CAPEX_ACT_OR_EST_CIQ" hidden="1">"c4987"</definedName>
    <definedName name="IQ_MAINT_CAPEX_ACT_OR_EST_CIQ_COL" hidden="1">"c11634"</definedName>
    <definedName name="IQ_MAINT_CAPEX_EST" hidden="1">"c4457"</definedName>
    <definedName name="IQ_MAINT_CAPEX_GUIDANCE_CIQ" hidden="1">"c4988"</definedName>
    <definedName name="IQ_MAINT_CAPEX_GUIDANCE_CIQ_COL" hidden="1">"c11635"</definedName>
    <definedName name="IQ_MAINT_CAPEX_HIGH_EST" hidden="1">"c4460"</definedName>
    <definedName name="IQ_MAINT_CAPEX_HIGH_GUIDANCE_CIQ" hidden="1">"c4609"</definedName>
    <definedName name="IQ_MAINT_CAPEX_HIGH_GUIDANCE_CIQ_COL" hidden="1">"c11258"</definedName>
    <definedName name="IQ_MAINT_CAPEX_LOW_EST" hidden="1">"c4461"</definedName>
    <definedName name="IQ_MAINT_CAPEX_LOW_GUIDANCE_CIQ" hidden="1">"c4649"</definedName>
    <definedName name="IQ_MAINT_CAPEX_LOW_GUIDANCE_CIQ_COL" hidden="1">"c11298"</definedName>
    <definedName name="IQ_MAINT_CAPEX_MEDIAN_EST" hidden="1">"c4462"</definedName>
    <definedName name="IQ_MAINT_CAPEX_NUM_EST" hidden="1">"c4463"</definedName>
    <definedName name="IQ_MAINT_CAPEX_STDDEV_EST" hidden="1">"c4464"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N_INVENTORIES" hidden="1">"c6913"</definedName>
    <definedName name="IQ_MAN_INVENTORIES_APR" hidden="1">"c7573"</definedName>
    <definedName name="IQ_MAN_INVENTORIES_APR_FC" hidden="1">"c8453"</definedName>
    <definedName name="IQ_MAN_INVENTORIES_FC" hidden="1">"c7793"</definedName>
    <definedName name="IQ_MAN_INVENTORIES_POP" hidden="1">"c7133"</definedName>
    <definedName name="IQ_MAN_INVENTORIES_POP_FC" hidden="1">"c8013"</definedName>
    <definedName name="IQ_MAN_INVENTORIES_YOY" hidden="1">"c7353"</definedName>
    <definedName name="IQ_MAN_INVENTORIES_YOY_FC" hidden="1">"c8233"</definedName>
    <definedName name="IQ_MAN_IS_RATIO" hidden="1">"c6912"</definedName>
    <definedName name="IQ_MAN_IS_RATIO_APR" hidden="1">"c7572"</definedName>
    <definedName name="IQ_MAN_IS_RATIO_APR_FC" hidden="1">"c8452"</definedName>
    <definedName name="IQ_MAN_IS_RATIO_FC" hidden="1">"c7792"</definedName>
    <definedName name="IQ_MAN_IS_RATIO_POP" hidden="1">"c7132"</definedName>
    <definedName name="IQ_MAN_IS_RATIO_POP_FC" hidden="1">"c8012"</definedName>
    <definedName name="IQ_MAN_IS_RATIO_YOY" hidden="1">"c7352"</definedName>
    <definedName name="IQ_MAN_IS_RATIO_YOY_FC" hidden="1">"c8232"</definedName>
    <definedName name="IQ_MAN_ORDERS" hidden="1">"c6914"</definedName>
    <definedName name="IQ_MAN_ORDERS_APR" hidden="1">"c7574"</definedName>
    <definedName name="IQ_MAN_ORDERS_APR_FC" hidden="1">"c8454"</definedName>
    <definedName name="IQ_MAN_ORDERS_FC" hidden="1">"c7794"</definedName>
    <definedName name="IQ_MAN_ORDERS_POP" hidden="1">"c7134"</definedName>
    <definedName name="IQ_MAN_ORDERS_POP_FC" hidden="1">"c8014"</definedName>
    <definedName name="IQ_MAN_ORDERS_YOY" hidden="1">"c7354"</definedName>
    <definedName name="IQ_MAN_ORDERS_YOY_FC" hidden="1">"c8234"</definedName>
    <definedName name="IQ_MAN_OUTPUT_HR" hidden="1">"c6915"</definedName>
    <definedName name="IQ_MAN_OUTPUT_HR_APR" hidden="1">"c7575"</definedName>
    <definedName name="IQ_MAN_OUTPUT_HR_APR_FC" hidden="1">"c8455"</definedName>
    <definedName name="IQ_MAN_OUTPUT_HR_FC" hidden="1">"c7795"</definedName>
    <definedName name="IQ_MAN_OUTPUT_HR_POP" hidden="1">"c7135"</definedName>
    <definedName name="IQ_MAN_OUTPUT_HR_POP_FC" hidden="1">"c8015"</definedName>
    <definedName name="IQ_MAN_OUTPUT_HR_YOY" hidden="1">"c7355"</definedName>
    <definedName name="IQ_MAN_OUTPUT_HR_YOY_FC" hidden="1">"c8235"</definedName>
    <definedName name="IQ_MAN_PAYROLLS" hidden="1">"c6916"</definedName>
    <definedName name="IQ_MAN_PAYROLLS_APR" hidden="1">"c7576"</definedName>
    <definedName name="IQ_MAN_PAYROLLS_APR_FC" hidden="1">"c8456"</definedName>
    <definedName name="IQ_MAN_PAYROLLS_FC" hidden="1">"c7796"</definedName>
    <definedName name="IQ_MAN_PAYROLLS_POP" hidden="1">"c7136"</definedName>
    <definedName name="IQ_MAN_PAYROLLS_POP_FC" hidden="1">"c8016"</definedName>
    <definedName name="IQ_MAN_PAYROLLS_YOY" hidden="1">"c7356"</definedName>
    <definedName name="IQ_MAN_PAYROLLS_YOY_FC" hidden="1">"c8236"</definedName>
    <definedName name="IQ_MAN_SHIPMENTS" hidden="1">"c6917"</definedName>
    <definedName name="IQ_MAN_SHIPMENTS_APR" hidden="1">"c7577"</definedName>
    <definedName name="IQ_MAN_SHIPMENTS_APR_FC" hidden="1">"c8457"</definedName>
    <definedName name="IQ_MAN_SHIPMENTS_FC" hidden="1">"c7797"</definedName>
    <definedName name="IQ_MAN_SHIPMENTS_POP" hidden="1">"c7137"</definedName>
    <definedName name="IQ_MAN_SHIPMENTS_POP_FC" hidden="1">"c8017"</definedName>
    <definedName name="IQ_MAN_SHIPMENTS_YOY" hidden="1">"c7357"</definedName>
    <definedName name="IQ_MAN_SHIPMENTS_YOY_FC" hidden="1">"c8237"</definedName>
    <definedName name="IQ_MAN_TOTAL_HR" hidden="1">"c6918"</definedName>
    <definedName name="IQ_MAN_TOTAL_HR_APR" hidden="1">"c7578"</definedName>
    <definedName name="IQ_MAN_TOTAL_HR_APR_FC" hidden="1">"c8458"</definedName>
    <definedName name="IQ_MAN_TOTAL_HR_FC" hidden="1">"c7798"</definedName>
    <definedName name="IQ_MAN_TOTAL_HR_POP" hidden="1">"c7138"</definedName>
    <definedName name="IQ_MAN_TOTAL_HR_POP_FC" hidden="1">"c8018"</definedName>
    <definedName name="IQ_MAN_TOTAL_HR_YOY" hidden="1">"c7358"</definedName>
    <definedName name="IQ_MAN_TOTAL_HR_YOY_FC" hidden="1">"c8238"</definedName>
    <definedName name="IQ_MAN_TRADE_INVENTORIES" hidden="1">"c6910"</definedName>
    <definedName name="IQ_MAN_TRADE_INVENTORIES_APR" hidden="1">"c7570"</definedName>
    <definedName name="IQ_MAN_TRADE_INVENTORIES_APR_FC" hidden="1">"c8450"</definedName>
    <definedName name="IQ_MAN_TRADE_INVENTORIES_FC" hidden="1">"c7790"</definedName>
    <definedName name="IQ_MAN_TRADE_INVENTORIES_POP" hidden="1">"c7130"</definedName>
    <definedName name="IQ_MAN_TRADE_INVENTORIES_POP_FC" hidden="1">"c8010"</definedName>
    <definedName name="IQ_MAN_TRADE_INVENTORIES_YOY" hidden="1">"c7350"</definedName>
    <definedName name="IQ_MAN_TRADE_INVENTORIES_YOY_FC" hidden="1">"c8230"</definedName>
    <definedName name="IQ_MAN_TRADE_IS_RATIO" hidden="1">"c6909"</definedName>
    <definedName name="IQ_MAN_TRADE_IS_RATIO_FC" hidden="1">"c7789"</definedName>
    <definedName name="IQ_MAN_TRADE_IS_RATIO_POP" hidden="1">"c7129"</definedName>
    <definedName name="IQ_MAN_TRADE_IS_RATIO_POP_FC" hidden="1">"c8009"</definedName>
    <definedName name="IQ_MAN_TRADE_IS_RATIO_YOY" hidden="1">"c7349"</definedName>
    <definedName name="IQ_MAN_TRADE_IS_RATIO_YOY_FC" hidden="1">"c8229"</definedName>
    <definedName name="IQ_MAN_TRADE_SALES" hidden="1">"c6911"</definedName>
    <definedName name="IQ_MAN_TRADE_SALES_APR" hidden="1">"c7571"</definedName>
    <definedName name="IQ_MAN_TRADE_SALES_APR_FC" hidden="1">"c8451"</definedName>
    <definedName name="IQ_MAN_TRADE_SALES_FC" hidden="1">"c7791"</definedName>
    <definedName name="IQ_MAN_TRADE_SALES_POP" hidden="1">"c7131"</definedName>
    <definedName name="IQ_MAN_TRADE_SALES_POP_FC" hidden="1">"c8011"</definedName>
    <definedName name="IQ_MAN_TRADE_SALES_YOY" hidden="1">"c7351"</definedName>
    <definedName name="IQ_MAN_TRADE_SALES_YOY_FC" hidden="1">"c8231"</definedName>
    <definedName name="IQ_MAN_WAGES" hidden="1">"c6919"</definedName>
    <definedName name="IQ_MAN_WAGES_APR" hidden="1">"c7579"</definedName>
    <definedName name="IQ_MAN_WAGES_APR_FC" hidden="1">"c8459"</definedName>
    <definedName name="IQ_MAN_WAGES_FC" hidden="1">"c7799"</definedName>
    <definedName name="IQ_MAN_WAGES_POP" hidden="1">"c7139"</definedName>
    <definedName name="IQ_MAN_WAGES_POP_FC" hidden="1">"c8019"</definedName>
    <definedName name="IQ_MAN_WAGES_YOY" hidden="1">"c7359"</definedName>
    <definedName name="IQ_MAN_WAGES_YOY_FC" hidden="1">"c8239"</definedName>
    <definedName name="IQ_MANAGED_PROP" hidden="1">"c8763"</definedName>
    <definedName name="IQ_MANAGED_SQ_FT" hidden="1">"c8779"</definedName>
    <definedName name="IQ_MANAGED_UNITS" hidden="1">"c8771"</definedName>
    <definedName name="IQ_MANUFACTURING_INV_APPAREL" hidden="1">"c20813"</definedName>
    <definedName name="IQ_MANUFACTURING_INV_BEVERAGE" hidden="1">"c20814"</definedName>
    <definedName name="IQ_MANUFACTURING_INV_CHEMICALS" hidden="1">"c20815"</definedName>
    <definedName name="IQ_MANUFACTURING_INV_COMPUTER" hidden="1">"c20816"</definedName>
    <definedName name="IQ_MANUFACTURING_INV_DUR" hidden="1">"c20817"</definedName>
    <definedName name="IQ_MANUFACTURING_INV_DUR_MISC" hidden="1">"c20818"</definedName>
    <definedName name="IQ_MANUFACTURING_INV_ELECTRIC" hidden="1">"c20819"</definedName>
    <definedName name="IQ_MANUFACTURING_INV_FAB_METALS" hidden="1">"c20820"</definedName>
    <definedName name="IQ_MANUFACTURING_INV_FOOD" hidden="1">"c20821"</definedName>
    <definedName name="IQ_MANUFACTURING_INV_FURNITURE" hidden="1">"c20822"</definedName>
    <definedName name="IQ_MANUFACTURING_INV_LEATHER" hidden="1">"c20823"</definedName>
    <definedName name="IQ_MANUFACTURING_INV_MACHINERY" hidden="1">"c20824"</definedName>
    <definedName name="IQ_MANUFACTURING_INV_MINERAL" hidden="1">"c20825"</definedName>
    <definedName name="IQ_MANUFACTURING_INV_NONDUR" hidden="1">"c20826"</definedName>
    <definedName name="IQ_MANUFACTURING_INV_PAPER" hidden="1">"c20827"</definedName>
    <definedName name="IQ_MANUFACTURING_INV_PETROLEUM" hidden="1">"c20828"</definedName>
    <definedName name="IQ_MANUFACTURING_INV_PLASTICS" hidden="1">"c20829"</definedName>
    <definedName name="IQ_MANUFACTURING_INV_PRIMARY_METALS" hidden="1">"c20830"</definedName>
    <definedName name="IQ_MANUFACTURING_INV_PRINTING" hidden="1">"c20831"</definedName>
    <definedName name="IQ_MANUFACTURING_INV_SALES_RATIO" hidden="1">"c20832"</definedName>
    <definedName name="IQ_MANUFACTURING_INV_TEXTILE_MILLS" hidden="1">"c20833"</definedName>
    <definedName name="IQ_MANUFACTURING_INV_TEXTILE_PRODUCTS" hidden="1">"c20834"</definedName>
    <definedName name="IQ_MANUFACTURING_INV_TOTAL" hidden="1">"c20835"</definedName>
    <definedName name="IQ_MANUFACTURING_INV_TRANSPORTATION" hidden="1">"c20836"</definedName>
    <definedName name="IQ_MANUFACTURING_INV_WOOD" hidden="1">"c20837"</definedName>
    <definedName name="IQ_MANUFACTURING_NEW_ORDERS" hidden="1">"c20838"</definedName>
    <definedName name="IQ_MANUFACTURING_NEW_ORDERS_COMPUTERS" hidden="1">"c20839"</definedName>
    <definedName name="IQ_MANUFACTURING_NEW_ORDERS_DUR" hidden="1">"c20840"</definedName>
    <definedName name="IQ_MANUFACTURING_NEW_ORDERS_ELECTRIC" hidden="1">"c20841"</definedName>
    <definedName name="IQ_MANUFACTURING_NEW_ORDERS_FAB_METALS" hidden="1">"c20842"</definedName>
    <definedName name="IQ_MANUFACTURING_NEW_ORDERS_FURNITURE" hidden="1">"c20843"</definedName>
    <definedName name="IQ_MANUFACTURING_NEW_ORDERS_MACHINERY" hidden="1">"c20844"</definedName>
    <definedName name="IQ_MANUFACTURING_NEW_ORDERS_METALS" hidden="1">"c20845"</definedName>
    <definedName name="IQ_MANUFACTURING_NEW_ORDERS_NONDUR" hidden="1">"c20846"</definedName>
    <definedName name="IQ_MANUFACTURING_NEW_ORDERS_TRANSPORTATION" hidden="1">"c20847"</definedName>
    <definedName name="IQ_MANUFACTURING_SHIPMENTS_APPAREL" hidden="1">"c20848"</definedName>
    <definedName name="IQ_MANUFACTURING_SHIPMENTS_BEVERAGE" hidden="1">"c20849"</definedName>
    <definedName name="IQ_MANUFACTURING_SHIPMENTS_CHEMICALS" hidden="1">"c20850"</definedName>
    <definedName name="IQ_MANUFACTURING_SHIPMENTS_DUR" hidden="1">"c20851"</definedName>
    <definedName name="IQ_MANUFACTURING_SHIPMENTS_DUR_COMPUTER" hidden="1">"c20852"</definedName>
    <definedName name="IQ_MANUFACTURING_SHIPMENTS_DUR_ELECTRIC" hidden="1">"c20853"</definedName>
    <definedName name="IQ_MANUFACTURING_SHIPMENTS_DUR_FAB_METALS" hidden="1">"c20854"</definedName>
    <definedName name="IQ_MANUFACTURING_SHIPMENTS_DUR_FURNITURE" hidden="1">"c20855"</definedName>
    <definedName name="IQ_MANUFACTURING_SHIPMENTS_DUR_MACHINERY" hidden="1">"c20856"</definedName>
    <definedName name="IQ_MANUFACTURING_SHIPMENTS_DUR_MINERALS" hidden="1">"c20857"</definedName>
    <definedName name="IQ_MANUFACTURING_SHIPMENTS_DUR_MISC" hidden="1">"c20858"</definedName>
    <definedName name="IQ_MANUFACTURING_SHIPMENTS_DUR_PRIM_METALS" hidden="1">"c20859"</definedName>
    <definedName name="IQ_MANUFACTURING_SHIPMENTS_DUR_TRANSPORTATION" hidden="1">"c20860"</definedName>
    <definedName name="IQ_MANUFACTURING_SHIPMENTS_DUR_WOOD" hidden="1">"c20861"</definedName>
    <definedName name="IQ_MANUFACTURING_SHIPMENTS_FOOD" hidden="1">"c20862"</definedName>
    <definedName name="IQ_MANUFACTURING_SHIPMENTS_LEATHER" hidden="1">"c20863"</definedName>
    <definedName name="IQ_MANUFACTURING_SHIPMENTS_NONDUR" hidden="1">"c20864"</definedName>
    <definedName name="IQ_MANUFACTURING_SHIPMENTS_PAPER" hidden="1">"c20865"</definedName>
    <definedName name="IQ_MANUFACTURING_SHIPMENTS_PETROLEUM" hidden="1">"c20866"</definedName>
    <definedName name="IQ_MANUFACTURING_SHIPMENTS_PLASTICS" hidden="1">"c20867"</definedName>
    <definedName name="IQ_MANUFACTURING_SHIPMENTS_PRINTING" hidden="1">"c20868"</definedName>
    <definedName name="IQ_MANUFACTURING_SHIPMENTS_TEXTILE_MILLS" hidden="1">"c20869"</definedName>
    <definedName name="IQ_MANUFACTURING_SHIPMENTS_TEXTILE_PRODUCTS" hidden="1">"c20870"</definedName>
    <definedName name="IQ_MANUFACTURING_SHIPMENTS_TOTAL" hidden="1">"c20871"</definedName>
    <definedName name="IQ_MANUFACTURING_UNFILLED_ORDERS" hidden="1">"c20872"</definedName>
    <definedName name="IQ_MANUFACTURING_UNFILLED_ORDERS_COMPUTERS" hidden="1">"c20873"</definedName>
    <definedName name="IQ_MANUFACTURING_UNFILLED_ORDERS_DUR" hidden="1">"c20874"</definedName>
    <definedName name="IQ_MANUFACTURING_UNFILLED_ORDERS_ELECTRIC" hidden="1">"c20875"</definedName>
    <definedName name="IQ_MANUFACTURING_UNFILLED_ORDERS_FAB_METALS" hidden="1">"c20876"</definedName>
    <definedName name="IQ_MANUFACTURING_UNFILLED_ORDERS_FURNITURE" hidden="1">"c20877"</definedName>
    <definedName name="IQ_MANUFACTURING_UNFILLED_ORDERS_MACHINERY" hidden="1">"c20878"</definedName>
    <definedName name="IQ_MANUFACTURING_UNFILLED_ORDERS_METALS" hidden="1">"c20879"</definedName>
    <definedName name="IQ_MANUFACTURING_UNFILLED_ORDERS_TRANSPORTATION" hidden="1">"c20880"</definedName>
    <definedName name="IQ_MARGIN_ANNUAL_PREMIUM_EQUIVALENT_NEW_BUSINESS" hidden="1">"c9970"</definedName>
    <definedName name="IQ_MARGIN_PV_PREMIUMS_NEW_BUSINESS" hidden="1">"c9971"</definedName>
    <definedName name="IQ_MARKET_CAP_LFCF" hidden="1">"c2209"</definedName>
    <definedName name="IQ_MARKETCAP" hidden="1">"c712"</definedName>
    <definedName name="IQ_MARKETING" hidden="1">"c2239"</definedName>
    <definedName name="IQ_MARKETING_OTHER_PROF_SERVICES_THRIFT" hidden="1">"c24788"</definedName>
    <definedName name="IQ_MARKETING_PROMOTION_EXPENSE" hidden="1">"c16035"</definedName>
    <definedName name="IQ_MATERIALS_SUPPLES_INVENTORY_COAL" hidden="1">"c15942"</definedName>
    <definedName name="IQ_MATURITY_DATE" hidden="1">"c2146"</definedName>
    <definedName name="IQ_MATURITY_ONE_YEAR_LESS_FDIC" hidden="1">"c6425"</definedName>
    <definedName name="IQ_MBS_ALL_OTHER_COMM_AFS_FFIEC" hidden="1">"c27004"</definedName>
    <definedName name="IQ_MBS_COMM_OTHER_PASS_THROUGH_AFS_AMORT_COST_FFIEC" hidden="1">"c27020"</definedName>
    <definedName name="IQ_MBS_COMM_OTHER_PASS_THROUGH_AFS_FFIEC" hidden="1">"c27002"</definedName>
    <definedName name="IQ_MBS_COMM_OTHER_PASS_THROUGH_HTM_FAIR_VAL_FFIEC" hidden="1">"c27016"</definedName>
    <definedName name="IQ_MBS_COMM_OTHER_PASS_THROUGH_HTM_FFIEC" hidden="1">"c26998"</definedName>
    <definedName name="IQ_MBS_COMM_PASS_THROUGH_ISSUED_FNMA_AFS_AMORT_COST_FFIEC" hidden="1">"c27019"</definedName>
    <definedName name="IQ_MBS_COMM_PASS_THROUGH_ISSUED_FNMA_AFS_FFIEC" hidden="1">"c27001"</definedName>
    <definedName name="IQ_MBS_COMM_PASS_THROUGH_ISSUED_FNMA_HTM_FAIR_VAL_FFIEC" hidden="1">"c27015"</definedName>
    <definedName name="IQ_MBS_COMM_PASS_THROUGH_ISSUED_FNMA_HTM_FFIEC" hidden="1">"c26997"</definedName>
    <definedName name="IQ_MBS_INVEST_SECURITIES_FFIEC" hidden="1">"c13460"</definedName>
    <definedName name="IQ_MBS_OTHER_COMM_AFS_AMORT_COST_FFIEC" hidden="1">"c27022"</definedName>
    <definedName name="IQ_MBS_OTHER_COMM_HTM_FAIR_VAL_FFIEC" hidden="1">"c27018"</definedName>
    <definedName name="IQ_MBS_OTHER_COMM_HTM_FFIEC" hidden="1">"c27000"</definedName>
    <definedName name="IQ_MBS_OTHER_COMM_ISSUED_FNMA_AFS_AMORT_COST_FFIEC" hidden="1">"c27021"</definedName>
    <definedName name="IQ_MBS_OTHER_COMM_ISSUED_FNMA_AFS_FFIEC" hidden="1">"c27003"</definedName>
    <definedName name="IQ_MBS_OTHER_COMM_ISSUED_FNMA_HTM_FAIR_VAL_FFIEC" hidden="1">"c27017"</definedName>
    <definedName name="IQ_MBS_OTHER_COMM_ISSUED_FNMA_HTM_FFIEC" hidden="1">"c26999"</definedName>
    <definedName name="IQ_MBS_OTHER_ISSUED_FNMA_HTM_AMORT_COST_FFIEC" hidden="1">"c20444"</definedName>
    <definedName name="IQ_MBS_OTHER_ISSUED_FNMA_HTM_FAIR_VAL_FFIEC" hidden="1">"c20479"</definedName>
    <definedName name="IQ_MBS_OTHER_ISSUED_FNMA_OTHERS_AFS_AMORT_COST_FFIEC" hidden="1">"c20496"</definedName>
    <definedName name="IQ_MBS_OTHER_ISSUED_FNMA_OTHERS_AFS_FAIR_VAL_FFIEC" hidden="1">"c20461"</definedName>
    <definedName name="IQ_MBS_OTHER_ISSUED_FNMA_OTHERS_AVAIL_SALE_FFIEC" hidden="1">"c12799"</definedName>
    <definedName name="IQ_MBS_OTHER_ISSUED_FNMA_OTHERS_FFIEC" hidden="1">"c12785"</definedName>
    <definedName name="IQ_MBS_PASS_THROUGH_FNMA_AFS_AMORT_COST_FFIEC" hidden="1">"c20494"</definedName>
    <definedName name="IQ_MBS_PASS_THROUGH_FNMA_AFS_FAIR_VAL_FFIEC" hidden="1">"c20459"</definedName>
    <definedName name="IQ_MBS_PASS_THROUGH_FNMA_AVAIL_SALE_FFIEC" hidden="1">"c12797"</definedName>
    <definedName name="IQ_MBS_PASS_THROUGH_FNMA_FFIEC" hidden="1">"c12783"</definedName>
    <definedName name="IQ_MBS_PASS_THROUGH_FNMA_HTM_AMORT_COST_FFIEC" hidden="1">"c20442"</definedName>
    <definedName name="IQ_MBS_PASS_THROUGH_FNMA_HTM_FAIR_VAL_FFIEC" hidden="1">"c20477"</definedName>
    <definedName name="IQ_MBS_PASS_THROUGH_GNMA_AFS_AMORT_COST_FFIEC" hidden="1">"c20493"</definedName>
    <definedName name="IQ_MBS_PASS_THROUGH_GNMA_AFS_FAIR_VAL_FFIEC" hidden="1">"c20458"</definedName>
    <definedName name="IQ_MBS_PASS_THROUGH_GNMA_AVAIL_SALE_FFIEC" hidden="1">"c12796"</definedName>
    <definedName name="IQ_MBS_PASS_THROUGH_GNMA_FFIEC" hidden="1">"c12782"</definedName>
    <definedName name="IQ_MBS_PASS_THROUGH_GNMA_HTM_AMORT_COST_FFIEC" hidden="1">"c20441"</definedName>
    <definedName name="IQ_MBS_PASS_THROUGH_GNMA_HTM_FAIR_VAL_FFIEC" hidden="1">"c20476"</definedName>
    <definedName name="IQ_MBS_PASS_THROUGH_ISSUED_FNMA_GNMA_TRADING_DOM_FFIEC" hidden="1">"c12921"</definedName>
    <definedName name="IQ_MBS_PASS_THROUGH_OTHER_AFS_AMORT_COST_FFIEC" hidden="1">"c20495"</definedName>
    <definedName name="IQ_MBS_PASS_THROUGH_OTHER_AFS_FAIR_VAL_FFIEC" hidden="1">"c20460"</definedName>
    <definedName name="IQ_MBS_PASS_THROUGH_OTHER_AVAIL_SALE_FFIEC" hidden="1">"c12798"</definedName>
    <definedName name="IQ_MBS_PASS_THROUGH_OTHER_FFIEC" hidden="1">"c12784"</definedName>
    <definedName name="IQ_MBS_PASS_THROUGH_OTHER_HTM_AMORT_COST_FFIEC" hidden="1">"c20443"</definedName>
    <definedName name="IQ_MBS_PASS_THROUGH_OTHER_HTM_FAIR_VAL_FFIEC" hidden="1">"c20478"</definedName>
    <definedName name="IQ_MBS_QUARTERLY_AVG_FFIEC" hidden="1">"c15471"</definedName>
    <definedName name="IQ_MC_ASO_COVERED_LIVES" hidden="1">"c9918"</definedName>
    <definedName name="IQ_MC_ASO_MEMBERSHIP" hidden="1">"c9921"</definedName>
    <definedName name="IQ_MC_CLAIMS_RESERVES" hidden="1">"c9941"</definedName>
    <definedName name="IQ_MC_COMBINED_RATIO" hidden="1">"c9933"</definedName>
    <definedName name="IQ_MC_COMMERCIAL_ASO_FEES" hidden="1">"c15862"</definedName>
    <definedName name="IQ_MC_COMMERCIAL_NON_RISK_MEMBERS" hidden="1">"c15835"</definedName>
    <definedName name="IQ_MC_COMMERCIAL_PREMIUMS" hidden="1">"c15852"</definedName>
    <definedName name="IQ_MC_DAYS_CLAIMS_PAYABLE" hidden="1">"c9937"</definedName>
    <definedName name="IQ_MC_DAYS_CLAIMS_PAYABLE_EXCL_CAPITATION" hidden="1">"c9938"</definedName>
    <definedName name="IQ_MC_DENTAL_MEMBERS" hidden="1">"c15832"</definedName>
    <definedName name="IQ_MC_DENTAL_PREMIUMS" hidden="1">"c15858"</definedName>
    <definedName name="IQ_MC_HMO_MEMBERS" hidden="1">"c15824"</definedName>
    <definedName name="IQ_MC_HMO_PREMIUMS" hidden="1">"c15850"</definedName>
    <definedName name="IQ_MC_INDEMNITY_MEMBERS" hidden="1">"c15825"</definedName>
    <definedName name="IQ_MC_INDEMNITY_PREMIUMS" hidden="1">"c15851"</definedName>
    <definedName name="IQ_MC_MEDICAID_ASO_FEES" hidden="1">"c15865"</definedName>
    <definedName name="IQ_MC_MEDICAID_MEMBERS" hidden="1">"c15830"</definedName>
    <definedName name="IQ_MC_MEDICAID_NON_RISK_MEMBERS" hidden="1">"c15838"</definedName>
    <definedName name="IQ_MC_MEDICAID_PREMIUMS" hidden="1">"c15856"</definedName>
    <definedName name="IQ_MC_MEDICAL_COST" hidden="1">"c15847"</definedName>
    <definedName name="IQ_MC_MEDICAL_COSTS_PMPM" hidden="1">"c9925"</definedName>
    <definedName name="IQ_MC_MEDICARE_ASO_FEES" hidden="1">"c15864"</definedName>
    <definedName name="IQ_MC_MEDICARE_MEMBERS" hidden="1">"c15828"</definedName>
    <definedName name="IQ_MC_MEDICARE_NON_RISK_MEMBERS" hidden="1">"c15837"</definedName>
    <definedName name="IQ_MC_MEDICARE_PART_D_MEMBERS" hidden="1">"c15829"</definedName>
    <definedName name="IQ_MC_MEDICARE_PART_D_PREMIUMS" hidden="1">"c15855"</definedName>
    <definedName name="IQ_MC_MEDICARE_PREMIUMS" hidden="1">"c15854"</definedName>
    <definedName name="IQ_MC_MILITARY_ASO_FEES" hidden="1">"c15863"</definedName>
    <definedName name="IQ_MC_MILITARY_MEMBERS" hidden="1">"c15827"</definedName>
    <definedName name="IQ_MC_MILITARY_NON_RISK_MEMBERS" hidden="1">"c15836"</definedName>
    <definedName name="IQ_MC_MILITARY_PREMIUMS" hidden="1">"c15853"</definedName>
    <definedName name="IQ_MC_NET_INVESTMENT_INCOME" hidden="1">"c15845"</definedName>
    <definedName name="IQ_MC_OTHER_REV" hidden="1">"c15846"</definedName>
    <definedName name="IQ_MC_PARENT_CASH" hidden="1">"c9942"</definedName>
    <definedName name="IQ_MC_PPO_POS_MEMBERS" hidden="1">"c15823"</definedName>
    <definedName name="IQ_MC_PPO_POS_PREMIUMS" hidden="1">"c15849"</definedName>
    <definedName name="IQ_MC_PREMIUMS" hidden="1">"c15861"</definedName>
    <definedName name="IQ_MC_PREMIUMS_PMPM" hidden="1">"c9924"</definedName>
    <definedName name="IQ_MC_RATIO" hidden="1">"c2783"</definedName>
    <definedName name="IQ_MC_RECEIPT_CYCLE_TIME_DAYS" hidden="1">"c9939"</definedName>
    <definedName name="IQ_MC_RECEIPT_CYCLE_TIME_MONTHS" hidden="1">"c9940"</definedName>
    <definedName name="IQ_MC_RISK_COVERED_LIVES" hidden="1">"c9917"</definedName>
    <definedName name="IQ_MC_RISK_MEMBERSHIP" hidden="1">"c9920"</definedName>
    <definedName name="IQ_MC_SELLILNG_COSTS_RATIO" hidden="1">"c9928"</definedName>
    <definedName name="IQ_MC_SGA_PMPM" hidden="1">"c9926"</definedName>
    <definedName name="IQ_MC_SPECIALTY_ASO_FEES" hidden="1">"c15867"</definedName>
    <definedName name="IQ_MC_SPECIALTY_NON_RISK_MEMBERS" hidden="1">"c15840"</definedName>
    <definedName name="IQ_MC_STATUTORY_SURPLUS" hidden="1">"c2772"</definedName>
    <definedName name="IQ_MC_TANGIBLE_EQUITY_MEDICAL_COST" hidden="1">"c15848"</definedName>
    <definedName name="IQ_MC_TANGIBLE_EQUITY_PER_MEMBER" hidden="1">"c15843"</definedName>
    <definedName name="IQ_MC_TOTAL_ASO_FEES" hidden="1">"c15868"</definedName>
    <definedName name="IQ_MC_TOTAL_COMMERCIAL_MEMBERS" hidden="1">"c15826"</definedName>
    <definedName name="IQ_MC_TOTAL_COVERED_LIVES" hidden="1">"c9919"</definedName>
    <definedName name="IQ_MC_TOTAL_EQUITY_PER_MEMBER" hidden="1">"c15842"</definedName>
    <definedName name="IQ_MC_TOTAL_GOVT_ASO_FEES" hidden="1">"c15866"</definedName>
    <definedName name="IQ_MC_TOTAL_GOVT_MEMBERS" hidden="1">"c15831"</definedName>
    <definedName name="IQ_MC_TOTAL_GOVT_NON_RISK_MEMBERS" hidden="1">"c15839"</definedName>
    <definedName name="IQ_MC_TOTAL_GOVT_PREMIUMS" hidden="1">"c15857"</definedName>
    <definedName name="IQ_MC_TOTAL_MEMBERSHIP" hidden="1">"c9922"</definedName>
    <definedName name="IQ_MC_TOTAL_MEMBERSHIP_CAPITATION" hidden="1">"c9923"</definedName>
    <definedName name="IQ_MC_TOTAL_OTHER_MEMBERS" hidden="1">"c15833"</definedName>
    <definedName name="IQ_MC_TOTAL_OTHER_PREMIUMS" hidden="1">"c15859"</definedName>
    <definedName name="IQ_MC_TOTAL_RESERVES_PER_MEMBER" hidden="1">"c15844"</definedName>
    <definedName name="IQ_MC_TOTAL_SEPCIALTY_MEMBERS" hidden="1">"c15834"</definedName>
    <definedName name="IQ_MC_TOTAL_SEPCIALTY_PREMIUMS" hidden="1">"c15860"</definedName>
    <definedName name="IQ_MC_TOTAL_STATUTORY_CAPITAL_SURPLUS_PER_MEMBER" hidden="1">"c15841"</definedName>
    <definedName name="IQ_MC_UNPROCESSED_CLAIMS_INVENTORY_DAYS" hidden="1">"c9936"</definedName>
    <definedName name="IQ_MC_UNPROCESSED_CLAIMS_INVENTORY_NUMBER" hidden="1">"c9934"</definedName>
    <definedName name="IQ_MC_UNPROCESSED_CLAIMS_INVENTORY_VALUE" hidden="1">"c9935"</definedName>
    <definedName name="IQ_MEASURED_ATTRIB_ORE_RESOURCES_ALUM" hidden="1">"c9237"</definedName>
    <definedName name="IQ_MEASURED_ATTRIB_ORE_RESOURCES_COP" hidden="1">"c9181"</definedName>
    <definedName name="IQ_MEASURED_ATTRIB_ORE_RESOURCES_DIAM" hidden="1">"c9661"</definedName>
    <definedName name="IQ_MEASURED_ATTRIB_ORE_RESOURCES_GOLD" hidden="1">"c9022"</definedName>
    <definedName name="IQ_MEASURED_ATTRIB_ORE_RESOURCES_IRON" hidden="1">"c9396"</definedName>
    <definedName name="IQ_MEASURED_ATTRIB_ORE_RESOURCES_LEAD" hidden="1">"c9449"</definedName>
    <definedName name="IQ_MEASURED_ATTRIB_ORE_RESOURCES_MANG" hidden="1">"c9502"</definedName>
    <definedName name="IQ_MEASURED_ATTRIB_ORE_RESOURCES_MOLYB" hidden="1">"c9714"</definedName>
    <definedName name="IQ_MEASURED_ATTRIB_ORE_RESOURCES_NICK" hidden="1">"c9290"</definedName>
    <definedName name="IQ_MEASURED_ATTRIB_ORE_RESOURCES_PLAT" hidden="1">"c9128"</definedName>
    <definedName name="IQ_MEASURED_ATTRIB_ORE_RESOURCES_SILVER" hidden="1">"c9075"</definedName>
    <definedName name="IQ_MEASURED_ATTRIB_ORE_RESOURCES_TITAN" hidden="1">"c9555"</definedName>
    <definedName name="IQ_MEASURED_ATTRIB_ORE_RESOURCES_URAN" hidden="1">"c9608"</definedName>
    <definedName name="IQ_MEASURED_ATTRIB_ORE_RESOURCES_ZINC" hidden="1">"c9343"</definedName>
    <definedName name="IQ_MEASURED_INDICATED_ATTRIB_ORE_RESOURCES_ALUM" hidden="1">"c9239"</definedName>
    <definedName name="IQ_MEASURED_INDICATED_ATTRIB_ORE_RESOURCES_COP" hidden="1">"c9183"</definedName>
    <definedName name="IQ_MEASURED_INDICATED_ATTRIB_ORE_RESOURCES_DIAM" hidden="1">"c9663"</definedName>
    <definedName name="IQ_MEASURED_INDICATED_ATTRIB_ORE_RESOURCES_GOLD" hidden="1">"c9024"</definedName>
    <definedName name="IQ_MEASURED_INDICATED_ATTRIB_ORE_RESOURCES_IRON" hidden="1">"c9398"</definedName>
    <definedName name="IQ_MEASURED_INDICATED_ATTRIB_ORE_RESOURCES_LEAD" hidden="1">"c9451"</definedName>
    <definedName name="IQ_MEASURED_INDICATED_ATTRIB_ORE_RESOURCES_MANG" hidden="1">"c9504"</definedName>
    <definedName name="IQ_MEASURED_INDICATED_ATTRIB_ORE_RESOURCES_MOLYB" hidden="1">"c9716"</definedName>
    <definedName name="IQ_MEASURED_INDICATED_ATTRIB_ORE_RESOURCES_NICK" hidden="1">"c9292"</definedName>
    <definedName name="IQ_MEASURED_INDICATED_ATTRIB_ORE_RESOURCES_PLAT" hidden="1">"c9130"</definedName>
    <definedName name="IQ_MEASURED_INDICATED_ATTRIB_ORE_RESOURCES_SILVER" hidden="1">"c9077"</definedName>
    <definedName name="IQ_MEASURED_INDICATED_ATTRIB_ORE_RESOURCES_TITAN" hidden="1">"c9557"</definedName>
    <definedName name="IQ_MEASURED_INDICATED_ATTRIB_ORE_RESOURCES_URAN" hidden="1">"c9610"</definedName>
    <definedName name="IQ_MEASURED_INDICATED_ATTRIB_ORE_RESOURCES_ZINC" hidden="1">"c9345"</definedName>
    <definedName name="IQ_MEASURED_INDICATED_ORE_RESOURCES_ALUM" hidden="1">"c9226"</definedName>
    <definedName name="IQ_MEASURED_INDICATED_ORE_RESOURCES_COP" hidden="1">"c9170"</definedName>
    <definedName name="IQ_MEASURED_INDICATED_ORE_RESOURCES_DIAM" hidden="1">"c9650"</definedName>
    <definedName name="IQ_MEASURED_INDICATED_ORE_RESOURCES_GOLD" hidden="1">"c9011"</definedName>
    <definedName name="IQ_MEASURED_INDICATED_ORE_RESOURCES_IRON" hidden="1">"c9385"</definedName>
    <definedName name="IQ_MEASURED_INDICATED_ORE_RESOURCES_LEAD" hidden="1">"c9438"</definedName>
    <definedName name="IQ_MEASURED_INDICATED_ORE_RESOURCES_MANG" hidden="1">"c9491"</definedName>
    <definedName name="IQ_MEASURED_INDICATED_ORE_RESOURCES_MOLYB" hidden="1">"c9703"</definedName>
    <definedName name="IQ_MEASURED_INDICATED_ORE_RESOURCES_NICK" hidden="1">"c9279"</definedName>
    <definedName name="IQ_MEASURED_INDICATED_ORE_RESOURCES_PLAT" hidden="1">"c9117"</definedName>
    <definedName name="IQ_MEASURED_INDICATED_ORE_RESOURCES_SILVER" hidden="1">"c9064"</definedName>
    <definedName name="IQ_MEASURED_INDICATED_ORE_RESOURCES_TITAN" hidden="1">"c9544"</definedName>
    <definedName name="IQ_MEASURED_INDICATED_ORE_RESOURCES_URAN" hidden="1">"c9597"</definedName>
    <definedName name="IQ_MEASURED_INDICATED_ORE_RESOURCES_ZINC" hidden="1">"c9332"</definedName>
    <definedName name="IQ_MEASURED_INDICATED_RECOV_RESOURCES_ALUM" hidden="1">"c9234"</definedName>
    <definedName name="IQ_MEASURED_INDICATED_RECOV_RESOURCES_COAL" hidden="1">"c9813"</definedName>
    <definedName name="IQ_MEASURED_INDICATED_RECOV_RESOURCES_COP" hidden="1">"c9178"</definedName>
    <definedName name="IQ_MEASURED_INDICATED_RECOV_RESOURCES_DIAM" hidden="1">"c9658"</definedName>
    <definedName name="IQ_MEASURED_INDICATED_RECOV_RESOURCES_GOLD" hidden="1">"c9019"</definedName>
    <definedName name="IQ_MEASURED_INDICATED_RECOV_RESOURCES_IRON" hidden="1">"c9393"</definedName>
    <definedName name="IQ_MEASURED_INDICATED_RECOV_RESOURCES_LEAD" hidden="1">"c9446"</definedName>
    <definedName name="IQ_MEASURED_INDICATED_RECOV_RESOURCES_MANG" hidden="1">"c9499"</definedName>
    <definedName name="IQ_MEASURED_INDICATED_RECOV_RESOURCES_MET_COAL" hidden="1">"c9753"</definedName>
    <definedName name="IQ_MEASURED_INDICATED_RECOV_RESOURCES_MOLYB" hidden="1">"c9711"</definedName>
    <definedName name="IQ_MEASURED_INDICATED_RECOV_RESOURCES_NICK" hidden="1">"c9287"</definedName>
    <definedName name="IQ_MEASURED_INDICATED_RECOV_RESOURCES_PLAT" hidden="1">"c9125"</definedName>
    <definedName name="IQ_MEASURED_INDICATED_RECOV_RESOURCES_SILVER" hidden="1">"c9072"</definedName>
    <definedName name="IQ_MEASURED_INDICATED_RECOV_RESOURCES_STEAM" hidden="1">"c9783"</definedName>
    <definedName name="IQ_MEASURED_INDICATED_RECOV_RESOURCES_TITAN" hidden="1">"c9552"</definedName>
    <definedName name="IQ_MEASURED_INDICATED_RECOV_RESOURCES_URAN" hidden="1">"c9605"</definedName>
    <definedName name="IQ_MEASURED_INDICATED_RECOV_RESOURCES_ZINC" hidden="1">"c9340"</definedName>
    <definedName name="IQ_MEASURED_INDICATED_RESOURCES_GRADE_ALUM" hidden="1">"c9227"</definedName>
    <definedName name="IQ_MEASURED_INDICATED_RESOURCES_GRADE_COP" hidden="1">"c9171"</definedName>
    <definedName name="IQ_MEASURED_INDICATED_RESOURCES_GRADE_DIAM" hidden="1">"c9651"</definedName>
    <definedName name="IQ_MEASURED_INDICATED_RESOURCES_GRADE_GOLD" hidden="1">"c9012"</definedName>
    <definedName name="IQ_MEASURED_INDICATED_RESOURCES_GRADE_IRON" hidden="1">"c9386"</definedName>
    <definedName name="IQ_MEASURED_INDICATED_RESOURCES_GRADE_LEAD" hidden="1">"c9439"</definedName>
    <definedName name="IQ_MEASURED_INDICATED_RESOURCES_GRADE_MANG" hidden="1">"c9492"</definedName>
    <definedName name="IQ_MEASURED_INDICATED_RESOURCES_GRADE_MOLYB" hidden="1">"c9704"</definedName>
    <definedName name="IQ_MEASURED_INDICATED_RESOURCES_GRADE_NICK" hidden="1">"c9280"</definedName>
    <definedName name="IQ_MEASURED_INDICATED_RESOURCES_GRADE_PLAT" hidden="1">"c9118"</definedName>
    <definedName name="IQ_MEASURED_INDICATED_RESOURCES_GRADE_SILVER" hidden="1">"c9065"</definedName>
    <definedName name="IQ_MEASURED_INDICATED_RESOURCES_GRADE_TITAN" hidden="1">"c9545"</definedName>
    <definedName name="IQ_MEASURED_INDICATED_RESOURCES_GRADE_URAN" hidden="1">"c9598"</definedName>
    <definedName name="IQ_MEASURED_INDICATED_RESOURCES_GRADE_ZINC" hidden="1">"c9333"</definedName>
    <definedName name="IQ_MEASURED_ORE_RESOURCES_ALUM" hidden="1">"c9222"</definedName>
    <definedName name="IQ_MEASURED_ORE_RESOURCES_COP" hidden="1">"c9166"</definedName>
    <definedName name="IQ_MEASURED_ORE_RESOURCES_DIAM" hidden="1">"c9646"</definedName>
    <definedName name="IQ_MEASURED_ORE_RESOURCES_GOLD" hidden="1">"c9007"</definedName>
    <definedName name="IQ_MEASURED_ORE_RESOURCES_IRON" hidden="1">"c9381"</definedName>
    <definedName name="IQ_MEASURED_ORE_RESOURCES_LEAD" hidden="1">"c9434"</definedName>
    <definedName name="IQ_MEASURED_ORE_RESOURCES_MANG" hidden="1">"c9487"</definedName>
    <definedName name="IQ_MEASURED_ORE_RESOURCES_MOLYB" hidden="1">"c9699"</definedName>
    <definedName name="IQ_MEASURED_ORE_RESOURCES_NICK" hidden="1">"c9275"</definedName>
    <definedName name="IQ_MEASURED_ORE_RESOURCES_PLAT" hidden="1">"c9113"</definedName>
    <definedName name="IQ_MEASURED_ORE_RESOURCES_SILVER" hidden="1">"c9060"</definedName>
    <definedName name="IQ_MEASURED_ORE_RESOURCES_TITAN" hidden="1">"c9540"</definedName>
    <definedName name="IQ_MEASURED_ORE_RESOURCES_URAN" hidden="1">"c9593"</definedName>
    <definedName name="IQ_MEASURED_ORE_RESOURCES_ZINC" hidden="1">"c9328"</definedName>
    <definedName name="IQ_MEASURED_RECOV_ATTRIB_RESOURCES_ALUM" hidden="1">"c9242"</definedName>
    <definedName name="IQ_MEASURED_RECOV_ATTRIB_RESOURCES_COAL" hidden="1">"c9816"</definedName>
    <definedName name="IQ_MEASURED_RECOV_ATTRIB_RESOURCES_COP" hidden="1">"c9186"</definedName>
    <definedName name="IQ_MEASURED_RECOV_ATTRIB_RESOURCES_DIAM" hidden="1">"c9666"</definedName>
    <definedName name="IQ_MEASURED_RECOV_ATTRIB_RESOURCES_GOLD" hidden="1">"c9027"</definedName>
    <definedName name="IQ_MEASURED_RECOV_ATTRIB_RESOURCES_IRON" hidden="1">"c9401"</definedName>
    <definedName name="IQ_MEASURED_RECOV_ATTRIB_RESOURCES_LEAD" hidden="1">"c9454"</definedName>
    <definedName name="IQ_MEASURED_RECOV_ATTRIB_RESOURCES_MANG" hidden="1">"c9507"</definedName>
    <definedName name="IQ_MEASURED_RECOV_ATTRIB_RESOURCES_MET_COAL" hidden="1">"c9756"</definedName>
    <definedName name="IQ_MEASURED_RECOV_ATTRIB_RESOURCES_MOLYB" hidden="1">"c9719"</definedName>
    <definedName name="IQ_MEASURED_RECOV_ATTRIB_RESOURCES_NICK" hidden="1">"c9295"</definedName>
    <definedName name="IQ_MEASURED_RECOV_ATTRIB_RESOURCES_PLAT" hidden="1">"c9133"</definedName>
    <definedName name="IQ_MEASURED_RECOV_ATTRIB_RESOURCES_SILVER" hidden="1">"c9080"</definedName>
    <definedName name="IQ_MEASURED_RECOV_ATTRIB_RESOURCES_STEAM" hidden="1">"c9786"</definedName>
    <definedName name="IQ_MEASURED_RECOV_ATTRIB_RESOURCES_TITAN" hidden="1">"c9560"</definedName>
    <definedName name="IQ_MEASURED_RECOV_ATTRIB_RESOURCES_URAN" hidden="1">"c9613"</definedName>
    <definedName name="IQ_MEASURED_RECOV_ATTRIB_RESOURCES_ZINC" hidden="1">"c9348"</definedName>
    <definedName name="IQ_MEASURED_RECOV_RESOURCES_ALUM" hidden="1">"c9232"</definedName>
    <definedName name="IQ_MEASURED_RECOV_RESOURCES_COAL" hidden="1">"c9811"</definedName>
    <definedName name="IQ_MEASURED_RECOV_RESOURCES_COP" hidden="1">"c9176"</definedName>
    <definedName name="IQ_MEASURED_RECOV_RESOURCES_DIAM" hidden="1">"c9656"</definedName>
    <definedName name="IQ_MEASURED_RECOV_RESOURCES_GOLD" hidden="1">"c9017"</definedName>
    <definedName name="IQ_MEASURED_RECOV_RESOURCES_IRON" hidden="1">"c9391"</definedName>
    <definedName name="IQ_MEASURED_RECOV_RESOURCES_LEAD" hidden="1">"c9444"</definedName>
    <definedName name="IQ_MEASURED_RECOV_RESOURCES_MANG" hidden="1">"c9497"</definedName>
    <definedName name="IQ_MEASURED_RECOV_RESOURCES_MET_COAL" hidden="1">"c9751"</definedName>
    <definedName name="IQ_MEASURED_RECOV_RESOURCES_MOLYB" hidden="1">"c9709"</definedName>
    <definedName name="IQ_MEASURED_RECOV_RESOURCES_NICK" hidden="1">"c9285"</definedName>
    <definedName name="IQ_MEASURED_RECOV_RESOURCES_PLAT" hidden="1">"c9123"</definedName>
    <definedName name="IQ_MEASURED_RECOV_RESOURCES_SILVER" hidden="1">"c9070"</definedName>
    <definedName name="IQ_MEASURED_RECOV_RESOURCES_STEAM" hidden="1">"c9781"</definedName>
    <definedName name="IQ_MEASURED_RECOV_RESOURCES_TITAN" hidden="1">"c9550"</definedName>
    <definedName name="IQ_MEASURED_RECOV_RESOURCES_URAN" hidden="1">"c9603"</definedName>
    <definedName name="IQ_MEASURED_RECOV_RESOURCES_ZINC" hidden="1">"c9338"</definedName>
    <definedName name="IQ_MEASURED_RESOURCES_CALORIFIC_VALUE_COAL" hidden="1">"c9806"</definedName>
    <definedName name="IQ_MEASURED_RESOURCES_CALORIFIC_VALUE_MET_COAL" hidden="1">"c9746"</definedName>
    <definedName name="IQ_MEASURED_RESOURCES_CALORIFIC_VALUE_STEAM" hidden="1">"c9776"</definedName>
    <definedName name="IQ_MEASURED_RESOURCES_GRADE_ALUM" hidden="1">"c9223"</definedName>
    <definedName name="IQ_MEASURED_RESOURCES_GRADE_COP" hidden="1">"c9167"</definedName>
    <definedName name="IQ_MEASURED_RESOURCES_GRADE_DIAM" hidden="1">"c9647"</definedName>
    <definedName name="IQ_MEASURED_RESOURCES_GRADE_GOLD" hidden="1">"c9008"</definedName>
    <definedName name="IQ_MEASURED_RESOURCES_GRADE_IRON" hidden="1">"c9382"</definedName>
    <definedName name="IQ_MEASURED_RESOURCES_GRADE_LEAD" hidden="1">"c9435"</definedName>
    <definedName name="IQ_MEASURED_RESOURCES_GRADE_MANG" hidden="1">"c9488"</definedName>
    <definedName name="IQ_MEASURED_RESOURCES_GRADE_MOLYB" hidden="1">"c9700"</definedName>
    <definedName name="IQ_MEASURED_RESOURCES_GRADE_NICK" hidden="1">"c9276"</definedName>
    <definedName name="IQ_MEASURED_RESOURCES_GRADE_PLAT" hidden="1">"c9114"</definedName>
    <definedName name="IQ_MEASURED_RESOURCES_GRADE_SILVER" hidden="1">"c9061"</definedName>
    <definedName name="IQ_MEASURED_RESOURCES_GRADE_TITAN" hidden="1">"c9541"</definedName>
    <definedName name="IQ_MEASURED_RESOURCES_GRADE_URAN" hidden="1">"c9594"</definedName>
    <definedName name="IQ_MEASURED_RESOURCES_GRADE_ZINC" hidden="1">"c9329"</definedName>
    <definedName name="IQ_MEDIAN_NEW_HOME_SALES_APR_FC_UNUSED" hidden="1">"c8460"</definedName>
    <definedName name="IQ_MEDIAN_NEW_HOME_SALES_APR_FC_UNUSED_UNUSED_UNUSED" hidden="1">"c8460"</definedName>
    <definedName name="IQ_MEDIAN_NEW_HOME_SALES_APR_UNUSED" hidden="1">"c7580"</definedName>
    <definedName name="IQ_MEDIAN_NEW_HOME_SALES_APR_UNUSED_UNUSED_UNUSED" hidden="1">"c7580"</definedName>
    <definedName name="IQ_MEDIAN_NEW_HOME_SALES_FC_UNUSED" hidden="1">"c7800"</definedName>
    <definedName name="IQ_MEDIAN_NEW_HOME_SALES_FC_UNUSED_UNUSED_UNUSED" hidden="1">"c7800"</definedName>
    <definedName name="IQ_MEDIAN_NEW_HOME_SALES_POP_FC_UNUSED" hidden="1">"c8020"</definedName>
    <definedName name="IQ_MEDIAN_NEW_HOME_SALES_POP_FC_UNUSED_UNUSED_UNUSED" hidden="1">"c8020"</definedName>
    <definedName name="IQ_MEDIAN_NEW_HOME_SALES_POP_UNUSED" hidden="1">"c7140"</definedName>
    <definedName name="IQ_MEDIAN_NEW_HOME_SALES_POP_UNUSED_UNUSED_UNUSED" hidden="1">"c7140"</definedName>
    <definedName name="IQ_MEDIAN_NEW_HOME_SALES_UNUSED" hidden="1">"c6920"</definedName>
    <definedName name="IQ_MEDIAN_NEW_HOME_SALES_UNUSED_UNUSED_UNUSED" hidden="1">"c6920"</definedName>
    <definedName name="IQ_MEDIAN_NEW_HOME_SALES_YOY_FC_UNUSED" hidden="1">"c8240"</definedName>
    <definedName name="IQ_MEDIAN_NEW_HOME_SALES_YOY_FC_UNUSED_UNUSED_UNUSED" hidden="1">"c8240"</definedName>
    <definedName name="IQ_MEDIAN_NEW_HOME_SALES_YOY_UNUSED" hidden="1">"c7360"</definedName>
    <definedName name="IQ_MEDIAN_NEW_HOME_SALES_YOY_UNUSED_UNUSED_UNUSED" hidden="1">"c7360"</definedName>
    <definedName name="IQ_MEDIAN_TARGET_PRICE" hidden="1">"c1650"</definedName>
    <definedName name="IQ_MEDIAN_TARGET_PRICE_CIQ" hidden="1">"c4658"</definedName>
    <definedName name="IQ_MEDIAN_TARGET_PRICE_REUT" hidden="1">"c5316"</definedName>
    <definedName name="IQ_MEDIAN_TARGET_PRICE_THOM" hidden="1">"c5095"</definedName>
    <definedName name="IQ_MEDIUM_SULFUR_CONTENT_RESERVES_COAL" hidden="1">"c15926"</definedName>
    <definedName name="IQ_MEDIUM_SULFURE_RESERVES_TO_TOTAL_RESERVES_COAL" hidden="1">"c15962"</definedName>
    <definedName name="IQ_MEMO_LOANS_SOLD_WITH_RECOURSE_120_DAYS_LESS_THRIFT" hidden="1">"c25337"</definedName>
    <definedName name="IQ_MEMO_LOANS_SOLD_WITH_RECOURSE_GREATER_THAN_120_DAYS_THRIFT" hidden="1">"c25338"</definedName>
    <definedName name="IQ_MEMO_REFINANCING_LOANS_THRIFT" hidden="1">"c25336"</definedName>
    <definedName name="IQ_MERGER" hidden="1">"c713"</definedName>
    <definedName name="IQ_MERGER_BNK" hidden="1">"c714"</definedName>
    <definedName name="IQ_MERGER_BR" hidden="1">"c715"</definedName>
    <definedName name="IQ_MERGER_CM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CM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SUPPLE" hidden="1">"c13810"</definedName>
    <definedName name="IQ_MERGER_UTI" hidden="1">"c726"</definedName>
    <definedName name="IQ_METRIC_NAME" hidden="1">"c18017"</definedName>
    <definedName name="IQ_MI_RECOV_ATTRIB_RESOURCES_ALUM" hidden="1">"c9244"</definedName>
    <definedName name="IQ_MI_RECOV_ATTRIB_RESOURCES_COAL" hidden="1">"c9818"</definedName>
    <definedName name="IQ_MI_RECOV_ATTRIB_RESOURCES_COP" hidden="1">"c9188"</definedName>
    <definedName name="IQ_MI_RECOV_ATTRIB_RESOURCES_DIAM" hidden="1">"c9668"</definedName>
    <definedName name="IQ_MI_RECOV_ATTRIB_RESOURCES_GOLD" hidden="1">"c9029"</definedName>
    <definedName name="IQ_MI_RECOV_ATTRIB_RESOURCES_IRON" hidden="1">"c9403"</definedName>
    <definedName name="IQ_MI_RECOV_ATTRIB_RESOURCES_LEAD" hidden="1">"c9456"</definedName>
    <definedName name="IQ_MI_RECOV_ATTRIB_RESOURCES_MANG" hidden="1">"c9509"</definedName>
    <definedName name="IQ_MI_RECOV_ATTRIB_RESOURCES_MET_COAL" hidden="1">"c9758"</definedName>
    <definedName name="IQ_MI_RECOV_ATTRIB_RESOURCES_MOLYB" hidden="1">"c9721"</definedName>
    <definedName name="IQ_MI_RECOV_ATTRIB_RESOURCES_NICK" hidden="1">"c9297"</definedName>
    <definedName name="IQ_MI_RECOV_ATTRIB_RESOURCES_PLAT" hidden="1">"c9135"</definedName>
    <definedName name="IQ_MI_RECOV_ATTRIB_RESOURCES_SILVER" hidden="1">"c9082"</definedName>
    <definedName name="IQ_MI_RECOV_ATTRIB_RESOURCES_STEAM" hidden="1">"c9788"</definedName>
    <definedName name="IQ_MI_RECOV_ATTRIB_RESOURCES_TITAN" hidden="1">"c9562"</definedName>
    <definedName name="IQ_MI_RECOV_ATTRIB_RESOURCES_URAN" hidden="1">"c9615"</definedName>
    <definedName name="IQ_MI_RECOV_ATTRIB_RESOURCES_ZINC" hidden="1">"c9350"</definedName>
    <definedName name="IQ_MI_RESOURCES_CALORIFIC_VALUE_COAL" hidden="1">"c9808"</definedName>
    <definedName name="IQ_MI_RESOURCES_CALORIFIC_VALUE_MET_COAL" hidden="1">"c9748"</definedName>
    <definedName name="IQ_MI_RESOURCES_CALORIFIC_VALUE_STEAM" hidden="1">"c9778"</definedName>
    <definedName name="IQ_MILES_PASSED" hidden="1">"c2848"</definedName>
    <definedName name="IQ_MIN_USE_PER_SUB" hidden="1">"c15764"</definedName>
    <definedName name="IQ_MINE_DEVELOPMENT_GROSS_COAL" hidden="1">"c15940"</definedName>
    <definedName name="IQ_MINIMUM_RENTAL" hidden="1">"c26970"</definedName>
    <definedName name="IQ_MINORITY_INT_AVG_ASSETS_FFIEC" hidden="1">"c13367"</definedName>
    <definedName name="IQ_MINORITY_INT_AVG_ASSETS_THRIFT" hidden="1">"c25660"</definedName>
    <definedName name="IQ_MINORITY_INT_BS_FFIEC" hidden="1">"c12874"</definedName>
    <definedName name="IQ_MINORITY_INT_FFIEC" hidden="1">"c13031"</definedName>
    <definedName name="IQ_MINORITY_INT_REDEEM" hidden="1">"c25787"</definedName>
    <definedName name="IQ_MINORITY_INT_REDEEM_TOT" hidden="1">"c25789"</definedName>
    <definedName name="IQ_MINORITY_INT_THRIFT" hidden="1">"c24926"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CM" hidden="1">"c729"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NTUTES_USED_LOCAL" hidden="1">"c15808"</definedName>
    <definedName name="IQ_MINTUTES_USED_LONG_DIST" hidden="1">"c15809"</definedName>
    <definedName name="IQ_MISC_ADJUST_CF" hidden="1">"c736"</definedName>
    <definedName name="IQ_MISC_EARN_ADJ" hidden="1">"c1603"</definedName>
    <definedName name="IQ_MISCELLANEOUS_ASSETS_ALL_OTHER_ACCOUNTS_THRIFT" hidden="1">"c25437"</definedName>
    <definedName name="IQ_MISCELLANEOUS_ASSETS_EMPLOYEE_BENEFIT_RETIREMENT_RELATED_ACCOUNTS_THRIFT" hidden="1">"c25421"</definedName>
    <definedName name="IQ_MISCELLANEOUS_ASSETS_PERSONAL_TRUST_AGENCY_INV_MANAGEMENT_ACCOUNTS_THRIFT" hidden="1">"c25405"</definedName>
    <definedName name="IQ_MKT_RISK" hidden="1">"c26991"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CIQ" hidden="1">"c4041"</definedName>
    <definedName name="IQ_MKTCAP_TOTAL_REV_FWD_REUT" hidden="1">"c4048"</definedName>
    <definedName name="IQ_MKTCAP_TOTAL_REV_FWD_THOM" hidden="1">"c4055"</definedName>
    <definedName name="IQ_MM_ACCOUNT" hidden="1">"c743"</definedName>
    <definedName name="IQ_MM_ACCRETION_EXPENSE" hidden="1">"c9845"</definedName>
    <definedName name="IQ_MM_ARO_BEG" hidden="1">"c9842"</definedName>
    <definedName name="IQ_MM_ARO_TOTAL" hidden="1">"c9850"</definedName>
    <definedName name="IQ_MM_CURRENT_PORT_ARO" hidden="1">"c9851"</definedName>
    <definedName name="IQ_MM_DEVELOPED_ACREAGE" hidden="1">"c9832"</definedName>
    <definedName name="IQ_MM_DEVELOPED_SQ_KMS" hidden="1">"c9831"</definedName>
    <definedName name="IQ_MM_DEVELOPED_SQ_MILES" hidden="1">"c9833"</definedName>
    <definedName name="IQ_MM_EXPLORATION_EXPENDITURE_TOT" hidden="1">"c9840"</definedName>
    <definedName name="IQ_MM_FX_ADJUSTMENT" hidden="1">"c9847"</definedName>
    <definedName name="IQ_MM_LIABILITIES_INCURRED_ACQUIRED" hidden="1">"c9843"</definedName>
    <definedName name="IQ_MM_LIABILITIES_REL_SPIN_OFFS" hidden="1">"c9848"</definedName>
    <definedName name="IQ_MM_LIABILITIES_SETTLED_DISPOSED" hidden="1">"c9844"</definedName>
    <definedName name="IQ_MM_NON_CURRENT_PORT_ARO" hidden="1">"c9852"</definedName>
    <definedName name="IQ_MM_NUMBER_MINES" hidden="1">"c9839"</definedName>
    <definedName name="IQ_MM_OTHER_ADJUSTMENTS_ARO" hidden="1">"c9849"</definedName>
    <definedName name="IQ_MM_REMAINING_MINE_LIFE" hidden="1">"c9838"</definedName>
    <definedName name="IQ_MM_RESOURCES_INCL_EXCL_RESERVES" hidden="1">"c9841"</definedName>
    <definedName name="IQ_MM_REVISIONS_ESTIMATE" hidden="1">"c9846"</definedName>
    <definedName name="IQ_MM_STRIPPING_RATIO" hidden="1">"c9837"</definedName>
    <definedName name="IQ_MM_UNDEVELOPED_ACREAGE" hidden="1">"c9835"</definedName>
    <definedName name="IQ_MM_UNDEVELOPED_SQ_KMS" hidden="1">"c9834"</definedName>
    <definedName name="IQ_MM_UNDEVELOPED_SQ_MILES" hidden="1">"c9836"</definedName>
    <definedName name="IQ_MMDA_NON_TRANS_ACCTS_FFIEC" hidden="1">"c15330"</definedName>
    <definedName name="IQ_MMDA_SAVINGS_TOT_DEPOSITS_FFIEC" hidden="1">"c13905"</definedName>
    <definedName name="IQ_MMDA_SAVINGS_TOTAL_DEPOSITS_THRIFT" hidden="1">"c25778"</definedName>
    <definedName name="IQ_MOBILE_HOME_LOANS_THRIFT" hidden="1">"c24863"</definedName>
    <definedName name="IQ_MONEY_MARKET_ACCOUNTS_COMMERCIAL_BANK_SUBS_FFIEC" hidden="1">"c12947"</definedName>
    <definedName name="IQ_MONEY_MARKET_ACCOUNTS_OTHER_INSTITUTIONS_FFIEC" hidden="1">"c12952"</definedName>
    <definedName name="IQ_MONEY_MARKET_DEPOSIT_ACCOUNTS_FDIC" hidden="1">"c6553"</definedName>
    <definedName name="IQ_MONEY_MARKET_DEPOSIT_ACCOUNTS_THRIFT" hidden="1">"c24999"</definedName>
    <definedName name="IQ_MONEY_MKT_DEPOSITS_TOTAL_DEPOSITS" hidden="1">"c15720"</definedName>
    <definedName name="IQ_MONEY_MKT_SAVINGS_ACCT_DEPOSITS_TOTAL_DEPOSITS" hidden="1">"c15722"</definedName>
    <definedName name="IQ_MONEY_SUPPLY_M1" hidden="1">"c20881"</definedName>
    <definedName name="IQ_MONEY_SUPPLY_M2" hidden="1">"c20882"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ASSET_BACKED_SEC_ELIGIBLE_20_PCT_RISK_WEIGHT_THRIFT" hidden="1">"c25057"</definedName>
    <definedName name="IQ_MORTGAGE_ASSET_BACKED_SEC_ELIGIBLE_50_PCT_RISK_WEIGHT_THRIFT" hidden="1">"c25066"</definedName>
    <definedName name="IQ_MORTGAGE_BACKED_SEC_ADJUSTED_NCOS_THRIFT" hidden="1">"c25198"</definedName>
    <definedName name="IQ_MORTGAGE_BACKED_SEC_GVA_CHARGE_OFFS_THRIFT" hidden="1">"c25113"</definedName>
    <definedName name="IQ_MORTGAGE_BACKED_SEC_GVA_RECOVERIES_THRIFT" hidden="1">"c25144"</definedName>
    <definedName name="IQ_MORTGAGE_BACKED_SEC_INV_SEC_THRIFT" hidden="1">"c25673"</definedName>
    <definedName name="IQ_MORTGAGE_BACKED_SEC_SVA_PROVISIONS_TRANSFERS_FROM_GVA_THRIFT" hidden="1">"c25167"</definedName>
    <definedName name="IQ_MORTGAGE_BACKED_SECURITIES_FDIC" hidden="1">"c6402"</definedName>
    <definedName name="IQ_MORTGAGE_BACKED_SECURITIES_QUARTERLY_AVG_FFIEC" hidden="1">"c27061"</definedName>
    <definedName name="IQ_MORTGAGE_DEBT_UNDER_CAPITAL_LEASES_FFIEC" hidden="1">"c15276"</definedName>
    <definedName name="IQ_MORTGAGE_LOAN_SERVICING_FEES_THRIFT" hidden="1">"c24766"</definedName>
    <definedName name="IQ_MORTGAGE_LOANS_ADJUSTED_NCOS_TOTAL_THRIFT" hidden="1">"c25199"</definedName>
    <definedName name="IQ_MORTGAGE_LOANS_CASH_REPAYMENT_PRINCIPAL_THRIFT" hidden="1">"c25334"</definedName>
    <definedName name="IQ_MORTGAGE_LOANS_DEBITS_LESS_CREDITS_OTHER_THAN_REPAYMENT_PRINCIPAL_THRIFT" hidden="1">"c25335"</definedName>
    <definedName name="IQ_MORTGAGE_LOANS_FORECLOSED_DURING_QUARTER_TOTAL_THRIFT" hidden="1">"c25236"</definedName>
    <definedName name="IQ_MORTGAGE_LOANS_GROSS_LOANS_THRIFT" hidden="1">"c25721"</definedName>
    <definedName name="IQ_MORTGAGE_LOANS_GVA_RECOVERIES_TOTAL_THRIFT" hidden="1">"c25145"</definedName>
    <definedName name="IQ_MORTGAGE_LOANS_PARTICIPATIONS_PURCHASED_FROM_ENTITIES_OTHER_THAN_FEDERALLY_INSURED_DEPOSITORY_INSTITUTIONS_THEIR_SUBSIDIARIES_THRIFT" hidden="1">"c25326"</definedName>
    <definedName name="IQ_MORTGAGE_LOANS_PARTICIPATIONS_PURCHASED_SECURED_1_4_DWELLING_UNITS_THRIFT" hidden="1">"c25325"</definedName>
    <definedName name="IQ_MORTGAGE_LOANS_PARTICIPATIONS_PURCHASED_SECURED_HOME_EQUITY_JUNIOR_LIENS_THRIFT" hidden="1">"c25327"</definedName>
    <definedName name="IQ_MORTGAGE_LOANS_PARTICIPATIONS_PURCHASED_SECURED_MULTIFAMILY_5_MORE_DWELLING_UNITS_THRIFT" hidden="1">"c25328"</definedName>
    <definedName name="IQ_MORTGAGE_LOANS_PARTICIPATIONS_PURCHASED_SECURED_NONRES_THRIFT" hidden="1">"c25329"</definedName>
    <definedName name="IQ_MORTGAGE_LOANS_PARTICIPATIONS_SOLD_SECURED_1_4_DWELLING_UNITS_THRIFT" hidden="1">"c25330"</definedName>
    <definedName name="IQ_MORTGAGE_LOANS_PARTICIPATIONS_SOLD_SECURED_HOME_EQUITY_JUNIOR_LIENS_THRIFT" hidden="1">"c25331"</definedName>
    <definedName name="IQ_MORTGAGE_LOANS_PARTICIPATIONS_SOLD_SECURED_MULTIFAMILY_5_MORE_DWELLING_UNITS_THRIFT" hidden="1">"c25332"</definedName>
    <definedName name="IQ_MORTGAGE_LOANS_PARTICIPATIONS_SOLD_SECURED_NONRES_THRIFT" hidden="1">"c25333"</definedName>
    <definedName name="IQ_MORTGAGE_LOANS_RISK_BASED_CAPITAL_THRIFT" hidden="1">"c25706"</definedName>
    <definedName name="IQ_MORTGAGE_LOANS_SECURED_NON_RES_PROPERTY_100000_THROUGH_250000_THRIFT" hidden="1">"c24954"</definedName>
    <definedName name="IQ_MORTGAGE_LOANS_SECURED_NON_RES_PROPERTY_250000_THROUGH_1000000_THRIFT" hidden="1">"c24956"</definedName>
    <definedName name="IQ_MORTGAGE_LOANS_SECURED_NON_RES_PROPERTY_LESS_THAN_EQUAL_100000_THRIFT" hidden="1">"c24952"</definedName>
    <definedName name="IQ_MORTGAGE_LOANS_SVA_PROVISIONS_TRANSFERS_FROM_GVA_TOTAL_THRIFT" hidden="1">"c25168"</definedName>
    <definedName name="IQ_MORTGAGE_LOANS_TOTAL_GVA_CHARGE_OFFS_THRIFT" hidden="1">"c25114"</definedName>
    <definedName name="IQ_MORTGAGE_LOANS_TOTAL_LOANS_THRIFT" hidden="1">"c25740"</definedName>
    <definedName name="IQ_MORTGAGE_SERV_RIGHTS" hidden="1">"c2242"</definedName>
    <definedName name="IQ_MORTGAGE_SERVICING_ASSETS_FFIEC" hidden="1">"c12838"</definedName>
    <definedName name="IQ_MORTGAGE_SERVICING_FDIC" hidden="1">"c6335"</definedName>
    <definedName name="IQ_MORTGAGE_SERVICING_RIGHTS_AMOUNTS_NETTED_THRIFT" hidden="1">"c25504"</definedName>
    <definedName name="IQ_MORTGAGE_SERVICING_RIGHTS_LEVEL_1_THRIFT" hidden="1">"c25500"</definedName>
    <definedName name="IQ_MORTGAGE_SERVICING_RIGHTS_LEVEL_2_THRIFT" hidden="1">"c25501"</definedName>
    <definedName name="IQ_MORTGAGE_SERVICING_RIGHTS_LEVEL_3_THRIFT" hidden="1">"c25502"</definedName>
    <definedName name="IQ_MORTGAGE_SERVICING_RIGHTS_TOTAL_AFTER_NETTING_THRIFT" hidden="1">"c25505"</definedName>
    <definedName name="IQ_MORTGAGE_SERVICING_RIGHTS_TOTAL_BEFORE_NETTING_THRIFT" hidden="1">"c25503"</definedName>
    <definedName name="IQ_MTD" hidden="1">800000</definedName>
    <definedName name="IQ_MTM_ADJ" hidden="1">"c16000"</definedName>
    <definedName name="IQ_MULTI_RES_PROPERTIES_TRADING_DOM_FFIEC" hidden="1">"c12930"</definedName>
    <definedName name="IQ_MULTIFAM_5_LOANS_TOT_LOANS_FFIEC" hidden="1">"c13869"</definedName>
    <definedName name="IQ_MULTIFAM_DOM_LOSS_SHARING_FFIEC" hidden="1">"c27210"</definedName>
    <definedName name="IQ_MULTIFAMILY_5_MORE_DWELLING_UNITS_CONSTRUCTION_MORTGAGE_LOANS_ADJUSTED_NCOS_TOTAL_THRIFT" hidden="1">"c25201"</definedName>
    <definedName name="IQ_MULTIFAMILY_5_MORE_DWELLING_UNITS_CONSTRUCTION_MORTGAGE_LOANS_GVA_CHARGE_OFFS_THRIFT" hidden="1">"c25116"</definedName>
    <definedName name="IQ_MULTIFAMILY_5_MORE_DWELLING_UNITS_CONSTRUCTION_MORTGAGE_LOANS_GVA_RECOVERIES_THRIFT" hidden="1">"c25147"</definedName>
    <definedName name="IQ_MULTIFAMILY_5_MORE_DWELLING_UNITS_CONSTRUCTION_MORTGAGE_LOANS_SVA_PROVISIONS_TRANSFERS_FROM_GVA_TOTAL_THRIFT" hidden="1">"c25170"</definedName>
    <definedName name="IQ_MULTIFAMILY_5_MORE_DWELLING_UNITS_IN_PROCESS_FORECLOSURE_THRIFT" hidden="1">"c25307"</definedName>
    <definedName name="IQ_MULTIFAMILY_5_MORE_DWELLING_UNITS_PML_ADJUSTED_NCOS_TOTAL_THRIFT" hidden="1">"c25206"</definedName>
    <definedName name="IQ_MULTIFAMILY_5_MORE_DWELLING_UNITS_PML_GVA_CHARGE_OFFS_THRIFT" hidden="1">"c25121"</definedName>
    <definedName name="IQ_MULTIFAMILY_5_MORE_DWELLING_UNITS_PML_GVA_RECOVERIES_THRIFT" hidden="1">"c25152"</definedName>
    <definedName name="IQ_MULTIFAMILY_5_MORE_DWELLING_UNITS_PML_SVA_PROVISIONS_TRANSFERS_FROM_GVA_TOTAL_THRIFT" hidden="1">"c25175"</definedName>
    <definedName name="IQ_MULTIFAMILY_5_MORE_LOANS_TOTAL_LOANS_THRIFT" hidden="1">"c25745"</definedName>
    <definedName name="IQ_MULTIFAMILY_LOANS_GROSS_LOANS_FFIEC" hidden="1">"c13404"</definedName>
    <definedName name="IQ_MULTIFAMILY_LOANS_GROSS_LOANS_THRIFT" hidden="1">"c25729"</definedName>
    <definedName name="IQ_MULTIFAMILY_LOANS_RISK_BASED_CAPITAL_THRIFT" hidden="1">"c25714"</definedName>
    <definedName name="IQ_MULTIFAMILY_LOANS_RISK_BASED_FFIEC" hidden="1">"c13425"</definedName>
    <definedName name="IQ_MULTIFAMILY_RES_DOM_FFIEC" hidden="1">"c15270"</definedName>
    <definedName name="IQ_MULTIFAMILY_RESIDENTIAL_LOANS_FDIC" hidden="1">"c6311"</definedName>
    <definedName name="IQ_MUNI_ADVALOREM_TAX" hidden="1">"c15144"</definedName>
    <definedName name="IQ_MUNI_AMT_TAX" hidden="1">"c15146"</definedName>
    <definedName name="IQ_MUNI_BANK_QUALIFIED" hidden="1">"c15148"</definedName>
    <definedName name="IQ_MUNI_DEP_TRUST_ELIGIBLE" hidden="1">"c15149"</definedName>
    <definedName name="IQ_MUNI_ECONOMIC_DEFEASANCE" hidden="1">"c15151"</definedName>
    <definedName name="IQ_MUNI_ESCROW" hidden="1">"c15228"</definedName>
    <definedName name="IQ_MUNI_FED_TAX" hidden="1">"c15147"</definedName>
    <definedName name="IQ_MUNI_LEGAL_DEFEASANCE" hidden="1">"c15150"</definedName>
    <definedName name="IQ_MUNI_OFFERING_TYPE" hidden="1">"c15143"</definedName>
    <definedName name="IQ_MUNI_OPTIONAL_REDEMPTION_DEFEASANCE" hidden="1">"c15152"</definedName>
    <definedName name="IQ_MUNI_PRE_REFUNDED_DATE" hidden="1">"c15154"</definedName>
    <definedName name="IQ_MUNI_PRE_REFUNDED_DATED_DATE" hidden="1">"c15156"</definedName>
    <definedName name="IQ_MUNI_PRE_REFUNDED_PRICE" hidden="1">"c15155"</definedName>
    <definedName name="IQ_MUNI_PRE_REFUNDED_TYPE" hidden="1">"c15153"</definedName>
    <definedName name="IQ_MUNI_PURPOSE" hidden="1">"c15226"</definedName>
    <definedName name="IQ_MUNI_STATE_TAX" hidden="1">"c15145"</definedName>
    <definedName name="IQ_MUNI_TERRITORY" hidden="1">"c15142"</definedName>
    <definedName name="IQ_MUNI_TYPE" hidden="1">"c15227"</definedName>
    <definedName name="IQ_MUNICIPAL_INVEST_SECURITIES_FFIEC" hidden="1">"c13459"</definedName>
    <definedName name="IQ_MUNICIPAL_SEC_INV_SEC_THRIFT" hidden="1">"c25672"</definedName>
    <definedName name="IQ_MUTUAL_FUND_ACQUISITIONS_OTHER" hidden="1">"c20425"</definedName>
    <definedName name="IQ_MUTUAL_FUND_APPRECIATION_DEPRECIATION" hidden="1">"c20424"</definedName>
    <definedName name="IQ_MUTUAL_FUND_BOP" hidden="1">"c20420"</definedName>
    <definedName name="IQ_MUTUAL_FUND_EOP" hidden="1">"c20426"</definedName>
    <definedName name="IQ_MUTUAL_FUND_LIST" hidden="1">"c19092"</definedName>
    <definedName name="IQ_MUTUAL_FUND_NET_SALES" hidden="1">"c20423"</definedName>
    <definedName name="IQ_MUTUAL_FUND_REDEMPTIONS" hidden="1">"c20422"</definedName>
    <definedName name="IQ_MUTUAL_FUND_SALES" hidden="1">"c20421"</definedName>
    <definedName name="IQ_MUTUAL_FUNDS_EQUITY_ALL_OTHER_ACCOUNTS_THRIFT" hidden="1">"c25428"</definedName>
    <definedName name="IQ_MUTUAL_FUNDS_EQUITY_EMPLOYEE_BENEFIT_RETIREMENT_RELATED_ACCOUNTS_THRIFT" hidden="1">"c25412"</definedName>
    <definedName name="IQ_MUTUAL_FUNDS_EQUITY_PERSONAL_TRUST_AGENCY_INV_MANAGEMENT_ACCOUNTS_THRIFT" hidden="1">"c25396"</definedName>
    <definedName name="IQ_MUTUAL_FUNDS_MONEY_MARKET_ALL_OTHER_ACCOUNTS_THRIFT" hidden="1">"c25427"</definedName>
    <definedName name="IQ_MUTUAL_FUNDS_MONEY_MARKET_EMPLOYEE_BENEFIT_RETIREMENT_RELATED_ACCOUNTS_THRIFT" hidden="1">"c25411"</definedName>
    <definedName name="IQ_MUTUAL_FUNDS_MONEY_MARKET_PERSONAL_TRUST_AGENCY_INV_MANAGEMENT_ACCOUNTS_THRIFT" hidden="1">"c25395"</definedName>
    <definedName name="IQ_MUTUAL_FUNDS_OTHER_ALL_OTHER_ACCOUNTS_THRIFT" hidden="1">"c25429"</definedName>
    <definedName name="IQ_MUTUAL_FUNDS_OTHER_EMPLOYEE_BENEFIT_RETIREMENT_RELATED_ACCOUNTS_THRIFT" hidden="1">"c25413"</definedName>
    <definedName name="IQ_MUTUAL_FUNDS_OTHER_PERSONAL_TRUST_AGENCY_INV_MANAGEMENT_ACCOUNTS_THRIFT" hidden="1">"c25397"</definedName>
    <definedName name="IQ_NAMES_REVISION_DATE_" localSheetId="7" hidden="1">"03/22/2021 21:50:05"</definedName>
    <definedName name="IQ_NAMES_REVISION_DATE_" localSheetId="8" hidden="1">"11/19/2020 11:52:13"</definedName>
    <definedName name="IQ_NAMES_REVISION_DATE_" hidden="1">41180.5528009259</definedName>
    <definedName name="IQ_NAMES_REVISION_DATE__1" hidden="1">"02/21/2020 16:29:03"</definedName>
    <definedName name="IQ_NAPM_BUS_CONDITIONS" hidden="1">"c6921"</definedName>
    <definedName name="IQ_NAPM_BUS_CONDITIONS_APR" hidden="1">"c7581"</definedName>
    <definedName name="IQ_NAPM_BUS_CONDITIONS_APR_FC" hidden="1">"c8461"</definedName>
    <definedName name="IQ_NAPM_BUS_CONDITIONS_FC" hidden="1">"c7801"</definedName>
    <definedName name="IQ_NAPM_BUS_CONDITIONS_POP" hidden="1">"c7141"</definedName>
    <definedName name="IQ_NAPM_BUS_CONDITIONS_POP_FC" hidden="1">"c8021"</definedName>
    <definedName name="IQ_NAPM_BUS_CONDITIONS_YOY" hidden="1">"c7361"</definedName>
    <definedName name="IQ_NAPM_BUS_CONDITIONS_YOY_FC" hidden="1">"c8241"</definedName>
    <definedName name="IQ_NATIVE_COMPANY_NAME" hidden="1">"c13822"</definedName>
    <definedName name="IQ_NATURAL_RESOURCES_COST" hidden="1">"c17550"</definedName>
    <definedName name="IQ_NAV_ACT_OR_EST" hidden="1">"c2225"</definedName>
    <definedName name="IQ_NAV_ACT_OR_EST_THOM" hidden="1">"c5607"</definedName>
    <definedName name="IQ_NAV_DET_EST_CURRENCY_THOM" hidden="1">"c12490"</definedName>
    <definedName name="IQ_NAV_DET_EST_DATE_THOM" hidden="1">"c12241"</definedName>
    <definedName name="IQ_NAV_DET_EST_INCL_THOM" hidden="1">"c12373"</definedName>
    <definedName name="IQ_NAV_DET_EST_ORIGIN_THOM" hidden="1">"c12707"</definedName>
    <definedName name="IQ_NAV_DET_EST_THOM" hidden="1">"c12091"</definedName>
    <definedName name="IQ_NAV_EST" hidden="1">"c1751"</definedName>
    <definedName name="IQ_NAV_EST_THOM" hidden="1">"c5601"</definedName>
    <definedName name="IQ_NAV_HIGH_EST" hidden="1">"c1753"</definedName>
    <definedName name="IQ_NAV_HIGH_EST_THOM" hidden="1">"c5604"</definedName>
    <definedName name="IQ_NAV_LOW_EST" hidden="1">"c1754"</definedName>
    <definedName name="IQ_NAV_LOW_EST_THOM" hidden="1">"c5605"</definedName>
    <definedName name="IQ_NAV_MEDIAN_EST" hidden="1">"c1752"</definedName>
    <definedName name="IQ_NAV_MEDIAN_EST_THOM" hidden="1">"c5602"</definedName>
    <definedName name="IQ_NAV_NUM_EST" hidden="1">"c1755"</definedName>
    <definedName name="IQ_NAV_NUM_EST_THOM" hidden="1">"c5606"</definedName>
    <definedName name="IQ_NAV_RE" hidden="1">"c15996"</definedName>
    <definedName name="IQ_NAV_SHARE_ACT_OR_EST" hidden="1">"c2225"</definedName>
    <definedName name="IQ_NAV_SHARE_ACT_OR_EST_REUT" hidden="1">"c5623"</definedName>
    <definedName name="IQ_NAV_SHARE_DET_EST_ORIGIN" hidden="1">"c12585"</definedName>
    <definedName name="IQ_NAV_SHARE_DET_EST_ORIGIN_THOM" hidden="1">"c12611"</definedName>
    <definedName name="IQ_NAV_SHARE_EST" hidden="1">"c5609"</definedName>
    <definedName name="IQ_NAV_SHARE_EST_NOTE" hidden="1">"c17522"</definedName>
    <definedName name="IQ_NAV_SHARE_EST_NOTE_CIQ" hidden="1">"c17475"</definedName>
    <definedName name="IQ_NAV_SHARE_EST_REUT" hidden="1">"c5617"</definedName>
    <definedName name="IQ_NAV_SHARE_HIGH_EST" hidden="1">"c5612"</definedName>
    <definedName name="IQ_NAV_SHARE_HIGH_EST_REUT" hidden="1">"c5620"</definedName>
    <definedName name="IQ_NAV_SHARE_LOW_EST" hidden="1">"c5613"</definedName>
    <definedName name="IQ_NAV_SHARE_LOW_EST_REUT" hidden="1">"c5621"</definedName>
    <definedName name="IQ_NAV_SHARE_MEDIAN_EST" hidden="1">"c5610"</definedName>
    <definedName name="IQ_NAV_SHARE_MEDIAN_EST_REUT" hidden="1">"c5618"</definedName>
    <definedName name="IQ_NAV_SHARE_NUM_EST" hidden="1">"c5614"</definedName>
    <definedName name="IQ_NAV_SHARE_NUM_EST_REUT" hidden="1">"c5622"</definedName>
    <definedName name="IQ_NAV_SHARE_RE" hidden="1">"c16011"</definedName>
    <definedName name="IQ_NAV_SHARE_STDDEV_EST" hidden="1">"c5611"</definedName>
    <definedName name="IQ_NAV_SHARE_STDDEV_EST_REUT" hidden="1">"c5619"</definedName>
    <definedName name="IQ_NAV_STDDEV_EST" hidden="1">"c1756"</definedName>
    <definedName name="IQ_NAV_STDDEV_EST_THOM" hidden="1">"c5603"</definedName>
    <definedName name="IQ_NCLS_CLOSED_END_1_4_FAM_LOANS_TOT_LOANS_FFIEC" hidden="1">"c13891"</definedName>
    <definedName name="IQ_NCLS_CLOSED_END_1_4_FAMILY_LOANS_TOTAL_LOANS_THRIFT" hidden="1">"c25769"</definedName>
    <definedName name="IQ_NCLS_COMM_IND_LOANS_TOT_LOANS_FFIEC" hidden="1">"c13898"</definedName>
    <definedName name="IQ_NCLS_COMM_LOANS_TOTAL_LOANS_THRIFT" hidden="1">"c25775"</definedName>
    <definedName name="IQ_NCLS_COMM_RE_FARM_LOANS_TOT_LOANS_FFIEC" hidden="1">"c13897"</definedName>
    <definedName name="IQ_NCLS_COMM_RE_FARM_LOANS_TOTAL_LOANS_THRIFT" hidden="1">"c25771"</definedName>
    <definedName name="IQ_NCLS_COMM_RE_NONFARM_NONRES_TOT_LOANS_FFIEC" hidden="1">"c13896"</definedName>
    <definedName name="IQ_NCLS_COMM_RE_NONFARM_NONRESIDENTIAL_TOTAL_LOANS_THRIFT" hidden="1">"c25773"</definedName>
    <definedName name="IQ_NCLS_CONST_LAND_DEV_LOANS_TOT_LOANS_FFIEC" hidden="1">"c13890"</definedName>
    <definedName name="IQ_NCLS_CONSTRUCTION_LAND_DEVELOPMENT_LOANS_TOTAL_LOANS_THRIFT" hidden="1">"c25767"</definedName>
    <definedName name="IQ_NCLS_CONSUMER_LOANS_TOT_LOANS_FFIEC" hidden="1">"c13899"</definedName>
    <definedName name="IQ_NCLS_CONSUMER_LOANS_TOTAL_LOANS_THRIFT" hidden="1">"c25776"</definedName>
    <definedName name="IQ_NCLS_FARM_LOANS_TOT_LOANS_FFIEC" hidden="1">"c13895"</definedName>
    <definedName name="IQ_NCLS_HOME_EQUITY_LOANS_TOT_LOANS_FFIEC" hidden="1">"c13892"</definedName>
    <definedName name="IQ_NCLS_LAND_LOANS_TOTAL_LOANS_THRIFT" hidden="1">"c25772"</definedName>
    <definedName name="IQ_NCLS_MULTIFAM_5_LOANS_TOT_LOANS_FFIEC" hidden="1">"c13894"</definedName>
    <definedName name="IQ_NCLS_MULTIFAMILY_5_MORE_LOANS_TOTAL_LOANS_THRIFT" hidden="1">"c25770"</definedName>
    <definedName name="IQ_NCLS_TOT_1_4_FAM_LOANS_TOT_LOANS_FFIEC" hidden="1">"c13893"</definedName>
    <definedName name="IQ_NCLS_TOT_LEASES_TOT_LOANS_FFIEC" hidden="1">"c13900"</definedName>
    <definedName name="IQ_NCLS_TOT_LOANS_TOT_LOANS_FFIEC" hidden="1">"c13901"</definedName>
    <definedName name="IQ_NCLS_TOTAL_1_4_FAMILY_LOANS_TOTAL_LOANS_THRIFT" hidden="1">"c25768"</definedName>
    <definedName name="IQ_NCLS_TOTAL_LOANS_TOTAL_LOANS_THRIFT" hidden="1">"c25765"</definedName>
    <definedName name="IQ_NCLS_TOTAL_MORTGAGE_LOANS_TOTAL_LOANS_THRIFT" hidden="1">"c25766"</definedName>
    <definedName name="IQ_NCLS_TOTAL_NON_RE_LOANS_TOTAL_LOANS_THRIFT" hidden="1">"c25774"</definedName>
    <definedName name="IQ_NCOS_CLOSED_END_1_4_FAM_LOANS_TOT_LOANS_FFIEC" hidden="1">"c13879"</definedName>
    <definedName name="IQ_NCOS_CLOSED_END_1_4_FAMILY_LOANS_TOTAL_LOANS_THRIFT" hidden="1">"c25757"</definedName>
    <definedName name="IQ_NCOS_COMM_IND_LOANS_TOT_LOANS_FFIEC" hidden="1">"c13886"</definedName>
    <definedName name="IQ_NCOS_COMM_LOANS_TOTAL_LOANS_THRIFT" hidden="1">"c25763"</definedName>
    <definedName name="IQ_NCOS_COMM_RE_FARM_LOANS_TOT_LOANS_FFIEC" hidden="1">"c13885"</definedName>
    <definedName name="IQ_NCOS_COMM_RE_FARM_LOANS_TOTAL_LOANS_THRIFT" hidden="1">"c25759"</definedName>
    <definedName name="IQ_NCOS_COMM_RE_NONFARM_NONRES_TOT_LOANS_FFIEC" hidden="1">"c13884"</definedName>
    <definedName name="IQ_NCOS_COMM_RE_NONFARM_NONRESIDENTIAL_TOTAL_LOANS_THRIFT" hidden="1">"c25761"</definedName>
    <definedName name="IQ_NCOS_CONST_LAND_DEV_LOANS_TOT_LOANS_FFIEC" hidden="1">"c13878"</definedName>
    <definedName name="IQ_NCOS_CONSTRUCTION_LAND_DEVELOPMENT_LOANS_TOTAL_LOANS_THRIFT" hidden="1">"c25755"</definedName>
    <definedName name="IQ_NCOS_CONSUMER_LOANS_TOT_LOANS_FFIEC" hidden="1">"c13887"</definedName>
    <definedName name="IQ_NCOS_CONSUMER_LOANS_TOTAL_LOANS_THRIFT" hidden="1">"c25764"</definedName>
    <definedName name="IQ_NCOS_FARM_LOANS_TOT_LOANS_FFIEC" hidden="1">"c13883"</definedName>
    <definedName name="IQ_NCOS_HOME_EQUITY_LOANS_TOT_LOANS_FFIEC" hidden="1">"c13880"</definedName>
    <definedName name="IQ_NCOS_LAND_LOANS_TOTAL_LOANS_THRIFT" hidden="1">"c25760"</definedName>
    <definedName name="IQ_NCOS_MULTIFAM_5_LOANS_TOT_LOANS_FFIEC" hidden="1">"c13882"</definedName>
    <definedName name="IQ_NCOS_MULTIFAMILY_5_MORE_LOANS_TOTAL_LOANS_THRIFT" hidden="1">"c25758"</definedName>
    <definedName name="IQ_NCOS_TOT_1_4_FAM_LOANS_TOT_LOANS_FFIEC" hidden="1">"c13881"</definedName>
    <definedName name="IQ_NCOS_TOT_LEASES_TOT_LOANS_FFIEC" hidden="1">"c13888"</definedName>
    <definedName name="IQ_NCOS_TOT_LOANS_TOT_LOANS_FFIEC" hidden="1">"c13889"</definedName>
    <definedName name="IQ_NCOS_TOTAL_1_4_FAMILY_LOANS_TOTAL_LOANS_THRIFT" hidden="1">"c25756"</definedName>
    <definedName name="IQ_NCOS_TOTAL_LOANS_TOTAL_LOANS_THRIFT" hidden="1">"c25753"</definedName>
    <definedName name="IQ_NCOS_TOTAL_MORTGAGE_LOANS_TOTAL_LOANS_THRIFT" hidden="1">"c25754"</definedName>
    <definedName name="IQ_NCOS_TOTAL_NON_RE_LOANS_TOTAL_LOANS_THRIFT" hidden="1">"c25762"</definedName>
    <definedName name="IQ_NEARBY_CONTRACT_ID" hidden="1">"c14328"</definedName>
    <definedName name="IQ_NEGATIVE_FAIR_VALUE_DERIVATIVES_BENEFICIARY_FFIEC" hidden="1">"c13124"</definedName>
    <definedName name="IQ_NEGATIVE_FAIR_VALUE_DERIVATIVES_GUARANTOR_FFIEC" hidden="1">"c13117"</definedName>
    <definedName name="IQ_NET_ADD_BASIC" hidden="1">"c15782"</definedName>
    <definedName name="IQ_NET_ADD_BBAND" hidden="1">"c15785"</definedName>
    <definedName name="IQ_NET_ADD_DIG" hidden="1">"c15783"</definedName>
    <definedName name="IQ_NET_ADD_PHONE" hidden="1">"c15786"</definedName>
    <definedName name="IQ_NET_ADD_POSTPAID_WIRELESS" hidden="1">"c15754"</definedName>
    <definedName name="IQ_NET_ADD_PREPAID_WIRELESS" hidden="1">"c15755"</definedName>
    <definedName name="IQ_NET_ADD_RESELL_WHOLESALE_WIRELESS" hidden="1">"c15756"</definedName>
    <definedName name="IQ_NET_ADD_RGU" hidden="1">"c15787"</definedName>
    <definedName name="IQ_NET_ADD_SATELLITE" hidden="1">"c15784"</definedName>
    <definedName name="IQ_NET_ADD_TOTAL_WIRELESS" hidden="1">"c15757"</definedName>
    <definedName name="IQ_NET_BOOKING_LOCATION_ADJUSTMENT_FOREIGN_FFIEC" hidden="1">"c15385"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ADJ_EXP_RESERVE_BOP" hidden="1">"c15877"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ACT_OR_EST" hidden="1">"c3583"</definedName>
    <definedName name="IQ_NET_DEBT_ACT_OR_EST_CIQ_COL" hidden="1">"c11717"</definedName>
    <definedName name="IQ_NET_DEBT_ACT_OR_EST_REUT" hidden="1">"c5473"</definedName>
    <definedName name="IQ_NET_DEBT_ACT_OR_EST_THOM" hidden="1">"c5309"</definedName>
    <definedName name="IQ_NET_DEBT_DET_EST" hidden="1">"c12061"</definedName>
    <definedName name="IQ_NET_DEBT_DET_EST_CURRENCY" hidden="1">"c12468"</definedName>
    <definedName name="IQ_NET_DEBT_DET_EST_CURRENCY_THOM" hidden="1">"c12491"</definedName>
    <definedName name="IQ_NET_DEBT_DET_EST_DATE" hidden="1">"c12214"</definedName>
    <definedName name="IQ_NET_DEBT_DET_EST_DATE_THOM" hidden="1">"c12242"</definedName>
    <definedName name="IQ_NET_DEBT_DET_EST_INCL" hidden="1">"c12351"</definedName>
    <definedName name="IQ_NET_DEBT_DET_EST_INCL_THOM" hidden="1">"c12374"</definedName>
    <definedName name="IQ_NET_DEBT_DET_EST_ORIGIN" hidden="1">"c12586"</definedName>
    <definedName name="IQ_NET_DEBT_DET_EST_ORIGIN_THOM" hidden="1">"c12612"</definedName>
    <definedName name="IQ_NET_DEBT_DET_EST_THOM" hidden="1">"c12092"</definedName>
    <definedName name="IQ_NET_DEBT_EBITDA" hidden="1">"c750"</definedName>
    <definedName name="IQ_NET_DEBT_EBITDA_CAPEX" hidden="1">"c2949"</definedName>
    <definedName name="IQ_NET_DEBT_EST" hidden="1">"c3517"</definedName>
    <definedName name="IQ_NET_DEBT_EST_REUT" hidden="1">"c3976"</definedName>
    <definedName name="IQ_NET_DEBT_EST_THOM" hidden="1">"c4027"</definedName>
    <definedName name="IQ_NET_DEBT_GUIDANCE_CIQ" hidden="1">"c5005"</definedName>
    <definedName name="IQ_NET_DEBT_GUIDANCE_CIQ_COL" hidden="1">"c11652"</definedName>
    <definedName name="IQ_NET_DEBT_HIGH_EST" hidden="1">"c3518"</definedName>
    <definedName name="IQ_NET_DEBT_HIGH_EST_REUT" hidden="1">"c3978"</definedName>
    <definedName name="IQ_NET_DEBT_HIGH_EST_THOM" hidden="1">"c4029"</definedName>
    <definedName name="IQ_NET_DEBT_HIGH_GUIDANCE_CIQ" hidden="1">"c4593"</definedName>
    <definedName name="IQ_NET_DEBT_HIGH_GUIDANCE_CIQ_COL" hidden="1">"c11242"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CM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DEBT_LOW_EST" hidden="1">"c3519"</definedName>
    <definedName name="IQ_NET_DEBT_LOW_EST_REUT" hidden="1">"c3979"</definedName>
    <definedName name="IQ_NET_DEBT_LOW_EST_THOM" hidden="1">"c4030"</definedName>
    <definedName name="IQ_NET_DEBT_LOW_GUIDANCE_CIQ" hidden="1">"c4633"</definedName>
    <definedName name="IQ_NET_DEBT_LOW_GUIDANCE_CIQ_COL" hidden="1">"c11282"</definedName>
    <definedName name="IQ_NET_DEBT_MEDIAN_EST" hidden="1">"c3520"</definedName>
    <definedName name="IQ_NET_DEBT_MEDIAN_EST_REUT" hidden="1">"c3977"</definedName>
    <definedName name="IQ_NET_DEBT_MEDIAN_EST_THOM" hidden="1">"c4028"</definedName>
    <definedName name="IQ_NET_DEBT_NUM_EST" hidden="1">"c3515"</definedName>
    <definedName name="IQ_NET_DEBT_NUM_EST_REUT" hidden="1">"c3980"</definedName>
    <definedName name="IQ_NET_DEBT_NUM_EST_THOM" hidden="1">"c4031"</definedName>
    <definedName name="IQ_NET_DEBT_STDDEV_EST" hidden="1">"c3516"</definedName>
    <definedName name="IQ_NET_DEBT_STDDEV_EST_REUT" hidden="1">"c3981"</definedName>
    <definedName name="IQ_NET_DEBT_STDDEV_EST_THOM" hidden="1">"c4032"</definedName>
    <definedName name="IQ_NET_EARNED" hidden="1">"c2734"</definedName>
    <definedName name="IQ_NET_FED_FUNDS_PURCHASED_TOTAL_ASSETS_THRIFT" hidden="1">"c25704"</definedName>
    <definedName name="IQ_NET_FIDUCIARY_RELATED_SERVICES_INC_THRIFT" hidden="1">"c24815"</definedName>
    <definedName name="IQ_NET_FUNDS_PURCHASED_ASSETS_TOT_FFIEC" hidden="1">"c13448"</definedName>
    <definedName name="IQ_NET_GAIN_LOSS_OREO_EXP_FFIEC" hidden="1">"c15370"</definedName>
    <definedName name="IQ_NET_GAIN_LOSS_OREO_INC_FFIEC" hidden="1">"c15367"</definedName>
    <definedName name="IQ_NET_GAIN_LOSS_SALES_LOANS_EXP_FFIEC" hidden="1">"c15371"</definedName>
    <definedName name="IQ_NET_GAIN_LOSS_SALES_LOANS_INC_FFIEC" hidden="1">"c15368"</definedName>
    <definedName name="IQ_NET_GAIN_SALE_AFS_SEC_THRIFT" hidden="1">"c24770"</definedName>
    <definedName name="IQ_NET_GAIN_SALE_LOANS_HELD_INV_THRIFT" hidden="1">"c24774"</definedName>
    <definedName name="IQ_NET_GAIN_SALE_LOANS_LEASES_HFS_THRIFT" hidden="1">"c24771"</definedName>
    <definedName name="IQ_NET_GAIN_SALE_OTHER_ASSETS_HELD_INV_THRIFT" hidden="1">"c24775"</definedName>
    <definedName name="IQ_NET_GAIN_SALE_OTHER_ASSETS_HFS_THRIFT" hidden="1">"c24772"</definedName>
    <definedName name="IQ_NET_GAIN_SALE_PREMISES_FIXED_ASSETS_EXP_FFIEC" hidden="1">"c15372"</definedName>
    <definedName name="IQ_NET_GAIN_SALE_PREMISES_FIXED_ASSETS_INC_FFIEC" hidden="1">"c15369"</definedName>
    <definedName name="IQ_NET_GAIN_SALE_SEC_HTM_THRIFT" hidden="1">"c24773"</definedName>
    <definedName name="IQ_NET_GAINS_FIN_ASSETS_LIABILITIES_FV_THRIFT" hidden="1">"c24776"</definedName>
    <definedName name="IQ_NET_IMPAIR_LOSS_FFIEC" hidden="1">"c25848"</definedName>
    <definedName name="IQ_NET_INC" localSheetId="7" hidden="1">"c1394"</definedName>
    <definedName name="IQ_NET_INC" localSheetId="8" hidden="1">"c1394"</definedName>
    <definedName name="IQ_NET_INC" hidden="1">"c1394"</definedName>
    <definedName name="IQ_NET_INC_10K" hidden="1">"IQ_NET_INC_10K"</definedName>
    <definedName name="IQ_NET_INC_10Q" hidden="1">"IQ_NET_INC_10Q"</definedName>
    <definedName name="IQ_NET_INC_10Q1" hidden="1">"IQ_NET_INC_10Q1"</definedName>
    <definedName name="IQ_NET_INC_BEFORE" localSheetId="7" hidden="1">"c1368"</definedName>
    <definedName name="IQ_NET_INC_BEFORE" localSheetId="8" hidden="1">"c1368"</definedName>
    <definedName name="IQ_NET_INC_BEFORE" hidden="1">"c1368"</definedName>
    <definedName name="IQ_NET_INC_CF" localSheetId="7" hidden="1">"c1397"</definedName>
    <definedName name="IQ_NET_INC_CF" localSheetId="8" hidden="1">"c1397"</definedName>
    <definedName name="IQ_NET_INC_CF" hidden="1">"c1397"</definedName>
    <definedName name="IQ_NET_INC_GROWTH_1" localSheetId="7" hidden="1">"c158"</definedName>
    <definedName name="IQ_NET_INC_GROWTH_1" localSheetId="8" hidden="1">"c158"</definedName>
    <definedName name="IQ_NET_INC_GROWTH_1" hidden="1">"IQ_NET_INC_GROWTH_1"</definedName>
    <definedName name="IQ_NET_INC_GROWTH_2" localSheetId="7" hidden="1">"c162"</definedName>
    <definedName name="IQ_NET_INC_GROWTH_2" localSheetId="8" hidden="1">"c162"</definedName>
    <definedName name="IQ_NET_INC_GROWTH_2" hidden="1">"IQ_NET_INC_GROWTH_2"</definedName>
    <definedName name="IQ_NET_INC_MARGIN" localSheetId="7" hidden="1">"c1398"</definedName>
    <definedName name="IQ_NET_INC_MARGIN" localSheetId="8" hidden="1">"c1398"</definedName>
    <definedName name="IQ_NET_INC_MARGIN" hidden="1">"c1398"</definedName>
    <definedName name="IQ_NET_INCOME_AVG_ASSETS_THRIFT" hidden="1">"c25661"</definedName>
    <definedName name="IQ_NET_INCOME_FDIC" hidden="1">"c6587"</definedName>
    <definedName name="IQ_NET_INCOME_HOMEBUILDING_SALES" hidden="1">"c15818"</definedName>
    <definedName name="IQ_NET_INCOME_LH_FFIEC" hidden="1">"c13110"</definedName>
    <definedName name="IQ_NET_INCOME_LOCOM_ADJUST_THRIFT" hidden="1">"c24779"</definedName>
    <definedName name="IQ_NET_INCOME_LOSS_ATTRIBUTABLE_SAVINGS_ASSOCIATION_THRIFT" hidden="1">"c25009"</definedName>
    <definedName name="IQ_NET_INCOME_PC_FFIEC" hidden="1">"c13103"</definedName>
    <definedName name="IQ_NET_INCOME_REPOSSESS_ASSETS_THRIFT" hidden="1">"c24778"</definedName>
    <definedName name="IQ_NET_INCOME_SALE_ASSETS_HFS_AFS_SEC_THRIFT" hidden="1">"c24769"</definedName>
    <definedName name="IQ_NET_INCOME_SHE_FFIEC" hidden="1">"c12960"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AFTER_LL_BNK_SUBTOTAL_AP" hidden="1">"c8979"</definedName>
    <definedName name="IQ_NET_INT_INC_BNK" hidden="1">"c764"</definedName>
    <definedName name="IQ_NET_INT_INC_BNK_AP" hidden="1">"c8874"</definedName>
    <definedName name="IQ_NET_INT_INC_BNK_AP_ABS" hidden="1">"c8893"</definedName>
    <definedName name="IQ_NET_INT_INC_BNK_FDIC" hidden="1">"c6570"</definedName>
    <definedName name="IQ_NET_INT_INC_BNK_NAME_AP" hidden="1">"c8912"</definedName>
    <definedName name="IQ_NET_INT_INC_BNK_NAME_AP_ABS" hidden="1">"c8931"</definedName>
    <definedName name="IQ_NET_INT_INC_BNK_SUBTOTAL_AP" hidden="1">"c8978"</definedName>
    <definedName name="IQ_NET_INT_INC_BR" hidden="1">"c765"</definedName>
    <definedName name="IQ_NET_INT_INC_CM" hidden="1">"c765"</definedName>
    <definedName name="IQ_NET_INT_INC_FIN" hidden="1">"c766"</definedName>
    <definedName name="IQ_NET_INT_INC_TOTAL_REV" hidden="1">"c767"</definedName>
    <definedName name="IQ_NET_INT_INCOME_AFTER_PROVISION_THRIFT" hidden="1">"c25871"</definedName>
    <definedName name="IQ_NET_INT_INCOME_AVG_ASSET" hidden="1">"c15706"</definedName>
    <definedName name="IQ_NET_INT_INCOME_AVG_ASSETS_THRIFT" hidden="1">"c25649"</definedName>
    <definedName name="IQ_NET_INT_INCOME_AVG_EARNING_ASSETS_THRIFT" hidden="1">"c25668"</definedName>
    <definedName name="IQ_NET_INT_INCOME_FFIEC" hidden="1">"c13001"</definedName>
    <definedName name="IQ_NET_INT_INCOME_FTE_FFIEC" hidden="1">"c13036"</definedName>
    <definedName name="IQ_NET_INT_INCOME_THRIFT" hidden="1">"c24765"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localSheetId="7" hidden="1">"c1392"</definedName>
    <definedName name="IQ_NET_INTEREST_INC" localSheetId="8" hidden="1">"c1392"</definedName>
    <definedName name="IQ_NET_INTEREST_INC" hidden="1">"c1392"</definedName>
    <definedName name="IQ_NET_INTEREST_INC_AFTER_LL" hidden="1">"c1604"</definedName>
    <definedName name="IQ_NET_INTEREST_INC_INTERNATIONAL_OPS_FFIEC" hidden="1">"c15375"</definedName>
    <definedName name="IQ_NET_INTEREST_MARGIN_FDIC" hidden="1">"c6726"</definedName>
    <definedName name="IQ_NET_LIFE_INS_IN_FORCE" hidden="1">"c2769"</definedName>
    <definedName name="IQ_NET_LOAN_LOSSES_AVG_LOANS_THRIFT" hidden="1">"c25635"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CORE_DEPOSITS_FFIEC" hidden="1">"c13341"</definedName>
    <definedName name="IQ_NET_LOANS_CORE_DEPOSITS_THRIFT" hidden="1">"c25628"</definedName>
    <definedName name="IQ_NET_LOANS_DEPOSITS_FFIEC" hidden="1">"c13340"</definedName>
    <definedName name="IQ_NET_LOANS_EQUITY_FFIEC" hidden="1">"c13347"</definedName>
    <definedName name="IQ_NET_LOANS_EQUITY_THRIFT" hidden="1">"c25632"</definedName>
    <definedName name="IQ_NET_LOANS_LEASES_CORE_DEPOSITS_FDIC" hidden="1">"c6743"</definedName>
    <definedName name="IQ_NET_LOANS_LEASES_DEPOSITS_FDIC" hidden="1">"c6742"</definedName>
    <definedName name="IQ_NET_LOANS_LEASES_LETTERS_CREDIT_TOTAL_ASSETS_THRIFT" hidden="1">"c25698"</definedName>
    <definedName name="IQ_NET_LOANS_LEASES_TOTAL_ASSETS_THRIFT" hidden="1">"c25694"</definedName>
    <definedName name="IQ_NET_LOANS_TOTAL_DEPOSITS" hidden="1">"c779"</definedName>
    <definedName name="IQ_NET_LOANS_TOTAL_DEPOSITS_THRIFT" hidden="1">"c25627"</definedName>
    <definedName name="IQ_NET_LOSSES" hidden="1">"c15873"</definedName>
    <definedName name="IQ_NET_LOSSES_FIDUCIARY_RELATED_SERVICES_THRIFT" hidden="1">"c24813"</definedName>
    <definedName name="IQ_NET_NEW_CLIENT_ASSETS" hidden="1">"c20430"</definedName>
    <definedName name="IQ_NET_NONCORE_FUNDING_DEPENDENCE_SHORT_TERM_THRIFT" hidden="1">"c25624"</definedName>
    <definedName name="IQ_NET_NONCORE_FUNDING_DEPENDENCE_THRIFT" hidden="1">"c25623"</definedName>
    <definedName name="IQ_NET_NONINTEREST_INC_EXP_INTERNATIONAL_OPS_FFIEC" hidden="1">"c15387"</definedName>
    <definedName name="IQ_NET_OCCUPANCY_EXP_ADJUSTED_OPERATING_INCOME_THRIFT" hidden="1">"c25686"</definedName>
    <definedName name="IQ_NET_OPERATING_INCOME_ASSETS_FDIC" hidden="1">"c6729"</definedName>
    <definedName name="IQ_NET_PC_WRITTEN" hidden="1">"c1027"</definedName>
    <definedName name="IQ_NET_PREMIUM_WRITTEN_STATUTORY_SURPLUS" hidden="1">"c15880"</definedName>
    <definedName name="IQ_NET_PREMIUMS_WRITTEN_AVG_ASSETS" hidden="1">"c15888"</definedName>
    <definedName name="IQ_NET_PREMIUMS_WRITTEN_AVG_EQUITY" hidden="1">"c15891"</definedName>
    <definedName name="IQ_NET_PREMIUMS_WRITTEN_AVG_STATUTORY_SURPLUS" hidden="1">"c15890"</definedName>
    <definedName name="IQ_NET_PREMIUMS_WRITTEN_GROSS_PREMIUMS_WRITTEN" hidden="1">"c15889"</definedName>
    <definedName name="IQ_NET_PROVISION_LOSS_GVA_THRIFT" hidden="1">"c25092"</definedName>
    <definedName name="IQ_NET_PROVISION_LOSS_SVA_THRIFT" hidden="1">"c25100"</definedName>
    <definedName name="IQ_NET_PROVISION_LOSS_TVA_THRIFT" hidden="1">"c25107"</definedName>
    <definedName name="IQ_NET_RENTAL_EXP" hidden="1">"c26983"</definedName>
    <definedName name="IQ_NET_RENTAL_EXP_FN" hidden="1">"c780"</definedName>
    <definedName name="IQ_NET_RENTAL_EXP_SUPPLE" hidden="1">"c26984"</definedName>
    <definedName name="IQ_NET_SECURITIZATION_INC_FOREIGN_FFIEC" hidden="1">"c15379"</definedName>
    <definedName name="IQ_NET_SECURITIZATION_INCOME_FDIC" hidden="1">"c6669"</definedName>
    <definedName name="IQ_NET_SERVICING_FEES_ADJUSTED_OPERATING_INCOME_THRIFT" hidden="1">"c25690"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BASIS_ACCOUNTING_ADJUSTMENTS_SAVINGS_ASSOCIATION_THRIFT" hidden="1">"c25015"</definedName>
    <definedName name="IQ_NEW_DEPOSITS_RECEIVED_LESS_DEPOSITS_WITHDRAWN_THRIFT" hidden="1">"c25343"</definedName>
    <definedName name="IQ_NEW_PREM" hidden="1">"c2785"</definedName>
    <definedName name="IQ_NEWS" hidden="1">"c13743"</definedName>
    <definedName name="IQ_NEWS_DATE" hidden="1">"c13746"</definedName>
    <definedName name="IQ_NEWS_SOURCE" hidden="1">"c13745"</definedName>
    <definedName name="IQ_NEWS_TIME" hidden="1">"c13759"</definedName>
    <definedName name="IQ_NEWS_URL" hidden="1">"c13744"</definedName>
    <definedName name="IQ_NEXT_CALL_DATE" hidden="1">"c2198"</definedName>
    <definedName name="IQ_NEXT_CALL_PRICE" hidden="1">"c2199"</definedName>
    <definedName name="IQ_NEXT_CONTRACT_ID" hidden="1">"c13928"</definedName>
    <definedName name="IQ_NEXT_DIV_AMOUNT" hidden="1">"c17414"</definedName>
    <definedName name="IQ_NEXT_DIV_PAYMENT_DATE" hidden="1">"c17413"</definedName>
    <definedName name="IQ_NEXT_DIV_PAYMENT_TYPE" hidden="1">"c17415"</definedName>
    <definedName name="IQ_NEXT_DIV_RECORD_DATE" hidden="1">"c17412"</definedName>
    <definedName name="IQ_NEXT_EARNINGS_DATE" hidden="1">"c13592"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EXT_XDIV_DATE" hidden="1">"c17411"</definedName>
    <definedName name="IQ_NEXT_YR_PROD_EST_MAX_ALUM" hidden="1">"c9251"</definedName>
    <definedName name="IQ_NEXT_YR_PROD_EST_MAX_CATHODE_COP" hidden="1">"c9198"</definedName>
    <definedName name="IQ_NEXT_YR_PROD_EST_MAX_COP" hidden="1">"c9196"</definedName>
    <definedName name="IQ_NEXT_YR_PROD_EST_MAX_DIAM" hidden="1">"c9675"</definedName>
    <definedName name="IQ_NEXT_YR_PROD_EST_MAX_GOLD" hidden="1">"c9036"</definedName>
    <definedName name="IQ_NEXT_YR_PROD_EST_MAX_IRON" hidden="1">"c9410"</definedName>
    <definedName name="IQ_NEXT_YR_PROD_EST_MAX_LEAD" hidden="1">"c9463"</definedName>
    <definedName name="IQ_NEXT_YR_PROD_EST_MAX_MANG" hidden="1">"c9516"</definedName>
    <definedName name="IQ_NEXT_YR_PROD_EST_MAX_MOLYB" hidden="1">"c9728"</definedName>
    <definedName name="IQ_NEXT_YR_PROD_EST_MAX_NICK" hidden="1">"c9304"</definedName>
    <definedName name="IQ_NEXT_YR_PROD_EST_MAX_PLAT" hidden="1">"c9142"</definedName>
    <definedName name="IQ_NEXT_YR_PROD_EST_MAX_SILVER" hidden="1">"c9089"</definedName>
    <definedName name="IQ_NEXT_YR_PROD_EST_MAX_TITAN" hidden="1">"c9569"</definedName>
    <definedName name="IQ_NEXT_YR_PROD_EST_MAX_URAN" hidden="1">"c9622"</definedName>
    <definedName name="IQ_NEXT_YR_PROD_EST_MAX_ZINC" hidden="1">"c9357"</definedName>
    <definedName name="IQ_NEXT_YR_PROD_EST_MIN_ALUM" hidden="1">"c9250"</definedName>
    <definedName name="IQ_NEXT_YR_PROD_EST_MIN_CATHODE_COP" hidden="1">"c9197"</definedName>
    <definedName name="IQ_NEXT_YR_PROD_EST_MIN_COP" hidden="1">"c9195"</definedName>
    <definedName name="IQ_NEXT_YR_PROD_EST_MIN_DIAM" hidden="1">"c9674"</definedName>
    <definedName name="IQ_NEXT_YR_PROD_EST_MIN_GOLD" hidden="1">"c9035"</definedName>
    <definedName name="IQ_NEXT_YR_PROD_EST_MIN_IRON" hidden="1">"c9409"</definedName>
    <definedName name="IQ_NEXT_YR_PROD_EST_MIN_LEAD" hidden="1">"c9462"</definedName>
    <definedName name="IQ_NEXT_YR_PROD_EST_MIN_MANG" hidden="1">"c9515"</definedName>
    <definedName name="IQ_NEXT_YR_PROD_EST_MIN_MOLYB" hidden="1">"c9727"</definedName>
    <definedName name="IQ_NEXT_YR_PROD_EST_MIN_NICK" hidden="1">"c9303"</definedName>
    <definedName name="IQ_NEXT_YR_PROD_EST_MIN_PLAT" hidden="1">"c9141"</definedName>
    <definedName name="IQ_NEXT_YR_PROD_EST_MIN_SILVER" hidden="1">"c9088"</definedName>
    <definedName name="IQ_NEXT_YR_PROD_EST_MIN_TITAN" hidden="1">"c9568"</definedName>
    <definedName name="IQ_NEXT_YR_PROD_EST_MIN_URAN" hidden="1">"c9621"</definedName>
    <definedName name="IQ_NEXT_YR_PROD_EST_MIN_ZINC" hidden="1">"c9356"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CT_OR_EST" hidden="1">"c2222"</definedName>
    <definedName name="IQ_NI_ACT_OR_EST_CIQ_COL" hidden="1">"c11712"</definedName>
    <definedName name="IQ_NI_ACT_OR_EST_REUT" hidden="1">"c5468"</definedName>
    <definedName name="IQ_NI_ACT_OR_EST_THOM" hidden="1">"c5306"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AVAIL_SUBTOTAL_AP" hidden="1">"c8984"</definedName>
    <definedName name="IQ_NI_AVG_ASSETS_FFIEC" hidden="1">"c13370"</definedName>
    <definedName name="IQ_NI_BANK_AND_NONCONTROLLING_INTEREST_FFIEC" hidden="1">"c15365"</definedName>
    <definedName name="IQ_NI_BANK_NONCONTROLLING_INT_THRIFT" hidden="1">"c24798"</definedName>
    <definedName name="IQ_NI_BEFORE_CAPITALIZED" hidden="1">"c792"</definedName>
    <definedName name="IQ_NI_BEFORE_INTERNAL_ALLOCATIONS_FOREIGN_FFIEC" hidden="1">"c15393"</definedName>
    <definedName name="IQ_NI_CF" hidden="1">"c793"</definedName>
    <definedName name="IQ_NI_CHARGES_AP" hidden="1">"c8879"</definedName>
    <definedName name="IQ_NI_CHARGES_AP_ABS" hidden="1">"c8898"</definedName>
    <definedName name="IQ_NI_CHARGES_NAME_AP" hidden="1">"c8917"</definedName>
    <definedName name="IQ_NI_CHARGES_NAME_AP_ABS" hidden="1">"c8936"</definedName>
    <definedName name="IQ_NI_COMPANY" hidden="1">"c25786"</definedName>
    <definedName name="IQ_NI_DET_EST" hidden="1">"c12062"</definedName>
    <definedName name="IQ_NI_DET_EST_CURRENCY" hidden="1">"c12469"</definedName>
    <definedName name="IQ_NI_DET_EST_CURRENCY_THOM" hidden="1">"c12492"</definedName>
    <definedName name="IQ_NI_DET_EST_DATE" hidden="1">"c12215"</definedName>
    <definedName name="IQ_NI_DET_EST_DATE_THOM" hidden="1">"c12243"</definedName>
    <definedName name="IQ_NI_DET_EST_INCL" hidden="1">"c12352"</definedName>
    <definedName name="IQ_NI_DET_EST_INCL_THOM" hidden="1">"c12375"</definedName>
    <definedName name="IQ_NI_DET_EST_ORIGIN" hidden="1">"c12587"</definedName>
    <definedName name="IQ_NI_DET_EST_ORIGIN_THOM" hidden="1">"c12613"</definedName>
    <definedName name="IQ_NI_DET_EST_THOM" hidden="1">"c12093"</definedName>
    <definedName name="IQ_NI_EST" hidden="1">"c1716"</definedName>
    <definedName name="IQ_NI_EST_REUT" hidden="1">"c5368"</definedName>
    <definedName name="IQ_NI_EST_THOM" hidden="1">"c5126"</definedName>
    <definedName name="IQ_NI_FFIEC" hidden="1">"c13034"</definedName>
    <definedName name="IQ_NI_GAAP_GUIDANCE_CIQ" hidden="1">"c5008"</definedName>
    <definedName name="IQ_NI_GAAP_GUIDANCE_CIQ_COL" hidden="1">"c11655"</definedName>
    <definedName name="IQ_NI_GAAP_HIGH_GUIDANCE_CIQ" hidden="1">"c4589"</definedName>
    <definedName name="IQ_NI_GAAP_HIGH_GUIDANCE_CIQ_COL" hidden="1">"c11238"</definedName>
    <definedName name="IQ_NI_GAAP_LOW_GUIDANCE_CIQ" hidden="1">"c4629"</definedName>
    <definedName name="IQ_NI_GAAP_LOW_GUIDANCE_CIQ_COL" hidden="1">"c11278"</definedName>
    <definedName name="IQ_NI_GUIDANCE_CIQ" hidden="1">"c5007"</definedName>
    <definedName name="IQ_NI_GUIDANCE_CIQ_COL" hidden="1">"c11654"</definedName>
    <definedName name="IQ_NI_GW_DET_EST" hidden="1">"c12063"</definedName>
    <definedName name="IQ_NI_GW_DET_EST_CURRENCY" hidden="1">"c12470"</definedName>
    <definedName name="IQ_NI_GW_DET_EST_DATE" hidden="1">"c12216"</definedName>
    <definedName name="IQ_NI_GW_DET_EST_INCL" hidden="1">"c12353"</definedName>
    <definedName name="IQ_NI_GW_EST" hidden="1">"c1723"</definedName>
    <definedName name="IQ_NI_GW_EST_REUT" hidden="1">"c5375"</definedName>
    <definedName name="IQ_NI_GW_EST_THOM" hidden="1">"c5133"</definedName>
    <definedName name="IQ_NI_GW_GUIDANCE_CIQ" hidden="1">"c5009"</definedName>
    <definedName name="IQ_NI_GW_GUIDANCE_CIQ_COL" hidden="1">"c11656"</definedName>
    <definedName name="IQ_NI_GW_HIGH_EST" hidden="1">"c1725"</definedName>
    <definedName name="IQ_NI_GW_HIGH_EST_REUT" hidden="1">"c5377"</definedName>
    <definedName name="IQ_NI_GW_HIGH_EST_THOM" hidden="1">"c5135"</definedName>
    <definedName name="IQ_NI_GW_HIGH_GUIDANCE_CIQ" hidden="1">"c4590"</definedName>
    <definedName name="IQ_NI_GW_HIGH_GUIDANCE_CIQ_COL" hidden="1">"c11239"</definedName>
    <definedName name="IQ_NI_GW_LOW_EST" hidden="1">"c1726"</definedName>
    <definedName name="IQ_NI_GW_LOW_EST_REUT" hidden="1">"c5378"</definedName>
    <definedName name="IQ_NI_GW_LOW_EST_THOM" hidden="1">"c5136"</definedName>
    <definedName name="IQ_NI_GW_LOW_GUIDANCE_CIQ" hidden="1">"c4630"</definedName>
    <definedName name="IQ_NI_GW_LOW_GUIDANCE_CIQ_COL" hidden="1">"c11279"</definedName>
    <definedName name="IQ_NI_GW_MEDIAN_EST" hidden="1">"c1724"</definedName>
    <definedName name="IQ_NI_GW_MEDIAN_EST_REUT" hidden="1">"c5376"</definedName>
    <definedName name="IQ_NI_GW_MEDIAN_EST_THOM" hidden="1">"c5134"</definedName>
    <definedName name="IQ_NI_GW_NUM_EST" hidden="1">"c1727"</definedName>
    <definedName name="IQ_NI_GW_NUM_EST_REUT" hidden="1">"c5379"</definedName>
    <definedName name="IQ_NI_GW_NUM_EST_THOM" hidden="1">"c5137"</definedName>
    <definedName name="IQ_NI_GW_STDDEV_EST" hidden="1">"c1728"</definedName>
    <definedName name="IQ_NI_GW_STDDEV_EST_REUT" hidden="1">"c5380"</definedName>
    <definedName name="IQ_NI_GW_STDDEV_EST_THOM" hidden="1">"c5138"</definedName>
    <definedName name="IQ_NI_HIGH_EST" hidden="1">"c1718"</definedName>
    <definedName name="IQ_NI_HIGH_EST_REUT" hidden="1">"c5370"</definedName>
    <definedName name="IQ_NI_HIGH_EST_THOM" hidden="1">"c5128"</definedName>
    <definedName name="IQ_NI_HIGH_GUIDANCE_CIQ" hidden="1">"c4588"</definedName>
    <definedName name="IQ_NI_HIGH_GUIDANCE_CIQ_COL" hidden="1">"c11237"</definedName>
    <definedName name="IQ_NI_LOW_EST" hidden="1">"c1719"</definedName>
    <definedName name="IQ_NI_LOW_EST_REUT" hidden="1">"c5371"</definedName>
    <definedName name="IQ_NI_LOW_EST_THOM" hidden="1">"c5129"</definedName>
    <definedName name="IQ_NI_LOW_GUIDANCE_CIQ" hidden="1">"c4628"</definedName>
    <definedName name="IQ_NI_LOW_GUIDANCE_CIQ_COL" hidden="1">"c11277"</definedName>
    <definedName name="IQ_NI_MARGIN" hidden="1">"c794"</definedName>
    <definedName name="IQ_NI_MEDIAN_EST" hidden="1">"c1717"</definedName>
    <definedName name="IQ_NI_MEDIAN_EST_REUT" hidden="1">"c5369"</definedName>
    <definedName name="IQ_NI_MEDIAN_EST_THOM" hidden="1">"c5127"</definedName>
    <definedName name="IQ_NI_NON_CONTROLLING_INTERESTS_FFIEC" hidden="1">"c15366"</definedName>
    <definedName name="IQ_NI_NONCONTROLLING_INT_THRIFT" hidden="1">"c24799"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NUM_EST" hidden="1">"c1720"</definedName>
    <definedName name="IQ_NI_NUM_EST_REUT" hidden="1">"c5372"</definedName>
    <definedName name="IQ_NI_NUM_EST_THOM" hidden="1">"c5130"</definedName>
    <definedName name="IQ_NI_REPORTED_DET_EST_ORIGIN" hidden="1">"c12588"</definedName>
    <definedName name="IQ_NI_REPORTED_EST" hidden="1">"c1730"</definedName>
    <definedName name="IQ_NI_REPORTED_EST_REUT" hidden="1">"c5382"</definedName>
    <definedName name="IQ_NI_REPORTED_HIGH_EST" hidden="1">"c1732"</definedName>
    <definedName name="IQ_NI_REPORTED_HIGH_EST_REUT" hidden="1">"c5384"</definedName>
    <definedName name="IQ_NI_REPORTED_LOW_EST" hidden="1">"c1733"</definedName>
    <definedName name="IQ_NI_REPORTED_LOW_EST_REUT" hidden="1">"c5385"</definedName>
    <definedName name="IQ_NI_REPORTED_MEDIAN_EST" hidden="1">"c1731"</definedName>
    <definedName name="IQ_NI_REPORTED_MEDIAN_EST_REUT" hidden="1">"c5383"</definedName>
    <definedName name="IQ_NI_REPORTED_NUM_EST" hidden="1">"c1734"</definedName>
    <definedName name="IQ_NI_REPORTED_NUM_EST_REUT" hidden="1">"c5386"</definedName>
    <definedName name="IQ_NI_REPORTED_STDDEV_EST" hidden="1">"c1735"</definedName>
    <definedName name="IQ_NI_REPORTED_STDDEV_EST_REUT" hidden="1">"c5387"</definedName>
    <definedName name="IQ_NI_SBC_ACT_OR_EST" hidden="1">"c4474"</definedName>
    <definedName name="IQ_NI_SBC_ACT_OR_EST_CIQ" hidden="1">"c5012"</definedName>
    <definedName name="IQ_NI_SBC_ACT_OR_EST_CIQ_COL" hidden="1">"c11659"</definedName>
    <definedName name="IQ_NI_SBC_EST" hidden="1">"c4473"</definedName>
    <definedName name="IQ_NI_SBC_GUIDANCE" hidden="1">"c4475"</definedName>
    <definedName name="IQ_NI_SBC_GUIDANCE_CIQ" hidden="1">"c5013"</definedName>
    <definedName name="IQ_NI_SBC_GUIDANCE_CIQ_COL" hidden="1">"c11660"</definedName>
    <definedName name="IQ_NI_SBC_GW_ACT_OR_EST" hidden="1">"c4478"</definedName>
    <definedName name="IQ_NI_SBC_GW_ACT_OR_EST_CIQ" hidden="1">"c5016"</definedName>
    <definedName name="IQ_NI_SBC_GW_ACT_OR_EST_CIQ_COL" hidden="1">"c11663"</definedName>
    <definedName name="IQ_NI_SBC_GW_EST" hidden="1">"c4477"</definedName>
    <definedName name="IQ_NI_SBC_GW_GUIDANCE" hidden="1">"c4479"</definedName>
    <definedName name="IQ_NI_SBC_GW_GUIDANCE_CIQ" hidden="1">"c5017"</definedName>
    <definedName name="IQ_NI_SBC_GW_GUIDANCE_CIQ_COL" hidden="1">"c11664"</definedName>
    <definedName name="IQ_NI_SBC_GW_HIGH_EST" hidden="1">"c4480"</definedName>
    <definedName name="IQ_NI_SBC_GW_HIGH_GUIDANCE" hidden="1">"c4187"</definedName>
    <definedName name="IQ_NI_SBC_GW_HIGH_GUIDANCE_CIQ" hidden="1">"c4599"</definedName>
    <definedName name="IQ_NI_SBC_GW_HIGH_GUIDANCE_CIQ_COL" hidden="1">"c11248"</definedName>
    <definedName name="IQ_NI_SBC_GW_LOW_EST" hidden="1">"c4481"</definedName>
    <definedName name="IQ_NI_SBC_GW_LOW_GUIDANCE" hidden="1">"c4227"</definedName>
    <definedName name="IQ_NI_SBC_GW_LOW_GUIDANCE_CIQ" hidden="1">"c4639"</definedName>
    <definedName name="IQ_NI_SBC_GW_LOW_GUIDANCE_CIQ_COL" hidden="1">"c11288"</definedName>
    <definedName name="IQ_NI_SBC_GW_MEDIAN_EST" hidden="1">"c4482"</definedName>
    <definedName name="IQ_NI_SBC_GW_NUM_EST" hidden="1">"c4483"</definedName>
    <definedName name="IQ_NI_SBC_GW_STDDEV_EST" hidden="1">"c4484"</definedName>
    <definedName name="IQ_NI_SBC_HIGH_EST" hidden="1">"c4486"</definedName>
    <definedName name="IQ_NI_SBC_HIGH_GUIDANCE" hidden="1">"c4186"</definedName>
    <definedName name="IQ_NI_SBC_HIGH_GUIDANCE_CIQ" hidden="1">"c4598"</definedName>
    <definedName name="IQ_NI_SBC_HIGH_GUIDANCE_CIQ_COL" hidden="1">"c11247"</definedName>
    <definedName name="IQ_NI_SBC_LOW_EST" hidden="1">"c4487"</definedName>
    <definedName name="IQ_NI_SBC_LOW_GUIDANCE" hidden="1">"c4226"</definedName>
    <definedName name="IQ_NI_SBC_LOW_GUIDANCE_CIQ" hidden="1">"c4638"</definedName>
    <definedName name="IQ_NI_SBC_LOW_GUIDANCE_CIQ_COL" hidden="1">"c11287"</definedName>
    <definedName name="IQ_NI_SBC_MEDIAN_EST" hidden="1">"c4488"</definedName>
    <definedName name="IQ_NI_SBC_NUM_EST" hidden="1">"c4489"</definedName>
    <definedName name="IQ_NI_SBC_STDDEV_EST" hidden="1">"c4490"</definedName>
    <definedName name="IQ_NI_SFAS" hidden="1">"c795"</definedName>
    <definedName name="IQ_NI_STDDEV_EST" hidden="1">"c1721"</definedName>
    <definedName name="IQ_NI_STDDEV_EST_REUT" hidden="1">"c5373"</definedName>
    <definedName name="IQ_NI_STDDEV_EST_THOM" hidden="1">"c5131"</definedName>
    <definedName name="IQ_NI_SUBTOTAL_AP" hidden="1">"c8983"</definedName>
    <definedName name="IQ_NI_THRIFT" hidden="1">"c24800"</definedName>
    <definedName name="IQ_NLA_PCT_LEASED_CONSOL" hidden="1">"c8815"</definedName>
    <definedName name="IQ_NLA_PCT_LEASED_MANAGED" hidden="1">"c8817"</definedName>
    <definedName name="IQ_NLA_PCT_LEASED_OTHER" hidden="1">"c8818"</definedName>
    <definedName name="IQ_NLA_PCT_LEASED_TOTAL" hidden="1">"c8819"</definedName>
    <definedName name="IQ_NLA_PCT_LEASED_UNCONSOL" hidden="1">"c8816"</definedName>
    <definedName name="IQ_NLA_SQ_FT_CONSOL" hidden="1">"c8800"</definedName>
    <definedName name="IQ_NLA_SQ_FT_MANAGED" hidden="1">"c8802"</definedName>
    <definedName name="IQ_NLA_SQ_FT_OTHER" hidden="1">"c8803"</definedName>
    <definedName name="IQ_NLA_SQ_FT_TOTAL" hidden="1">"c8804"</definedName>
    <definedName name="IQ_NLA_SQ_FT_UNCONSOL" hidden="1">"c8801"</definedName>
    <definedName name="IQ_NLA_SQ_METER_CONSOL" hidden="1">"c8805"</definedName>
    <definedName name="IQ_NLA_SQ_METER_MANAGED" hidden="1">"c8807"</definedName>
    <definedName name="IQ_NLA_SQ_METER_OTHER" hidden="1">"c8808"</definedName>
    <definedName name="IQ_NLA_SQ_METER_TOTAL" hidden="1">"c8809"</definedName>
    <definedName name="IQ_NLA_SQ_METER_UNCONSOL" hidden="1">"c8806"</definedName>
    <definedName name="IQ_NOI_INCL_UNCONSOL" hidden="1">"c16068"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M_DOMESTIC_PURCHASES" hidden="1">"c20883"</definedName>
    <definedName name="IQ_NOM_EXPORT" hidden="1">"c20884"</definedName>
    <definedName name="IQ_NOM_EXPORT_GOODS" hidden="1">"c20885"</definedName>
    <definedName name="IQ_NOM_EXPORT_INCOME" hidden="1">"c20886"</definedName>
    <definedName name="IQ_NOM_EXPORT_SERVICES" hidden="1">"c20887"</definedName>
    <definedName name="IQ_NOM_GDP" hidden="1">"c20888"</definedName>
    <definedName name="IQ_NOM_GDP_RESIDUAL" hidden="1">"c20889"</definedName>
    <definedName name="IQ_NOM_GNP" hidden="1">"c20890"</definedName>
    <definedName name="IQ_NOM_GOVT_CONSUM_INVEST" hidden="1">"c20891"</definedName>
    <definedName name="IQ_NOM_GOVT_CONSUM_INVEST_DEF" hidden="1">"c20892"</definedName>
    <definedName name="IQ_NOM_GOVT_CONSUM_INVEST_DEF_CONSUM" hidden="1">"c20893"</definedName>
    <definedName name="IQ_NOM_GOVT_CONSUM_INVEST_DEF_INVEST" hidden="1">"c20894"</definedName>
    <definedName name="IQ_NOM_GOVT_CONSUM_INVEST_FEDERAL" hidden="1">"c20895"</definedName>
    <definedName name="IQ_NOM_GOVT_CONSUM_INVEST_NONDEF" hidden="1">"c20896"</definedName>
    <definedName name="IQ_NOM_GOVT_CONSUM_INVEST_NONDEF_CONSUM" hidden="1">"c20897"</definedName>
    <definedName name="IQ_NOM_GOVT_CONSUM_INVEST_NONDEF_INVEST" hidden="1">"c20898"</definedName>
    <definedName name="IQ_NOM_GOVT_CONSUM_INVEST_STATE_LOCAL" hidden="1">"c20899"</definedName>
    <definedName name="IQ_NOM_GOVT_CONSUM_INVEST_STATE_LOCAL_CONSUM" hidden="1">"c20900"</definedName>
    <definedName name="IQ_NOM_GOVT_CONSUM_INVEST_STATE_LOCAL_INVEST" hidden="1">"c20901"</definedName>
    <definedName name="IQ_NOM_IMPORT" hidden="1">"c20902"</definedName>
    <definedName name="IQ_NOM_IMPORT_GOODS" hidden="1">"c20903"</definedName>
    <definedName name="IQ_NOM_IMPORT_INCOME" hidden="1">"c20904"</definedName>
    <definedName name="IQ_NOM_IMPORT_SERVICES" hidden="1">"c20905"</definedName>
    <definedName name="IQ_NOM_NET_DOMESTIC_PRODUCTION" hidden="1">"c20906"</definedName>
    <definedName name="IQ_NOM_NET_EXPORT" hidden="1">"c20907"</definedName>
    <definedName name="IQ_NOM_PCE" hidden="1">"c20908"</definedName>
    <definedName name="IQ_NOM_PCE_CLOTHING" hidden="1">"c20909"</definedName>
    <definedName name="IQ_NOM_PCE_DUR_GOODS" hidden="1">"c20910"</definedName>
    <definedName name="IQ_NOM_PCE_DUR_GOODS_OTHER" hidden="1">"c20911"</definedName>
    <definedName name="IQ_NOM_PCE_FINANCIAL" hidden="1">"c20912"</definedName>
    <definedName name="IQ_NOM_PCE_FOOD_ACCOMADATIONS" hidden="1">"c20913"</definedName>
    <definedName name="IQ_NOM_PCE_FOOD_BEVERAGE" hidden="1">"c20914"</definedName>
    <definedName name="IQ_NOM_PCE_FURNISHINGS" hidden="1">"c20915"</definedName>
    <definedName name="IQ_NOM_PCE_GAS" hidden="1">"c20916"</definedName>
    <definedName name="IQ_NOM_PCE_GOOD" hidden="1">"c20917"</definedName>
    <definedName name="IQ_NOM_PCE_HEALTH_CARE" hidden="1">"c20918"</definedName>
    <definedName name="IQ_NOM_PCE_HOUSEHOLD_CONSUM" hidden="1">"c20919"</definedName>
    <definedName name="IQ_NOM_PCE_HOUSEHOLD_CONSUM_OTHER" hidden="1">"c20920"</definedName>
    <definedName name="IQ_NOM_PCE_HOUSING" hidden="1">"c20921"</definedName>
    <definedName name="IQ_NOM_PCE_MOTOR_VEHICLE" hidden="1">"c20922"</definedName>
    <definedName name="IQ_NOM_PCE_NONDUR_GOODS" hidden="1">"c20923"</definedName>
    <definedName name="IQ_NOM_PCE_NONDUR_GOODS_OTHER" hidden="1">"c20924"</definedName>
    <definedName name="IQ_NOM_PCE_NONPROFIT_CONSUM" hidden="1">"c20925"</definedName>
    <definedName name="IQ_NOM_PCE_NONPROFIT_OUTPUT" hidden="1">"c20926"</definedName>
    <definedName name="IQ_NOM_PCE_NONPROFIT_RECEIPTS" hidden="1">"c20927"</definedName>
    <definedName name="IQ_NOM_PCE_RECREATION_GOODS" hidden="1">"c20928"</definedName>
    <definedName name="IQ_NOM_PCE_RECREATION_SERVICES" hidden="1">"c20929"</definedName>
    <definedName name="IQ_NOM_PCE_SERVICES" hidden="1">"c20930"</definedName>
    <definedName name="IQ_NOM_PCE_TRANSPORTATION" hidden="1">"c20931"</definedName>
    <definedName name="IQ_NOM_PRIVATE_INVEST" hidden="1">"c20932"</definedName>
    <definedName name="IQ_NOM_PRIVATE_INVEST_EQUIP" hidden="1">"c20933"</definedName>
    <definedName name="IQ_NOM_PRIVATE_INVEST_EQUIP_OTHER" hidden="1">"c20934"</definedName>
    <definedName name="IQ_NOM_PRIVATE_INVEST_FIXED" hidden="1">"c20935"</definedName>
    <definedName name="IQ_NOM_PRIVATE_INVEST_INDUSTRIAL_EQUIP" hidden="1">"c20936"</definedName>
    <definedName name="IQ_NOM_PRIVATE_INVEST_INFO_EQUIP" hidden="1">"c20937"</definedName>
    <definedName name="IQ_NOM_PRIVATE_INVEST_INFO_EQUIP_COMPUTERS" hidden="1">"c20938"</definedName>
    <definedName name="IQ_NOM_PRIVATE_INVEST_INFO_EQUIP_OTHER" hidden="1">"c20939"</definedName>
    <definedName name="IQ_NOM_PRIVATE_INVEST_INFO_EQUIP_SOFTWARE" hidden="1">"c20940"</definedName>
    <definedName name="IQ_NOM_PRIVATE_INVEST_NONRES" hidden="1">"c20941"</definedName>
    <definedName name="IQ_NOM_PRIVATE_INVEST_PRIVATE_INV_CHANGE" hidden="1">"c20942"</definedName>
    <definedName name="IQ_NOM_PRIVATE_INVEST_PRIVATE_INV_FARMS" hidden="1">"c20943"</definedName>
    <definedName name="IQ_NOM_PRIVATE_INVEST_PRIVATE_INV_NONFARMS" hidden="1">"c20944"</definedName>
    <definedName name="IQ_NOM_PRIVATE_INVEST_RES" hidden="1">"c20945"</definedName>
    <definedName name="IQ_NOM_PRIVATE_INVEST_STRUCTURES" hidden="1">"c20946"</definedName>
    <definedName name="IQ_NOM_PRIVATE_INVEST_TRANSPORTATION_EQUIP" hidden="1">"c20947"</definedName>
    <definedName name="IQ_NOM_SALES_TO_DOMESTIC_PURCHASES" hidden="1">"c20948"</definedName>
    <definedName name="IQ_NOMINAL_GDP" hidden="1">"c20949"</definedName>
    <definedName name="IQ_NOMINAL_GDP_FC" hidden="1">"c20950"</definedName>
    <definedName name="IQ_NOMINAL_GDP_PER_CAPITA" hidden="1">"c20951"</definedName>
    <definedName name="IQ_NOMINAL_GDP_PER_CAPITA_FC" hidden="1">"c20952"</definedName>
    <definedName name="IQ_NON_ACCRU_ALLOW_RECEIVABLES_FFIEC" hidden="1">"c13353"</definedName>
    <definedName name="IQ_NON_ACCRUAL_ASSET_SOLD_DURING_QTR_FFIEC" hidden="1">"c15350"</definedName>
    <definedName name="IQ_NON_ACCRUAL_LOANS" hidden="1">"c796"</definedName>
    <definedName name="IQ_NON_CASH" localSheetId="7" hidden="1">"c1399"</definedName>
    <definedName name="IQ_NON_CASH" localSheetId="8" hidden="1">"c1399"</definedName>
    <definedName name="IQ_NON_CASH" hidden="1">"c1399"</definedName>
    <definedName name="IQ_NON_CASH_ITEMS" hidden="1">"c797"</definedName>
    <definedName name="IQ_NON_CD_DEPOSITS" hidden="1">"c15718"</definedName>
    <definedName name="IQ_NON_CD_DEPOSITS_TOTAL_DEPOSITS" hidden="1">"c15725"</definedName>
    <definedName name="IQ_NON_COUNTERPARTY_RISK" hidden="1">"c26990"</definedName>
    <definedName name="IQ_NON_CURRENT_LOANS_FFIEC" hidden="1">"c13860"</definedName>
    <definedName name="IQ_NON_FARM_NONRES_PROPERTIES_TRADING_DOM_FFIEC" hidden="1">"c12931"</definedName>
    <definedName name="IQ_NON_INS_EXP" hidden="1">"c798"</definedName>
    <definedName name="IQ_NON_INS_REV" hidden="1">"c799"</definedName>
    <definedName name="IQ_NON_INT_BAL_OTHER_INSTITUTIONS_FFIEC" hidden="1">"c12950"</definedName>
    <definedName name="IQ_NON_INT_BEAR_CD" hidden="1">"c800"</definedName>
    <definedName name="IQ_NON_INT_BEARING_DEMAND_DEPOSITS_THRIFT" hidden="1">"c25007"</definedName>
    <definedName name="IQ_NON_INT_BEARING_DEPOSITS" hidden="1">"c800"</definedName>
    <definedName name="IQ_NON_INT_DEPOSITS_DOM_FFIEC" hidden="1">"c12851"</definedName>
    <definedName name="IQ_NON_INT_DEPOSITS_FOREIGN_FFIEC" hidden="1">"c12854"</definedName>
    <definedName name="IQ_NON_INT_EXP" hidden="1">"c801"</definedName>
    <definedName name="IQ_NON_INT_EXP_AFTER_PROVISION_THRIFT" hidden="1">"c25872"</definedName>
    <definedName name="IQ_NON_INT_EXP_AVG_ASSETS_FFIEC" hidden="1">"c18878"</definedName>
    <definedName name="IQ_NON_INT_EXP_AVG_ASSETS_THRIFT" hidden="1">"c25784"</definedName>
    <definedName name="IQ_NON_INT_EXP_BNK_AP" hidden="1">"c8877"</definedName>
    <definedName name="IQ_NON_INT_EXP_BNK_AP_ABS" hidden="1">"c8896"</definedName>
    <definedName name="IQ_NON_INT_EXP_BNK_NAME_AP" hidden="1">"c8915"</definedName>
    <definedName name="IQ_NON_INT_EXP_BNK_NAME_AP_ABS" hidden="1">"c8934"</definedName>
    <definedName name="IQ_NON_INT_EXP_BNK_SUBTOTAL_AP" hidden="1">"c8981"</definedName>
    <definedName name="IQ_NON_INT_EXP_FDIC" hidden="1">"c6579"</definedName>
    <definedName name="IQ_NON_INT_EXP_THRIFT" hidden="1">"c24793"</definedName>
    <definedName name="IQ_NON_INT_EXPENSE_AVG_ASSET" hidden="1">"c15708"</definedName>
    <definedName name="IQ_NON_INT_EXPENSE_FFIEC" hidden="1">"c13028"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_INC_AVG_ASSETS_FFIEC" hidden="1">"c13359"</definedName>
    <definedName name="IQ_NON_INT_INC_BNK_AP" hidden="1">"c8876"</definedName>
    <definedName name="IQ_NON_INT_INC_BNK_AP_ABS" hidden="1">"c8895"</definedName>
    <definedName name="IQ_NON_INT_INC_BNK_NAME_AP" hidden="1">"c8914"</definedName>
    <definedName name="IQ_NON_INT_INC_BNK_NAME_AP_ABS" hidden="1">"c8933"</definedName>
    <definedName name="IQ_NON_INT_INC_BNK_SUBTOTAL_AP" hidden="1">"c8980"</definedName>
    <definedName name="IQ_NON_INT_INC_FDIC" hidden="1">"c6575"</definedName>
    <definedName name="IQ_NON_INT_INC_OPERATING_INC_FFIEC" hidden="1">"c13382"</definedName>
    <definedName name="IQ_NON_INT_INCOME_ADJUSTED_OPERATING_INCOME_THRIFT" hidden="1">"c25688"</definedName>
    <definedName name="IQ_NON_INT_INCOME_AVG_ASSET" hidden="1">"c15707"</definedName>
    <definedName name="IQ_NON_INT_INCOME_AVG_ASSETS_THRIFT" hidden="1">"c25650"</definedName>
    <definedName name="IQ_NON_INT_INCOME_FFIEC" hidden="1">"c13017"</definedName>
    <definedName name="IQ_NON_INT_INCOME_THRIFT" hidden="1">"c24781"</definedName>
    <definedName name="IQ_NON_INTEREST_BEARING_DEPOSITS_ALL_OTHER_ACCOUNTS_THRIFT" hidden="1">"c25423"</definedName>
    <definedName name="IQ_NON_INTEREST_BEARING_DEPOSITS_EMPLOYEE_BENEFIT_RETIREMENT_RELATED_ACCOUNTS_THRIFT" hidden="1">"c25407"</definedName>
    <definedName name="IQ_NON_INTEREST_BEARING_DEPOSITS_PERSONAL_TRUST_AGENCY_INV_MANAGEMENT_ACCOUNTS_THRIFT" hidden="1">"c25391"</definedName>
    <definedName name="IQ_NON_INTEREST_EXP" localSheetId="7" hidden="1">"c1400"</definedName>
    <definedName name="IQ_NON_INTEREST_EXP" localSheetId="8" hidden="1">"c1400"</definedName>
    <definedName name="IQ_NON_INTEREST_EXP" hidden="1">"c1400"</definedName>
    <definedName name="IQ_NON_INTEREST_INC" localSheetId="7" hidden="1">"c1401"</definedName>
    <definedName name="IQ_NON_INTEREST_INC" localSheetId="8" hidden="1">"c1401"</definedName>
    <definedName name="IQ_NON_INTEREST_INC" hidden="1">"c1401"</definedName>
    <definedName name="IQ_NON_MORTGAGE_AGRICULTURE_FARMERS_COMM_LOANS_100000_THROUGH_250000_THRIFT" hidden="1">"c24974"</definedName>
    <definedName name="IQ_NON_MORTGAGE_AGRICULTURE_FARMERS_COMM_LOANS_250000_THROUGH_500000_THRIFT" hidden="1">"c24976"</definedName>
    <definedName name="IQ_NON_MORTGAGE_AGRICULTURE_FARMERS_COMM_LOANS_LESS_THAN_EQUAL_100000_THRIFT" hidden="1">"c24972"</definedName>
    <definedName name="IQ_NON_MORTGAGE_LOANS_ADJUSTED_NCOS_TOTAL_TOTAL_THRIFT" hidden="1">"c25209"</definedName>
    <definedName name="IQ_NON_MORTGAGE_LOANS_GVA_CHARGE_OFFS_TOTAL_THRIFT" hidden="1">"c25124"</definedName>
    <definedName name="IQ_NON_MORTGAGE_LOANS_GVA_RECOVERIES_TOTAL_THRIFT" hidden="1">"c25155"</definedName>
    <definedName name="IQ_NON_MORTGAGE_LOANS_SVA_PROVISIONS_TRANSFERS_FROM_GVA_TOTAL_TOTAL_THRIFT" hidden="1">"c25178"</definedName>
    <definedName name="IQ_NON_MORTGAGE_NON_AGRICULTURE_COMM_LOANS_100000_THROUGH_250000_THRIFT" hidden="1">"c24961"</definedName>
    <definedName name="IQ_NON_MORTGAGE_NON_AGRICULTURE_COMM_LOANS_250000_THROUGH_1000000_THRIFT" hidden="1">"c24963"</definedName>
    <definedName name="IQ_NON_MORTGAGE_NON_AGRICULTURE_COMM_LOANS_LESS_THAN_EQUAL_100000_THRIFT" hidden="1">"c24959"</definedName>
    <definedName name="IQ_NON_OPER_EXP" hidden="1">"c809"</definedName>
    <definedName name="IQ_NON_OPER_INC" hidden="1">"c810"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EQUITY" hidden="1">"c15702"</definedName>
    <definedName name="IQ_NON_PERF_ASSETS_LOANS_OREO" hidden="1">"c15701"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ASSETS_FFIEC" hidden="1">"c13859"</definedName>
    <definedName name="IQ_NON_PERFORMING_LOANS" hidden="1">"c827"</definedName>
    <definedName name="IQ_NON_PERFORMING_LOANS_FFIEC" hidden="1">"c13861"</definedName>
    <definedName name="IQ_NON_RE_DA" hidden="1">"c16179"</definedName>
    <definedName name="IQ_NON_RENTAL_NOI" hidden="1">"c16066"</definedName>
    <definedName name="IQ_NON_RENTAL_OPERATING_EXPENSE" hidden="1">"c16046"</definedName>
    <definedName name="IQ_NON_US_ADDRESS_LEASE_FIN_REC_FFIEC" hidden="1">"c13625"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INCOME_AMORT_CLOSED_END_LOANS_FFIEC" hidden="1">"c13078"</definedName>
    <definedName name="IQ_NONCASH_PENSION_EXP" hidden="1">"c3000"</definedName>
    <definedName name="IQ_NONCORE_ASSETS_TOT_FFIEC" hidden="1">"c13443"</definedName>
    <definedName name="IQ_NONCORE_FUNDING_TOTAL_ASSETS_THRIFT" hidden="1">"c25700"</definedName>
    <definedName name="IQ_NONCUMULATIVE_PREF_THRIFT" hidden="1">"c24916"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DEF_CAPITAL_GOODS_ORDERS" hidden="1">"c6932"</definedName>
    <definedName name="IQ_NONDEF_CAPITAL_GOODS_ORDERS_APR" hidden="1">"c7592"</definedName>
    <definedName name="IQ_NONDEF_CAPITAL_GOODS_ORDERS_APR_FC" hidden="1">"c8472"</definedName>
    <definedName name="IQ_NONDEF_CAPITAL_GOODS_ORDERS_FC" hidden="1">"c7812"</definedName>
    <definedName name="IQ_NONDEF_CAPITAL_GOODS_ORDERS_POP" hidden="1">"c7152"</definedName>
    <definedName name="IQ_NONDEF_CAPITAL_GOODS_ORDERS_POP_FC" hidden="1">"c8032"</definedName>
    <definedName name="IQ_NONDEF_CAPITAL_GOODS_ORDERS_YOY" hidden="1">"c7372"</definedName>
    <definedName name="IQ_NONDEF_CAPITAL_GOODS_ORDERS_YOY_FC" hidden="1">"c8252"</definedName>
    <definedName name="IQ_NONDEF_CAPITAL_GOODS_SHIPMENTS" hidden="1">"c6933"</definedName>
    <definedName name="IQ_NONDEF_CAPITAL_GOODS_SHIPMENTS_APR" hidden="1">"c7593"</definedName>
    <definedName name="IQ_NONDEF_CAPITAL_GOODS_SHIPMENTS_APR_FC" hidden="1">"c8473"</definedName>
    <definedName name="IQ_NONDEF_CAPITAL_GOODS_SHIPMENTS_FC" hidden="1">"c7813"</definedName>
    <definedName name="IQ_NONDEF_CAPITAL_GOODS_SHIPMENTS_POP" hidden="1">"c7153"</definedName>
    <definedName name="IQ_NONDEF_CAPITAL_GOODS_SHIPMENTS_POP_FC" hidden="1">"c8033"</definedName>
    <definedName name="IQ_NONDEF_CAPITAL_GOODS_SHIPMENTS_YOY" hidden="1">"c7373"</definedName>
    <definedName name="IQ_NONDEF_CAPITAL_GOODS_SHIPMENTS_YOY_FC" hidden="1">"c8253"</definedName>
    <definedName name="IQ_NONDEF_SPENDING_SAAR" hidden="1">"c6934"</definedName>
    <definedName name="IQ_NONDEF_SPENDING_SAAR_APR" hidden="1">"c7594"</definedName>
    <definedName name="IQ_NONDEF_SPENDING_SAAR_APR_FC" hidden="1">"c8474"</definedName>
    <definedName name="IQ_NONDEF_SPENDING_SAAR_FC" hidden="1">"c7814"</definedName>
    <definedName name="IQ_NONDEF_SPENDING_SAAR_POP" hidden="1">"c7154"</definedName>
    <definedName name="IQ_NONDEF_SPENDING_SAAR_POP_FC" hidden="1">"c8034"</definedName>
    <definedName name="IQ_NONDEF_SPENDING_SAAR_YOY" hidden="1">"c7374"</definedName>
    <definedName name="IQ_NONDEF_SPENDING_SAAR_YOY_FC" hidden="1">"c8254"</definedName>
    <definedName name="IQ_NONFARM_EMP_HRS_PCT_CHANGE" hidden="1">"c6935"</definedName>
    <definedName name="IQ_NONFARM_EMP_HRS_PCT_CHANGE_FC" hidden="1">"c7815"</definedName>
    <definedName name="IQ_NONFARM_EMP_HRS_PCT_CHANGE_POP" hidden="1">"c7155"</definedName>
    <definedName name="IQ_NONFARM_EMP_HRS_PCT_CHANGE_POP_FC" hidden="1">"c8035"</definedName>
    <definedName name="IQ_NONFARM_EMP_HRS_PCT_CHANGE_YOY" hidden="1">"c7375"</definedName>
    <definedName name="IQ_NONFARM_EMP_HRS_PCT_CHANGE_YOY_FC" hidden="1">"c8255"</definedName>
    <definedName name="IQ_NONFARM_NONRES_DOM_FFIEC" hidden="1">"c15271"</definedName>
    <definedName name="IQ_NONFARM_NONRES_DOM_LOSS_SHARING_FFIEC" hidden="1">"c27211"</definedName>
    <definedName name="IQ_NONFARM_NONRES_GROSS_LOANS_FFIEC" hidden="1">"c13405"</definedName>
    <definedName name="IQ_NONFARM_NONRES_LL_REC_DOM_FFIEC" hidden="1">"c13626"</definedName>
    <definedName name="IQ_NONFARM_NONRES_LOANS_GROSS_LOANS_THRIFT" hidden="1">"c25730"</definedName>
    <definedName name="IQ_NONFARM_NONRES_LOANS_RISK_BASED_CAPITAL_THRIFT" hidden="1">"c25715"</definedName>
    <definedName name="IQ_NONFARM_NONRES_RISK_BASED_FFIEC" hidden="1">"c13426"</definedName>
    <definedName name="IQ_NONFARM_OUTPUT_PER_HR" hidden="1">"c6936"</definedName>
    <definedName name="IQ_NONFARM_OUTPUT_PER_HR_APR" hidden="1">"c7596"</definedName>
    <definedName name="IQ_NONFARM_OUTPUT_PER_HR_APR_FC" hidden="1">"c8476"</definedName>
    <definedName name="IQ_NONFARM_OUTPUT_PER_HR_FC" hidden="1">"c7816"</definedName>
    <definedName name="IQ_NONFARM_OUTPUT_PER_HR_POP" hidden="1">"c7156"</definedName>
    <definedName name="IQ_NONFARM_OUTPUT_PER_HR_POP_FC" hidden="1">"c8036"</definedName>
    <definedName name="IQ_NONFARM_OUTPUT_PER_HR_YOY" hidden="1">"c7376"</definedName>
    <definedName name="IQ_NONFARM_OUTPUT_PER_HR_YOY_FC" hidden="1">"c8256"</definedName>
    <definedName name="IQ_NONFARM_PAYROLLS" hidden="1">"c6926"</definedName>
    <definedName name="IQ_NONFARM_PAYROLLS_APR" hidden="1">"c7586"</definedName>
    <definedName name="IQ_NONFARM_PAYROLLS_APR_FC" hidden="1">"c8466"</definedName>
    <definedName name="IQ_NONFARM_PAYROLLS_FC" hidden="1">"c7806"</definedName>
    <definedName name="IQ_NONFARM_PAYROLLS_POP" hidden="1">"c7146"</definedName>
    <definedName name="IQ_NONFARM_PAYROLLS_POP_FC" hidden="1">"c8026"</definedName>
    <definedName name="IQ_NONFARM_PAYROLLS_YOY" hidden="1">"c7366"</definedName>
    <definedName name="IQ_NONFARM_PAYROLLS_YOY_FC" hidden="1">"c8246"</definedName>
    <definedName name="IQ_NONFARM_TOTAL_HR_INDEX" hidden="1">"c6937"</definedName>
    <definedName name="IQ_NONFARM_TOTAL_HR_INDEX_APR" hidden="1">"c7597"</definedName>
    <definedName name="IQ_NONFARM_TOTAL_HR_INDEX_APR_FC" hidden="1">"c8477"</definedName>
    <definedName name="IQ_NONFARM_TOTAL_HR_INDEX_FC" hidden="1">"c7817"</definedName>
    <definedName name="IQ_NONFARM_TOTAL_HR_INDEX_POP" hidden="1">"c7157"</definedName>
    <definedName name="IQ_NONFARM_TOTAL_HR_INDEX_POP_FC" hidden="1">"c8037"</definedName>
    <definedName name="IQ_NONFARM_TOTAL_HR_INDEX_YOY" hidden="1">"c7377"</definedName>
    <definedName name="IQ_NONFARM_TOTAL_HR_INDEX_YOY_FC" hidden="1">"c8257"</definedName>
    <definedName name="IQ_NONFARM_WAGES" hidden="1">"c6938"</definedName>
    <definedName name="IQ_NONFARM_WAGES_APR" hidden="1">"c7598"</definedName>
    <definedName name="IQ_NONFARM_WAGES_APR_FC" hidden="1">"c8478"</definedName>
    <definedName name="IQ_NONFARM_WAGES_FC" hidden="1">"c7818"</definedName>
    <definedName name="IQ_NONFARM_WAGES_INDEX" hidden="1">"c6939"</definedName>
    <definedName name="IQ_NONFARM_WAGES_INDEX_APR" hidden="1">"c7599"</definedName>
    <definedName name="IQ_NONFARM_WAGES_INDEX_APR_FC" hidden="1">"c8479"</definedName>
    <definedName name="IQ_NONFARM_WAGES_INDEX_FC" hidden="1">"c7819"</definedName>
    <definedName name="IQ_NONFARM_WAGES_INDEX_POP" hidden="1">"c7159"</definedName>
    <definedName name="IQ_NONFARM_WAGES_INDEX_POP_FC" hidden="1">"c8039"</definedName>
    <definedName name="IQ_NONFARM_WAGES_INDEX_YOY" hidden="1">"c7379"</definedName>
    <definedName name="IQ_NONFARM_WAGES_INDEX_YOY_FC" hidden="1">"c8259"</definedName>
    <definedName name="IQ_NONFARM_WAGES_POP" hidden="1">"c7158"</definedName>
    <definedName name="IQ_NONFARM_WAGES_POP_FC" hidden="1">"c8038"</definedName>
    <definedName name="IQ_NONFARM_WAGES_YOY" hidden="1">"c7378"</definedName>
    <definedName name="IQ_NONFARM_WAGES_YOY_FC" hidden="1">"c8258"</definedName>
    <definedName name="IQ_NONINTEREST_BEARING_BALANCES_FDIC" hidden="1">"c6394"</definedName>
    <definedName name="IQ_NONINTEREST_BEARING_CASH_FFIEC" hidden="1">"c12774"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_FOREIGN_FFIEC" hidden="1">"c15376"</definedName>
    <definedName name="IQ_NONINTEREST_INC_QUARTER_SECURITIZATION_CLOSED_END_1_4_MORTGAGE_LOANS_FFIEC" hidden="1">"c27053"</definedName>
    <definedName name="IQ_NONINTEREST_INC_QUARTER_SECURITIZATION_OPEN_END_1_4_MORTGAGE_LOANS_FFIEC" hidden="1">"c27054"</definedName>
    <definedName name="IQ_NONINTEREST_INCOME_EARNING_ASSETS_FDIC" hidden="1">"c6727"</definedName>
    <definedName name="IQ_NONMORTGAGE_SERVICING_FDIC" hidden="1">"c6336"</definedName>
    <definedName name="IQ_NONQUALIFYING_PREFERRED_T1_FFIEC" hidden="1">"c13134"</definedName>
    <definedName name="IQ_NONRECOURSE_DEBT" hidden="1">"c2550"</definedName>
    <definedName name="IQ_NONRECOURSE_DEBT_PCT" hidden="1">"c2551"</definedName>
    <definedName name="IQ_NONRES_FIXED_INVEST" hidden="1">"c6931"</definedName>
    <definedName name="IQ_NONRES_FIXED_INVEST_APR" hidden="1">"c7591"</definedName>
    <definedName name="IQ_NONRES_FIXED_INVEST_POP" hidden="1">"c7151"</definedName>
    <definedName name="IQ_NONRES_FIXED_INVEST_PRIV_APR_FC_UNUSED" hidden="1">"c8468"</definedName>
    <definedName name="IQ_NONRES_FIXED_INVEST_PRIV_APR_FC_UNUSED_UNUSED_UNUSED" hidden="1">"c8468"</definedName>
    <definedName name="IQ_NONRES_FIXED_INVEST_PRIV_APR_UNUSED" hidden="1">"c7588"</definedName>
    <definedName name="IQ_NONRES_FIXED_INVEST_PRIV_APR_UNUSED_UNUSED_UNUSED" hidden="1">"c7588"</definedName>
    <definedName name="IQ_NONRES_FIXED_INVEST_PRIV_FC_UNUSED" hidden="1">"c7808"</definedName>
    <definedName name="IQ_NONRES_FIXED_INVEST_PRIV_FC_UNUSED_UNUSED_UNUSED" hidden="1">"c7808"</definedName>
    <definedName name="IQ_NONRES_FIXED_INVEST_PRIV_POP_FC_UNUSED" hidden="1">"c8028"</definedName>
    <definedName name="IQ_NONRES_FIXED_INVEST_PRIV_POP_FC_UNUSED_UNUSED_UNUSED" hidden="1">"c8028"</definedName>
    <definedName name="IQ_NONRES_FIXED_INVEST_PRIV_POP_UNUSED" hidden="1">"c7148"</definedName>
    <definedName name="IQ_NONRES_FIXED_INVEST_PRIV_POP_UNUSED_UNUSED_UNUSED" hidden="1">"c7148"</definedName>
    <definedName name="IQ_NONRES_FIXED_INVEST_PRIV_REAL" hidden="1">"c6989"</definedName>
    <definedName name="IQ_NONRES_FIXED_INVEST_PRIV_REAL_APR" hidden="1">"c7649"</definedName>
    <definedName name="IQ_NONRES_FIXED_INVEST_PRIV_REAL_APR_FC" hidden="1">"c8529"</definedName>
    <definedName name="IQ_NONRES_FIXED_INVEST_PRIV_REAL_FC" hidden="1">"c7869"</definedName>
    <definedName name="IQ_NONRES_FIXED_INVEST_PRIV_REAL_POP" hidden="1">"c7209"</definedName>
    <definedName name="IQ_NONRES_FIXED_INVEST_PRIV_REAL_POP_FC" hidden="1">"c8089"</definedName>
    <definedName name="IQ_NONRES_FIXED_INVEST_PRIV_REAL_SAAR" hidden="1">"c6990"</definedName>
    <definedName name="IQ_NONRES_FIXED_INVEST_PRIV_REAL_SAAR_APR" hidden="1">"c7650"</definedName>
    <definedName name="IQ_NONRES_FIXED_INVEST_PRIV_REAL_SAAR_APR_FC" hidden="1">"c8530"</definedName>
    <definedName name="IQ_NONRES_FIXED_INVEST_PRIV_REAL_SAAR_FC" hidden="1">"c7870"</definedName>
    <definedName name="IQ_NONRES_FIXED_INVEST_PRIV_REAL_SAAR_POP" hidden="1">"c7210"</definedName>
    <definedName name="IQ_NONRES_FIXED_INVEST_PRIV_REAL_SAAR_POP_FC" hidden="1">"c8090"</definedName>
    <definedName name="IQ_NONRES_FIXED_INVEST_PRIV_REAL_SAAR_USD_APR_FC" hidden="1">"c11981"</definedName>
    <definedName name="IQ_NONRES_FIXED_INVEST_PRIV_REAL_SAAR_USD_FC" hidden="1">"c11978"</definedName>
    <definedName name="IQ_NONRES_FIXED_INVEST_PRIV_REAL_SAAR_USD_POP_FC" hidden="1">"c11979"</definedName>
    <definedName name="IQ_NONRES_FIXED_INVEST_PRIV_REAL_SAAR_USD_YOY_FC" hidden="1">"c11980"</definedName>
    <definedName name="IQ_NONRES_FIXED_INVEST_PRIV_REAL_SAAR_YOY" hidden="1">"c7430"</definedName>
    <definedName name="IQ_NONRES_FIXED_INVEST_PRIV_REAL_SAAR_YOY_FC" hidden="1">"c8310"</definedName>
    <definedName name="IQ_NONRES_FIXED_INVEST_PRIV_REAL_USD_APR_FC" hidden="1">"c11977"</definedName>
    <definedName name="IQ_NONRES_FIXED_INVEST_PRIV_REAL_USD_FC" hidden="1">"c11974"</definedName>
    <definedName name="IQ_NONRES_FIXED_INVEST_PRIV_REAL_USD_POP_FC" hidden="1">"c11975"</definedName>
    <definedName name="IQ_NONRES_FIXED_INVEST_PRIV_REAL_USD_YOY_FC" hidden="1">"c11976"</definedName>
    <definedName name="IQ_NONRES_FIXED_INVEST_PRIV_REAL_YOY" hidden="1">"c7429"</definedName>
    <definedName name="IQ_NONRES_FIXED_INVEST_PRIV_REAL_YOY_FC" hidden="1">"c8309"</definedName>
    <definedName name="IQ_NONRES_FIXED_INVEST_PRIV_SAAR" hidden="1">"c6929"</definedName>
    <definedName name="IQ_NONRES_FIXED_INVEST_PRIV_SAAR_APR" hidden="1">"c7589"</definedName>
    <definedName name="IQ_NONRES_FIXED_INVEST_PRIV_SAAR_APR_FC" hidden="1">"c8469"</definedName>
    <definedName name="IQ_NONRES_FIXED_INVEST_PRIV_SAAR_FC" hidden="1">"c7809"</definedName>
    <definedName name="IQ_NONRES_FIXED_INVEST_PRIV_SAAR_POP" hidden="1">"c7149"</definedName>
    <definedName name="IQ_NONRES_FIXED_INVEST_PRIV_SAAR_POP_FC" hidden="1">"c8029"</definedName>
    <definedName name="IQ_NONRES_FIXED_INVEST_PRIV_SAAR_USD_APR_FC" hidden="1">"c11877"</definedName>
    <definedName name="IQ_NONRES_FIXED_INVEST_PRIV_SAAR_USD_FC" hidden="1">"c11874"</definedName>
    <definedName name="IQ_NONRES_FIXED_INVEST_PRIV_SAAR_USD_POP_FC" hidden="1">"c11875"</definedName>
    <definedName name="IQ_NONRES_FIXED_INVEST_PRIV_SAAR_USD_YOY_FC" hidden="1">"c11876"</definedName>
    <definedName name="IQ_NONRES_FIXED_INVEST_PRIV_SAAR_YOY" hidden="1">"c7369"</definedName>
    <definedName name="IQ_NONRES_FIXED_INVEST_PRIV_SAAR_YOY_FC" hidden="1">"c8249"</definedName>
    <definedName name="IQ_NONRES_FIXED_INVEST_PRIV_UNUSED" hidden="1">"c6928"</definedName>
    <definedName name="IQ_NONRES_FIXED_INVEST_PRIV_UNUSED_UNUSED_UNUSED" hidden="1">"c6928"</definedName>
    <definedName name="IQ_NONRES_FIXED_INVEST_PRIV_USD_APR_FC" hidden="1">"c11873"</definedName>
    <definedName name="IQ_NONRES_FIXED_INVEST_PRIV_USD_FC" hidden="1">"c11870"</definedName>
    <definedName name="IQ_NONRES_FIXED_INVEST_PRIV_USD_POP_FC" hidden="1">"c11871"</definedName>
    <definedName name="IQ_NONRES_FIXED_INVEST_PRIV_USD_YOY_FC" hidden="1">"c11872"</definedName>
    <definedName name="IQ_NONRES_FIXED_INVEST_PRIV_YOY_FC_UNUSED" hidden="1">"c8248"</definedName>
    <definedName name="IQ_NONRES_FIXED_INVEST_PRIV_YOY_FC_UNUSED_UNUSED_UNUSED" hidden="1">"c8248"</definedName>
    <definedName name="IQ_NONRES_FIXED_INVEST_PRIV_YOY_UNUSED" hidden="1">"c7368"</definedName>
    <definedName name="IQ_NONRES_FIXED_INVEST_PRIV_YOY_UNUSED_UNUSED_UNUSED" hidden="1">"c7368"</definedName>
    <definedName name="IQ_NONRES_FIXED_INVEST_REAL" hidden="1">"c6993"</definedName>
    <definedName name="IQ_NONRES_FIXED_INVEST_REAL_APR" hidden="1">"c7653"</definedName>
    <definedName name="IQ_NONRES_FIXED_INVEST_REAL_POP" hidden="1">"c7213"</definedName>
    <definedName name="IQ_NONRES_FIXED_INVEST_REAL_SAAR" hidden="1">"c6987"</definedName>
    <definedName name="IQ_NONRES_FIXED_INVEST_REAL_SAAR_APR" hidden="1">"c7647"</definedName>
    <definedName name="IQ_NONRES_FIXED_INVEST_REAL_SAAR_APR_FC" hidden="1">"c8527"</definedName>
    <definedName name="IQ_NONRES_FIXED_INVEST_REAL_SAAR_FC" hidden="1">"c7867"</definedName>
    <definedName name="IQ_NONRES_FIXED_INVEST_REAL_SAAR_POP" hidden="1">"c7207"</definedName>
    <definedName name="IQ_NONRES_FIXED_INVEST_REAL_SAAR_POP_FC" hidden="1">"c8087"</definedName>
    <definedName name="IQ_NONRES_FIXED_INVEST_REAL_SAAR_YOY" hidden="1">"c7427"</definedName>
    <definedName name="IQ_NONRES_FIXED_INVEST_REAL_SAAR_YOY_FC" hidden="1">"c8307"</definedName>
    <definedName name="IQ_NONRES_FIXED_INVEST_REAL_USD_APR_FC" hidden="1">"c11973"</definedName>
    <definedName name="IQ_NONRES_FIXED_INVEST_REAL_USD_FC" hidden="1">"c11970"</definedName>
    <definedName name="IQ_NONRES_FIXED_INVEST_REAL_USD_POP_FC" hidden="1">"c11971"</definedName>
    <definedName name="IQ_NONRES_FIXED_INVEST_REAL_USD_YOY_FC" hidden="1">"c11972"</definedName>
    <definedName name="IQ_NONRES_FIXED_INVEST_REAL_YOY" hidden="1">"c7433"</definedName>
    <definedName name="IQ_NONRES_FIXED_INVEST_STRUCT" hidden="1">"c6930"</definedName>
    <definedName name="IQ_NONRES_FIXED_INVEST_STRUCT_APR" hidden="1">"c7590"</definedName>
    <definedName name="IQ_NONRES_FIXED_INVEST_STRUCT_APR_FC" hidden="1">"c8470"</definedName>
    <definedName name="IQ_NONRES_FIXED_INVEST_STRUCT_FC" hidden="1">"c7810"</definedName>
    <definedName name="IQ_NONRES_FIXED_INVEST_STRUCT_POP" hidden="1">"c7150"</definedName>
    <definedName name="IQ_NONRES_FIXED_INVEST_STRUCT_POP_FC" hidden="1">"c8030"</definedName>
    <definedName name="IQ_NONRES_FIXED_INVEST_STRUCT_REAL" hidden="1">"c6992"</definedName>
    <definedName name="IQ_NONRES_FIXED_INVEST_STRUCT_REAL_APR" hidden="1">"c7652"</definedName>
    <definedName name="IQ_NONRES_FIXED_INVEST_STRUCT_REAL_APR_FC" hidden="1">"c8532"</definedName>
    <definedName name="IQ_NONRES_FIXED_INVEST_STRUCT_REAL_FC" hidden="1">"c7872"</definedName>
    <definedName name="IQ_NONRES_FIXED_INVEST_STRUCT_REAL_POP" hidden="1">"c7212"</definedName>
    <definedName name="IQ_NONRES_FIXED_INVEST_STRUCT_REAL_POP_FC" hidden="1">"c8092"</definedName>
    <definedName name="IQ_NONRES_FIXED_INVEST_STRUCT_REAL_SAAR" hidden="1">"c6991"</definedName>
    <definedName name="IQ_NONRES_FIXED_INVEST_STRUCT_REAL_SAAR_APR" hidden="1">"c7651"</definedName>
    <definedName name="IQ_NONRES_FIXED_INVEST_STRUCT_REAL_SAAR_APR_FC" hidden="1">"c8531"</definedName>
    <definedName name="IQ_NONRES_FIXED_INVEST_STRUCT_REAL_SAAR_FC" hidden="1">"c7871"</definedName>
    <definedName name="IQ_NONRES_FIXED_INVEST_STRUCT_REAL_SAAR_POP" hidden="1">"c7211"</definedName>
    <definedName name="IQ_NONRES_FIXED_INVEST_STRUCT_REAL_SAAR_POP_FC" hidden="1">"c8091"</definedName>
    <definedName name="IQ_NONRES_FIXED_INVEST_STRUCT_REAL_SAAR_YOY" hidden="1">"c7431"</definedName>
    <definedName name="IQ_NONRES_FIXED_INVEST_STRUCT_REAL_SAAR_YOY_FC" hidden="1">"c8311"</definedName>
    <definedName name="IQ_NONRES_FIXED_INVEST_STRUCT_REAL_USD_APR_FC" hidden="1">"c11985"</definedName>
    <definedName name="IQ_NONRES_FIXED_INVEST_STRUCT_REAL_USD_FC" hidden="1">"c11982"</definedName>
    <definedName name="IQ_NONRES_FIXED_INVEST_STRUCT_REAL_USD_POP_FC" hidden="1">"c11983"</definedName>
    <definedName name="IQ_NONRES_FIXED_INVEST_STRUCT_REAL_USD_YOY_FC" hidden="1">"c11984"</definedName>
    <definedName name="IQ_NONRES_FIXED_INVEST_STRUCT_REAL_YOY" hidden="1">"c7432"</definedName>
    <definedName name="IQ_NONRES_FIXED_INVEST_STRUCT_REAL_YOY_FC" hidden="1">"c8312"</definedName>
    <definedName name="IQ_NONRES_FIXED_INVEST_STRUCT_USD_APR_FC" hidden="1">"c11881"</definedName>
    <definedName name="IQ_NONRES_FIXED_INVEST_STRUCT_USD_FC" hidden="1">"c11878"</definedName>
    <definedName name="IQ_NONRES_FIXED_INVEST_STRUCT_USD_POP_FC" hidden="1">"c11879"</definedName>
    <definedName name="IQ_NONRES_FIXED_INVEST_STRUCT_USD_YOY_FC" hidden="1">"c11880"</definedName>
    <definedName name="IQ_NONRES_FIXED_INVEST_STRUCT_YOY" hidden="1">"c7370"</definedName>
    <definedName name="IQ_NONRES_FIXED_INVEST_STRUCT_YOY_FC" hidden="1">"c8250"</definedName>
    <definedName name="IQ_NONRES_FIXED_INVEST_USD_APR_FC" hidden="1">"c11869"</definedName>
    <definedName name="IQ_NONRES_FIXED_INVEST_USD_FC" hidden="1">"c11866"</definedName>
    <definedName name="IQ_NONRES_FIXED_INVEST_USD_POP_FC" hidden="1">"c11867"</definedName>
    <definedName name="IQ_NONRES_FIXED_INVEST_USD_YOY_FC" hidden="1">"c11868"</definedName>
    <definedName name="IQ_NONRES_FIXED_INVEST_YOY" hidden="1">"c7371"</definedName>
    <definedName name="IQ_NONRES_PROPERTY_CONSTRUCTION_MORTGAGE_LOANS_GVA_CHARGE_OFFS_THRIFT" hidden="1">"c25117"</definedName>
    <definedName name="IQ_NONRES_PROPERTY_CONSTRUCTION_MORTGAGE_LOANS_GVA_RECOVERIES_THRIFT" hidden="1">"c25148"</definedName>
    <definedName name="IQ_NONRES_PROPERTY_DWELLING_UNITS_CONSTRUCTION_MORTGAGE_LOANS_ADJUSTED_NCOS_TOTAL_THRIFT" hidden="1">"c25202"</definedName>
    <definedName name="IQ_NONRES_PROPERTY_DWELLING_UNITS_CONSTRUCTION_MORTGAGE_LOANS_SVA_PROVISIONS_TRANSFERS_FROM_GVA_TOTAL_THRIFT" hidden="1">"c25171"</definedName>
    <definedName name="IQ_NONRES_PROPERTY_EXCEPT_LAND_IN_PROCESS_FORECLOSURE_THRIFT" hidden="1">"c25308"</definedName>
    <definedName name="IQ_NONRES_PROPERTY_EXCEPT_LAND_PML_ADJUSTED_NCOS_TOTAL_THRIFT" hidden="1">"c25207"</definedName>
    <definedName name="IQ_NONRES_PROPERTY_EXCEPT_LAND_PML_GVA_CHARGE_OFFS_THRIFT" hidden="1">"c25122"</definedName>
    <definedName name="IQ_NONRES_PROPERTY_EXCEPT_LAND_PML_GVA_RECOVERIES_THRIFT" hidden="1">"c25153"</definedName>
    <definedName name="IQ_NONRES_PROPERTY_EXCEPT_LAND_PML_SVA_PROVISIONS_TRANSFERS_FROM_GVA_TOTAL_THRIFT" hidden="1">"c25176"</definedName>
    <definedName name="IQ_NONTRADING_SECURITIES_FAIR_VALUE_TOT_FFIEC" hidden="1">"c13211"</definedName>
    <definedName name="IQ_NONTRADING_SECURITIES_LEVEL_1_FFIEC" hidden="1">"c13219"</definedName>
    <definedName name="IQ_NONTRADING_SECURITIES_LEVEL_2_FFIEC" hidden="1">"c13227"</definedName>
    <definedName name="IQ_NONTRADING_SECURITIES_LEVEL_3_FFIEC" hidden="1">"c13235"</definedName>
    <definedName name="IQ_NONTRANSACTION_ACCOUNTS_FDIC" hidden="1">"c6552"</definedName>
    <definedName name="IQ_NONUTIL_REV" hidden="1">"c2089"</definedName>
    <definedName name="IQ_NORM_EPS_ACT_OR_EST" hidden="1">"c2249"</definedName>
    <definedName name="IQ_NORM_EPS_ACT_OR_EST_CIQ" hidden="1">"c5069"</definedName>
    <definedName name="IQ_NORM_EPS_ACT_OR_EST_REUT" hidden="1">"c5472"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OBLIGATIONS_FDIC_INC_COVERED_ASSETS_ELIGIBLE_0_PCT_RISK_WEIGHT_THRIFT" hidden="1">"c25053"</definedName>
    <definedName name="IQ_NOTES_PAY" localSheetId="7" hidden="1">"c1423"</definedName>
    <definedName name="IQ_NOTES_PAY" localSheetId="8" hidden="1">"c1423"</definedName>
    <definedName name="IQ_NOTES_PAY" hidden="1">"c1423"</definedName>
    <definedName name="IQ_NOTIONAL_AMOUNT_CREDIT_DERIVATIVES_FDIC" hidden="1">"c6507"</definedName>
    <definedName name="IQ_NOTIONAL_AMT_DERIVATIVES_BENEFICIARY_FFIEC" hidden="1">"c13118"</definedName>
    <definedName name="IQ_NOTIONAL_AMT_DERIVATIVES_GUARANTOR_FFIEC" hidden="1">"c13111"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OW_ATS_ACCOUNTS_COMMERCIAL_BANK_SUBS_FFIEC" hidden="1">"c12946"</definedName>
    <definedName name="IQ_NOW_ATS_ACCOUNTS_OTHER_INSTITUTIONS_FFIEC" hidden="1">"c12951"</definedName>
    <definedName name="IQ_NOW_OTHER_TRANS_ACCTS_TOT_DEPOSITS_FFIEC" hidden="1">"c13903"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_CONTRIBUTORS" hidden="1">"c13739"</definedName>
    <definedName name="IQ_NUM_OFFICES" hidden="1">"c2088"</definedName>
    <definedName name="IQ_NUMBER_ADRHOLDERS" hidden="1">"c1970"</definedName>
    <definedName name="IQ_NUMBER_ATMS" hidden="1">"c26995"</definedName>
    <definedName name="IQ_NUMBER_CELL_SITES" hidden="1">"c15762"</definedName>
    <definedName name="IQ_NUMBER_DAYS" hidden="1">"c1904"</definedName>
    <definedName name="IQ_NUMBER_DEPOSIT_ACCOUNTS_EXCLUDING_RETIREMENT_ACCOUNTS_GREATER_THAN_250000_THRIFT" hidden="1">"c24989"</definedName>
    <definedName name="IQ_NUMBER_DEPOSIT_ACCOUNTS_EXCLUDING_RETIREMENT_ACCOUNTS_LESS_THAN_250000_THRIFT" hidden="1">"c24988"</definedName>
    <definedName name="IQ_NUMBER_DEPOSIT_ACCOUNTS_THRIFT" hidden="1">"c24987"</definedName>
    <definedName name="IQ_NUMBER_DEPOSITS_LESS_THAN_100K_FDIC" hidden="1">"c6495"</definedName>
    <definedName name="IQ_NUMBER_DEPOSITS_MORE_THAN_100K_FDIC" hidden="1">"c6493"</definedName>
    <definedName name="IQ_NUMBER_FIDUCIARY_MANAGED_ACCOUNTS_THRIFT" hidden="1">"c25439"</definedName>
    <definedName name="IQ_NUMBER_FTE_EMPLOYEES_THRIFT" hidden="1">"c24929"</definedName>
    <definedName name="IQ_NUMBER_ISSUES_IN_DEFAULT_THRIFT" hidden="1">"c25443"</definedName>
    <definedName name="IQ_NUMBER_LOANS_SECURED_FARM_100000_THROUGH_250000_THRIFT" hidden="1">"c24969"</definedName>
    <definedName name="IQ_NUMBER_LOANS_SECURED_FARM_250000_THROUGH_500000_THRIFT" hidden="1">"c24971"</definedName>
    <definedName name="IQ_NUMBER_LOANS_SECURED_FARM_LESS_THAN_EQUAL_100000_THRIFT" hidden="1">"c24967"</definedName>
    <definedName name="IQ_NUMBER_MINES_ALUM" hidden="1">"c9248"</definedName>
    <definedName name="IQ_NUMBER_MINES_COAL" hidden="1">"c9822"</definedName>
    <definedName name="IQ_NUMBER_MINES_COP" hidden="1">"c9193"</definedName>
    <definedName name="IQ_NUMBER_MINES_DIAM" hidden="1">"c9672"</definedName>
    <definedName name="IQ_NUMBER_MINES_GOLD" hidden="1">"c9033"</definedName>
    <definedName name="IQ_NUMBER_MINES_IRON" hidden="1">"c9407"</definedName>
    <definedName name="IQ_NUMBER_MINES_LEAD" hidden="1">"c9460"</definedName>
    <definedName name="IQ_NUMBER_MINES_MANG" hidden="1">"c9513"</definedName>
    <definedName name="IQ_NUMBER_MINES_MOLYB" hidden="1">"c9725"</definedName>
    <definedName name="IQ_NUMBER_MINES_NICK" hidden="1">"c9301"</definedName>
    <definedName name="IQ_NUMBER_MINES_PLAT" hidden="1">"c9139"</definedName>
    <definedName name="IQ_NUMBER_MINES_SILVER" hidden="1">"c9086"</definedName>
    <definedName name="IQ_NUMBER_MINES_TITAN" hidden="1">"c9566"</definedName>
    <definedName name="IQ_NUMBER_MINES_URAN" hidden="1">"c9619"</definedName>
    <definedName name="IQ_NUMBER_MINES_ZINC" hidden="1">"c9354"</definedName>
    <definedName name="IQ_NUMBER_MORTGAGE_LOANS_SECURED_NON_RES_PROPERTY_100000_THROUGH_250000_THRIFT" hidden="1">"c24955"</definedName>
    <definedName name="IQ_NUMBER_MORTGAGE_LOANS_SECURED_NON_RES_PROPERTY_250000_THROUGH_1000000_THRIFT" hidden="1">"c24957"</definedName>
    <definedName name="IQ_NUMBER_MORTGAGE_LOANS_SECURED_NON_RES_PROPERTY_LESS_THAN_EQUAL_100000_THRIFT" hidden="1">"c24953"</definedName>
    <definedName name="IQ_NUMBER_MORTGAGE_LOANS_SECURED_NON_RES_PROPERTY_THRIFT" hidden="1">"c24958"</definedName>
    <definedName name="IQ_NUMBER_NON_MORTGAGE_AGRICULTURE_FARMERS_COMM_LOANS_100000_THROUGH_250000_THRIFT" hidden="1">"c24975"</definedName>
    <definedName name="IQ_NUMBER_NON_MORTGAGE_AGRICULTURE_FARMERS_COMM_LOANS_250000_THROUGH_500000_THRIFT" hidden="1">"c24977"</definedName>
    <definedName name="IQ_NUMBER_NON_MORTGAGE_AGRICULTURE_FARMERS_COMM_LOANS_LESS_THAN_EQUAL_100000_THRIFT" hidden="1">"c24973"</definedName>
    <definedName name="IQ_NUMBER_NON_MORTGAGE_LOANS_EXCEPT_CREDIT_CARD_LOANS_THRIFT" hidden="1">"c24965"</definedName>
    <definedName name="IQ_NUMBER_NON_MORTGAGE_NON_AGRICULTURE_COMM_LOANS_100000_THROUGH_250000_THRIFT" hidden="1">"c24962"</definedName>
    <definedName name="IQ_NUMBER_NON_MORTGAGE_NON_AGRICULTURE_COMM_LOANS_250000_THROUGH_1000000_THRIFT" hidden="1">"c24964"</definedName>
    <definedName name="IQ_NUMBER_NON_MORTGAGE_NON_AGRICULTURE_COMM_LOANS_LESS_THAN_EQUAL_100000_THRIFT" hidden="1">"c24960"</definedName>
    <definedName name="IQ_NUMBER_NONINTEREST_BEARING_TRANSACTION_ACCOUNTS_MORE_THAN_250000_THRIFT" hidden="1">"c25583"</definedName>
    <definedName name="IQ_NUMBER_RETIREMENT_DEPOSIT_ACCOUNTS_GREATER_THAN_250000_THRIFT" hidden="1">"c24993"</definedName>
    <definedName name="IQ_NUMBER_RETIREMENT_DEPOSIT_ACCOUNTS_LESS_THAN_250000_THRIFT" hidden="1">"c24992"</definedName>
    <definedName name="IQ_NUMBER_SHAREHOLDERS" hidden="1">"c1967"</definedName>
    <definedName name="IQ_NUMBER_SHAREHOLDERS_CLASSA" hidden="1">"c1968"</definedName>
    <definedName name="IQ_NUMBER_SHAREHOLDERS_CLASSB" hidden="1">"c1969"</definedName>
    <definedName name="IQ_NUMBER_SHAREHOLDERS_OTHER" hidden="1">"c1969"</definedName>
    <definedName name="IQ_NUMBER_TRADES_EXECUTED" hidden="1">"c20428"</definedName>
    <definedName name="IQ_NUMBER_WIRELESS_TOWERS" hidden="1">"c15766"</definedName>
    <definedName name="IQ_OBLIGATION_STATES_POLI_SUBD_US_LL_REC_DOM_FFIEC" hidden="1">"c15295"</definedName>
    <definedName name="IQ_OBLIGATION_STATES_POLI_SUBD_US_LL_REC_FFIEC" hidden="1">"c15294"</definedName>
    <definedName name="IQ_OBLIGATIONS_OF_STATES_TOTAL_LOANS_FOREIGN_FDIC" hidden="1">"c6447"</definedName>
    <definedName name="IQ_OBLIGATIONS_STATES_FDIC" hidden="1">"c6431"</definedName>
    <definedName name="IQ_OCCUPANCY_CONSOL" hidden="1">"c8840"</definedName>
    <definedName name="IQ_OCCUPANCY_EXP_AVG_ASSETS_FFIEC" hidden="1">"c13372"</definedName>
    <definedName name="IQ_OCCUPANCY_EXP_AVG_ASSETS_THRIFT" hidden="1">"c25663"</definedName>
    <definedName name="IQ_OCCUPANCY_EXP_OPERATING_INC_FFIEC" hidden="1">"c13380"</definedName>
    <definedName name="IQ_OCCUPANCY_MANAGED" hidden="1">"c8842"</definedName>
    <definedName name="IQ_OCCUPANCY_OTHER" hidden="1">"c8843"</definedName>
    <definedName name="IQ_OCCUPANCY_SAME_PROP" hidden="1">"c8845"</definedName>
    <definedName name="IQ_OCCUPANCY_TOTAL" hidden="1">"c8844"</definedName>
    <definedName name="IQ_OCCUPANCY_UNCONSOL" hidden="1">"c8841"</definedName>
    <definedName name="IQ_OCCUPY_EXP" hidden="1">"c839"</definedName>
    <definedName name="IQ_OECD_LEAD_INDICATOR" hidden="1">"c20953"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FFICE_OCCUPANCY_EQUIP_EXP_THRIFT" hidden="1">"c24787"</definedName>
    <definedName name="IQ_OFFICE_PREMISES_EQUIPMENT_THRIFT" hidden="1">"c24882"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GAS_EQUIV_PRODUCTION_MMCFE" hidden="1">"c10061"</definedName>
    <definedName name="IQ_OG_AVG_DAILY_OIL_EQUIV_PRODUCTION_KBOE" hidden="1">"c10060"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PRODUCTION_GAS_MMCM" hidden="1">"c10059"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AVG_GAS_PRICE_CBM_HEDGED" hidden="1">"c10054"</definedName>
    <definedName name="IQ_OG_AVG_GAS_PRICE_CBM_UNHEDGED" hidden="1">"c10055"</definedName>
    <definedName name="IQ_OG_AVG_PRODUCTION_COST_BBL" hidden="1">"c10062"</definedName>
    <definedName name="IQ_OG_AVG_PRODUCTION_COST_BOE" hidden="1">"c10064"</definedName>
    <definedName name="IQ_OG_AVG_PRODUCTION_COST_MCF" hidden="1">"c10063"</definedName>
    <definedName name="IQ_OG_AVG_PRODUCTION_COST_MCFE" hidden="1">"c10065"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AILY_PRDUCTION_GROWTH_GAS" hidden="1">"c12732"</definedName>
    <definedName name="IQ_OG_DAILY_PRDUCTION_GROWTH_GAS_EQUIVALENT" hidden="1">"c12733"</definedName>
    <definedName name="IQ_OG_DAILY_PRDUCTION_GROWTH_NGL" hidden="1">"c12734"</definedName>
    <definedName name="IQ_OG_DAILY_PRDUCTION_GROWTH_OIL" hidden="1">"c12735"</definedName>
    <definedName name="IQ_OG_DAILY_PRDUCTION_GROWTH_OIL_EQUIVALENT" hidden="1">"c12736"</definedName>
    <definedName name="IQ_OG_DAILY_PRODUCTION_GROWTH_GAS" hidden="1">"c10073"</definedName>
    <definedName name="IQ_OG_DAILY_PRODUCTION_GROWTH_GAS_EQUIVALENT" hidden="1">"c10076"</definedName>
    <definedName name="IQ_OG_DAILY_PRODUCTION_GROWTH_NGL" hidden="1">"c10074"</definedName>
    <definedName name="IQ_OG_DAILY_PRODUCTION_GROWTH_OIL" hidden="1">"c10072"</definedName>
    <definedName name="IQ_OG_DAILY_PRODUCTION_GROWTH_OIL_EQUIVALENT" hidden="1">"c10075"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GAS_BCM" hidden="1">"c10045"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AFFILIATES_RESERVES_GAS_BCM" hidden="1">"c10047"</definedName>
    <definedName name="IQ_OG_EQUITY_DCF" hidden="1">"c2002"</definedName>
    <definedName name="IQ_OG_EQUITY_DCF_GAS" hidden="1">"c2022"</definedName>
    <definedName name="IQ_OG_EQUITY_DCF_OIL" hidden="1">"c2012"</definedName>
    <definedName name="IQ_OG_EQUITY_RESERVES_GAS" hidden="1">"c2050"</definedName>
    <definedName name="IQ_OG_EQUITY_RESERVES_NGL" hidden="1">"c2921"</definedName>
    <definedName name="IQ_OG_EQUITY_RESERVES_OIL" hidden="1">"c2038"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PLORATION_DEVELOPMENT_COST" hidden="1">"c10081"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GROSS_DEVELOPED_AREA_SQ_KM" hidden="1">"c10079"</definedName>
    <definedName name="IQ_OG_GROSS_DEVELOPMENT_DRY_WELLS_DRILLED" hidden="1">"c10098"</definedName>
    <definedName name="IQ_OG_GROSS_DEVELOPMENT_PRODUCTIVE_WELLS_DRILLED" hidden="1">"c10097"</definedName>
    <definedName name="IQ_OG_GROSS_DEVELOPMENT_PRODUCTIVE_WELLS_DRILLED_GAS" hidden="1">"c15907"</definedName>
    <definedName name="IQ_OG_GROSS_DEVELOPMENT_PRODUCTIVE_WELLS_DRILLED_OIL" hidden="1">"c15906"</definedName>
    <definedName name="IQ_OG_GROSS_DEVELOPMENT_TOTAL_WELLS_DRILLED" hidden="1">"c10099"</definedName>
    <definedName name="IQ_OG_GROSS_EXPLORATORY_DRY_WELLS_DRILLED" hidden="1">"c10095"</definedName>
    <definedName name="IQ_OG_GROSS_EXPLORATORY_PRODUCTIVE_WELLS_DRILLED" hidden="1">"c10094"</definedName>
    <definedName name="IQ_OG_GROSS_EXPLORATORY_PRODUCTIVE_WELLS_DRILLED_GAS" hidden="1">"c15905"</definedName>
    <definedName name="IQ_OG_GROSS_EXPLORATORY_PRODUCTIVE_WELLS_DRILLED_OIL" hidden="1">"c15904"</definedName>
    <definedName name="IQ_OG_GROSS_EXPLORATORY_TOTAL_WELLS_DRILLED" hidden="1">"c10096"</definedName>
    <definedName name="IQ_OG_GROSS_OPERATED_WELLS" hidden="1">"c10092"</definedName>
    <definedName name="IQ_OG_GROSS_PRODUCING_WELLS_GAS" hidden="1">"c15897"</definedName>
    <definedName name="IQ_OG_GROSS_PRODUCING_WELLS_OIL" hidden="1">"c15896"</definedName>
    <definedName name="IQ_OG_GROSS_PRODUCTIVE_WELLS_DRILLED_GAS" hidden="1">"c15901"</definedName>
    <definedName name="IQ_OG_GROSS_PRODUCTIVE_WELLS_DRILLED_OIL" hidden="1">"c15900"</definedName>
    <definedName name="IQ_OG_GROSS_PRODUCTIVE_WELLS_GAS" hidden="1">"c10087"</definedName>
    <definedName name="IQ_OG_GROSS_PRODUCTIVE_WELLS_OIL" hidden="1">"c10086"</definedName>
    <definedName name="IQ_OG_GROSS_PRODUCTIVE_WELLS_TOTAL" hidden="1">"c10088"</definedName>
    <definedName name="IQ_OG_GROSS_TOTAL_WELLS_DRILLED" hidden="1">"c10100"</definedName>
    <definedName name="IQ_OG_GROSS_UNDEVELOPED_AREA_SQ_KM" hidden="1">"c10077"</definedName>
    <definedName name="IQ_OG_GROSS_WELLS_DRILLING" hidden="1">"c10108"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DEVELOPED_AREA_SQ_KM" hidden="1">"c10080"</definedName>
    <definedName name="IQ_OG_NET_DEVELOPMENT_DRY_WELLS_DRILLED" hidden="1">"c10105"</definedName>
    <definedName name="IQ_OG_NET_DEVELOPMENT_PRODUCTIVE_WELLS_DRILLED" hidden="1">"c10104"</definedName>
    <definedName name="IQ_OG_NET_DEVELOPMENT_PRODUCTIVE_WELLS_DRILLED_GAS" hidden="1">"c15911"</definedName>
    <definedName name="IQ_OG_NET_DEVELOPMENT_PRODUCTIVE_WELLS_DRILLED_OIL" hidden="1">"c15910"</definedName>
    <definedName name="IQ_OG_NET_DEVELOPMENT_TOTAL_WELLS_DRILLED" hidden="1">"c10106"</definedName>
    <definedName name="IQ_OG_NET_EXPLORATORY_DRY_WELLS_DRILLED" hidden="1">"c10102"</definedName>
    <definedName name="IQ_OG_NET_EXPLORATORY_PRODUCTIVE_WELLS_DRILLED" hidden="1">"c10101"</definedName>
    <definedName name="IQ_OG_NET_EXPLORATORY_PRODUCTIVE_WELLS_DRILLED_GAS" hidden="1">"c15909"</definedName>
    <definedName name="IQ_OG_NET_EXPLORATORY_PRODUCTIVE_WELLS_DRILLED_OIL" hidden="1">"c15908"</definedName>
    <definedName name="IQ_OG_NET_EXPLORATORY_TOTAL_WELLS_DRILLED" hidden="1">"c10103"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NET_OPERATED_WELLS" hidden="1">"c10093"</definedName>
    <definedName name="IQ_OG_NET_PRODUCING_WELLS_GAS" hidden="1">"c15899"</definedName>
    <definedName name="IQ_OG_NET_PRODUCING_WELLS_OIL" hidden="1">"c15898"</definedName>
    <definedName name="IQ_OG_NET_PRODUCTIVE_WELLS_DRILLED_GAS" hidden="1">"c15903"</definedName>
    <definedName name="IQ_OG_NET_PRODUCTIVE_WELLS_DRILLED_OIL" hidden="1">"c15902"</definedName>
    <definedName name="IQ_OG_NET_PRODUCTIVE_WELLS_GAS" hidden="1">"c10090"</definedName>
    <definedName name="IQ_OG_NET_PRODUCTIVE_WELLS_OIL" hidden="1">"c10089"</definedName>
    <definedName name="IQ_OG_NET_PRODUCTIVE_WELLS_TOTAL" hidden="1">"c10091"</definedName>
    <definedName name="IQ_OG_NET_TOTAL_WELLS_DRILLED" hidden="1">"c10107"</definedName>
    <definedName name="IQ_OG_NET_UNDEVELOPED_AREA_SQ_KM" hidden="1">"c10078"</definedName>
    <definedName name="IQ_OG_NET_WELLS_DRILLING" hidden="1">"c10109"</definedName>
    <definedName name="IQ_OG_NUMBER_WELLS_NEW" hidden="1">"c10085"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" hidden="1">"c1999"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DUCTION_GROWTH_GAS" hidden="1">"c12737"</definedName>
    <definedName name="IQ_OG_PRDUCTION_GROWTH_GAS_EQUIVALENT" hidden="1">"c12738"</definedName>
    <definedName name="IQ_OG_PRDUCTION_GROWTH_NGL" hidden="1">"c12739"</definedName>
    <definedName name="IQ_OG_PRDUCTION_GROWTH_OIL" hidden="1">"c12740"</definedName>
    <definedName name="IQ_OG_PRDUCTION_GROWTH_OIL_EQUIVALENT" hidden="1">"c12741"</definedName>
    <definedName name="IQ_OG_PRDUCTION_GROWTH_TOAL" hidden="1">"c12742"</definedName>
    <definedName name="IQ_OG_PRODUCTION_GAS" hidden="1">"c2047"</definedName>
    <definedName name="IQ_OG_PRODUCTION_GROWTH_GAS" hidden="1">"c10067"</definedName>
    <definedName name="IQ_OG_PRODUCTION_GROWTH_GAS_EQUIVALENT" hidden="1">"c10070"</definedName>
    <definedName name="IQ_OG_PRODUCTION_GROWTH_NGL" hidden="1">"c10068"</definedName>
    <definedName name="IQ_OG_PRODUCTION_GROWTH_OIL" hidden="1">"c10066"</definedName>
    <definedName name="IQ_OG_PRODUCTION_GROWTH_OIL_EQUIVALENT" hidden="1">"c10069"</definedName>
    <definedName name="IQ_OG_PRODUCTION_GROWTH_TOTAL" hidden="1">"c10071"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RIGS_NON_OPERATED" hidden="1">"c10083"</definedName>
    <definedName name="IQ_OG_RIGS_OPERATED" hidden="1">"c10082"</definedName>
    <definedName name="IQ_OG_RIGS_TOTAL" hidden="1">"c10084"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EQUIV_PRODUCTION_BCFE" hidden="1">"c10058"</definedName>
    <definedName name="IQ_OG_TOTAL_GAS_PRODUCTION" hidden="1">"c2060"</definedName>
    <definedName name="IQ_OG_TOTAL_LIQUID_GAS_PRODUCTION" hidden="1">"c2235"</definedName>
    <definedName name="IQ_OG_TOTAL_OIL_EQUIV_PRODUCTION_MMBOE" hidden="1">"c10057"</definedName>
    <definedName name="IQ_OG_TOTAL_OIL_PRODUCTION" hidden="1">"c2059"</definedName>
    <definedName name="IQ_OG_TOTAL_OIL_PRODUCTON" hidden="1">"c2059"</definedName>
    <definedName name="IQ_OG_TOTAL_POSSIBLE_RESERVES_GAS_BCF" hidden="1">"c10050"</definedName>
    <definedName name="IQ_OG_TOTAL_POSSIBLE_RESERVES_GAS_BCM" hidden="1">"c10051"</definedName>
    <definedName name="IQ_OG_TOTAL_POSSIBLE_RESERVES_OIL_MMBBLS" hidden="1">"c10053"</definedName>
    <definedName name="IQ_OG_TOTAL_PROBABLE_RESERVES_GAS_BCF" hidden="1">"c10048"</definedName>
    <definedName name="IQ_OG_TOTAL_PROBABLE_RESERVES_GAS_BCM" hidden="1">"c10049"</definedName>
    <definedName name="IQ_OG_TOTAL_PROBABLE_RESERVES_OIL_MMBBLS" hidden="1">"c10052"</definedName>
    <definedName name="IQ_OG_TOTAL_PRODUCTION_GAS_BCM" hidden="1">"c10056"</definedName>
    <definedName name="IQ_OG_TOTAL_PROVED_RESERVES_GAS_BCM" hidden="1">"c10046"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GAS_BCM" hidden="1">"c10044"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_END_LINES_CREDIT_THRIFT" hidden="1">"c25608"</definedName>
    <definedName name="IQ_OPEN_INTEREST" hidden="1">"c13931"</definedName>
    <definedName name="IQ_OPENED55" hidden="1">1</definedName>
    <definedName name="IQ_OPENPRICE" hidden="1">"c848"</definedName>
    <definedName name="IQ_OPER_INC" hidden="1">"c849"</definedName>
    <definedName name="IQ_OPER_INC_ACT_OR_EST" hidden="1">"c2220"</definedName>
    <definedName name="IQ_OPER_INC_ACT_OR_EST_REUT" hidden="1">"c5466"</definedName>
    <definedName name="IQ_OPER_INC_ACT_OR_EST_THOM" hidden="1">"c5304"</definedName>
    <definedName name="IQ_OPER_INC_BR" hidden="1">"c850"</definedName>
    <definedName name="IQ_OPER_INC_CM" hidden="1">"c850"</definedName>
    <definedName name="IQ_OPER_INC_DET_EST" hidden="1">"c12064"</definedName>
    <definedName name="IQ_OPER_INC_DET_EST_CURRENCY" hidden="1">"c12471"</definedName>
    <definedName name="IQ_OPER_INC_DET_EST_CURRENCY_THOM" hidden="1">"c12494"</definedName>
    <definedName name="IQ_OPER_INC_DET_EST_DATE" hidden="1">"c12217"</definedName>
    <definedName name="IQ_OPER_INC_DET_EST_DATE_THOM" hidden="1">"c12245"</definedName>
    <definedName name="IQ_OPER_INC_DET_EST_INCL" hidden="1">"c12354"</definedName>
    <definedName name="IQ_OPER_INC_DET_EST_INCL_THOM" hidden="1">"c12377"</definedName>
    <definedName name="IQ_OPER_INC_DET_EST_ORIGIN" hidden="1">"c12589"</definedName>
    <definedName name="IQ_OPER_INC_DET_EST_ORIGIN_THOM" hidden="1">"c12615"</definedName>
    <definedName name="IQ_OPER_INC_DET_EST_THOM" hidden="1">"c12095"</definedName>
    <definedName name="IQ_OPER_INC_EST" hidden="1">"c1688"</definedName>
    <definedName name="IQ_OPER_INC_EST_REUT" hidden="1">"c5340"</definedName>
    <definedName name="IQ_OPER_INC_EST_THOM" hidden="1">"c5112"</definedName>
    <definedName name="IQ_OPER_INC_FIN" hidden="1">"c851"</definedName>
    <definedName name="IQ_OPER_INC_HIGH_EST" hidden="1">"c1690"</definedName>
    <definedName name="IQ_OPER_INC_HIGH_EST_REUT" hidden="1">"c5342"</definedName>
    <definedName name="IQ_OPER_INC_HIGH_EST_THOM" hidden="1">"c5114"</definedName>
    <definedName name="IQ_OPER_INC_INS" hidden="1">"c852"</definedName>
    <definedName name="IQ_OPER_INC_LOW_EST" hidden="1">"c1691"</definedName>
    <definedName name="IQ_OPER_INC_LOW_EST_REUT" hidden="1">"c5343"</definedName>
    <definedName name="IQ_OPER_INC_LOW_EST_THOM" hidden="1">"c5115"</definedName>
    <definedName name="IQ_OPER_INC_MARGIN" localSheetId="7" hidden="1">"c1448"</definedName>
    <definedName name="IQ_OPER_INC_MARGIN" localSheetId="8" hidden="1">"c1448"</definedName>
    <definedName name="IQ_OPER_INC_MARGIN" hidden="1">"c1448"</definedName>
    <definedName name="IQ_OPER_INC_MEDIAN_EST" hidden="1">"c1689"</definedName>
    <definedName name="IQ_OPER_INC_MEDIAN_EST_REUT" hidden="1">"c5341"</definedName>
    <definedName name="IQ_OPER_INC_MEDIAN_EST_THOM" hidden="1">"c5113"</definedName>
    <definedName name="IQ_OPER_INC_NUM_EST" hidden="1">"c1692"</definedName>
    <definedName name="IQ_OPER_INC_NUM_EST_REUT" hidden="1">"c5344"</definedName>
    <definedName name="IQ_OPER_INC_NUM_EST_THOM" hidden="1">"c5116"</definedName>
    <definedName name="IQ_OPER_INC_RE" hidden="1">"c6240"</definedName>
    <definedName name="IQ_OPER_INC_REIT" hidden="1">"c853"</definedName>
    <definedName name="IQ_OPER_INC_STDDEV_EST" hidden="1">"c1693"</definedName>
    <definedName name="IQ_OPER_INC_STDDEV_EST_REUT" hidden="1">"c5345"</definedName>
    <definedName name="IQ_OPER_INC_STDDEV_EST_THOM" hidden="1">"c5117"</definedName>
    <definedName name="IQ_OPER_INC_UTI" hidden="1">"c854"</definedName>
    <definedName name="IQ_OPERATING_EXP_AVG_ASSETS_FFIEC" hidden="1">"c13373"</definedName>
    <definedName name="IQ_OPERATING_INC_AVG_ASSETS_FFIEC" hidden="1">"c13368"</definedName>
    <definedName name="IQ_OPERATING_INC_TE_AVG_ASSETS_FFIEC" hidden="1">"c13360"</definedName>
    <definedName name="IQ_OPERATING_NOI_AVG_GROSS_PROP" hidden="1">"c16058"</definedName>
    <definedName name="IQ_OPERATIONAL_RISK" hidden="1">"c26992"</definedName>
    <definedName name="IQ_OPERATIONS_EXP" hidden="1">"c855"</definedName>
    <definedName name="IQ_OPT_DIV_YLD_HIGH" hidden="1">"c18022"</definedName>
    <definedName name="IQ_OPT_DIV_YLD_LOW" hidden="1">"c18021"</definedName>
    <definedName name="IQ_OPT_FAIR_VALUE_HIGH" hidden="1">"c18030"</definedName>
    <definedName name="IQ_OPT_FAIR_VALUE_LOW" hidden="1">"c18029"</definedName>
    <definedName name="IQ_OPT_FORFEITURE_HIGH" hidden="1">"c18028"</definedName>
    <definedName name="IQ_OPT_FORFEITURE_LOW" hidden="1">"c18027"</definedName>
    <definedName name="IQ_OPT_LIFE_HIGH" hidden="1">"c18026"</definedName>
    <definedName name="IQ_OPT_LIFE_LOW" hidden="1">"c18025"</definedName>
    <definedName name="IQ_OPT_MODEL" hidden="1">"c18018"</definedName>
    <definedName name="IQ_OPT_RISK_FREE_HIGH" hidden="1">"c18020"</definedName>
    <definedName name="IQ_OPT_RISK_FREE_LOW" hidden="1">"c18019"</definedName>
    <definedName name="IQ_OPT_TOTAL_AGG_INT_VALUE_EXER" hidden="1">"c18441"</definedName>
    <definedName name="IQ_OPT_TOTAL_AGG_INT_VALUE_OUT" hidden="1">"c18437"</definedName>
    <definedName name="IQ_OPT_TOTAL_NUM_EXER" hidden="1">"c18439"</definedName>
    <definedName name="IQ_OPT_TOTAL_NUM_OUT" hidden="1">"c18435"</definedName>
    <definedName name="IQ_OPT_TOTAL_PLAN_NAME" hidden="1">"c18467"</definedName>
    <definedName name="IQ_OPT_TOTAL_PRICE_HIGH" hidden="1">"c18432"</definedName>
    <definedName name="IQ_OPT_TOTAL_PRICE_LOW" hidden="1">"c18431"</definedName>
    <definedName name="IQ_OPT_TOTAL_PRICE_RANGE" hidden="1">"c18433"</definedName>
    <definedName name="IQ_OPT_TOTAL_WTD_LIFE_EXER" hidden="1">"c18440"</definedName>
    <definedName name="IQ_OPT_TOTAL_WTD_LIFE_OUT" hidden="1">"c18436"</definedName>
    <definedName name="IQ_OPT_TOTAL_WTD_PRICE_EXER" hidden="1">"c18438"</definedName>
    <definedName name="IQ_OPT_TOTAL_WTD_PRICE_OUT" hidden="1">"c18434"</definedName>
    <definedName name="IQ_OPT_TRANCHE_AGG_INT_VALUE_EXER" hidden="1">"c18430"</definedName>
    <definedName name="IQ_OPT_TRANCHE_AGG_INT_VALUE_OUT" hidden="1">"c18426"</definedName>
    <definedName name="IQ_OPT_TRANCHE_CLASS_NAME" hidden="1">"c18419"</definedName>
    <definedName name="IQ_OPT_TRANCHE_NUM_EXER" hidden="1">"c18428"</definedName>
    <definedName name="IQ_OPT_TRANCHE_NUM_OUT" hidden="1">"c18424"</definedName>
    <definedName name="IQ_OPT_TRANCHE_PLAN_NAME" hidden="1">"c18418"</definedName>
    <definedName name="IQ_OPT_TRANCHE_PLAN_RANK" hidden="1">"c18466"</definedName>
    <definedName name="IQ_OPT_TRANCHE_PRICE_HIGH" hidden="1">"c18421"</definedName>
    <definedName name="IQ_OPT_TRANCHE_PRICE_LOW" hidden="1">"c18420"</definedName>
    <definedName name="IQ_OPT_TRANCHE_PRICE_RANGE" hidden="1">"c18422"</definedName>
    <definedName name="IQ_OPT_TRANCHE_WTD_LIFE_EXER" hidden="1">"c18429"</definedName>
    <definedName name="IQ_OPT_TRANCHE_WTD_LIFE_OUT" hidden="1">"c18425"</definedName>
    <definedName name="IQ_OPT_TRANCHE_WTD_PRICE_EXER" hidden="1">"c18427"</definedName>
    <definedName name="IQ_OPT_TRANCHE_WTD_PRICE_OUT" hidden="1">"c18423"</definedName>
    <definedName name="IQ_OPT_VOL_HIGH" hidden="1">"c18024"</definedName>
    <definedName name="IQ_OPT_VOL_LOW" hidden="1">"c18023"</definedName>
    <definedName name="IQ_OPTIONS_BEG_OS" hidden="1">"c1572"</definedName>
    <definedName name="IQ_OPTIONS_CANCELLED" hidden="1">"c856"</definedName>
    <definedName name="IQ_OPTIONS_END_OS" hidden="1">"c1573"</definedName>
    <definedName name="IQ_OPTIONS_EXCERCISED" hidden="1">"c2116"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OS" hidden="1">"c858"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FIEC" hidden="1">"c12831"</definedName>
    <definedName name="IQ_OREO_FOREIGN_FDIC" hidden="1">"c6460"</definedName>
    <definedName name="IQ_OREO_FOREIGN_FFIEC" hidden="1">"c15273"</definedName>
    <definedName name="IQ_OREO_MULTI_FAMILY_RESIDENTIAL_FDIC" hidden="1">"c6455"</definedName>
    <definedName name="IQ_OREO_OTHER_FFIEC" hidden="1">"c12833"</definedName>
    <definedName name="IQ_ORGANIC_GROWTH_RATE" hidden="1">"c20429"</definedName>
    <definedName name="IQ_OTHER_ACCRUED_INT_PAYABLE_THRIFT" hidden="1">"c24908"</definedName>
    <definedName name="IQ_OTHER_ADDITIONS_ADJUSTED_ASSETS_THRIFT" hidden="1">"c25037"</definedName>
    <definedName name="IQ_OTHER_ADDITIONS_T1_FFIEC" hidden="1">"c13142"</definedName>
    <definedName name="IQ_OTHER_ADDITIONS_T1_THRIFT" hidden="1">"c25028"</definedName>
    <definedName name="IQ_OTHER_ADDITIONS_T2_FFIEC" hidden="1">"c13148"</definedName>
    <definedName name="IQ_OTHER_ADDITIONS_T2_THRIFT" hidden="1">"c25044"</definedName>
    <definedName name="IQ_OTHER_ADJ_CLAIM_ADJ_EXP_INCURRED" hidden="1">"c15878"</definedName>
    <definedName name="IQ_OTHER_ADJ_CLAIM_ADJ_EXP_PAID" hidden="1">"c15879"</definedName>
    <definedName name="IQ_OTHER_ADJ_RESERVE_BOP" hidden="1">"c15876"</definedName>
    <definedName name="IQ_OTHER_ADJ_RESERVES" hidden="1">"c15882"</definedName>
    <definedName name="IQ_OTHER_ADJUST_GROSS_LOANS" hidden="1">"c859"</definedName>
    <definedName name="IQ_OTHER_ADJUSTMENTS_COVERED" hidden="1">"c9961"</definedName>
    <definedName name="IQ_OTHER_ADJUSTMENTS_FFIEC" hidden="1">"c12972"</definedName>
    <definedName name="IQ_OTHER_ADJUSTMENTS_GROUP" hidden="1">"c9947"</definedName>
    <definedName name="IQ_OTHER_ADJUSTMENTS_SAVINGS_ASSOCIATION_THRIFT" hidden="1">"c25018"</definedName>
    <definedName name="IQ_OTHER_AFFO" hidden="1">"c16180"</definedName>
    <definedName name="IQ_OTHER_AMORT" hidden="1">"c5563"</definedName>
    <definedName name="IQ_OTHER_AMORT_BNK" hidden="1">"c5565"</definedName>
    <definedName name="IQ_OTHER_AMORT_BR" hidden="1">"c5566"</definedName>
    <definedName name="IQ_OTHER_AMORT_CM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OCI_THRIFT" hidden="1">"c24923"</definedName>
    <definedName name="IQ_OTHER_ASSET_LOSS_SHARING_FFIEC" hidden="1">"c27215"</definedName>
    <definedName name="IQ_OTHER_ASSETS" hidden="1">"c860"</definedName>
    <definedName name="IQ_OTHER_ASSETS_ADJUSTED_NCOS_TOTAL_THRIFT" hidden="1">"c25227"</definedName>
    <definedName name="IQ_OTHER_ASSETS_BNK" hidden="1">"c861"</definedName>
    <definedName name="IQ_OTHER_ASSETS_BR" hidden="1">"c862"</definedName>
    <definedName name="IQ_OTHER_ASSETS_CM" hidden="1">"c862"</definedName>
    <definedName name="IQ_OTHER_ASSETS_FDIC" hidden="1">"c6338"</definedName>
    <definedName name="IQ_OTHER_ASSETS_FFIEC" hidden="1">"c12848"</definedName>
    <definedName name="IQ_OTHER_ASSETS_FIN" hidden="1">"c863"</definedName>
    <definedName name="IQ_OTHER_ASSETS_GVA_CHARGE_OFFS_THRIFT" hidden="1">"c25142"</definedName>
    <definedName name="IQ_OTHER_ASSETS_GVA_RECOVERIES_THRIFT" hidden="1">"c25165"</definedName>
    <definedName name="IQ_OTHER_ASSETS_GVA_THRIFT" hidden="1">"c24893"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SVA_PROVISIONS_TRANSFERS_FROM_GVA_TOTAL_THRIFT" hidden="1">"c25196"</definedName>
    <definedName name="IQ_OTHER_ASSETS_THRIFT" hidden="1">"c24892"</definedName>
    <definedName name="IQ_OTHER_ASSETS_TOTAL_FFIEC" hidden="1">"c12841"</definedName>
    <definedName name="IQ_OTHER_ASSETS_UTI" hidden="1">"c866"</definedName>
    <definedName name="IQ_OTHER_BALANCE_CHANGES_OTHER_MORTGAGE_BACKED_SEC_THRIFT" hidden="1">"c25316"</definedName>
    <definedName name="IQ_OTHER_BALANCE_CHANGES_PASS_THROUGH_MORTGAGE_BACKED_SEC_THRIFT" hidden="1">"c25313"</definedName>
    <definedName name="IQ_OTHER_BANK_OWNED_LIFE_INSURANCE_THRIFT" hidden="1">"c24886"</definedName>
    <definedName name="IQ_OTHER_BEARING_LIAB" hidden="1">"c1608"</definedName>
    <definedName name="IQ_OTHER_BEDS" hidden="1">"c8784"</definedName>
    <definedName name="IQ_OTHER_BENEFITS_OBLIGATION" hidden="1">"c867"</definedName>
    <definedName name="IQ_OTHER_BORROWED_FUNDS_FDIC" hidden="1">"c6345"</definedName>
    <definedName name="IQ_OTHER_BORROWED_MONEY_FAIR_VALUE_TOT_FFIEC" hidden="1">"c15409"</definedName>
    <definedName name="IQ_OTHER_BORROWED_MONEY_FFIEC" hidden="1">"c12862"</definedName>
    <definedName name="IQ_OTHER_BORROWED_MONEY_LEVEL_1_FFIEC" hidden="1">"c15431"</definedName>
    <definedName name="IQ_OTHER_BORROWED_MONEY_LEVEL_2_FFIEC" hidden="1">"c15444"</definedName>
    <definedName name="IQ_OTHER_BORROWED_MONEY_LEVEL_3_FFIEC" hidden="1">"c15457"</definedName>
    <definedName name="IQ_OTHER_BORROWED_MONEY_LT_FFIEC" hidden="1">"c12865"</definedName>
    <definedName name="IQ_OTHER_BORROWED_MONEY_ST_FFIEC" hidden="1">"c12864"</definedName>
    <definedName name="IQ_OTHER_BORROWINGS_AMOUNTS_NETTED_THRIFT" hidden="1">"c25546"</definedName>
    <definedName name="IQ_OTHER_BORROWINGS_LESS_THAN_1_YR_TOTAL_ASSETS_THRIFT" hidden="1">"c25705"</definedName>
    <definedName name="IQ_OTHER_BORROWINGS_LEVEL_1_THRIFT" hidden="1">"c25542"</definedName>
    <definedName name="IQ_OTHER_BORROWINGS_LEVEL_2_THRIFT" hidden="1">"c25543"</definedName>
    <definedName name="IQ_OTHER_BORROWINGS_LEVEL_3_THRIFT" hidden="1">"c25544"</definedName>
    <definedName name="IQ_OTHER_BORROWINGS_THRIFT" hidden="1">"c24904"</definedName>
    <definedName name="IQ_OTHER_BORROWINGS_TOTAL_AFTER_NETTING_THRIFT" hidden="1">"c25547"</definedName>
    <definedName name="IQ_OTHER_BORROWINGS_TOTAL_BEFORE_NETTING_THRIFT" hidden="1">"c25545"</definedName>
    <definedName name="IQ_OTHER_BROKERED_TIME_DEPOSITS_THRIFT" hidden="1">"c25006"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CM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CM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M_MBS_TRADING_DOM_FFIEC" hidden="1">"c27013"</definedName>
    <definedName name="IQ_OTHER_COMM_MBS_TRADING_FFIEC" hidden="1">"c27006"</definedName>
    <definedName name="IQ_OTHER_COMMON_PREFERRED_STOCKS_ALL_OTHER_ACCOUNTS_THRIFT" hidden="1">"c25434"</definedName>
    <definedName name="IQ_OTHER_COMMON_PREFERRED_STOCKS_EMPLOYEE_BENEFIT_RETIREMENT_RELATED_ACCOUNTS_THRIFT" hidden="1">"c25418"</definedName>
    <definedName name="IQ_OTHER_COMMON_PREFERRED_STOCKS_PERSONAL_TRUST_AGENCY_INV_MANAGEMENT_ACCOUNTS_THRIFT" hidden="1">"c25402"</definedName>
    <definedName name="IQ_OTHER_COMPREHENSIVE_INCOME_FDIC" hidden="1">"c6503"</definedName>
    <definedName name="IQ_OTHER_COMPREHENSIVE_INCOME_FFIEC" hidden="1">"c12970"</definedName>
    <definedName name="IQ_OTHER_COMPREHENSIVE_INCOME_SAVINGS_ASSOCIATION_THRIFT" hidden="1">"c25016"</definedName>
    <definedName name="IQ_OTHER_CONST_LAND_DEVELOP_LOANS_DOM_RSTRC_TERMS_FFIEC" hidden="1">"c27024"</definedName>
    <definedName name="IQ_OTHER_CONST_LOANS_DOM_LOSS_SHARING_FFIEC" hidden="1">"c27189"</definedName>
    <definedName name="IQ_OTHER_CONST_LOANS_RSTRC_DUE_30_89_FFIEC" hidden="1">"c27092"</definedName>
    <definedName name="IQ_OTHER_CONST_LOANS_RSTRC_DUE_90_FFIEC" hidden="1">"c27132"</definedName>
    <definedName name="IQ_OTHER_CONST_LOANS_RSTRC_DUE_NON_ACCRUAL_FFIEC" hidden="1">"c27172"</definedName>
    <definedName name="IQ_OTHER_CONST_LOANS_SEC_RE_DOM_LOSS_SHARING_DUE_30_89_FFIEC" hidden="1">"c27072"</definedName>
    <definedName name="IQ_OTHER_CONST_LOANS_SEC_RE_DOM_LOSS_SHARING_DUE_90_FFIEC" hidden="1">"c27112"</definedName>
    <definedName name="IQ_OTHER_CONST_LOANS_SEC_RE_DOM_LOSS_SHARING_DUE_NON_ACCRUAL_FFIEC" hidden="1">"c27152"</definedName>
    <definedName name="IQ_OTHER_CONSTRUCTION_GROSS_LOANS_FFIEC" hidden="1">"c13403"</definedName>
    <definedName name="IQ_OTHER_CONSTRUCTION_LOANS_DUE_30_89_FFIEC" hidden="1">"c13258"</definedName>
    <definedName name="IQ_OTHER_CONSTRUCTION_LOANS_DUE_90_FFIEC" hidden="1">"c13286"</definedName>
    <definedName name="IQ_OTHER_CONSTRUCTION_LOANS_GROSS_LOANS_THRIFT" hidden="1">"c25728"</definedName>
    <definedName name="IQ_OTHER_CONSTRUCTION_LOANS_NON_ACCRUAL_FFIEC" hidden="1">"c13312"</definedName>
    <definedName name="IQ_OTHER_CONSTRUCTION_LOANS_RISK_BASED_CAPITAL_THRIFT" hidden="1">"c25713"</definedName>
    <definedName name="IQ_OTHER_CONSTRUCTION_LOANS_UNUSED_FFIEC" hidden="1">"c13245"</definedName>
    <definedName name="IQ_OTHER_CONSTRUCTION_RISK_BASED_FFIEC" hidden="1">"c13424"</definedName>
    <definedName name="IQ_OTHER_CONSUMER_INC_LEASE_RECEIVABLES_THRIFT" hidden="1">"c24865"</definedName>
    <definedName name="IQ_OTHER_CONSUMER_LL_REC_FFIEC" hidden="1">"c12891"</definedName>
    <definedName name="IQ_OTHER_CONSUMER_LOANS_EXCD_10_RSTRC_DUE_30_89_FFIEC" hidden="1">"c27105"</definedName>
    <definedName name="IQ_OTHER_CONSUMER_LOANS_EXCD_10_RSTRC_DUE_90_FFIEC" hidden="1">"c27145"</definedName>
    <definedName name="IQ_OTHER_CONSUMER_LOANS_EXCD_10_RSTRC_NON_ACCRUAL_FFIEC" hidden="1">"c27185"</definedName>
    <definedName name="IQ_OTHER_CONSUMER_LOANS_FAIR_VAL_DOM_FFIEC" hidden="1">"c27044"</definedName>
    <definedName name="IQ_OTHER_CONSUMER_LOANS_FAIR_VAL_FFIEC" hidden="1">"c27040"</definedName>
    <definedName name="IQ_OTHER_CONSUMER_LOANS_FFIEC" hidden="1">"c12824"</definedName>
    <definedName name="IQ_OTHER_CONSUMER_LOANS_LOSS_SHARING_DUE_30_89_FFIEC" hidden="1">"c27084"</definedName>
    <definedName name="IQ_OTHER_CONSUMER_LOANS_LOSS_SHARING_DUE_90_FFIEC" hidden="1">"c27124"</definedName>
    <definedName name="IQ_OTHER_CONSUMER_LOANS_LOSS_SHARING_FFIEC" hidden="1">"c27201"</definedName>
    <definedName name="IQ_OTHER_CONSUMER_LOANS_LOSS_SHARING_NON_ACCRUAL_FFIEC" hidden="1">"c27164"</definedName>
    <definedName name="IQ_OTHER_CONSUMER_LOANS_QUARTERLY_AVG_FFIEC" hidden="1">"c27067"</definedName>
    <definedName name="IQ_OTHER_CONSUMER_LOANS_RSTRC_TERMS_FFIEC" hidden="1">"c27036"</definedName>
    <definedName name="IQ_OTHER_CONSUMER_LOANS_TRADING_DOM_FFIEC" hidden="1">"c12935"</definedName>
    <definedName name="IQ_OTHER_CONSUMER_LOANS_UNPAID_PRIN_FAIR_VAL_DOM_FFIEC" hidden="1">"c27046"</definedName>
    <definedName name="IQ_OTHER_CONSUMER_LOANS_UNPAID_PRIN_FAIR_VAL_FFIEC" hidden="1">"c27042"</definedName>
    <definedName name="IQ_OTHER_CONSUMER_LOANS_UNPAID_PRIN_FAIR_VAL_TRADING_DOM_FFIEC" hidden="1">"c27050"</definedName>
    <definedName name="IQ_OTHER_CONSUMER_LOANS_UNPAID_PRIN_FAIR_VAL_TRADING_FFIEC" hidden="1">"c27048"</definedName>
    <definedName name="IQ_OTHER_CONTINGENT_LIABILITIES_THRIFT" hidden="1">"c25621"</definedName>
    <definedName name="IQ_OTHER_CREDIT_CARD_LINES_UNUSED_FFIEC" hidden="1">"c25863"</definedName>
    <definedName name="IQ_OTHER_CURRENT_ASSETS" localSheetId="7" hidden="1">"c1403"</definedName>
    <definedName name="IQ_OTHER_CURRENT_ASSETS" localSheetId="8" hidden="1">"c1403"</definedName>
    <definedName name="IQ_OTHER_CURRENT_ASSETS" hidden="1">"c1403"</definedName>
    <definedName name="IQ_OTHER_CURRENT_LIAB" localSheetId="7" hidden="1">"c1404"</definedName>
    <definedName name="IQ_OTHER_CURRENT_LIAB" localSheetId="8" hidden="1">"c1404"</definedName>
    <definedName name="IQ_OTHER_CURRENT_LIAB" hidden="1">"c1404"</definedName>
    <definedName name="IQ_OTHER_DEBT" hidden="1">"c2507"</definedName>
    <definedName name="IQ_OTHER_DEBT_PCT" hidden="1">"c2508"</definedName>
    <definedName name="IQ_OTHER_DEBT_SEC_DOM_AFS_AMORT_COST_FFIEC" hidden="1">"c20503"</definedName>
    <definedName name="IQ_OTHER_DEBT_SEC_DOM_AFS_FAIR_VAL_FFIEC" hidden="1">"c20468"</definedName>
    <definedName name="IQ_OTHER_DEBT_SEC_DOM_AVAIL_SALE_FFIEC" hidden="1">"c12803"</definedName>
    <definedName name="IQ_OTHER_DEBT_SEC_FOREIGN_AFS_AMORT_COST_FFIEC" hidden="1">"c20504"</definedName>
    <definedName name="IQ_OTHER_DEBT_SEC_FOREIGN_AFS_FAIR_VAL_FFIEC" hidden="1">"c20469"</definedName>
    <definedName name="IQ_OTHER_DEBT_SEC_FOREIGN_AVAIL_SALE_FFIEC" hidden="1">"c12804"</definedName>
    <definedName name="IQ_OTHER_DEBT_SEC_INVEST_SECURITIES_FFIEC" hidden="1">"c13462"</definedName>
    <definedName name="IQ_OTHER_DEBT_SEC_TRADING_DOM_FFIEC" hidden="1">"c12924"</definedName>
    <definedName name="IQ_OTHER_DEBT_SEC_TRADING_FFIEC" hidden="1">"c12819"</definedName>
    <definedName name="IQ_OTHER_DEBT_SECURITIES_DOM_FFIEC" hidden="1">"c12789"</definedName>
    <definedName name="IQ_OTHER_DEBT_SECURITIES_DOM_HTM_AMORT_COST_FFIEC" hidden="1">"c20451"</definedName>
    <definedName name="IQ_OTHER_DEBT_SECURITIES_DOM_HTM_FAIR_VAL_FFIEC" hidden="1">"c20486"</definedName>
    <definedName name="IQ_OTHER_DEBT_SECURITIES_FOREIGN_FFIEC" hidden="1">"c12790"</definedName>
    <definedName name="IQ_OTHER_DEBT_SECURITIES_FOREIGN_HTM_AMORT_COST_FFIEC" hidden="1">"c20452"</definedName>
    <definedName name="IQ_OTHER_DEBT_SECURITIES_FOREIGN_HTM_FAIR_VAL_FFIEC" hidden="1">"c20487"</definedName>
    <definedName name="IQ_OTHER_DEBT_SECURITIES_QUARTERLY_AVG_FFIEC" hidden="1">"c15473"</definedName>
    <definedName name="IQ_OTHER_DEDUCTIONS_ADJUSTED_ASSETS_THRIFT" hidden="1">"c25034"</definedName>
    <definedName name="IQ_OTHER_DEDUCTIONS_LEVERAGE_RATIO_FFIEC" hidden="1">"c13158"</definedName>
    <definedName name="IQ_OTHER_DEDUCTIONS_T1_THRIFT" hidden="1">"c25025"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EPOSITS_FFIEC" hidden="1">"c12994"</definedName>
    <definedName name="IQ_OTHER_DEPOSITS_TOTAL_DEPOSITS" hidden="1">"c15724"</definedName>
    <definedName name="IQ_OTHER_DERIVATIVES_BENEFICIARY_FFIEC" hidden="1">"c13122"</definedName>
    <definedName name="IQ_OTHER_DERIVATIVES_GUARANTOR_FFIEC" hidden="1">"c13115"</definedName>
    <definedName name="IQ_OTHER_DEVELOPMENT_EXPENSE" hidden="1">"c16041"</definedName>
    <definedName name="IQ_OTHER_DEVELOPMENT_REVENUE" hidden="1">"c16025"</definedName>
    <definedName name="IQ_OTHER_DOMESTIC_DEBT_SECURITIES_FDIC" hidden="1">"c6302"</definedName>
    <definedName name="IQ_OTHER_EARNING" hidden="1">"c1609"</definedName>
    <definedName name="IQ_OTHER_ELIGIBLE_0_PCT_RISK_WEIGHT_THRIFT" hidden="1">"c25054"</definedName>
    <definedName name="IQ_OTHER_ELIGIBLE_20_PCT_RISK_WEIGHT_THRIFT" hidden="1">"c25061"</definedName>
    <definedName name="IQ_OTHER_ELIGIBLE_50_PCT_RISK_WEIGHT_THRIFT" hidden="1">"c25068"</definedName>
    <definedName name="IQ_OTHER_EPRA_NAV_ADJ" hidden="1">"c16004"</definedName>
    <definedName name="IQ_OTHER_EPRA_NNAV_ADJ" hidden="1">"c16009"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CAPITAL_COMPONENTS_THRIFT" hidden="1">"c24924"</definedName>
    <definedName name="IQ_OTHER_EQUITY_CAPITAL_COMPS_FFIEC" hidden="1">"c12880"</definedName>
    <definedName name="IQ_OTHER_EQUITY_CM" hidden="1">"c888"</definedName>
    <definedName name="IQ_OTHER_EQUITY_FFIEC" hidden="1">"c12879"</definedName>
    <definedName name="IQ_OTHER_EQUITY_FIN" hidden="1">"c889"</definedName>
    <definedName name="IQ_OTHER_EQUITY_INS" hidden="1">"c890"</definedName>
    <definedName name="IQ_OTHER_EQUITY_INSTRUMENTS_T2_THRIFT" hidden="1">"c25042"</definedName>
    <definedName name="IQ_OTHER_EQUITY_INV_NOT_CARRIED_FV_THRIFT" hidden="1">"c24881"</definedName>
    <definedName name="IQ_OTHER_EQUITY_RE" hidden="1">"c6244"</definedName>
    <definedName name="IQ_OTHER_EQUITY_REIT" hidden="1">"c891"</definedName>
    <definedName name="IQ_OTHER_EQUITY_UTI" hidden="1">"c892"</definedName>
    <definedName name="IQ_OTHER_EXP_OPERATING_INC_FFIEC" hidden="1">"c13381"</definedName>
    <definedName name="IQ_OTHER_FAD" hidden="1">"c16184"</definedName>
    <definedName name="IQ_OTHER_FEES_CHARGES_THRIFT" hidden="1">"c24768"</definedName>
    <definedName name="IQ_OTHER_FIDUCIARY_ACCOUNTS_INC_THRIFT" hidden="1">"c24808"</definedName>
    <definedName name="IQ_OTHER_FIDUCIARY_ACCOUNTS_MANAGED_ASSETS_THRIFT" hidden="1">"c25355"</definedName>
    <definedName name="IQ_OTHER_FIDUCIARY_ACCOUNTS_NONMANAGED_ASSETS_THRIFT" hidden="1">"c25376"</definedName>
    <definedName name="IQ_OTHER_FIDUCIARY_ACCOUNTS_NUMBER_MANAGED_ACCOUNTS_THRIFT" hidden="1">"c25366"</definedName>
    <definedName name="IQ_OTHER_FIDUCIARY_ACCOUNTS_NUMBER_NONMANAGED_ACCOUNTS_THRIFT" hidden="1">"c25388"</definedName>
    <definedName name="IQ_OTHER_FIDUCIARY_ACCOUNTS_RELATED_SERVICES_GROSS_LOSSES_MANAGED_ACCOUNTS_THRIFT" hidden="1">"c25464"</definedName>
    <definedName name="IQ_OTHER_FIDUCIARY_ACCOUNTS_RELATED_SERVICES_GROSS_LOSSES_NONMANAGED_ACCOUNTS_THRIFT" hidden="1">"c25469"</definedName>
    <definedName name="IQ_OTHER_FIDUCIARY_ACCOUNTS_RELATED_SERVICES_RECOVERIES_THRIFT" hidden="1">"c25474"</definedName>
    <definedName name="IQ_OTHER_FIDUCIARY_RELATED_SERVICES_INC_THRIFT" hidden="1">"c24810"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CM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CM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FOREIGN_LOANS_FOREIGN_FFIEC" hidden="1">"c13482"</definedName>
    <definedName name="IQ_OTHER_IBF_DEPOSIT_LIABILITIES_FFIEC" hidden="1">"c15301"</definedName>
    <definedName name="IQ_OTHER_INDIVIDUAL_FAMILY_DOM_QUARTERLY_AVG_FFIEC" hidden="1">"c15481"</definedName>
    <definedName name="IQ_OTHER_INSURANCE_FEES_FDIC" hidden="1">"c6672"</definedName>
    <definedName name="IQ_OTHER_INSURANCE_PREMIUMS_FFIEC" hidden="1">"c13071"</definedName>
    <definedName name="IQ_OTHER_INT_EARNING_DEPOSITS_THRIFT" hidden="1">"c24820"</definedName>
    <definedName name="IQ_OTHER_INT_EXPENSE_FFIEC" hidden="1">"c12999"</definedName>
    <definedName name="IQ_OTHER_INT_INCOME_FFIEC" hidden="1">"c12988"</definedName>
    <definedName name="IQ_OTHER_INTAN" hidden="1">"c907"</definedName>
    <definedName name="IQ_OTHER_INTAN_BNK" hidden="1">"c908"</definedName>
    <definedName name="IQ_OTHER_INTAN_BR" hidden="1">"c909"</definedName>
    <definedName name="IQ_OTHER_INTAN_CM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TANGIBLE_ASSETS_FFIEC" hidden="1">"c12837"</definedName>
    <definedName name="IQ_OTHER_INTANGIBLE_ASSETS_TOT_FFIEC" hidden="1">"c12840"</definedName>
    <definedName name="IQ_OTHER_INTANGIBLE_FDIC" hidden="1">"c6337"</definedName>
    <definedName name="IQ_OTHER_INV" hidden="1">"c914"</definedName>
    <definedName name="IQ_OTHER_INV_SEC_INV_SEC_THRIFT" hidden="1">"c25675"</definedName>
    <definedName name="IQ_OTHER_INV_SEC_THRIFT" hidden="1">"c24826"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CM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CM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localSheetId="7" hidden="1">"c1408"</definedName>
    <definedName name="IQ_OTHER_INVESTING" localSheetId="8" hidden="1">"c1408"</definedName>
    <definedName name="IQ_OTHER_INVESTING" hidden="1">"c1408"</definedName>
    <definedName name="IQ_OTHER_LEASES_DUE_30_89_FFIEC" hidden="1">"c13278"</definedName>
    <definedName name="IQ_OTHER_LEASES_DUE_90_FFIEC" hidden="1">"c13304"</definedName>
    <definedName name="IQ_OTHER_LEASES_LL_REC_FFIEC" hidden="1">"c12896"</definedName>
    <definedName name="IQ_OTHER_LEASES_NON_ACCRUAL_FFIEC" hidden="1">"c13330"</definedName>
    <definedName name="IQ_OTHER_LIAB" hidden="1">"c930"</definedName>
    <definedName name="IQ_OTHER_LIAB_BNK" hidden="1">"c931"</definedName>
    <definedName name="IQ_OTHER_LIAB_BR" hidden="1">"c932"</definedName>
    <definedName name="IQ_OTHER_LIAB_CM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CM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DEFERRED_INCOME_THRIFT" hidden="1">"c24912"</definedName>
    <definedName name="IQ_OTHER_LIABILITIES_FDIC" hidden="1">"c6347"</definedName>
    <definedName name="IQ_OTHER_LIABILITIES_FFIEC" hidden="1">"c12872"</definedName>
    <definedName name="IQ_OTHER_LIABILITIES_THRIFT" hidden="1">"c24905"</definedName>
    <definedName name="IQ_OTHER_LIABILITIES_TOTAL_FFIEC" hidden="1">"c12869"</definedName>
    <definedName name="IQ_OTHER_LINES_CREDIT_THRIFT" hidden="1">"c25611"</definedName>
    <definedName name="IQ_OTHER_LL_LOSS_SHARING_FFIEC" hidden="1">"c27202"</definedName>
    <definedName name="IQ_OTHER_LL_REC_FFIEC" hidden="1">"c12894"</definedName>
    <definedName name="IQ_OTHER_LOANS" hidden="1">"c945"</definedName>
    <definedName name="IQ_OTHER_LOANS_CHARGE_OFFS_FDIC" hidden="1">"c6601"</definedName>
    <definedName name="IQ_OTHER_LOANS_DUE_30_89_FFIEC" hidden="1">"c13275"</definedName>
    <definedName name="IQ_OTHER_LOANS_DUE_90_FFIEC" hidden="1">"c13301"</definedName>
    <definedName name="IQ_OTHER_LOANS_EXCD_10_LL_FFIEC" hidden="1">"c27205"</definedName>
    <definedName name="IQ_OTHER_LOANS_EXCD_10_RSTRC_DUE_30_89_FFIEC" hidden="1">"c27107"</definedName>
    <definedName name="IQ_OTHER_LOANS_EXCD_10_RSTRC_DUE_90_FFIEC" hidden="1">"c27147"</definedName>
    <definedName name="IQ_OTHER_LOANS_EXCD_10_RSTRC_NON_ACCRUAL_FFIEC" hidden="1">"c27187"</definedName>
    <definedName name="IQ_OTHER_LOANS_EXCD_10_RSTRC_TERMS_FFIEC" hidden="1">"c27038"</definedName>
    <definedName name="IQ_OTHER_LOANS_FFIEC" hidden="1">"c12825"</definedName>
    <definedName name="IQ_OTHER_LOANS_FOREIGN_FDIC" hidden="1">"c6446"</definedName>
    <definedName name="IQ_OTHER_LOANS_GROSS_LOANS_FFIEC" hidden="1">"c13414"</definedName>
    <definedName name="IQ_OTHER_LOANS_INDIVIDUALS_CHARGE_OFFS_FFIEC" hidden="1">"c13181"</definedName>
    <definedName name="IQ_OTHER_LOANS_INDIVIDUALS_DUE_30_89_FFIEC" hidden="1">"c13273"</definedName>
    <definedName name="IQ_OTHER_LOANS_INDIVIDUALS_DUE_90_FFIEC" hidden="1">"c13299"</definedName>
    <definedName name="IQ_OTHER_LOANS_INDIVIDUALS_NON_ACCRUAL_FFIEC" hidden="1">"c13325"</definedName>
    <definedName name="IQ_OTHER_LOANS_INDIVIDUALS_RECOV_FFIEC" hidden="1">"c13203"</definedName>
    <definedName name="IQ_OTHER_LOANS_LEASES_FDIC" hidden="1">"c6322"</definedName>
    <definedName name="IQ_OTHER_LOANS_LEASES_GROSS_LOANS_THRIFT" hidden="1">"c25735"</definedName>
    <definedName name="IQ_OTHER_LOANS_LEASES_RISK_BASED_CAPITAL_THRIFT" hidden="1">"c25720"</definedName>
    <definedName name="IQ_OTHER_LOANS_LL_REC_DOM_FFIEC" hidden="1">"c12914"</definedName>
    <definedName name="IQ_OTHER_LOANS_LOSS_SHARING_DUE_30_89_FFIEC" hidden="1">"c27088"</definedName>
    <definedName name="IQ_OTHER_LOANS_LOSS_SHARING_DUE_90_FFIEC" hidden="1">"c27128"</definedName>
    <definedName name="IQ_OTHER_LOANS_LOSS_SHARING_NON_ACCRUAL_FFIEC" hidden="1">"c27168"</definedName>
    <definedName name="IQ_OTHER_LOANS_NET_CHARGE_OFFS_FDIC" hidden="1">"c6639"</definedName>
    <definedName name="IQ_OTHER_LOANS_NON_ACCRUAL_FFIEC" hidden="1">"c13327"</definedName>
    <definedName name="IQ_OTHER_LOANS_RECOVERIES_FDIC" hidden="1">"c6620"</definedName>
    <definedName name="IQ_OTHER_LOANS_RISK_BASED_FFIEC" hidden="1">"c13435"</definedName>
    <definedName name="IQ_OTHER_LOANS_TOTAL_FDIC" hidden="1">"c6432"</definedName>
    <definedName name="IQ_OTHER_LOANS_TOTAL_LOANS" hidden="1">"c15716"</definedName>
    <definedName name="IQ_OTHER_LOANS_TRADING_DOM_FFIEC" hidden="1">"c12936"</definedName>
    <definedName name="IQ_OTHER_LONG_TERM" localSheetId="7" hidden="1">"c1409"</definedName>
    <definedName name="IQ_OTHER_LONG_TERM" localSheetId="8" hidden="1">"c1409"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CM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MBS_AFS_AMORT_COST_FFIEC" hidden="1">"c20498"</definedName>
    <definedName name="IQ_OTHER_MBS_AFS_FAIR_VAL_FFIEC" hidden="1">"c20463"</definedName>
    <definedName name="IQ_OTHER_MBS_AVAIL_SALE_FFIEC" hidden="1">"c12801"</definedName>
    <definedName name="IQ_OTHER_MBS_EXCLUDING_BONDS_THRIFT" hidden="1">"c24832"</definedName>
    <definedName name="IQ_OTHER_MBS_FFIEC" hidden="1">"c12787"</definedName>
    <definedName name="IQ_OTHER_MBS_HTM_AMORT_COST_FFIEC" hidden="1">"c20446"</definedName>
    <definedName name="IQ_OTHER_MBS_HTM_FAIR_VAL_FFIEC" hidden="1">"c20481"</definedName>
    <definedName name="IQ_OTHER_MBS_ISSUED_FNMA_GNMA_TRADING_DOM_FFIEC" hidden="1">"c12922"</definedName>
    <definedName name="IQ_OTHER_MBS_ISSUED_FNMA_GNMA_TRADING_FFIEC" hidden="1">"c12817"</definedName>
    <definedName name="IQ_OTHER_MBS_THRIFT" hidden="1">"c24835"</definedName>
    <definedName name="IQ_OTHER_MBS_TRADING_DOM_FFIEC" hidden="1">"c12923"</definedName>
    <definedName name="IQ_OTHER_MBS_TRADING_FFIEC" hidden="1">"c12818"</definedName>
    <definedName name="IQ_OTHER_MINING_REVENUE_COAL" hidden="1">"c15931"</definedName>
    <definedName name="IQ_OTHER_NET" localSheetId="7" hidden="1">"c1453"</definedName>
    <definedName name="IQ_OTHER_NET" localSheetId="8" hidden="1">"c1453"</definedName>
    <definedName name="IQ_OTHER_NET" hidden="1">"c1453"</definedName>
    <definedName name="IQ_OTHER_NO_NINT_INCOME_THRIFT" hidden="1">"c24780"</definedName>
    <definedName name="IQ_OTHER_NON_INT_ALLOCATIONS_FFIEC" hidden="1">"c13065"</definedName>
    <definedName name="IQ_OTHER_NON_INT_EXP" hidden="1">"c953"</definedName>
    <definedName name="IQ_OTHER_NON_INT_EXP_FDIC" hidden="1">"c6578"</definedName>
    <definedName name="IQ_OTHER_NON_INT_EXP_FFIEC" hidden="1">"c13027"</definedName>
    <definedName name="IQ_OTHER_NON_INT_EXP_THRIFT" hidden="1">"c24792"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INT_INC_OPERATING_INC_FFIEC" hidden="1">"c13392"</definedName>
    <definedName name="IQ_OTHER_NON_INT_INCOME_ADJUSTED_OPERATING_INCOME_THRIFT" hidden="1">"c25691"</definedName>
    <definedName name="IQ_OTHER_NON_INT_INCOME_FFIEC" hidden="1">"c13016"</definedName>
    <definedName name="IQ_OTHER_NON_OPER_EXP" hidden="1">"c956"</definedName>
    <definedName name="IQ_OTHER_NON_OPER_EXP_BR" hidden="1">"c957"</definedName>
    <definedName name="IQ_OTHER_NON_OPER_EXP_CM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CM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NONFARM_NONRES_GROSS_LOANS_FFIEC" hidden="1">"c13407"</definedName>
    <definedName name="IQ_OTHER_NONFARM_NONRES_LL_REC_DOM_FFIEC" hidden="1">"c12907"</definedName>
    <definedName name="IQ_OTHER_NONFARM_NONRES_RISK_BASED_FFIEC" hidden="1">"c13428"</definedName>
    <definedName name="IQ_OTHER_NONINTEREST_INC_FOREIGN_FFIEC" hidden="1">"c15380"</definedName>
    <definedName name="IQ_OTHER_NOTES_BONDS_ALL_OTHER_ACCOUNTS_THRIFT" hidden="1">"c25432"</definedName>
    <definedName name="IQ_OTHER_NOTES_BONDS_EMPLOYEE_BENEFIT_RETIREMENT_RELATED_ACCOUNTS_THRIFT" hidden="1">"c25416"</definedName>
    <definedName name="IQ_OTHER_NOTES_BONDS_PERSONAL_TRUST_AGENCY_INV_MANAGEMENT_ACCOUNTS_THRIFT" hidden="1">"c25400"</definedName>
    <definedName name="IQ_OTHER_OFF_BS_ITEMS_FFIEC" hidden="1">"c13126"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CM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CM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CM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CM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ERATING_EXPENSES_ADJUSTED_OPERATING_INCOME_THRIFT" hidden="1">"c25687"</definedName>
    <definedName name="IQ_OTHER_OPERATING_EXPENSES_AVG_ASSETS_THRIFT" hidden="1">"c25664"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OVER_TOTAL" hidden="1">"c24739"</definedName>
    <definedName name="IQ_OTHER_PASS_THROUGH_THRIFT" hidden="1">"c24831"</definedName>
    <definedName name="IQ_OTHER_PC_WRITTEN" hidden="1">"c1006"</definedName>
    <definedName name="IQ_OTHER_PML_SECURED_FIRST_LIEN_1_4_DWELLING_UNITS_DUE_30_89_THRIFT" hidden="1">"c25242"</definedName>
    <definedName name="IQ_OTHER_PML_SECURED_FIRST_LIEN_1_4_DWELLING_UNITS_DUE_90_THRIFT" hidden="1">"c25263"</definedName>
    <definedName name="IQ_OTHER_PML_SECURED_FIRST_LIEN_1_4_DWELLING_UNITS_NON_ACCRUAL_THRIFT" hidden="1">"c25284"</definedName>
    <definedName name="IQ_OTHER_PML_SECURED_JUNIOR_LIEN_1_4_DWELLING_UNITS_DUE_30_89_THRIFT" hidden="1">"c25243"</definedName>
    <definedName name="IQ_OTHER_PML_SECURED_JUNIOR_LIEN_1_4_DWELLING_UNITS_DUE_90_THRIFT" hidden="1">"c25264"</definedName>
    <definedName name="IQ_OTHER_PML_SECURED_JUNIOR_LIEN_1_4_DWELLING_UNITS_NON_ACCRUAL_THRIFT" hidden="1">"c25285"</definedName>
    <definedName name="IQ_OTHER_PROP" hidden="1">"c8764"</definedName>
    <definedName name="IQ_OTHER_PROP_OPERATING_EXPENSE" hidden="1">"c16043"</definedName>
    <definedName name="IQ_OTHER_PROP_OPERATING_REVENUE" hidden="1">"c16027"</definedName>
    <definedName name="IQ_OTHER_RE_FOREIGN_LOSS_SHARING_FFIEC" hidden="1">"c27212"</definedName>
    <definedName name="IQ_OTHER_RE_LOSS_SHARING_FFIEC" hidden="1">"c27213"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NTAL" hidden="1">"c26971"</definedName>
    <definedName name="IQ_OTHER_REPOSSESSED_ASSETS_ADJUSTED_NCOS_TOTAL_THRIFT" hidden="1">"c25224"</definedName>
    <definedName name="IQ_OTHER_REPOSSESSED_ASSETS_GVA_CHARGE_OFFS_THRIFT" hidden="1">"c25139"</definedName>
    <definedName name="IQ_OTHER_REPOSSESSED_ASSETS_SVA_PROVISIONS_TRANSFERS_FROM_GVA_TOTAL_THRIFT" hidden="1">"c25193"</definedName>
    <definedName name="IQ_OTHER_RESIDUAL_INTERESTS_THRIFT" hidden="1">"c24940"</definedName>
    <definedName name="IQ_OTHER_REV" hidden="1">"c1010"</definedName>
    <definedName name="IQ_OTHER_REV_BR" hidden="1">"c1011"</definedName>
    <definedName name="IQ_OTHER_REV_CM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CM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localSheetId="7" hidden="1">"c1410"</definedName>
    <definedName name="IQ_OTHER_REVENUE" localSheetId="8" hidden="1">"c1410"</definedName>
    <definedName name="IQ_OTHER_REVENUE" hidden="1">"c1410"</definedName>
    <definedName name="IQ_OTHER_REVOL_CREDIT_CONSUMER_LOANS_FFIEC" hidden="1">"c12823"</definedName>
    <definedName name="IQ_OTHER_REVOLVING_CREDIT_LL_REC_FFIEC" hidden="1">"c12890"</definedName>
    <definedName name="IQ_OTHER_REVOLVING_CREDIT_LOANS_TRADING_DOM_FFIEC" hidden="1">"c12934"</definedName>
    <definedName name="IQ_OTHER_RISKS" hidden="1">"c26993"</definedName>
    <definedName name="IQ_OTHER_ROOMS" hidden="1">"c8788"</definedName>
    <definedName name="IQ_OTHER_SAVINGS_DEPOSITS_FDIC" hidden="1">"c6554"</definedName>
    <definedName name="IQ_OTHER_SAVINGS_DEPOSITS_NON_TRANS_ACCTS_FFIEC" hidden="1">"c15331"</definedName>
    <definedName name="IQ_OTHER_SEC_QUARTERLY_AVG_FFIEC" hidden="1">"c27062"</definedName>
    <definedName name="IQ_OTHER_SECURITIES_QUARTERLY_AVG_FFIEC" hidden="1">"c15472"</definedName>
    <definedName name="IQ_OTHER_SERVICE_CHARGES_COMM_FEE_DOM_FFIEC" hidden="1">"c25822"</definedName>
    <definedName name="IQ_OTHER_SHORT_TERM_OBLIGATIONS_ALL_OTHER_ACCOUNTS_THRIFT" hidden="1">"c25431"</definedName>
    <definedName name="IQ_OTHER_SHORT_TERM_OBLIGATIONS_EMPLOYEE_BENEFIT_RETIREMENT_RELATED_ACCOUNTS_THRIFT" hidden="1">"c25415"</definedName>
    <definedName name="IQ_OTHER_SHORT_TERM_OBLIGATIONS_PERSONAL_TRUST_AGENCY_INV_MANAGEMENT_ACCOUNTS_THRIFT" hidden="1">"c25399"</definedName>
    <definedName name="IQ_OTHER_SQ_FT" hidden="1">"c8780"</definedName>
    <definedName name="IQ_OTHER_STRIKE_PRICE_GRANTED" hidden="1">"c2692"</definedName>
    <definedName name="IQ_OTHER_TAX_EQUIVALENT_ADJUSTMENTS_FFIEC" hidden="1">"c13855"</definedName>
    <definedName name="IQ_OTHER_TEMP_IMPAIR_LOSS_HTM_AFS_FFIEC" hidden="1">"c25845"</definedName>
    <definedName name="IQ_OTHER_TIME_DEPOSITS_THRIFT" hidden="1">"c25569"</definedName>
    <definedName name="IQ_OTHER_TRADING_ASSETS_FAIR_VALUE_TOT_FFIEC" hidden="1">"c15404"</definedName>
    <definedName name="IQ_OTHER_TRADING_ASSETS_FFIEC" hidden="1">"c12826"</definedName>
    <definedName name="IQ_OTHER_TRADING_ASSETS_LEVEL_1_FFIEC" hidden="1">"c15426"</definedName>
    <definedName name="IQ_OTHER_TRADING_ASSETS_LEVEL_2_FFIEC" hidden="1">"c15439"</definedName>
    <definedName name="IQ_OTHER_TRADING_ASSETS_LEVEL_3_FFIEC" hidden="1">"c15452"</definedName>
    <definedName name="IQ_OTHER_TRADING_ASSETS_TOTAL_FFIEC" hidden="1">"c12937"</definedName>
    <definedName name="IQ_OTHER_TRADING_LIABILITIES_FAIR_VALUE_TOT_FFIEC" hidden="1">"c15408"</definedName>
    <definedName name="IQ_OTHER_TRADING_LIABILITIES_FFIEC" hidden="1">"c12860"</definedName>
    <definedName name="IQ_OTHER_TRADING_LIABILITIES_LEVEL_1_FFIEC" hidden="1">"c15430"</definedName>
    <definedName name="IQ_OTHER_TRADING_LIABILITIES_LEVEL_2_FFIEC" hidden="1">"c15443"</definedName>
    <definedName name="IQ_OTHER_TRADING_LIABILITIES_LEVEL_3_FFIEC" hidden="1">"c15456"</definedName>
    <definedName name="IQ_OTHER_TRANSACTIONS_FDIC" hidden="1">"c6504"</definedName>
    <definedName name="IQ_OTHER_UNDRAWN" hidden="1">"c2522"</definedName>
    <definedName name="IQ_OTHER_UNITS" hidden="1">"c8772"</definedName>
    <definedName name="IQ_OTHER_UNUSED_COMMITMENTS_FDIC" hidden="1">"c6530"</definedName>
    <definedName name="IQ_OTHER_UNUSED_FFIEC" hidden="1">"c13248"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CM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CM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SUPPLE" hidden="1">"c13816"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ALANCE_CONTRACTUAL_PURCHASED_CREDIT_IMPAIRED_LOANS_THRIFT" hidden="1">"c25237"</definedName>
    <definedName name="IQ_OUTSTANDING_BS_DATE" localSheetId="7" hidden="1">"c2128"</definedName>
    <definedName name="IQ_OUTSTANDING_BS_DATE" localSheetId="8" hidden="1">"c2128"</definedName>
    <definedName name="IQ_OUTSTANDING_BS_DATE" hidden="1">"c2128"</definedName>
    <definedName name="IQ_OUTSTANDING_CHECKS_DRAWN_AGAINST_FHLBS_FEDERAL_RESERVE_BANKS_THRIFT" hidden="1">"c25571"</definedName>
    <definedName name="IQ_OUTSTANDING_COMMITMENTS_LOANS_CLOSED_LOANS_IN_PROCESS_MORTGAGE_CONSTRUCTION_LOANS_THRIFT" hidden="1">"c25591"</definedName>
    <definedName name="IQ_OUTSTANDING_COMMITMENTS_LOANS_CLOSED_LOANS_IN_PROCESS_NON_MORTGAGE_LOANS_THRIFT" hidden="1">"c25593"</definedName>
    <definedName name="IQ_OUTSTANDING_COMMITMENTS_LOANS_CLOSED_LOANS_IN_PROCESS_OTHER_MORTGAGE_LOANS_THRIFT" hidden="1">"c25592"</definedName>
    <definedName name="IQ_OUTSTANDING_COMMITMENTS_ORIGINATE_MORTGAGE_LOANS_SECURED_1_4_DWELLING_UNITS_THRIFT" hidden="1">"c25595"</definedName>
    <definedName name="IQ_OUTSTANDING_COMMITMENTS_ORIGINATE_MORTGAGE_LOANS_SECURED_ALL_OTHER_RE_THRIFT" hidden="1">"c25597"</definedName>
    <definedName name="IQ_OUTSTANDING_COMMITMENTS_ORIGINATE_MORTGAGE_LOANS_SECURED_MULTIFAMILY_5_MORE_DWELLING_UNITS_THRIFT" hidden="1">"c25596"</definedName>
    <definedName name="IQ_OUTSTANDING_COMMITMENTS_ORIGINATE_MORTGAGE_LOANS_SECURED_RE_THRIFT" hidden="1">"c25594"</definedName>
    <definedName name="IQ_OUTSTANDING_COMMITMENTS_ORIGINATE_NON_MORTGAGE_LOANS_THRIFT" hidden="1">"c25598"</definedName>
    <definedName name="IQ_OUTSTANDING_COMMITMENTS_PURCHASE_INV_SEC_THRIFT" hidden="1">"c25603"</definedName>
    <definedName name="IQ_OUTSTANDING_COMMITMENTS_PURCHASE_LOANS_THRIFT" hidden="1">"c25599"</definedName>
    <definedName name="IQ_OUTSTANDING_COMMITMENTS_PURCHASE_MORTGAGE_BACKED_SEC_THRIFT" hidden="1">"c25601"</definedName>
    <definedName name="IQ_OUTSTANDING_COMMITMENTS_SELL_INV_SEC_THRIFT" hidden="1">"c25604"</definedName>
    <definedName name="IQ_OUTSTANDING_COMMITMENTS_SELL_LOANS_THRIFT" hidden="1">"c25600"</definedName>
    <definedName name="IQ_OUTSTANDING_COMMITMENTS_SELL_MORTGAGE_BACKED_SEC_THRIFT" hidden="1">"c25602"</definedName>
    <definedName name="IQ_OUTSTANDING_COMMITMENTS_UNDISBURSED_BALANCE_LOANS_CLOSED_THRIFT" hidden="1">"c25590"</definedName>
    <definedName name="IQ_OUTSTANDING_FILING_DATE" hidden="1">"c1023"</definedName>
    <definedName name="IQ_OUTSTANDING_FILING_DATE_TOTAL" hidden="1">"c2107"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VERHEAD_EXP_ADJUSTED_OPERATING_INCOME_THRIFT" hidden="1">"c25684"</definedName>
    <definedName name="IQ_OVERHEAD_EXP_AVG_ASSETS_FFIEC" hidden="1">"c13361"</definedName>
    <definedName name="IQ_OVERHEAD_EXP_AVG_ASSETS_THRIFT" hidden="1">"c25652"</definedName>
    <definedName name="IQ_OVERHEAD_EXP_REV_FFIEC" hidden="1">"c13494"</definedName>
    <definedName name="IQ_OVERHEAD_EXP_REVENUES_THRIFT" hidden="1">"c25683"</definedName>
    <definedName name="IQ_OVERHEAD_LESS_NON_INT_INCOME_ADJUSTED_OPERATING_INCOME_THRIFT" hidden="1">"c25692"</definedName>
    <definedName name="IQ_OVERHEAD_LESS_NON_INT_INCOME_AVG_ASSETS_THRIFT" hidden="1">"c25665"</definedName>
    <definedName name="IQ_OVERHEAD_NON_INT_INC_AVG_ASSETS_FFIEC" hidden="1">"c13374"</definedName>
    <definedName name="IQ_OVERHEAD_NON_INT_OPERATING_INC_FFIEC" hidden="1">"c13393"</definedName>
    <definedName name="IQ_OVERHEAD_OPERATING_INC_FFIEC" hidden="1">"c13378"</definedName>
    <definedName name="IQ_OWNED_RESERVES_COAL" hidden="1">"c15916"</definedName>
    <definedName name="IQ_OWNED_RESERVES_TO_TOTAL_RESERVES_COAL" hidden="1">"c15957"</definedName>
    <definedName name="IQ_OWNER_OCCUPIED_GROSS_LOANS_FFIEC" hidden="1">"c13406"</definedName>
    <definedName name="IQ_OWNER_OCCUPIED_LOANS_RISK_BASED_FFIEC" hidden="1">"c13427"</definedName>
    <definedName name="IQ_OWNER_OCCUPIED_NONFARM_NONRES_LL_REC_DOM_FFIEC" hidden="1">"c12906"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RTICIPATIONS_ACCEPTANCES_FFIEC" hidden="1">"c13254"</definedName>
    <definedName name="IQ_PARTNERSHIP_INC_RE" hidden="1">"c12039"</definedName>
    <definedName name="IQ_PASS_THROUGH_FNMA_GNMA_TRADING_FFIEC" hidden="1">"c12816"</definedName>
    <definedName name="IQ_PASS_THROUGH_MBS_THRIFT" hidden="1">"c24829"</definedName>
    <definedName name="IQ_PASSBOOK_ACCOUNTS_INC_NONDEMAND_ESCROWS_THRIFT" hidden="1">"c25000"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ST_DUE_ALLOW_GROSS_LOANS_FFIEC" hidden="1">"c13416"</definedName>
    <definedName name="IQ_PAST_DUE_LOANS_GROSS_LOANS_THRIFT" hidden="1">"c25737"</definedName>
    <definedName name="IQ_PAY_ACCRUED" localSheetId="7" hidden="1">"c1457"</definedName>
    <definedName name="IQ_PAY_ACCRUED" localSheetId="8" hidden="1">"c1457"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BV_FWD" hidden="1">"c15235"</definedName>
    <definedName name="IQ_PBV_FWD_THOM" hidden="1">"c15237"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CIQ" hidden="1">"c4042"</definedName>
    <definedName name="IQ_PE_EXCL_FWD_REUT" hidden="1">"c4049"</definedName>
    <definedName name="IQ_PE_EXCL_FWD_THOM" hidden="1">"c4056"</definedName>
    <definedName name="IQ_PE_FUND_DATE_EST" hidden="1">"c19174"</definedName>
    <definedName name="IQ_PE_FUND_DATE_MONTH" hidden="1">"c19172"</definedName>
    <definedName name="IQ_PE_FUND_DATE_YEAR" hidden="1">"c18925"</definedName>
    <definedName name="IQ_PE_FUND_FAMILIES" hidden="1">"c18917"</definedName>
    <definedName name="IQ_PE_FUND_FAMILIES_ID" hidden="1">"c18918"</definedName>
    <definedName name="IQ_PE_FUND_FAMILIES_REL" hidden="1">"c18919"</definedName>
    <definedName name="IQ_PE_FUND_ID" hidden="1">"c18923"</definedName>
    <definedName name="IQ_PE_FUND_INVEST_AMOUNT" hidden="1">"c18933"</definedName>
    <definedName name="IQ_PE_FUND_INVEST_DATE_MONTH" hidden="1">"c19173"</definedName>
    <definedName name="IQ_PE_FUND_INVEST_DATE_YEAR" hidden="1">"c18934"</definedName>
    <definedName name="IQ_PE_FUND_NAME" hidden="1">"c18922"</definedName>
    <definedName name="IQ_PE_FUND_SIZE" hidden="1">"c18924"</definedName>
    <definedName name="IQ_PE_FUND_STAGE" hidden="1">"c18928"</definedName>
    <definedName name="IQ_PE_FUND_TARGET_MAX" hidden="1">"c18927"</definedName>
    <definedName name="IQ_PE_FUND_TARGET_MIN" hidden="1">"c18926"</definedName>
    <definedName name="IQ_PE_FUND_TRANSACTION_COMMENTS" hidden="1">"c18931"</definedName>
    <definedName name="IQ_PE_NORMALIZED" hidden="1">"c2207"</definedName>
    <definedName name="IQ_PE_RATIO" hidden="1">"c1610"</definedName>
    <definedName name="IQ_PEG_FWD" hidden="1">"c1863"</definedName>
    <definedName name="IQ_PEG_FWD_CIQ" hidden="1">"c4045"</definedName>
    <definedName name="IQ_PEG_FWD_REUT" hidden="1">"c4052"</definedName>
    <definedName name="IQ_PEG_FWD_THOM" hidden="1">"c4059"</definedName>
    <definedName name="IQ_PENETRATION_BASIC_CABLE" hidden="1">"c16204"</definedName>
    <definedName name="IQ_PENETRATION_BBAND" hidden="1">"c2852"</definedName>
    <definedName name="IQ_PENETRATION_BBAND_THP" hidden="1">"c2851"</definedName>
    <definedName name="IQ_PENETRATION_PHONE" hidden="1">"c2853"</definedName>
    <definedName name="IQ_PENETRATION_VIDEO" hidden="1">"c2850"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ASSETS_TEST_THRIFT" hidden="1">"c25587"</definedName>
    <definedName name="IQ_PERCENT_CHANGE_EST_5YR_GROWTH_RATE_12MONTHS" hidden="1">"c1852"</definedName>
    <definedName name="IQ_PERCENT_CHANGE_EST_5YR_GROWTH_RATE_12MONTHS_CIQ" hidden="1">"c3790"</definedName>
    <definedName name="IQ_PERCENT_CHANGE_EST_5YR_GROWTH_RATE_12MONTHS_REUT" hidden="1">"c3959"</definedName>
    <definedName name="IQ_PERCENT_CHANGE_EST_5YR_GROWTH_RATE_12MONTHS_THOM" hidden="1">"c5269"</definedName>
    <definedName name="IQ_PERCENT_CHANGE_EST_5YR_GROWTH_RATE_18MONTHS" hidden="1">"c1853"</definedName>
    <definedName name="IQ_PERCENT_CHANGE_EST_5YR_GROWTH_RATE_18MONTHS_CIQ" hidden="1">"c3791"</definedName>
    <definedName name="IQ_PERCENT_CHANGE_EST_5YR_GROWTH_RATE_18MONTHS_REUT" hidden="1">"c3960"</definedName>
    <definedName name="IQ_PERCENT_CHANGE_EST_5YR_GROWTH_RATE_18MONTHS_THOM" hidden="1">"c5270"</definedName>
    <definedName name="IQ_PERCENT_CHANGE_EST_5YR_GROWTH_RATE_3MONTHS" hidden="1">"c1849"</definedName>
    <definedName name="IQ_PERCENT_CHANGE_EST_5YR_GROWTH_RATE_3MONTHS_CIQ" hidden="1">"c3787"</definedName>
    <definedName name="IQ_PERCENT_CHANGE_EST_5YR_GROWTH_RATE_3MONTHS_REUT" hidden="1">"c3956"</definedName>
    <definedName name="IQ_PERCENT_CHANGE_EST_5YR_GROWTH_RATE_3MONTHS_THOM" hidden="1">"c5266"</definedName>
    <definedName name="IQ_PERCENT_CHANGE_EST_5YR_GROWTH_RATE_6MONTHS" hidden="1">"c1850"</definedName>
    <definedName name="IQ_PERCENT_CHANGE_EST_5YR_GROWTH_RATE_6MONTHS_CIQ" hidden="1">"c3788"</definedName>
    <definedName name="IQ_PERCENT_CHANGE_EST_5YR_GROWTH_RATE_6MONTHS_REUT" hidden="1">"c3957"</definedName>
    <definedName name="IQ_PERCENT_CHANGE_EST_5YR_GROWTH_RATE_6MONTHS_THOM" hidden="1">"c5267"</definedName>
    <definedName name="IQ_PERCENT_CHANGE_EST_5YR_GROWTH_RATE_9MONTHS" hidden="1">"c1851"</definedName>
    <definedName name="IQ_PERCENT_CHANGE_EST_5YR_GROWTH_RATE_9MONTHS_CIQ" hidden="1">"c3789"</definedName>
    <definedName name="IQ_PERCENT_CHANGE_EST_5YR_GROWTH_RATE_9MONTHS_REUT" hidden="1">"c3958"</definedName>
    <definedName name="IQ_PERCENT_CHANGE_EST_5YR_GROWTH_RATE_9MONTHS_THOM" hidden="1">"c5268"</definedName>
    <definedName name="IQ_PERCENT_CHANGE_EST_5YR_GROWTH_RATE_DAY" hidden="1">"c1846"</definedName>
    <definedName name="IQ_PERCENT_CHANGE_EST_5YR_GROWTH_RATE_DAY_CIQ" hidden="1">"c3785"</definedName>
    <definedName name="IQ_PERCENT_CHANGE_EST_5YR_GROWTH_RATE_DAY_REUT" hidden="1">"c3954"</definedName>
    <definedName name="IQ_PERCENT_CHANGE_EST_5YR_GROWTH_RATE_DAY_THOM" hidden="1">"c5264"</definedName>
    <definedName name="IQ_PERCENT_CHANGE_EST_5YR_GROWTH_RATE_MONTH" hidden="1">"c1848"</definedName>
    <definedName name="IQ_PERCENT_CHANGE_EST_5YR_GROWTH_RATE_MONTH_CIQ" hidden="1">"c3786"</definedName>
    <definedName name="IQ_PERCENT_CHANGE_EST_5YR_GROWTH_RATE_MONTH_REUT" hidden="1">"c3955"</definedName>
    <definedName name="IQ_PERCENT_CHANGE_EST_5YR_GROWTH_RATE_MONTH_THOM" hidden="1">"c5265"</definedName>
    <definedName name="IQ_PERCENT_CHANGE_EST_5YR_GROWTH_RATE_WEEK" hidden="1">"c1847"</definedName>
    <definedName name="IQ_PERCENT_CHANGE_EST_5YR_GROWTH_RATE_WEEK_CIQ" hidden="1">"c3797"</definedName>
    <definedName name="IQ_PERCENT_CHANGE_EST_5YR_GROWTH_RATE_WEEK_REUT" hidden="1">"c5435"</definedName>
    <definedName name="IQ_PERCENT_CHANGE_EST_5YR_GROWTH_RATE_WEEK_THOM" hidden="1">"c5277"</definedName>
    <definedName name="IQ_PERCENT_CHANGE_EST_CFPS_12MONTHS" hidden="1">"c1812"</definedName>
    <definedName name="IQ_PERCENT_CHANGE_EST_CFPS_12MONTHS_REUT" hidden="1">"c3924"</definedName>
    <definedName name="IQ_PERCENT_CHANGE_EST_CFPS_12MONTHS_THOM" hidden="1">"c5234"</definedName>
    <definedName name="IQ_PERCENT_CHANGE_EST_CFPS_18MONTHS" hidden="1">"c1813"</definedName>
    <definedName name="IQ_PERCENT_CHANGE_EST_CFPS_18MONTHS_REUT" hidden="1">"c3925"</definedName>
    <definedName name="IQ_PERCENT_CHANGE_EST_CFPS_18MONTHS_THOM" hidden="1">"c5235"</definedName>
    <definedName name="IQ_PERCENT_CHANGE_EST_CFPS_3MONTHS" hidden="1">"c1809"</definedName>
    <definedName name="IQ_PERCENT_CHANGE_EST_CFPS_3MONTHS_REUT" hidden="1">"c3921"</definedName>
    <definedName name="IQ_PERCENT_CHANGE_EST_CFPS_3MONTHS_THOM" hidden="1">"c5231"</definedName>
    <definedName name="IQ_PERCENT_CHANGE_EST_CFPS_6MONTHS" hidden="1">"c1810"</definedName>
    <definedName name="IQ_PERCENT_CHANGE_EST_CFPS_6MONTHS_REUT" hidden="1">"c3922"</definedName>
    <definedName name="IQ_PERCENT_CHANGE_EST_CFPS_6MONTHS_THOM" hidden="1">"c5232"</definedName>
    <definedName name="IQ_PERCENT_CHANGE_EST_CFPS_9MONTHS" hidden="1">"c1811"</definedName>
    <definedName name="IQ_PERCENT_CHANGE_EST_CFPS_9MONTHS_REUT" hidden="1">"c3923"</definedName>
    <definedName name="IQ_PERCENT_CHANGE_EST_CFPS_9MONTHS_THOM" hidden="1">"c5233"</definedName>
    <definedName name="IQ_PERCENT_CHANGE_EST_CFPS_DAY" hidden="1">"c1806"</definedName>
    <definedName name="IQ_PERCENT_CHANGE_EST_CFPS_DAY_REUT" hidden="1">"c3919"</definedName>
    <definedName name="IQ_PERCENT_CHANGE_EST_CFPS_DAY_THOM" hidden="1">"c5229"</definedName>
    <definedName name="IQ_PERCENT_CHANGE_EST_CFPS_MONTH" hidden="1">"c1808"</definedName>
    <definedName name="IQ_PERCENT_CHANGE_EST_CFPS_MONTH_REUT" hidden="1">"c3920"</definedName>
    <definedName name="IQ_PERCENT_CHANGE_EST_CFPS_MONTH_THOM" hidden="1">"c5230"</definedName>
    <definedName name="IQ_PERCENT_CHANGE_EST_CFPS_WEEK" hidden="1">"c1807"</definedName>
    <definedName name="IQ_PERCENT_CHANGE_EST_CFPS_WEEK_REUT" hidden="1">"c3962"</definedName>
    <definedName name="IQ_PERCENT_CHANGE_EST_CFPS_WEEK_THOM" hidden="1">"c5272"</definedName>
    <definedName name="IQ_PERCENT_CHANGE_EST_DPS_12MONTHS" hidden="1">"c1820"</definedName>
    <definedName name="IQ_PERCENT_CHANGE_EST_DPS_12MONTHS_REUT" hidden="1">"c3931"</definedName>
    <definedName name="IQ_PERCENT_CHANGE_EST_DPS_12MONTHS_THOM" hidden="1">"c5241"</definedName>
    <definedName name="IQ_PERCENT_CHANGE_EST_DPS_18MONTHS" hidden="1">"c1821"</definedName>
    <definedName name="IQ_PERCENT_CHANGE_EST_DPS_18MONTHS_REUT" hidden="1">"c3932"</definedName>
    <definedName name="IQ_PERCENT_CHANGE_EST_DPS_18MONTHS_THOM" hidden="1">"c5242"</definedName>
    <definedName name="IQ_PERCENT_CHANGE_EST_DPS_3MONTHS" hidden="1">"c1817"</definedName>
    <definedName name="IQ_PERCENT_CHANGE_EST_DPS_3MONTHS_REUT" hidden="1">"c3928"</definedName>
    <definedName name="IQ_PERCENT_CHANGE_EST_DPS_3MONTHS_THOM" hidden="1">"c5238"</definedName>
    <definedName name="IQ_PERCENT_CHANGE_EST_DPS_6MONTHS" hidden="1">"c1818"</definedName>
    <definedName name="IQ_PERCENT_CHANGE_EST_DPS_6MONTHS_REUT" hidden="1">"c3929"</definedName>
    <definedName name="IQ_PERCENT_CHANGE_EST_DPS_6MONTHS_THOM" hidden="1">"c5239"</definedName>
    <definedName name="IQ_PERCENT_CHANGE_EST_DPS_9MONTHS" hidden="1">"c1819"</definedName>
    <definedName name="IQ_PERCENT_CHANGE_EST_DPS_9MONTHS_REUT" hidden="1">"c3930"</definedName>
    <definedName name="IQ_PERCENT_CHANGE_EST_DPS_9MONTHS_THOM" hidden="1">"c5240"</definedName>
    <definedName name="IQ_PERCENT_CHANGE_EST_DPS_DAY" hidden="1">"c1814"</definedName>
    <definedName name="IQ_PERCENT_CHANGE_EST_DPS_DAY_REUT" hidden="1">"c3926"</definedName>
    <definedName name="IQ_PERCENT_CHANGE_EST_DPS_DAY_THOM" hidden="1">"c5236"</definedName>
    <definedName name="IQ_PERCENT_CHANGE_EST_DPS_MONTH" hidden="1">"c1816"</definedName>
    <definedName name="IQ_PERCENT_CHANGE_EST_DPS_MONTH_REUT" hidden="1">"c3927"</definedName>
    <definedName name="IQ_PERCENT_CHANGE_EST_DPS_MONTH_THOM" hidden="1">"c5237"</definedName>
    <definedName name="IQ_PERCENT_CHANGE_EST_DPS_WEEK" hidden="1">"c1815"</definedName>
    <definedName name="IQ_PERCENT_CHANGE_EST_DPS_WEEK_REUT" hidden="1">"c3963"</definedName>
    <definedName name="IQ_PERCENT_CHANGE_EST_DPS_WEEK_THOM" hidden="1">"c5273"</definedName>
    <definedName name="IQ_PERCENT_CHANGE_EST_EBITDA_12MONTHS" hidden="1">"c1804"</definedName>
    <definedName name="IQ_PERCENT_CHANGE_EST_EBITDA_12MONTHS_CIQ" hidden="1">"c3748"</definedName>
    <definedName name="IQ_PERCENT_CHANGE_EST_EBITDA_12MONTHS_REUT" hidden="1">"c3917"</definedName>
    <definedName name="IQ_PERCENT_CHANGE_EST_EBITDA_12MONTHS_THOM" hidden="1">"c5227"</definedName>
    <definedName name="IQ_PERCENT_CHANGE_EST_EBITDA_18MONTHS" hidden="1">"c1805"</definedName>
    <definedName name="IQ_PERCENT_CHANGE_EST_EBITDA_18MONTHS_CIQ" hidden="1">"c3749"</definedName>
    <definedName name="IQ_PERCENT_CHANGE_EST_EBITDA_18MONTHS_REUT" hidden="1">"c3918"</definedName>
    <definedName name="IQ_PERCENT_CHANGE_EST_EBITDA_18MONTHS_THOM" hidden="1">"c5228"</definedName>
    <definedName name="IQ_PERCENT_CHANGE_EST_EBITDA_3MONTHS" hidden="1">"c1801"</definedName>
    <definedName name="IQ_PERCENT_CHANGE_EST_EBITDA_3MONTHS_CIQ" hidden="1">"c3745"</definedName>
    <definedName name="IQ_PERCENT_CHANGE_EST_EBITDA_3MONTHS_REUT" hidden="1">"c3914"</definedName>
    <definedName name="IQ_PERCENT_CHANGE_EST_EBITDA_3MONTHS_THOM" hidden="1">"c5224"</definedName>
    <definedName name="IQ_PERCENT_CHANGE_EST_EBITDA_6MONTHS" hidden="1">"c1802"</definedName>
    <definedName name="IQ_PERCENT_CHANGE_EST_EBITDA_6MONTHS_CIQ" hidden="1">"c3746"</definedName>
    <definedName name="IQ_PERCENT_CHANGE_EST_EBITDA_6MONTHS_REUT" hidden="1">"c3915"</definedName>
    <definedName name="IQ_PERCENT_CHANGE_EST_EBITDA_6MONTHS_THOM" hidden="1">"c5225"</definedName>
    <definedName name="IQ_PERCENT_CHANGE_EST_EBITDA_9MONTHS" hidden="1">"c1803"</definedName>
    <definedName name="IQ_PERCENT_CHANGE_EST_EBITDA_9MONTHS_CIQ" hidden="1">"c3747"</definedName>
    <definedName name="IQ_PERCENT_CHANGE_EST_EBITDA_9MONTHS_REUT" hidden="1">"c3916"</definedName>
    <definedName name="IQ_PERCENT_CHANGE_EST_EBITDA_9MONTHS_THOM" hidden="1">"c5226"</definedName>
    <definedName name="IQ_PERCENT_CHANGE_EST_EBITDA_DAY" hidden="1">"c1798"</definedName>
    <definedName name="IQ_PERCENT_CHANGE_EST_EBITDA_DAY_CIQ" hidden="1">"c3743"</definedName>
    <definedName name="IQ_PERCENT_CHANGE_EST_EBITDA_DAY_REUT" hidden="1">"c3912"</definedName>
    <definedName name="IQ_PERCENT_CHANGE_EST_EBITDA_DAY_THOM" hidden="1">"c5222"</definedName>
    <definedName name="IQ_PERCENT_CHANGE_EST_EBITDA_MONTH" hidden="1">"c1800"</definedName>
    <definedName name="IQ_PERCENT_CHANGE_EST_EBITDA_MONTH_CIQ" hidden="1">"c3744"</definedName>
    <definedName name="IQ_PERCENT_CHANGE_EST_EBITDA_MONTH_REUT" hidden="1">"c3913"</definedName>
    <definedName name="IQ_PERCENT_CHANGE_EST_EBITDA_MONTH_THOM" hidden="1">"c5223"</definedName>
    <definedName name="IQ_PERCENT_CHANGE_EST_EBITDA_WEEK" hidden="1">"c1799"</definedName>
    <definedName name="IQ_PERCENT_CHANGE_EST_EBITDA_WEEK_CIQ" hidden="1">"c3792"</definedName>
    <definedName name="IQ_PERCENT_CHANGE_EST_EBITDA_WEEK_REUT" hidden="1">"c3961"</definedName>
    <definedName name="IQ_PERCENT_CHANGE_EST_EBITDA_WEEK_THOM" hidden="1">"c5271"</definedName>
    <definedName name="IQ_PERCENT_CHANGE_EST_EPS_12MONTHS" hidden="1">"c1788"</definedName>
    <definedName name="IQ_PERCENT_CHANGE_EST_EPS_12MONTHS_CIQ" hidden="1">"c3733"</definedName>
    <definedName name="IQ_PERCENT_CHANGE_EST_EPS_12MONTHS_REUT" hidden="1">"c3902"</definedName>
    <definedName name="IQ_PERCENT_CHANGE_EST_EPS_12MONTHS_THOM" hidden="1">"c5212"</definedName>
    <definedName name="IQ_PERCENT_CHANGE_EST_EPS_18MONTHS" hidden="1">"c1789"</definedName>
    <definedName name="IQ_PERCENT_CHANGE_EST_EPS_18MONTHS_CIQ" hidden="1">"c3734"</definedName>
    <definedName name="IQ_PERCENT_CHANGE_EST_EPS_18MONTHS_REUT" hidden="1">"c3903"</definedName>
    <definedName name="IQ_PERCENT_CHANGE_EST_EPS_18MONTHS_THOM" hidden="1">"c5213"</definedName>
    <definedName name="IQ_PERCENT_CHANGE_EST_EPS_3MONTHS" hidden="1">"c1785"</definedName>
    <definedName name="IQ_PERCENT_CHANGE_EST_EPS_3MONTHS_CIQ" hidden="1">"c3730"</definedName>
    <definedName name="IQ_PERCENT_CHANGE_EST_EPS_3MONTHS_REUT" hidden="1">"c3899"</definedName>
    <definedName name="IQ_PERCENT_CHANGE_EST_EPS_3MONTHS_THOM" hidden="1">"c5209"</definedName>
    <definedName name="IQ_PERCENT_CHANGE_EST_EPS_6MONTHS" hidden="1">"c1786"</definedName>
    <definedName name="IQ_PERCENT_CHANGE_EST_EPS_6MONTHS_CIQ" hidden="1">"c3731"</definedName>
    <definedName name="IQ_PERCENT_CHANGE_EST_EPS_6MONTHS_REUT" hidden="1">"c3900"</definedName>
    <definedName name="IQ_PERCENT_CHANGE_EST_EPS_6MONTHS_THOM" hidden="1">"c5210"</definedName>
    <definedName name="IQ_PERCENT_CHANGE_EST_EPS_9MONTHS" hidden="1">"c1787"</definedName>
    <definedName name="IQ_PERCENT_CHANGE_EST_EPS_9MONTHS_CIQ" hidden="1">"c3732"</definedName>
    <definedName name="IQ_PERCENT_CHANGE_EST_EPS_9MONTHS_REUT" hidden="1">"c3901"</definedName>
    <definedName name="IQ_PERCENT_CHANGE_EST_EPS_9MONTHS_THOM" hidden="1">"c5211"</definedName>
    <definedName name="IQ_PERCENT_CHANGE_EST_EPS_DAY" hidden="1">"c1782"</definedName>
    <definedName name="IQ_PERCENT_CHANGE_EST_EPS_DAY_CIQ" hidden="1">"c3727"</definedName>
    <definedName name="IQ_PERCENT_CHANGE_EST_EPS_DAY_REUT" hidden="1">"c3896"</definedName>
    <definedName name="IQ_PERCENT_CHANGE_EST_EPS_DAY_THOM" hidden="1">"c5206"</definedName>
    <definedName name="IQ_PERCENT_CHANGE_EST_EPS_MONTH" hidden="1">"c1784"</definedName>
    <definedName name="IQ_PERCENT_CHANGE_EST_EPS_MONTH_CIQ" hidden="1">"c3729"</definedName>
    <definedName name="IQ_PERCENT_CHANGE_EST_EPS_MONTH_REUT" hidden="1">"c3898"</definedName>
    <definedName name="IQ_PERCENT_CHANGE_EST_EPS_MONTH_THOM" hidden="1">"c5208"</definedName>
    <definedName name="IQ_PERCENT_CHANGE_EST_EPS_WEEK" hidden="1">"c1783"</definedName>
    <definedName name="IQ_PERCENT_CHANGE_EST_EPS_WEEK_CIQ" hidden="1">"c3728"</definedName>
    <definedName name="IQ_PERCENT_CHANGE_EST_EPS_WEEK_REUT" hidden="1">"c3897"</definedName>
    <definedName name="IQ_PERCENT_CHANGE_EST_EPS_WEEK_THOM" hidden="1">"c5207"</definedName>
    <definedName name="IQ_PERCENT_CHANGE_EST_FFO_12MONTHS" hidden="1">"c1828"</definedName>
    <definedName name="IQ_PERCENT_CHANGE_EST_FFO_12MONTHS_CIQ" hidden="1">"c3769"</definedName>
    <definedName name="IQ_PERCENT_CHANGE_EST_FFO_12MONTHS_REUT" hidden="1">"c3938"</definedName>
    <definedName name="IQ_PERCENT_CHANGE_EST_FFO_12MONTHS_THOM" hidden="1">"c5248"</definedName>
    <definedName name="IQ_PERCENT_CHANGE_EST_FFO_18MONTHS" hidden="1">"c1829"</definedName>
    <definedName name="IQ_PERCENT_CHANGE_EST_FFO_18MONTHS_CIQ" hidden="1">"c3770"</definedName>
    <definedName name="IQ_PERCENT_CHANGE_EST_FFO_18MONTHS_REUT" hidden="1">"c3939"</definedName>
    <definedName name="IQ_PERCENT_CHANGE_EST_FFO_18MONTHS_THOM" hidden="1">"c5249"</definedName>
    <definedName name="IQ_PERCENT_CHANGE_EST_FFO_3MONTHS" hidden="1">"c1825"</definedName>
    <definedName name="IQ_PERCENT_CHANGE_EST_FFO_3MONTHS_CIQ" hidden="1">"c3766"</definedName>
    <definedName name="IQ_PERCENT_CHANGE_EST_FFO_3MONTHS_REUT" hidden="1">"c3935"</definedName>
    <definedName name="IQ_PERCENT_CHANGE_EST_FFO_3MONTHS_THOM" hidden="1">"c5245"</definedName>
    <definedName name="IQ_PERCENT_CHANGE_EST_FFO_6MONTHS" hidden="1">"c1826"</definedName>
    <definedName name="IQ_PERCENT_CHANGE_EST_FFO_6MONTHS_CIQ" hidden="1">"c3767"</definedName>
    <definedName name="IQ_PERCENT_CHANGE_EST_FFO_6MONTHS_REUT" hidden="1">"c3936"</definedName>
    <definedName name="IQ_PERCENT_CHANGE_EST_FFO_6MONTHS_THOM" hidden="1">"c5246"</definedName>
    <definedName name="IQ_PERCENT_CHANGE_EST_FFO_9MONTHS" hidden="1">"c1827"</definedName>
    <definedName name="IQ_PERCENT_CHANGE_EST_FFO_9MONTHS_CIQ" hidden="1">"c3768"</definedName>
    <definedName name="IQ_PERCENT_CHANGE_EST_FFO_9MONTHS_REUT" hidden="1">"c3937"</definedName>
    <definedName name="IQ_PERCENT_CHANGE_EST_FFO_9MONTHS_THOM" hidden="1">"c5247"</definedName>
    <definedName name="IQ_PERCENT_CHANGE_EST_FFO_DAY" hidden="1">"c1822"</definedName>
    <definedName name="IQ_PERCENT_CHANGE_EST_FFO_DAY_CIQ" hidden="1">"c3764"</definedName>
    <definedName name="IQ_PERCENT_CHANGE_EST_FFO_DAY_REUT" hidden="1">"c3933"</definedName>
    <definedName name="IQ_PERCENT_CHANGE_EST_FFO_DAY_THOM" hidden="1">"c5243"</definedName>
    <definedName name="IQ_PERCENT_CHANGE_EST_FFO_MONTH" hidden="1">"c1824"</definedName>
    <definedName name="IQ_PERCENT_CHANGE_EST_FFO_MONTH_CIQ" hidden="1">"c3765"</definedName>
    <definedName name="IQ_PERCENT_CHANGE_EST_FFO_MONTH_REUT" hidden="1">"c3934"</definedName>
    <definedName name="IQ_PERCENT_CHANGE_EST_FFO_MONTH_THOM" hidden="1">"c5244"</definedName>
    <definedName name="IQ_PERCENT_CHANGE_EST_FFO_SHARE_12MONTHS" hidden="1">"c1828"</definedName>
    <definedName name="IQ_PERCENT_CHANGE_EST_FFO_SHARE_12MONTHS_THOM" hidden="1">"c5248"</definedName>
    <definedName name="IQ_PERCENT_CHANGE_EST_FFO_SHARE_18MONTHS" hidden="1">"c1829"</definedName>
    <definedName name="IQ_PERCENT_CHANGE_EST_FFO_SHARE_18MONTHS_THOM" hidden="1">"c5249"</definedName>
    <definedName name="IQ_PERCENT_CHANGE_EST_FFO_SHARE_3MONTHS" hidden="1">"c1825"</definedName>
    <definedName name="IQ_PERCENT_CHANGE_EST_FFO_SHARE_3MONTHS_THOM" hidden="1">"c5245"</definedName>
    <definedName name="IQ_PERCENT_CHANGE_EST_FFO_SHARE_6MONTHS" hidden="1">"c1826"</definedName>
    <definedName name="IQ_PERCENT_CHANGE_EST_FFO_SHARE_6MONTHS_THOM" hidden="1">"c5246"</definedName>
    <definedName name="IQ_PERCENT_CHANGE_EST_FFO_SHARE_9MONTHS" hidden="1">"c1827"</definedName>
    <definedName name="IQ_PERCENT_CHANGE_EST_FFO_SHARE_9MONTHS_THOM" hidden="1">"c5247"</definedName>
    <definedName name="IQ_PERCENT_CHANGE_EST_FFO_SHARE_DAY" hidden="1">"c1822"</definedName>
    <definedName name="IQ_PERCENT_CHANGE_EST_FFO_SHARE_DAY_THOM" hidden="1">"c5243"</definedName>
    <definedName name="IQ_PERCENT_CHANGE_EST_FFO_SHARE_MONTH" hidden="1">"c1824"</definedName>
    <definedName name="IQ_PERCENT_CHANGE_EST_FFO_SHARE_MONTH_THOM" hidden="1">"c5244"</definedName>
    <definedName name="IQ_PERCENT_CHANGE_EST_FFO_SHARE_SHARE_12MONTHS" hidden="1">"c1828"</definedName>
    <definedName name="IQ_PERCENT_CHANGE_EST_FFO_SHARE_SHARE_12MONTHS_REUT" hidden="1">"c3938"</definedName>
    <definedName name="IQ_PERCENT_CHANGE_EST_FFO_SHARE_SHARE_18MONTHS" hidden="1">"c1829"</definedName>
    <definedName name="IQ_PERCENT_CHANGE_EST_FFO_SHARE_SHARE_18MONTHS_REUT" hidden="1">"c3939"</definedName>
    <definedName name="IQ_PERCENT_CHANGE_EST_FFO_SHARE_SHARE_3MONTHS" hidden="1">"c1825"</definedName>
    <definedName name="IQ_PERCENT_CHANGE_EST_FFO_SHARE_SHARE_3MONTHS_REUT" hidden="1">"c3935"</definedName>
    <definedName name="IQ_PERCENT_CHANGE_EST_FFO_SHARE_SHARE_6MONTHS" hidden="1">"c1826"</definedName>
    <definedName name="IQ_PERCENT_CHANGE_EST_FFO_SHARE_SHARE_6MONTHS_REUT" hidden="1">"c3936"</definedName>
    <definedName name="IQ_PERCENT_CHANGE_EST_FFO_SHARE_SHARE_9MONTHS" hidden="1">"c1827"</definedName>
    <definedName name="IQ_PERCENT_CHANGE_EST_FFO_SHARE_SHARE_9MONTHS_REUT" hidden="1">"c3937"</definedName>
    <definedName name="IQ_PERCENT_CHANGE_EST_FFO_SHARE_SHARE_DAY" hidden="1">"c1822"</definedName>
    <definedName name="IQ_PERCENT_CHANGE_EST_FFO_SHARE_SHARE_DAY_REUT" hidden="1">"c3933"</definedName>
    <definedName name="IQ_PERCENT_CHANGE_EST_FFO_SHARE_SHARE_MONTH" hidden="1">"c1824"</definedName>
    <definedName name="IQ_PERCENT_CHANGE_EST_FFO_SHARE_SHARE_MONTH_REUT" hidden="1">"c3934"</definedName>
    <definedName name="IQ_PERCENT_CHANGE_EST_FFO_SHARE_SHARE_WEEK" hidden="1">"c1823"</definedName>
    <definedName name="IQ_PERCENT_CHANGE_EST_FFO_SHARE_SHARE_WEEK_REUT" hidden="1">"c3964"</definedName>
    <definedName name="IQ_PERCENT_CHANGE_EST_FFO_SHARE_WEEK" hidden="1">"c1823"</definedName>
    <definedName name="IQ_PERCENT_CHANGE_EST_FFO_SHARE_WEEK_THOM" hidden="1">"c5274"</definedName>
    <definedName name="IQ_PERCENT_CHANGE_EST_FFO_WEEK" hidden="1">"c1823"</definedName>
    <definedName name="IQ_PERCENT_CHANGE_EST_FFO_WEEK_CIQ" hidden="1">"c3795"</definedName>
    <definedName name="IQ_PERCENT_CHANGE_EST_FFO_WEEK_REUT" hidden="1">"c3964"</definedName>
    <definedName name="IQ_PERCENT_CHANGE_EST_FFO_WEEK_THOM" hidden="1">"c5274"</definedName>
    <definedName name="IQ_PERCENT_CHANGE_EST_PRICE_TARGET_12MONTHS" hidden="1">"c1844"</definedName>
    <definedName name="IQ_PERCENT_CHANGE_EST_PRICE_TARGET_12MONTHS_CIQ" hidden="1">"c3783"</definedName>
    <definedName name="IQ_PERCENT_CHANGE_EST_PRICE_TARGET_12MONTHS_REUT" hidden="1">"c3952"</definedName>
    <definedName name="IQ_PERCENT_CHANGE_EST_PRICE_TARGET_12MONTHS_THOM" hidden="1">"c5262"</definedName>
    <definedName name="IQ_PERCENT_CHANGE_EST_PRICE_TARGET_18MONTHS" hidden="1">"c1845"</definedName>
    <definedName name="IQ_PERCENT_CHANGE_EST_PRICE_TARGET_18MONTHS_CIQ" hidden="1">"c3784"</definedName>
    <definedName name="IQ_PERCENT_CHANGE_EST_PRICE_TARGET_18MONTHS_REUT" hidden="1">"c3953"</definedName>
    <definedName name="IQ_PERCENT_CHANGE_EST_PRICE_TARGET_18MONTHS_THOM" hidden="1">"c5263"</definedName>
    <definedName name="IQ_PERCENT_CHANGE_EST_PRICE_TARGET_3MONTHS" hidden="1">"c1841"</definedName>
    <definedName name="IQ_PERCENT_CHANGE_EST_PRICE_TARGET_3MONTHS_CIQ" hidden="1">"c3780"</definedName>
    <definedName name="IQ_PERCENT_CHANGE_EST_PRICE_TARGET_3MONTHS_REUT" hidden="1">"c3949"</definedName>
    <definedName name="IQ_PERCENT_CHANGE_EST_PRICE_TARGET_3MONTHS_THOM" hidden="1">"c5259"</definedName>
    <definedName name="IQ_PERCENT_CHANGE_EST_PRICE_TARGET_6MONTHS" hidden="1">"c1842"</definedName>
    <definedName name="IQ_PERCENT_CHANGE_EST_PRICE_TARGET_6MONTHS_CIQ" hidden="1">"c3781"</definedName>
    <definedName name="IQ_PERCENT_CHANGE_EST_PRICE_TARGET_6MONTHS_REUT" hidden="1">"c3950"</definedName>
    <definedName name="IQ_PERCENT_CHANGE_EST_PRICE_TARGET_6MONTHS_THOM" hidden="1">"c5260"</definedName>
    <definedName name="IQ_PERCENT_CHANGE_EST_PRICE_TARGET_9MONTHS" hidden="1">"c1843"</definedName>
    <definedName name="IQ_PERCENT_CHANGE_EST_PRICE_TARGET_9MONTHS_CIQ" hidden="1">"c3782"</definedName>
    <definedName name="IQ_PERCENT_CHANGE_EST_PRICE_TARGET_9MONTHS_REUT" hidden="1">"c3951"</definedName>
    <definedName name="IQ_PERCENT_CHANGE_EST_PRICE_TARGET_9MONTHS_THOM" hidden="1">"c5261"</definedName>
    <definedName name="IQ_PERCENT_CHANGE_EST_PRICE_TARGET_DAY" hidden="1">"c1838"</definedName>
    <definedName name="IQ_PERCENT_CHANGE_EST_PRICE_TARGET_DAY_CIQ" hidden="1">"c3778"</definedName>
    <definedName name="IQ_PERCENT_CHANGE_EST_PRICE_TARGET_DAY_REUT" hidden="1">"c3947"</definedName>
    <definedName name="IQ_PERCENT_CHANGE_EST_PRICE_TARGET_DAY_THOM" hidden="1">"c5257"</definedName>
    <definedName name="IQ_PERCENT_CHANGE_EST_PRICE_TARGET_MONTH" hidden="1">"c1840"</definedName>
    <definedName name="IQ_PERCENT_CHANGE_EST_PRICE_TARGET_MONTH_CIQ" hidden="1">"c3779"</definedName>
    <definedName name="IQ_PERCENT_CHANGE_EST_PRICE_TARGET_MONTH_REUT" hidden="1">"c3948"</definedName>
    <definedName name="IQ_PERCENT_CHANGE_EST_PRICE_TARGET_MONTH_THOM" hidden="1">"c5258"</definedName>
    <definedName name="IQ_PERCENT_CHANGE_EST_PRICE_TARGET_WEEK" hidden="1">"c1839"</definedName>
    <definedName name="IQ_PERCENT_CHANGE_EST_PRICE_TARGET_WEEK_CIQ" hidden="1">"c3798"</definedName>
    <definedName name="IQ_PERCENT_CHANGE_EST_PRICE_TARGET_WEEK_REUT" hidden="1">"c3967"</definedName>
    <definedName name="IQ_PERCENT_CHANGE_EST_PRICE_TARGET_WEEK_THOM" hidden="1">"c5276"</definedName>
    <definedName name="IQ_PERCENT_CHANGE_EST_RECO_12MONTHS" hidden="1">"c1836"</definedName>
    <definedName name="IQ_PERCENT_CHANGE_EST_RECO_12MONTHS_CIQ" hidden="1">"c3776"</definedName>
    <definedName name="IQ_PERCENT_CHANGE_EST_RECO_12MONTHS_REUT" hidden="1">"c3945"</definedName>
    <definedName name="IQ_PERCENT_CHANGE_EST_RECO_12MONTHS_THOM" hidden="1">"c5255"</definedName>
    <definedName name="IQ_PERCENT_CHANGE_EST_RECO_18MONTHS" hidden="1">"c1837"</definedName>
    <definedName name="IQ_PERCENT_CHANGE_EST_RECO_18MONTHS_CIQ" hidden="1">"c3777"</definedName>
    <definedName name="IQ_PERCENT_CHANGE_EST_RECO_18MONTHS_REUT" hidden="1">"c3946"</definedName>
    <definedName name="IQ_PERCENT_CHANGE_EST_RECO_18MONTHS_THOM" hidden="1">"c5256"</definedName>
    <definedName name="IQ_PERCENT_CHANGE_EST_RECO_3MONTHS" hidden="1">"c1833"</definedName>
    <definedName name="IQ_PERCENT_CHANGE_EST_RECO_3MONTHS_CIQ" hidden="1">"c3773"</definedName>
    <definedName name="IQ_PERCENT_CHANGE_EST_RECO_3MONTHS_REUT" hidden="1">"c3942"</definedName>
    <definedName name="IQ_PERCENT_CHANGE_EST_RECO_3MONTHS_THOM" hidden="1">"c5252"</definedName>
    <definedName name="IQ_PERCENT_CHANGE_EST_RECO_6MONTHS" hidden="1">"c1834"</definedName>
    <definedName name="IQ_PERCENT_CHANGE_EST_RECO_6MONTHS_CIQ" hidden="1">"c3774"</definedName>
    <definedName name="IQ_PERCENT_CHANGE_EST_RECO_6MONTHS_REUT" hidden="1">"c3943"</definedName>
    <definedName name="IQ_PERCENT_CHANGE_EST_RECO_6MONTHS_THOM" hidden="1">"c5253"</definedName>
    <definedName name="IQ_PERCENT_CHANGE_EST_RECO_9MONTHS" hidden="1">"c1835"</definedName>
    <definedName name="IQ_PERCENT_CHANGE_EST_RECO_9MONTHS_CIQ" hidden="1">"c3775"</definedName>
    <definedName name="IQ_PERCENT_CHANGE_EST_RECO_9MONTHS_REUT" hidden="1">"c3944"</definedName>
    <definedName name="IQ_PERCENT_CHANGE_EST_RECO_9MONTHS_THOM" hidden="1">"c5254"</definedName>
    <definedName name="IQ_PERCENT_CHANGE_EST_RECO_DAY" hidden="1">"c1830"</definedName>
    <definedName name="IQ_PERCENT_CHANGE_EST_RECO_DAY_CIQ" hidden="1">"c3771"</definedName>
    <definedName name="IQ_PERCENT_CHANGE_EST_RECO_DAY_REUT" hidden="1">"c3940"</definedName>
    <definedName name="IQ_PERCENT_CHANGE_EST_RECO_DAY_THOM" hidden="1">"c5250"</definedName>
    <definedName name="IQ_PERCENT_CHANGE_EST_RECO_MONTH" hidden="1">"c1832"</definedName>
    <definedName name="IQ_PERCENT_CHANGE_EST_RECO_MONTH_CIQ" hidden="1">"c3772"</definedName>
    <definedName name="IQ_PERCENT_CHANGE_EST_RECO_MONTH_REUT" hidden="1">"c3941"</definedName>
    <definedName name="IQ_PERCENT_CHANGE_EST_RECO_MONTH_THOM" hidden="1">"c5251"</definedName>
    <definedName name="IQ_PERCENT_CHANGE_EST_RECO_WEEK" hidden="1">"c1831"</definedName>
    <definedName name="IQ_PERCENT_CHANGE_EST_RECO_WEEK_CIQ" hidden="1">"c3796"</definedName>
    <definedName name="IQ_PERCENT_CHANGE_EST_RECO_WEEK_REUT" localSheetId="7" hidden="1">"c3966"</definedName>
    <definedName name="IQ_PERCENT_CHANGE_EST_RECO_WEEK_REUT" localSheetId="8" hidden="1">"c3966"</definedName>
    <definedName name="IQ_PERCENT_CHANGE_EST_RECO_WEEK_REUT" hidden="1">"c3965"</definedName>
    <definedName name="IQ_PERCENT_CHANGE_EST_RECO_WEEK_THOM" hidden="1">"c5275"</definedName>
    <definedName name="IQ_PERCENT_CHANGE_EST_REV_12MONTHS" hidden="1">"c1796"</definedName>
    <definedName name="IQ_PERCENT_CHANGE_EST_REV_12MONTHS_CIQ" hidden="1">"c3741"</definedName>
    <definedName name="IQ_PERCENT_CHANGE_EST_REV_12MONTHS_REUT" hidden="1">"c3910"</definedName>
    <definedName name="IQ_PERCENT_CHANGE_EST_REV_12MONTHS_THOM" hidden="1">"c5220"</definedName>
    <definedName name="IQ_PERCENT_CHANGE_EST_REV_18MONTHS" hidden="1">"c1797"</definedName>
    <definedName name="IQ_PERCENT_CHANGE_EST_REV_18MONTHS_CIQ" hidden="1">"c3742"</definedName>
    <definedName name="IQ_PERCENT_CHANGE_EST_REV_18MONTHS_REUT" hidden="1">"c3911"</definedName>
    <definedName name="IQ_PERCENT_CHANGE_EST_REV_18MONTHS_THOM" hidden="1">"c5221"</definedName>
    <definedName name="IQ_PERCENT_CHANGE_EST_REV_3MONTHS" hidden="1">"c1793"</definedName>
    <definedName name="IQ_PERCENT_CHANGE_EST_REV_3MONTHS_CIQ" hidden="1">"c3738"</definedName>
    <definedName name="IQ_PERCENT_CHANGE_EST_REV_3MONTHS_REUT" hidden="1">"c3907"</definedName>
    <definedName name="IQ_PERCENT_CHANGE_EST_REV_3MONTHS_THOM" hidden="1">"c5217"</definedName>
    <definedName name="IQ_PERCENT_CHANGE_EST_REV_6MONTHS" hidden="1">"c1794"</definedName>
    <definedName name="IQ_PERCENT_CHANGE_EST_REV_6MONTHS_CIQ" hidden="1">"c3739"</definedName>
    <definedName name="IQ_PERCENT_CHANGE_EST_REV_6MONTHS_REUT" hidden="1">"c3908"</definedName>
    <definedName name="IQ_PERCENT_CHANGE_EST_REV_6MONTHS_THOM" hidden="1">"c5218"</definedName>
    <definedName name="IQ_PERCENT_CHANGE_EST_REV_9MONTHS" hidden="1">"c1795"</definedName>
    <definedName name="IQ_PERCENT_CHANGE_EST_REV_9MONTHS_CIQ" hidden="1">"c3740"</definedName>
    <definedName name="IQ_PERCENT_CHANGE_EST_REV_9MONTHS_REUT" hidden="1">"c3909"</definedName>
    <definedName name="IQ_PERCENT_CHANGE_EST_REV_9MONTHS_THOM" hidden="1">"c5219"</definedName>
    <definedName name="IQ_PERCENT_CHANGE_EST_REV_DAY" hidden="1">"c1790"</definedName>
    <definedName name="IQ_PERCENT_CHANGE_EST_REV_DAY_CIQ" hidden="1">"c3735"</definedName>
    <definedName name="IQ_PERCENT_CHANGE_EST_REV_DAY_REUT" hidden="1">"c3904"</definedName>
    <definedName name="IQ_PERCENT_CHANGE_EST_REV_DAY_THOM" hidden="1">"c5214"</definedName>
    <definedName name="IQ_PERCENT_CHANGE_EST_REV_MONTH" hidden="1">"c1792"</definedName>
    <definedName name="IQ_PERCENT_CHANGE_EST_REV_MONTH_CIQ" hidden="1">"c3737"</definedName>
    <definedName name="IQ_PERCENT_CHANGE_EST_REV_MONTH_REUT" hidden="1">"c3906"</definedName>
    <definedName name="IQ_PERCENT_CHANGE_EST_REV_MONTH_THOM" hidden="1">"c5216"</definedName>
    <definedName name="IQ_PERCENT_CHANGE_EST_REV_WEEK" hidden="1">"c1791"</definedName>
    <definedName name="IQ_PERCENT_CHANGE_EST_REV_WEEK_CIQ" hidden="1">"c3736"</definedName>
    <definedName name="IQ_PERCENT_CHANGE_EST_REV_WEEK_REUT" hidden="1">"c3905"</definedName>
    <definedName name="IQ_PERCENT_CHANGE_EST_REV_WEEK_THOM" hidden="1">"c5215"</definedName>
    <definedName name="IQ_PERCENT_FLOAT" hidden="1">"c227"</definedName>
    <definedName name="IQ_PERCENT_INSURED_FDIC" hidden="1">"c6374"</definedName>
    <definedName name="IQ_PERCENTAGE_RENT" hidden="1">"c16018"</definedName>
    <definedName name="IQ_PERCENTAGE_RENT_RENTAL_REVENUE" hidden="1">"c16063"</definedName>
    <definedName name="IQ_PERFORMANCE_LOC_FOREIGN_GUARANTEES_FFIEC" hidden="1">"c13251"</definedName>
    <definedName name="IQ_PERIODDATE" localSheetId="7" hidden="1">"c1414"</definedName>
    <definedName name="IQ_PERIODDATE" localSheetId="8" hidden="1">"c1414"</definedName>
    <definedName name="IQ_PERIODDATE" hidden="1">"c1414"</definedName>
    <definedName name="IQ_PERIODDATE_AP" hidden="1">"c11745"</definedName>
    <definedName name="IQ_PERIODDATE_BS" hidden="1">"c1032"</definedName>
    <definedName name="IQ_PERIODDATE_CF" hidden="1">"c1033"</definedName>
    <definedName name="IQ_PERIODDATE_FDIC" hidden="1">"c13646"</definedName>
    <definedName name="IQ_PERIODDATE_FFIEC" hidden="1">"c13645"</definedName>
    <definedName name="IQ_PERIODDATE_IS" hidden="1">"c1034"</definedName>
    <definedName name="IQ_PERIODDATE_THRIFT" hidden="1">"c25897"</definedName>
    <definedName name="IQ_PERIODLENGTH_AP" hidden="1">"c11746"</definedName>
    <definedName name="IQ_PERIODLENGTH_CF" hidden="1">"c1502"</definedName>
    <definedName name="IQ_PERIODLENGTH_IS" hidden="1">"c1503"</definedName>
    <definedName name="IQ_PERMANENT_1_4_DWELLING_UNITS_ALL_OTHER_SECURED_FIRST_LIENS_THRIFT" hidden="1">"c24844"</definedName>
    <definedName name="IQ_PERMANENT_1_4_DWELLING_UNITS_ALL_OTHER_SECURED_JUNIOR_LIENS_THRIFT" hidden="1">"c24845"</definedName>
    <definedName name="IQ_PERMANENT_1_4_DWELLING_UNITS_REVOLVING_OPEN_END_LOANS_THRIFT" hidden="1">"c24843"</definedName>
    <definedName name="IQ_PERMANENT_LAND_THRIFT" hidden="1">"c24848"</definedName>
    <definedName name="IQ_PERMANENT_LOANS_SECURED_1_4_DWELLING_UNITS_FORECLOSED_DURING_QUARTER_THRIFT" hidden="1">"c25232"</definedName>
    <definedName name="IQ_PERMANENT_LOANS_SECURED_LAND_FORECLOSED_DURING_QUARTER_THRIFT" hidden="1">"c25235"</definedName>
    <definedName name="IQ_PERMANENT_LOANS_SECURED_MULTIFAMILY_5_MORE_DWELLING_UNITS_FORECLOSED_DURING_QUARTER_THRIFT" hidden="1">"c25233"</definedName>
    <definedName name="IQ_PERMANENT_LOANS_SECURED_NONRES_EXCEPT_LAND_FORECLOSED_DURING_QUARTER_THRIFT" hidden="1">"c25234"</definedName>
    <definedName name="IQ_PERMANENT_MORTGAGE_LOANS_THRIFT" hidden="1">"c24842"</definedName>
    <definedName name="IQ_PERMANENT_MULTIFAMILY_5_MORE_DWELLING_UNITS_THRIFT" hidden="1">"c24846"</definedName>
    <definedName name="IQ_PERMANENT_NONRES_PROPERTY_EXCEPT_LAND_THRIFT" hidden="1">"c24847"</definedName>
    <definedName name="IQ_PERPETUAL_PREF_STOCK_THRIFT" hidden="1">"c24914"</definedName>
    <definedName name="IQ_PERSON_INCOME" hidden="1">"c20954"</definedName>
    <definedName name="IQ_PERSONAL_CONSUMER_SPENDING_DURABLE" hidden="1">"c6942"</definedName>
    <definedName name="IQ_PERSONAL_CONSUMER_SPENDING_DURABLE_APR" hidden="1">"c7602"</definedName>
    <definedName name="IQ_PERSONAL_CONSUMER_SPENDING_DURABLE_APR_FC" hidden="1">"c8482"</definedName>
    <definedName name="IQ_PERSONAL_CONSUMER_SPENDING_DURABLE_FC" hidden="1">"c7822"</definedName>
    <definedName name="IQ_PERSONAL_CONSUMER_SPENDING_DURABLE_POP" hidden="1">"c7162"</definedName>
    <definedName name="IQ_PERSONAL_CONSUMER_SPENDING_DURABLE_POP_FC" hidden="1">"c8042"</definedName>
    <definedName name="IQ_PERSONAL_CONSUMER_SPENDING_DURABLE_YOY" hidden="1">"c7382"</definedName>
    <definedName name="IQ_PERSONAL_CONSUMER_SPENDING_DURABLE_YOY_FC" hidden="1">"c8262"</definedName>
    <definedName name="IQ_PERSONAL_CONSUMER_SPENDING_NONDURABLE" hidden="1">"c6940"</definedName>
    <definedName name="IQ_PERSONAL_CONSUMER_SPENDING_NONDURABLE_APR" hidden="1">"c7600"</definedName>
    <definedName name="IQ_PERSONAL_CONSUMER_SPENDING_NONDURABLE_APR_FC" hidden="1">"c8480"</definedName>
    <definedName name="IQ_PERSONAL_CONSUMER_SPENDING_NONDURABLE_FC" hidden="1">"c7820"</definedName>
    <definedName name="IQ_PERSONAL_CONSUMER_SPENDING_NONDURABLE_POP" hidden="1">"c7160"</definedName>
    <definedName name="IQ_PERSONAL_CONSUMER_SPENDING_NONDURABLE_POP_FC" hidden="1">"c8040"</definedName>
    <definedName name="IQ_PERSONAL_CONSUMER_SPENDING_NONDURABLE_YOY" hidden="1">"c7380"</definedName>
    <definedName name="IQ_PERSONAL_CONSUMER_SPENDING_NONDURABLE_YOY_FC" hidden="1">"c8260"</definedName>
    <definedName name="IQ_PERSONAL_CONSUMER_SPENDING_REAL" hidden="1">"c6994"</definedName>
    <definedName name="IQ_PERSONAL_CONSUMER_SPENDING_REAL_APR" hidden="1">"c7654"</definedName>
    <definedName name="IQ_PERSONAL_CONSUMER_SPENDING_REAL_APR_FC" hidden="1">"c8534"</definedName>
    <definedName name="IQ_PERSONAL_CONSUMER_SPENDING_REAL_FC" hidden="1">"c7874"</definedName>
    <definedName name="IQ_PERSONAL_CONSUMER_SPENDING_REAL_POP" hidden="1">"c7214"</definedName>
    <definedName name="IQ_PERSONAL_CONSUMER_SPENDING_REAL_POP_FC" hidden="1">"c8094"</definedName>
    <definedName name="IQ_PERSONAL_CONSUMER_SPENDING_REAL_YOY" hidden="1">"c7434"</definedName>
    <definedName name="IQ_PERSONAL_CONSUMER_SPENDING_REAL_YOY_FC" hidden="1">"c8314"</definedName>
    <definedName name="IQ_PERSONAL_CONSUMER_SPENDING_SERVICES" hidden="1">"c6941"</definedName>
    <definedName name="IQ_PERSONAL_CONSUMER_SPENDING_SERVICES_APR" hidden="1">"c7601"</definedName>
    <definedName name="IQ_PERSONAL_CONSUMER_SPENDING_SERVICES_APR_FC" hidden="1">"c8481"</definedName>
    <definedName name="IQ_PERSONAL_CONSUMER_SPENDING_SERVICES_FC" hidden="1">"c7821"</definedName>
    <definedName name="IQ_PERSONAL_CONSUMER_SPENDING_SERVICES_POP" hidden="1">"c7161"</definedName>
    <definedName name="IQ_PERSONAL_CONSUMER_SPENDING_SERVICES_POP_FC" hidden="1">"c8041"</definedName>
    <definedName name="IQ_PERSONAL_CONSUMER_SPENDING_SERVICES_YOY" hidden="1">"c7381"</definedName>
    <definedName name="IQ_PERSONAL_CONSUMER_SPENDING_SERVICES_YOY_FC" hidden="1">"c8261"</definedName>
    <definedName name="IQ_PERSONAL_CURRENT_TAXES" hidden="1">"c20956"</definedName>
    <definedName name="IQ_PERSONAL_DISPOSABLE_INCOME" hidden="1">"c20957"</definedName>
    <definedName name="IQ_PERSONAL_INCOME" hidden="1">"c6943"</definedName>
    <definedName name="IQ_PERSONAL_INCOME_APR" hidden="1">"c7603"</definedName>
    <definedName name="IQ_PERSONAL_INCOME_APR_FC" hidden="1">"c8483"</definedName>
    <definedName name="IQ_PERSONAL_INCOME_ASSETS" hidden="1">"c20958"</definedName>
    <definedName name="IQ_PERSONAL_INCOME_ASSETS_DIVIDEND" hidden="1">"c20959"</definedName>
    <definedName name="IQ_PERSONAL_INCOME_ASSETS_INTEREST" hidden="1">"c20960"</definedName>
    <definedName name="IQ_PERSONAL_INCOME_CHAINED_DOLLARS" hidden="1">"c20961"</definedName>
    <definedName name="IQ_PERSONAL_INCOME_COMPENSATION" hidden="1">"c20962"</definedName>
    <definedName name="IQ_PERSONAL_INCOME_EMPLOYER_GOVT_INSURANCE_CONTRIBUTION" hidden="1">"c20963"</definedName>
    <definedName name="IQ_PERSONAL_INCOME_EMPLOYER_PENSION_CONTRIBUTION" hidden="1">"c20964"</definedName>
    <definedName name="IQ_PERSONAL_INCOME_EX_TRANSFER_RECEIPTS" hidden="1">"c20965"</definedName>
    <definedName name="IQ_PERSONAL_INCOME_FC" hidden="1">"c7823"</definedName>
    <definedName name="IQ_PERSONAL_INCOME_GOVT_CONTRIBUTION_SOCIAL_INS" hidden="1">"c20966"</definedName>
    <definedName name="IQ_PERSONAL_INCOME_GOVT_SOCIAL_BENEFITS" hidden="1">"c20967"</definedName>
    <definedName name="IQ_PERSONAL_INCOME_GOVT_SOCIAL_BENEFITS_FAMILY" hidden="1">"c20968"</definedName>
    <definedName name="IQ_PERSONAL_INCOME_GOVT_SOCIAL_BENEFITS_OTHER" hidden="1">"c20969"</definedName>
    <definedName name="IQ_PERSONAL_INCOME_GOVT_SOCIAL_BENEFITS_UNEMPLOYMENT" hidden="1">"c20970"</definedName>
    <definedName name="IQ_PERSONAL_INCOME_GOVT_SOCIAL_BENEFITS_VETERANS" hidden="1">"c20971"</definedName>
    <definedName name="IQ_PERSONAL_INCOME_GOVT_SOCIAL_BENEFITS_WELFARE" hidden="1">"c20972"</definedName>
    <definedName name="IQ_PERSONAL_INCOME_PCT_CHANGE" hidden="1">"c20973"</definedName>
    <definedName name="IQ_PERSONAL_INCOME_PCT_CHANGE_CHAINED_DOLLARS" hidden="1">"c20974"</definedName>
    <definedName name="IQ_PERSONAL_INCOME_PER_CAPITA" hidden="1">"c20975"</definedName>
    <definedName name="IQ_PERSONAL_INCOME_PER_CAPITA_CHAINED_DOLLARS" hidden="1">"c20976"</definedName>
    <definedName name="IQ_PERSONAL_INCOME_POP" hidden="1">"c7163"</definedName>
    <definedName name="IQ_PERSONAL_INCOME_POP_FC" hidden="1">"c8043"</definedName>
    <definedName name="IQ_PERSONAL_INCOME_PROPIETOR" hidden="1">"c20977"</definedName>
    <definedName name="IQ_PERSONAL_INCOME_PROPIETOR_FARM" hidden="1">"c20978"</definedName>
    <definedName name="IQ_PERSONAL_INCOME_PROPIETOR_NONFARM" hidden="1">"c20979"</definedName>
    <definedName name="IQ_PERSONAL_INCOME_RENTAL" hidden="1">"c20980"</definedName>
    <definedName name="IQ_PERSONAL_INCOME_SAAR" hidden="1">"c6944"</definedName>
    <definedName name="IQ_PERSONAL_INCOME_SAAR_APR" hidden="1">"c7604"</definedName>
    <definedName name="IQ_PERSONAL_INCOME_SAAR_APR_FC" hidden="1">"c8484"</definedName>
    <definedName name="IQ_PERSONAL_INCOME_SAAR_FC" hidden="1">"c7824"</definedName>
    <definedName name="IQ_PERSONAL_INCOME_SAAR_POP" hidden="1">"c7164"</definedName>
    <definedName name="IQ_PERSONAL_INCOME_SAAR_POP_FC" hidden="1">"c8044"</definedName>
    <definedName name="IQ_PERSONAL_INCOME_SAAR_YOY" hidden="1">"c7384"</definedName>
    <definedName name="IQ_PERSONAL_INCOME_SAAR_YOY_FC" hidden="1">"c8264"</definedName>
    <definedName name="IQ_PERSONAL_INCOME_TRANSFER_RECEIPTS" hidden="1">"c20981"</definedName>
    <definedName name="IQ_PERSONAL_INCOME_TRANSFER_RECEIPTS_OTHER" hidden="1">"c20982"</definedName>
    <definedName name="IQ_PERSONAL_INCOME_USD_APR_FC" hidden="1">"c11885"</definedName>
    <definedName name="IQ_PERSONAL_INCOME_USD_FC" hidden="1">"c11882"</definedName>
    <definedName name="IQ_PERSONAL_INCOME_USD_POP_FC" hidden="1">"c11883"</definedName>
    <definedName name="IQ_PERSONAL_INCOME_USD_YOY_FC" hidden="1">"c11884"</definedName>
    <definedName name="IQ_PERSONAL_INCOME_WAGE_SUPPLEMENTS" hidden="1">"c20983"</definedName>
    <definedName name="IQ_PERSONAL_INCOME_WAGES" hidden="1">"c20984"</definedName>
    <definedName name="IQ_PERSONAL_INCOME_WAGES_GOVT" hidden="1">"c20985"</definedName>
    <definedName name="IQ_PERSONAL_INCOME_WAGES_PRIVATE_INDUSTRY" hidden="1">"c20986"</definedName>
    <definedName name="IQ_PERSONAL_INCOME_YOY" hidden="1">"c7383"</definedName>
    <definedName name="IQ_PERSONAL_INCOME_YOY_FC" hidden="1">"c8263"</definedName>
    <definedName name="IQ_PERSONAL_INTEREST_PAYMENTS" hidden="1">"c20987"</definedName>
    <definedName name="IQ_PERSONAL_OUTLAYS" hidden="1">"c20988"</definedName>
    <definedName name="IQ_PERSONAL_SAVINGS" hidden="1">"c20989"</definedName>
    <definedName name="IQ_PERSONAL_SAVINGS_PCT_INCOME" hidden="1">"c20990"</definedName>
    <definedName name="IQ_PERSONAL_TRANSFER_PAYMENTS" hidden="1">"c20991"</definedName>
    <definedName name="IQ_PERSONAL_TRANSFER_PAYMENTS_GOVT" hidden="1">"c20992"</definedName>
    <definedName name="IQ_PERSONAL_TRANSFER_PAYMENTS_WORLD" hidden="1">"c20993"</definedName>
    <definedName name="IQ_PERSONAL_TRUST_AGENCY_ACCOUNTS_GROSS_LOSSES_MANAGED_ACCOUNTS_THRIFT" hidden="1">"c25461"</definedName>
    <definedName name="IQ_PERSONAL_TRUST_AGENCY_ACCOUNTS_GROSS_LOSSES_NONMANAGED_ACCOUNTS_THRIFT" hidden="1">"c25466"</definedName>
    <definedName name="IQ_PERSONAL_TRUST_AGENCY_ACCOUNTS_INC_THRIFT" hidden="1">"c24801"</definedName>
    <definedName name="IQ_PERSONAL_TRUST_AGENCY_ACCOUNTS_MANAGED_ASSETS_THRIFT" hidden="1">"c25347"</definedName>
    <definedName name="IQ_PERSONAL_TRUST_AGENCY_ACCOUNTS_NONMANAGED_ASSETS_THRIFT" hidden="1">"c25368"</definedName>
    <definedName name="IQ_PERSONAL_TRUST_AGENCY_ACCOUNTS_NUMBER_MANAGED_ACCOUNTS_THRIFT" hidden="1">"c25358"</definedName>
    <definedName name="IQ_PERSONAL_TRUST_AGENCY_ACCOUNTS_NUMBER_NONMANAGED_ACCOUNTS_THRIFT" hidden="1">"c25380"</definedName>
    <definedName name="IQ_PERSONAL_TRUST_AGENCY_ACCOUNTS_RECOVERIES_THRIFT" hidden="1">"c25471"</definedName>
    <definedName name="IQ_PERSONNEL_EXP_ADJUSTED_OPERATING_INCOME_THRIFT" hidden="1">"c25685"</definedName>
    <definedName name="IQ_PERSONNEL_EXP_AVG_ASSETS_FFIEC" hidden="1">"c13371"</definedName>
    <definedName name="IQ_PERSONNEL_EXP_AVG_ASSETS_THRIFT" hidden="1">"c25662"</definedName>
    <definedName name="IQ_PERSONNEL_EXP_OPERATING_INC_FFIEC" hidden="1">"c13379"</definedName>
    <definedName name="IQ_PERTYPE" hidden="1">"c1611"</definedName>
    <definedName name="IQ_PHARMBIO_NUMBER_LICENSED_PATENT_APP" hidden="1">"c10018"</definedName>
    <definedName name="IQ_PHARMBIO_NUMBER_LICENSED_PATENTS" hidden="1">"c10017"</definedName>
    <definedName name="IQ_PHARMBIO_NUMBER_PATENTS" hidden="1">"c10015"</definedName>
    <definedName name="IQ_PHARMBIO_NUMBER_PROD__APPROVED_DURING_PERIOD" hidden="1">"c12750"</definedName>
    <definedName name="IQ_PHARMBIO_NUMBER_PROD__CLINICAL_DEV" hidden="1">"c12745"</definedName>
    <definedName name="IQ_PHARMBIO_NUMBER_PROD__LAUNCHED_DURING_PERIOD" hidden="1">"c12751"</definedName>
    <definedName name="IQ_PHARMBIO_NUMBER_PROD__PHASE_I" hidden="1">"c12746"</definedName>
    <definedName name="IQ_PHARMBIO_NUMBER_PROD__PHASE_II" hidden="1">"c12747"</definedName>
    <definedName name="IQ_PHARMBIO_NUMBER_PROD__PHASE_III" hidden="1">"c12748"</definedName>
    <definedName name="IQ_PHARMBIO_NUMBER_PROD__PRE_CLINICAL_TRIALS" hidden="1">"c12744"</definedName>
    <definedName name="IQ_PHARMBIO_NUMBER_PROD__PRE_REGISTRATION" hidden="1">"c12749"</definedName>
    <definedName name="IQ_PHARMBIO_NUMBER_PROD__RESEARCH_DEV" hidden="1">"c12743"</definedName>
    <definedName name="IQ_PHARMBIO_NUMBER_PROD_APPROVED_DURING_PERIOD" hidden="1">"c10027"</definedName>
    <definedName name="IQ_PHARMBIO_NUMBER_PROD_CLINICAL_DEV" hidden="1">"c10022"</definedName>
    <definedName name="IQ_PHARMBIO_NUMBER_PROD_DISCOVERY_RESEARCH" hidden="1">"c10019"</definedName>
    <definedName name="IQ_PHARMBIO_NUMBER_PROD_LAUNCHED_DURING_PERIOD" hidden="1">"c10028"</definedName>
    <definedName name="IQ_PHARMBIO_NUMBER_PROD_PHASE_I" hidden="1">"c10023"</definedName>
    <definedName name="IQ_PHARMBIO_NUMBER_PROD_PHASE_II" hidden="1">"c10024"</definedName>
    <definedName name="IQ_PHARMBIO_NUMBER_PROD_PHASE_III" hidden="1">"c10025"</definedName>
    <definedName name="IQ_PHARMBIO_NUMBER_PROD_PRE_CLINICAL_TRIALS" hidden="1">"c10021"</definedName>
    <definedName name="IQ_PHARMBIO_NUMBER_PROD_PRE_REGISTRATION" hidden="1">"c10026"</definedName>
    <definedName name="IQ_PHARMBIO_NUMBER_PROD_RESEARCH_DEV" hidden="1">"c10020"</definedName>
    <definedName name="IQ_PHARMBIO_PATENT_APP" hidden="1">"c10016"</definedName>
    <definedName name="IQ_PHILADELPHIA_FED_DIFFUSION_INDEX" hidden="1">"c6945"</definedName>
    <definedName name="IQ_PHILADELPHIA_FED_DIFFUSION_INDEX_APR" hidden="1">"c7605"</definedName>
    <definedName name="IQ_PHILADELPHIA_FED_DIFFUSION_INDEX_APR_FC" hidden="1">"c8485"</definedName>
    <definedName name="IQ_PHILADELPHIA_FED_DIFFUSION_INDEX_FC" hidden="1">"c7825"</definedName>
    <definedName name="IQ_PHILADELPHIA_FED_DIFFUSION_INDEX_POP" hidden="1">"c7165"</definedName>
    <definedName name="IQ_PHILADELPHIA_FED_DIFFUSION_INDEX_POP_FC" hidden="1">"c8045"</definedName>
    <definedName name="IQ_PHILADELPHIA_FED_DIFFUSION_INDEX_YOY" hidden="1">"c7385"</definedName>
    <definedName name="IQ_PHILADELPHIA_FED_DIFFUSION_INDEX_YOY_FC" hidden="1">"c8265"</definedName>
    <definedName name="IQ_PLEDGED_LOANS_THRIFT" hidden="1">"c24936"</definedName>
    <definedName name="IQ_PLEDGED_SEC_INVEST_SECURITIES_FFIEC" hidden="1">"c13467"</definedName>
    <definedName name="IQ_PLEDGED_SECURITIES_FDIC" hidden="1">"c6401"</definedName>
    <definedName name="IQ_PLEDGED_SECURITIES_FFIEC" hidden="1">"c24743"</definedName>
    <definedName name="IQ_PLEDGED_TRADING_ASSETS_THRIFT" hidden="1">"c24937"</definedName>
    <definedName name="IQ_PLL" hidden="1">"c2114"</definedName>
    <definedName name="IQ_PMAC_DIFFUSION_INDEX" hidden="1">"c6946"</definedName>
    <definedName name="IQ_PMAC_DIFFUSION_INDEX_APR" hidden="1">"c7606"</definedName>
    <definedName name="IQ_PMAC_DIFFUSION_INDEX_APR_FC" hidden="1">"c8486"</definedName>
    <definedName name="IQ_PMAC_DIFFUSION_INDEX_FC" hidden="1">"c7826"</definedName>
    <definedName name="IQ_PMAC_DIFFUSION_INDEX_POP" hidden="1">"c7166"</definedName>
    <definedName name="IQ_PMAC_DIFFUSION_INDEX_POP_FC" hidden="1">"c8046"</definedName>
    <definedName name="IQ_PMAC_DIFFUSION_INDEX_YOY" hidden="1">"c7386"</definedName>
    <definedName name="IQ_PMAC_DIFFUSION_INDEX_YOY_FC" hidden="1">"c8266"</definedName>
    <definedName name="IQ_PML_SECURED_LAND_DUE_30_89_THRIFT" hidden="1">"c25246"</definedName>
    <definedName name="IQ_PML_SECURED_LAND_DUE_90_THRIFT" hidden="1">"c25267"</definedName>
    <definedName name="IQ_PML_SECURED_LAND_NON_ACCRUAL_THRIFT" hidden="1">"c25288"</definedName>
    <definedName name="IQ_PML_SECURED_MULTIFAMILY_5_MORE_DWELLING_UNITS_DUE_30_89_THRIFT" hidden="1">"c25244"</definedName>
    <definedName name="IQ_PML_SECURED_MULTIFAMILY_5_MORE_DWELLING_UNITS_DUE_90_THRIFT" hidden="1">"c25265"</definedName>
    <definedName name="IQ_PML_SECURED_MULTIFAMILY_5_MORE_DWELLING_UNITS_NON_ACCRUAL_THRIFT" hidden="1">"c25286"</definedName>
    <definedName name="IQ_PML_SECURED_NONRES_PROPERTY_EXCEPT_LAND_DUE_30_89_THRIFT" hidden="1">"c25245"</definedName>
    <definedName name="IQ_PML_SECURED_NONRES_PROPERTY_EXCEPT_LAND_DUE_90_THRIFT" hidden="1">"c25266"</definedName>
    <definedName name="IQ_PML_SECURED_NONRES_PROPERTY_EXCEPT_LAND_NON_ACCRUAL_THRIFT" hidden="1">"c25287"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LICYHOLDER_BENEFITS_LH_FFIEC" hidden="1">"c13107"</definedName>
    <definedName name="IQ_POOL_AMT_ORIGINAL" hidden="1">"c8970"</definedName>
    <definedName name="IQ_POOL_NAME" hidden="1">"c8967"</definedName>
    <definedName name="IQ_POOL_NUMBER" hidden="1">"c8968"</definedName>
    <definedName name="IQ_POOL_TYPE" hidden="1">"c8969"</definedName>
    <definedName name="IQ_POPULATION" hidden="1">"c20994"</definedName>
    <definedName name="IQ_POPULATION_FC" hidden="1">"c20995"</definedName>
    <definedName name="IQ_PORTFOLIO_INVESTMENT_NET" hidden="1">"c20996"</definedName>
    <definedName name="IQ_PORTFOLIO_SHARES" hidden="1">"c19116"</definedName>
    <definedName name="IQ_POSITIVE_FAIR_VALUE_DERIVATIVES_BENEFICIARY_FFIEC" hidden="1">"c13123"</definedName>
    <definedName name="IQ_POSITIVE_FAIR_VALUE_DERIVATIVES_GUARANTOR_FFIEC" hidden="1">"c13116"</definedName>
    <definedName name="IQ_POST_RETIRE_EXP" hidden="1">"c1039"</definedName>
    <definedName name="IQ_POSTAGE_FFIEC" hidden="1">"c13051"</definedName>
    <definedName name="IQ_POSTPAID_CHURN" hidden="1">"c2121"</definedName>
    <definedName name="IQ_POSTPAID_SUBS" hidden="1">"c2118"</definedName>
    <definedName name="IQ_POTENTIAL_UPSIDE" hidden="1">"c1855"</definedName>
    <definedName name="IQ_POTENTIAL_UPSIDE_CIQ" hidden="1">"c3799"</definedName>
    <definedName name="IQ_POTENTIAL_UPSIDE_REUT" hidden="1">"c3968"</definedName>
    <definedName name="IQ_POTENTIAL_UPSIDE_THOM" hidden="1">"c5279"</definedName>
    <definedName name="IQ_PP_ATTRIB_ORE_RESERVES_ALUM" hidden="1">"c9218"</definedName>
    <definedName name="IQ_PP_ATTRIB_ORE_RESERVES_COP" hidden="1">"c9162"</definedName>
    <definedName name="IQ_PP_ATTRIB_ORE_RESERVES_DIAM" hidden="1">"c9642"</definedName>
    <definedName name="IQ_PP_ATTRIB_ORE_RESERVES_GOLD" hidden="1">"c9003"</definedName>
    <definedName name="IQ_PP_ATTRIB_ORE_RESERVES_IRON" hidden="1">"c9377"</definedName>
    <definedName name="IQ_PP_ATTRIB_ORE_RESERVES_LEAD" hidden="1">"c9430"</definedName>
    <definedName name="IQ_PP_ATTRIB_ORE_RESERVES_MANG" hidden="1">"c9483"</definedName>
    <definedName name="IQ_PP_ATTRIB_ORE_RESERVES_MOLYB" hidden="1">"c9695"</definedName>
    <definedName name="IQ_PP_ATTRIB_ORE_RESERVES_NICK" hidden="1">"c9271"</definedName>
    <definedName name="IQ_PP_ATTRIB_ORE_RESERVES_PLAT" hidden="1">"c9109"</definedName>
    <definedName name="IQ_PP_ATTRIB_ORE_RESERVES_SILVER" hidden="1">"c9056"</definedName>
    <definedName name="IQ_PP_ATTRIB_ORE_RESERVES_TITAN" hidden="1">"c9536"</definedName>
    <definedName name="IQ_PP_ATTRIB_ORE_RESERVES_URAN" hidden="1">"c9589"</definedName>
    <definedName name="IQ_PP_ATTRIB_ORE_RESERVES_ZINC" hidden="1">"c9324"</definedName>
    <definedName name="IQ_PP_ORE_RESERVES_ALUM" hidden="1">"c9211"</definedName>
    <definedName name="IQ_PP_ORE_RESERVES_COP" hidden="1">"c9155"</definedName>
    <definedName name="IQ_PP_ORE_RESERVES_DIAM" hidden="1">"c9635"</definedName>
    <definedName name="IQ_PP_ORE_RESERVES_GOLD" hidden="1">"c8996"</definedName>
    <definedName name="IQ_PP_ORE_RESERVES_IRON" hidden="1">"c9370"</definedName>
    <definedName name="IQ_PP_ORE_RESERVES_LEAD" hidden="1">"c9423"</definedName>
    <definedName name="IQ_PP_ORE_RESERVES_MANG" hidden="1">"c9476"</definedName>
    <definedName name="IQ_PP_ORE_RESERVES_MOLYB" hidden="1">"c9688"</definedName>
    <definedName name="IQ_PP_ORE_RESERVES_NICK" hidden="1">"c9264"</definedName>
    <definedName name="IQ_PP_ORE_RESERVES_PLAT" hidden="1">"c9102"</definedName>
    <definedName name="IQ_PP_ORE_RESERVES_SILVER" hidden="1">"c9049"</definedName>
    <definedName name="IQ_PP_ORE_RESERVES_TITAN" hidden="1">"c9529"</definedName>
    <definedName name="IQ_PP_ORE_RESERVES_URAN" hidden="1">"c9582"</definedName>
    <definedName name="IQ_PP_ORE_RESERVES_ZINC" hidden="1">"c9317"</definedName>
    <definedName name="IQ_PP_RECOV_ATTRIB_RESERVES_ALUM" hidden="1">"c9221"</definedName>
    <definedName name="IQ_PP_RECOV_ATTRIB_RESERVES_COAL" hidden="1">"c9805"</definedName>
    <definedName name="IQ_PP_RECOV_ATTRIB_RESERVES_COP" hidden="1">"c9165"</definedName>
    <definedName name="IQ_PP_RECOV_ATTRIB_RESERVES_DIAM" hidden="1">"c9645"</definedName>
    <definedName name="IQ_PP_RECOV_ATTRIB_RESERVES_GOLD" hidden="1">"c9006"</definedName>
    <definedName name="IQ_PP_RECOV_ATTRIB_RESERVES_IRON" hidden="1">"c9380"</definedName>
    <definedName name="IQ_PP_RECOV_ATTRIB_RESERVES_LEAD" hidden="1">"c9433"</definedName>
    <definedName name="IQ_PP_RECOV_ATTRIB_RESERVES_MANG" hidden="1">"c9486"</definedName>
    <definedName name="IQ_PP_RECOV_ATTRIB_RESERVES_MET_COAL" hidden="1">"c9745"</definedName>
    <definedName name="IQ_PP_RECOV_ATTRIB_RESERVES_MOLYB" hidden="1">"c9698"</definedName>
    <definedName name="IQ_PP_RECOV_ATTRIB_RESERVES_NICK" hidden="1">"c9274"</definedName>
    <definedName name="IQ_PP_RECOV_ATTRIB_RESERVES_PLAT" hidden="1">"c9112"</definedName>
    <definedName name="IQ_PP_RECOV_ATTRIB_RESERVES_SILVER" hidden="1">"c9059"</definedName>
    <definedName name="IQ_PP_RECOV_ATTRIB_RESERVES_STEAM" hidden="1">"c9775"</definedName>
    <definedName name="IQ_PP_RECOV_ATTRIB_RESERVES_TITAN" hidden="1">"c9539"</definedName>
    <definedName name="IQ_PP_RECOV_ATTRIB_RESERVES_URAN" hidden="1">"c9592"</definedName>
    <definedName name="IQ_PP_RECOV_ATTRIB_RESERVES_ZINC" hidden="1">"c9327"</definedName>
    <definedName name="IQ_PP_RECOV_RESERVES_ALUM" hidden="1">"c9215"</definedName>
    <definedName name="IQ_PP_RECOV_RESERVES_COAL" hidden="1">"c9802"</definedName>
    <definedName name="IQ_PP_RECOV_RESERVES_COP" hidden="1">"c9159"</definedName>
    <definedName name="IQ_PP_RECOV_RESERVES_DIAM" hidden="1">"c9639"</definedName>
    <definedName name="IQ_PP_RECOV_RESERVES_GOLD" hidden="1">"c9000"</definedName>
    <definedName name="IQ_PP_RECOV_RESERVES_IRON" hidden="1">"c9374"</definedName>
    <definedName name="IQ_PP_RECOV_RESERVES_LEAD" hidden="1">"c9427"</definedName>
    <definedName name="IQ_PP_RECOV_RESERVES_MANG" hidden="1">"c9480"</definedName>
    <definedName name="IQ_PP_RECOV_RESERVES_MET_COAL" hidden="1">"c9742"</definedName>
    <definedName name="IQ_PP_RECOV_RESERVES_MOLYB" hidden="1">"c9692"</definedName>
    <definedName name="IQ_PP_RECOV_RESERVES_NICK" hidden="1">"c9268"</definedName>
    <definedName name="IQ_PP_RECOV_RESERVES_PLAT" hidden="1">"c9106"</definedName>
    <definedName name="IQ_PP_RECOV_RESERVES_SILVER" hidden="1">"c9053"</definedName>
    <definedName name="IQ_PP_RECOV_RESERVES_STEAM" hidden="1">"c9772"</definedName>
    <definedName name="IQ_PP_RECOV_RESERVES_TITAN" hidden="1">"c9533"</definedName>
    <definedName name="IQ_PP_RECOV_RESERVES_URAN" hidden="1">"c9586"</definedName>
    <definedName name="IQ_PP_RECOV_RESERVES_ZINC" hidden="1">"c9321"</definedName>
    <definedName name="IQ_PP_RESERVES_CALORIFIC_VALUE_COAL" hidden="1">"c9799"</definedName>
    <definedName name="IQ_PP_RESERVES_CALORIFIC_VALUE_MET_COAL" hidden="1">"c9739"</definedName>
    <definedName name="IQ_PP_RESERVES_CALORIFIC_VALUE_STEAM" hidden="1">"c9769"</definedName>
    <definedName name="IQ_PP_RESERVES_GRADE_ALUM" hidden="1">"c9212"</definedName>
    <definedName name="IQ_PP_RESERVES_GRADE_COP" hidden="1">"c9156"</definedName>
    <definedName name="IQ_PP_RESERVES_GRADE_DIAM" hidden="1">"c9636"</definedName>
    <definedName name="IQ_PP_RESERVES_GRADE_GOLD" hidden="1">"c8997"</definedName>
    <definedName name="IQ_PP_RESERVES_GRADE_IRON" hidden="1">"c9371"</definedName>
    <definedName name="IQ_PP_RESERVES_GRADE_LEAD" hidden="1">"c9424"</definedName>
    <definedName name="IQ_PP_RESERVES_GRADE_MANG" hidden="1">"c9477"</definedName>
    <definedName name="IQ_PP_RESERVES_GRADE_MOLYB" hidden="1">"c9689"</definedName>
    <definedName name="IQ_PP_RESERVES_GRADE_NICK" hidden="1">"c9265"</definedName>
    <definedName name="IQ_PP_RESERVES_GRADE_PLAT" hidden="1">"c9103"</definedName>
    <definedName name="IQ_PP_RESERVES_GRADE_SILVER" hidden="1">"c9050"</definedName>
    <definedName name="IQ_PP_RESERVES_GRADE_TITAN" hidden="1">"c9530"</definedName>
    <definedName name="IQ_PP_RESERVES_GRADE_URAN" hidden="1">"c9583"</definedName>
    <definedName name="IQ_PP_RESERVES_GRADE_ZINC" hidden="1">"c9318"</definedName>
    <definedName name="IQ_PPI" hidden="1">"c6810"</definedName>
    <definedName name="IQ_PPI_APR" hidden="1">"c7470"</definedName>
    <definedName name="IQ_PPI_APR_FC" hidden="1">"c8350"</definedName>
    <definedName name="IQ_PPI_CORE" hidden="1">"c6840"</definedName>
    <definedName name="IQ_PPI_CORE_APR" hidden="1">"c7500"</definedName>
    <definedName name="IQ_PPI_CORE_APR_FC" hidden="1">"c8380"</definedName>
    <definedName name="IQ_PPI_CORE_FC" hidden="1">"c7720"</definedName>
    <definedName name="IQ_PPI_CORE_POP" hidden="1">"c7060"</definedName>
    <definedName name="IQ_PPI_CORE_POP_FC" hidden="1">"c7940"</definedName>
    <definedName name="IQ_PPI_CORE_YOY" hidden="1">"c7280"</definedName>
    <definedName name="IQ_PPI_CORE_YOY_FC" hidden="1">"c8160"</definedName>
    <definedName name="IQ_PPI_FC" hidden="1">"c7690"</definedName>
    <definedName name="IQ_PPI_POP" hidden="1">"c7030"</definedName>
    <definedName name="IQ_PPI_POP_FC" hidden="1">"c7910"</definedName>
    <definedName name="IQ_PPI_YOY" hidden="1">"c7250"</definedName>
    <definedName name="IQ_PPI_YOY_FC" hidden="1">"c8130"</definedName>
    <definedName name="IQ_PRE_OPEN_COST" hidden="1">"c1040"</definedName>
    <definedName name="IQ_PRE_TAX_ACT_OR_EST" hidden="1">"c2221"</definedName>
    <definedName name="IQ_PRE_TAX_ACT_OR_EST_CIQ_COL" hidden="1">"c11711"</definedName>
    <definedName name="IQ_PRE_TAX_ACT_OR_EST_REUT" hidden="1">"c5467"</definedName>
    <definedName name="IQ_PRE_TAX_ACT_OR_EST_THOM" hidden="1">"c5305"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CM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CM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CM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localSheetId="7" hidden="1">"c1416"</definedName>
    <definedName name="IQ_PREF_STOCK" localSheetId="8" hidden="1">"c1416"</definedName>
    <definedName name="IQ_PREF_STOCK" hidden="1">"c1416"</definedName>
    <definedName name="IQ_PREF_STOCK_FFIEC" hidden="1">"c12875"</definedName>
    <definedName name="IQ_PREF_TOT" localSheetId="7" hidden="1">"c1415"</definedName>
    <definedName name="IQ_PREF_TOT" localSheetId="8" hidden="1">"c1415"</definedName>
    <definedName name="IQ_PREF_TOT" hidden="1">"c1415"</definedName>
    <definedName name="IQ_PREFERRED_DEPOSITS_FFIEC" hidden="1">"c15312"</definedName>
    <definedName name="IQ_PREFERRED_DEPOSITS_THRIFT" hidden="1">"c24996"</definedName>
    <definedName name="IQ_PREFERRED_FDIC" hidden="1">"c6349"</definedName>
    <definedName name="IQ_PREFERRED_LIST" hidden="1">"c13506"</definedName>
    <definedName name="IQ_PREFERRED_STOCK_DIVIDENDS_DECLARED_SAVINGS_ASSOCIATION_THRIFT" hidden="1">"c25010"</definedName>
    <definedName name="IQ_PREMISES_EQUIPMENT_FDIC" hidden="1">"c6577"</definedName>
    <definedName name="IQ_PREMISES_FIXED_ASSETS_CAP_LEASES_FFIEC" hidden="1">"c12830"</definedName>
    <definedName name="IQ_PREMIUM_INSURANCE_CREDIT_FFIEC" hidden="1">"c13070"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localSheetId="7" hidden="1">"c1418"</definedName>
    <definedName name="IQ_PREPAID_EXPEN" localSheetId="8" hidden="1">"c1418"</definedName>
    <definedName name="IQ_PREPAID_EXPEN" hidden="1">"c1418"</definedName>
    <definedName name="IQ_PREPAID_SUBS" hidden="1">"c2117"</definedName>
    <definedName name="IQ_PRESIDENT_ID" hidden="1">"c15216"</definedName>
    <definedName name="IQ_PRESIDENT_NAME" hidden="1">"c15215"</definedName>
    <definedName name="IQ_PRETAX_GW_INC_EST" hidden="1">"c1702"</definedName>
    <definedName name="IQ_PRETAX_GW_INC_EST_REUT" hidden="1">"c5354"</definedName>
    <definedName name="IQ_PRETAX_GW_INC_HIGH_EST" hidden="1">"c1704"</definedName>
    <definedName name="IQ_PRETAX_GW_INC_HIGH_EST_REUT" hidden="1">"c5356"</definedName>
    <definedName name="IQ_PRETAX_GW_INC_LOW_EST" hidden="1">"c1705"</definedName>
    <definedName name="IQ_PRETAX_GW_INC_LOW_EST_REUT" hidden="1">"c5357"</definedName>
    <definedName name="IQ_PRETAX_GW_INC_MEDIAN_EST" hidden="1">"c1703"</definedName>
    <definedName name="IQ_PRETAX_GW_INC_MEDIAN_EST_REUT" hidden="1">"c5355"</definedName>
    <definedName name="IQ_PRETAX_GW_INC_NUM_EST" hidden="1">"c1706"</definedName>
    <definedName name="IQ_PRETAX_GW_INC_NUM_EST_REUT" hidden="1">"c5358"</definedName>
    <definedName name="IQ_PRETAX_GW_INC_STDDEV_EST" hidden="1">"c1707"</definedName>
    <definedName name="IQ_PRETAX_GW_INC_STDDEV_EST_REUT" hidden="1">"c5359"</definedName>
    <definedName name="IQ_PRETAX_INC" hidden="1">"IQ_PRETAX_INC"</definedName>
    <definedName name="IQ_PRETAX_INC_10K" hidden="1">"IQ_PRETAX_INC_10K"</definedName>
    <definedName name="IQ_PRETAX_INC_10Q" hidden="1">"IQ_PRETAX_INC_10Q"</definedName>
    <definedName name="IQ_PRETAX_INC_10Q1" hidden="1">"IQ_PRETAX_INC_10Q1"</definedName>
    <definedName name="IQ_PRETAX_INC_AFTER_CAP_ALLOCATION_FOREIGN_FFIEC" hidden="1">"c15390"</definedName>
    <definedName name="IQ_PRETAX_INC_BEFORE_CAP_ALLOCATION_FOREIGN_FFIEC" hidden="1">"c15388"</definedName>
    <definedName name="IQ_PRETAX_INC_DET_EST" hidden="1">"c12055"</definedName>
    <definedName name="IQ_PRETAX_INC_DET_EST_CURRENCY" hidden="1">"c12462"</definedName>
    <definedName name="IQ_PRETAX_INC_DET_EST_CURRENCY_THOM" hidden="1">"c12483"</definedName>
    <definedName name="IQ_PRETAX_INC_DET_EST_DATE" hidden="1">"c12208"</definedName>
    <definedName name="IQ_PRETAX_INC_DET_EST_DATE_THOM" hidden="1">"c12234"</definedName>
    <definedName name="IQ_PRETAX_INC_DET_EST_INCL" hidden="1">"c12345"</definedName>
    <definedName name="IQ_PRETAX_INC_DET_EST_INCL_THOM" hidden="1">"c12366"</definedName>
    <definedName name="IQ_PRETAX_INC_DET_EST_ORIGIN" hidden="1">"c12771"</definedName>
    <definedName name="IQ_PRETAX_INC_DET_EST_ORIGIN_THOM" hidden="1">"c12604"</definedName>
    <definedName name="IQ_PRETAX_INC_DET_EST_THOM" hidden="1">"c12084"</definedName>
    <definedName name="IQ_PRETAX_INC_EST" hidden="1">"c1695"</definedName>
    <definedName name="IQ_PRETAX_INC_EST_REUT" hidden="1">"c5347"</definedName>
    <definedName name="IQ_PRETAX_INC_EST_THOM" hidden="1">"c5119"</definedName>
    <definedName name="IQ_PRETAX_INC_HIGH_EST" hidden="1">"c1697"</definedName>
    <definedName name="IQ_PRETAX_INC_HIGH_EST_REUT" hidden="1">"c5349"</definedName>
    <definedName name="IQ_PRETAX_INC_HIGH_EST_THOM" hidden="1">"c5121"</definedName>
    <definedName name="IQ_PRETAX_INC_LOW_EST" hidden="1">"c1698"</definedName>
    <definedName name="IQ_PRETAX_INC_LOW_EST_REUT" hidden="1">"c5350"</definedName>
    <definedName name="IQ_PRETAX_INC_LOW_EST_THOM" hidden="1">"c5122"</definedName>
    <definedName name="IQ_PRETAX_INC_MEDIAN_EST" hidden="1">"c1696"</definedName>
    <definedName name="IQ_PRETAX_INC_MEDIAN_EST_REUT" hidden="1">"c5348"</definedName>
    <definedName name="IQ_PRETAX_INC_MEDIAN_EST_THOM" hidden="1">"c5120"</definedName>
    <definedName name="IQ_PRETAX_INC_NUM_EST" hidden="1">"c1699"</definedName>
    <definedName name="IQ_PRETAX_INC_NUM_EST_REUT" hidden="1">"c5351"</definedName>
    <definedName name="IQ_PRETAX_INC_NUM_EST_THOM" hidden="1">"c5123"</definedName>
    <definedName name="IQ_PRETAX_INC_STDDEV_EST" hidden="1">"c1700"</definedName>
    <definedName name="IQ_PRETAX_INC_STDDEV_EST_REUT" hidden="1">"c5352"</definedName>
    <definedName name="IQ_PRETAX_INC_STDDEV_EST_THOM" hidden="1">"c5124"</definedName>
    <definedName name="IQ_PRETAX_OPERATING_INC_AVG_ASSETS_FFIEC" hidden="1">"c13365"</definedName>
    <definedName name="IQ_PRETAX_REPORT_INC_EST" hidden="1">"c1709"</definedName>
    <definedName name="IQ_PRETAX_REPORT_INC_EST_REUT" hidden="1">"c5361"</definedName>
    <definedName name="IQ_PRETAX_REPORT_INC_HIGH_EST" hidden="1">"c1711"</definedName>
    <definedName name="IQ_PRETAX_REPORT_INC_HIGH_EST_REUT" hidden="1">"c5363"</definedName>
    <definedName name="IQ_PRETAX_REPORT_INC_LOW_EST" hidden="1">"c1712"</definedName>
    <definedName name="IQ_PRETAX_REPORT_INC_LOW_EST_REUT" hidden="1">"c5364"</definedName>
    <definedName name="IQ_PRETAX_REPORT_INC_MEDIAN_EST" hidden="1">"c1710"</definedName>
    <definedName name="IQ_PRETAX_REPORT_INC_MEDIAN_EST_REUT" hidden="1">"c5362"</definedName>
    <definedName name="IQ_PRETAX_REPORT_INC_NUM_EST" hidden="1">"c1713"</definedName>
    <definedName name="IQ_PRETAX_REPORT_INC_NUM_EST_REUT" hidden="1">"c5365"</definedName>
    <definedName name="IQ_PRETAX_REPORT_INC_STDDEV_EST" hidden="1">"c1714"</definedName>
    <definedName name="IQ_PRETAX_REPORT_INC_STDDEV_EST_REUT" hidden="1">"c5366"</definedName>
    <definedName name="IQ_PRETAX_RETURN_ASSETS_FDIC" hidden="1">"c6731"</definedName>
    <definedName name="IQ_PREV_CONTRACT_ID" hidden="1">"c13929"</definedName>
    <definedName name="IQ_PREV_MONTHLY_FACTOR" hidden="1">"c8973"</definedName>
    <definedName name="IQ_PREV_MONTHLY_FACTOR_DATE" hidden="1">"c8974"</definedName>
    <definedName name="IQ_PREVIOUS_TIME_RT" hidden="1">"PREVIOUSLASTTIME"</definedName>
    <definedName name="IQ_PRICE_CFPS_FWD" hidden="1">"c2237"</definedName>
    <definedName name="IQ_PRICE_CFPS_FWD_REUT" hidden="1">"c4053"</definedName>
    <definedName name="IQ_PRICE_CFPS_FWD_THOM" hidden="1">"c4060"</definedName>
    <definedName name="IQ_PRICE_OVER_BVPS" localSheetId="7" hidden="1">"c1412"</definedName>
    <definedName name="IQ_PRICE_OVER_BVPS" localSheetId="8" hidden="1">"c1412"</definedName>
    <definedName name="IQ_PRICE_OVER_BVPS" hidden="1">"c1412"</definedName>
    <definedName name="IQ_PRICE_OVER_EPS_EST" hidden="1">"IQ_PRICE_OVER_EPS_EST"</definedName>
    <definedName name="IQ_PRICE_OVER_EPS_EST_1" hidden="1">"IQ_PRICE_OVER_EPS_EST_1"</definedName>
    <definedName name="IQ_PRICE_OVER_LTM_EPS" localSheetId="7" hidden="1">"c1413"</definedName>
    <definedName name="IQ_PRICE_OVER_LTM_EPS" localSheetId="8" hidden="1">"c1413"</definedName>
    <definedName name="IQ_PRICE_OVER_LTM_EPS" hidden="1">"c1413"</definedName>
    <definedName name="IQ_PRICE_PAID_FARM_INDEX" hidden="1">"c6948"</definedName>
    <definedName name="IQ_PRICE_PAID_FARM_INDEX_APR" hidden="1">"c7608"</definedName>
    <definedName name="IQ_PRICE_PAID_FARM_INDEX_APR_FC" hidden="1">"c8488"</definedName>
    <definedName name="IQ_PRICE_PAID_FARM_INDEX_FC" hidden="1">"c7828"</definedName>
    <definedName name="IQ_PRICE_PAID_FARM_INDEX_POP" hidden="1">"c7168"</definedName>
    <definedName name="IQ_PRICE_PAID_FARM_INDEX_POP_FC" hidden="1">"c8048"</definedName>
    <definedName name="IQ_PRICE_PAID_FARM_INDEX_YOY" hidden="1">"c7388"</definedName>
    <definedName name="IQ_PRICE_PAID_FARM_INDEX_YOY_FC" hidden="1">"c8268"</definedName>
    <definedName name="IQ_PRICE_SALES" hidden="1">"c17552"</definedName>
    <definedName name="IQ_PRICE_TARGET" hidden="1">"c82"</definedName>
    <definedName name="IQ_PRICE_TARGET_BOTTOM_UP" hidden="1">"c5486"</definedName>
    <definedName name="IQ_PRICE_TARGET_BOTTOM_UP_CIQ" hidden="1">"c12023"</definedName>
    <definedName name="IQ_PRICE_TARGET_BOTTOM_UP_REUT" hidden="1">"c5494"</definedName>
    <definedName name="IQ_PRICE_TARGET_CIQ" hidden="1">"c3613"</definedName>
    <definedName name="IQ_PRICE_TARGET_REUT" hidden="1">"c3631"</definedName>
    <definedName name="IQ_PRICE_TARGET_THOM" hidden="1">"c3649"</definedName>
    <definedName name="IQ_PRICE_UNIT" hidden="1">"c15556"</definedName>
    <definedName name="IQ_PRICE_VOL_HIST_2YR" hidden="1">"c15637"</definedName>
    <definedName name="IQ_PRICE_VOL_HIST_3MTH" hidden="1">"c15634"</definedName>
    <definedName name="IQ_PRICE_VOL_HIST_5YR" hidden="1">"c15638"</definedName>
    <definedName name="IQ_PRICE_VOL_HIST_6MTH" hidden="1">"c15635"</definedName>
    <definedName name="IQ_PRICE_VOL_HIST_YR" hidden="1">"c15636"</definedName>
    <definedName name="IQ_PRICE_VOLATILITY_EST" hidden="1">"c4492"</definedName>
    <definedName name="IQ_PRICE_VOLATILITY_EST_CIQ_COL" hidden="1">"c11677"</definedName>
    <definedName name="IQ_PRICE_VOLATILITY_HIGH" hidden="1">"c4493"</definedName>
    <definedName name="IQ_PRICE_VOLATILITY_HIGH_CIQ_COL" hidden="1">"c11678"</definedName>
    <definedName name="IQ_PRICE_VOLATILITY_LOW" hidden="1">"c4494"</definedName>
    <definedName name="IQ_PRICE_VOLATILITY_LOW_CIQ_COL" hidden="1">"c11679"</definedName>
    <definedName name="IQ_PRICE_VOLATILITY_MEDIAN" hidden="1">"c4495"</definedName>
    <definedName name="IQ_PRICE_VOLATILITY_MEDIAN_CIQ_COL" hidden="1">"c11680"</definedName>
    <definedName name="IQ_PRICE_VOLATILITY_NUM" hidden="1">"c4496"</definedName>
    <definedName name="IQ_PRICE_VOLATILITY_NUM_CIQ_COL" hidden="1">"c11681"</definedName>
    <definedName name="IQ_PRICE_VOLATILITY_STDDEV" hidden="1">"c4497"</definedName>
    <definedName name="IQ_PRICE_VOLATILITY_STDDEV_CIQ_COL" hidden="1">"c11682"</definedName>
    <definedName name="IQ_PRICEDATE" hidden="1">"c1069"</definedName>
    <definedName name="IQ_PRICEDATETIME" hidden="1">"IQ_PRICEDATETIME"</definedName>
    <definedName name="IQ_PRICING_DATE" hidden="1">"c1613"</definedName>
    <definedName name="IQ_PRIMARY_EPS_TYPE" hidden="1">"c4498"</definedName>
    <definedName name="IQ_PRIMARY_EPS_TYPE_CIQ" hidden="1">"c5036"</definedName>
    <definedName name="IQ_PRIMARY_EPS_TYPE_REUT" hidden="1">"c5481"</definedName>
    <definedName name="IQ_PRIMARY_EPS_TYPE_THOM" hidden="1">"c5297"</definedName>
    <definedName name="IQ_PRIMARY_EST_CONSOLIDATION" hidden="1">"c16246"</definedName>
    <definedName name="IQ_PRIMARY_EST_CONSOLIDATION_CIQ" hidden="1">"c16247"</definedName>
    <definedName name="IQ_PRIMARY_INDUSTRY" hidden="1">"c1070"</definedName>
    <definedName name="IQ_PRIMARY_SIC_CODE" hidden="1">"c16218"</definedName>
    <definedName name="IQ_PRIMARY_SIC_INDUSTRY" hidden="1">"c16217"</definedName>
    <definedName name="IQ_PRINCIPAL_AMT" hidden="1">"c2157"</definedName>
    <definedName name="IQ_PRIOR_PERIOD_ADJUSTMENTS_SAVINGS_ASSOCIATION_THRIFT" hidden="1">"c25017"</definedName>
    <definedName name="IQ_PRIVATE_CONST_TOTAL_APR_FC_UNUSED" hidden="1">"c8559"</definedName>
    <definedName name="IQ_PRIVATE_CONST_TOTAL_APR_FC_UNUSED_UNUSED_UNUSED" hidden="1">"c8559"</definedName>
    <definedName name="IQ_PRIVATE_CONST_TOTAL_APR_UNUSED" hidden="1">"c7679"</definedName>
    <definedName name="IQ_PRIVATE_CONST_TOTAL_APR_UNUSED_UNUSED_UNUSED" hidden="1">"c7679"</definedName>
    <definedName name="IQ_PRIVATE_CONST_TOTAL_FC_UNUSED" hidden="1">"c7899"</definedName>
    <definedName name="IQ_PRIVATE_CONST_TOTAL_FC_UNUSED_UNUSED_UNUSED" hidden="1">"c7899"</definedName>
    <definedName name="IQ_PRIVATE_CONST_TOTAL_POP_FC_UNUSED" hidden="1">"c8119"</definedName>
    <definedName name="IQ_PRIVATE_CONST_TOTAL_POP_FC_UNUSED_UNUSED_UNUSED" hidden="1">"c8119"</definedName>
    <definedName name="IQ_PRIVATE_CONST_TOTAL_POP_UNUSED" hidden="1">"c7239"</definedName>
    <definedName name="IQ_PRIVATE_CONST_TOTAL_POP_UNUSED_UNUSED_UNUSED" hidden="1">"c7239"</definedName>
    <definedName name="IQ_PRIVATE_CONST_TOTAL_UNUSED" hidden="1">"c7019"</definedName>
    <definedName name="IQ_PRIVATE_CONST_TOTAL_UNUSED_UNUSED_UNUSED" hidden="1">"c7019"</definedName>
    <definedName name="IQ_PRIVATE_CONST_TOTAL_YOY_FC_UNUSED" hidden="1">"c8339"</definedName>
    <definedName name="IQ_PRIVATE_CONST_TOTAL_YOY_FC_UNUSED_UNUSED_UNUSED" hidden="1">"c8339"</definedName>
    <definedName name="IQ_PRIVATE_CONST_TOTAL_YOY_UNUSED" hidden="1">"c7459"</definedName>
    <definedName name="IQ_PRIVATE_CONST_TOTAL_YOY_UNUSED_UNUSED_UNUSED" hidden="1">"c7459"</definedName>
    <definedName name="IQ_PRIVATE_FIXED_INVEST_TOTAL" hidden="1">"c12006"</definedName>
    <definedName name="IQ_PRIVATE_FIXED_INVEST_TOTAL_APR" hidden="1">"c12009"</definedName>
    <definedName name="IQ_PRIVATE_FIXED_INVEST_TOTAL_POP" hidden="1">"c12007"</definedName>
    <definedName name="IQ_PRIVATE_FIXED_INVEST_TOTAL_YOY" hidden="1">"c12008"</definedName>
    <definedName name="IQ_PRIVATE_NONRES_CONST_IMPROV" hidden="1">"c6949"</definedName>
    <definedName name="IQ_PRIVATE_NONRES_CONST_IMPROV_APR" hidden="1">"c7609"</definedName>
    <definedName name="IQ_PRIVATE_NONRES_CONST_IMPROV_APR_FC" hidden="1">"c8489"</definedName>
    <definedName name="IQ_PRIVATE_NONRES_CONST_IMPROV_FC" hidden="1">"c7829"</definedName>
    <definedName name="IQ_PRIVATE_NONRES_CONST_IMPROV_POP" hidden="1">"c7169"</definedName>
    <definedName name="IQ_PRIVATE_NONRES_CONST_IMPROV_POP_FC" hidden="1">"c8049"</definedName>
    <definedName name="IQ_PRIVATE_NONRES_CONST_IMPROV_YOY" hidden="1">"c7389"</definedName>
    <definedName name="IQ_PRIVATE_NONRES_CONST_IMPROV_YOY_FC" hidden="1">"c8269"</definedName>
    <definedName name="IQ_PRIVATE_RES_CONST_IMPROV" hidden="1">"c6950"</definedName>
    <definedName name="IQ_PRIVATE_RES_CONST_IMPROV_APR" hidden="1">"c7610"</definedName>
    <definedName name="IQ_PRIVATE_RES_CONST_IMPROV_APR_FC" hidden="1">"c8490"</definedName>
    <definedName name="IQ_PRIVATE_RES_CONST_IMPROV_FC" hidden="1">"c7830"</definedName>
    <definedName name="IQ_PRIVATE_RES_CONST_IMPROV_POP" hidden="1">"c7170"</definedName>
    <definedName name="IQ_PRIVATE_RES_CONST_IMPROV_POP_FC" hidden="1">"c8050"</definedName>
    <definedName name="IQ_PRIVATE_RES_CONST_IMPROV_YOY" hidden="1">"c7390"</definedName>
    <definedName name="IQ_PRIVATE_RES_CONST_IMPROV_YOY_FC" hidden="1">"c8270"</definedName>
    <definedName name="IQ_PRIVATE_RES_CONST_REAL_APR_FC_UNUSED" hidden="1">"c8535"</definedName>
    <definedName name="IQ_PRIVATE_RES_CONST_REAL_APR_FC_UNUSED_UNUSED_UNUSED" hidden="1">"c8535"</definedName>
    <definedName name="IQ_PRIVATE_RES_CONST_REAL_APR_UNUSED" hidden="1">"c7655"</definedName>
    <definedName name="IQ_PRIVATE_RES_CONST_REAL_APR_UNUSED_UNUSED_UNUSED" hidden="1">"c7655"</definedName>
    <definedName name="IQ_PRIVATE_RES_CONST_REAL_FC_UNUSED" hidden="1">"c7875"</definedName>
    <definedName name="IQ_PRIVATE_RES_CONST_REAL_FC_UNUSED_UNUSED_UNUSED" hidden="1">"c7875"</definedName>
    <definedName name="IQ_PRIVATE_RES_CONST_REAL_POP_FC_UNUSED" hidden="1">"c8095"</definedName>
    <definedName name="IQ_PRIVATE_RES_CONST_REAL_POP_FC_UNUSED_UNUSED_UNUSED" hidden="1">"c8095"</definedName>
    <definedName name="IQ_PRIVATE_RES_CONST_REAL_POP_UNUSED" hidden="1">"c7215"</definedName>
    <definedName name="IQ_PRIVATE_RES_CONST_REAL_POP_UNUSED_UNUSED_UNUSED" hidden="1">"c7215"</definedName>
    <definedName name="IQ_PRIVATE_RES_CONST_REAL_UNUSED" hidden="1">"c6995"</definedName>
    <definedName name="IQ_PRIVATE_RES_CONST_REAL_UNUSED_UNUSED_UNUSED" hidden="1">"c6995"</definedName>
    <definedName name="IQ_PRIVATE_RES_CONST_REAL_YOY_FC_UNUSED" hidden="1">"c8315"</definedName>
    <definedName name="IQ_PRIVATE_RES_CONST_REAL_YOY_FC_UNUSED_UNUSED_UNUSED" hidden="1">"c8315"</definedName>
    <definedName name="IQ_PRIVATE_RES_CONST_REAL_YOY_UNUSED" hidden="1">"c7435"</definedName>
    <definedName name="IQ_PRIVATE_RES_CONST_REAL_YOY_UNUSED_UNUSED_UNUSED" hidden="1">"c7435"</definedName>
    <definedName name="IQ_PRIVATE_RES_FIXED_INVEST_REAL" hidden="1">"c11986"</definedName>
    <definedName name="IQ_PRIVATE_RES_FIXED_INVEST_REAL_APR" hidden="1">"c11989"</definedName>
    <definedName name="IQ_PRIVATE_RES_FIXED_INVEST_REAL_POP" hidden="1">"c11987"</definedName>
    <definedName name="IQ_PRIVATE_RES_FIXED_INVEST_REAL_YOY" hidden="1">"c11988"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localSheetId="7" hidden="1">"c1452"</definedName>
    <definedName name="IQ_PRO_FORMA_NET_INC" localSheetId="8" hidden="1">"c1452"</definedName>
    <definedName name="IQ_PRO_FORMA_NET_INC" hidden="1">"c1452"</definedName>
    <definedName name="IQ_PROBABLE_ATTRIB_ORE_RESERVES_ALUM" hidden="1">"c9217"</definedName>
    <definedName name="IQ_PROBABLE_ATTRIB_ORE_RESERVES_COP" hidden="1">"c9161"</definedName>
    <definedName name="IQ_PROBABLE_ATTRIB_ORE_RESERVES_DIAM" hidden="1">"c9641"</definedName>
    <definedName name="IQ_PROBABLE_ATTRIB_ORE_RESERVES_GOLD" hidden="1">"c9002"</definedName>
    <definedName name="IQ_PROBABLE_ATTRIB_ORE_RESERVES_IRON" hidden="1">"c9376"</definedName>
    <definedName name="IQ_PROBABLE_ATTRIB_ORE_RESERVES_LEAD" hidden="1">"c9429"</definedName>
    <definedName name="IQ_PROBABLE_ATTRIB_ORE_RESERVES_MANG" hidden="1">"c9482"</definedName>
    <definedName name="IQ_PROBABLE_ATTRIB_ORE_RESERVES_MOLYB" hidden="1">"c9694"</definedName>
    <definedName name="IQ_PROBABLE_ATTRIB_ORE_RESERVES_NICK" hidden="1">"c9270"</definedName>
    <definedName name="IQ_PROBABLE_ATTRIB_ORE_RESERVES_PLAT" hidden="1">"c9108"</definedName>
    <definedName name="IQ_PROBABLE_ATTRIB_ORE_RESERVES_SILVER" hidden="1">"c9055"</definedName>
    <definedName name="IQ_PROBABLE_ATTRIB_ORE_RESERVES_TITAN" hidden="1">"c9535"</definedName>
    <definedName name="IQ_PROBABLE_ATTRIB_ORE_RESERVES_URAN" hidden="1">"c9588"</definedName>
    <definedName name="IQ_PROBABLE_ATTRIB_ORE_RESERVES_ZINC" hidden="1">"c9323"</definedName>
    <definedName name="IQ_PROBABLE_ORE_RESERVES_ALUM" hidden="1">"c9209"</definedName>
    <definedName name="IQ_PROBABLE_ORE_RESERVES_COP" hidden="1">"c9153"</definedName>
    <definedName name="IQ_PROBABLE_ORE_RESERVES_DIAM" hidden="1">"c9633"</definedName>
    <definedName name="IQ_PROBABLE_ORE_RESERVES_GOLD" hidden="1">"c8994"</definedName>
    <definedName name="IQ_PROBABLE_ORE_RESERVES_IRON" hidden="1">"c9368"</definedName>
    <definedName name="IQ_PROBABLE_ORE_RESERVES_LEAD" hidden="1">"c9421"</definedName>
    <definedName name="IQ_PROBABLE_ORE_RESERVES_MANG" hidden="1">"c9474"</definedName>
    <definedName name="IQ_PROBABLE_ORE_RESERVES_MOLYB" hidden="1">"c9686"</definedName>
    <definedName name="IQ_PROBABLE_ORE_RESERVES_NICK" hidden="1">"c9262"</definedName>
    <definedName name="IQ_PROBABLE_ORE_RESERVES_PLAT" hidden="1">"c9100"</definedName>
    <definedName name="IQ_PROBABLE_ORE_RESERVES_SILVER" hidden="1">"c9047"</definedName>
    <definedName name="IQ_PROBABLE_ORE_RESERVES_TITAN" hidden="1">"c9527"</definedName>
    <definedName name="IQ_PROBABLE_ORE_RESERVES_URAN" hidden="1">"c9580"</definedName>
    <definedName name="IQ_PROBABLE_ORE_RESERVES_ZINC" hidden="1">"c9315"</definedName>
    <definedName name="IQ_PROBABLE_RECOV_ATTRIB_RESERVES_ALUM" hidden="1">"c9220"</definedName>
    <definedName name="IQ_PROBABLE_RECOV_ATTRIB_RESERVES_COAL" hidden="1">"c9804"</definedName>
    <definedName name="IQ_PROBABLE_RECOV_ATTRIB_RESERVES_COP" hidden="1">"c9164"</definedName>
    <definedName name="IQ_PROBABLE_RECOV_ATTRIB_RESERVES_DIAM" hidden="1">"c9644"</definedName>
    <definedName name="IQ_PROBABLE_RECOV_ATTRIB_RESERVES_GOLD" hidden="1">"c9005"</definedName>
    <definedName name="IQ_PROBABLE_RECOV_ATTRIB_RESERVES_IRON" hidden="1">"c9379"</definedName>
    <definedName name="IQ_PROBABLE_RECOV_ATTRIB_RESERVES_LEAD" hidden="1">"c9432"</definedName>
    <definedName name="IQ_PROBABLE_RECOV_ATTRIB_RESERVES_MANG" hidden="1">"c9485"</definedName>
    <definedName name="IQ_PROBABLE_RECOV_ATTRIB_RESERVES_MET_COAL" hidden="1">"c9744"</definedName>
    <definedName name="IQ_PROBABLE_RECOV_ATTRIB_RESERVES_MOLYB" hidden="1">"c9697"</definedName>
    <definedName name="IQ_PROBABLE_RECOV_ATTRIB_RESERVES_NICK" hidden="1">"c9273"</definedName>
    <definedName name="IQ_PROBABLE_RECOV_ATTRIB_RESERVES_PLAT" hidden="1">"c9111"</definedName>
    <definedName name="IQ_PROBABLE_RECOV_ATTRIB_RESERVES_SILVER" hidden="1">"c9058"</definedName>
    <definedName name="IQ_PROBABLE_RECOV_ATTRIB_RESERVES_STEAM" hidden="1">"c9774"</definedName>
    <definedName name="IQ_PROBABLE_RECOV_ATTRIB_RESERVES_TITAN" hidden="1">"c9538"</definedName>
    <definedName name="IQ_PROBABLE_RECOV_ATTRIB_RESERVES_URAN" hidden="1">"c9591"</definedName>
    <definedName name="IQ_PROBABLE_RECOV_ATTRIB_RESERVES_ZINC" hidden="1">"c9326"</definedName>
    <definedName name="IQ_PROBABLE_RECOV_RESERVES_ALUM" hidden="1">"c9214"</definedName>
    <definedName name="IQ_PROBABLE_RECOV_RESERVES_COAL" hidden="1">"c9801"</definedName>
    <definedName name="IQ_PROBABLE_RECOV_RESERVES_COP" hidden="1">"c9158"</definedName>
    <definedName name="IQ_PROBABLE_RECOV_RESERVES_DIAM" hidden="1">"c9638"</definedName>
    <definedName name="IQ_PROBABLE_RECOV_RESERVES_GOLD" hidden="1">"c8999"</definedName>
    <definedName name="IQ_PROBABLE_RECOV_RESERVES_IRON" hidden="1">"c9373"</definedName>
    <definedName name="IQ_PROBABLE_RECOV_RESERVES_LEAD" hidden="1">"c9426"</definedName>
    <definedName name="IQ_PROBABLE_RECOV_RESERVES_MANG" hidden="1">"c9479"</definedName>
    <definedName name="IQ_PROBABLE_RECOV_RESERVES_MET_COAL" hidden="1">"c9741"</definedName>
    <definedName name="IQ_PROBABLE_RECOV_RESERVES_MOLYB" hidden="1">"c9691"</definedName>
    <definedName name="IQ_PROBABLE_RECOV_RESERVES_NICK" hidden="1">"c9267"</definedName>
    <definedName name="IQ_PROBABLE_RECOV_RESERVES_PLAT" hidden="1">"c9105"</definedName>
    <definedName name="IQ_PROBABLE_RECOV_RESERVES_SILVER" hidden="1">"c9052"</definedName>
    <definedName name="IQ_PROBABLE_RECOV_RESERVES_STEAM" hidden="1">"c9771"</definedName>
    <definedName name="IQ_PROBABLE_RECOV_RESERVES_TITAN" hidden="1">"c9532"</definedName>
    <definedName name="IQ_PROBABLE_RECOV_RESERVES_URAN" hidden="1">"c9585"</definedName>
    <definedName name="IQ_PROBABLE_RECOV_RESERVES_ZINC" hidden="1">"c9320"</definedName>
    <definedName name="IQ_PROBABLE_RESERVES_CALORIFIC_VALUE_COAL" hidden="1">"c9798"</definedName>
    <definedName name="IQ_PROBABLE_RESERVES_CALORIFIC_VALUE_MET_COAL" hidden="1">"c9738"</definedName>
    <definedName name="IQ_PROBABLE_RESERVES_CALORIFIC_VALUE_STEAM" hidden="1">"c9768"</definedName>
    <definedName name="IQ_PROBABLE_RESERVES_GRADE_ALUM" hidden="1">"c9210"</definedName>
    <definedName name="IQ_PROBABLE_RESERVES_GRADE_COP" hidden="1">"c9154"</definedName>
    <definedName name="IQ_PROBABLE_RESERVES_GRADE_DIAM" hidden="1">"c9634"</definedName>
    <definedName name="IQ_PROBABLE_RESERVES_GRADE_GOLD" hidden="1">"c8995"</definedName>
    <definedName name="IQ_PROBABLE_RESERVES_GRADE_IRON" hidden="1">"c9369"</definedName>
    <definedName name="IQ_PROBABLE_RESERVES_GRADE_LEAD" hidden="1">"c9422"</definedName>
    <definedName name="IQ_PROBABLE_RESERVES_GRADE_MANG" hidden="1">"c9475"</definedName>
    <definedName name="IQ_PROBABLE_RESERVES_GRADE_MOLYB" hidden="1">"c9687"</definedName>
    <definedName name="IQ_PROBABLE_RESERVES_GRADE_NICK" hidden="1">"c9263"</definedName>
    <definedName name="IQ_PROBABLE_RESERVES_GRADE_PLAT" hidden="1">"c9101"</definedName>
    <definedName name="IQ_PROBABLE_RESERVES_GRADE_SILVER" hidden="1">"c9048"</definedName>
    <definedName name="IQ_PROBABLE_RESERVES_GRADE_TITAN" hidden="1">"c9528"</definedName>
    <definedName name="IQ_PROBABLE_RESERVES_GRADE_URAN" hidden="1">"c9581"</definedName>
    <definedName name="IQ_PROBABLE_RESERVES_GRADE_ZINC" hidden="1">"c9316"</definedName>
    <definedName name="IQ_PROBABLE_RESERVES_TO_TOTAL_RESERVES_COAL" hidden="1">"c15953"</definedName>
    <definedName name="IQ_PRODUCTION_COST_ALUM" hidden="1">"c9253"</definedName>
    <definedName name="IQ_PRODUCTION_COST_COAL" hidden="1">"c9826"</definedName>
    <definedName name="IQ_PRODUCTION_COST_COP" hidden="1">"c9200"</definedName>
    <definedName name="IQ_PRODUCTION_COST_DIAM" hidden="1">"c9677"</definedName>
    <definedName name="IQ_PRODUCTION_COST_GOLD" hidden="1">"c9038"</definedName>
    <definedName name="IQ_PRODUCTION_COST_IRON" hidden="1">"c9412"</definedName>
    <definedName name="IQ_PRODUCTION_COST_LEAD" hidden="1">"c9465"</definedName>
    <definedName name="IQ_PRODUCTION_COST_MANG" hidden="1">"c9518"</definedName>
    <definedName name="IQ_PRODUCTION_COST_MET_COAL" hidden="1">"c9763"</definedName>
    <definedName name="IQ_PRODUCTION_COST_MOLYB" hidden="1">"c9730"</definedName>
    <definedName name="IQ_PRODUCTION_COST_NICK" hidden="1">"c9306"</definedName>
    <definedName name="IQ_PRODUCTION_COST_PLAT" hidden="1">"c9144"</definedName>
    <definedName name="IQ_PRODUCTION_COST_SILVER" hidden="1">"c9091"</definedName>
    <definedName name="IQ_PRODUCTION_COST_STEAM" hidden="1">"c9793"</definedName>
    <definedName name="IQ_PRODUCTION_COST_TITAN" hidden="1">"c9571"</definedName>
    <definedName name="IQ_PRODUCTION_COST_URAN" hidden="1">"c9624"</definedName>
    <definedName name="IQ_PRODUCTION_COST_ZINC" hidden="1">"c9359"</definedName>
    <definedName name="IQ_PRODUCTION_TO_SOLD_COAL" hidden="1">"c15945"</definedName>
    <definedName name="IQ_PROFESSIONAL" hidden="1">"c1071"</definedName>
    <definedName name="IQ_PROFESSIONAL_ALL_OTHER_COMP" hidden="1">"c18944"</definedName>
    <definedName name="IQ_PROFESSIONAL_ANNUAL_CASH_COMP" hidden="1">"c18945"</definedName>
    <definedName name="IQ_PROFESSIONAL_AS_REPORTED_COMP" hidden="1">"c18949"</definedName>
    <definedName name="IQ_PROFESSIONAL_AS_REPORTED_DIRECTOR_COMP" hidden="1">"c18961"</definedName>
    <definedName name="IQ_PROFESSIONAL_ASSISTANT_EMAIL" hidden="1">"c15169"</definedName>
    <definedName name="IQ_PROFESSIONAL_ASSISTANT_FAX" hidden="1">"c15171"</definedName>
    <definedName name="IQ_PROFESSIONAL_ASSISTANT_NAME" hidden="1">"c15168"</definedName>
    <definedName name="IQ_PROFESSIONAL_ASSISTANT_PHONE" hidden="1">"c15170"</definedName>
    <definedName name="IQ_PROFESSIONAL_BACKGROUND" hidden="1">"c15161"</definedName>
    <definedName name="IQ_PROFESSIONAL_BONUS" hidden="1">"c18940"</definedName>
    <definedName name="IQ_PROFESSIONAL_CALCULATED_COMP" hidden="1">"c18947"</definedName>
    <definedName name="IQ_PROFESSIONAL_CHANGE_PENSION" hidden="1">"c18962"</definedName>
    <definedName name="IQ_PROFESSIONAL_DIRECT_FAX" hidden="1">"c15166"</definedName>
    <definedName name="IQ_PROFESSIONAL_DIRECT_PHONE" hidden="1">"c15165"</definedName>
    <definedName name="IQ_PROFESSIONAL_DIRECTOR_BONUS" hidden="1">"c18956"</definedName>
    <definedName name="IQ_PROFESSIONAL_DIRECTOR_CHANGE_PENSION" hidden="1">"c18957"</definedName>
    <definedName name="IQ_PROFESSIONAL_DIRECTOR_FEE" hidden="1">"c18953"</definedName>
    <definedName name="IQ_PROFESSIONAL_DIRECTOR_NON_EQUITY_COMP" hidden="1">"c18958"</definedName>
    <definedName name="IQ_PROFESSIONAL_DIRECTOR_OPTION_AWARDS" hidden="1">"c18954"</definedName>
    <definedName name="IQ_PROFESSIONAL_DIRECTOR_OTHER" hidden="1">"c18955"</definedName>
    <definedName name="IQ_PROFESSIONAL_DIRECTOR_STOCK_AWARDS" hidden="1">"c18959"</definedName>
    <definedName name="IQ_PROFESSIONAL_DIRECTOR_STOCK_GRANTS" hidden="1">"c18986"</definedName>
    <definedName name="IQ_PROFESSIONAL_DIRECTOR_STOCK_OPTIONS" hidden="1">"c18960"</definedName>
    <definedName name="IQ_PROFESSIONAL_EMAIL" hidden="1">"c15167"</definedName>
    <definedName name="IQ_PROFESSIONAL_EQUITY_INCENTIVE" hidden="1">"c18982"</definedName>
    <definedName name="IQ_PROFESSIONAL_EST_PAYMENTS_CHANGE_CONTROL" hidden="1">"c18951"</definedName>
    <definedName name="IQ_PROFESSIONAL_EST_PAYMENTS_TERMINATION" hidden="1">"c18963"</definedName>
    <definedName name="IQ_PROFESSIONAL_EXERCISABLE_OPTIONS" hidden="1">"c18966"</definedName>
    <definedName name="IQ_PROFESSIONAL_EXERCISABLE_VALUES" hidden="1">"c18967"</definedName>
    <definedName name="IQ_PROFESSIONAL_EXERCISED_OPTIONS" hidden="1">"c18964"</definedName>
    <definedName name="IQ_PROFESSIONAL_EXERCISED_VALUES" hidden="1">"c18965"</definedName>
    <definedName name="IQ_PROFESSIONAL_ID" hidden="1">"c13755"</definedName>
    <definedName name="IQ_PROFESSIONAL_LT_INCENTIVE" hidden="1">"c18943"</definedName>
    <definedName name="IQ_PROFESSIONAL_MAIN_FAX" hidden="1">"c15164"</definedName>
    <definedName name="IQ_PROFESSIONAL_MAIN_PHONE" hidden="1">"c15163"</definedName>
    <definedName name="IQ_PROFESSIONAL_MARKET_VALUE_SHARES_NOT_VESTED" hidden="1">"c18981"</definedName>
    <definedName name="IQ_PROFESSIONAL_NON_EQUITY_INCENTIVE" hidden="1">"c18952"</definedName>
    <definedName name="IQ_PROFESSIONAL_NUM_SHARED_NOT_VESTED" hidden="1">"c18980"</definedName>
    <definedName name="IQ_PROFESSIONAL_NUM_SHARES_ACQUIRED" hidden="1">"c18978"</definedName>
    <definedName name="IQ_PROFESSIONAL_OFFICE_ADDRESS" hidden="1">"c15162"</definedName>
    <definedName name="IQ_PROFESSIONAL_OPTION_AWARDS" hidden="1">"c18948"</definedName>
    <definedName name="IQ_PROFESSIONAL_OPTION_MARKET_PRICE" hidden="1">"c18977"</definedName>
    <definedName name="IQ_PROFESSIONAL_OPTION_PRICE" hidden="1">"c18976"</definedName>
    <definedName name="IQ_PROFESSIONAL_OTHER_ANNUAL_COMP" hidden="1">"c18941"</definedName>
    <definedName name="IQ_PROFESSIONAL_OTHER_COMP" hidden="1">"c18950"</definedName>
    <definedName name="IQ_PROFESSIONAL_RESTRICTED_STOCK_COMP" hidden="1">"c18942"</definedName>
    <definedName name="IQ_PROFESSIONAL_SALARY" hidden="1">"c18939"</definedName>
    <definedName name="IQ_PROFESSIONAL_ST_COMP" hidden="1">"c18946"</definedName>
    <definedName name="IQ_PROFESSIONAL_TITLE" hidden="1">"c1072"</definedName>
    <definedName name="IQ_PROFESSIONAL_TOTAL_NUM_STOCK_AWARDS" hidden="1">"c18985"</definedName>
    <definedName name="IQ_PROFESSIONAL_TOTAL_OPTIONS" hidden="1">"c18974"</definedName>
    <definedName name="IQ_PROFESSIONAL_TOTAL_STOCK_VALUE" hidden="1">"c18984"</definedName>
    <definedName name="IQ_PROFESSIONAL_TOTAL_VALUE_OPTIONS" hidden="1">"c18975"</definedName>
    <definedName name="IQ_PROFESSIONAL_UNCLASSIFIED_OPTIONS" hidden="1">"c18970"</definedName>
    <definedName name="IQ_PROFESSIONAL_UNCLASSIFIED_OPTIONS_VALUE" hidden="1">"c18971"</definedName>
    <definedName name="IQ_PROFESSIONAL_UNEARNED_STOCK_VALUE" hidden="1">"c18983"</definedName>
    <definedName name="IQ_PROFESSIONAL_UNEXERCISABLE_OPTIONS" hidden="1">"c18968"</definedName>
    <definedName name="IQ_PROFESSIONAL_UNEXERCISABLE_VALUES" hidden="1">"c18969"</definedName>
    <definedName name="IQ_PROFESSIONAL_UNEXERCISED_UNEARNED_OPTIONS" hidden="1">"c18972"</definedName>
    <definedName name="IQ_PROFESSIONAL_UNEXERCISED_UNEARNED_OPTIONS_VALUE" hidden="1">"c18973"</definedName>
    <definedName name="IQ_PROFESSIONAL_VALUE_VESTING" hidden="1">"c18979"</definedName>
    <definedName name="IQ_PROFIT_AFTER_COST_CAPITAL_NEW_BUSINESS" hidden="1">"c9969"</definedName>
    <definedName name="IQ_PROFIT_BEFORE_COST_CAPITAL_NEW_BUSINESS" hidden="1">"c9967"</definedName>
    <definedName name="IQ_PROGRAMMING_COSTS" hidden="1">"c2884"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_MGMT_EXPENSE" hidden="1">"c16038"</definedName>
    <definedName name="IQ_PROP_MGMT_INCOME" hidden="1">"c16028"</definedName>
    <definedName name="IQ_PROP_OPERATING_EXPENSE" hidden="1">"c16037"</definedName>
    <definedName name="IQ_PROP_RENTAL_REVENUE" hidden="1">"c16019"</definedName>
    <definedName name="IQ_PROP_SALES_EXPENSE" hidden="1">"c16044"</definedName>
    <definedName name="IQ_PROPERTY_EXP" hidden="1">"c1073"</definedName>
    <definedName name="IQ_PROPERTY_GROSS" localSheetId="7" hidden="1">"c1379"</definedName>
    <definedName name="IQ_PROPERTY_GROSS" localSheetId="8" hidden="1">"c1379"</definedName>
    <definedName name="IQ_PROPERTY_GROSS" hidden="1">"c1379"</definedName>
    <definedName name="IQ_PROPERTY_MGMT_FEE" hidden="1">"c1074"</definedName>
    <definedName name="IQ_PROPERTY_NET" localSheetId="7" hidden="1">"c1402"</definedName>
    <definedName name="IQ_PROPERTY_NET" localSheetId="8" hidden="1">"c1402"</definedName>
    <definedName name="IQ_PROPERTY_NET" hidden="1">"c1402"</definedName>
    <definedName name="IQ_PROPERTY_TAX_INSURANCE" hidden="1">"c16033"</definedName>
    <definedName name="IQ_PROV_BAD_DEBTS" hidden="1">"c1075"</definedName>
    <definedName name="IQ_PROV_BAD_DEBTS_CF" hidden="1">"c1076"</definedName>
    <definedName name="IQ_PROVED_ATTRIB_ORE_RESERVES_ALUM" hidden="1">"c9216"</definedName>
    <definedName name="IQ_PROVED_ATTRIB_ORE_RESERVES_COP" hidden="1">"c9160"</definedName>
    <definedName name="IQ_PROVED_ATTRIB_ORE_RESERVES_DIAM" hidden="1">"c9640"</definedName>
    <definedName name="IQ_PROVED_ATTRIB_ORE_RESERVES_GOLD" hidden="1">"c9001"</definedName>
    <definedName name="IQ_PROVED_ATTRIB_ORE_RESERVES_IRON" hidden="1">"c9375"</definedName>
    <definedName name="IQ_PROVED_ATTRIB_ORE_RESERVES_LEAD" hidden="1">"c9428"</definedName>
    <definedName name="IQ_PROVED_ATTRIB_ORE_RESERVES_MANG" hidden="1">"c9481"</definedName>
    <definedName name="IQ_PROVED_ATTRIB_ORE_RESERVES_MOLYB" hidden="1">"c9693"</definedName>
    <definedName name="IQ_PROVED_ATTRIB_ORE_RESERVES_NICK" hidden="1">"c9269"</definedName>
    <definedName name="IQ_PROVED_ATTRIB_ORE_RESERVES_PLAT" hidden="1">"c9107"</definedName>
    <definedName name="IQ_PROVED_ATTRIB_ORE_RESERVES_SILVER" hidden="1">"c9054"</definedName>
    <definedName name="IQ_PROVED_ATTRIB_ORE_RESERVES_TITAN" hidden="1">"c9534"</definedName>
    <definedName name="IQ_PROVED_ATTRIB_ORE_RESERVES_URAN" hidden="1">"c9587"</definedName>
    <definedName name="IQ_PROVED_ATTRIB_ORE_RESERVES_ZINC" hidden="1">"c9322"</definedName>
    <definedName name="IQ_PROVED_ORE_RESERVES_ALUM" hidden="1">"c9207"</definedName>
    <definedName name="IQ_PROVED_ORE_RESERVES_COP" hidden="1">"c9151"</definedName>
    <definedName name="IQ_PROVED_ORE_RESERVES_DIAM" hidden="1">"c9631"</definedName>
    <definedName name="IQ_PROVED_ORE_RESERVES_GOLD" hidden="1">"c8992"</definedName>
    <definedName name="IQ_PROVED_ORE_RESERVES_IRON" hidden="1">"c9366"</definedName>
    <definedName name="IQ_PROVED_ORE_RESERVES_LEAD" hidden="1">"c9419"</definedName>
    <definedName name="IQ_PROVED_ORE_RESERVES_MANG" hidden="1">"c9472"</definedName>
    <definedName name="IQ_PROVED_ORE_RESERVES_MOLYB" hidden="1">"c9684"</definedName>
    <definedName name="IQ_PROVED_ORE_RESERVES_NICK" hidden="1">"c9260"</definedName>
    <definedName name="IQ_PROVED_ORE_RESERVES_PLAT" hidden="1">"c9098"</definedName>
    <definedName name="IQ_PROVED_ORE_RESERVES_SILVER" hidden="1">"c9045"</definedName>
    <definedName name="IQ_PROVED_ORE_RESERVES_TITAN" hidden="1">"c9525"</definedName>
    <definedName name="IQ_PROVED_ORE_RESERVES_URAN" hidden="1">"c9578"</definedName>
    <definedName name="IQ_PROVED_ORE_RESERVES_ZINC" hidden="1">"c9313"</definedName>
    <definedName name="IQ_PROVED_RECOV_ATTRIB_RESERVES_ALUM" hidden="1">"c9219"</definedName>
    <definedName name="IQ_PROVED_RECOV_ATTRIB_RESERVES_COAL" hidden="1">"c9803"</definedName>
    <definedName name="IQ_PROVED_RECOV_ATTRIB_RESERVES_COP" hidden="1">"c9163"</definedName>
    <definedName name="IQ_PROVED_RECOV_ATTRIB_RESERVES_DIAM" hidden="1">"c9643"</definedName>
    <definedName name="IQ_PROVED_RECOV_ATTRIB_RESERVES_GOLD" hidden="1">"c9004"</definedName>
    <definedName name="IQ_PROVED_RECOV_ATTRIB_RESERVES_IRON" hidden="1">"c9378"</definedName>
    <definedName name="IQ_PROVED_RECOV_ATTRIB_RESERVES_LEAD" hidden="1">"c9431"</definedName>
    <definedName name="IQ_PROVED_RECOV_ATTRIB_RESERVES_MANG" hidden="1">"c9484"</definedName>
    <definedName name="IQ_PROVED_RECOV_ATTRIB_RESERVES_MET_COAL" hidden="1">"c9743"</definedName>
    <definedName name="IQ_PROVED_RECOV_ATTRIB_RESERVES_MOLYB" hidden="1">"c9696"</definedName>
    <definedName name="IQ_PROVED_RECOV_ATTRIB_RESERVES_NICK" hidden="1">"c9272"</definedName>
    <definedName name="IQ_PROVED_RECOV_ATTRIB_RESERVES_PLAT" hidden="1">"c9110"</definedName>
    <definedName name="IQ_PROVED_RECOV_ATTRIB_RESERVES_SILVER" hidden="1">"c9057"</definedName>
    <definedName name="IQ_PROVED_RECOV_ATTRIB_RESERVES_STEAM" hidden="1">"c9773"</definedName>
    <definedName name="IQ_PROVED_RECOV_ATTRIB_RESERVES_TITAN" hidden="1">"c9537"</definedName>
    <definedName name="IQ_PROVED_RECOV_ATTRIB_RESERVES_URAN" hidden="1">"c9590"</definedName>
    <definedName name="IQ_PROVED_RECOV_ATTRIB_RESERVES_ZINC" hidden="1">"c9325"</definedName>
    <definedName name="IQ_PROVED_RECOV_RESERVES_ALUM" hidden="1">"c9213"</definedName>
    <definedName name="IQ_PROVED_RECOV_RESERVES_COAL" hidden="1">"c9800"</definedName>
    <definedName name="IQ_PROVED_RECOV_RESERVES_COP" hidden="1">"c9157"</definedName>
    <definedName name="IQ_PROVED_RECOV_RESERVES_DIAM" hidden="1">"c9637"</definedName>
    <definedName name="IQ_PROVED_RECOV_RESERVES_GOLD" hidden="1">"c8998"</definedName>
    <definedName name="IQ_PROVED_RECOV_RESERVES_IRON" hidden="1">"c9372"</definedName>
    <definedName name="IQ_PROVED_RECOV_RESERVES_LEAD" hidden="1">"c9425"</definedName>
    <definedName name="IQ_PROVED_RECOV_RESERVES_MANG" hidden="1">"c9478"</definedName>
    <definedName name="IQ_PROVED_RECOV_RESERVES_MET_COAL" hidden="1">"c9740"</definedName>
    <definedName name="IQ_PROVED_RECOV_RESERVES_MOLYB" hidden="1">"c9690"</definedName>
    <definedName name="IQ_PROVED_RECOV_RESERVES_NICK" hidden="1">"c9266"</definedName>
    <definedName name="IQ_PROVED_RECOV_RESERVES_PLAT" hidden="1">"c9104"</definedName>
    <definedName name="IQ_PROVED_RECOV_RESERVES_SILVER" hidden="1">"c9051"</definedName>
    <definedName name="IQ_PROVED_RECOV_RESERVES_STEAM" hidden="1">"c9770"</definedName>
    <definedName name="IQ_PROVED_RECOV_RESERVES_TITAN" hidden="1">"c9531"</definedName>
    <definedName name="IQ_PROVED_RECOV_RESERVES_URAN" hidden="1">"c9584"</definedName>
    <definedName name="IQ_PROVED_RECOV_RESERVES_ZINC" hidden="1">"c9319"</definedName>
    <definedName name="IQ_PROVED_RESERVES_CALORIFIC_VALUE_COAL" hidden="1">"c9797"</definedName>
    <definedName name="IQ_PROVED_RESERVES_CALORIFIC_VALUE_MET_COAL" hidden="1">"c9737"</definedName>
    <definedName name="IQ_PROVED_RESERVES_CALORIFIC_VALUE_STEAM" hidden="1">"c9767"</definedName>
    <definedName name="IQ_PROVED_RESERVES_GRADE_ALUM" hidden="1">"c9208"</definedName>
    <definedName name="IQ_PROVED_RESERVES_GRADE_COP" hidden="1">"c9152"</definedName>
    <definedName name="IQ_PROVED_RESERVES_GRADE_DIAM" hidden="1">"c9632"</definedName>
    <definedName name="IQ_PROVED_RESERVES_GRADE_GOLD" hidden="1">"c8993"</definedName>
    <definedName name="IQ_PROVED_RESERVES_GRADE_IRON" hidden="1">"c9367"</definedName>
    <definedName name="IQ_PROVED_RESERVES_GRADE_LEAD" hidden="1">"c9420"</definedName>
    <definedName name="IQ_PROVED_RESERVES_GRADE_MANG" hidden="1">"c9473"</definedName>
    <definedName name="IQ_PROVED_RESERVES_GRADE_MOLYB" hidden="1">"c9685"</definedName>
    <definedName name="IQ_PROVED_RESERVES_GRADE_NICK" hidden="1">"c9261"</definedName>
    <definedName name="IQ_PROVED_RESERVES_GRADE_PLAT" hidden="1">"c9099"</definedName>
    <definedName name="IQ_PROVED_RESERVES_GRADE_SILVER" hidden="1">"c9046"</definedName>
    <definedName name="IQ_PROVED_RESERVES_GRADE_TITAN" hidden="1">"c9526"</definedName>
    <definedName name="IQ_PROVED_RESERVES_GRADE_URAN" hidden="1">"c9579"</definedName>
    <definedName name="IQ_PROVED_RESERVES_GRADE_ZINC" hidden="1">"c9314"</definedName>
    <definedName name="IQ_PROVEN_RESERVES_TO_TOTAL_RESERVES_COAL" hidden="1">"c15952"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AVG_LOANS" hidden="1">"c15717"</definedName>
    <definedName name="IQ_PROVISION_CHARGE_OFFS" hidden="1">"c1083"</definedName>
    <definedName name="IQ_PROVISION_LL_AVG_LOANS_THRIFT" hidden="1">"c25639"</definedName>
    <definedName name="IQ_PROVISION_LL_FFIEC" hidden="1">"c13019"</definedName>
    <definedName name="IQ_PROVISION_LL_INT_BEARING_ASSETS_THRIFT" hidden="1">"c24783"</definedName>
    <definedName name="IQ_PROVISION_LL_NET_LOSSES_THRIFT" hidden="1">"c25640"</definedName>
    <definedName name="IQ_PROVISION_LL_NON_INT_BEARING_ASSETS_THRIFT" hidden="1">"c24784"</definedName>
    <definedName name="IQ_PROVISION_LOAN_LL_AVG_ASSETS_THRIFT" hidden="1">"c25785"</definedName>
    <definedName name="IQ_PROVISION_LOAN_LOSS_AVG_ASSETS_FFIEC" hidden="1">"c18879"</definedName>
    <definedName name="IQ_PROVISION_LOAN_LOSSES_AVG_ASSETS_THRIFT" hidden="1">"c25653"</definedName>
    <definedName name="IQ_PROVISION_LOSSES_AVG_ASSETS_FFIEC" hidden="1">"c13362"</definedName>
    <definedName name="IQ_PROVISION_LOSSES_AVG_LOANS_FFIEC" hidden="1">"c13470"</definedName>
    <definedName name="IQ_PROVISION_LOSSES_NET_LOSSES_FFIEC" hidden="1">"c13471"</definedName>
    <definedName name="IQ_PSGR_REV" hidden="1">"c19125"</definedName>
    <definedName name="IQ_PTBV" hidden="1">"c1084"</definedName>
    <definedName name="IQ_PTBV_AVG" hidden="1">"c1085"</definedName>
    <definedName name="IQ_PURCHASE_FOREIGN_CURRENCIES_FDIC" hidden="1">"c6513"</definedName>
    <definedName name="IQ_PURCHASE_TREASURY_FFIEC" hidden="1">"c12966"</definedName>
    <definedName name="IQ_PURCHASED_COAL" hidden="1">"c15934"</definedName>
    <definedName name="IQ_PURCHASED_CREDIT_RELS_SERVICING_ASSETS_FFIEC" hidden="1">"c12839"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D_PRODUCTION_TO_SOLD_COAL" hidden="1">"c15947"</definedName>
    <definedName name="IQ_PURCHASED_TO_PRODUCTION_COAL" hidden="1">"c15948"</definedName>
    <definedName name="IQ_PURCHASED_TO_SOLD_COAL" hidden="1">"c15946"</definedName>
    <definedName name="IQ_PURCHASES_EQUIP_NONRES_SAAR_APR_FC_UNUSED" hidden="1">"c8491"</definedName>
    <definedName name="IQ_PURCHASES_EQUIP_NONRES_SAAR_APR_FC_UNUSED_UNUSED_UNUSED" hidden="1">"c8491"</definedName>
    <definedName name="IQ_PURCHASES_EQUIP_NONRES_SAAR_APR_UNUSED" hidden="1">"c7611"</definedName>
    <definedName name="IQ_PURCHASES_EQUIP_NONRES_SAAR_APR_UNUSED_UNUSED_UNUSED" hidden="1">"c7611"</definedName>
    <definedName name="IQ_PURCHASES_EQUIP_NONRES_SAAR_FC_UNUSED" hidden="1">"c7831"</definedName>
    <definedName name="IQ_PURCHASES_EQUIP_NONRES_SAAR_FC_UNUSED_UNUSED_UNUSED" hidden="1">"c7831"</definedName>
    <definedName name="IQ_PURCHASES_EQUIP_NONRES_SAAR_POP_FC_UNUSED" hidden="1">"c8051"</definedName>
    <definedName name="IQ_PURCHASES_EQUIP_NONRES_SAAR_POP_FC_UNUSED_UNUSED_UNUSED" hidden="1">"c8051"</definedName>
    <definedName name="IQ_PURCHASES_EQUIP_NONRES_SAAR_POP_UNUSED" hidden="1">"c7171"</definedName>
    <definedName name="IQ_PURCHASES_EQUIP_NONRES_SAAR_POP_UNUSED_UNUSED_UNUSED" hidden="1">"c7171"</definedName>
    <definedName name="IQ_PURCHASES_EQUIP_NONRES_SAAR_UNUSED" hidden="1">"c6951"</definedName>
    <definedName name="IQ_PURCHASES_EQUIP_NONRES_SAAR_UNUSED_UNUSED_UNUSED" hidden="1">"c6951"</definedName>
    <definedName name="IQ_PURCHASES_EQUIP_NONRES_SAAR_YOY_FC_UNUSED" hidden="1">"c8271"</definedName>
    <definedName name="IQ_PURCHASES_EQUIP_NONRES_SAAR_YOY_FC_UNUSED_UNUSED_UNUSED" hidden="1">"c8271"</definedName>
    <definedName name="IQ_PURCHASES_EQUIP_NONRES_SAAR_YOY_UNUSED" hidden="1">"c7391"</definedName>
    <definedName name="IQ_PURCHASES_EQUIP_NONRES_SAAR_YOY_UNUSED_UNUSED_UNUSED" hidden="1">"c7391"</definedName>
    <definedName name="IQ_PURCHASES_OTHER_MORTGAGE_BACKED_SEC_THRIFT" hidden="1">"c25314"</definedName>
    <definedName name="IQ_PURCHASES_PASS_THROUGH_MORTGAGE_BACKED_SEC_THRIFT" hidden="1">"c25311"</definedName>
    <definedName name="IQ_PURCHASING_SECURITIES_LL_REC_FFIEC" hidden="1">"c12893"</definedName>
    <definedName name="IQ_PUT_DATE_SCHEDULE" hidden="1">"c2483"</definedName>
    <definedName name="IQ_PUT_NOTIFICATION" hidden="1">"c2485"</definedName>
    <definedName name="IQ_PUT_PRICE_SCHEDULE" hidden="1">"c2484"</definedName>
    <definedName name="IQ_PV_PREMIUMS_NEW_BUSINESS" hidden="1">"c9973"</definedName>
    <definedName name="IQ_QTD" hidden="1">750000</definedName>
    <definedName name="IQ_QUALIFYING_MINORITY_INT_T1_FFIEC" hidden="1">"c13135"</definedName>
    <definedName name="IQ_QUALIFYING_MULTIFAMILY_RES_MORTGAGE_LOANS_ELIGIBLE_50_PCT_RISK_WEIGHT_THRIFT" hidden="1">"c25065"</definedName>
    <definedName name="IQ_QUALIFYING_SINGLE_FAMILY_RES_MORTGAGE_LOANS_ELIGIBLE_50_PCT_RISK_WEIGHT_THRIFT" hidden="1">"c25064"</definedName>
    <definedName name="IQ_QUALIFYING_SUB_DEBT_REDEEM_PREF_T2_FFIEC" hidden="1">"c13144"</definedName>
    <definedName name="IQ_QUALIFYING_SUB_DEBT_REDEEMABLE_PREFERRED_T2_THRIFT" hidden="1">"c25041"</definedName>
    <definedName name="IQ_QUALIFYING_TRUST_PREFERRED_T1_FFIEC" hidden="1">"c13136"</definedName>
    <definedName name="IQ_QUICK_COMP" hidden="1">"c13750"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TE_COUNTRY" hidden="1">"c19247"</definedName>
    <definedName name="IQ_RATE_LEVEL" hidden="1">"c19251"</definedName>
    <definedName name="IQ_RATE_NAME" hidden="1">"c19249"</definedName>
    <definedName name="IQ_RATE_TERM" hidden="1">"c19248"</definedName>
    <definedName name="IQ_RATE_TYPE" hidden="1">"c19246"</definedName>
    <definedName name="IQ_RAW_INV" hidden="1">"c1089"</definedName>
    <definedName name="IQ_RAW_SALEABLE_INVENTORY_COAL" hidden="1">"c15941"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1_4_DWELLING_UNITS_REPOSSESSED_ASSETS_ADJUSTED_NCOS_TOTAL_THRIFT" hidden="1">"c25220"</definedName>
    <definedName name="IQ_RE_1_4_DWELLING_UNITS_REPOSSESSED_ASSETS_GVA_CHARGE_OFFS_THRIFT" hidden="1">"c25135"</definedName>
    <definedName name="IQ_RE_1_4_DWELLING_UNITS_REPOSSESSED_ASSETS_SVA_PROVISIONS_TRANSFERS_FROM_GVA_TOTAL_THRIFT" hidden="1">"c25189"</definedName>
    <definedName name="IQ_RE_1_4_RISK_BASED_FFIEC" hidden="1">"c13418"</definedName>
    <definedName name="IQ_RE_ACQ_SATISFACTION_DEBTS_FFIEC" hidden="1">"c12832"</definedName>
    <definedName name="IQ_RE_ALL_OTHER_ACCOUNTS_THRIFT" hidden="1">"c25436"</definedName>
    <definedName name="IQ_RE_ASSET_DEVELOPMENT_PROP" hidden="1">"c19136"</definedName>
    <definedName name="IQ_RE_ASSET_INVESTMENT_PROP" hidden="1">"c19135"</definedName>
    <definedName name="IQ_RE_ASSET_OTHER_PROP" hidden="1">"c19137"</definedName>
    <definedName name="IQ_RE_ASSET_TOTAL_PROP" hidden="1">"c19138"</definedName>
    <definedName name="IQ_RE_CONSTRUCTION_REPOSSESSED_ASSETS_ADJUSTED_NCOS_TOTAL_THRIFT" hidden="1">"c25219"</definedName>
    <definedName name="IQ_RE_CONSTRUCTION_REPOSSESSED_ASSETS_GVA_CHARGE_OFFS_THRIFT" hidden="1">"c25134"</definedName>
    <definedName name="IQ_RE_CONSTRUCTION_REPOSSESSED_ASSETS_SVA_PROVISIONS_TRANSFERS_FROM_GVA_TOTAL_THRIFT" hidden="1">"c25188"</definedName>
    <definedName name="IQ_RE_DEPR_AMORT" hidden="1">"c8750"</definedName>
    <definedName name="IQ_RE_DEPRECIATION" hidden="1">"c16045"</definedName>
    <definedName name="IQ_RE_EMPLOYEE_BENEFIT_RETIREMENT_RELATED_ACCOUNTS_THRIFT" hidden="1">"c25420"</definedName>
    <definedName name="IQ_RE_FARMLAND_GROSS_LOANS_FFIEC" hidden="1">"c13408"</definedName>
    <definedName name="IQ_RE_FARMLAND_RISK_BASED_FFIEC" hidden="1">"c13429"</definedName>
    <definedName name="IQ_RE_FCCR" hidden="1">"c8858"</definedName>
    <definedName name="IQ_RE_FCCR_CONT_OPS" hidden="1">"c8859"</definedName>
    <definedName name="IQ_RE_FCCR_INCL_DISC_OPS" hidden="1">"c8860"</definedName>
    <definedName name="IQ_RE_FCCR_INCL_PREF_DIV" hidden="1">"c8861"</definedName>
    <definedName name="IQ_RE_FCCR_INCL_PREF_DIV_CONT_OPS" hidden="1">"c8862"</definedName>
    <definedName name="IQ_RE_FCCR_INCL_PREF_DIV_INCL_DISC_OPS" hidden="1">"c8863"</definedName>
    <definedName name="IQ_RE_FIXED_CHARGES" hidden="1">"c8856"</definedName>
    <definedName name="IQ_RE_FIXED_CHARGES_INCL_PREF_DIV" hidden="1">"c8857"</definedName>
    <definedName name="IQ_RE_FORECLOSURE_FDIC" hidden="1">"c6332"</definedName>
    <definedName name="IQ_RE_FOREIGN_FFIEC" hidden="1">"c13479"</definedName>
    <definedName name="IQ_RE_GAIN_LOSS_SALE_ASSETS" hidden="1">"c8751"</definedName>
    <definedName name="IQ_RE_HELD_INV_ADJUSTED_NCOS_THRIFT" hidden="1">"c25225"</definedName>
    <definedName name="IQ_RE_HELD_INV_GVA_CHARGE_OFFS_THRIFT" hidden="1">"c25140"</definedName>
    <definedName name="IQ_RE_HELD_INV_SVA_PROVISIONS_TRANSFERS_FROM_GVA_THRIFT" hidden="1">"c25194"</definedName>
    <definedName name="IQ_RE_HELD_INV_THRIFT" hidden="1">"c24878"</definedName>
    <definedName name="IQ_RE_INVEST_FDIC" hidden="1">"c6331"</definedName>
    <definedName name="IQ_RE_LAND_REPOSSESSED_ASSETS_ADJUSTED_NCOS_TOTAL_THRIFT" hidden="1">"c25223"</definedName>
    <definedName name="IQ_RE_LAND_REPOSSESSED_ASSETS_GVA_CHARGE_OFFS_THRIFT" hidden="1">"c25138"</definedName>
    <definedName name="IQ_RE_LAND_REPOSSESSED_ASSETS_SVA_PROVISIONS_TRANSFERS_FROM_GVA_TOTAL_THRIFT" hidden="1">"c25192"</definedName>
    <definedName name="IQ_RE_LOANS_1_4_GROSS_LOANS_FFIEC" hidden="1">"c13397"</definedName>
    <definedName name="IQ_RE_LOANS_DOM_QUARTERLY_AVG_FFIEC" hidden="1">"c15476"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DUE_30_89_FFIEC" hidden="1">"c25826"</definedName>
    <definedName name="IQ_RE_LOANS_DUE_90_FFIEC" hidden="1">"c25827"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_LOANS_GROSS_LOANS_FFIEC" hidden="1">"c13396"</definedName>
    <definedName name="IQ_RE_LOANS_NON_ACCRUAL_FFIEC" hidden="1">"c25828"</definedName>
    <definedName name="IQ_RE_LOANS_SECURED_1_4_FAMILY_GROSS_LOANS_THRIFT" hidden="1">"c25722"</definedName>
    <definedName name="IQ_RE_LOANS_SECURED_1_4_FAMILY_RISK_BASED_CAPITAL_THRIFT" hidden="1">"c25707"</definedName>
    <definedName name="IQ_RE_LOANS_SECURED_LAND_GROSS_LOANS_THRIFT" hidden="1">"c25731"</definedName>
    <definedName name="IQ_RE_LOANS_SECURED_LAND_RISK_BASED_CAPITAL_THRIFT" hidden="1">"c25716"</definedName>
    <definedName name="IQ_RE_MAINT_CAPEX" hidden="1">"c8755"</definedName>
    <definedName name="IQ_RE_MINORITY_INTEREST" hidden="1">"c8752"</definedName>
    <definedName name="IQ_RE_MORTGAGES_ALL_OTHER_ACCOUNTS_THRIFT" hidden="1">"c25435"</definedName>
    <definedName name="IQ_RE_MORTGAGES_EMPLOYEE_BENEFIT_RETIREMENT_RELATED_ACCOUNTS_THRIFT" hidden="1">"c25419"</definedName>
    <definedName name="IQ_RE_MORTGAGES_PERSONAL_TRUST_AGENCY_INV_MANAGEMENT_ACCOUNTS_THRIFT" hidden="1">"c25403"</definedName>
    <definedName name="IQ_RE_MULTIFAMILY_5_MORE_DWELLING_UNITS_REPOSSESSED_ASSETS_ADJUSTED_NCOS_TOTAL_THRIFT" hidden="1">"c25221"</definedName>
    <definedName name="IQ_RE_MULTIFAMILY_5_MORE_DWELLING_UNITS_REPOSSESSED_ASSETS_GVA_CHARGE_OFFS_THRIFT" hidden="1">"c25136"</definedName>
    <definedName name="IQ_RE_MULTIFAMILY_5_MORE_DWELLING_UNITS_REPOSSESSED_ASSETS_SVA_PROVISIONS_TRANSFERS_FROM_GVA_TOTAL_THRIFT" hidden="1">"c25190"</definedName>
    <definedName name="IQ_RE_NET_INCOME" hidden="1">"c8749"</definedName>
    <definedName name="IQ_RE_NOI" hidden="1">"c8864"</definedName>
    <definedName name="IQ_RE_NOI_GROWTH_SAME_PROP" hidden="1">"c8866"</definedName>
    <definedName name="IQ_RE_NOI_SAME_PROP" hidden="1">"c8865"</definedName>
    <definedName name="IQ_RE_NONRES_EXCEPT_LAND_REPOSSESSED_ASSETS_ADJUSTED_NCOS_TOTAL_THRIFT" hidden="1">"c25222"</definedName>
    <definedName name="IQ_RE_NONRES_EXCEPT_LAND_REPOSSESSED_ASSETS_GVA_CHARGE_OFFS_THRIFT" hidden="1">"c25137"</definedName>
    <definedName name="IQ_RE_NONRES_EXCEPT_LAND_REPOSSESSED_ASSETS_SVA_PROVISIONS_TRANSFERS_FROM_GVA_TOTAL_THRIFT" hidden="1">"c25191"</definedName>
    <definedName name="IQ_RE_OTHER_ITEMS" hidden="1">"c8753"</definedName>
    <definedName name="IQ_RE_PERSONAL_TRUST_AGENCY_INV_MANAGEMENT_ACCOUNTS_THRIFT" hidden="1">"c25404"</definedName>
    <definedName name="IQ_RE_RENTAL_EXPENSE" hidden="1">"c16036"</definedName>
    <definedName name="IQ_RE_RISK_BASED_FFIEC" hidden="1">"c13417"</definedName>
    <definedName name="IQ_REAL_DOMESTIC_PURCHASES" hidden="1">"c20997"</definedName>
    <definedName name="IQ_REAL_ESTATE" hidden="1">"c1093"</definedName>
    <definedName name="IQ_REAL_ESTATE_ASSETS" hidden="1">"c1094"</definedName>
    <definedName name="IQ_REAL_EXPORT" hidden="1">"c20998"</definedName>
    <definedName name="IQ_REAL_EXPORT_GOODS" hidden="1">"c20999"</definedName>
    <definedName name="IQ_REAL_EXPORT_INCOME" hidden="1">"c21000"</definedName>
    <definedName name="IQ_REAL_EXPORT_SERVICES" hidden="1">"c21001"</definedName>
    <definedName name="IQ_REAL_FIXED_INVESTMENT" hidden="1">"c21002"</definedName>
    <definedName name="IQ_REAL_GDP" hidden="1">"c21003"</definedName>
    <definedName name="IQ_REAL_GDP_FC" hidden="1">"c21004"</definedName>
    <definedName name="IQ_REAL_GDP_GROWTH" hidden="1">"c21005"</definedName>
    <definedName name="IQ_REAL_GDP_GROWTH_FC" hidden="1">"c21006"</definedName>
    <definedName name="IQ_REAL_GDP_USD" hidden="1">"c21007"</definedName>
    <definedName name="IQ_REAL_GDP_USD_FC" hidden="1">"c21008"</definedName>
    <definedName name="IQ_REAL_GNP" hidden="1">"c21009"</definedName>
    <definedName name="IQ_REAL_GOVT_CONSUM_INVEST" hidden="1">"c21010"</definedName>
    <definedName name="IQ_REAL_GOVT_CONSUM_INVEST_DEF" hidden="1">"c21011"</definedName>
    <definedName name="IQ_REAL_GOVT_CONSUM_INVEST_DEF_CONSUM" hidden="1">"c21012"</definedName>
    <definedName name="IQ_REAL_GOVT_CONSUM_INVEST_DEF_INVEST" hidden="1">"c21013"</definedName>
    <definedName name="IQ_REAL_GOVT_CONSUM_INVEST_FEDERAL" hidden="1">"c21014"</definedName>
    <definedName name="IQ_REAL_GOVT_CONSUM_INVEST_NONDEF" hidden="1">"c21015"</definedName>
    <definedName name="IQ_REAL_GOVT_CONSUM_INVEST_NONDEF_CONSUM" hidden="1">"c21016"</definedName>
    <definedName name="IQ_REAL_GOVT_CONSUM_INVEST_NONDEF_INVEST" hidden="1">"c21017"</definedName>
    <definedName name="IQ_REAL_GOVT_CONSUM_INVEST_STATE_LOCAL" hidden="1">"c21018"</definedName>
    <definedName name="IQ_REAL_GOVT_CONSUM_INVEST_STATE_LOCAL_CONSUM" hidden="1">"c21019"</definedName>
    <definedName name="IQ_REAL_GOVT_CONSUM_INVEST_STATE_LOCAL_INVEST" hidden="1">"c21020"</definedName>
    <definedName name="IQ_REAL_IMPORT" hidden="1">"c21021"</definedName>
    <definedName name="IQ_REAL_IMPORT_GOODS" hidden="1">"c21022"</definedName>
    <definedName name="IQ_REAL_IMPORT_INCOME" hidden="1">"c21023"</definedName>
    <definedName name="IQ_REAL_IMPORT_SERVICES" hidden="1">"c21024"</definedName>
    <definedName name="IQ_REAL_NET_DOMESTIC_PRODUCTION" hidden="1">"c21025"</definedName>
    <definedName name="IQ_REAL_NET_EXPORT" hidden="1">"c21026"</definedName>
    <definedName name="IQ_REAL_PCE" hidden="1">"c21027"</definedName>
    <definedName name="IQ_REAL_PCE_CLOTHING" hidden="1">"c21028"</definedName>
    <definedName name="IQ_REAL_PCE_DUR_GOODS" hidden="1">"c21029"</definedName>
    <definedName name="IQ_REAL_PCE_DUR_GOODS_OTHER" hidden="1">"c21030"</definedName>
    <definedName name="IQ_REAL_PCE_FINANCIAL" hidden="1">"c21031"</definedName>
    <definedName name="IQ_REAL_PCE_FOOD_ACCOMADATIONS" hidden="1">"c21032"</definedName>
    <definedName name="IQ_REAL_PCE_FOOD_BEVERAGE" hidden="1">"c21033"</definedName>
    <definedName name="IQ_REAL_PCE_FURNISHINGS" hidden="1">"c21034"</definedName>
    <definedName name="IQ_REAL_PCE_GAS" hidden="1">"c21035"</definedName>
    <definedName name="IQ_REAL_PCE_GOOD" hidden="1">"c21036"</definedName>
    <definedName name="IQ_REAL_PCE_HEALTH_CARE" hidden="1">"c21037"</definedName>
    <definedName name="IQ_REAL_PCE_HOUSEHOLD_CONSUM" hidden="1">"c21038"</definedName>
    <definedName name="IQ_REAL_PCE_HOUSEHOLD_CONSUM_OTHER" hidden="1">"c21039"</definedName>
    <definedName name="IQ_REAL_PCE_HOUSING" hidden="1">"c21040"</definedName>
    <definedName name="IQ_REAL_PCE_MOTOR_VEHICLE" hidden="1">"c21041"</definedName>
    <definedName name="IQ_REAL_PCE_NONDUR_GOODS" hidden="1">"c21042"</definedName>
    <definedName name="IQ_REAL_PCE_NONDUR_GOODS_OTHER" hidden="1">"c21043"</definedName>
    <definedName name="IQ_REAL_PCE_NONPROFIT_CONSUM" hidden="1">"c21044"</definedName>
    <definedName name="IQ_REAL_PCE_NONPROFIT_OUTPUT" hidden="1">"c21045"</definedName>
    <definedName name="IQ_REAL_PCE_NONPROFIT_RECEIPTS" hidden="1">"c21046"</definedName>
    <definedName name="IQ_REAL_PCE_RECREATION_GOODS" hidden="1">"c21047"</definedName>
    <definedName name="IQ_REAL_PCE_RECREATION_SERVICES" hidden="1">"c21048"</definedName>
    <definedName name="IQ_REAL_PCE_SERVICES" hidden="1">"c21049"</definedName>
    <definedName name="IQ_REAL_PCE_TRANSPORTATION" hidden="1">"c21050"</definedName>
    <definedName name="IQ_REAL_PRIVATE_CONSUM_GROWTH" hidden="1">"c21051"</definedName>
    <definedName name="IQ_REAL_PRIVATE_INVEST" hidden="1">"c21052"</definedName>
    <definedName name="IQ_REAL_PRIVATE_INVEST_EQUIP" hidden="1">"c21053"</definedName>
    <definedName name="IQ_REAL_PRIVATE_INVEST_EQUIP_OTHER" hidden="1">"c21054"</definedName>
    <definedName name="IQ_REAL_PRIVATE_INVEST_FIXED" hidden="1">"c21055"</definedName>
    <definedName name="IQ_REAL_PRIVATE_INVEST_INDUSTRIAL_EQUIP" hidden="1">"c21056"</definedName>
    <definedName name="IQ_REAL_PRIVATE_INVEST_INFO_EQUIP" hidden="1">"c21057"</definedName>
    <definedName name="IQ_REAL_PRIVATE_INVEST_INFO_EQUIP_COMPUTERS" hidden="1">"c21058"</definedName>
    <definedName name="IQ_REAL_PRIVATE_INVEST_INFO_EQUIP_OTHER" hidden="1">"c21059"</definedName>
    <definedName name="IQ_REAL_PRIVATE_INVEST_INFO_EQUIP_SOFTWARE" hidden="1">"c21060"</definedName>
    <definedName name="IQ_REAL_PRIVATE_INVEST_NONRES" hidden="1">"c21061"</definedName>
    <definedName name="IQ_REAL_PRIVATE_INVEST_PRIVATE_INV_CHANGE" hidden="1">"c21062"</definedName>
    <definedName name="IQ_REAL_PRIVATE_INVEST_PRIVATE_INV_FARMS" hidden="1">"c21063"</definedName>
    <definedName name="IQ_REAL_PRIVATE_INVEST_PRIVATE_INV_NONFARMS" hidden="1">"c21064"</definedName>
    <definedName name="IQ_REAL_PRIVATE_INVEST_RES" hidden="1">"c21065"</definedName>
    <definedName name="IQ_REAL_PRIVATE_INVEST_STRUCTURES" hidden="1">"c21066"</definedName>
    <definedName name="IQ_REAL_PRIVATE_INVEST_TRANSPORTATION_EQUIP" hidden="1">"c21067"</definedName>
    <definedName name="IQ_REAL_SALES_TO_DOMESTIC_PURCHASES" hidden="1">"c21068"</definedName>
    <definedName name="IQ_REALIZED_GAINS_AVAIL_SALE_SEC_FFIEC" hidden="1">"c13022"</definedName>
    <definedName name="IQ_REALIZED_GAINS_HELD_MATURITY_SEC_FFIEC" hidden="1">"c13021"</definedName>
    <definedName name="IQ_REALIZED_GAINS_SEC_TOT_FFIEC" hidden="1">"c13517"</definedName>
    <definedName name="IQ_REBOOKED_GNMA_LOANS_REPURCHASED_ELIGIBLE_REPURCHASE_DUE_30_89_THRIFT" hidden="1">"c25260"</definedName>
    <definedName name="IQ_REBOOKED_GNMA_LOANS_REPURCHASED_ELIGIBLE_REPURCHASE_DUE_90_THRIFT" hidden="1">"c25281"</definedName>
    <definedName name="IQ_REBOOKED_GNMA_LOANS_REPURCHASED_ELIGIBLE_REPURCHASE_NON_ACCRUAL_THRIFT" hidden="1">"c25302"</definedName>
    <definedName name="IQ_REBOOKED_GNMA_REPUR_GUARANTEED_US_EXCL_LOSS_SHARING_DUE_30_89_FFIEC" hidden="1">"c27070"</definedName>
    <definedName name="IQ_REBOOKED_GNMA_REPUR_GUARANTEED_US_EXCL_LOSS_SHARING_DUE_90_FFIEC" hidden="1">"c27110"</definedName>
    <definedName name="IQ_REBOOKED_GNMA_REPUR_GUARANTEED_US_EXCL_LOSS_SHARING_NON_ACCRUAL_FFIEC" hidden="1">"c27150"</definedName>
    <definedName name="IQ_RECENT_FUNDS" hidden="1">"c18908"</definedName>
    <definedName name="IQ_RECENT_FUNDS_ID" hidden="1">"c18909"</definedName>
    <definedName name="IQ_RECIPROCAL_BROKERED_DEPOSITS_THRIFT" hidden="1">"c24997"</definedName>
    <definedName name="IQ_RECORDED_INV_PURCHASED_CREDIT_IMPAIRED_LOANS_THRIFT" hidden="1">"c25238"</definedName>
    <definedName name="IQ_RECOVERIES_1_4_FAMILY_LOANS_FDIC" hidden="1">"c6707"</definedName>
    <definedName name="IQ_RECOVERIES_AUTO_LOANS_FDIC" hidden="1">"c6701"</definedName>
    <definedName name="IQ_RECOVERIES_AVG_LOANS_FFIEC" hidden="1">"c13476"</definedName>
    <definedName name="IQ_RECOVERIES_CL_LOANS_FDIC" hidden="1">"c6702"</definedName>
    <definedName name="IQ_RECOVERIES_CREDIT_CARDS_RECEIVABLES_FDIC" hidden="1">"c6704"</definedName>
    <definedName name="IQ_RECOVERIES_GVA_THRIFT" hidden="1">"c25094"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COVERIES_TVA_THRIFT" hidden="1">"c25108"</definedName>
    <definedName name="IQ_RECURRING_PROFIT_ACT_OR_EST" hidden="1">"c4507"</definedName>
    <definedName name="IQ_RECURRING_PROFIT_ACT_OR_EST_CIQ" hidden="1">"c5045"</definedName>
    <definedName name="IQ_RECURRING_PROFIT_ACT_OR_EST_CIQ_COL" hidden="1">"c11692"</definedName>
    <definedName name="IQ_RECURRING_PROFIT_EST" hidden="1">"c4499"</definedName>
    <definedName name="IQ_RECURRING_PROFIT_GUIDANCE" hidden="1">"c4500"</definedName>
    <definedName name="IQ_RECURRING_PROFIT_GUIDANCE_CIQ" hidden="1">"c5038"</definedName>
    <definedName name="IQ_RECURRING_PROFIT_GUIDANCE_CIQ_COL" hidden="1">"c11685"</definedName>
    <definedName name="IQ_RECURRING_PROFIT_HIGH_EST" hidden="1">"c4501"</definedName>
    <definedName name="IQ_RECURRING_PROFIT_HIGH_GUIDANCE" hidden="1">"c4179"</definedName>
    <definedName name="IQ_RECURRING_PROFIT_HIGH_GUIDANCE_CIQ" hidden="1">"c4591"</definedName>
    <definedName name="IQ_RECURRING_PROFIT_HIGH_GUIDANCE_CIQ_COL" hidden="1">"c11240"</definedName>
    <definedName name="IQ_RECURRING_PROFIT_LOW_EST" hidden="1">"c4502"</definedName>
    <definedName name="IQ_RECURRING_PROFIT_LOW_GUIDANCE" hidden="1">"c4219"</definedName>
    <definedName name="IQ_RECURRING_PROFIT_LOW_GUIDANCE_CIQ" hidden="1">"c4631"</definedName>
    <definedName name="IQ_RECURRING_PROFIT_LOW_GUIDANCE_CIQ_COL" hidden="1">"c11280"</definedName>
    <definedName name="IQ_RECURRING_PROFIT_MEDIAN_EST" hidden="1">"c4503"</definedName>
    <definedName name="IQ_RECURRING_PROFIT_NUM_EST" hidden="1">"c4504"</definedName>
    <definedName name="IQ_RECURRING_PROFIT_SHARE_ACT_OR_EST" hidden="1">"c4508"</definedName>
    <definedName name="IQ_RECURRING_PROFIT_SHARE_ACT_OR_EST_CIQ" hidden="1">"c5046"</definedName>
    <definedName name="IQ_RECURRING_PROFIT_SHARE_ACT_OR_EST_CIQ_COL" hidden="1">"c11693"</definedName>
    <definedName name="IQ_RECURRING_PROFIT_SHARE_EST" hidden="1">"c4506"</definedName>
    <definedName name="IQ_RECURRING_PROFIT_SHARE_GUIDANCE" hidden="1">"c4509"</definedName>
    <definedName name="IQ_RECURRING_PROFIT_SHARE_GUIDANCE_CIQ" hidden="1">"c5047"</definedName>
    <definedName name="IQ_RECURRING_PROFIT_SHARE_GUIDANCE_CIQ_COL" hidden="1">"c11694"</definedName>
    <definedName name="IQ_RECURRING_PROFIT_SHARE_HIGH_EST" hidden="1">"c4510"</definedName>
    <definedName name="IQ_RECURRING_PROFIT_SHARE_HIGH_GUIDANCE" hidden="1">"c4200"</definedName>
    <definedName name="IQ_RECURRING_PROFIT_SHARE_HIGH_GUIDANCE_CIQ" hidden="1">"c4612"</definedName>
    <definedName name="IQ_RECURRING_PROFIT_SHARE_HIGH_GUIDANCE_CIQ_COL" hidden="1">"c11261"</definedName>
    <definedName name="IQ_RECURRING_PROFIT_SHARE_LOW_EST" hidden="1">"c4511"</definedName>
    <definedName name="IQ_RECURRING_PROFIT_SHARE_LOW_GUIDANCE" hidden="1">"c4240"</definedName>
    <definedName name="IQ_RECURRING_PROFIT_SHARE_LOW_GUIDANCE_CIQ" hidden="1">"c4652"</definedName>
    <definedName name="IQ_RECURRING_PROFIT_SHARE_LOW_GUIDANCE_CIQ_COL" hidden="1">"c11301"</definedName>
    <definedName name="IQ_RECURRING_PROFIT_SHARE_MEDIAN_EST" hidden="1">"c4512"</definedName>
    <definedName name="IQ_RECURRING_PROFIT_SHARE_NUM_EST" hidden="1">"c4513"</definedName>
    <definedName name="IQ_RECURRING_PROFIT_SHARE_STDDEV_EST" hidden="1">"c4514"</definedName>
    <definedName name="IQ_RECURRING_PROFIT_STDDEV_EST" hidden="1">"c4516"</definedName>
    <definedName name="IQ_REDEEM_PREF_STOCK" localSheetId="7" hidden="1">"c1417"</definedName>
    <definedName name="IQ_REDEEM_PREF_STOCK" localSheetId="8" hidden="1">"c1417"</definedName>
    <definedName name="IQ_REDEEM_PREF_STOCK" hidden="1">"c1417"</definedName>
    <definedName name="IQ_REDUCTION_TAX_POSITION_CURRENT_YR" hidden="1">"c15734"</definedName>
    <definedName name="IQ_REDUCTION_TAX_POSITION_PRIOR_YRS" hidden="1">"c15736"</definedName>
    <definedName name="IQ_REF_ENTITY" hidden="1">"c6033"</definedName>
    <definedName name="IQ_REF_ENTITY_CIQID" hidden="1">"c6024"</definedName>
    <definedName name="IQ_REF_ENTITY_TICKER" hidden="1">"c6023"</definedName>
    <definedName name="IQ_REG_ASSETS" hidden="1">"c1095"</definedName>
    <definedName name="IQ_REINSTATED" hidden="1">"c16221"</definedName>
    <definedName name="IQ_REINSTATEMENT_DATE" hidden="1">"c16222"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INSURANCE_RECOVERABLE_ASSETS_LH_FFIEC" hidden="1">"c13104"</definedName>
    <definedName name="IQ_REINSURANCE_RECOVERABLE_ASSETS_PC_FFIEC" hidden="1">"c13098"</definedName>
    <definedName name="IQ_RELATED_PLANS_FDIC" hidden="1">"c6320"</definedName>
    <definedName name="IQ_RENT_AVG_PROP" hidden="1">"c16056"</definedName>
    <definedName name="IQ_RENT_OTHER_INC_FROM_OREO_FFIEC" hidden="1">"c13043"</definedName>
    <definedName name="IQ_RENT_PER_SQ_FT_AVG_CONSOL" hidden="1">"c8846"</definedName>
    <definedName name="IQ_RENT_PER_SQ_FT_AVG_MANAGED" hidden="1">"c8848"</definedName>
    <definedName name="IQ_RENT_PER_SQ_FT_AVG_OTHER" hidden="1">"c8849"</definedName>
    <definedName name="IQ_RENT_PER_SQ_FT_AVG_TOTAL" hidden="1">"c8850"</definedName>
    <definedName name="IQ_RENT_PER_SQ_FT_AVG_UNCONSOL" hidden="1">"c8847"</definedName>
    <definedName name="IQ_RENT_PER_SQ_METER_AVG_CONSOL" hidden="1">"c8851"</definedName>
    <definedName name="IQ_RENT_PER_SQ_METER_AVG_MANAGED" hidden="1">"c8853"</definedName>
    <definedName name="IQ_RENT_PER_SQ_METER_AVG_OTHER" hidden="1">"c8854"</definedName>
    <definedName name="IQ_RENT_PER_SQ_METER_AVG_TOTAL" hidden="1">"c8855"</definedName>
    <definedName name="IQ_RENT_PER_SQ_METER_AVG_UNCONSOL" hidden="1">"c8852"</definedName>
    <definedName name="IQ_RENT_SAFE_DEPOSIT_FFIEC" hidden="1">"c13044"</definedName>
    <definedName name="IQ_RENTAL_NOI" hidden="1">"c16065"</definedName>
    <definedName name="IQ_RENTAL_NOI_AVG_GROSS_PROP" hidden="1">"c16057"</definedName>
    <definedName name="IQ_RENTAL_NOI_TOTAL_RENT_REVENUE" hidden="1">"c16061"</definedName>
    <definedName name="IQ_RENTAL_REV" hidden="1">"c1101"</definedName>
    <definedName name="IQ_REPAIRS_MAINTENANCE" hidden="1">"c16032"</definedName>
    <definedName name="IQ_REPO" hidden="1">"c19133"</definedName>
    <definedName name="IQ_REPOSSESS_1_4_DWELLING_UNITS_RE_THRIFT" hidden="1">"c24871"</definedName>
    <definedName name="IQ_REPOSSESS_ASSETS_THRIFT" hidden="1">"c24869"</definedName>
    <definedName name="IQ_REPOSSESS_CONSTRUCTION_RE_THRIFT" hidden="1">"c24870"</definedName>
    <definedName name="IQ_REPOSSESS_GVA_THRIFT" hidden="1">"c24877"</definedName>
    <definedName name="IQ_REPOSSESS_LAND_THRIFT" hidden="1">"c24874"</definedName>
    <definedName name="IQ_REPOSSESS_MULTIFAMILY_5_MORE_DWELLING_UNITS_RE_THRIFT" hidden="1">"c24872"</definedName>
    <definedName name="IQ_REPOSSESS_NONRES_EXCEPT_LAND_RE_THRIFT" hidden="1">"c24873"</definedName>
    <definedName name="IQ_REPOSSESS_OTHER_ASSETS_THRIFT" hidden="1">"c24876"</definedName>
    <definedName name="IQ_REPOSSESS_US_GOVT_GUARANTEED_INSURED_RE_OWNED_THRIFT" hidden="1">"c24875"</definedName>
    <definedName name="IQ_REPOSSESSED_ASSETS_TOTAL_ADJUSTED_NCOS_TOTAL_THRIFT" hidden="1">"c25218"</definedName>
    <definedName name="IQ_REPOSSESSED_ASSETS_TOTAL_GVA_CHARGE_OFFS_THRIFT" hidden="1">"c25133"</definedName>
    <definedName name="IQ_REPOSSESSED_ASSETS_TOTAL_SVA_PROVISIONS_TRANSFERS_FROM_GVA_TOTAL_THRIFT" hidden="1">"c25187"</definedName>
    <definedName name="IQ_REPRICEABLE_EARNING_ASSETS_INT_SENSITIVITY_FFIEC" hidden="1">"c13093"</definedName>
    <definedName name="IQ_REPRICEABLE_INT_DEPOSITS_INT_SENSITIVITY_FFIEC" hidden="1">"c13094"</definedName>
    <definedName name="IQ_REPURCHASED_REBOOKED_GNMA_DUE_30_89_FFIEC" hidden="1">"c13283"</definedName>
    <definedName name="IQ_REPURCHASED_REBOOKED_GNMA_DUE_90_FFIEC" hidden="1">"c13309"</definedName>
    <definedName name="IQ_REPURCHASED_REBOOKED_GNMA_NON_ACCRUAL_FFIEC" hidden="1">"c13334"</definedName>
    <definedName name="IQ_RES_CONST_REAL_APR_FC_UNUSED" hidden="1">"c8536"</definedName>
    <definedName name="IQ_RES_CONST_REAL_APR_FC_UNUSED_UNUSED_UNUSED" hidden="1">"c8536"</definedName>
    <definedName name="IQ_RES_CONST_REAL_APR_UNUSED" hidden="1">"c7656"</definedName>
    <definedName name="IQ_RES_CONST_REAL_APR_UNUSED_UNUSED_UNUSED" hidden="1">"c7656"</definedName>
    <definedName name="IQ_RES_CONST_REAL_FC_UNUSED" hidden="1">"c7876"</definedName>
    <definedName name="IQ_RES_CONST_REAL_FC_UNUSED_UNUSED_UNUSED" hidden="1">"c7876"</definedName>
    <definedName name="IQ_RES_CONST_REAL_POP_FC_UNUSED" hidden="1">"c8096"</definedName>
    <definedName name="IQ_RES_CONST_REAL_POP_FC_UNUSED_UNUSED_UNUSED" hidden="1">"c8096"</definedName>
    <definedName name="IQ_RES_CONST_REAL_POP_UNUSED" hidden="1">"c7216"</definedName>
    <definedName name="IQ_RES_CONST_REAL_POP_UNUSED_UNUSED_UNUSED" hidden="1">"c7216"</definedName>
    <definedName name="IQ_RES_CONST_REAL_SAAR_APR_FC_UNUSED" hidden="1">"c8537"</definedName>
    <definedName name="IQ_RES_CONST_REAL_SAAR_APR_FC_UNUSED_UNUSED_UNUSED" hidden="1">"c8537"</definedName>
    <definedName name="IQ_RES_CONST_REAL_SAAR_APR_UNUSED" hidden="1">"c7657"</definedName>
    <definedName name="IQ_RES_CONST_REAL_SAAR_APR_UNUSED_UNUSED_UNUSED" hidden="1">"c7657"</definedName>
    <definedName name="IQ_RES_CONST_REAL_SAAR_FC_UNUSED" hidden="1">"c7877"</definedName>
    <definedName name="IQ_RES_CONST_REAL_SAAR_FC_UNUSED_UNUSED_UNUSED" hidden="1">"c7877"</definedName>
    <definedName name="IQ_RES_CONST_REAL_SAAR_POP_FC_UNUSED" hidden="1">"c8097"</definedName>
    <definedName name="IQ_RES_CONST_REAL_SAAR_POP_FC_UNUSED_UNUSED_UNUSED" hidden="1">"c8097"</definedName>
    <definedName name="IQ_RES_CONST_REAL_SAAR_POP_UNUSED" hidden="1">"c7217"</definedName>
    <definedName name="IQ_RES_CONST_REAL_SAAR_POP_UNUSED_UNUSED_UNUSED" hidden="1">"c7217"</definedName>
    <definedName name="IQ_RES_CONST_REAL_SAAR_UNUSED" hidden="1">"c6997"</definedName>
    <definedName name="IQ_RES_CONST_REAL_SAAR_UNUSED_UNUSED_UNUSED" hidden="1">"c6997"</definedName>
    <definedName name="IQ_RES_CONST_REAL_SAAR_YOY_FC_UNUSED" hidden="1">"c8317"</definedName>
    <definedName name="IQ_RES_CONST_REAL_SAAR_YOY_FC_UNUSED_UNUSED_UNUSED" hidden="1">"c8317"</definedName>
    <definedName name="IQ_RES_CONST_REAL_SAAR_YOY_UNUSED" hidden="1">"c7437"</definedName>
    <definedName name="IQ_RES_CONST_REAL_SAAR_YOY_UNUSED_UNUSED_UNUSED" hidden="1">"c7437"</definedName>
    <definedName name="IQ_RES_CONST_REAL_UNUSED" hidden="1">"c6996"</definedName>
    <definedName name="IQ_RES_CONST_REAL_UNUSED_UNUSED_UNUSED" hidden="1">"c6996"</definedName>
    <definedName name="IQ_RES_CONST_REAL_YOY_FC_UNUSED" hidden="1">"c8316"</definedName>
    <definedName name="IQ_RES_CONST_REAL_YOY_FC_UNUSED_UNUSED_UNUSED" hidden="1">"c8316"</definedName>
    <definedName name="IQ_RES_CONST_REAL_YOY_UNUSED" hidden="1">"c7436"</definedName>
    <definedName name="IQ_RES_CONST_REAL_YOY_UNUSED_UNUSED_UNUSED" hidden="1">"c7436"</definedName>
    <definedName name="IQ_RES_CONST_SAAR_APR_FC_UNUSED" hidden="1">"c8540"</definedName>
    <definedName name="IQ_RES_CONST_SAAR_APR_FC_UNUSED_UNUSED_UNUSED" hidden="1">"c8540"</definedName>
    <definedName name="IQ_RES_CONST_SAAR_APR_UNUSED" hidden="1">"c7660"</definedName>
    <definedName name="IQ_RES_CONST_SAAR_APR_UNUSED_UNUSED_UNUSED" hidden="1">"c7660"</definedName>
    <definedName name="IQ_RES_CONST_SAAR_FC_UNUSED" hidden="1">"c7880"</definedName>
    <definedName name="IQ_RES_CONST_SAAR_FC_UNUSED_UNUSED_UNUSED" hidden="1">"c7880"</definedName>
    <definedName name="IQ_RES_CONST_SAAR_POP_FC_UNUSED" hidden="1">"c8100"</definedName>
    <definedName name="IQ_RES_CONST_SAAR_POP_FC_UNUSED_UNUSED_UNUSED" hidden="1">"c8100"</definedName>
    <definedName name="IQ_RES_CONST_SAAR_POP_UNUSED" hidden="1">"c7220"</definedName>
    <definedName name="IQ_RES_CONST_SAAR_POP_UNUSED_UNUSED_UNUSED" hidden="1">"c7220"</definedName>
    <definedName name="IQ_RES_CONST_SAAR_UNUSED" hidden="1">"c7000"</definedName>
    <definedName name="IQ_RES_CONST_SAAR_UNUSED_UNUSED_UNUSED" hidden="1">"c7000"</definedName>
    <definedName name="IQ_RES_CONST_SAAR_YOY_FC_UNUSED" hidden="1">"c8320"</definedName>
    <definedName name="IQ_RES_CONST_SAAR_YOY_FC_UNUSED_UNUSED_UNUSED" hidden="1">"c8320"</definedName>
    <definedName name="IQ_RES_CONST_SAAR_YOY_UNUSED" hidden="1">"c7440"</definedName>
    <definedName name="IQ_RES_CONST_SAAR_YOY_UNUSED_UNUSED_UNUSED" hidden="1">"c7440"</definedName>
    <definedName name="IQ_RES_FIXED_INVEST" hidden="1">"c7001"</definedName>
    <definedName name="IQ_RES_FIXED_INVEST_APR" hidden="1">"c7661"</definedName>
    <definedName name="IQ_RES_FIXED_INVEST_APR_FC" hidden="1">"c8541"</definedName>
    <definedName name="IQ_RES_FIXED_INVEST_FC" hidden="1">"c7881"</definedName>
    <definedName name="IQ_RES_FIXED_INVEST_POP" hidden="1">"c7221"</definedName>
    <definedName name="IQ_RES_FIXED_INVEST_POP_FC" hidden="1">"c8101"</definedName>
    <definedName name="IQ_RES_FIXED_INVEST_REAL" hidden="1">"c6998"</definedName>
    <definedName name="IQ_RES_FIXED_INVEST_REAL_APR" hidden="1">"c7658"</definedName>
    <definedName name="IQ_RES_FIXED_INVEST_REAL_APR_FC" hidden="1">"c8538"</definedName>
    <definedName name="IQ_RES_FIXED_INVEST_REAL_FC" hidden="1">"c7878"</definedName>
    <definedName name="IQ_RES_FIXED_INVEST_REAL_POP" hidden="1">"c7218"</definedName>
    <definedName name="IQ_RES_FIXED_INVEST_REAL_POP_FC" hidden="1">"c8098"</definedName>
    <definedName name="IQ_RES_FIXED_INVEST_REAL_YOY" hidden="1">"c7438"</definedName>
    <definedName name="IQ_RES_FIXED_INVEST_REAL_YOY_FC" hidden="1">"c8318"</definedName>
    <definedName name="IQ_RES_FIXED_INVEST_SAAR" hidden="1">"c11994"</definedName>
    <definedName name="IQ_RES_FIXED_INVEST_SAAR_APR" hidden="1">"c11997"</definedName>
    <definedName name="IQ_RES_FIXED_INVEST_SAAR_POP" hidden="1">"c11995"</definedName>
    <definedName name="IQ_RES_FIXED_INVEST_SAAR_REAL" hidden="1">"c11990"</definedName>
    <definedName name="IQ_RES_FIXED_INVEST_SAAR_REAL_APR" hidden="1">"c11993"</definedName>
    <definedName name="IQ_RES_FIXED_INVEST_SAAR_REAL_POP" hidden="1">"c11991"</definedName>
    <definedName name="IQ_RES_FIXED_INVEST_SAAR_REAL_YOY" hidden="1">"c11992"</definedName>
    <definedName name="IQ_RES_FIXED_INVEST_SAAR_YOY" hidden="1">"c11996"</definedName>
    <definedName name="IQ_RES_FIXED_INVEST_YOY" hidden="1">"c7441"</definedName>
    <definedName name="IQ_RES_FIXED_INVEST_YOY_FC" hidden="1">"c8321"</definedName>
    <definedName name="IQ_RESEARCH_DEV" localSheetId="7" hidden="1">"c1419"</definedName>
    <definedName name="IQ_RESEARCH_DEV" localSheetId="8" hidden="1">"c1419"</definedName>
    <definedName name="IQ_RESEARCH_DEV" hidden="1">"c1419"</definedName>
    <definedName name="IQ_RESIDENTIAL_LOANS" hidden="1">"c1102"</definedName>
    <definedName name="IQ_RESIDUAL_INTERESTS_INT_ONLY_STRIPS_THRIFT" hidden="1">"c24939"</definedName>
    <definedName name="IQ_RESIDUAL_INTERESTS_THRIFT" hidden="1">"c24938"</definedName>
    <definedName name="IQ_REST_ACQUIRED_AFFILIATED_OTHER_RESTAURANTS" hidden="1">"c9873"</definedName>
    <definedName name="IQ_REST_ACQUIRED_FRANCHISE_RESTAURANTS" hidden="1">"c9867"</definedName>
    <definedName name="IQ_REST_ACQUIRED_OWNED_RESTAURANTS" hidden="1">"c9861"</definedName>
    <definedName name="IQ_REST_ACQUIRED_RESTAURANTS" hidden="1">"c9855"</definedName>
    <definedName name="IQ_REST_AFFILIATED_OTHER_RESTAURANTS_BEG" hidden="1">"c9871"</definedName>
    <definedName name="IQ_REST_AVG_VALUE_TRANSACTION" hidden="1">"c9887"</definedName>
    <definedName name="IQ_REST_AVG_VALUE_TRANSACTION_GROWTH" hidden="1">"c9888"</definedName>
    <definedName name="IQ_REST_AVG_WEEKLY_SALES" hidden="1">"c9879"</definedName>
    <definedName name="IQ_REST_AVG_WEEKLY_SALES_FRANCHISE" hidden="1">"c9877"</definedName>
    <definedName name="IQ_REST_AVG_WEEKLY_SALES_OWNED" hidden="1">"c9878"</definedName>
    <definedName name="IQ_REST_CLOSED_AFFILIATED_OTHER_RESTAURANTS" hidden="1">"c9874"</definedName>
    <definedName name="IQ_REST_CLOSED_FRANCHISE_RESTAURANTS" hidden="1">"c9868"</definedName>
    <definedName name="IQ_REST_CLOSED_OWNED_RESTAURANTS" hidden="1">"c9862"</definedName>
    <definedName name="IQ_REST_CLOSED_RESTAURANTS" hidden="1">"c9856"</definedName>
    <definedName name="IQ_REST_FRANCHISE_RESTAURANTS_BEG" hidden="1">"c9865"</definedName>
    <definedName name="IQ_REST_GUEST_COUNT_GROWTH" hidden="1">"c9889"</definedName>
    <definedName name="IQ_REST_OPENED_AFFILIATED_OTHER_RESTAURANTS" hidden="1">"c9872"</definedName>
    <definedName name="IQ_REST_OPENED_FRANCHISE_RESTAURANTS" hidden="1">"c9866"</definedName>
    <definedName name="IQ_REST_OPENED_OWNED_RESTAURANTS" hidden="1">"c9860"</definedName>
    <definedName name="IQ_REST_OPENED_RESTAURANTS" hidden="1">"c9854"</definedName>
    <definedName name="IQ_REST_OPERATING_MARGIN" hidden="1">"c9886"</definedName>
    <definedName name="IQ_REST_OWNED_RESTAURANTS_BEG" hidden="1">"c9859"</definedName>
    <definedName name="IQ_REST_RESTAURANTS_BEG" hidden="1">"c9853"</definedName>
    <definedName name="IQ_REST_SAME_RESTAURANT_SALES" hidden="1">"c9885"</definedName>
    <definedName name="IQ_REST_SAME_RESTAURANT_SALES_FRANCHISE" hidden="1">"c9883"</definedName>
    <definedName name="IQ_REST_SAME_RESTAURANT_SALES_GROWTH" hidden="1">"c9882"</definedName>
    <definedName name="IQ_REST_SAME_RESTAURANT_SALES_GROWTH_FRANCHISE" hidden="1">"c9880"</definedName>
    <definedName name="IQ_REST_SAME_RESTAURANT_SALES_GROWTH_OWNED" hidden="1">"c9881"</definedName>
    <definedName name="IQ_REST_SAME_RESTAURANT_SALES_OWNED" hidden="1">"c9884"</definedName>
    <definedName name="IQ_REST_SOLD_AFFILIATED_OTHER_RESTAURANTS" hidden="1">"c9875"</definedName>
    <definedName name="IQ_REST_SOLD_FRANCHISE_RESTAURANTS" hidden="1">"c9869"</definedName>
    <definedName name="IQ_REST_SOLD_OWNED_RESTAURANTS" hidden="1">"c9863"</definedName>
    <definedName name="IQ_REST_SOLD_RESTAURANTS" hidden="1">"c9857"</definedName>
    <definedName name="IQ_REST_TOTAL_AFFILIATED_OTHER_RESTAURANTS" hidden="1">"c9876"</definedName>
    <definedName name="IQ_REST_TOTAL_FRANCHISE_RESTAURANTS" hidden="1">"c9870"</definedName>
    <definedName name="IQ_REST_TOTAL_OWNED_RESTAURANTS" hidden="1">"c9864"</definedName>
    <definedName name="IQ_REST_TOTAL_RESTAURANTS" hidden="1">"c9858"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FFIEC" hidden="1">"c12958"</definedName>
    <definedName name="IQ_RESTATEMENTS_NET_FDIC" hidden="1">"c6500"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CM" hidden="1">"c1106"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SUPPLE" hidden="1">"c13809"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AFFILIATED_OTHER_STORES" hidden="1">"c9892"</definedName>
    <definedName name="IQ_RETAIL_ACQUIRED_FRANCHISE_STORES" hidden="1">"c2903"</definedName>
    <definedName name="IQ_RETAIL_ACQUIRED_OWNED_STORES" hidden="1">"c2895"</definedName>
    <definedName name="IQ_RETAIL_ACQUIRED_STORES" hidden="1">"c2887"</definedName>
    <definedName name="IQ_RETAIL_AFFILIATED_OTHER_STORES_BEG" hidden="1">"c9890"</definedName>
    <definedName name="IQ_RETAIL_AVG_SQ_METERS_GROSS" hidden="1">"c9908"</definedName>
    <definedName name="IQ_RETAIL_AVG_SQ_METERS_NET" hidden="1">"c9907"</definedName>
    <definedName name="IQ_RETAIL_AVG_STORE_SIZE_GROSS" hidden="1">"c2066"</definedName>
    <definedName name="IQ_RETAIL_AVG_STORE_SIZE_NET" hidden="1">"c2067"</definedName>
    <definedName name="IQ_RETAIL_AVG_VALUE_TRANSACTION" hidden="1">"c9915"</definedName>
    <definedName name="IQ_RETAIL_AVG_VALUE_TRANSACTION_GROWTH" hidden="1">"c9916"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ATALOG_REVENUES" hidden="1">"c9903"</definedName>
    <definedName name="IQ_RETAIL_CLOSED_AFFILIATED_OTHER_STORES" hidden="1">"c9893"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" hidden="1">"c26985"</definedName>
    <definedName name="IQ_RETAIL_DEPOSITS_FDIC" hidden="1">"c6488"</definedName>
    <definedName name="IQ_RETAIL_FRANCHISE_STORES_BEG" hidden="1">"c2893"</definedName>
    <definedName name="IQ_RETAIL_GROSS_MARGIN" hidden="1">"c9899"</definedName>
    <definedName name="IQ_RETAIL_INV_BUILDING_MATERIAL" hidden="1">"c21069"</definedName>
    <definedName name="IQ_RETAIL_INV_CLOTHING" hidden="1">"c21070"</definedName>
    <definedName name="IQ_RETAIL_INV_DEPT_STORE" hidden="1">"c21071"</definedName>
    <definedName name="IQ_RETAIL_INV_FOOD" hidden="1">"c21072"</definedName>
    <definedName name="IQ_RETAIL_INV_FURNITURE" hidden="1">"c21073"</definedName>
    <definedName name="IQ_RETAIL_INV_GENERAL" hidden="1">"c21074"</definedName>
    <definedName name="IQ_RETAIL_INV_MOTOR_VEHICLE" hidden="1">"c21075"</definedName>
    <definedName name="IQ_RETAIL_INV_SALES_RATIO_BUILDING" hidden="1">"c21076"</definedName>
    <definedName name="IQ_RETAIL_INV_SALES_RATIO_CLOTHING" hidden="1">"c21077"</definedName>
    <definedName name="IQ_RETAIL_INV_SALES_RATIO_DEPT_STORE" hidden="1">"c21078"</definedName>
    <definedName name="IQ_RETAIL_INV_SALES_RATIO_FOOD" hidden="1">"c21079"</definedName>
    <definedName name="IQ_RETAIL_INV_SALES_RATIO_FURNITURE" hidden="1">"c21080"</definedName>
    <definedName name="IQ_RETAIL_INV_SALES_RATIO_GENERAL" hidden="1">"c21081"</definedName>
    <definedName name="IQ_RETAIL_INV_SALES_RATIO_MV" hidden="1">"c21082"</definedName>
    <definedName name="IQ_RETAIL_INV_SALES_RATIO_TOTAL" hidden="1">"c21083"</definedName>
    <definedName name="IQ_RETAIL_INV_SALES_RATIO_TOTAL_EX_MV" hidden="1">"c21084"</definedName>
    <definedName name="IQ_RETAIL_INV_TOTAL" hidden="1">"c21085"</definedName>
    <definedName name="IQ_RETAIL_INV_TOTAL_EX_MOTOR_VEHICLE" hidden="1">"c21086"</definedName>
    <definedName name="IQ_RETAIL_IS_RATIO" hidden="1">"c7002"</definedName>
    <definedName name="IQ_RETAIL_IS_RATIO_FC" hidden="1">"c7882"</definedName>
    <definedName name="IQ_RETAIL_IS_RATIO_POP" hidden="1">"c7222"</definedName>
    <definedName name="IQ_RETAIL_IS_RATIO_POP_FC" hidden="1">"c8102"</definedName>
    <definedName name="IQ_RETAIL_IS_RATIO_YOY" hidden="1">"c7442"</definedName>
    <definedName name="IQ_RETAIL_IS_RATIO_YOY_FC" hidden="1">"c8322"</definedName>
    <definedName name="IQ_RETAIL_MERCHANDISE_MARGIN" hidden="1">"c9901"</definedName>
    <definedName name="IQ_RETAIL_ONLINE_REVENUES" hidden="1">"c9904"</definedName>
    <definedName name="IQ_RETAIL_OPENED_AFFILIATED_OTHER_STORES" hidden="1">"c9891"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PERATING_MARGIN" hidden="1">"c9900"</definedName>
    <definedName name="IQ_RETAIL_OWNED_STORES_BEG" hidden="1">"c2901"</definedName>
    <definedName name="IQ_RETAIL_REVENUES" hidden="1">"c9902"</definedName>
    <definedName name="IQ_RETAIL_SALES" hidden="1">"c7003"</definedName>
    <definedName name="IQ_RETAIL_SALES_APR" hidden="1">"c7663"</definedName>
    <definedName name="IQ_RETAIL_SALES_APR_FC" hidden="1">"c8543"</definedName>
    <definedName name="IQ_RETAIL_SALES_BUILDING_MATERIAL" hidden="1">"c21087"</definedName>
    <definedName name="IQ_RETAIL_SALES_CATALOG" hidden="1">"c16128"</definedName>
    <definedName name="IQ_RETAIL_SALES_CLOTHING" hidden="1">"c21088"</definedName>
    <definedName name="IQ_RETAIL_SALES_FC" hidden="1">"c7883"</definedName>
    <definedName name="IQ_RETAIL_SALES_FOOD" hidden="1">"c7004"</definedName>
    <definedName name="IQ_RETAIL_SALES_FOOD_APR" hidden="1">"c7664"</definedName>
    <definedName name="IQ_RETAIL_SALES_FOOD_APR_FC" hidden="1">"c8544"</definedName>
    <definedName name="IQ_RETAIL_SALES_FOOD_EXCL_VEHICLE" hidden="1">"c7005"</definedName>
    <definedName name="IQ_RETAIL_SALES_FOOD_EXCL_VEHICLE_APR" hidden="1">"c7665"</definedName>
    <definedName name="IQ_RETAIL_SALES_FOOD_EXCL_VEHICLE_APR_FC" hidden="1">"c8545"</definedName>
    <definedName name="IQ_RETAIL_SALES_FOOD_EXCL_VEHICLE_FC" hidden="1">"c7885"</definedName>
    <definedName name="IQ_RETAIL_SALES_FOOD_EXCL_VEHICLE_POP" hidden="1">"c7225"</definedName>
    <definedName name="IQ_RETAIL_SALES_FOOD_EXCL_VEHICLE_POP_FC" hidden="1">"c8105"</definedName>
    <definedName name="IQ_RETAIL_SALES_FOOD_EXCL_VEHICLE_YOY" hidden="1">"c7445"</definedName>
    <definedName name="IQ_RETAIL_SALES_FOOD_EXCL_VEHICLE_YOY_FC" hidden="1">"c8325"</definedName>
    <definedName name="IQ_RETAIL_SALES_FOOD_FC" hidden="1">"c7884"</definedName>
    <definedName name="IQ_RETAIL_SALES_FOOD_POP" hidden="1">"c7224"</definedName>
    <definedName name="IQ_RETAIL_SALES_FOOD_POP_FC" hidden="1">"c8104"</definedName>
    <definedName name="IQ_RETAIL_SALES_FOOD_YOY" hidden="1">"c7444"</definedName>
    <definedName name="IQ_RETAIL_SALES_FOOD_YOY_FC" hidden="1">"c8324"</definedName>
    <definedName name="IQ_RETAIL_SALES_FOODSTUFF" hidden="1">"c21089"</definedName>
    <definedName name="IQ_RETAIL_SALES_FURNITURE" hidden="1">"c21090"</definedName>
    <definedName name="IQ_RETAIL_SALES_GAS" hidden="1">"c21091"</definedName>
    <definedName name="IQ_RETAIL_SALES_GENERAL" hidden="1">"c21092"</definedName>
    <definedName name="IQ_RETAIL_SALES_HEALTH" hidden="1">"c21093"</definedName>
    <definedName name="IQ_RETAIL_SALES_MISC" hidden="1">"c21094"</definedName>
    <definedName name="IQ_RETAIL_SALES_MOTOR_VEHICLE" hidden="1">"c21095"</definedName>
    <definedName name="IQ_RETAIL_SALES_NONSTORES" hidden="1">"c21096"</definedName>
    <definedName name="IQ_RETAIL_SALES_ONLINE" hidden="1">"c16129"</definedName>
    <definedName name="IQ_RETAIL_SALES_POP" hidden="1">"c7223"</definedName>
    <definedName name="IQ_RETAIL_SALES_POP_FC" hidden="1">"c8103"</definedName>
    <definedName name="IQ_RETAIL_SALES_RETAIL" hidden="1">"c16127"</definedName>
    <definedName name="IQ_RETAIL_SALES_SAAR" hidden="1">"c7009"</definedName>
    <definedName name="IQ_RETAIL_SALES_SAAR_APR" hidden="1">"c7669"</definedName>
    <definedName name="IQ_RETAIL_SALES_SAAR_APR_FC" hidden="1">"c8549"</definedName>
    <definedName name="IQ_RETAIL_SALES_SAAR_FC" hidden="1">"c7889"</definedName>
    <definedName name="IQ_RETAIL_SALES_SAAR_POP" hidden="1">"c7229"</definedName>
    <definedName name="IQ_RETAIL_SALES_SAAR_POP_FC" hidden="1">"c8109"</definedName>
    <definedName name="IQ_RETAIL_SALES_SAAR_YOY" hidden="1">"c7449"</definedName>
    <definedName name="IQ_RETAIL_SALES_SAAR_YOY_FC" hidden="1">"c8329"</definedName>
    <definedName name="IQ_RETAIL_SALES_SPORTING_GOODS" hidden="1">"c21097"</definedName>
    <definedName name="IQ_RETAIL_SALES_SQ_METER_COMPARABLE_GROSS" hidden="1">"c9914"</definedName>
    <definedName name="IQ_RETAIL_SALES_SQ_METER_COMPARABLE_NET" hidden="1">"c9913"</definedName>
    <definedName name="IQ_RETAIL_SALES_SQ_METER_GROSS" hidden="1">"c9910"</definedName>
    <definedName name="IQ_RETAIL_SALES_SQ_METER_NET" hidden="1">"c9909"</definedName>
    <definedName name="IQ_RETAIL_SALES_SQ_METER_OWNED_GROSS" hidden="1">"c9912"</definedName>
    <definedName name="IQ_RETAIL_SALES_SQ_METER_OWNED_NET" hidden="1">"c9911"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ALES_TOTAL" hidden="1">"c21098"</definedName>
    <definedName name="IQ_RETAIL_SALES_TOTAL_EX_MOTOR_VEHICLE" hidden="1">"c21099"</definedName>
    <definedName name="IQ_RETAIL_SALES_VALUE_INDEX" hidden="1">"c7006"</definedName>
    <definedName name="IQ_RETAIL_SALES_VALUE_INDEX_APR" hidden="1">"c7666"</definedName>
    <definedName name="IQ_RETAIL_SALES_VALUE_INDEX_APR_FC" hidden="1">"c8546"</definedName>
    <definedName name="IQ_RETAIL_SALES_VALUE_INDEX_FC" hidden="1">"c7886"</definedName>
    <definedName name="IQ_RETAIL_SALES_VALUE_INDEX_POP" hidden="1">"c7226"</definedName>
    <definedName name="IQ_RETAIL_SALES_VALUE_INDEX_POP_FC" hidden="1">"c8106"</definedName>
    <definedName name="IQ_RETAIL_SALES_VALUE_INDEX_YOY" hidden="1">"c7446"</definedName>
    <definedName name="IQ_RETAIL_SALES_VALUE_INDEX_YOY_FC" hidden="1">"c8326"</definedName>
    <definedName name="IQ_RETAIL_SALES_VOL_INDEX" hidden="1">"c7007"</definedName>
    <definedName name="IQ_RETAIL_SALES_VOL_INDEX_APR" hidden="1">"c7667"</definedName>
    <definedName name="IQ_RETAIL_SALES_VOL_INDEX_APR_FC" hidden="1">"c8547"</definedName>
    <definedName name="IQ_RETAIL_SALES_VOL_INDEX_EXCL_MOTOR" hidden="1">"c7008"</definedName>
    <definedName name="IQ_RETAIL_SALES_VOL_INDEX_EXCL_MOTOR_APR" hidden="1">"c7668"</definedName>
    <definedName name="IQ_RETAIL_SALES_VOL_INDEX_EXCL_MOTOR_APR_FC" hidden="1">"c8548"</definedName>
    <definedName name="IQ_RETAIL_SALES_VOL_INDEX_EXCL_MOTOR_FC" hidden="1">"c7888"</definedName>
    <definedName name="IQ_RETAIL_SALES_VOL_INDEX_EXCL_MOTOR_POP" hidden="1">"c7228"</definedName>
    <definedName name="IQ_RETAIL_SALES_VOL_INDEX_EXCL_MOTOR_POP_FC" hidden="1">"c8108"</definedName>
    <definedName name="IQ_RETAIL_SALES_VOL_INDEX_EXCL_MOTOR_YOY" hidden="1">"c7448"</definedName>
    <definedName name="IQ_RETAIL_SALES_VOL_INDEX_EXCL_MOTOR_YOY_FC" hidden="1">"c8328"</definedName>
    <definedName name="IQ_RETAIL_SALES_VOL_INDEX_FC" hidden="1">"c7887"</definedName>
    <definedName name="IQ_RETAIL_SALES_VOL_INDEX_POP" hidden="1">"c7227"</definedName>
    <definedName name="IQ_RETAIL_SALES_VOL_INDEX_POP_FC" hidden="1">"c8107"</definedName>
    <definedName name="IQ_RETAIL_SALES_VOL_INDEX_YOY" hidden="1">"c7447"</definedName>
    <definedName name="IQ_RETAIL_SALES_VOL_INDEX_YOY_FC" hidden="1">"c8327"</definedName>
    <definedName name="IQ_RETAIL_SALES_YOY" hidden="1">"c7443"</definedName>
    <definedName name="IQ_RETAIL_SALES_YOY_FC" hidden="1">"c8323"</definedName>
    <definedName name="IQ_RETAIL_SALES_YOY_PCT" hidden="1">"c21100"</definedName>
    <definedName name="IQ_RETAIL_SAME_STORE_SALES" hidden="1">"c9898"</definedName>
    <definedName name="IQ_RETAIL_SAME_STORE_SALES_FRANCHISE" hidden="1">"c9896"</definedName>
    <definedName name="IQ_RETAIL_SAME_STORE_SALES_OWNED" hidden="1">"c9897"</definedName>
    <definedName name="IQ_RETAIL_SOLD_AFFILIATED_OTHER_STORES" hidden="1">"c9894"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AFFILIATED_OTHER_STORES" hidden="1">"c9895"</definedName>
    <definedName name="IQ_RETAIL_TOTAL_FRANCHISE_STORES" hidden="1">"c2898"</definedName>
    <definedName name="IQ_RETAIL_TOTAL_OWNED_STORES" hidden="1">"c2906"</definedName>
    <definedName name="IQ_RETAIL_TOTAL_SQ_METERS_GROSS" hidden="1">"c9906"</definedName>
    <definedName name="IQ_RETAIL_TOTAL_SQ_METERS_NET" hidden="1">"c9905"</definedName>
    <definedName name="IQ_RETAIL_TOTAL_STORES" hidden="1">"c2061"</definedName>
    <definedName name="IQ_RETAIL_WHOLESALE_REVENUES" hidden="1">"c15895"</definedName>
    <definedName name="IQ_RETAINED_EARN" localSheetId="7" hidden="1">"c1420"</definedName>
    <definedName name="IQ_RETAINED_EARN" localSheetId="8" hidden="1">"c1420"</definedName>
    <definedName name="IQ_RETAINED_EARN" hidden="1">"c1420"</definedName>
    <definedName name="IQ_RETAINED_EARNINGS_AVERAGE_EQUITY_FDIC" hidden="1">"c6733"</definedName>
    <definedName name="IQ_RETAINED_EARNINGS_EQUITY_FFIEC" hidden="1">"c13348"</definedName>
    <definedName name="IQ_RETAINED_EARNINGS_EQUITY_THRIFT" hidden="1">"c25633"</definedName>
    <definedName name="IQ_RETAINED_EARNINGS_FFIEC" hidden="1">"c12878"</definedName>
    <definedName name="IQ_RETAINED_EARNINGS_THRIFT" hidden="1">"c24919"</definedName>
    <definedName name="IQ_RETIREMENT_DEFINED_BENEFIT_INC_THRIFT" hidden="1">"c24803"</definedName>
    <definedName name="IQ_RETIREMENT_DEFINED_CONT_INC_THRIFT" hidden="1">"c24802"</definedName>
    <definedName name="IQ_RETIREMENT_DEPOSITS_LESS_THAN_250000_THRIFT" hidden="1">"c24990"</definedName>
    <definedName name="IQ_RETIREMENT_DEPOSITS_WITH_BALANCES_GREATER_THAN_250000_THRIFT" hidden="1">"c24991"</definedName>
    <definedName name="IQ_RETIREMENT_OTHER_RETIREMENT_ACCOUNTS_INC_THRIFT" hidden="1">"c24804"</definedName>
    <definedName name="IQ_RETIREMENT_RELATED_EMPLOYEE_BENEFIT_ACCOUNTS_GROSS_LOSSES_MANAGED_ACCOUNTS_THRIFT" hidden="1">"c25462"</definedName>
    <definedName name="IQ_RETIREMENT_RELATED_EMPLOYEE_BENEFIT_ACCOUNTS_GROSS_LOSSES_NONMANAGED_ACCOUNTS_THRIFT" hidden="1">"c25467"</definedName>
    <definedName name="IQ_RETIREMENT_RELATED_EMPLOYEE_BENEFIT_ACCOUNTS_RECOVERIES_THRIFT" hidden="1">"c25472"</definedName>
    <definedName name="IQ_RETIREMENT_RELATED_TRUST_AGENCY_ACCOUNTS_EMPLOYEE_BENEFIT_DEFINED_BENEFIT_MANAGED_ASSETS_THRIFT" hidden="1">"c25349"</definedName>
    <definedName name="IQ_RETIREMENT_RELATED_TRUST_AGENCY_ACCOUNTS_EMPLOYEE_BENEFIT_DEFINED_BENEFIT_NONMANAGED_ASSETS_THRIFT" hidden="1">"c25370"</definedName>
    <definedName name="IQ_RETIREMENT_RELATED_TRUST_AGENCY_ACCOUNTS_EMPLOYEE_BENEFIT_DEFINED_BENEFIT_NUMBER_MANAGED_ACCOUNTS_THRIFT" hidden="1">"c25360"</definedName>
    <definedName name="IQ_RETIREMENT_RELATED_TRUST_AGENCY_ACCOUNTS_EMPLOYEE_BENEFIT_DEFINED_BENEFIT_NUMBER_NONMANAGED_ACCOUNTS_THRIFT" hidden="1">"c25382"</definedName>
    <definedName name="IQ_RETIREMENT_RELATED_TRUST_AGENCY_ACCOUNTS_EMPLOYEE_BENEFIT_DEFINED_CONTRIBUTION_MANAGED_ASSETS_THRIFT" hidden="1">"c25348"</definedName>
    <definedName name="IQ_RETIREMENT_RELATED_TRUST_AGENCY_ACCOUNTS_EMPLOYEE_BENEFIT_DEFINED_CONTRIBUTION_NONMANAGED_ASSETS_THRIFT" hidden="1">"c25369"</definedName>
    <definedName name="IQ_RETIREMENT_RELATED_TRUST_AGENCY_ACCOUNTS_EMPLOYEE_BENEFIT_DEFINED_CONTRIBUTION_NUMBER_MANAGED_ACCOUNTS_THRIFT" hidden="1">"c25359"</definedName>
    <definedName name="IQ_RETIREMENT_RELATED_TRUST_AGENCY_ACCOUNTS_EMPLOYEE_BENEFIT_DEFINED_CONTRIBUTION_NUMBER_NONMANAGED_ACCOUNTS_THRIFT" hidden="1">"c25381"</definedName>
    <definedName name="IQ_RETIREMENT_RELATED_TRUST_AGENCY_ACCOUNTS_EMPLOYEE_BENEFIT_OTHER_MANAGED_ASSETS_THRIFT" hidden="1">"c25350"</definedName>
    <definedName name="IQ_RETIREMENT_RELATED_TRUST_AGENCY_ACCOUNTS_EMPLOYEE_BENEFIT_OTHER_NONMANAGED_ASSETS_THRIFT" hidden="1">"c25371"</definedName>
    <definedName name="IQ_RETIREMENT_RELATED_TRUST_AGENCY_ACCOUNTS_EMPLOYEE_BENEFIT_OTHER_NUMBER_MANAGED_ACCOUNTS_THRIFT" hidden="1">"c25361"</definedName>
    <definedName name="IQ_RETIREMENT_RELATED_TRUST_AGENCY_ACCOUNTS_EMPLOYEE_BENEFIT_OTHER_NUMBER_NONMANAGED_ACCOUNTS_THRIFT" hidden="1">"c25383"</definedName>
    <definedName name="IQ_RETURN_ASSETS" hidden="1">"c1113"</definedName>
    <definedName name="IQ_RETURN_ASSETS_ACT_OR_EST" hidden="1">"c3585"</definedName>
    <definedName name="IQ_RETURN_ASSETS_ACT_OR_EST_REUT" hidden="1">"c5475"</definedName>
    <definedName name="IQ_RETURN_ASSETS_ACT_OR_EST_THOM" hidden="1">"c5310"</definedName>
    <definedName name="IQ_RETURN_ASSETS_BANK" hidden="1">"c1114"</definedName>
    <definedName name="IQ_RETURN_ASSETS_BROK" hidden="1">"c1115"</definedName>
    <definedName name="IQ_RETURN_ASSETS_CM" hidden="1">"c1115"</definedName>
    <definedName name="IQ_RETURN_ASSETS_DET_EST" hidden="1">"c12066"</definedName>
    <definedName name="IQ_RETURN_ASSETS_DET_EST_DATE" hidden="1">"c12219"</definedName>
    <definedName name="IQ_RETURN_ASSETS_DET_EST_DATE_THOM" hidden="1">"c12247"</definedName>
    <definedName name="IQ_RETURN_ASSETS_DET_EST_INCL" hidden="1">"c12356"</definedName>
    <definedName name="IQ_RETURN_ASSETS_DET_EST_INCL_THOM" hidden="1">"c12379"</definedName>
    <definedName name="IQ_RETURN_ASSETS_DET_EST_ORIGIN" hidden="1">"c12591"</definedName>
    <definedName name="IQ_RETURN_ASSETS_DET_EST_ORIGIN_THOM" hidden="1">"c12617"</definedName>
    <definedName name="IQ_RETURN_ASSETS_DET_EST_THOM" hidden="1">"c12097"</definedName>
    <definedName name="IQ_RETURN_ASSETS_EST" hidden="1">"c3529"</definedName>
    <definedName name="IQ_RETURN_ASSETS_EST_REUT" hidden="1">"c3990"</definedName>
    <definedName name="IQ_RETURN_ASSETS_EST_THOM" hidden="1">"c4034"</definedName>
    <definedName name="IQ_RETURN_ASSETS_FDIC" hidden="1">"c6730"</definedName>
    <definedName name="IQ_RETURN_ASSETS_FS" hidden="1">"c1116"</definedName>
    <definedName name="IQ_RETURN_ASSETS_GUIDANCE_CIQ" hidden="1">"c5055"</definedName>
    <definedName name="IQ_RETURN_ASSETS_GUIDANCE_CIQ_COL" hidden="1">"c11702"</definedName>
    <definedName name="IQ_RETURN_ASSETS_HIGH_EST" hidden="1">"c3530"</definedName>
    <definedName name="IQ_RETURN_ASSETS_HIGH_EST_REUT" hidden="1">"c3992"</definedName>
    <definedName name="IQ_RETURN_ASSETS_HIGH_EST_THOM" hidden="1">"c4036"</definedName>
    <definedName name="IQ_RETURN_ASSETS_HIGH_GUIDANCE_CIQ" hidden="1">"c4595"</definedName>
    <definedName name="IQ_RETURN_ASSETS_HIGH_GUIDANCE_CIQ_COL" hidden="1">"c11244"</definedName>
    <definedName name="IQ_RETURN_ASSETS_LOW_EST" hidden="1">"c3531"</definedName>
    <definedName name="IQ_RETURN_ASSETS_LOW_EST_REUT" hidden="1">"c3993"</definedName>
    <definedName name="IQ_RETURN_ASSETS_LOW_EST_THOM" hidden="1">"c4037"</definedName>
    <definedName name="IQ_RETURN_ASSETS_LOW_GUIDANCE_CIQ" hidden="1">"c4635"</definedName>
    <definedName name="IQ_RETURN_ASSETS_LOW_GUIDANCE_CIQ_COL" hidden="1">"c11284"</definedName>
    <definedName name="IQ_RETURN_ASSETS_MEDIAN_EST" hidden="1">"c3532"</definedName>
    <definedName name="IQ_RETURN_ASSETS_MEDIAN_EST_REUT" hidden="1">"c3991"</definedName>
    <definedName name="IQ_RETURN_ASSETS_MEDIAN_EST_THOM" hidden="1">"c4035"</definedName>
    <definedName name="IQ_RETURN_ASSETS_NUM_EST" hidden="1">"c3527"</definedName>
    <definedName name="IQ_RETURN_ASSETS_NUM_EST_REUT" hidden="1">"c3994"</definedName>
    <definedName name="IQ_RETURN_ASSETS_NUM_EST_THOM" hidden="1">"c4038"</definedName>
    <definedName name="IQ_RETURN_ASSETS_STDDEV_EST" hidden="1">"c3528"</definedName>
    <definedName name="IQ_RETURN_ASSETS_STDDEV_EST_REUT" hidden="1">"c3995"</definedName>
    <definedName name="IQ_RETURN_ASSETS_STDDEV_EST_THOM" hidden="1">"c4039"</definedName>
    <definedName name="IQ_RETURN_CAPITAL" hidden="1">"c1117"</definedName>
    <definedName name="IQ_RETURN_COMMON_EQUITY" hidden="1">"c13838"</definedName>
    <definedName name="IQ_RETURN_EMBEDDED_VALUE" hidden="1">"c9974"</definedName>
    <definedName name="IQ_RETURN_EQUITY" hidden="1">"c1118"</definedName>
    <definedName name="IQ_RETURN_EQUITY_ACT_OR_EST" hidden="1">"c3586"</definedName>
    <definedName name="IQ_RETURN_EQUITY_ACT_OR_EST_REUT" hidden="1">"c5476"</definedName>
    <definedName name="IQ_RETURN_EQUITY_ACT_OR_EST_THOM" hidden="1">"c5311"</definedName>
    <definedName name="IQ_RETURN_EQUITY_BANK" hidden="1">"c1119"</definedName>
    <definedName name="IQ_RETURN_EQUITY_BROK" hidden="1">"c1120"</definedName>
    <definedName name="IQ_RETURN_EQUITY_CM" hidden="1">"c1120"</definedName>
    <definedName name="IQ_RETURN_EQUITY_DET_EST" hidden="1">"c12067"</definedName>
    <definedName name="IQ_RETURN_EQUITY_DET_EST_DATE" hidden="1">"c12220"</definedName>
    <definedName name="IQ_RETURN_EQUITY_DET_EST_DATE_THOM" hidden="1">"c12248"</definedName>
    <definedName name="IQ_RETURN_EQUITY_DET_EST_INCL" hidden="1">"c12357"</definedName>
    <definedName name="IQ_RETURN_EQUITY_DET_EST_INCL_THOM" hidden="1">"c12380"</definedName>
    <definedName name="IQ_RETURN_EQUITY_DET_EST_ORIGIN" hidden="1">"c12592"</definedName>
    <definedName name="IQ_RETURN_EQUITY_DET_EST_ORIGIN_THOM" hidden="1">"c12618"</definedName>
    <definedName name="IQ_RETURN_EQUITY_DET_EST_THOM" hidden="1">"c12098"</definedName>
    <definedName name="IQ_RETURN_EQUITY_EST" hidden="1">"c3535"</definedName>
    <definedName name="IQ_RETURN_EQUITY_EST_REUT" hidden="1">"c3983"</definedName>
    <definedName name="IQ_RETURN_EQUITY_EST_THOM" hidden="1">"c5479"</definedName>
    <definedName name="IQ_RETURN_EQUITY_FDIC" hidden="1">"c6732"</definedName>
    <definedName name="IQ_RETURN_EQUITY_FS" hidden="1">"c1121"</definedName>
    <definedName name="IQ_RETURN_EQUITY_GUIDANCE_CIQ" hidden="1">"c5056"</definedName>
    <definedName name="IQ_RETURN_EQUITY_GUIDANCE_CIQ_COL" hidden="1">"c11703"</definedName>
    <definedName name="IQ_RETURN_EQUITY_HIGH_EST" hidden="1">"c3536"</definedName>
    <definedName name="IQ_RETURN_EQUITY_HIGH_EST_REUT" hidden="1">"c3985"</definedName>
    <definedName name="IQ_RETURN_EQUITY_HIGH_EST_THOM" hidden="1">"c5283"</definedName>
    <definedName name="IQ_RETURN_EQUITY_HIGH_GUIDANCE_CIQ" hidden="1">"c4594"</definedName>
    <definedName name="IQ_RETURN_EQUITY_HIGH_GUIDANCE_CIQ_COL" hidden="1">"c11243"</definedName>
    <definedName name="IQ_RETURN_EQUITY_LOW_EST" hidden="1">"c3537"</definedName>
    <definedName name="IQ_RETURN_EQUITY_LOW_EST_REUT" hidden="1">"c3986"</definedName>
    <definedName name="IQ_RETURN_EQUITY_LOW_EST_THOM" hidden="1">"c5284"</definedName>
    <definedName name="IQ_RETURN_EQUITY_LOW_GUIDANCE_CIQ" hidden="1">"c4634"</definedName>
    <definedName name="IQ_RETURN_EQUITY_LOW_GUIDANCE_CIQ_COL" hidden="1">"c11283"</definedName>
    <definedName name="IQ_RETURN_EQUITY_MEDIAN_EST" hidden="1">"c3538"</definedName>
    <definedName name="IQ_RETURN_EQUITY_MEDIAN_EST_REUT" hidden="1">"c3984"</definedName>
    <definedName name="IQ_RETURN_EQUITY_MEDIAN_EST_THOM" hidden="1">"c5282"</definedName>
    <definedName name="IQ_RETURN_EQUITY_NUM_EST" hidden="1">"c3533"</definedName>
    <definedName name="IQ_RETURN_EQUITY_NUM_EST_REUT" hidden="1">"c3987"</definedName>
    <definedName name="IQ_RETURN_EQUITY_NUM_EST_THOM" hidden="1">"c5285"</definedName>
    <definedName name="IQ_RETURN_EQUITY_STDDEV_EST" hidden="1">"c3534"</definedName>
    <definedName name="IQ_RETURN_EQUITY_STDDEV_EST_REUT" hidden="1">"c3988"</definedName>
    <definedName name="IQ_RETURN_EQUITY_STDDEV_EST_THOM" hidden="1">"c5286"</definedName>
    <definedName name="IQ_RETURN_INVESTMENT" localSheetId="7" hidden="1">"c1421"</definedName>
    <definedName name="IQ_RETURN_INVESTMENT" localSheetId="8" hidden="1">"c1421"</definedName>
    <definedName name="IQ_RETURN_INVESTMENT" hidden="1">"c1421"</definedName>
    <definedName name="IQ_REV" hidden="1">"c1122"</definedName>
    <definedName name="IQ_REV_AP" hidden="1">"c8873"</definedName>
    <definedName name="IQ_REV_AP_ABS" hidden="1">"c8892"</definedName>
    <definedName name="IQ_REV_BEFORE_LL" hidden="1">"c1123"</definedName>
    <definedName name="IQ_REV_BEFORE_LOAN_LOSS_FOREIGN_FFIEC" hidden="1">"c15381"</definedName>
    <definedName name="IQ_REV_DET_EST" hidden="1">"c12065"</definedName>
    <definedName name="IQ_REV_DET_EST_CURRENCY" hidden="1">"c12472"</definedName>
    <definedName name="IQ_REV_DET_EST_CURRENCY_THOM" hidden="1">"c12495"</definedName>
    <definedName name="IQ_REV_DET_EST_DATE" hidden="1">"c12218"</definedName>
    <definedName name="IQ_REV_DET_EST_DATE_THOM" hidden="1">"c12246"</definedName>
    <definedName name="IQ_REV_DET_EST_INCL" hidden="1">"c12355"</definedName>
    <definedName name="IQ_REV_DET_EST_INCL_THOM" hidden="1">"c12378"</definedName>
    <definedName name="IQ_REV_DET_EST_ORIGIN" hidden="1">"c12590"</definedName>
    <definedName name="IQ_REV_DET_EST_ORIGIN_THOM" hidden="1">"c12616"</definedName>
    <definedName name="IQ_REV_DET_EST_THOM" hidden="1">"c12096"</definedName>
    <definedName name="IQ_REV_NAME_AP" hidden="1">"c8911"</definedName>
    <definedName name="IQ_REV_NAME_AP_ABS" hidden="1">"c8930"</definedName>
    <definedName name="IQ_REV_STDDEV_EST" hidden="1">"c1124"</definedName>
    <definedName name="IQ_REV_STDDEV_EST_CIQ" hidden="1">"c3621"</definedName>
    <definedName name="IQ_REV_STDDEV_EST_REUT" hidden="1">"c3639"</definedName>
    <definedName name="IQ_REV_STDDEV_EST_THOM" hidden="1">"c3657"</definedName>
    <definedName name="IQ_REV_UTI" hidden="1">"c1125"</definedName>
    <definedName name="IQ_REVALUATION_GAINS_DERIVATIVE_DOM_FFIEC" hidden="1">"c12828"</definedName>
    <definedName name="IQ_REVALUATION_GAINS_DERIVATIVE_FOREIGN_FFIEC" hidden="1">"c12829"</definedName>
    <definedName name="IQ_REVALUATION_GAINS_FDIC" hidden="1">"c6428"</definedName>
    <definedName name="IQ_REVALUATION_LOSSES_FDIC" hidden="1">"c6429"</definedName>
    <definedName name="IQ_REVALUATION_NON_TRADING_PROP" hidden="1">"c15999"</definedName>
    <definedName name="IQ_REVENUE" localSheetId="7" hidden="1">"c1422"</definedName>
    <definedName name="IQ_REVENUE" localSheetId="8" hidden="1">"c1422"</definedName>
    <definedName name="IQ_REVENUE" hidden="1">"c1422"</definedName>
    <definedName name="IQ_REVENUE_10K" hidden="1">"IQ_REVENUE_10K"</definedName>
    <definedName name="IQ_REVENUE_10Q" hidden="1">"IQ_REVENUE_10Q"</definedName>
    <definedName name="IQ_REVENUE_10Q1" hidden="1">"IQ_REVENUE_10Q1"</definedName>
    <definedName name="IQ_REVENUE_ACT_OR_EST" hidden="1">"c2214"</definedName>
    <definedName name="IQ_REVENUE_ACT_OR_EST_CIQ" hidden="1">"c5059"</definedName>
    <definedName name="IQ_REVENUE_ACT_OR_EST_CIQ_COL" hidden="1">"c11706"</definedName>
    <definedName name="IQ_REVENUE_ACT_OR_EST_REUT" hidden="1">"c5461"</definedName>
    <definedName name="IQ_REVENUE_ACT_OR_EST_THOM" hidden="1">"c5299"</definedName>
    <definedName name="IQ_REVENUE_ADVERTISING" hidden="1">"c2880"</definedName>
    <definedName name="IQ_REVENUE_ANALOG_CABLE" hidden="1">"c2875"</definedName>
    <definedName name="IQ_REVENUE_BASIC_CABLE" hidden="1">"c2877"</definedName>
    <definedName name="IQ_REVENUE_BBAND" hidden="1">"c2878"</definedName>
    <definedName name="IQ_REVENUE_BEFORE_LL_FFIEC" hidden="1">"c13018"</definedName>
    <definedName name="IQ_REVENUE_BEFORE_LL_THRIFT" hidden="1">"c24782"</definedName>
    <definedName name="IQ_REVENUE_COMMERCIAL" hidden="1">"c2881"</definedName>
    <definedName name="IQ_REVENUE_DIGITAL_CABLE" hidden="1">"c2876"</definedName>
    <definedName name="IQ_REVENUE_EST" hidden="1">"c1126"</definedName>
    <definedName name="IQ_REVENUE_EST_1" hidden="1">"IQ_REVENUE_EST_1"</definedName>
    <definedName name="IQ_REVENUE_EST_BOTTOM_UP" hidden="1">"c5488"</definedName>
    <definedName name="IQ_REVENUE_EST_BOTTOM_UP_CIQ" hidden="1">"c12025"</definedName>
    <definedName name="IQ_REVENUE_EST_BOTTOM_UP_REUT" hidden="1">"c5496"</definedName>
    <definedName name="IQ_REVENUE_EST_CIQ" hidden="1">"c3616"</definedName>
    <definedName name="IQ_REVENUE_EST_DOWN_2MONTH" hidden="1">"c16285"</definedName>
    <definedName name="IQ_REVENUE_EST_DOWN_2MONTH_CIQ" hidden="1">"c16609"</definedName>
    <definedName name="IQ_REVENUE_EST_DOWN_3MONTH" hidden="1">"c16289"</definedName>
    <definedName name="IQ_REVENUE_EST_DOWN_3MONTH_CIQ" hidden="1">"c16613"</definedName>
    <definedName name="IQ_REVENUE_EST_DOWN_MONTH" hidden="1">"c16281"</definedName>
    <definedName name="IQ_REVENUE_EST_DOWN_MONTH_CIQ" hidden="1">"c16605"</definedName>
    <definedName name="IQ_REVENUE_EST_NOTE" hidden="1">"c17502"</definedName>
    <definedName name="IQ_REVENUE_EST_NOTE_CIQ" hidden="1">"c17455"</definedName>
    <definedName name="IQ_REVENUE_EST_NUM_ANALYSTS_2MONTH" hidden="1">"c16283"</definedName>
    <definedName name="IQ_REVENUE_EST_NUM_ANALYSTS_2MONTH_CIQ" hidden="1">"c16607"</definedName>
    <definedName name="IQ_REVENUE_EST_NUM_ANALYSTS_3MONTH" hidden="1">"c16287"</definedName>
    <definedName name="IQ_REVENUE_EST_NUM_ANALYSTS_3MONTH_CIQ" hidden="1">"c16611"</definedName>
    <definedName name="IQ_REVENUE_EST_NUM_ANALYSTS_MONTH" hidden="1">"c16279"</definedName>
    <definedName name="IQ_REVENUE_EST_NUM_ANALYSTS_MONTH_CIQ" hidden="1">"c16603"</definedName>
    <definedName name="IQ_REVENUE_EST_REUT" hidden="1">"c3634"</definedName>
    <definedName name="IQ_REVENUE_EST_THOM" hidden="1">"c3652"</definedName>
    <definedName name="IQ_REVENUE_EST_TOTAL_REVISED_2MONTH" hidden="1">"c16286"</definedName>
    <definedName name="IQ_REVENUE_EST_TOTAL_REVISED_2MONTH_CIQ" hidden="1">"c16610"</definedName>
    <definedName name="IQ_REVENUE_EST_TOTAL_REVISED_3MONTH" hidden="1">"c16290"</definedName>
    <definedName name="IQ_REVENUE_EST_TOTAL_REVISED_3MONTH_CIQ" hidden="1">"c16614"</definedName>
    <definedName name="IQ_REVENUE_EST_TOTAL_REVISED_MONTH" hidden="1">"c16282"</definedName>
    <definedName name="IQ_REVENUE_EST_TOTAL_REVISED_MONTH_CIQ" hidden="1">"c16606"</definedName>
    <definedName name="IQ_REVENUE_EST_UP_2MONTH" hidden="1">"c16284"</definedName>
    <definedName name="IQ_REVENUE_EST_UP_2MONTH_CIQ" hidden="1">"c16608"</definedName>
    <definedName name="IQ_REVENUE_EST_UP_3MONTH" hidden="1">"c16288"</definedName>
    <definedName name="IQ_REVENUE_EST_UP_3MONTH_CIQ" hidden="1">"c16612"</definedName>
    <definedName name="IQ_REVENUE_EST_UP_MONTH" hidden="1">"c16280"</definedName>
    <definedName name="IQ_REVENUE_EST_UP_MONTH_CIQ" hidden="1">"c16604"</definedName>
    <definedName name="IQ_REVENUE_GROWTH_1" localSheetId="7" hidden="1">"c155"</definedName>
    <definedName name="IQ_REVENUE_GROWTH_1" localSheetId="8" hidden="1">"c155"</definedName>
    <definedName name="IQ_REVENUE_GROWTH_1" hidden="1">"IQ_REVENUE_GROWTH_1"</definedName>
    <definedName name="IQ_REVENUE_GROWTH_2" localSheetId="7" hidden="1">"c159"</definedName>
    <definedName name="IQ_REVENUE_GROWTH_2" localSheetId="8" hidden="1">"c159"</definedName>
    <definedName name="IQ_REVENUE_GROWTH_2" hidden="1">"IQ_REVENUE_GROWTH_2"</definedName>
    <definedName name="IQ_REVENUE_GUIDANCE_CIQ" hidden="1">"c5057"</definedName>
    <definedName name="IQ_REVENUE_GUIDANCE_CIQ_COL" hidden="1">"c11704"</definedName>
    <definedName name="IQ_REVENUE_HIGH_EST" hidden="1">"c1127"</definedName>
    <definedName name="IQ_REVENUE_HIGH_EST_CIQ" hidden="1">"c3618"</definedName>
    <definedName name="IQ_REVENUE_HIGH_EST_REUT" hidden="1">"c3636"</definedName>
    <definedName name="IQ_REVENUE_HIGH_EST_THOM" hidden="1">"c3654"</definedName>
    <definedName name="IQ_REVENUE_HIGH_GUIDANCE_CIQ" hidden="1">"c4581"</definedName>
    <definedName name="IQ_REVENUE_HIGH_GUIDANCE_CIQ_COL" hidden="1">"c11230"</definedName>
    <definedName name="IQ_REVENUE_LOW_EST" hidden="1">"c1128"</definedName>
    <definedName name="IQ_REVENUE_LOW_EST_CIQ" hidden="1">"c3619"</definedName>
    <definedName name="IQ_REVENUE_LOW_EST_REUT" hidden="1">"c3637"</definedName>
    <definedName name="IQ_REVENUE_LOW_EST_THOM" hidden="1">"c3655"</definedName>
    <definedName name="IQ_REVENUE_LOW_GUIDANCE_CIQ" hidden="1">"c4621"</definedName>
    <definedName name="IQ_REVENUE_LOW_GUIDANCE_CIQ_COL" hidden="1">"c11270"</definedName>
    <definedName name="IQ_REVENUE_MEDIAN_EST" hidden="1">"c1662"</definedName>
    <definedName name="IQ_REVENUE_MEDIAN_EST_CIQ" hidden="1">"c3617"</definedName>
    <definedName name="IQ_REVENUE_MEDIAN_EST_REUT" hidden="1">"c3635"</definedName>
    <definedName name="IQ_REVENUE_MEDIAN_EST_THOM" hidden="1">"c3653"</definedName>
    <definedName name="IQ_REVENUE_NUM_EST" hidden="1">"c1129"</definedName>
    <definedName name="IQ_REVENUE_NUM_EST_CIQ" hidden="1">"c3620"</definedName>
    <definedName name="IQ_REVENUE_NUM_EST_REUT" hidden="1">"c3638"</definedName>
    <definedName name="IQ_REVENUE_NUM_EST_THOM" hidden="1">"c3656"</definedName>
    <definedName name="IQ_REVENUE_OTHER" hidden="1">"c2882"</definedName>
    <definedName name="IQ_REVENUE_PHONE" hidden="1">"c2879"</definedName>
    <definedName name="IQ_REVENUE_TOTAL" hidden="1">"c2883"</definedName>
    <definedName name="IQ_REVENUES_SATELLITE" hidden="1">"c15792"</definedName>
    <definedName name="IQ_REVENUES_WIRELESS" hidden="1">"c15793"</definedName>
    <definedName name="IQ_REVERSE_REPO" hidden="1">"c19131"</definedName>
    <definedName name="IQ_REVISION_DATE_" localSheetId="8" hidden="1">40721.7930439815</definedName>
    <definedName name="IQ_REVISION_DATE_" hidden="1">39238.4515277778</definedName>
    <definedName name="IQ_REVISION_DATE__1" hidden="1">39111.4358564815</definedName>
    <definedName name="IQ_REVOLV_OPEN_SECURED_1_4_LL_REC_DOM_FFIEC" hidden="1">"c12902"</definedName>
    <definedName name="IQ_REVOLVING_HOME_EQUITY_LINES_UNUSED_FFIEC" hidden="1">"c13241"</definedName>
    <definedName name="IQ_REVOLVING_LOANS_GROSS_LOANS_FFIEC" hidden="1">"c13398"</definedName>
    <definedName name="IQ_REVOLVING_LOANS_GROSS_LOANS_THRIFT" hidden="1">"c25723"</definedName>
    <definedName name="IQ_REVOLVING_LOANS_RISK_BASED_CAPITAL_THRIFT" hidden="1">"c25708"</definedName>
    <definedName name="IQ_REVOLVING_LOANS_RISK_BASED_FFIEC" hidden="1">"c13419"</definedName>
    <definedName name="IQ_REVOLVING_LOANS_SEC_1_4_DOM_CHARGE_OFFS_FFIEC" hidden="1">"c13168"</definedName>
    <definedName name="IQ_REVOLVING_LOANS_SEC_1_4_DOM_RECOV_FFIEC" hidden="1">"c13190"</definedName>
    <definedName name="IQ_REVOLVING_OPEN_END_1_4_TRADING_DOM_FFIEC" hidden="1">"c12927"</definedName>
    <definedName name="IQ_REVOLVING_OPEN_END_PML_SECURED_1_4_DWELLING_UNITS_DUE_30_89_THRIFT" hidden="1">"c25241"</definedName>
    <definedName name="IQ_REVOLVING_OPEN_END_PML_SECURED_1_4_DWELLING_UNITS_DUE_90_THRIFT" hidden="1">"c25262"</definedName>
    <definedName name="IQ_REVOLVING_OPEN_END_PML_SECURED_1_4_DWELLING_UNITS_NON_ACCRUAL_THRIFT" hidden="1">"c25283"</definedName>
    <definedName name="IQ_REVOLVING_OPEN_LOANS_SEC_1_4_DOM_LOSS_SHARING_FFIEC" hidden="1">"c27191"</definedName>
    <definedName name="IQ_REVOLVING_OPEN_LOANS_SEC_1_4_EXTD_LOC_DOM_LOSS_SHARING_DUE_30_89_FFIEC" hidden="1">"c27074"</definedName>
    <definedName name="IQ_REVOLVING_OPEN_LOANS_SEC_1_4_EXTD_LOC_DOM_LOSS_SHARING_DUE_90_FFIEC" hidden="1">"c27114"</definedName>
    <definedName name="IQ_REVOLVING_OPEN_LOANS_SEC_1_4_EXTD_LOC_DOM_LOSS_SHARING_NON_ACCRUAL_FFIEC" hidden="1">"c27154"</definedName>
    <definedName name="IQ_REVOLVING_SECURED_1_4_DUE_30_89_FFIEC" hidden="1">"c13260"</definedName>
    <definedName name="IQ_REVOLVING_SECURED_1_4_DUE_90_FFIEC" hidden="1">"c13288"</definedName>
    <definedName name="IQ_REVOLVING_SECURED_1_4_NON_ACCRUAL_FFIEC" hidden="1">"c13314"</definedName>
    <definedName name="IQ_REVOLVING_SECURED_1_–4_NON_ACCRUAL_FFIEC" hidden="1">"c13314"</definedName>
    <definedName name="IQ_RGU" hidden="1">"c2863"</definedName>
    <definedName name="IQ_RISK_ADJ_BANK_ASSETS" hidden="1">"c2670"</definedName>
    <definedName name="IQ_RISK_WEIGHTED_ASSETS_0_PCT_FFIEC" hidden="1">"c18874"</definedName>
    <definedName name="IQ_RISK_WEIGHTED_ASSETS_100_PCT_FFIEC" hidden="1">"c18877"</definedName>
    <definedName name="IQ_RISK_WEIGHTED_ASSETS_20_PCT_FFIEC" hidden="1">"c18875"</definedName>
    <definedName name="IQ_RISK_WEIGHTED_ASSETS_50_PCT_FFIEC" hidden="1">"c18876"</definedName>
    <definedName name="IQ_RISK_WEIGHTED_ASSETS_BEFORE_EXCESS_ALLOWANCE_LL_LOSSES_THRIFT" hidden="1">"c25077"</definedName>
    <definedName name="IQ_RISK_WEIGHTED_ASSETS_FDIC" hidden="1">"c6370"</definedName>
    <definedName name="IQ_RISK_WEIGHTED_ASSETS_LOW_LEVEL_RECOURSE_RESIDUAL_INTERESTS_THRIFT" hidden="1">"c25075"</definedName>
    <definedName name="IQ_ROAM_MIN_USE_OTHER_CARRIERS" hidden="1">"c15765"</definedName>
    <definedName name="IQ_ROYALTIES_DUE_AFTER_FIVE" hidden="1">"c15969"</definedName>
    <definedName name="IQ_ROYALTIES_DUE_CY" hidden="1">"c15964"</definedName>
    <definedName name="IQ_ROYALTIES_DUE_CY1" hidden="1">"c15965"</definedName>
    <definedName name="IQ_ROYALTIES_DUE_CY2" hidden="1">"c15966"</definedName>
    <definedName name="IQ_ROYALTIES_DUE_CY3" hidden="1">"c15967"</definedName>
    <definedName name="IQ_ROYALTIES_DUE_CY4" hidden="1">"c15968"</definedName>
    <definedName name="IQ_ROYALTY_REVENUE_COAL" hidden="1">"c15932"</definedName>
    <definedName name="IQ_RSI" hidden="1">"c12704"</definedName>
    <definedName name="IQ_RSI_ADJ" hidden="1">"c12705"</definedName>
    <definedName name="IQ_RSSD_ID_FFIEC" hidden="1">"c20506"</definedName>
    <definedName name="IQ_SALARIED_WORKFORCE" hidden="1">"c7010"</definedName>
    <definedName name="IQ_SALARIED_WORKFORCE_APR" hidden="1">"c7670"</definedName>
    <definedName name="IQ_SALARIED_WORKFORCE_APR_FC" hidden="1">"c8550"</definedName>
    <definedName name="IQ_SALARIED_WORKFORCE_FC" hidden="1">"c7890"</definedName>
    <definedName name="IQ_SALARIED_WORKFORCE_POP" hidden="1">"c7230"</definedName>
    <definedName name="IQ_SALARIED_WORKFORCE_POP_FC" hidden="1">"c8110"</definedName>
    <definedName name="IQ_SALARIED_WORKFORCE_YOY" hidden="1">"c7450"</definedName>
    <definedName name="IQ_SALARIED_WORKFORCE_YOY_FC" hidden="1">"c8330"</definedName>
    <definedName name="IQ_SALARIES_EMPLOYEE_BENEFITS_FFIEC" hidden="1">"c13023"</definedName>
    <definedName name="IQ_SALARIES_EMPLOYEE_BENEFITS_THRIFT" hidden="1">"c24786"</definedName>
    <definedName name="IQ_SALARIES_OTHER_BENEFITS" hidden="1">"c16176"</definedName>
    <definedName name="IQ_SALARY" hidden="1">"c1130"</definedName>
    <definedName name="IQ_SALARY_FDIC" hidden="1">"c6576"</definedName>
    <definedName name="IQ_SALE_COMMON_GROSS_FFIEC" hidden="1">"c12963"</definedName>
    <definedName name="IQ_SALE_CONVERSION_ACQUISITION_NET_COMMON_FFIEC" hidden="1">"c15351"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CM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CM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PREF_FFIEC" hidden="1">"c12961"</definedName>
    <definedName name="IQ_SALE_PROCEEDS_RENTAL_ASSETS" hidden="1">"c26974"</definedName>
    <definedName name="IQ_SALE_PROP" hidden="1">"c16029"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CM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_TREASURY_FFIEC" hidden="1">"c12965"</definedName>
    <definedName name="IQ_SALES_COAL" hidden="1">"c15930"</definedName>
    <definedName name="IQ_SALES_COMM_NON_MORTGAGE_LOANS_THRIFT" hidden="1">"c25340"</definedName>
    <definedName name="IQ_SALES_CONSUMER_NON_MORTGAGE_LOANS_THRIFT" hidden="1">"c25342"</definedName>
    <definedName name="IQ_SALES_MARKETING" hidden="1">"c2240"</definedName>
    <definedName name="IQ_SALES_OTHER_MORTGAGE_BACKED_SEC_THRIFT" hidden="1">"c25315"</definedName>
    <definedName name="IQ_SALES_PASS_THROUGH_MORTGAGE_BACKED_SEC_THRIFT" hidden="1">"c25312"</definedName>
    <definedName name="IQ_SALES_TO_TOTAL_REVENUE_COAL" hidden="1">"c15943"</definedName>
    <definedName name="IQ_SAME_PROP_AGG_GLA" hidden="1">"c16055"</definedName>
    <definedName name="IQ_SAME_PROP_AGG_UNITS" hidden="1">"c16053"</definedName>
    <definedName name="IQ_SAME_PROP_EXPENSE" hidden="1">"c16050"</definedName>
    <definedName name="IQ_SAME_PROP_EXPENSE_GROWTH" hidden="1">"c16051"</definedName>
    <definedName name="IQ_SAME_PROP_NUMBER_PROP" hidden="1">"c16052"</definedName>
    <definedName name="IQ_SAME_PROP_PORTFOLIO_AREA" hidden="1">"c16054"</definedName>
    <definedName name="IQ_SAME_PROP_REV_GROWTH" hidden="1">"c16049"</definedName>
    <definedName name="IQ_SAME_PROP_REVENUE" hidden="1">"c16048"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AVINGS_ACCT_DEPOSITS_TOTAL_DEPOSITS" hidden="1">"c15721"</definedName>
    <definedName name="IQ_SAVINGS_ASSOCIATION_EQUITY_CAPITAL_BEGINNING_BALANCE_FROM_PRIOR_QTR_THRIFT" hidden="1">"c25008"</definedName>
    <definedName name="IQ_SAVINGS_ASSOCIATION_EQUITY_CAPITAL_ENDING_BALANCE_THRIFT" hidden="1">"c25019"</definedName>
    <definedName name="IQ_SAVINGS_DEPOSITS_NON_TRANS_ACCTS_FFIEC" hidden="1">"c15329"</definedName>
    <definedName name="IQ_SAVINGS_DEPOSITS_QUARTERLY_AVG_FFIEC" hidden="1">"c15485"</definedName>
    <definedName name="IQ_SAVINGS_RATE_DISP_INC_PCT" hidden="1">"c7011"</definedName>
    <definedName name="IQ_SAVINGS_RATE_DISP_INC_PCT_FC" hidden="1">"c7891"</definedName>
    <definedName name="IQ_SAVINGS_RATE_DISP_INC_PCT_POP" hidden="1">"c7231"</definedName>
    <definedName name="IQ_SAVINGS_RATE_DISP_INC_PCT_POP_FC" hidden="1">"c8111"</definedName>
    <definedName name="IQ_SAVINGS_RATE_DISP_INC_PCT_YOY" hidden="1">"c7451"</definedName>
    <definedName name="IQ_SAVINGS_RATE_DISP_INC_PCT_YOY_FC" hidden="1">"c8331"</definedName>
    <definedName name="IQ_SAVINGS_RATE_GDP_PCT" hidden="1">"c7012"</definedName>
    <definedName name="IQ_SAVINGS_RATE_GDP_PCT_FC" hidden="1">"c7892"</definedName>
    <definedName name="IQ_SAVINGS_RATE_GDP_PCT_POP" hidden="1">"c7232"</definedName>
    <definedName name="IQ_SAVINGS_RATE_GDP_PCT_POP_FC" hidden="1">"c8112"</definedName>
    <definedName name="IQ_SAVINGS_RATE_GDP_PCT_YOY" hidden="1">"c7452"</definedName>
    <definedName name="IQ_SAVINGS_RATE_GDP_PCT_YOY_FC" hidden="1">"c8332"</definedName>
    <definedName name="IQ_SAVINGS_RATE_PERSONAL_INC_PCT" hidden="1">"c7013"</definedName>
    <definedName name="IQ_SAVINGS_RATE_PERSONAL_INC_PCT_FC" hidden="1">"c7893"</definedName>
    <definedName name="IQ_SAVINGS_RATE_PERSONAL_INC_PCT_POP" hidden="1">"c7233"</definedName>
    <definedName name="IQ_SAVINGS_RATE_PERSONAL_INC_PCT_POP_FC" hidden="1">"c8113"</definedName>
    <definedName name="IQ_SAVINGS_RATE_PERSONAL_INC_PCT_YOY" hidden="1">"c7453"</definedName>
    <definedName name="IQ_SAVINGS_RATE_PERSONAL_INC_PCT_YOY_FC" hidden="1">"c8333"</definedName>
    <definedName name="IQ_SBC_EXPENSE_FFIEC" hidden="1">"c13077"</definedName>
    <definedName name="IQ_SCALABLE_INFRASTRUCTURE_CABLE_INVEST" hidden="1">"c15802"</definedName>
    <definedName name="IQ_SEC_1_4_CONSTRUCTION_DOM_CHARGE_OFFS_FFIEC" hidden="1">"c13165"</definedName>
    <definedName name="IQ_SEC_1_4_CONSTRUCTION_DOM_RECOV_FFIEC" hidden="1">"c13187"</definedName>
    <definedName name="IQ_SEC_1_4_DOM_LOANS_RSTRC_DUE_30_89_FFIEC" hidden="1">"c27093"</definedName>
    <definedName name="IQ_SEC_1_4_DOM_LOANS_RSTRC_DUE_90_FFIEC" hidden="1">"c27133"</definedName>
    <definedName name="IQ_SEC_1_4_DOM_LOANS_RSTRC_DUE_NON_ACCRUAL_FFIEC" hidden="1">"c27173"</definedName>
    <definedName name="IQ_SEC_BACKED_NON_MORTGAGE_LOANS_THRIFT" hidden="1">"c24825"</definedName>
    <definedName name="IQ_SEC_BACKED_US_GOVT_ELIGIBLE_0_PCT_RISK_WEIGHT_THRIFT" hidden="1">"c25052"</definedName>
    <definedName name="IQ_SEC_BORROWED_OFF_BS_FFIEC" hidden="1">"c13127"</definedName>
    <definedName name="IQ_SEC_FARMLAND_DOM_CHARGE_OFFS_FFIEC" hidden="1">"c13167"</definedName>
    <definedName name="IQ_SEC_FARMLAND_DOM_LOSS_SHARING_DUE_30_89_FFIEC" hidden="1">"c27073"</definedName>
    <definedName name="IQ_SEC_FARMLAND_DOM_LOSS_SHARING_DUE_90_FFIEC" hidden="1">"c27113"</definedName>
    <definedName name="IQ_SEC_FARMLAND_DOM_LOSS_SHARING_FFIEC" hidden="1">"c27190"</definedName>
    <definedName name="IQ_SEC_FARMLAND_DOM_LOSS_SHARING_NON_ACCRUAL_FFIEC" hidden="1">"c27153"</definedName>
    <definedName name="IQ_SEC_FARMLAND_DOM_RECOV_FFIEC" hidden="1">"c13189"</definedName>
    <definedName name="IQ_SEC_FUNDS_PURCHASED_ASSETS_TOT_FFIEC" hidden="1">"c13447"</definedName>
    <definedName name="IQ_SEC_ISSUED_US_AFS_AMORT_COST_FFIEC" hidden="1">"c20492"</definedName>
    <definedName name="IQ_SEC_ISSUED_US_AFS_FAIR_VAL_FFIEC" hidden="1">"c20457"</definedName>
    <definedName name="IQ_SEC_ISSUED_US_AVAIL_SALE_FFIEC" hidden="1">"c12795"</definedName>
    <definedName name="IQ_SEC_ISSUED_US_TRADING_DOM_FFIEC" hidden="1">"c12920"</definedName>
    <definedName name="IQ_SEC_ISSUED_US_TRADING_FFIEC" hidden="1">"c12815"</definedName>
    <definedName name="IQ_SEC_MULTIFAM_DOM_CHARGE_OFFS_FFIEC" hidden="1">"c13171"</definedName>
    <definedName name="IQ_SEC_MULTIFAM_DOM_DUE_30_89_FFIEC" hidden="1">"c13263"</definedName>
    <definedName name="IQ_SEC_MULTIFAM_DOM_DUE_90_FFIEC" hidden="1">"c13291"</definedName>
    <definedName name="IQ_SEC_MULTIFAM_DOM_LOANS_LOSS_SHARING_DUE_90_FFIEC" hidden="1">"c27117"</definedName>
    <definedName name="IQ_SEC_MULTIFAM_DOM_LOANS_RSTRC_DUE_30_89_FFIEC" hidden="1">"c27094"</definedName>
    <definedName name="IQ_SEC_MULTIFAM_DOM_LOANS_RSTRC_DUE_90_FFIEC" hidden="1">"c27134"</definedName>
    <definedName name="IQ_SEC_MULTIFAM_DOM_LOANS_RSTRC_NON_ACCRUAL_FFIEC" hidden="1">"c27174"</definedName>
    <definedName name="IQ_SEC_MULTIFAM_DOM_LOANS_RSTRC_TERMS_FFIEC" hidden="1">"c27025"</definedName>
    <definedName name="IQ_SEC_MULTIFAM_DOM_LOSS_SHARING_DUE_30_89_FFIEC" hidden="1">"c27077"</definedName>
    <definedName name="IQ_SEC_MULTIFAM_DOM_LOSS_SHARING_FFIEC" hidden="1">"c27194"</definedName>
    <definedName name="IQ_SEC_MULTIFAM_DOM_LOSS_SHARING_NON_ACCRUAL_FFIEC" hidden="1">"c27157"</definedName>
    <definedName name="IQ_SEC_MULTIFAM_DOM_NON_ACCRUAL_FFIEC" hidden="1">"c13317"</definedName>
    <definedName name="IQ_SEC_MULTIFAM_DOM_RECOV_FFIEC" hidden="1">"c13193"</definedName>
    <definedName name="IQ_SEC_NONFARM_NONRES_CHARGE_OFFS_FFIEC" hidden="1">"c13629"</definedName>
    <definedName name="IQ_SEC_NONFARM_NONRES_DOM_OFFICES_DUE_30_89_FFIEC" hidden="1">"c13264"</definedName>
    <definedName name="IQ_SEC_NONFARM_NONRES_DOM_OFFICES_DUE_90_FFIEC" hidden="1">"c13292"</definedName>
    <definedName name="IQ_SEC_NONFARM_NONRES_DOM_OFFICES_NON_ACCRUAL_FFIEC" hidden="1">"c13318"</definedName>
    <definedName name="IQ_SEC_NONFARM_NONRES_RECOV_FFIEC" hidden="1">"c13633"</definedName>
    <definedName name="IQ_SEC_OTHER_CONSTRUCTION_DOM_CHARGE_OFFS_FFIEC" hidden="1">"c13166"</definedName>
    <definedName name="IQ_SEC_OTHER_CONSTRUCTION_DOM_RECOV_FFIEC" hidden="1">"c13188"</definedName>
    <definedName name="IQ_SEC_OTHER_NONFARM_NONRES_CHARGE_OFFS_FFIEC" hidden="1">"c13173"</definedName>
    <definedName name="IQ_SEC_OTHER_NONFARM_NONRES_DOM_LOSS_SHARING_DUE_30_89_FFIEC" hidden="1">"c27079"</definedName>
    <definedName name="IQ_SEC_OTHER_NONFARM_NONRES_DOM_LOSS_SHARING_DUE_90_FFIEC" hidden="1">"c27119"</definedName>
    <definedName name="IQ_SEC_OTHER_NONFARM_NONRES_DOM_LOSS_SHARING_FFIEC" hidden="1">"c27196"</definedName>
    <definedName name="IQ_SEC_OTHER_NONFARM_NONRES_DOM_RSTRC_TERMS_FFIEC" hidden="1">"c27027"</definedName>
    <definedName name="IQ_SEC_OTHER_NONFARM_NONRES_DUE_30_89_FFIEC" hidden="1">"c13266"</definedName>
    <definedName name="IQ_SEC_OTHER_NONFARM_NONRES_DUE_90_FFIEC" hidden="1">"c13637"</definedName>
    <definedName name="IQ_SEC_OTHER_NONFARM_NONRES_NON_ACCRUAL_FFIEC" hidden="1">"c15462"</definedName>
    <definedName name="IQ_SEC_OTHER_NONFARM_NONRES_RECOV_FFIEC" hidden="1">"c13195"</definedName>
    <definedName name="IQ_SEC_OTHER_NONFARM_NONRES_RSTRC_DUE_30_89_FFIEC" hidden="1">"c27096"</definedName>
    <definedName name="IQ_SEC_OTHER_NONFARM_NONRES_RSTRC_DUE_90_FFIEC" hidden="1">"c27136"</definedName>
    <definedName name="IQ_SEC_OTHER_NONFARM_NONRES_RSTRC_NON_ACCRUAL_FFIEC" hidden="1">"c27176"</definedName>
    <definedName name="IQ_SEC_OWNER_NONFARM_NONRES_CHARGE_OFFS_FFIEC" hidden="1">"c13172"</definedName>
    <definedName name="IQ_SEC_OWNER_NONFARM_NONRES_DOM_RSTRC_TERMS_FFIEC" hidden="1">"c27026"</definedName>
    <definedName name="IQ_SEC_OWNER_NONFARM_NONRES_DUE_30_89_FFIEC" hidden="1">"c13265"</definedName>
    <definedName name="IQ_SEC_OWNER_NONFARM_NONRES_DUE_90_FFIEC" hidden="1">"c13636"</definedName>
    <definedName name="IQ_SEC_OWNER_NONFARM_NONRES_NON_ACCRUAL_FFIEC" hidden="1">"c15461"</definedName>
    <definedName name="IQ_SEC_OWNER_NONFARM_NONRES_RECOV_FFIEC" hidden="1">"c13194"</definedName>
    <definedName name="IQ_SEC_OWNER_NONFARM_NONRES_RSTRC_DUE_30_89_FFIEC" hidden="1">"c27095"</definedName>
    <definedName name="IQ_SEC_OWNER_NONFARM_NONRES_RSTRC_DUE_90_FFIEC" hidden="1">"c27135"</definedName>
    <definedName name="IQ_SEC_OWNER_NONFARM_NONRES_RSTRC_NON_ACCRUAL_FFIEC" hidden="1">"c27159"</definedName>
    <definedName name="IQ_SEC_OWNER_NONFARM_NONRES_RSTRUC_NON_ACCRUAL_FFIEC" hidden="1">"c27175"</definedName>
    <definedName name="IQ_SEC_OWNER_OCCUPIED_NONFARM_NONRES_DOM_LOSS_SHARING_DUE_30_89_FFIEC" hidden="1">"c27078"</definedName>
    <definedName name="IQ_SEC_OWNER_OCCUPIED_NONFARM_NONRES_DOM_LOSS_SHARING_DUE_90_FFIEC" hidden="1">"c27118"</definedName>
    <definedName name="IQ_SEC_OWNER_OCCUPIED_NONFARM_NONRES_DOM_LOSS_SHARING_FFIEC" hidden="1">"c27195"</definedName>
    <definedName name="IQ_SEC_OWNER_OCCUPIED_NONFARM_NONRES_DOM_LOSS_SHARING_NON_ACCRUAL_FFIEC" hidden="1">"c27158"</definedName>
    <definedName name="IQ_SEC_PURCHASED_RESELL" hidden="1">"c5513"</definedName>
    <definedName name="IQ_SEC_PURCHASED_RESELL_FFIEC" hidden="1">"c12807"</definedName>
    <definedName name="IQ_SEC_RE_FOREIGN_DUE_30_89_FFIEC" hidden="1">"c13267"</definedName>
    <definedName name="IQ_SEC_RE_FOREIGN_DUE_90_FFIEC" hidden="1">"c13293"</definedName>
    <definedName name="IQ_SEC_RE_FOREIGN_NON_ACCRUAL_FFIEC" hidden="1">"c13319"</definedName>
    <definedName name="IQ_SEC_RISK_WEIGHTED_100_PCT_MORE_UNDER_RATINGS_THRIFT" hidden="1">"c25071"</definedName>
    <definedName name="IQ_SEC_SOLD_REPURCHASE_FFIEC" hidden="1">"c12857"</definedName>
    <definedName name="IQ_SEC_SOLD_UNDER_AGREEMENTS_REPURCHASE_THRIFT" hidden="1">"c25574"</definedName>
    <definedName name="IQ_SECOND_LIEN_BONDS_NOTES" hidden="1">"c17893"</definedName>
    <definedName name="IQ_SECOND_LIEN_BONDS_NOTES_PCT" hidden="1">"c18007"</definedName>
    <definedName name="IQ_SECOND_LIEN_DEBT" hidden="1">"c17898"</definedName>
    <definedName name="IQ_SECOND_LIEN_DEBT_PCT" hidden="1">"c18012"</definedName>
    <definedName name="IQ_SECOND_LIEN_LOANS" hidden="1">"c17892"</definedName>
    <definedName name="IQ_SECOND_LIEN_LOANS_PCT" hidden="1">"c18006"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COMMERCIAL_LOANS_THRIFT" hidden="1">"c24854"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DOM_DUE_30_89_FFIEC" hidden="1">"c13259"</definedName>
    <definedName name="IQ_SECURED_FARMLAND_DOM_DUE_90_FFIEC" hidden="1">"c13287"</definedName>
    <definedName name="IQ_SECURED_FARMLAND_DOM_NON_ACCRUAL_FFIEC" hidden="1">"c13313"</definedName>
    <definedName name="IQ_SECURED_FARMLAND_LL_REC_DOM_FFIEC" hidden="1">"c12901"</definedName>
    <definedName name="IQ_SECURED_FARMLAND_NET_CHARGE_OFFS_FDIC" hidden="1">"c6631"</definedName>
    <definedName name="IQ_SECURED_FARMLAND_RECOVERIES_FDIC" hidden="1">"c6612"</definedName>
    <definedName name="IQ_SECURED_FED_FUNDS_PURCHASED_TOTAL_ASSETS_THRIFT" hidden="1">"c25703"</definedName>
    <definedName name="IQ_SECURED_FEDERAL_FUNDS_PURCHASED_THRIFT" hidden="1">"c25573"</definedName>
    <definedName name="IQ_SECURED_MULTI_RES_LL_REC_DOM_FFIEC" hidden="1">"c12905"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AFS_AMORT_COST_FFIEC" hidden="1">"c20488"</definedName>
    <definedName name="IQ_SECURITIES_AFS_FAIR_VAL_FFIEC" hidden="1">"c20453"</definedName>
    <definedName name="IQ_SECURITIES_GAINS_FDIC" hidden="1">"c6584"</definedName>
    <definedName name="IQ_SECURITIES_HELD_MATURITY_FFIEC" hidden="1">"c12777"</definedName>
    <definedName name="IQ_SECURITIES_HTM_AMORT_COST_FFIEC" hidden="1">"c20436"</definedName>
    <definedName name="IQ_SECURITIES_HTM_FAIR_VAL_FFIEC" hidden="1">"c20471"</definedName>
    <definedName name="IQ_SECURITIES_ISSUED_STATES_FDIC" hidden="1">"c6300"</definedName>
    <definedName name="IQ_SECURITIES_ISSUED_US_FFIEC" hidden="1">"c12781"</definedName>
    <definedName name="IQ_SECURITIES_ISSUED_US_HTM_AMORT_COST_FFIEC" hidden="1">"c20440"</definedName>
    <definedName name="IQ_SECURITIES_ISSUED_US_HTM_FAIR_VAL_FFIEC" hidden="1">"c20475"</definedName>
    <definedName name="IQ_SECURITIES_LENT_FDIC" hidden="1">"c6532"</definedName>
    <definedName name="IQ_SECURITIES_LENT_FFIEC" hidden="1">"c13255"</definedName>
    <definedName name="IQ_SECURITIES_QUARTERLY_AVG_FFIEC" hidden="1">"c13079"</definedName>
    <definedName name="IQ_SECURITIES_STATE_POLI_SUBD_QUARTERLY_AVG_FFIEC" hidden="1">"c15470"</definedName>
    <definedName name="IQ_SECURITIES_UNDERWRITING_FDIC" hidden="1">"c6529"</definedName>
    <definedName name="IQ_SECURITIES_UNDERWRITING_UNUSED_FFIEC" hidden="1">"c13247"</definedName>
    <definedName name="IQ_SECURITIZATION_INC_OPERATING_INC_FFIEC" hidden="1">"c13390"</definedName>
    <definedName name="IQ_SECURITIZATION_INCOME_FFIEC" hidden="1">"c13012"</definedName>
    <definedName name="IQ_SECURITIZED_DEBT" hidden="1">"c17897"</definedName>
    <definedName name="IQ_SECURITIZED_DEBT_PCT" hidden="1">"c18011"</definedName>
    <definedName name="IQ_SECURITY_ACTIVE_STATUS" hidden="1">"c15160"</definedName>
    <definedName name="IQ_SECURITY_BORROW" hidden="1">"c1152"</definedName>
    <definedName name="IQ_SECURITY_FEATURES" hidden="1">"c17681"</definedName>
    <definedName name="IQ_SECURITY_LEVEL" hidden="1">"c2159"</definedName>
    <definedName name="IQ_SECURITY_NAME" hidden="1">"c15159"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DOL" hidden="1">"c12042"</definedName>
    <definedName name="IQ_SELECTED_FOREIGN_ASSETS_FFIEC" hidden="1">"c13485"</definedName>
    <definedName name="IQ_SEMI_BACKLOG" hidden="1">"c10005"</definedName>
    <definedName name="IQ_SEMI_BACKLOG_AVG_PRICE" hidden="1">"c10006"</definedName>
    <definedName name="IQ_SEMI_BACKLOG_VALUE" hidden="1">"c10007"</definedName>
    <definedName name="IQ_SEMI_BOOK_TO_BILL_RATIO" hidden="1">"c10008"</definedName>
    <definedName name="IQ_SEMI_ORDER_AVG_PRICE" hidden="1">"c10002"</definedName>
    <definedName name="IQ_SEMI_ORDER_VALUE" hidden="1">"c10003"</definedName>
    <definedName name="IQ_SEMI_ORDER_VALUE_CHANGE" hidden="1">"c10004"</definedName>
    <definedName name="IQ_SEMI_ORDERS" hidden="1">"c10001"</definedName>
    <definedName name="IQ_SEMI_WARRANTY_RES_ACQ" hidden="1">"c10011"</definedName>
    <definedName name="IQ_SEMI_WARRANTY_RES_BEG" hidden="1">"c10009"</definedName>
    <definedName name="IQ_SEMI_WARRANTY_RES_END" hidden="1">"c10014"</definedName>
    <definedName name="IQ_SEMI_WARRANTY_RES_ISS" hidden="1">"c10010"</definedName>
    <definedName name="IQ_SEMI_WARRANTY_RES_OTHER" hidden="1">"c10013"</definedName>
    <definedName name="IQ_SEMI_WARRANTY_RES_PAY" hidden="1">"c10012"</definedName>
    <definedName name="IQ_SEP_ACCOUNT_ASSETS_LH_FFIEC" hidden="1">"c13105"</definedName>
    <definedName name="IQ_SEPARATE_ACCOUNT_LIAB_LH_FFIEC" hidden="1">"c13108"</definedName>
    <definedName name="IQ_SEPARATE_ACCT_ASSETS" hidden="1">"c1155"</definedName>
    <definedName name="IQ_SEPARATE_ACCT_LIAB" hidden="1">"c1156"</definedName>
    <definedName name="IQ_SEPARATE_LIFE_INSURANCE_ASSET_FFIEC" hidden="1">"c27009"</definedName>
    <definedName name="IQ_SERV_CHARGE_DEPOSITS" hidden="1">"c1157"</definedName>
    <definedName name="IQ_SERVICE_CHARGES_COMM_FEE_DOM_FFIEC" hidden="1">"c25821"</definedName>
    <definedName name="IQ_SERVICE_CHARGES_DEPOSIT_ACCOUNTS_DOM_FFIEC" hidden="1">"c13003"</definedName>
    <definedName name="IQ_SERVICE_CHARGES_FDIC" hidden="1">"c6572"</definedName>
    <definedName name="IQ_SERVICE_CHARGES_OPERATING_INC_FFIEC" hidden="1">"c13384"</definedName>
    <definedName name="IQ_SERVICE_FEE" hidden="1">"c8951"</definedName>
    <definedName name="IQ_SERVICING_ASSETS_MORTGAGE_LOANS_THRIFT" hidden="1">"c24888"</definedName>
    <definedName name="IQ_SERVICING_ASSETS_NON_MORTGAGE_LOANS_THRIFT" hidden="1">"c24889"</definedName>
    <definedName name="IQ_SERVICING_FEES_FFIEC" hidden="1">"c13011"</definedName>
    <definedName name="IQ_SERVICING_FEES_OPERATING_INC_FFIEC" hidden="1">"c13389"</definedName>
    <definedName name="IQ_SETTLEMENT_PRICE" hidden="1">"c15157"</definedName>
    <definedName name="IQ_SETTLEMENTS_TAX_AUTHORITIES" hidden="1">"c15737"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SUPPL" hidden="1">"c1162"</definedName>
    <definedName name="IQ_SGA_UTI" hidden="1">"c1163"</definedName>
    <definedName name="IQ_SHARE_PARTNERSHIP_ASSETS" hidden="1">"c16071"</definedName>
    <definedName name="IQ_SHARE_PARTNERSHIP_CONSOL_JV_DEBT" hidden="1">"c19139"</definedName>
    <definedName name="IQ_SHARE_PARTNERSHIP_CURRENT_ASSETS" hidden="1">"c16069"</definedName>
    <definedName name="IQ_SHARE_PARTNERSHIP_CURRENT_LIAB" hidden="1">"c16073"</definedName>
    <definedName name="IQ_SHARE_PARTNERSHIP_CURRENT_TAX" hidden="1">"c16091"</definedName>
    <definedName name="IQ_SHARE_PARTNERSHIP_DEBT" hidden="1">"c16078"</definedName>
    <definedName name="IQ_SHARE_PARTNERSHIP_DEFERRED_TAX" hidden="1">"c16092"</definedName>
    <definedName name="IQ_SHARE_PARTNERSHIP_DEPRECIATION" hidden="1">"c16089"</definedName>
    <definedName name="IQ_SHARE_PARTNERSHIP_FLOAT_DEBT" hidden="1">"c16077"</definedName>
    <definedName name="IQ_SHARE_PARTNERSHIP_FR_DEBT" hidden="1">"c16076"</definedName>
    <definedName name="IQ_SHARE_PARTNERSHIP_INT_EXPENSE" hidden="1">"c16088"</definedName>
    <definedName name="IQ_SHARE_PARTNERSHIP_INT_INCOME" hidden="1">"c16090"</definedName>
    <definedName name="IQ_SHARE_PARTNERSHIP_LIAB" hidden="1">"c16075"</definedName>
    <definedName name="IQ_SHARE_PARTNERSHIP_LT_ASSETS" hidden="1">"c16070"</definedName>
    <definedName name="IQ_SHARE_PARTNERSHIP_NOI" hidden="1">"c16084"</definedName>
    <definedName name="IQ_SHARE_PARTNERSHIP_NON_CURRENT_LIAB" hidden="1">"c16074"</definedName>
    <definedName name="IQ_SHARE_PARTNERSHIP_OPEX" hidden="1">"c16086"</definedName>
    <definedName name="IQ_SHARE_PARTNERSHIP_OTHER_EXPENSE" hidden="1">"c16087"</definedName>
    <definedName name="IQ_SHARE_PARTNERSHIP_OTHER_INCOME" hidden="1">"c16085"</definedName>
    <definedName name="IQ_SHARE_PARTNERSHIP_REVENUE" hidden="1">"c16083"</definedName>
    <definedName name="IQ_SHARE_RE_ASSET" hidden="1">"c16082"</definedName>
    <definedName name="IQ_SHARE_RE_ASSET_DEVELOP_PROP" hidden="1">"c16080"</definedName>
    <definedName name="IQ_SHARE_RE_ASSET_INV_PROP" hidden="1">"c16079"</definedName>
    <definedName name="IQ_SHARE_RE_ASSET_OTHER" hidden="1">"c16081"</definedName>
    <definedName name="IQ_SHAREOUTSTANDING" localSheetId="7" hidden="1">"c1347"</definedName>
    <definedName name="IQ_SHAREOUTSTANDING" localSheetId="8" hidden="1">"c1347"</definedName>
    <definedName name="IQ_SHAREOUTSTANDING" hidden="1">"c1347"</definedName>
    <definedName name="IQ_SHAREOUTSTANDING_1" hidden="1">"c83"</definedName>
    <definedName name="IQ_SHARES_PER_DR" hidden="1">"c204"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BUSINESS_DESCRIPTION" hidden="1">"c24668"</definedName>
    <definedName name="IQ_SHORT_INTEREST" hidden="1">"c1165"</definedName>
    <definedName name="IQ_SHORT_INTEREST_OVER_FLOAT" hidden="1">"c1577"</definedName>
    <definedName name="IQ_SHORT_INTEREST_OVER_INST_OWNERSHIP" hidden="1">"c17422"</definedName>
    <definedName name="IQ_SHORT_INTEREST_PERCENT" hidden="1">"c1576"</definedName>
    <definedName name="IQ_SHORT_INTEREST_VOLUME" hidden="1">"c228"</definedName>
    <definedName name="IQ_SHORT_POSITIONS_FFIEC" hidden="1">"c12859"</definedName>
    <definedName name="IQ_SHORT_SCORE_DX" hidden="1">"c17439"</definedName>
    <definedName name="IQ_SHORT_TERM_INV_SHORT_TERM_NONCORE_FUNDING_THRIFT" hidden="1">"c25625"</definedName>
    <definedName name="IQ_SHORT_TERM_INV_TOTAL_ASSETS_THRIFT" hidden="1">"c25695"</definedName>
    <definedName name="IQ_SHORT_TERM_INVEST" localSheetId="7" hidden="1">"c1425"</definedName>
    <definedName name="IQ_SHORT_TERM_INVEST" localSheetId="8" hidden="1">"c1425"</definedName>
    <definedName name="IQ_SHORT_TERM_INVEST" hidden="1">"c1425"</definedName>
    <definedName name="IQ_SMALL_INT_BEAR_CD" hidden="1">"c1166"</definedName>
    <definedName name="IQ_SOC_SEC_RECEIPTS_SAAR_USD_APR_FC" hidden="1">"c12005"</definedName>
    <definedName name="IQ_SOC_SEC_RECEIPTS_SAAR_USD_FC" hidden="1">"c12002"</definedName>
    <definedName name="IQ_SOC_SEC_RECEIPTS_SAAR_USD_POP_FC" hidden="1">"c12003"</definedName>
    <definedName name="IQ_SOC_SEC_RECEIPTS_SAAR_USD_YOY_FC" hidden="1">"c12004"</definedName>
    <definedName name="IQ_SOC_SEC_RECEIPTS_USD_APR_FC" hidden="1">"c12001"</definedName>
    <definedName name="IQ_SOC_SEC_RECEIPTS_USD_FC" hidden="1">"c11998"</definedName>
    <definedName name="IQ_SOC_SEC_RECEIPTS_USD_POP_FC" hidden="1">"c11999"</definedName>
    <definedName name="IQ_SOC_SEC_RECEIPTS_USD_YOY_FC" hidden="1">"c12000"</definedName>
    <definedName name="IQ_SOCIAL_SEC_RECEIPTS" hidden="1">"c7015"</definedName>
    <definedName name="IQ_SOCIAL_SEC_RECEIPTS_APR" hidden="1">"c7675"</definedName>
    <definedName name="IQ_SOCIAL_SEC_RECEIPTS_APR_FC" hidden="1">"c8555"</definedName>
    <definedName name="IQ_SOCIAL_SEC_RECEIPTS_FC" hidden="1">"c7895"</definedName>
    <definedName name="IQ_SOCIAL_SEC_RECEIPTS_POP" hidden="1">"c7235"</definedName>
    <definedName name="IQ_SOCIAL_SEC_RECEIPTS_POP_FC" hidden="1">"c8115"</definedName>
    <definedName name="IQ_SOCIAL_SEC_RECEIPTS_SAAR" hidden="1">"c7016"</definedName>
    <definedName name="IQ_SOCIAL_SEC_RECEIPTS_SAAR_APR" hidden="1">"c7676"</definedName>
    <definedName name="IQ_SOCIAL_SEC_RECEIPTS_SAAR_APR_FC" hidden="1">"c8556"</definedName>
    <definedName name="IQ_SOCIAL_SEC_RECEIPTS_SAAR_FC" hidden="1">"c7896"</definedName>
    <definedName name="IQ_SOCIAL_SEC_RECEIPTS_SAAR_POP" hidden="1">"c7236"</definedName>
    <definedName name="IQ_SOCIAL_SEC_RECEIPTS_SAAR_POP_FC" hidden="1">"c8116"</definedName>
    <definedName name="IQ_SOCIAL_SEC_RECEIPTS_SAAR_YOY" hidden="1">"c7456"</definedName>
    <definedName name="IQ_SOCIAL_SEC_RECEIPTS_SAAR_YOY_FC" hidden="1">"c8336"</definedName>
    <definedName name="IQ_SOCIAL_SEC_RECEIPTS_YOY" hidden="1">"c7455"</definedName>
    <definedName name="IQ_SOCIAL_SEC_RECEIPTS_YOY_FC" hidden="1">"c8335"</definedName>
    <definedName name="IQ_SOFTWARE" hidden="1">"c1167"</definedName>
    <definedName name="IQ_SOLD_COAL" hidden="1">"c15936"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C_ACTION" hidden="1">"c2644"</definedName>
    <definedName name="IQ_SP_ISSUE_LC_DATE" hidden="1">"c2643"</definedName>
    <definedName name="IQ_SP_ISSUE_LC_LT" hidden="1">"c2645"</definedName>
    <definedName name="IQ_SP_ISSUE_LT" hidden="1">"c2645"</definedName>
    <definedName name="IQ_SP_ISSUE_NSR_ACTION_LT" hidden="1">"c13616"</definedName>
    <definedName name="IQ_SP_ISSUE_NSR_ACTION_ST" hidden="1">"c13622"</definedName>
    <definedName name="IQ_SP_ISSUE_NSR_DATE_LT" hidden="1">"c13615"</definedName>
    <definedName name="IQ_SP_ISSUE_NSR_DATE_ST" hidden="1">"c13621"</definedName>
    <definedName name="IQ_SP_ISSUE_NSR_LT" hidden="1">"c13614"</definedName>
    <definedName name="IQ_SP_ISSUE_NSR_ST" hidden="1">"c13620"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NSR_ACTION_LT" hidden="1">"c13613"</definedName>
    <definedName name="IQ_SP_NSR_ACTION_ST" hidden="1">"c13619"</definedName>
    <definedName name="IQ_SP_NSR_DATE_LT" hidden="1">"c13612"</definedName>
    <definedName name="IQ_SP_NSR_DATE_ST" hidden="1">"c13618"</definedName>
    <definedName name="IQ_SP_NSR_LT" hidden="1">"c13611"</definedName>
    <definedName name="IQ_SP_NSR_ST" hidden="1">"c13617"</definedName>
    <definedName name="IQ_SP_OUTLOOK_WATCH" hidden="1">"c2639"</definedName>
    <definedName name="IQ_SP_OUTLOOK_WATCH_DATE" hidden="1">"c2638"</definedName>
    <definedName name="IQ_SP_QUALITY_RANKING_DESCRIPTION" hidden="1">"c17410"</definedName>
    <definedName name="IQ_SP_QUALITY_RANKING_VALUE" hidden="1">"c17409"</definedName>
    <definedName name="IQ_SP_REASON" hidden="1">"c2174"</definedName>
    <definedName name="IQ_SP_STARS_DESCRIPTION" hidden="1">"c17408"</definedName>
    <definedName name="IQ_SP_STARS_VALUE" hidden="1">"c17407"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CM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PECIALTIES" hidden="1">"c18932"</definedName>
    <definedName name="IQ_SPECIFIC_ALLOWANCE" hidden="1">"c15247"</definedName>
    <definedName name="IQ_SPONSORS" hidden="1">"c18920"</definedName>
    <definedName name="IQ_SPONSORS_ID" hidden="1">"c18921"</definedName>
    <definedName name="IQ_SPOT_CLOSEPRICE" hidden="1">"c17802"</definedName>
    <definedName name="IQ_SPOT_HIGHPRICE" hidden="1">"c17800"</definedName>
    <definedName name="IQ_SPOT_LASTSALEPRICE" hidden="1">"c17806"</definedName>
    <definedName name="IQ_SPOT_LOWPRICE" hidden="1">"c17801"</definedName>
    <definedName name="IQ_SPOT_PRICEDATE" hidden="1">"c17805"</definedName>
    <definedName name="IQ_SPOT_YEARHIGH" hidden="1">"c17803"</definedName>
    <definedName name="IQ_SPOT_YEARLOW" hidden="1">"c17804"</definedName>
    <definedName name="IQ_SQ_FT_LEASED_GROSS_CONSOL" hidden="1">"c8820"</definedName>
    <definedName name="IQ_SQ_FT_LEASED_GROSS_MANAGED" hidden="1">"c8822"</definedName>
    <definedName name="IQ_SQ_FT_LEASED_GROSS_OTHER" hidden="1">"c8823"</definedName>
    <definedName name="IQ_SQ_FT_LEASED_GROSS_TOTAL" hidden="1">"c8824"</definedName>
    <definedName name="IQ_SQ_FT_LEASED_GROSS_UNCONSOL" hidden="1">"c8821"</definedName>
    <definedName name="IQ_SQ_FT_LEASED_NET_CONSOL" hidden="1">"c8825"</definedName>
    <definedName name="IQ_SQ_FT_LEASED_NET_MANAGED" hidden="1">"c8827"</definedName>
    <definedName name="IQ_SQ_FT_LEASED_NET_OTHER" hidden="1">"c8828"</definedName>
    <definedName name="IQ_SQ_FT_LEASED_NET_TOTAL" hidden="1">"c8829"</definedName>
    <definedName name="IQ_SQ_FT_LEASED_NET_UNCONSOL" hidden="1">"c8826"</definedName>
    <definedName name="IQ_SQ_METER_LEASED_GROSS_CONSOL" hidden="1">"c8830"</definedName>
    <definedName name="IQ_SQ_METER_LEASED_GROSS_MANAGED" hidden="1">"c8832"</definedName>
    <definedName name="IQ_SQ_METER_LEASED_GROSS_OTHER" hidden="1">"c8833"</definedName>
    <definedName name="IQ_SQ_METER_LEASED_GROSS_TOTAL" hidden="1">"c8834"</definedName>
    <definedName name="IQ_SQ_METER_LEASED_GROSS_UNCONSOL" hidden="1">"c8831"</definedName>
    <definedName name="IQ_SQ_METER_LEASED_NET_CONSOL" hidden="1">"c8835"</definedName>
    <definedName name="IQ_SQ_METER_LEASED_NET_MANAGED" hidden="1">"c8837"</definedName>
    <definedName name="IQ_SQ_METER_LEASED_NET_OTHER" hidden="1">"c8838"</definedName>
    <definedName name="IQ_SQ_METER_LEASED_NET_TOTAL" hidden="1">"c8839"</definedName>
    <definedName name="IQ_SQ_METER_LEASED_NET_UNCONSOL" hidden="1">"c8836"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ECURED_BONDS_NOTES" hidden="1">"c17889"</definedName>
    <definedName name="IQ_SR_SECURED_BONDS_NOTES_PCT" hidden="1">"c18003"</definedName>
    <definedName name="IQ_SR_SECURED_LOANS" hidden="1">"c17888"</definedName>
    <definedName name="IQ_SR_SECURED_LOANS_PCT" hidden="1">"c18002"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R_UNSECURED_BONDS_NOTES" hidden="1">"c17891"</definedName>
    <definedName name="IQ_SR_UNSECURED_BONDS_NOTES_PCT" hidden="1">"c18005"</definedName>
    <definedName name="IQ_ST_DEBT" hidden="1">"c1176"</definedName>
    <definedName name="IQ_ST_DEBT_BNK" hidden="1">"c1177"</definedName>
    <definedName name="IQ_ST_DEBT_BR" hidden="1">"c1178"</definedName>
    <definedName name="IQ_ST_DEBT_CM" hidden="1">"c1178"</definedName>
    <definedName name="IQ_ST_DEBT_DERIVATIVES" hidden="1">"c17741"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CM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CM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ASSETS_TOT_FFIEC" hidden="1">"c13438"</definedName>
    <definedName name="IQ_ST_INVEST_ST_NONCORE_FUNDING_FFIEC" hidden="1">"c13338"</definedName>
    <definedName name="IQ_ST_INVEST_UTI" hidden="1">"c1198"</definedName>
    <definedName name="IQ_ST_NOTE_RECEIV" hidden="1">"c1199"</definedName>
    <definedName name="IQ_STAND_REC_DET_EST" hidden="1">"c12069"</definedName>
    <definedName name="IQ_STAND_REC_DET_EST_DATE" hidden="1">"c12222"</definedName>
    <definedName name="IQ_STAND_REC_DET_EST_DATE_THOM" hidden="1">"c12250"</definedName>
    <definedName name="IQ_STAND_REC_DET_EST_ORIGIN" hidden="1">"c12594"</definedName>
    <definedName name="IQ_STAND_REC_DET_EST_ORIGIN_THOM" hidden="1">"c12620"</definedName>
    <definedName name="IQ_STAND_REC_DET_EST_THOM" hidden="1">"c12100"</definedName>
    <definedName name="IQ_STAND_REC_NUM_DET_EST" hidden="1">"c12068"</definedName>
    <definedName name="IQ_STAND_REC_NUM_DET_EST_DATE" hidden="1">"c12221"</definedName>
    <definedName name="IQ_STAND_REC_NUM_DET_EST_DATE_THOM" hidden="1">"c12249"</definedName>
    <definedName name="IQ_STAND_REC_NUM_DET_EST_ORIGIN" hidden="1">"c12593"</definedName>
    <definedName name="IQ_STAND_REC_NUM_DET_EST_ORIGIN_THOM" hidden="1">"c12619"</definedName>
    <definedName name="IQ_STAND_REC_NUM_DET_EST_THOM" hidden="1">"c12099"</definedName>
    <definedName name="IQ_STANDBY_LETTERS_CREDIT_THRIFT" hidden="1">"c25614"</definedName>
    <definedName name="IQ_STANDBY_LOC_FHLB_BANK_BEHALF_OFF_BS_FFIEC" hidden="1">"c15412"</definedName>
    <definedName name="IQ_STATE" hidden="1">"c1200"</definedName>
    <definedName name="IQ_STATE_COUNTY_MUNICIPAL_OBLIGATIONS_ALL_OTHER_ACCOUNTS_THRIFT" hidden="1">"c25426"</definedName>
    <definedName name="IQ_STATE_COUNTY_MUNICIPAL_OBLIGATIONS_EMPLOYEE_BENEFIT_RETIREMENT_RELATED_ACCOUNTS_THRIFT" hidden="1">"c25410"</definedName>
    <definedName name="IQ_STATE_COUNTY_MUNICIPAL_OBLIGATIONS_PERSONAL_TRUST_AGENCY_INV_MANAGEMENT_ACCOUNTS_THRIFT" hidden="1">"c25394"</definedName>
    <definedName name="IQ_STATE_LOCAL_OTHER_INC_TAXES_THRIFT" hidden="1">"c24817"</definedName>
    <definedName name="IQ_STATE_LOCAL_REVENUE_BONDS_ELIGIBLE_50_PCT_RISK_WEIGHT_THRIFT" hidden="1">"c25067"</definedName>
    <definedName name="IQ_STATE_LOCAL_SPENDING_SAAR" hidden="1">"c7017"</definedName>
    <definedName name="IQ_STATE_LOCAL_SPENDING_SAAR_APR" hidden="1">"c7677"</definedName>
    <definedName name="IQ_STATE_LOCAL_SPENDING_SAAR_APR_FC" hidden="1">"c8557"</definedName>
    <definedName name="IQ_STATE_LOCAL_SPENDING_SAAR_FC" hidden="1">"c7897"</definedName>
    <definedName name="IQ_STATE_LOCAL_SPENDING_SAAR_POP" hidden="1">"c7237"</definedName>
    <definedName name="IQ_STATE_LOCAL_SPENDING_SAAR_POP_FC" hidden="1">"c8117"</definedName>
    <definedName name="IQ_STATE_LOCAL_SPENDING_SAAR_YOY" hidden="1">"c7457"</definedName>
    <definedName name="IQ_STATE_LOCAL_SPENDING_SAAR_YOY_FC" hidden="1">"c8337"</definedName>
    <definedName name="IQ_STATE_MUNI_OBLIGATIONS_THRIFT" hidden="1">"c24824"</definedName>
    <definedName name="IQ_STATE_OF_INC" hidden="1">"c18104"</definedName>
    <definedName name="IQ_STATES_NONTRANSACTION_ACCOUNTS_FDIC" hidden="1">"c6547"</definedName>
    <definedName name="IQ_STATES_POLI_SUBD_US_NON_TRANS_ACCTS_FFIEC" hidden="1">"c15324"</definedName>
    <definedName name="IQ_STATES_POLI_SUBD_US_TRANS_ACCTS_FFIEC" hidden="1">"c15316"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ATUTORY_SURPLUS_GAAP_EQUITY" hidden="1">"c15883"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GS_FIN" hidden="1">"c2998"</definedName>
    <definedName name="IQ_STOCK_BASED_COGS_UTIL" hidden="1">"c2997"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EST" hidden="1">"c4520"</definedName>
    <definedName name="IQ_STOCK_BASED_EXPLORE_DRILL" hidden="1">"c13851"</definedName>
    <definedName name="IQ_STOCK_BASED_GA" hidden="1">"c2993"</definedName>
    <definedName name="IQ_STOCK_BASED_HIGH_EST" hidden="1">"c4521"</definedName>
    <definedName name="IQ_STOCK_BASED_LOW_EST" hidden="1">"c4522"</definedName>
    <definedName name="IQ_STOCK_BASED_MEDIAN_EST" hidden="1">"c4523"</definedName>
    <definedName name="IQ_STOCK_BASED_NUM_EST" hidden="1">"c4524"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STDDEV_EST" hidden="1">"c4525"</definedName>
    <definedName name="IQ_STOCK_BASED_TOTAL" hidden="1">"c3040"</definedName>
    <definedName name="IQ_STOCK_ISSUED_SAVINGS_ASSOCIATION_THRIFT" hidden="1">"c25012"</definedName>
    <definedName name="IQ_STOCK_MARKET_INDEX" hidden="1">"c21101"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OCK_RETIRED_SAVINGS_ASSOCIATION_THRIFT" hidden="1">"c25013"</definedName>
    <definedName name="IQ_STRAIGHT_LINE_RENT_ADJ" hidden="1">"c16178"</definedName>
    <definedName name="IQ_STRATEGY_NOTE" hidden="1">"c6791"</definedName>
    <definedName name="IQ_STRIKE_PRICE_ISSUED" hidden="1">"c1645"</definedName>
    <definedName name="IQ_STRIKE_PRICE_OS" hidden="1">"c1646"</definedName>
    <definedName name="IQ_STRIPS_RECEIVABLE_MORTGAGE_LOANS_FFIEC" hidden="1">"c12844"</definedName>
    <definedName name="IQ_STRIPS_RECEIVABLE_OTHER_FFIEC" hidden="1">"c12845"</definedName>
    <definedName name="IQ_STRUCT_FIN_CLASS" hidden="1">"c8950"</definedName>
    <definedName name="IQ_STRUCT_FIN_SERIES" hidden="1">"c8956"</definedName>
    <definedName name="IQ_STRUCTURED_NOTES_INVEST_SECURITIES_FFIEC" hidden="1">"c13468"</definedName>
    <definedName name="IQ_STRUCTURING_NOTES_TIER_1_FFIEC" hidden="1">"c13344"</definedName>
    <definedName name="IQ_STW" hidden="1">"c2166"</definedName>
    <definedName name="IQ_STYLE_GROWTH_VALUE" hidden="1">"c19203"</definedName>
    <definedName name="IQ_STYLE_HIGH_YIELD" hidden="1">"c19204"</definedName>
    <definedName name="IQ_STYLE_MARKET_CAP" hidden="1">"c19202"</definedName>
    <definedName name="IQ_STYLE_REPORTED" hidden="1">"c19205"</definedName>
    <definedName name="IQ_SUB_BONDS_NOTES" hidden="1">"c2503"</definedName>
    <definedName name="IQ_SUB_BONDS_NOTES_PCT" hidden="1">"c2504"</definedName>
    <definedName name="IQ_SUB_DEBENTURES_THRIFT" hidden="1">"c24902"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B_NOTES_DEBENTURES_FAIR_VALUE_TOT_FFIEC" hidden="1">"c15410"</definedName>
    <definedName name="IQ_SUB_NOTES_DEBENTURES_FFIEC" hidden="1">"c12867"</definedName>
    <definedName name="IQ_SUB_NOTES_DEBENTURES_LEVEL_1_FFIEC" hidden="1">"c15432"</definedName>
    <definedName name="IQ_SUB_NOTES_DEBENTURES_LEVEL_2_FFIEC" hidden="1">"c15445"</definedName>
    <definedName name="IQ_SUB_NOTES_DEBENTURES_LEVEL_3_FFIEC" hidden="1">"c15458"</definedName>
    <definedName name="IQ_SUB_NOTES_PAYABLE_UNCONSOLIDATED_TRUSTS_FFIEC" hidden="1">"c12868"</definedName>
    <definedName name="IQ_SUBORDINATED_DEBENTURES_AMOUNTS_NETTED_THRIFT" hidden="1">"c25540"</definedName>
    <definedName name="IQ_SUBORDINATED_DEBENTURES_LEVEL_1_THRIFT" hidden="1">"c25536"</definedName>
    <definedName name="IQ_SUBORDINATED_DEBENTURES_LEVEL_2_THRIFT" hidden="1">"c25537"</definedName>
    <definedName name="IQ_SUBORDINATED_DEBENTURES_LEVEL_3_THRIFT" hidden="1">"c25538"</definedName>
    <definedName name="IQ_SUBORDINATED_DEBENTURES_TOTAL_AFTER_NETTING_THRIFT" hidden="1">"c25541"</definedName>
    <definedName name="IQ_SUBORDINATED_DEBENTURES_TOTAL_BEFORE_NETTING_THRIFT" hidden="1">"c25539"</definedName>
    <definedName name="IQ_SUBORDINATED_DEBENTURES_WITH_REMAINING_MATURITY_ONE_YEAR_LESS_THRIFT" hidden="1">"c25577"</definedName>
    <definedName name="IQ_SUBORDINATED_DEBENTURES_WITH_REMAINING_MATURITY_OVER_ONE_YEAR_THRIFT" hidden="1">"c25578"</definedName>
    <definedName name="IQ_SUBS_ANALOG_CABLE" hidden="1">"c2855"</definedName>
    <definedName name="IQ_SUBS_BASIC_CABLE" hidden="1">"c16205"</definedName>
    <definedName name="IQ_SUBS_BBAND" hidden="1">"c2858"</definedName>
    <definedName name="IQ_SUBS_BUNDLED" hidden="1">"c2861"</definedName>
    <definedName name="IQ_SUBS_DIG_CABLE" hidden="1">"c2856"</definedName>
    <definedName name="IQ_SUBS_NON_VIDEO" hidden="1">"c2860"</definedName>
    <definedName name="IQ_SUBS_PHONE" hidden="1">"c2859"</definedName>
    <definedName name="IQ_SUBS_POSTPAID_WIRELESS" hidden="1">"c2118"</definedName>
    <definedName name="IQ_SUBS_PREPAID_WIRELESS" hidden="1">"c2117"</definedName>
    <definedName name="IQ_SUBS_RESELL_WHOLESALE_WIRELESS" hidden="1">"c15749"</definedName>
    <definedName name="IQ_SUBS_TOTAL" hidden="1">"c2862"</definedName>
    <definedName name="IQ_SUBS_TOTAL_WIRELESS" hidden="1">"c2119"</definedName>
    <definedName name="IQ_SUBS_VIDEO" hidden="1">"c2857"</definedName>
    <definedName name="IQ_SUPPLIES_FFIEC" hidden="1">"c13050"</definedName>
    <definedName name="IQ_SUPPORT_INFRASTRUCTURE_CABLE_INVEST" hidden="1">"c15805"</definedName>
    <definedName name="IQ_SURFACE_RESERVES_COAL" hidden="1">"c15920"</definedName>
    <definedName name="IQ_SURFACE_RESERVES_TO_TOTAL_RESERVES_COAL" hidden="1">"c15959"</definedName>
    <definedName name="IQ_SURPLUS_FDIC" hidden="1">"c6351"</definedName>
    <definedName name="IQ_SURPLUS_FFIEC" hidden="1">"c12877"</definedName>
    <definedName name="IQ_SVA" hidden="1">"c1214"</definedName>
    <definedName name="IQ_SYMBOL_RT" hidden="1">"SYMBOL"</definedName>
    <definedName name="IQ_SYNTH_STRUCTURED_PRODUCTS_AFS_AMORT_COST_FFIEC" hidden="1">"c20501"</definedName>
    <definedName name="IQ_SYNTH_STRUCTURED_PRODUCTS_AFS_FAIR_VAL_FFIEC" hidden="1">"c20466"</definedName>
    <definedName name="IQ_SYNTH_STRUCTURED_PRODUCTS_HTM_AMORT_COST_FFIEC" hidden="1">"c20449"</definedName>
    <definedName name="IQ_SYNTH_STRUCTURED_PRODUCTS_HTM_FAIR_VAL_FFIEC" hidden="1">"c20484"</definedName>
    <definedName name="IQ_SYNTHETIC_STRUCTURED_PRODUCTS_AVAIL_SALE_FFIEC" hidden="1">"c15264"</definedName>
    <definedName name="IQ_SYNTHETIC_STRUCTURED_PRODUCTS_FFIEC" hidden="1">"c15261"</definedName>
    <definedName name="IQ_TANGIBLE_ASSETS_FFIEC" hidden="1">"c13916"</definedName>
    <definedName name="IQ_TANGIBLE_ASSETS_THRIFT" hidden="1">"c25088"</definedName>
    <definedName name="IQ_TANGIBLE_COMMON_EQUITY_FFIEC" hidden="1">"c13914"</definedName>
    <definedName name="IQ_TANGIBLE_COMMON_EQUITY_THRIFT" hidden="1">"c25086"</definedName>
    <definedName name="IQ_TANGIBLE_EQUITY_ASSETS_FFIEC" hidden="1">"c13346"</definedName>
    <definedName name="IQ_TANGIBLE_EQUITY_FFIEC" hidden="1">"c13915"</definedName>
    <definedName name="IQ_TANGIBLE_EQUITY_RATIO_THRIFT" hidden="1">"c25084"</definedName>
    <definedName name="IQ_TANGIBLE_EQUITY_THRIFT" hidden="1">"c25087"</definedName>
    <definedName name="IQ_TANGIBLE_TIER_1_LEVERAGE_FFIEC" hidden="1">"c13345"</definedName>
    <definedName name="IQ_TANGIBLE_TIER_1_LEVERAGE_RATIO_THRIFT" hidden="1">"c25631"</definedName>
    <definedName name="IQ_TARGET_PRICE_DET_EST" hidden="1">"c12070"</definedName>
    <definedName name="IQ_TARGET_PRICE_DET_EST_CURRENCY" hidden="1">"c12475"</definedName>
    <definedName name="IQ_TARGET_PRICE_DET_EST_CURRENCY_THOM" hidden="1">"c12498"</definedName>
    <definedName name="IQ_TARGET_PRICE_DET_EST_DATE" hidden="1">"c12223"</definedName>
    <definedName name="IQ_TARGET_PRICE_DET_EST_DATE_THOM" hidden="1">"c12251"</definedName>
    <definedName name="IQ_TARGET_PRICE_DET_EST_INCL" hidden="1">"c12358"</definedName>
    <definedName name="IQ_TARGET_PRICE_DET_EST_INCL_THOM" hidden="1">"c12381"</definedName>
    <definedName name="IQ_TARGET_PRICE_DET_EST_ORIGIN" hidden="1">"c12729"</definedName>
    <definedName name="IQ_TARGET_PRICE_DET_EST_ORIGIN_THOM" hidden="1">"c12621"</definedName>
    <definedName name="IQ_TARGET_PRICE_DET_EST_THOM" hidden="1">"c12101"</definedName>
    <definedName name="IQ_TARGET_PRICE_LASTCLOSE" hidden="1">"c1855"</definedName>
    <definedName name="IQ_TARGET_PRICE_NUM" hidden="1">"c1653"</definedName>
    <definedName name="IQ_TARGET_PRICE_NUM_CIQ" hidden="1">"c4661"</definedName>
    <definedName name="IQ_TARGET_PRICE_NUM_REUT" hidden="1">"c5319"</definedName>
    <definedName name="IQ_TARGET_PRICE_NUM_THOM" hidden="1">"c5098"</definedName>
    <definedName name="IQ_TARGET_PRICE_STDDEV" hidden="1">"c1654"</definedName>
    <definedName name="IQ_TARGET_PRICE_STDDEV_CIQ" hidden="1">"c4662"</definedName>
    <definedName name="IQ_TARGET_PRICE_STDDEV_REUT" hidden="1">"c5320"</definedName>
    <definedName name="IQ_TARGET_PRICE_STDDEV_THOM" hidden="1">"c5099"</definedName>
    <definedName name="IQ_TARP_INIT_INVEST_AMT" hidden="1">"c17863"</definedName>
    <definedName name="IQ_TARP_INIT_INVEST_DATE_ANN" hidden="1">"c17861"</definedName>
    <definedName name="IQ_TARP_INIT_INVEST_DATE_CLOSED" hidden="1">"c17862"</definedName>
    <definedName name="IQ_TARP_INVESTOR_STATUS" hidden="1">"c17865"</definedName>
    <definedName name="IQ_TARP_REMAINING_AMT" hidden="1">"c17869"</definedName>
    <definedName name="IQ_TARP_REMAINING_SEC_DES" hidden="1">"c17870"</definedName>
    <definedName name="IQ_TARP_REPAYMENT_DISP" hidden="1">"c17866"</definedName>
    <definedName name="IQ_TARP_REPAYMENT_DISP_AMT" hidden="1">"c17868"</definedName>
    <definedName name="IQ_TARP_REPAYMENT_DISP_DATE" hidden="1">"c17867"</definedName>
    <definedName name="IQ_TARP_ROUND" hidden="1">"c17859"</definedName>
    <definedName name="IQ_TARP_STATUS" hidden="1">"c17864"</definedName>
    <definedName name="IQ_TARP_TR_AMT" hidden="1">"c17857"</definedName>
    <definedName name="IQ_TARP_TR_DATE" hidden="1">"c17856"</definedName>
    <definedName name="IQ_TARP_TR_TYPE" hidden="1">"c17858"</definedName>
    <definedName name="IQ_TARP_TRANSACTION_ID" hidden="1">"c17871"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AX_EQUIVALENT_ADJUSTMENTS_FFIEC" hidden="1">"c13854"</definedName>
    <definedName name="IQ_TAX_OTHER_EXP_AP" hidden="1">"c8878"</definedName>
    <definedName name="IQ_TAX_OTHER_EXP_AP_ABS" hidden="1">"c8897"</definedName>
    <definedName name="IQ_TAX_OTHER_EXP_NAME_AP" hidden="1">"c8916"</definedName>
    <definedName name="IQ_TAX_OTHER_EXP_NAME_AP_ABS" hidden="1">"c8935"</definedName>
    <definedName name="IQ_TAXES_ADJ_NOI_FFIEC" hidden="1">"c13395"</definedName>
    <definedName name="IQ_TAXES_NOI_FFIEC" hidden="1">"c13394"</definedName>
    <definedName name="IQ_TAXES_TE_AVG_ASSETS_FFIEC" hidden="1">"c13366"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EXCL_FFIEC" hidden="1">"c13516"</definedName>
    <definedName name="IQ_TBV_SHARE" hidden="1">"c1217"</definedName>
    <definedName name="IQ_TBV_SHARE_REPORTED" hidden="1">"c19140"</definedName>
    <definedName name="IQ_TELECOM_FFIEC" hidden="1">"c13057"</definedName>
    <definedName name="IQ_TEMPLATE" hidden="1">"c1521"</definedName>
    <definedName name="IQ_TENANT" hidden="1">"c1218"</definedName>
    <definedName name="IQ_TENANT_LEASE_COMMISSION" hidden="1">"c16177"</definedName>
    <definedName name="IQ_TERM_LOANS" hidden="1">"c2499"</definedName>
    <definedName name="IQ_TERM_LOANS_PCT" hidden="1">"c2500"</definedName>
    <definedName name="IQ_TEV" hidden="1">"c1219"</definedName>
    <definedName name="IQ_TEV_DET_EST_CURRENCY_THOM" hidden="1">"c12499"</definedName>
    <definedName name="IQ_TEV_DET_EST_DATE_THOM" hidden="1">"c12252"</definedName>
    <definedName name="IQ_TEV_DET_EST_INCL_THOM" hidden="1">"c12382"</definedName>
    <definedName name="IQ_TEV_DET_EST_ORIGIN_THOM" hidden="1">"c12709"</definedName>
    <definedName name="IQ_TEV_DET_EST_THOM" hidden="1">"c12102"</definedName>
    <definedName name="IQ_TEV_EBIT" hidden="1">"c1220"</definedName>
    <definedName name="IQ_TEV_EBIT_AVG" hidden="1">"c1221"</definedName>
    <definedName name="IQ_TEV_EBIT_FWD" hidden="1">"c2238"</definedName>
    <definedName name="IQ_TEV_EBIT_FWD_REUT" hidden="1">"c4054"</definedName>
    <definedName name="IQ_TEV_EBIT_FWD_THOM" hidden="1">"c4061"</definedName>
    <definedName name="IQ_TEV_EBITDA" hidden="1">"c1222"</definedName>
    <definedName name="IQ_TEV_EBITDA_AVG" hidden="1">"c1223"</definedName>
    <definedName name="IQ_TEV_EBITDA_CAPEX" hidden="1">"c17553"</definedName>
    <definedName name="IQ_TEV_EBITDA_FWD" hidden="1">"c1224"</definedName>
    <definedName name="IQ_TEV_EBITDA_FWD_CIQ" hidden="1">"c4043"</definedName>
    <definedName name="IQ_TEV_EBITDA_FWD_REUT" hidden="1">"c4050"</definedName>
    <definedName name="IQ_TEV_EBITDA_FWD_THOM" hidden="1">"c4057"</definedName>
    <definedName name="IQ_TEV_EMPLOYEE_AVG" hidden="1">"c1225"</definedName>
    <definedName name="IQ_TEV_EST" hidden="1">"c4526"</definedName>
    <definedName name="IQ_TEV_EST_THOM" hidden="1">"c5529"</definedName>
    <definedName name="IQ_TEV_HIGH_EST" hidden="1">"c4527"</definedName>
    <definedName name="IQ_TEV_HIGH_EST_THOM" hidden="1">"c5530"</definedName>
    <definedName name="IQ_TEV_LOW_EST" hidden="1">"c4528"</definedName>
    <definedName name="IQ_TEV_LOW_EST_THOM" hidden="1">"c5531"</definedName>
    <definedName name="IQ_TEV_MEDIAN_EST" hidden="1">"c4529"</definedName>
    <definedName name="IQ_TEV_MEDIAN_EST_THOM" hidden="1">"c5532"</definedName>
    <definedName name="IQ_TEV_NUM_EST" hidden="1">"c4530"</definedName>
    <definedName name="IQ_TEV_NUM_EST_THOM" hidden="1">"c5533"</definedName>
    <definedName name="IQ_TEV_STDDEV_EST" hidden="1">"c4531"</definedName>
    <definedName name="IQ_TEV_STDDEV_EST_THOM" hidden="1">"c5534"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CIQ" hidden="1">"c4044"</definedName>
    <definedName name="IQ_TEV_TOTAL_REV_FWD_REUT" hidden="1">"c4051"</definedName>
    <definedName name="IQ_TEV_TOTAL_REV_FWD_THOM" hidden="1">"c4058"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CAPITAL_BEFORE_CHARGES_T1_FFIEC" hidden="1">"c13139"</definedName>
    <definedName name="IQ_TIER_1_CAPITAL_FFIEC" hidden="1">"c13143"</definedName>
    <definedName name="IQ_TIER_1_CAPITAL_RATIO_THRIFT" hidden="1">"c25081"</definedName>
    <definedName name="IQ_TIER_1_CAPITAL_REQUIREMENT_ADJUSTED_ASSETS_THRIFT" hidden="1">"c25039"</definedName>
    <definedName name="IQ_TIER_1_CAPITAL_T1_THRIFT" hidden="1">"c25029"</definedName>
    <definedName name="IQ_TIER_1_LEVERAGE_RATIO_FFIEC" hidden="1">"c13160"</definedName>
    <definedName name="IQ_TIER_1_RISK_BASED_CAPITAL_RATIO_FDIC" hidden="1">"c6746"</definedName>
    <definedName name="IQ_TIER_1_RISK_BASED_CAPITAL_RATIO_FFIEC" hidden="1">"c13161"</definedName>
    <definedName name="IQ_TIER_1_RISK_BASED_CAPITAL_RATIO_THRIFT" hidden="1">"c25083"</definedName>
    <definedName name="IQ_TIER_2_CAPITAL_FFIEC" hidden="1">"c13149"</definedName>
    <definedName name="IQ_TIER_2_CAPITAL_T2_THRIFT" hidden="1">"c25045"</definedName>
    <definedName name="IQ_TIER_3_CAPITAL_ALLOCATED_MARKET_RISK_FFIEC" hidden="1">"c13151"</definedName>
    <definedName name="IQ_TIER_ONE_CAPITAL" hidden="1">"c2667"</definedName>
    <definedName name="IQ_TIER_ONE_FDIC" hidden="1">"c6369"</definedName>
    <definedName name="IQ_TIER_ONE_RATIO" hidden="1">"c1229"</definedName>
    <definedName name="IQ_TIER_THREE_CAPITAL" hidden="1">"c26994"</definedName>
    <definedName name="IQ_TIER_TWO_CAPITAL" hidden="1">"c2669"</definedName>
    <definedName name="IQ_TIER_TWO_CAPITAL_RATIO" hidden="1">"c15241"</definedName>
    <definedName name="IQ_TIME_DEP" hidden="1">"c1230"</definedName>
    <definedName name="IQ_TIME_DEPOSIT_LESS_100000_QUARTERLY_AVG_FFIEC" hidden="1">"c15487"</definedName>
    <definedName name="IQ_TIME_DEPOSIT_MORE_100000_QUARTERLY_AVG_FFIEC" hidden="1">"c15486"</definedName>
    <definedName name="IQ_TIME_DEPOSITS_100000_MORE_TOTAL_ASSETS_THRIFT" hidden="1">"c25701"</definedName>
    <definedName name="IQ_TIME_DEPOSITS_100000_THROUGH_250000_THRIFT" hidden="1">"c25002"</definedName>
    <definedName name="IQ_TIME_DEPOSITS_GREATER_100000_TOTAL_DEPOSITS_THRIFT" hidden="1">"c25779"</definedName>
    <definedName name="IQ_TIME_DEPOSITS_GREATER_THAN_250000_THRIFT" hidden="1">"c25003"</definedName>
    <definedName name="IQ_TIME_DEPOSITS_LESS_100K_OTHER_INSTITUTIONS_FFIEC" hidden="1">"c12953"</definedName>
    <definedName name="IQ_TIME_DEPOSITS_LESS_100K_TOT_DEPOSITS_FFIEC" hidden="1">"c13907"</definedName>
    <definedName name="IQ_TIME_DEPOSITS_LESS_THAN_100K_FDIC" hidden="1">"c6465"</definedName>
    <definedName name="IQ_TIME_DEPOSITS_MORE_100K_OTHER_INSTITUTIONS_FFIEC" hidden="1">"c12954"</definedName>
    <definedName name="IQ_TIME_DEPOSITS_MORE_100K_TOT_DEPOSITS_FFIEC" hidden="1">"c13906"</definedName>
    <definedName name="IQ_TIME_DEPOSITS_MORE_THAN_100K_FDIC" hidden="1">"c6470"</definedName>
    <definedName name="IQ_TIME_DEPOSITS_THRIFT" hidden="1">"c25001"</definedName>
    <definedName name="IQ_TIME_DEPOSITS_TOTAL_DEPOSITS" hidden="1">"c15723"</definedName>
    <definedName name="IQ_TODAY" hidden="1">0</definedName>
    <definedName name="IQ_TOT_1_4_FAM_LOANS_TOT_LOANS_FFIEC" hidden="1">"c13868"</definedName>
    <definedName name="IQ_TOT_ADJ_INC" hidden="1">"c1616"</definedName>
    <definedName name="IQ_TOT_LEASES_TOT_LOANS_FFIEC" hidden="1">"c13876"</definedName>
    <definedName name="IQ_TOT_NON_RE_LOANS_TOT_LOANS_FFIEC" hidden="1">"c13877"</definedName>
    <definedName name="IQ_TOT_NONTRANS_ACCTS_TOT_DEPOSITS_FFIEC" hidden="1">"c13909"</definedName>
    <definedName name="IQ_TOT_RE_LOANS_TOT_LOANS_FFIEC" hidden="1">"c13873"</definedName>
    <definedName name="IQ_TOT_TIME_DEPOSITS_TOT_DEPOSITS_FFIEC" hidden="1">"c13908"</definedName>
    <definedName name="IQ_TOTAL_1_4_FAMILY_LOANS_TOTAL_LOANS_THRIFT" hidden="1">"c25741"</definedName>
    <definedName name="IQ_TOTAL_ALLOWABLE_EXCLUSIONS_THRIFT" hidden="1">"c25567"</definedName>
    <definedName name="IQ_TOTAL_AR_BR" hidden="1">"c1231"</definedName>
    <definedName name="IQ_TOTAL_AR_CM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_CAPTIVE_INSURANCE_SUBSIDIARIES_FFIEC" hidden="1">"c27216"</definedName>
    <definedName name="IQ_TOTAL_ASSET_CAPTIVE_REINSUR_SUBSIDIARIES_FFIEC" hidden="1">"c27217"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SSETS_ADJUSTED_ASSETS_THRIFT" hidden="1">"c25030"</definedName>
    <definedName name="IQ_TOTAL_ASSETS_BNK_SUBTOTAL_AP" hidden="1">"c13644"</definedName>
    <definedName name="IQ_TOTAL_ASSETS_FAIR_VALUE_TOT_FFIEC" hidden="1">"c15405"</definedName>
    <definedName name="IQ_TOTAL_ASSETS_FDIC" hidden="1">"c6339"</definedName>
    <definedName name="IQ_TOTAL_ASSETS_FFIEC" hidden="1">"c12849"</definedName>
    <definedName name="IQ_TOTAL_ASSETS_LEVEL_1_FFIEC" hidden="1">"c15427"</definedName>
    <definedName name="IQ_TOTAL_ASSETS_LEVEL_2_FFIEC" hidden="1">"c15440"</definedName>
    <definedName name="IQ_TOTAL_ASSETS_LEVEL_3_FFIEC" hidden="1">"c15453"</definedName>
    <definedName name="IQ_TOTAL_ASSETS_LH_FFIEC" hidden="1">"c13106"</definedName>
    <definedName name="IQ_TOTAL_ASSETS_MANAGED_PROP_MUTUAL_FUNDS_ANNUITIES_THRIFT" hidden="1">"c24941"</definedName>
    <definedName name="IQ_TOTAL_ASSETS_MEASURED_FV_RECURRING_BASIS_AMOUNTS_NETTED_THRIFT" hidden="1">"c25522"</definedName>
    <definedName name="IQ_TOTAL_ASSETS_MEASURED_FV_RECURRING_BASIS_LEVEL_1_THRIFT" hidden="1">"c25518"</definedName>
    <definedName name="IQ_TOTAL_ASSETS_MEASURED_FV_RECURRING_BASIS_LEVEL_2_THRIFT" hidden="1">"c25519"</definedName>
    <definedName name="IQ_TOTAL_ASSETS_MEASURED_FV_RECURRING_BASIS_LEVEL_3_THRIFT" hidden="1">"c25520"</definedName>
    <definedName name="IQ_TOTAL_ASSETS_MEASURED_FV_RECURRING_BASIS_TOTAL_AFTER_NETTING_THRIFT" hidden="1">"c25523"</definedName>
    <definedName name="IQ_TOTAL_ASSETS_MEASURED_FV_RECURRING_BASIS_TOTAL_BEFORE_NETTING_THRIFT" hidden="1">"c25521"</definedName>
    <definedName name="IQ_TOTAL_ASSETS_PC_FFIEC" hidden="1">"c13099"</definedName>
    <definedName name="IQ_TOTAL_ASSETS_SUBTOTAL_AP" hidden="1">"c8985"</definedName>
    <definedName name="IQ_TOTAL_ASSETS_THRIFT" hidden="1">"c24894"</definedName>
    <definedName name="IQ_TOTAL_ATTRIB_ORE_RESOURCES_ALUM" hidden="1">"c9241"</definedName>
    <definedName name="IQ_TOTAL_ATTRIB_ORE_RESOURCES_COP" hidden="1">"c9185"</definedName>
    <definedName name="IQ_TOTAL_ATTRIB_ORE_RESOURCES_DIAM" hidden="1">"c9665"</definedName>
    <definedName name="IQ_TOTAL_ATTRIB_ORE_RESOURCES_GOLD" hidden="1">"c9026"</definedName>
    <definedName name="IQ_TOTAL_ATTRIB_ORE_RESOURCES_IRON" hidden="1">"c9400"</definedName>
    <definedName name="IQ_TOTAL_ATTRIB_ORE_RESOURCES_LEAD" hidden="1">"c9453"</definedName>
    <definedName name="IQ_TOTAL_ATTRIB_ORE_RESOURCES_MANG" hidden="1">"c9506"</definedName>
    <definedName name="IQ_TOTAL_ATTRIB_ORE_RESOURCES_MOLYB" hidden="1">"c9718"</definedName>
    <definedName name="IQ_TOTAL_ATTRIB_ORE_RESOURCES_NICK" hidden="1">"c9294"</definedName>
    <definedName name="IQ_TOTAL_ATTRIB_ORE_RESOURCES_PLAT" hidden="1">"c9132"</definedName>
    <definedName name="IQ_TOTAL_ATTRIB_ORE_RESOURCES_SILVER" hidden="1">"c9079"</definedName>
    <definedName name="IQ_TOTAL_ATTRIB_ORE_RESOURCES_TITAN" hidden="1">"c9559"</definedName>
    <definedName name="IQ_TOTAL_ATTRIB_ORE_RESOURCES_URAN" hidden="1">"c9612"</definedName>
    <definedName name="IQ_TOTAL_ATTRIB_ORE_RESOURCES_ZINC" hidden="1">"c9347"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BEDS" hidden="1">"c8785"</definedName>
    <definedName name="IQ_TOTAL_BORROWINGS_THRIFT" hidden="1">"c24899"</definedName>
    <definedName name="IQ_TOTAL_BROKER_ORIGINATED_DEPOSITS_FULLY_INSURED_THRIFT" hidden="1">"c24978"</definedName>
    <definedName name="IQ_TOTAL_BROKER_ORIGINATED_DEPOSITS_OTHER_THRIFT" hidden="1">"c24981"</definedName>
    <definedName name="IQ_TOTAL_BROKERED_DEPOSIT_FFIEC" hidden="1">"c15304"</definedName>
    <definedName name="IQ_TOTAL_CA" hidden="1">"c1243"</definedName>
    <definedName name="IQ_TOTAL_CA_SUBTOTAL_AP" hidden="1">"c8986"</definedName>
    <definedName name="IQ_TOTAL_CAP" hidden="1">"c1507"</definedName>
    <definedName name="IQ_TOTAL_CAPITAL_RATIO" hidden="1">"c1244"</definedName>
    <definedName name="IQ_TOTAL_CASH_DEPOSITS_INV_SEC_THRIFT" hidden="1">"c24828"</definedName>
    <definedName name="IQ_TOTAL_CASH_DIVID" localSheetId="7" hidden="1">"c1455"</definedName>
    <definedName name="IQ_TOTAL_CASH_DIVID" localSheetId="8" hidden="1">"c1455"</definedName>
    <definedName name="IQ_TOTAL_CASH_DIVID" hidden="1">"c1455"</definedName>
    <definedName name="IQ_TOTAL_CASH_DUE_DEPOSITORY_INSTIT_DOM_FFIEC" hidden="1">"c15291"</definedName>
    <definedName name="IQ_TOTAL_CASH_DUE_DEPOSITORY_INSTIT_FFIEC" hidden="1">"c15285"</definedName>
    <definedName name="IQ_TOTAL_CASH_FINAN" localSheetId="7" hidden="1">"c1352"</definedName>
    <definedName name="IQ_TOTAL_CASH_FINAN" localSheetId="8" hidden="1">"c1352"</definedName>
    <definedName name="IQ_TOTAL_CASH_FINAN" hidden="1">"c1352"</definedName>
    <definedName name="IQ_TOTAL_CASH_INVEST" localSheetId="7" hidden="1">"c1353"</definedName>
    <definedName name="IQ_TOTAL_CASH_INVEST" localSheetId="8" hidden="1">"c1353"</definedName>
    <definedName name="IQ_TOTAL_CASH_INVEST" hidden="1">"c1353"</definedName>
    <definedName name="IQ_TOTAL_CASH_OPER" localSheetId="7" hidden="1">"c1354"</definedName>
    <definedName name="IQ_TOTAL_CASH_OPER" localSheetId="8" hidden="1">"c1354"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L" hidden="1">"c1245"</definedName>
    <definedName name="IQ_TOTAL_CL_SUBTOTAL_AP" hidden="1">"c8987"</definedName>
    <definedName name="IQ_TOTAL_COAL_PRODUCTION_COAL" hidden="1">"c9824"</definedName>
    <definedName name="IQ_TOTAL_COMMON" localSheetId="7" hidden="1">"c1411"</definedName>
    <definedName name="IQ_TOTAL_COMMON" localSheetId="8" hidden="1">"c1411"</definedName>
    <definedName name="IQ_TOTAL_COMMON" hidden="1">"c1411"</definedName>
    <definedName name="IQ_TOTAL_COMMON_EQUITY" hidden="1">"c1246"</definedName>
    <definedName name="IQ_TOTAL_COMMON_EQUITY_FFIEC" hidden="1">"c13913"</definedName>
    <definedName name="IQ_TOTAL_COMMON_EQUITY_THRIFT" hidden="1">"c25085"</definedName>
    <definedName name="IQ_TOTAL_COMMON_EQUITY_TOTAL_ASSETS_FFIEC" hidden="1">"c13864"</definedName>
    <definedName name="IQ_TOTAL_COMMON_EQUITY_TOTAL_ASSETS_THRIFT" hidden="1">"c25739"</definedName>
    <definedName name="IQ_TOTAL_COMMON_SHARES_OUT_FFIEC" hidden="1">"c12955"</definedName>
    <definedName name="IQ_TOTAL_CONSTRUCTION_LL_REC_DOM_FFIEC" hidden="1">"c13515"</definedName>
    <definedName name="IQ_TOTAL_CURRENT_ASSETS" localSheetId="7" hidden="1">"c1430"</definedName>
    <definedName name="IQ_TOTAL_CURRENT_ASSETS" localSheetId="8" hidden="1">"c1430"</definedName>
    <definedName name="IQ_TOTAL_CURRENT_ASSETS" hidden="1">"c1430"</definedName>
    <definedName name="IQ_TOTAL_CURRENT_LIAB" localSheetId="7" hidden="1">"c1431"</definedName>
    <definedName name="IQ_TOTAL_CURRENT_LIAB" localSheetId="8" hidden="1">"c1431"</definedName>
    <definedName name="IQ_TOTAL_CURRENT_LIAB" hidden="1">"c1431"</definedName>
    <definedName name="IQ_TOTAL_DAILY_AVERAGE_ALLOWABLE_EXCLUSIONS_THRIFT" hidden="1">"c25580"</definedName>
    <definedName name="IQ_TOTAL_DAILY_AVERAGE_FOREIGN_DEPOSITS_THRIFT" hidden="1">"c25581"</definedName>
    <definedName name="IQ_TOTAL_DAILY_AVERAGE_GROSS_DEPOSIT_LIABILITIES_BEFORE_EXCLUSIONS_THRIFT" hidden="1">"c25579"</definedName>
    <definedName name="IQ_TOTAL_DEBT" hidden="1">"c1247"</definedName>
    <definedName name="IQ_TOTAL_DEBT_CAPITAL" hidden="1">"c1248"</definedName>
    <definedName name="IQ_TOTAL_DEBT_CURRENT" hidden="1">"c6190"</definedName>
    <definedName name="IQ_TOTAL_DEBT_DUE" hidden="1">"c2509"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ST" hidden="1">"c4532"</definedName>
    <definedName name="IQ_TOTAL_DEBT_EXCL_FIN" hidden="1">"c2937"</definedName>
    <definedName name="IQ_TOTAL_DEBT_GUIDANCE" hidden="1">"c4533"</definedName>
    <definedName name="IQ_TOTAL_DEBT_GUIDANCE_CIQ" hidden="1">"c5086"</definedName>
    <definedName name="IQ_TOTAL_DEBT_GUIDANCE_CIQ_COL" hidden="1">"c11733"</definedName>
    <definedName name="IQ_TOTAL_DEBT_HIGH_EST" hidden="1">"c4534"</definedName>
    <definedName name="IQ_TOTAL_DEBT_HIGH_GUIDANCE" hidden="1">"c4196"</definedName>
    <definedName name="IQ_TOTAL_DEBT_HIGH_GUIDANCE_CIQ" hidden="1">"c4608"</definedName>
    <definedName name="IQ_TOTAL_DEBT_HIGH_GUIDANCE_CIQ_COL" hidden="1">"c11257"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CM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LOW_EST" hidden="1">"c4535"</definedName>
    <definedName name="IQ_TOTAL_DEBT_LOW_GUIDANCE" hidden="1">"c4236"</definedName>
    <definedName name="IQ_TOTAL_DEBT_LOW_GUIDANCE_CIQ" hidden="1">"c4648"</definedName>
    <definedName name="IQ_TOTAL_DEBT_LOW_GUIDANCE_CIQ_COL" hidden="1">"c11297"</definedName>
    <definedName name="IQ_TOTAL_DEBT_MEDIAN_EST" hidden="1">"c4536"</definedName>
    <definedName name="IQ_TOTAL_DEBT_NON_CURRENT" hidden="1">"c6191"</definedName>
    <definedName name="IQ_TOTAL_DEBT_NUM_EST" hidden="1">"c4537"</definedName>
    <definedName name="IQ_TOTAL_DEBT_OVER_EBITDA" localSheetId="7" hidden="1">"c1433"</definedName>
    <definedName name="IQ_TOTAL_DEBT_OVER_EBITDA" localSheetId="8" hidden="1">"c1433"</definedName>
    <definedName name="IQ_TOTAL_DEBT_OVER_EBITDA" hidden="1">"c1433"</definedName>
    <definedName name="IQ_TOTAL_DEBT_OVER_TOTAL_BV" localSheetId="7" hidden="1">"c1434"</definedName>
    <definedName name="IQ_TOTAL_DEBT_OVER_TOTAL_BV" localSheetId="8" hidden="1">"c1434"</definedName>
    <definedName name="IQ_TOTAL_DEBT_OVER_TOTAL_BV" hidden="1">"c1434"</definedName>
    <definedName name="IQ_TOTAL_DEBT_OVER_TOTAL_CAP" localSheetId="7" hidden="1">"c1432"</definedName>
    <definedName name="IQ_TOTAL_DEBT_OVER_TOTAL_CAP" localSheetId="8" hidden="1">"c1432"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CM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BT_STDDEV_EST" hidden="1">"c4538"</definedName>
    <definedName name="IQ_TOTAL_DEPOSITS" hidden="1">"c1265"</definedName>
    <definedName name="IQ_TOTAL_DEPOSITS_DOM_FFIEC" hidden="1">"c15313"</definedName>
    <definedName name="IQ_TOTAL_DEPOSITS_FDIC" hidden="1">"c6342"</definedName>
    <definedName name="IQ_TOTAL_DEPOSITS_FFIEC" hidden="1">"c13623"</definedName>
    <definedName name="IQ_TOTAL_DEPOSITS_SUPPLE" hidden="1">"c15253"</definedName>
    <definedName name="IQ_TOTAL_DEPOSITS_THRIFT" hidden="1">"c24984"</definedName>
    <definedName name="IQ_TOTAL_DIV_PAID_CF" hidden="1">"c1266"</definedName>
    <definedName name="IQ_TOTAL_DIVIDEND_INCOME_THRIFT" hidden="1">"c24756"</definedName>
    <definedName name="IQ_TOTAL_EARNING_ASSETS_QUARTERLY_AVG_FFIEC" hidden="1">"c25823"</definedName>
    <definedName name="IQ_TOTAL_ELIGIBLE_0_PCT_RISK_WEIGHT_THRIFT" hidden="1">"c25050"</definedName>
    <definedName name="IQ_TOTAL_ELIGIBLE_100_PCT_RISK_WEIGHT_THRIFT" hidden="1">"c25070"</definedName>
    <definedName name="IQ_TOTAL_ELIGIBLE_20_PCT_RISK_WEIGHT_THRIFT" hidden="1">"c25056"</definedName>
    <definedName name="IQ_TOTAL_ELIGIBLE_50_PCT_RISK_WEIGHT_THRIFT" hidden="1">"c25063"</definedName>
    <definedName name="IQ_TOTAL_EMPLOYEE" localSheetId="7" hidden="1">"c2141"</definedName>
    <definedName name="IQ_TOTAL_EMPLOYEE" localSheetId="8" hidden="1">"c2141"</definedName>
    <definedName name="IQ_TOTAL_EMPLOYEE" hidden="1">"c2141"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EQUITY_CAPITAL_INC_MINORITY_INT_THRIFT" hidden="1">"c24927"</definedName>
    <definedName name="IQ_TOTAL_EQUITY_CAPITAL_T1_FFIEC" hidden="1">"c13130"</definedName>
    <definedName name="IQ_TOTAL_EQUITY_CAPITAL_T1_THRIFT" hidden="1">"c25021"</definedName>
    <definedName name="IQ_TOTAL_EQUITY_CAPITAL_THRIFT" hidden="1">"c24925"</definedName>
    <definedName name="IQ_TOTAL_EQUITY_FFIEC" hidden="1">"c12881"</definedName>
    <definedName name="IQ_TOTAL_EQUITY_INCL_MINORITY_INTEREST_FFIEC" hidden="1">"c15278"</definedName>
    <definedName name="IQ_TOTAL_EQUITY_INV_NOT_CARRIED_FV_THRIFT" hidden="1">"c24879"</definedName>
    <definedName name="IQ_TOTAL_EQUITY_LH_FFIEC" hidden="1">"c13109"</definedName>
    <definedName name="IQ_TOTAL_EQUITY_PC_FFIEC" hidden="1">"c13102"</definedName>
    <definedName name="IQ_TOTAL_EQUITY_SUBTOTAL_AP" hidden="1">"c8989"</definedName>
    <definedName name="IQ_TOTAL_EQUITY_TOTAL_ASSETS_FFIEC" hidden="1">"c13863"</definedName>
    <definedName name="IQ_TOTAL_EQUITY_TOTAL_ASSETS_THRIFT" hidden="1">"c25738"</definedName>
    <definedName name="IQ_TOTAL_FIDUCIARY_ACCOUNTS_MANAGED_ASSETS_THRIFT" hidden="1">"c25346"</definedName>
    <definedName name="IQ_TOTAL_FIDUCIARY_ACCOUNTS_NONMANAGED_ASSETS_THRIFT" hidden="1">"c25367"</definedName>
    <definedName name="IQ_TOTAL_FIDUCIARY_ACCOUNTS_NUMBER_MANAGED_ACCOUNTS_THRIFT" hidden="1">"c25357"</definedName>
    <definedName name="IQ_TOTAL_FIDUCIARY_ACCOUNTS_NUMBER_NONMANAGED_ACCOUNTS_THRIFT" hidden="1">"c25379"</definedName>
    <definedName name="IQ_TOTAL_FOREIGN_DEPOSITS_FFIEC" hidden="1">"c15348"</definedName>
    <definedName name="IQ_TOTAL_FOREIGN_DEPOSITS_INCLUDED_IN_TOTAL_ALLOWABLE_EXCLUSIONS_THRIFT" hidden="1">"c25568"</definedName>
    <definedName name="IQ_TOTAL_FOREIGN_LOANS_QUARTERLY_AVG_FFIEC" hidden="1">"c15482"</definedName>
    <definedName name="IQ_TOTAL_GROSS_DEPOSIT_LIABILITIES_BEFORE_EXCLUSIONS_THRIFT" hidden="1">"c25566"</definedName>
    <definedName name="IQ_TOTAL_GROSS_FIDUCIARY_RELATED_SERVICES_INC_THRIFT" hidden="1">"c24811"</definedName>
    <definedName name="IQ_TOTAL_GROSS_LOSSES_MANAGED_ACCOUNTS_THRIFT" hidden="1">"c25465"</definedName>
    <definedName name="IQ_TOTAL_GROSS_LOSSES_NONMANAGED_ACCOUNTS_THRIFT" hidden="1">"c25470"</definedName>
    <definedName name="IQ_TOTAL_IBF_ASSETS_CONSOL_BANK_FFIEC" hidden="1">"c15299"</definedName>
    <definedName name="IQ_TOTAL_IBF_LIABILITIES_FFIEC" hidden="1">"c15302"</definedName>
    <definedName name="IQ_TOTAL_IBF_LL_REC_FFIEC" hidden="1">"c15297"</definedName>
    <definedName name="IQ_TOTAL_INT_EXP_THRIFT" hidden="1">"c24764"</definedName>
    <definedName name="IQ_TOTAL_INT_EXPENSE_FFIEC" hidden="1">"c13000"</definedName>
    <definedName name="IQ_TOTAL_INT_INCOME_FFIEC" hidden="1">"c12989"</definedName>
    <definedName name="IQ_TOTAL_INT_INCOME_THRIFT" hidden="1">"c24753"</definedName>
    <definedName name="IQ_TOTAL_INTEREST_EXP" localSheetId="7" hidden="1">"c1382"</definedName>
    <definedName name="IQ_TOTAL_INTEREST_EXP" localSheetId="8" hidden="1">"c1382"</definedName>
    <definedName name="IQ_TOTAL_INTEREST_EXP" hidden="1">"c1382"</definedName>
    <definedName name="IQ_TOTAL_INTEREST_EXP_FOREIGN_FFIEC" hidden="1">"c15374"</definedName>
    <definedName name="IQ_TOTAL_INTEREST_INC_FOREIGN_FFIEC" hidden="1">"c15373"</definedName>
    <definedName name="IQ_TOTAL_INVENTORY" localSheetId="7" hidden="1">"c1385"</definedName>
    <definedName name="IQ_TOTAL_INVENTORY" localSheetId="8" hidden="1">"c1385"</definedName>
    <definedName name="IQ_TOTAL_INVENTORY" hidden="1">"c1385"</definedName>
    <definedName name="IQ_TOTAL_INVEST" hidden="1">"c1275"</definedName>
    <definedName name="IQ_TOTAL_IRA_KEOGH_PLAN_ACCOUNTS_FFIEC" hidden="1">"c15303"</definedName>
    <definedName name="IQ_TOTAL_LEASES_TOTAL_LOANS_THRIFT" hidden="1">"c25751"</definedName>
    <definedName name="IQ_TOTAL_LIAB" hidden="1">"c1276"</definedName>
    <definedName name="IQ_TOTAL_LIAB_BNK" hidden="1">"c1277"</definedName>
    <definedName name="IQ_TOTAL_LIAB_BR" hidden="1">"c1278"</definedName>
    <definedName name="IQ_TOTAL_LIAB_CM" hidden="1">"c1278"</definedName>
    <definedName name="IQ_TOTAL_LIAB_EQUITY" hidden="1">"c1279"</definedName>
    <definedName name="IQ_TOTAL_LIAB_EQUITY_FDIC" hidden="1">"c6354"</definedName>
    <definedName name="IQ_TOTAL_LIAB_EQUITY_SUBTOTAL_AP" hidden="1">"c8988"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localSheetId="7" hidden="1">"c1435"</definedName>
    <definedName name="IQ_TOTAL_LIAB_SHAREHOLD" localSheetId="8" hidden="1">"c1435"</definedName>
    <definedName name="IQ_TOTAL_LIAB_SHAREHOLD" hidden="1">"c1435"</definedName>
    <definedName name="IQ_TOTAL_LIAB_TOTAL_ASSETS" hidden="1">"c1283"</definedName>
    <definedName name="IQ_TOTAL_LIABILITIES_EQUITY_FFIEC" hidden="1">"c12882"</definedName>
    <definedName name="IQ_TOTAL_LIABILITIES_EQUITY_THRIFT" hidden="1">"c24928"</definedName>
    <definedName name="IQ_TOTAL_LIABILITIES_FAIR_VALUE_TOT_FFIEC" hidden="1">"c15411"</definedName>
    <definedName name="IQ_TOTAL_LIABILITIES_FDIC" hidden="1">"c6348"</definedName>
    <definedName name="IQ_TOTAL_LIABILITIES_FFIEC" hidden="1">"c12873"</definedName>
    <definedName name="IQ_TOTAL_LIABILITIES_LEVEL_1_FFIEC" hidden="1">"c15433"</definedName>
    <definedName name="IQ_TOTAL_LIABILITIES_LEVEL_2_FFIEC" hidden="1">"c15446"</definedName>
    <definedName name="IQ_TOTAL_LIABILITIES_LEVEL_3_FFIEC" hidden="1">"c15459"</definedName>
    <definedName name="IQ_TOTAL_LIABILITIES_MEASURED_FV_RECURRING_BASIS_AMOUNTS_NETTED_THRIFT" hidden="1">"c25564"</definedName>
    <definedName name="IQ_TOTAL_LIABILITIES_MEASURED_FV_RECURRING_BASIS_LEVEL_1_THRIFT" hidden="1">"c25560"</definedName>
    <definedName name="IQ_TOTAL_LIABILITIES_MEASURED_FV_RECURRING_BASIS_LEVEL_2_THRIFT" hidden="1">"c25561"</definedName>
    <definedName name="IQ_TOTAL_LIABILITIES_MEASURED_FV_RECURRING_BASIS_LEVEL_3_THRIFT" hidden="1">"c25562"</definedName>
    <definedName name="IQ_TOTAL_LIABILITIES_MEASURED_FV_RECURRING_BASIS_TOTAL_AFTER_NETTING_THRIFT" hidden="1">"c25565"</definedName>
    <definedName name="IQ_TOTAL_LIABILITIES_MEASURED_FV_RECURRING_BASIS_TOTAL_BEFORE_NETTING_THRIFT" hidden="1">"c25563"</definedName>
    <definedName name="IQ_TOTAL_LIABILITIES_THRIFT" hidden="1">"c24913"</definedName>
    <definedName name="IQ_TOTAL_LL_DOMESTIC_QUARTERLY_AVG_FFIEC" hidden="1">"c25825"</definedName>
    <definedName name="IQ_TOTAL_LL_FOREIGN_QUARTERLY_AVG_FFIEC" hidden="1">"c25824"</definedName>
    <definedName name="IQ_TOTAL_LL_REC_DOM_FFIEC" hidden="1">"c12917"</definedName>
    <definedName name="IQ_TOTAL_LL_REC_FFIEC" hidden="1">"c12898"</definedName>
    <definedName name="IQ_TOTAL_LOANS" hidden="1">"c5653"</definedName>
    <definedName name="IQ_TOTAL_LOANS_DOM_QUARTERLY_AVG_FFIEC" hidden="1">"c15475"</definedName>
    <definedName name="IQ_TOTAL_LOANS_IN_PROCESS_FORECLOSURE_THRIFT" hidden="1">"c25310"</definedName>
    <definedName name="IQ_TOTAL_LOANS_LEASES_AND_OTHER_DUE_30_89_FFIEC" hidden="1">"c15416"</definedName>
    <definedName name="IQ_TOTAL_LOANS_LEASES_AND_OTHER_DUE_90_FFIEC" hidden="1">"c15420"</definedName>
    <definedName name="IQ_TOTAL_LOANS_LEASES_AND_OTHER_NON_ACCRUAL_FFIEC" hidden="1">"c15466"</definedName>
    <definedName name="IQ_TOTAL_LOANS_LEASES_CHARGE_OFFS_FFIEC" hidden="1">"c13186"</definedName>
    <definedName name="IQ_TOTAL_LOANS_LEASES_DUE_30_89_FFIEC" hidden="1">"c13280"</definedName>
    <definedName name="IQ_TOTAL_LOANS_LEASES_DUE_90_FFIEC" hidden="1">"c13306"</definedName>
    <definedName name="IQ_TOTAL_LOANS_LEASES_NON_ACCRUAL_FFIEC" hidden="1">"c13757"</definedName>
    <definedName name="IQ_TOTAL_LOANS_LEASES_RECOV_FFIEC" hidden="1">"c13208"</definedName>
    <definedName name="IQ_TOTAL_LONG_DEBT" hidden="1">"c1617"</definedName>
    <definedName name="IQ_TOTAL_MANAGED_ASSETS_ALL_OTHER_ACCOUNTS_THRIFT" hidden="1">"c25422"</definedName>
    <definedName name="IQ_TOTAL_MANAGED_ASSETS_EMPLOYEE_BENEFIT_RETIREMENT_RELATED_ACCOUNTS_THRIFT" hidden="1">"c25406"</definedName>
    <definedName name="IQ_TOTAL_MANAGED_ASSETS_PERSONAL_TRUST_AGENCY_INV_MANAGEMENT_ACCOUNTS_THRIFT" hidden="1">"c25390"</definedName>
    <definedName name="IQ_TOTAL_MBS_THRIFT" hidden="1">"c24837"</definedName>
    <definedName name="IQ_TOTAL_MORTGAGE_LOANS_THRIFT" hidden="1">"c24852"</definedName>
    <definedName name="IQ_TOTAL_MORTGAGE_NON_MORTGAGE_LOANS_DUE_30_89_THRIFT" hidden="1">"c25255"</definedName>
    <definedName name="IQ_TOTAL_MORTGAGE_NON_MORTGAGE_LOANS_DUE_90_THRIFT" hidden="1">"c25276"</definedName>
    <definedName name="IQ_TOTAL_MORTGAGE_NON_MORTGAGE_LOANS_NON_ACCRUAL_THRIFT" hidden="1">"c25297"</definedName>
    <definedName name="IQ_TOTAL_NON_MORTGAGE_LOANS_THRIFT" hidden="1">"c24868"</definedName>
    <definedName name="IQ_TOTAL_NON_RE_LOANS_TOTAL_LOANS_THRIFT" hidden="1">"c25752"</definedName>
    <definedName name="IQ_TOTAL_NON_REC" hidden="1">"c1444"</definedName>
    <definedName name="IQ_TOTAL_NON_TRANS_ACCTS_FFIEC" hidden="1">"c15328"</definedName>
    <definedName name="IQ_TOTAL_NONINTEREST_EXPENSE_FOREIGN_FFIEC" hidden="1">"c15386"</definedName>
    <definedName name="IQ_TOTAL_OPER_EXP_BR" hidden="1">"c1284"</definedName>
    <definedName name="IQ_TOTAL_OPER_EXP_CM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ERATING_EXPENSE" hidden="1">"c16047"</definedName>
    <definedName name="IQ_TOTAL_OPERATING_REVENUE" hidden="1">"c16030"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RE_RESOURCES_ALUM" hidden="1">"c9230"</definedName>
    <definedName name="IQ_TOTAL_ORE_RESOURCES_COP" hidden="1">"c9174"</definedName>
    <definedName name="IQ_TOTAL_ORE_RESOURCES_DIAM" hidden="1">"c9654"</definedName>
    <definedName name="IQ_TOTAL_ORE_RESOURCES_GOLD" hidden="1">"c9015"</definedName>
    <definedName name="IQ_TOTAL_ORE_RESOURCES_IRON" hidden="1">"c9389"</definedName>
    <definedName name="IQ_TOTAL_ORE_RESOURCES_LEAD" hidden="1">"c9442"</definedName>
    <definedName name="IQ_TOTAL_ORE_RESOURCES_MANG" hidden="1">"c9495"</definedName>
    <definedName name="IQ_TOTAL_ORE_RESOURCES_MOLYB" hidden="1">"c9707"</definedName>
    <definedName name="IQ_TOTAL_ORE_RESOURCES_NICK" hidden="1">"c9283"</definedName>
    <definedName name="IQ_TOTAL_ORE_RESOURCES_PLAT" hidden="1">"c9121"</definedName>
    <definedName name="IQ_TOTAL_ORE_RESOURCES_SILVER" hidden="1">"c9068"</definedName>
    <definedName name="IQ_TOTAL_ORE_RESOURCES_TITAN" hidden="1">"c9548"</definedName>
    <definedName name="IQ_TOTAL_ORE_RESOURCES_URAN" hidden="1">"c9601"</definedName>
    <definedName name="IQ_TOTAL_ORE_RESOURCES_ZINC" hidden="1">"c9336"</definedName>
    <definedName name="IQ_TOTAL_OTHER_ASSETS_THRIFT" hidden="1">"c24883"</definedName>
    <definedName name="IQ_TOTAL_OTHER_OPER" hidden="1">"c1289"</definedName>
    <definedName name="IQ_TOTAL_OTHER_TEMP_IMPAIR_LOSS_FFIEC" hidden="1">"c25846"</definedName>
    <definedName name="IQ_TOTAL_OTHER_UNUSED_FFIEC" hidden="1">"c25858"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AMT_ASSETS_COVERED_RECOURSE_OBLIGATIONS_DIRECT_CREDIT_SUBSTITUTES_THRIFT" hidden="1">"c25615"</definedName>
    <definedName name="IQ_TOTAL_PRINCIPAL_PCT" hidden="1">"c2510"</definedName>
    <definedName name="IQ_TOTAL_PROP" hidden="1">"c8765"</definedName>
    <definedName name="IQ_TOTAL_PROVED_RESERVES_NGL" hidden="1">"c2924"</definedName>
    <definedName name="IQ_TOTAL_PROVED_RESERVES_OIL" hidden="1">"c2040"</definedName>
    <definedName name="IQ_TOTAL_RE_LOANS_TOTAL_LOANS" hidden="1">"c15715"</definedName>
    <definedName name="IQ_TOTAL_RE_NOI_AVG_GROSS_PROP" hidden="1">"c16059"</definedName>
    <definedName name="IQ_TOTAL_RECEIV" hidden="1">"c1293"</definedName>
    <definedName name="IQ_TOTAL_RECOV_ATTRIB_RESOURCES_ALUM" hidden="1">"c9246"</definedName>
    <definedName name="IQ_TOTAL_RECOV_ATTRIB_RESOURCES_COAL" hidden="1">"c9820"</definedName>
    <definedName name="IQ_TOTAL_RECOV_ATTRIB_RESOURCES_COP" hidden="1">"c9190"</definedName>
    <definedName name="IQ_TOTAL_RECOV_ATTRIB_RESOURCES_DIAM" hidden="1">"c9670"</definedName>
    <definedName name="IQ_TOTAL_RECOV_ATTRIB_RESOURCES_GOLD" hidden="1">"c9031"</definedName>
    <definedName name="IQ_TOTAL_RECOV_ATTRIB_RESOURCES_IRON" hidden="1">"c9405"</definedName>
    <definedName name="IQ_TOTAL_RECOV_ATTRIB_RESOURCES_LEAD" hidden="1">"c9458"</definedName>
    <definedName name="IQ_TOTAL_RECOV_ATTRIB_RESOURCES_MANG" hidden="1">"c9511"</definedName>
    <definedName name="IQ_TOTAL_RECOV_ATTRIB_RESOURCES_MET_COAL" hidden="1">"c9760"</definedName>
    <definedName name="IQ_TOTAL_RECOV_ATTRIB_RESOURCES_MOLYB" hidden="1">"c9723"</definedName>
    <definedName name="IQ_TOTAL_RECOV_ATTRIB_RESOURCES_NICK" hidden="1">"c9299"</definedName>
    <definedName name="IQ_TOTAL_RECOV_ATTRIB_RESOURCES_PLAT" hidden="1">"c9137"</definedName>
    <definedName name="IQ_TOTAL_RECOV_ATTRIB_RESOURCES_SILVER" hidden="1">"c9084"</definedName>
    <definedName name="IQ_TOTAL_RECOV_ATTRIB_RESOURCES_STEAM" hidden="1">"c9790"</definedName>
    <definedName name="IQ_TOTAL_RECOV_ATTRIB_RESOURCES_TITAN" hidden="1">"c9564"</definedName>
    <definedName name="IQ_TOTAL_RECOV_ATTRIB_RESOURCES_URAN" hidden="1">"c9617"</definedName>
    <definedName name="IQ_TOTAL_RECOV_ATTRIB_RESOURCES_ZINC" hidden="1">"c9352"</definedName>
    <definedName name="IQ_TOTAL_RECOV_RESOURCES_ALUM" hidden="1">"c9236"</definedName>
    <definedName name="IQ_TOTAL_RECOV_RESOURCES_COAL" hidden="1">"c9815"</definedName>
    <definedName name="IQ_TOTAL_RECOV_RESOURCES_COP" hidden="1">"c9180"</definedName>
    <definedName name="IQ_TOTAL_RECOV_RESOURCES_DIAM" hidden="1">"c9660"</definedName>
    <definedName name="IQ_TOTAL_RECOV_RESOURCES_GOLD" hidden="1">"c9021"</definedName>
    <definedName name="IQ_TOTAL_RECOV_RESOURCES_IRON" hidden="1">"c9395"</definedName>
    <definedName name="IQ_TOTAL_RECOV_RESOURCES_LEAD" hidden="1">"c9448"</definedName>
    <definedName name="IQ_TOTAL_RECOV_RESOURCES_MANG" hidden="1">"c9501"</definedName>
    <definedName name="IQ_TOTAL_RECOV_RESOURCES_MET_COAL" hidden="1">"c9755"</definedName>
    <definedName name="IQ_TOTAL_RECOV_RESOURCES_MOLYB" hidden="1">"c9713"</definedName>
    <definedName name="IQ_TOTAL_RECOV_RESOURCES_NICK" hidden="1">"c9289"</definedName>
    <definedName name="IQ_TOTAL_RECOV_RESOURCES_PLAT" hidden="1">"c9127"</definedName>
    <definedName name="IQ_TOTAL_RECOV_RESOURCES_SILVER" hidden="1">"c9074"</definedName>
    <definedName name="IQ_TOTAL_RECOV_RESOURCES_STEAM" hidden="1">"c9785"</definedName>
    <definedName name="IQ_TOTAL_RECOV_RESOURCES_TITAN" hidden="1">"c9554"</definedName>
    <definedName name="IQ_TOTAL_RECOV_RESOURCES_URAN" hidden="1">"c9607"</definedName>
    <definedName name="IQ_TOTAL_RECOV_RESOURCES_ZINC" hidden="1">"c9342"</definedName>
    <definedName name="IQ_TOTAL_RECOVERIES_FDIC" hidden="1">"c6622"</definedName>
    <definedName name="IQ_TOTAL_RECOVERIES_THRIFT" hidden="1">"c25475"</definedName>
    <definedName name="IQ_TOTAL_RENTAL_REVENUE" hidden="1">"c16022"</definedName>
    <definedName name="IQ_TOTAL_RESERVES" hidden="1">"c21102"</definedName>
    <definedName name="IQ_TOTAL_RESOURCES_CALORIFIC_VALUE_COAL" hidden="1">"c9810"</definedName>
    <definedName name="IQ_TOTAL_RESOURCES_CALORIFIC_VALUE_MET_COAL" hidden="1">"c9750"</definedName>
    <definedName name="IQ_TOTAL_RESOURCES_CALORIFIC_VALUE_STEAM" hidden="1">"c9780"</definedName>
    <definedName name="IQ_TOTAL_RESOURCES_GRADE_ALUM" hidden="1">"c9231"</definedName>
    <definedName name="IQ_TOTAL_RESOURCES_GRADE_COP" hidden="1">"c9175"</definedName>
    <definedName name="IQ_TOTAL_RESOURCES_GRADE_DIAM" hidden="1">"c9655"</definedName>
    <definedName name="IQ_TOTAL_RESOURCES_GRADE_GOLD" hidden="1">"c9016"</definedName>
    <definedName name="IQ_TOTAL_RESOURCES_GRADE_IRON" hidden="1">"c9390"</definedName>
    <definedName name="IQ_TOTAL_RESOURCES_GRADE_LEAD" hidden="1">"c9443"</definedName>
    <definedName name="IQ_TOTAL_RESOURCES_GRADE_MANG" hidden="1">"c9496"</definedName>
    <definedName name="IQ_TOTAL_RESOURCES_GRADE_MOLYB" hidden="1">"c9708"</definedName>
    <definedName name="IQ_TOTAL_RESOURCES_GRADE_NICK" hidden="1">"c9284"</definedName>
    <definedName name="IQ_TOTAL_RESOURCES_GRADE_PLAT" hidden="1">"c9122"</definedName>
    <definedName name="IQ_TOTAL_RESOURCES_GRADE_SILVER" hidden="1">"c9069"</definedName>
    <definedName name="IQ_TOTAL_RESOURCES_GRADE_TITAN" hidden="1">"c9549"</definedName>
    <definedName name="IQ_TOTAL_RESOURCES_GRADE_URAN" hidden="1">"c9602"</definedName>
    <definedName name="IQ_TOTAL_RESOURCES_GRADE_ZINC" hidden="1">"c9337"</definedName>
    <definedName name="IQ_TOTAL_RETURN_SWAPS_DERIVATIVES_BENEFICIARY_FFIEC" hidden="1">"c13120"</definedName>
    <definedName name="IQ_TOTAL_RETURN_SWAPS_DERIVATIVES_GUARANTOR_FFIEC" hidden="1">"c13113"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CM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SUBTOTAL_AP" hidden="1">"c8975"</definedName>
    <definedName name="IQ_TOTAL_REV_UTI" hidden="1">"c1308"</definedName>
    <definedName name="IQ_TOTAL_REVENUE" localSheetId="7" hidden="1">"c1436"</definedName>
    <definedName name="IQ_TOTAL_REVENUE" localSheetId="8" hidden="1">"c1436"</definedName>
    <definedName name="IQ_TOTAL_REVENUE" hidden="1">"c1436"</definedName>
    <definedName name="IQ_TOTAL_REVENUE_FFIEC" hidden="1">"c13020"</definedName>
    <definedName name="IQ_TOTAL_REVENUE_FOREIGN_FFIEC" hidden="1">"c15383"</definedName>
    <definedName name="IQ_TOTAL_REVENUE_THRIFT" hidden="1">"c24785"</definedName>
    <definedName name="IQ_TOTAL_RISK_BASED_CAPITAL_FFIEC" hidden="1">"c13153"</definedName>
    <definedName name="IQ_TOTAL_RISK_BASED_CAPITAL_RATIO_FDIC" hidden="1">"c6747"</definedName>
    <definedName name="IQ_TOTAL_RISK_BASED_CAPITAL_RATIO_FFIEC" hidden="1">"c13162"</definedName>
    <definedName name="IQ_TOTAL_RISK_BASED_CAPITAL_RATIO_THRIFT" hidden="1">"c25082"</definedName>
    <definedName name="IQ_TOTAL_RISK_BASED_CAPITAL_REQUIREMENT_THRIFT" hidden="1">"c25080"</definedName>
    <definedName name="IQ_TOTAL_RISK_BASED_CAPITAL_THRIFT" hidden="1">"c25049"</definedName>
    <definedName name="IQ_TOTAL_RISK_WEIGHTED_ASSETS_FFIEC" hidden="1">"c13858"</definedName>
    <definedName name="IQ_TOTAL_RISK_WEIGHTED_ASSETS_THRIFT" hidden="1">"c25079"</definedName>
    <definedName name="IQ_TOTAL_ROOMS" hidden="1">"c8789"</definedName>
    <definedName name="IQ_TOTAL_SECURITIES_FDIC" hidden="1">"c6306"</definedName>
    <definedName name="IQ_TOTAL_SPECIAL" hidden="1">"c1618"</definedName>
    <definedName name="IQ_TOTAL_SQ_FT" hidden="1">"c8781"</definedName>
    <definedName name="IQ_TOTAL_SR_SECURED" hidden="1">"c17890"</definedName>
    <definedName name="IQ_TOTAL_SR_SECURED_EBITDA" hidden="1">"c17901"</definedName>
    <definedName name="IQ_TOTAL_SR_SECURED_EBITDA_CAPEX" hidden="1">"c17902"</definedName>
    <definedName name="IQ_TOTAL_SR_SECURED_PCT" hidden="1">"c18004"</definedName>
    <definedName name="IQ_TOTAL_ST_BORROW" localSheetId="7" hidden="1">"c1424"</definedName>
    <definedName name="IQ_TOTAL_ST_BORROW" localSheetId="8" hidden="1">"c1424"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TIME_DEPOSITS_FDIC" hidden="1">"c6497"</definedName>
    <definedName name="IQ_TOTAL_TIME_DEPOSITS_TOTAL_DEPOSITS_THRIFT" hidden="1">"c25780"</definedName>
    <definedName name="IQ_TOTAL_TIME_LESS_100000_1_TO_3_YEARS_FFIEC" hidden="1">"c15335"</definedName>
    <definedName name="IQ_TOTAL_TIME_LESS_100000_3_MONTHS_LESS_FFIEC" hidden="1">"c15333"</definedName>
    <definedName name="IQ_TOTAL_TIME_LESS_100000_3_TO_12_MONTHS_FFIEC" hidden="1">"c15334"</definedName>
    <definedName name="IQ_TOTAL_TIME_LESS_100000_FFIEC" hidden="1">"c15332"</definedName>
    <definedName name="IQ_TOTAL_TIME_LESS_100000_OVER_3_YEARS_FFIEC" hidden="1">"c15336"</definedName>
    <definedName name="IQ_TOTAL_TIME_MORE_100000_1_TO_3_YEARS_FFIEC" hidden="1">"c15340"</definedName>
    <definedName name="IQ_TOTAL_TIME_MORE_100000_3_MONTHS_LESS_FFIEC" hidden="1">"c15338"</definedName>
    <definedName name="IQ_TOTAL_TIME_MORE_100000_3_TO_12_MONTHS_FFIEC" hidden="1">"c15339"</definedName>
    <definedName name="IQ_TOTAL_TIME_MORE_100000_FFIEC" hidden="1">"c15337"</definedName>
    <definedName name="IQ_TOTAL_TIME_MORE_100000_OVER_3_YEARS_FFIEC" hidden="1">"c15341"</definedName>
    <definedName name="IQ_TOTAL_TIME_SAVINGS_DEPOSITS_FDIC" hidden="1">"c6498"</definedName>
    <definedName name="IQ_TOTAL_TRADING_ASSETS_FFIEC" hidden="1">"c12939"</definedName>
    <definedName name="IQ_TOTAL_TRADING_LIAB_DOM_FFIEC" hidden="1">"c12944"</definedName>
    <definedName name="IQ_TOTAL_TRADING_LIAB_FOREIGN_FFIEC" hidden="1">"c15296"</definedName>
    <definedName name="IQ_TOTAL_TRANS_ACCTS_FFIEC" hidden="1">"c15321"</definedName>
    <definedName name="IQ_TOTAL_UNITS" hidden="1">"c8773"</definedName>
    <definedName name="IQ_TOTAL_UNUSED_COMMITMENTS_FDIC" hidden="1">"c6536"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CM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SUPPLE" hidden="1">"c13817"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DJ_SIZE_FINAL" hidden="1">"c16265"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NKY_ADVISOR_CLIENT_NAME_LIST" hidden="1">"c17671"</definedName>
    <definedName name="IQ_TR_BNKY_ADVISOR_FEE_LIST" hidden="1">"c17673"</definedName>
    <definedName name="IQ_TR_BNKY_ADVISOR_FEE_PCT_LIST" hidden="1">"c17674"</definedName>
    <definedName name="IQ_TR_BNKY_ADVISOR_ID_LIST" hidden="1">"c17670"</definedName>
    <definedName name="IQ_TR_BNKY_ADVISOR_NAME_LIST" hidden="1">"c17669"</definedName>
    <definedName name="IQ_TR_BNKY_ADVISOR_ROLE_LIST" hidden="1">"c17672"</definedName>
    <definedName name="IQ_TR_BNKY_AFFILIATES_JOINT_ADMIN" hidden="1">"c17636"</definedName>
    <definedName name="IQ_TR_BNKY_AFFILIATES_JOINT_ADMIN_LIST" hidden="1">"c17656"</definedName>
    <definedName name="IQ_TR_BNKY_CASE_CONSOLIDATED_DATE" hidden="1">"c17632"</definedName>
    <definedName name="IQ_TR_BNKY_CASE_FILING_FEE_PAID" hidden="1">"c17634"</definedName>
    <definedName name="IQ_TR_BNKY_CASE_NUMBER" hidden="1">"c17627"</definedName>
    <definedName name="IQ_TR_BNKY_CASH_IN_HAND" hidden="1">"c17651"</definedName>
    <definedName name="IQ_TR_BNKY_COURT" hidden="1">"c17626"</definedName>
    <definedName name="IQ_TR_BNKY_CREDITOR_CLAIM_AMT_LIST" hidden="1">"c17660"</definedName>
    <definedName name="IQ_TR_BNKY_CREDITOR_ID_LIST" hidden="1">"c17658"</definedName>
    <definedName name="IQ_TR_BNKY_CREDITOR_NAME_LIST" hidden="1">"c17657"</definedName>
    <definedName name="IQ_TR_BNKY_CREDITOR_REL_LIST" hidden="1">"c17659"</definedName>
    <definedName name="IQ_TR_BNKY_CREDITORS" hidden="1">"c17635"</definedName>
    <definedName name="IQ_TR_BNKY_DIP_COMMITMENT_FEE_LIST" hidden="1">"c17667"</definedName>
    <definedName name="IQ_TR_BNKY_DIP_FIN_PROVIDED" hidden="1">"c17640"</definedName>
    <definedName name="IQ_TR_BNKY_DIP_FIN_PROVIDED_LIST" hidden="1">"c17665"</definedName>
    <definedName name="IQ_TR_BNKY_DIP_FIN_PROVIDERS" hidden="1">"c17639"</definedName>
    <definedName name="IQ_TR_BNKY_DIP_FIN_SECURITY_TYPES" hidden="1">"c17642"</definedName>
    <definedName name="IQ_TR_BNKY_DIP_FIN_UTILIZED" hidden="1">"c17641"</definedName>
    <definedName name="IQ_TR_BNKY_DIP_ID_LIST" hidden="1">"c17662"</definedName>
    <definedName name="IQ_TR_BNKY_DIP_LEAD_PROVIDER_LIST" hidden="1">"c17668"</definedName>
    <definedName name="IQ_TR_BNKY_DIP_LIBOR_SPREAD_LIST" hidden="1">"c17666"</definedName>
    <definedName name="IQ_TR_BNKY_DIP_MATURITY_DATE_LIST" hidden="1">"c17664"</definedName>
    <definedName name="IQ_TR_BNKY_DIP_NAME_LIST" hidden="1">"c17661"</definedName>
    <definedName name="IQ_TR_BNKY_DIP_SECURITY_LIST" hidden="1">"c17663"</definedName>
    <definedName name="IQ_TR_BNKY_DISMISSED_DATE" hidden="1">"c17633"</definedName>
    <definedName name="IQ_TR_BNKY_EMERGED_REORG_DATE" hidden="1">"c17630"</definedName>
    <definedName name="IQ_TR_BNKY_FEATURES_LIST" hidden="1">"c17655"</definedName>
    <definedName name="IQ_TR_BNKY_FILING_TYPE" hidden="1">"c17624"</definedName>
    <definedName name="IQ_TR_BNKY_INVOL_PETITION_FILED_DATE" hidden="1">"c17629"</definedName>
    <definedName name="IQ_TR_BNKY_ISSUANCE_DEBT" hidden="1">"c17648"</definedName>
    <definedName name="IQ_TR_BNKY_ISSUANCE_EQUITY" hidden="1">"c17649"</definedName>
    <definedName name="IQ_TR_BNKY_LEAD_ASSETS_INIT_FILING" hidden="1">"c17645"</definedName>
    <definedName name="IQ_TR_BNKY_LEAD_ASSETS_INIT_FILING_LIST" hidden="1">"c17678"</definedName>
    <definedName name="IQ_TR_BNKY_LEAD_DEBTOR" hidden="1">"c17643"</definedName>
    <definedName name="IQ_TR_BNKY_LEAD_DEBTOR_LIST" hidden="1">"c17675"</definedName>
    <definedName name="IQ_TR_BNKY_LEAD_LIAB_INIT_FILING" hidden="1">"c17644"</definedName>
    <definedName name="IQ_TR_BNKY_LEAD_LIAB_INIT_FILING_LIST" hidden="1">"c17677"</definedName>
    <definedName name="IQ_TR_BNKY_LEAD_REV_ANN" hidden="1">"c17646"</definedName>
    <definedName name="IQ_TR_BNKY_LEAD_REV_ANN_LIST" hidden="1">"c17679"</definedName>
    <definedName name="IQ_TR_BNKY_LEAD_STOCK_PRICE_ANN" hidden="1">"c17647"</definedName>
    <definedName name="IQ_TR_BNKY_LEAD_STOCK_PRICE_ANN_LIST" hidden="1">"c17680"</definedName>
    <definedName name="IQ_TR_BNKY_LEAD_TYPE_LIST" hidden="1">"c17676"</definedName>
    <definedName name="IQ_TR_BNKY_LIQUIDATED_DATE" hidden="1">"c17631"</definedName>
    <definedName name="IQ_TR_BNKY_PRE_BANKRUPTCY_SITUATION" hidden="1">"c17637"</definedName>
    <definedName name="IQ_TR_BNKY_RESOLUTION" hidden="1">"c17638"</definedName>
    <definedName name="IQ_TR_BNKY_RESTRUCTURING_WEBSITE" hidden="1">"c17625"</definedName>
    <definedName name="IQ_TR_BNKY_SALE_ASSETS" hidden="1">"c17650"</definedName>
    <definedName name="IQ_TR_BNKY_TOTAL_CLAIMANTS_AMT" hidden="1">"c17653"</definedName>
    <definedName name="IQ_TR_BNKY_TOTAL_FIN_PROVIDED" hidden="1">"c17652"</definedName>
    <definedName name="IQ_TR_BNKY_TOTAL_PAYMENTS_CLAIMANTS" hidden="1">"c17654"</definedName>
    <definedName name="IQ_TR_BNKY_VOL_PETITION_FILED_DATE" hidden="1">"c17628"</definedName>
    <definedName name="IQ_TR_BUY_ACC_ADVISORS" hidden="1">"c3048"</definedName>
    <definedName name="IQ_TR_BUY_ADVISORS" hidden="1">"c2387"</definedName>
    <definedName name="IQ_TR_BUY_FIN_ADVISORS" hidden="1">"c3045"</definedName>
    <definedName name="IQ_TR_BUY_LEG_ADVISORS" hidden="1">"c2387"</definedName>
    <definedName name="IQ_TR_BUY_TERM_FEE" hidden="1">"c13638"</definedName>
    <definedName name="IQ_TR_BUY_TERM_FEE_PCT" hidden="1">"c13639"</definedName>
    <definedName name="IQ_TR_BUYBACK_TO_CLOSE" hidden="1">"c13919"</definedName>
    <definedName name="IQ_TR_BUYBACK_TO_HIGH" hidden="1">"c13917"</definedName>
    <definedName name="IQ_TR_BUYBACK_TO_LOW" hidden="1">"c13918"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CONSID_PCT_FINAL" hidden="1">"c16268"</definedName>
    <definedName name="IQ_TR_CASH_ST_INVEST" hidden="1">"c3025"</definedName>
    <definedName name="IQ_TR_CASH_ST_INVEST_FINAL" hidden="1">"c16266"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ISSUE" hidden="1">"c17571"</definedName>
    <definedName name="IQ_TR_CO_NET_PROCEEDS_PCT" hidden="1">"c2270"</definedName>
    <definedName name="IQ_TR_COMMENTS" hidden="1">"c2383"</definedName>
    <definedName name="IQ_TR_CURRENCY" hidden="1">"c3016"</definedName>
    <definedName name="IQ_TR_DEAL_APPROACH" hidden="1">"c12706"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BT_CONSID_PCT_FINAL" hidden="1">"c16274"</definedName>
    <definedName name="IQ_TR_DEF_AGRMT_DATE" hidden="1">"c2285"</definedName>
    <definedName name="IQ_TR_DISCLOSED_FEES_EXP" hidden="1">"c2288"</definedName>
    <definedName name="IQ_TR_EARNOUTS" hidden="1">"c3023"</definedName>
    <definedName name="IQ_TR_EARNOUTS_FINAL" hidden="1">"c16262"</definedName>
    <definedName name="IQ_TR_EX_OVER_SHARES_ISSUE" hidden="1">"c17566"</definedName>
    <definedName name="IQ_TR_EXPIRED_DATE" hidden="1">"c2412"</definedName>
    <definedName name="IQ_TR_GROSS_OFFERING_AMT" hidden="1">"c2262"</definedName>
    <definedName name="IQ_TR_GROSS_PROCEEDS_ISSUE" hidden="1">"c17568"</definedName>
    <definedName name="IQ_TR_HYBRID_CONSID_PCT" hidden="1">"c2300"</definedName>
    <definedName name="IQ_TR_HYBRID_CONSID_PCT_FINAL" hidden="1">"c16276"</definedName>
    <definedName name="IQ_TR_IMPLIED_EQ" hidden="1">"c3018"</definedName>
    <definedName name="IQ_TR_IMPLIED_EQ_BV" hidden="1">"c3019"</definedName>
    <definedName name="IQ_TR_IMPLIED_EQ_BV_FINAL" hidden="1">"c16255"</definedName>
    <definedName name="IQ_TR_IMPLIED_EQ_FINAL" hidden="1">"c16253"</definedName>
    <definedName name="IQ_TR_IMPLIED_EQ_NI_LTM" hidden="1">"c3020"</definedName>
    <definedName name="IQ_TR_IMPLIED_EQ_NI_LTM_FINAL" hidden="1">"c16254"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_FINAL" hidden="1">"c16252"</definedName>
    <definedName name="IQ_TR_IMPLIED_EV_EBIT_FWD" hidden="1">"c17878"</definedName>
    <definedName name="IQ_TR_IMPLIED_EV_EBITDA" hidden="1">"c2303"</definedName>
    <definedName name="IQ_TR_IMPLIED_EV_EBITDA_FINAL" hidden="1">"c16251"</definedName>
    <definedName name="IQ_TR_IMPLIED_EV_EBITDA_FWD" hidden="1">"c17877"</definedName>
    <definedName name="IQ_TR_IMPLIED_EV_FINAL" hidden="1">"c16249"</definedName>
    <definedName name="IQ_TR_IMPLIED_EV_NI_LTM" hidden="1">"c2307"</definedName>
    <definedName name="IQ_TR_IMPLIED_EV_REV" hidden="1">"c2304"</definedName>
    <definedName name="IQ_TR_IMPLIED_EV_REV_FINAL" hidden="1">"c16250"</definedName>
    <definedName name="IQ_TR_IMPLIED_EV_REV_FWD" hidden="1">"c17876"</definedName>
    <definedName name="IQ_TR_INIT_FILED_DATE" hidden="1">"c3495"</definedName>
    <definedName name="IQ_TR_IPO_TRANSACTION_ID" hidden="1">"c17554"</definedName>
    <definedName name="IQ_TR_LEAD_UNDERWRITERS" hidden="1">"c17576"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ASSUM_LIABILITIES_FINAL" hidden="1">"c16264"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FFER_PER_SHARE_FINAL" hidden="1">"c16257"</definedName>
    <definedName name="IQ_TR_OFFER_PRICE_BV_FWD" hidden="1">"c17880"</definedName>
    <definedName name="IQ_TR_OFFER_PRICE_EARNINGS_FWD" hidden="1">"c17879"</definedName>
    <definedName name="IQ_TR_OPTIONS_CONSID_PCT" hidden="1">"c2311"</definedName>
    <definedName name="IQ_TR_OPTIONS_CONSID_PCT_FINAL" hidden="1">"c16278"</definedName>
    <definedName name="IQ_TR_OTHER_CONSID" hidden="1">"c3022"</definedName>
    <definedName name="IQ_TR_OTHER_CONSID_FINAL" hidden="1">"c16261"</definedName>
    <definedName name="IQ_TR_PCT_SOUGHT" hidden="1">"c2309"</definedName>
    <definedName name="IQ_TR_PCT_SOUGHT_ACQUIRED_FINAL" hidden="1">"c16256"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_1D_PRICE" hidden="1">"c19180"</definedName>
    <definedName name="IQ_TR_PO_1D_RETURN" hidden="1">"c19179"</definedName>
    <definedName name="IQ_TR_PO_1M_PRICE" hidden="1">"c19184"</definedName>
    <definedName name="IQ_TR_PO_1M_RETURN" hidden="1">"c19183"</definedName>
    <definedName name="IQ_TR_PO_1W_PRICE" hidden="1">"c19182"</definedName>
    <definedName name="IQ_TR_PO_1W_RETURN" hidden="1">"c19181"</definedName>
    <definedName name="IQ_TR_PO_1Y_PRICE" hidden="1">"c19190"</definedName>
    <definedName name="IQ_TR_PO_1Y_RETURN" hidden="1">"c19189"</definedName>
    <definedName name="IQ_TR_PO_3M_PRICE" hidden="1">"c19186"</definedName>
    <definedName name="IQ_TR_PO_3M_RETURN" hidden="1">"c19185"</definedName>
    <definedName name="IQ_TR_PO_6M_PRICE" hidden="1">"c19188"</definedName>
    <definedName name="IQ_TR_PO_6M_RETURN" hidden="1">"c19187"</definedName>
    <definedName name="IQ_TR_PO_DISCOUNT_SHARE" hidden="1">"c17562"</definedName>
    <definedName name="IQ_TR_PO_ISSUE_CURRENCY" hidden="1">"c17557"</definedName>
    <definedName name="IQ_TR_PO_NET_PROCEEDS_SHARE" hidden="1">"c17563"</definedName>
    <definedName name="IQ_TR_PO_PRICE_RANGE" hidden="1">"c17559"</definedName>
    <definedName name="IQ_TR_PO_PRICE_RANGE_HIGH" hidden="1">"c17560"</definedName>
    <definedName name="IQ_TR_PO_PRICE_RANGE_LOW" hidden="1">"c17561"</definedName>
    <definedName name="IQ_TR_PO_PRICE_SHARE" hidden="1">"c17558"</definedName>
    <definedName name="IQ_TR_PO_SHARES_OFFERED" hidden="1">"c17564"</definedName>
    <definedName name="IQ_TR_PO_SHARES_OFFERED_EX_OVER" hidden="1">"c17567"</definedName>
    <definedName name="IQ_TR_PO_TICKER" hidden="1">"c17556"</definedName>
    <definedName name="IQ_TR_PO_TRADING_ITEM_CIQID" hidden="1">"c17555"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F_CONSID_PCT_FINAL" hidden="1">"c16272"</definedName>
    <definedName name="IQ_TR_PREMONEY_VAL" hidden="1">"c2287"</definedName>
    <definedName name="IQ_TR_PRINTING_FEES" hidden="1">"c2276"</definedName>
    <definedName name="IQ_TR_PROCEEDS_EX_OVER_ISSUE" hidden="1">"c17574"</definedName>
    <definedName name="IQ_TR_PT_MONETARY_VALUES" hidden="1">"c2415"</definedName>
    <definedName name="IQ_TR_PT_NUMBER_SHARES" hidden="1">"c2417"</definedName>
    <definedName name="IQ_TR_PT_OFFER_PER_SHARE" hidden="1">"c18872"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G_OVER_SHARES_ISSUE" hidden="1">"c17565"</definedName>
    <definedName name="IQ_TR_REG_OVER_VALUE_ISSUE" hidden="1">"c17572"</definedName>
    <definedName name="IQ_TR_REGISTRATION_FEES" hidden="1">"c2274"</definedName>
    <definedName name="IQ_TR_REMAIN_MONETARY_VALUE" hidden="1">"c18099"</definedName>
    <definedName name="IQ_TR_REMAIN_NUMBER_SHARES" hidden="1">"c18101"</definedName>
    <definedName name="IQ_TR_REMAIN_PCT_SHARES" hidden="1">"c18100"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ADVISORS" hidden="1">"c2388"</definedName>
    <definedName name="IQ_TR_SELL_FIN_ADVISORS" hidden="1">"c3046"</definedName>
    <definedName name="IQ_TR_SELL_LEG_ADVISORS" hidden="1">"c2388"</definedName>
    <definedName name="IQ_TR_SELL_TERM_FEE" hidden="1">"c2298"</definedName>
    <definedName name="IQ_TR_SELL_TERM_FEE_PCT" hidden="1">"c2297"</definedName>
    <definedName name="IQ_TR_SELLER_DILUT_EPS_EXCL" hidden="1">"c17703"</definedName>
    <definedName name="IQ_TR_SELLER_EARNING_CO" hidden="1">"c17702"</definedName>
    <definedName name="IQ_TR_SELLER_EBIT" hidden="1">"c17700"</definedName>
    <definedName name="IQ_TR_SELLER_EBITDA" hidden="1">"c17699"</definedName>
    <definedName name="IQ_TR_SELLER_ID" hidden="1">"c2406"</definedName>
    <definedName name="IQ_TR_SELLER_MIN_INT" hidden="1">"c17707"</definedName>
    <definedName name="IQ_TR_SELLER_NET_DEBT" hidden="1">"c17709"</definedName>
    <definedName name="IQ_TR_SELLER_NI" hidden="1">"c17701"</definedName>
    <definedName name="IQ_TR_SELLER_TOTAL_ASSETS" hidden="1">"c17710"</definedName>
    <definedName name="IQ_TR_SELLER_TOTAL_CASH_ST_INVEST" hidden="1">"c17708"</definedName>
    <definedName name="IQ_TR_SELLER_TOTAL_COMMON_EQ" hidden="1">"c17704"</definedName>
    <definedName name="IQ_TR_SELLER_TOTAL_DEBT" hidden="1">"c17705"</definedName>
    <definedName name="IQ_TR_SELLER_TOTAL_PREF" hidden="1">"c17706"</definedName>
    <definedName name="IQ_TR_SELLER_TOTAL_REV" hidden="1">"c17698"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ISSUE" hidden="1">"c17570"</definedName>
    <definedName name="IQ_TR_SH_NET_PROCEEDS_PCT" hidden="1">"c2271"</definedName>
    <definedName name="IQ_TR_SHELF_CLOSED_DATE" hidden="1">"c18031"</definedName>
    <definedName name="IQ_TR_SHELF_EXP_EXPIRATION_DATE" hidden="1">"c18102"</definedName>
    <definedName name="IQ_TR_SHELF_EXPIRED_DATE" hidden="1">"c18103"</definedName>
    <definedName name="IQ_TR_SPECIAL_COMMITTEE" hidden="1">"c2362"</definedName>
    <definedName name="IQ_TR_SPIN_DEF_AGRMT_DATE" hidden="1">"c17696"</definedName>
    <definedName name="IQ_TR_SPIN_DIST_RATIO_FINAL" hidden="1">"c17734"</definedName>
    <definedName name="IQ_TR_SPIN_DIST_RATIO_OFFER" hidden="1">"c17728"</definedName>
    <definedName name="IQ_TR_SPIN_DIST_SHARES_FINAL" hidden="1">"c17852"</definedName>
    <definedName name="IQ_TR_SPIN_DIST_SHARES_OFFER" hidden="1">"c17729"</definedName>
    <definedName name="IQ_TR_SPIN_DIST_VALUE" hidden="1">"c17711"</definedName>
    <definedName name="IQ_TR_SPIN_DIST_VALUE_FINAL" hidden="1">"c17722"</definedName>
    <definedName name="IQ_TR_SPIN_DIST_VALUE_OFFER" hidden="1">"c17712"</definedName>
    <definedName name="IQ_TR_SPIN_IMPLIED_EQ_BV_OFFER" hidden="1">"c17721"</definedName>
    <definedName name="IQ_TR_SPIN_IMPLIED_EQ_NI_LTM_OFFER" hidden="1">"c17720"</definedName>
    <definedName name="IQ_TR_SPIN_IMPLIED_EQ_OFFER" hidden="1">"c17714"</definedName>
    <definedName name="IQ_TR_SPIN_IMPLIED_EV_EBIT_OFFER" hidden="1">"c17719"</definedName>
    <definedName name="IQ_TR_SPIN_IMPLIED_EV_EBITDA_OFFER" hidden="1">"c17718"</definedName>
    <definedName name="IQ_TR_SPIN_IMPLIED_EV_OFFER" hidden="1">"c17716"</definedName>
    <definedName name="IQ_TR_SPIN_IMPLIED_EV_REV_OFFER" hidden="1">"c17717"</definedName>
    <definedName name="IQ_TR_SPIN_NET_ASSUM_LIAB_OFFER" hidden="1">"c17715"</definedName>
    <definedName name="IQ_TR_SPIN_PARENT_SHARES_OUT_FINAL" hidden="1">"c17733"</definedName>
    <definedName name="IQ_TR_SPIN_PARENT_SHARES_OUT_OFFER" hidden="1">"c17727"</definedName>
    <definedName name="IQ_TR_SPIN_PCT_DIST_FINAL" hidden="1">"c17723"</definedName>
    <definedName name="IQ_TR_SPIN_PCT_DIST_OFFER" hidden="1">"c17713"</definedName>
    <definedName name="IQ_TR_SPIN_RECORD_DATE" hidden="1">"c17697"</definedName>
    <definedName name="IQ_TR_SPIN_SECURITY_CIQID" hidden="1">"c17724"</definedName>
    <definedName name="IQ_TR_SPIN_SECURITY_PCT_DIST_FINAL" hidden="1">"c17732"</definedName>
    <definedName name="IQ_TR_SPIN_SECURITY_PCT_DIST_OFFER" hidden="1">"c17726"</definedName>
    <definedName name="IQ_TR_SPIN_SECURITY_PRICE_FINAL" hidden="1">"c17731"</definedName>
    <definedName name="IQ_TR_SPIN_SECURITY_PRICE_OFFER" hidden="1">"c17725"</definedName>
    <definedName name="IQ_TR_SPIN_VALUE_CONSID_FINAL" hidden="1">"c17853"</definedName>
    <definedName name="IQ_TR_SPIN_VALUE_CONSID_OFFER" hidden="1">"c17730"</definedName>
    <definedName name="IQ_TR_STATUS" hidden="1">"c2399"</definedName>
    <definedName name="IQ_TR_STOCK_CONSID_PCT" hidden="1">"c2312"</definedName>
    <definedName name="IQ_TR_STOCK_CONSID_PCT_FINAL" hidden="1">"c16270"</definedName>
    <definedName name="IQ_TR_SUBDEBT" hidden="1">"c2370"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ADVISORS" hidden="1">"c2386"</definedName>
    <definedName name="IQ_TR_TARGET_BV_SHARE_EST" hidden="1">"c17885"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_EST" hidden="1">"c17883"</definedName>
    <definedName name="IQ_TR_TARGET_EBITDA" hidden="1">"c2334"</definedName>
    <definedName name="IQ_TR_TARGET_EBITDA_EQ_INC" hidden="1">"c3608"</definedName>
    <definedName name="IQ_TR_TARGET_EBITDA_EST" hidden="1">"c17882"</definedName>
    <definedName name="IQ_TR_TARGET_EPS_EST" hidden="1">"c17884"</definedName>
    <definedName name="IQ_TR_TARGET_EST_CURRENCY" hidden="1">"c17886"</definedName>
    <definedName name="IQ_TR_TARGET_EST_DATE" hidden="1">"c17887"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REVENUE_EST" hidden="1">"c17881"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ASH_FINAL" hidden="1">"c16267"</definedName>
    <definedName name="IQ_TR_TOTAL_CONSID_SH" hidden="1">"c2316"</definedName>
    <definedName name="IQ_TR_TOTAL_CONSID_SH_FINAL" hidden="1">"c16260"</definedName>
    <definedName name="IQ_TR_TOTAL_DEBT" hidden="1">"c2317"</definedName>
    <definedName name="IQ_TR_TOTAL_DEBT_FINAL" hidden="1">"c16273"</definedName>
    <definedName name="IQ_TR_TOTAL_EX_OVER_VALUE_ISSUE" hidden="1">"c17573"</definedName>
    <definedName name="IQ_TR_TOTAL_GROSS_TV" hidden="1">"c2318"</definedName>
    <definedName name="IQ_TR_TOTAL_GROSS_TV_FINAL" hidden="1">"c16259"</definedName>
    <definedName name="IQ_TR_TOTAL_HYBRID" hidden="1">"c2319"</definedName>
    <definedName name="IQ_TR_TOTAL_HYBRID_FINAL" hidden="1">"c16275"</definedName>
    <definedName name="IQ_TR_TOTAL_LEGAL_FEES" hidden="1">"c2272"</definedName>
    <definedName name="IQ_TR_TOTAL_NET_TV" hidden="1">"c2320"</definedName>
    <definedName name="IQ_TR_TOTAL_NET_TV_FINAL" hidden="1">"c16258"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OPTIONS_BUYER_FINAL" hidden="1">"c16277"</definedName>
    <definedName name="IQ_TR_TOTAL_OPTIONS_FINAL" hidden="1">"c16263"</definedName>
    <definedName name="IQ_TR_TOTAL_PREFERRED" hidden="1">"c2321"</definedName>
    <definedName name="IQ_TR_TOTAL_PREFERRED_FINAL" hidden="1">"c16271"</definedName>
    <definedName name="IQ_TR_TOTAL_REG_AMT" hidden="1">"c2261"</definedName>
    <definedName name="IQ_TR_TOTAL_STOCK" hidden="1">"c2323"</definedName>
    <definedName name="IQ_TR_TOTAL_STOCK_FINAL" hidden="1">"c16269"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UNDERWRITER_COMP_ISSUE" hidden="1">"c17569"</definedName>
    <definedName name="IQ_TR_UNDERWRITERS_OTHER" hidden="1">"c17577"</definedName>
    <definedName name="IQ_TR_WITHDRAWN_DTE" hidden="1">"c2266"</definedName>
    <definedName name="IQ_TRADE_AR" localSheetId="7" hidden="1">"c1345"</definedName>
    <definedName name="IQ_TRADE_AR" localSheetId="8" hidden="1">"c1345"</definedName>
    <definedName name="IQ_TRADE_AR" hidden="1">"c1345"</definedName>
    <definedName name="IQ_TRADE_BALANCE_USD" hidden="1">"c21103"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AIR_VALUE_TOT_FFIEC" hidden="1">"c13210"</definedName>
    <definedName name="IQ_TRADING_ASSETS_FDIC" hidden="1">"c6328"</definedName>
    <definedName name="IQ_TRADING_ASSETS_FFIEC" hidden="1">"c12812"</definedName>
    <definedName name="IQ_TRADING_ASSETS_FOREIGN_FFIEC" hidden="1">"c12940"</definedName>
    <definedName name="IQ_TRADING_ASSETS_LEVEL_1_FFIEC" hidden="1">"c13218"</definedName>
    <definedName name="IQ_TRADING_ASSETS_LEVEL_2_FFIEC" hidden="1">"c13226"</definedName>
    <definedName name="IQ_TRADING_ASSETS_LEVEL_3_FFIEC" hidden="1">"c13234"</definedName>
    <definedName name="IQ_TRADING_ASSETS_QUARTERLY_AVG_FFIEC" hidden="1">"c13085"</definedName>
    <definedName name="IQ_TRADING_CURRENCY" hidden="1">"c2212"</definedName>
    <definedName name="IQ_TRADING_ITEM_CIQID" hidden="1">"c8949"</definedName>
    <definedName name="IQ_TRADING_LIABILITIES_FAIR_VALUE_TOT_FFIEC" hidden="1">"c13214"</definedName>
    <definedName name="IQ_TRADING_LIABILITIES_FDIC" hidden="1">"c6344"</definedName>
    <definedName name="IQ_TRADING_LIABILITIES_FFIEC" hidden="1">"c12858"</definedName>
    <definedName name="IQ_TRADING_LIABILITIES_LEVEL_1_FFIEC" hidden="1">"c13222"</definedName>
    <definedName name="IQ_TRADING_LIABILITIES_LEVEL_2_FFIEC" hidden="1">"c13230"</definedName>
    <definedName name="IQ_TRADING_LIABILITIES_LEVEL_3_FFIEC" hidden="1">"c13238"</definedName>
    <definedName name="IQ_TRADING_REV_FOREIGN_FFIEC" hidden="1">"c15377"</definedName>
    <definedName name="IQ_TRADING_REV_OPERATING_INC_FFIEC" hidden="1">"c13385"</definedName>
    <definedName name="IQ_TRADING_REVENUE_FFIEC" hidden="1">"c13004"</definedName>
    <definedName name="IQ_TRADING_SEC_AMOUNTS_NETTED_THRIFT" hidden="1">"c25486"</definedName>
    <definedName name="IQ_TRADING_SEC_LEVEL_1_THRIFT" hidden="1">"c25482"</definedName>
    <definedName name="IQ_TRADING_SEC_LEVEL_2_THRIFT" hidden="1">"c25483"</definedName>
    <definedName name="IQ_TRADING_SEC_LEVEL_3_THRIFT" hidden="1">"c25484"</definedName>
    <definedName name="IQ_TRADING_SEC_TOTAL_AFTER_NETTING_THRIFT" hidden="1">"c25487"</definedName>
    <definedName name="IQ_TRADING_SEC_TOTAL_BEFORE_NETTING_THRIFT" hidden="1">"c25485"</definedName>
    <definedName name="IQ_TRANS_ACCTS_TOT_DEPOSITS_FFIEC" hidden="1">"c13904"</definedName>
    <definedName name="IQ_TRANS_IMPACT_FIN_48_CURRENT_ASSETS" hidden="1">"c15727"</definedName>
    <definedName name="IQ_TRANS_IMPACT_FIN_48_CURRENT_LIABILITIES" hidden="1">"c15729"</definedName>
    <definedName name="IQ_TRANS_IMPACT_FIN_48_LT_ASSETS" hidden="1">"c15728"</definedName>
    <definedName name="IQ_TRANS_IMPACT_FIN_48_NON_CURRENT_LIABILITIES" hidden="1">"c15730"</definedName>
    <definedName name="IQ_TRANS_IMPACT_FIN_48_RETAINED_EARNINGS" hidden="1">"c15731"</definedName>
    <definedName name="IQ_TRANSACTION_ACCOUNTS_FDIC" hidden="1">"c6544"</definedName>
    <definedName name="IQ_TRANSACTION_ACCOUNTS_INC_DEMAND_DEPOSITS_THRIFT" hidden="1">"c24998"</definedName>
    <definedName name="IQ_TRANSACTION_ACCOUNTS_TOTAL_DEPOSITS_THRIFT" hidden="1">"c25777"</definedName>
    <definedName name="IQ_TRANSACTION_LIST" hidden="1">"c15126"</definedName>
    <definedName name="IQ_TRANSACTION_LIST_BANKRUPTCY" hidden="1">"c15131"</definedName>
    <definedName name="IQ_TRANSACTION_LIST_BUYBACK" hidden="1">"c15129"</definedName>
    <definedName name="IQ_TRANSACTION_LIST_INCL_SUBS" hidden="1">"c15132"</definedName>
    <definedName name="IQ_TRANSACTION_LIST_INCL_SUBS_BANKRUPTCY" hidden="1">"c15137"</definedName>
    <definedName name="IQ_TRANSACTION_LIST_INCL_SUBS_BUYBACK" hidden="1">"c15135"</definedName>
    <definedName name="IQ_TRANSACTION_LIST_INCL_SUBS_MA" hidden="1">"c15133"</definedName>
    <definedName name="IQ_TRANSACTION_LIST_INCL_SUBS_PO" hidden="1">"c15136"</definedName>
    <definedName name="IQ_TRANSACTION_LIST_INCL_SUBS_PP" hidden="1">"c15134"</definedName>
    <definedName name="IQ_TRANSACTION_LIST_MA" hidden="1">"c15127"</definedName>
    <definedName name="IQ_TRANSACTION_LIST_PO" hidden="1">"c15130"</definedName>
    <definedName name="IQ_TRANSACTION_LIST_PP" hidden="1">"c15128"</definedName>
    <definedName name="IQ_TRANSFER_AGENT_REGISTRAR_PAYING_AGENT_OTHER_CORPORATE_AGENCY_NUMBER_ISSUES_THRIFT" hidden="1">"c25444"</definedName>
    <definedName name="IQ_TRANSFERS_GVA_THRIFT" hidden="1">"c25093"</definedName>
    <definedName name="IQ_TRANSFERS_SVA_THRIFT" hidden="1">"c25101"</definedName>
    <definedName name="IQ_TREASURER_ID" hidden="1">"c15214"</definedName>
    <definedName name="IQ_TREASURER_NAME" hidden="1">"c15213"</definedName>
    <definedName name="IQ_TREASURY" hidden="1">"c1311"</definedName>
    <definedName name="IQ_TREASURY_INVEST_SECURITIES_FFIEC" hidden="1">"c13457"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CM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localSheetId="7" hidden="1">"c1438"</definedName>
    <definedName name="IQ_TREASURY_STOCK" localSheetId="8" hidden="1">"c1438"</definedName>
    <definedName name="IQ_TREASURY_STOCK" hidden="1">"c1438"</definedName>
    <definedName name="IQ_TREASURY_STOCK_TRANSACTIONS_FDIC" hidden="1">"c6501"</definedName>
    <definedName name="IQ_TREASURY_STOCK_TRANSACTIONS_FFIEC" hidden="1">"c15352"</definedName>
    <definedName name="IQ_TROUBLED_DEBT_RESTRUCTURED_DUE_30_89_THRIFT" hidden="1">"c25256"</definedName>
    <definedName name="IQ_TROUBLED_DEBT_RESTRUCTURED_DUE_90_THRIFT" hidden="1">"c25277"</definedName>
    <definedName name="IQ_TROUBLED_DEBT_RESTRUCTURED_NON_ACCRUAL_THRIFT" hidden="1">"c25298"</definedName>
    <definedName name="IQ_TROUBLED_DEBT_RESTRUCTURED_THRIFT" hidden="1">"c25230"</definedName>
    <definedName name="IQ_TRUCK_ASSEMBLIES" hidden="1">"c7021"</definedName>
    <definedName name="IQ_TRUCK_ASSEMBLIES_APR" hidden="1">"c7681"</definedName>
    <definedName name="IQ_TRUCK_ASSEMBLIES_APR_FC" hidden="1">"c8561"</definedName>
    <definedName name="IQ_TRUCK_ASSEMBLIES_FC" hidden="1">"c7901"</definedName>
    <definedName name="IQ_TRUCK_ASSEMBLIES_POP" hidden="1">"c7241"</definedName>
    <definedName name="IQ_TRUCK_ASSEMBLIES_POP_FC" hidden="1">"c8121"</definedName>
    <definedName name="IQ_TRUCK_ASSEMBLIES_YOY" hidden="1">"c7461"</definedName>
    <definedName name="IQ_TRUCK_ASSEMBLIES_YOY_FC" hidden="1">"c8341"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RUSTEE" hidden="1">"c8959"</definedName>
    <definedName name="IQ_TWELVE_MONTHS_FIXED_AND_FLOATING_FDIC" hidden="1">"c6420"</definedName>
    <definedName name="IQ_TWELVE_MONTHS_MORTGAGE_PASS_THROUGHS_FDIC" hidden="1">"c6412"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AMORTIZED_YIELD_ADJUSTMENTS_THRIFT" hidden="1">"c24898"</definedName>
    <definedName name="IQ_UNASSIGNED_RESERVES_COAL" hidden="1">"c15914"</definedName>
    <definedName name="IQ_UNASSIGNED_RESERVES_TO_TOTAL_RESERVES_COAL" hidden="1">"c15956"</definedName>
    <definedName name="IQ_UNCLASSIFIED_PROPERTY_OPERATING_EXPENSE" hidden="1">"c16034"</definedName>
    <definedName name="IQ_UNCLASSIFIED_RENTAL_INCOME" hidden="1">"c16021"</definedName>
    <definedName name="IQ_UNCONSOL_BEDS" hidden="1">"c8783"</definedName>
    <definedName name="IQ_UNCONSOL_NOI" hidden="1">"c16067"</definedName>
    <definedName name="IQ_UNCONSOL_PROP" hidden="1">"c8762"</definedName>
    <definedName name="IQ_UNCONSOL_ROOMS" hidden="1">"c8787"</definedName>
    <definedName name="IQ_UNCONSOL_SQ_FT" hidden="1">"c8778"</definedName>
    <definedName name="IQ_UNCONSOL_UNITS" hidden="1">"c8770"</definedName>
    <definedName name="IQ_UNDERGROUND_RESERVES_COAL" hidden="1">"c15922"</definedName>
    <definedName name="IQ_UNDERGROUND_RESERVES_TO_TOTAL_RESERVES_COAL" hidden="1">"c15960"</definedName>
    <definedName name="IQ_UNDERWRITER" hidden="1">"c8958"</definedName>
    <definedName name="IQ_UNDERWRITING_PROFIT" hidden="1">"c9975"</definedName>
    <definedName name="IQ_UNDIVIDED_PROFITS_FDIC" hidden="1">"c6352"</definedName>
    <definedName name="IQ_UNDRAWN_CP" hidden="1">"c2518"</definedName>
    <definedName name="IQ_UNDRAWN_CREDIT" hidden="1">"c3032"</definedName>
    <definedName name="IQ_UNDRAWN_FED_FUNDS" hidden="1">"c2524"</definedName>
    <definedName name="IQ_UNDRAWN_FHLB" hidden="1">"c2520"</definedName>
    <definedName name="IQ_UNDRAWN_LC" hidden="1">"c2521"</definedName>
    <definedName name="IQ_UNDRAWN_RC" hidden="1">"c2517"</definedName>
    <definedName name="IQ_UNDRAWN_SECURITIZED" hidden="1">"c17900"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CM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EARNED_INCOME_LL_REC_DOM_FFIEC" hidden="1">"c12916"</definedName>
    <definedName name="IQ_UNEARNED_INCOME_LL_REC_FFIEC" hidden="1">"c12897"</definedName>
    <definedName name="IQ_UNEARNED_PREMIUMS_PC_FFIEC" hidden="1">"c13101"</definedName>
    <definedName name="IQ_UNEMPLOY_RATE" hidden="1">"c21104"</definedName>
    <definedName name="IQ_UNEMPLOYMENT_RATE" hidden="1">"c7023"</definedName>
    <definedName name="IQ_UNEMPLOYMENT_RATE_FC" hidden="1">"c7903"</definedName>
    <definedName name="IQ_UNEMPLOYMENT_RATE_POP" hidden="1">"c7243"</definedName>
    <definedName name="IQ_UNEMPLOYMENT_RATE_POP_FC" hidden="1">"c8123"</definedName>
    <definedName name="IQ_UNEMPLOYMENT_RATE_YOY" hidden="1">"c7463"</definedName>
    <definedName name="IQ_UNEMPLOYMENT_RATE_YOY_FC" hidden="1">"c8343"</definedName>
    <definedName name="IQ_UNINSURED_DEPOSITS_THRIFT" hidden="1">"c24995"</definedName>
    <definedName name="IQ_UNIT_LABOR_COST_INDEX" hidden="1">"c7025"</definedName>
    <definedName name="IQ_UNIT_LABOR_COST_INDEX_APR" hidden="1">"c7685"</definedName>
    <definedName name="IQ_UNIT_LABOR_COST_INDEX_APR_FC" hidden="1">"c8565"</definedName>
    <definedName name="IQ_UNIT_LABOR_COST_INDEX_FC" hidden="1">"c7905"</definedName>
    <definedName name="IQ_UNIT_LABOR_COST_INDEX_PCT_CHANGE" hidden="1">"c7024"</definedName>
    <definedName name="IQ_UNIT_LABOR_COST_INDEX_PCT_CHANGE_FC" hidden="1">"c7904"</definedName>
    <definedName name="IQ_UNIT_LABOR_COST_INDEX_PCT_CHANGE_POP" hidden="1">"c7244"</definedName>
    <definedName name="IQ_UNIT_LABOR_COST_INDEX_PCT_CHANGE_POP_FC" hidden="1">"c8124"</definedName>
    <definedName name="IQ_UNIT_LABOR_COST_INDEX_PCT_CHANGE_YOY" hidden="1">"c7464"</definedName>
    <definedName name="IQ_UNIT_LABOR_COST_INDEX_PCT_CHANGE_YOY_FC" hidden="1">"c8344"</definedName>
    <definedName name="IQ_UNIT_LABOR_COST_INDEX_POP" hidden="1">"c7245"</definedName>
    <definedName name="IQ_UNIT_LABOR_COST_INDEX_POP_FC" hidden="1">"c8125"</definedName>
    <definedName name="IQ_UNIT_LABOR_COST_INDEX_YOY" hidden="1">"c7465"</definedName>
    <definedName name="IQ_UNIT_LABOR_COST_INDEX_YOY_FC" hidden="1">"c8345"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REALIZED_GAINS_AFS_EQUITY_SEC_T2_THRIFT" hidden="1">"c25040"</definedName>
    <definedName name="IQ_UNRECOG_TAX_BENEFIT_BEG_PERIOD" hidden="1">"c15732"</definedName>
    <definedName name="IQ_UNRECOG_TAX_BENEFIT_END_PERIOD" hidden="1">"c15740"</definedName>
    <definedName name="IQ_UNRECOG_TAX_BENEFIT_OTHER_ADJ" hidden="1">"c15739"</definedName>
    <definedName name="IQ_UNSECURED_COMMERCIAL_LOANS_THRIFT" hidden="1">"c24855"</definedName>
    <definedName name="IQ_UNSECURED_COMMITMENTS_COMMERCIAL_RE_UNUSED_FFIEC" hidden="1">"c13246"</definedName>
    <definedName name="IQ_UNSECURED_DEBT" hidden="1">"c2548"</definedName>
    <definedName name="IQ_UNSECURED_DEBT_PCT" hidden="1">"c2549"</definedName>
    <definedName name="IQ_UNSECURED_FEDERAL_FUNDS_PURCHASED_THRIFT" hidden="1">"c25572"</definedName>
    <definedName name="IQ_UNSECURED_OTHER_BORROWINGS_WITH_REMAINING_MATURITY_ONE_YEAR_LESS_THRIFT" hidden="1">"c25575"</definedName>
    <definedName name="IQ_UNSECURED_OTHER_BORROWINGS_WITH_REMAINING_MATURITY_OVER_ONE_YEAR_THRIFT" hidden="1">"c25576"</definedName>
    <definedName name="IQ_UNUSED_LINES_CREDIT_COMM_LINES_THRIFT" hidden="1">"c25607"</definedName>
    <definedName name="IQ_UNUSED_LINES_CREDIT_REVOLVING_OPEN_END_LOANS_1_4_DWELLING_UNITS_THRIFT" hidden="1">"c25606"</definedName>
    <definedName name="IQ_UNUSED_LINES_CREDIT_THRIFT" hidden="1">"c25605"</definedName>
    <definedName name="IQ_UNUSED_LOAN_COMMITMENTS_FDIC" hidden="1">"c6368"</definedName>
    <definedName name="IQ_UNUSUAL_EXP" hidden="1">"c1456"</definedName>
    <definedName name="IQ_UPGRADE_REBUILD_CABLE_INVEST" hidden="1">"c15804"</definedName>
    <definedName name="IQ_US_ADDRESS_LEASE_FIN_REC_FFIEC" hidden="1">"c13624"</definedName>
    <definedName name="IQ_US_AGENCY_OBLIG_FFIEC" hidden="1">"c12779"</definedName>
    <definedName name="IQ_US_AGENCY_OBLIG_HTM_AMORT_COST_FFIEC" hidden="1">"c20438"</definedName>
    <definedName name="IQ_US_AGENCY_OBLIG_HTM_FAIR_VAL_FFIEC" hidden="1">"c20473"</definedName>
    <definedName name="IQ_US_AGENCY_OBLIG_TRADING_DOM_FFIEC" hidden="1">"c12919"</definedName>
    <definedName name="IQ_US_AGENCY_OBLIG_TRADING_FFIEC" hidden="1">"c12814"</definedName>
    <definedName name="IQ_US_AGENCY_OBLIGATIONS_AFS_AMORT_COST_FFIEC" hidden="1">"c20490"</definedName>
    <definedName name="IQ_US_AGENCY_OBLIGATIONS_AFS_FAIR_VAL_FFIEC" hidden="1">"c20455"</definedName>
    <definedName name="IQ_US_AGENCY_OBLIGATIONS_AVAIL_SALE_FFIEC" hidden="1">"c12793"</definedName>
    <definedName name="IQ_US_AGENCY_SPONSORED_ENTERPRISE_SEC_THRIFT" hidden="1">"c24822"</definedName>
    <definedName name="IQ_US_BANKS_OTHER_INST_FOREIGN_DEP_FFIEC" hidden="1">"c15343"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" hidden="1">"c2930"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" hidden="1">"c2932"</definedName>
    <definedName name="IQ_US_GAAP_CL_ADJ" hidden="1">"c2927"</definedName>
    <definedName name="IQ_US_GAAP_COST_REV" hidden="1">"c2965"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" hidden="1">"c2973"</definedName>
    <definedName name="IQ_US_GAAP_DO_ADJ" hidden="1">"c2959"</definedName>
    <definedName name="IQ_US_GAAP_EXTRA_ACC_ITEMS" hidden="1">"c2972"</definedName>
    <definedName name="IQ_US_GAAP_EXTRA_ACC_ITEMS_ADJ" hidden="1">"c2958"</definedName>
    <definedName name="IQ_US_GAAP_INC_TAX" hidden="1">"c2975"</definedName>
    <definedName name="IQ_US_GAAP_INC_TAX_ADJ" hidden="1">"c2961"</definedName>
    <definedName name="IQ_US_GAAP_INTEREST_EXP" hidden="1">"c2971"</definedName>
    <definedName name="IQ_US_GAAP_INTEREST_EXP_ADJ" hidden="1">"c2957"</definedName>
    <definedName name="IQ_US_GAAP_LIAB_LT" hidden="1">"c2933"</definedName>
    <definedName name="IQ_US_GAAP_LIAB_LT_ADJ" hidden="1">"c2928"</definedName>
    <definedName name="IQ_US_GAAP_LIAB_TOTAL_LIAB" hidden="1">"c2933"</definedName>
    <definedName name="IQ_US_GAAP_MINORITY_INTEREST_IS" hidden="1">"c2974"</definedName>
    <definedName name="IQ_US_GAAP_MINORITY_INTEREST_IS_ADJ" hidden="1">"c2960"</definedName>
    <definedName name="IQ_US_GAAP_NCA" hidden="1">"c2931"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EXCL" hidden="1">"c2977"</definedName>
    <definedName name="IQ_US_GAAP_NI_AVAIL_INCL" hidden="1">"c2978"</definedName>
    <definedName name="IQ_US_GAAP_OTHER_ADJ_ADJ" hidden="1">"c2962"</definedName>
    <definedName name="IQ_US_GAAP_OTHER_NON_OPER" hidden="1">"c2969"</definedName>
    <definedName name="IQ_US_GAAP_OTHER_NON_OPER_ADJ" hidden="1">"c2955"</definedName>
    <definedName name="IQ_US_GAAP_OTHER_OPER" hidden="1">"c2968"</definedName>
    <definedName name="IQ_US_GAAP_OTHER_OPER_ADJ" hidden="1">"c2954"</definedName>
    <definedName name="IQ_US_GAAP_RD" hidden="1">"c2967"</definedName>
    <definedName name="IQ_US_GAAP_RD_ADJ" hidden="1">"c2953"</definedName>
    <definedName name="IQ_US_GAAP_SGA" hidden="1">"c2966"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" hidden="1">"c2964"</definedName>
    <definedName name="IQ_US_GAAP_TOTAL_REV_ADJ" hidden="1">"c2950"</definedName>
    <definedName name="IQ_US_GAAP_TOTAL_UNUSUAL" hidden="1">"c2970"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GOVT_AGENCY_SPONSORED_ENTERPRISE_SEC_INV_SEC_THRIFT" hidden="1">"c25671"</definedName>
    <definedName name="IQ_US_GOVT_NON_TRANS_ACCTS_FFIEC" hidden="1">"c15323"</definedName>
    <definedName name="IQ_US_GOVT_STATE_POLI_SUBD_IN_US_FOREIGN_DEP_FFIEC" hidden="1">"c15346"</definedName>
    <definedName name="IQ_US_GOVT_TRANS_ACCTS_FFIEC" hidden="1">"c15315"</definedName>
    <definedName name="IQ_US_GUARANTEED_PORTION_LL_EXCL_REBOOKED_GNMA_EXCL_LOSS_SHARING_DUE_30_89_FFIEC" hidden="1">"c27069"</definedName>
    <definedName name="IQ_US_GUARANTEED_PORTION_LL_EXCL_REBOOKED_GNMA_EXCL_LOSS_SHARING_DUE_90_FFIEC" hidden="1">"c27109"</definedName>
    <definedName name="IQ_US_GUARANTEED_PORTION_LL_EXCL_REBOOKED_GNMA_EXCL_LOSS_SHARING_NON_ACCRUAL_FFIEC" hidden="1">"c27149"</definedName>
    <definedName name="IQ_US_INST_DUE_30_89_FFIEC" hidden="1">"c13268"</definedName>
    <definedName name="IQ_US_INST_DUE_90_FFIEC" hidden="1">"c13294"</definedName>
    <definedName name="IQ_US_INST_NON_ACCRUAL_FFIEC" hidden="1">"c13320"</definedName>
    <definedName name="IQ_US_SPONSORED_AGENCY_OBLIG_AFS_AMORT_COST_FFIEC" hidden="1">"c20491"</definedName>
    <definedName name="IQ_US_SPONSORED_AGENCY_OBLIG_AFS_FAIR_VAL_FFIEC" hidden="1">"c20456"</definedName>
    <definedName name="IQ_US_SPONSORED_AGENCY_OBLIG_AVAIL_SALE_FFIEC" hidden="1">"c12794"</definedName>
    <definedName name="IQ_US_SPONSORED_AGENCY_OBLIG_FFIEC" hidden="1">"c12780"</definedName>
    <definedName name="IQ_US_SPONSORED_AGENCY_OBLIG_HTM_AMORT_COST_FFIEC" hidden="1">"c20439"</definedName>
    <definedName name="IQ_US_SPONSORED_AGENCY_OBLIG_HTM_FAIR_VAL_FFIEC" hidden="1">"c20474"</definedName>
    <definedName name="IQ_US_TREASURY_SEC_AFS_AMORT_COST_FFIEC" hidden="1">"c20489"</definedName>
    <definedName name="IQ_US_TREASURY_SEC_AFS_FAIR_VAL_FFIEC" hidden="1">"c20454"</definedName>
    <definedName name="IQ_US_TREASURY_SEC_AVAIL_SALE_FFIEC" hidden="1">"c12792"</definedName>
    <definedName name="IQ_US_TREASURY_SEC_TRADING_DOM_FFIEC" hidden="1">"c12918"</definedName>
    <definedName name="IQ_US_TREASURY_SEC_TRADING_FFIEC" hidden="1">"c12813"</definedName>
    <definedName name="IQ_US_TREASURY_SECURITIES_FDIC" hidden="1">"c6298"</definedName>
    <definedName name="IQ_US_TREASURY_SECURITIES_FFIEC" hidden="1">"c12778"</definedName>
    <definedName name="IQ_US_TREASURY_SECURITIES_HTM_AMORT_COST_FFIEC" hidden="1">"c20437"</definedName>
    <definedName name="IQ_US_TREASURY_SECURITIES_HTM_FAIR_VAL_FFIEC" hidden="1">"c20472"</definedName>
    <definedName name="IQ_US_TREASURY_US_GOVT_AGENCY_OBLIGATIONS_ALL_OTHER_ACCOUNTS_THRIFT" hidden="1">"c25425"</definedName>
    <definedName name="IQ_US_TREASURY_US_GOVT_AGENCY_OBLIGATIONS_EMPLOYEE_BENEFIT_RETIREMENT_RELATED_ACCOUNTS_THRIFT" hidden="1">"c25409"</definedName>
    <definedName name="IQ_US_TREASURY_US_GOVT_AGENCY_OBLIGATIONS_PERSONAL_TRUST_AGENCY_INV_MANAGEMENT_ACCOUNTS_THRIFT" hidden="1">"c25393"</definedName>
    <definedName name="IQ_UST_SEC_GOVT_AGENCY_CORP_QUARTERLY_AVG_FFIEC" hidden="1">"c15469"</definedName>
    <definedName name="IQ_UST_SEC_GOVT_AGENCY_EXCL_MBS_QUARTERLY_AVG_FFIEC" hidden="1">"c27060"</definedName>
    <definedName name="IQ_UST_SECURITIES_GOVT_AGENCY_QUARTERLY_AVG_FFIEC" hidden="1">"c15468"</definedName>
    <definedName name="IQ_UTIL_PPE_NET" hidden="1">"c1620"</definedName>
    <definedName name="IQ_UTIL_REV" hidden="1">"c2091"</definedName>
    <definedName name="IQ_UTILITY_EXPENSE" hidden="1">"c16031"</definedName>
    <definedName name="IQ_UV_PENSION_LIAB" hidden="1">"c1332"</definedName>
    <definedName name="IQ_VALUATION_ALLOWANCES_FDIC" hidden="1">"c6400"</definedName>
    <definedName name="IQ_VALUE_CUSTOMER_ASSETS" hidden="1">"c20433"</definedName>
    <definedName name="IQ_VALUE_TRADED" hidden="1">"c1519"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ARIABLE_RATE_DEBT" hidden="1">"c17895"</definedName>
    <definedName name="IQ_VARIABLE_RATE_DEBT_PCT" hidden="1">"c18009"</definedName>
    <definedName name="IQ_VARIABLE_RATE_PREFERREDS_INT_SENSITIVITY_FFIEC" hidden="1">"c13096"</definedName>
    <definedName name="IQ_VC_REV_OPERATING_INC_FFIEC" hidden="1">"c13388"</definedName>
    <definedName name="IQ_VC_REVENUE_FDIC" hidden="1">"c6667"</definedName>
    <definedName name="IQ_VEHICLE_ASSEMBLIES_LIGHT" hidden="1">"c6905"</definedName>
    <definedName name="IQ_VEHICLE_ASSEMBLIES_LIGHT_APR" hidden="1">"c7565"</definedName>
    <definedName name="IQ_VEHICLE_ASSEMBLIES_LIGHT_APR_FC" hidden="1">"c8445"</definedName>
    <definedName name="IQ_VEHICLE_ASSEMBLIES_LIGHT_FC" hidden="1">"c7785"</definedName>
    <definedName name="IQ_VEHICLE_ASSEMBLIES_LIGHT_NEW" hidden="1">"c6925"</definedName>
    <definedName name="IQ_VEHICLE_ASSEMBLIES_LIGHT_NEW_APR" hidden="1">"c7585"</definedName>
    <definedName name="IQ_VEHICLE_ASSEMBLIES_LIGHT_NEW_APR_FC" hidden="1">"c8465"</definedName>
    <definedName name="IQ_VEHICLE_ASSEMBLIES_LIGHT_NEW_FC" hidden="1">"c7805"</definedName>
    <definedName name="IQ_VEHICLE_ASSEMBLIES_LIGHT_NEW_POP" hidden="1">"c7145"</definedName>
    <definedName name="IQ_VEHICLE_ASSEMBLIES_LIGHT_NEW_POP_FC" hidden="1">"c8025"</definedName>
    <definedName name="IQ_VEHICLE_ASSEMBLIES_LIGHT_NEW_YOY" hidden="1">"c7365"</definedName>
    <definedName name="IQ_VEHICLE_ASSEMBLIES_LIGHT_NEW_YOY_FC" hidden="1">"c8245"</definedName>
    <definedName name="IQ_VEHICLE_ASSEMBLIES_LIGHT_POP" hidden="1">"c7125"</definedName>
    <definedName name="IQ_VEHICLE_ASSEMBLIES_LIGHT_POP_FC" hidden="1">"c8005"</definedName>
    <definedName name="IQ_VEHICLE_ASSEMBLIES_LIGHT_YOY" hidden="1">"c7345"</definedName>
    <definedName name="IQ_VEHICLE_ASSEMBLIES_LIGHT_YOY_FC" hidden="1">"c8225"</definedName>
    <definedName name="IQ_VEHICLE_ASSEMBLIES_TOTAL" hidden="1">"c7020"</definedName>
    <definedName name="IQ_VEHICLE_ASSEMBLIES_TOTAL_APR" hidden="1">"c7680"</definedName>
    <definedName name="IQ_VEHICLE_ASSEMBLIES_TOTAL_APR_FC" hidden="1">"c8560"</definedName>
    <definedName name="IQ_VEHICLE_ASSEMBLIES_TOTAL_FC" hidden="1">"c7900"</definedName>
    <definedName name="IQ_VEHICLE_ASSEMBLIES_TOTAL_POP" hidden="1">"c7240"</definedName>
    <definedName name="IQ_VEHICLE_ASSEMBLIES_TOTAL_POP_FC" hidden="1">"c8120"</definedName>
    <definedName name="IQ_VEHICLE_ASSEMBLIES_TOTAL_YOY" hidden="1">"c7460"</definedName>
    <definedName name="IQ_VEHICLE_ASSEMBLIES_TOTAL_YOY_FC" hidden="1">"c8340"</definedName>
    <definedName name="IQ_VEHICLE_LOANS" hidden="1">"c15249"</definedName>
    <definedName name="IQ_VENTURE_CAPITAL_REVENUE_FFIEC" hidden="1">"c13010"</definedName>
    <definedName name="IQ_VIF_AFTER_COST_CAPITAL_COVERED" hidden="1">"c9966"</definedName>
    <definedName name="IQ_VIF_AFTER_COST_CAPITAL_GROUP" hidden="1">"c9952"</definedName>
    <definedName name="IQ_VIF_BEFORE_COST_CAPITAL_COVERED" hidden="1">"c9964"</definedName>
    <definedName name="IQ_VIF_BEFORE_COST_CAPITAL_GROUP" hidden="1">"c9950"</definedName>
    <definedName name="IQ_VOICE_SUB_BASIC_SUB" hidden="1">"c16203"</definedName>
    <definedName name="IQ_VOICE_SUB_TOTAL_HOMES_PASSED" hidden="1">"c15770"</definedName>
    <definedName name="IQ_VOICE_SUB_VIDEO_SUB" hidden="1">"c15789"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VWAP" hidden="1">"c13514"</definedName>
    <definedName name="IQ_WAC_CURRENT" hidden="1">"c8961"</definedName>
    <definedName name="IQ_WAC_ORIGINAL" hidden="1">"c8953"</definedName>
    <definedName name="IQ_WAM_CURRENT" hidden="1">"c8962"</definedName>
    <definedName name="IQ_WAM_ORIGINAL" hidden="1">"c8952"</definedName>
    <definedName name="IQ_WAR_TOTAL_AGG_INT_VALUE_EXER" hidden="1">"c18465"</definedName>
    <definedName name="IQ_WAR_TOTAL_AGG_INT_VALUE_OUT" hidden="1">"c18461"</definedName>
    <definedName name="IQ_WAR_TOTAL_NUM_EXER" hidden="1">"c18463"</definedName>
    <definedName name="IQ_WAR_TOTAL_NUM_OUT" hidden="1">"c18459"</definedName>
    <definedName name="IQ_WAR_TOTAL_PLAN_NAME" hidden="1">"c18469"</definedName>
    <definedName name="IQ_WAR_TOTAL_PRICE_HIGH" hidden="1">"c18456"</definedName>
    <definedName name="IQ_WAR_TOTAL_PRICE_LOW" hidden="1">"c18455"</definedName>
    <definedName name="IQ_WAR_TOTAL_PRICE_RANGE" hidden="1">"c18457"</definedName>
    <definedName name="IQ_WAR_TOTAL_WTD_LIFE_EXER" hidden="1">"c18464"</definedName>
    <definedName name="IQ_WAR_TOTAL_WTD_LIFE_OUT" hidden="1">"c18460"</definedName>
    <definedName name="IQ_WAR_TOTAL_WTD_PRICE_EXER" hidden="1">"c18462"</definedName>
    <definedName name="IQ_WAR_TOTAL_WTD_PRICE_OUT" hidden="1">"c18458"</definedName>
    <definedName name="IQ_WAR_TRANCHE_AGG_INT_VALUE_EXER" hidden="1">"c18454"</definedName>
    <definedName name="IQ_WAR_TRANCHE_AGG_INT_VALUE_OUT" hidden="1">"c18450"</definedName>
    <definedName name="IQ_WAR_TRANCHE_CLASS_NAME" hidden="1">"c18443"</definedName>
    <definedName name="IQ_WAR_TRANCHE_NUM_EXER" hidden="1">"c18452"</definedName>
    <definedName name="IQ_WAR_TRANCHE_NUM_OUT" hidden="1">"c18448"</definedName>
    <definedName name="IQ_WAR_TRANCHE_PLAN_NAME" hidden="1">"c18442"</definedName>
    <definedName name="IQ_WAR_TRANCHE_PLAN_RANK" hidden="1">"c18468"</definedName>
    <definedName name="IQ_WAR_TRANCHE_PRICE_HIGH" hidden="1">"c18445"</definedName>
    <definedName name="IQ_WAR_TRANCHE_PRICE_LOW" hidden="1">"c18444"</definedName>
    <definedName name="IQ_WAR_TRANCHE_PRICE_RANGE" hidden="1">"c18446"</definedName>
    <definedName name="IQ_WAR_TRANCHE_WTD_LIFE_EXER" hidden="1">"c18453"</definedName>
    <definedName name="IQ_WAR_TRANCHE_WTD_LIFE_OUT" hidden="1">"c18449"</definedName>
    <definedName name="IQ_WAR_TRANCHE_WTD_PRICE_EXER" hidden="1">"c18451"</definedName>
    <definedName name="IQ_WAR_TRANCHE_WTD_PRICE_OUT" hidden="1">"c18447"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HOLESALE_INV_ALCOHOL" hidden="1">"c21105"</definedName>
    <definedName name="IQ_WHOLESALE_INV_APPAREL" hidden="1">"c21106"</definedName>
    <definedName name="IQ_WHOLESALE_INV_CHEMICALS" hidden="1">"c21107"</definedName>
    <definedName name="IQ_WHOLESALE_INV_COMPUTER" hidden="1">"c21108"</definedName>
    <definedName name="IQ_WHOLESALE_INV_DRUGS" hidden="1">"c21109"</definedName>
    <definedName name="IQ_WHOLESALE_INV_DUR" hidden="1">"c21110"</definedName>
    <definedName name="IQ_WHOLESALE_INV_DUR_MISC" hidden="1">"c21111"</definedName>
    <definedName name="IQ_WHOLESALE_INV_ELECTRIC" hidden="1">"c21112"</definedName>
    <definedName name="IQ_WHOLESALE_INV_EQUIP" hidden="1">"c21113"</definedName>
    <definedName name="IQ_WHOLESALE_INV_FARM_PRODUCT" hidden="1">"c21114"</definedName>
    <definedName name="IQ_WHOLESALE_INV_FURNITURE" hidden="1">"c21115"</definedName>
    <definedName name="IQ_WHOLESALE_INV_GROCERIES" hidden="1">"c21116"</definedName>
    <definedName name="IQ_WHOLESALE_INV_HARDWARE" hidden="1">"c21117"</definedName>
    <definedName name="IQ_WHOLESALE_INV_LUMBER" hidden="1">"c21118"</definedName>
    <definedName name="IQ_WHOLESALE_INV_MACHINERY" hidden="1">"c21119"</definedName>
    <definedName name="IQ_WHOLESALE_INV_METALS_MINERALS" hidden="1">"c21120"</definedName>
    <definedName name="IQ_WHOLESALE_INV_MOTOR_VEHICLE" hidden="1">"c21121"</definedName>
    <definedName name="IQ_WHOLESALE_INV_NONDUR" hidden="1">"c21122"</definedName>
    <definedName name="IQ_WHOLESALE_INV_NONDUR_MISC" hidden="1">"c21123"</definedName>
    <definedName name="IQ_WHOLESALE_INV_PAPER" hidden="1">"c21124"</definedName>
    <definedName name="IQ_WHOLESALE_INV_PETROLEUM" hidden="1">"c21125"</definedName>
    <definedName name="IQ_WHOLESALE_INV_SALES_RATIO_ALCOHOL" hidden="1">"c21126"</definedName>
    <definedName name="IQ_WHOLESALE_INV_SALES_RATIO_APPAREL" hidden="1">"c21127"</definedName>
    <definedName name="IQ_WHOLESALE_INV_SALES_RATIO_CHEMICALS" hidden="1">"c21128"</definedName>
    <definedName name="IQ_WHOLESALE_INV_SALES_RATIO_COMPUTER" hidden="1">"c21129"</definedName>
    <definedName name="IQ_WHOLESALE_INV_SALES_RATIO_DRUGS" hidden="1">"c21130"</definedName>
    <definedName name="IQ_WHOLESALE_INV_SALES_RATIO_DUR" hidden="1">"c21131"</definedName>
    <definedName name="IQ_WHOLESALE_INV_SALES_RATIO_DUR_MISC" hidden="1">"c21132"</definedName>
    <definedName name="IQ_WHOLESALE_INV_SALES_RATIO_ELECTRIC" hidden="1">"c21133"</definedName>
    <definedName name="IQ_WHOLESALE_INV_SALES_RATIO_EQUIP" hidden="1">"c21134"</definedName>
    <definedName name="IQ_WHOLESALE_INV_SALES_RATIO_FARM_PRODUCT" hidden="1">"c21135"</definedName>
    <definedName name="IQ_WHOLESALE_INV_SALES_RATIO_FURNITURE" hidden="1">"c21136"</definedName>
    <definedName name="IQ_WHOLESALE_INV_SALES_RATIO_GROCERIES" hidden="1">"c21137"</definedName>
    <definedName name="IQ_WHOLESALE_INV_SALES_RATIO_HARDWARE" hidden="1">"c21138"</definedName>
    <definedName name="IQ_WHOLESALE_INV_SALES_RATIO_LUMBER" hidden="1">"c21139"</definedName>
    <definedName name="IQ_WHOLESALE_INV_SALES_RATIO_MACHINERY" hidden="1">"c21140"</definedName>
    <definedName name="IQ_WHOLESALE_INV_SALES_RATIO_METALS_MINERALS" hidden="1">"c21141"</definedName>
    <definedName name="IQ_WHOLESALE_INV_SALES_RATIO_MOTOR_VEHICLE" hidden="1">"c21142"</definedName>
    <definedName name="IQ_WHOLESALE_INV_SALES_RATIO_NONDUR" hidden="1">"c21143"</definedName>
    <definedName name="IQ_WHOLESALE_INV_SALES_RATIO_NONDUR_MISC" hidden="1">"c21144"</definedName>
    <definedName name="IQ_WHOLESALE_INV_SALES_RATIO_PAPER" hidden="1">"c21145"</definedName>
    <definedName name="IQ_WHOLESALE_INV_SALES_RATIO_PETROLEUM" hidden="1">"c21146"</definedName>
    <definedName name="IQ_WHOLESALE_INV_SALES_RATIO_TOTAL" hidden="1">"c21147"</definedName>
    <definedName name="IQ_WHOLESALE_INV_TOTAL" hidden="1">"c21148"</definedName>
    <definedName name="IQ_WHOLESALE_INVENTORIES" hidden="1">"c7027"</definedName>
    <definedName name="IQ_WHOLESALE_INVENTORIES_APR" hidden="1">"c7687"</definedName>
    <definedName name="IQ_WHOLESALE_INVENTORIES_APR_FC" hidden="1">"c8567"</definedName>
    <definedName name="IQ_WHOLESALE_INVENTORIES_FC" hidden="1">"c7907"</definedName>
    <definedName name="IQ_WHOLESALE_INVENTORIES_POP" hidden="1">"c7247"</definedName>
    <definedName name="IQ_WHOLESALE_INVENTORIES_POP_FC" hidden="1">"c8127"</definedName>
    <definedName name="IQ_WHOLESALE_INVENTORIES_YOY" hidden="1">"c7467"</definedName>
    <definedName name="IQ_WHOLESALE_INVENTORIES_YOY_FC" hidden="1">"c8347"</definedName>
    <definedName name="IQ_WHOLESALE_IS_RATIO" hidden="1">"c7026"</definedName>
    <definedName name="IQ_WHOLESALE_IS_RATIO_FC" hidden="1">"c7906"</definedName>
    <definedName name="IQ_WHOLESALE_IS_RATIO_POP" hidden="1">"c7246"</definedName>
    <definedName name="IQ_WHOLESALE_IS_RATIO_POP_FC" hidden="1">"c8126"</definedName>
    <definedName name="IQ_WHOLESALE_IS_RATIO_YOY" hidden="1">"c7466"</definedName>
    <definedName name="IQ_WHOLESALE_IS_RATIO_YOY_FC" hidden="1">"c8346"</definedName>
    <definedName name="IQ_WHOLESALE_SALES" hidden="1">"c7028"</definedName>
    <definedName name="IQ_WHOLESALE_SALES_ALCOHOL" hidden="1">"c21149"</definedName>
    <definedName name="IQ_WHOLESALE_SALES_APPAREL" hidden="1">"c21150"</definedName>
    <definedName name="IQ_WHOLESALE_SALES_APR" hidden="1">"c7688"</definedName>
    <definedName name="IQ_WHOLESALE_SALES_APR_FC" hidden="1">"c8568"</definedName>
    <definedName name="IQ_WHOLESALE_SALES_CHEMICALS" hidden="1">"c21151"</definedName>
    <definedName name="IQ_WHOLESALE_SALES_COMPUTER" hidden="1">"c21152"</definedName>
    <definedName name="IQ_WHOLESALE_SALES_DRUGS" hidden="1">"c21153"</definedName>
    <definedName name="IQ_WHOLESALE_SALES_DUR" hidden="1">"c21154"</definedName>
    <definedName name="IQ_WHOLESALE_SALES_DUR_MISC" hidden="1">"c21155"</definedName>
    <definedName name="IQ_WHOLESALE_SALES_ELECTRIC" hidden="1">"c21156"</definedName>
    <definedName name="IQ_WHOLESALE_SALES_EQUIP" hidden="1">"c21157"</definedName>
    <definedName name="IQ_WHOLESALE_SALES_FARM_PRODUCT" hidden="1">"c21158"</definedName>
    <definedName name="IQ_WHOLESALE_SALES_FC" hidden="1">"c7908"</definedName>
    <definedName name="IQ_WHOLESALE_SALES_FURNITURE" hidden="1">"c21159"</definedName>
    <definedName name="IQ_WHOLESALE_SALES_GROCERIES" hidden="1">"c21160"</definedName>
    <definedName name="IQ_WHOLESALE_SALES_HARDWARE" hidden="1">"c21161"</definedName>
    <definedName name="IQ_WHOLESALE_SALES_INDEX" hidden="1">"c7029"</definedName>
    <definedName name="IQ_WHOLESALE_SALES_INDEX_APR" hidden="1">"c7689"</definedName>
    <definedName name="IQ_WHOLESALE_SALES_INDEX_APR_FC" hidden="1">"c8569"</definedName>
    <definedName name="IQ_WHOLESALE_SALES_INDEX_FC" hidden="1">"c7909"</definedName>
    <definedName name="IQ_WHOLESALE_SALES_INDEX_POP" hidden="1">"c7249"</definedName>
    <definedName name="IQ_WHOLESALE_SALES_INDEX_POP_FC" hidden="1">"c8129"</definedName>
    <definedName name="IQ_WHOLESALE_SALES_INDEX_YOY" hidden="1">"c7469"</definedName>
    <definedName name="IQ_WHOLESALE_SALES_INDEX_YOY_FC" hidden="1">"c8349"</definedName>
    <definedName name="IQ_WHOLESALE_SALES_LUMBER" hidden="1">"c21162"</definedName>
    <definedName name="IQ_WHOLESALE_SALES_MACHINERY" hidden="1">"c21163"</definedName>
    <definedName name="IQ_WHOLESALE_SALES_METALS_MINERALS" hidden="1">"c21164"</definedName>
    <definedName name="IQ_WHOLESALE_SALES_MOTOR_VEHICLE" hidden="1">"c21165"</definedName>
    <definedName name="IQ_WHOLESALE_SALES_NONDUR" hidden="1">"c21166"</definedName>
    <definedName name="IQ_WHOLESALE_SALES_NONDUR_MISC" hidden="1">"c21167"</definedName>
    <definedName name="IQ_WHOLESALE_SALES_PAPER" hidden="1">"c21168"</definedName>
    <definedName name="IQ_WHOLESALE_SALES_PETROLEUM" hidden="1">"c21169"</definedName>
    <definedName name="IQ_WHOLESALE_SALES_POP" hidden="1">"c7248"</definedName>
    <definedName name="IQ_WHOLESALE_SALES_POP_FC" hidden="1">"c8128"</definedName>
    <definedName name="IQ_WHOLESALE_SALES_TOTAL" hidden="1">"c21170"</definedName>
    <definedName name="IQ_WHOLESALE_SALES_YOY" hidden="1">"c7468"</definedName>
    <definedName name="IQ_WHOLESALE_SALES_YOY_FC" hidden="1">"c8348"</definedName>
    <definedName name="IQ_WIP_INV" hidden="1">"c1335"</definedName>
    <definedName name="IQ_WIRELESS_PENETRATION" hidden="1">"c15767"</definedName>
    <definedName name="IQ_WORKING_CAP" hidden="1">"c3494"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WTD_AVG_IR_AFTER_FIVE" hidden="1">"c15700"</definedName>
    <definedName name="IQ_WTD_AVG_IR_CY" hidden="1">"c15695"</definedName>
    <definedName name="IQ_WTD_AVG_IR_CY1" hidden="1">"c15696"</definedName>
    <definedName name="IQ_WTD_AVG_IR_CY2" hidden="1">"c15697"</definedName>
    <definedName name="IQ_WTD_AVG_IR_CY3" hidden="1">"c15698"</definedName>
    <definedName name="IQ_WTD_AVG_IR_CY4" hidden="1">"c15699"</definedName>
    <definedName name="IQ_WTD_AVG_IR_LT_DEBT" hidden="1">"c15693"</definedName>
    <definedName name="IQ_WTD_AVG_IR_TOTAL_DEBT" hidden="1">"c15694"</definedName>
    <definedName name="IQ_XDIV_DATE" localSheetId="7" hidden="1">"c2203"</definedName>
    <definedName name="IQ_XDIV_DATE" localSheetId="8" hidden="1">"c2203"</definedName>
    <definedName name="IQ_XDIV_DATE" hidden="1">"c2203"</definedName>
    <definedName name="IQ_XDIV_DATE_LIST" hidden="1">"c17416"</definedName>
    <definedName name="IQ_YEAR_FOUNDED" hidden="1">"c6793"</definedName>
    <definedName name="IQ_YEARHIGH" hidden="1">"c1337"</definedName>
    <definedName name="IQ_YEARHIGH_DATE" hidden="1">"c2250"</definedName>
    <definedName name="IQ_YEARHIGH_RT" hidden="1">"YEARHIGH"</definedName>
    <definedName name="IQ_YEARLOW" hidden="1">"c1338"</definedName>
    <definedName name="IQ_YEARLOW_DATE" hidden="1">"c2251"</definedName>
    <definedName name="IQ_YEARLOW_RT" hidden="1">"YEARLOW"</definedName>
    <definedName name="IQ_YIELD_CURVE_LIST" hidden="1">"c19250"</definedName>
    <definedName name="IQ_YIELD_FED_FUNDS_SOLD_FFIEC" hidden="1">"c13487"</definedName>
    <definedName name="IQ_YIELD_TRADING_ASSETS_FFIEC" hidden="1">"c13488"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_ZERO_COUPON_DEBT" hidden="1">"c17896"</definedName>
    <definedName name="IQ_ZERO_COUPON_DEBT_PCT" hidden="1">"c18010"</definedName>
    <definedName name="IQB_BOOKMARK_COUNT" localSheetId="7" hidden="1">2</definedName>
    <definedName name="IQB_BOOKMARK_COUNT" localSheetId="8" hidden="1">1</definedName>
    <definedName name="IQB_BOOKMARK_COUNT" hidden="1">4</definedName>
    <definedName name="IQB_BOOKMARK_LOCATION_0" localSheetId="8" hidden="1">#REF!</definedName>
    <definedName name="IQB_BOOKMARK_LOCATION_0" hidden="1">#REF!</definedName>
    <definedName name="IQB_BOOKMARK_LOCATION_1" localSheetId="7" hidden="1">#REF!</definedName>
    <definedName name="IQB_BOOKMARK_LOCATION_1" localSheetId="8" hidden="1">#REF!</definedName>
    <definedName name="IQB_BOOKMARK_LOCATION_1" hidden="1">#REF!</definedName>
    <definedName name="IQB_CURRENT_BOOKMARK" hidden="1">0</definedName>
    <definedName name="IQRA10" hidden="1">"$A$11:$A$262"</definedName>
    <definedName name="IQRA38" hidden="1">"$A$39:$A$48"</definedName>
    <definedName name="IQRA4" hidden="1">"$A$5:$A$15"</definedName>
    <definedName name="IQRA5" hidden="1">"$A$6:$A$20"</definedName>
    <definedName name="IQRA6" hidden="1">"$A$7:$A$21"</definedName>
    <definedName name="IQRA60" hidden="1">"$A$61:$A$75"</definedName>
    <definedName name="IQRA7" hidden="1">"$A$8:$A$21"</definedName>
    <definedName name="IQRA8" hidden="1">"$A$9:$A$19"</definedName>
    <definedName name="IQRA92" hidden="1">"$A$93:$A$111"</definedName>
    <definedName name="IQRAA13" hidden="1">"$AA$14:$AA$401"</definedName>
    <definedName name="IQRAA20" hidden="1">"$AA$21:$AA$402"</definedName>
    <definedName name="IQRAC8" hidden="1">"$AC$9:$AC$13"</definedName>
    <definedName name="IQRAD13" hidden="1">"$AD$14:$AD$413"</definedName>
    <definedName name="IQRAD53" hidden="1">"$AD$54:$AD$63"</definedName>
    <definedName name="IQRAD54" hidden="1">"$AE$54:$AG$54"</definedName>
    <definedName name="IQRAD55" hidden="1">"$AE$55:$AH$55"</definedName>
    <definedName name="IQRAD56" hidden="1">"$AE$56:$AO$56"</definedName>
    <definedName name="IQRAD57" hidden="1">"$AE$57:$AH$57"</definedName>
    <definedName name="IQRAE13" hidden="1">"$AE$14:$AE$413"</definedName>
    <definedName name="IQRAE53" hidden="1">"$AE$54:$AE$56"</definedName>
    <definedName name="IQRAF17" hidden="1">"$AF$18:$AF$269"</definedName>
    <definedName name="IQRAF53" hidden="1">"$AF$54:$AF$57"</definedName>
    <definedName name="IQRAG152" hidden="1">"$AG$153:$AG$405"</definedName>
    <definedName name="IQRAG20" hidden="1">"$AG$21:$AG$273"</definedName>
    <definedName name="IQRAG201" hidden="1">"$AG$202:$AG$454"</definedName>
    <definedName name="IQRAG53" hidden="1">"$AG$54:$AG$64"</definedName>
    <definedName name="IQRAH13" hidden="1">"$AH$14:$AH$414"</definedName>
    <definedName name="IQRAH53" hidden="1">"$AH$54:$AH$56"</definedName>
    <definedName name="IQRAI13" hidden="1">"$AI$14:$AI$414"</definedName>
    <definedName name="IQRAJ53" hidden="1">"$AJ$54:$AJ$61"</definedName>
    <definedName name="IQRAK53" hidden="1">"$AK$54:$AK$57"</definedName>
    <definedName name="IQRAL13" hidden="1">"$AL$14:$AL$400"</definedName>
    <definedName name="IQRAL53" hidden="1">"$AL$54:$AL$64"</definedName>
    <definedName name="IQRAM13" hidden="1">"$AM$14:$AM$400"</definedName>
    <definedName name="IQRAM53" hidden="1">"$AM$54:$AM$61"</definedName>
    <definedName name="IQRAN53" hidden="1">"$AN$54:$AN$64"</definedName>
    <definedName name="IQRAP13" hidden="1">"$AP$14:$AP$399"</definedName>
    <definedName name="IQRAP17" hidden="1">"$AP$18"</definedName>
    <definedName name="IQRAP53" hidden="1">"$AP$54:$AP$61"</definedName>
    <definedName name="IQRAP89" hidden="1">"$AP$90:$AP$97"</definedName>
    <definedName name="IQRAQ13" hidden="1">"$AQ$14:$AQ$399"</definedName>
    <definedName name="IQRAQ17" hidden="1">"$AQ$18"</definedName>
    <definedName name="IQRAQ53" hidden="1">"$AQ$54:$AQ$57"</definedName>
    <definedName name="IQRAQ89" hidden="1">"$AQ$90"</definedName>
    <definedName name="IQRAQ92" hidden="1">"$AQ$93:$AQ$100"</definedName>
    <definedName name="IQRAR89" hidden="1">"$AR$90:$AR$97"</definedName>
    <definedName name="IQRAS17" hidden="1">"$AS$18:$AS$25"</definedName>
    <definedName name="IQRAS53" hidden="1">"$AS$54:$AS$61"</definedName>
    <definedName name="IQRAS89" hidden="1">"$AS$90:$AS$93"</definedName>
    <definedName name="IQRAS92" hidden="1">"$AS$93:$AS$100"</definedName>
    <definedName name="IQRAT13" hidden="1">"$AT$14:$AT$390"</definedName>
    <definedName name="IQRAT17" hidden="1">"$AT$18:$AT$25"</definedName>
    <definedName name="IQRAT89" hidden="1">"$AT$90:$AT$97"</definedName>
    <definedName name="IQRAU13" hidden="1">"$AU$14:$AU$390"</definedName>
    <definedName name="IQRAU17" hidden="1">"$AU$18"</definedName>
    <definedName name="IQRAU92" hidden="1">"$AU$93:$AU$100"</definedName>
    <definedName name="IQRAV53" hidden="1">"$AV$54:$AV$118"</definedName>
    <definedName name="IQRAV89" hidden="1">"$AV$90:$AV$97"</definedName>
    <definedName name="IQRAW53" hidden="1">"$AW$54:$AW$66"</definedName>
    <definedName name="IQRAW92" hidden="1">"$AW$93:$AW$100"</definedName>
    <definedName name="IQRAX13" hidden="1">"$AX$14:$AX$399"</definedName>
    <definedName name="IQRAX53" hidden="1">"$AX$54:$AX$182"</definedName>
    <definedName name="IQRAX89" hidden="1">"$AX$90:$AX$97"</definedName>
    <definedName name="IQRAY13" hidden="1">"$AY$14:$AY$399"</definedName>
    <definedName name="IQRAY92" hidden="1">"$AY$93:$AY$100"</definedName>
    <definedName name="IQRAZ17" hidden="1">"$AZ$18:$AZ$25"</definedName>
    <definedName name="IQRB10" hidden="1">"$C$10:$V$10"</definedName>
    <definedName name="IQRB13" hidden="1">"$B$14:$B$477"</definedName>
    <definedName name="IQRB15" hidden="1">"$B$16:$B$17"</definedName>
    <definedName name="IQRB17" hidden="1">"$B$18:$B$22"</definedName>
    <definedName name="IQRB18" hidden="1">"$B$19:$B$23"</definedName>
    <definedName name="IQRB19" hidden="1">"$B$20:$B$24"</definedName>
    <definedName name="IQRB20" hidden="1">"$B$21:$B$25"</definedName>
    <definedName name="IQRB21" hidden="1">"$B$22:$B$26"</definedName>
    <definedName name="IQRB22" hidden="1">"$B$23:$B$27"</definedName>
    <definedName name="IQRB23" hidden="1">"$B$24:$B$28"</definedName>
    <definedName name="IQRB24" hidden="1">"$B$25:$B$29"</definedName>
    <definedName name="IQRB32" hidden="1">"$B$33:$B$37"</definedName>
    <definedName name="IQRB33" hidden="1">"$B$34:$B$38"</definedName>
    <definedName name="IQRB34" hidden="1">"$B$35:$B$39"</definedName>
    <definedName name="IQRB38" hidden="1">"$B$39:$B$48"</definedName>
    <definedName name="IQRB39" hidden="1">"$B$40:$B$61"</definedName>
    <definedName name="IQRB4" hidden="1">"$B$5:$B$272"</definedName>
    <definedName name="IQRB5" hidden="1">"$B$6:$B$20"</definedName>
    <definedName name="IQRB6" hidden="1">"$B$7:$B$21"</definedName>
    <definedName name="IQRB7" hidden="1">"$B$8:$B$487"</definedName>
    <definedName name="IQRB8" hidden="1">"$B$9:$B$19"</definedName>
    <definedName name="IQRBA152" hidden="1">"$BA$153"</definedName>
    <definedName name="IQRBA20" hidden="1">"$BA$21:$BA$22"</definedName>
    <definedName name="IQRBB13" hidden="1">"$BB$14:$BB$406"</definedName>
    <definedName name="IQRBC13" hidden="1">"$BC$14:$BC$406"</definedName>
    <definedName name="IQRBF13" hidden="1">"$BF$14:$BF$408"</definedName>
    <definedName name="IQRBG13" hidden="1">"$BG$14:$BG$408"</definedName>
    <definedName name="IQRBJ13" hidden="1">"$BJ$14:$BJ$409"</definedName>
    <definedName name="IQRBK13" hidden="1">"$BK$14:$BK$409"</definedName>
    <definedName name="IQRBN13" hidden="1">"$BN$14:$BN$409"</definedName>
    <definedName name="IQRBO13" hidden="1">"$BO$14:$BO$409"</definedName>
    <definedName name="IQRBR13" hidden="1">"$BR$14:$BR$405"</definedName>
    <definedName name="IQRBS13" hidden="1">"$BS$14:$BS$405"</definedName>
    <definedName name="IQRC10" hidden="1">"$C$11:$C$764"</definedName>
    <definedName name="IQRC12" hidden="1">"$C$13:$C$64"</definedName>
    <definedName name="IQRC13" hidden="1">"$C$14:$C$477"</definedName>
    <definedName name="IQRC14" hidden="1">"$C$15:$C$18"</definedName>
    <definedName name="IQRC15" hidden="1">"$C$16:$C$20"</definedName>
    <definedName name="IQRC18" hidden="1">"$D$18:$BA$18"</definedName>
    <definedName name="IQRC2" hidden="1">"$C$3:$C$13"</definedName>
    <definedName name="IQRC20" hidden="1">"$C$21:$C$32"</definedName>
    <definedName name="IQRC21" hidden="1">"$C$22:$C$33"</definedName>
    <definedName name="IQRC24" hidden="1">"$C$25:$C$29"</definedName>
    <definedName name="IQRC38" hidden="1">"$C$39:$C$792"</definedName>
    <definedName name="IQRC5" hidden="1">"$C$6:$C$20"</definedName>
    <definedName name="IQRC54" hidden="1">"$C$55:$C$1590"</definedName>
    <definedName name="IQRC6" hidden="1">"$C$7:$C$21"</definedName>
    <definedName name="IQRC7" hidden="1">"$C$8:$C$487"</definedName>
    <definedName name="IQRC8" hidden="1">"$C$9:$C$19"</definedName>
    <definedName name="IQRCocosB88" localSheetId="8" hidden="1">#REF!</definedName>
    <definedName name="IQRCocosB88" hidden="1">#REF!</definedName>
    <definedName name="IQRCotizacinG8" localSheetId="8" hidden="1">#REF!</definedName>
    <definedName name="IQRCotizacinG8" hidden="1">#REF!</definedName>
    <definedName name="IQRD10" hidden="1">"$E$10:$AC$10"</definedName>
    <definedName name="IQRD15" hidden="1">"$D$16:$D$17"</definedName>
    <definedName name="IQRD2" hidden="1">"$D$3"</definedName>
    <definedName name="IQRD39" hidden="1">"$D$40:$D$61"</definedName>
    <definedName name="IQRD6" hidden="1">"$D$7"</definedName>
    <definedName name="IQRD8" hidden="1">"$D$9:$D$19"</definedName>
    <definedName name="IQRE8" hidden="1">"$E$9:$E$19"</definedName>
    <definedName name="IQRExchangeratesC51" hidden="1">#REF!</definedName>
    <definedName name="IQRExchangeratesK51" hidden="1">#REF!</definedName>
    <definedName name="IQRF10" hidden="1">"$G$10"</definedName>
    <definedName name="IQRF11" hidden="1">"$G$11"</definedName>
    <definedName name="IQRF12" hidden="1">"$G$12"</definedName>
    <definedName name="IQRF13" hidden="1">"$F$14:$F$477"</definedName>
    <definedName name="IQRF14" hidden="1">"$G$14"</definedName>
    <definedName name="IQRF15" hidden="1">"$G$15"</definedName>
    <definedName name="IQRF16" hidden="1">"$G$16"</definedName>
    <definedName name="IQRF17" hidden="1">"$G$17"</definedName>
    <definedName name="IQRF18" hidden="1">"$G$18"</definedName>
    <definedName name="IQRF19" hidden="1">"$G$19"</definedName>
    <definedName name="IQRF20" hidden="1">"$F$21:$F$469"</definedName>
    <definedName name="IQRF21" hidden="1">"$G$21"</definedName>
    <definedName name="IQRF22" hidden="1">"$G$22"</definedName>
    <definedName name="IQRF23" hidden="1">"$F$24:$F$38"</definedName>
    <definedName name="IQRF24" hidden="1">"$G$24"</definedName>
    <definedName name="IQRF25" hidden="1">"$G$25"</definedName>
    <definedName name="IQRF26" hidden="1">"$G$26"</definedName>
    <definedName name="IQRF27" hidden="1">"$G$27"</definedName>
    <definedName name="IQRF39" hidden="1">"$F$40:$F$61"</definedName>
    <definedName name="IQRF8" hidden="1">"$G$8"</definedName>
    <definedName name="IQRF9" hidden="1">"$G$9"</definedName>
    <definedName name="IQRG12" hidden="1">"$H$12:$L$12"</definedName>
    <definedName name="IQRG13" hidden="1">"$G$14:$G$477"</definedName>
    <definedName name="IQRGS7" hidden="1">"$GS$8:$GS$41"</definedName>
    <definedName name="IQRGU7" hidden="1">"$GU$8:$GU$41"</definedName>
    <definedName name="IQRGW7" hidden="1">"$GW$8:$GW$35"</definedName>
    <definedName name="IQRH10" hidden="1">"$I$10:$R$10"</definedName>
    <definedName name="IQRH11" hidden="1">"$I$11:$R$11"</definedName>
    <definedName name="IQRH12" hidden="1">"$I$12:$K$12"</definedName>
    <definedName name="IQRH13" hidden="1">"$I$13:$M$13"</definedName>
    <definedName name="IQRH14" hidden="1">"$I$14:$M$14"</definedName>
    <definedName name="IQRH15" hidden="1">"$I$15:$M$15"</definedName>
    <definedName name="IQRH16" hidden="1">"$I$16:$J$16"</definedName>
    <definedName name="IQRH17" hidden="1">"$I$17:$M$17"</definedName>
    <definedName name="IQRH18" hidden="1">"$I$18:$M$18"</definedName>
    <definedName name="IQRH19" hidden="1">"$I$19:$M$19"</definedName>
    <definedName name="IQRH20" hidden="1">"$I$20:$M$20"</definedName>
    <definedName name="IQRH21" hidden="1">"$I$21"</definedName>
    <definedName name="IQRH22" hidden="1">"$I$22:$M$22"</definedName>
    <definedName name="IQRH23" hidden="1">"$I$23:$M$23"</definedName>
    <definedName name="IQRH24" hidden="1">"$I$24:$M$24"</definedName>
    <definedName name="IQRH25" hidden="1">"$I$25:$M$25"</definedName>
    <definedName name="IQRH26" hidden="1">"$I$26:$M$26"</definedName>
    <definedName name="IQRH27" hidden="1">"$I$27:$M$27"</definedName>
    <definedName name="IQRH28" hidden="1">"$I$28:$M$28"</definedName>
    <definedName name="IQRH29" hidden="1">"$I$29"</definedName>
    <definedName name="IQRH30" hidden="1">"$I$30"</definedName>
    <definedName name="IQRH31" hidden="1">"$I$31"</definedName>
    <definedName name="IQRH32" hidden="1">"$I$32"</definedName>
    <definedName name="IQRH33" hidden="1">"$I$33"</definedName>
    <definedName name="IQRH34" hidden="1">"$I$34"</definedName>
    <definedName name="IQRH35" hidden="1">"$I$35"</definedName>
    <definedName name="IQRH36" hidden="1">"$I$36"</definedName>
    <definedName name="IQRH37" hidden="1">"$I$37"</definedName>
    <definedName name="IQRH38" hidden="1">"$I$38"</definedName>
    <definedName name="IQRH39" hidden="1">"$I$39"</definedName>
    <definedName name="IQRH40" hidden="1">"$I$40"</definedName>
    <definedName name="IQRH41" hidden="1">"$I$41"</definedName>
    <definedName name="IQRH42" hidden="1">"$I$42"</definedName>
    <definedName name="IQRH43" hidden="1">"$I$43"</definedName>
    <definedName name="IQRH44" hidden="1">"$I$44"</definedName>
    <definedName name="IQRH45" hidden="1">"$I$45"</definedName>
    <definedName name="IQRH46" hidden="1">"$I$46"</definedName>
    <definedName name="IQRH59" hidden="1">"$H$60"</definedName>
    <definedName name="IQRH6" hidden="1">"$H$7:$H$112"</definedName>
    <definedName name="IQRH7" hidden="1">"$I$7:$R$7"</definedName>
    <definedName name="IQRH8" hidden="1">"$I$8:$R$8"</definedName>
    <definedName name="IQRH9" hidden="1">"$I$9:$R$9"</definedName>
    <definedName name="IQRI10" hidden="1">"$J$10"</definedName>
    <definedName name="IQRI11" hidden="1">"$J$11"</definedName>
    <definedName name="IQRI12" hidden="1">"$J$12"</definedName>
    <definedName name="IQRI13" hidden="1">"$J$13"</definedName>
    <definedName name="IQRI14" hidden="1">"$J$14"</definedName>
    <definedName name="IQRI15" hidden="1">"$J$15"</definedName>
    <definedName name="IQRI16" hidden="1">"$J$16"</definedName>
    <definedName name="IQRI17" hidden="1">"$J$17"</definedName>
    <definedName name="IQRI18" hidden="1">"$J$18"</definedName>
    <definedName name="IQRI19" hidden="1">"$J$19"</definedName>
    <definedName name="IQRI2" hidden="1">"$I$3:$I$66"</definedName>
    <definedName name="IQRI20" hidden="1">"$I$21:$I$453"</definedName>
    <definedName name="IQRI21" hidden="1">"$J$21"</definedName>
    <definedName name="IQRI22" hidden="1">"$J$22"</definedName>
    <definedName name="IQRI23" hidden="1">"$J$23"</definedName>
    <definedName name="IQRI24" hidden="1">"$J$24"</definedName>
    <definedName name="IQRI25" hidden="1">"$J$25"</definedName>
    <definedName name="IQRI26" hidden="1">"$J$26"</definedName>
    <definedName name="IQRI27" hidden="1">"$J$27"</definedName>
    <definedName name="IQRI39" hidden="1">"$I$40:$I$61"</definedName>
    <definedName name="IQRI6" hidden="1">"$I$7:$I$112"</definedName>
    <definedName name="IQRI8" hidden="1">"$J$8"</definedName>
    <definedName name="IQRI9" hidden="1">"$J$9"</definedName>
    <definedName name="IQRJ13" hidden="1">"$J$14:$J$481"</definedName>
    <definedName name="IQRJ3" hidden="1">"$J$4:$J$67"</definedName>
    <definedName name="IQRJ59" hidden="1">"$J$60"</definedName>
    <definedName name="IQRJ6" hidden="1">"$J$7:$J$112"</definedName>
    <definedName name="IQRJ7" hidden="1">"$J$8:$J$486"</definedName>
    <definedName name="IQRK13" hidden="1">"$K$14:$K$481"</definedName>
    <definedName name="IQRK7" hidden="1">"$K$8:$K$486"</definedName>
    <definedName name="IQRL16" hidden="1">"$L$17:$L$21"</definedName>
    <definedName name="IQRL20" hidden="1">"$L$21:$L$406"</definedName>
    <definedName name="IQRL39" hidden="1">"$L$40:$L$61"</definedName>
    <definedName name="IQRL59" hidden="1">"$L$60"</definedName>
    <definedName name="IQRM12" hidden="1">"$N$12:$R$12"</definedName>
    <definedName name="IQRM15" hidden="1">"$M$16"</definedName>
    <definedName name="IQRM16" hidden="1">"$N$16"</definedName>
    <definedName name="IQRM17" hidden="1">"$M$18:$M$22"</definedName>
    <definedName name="IQRM39" hidden="1">"$M$40:$M$61"</definedName>
    <definedName name="IQRN12" hidden="1">"$O$12:$Q$12"</definedName>
    <definedName name="IQRN13" hidden="1">"$N$14:$N$479"</definedName>
    <definedName name="IQRN14" hidden="1">"$O$14:$S$14"</definedName>
    <definedName name="IQRN15" hidden="1">"$O$15:$S$15"</definedName>
    <definedName name="IQRN16" hidden="1">"$O$16:$P$16"</definedName>
    <definedName name="IQRN17" hidden="1">"$O$17:$S$17"</definedName>
    <definedName name="IQRN18" hidden="1">"$O$18:$S$18"</definedName>
    <definedName name="IQRN19" hidden="1">"$O$19:$S$19"</definedName>
    <definedName name="IQRN20" hidden="1">"$O$20:$S$20"</definedName>
    <definedName name="IQRN21" hidden="1">"$O$21"</definedName>
    <definedName name="IQRN22" hidden="1">"$O$22:$S$22"</definedName>
    <definedName name="IQRN23" hidden="1">"$O$23:$S$23"</definedName>
    <definedName name="IQRN24" hidden="1">"$O$24:$S$24"</definedName>
    <definedName name="IQRN25" hidden="1">"$O$25:$S$25"</definedName>
    <definedName name="IQRN26" hidden="1">"$O$26:$S$26"</definedName>
    <definedName name="IQRN27" hidden="1">"$O$27:$S$27"</definedName>
    <definedName name="IQRN28" hidden="1">"$O$28:$S$28"</definedName>
    <definedName name="IQRO13" hidden="1">"$O$14:$O$479"</definedName>
    <definedName name="IQRO20" hidden="1">"$O$21:$O$395"</definedName>
    <definedName name="IQRO39" hidden="1">"$O$40:$O$61"</definedName>
    <definedName name="IQRP39" hidden="1">"$P$40:$P$61"</definedName>
    <definedName name="IQRR13" hidden="1">"$R$14:$R$415"</definedName>
    <definedName name="IQRR20" hidden="1">"$R$21:$R$395"</definedName>
    <definedName name="IQRS13" hidden="1">"$S$14:$S$415"</definedName>
    <definedName name="IQRSharePriceC14" hidden="1">#REF!</definedName>
    <definedName name="IQRSharePriceC15" hidden="1">#REF!</definedName>
    <definedName name="IQRSharePriceC47" hidden="1">#REF!</definedName>
    <definedName name="IQRSharePriceC48" hidden="1">#REF!</definedName>
    <definedName name="IQRSharePriceC49" hidden="1">#REF!</definedName>
    <definedName name="IQRU100" hidden="1">"$U$101:$U$356"</definedName>
    <definedName name="IQRU20" hidden="1">"$U$21:$U$562"</definedName>
    <definedName name="IQRV13" hidden="1">"$V$14:$V$406"</definedName>
    <definedName name="IQRW13" hidden="1">"$W$14:$W$406"</definedName>
    <definedName name="IQRX20" hidden="1">"$X$21:$X$495"</definedName>
    <definedName name="IQRX8" hidden="1">"$X$9:$X$13"</definedName>
    <definedName name="IQRY4" hidden="1">"$Y$5:$Y$14"</definedName>
    <definedName name="IQRZ13" hidden="1">"$Z$14:$Z$401"</definedName>
    <definedName name="iQShowHideColumns" localSheetId="8" hidden="1">"iQShowAnnual"</definedName>
    <definedName name="iQShowHideColumns" hidden="1">"iQShowQuarterlyAnnual"</definedName>
    <definedName name="Irbe" localSheetId="7" hidden="1">{#N/A,#N/A,FALSE,"Pharm";#N/A,#N/A,FALSE,"WWCM"}</definedName>
    <definedName name="Irbe" localSheetId="8" hidden="1">{#N/A,#N/A,FALSE,"Pharm";#N/A,#N/A,FALSE,"WWCM"}</definedName>
    <definedName name="Irbe" hidden="1">{#N/A,#N/A,FALSE,"Pharm";#N/A,#N/A,FALSE,"WWCM"}</definedName>
    <definedName name="IRI_WorkspaceId" hidden="1">"146bb25c84d144c0b75582745baef5e1"</definedName>
    <definedName name="IRPJ98" localSheetId="8" hidden="1">{#N/A,#N/A,FALSE,"IR E CS 1997";#N/A,#N/A,FALSE,"PR ND";#N/A,#N/A,FALSE,"8191";#N/A,#N/A,FALSE,"8383";#N/A,#N/A,FALSE,"MP 1024";#N/A,#N/A,FALSE,"AD_EX_97";#N/A,#N/A,FALSE,"BD 97"}</definedName>
    <definedName name="IRPJ98" hidden="1">{#N/A,#N/A,FALSE,"IR E CS 1997";#N/A,#N/A,FALSE,"PR ND";#N/A,#N/A,FALSE,"8191";#N/A,#N/A,FALSE,"8383";#N/A,#N/A,FALSE,"MP 1024";#N/A,#N/A,FALSE,"AD_EX_97";#N/A,#N/A,FALSE,"BD 97"}</definedName>
    <definedName name="IsColHidden" hidden="1">FALSE</definedName>
    <definedName name="isis" localSheetId="8" hidden="1">{#N/A,#N/A,FALSE,"9709 (2)"}</definedName>
    <definedName name="isis" hidden="1">{#N/A,#N/A,FALSE,"9709 (2)"}</definedName>
    <definedName name="IsLTMColHidden" hidden="1">FALSE</definedName>
    <definedName name="IsSecureRevolver" hidden="1">#REF!</definedName>
    <definedName name="IsSecureSenior1" hidden="1">#REF!</definedName>
    <definedName name="IsSecureSenior2" hidden="1">#REF!</definedName>
    <definedName name="IsSecureSenior3" hidden="1">#REF!</definedName>
    <definedName name="IsSecureSenior4" hidden="1">#REF!</definedName>
    <definedName name="IsSecureSenior5" hidden="1">#REF!</definedName>
    <definedName name="IsSecureSenior6" hidden="1">#REF!</definedName>
    <definedName name="IsSecureSenior7" hidden="1">#REF!</definedName>
    <definedName name="Issue" hidden="1">"BL7FKFTY6NDALOTZZF8PFRAS6"</definedName>
    <definedName name="isto2" localSheetId="8" hidden="1">{"up stand alones",#N/A,FALSE,"Acquiror"}</definedName>
    <definedName name="isto2" hidden="1">{"up stand alones",#N/A,FALSE,"Acquiror"}</definedName>
    <definedName name="isto2_1" localSheetId="8" hidden="1">{"up stand alones",#N/A,FALSE,"Acquiror"}</definedName>
    <definedName name="isto2_1" hidden="1">{"up stand alones",#N/A,FALSE,"Acquiror"}</definedName>
    <definedName name="ITCOMPUTATION1" localSheetId="8" hidden="1">{#N/A,#N/A,FALSE,"Input"}</definedName>
    <definedName name="ITCOMPUTATION1" hidden="1">{#N/A,#N/A,FALSE,"Input"}</definedName>
    <definedName name="itikk" localSheetId="8" hidden="1">{#N/A,#N/A,FALSE,"projcf";#N/A,#N/A,FALSE,"Projline";#N/A,#N/A,FALSE,"bankline";#N/A,#N/A,FALSE,"Fast95is";#N/A,#N/A,FALSE,"tool95is";#N/A,#N/A,FALSE,"tot95is";#N/A,#N/A,FALSE,"tool950h";#N/A,#N/A,FALSE,"fas95oh";#N/A,#N/A,FALSE,"tot95oh";#N/A,#N/A,FALSE,"95sga";#N/A,#N/A,FALSE,"95projcf";#N/A,#N/A,FALSE,"95loc";#N/A,#N/A,FALSE,"95bankline"}</definedName>
    <definedName name="itikk" hidden="1">{#N/A,#N/A,FALSE,"projcf";#N/A,#N/A,FALSE,"Projline";#N/A,#N/A,FALSE,"bankline";#N/A,#N/A,FALSE,"Fast95is";#N/A,#N/A,FALSE,"tool95is";#N/A,#N/A,FALSE,"tot95is";#N/A,#N/A,FALSE,"tool950h";#N/A,#N/A,FALSE,"fas95oh";#N/A,#N/A,FALSE,"tot95oh";#N/A,#N/A,FALSE,"95sga";#N/A,#N/A,FALSE,"95projcf";#N/A,#N/A,FALSE,"95loc";#N/A,#N/A,FALSE,"95bankline"}</definedName>
    <definedName name="itikk_1" localSheetId="8" hidden="1">{#N/A,#N/A,FALSE,"projcf";#N/A,#N/A,FALSE,"Projline";#N/A,#N/A,FALSE,"bankline";#N/A,#N/A,FALSE,"Fast95is";#N/A,#N/A,FALSE,"tool95is";#N/A,#N/A,FALSE,"tot95is";#N/A,#N/A,FALSE,"tool950h";#N/A,#N/A,FALSE,"fas95oh";#N/A,#N/A,FALSE,"tot95oh";#N/A,#N/A,FALSE,"95sga";#N/A,#N/A,FALSE,"95projcf";#N/A,#N/A,FALSE,"95loc";#N/A,#N/A,FALSE,"95bankline"}</definedName>
    <definedName name="itikk_1" hidden="1">{#N/A,#N/A,FALSE,"projcf";#N/A,#N/A,FALSE,"Projline";#N/A,#N/A,FALSE,"bankline";#N/A,#N/A,FALSE,"Fast95is";#N/A,#N/A,FALSE,"tool95is";#N/A,#N/A,FALSE,"tot95is";#N/A,#N/A,FALSE,"tool950h";#N/A,#N/A,FALSE,"fas95oh";#N/A,#N/A,FALSE,"tot95oh";#N/A,#N/A,FALSE,"95sga";#N/A,#N/A,FALSE,"95projcf";#N/A,#N/A,FALSE,"95loc";#N/A,#N/A,FALSE,"95bankline"}</definedName>
    <definedName name="itkk" localSheetId="8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itkk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itkk_1" localSheetId="8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itkk_1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ITLeXToEUR" localSheetId="8" hidden="1">1/EUReXToITL</definedName>
    <definedName name="ITLeXToEUR" hidden="1">1/EUReXToITL</definedName>
    <definedName name="iuiuiuiuiu" localSheetId="8" hidden="1">{#N/A,#N/A,FALSE,"Centres";#N/A,#N/A,FALSE,"Partenariats";#N/A,#N/A,FALSE,"P.Diverses";#N/A,#N/A,FALSE,"Adm";#N/A,#N/A,FALSE,"Autres R-D";#N/A,#N/A,FALSE,"Intérêts"}</definedName>
    <definedName name="iuiuiuiuiu" hidden="1">{#N/A,#N/A,FALSE,"Centres";#N/A,#N/A,FALSE,"Partenariats";#N/A,#N/A,FALSE,"P.Diverses";#N/A,#N/A,FALSE,"Adm";#N/A,#N/A,FALSE,"Autres R-D";#N/A,#N/A,FALSE,"Intérêts"}</definedName>
    <definedName name="iungds" localSheetId="8" hidden="1">{"detail",#N/A,FALSE,"mfg";"summary",#N/A,FALSE,"mfg"}</definedName>
    <definedName name="iungds" hidden="1">{"detail",#N/A,FALSE,"mfg";"summary",#N/A,FALSE,"mfg"}</definedName>
    <definedName name="IUY" localSheetId="8" hidden="1">{#N/A,#N/A,FALSE,"Min compar us";#N/A,#N/A,FALSE,"Min US Equité ";#N/A,#N/A,FALSE,"Analyse U.S."}</definedName>
    <definedName name="IUY" hidden="1">{#N/A,#N/A,FALSE,"Min compar us";#N/A,#N/A,FALSE,"Min US Equité ";#N/A,#N/A,FALSE,"Analyse U.S."}</definedName>
    <definedName name="iuyhiuhiuo" hidden="1">{#N/A,#N/A,FALSE,"Dutos";#N/A,#N/A,FALSE,"Terminais"}</definedName>
    <definedName name="iuyiu" localSheetId="8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iuyiu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iuyt" localSheetId="8" hidden="1">{"AS REP",#N/A,FALSE,"EEFSNAP2";"PROP",#N/A,FALSE,"EEFSNAP2";"RISKS",#N/A,FALSE,"EEFSNAP2";"VIEW ALL",#N/A,FALSE,"EEFSNAP2"}</definedName>
    <definedName name="iuyt" hidden="1">{"AS REP",#N/A,FALSE,"EEFSNAP2";"PROP",#N/A,FALSE,"EEFSNAP2";"RISKS",#N/A,FALSE,"EEFSNAP2";"VIEW ALL",#N/A,FALSE,"EEFSNAP2"}</definedName>
    <definedName name="iy" localSheetId="8" hidden="1">{"AS REP",#N/A,FALSE,"EEFSNAP2";"PROP",#N/A,FALSE,"EEFSNAP2";"RISKS",#N/A,FALSE,"EEFSNAP2";"VIEW ALL",#N/A,FALSE,"EEFSNAP2"}</definedName>
    <definedName name="iy" hidden="1">{"AS REP",#N/A,FALSE,"EEFSNAP2";"PROP",#N/A,FALSE,"EEFSNAP2";"RISKS",#N/A,FALSE,"EEFSNAP2";"VIEW ALL",#N/A,FALSE,"EEFSNAP2"}</definedName>
    <definedName name="j" localSheetId="7" hidden="1">{#N/A,#N/A,FALSE,"REPORT"}</definedName>
    <definedName name="j" localSheetId="8" hidden="1">{#N/A,#N/A,FALSE,"REPORT"}</definedName>
    <definedName name="j" hidden="1">{#N/A,#N/A,FALSE,"REPORT"}</definedName>
    <definedName name="J_1" localSheetId="8" hidden="1">{#N/A,#N/A,FALSE,"INPUTS";#N/A,#N/A,FALSE,"PROFORMA BSHEET";#N/A,#N/A,FALSE,"COMBINED";#N/A,#N/A,FALSE,"ACQUIROR";#N/A,#N/A,FALSE,"TARGET 1";#N/A,#N/A,FALSE,"TARGET 2";#N/A,#N/A,FALSE,"HIGH YIELD";#N/A,#N/A,FALSE,"OVERFUND"}</definedName>
    <definedName name="J_1" hidden="1">{#N/A,#N/A,FALSE,"INPUTS";#N/A,#N/A,FALSE,"PROFORMA BSHEET";#N/A,#N/A,FALSE,"COMBINED";#N/A,#N/A,FALSE,"ACQUIROR";#N/A,#N/A,FALSE,"TARGET 1";#N/A,#N/A,FALSE,"TARGET 2";#N/A,#N/A,FALSE,"HIGH YIELD";#N/A,#N/A,FALSE,"OVERFUND"}</definedName>
    <definedName name="jaime" hidden="1">{#N/A,#N/A,FALSE,"DCF Summary";#N/A,#N/A,FALSE,"Casema";#N/A,#N/A,FALSE,"Casema NoTel";#N/A,#N/A,FALSE,"UK";#N/A,#N/A,FALSE,"RCF";#N/A,#N/A,FALSE,"Intercable CZ";#N/A,#N/A,FALSE,"Interkabel P"}</definedName>
    <definedName name="jal" localSheetId="8" hidden="1">{#N/A,#N/A,TRUE,"SIT.GLOBAL (2)";#N/A,#N/A,TRUE,"SIT.GLOBAL (1)";#N/A,#N/A,TRUE,"7.PROC JUD";#N/A,#N/A,TRUE,"GRAF.RENTAS";#N/A,#N/A,TRUE,"GRAF PTE.COB-COBNET (3)";#N/A,#N/A,TRUE,"GRAF FACT TOTAL-ORD (3)";#N/A,#N/A,TRUE,"DATOSGRAFICO";#N/A,#N/A,TRUE,"RESCINDIDOS";#N/A,#N/A,TRUE,"DETALLE PTE."}</definedName>
    <definedName name="jal" hidden="1">{#N/A,#N/A,TRUE,"SIT.GLOBAL (2)";#N/A,#N/A,TRUE,"SIT.GLOBAL (1)";#N/A,#N/A,TRUE,"7.PROC JUD";#N/A,#N/A,TRUE,"GRAF.RENTAS";#N/A,#N/A,TRUE,"GRAF PTE.COB-COBNET (3)";#N/A,#N/A,TRUE,"GRAF FACT TOTAL-ORD (3)";#N/A,#N/A,TRUE,"DATOSGRAFICO";#N/A,#N/A,TRUE,"RESCINDIDOS";#N/A,#N/A,TRUE,"DETALLE PTE."}</definedName>
    <definedName name="Jarl" localSheetId="8" hidden="1">{"'Segmentos de Clientes'!$B$3:$F$14"}</definedName>
    <definedName name="Jarl" hidden="1">{"'Segmentos de Clientes'!$B$3:$F$14"}</definedName>
    <definedName name="Jarl_1" localSheetId="8" hidden="1">{"'Segmentos de Clientes'!$B$3:$F$14"}</definedName>
    <definedName name="Jarl_1" hidden="1">{"'Segmentos de Clientes'!$B$3:$F$14"}</definedName>
    <definedName name="Javier" hidden="1">{#N/A,#N/A,FALSE,"ACQ_GRAPHS";#N/A,#N/A,FALSE,"T_1 GRAPHS";#N/A,#N/A,FALSE,"T_2 GRAPHS";#N/A,#N/A,FALSE,"COMB_GRAPHS"}</definedName>
    <definedName name="jayne" localSheetId="8" hidden="1">{"July 00",#N/A,TRUE,"Revised P&amp;L";"July 00",#N/A,TRUE,"Income";"July 00",#N/A,TRUE,"Staff costs";"July 00",#N/A,TRUE,"Marketing";"July 00",#N/A,TRUE,"Creative";"July 00",#N/A,TRUE,"Service";"July 00",#N/A,TRUE,"General Establishment";"July 00",#N/A,TRUE,"BALSHEET";"July 00",#N/A,TRUE,"CASH FLOW"}</definedName>
    <definedName name="jayne" hidden="1">{"July 00",#N/A,TRUE,"Revised P&amp;L";"July 00",#N/A,TRUE,"Income";"July 00",#N/A,TRUE,"Staff costs";"July 00",#N/A,TRUE,"Marketing";"July 00",#N/A,TRUE,"Creative";"July 00",#N/A,TRUE,"Service";"July 00",#N/A,TRUE,"General Establishment";"July 00",#N/A,TRUE,"BALSHEET";"July 00",#N/A,TRUE,"CASH FLOW"}</definedName>
    <definedName name="jazz" localSheetId="8" hidden="1">{#N/A,#N/A,FALSE,"Spain MKT";#N/A,#N/A,FALSE,"Assumptions";#N/A,#N/A,FALSE,"Adve";#N/A,#N/A,FALSE,"E-Commerce";#N/A,#N/A,FALSE,"Opex";#N/A,#N/A,FALSE,"P&amp;L";#N/A,#N/A,FALSE,"FCF &amp; DCF"}</definedName>
    <definedName name="jazz" hidden="1">{#N/A,#N/A,FALSE,"Spain MKT";#N/A,#N/A,FALSE,"Assumptions";#N/A,#N/A,FALSE,"Adve";#N/A,#N/A,FALSE,"E-Commerce";#N/A,#N/A,FALSE,"Opex";#N/A,#N/A,FALSE,"P&amp;L";#N/A,#N/A,FALSE,"FCF &amp; DCF"}</definedName>
    <definedName name="jazz2" localSheetId="8" hidden="1">{#N/A,#N/A,FALSE,"Spain MKT";#N/A,#N/A,FALSE,"Assumptions";#N/A,#N/A,FALSE,"Adve";#N/A,#N/A,FALSE,"E-Commerce";#N/A,#N/A,FALSE,"Opex";#N/A,#N/A,FALSE,"P&amp;L";#N/A,#N/A,FALSE,"FCF &amp; DCF"}</definedName>
    <definedName name="jazz2" hidden="1">{#N/A,#N/A,FALSE,"Spain MKT";#N/A,#N/A,FALSE,"Assumptions";#N/A,#N/A,FALSE,"Adve";#N/A,#N/A,FALSE,"E-Commerce";#N/A,#N/A,FALSE,"Opex";#N/A,#N/A,FALSE,"P&amp;L";#N/A,#N/A,FALSE,"FCF &amp; DCF"}</definedName>
    <definedName name="jbdf" localSheetId="8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jbdf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jbjhbvghvcfgcgfcfgxc" hidden="1">#REF!</definedName>
    <definedName name="jbxhjsa" localSheetId="8" hidden="1">{"Res_010",#N/A,FALSE,"Res_010";"sum1",#N/A,FALSE,"Res_010"}</definedName>
    <definedName name="jbxhjsa" hidden="1">{"Res_010",#N/A,FALSE,"Res_010";"sum1",#N/A,FALSE,"Res_010"}</definedName>
    <definedName name="jcwkc" hidden="1">#REF!</definedName>
    <definedName name="jdabn" localSheetId="8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jdabn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jddjjd" localSheetId="8" hidden="1">{#N/A,#N/A,TRUE,"consinc";#N/A,#N/A,TRUE,"consproj";#N/A,#N/A,TRUE,"deminc";#N/A,#N/A,TRUE,"incproj";#N/A,#N/A,TRUE,"demman";#N/A,#N/A,TRUE,"manproj";#N/A,#N/A,TRUE,"S&amp;Gact";#N/A,#N/A,TRUE,"S&amp;Gproj ";#N/A,#N/A,TRUE,"dengis";#N/A,#N/A,TRUE,"dengisproj";#N/A,#N/A,TRUE,"mitinc";#N/A,#N/A,TRUE,"mitincproj";#N/A,#N/A,TRUE,"mits&amp;G";#N/A,#N/A,TRUE,"mits&amp;gproj";#N/A,#N/A,TRUE,"arcis";#N/A,#N/A,TRUE,"arcproj";#N/A,#N/A,TRUE,"ampinc";#N/A,#N/A,TRUE,"ampincproj";#N/A,#N/A,TRUE,"ampman";#N/A,#N/A,TRUE,"ampmanproj";#N/A,#N/A,TRUE,"ampS&amp;G";#N/A,#N/A,TRUE,"amps&amp;GProj"}</definedName>
    <definedName name="jddjjd" hidden="1">{#N/A,#N/A,TRUE,"consinc";#N/A,#N/A,TRUE,"consproj";#N/A,#N/A,TRUE,"deminc";#N/A,#N/A,TRUE,"incproj";#N/A,#N/A,TRUE,"demman";#N/A,#N/A,TRUE,"manproj";#N/A,#N/A,TRUE,"S&amp;Gact";#N/A,#N/A,TRUE,"S&amp;Gproj ";#N/A,#N/A,TRUE,"dengis";#N/A,#N/A,TRUE,"dengisproj";#N/A,#N/A,TRUE,"mitinc";#N/A,#N/A,TRUE,"mitincproj";#N/A,#N/A,TRUE,"mits&amp;G";#N/A,#N/A,TRUE,"mits&amp;gproj";#N/A,#N/A,TRUE,"arcis";#N/A,#N/A,TRUE,"arcproj";#N/A,#N/A,TRUE,"ampinc";#N/A,#N/A,TRUE,"ampincproj";#N/A,#N/A,TRUE,"ampman";#N/A,#N/A,TRUE,"ampmanproj";#N/A,#N/A,TRUE,"ampS&amp;G";#N/A,#N/A,TRUE,"amps&amp;GProj"}</definedName>
    <definedName name="jddjjd_1" localSheetId="8" hidden="1">{#N/A,#N/A,TRUE,"consinc";#N/A,#N/A,TRUE,"consproj";#N/A,#N/A,TRUE,"deminc";#N/A,#N/A,TRUE,"incproj";#N/A,#N/A,TRUE,"demman";#N/A,#N/A,TRUE,"manproj";#N/A,#N/A,TRUE,"S&amp;Gact";#N/A,#N/A,TRUE,"S&amp;Gproj ";#N/A,#N/A,TRUE,"dengis";#N/A,#N/A,TRUE,"dengisproj";#N/A,#N/A,TRUE,"mitinc";#N/A,#N/A,TRUE,"mitincproj";#N/A,#N/A,TRUE,"mits&amp;G";#N/A,#N/A,TRUE,"mits&amp;gproj";#N/A,#N/A,TRUE,"arcis";#N/A,#N/A,TRUE,"arcproj";#N/A,#N/A,TRUE,"ampinc";#N/A,#N/A,TRUE,"ampincproj";#N/A,#N/A,TRUE,"ampman";#N/A,#N/A,TRUE,"ampmanproj";#N/A,#N/A,TRUE,"ampS&amp;G";#N/A,#N/A,TRUE,"amps&amp;GProj"}</definedName>
    <definedName name="jddjjd_1" hidden="1">{#N/A,#N/A,TRUE,"consinc";#N/A,#N/A,TRUE,"consproj";#N/A,#N/A,TRUE,"deminc";#N/A,#N/A,TRUE,"incproj";#N/A,#N/A,TRUE,"demman";#N/A,#N/A,TRUE,"manproj";#N/A,#N/A,TRUE,"S&amp;Gact";#N/A,#N/A,TRUE,"S&amp;Gproj ";#N/A,#N/A,TRUE,"dengis";#N/A,#N/A,TRUE,"dengisproj";#N/A,#N/A,TRUE,"mitinc";#N/A,#N/A,TRUE,"mitincproj";#N/A,#N/A,TRUE,"mits&amp;G";#N/A,#N/A,TRUE,"mits&amp;gproj";#N/A,#N/A,TRUE,"arcis";#N/A,#N/A,TRUE,"arcproj";#N/A,#N/A,TRUE,"ampinc";#N/A,#N/A,TRUE,"ampincproj";#N/A,#N/A,TRUE,"ampman";#N/A,#N/A,TRUE,"ampmanproj";#N/A,#N/A,TRUE,"ampS&amp;G";#N/A,#N/A,TRUE,"amps&amp;GProj"}</definedName>
    <definedName name="JDFG" localSheetId="8" hidden="1">{#N/A,#N/A,FALSE,"Centres";#N/A,#N/A,FALSE,"Partenariats";#N/A,#N/A,FALSE,"P.Diverses";#N/A,#N/A,FALSE,"Adm";#N/A,#N/A,FALSE,"Autres R-D";#N/A,#N/A,FALSE,"Intérêts"}</definedName>
    <definedName name="JDFG" hidden="1">{#N/A,#N/A,FALSE,"Centres";#N/A,#N/A,FALSE,"Partenariats";#N/A,#N/A,FALSE,"P.Diverses";#N/A,#N/A,FALSE,"Adm";#N/A,#N/A,FALSE,"Autres R-D";#N/A,#N/A,FALSE,"Intérêts"}</definedName>
    <definedName name="jdfnhb" localSheetId="8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jdfnh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jdvb" localSheetId="8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jdv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jes" localSheetId="8" hidden="1">{"DCF",#N/A,FALSE,"DCF"}</definedName>
    <definedName name="jes" hidden="1">{"DCF",#N/A,FALSE,"DCF"}</definedName>
    <definedName name="jfalmldfjladsf" localSheetId="8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jfalmldfjladsf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jfdnb" localSheetId="8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jfdn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jfdsir" localSheetId="8" hidden="1">{"YTD",#N/A,FALSE,"SUM"}</definedName>
    <definedName name="jfdsir" hidden="1">{"YTD",#N/A,FALSE,"SUM"}</definedName>
    <definedName name="jfewknewj" hidden="1">#REF!</definedName>
    <definedName name="jfh" localSheetId="8" hidden="1">{#N/A,#N/A,FALSE,"Aging Summary";#N/A,#N/A,FALSE,"Ratio Analysis";#N/A,#N/A,FALSE,"Test 120 Day Accts";#N/A,#N/A,FALSE,"Tickmarks"}</definedName>
    <definedName name="jfh" hidden="1">{#N/A,#N/A,FALSE,"Aging Summary";#N/A,#N/A,FALSE,"Ratio Analysis";#N/A,#N/A,FALSE,"Test 120 Day Accts";#N/A,#N/A,FALSE,"Tickmarks"}</definedName>
    <definedName name="jfh_1" localSheetId="8" hidden="1">{#N/A,#N/A,FALSE,"Aging Summary";#N/A,#N/A,FALSE,"Ratio Analysis";#N/A,#N/A,FALSE,"Test 120 Day Accts";#N/A,#N/A,FALSE,"Tickmarks"}</definedName>
    <definedName name="jfh_1" hidden="1">{#N/A,#N/A,FALSE,"Aging Summary";#N/A,#N/A,FALSE,"Ratio Analysis";#N/A,#N/A,FALSE,"Test 120 Day Accts";#N/A,#N/A,FALSE,"Tickmarks"}</definedName>
    <definedName name="jfjfj" localSheetId="8" hidden="1">{#N/A,#N/A,TRUE,"Cover sheet";#N/A,#N/A,TRUE,"DCF analysis";#N/A,#N/A,TRUE,"WACC calculation"}</definedName>
    <definedName name="jfjfj" hidden="1">{#N/A,#N/A,TRUE,"Cover sheet";#N/A,#N/A,TRUE,"DCF analysis";#N/A,#N/A,TRUE,"WACC calculation"}</definedName>
    <definedName name="jfjfj_1" localSheetId="8" hidden="1">{#N/A,#N/A,TRUE,"Cover sheet";#N/A,#N/A,TRUE,"DCF analysis";#N/A,#N/A,TRUE,"WACC calculation"}</definedName>
    <definedName name="jfjfj_1" hidden="1">{#N/A,#N/A,TRUE,"Cover sheet";#N/A,#N/A,TRUE,"DCF analysis";#N/A,#N/A,TRUE,"WACC calculation"}</definedName>
    <definedName name="jfljaldjfñajdf" localSheetId="8" hidden="1">{#N/A,#N/A,FALSE,"Adm comp";#N/A,#N/A,FALSE,"Adm ajust";"adm",#N/A,FALSE,"Administration";#N/A,#N/A,FALSE,"Adm Bgt 97 vs Prév. 96";#N/A,#N/A,FALSE,"Adm Bgt 97 vs 96"}</definedName>
    <definedName name="jfljaldjfñajdf" hidden="1">{#N/A,#N/A,FALSE,"Adm comp";#N/A,#N/A,FALSE,"Adm ajust";"adm",#N/A,FALSE,"Administration";#N/A,#N/A,FALSE,"Adm Bgt 97 vs Prév. 96";#N/A,#N/A,FALSE,"Adm Bgt 97 vs 96"}</definedName>
    <definedName name="jfvb" localSheetId="8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jfv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jg" localSheetId="8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jg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jgd" localSheetId="8" hidden="1">{#N/A,#N/A,FALSE,"REPORT"}</definedName>
    <definedName name="jgd" hidden="1">{#N/A,#N/A,FALSE,"REPORT"}</definedName>
    <definedName name="jgfcfgcgfcfgcfgcgfcfg" localSheetId="8" hidden="1">#REF!</definedName>
    <definedName name="jgfcfgcgfcfgcfgcgfcfg" hidden="1">#REF!</definedName>
    <definedName name="jghjg" localSheetId="8" hidden="1">{#N/A,#N/A,FALSE,"Produkte Erw.";#N/A,#N/A,FALSE,"Produkte Plan";#N/A,#N/A,FALSE,"Leistungen Erw.";#N/A,#N/A,FALSE,"Leistungen Plan";#N/A,#N/A,FALSE,"KA Allg.Kosten (2)";#N/A,#N/A,FALSE,"KA All.Kosten"}</definedName>
    <definedName name="jghjg" hidden="1">{#N/A,#N/A,FALSE,"Produkte Erw.";#N/A,#N/A,FALSE,"Produkte Plan";#N/A,#N/A,FALSE,"Leistungen Erw.";#N/A,#N/A,FALSE,"Leistungen Plan";#N/A,#N/A,FALSE,"KA Allg.Kosten (2)";#N/A,#N/A,FALSE,"KA All.Kosten"}</definedName>
    <definedName name="jghjhlldc" localSheetId="8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jghjhlldc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jh" localSheetId="8" hidden="1">{"'100'!$A$1:$M$83"}</definedName>
    <definedName name="jh" hidden="1">{"'100'!$A$1:$M$83"}</definedName>
    <definedName name="jhgbjhh" hidden="1">{#N/A,#N/A,FALSE,"Dutos";#N/A,#N/A,FALSE,"Terminais"}</definedName>
    <definedName name="jhgf" localSheetId="8" hidden="1">{"Commentary",#N/A,FALSE,"May"}</definedName>
    <definedName name="jhgf" hidden="1">{"Commentary",#N/A,FALSE,"May"}</definedName>
    <definedName name="jhh" localSheetId="8" hidden="1">{#N/A,#N/A,FALSE,"Customer Ops";#N/A,#N/A,FALSE,"Field Ops";#N/A,#N/A,FALSE,"Ops Management";#N/A,#N/A,FALSE,"Contact Centre";#N/A,#N/A,FALSE,"Credit Services";#N/A,#N/A,FALSE,"Horizon"}</definedName>
    <definedName name="jhh" hidden="1">{#N/A,#N/A,FALSE,"Customer Ops";#N/A,#N/A,FALSE,"Field Ops";#N/A,#N/A,FALSE,"Ops Management";#N/A,#N/A,FALSE,"Contact Centre";#N/A,#N/A,FALSE,"Credit Services";#N/A,#N/A,FALSE,"Horizon"}</definedName>
    <definedName name="jhhgjh" localSheetId="8" hidden="1">{#N/A,#N/A,FALSE,"KA CH  (2)"}</definedName>
    <definedName name="jhhgjh" hidden="1">{#N/A,#N/A,FALSE,"KA CH  (2)"}</definedName>
    <definedName name="jhhjjh" localSheetId="8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jhhjjh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jhhjjh_1" localSheetId="8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jhhjjh_1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jhj" localSheetId="8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jhj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jhjhgj" localSheetId="8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jhjhgj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jhk" localSheetId="8" hidden="1">{"print 1",#N/A,FALSE,"PrimeCo PCS";"print 2",#N/A,FALSE,"PrimeCo PCS";"valuation",#N/A,FALSE,"PrimeCo PCS"}</definedName>
    <definedName name="jhk" hidden="1">{"print 1",#N/A,FALSE,"PrimeCo PCS";"print 2",#N/A,FALSE,"PrimeCo PCS";"valuation",#N/A,FALSE,"PrimeCo PCS"}</definedName>
    <definedName name="jhll" localSheetId="8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jhll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jhu" localSheetId="8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jhu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jhvjjh" localSheetId="8" hidden="1">{"fssum01",#N/A,FALSE,"fssum";"fssum02",#N/A,FALSE,"fssum"}</definedName>
    <definedName name="jhvjjh" hidden="1">{"fssum01",#N/A,FALSE,"fssum";"fssum02",#N/A,FALSE,"fssum"}</definedName>
    <definedName name="jhvjjh_1" localSheetId="8" hidden="1">{"fssum01",#N/A,FALSE,"fssum";"fssum02",#N/A,FALSE,"fssum"}</definedName>
    <definedName name="jhvjjh_1" hidden="1">{"fssum01",#N/A,FALSE,"fssum";"fssum02",#N/A,FALSE,"fssum"}</definedName>
    <definedName name="jhy" localSheetId="8" hidden="1">{#N/A,#N/A,FALSE,"Table of Content ";#N/A,#N/A,FALSE,"1-Summ- Key Figures";#N/A,#N/A,FALSE,"2-Summary P&amp;L - Other ";#N/A,#N/A,FALSE,"3-P&amp;L by Bus.Unt-Serv.Unt";#N/A,#N/A,FALSE,"4-P&amp;L by Business";#N/A,#N/A,FALSE,"5-Bal_Sheet CF";#N/A,#N/A,FALSE,"6-Bal_Sheet CF by Business ";#N/A,#N/A,FALSE,"7-Sales Orders Capex";#N/A,#N/A,FALSE,"8-Headc.Funct.";#N/A,#N/A,FALSE,"9-Custom. Satisf.  #Customers";#N/A,#N/A,FALSE,"P1-Orders RevGap";#N/A,#N/A,FALSE,"P2-Sales Prospects WinLoss";#N/A,#N/A,FALSE,"P3-Detail P&amp;L";#N/A,#N/A,FALSE,"P4-GM per Product";#N/A,#N/A,FALSE,"P5-Mobile(1) ";#N/A,#N/A,FALSE,"P6-Mobile(2)";#N/A,#N/A,FALSE,"P7-Data(1)";#N/A,#N/A,FALSE,"P8-Data (2)";#N/A,#N/A,FALSE,"P9-Voice(1)";#N/A,#N/A,FALSE,"P10-Voice (2)";#N/A,#N/A,FALSE,"P11-Infraestr(1)";#N/A,#N/A,FALSE,"P12-Infraestr(2)";#N/A,#N/A,FALSE,"P13-Funding- Inter.";#N/A,#N/A,FALSE,"P14-Risk &amp; Fraud";#N/A,#N/A,FALSE,"P15-Network ";#N/A,#N/A,FALSE,"P16- Productivity";#N/A,#N/A,FALSE,"Detail P&amp;L-by BU";#N/A,#N/A,FALSE,"Detail P&amp;L-Carriers";#N/A,#N/A,FALSE,"Detail P&amp;L-Large Accounts";#N/A,#N/A,FALSE,"Detail P&amp;L-Consumer_SME";#N/A,#N/A,FALSE,"Detail P&amp;L-Networks &amp; Systems";#N/A,#N/A,FALSE,"Detail P&amp;L-ITBilling";#N/A,#N/A,FALSE,"Detail P&amp;L-Corporate";#N/A,#N/A,FALSE,"Billing &amp; IT"}</definedName>
    <definedName name="jhy" hidden="1">{#N/A,#N/A,FALSE,"Table of Content ";#N/A,#N/A,FALSE,"1-Summ- Key Figures";#N/A,#N/A,FALSE,"2-Summary P&amp;L - Other ";#N/A,#N/A,FALSE,"3-P&amp;L by Bus.Unt-Serv.Unt";#N/A,#N/A,FALSE,"4-P&amp;L by Business";#N/A,#N/A,FALSE,"5-Bal_Sheet CF";#N/A,#N/A,FALSE,"6-Bal_Sheet CF by Business ";#N/A,#N/A,FALSE,"7-Sales Orders Capex";#N/A,#N/A,FALSE,"8-Headc.Funct.";#N/A,#N/A,FALSE,"9-Custom. Satisf.  #Customers";#N/A,#N/A,FALSE,"P1-Orders RevGap";#N/A,#N/A,FALSE,"P2-Sales Prospects WinLoss";#N/A,#N/A,FALSE,"P3-Detail P&amp;L";#N/A,#N/A,FALSE,"P4-GM per Product";#N/A,#N/A,FALSE,"P5-Mobile(1) ";#N/A,#N/A,FALSE,"P6-Mobile(2)";#N/A,#N/A,FALSE,"P7-Data(1)";#N/A,#N/A,FALSE,"P8-Data (2)";#N/A,#N/A,FALSE,"P9-Voice(1)";#N/A,#N/A,FALSE,"P10-Voice (2)";#N/A,#N/A,FALSE,"P11-Infraestr(1)";#N/A,#N/A,FALSE,"P12-Infraestr(2)";#N/A,#N/A,FALSE,"P13-Funding- Inter.";#N/A,#N/A,FALSE,"P14-Risk &amp; Fraud";#N/A,#N/A,FALSE,"P15-Network ";#N/A,#N/A,FALSE,"P16- Productivity";#N/A,#N/A,FALSE,"Detail P&amp;L-by BU";#N/A,#N/A,FALSE,"Detail P&amp;L-Carriers";#N/A,#N/A,FALSE,"Detail P&amp;L-Large Accounts";#N/A,#N/A,FALSE,"Detail P&amp;L-Consumer_SME";#N/A,#N/A,FALSE,"Detail P&amp;L-Networks &amp; Systems";#N/A,#N/A,FALSE,"Detail P&amp;L-ITBilling";#N/A,#N/A,FALSE,"Detail P&amp;L-Corporate";#N/A,#N/A,FALSE,"Billing &amp; IT"}</definedName>
    <definedName name="jhyf" localSheetId="8" hidden="1">{"example",#N/A,FALSE,"Import 1 - Oracle"}</definedName>
    <definedName name="jhyf" hidden="1">{"example",#N/A,FALSE,"Import 1 - Oracle"}</definedName>
    <definedName name="jih" localSheetId="8" hidden="1">{"summary",#N/A,FALSE,"$ Summary";"humberside",#N/A,FALSE,"Local Currency Detail";"mersyside",#N/A,FALSE,"Local Currency Detail";"south wales",#N/A,FALSE,"Local Currency Detail";"teesside",#N/A,FALSE,"Local Currency Detail";"gent/terneuzen",#N/A,FALSE,"Local Currency Detail";"chalampe",#N/A,FALSE,"Local Currency Detail";"botlek",#N/A,FALSE,"Local Currency Detail";"pernis",#N/A,FALSE,"Local Currency Detail";"asu3/eup",#N/A,FALSE,"Local Currency Detail";"electronics uk/ned",#N/A,FALSE,"Local Currency Detail";"electronics ireland",#N/A,FALSE,"Local Currency Detail";"electronics italy",#N/A,FALSE,"Local Currency Detail";"electronics israel/france",#N/A,FALSE,"Local Currency Detail";"strasbourg/germany",#N/A,FALSE,"Local Currency Detail"}</definedName>
    <definedName name="jih" hidden="1">{"summary",#N/A,FALSE,"$ Summary";"humberside",#N/A,FALSE,"Local Currency Detail";"mersyside",#N/A,FALSE,"Local Currency Detail";"south wales",#N/A,FALSE,"Local Currency Detail";"teesside",#N/A,FALSE,"Local Currency Detail";"gent/terneuzen",#N/A,FALSE,"Local Currency Detail";"chalampe",#N/A,FALSE,"Local Currency Detail";"botlek",#N/A,FALSE,"Local Currency Detail";"pernis",#N/A,FALSE,"Local Currency Detail";"asu3/eup",#N/A,FALSE,"Local Currency Detail";"electronics uk/ned",#N/A,FALSE,"Local Currency Detail";"electronics ireland",#N/A,FALSE,"Local Currency Detail";"electronics italy",#N/A,FALSE,"Local Currency Detail";"electronics israel/france",#N/A,FALSE,"Local Currency Detail";"strasbourg/germany",#N/A,FALSE,"Local Currency Detail"}</definedName>
    <definedName name="JIJDSOIV" hidden="1">#REF!</definedName>
    <definedName name="jim" localSheetId="8" hidden="1">{"'Directory'!$A$72:$E$91"}</definedName>
    <definedName name="jim" hidden="1">{"'Directory'!$A$72:$E$91"}</definedName>
    <definedName name="jimm" localSheetId="8" hidden="1">{"'Directory'!$A$72:$E$91"}</definedName>
    <definedName name="jimm" hidden="1">{"'Directory'!$A$72:$E$91"}</definedName>
    <definedName name="jj" localSheetId="8" hidden="1">{#N/A,#N/A,FALSE,"Rohstoffnotierungen";#N/A,#N/A,FALSE,"ER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jj" hidden="1">{#N/A,#N/A,FALSE,"Rohstoffnotierungen";#N/A,#N/A,FALSE,"ER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jj.l" localSheetId="8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jj.l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jj_1" localSheetId="8" hidden="1">{#N/A,#N/A,FALSE,"Calc";#N/A,#N/A,FALSE,"Sensitivity";#N/A,#N/A,FALSE,"LT Earn.Dil.";#N/A,#N/A,FALSE,"Dil. AVP"}</definedName>
    <definedName name="jj_1" hidden="1">{#N/A,#N/A,FALSE,"Calc";#N/A,#N/A,FALSE,"Sensitivity";#N/A,#N/A,FALSE,"LT Earn.Dil.";#N/A,#N/A,FALSE,"Dil. AVP"}</definedName>
    <definedName name="jjhg.lllll" localSheetId="8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jjhg.lllll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jjj" localSheetId="7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jjj" localSheetId="8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jjj" hidden="1">{#N/A,#N/A,FALSE,"REPORT"}</definedName>
    <definedName name="jjj_1" localSheetId="8" hidden="1">{#N/A,#N/A,FALSE,"F94is";#N/A,#N/A,FALSE,"T94is";#N/A,#N/A,FALSE,"TOT94is";#N/A,#N/A,FALSE,"f94oh";#N/A,#N/A,FALSE,"Toh94";#N/A,#N/A,FALSE,"TOT94oh";#N/A,#N/A,FALSE,"SGA94";#N/A,#N/A,FALSE,"bs94";#N/A,#N/A,FALSE,"debt";#N/A,#N/A,FALSE,"f94proj";#N/A,#N/A,FALSE,"t94proj";#N/A,#N/A,FALSE,"tot94proj";#N/A,#N/A,FALSE,"f94ohproj";#N/A,#N/A,FALSE,"t94ohproj";#N/A,#N/A,FALSE,"tot94ohproj";#N/A,#N/A,FALSE,"projsga";#N/A,#N/A,FALSE,"projcf";#N/A,#N/A,FALSE,"Projline";#N/A,#N/A,FALSE,"bankline";#N/A,#N/A,FALSE,"Fast95is";#N/A,#N/A,FALSE,"tool95is";#N/A,#N/A,FALSE,"tot95is";#N/A,#N/A,FALSE,"tool950h";#N/A,#N/A,FALSE,"fas95oh";#N/A,#N/A,FALSE,"tot95oh";#N/A,#N/A,FALSE,"95sga"}</definedName>
    <definedName name="jjj_1" hidden="1">{#N/A,#N/A,FALSE,"F94is";#N/A,#N/A,FALSE,"T94is";#N/A,#N/A,FALSE,"TOT94is";#N/A,#N/A,FALSE,"f94oh";#N/A,#N/A,FALSE,"Toh94";#N/A,#N/A,FALSE,"TOT94oh";#N/A,#N/A,FALSE,"SGA94";#N/A,#N/A,FALSE,"bs94";#N/A,#N/A,FALSE,"debt";#N/A,#N/A,FALSE,"f94proj";#N/A,#N/A,FALSE,"t94proj";#N/A,#N/A,FALSE,"tot94proj";#N/A,#N/A,FALSE,"f94ohproj";#N/A,#N/A,FALSE,"t94ohproj";#N/A,#N/A,FALSE,"tot94ohproj";#N/A,#N/A,FALSE,"projsga";#N/A,#N/A,FALSE,"projcf";#N/A,#N/A,FALSE,"Projline";#N/A,#N/A,FALSE,"bankline";#N/A,#N/A,FALSE,"Fast95is";#N/A,#N/A,FALSE,"tool95is";#N/A,#N/A,FALSE,"tot95is";#N/A,#N/A,FALSE,"tool950h";#N/A,#N/A,FALSE,"fas95oh";#N/A,#N/A,FALSE,"tot95oh";#N/A,#N/A,FALSE,"95sga"}</definedName>
    <definedName name="jjjd" localSheetId="8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jjjd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jjjd_1" localSheetId="8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jjjd_1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jjjj" localSheetId="7" hidden="1">#REF!</definedName>
    <definedName name="jjjj" localSheetId="8" hidden="1">#REF!</definedName>
    <definedName name="jjjj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j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j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jj" localSheetId="8" hidden="1">#REF!</definedName>
    <definedName name="jjjjjj" hidden="1">#REF!</definedName>
    <definedName name="JJJY" localSheetId="8" hidden="1">{#N/A,#N/A,FALSE,"Aging Summary";#N/A,#N/A,FALSE,"Ratio Analysis";#N/A,#N/A,FALSE,"Test 120 Day Accts";#N/A,#N/A,FALSE,"Tickmarks"}</definedName>
    <definedName name="JJJY" hidden="1">{#N/A,#N/A,FALSE,"Aging Summary";#N/A,#N/A,FALSE,"Ratio Analysis";#N/A,#N/A,FALSE,"Test 120 Day Accts";#N/A,#N/A,FALSE,"Tickmarks"}</definedName>
    <definedName name="jjurj" hidden="1">#REF!</definedName>
    <definedName name="jk" localSheetId="8" hidden="1">{#N/A,#N/A,FALSE,"FY97";#N/A,#N/A,FALSE,"FY98";#N/A,#N/A,FALSE,"FY99";#N/A,#N/A,FALSE,"FY00";#N/A,#N/A,FALSE,"FY01"}</definedName>
    <definedName name="jk" hidden="1">{#N/A,#N/A,FALSE,"FY97";#N/A,#N/A,FALSE,"FY98";#N/A,#N/A,FALSE,"FY99";#N/A,#N/A,FALSE,"FY00";#N/A,#N/A,FALSE,"FY01"}</definedName>
    <definedName name="jk_1" localSheetId="8" hidden="1">{#N/A,#N/A,FALSE,"FY97";#N/A,#N/A,FALSE,"FY98";#N/A,#N/A,FALSE,"FY99";#N/A,#N/A,FALSE,"FY00";#N/A,#N/A,FALSE,"FY01"}</definedName>
    <definedName name="jk_1" hidden="1">{#N/A,#N/A,FALSE,"FY97";#N/A,#N/A,FALSE,"FY98";#N/A,#N/A,FALSE,"FY99";#N/A,#N/A,FALSE,"FY00";#N/A,#N/A,FALSE,"FY01"}</definedName>
    <definedName name="jkcnjnw" hidden="1">#REF!</definedName>
    <definedName name="jkgjh" localSheetId="8" hidden="1">{"consolidated",#N/A,FALSE,"Sheet1";"cms",#N/A,FALSE,"Sheet1";"fse",#N/A,FALSE,"Sheet1"}</definedName>
    <definedName name="jkgjh" hidden="1">{"consolidated",#N/A,FALSE,"Sheet1";"cms",#N/A,FALSE,"Sheet1";"fse",#N/A,FALSE,"Sheet1"}</definedName>
    <definedName name="jkgjh_1" localSheetId="8" hidden="1">{"consolidated",#N/A,FALSE,"Sheet1";"cms",#N/A,FALSE,"Sheet1";"fse",#N/A,FALSE,"Sheet1"}</definedName>
    <definedName name="jkgjh_1" hidden="1">{"consolidated",#N/A,FALSE,"Sheet1";"cms",#N/A,FALSE,"Sheet1";"fse",#N/A,FALSE,"Sheet1"}</definedName>
    <definedName name="jki" localSheetId="8" hidden="1">{"Ergebnisbericht_UBA",#N/A,FALSE,"MB"}</definedName>
    <definedName name="jki" hidden="1">{"Ergebnisbericht_UBA",#N/A,FALSE,"MB"}</definedName>
    <definedName name="jki_1" localSheetId="8" hidden="1">{"Ergebnisbericht_UBA",#N/A,FALSE,"MB"}</definedName>
    <definedName name="jki_1" hidden="1">{"Ergebnisbericht_UBA",#N/A,FALSE,"MB"}</definedName>
    <definedName name="jkiu" localSheetId="8" hidden="1">{#N/A,"PURCHM",FALSE,"Business Analysis";#N/A,"SPADD",FALSE,"Business Analysis"}</definedName>
    <definedName name="jkiu" hidden="1">{#N/A,"PURCHM",FALSE,"Business Analysis";#N/A,"SPADD",FALSE,"Business Analysis"}</definedName>
    <definedName name="JKJ" localSheetId="8" hidden="1">{#N/A,#N/A,FALSE,"Aging Summary";#N/A,#N/A,FALSE,"Ratio Analysis";#N/A,#N/A,FALSE,"Test 120 Day Accts";#N/A,#N/A,FALSE,"Tickmarks"}</definedName>
    <definedName name="JKJ" hidden="1">{#N/A,#N/A,FALSE,"Aging Summary";#N/A,#N/A,FALSE,"Ratio Analysis";#N/A,#N/A,FALSE,"Test 120 Day Accts";#N/A,#N/A,FALSE,"Tickmarks"}</definedName>
    <definedName name="jkjhk" localSheetId="8" hidden="1">{#N/A,#N/A,FALSE,"Produkte Erw.";#N/A,#N/A,FALSE,"Produkte Plan";#N/A,#N/A,FALSE,"Leistungen Erw.";#N/A,#N/A,FALSE,"Leistungen Plan";#N/A,#N/A,FALSE,"KA Allg.Kosten (2)";#N/A,#N/A,FALSE,"KA All.Kosten"}</definedName>
    <definedName name="jkjhk" hidden="1">{#N/A,#N/A,FALSE,"Produkte Erw.";#N/A,#N/A,FALSE,"Produkte Plan";#N/A,#N/A,FALSE,"Leistungen Erw.";#N/A,#N/A,FALSE,"Leistungen Plan";#N/A,#N/A,FALSE,"KA Allg.Kosten (2)";#N/A,#N/A,FALSE,"KA All.Kosten"}</definedName>
    <definedName name="jkjk" localSheetId="8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jkjk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jkjkj" hidden="1">#REF!</definedName>
    <definedName name="jkkjhkj" localSheetId="8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jkkjhkj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jkkloi" localSheetId="8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jkkloi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jkkloi_1" localSheetId="8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jkkloi_1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jkl" localSheetId="7" hidden="1">{#N/A,#N/A,FALSE,"REPORT"}</definedName>
    <definedName name="jkl" localSheetId="8" hidden="1">{#N/A,#N/A,FALSE,"REPORT"}</definedName>
    <definedName name="jkl" hidden="1">{#N/A,#N/A,FALSE,"REPORT"}</definedName>
    <definedName name="jklj" localSheetId="8" hidden="1">{"TOTAL",#N/A,FALSE,"A";"FISCAL94",#N/A,FALSE,"A";"FISCAL95",#N/A,FALSE,"A";"FISCAL96",#N/A,FALSE,"A";"misc page",#N/A,FALSE,"A"}</definedName>
    <definedName name="JKLJ" hidden="1">{#N/A,#N/A,FALSE,"CA";#N/A,#N/A,FALSE,"CN";#N/A,#N/A,FALSE,"Inv";#N/A,#N/A,FALSE,"Inv Acc";"Miguel_balance",#N/A,FALSE,"Bal";#N/A,#N/A,FALSE,"Plantilla";#N/A,#N/A,FALSE,"CA (2)";#N/A,#N/A,FALSE,"CN (2)"}</definedName>
    <definedName name="jklk" localSheetId="8" hidden="1">{#N/A,#N/A,FALSE,"Umsatz OK";#N/A,#N/A,FALSE,"ER OK ";#N/A,#N/A,FALSE,"EA OK (2)";#N/A,#N/A,FALSE,"EA OK";#N/A,#N/A,FALSE,"EA OK (3)";#N/A,#N/A,FALSE,"EA OK (4)";#N/A,#N/A,FALSE,"KA OK  (2)";#N/A,#N/A,FALSE,"KA OK";#N/A,#N/A,FALSE,"KA OK  (3)";#N/A,#N/A,FALSE,"KA OK (4)"}</definedName>
    <definedName name="jklk" hidden="1">{#N/A,#N/A,FALSE,"Umsatz OK";#N/A,#N/A,FALSE,"ER OK ";#N/A,#N/A,FALSE,"EA OK (2)";#N/A,#N/A,FALSE,"EA OK";#N/A,#N/A,FALSE,"EA OK (3)";#N/A,#N/A,FALSE,"EA OK (4)";#N/A,#N/A,FALSE,"KA OK  (2)";#N/A,#N/A,FALSE,"KA OK";#N/A,#N/A,FALSE,"KA OK  (3)";#N/A,#N/A,FALSE,"KA OK (4)"}</definedName>
    <definedName name="jklñ" localSheetId="8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jklñ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jkuyk" hidden="1">#REF!</definedName>
    <definedName name="jkwsd" localSheetId="8" hidden="1">{"detail",#N/A,FALSE,"mfg";"summary",#N/A,FALSE,"mfg"}</definedName>
    <definedName name="jkwsd" hidden="1">{"detail",#N/A,FALSE,"mfg";"summary",#N/A,FALSE,"mfg"}</definedName>
    <definedName name="jl" hidden="1">{#N/A,#N/A,FALSE,"INPUTS";#N/A,#N/A,FALSE,"PROFORMA BSHEET";#N/A,#N/A,FALSE,"COMBINED";#N/A,#N/A,FALSE,"HIGH YIELD";#N/A,#N/A,FALSE,"COMB_GRAPHS"}</definedName>
    <definedName name="jll" localSheetId="8" hidden="1">{"fssum01",#N/A,FALSE,"fssum";"fssum02",#N/A,FALSE,"fssum"}</definedName>
    <definedName name="jll" hidden="1">{"fssum01",#N/A,FALSE,"fssum";"fssum02",#N/A,FALSE,"fssum"}</definedName>
    <definedName name="jll_1" localSheetId="8" hidden="1">{"fssum01",#N/A,FALSE,"fssum";"fssum02",#N/A,FALSE,"fssum"}</definedName>
    <definedName name="jll_1" hidden="1">{"fssum01",#N/A,FALSE,"fssum";"fssum02",#N/A,FALSE,"fssum"}</definedName>
    <definedName name="JMKL" localSheetId="8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JMKL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jnbid" localSheetId="8" hidden="1">{"detail",#N/A,FALSE,"mfg";"summary",#N/A,FALSE,"mfg"}</definedName>
    <definedName name="jnbid" hidden="1">{"detail",#N/A,FALSE,"mfg";"summary",#N/A,FALSE,"mfg"}</definedName>
    <definedName name="jnbjhbghvfhgcvfgc" localSheetId="8" hidden="1">#REF!</definedName>
    <definedName name="jnbjhbghvfhgcvfgc" hidden="1">#REF!</definedName>
    <definedName name="jnv" localSheetId="8" hidden="1">{#N/A,#N/A,FALSE,"Hoja1";#N/A,#N/A,FALSE,"Hoja2"}</definedName>
    <definedName name="jnv" hidden="1">{#N/A,#N/A,FALSE,"Hoja1";#N/A,#N/A,FALSE,"Hoja2"}</definedName>
    <definedName name="jnv_1" localSheetId="8" hidden="1">{#N/A,#N/A,FALSE,"Hoja1";#N/A,#N/A,FALSE,"Hoja2"}</definedName>
    <definedName name="jnv_1" hidden="1">{#N/A,#N/A,FALSE,"Hoja1";#N/A,#N/A,FALSE,"Hoja2"}</definedName>
    <definedName name="jomn" localSheetId="8" hidden="1">{"pro_view",#N/A,FALSE,"EEFSNAP2";"rep_view",#N/A,FALSE,"EEFSNAP2"}</definedName>
    <definedName name="jomn" hidden="1">{"pro_view",#N/A,FALSE,"EEFSNAP2";"rep_view",#N/A,FALSE,"EEFSNAP2"}</definedName>
    <definedName name="jose" localSheetId="7" hidden="1">{"Análisis Ventas Ppto 2000",#N/A,FALSE,"Grupo";"Cta Res Ppto 2000",#N/A,FALSE,"Grupo";"Impacto Ppto 2000",#N/A,FALSE,"Grupo";"Bce Ppto 2000",#N/A,FALSE,"Grupo";"Cashflow Ppto 2000",#N/A,FALSE,"Grupo";"Resumen de Ventas",#N/A,FALSE,"VENTAS 2000";"Resumen Cta Res",#N/A,FALSE,"CTA RES 2000"}</definedName>
    <definedName name="jose" localSheetId="8" hidden="1">{"Análisis Ventas Ppto 2000",#N/A,FALSE,"Grupo";"Cta Res Ppto 2000",#N/A,FALSE,"Grupo";"Impacto Ppto 2000",#N/A,FALSE,"Grupo";"Bce Ppto 2000",#N/A,FALSE,"Grupo";"Cashflow Ppto 2000",#N/A,FALSE,"Grupo";"Resumen de Ventas",#N/A,FALSE,"VENTAS 2000";"Resumen Cta Res",#N/A,FALSE,"CTA RES 2000"}</definedName>
    <definedName name="jose" hidden="1">{"Análisis Ventas Ppto 2000",#N/A,FALSE,"Grupo";"Cta Res Ppto 2000",#N/A,FALSE,"Grupo";"Impacto Ppto 2000",#N/A,FALSE,"Grupo";"Bce Ppto 2000",#N/A,FALSE,"Grupo";"Cashflow Ppto 2000",#N/A,FALSE,"Grupo";"Resumen de Ventas",#N/A,FALSE,"VENTAS 2000";"Resumen Cta Res",#N/A,FALSE,"CTA RES 2000"}</definedName>
    <definedName name="jose_1" localSheetId="8" hidden="1">{"Análisis Ventas Ppto 2000",#N/A,FALSE,"Grupo";"Cta Res Ppto 2000",#N/A,FALSE,"Grupo";"Impacto Ppto 2000",#N/A,FALSE,"Grupo";"Bce Ppto 2000",#N/A,FALSE,"Grupo";"Cashflow Ppto 2000",#N/A,FALSE,"Grupo";"Resumen de Ventas",#N/A,FALSE,"VENTAS 2000";"Resumen Cta Res",#N/A,FALSE,"CTA RES 2000"}</definedName>
    <definedName name="jose_1" hidden="1">{"Análisis Ventas Ppto 2000",#N/A,FALSE,"Grupo";"Cta Res Ppto 2000",#N/A,FALSE,"Grupo";"Impacto Ppto 2000",#N/A,FALSE,"Grupo";"Bce Ppto 2000",#N/A,FALSE,"Grupo";"Cashflow Ppto 2000",#N/A,FALSE,"Grupo";"Resumen de Ventas",#N/A,FALSE,"VENTAS 2000";"Resumen Cta Res",#N/A,FALSE,"CTA RES 2000"}</definedName>
    <definedName name="jöuiuiuzi" localSheetId="8" hidden="1">{#N/A,#N/A,FALSE,"Umsatz 99";#N/A,#N/A,FALSE,"ER 99 "}</definedName>
    <definedName name="jöuiuiuzi" hidden="1">{#N/A,#N/A,FALSE,"Umsatz 99";#N/A,#N/A,FALSE,"ER 99 "}</definedName>
    <definedName name="jpm" localSheetId="8" hidden="1">{#N/A,#N/A,FALSE,"REPORT"}</definedName>
    <definedName name="jpm" hidden="1">{#N/A,#N/A,FALSE,"REPORT"}</definedName>
    <definedName name="jrj" hidden="1">#REF!</definedName>
    <definedName name="jrjr" hidden="1">{"'RR'!$A$2:$E$81"}</definedName>
    <definedName name="jrt" hidden="1">#REF!</definedName>
    <definedName name="jrtjtjtr" localSheetId="8" hidden="1">{#N/A,#N/A,FALSE,"Assessment";#N/A,#N/A,FALSE,"Staffing";#N/A,#N/A,FALSE,"Hires";#N/A,#N/A,FALSE,"Assumptions"}</definedName>
    <definedName name="jrtjtjtr" hidden="1">{#N/A,#N/A,FALSE,"Assessment";#N/A,#N/A,FALSE,"Staffing";#N/A,#N/A,FALSE,"Hires";#N/A,#N/A,FALSE,"Assumptions"}</definedName>
    <definedName name="js" localSheetId="8" hidden="1">{#N/A,#N/A,FALSE,"projcf";#N/A,#N/A,FALSE,"Projline";#N/A,#N/A,FALSE,"bankline";#N/A,#N/A,FALSE,"Fast95is";#N/A,#N/A,FALSE,"tool95is";#N/A,#N/A,FALSE,"tot95is";#N/A,#N/A,FALSE,"tool950h";#N/A,#N/A,FALSE,"fas95oh";#N/A,#N/A,FALSE,"tot95oh";#N/A,#N/A,FALSE,"95sga";#N/A,#N/A,FALSE,"95projcf";#N/A,#N/A,FALSE,"95loc";#N/A,#N/A,FALSE,"95bankline"}</definedName>
    <definedName name="js" hidden="1">{#N/A,#N/A,FALSE,"projcf";#N/A,#N/A,FALSE,"Projline";#N/A,#N/A,FALSE,"bankline";#N/A,#N/A,FALSE,"Fast95is";#N/A,#N/A,FALSE,"tool95is";#N/A,#N/A,FALSE,"tot95is";#N/A,#N/A,FALSE,"tool950h";#N/A,#N/A,FALSE,"fas95oh";#N/A,#N/A,FALSE,"tot95oh";#N/A,#N/A,FALSE,"95sga";#N/A,#N/A,FALSE,"95projcf";#N/A,#N/A,FALSE,"95loc";#N/A,#N/A,FALSE,"95bankline"}</definedName>
    <definedName name="js_1" localSheetId="8" hidden="1">{#N/A,#N/A,FALSE,"projcf";#N/A,#N/A,FALSE,"Projline";#N/A,#N/A,FALSE,"bankline";#N/A,#N/A,FALSE,"Fast95is";#N/A,#N/A,FALSE,"tool95is";#N/A,#N/A,FALSE,"tot95is";#N/A,#N/A,FALSE,"tool950h";#N/A,#N/A,FALSE,"fas95oh";#N/A,#N/A,FALSE,"tot95oh";#N/A,#N/A,FALSE,"95sga";#N/A,#N/A,FALSE,"95projcf";#N/A,#N/A,FALSE,"95loc";#N/A,#N/A,FALSE,"95bankline"}</definedName>
    <definedName name="js_1" hidden="1">{#N/A,#N/A,FALSE,"projcf";#N/A,#N/A,FALSE,"Projline";#N/A,#N/A,FALSE,"bankline";#N/A,#N/A,FALSE,"Fast95is";#N/A,#N/A,FALSE,"tool95is";#N/A,#N/A,FALSE,"tot95is";#N/A,#N/A,FALSE,"tool950h";#N/A,#N/A,FALSE,"fas95oh";#N/A,#N/A,FALSE,"tot95oh";#N/A,#N/A,FALSE,"95sga";#N/A,#N/A,FALSE,"95projcf";#N/A,#N/A,FALSE,"95loc";#N/A,#N/A,FALSE,"95bankline"}</definedName>
    <definedName name="jskljsljslk" localSheetId="8" hidden="1">[0]!TextRefCopy1</definedName>
    <definedName name="jskljsljslk" hidden="1">[0]!TextRefCopy1</definedName>
    <definedName name="jsnb" localSheetId="8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jsn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jst" localSheetId="8" hidden="1">{"Eilbericht_UBA",#N/A,FALSE,"EB"}</definedName>
    <definedName name="jst" hidden="1">{"Eilbericht_UBA",#N/A,FALSE,"EB"}</definedName>
    <definedName name="jst_1" localSheetId="8" hidden="1">{"Eilbericht_UBA",#N/A,FALSE,"EB"}</definedName>
    <definedName name="jst_1" hidden="1">{"Eilbericht_UBA",#N/A,FALSE,"EB"}</definedName>
    <definedName name="jtrjrt" localSheetId="8" hidden="1">{#N/A,#N/A,FALSE,"Assessment";#N/A,#N/A,FALSE,"Staffing";#N/A,#N/A,FALSE,"Hires";#N/A,#N/A,FALSE,"Assumptions"}</definedName>
    <definedName name="jtrjrt" hidden="1">{#N/A,#N/A,FALSE,"Assessment";#N/A,#N/A,FALSE,"Staffing";#N/A,#N/A,FALSE,"Hires";#N/A,#N/A,FALSE,"Assumptions"}</definedName>
    <definedName name="jttrkj" localSheetId="8" hidden="1">{#N/A,#N/A,FALSE,"Assessment";#N/A,#N/A,FALSE,"Staffing";#N/A,#N/A,FALSE,"Hires";#N/A,#N/A,FALSE,"Assumptions"}</definedName>
    <definedName name="jttrkj" hidden="1">{#N/A,#N/A,FALSE,"Assessment";#N/A,#N/A,FALSE,"Staffing";#N/A,#N/A,FALSE,"Hires";#N/A,#N/A,FALSE,"Assumptions"}</definedName>
    <definedName name="ju" localSheetId="8" hidden="1">{"detail",#N/A,FALSE,"mfg";"summary",#N/A,FALSE,"mfg"}</definedName>
    <definedName name="ju" hidden="1">{"detail",#N/A,FALSE,"mfg";"summary",#N/A,FALSE,"mfg"}</definedName>
    <definedName name="judy" localSheetId="7" hidden="1">{#N/A,#N/A,FALSE,"Pharm";#N/A,#N/A,FALSE,"WWCM"}</definedName>
    <definedName name="judy" localSheetId="8" hidden="1">{#N/A,#N/A,FALSE,"Pharm";#N/A,#N/A,FALSE,"WWCM"}</definedName>
    <definedName name="judy" hidden="1">{#N/A,#N/A,FALSE,"Pharm";#N/A,#N/A,FALSE,"WWCM"}</definedName>
    <definedName name="judy1" localSheetId="7" hidden="1">{#N/A,#N/A,FALSE,"Pharm";#N/A,#N/A,FALSE,"WWCM"}</definedName>
    <definedName name="judy1" localSheetId="8" hidden="1">{#N/A,#N/A,FALSE,"Pharm";#N/A,#N/A,FALSE,"WWCM"}</definedName>
    <definedName name="judy1" hidden="1">{#N/A,#N/A,FALSE,"Pharm";#N/A,#N/A,FALSE,"WWCM"}</definedName>
    <definedName name="juhuhu" localSheetId="8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juhuhu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jui" localSheetId="8" hidden="1">{"YD OTHER",#N/A,FALSE,"YTD"}</definedName>
    <definedName name="jui" hidden="1">{"YD OTHER",#N/A,FALSE,"YTD"}</definedName>
    <definedName name="juio" localSheetId="8" hidden="1">{"Page 1",#N/A,FALSE,"OpExJanVsPY";"Page 2",#N/A,FALSE,"OpExJanVsPY"}</definedName>
    <definedName name="juio" hidden="1">{"Page 1",#N/A,FALSE,"OpExJanVsPY";"Page 2",#N/A,FALSE,"OpExJanVsPY"}</definedName>
    <definedName name="juj" hidden="1">#REF!</definedName>
    <definedName name="juk" hidden="1">#REF!</definedName>
    <definedName name="jun" localSheetId="8" hidden="1">{#N/A,#N/A,FALSE,"SMT1";#N/A,#N/A,FALSE,"SMT2";#N/A,#N/A,FALSE,"Summary";#N/A,#N/A,FALSE,"Graphs";#N/A,#N/A,FALSE,"4 Panel"}</definedName>
    <definedName name="jun" hidden="1">{#N/A,#N/A,FALSE,"SMT1";#N/A,#N/A,FALSE,"SMT2";#N/A,#N/A,FALSE,"Summary";#N/A,#N/A,FALSE,"Graphs";#N/A,#N/A,FALSE,"4 Panel"}</definedName>
    <definedName name="junk" localSheetId="8" hidden="1">{#N/A,#N/A,FALSE,"CHANGES";#N/A,#N/A,FALSE,"PROD SUMMARY";#N/A,#N/A,FALSE,"1995 PO SUM";#N/A,#N/A,FALSE,"1995 GEOG SUM";#N/A,#N/A,FALSE,"1996 PO SUM";#N/A,#N/A,FALSE,"1996 GEOG SUM"}</definedName>
    <definedName name="junk" hidden="1">{#N/A,#N/A,FALSE,"CHANGES";#N/A,#N/A,FALSE,"PROD SUMMARY";#N/A,#N/A,FALSE,"1995 PO SUM";#N/A,#N/A,FALSE,"1995 GEOG SUM";#N/A,#N/A,FALSE,"1996 PO SUM";#N/A,#N/A,FALSE,"1996 GEOG SUM"}</definedName>
    <definedName name="junk2" localSheetId="8" hidden="1">{"BS",#N/A,FALSE,"USA"}</definedName>
    <definedName name="junk2" hidden="1">{"BS",#N/A,FALSE,"USA"}</definedName>
    <definedName name="junk3" localSheetId="8" hidden="1">{"BS",#N/A,FALSE,"USA"}</definedName>
    <definedName name="junk3" hidden="1">{"BS",#N/A,FALSE,"USA"}</definedName>
    <definedName name="jur" hidden="1">#REF!</definedName>
    <definedName name="jurj" hidden="1">#REF!</definedName>
    <definedName name="jwebnrf" localSheetId="8" hidden="1">{"werbung",#N/A,FALSE,"GuV9900-0399";"betrieb",#N/A,FALSE,"GuV9900-0399";"personal",#N/A,FALSE,"GuV9900-0399";"tvg",#N/A,FALSE,"GuV9900-0399";"verwaltung",#N/A,FALSE,"GuV9900-0399"}</definedName>
    <definedName name="jwebnrf" hidden="1">{"werbung",#N/A,FALSE,"GuV9900-0399";"betrieb",#N/A,FALSE,"GuV9900-0399";"personal",#N/A,FALSE,"GuV9900-0399";"tvg",#N/A,FALSE,"GuV9900-0399";"verwaltung",#N/A,FALSE,"GuV9900-0399"}</definedName>
    <definedName name="jwebnrf_1" localSheetId="8" hidden="1">{"werbung",#N/A,FALSE,"GuV9900-0399";"betrieb",#N/A,FALSE,"GuV9900-0399";"personal",#N/A,FALSE,"GuV9900-0399";"tvg",#N/A,FALSE,"GuV9900-0399";"verwaltung",#N/A,FALSE,"GuV9900-0399"}</definedName>
    <definedName name="jwebnrf_1" hidden="1">{"werbung",#N/A,FALSE,"GuV9900-0399";"betrieb",#N/A,FALSE,"GuV9900-0399";"personal",#N/A,FALSE,"GuV9900-0399";"tvg",#N/A,FALSE,"GuV9900-0399";"verwaltung",#N/A,FALSE,"GuV9900-0399"}</definedName>
    <definedName name="jws" hidden="1">#REF!</definedName>
    <definedName name="jyjkykhm" localSheetId="8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jyjkykhm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jyjyj" localSheetId="8" hidden="1">{#N/A,#N/A,FALSE,"debt";#N/A,#N/A,FALSE,"apsort";#N/A,#N/A,FALSE,"AR"}</definedName>
    <definedName name="jyjyj" hidden="1">{#N/A,#N/A,FALSE,"debt";#N/A,#N/A,FALSE,"apsort";#N/A,#N/A,FALSE,"AR"}</definedName>
    <definedName name="jyjyj_1" localSheetId="8" hidden="1">{#N/A,#N/A,FALSE,"debt";#N/A,#N/A,FALSE,"apsort";#N/A,#N/A,FALSE,"AR"}</definedName>
    <definedName name="jyjyj_1" hidden="1">{#N/A,#N/A,FALSE,"debt";#N/A,#N/A,FALSE,"apsort";#N/A,#N/A,FALSE,"AR"}</definedName>
    <definedName name="jz" localSheetId="8" hidden="1">{"Eilbericht_UBA",#N/A,FALSE,"EB"}</definedName>
    <definedName name="jz" hidden="1">{"Eilbericht_UBA",#N/A,FALSE,"EB"}</definedName>
    <definedName name="jz_1" localSheetId="8" hidden="1">{"Eilbericht_UBA",#N/A,FALSE,"EB"}</definedName>
    <definedName name="jz_1" hidden="1">{"Eilbericht_UBA",#N/A,FALSE,"EB"}</definedName>
    <definedName name="jzjt" localSheetId="8" hidden="1">{"Ergebnisbericht_UBA",#N/A,FALSE,"MB"}</definedName>
    <definedName name="jzjt" hidden="1">{"Ergebnisbericht_UBA",#N/A,FALSE,"MB"}</definedName>
    <definedName name="jzjt_1" localSheetId="8" hidden="1">{"Ergebnisbericht_UBA",#N/A,FALSE,"MB"}</definedName>
    <definedName name="jzjt_1" hidden="1">{"Ergebnisbericht_UBA",#N/A,FALSE,"MB"}</definedName>
    <definedName name="k" localSheetId="8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k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k_1" localSheetId="8" hidden="1">{"'Segmentos de Clientes'!$B$3:$F$14"}</definedName>
    <definedName name="k_1" hidden="1">{"'Segmentos de Clientes'!$B$3:$F$14"}</definedName>
    <definedName name="K2__EVCOMOPTS__" hidden="1">14</definedName>
    <definedName name="K2__LOCKEDCVW__" hidden="1">"MAIN,OTHERREV,ACTUAL,USD,E.2990,ALL_JOBS,ALL_ORGS,ALL_PROD,2004.JAN,PERIODIC,;"</definedName>
    <definedName name="K2__LOCKSTATUS__" hidden="1">2</definedName>
    <definedName name="K2__MAXEXPCOLS__" hidden="1">100</definedName>
    <definedName name="K2__MAXEXPROWS__" hidden="1">1000</definedName>
    <definedName name="K2__WBEVMODE__" hidden="1">1</definedName>
    <definedName name="K2__WBREFOPTIONS__" hidden="1">134217728</definedName>
    <definedName name="K2_WBEVMODE" localSheetId="8" hidden="1">-1</definedName>
    <definedName name="K2_WBEVMODE" hidden="1">0</definedName>
    <definedName name="K2_WBHASINITMODE" hidden="1">1</definedName>
    <definedName name="kajdbv" localSheetId="8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kajdbv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kam" hidden="1">{#N/A,#N/A,FALSE,"Aging Summary";#N/A,#N/A,FALSE,"Ratio Analysis";#N/A,#N/A,FALSE,"Test 120 Day Accts";#N/A,#N/A,FALSE,"Tickmarks"}</definedName>
    <definedName name="kam_1" hidden="1">{#N/A,#N/A,FALSE,"Aging Summary";#N/A,#N/A,FALSE,"Ratio Analysis";#N/A,#N/A,FALSE,"Test 120 Day Accts";#N/A,#N/A,FALSE,"Tickmarks"}</definedName>
    <definedName name="kam_1_1" hidden="1">{#N/A,#N/A,FALSE,"Aging Summary";#N/A,#N/A,FALSE,"Ratio Analysis";#N/A,#N/A,FALSE,"Test 120 Day Accts";#N/A,#N/A,FALSE,"Tickmarks"}</definedName>
    <definedName name="kam_1_1_1" hidden="1">{#N/A,#N/A,FALSE,"Aging Summary";#N/A,#N/A,FALSE,"Ratio Analysis";#N/A,#N/A,FALSE,"Test 120 Day Accts";#N/A,#N/A,FALSE,"Tickmarks"}</definedName>
    <definedName name="kam_1_1_1_1" hidden="1">{#N/A,#N/A,FALSE,"Aging Summary";#N/A,#N/A,FALSE,"Ratio Analysis";#N/A,#N/A,FALSE,"Test 120 Day Accts";#N/A,#N/A,FALSE,"Tickmarks"}</definedName>
    <definedName name="kam_1_1_1_2" hidden="1">{#N/A,#N/A,FALSE,"Aging Summary";#N/A,#N/A,FALSE,"Ratio Analysis";#N/A,#N/A,FALSE,"Test 120 Day Accts";#N/A,#N/A,FALSE,"Tickmarks"}</definedName>
    <definedName name="kam_1_1_2" hidden="1">{#N/A,#N/A,FALSE,"Aging Summary";#N/A,#N/A,FALSE,"Ratio Analysis";#N/A,#N/A,FALSE,"Test 120 Day Accts";#N/A,#N/A,FALSE,"Tickmarks"}</definedName>
    <definedName name="kam_1_1_2_1" hidden="1">{#N/A,#N/A,FALSE,"Aging Summary";#N/A,#N/A,FALSE,"Ratio Analysis";#N/A,#N/A,FALSE,"Test 120 Day Accts";#N/A,#N/A,FALSE,"Tickmarks"}</definedName>
    <definedName name="kam_1_1_2_2" hidden="1">{#N/A,#N/A,FALSE,"Aging Summary";#N/A,#N/A,FALSE,"Ratio Analysis";#N/A,#N/A,FALSE,"Test 120 Day Accts";#N/A,#N/A,FALSE,"Tickmarks"}</definedName>
    <definedName name="kam_1_1_3" hidden="1">{#N/A,#N/A,FALSE,"Aging Summary";#N/A,#N/A,FALSE,"Ratio Analysis";#N/A,#N/A,FALSE,"Test 120 Day Accts";#N/A,#N/A,FALSE,"Tickmarks"}</definedName>
    <definedName name="kam_1_1_4" hidden="1">{#N/A,#N/A,FALSE,"Aging Summary";#N/A,#N/A,FALSE,"Ratio Analysis";#N/A,#N/A,FALSE,"Test 120 Day Accts";#N/A,#N/A,FALSE,"Tickmarks"}</definedName>
    <definedName name="kam_1_2" hidden="1">{#N/A,#N/A,FALSE,"Aging Summary";#N/A,#N/A,FALSE,"Ratio Analysis";#N/A,#N/A,FALSE,"Test 120 Day Accts";#N/A,#N/A,FALSE,"Tickmarks"}</definedName>
    <definedName name="kam_1_2_1" hidden="1">{#N/A,#N/A,FALSE,"Aging Summary";#N/A,#N/A,FALSE,"Ratio Analysis";#N/A,#N/A,FALSE,"Test 120 Day Accts";#N/A,#N/A,FALSE,"Tickmarks"}</definedName>
    <definedName name="kam_1_2_1_1" hidden="1">{#N/A,#N/A,FALSE,"Aging Summary";#N/A,#N/A,FALSE,"Ratio Analysis";#N/A,#N/A,FALSE,"Test 120 Day Accts";#N/A,#N/A,FALSE,"Tickmarks"}</definedName>
    <definedName name="kam_1_2_1_2" hidden="1">{#N/A,#N/A,FALSE,"Aging Summary";#N/A,#N/A,FALSE,"Ratio Analysis";#N/A,#N/A,FALSE,"Test 120 Day Accts";#N/A,#N/A,FALSE,"Tickmarks"}</definedName>
    <definedName name="kam_1_2_2" hidden="1">{#N/A,#N/A,FALSE,"Aging Summary";#N/A,#N/A,FALSE,"Ratio Analysis";#N/A,#N/A,FALSE,"Test 120 Day Accts";#N/A,#N/A,FALSE,"Tickmarks"}</definedName>
    <definedName name="kam_1_2_2_1" hidden="1">{#N/A,#N/A,FALSE,"Aging Summary";#N/A,#N/A,FALSE,"Ratio Analysis";#N/A,#N/A,FALSE,"Test 120 Day Accts";#N/A,#N/A,FALSE,"Tickmarks"}</definedName>
    <definedName name="kam_1_2_2_2" hidden="1">{#N/A,#N/A,FALSE,"Aging Summary";#N/A,#N/A,FALSE,"Ratio Analysis";#N/A,#N/A,FALSE,"Test 120 Day Accts";#N/A,#N/A,FALSE,"Tickmarks"}</definedName>
    <definedName name="kam_1_2_3" hidden="1">{#N/A,#N/A,FALSE,"Aging Summary";#N/A,#N/A,FALSE,"Ratio Analysis";#N/A,#N/A,FALSE,"Test 120 Day Accts";#N/A,#N/A,FALSE,"Tickmarks"}</definedName>
    <definedName name="kam_1_2_4" hidden="1">{#N/A,#N/A,FALSE,"Aging Summary";#N/A,#N/A,FALSE,"Ratio Analysis";#N/A,#N/A,FALSE,"Test 120 Day Accts";#N/A,#N/A,FALSE,"Tickmarks"}</definedName>
    <definedName name="kam_1_3" hidden="1">{#N/A,#N/A,FALSE,"Aging Summary";#N/A,#N/A,FALSE,"Ratio Analysis";#N/A,#N/A,FALSE,"Test 120 Day Accts";#N/A,#N/A,FALSE,"Tickmarks"}</definedName>
    <definedName name="kam_1_3_1" hidden="1">{#N/A,#N/A,FALSE,"Aging Summary";#N/A,#N/A,FALSE,"Ratio Analysis";#N/A,#N/A,FALSE,"Test 120 Day Accts";#N/A,#N/A,FALSE,"Tickmarks"}</definedName>
    <definedName name="kam_1_3_1_1" hidden="1">{#N/A,#N/A,FALSE,"Aging Summary";#N/A,#N/A,FALSE,"Ratio Analysis";#N/A,#N/A,FALSE,"Test 120 Day Accts";#N/A,#N/A,FALSE,"Tickmarks"}</definedName>
    <definedName name="kam_1_3_1_2" hidden="1">{#N/A,#N/A,FALSE,"Aging Summary";#N/A,#N/A,FALSE,"Ratio Analysis";#N/A,#N/A,FALSE,"Test 120 Day Accts";#N/A,#N/A,FALSE,"Tickmarks"}</definedName>
    <definedName name="kam_1_3_2" hidden="1">{#N/A,#N/A,FALSE,"Aging Summary";#N/A,#N/A,FALSE,"Ratio Analysis";#N/A,#N/A,FALSE,"Test 120 Day Accts";#N/A,#N/A,FALSE,"Tickmarks"}</definedName>
    <definedName name="kam_1_3_2_1" hidden="1">{#N/A,#N/A,FALSE,"Aging Summary";#N/A,#N/A,FALSE,"Ratio Analysis";#N/A,#N/A,FALSE,"Test 120 Day Accts";#N/A,#N/A,FALSE,"Tickmarks"}</definedName>
    <definedName name="kam_1_3_2_2" hidden="1">{#N/A,#N/A,FALSE,"Aging Summary";#N/A,#N/A,FALSE,"Ratio Analysis";#N/A,#N/A,FALSE,"Test 120 Day Accts";#N/A,#N/A,FALSE,"Tickmarks"}</definedName>
    <definedName name="kam_1_3_3" hidden="1">{#N/A,#N/A,FALSE,"Aging Summary";#N/A,#N/A,FALSE,"Ratio Analysis";#N/A,#N/A,FALSE,"Test 120 Day Accts";#N/A,#N/A,FALSE,"Tickmarks"}</definedName>
    <definedName name="kam_1_3_4" hidden="1">{#N/A,#N/A,FALSE,"Aging Summary";#N/A,#N/A,FALSE,"Ratio Analysis";#N/A,#N/A,FALSE,"Test 120 Day Accts";#N/A,#N/A,FALSE,"Tickmarks"}</definedName>
    <definedName name="kam_1_4" hidden="1">{#N/A,#N/A,FALSE,"Aging Summary";#N/A,#N/A,FALSE,"Ratio Analysis";#N/A,#N/A,FALSE,"Test 120 Day Accts";#N/A,#N/A,FALSE,"Tickmarks"}</definedName>
    <definedName name="kam_1_4_1" hidden="1">{#N/A,#N/A,FALSE,"Aging Summary";#N/A,#N/A,FALSE,"Ratio Analysis";#N/A,#N/A,FALSE,"Test 120 Day Accts";#N/A,#N/A,FALSE,"Tickmarks"}</definedName>
    <definedName name="kam_1_4_1_1" hidden="1">{#N/A,#N/A,FALSE,"Aging Summary";#N/A,#N/A,FALSE,"Ratio Analysis";#N/A,#N/A,FALSE,"Test 120 Day Accts";#N/A,#N/A,FALSE,"Tickmarks"}</definedName>
    <definedName name="kam_1_4_1_2" hidden="1">{#N/A,#N/A,FALSE,"Aging Summary";#N/A,#N/A,FALSE,"Ratio Analysis";#N/A,#N/A,FALSE,"Test 120 Day Accts";#N/A,#N/A,FALSE,"Tickmarks"}</definedName>
    <definedName name="kam_1_4_2" hidden="1">{#N/A,#N/A,FALSE,"Aging Summary";#N/A,#N/A,FALSE,"Ratio Analysis";#N/A,#N/A,FALSE,"Test 120 Day Accts";#N/A,#N/A,FALSE,"Tickmarks"}</definedName>
    <definedName name="kam_1_4_2_1" hidden="1">{#N/A,#N/A,FALSE,"Aging Summary";#N/A,#N/A,FALSE,"Ratio Analysis";#N/A,#N/A,FALSE,"Test 120 Day Accts";#N/A,#N/A,FALSE,"Tickmarks"}</definedName>
    <definedName name="kam_1_4_2_2" hidden="1">{#N/A,#N/A,FALSE,"Aging Summary";#N/A,#N/A,FALSE,"Ratio Analysis";#N/A,#N/A,FALSE,"Test 120 Day Accts";#N/A,#N/A,FALSE,"Tickmarks"}</definedName>
    <definedName name="kam_1_4_3" hidden="1">{#N/A,#N/A,FALSE,"Aging Summary";#N/A,#N/A,FALSE,"Ratio Analysis";#N/A,#N/A,FALSE,"Test 120 Day Accts";#N/A,#N/A,FALSE,"Tickmarks"}</definedName>
    <definedName name="kam_1_4_4" hidden="1">{#N/A,#N/A,FALSE,"Aging Summary";#N/A,#N/A,FALSE,"Ratio Analysis";#N/A,#N/A,FALSE,"Test 120 Day Accts";#N/A,#N/A,FALSE,"Tickmarks"}</definedName>
    <definedName name="kam_1_5" hidden="1">{#N/A,#N/A,FALSE,"Aging Summary";#N/A,#N/A,FALSE,"Ratio Analysis";#N/A,#N/A,FALSE,"Test 120 Day Accts";#N/A,#N/A,FALSE,"Tickmarks"}</definedName>
    <definedName name="kam_1_5_1" hidden="1">{#N/A,#N/A,FALSE,"Aging Summary";#N/A,#N/A,FALSE,"Ratio Analysis";#N/A,#N/A,FALSE,"Test 120 Day Accts";#N/A,#N/A,FALSE,"Tickmarks"}</definedName>
    <definedName name="kam_1_5_1_1" hidden="1">{#N/A,#N/A,FALSE,"Aging Summary";#N/A,#N/A,FALSE,"Ratio Analysis";#N/A,#N/A,FALSE,"Test 120 Day Accts";#N/A,#N/A,FALSE,"Tickmarks"}</definedName>
    <definedName name="kam_1_5_1_2" hidden="1">{#N/A,#N/A,FALSE,"Aging Summary";#N/A,#N/A,FALSE,"Ratio Analysis";#N/A,#N/A,FALSE,"Test 120 Day Accts";#N/A,#N/A,FALSE,"Tickmarks"}</definedName>
    <definedName name="kam_1_5_2" hidden="1">{#N/A,#N/A,FALSE,"Aging Summary";#N/A,#N/A,FALSE,"Ratio Analysis";#N/A,#N/A,FALSE,"Test 120 Day Accts";#N/A,#N/A,FALSE,"Tickmarks"}</definedName>
    <definedName name="kam_1_5_2_1" hidden="1">{#N/A,#N/A,FALSE,"Aging Summary";#N/A,#N/A,FALSE,"Ratio Analysis";#N/A,#N/A,FALSE,"Test 120 Day Accts";#N/A,#N/A,FALSE,"Tickmarks"}</definedName>
    <definedName name="kam_1_5_2_2" hidden="1">{#N/A,#N/A,FALSE,"Aging Summary";#N/A,#N/A,FALSE,"Ratio Analysis";#N/A,#N/A,FALSE,"Test 120 Day Accts";#N/A,#N/A,FALSE,"Tickmarks"}</definedName>
    <definedName name="kam_1_5_3" hidden="1">{#N/A,#N/A,FALSE,"Aging Summary";#N/A,#N/A,FALSE,"Ratio Analysis";#N/A,#N/A,FALSE,"Test 120 Day Accts";#N/A,#N/A,FALSE,"Tickmarks"}</definedName>
    <definedName name="kam_1_5_4" hidden="1">{#N/A,#N/A,FALSE,"Aging Summary";#N/A,#N/A,FALSE,"Ratio Analysis";#N/A,#N/A,FALSE,"Test 120 Day Accts";#N/A,#N/A,FALSE,"Tickmarks"}</definedName>
    <definedName name="kam_2" hidden="1">{#N/A,#N/A,FALSE,"Aging Summary";#N/A,#N/A,FALSE,"Ratio Analysis";#N/A,#N/A,FALSE,"Test 120 Day Accts";#N/A,#N/A,FALSE,"Tickmarks"}</definedName>
    <definedName name="kam_2_1" hidden="1">{#N/A,#N/A,FALSE,"Aging Summary";#N/A,#N/A,FALSE,"Ratio Analysis";#N/A,#N/A,FALSE,"Test 120 Day Accts";#N/A,#N/A,FALSE,"Tickmarks"}</definedName>
    <definedName name="kam_2_1_1" hidden="1">{#N/A,#N/A,FALSE,"Aging Summary";#N/A,#N/A,FALSE,"Ratio Analysis";#N/A,#N/A,FALSE,"Test 120 Day Accts";#N/A,#N/A,FALSE,"Tickmarks"}</definedName>
    <definedName name="kam_2_1_1_1" hidden="1">{#N/A,#N/A,FALSE,"Aging Summary";#N/A,#N/A,FALSE,"Ratio Analysis";#N/A,#N/A,FALSE,"Test 120 Day Accts";#N/A,#N/A,FALSE,"Tickmarks"}</definedName>
    <definedName name="kam_2_1_1_2" hidden="1">{#N/A,#N/A,FALSE,"Aging Summary";#N/A,#N/A,FALSE,"Ratio Analysis";#N/A,#N/A,FALSE,"Test 120 Day Accts";#N/A,#N/A,FALSE,"Tickmarks"}</definedName>
    <definedName name="kam_2_1_2" hidden="1">{#N/A,#N/A,FALSE,"Aging Summary";#N/A,#N/A,FALSE,"Ratio Analysis";#N/A,#N/A,FALSE,"Test 120 Day Accts";#N/A,#N/A,FALSE,"Tickmarks"}</definedName>
    <definedName name="kam_2_1_2_1" hidden="1">{#N/A,#N/A,FALSE,"Aging Summary";#N/A,#N/A,FALSE,"Ratio Analysis";#N/A,#N/A,FALSE,"Test 120 Day Accts";#N/A,#N/A,FALSE,"Tickmarks"}</definedName>
    <definedName name="kam_2_1_2_2" hidden="1">{#N/A,#N/A,FALSE,"Aging Summary";#N/A,#N/A,FALSE,"Ratio Analysis";#N/A,#N/A,FALSE,"Test 120 Day Accts";#N/A,#N/A,FALSE,"Tickmarks"}</definedName>
    <definedName name="kam_2_1_3" hidden="1">{#N/A,#N/A,FALSE,"Aging Summary";#N/A,#N/A,FALSE,"Ratio Analysis";#N/A,#N/A,FALSE,"Test 120 Day Accts";#N/A,#N/A,FALSE,"Tickmarks"}</definedName>
    <definedName name="kam_2_1_4" hidden="1">{#N/A,#N/A,FALSE,"Aging Summary";#N/A,#N/A,FALSE,"Ratio Analysis";#N/A,#N/A,FALSE,"Test 120 Day Accts";#N/A,#N/A,FALSE,"Tickmarks"}</definedName>
    <definedName name="kam_2_2" hidden="1">{#N/A,#N/A,FALSE,"Aging Summary";#N/A,#N/A,FALSE,"Ratio Analysis";#N/A,#N/A,FALSE,"Test 120 Day Accts";#N/A,#N/A,FALSE,"Tickmarks"}</definedName>
    <definedName name="kam_2_2_1" hidden="1">{#N/A,#N/A,FALSE,"Aging Summary";#N/A,#N/A,FALSE,"Ratio Analysis";#N/A,#N/A,FALSE,"Test 120 Day Accts";#N/A,#N/A,FALSE,"Tickmarks"}</definedName>
    <definedName name="kam_2_2_1_1" hidden="1">{#N/A,#N/A,FALSE,"Aging Summary";#N/A,#N/A,FALSE,"Ratio Analysis";#N/A,#N/A,FALSE,"Test 120 Day Accts";#N/A,#N/A,FALSE,"Tickmarks"}</definedName>
    <definedName name="kam_2_2_1_2" hidden="1">{#N/A,#N/A,FALSE,"Aging Summary";#N/A,#N/A,FALSE,"Ratio Analysis";#N/A,#N/A,FALSE,"Test 120 Day Accts";#N/A,#N/A,FALSE,"Tickmarks"}</definedName>
    <definedName name="kam_2_2_2" hidden="1">{#N/A,#N/A,FALSE,"Aging Summary";#N/A,#N/A,FALSE,"Ratio Analysis";#N/A,#N/A,FALSE,"Test 120 Day Accts";#N/A,#N/A,FALSE,"Tickmarks"}</definedName>
    <definedName name="kam_2_2_2_1" hidden="1">{#N/A,#N/A,FALSE,"Aging Summary";#N/A,#N/A,FALSE,"Ratio Analysis";#N/A,#N/A,FALSE,"Test 120 Day Accts";#N/A,#N/A,FALSE,"Tickmarks"}</definedName>
    <definedName name="kam_2_2_2_2" hidden="1">{#N/A,#N/A,FALSE,"Aging Summary";#N/A,#N/A,FALSE,"Ratio Analysis";#N/A,#N/A,FALSE,"Test 120 Day Accts";#N/A,#N/A,FALSE,"Tickmarks"}</definedName>
    <definedName name="kam_2_2_3" hidden="1">{#N/A,#N/A,FALSE,"Aging Summary";#N/A,#N/A,FALSE,"Ratio Analysis";#N/A,#N/A,FALSE,"Test 120 Day Accts";#N/A,#N/A,FALSE,"Tickmarks"}</definedName>
    <definedName name="kam_2_2_4" hidden="1">{#N/A,#N/A,FALSE,"Aging Summary";#N/A,#N/A,FALSE,"Ratio Analysis";#N/A,#N/A,FALSE,"Test 120 Day Accts";#N/A,#N/A,FALSE,"Tickmarks"}</definedName>
    <definedName name="kam_2_3" hidden="1">{#N/A,#N/A,FALSE,"Aging Summary";#N/A,#N/A,FALSE,"Ratio Analysis";#N/A,#N/A,FALSE,"Test 120 Day Accts";#N/A,#N/A,FALSE,"Tickmarks"}</definedName>
    <definedName name="kam_2_3_1" hidden="1">{#N/A,#N/A,FALSE,"Aging Summary";#N/A,#N/A,FALSE,"Ratio Analysis";#N/A,#N/A,FALSE,"Test 120 Day Accts";#N/A,#N/A,FALSE,"Tickmarks"}</definedName>
    <definedName name="kam_2_3_1_1" hidden="1">{#N/A,#N/A,FALSE,"Aging Summary";#N/A,#N/A,FALSE,"Ratio Analysis";#N/A,#N/A,FALSE,"Test 120 Day Accts";#N/A,#N/A,FALSE,"Tickmarks"}</definedName>
    <definedName name="kam_2_3_1_2" hidden="1">{#N/A,#N/A,FALSE,"Aging Summary";#N/A,#N/A,FALSE,"Ratio Analysis";#N/A,#N/A,FALSE,"Test 120 Day Accts";#N/A,#N/A,FALSE,"Tickmarks"}</definedName>
    <definedName name="kam_2_3_2" hidden="1">{#N/A,#N/A,FALSE,"Aging Summary";#N/A,#N/A,FALSE,"Ratio Analysis";#N/A,#N/A,FALSE,"Test 120 Day Accts";#N/A,#N/A,FALSE,"Tickmarks"}</definedName>
    <definedName name="kam_2_3_2_1" hidden="1">{#N/A,#N/A,FALSE,"Aging Summary";#N/A,#N/A,FALSE,"Ratio Analysis";#N/A,#N/A,FALSE,"Test 120 Day Accts";#N/A,#N/A,FALSE,"Tickmarks"}</definedName>
    <definedName name="kam_2_3_2_2" hidden="1">{#N/A,#N/A,FALSE,"Aging Summary";#N/A,#N/A,FALSE,"Ratio Analysis";#N/A,#N/A,FALSE,"Test 120 Day Accts";#N/A,#N/A,FALSE,"Tickmarks"}</definedName>
    <definedName name="kam_2_3_3" hidden="1">{#N/A,#N/A,FALSE,"Aging Summary";#N/A,#N/A,FALSE,"Ratio Analysis";#N/A,#N/A,FALSE,"Test 120 Day Accts";#N/A,#N/A,FALSE,"Tickmarks"}</definedName>
    <definedName name="kam_2_3_4" hidden="1">{#N/A,#N/A,FALSE,"Aging Summary";#N/A,#N/A,FALSE,"Ratio Analysis";#N/A,#N/A,FALSE,"Test 120 Day Accts";#N/A,#N/A,FALSE,"Tickmarks"}</definedName>
    <definedName name="kam_2_4" hidden="1">{#N/A,#N/A,FALSE,"Aging Summary";#N/A,#N/A,FALSE,"Ratio Analysis";#N/A,#N/A,FALSE,"Test 120 Day Accts";#N/A,#N/A,FALSE,"Tickmarks"}</definedName>
    <definedName name="kam_2_4_1" hidden="1">{#N/A,#N/A,FALSE,"Aging Summary";#N/A,#N/A,FALSE,"Ratio Analysis";#N/A,#N/A,FALSE,"Test 120 Day Accts";#N/A,#N/A,FALSE,"Tickmarks"}</definedName>
    <definedName name="kam_2_4_1_1" hidden="1">{#N/A,#N/A,FALSE,"Aging Summary";#N/A,#N/A,FALSE,"Ratio Analysis";#N/A,#N/A,FALSE,"Test 120 Day Accts";#N/A,#N/A,FALSE,"Tickmarks"}</definedName>
    <definedName name="kam_2_4_1_2" hidden="1">{#N/A,#N/A,FALSE,"Aging Summary";#N/A,#N/A,FALSE,"Ratio Analysis";#N/A,#N/A,FALSE,"Test 120 Day Accts";#N/A,#N/A,FALSE,"Tickmarks"}</definedName>
    <definedName name="kam_2_4_2" hidden="1">{#N/A,#N/A,FALSE,"Aging Summary";#N/A,#N/A,FALSE,"Ratio Analysis";#N/A,#N/A,FALSE,"Test 120 Day Accts";#N/A,#N/A,FALSE,"Tickmarks"}</definedName>
    <definedName name="kam_2_4_2_1" hidden="1">{#N/A,#N/A,FALSE,"Aging Summary";#N/A,#N/A,FALSE,"Ratio Analysis";#N/A,#N/A,FALSE,"Test 120 Day Accts";#N/A,#N/A,FALSE,"Tickmarks"}</definedName>
    <definedName name="kam_2_4_2_2" hidden="1">{#N/A,#N/A,FALSE,"Aging Summary";#N/A,#N/A,FALSE,"Ratio Analysis";#N/A,#N/A,FALSE,"Test 120 Day Accts";#N/A,#N/A,FALSE,"Tickmarks"}</definedName>
    <definedName name="kam_2_4_3" hidden="1">{#N/A,#N/A,FALSE,"Aging Summary";#N/A,#N/A,FALSE,"Ratio Analysis";#N/A,#N/A,FALSE,"Test 120 Day Accts";#N/A,#N/A,FALSE,"Tickmarks"}</definedName>
    <definedName name="kam_2_4_4" hidden="1">{#N/A,#N/A,FALSE,"Aging Summary";#N/A,#N/A,FALSE,"Ratio Analysis";#N/A,#N/A,FALSE,"Test 120 Day Accts";#N/A,#N/A,FALSE,"Tickmarks"}</definedName>
    <definedName name="kam_2_5" hidden="1">{#N/A,#N/A,FALSE,"Aging Summary";#N/A,#N/A,FALSE,"Ratio Analysis";#N/A,#N/A,FALSE,"Test 120 Day Accts";#N/A,#N/A,FALSE,"Tickmarks"}</definedName>
    <definedName name="kam_2_5_1" hidden="1">{#N/A,#N/A,FALSE,"Aging Summary";#N/A,#N/A,FALSE,"Ratio Analysis";#N/A,#N/A,FALSE,"Test 120 Day Accts";#N/A,#N/A,FALSE,"Tickmarks"}</definedName>
    <definedName name="kam_2_5_1_1" hidden="1">{#N/A,#N/A,FALSE,"Aging Summary";#N/A,#N/A,FALSE,"Ratio Analysis";#N/A,#N/A,FALSE,"Test 120 Day Accts";#N/A,#N/A,FALSE,"Tickmarks"}</definedName>
    <definedName name="kam_2_5_1_2" hidden="1">{#N/A,#N/A,FALSE,"Aging Summary";#N/A,#N/A,FALSE,"Ratio Analysis";#N/A,#N/A,FALSE,"Test 120 Day Accts";#N/A,#N/A,FALSE,"Tickmarks"}</definedName>
    <definedName name="kam_2_5_2" hidden="1">{#N/A,#N/A,FALSE,"Aging Summary";#N/A,#N/A,FALSE,"Ratio Analysis";#N/A,#N/A,FALSE,"Test 120 Day Accts";#N/A,#N/A,FALSE,"Tickmarks"}</definedName>
    <definedName name="kam_2_5_2_1" hidden="1">{#N/A,#N/A,FALSE,"Aging Summary";#N/A,#N/A,FALSE,"Ratio Analysis";#N/A,#N/A,FALSE,"Test 120 Day Accts";#N/A,#N/A,FALSE,"Tickmarks"}</definedName>
    <definedName name="kam_2_5_2_2" hidden="1">{#N/A,#N/A,FALSE,"Aging Summary";#N/A,#N/A,FALSE,"Ratio Analysis";#N/A,#N/A,FALSE,"Test 120 Day Accts";#N/A,#N/A,FALSE,"Tickmarks"}</definedName>
    <definedName name="kam_2_5_3" hidden="1">{#N/A,#N/A,FALSE,"Aging Summary";#N/A,#N/A,FALSE,"Ratio Analysis";#N/A,#N/A,FALSE,"Test 120 Day Accts";#N/A,#N/A,FALSE,"Tickmarks"}</definedName>
    <definedName name="kam_2_5_4" hidden="1">{#N/A,#N/A,FALSE,"Aging Summary";#N/A,#N/A,FALSE,"Ratio Analysis";#N/A,#N/A,FALSE,"Test 120 Day Accts";#N/A,#N/A,FALSE,"Tickmarks"}</definedName>
    <definedName name="kam_3" hidden="1">{#N/A,#N/A,FALSE,"Aging Summary";#N/A,#N/A,FALSE,"Ratio Analysis";#N/A,#N/A,FALSE,"Test 120 Day Accts";#N/A,#N/A,FALSE,"Tickmarks"}</definedName>
    <definedName name="kam_3_1" hidden="1">{#N/A,#N/A,FALSE,"Aging Summary";#N/A,#N/A,FALSE,"Ratio Analysis";#N/A,#N/A,FALSE,"Test 120 Day Accts";#N/A,#N/A,FALSE,"Tickmarks"}</definedName>
    <definedName name="kam_3_1_1" hidden="1">{#N/A,#N/A,FALSE,"Aging Summary";#N/A,#N/A,FALSE,"Ratio Analysis";#N/A,#N/A,FALSE,"Test 120 Day Accts";#N/A,#N/A,FALSE,"Tickmarks"}</definedName>
    <definedName name="kam_3_1_1_1" hidden="1">{#N/A,#N/A,FALSE,"Aging Summary";#N/A,#N/A,FALSE,"Ratio Analysis";#N/A,#N/A,FALSE,"Test 120 Day Accts";#N/A,#N/A,FALSE,"Tickmarks"}</definedName>
    <definedName name="kam_3_1_1_2" hidden="1">{#N/A,#N/A,FALSE,"Aging Summary";#N/A,#N/A,FALSE,"Ratio Analysis";#N/A,#N/A,FALSE,"Test 120 Day Accts";#N/A,#N/A,FALSE,"Tickmarks"}</definedName>
    <definedName name="kam_3_1_2" hidden="1">{#N/A,#N/A,FALSE,"Aging Summary";#N/A,#N/A,FALSE,"Ratio Analysis";#N/A,#N/A,FALSE,"Test 120 Day Accts";#N/A,#N/A,FALSE,"Tickmarks"}</definedName>
    <definedName name="kam_3_1_2_1" hidden="1">{#N/A,#N/A,FALSE,"Aging Summary";#N/A,#N/A,FALSE,"Ratio Analysis";#N/A,#N/A,FALSE,"Test 120 Day Accts";#N/A,#N/A,FALSE,"Tickmarks"}</definedName>
    <definedName name="kam_3_1_2_2" hidden="1">{#N/A,#N/A,FALSE,"Aging Summary";#N/A,#N/A,FALSE,"Ratio Analysis";#N/A,#N/A,FALSE,"Test 120 Day Accts";#N/A,#N/A,FALSE,"Tickmarks"}</definedName>
    <definedName name="kam_3_1_3" hidden="1">{#N/A,#N/A,FALSE,"Aging Summary";#N/A,#N/A,FALSE,"Ratio Analysis";#N/A,#N/A,FALSE,"Test 120 Day Accts";#N/A,#N/A,FALSE,"Tickmarks"}</definedName>
    <definedName name="kam_3_1_4" hidden="1">{#N/A,#N/A,FALSE,"Aging Summary";#N/A,#N/A,FALSE,"Ratio Analysis";#N/A,#N/A,FALSE,"Test 120 Day Accts";#N/A,#N/A,FALSE,"Tickmarks"}</definedName>
    <definedName name="kam_3_2" hidden="1">{#N/A,#N/A,FALSE,"Aging Summary";#N/A,#N/A,FALSE,"Ratio Analysis";#N/A,#N/A,FALSE,"Test 120 Day Accts";#N/A,#N/A,FALSE,"Tickmarks"}</definedName>
    <definedName name="kam_3_2_1" hidden="1">{#N/A,#N/A,FALSE,"Aging Summary";#N/A,#N/A,FALSE,"Ratio Analysis";#N/A,#N/A,FALSE,"Test 120 Day Accts";#N/A,#N/A,FALSE,"Tickmarks"}</definedName>
    <definedName name="kam_3_2_1_1" hidden="1">{#N/A,#N/A,FALSE,"Aging Summary";#N/A,#N/A,FALSE,"Ratio Analysis";#N/A,#N/A,FALSE,"Test 120 Day Accts";#N/A,#N/A,FALSE,"Tickmarks"}</definedName>
    <definedName name="kam_3_2_1_2" hidden="1">{#N/A,#N/A,FALSE,"Aging Summary";#N/A,#N/A,FALSE,"Ratio Analysis";#N/A,#N/A,FALSE,"Test 120 Day Accts";#N/A,#N/A,FALSE,"Tickmarks"}</definedName>
    <definedName name="kam_3_2_2" hidden="1">{#N/A,#N/A,FALSE,"Aging Summary";#N/A,#N/A,FALSE,"Ratio Analysis";#N/A,#N/A,FALSE,"Test 120 Day Accts";#N/A,#N/A,FALSE,"Tickmarks"}</definedName>
    <definedName name="kam_3_2_2_1" hidden="1">{#N/A,#N/A,FALSE,"Aging Summary";#N/A,#N/A,FALSE,"Ratio Analysis";#N/A,#N/A,FALSE,"Test 120 Day Accts";#N/A,#N/A,FALSE,"Tickmarks"}</definedName>
    <definedName name="kam_3_2_2_2" hidden="1">{#N/A,#N/A,FALSE,"Aging Summary";#N/A,#N/A,FALSE,"Ratio Analysis";#N/A,#N/A,FALSE,"Test 120 Day Accts";#N/A,#N/A,FALSE,"Tickmarks"}</definedName>
    <definedName name="kam_3_2_3" hidden="1">{#N/A,#N/A,FALSE,"Aging Summary";#N/A,#N/A,FALSE,"Ratio Analysis";#N/A,#N/A,FALSE,"Test 120 Day Accts";#N/A,#N/A,FALSE,"Tickmarks"}</definedName>
    <definedName name="kam_3_2_4" hidden="1">{#N/A,#N/A,FALSE,"Aging Summary";#N/A,#N/A,FALSE,"Ratio Analysis";#N/A,#N/A,FALSE,"Test 120 Day Accts";#N/A,#N/A,FALSE,"Tickmarks"}</definedName>
    <definedName name="kam_3_3" hidden="1">{#N/A,#N/A,FALSE,"Aging Summary";#N/A,#N/A,FALSE,"Ratio Analysis";#N/A,#N/A,FALSE,"Test 120 Day Accts";#N/A,#N/A,FALSE,"Tickmarks"}</definedName>
    <definedName name="kam_3_3_1" hidden="1">{#N/A,#N/A,FALSE,"Aging Summary";#N/A,#N/A,FALSE,"Ratio Analysis";#N/A,#N/A,FALSE,"Test 120 Day Accts";#N/A,#N/A,FALSE,"Tickmarks"}</definedName>
    <definedName name="kam_3_3_1_1" hidden="1">{#N/A,#N/A,FALSE,"Aging Summary";#N/A,#N/A,FALSE,"Ratio Analysis";#N/A,#N/A,FALSE,"Test 120 Day Accts";#N/A,#N/A,FALSE,"Tickmarks"}</definedName>
    <definedName name="kam_3_3_1_2" hidden="1">{#N/A,#N/A,FALSE,"Aging Summary";#N/A,#N/A,FALSE,"Ratio Analysis";#N/A,#N/A,FALSE,"Test 120 Day Accts";#N/A,#N/A,FALSE,"Tickmarks"}</definedName>
    <definedName name="kam_3_3_2" hidden="1">{#N/A,#N/A,FALSE,"Aging Summary";#N/A,#N/A,FALSE,"Ratio Analysis";#N/A,#N/A,FALSE,"Test 120 Day Accts";#N/A,#N/A,FALSE,"Tickmarks"}</definedName>
    <definedName name="kam_3_3_2_1" hidden="1">{#N/A,#N/A,FALSE,"Aging Summary";#N/A,#N/A,FALSE,"Ratio Analysis";#N/A,#N/A,FALSE,"Test 120 Day Accts";#N/A,#N/A,FALSE,"Tickmarks"}</definedName>
    <definedName name="kam_3_3_2_2" hidden="1">{#N/A,#N/A,FALSE,"Aging Summary";#N/A,#N/A,FALSE,"Ratio Analysis";#N/A,#N/A,FALSE,"Test 120 Day Accts";#N/A,#N/A,FALSE,"Tickmarks"}</definedName>
    <definedName name="kam_3_3_3" hidden="1">{#N/A,#N/A,FALSE,"Aging Summary";#N/A,#N/A,FALSE,"Ratio Analysis";#N/A,#N/A,FALSE,"Test 120 Day Accts";#N/A,#N/A,FALSE,"Tickmarks"}</definedName>
    <definedName name="kam_3_3_4" hidden="1">{#N/A,#N/A,FALSE,"Aging Summary";#N/A,#N/A,FALSE,"Ratio Analysis";#N/A,#N/A,FALSE,"Test 120 Day Accts";#N/A,#N/A,FALSE,"Tickmarks"}</definedName>
    <definedName name="kam_3_4" hidden="1">{#N/A,#N/A,FALSE,"Aging Summary";#N/A,#N/A,FALSE,"Ratio Analysis";#N/A,#N/A,FALSE,"Test 120 Day Accts";#N/A,#N/A,FALSE,"Tickmarks"}</definedName>
    <definedName name="kam_3_4_1" hidden="1">{#N/A,#N/A,FALSE,"Aging Summary";#N/A,#N/A,FALSE,"Ratio Analysis";#N/A,#N/A,FALSE,"Test 120 Day Accts";#N/A,#N/A,FALSE,"Tickmarks"}</definedName>
    <definedName name="kam_3_4_1_1" hidden="1">{#N/A,#N/A,FALSE,"Aging Summary";#N/A,#N/A,FALSE,"Ratio Analysis";#N/A,#N/A,FALSE,"Test 120 Day Accts";#N/A,#N/A,FALSE,"Tickmarks"}</definedName>
    <definedName name="kam_3_4_1_2" hidden="1">{#N/A,#N/A,FALSE,"Aging Summary";#N/A,#N/A,FALSE,"Ratio Analysis";#N/A,#N/A,FALSE,"Test 120 Day Accts";#N/A,#N/A,FALSE,"Tickmarks"}</definedName>
    <definedName name="kam_3_4_2" hidden="1">{#N/A,#N/A,FALSE,"Aging Summary";#N/A,#N/A,FALSE,"Ratio Analysis";#N/A,#N/A,FALSE,"Test 120 Day Accts";#N/A,#N/A,FALSE,"Tickmarks"}</definedName>
    <definedName name="kam_3_4_2_1" hidden="1">{#N/A,#N/A,FALSE,"Aging Summary";#N/A,#N/A,FALSE,"Ratio Analysis";#N/A,#N/A,FALSE,"Test 120 Day Accts";#N/A,#N/A,FALSE,"Tickmarks"}</definedName>
    <definedName name="kam_3_4_2_2" hidden="1">{#N/A,#N/A,FALSE,"Aging Summary";#N/A,#N/A,FALSE,"Ratio Analysis";#N/A,#N/A,FALSE,"Test 120 Day Accts";#N/A,#N/A,FALSE,"Tickmarks"}</definedName>
    <definedName name="kam_3_4_3" hidden="1">{#N/A,#N/A,FALSE,"Aging Summary";#N/A,#N/A,FALSE,"Ratio Analysis";#N/A,#N/A,FALSE,"Test 120 Day Accts";#N/A,#N/A,FALSE,"Tickmarks"}</definedName>
    <definedName name="kam_3_4_4" hidden="1">{#N/A,#N/A,FALSE,"Aging Summary";#N/A,#N/A,FALSE,"Ratio Analysis";#N/A,#N/A,FALSE,"Test 120 Day Accts";#N/A,#N/A,FALSE,"Tickmarks"}</definedName>
    <definedName name="kam_3_5" hidden="1">{#N/A,#N/A,FALSE,"Aging Summary";#N/A,#N/A,FALSE,"Ratio Analysis";#N/A,#N/A,FALSE,"Test 120 Day Accts";#N/A,#N/A,FALSE,"Tickmarks"}</definedName>
    <definedName name="kam_3_5_1" hidden="1">{#N/A,#N/A,FALSE,"Aging Summary";#N/A,#N/A,FALSE,"Ratio Analysis";#N/A,#N/A,FALSE,"Test 120 Day Accts";#N/A,#N/A,FALSE,"Tickmarks"}</definedName>
    <definedName name="kam_3_5_1_1" hidden="1">{#N/A,#N/A,FALSE,"Aging Summary";#N/A,#N/A,FALSE,"Ratio Analysis";#N/A,#N/A,FALSE,"Test 120 Day Accts";#N/A,#N/A,FALSE,"Tickmarks"}</definedName>
    <definedName name="kam_3_5_1_2" hidden="1">{#N/A,#N/A,FALSE,"Aging Summary";#N/A,#N/A,FALSE,"Ratio Analysis";#N/A,#N/A,FALSE,"Test 120 Day Accts";#N/A,#N/A,FALSE,"Tickmarks"}</definedName>
    <definedName name="kam_3_5_2" hidden="1">{#N/A,#N/A,FALSE,"Aging Summary";#N/A,#N/A,FALSE,"Ratio Analysis";#N/A,#N/A,FALSE,"Test 120 Day Accts";#N/A,#N/A,FALSE,"Tickmarks"}</definedName>
    <definedName name="kam_3_5_2_1" hidden="1">{#N/A,#N/A,FALSE,"Aging Summary";#N/A,#N/A,FALSE,"Ratio Analysis";#N/A,#N/A,FALSE,"Test 120 Day Accts";#N/A,#N/A,FALSE,"Tickmarks"}</definedName>
    <definedName name="kam_3_5_2_2" hidden="1">{#N/A,#N/A,FALSE,"Aging Summary";#N/A,#N/A,FALSE,"Ratio Analysis";#N/A,#N/A,FALSE,"Test 120 Day Accts";#N/A,#N/A,FALSE,"Tickmarks"}</definedName>
    <definedName name="kam_3_5_3" hidden="1">{#N/A,#N/A,FALSE,"Aging Summary";#N/A,#N/A,FALSE,"Ratio Analysis";#N/A,#N/A,FALSE,"Test 120 Day Accts";#N/A,#N/A,FALSE,"Tickmarks"}</definedName>
    <definedName name="kam_3_5_4" hidden="1">{#N/A,#N/A,FALSE,"Aging Summary";#N/A,#N/A,FALSE,"Ratio Analysis";#N/A,#N/A,FALSE,"Test 120 Day Accts";#N/A,#N/A,FALSE,"Tickmarks"}</definedName>
    <definedName name="kam_4" hidden="1">{#N/A,#N/A,FALSE,"Aging Summary";#N/A,#N/A,FALSE,"Ratio Analysis";#N/A,#N/A,FALSE,"Test 120 Day Accts";#N/A,#N/A,FALSE,"Tickmarks"}</definedName>
    <definedName name="kam_4_1" hidden="1">{#N/A,#N/A,FALSE,"Aging Summary";#N/A,#N/A,FALSE,"Ratio Analysis";#N/A,#N/A,FALSE,"Test 120 Day Accts";#N/A,#N/A,FALSE,"Tickmarks"}</definedName>
    <definedName name="kam_4_1_1" hidden="1">{#N/A,#N/A,FALSE,"Aging Summary";#N/A,#N/A,FALSE,"Ratio Analysis";#N/A,#N/A,FALSE,"Test 120 Day Accts";#N/A,#N/A,FALSE,"Tickmarks"}</definedName>
    <definedName name="kam_4_1_2" hidden="1">{#N/A,#N/A,FALSE,"Aging Summary";#N/A,#N/A,FALSE,"Ratio Analysis";#N/A,#N/A,FALSE,"Test 120 Day Accts";#N/A,#N/A,FALSE,"Tickmarks"}</definedName>
    <definedName name="kam_4_2" hidden="1">{#N/A,#N/A,FALSE,"Aging Summary";#N/A,#N/A,FALSE,"Ratio Analysis";#N/A,#N/A,FALSE,"Test 120 Day Accts";#N/A,#N/A,FALSE,"Tickmarks"}</definedName>
    <definedName name="kam_4_2_1" hidden="1">{#N/A,#N/A,FALSE,"Aging Summary";#N/A,#N/A,FALSE,"Ratio Analysis";#N/A,#N/A,FALSE,"Test 120 Day Accts";#N/A,#N/A,FALSE,"Tickmarks"}</definedName>
    <definedName name="kam_4_2_2" hidden="1">{#N/A,#N/A,FALSE,"Aging Summary";#N/A,#N/A,FALSE,"Ratio Analysis";#N/A,#N/A,FALSE,"Test 120 Day Accts";#N/A,#N/A,FALSE,"Tickmarks"}</definedName>
    <definedName name="kam_4_3" hidden="1">{#N/A,#N/A,FALSE,"Aging Summary";#N/A,#N/A,FALSE,"Ratio Analysis";#N/A,#N/A,FALSE,"Test 120 Day Accts";#N/A,#N/A,FALSE,"Tickmarks"}</definedName>
    <definedName name="kam_4_4" hidden="1">{#N/A,#N/A,FALSE,"Aging Summary";#N/A,#N/A,FALSE,"Ratio Analysis";#N/A,#N/A,FALSE,"Test 120 Day Accts";#N/A,#N/A,FALSE,"Tickmarks"}</definedName>
    <definedName name="kam_5" hidden="1">{#N/A,#N/A,FALSE,"Aging Summary";#N/A,#N/A,FALSE,"Ratio Analysis";#N/A,#N/A,FALSE,"Test 120 Day Accts";#N/A,#N/A,FALSE,"Tickmarks"}</definedName>
    <definedName name="kam_5_1" hidden="1">{#N/A,#N/A,FALSE,"Aging Summary";#N/A,#N/A,FALSE,"Ratio Analysis";#N/A,#N/A,FALSE,"Test 120 Day Accts";#N/A,#N/A,FALSE,"Tickmarks"}</definedName>
    <definedName name="kam_5_1_1" hidden="1">{#N/A,#N/A,FALSE,"Aging Summary";#N/A,#N/A,FALSE,"Ratio Analysis";#N/A,#N/A,FALSE,"Test 120 Day Accts";#N/A,#N/A,FALSE,"Tickmarks"}</definedName>
    <definedName name="kam_5_1_2" hidden="1">{#N/A,#N/A,FALSE,"Aging Summary";#N/A,#N/A,FALSE,"Ratio Analysis";#N/A,#N/A,FALSE,"Test 120 Day Accts";#N/A,#N/A,FALSE,"Tickmarks"}</definedName>
    <definedName name="kam_5_2" hidden="1">{#N/A,#N/A,FALSE,"Aging Summary";#N/A,#N/A,FALSE,"Ratio Analysis";#N/A,#N/A,FALSE,"Test 120 Day Accts";#N/A,#N/A,FALSE,"Tickmarks"}</definedName>
    <definedName name="kam_5_2_1" hidden="1">{#N/A,#N/A,FALSE,"Aging Summary";#N/A,#N/A,FALSE,"Ratio Analysis";#N/A,#N/A,FALSE,"Test 120 Day Accts";#N/A,#N/A,FALSE,"Tickmarks"}</definedName>
    <definedName name="kam_5_2_2" hidden="1">{#N/A,#N/A,FALSE,"Aging Summary";#N/A,#N/A,FALSE,"Ratio Analysis";#N/A,#N/A,FALSE,"Test 120 Day Accts";#N/A,#N/A,FALSE,"Tickmarks"}</definedName>
    <definedName name="kam_5_3" hidden="1">{#N/A,#N/A,FALSE,"Aging Summary";#N/A,#N/A,FALSE,"Ratio Analysis";#N/A,#N/A,FALSE,"Test 120 Day Accts";#N/A,#N/A,FALSE,"Tickmarks"}</definedName>
    <definedName name="kam_5_4" hidden="1">{#N/A,#N/A,FALSE,"Aging Summary";#N/A,#N/A,FALSE,"Ratio Analysis";#N/A,#N/A,FALSE,"Test 120 Day Accts";#N/A,#N/A,FALSE,"Tickmarks"}</definedName>
    <definedName name="Kamila" hidden="1">{#N/A,#N/A,FALSE,"Aging Summary";#N/A,#N/A,FALSE,"Ratio Analysis";#N/A,#N/A,FALSE,"Test 120 Day Accts";#N/A,#N/A,FALSE,"Tickmarks"}</definedName>
    <definedName name="Kamila_1" hidden="1">{#N/A,#N/A,FALSE,"Aging Summary";#N/A,#N/A,FALSE,"Ratio Analysis";#N/A,#N/A,FALSE,"Test 120 Day Accts";#N/A,#N/A,FALSE,"Tickmarks"}</definedName>
    <definedName name="Kamila_1_1" hidden="1">{#N/A,#N/A,FALSE,"Aging Summary";#N/A,#N/A,FALSE,"Ratio Analysis";#N/A,#N/A,FALSE,"Test 120 Day Accts";#N/A,#N/A,FALSE,"Tickmarks"}</definedName>
    <definedName name="Kamila_1_1_1" hidden="1">{#N/A,#N/A,FALSE,"Aging Summary";#N/A,#N/A,FALSE,"Ratio Analysis";#N/A,#N/A,FALSE,"Test 120 Day Accts";#N/A,#N/A,FALSE,"Tickmarks"}</definedName>
    <definedName name="Kamila_1_1_1_1" hidden="1">{#N/A,#N/A,FALSE,"Aging Summary";#N/A,#N/A,FALSE,"Ratio Analysis";#N/A,#N/A,FALSE,"Test 120 Day Accts";#N/A,#N/A,FALSE,"Tickmarks"}</definedName>
    <definedName name="Kamila_1_1_1_2" hidden="1">{#N/A,#N/A,FALSE,"Aging Summary";#N/A,#N/A,FALSE,"Ratio Analysis";#N/A,#N/A,FALSE,"Test 120 Day Accts";#N/A,#N/A,FALSE,"Tickmarks"}</definedName>
    <definedName name="Kamila_1_1_2" hidden="1">{#N/A,#N/A,FALSE,"Aging Summary";#N/A,#N/A,FALSE,"Ratio Analysis";#N/A,#N/A,FALSE,"Test 120 Day Accts";#N/A,#N/A,FALSE,"Tickmarks"}</definedName>
    <definedName name="Kamila_1_1_2_1" hidden="1">{#N/A,#N/A,FALSE,"Aging Summary";#N/A,#N/A,FALSE,"Ratio Analysis";#N/A,#N/A,FALSE,"Test 120 Day Accts";#N/A,#N/A,FALSE,"Tickmarks"}</definedName>
    <definedName name="Kamila_1_1_2_2" hidden="1">{#N/A,#N/A,FALSE,"Aging Summary";#N/A,#N/A,FALSE,"Ratio Analysis";#N/A,#N/A,FALSE,"Test 120 Day Accts";#N/A,#N/A,FALSE,"Tickmarks"}</definedName>
    <definedName name="Kamila_1_1_3" hidden="1">{#N/A,#N/A,FALSE,"Aging Summary";#N/A,#N/A,FALSE,"Ratio Analysis";#N/A,#N/A,FALSE,"Test 120 Day Accts";#N/A,#N/A,FALSE,"Tickmarks"}</definedName>
    <definedName name="Kamila_1_1_4" hidden="1">{#N/A,#N/A,FALSE,"Aging Summary";#N/A,#N/A,FALSE,"Ratio Analysis";#N/A,#N/A,FALSE,"Test 120 Day Accts";#N/A,#N/A,FALSE,"Tickmarks"}</definedName>
    <definedName name="Kamila_1_2" hidden="1">{#N/A,#N/A,FALSE,"Aging Summary";#N/A,#N/A,FALSE,"Ratio Analysis";#N/A,#N/A,FALSE,"Test 120 Day Accts";#N/A,#N/A,FALSE,"Tickmarks"}</definedName>
    <definedName name="Kamila_1_2_1" hidden="1">{#N/A,#N/A,FALSE,"Aging Summary";#N/A,#N/A,FALSE,"Ratio Analysis";#N/A,#N/A,FALSE,"Test 120 Day Accts";#N/A,#N/A,FALSE,"Tickmarks"}</definedName>
    <definedName name="Kamila_1_2_1_1" hidden="1">{#N/A,#N/A,FALSE,"Aging Summary";#N/A,#N/A,FALSE,"Ratio Analysis";#N/A,#N/A,FALSE,"Test 120 Day Accts";#N/A,#N/A,FALSE,"Tickmarks"}</definedName>
    <definedName name="Kamila_1_2_1_2" hidden="1">{#N/A,#N/A,FALSE,"Aging Summary";#N/A,#N/A,FALSE,"Ratio Analysis";#N/A,#N/A,FALSE,"Test 120 Day Accts";#N/A,#N/A,FALSE,"Tickmarks"}</definedName>
    <definedName name="Kamila_1_2_2" hidden="1">{#N/A,#N/A,FALSE,"Aging Summary";#N/A,#N/A,FALSE,"Ratio Analysis";#N/A,#N/A,FALSE,"Test 120 Day Accts";#N/A,#N/A,FALSE,"Tickmarks"}</definedName>
    <definedName name="Kamila_1_2_2_1" hidden="1">{#N/A,#N/A,FALSE,"Aging Summary";#N/A,#N/A,FALSE,"Ratio Analysis";#N/A,#N/A,FALSE,"Test 120 Day Accts";#N/A,#N/A,FALSE,"Tickmarks"}</definedName>
    <definedName name="Kamila_1_2_2_2" hidden="1">{#N/A,#N/A,FALSE,"Aging Summary";#N/A,#N/A,FALSE,"Ratio Analysis";#N/A,#N/A,FALSE,"Test 120 Day Accts";#N/A,#N/A,FALSE,"Tickmarks"}</definedName>
    <definedName name="Kamila_1_2_3" hidden="1">{#N/A,#N/A,FALSE,"Aging Summary";#N/A,#N/A,FALSE,"Ratio Analysis";#N/A,#N/A,FALSE,"Test 120 Day Accts";#N/A,#N/A,FALSE,"Tickmarks"}</definedName>
    <definedName name="Kamila_1_2_4" hidden="1">{#N/A,#N/A,FALSE,"Aging Summary";#N/A,#N/A,FALSE,"Ratio Analysis";#N/A,#N/A,FALSE,"Test 120 Day Accts";#N/A,#N/A,FALSE,"Tickmarks"}</definedName>
    <definedName name="Kamila_1_3" hidden="1">{#N/A,#N/A,FALSE,"Aging Summary";#N/A,#N/A,FALSE,"Ratio Analysis";#N/A,#N/A,FALSE,"Test 120 Day Accts";#N/A,#N/A,FALSE,"Tickmarks"}</definedName>
    <definedName name="Kamila_1_3_1" hidden="1">{#N/A,#N/A,FALSE,"Aging Summary";#N/A,#N/A,FALSE,"Ratio Analysis";#N/A,#N/A,FALSE,"Test 120 Day Accts";#N/A,#N/A,FALSE,"Tickmarks"}</definedName>
    <definedName name="Kamila_1_3_1_1" hidden="1">{#N/A,#N/A,FALSE,"Aging Summary";#N/A,#N/A,FALSE,"Ratio Analysis";#N/A,#N/A,FALSE,"Test 120 Day Accts";#N/A,#N/A,FALSE,"Tickmarks"}</definedName>
    <definedName name="Kamila_1_3_1_2" hidden="1">{#N/A,#N/A,FALSE,"Aging Summary";#N/A,#N/A,FALSE,"Ratio Analysis";#N/A,#N/A,FALSE,"Test 120 Day Accts";#N/A,#N/A,FALSE,"Tickmarks"}</definedName>
    <definedName name="Kamila_1_3_2" hidden="1">{#N/A,#N/A,FALSE,"Aging Summary";#N/A,#N/A,FALSE,"Ratio Analysis";#N/A,#N/A,FALSE,"Test 120 Day Accts";#N/A,#N/A,FALSE,"Tickmarks"}</definedName>
    <definedName name="Kamila_1_3_2_1" hidden="1">{#N/A,#N/A,FALSE,"Aging Summary";#N/A,#N/A,FALSE,"Ratio Analysis";#N/A,#N/A,FALSE,"Test 120 Day Accts";#N/A,#N/A,FALSE,"Tickmarks"}</definedName>
    <definedName name="Kamila_1_3_2_2" hidden="1">{#N/A,#N/A,FALSE,"Aging Summary";#N/A,#N/A,FALSE,"Ratio Analysis";#N/A,#N/A,FALSE,"Test 120 Day Accts";#N/A,#N/A,FALSE,"Tickmarks"}</definedName>
    <definedName name="Kamila_1_3_3" hidden="1">{#N/A,#N/A,FALSE,"Aging Summary";#N/A,#N/A,FALSE,"Ratio Analysis";#N/A,#N/A,FALSE,"Test 120 Day Accts";#N/A,#N/A,FALSE,"Tickmarks"}</definedName>
    <definedName name="Kamila_1_3_4" hidden="1">{#N/A,#N/A,FALSE,"Aging Summary";#N/A,#N/A,FALSE,"Ratio Analysis";#N/A,#N/A,FALSE,"Test 120 Day Accts";#N/A,#N/A,FALSE,"Tickmarks"}</definedName>
    <definedName name="Kamila_1_4" hidden="1">{#N/A,#N/A,FALSE,"Aging Summary";#N/A,#N/A,FALSE,"Ratio Analysis";#N/A,#N/A,FALSE,"Test 120 Day Accts";#N/A,#N/A,FALSE,"Tickmarks"}</definedName>
    <definedName name="Kamila_1_4_1" hidden="1">{#N/A,#N/A,FALSE,"Aging Summary";#N/A,#N/A,FALSE,"Ratio Analysis";#N/A,#N/A,FALSE,"Test 120 Day Accts";#N/A,#N/A,FALSE,"Tickmarks"}</definedName>
    <definedName name="Kamila_1_4_1_1" hidden="1">{#N/A,#N/A,FALSE,"Aging Summary";#N/A,#N/A,FALSE,"Ratio Analysis";#N/A,#N/A,FALSE,"Test 120 Day Accts";#N/A,#N/A,FALSE,"Tickmarks"}</definedName>
    <definedName name="Kamila_1_4_1_2" hidden="1">{#N/A,#N/A,FALSE,"Aging Summary";#N/A,#N/A,FALSE,"Ratio Analysis";#N/A,#N/A,FALSE,"Test 120 Day Accts";#N/A,#N/A,FALSE,"Tickmarks"}</definedName>
    <definedName name="Kamila_1_4_2" hidden="1">{#N/A,#N/A,FALSE,"Aging Summary";#N/A,#N/A,FALSE,"Ratio Analysis";#N/A,#N/A,FALSE,"Test 120 Day Accts";#N/A,#N/A,FALSE,"Tickmarks"}</definedName>
    <definedName name="Kamila_1_4_2_1" hidden="1">{#N/A,#N/A,FALSE,"Aging Summary";#N/A,#N/A,FALSE,"Ratio Analysis";#N/A,#N/A,FALSE,"Test 120 Day Accts";#N/A,#N/A,FALSE,"Tickmarks"}</definedName>
    <definedName name="Kamila_1_4_2_2" hidden="1">{#N/A,#N/A,FALSE,"Aging Summary";#N/A,#N/A,FALSE,"Ratio Analysis";#N/A,#N/A,FALSE,"Test 120 Day Accts";#N/A,#N/A,FALSE,"Tickmarks"}</definedName>
    <definedName name="Kamila_1_4_3" hidden="1">{#N/A,#N/A,FALSE,"Aging Summary";#N/A,#N/A,FALSE,"Ratio Analysis";#N/A,#N/A,FALSE,"Test 120 Day Accts";#N/A,#N/A,FALSE,"Tickmarks"}</definedName>
    <definedName name="Kamila_1_4_4" hidden="1">{#N/A,#N/A,FALSE,"Aging Summary";#N/A,#N/A,FALSE,"Ratio Analysis";#N/A,#N/A,FALSE,"Test 120 Day Accts";#N/A,#N/A,FALSE,"Tickmarks"}</definedName>
    <definedName name="Kamila_1_5" hidden="1">{#N/A,#N/A,FALSE,"Aging Summary";#N/A,#N/A,FALSE,"Ratio Analysis";#N/A,#N/A,FALSE,"Test 120 Day Accts";#N/A,#N/A,FALSE,"Tickmarks"}</definedName>
    <definedName name="Kamila_1_5_1" hidden="1">{#N/A,#N/A,FALSE,"Aging Summary";#N/A,#N/A,FALSE,"Ratio Analysis";#N/A,#N/A,FALSE,"Test 120 Day Accts";#N/A,#N/A,FALSE,"Tickmarks"}</definedName>
    <definedName name="Kamila_1_5_1_1" hidden="1">{#N/A,#N/A,FALSE,"Aging Summary";#N/A,#N/A,FALSE,"Ratio Analysis";#N/A,#N/A,FALSE,"Test 120 Day Accts";#N/A,#N/A,FALSE,"Tickmarks"}</definedName>
    <definedName name="Kamila_1_5_1_2" hidden="1">{#N/A,#N/A,FALSE,"Aging Summary";#N/A,#N/A,FALSE,"Ratio Analysis";#N/A,#N/A,FALSE,"Test 120 Day Accts";#N/A,#N/A,FALSE,"Tickmarks"}</definedName>
    <definedName name="Kamila_1_5_2" hidden="1">{#N/A,#N/A,FALSE,"Aging Summary";#N/A,#N/A,FALSE,"Ratio Analysis";#N/A,#N/A,FALSE,"Test 120 Day Accts";#N/A,#N/A,FALSE,"Tickmarks"}</definedName>
    <definedName name="Kamila_1_5_2_1" hidden="1">{#N/A,#N/A,FALSE,"Aging Summary";#N/A,#N/A,FALSE,"Ratio Analysis";#N/A,#N/A,FALSE,"Test 120 Day Accts";#N/A,#N/A,FALSE,"Tickmarks"}</definedName>
    <definedName name="Kamila_1_5_2_2" hidden="1">{#N/A,#N/A,FALSE,"Aging Summary";#N/A,#N/A,FALSE,"Ratio Analysis";#N/A,#N/A,FALSE,"Test 120 Day Accts";#N/A,#N/A,FALSE,"Tickmarks"}</definedName>
    <definedName name="Kamila_1_5_3" hidden="1">{#N/A,#N/A,FALSE,"Aging Summary";#N/A,#N/A,FALSE,"Ratio Analysis";#N/A,#N/A,FALSE,"Test 120 Day Accts";#N/A,#N/A,FALSE,"Tickmarks"}</definedName>
    <definedName name="Kamila_1_5_4" hidden="1">{#N/A,#N/A,FALSE,"Aging Summary";#N/A,#N/A,FALSE,"Ratio Analysis";#N/A,#N/A,FALSE,"Test 120 Day Accts";#N/A,#N/A,FALSE,"Tickmarks"}</definedName>
    <definedName name="Kamila_2" hidden="1">{#N/A,#N/A,FALSE,"Aging Summary";#N/A,#N/A,FALSE,"Ratio Analysis";#N/A,#N/A,FALSE,"Test 120 Day Accts";#N/A,#N/A,FALSE,"Tickmarks"}</definedName>
    <definedName name="Kamila_2_1" hidden="1">{#N/A,#N/A,FALSE,"Aging Summary";#N/A,#N/A,FALSE,"Ratio Analysis";#N/A,#N/A,FALSE,"Test 120 Day Accts";#N/A,#N/A,FALSE,"Tickmarks"}</definedName>
    <definedName name="Kamila_2_1_1" hidden="1">{#N/A,#N/A,FALSE,"Aging Summary";#N/A,#N/A,FALSE,"Ratio Analysis";#N/A,#N/A,FALSE,"Test 120 Day Accts";#N/A,#N/A,FALSE,"Tickmarks"}</definedName>
    <definedName name="Kamila_2_1_1_1" hidden="1">{#N/A,#N/A,FALSE,"Aging Summary";#N/A,#N/A,FALSE,"Ratio Analysis";#N/A,#N/A,FALSE,"Test 120 Day Accts";#N/A,#N/A,FALSE,"Tickmarks"}</definedName>
    <definedName name="Kamila_2_1_1_2" hidden="1">{#N/A,#N/A,FALSE,"Aging Summary";#N/A,#N/A,FALSE,"Ratio Analysis";#N/A,#N/A,FALSE,"Test 120 Day Accts";#N/A,#N/A,FALSE,"Tickmarks"}</definedName>
    <definedName name="Kamila_2_1_2" hidden="1">{#N/A,#N/A,FALSE,"Aging Summary";#N/A,#N/A,FALSE,"Ratio Analysis";#N/A,#N/A,FALSE,"Test 120 Day Accts";#N/A,#N/A,FALSE,"Tickmarks"}</definedName>
    <definedName name="Kamila_2_1_2_1" hidden="1">{#N/A,#N/A,FALSE,"Aging Summary";#N/A,#N/A,FALSE,"Ratio Analysis";#N/A,#N/A,FALSE,"Test 120 Day Accts";#N/A,#N/A,FALSE,"Tickmarks"}</definedName>
    <definedName name="Kamila_2_1_2_2" hidden="1">{#N/A,#N/A,FALSE,"Aging Summary";#N/A,#N/A,FALSE,"Ratio Analysis";#N/A,#N/A,FALSE,"Test 120 Day Accts";#N/A,#N/A,FALSE,"Tickmarks"}</definedName>
    <definedName name="Kamila_2_1_3" hidden="1">{#N/A,#N/A,FALSE,"Aging Summary";#N/A,#N/A,FALSE,"Ratio Analysis";#N/A,#N/A,FALSE,"Test 120 Day Accts";#N/A,#N/A,FALSE,"Tickmarks"}</definedName>
    <definedName name="Kamila_2_1_4" hidden="1">{#N/A,#N/A,FALSE,"Aging Summary";#N/A,#N/A,FALSE,"Ratio Analysis";#N/A,#N/A,FALSE,"Test 120 Day Accts";#N/A,#N/A,FALSE,"Tickmarks"}</definedName>
    <definedName name="Kamila_2_2" hidden="1">{#N/A,#N/A,FALSE,"Aging Summary";#N/A,#N/A,FALSE,"Ratio Analysis";#N/A,#N/A,FALSE,"Test 120 Day Accts";#N/A,#N/A,FALSE,"Tickmarks"}</definedName>
    <definedName name="Kamila_2_2_1" hidden="1">{#N/A,#N/A,FALSE,"Aging Summary";#N/A,#N/A,FALSE,"Ratio Analysis";#N/A,#N/A,FALSE,"Test 120 Day Accts";#N/A,#N/A,FALSE,"Tickmarks"}</definedName>
    <definedName name="Kamila_2_2_1_1" hidden="1">{#N/A,#N/A,FALSE,"Aging Summary";#N/A,#N/A,FALSE,"Ratio Analysis";#N/A,#N/A,FALSE,"Test 120 Day Accts";#N/A,#N/A,FALSE,"Tickmarks"}</definedName>
    <definedName name="Kamila_2_2_1_2" hidden="1">{#N/A,#N/A,FALSE,"Aging Summary";#N/A,#N/A,FALSE,"Ratio Analysis";#N/A,#N/A,FALSE,"Test 120 Day Accts";#N/A,#N/A,FALSE,"Tickmarks"}</definedName>
    <definedName name="Kamila_2_2_2" hidden="1">{#N/A,#N/A,FALSE,"Aging Summary";#N/A,#N/A,FALSE,"Ratio Analysis";#N/A,#N/A,FALSE,"Test 120 Day Accts";#N/A,#N/A,FALSE,"Tickmarks"}</definedName>
    <definedName name="Kamila_2_2_2_1" hidden="1">{#N/A,#N/A,FALSE,"Aging Summary";#N/A,#N/A,FALSE,"Ratio Analysis";#N/A,#N/A,FALSE,"Test 120 Day Accts";#N/A,#N/A,FALSE,"Tickmarks"}</definedName>
    <definedName name="Kamila_2_2_2_2" hidden="1">{#N/A,#N/A,FALSE,"Aging Summary";#N/A,#N/A,FALSE,"Ratio Analysis";#N/A,#N/A,FALSE,"Test 120 Day Accts";#N/A,#N/A,FALSE,"Tickmarks"}</definedName>
    <definedName name="Kamila_2_2_3" hidden="1">{#N/A,#N/A,FALSE,"Aging Summary";#N/A,#N/A,FALSE,"Ratio Analysis";#N/A,#N/A,FALSE,"Test 120 Day Accts";#N/A,#N/A,FALSE,"Tickmarks"}</definedName>
    <definedName name="Kamila_2_2_4" hidden="1">{#N/A,#N/A,FALSE,"Aging Summary";#N/A,#N/A,FALSE,"Ratio Analysis";#N/A,#N/A,FALSE,"Test 120 Day Accts";#N/A,#N/A,FALSE,"Tickmarks"}</definedName>
    <definedName name="Kamila_2_3" hidden="1">{#N/A,#N/A,FALSE,"Aging Summary";#N/A,#N/A,FALSE,"Ratio Analysis";#N/A,#N/A,FALSE,"Test 120 Day Accts";#N/A,#N/A,FALSE,"Tickmarks"}</definedName>
    <definedName name="Kamila_2_3_1" hidden="1">{#N/A,#N/A,FALSE,"Aging Summary";#N/A,#N/A,FALSE,"Ratio Analysis";#N/A,#N/A,FALSE,"Test 120 Day Accts";#N/A,#N/A,FALSE,"Tickmarks"}</definedName>
    <definedName name="Kamila_2_3_1_1" hidden="1">{#N/A,#N/A,FALSE,"Aging Summary";#N/A,#N/A,FALSE,"Ratio Analysis";#N/A,#N/A,FALSE,"Test 120 Day Accts";#N/A,#N/A,FALSE,"Tickmarks"}</definedName>
    <definedName name="Kamila_2_3_1_2" hidden="1">{#N/A,#N/A,FALSE,"Aging Summary";#N/A,#N/A,FALSE,"Ratio Analysis";#N/A,#N/A,FALSE,"Test 120 Day Accts";#N/A,#N/A,FALSE,"Tickmarks"}</definedName>
    <definedName name="Kamila_2_3_2" hidden="1">{#N/A,#N/A,FALSE,"Aging Summary";#N/A,#N/A,FALSE,"Ratio Analysis";#N/A,#N/A,FALSE,"Test 120 Day Accts";#N/A,#N/A,FALSE,"Tickmarks"}</definedName>
    <definedName name="Kamila_2_3_2_1" hidden="1">{#N/A,#N/A,FALSE,"Aging Summary";#N/A,#N/A,FALSE,"Ratio Analysis";#N/A,#N/A,FALSE,"Test 120 Day Accts";#N/A,#N/A,FALSE,"Tickmarks"}</definedName>
    <definedName name="Kamila_2_3_2_2" hidden="1">{#N/A,#N/A,FALSE,"Aging Summary";#N/A,#N/A,FALSE,"Ratio Analysis";#N/A,#N/A,FALSE,"Test 120 Day Accts";#N/A,#N/A,FALSE,"Tickmarks"}</definedName>
    <definedName name="Kamila_2_3_3" hidden="1">{#N/A,#N/A,FALSE,"Aging Summary";#N/A,#N/A,FALSE,"Ratio Analysis";#N/A,#N/A,FALSE,"Test 120 Day Accts";#N/A,#N/A,FALSE,"Tickmarks"}</definedName>
    <definedName name="Kamila_2_3_4" hidden="1">{#N/A,#N/A,FALSE,"Aging Summary";#N/A,#N/A,FALSE,"Ratio Analysis";#N/A,#N/A,FALSE,"Test 120 Day Accts";#N/A,#N/A,FALSE,"Tickmarks"}</definedName>
    <definedName name="Kamila_2_4" hidden="1">{#N/A,#N/A,FALSE,"Aging Summary";#N/A,#N/A,FALSE,"Ratio Analysis";#N/A,#N/A,FALSE,"Test 120 Day Accts";#N/A,#N/A,FALSE,"Tickmarks"}</definedName>
    <definedName name="Kamila_2_4_1" hidden="1">{#N/A,#N/A,FALSE,"Aging Summary";#N/A,#N/A,FALSE,"Ratio Analysis";#N/A,#N/A,FALSE,"Test 120 Day Accts";#N/A,#N/A,FALSE,"Tickmarks"}</definedName>
    <definedName name="Kamila_2_4_1_1" hidden="1">{#N/A,#N/A,FALSE,"Aging Summary";#N/A,#N/A,FALSE,"Ratio Analysis";#N/A,#N/A,FALSE,"Test 120 Day Accts";#N/A,#N/A,FALSE,"Tickmarks"}</definedName>
    <definedName name="Kamila_2_4_1_2" hidden="1">{#N/A,#N/A,FALSE,"Aging Summary";#N/A,#N/A,FALSE,"Ratio Analysis";#N/A,#N/A,FALSE,"Test 120 Day Accts";#N/A,#N/A,FALSE,"Tickmarks"}</definedName>
    <definedName name="Kamila_2_4_2" hidden="1">{#N/A,#N/A,FALSE,"Aging Summary";#N/A,#N/A,FALSE,"Ratio Analysis";#N/A,#N/A,FALSE,"Test 120 Day Accts";#N/A,#N/A,FALSE,"Tickmarks"}</definedName>
    <definedName name="Kamila_2_4_2_1" hidden="1">{#N/A,#N/A,FALSE,"Aging Summary";#N/A,#N/A,FALSE,"Ratio Analysis";#N/A,#N/A,FALSE,"Test 120 Day Accts";#N/A,#N/A,FALSE,"Tickmarks"}</definedName>
    <definedName name="Kamila_2_4_2_2" hidden="1">{#N/A,#N/A,FALSE,"Aging Summary";#N/A,#N/A,FALSE,"Ratio Analysis";#N/A,#N/A,FALSE,"Test 120 Day Accts";#N/A,#N/A,FALSE,"Tickmarks"}</definedName>
    <definedName name="Kamila_2_4_3" hidden="1">{#N/A,#N/A,FALSE,"Aging Summary";#N/A,#N/A,FALSE,"Ratio Analysis";#N/A,#N/A,FALSE,"Test 120 Day Accts";#N/A,#N/A,FALSE,"Tickmarks"}</definedName>
    <definedName name="Kamila_2_4_4" hidden="1">{#N/A,#N/A,FALSE,"Aging Summary";#N/A,#N/A,FALSE,"Ratio Analysis";#N/A,#N/A,FALSE,"Test 120 Day Accts";#N/A,#N/A,FALSE,"Tickmarks"}</definedName>
    <definedName name="Kamila_2_5" hidden="1">{#N/A,#N/A,FALSE,"Aging Summary";#N/A,#N/A,FALSE,"Ratio Analysis";#N/A,#N/A,FALSE,"Test 120 Day Accts";#N/A,#N/A,FALSE,"Tickmarks"}</definedName>
    <definedName name="Kamila_2_5_1" hidden="1">{#N/A,#N/A,FALSE,"Aging Summary";#N/A,#N/A,FALSE,"Ratio Analysis";#N/A,#N/A,FALSE,"Test 120 Day Accts";#N/A,#N/A,FALSE,"Tickmarks"}</definedName>
    <definedName name="Kamila_2_5_1_1" hidden="1">{#N/A,#N/A,FALSE,"Aging Summary";#N/A,#N/A,FALSE,"Ratio Analysis";#N/A,#N/A,FALSE,"Test 120 Day Accts";#N/A,#N/A,FALSE,"Tickmarks"}</definedName>
    <definedName name="Kamila_2_5_1_2" hidden="1">{#N/A,#N/A,FALSE,"Aging Summary";#N/A,#N/A,FALSE,"Ratio Analysis";#N/A,#N/A,FALSE,"Test 120 Day Accts";#N/A,#N/A,FALSE,"Tickmarks"}</definedName>
    <definedName name="Kamila_2_5_2" hidden="1">{#N/A,#N/A,FALSE,"Aging Summary";#N/A,#N/A,FALSE,"Ratio Analysis";#N/A,#N/A,FALSE,"Test 120 Day Accts";#N/A,#N/A,FALSE,"Tickmarks"}</definedName>
    <definedName name="Kamila_2_5_2_1" hidden="1">{#N/A,#N/A,FALSE,"Aging Summary";#N/A,#N/A,FALSE,"Ratio Analysis";#N/A,#N/A,FALSE,"Test 120 Day Accts";#N/A,#N/A,FALSE,"Tickmarks"}</definedName>
    <definedName name="Kamila_2_5_2_2" hidden="1">{#N/A,#N/A,FALSE,"Aging Summary";#N/A,#N/A,FALSE,"Ratio Analysis";#N/A,#N/A,FALSE,"Test 120 Day Accts";#N/A,#N/A,FALSE,"Tickmarks"}</definedName>
    <definedName name="Kamila_2_5_3" hidden="1">{#N/A,#N/A,FALSE,"Aging Summary";#N/A,#N/A,FALSE,"Ratio Analysis";#N/A,#N/A,FALSE,"Test 120 Day Accts";#N/A,#N/A,FALSE,"Tickmarks"}</definedName>
    <definedName name="Kamila_2_5_4" hidden="1">{#N/A,#N/A,FALSE,"Aging Summary";#N/A,#N/A,FALSE,"Ratio Analysis";#N/A,#N/A,FALSE,"Test 120 Day Accts";#N/A,#N/A,FALSE,"Tickmarks"}</definedName>
    <definedName name="Kamila_3" hidden="1">{#N/A,#N/A,FALSE,"Aging Summary";#N/A,#N/A,FALSE,"Ratio Analysis";#N/A,#N/A,FALSE,"Test 120 Day Accts";#N/A,#N/A,FALSE,"Tickmarks"}</definedName>
    <definedName name="Kamila_3_1" hidden="1">{#N/A,#N/A,FALSE,"Aging Summary";#N/A,#N/A,FALSE,"Ratio Analysis";#N/A,#N/A,FALSE,"Test 120 Day Accts";#N/A,#N/A,FALSE,"Tickmarks"}</definedName>
    <definedName name="Kamila_3_1_1" hidden="1">{#N/A,#N/A,FALSE,"Aging Summary";#N/A,#N/A,FALSE,"Ratio Analysis";#N/A,#N/A,FALSE,"Test 120 Day Accts";#N/A,#N/A,FALSE,"Tickmarks"}</definedName>
    <definedName name="Kamila_3_1_1_1" hidden="1">{#N/A,#N/A,FALSE,"Aging Summary";#N/A,#N/A,FALSE,"Ratio Analysis";#N/A,#N/A,FALSE,"Test 120 Day Accts";#N/A,#N/A,FALSE,"Tickmarks"}</definedName>
    <definedName name="Kamila_3_1_1_2" hidden="1">{#N/A,#N/A,FALSE,"Aging Summary";#N/A,#N/A,FALSE,"Ratio Analysis";#N/A,#N/A,FALSE,"Test 120 Day Accts";#N/A,#N/A,FALSE,"Tickmarks"}</definedName>
    <definedName name="Kamila_3_1_2" hidden="1">{#N/A,#N/A,FALSE,"Aging Summary";#N/A,#N/A,FALSE,"Ratio Analysis";#N/A,#N/A,FALSE,"Test 120 Day Accts";#N/A,#N/A,FALSE,"Tickmarks"}</definedName>
    <definedName name="Kamila_3_1_2_1" hidden="1">{#N/A,#N/A,FALSE,"Aging Summary";#N/A,#N/A,FALSE,"Ratio Analysis";#N/A,#N/A,FALSE,"Test 120 Day Accts";#N/A,#N/A,FALSE,"Tickmarks"}</definedName>
    <definedName name="Kamila_3_1_2_2" hidden="1">{#N/A,#N/A,FALSE,"Aging Summary";#N/A,#N/A,FALSE,"Ratio Analysis";#N/A,#N/A,FALSE,"Test 120 Day Accts";#N/A,#N/A,FALSE,"Tickmarks"}</definedName>
    <definedName name="Kamila_3_1_3" hidden="1">{#N/A,#N/A,FALSE,"Aging Summary";#N/A,#N/A,FALSE,"Ratio Analysis";#N/A,#N/A,FALSE,"Test 120 Day Accts";#N/A,#N/A,FALSE,"Tickmarks"}</definedName>
    <definedName name="Kamila_3_1_4" hidden="1">{#N/A,#N/A,FALSE,"Aging Summary";#N/A,#N/A,FALSE,"Ratio Analysis";#N/A,#N/A,FALSE,"Test 120 Day Accts";#N/A,#N/A,FALSE,"Tickmarks"}</definedName>
    <definedName name="Kamila_3_2" hidden="1">{#N/A,#N/A,FALSE,"Aging Summary";#N/A,#N/A,FALSE,"Ratio Analysis";#N/A,#N/A,FALSE,"Test 120 Day Accts";#N/A,#N/A,FALSE,"Tickmarks"}</definedName>
    <definedName name="Kamila_3_2_1" hidden="1">{#N/A,#N/A,FALSE,"Aging Summary";#N/A,#N/A,FALSE,"Ratio Analysis";#N/A,#N/A,FALSE,"Test 120 Day Accts";#N/A,#N/A,FALSE,"Tickmarks"}</definedName>
    <definedName name="Kamila_3_2_1_1" hidden="1">{#N/A,#N/A,FALSE,"Aging Summary";#N/A,#N/A,FALSE,"Ratio Analysis";#N/A,#N/A,FALSE,"Test 120 Day Accts";#N/A,#N/A,FALSE,"Tickmarks"}</definedName>
    <definedName name="Kamila_3_2_1_2" hidden="1">{#N/A,#N/A,FALSE,"Aging Summary";#N/A,#N/A,FALSE,"Ratio Analysis";#N/A,#N/A,FALSE,"Test 120 Day Accts";#N/A,#N/A,FALSE,"Tickmarks"}</definedName>
    <definedName name="Kamila_3_2_2" hidden="1">{#N/A,#N/A,FALSE,"Aging Summary";#N/A,#N/A,FALSE,"Ratio Analysis";#N/A,#N/A,FALSE,"Test 120 Day Accts";#N/A,#N/A,FALSE,"Tickmarks"}</definedName>
    <definedName name="Kamila_3_2_2_1" hidden="1">{#N/A,#N/A,FALSE,"Aging Summary";#N/A,#N/A,FALSE,"Ratio Analysis";#N/A,#N/A,FALSE,"Test 120 Day Accts";#N/A,#N/A,FALSE,"Tickmarks"}</definedName>
    <definedName name="Kamila_3_2_2_2" hidden="1">{#N/A,#N/A,FALSE,"Aging Summary";#N/A,#N/A,FALSE,"Ratio Analysis";#N/A,#N/A,FALSE,"Test 120 Day Accts";#N/A,#N/A,FALSE,"Tickmarks"}</definedName>
    <definedName name="Kamila_3_2_3" hidden="1">{#N/A,#N/A,FALSE,"Aging Summary";#N/A,#N/A,FALSE,"Ratio Analysis";#N/A,#N/A,FALSE,"Test 120 Day Accts";#N/A,#N/A,FALSE,"Tickmarks"}</definedName>
    <definedName name="Kamila_3_2_4" hidden="1">{#N/A,#N/A,FALSE,"Aging Summary";#N/A,#N/A,FALSE,"Ratio Analysis";#N/A,#N/A,FALSE,"Test 120 Day Accts";#N/A,#N/A,FALSE,"Tickmarks"}</definedName>
    <definedName name="Kamila_3_3" hidden="1">{#N/A,#N/A,FALSE,"Aging Summary";#N/A,#N/A,FALSE,"Ratio Analysis";#N/A,#N/A,FALSE,"Test 120 Day Accts";#N/A,#N/A,FALSE,"Tickmarks"}</definedName>
    <definedName name="Kamila_3_3_1" hidden="1">{#N/A,#N/A,FALSE,"Aging Summary";#N/A,#N/A,FALSE,"Ratio Analysis";#N/A,#N/A,FALSE,"Test 120 Day Accts";#N/A,#N/A,FALSE,"Tickmarks"}</definedName>
    <definedName name="Kamila_3_3_1_1" hidden="1">{#N/A,#N/A,FALSE,"Aging Summary";#N/A,#N/A,FALSE,"Ratio Analysis";#N/A,#N/A,FALSE,"Test 120 Day Accts";#N/A,#N/A,FALSE,"Tickmarks"}</definedName>
    <definedName name="Kamila_3_3_1_2" hidden="1">{#N/A,#N/A,FALSE,"Aging Summary";#N/A,#N/A,FALSE,"Ratio Analysis";#N/A,#N/A,FALSE,"Test 120 Day Accts";#N/A,#N/A,FALSE,"Tickmarks"}</definedName>
    <definedName name="Kamila_3_3_2" hidden="1">{#N/A,#N/A,FALSE,"Aging Summary";#N/A,#N/A,FALSE,"Ratio Analysis";#N/A,#N/A,FALSE,"Test 120 Day Accts";#N/A,#N/A,FALSE,"Tickmarks"}</definedName>
    <definedName name="Kamila_3_3_2_1" hidden="1">{#N/A,#N/A,FALSE,"Aging Summary";#N/A,#N/A,FALSE,"Ratio Analysis";#N/A,#N/A,FALSE,"Test 120 Day Accts";#N/A,#N/A,FALSE,"Tickmarks"}</definedName>
    <definedName name="Kamila_3_3_2_2" hidden="1">{#N/A,#N/A,FALSE,"Aging Summary";#N/A,#N/A,FALSE,"Ratio Analysis";#N/A,#N/A,FALSE,"Test 120 Day Accts";#N/A,#N/A,FALSE,"Tickmarks"}</definedName>
    <definedName name="Kamila_3_3_3" hidden="1">{#N/A,#N/A,FALSE,"Aging Summary";#N/A,#N/A,FALSE,"Ratio Analysis";#N/A,#N/A,FALSE,"Test 120 Day Accts";#N/A,#N/A,FALSE,"Tickmarks"}</definedName>
    <definedName name="Kamila_3_3_4" hidden="1">{#N/A,#N/A,FALSE,"Aging Summary";#N/A,#N/A,FALSE,"Ratio Analysis";#N/A,#N/A,FALSE,"Test 120 Day Accts";#N/A,#N/A,FALSE,"Tickmarks"}</definedName>
    <definedName name="Kamila_3_4" hidden="1">{#N/A,#N/A,FALSE,"Aging Summary";#N/A,#N/A,FALSE,"Ratio Analysis";#N/A,#N/A,FALSE,"Test 120 Day Accts";#N/A,#N/A,FALSE,"Tickmarks"}</definedName>
    <definedName name="Kamila_3_4_1" hidden="1">{#N/A,#N/A,FALSE,"Aging Summary";#N/A,#N/A,FALSE,"Ratio Analysis";#N/A,#N/A,FALSE,"Test 120 Day Accts";#N/A,#N/A,FALSE,"Tickmarks"}</definedName>
    <definedName name="Kamila_3_4_1_1" hidden="1">{#N/A,#N/A,FALSE,"Aging Summary";#N/A,#N/A,FALSE,"Ratio Analysis";#N/A,#N/A,FALSE,"Test 120 Day Accts";#N/A,#N/A,FALSE,"Tickmarks"}</definedName>
    <definedName name="Kamila_3_4_1_2" hidden="1">{#N/A,#N/A,FALSE,"Aging Summary";#N/A,#N/A,FALSE,"Ratio Analysis";#N/A,#N/A,FALSE,"Test 120 Day Accts";#N/A,#N/A,FALSE,"Tickmarks"}</definedName>
    <definedName name="Kamila_3_4_2" hidden="1">{#N/A,#N/A,FALSE,"Aging Summary";#N/A,#N/A,FALSE,"Ratio Analysis";#N/A,#N/A,FALSE,"Test 120 Day Accts";#N/A,#N/A,FALSE,"Tickmarks"}</definedName>
    <definedName name="Kamila_3_4_2_1" hidden="1">{#N/A,#N/A,FALSE,"Aging Summary";#N/A,#N/A,FALSE,"Ratio Analysis";#N/A,#N/A,FALSE,"Test 120 Day Accts";#N/A,#N/A,FALSE,"Tickmarks"}</definedName>
    <definedName name="Kamila_3_4_2_2" hidden="1">{#N/A,#N/A,FALSE,"Aging Summary";#N/A,#N/A,FALSE,"Ratio Analysis";#N/A,#N/A,FALSE,"Test 120 Day Accts";#N/A,#N/A,FALSE,"Tickmarks"}</definedName>
    <definedName name="Kamila_3_4_3" hidden="1">{#N/A,#N/A,FALSE,"Aging Summary";#N/A,#N/A,FALSE,"Ratio Analysis";#N/A,#N/A,FALSE,"Test 120 Day Accts";#N/A,#N/A,FALSE,"Tickmarks"}</definedName>
    <definedName name="Kamila_3_4_4" hidden="1">{#N/A,#N/A,FALSE,"Aging Summary";#N/A,#N/A,FALSE,"Ratio Analysis";#N/A,#N/A,FALSE,"Test 120 Day Accts";#N/A,#N/A,FALSE,"Tickmarks"}</definedName>
    <definedName name="Kamila_3_5" hidden="1">{#N/A,#N/A,FALSE,"Aging Summary";#N/A,#N/A,FALSE,"Ratio Analysis";#N/A,#N/A,FALSE,"Test 120 Day Accts";#N/A,#N/A,FALSE,"Tickmarks"}</definedName>
    <definedName name="Kamila_3_5_1" hidden="1">{#N/A,#N/A,FALSE,"Aging Summary";#N/A,#N/A,FALSE,"Ratio Analysis";#N/A,#N/A,FALSE,"Test 120 Day Accts";#N/A,#N/A,FALSE,"Tickmarks"}</definedName>
    <definedName name="Kamila_3_5_1_1" hidden="1">{#N/A,#N/A,FALSE,"Aging Summary";#N/A,#N/A,FALSE,"Ratio Analysis";#N/A,#N/A,FALSE,"Test 120 Day Accts";#N/A,#N/A,FALSE,"Tickmarks"}</definedName>
    <definedName name="Kamila_3_5_1_2" hidden="1">{#N/A,#N/A,FALSE,"Aging Summary";#N/A,#N/A,FALSE,"Ratio Analysis";#N/A,#N/A,FALSE,"Test 120 Day Accts";#N/A,#N/A,FALSE,"Tickmarks"}</definedName>
    <definedName name="Kamila_3_5_2" hidden="1">{#N/A,#N/A,FALSE,"Aging Summary";#N/A,#N/A,FALSE,"Ratio Analysis";#N/A,#N/A,FALSE,"Test 120 Day Accts";#N/A,#N/A,FALSE,"Tickmarks"}</definedName>
    <definedName name="Kamila_3_5_2_1" hidden="1">{#N/A,#N/A,FALSE,"Aging Summary";#N/A,#N/A,FALSE,"Ratio Analysis";#N/A,#N/A,FALSE,"Test 120 Day Accts";#N/A,#N/A,FALSE,"Tickmarks"}</definedName>
    <definedName name="Kamila_3_5_2_2" hidden="1">{#N/A,#N/A,FALSE,"Aging Summary";#N/A,#N/A,FALSE,"Ratio Analysis";#N/A,#N/A,FALSE,"Test 120 Day Accts";#N/A,#N/A,FALSE,"Tickmarks"}</definedName>
    <definedName name="Kamila_3_5_3" hidden="1">{#N/A,#N/A,FALSE,"Aging Summary";#N/A,#N/A,FALSE,"Ratio Analysis";#N/A,#N/A,FALSE,"Test 120 Day Accts";#N/A,#N/A,FALSE,"Tickmarks"}</definedName>
    <definedName name="Kamila_3_5_4" hidden="1">{#N/A,#N/A,FALSE,"Aging Summary";#N/A,#N/A,FALSE,"Ratio Analysis";#N/A,#N/A,FALSE,"Test 120 Day Accts";#N/A,#N/A,FALSE,"Tickmarks"}</definedName>
    <definedName name="Kamila_4" hidden="1">{#N/A,#N/A,FALSE,"Aging Summary";#N/A,#N/A,FALSE,"Ratio Analysis";#N/A,#N/A,FALSE,"Test 120 Day Accts";#N/A,#N/A,FALSE,"Tickmarks"}</definedName>
    <definedName name="Kamila_4_1" hidden="1">{#N/A,#N/A,FALSE,"Aging Summary";#N/A,#N/A,FALSE,"Ratio Analysis";#N/A,#N/A,FALSE,"Test 120 Day Accts";#N/A,#N/A,FALSE,"Tickmarks"}</definedName>
    <definedName name="Kamila_4_1_1" hidden="1">{#N/A,#N/A,FALSE,"Aging Summary";#N/A,#N/A,FALSE,"Ratio Analysis";#N/A,#N/A,FALSE,"Test 120 Day Accts";#N/A,#N/A,FALSE,"Tickmarks"}</definedName>
    <definedName name="Kamila_4_1_2" hidden="1">{#N/A,#N/A,FALSE,"Aging Summary";#N/A,#N/A,FALSE,"Ratio Analysis";#N/A,#N/A,FALSE,"Test 120 Day Accts";#N/A,#N/A,FALSE,"Tickmarks"}</definedName>
    <definedName name="Kamila_4_2" hidden="1">{#N/A,#N/A,FALSE,"Aging Summary";#N/A,#N/A,FALSE,"Ratio Analysis";#N/A,#N/A,FALSE,"Test 120 Day Accts";#N/A,#N/A,FALSE,"Tickmarks"}</definedName>
    <definedName name="Kamila_4_2_1" hidden="1">{#N/A,#N/A,FALSE,"Aging Summary";#N/A,#N/A,FALSE,"Ratio Analysis";#N/A,#N/A,FALSE,"Test 120 Day Accts";#N/A,#N/A,FALSE,"Tickmarks"}</definedName>
    <definedName name="Kamila_4_2_2" hidden="1">{#N/A,#N/A,FALSE,"Aging Summary";#N/A,#N/A,FALSE,"Ratio Analysis";#N/A,#N/A,FALSE,"Test 120 Day Accts";#N/A,#N/A,FALSE,"Tickmarks"}</definedName>
    <definedName name="Kamila_4_3" hidden="1">{#N/A,#N/A,FALSE,"Aging Summary";#N/A,#N/A,FALSE,"Ratio Analysis";#N/A,#N/A,FALSE,"Test 120 Day Accts";#N/A,#N/A,FALSE,"Tickmarks"}</definedName>
    <definedName name="Kamila_4_4" hidden="1">{#N/A,#N/A,FALSE,"Aging Summary";#N/A,#N/A,FALSE,"Ratio Analysis";#N/A,#N/A,FALSE,"Test 120 Day Accts";#N/A,#N/A,FALSE,"Tickmarks"}</definedName>
    <definedName name="Kamila_5" hidden="1">{#N/A,#N/A,FALSE,"Aging Summary";#N/A,#N/A,FALSE,"Ratio Analysis";#N/A,#N/A,FALSE,"Test 120 Day Accts";#N/A,#N/A,FALSE,"Tickmarks"}</definedName>
    <definedName name="Kamila_5_1" hidden="1">{#N/A,#N/A,FALSE,"Aging Summary";#N/A,#N/A,FALSE,"Ratio Analysis";#N/A,#N/A,FALSE,"Test 120 Day Accts";#N/A,#N/A,FALSE,"Tickmarks"}</definedName>
    <definedName name="Kamila_5_1_1" hidden="1">{#N/A,#N/A,FALSE,"Aging Summary";#N/A,#N/A,FALSE,"Ratio Analysis";#N/A,#N/A,FALSE,"Test 120 Day Accts";#N/A,#N/A,FALSE,"Tickmarks"}</definedName>
    <definedName name="Kamila_5_1_2" hidden="1">{#N/A,#N/A,FALSE,"Aging Summary";#N/A,#N/A,FALSE,"Ratio Analysis";#N/A,#N/A,FALSE,"Test 120 Day Accts";#N/A,#N/A,FALSE,"Tickmarks"}</definedName>
    <definedName name="Kamila_5_2" hidden="1">{#N/A,#N/A,FALSE,"Aging Summary";#N/A,#N/A,FALSE,"Ratio Analysis";#N/A,#N/A,FALSE,"Test 120 Day Accts";#N/A,#N/A,FALSE,"Tickmarks"}</definedName>
    <definedName name="Kamila_5_2_1" hidden="1">{#N/A,#N/A,FALSE,"Aging Summary";#N/A,#N/A,FALSE,"Ratio Analysis";#N/A,#N/A,FALSE,"Test 120 Day Accts";#N/A,#N/A,FALSE,"Tickmarks"}</definedName>
    <definedName name="Kamila_5_2_2" hidden="1">{#N/A,#N/A,FALSE,"Aging Summary";#N/A,#N/A,FALSE,"Ratio Analysis";#N/A,#N/A,FALSE,"Test 120 Day Accts";#N/A,#N/A,FALSE,"Tickmarks"}</definedName>
    <definedName name="Kamila_5_3" hidden="1">{#N/A,#N/A,FALSE,"Aging Summary";#N/A,#N/A,FALSE,"Ratio Analysis";#N/A,#N/A,FALSE,"Test 120 Day Accts";#N/A,#N/A,FALSE,"Tickmarks"}</definedName>
    <definedName name="Kamila_5_4" hidden="1">{#N/A,#N/A,FALSE,"Aging Summary";#N/A,#N/A,FALSE,"Ratio Analysis";#N/A,#N/A,FALSE,"Test 120 Day Accts";#N/A,#N/A,FALSE,"Tickmarks"}</definedName>
    <definedName name="kblhbjhbvjhv" localSheetId="8" hidden="1">#REF!</definedName>
    <definedName name="kblhbjhbvjhv" hidden="1">#REF!</definedName>
    <definedName name="kdsjnb" localSheetId="8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kdsjn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keajhvbr" localSheetId="8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keajhvbr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keu" hidden="1">#REF!</definedName>
    <definedName name="key" hidden="1">#REF!</definedName>
    <definedName name="KEY_Currencys" hidden="1">#REF!</definedName>
    <definedName name="KEY_Pillars" hidden="1">#REF!</definedName>
    <definedName name="KEY_Regions" hidden="1">#REF!</definedName>
    <definedName name="KEY_Status" hidden="1">#REF!</definedName>
    <definedName name="KEY_YesNo" hidden="1">#REF!</definedName>
    <definedName name="keyrbf" localSheetId="8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keyrbf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KFHJ" localSheetId="8" hidden="1">{#N/A,#N/A,FALSE,"Assessment";#N/A,#N/A,FALSE,"Staffing";#N/A,#N/A,FALSE,"Hires";#N/A,#N/A,FALSE,"Assumptions"}</definedName>
    <definedName name="KFHJ" hidden="1">{#N/A,#N/A,FALSE,"Assessment";#N/A,#N/A,FALSE,"Staffing";#N/A,#N/A,FALSE,"Hires";#N/A,#N/A,FALSE,"Assumptions"}</definedName>
    <definedName name="kfj" hidden="1">#REF!</definedName>
    <definedName name="kfk" localSheetId="8" hidden="1">{#N/A,#N/A,FALSE,"Assessment";#N/A,#N/A,FALSE,"Staffing";#N/A,#N/A,FALSE,"Hires";#N/A,#N/A,FALSE,"Assumptions"}</definedName>
    <definedName name="kfk" hidden="1">{#N/A,#N/A,FALSE,"Assessment";#N/A,#N/A,FALSE,"Staffing";#N/A,#N/A,FALSE,"Hires";#N/A,#N/A,FALSE,"Assumptions"}</definedName>
    <definedName name="kfkfkf" localSheetId="8" hidden="1">{#N/A,#N/A,FALSE,"Assessment";#N/A,#N/A,FALSE,"Staffing";#N/A,#N/A,FALSE,"Hires";#N/A,#N/A,FALSE,"Assumptions"}</definedName>
    <definedName name="kfkfkf" hidden="1">{#N/A,#N/A,FALSE,"Assessment";#N/A,#N/A,FALSE,"Staffing";#N/A,#N/A,FALSE,"Hires";#N/A,#N/A,FALSE,"Assumptions"}</definedName>
    <definedName name="kgkgk" localSheetId="8" hidden="1">{#N/A,#N/A,TRUE,"Cover sheet";#N/A,#N/A,TRUE,"DCF analysis";#N/A,#N/A,TRUE,"WACC calculation"}</definedName>
    <definedName name="kgkgk" hidden="1">{#N/A,#N/A,TRUE,"Cover sheet";#N/A,#N/A,TRUE,"DCF analysis";#N/A,#N/A,TRUE,"WACC calculation"}</definedName>
    <definedName name="kgkgk_1" localSheetId="8" hidden="1">{#N/A,#N/A,TRUE,"Cover sheet";#N/A,#N/A,TRUE,"DCF analysis";#N/A,#N/A,TRUE,"WACC calculation"}</definedName>
    <definedName name="kgkgk_1" hidden="1">{#N/A,#N/A,TRUE,"Cover sheet";#N/A,#N/A,TRUE,"DCF analysis";#N/A,#N/A,TRUE,"WACC calculation"}</definedName>
    <definedName name="KGZFKJSZKJGD" hidden="1">1</definedName>
    <definedName name="kh" localSheetId="8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kh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khjfk" localSheetId="8" hidden="1">{#N/A,#N/A,TRUE,"Table of Content Flash";#N/A,#N/A,TRUE,"A2-Summ Month Man";#N/A,#N/A,TRUE,"B3-Detail P&amp;L Consolidated";#N/A,#N/A,TRUE,"B4-GM per Product";#N/A,#N/A,TRUE,"A3-P&amp;L by Bus.Unt-Serv.Unt";#N/A,#N/A,TRUE,"A4-P&amp;L by Old org."}</definedName>
    <definedName name="khjfk" hidden="1">{#N/A,#N/A,TRUE,"Table of Content Flash";#N/A,#N/A,TRUE,"A2-Summ Month Man";#N/A,#N/A,TRUE,"B3-Detail P&amp;L Consolidated";#N/A,#N/A,TRUE,"B4-GM per Product";#N/A,#N/A,TRUE,"A3-P&amp;L by Bus.Unt-Serv.Unt";#N/A,#N/A,TRUE,"A4-P&amp;L by Old org."}</definedName>
    <definedName name="khsdfkj" localSheetId="8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khsdfkj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khsdfkj_1" localSheetId="8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khsdfkj_1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ki" localSheetId="7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ki" localSheetId="8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ki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ki_1" localSheetId="7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ki_1" localSheetId="8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ki_1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KIBS_DIMREP" hidden="1">" "</definedName>
    <definedName name="KIBSCASHFLOW" hidden="1">TRUE</definedName>
    <definedName name="kinjs" localSheetId="8" hidden="1">{"detail",#N/A,FALSE,"mfg";"summary",#N/A,FALSE,"mfg"}</definedName>
    <definedName name="kinjs" hidden="1">{"detail",#N/A,FALSE,"mfg";"summary",#N/A,FALSE,"mfg"}</definedName>
    <definedName name="kip" localSheetId="8" hidden="1">{"detail",#N/A,FALSE,"mfg";"summary",#N/A,FALSE,"mfg"}</definedName>
    <definedName name="kip" hidden="1">{"detail",#N/A,FALSE,"mfg";"summary",#N/A,FALSE,"mfg"}</definedName>
    <definedName name="KIT" localSheetId="8" hidden="1">{"equity comps",#N/A,FALSE,"CS Comps";"equity comps",#N/A,FALSE,"PS Comps";"equity comps",#N/A,FALSE,"GIC_Comps";"equity comps",#N/A,FALSE,"GIC2_Comps"}</definedName>
    <definedName name="KIT" hidden="1">{"equity comps",#N/A,FALSE,"CS Comps";"equity comps",#N/A,FALSE,"PS Comps";"equity comps",#N/A,FALSE,"GIC_Comps";"equity comps",#N/A,FALSE,"GIC2_Comps"}</definedName>
    <definedName name="KIT_1" localSheetId="8" hidden="1">{"equity comps",#N/A,FALSE,"CS Comps";"equity comps",#N/A,FALSE,"PS Comps";"equity comps",#N/A,FALSE,"GIC_Comps";"equity comps",#N/A,FALSE,"GIC2_Comps"}</definedName>
    <definedName name="KIT_1" hidden="1">{"equity comps",#N/A,FALSE,"CS Comps";"equity comps",#N/A,FALSE,"PS Comps";"equity comps",#N/A,FALSE,"GIC_Comps";"equity comps",#N/A,FALSE,"GIC2_Comps"}</definedName>
    <definedName name="kıu" localSheetId="8" hidden="1">{"EVA",#N/A,FALSE,"SMT2";#N/A,#N/A,FALSE,"Summary";#N/A,#N/A,FALSE,"Graphs";#N/A,#N/A,FALSE,"4 Panel"}</definedName>
    <definedName name="kıu" hidden="1">{"EVA",#N/A,FALSE,"SMT2";#N/A,#N/A,FALSE,"Summary";#N/A,#N/A,FALSE,"Graphs";#N/A,#N/A,FALSE,"4 Panel"}</definedName>
    <definedName name="KJ" localSheetId="8" hidden="1">{#N/A,#N/A,FALSE,"Adm comp";#N/A,#N/A,FALSE,"Adm ajust";"adm",#N/A,FALSE,"Administration";#N/A,#N/A,FALSE,"Adm Bgt 97 vs Prév. 96";#N/A,#N/A,FALSE,"Adm Bgt 97 vs 96"}</definedName>
    <definedName name="KJ" hidden="1">{#N/A,#N/A,FALSE,"Adm comp";#N/A,#N/A,FALSE,"Adm ajust";"adm",#N/A,FALSE,"Administration";#N/A,#N/A,FALSE,"Adm Bgt 97 vs Prév. 96";#N/A,#N/A,FALSE,"Adm Bgt 97 vs 96"}</definedName>
    <definedName name="kjadbv" localSheetId="8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kjadbv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kjdafnb" localSheetId="8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kjdafn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kjdnb" localSheetId="8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kjdn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kjdslf" localSheetId="8" hidden="1">{#N/A,#N/A,FALSE,"Sheet1"}</definedName>
    <definedName name="kjdslf" hidden="1">{#N/A,#N/A,FALSE,"Sheet1"}</definedName>
    <definedName name="kjfd" localSheetId="8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kjfd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kjg" localSheetId="8" hidden="1">{"Cover",#N/A,FALSE,"Cover";"Comments",#N/A,FALSE,"Quarterly Comments";"QtrP&amp;L",#N/A,FALSE,"Product Qtr P&amp;L Trends";"European CPIT",#N/A,FALSE,"European CPIT";"CPIT O2N2 Graphs",#N/A,FALSE,"CPIT O2N2 Graphs";"CPIT HYCO Graphs",#N/A,FALSE,"CPIT HYCO Graphs ";"Scorecard - US format",#N/A,FALSE,"Scorecard - US format";"Programmes",#N/A,FALSE,"Programmes";"Summary Year Majfac vs PY",#N/A,FALSE,"Summary Year Majfac vs PY";"Summary Year Majfac vs Plan",#N/A,FALSE,"Summary Year Majfac vs Plan";"Major Factors by Qtr",#N/A,FALSE,"Major Factors by Qtr";"Capex",#N/A,FALSE,"Capex"}</definedName>
    <definedName name="kjg" hidden="1">{"Cover",#N/A,FALSE,"Cover";"Comments",#N/A,FALSE,"Quarterly Comments";"QtrP&amp;L",#N/A,FALSE,"Product Qtr P&amp;L Trends";"European CPIT",#N/A,FALSE,"European CPIT";"CPIT O2N2 Graphs",#N/A,FALSE,"CPIT O2N2 Graphs";"CPIT HYCO Graphs",#N/A,FALSE,"CPIT HYCO Graphs ";"Scorecard - US format",#N/A,FALSE,"Scorecard - US format";"Programmes",#N/A,FALSE,"Programmes";"Summary Year Majfac vs PY",#N/A,FALSE,"Summary Year Majfac vs PY";"Summary Year Majfac vs Plan",#N/A,FALSE,"Summary Year Majfac vs Plan";"Major Factors by Qtr",#N/A,FALSE,"Major Factors by Qtr";"Capex",#N/A,FALSE,"Capex"}</definedName>
    <definedName name="KJH" localSheetId="8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KJH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kjhg" localSheetId="8" hidden="1">{"ICD Details",#N/A,FALSE,"Current Yr";"ICD Details",#N/A,FALSE,"Budget";"ICD Details",#N/A,FALSE,"Prior Year"}</definedName>
    <definedName name="kjhg" hidden="1">{"ICD Details",#N/A,FALSE,"Current Yr";"ICD Details",#N/A,FALSE,"Budget";"ICD Details",#N/A,FALSE,"Prior Year"}</definedName>
    <definedName name="kjiiuy" localSheetId="8" hidden="1">{#N/A,#N/A,TRUE,"Table of Content Flash";#N/A,#N/A,TRUE,"A2-Summ Month Man";#N/A,#N/A,TRUE,"B3-Detail P&amp;L Consolidated";#N/A,#N/A,TRUE,"B4-GM per Product";#N/A,#N/A,TRUE,"A3-P&amp;L by Bus.Unt-Serv.Unt";#N/A,#N/A,TRUE,"A4-P&amp;L by Old org."}</definedName>
    <definedName name="kjiiuy" hidden="1">{#N/A,#N/A,TRUE,"Table of Content Flash";#N/A,#N/A,TRUE,"A2-Summ Month Man";#N/A,#N/A,TRUE,"B3-Detail P&amp;L Consolidated";#N/A,#N/A,TRUE,"B4-GM per Product";#N/A,#N/A,TRUE,"A3-P&amp;L by Bus.Unt-Serv.Unt";#N/A,#N/A,TRUE,"A4-P&amp;L by Old org."}</definedName>
    <definedName name="kjip" localSheetId="8" hidden="1">{"detail",#N/A,FALSE,"mfg";"summary",#N/A,FALSE,"mfg"}</definedName>
    <definedName name="kjip" hidden="1">{"detail",#N/A,FALSE,"mfg";"summary",#N/A,FALSE,"mfg"}</definedName>
    <definedName name="kjk" hidden="1">#REF!</definedName>
    <definedName name="kjk.l" localSheetId="8" hidden="1">{#N/A,#N/A,FALSE,"Produkte Erw.";#N/A,#N/A,FALSE,"Produkte Plan";#N/A,#N/A,FALSE,"Leistungen Erw.";#N/A,#N/A,FALSE,"Leistungen Plan";#N/A,#N/A,FALSE,"KA Allg.Kosten (2)";#N/A,#N/A,FALSE,"KA All.Kosten"}</definedName>
    <definedName name="kjk.l" hidden="1">{#N/A,#N/A,FALSE,"Produkte Erw.";#N/A,#N/A,FALSE,"Produkte Plan";#N/A,#N/A,FALSE,"Leistungen Erw.";#N/A,#N/A,FALSE,"Leistungen Plan";#N/A,#N/A,FALSE,"KA Allg.Kosten (2)";#N/A,#N/A,FALSE,"KA All.Kosten"}</definedName>
    <definedName name="KJKJLKL" hidden="1">{"'FLUOXETINE'!$A$1:$I$24"}</definedName>
    <definedName name="kjl" localSheetId="8" hidden="1">{#N/A,#N/A,FALSE,"Min compa cad";#N/A,#N/A,FALSE,"Min CAN Equité ";#N/A,#N/A,FALSE,"Analyse can"}</definedName>
    <definedName name="kjl" hidden="1">{#N/A,#N/A,FALSE,"Min compa cad";#N/A,#N/A,FALSE,"Min CAN Equité ";#N/A,#N/A,FALSE,"Analyse can"}</definedName>
    <definedName name="kjljkölhklh" localSheetId="8" hidden="1">{#N/A,#N/A,FALSE,"Produkte Erw.";#N/A,#N/A,FALSE,"Produkte Plan";#N/A,#N/A,FALSE,"Leistungen Erw.";#N/A,#N/A,FALSE,"Leistungen Plan";#N/A,#N/A,FALSE,"KA Allg.Kosten (2)";#N/A,#N/A,FALSE,"KA All.Kosten"}</definedName>
    <definedName name="kjljkölhklh" hidden="1">{#N/A,#N/A,FALSE,"Produkte Erw.";#N/A,#N/A,FALSE,"Produkte Plan";#N/A,#N/A,FALSE,"Leistungen Erw.";#N/A,#N/A,FALSE,"Leistungen Plan";#N/A,#N/A,FALSE,"KA Allg.Kosten (2)";#N/A,#N/A,FALSE,"KA All.Kosten"}</definedName>
    <definedName name="kjojoj" localSheetId="8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kjojoj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kk" localSheetId="7" hidden="1">{"Mes Marzo",#N/A,FALSE,"VENTAS 99";"Acum. Marzo",#N/A,FALSE,"VENTAS 99"}</definedName>
    <definedName name="kk" localSheetId="8" hidden="1">{"Mes Marzo",#N/A,FALSE,"VENTAS 99";"Acum. Marzo",#N/A,FALSE,"VENTAS 99"}</definedName>
    <definedName name="KK" hidden="1">{#N/A,"PURCHM",FALSE,"Business Analysis";#N/A,"SPADD",FALSE,"Business Analysis"}</definedName>
    <definedName name="kk.l" localSheetId="8" hidden="1">{#N/A,#N/A,FALSE,"Produkte Erw.";#N/A,#N/A,FALSE,"Produkte Plan";#N/A,#N/A,FALSE,"Leistungen Erw.";#N/A,#N/A,FALSE,"Leistungen Plan";#N/A,#N/A,FALSE,"KA Allg.Kosten (2)";#N/A,#N/A,FALSE,"KA All.Kosten"}</definedName>
    <definedName name="kk.l" hidden="1">{#N/A,#N/A,FALSE,"Produkte Erw.";#N/A,#N/A,FALSE,"Produkte Plan";#N/A,#N/A,FALSE,"Leistungen Erw.";#N/A,#N/A,FALSE,"Leistungen Plan";#N/A,#N/A,FALSE,"KA Allg.Kosten (2)";#N/A,#N/A,FALSE,"KA All.Kosten"}</definedName>
    <definedName name="kk_1" localSheetId="8" hidden="1">{"Mes Marzo",#N/A,FALSE,"VENTAS 99";"Acum. Marzo",#N/A,FALSE,"VENTAS 99"}</definedName>
    <definedName name="kk_1" hidden="1">{"Mes Marzo",#N/A,FALSE,"VENTAS 99";"Acum. Marzo",#N/A,FALSE,"VENTAS 99"}</definedName>
    <definedName name="kkk" localSheetId="7" hidden="1">{#N/A,#N/A,FALSE,"Pharm";#N/A,#N/A,FALSE,"WWCM"}</definedName>
    <definedName name="kkk" localSheetId="8" hidden="1">{"Mes Marzo",#N/A,FALSE,"VENTAS 99";"Acum. Marzo",#N/A,FALSE,"VENTAS 99"}</definedName>
    <definedName name="kkk" hidden="1">{#N/A,#N/A,FALSE,"Pharm";#N/A,#N/A,FALSE,"WWCM"}</definedName>
    <definedName name="kkk.llll" localSheetId="8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kkk.llll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kkk_1" localSheetId="7" hidden="1">{"Mes Marzo",#N/A,FALSE,"VENTAS 99";"Acum. Marzo",#N/A,FALSE,"VENTAS 99"}</definedName>
    <definedName name="kkk_1" localSheetId="8" hidden="1">{"Mes Marzo",#N/A,FALSE,"VENTAS 99";"Acum. Marzo",#N/A,FALSE,"VENTAS 99"}</definedName>
    <definedName name="kkk_1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kkkk.llll" localSheetId="8" hidden="1">{#N/A,#N/A,FALSE,"Umsatz 99";#N/A,#N/A,FALSE,"ER 99 "}</definedName>
    <definedName name="kkkk.llll" hidden="1">{#N/A,#N/A,FALSE,"Umsatz 99";#N/A,#N/A,FALSE,"ER 99 "}</definedName>
    <definedName name="kkkkkkkk" localSheetId="8" hidden="1">{#N/A,#N/A,FALSE,"Cover";"outputs total",#N/A,FALSE,"Outputs"}</definedName>
    <definedName name="kkkkkkkk" hidden="1">{#N/A,#N/A,FALSE,"Cover";"outputs total",#N/A,FALSE,"Outputs"}</definedName>
    <definedName name="kl" localSheetId="8" hidden="1">{"pl9601",#N/A,FALSE,"PL96";"pl9602",#N/A,FALSE,"PL96";"pl9603",#N/A,FALSE,"PL96";"PL9604",#N/A,FALSE,"PL96";"pl9605",#N/A,FALSE,"PL96";"pl9606",#N/A,FALSE,"PL96";"pl9607",#N/A,FALSE,"PL96";"pl9608",#N/A,FALSE,"PL96";"pl9609",#N/A,FALSE,"PL96";"pl9610",#N/A,FALSE,"PL96";"pl9611",#N/A,FALSE,"PL96";"fssum01",#N/A,FALSE,"fssum";"fssum02",#N/A,FALSE,"fssum"}</definedName>
    <definedName name="kl" hidden="1">{"pl9601",#N/A,FALSE,"PL96";"pl9602",#N/A,FALSE,"PL96";"pl9603",#N/A,FALSE,"PL96";"PL9604",#N/A,FALSE,"PL96";"pl9605",#N/A,FALSE,"PL96";"pl9606",#N/A,FALSE,"PL96";"pl9607",#N/A,FALSE,"PL96";"pl9608",#N/A,FALSE,"PL96";"pl9609",#N/A,FALSE,"PL96";"pl9610",#N/A,FALSE,"PL96";"pl9611",#N/A,FALSE,"PL96";"fssum01",#N/A,FALSE,"fssum";"fssum02",#N/A,FALSE,"fssum"}</definedName>
    <definedName name="kl_1" localSheetId="8" hidden="1">{"pl9601",#N/A,FALSE,"PL96";"pl9602",#N/A,FALSE,"PL96";"pl9603",#N/A,FALSE,"PL96";"PL9604",#N/A,FALSE,"PL96";"pl9605",#N/A,FALSE,"PL96";"pl9606",#N/A,FALSE,"PL96";"pl9607",#N/A,FALSE,"PL96";"pl9608",#N/A,FALSE,"PL96";"pl9609",#N/A,FALSE,"PL96";"pl9610",#N/A,FALSE,"PL96";"pl9611",#N/A,FALSE,"PL96";"fssum01",#N/A,FALSE,"fssum";"fssum02",#N/A,FALSE,"fssum"}</definedName>
    <definedName name="kl_1" hidden="1">{"pl9601",#N/A,FALSE,"PL96";"pl9602",#N/A,FALSE,"PL96";"pl9603",#N/A,FALSE,"PL96";"PL9604",#N/A,FALSE,"PL96";"pl9605",#N/A,FALSE,"PL96";"pl9606",#N/A,FALSE,"PL96";"pl9607",#N/A,FALSE,"PL96";"pl9608",#N/A,FALSE,"PL96";"pl9609",#N/A,FALSE,"PL96";"pl9610",#N/A,FALSE,"PL96";"pl9611",#N/A,FALSE,"PL96";"fssum01",#N/A,FALSE,"fssum";"fssum02",#N/A,FALSE,"fssum"}</definedName>
    <definedName name="kljflksjk" hidden="1">{#N/A,#N/A,FALSE,"SIM95"}</definedName>
    <definedName name="kljk" localSheetId="8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klj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kljklkj" localSheetId="8" hidden="1">{#N/A,#N/A,FALSE,"KA CH  (2)"}</definedName>
    <definedName name="kljklkj" hidden="1">{#N/A,#N/A,FALSE,"KA CH  (2)"}</definedName>
    <definedName name="klk" localSheetId="8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kl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klkj" localSheetId="8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klkj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klklkl" localSheetId="8" hidden="1">{#N/A,#N/A,FALSE,"Umsatz 99";#N/A,#N/A,FALSE,"ER 99 "}</definedName>
    <definedName name="klklkl" hidden="1">{#N/A,#N/A,FALSE,"Umsatz 99";#N/A,#N/A,FALSE,"ER 99 "}</definedName>
    <definedName name="kllkk" hidden="1">{"'FLUOXETINE'!$A$1:$I$24"}</definedName>
    <definedName name="klm.gtg02" localSheetId="8" hidden="1">{#N/A,#N/A,FALSE,"BS"}</definedName>
    <definedName name="klm.gtg02" hidden="1">{#N/A,#N/A,FALSE,"BS"}</definedName>
    <definedName name="klñ" localSheetId="8" hidden="1">{"AS REP",#N/A,FALSE,"EEFSNAP2";"PROP",#N/A,FALSE,"EEFSNAP2";"RISKS",#N/A,FALSE,"EEFSNAP2";"VIEW ALL",#N/A,FALSE,"EEFSNAP2"}</definedName>
    <definedName name="klñ" hidden="1">{"AS REP",#N/A,FALSE,"EEFSNAP2";"PROP",#N/A,FALSE,"EEFSNAP2";"RISKS",#N/A,FALSE,"EEFSNAP2";"VIEW ALL",#N/A,FALSE,"EEFSNAP2"}</definedName>
    <definedName name="km" localSheetId="8" hidden="1">{"pro_view",#N/A,FALSE,"EEFSNAP2";"rep_view",#N/A,FALSE,"EEFSNAP2"}</definedName>
    <definedName name="km" hidden="1">{"pro_view",#N/A,FALSE,"EEFSNAP2";"rep_view",#N/A,FALSE,"EEFSNAP2"}</definedName>
    <definedName name="kma" localSheetId="8" hidden="1">{#N/A,#N/A,TRUE,"Cover sheet";#N/A,#N/A,TRUE,"DCF analysis";#N/A,#N/A,TRUE,"WACC calculation"}</definedName>
    <definedName name="kma" hidden="1">{#N/A,#N/A,TRUE,"Cover sheet";#N/A,#N/A,TRUE,"DCF analysis";#N/A,#N/A,TRUE,"WACC calculation"}</definedName>
    <definedName name="kma_1" localSheetId="8" hidden="1">{#N/A,#N/A,TRUE,"Cover sheet";#N/A,#N/A,TRUE,"DCF analysis";#N/A,#N/A,TRUE,"WACC calculation"}</definedName>
    <definedName name="kma_1" hidden="1">{#N/A,#N/A,TRUE,"Cover sheet";#N/A,#N/A,TRUE,"DCF analysis";#N/A,#N/A,TRUE,"WACC calculation"}</definedName>
    <definedName name="kmh" localSheetId="8" hidden="1">{#N/A,#N/A,TRUE,"Cover sheet";#N/A,#N/A,TRUE,"DCF analysis";#N/A,#N/A,TRUE,"WACC calculation"}</definedName>
    <definedName name="kmh" hidden="1">{#N/A,#N/A,TRUE,"Cover sheet";#N/A,#N/A,TRUE,"DCF analysis";#N/A,#N/A,TRUE,"WACC calculation"}</definedName>
    <definedName name="kmh_1" localSheetId="8" hidden="1">{#N/A,#N/A,TRUE,"Cover sheet";#N/A,#N/A,TRUE,"DCF analysis";#N/A,#N/A,TRUE,"WACC calculation"}</definedName>
    <definedName name="kmh_1" hidden="1">{#N/A,#N/A,TRUE,"Cover sheet";#N/A,#N/A,TRUE,"DCF analysis";#N/A,#N/A,TRUE,"WACC calculation"}</definedName>
    <definedName name="KN" localSheetId="8" hidden="1">{#N/A,#N/A,FALSE,"Valuation Assumptions";#N/A,#N/A,FALSE,"Summary";#N/A,#N/A,FALSE,"DCF";#N/A,#N/A,FALSE,"Valuation";#N/A,#N/A,FALSE,"WACC";#N/A,#N/A,FALSE,"UBVH";#N/A,#N/A,FALSE,"Free Cash Flow"}</definedName>
    <definedName name="KN" hidden="1">{#N/A,#N/A,FALSE,"Valuation Assumptions";#N/A,#N/A,FALSE,"Summary";#N/A,#N/A,FALSE,"DCF";#N/A,#N/A,FALSE,"Valuation";#N/A,#N/A,FALSE,"WACC";#N/A,#N/A,FALSE,"UBVH";#N/A,#N/A,FALSE,"Free Cash Flow"}</definedName>
    <definedName name="KN_1" localSheetId="8" hidden="1">{#N/A,#N/A,FALSE,"Valuation Assumptions";#N/A,#N/A,FALSE,"Summary";#N/A,#N/A,FALSE,"DCF";#N/A,#N/A,FALSE,"Valuation";#N/A,#N/A,FALSE,"WACC";#N/A,#N/A,FALSE,"UBVH";#N/A,#N/A,FALSE,"Free Cash Flow"}</definedName>
    <definedName name="KN_1" hidden="1">{#N/A,#N/A,FALSE,"Valuation Assumptions";#N/A,#N/A,FALSE,"Summary";#N/A,#N/A,FALSE,"DCF";#N/A,#N/A,FALSE,"Valuation";#N/A,#N/A,FALSE,"WACC";#N/A,#N/A,FALSE,"UBVH";#N/A,#N/A,FALSE,"Free Cash Flow"}</definedName>
    <definedName name="köäklöl" localSheetId="8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köäklöl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kokok" localSheetId="8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kokok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kokoko" localSheetId="8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kokoko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kol" localSheetId="8" hidden="1">{"away stand alones",#N/A,FALSE,"Target"}</definedName>
    <definedName name="kol" hidden="1">{"away stand alones",#N/A,FALSE,"Target"}</definedName>
    <definedName name="kol_1" localSheetId="8" hidden="1">{"away stand alones",#N/A,FALSE,"Target"}</definedName>
    <definedName name="kol_1" hidden="1">{"away stand alones",#N/A,FALSE,"Target"}</definedName>
    <definedName name="KONCERN" hidden="1">FALSE</definedName>
    <definedName name="kou" localSheetId="8" hidden="1">{"detail",#N/A,FALSE,"mfg";"summary",#N/A,FALSE,"mfg"}</definedName>
    <definedName name="kou" hidden="1">{"detail",#N/A,FALSE,"mfg";"summary",#N/A,FALSE,"mfg"}</definedName>
    <definedName name="kqfvnqñjkvnñjkqnvñjkqnv" hidden="1">#REF!</definedName>
    <definedName name="Kraft" hidden="1">{#N/A,#N/A,FALSE,"changes";#N/A,#N/A,FALSE,"Assumptions";"view1",#N/A,FALSE,"BE Analysis";"view2",#N/A,FALSE,"BE Analysis";#N/A,#N/A,FALSE,"DCF Calculation - Scenario 1";"Dollar",#N/A,FALSE,"Consolidated - Scenario 1";"CS",#N/A,FALSE,"Consolidated - Scenario 1"}</definedName>
    <definedName name="krenb" localSheetId="8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kren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ksdkan" localSheetId="8" hidden="1">{#N/A,#N/A,FALSE,"Customer Ops";#N/A,#N/A,FALSE,"Field Ops";#N/A,#N/A,FALSE,"Ops Management";#N/A,#N/A,FALSE,"Contact Centre";#N/A,#N/A,FALSE,"Credit Services";#N/A,#N/A,FALSE,"Horizon"}</definedName>
    <definedName name="ksdkan" hidden="1">{#N/A,#N/A,FALSE,"Customer Ops";#N/A,#N/A,FALSE,"Field Ops";#N/A,#N/A,FALSE,"Ops Management";#N/A,#N/A,FALSE,"Contact Centre";#N/A,#N/A,FALSE,"Credit Services";#N/A,#N/A,FALSE,"Horizon"}</definedName>
    <definedName name="ksdkdsk" hidden="1">#REF!</definedName>
    <definedName name="kslkjkjlkjd" localSheetId="7" hidden="1">{#N/A,#N/A,FALSE,"REPORT"}</definedName>
    <definedName name="kslkjkjlkjd" localSheetId="8" hidden="1">{#N/A,#N/A,FALSE,"REPORT"}</definedName>
    <definedName name="kslkjkjlkjd" hidden="1">{#N/A,#N/A,FALSE,"REPORT"}</definedName>
    <definedName name="ktilo" hidden="1">#REF!</definedName>
    <definedName name="KU" localSheetId="8" hidden="1">{#N/A,#N/A,FALSE,"Aging Summary";#N/A,#N/A,FALSE,"Ratio Analysis";#N/A,#N/A,FALSE,"Test 120 Day Accts";#N/A,#N/A,FALSE,"Tickmarks"}</definedName>
    <definedName name="KU" hidden="1">{#N/A,#N/A,FALSE,"Aging Summary";#N/A,#N/A,FALSE,"Ratio Analysis";#N/A,#N/A,FALSE,"Test 120 Day Accts";#N/A,#N/A,FALSE,"Tickmarks"}</definedName>
    <definedName name="KUKR" localSheetId="8" hidden="1">{#N/A,#N/A,FALSE,"Aging Summary";#N/A,#N/A,FALSE,"Ratio Analysis";#N/A,#N/A,FALSE,"Test 120 Day Accts";#N/A,#N/A,FALSE,"Tickmarks"}</definedName>
    <definedName name="KUKR" hidden="1">{#N/A,#N/A,FALSE,"Aging Summary";#N/A,#N/A,FALSE,"Ratio Analysis";#N/A,#N/A,FALSE,"Test 120 Day Accts";#N/A,#N/A,FALSE,"Tickmarks"}</definedName>
    <definedName name="kul" localSheetId="8" hidden="1">{#N/A,#N/A,TRUE,"Voorblad A";#N/A,#N/A,TRUE,"Table of Content FinCom A";#N/A,#N/A,TRUE,"A1-Summ- Key Figures";#N/A,#N/A,TRUE,"A2-Summ Month Man";#N/A,#N/A,TRUE,"Summary Telfort";#N/A,#N/A,TRUE,"A4-P&amp;L by Old org.";#N/A,#N/A,TRUE,"Summary Fixed";#N/A,#N/A,TRUE,"Summary Mobile";#N/A,#N/A,TRUE,"A6-Bal_Sheet CF by Old org. "}</definedName>
    <definedName name="kul" hidden="1">{#N/A,#N/A,TRUE,"Voorblad A";#N/A,#N/A,TRUE,"Table of Content FinCom A";#N/A,#N/A,TRUE,"A1-Summ- Key Figures";#N/A,#N/A,TRUE,"A2-Summ Month Man";#N/A,#N/A,TRUE,"Summary Telfort";#N/A,#N/A,TRUE,"A4-P&amp;L by Old org.";#N/A,#N/A,TRUE,"Summary Fixed";#N/A,#N/A,TRUE,"Summary Mobile";#N/A,#N/A,TRUE,"A6-Bal_Sheet CF by Old org. "}</definedName>
    <definedName name="kuygyu" localSheetId="8" hidden="1">{"summary1",#N/A,TRUE,"Comps";"summary2",#N/A,TRUE,"Comps";"summary3",#N/A,TRUE,"Comps"}</definedName>
    <definedName name="kuygyu" hidden="1">{"summary1",#N/A,TRUE,"Comps";"summary2",#N/A,TRUE,"Comps";"summary3",#N/A,TRUE,"Comps"}</definedName>
    <definedName name="kuygyu_1" localSheetId="8" hidden="1">{"summary1",#N/A,TRUE,"Comps";"summary2",#N/A,TRUE,"Comps";"summary3",#N/A,TRUE,"Comps"}</definedName>
    <definedName name="kuygyu_1" hidden="1">{"summary1",#N/A,TRUE,"Comps";"summary2",#N/A,TRUE,"Comps";"summary3",#N/A,TRUE,"Comps"}</definedName>
    <definedName name="kyd.CounterLimitCell.01." hidden="1">"x"</definedName>
    <definedName name="kyd.Dim.01." localSheetId="7" hidden="1">"currency"</definedName>
    <definedName name="kyd.Dim.01." localSheetId="8" hidden="1">"Count up"</definedName>
    <definedName name="kyd.Dim.01." hidden="1">"Count up"</definedName>
    <definedName name="kyd.Dim.02." hidden="1">"currency"</definedName>
    <definedName name="kyd.ElementList.01." hidden="1">"x"</definedName>
    <definedName name="kyd.ElementType.01." hidden="1">3</definedName>
    <definedName name="kyd.ElementType.02." hidden="1">3</definedName>
    <definedName name="kyd.ItemType.01." hidden="1">3</definedName>
    <definedName name="kyd.MacroAtEnd." hidden="1">""</definedName>
    <definedName name="kyd.MacroEachCycle." hidden="1">""</definedName>
    <definedName name="kyd.MacroEndOfEachCycle." hidden="1">""</definedName>
    <definedName name="kyd.MemoSortHide." hidden="1">FALSE</definedName>
    <definedName name="kyd.NumLevels.01." localSheetId="7" hidden="1">999</definedName>
    <definedName name="kyd.NumLevels.01." localSheetId="8" hidden="1">0</definedName>
    <definedName name="kyd.NumLevels.01." hidden="1">0</definedName>
    <definedName name="kyd.NumLevels.02." hidden="1">999</definedName>
    <definedName name="kyd.PanicStop." hidden="1">TRUE</definedName>
    <definedName name="kyd.ParentName.01." localSheetId="7" hidden="1">"AUD"</definedName>
    <definedName name="kyd.ParentName.01." localSheetId="8" hidden="1">""</definedName>
    <definedName name="kyd.ParentName.01." hidden="1">""</definedName>
    <definedName name="kyd.ParentName.02." hidden="1">"AUD"</definedName>
    <definedName name="kyd.PreScreenData." hidden="1">FALSE</definedName>
    <definedName name="kyd.PrintMemo." hidden="1">FALSE</definedName>
    <definedName name="kyd.PrintParent.01." localSheetId="7" hidden="1">TRUE</definedName>
    <definedName name="kyd.PrintParent.01." localSheetId="8" hidden="1">FALSE</definedName>
    <definedName name="kyd.PrintParent.01." hidden="1">FALSE</definedName>
    <definedName name="kyd.PrintParent.02." hidden="1">TRUE</definedName>
    <definedName name="kyd.PrintStdWhen." localSheetId="7" hidden="1">3</definedName>
    <definedName name="kyd.PrintStdWhen." localSheetId="8" hidden="1">1</definedName>
    <definedName name="kyd.PrintStdWhen." hidden="1">1</definedName>
    <definedName name="kyd.SaveAsFile." hidden="1">FALSE</definedName>
    <definedName name="kyd.SaveMemo." hidden="1">FALSE</definedName>
    <definedName name="kyd.SelectString.01." localSheetId="7" hidden="1">"*"</definedName>
    <definedName name="kyd.SelectString.01." localSheetId="8" hidden="1">""</definedName>
    <definedName name="kyd.SelectString.01." hidden="1">""</definedName>
    <definedName name="kyd.SelectString.02." hidden="1">"*"</definedName>
    <definedName name="kyd.StdSortHide." hidden="1">FALSE</definedName>
    <definedName name="kyd.StopRow." localSheetId="7" hidden="1">16384</definedName>
    <definedName name="kyd.StopRow." localSheetId="8" hidden="1">65536</definedName>
    <definedName name="kyd.StopRow." hidden="1">65536</definedName>
    <definedName name="kyd.WriteMemWhenOptn." hidden="1">3</definedName>
    <definedName name="L" localSheetId="8" hidden="1">{"PAGE 1",#N/A,FALSE,"COS Excluding Geismar";"PAGE 2",#N/A,FALSE,"COS Excluding Geismar";"PAGE 3",#N/A,FALSE,"COS Excluding Geismar"}</definedName>
    <definedName name="L" hidden="1">{"PAGE 1",#N/A,FALSE,"COS Excluding Geismar";"PAGE 2",#N/A,FALSE,"COS Excluding Geismar";"PAGE 3",#N/A,FALSE,"COS Excluding Geismar"}</definedName>
    <definedName name="l_1" localSheetId="8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l_1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laebgr" localSheetId="8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laebgr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laevb" localSheetId="8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laev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lakdbjrvhe" localSheetId="8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lakdbjrvhe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lala" localSheetId="8" hidden="1">{#N/A,#N/A,TRUE,"Cover sheet";#N/A,#N/A,TRUE,"DCF analysis";#N/A,#N/A,TRUE,"WACC calculation"}</definedName>
    <definedName name="lala" hidden="1">{#N/A,#N/A,TRUE,"Cover sheet";#N/A,#N/A,TRUE,"DCF analysis";#N/A,#N/A,TRUE,"WACC calculation"}</definedName>
    <definedName name="lala_1" localSheetId="8" hidden="1">{#N/A,#N/A,TRUE,"Cover sheet";#N/A,#N/A,TRUE,"DCF analysis";#N/A,#N/A,TRUE,"WACC calculation"}</definedName>
    <definedName name="lala_1" hidden="1">{#N/A,#N/A,TRUE,"Cover sheet";#N/A,#N/A,TRUE,"DCF analysis";#N/A,#N/A,TRUE,"WACC calculation"}</definedName>
    <definedName name="lara" localSheetId="8" hidden="1">{#N/A,#N/A,FALSE,"cover";#N/A,#N/A,FALSE,"Contents";#N/A,#N/A,FALSE,"MT&amp;L Op Stat";#N/A,#N/A,FALSE,"M&amp;D Op Stat";#N/A,#N/A,FALSE,"A&amp;L Op Stat";#N/A,#N/A,FALSE,"MT&amp;L Ord An";#N/A,#N/A,FALSE,"MT&amp;L Det Ord";#N/A,#N/A,FALSE,"MT&amp;L Debt Nar";#N/A,#N/A,FALSE,"MT&amp;L Debtors";#N/A,#N/A,FALSE,"MT&amp;L CO Debt";#N/A,#N/A,FALSE,"MT&amp;L Presales"}</definedName>
    <definedName name="lara" hidden="1">{#N/A,#N/A,FALSE,"cover";#N/A,#N/A,FALSE,"Contents";#N/A,#N/A,FALSE,"MT&amp;L Op Stat";#N/A,#N/A,FALSE,"M&amp;D Op Stat";#N/A,#N/A,FALSE,"A&amp;L Op Stat";#N/A,#N/A,FALSE,"MT&amp;L Ord An";#N/A,#N/A,FALSE,"MT&amp;L Det Ord";#N/A,#N/A,FALSE,"MT&amp;L Debt Nar";#N/A,#N/A,FALSE,"MT&amp;L Debtors";#N/A,#N/A,FALSE,"MT&amp;L CO Debt";#N/A,#N/A,FALSE,"MT&amp;L Presales"}</definedName>
    <definedName name="LastReportRefresh" hidden="1">#REF!</definedName>
    <definedName name="lATFORMS" localSheetId="8" hidden="1">{#N/A,#N/A,TRUE,"Table of Content Flash";#N/A,#N/A,TRUE,"A2-Summ Month Man";#N/A,#N/A,TRUE,"B3-Detail P&amp;L Consolidated";#N/A,#N/A,TRUE,"B4-GM per Product";#N/A,#N/A,TRUE,"A3-P&amp;L by Bus.Unt-Serv.Unt";#N/A,#N/A,TRUE,"A4-P&amp;L by Old org."}</definedName>
    <definedName name="lATFORMS" hidden="1">{#N/A,#N/A,TRUE,"Table of Content Flash";#N/A,#N/A,TRUE,"A2-Summ Month Man";#N/A,#N/A,TRUE,"B3-Detail P&amp;L Consolidated";#N/A,#N/A,TRUE,"B4-GM per Product";#N/A,#N/A,TRUE,"A3-P&amp;L by Bus.Unt-Serv.Unt";#N/A,#N/A,TRUE,"A4-P&amp;L by Old org."}</definedName>
    <definedName name="laura1" localSheetId="8" hidden="1">{"Statements",#N/A,TRUE,"Income Statement";"Statements",#N/A,TRUE,"Cash Flow Statement";"Statements",#N/A,TRUE,"Balance Sheet ";#N/A,#N/A,TRUE,"Revenue Data Table";#N/A,#N/A,TRUE,"Costs &amp; Expenses Data Table";#N/A,#N/A,TRUE,"Cash Flow Data Table ";#N/A,#N/A,TRUE,"Shor-term Interest Expense"}</definedName>
    <definedName name="laura1" hidden="1">{"Statements",#N/A,TRUE,"Income Statement";"Statements",#N/A,TRUE,"Cash Flow Statement";"Statements",#N/A,TRUE,"Balance Sheet ";#N/A,#N/A,TRUE,"Revenue Data Table";#N/A,#N/A,TRUE,"Costs &amp; Expenses Data Table";#N/A,#N/A,TRUE,"Cash Flow Data Table ";#N/A,#N/A,TRUE,"Shor-term Interest Expense"}</definedName>
    <definedName name="laura11" localSheetId="8" hidden="1">{"F8P2",#N/A,TRUE,"F8";"F8P1",#N/A,TRUE,"F8";"F8P3",#N/A,TRUE,"F8"}</definedName>
    <definedName name="laura11" hidden="1">{"F8P2",#N/A,TRUE,"F8";"F8P1",#N/A,TRUE,"F8";"F8P3",#N/A,TRUE,"F8"}</definedName>
    <definedName name="laura12" localSheetId="8" hidden="1">{#N/A,#N/A,TRUE,"Cover";#N/A,#N/A,TRUE,"Contents";"Statements",#N/A,TRUE,"Income Statement";"Statements",#N/A,TRUE,"Cash Flow Statement";"Statements",#N/A,TRUE,"Balance Sheet ";#N/A,#N/A,TRUE,"Revenue Data Table";#N/A,#N/A,TRUE,"Costs &amp; Expenses Data Table";#N/A,#N/A,TRUE,"Cash Flow Data Table ";#N/A,#N/A,TRUE,"Shor-term Interest Expense";#N/A,#N/A,TRUE,"Income Taxes";#N/A,#N/A,TRUE,"New Issue Test";#N/A,#N/A,TRUE,"Ratios"}</definedName>
    <definedName name="laura12" hidden="1">{#N/A,#N/A,TRUE,"Cover";#N/A,#N/A,TRUE,"Contents";"Statements",#N/A,TRUE,"Income Statement";"Statements",#N/A,TRUE,"Cash Flow Statement";"Statements",#N/A,TRUE,"Balance Sheet ";#N/A,#N/A,TRUE,"Revenue Data Table";#N/A,#N/A,TRUE,"Costs &amp; Expenses Data Table";#N/A,#N/A,TRUE,"Cash Flow Data Table ";#N/A,#N/A,TRUE,"Shor-term Interest Expense";#N/A,#N/A,TRUE,"Income Taxes";#N/A,#N/A,TRUE,"New Issue Test";#N/A,#N/A,TRUE,"Ratios"}</definedName>
    <definedName name="laura13" localSheetId="8" hidden="1">{#N/A,#N/A,TRUE,"Shor-term Interest Expense"}</definedName>
    <definedName name="laura13" hidden="1">{#N/A,#N/A,TRUE,"Shor-term Interest Expense"}</definedName>
    <definedName name="laura14" localSheetId="8" hidden="1">{"Statements",#N/A,TRUE,"Income Statement";"Statements",#N/A,TRUE,"Cash Flow Statement";"Statements",#N/A,TRUE,"Balance Sheet ";#N/A,#N/A,TRUE,"Revenue Data Table";#N/A,#N/A,TRUE,"Costs &amp; Expenses Data Table";#N/A,#N/A,TRUE,"Cash Flow Data Table ";#N/A,#N/A,TRUE,"Shor-term Interest Expense"}</definedName>
    <definedName name="laura14" hidden="1">{"Statements",#N/A,TRUE,"Income Statement";"Statements",#N/A,TRUE,"Cash Flow Statement";"Statements",#N/A,TRUE,"Balance Sheet ";#N/A,#N/A,TRUE,"Revenue Data Table";#N/A,#N/A,TRUE,"Costs &amp; Expenses Data Table";#N/A,#N/A,TRUE,"Cash Flow Data Table ";#N/A,#N/A,TRUE,"Shor-term Interest Expense"}</definedName>
    <definedName name="laura2" localSheetId="8" hidden="1">{"Statements",#N/A,TRUE,"Income Statement";"Statements",#N/A,TRUE,"Cash Flow Statement";"Statements",#N/A,TRUE,"Balance Sheet ";#N/A,#N/A,TRUE,"Revenue Data Table";#N/A,#N/A,TRUE,"Costs &amp; Expenses Data Table";#N/A,#N/A,TRUE,"Cash Flow Data Table ";#N/A,#N/A,TRUE,"Shor-term Interest Expense"}</definedName>
    <definedName name="laura2" hidden="1">{"Statements",#N/A,TRUE,"Income Statement";"Statements",#N/A,TRUE,"Cash Flow Statement";"Statements",#N/A,TRUE,"Balance Sheet ";#N/A,#N/A,TRUE,"Revenue Data Table";#N/A,#N/A,TRUE,"Costs &amp; Expenses Data Table";#N/A,#N/A,TRUE,"Cash Flow Data Table ";#N/A,#N/A,TRUE,"Shor-term Interest Expense"}</definedName>
    <definedName name="laura4" localSheetId="8" hidden="1">{"Statements",#N/A,TRUE,"Income Statement";"Statements",#N/A,TRUE,"Cash Flow Statement";"Statements",#N/A,TRUE,"Balance Sheet ";#N/A,#N/A,TRUE,"Revenue Data Table";#N/A,#N/A,TRUE,"Costs &amp; Expenses Data Table";#N/A,#N/A,TRUE,"Cash Flow Data Table ";#N/A,#N/A,TRUE,"Shor-term Interest Expense"}</definedName>
    <definedName name="laura4" hidden="1">{"Statements",#N/A,TRUE,"Income Statement";"Statements",#N/A,TRUE,"Cash Flow Statement";"Statements",#N/A,TRUE,"Balance Sheet ";#N/A,#N/A,TRUE,"Revenue Data Table";#N/A,#N/A,TRUE,"Costs &amp; Expenses Data Table";#N/A,#N/A,TRUE,"Cash Flow Data Table ";#N/A,#N/A,TRUE,"Shor-term Interest Expense"}</definedName>
    <definedName name="laura5" localSheetId="8" hidden="1">{#N/A,#N/A,FALSE,"5900 WIP"}</definedName>
    <definedName name="laura5" hidden="1">{#N/A,#N/A,FALSE,"5900 WIP"}</definedName>
    <definedName name="laura6" localSheetId="8" hidden="1">{#N/A,#N/A,TRUE,"Balance Sheet "}</definedName>
    <definedName name="laura6" hidden="1">{#N/A,#N/A,TRUE,"Balance Sheet "}</definedName>
    <definedName name="laura7" localSheetId="8" hidden="1">{"CHART2",#N/A,FALSE,"D2"}</definedName>
    <definedName name="laura7" hidden="1">{"CHART2",#N/A,FALSE,"D2"}</definedName>
    <definedName name="laura8" localSheetId="8" hidden="1">{"CHART1",#N/A,FALSE,"D2"}</definedName>
    <definedName name="laura8" hidden="1">{"CHART1",#N/A,FALSE,"D2"}</definedName>
    <definedName name="laura9" localSheetId="8" hidden="1">{#N/A,#N/A,TRUE,"Cash Flow Statement"}</definedName>
    <definedName name="laura9" hidden="1">{#N/A,#N/A,TRUE,"Cash Flow Statement"}</definedName>
    <definedName name="lbo" localSheetId="8" hidden="1">{"a",#N/A,FALSE,"LBO - 100%, Sell C,CT 98......";"aa",#N/A,FALSE,"LBO - 100%, Sell C,CT 98......";"aaa",#N/A,FALSE,"LBO - 100%, Sell C,CT 98......";"aaaa",#N/A,FALSE,"LBO - 100%, Sell C,CT 98......";"aaaaa",#N/A,FALSE,"LBO - 100%, Sell C,CT 98......";"aaaaaa",#N/A,FALSE,"LBO - 100%, Sell C,CT 98......"}</definedName>
    <definedName name="lbo" hidden="1">{"a",#N/A,FALSE,"LBO - 100%, Sell C,CT 98......";"aa",#N/A,FALSE,"LBO - 100%, Sell C,CT 98......";"aaa",#N/A,FALSE,"LBO - 100%, Sell C,CT 98......";"aaaa",#N/A,FALSE,"LBO - 100%, Sell C,CT 98......";"aaaaa",#N/A,FALSE,"LBO - 100%, Sell C,CT 98......";"aaaaaa",#N/A,FALSE,"LBO - 100%, Sell C,CT 98......"}</definedName>
    <definedName name="ldarhgeahg" localSheetId="8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ldarhgeah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ldkeir" localSheetId="8" hidden="1">{#N/A,"PURCHM",FALSE,"Business Analysis";#N/A,"SPADD",FALSE,"Business Analysis"}</definedName>
    <definedName name="ldkeir" hidden="1">{#N/A,"PURCHM",FALSE,"Business Analysis";#N/A,"SPADD",FALSE,"Business Analysis"}</definedName>
    <definedName name="ldkjnb" localSheetId="8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ldkjn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lds" localSheetId="8" hidden="1">{#N/A,#N/A,FALSE,"CHANGES";#N/A,#N/A,FALSE,"PROD SUMMARY";#N/A,#N/A,FALSE,"1995 PO SUM";#N/A,#N/A,FALSE,"1995 GEOG SUM";#N/A,#N/A,FALSE,"1996 PO SUM";#N/A,#N/A,FALSE,"1996 GEOG SUM"}</definedName>
    <definedName name="lds" hidden="1">{#N/A,#N/A,FALSE,"CHANGES";#N/A,#N/A,FALSE,"PROD SUMMARY";#N/A,#N/A,FALSE,"1995 PO SUM";#N/A,#N/A,FALSE,"1995 GEOG SUM";#N/A,#N/A,FALSE,"1996 PO SUM";#N/A,#N/A,FALSE,"1996 GEOG SUM"}</definedName>
    <definedName name="learvb" localSheetId="8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learv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LEASING" localSheetId="8" hidden="1">{#N/A,#N/A,TRUE,"Attivo";#N/A,#N/A,TRUE,"Passivo";#N/A,#N/A,TRUE,"Conto Economico"}</definedName>
    <definedName name="LEASING" hidden="1">{#N/A,#N/A,TRUE,"Attivo";#N/A,#N/A,TRUE,"Passivo";#N/A,#N/A,TRUE,"Conto Economico"}</definedName>
    <definedName name="LEASING_1" localSheetId="8" hidden="1">{#N/A,#N/A,TRUE,"Attivo";#N/A,#N/A,TRUE,"Passivo";#N/A,#N/A,TRUE,"Conto Economico"}</definedName>
    <definedName name="LEASING_1" hidden="1">{#N/A,#N/A,TRUE,"Attivo";#N/A,#N/A,TRUE,"Passivo";#N/A,#N/A,TRUE,"Conto Economico"}</definedName>
    <definedName name="leauir" localSheetId="8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leauir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ledld" localSheetId="8" hidden="1">{"example",#N/A,FALSE,"Import 1 - Oracle"}</definedName>
    <definedName name="ledld" hidden="1">{"example",#N/A,FALSE,"Import 1 - Oracle"}</definedName>
    <definedName name="lee" localSheetId="7" hidden="1">{#N/A,#N/A,FALSE,"Pharm";#N/A,#N/A,FALSE,"WWCM"}</definedName>
    <definedName name="lee" localSheetId="8" hidden="1">{#N/A,#N/A,FALSE,"Pharm";#N/A,#N/A,FALSE,"WWCM"}</definedName>
    <definedName name="lee" hidden="1">{#N/A,#N/A,FALSE,"Pharm";#N/A,#N/A,FALSE,"WWCM"}</definedName>
    <definedName name="Left_Header" hidden="1">#REF!</definedName>
    <definedName name="legg" localSheetId="8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legg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LEIVLAJA" hidden="1">{#N/A,#N/A,TRUE,"DIVIDER PAGE";#N/A,#N/A,TRUE,"Exist + Reg A IS";#N/A,#N/A,TRUE,"Summary IS exc. B";#N/A,#N/A,TRUE,"New Stores";#N/A,#N/A,TRUE,"Existing DCF";#N/A,#N/A,TRUE,"Region A DCF";#N/A,#N/A,TRUE,"Existing + Reg. A DCF"}</definedName>
    <definedName name="Leo" hidden="1">{"report",#N/A,FALSE,"dataBase"}</definedName>
    <definedName name="lfdlfa" localSheetId="8" hidden="1">{#N/A,#N/A,FALSE,"Pharm";#N/A,#N/A,FALSE,"WWCM"}</definedName>
    <definedName name="lfdlfa" hidden="1">{#N/A,#N/A,FALSE,"Pharm";#N/A,#N/A,FALSE,"WWCM"}</definedName>
    <definedName name="lflf" localSheetId="8" hidden="1">{#N/A,#N/A,FALSE,"Pharm";#N/A,#N/A,FALSE,"WWCM"}</definedName>
    <definedName name="lflf" hidden="1">{#N/A,#N/A,FALSE,"Pharm";#N/A,#N/A,FALSE,"WWCM"}</definedName>
    <definedName name="LG" localSheetId="8" hidden="1">{#N/A,#N/A,FALSE,"Aging Summary";#N/A,#N/A,FALSE,"Ratio Analysis";#N/A,#N/A,FALSE,"Test 120 Day Accts";#N/A,#N/A,FALSE,"Tickmarks"}</definedName>
    <definedName name="LG" hidden="1">{#N/A,#N/A,FALSE,"Aging Summary";#N/A,#N/A,FALSE,"Ratio Analysis";#N/A,#N/A,FALSE,"Test 120 Day Accts";#N/A,#N/A,FALSE,"Tickmarks"}</definedName>
    <definedName name="LGE" localSheetId="8" hidden="1">{#N/A,#N/A,FALSE,"IR E CS 1997";#N/A,#N/A,FALSE,"PR ND";#N/A,#N/A,FALSE,"8191";#N/A,#N/A,FALSE,"8383";#N/A,#N/A,FALSE,"MP 1024";#N/A,#N/A,FALSE,"AD_EX_97";#N/A,#N/A,FALSE,"BD 97"}</definedName>
    <definedName name="LGE" hidden="1">{#N/A,#N/A,FALSE,"IR E CS 1997";#N/A,#N/A,FALSE,"PR ND";#N/A,#N/A,FALSE,"8191";#N/A,#N/A,FALSE,"8383";#N/A,#N/A,FALSE,"MP 1024";#N/A,#N/A,FALSE,"AD_EX_97";#N/A,#N/A,FALSE,"BD 97"}</definedName>
    <definedName name="lhjlkjlhklhljl" localSheetId="8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lhjlkjlhklhljl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LI" localSheetId="8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LI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Libet" localSheetId="8" hidden="1">{#N/A,#N/A,FALSE,"EARNINGS";#N/A,#N/A,FALSE,"FINANCIAL";#N/A,#N/A,FALSE,"OPERATIONAL"}</definedName>
    <definedName name="Libet" hidden="1">{#N/A,#N/A,FALSE,"EARNINGS";#N/A,#N/A,FALSE,"FINANCIAL";#N/A,#N/A,FALSE,"OPERATIONAL"}</definedName>
    <definedName name="lıl" localSheetId="8" hidden="1">{#N/A,#N/A,FALSE,"SMT1";#N/A,#N/A,FALSE,"SMT2";#N/A,#N/A,FALSE,"Summary";#N/A,#N/A,FALSE,"Graphs";#N/A,#N/A,FALSE,"4 Panel"}</definedName>
    <definedName name="lıl" hidden="1">{#N/A,#N/A,FALSE,"SMT1";#N/A,#N/A,FALSE,"SMT2";#N/A,#N/A,FALSE,"Summary";#N/A,#N/A,FALSE,"Graphs";#N/A,#N/A,FALSE,"4 Panel"}</definedName>
    <definedName name="limcount" localSheetId="8" hidden="1">2</definedName>
    <definedName name="limcount" hidden="1">1</definedName>
    <definedName name="lisa" localSheetId="8" hidden="1">{"July 00",#N/A,TRUE,"Revised P&amp;L";"July 00",#N/A,TRUE,"Income";"July 00",#N/A,TRUE,"Staff costs";"July 00",#N/A,TRUE,"Marketing";"July 00",#N/A,TRUE,"Creative";"July 00",#N/A,TRUE,"Service";"July 00",#N/A,TRUE,"General Establishment";"July 00",#N/A,TRUE,"BALSHEET";"July 00",#N/A,TRUE,"CASH FLOW"}</definedName>
    <definedName name="lisa" hidden="1">{"July 00",#N/A,TRUE,"Revised P&amp;L";"July 00",#N/A,TRUE,"Income";"July 00",#N/A,TRUE,"Staff costs";"July 00",#N/A,TRUE,"Marketing";"July 00",#N/A,TRUE,"Creative";"July 00",#N/A,TRUE,"Service";"July 00",#N/A,TRUE,"General Establishment";"July 00",#N/A,TRUE,"BALSHEET";"July 00",#N/A,TRUE,"CASH FLOW"}</definedName>
    <definedName name="lisaa" localSheetId="8" hidden="1">{"July 97",#N/A,TRUE,"Revised P&amp;L";"July 97",#N/A,TRUE,"Income";"July 97",#N/A,TRUE,"Staff costs";"July 97",#N/A,TRUE,"Marketing";"July 97",#N/A,TRUE,"Service";"July 97",#N/A,TRUE,"Creative";"July 97",#N/A,TRUE,"General Establishment";"July 97",#N/A,TRUE,"BALSHEET";"July 97",#N/A,TRUE,"CASH FLOW"}</definedName>
    <definedName name="lisaa" hidden="1">{"July 97",#N/A,TRUE,"Revised P&amp;L";"July 97",#N/A,TRUE,"Income";"July 97",#N/A,TRUE,"Staff costs";"July 97",#N/A,TRUE,"Marketing";"July 97",#N/A,TRUE,"Service";"July 97",#N/A,TRUE,"Creative";"July 97",#N/A,TRUE,"General Establishment";"July 97",#N/A,TRUE,"BALSHEET";"July 97",#N/A,TRUE,"CASH FLOW"}</definedName>
    <definedName name="ListOffset" localSheetId="8" hidden="1">1</definedName>
    <definedName name="ListOffset" hidden="1">4</definedName>
    <definedName name="litros" localSheetId="7" hidden="1">{"Acum Div 1",#N/A,FALSE,"Acum Diversos 1"}</definedName>
    <definedName name="litros" localSheetId="8" hidden="1">{"Acum Div 1",#N/A,FALSE,"Acum Diversos 1"}</definedName>
    <definedName name="litros" hidden="1">{"Acum Div 1",#N/A,FALSE,"Acum Diversos 1"}</definedName>
    <definedName name="liureag" localSheetId="8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liurea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lixo" hidden="1">{#N/A,#N/A,FALSE,"Dutos";#N/A,#N/A,FALSE,"Terminais"}</definedName>
    <definedName name="lj" localSheetId="8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lj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ljk" hidden="1">{#N/A,#N/A,FALSE,"CA";#N/A,#N/A,FALSE,"CN";#N/A,#N/A,FALSE,"Inv";#N/A,#N/A,FALSE,"Inv Acc";"Miguel_balance",#N/A,FALSE,"Bal";#N/A,#N/A,FALSE,"Plantilla";#N/A,#N/A,FALSE,"CA (2)";#N/A,#N/A,FALSE,"CN (2)"}</definedName>
    <definedName name="ljkl" localSheetId="8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ljkl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ljklk" localSheetId="8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ljklk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ljnbd" localSheetId="8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ljnbd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lk" hidden="1">#REF!</definedName>
    <definedName name="lkafvb" localSheetId="8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lkafv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lkdajfb" localSheetId="8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lkdajf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lkj" localSheetId="8" hidden="1">{"detail",#N/A,FALSE,"mfg";"summary",#N/A,FALSE,"mfg"}</definedName>
    <definedName name="lkj" hidden="1">{"detail",#N/A,FALSE,"mfg";"summary",#N/A,FALSE,"mfg"}</definedName>
    <definedName name="lkj_1" localSheetId="8" hidden="1">{"vue1",#N/A,FALSE,"synthese";"vue2",#N/A,FALSE,"synthese"}</definedName>
    <definedName name="lkj_1" hidden="1">{"vue1",#N/A,FALSE,"synthese";"vue2",#N/A,FALSE,"synthese"}</definedName>
    <definedName name="LKJH" localSheetId="8" hidden="1">{#N/A,#N/A,FALSE,"Min compar us";#N/A,#N/A,FALSE,"Min US Equité ";#N/A,#N/A,FALSE,"Analyse U.S."}</definedName>
    <definedName name="LKJH" hidden="1">{#N/A,#N/A,FALSE,"Min compar us";#N/A,#N/A,FALSE,"Min US Equité ";#N/A,#N/A,FALSE,"Analyse U.S."}</definedName>
    <definedName name="lkjhgfd" localSheetId="8" hidden="1">{#N/A,#N/A,FALSE,"Centres";#N/A,#N/A,FALSE,"Partenariats";#N/A,#N/A,FALSE,"P.Diverses";#N/A,#N/A,FALSE,"Adm";#N/A,#N/A,FALSE,"Autres R-D";#N/A,#N/A,FALSE,"Intérêts"}</definedName>
    <definedName name="lkjhgfd" hidden="1">{#N/A,#N/A,FALSE,"Centres";#N/A,#N/A,FALSE,"Partenariats";#N/A,#N/A,FALSE,"P.Diverses";#N/A,#N/A,FALSE,"Adm";#N/A,#N/A,FALSE,"Autres R-D";#N/A,#N/A,FALSE,"Intérêts"}</definedName>
    <definedName name="lkjlk" localSheetId="8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lkjlk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lkjlk_1" localSheetId="8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lkjlk_1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lkjlklkjlkjlkj" localSheetId="8" hidden="1">{"page1",#N/A,TRUE,"CSC";"page2",#N/A,TRUE,"CSC"}</definedName>
    <definedName name="lkjlklkjlkjlkj" hidden="1">{"page1",#N/A,TRUE,"CSC";"page2",#N/A,TRUE,"CSC"}</definedName>
    <definedName name="lkkkkk" localSheetId="8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lkkkkk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lkklklklkl" localSheetId="8" hidden="1">{#N/A,#N/A,FALSE,"Centres";#N/A,#N/A,FALSE,"Partenariats";#N/A,#N/A,FALSE,"P.Diverses";#N/A,#N/A,FALSE,"Adm";#N/A,#N/A,FALSE,"Autres R-D";#N/A,#N/A,FALSE,"Intérêts"}</definedName>
    <definedName name="lkklklklkl" hidden="1">{#N/A,#N/A,FALSE,"Centres";#N/A,#N/A,FALSE,"Partenariats";#N/A,#N/A,FALSE,"P.Diverses";#N/A,#N/A,FALSE,"Adm";#N/A,#N/A,FALSE,"Autres R-D";#N/A,#N/A,FALSE,"Intérêts"}</definedName>
    <definedName name="lkl" localSheetId="8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lkl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lklk" localSheetId="8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lklk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lklkl" localSheetId="8" hidden="1">{"consolidated",#N/A,FALSE,"Sheet1";"cms",#N/A,FALSE,"Sheet1";"fse",#N/A,FALSE,"Sheet1"}</definedName>
    <definedName name="lklkl" hidden="1">{"consolidated",#N/A,FALSE,"Sheet1";"cms",#N/A,FALSE,"Sheet1";"fse",#N/A,FALSE,"Sheet1"}</definedName>
    <definedName name="lklkl_1" localSheetId="8" hidden="1">{"consolidated",#N/A,FALSE,"Sheet1";"cms",#N/A,FALSE,"Sheet1";"fse",#N/A,FALSE,"Sheet1"}</definedName>
    <definedName name="lklkl_1" hidden="1">{"consolidated",#N/A,FALSE,"Sheet1";"cms",#N/A,FALSE,"Sheet1";"fse",#N/A,FALSE,"Sheet1"}</definedName>
    <definedName name="lklklklk" localSheetId="8" hidden="1">{"Presentation",#N/A,FALSE,"Feb96 - ALL"}</definedName>
    <definedName name="lklklklk" hidden="1">{"Presentation",#N/A,FALSE,"Feb96 - ALL"}</definedName>
    <definedName name="lklklklk_1" localSheetId="8" hidden="1">{"Presentation",#N/A,FALSE,"Feb96 - ALL"}</definedName>
    <definedName name="lklklklk_1" hidden="1">{"Presentation",#N/A,FALSE,"Feb96 - ALL"}</definedName>
    <definedName name="lkmn" localSheetId="8" hidden="1">{"summary",#N/A,FALSE,"summary";"sales growth",#N/A,FALSE,"summary";"oper income",#N/A,FALSE,"summary";"oros rank",#N/A,FALSE,"summary";"net assets",#N/A,FALSE,"summary";"asset turnover",#N/A,FALSE,"summary";"orona",#N/A,FALSE,"summary";"total return",#N/A,FALSE,"summary";"overview",#N/A,FALSE,"summary"}</definedName>
    <definedName name="lkmn" hidden="1">{"summary",#N/A,FALSE,"summary";"sales growth",#N/A,FALSE,"summary";"oper income",#N/A,FALSE,"summary";"oros rank",#N/A,FALSE,"summary";"net assets",#N/A,FALSE,"summary";"asset turnover",#N/A,FALSE,"summary";"orona",#N/A,FALSE,"summary";"total return",#N/A,FALSE,"summary";"overview",#N/A,FALSE,"summary"}</definedName>
    <definedName name="lko0" localSheetId="8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lko0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ll" localSheetId="7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ll" localSheetId="8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ll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ll.l" localSheetId="8" hidden="1">{#N/A,#N/A,FALSE,"Produkte Erw.";#N/A,#N/A,FALSE,"Produkte Plan";#N/A,#N/A,FALSE,"Leistungen Erw.";#N/A,#N/A,FALSE,"Leistungen Plan";#N/A,#N/A,FALSE,"KA Allg.Kosten (2)";#N/A,#N/A,FALSE,"KA All.Kosten"}</definedName>
    <definedName name="ll.l" hidden="1">{#N/A,#N/A,FALSE,"Produkte Erw.";#N/A,#N/A,FALSE,"Produkte Plan";#N/A,#N/A,FALSE,"Leistungen Erw.";#N/A,#N/A,FALSE,"Leistungen Plan";#N/A,#N/A,FALSE,"KA Allg.Kosten (2)";#N/A,#N/A,FALSE,"KA All.Kosten"}</definedName>
    <definedName name="ll_1" localSheetId="7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ll_1" localSheetId="8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ll_1" hidden="1">{#N/A,#N/A,FALSE,"MERCHANT GAS MARGIN";#N/A,#N/A,FALSE,"BULK";#N/A,#N/A,FALSE,"BULK CO2";#N/A,#N/A,FALSE,"ON-SITE";#N/A,#N/A,FALSE,"CYLINDERS"}</definedName>
    <definedName name="llk" localSheetId="8" hidden="1">{"pro_view",#N/A,FALSE,"EEFSNAP2";"rep_view",#N/A,FALSE,"EEFSNAP2"}</definedName>
    <definedName name="llk" hidden="1">{"pro_view",#N/A,FALSE,"EEFSNAP2";"rep_view",#N/A,FALSE,"EEFSNAP2"}</definedName>
    <definedName name="lll" localSheetId="8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lll" hidden="1">{"'RR'!$A$2:$E$81"}</definedName>
    <definedName name="lllkkjhhggf" localSheetId="8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lllkkjhhggf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llll" localSheetId="8" hidden="1">#REF!</definedName>
    <definedName name="llll" hidden="1">#REF!</definedName>
    <definedName name="llllll" localSheetId="8" hidden="1">{"detail",#N/A,FALSE,"mfg";"summary",#N/A,FALSE,"mfg"}</definedName>
    <definedName name="llllll" hidden="1">{"detail",#N/A,FALSE,"mfg";"summary",#N/A,FALSE,"mfg"}</definedName>
    <definedName name="llp" localSheetId="8" hidden="1">{"YD LPH2",#N/A,FALSE,"YTD"}</definedName>
    <definedName name="llp" hidden="1">{"YD LPH2",#N/A,FALSE,"YTD"}</definedName>
    <definedName name="lnrre" localSheetId="8" hidden="1">{#N/A,#N/A,FALSE,"Pharm";#N/A,#N/A,FALSE,"WWCM"}</definedName>
    <definedName name="lnrre" hidden="1">{#N/A,#N/A,FALSE,"Pharm";#N/A,#N/A,FALSE,"WWCM"}</definedName>
    <definedName name="lñ" localSheetId="8" hidden="1">{"sales growth",#N/A,FALSE,"summary";"oper income",#N/A,FALSE,"summary";"oros rank",#N/A,FALSE,"summary";"net assets",#N/A,FALSE,"summary";"asset turnover",#N/A,FALSE,"summary";"orona",#N/A,FALSE,"summary"}</definedName>
    <definedName name="lñ" hidden="1">{"sales growth",#N/A,FALSE,"summary";"oper income",#N/A,FALSE,"summary";"oros rank",#N/A,FALSE,"summary";"net assets",#N/A,FALSE,"summary";"asset turnover",#N/A,FALSE,"summary";"orona",#N/A,FALSE,"summary"}</definedName>
    <definedName name="lo" localSheetId="8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lo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LOBopprofit" localSheetId="8" hidden="1">{"'100'!$A$1:$M$83"}</definedName>
    <definedName name="LOBopprofit" hidden="1">{"'100'!$A$1:$M$83"}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inbv" localSheetId="8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loinbv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lola" localSheetId="8" hidden="1">{#N/A,#N/A,FALSE,"PERSONAL";#N/A,#N/A,FALSE,"explotación";#N/A,#N/A,FALSE,"generales"}</definedName>
    <definedName name="lola" hidden="1">{#N/A,#N/A,FALSE,"PERSONAL";#N/A,#N/A,FALSE,"explotación";#N/A,#N/A,FALSE,"generales"}</definedName>
    <definedName name="lolas" localSheetId="8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lolas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lolass" localSheetId="8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lass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ll" localSheetId="8" hidden="1">{#N/A,#N/A,FALSE,"Full";#N/A,#N/A,FALSE,"Half";#N/A,#N/A,FALSE,"Op Expenses";#N/A,#N/A,FALSE,"Cap Charge";#N/A,#N/A,FALSE,"Cost C";#N/A,#N/A,FALSE,"PP&amp;E";#N/A,#N/A,FALSE,"R&amp;D"}</definedName>
    <definedName name="loll" hidden="1">{#N/A,#N/A,FALSE,"Full";#N/A,#N/A,FALSE,"Half";#N/A,#N/A,FALSE,"Op Expenses";#N/A,#N/A,FALSE,"Cap Charge";#N/A,#N/A,FALSE,"Cost C";#N/A,#N/A,FALSE,"PP&amp;E";#N/A,#N/A,FALSE,"R&amp;D"}</definedName>
    <definedName name="lolo" localSheetId="8" hidden="1">{#N/A,#N/A,TRUE,"Voorblad";#N/A,#N/A,TRUE,"Table of Content A";#N/A,#N/A,TRUE,"A1-Summ- Key Figures";#N/A,#N/A,TRUE,"A2-Summ Month Man";#N/A,#N/A,TRUE,"A3-P&amp;L by Bus.Unt-Serv.Unt";#N/A,#N/A,TRUE,"A4-P&amp;L by Old org.";#N/A,#N/A,TRUE,"A6-Bal_Sheet CF by Old org. ";#N/A,#N/A,TRUE,"A8-Headc.Funct."}</definedName>
    <definedName name="lolo" hidden="1">{#N/A,#N/A,TRUE,"Voorblad";#N/A,#N/A,TRUE,"Table of Content A";#N/A,#N/A,TRUE,"A1-Summ- Key Figures";#N/A,#N/A,TRUE,"A2-Summ Month Man";#N/A,#N/A,TRUE,"A3-P&amp;L by Bus.Unt-Serv.Unt";#N/A,#N/A,TRUE,"A4-P&amp;L by Old org.";#N/A,#N/A,TRUE,"A6-Bal_Sheet CF by Old org. ";#N/A,#N/A,TRUE,"A8-Headc.Funct."}</definedName>
    <definedName name="longreportawhy" localSheetId="8" hidden="1">{#N/A,#N/A,TRUE,"Cover";#N/A,#N/A,TRUE,"Header (ld)";#N/A,#N/A,TRUE,"T&amp;O By Region";#N/A,#N/A,TRUE,"Region Charts ";#N/A,#N/A,TRUE,"T&amp;O London";#N/A,#N/A,TRUE,"AD Report";#N/A,#N/A,TRUE,"Var by OU"}</definedName>
    <definedName name="longreportawhy" hidden="1">{#N/A,#N/A,TRUE,"Cover";#N/A,#N/A,TRUE,"Header (ld)";#N/A,#N/A,TRUE,"T&amp;O By Region";#N/A,#N/A,TRUE,"Region Charts ";#N/A,#N/A,TRUE,"T&amp;O London";#N/A,#N/A,TRUE,"AD Report";#N/A,#N/A,TRUE,"Var by OU"}</definedName>
    <definedName name="longreportawhy_1" localSheetId="8" hidden="1">{#N/A,#N/A,TRUE,"Cover";#N/A,#N/A,TRUE,"Header (ld)";#N/A,#N/A,TRUE,"T&amp;O By Region";#N/A,#N/A,TRUE,"Region Charts ";#N/A,#N/A,TRUE,"T&amp;O London";#N/A,#N/A,TRUE,"AD Report";#N/A,#N/A,TRUE,"Var by OU"}</definedName>
    <definedName name="longreportawhy_1" hidden="1">{#N/A,#N/A,TRUE,"Cover";#N/A,#N/A,TRUE,"Header (ld)";#N/A,#N/A,TRUE,"T&amp;O By Region";#N/A,#N/A,TRUE,"Region Charts ";#N/A,#N/A,TRUE,"T&amp;O London";#N/A,#N/A,TRUE,"AD Report";#N/A,#N/A,TRUE,"Var by OU"}</definedName>
    <definedName name="longreportwhy" localSheetId="8" hidden="1">{#N/A,#N/A,TRUE,"Cover";#N/A,#N/A,TRUE,"Header (ld)";#N/A,#N/A,TRUE,"T&amp;O By Region";#N/A,#N/A,TRUE,"Region Charts ";#N/A,#N/A,TRUE,"T&amp;O London";#N/A,#N/A,TRUE,"AD Report";#N/A,#N/A,TRUE,"Var by OU"}</definedName>
    <definedName name="longreportwhy" hidden="1">{#N/A,#N/A,TRUE,"Cover";#N/A,#N/A,TRUE,"Header (ld)";#N/A,#N/A,TRUE,"T&amp;O By Region";#N/A,#N/A,TRUE,"Region Charts ";#N/A,#N/A,TRUE,"T&amp;O London";#N/A,#N/A,TRUE,"AD Report";#N/A,#N/A,TRUE,"Var by OU"}</definedName>
    <definedName name="longreportwhy_1" localSheetId="8" hidden="1">{#N/A,#N/A,TRUE,"Cover";#N/A,#N/A,TRUE,"Header (ld)";#N/A,#N/A,TRUE,"T&amp;O By Region";#N/A,#N/A,TRUE,"Region Charts ";#N/A,#N/A,TRUE,"T&amp;O London";#N/A,#N/A,TRUE,"AD Report";#N/A,#N/A,TRUE,"Var by OU"}</definedName>
    <definedName name="longreportwhy_1" hidden="1">{#N/A,#N/A,TRUE,"Cover";#N/A,#N/A,TRUE,"Header (ld)";#N/A,#N/A,TRUE,"T&amp;O By Region";#N/A,#N/A,TRUE,"Region Charts ";#N/A,#N/A,TRUE,"T&amp;O London";#N/A,#N/A,TRUE,"AD Report";#N/A,#N/A,TRUE,"Var by OU"}</definedName>
    <definedName name="loo" localSheetId="8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o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ok" localSheetId="8" hidden="1">{"ProductCo PSTN Lines",#N/A,FALSE,"ProductCo Lines Output"}</definedName>
    <definedName name="look" hidden="1">{"ProductCo PSTN Lines",#N/A,FALSE,"ProductCo Lines Output"}</definedName>
    <definedName name="lop" localSheetId="8" hidden="1">{"detail",#N/A,FALSE,"mfg";"summary",#N/A,FALSE,"mfg"}</definedName>
    <definedName name="lop" hidden="1">{"detail",#N/A,FALSE,"mfg";"summary",#N/A,FALSE,"mfg"}</definedName>
    <definedName name="lost" localSheetId="8" hidden="1">#REF!</definedName>
    <definedName name="lost" hidden="1">#REF!</definedName>
    <definedName name="LoteBonito2" hidden="1">{"'Resumo2'!$B$2:$J$23"}</definedName>
    <definedName name="louis" localSheetId="8" hidden="1">{"vue1",#N/A,FALSE,"synthese";"vue2",#N/A,FALSE,"synthese"}</definedName>
    <definedName name="louis" hidden="1">{"vue1",#N/A,FALSE,"synthese";"vue2",#N/A,FALSE,"synthese"}</definedName>
    <definedName name="louis_1" localSheetId="8" hidden="1">{"vue1",#N/A,FALSE,"synthese";"vue2",#N/A,FALSE,"synthese"}</definedName>
    <definedName name="louis_1" hidden="1">{"vue1",#N/A,FALSE,"synthese";"vue2",#N/A,FALSE,"synthese"}</definedName>
    <definedName name="love" localSheetId="8" hidden="1">{"PAGE 1",#N/A,FALSE,"ES-01-XX";"PAGE 2",#N/A,FALSE,"ES-01-XX"}</definedName>
    <definedName name="love" hidden="1">{"PAGE 1",#N/A,FALSE,"ES-01-XX";"PAGE 2",#N/A,FALSE,"ES-01-XX"}</definedName>
    <definedName name="lpok" localSheetId="8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lpok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lqd" localSheetId="8" hidden="1">{#N/A,#N/A,FALSE,"CNS";#N/A,#N/A,FALSE,"Serz";#N/A,#N/A,FALSE,"Ace"}</definedName>
    <definedName name="lqd" hidden="1">{#N/A,#N/A,FALSE,"CNS";#N/A,#N/A,FALSE,"Serz";#N/A,#N/A,FALSE,"Ace"}</definedName>
    <definedName name="lsajd" localSheetId="8" hidden="1">{"common",#N/A,TRUE,"Common Input";"Sum Res_010",#N/A,TRUE,"Res_010";"Sum Res_011",#N/A,TRUE,"Res_011";"Sum Res_012",#N/A,TRUE,"Res_012";"Sum Res_013",#N/A,TRUE,"Res_013"}</definedName>
    <definedName name="lsajd" hidden="1">{"common",#N/A,TRUE,"Common Input";"Sum Res_010",#N/A,TRUE,"Res_010";"Sum Res_011",#N/A,TRUE,"Res_011";"Sum Res_012",#N/A,TRUE,"Res_012";"Sum Res_013",#N/A,TRUE,"Res_013"}</definedName>
    <definedName name="lslsl" hidden="1">#REF!</definedName>
    <definedName name="ltm_BalanceSheet" hidden="1">#REF!</definedName>
    <definedName name="ltm_IncomeStatement" hidden="1">#REF!</definedName>
    <definedName name="Luca" hidden="1">#REF!</definedName>
    <definedName name="LUFeXToEUR" localSheetId="8" hidden="1">1/EUReXToLUF</definedName>
    <definedName name="LUFeXToEUR" hidden="1">1/EUReXToLUF</definedName>
    <definedName name="luil" localSheetId="8" hidden="1">{"Ergebnisbericht_UBA",#N/A,FALSE,"MB"}</definedName>
    <definedName name="luil" hidden="1">{"Ergebnisbericht_UBA",#N/A,FALSE,"MB"}</definedName>
    <definedName name="luil_1" localSheetId="8" hidden="1">{"Ergebnisbericht_UBA",#N/A,FALSE,"MB"}</definedName>
    <definedName name="luil_1" hidden="1">{"Ergebnisbericht_UBA",#N/A,FALSE,"MB"}</definedName>
    <definedName name="luis" localSheetId="7" hidden="1">{"Acum Div 1",#N/A,FALSE,"Acum Diversos 1"}</definedName>
    <definedName name="luis" localSheetId="8" hidden="1">{"Acum Div 1",#N/A,FALSE,"Acum Diversos 1"}</definedName>
    <definedName name="luis" hidden="1">{"Acum Div 1",#N/A,FALSE,"Acum Diversos 1"}</definedName>
    <definedName name="luis2" localSheetId="8" hidden="1">{"Acum Div 1",#N/A,FALSE,"Acum Diversos 1"}</definedName>
    <definedName name="luis2" hidden="1">{"Acum Div 1",#N/A,FALSE,"Acum Diversos 1"}</definedName>
    <definedName name="lulululul" localSheetId="8" hidden="1">{#N/A,#N/A,FALSE,"Centres";#N/A,#N/A,FALSE,"Partenariats";#N/A,#N/A,FALSE,"P.Diverses";#N/A,#N/A,FALSE,"Adm";#N/A,#N/A,FALSE,"Autres R-D";#N/A,#N/A,FALSE,"Intérêts"}</definedName>
    <definedName name="lulululul" hidden="1">{#N/A,#N/A,FALSE,"Centres";#N/A,#N/A,FALSE,"Partenariats";#N/A,#N/A,FALSE,"P.Diverses";#N/A,#N/A,FALSE,"Adm";#N/A,#N/A,FALSE,"Autres R-D";#N/A,#N/A,FALSE,"Intérêts"}</definedName>
    <definedName name="luy" localSheetId="8" hidden="1">{#N/A,#N/A,FALSE,"SMT1";#N/A,#N/A,FALSE,"SMT2";#N/A,#N/A,FALSE,"Summary";#N/A,#N/A,FALSE,"Graphs";#N/A,#N/A,FALSE,"4 Panel"}</definedName>
    <definedName name="luy" hidden="1">{#N/A,#N/A,FALSE,"SMT1";#N/A,#N/A,FALSE,"SMT2";#N/A,#N/A,FALSE,"Summary";#N/A,#N/A,FALSE,"Graphs";#N/A,#N/A,FALSE,"4 Panel"}</definedName>
    <definedName name="m" localSheetId="7" hidden="1">{#N/A,#N/A,FALSE,"CNS";#N/A,#N/A,FALSE,"Serz";#N/A,#N/A,FALSE,"Ace"}</definedName>
    <definedName name="m" localSheetId="8" hidden="1">{"Mes Febrero",#N/A,FALSE,"VENTAS_99";"Acum. Febrero",#N/A,FALSE,"VENTAS_99";"Mes Febrero",#N/A,FALSE,"CTA RES CONSOLID. GRUPO";"Acumulado Febrero",#N/A,FALSE,"CTA RES CONSOLID. GRUPO";"Mes Febrero Cta Res Grupo",#N/A,FALSE,"CTA RES GRUPO";"Acum. Febrero Cta Res Grupo",#N/A,FALSE,"CTA RES GRUPO"}</definedName>
    <definedName name="m_1" localSheetId="8" hidden="1">{"Mes Febrero",#N/A,FALSE,"VENTAS_99";"Acum. Febrero",#N/A,FALSE,"VENTAS_99";"Mes Febrero",#N/A,FALSE,"CTA RES CONSOLID. GRUPO";"Acumulado Febrero",#N/A,FALSE,"CTA RES CONSOLID. GRUPO";"Mes Febrero Cta Res Grupo",#N/A,FALSE,"CTA RES GRUPO";"Acum. Febrero Cta Res Grupo",#N/A,FALSE,"CTA RES GRUPO"}</definedName>
    <definedName name="m_1" hidden="1">{"Mes Febrero",#N/A,FALSE,"VENTAS_99";"Acum. Febrero",#N/A,FALSE,"VENTAS_99";"Mes Febrero",#N/A,FALSE,"CTA RES CONSOLID. GRUPO";"Acumulado Febrero",#N/A,FALSE,"CTA RES CONSOLID. GRUPO";"Mes Febrero Cta Res Grupo",#N/A,FALSE,"CTA RES GRUPO";"Acum. Febrero Cta Res Grupo",#N/A,FALSE,"CTA RES GRUPO"}</definedName>
    <definedName name="M_PlaceofPath" hidden="1">"G:\SECTORS\Household\HOUSEHOL\WILKE\GILLETTE\GENERAL\G_VDF.xls"</definedName>
    <definedName name="mai" localSheetId="8" hidden="1">{#N/A,#N/A,FALSE,"9709 (2)"}</definedName>
    <definedName name="mai" hidden="1">{#N/A,#N/A,FALSE,"9709 (2)"}</definedName>
    <definedName name="maji" localSheetId="8" hidden="1">{"detail",#N/A,FALSE,"mfg";"summary",#N/A,FALSE,"mfg"}</definedName>
    <definedName name="maji" hidden="1">{"detail",#N/A,FALSE,"mfg";"summary",#N/A,FALSE,"mfg"}</definedName>
    <definedName name="Mall" localSheetId="8" hidden="1">{#N/A,#N/A,FALSE,"Adm comp";#N/A,#N/A,FALSE,"Adm ajust";"adm",#N/A,FALSE,"Administration";#N/A,#N/A,FALSE,"Adm Bgt 97 vs Prév. 96";#N/A,#N/A,FALSE,"Adm Bgt 97 vs 96"}</definedName>
    <definedName name="Mall" hidden="1">{#N/A,#N/A,FALSE,"Adm comp";#N/A,#N/A,FALSE,"Adm ajust";"adm",#N/A,FALSE,"Administration";#N/A,#N/A,FALSE,"Adm Bgt 97 vs Prév. 96";#N/A,#N/A,FALSE,"Adm Bgt 97 vs 96"}</definedName>
    <definedName name="MAMAMMAMMA" hidden="1">#N/A</definedName>
    <definedName name="MAMAMMSMDAMSA" hidden="1">#N/A</definedName>
    <definedName name="mamem" localSheetId="8" hidden="1">{#N/A,#N/A,FALSE,"REPORT"}</definedName>
    <definedName name="mamem" hidden="1">{#N/A,#N/A,FALSE,"REPORT"}</definedName>
    <definedName name="manoela" hidden="1">{"Acq_matrix",#N/A,FALSE,"Acquisition Matrix"}</definedName>
    <definedName name="MANREP_KIBS" hidden="1">"MANREP_KIBS"</definedName>
    <definedName name="marcelo" hidden="1">{#N/A,#N/A,FALSE,"QUADRO GERAL";#N/A,#N/A,FALSE,"RECEITA OPERACIONAL";#N/A,#N/A,FALSE,"DESP.OPERACIONAIS";#N/A,#N/A,FALSE,"INVESTIMENTOS";#N/A,#N/A,FALSE,"NÃO OPERACIONAL";#N/A,#N/A,FALSE,"PROJEÇÃO INDICADORES"}</definedName>
    <definedName name="marcelo1" hidden="1">{#N/A,#N/A,FALSE,"QUADRO GERAL";#N/A,#N/A,FALSE,"RECEITA OPERACIONAL";#N/A,#N/A,FALSE,"DESP.OPERACIONAIS";#N/A,#N/A,FALSE,"INVESTIMENTOS";#N/A,#N/A,FALSE,"NÃO OPERACIONAL";#N/A,#N/A,FALSE,"PROJEÇÃO INDICADORES"}</definedName>
    <definedName name="marché" localSheetId="8" hidden="1">{"tableau a",#N/A,FALSE,"Feuil3";"tableau b",#N/A,FALSE,"Feuil3"}</definedName>
    <definedName name="marché" hidden="1">{"tableau a",#N/A,FALSE,"Feuil3";"tableau b",#N/A,FALSE,"Feuil3"}</definedName>
    <definedName name="margin" localSheetId="8" hidden="1">{#N/A,#N/A,FALSE,"Aging Summary";#N/A,#N/A,FALSE,"Ratio Analysis";#N/A,#N/A,FALSE,"Test 120 Day Accts";#N/A,#N/A,FALSE,"Tickmarks"}</definedName>
    <definedName name="margin" hidden="1">{#N/A,#N/A,FALSE,"Aging Summary";#N/A,#N/A,FALSE,"Ratio Analysis";#N/A,#N/A,FALSE,"Test 120 Day Accts";#N/A,#N/A,FALSE,"Tickmarks"}</definedName>
    <definedName name="MARISA" localSheetId="7" hidden="1">{"Mes Marzo",#N/A,FALSE,"VENTAS 99";"Acum. Marzo",#N/A,FALSE,"VENTAS 99"}</definedName>
    <definedName name="MARISA" localSheetId="8" hidden="1">{"Mes Marzo",#N/A,FALSE,"VENTAS 99";"Acum. Marzo",#N/A,FALSE,"VENTAS 99"}</definedName>
    <definedName name="MARISA" hidden="1">{"Mes Marzo",#N/A,FALSE,"VENTAS 99";"Acum. Marzo",#N/A,FALSE,"VENTAS 99"}</definedName>
    <definedName name="MARISA_1" localSheetId="8" hidden="1">{"Mes Marzo",#N/A,FALSE,"VENTAS 99";"Acum. Marzo",#N/A,FALSE,"VENTAS 99"}</definedName>
    <definedName name="MARISA_1" hidden="1">{"Mes Marzo",#N/A,FALSE,"VENTAS 99";"Acum. Marzo",#N/A,FALSE,"VENTAS 99"}</definedName>
    <definedName name="mark" hidden="1">#REF!</definedName>
    <definedName name="MarketingB10" localSheetId="8" hidden="1">{"'TYPE (2)'!$A$1:$Q$76"}</definedName>
    <definedName name="MarketingB10" hidden="1">{"'TYPE (2)'!$A$1:$Q$76"}</definedName>
    <definedName name="MarkP" hidden="1">{#N/A,#N/A,FALSE,"GRAFICO";#N/A,#N/A,FALSE,"CAJA (2)";#N/A,#N/A,FALSE,"TERCEROS-PROMEDIO";#N/A,#N/A,FALSE,"CAJA";#N/A,#N/A,FALSE,"INGRESOS1995-2003";#N/A,#N/A,FALSE,"GASTOS1995-2003"}</definedName>
    <definedName name="Marshalls" localSheetId="8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Marshall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marta" hidden="1">#REF!</definedName>
    <definedName name="MARZO" hidden="1">#REF!</definedName>
    <definedName name="marzo1" hidden="1">{#N/A,#N/A,FALSE,"Acum Julio - 00"}</definedName>
    <definedName name="MATT" localSheetId="8" hidden="1">{#N/A,#N/A,TRUE,"Main Issues";#N/A,#N/A,TRUE,"Income statement ($)"}</definedName>
    <definedName name="MATT" hidden="1">{#N/A,#N/A,TRUE,"Main Issues";#N/A,#N/A,TRUE,"Income statement ($)"}</definedName>
    <definedName name="MATT_1" localSheetId="8" hidden="1">{#N/A,#N/A,TRUE,"Main Issues";#N/A,#N/A,TRUE,"Income statement ($)"}</definedName>
    <definedName name="MATT_1" hidden="1">{#N/A,#N/A,TRUE,"Main Issues";#N/A,#N/A,TRUE,"Income statement ($)"}</definedName>
    <definedName name="MATT_2" localSheetId="8" hidden="1">{#N/A,#N/A,TRUE,"Main Issues";#N/A,#N/A,TRUE,"Income statement ($)"}</definedName>
    <definedName name="MATT_2" hidden="1">{#N/A,#N/A,TRUE,"Main Issues";#N/A,#N/A,TRUE,"Income statement ($)"}</definedName>
    <definedName name="matt1" localSheetId="8" hidden="1">{"K1-Overview1",#N/A,FALSE,"K1-Overview";"K1-Overview2",#N/A,FALSE,"K1-Overview";"K1-Overview3 BUD &amp; CUR",#N/A,FALSE,"K1-Overview"}</definedName>
    <definedName name="matt1" hidden="1">{"K1-Overview1",#N/A,FALSE,"K1-Overview";"K1-Overview2",#N/A,FALSE,"K1-Overview";"K1-Overview3 BUD &amp; CUR",#N/A,FALSE,"K1-Overview"}</definedName>
    <definedName name="matt10" localSheetId="8" hidden="1">{"C3-RegView   Board Report Data",#N/A,FALSE,"C3-RegView"}</definedName>
    <definedName name="matt10" hidden="1">{"C3-RegView   Board Report Data",#N/A,FALSE,"C3-RegView"}</definedName>
    <definedName name="matt100" localSheetId="8" hidden="1">{#N/A,#N/A,FALSE,"D9-NWWG";#N/A,#N/A,FALSE,"F2-WMG";#N/A,#N/A,FALSE,"F3-WWMG"}</definedName>
    <definedName name="matt100" hidden="1">{#N/A,#N/A,FALSE,"D9-NWWG";#N/A,#N/A,FALSE,"F2-WMG";#N/A,#N/A,FALSE,"F3-WWMG"}</definedName>
    <definedName name="matt101" localSheetId="8" hidden="1">{"A3-DivDirNWW_ClosedView",#N/A,FALSE,"A3-DivDirNWW";#N/A,#N/A,FALSE,"A4-DivDirNWW";#N/A,#N/A,FALSE,"B1-Co&amp;RegSum";#N/A,#N/A,FALSE,"C5-NWWRegView";#N/A,#N/A,FALSE,"H2-DivDirs2";#N/A,#N/A,FALSE,"C4-NorPro"}</definedName>
    <definedName name="matt101" hidden="1">{"A3-DivDirNWW_ClosedView",#N/A,FALSE,"A3-DivDirNWW";#N/A,#N/A,FALSE,"A4-DivDirNWW";#N/A,#N/A,FALSE,"B1-Co&amp;RegSum";#N/A,#N/A,FALSE,"C5-NWWRegView";#N/A,#N/A,FALSE,"H2-DivDirs2";#N/A,#N/A,FALSE,"C4-NorPro"}</definedName>
    <definedName name="matt102" localSheetId="8" hidden="1">{"K1-Overview1",#N/A,FALSE,"K1-Overview";"K1-Overview2",#N/A,FALSE,"K1-Overview";"K1-Overview3 BUD &amp; CUR",#N/A,FALSE,"K1-Overview"}</definedName>
    <definedName name="matt102" hidden="1">{"K1-Overview1",#N/A,FALSE,"K1-Overview";"K1-Overview2",#N/A,FALSE,"K1-Overview";"K1-Overview3 BUD &amp; CUR",#N/A,FALSE,"K1-Overview"}</definedName>
    <definedName name="matt103" localSheetId="8" hidden="1">{"C3-RegView   Board Report Data",#N/A,FALSE,"C3-RegView"}</definedName>
    <definedName name="matt103" hidden="1">{"C3-RegView   Board Report Data",#N/A,FALSE,"C3-RegView"}</definedName>
    <definedName name="matt104" localSheetId="8" hidden="1">{"Segment Report",#N/A,FALSE,"Reports"}</definedName>
    <definedName name="matt104" hidden="1">{"Segment Report",#N/A,FALSE,"Reports"}</definedName>
    <definedName name="matt11" localSheetId="8" hidden="1">{#N/A,#N/A,FALSE,"D9-NWWG";"E4a_Summary_inc_Forecast",#N/A,FALSE,"E4a-Summary";"E4b_WS_inc_Forecast",#N/A,FALSE,"E4b-WS";"E4c-WWS_inc_Forecast",#N/A,FALSE,"E4c-WWS";"E4d_M&amp;G_inc_Forecast",#N/A,FALSE,"E4d-M&amp;G";#N/A,#N/A,FALSE,"E1-Ops";#N/A,#N/A,FALSE,"E4-WS1";#N/A,#N/A,FALSE,"E5-WS2";#N/A,#N/A,FALSE,"E6-WS3";#N/A,#N/A,FALSE,"F2-WSG";#N/A,#N/A,FALSE,"E7-WWS1";#N/A,#N/A,FALSE,"E8-WWS2";#N/A,#N/A,FALSE,"E9-WWS3";#N/A,#N/A,FALSE,"F3-WWSG"}</definedName>
    <definedName name="matt11" hidden="1">{#N/A,#N/A,FALSE,"D9-NWWG";"E4a_Summary_inc_Forecast",#N/A,FALSE,"E4a-Summary";"E4b_WS_inc_Forecast",#N/A,FALSE,"E4b-WS";"E4c-WWS_inc_Forecast",#N/A,FALSE,"E4c-WWS";"E4d_M&amp;G_inc_Forecast",#N/A,FALSE,"E4d-M&amp;G";#N/A,#N/A,FALSE,"E1-Ops";#N/A,#N/A,FALSE,"E4-WS1";#N/A,#N/A,FALSE,"E5-WS2";#N/A,#N/A,FALSE,"E6-WS3";#N/A,#N/A,FALSE,"F2-WSG";#N/A,#N/A,FALSE,"E7-WWS1";#N/A,#N/A,FALSE,"E8-WWS2";#N/A,#N/A,FALSE,"E9-WWS3";#N/A,#N/A,FALSE,"F3-WWSG"}</definedName>
    <definedName name="matt12" localSheetId="8" hidden="1">{#N/A,#N/A,FALSE,"D9-NWWG";#N/A,#N/A,FALSE,"F2-WMG";#N/A,#N/A,FALSE,"F3-WWMG"}</definedName>
    <definedName name="matt12" hidden="1">{#N/A,#N/A,FALSE,"D9-NWWG";#N/A,#N/A,FALSE,"F2-WMG";#N/A,#N/A,FALSE,"F3-WWMG"}</definedName>
    <definedName name="matt13" localSheetId="8" hidden="1">{"A3-DivDirNWW_ClosedView",#N/A,FALSE,"A3-DivDirNWW";#N/A,#N/A,FALSE,"A4-DivDirNWW";#N/A,#N/A,FALSE,"B1-Co&amp;RegSum";#N/A,#N/A,FALSE,"C5-NWWRegView";#N/A,#N/A,FALSE,"H2-DivDirs2";#N/A,#N/A,FALSE,"C4-NorPro"}</definedName>
    <definedName name="matt13" hidden="1">{"A3-DivDirNWW_ClosedView",#N/A,FALSE,"A3-DivDirNWW";#N/A,#N/A,FALSE,"A4-DivDirNWW";#N/A,#N/A,FALSE,"B1-Co&amp;RegSum";#N/A,#N/A,FALSE,"C5-NWWRegView";#N/A,#N/A,FALSE,"H2-DivDirs2";#N/A,#N/A,FALSE,"C4-NorPro"}</definedName>
    <definedName name="matt14" localSheetId="8" hidden="1">{"K1-Overview1",#N/A,FALSE,"K1-Overview";"K1-Overview2",#N/A,FALSE,"K1-Overview";"K1-Overview3 BUD &amp; CUR",#N/A,FALSE,"K1-Overview"}</definedName>
    <definedName name="matt14" hidden="1">{"K1-Overview1",#N/A,FALSE,"K1-Overview";"K1-Overview2",#N/A,FALSE,"K1-Overview";"K1-Overview3 BUD &amp; CUR",#N/A,FALSE,"K1-Overview"}</definedName>
    <definedName name="matt15" localSheetId="8" hidden="1">{"C3-RegView   Board Report Data",#N/A,FALSE,"C3-RegView"}</definedName>
    <definedName name="matt15" hidden="1">{"C3-RegView   Board Report Data",#N/A,FALSE,"C3-RegView"}</definedName>
    <definedName name="matt16" localSheetId="8" hidden="1">{"Segment Report",#N/A,FALSE,"Reports"}</definedName>
    <definedName name="matt16" hidden="1">{"Segment Report",#N/A,FALSE,"Reports"}</definedName>
    <definedName name="matt2" localSheetId="8" hidden="1">{"C3-RegView   Board Report Data",#N/A,FALSE,"C3-RegView"}</definedName>
    <definedName name="matt2" hidden="1">{"C3-RegView   Board Report Data",#N/A,FALSE,"C3-RegView"}</definedName>
    <definedName name="matt3" localSheetId="8" hidden="1">{"Segment Report",#N/A,FALSE,"Reports"}</definedName>
    <definedName name="matt3" hidden="1">{"Segment Report",#N/A,FALSE,"Reports"}</definedName>
    <definedName name="mATT500" localSheetId="8" hidden="1">{#N/A,#N/A,FALSE,"D9-NWWG";"E4a_Summary_inc_Forecast",#N/A,FALSE,"E4a-Summary";"E4b_WS_inc_Forecast",#N/A,FALSE,"E4b-WS";"E4c-WWS_inc_Forecast",#N/A,FALSE,"E4c-WWS";"E4d_M&amp;G_inc_Forecast",#N/A,FALSE,"E4d-M&amp;G";#N/A,#N/A,FALSE,"E1-Ops";#N/A,#N/A,FALSE,"E4-WS1";#N/A,#N/A,FALSE,"E5-WS2";#N/A,#N/A,FALSE,"E6-WS3";#N/A,#N/A,FALSE,"F2-WSG";#N/A,#N/A,FALSE,"E7-WWS1";#N/A,#N/A,FALSE,"E8-WWS2";#N/A,#N/A,FALSE,"E9-WWS3";#N/A,#N/A,FALSE,"F3-WWSG"}</definedName>
    <definedName name="mATT500" hidden="1">{#N/A,#N/A,FALSE,"D9-NWWG";"E4a_Summary_inc_Forecast",#N/A,FALSE,"E4a-Summary";"E4b_WS_inc_Forecast",#N/A,FALSE,"E4b-WS";"E4c-WWS_inc_Forecast",#N/A,FALSE,"E4c-WWS";"E4d_M&amp;G_inc_Forecast",#N/A,FALSE,"E4d-M&amp;G";#N/A,#N/A,FALSE,"E1-Ops";#N/A,#N/A,FALSE,"E4-WS1";#N/A,#N/A,FALSE,"E5-WS2";#N/A,#N/A,FALSE,"E6-WS3";#N/A,#N/A,FALSE,"F2-WSG";#N/A,#N/A,FALSE,"E7-WWS1";#N/A,#N/A,FALSE,"E8-WWS2";#N/A,#N/A,FALSE,"E9-WWS3";#N/A,#N/A,FALSE,"F3-WWSG"}</definedName>
    <definedName name="MATT501" localSheetId="8" hidden="1">{"Segment Report",#N/A,FALSE,"Reports"}</definedName>
    <definedName name="MATT501" hidden="1">{"Segment Report",#N/A,FALSE,"Reports"}</definedName>
    <definedName name="MATT502" localSheetId="8" hidden="1">{"Segment Report",#N/A,FALSE,"Reports"}</definedName>
    <definedName name="MATT502" hidden="1">{"Segment Report",#N/A,FALSE,"Reports"}</definedName>
    <definedName name="MATT503" localSheetId="8" hidden="1">{"Segment Report",#N/A,FALSE,"Reports"}</definedName>
    <definedName name="MATT503" hidden="1">{"Segment Report",#N/A,FALSE,"Reports"}</definedName>
    <definedName name="matt99" localSheetId="8" hidden="1">{#N/A,#N/A,FALSE,"D9-NWWG";"E4a_Summary_inc_Forecast",#N/A,FALSE,"E4a-Summary";"E4b_WS_inc_Forecast",#N/A,FALSE,"E4b-WS";"E4c-WWS_inc_Forecast",#N/A,FALSE,"E4c-WWS";"E4d_M&amp;G_inc_Forecast",#N/A,FALSE,"E4d-M&amp;G";#N/A,#N/A,FALSE,"E1-Ops";#N/A,#N/A,FALSE,"E4-WS1";#N/A,#N/A,FALSE,"E5-WS2";#N/A,#N/A,FALSE,"E6-WS3";#N/A,#N/A,FALSE,"F2-WSG";#N/A,#N/A,FALSE,"E7-WWS1";#N/A,#N/A,FALSE,"E8-WWS2";#N/A,#N/A,FALSE,"E9-WWS3";#N/A,#N/A,FALSE,"F3-WWSG"}</definedName>
    <definedName name="matt99" hidden="1">{#N/A,#N/A,FALSE,"D9-NWWG";"E4a_Summary_inc_Forecast",#N/A,FALSE,"E4a-Summary";"E4b_WS_inc_Forecast",#N/A,FALSE,"E4b-WS";"E4c-WWS_inc_Forecast",#N/A,FALSE,"E4c-WWS";"E4d_M&amp;G_inc_Forecast",#N/A,FALSE,"E4d-M&amp;G";#N/A,#N/A,FALSE,"E1-Ops";#N/A,#N/A,FALSE,"E4-WS1";#N/A,#N/A,FALSE,"E5-WS2";#N/A,#N/A,FALSE,"E6-WS3";#N/A,#N/A,FALSE,"F2-WSG";#N/A,#N/A,FALSE,"E7-WWS1";#N/A,#N/A,FALSE,"E8-WWS2";#N/A,#N/A,FALSE,"E9-WWS3";#N/A,#N/A,FALSE,"F3-WWSG"}</definedName>
    <definedName name="mattt" localSheetId="8" hidden="1">{#N/A,#N/A,FALSE,"Aging Summary";#N/A,#N/A,FALSE,"Ratio Analysis";#N/A,#N/A,FALSE,"Test 120 Day Accts";#N/A,#N/A,FALSE,"Tickmarks"}</definedName>
    <definedName name="mattt" hidden="1">{#N/A,#N/A,FALSE,"Aging Summary";#N/A,#N/A,FALSE,"Ratio Analysis";#N/A,#N/A,FALSE,"Test 120 Day Accts";#N/A,#N/A,FALSE,"Tickmarks"}</definedName>
    <definedName name="Mau" hidden="1">{#N/A,#N/A,FALSE,"QUADRO GERAL";#N/A,#N/A,FALSE,"RECEITA OPERACIONAL";#N/A,#N/A,FALSE,"DESP.OPERACIONAIS";#N/A,#N/A,FALSE,"INVESTIMENTOS";#N/A,#N/A,FALSE,"NÃO OPERACIONAL";#N/A,#N/A,FALSE,"PROJEÇÃO INDICADORES"}</definedName>
    <definedName name="mb" localSheetId="8" hidden="1">{#N/A,#N/A,FALSE,"CHANGES";#N/A,#N/A,FALSE,"PROD SUMMARY";#N/A,#N/A,FALSE,"1995 PO SUM";#N/A,#N/A,FALSE,"1995 GEOG SUM";#N/A,#N/A,FALSE,"1996 PO SUM";#N/A,#N/A,FALSE,"1996 GEOG SUM"}</definedName>
    <definedName name="mb" hidden="1">{#N/A,#N/A,FALSE,"CHANGES";#N/A,#N/A,FALSE,"PROD SUMMARY";#N/A,#N/A,FALSE,"1995 PO SUM";#N/A,#N/A,FALSE,"1995 GEOG SUM";#N/A,#N/A,FALSE,"1996 PO SUM";#N/A,#N/A,FALSE,"1996 GEOG SUM"}</definedName>
    <definedName name="mb_inputLocation" hidden="1">#REF!</definedName>
    <definedName name="mcklw" hidden="1">#REF!</definedName>
    <definedName name="mckwl" hidden="1">#REF!</definedName>
    <definedName name="mcm" localSheetId="8" hidden="1">{"Pèrdues i Guanys analític.Català",#N/A,FALSE,"Català";"Pèrdues i G. analític.castellà",#N/A,FALSE,"Castellà"}</definedName>
    <definedName name="mcm" hidden="1">{"Pèrdues i Guanys analític.Català",#N/A,FALSE,"Català";"Pèrdues i G. analític.castellà",#N/A,FALSE,"Castellà"}</definedName>
    <definedName name="MDCMII" hidden="1">#REF!</definedName>
    <definedName name="mdl" localSheetId="8" hidden="1">{#N/A,#N/A,FALSE,"REPORT"}</definedName>
    <definedName name="mdl" hidden="1">{#N/A,#N/A,FALSE,"REPORT"}</definedName>
    <definedName name="mdlm" localSheetId="8" hidden="1">{#N/A,#N/A,TRUE,"financial";#N/A,#N/A,TRUE,"plants"}</definedName>
    <definedName name="mdlm" hidden="1">{#N/A,#N/A,TRUE,"financial";#N/A,#N/A,TRUE,"plants"}</definedName>
    <definedName name="mdlm_1" localSheetId="8" hidden="1">{#N/A,#N/A,TRUE,"financial";#N/A,#N/A,TRUE,"plants"}</definedName>
    <definedName name="mdlm_1" hidden="1">{#N/A,#N/A,TRUE,"financial";#N/A,#N/A,TRUE,"plants"}</definedName>
    <definedName name="mensilizzazione" hidden="1">#N/A</definedName>
    <definedName name="meoi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mercedes" localSheetId="7" hidden="1">{"Mes Marzo",#N/A,FALSE,"VENTAS 99";"Acum. Marzo",#N/A,FALSE,"VENTAS 99"}</definedName>
    <definedName name="mercedes" localSheetId="8" hidden="1">{"Mes Marzo",#N/A,FALSE,"VENTAS 99";"Acum. Marzo",#N/A,FALSE,"VENTAS 99"}</definedName>
    <definedName name="mercedes" hidden="1">{"Mes Marzo",#N/A,FALSE,"VENTAS 99";"Acum. Marzo",#N/A,FALSE,"VENTAS 99"}</definedName>
    <definedName name="mercedes_1" localSheetId="8" hidden="1">{"Mes Marzo",#N/A,FALSE,"VENTAS 99";"Acum. Marzo",#N/A,FALSE,"VENTAS 99"}</definedName>
    <definedName name="mercedes_1" hidden="1">{"Mes Marzo",#N/A,FALSE,"VENTAS 99";"Acum. Marzo",#N/A,FALSE,"VENTAS 99"}</definedName>
    <definedName name="merlon" hidden="1">OFFSET(#REF!, 1, 0 ):OFFSET(#REF!, COUNTA(#REF!:OFFSET(#REF!, ROWS(#REF! ), 0 ) ) - 1, 0 )</definedName>
    <definedName name="MerrillPrintIt" localSheetId="8" hidden="1">#N/A</definedName>
    <definedName name="MerrillPrintIt" hidden="1">#REF!</definedName>
    <definedName name="Metrics" localSheetId="8" hidden="1">{"provision",#N/A,FALSE;"reserve analysis",#N/A,FALSE}</definedName>
    <definedName name="Metrics" hidden="1">{"provision",#N/A,FALSE;"reserve analysis",#N/A,FALSE}</definedName>
    <definedName name="MEWarning" localSheetId="7" hidden="1">0</definedName>
    <definedName name="MEWarning" localSheetId="8" hidden="1">0</definedName>
    <definedName name="MEWarning" hidden="1">1</definedName>
    <definedName name="mfkewl" hidden="1">#REF!</definedName>
    <definedName name="mfoew" localSheetId="8" hidden="1">{#N/A,"PURCHM",FALSE,"Business Analysis";#N/A,"SPADD",FALSE,"Business Analysis"}</definedName>
    <definedName name="mfoew" hidden="1">{#N/A,"PURCHM",FALSE,"Business Analysis";#N/A,"SPADD",FALSE,"Business Analysis"}</definedName>
    <definedName name="mghhtryerter" hidden="1">{#N/A,#N/A,FALSE,"Dutos";#N/A,#N/A,FALSE,"Terminais"}</definedName>
    <definedName name="mia" localSheetId="7" hidden="1">{"Bce Laf",#N/A,FALSE,"LAF";"CashFlow Laf",#N/A,FALSE,"LAF";"Bce Oleomed",#N/A,FALSE,"Oleomed";"Bce Dreiman",#N/A,FALSE,"Dreiman";"CashFlow oleomed",#N/A,FALSE,"Oleomed";"cashflow Dreiman",#N/A,FALSE,"Dreiman";"Bce Farmygel",#N/A,FALSE,"Farmygel";"Cashflow Farmygel",#N/A,FALSE,"Farmygel";"Cashflow Grupo",#N/A,FALSE,"Grupo";"Cash Flow Grupo",#N/A,FALSE,"GRUPO BCE ";"Bce Laf",#N/A,FALSE,"GRUPO BCE ";"Todas las Compañías",#N/A,FALSE,"Gráficos"}</definedName>
    <definedName name="mia" localSheetId="8" hidden="1">{"Bce Laf",#N/A,FALSE,"LAF";"CashFlow Laf",#N/A,FALSE,"LAF";"Bce Oleomed",#N/A,FALSE,"Oleomed";"Bce Dreiman",#N/A,FALSE,"Dreiman";"CashFlow oleomed",#N/A,FALSE,"Oleomed";"cashflow Dreiman",#N/A,FALSE,"Dreiman";"Bce Farmygel",#N/A,FALSE,"Farmygel";"Cashflow Farmygel",#N/A,FALSE,"Farmygel";"Cashflow Grupo",#N/A,FALSE,"Grupo";"Cash Flow Grupo",#N/A,FALSE,"GRUPO BCE ";"Bce Laf",#N/A,FALSE,"GRUPO BCE ";"Todas las Compañías",#N/A,FALSE,"Gráficos"}</definedName>
    <definedName name="mia" hidden="1">{"Bce Laf",#N/A,FALSE,"LAF";"CashFlow Laf",#N/A,FALSE,"LAF";"Bce Oleomed",#N/A,FALSE,"Oleomed";"Bce Dreiman",#N/A,FALSE,"Dreiman";"CashFlow oleomed",#N/A,FALSE,"Oleomed";"cashflow Dreiman",#N/A,FALSE,"Dreiman";"Bce Farmygel",#N/A,FALSE,"Farmygel";"Cashflow Farmygel",#N/A,FALSE,"Farmygel";"Cashflow Grupo",#N/A,FALSE,"Grupo";"Cash Flow Grupo",#N/A,FALSE,"GRUPO BCE ";"Bce Laf",#N/A,FALSE,"GRUPO BCE ";"Todas las Compañías",#N/A,FALSE,"Gráficos"}</definedName>
    <definedName name="mia_1" localSheetId="8" hidden="1">{"Bce Laf",#N/A,FALSE,"LAF";"CashFlow Laf",#N/A,FALSE,"LAF";"Bce Oleomed",#N/A,FALSE,"Oleomed";"Bce Dreiman",#N/A,FALSE,"Dreiman";"CashFlow oleomed",#N/A,FALSE,"Oleomed";"cashflow Dreiman",#N/A,FALSE,"Dreiman";"Bce Farmygel",#N/A,FALSE,"Farmygel";"Cashflow Farmygel",#N/A,FALSE,"Farmygel";"Cashflow Grupo",#N/A,FALSE,"Grupo";"Cash Flow Grupo",#N/A,FALSE,"GRUPO BCE ";"Bce Laf",#N/A,FALSE,"GRUPO BCE ";"Todas las Compañías",#N/A,FALSE,"Gráficos"}</definedName>
    <definedName name="mia_1" hidden="1">{"Bce Laf",#N/A,FALSE,"LAF";"CashFlow Laf",#N/A,FALSE,"LAF";"Bce Oleomed",#N/A,FALSE,"Oleomed";"Bce Dreiman",#N/A,FALSE,"Dreiman";"CashFlow oleomed",#N/A,FALSE,"Oleomed";"cashflow Dreiman",#N/A,FALSE,"Dreiman";"Bce Farmygel",#N/A,FALSE,"Farmygel";"Cashflow Farmygel",#N/A,FALSE,"Farmygel";"Cashflow Grupo",#N/A,FALSE,"Grupo";"Cash Flow Grupo",#N/A,FALSE,"GRUPO BCE ";"Bce Laf",#N/A,FALSE,"GRUPO BCE ";"Todas las Compañías",#N/A,FALSE,"Gráficos"}</definedName>
    <definedName name="million" comment="Do not delete">1000000</definedName>
    <definedName name="min" localSheetId="7" hidden="1">{#N/A,#N/A,FALSE,"REPORT"}</definedName>
    <definedName name="min" localSheetId="8" hidden="1">{#N/A,#N/A,FALSE,"REPORT"}</definedName>
    <definedName name="min" hidden="1">{#N/A,#N/A,FALSE,"REPORT"}</definedName>
    <definedName name="mina" localSheetId="7" hidden="1">{#N/A,#N/A,FALSE,"REPORT"}</definedName>
    <definedName name="mina" localSheetId="8" hidden="1">{#N/A,#N/A,FALSE,"REPORT"}</definedName>
    <definedName name="mina" hidden="1">{#N/A,#N/A,FALSE,"REPORT"}</definedName>
    <definedName name="mio" localSheetId="7" hidden="1">{"Mes Febrero",#N/A,FALSE,"VENTAS_99";"Acum. Febrero",#N/A,FALSE,"VENTAS_99";"Mes Febrero",#N/A,FALSE,"CTA RES CONSOLID. GRUPO";"Acumulado Febrero",#N/A,FALSE,"CTA RES CONSOLID. GRUPO";"Mes Febrero Cta Res Grupo",#N/A,FALSE,"CTA RES GRUPO";"Acum. Febrero Cta Res Grupo",#N/A,FALSE,"CTA RES GRUPO"}</definedName>
    <definedName name="mio" localSheetId="8" hidden="1">{"Mes Febrero",#N/A,FALSE,"VENTAS_99";"Acum. Febrero",#N/A,FALSE,"VENTAS_99";"Mes Febrero",#N/A,FALSE,"CTA RES CONSOLID. GRUPO";"Acumulado Febrero",#N/A,FALSE,"CTA RES CONSOLID. GRUPO";"Mes Febrero Cta Res Grupo",#N/A,FALSE,"CTA RES GRUPO";"Acum. Febrero Cta Res Grupo",#N/A,FALSE,"CTA RES GRUPO"}</definedName>
    <definedName name="mio" hidden="1">{"Mes Febrero",#N/A,FALSE,"VENTAS_99";"Acum. Febrero",#N/A,FALSE,"VENTAS_99";"Mes Febrero",#N/A,FALSE,"CTA RES CONSOLID. GRUPO";"Acumulado Febrero",#N/A,FALSE,"CTA RES CONSOLID. GRUPO";"Mes Febrero Cta Res Grupo",#N/A,FALSE,"CTA RES GRUPO";"Acum. Febrero Cta Res Grupo",#N/A,FALSE,"CTA RES GRUPO"}</definedName>
    <definedName name="mio_1" localSheetId="8" hidden="1">{"Mes Febrero",#N/A,FALSE,"VENTAS_99";"Acum. Febrero",#N/A,FALSE,"VENTAS_99";"Mes Febrero",#N/A,FALSE,"CTA RES CONSOLID. GRUPO";"Acumulado Febrero",#N/A,FALSE,"CTA RES CONSOLID. GRUPO";"Mes Febrero Cta Res Grupo",#N/A,FALSE,"CTA RES GRUPO";"Acum. Febrero Cta Res Grupo",#N/A,FALSE,"CTA RES GRUPO"}</definedName>
    <definedName name="mio_1" hidden="1">{"Mes Febrero",#N/A,FALSE,"VENTAS_99";"Acum. Febrero",#N/A,FALSE,"VENTAS_99";"Mes Febrero",#N/A,FALSE,"CTA RES CONSOLID. GRUPO";"Acumulado Febrero",#N/A,FALSE,"CTA RES CONSOLID. GRUPO";"Mes Febrero Cta Res Grupo",#N/A,FALSE,"CTA RES GRUPO";"Acum. Febrero Cta Res Grupo",#N/A,FALSE,"CTA RES GRUPO"}</definedName>
    <definedName name="miwukls" localSheetId="8" hidden="1">{"detail",#N/A,FALSE,"mfg";"summary",#N/A,FALSE,"mfg"}</definedName>
    <definedName name="miwukls" hidden="1">{"detail",#N/A,FALSE,"mfg";"summary",#N/A,FALSE,"mfg"}</definedName>
    <definedName name="mj" localSheetId="8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mj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mj_1" localSheetId="8" hidden="1">{#N/A,#N/A,FALSE,"FY97";#N/A,#N/A,FALSE,"FY98";#N/A,#N/A,FALSE,"FY99";#N/A,#N/A,FALSE,"FY00";#N/A,#N/A,FALSE,"FY01"}</definedName>
    <definedName name="mj_1" hidden="1">{#N/A,#N/A,FALSE,"FY97";#N/A,#N/A,FALSE,"FY98";#N/A,#N/A,FALSE,"FY99";#N/A,#N/A,FALSE,"FY00";#N/A,#N/A,FALSE,"FY01"}</definedName>
    <definedName name="mji" localSheetId="8" hidden="1">{#N/A,#N/A,TRUE,"Voorblad";#N/A,#N/A,TRUE,"Table of Content FinCom B";#N/A,#N/A,TRUE,"A3-P&amp;L by Bus.Unt-Serv.Unt";#N/A,#N/A,TRUE,"Summary carrier service";#N/A,#N/A,TRUE,"Summary Large accounts";#N/A,#N/A,TRUE,"Summary Consumer";#N/A,#N/A,TRUE,"Summary N&amp;S";#N/A,#N/A,TRUE,"Summary ITbilling";#N/A,#N/A,TRUE,"Billing backlog";#N/A,#N/A,TRUE,"Summary corporate";#N/A,#N/A,TRUE,"B1-Orders RevGap";#N/A,#N/A,TRUE,"B2-Sales Prospects WinLoss";#N/A,#N/A,TRUE,"B4-GM per Product";#N/A,#N/A,TRUE,"B5-Mobile(1) ";#N/A,#N/A,TRUE,"P13-Funding- Inter.";#N/A,#N/A,TRUE,"P14-Risk &amp; Fraud Fixed";#N/A,#N/A,TRUE,"P14-Risk &amp; Fraud Mobile";#N/A,#N/A,TRUE,"Accounts payable";#N/A,#N/A,TRUE,"B15-Network "}</definedName>
    <definedName name="mji" hidden="1">{#N/A,#N/A,TRUE,"Voorblad";#N/A,#N/A,TRUE,"Table of Content FinCom B";#N/A,#N/A,TRUE,"A3-P&amp;L by Bus.Unt-Serv.Unt";#N/A,#N/A,TRUE,"Summary carrier service";#N/A,#N/A,TRUE,"Summary Large accounts";#N/A,#N/A,TRUE,"Summary Consumer";#N/A,#N/A,TRUE,"Summary N&amp;S";#N/A,#N/A,TRUE,"Summary ITbilling";#N/A,#N/A,TRUE,"Billing backlog";#N/A,#N/A,TRUE,"Summary corporate";#N/A,#N/A,TRUE,"B1-Orders RevGap";#N/A,#N/A,TRUE,"B2-Sales Prospects WinLoss";#N/A,#N/A,TRUE,"B4-GM per Product";#N/A,#N/A,TRUE,"B5-Mobile(1) ";#N/A,#N/A,TRUE,"P13-Funding- Inter.";#N/A,#N/A,TRUE,"P14-Risk &amp; Fraud Fixed";#N/A,#N/A,TRUE,"P14-Risk &amp; Fraud Mobile";#N/A,#N/A,TRUE,"Accounts payable";#N/A,#N/A,TRUE,"B15-Network "}</definedName>
    <definedName name="mk" localSheetId="8" hidden="1">{"detail",#N/A,FALSE,"mfg";"summary",#N/A,FALSE,"mfg"}</definedName>
    <definedName name="mk" hidden="1">{"detail",#N/A,FALSE,"mfg";"summary",#N/A,FALSE,"mfg"}</definedName>
    <definedName name="mkdewl" hidden="1">#REF!</definedName>
    <definedName name="mkl" localSheetId="8" hidden="1">{"pro_view",#N/A,FALSE,"EEFSNAP2";"rep_view",#N/A,FALSE,"EEFSNAP2"}</definedName>
    <definedName name="mkl" hidden="1">{"pro_view",#N/A,FALSE,"EEFSNAP2";"rep_view",#N/A,FALSE,"EEFSNAP2"}</definedName>
    <definedName name="mkmkmkmk" localSheetId="8" hidden="1">{#N/A,#N/A,FALSE,"Centres";#N/A,#N/A,FALSE,"Partenariats";#N/A,#N/A,FALSE,"P.Diverses";#N/A,#N/A,FALSE,"Adm";#N/A,#N/A,FALSE,"Autres R-D";#N/A,#N/A,FALSE,"Intérêts"}</definedName>
    <definedName name="mkmkmkmk" hidden="1">{#N/A,#N/A,FALSE,"Centres";#N/A,#N/A,FALSE,"Partenariats";#N/A,#N/A,FALSE,"P.Diverses";#N/A,#N/A,FALSE,"Adm";#N/A,#N/A,FALSE,"Autres R-D";#N/A,#N/A,FALSE,"Intérêts"}</definedName>
    <definedName name="MKTB10" localSheetId="8" hidden="1">{"'TYPE (2)'!$A$1:$Q$76"}</definedName>
    <definedName name="MKTB10" hidden="1">{"'TYPE (2)'!$A$1:$Q$76"}</definedName>
    <definedName name="mkwl" hidden="1">#REF!</definedName>
    <definedName name="mleme" localSheetId="8" hidden="1">{#N/A,#N/A,FALSE,"Pharm";#N/A,#N/A,FALSE,"WWCM"}</definedName>
    <definedName name="mleme" hidden="1">{#N/A,#N/A,FALSE,"Pharm";#N/A,#N/A,FALSE,"WWCM"}</definedName>
    <definedName name="MLNK0005cd1e1cbd45e4b9072e40746330aa" hidden="1">#REF!</definedName>
    <definedName name="MLNK02268c5b7723403188c2ed13371a94a2" hidden="1">#REF!</definedName>
    <definedName name="MLNK037a0ba39b6944e08a7dbd57124f229f" hidden="1">#REF!</definedName>
    <definedName name="MLNK03f4885ba4da404f8487bb02f2e786c9" hidden="1">#REF!</definedName>
    <definedName name="MLNK05478c6ef2a645529d102956a74691fc" hidden="1">#REF!</definedName>
    <definedName name="MLNK070bb92b4dee41d698d190132f880e44" hidden="1">#REF!</definedName>
    <definedName name="MLNK077ceb6b64234455aed58156e99cc186" hidden="1">#REF!</definedName>
    <definedName name="MLNK085c9d3740c541cdaa54b5ac061ebe3c" hidden="1">#REF!</definedName>
    <definedName name="MLNK08d55c693427434ab5664aec649a8423" hidden="1">#REF!</definedName>
    <definedName name="MLNK08f10158bd5a455d87d4281ff71da3e3" hidden="1">#REF!</definedName>
    <definedName name="MLNK08f2cc95607b4797a731b15127f8b497" hidden="1">#REF!</definedName>
    <definedName name="MLNK09125107c4ff434297b0b6909f58d9e7" localSheetId="7" hidden="1">#REF!</definedName>
    <definedName name="MLNK09125107c4ff434297b0b6909f58d9e7" hidden="1">#REF!</definedName>
    <definedName name="MLNK09309f66d74840488442af6dbfe9e4f9" hidden="1">#REF!</definedName>
    <definedName name="MLNK093d27598cb24449aeef2c721cd1a60d" hidden="1">#REF!</definedName>
    <definedName name="MLNK09f4748a7a164102864136738227cc7b" hidden="1">#REF!</definedName>
    <definedName name="MLNK09fd81395c844aaeb4cb86fd63e37367" hidden="1">#REF!</definedName>
    <definedName name="MLNK0a121af29d4d48da9c6aa391b6110a3e" hidden="1">#REF!</definedName>
    <definedName name="MLNK0a8715696db445bab9aa72a0bc28809a" hidden="1">#REF!</definedName>
    <definedName name="MLNK0b0dabacef354aaba792f2b7e5986a7f" hidden="1">#REF!</definedName>
    <definedName name="MLNK0b981833f73d419c8af5149dba38e3c2" hidden="1">#REF!</definedName>
    <definedName name="MLNK0baefec948b041a0925ed816cabd618b" hidden="1">#REF!</definedName>
    <definedName name="MLNK0d3c6c0d3d82466295af7e19a180b445" hidden="1">#REF!</definedName>
    <definedName name="MLNK0dad5060090e4ea5a55d4d9612cccb25" hidden="1">#REF!</definedName>
    <definedName name="MLNK0dd5163bc6f74074be5edb23c86e3138" hidden="1">#REF!</definedName>
    <definedName name="MLNK0e8a96eaccbf47d181f73ffe6c38ce99" hidden="1">#REF!</definedName>
    <definedName name="MLNK0f411c430df647e88c41b361a956cc20" hidden="1">#REF!</definedName>
    <definedName name="MLNK1098efa1efc047d4b1247921a7f23b6f" hidden="1">#REF!</definedName>
    <definedName name="MLNK137b8429f9d443a3b8241cfc7ea255b4" hidden="1">#REF!</definedName>
    <definedName name="MLNK13cfb4e7f5ae402da2ff271debb17fe6" hidden="1">#REF!</definedName>
    <definedName name="MLNK13dca8fc258f428fa80ce8bd7ed2657a" hidden="1">#REF!</definedName>
    <definedName name="MLNK14b0f7d5833046e79a32ea124992d181" hidden="1">#REF!</definedName>
    <definedName name="MLNK14e12991a0134d83a2ce5668eeada3d7" hidden="1">#REF!</definedName>
    <definedName name="MLNK151d84e59c4d4156a338554b17884211" hidden="1">#REF!</definedName>
    <definedName name="MLNK1560b4d25ad7404eaa9a8ac5b8469f33" hidden="1">#REF!</definedName>
    <definedName name="MLNK1597b2444a9b4b8bbaca1bf437bc309e" hidden="1">#REF!</definedName>
    <definedName name="MLNK16e235a99e2d4e90a85240a80b0942ae" hidden="1">#REF!</definedName>
    <definedName name="MLNK178d7ae84de84ad298c84fee561c5832" hidden="1">#REF!</definedName>
    <definedName name="MLNK1849ac302af64c61bead717e0acbbecb" hidden="1">#REF!</definedName>
    <definedName name="MLNK188d141ffac64adb9e62392d89d53d9e" hidden="1">#REF!</definedName>
    <definedName name="MLNK18a50c85ee8d4306958106c9f74fea3d" hidden="1">#REF!</definedName>
    <definedName name="MLNK18d9ed943a674349bfbc4efd913db1c6" hidden="1">#REF!</definedName>
    <definedName name="MLNK19580f9cec614656a5b0040960cee814" hidden="1">#REF!</definedName>
    <definedName name="MLNK199fab40c8624f749bd42c7af67ad636" hidden="1">#REF!</definedName>
    <definedName name="MLNK1a938c2ac95944ec8e68ea046c07e216" hidden="1">#REF!</definedName>
    <definedName name="MLNK1afd0aa54c0e4b33a89c994e7636b22e" hidden="1">#REF!</definedName>
    <definedName name="MLNK1b3b205641a441da95943be88b8193fc" hidden="1">#REF!</definedName>
    <definedName name="MLNK1c376e8dca0741859e68e63311a2b6df" hidden="1">#REF!</definedName>
    <definedName name="MLNK1ca85fb102be40bc8b446c9d9e7e39d5" hidden="1">#REF!</definedName>
    <definedName name="MLNK1dcdea47bd8c44f89382152a053d11e6" hidden="1">#REF!</definedName>
    <definedName name="MLNK1deffee563824332af37784fe6ab833f" hidden="1">#REF!</definedName>
    <definedName name="MLNK1f67cfda47684a088750c8a3c32e858e" hidden="1">#REF!</definedName>
    <definedName name="MLNK20f8b051108c4646946c089ada6cf900" hidden="1">#REF!</definedName>
    <definedName name="MLNK20fc8b58136447b584f8a1647c5775ab" hidden="1">#REF!</definedName>
    <definedName name="MLNK214682e6c7974b698bbf96c23c329a05" hidden="1">#REF!</definedName>
    <definedName name="MLNK2246317a2a1149ed90c0e093a6c997d1" hidden="1">#REF!</definedName>
    <definedName name="MLNK2386b6fdfce94313ad10dcb45435b737" hidden="1">#REF!</definedName>
    <definedName name="MLNK2437f83d437645769715bd9744d72cdf" hidden="1">#REF!</definedName>
    <definedName name="MLNK246127a7fa4d409e9f86f1d82980beba" hidden="1">#REF!</definedName>
    <definedName name="MLNK24d29122af1a46f4ba2ba02e5bef6859" hidden="1">#REF!</definedName>
    <definedName name="MLNK253cd52ebf5c403898624524a7925059" hidden="1">#REF!</definedName>
    <definedName name="MLNK268d79fbac064be29f2262b27ba1cd0e" hidden="1">#REF!</definedName>
    <definedName name="MLNK26eabc795f1d40d88ffbda58e3b3095f" hidden="1">#REF!</definedName>
    <definedName name="MLNK27414346c35840a985c9b63852553c22" hidden="1">#REF!</definedName>
    <definedName name="MLNK28bf8bf449e24b0d833f790aea33edb0" hidden="1">#REF!</definedName>
    <definedName name="MLNK29dddcaf570a4fa1b3ba864494b587b5" hidden="1">#REF!</definedName>
    <definedName name="MLNK2a3d9515ad28416dbf0ebaa0c856932a" hidden="1">#REF!</definedName>
    <definedName name="MLNK2b4796b15d17490e93599f9d1ac7fa16" hidden="1">#REF!</definedName>
    <definedName name="MLNK2ce03a597d6243c8a6560b1530128c2a" hidden="1">#REF!</definedName>
    <definedName name="MLNK2e7d7b1f63544893a1ff10be625959ec" hidden="1">#REF!</definedName>
    <definedName name="MLNK2e97507eabf741228258b1016de3d9cb" hidden="1">#REF!</definedName>
    <definedName name="MLNK2e9d1a39ea18477eb474028f51e90485" hidden="1">#REF!</definedName>
    <definedName name="MLNK2f0f78488f5e452fab48af526034ef09" hidden="1">#REF!</definedName>
    <definedName name="MLNK2f863f3b095e4895a8cff1e23ecca887" hidden="1">#REF!</definedName>
    <definedName name="MLNK3172d3cc809c4a459ee24fb6bfbcd9dd" hidden="1">#REF!</definedName>
    <definedName name="MLNK32d763ebb1134848a035235ededffed2" hidden="1">#REF!</definedName>
    <definedName name="MLNK33a2d91a4ece4ad0b96c12f144799a1d" hidden="1">#REF!</definedName>
    <definedName name="MLNK33db16b9789142e8a24476c0cb15d4d6" hidden="1">#REF!</definedName>
    <definedName name="MLNK33e9d0d1dea74f46aa34eaeefab5c8a8" hidden="1">#REF!</definedName>
    <definedName name="MLNK342f904df29646908fb159537ee07c56" hidden="1">#REF!</definedName>
    <definedName name="MLNK356ae4b018c640ad9b37ac6ce7a0f3e4" hidden="1">#REF!</definedName>
    <definedName name="MLNK35e99cea93514c1eab68045fa54b96d1" hidden="1">#REF!</definedName>
    <definedName name="MLNK3640c940abc44b65a8183f76ab9d621b" hidden="1">#REF!</definedName>
    <definedName name="MLNK387908bfc5e84e00b7034b27ca4813c7" hidden="1">#REF!</definedName>
    <definedName name="MLNK39122c96559643d8bc54c0d7c734ee04" hidden="1">#REF!</definedName>
    <definedName name="MLNK3a53850811f84beb8da0bd159306a73d" hidden="1">#REF!</definedName>
    <definedName name="MLNK3aed96c203354b18a15f5ba900134f02" hidden="1">#REF!</definedName>
    <definedName name="MLNK3b05cccf773545138dd50b70208b019d" hidden="1">#REF!</definedName>
    <definedName name="MLNK3b578d0d5be242d18945bfcf4cedef3f" hidden="1">#REF!</definedName>
    <definedName name="MLNK3c087665bc2649ac93dffe926e100e33" hidden="1">#REF!</definedName>
    <definedName name="MLNK3c0d226f5d924e989e478a75f79c9b5d" hidden="1">#REF!</definedName>
    <definedName name="MLNK3c21091fe69549cba657e5d7c2e17a93" hidden="1">#REF!</definedName>
    <definedName name="MLNK3c8b8e80c02c4c6aa1cd07a220cc8b7a" hidden="1">#REF!</definedName>
    <definedName name="MLNK3cb83c8fe79b4cce9ca8a567ba98d0ff" hidden="1">#REF!</definedName>
    <definedName name="MLNK3e8e5e84b4004c9fb61930d504f2449d" hidden="1">#REF!</definedName>
    <definedName name="MLNK3eea0c2c8fe44b58b8510b98e7523e7b" hidden="1">#REF!</definedName>
    <definedName name="MLNK409e4b16354643bb8d1eed38d9319f73" hidden="1">#REF!</definedName>
    <definedName name="MLNK420555353491484dbcdfe263c0c61609" hidden="1">#REF!</definedName>
    <definedName name="MLNK42c15139c3644abfab8b2eaff584d34e" hidden="1">#REF!</definedName>
    <definedName name="MLNK431e3eba1676413484e224f58120d741" hidden="1">#REF!</definedName>
    <definedName name="MLNK437bf1a4ab0141779b36eb2a62c4b46e" hidden="1">#REF!</definedName>
    <definedName name="MLNK43898894839d48ce9c7491f2f0268c7b" hidden="1">#REF!</definedName>
    <definedName name="MLNK43a94564f66a4ab78c1700806697ecd2" hidden="1">#REF!</definedName>
    <definedName name="MLNK43fe12e1bca6406a85bc7b3f85808d2b" hidden="1">#REF!</definedName>
    <definedName name="MLNK4422752c7ba24a24ae11893423128eeb" hidden="1">#REF!</definedName>
    <definedName name="MLNK448c452e42a342b78cf24aea95680b59" hidden="1">#REF!</definedName>
    <definedName name="MLNK44a3b7cadf964b779f03ce90e5a5ffd3" hidden="1">#REF!</definedName>
    <definedName name="MLNK44f47e3e5f1f49819303c62b1ad8c442" hidden="1">#REF!</definedName>
    <definedName name="MLNK472992717b094a5cb55453f9636f1a77" hidden="1">#REF!</definedName>
    <definedName name="MLNK474cc62d3fb74589bdd9c6d1d746c6c1" hidden="1">#REF!</definedName>
    <definedName name="MLNK49bf9092f29c4092ac38b2405bc3d4b3" hidden="1">#REF!</definedName>
    <definedName name="MLNK49d06ee7917542fda0bac28e49a4ca7b" hidden="1">#REF!</definedName>
    <definedName name="MLNK4ae9b62dcfc14513b8f0d569eaabd74e" hidden="1">#REF!</definedName>
    <definedName name="MLNK4baa46b196d64bb5bc988380aa271d25" hidden="1">#REF!</definedName>
    <definedName name="MLNK4c69132363cc44218c14cc1b4fcfba86" hidden="1">#REF!</definedName>
    <definedName name="MLNK4e382ceb748c42edbd9deec384c9c235" hidden="1">#REF!</definedName>
    <definedName name="MLNK4e53d67123b1448a8e74d68f885d34ed" hidden="1">#REF!</definedName>
    <definedName name="MLNK4ef57e0d58774cd682d82ce66de24a19" hidden="1">#REF!</definedName>
    <definedName name="MLNK4f6c6e4951fc4d4a9586e65ff1916444" hidden="1">#REF!</definedName>
    <definedName name="MLNK4f91e1b83d0043798beb33c95b1774ed" hidden="1">#REF!</definedName>
    <definedName name="MLNK506526e67da4489fb7afbda2b48ca38f" hidden="1">#REF!</definedName>
    <definedName name="MLNK507a9d2578d04d11b02559c3ffc15f60" hidden="1">#REF!</definedName>
    <definedName name="MLNK50c01d6bd53c4e52ae4d9debd3ec6d4b" hidden="1">#REF!</definedName>
    <definedName name="MLNK5116584d2be64187897a8ed9dfd026e1" hidden="1">#REF!</definedName>
    <definedName name="MLNK516534a466484ffa9927857759899a46" hidden="1">#REF!</definedName>
    <definedName name="MLNK51899f8a8cba4360bd16e86221a0102b" hidden="1">#REF!</definedName>
    <definedName name="MLNK51ccc50ee1b8452794281fb5fb30c243" hidden="1">#REF!</definedName>
    <definedName name="MLNK529433ff5365456386c555570c4fe7ed" hidden="1">#REF!</definedName>
    <definedName name="MLNK547cb73dc03b44c0988bc0ef83609575" hidden="1">#REF!</definedName>
    <definedName name="MLNK550ee91d49474578b1d8c08f9d1960b7" hidden="1">#REF!</definedName>
    <definedName name="MLNK55346d627d124f5bb29f15b971c6b59d" hidden="1">#REF!</definedName>
    <definedName name="MLNK553b0f705fde4a38af9d74ccb3d87f04" hidden="1">#REF!</definedName>
    <definedName name="MLNK5570ecb68e1d4625a7b65c1a49195f33" hidden="1">#REF!</definedName>
    <definedName name="MLNK55a472e84bfa494e951fd76e25eab6c5" hidden="1">#REF!</definedName>
    <definedName name="MLNK560d7d45b2504c85a1456e95312c74f1" hidden="1">#REF!</definedName>
    <definedName name="MLNK56fce1330f0041bea74aad8d2f6474aa" hidden="1">#REF!</definedName>
    <definedName name="MLNK574a942959f34c5aad0e08f4a266b49c" hidden="1">#REF!</definedName>
    <definedName name="MLNK57fe673124c94f279a0ffa0b1e794b3b" hidden="1">#REF!</definedName>
    <definedName name="MLNK5810a68da8de46ccbd7b6236b5bee322" hidden="1">#REF!</definedName>
    <definedName name="MLNK58598c6680a74cb89dd2ce14ccf5d18a" hidden="1">#REF!</definedName>
    <definedName name="MLNK59cec6c9de394ae6a4d003e3b8464e63" hidden="1">#REF!</definedName>
    <definedName name="MLNK5af98f8a128e4fe5ae9125581f9d0e63" hidden="1">#REF!</definedName>
    <definedName name="MLNK5c1fdfb5d35945c48f735f265a7aa185" hidden="1">#REF!</definedName>
    <definedName name="MLNK5c6c9853509040828e43b14d62f9c6a5" hidden="1">#REF!</definedName>
    <definedName name="MLNK5c6fc8aad4e544029b247f9360b5ef86" hidden="1">#REF!</definedName>
    <definedName name="MLNK5d0c2152a6374b028be8a6817ac71a24" hidden="1">#REF!</definedName>
    <definedName name="MLNK5d4f3d18f36a4b3ea960c93623959fdb" hidden="1">#REF!</definedName>
    <definedName name="MLNK5da2b7dcf5d749728fe111636a2fe606" hidden="1">#REF!</definedName>
    <definedName name="MLNK5daadf74628d4eadbf96204b8f1107e1" hidden="1">#REF!</definedName>
    <definedName name="MLNK5f5cca4ac6374be28b22b149a82bd656" hidden="1">#REF!</definedName>
    <definedName name="MLNK5f6df609cc3d47f9aa77043333e3eaf8" hidden="1">#REF!</definedName>
    <definedName name="MLNK5fae67524d1a43869917ac7c52eb8fb8" hidden="1">#REF!</definedName>
    <definedName name="MLNK5fede2236bed4ba2b3d0f895461456c5" hidden="1">#REF!</definedName>
    <definedName name="MLNK60044b28a862428dba3582f35ed5c004" hidden="1">#REF!</definedName>
    <definedName name="MLNK61306370a91f493a9dd5c46494d1dff2" hidden="1">#REF!</definedName>
    <definedName name="MLNK6191ce7b603449308b8202176d9000d3" hidden="1">#REF!</definedName>
    <definedName name="MLNK621e754190d14aa7a2c027623dab28ca" hidden="1">#REF!</definedName>
    <definedName name="MLNK6285f52436f14d07a2ff30d14971a881" hidden="1">#REF!</definedName>
    <definedName name="MLNK62e53438a4664b8382b3e5724f867a37" hidden="1">#REF!</definedName>
    <definedName name="MLNK6478d3814cd844b2aeb896f162d7bf0c" hidden="1">#REF!</definedName>
    <definedName name="MLNK64e65b4bb2a7402db0099354be9254b5" hidden="1">#REF!</definedName>
    <definedName name="MLNK65f6f529f74648d3864d2a28e77ab806" hidden="1">#REF!</definedName>
    <definedName name="MLNK66924a8c64ca40eb868c116c3a611e11" hidden="1">#REF!</definedName>
    <definedName name="MLNK66c09bf9d66c4809a283f8a28e712d04" hidden="1">#REF!</definedName>
    <definedName name="MLNK6702c7020c91499fb3e7af3573f91ac6" hidden="1">#REF!</definedName>
    <definedName name="MLNK6724368bccc346d4add63b70c9ea1c0d" hidden="1">#REF!</definedName>
    <definedName name="MLNK67ef2de6f45c49f9ae29cb6032bcc4b3" hidden="1">#REF!</definedName>
    <definedName name="MLNK680f884b858945089019817570304fb5" hidden="1">#REF!</definedName>
    <definedName name="MLNK687b453c1f6d44fca515444ceff7796e" hidden="1">#REF!</definedName>
    <definedName name="MLNK68c1c9ba64164b3194023bba03e900ca" hidden="1">#REF!</definedName>
    <definedName name="MLNK690a7fe205eb4539868934bccc4c103e" hidden="1">#REF!</definedName>
    <definedName name="MLNK6991649f9aad4920a8e87e4cd325d3c4" hidden="1">#REF!</definedName>
    <definedName name="MLNK6bb1dc690ecd4d7b81200f258e4e795c" hidden="1">#REF!</definedName>
    <definedName name="MLNK6bffe7ad19784ceb8411628bdacd58f8" hidden="1">#REF!</definedName>
    <definedName name="MLNK6d5f95db2cc94afa906715219774f56a" hidden="1">#REF!</definedName>
    <definedName name="MLNK6e12b3cd58e24b47b8f0f21e5c933e4f" hidden="1">#REF!</definedName>
    <definedName name="MLNK6ee1eac10a214ef284902ef39a9ebec4" hidden="1">#REF!</definedName>
    <definedName name="MLNK6f2b7c52e8a14af38479647ae94f1118" hidden="1">#REF!</definedName>
    <definedName name="MLNK6f607e3cde80405ab29a02685187d104" hidden="1">#REF!</definedName>
    <definedName name="MLNK6f6ccc1428a14faf8040cb199f7c1227" hidden="1">#REF!</definedName>
    <definedName name="MLNK6fac9eec364e49059179774130a240a6" hidden="1">#REF!</definedName>
    <definedName name="MLNK7092414808e34959a321c67178f7a463" hidden="1">#REF!</definedName>
    <definedName name="MLNK7092c2ee09b34e5cb05d7a1322e78874" hidden="1">#REF!</definedName>
    <definedName name="MLNK710d7ba7afa548ce9b57b177921780e7" hidden="1">#REF!</definedName>
    <definedName name="MLNK72818e9939ef4fa792410f625831a3fd" hidden="1">#REF!</definedName>
    <definedName name="MLNK72be286436494f3191824ab28c1226b3" hidden="1">#REF!</definedName>
    <definedName name="MLNK737fd6ceec6e4c969155f18d901088b6" hidden="1">#REF!</definedName>
    <definedName name="MLNK7402e0bcf4994b63a53281db57bc14d0" hidden="1">#REF!</definedName>
    <definedName name="MLNK74b12b1efe2e4040879930b12c80ec0f" hidden="1">#REF!</definedName>
    <definedName name="MLNK7662216bcb124fccb3373c6dbfda1f09" hidden="1">#REF!</definedName>
    <definedName name="MLNK767da166e03546b99014651e916d0228" hidden="1">#REF!</definedName>
    <definedName name="MLNK7793e8ae79f448a08543d55c3968da43" hidden="1">#REF!</definedName>
    <definedName name="MLNK7904213dce1a405b956619af678a05b2" hidden="1">#REF!</definedName>
    <definedName name="MLNK7a4b52e777ee48e98fd3960a0ca13bc9" hidden="1">#REF!</definedName>
    <definedName name="MLNK7b1c22f071364c5684f800552ca240c1" hidden="1">#REF!</definedName>
    <definedName name="MLNK7b494f753fc74aa1b9aafe7ca23eb31d" hidden="1">#REF!</definedName>
    <definedName name="MLNK7b592f19241d493db439c48857a9e643" hidden="1">#REF!</definedName>
    <definedName name="MLNK7b7b731906de4e54a18f36f849e8aac1" hidden="1">#REF!</definedName>
    <definedName name="MLNK7bea85125a334b17bc0a7828d4e6e0ed" hidden="1">#REF!</definedName>
    <definedName name="MLNK7d8b52898ee84535aaa70051a795d2af" hidden="1">#REF!</definedName>
    <definedName name="MLNK7d8fef99544940bdb5a075ee38d8e36a" hidden="1">#REF!</definedName>
    <definedName name="MLNK7f2d36f61aec47a987292dc2baadf49f" hidden="1">#REF!</definedName>
    <definedName name="MLNK7f38d8d8ff854523abf685f3856d629f" hidden="1">#REF!</definedName>
    <definedName name="MLNK7f464bc9a4bc41d6b2205c07c5299ea3" hidden="1">#REF!</definedName>
    <definedName name="MLNK7f75fbc42eb14203bacae2ef21e14c61" hidden="1">#REF!</definedName>
    <definedName name="MLNK8015f86d068e40aca726d346f1d1c39f" hidden="1">#REF!</definedName>
    <definedName name="MLNK8039764c83694ab38f656af5ced94e53" hidden="1">#REF!</definedName>
    <definedName name="MLNK8044cdc962d84109a0ef7da1113dc395" hidden="1">#REF!</definedName>
    <definedName name="MLNK8074e1c938834afd8ef47868b3d7d08f" hidden="1">#REF!</definedName>
    <definedName name="MLNK815129f2c9bd4405bfa8e5bcd5bb5c1b" hidden="1">#REF!</definedName>
    <definedName name="MLNK826ded06c8e14a7fab4b8af58cc660e5" hidden="1">#REF!</definedName>
    <definedName name="MLNK82deb793c12a4165ae6bdb4d10eaafb8" hidden="1">#REF!</definedName>
    <definedName name="MLNK834c8b7d54cc4b8285f0636f6c3047ab" hidden="1">#REF!</definedName>
    <definedName name="MLNK83711091d3fd4bbdbb4aa67cf8c69956" hidden="1">#REF!</definedName>
    <definedName name="MLNK83b8313d1cd44d0a8829e6cf3186fd78" hidden="1">#REF!</definedName>
    <definedName name="MLNK84308ae2ce0644de86748c5518218c3f" hidden="1">#REF!</definedName>
    <definedName name="MLNK84b8e7ba20a1422ba97b5f441b56fc25" hidden="1">#REF!</definedName>
    <definedName name="MLNK84cb8a06878548b68db76c4642806370" hidden="1">#REF!</definedName>
    <definedName name="MLNK86413f4b186b4c99b4d6a7d8b4a01a91" hidden="1">#REF!</definedName>
    <definedName name="MLNK86689d62bee24afb930694cf2c76ef2b" hidden="1">#REF!</definedName>
    <definedName name="MLNK866cb97c9c6447a98c6978e3deb34db6" hidden="1">#REF!</definedName>
    <definedName name="MLNK866ea19fc1a04332854bd64268705f73" hidden="1">#REF!</definedName>
    <definedName name="MLNK86d626cc74b84cee82989c538f47dbf4" hidden="1">#REF!</definedName>
    <definedName name="MLNK87d44c3ee74b495d8745f8d53e1dcc96" hidden="1">#REF!</definedName>
    <definedName name="MLNK88db01f74a2449f1a0df36e6b015c8ab" hidden="1">#REF!</definedName>
    <definedName name="MLNK89743a3285d8423fb8a1755ce63630e7" hidden="1">#REF!</definedName>
    <definedName name="MLNK897cec307e4b4170bb43098e25afc977" hidden="1">#REF!</definedName>
    <definedName name="MLNK8a50be65e6fc4370ac118caaeb633ab6" hidden="1">#REF!</definedName>
    <definedName name="MLNK8a75e7ab3b314c6a90e7fe3531c23a23" hidden="1">#REF!</definedName>
    <definedName name="MLNK8ac233751a074557b287d36af7f1085b" hidden="1">#REF!</definedName>
    <definedName name="MLNK8bed7c26c5674427b698d2cf6f9334c0" hidden="1">#REF!</definedName>
    <definedName name="MLNK8ca2b294b03f4a589b95d5e0b7adf045" hidden="1">#REF!</definedName>
    <definedName name="MLNK8da8565594e04917975575984d36dfbc" hidden="1">#REF!</definedName>
    <definedName name="MLNK8de149171d6f4ca2a9423bed5c0bca13" hidden="1">#REF!</definedName>
    <definedName name="MLNK8df47eea90794dd3aee7c050eb8c7293" hidden="1">#REF!</definedName>
    <definedName name="MLNK8e79cc2df1cf48c8aa8da279e1bb87ea" hidden="1">#REF!</definedName>
    <definedName name="MLNK8eb29846e70f4c878cec2b489a67bbc0" hidden="1">#REF!</definedName>
    <definedName name="MLNK8f2dddcadd814143ab0866df78c3d28c" hidden="1">#REF!</definedName>
    <definedName name="MLNK8ff3713ca3974a229f8e8d837852ea27" hidden="1">#REF!</definedName>
    <definedName name="MLNK900a193062b04941aab11ac982c97760" localSheetId="7" hidden="1">#REF!</definedName>
    <definedName name="MLNK900a193062b04941aab11ac982c97760" hidden="1">#REF!</definedName>
    <definedName name="MLNK91d0860777d14db6b1d12ad0598775e0" hidden="1">#REF!</definedName>
    <definedName name="MLNK91e95f8aeb0d42a98f30a83118d9b853" hidden="1">#REF!</definedName>
    <definedName name="MLNK928288039716474a8d7f6318e5a3e8ea" hidden="1">#REF!</definedName>
    <definedName name="MLNK92b845d78a074676ad38e75cf7ba9da4" hidden="1">#REF!</definedName>
    <definedName name="MLNK931e43c6a4f44b4bb878aa4f0a61e755" hidden="1">#REF!</definedName>
    <definedName name="MLNK93d06081cfba47faa250f2db7d3f8146" hidden="1">#REF!</definedName>
    <definedName name="MLNK942b8e7a83794181aa9f84e23004c5c5" hidden="1">#REF!</definedName>
    <definedName name="MLNK94638fec66c54027a386b661493f38fe" hidden="1">#REF!</definedName>
    <definedName name="MLNK954a45cafa674906abff5c3bfe0da6c3" hidden="1">#REF!</definedName>
    <definedName name="MLNK95b4937d51b64b2c9c46968dee141cdb" hidden="1">#REF!</definedName>
    <definedName name="MLNK981cac5618e149c68bcc88f566efd604" hidden="1">#REF!</definedName>
    <definedName name="MLNK98adeac1dca94e48b918a8d758354a9d" hidden="1">#REF!</definedName>
    <definedName name="MLNK993eae7c5c3049848f3b5ec6ef3341d6" hidden="1">#REF!</definedName>
    <definedName name="MLNK99b8f9d5bc8944658e2b71e6ac552fde" hidden="1">#REF!</definedName>
    <definedName name="MLNK9b1c669da70e4f5193f8631efde519ae" hidden="1">#REF!</definedName>
    <definedName name="MLNK9b2a4cecf66c4c6aac080567bedc476b" hidden="1">#REF!</definedName>
    <definedName name="MLNK9b4f75d5429e4b1da4527e3d619286d8" hidden="1">#REF!</definedName>
    <definedName name="MLNK9bda5bb0cf504d1fad699f45aa871c8f" hidden="1">#REF!</definedName>
    <definedName name="MLNK9bf8b4ec07694deea0cb1a6fa0cc6655" hidden="1">#REF!</definedName>
    <definedName name="MLNK9bfae087e63848b2b4937e82603520eb" hidden="1">#REF!</definedName>
    <definedName name="MLNK9d01ee61240e4da6947f8acfa6959bd4" hidden="1">#REF!</definedName>
    <definedName name="MLNK9df49254d1f44388b221bd06a31330c2" hidden="1">#REF!</definedName>
    <definedName name="MLNK9e2d6f1956c344bc86d74aa768b2eefb" hidden="1">#REF!</definedName>
    <definedName name="MLNK9f814a5b18be48dd8f2ba5f08c7b6227" hidden="1">#REF!</definedName>
    <definedName name="MLNK9fd6056227b74be1aa7b6f6f14a2dcae" hidden="1">#REF!</definedName>
    <definedName name="MLNKa1126e876d6548939b5ce857db2e30da" hidden="1">#REF!</definedName>
    <definedName name="MLNKa15588e72a004c7a805afacf046bbbca" hidden="1">#REF!</definedName>
    <definedName name="MLNKa1b28d7613004cbba81663b9740d2935" hidden="1">#REF!</definedName>
    <definedName name="MLNKa1d16469e789419f9c0f827b8498d527" hidden="1">#REF!</definedName>
    <definedName name="MLNKa1e09b4d4ca34e19b14b4fd65cd03b77" hidden="1">#REF!</definedName>
    <definedName name="MLNKa350b2880bca475789ff855ff1a82742" hidden="1">#REF!</definedName>
    <definedName name="MLNKa421045fc5074b219c2073591c8bc3fd" hidden="1">#REF!</definedName>
    <definedName name="MLNKa42ed17ffecb4f4a860e385704ea0e37" hidden="1">#REF!</definedName>
    <definedName name="MLNKa4351ae72a324366aa1c9462b3a6aa48" hidden="1">#REF!</definedName>
    <definedName name="MLNKa47358381889474dab134875dc52e925" hidden="1">#REF!</definedName>
    <definedName name="MLNKa4d00b278d2b4ac7969dbae16da46e1f" hidden="1">#REF!</definedName>
    <definedName name="MLNKa4dcaa481be8470e979c353cee6afc7f" hidden="1">#REF!</definedName>
    <definedName name="MLNKa4e84e5f959e47e6b4cceff33db6688f" hidden="1">#REF!</definedName>
    <definedName name="MLNKa579467124af4a6890fb3ec3bcbea461" hidden="1">#REF!</definedName>
    <definedName name="MLNKa5b8492d2f524a04af2500f025503148" hidden="1">#REF!</definedName>
    <definedName name="MLNKa6f1f5dba20c47cc9bcc43a79014d771" hidden="1">#REF!</definedName>
    <definedName name="MLNKa8c4be58b70f428393dc3be7846ecb6b" hidden="1">#REF!</definedName>
    <definedName name="MLNKa94f72ea925d40ada232c93876ec0642" hidden="1">#REF!</definedName>
    <definedName name="MLNKa9ae699f9f0a4930ad2d747ccfe67558" hidden="1">#REF!</definedName>
    <definedName name="MLNKa9bd4de4f0c14ea6b9fe2d79c35c340d" hidden="1">#REF!</definedName>
    <definedName name="MLNKaaa4635993bd442fadbdb8bc5161c0ea" hidden="1">#REF!</definedName>
    <definedName name="MLNKab2557e749e043b2abb6684a86d691f0" hidden="1">#REF!</definedName>
    <definedName name="MLNKab8d7fba59b34f589c469a56ab01395b" hidden="1">#REF!</definedName>
    <definedName name="MLNKad73a0334e5d43b1bf1be5b9bc10a671" hidden="1">#REF!</definedName>
    <definedName name="MLNKae12b36076ea4d35bfe9cc13a98cc721" hidden="1">#REF!</definedName>
    <definedName name="MLNKae2ef77804c64ca39cfe35161e5e98ff" hidden="1">#REF!</definedName>
    <definedName name="MLNKae36c0def04240d3b9d2516bd9cce1b5" hidden="1">#REF!</definedName>
    <definedName name="MLNKaece2410df854cbe91fe6bcc583ae284" hidden="1">#REF!</definedName>
    <definedName name="MLNKb00cacf91cfb492aa199da99c2c6facf" hidden="1">#REF!</definedName>
    <definedName name="MLNKb0ec2e4748ac4a6d8bb0447e4a683e25" hidden="1">#REF!</definedName>
    <definedName name="MLNKb15c7b28f471411a83353a33db03d1e4" hidden="1">#REF!</definedName>
    <definedName name="MLNKb16f13975a794adebfb2971e5c436b16" hidden="1">#REF!</definedName>
    <definedName name="MLNKb31761abf981462abcc52d5cd58eb508" hidden="1">#REF!</definedName>
    <definedName name="MLNKb31cae80e09c4ee58378114edff8f5b6" hidden="1">#REF!</definedName>
    <definedName name="MLNKb43045410c0b48cea74d21f398aaf421" hidden="1">#REF!</definedName>
    <definedName name="MLNKb62145c787ab4af39aaf6c96bf81c8e0" hidden="1">#REF!</definedName>
    <definedName name="MLNKb6dadca0404e4f08ab9c4d3d32079357" hidden="1">#REF!</definedName>
    <definedName name="MLNKb744c15c1e44476f84ddd0001cdb30f5" hidden="1">#REF!</definedName>
    <definedName name="MLNKb772f2fa76bd404385bee0b4f4e84ec1" hidden="1">#REF!</definedName>
    <definedName name="MLNKb7f09f23c87e49c7a49848fed9a77803" hidden="1">#REF!</definedName>
    <definedName name="MLNKb7f9102fb5b6417080f4a6774703474e" hidden="1">#REF!</definedName>
    <definedName name="MLNKb835949c1c074a9084a350cf4074917e" hidden="1">#REF!</definedName>
    <definedName name="MLNKb866c7a877234e69a69b39e4793481a1" hidden="1">#REF!</definedName>
    <definedName name="MLNKb94752511eb94410b26f8d09de960072" hidden="1">#REF!</definedName>
    <definedName name="MLNKba13f6167cd146dfba7e9fe0c6ae45bb" hidden="1">#REF!</definedName>
    <definedName name="MLNKbab978d7f169418daea3a1de944055b8" hidden="1">#REF!</definedName>
    <definedName name="MLNKbc2aab3df7dc4fc496444a35386b8c65" hidden="1">#REF!</definedName>
    <definedName name="MLNKbc5ba52ff1e8481a8024523a1fa691bc" hidden="1">#REF!</definedName>
    <definedName name="MLNKbca301cd61d64237be64e88b82c1bbea" hidden="1">#REF!</definedName>
    <definedName name="MLNKbd9b1d185e1c470bab0b2daf05a42b3a" hidden="1">#REF!</definedName>
    <definedName name="MLNKbde3af3fbde84041b7de6ae3a507ef91" hidden="1">#REF!</definedName>
    <definedName name="MLNKbec142c990bd497cb1f62543d8462ad7" hidden="1">#REF!</definedName>
    <definedName name="MLNKbedf41b3eb3d407c8aa1789eafdad15c" hidden="1">#REF!</definedName>
    <definedName name="MLNKbf46472b80c3497387a86d9d9b657ab3" hidden="1">#REF!</definedName>
    <definedName name="MLNKbf91ca3efb6c4f6c989a65e47b9f4507" hidden="1">#REF!</definedName>
    <definedName name="MLNKbf986293e07446b494b91145ae09f39a" hidden="1">#REF!</definedName>
    <definedName name="MLNKbf9bcc9552f24569a1347a23467b9390" hidden="1">#REF!</definedName>
    <definedName name="MLNKc07a0cff17f54aa0871f6f287a70f6ed" hidden="1">#REF!</definedName>
    <definedName name="MLNKc126e21b7d2f44e5ba9871538e7168ac" hidden="1">#REF!</definedName>
    <definedName name="MLNKc1b74f81990a4ef8adfa96f0b2111844" hidden="1">#REF!</definedName>
    <definedName name="MLNKc2296fd2bef945e4bf1fae1302ba5254" hidden="1">#REF!</definedName>
    <definedName name="MLNKc2c52fe07e964b5eba2688a31eeec6b4" hidden="1">#REF!</definedName>
    <definedName name="MLNKc2f6e08f8ebd42dab0608f6297eed065" hidden="1">#REF!</definedName>
    <definedName name="MLNKc3921bb844da40f49a87049e11faa579" hidden="1">#REF!</definedName>
    <definedName name="MLNKc3bf1c8f94454c39a395d48c5972db2f" hidden="1">#REF!</definedName>
    <definedName name="MLNKc3c001f108804eadaf51b5af1e86096e" hidden="1">#REF!</definedName>
    <definedName name="MLNKc3e6d1fe10b643cdb7511596098003be" hidden="1">#REF!</definedName>
    <definedName name="MLNKc4877c7a89a1482589931f99e76e1fd9" hidden="1">#REF!</definedName>
    <definedName name="MLNKc52168194e5c4bb49869f4d5fd1c9f14" hidden="1">#REF!</definedName>
    <definedName name="MLNKc5753fde7f70466697a5743865e311dd" hidden="1">#REF!</definedName>
    <definedName name="MLNKc5811c4746b0499ea0f30339c1a0cf92" hidden="1">#REF!</definedName>
    <definedName name="MLNKc5c21203c5b7418aa5fda313372ab41e" hidden="1">#REF!</definedName>
    <definedName name="MLNKc5e3962fb62c47559f2b4a1d4001831d" hidden="1">#REF!</definedName>
    <definedName name="MLNKc67e796ff491413a82a89fe6bc42433a" hidden="1">#REF!</definedName>
    <definedName name="MLNKc6d6ea424b81408388431679ef0b31d4" hidden="1">#REF!</definedName>
    <definedName name="MLNKc76d660bbca34c7a82e722b0aae69bc7" hidden="1">#REF!</definedName>
    <definedName name="MLNKc7f35b746a4b45c08848458066725a88" hidden="1">#REF!</definedName>
    <definedName name="MLNKc7ff1d15231b40bd8ea9a7f86f48c694" hidden="1">#REF!</definedName>
    <definedName name="MLNKc88a144755484c359a47b4269b1cca82" hidden="1">#REF!</definedName>
    <definedName name="MLNKc89a4bec98714e3cbdd91829dc6d0291" hidden="1">#REF!</definedName>
    <definedName name="MLNKc92544e187f840c8a578b3dc003a9cd9" hidden="1">#REF!</definedName>
    <definedName name="MLNKca9e3b89bd6c429ea2cb7fa0b3edc117" hidden="1">#REF!</definedName>
    <definedName name="MLNKcaeb0d7fe534492bb0c31ae1b4b745c9" hidden="1">#REF!</definedName>
    <definedName name="MLNKcbc8bc9b6e3749bc8b0f864f72c5ef18" hidden="1">#REF!</definedName>
    <definedName name="MLNKcbca09bbcccf425aafa69299e6599495" hidden="1">#REF!</definedName>
    <definedName name="MLNKcda1ff2a56ca46c984a2a363c4167782" hidden="1">#REF!</definedName>
    <definedName name="MLNKce8decf4dfb943caa5dbb632cf52452e" hidden="1">#REF!</definedName>
    <definedName name="MLNKced36180b97344a2a177290b4799073f" hidden="1">#REF!</definedName>
    <definedName name="MLNKd09f987f656f41eda04e3ae418c051e4" hidden="1">#REF!</definedName>
    <definedName name="MLNKd0fc6ce5c2cb479e869ddc44bf1f061b" hidden="1">#REF!</definedName>
    <definedName name="MLNKd16e9be0b2234e1dac57ef24872a568d" hidden="1">#REF!</definedName>
    <definedName name="MLNKd18f5f30c2f74fa9a39b269085ddfa8f" hidden="1">#REF!</definedName>
    <definedName name="MLNKd31baacd261345f2a4d83f2bae0fb3b6" hidden="1">#REF!</definedName>
    <definedName name="MLNKd33cb727f5204e149ef0ee304feda2be" hidden="1">#REF!</definedName>
    <definedName name="MLNKd4eaa9fdd41341a7aaa17b894eb9d972" hidden="1">#REF!</definedName>
    <definedName name="MLNKd5e2666580b74dbd8e39d21bd366e57e" hidden="1">#REF!</definedName>
    <definedName name="MLNKd6e3f24be0704ea1b9e41dc100cb859b" hidden="1">#REF!</definedName>
    <definedName name="MLNKd6e7e8f589a040e59507ded381646f97" hidden="1">#REF!</definedName>
    <definedName name="MLNKd811389a809a41eabccf241a73ee3cdf" hidden="1">#REF!</definedName>
    <definedName name="MLNKd9573f10570a46bb8e533a3c0e8720ca" hidden="1">#REF!</definedName>
    <definedName name="MLNKd9a0fa24931a4648a507170dfeb14cf9" hidden="1">#REF!</definedName>
    <definedName name="MLNKdaa51a0078304b628bdc6e10bd79f204" hidden="1">#REF!</definedName>
    <definedName name="MLNKdaf434544e2640e4a38a3c86411c1a66" hidden="1">#REF!</definedName>
    <definedName name="MLNKdb4b1b6d2c004a2f860b2a3ec2bf7fbb" hidden="1">#REF!</definedName>
    <definedName name="MLNKdc373c9d930b48a1827d53706a18c754" localSheetId="7" hidden="1">#REF!</definedName>
    <definedName name="MLNKdc373c9d930b48a1827d53706a18c754" hidden="1">#REF!</definedName>
    <definedName name="MLNKdd6110a0b2a24222ac6156189956cf50" hidden="1">#REF!</definedName>
    <definedName name="MLNKddb0029dcbb74b9ba50df23bd465370d" hidden="1">#REF!</definedName>
    <definedName name="MLNKde58b06dc5f04d5a8153a45ed1dc6bb7" hidden="1">#REF!</definedName>
    <definedName name="MLNKe04bbb6f514e490780cc055acf52cfff" hidden="1">#REF!</definedName>
    <definedName name="MLNKe06da614889243d5ab057434b296d250" hidden="1">#REF!</definedName>
    <definedName name="MLNKe0c79beeb862403ab80eb01e1eca8bcb" hidden="1">#REF!</definedName>
    <definedName name="MLNKe1431d0cac7744fc97f0d690d3eef57e" hidden="1">#REF!</definedName>
    <definedName name="MLNKe175cea1ad4d4be0ba659068f302aa4d" hidden="1">#REF!</definedName>
    <definedName name="MLNKe2b184ce4144436fb61613aadde93f86" hidden="1">#REF!</definedName>
    <definedName name="MLNKe2b394cb02b74c81b1257e456e9c54de" hidden="1">#REF!</definedName>
    <definedName name="MLNKe53503e1042c4f77b57951c1962d8587" hidden="1">#REF!</definedName>
    <definedName name="MLNKe5be3e8bd34f4a3791cc228b23caa107" hidden="1">#REF!</definedName>
    <definedName name="MLNKe65c5391d2644e3691629caf06223315" hidden="1">#REF!</definedName>
    <definedName name="MLNKe6d01ce0cc8b4af5bbfef5fb6156b343" hidden="1">#REF!</definedName>
    <definedName name="MLNKe6ed398bb41b4a2bbd723c562838a830" hidden="1">#REF!</definedName>
    <definedName name="MLNKe77a83f45aeb4258911e7e7b8c0c0550" hidden="1">#REF!</definedName>
    <definedName name="MLNKe853a7f8a9154a5b97be8c8ac09f1bf8" hidden="1">#REF!</definedName>
    <definedName name="MLNKe95d7e3e472149199e7e2eeed4020b70" hidden="1">#REF!</definedName>
    <definedName name="MLNKea66590d3b8046d38962733a78d75618" hidden="1">#REF!</definedName>
    <definedName name="MLNKea68a78a66654a819e032a0b1e7e3e63" hidden="1">#REF!</definedName>
    <definedName name="MLNKeb6467e131ce408f82eb21a488df76f9" hidden="1">#REF!</definedName>
    <definedName name="MLNKece6f45395364478ac50ff5a383e5ecc" hidden="1">#REF!</definedName>
    <definedName name="MLNKed555205604448bc809a694cd8bd2cb7" hidden="1">#REF!</definedName>
    <definedName name="MLNKee11e5afd9e44b6e85d9942775d7b6f7" hidden="1">#REF!</definedName>
    <definedName name="MLNKef4c877f35524ab3980d2b2213d46221" hidden="1">#REF!</definedName>
    <definedName name="MLNKf0379cc53e8a434d98b2c72b664f01d8" hidden="1">#REF!</definedName>
    <definedName name="MLNKf0734d6959c24205b08bc9c2a457daba" hidden="1">#REF!</definedName>
    <definedName name="MLNKf0fa78b52aac44b7a2a9872d40671f1d" hidden="1">#REF!</definedName>
    <definedName name="MLNKf0fd0d0740a943beb6b7ca9da51099fd" hidden="1">#REF!</definedName>
    <definedName name="MLNKf16d594dea8f4bdbac31551ebb0407c8" hidden="1">#REF!</definedName>
    <definedName name="MLNKf1c221aeede149ac92e75b356a01b92d" hidden="1">#REF!</definedName>
    <definedName name="MLNKf29d1f3a188c4c37ad07748989736d0f" hidden="1">#REF!</definedName>
    <definedName name="MLNKf2bf503552a14b449e772cdae4b08a69" hidden="1">#REF!</definedName>
    <definedName name="MLNKf2bffb31921649cabf90c7ba5d42355b" hidden="1">#REF!</definedName>
    <definedName name="MLNKf5d12552a1fc415fabc456525657652c" hidden="1">#REF!</definedName>
    <definedName name="MLNKf7456f0caf8a4c1ebf833195581eeef1" hidden="1">#REF!</definedName>
    <definedName name="MLNKf745c4540a3647fd992f2c3c1d3f1237" hidden="1">#REF!</definedName>
    <definedName name="MLNKf750dfe174cd4ee298e5739c97d9a098" hidden="1">#REF!</definedName>
    <definedName name="MLNKf75f3381556b48f3ac1d2819faa63db2" hidden="1">#REF!</definedName>
    <definedName name="MLNKf7734e306f824fd0b1419472e4c89d14" hidden="1">#REF!</definedName>
    <definedName name="MLNKf87693634ac44101a430b00ebdc0f309" hidden="1">#REF!</definedName>
    <definedName name="MLNKf90dfaccfa9a4d95bcd13c4883883d85" hidden="1">#REF!</definedName>
    <definedName name="MLNKf93ec938d5a2466cae4759a397dadf46" hidden="1">#REF!</definedName>
    <definedName name="MLNKf989cc0b798949e980025013bb42bc2c" hidden="1">#REF!</definedName>
    <definedName name="MLNKfa7548c3254342ec8fed5e7c2d1996a5" hidden="1">#REF!</definedName>
    <definedName name="MLNKfafb2b0a7c6947b3895050895d56a868" hidden="1">#REF!</definedName>
    <definedName name="MLNKfbfcce5d30534fdb82cfcc148378a269" hidden="1">#REF!</definedName>
    <definedName name="MLNKfc5ed463320640dd8a314ecc57ba02e7" hidden="1">#REF!</definedName>
    <definedName name="MLNKfc8e8b18e50f475d8c19589a50de2458" hidden="1">#REF!</definedName>
    <definedName name="MLNKfcb0e98eb8b2423683b5279ed5d27306" hidden="1">#REF!</definedName>
    <definedName name="MLNKfd4c8c5fb97c4d5f96310da79d5bea14" hidden="1">#REF!</definedName>
    <definedName name="MLNKfd9b3910639d49b1be6f53d3be8bd582" hidden="1">#REF!</definedName>
    <definedName name="MLNKfe5c37c0bb234b789bd8b9a7654457f8" hidden="1">#REF!</definedName>
    <definedName name="MLNKfe62ef343c4a4979991d7d864ef3953c" hidden="1">#REF!</definedName>
    <definedName name="MLNKff646ae0cd6741f9bd9da58e94f2f7a1" hidden="1">#REF!</definedName>
    <definedName name="MLNKff69b085232d4f5f9f249c987ba2534f" hidden="1">#REF!</definedName>
    <definedName name="MLNKfff428a5c6514adca144386ab06d06ea" hidden="1">#REF!</definedName>
    <definedName name="mlw" localSheetId="7" hidden="1">{#N/A,#N/A,FALSE,"Pharm";#N/A,#N/A,FALSE,"WWCM"}</definedName>
    <definedName name="mlw" localSheetId="8" hidden="1">{#N/A,#N/A,FALSE,"Pharm";#N/A,#N/A,FALSE,"WWCM"}</definedName>
    <definedName name="mlw" hidden="1">{#N/A,#N/A,FALSE,"Pharm";#N/A,#N/A,FALSE,"WWCM"}</definedName>
    <definedName name="mm" localSheetId="8" hidden="1">{"vol data",#N/A,FALSE,"Datasheet";"vol graph",#N/A,FALSE,"Volume";"price data",#N/A,FALSE,"Datasheet";"price graph",#N/A,FALSE,"Price";"dp data",#N/A,FALSE,"Datasheet";"dp graph",#N/A,FALSE,"DirectProfit"}</definedName>
    <definedName name="mm" hidden="1">{"vol data",#N/A,FALSE,"Datasheet";"vol graph",#N/A,FALSE,"Volume";"price data",#N/A,FALSE,"Datasheet";"price graph",#N/A,FALSE,"Price";"dp data",#N/A,FALSE,"Datasheet";"dp graph",#N/A,FALSE,"DirectProfit"}</definedName>
    <definedName name="MMAAuxiliares" localSheetId="8" hidden="1">{#N/A,#N/A,FALSE,"Aging Summary";#N/A,#N/A,FALSE,"Ratio Analysis";#N/A,#N/A,FALSE,"Test 120 Day Accts";#N/A,#N/A,FALSE,"Tickmarks"}</definedName>
    <definedName name="MMAAuxiliares" hidden="1">{#N/A,#N/A,FALSE,"Aging Summary";#N/A,#N/A,FALSE,"Ratio Analysis";#N/A,#N/A,FALSE,"Test 120 Day Accts";#N/A,#N/A,FALSE,"Tickmarks"}</definedName>
    <definedName name="MMAAuxiliares_1" localSheetId="8" hidden="1">{#N/A,#N/A,FALSE,"Aging Summary";#N/A,#N/A,FALSE,"Ratio Analysis";#N/A,#N/A,FALSE,"Test 120 Day Accts";#N/A,#N/A,FALSE,"Tickmarks"}</definedName>
    <definedName name="MMAAuxiliares_1" hidden="1">{#N/A,#N/A,FALSE,"Aging Summary";#N/A,#N/A,FALSE,"Ratio Analysis";#N/A,#N/A,FALSE,"Test 120 Day Accts";#N/A,#N/A,FALSE,"Tickmarks"}</definedName>
    <definedName name="mmihh" hidden="1">#REF!</definedName>
    <definedName name="mmk" localSheetId="8" hidden="1">{"Pg1",#N/A,FALSE,"OpExYTDvsBud";"Pg2",#N/A,FALSE,"OpExYTDvsBud"}</definedName>
    <definedName name="mmk" hidden="1">{"Pg1",#N/A,FALSE,"OpExYTDvsBud";"Pg2",#N/A,FALSE,"OpExYTDvsBud"}</definedName>
    <definedName name="mmm" localSheetId="8" hidden="1">{#N/A,"PURCHM",FALSE,"Business Analysis";#N/A,"SPADD",FALSE,"Business Analysis"}</definedName>
    <definedName name="mmm" hidden="1">{"Contribution Margin",#N/A,TRUE,"Product Summary";"GAAP Reconciliation",#N/A,TRUE,"Product Summary";"Existing Products Contribution Margin Roll",#N/A,TRUE,"Product Roll1";"New Products Contracted Contribution Roll",#N/A,TRUE,"Product Roll2";"New Products Not Contracted Contrib Roll 1",#N/A,TRUE,"Product Roll3";"New Products Not Contracted Contrib Roll 2",#N/A,TRUE,"Product Roll3";"New Products Not Contracted Contrib Roll 3",#N/A,TRUE,"Product Roll3";"New Products Not Contracted Contrib Roll 4",#N/A,TRUE,"Product Roll3"}</definedName>
    <definedName name="MMMA" localSheetId="8" hidden="1">{#N/A,#N/A,FALSE,"Aging Summary";#N/A,#N/A,FALSE,"Ratio Analysis";#N/A,#N/A,FALSE,"Test 120 Day Accts";#N/A,#N/A,FALSE,"Tickmarks"}</definedName>
    <definedName name="MMMA" hidden="1">{#N/A,#N/A,FALSE,"Aging Summary";#N/A,#N/A,FALSE,"Ratio Analysis";#N/A,#N/A,FALSE,"Test 120 Day Accts";#N/A,#N/A,FALSE,"Tickmarks"}</definedName>
    <definedName name="MMMA_1" localSheetId="8" hidden="1">{#N/A,#N/A,FALSE,"Aging Summary";#N/A,#N/A,FALSE,"Ratio Analysis";#N/A,#N/A,FALSE,"Test 120 Day Accts";#N/A,#N/A,FALSE,"Tickmarks"}</definedName>
    <definedName name="MMMA_1" hidden="1">{#N/A,#N/A,FALSE,"Aging Summary";#N/A,#N/A,FALSE,"Ratio Analysis";#N/A,#N/A,FALSE,"Test 120 Day Accts";#N/A,#N/A,FALSE,"Tickmarks"}</definedName>
    <definedName name="mmmmm" localSheetId="8" hidden="1">{#N/A,#N/A,FALSE,"Calc";#N/A,#N/A,FALSE,"Sensitivity";#N/A,#N/A,FALSE,"LT Earn.Dil.";#N/A,#N/A,FALSE,"Dil. AVP"}</definedName>
    <definedName name="MMMMM" hidden="1">{"Contribution Margin",#N/A,TRUE,"Product Summary";"GAAP Reconciliation",#N/A,TRUE,"Product Summary";"Existing Products Contribution Margin Roll",#N/A,TRUE,"Product Roll1";"New Products Contracted Contribution Roll",#N/A,TRUE,"Product Roll2";"New Products Not Contracted Contrib Roll 1",#N/A,TRUE,"Product Roll3";"New Products Not Contracted Contrib Roll 2",#N/A,TRUE,"Product Roll3";"New Products Not Contracted Contrib Roll 3",#N/A,TRUE,"Product Roll3";"New Products Not Contracted Contrib Roll 4",#N/A,TRUE,"Product Roll3"}</definedName>
    <definedName name="mmmmm_1" localSheetId="8" hidden="1">{#N/A,#N/A,FALSE,"Calc";#N/A,#N/A,FALSE,"Sensitivity";#N/A,#N/A,FALSE,"LT Earn.Dil.";#N/A,#N/A,FALSE,"Dil. AVP"}</definedName>
    <definedName name="mmmmm_1" hidden="1">{#N/A,#N/A,FALSE,"Calc";#N/A,#N/A,FALSE,"Sensitivity";#N/A,#N/A,FALSE,"LT Earn.Dil.";#N/A,#N/A,FALSE,"Dil. AVP"}</definedName>
    <definedName name="mmmmmm" localSheetId="8" hidden="1">#REF!</definedName>
    <definedName name="mmmmmm" hidden="1">#REF!</definedName>
    <definedName name="mmmmmmmmmmmm" localSheetId="8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mmmmmmmmmmmm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mmmmmnnnnnn" localSheetId="8" hidden="1">#REF!</definedName>
    <definedName name="mmmmmnnnnnn" hidden="1">#REF!</definedName>
    <definedName name="mmp" localSheetId="8" hidden="1">{"detail",#N/A,FALSE,"mfg";"summary",#N/A,FALSE,"mfg"}</definedName>
    <definedName name="mmp" hidden="1">{"detail",#N/A,FALSE,"mfg";"summary",#N/A,FALSE,"mfg"}</definedName>
    <definedName name="mn" localSheetId="8" hidden="1">{"detail",#N/A,FALSE,"mfg";"summary",#N/A,FALSE,"mfg"}</definedName>
    <definedName name="mn" hidden="1">{"detail",#N/A,FALSE,"mfg";"summary",#N/A,FALSE,"mfg"}</definedName>
    <definedName name="mnbv" localSheetId="8" hidden="1">{"Month Summary",#N/A,FALSE,"Summary";"Total Details",#N/A,FALSE,"Current Yr";"Polymers Details",#N/A,FALSE,"Current Yr";"Performance Details",#N/A,FALSE,"Current Yr";"ICD Details",#N/A,FALSE,"Current Yr"}</definedName>
    <definedName name="mnbv" hidden="1">{"Month Summary",#N/A,FALSE,"Summary";"Total Details",#N/A,FALSE,"Current Yr";"Polymers Details",#N/A,FALSE,"Current Yr";"Performance Details",#N/A,FALSE,"Current Yr";"ICD Details",#N/A,FALSE,"Current Yr"}</definedName>
    <definedName name="mnkcwl" hidden="1">#REF!</definedName>
    <definedName name="mnmn" localSheetId="8" hidden="1">{"detail",#N/A,FALSE,"mfg";"summary",#N/A,FALSE,"mfg"}</definedName>
    <definedName name="mnmn" hidden="1">{"detail",#N/A,FALSE,"mfg";"summary",#N/A,FALSE,"mfg"}</definedName>
    <definedName name="mnnb" localSheetId="8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mnnb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MO" localSheetId="8" hidden="1">{#N/A,#N/A,FALSE,"Adm comp";#N/A,#N/A,FALSE,"Adm ajust";"adm",#N/A,FALSE,"Administration";#N/A,#N/A,FALSE,"Adm Bgt 97 vs Prév. 96";#N/A,#N/A,FALSE,"Adm Bgt 97 vs 96"}</definedName>
    <definedName name="MO" hidden="1">{#N/A,#N/A,FALSE,"Adm comp";#N/A,#N/A,FALSE,"Adm ajust";"adm",#N/A,FALSE,"Administration";#N/A,#N/A,FALSE,"Adm Bgt 97 vs Prév. 96";#N/A,#N/A,FALSE,"Adm Bgt 97 vs 96"}</definedName>
    <definedName name="Moi" localSheetId="7" hidden="1">{"provision",#N/A,FALSE;"reserve analysis",#N/A,FALSE}</definedName>
    <definedName name="Moi" localSheetId="8" hidden="1">{"provision",#N/A,FALSE;"reserve analysis",#N/A,FALSE}</definedName>
    <definedName name="MOJI" localSheetId="8" hidden="1">{#N/A,#N/A,FALSE,"cover";#N/A,#N/A,FALSE,"Content ";#N/A,#N/A,FALSE,"E&amp;C Op Stat";#N/A,#N/A,FALSE,"Telcos Op Stat";#N/A,#N/A,FALSE,"Media Op Stat";#N/A,#N/A,FALSE,"Oil Op Stat";#N/A,#N/A,FALSE,"Utilities Op Stat";#N/A,#N/A,FALSE,"E&amp;C Ord An";#N/A,#N/A,FALSE,"E&amp;C Debt Nar";#N/A,#N/A,FALSE,"E&amp;C Debtors";#N/A,#N/A,FALSE,"E&amp;C CO Debt";#N/A,#N/A,FALSE,"Telcos Presales";#N/A,#N/A,FALSE,"Oil Presales";#N/A,#N/A,FALSE,"Utilities Presales"}</definedName>
    <definedName name="MOJI" hidden="1">{#N/A,#N/A,FALSE,"cover";#N/A,#N/A,FALSE,"Content ";#N/A,#N/A,FALSE,"E&amp;C Op Stat";#N/A,#N/A,FALSE,"Telcos Op Stat";#N/A,#N/A,FALSE,"Media Op Stat";#N/A,#N/A,FALSE,"Oil Op Stat";#N/A,#N/A,FALSE,"Utilities Op Stat";#N/A,#N/A,FALSE,"E&amp;C Ord An";#N/A,#N/A,FALSE,"E&amp;C Debt Nar";#N/A,#N/A,FALSE,"E&amp;C Debtors";#N/A,#N/A,FALSE,"E&amp;C CO Debt";#N/A,#N/A,FALSE,"Telcos Presales";#N/A,#N/A,FALSE,"Oil Presales";#N/A,#N/A,FALSE,"Utilities Presales"}</definedName>
    <definedName name="mokp" localSheetId="8" hidden="1">{"QTD_LPO2N2",#N/A,FALSE,"QTD"}</definedName>
    <definedName name="mokp" hidden="1">{"QTD_LPO2N2",#N/A,FALSE,"QTD"}</definedName>
    <definedName name="mon" localSheetId="8" hidden="1">{"page 1",#N/A,FALSE,"A";"page 2",#N/A,FALSE,"A";"page 3",#N/A,FALSE,"A";"page 4",#N/A,FALSE,"A";"page 5",#N/A,FALSE,"A";"page 6",#N/A,FALSE,"A";"page 7",#N/A,FALSE,"A";"page 8",#N/A,FALSE,"A";"page 9",#N/A,FALSE,"A";"page 10",#N/A,FALSE,"A";"page 11",#N/A,FALSE,"A";"page 12",#N/A,FALSE,"A";"page 13",#N/A,FALSE,"A";"page 14",#N/A,FALSE,"A"}</definedName>
    <definedName name="mon" hidden="1">{"page 1",#N/A,FALSE,"A";"page 2",#N/A,FALSE,"A";"page 3",#N/A,FALSE,"A";"page 4",#N/A,FALSE,"A";"page 5",#N/A,FALSE,"A";"page 6",#N/A,FALSE,"A";"page 7",#N/A,FALSE,"A";"page 8",#N/A,FALSE,"A";"page 9",#N/A,FALSE,"A";"page 10",#N/A,FALSE,"A";"page 11",#N/A,FALSE,"A";"page 12",#N/A,FALSE,"A";"page 13",#N/A,FALSE,"A";"page 14",#N/A,FALSE,"A"}</definedName>
    <definedName name="monthly" localSheetId="8" hidden="1">{"Monthly",#N/A,FALSE,"1.2"}</definedName>
    <definedName name="monthly" hidden="1">{"Monthly",#N/A,FALSE,"1.2"}</definedName>
    <definedName name="monthly_1" localSheetId="8" hidden="1">{"Monthly",#N/A,FALSE,"1.2"}</definedName>
    <definedName name="monthly_1" hidden="1">{"Monthly",#N/A,FALSE,"1.2"}</definedName>
    <definedName name="MONTHVAT" hidden="1">TRUE</definedName>
    <definedName name="morosida2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msarrrr" localSheetId="8" hidden="1">{#N/A,#N/A,TRUE,"Allacciamenti 5 anni";#N/A,#N/A,TRUE,"Carico 5 anni";#N/A,#N/A,TRUE,"Qualità a) 5 anni";#N/A,#N/A,TRUE,"Qualità b) 5 anni";#N/A,#N/A,TRUE,"Impatto ambientale 5 anni";#N/A,#N/A,TRUE,"Adeg. tecnico 5 anni"}</definedName>
    <definedName name="msarrrr" hidden="1">{#N/A,#N/A,TRUE,"Allacciamenti 5 anni";#N/A,#N/A,TRUE,"Carico 5 anni";#N/A,#N/A,TRUE,"Qualità a) 5 anni";#N/A,#N/A,TRUE,"Qualità b) 5 anni";#N/A,#N/A,TRUE,"Impatto ambientale 5 anni";#N/A,#N/A,TRUE,"Adeg. tecnico 5 anni"}</definedName>
    <definedName name="msarrrr_1" localSheetId="8" hidden="1">{#N/A,#N/A,TRUE,"Allacciamenti 5 anni";#N/A,#N/A,TRUE,"Carico 5 anni";#N/A,#N/A,TRUE,"Qualità a) 5 anni";#N/A,#N/A,TRUE,"Qualità b) 5 anni";#N/A,#N/A,TRUE,"Impatto ambientale 5 anni";#N/A,#N/A,TRUE,"Adeg. tecnico 5 anni"}</definedName>
    <definedName name="msarrrr_1" hidden="1">{#N/A,#N/A,TRUE,"Allacciamenti 5 anni";#N/A,#N/A,TRUE,"Carico 5 anni";#N/A,#N/A,TRUE,"Qualità a) 5 anni";#N/A,#N/A,TRUE,"Qualità b) 5 anni";#N/A,#N/A,TRUE,"Impatto ambientale 5 anni";#N/A,#N/A,TRUE,"Adeg. tecnico 5 anni"}</definedName>
    <definedName name="mu6m6u" localSheetId="8" hidden="1">{#N/A,#N/A,FALSE,"Assessment";#N/A,#N/A,FALSE,"Staffing";#N/A,#N/A,FALSE,"Hires";#N/A,#N/A,FALSE,"Assumptions"}</definedName>
    <definedName name="mu6m6u" hidden="1">{#N/A,#N/A,FALSE,"Assessment";#N/A,#N/A,FALSE,"Staffing";#N/A,#N/A,FALSE,"Hires";#N/A,#N/A,FALSE,"Assumptions"}</definedName>
    <definedName name="mùpù" hidden="1">#REF!</definedName>
    <definedName name="mw" localSheetId="7" hidden="1">{#N/A,#N/A,FALSE,"Pharm";#N/A,#N/A,FALSE,"WWCM"}</definedName>
    <definedName name="mw" localSheetId="8" hidden="1">{#N/A,#N/A,FALSE,"Pharm";#N/A,#N/A,FALSE,"WWCM"}</definedName>
    <definedName name="mw" hidden="1">{#N/A,#N/A,FALSE,"Pharm";#N/A,#N/A,FALSE,"WWCM"}</definedName>
    <definedName name="mwm" localSheetId="8" hidden="1">{#N/A,#N/A,TRUE,"omzontw.aholdldn";#N/A,#N/A,TRUE,"omzetontwikah";#N/A,#N/A,TRUE,"do'sdont's";#N/A,#N/A,TRUE,"man.samenvatting";#N/A,#N/A,TRUE,"budgetfy99";#N/A,#N/A,TRUE,"wasmiddelen";#N/A,#N/A,TRUE,"wasmiddelen";#N/A,#N/A,TRUE,"Toiletblokken";#N/A,#N/A,TRUE,"reinigers &amp; overig";#N/A,#N/A,TRUE,"omzetontwikah";#N/A,#N/A,TRUE,"omzetontwikah";#N/A,#N/A,TRUE,"omzetontwikah";#N/A,#N/A,TRUE,"omzetontwikah";#N/A,#N/A,TRUE,"omzetontwikah"}</definedName>
    <definedName name="mwm" hidden="1">{#N/A,#N/A,TRUE,"omzontw.aholdldn";#N/A,#N/A,TRUE,"omzetontwikah";#N/A,#N/A,TRUE,"do'sdont's";#N/A,#N/A,TRUE,"man.samenvatting";#N/A,#N/A,TRUE,"budgetfy99";#N/A,#N/A,TRUE,"wasmiddelen";#N/A,#N/A,TRUE,"wasmiddelen";#N/A,#N/A,TRUE,"Toiletblokken";#N/A,#N/A,TRUE,"reinigers &amp; overig";#N/A,#N/A,TRUE,"omzetontwikah";#N/A,#N/A,TRUE,"omzetontwikah";#N/A,#N/A,TRUE,"omzetontwikah";#N/A,#N/A,TRUE,"omzetontwikah";#N/A,#N/A,TRUE,"omzetontwikah"}</definedName>
    <definedName name="mz" localSheetId="7" hidden="1">{"Mes Marzo",#N/A,FALSE,"VENTAS 99";"Acum. Marzo",#N/A,FALSE,"VENTAS 99"}</definedName>
    <definedName name="mz" localSheetId="8" hidden="1">{"Mes Marzo",#N/A,FALSE,"VENTAS 99";"Acum. Marzo",#N/A,FALSE,"VENTAS 99"}</definedName>
    <definedName name="mz" hidden="1">{"Mes Marzo",#N/A,FALSE,"VENTAS 99";"Acum. Marzo",#N/A,FALSE,"VENTAS 99"}</definedName>
    <definedName name="mz_1" localSheetId="8" hidden="1">{"Mes Marzo",#N/A,FALSE,"VENTAS 99";"Acum. Marzo",#N/A,FALSE,"VENTAS 99"}</definedName>
    <definedName name="mz_1" hidden="1">{"Mes Marzo",#N/A,FALSE,"VENTAS 99";"Acum. Marzo",#N/A,FALSE,"VENTAS 99"}</definedName>
    <definedName name="n" hidden="1">#REF!</definedName>
    <definedName name="n_1" localSheetId="8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n_1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n5rts" localSheetId="8" hidden="1">{"Balance Sheet",#N/A,FALSE,"CBR NAM Consolidated vs. Plan";"Cash Flows",#N/A,FALSE,"CBR NAM Consolidated vs. Plan"}</definedName>
    <definedName name="n5rts" hidden="1">{"Balance Sheet",#N/A,FALSE,"CBR NAM Consolidated vs. Plan";"Cash Flows",#N/A,FALSE,"CBR NAM Consolidated vs. Plan"}</definedName>
    <definedName name="n6n6" localSheetId="8" hidden="1">{#N/A,#N/A,FALSE,"Assessment";#N/A,#N/A,FALSE,"Staffing";#N/A,#N/A,FALSE,"Hires";#N/A,#N/A,FALSE,"Assumptions"}</definedName>
    <definedName name="n6n6" hidden="1">{#N/A,#N/A,FALSE,"Assessment";#N/A,#N/A,FALSE,"Staffing";#N/A,#N/A,FALSE,"Hires";#N/A,#N/A,FALSE,"Assumptions"}</definedName>
    <definedName name="NAM" localSheetId="8" hidden="1">{#N/A,#N/A,FALSE,"Adm comp";#N/A,#N/A,FALSE,"Adm ajust";"adm",#N/A,FALSE,"Administration";#N/A,#N/A,FALSE,"Adm Bgt 97 vs Prév. 96";#N/A,#N/A,FALSE,"Adm Bgt 97 vs 96"}</definedName>
    <definedName name="NAM" hidden="1">{#N/A,#N/A,FALSE,"Adm comp";#N/A,#N/A,FALSE,"Adm ajust";"adm",#N/A,FALSE,"Administration";#N/A,#N/A,FALSE,"Adm Bgt 97 vs Prév. 96";#N/A,#N/A,FALSE,"Adm Bgt 97 vs 96"}</definedName>
    <definedName name="nam90ng" localSheetId="8" hidden="1">{"detail",#N/A,FALSE,"mfg";"summary",#N/A,FALSE,"mfg"}</definedName>
    <definedName name="nam90ng" hidden="1">{"detail",#N/A,FALSE,"mfg";"summary",#N/A,FALSE,"mfg"}</definedName>
    <definedName name="nam9njk" localSheetId="8" hidden="1">{"detail",#N/A,FALSE,"mfg";"summary",#N/A,FALSE,"mfg"}</definedName>
    <definedName name="nam9njk" hidden="1">{"detail",#N/A,FALSE,"mfg";"summary",#N/A,FALSE,"mfg"}</definedName>
    <definedName name="name" localSheetId="8" hidden="1">{"detail",#N/A,FALSE,"mfg";"summary",#N/A,FALSE,"mfg"}</definedName>
    <definedName name="name" hidden="1">{"detail",#N/A,FALSE,"mfg";"summary",#N/A,FALSE,"mfg"}</definedName>
    <definedName name="name1" localSheetId="8" hidden="1">{"detail",#N/A,FALSE,"mfg";"summary",#N/A,FALSE,"mfg"}</definedName>
    <definedName name="name1" hidden="1">{"detail",#N/A,FALSE,"mfg";"summary",#N/A,FALSE,"mfg"}</definedName>
    <definedName name="name10" localSheetId="8" hidden="1">{"detail",#N/A,FALSE,"mfg";"summary",#N/A,FALSE,"mfg"}</definedName>
    <definedName name="name10" hidden="1">{"detail",#N/A,FALSE,"mfg";"summary",#N/A,FALSE,"mfg"}</definedName>
    <definedName name="name101" localSheetId="8" hidden="1">{"detail",#N/A,FALSE,"mfg";"summary",#N/A,FALSE,"mfg"}</definedName>
    <definedName name="name101" hidden="1">{"detail",#N/A,FALSE,"mfg";"summary",#N/A,FALSE,"mfg"}</definedName>
    <definedName name="name102" localSheetId="8" hidden="1">{"detail",#N/A,FALSE,"mfg";"summary",#N/A,FALSE,"mfg"}</definedName>
    <definedName name="name102" hidden="1">{"detail",#N/A,FALSE,"mfg";"summary",#N/A,FALSE,"mfg"}</definedName>
    <definedName name="name11" localSheetId="8" hidden="1">{"detail",#N/A,FALSE,"mfg";"summary",#N/A,FALSE,"mfg"}</definedName>
    <definedName name="name11" hidden="1">{"detail",#N/A,FALSE,"mfg";"summary",#N/A,FALSE,"mfg"}</definedName>
    <definedName name="name12" localSheetId="8" hidden="1">{"detail",#N/A,FALSE,"mfg";"summary",#N/A,FALSE,"mfg"}</definedName>
    <definedName name="name12" hidden="1">{"detail",#N/A,FALSE,"mfg";"summary",#N/A,FALSE,"mfg"}</definedName>
    <definedName name="name2" localSheetId="8" hidden="1">{"detail",#N/A,FALSE,"mfg";"summary",#N/A,FALSE,"mfg"}</definedName>
    <definedName name="name2" hidden="1">{"detail",#N/A,FALSE,"mfg";"summary",#N/A,FALSE,"mfg"}</definedName>
    <definedName name="name202" localSheetId="8" hidden="1">{"detail",#N/A,FALSE,"mfg";"summary",#N/A,FALSE,"mfg"}</definedName>
    <definedName name="name202" hidden="1">{"detail",#N/A,FALSE,"mfg";"summary",#N/A,FALSE,"mfg"}</definedName>
    <definedName name="name203" localSheetId="8" hidden="1">{"detail",#N/A,FALSE,"mfg";"summary",#N/A,FALSE,"mfg"}</definedName>
    <definedName name="name203" hidden="1">{"detail",#N/A,FALSE,"mfg";"summary",#N/A,FALSE,"mfg"}</definedName>
    <definedName name="name212" localSheetId="8" hidden="1">{"detail",#N/A,FALSE,"mfg";"summary",#N/A,FALSE,"mfg"}</definedName>
    <definedName name="name212" hidden="1">{"detail",#N/A,FALSE,"mfg";"summary",#N/A,FALSE,"mfg"}</definedName>
    <definedName name="name213" localSheetId="8" hidden="1">{"detail",#N/A,FALSE,"mfg";"summary",#N/A,FALSE,"mfg"}</definedName>
    <definedName name="name213" hidden="1">{"detail",#N/A,FALSE,"mfg";"summary",#N/A,FALSE,"mfg"}</definedName>
    <definedName name="name31" localSheetId="8" hidden="1">{"detail",#N/A,FALSE,"mfg";"summary",#N/A,FALSE,"mfg"}</definedName>
    <definedName name="name31" hidden="1">{"detail",#N/A,FALSE,"mfg";"summary",#N/A,FALSE,"mfg"}</definedName>
    <definedName name="name32" localSheetId="8" hidden="1">{"detail",#N/A,FALSE,"mfg";"summary",#N/A,FALSE,"mfg"}</definedName>
    <definedName name="name32" hidden="1">{"detail",#N/A,FALSE,"mfg";"summary",#N/A,FALSE,"mfg"}</definedName>
    <definedName name="name34" localSheetId="8" hidden="1">{"detail",#N/A,FALSE,"mfg";"summary",#N/A,FALSE,"mfg"}</definedName>
    <definedName name="name34" hidden="1">{"detail",#N/A,FALSE,"mfg";"summary",#N/A,FALSE,"mfg"}</definedName>
    <definedName name="name35" localSheetId="8" hidden="1">{"detail",#N/A,FALSE,"mfg";"summary",#N/A,FALSE,"mfg"}</definedName>
    <definedName name="name35" hidden="1">{"detail",#N/A,FALSE,"mfg";"summary",#N/A,FALSE,"mfg"}</definedName>
    <definedName name="NAME41" localSheetId="8" hidden="1">{"detail",#N/A,FALSE,"mfg";"summary",#N/A,FALSE,"mfg"}</definedName>
    <definedName name="NAME41" hidden="1">{"detail",#N/A,FALSE,"mfg";"summary",#N/A,FALSE,"mfg"}</definedName>
    <definedName name="name412" localSheetId="8" hidden="1">{"detail",#N/A,FALSE,"mfg";"summary",#N/A,FALSE,"mfg"}</definedName>
    <definedName name="name412" hidden="1">{"detail",#N/A,FALSE,"mfg";"summary",#N/A,FALSE,"mfg"}</definedName>
    <definedName name="name413" localSheetId="8" hidden="1">{"detail",#N/A,FALSE,"mfg";"summary",#N/A,FALSE,"mfg"}</definedName>
    <definedName name="name413" hidden="1">{"detail",#N/A,FALSE,"mfg";"summary",#N/A,FALSE,"mfg"}</definedName>
    <definedName name="name42" localSheetId="8" hidden="1">{"detail",#N/A,FALSE,"mfg";"summary",#N/A,FALSE,"mfg"}</definedName>
    <definedName name="name42" hidden="1">{"detail",#N/A,FALSE,"mfg";"summary",#N/A,FALSE,"mfg"}</definedName>
    <definedName name="name45" localSheetId="8" hidden="1">{"detail",#N/A,FALSE,"mfg";"summary",#N/A,FALSE,"mfg"}</definedName>
    <definedName name="name45" hidden="1">{"detail",#N/A,FALSE,"mfg";"summary",#N/A,FALSE,"mfg"}</definedName>
    <definedName name="name51" localSheetId="8" hidden="1">{"detail",#N/A,FALSE,"mfg";"summary",#N/A,FALSE,"mfg"}</definedName>
    <definedName name="name51" hidden="1">{"detail",#N/A,FALSE,"mfg";"summary",#N/A,FALSE,"mfg"}</definedName>
    <definedName name="name54ghs" localSheetId="8" hidden="1">{"detail",#N/A,FALSE,"mfg";"summary",#N/A,FALSE,"mfg"}</definedName>
    <definedName name="name54ghs" hidden="1">{"detail",#N/A,FALSE,"mfg";"summary",#N/A,FALSE,"mfg"}</definedName>
    <definedName name="name56a" localSheetId="8" hidden="1">{"detail",#N/A,FALSE,"mfg";"summary",#N/A,FALSE,"mfg"}</definedName>
    <definedName name="name56a" hidden="1">{"detail",#N/A,FALSE,"mfg";"summary",#N/A,FALSE,"mfg"}</definedName>
    <definedName name="name56a56" localSheetId="8" hidden="1">{"detail",#N/A,FALSE,"mfg";"summary",#N/A,FALSE,"mfg"}</definedName>
    <definedName name="name56a56" hidden="1">{"detail",#N/A,FALSE,"mfg";"summary",#N/A,FALSE,"mfg"}</definedName>
    <definedName name="name61" localSheetId="8" hidden="1">{"detail",#N/A,FALSE,"mfg";"summary",#N/A,FALSE,"mfg"}</definedName>
    <definedName name="name61" hidden="1">{"detail",#N/A,FALSE,"mfg";"summary",#N/A,FALSE,"mfg"}</definedName>
    <definedName name="name71" localSheetId="8" hidden="1">{"detail",#N/A,FALSE,"mfg";"summary",#N/A,FALSE,"mfg"}</definedName>
    <definedName name="name71" hidden="1">{"detail",#N/A,FALSE,"mfg";"summary",#N/A,FALSE,"mfg"}</definedName>
    <definedName name="name89shj" localSheetId="8" hidden="1">{"detail",#N/A,FALSE,"mfg";"summary",#N/A,FALSE,"mfg"}</definedName>
    <definedName name="name89shj" hidden="1">{"detail",#N/A,FALSE,"mfg";"summary",#N/A,FALSE,"mfg"}</definedName>
    <definedName name="namea101" localSheetId="8" hidden="1">{"detail",#N/A,FALSE,"mfg";"summary",#N/A,FALSE,"mfg"}</definedName>
    <definedName name="namea101" hidden="1">{"detail",#N/A,FALSE,"mfg";"summary",#N/A,FALSE,"mfg"}</definedName>
    <definedName name="nameb45" localSheetId="8" hidden="1">{"detail",#N/A,FALSE,"mfg";"summary",#N/A,FALSE,"mfg"}</definedName>
    <definedName name="nameb45" hidden="1">{"detail",#N/A,FALSE,"mfg";"summary",#N/A,FALSE,"mfg"}</definedName>
    <definedName name="nameiges" localSheetId="8" hidden="1">{"detail",#N/A,FALSE,"mfg";"summary",#N/A,FALSE,"mfg"}</definedName>
    <definedName name="nameiges" hidden="1">{"detail",#N/A,FALSE,"mfg";"summary",#N/A,FALSE,"mfg"}</definedName>
    <definedName name="NameUnknownDelete" localSheetId="8" hidden="1">{"Pèrdues i Guanys analític.Català",#N/A,FALSE,"Català";"Pèrdues i G. analític.castellà",#N/A,FALSE,"Castellà"}</definedName>
    <definedName name="NameUnknownDelete" hidden="1">{"Pèrdues i Guanys analític.Català",#N/A,FALSE,"Català";"Pèrdues i G. analític.castellà",#N/A,FALSE,"Castellà"}</definedName>
    <definedName name="nb" localSheetId="8" hidden="1">{#N/A,#N/A,FALSE,"Adm comp";#N/A,#N/A,FALSE,"Adm ajust";"adm",#N/A,FALSE,"Administration";#N/A,#N/A,FALSE,"Adm Bgt 97 vs Prév. 96";#N/A,#N/A,FALSE,"Adm Bgt 97 vs 96"}</definedName>
    <definedName name="nb" hidden="1">{#N/A,#N/A,FALSE,"Adm comp";#N/A,#N/A,FALSE,"Adm ajust";"adm",#N/A,FALSE,"Administration";#N/A,#N/A,FALSE,"Adm Bgt 97 vs Prév. 96";#N/A,#N/A,FALSE,"Adm Bgt 97 vs 96"}</definedName>
    <definedName name="nbhj" localSheetId="8" hidden="1">{"QTD_LPO2N2",#N/A,FALSE,"QTD";"QTD_HYCO",#N/A,FALSE,"QTD";"QTD_LOUISIANA",#N/A,FALSE,"QTD";"QTD_GENERALH2",#N/A,FALSE,"QTD";"QTD_PACKAGE",#N/A,FALSE,"QTD";"QTD_PRS",#N/A,FALSE,"QTD";"QTD_OTHER",#N/A,FALSE,"QTD"}</definedName>
    <definedName name="nbhj" hidden="1">{"QTD_LPO2N2",#N/A,FALSE,"QTD";"QTD_HYCO",#N/A,FALSE,"QTD";"QTD_LOUISIANA",#N/A,FALSE,"QTD";"QTD_GENERALH2",#N/A,FALSE,"QTD";"QTD_PACKAGE",#N/A,FALSE,"QTD";"QTD_PRS",#N/A,FALSE,"QTD";"QTD_OTHER",#N/A,FALSE,"QTD"}</definedName>
    <definedName name="nbn" localSheetId="8" hidden="1">{#N/A,#N/A,FALSE,"Pharm";#N/A,#N/A,FALSE,"WWCM"}</definedName>
    <definedName name="nbn" hidden="1">{#N/A,#N/A,FALSE,"Pharm";#N/A,#N/A,FALSE,"WWCM"}</definedName>
    <definedName name="nbv" localSheetId="8" hidden="1">{"Polymers Details",#N/A,FALSE,"Current Yr";"Polymer Details",#N/A,FALSE,"Budget";"Polymer Details",#N/A,FALSE,"Prior Year"}</definedName>
    <definedName name="nbv" hidden="1">{"Polymers Details",#N/A,FALSE,"Current Yr";"Polymer Details",#N/A,FALSE,"Budget";"Polymer Details",#N/A,FALSE,"Prior Year"}</definedName>
    <definedName name="nbvc" localSheetId="8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nbvc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nbvvxc" hidden="1">#REF!</definedName>
    <definedName name="ncjewk" hidden="1">#REF!</definedName>
    <definedName name="ncjwdk" hidden="1">#REF!</definedName>
    <definedName name="ncjwdmlecw" hidden="1">#REF!</definedName>
    <definedName name="ncjwkkmclew" hidden="1">#REF!</definedName>
    <definedName name="ncklwd" hidden="1">#REF!</definedName>
    <definedName name="ncwklj" hidden="1">#REF!</definedName>
    <definedName name="nddf" localSheetId="8" hidden="1">{#N/A,#N/A,FALSE,"Assessment";#N/A,#N/A,FALSE,"Staffing";#N/A,#N/A,FALSE,"Hires";#N/A,#N/A,FALSE,"Assumptions"}</definedName>
    <definedName name="nddf" hidden="1">{#N/A,#N/A,FALSE,"Assessment";#N/A,#N/A,FALSE,"Staffing";#N/A,#N/A,FALSE,"Hires";#N/A,#N/A,FALSE,"Assumptions"}</definedName>
    <definedName name="ndekwj" hidden="1">#REF!</definedName>
    <definedName name="ndjkendewk" hidden="1">#REF!</definedName>
    <definedName name="ndkelwml" hidden="1">#REF!</definedName>
    <definedName name="ndwqkjndqkjdnwqjk" hidden="1">#REF!</definedName>
    <definedName name="ndwqkjndwjkq" hidden="1">#REF!</definedName>
    <definedName name="new" localSheetId="7" hidden="1">{#N/A,#N/A,FALSE,"Pharm";#N/A,#N/A,FALSE,"WWCM"}</definedName>
    <definedName name="new" localSheetId="8" hidden="1">{#N/A,#N/A,FALSE,"Pharm";#N/A,#N/A,FALSE,"WWCM"}</definedName>
    <definedName name="new" hidden="1">{#N/A,#N/A,FALSE,"Pharm";#N/A,#N/A,FALSE,"WWCM"}</definedName>
    <definedName name="new_1" localSheetId="8" hidden="1">{"CSC_1",#N/A,FALSE,"CSC Outputs";"CSC_2",#N/A,FALSE,"CSC Outputs"}</definedName>
    <definedName name="new_1" hidden="1">{"CSC_1",#N/A,FALSE,"CSC Outputs";"CSC_2",#N/A,FALSE,"CSC Outputs"}</definedName>
    <definedName name="new_w" localSheetId="8" hidden="1">{"comps1_1",#N/A,FALSE,"Comps1";"comps1_2",#N/A,FALSE,"Comps1";"comps1_3",#N/A,FALSE,"Comps1";"comps1_4",#N/A,FALSE,"Comps1";"comps1_5",#N/A,FALSE,"Comps1"}</definedName>
    <definedName name="new_w" hidden="1">{"comps1_1",#N/A,FALSE,"Comps1";"comps1_2",#N/A,FALSE,"Comps1";"comps1_3",#N/A,FALSE,"Comps1";"comps1_4",#N/A,FALSE,"Comps1";"comps1_5",#N/A,FALSE,"Comps1"}</definedName>
    <definedName name="new_w_1" localSheetId="8" hidden="1">{"comps1_1",#N/A,FALSE,"Comps1";"comps1_2",#N/A,FALSE,"Comps1";"comps1_3",#N/A,FALSE,"Comps1";"comps1_4",#N/A,FALSE,"Comps1";"comps1_5",#N/A,FALSE,"Comps1"}</definedName>
    <definedName name="new_w_1" hidden="1">{"comps1_1",#N/A,FALSE,"Comps1";"comps1_2",#N/A,FALSE,"Comps1";"comps1_3",#N/A,FALSE,"Comps1";"comps1_4",#N/A,FALSE,"Comps1";"comps1_5",#N/A,FALSE,"Comps1"}</definedName>
    <definedName name="newbel" localSheetId="8" hidden="1">{"IS",#N/A,FALSE,"IS";"RPTIS",#N/A,FALSE,"RPTIS";"STATS",#N/A,FALSE,"STATS";"CELL",#N/A,FALSE,"CELL";"BS",#N/A,FALSE,"BS"}</definedName>
    <definedName name="newbel" hidden="1">{"IS",#N/A,FALSE,"IS";"RPTIS",#N/A,FALSE,"RPTIS";"STATS",#N/A,FALSE,"STATS";"CELL",#N/A,FALSE,"CELL";"BS",#N/A,FALSE,"BS"}</definedName>
    <definedName name="newbel_1" localSheetId="8" hidden="1">{"IS",#N/A,FALSE,"IS";"RPTIS",#N/A,FALSE,"RPTIS";"STATS",#N/A,FALSE,"STATS";"CELL",#N/A,FALSE,"CELL";"BS",#N/A,FALSE,"BS"}</definedName>
    <definedName name="newbel_1" hidden="1">{"IS",#N/A,FALSE,"IS";"RPTIS",#N/A,FALSE,"RPTIS";"STATS",#N/A,FALSE,"STATS";"CELL",#N/A,FALSE,"CELL";"BS",#N/A,FALSE,"BS"}</definedName>
    <definedName name="newbel1" localSheetId="8" hidden="1">{"IS",#N/A,FALSE,"IS";"RPTIS",#N/A,FALSE,"RPTIS";"STATS",#N/A,FALSE,"STATS";"CELL",#N/A,FALSE,"CELL";"BS",#N/A,FALSE,"BS"}</definedName>
    <definedName name="newbel1" hidden="1">{"IS",#N/A,FALSE,"IS";"RPTIS",#N/A,FALSE,"RPTIS";"STATS",#N/A,FALSE,"STATS";"CELL",#N/A,FALSE,"CELL";"BS",#N/A,FALSE,"BS"}</definedName>
    <definedName name="newbel1_1" localSheetId="8" hidden="1">{"IS",#N/A,FALSE,"IS";"RPTIS",#N/A,FALSE,"RPTIS";"STATS",#N/A,FALSE,"STATS";"CELL",#N/A,FALSE,"CELL";"BS",#N/A,FALSE,"BS"}</definedName>
    <definedName name="newbel1_1" hidden="1">{"IS",#N/A,FALSE,"IS";"RPTIS",#N/A,FALSE,"RPTIS";"STATS",#N/A,FALSE,"STATS";"CELL",#N/A,FALSE,"CELL";"BS",#N/A,FALSE,"BS"}</definedName>
    <definedName name="newbls" localSheetId="8" hidden="1">{"'Directory'!$A$72:$E$91"}</definedName>
    <definedName name="newbls" hidden="1">{"'Directory'!$A$72:$E$91"}</definedName>
    <definedName name="newDC" localSheetId="8" hidden="1">{#N/A,#N/A,TRUE,"Cover sheet";#N/A,#N/A,TRUE,"DCF analysis";#N/A,#N/A,TRUE,"WACC calculation"}</definedName>
    <definedName name="newDC" hidden="1">{#N/A,#N/A,TRUE,"Cover sheet";#N/A,#N/A,TRUE,"DCF analysis";#N/A,#N/A,TRUE,"WACC calculation"}</definedName>
    <definedName name="newDC_1" localSheetId="8" hidden="1">{#N/A,#N/A,TRUE,"Cover sheet";#N/A,#N/A,TRUE,"DCF analysis";#N/A,#N/A,TRUE,"WACC calculation"}</definedName>
    <definedName name="newDC_1" hidden="1">{#N/A,#N/A,TRUE,"Cover sheet";#N/A,#N/A,TRUE,"DCF analysis";#N/A,#N/A,TRUE,"WACC calculation"}</definedName>
    <definedName name="newkhsdfkj" localSheetId="8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newkhsdfkj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newkhsdfkj_1" localSheetId="8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newkhsdfkj_1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newname" localSheetId="8" hidden="1">{#N/A,#N/A,FALSE,"ACQ_GRAPHS";#N/A,#N/A,FALSE,"T_1 GRAPHS";#N/A,#N/A,FALSE,"T_2 GRAPHS";#N/A,#N/A,FALSE,"COMB_GRAPHS"}</definedName>
    <definedName name="newname" hidden="1">{#N/A,#N/A,FALSE,"Aging Summary";#N/A,#N/A,FALSE,"Ratio Analysis";#N/A,#N/A,FALSE,"Test 120 Day Accts";#N/A,#N/A,FALSE,"Tickmarks"}</definedName>
    <definedName name="newnewnew" localSheetId="7" hidden="1">{#N/A,#N/A,FALSE,"Pharm";#N/A,#N/A,FALSE,"WWCM"}</definedName>
    <definedName name="newnewnew" localSheetId="8" hidden="1">{#N/A,#N/A,FALSE,"Pharm";#N/A,#N/A,FALSE,"WWCM"}</definedName>
    <definedName name="newnewnew" hidden="1">{#N/A,#N/A,FALSE,"Pharm";#N/A,#N/A,FALSE,"WWCM"}</definedName>
    <definedName name="newraccolta" localSheetId="8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newraccolta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newraccolta_1" localSheetId="8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newraccolta_1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NewRange" localSheetId="8" hidden="1">#N/A</definedName>
    <definedName name="NewRange" hidden="1">#REF!</definedName>
    <definedName name="newt" localSheetId="8" hidden="1">{"'Directory'!$A$72:$E$91"}</definedName>
    <definedName name="newt" hidden="1">{"'Directory'!$A$72:$E$91"}</definedName>
    <definedName name="newwcom" localSheetId="8" hidden="1">{"'Directory'!$A$72:$E$91"}</definedName>
    <definedName name="newwcom" hidden="1">{"'Directory'!$A$72:$E$91"}</definedName>
    <definedName name="newwrn.presentation" localSheetId="8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newwrn.presentation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newwrn.presentation_1" localSheetId="8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newwrn.presentation_1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nfdnf" localSheetId="8" hidden="1">{#N/A,#N/A,FALSE,"Assessment";#N/A,#N/A,FALSE,"Staffing";#N/A,#N/A,FALSE,"Hires";#N/A,#N/A,FALSE,"Assumptions"}</definedName>
    <definedName name="nfdnf" hidden="1">{#N/A,#N/A,FALSE,"Assessment";#N/A,#N/A,FALSE,"Staffing";#N/A,#N/A,FALSE,"Hires";#N/A,#N/A,FALSE,"Assumptions"}</definedName>
    <definedName name="nfdnfd" localSheetId="8" hidden="1">{"Five Year",#N/A,FALSE,"Summary (2)";"Month 1 and Years",#N/A,FALSE,"Cash Budget"}</definedName>
    <definedName name="nfdnfd" hidden="1">{"Five Year",#N/A,FALSE,"Summary (2)";"Month 1 and Years",#N/A,FALSE,"Cash Budget"}</definedName>
    <definedName name="nfdnm" localSheetId="8" hidden="1">{#N/A,#N/A,FALSE,"Assessment";#N/A,#N/A,FALSE,"Staffing";#N/A,#N/A,FALSE,"Hires";#N/A,#N/A,FALSE,"Assumptions"}</definedName>
    <definedName name="nfdnm" hidden="1">{#N/A,#N/A,FALSE,"Assessment";#N/A,#N/A,FALSE,"Staffing";#N/A,#N/A,FALSE,"Hires";#N/A,#N/A,FALSE,"Assumptions"}</definedName>
    <definedName name="nfewjk" hidden="1">#REF!</definedName>
    <definedName name="nfewjkfnewjk" hidden="1">#REF!</definedName>
    <definedName name="nfewkjnjfkew" hidden="1">#REF!</definedName>
    <definedName name="nffdn" localSheetId="8" hidden="1">{#N/A,#N/A,FALSE,"Assessment";#N/A,#N/A,FALSE,"Staffing";#N/A,#N/A,FALSE,"Hires";#N/A,#N/A,FALSE,"Assumptions"}</definedName>
    <definedName name="nffdn" hidden="1">{#N/A,#N/A,FALSE,"Assessment";#N/A,#N/A,FALSE,"Staffing";#N/A,#N/A,FALSE,"Hires";#N/A,#N/A,FALSE,"Assumptions"}</definedName>
    <definedName name="nffsdn" localSheetId="8" hidden="1">{#N/A,#N/A,FALSE,"Assessment";#N/A,#N/A,FALSE,"Staffing";#N/A,#N/A,FALSE,"Hires";#N/A,#N/A,FALSE,"Assumptions"}</definedName>
    <definedName name="nffsdn" hidden="1">{#N/A,#N/A,FALSE,"Assessment";#N/A,#N/A,FALSE,"Staffing";#N/A,#N/A,FALSE,"Hires";#N/A,#N/A,FALSE,"Assumptions"}</definedName>
    <definedName name="nfkewl" hidden="1">#REF!</definedName>
    <definedName name="nfwkjenfejwknfewjk" hidden="1">#REF!</definedName>
    <definedName name="ngg" localSheetId="8" hidden="1">{#N/A,#N/A,FALSE,"F94is";#N/A,#N/A,FALSE,"T94is";#N/A,#N/A,FALSE,"TOT94is";#N/A,#N/A,FALSE,"f94oh";#N/A,#N/A,FALSE,"Toh94";#N/A,#N/A,FALSE,"TOT94oh";#N/A,#N/A,FALSE,"SGA94";#N/A,#N/A,FALSE,"bs94";#N/A,#N/A,FALSE,"debt";#N/A,#N/A,FALSE,"f94proj";#N/A,#N/A,FALSE,"t94proj";#N/A,#N/A,FALSE,"tot94proj";#N/A,#N/A,FALSE,"f94ohproj";#N/A,#N/A,FALSE,"t94ohproj";#N/A,#N/A,FALSE,"tot94ohproj";#N/A,#N/A,FALSE,"projsga";#N/A,#N/A,FALSE,"projcf";#N/A,#N/A,FALSE,"Projline";#N/A,#N/A,FALSE,"bankline";#N/A,#N/A,FALSE,"Fast95is";#N/A,#N/A,FALSE,"tool95is";#N/A,#N/A,FALSE,"tot95is";#N/A,#N/A,FALSE,"tool950h";#N/A,#N/A,FALSE,"fas95oh";#N/A,#N/A,FALSE,"tot95oh";#N/A,#N/A,FALSE,"95sga"}</definedName>
    <definedName name="ngg" hidden="1">{#N/A,#N/A,FALSE,"F94is";#N/A,#N/A,FALSE,"T94is";#N/A,#N/A,FALSE,"TOT94is";#N/A,#N/A,FALSE,"f94oh";#N/A,#N/A,FALSE,"Toh94";#N/A,#N/A,FALSE,"TOT94oh";#N/A,#N/A,FALSE,"SGA94";#N/A,#N/A,FALSE,"bs94";#N/A,#N/A,FALSE,"debt";#N/A,#N/A,FALSE,"f94proj";#N/A,#N/A,FALSE,"t94proj";#N/A,#N/A,FALSE,"tot94proj";#N/A,#N/A,FALSE,"f94ohproj";#N/A,#N/A,FALSE,"t94ohproj";#N/A,#N/A,FALSE,"tot94ohproj";#N/A,#N/A,FALSE,"projsga";#N/A,#N/A,FALSE,"projcf";#N/A,#N/A,FALSE,"Projline";#N/A,#N/A,FALSE,"bankline";#N/A,#N/A,FALSE,"Fast95is";#N/A,#N/A,FALSE,"tool95is";#N/A,#N/A,FALSE,"tot95is";#N/A,#N/A,FALSE,"tool950h";#N/A,#N/A,FALSE,"fas95oh";#N/A,#N/A,FALSE,"tot95oh";#N/A,#N/A,FALSE,"95sga"}</definedName>
    <definedName name="ngg_1" localSheetId="8" hidden="1">{#N/A,#N/A,FALSE,"F94is";#N/A,#N/A,FALSE,"T94is";#N/A,#N/A,FALSE,"TOT94is";#N/A,#N/A,FALSE,"f94oh";#N/A,#N/A,FALSE,"Toh94";#N/A,#N/A,FALSE,"TOT94oh";#N/A,#N/A,FALSE,"SGA94";#N/A,#N/A,FALSE,"bs94";#N/A,#N/A,FALSE,"debt";#N/A,#N/A,FALSE,"f94proj";#N/A,#N/A,FALSE,"t94proj";#N/A,#N/A,FALSE,"tot94proj";#N/A,#N/A,FALSE,"f94ohproj";#N/A,#N/A,FALSE,"t94ohproj";#N/A,#N/A,FALSE,"tot94ohproj";#N/A,#N/A,FALSE,"projsga";#N/A,#N/A,FALSE,"projcf";#N/A,#N/A,FALSE,"Projline";#N/A,#N/A,FALSE,"bankline";#N/A,#N/A,FALSE,"Fast95is";#N/A,#N/A,FALSE,"tool95is";#N/A,#N/A,FALSE,"tot95is";#N/A,#N/A,FALSE,"tool950h";#N/A,#N/A,FALSE,"fas95oh";#N/A,#N/A,FALSE,"tot95oh";#N/A,#N/A,FALSE,"95sga"}</definedName>
    <definedName name="ngg_1" hidden="1">{#N/A,#N/A,FALSE,"F94is";#N/A,#N/A,FALSE,"T94is";#N/A,#N/A,FALSE,"TOT94is";#N/A,#N/A,FALSE,"f94oh";#N/A,#N/A,FALSE,"Toh94";#N/A,#N/A,FALSE,"TOT94oh";#N/A,#N/A,FALSE,"SGA94";#N/A,#N/A,FALSE,"bs94";#N/A,#N/A,FALSE,"debt";#N/A,#N/A,FALSE,"f94proj";#N/A,#N/A,FALSE,"t94proj";#N/A,#N/A,FALSE,"tot94proj";#N/A,#N/A,FALSE,"f94ohproj";#N/A,#N/A,FALSE,"t94ohproj";#N/A,#N/A,FALSE,"tot94ohproj";#N/A,#N/A,FALSE,"projsga";#N/A,#N/A,FALSE,"projcf";#N/A,#N/A,FALSE,"Projline";#N/A,#N/A,FALSE,"bankline";#N/A,#N/A,FALSE,"Fast95is";#N/A,#N/A,FALSE,"tool95is";#N/A,#N/A,FALSE,"tot95is";#N/A,#N/A,FALSE,"tool950h";#N/A,#N/A,FALSE,"fas95oh";#N/A,#N/A,FALSE,"tot95oh";#N/A,#N/A,FALSE,"95sga"}</definedName>
    <definedName name="nggfnf" localSheetId="8" hidden="1">{#N/A,#N/A,FALSE,"Assessment";#N/A,#N/A,FALSE,"Staffing";#N/A,#N/A,FALSE,"Hires";#N/A,#N/A,FALSE,"Assumptions"}</definedName>
    <definedName name="nggfnf" hidden="1">{#N/A,#N/A,FALSE,"Assessment";#N/A,#N/A,FALSE,"Staffing";#N/A,#N/A,FALSE,"Hires";#N/A,#N/A,FALSE,"Assumptions"}</definedName>
    <definedName name="nh" localSheetId="8" hidden="1">{"AS REP",#N/A,FALSE,"EEFSNAP2";"PROP",#N/A,FALSE,"EEFSNAP2";"RISKS",#N/A,FALSE,"EEFSNAP2";"VIEW ALL",#N/A,FALSE,"EEFSNAP2"}</definedName>
    <definedName name="nh" hidden="1">{"AS REP",#N/A,FALSE,"EEFSNAP2";"PROP",#N/A,FALSE,"EEFSNAP2";"RISKS",#N/A,FALSE,"EEFSNAP2";"VIEW ALL",#N/A,FALSE,"EEFSNAP2"}</definedName>
    <definedName name="nhu" localSheetId="8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nhu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NI" hidden="1">#REF!</definedName>
    <definedName name="nic" localSheetId="8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nic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nic_1" localSheetId="8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nic_1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niels" localSheetId="8" hidden="1">{#N/A,#N/A,TRUE,"omzontw.aholdldn";#N/A,#N/A,TRUE,"omzontw.aholdldn";#N/A,#N/A,TRUE,"omzetontwikah"}</definedName>
    <definedName name="niels" hidden="1">{#N/A,#N/A,TRUE,"omzontw.aholdldn";#N/A,#N/A,TRUE,"omzontw.aholdldn";#N/A,#N/A,TRUE,"omzetontwikah"}</definedName>
    <definedName name="niels2" localSheetId="8" hidden="1">{#N/A,#N/A,TRUE,"omzontw.aholdldn";#N/A,#N/A,TRUE,"omzontw.aholdldn";#N/A,#N/A,TRUE,"omzetontwikah"}</definedName>
    <definedName name="niels2" hidden="1">{#N/A,#N/A,TRUE,"omzontw.aholdldn";#N/A,#N/A,TRUE,"omzontw.aholdldn";#N/A,#N/A,TRUE,"omzetontwikah"}</definedName>
    <definedName name="nijnsh" localSheetId="8" hidden="1">{"detail",#N/A,FALSE,"mfg";"summary",#N/A,FALSE,"mfg"}</definedName>
    <definedName name="nijnsh" hidden="1">{"detail",#N/A,FALSE,"mfg";"summary",#N/A,FALSE,"mfg"}</definedName>
    <definedName name="nik" localSheetId="8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nik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nik_1" localSheetId="8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nik_1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nj9km" localSheetId="8" hidden="1">{"detail",#N/A,FALSE,"mfg";"summary",#N/A,FALSE,"mfg"}</definedName>
    <definedName name="nj9km" hidden="1">{"detail",#N/A,FALSE,"mfg";"summary",#N/A,FALSE,"mfg"}</definedName>
    <definedName name="njck" hidden="1">#REF!</definedName>
    <definedName name="njekfwndekw" hidden="1">#REF!</definedName>
    <definedName name="njewknfewkj" hidden="1">#REF!</definedName>
    <definedName name="njhfds" localSheetId="8" hidden="1">{#N/A,"PURCHM",FALSE,"Business Analysis";#N/A,"SPADD",FALSE,"Business Analysis"}</definedName>
    <definedName name="njhfds" hidden="1">{#N/A,"PURCHM",FALSE,"Business Analysis";#N/A,"SPADD",FALSE,"Business Analysis"}</definedName>
    <definedName name="njis76" localSheetId="8" hidden="1">{"detail",#N/A,FALSE,"mfg";"summary",#N/A,FALSE,"mfg"}</definedName>
    <definedName name="njis76" hidden="1">{"detail",#N/A,FALSE,"mfg";"summary",#N/A,FALSE,"mfg"}</definedName>
    <definedName name="njjj" localSheetId="8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njjj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njkjsh" localSheetId="8" hidden="1">{"detail",#N/A,FALSE,"mfg";"summary",#N/A,FALSE,"mfg"}</definedName>
    <definedName name="njkjsh" hidden="1">{"detail",#N/A,FALSE,"mfg";"summary",#N/A,FALSE,"mfg"}</definedName>
    <definedName name="njkqednwqj" hidden="1">#REF!</definedName>
    <definedName name="njqwdkndwqjk" hidden="1">#REF!</definedName>
    <definedName name="njttf" hidden="1">#REF!</definedName>
    <definedName name="njvcvvke" hidden="1">#REF!</definedName>
    <definedName name="njwekfnfewkj" hidden="1">#REF!</definedName>
    <definedName name="nklemlddñew" hidden="1">#REF!</definedName>
    <definedName name="nkmi9c" localSheetId="8" hidden="1">{#N/A,"PURCHM",FALSE,"Business Analysis";#N/A,"SPADD",FALSE,"Business Analysis"}</definedName>
    <definedName name="nkmi9c" hidden="1">{#N/A,"PURCHM",FALSE,"Business Analysis";#N/A,"SPADD",FALSE,"Business Analysis"}</definedName>
    <definedName name="nkmlew" hidden="1">#REF!</definedName>
    <definedName name="NLGeXToEUR" localSheetId="8" hidden="1">1/EUReXToNLG</definedName>
    <definedName name="NLGeXToEUR" hidden="1">1/EUReXToNLG</definedName>
    <definedName name="nmnm" localSheetId="8" hidden="1">{"summary",#N/A,FALSE,"summary";"sales growth",#N/A,FALSE,"summary";"oper income",#N/A,FALSE,"summary";"oros rank",#N/A,FALSE,"summary";"net assets",#N/A,FALSE,"summary";"asset turnover",#N/A,FALSE,"summary";"orona",#N/A,FALSE,"summary";"total return",#N/A,FALSE,"summary";"overview",#N/A,FALSE,"summary"}</definedName>
    <definedName name="nmnm" hidden="1">{"summary",#N/A,FALSE,"summary";"sales growth",#N/A,FALSE,"summary";"oper income",#N/A,FALSE,"summary";"oros rank",#N/A,FALSE,"summary";"net assets",#N/A,FALSE,"summary";"asset turnover",#N/A,FALSE,"summary";"orona",#N/A,FALSE,"summary";"total return",#N/A,FALSE,"summary";"overview",#N/A,FALSE,"summary"}</definedName>
    <definedName name="nn" localSheetId="8" hidden="1">{0}</definedName>
    <definedName name="nn" hidden="1">{0}</definedName>
    <definedName name="nn_1" localSheetId="8" hidden="1">{#N/A,#N/A,FALSE,"MERCHANT GAS MARGIN";#N/A,#N/A,FALSE,"BULK";#N/A,#N/A,FALSE,"BULK CO2";#N/A,#N/A,FALSE,"ON-SITE";#N/A,#N/A,FALSE,"CYLINDERS"}</definedName>
    <definedName name="nn_1" hidden="1">{#N/A,#N/A,FALSE,"MERCHANT GAS MARGIN";#N/A,#N/A,FALSE,"BULK";#N/A,#N/A,FALSE,"BULK CO2";#N/A,#N/A,FALSE,"ON-SITE";#N/A,#N/A,FALSE,"CYLINDERS"}</definedName>
    <definedName name="nnh" localSheetId="8" hidden="1">{"Pa1",#N/A,FALSE,"OpExYTDvsPY";"Pa2",#N/A,FALSE,"OpExYTDvsPY"}</definedName>
    <definedName name="nnh" hidden="1">{"Pa1",#N/A,FALSE,"OpExYTDvsPY";"Pa2",#N/A,FALSE,"OpExYTDvsPY"}</definedName>
    <definedName name="nnn" localSheetId="8" hidden="1">{#N/A,#N/A,FALSE,"Assessment";#N/A,#N/A,FALSE,"Staffing";#N/A,#N/A,FALSE,"Hires";#N/A,#N/A,FALSE,"Assumptions"}</definedName>
    <definedName name="nnn" hidden="1">{#N/A,#N/A,FALSE,"Assessment";#N/A,#N/A,FALSE,"Staffing";#N/A,#N/A,FALSE,"Hires";#N/A,#N/A,FALSE,"Assumptions"}</definedName>
    <definedName name="nnn_1" localSheetId="8" hidden="1">{#N/A,#N/A,FALSE,"Assessment";#N/A,#N/A,FALSE,"Staffing";#N/A,#N/A,FALSE,"Hires";#N/A,#N/A,FALSE,"Assumptions"}</definedName>
    <definedName name="nnn_1" hidden="1">{#N/A,#N/A,FALSE,"Assessment";#N/A,#N/A,FALSE,"Staffing";#N/A,#N/A,FALSE,"Hires";#N/A,#N/A,FALSE,"Assumptions"}</definedName>
    <definedName name="nnnn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nnnn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nnnnn" localSheetId="8" hidden="1">{"eingeklappt",#N/A,FALSE,"TOTAL SHARED";"ausgeklappt",#N/A,FALSE,"TOTAL SHARED"}</definedName>
    <definedName name="nnnnn" hidden="1">{"eingeklappt",#N/A,FALSE,"TOTAL SHARED";"ausgeklappt",#N/A,FALSE,"TOTAL SHARED"}</definedName>
    <definedName name="nnnnnn" hidden="1">#N/A</definedName>
    <definedName name="nnnnnnnnnnnnn" localSheetId="8" hidden="1">{#N/A,#N/A,FALSE,"Assessment";#N/A,#N/A,FALSE,"Staffing";#N/A,#N/A,FALSE,"Hires";#N/A,#N/A,FALSE,"Assumptions"}</definedName>
    <definedName name="nnnnnnnnnnnnn" hidden="1">{#N/A,#N/A,FALSE,"Assessment";#N/A,#N/A,FALSE,"Staffing";#N/A,#N/A,FALSE,"Hires";#N/A,#N/A,FALSE,"Assumptions"}</definedName>
    <definedName name="nnnnnnnnnnnnnn" localSheetId="8" hidden="1">{#N/A,#N/A,TRUE,"Cover";#N/A,#N/A,TRUE,"Macro Assumptions";#N/A,#N/A,TRUE,"P&amp;L";#N/A,#N/A,TRUE,"BS";#N/A,#N/A,TRUE,"Tariffs DTe";#N/A,#N/A,TRUE,"Revenues";#N/A,#N/A,TRUE,"System Services";#N/A,#N/A,TRUE,"TPA";#N/A,#N/A,TRUE,"Opex 1";#N/A,#N/A,TRUE,"Opex";#N/A,#N/A,TRUE,"Assumptions";#N/A,#N/A,TRUE,"Depreciation";#N/A,#N/A,TRUE,"Capital Expenditures";#N/A,#N/A,TRUE,"WACC_DTe";#N/A,#N/A,TRUE,"WACC";#N/A,#N/A,TRUE,"DCF EBITDA Multiple";#N/A,#N/A,TRUE,"DCF Perpetual Growth";#N/A,#N/A,TRUE,"TComps";#N/A,#N/A,TRUE,"AComps"}</definedName>
    <definedName name="nnnnnnnnnnnnnn" hidden="1">{#N/A,#N/A,TRUE,"Cover";#N/A,#N/A,TRUE,"Macro Assumptions";#N/A,#N/A,TRUE,"P&amp;L";#N/A,#N/A,TRUE,"BS";#N/A,#N/A,TRUE,"Tariffs DTe";#N/A,#N/A,TRUE,"Revenues";#N/A,#N/A,TRUE,"System Services";#N/A,#N/A,TRUE,"TPA";#N/A,#N/A,TRUE,"Opex 1";#N/A,#N/A,TRUE,"Opex";#N/A,#N/A,TRUE,"Assumptions";#N/A,#N/A,TRUE,"Depreciation";#N/A,#N/A,TRUE,"Capital Expenditures";#N/A,#N/A,TRUE,"WACC_DTe";#N/A,#N/A,TRUE,"WACC";#N/A,#N/A,TRUE,"DCF EBITDA Multiple";#N/A,#N/A,TRUE,"DCF Perpetual Growth";#N/A,#N/A,TRUE,"TComps";#N/A,#N/A,TRUE,"AComps"}</definedName>
    <definedName name="nnnnnnnnnnnnnn_1" localSheetId="8" hidden="1">{#N/A,#N/A,TRUE,"Cover";#N/A,#N/A,TRUE,"Macro Assumptions";#N/A,#N/A,TRUE,"P&amp;L";#N/A,#N/A,TRUE,"BS";#N/A,#N/A,TRUE,"Tariffs DTe";#N/A,#N/A,TRUE,"Revenues";#N/A,#N/A,TRUE,"System Services";#N/A,#N/A,TRUE,"TPA";#N/A,#N/A,TRUE,"Opex 1";#N/A,#N/A,TRUE,"Opex";#N/A,#N/A,TRUE,"Assumptions";#N/A,#N/A,TRUE,"Depreciation";#N/A,#N/A,TRUE,"Capital Expenditures";#N/A,#N/A,TRUE,"WACC_DTe";#N/A,#N/A,TRUE,"WACC";#N/A,#N/A,TRUE,"DCF EBITDA Multiple";#N/A,#N/A,TRUE,"DCF Perpetual Growth";#N/A,#N/A,TRUE,"TComps";#N/A,#N/A,TRUE,"AComps"}</definedName>
    <definedName name="nnnnnnnnnnnnnn_1" hidden="1">{#N/A,#N/A,TRUE,"Cover";#N/A,#N/A,TRUE,"Macro Assumptions";#N/A,#N/A,TRUE,"P&amp;L";#N/A,#N/A,TRUE,"BS";#N/A,#N/A,TRUE,"Tariffs DTe";#N/A,#N/A,TRUE,"Revenues";#N/A,#N/A,TRUE,"System Services";#N/A,#N/A,TRUE,"TPA";#N/A,#N/A,TRUE,"Opex 1";#N/A,#N/A,TRUE,"Opex";#N/A,#N/A,TRUE,"Assumptions";#N/A,#N/A,TRUE,"Depreciation";#N/A,#N/A,TRUE,"Capital Expenditures";#N/A,#N/A,TRUE,"WACC_DTe";#N/A,#N/A,TRUE,"WACC";#N/A,#N/A,TRUE,"DCF EBITDA Multiple";#N/A,#N/A,TRUE,"DCF Perpetual Growth";#N/A,#N/A,TRUE,"TComps";#N/A,#N/A,TRUE,"AComps"}</definedName>
    <definedName name="nnnnnnnnnnnnnnnn" localSheetId="8" hidden="1">{#N/A,#N/A,FALSE,"Assessment";#N/A,#N/A,FALSE,"Staffing";#N/A,#N/A,FALSE,"Hires";#N/A,#N/A,FALSE,"Assumptions"}</definedName>
    <definedName name="nnnnnnnnnnnnnnnn" hidden="1">{#N/A,#N/A,FALSE,"Assessment";#N/A,#N/A,FALSE,"Staffing";#N/A,#N/A,FALSE,"Hires";#N/A,#N/A,FALSE,"Assumptions"}</definedName>
    <definedName name="nnnnnnnnnnnnnnnnhy" localSheetId="8" hidden="1">{#N/A,#N/A,FALSE,"Assessment";#N/A,#N/A,FALSE,"Staffing";#N/A,#N/A,FALSE,"Hires";#N/A,#N/A,FALSE,"Assumptions"}</definedName>
    <definedName name="nnnnnnnnnnnnnnnnhy" hidden="1">{#N/A,#N/A,FALSE,"Assessment";#N/A,#N/A,FALSE,"Staffing";#N/A,#N/A,FALSE,"Hires";#N/A,#N/A,FALSE,"Assumptions"}</definedName>
    <definedName name="nnnnnnnnnnnnnnnnn" localSheetId="8" hidden="1">{#N/A,#N/A,FALSE,"Assessment";#N/A,#N/A,FALSE,"Staffing";#N/A,#N/A,FALSE,"Hires";#N/A,#N/A,FALSE,"Assumptions"}</definedName>
    <definedName name="nnnnnnnnnnnnnnnnn" hidden="1">{#N/A,#N/A,FALSE,"Assessment";#N/A,#N/A,FALSE,"Staffing";#N/A,#N/A,FALSE,"Hires";#N/A,#N/A,FALSE,"Assumptions"}</definedName>
    <definedName name="nnnnnnnnnnnnnnnnnn" localSheetId="8" hidden="1">{#N/A,#N/A,FALSE,"Assessment";#N/A,#N/A,FALSE,"Staffing";#N/A,#N/A,FALSE,"Hires";#N/A,#N/A,FALSE,"Assumptions"}</definedName>
    <definedName name="nnnnnnnnnnnnnnnnnn" hidden="1">{#N/A,#N/A,FALSE,"Assessment";#N/A,#N/A,FALSE,"Staffing";#N/A,#N/A,FALSE,"Hires";#N/A,#N/A,FALSE,"Assumptions"}</definedName>
    <definedName name="nnnnnnnnnnnnnnnnnnj" localSheetId="8" hidden="1">{#N/A,#N/A,FALSE,"Assessment";#N/A,#N/A,FALSE,"Staffing";#N/A,#N/A,FALSE,"Hires";#N/A,#N/A,FALSE,"Assumptions"}</definedName>
    <definedName name="nnnnnnnnnnnnnnnnnnj" hidden="1">{#N/A,#N/A,FALSE,"Assessment";#N/A,#N/A,FALSE,"Staffing";#N/A,#N/A,FALSE,"Hires";#N/A,#N/A,FALSE,"Assumptions"}</definedName>
    <definedName name="nnnnnnnnnnnnnnnnnnnnnnnnnnn" localSheetId="8" hidden="1">{"Five Year",#N/A,FALSE,"Summary (2)";"Month 1 and Years",#N/A,FALSE,"Cash Budget"}</definedName>
    <definedName name="nnnnnnnnnnnnnnnnnnnnnnnnnnn" hidden="1">{"Five Year",#N/A,FALSE,"Summary (2)";"Month 1 and Years",#N/A,FALSE,"Cash Budget"}</definedName>
    <definedName name="nnnnnnnnnnnnnnnnnnnnnnnnnnnnn" localSheetId="8" hidden="1">{#N/A,#N/A,FALSE,"Assessment";#N/A,#N/A,FALSE,"Staffing";#N/A,#N/A,FALSE,"Hires";#N/A,#N/A,FALSE,"Assumptions"}</definedName>
    <definedName name="nnnnnnnnnnnnnnnnnnnnnnnnnnnnn" hidden="1">{#N/A,#N/A,FALSE,"Assessment";#N/A,#N/A,FALSE,"Staffing";#N/A,#N/A,FALSE,"Hires";#N/A,#N/A,FALSE,"Assumptions"}</definedName>
    <definedName name="nnnnnnnnnnnnnnnnnnnnnnnnnnnnnn" localSheetId="8" hidden="1">{#N/A,#N/A,FALSE,"Assessment";#N/A,#N/A,FALSE,"Staffing";#N/A,#N/A,FALSE,"Hires";#N/A,#N/A,FALSE,"Assumptions"}</definedName>
    <definedName name="nnnnnnnnnnnnnnnnnnnnnnnnnnnnnn" hidden="1">{#N/A,#N/A,FALSE,"Assessment";#N/A,#N/A,FALSE,"Staffing";#N/A,#N/A,FALSE,"Hires";#N/A,#N/A,FALSE,"Assumptions"}</definedName>
    <definedName name="nnnnnnnnnnnnnnnnnnnnnnnnnnnnnnnn" localSheetId="8" hidden="1">{#N/A,#N/A,FALSE,"Assessment";#N/A,#N/A,FALSE,"Staffing";#N/A,#N/A,FALSE,"Hires";#N/A,#N/A,FALSE,"Assumptions"}</definedName>
    <definedName name="nnnnnnnnnnnnnnnnnnnnnnnnnnnnnnnn" hidden="1">{#N/A,#N/A,FALSE,"Assessment";#N/A,#N/A,FALSE,"Staffing";#N/A,#N/A,FALSE,"Hires";#N/A,#N/A,FALSE,"Assumptions"}</definedName>
    <definedName name="nnnnnnnnnnnnnnnnnnnnnnnnnnnnt" localSheetId="8" hidden="1">{#N/A,#N/A,FALSE,"Assessment";#N/A,#N/A,FALSE,"Staffing";#N/A,#N/A,FALSE,"Hires";#N/A,#N/A,FALSE,"Assumptions"}</definedName>
    <definedName name="nnnnnnnnnnnnnnnnnnnnnnnnnnnnt" hidden="1">{#N/A,#N/A,FALSE,"Assessment";#N/A,#N/A,FALSE,"Staffing";#N/A,#N/A,FALSE,"Hires";#N/A,#N/A,FALSE,"Assumptions"}</definedName>
    <definedName name="nnnnnnnnnnnnnnnnnnnnnnnnnt" localSheetId="8" hidden="1">{#N/A,#N/A,FALSE,"Assessment";#N/A,#N/A,FALSE,"Staffing";#N/A,#N/A,FALSE,"Hires";#N/A,#N/A,FALSE,"Assumptions"}</definedName>
    <definedName name="nnnnnnnnnnnnnnnnnnnnnnnnnt" hidden="1">{#N/A,#N/A,FALSE,"Assessment";#N/A,#N/A,FALSE,"Staffing";#N/A,#N/A,FALSE,"Hires";#N/A,#N/A,FALSE,"Assumptions"}</definedName>
    <definedName name="nnnnnnnnnnnnnnnnnnnnnnnnt" localSheetId="8" hidden="1">{#N/A,#N/A,FALSE,"Assessment";#N/A,#N/A,FALSE,"Staffing";#N/A,#N/A,FALSE,"Hires";#N/A,#N/A,FALSE,"Assumptions"}</definedName>
    <definedName name="nnnnnnnnnnnnnnnnnnnnnnnnt" hidden="1">{#N/A,#N/A,FALSE,"Assessment";#N/A,#N/A,FALSE,"Staffing";#N/A,#N/A,FALSE,"Hires";#N/A,#N/A,FALSE,"Assumptions"}</definedName>
    <definedName name="nnnnnnnnnnnnnnnnnnnnnnt" localSheetId="8" hidden="1">{"Five Year",#N/A,FALSE,"Summary (2)";"Month 1 and Years",#N/A,FALSE,"Cash Budget"}</definedName>
    <definedName name="nnnnnnnnnnnnnnnnnnnnnnt" hidden="1">{"Five Year",#N/A,FALSE,"Summary (2)";"Month 1 and Years",#N/A,FALSE,"Cash Budget"}</definedName>
    <definedName name="nnnntn" localSheetId="8" hidden="1">{#N/A,#N/A,FALSE,"Assessment";#N/A,#N/A,FALSE,"Staffing";#N/A,#N/A,FALSE,"Hires";#N/A,#N/A,FALSE,"Assumptions"}</definedName>
    <definedName name="nnnntn" hidden="1">{#N/A,#N/A,FALSE,"Assessment";#N/A,#N/A,FALSE,"Staffing";#N/A,#N/A,FALSE,"Hires";#N/A,#N/A,FALSE,"Assumptions"}</definedName>
    <definedName name="no" localSheetId="8" hidden="1">{#N/A,#N/A,TRUE,"Allacciamenti 5 anni";#N/A,#N/A,TRUE,"Carico 5 anni";#N/A,#N/A,TRUE,"Qualità a) 5 anni";#N/A,#N/A,TRUE,"Qualità b) 5 anni";#N/A,#N/A,TRUE,"Impatto ambientale 5 anni";#N/A,#N/A,TRUE,"Adeg. tecnico 5 anni"}</definedName>
    <definedName name="NO" hidden="1">{"PYGT",#N/A,FALSE,"PYG";"ACTIT",#N/A,FALSE,"BCE_GRAL-ACTIVO";"PASIT",#N/A,FALSE,"BCE_GRAL-PASIVO-PATRIM";"CAJAT",#N/A,FALSE,"CAJA"}</definedName>
    <definedName name="no_1" localSheetId="8" hidden="1">{#N/A,#N/A,TRUE,"Allacciamenti 5 anni";#N/A,#N/A,TRUE,"Carico 5 anni";#N/A,#N/A,TRUE,"Qualità a) 5 anni";#N/A,#N/A,TRUE,"Qualità b) 5 anni";#N/A,#N/A,TRUE,"Impatto ambientale 5 anni";#N/A,#N/A,TRUE,"Adeg. tecnico 5 anni"}</definedName>
    <definedName name="no_1" hidden="1">{#N/A,#N/A,TRUE,"Allacciamenti 5 anni";#N/A,#N/A,TRUE,"Carico 5 anni";#N/A,#N/A,TRUE,"Qualità a) 5 anni";#N/A,#N/A,TRUE,"Qualità b) 5 anni";#N/A,#N/A,TRUE,"Impatto ambientale 5 anni";#N/A,#N/A,TRUE,"Adeg. tecnico 5 anni"}</definedName>
    <definedName name="noe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noep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noepo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noepos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noeposs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noepossi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noepossiv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noepossive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noepossivei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noepossiveis" hidden="1">{#N/A,#N/A,FALSE,"CARATULA GENERAL";#N/A,#N/A,FALSE,"GSxDIRECCION";#N/A,#N/A,FALSE,"Caratula";#N/A,#N/A,FALSE,"GSxCTRO";#N/A,#N/A,FALSE,"GsAdm.Centr";#N/A,#N/A,FALSE,"Dir.Gral";#N/A,#N/A,FALSE,"AdmyFzas";#N/A,#N/A,FALSE,"Sistemas";#N/A,#N/A,FALSE,"RRHH"}</definedName>
    <definedName name="noepossiveiss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noepossivel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noepossivell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noidea" localSheetId="8" hidden="1">{#N/A,#N/A,FALSE,"Calc";#N/A,#N/A,FALSE,"Sensitivity";#N/A,#N/A,FALSE,"LT Earn.Dil.";#N/A,#N/A,FALSE,"Dil. AVP"}</definedName>
    <definedName name="noidea" hidden="1">{#N/A,#N/A,FALSE,"Calc";#N/A,#N/A,FALSE,"Sensitivity";#N/A,#N/A,FALSE,"LT Earn.Dil.";#N/A,#N/A,FALSE,"Dil. AVP"}</definedName>
    <definedName name="noidea_1" localSheetId="8" hidden="1">{#N/A,#N/A,FALSE,"Calc";#N/A,#N/A,FALSE,"Sensitivity";#N/A,#N/A,FALSE,"LT Earn.Dil.";#N/A,#N/A,FALSE,"Dil. AVP"}</definedName>
    <definedName name="noidea_1" hidden="1">{#N/A,#N/A,FALSE,"Calc";#N/A,#N/A,FALSE,"Sensitivity";#N/A,#N/A,FALSE,"LT Earn.Dil.";#N/A,#N/A,FALSE,"Dil. AVP"}</definedName>
    <definedName name="noidea1" localSheetId="8" hidden="1">{#N/A,#N/A,FALSE,"Calc";#N/A,#N/A,FALSE,"Sensitivity";#N/A,#N/A,FALSE,"LT Earn.Dil.";#N/A,#N/A,FALSE,"Dil. AVP"}</definedName>
    <definedName name="noidea1" hidden="1">{#N/A,#N/A,FALSE,"Calc";#N/A,#N/A,FALSE,"Sensitivity";#N/A,#N/A,FALSE,"LT Earn.Dil.";#N/A,#N/A,FALSE,"Dil. AVP"}</definedName>
    <definedName name="noidea1_1" localSheetId="8" hidden="1">{#N/A,#N/A,FALSE,"Calc";#N/A,#N/A,FALSE,"Sensitivity";#N/A,#N/A,FALSE,"LT Earn.Dil.";#N/A,#N/A,FALSE,"Dil. AVP"}</definedName>
    <definedName name="noidea1_1" hidden="1">{#N/A,#N/A,FALSE,"Calc";#N/A,#N/A,FALSE,"Sensitivity";#N/A,#N/A,FALSE,"LT Earn.Dil.";#N/A,#N/A,FALSE,"Dil. AVP"}</definedName>
    <definedName name="NOIDEA2" localSheetId="8" hidden="1">{#N/A,#N/A,FALSE,"Calc";#N/A,#N/A,FALSE,"Sensitivity";#N/A,#N/A,FALSE,"LT Earn.Dil.";#N/A,#N/A,FALSE,"Dil. AVP"}</definedName>
    <definedName name="NOIDEA2" hidden="1">{#N/A,#N/A,FALSE,"Calc";#N/A,#N/A,FALSE,"Sensitivity";#N/A,#N/A,FALSE,"LT Earn.Dil.";#N/A,#N/A,FALSE,"Dil. AVP"}</definedName>
    <definedName name="NOIDEA2_1" localSheetId="8" hidden="1">{#N/A,#N/A,FALSE,"Calc";#N/A,#N/A,FALSE,"Sensitivity";#N/A,#N/A,FALSE,"LT Earn.Dil.";#N/A,#N/A,FALSE,"Dil. AVP"}</definedName>
    <definedName name="NOIDEA2_1" hidden="1">{#N/A,#N/A,FALSE,"Calc";#N/A,#N/A,FALSE,"Sensitivity";#N/A,#N/A,FALSE,"LT Earn.Dil.";#N/A,#N/A,FALSE,"Dil. AVP"}</definedName>
    <definedName name="noidea3" localSheetId="8" hidden="1">{#N/A,#N/A,FALSE,"Calc";#N/A,#N/A,FALSE,"Sensitivity";#N/A,#N/A,FALSE,"LT Earn.Dil.";#N/A,#N/A,FALSE,"Dil. AVP"}</definedName>
    <definedName name="noidea3" hidden="1">{#N/A,#N/A,FALSE,"Calc";#N/A,#N/A,FALSE,"Sensitivity";#N/A,#N/A,FALSE,"LT Earn.Dil.";#N/A,#N/A,FALSE,"Dil. AVP"}</definedName>
    <definedName name="noidea3_1" localSheetId="8" hidden="1">{#N/A,#N/A,FALSE,"Calc";#N/A,#N/A,FALSE,"Sensitivity";#N/A,#N/A,FALSE,"LT Earn.Dil.";#N/A,#N/A,FALSE,"Dil. AVP"}</definedName>
    <definedName name="noidea3_1" hidden="1">{#N/A,#N/A,FALSE,"Calc";#N/A,#N/A,FALSE,"Sensitivity";#N/A,#N/A,FALSE,"LT Earn.Dil.";#N/A,#N/A,FALSE,"Dil. AVP"}</definedName>
    <definedName name="noidea4" localSheetId="8" hidden="1">{#N/A,#N/A,FALSE,"Calc";#N/A,#N/A,FALSE,"Sensitivity";#N/A,#N/A,FALSE,"LT Earn.Dil.";#N/A,#N/A,FALSE,"Dil. AVP"}</definedName>
    <definedName name="noidea4" hidden="1">{#N/A,#N/A,FALSE,"Calc";#N/A,#N/A,FALSE,"Sensitivity";#N/A,#N/A,FALSE,"LT Earn.Dil.";#N/A,#N/A,FALSE,"Dil. AVP"}</definedName>
    <definedName name="noidea4_1" localSheetId="8" hidden="1">{#N/A,#N/A,FALSE,"Calc";#N/A,#N/A,FALSE,"Sensitivity";#N/A,#N/A,FALSE,"LT Earn.Dil.";#N/A,#N/A,FALSE,"Dil. AVP"}</definedName>
    <definedName name="noidea4_1" hidden="1">{#N/A,#N/A,FALSE,"Calc";#N/A,#N/A,FALSE,"Sensitivity";#N/A,#N/A,FALSE,"LT Earn.Dil.";#N/A,#N/A,FALSE,"Dil. AVP"}</definedName>
    <definedName name="noidea5" localSheetId="8" hidden="1">{#N/A,#N/A,FALSE,"Calc";#N/A,#N/A,FALSE,"Sensitivity";#N/A,#N/A,FALSE,"LT Earn.Dil.";#N/A,#N/A,FALSE,"Dil. AVP"}</definedName>
    <definedName name="noidea5" hidden="1">{#N/A,#N/A,FALSE,"Calc";#N/A,#N/A,FALSE,"Sensitivity";#N/A,#N/A,FALSE,"LT Earn.Dil.";#N/A,#N/A,FALSE,"Dil. AVP"}</definedName>
    <definedName name="noidea5_1" localSheetId="8" hidden="1">{#N/A,#N/A,FALSE,"Calc";#N/A,#N/A,FALSE,"Sensitivity";#N/A,#N/A,FALSE,"LT Earn.Dil.";#N/A,#N/A,FALSE,"Dil. AVP"}</definedName>
    <definedName name="noidea5_1" hidden="1">{#N/A,#N/A,FALSE,"Calc";#N/A,#N/A,FALSE,"Sensitivity";#N/A,#N/A,FALSE,"LT Earn.Dil.";#N/A,#N/A,FALSE,"Dil. AVP"}</definedName>
    <definedName name="noidea6" localSheetId="8" hidden="1">{#N/A,#N/A,FALSE,"Calc";#N/A,#N/A,FALSE,"Sensitivity";#N/A,#N/A,FALSE,"LT Earn.Dil.";#N/A,#N/A,FALSE,"Dil. AVP"}</definedName>
    <definedName name="noidea6" hidden="1">{#N/A,#N/A,FALSE,"Calc";#N/A,#N/A,FALSE,"Sensitivity";#N/A,#N/A,FALSE,"LT Earn.Dil.";#N/A,#N/A,FALSE,"Dil. AVP"}</definedName>
    <definedName name="noidea6_1" localSheetId="8" hidden="1">{#N/A,#N/A,FALSE,"Calc";#N/A,#N/A,FALSE,"Sensitivity";#N/A,#N/A,FALSE,"LT Earn.Dil.";#N/A,#N/A,FALSE,"Dil. AVP"}</definedName>
    <definedName name="noidea6_1" hidden="1">{#N/A,#N/A,FALSE,"Calc";#N/A,#N/A,FALSE,"Sensitivity";#N/A,#N/A,FALSE,"LT Earn.Dil.";#N/A,#N/A,FALSE,"Dil. AVP"}</definedName>
    <definedName name="noidea7" localSheetId="8" hidden="1">{#N/A,#N/A,FALSE,"Calc";#N/A,#N/A,FALSE,"Sensitivity";#N/A,#N/A,FALSE,"LT Earn.Dil.";#N/A,#N/A,FALSE,"Dil. AVP"}</definedName>
    <definedName name="noidea7" hidden="1">{#N/A,#N/A,FALSE,"Calc";#N/A,#N/A,FALSE,"Sensitivity";#N/A,#N/A,FALSE,"LT Earn.Dil.";#N/A,#N/A,FALSE,"Dil. AVP"}</definedName>
    <definedName name="noidea7_1" localSheetId="8" hidden="1">{#N/A,#N/A,FALSE,"Calc";#N/A,#N/A,FALSE,"Sensitivity";#N/A,#N/A,FALSE,"LT Earn.Dil.";#N/A,#N/A,FALSE,"Dil. AVP"}</definedName>
    <definedName name="noidea7_1" hidden="1">{#N/A,#N/A,FALSE,"Calc";#N/A,#N/A,FALSE,"Sensitivity";#N/A,#N/A,FALSE,"LT Earn.Dil.";#N/A,#N/A,FALSE,"Dil. AVP"}</definedName>
    <definedName name="NOMBRES" localSheetId="8" hidden="1">{#N/A,#N/A,TRUE,"SIT.GLOBAL (2)";#N/A,#N/A,TRUE,"SIT.GLOBAL (1)";#N/A,#N/A,TRUE,"7.PROC JUD";#N/A,#N/A,TRUE,"GRAF.RENTAS";#N/A,#N/A,TRUE,"GRAF PTE.COB-COBNET (3)";#N/A,#N/A,TRUE,"GRAF FACT TOTAL-ORD (3)";#N/A,#N/A,TRUE,"DATOSGRAFICO";#N/A,#N/A,TRUE,"RESCINDIDOS";#N/A,#N/A,TRUE,"DETALLE PTE."}</definedName>
    <definedName name="NOMBRES" hidden="1">{#N/A,#N/A,TRUE,"SIT.GLOBAL (2)";#N/A,#N/A,TRUE,"SIT.GLOBAL (1)";#N/A,#N/A,TRUE,"7.PROC JUD";#N/A,#N/A,TRUE,"GRAF.RENTAS";#N/A,#N/A,TRUE,"GRAF PTE.COB-COBNET (3)";#N/A,#N/A,TRUE,"GRAF FACT TOTAL-ORD (3)";#N/A,#N/A,TRUE,"DATOSGRAFICO";#N/A,#N/A,TRUE,"RESCINDIDOS";#N/A,#N/A,TRUE,"DETALLE PTE."}</definedName>
    <definedName name="NOME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n" hidden="1">{#N/A,#N/A,FALSE,"Dutos";#N/A,#N/A,FALSE,"Terminais"}</definedName>
    <definedName name="NONO" localSheetId="8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NONO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NOON" localSheetId="8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NOON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not" localSheetId="8" hidden="1">{"quarter",#N/A,FALSE,"MOB"}</definedName>
    <definedName name="not" hidden="1">{"quarter",#N/A,FALSE,"MOB"}</definedName>
    <definedName name="nouv" localSheetId="7" hidden="1">{#N/A,#N/A,FALSE,"Pharm";#N/A,#N/A,FALSE,"WWCM"}</definedName>
    <definedName name="nouv" localSheetId="8" hidden="1">{#N/A,#N/A,FALSE,"Pharm";#N/A,#N/A,FALSE,"WWCM"}</definedName>
    <definedName name="nouv" hidden="1">{#N/A,#N/A,FALSE,"Pharm";#N/A,#N/A,FALSE,"WWCM"}</definedName>
    <definedName name="Nov_Plan_Income_Month" localSheetId="8" hidden="1">{"Oct_Plan_Income_Month",#N/A,FALSE,"OctInc";"Oct_Month_Lastyear_Inc",#N/A,FALSE,"OctInc"}</definedName>
    <definedName name="Nov_Plan_Income_Month" hidden="1">{"Oct_Plan_Income_Month",#N/A,FALSE,"OctInc";"Oct_Month_Lastyear_Inc",#N/A,FALSE,"OctInc"}</definedName>
    <definedName name="novembre" localSheetId="8" hidden="1">{#N/A,#N/A,FALSE,"9709 (2)"}</definedName>
    <definedName name="novembre" hidden="1">{#N/A,#N/A,FALSE,"9709 (2)"}</definedName>
    <definedName name="NP" localSheetId="8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NP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nqblevlhbqlvhqljhv" hidden="1">#REF!</definedName>
    <definedName name="nqekjnvbkjeqnbkljqelfqeljvlhqvljkhqlhv" hidden="1">#REF!</definedName>
    <definedName name="nre" localSheetId="8" hidden="1">{#N/A,#N/A,FALSE,"Assessment";#N/A,#N/A,FALSE,"Staffing";#N/A,#N/A,FALSE,"Hires";#N/A,#N/A,FALSE,"Assumptions"}</definedName>
    <definedName name="nre" hidden="1">{#N/A,#N/A,FALSE,"Assessment";#N/A,#N/A,FALSE,"Staffing";#N/A,#N/A,FALSE,"Hires";#N/A,#N/A,FALSE,"Assumptions"}</definedName>
    <definedName name="nrtr" localSheetId="8" hidden="1">{"EVA",#N/A,FALSE,"SMT2";#N/A,#N/A,FALSE,"Summary";#N/A,#N/A,FALSE,"Graphs";#N/A,#N/A,FALSE,"4 Panel"}</definedName>
    <definedName name="nrtr" hidden="1">{"EVA",#N/A,FALSE,"SMT2";#N/A,#N/A,FALSE,"Summary";#N/A,#N/A,FALSE,"Graphs";#N/A,#N/A,FALSE,"4 Panel"}</definedName>
    <definedName name="nthe" localSheetId="8" hidden="1">{"Ergebnisbericht_UBA",#N/A,FALSE,"MB"}</definedName>
    <definedName name="nthe" hidden="1">{"Ergebnisbericht_UBA",#N/A,FALSE,"MB"}</definedName>
    <definedName name="nthe_1" localSheetId="8" hidden="1">{"Ergebnisbericht_UBA",#N/A,FALSE,"MB"}</definedName>
    <definedName name="nthe_1" hidden="1">{"Ergebnisbericht_UBA",#N/A,FALSE,"MB"}</definedName>
    <definedName name="ntrntrnt" localSheetId="8" hidden="1">{#N/A,#N/A,FALSE,"Assessment";#N/A,#N/A,FALSE,"Staffing";#N/A,#N/A,FALSE,"Hires";#N/A,#N/A,FALSE,"Assumptions"}</definedName>
    <definedName name="ntrntrnt" hidden="1">{#N/A,#N/A,FALSE,"Assessment";#N/A,#N/A,FALSE,"Staffing";#N/A,#N/A,FALSE,"Hires";#N/A,#N/A,FALSE,"Assumptions"}</definedName>
    <definedName name="nttrntr" localSheetId="8" hidden="1">{#N/A,#N/A,FALSE,"Assessment";#N/A,#N/A,FALSE,"Staffing";#N/A,#N/A,FALSE,"Hires";#N/A,#N/A,FALSE,"Assumptions"}</definedName>
    <definedName name="nttrntr" hidden="1">{#N/A,#N/A,FALSE,"Assessment";#N/A,#N/A,FALSE,"Staffing";#N/A,#N/A,FALSE,"Hires";#N/A,#N/A,FALSE,"Assumptions"}</definedName>
    <definedName name="nu" hidden="1">{#N/A,#N/A,FALSE,"VENTAS";#N/A,#N/A,FALSE,"U. BRUTA";#N/A,#N/A,FALSE,"G. PERSONAL";#N/A,#N/A,FALSE,"G. OPERACION";#N/A,#N/A,FALSE,"G. DEPYAM";#N/A,#N/A,FALSE,"INGRESOS";#N/A,#N/A,FALSE,"G.o P.1";#N/A,#N/A,FALSE,"3%Informe Junta";#N/A,#N/A,FALSE,"P Y G (2)";#N/A,#N/A,FALSE,"CART. PROV.";#N/A,#N/A,FALSE,"Usecmes";#N/A,#N/A,FALSE,"Usecacu"}</definedName>
    <definedName name="NUEVA" localSheetId="7" hidden="1">{"Bce Laf",#N/A,FALSE,"LAF";"CashFlow Laf",#N/A,FALSE,"LAF";"Bce Oleomed",#N/A,FALSE,"Oleomed";"Bce Dreiman",#N/A,FALSE,"Dreiman";"CashFlow oleomed",#N/A,FALSE,"Oleomed";"cashflow Dreiman",#N/A,FALSE,"Dreiman";"Bce Farmygel",#N/A,FALSE,"Farmygel";"Cashflow Farmygel",#N/A,FALSE,"Farmygel";"Cashflow Grupo",#N/A,FALSE,"Grupo";"Cash Flow Grupo",#N/A,FALSE,"GRUPO BCE ";"Bce Laf",#N/A,FALSE,"GRUPO BCE ";"Todas las Compañías",#N/A,FALSE,"Gráficos"}</definedName>
    <definedName name="NUEVA" localSheetId="8" hidden="1">{"Bce Laf",#N/A,FALSE,"LAF";"CashFlow Laf",#N/A,FALSE,"LAF";"Bce Oleomed",#N/A,FALSE,"Oleomed";"Bce Dreiman",#N/A,FALSE,"Dreiman";"CashFlow oleomed",#N/A,FALSE,"Oleomed";"cashflow Dreiman",#N/A,FALSE,"Dreiman";"Bce Farmygel",#N/A,FALSE,"Farmygel";"Cashflow Farmygel",#N/A,FALSE,"Farmygel";"Cashflow Grupo",#N/A,FALSE,"Grupo";"Cash Flow Grupo",#N/A,FALSE,"GRUPO BCE ";"Bce Laf",#N/A,FALSE,"GRUPO BCE ";"Todas las Compañías",#N/A,FALSE,"Gráficos"}</definedName>
    <definedName name="NUEVA" hidden="1">{"Bce Laf",#N/A,FALSE,"LAF";"CashFlow Laf",#N/A,FALSE,"LAF";"Bce Oleomed",#N/A,FALSE,"Oleomed";"Bce Dreiman",#N/A,FALSE,"Dreiman";"CashFlow oleomed",#N/A,FALSE,"Oleomed";"cashflow Dreiman",#N/A,FALSE,"Dreiman";"Bce Farmygel",#N/A,FALSE,"Farmygel";"Cashflow Farmygel",#N/A,FALSE,"Farmygel";"Cashflow Grupo",#N/A,FALSE,"Grupo";"Cash Flow Grupo",#N/A,FALSE,"GRUPO BCE ";"Bce Laf",#N/A,FALSE,"GRUPO BCE ";"Todas las Compañías",#N/A,FALSE,"Gráficos"}</definedName>
    <definedName name="NUEVA_1" localSheetId="8" hidden="1">{"Bce Laf",#N/A,FALSE,"LAF";"CashFlow Laf",#N/A,FALSE,"LAF";"Bce Oleomed",#N/A,FALSE,"Oleomed";"Bce Dreiman",#N/A,FALSE,"Dreiman";"CashFlow oleomed",#N/A,FALSE,"Oleomed";"cashflow Dreiman",#N/A,FALSE,"Dreiman";"Bce Farmygel",#N/A,FALSE,"Farmygel";"Cashflow Farmygel",#N/A,FALSE,"Farmygel";"Cashflow Grupo",#N/A,FALSE,"Grupo";"Cash Flow Grupo",#N/A,FALSE,"GRUPO BCE ";"Bce Laf",#N/A,FALSE,"GRUPO BCE ";"Todas las Compañías",#N/A,FALSE,"Gráficos"}</definedName>
    <definedName name="NUEVA_1" hidden="1">{"Bce Laf",#N/A,FALSE,"LAF";"CashFlow Laf",#N/A,FALSE,"LAF";"Bce Oleomed",#N/A,FALSE,"Oleomed";"Bce Dreiman",#N/A,FALSE,"Dreiman";"CashFlow oleomed",#N/A,FALSE,"Oleomed";"cashflow Dreiman",#N/A,FALSE,"Dreiman";"Bce Farmygel",#N/A,FALSE,"Farmygel";"Cashflow Farmygel",#N/A,FALSE,"Farmygel";"Cashflow Grupo",#N/A,FALSE,"Grupo";"Cash Flow Grupo",#N/A,FALSE,"GRUPO BCE ";"Bce Laf",#N/A,FALSE,"GRUPO BCE ";"Todas las Compañías",#N/A,FALSE,"Gráficos"}</definedName>
    <definedName name="NUEVO" localSheetId="8" hidden="1">{#N/A,#N/A,FALSE,"Aging Summary";#N/A,#N/A,FALSE,"Ratio Analysis";#N/A,#N/A,FALSE,"Test 120 Day Accts";#N/A,#N/A,FALSE,"Tickmarks"}</definedName>
    <definedName name="NUEVO" hidden="1">{#N/A,#N/A,FALSE,"Aging Summary";#N/A,#N/A,FALSE,"Ratio Analysis";#N/A,#N/A,FALSE,"Test 120 Day Accts";#N/A,#N/A,FALSE,"Tickmarks"}</definedName>
    <definedName name="NUEVO_1" localSheetId="8" hidden="1">{#N/A,#N/A,FALSE,"Aging Summary";#N/A,#N/A,FALSE,"Ratio Analysis";#N/A,#N/A,FALSE,"Test 120 Day Accts";#N/A,#N/A,FALSE,"Tickmarks"}</definedName>
    <definedName name="NUEVO_1" hidden="1">{#N/A,#N/A,FALSE,"Aging Summary";#N/A,#N/A,FALSE,"Ratio Analysis";#N/A,#N/A,FALSE,"Test 120 Day Accts";#N/A,#N/A,FALSE,"Tickmarks"}</definedName>
    <definedName name="nuevo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nuijh467" localSheetId="8" hidden="1">{"detail",#N/A,FALSE,"mfg";"summary",#N/A,FALSE,"mfg"}</definedName>
    <definedName name="nuijh467" hidden="1">{"detail",#N/A,FALSE,"mfg";"summary",#N/A,FALSE,"mfg"}</definedName>
    <definedName name="NUMBERFACTOR" hidden="1">1</definedName>
    <definedName name="NumofGrpAccts" hidden="1">2</definedName>
    <definedName name="nuovo" localSheetId="8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nuovo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nuovo_1" localSheetId="8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nuovo_1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nutynu" hidden="1">#REF!</definedName>
    <definedName name="nvjcwkmlmññ" hidden="1">#REF!</definedName>
    <definedName name="nvjreknefwjk" hidden="1">#REF!</definedName>
    <definedName name="nvnvnvnv" localSheetId="8" hidden="1">{#N/A,#N/A,FALSE,"Aging Summary";#N/A,#N/A,FALSE,"Ratio Analysis";#N/A,#N/A,FALSE,"Test 120 Day Accts";#N/A,#N/A,FALSE,"Tickmarks"}</definedName>
    <definedName name="nvnvnvnv" hidden="1">{#N/A,#N/A,FALSE,"Aging Summary";#N/A,#N/A,FALSE,"Ratio Analysis";#N/A,#N/A,FALSE,"Test 120 Day Accts";#N/A,#N/A,FALSE,"Tickmarks"}</definedName>
    <definedName name="NVVN" localSheetId="8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NVVN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NY" localSheetId="8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NY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ñlk" localSheetId="8" hidden="1">{#N/A,#N/A,FALSE,"MF_OPO_MO";#N/A,#N/A,FALSE,"GEx_GPer_GGen";#N/A,#N/A,FALSE,"Amort_MEx_Saneam";#N/A,#N/A,FALSE,"Saneam.Val_RAI_Gtos.ExP.-MO"}</definedName>
    <definedName name="ñlk" hidden="1">{#N/A,#N/A,FALSE,"MF_OPO_MO";#N/A,#N/A,FALSE,"GEx_GPer_GGen";#N/A,#N/A,FALSE,"Amort_MEx_Saneam";#N/A,#N/A,FALSE,"Saneam.Val_RAI_Gtos.ExP.-MO"}</definedName>
    <definedName name="ñlkj" localSheetId="8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ñlkj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ñlñl" localSheetId="8" hidden="1">{"pro_view",#N/A,FALSE,"EEFSNAP2";"rep_view",#N/A,FALSE,"EEFSNAP2"}</definedName>
    <definedName name="ñlñl" hidden="1">{"pro_view",#N/A,FALSE,"EEFSNAP2";"rep_view",#N/A,FALSE,"EEFSNAP2"}</definedName>
    <definedName name="ññññ" localSheetId="8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ññññ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ññññññ" localSheetId="8" hidden="1">#REF!</definedName>
    <definedName name="ññññññ" hidden="1">#REF!</definedName>
    <definedName name="ñp" localSheetId="8" hidden="1">{#N/A,"PURCHM",FALSE,"Business Analysis";#N/A,"SPADD",FALSE,"Business Analysis"}</definedName>
    <definedName name="ñp" hidden="1">{#N/A,"PURCHM",FALSE,"Business Analysis";#N/A,"SPADD",FALSE,"Business Analysis"}</definedName>
    <definedName name="o" localSheetId="7" hidden="1">{TRUE,TRUE,-1.25,-15.5,604.5,369.75,FALSE,TRUE,TRUE,FALSE,1,1,3,13,22,2,1,4,TRUE,TRUE,3,TRUE,1,TRUE,100,"Swvu.Presentation.","ACwvu.Presentation.",1,FALSE,FALSE,0,0,2,0.8,2,"&amp;C&amp;""Helvetica""&amp;18&amp;BDELL COMPUTER CORPORATION
ACCRUED WARRANTY SUMMARY&amp;""MS Sans Serif""&amp;10&amp;B
&amp;""Helvetica""&amp;14&amp;BACCOUNTS 23490-739/999","",TRUE,FALSE,FALSE,FALSE,1,125,#N/A,#N/A,"=R13C1:R42C42",FALSE,"Rwvu.Presentation.","Cwvu.Presentation.",FALSE,FALSE}</definedName>
    <definedName name="o" localSheetId="8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o" hidden="1">{"detail",#N/A,FALSE,"mfg";"summary",#N/A,FALSE,"mfg"}</definedName>
    <definedName name="ö" localSheetId="8" hidden="1">{"Eilbericht_UBA",#N/A,FALSE,"EB"}</definedName>
    <definedName name="ö" hidden="1">{"Eilbericht_UBA",#N/A,FALSE,"EB"}</definedName>
    <definedName name="o_1" localSheetId="8" hidden="1">{#N/A,#N/A,FALSE,"MERCHANT GAS MARGIN";#N/A,#N/A,FALSE,"BULK";#N/A,#N/A,FALSE,"BULK CO2";#N/A,#N/A,FALSE,"ON-SITE";#N/A,#N/A,FALSE,"CYLINDERS"}</definedName>
    <definedName name="o_1" hidden="1">{#N/A,#N/A,FALSE,"MERCHANT GAS MARGIN";#N/A,#N/A,FALSE,"BULK";#N/A,#N/A,FALSE,"BULK CO2";#N/A,#N/A,FALSE,"ON-SITE";#N/A,#N/A,FALSE,"CYLINDERS"}</definedName>
    <definedName name="ö_1" localSheetId="8" hidden="1">{"Eilbericht_UBA",#N/A,FALSE,"EB"}</definedName>
    <definedName name="ö_1" hidden="1">{"Eilbericht_UBA",#N/A,FALSE,"EB"}</definedName>
    <definedName name="Obdin" localSheetId="8" hidden="1">{"'SIVA Pricing Model'!$A$1:$F$39"}</definedName>
    <definedName name="Obdin" hidden="1">{"'SIVA Pricing Model'!$A$1:$F$39"}</definedName>
    <definedName name="Obdin1" localSheetId="8" hidden="1">{"'SIVA Pricing Model'!$A$1:$F$39"}</definedName>
    <definedName name="Obdin1" hidden="1">{"'SIVA Pricing Model'!$A$1:$F$39"}</definedName>
    <definedName name="OBS_Data_Col" hidden="1">#REF!</definedName>
    <definedName name="oc" localSheetId="8" hidden="1">{#N/A,#N/A,TRUE,"Header";#N/A,#N/A,TRUE,"Total";#N/A,#N/A,TRUE,"Core";#N/A,#N/A,TRUE,"New";#N/A,#N/A,TRUE,"Core Units Rev";#N/A,#N/A,TRUE,"Core Units GM";#N/A,#N/A,TRUE,"Core Units GM%";#N/A,#N/A,TRUE,"Core Units SGA";#N/A,#N/A,TRUE,"Core Units EBIT";#N/A,#N/A,TRUE,"New Units Rev";#N/A,#N/A,TRUE,"New Units GM";#N/A,#N/A,TRUE,"New Units GM%";#N/A,#N/A,TRUE,"New Units SGA";#N/A,#N/A,TRUE,"New Units EBIT";#N/A,#N/A,TRUE,"Summary";#N/A,#N/A,TRUE,"Summary (2)";#N/A,#N/A,TRUE,"Var to last mth";#N/A,#N/A,TRUE,"Revenue";#N/A,#N/A,TRUE,"COS";#N/A,#N/A,TRUE,"Gross Margin";#N/A,#N/A,TRUE,"SG&amp;A";#N/A,#N/A,TRUE,"EBITDA";#N/A,#N/A,TRUE,"Depn&amp;Amort";#N/A,#N/A,TRUE,"EBIT";#N/A,#N/A,TRUE,"Contingency"}</definedName>
    <definedName name="oc" hidden="1">{#N/A,#N/A,TRUE,"Header";#N/A,#N/A,TRUE,"Total";#N/A,#N/A,TRUE,"Core";#N/A,#N/A,TRUE,"New";#N/A,#N/A,TRUE,"Core Units Rev";#N/A,#N/A,TRUE,"Core Units GM";#N/A,#N/A,TRUE,"Core Units GM%";#N/A,#N/A,TRUE,"Core Units SGA";#N/A,#N/A,TRUE,"Core Units EBIT";#N/A,#N/A,TRUE,"New Units Rev";#N/A,#N/A,TRUE,"New Units GM";#N/A,#N/A,TRUE,"New Units GM%";#N/A,#N/A,TRUE,"New Units SGA";#N/A,#N/A,TRUE,"New Units EBIT";#N/A,#N/A,TRUE,"Summary";#N/A,#N/A,TRUE,"Summary (2)";#N/A,#N/A,TRUE,"Var to last mth";#N/A,#N/A,TRUE,"Revenue";#N/A,#N/A,TRUE,"COS";#N/A,#N/A,TRUE,"Gross Margin";#N/A,#N/A,TRUE,"SG&amp;A";#N/A,#N/A,TRUE,"EBITDA";#N/A,#N/A,TRUE,"Depn&amp;Amort";#N/A,#N/A,TRUE,"EBIT";#N/A,#N/A,TRUE,"Contingency"}</definedName>
    <definedName name="oeahrvb" localSheetId="8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oeahrv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oehg" localSheetId="8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oeh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oeiurg" localSheetId="8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oeiur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oerv" localSheetId="8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oerv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oiehgrcue" localSheetId="8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oiehgrcue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oieqwurbg" localSheetId="8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oieqwurb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oifd" localSheetId="8" hidden="1">{"detail",#N/A,FALSE,"mfg";"summary",#N/A,FALSE,"mfg"}</definedName>
    <definedName name="oifd" hidden="1">{"detail",#N/A,FALSE,"mfg";"summary",#N/A,FALSE,"mfg"}</definedName>
    <definedName name="oiirx" localSheetId="8" hidden="1">{"net assets",#N/A,FALSE,"summary";"asset turnover",#N/A,FALSE,"summary";"orona",#N/A,FALSE,"summary"}</definedName>
    <definedName name="oiirx" hidden="1">{"net assets",#N/A,FALSE,"summary";"asset turnover",#N/A,FALSE,"summary";"orona",#N/A,FALSE,"summary"}</definedName>
    <definedName name="OIIUSDF" localSheetId="8" hidden="1">{#N/A,#N/A,FALSE,"Min compar us";#N/A,#N/A,FALSE,"Min US Equité ";#N/A,#N/A,FALSE,"Analyse U.S."}</definedName>
    <definedName name="OIIUSDF" hidden="1">{#N/A,#N/A,FALSE,"Min compar us";#N/A,#N/A,FALSE,"Min US Equité ";#N/A,#N/A,FALSE,"Analyse U.S."}</definedName>
    <definedName name="oimn" localSheetId="8" hidden="1">{"QTD_PRS",#N/A,FALSE,"QTD"}</definedName>
    <definedName name="oimn" hidden="1">{"QTD_PRS",#N/A,FALSE,"QTD"}</definedName>
    <definedName name="oink" localSheetId="8" hidden="1">{"TOTAL",#N/A,FALSE,"A";"FISCAL94",#N/A,FALSE,"A";"FISCAL95",#N/A,FALSE,"A";"FISCAL96",#N/A,FALSE,"A";"misc page",#N/A,FALSE,"A"}</definedName>
    <definedName name="oink" hidden="1">{"TOTAL",#N/A,FALSE,"A";"FISCAL94",#N/A,FALSE,"A";"FISCAL95",#N/A,FALSE,"A";"FISCAL96",#N/A,FALSE,"A";"misc page",#N/A,FALSE,"A"}</definedName>
    <definedName name="oins" localSheetId="8" hidden="1">{"detail",#N/A,FALSE,"mfg";"summary",#N/A,FALSE,"mfg"}</definedName>
    <definedName name="oins" hidden="1">{"detail",#N/A,FALSE,"mfg";"summary",#N/A,FALSE,"mfg"}</definedName>
    <definedName name="oioioioioioi" localSheetId="8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oioioioioioi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oipoh" localSheetId="8" hidden="1">{#N/A,#N/A,FALSE,"F94is";#N/A,#N/A,FALSE,"T94is";#N/A,#N/A,FALSE,"TOT94is";#N/A,#N/A,FALSE,"f94oh";#N/A,#N/A,FALSE,"Toh94";#N/A,#N/A,FALSE,"TOT94oh";#N/A,#N/A,FALSE,"SGA94";#N/A,#N/A,FALSE,"bs94";#N/A,#N/A,FALSE,"debt";#N/A,#N/A,FALSE,"f94proj";#N/A,#N/A,FALSE,"t94proj";#N/A,#N/A,FALSE,"tot94proj";#N/A,#N/A,FALSE,"f94ohproj";#N/A,#N/A,FALSE,"t94ohproj";#N/A,#N/A,FALSE,"tot94ohproj";#N/A,#N/A,FALSE,"projsga";#N/A,#N/A,FALSE,"projcf";#N/A,#N/A,FALSE,"Projline";#N/A,#N/A,FALSE,"bankline";#N/A,#N/A,FALSE,"Fast95is";#N/A,#N/A,FALSE,"tool95is";#N/A,#N/A,FALSE,"tot95is";#N/A,#N/A,FALSE,"tool950h";#N/A,#N/A,FALSE,"fas95oh";#N/A,#N/A,FALSE,"tot95oh";#N/A,#N/A,FALSE,"95sga"}</definedName>
    <definedName name="oipoh" hidden="1">{#N/A,#N/A,FALSE,"F94is";#N/A,#N/A,FALSE,"T94is";#N/A,#N/A,FALSE,"TOT94is";#N/A,#N/A,FALSE,"f94oh";#N/A,#N/A,FALSE,"Toh94";#N/A,#N/A,FALSE,"TOT94oh";#N/A,#N/A,FALSE,"SGA94";#N/A,#N/A,FALSE,"bs94";#N/A,#N/A,FALSE,"debt";#N/A,#N/A,FALSE,"f94proj";#N/A,#N/A,FALSE,"t94proj";#N/A,#N/A,FALSE,"tot94proj";#N/A,#N/A,FALSE,"f94ohproj";#N/A,#N/A,FALSE,"t94ohproj";#N/A,#N/A,FALSE,"tot94ohproj";#N/A,#N/A,FALSE,"projsga";#N/A,#N/A,FALSE,"projcf";#N/A,#N/A,FALSE,"Projline";#N/A,#N/A,FALSE,"bankline";#N/A,#N/A,FALSE,"Fast95is";#N/A,#N/A,FALSE,"tool95is";#N/A,#N/A,FALSE,"tot95is";#N/A,#N/A,FALSE,"tool950h";#N/A,#N/A,FALSE,"fas95oh";#N/A,#N/A,FALSE,"tot95oh";#N/A,#N/A,FALSE,"95sga"}</definedName>
    <definedName name="oipoh_1" localSheetId="8" hidden="1">{#N/A,#N/A,FALSE,"F94is";#N/A,#N/A,FALSE,"T94is";#N/A,#N/A,FALSE,"TOT94is";#N/A,#N/A,FALSE,"f94oh";#N/A,#N/A,FALSE,"Toh94";#N/A,#N/A,FALSE,"TOT94oh";#N/A,#N/A,FALSE,"SGA94";#N/A,#N/A,FALSE,"bs94";#N/A,#N/A,FALSE,"debt";#N/A,#N/A,FALSE,"f94proj";#N/A,#N/A,FALSE,"t94proj";#N/A,#N/A,FALSE,"tot94proj";#N/A,#N/A,FALSE,"f94ohproj";#N/A,#N/A,FALSE,"t94ohproj";#N/A,#N/A,FALSE,"tot94ohproj";#N/A,#N/A,FALSE,"projsga";#N/A,#N/A,FALSE,"projcf";#N/A,#N/A,FALSE,"Projline";#N/A,#N/A,FALSE,"bankline";#N/A,#N/A,FALSE,"Fast95is";#N/A,#N/A,FALSE,"tool95is";#N/A,#N/A,FALSE,"tot95is";#N/A,#N/A,FALSE,"tool950h";#N/A,#N/A,FALSE,"fas95oh";#N/A,#N/A,FALSE,"tot95oh";#N/A,#N/A,FALSE,"95sga"}</definedName>
    <definedName name="oipoh_1" hidden="1">{#N/A,#N/A,FALSE,"F94is";#N/A,#N/A,FALSE,"T94is";#N/A,#N/A,FALSE,"TOT94is";#N/A,#N/A,FALSE,"f94oh";#N/A,#N/A,FALSE,"Toh94";#N/A,#N/A,FALSE,"TOT94oh";#N/A,#N/A,FALSE,"SGA94";#N/A,#N/A,FALSE,"bs94";#N/A,#N/A,FALSE,"debt";#N/A,#N/A,FALSE,"f94proj";#N/A,#N/A,FALSE,"t94proj";#N/A,#N/A,FALSE,"tot94proj";#N/A,#N/A,FALSE,"f94ohproj";#N/A,#N/A,FALSE,"t94ohproj";#N/A,#N/A,FALSE,"tot94ohproj";#N/A,#N/A,FALSE,"projsga";#N/A,#N/A,FALSE,"projcf";#N/A,#N/A,FALSE,"Projline";#N/A,#N/A,FALSE,"bankline";#N/A,#N/A,FALSE,"Fast95is";#N/A,#N/A,FALSE,"tool95is";#N/A,#N/A,FALSE,"tot95is";#N/A,#N/A,FALSE,"tool950h";#N/A,#N/A,FALSE,"fas95oh";#N/A,#N/A,FALSE,"tot95oh";#N/A,#N/A,FALSE,"95sga"}</definedName>
    <definedName name="oity" localSheetId="8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oity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oiu" localSheetId="8" hidden="1">{"AS REP",#N/A,FALSE,"EEFSNAP2";"PROP",#N/A,FALSE,"EEFSNAP2";"RISKS",#N/A,FALSE,"EEFSNAP2";"VIEW ALL",#N/A,FALSE,"EEFSNAP2"}</definedName>
    <definedName name="oiu" hidden="1">{"AS REP",#N/A,FALSE,"EEFSNAP2";"PROP",#N/A,FALSE,"EEFSNAP2";"RISKS",#N/A,FALSE,"EEFSNAP2";"VIEW ALL",#N/A,FALSE,"EEFSNAP2"}</definedName>
    <definedName name="oiùmpùm" hidden="1">#REF!</definedName>
    <definedName name="oiuoo" localSheetId="8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oiuoo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oiup" localSheetId="8" hidden="1">{#N/A,"PURCHM",FALSE,"Business Analysis";#N/A,"SPADD",FALSE,"Business Analysis"}</definedName>
    <definedName name="oiup" hidden="1">{#N/A,"PURCHM",FALSE,"Business Analysis";#N/A,"SPADD",FALSE,"Business Analysis"}</definedName>
    <definedName name="oiurhg" localSheetId="8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oiurh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oiuui" localSheetId="8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oiuui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oiuui_1" localSheetId="8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oiuui_1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oiuy" localSheetId="8" hidden="1">{"Polymers Details",#N/A,FALSE,"Current Yr";"Polymer Details",#N/A,FALSE,"Budget";"Polymer Details",#N/A,FALSE,"Prior Year"}</definedName>
    <definedName name="oiuy" hidden="1">{"Polymers Details",#N/A,FALSE,"Current Yr";"Polymer Details",#N/A,FALSE,"Budget";"Polymer Details",#N/A,FALSE,"Prior Year"}</definedName>
    <definedName name="OIUYYY" localSheetId="8" hidden="1">{#N/A,#N/A,FALSE,"Min compa cad";#N/A,#N/A,FALSE,"Min CAN Equité ";#N/A,#N/A,FALSE,"Analyse can"}</definedName>
    <definedName name="OIUYYY" hidden="1">{#N/A,#N/A,FALSE,"Min compa cad";#N/A,#N/A,FALSE,"Min CAN Equité ";#N/A,#N/A,FALSE,"Analyse can"}</definedName>
    <definedName name="oj" localSheetId="8" hidden="1">{#N/A,#N/A,FALSE,"RGD$";#N/A,#N/A,FALSE,"BG$";#N/A,#N/A,FALSE,"FC$"}</definedName>
    <definedName name="oj" hidden="1">{#N/A,#N/A,FALSE,"RGD$";#N/A,#N/A,FALSE,"BG$";#N/A,#N/A,FALSE,"FC$"}</definedName>
    <definedName name="oj_1" localSheetId="8" hidden="1">{#N/A,#N/A,FALSE,"RGD$";#N/A,#N/A,FALSE,"BG$";#N/A,#N/A,FALSE,"FC$"}</definedName>
    <definedName name="oj_1" hidden="1">{#N/A,#N/A,FALSE,"RGD$";#N/A,#N/A,FALSE,"BG$";#N/A,#N/A,FALSE,"FC$"}</definedName>
    <definedName name="OK" localSheetId="7" hidden="1">{#N/A,#N/A,FALSE,"REPORT"}</definedName>
    <definedName name="ok" localSheetId="8" hidden="1">40597.7482523148</definedName>
    <definedName name="OK" hidden="1">{#N/A,#N/A,FALSE,"REPORT"}</definedName>
    <definedName name="ok_1" localSheetId="8" hidden="1">{#N/A,#N/A,FALSE,"Calc";#N/A,#N/A,FALSE,"Sensitivity";#N/A,#N/A,FALSE,"LT Earn.Dil.";#N/A,#N/A,FALSE,"Dil. AVP"}</definedName>
    <definedName name="ok_1" hidden="1">{#N/A,#N/A,FALSE,"Calc";#N/A,#N/A,FALSE,"Sensitivity";#N/A,#N/A,FALSE,"LT Earn.Dil.";#N/A,#N/A,FALSE,"Dil. AVP"}</definedName>
    <definedName name="OKMJUH" localSheetId="8" hidden="1">{#N/A,#N/A,FALSE,"Centres";#N/A,#N/A,FALSE,"Partenariats";#N/A,#N/A,FALSE,"P.Diverses";#N/A,#N/A,FALSE,"Adm";#N/A,#N/A,FALSE,"Autres R-D";#N/A,#N/A,FALSE,"Intérêts"}</definedName>
    <definedName name="OKMJUH" hidden="1">{#N/A,#N/A,FALSE,"Centres";#N/A,#N/A,FALSE,"Partenariats";#N/A,#N/A,FALSE,"P.Diverses";#N/A,#N/A,FALSE,"Adm";#N/A,#N/A,FALSE,"Autres R-D";#N/A,#N/A,FALSE,"Intérêts"}</definedName>
    <definedName name="okokok" localSheetId="8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okokok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oku" localSheetId="8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oku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oku_1" localSheetId="8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oku_1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ol" localSheetId="8" hidden="1">{"vol data",#N/A,FALSE,"Datasheet";"vol graph",#N/A,FALSE,"Volume";"price data",#N/A,FALSE,"Datasheet";"price graph",#N/A,FALSE,"Price";"dp data",#N/A,FALSE,"Datasheet";"dp graph",#N/A,FALSE,"DirectProfit"}</definedName>
    <definedName name="ol" hidden="1">{"vol data",#N/A,FALSE,"Datasheet";"vol graph",#N/A,FALSE,"Volume";"price data",#N/A,FALSE,"Datasheet";"price graph",#N/A,FALSE,"Price";"dp data",#N/A,FALSE,"Datasheet";"dp graph",#N/A,FALSE,"DirectProfit"}</definedName>
    <definedName name="old" localSheetId="8" hidden="1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old" hidden="1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oli" localSheetId="8" hidden="1">{#N/A,#N/A,FALSE,"CA";#N/A,#N/A,FALSE,"CN";#N/A,#N/A,FALSE,"Inv";#N/A,#N/A,FALSE,"Inv Acc";"Miguel_balance",#N/A,FALSE,"Bal";#N/A,#N/A,FALSE,"Plantilla";#N/A,#N/A,FALSE,"CA (2)";#N/A,#N/A,FALSE,"CN (2)"}</definedName>
    <definedName name="oli" hidden="1">{#N/A,#N/A,FALSE,"CA";#N/A,#N/A,FALSE,"CN";#N/A,#N/A,FALSE,"Inv";#N/A,#N/A,FALSE,"Inv Acc";"Miguel_balance",#N/A,FALSE,"Bal";#N/A,#N/A,FALSE,"Plantilla";#N/A,#N/A,FALSE,"CA (2)";#N/A,#N/A,FALSE,"CN (2)"}</definedName>
    <definedName name="OLLIDA" localSheetId="8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OLLIDA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OLP" localSheetId="8" hidden="1">{#N/A,#N/A,FALSE,"Min compar us";#N/A,#N/A,FALSE,"Min US Equité ";#N/A,#N/A,FALSE,"Analyse U.S."}</definedName>
    <definedName name="OLP" hidden="1">{#N/A,#N/A,FALSE,"Min compar us";#N/A,#N/A,FALSE,"Min US Equité ";#N/A,#N/A,FALSE,"Analyse U.S."}</definedName>
    <definedName name="OLPP" localSheetId="8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OLPP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OLS" hidden="1">#REF!</definedName>
    <definedName name="om" hidden="1">#REF!</definedName>
    <definedName name="omega" localSheetId="8" hidden="1">{#N/A,#N/A,FALSE,"CHANGES";#N/A,#N/A,FALSE,"PROD SUMMARY";#N/A,#N/A,FALSE,"1995 PO SUM";#N/A,#N/A,FALSE,"1995 GEOG SUM";#N/A,#N/A,FALSE,"1996 PO SUM";#N/A,#N/A,FALSE,"1996 GEOG SUM"}</definedName>
    <definedName name="omega" hidden="1">{#N/A,#N/A,FALSE,"CHANGES";#N/A,#N/A,FALSE,"PROD SUMMARY";#N/A,#N/A,FALSE,"1995 PO SUM";#N/A,#N/A,FALSE,"1995 GEOG SUM";#N/A,#N/A,FALSE,"1996 PO SUM";#N/A,#N/A,FALSE,"1996 GEOG SUM"}</definedName>
    <definedName name="omlkjvh" hidden="1">#REF!</definedName>
    <definedName name="ommpm" hidden="1">#REF!</definedName>
    <definedName name="on" localSheetId="8" hidden="1">{"overview",#N/A,FALSE,"summary";"net assets",#N/A,FALSE,"summary";"asset turnover",#N/A,FALSE,"summary";"orona",#N/A,FALSE,"summary"}</definedName>
    <definedName name="on" hidden="1">{"overview",#N/A,FALSE,"summary";"net assets",#N/A,FALSE,"summary";"asset turnover",#N/A,FALSE,"summary";"orona",#N/A,FALSE,"summary"}</definedName>
    <definedName name="onj" localSheetId="8" hidden="1">{"Pa1",#N/A,FALSE,"OpExYTDvsPY";"Pa2",#N/A,FALSE,"OpExYTDvsPY"}</definedName>
    <definedName name="onj" hidden="1">{"Pa1",#N/A,FALSE,"OpExYTDvsPY";"Pa2",#N/A,FALSE,"OpExYTDvsPY"}</definedName>
    <definedName name="ONLYRES" hidden="1">FALSE</definedName>
    <definedName name="ONSS" localSheetId="8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ONSS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oo" localSheetId="7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oo" localSheetId="8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oo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oo.ll" localSheetId="8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oo.ll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oo_1" localSheetId="7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oo_1" localSheetId="8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oo_1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ööl" localSheetId="8" hidden="1">{#N/A,#N/A,FALSE,"KA CH  (2)"}</definedName>
    <definedName name="ööl" hidden="1">{#N/A,#N/A,FALSE,"KA CH  (2)"}</definedName>
    <definedName name="öölälkk" localSheetId="8" hidden="1">{#N/A,#N/A,FALSE,"Umsatz 99";#N/A,#N/A,FALSE,"ER 99 "}</definedName>
    <definedName name="öölälkk" hidden="1">{#N/A,#N/A,FALSE,"Umsatz 99";#N/A,#N/A,FALSE,"ER 99 "}</definedName>
    <definedName name="öölkk" localSheetId="8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öölk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oolo.lll" localSheetId="8" hidden="1">{#N/A,#N/A,FALSE,"Umsatz 99";#N/A,#N/A,FALSE,"ER 99 "}</definedName>
    <definedName name="oolo.lll" hidden="1">{#N/A,#N/A,FALSE,"Umsatz 99";#N/A,#N/A,FALSE,"ER 99 "}</definedName>
    <definedName name="ooo" localSheetId="7" hidden="1">{#N/A,#N/A,FALSE,"REPORT"}</definedName>
    <definedName name="ooo" localSheetId="8" hidden="1">{#N/A,#N/A,FALSE,"REPORT"}</definedName>
    <definedName name="ooo" hidden="1">{#N/A,#N/A,FALSE,"REPORT"}</definedName>
    <definedName name="ööö" localSheetId="8" hidden="1">{#N/A,#N/A,FALSE,"Produkte Erw.";#N/A,#N/A,FALSE,"Produkte Plan";#N/A,#N/A,FALSE,"Leistungen Erw.";#N/A,#N/A,FALSE,"Leistungen Plan";#N/A,#N/A,FALSE,"KA Allg.Kosten (2)";#N/A,#N/A,FALSE,"KA All.Kosten"}</definedName>
    <definedName name="ööö" hidden="1">{#N/A,#N/A,FALSE,"Produkte Erw.";#N/A,#N/A,FALSE,"Produkte Plan";#N/A,#N/A,FALSE,"Leistungen Erw.";#N/A,#N/A,FALSE,"Leistungen Plan";#N/A,#N/A,FALSE,"KA Allg.Kosten (2)";#N/A,#N/A,FALSE,"KA All.Kosten"}</definedName>
    <definedName name="ooo_1" localSheetId="8" hidden="1">{"COVER DPS",#N/A,TRUE,"Cover - DP&amp;S";"Fornitori e Clienti",#N/A,TRUE,"7 Fornitori e 18 Clienti";"PRODOTTI E SERVIZI",#N/A,TRUE,"PRODOTTI &amp; SERVIZI";"CONCLUSE",#N/A,TRUE,"CONCLUSE"}</definedName>
    <definedName name="ooo_1" hidden="1">{"COVER DPS",#N/A,TRUE,"Cover - DP&amp;S";"Fornitori e Clienti",#N/A,TRUE,"7 Fornitori e 18 Clienti";"PRODOTTI E SERVIZI",#N/A,TRUE,"PRODOTTI &amp; SERVIZI";"CONCLUSE",#N/A,TRUE,"CONCLUSE"}</definedName>
    <definedName name="oooo" localSheetId="7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oooo" localSheetId="8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oooo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oooo_1" localSheetId="7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oooo_1" localSheetId="8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oooo_1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ooooo" localSheetId="8" hidden="1">{#N/A,#N/A,FALSE,"Calc";#N/A,#N/A,FALSE,"Sensitivity";#N/A,#N/A,FALSE,"LT Earn.Dil.";#N/A,#N/A,FALSE,"Dil. AVP"}</definedName>
    <definedName name="ooooo" hidden="1">{#N/A,#N/A,FALSE,"Calc";#N/A,#N/A,FALSE,"Sensitivity";#N/A,#N/A,FALSE,"LT Earn.Dil.";#N/A,#N/A,FALSE,"Dil. AVP"}</definedName>
    <definedName name="ooooo_1" localSheetId="8" hidden="1">{#N/A,#N/A,FALSE,"Calc";#N/A,#N/A,FALSE,"Sensitivity";#N/A,#N/A,FALSE,"LT Earn.Dil.";#N/A,#N/A,FALSE,"Dil. AVP"}</definedName>
    <definedName name="ooooo_1" hidden="1">{#N/A,#N/A,FALSE,"Calc";#N/A,#N/A,FALSE,"Sensitivity";#N/A,#N/A,FALSE,"LT Earn.Dil.";#N/A,#N/A,FALSE,"Dil. AVP"}</definedName>
    <definedName name="oooooo" localSheetId="8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oooooo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oooooooo" localSheetId="8" hidden="1">{#N/A,#N/A,FALSE,"Umsatz 99";#N/A,#N/A,FALSE,"ER 99 "}</definedName>
    <definedName name="oooooooo" hidden="1">{#N/A,#N/A,FALSE,"Umsatz 99";#N/A,#N/A,FALSE,"ER 99 "}</definedName>
    <definedName name="oooooooooooo" localSheetId="7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oooooooooooo" localSheetId="8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oooooooooooo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oooooooooooo_1" localSheetId="7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oooooooooooo_1" localSheetId="8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oooooooooooo_1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OP" localSheetId="8" hidden="1">{#N/A,#N/A,FALSE,"Operations";#N/A,#N/A,FALSE,"Financials"}</definedName>
    <definedName name="OP" hidden="1">{#N/A,#N/A,FALSE,"Operations";#N/A,#N/A,FALSE,"Financials"}</definedName>
    <definedName name="OP_1" localSheetId="8" hidden="1">{#N/A,#N/A,FALSE,"Operations";#N/A,#N/A,FALSE,"Financials"}</definedName>
    <definedName name="OP_1" hidden="1">{#N/A,#N/A,FALSE,"Operations";#N/A,#N/A,FALSE,"Financials"}</definedName>
    <definedName name="opendbs" localSheetId="7" hidden="1">{"fis.dbo.r1_datasum"}</definedName>
    <definedName name="opendbs" localSheetId="8" hidden="1">{"fis.dbo.r1_datasum"}</definedName>
    <definedName name="opendbs" hidden="1">{"fis.dbo.r1_datasum"}</definedName>
    <definedName name="opendbs_1" localSheetId="8" hidden="1">{"fis.dbo.r1_datasum"}</definedName>
    <definedName name="opendbs_1" hidden="1">{"fis.dbo.r1_datasum"}</definedName>
    <definedName name="opendbs1" localSheetId="7" hidden="1">{"fis.dbo.r1_datasum"}</definedName>
    <definedName name="opendbs1" localSheetId="8" hidden="1">{"fis.dbo.r1_datasum"}</definedName>
    <definedName name="opendbs1" hidden="1">{"fis.dbo.r1_datasum"}</definedName>
    <definedName name="opendbs1_1" localSheetId="8" hidden="1">{"fis.dbo.r1_datasum"}</definedName>
    <definedName name="opendbs1_1" hidden="1">{"fis.dbo.r1_datasum"}</definedName>
    <definedName name="Openingpb" hidden="1">#REF!</definedName>
    <definedName name="operaciones2003" localSheetId="7" hidden="1">{"Bce Laf",#N/A,FALSE,"LAF";"CashFlow Laf",#N/A,FALSE,"LAF";"Bce Oleomed",#N/A,FALSE,"Oleomed";"Bce Dreiman",#N/A,FALSE,"Dreiman";"CashFlow oleomed",#N/A,FALSE,"Oleomed";"cashflow Dreiman",#N/A,FALSE,"Dreiman";"Bce Farmygel",#N/A,FALSE,"Farmygel";"Cashflow Farmygel",#N/A,FALSE,"Farmygel";"Cashflow Grupo",#N/A,FALSE,"Grupo";"Cash Flow Grupo",#N/A,FALSE,"GRUPO BCE ";"Bce Laf",#N/A,FALSE,"GRUPO BCE ";"Todas las Compañías",#N/A,FALSE,"Gráficos"}</definedName>
    <definedName name="operaciones2003" localSheetId="8" hidden="1">{"Bce Laf",#N/A,FALSE,"LAF";"CashFlow Laf",#N/A,FALSE,"LAF";"Bce Oleomed",#N/A,FALSE,"Oleomed";"Bce Dreiman",#N/A,FALSE,"Dreiman";"CashFlow oleomed",#N/A,FALSE,"Oleomed";"cashflow Dreiman",#N/A,FALSE,"Dreiman";"Bce Farmygel",#N/A,FALSE,"Farmygel";"Cashflow Farmygel",#N/A,FALSE,"Farmygel";"Cashflow Grupo",#N/A,FALSE,"Grupo";"Cash Flow Grupo",#N/A,FALSE,"GRUPO BCE ";"Bce Laf",#N/A,FALSE,"GRUPO BCE ";"Todas las Compañías",#N/A,FALSE,"Gráficos"}</definedName>
    <definedName name="operaciones2003" hidden="1">{"Bce Laf",#N/A,FALSE,"LAF";"CashFlow Laf",#N/A,FALSE,"LAF";"Bce Oleomed",#N/A,FALSE,"Oleomed";"Bce Dreiman",#N/A,FALSE,"Dreiman";"CashFlow oleomed",#N/A,FALSE,"Oleomed";"cashflow Dreiman",#N/A,FALSE,"Dreiman";"Bce Farmygel",#N/A,FALSE,"Farmygel";"Cashflow Farmygel",#N/A,FALSE,"Farmygel";"Cashflow Grupo",#N/A,FALSE,"Grupo";"Cash Flow Grupo",#N/A,FALSE,"GRUPO BCE ";"Bce Laf",#N/A,FALSE,"GRUPO BCE ";"Todas las Compañías",#N/A,FALSE,"Gráficos"}</definedName>
    <definedName name="operaciones2003_1" localSheetId="8" hidden="1">{"Bce Laf",#N/A,FALSE,"LAF";"CashFlow Laf",#N/A,FALSE,"LAF";"Bce Oleomed",#N/A,FALSE,"Oleomed";"Bce Dreiman",#N/A,FALSE,"Dreiman";"CashFlow oleomed",#N/A,FALSE,"Oleomed";"cashflow Dreiman",#N/A,FALSE,"Dreiman";"Bce Farmygel",#N/A,FALSE,"Farmygel";"Cashflow Farmygel",#N/A,FALSE,"Farmygel";"Cashflow Grupo",#N/A,FALSE,"Grupo";"Cash Flow Grupo",#N/A,FALSE,"GRUPO BCE ";"Bce Laf",#N/A,FALSE,"GRUPO BCE ";"Todas las Compañías",#N/A,FALSE,"Gráficos"}</definedName>
    <definedName name="operaciones2003_1" hidden="1">{"Bce Laf",#N/A,FALSE,"LAF";"CashFlow Laf",#N/A,FALSE,"LAF";"Bce Oleomed",#N/A,FALSE,"Oleomed";"Bce Dreiman",#N/A,FALSE,"Dreiman";"CashFlow oleomed",#N/A,FALSE,"Oleomed";"cashflow Dreiman",#N/A,FALSE,"Dreiman";"Bce Farmygel",#N/A,FALSE,"Farmygel";"Cashflow Farmygel",#N/A,FALSE,"Farmygel";"Cashflow Grupo",#N/A,FALSE,"Grupo";"Cash Flow Grupo",#N/A,FALSE,"GRUPO BCE ";"Bce Laf",#N/A,FALSE,"GRUPO BCE ";"Todas las Compañías",#N/A,FALSE,"Gráficos"}</definedName>
    <definedName name="opiu" localSheetId="8" hidden="1">{"Comp_of_Price_Effect",#N/A,FALSE,"QTRDPVAR"}</definedName>
    <definedName name="opiu" hidden="1">{"Comp_of_Price_Effect",#N/A,FALSE,"QTRDPVAR"}</definedName>
    <definedName name="oplk" localSheetId="8" hidden="1">{"Page1",#N/A,FALSE,"OpExJanvsBud";"Page2",#N/A,FALSE,"OpExJanvsBud"}</definedName>
    <definedName name="oplk" hidden="1">{"Page1",#N/A,FALSE,"OpExJanvsBud";"Page2",#N/A,FALSE,"OpExJanvsBud"}</definedName>
    <definedName name="opndixm" localSheetId="8" hidden="1">{"detail",#N/A,FALSE,"mfg";"summary",#N/A,FALSE,"mfg"}</definedName>
    <definedName name="opndixm" hidden="1">{"detail",#N/A,FALSE,"mfg";"summary",#N/A,FALSE,"mfg"}</definedName>
    <definedName name="opp" localSheetId="8" hidden="1">{#N/A,#N/A,FALSE,"Appendicesfinvoorblad";#N/A,#N/A,FALSE,"appendix a";#N/A,#N/A,FALSE,"appendix b";#N/A,#N/A,FALSE,"appendix c";#N/A,#N/A,FALSE,"appendix d";#N/A,#N/A,FALSE,"appendix e";#N/A,#N/A,FALSE,"appendix f";#N/A,#N/A,FALSE,"appendix g";#N/A,#N/A,FALSE,"appendix g2";#N/A,#N/A,FALSE,"appendix h";#N/A,#N/A,FALSE,"appendix i";#N/A,#N/A,FALSE,"appendix i-2";#N/A,#N/A,FALSE,"appendix j";#N/A,#N/A,FALSE,"appendicesprocesses";#N/A,#N/A,FALSE,"appendix k";#N/A,#N/A,FALSE,"appendix l"}</definedName>
    <definedName name="opp" hidden="1">{#N/A,#N/A,FALSE,"Appendicesfinvoorblad";#N/A,#N/A,FALSE,"appendix a";#N/A,#N/A,FALSE,"appendix b";#N/A,#N/A,FALSE,"appendix c";#N/A,#N/A,FALSE,"appendix d";#N/A,#N/A,FALSE,"appendix e";#N/A,#N/A,FALSE,"appendix f";#N/A,#N/A,FALSE,"appendix g";#N/A,#N/A,FALSE,"appendix g2";#N/A,#N/A,FALSE,"appendix h";#N/A,#N/A,FALSE,"appendix i";#N/A,#N/A,FALSE,"appendix i-2";#N/A,#N/A,FALSE,"appendix j";#N/A,#N/A,FALSE,"appendicesprocesses";#N/A,#N/A,FALSE,"appendix k";#N/A,#N/A,FALSE,"appendix l"}</definedName>
    <definedName name="order" hidden="1">#N/A</definedName>
    <definedName name="OrderTable" hidden="1">#REF!</definedName>
    <definedName name="Ordinato" localSheetId="8" hidden="1">{#N/A,#N/A,FALSE,"debt";#N/A,#N/A,FALSE,"apsort";#N/A,#N/A,FALSE,"AR"}</definedName>
    <definedName name="Ordinato" hidden="1">{#N/A,#N/A,FALSE,"debt";#N/A,#N/A,FALSE,"apsort";#N/A,#N/A,FALSE,"AR"}</definedName>
    <definedName name="Ordinato_1" localSheetId="8" hidden="1">{#N/A,#N/A,FALSE,"debt";#N/A,#N/A,FALSE,"apsort";#N/A,#N/A,FALSE,"AR"}</definedName>
    <definedName name="Ordinato_1" hidden="1">{#N/A,#N/A,FALSE,"debt";#N/A,#N/A,FALSE,"apsort";#N/A,#N/A,FALSE,"AR"}</definedName>
    <definedName name="osahfdoidhf" localSheetId="7" hidden="1">{#N/A,#N/A,FALSE,"CA";#N/A,#N/A,FALSE,"CN";#N/A,#N/A,FALSE,"Inv";#N/A,#N/A,FALSE,"Inv Acc";"Miguel_balance",#N/A,FALSE,"Bal";#N/A,#N/A,FALSE,"Plantilla";#N/A,#N/A,FALSE,"CA (2)";#N/A,#N/A,FALSE,"CN (2)"}</definedName>
    <definedName name="osahfdoidhf" localSheetId="8" hidden="1">{#N/A,#N/A,FALSE,"CA";#N/A,#N/A,FALSE,"CN";#N/A,#N/A,FALSE,"Inv";#N/A,#N/A,FALSE,"Inv Acc";"Miguel_balance",#N/A,FALSE,"Bal";#N/A,#N/A,FALSE,"Plantilla";#N/A,#N/A,FALSE,"CA (2)";#N/A,#N/A,FALSE,"CN (2)"}</definedName>
    <definedName name="osahfdoidhf" hidden="1">{#N/A,#N/A,FALSE,"CA";#N/A,#N/A,FALSE,"CN";#N/A,#N/A,FALSE,"Inv";#N/A,#N/A,FALSE,"Inv Acc";"Miguel_balance",#N/A,FALSE,"Bal";#N/A,#N/A,FALSE,"Plantilla";#N/A,#N/A,FALSE,"CA (2)";#N/A,#N/A,FALSE,"CN (2)"}</definedName>
    <definedName name="osahfdoidhf_1" localSheetId="8" hidden="1">{#N/A,#N/A,FALSE,"CA";#N/A,#N/A,FALSE,"CN";#N/A,#N/A,FALSE,"Inv";#N/A,#N/A,FALSE,"Inv Acc";"Miguel_balance",#N/A,FALSE,"Bal";#N/A,#N/A,FALSE,"Plantilla";#N/A,#N/A,FALSE,"CA (2)";#N/A,#N/A,FALSE,"CN (2)"}</definedName>
    <definedName name="osahfdoidhf_1" hidden="1">{#N/A,#N/A,FALSE,"CA";#N/A,#N/A,FALSE,"CN";#N/A,#N/A,FALSE,"Inv";#N/A,#N/A,FALSE,"Inv Acc";"Miguel_balance",#N/A,FALSE,"Bal";#N/A,#N/A,FALSE,"Plantilla";#N/A,#N/A,FALSE,"CA (2)";#N/A,#N/A,FALSE,"CN (2)"}</definedName>
    <definedName name="ot" hidden="1">#REF!</definedName>
    <definedName name="other33" localSheetId="7" hidden="1">{#N/A,#N/A,FALSE,"Pharm";#N/A,#N/A,FALSE,"WWCM"}</definedName>
    <definedName name="other33" localSheetId="8" hidden="1">{#N/A,#N/A,FALSE,"Pharm";#N/A,#N/A,FALSE,"WWCM"}</definedName>
    <definedName name="other33" hidden="1">{#N/A,#N/A,FALSE,"Pharm";#N/A,#N/A,FALSE,"WWCM"}</definedName>
    <definedName name="OTHERCOSTS" hidden="1">#REF!</definedName>
    <definedName name="othermar" localSheetId="7" hidden="1">{#N/A,#N/A,FALSE,"Pharm";#N/A,#N/A,FALSE,"WWCM"}</definedName>
    <definedName name="othermar" localSheetId="8" hidden="1">{#N/A,#N/A,FALSE,"Pharm";#N/A,#N/A,FALSE,"WWCM"}</definedName>
    <definedName name="othermar" hidden="1">{#N/A,#N/A,FALSE,"Pharm";#N/A,#N/A,FALSE,"WWCM"}</definedName>
    <definedName name="OthProServ" hidden="1">{"'FLUOXETINE'!$A$1:$I$24"}</definedName>
    <definedName name="oto" hidden="1">#REF!</definedName>
    <definedName name="OTRA" localSheetId="7" hidden="1">{"Bce Laf",#N/A,FALSE,"LAF";"CashFlow Laf",#N/A,FALSE,"LAF";"Bce Oleomed",#N/A,FALSE,"Oleomed";"Bce Dreiman",#N/A,FALSE,"Dreiman";"CashFlow oleomed",#N/A,FALSE,"Oleomed";"cashflow Dreiman",#N/A,FALSE,"Dreiman";"Bce Farmygel",#N/A,FALSE,"Farmygel";"Cashflow Farmygel",#N/A,FALSE,"Farmygel";"Cashflow Grupo",#N/A,FALSE,"Grupo";"Cash Flow Grupo",#N/A,FALSE,"GRUPO BCE ";"Bce Laf",#N/A,FALSE,"GRUPO BCE ";"Todas las Compañías",#N/A,FALSE,"Gráficos"}</definedName>
    <definedName name="OTRA" localSheetId="8" hidden="1">{"Bce Laf",#N/A,FALSE,"LAF";"CashFlow Laf",#N/A,FALSE,"LAF";"Bce Oleomed",#N/A,FALSE,"Oleomed";"Bce Dreiman",#N/A,FALSE,"Dreiman";"CashFlow oleomed",#N/A,FALSE,"Oleomed";"cashflow Dreiman",#N/A,FALSE,"Dreiman";"Bce Farmygel",#N/A,FALSE,"Farmygel";"Cashflow Farmygel",#N/A,FALSE,"Farmygel";"Cashflow Grupo",#N/A,FALSE,"Grupo";"Cash Flow Grupo",#N/A,FALSE,"GRUPO BCE ";"Bce Laf",#N/A,FALSE,"GRUPO BCE ";"Todas las Compañías",#N/A,FALSE,"Gráficos"}</definedName>
    <definedName name="OTRA" hidden="1">{"Bce Laf",#N/A,FALSE,"LAF";"CashFlow Laf",#N/A,FALSE,"LAF";"Bce Oleomed",#N/A,FALSE,"Oleomed";"Bce Dreiman",#N/A,FALSE,"Dreiman";"CashFlow oleomed",#N/A,FALSE,"Oleomed";"cashflow Dreiman",#N/A,FALSE,"Dreiman";"Bce Farmygel",#N/A,FALSE,"Farmygel";"Cashflow Farmygel",#N/A,FALSE,"Farmygel";"Cashflow Grupo",#N/A,FALSE,"Grupo";"Cash Flow Grupo",#N/A,FALSE,"GRUPO BCE ";"Bce Laf",#N/A,FALSE,"GRUPO BCE ";"Todas las Compañías",#N/A,FALSE,"Gráficos"}</definedName>
    <definedName name="OTRA_1" localSheetId="8" hidden="1">{"Bce Laf",#N/A,FALSE,"LAF";"CashFlow Laf",#N/A,FALSE,"LAF";"Bce Oleomed",#N/A,FALSE,"Oleomed";"Bce Dreiman",#N/A,FALSE,"Dreiman";"CashFlow oleomed",#N/A,FALSE,"Oleomed";"cashflow Dreiman",#N/A,FALSE,"Dreiman";"Bce Farmygel",#N/A,FALSE,"Farmygel";"Cashflow Farmygel",#N/A,FALSE,"Farmygel";"Cashflow Grupo",#N/A,FALSE,"Grupo";"Cash Flow Grupo",#N/A,FALSE,"GRUPO BCE ";"Bce Laf",#N/A,FALSE,"GRUPO BCE ";"Todas las Compañías",#N/A,FALSE,"Gráficos"}</definedName>
    <definedName name="OTRA_1" hidden="1">{"Bce Laf",#N/A,FALSE,"LAF";"CashFlow Laf",#N/A,FALSE,"LAF";"Bce Oleomed",#N/A,FALSE,"Oleomed";"Bce Dreiman",#N/A,FALSE,"Dreiman";"CashFlow oleomed",#N/A,FALSE,"Oleomed";"cashflow Dreiman",#N/A,FALSE,"Dreiman";"Bce Farmygel",#N/A,FALSE,"Farmygel";"Cashflow Farmygel",#N/A,FALSE,"Farmygel";"Cashflow Grupo",#N/A,FALSE,"Grupo";"Cash Flow Grupo",#N/A,FALSE,"GRUPO BCE ";"Bce Laf",#N/A,FALSE,"GRUPO BCE ";"Todas las Compañías",#N/A,FALSE,"Gráficos"}</definedName>
    <definedName name="OTRE" localSheetId="7" hidden="1">{"Bce Laf",#N/A,FALSE,"LAF";"CashFlow Laf",#N/A,FALSE,"LAF";"Bce Oleomed",#N/A,FALSE,"Oleomed";"Bce Dreiman",#N/A,FALSE,"Dreiman";"CashFlow oleomed",#N/A,FALSE,"Oleomed";"cashflow Dreiman",#N/A,FALSE,"Dreiman";"Bce Farmygel",#N/A,FALSE,"Farmygel";"Cashflow Farmygel",#N/A,FALSE,"Farmygel";"Cashflow Grupo",#N/A,FALSE,"Grupo";"Cash Flow Grupo",#N/A,FALSE,"GRUPO BCE ";"Bce Laf",#N/A,FALSE,"GRUPO BCE ";"Todas las Compañías",#N/A,FALSE,"Gráficos"}</definedName>
    <definedName name="OTRE" localSheetId="8" hidden="1">{"Bce Laf",#N/A,FALSE,"LAF";"CashFlow Laf",#N/A,FALSE,"LAF";"Bce Oleomed",#N/A,FALSE,"Oleomed";"Bce Dreiman",#N/A,FALSE,"Dreiman";"CashFlow oleomed",#N/A,FALSE,"Oleomed";"cashflow Dreiman",#N/A,FALSE,"Dreiman";"Bce Farmygel",#N/A,FALSE,"Farmygel";"Cashflow Farmygel",#N/A,FALSE,"Farmygel";"Cashflow Grupo",#N/A,FALSE,"Grupo";"Cash Flow Grupo",#N/A,FALSE,"GRUPO BCE ";"Bce Laf",#N/A,FALSE,"GRUPO BCE ";"Todas las Compañías",#N/A,FALSE,"Gráficos"}</definedName>
    <definedName name="OTRE" hidden="1">{"Bce Laf",#N/A,FALSE,"LAF";"CashFlow Laf",#N/A,FALSE,"LAF";"Bce Oleomed",#N/A,FALSE,"Oleomed";"Bce Dreiman",#N/A,FALSE,"Dreiman";"CashFlow oleomed",#N/A,FALSE,"Oleomed";"cashflow Dreiman",#N/A,FALSE,"Dreiman";"Bce Farmygel",#N/A,FALSE,"Farmygel";"Cashflow Farmygel",#N/A,FALSE,"Farmygel";"Cashflow Grupo",#N/A,FALSE,"Grupo";"Cash Flow Grupo",#N/A,FALSE,"GRUPO BCE ";"Bce Laf",#N/A,FALSE,"GRUPO BCE ";"Todas las Compañías",#N/A,FALSE,"Gráficos"}</definedName>
    <definedName name="OTRE_1" localSheetId="8" hidden="1">{"Bce Laf",#N/A,FALSE,"LAF";"CashFlow Laf",#N/A,FALSE,"LAF";"Bce Oleomed",#N/A,FALSE,"Oleomed";"Bce Dreiman",#N/A,FALSE,"Dreiman";"CashFlow oleomed",#N/A,FALSE,"Oleomed";"cashflow Dreiman",#N/A,FALSE,"Dreiman";"Bce Farmygel",#N/A,FALSE,"Farmygel";"Cashflow Farmygel",#N/A,FALSE,"Farmygel";"Cashflow Grupo",#N/A,FALSE,"Grupo";"Cash Flow Grupo",#N/A,FALSE,"GRUPO BCE ";"Bce Laf",#N/A,FALSE,"GRUPO BCE ";"Todas las Compañías",#N/A,FALSE,"Gráficos"}</definedName>
    <definedName name="OTRE_1" hidden="1">{"Bce Laf",#N/A,FALSE,"LAF";"CashFlow Laf",#N/A,FALSE,"LAF";"Bce Oleomed",#N/A,FALSE,"Oleomed";"Bce Dreiman",#N/A,FALSE,"Dreiman";"CashFlow oleomed",#N/A,FALSE,"Oleomed";"cashflow Dreiman",#N/A,FALSE,"Dreiman";"Bce Farmygel",#N/A,FALSE,"Farmygel";"Cashflow Farmygel",#N/A,FALSE,"Farmygel";"Cashflow Grupo",#N/A,FALSE,"Grupo";"Cash Flow Grupo",#N/A,FALSE,"GRUPO BCE ";"Bce Laf",#N/A,FALSE,"GRUPO BCE ";"Todas las Compañías",#N/A,FALSE,"Gráficos"}</definedName>
    <definedName name="OTRO" localSheetId="8" hidden="1">{#N/A,#N/A,TRUE,"SIT.GLOBAL (2)";#N/A,#N/A,TRUE,"SIT.GLOBAL (1)";#N/A,#N/A,TRUE,"7.PROC JUD";#N/A,#N/A,TRUE,"GRAF.RENTAS";#N/A,#N/A,TRUE,"GRAF PTE.COB-COBNET (3)";#N/A,#N/A,TRUE,"GRAF FACT TOTAL-ORD (3)";#N/A,#N/A,TRUE,"DATOSGRAFICO";#N/A,#N/A,TRUE,"RESCINDIDOS";#N/A,#N/A,TRUE,"DETALLE PTE."}</definedName>
    <definedName name="OTRO" hidden="1">{#N/A,#N/A,TRUE,"SIT.GLOBAL (2)";#N/A,#N/A,TRUE,"SIT.GLOBAL (1)";#N/A,#N/A,TRUE,"7.PROC JUD";#N/A,#N/A,TRUE,"GRAF.RENTAS";#N/A,#N/A,TRUE,"GRAF PTE.COB-COBNET (3)";#N/A,#N/A,TRUE,"GRAF FACT TOTAL-ORD (3)";#N/A,#N/A,TRUE,"DATOSGRAFICO";#N/A,#N/A,TRUE,"RESCINDIDOS";#N/A,#N/A,TRUE,"DETALLE PTE."}</definedName>
    <definedName name="Otroa" localSheetId="8" hidden="1">{"IMD AUTOPISTAS",#N/A,FALSE,"IMD 00-01 e incrs por autop.";"CURVAS IMD CONCESION",#N/A,FALSE,"IMD 00-01 e incrs por autop.";"TAM",#N/A,FALSE,"Crecimiento IMD 99-01 mes-acum";"IMD ASETA",#N/A,FALSE,"IMD ASETA- crecs. mens-acums.";"INGRESOS",#N/A,FALSE,"GRÁFICO"}</definedName>
    <definedName name="Otroa" hidden="1">{"IMD AUTOPISTAS",#N/A,FALSE,"IMD 00-01 e incrs por autop.";"CURVAS IMD CONCESION",#N/A,FALSE,"IMD 00-01 e incrs por autop.";"TAM",#N/A,FALSE,"Crecimiento IMD 99-01 mes-acum";"IMD ASETA",#N/A,FALSE,"IMD ASETA- crecs. mens-acums.";"INGRESOS",#N/A,FALSE,"GRÁFICO"}</definedName>
    <definedName name="Otros" localSheetId="8" hidden="1">{"Pèrdues i Guanys analític.Català",#N/A,FALSE,"Català";"Pèrdues i G. analític.castellà",#N/A,FALSE,"Castellà"}</definedName>
    <definedName name="Otros" hidden="1">{"Pèrdues i Guanys analític.Català",#N/A,FALSE,"Català";"Pèrdues i G. analític.castellà",#N/A,FALSE,"Castellà"}</definedName>
    <definedName name="ou" localSheetId="8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ou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ouoluy" localSheetId="8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ouoluy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ouoluy_1" localSheetId="8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ouoluy_1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Outlook2" localSheetId="8" hidden="1">{"'EARLY LIFE SAVINGS - COSTS '!$A$1:$N$56"}</definedName>
    <definedName name="Outlook2" hidden="1">{"'EARLY LIFE SAVINGS - COSTS '!$A$1:$N$56"}</definedName>
    <definedName name="Output" localSheetId="8" hidden="1">{"comps1_1",#N/A,FALSE,"Comps1";"comps1_2",#N/A,FALSE,"Comps1";"comps1_3",#N/A,FALSE,"Comps1";"comps1_4",#N/A,FALSE,"Comps1";"comps1_5",#N/A,FALSE,"Comps1"}</definedName>
    <definedName name="Output" hidden="1">{"comps1_1",#N/A,FALSE,"Comps1";"comps1_2",#N/A,FALSE,"Comps1";"comps1_3",#N/A,FALSE,"Comps1";"comps1_4",#N/A,FALSE,"Comps1";"comps1_5",#N/A,FALSE,"Comps1"}</definedName>
    <definedName name="output_praph4" hidden="1">#REF!</definedName>
    <definedName name="outro" hidden="1">{"'RR'!$A$2:$E$81"}</definedName>
    <definedName name="owiueg" localSheetId="8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owiue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owmkib" localSheetId="8" hidden="1">{"detail",#N/A,FALSE,"mfg";"summary",#N/A,FALSE,"mfg"}</definedName>
    <definedName name="owmkib" hidden="1">{"detail",#N/A,FALSE,"mfg";"summary",#N/A,FALSE,"mfg"}</definedName>
    <definedName name="OWNER" hidden="1">#REF!</definedName>
    <definedName name="owssvr_2" hidden="1">#REF!</definedName>
    <definedName name="oyl" localSheetId="8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oyl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oyl_1" localSheetId="8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oyl_1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p" localSheetId="8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" hidden="1">38618.6214814815</definedName>
    <definedName name="p.BS" hidden="1">#REF!</definedName>
    <definedName name="p.BSAssumptions" hidden="1">#REF!</definedName>
    <definedName name="p.CapStructure" hidden="1">#REF!</definedName>
    <definedName name="p.CashFlow" hidden="1">#REF!</definedName>
    <definedName name="p.Covenants" hidden="1">#REF!</definedName>
    <definedName name="p.Covenants_Titles" hidden="1">#REF!</definedName>
    <definedName name="p.Cover" hidden="1">#REF!</definedName>
    <definedName name="p.CreditStats" hidden="1">#REF!</definedName>
    <definedName name="p.DCF" hidden="1">#REF!</definedName>
    <definedName name="p.DCF_Titles" hidden="1">#REF!</definedName>
    <definedName name="p.Depreciation" hidden="1">#REF!</definedName>
    <definedName name="p.DivisionA" hidden="1">#REF!</definedName>
    <definedName name="p.DivisionB" hidden="1">#REF!</definedName>
    <definedName name="p.DivisionC" hidden="1">#REF!</definedName>
    <definedName name="p.DivisionD" hidden="1">#REF!</definedName>
    <definedName name="p.DivisionE" hidden="1">#REF!</definedName>
    <definedName name="p.DivisionF" hidden="1">#REF!</definedName>
    <definedName name="p.DivisionG" hidden="1">#REF!</definedName>
    <definedName name="p.DivisionH" hidden="1">#REF!</definedName>
    <definedName name="p.Executive" hidden="1">#REF!</definedName>
    <definedName name="p.FactSheet" hidden="1">#REF!</definedName>
    <definedName name="p.IRR" hidden="1">#REF!</definedName>
    <definedName name="p.IRR_Titles" hidden="1">#REF!</definedName>
    <definedName name="p.IS" hidden="1">#REF!</definedName>
    <definedName name="p.ISAssumptions" hidden="1">#REF!</definedName>
    <definedName name="p.LTM_BS" hidden="1">#REF!</definedName>
    <definedName name="p.LTM_IS" hidden="1">#REF!</definedName>
    <definedName name="p.OpeningBS" hidden="1">#REF!</definedName>
    <definedName name="p.SP" hidden="1">#REF!</definedName>
    <definedName name="p.Summary" hidden="1">#REF!</definedName>
    <definedName name="p.Summary_Titles" hidden="1">#REF!</definedName>
    <definedName name="p.TaxCalculation" hidden="1">#REF!</definedName>
    <definedName name="p09i" localSheetId="8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p09i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p0io" localSheetId="8" hidden="1">{#N/A,"PURCHM",FALSE,"Business Analysis";#N/A,"SPADD",FALSE,"Business Analysis"}</definedName>
    <definedName name="p0io" hidden="1">{#N/A,"PURCHM",FALSE,"Business Analysis";#N/A,"SPADD",FALSE,"Business Analysis"}</definedName>
    <definedName name="pa" localSheetId="8" hidden="1">{#N/A,#N/A,FALSE,"Min compa cad";#N/A,#N/A,FALSE,"Min CAN Equité ";#N/A,#N/A,FALSE,"Analyse can"}</definedName>
    <definedName name="pa" hidden="1">{#N/A,#N/A,FALSE,"Min compa cad";#N/A,#N/A,FALSE,"Min CAN Equité ";#N/A,#N/A,FALSE,"Analyse can"}</definedName>
    <definedName name="PAAER" localSheetId="8" hidden="1">{#N/A,#N/A,FALSE,"Min compa cad";#N/A,#N/A,FALSE,"Min CAN Equité ";#N/A,#N/A,FALSE,"Analyse can"}</definedName>
    <definedName name="PAAER" hidden="1">{#N/A,#N/A,FALSE,"Min compa cad";#N/A,#N/A,FALSE,"Min CAN Equité ";#N/A,#N/A,FALSE,"Analyse can"}</definedName>
    <definedName name="PAAP" localSheetId="8" hidden="1">{#N/A,#N/A,FALSE,"Min compa cad";#N/A,#N/A,FALSE,"Min CAN Equité ";#N/A,#N/A,FALSE,"Analyse can"}</definedName>
    <definedName name="PAAP" hidden="1">{#N/A,#N/A,FALSE,"Min compa cad";#N/A,#N/A,FALSE,"Min CAN Equité ";#N/A,#N/A,FALSE,"Analyse can"}</definedName>
    <definedName name="PAAPP" localSheetId="8" hidden="1">{#N/A,#N/A,FALSE,"Min compar us";#N/A,#N/A,FALSE,"Min US Equité ";#N/A,#N/A,FALSE,"Analyse U.S."}</definedName>
    <definedName name="PAAPP" hidden="1">{#N/A,#N/A,FALSE,"Min compar us";#N/A,#N/A,FALSE,"Min US Equité ";#N/A,#N/A,FALSE,"Analyse U.S."}</definedName>
    <definedName name="pablo" localSheetId="8" hidden="1">{#N/A,#N/A,FALSE,"INPUTS";#N/A,#N/A,FALSE,"PROFORMA BSHEET";#N/A,#N/A,FALSE,"COMBINED";#N/A,#N/A,FALSE,"ACQUIROR";#N/A,#N/A,FALSE,"TARGET 1";#N/A,#N/A,FALSE,"TARGET 2";#N/A,#N/A,FALSE,"HIGH YIELD";#N/A,#N/A,FALSE,"OVERFUND"}</definedName>
    <definedName name="pablo" hidden="1">{#N/A,#N/A,FALSE,"INPUTS";#N/A,#N/A,FALSE,"PROFORMA BSHEET";#N/A,#N/A,FALSE,"COMBINED";#N/A,#N/A,FALSE,"ACQUIROR";#N/A,#N/A,FALSE,"TARGET 1";#N/A,#N/A,FALSE,"TARGET 2";#N/A,#N/A,FALSE,"HIGH YIELD";#N/A,#N/A,FALSE,"OVERFUND"}</definedName>
    <definedName name="pac" localSheetId="8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pac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pac_1" localSheetId="8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pac_1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PAEWQ" localSheetId="8" hidden="1">{#N/A,#N/A,FALSE,"Min compar us";#N/A,#N/A,FALSE,"Min US Equité ";#N/A,#N/A,FALSE,"Analyse U.S."}</definedName>
    <definedName name="PAEWQ" hidden="1">{#N/A,#N/A,FALSE,"Min compar us";#N/A,#N/A,FALSE,"Min US Equité ";#N/A,#N/A,FALSE,"Analyse U.S."}</definedName>
    <definedName name="PAPA" localSheetId="8" hidden="1">{#N/A,#N/A,FALSE,"Min compa cad";#N/A,#N/A,FALSE,"Min CAN Equité ";#N/A,#N/A,FALSE,"Analyse can"}</definedName>
    <definedName name="PAPA" hidden="1">{#N/A,#N/A,FALSE,"Min compa cad";#N/A,#N/A,FALSE,"Min CAN Equité ";#N/A,#N/A,FALSE,"Analyse can"}</definedName>
    <definedName name="PAPAP" localSheetId="8" hidden="1">{#N/A,#N/A,FALSE,"Min compar us";#N/A,#N/A,FALSE,"Min US Equité ";#N/A,#N/A,FALSE,"Analyse U.S."}</definedName>
    <definedName name="PAPAP" hidden="1">{#N/A,#N/A,FALSE,"Min compar us";#N/A,#N/A,FALSE,"Min US Equité ";#N/A,#N/A,FALSE,"Analyse U.S."}</definedName>
    <definedName name="par" localSheetId="8" hidden="1">{#N/A,#N/A,FALSE,"Min compar us";#N/A,#N/A,FALSE,"Min US Equité ";#N/A,#N/A,FALSE,"Analyse U.S."}</definedName>
    <definedName name="par" hidden="1">{#N/A,#N/A,FALSE,"Min compar us";#N/A,#N/A,FALSE,"Min US Equité ";#N/A,#N/A,FALSE,"Analyse U.S."}</definedName>
    <definedName name="parametro" localSheetId="8" hidden="1">{#N/A,#N/A,FALSE,"IR E CS 1997";#N/A,#N/A,FALSE,"PR ND";#N/A,#N/A,FALSE,"8191";#N/A,#N/A,FALSE,"8383";#N/A,#N/A,FALSE,"MP 1024";#N/A,#N/A,FALSE,"AD_EX_97";#N/A,#N/A,FALSE,"BD 97"}</definedName>
    <definedName name="parametro" hidden="1">{#N/A,#N/A,FALSE,"IR E CS 1997";#N/A,#N/A,FALSE,"PR ND";#N/A,#N/A,FALSE,"8191";#N/A,#N/A,FALSE,"8383";#N/A,#N/A,FALSE,"MP 1024";#N/A,#N/A,FALSE,"AD_EX_97";#N/A,#N/A,FALSE,"BD 97"}</definedName>
    <definedName name="paranetro" localSheetId="8" hidden="1">{#N/A,#N/A,TRUE,"BD 97";#N/A,#N/A,TRUE,"IR E CS 1997";#N/A,#N/A,TRUE,"CONTINGÊNCIAS";#N/A,#N/A,TRUE,"AD_EX_97";#N/A,#N/A,TRUE,"PR ND";#N/A,#N/A,TRUE,"8191";#N/A,#N/A,TRUE,"8383";#N/A,#N/A,TRUE,"MP 1024"}</definedName>
    <definedName name="paranetro" hidden="1">{#N/A,#N/A,TRUE,"BD 97";#N/A,#N/A,TRUE,"IR E CS 1997";#N/A,#N/A,TRUE,"CONTINGÊNCIAS";#N/A,#N/A,TRUE,"AD_EX_97";#N/A,#N/A,TRUE,"PR ND";#N/A,#N/A,TRUE,"8191";#N/A,#N/A,TRUE,"8383";#N/A,#N/A,TRUE,"MP 1024"}</definedName>
    <definedName name="PARPAR" localSheetId="8" hidden="1">{#N/A,#N/A,FALSE,"Min compa cad";#N/A,#N/A,FALSE,"Min CAN Equité ";#N/A,#N/A,FALSE,"Analyse can"}</definedName>
    <definedName name="PARPAR" hidden="1">{#N/A,#N/A,FALSE,"Min compa cad";#N/A,#N/A,FALSE,"Min CAN Equité ";#N/A,#N/A,FALSE,"Analyse can"}</definedName>
    <definedName name="PARR" localSheetId="8" hidden="1">{#N/A,#N/A,FALSE,"Min compar us";#N/A,#N/A,FALSE,"Min US Equité ";#N/A,#N/A,FALSE,"Analyse U.S."}</definedName>
    <definedName name="PARR" hidden="1">{#N/A,#N/A,FALSE,"Min compar us";#N/A,#N/A,FALSE,"Min US Equité ";#N/A,#N/A,FALSE,"Analyse U.S."}</definedName>
    <definedName name="ParseAJE_AmountColumn" hidden="1">"AJE!$D:$D"</definedName>
    <definedName name="ParseAJE_DescrColumn" hidden="1">"BS!$H:$H"</definedName>
    <definedName name="ParseAJE_DescrColumn2" hidden="1">"PL!$F:$F"</definedName>
    <definedName name="ParseAJE_DestinationSheet" hidden="1">".Parsed AJE"</definedName>
    <definedName name="ParseAJE_IDColumn" hidden="1">"BS!$G:$G"</definedName>
    <definedName name="ParseAJE_IDColumn2" hidden="1">"PL!$E:$E"</definedName>
    <definedName name="ParseAJE_PLCatColumn" hidden="1">"AJE!$E:$E"</definedName>
    <definedName name="ParseAJE_SintColumn" hidden="1">"AJE!$A:$A"</definedName>
    <definedName name="ParseAJE_SpanColumn" hidden="1">"BS!$J:$J"</definedName>
    <definedName name="ParseAJE_SpanColumn2" hidden="1">"PL!$H:$H"</definedName>
    <definedName name="Parte1a." localSheetId="8" hidden="1">{"PARTE1",#N/A,FALSE,"Plan1"}</definedName>
    <definedName name="Parte1a." hidden="1">{"PARTE1",#N/A,FALSE,"Plan1"}</definedName>
    <definedName name="Parte2" localSheetId="8" hidden="1">{"PARTE1",#N/A,FALSE,"Plan1"}</definedName>
    <definedName name="Parte2" hidden="1">{"PARTE1",#N/A,FALSE,"Plan1"}</definedName>
    <definedName name="PARTPART" localSheetId="8" hidden="1">{#N/A,#N/A,FALSE,"Min compar us";#N/A,#N/A,FALSE,"Min US Equité ";#N/A,#N/A,FALSE,"Analyse U.S."}</definedName>
    <definedName name="PARTPART" hidden="1">{#N/A,#N/A,FALSE,"Min compar us";#N/A,#N/A,FALSE,"Min US Equité ";#N/A,#N/A,FALSE,"Analyse U.S."}</definedName>
    <definedName name="Pass" hidden="1">"ShowMe!"</definedName>
    <definedName name="pat" localSheetId="8" hidden="1">{#N/A,#N/A,FALSE,"HIGHNEW";#N/A,#N/A,FALSE,"HIGHOLD";#N/A,#N/A,FALSE,"MTHDET";#N/A,#N/A,FALSE,"ACTDET"}</definedName>
    <definedName name="pat" hidden="1">{#N/A,#N/A,FALSE,"HIGHNEW";#N/A,#N/A,FALSE,"HIGHOLD";#N/A,#N/A,FALSE,"MTHDET";#N/A,#N/A,FALSE,"ACTDET"}</definedName>
    <definedName name="pat_1" localSheetId="8" hidden="1">{#N/A,#N/A,FALSE,"HIGHNEW";#N/A,#N/A,FALSE,"HIGHOLD";#N/A,#N/A,FALSE,"MTHDET";#N/A,#N/A,FALSE,"ACTDET"}</definedName>
    <definedName name="pat_1" hidden="1">{#N/A,#N/A,FALSE,"HIGHNEW";#N/A,#N/A,FALSE,"HIGHOLD";#N/A,#N/A,FALSE,"MTHDET";#N/A,#N/A,FALSE,"ACTDET"}</definedName>
    <definedName name="PATR" localSheetId="8" hidden="1">{#N/A,#N/A,FALSE,"Min compa cad";#N/A,#N/A,FALSE,"Min CAN Equité ";#N/A,#N/A,FALSE,"Analyse can"}</definedName>
    <definedName name="PATR" hidden="1">{#N/A,#N/A,FALSE,"Min compa cad";#N/A,#N/A,FALSE,"Min CAN Equité ";#N/A,#N/A,FALSE,"Analyse can"}</definedName>
    <definedName name="patricia" localSheetId="8" hidden="1">{"Mes Div 2",#N/A,FALSE,"Mes Diversos 2"}</definedName>
    <definedName name="patricia" hidden="1">{"Mes Div 2",#N/A,FALSE,"Mes Diversos 2"}</definedName>
    <definedName name="paul" hidden="1">38378.6096180556</definedName>
    <definedName name="payable" localSheetId="8" hidden="1">{#N/A,#N/A,TRUE,"4-Way Financial Comparison";#N/A,#N/A,TRUE,"Operations Statement";#N/A,#N/A,TRUE,"GAAP Statement";#N/A,#N/A,TRUE,"Balance Sheet";#N/A,#N/A,TRUE,"Cash Flow";#N/A,#N/A,TRUE,"Adjustments";#N/A,#N/A,TRUE,"Non-Op Schedule";#N/A,#N/A,TRUE,"Debt Schedule";#N/A,#N/A,TRUE,"Outsiders Share";#N/A,#N/A,TRUE,"Capital Exp.";#N/A,#N/A,TRUE,"Invest Affiliates";#N/A,#N/A,TRUE,"COC";#N/A,#N/A,TRUE,"Def Chrgs, et al";#N/A,#N/A,TRUE,"Taxes";#N/A,#N/A,TRUE,"IC - Interest Income"}</definedName>
    <definedName name="payable" hidden="1">{#N/A,#N/A,TRUE,"4-Way Financial Comparison";#N/A,#N/A,TRUE,"Operations Statement";#N/A,#N/A,TRUE,"GAAP Statement";#N/A,#N/A,TRUE,"Balance Sheet";#N/A,#N/A,TRUE,"Cash Flow";#N/A,#N/A,TRUE,"Adjustments";#N/A,#N/A,TRUE,"Non-Op Schedule";#N/A,#N/A,TRUE,"Debt Schedule";#N/A,#N/A,TRUE,"Outsiders Share";#N/A,#N/A,TRUE,"Capital Exp.";#N/A,#N/A,TRUE,"Invest Affiliates";#N/A,#N/A,TRUE,"COC";#N/A,#N/A,TRUE,"Def Chrgs, et al";#N/A,#N/A,TRUE,"Taxes";#N/A,#N/A,TRUE,"IC - Interest Income"}</definedName>
    <definedName name="PAYABLES" localSheetId="8" hidden="1">{#N/A,#N/A,TRUE,"4-Way Financial Comparison";#N/A,#N/A,TRUE,"Operations Statement";#N/A,#N/A,TRUE,"GAAP Statement";#N/A,#N/A,TRUE,"Balance Sheet";#N/A,#N/A,TRUE,"Cash Flow";#N/A,#N/A,TRUE,"Adjustments";#N/A,#N/A,TRUE,"Non-Op Schedule";#N/A,#N/A,TRUE,"Debt Schedule";#N/A,#N/A,TRUE,"Outsiders Share";#N/A,#N/A,TRUE,"Capital Exp.";#N/A,#N/A,TRUE,"Invest Affiliates";#N/A,#N/A,TRUE,"COC";#N/A,#N/A,TRUE,"Def Chrgs, et al";#N/A,#N/A,TRUE,"Taxes";#N/A,#N/A,TRUE,"IC - Interest Income"}</definedName>
    <definedName name="PAYABLES" hidden="1">{#N/A,#N/A,TRUE,"4-Way Financial Comparison";#N/A,#N/A,TRUE,"Operations Statement";#N/A,#N/A,TRUE,"GAAP Statement";#N/A,#N/A,TRUE,"Balance Sheet";#N/A,#N/A,TRUE,"Cash Flow";#N/A,#N/A,TRUE,"Adjustments";#N/A,#N/A,TRUE,"Non-Op Schedule";#N/A,#N/A,TRUE,"Debt Schedule";#N/A,#N/A,TRUE,"Outsiders Share";#N/A,#N/A,TRUE,"Capital Exp.";#N/A,#N/A,TRUE,"Invest Affiliates";#N/A,#N/A,TRUE,"COC";#N/A,#N/A,TRUE,"Def Chrgs, et al";#N/A,#N/A,TRUE,"Taxes";#N/A,#N/A,TRUE,"IC - Interest Income"}</definedName>
    <definedName name="Payables_3" localSheetId="8" hidden="1">{"CECons",#N/A,FALSE,"CE"}</definedName>
    <definedName name="Payables_3" hidden="1">{"CECons",#N/A,FALSE,"CE"}</definedName>
    <definedName name="Payables_3_1" localSheetId="8" hidden="1">{"CECons",#N/A,FALSE,"CE"}</definedName>
    <definedName name="Payables_3_1" hidden="1">{"CECons",#N/A,FALSE,"CE"}</definedName>
    <definedName name="Payables_4" localSheetId="8" hidden="1">{"CECons",#N/A,FALSE,"CE"}</definedName>
    <definedName name="Payables_4" hidden="1">{"CECons",#N/A,FALSE,"CE"}</definedName>
    <definedName name="Payables_4_1" localSheetId="8" hidden="1">{"CECons",#N/A,FALSE,"CE"}</definedName>
    <definedName name="Payables_4_1" hidden="1">{"CECons",#N/A,FALSE,"CE"}</definedName>
    <definedName name="payback_schedule" hidden="1">{#N/A,#N/A,FALSE,"Bene";#N/A,#N/A,FALSE,"Scen1"}</definedName>
    <definedName name="pb" localSheetId="8" hidden="1">{"net assets",#N/A,FALSE,"summary";"asset turnover",#N/A,FALSE,"summary";"orona",#N/A,FALSE,"summary"}</definedName>
    <definedName name="pb" hidden="1">{"net assets",#N/A,FALSE,"summary";"asset turnover",#N/A,FALSE,"summary";"orona",#N/A,FALSE,"summary"}</definedName>
    <definedName name="PC" hidden="1">#REF!</definedName>
    <definedName name="PC_msg" hidden="1">"Yes"</definedName>
    <definedName name="PCA" hidden="1">"BL7FKFTY6NDALOTZZF8PFRAS6"</definedName>
    <definedName name="pd" localSheetId="7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pd" localSheetId="8" hidden="1">{"detail",#N/A,FALSE,"mfg";"summary",#N/A,FALSE,"mfg"}</definedName>
    <definedName name="pd" hidden="1">{"detail",#N/A,FALSE,"mfg";"summary",#N/A,FALSE,"mfg"}</definedName>
    <definedName name="pda" localSheetId="8" hidden="1">{#N/A,#N/A,FALSE,"Caratula";#N/A,#N/A,FALSE,"Maniobra";#N/A,#N/A,FALSE,"LlenVac";#N/A,#N/A,FALSE,"Almacen";#N/A,#N/A,FALSE,"Consolas";#N/A,#N/A,FALSE,"ProyRes";#N/A,#N/A,FALSE,"OrigApl";#N/A,#N/A,FALSE,"Inversio";#N/A,#N/A,FALSE,"Financiam";#N/A,#N/A,FALSE,"CapTrab";#N/A,#N/A,FALSE,"EscalaVar"}</definedName>
    <definedName name="pda" hidden="1">{#N/A,#N/A,FALSE,"Caratula";#N/A,#N/A,FALSE,"Maniobra";#N/A,#N/A,FALSE,"LlenVac";#N/A,#N/A,FALSE,"Almacen";#N/A,#N/A,FALSE,"Consolas";#N/A,#N/A,FALSE,"ProyRes";#N/A,#N/A,FALSE,"OrigApl";#N/A,#N/A,FALSE,"Inversio";#N/A,#N/A,FALSE,"Financiam";#N/A,#N/A,FALSE,"CapTrab";#N/A,#N/A,FALSE,"EscalaVar"}</definedName>
    <definedName name="pda_1" localSheetId="8" hidden="1">{#N/A,#N/A,FALSE,"Caratula";#N/A,#N/A,FALSE,"Maniobra";#N/A,#N/A,FALSE,"LlenVac";#N/A,#N/A,FALSE,"Almacen";#N/A,#N/A,FALSE,"Consolas";#N/A,#N/A,FALSE,"ProyRes";#N/A,#N/A,FALSE,"OrigApl";#N/A,#N/A,FALSE,"Inversio";#N/A,#N/A,FALSE,"Financiam";#N/A,#N/A,FALSE,"CapTrab";#N/A,#N/A,FALSE,"EscalaVar"}</definedName>
    <definedName name="pda_1" hidden="1">{#N/A,#N/A,FALSE,"Caratula";#N/A,#N/A,FALSE,"Maniobra";#N/A,#N/A,FALSE,"LlenVac";#N/A,#N/A,FALSE,"Almacen";#N/A,#N/A,FALSE,"Consolas";#N/A,#N/A,FALSE,"ProyRes";#N/A,#N/A,FALSE,"OrigApl";#N/A,#N/A,FALSE,"Inversio";#N/A,#N/A,FALSE,"Financiam";#N/A,#N/A,FALSE,"CapTrab";#N/A,#N/A,FALSE,"EscalaVar"}</definedName>
    <definedName name="PDM" localSheetId="8" hidden="1">{"'100'!$A$1:$M$83"}</definedName>
    <definedName name="PDM" hidden="1">{"'100'!$A$1:$M$83"}</definedName>
    <definedName name="pe" localSheetId="8" hidden="1">{#N/A,#N/A,FALSE,"Pharm";#N/A,#N/A,FALSE,"WWCM"}</definedName>
    <definedName name="pe" hidden="1">{#N/A,#N/A,FALSE,"Pharm";#N/A,#N/A,FALSE,"WWCM"}</definedName>
    <definedName name="PEA" localSheetId="8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PEA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PEA_1" localSheetId="8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PEA_1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pedro" localSheetId="8" hidden="1">{"Acumulado",#N/A,FALSE,"Acumulado"}</definedName>
    <definedName name="pedro" hidden="1">{"Acumulado",#N/A,FALSE,"Acumulado"}</definedName>
    <definedName name="PeerTickers" hidden="1">#REF!</definedName>
    <definedName name="pelo9" localSheetId="8" hidden="1">{"'REPORT 2000'!$B$3:$M$127"}</definedName>
    <definedName name="pelo9" hidden="1">{"'REPORT 2000'!$B$3:$M$127"}</definedName>
    <definedName name="pelo9_1" localSheetId="8" hidden="1">{"'REPORT 2000'!$B$3:$M$127"}</definedName>
    <definedName name="pelo9_1" hidden="1">{"'REPORT 2000'!$B$3:$M$127"}</definedName>
    <definedName name="pepe" localSheetId="7" hidden="1">{#N/A,#N/A,FALSE,"Pharm";#N/A,#N/A,FALSE,"WWCM"}</definedName>
    <definedName name="pepe" localSheetId="8" hidden="1">{#N/A,#N/A,FALSE,"Pharm";#N/A,#N/A,FALSE,"WWCM"}</definedName>
    <definedName name="pepe" hidden="1">{#N/A,#N/A,FALSE,"Pharm";#N/A,#N/A,FALSE,"WWCM"}</definedName>
    <definedName name="PEPE4" localSheetId="7" hidden="1">{#N/A,#N/A,FALSE,"Pharm";#N/A,#N/A,FALSE,"WWCM"}</definedName>
    <definedName name="PEPE4" localSheetId="8" hidden="1">{#N/A,#N/A,FALSE,"Pharm";#N/A,#N/A,FALSE,"WWCM"}</definedName>
    <definedName name="PEPE4" hidden="1">{#N/A,#N/A,FALSE,"Pharm";#N/A,#N/A,FALSE,"WWCM"}</definedName>
    <definedName name="PEPE5" localSheetId="7" hidden="1">{#N/A,#N/A,FALSE,"Pharm";#N/A,#N/A,FALSE,"WWCM"}</definedName>
    <definedName name="PEPE5" localSheetId="8" hidden="1">{#N/A,#N/A,FALSE,"Pharm";#N/A,#N/A,FALSE,"WWCM"}</definedName>
    <definedName name="PEPE5" hidden="1">{#N/A,#N/A,FALSE,"Pharm";#N/A,#N/A,FALSE,"WWCM"}</definedName>
    <definedName name="Personal" localSheetId="8" hidden="1">{"Pèrdues i Guanys analític.Català",#N/A,FALSE,"Català";"Pèrdues i G. analític.castellà",#N/A,FALSE,"Castellà"}</definedName>
    <definedName name="Personal" hidden="1">{"Pèrdues i Guanys analític.Català",#N/A,FALSE,"Català";"Pèrdues i G. analític.castellà",#N/A,FALSE,"Castellà"}</definedName>
    <definedName name="pesetas" hidden="1">#REF!</definedName>
    <definedName name="pg" localSheetId="8" hidden="1">{"summary",#N/A,FALSE,"summary";"sales growth",#N/A,FALSE,"summary";"oper income",#N/A,FALSE,"summary";"oros rank",#N/A,FALSE,"summary";"net assets",#N/A,FALSE,"summary";"asset turnover",#N/A,FALSE,"summary";"orona",#N/A,FALSE,"summary";"total return",#N/A,FALSE,"summary";"overview",#N/A,FALSE,"summary"}</definedName>
    <definedName name="pg" hidden="1">{"summary",#N/A,FALSE,"summary";"sales growth",#N/A,FALSE,"summary";"oper income",#N/A,FALSE,"summary";"oros rank",#N/A,FALSE,"summary";"net assets",#N/A,FALSE,"summary";"asset turnover",#N/A,FALSE,"summary";"orona",#N/A,FALSE,"summary";"total return",#N/A,FALSE,"summary";"overview",#N/A,FALSE,"summary"}</definedName>
    <definedName name="pharma" localSheetId="7" hidden="1">{#N/A,#N/A,FALSE,"Sales Graph";#N/A,#N/A,FALSE,"PSBM";#N/A,#N/A,FALSE,"BUC Graph";#N/A,#N/A,FALSE,"P&amp;L - YTD"}</definedName>
    <definedName name="pharma" localSheetId="8" hidden="1">{#N/A,#N/A,FALSE,"Sales Graph";#N/A,#N/A,FALSE,"PSBM";#N/A,#N/A,FALSE,"BUC Graph";#N/A,#N/A,FALSE,"P&amp;L - YTD"}</definedName>
    <definedName name="pharma" hidden="1">{#N/A,#N/A,FALSE,"Sales Graph";#N/A,#N/A,FALSE,"PSBM";#N/A,#N/A,FALSE,"BUC Graph";#N/A,#N/A,FALSE,"P&amp;L - YTD"}</definedName>
    <definedName name="Pharmasales" hidden="1">#REF!</definedName>
    <definedName name="pi" localSheetId="8" hidden="1">{"oct_res_comm",#N/A,FALSE,"VarToBud"}</definedName>
    <definedName name="pi" hidden="1">{"oct_res_comm",#N/A,FALSE,"VarToBud"}</definedName>
    <definedName name="PILAR" localSheetId="8" hidden="1">{"detail",#N/A,FALSE,"mfg";"summary",#N/A,FALSE,"mfg"}</definedName>
    <definedName name="PILAR" hidden="1">{"detail",#N/A,FALSE,"mfg";"summary",#N/A,FALSE,"mfg"}</definedName>
    <definedName name="pilk" localSheetId="8" hidden="1">{"YD LPH2",#N/A,FALSE,"YTD"}</definedName>
    <definedName name="pilk" hidden="1">{"YD LPH2",#N/A,FALSE,"YTD"}</definedName>
    <definedName name="pimip" hidden="1">#REF!</definedName>
    <definedName name="pip" localSheetId="8" hidden="1">{#N/A,#N/A,TRUE,"Main Issues";#N/A,#N/A,TRUE,"Income statement ($)"}</definedName>
    <definedName name="pip" hidden="1">{#N/A,#N/A,TRUE,"Main Issues";#N/A,#N/A,TRUE,"Income statement ($)"}</definedName>
    <definedName name="pip_1" localSheetId="8" hidden="1">{#N/A,#N/A,TRUE,"Main Issues";#N/A,#N/A,TRUE,"Income statement ($)"}</definedName>
    <definedName name="pip_1" hidden="1">{#N/A,#N/A,TRUE,"Main Issues";#N/A,#N/A,TRUE,"Income statement ($)"}</definedName>
    <definedName name="pipoo" localSheetId="8" hidden="1">{"'100'!$A$1:$M$83"}</definedName>
    <definedName name="pipoo" hidden="1">{"'100'!$A$1:$M$83"}</definedName>
    <definedName name="pipponio" localSheetId="8" hidden="1">{"CECons",#N/A,FALSE,"CE"}</definedName>
    <definedName name="pipponio" hidden="1">{"CECons",#N/A,FALSE,"CE"}</definedName>
    <definedName name="pipponio_1" localSheetId="8" hidden="1">{"CECons",#N/A,FALSE,"CE"}</definedName>
    <definedName name="pipponio_1" hidden="1">{"CECons",#N/A,FALSE,"CE"}</definedName>
    <definedName name="pk" localSheetId="8" hidden="1">{"vol data",#N/A,FALSE,"Datasheet";"vol graph",#N/A,FALSE,"Volume";"price data",#N/A,FALSE,"Datasheet";"price graph",#N/A,FALSE,"Price";"dp data",#N/A,FALSE,"Datasheet";"dp graph",#N/A,FALSE,"DirectProfit"}</definedName>
    <definedName name="pk" hidden="1">{"vol data",#N/A,FALSE,"Datasheet";"vol graph",#N/A,FALSE,"Volume";"price data",#N/A,FALSE,"Datasheet";"price graph",#N/A,FALSE,"Price";"dp data",#N/A,FALSE,"Datasheet";"dp graph",#N/A,FALSE,"DirectProfit"}</definedName>
    <definedName name="pkeshbr" localSheetId="8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pkeshbr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PKK" hidden="1">#REF!</definedName>
    <definedName name="pl" localSheetId="7" hidden="1">{#N/A,#N/A,FALSE,"REPORT"}</definedName>
    <definedName name="pl" localSheetId="8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l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l_1" localSheetId="8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l_1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lanilha" hidden="1">{"'RR'!$A$2:$E$81"}</definedName>
    <definedName name="planilha1" hidden="1">{"'RR'!$A$2:$E$81"}</definedName>
    <definedName name="planilha2" hidden="1">{"'RR'!$A$2:$E$81"}</definedName>
    <definedName name="Planinvest" localSheetId="8" hidden="1">{#N/A,#N/A,FALSE,"index";#N/A,#N/A,FALSE,"BA.1";#N/A,#N/A,FALSE,"BA.2";#N/A,#N/A,FALSE,"BA.3";#N/A,#N/A,FALSE,"BA.5";#N/A,#N/A,FALSE,"BA.6";#N/A,#N/A,FALSE,"BA.7";#N/A,#N/A,FALSE,"BA.9";#N/A,#N/A,FALSE,"BA.8";#N/A,#N/A,FALSE,"BA.10";#N/A,#N/A,FALSE,"BA.11";#N/A,#N/A,FALSE,"94BUD95";#N/A,#N/A,FALSE,"Annexe.1";#N/A,#N/A,FALSE,"94BUD95 (2)";#N/A,#N/A,FALSE,"Annexe.2";#N/A,#N/A,FALSE,"Annexe.3";#N/A,#N/A,FALSE,"Annexe.4";#N/A,#N/A,FALSE,"BILAN-MENSAL-cons";#N/A,#N/A,FALSE,"RES-mes-ACUM";#N/A,#N/A,FALSE,"RES-mes-MES-cons"}</definedName>
    <definedName name="Planinvest" hidden="1">{#N/A,#N/A,FALSE,"index";#N/A,#N/A,FALSE,"BA.1";#N/A,#N/A,FALSE,"BA.2";#N/A,#N/A,FALSE,"BA.3";#N/A,#N/A,FALSE,"BA.5";#N/A,#N/A,FALSE,"BA.6";#N/A,#N/A,FALSE,"BA.7";#N/A,#N/A,FALSE,"BA.9";#N/A,#N/A,FALSE,"BA.8";#N/A,#N/A,FALSE,"BA.10";#N/A,#N/A,FALSE,"BA.11";#N/A,#N/A,FALSE,"94BUD95";#N/A,#N/A,FALSE,"Annexe.1";#N/A,#N/A,FALSE,"94BUD95 (2)";#N/A,#N/A,FALSE,"Annexe.2";#N/A,#N/A,FALSE,"Annexe.3";#N/A,#N/A,FALSE,"Annexe.4";#N/A,#N/A,FALSE,"BILAN-MENSAL-cons";#N/A,#N/A,FALSE,"RES-mes-ACUM";#N/A,#N/A,FALSE,"RES-mes-MES-cons"}</definedName>
    <definedName name="Planinvest_1" localSheetId="8" hidden="1">{#N/A,#N/A,FALSE,"index";#N/A,#N/A,FALSE,"BA.1";#N/A,#N/A,FALSE,"BA.2";#N/A,#N/A,FALSE,"BA.3";#N/A,#N/A,FALSE,"BA.5";#N/A,#N/A,FALSE,"BA.6";#N/A,#N/A,FALSE,"BA.7";#N/A,#N/A,FALSE,"BA.9";#N/A,#N/A,FALSE,"BA.8";#N/A,#N/A,FALSE,"BA.10";#N/A,#N/A,FALSE,"BA.11";#N/A,#N/A,FALSE,"94BUD95";#N/A,#N/A,FALSE,"Annexe.1";#N/A,#N/A,FALSE,"94BUD95 (2)";#N/A,#N/A,FALSE,"Annexe.2";#N/A,#N/A,FALSE,"Annexe.3";#N/A,#N/A,FALSE,"Annexe.4";#N/A,#N/A,FALSE,"BILAN-MENSAL-cons";#N/A,#N/A,FALSE,"RES-mes-ACUM";#N/A,#N/A,FALSE,"RES-mes-MES-cons"}</definedName>
    <definedName name="Planinvest_1" hidden="1">{#N/A,#N/A,FALSE,"index";#N/A,#N/A,FALSE,"BA.1";#N/A,#N/A,FALSE,"BA.2";#N/A,#N/A,FALSE,"BA.3";#N/A,#N/A,FALSE,"BA.5";#N/A,#N/A,FALSE,"BA.6";#N/A,#N/A,FALSE,"BA.7";#N/A,#N/A,FALSE,"BA.9";#N/A,#N/A,FALSE,"BA.8";#N/A,#N/A,FALSE,"BA.10";#N/A,#N/A,FALSE,"BA.11";#N/A,#N/A,FALSE,"94BUD95";#N/A,#N/A,FALSE,"Annexe.1";#N/A,#N/A,FALSE,"94BUD95 (2)";#N/A,#N/A,FALSE,"Annexe.2";#N/A,#N/A,FALSE,"Annexe.3";#N/A,#N/A,FALSE,"Annexe.4";#N/A,#N/A,FALSE,"BILAN-MENSAL-cons";#N/A,#N/A,FALSE,"RES-mes-ACUM";#N/A,#N/A,FALSE,"RES-mes-MES-cons"}</definedName>
    <definedName name="PLAssump" localSheetId="8" hidden="1">{"'SIVA Pricing Model'!$A$1:$F$39"}</definedName>
    <definedName name="PLAssump" hidden="1">{"'SIVA Pricing Model'!$A$1:$F$39"}</definedName>
    <definedName name="PLAssump2" localSheetId="8" hidden="1">{"'SIVA Pricing Model'!$A$1:$F$39"}</definedName>
    <definedName name="PLAssump2" hidden="1">{"'SIVA Pricing Model'!$A$1:$F$39"}</definedName>
    <definedName name="PLAssump3" localSheetId="8" hidden="1">{"'SIVA Pricing Model'!$A$1:$F$39"}</definedName>
    <definedName name="PLAssump3" hidden="1">{"'SIVA Pricing Model'!$A$1:$F$39"}</definedName>
    <definedName name="plassumpw" localSheetId="8" hidden="1">{"'SIVA Pricing Model'!$A$1:$F$39"}</definedName>
    <definedName name="plassumpw" hidden="1">{"'SIVA Pricing Model'!$A$1:$F$39"}</definedName>
    <definedName name="PLCepi" localSheetId="7" hidden="1">{#N/A,#N/A,FALSE,"REPORT"}</definedName>
    <definedName name="PLCepi" localSheetId="8" hidden="1">{#N/A,#N/A,FALSE,"REPORT"}</definedName>
    <definedName name="PLCepi" hidden="1">{#N/A,#N/A,FALSE,"REPORT"}</definedName>
    <definedName name="pllll" localSheetId="8" hidden="1">{#N/A,#N/A,FALSE,"REPORT"}</definedName>
    <definedName name="pllll" hidden="1">{#N/A,#N/A,FALSE,"REPORT"}</definedName>
    <definedName name="plllllll" localSheetId="8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plllllll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plmn" localSheetId="8" hidden="1">{#N/A,#N/A,FALSE,"Pharm";#N/A,#N/A,FALSE,"WWCM"}</definedName>
    <definedName name="plmn" hidden="1">{#N/A,#N/A,FALSE,"Pharm";#N/A,#N/A,FALSE,"WWCM"}</definedName>
    <definedName name="PLO" localSheetId="8" hidden="1">{#N/A,#N/A,FALSE,"Min compa cad";#N/A,#N/A,FALSE,"Min CAN Equité ";#N/A,#N/A,FALSE,"Analyse can"}</definedName>
    <definedName name="PLO" hidden="1">{#N/A,#N/A,FALSE,"Min compa cad";#N/A,#N/A,FALSE,"Min CAN Equité ";#N/A,#N/A,FALSE,"Analyse can"}</definedName>
    <definedName name="PLProcef" localSheetId="7" hidden="1">{#N/A,#N/A,FALSE,"REPORT"}</definedName>
    <definedName name="PLProcef" localSheetId="8" hidden="1">{#N/A,#N/A,FALSE,"REPORT"}</definedName>
    <definedName name="PLProcef" hidden="1">{#N/A,#N/A,FALSE,"REPORT"}</definedName>
    <definedName name="PLTaxol" localSheetId="7" hidden="1">{#N/A,#N/A,FALSE,"REPORT"}</definedName>
    <definedName name="PLTaxol" localSheetId="8" hidden="1">{#N/A,#N/A,FALSE,"REPORT"}</definedName>
    <definedName name="PLTaxol" hidden="1">{#N/A,#N/A,FALSE,"REPORT"}</definedName>
    <definedName name="PLUG" hidden="1">#REF!</definedName>
    <definedName name="PN" hidden="1">{#N/A,#N/A,FALSE,"Dutos";#N/A,#N/A,FALSE,"Terminais"}</definedName>
    <definedName name="Pnl" localSheetId="7" hidden="1">{#N/A,#N/A,FALSE,"Pharm";#N/A,#N/A,FALSE,"WWCM"}</definedName>
    <definedName name="Pnl" localSheetId="8" hidden="1">{#N/A,#N/A,FALSE,"Pharm";#N/A,#N/A,FALSE,"WWCM"}</definedName>
    <definedName name="Pnl" hidden="1">{#N/A,#N/A,FALSE,"Pharm";#N/A,#N/A,FALSE,"WWCM"}</definedName>
    <definedName name="pnsji5" localSheetId="8" hidden="1">{#N/A,"PURCHM",FALSE,"Business Analysis";#N/A,"SPADD",FALSE,"Business Analysis"}</definedName>
    <definedName name="pnsji5" hidden="1">{#N/A,"PURCHM",FALSE,"Business Analysis";#N/A,"SPADD",FALSE,"Business Analysis"}</definedName>
    <definedName name="po" localSheetId="8" hidden="1">{"detail",#N/A,FALSE,"mfg";"summary",#N/A,FALSE,"mfg"}</definedName>
    <definedName name="po" hidden="1">{"detail",#N/A,FALSE,"mfg";"summary",#N/A,FALSE,"mfg"}</definedName>
    <definedName name="po_1" localSheetId="8" hidden="1">{#N/A,#N/A,FALSE,"Calc";#N/A,#N/A,FALSE,"Sensitivity";#N/A,#N/A,FALSE,"LT Earn.Dil.";#N/A,#N/A,FALSE,"Dil. AVP"}</definedName>
    <definedName name="po_1" hidden="1">{#N/A,#N/A,FALSE,"Calc";#N/A,#N/A,FALSE,"Sensitivity";#N/A,#N/A,FALSE,"LT Earn.Dil.";#N/A,#N/A,FALSE,"Dil. AVP"}</definedName>
    <definedName name="POAA" localSheetId="8" hidden="1">{#N/A,#N/A,FALSE,"Min compa cad";#N/A,#N/A,FALSE,"Min CAN Equité ";#N/A,#N/A,FALSE,"Analyse can"}</definedName>
    <definedName name="POAA" hidden="1">{#N/A,#N/A,FALSE,"Min compa cad";#N/A,#N/A,FALSE,"Min CAN Equité ";#N/A,#N/A,FALSE,"Analyse can"}</definedName>
    <definedName name="poc" localSheetId="8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poc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pohl0799" localSheetId="8" hidden="1">#REF!</definedName>
    <definedName name="pohl0799" hidden="1">#REF!</definedName>
    <definedName name="poi" localSheetId="8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poi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poi_1" localSheetId="8" hidden="1">{"assumption 50 50",#N/A,TRUE,"Merger";"has gets cash",#N/A,TRUE,"Merger";"accretion dilution",#N/A,TRUE,"Merger";"comparison credit stats",#N/A,TRUE,"Merger";"pf credit stats",#N/A,TRUE,"Merger";"pf sheets",#N/A,TRUE,"Merger"}</definedName>
    <definedName name="poi_1" hidden="1">{"assumption 50 50",#N/A,TRUE,"Merger";"has gets cash",#N/A,TRUE,"Merger";"accretion dilution",#N/A,TRUE,"Merger";"comparison credit stats",#N/A,TRUE,"Merger";"pf credit stats",#N/A,TRUE,"Merger";"pf sheets",#N/A,TRUE,"Merger"}</definedName>
    <definedName name="POIIII" localSheetId="8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POIIII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poioi" localSheetId="8" hidden="1">{#N/A,#N/A,FALSE,"Centres";#N/A,#N/A,FALSE,"Partenariats";#N/A,#N/A,FALSE,"P.Diverses";#N/A,#N/A,FALSE,"Adm";#N/A,#N/A,FALSE,"Autres R-D";#N/A,#N/A,FALSE,"Intérêts"}</definedName>
    <definedName name="poioi" hidden="1">{#N/A,#N/A,FALSE,"Centres";#N/A,#N/A,FALSE,"Partenariats";#N/A,#N/A,FALSE,"P.Diverses";#N/A,#N/A,FALSE,"Adm";#N/A,#N/A,FALSE,"Autres R-D";#N/A,#N/A,FALSE,"Intérêts"}</definedName>
    <definedName name="poiu" localSheetId="8" hidden="1">{"Performance Details",#N/A,FALSE,"Current Yr";"Performance Details",#N/A,FALSE,"Budget";"Performance Details",#N/A,FALSE,"Prior Year"}</definedName>
    <definedName name="poiu" hidden="1">{"Performance Details",#N/A,FALSE,"Current Yr";"Performance Details",#N/A,FALSE,"Budget";"Performance Details",#N/A,FALSE,"Prior Year"}</definedName>
    <definedName name="poiuytr" localSheetId="8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poiuytr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pokj" localSheetId="8" hidden="1">{"QTD_LOUISIANA",#N/A,FALSE,"QTD"}</definedName>
    <definedName name="pokj" hidden="1">{"QTD_LOUISIANA",#N/A,FALSE,"QTD"}</definedName>
    <definedName name="pol" localSheetId="8" hidden="1">{#N/A,#N/A,FALSE,"IC Annex";#N/A,#N/A,FALSE,"Sensitivity";#N/A,#N/A,FALSE,"P&amp;L";#N/A,#N/A,FALSE,"Balance Sheet";#N/A,#N/A,FALSE,"Cash Flow";#N/A,#N/A,FALSE,"Key Assumptions";#N/A,#N/A,FALSE,"Global Assumptions";#N/A,#N/A,FALSE,"Graphs"}</definedName>
    <definedName name="pol" hidden="1">{#N/A,#N/A,FALSE,"IC Annex";#N/A,#N/A,FALSE,"Sensitivity";#N/A,#N/A,FALSE,"P&amp;L";#N/A,#N/A,FALSE,"Balance Sheet";#N/A,#N/A,FALSE,"Cash Flow";#N/A,#N/A,FALSE,"Key Assumptions";#N/A,#N/A,FALSE,"Global Assumptions";#N/A,#N/A,FALSE,"Graphs"}</definedName>
    <definedName name="Pologne" hidden="1">#REF!</definedName>
    <definedName name="poo" localSheetId="8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poo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pop" localSheetId="8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pop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pop_1" localSheetId="8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pop_1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popopopopo" localSheetId="8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popopopopo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porra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port29" localSheetId="7" hidden="1">{#N/A,#N/A,FALSE,"Pharm";#N/A,#N/A,FALSE,"WWCM"}</definedName>
    <definedName name="port29" localSheetId="8" hidden="1">{#N/A,#N/A,FALSE,"Pharm";#N/A,#N/A,FALSE,"WWCM"}</definedName>
    <definedName name="port29" hidden="1">{#N/A,#N/A,FALSE,"Pharm";#N/A,#N/A,FALSE,"WWCM"}</definedName>
    <definedName name="PortArthur" localSheetId="8" hidden="1">{#N/A,#N/A,FALSE,"9709 (2)"}</definedName>
    <definedName name="PortArthur" hidden="1">{#N/A,#N/A,FALSE,"9709 (2)"}</definedName>
    <definedName name="Pos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powq" localSheetId="8" hidden="1">{#N/A,"PURCHM",FALSE,"Business Analysis";#N/A,"SPADD",FALSE,"Business Analysis"}</definedName>
    <definedName name="powq" hidden="1">{#N/A,"PURCHM",FALSE,"Business Analysis";#N/A,"SPADD",FALSE,"Business Analysis"}</definedName>
    <definedName name="pp" localSheetId="7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p" localSheetId="8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p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p_1" localSheetId="8" hidden="1">{#N/A,#N/A,FALSE,"MERCHANT GAS MARGIN";#N/A,#N/A,FALSE,"BULK";#N/A,#N/A,FALSE,"BULK CO2";#N/A,#N/A,FALSE,"ON-SITE";#N/A,#N/A,FALSE,"CYLINDERS"}</definedName>
    <definedName name="pp_1" hidden="1">{#N/A,#N/A,FALSE,"MERCHANT GAS MARGIN";#N/A,#N/A,FALSE,"BULK";#N/A,#N/A,FALSE,"BULK CO2";#N/A,#N/A,FALSE,"ON-SITE";#N/A,#N/A,FALSE,"CYLINDERS"}</definedName>
    <definedName name="ppo" localSheetId="8" hidden="1">{"YD LOUISIANA",#N/A,FALSE,"YTD"}</definedName>
    <definedName name="ppo" hidden="1">{"YD LOUISIANA",#N/A,FALSE,"YTD"}</definedName>
    <definedName name="ppp" localSheetId="8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ppp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pppp" localSheetId="8" hidden="1">{#N/A,#N/A,FALSE,"1";#N/A,#N/A,FALSE,"2";#N/A,#N/A,FALSE,"16 - 17";#N/A,#N/A,FALSE,"18 - 19";#N/A,#N/A,FALSE,"26";#N/A,#N/A,FALSE,"27";#N/A,#N/A,FALSE,"28"}</definedName>
    <definedName name="pppp" hidden="1">{#N/A,#N/A,FALSE,"1";#N/A,#N/A,FALSE,"2";#N/A,#N/A,FALSE,"16 - 17";#N/A,#N/A,FALSE,"18 - 19";#N/A,#N/A,FALSE,"26";#N/A,#N/A,FALSE,"27";#N/A,#N/A,FALSE,"28"}</definedName>
    <definedName name="ppppp" hidden="1">#N/A</definedName>
    <definedName name="pppppppp" localSheetId="8" hidden="1">#REF!</definedName>
    <definedName name="pppppppp" hidden="1">#REF!</definedName>
    <definedName name="PPPPPPPPP" localSheetId="8" hidden="1">{"LargoAjustes",#N/A,FALSE,"Ajustes";"CortoAjustes",#N/A,FALSE,"Ajustes";"PLAjustes",#N/A,FALSE,"Ajustes"}</definedName>
    <definedName name="PPPPPPPPP" hidden="1">{"LargoAjustes",#N/A,FALSE,"Ajustes";"CortoAjustes",#N/A,FALSE,"Ajustes";"PLAjustes",#N/A,FALSE,"Ajustes"}</definedName>
    <definedName name="PPPPPPPPP_1" localSheetId="8" hidden="1">{"LargoAjustes",#N/A,FALSE,"Ajustes";"CortoAjustes",#N/A,FALSE,"Ajustes";"PLAjustes",#N/A,FALSE,"Ajustes"}</definedName>
    <definedName name="PPPPPPPPP_1" hidden="1">{"LargoAjustes",#N/A,FALSE,"Ajustes";"CortoAjustes",#N/A,FALSE,"Ajustes";"PLAjustes",#N/A,FALSE,"Ajustes"}</definedName>
    <definedName name="pppppppppppppppppppppp" localSheetId="8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pppppppppppppppppppppp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ppu" localSheetId="8" hidden="1">{"EVA",#N/A,FALSE,"SMT2";#N/A,#N/A,FALSE,"Summary";#N/A,#N/A,FALSE,"Graphs";#N/A,#N/A,FALSE,"4 Panel"}</definedName>
    <definedName name="ppu" hidden="1">{"EVA",#N/A,FALSE,"SMT2";#N/A,#N/A,FALSE,"Summary";#N/A,#N/A,FALSE,"Graphs";#N/A,#N/A,FALSE,"4 Panel"}</definedName>
    <definedName name="pqiejhg" localSheetId="8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pqiejh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pqmjuz" localSheetId="8" hidden="1">{"detail",#N/A,FALSE,"mfg";"summary",#N/A,FALSE,"mfg"}</definedName>
    <definedName name="pqmjuz" hidden="1">{"detail",#N/A,FALSE,"mfg";"summary",#N/A,FALSE,"mfg"}</definedName>
    <definedName name="PRACTICE" localSheetId="8" hidden="1">{#N/A,#N/A,FALSE,"Summation";#N/A,#N/A,FALSE,"BSA";#N/A,#N/A,FALSE,"Detail1";#N/A,#N/A,FALSE,"Detail2";#N/A,#N/A,FALSE,"Detail3";#N/A,#N/A,FALSE,"WFTE_Summary";#N/A,#N/A,FALSE,"Funded_WFTE";#N/A,#N/A,FALSE,"PYADJ96"}</definedName>
    <definedName name="PRACTICE" hidden="1">{#N/A,#N/A,FALSE,"Summation";#N/A,#N/A,FALSE,"BSA";#N/A,#N/A,FALSE,"Detail1";#N/A,#N/A,FALSE,"Detail2";#N/A,#N/A,FALSE,"Detail3";#N/A,#N/A,FALSE,"WFTE_Summary";#N/A,#N/A,FALSE,"Funded_WFTE";#N/A,#N/A,FALSE,"PYADJ96"}</definedName>
    <definedName name="PRACTOCE" localSheetId="8" hidden="1">{#N/A,#N/A,FALSE,"Summation";#N/A,#N/A,FALSE,"BSA";#N/A,#N/A,FALSE,"Detail1";#N/A,#N/A,FALSE,"Detail2";#N/A,#N/A,FALSE,"Detail3";#N/A,#N/A,FALSE,"WFTE_Summary";#N/A,#N/A,FALSE,"Funded_WFTE";#N/A,#N/A,FALSE,"PYADJ96"}</definedName>
    <definedName name="PRACTOCE" hidden="1">{#N/A,#N/A,FALSE,"Summation";#N/A,#N/A,FALSE,"BSA";#N/A,#N/A,FALSE,"Detail1";#N/A,#N/A,FALSE,"Detail2";#N/A,#N/A,FALSE,"Detail3";#N/A,#N/A,FALSE,"WFTE_Summary";#N/A,#N/A,FALSE,"Funded_WFTE";#N/A,#N/A,FALSE,"PYADJ96"}</definedName>
    <definedName name="pravin" hidden="1">#REF!</definedName>
    <definedName name="Precios2" hidden="1">"4APJ09J084B9DSHOQ43O8906O"</definedName>
    <definedName name="Preços" hidden="1">{#N/A,#N/A,FALSE,"Dutos";#N/A,#N/A,FALSE,"Terminais"}</definedName>
    <definedName name="Pres" localSheetId="7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" localSheetId="8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_1" localSheetId="7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_1" localSheetId="8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_1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1" localSheetId="8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1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1_1" localSheetId="8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1_1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entation" localSheetId="8" hidden="1">{#N/A,#N/A,TRUE,"Scenari";#N/A,#N/A,TRUE,"Wacc";#N/A,#N/A,TRUE,"DCF";#N/A,#N/A,TRUE,"TV";#N/A,#N/A,TRUE,"Ctrl";#N/A,#N/A,TRUE,"EVA ";#N/A,#N/A,TRUE,"Mista"}</definedName>
    <definedName name="presentation" hidden="1">{#N/A,#N/A,TRUE,"Scenari";#N/A,#N/A,TRUE,"Wacc";#N/A,#N/A,TRUE,"DCF";#N/A,#N/A,TRUE,"TV";#N/A,#N/A,TRUE,"Ctrl";#N/A,#N/A,TRUE,"EVA ";#N/A,#N/A,TRUE,"Mista"}</definedName>
    <definedName name="presentation_1" localSheetId="8" hidden="1">{#N/A,#N/A,TRUE,"Scenari";#N/A,#N/A,TRUE,"Wacc";#N/A,#N/A,TRUE,"DCF";#N/A,#N/A,TRUE,"TV";#N/A,#N/A,TRUE,"Ctrl";#N/A,#N/A,TRUE,"EVA ";#N/A,#N/A,TRUE,"Mista"}</definedName>
    <definedName name="presentation_1" hidden="1">{#N/A,#N/A,TRUE,"Scenari";#N/A,#N/A,TRUE,"Wacc";#N/A,#N/A,TRUE,"DCF";#N/A,#N/A,TRUE,"TV";#N/A,#N/A,TRUE,"Ctrl";#N/A,#N/A,TRUE,"EVA ";#N/A,#N/A,TRUE,"Mista"}</definedName>
    <definedName name="Prezzovolumi2" localSheetId="8" hidden="1">{#N/A,#N/A,FALSE,"Calc";#N/A,#N/A,FALSE,"Sensitivity";#N/A,#N/A,FALSE,"LT Earn.Dil.";#N/A,#N/A,FALSE,"Dil. AVP"}</definedName>
    <definedName name="Prezzovolumi2" hidden="1">{#N/A,#N/A,FALSE,"Calc";#N/A,#N/A,FALSE,"Sensitivity";#N/A,#N/A,FALSE,"LT Earn.Dil.";#N/A,#N/A,FALSE,"Dil. AVP"}</definedName>
    <definedName name="Prezzovolumi2_1" localSheetId="8" hidden="1">{#N/A,#N/A,FALSE,"Calc";#N/A,#N/A,FALSE,"Sensitivity";#N/A,#N/A,FALSE,"LT Earn.Dil.";#N/A,#N/A,FALSE,"Dil. AVP"}</definedName>
    <definedName name="Prezzovolumi2_1" hidden="1">{#N/A,#N/A,FALSE,"Calc";#N/A,#N/A,FALSE,"Sensitivity";#N/A,#N/A,FALSE,"LT Earn.Dil.";#N/A,#N/A,FALSE,"Dil. AVP"}</definedName>
    <definedName name="PriceRange" hidden="1">OFFSET(#REF!,5,0,COUNTA(#REF!)-COUNTA(#REF!),1)</definedName>
    <definedName name="PriceRangeMain" hidden="1">#REF!</definedName>
    <definedName name="print" hidden="1">#REF!</definedName>
    <definedName name="Print_CSC_Report_2" localSheetId="8" hidden="1">{"CSC_1",#N/A,FALSE,"CSC Outputs";"CSC_2",#N/A,FALSE,"CSC Outputs"}</definedName>
    <definedName name="Print_CSC_Report_2" hidden="1">{"CSC_1",#N/A,FALSE,"CSC Outputs";"CSC_2",#N/A,FALSE,"CSC Outputs"}</definedName>
    <definedName name="Print_CSC_Report_3" localSheetId="8" hidden="1">{"CSC_1",#N/A,FALSE,"CSC Outputs";"CSC_2",#N/A,FALSE,"CSC Outputs"}</definedName>
    <definedName name="Print_CSC_Report_3" hidden="1">{"CSC_1",#N/A,FALSE,"CSC Outputs";"CSC_2",#N/A,FALSE,"CSC Outputs"}</definedName>
    <definedName name="print4" localSheetId="8" hidden="1">{#N/A,#N/A,FALSE,"Operations";#N/A,#N/A,FALSE,"Financials"}</definedName>
    <definedName name="print4" hidden="1">{#N/A,#N/A,FALSE,"Operations";#N/A,#N/A,FALSE,"Financials"}</definedName>
    <definedName name="print4_1" localSheetId="8" hidden="1">{#N/A,#N/A,FALSE,"Operations";#N/A,#N/A,FALSE,"Financials"}</definedName>
    <definedName name="print4_1" hidden="1">{#N/A,#N/A,FALSE,"Operations";#N/A,#N/A,FALSE,"Financials"}</definedName>
    <definedName name="PrintBuyer" localSheetId="8" hidden="1">{#N/A,"DR",FALSE,"increm pf";#N/A,"MAMSI",FALSE,"increm pf";#N/A,"MAXI",FALSE,"increm pf";#N/A,"PCAM",FALSE,"increm pf";#N/A,"PHSV",FALSE,"increm pf";#N/A,"SIE",FALSE,"increm pf"}</definedName>
    <definedName name="PrintBuyer" hidden="1">{#N/A,"DR",FALSE,"increm pf";#N/A,"MAMSI",FALSE,"increm pf";#N/A,"MAXI",FALSE,"increm pf";#N/A,"PCAM",FALSE,"increm pf";#N/A,"PHSV",FALSE,"increm pf";#N/A,"SIE",FALSE,"increm pf"}</definedName>
    <definedName name="PrintBuyer_1" localSheetId="8" hidden="1">{#N/A,"DR",FALSE,"increm pf";#N/A,"MAMSI",FALSE,"increm pf";#N/A,"MAXI",FALSE,"increm pf";#N/A,"PCAM",FALSE,"increm pf";#N/A,"PHSV",FALSE,"increm pf";#N/A,"SIE",FALSE,"increm pf"}</definedName>
    <definedName name="PrintBuyer_1" hidden="1">{#N/A,"DR",FALSE,"increm pf";#N/A,"MAMSI",FALSE,"increm pf";#N/A,"MAXI",FALSE,"increm pf";#N/A,"PCAM",FALSE,"increm pf";#N/A,"PHSV",FALSE,"increm pf";#N/A,"SIE",FALSE,"increm pf"}</definedName>
    <definedName name="PrintEnd" hidden="1">#REF!</definedName>
    <definedName name="PrintStart" hidden="1">#REF!</definedName>
    <definedName name="Procef" localSheetId="7" hidden="1">{#N/A,#N/A,FALSE,"Pharm";#N/A,#N/A,FALSE,"WWCM"}</definedName>
    <definedName name="Procef" localSheetId="8" hidden="1">{#N/A,#N/A,FALSE,"Pharm";#N/A,#N/A,FALSE,"WWCM"}</definedName>
    <definedName name="Procef" hidden="1">{#N/A,#N/A,FALSE,"Pharm";#N/A,#N/A,FALSE,"WWCM"}</definedName>
    <definedName name="prod" localSheetId="7" hidden="1">{#N/A,#N/A,FALSE,"Pharm";#N/A,#N/A,FALSE,"WWCM"}</definedName>
    <definedName name="prod" localSheetId="8" hidden="1">{#N/A,#N/A,FALSE,"Pharm";#N/A,#N/A,FALSE,"WWCM"}</definedName>
    <definedName name="prod" hidden="1">{#N/A,#N/A,FALSE,"Pharm";#N/A,#N/A,FALSE,"WWCM"}</definedName>
    <definedName name="ProdForm" hidden="1">#REF!</definedName>
    <definedName name="Product" hidden="1">#REF!</definedName>
    <definedName name="ProfColumn" hidden="1">#REF!</definedName>
    <definedName name="ProfComm" hidden="1">#REF!</definedName>
    <definedName name="profit" localSheetId="8" hidden="1">{"profit",#N/A,FALSE,"Aerospace";"profit",#N/A,FALSE,"Engines";"profit",#N/A,FALSE,"AES";"profit",#N/A,FALSE,"ES";"profit",#N/A,FALSE,"CAS";"profit",#N/A,FALSE,"ATSC";"profit",#N/A,FALSE,"FMT";"profit",#N/A,FALSE,"Aero Other";"profit",#N/A,FALSE,"Judgement"}</definedName>
    <definedName name="profit" hidden="1">{"profit",#N/A,FALSE,"Aerospace";"profit",#N/A,FALSE,"Engines";"profit",#N/A,FALSE,"AES";"profit",#N/A,FALSE,"ES";"profit",#N/A,FALSE,"CAS";"profit",#N/A,FALSE,"ATSC";"profit",#N/A,FALSE,"FMT";"profit",#N/A,FALSE,"Aero Other";"profit",#N/A,FALSE,"Judgement"}</definedName>
    <definedName name="profit1" localSheetId="8" hidden="1">{"profit",#N/A,FALSE,"Aerospace";"profit",#N/A,FALSE,"Engines";"profit",#N/A,FALSE,"AES";"profit",#N/A,FALSE,"ES";"profit",#N/A,FALSE,"CAS";"profit",#N/A,FALSE,"ATSC";"profit",#N/A,FALSE,"FMT";"profit",#N/A,FALSE,"Aero Other";"profit",#N/A,FALSE,"Judgement"}</definedName>
    <definedName name="profit1" hidden="1">{"profit",#N/A,FALSE,"Aerospace";"profit",#N/A,FALSE,"Engines";"profit",#N/A,FALSE,"AES";"profit",#N/A,FALSE,"ES";"profit",#N/A,FALSE,"CAS";"profit",#N/A,FALSE,"ATSC";"profit",#N/A,FALSE,"FMT";"profit",#N/A,FALSE,"Aero Other";"profit",#N/A,FALSE,"Judgement"}</definedName>
    <definedName name="ProfStart" hidden="1">#REF!</definedName>
    <definedName name="PROGNOSIS" hidden="1">"2000-1"</definedName>
    <definedName name="prolinks_04f18f66bd9742eb86aa1c18b333abb3" hidden="1">#REF!</definedName>
    <definedName name="prolinks_074870fc694a440499e0be7cbaea18c7" hidden="1">#REF!</definedName>
    <definedName name="prolinks_0b382e61da2e4e0386a8dcef799dbedf" hidden="1">#REF!</definedName>
    <definedName name="prolinks_1572fd8b54644ec8affb9e87e73cb101" hidden="1">#REF!</definedName>
    <definedName name="prolinks_178e4a53dcc64d379ffe35f9823a91dd" hidden="1">#REF!</definedName>
    <definedName name="prolinks_240ddffa3ef741b1b36af08a19aec344" hidden="1">#REF!</definedName>
    <definedName name="prolinks_288177d9c201486991109cd4c552b64d" hidden="1">#REF!</definedName>
    <definedName name="prolinks_34e5d877ab96438db03f22cf0b14d241" hidden="1">#REF!</definedName>
    <definedName name="prolinks_3ecfbb7d1bae484fb8b681776ec8238b" hidden="1">#REF!</definedName>
    <definedName name="prolinks_3f92cb70860a461cb86ba6c8121cf35a" hidden="1">#REF!</definedName>
    <definedName name="prolinks_4413c270254a470881e924f8df745232" hidden="1">#REF!</definedName>
    <definedName name="prolinks_4cf3dd2caa3e49ee8b1c968c3bcb01f0" hidden="1">#REF!</definedName>
    <definedName name="prolinks_4cfc8a9e8f8d4653a04dae5136828318" hidden="1">#REF!</definedName>
    <definedName name="prolinks_5d5dd59f3ca94c13849e87bac75e606c" hidden="1">#REF!</definedName>
    <definedName name="prolinks_67df9876a4ce409aba212e671eb6968c" hidden="1">#REF!</definedName>
    <definedName name="prolinks_69a6c791590e4ba3a4dadcd7b42ad206" hidden="1">#REF!</definedName>
    <definedName name="prolinks_6a5eb0e472964235a10acf60834baeee" hidden="1">#REF!</definedName>
    <definedName name="prolinks_703ed61a6f624188940c1701af7f9537" hidden="1">#REF!</definedName>
    <definedName name="prolinks_7611e3d308e24db6913ee430f0e3dc6e" hidden="1">#REF!</definedName>
    <definedName name="prolinks_792c04e669db4cf28e8e85902549fe57" hidden="1">#REF!</definedName>
    <definedName name="prolinks_7efdaa9b17494513a42dcfedf7610ca7" hidden="1">#REF!</definedName>
    <definedName name="prolinks_8e56757832614bb9863d920b7da1fe6a" hidden="1">#REF!</definedName>
    <definedName name="prolinks_91292efade344cb9aab2ea4732577b4f" hidden="1">#REF!</definedName>
    <definedName name="prolinks_93bbc272291f4c5d92b5ab78598cd3bc" hidden="1">#REF!</definedName>
    <definedName name="prolinks_971289c62971480f8f3ab139e7015eff" hidden="1">#REF!</definedName>
    <definedName name="prolinks_a6ee9dd692864d1b8ff0e7f4a2fd3074" hidden="1">#REF!</definedName>
    <definedName name="prolinks_b632c8a78d3b4ecba7a72bc6de06e218" hidden="1">#REF!</definedName>
    <definedName name="prolinks_c0e9fe00c8924f72a5ac2da7d5807362" hidden="1">#REF!</definedName>
    <definedName name="prolinks_c2b4b3023e8c476aa833606a5481e88d" hidden="1">#REF!</definedName>
    <definedName name="prolinks_c50417804300473fa5dd021438dbcdf3" hidden="1">#REF!</definedName>
    <definedName name="prolinks_c573b92adb0f4df7b8fa26ded2d66dbf" hidden="1">#REF!</definedName>
    <definedName name="prolinks_d0fceb7d48e644648094e91bb3eea953" hidden="1">#REF!</definedName>
    <definedName name="prolinks_de098f7760e44caba3310440a7e25f28" hidden="1">#REF!</definedName>
    <definedName name="prolinks_e246f9d749ce4071ad363f29b34f7160" hidden="1">#REF!</definedName>
    <definedName name="prolinks_e27309b7ed5542d8a896e200603b394d" hidden="1">#REF!</definedName>
    <definedName name="prolinks_e92620407d594d2c88353ec5bc011299" hidden="1">#REF!</definedName>
    <definedName name="prolinks_e9661ce0b6664173ac330c1c31767bc5" hidden="1">#REF!</definedName>
    <definedName name="prolinks_f67a83682c4a4fa2a4dfdee839503bc7" hidden="1">#REF!</definedName>
    <definedName name="prout" localSheetId="8" hidden="1">{"comp1",#N/A,FALSE,"COMPS";"footnotes",#N/A,FALSE,"COMPS"}</definedName>
    <definedName name="prout" hidden="1">{"comp1",#N/A,FALSE,"COMPS";"footnotes",#N/A,FALSE,"COMPS"}</definedName>
    <definedName name="prout_1" localSheetId="8" hidden="1">{"comp1",#N/A,FALSE,"COMPS";"footnotes",#N/A,FALSE,"COMPS"}</definedName>
    <definedName name="prout_1" hidden="1">{"comp1",#N/A,FALSE,"COMPS";"footnotes",#N/A,FALSE,"COMPS"}</definedName>
    <definedName name="prova2" localSheetId="8" hidden="1">{#N/A,#N/A,FALSE,"IC Annex";#N/A,#N/A,FALSE,"Sensitivity";#N/A,#N/A,FALSE,"Key Assumptions";#N/A,#N/A,FALSE,"Graphs";#N/A,#N/A,FALSE,"Global Assumptions";#N/A,#N/A,FALSE,"P&amp;L";#N/A,#N/A,FALSE,"Balance Sheet";#N/A,#N/A,FALSE,"Cash Flow"}</definedName>
    <definedName name="prova2" hidden="1">{#N/A,#N/A,FALSE,"IC Annex";#N/A,#N/A,FALSE,"Sensitivity";#N/A,#N/A,FALSE,"Key Assumptions";#N/A,#N/A,FALSE,"Graphs";#N/A,#N/A,FALSE,"Global Assumptions";#N/A,#N/A,FALSE,"P&amp;L";#N/A,#N/A,FALSE,"Balance Sheet";#N/A,#N/A,FALSE,"Cash Flow"}</definedName>
    <definedName name="proy" localSheetId="7" hidden="1">{"Análisis Ventas Ppto 2000",#N/A,FALSE,"Grupo";"Cta Res Ppto 2000",#N/A,FALSE,"Grupo";"Impacto Ppto 2000",#N/A,FALSE,"Grupo";"Bce Ppto 2000",#N/A,FALSE,"Grupo";"Cashflow Ppto 2000",#N/A,FALSE,"Grupo";"Resumen de Ventas",#N/A,FALSE,"VENTAS 2000";"Resumen Cta Res",#N/A,FALSE,"CTA RES 2000"}</definedName>
    <definedName name="proy" localSheetId="8" hidden="1">{"Análisis Ventas Ppto 2000",#N/A,FALSE,"Grupo";"Cta Res Ppto 2000",#N/A,FALSE,"Grupo";"Impacto Ppto 2000",#N/A,FALSE,"Grupo";"Bce Ppto 2000",#N/A,FALSE,"Grupo";"Cashflow Ppto 2000",#N/A,FALSE,"Grupo";"Resumen de Ventas",#N/A,FALSE,"VENTAS 2000";"Resumen Cta Res",#N/A,FALSE,"CTA RES 2000"}</definedName>
    <definedName name="proy" hidden="1">{"Análisis Ventas Ppto 2000",#N/A,FALSE,"Grupo";"Cta Res Ppto 2000",#N/A,FALSE,"Grupo";"Impacto Ppto 2000",#N/A,FALSE,"Grupo";"Bce Ppto 2000",#N/A,FALSE,"Grupo";"Cashflow Ppto 2000",#N/A,FALSE,"Grupo";"Resumen de Ventas",#N/A,FALSE,"VENTAS 2000";"Resumen Cta Res",#N/A,FALSE,"CTA RES 2000"}</definedName>
    <definedName name="proy_1" localSheetId="8" hidden="1">{"Análisis Ventas Ppto 2000",#N/A,FALSE,"Grupo";"Cta Res Ppto 2000",#N/A,FALSE,"Grupo";"Impacto Ppto 2000",#N/A,FALSE,"Grupo";"Bce Ppto 2000",#N/A,FALSE,"Grupo";"Cashflow Ppto 2000",#N/A,FALSE,"Grupo";"Resumen de Ventas",#N/A,FALSE,"VENTAS 2000";"Resumen Cta Res",#N/A,FALSE,"CTA RES 2000"}</definedName>
    <definedName name="proy_1" hidden="1">{"Análisis Ventas Ppto 2000",#N/A,FALSE,"Grupo";"Cta Res Ppto 2000",#N/A,FALSE,"Grupo";"Impacto Ppto 2000",#N/A,FALSE,"Grupo";"Bce Ppto 2000",#N/A,FALSE,"Grupo";"Cashflow Ppto 2000",#N/A,FALSE,"Grupo";"Resumen de Ventas",#N/A,FALSE,"VENTAS 2000";"Resumen Cta Res",#N/A,FALSE,"CTA RES 2000"}</definedName>
    <definedName name="proyecc1" localSheetId="7" hidden="1">{"Mes Marzo",#N/A,FALSE,"VENTAS 99";"Acum. Marzo",#N/A,FALSE,"VENTAS 99"}</definedName>
    <definedName name="proyecc1" localSheetId="8" hidden="1">{"Mes Marzo",#N/A,FALSE,"VENTAS 99";"Acum. Marzo",#N/A,FALSE,"VENTAS 99"}</definedName>
    <definedName name="proyecc1" hidden="1">{"Mes Marzo",#N/A,FALSE,"VENTAS 99";"Acum. Marzo",#N/A,FALSE,"VENTAS 99"}</definedName>
    <definedName name="proyecc1_1" localSheetId="8" hidden="1">{"Mes Marzo",#N/A,FALSE,"VENTAS 99";"Acum. Marzo",#N/A,FALSE,"VENTAS 99"}</definedName>
    <definedName name="proyecc1_1" hidden="1">{"Mes Marzo",#N/A,FALSE,"VENTAS 99";"Acum. Marzo",#N/A,FALSE,"VENTAS 99"}</definedName>
    <definedName name="proyeccion" localSheetId="7" hidden="1">{"Mes Marzo",#N/A,FALSE,"VENTAS 99";"Acum. Marzo",#N/A,FALSE,"VENTAS 99"}</definedName>
    <definedName name="proyeccion" localSheetId="8" hidden="1">{"Mes Marzo",#N/A,FALSE,"VENTAS 99";"Acum. Marzo",#N/A,FALSE,"VENTAS 99"}</definedName>
    <definedName name="proyeccion" hidden="1">{"Mes Marzo",#N/A,FALSE,"VENTAS 99";"Acum. Marzo",#N/A,FALSE,"VENTAS 99"}</definedName>
    <definedName name="proyeccion_1" localSheetId="8" hidden="1">{"Mes Marzo",#N/A,FALSE,"VENTAS 99";"Acum. Marzo",#N/A,FALSE,"VENTAS 99"}</definedName>
    <definedName name="proyeccion_1" hidden="1">{"Mes Marzo",#N/A,FALSE,"VENTAS 99";"Acum. Marzo",#N/A,FALSE,"VENTAS 99"}</definedName>
    <definedName name="ps" localSheetId="8" hidden="1">{#N/A,#N/A,TRUE,"Voorblad B";#N/A,#N/A,TRUE,"Table of Content FinCom B";#N/A,#N/A,TRUE,"A3-P&amp;L by Bus.Unt-Serv.Unt";#N/A,#N/A,TRUE,"Summary carrier service";#N/A,#N/A,TRUE,"Summary Large accounts";#N/A,#N/A,TRUE,"Summary Consumer";#N/A,#N/A,TRUE,"Mobile";#N/A,#N/A,TRUE,"B5-Mobile(1) ";#N/A,#N/A,TRUE,"B4-GM per Product";#N/A,#N/A,TRUE,"Summary N&amp;S";#N/A,#N/A,TRUE,"B15-Network ";#N/A,#N/A,TRUE,"Summary ITbilling";#N/A,#N/A,TRUE,"Billing backlog";#N/A,#N/A,TRUE,"Summary Corporate";#N/A,#N/A,TRUE,"A5-Bal_Sheet CF";#N/A,#N/A,TRUE,"A6-Bal_Sheet CF by Old org. ";#N/A,#N/A,TRUE,"P13-Funding- Inter.";#N/A,#N/A,TRUE,"P14-Risk &amp; Fraud Fixed";#N/A,#N/A,TRUE,"P14-Risk &amp; Fraud Mobile";#N/A,#N/A,TRUE,"Accounts payable"}</definedName>
    <definedName name="ps" hidden="1">{#N/A,#N/A,TRUE,"Voorblad B";#N/A,#N/A,TRUE,"Table of Content FinCom B";#N/A,#N/A,TRUE,"A3-P&amp;L by Bus.Unt-Serv.Unt";#N/A,#N/A,TRUE,"Summary carrier service";#N/A,#N/A,TRUE,"Summary Large accounts";#N/A,#N/A,TRUE,"Summary Consumer";#N/A,#N/A,TRUE,"Mobile";#N/A,#N/A,TRUE,"B5-Mobile(1) ";#N/A,#N/A,TRUE,"B4-GM per Product";#N/A,#N/A,TRUE,"Summary N&amp;S";#N/A,#N/A,TRUE,"B15-Network ";#N/A,#N/A,TRUE,"Summary ITbilling";#N/A,#N/A,TRUE,"Billing backlog";#N/A,#N/A,TRUE,"Summary Corporate";#N/A,#N/A,TRUE,"A5-Bal_Sheet CF";#N/A,#N/A,TRUE,"A6-Bal_Sheet CF by Old org. ";#N/A,#N/A,TRUE,"P13-Funding- Inter.";#N/A,#N/A,TRUE,"P14-Risk &amp; Fraud Fixed";#N/A,#N/A,TRUE,"P14-Risk &amp; Fraud Mobile";#N/A,#N/A,TRUE,"Accounts payable"}</definedName>
    <definedName name="PSWFormInput_0" localSheetId="8" hidden="1">#REF!</definedName>
    <definedName name="PSWFormInput_0" hidden="1">#REF!</definedName>
    <definedName name="PSWOutput_0" localSheetId="8" hidden="1">#REF!</definedName>
    <definedName name="PSWOutput_0" hidden="1">#REF!</definedName>
    <definedName name="PSWSeries_0_0_Labels" localSheetId="8" hidden="1">#REF!</definedName>
    <definedName name="PSWSeries_0_0_Labels" hidden="1">#REF!</definedName>
    <definedName name="PSWSeries_0_0_Values" hidden="1">#REF!</definedName>
    <definedName name="PSWSeries_1_0_Labels" hidden="1">#REF!</definedName>
    <definedName name="PSWSeries_1_0_Values" hidden="1">#REF!</definedName>
    <definedName name="ptas" hidden="1">#REF!</definedName>
    <definedName name="PTEeXToEUR" localSheetId="8" hidden="1">1/EUReXToPTE</definedName>
    <definedName name="PTEeXToEUR" hidden="1">1/EUReXToPTE</definedName>
    <definedName name="PTRU" localSheetId="8" hidden="1">{#N/A,#N/A,FALSE,"Min compar us";#N/A,#N/A,FALSE,"Min US Equité ";#N/A,#N/A,FALSE,"Analyse U.S."}</definedName>
    <definedName name="PTRU" hidden="1">{#N/A,#N/A,FALSE,"Min compar us";#N/A,#N/A,FALSE,"Min US Equité ";#N/A,#N/A,FALSE,"Analyse U.S."}</definedName>
    <definedName name="pù" hidden="1">#REF!</definedName>
    <definedName name="PUB_FileID" localSheetId="7" hidden="1">"L10003649.xls"</definedName>
    <definedName name="PUB_FileID" localSheetId="8" hidden="1">"L10003649.xls"</definedName>
    <definedName name="PUB_FileID" hidden="1">"L10003649.xls"</definedName>
    <definedName name="PUB_UserID" hidden="1">"MAYERX"</definedName>
    <definedName name="pucspadd42" localSheetId="8" hidden="1">{#N/A,"PURCHM",FALSE,"Business Analysis";#N/A,"SPADD",FALSE,"Business Analysis"}</definedName>
    <definedName name="pucspadd42" hidden="1">{#N/A,"PURCHM",FALSE,"Business Analysis";#N/A,"SPADD",FALSE,"Business Analysis"}</definedName>
    <definedName name="pupi" localSheetId="8" hidden="1">{"YD OTHER",#N/A,FALSE,"YTD"}</definedName>
    <definedName name="pupi" hidden="1">{"YD OTHER",#N/A,FALSE,"YTD"}</definedName>
    <definedName name="püpoüpoüpo" localSheetId="8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püpoüpoüpo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püpü" localSheetId="8" hidden="1">{#N/A,#N/A,FALSE,"Umsatz 99";#N/A,#N/A,FALSE,"ER 99 "}</definedName>
    <definedName name="püpü" hidden="1">{#N/A,#N/A,FALSE,"Umsatz 99";#N/A,#N/A,FALSE,"ER 99 "}</definedName>
    <definedName name="pwa" localSheetId="8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pwa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pwoefù" localSheetId="8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pwoefù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pwoefù_1" localSheetId="8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pwoefù_1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pwoefu_2" localSheetId="8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pwoefu_2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pz" localSheetId="8" hidden="1">{"Month Summary",#N/A,FALSE,"Summary";"Total Details",#N/A,FALSE,"Current Yr";"Polymers Details",#N/A,FALSE,"Current Yr";"Performance Details",#N/A,FALSE,"Current Yr";"ICD Details",#N/A,FALSE,"Current Yr"}</definedName>
    <definedName name="pz" hidden="1">{"Month Summary",#N/A,FALSE,"Summary";"Total Details",#N/A,FALSE,"Current Yr";"Polymers Details",#N/A,FALSE,"Current Yr";"Performance Details",#N/A,FALSE,"Current Yr";"ICD Details",#N/A,FALSE,"Current Yr"}</definedName>
    <definedName name="q" localSheetId="8" hidden="1">{#N/A,#N/A,TRUE,"Header";#N/A,#N/A,TRUE,"Total";#N/A,#N/A,TRUE,"Core";#N/A,#N/A,TRUE,"New";#N/A,#N/A,TRUE,"Core Units Rev";#N/A,#N/A,TRUE,"Core Units GM";#N/A,#N/A,TRUE,"Core Units GM%";#N/A,#N/A,TRUE,"Core Units SGA";#N/A,#N/A,TRUE,"Core Units EBIT";#N/A,#N/A,TRUE,"New Units Rev";#N/A,#N/A,TRUE,"New Units GM";#N/A,#N/A,TRUE,"New Units GM%";#N/A,#N/A,TRUE,"New Units SGA";#N/A,#N/A,TRUE,"New Units EBIT";#N/A,#N/A,TRUE,"Summary";#N/A,#N/A,TRUE,"Summary (2)";#N/A,#N/A,TRUE,"Var to last mth";#N/A,#N/A,TRUE,"Revenue";#N/A,#N/A,TRUE,"COS";#N/A,#N/A,TRUE,"Gross Margin";#N/A,#N/A,TRUE,"SG&amp;A";#N/A,#N/A,TRUE,"EBITDA";#N/A,#N/A,TRUE,"Depn&amp;Amort";#N/A,#N/A,TRUE,"EBIT";#N/A,#N/A,TRUE,"Contingency"}</definedName>
    <definedName name="q" hidden="1">{#N/A,#N/A,FALSE,"Pliego";#N/A,#N/A,FALSE,"Coeficientes";#N/A,#N/A,FALSE,"Cond. Diseño";#N/A,#N/A,FALSE,"Reactor Cullera";#N/A,#N/A,FALSE,"Tres fases";#N/A,#N/A,FALSE,"Dos fases";#N/A,#N/A,FALSE,"Resumen";#N/A,#N/A,FALSE,"Fosforo";#N/A,#N/A,FALSE,"Recirculacion";#N/A,#N/A,FALSE,"Exceso fango";#N/A,#N/A,FALSE,"Decantador";#N/A,#N/A,FALSE,"Desinfeccion";#N/A,#N/A,FALSE,"Recir. int."}</definedName>
    <definedName name="q_1" localSheetId="8" hidden="1">{"Ergebnisbericht_UBA",#N/A,FALSE,"MB"}</definedName>
    <definedName name="q_1" hidden="1">{"Ergebnisbericht_UBA",#N/A,FALSE,"MB"}</definedName>
    <definedName name="Q3versusSeg" localSheetId="8" hidden="1">{"Monthly6Q",#N/A,FALSE,"0614ESL"}</definedName>
    <definedName name="Q3versusSeg" hidden="1">{"Monthly6Q",#N/A,FALSE,"0614ESL"}</definedName>
    <definedName name="Q3vsSeg" localSheetId="8" hidden="1">{"Monthly6Q",#N/A,FALSE,"0614ESL"}</definedName>
    <definedName name="Q3vsSeg" hidden="1">{"Monthly6Q",#N/A,FALSE,"0614ESL"}</definedName>
    <definedName name="qaaaa" localSheetId="8" hidden="1">{"detail",#N/A,FALSE,"mfg";"summary",#N/A,FALSE,"mfg"}</definedName>
    <definedName name="qaaaa" hidden="1">{"detail",#N/A,FALSE,"mfg";"summary",#N/A,FALSE,"mfg"}</definedName>
    <definedName name="qaecdaze" localSheetId="8" hidden="1">{"First Page",#N/A,FALSE,"Surfactants LBO";"Second Page",#N/A,FALSE,"Surfactants LBO"}</definedName>
    <definedName name="qaecdaze" hidden="1">{"First Page",#N/A,FALSE,"Surfactants LBO";"Second Page",#N/A,FALSE,"Surfactants LBO"}</definedName>
    <definedName name="qaecdaze_1" localSheetId="8" hidden="1">{"First Page",#N/A,FALSE,"Surfactants LBO";"Second Page",#N/A,FALSE,"Surfactants LBO"}</definedName>
    <definedName name="qaecdaze_1" hidden="1">{"First Page",#N/A,FALSE,"Surfactants LBO";"Second Page",#N/A,FALSE,"Surfactants LBO"}</definedName>
    <definedName name="qar" localSheetId="8" hidden="1">{#N/A,#N/A,FALSE,"SUMMARY";"BASIS",#N/A,FALSE,"BASIS";"PRICES",#N/A,FALSE,"PRICES";"YIELD",#N/A,FALSE,"YIELD";"INCOME",#N/A,FALSE,"ECONOMIC";"DCF",#N/A,FALSE,"DCF"}</definedName>
    <definedName name="qar" hidden="1">{#N/A,#N/A,FALSE,"SUMMARY";"BASIS",#N/A,FALSE,"BASIS";"PRICES",#N/A,FALSE,"PRICES";"YIELD",#N/A,FALSE,"YIELD";"INCOME",#N/A,FALSE,"ECONOMIC";"DCF",#N/A,FALSE,"DCF"}</definedName>
    <definedName name="qasdcfv" hidden="1">#REF!</definedName>
    <definedName name="QASW" localSheetId="8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QASW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qaswsws" localSheetId="8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qaswsws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qaz" localSheetId="7" hidden="1">{#N/A,#N/A,FALSE,"Pharm";#N/A,#N/A,FALSE,"WWCM"}</definedName>
    <definedName name="qaz" localSheetId="8" hidden="1">{#N/A,#N/A,FALSE,"Pharm";#N/A,#N/A,FALSE,"WWCM"}</definedName>
    <definedName name="qaz" hidden="1">{#N/A,#N/A,FALSE,"Pharm";#N/A,#N/A,FALSE,"WWCM"}</definedName>
    <definedName name="qazaqaa" localSheetId="8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qazaqaa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qeoi" localSheetId="8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qeoi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qeoin" localSheetId="8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qeoin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qepiubg" localSheetId="8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qepiub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qepiwubg" localSheetId="8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qepiwub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qepoiubg" localSheetId="8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qepoiub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qeq" localSheetId="8" hidden="1">{"'100'!$A$1:$M$83"}</definedName>
    <definedName name="qeq" hidden="1">{"'100'!$A$1:$M$83"}</definedName>
    <definedName name="qeqee" localSheetId="8" hidden="1">{#N/A,#N/A,FALSE,"Produkte Erw.";#N/A,#N/A,FALSE,"Produkte Plan";#N/A,#N/A,FALSE,"Leistungen Erw.";#N/A,#N/A,FALSE,"Leistungen Plan";#N/A,#N/A,FALSE,"KA Allg.Kosten (2)";#N/A,#N/A,FALSE,"KA All.Kosten"}</definedName>
    <definedName name="qeqee" hidden="1">{#N/A,#N/A,FALSE,"Produkte Erw.";#N/A,#N/A,FALSE,"Produkte Plan";#N/A,#N/A,FALSE,"Leistungen Erw.";#N/A,#N/A,FALSE,"Leistungen Plan";#N/A,#N/A,FALSE,"KA Allg.Kosten (2)";#N/A,#N/A,FALSE,"KA All.Kosten"}</definedName>
    <definedName name="qerq" localSheetId="8" hidden="1">{"Ergebnisbericht_UBA",#N/A,FALSE,"MB"}</definedName>
    <definedName name="qerq" hidden="1">{"Ergebnisbericht_UBA",#N/A,FALSE,"MB"}</definedName>
    <definedName name="qerq_1" localSheetId="8" hidden="1">{"Ergebnisbericht_UBA",#N/A,FALSE,"MB"}</definedName>
    <definedName name="qerq_1" hidden="1">{"Ergebnisbericht_UBA",#N/A,FALSE,"MB"}</definedName>
    <definedName name="qertweyu" localSheetId="7" hidden="1">{#N/A,#N/A,FALSE,"REPORT"}</definedName>
    <definedName name="qertweyu" localSheetId="8" hidden="1">{#N/A,#N/A,FALSE,"REPORT"}</definedName>
    <definedName name="qertweyu" hidden="1">{#N/A,#N/A,FALSE,"REPORT"}</definedName>
    <definedName name="qesd" localSheetId="8" hidden="1">{"Page 1",#N/A,FALSE,"OpExJanVsPY";"Page 2",#N/A,FALSE,"OpExJanVsPY"}</definedName>
    <definedName name="qesd" hidden="1">{"Page 1",#N/A,FALSE,"OpExJanVsPY";"Page 2",#N/A,FALSE,"OpExJanVsPY"}</definedName>
    <definedName name="qet" localSheetId="8" hidden="1">{"Eilbericht_UBA",#N/A,FALSE,"EB"}</definedName>
    <definedName name="qet" hidden="1">{"Eilbericht_UBA",#N/A,FALSE,"EB"}</definedName>
    <definedName name="qet_1" localSheetId="8" hidden="1">{"Eilbericht_UBA",#N/A,FALSE,"EB"}</definedName>
    <definedName name="qet_1" hidden="1">{"Eilbericht_UBA",#N/A,FALSE,"EB"}</definedName>
    <definedName name="qetryywt" localSheetId="7" hidden="1">{#N/A,#N/A,FALSE,"REPORT"}</definedName>
    <definedName name="qetryywt" localSheetId="8" hidden="1">{#N/A,#N/A,FALSE,"REPORT"}</definedName>
    <definedName name="qetryywt" hidden="1">{#N/A,#N/A,FALSE,"REPORT"}</definedName>
    <definedName name="qeuhg" localSheetId="8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qeuh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qewpoung" localSheetId="8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qewpoun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qf" localSheetId="8" hidden="1">{#N/A,#N/A,TRUE,"Cover sheet";#N/A,#N/A,TRUE,"INPUTS";#N/A,#N/A,TRUE,"OUTPUTS";#N/A,#N/A,TRUE,"VALUATION"}</definedName>
    <definedName name="qf" hidden="1">{#N/A,#N/A,TRUE,"Cover sheet";#N/A,#N/A,TRUE,"INPUTS";#N/A,#N/A,TRUE,"OUTPUTS";#N/A,#N/A,TRUE,"VALUATION"}</definedName>
    <definedName name="qf_1" localSheetId="8" hidden="1">{#N/A,#N/A,TRUE,"Cover sheet";#N/A,#N/A,TRUE,"INPUTS";#N/A,#N/A,TRUE,"OUTPUTS";#N/A,#N/A,TRUE,"VALUATION"}</definedName>
    <definedName name="qf_1" hidden="1">{#N/A,#N/A,TRUE,"Cover sheet";#N/A,#N/A,TRUE,"INPUTS";#N/A,#N/A,TRUE,"OUTPUTS";#N/A,#N/A,TRUE,"VALUATION"}</definedName>
    <definedName name="QFAW" localSheetId="8" hidden="1">{"'100'!$A$1:$M$83"}</definedName>
    <definedName name="QFAW" hidden="1">{"'100'!$A$1:$M$83"}</definedName>
    <definedName name="qfdsfq" hidden="1">#REF!</definedName>
    <definedName name="qfdsqsdf" hidden="1">#REF!</definedName>
    <definedName name="qfqf" hidden="1">#REF!</definedName>
    <definedName name="qfqs" hidden="1">#REF!</definedName>
    <definedName name="qgg" localSheetId="8" hidden="1">{#N/A,#N/A,FALSE,"Cover";"outputs total",#N/A,FALSE,"Outputs"}</definedName>
    <definedName name="qgg" hidden="1">{#N/A,#N/A,FALSE,"Cover";"outputs total",#N/A,FALSE,"Outputs"}</definedName>
    <definedName name="qgg_1" localSheetId="8" hidden="1">{#N/A,#N/A,FALSE,"Cover";"outputs total",#N/A,FALSE,"Outputs"}</definedName>
    <definedName name="qgg_1" hidden="1">{#N/A,#N/A,FALSE,"Cover";"outputs total",#N/A,FALSE,"Outputs"}</definedName>
    <definedName name="qi" localSheetId="8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qi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qink" localSheetId="8" hidden="1">{#N/A,"PURCHM",FALSE,"Business Analysis";#N/A,"SPADD",FALSE,"Business Analysis"}</definedName>
    <definedName name="qink" hidden="1">{#N/A,"PURCHM",FALSE,"Business Analysis";#N/A,"SPADD",FALSE,"Business Analysis"}</definedName>
    <definedName name="qiuewbg" localSheetId="8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qiuewb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qiuhgq" localSheetId="8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qiuhgq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QIWUE" localSheetId="8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QIWUE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qlwkhvbe" localSheetId="8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qlwkhvbe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QOAIWKSUIE" localSheetId="8" hidden="1">{#N/A,#N/A,FALSE,"Min compar us";#N/A,#N/A,FALSE,"Min US Equité ";#N/A,#N/A,FALSE,"Analyse U.S."}</definedName>
    <definedName name="QOAIWKSUIE" hidden="1">{#N/A,#N/A,FALSE,"Min compar us";#N/A,#N/A,FALSE,"Min US Equité ";#N/A,#N/A,FALSE,"Analyse U.S."}</definedName>
    <definedName name="qoihebg" localSheetId="8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qoiheb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qoiuewfbgr" localSheetId="8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qoiuewfbgr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qoiugebrq" localSheetId="8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qoiugebrq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qoiuhg" localSheetId="8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qoiuh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qp" localSheetId="8" hidden="1">{"overview",#N/A,FALSE,"summary";"net assets",#N/A,FALSE,"summary";"asset turnover",#N/A,FALSE,"summary";"orona",#N/A,FALSE,"summary"}</definedName>
    <definedName name="qp" hidden="1">{"overview",#N/A,FALSE,"summary";"net assets",#N/A,FALSE,"summary";"asset turnover",#N/A,FALSE,"summary";"orona",#N/A,FALSE,"summary"}</definedName>
    <definedName name="qpeiubg" localSheetId="8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qpeiub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qpeouhg" localSheetId="8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qpeouh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qpewiubg" localSheetId="8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qpewiub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qpewou" localSheetId="8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qpewou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qpiwu" localSheetId="8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qpiwu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qpowiuehg" localSheetId="8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qpowiueh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QPPPP" localSheetId="8" hidden="1">{#N/A,#N/A,FALSE,"Adm comp";#N/A,#N/A,FALSE,"Adm ajust";"adm",#N/A,FALSE,"Administration";#N/A,#N/A,FALSE,"Adm Bgt 97 vs Prév. 96";#N/A,#N/A,FALSE,"Adm Bgt 97 vs 96"}</definedName>
    <definedName name="QPPPP" hidden="1">{#N/A,#N/A,FALSE,"Adm comp";#N/A,#N/A,FALSE,"Adm ajust";"adm",#N/A,FALSE,"Administration";#N/A,#N/A,FALSE,"Adm Bgt 97 vs Prév. 96";#N/A,#N/A,FALSE,"Adm Bgt 97 vs 96"}</definedName>
    <definedName name="QPWOEIRUT" localSheetId="8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QPWOEIRUT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qq" localSheetId="7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qq" localSheetId="8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qq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qq_1" localSheetId="7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qq_1" localSheetId="8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qq_1" hidden="1">{"fssum01",#N/A,FALSE,"fssum";"fssum02",#N/A,FALSE,"fssum"}</definedName>
    <definedName name="qqe" hidden="1">#REF!</definedName>
    <definedName name="qqkkkkk" localSheetId="8" hidden="1">{#N/A,"PURCHM",FALSE,"Business Analysis";#N/A,"SPADD",FALSE,"Business Analysis"}</definedName>
    <definedName name="qqkkkkk" hidden="1">{#N/A,"PURCHM",FALSE,"Business Analysis";#N/A,"SPADD",FALSE,"Business Analysis"}</definedName>
    <definedName name="QQQ" localSheetId="7" hidden="1">#REF!</definedName>
    <definedName name="QQQ" localSheetId="8" hidden="1">#REF!</definedName>
    <definedName name="qqq" hidden="1">{#N/A,#N/A,FALSE,"Pharm";#N/A,#N/A,FALSE,"WWCM"}</definedName>
    <definedName name="qqqaa" localSheetId="8" hidden="1">{"detail",#N/A,FALSE,"mfg";"summary",#N/A,FALSE,"mfg"}</definedName>
    <definedName name="qqqaa" hidden="1">{"detail",#N/A,FALSE,"mfg";"summary",#N/A,FALSE,"mfg"}</definedName>
    <definedName name="qqqq" localSheetId="8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qqqq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qqqq_1" localSheetId="8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qqqq_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qqqqq" localSheetId="8" hidden="1">{#N/A,"PURCHM",FALSE,"Business Analysis";#N/A,"SPADD",FALSE,"Business Analysis"}</definedName>
    <definedName name="qqqqq" hidden="1">{#N/A,"PURCHM",FALSE,"Business Analysis";#N/A,"SPADD",FALSE,"Business Analysis"}</definedName>
    <definedName name="qqqqqq" localSheetId="8" hidden="1">{"QTD_PRS",#N/A,FALSE,"QTD"}</definedName>
    <definedName name="qqqqqq" hidden="1">{"QTD_PRS",#N/A,FALSE,"QTD"}</definedName>
    <definedName name="qqqqqq_1" localSheetId="8" hidden="1">{#N/A,#N/A,FALSE,"Calc";#N/A,#N/A,FALSE,"Sensitivity";#N/A,#N/A,FALSE,"LT Earn.Dil.";#N/A,#N/A,FALSE,"Dil. AVP"}</definedName>
    <definedName name="qqqqqq_1" hidden="1">{#N/A,#N/A,FALSE,"Calc";#N/A,#N/A,FALSE,"Sensitivity";#N/A,#N/A,FALSE,"LT Earn.Dil.";#N/A,#N/A,FALSE,"Dil. AVP"}</definedName>
    <definedName name="qqqqqqq" localSheetId="7" hidden="1">#REF!</definedName>
    <definedName name="qqqqqqq" localSheetId="8" hidden="1">#REF!</definedName>
    <definedName name="QQQQQQQQ" localSheetId="7" hidden="1">{"Acum Div 3",#N/A,FALSE,"Acum Diversos 3"}</definedName>
    <definedName name="QQQQQQQQ" localSheetId="8" hidden="1">{"Acum Div 3",#N/A,FALSE,"Acum Diversos 3"}</definedName>
    <definedName name="QQQQQQQQ" hidden="1">{"Acum Div 3",#N/A,FALSE,"Acum Diversos 3"}</definedName>
    <definedName name="qqqqqqqqq" localSheetId="8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qqqqqqqqq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qqqqqqqqqq" localSheetId="8" hidden="1">{"pro_view",#N/A,FALSE,"EEFSNAP2";"rep_view",#N/A,FALSE,"EEFSNAP2"}</definedName>
    <definedName name="qqqqqqqqqq" hidden="1">{"pro_view",#N/A,FALSE,"EEFSNAP2";"rep_view",#N/A,FALSE,"EEFSNAP2"}</definedName>
    <definedName name="qqqqqqqqqqqqqq" localSheetId="8" hidden="1">{#N/A,#N/A,FALSE,"IS INPUT";#N/A,#N/A,FALSE,"BS INPUT";#N/A,#N/A,FALSE,"IS MTH";#N/A,#N/A,FALSE,"IS LOCAL";#N/A,#N/A,FALSE,"WON ADJ";#N/A,#N/A,FALSE,"USD ADJ";#N/A,#N/A,FALSE,"EQUITY";#N/A,#N/A,FALSE,"IS US ";#N/A,#N/A,FALSE,"BS US"}</definedName>
    <definedName name="qqqqqqqqqqqqqq" hidden="1">{#N/A,#N/A,FALSE,"IS INPUT";#N/A,#N/A,FALSE,"BS INPUT";#N/A,#N/A,FALSE,"IS MTH";#N/A,#N/A,FALSE,"IS LOCAL";#N/A,#N/A,FALSE,"WON ADJ";#N/A,#N/A,FALSE,"USD ADJ";#N/A,#N/A,FALSE,"EQUITY";#N/A,#N/A,FALSE,"IS US ";#N/A,#N/A,FALSE,"BS US"}</definedName>
    <definedName name="qqqqqqqqqqqqqqq" hidden="1">#N/A</definedName>
    <definedName name="qqqqqqqqqqqqqqqq" localSheetId="8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qqqqqqqqqqqqqqqq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qqqqqqqqqqqqqqqqqq" localSheetId="8" hidden="1">{"Area1",#N/A,FALSE,"OREWACC";"Area2",#N/A,FALSE,"OREWACC"}</definedName>
    <definedName name="qqqqqqqqqqqqqqqqqq" hidden="1">{"Area1",#N/A,FALSE,"OREWACC";"Area2",#N/A,FALSE,"OREWACC"}</definedName>
    <definedName name="qqqqqqqqqqqqqqqqqqq" localSheetId="8" hidden="1">{"detail",#N/A,FALSE,"mfg";"summary",#N/A,FALSE,"mfg"}</definedName>
    <definedName name="qqqqqqqqqqqqqqqqqqq" hidden="1">{"detail",#N/A,FALSE,"mfg";"summary",#N/A,FALSE,"mfg"}</definedName>
    <definedName name="qqqqqqqqqqqqqqqqqqqqqqqqqqqqqqqqqqqqqqqqqqqqqqqqqqqqqq" localSheetId="8" hidden="1">{"TXO2N2_SLS",#N/A,FALSE,"MTHLYSLES";"TXH2_SLS",#N/A,FALSE,"MTHLYSLES";"LOUIS_SLS",#N/A,FALSE,"MTHLYSLES";"H2_SLS",#N/A,FALSE,"MTHLYSLES";"O2N2_SLS",#N/A,FALSE,"MTHLYSLES";"PACKAGE_SLS",#N/A,FALSE,"MTHLYSLES"}</definedName>
    <definedName name="qqqqqqqqqqqqqqqqqqqqqqqqqqqqqqqqqqqqqqqqqqqqqqqqqqqqqq" hidden="1">{"TXO2N2_SLS",#N/A,FALSE,"MTHLYSLES";"TXH2_SLS",#N/A,FALSE,"MTHLYSLES";"LOUIS_SLS",#N/A,FALSE,"MTHLYSLES";"H2_SLS",#N/A,FALSE,"MTHLYSLES";"O2N2_SLS",#N/A,FALSE,"MTHLYSLES";"PACKAGE_SLS",#N/A,FALSE,"MTHLYSLES"}</definedName>
    <definedName name="qqws" localSheetId="8" hidden="1">{"'Demand Units'!$Z$2:$AF$53"}</definedName>
    <definedName name="qqws" hidden="1">{"'Demand Units'!$Z$2:$AF$53"}</definedName>
    <definedName name="qqwtweryey" localSheetId="7" hidden="1">{#N/A,#N/A,FALSE,"REPORT"}</definedName>
    <definedName name="qqwtweryey" localSheetId="8" hidden="1">{#N/A,#N/A,FALSE,"REPORT"}</definedName>
    <definedName name="qqwtweryey" hidden="1">{#N/A,#N/A,FALSE,"REPORT"}</definedName>
    <definedName name="qr" localSheetId="8" hidden="1">{"detail",#N/A,FALSE,"mfg";"summary",#N/A,FALSE,"mfg"}</definedName>
    <definedName name="qr" hidden="1">{"detail",#N/A,FALSE,"mfg";"summary",#N/A,FALSE,"mfg"}</definedName>
    <definedName name="qrg" localSheetId="8" hidden="1">{#N/A,#N/A,FALSE,"SUMMARY";"BASIS",#N/A,FALSE,"BASIS";"PRICES",#N/A,FALSE,"PRICES";"YIELD",#N/A,FALSE,"YIELD";"INCOME",#N/A,FALSE,"ECONOMIC";"DCF",#N/A,FALSE,"DCF"}</definedName>
    <definedName name="qrg" hidden="1">{#N/A,#N/A,FALSE,"SUMMARY";"BASIS",#N/A,FALSE,"BASIS";"PRICES",#N/A,FALSE,"PRICES";"YIELD",#N/A,FALSE,"YIELD";"INCOME",#N/A,FALSE,"ECONOMIC";"DCF",#N/A,FALSE,"DCF"}</definedName>
    <definedName name="qs" localSheetId="8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qs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qscfaq" localSheetId="8" hidden="1">{"First Page",#N/A,FALSE,"Surfactants LBO";"Second Page",#N/A,FALSE,"Surfactants LBO"}</definedName>
    <definedName name="qscfaq" hidden="1">{"First Page",#N/A,FALSE,"Surfactants LBO";"Second Page",#N/A,FALSE,"Surfactants LBO"}</definedName>
    <definedName name="qscfaq_1" localSheetId="8" hidden="1">{"First Page",#N/A,FALSE,"Surfactants LBO";"Second Page",#N/A,FALSE,"Surfactants LBO"}</definedName>
    <definedName name="qscfaq_1" hidden="1">{"First Page",#N/A,FALSE,"Surfactants LBO";"Second Page",#N/A,FALSE,"Surfactants LBO"}</definedName>
    <definedName name="qsd" localSheetId="8" hidden="1">{#N/A,#N/A,TRUE,"Cover sheet";#N/A,#N/A,TRUE,"DCF analysis";#N/A,#N/A,TRUE,"WACC calculation"}</definedName>
    <definedName name="qsd" hidden="1">{#N/A,#N/A,TRUE,"Cover sheet";#N/A,#N/A,TRUE,"DCF analysis";#N/A,#N/A,TRUE,"WACC calculation"}</definedName>
    <definedName name="qsd_1" localSheetId="8" hidden="1">{#N/A,#N/A,TRUE,"Cover sheet";#N/A,#N/A,TRUE,"DCF analysis";#N/A,#N/A,TRUE,"WACC calculation"}</definedName>
    <definedName name="qsd_1" hidden="1">{#N/A,#N/A,TRUE,"Cover sheet";#N/A,#N/A,TRUE,"DCF analysis";#N/A,#N/A,TRUE,"WACC calculation"}</definedName>
    <definedName name="qsdf" hidden="1">#REF!</definedName>
    <definedName name="qsdfqsdf" hidden="1">#REF!</definedName>
    <definedName name="qsdfsq" hidden="1">#REF!</definedName>
    <definedName name="qsdjlgzerg" localSheetId="8" hidden="1">{#N/A,#N/A,TRUE,"Cover sheet";#N/A,#N/A,TRUE,"DCF analysis";#N/A,#N/A,TRUE,"WACC calculation"}</definedName>
    <definedName name="qsdjlgzerg" hidden="1">{#N/A,#N/A,TRUE,"Cover sheet";#N/A,#N/A,TRUE,"DCF analysis";#N/A,#N/A,TRUE,"WACC calculation"}</definedName>
    <definedName name="qsdjlgzerg_1" localSheetId="8" hidden="1">{#N/A,#N/A,TRUE,"Cover sheet";#N/A,#N/A,TRUE,"DCF analysis";#N/A,#N/A,TRUE,"WACC calculation"}</definedName>
    <definedName name="qsdjlgzerg_1" hidden="1">{#N/A,#N/A,TRUE,"Cover sheet";#N/A,#N/A,TRUE,"DCF analysis";#N/A,#N/A,TRUE,"WACC calculation"}</definedName>
    <definedName name="QSDQS" hidden="1">#REF!</definedName>
    <definedName name="qselBCH2003" hidden="1">#REF!</definedName>
    <definedName name="qselBCH2004" hidden="1">#REF!</definedName>
    <definedName name="qsfd" localSheetId="8" hidden="1">{#N/A,#N/A,TRUE,"Cover sheet";#N/A,#N/A,TRUE,"INPUTS";#N/A,#N/A,TRUE,"OUTPUTS";#N/A,#N/A,TRUE,"VALUATION"}</definedName>
    <definedName name="qsfd" hidden="1">{#N/A,#N/A,TRUE,"Cover sheet";#N/A,#N/A,TRUE,"INPUTS";#N/A,#N/A,TRUE,"OUTPUTS";#N/A,#N/A,TRUE,"VALUATION"}</definedName>
    <definedName name="qsfd_1" localSheetId="8" hidden="1">{#N/A,#N/A,TRUE,"Cover sheet";#N/A,#N/A,TRUE,"INPUTS";#N/A,#N/A,TRUE,"OUTPUTS";#N/A,#N/A,TRUE,"VALUATION"}</definedName>
    <definedName name="qsfd_1" hidden="1">{#N/A,#N/A,TRUE,"Cover sheet";#N/A,#N/A,TRUE,"INPUTS";#N/A,#N/A,TRUE,"OUTPUTS";#N/A,#N/A,TRUE,"VALUATION"}</definedName>
    <definedName name="qsfqs" hidden="1">#REF!</definedName>
    <definedName name="qsqs" localSheetId="8" hidden="1">{"vue1",#N/A,FALSE,"synthese";"vue2",#N/A,FALSE,"synthese"}</definedName>
    <definedName name="qsqs" hidden="1">{"vue1",#N/A,FALSE,"synthese";"vue2",#N/A,FALSE,"synthese"}</definedName>
    <definedName name="qsqs_1" localSheetId="8" hidden="1">{"vue1",#N/A,FALSE,"synthese";"vue2",#N/A,FALSE,"synthese"}</definedName>
    <definedName name="qsqs_1" hidden="1">{"vue1",#N/A,FALSE,"synthese";"vue2",#N/A,FALSE,"synthese"}</definedName>
    <definedName name="qssd" hidden="1">#REF!</definedName>
    <definedName name="qssdddd" localSheetId="8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qssdddd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qssss" localSheetId="8" hidden="1">{#N/A,"PURCHM",FALSE,"Business Analysis";#N/A,"SPADD",FALSE,"Business Analysis"}</definedName>
    <definedName name="qssss" hidden="1">{#N/A,"PURCHM",FALSE,"Business Analysis";#N/A,"SPADD",FALSE,"Business Analysis"}</definedName>
    <definedName name="qsv" hidden="1">#REF!</definedName>
    <definedName name="qt" localSheetId="8" hidden="1">{"oct_res_comm",#N/A,FALSE,"VarToBud"}</definedName>
    <definedName name="qt" hidden="1">{"oct_res_comm",#N/A,FALSE,"VarToBud"}</definedName>
    <definedName name="QUATERVAT" hidden="1">FALSE</definedName>
    <definedName name="quehg" localSheetId="8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queh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Question" localSheetId="8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Question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qvqvv" hidden="1">#REF!</definedName>
    <definedName name="qvv" hidden="1">#REF!</definedName>
    <definedName name="qw" localSheetId="7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qw" localSheetId="8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qw" hidden="1">{#N/A,#N/A,FALSE,"REPORT"}</definedName>
    <definedName name="qwdqwdqwd" localSheetId="8" hidden="1">{#N/A,#N/A,TRUE,"Allacciamenti 5 anni";#N/A,#N/A,TRUE,"Carico 5 anni";#N/A,#N/A,TRUE,"Qualità a) 5 anni";#N/A,#N/A,TRUE,"Qualità b) 5 anni";#N/A,#N/A,TRUE,"Impatto ambientale 5 anni";#N/A,#N/A,TRUE,"Adeg. tecnico 5 anni"}</definedName>
    <definedName name="qwdqwdqwd" hidden="1">{#N/A,#N/A,TRUE,"Allacciamenti 5 anni";#N/A,#N/A,TRUE,"Carico 5 anni";#N/A,#N/A,TRUE,"Qualità a) 5 anni";#N/A,#N/A,TRUE,"Qualità b) 5 anni";#N/A,#N/A,TRUE,"Impatto ambientale 5 anni";#N/A,#N/A,TRUE,"Adeg. tecnico 5 anni"}</definedName>
    <definedName name="qwdqwdqwd_1" localSheetId="8" hidden="1">{#N/A,#N/A,TRUE,"Allacciamenti 5 anni";#N/A,#N/A,TRUE,"Carico 5 anni";#N/A,#N/A,TRUE,"Qualità a) 5 anni";#N/A,#N/A,TRUE,"Qualità b) 5 anni";#N/A,#N/A,TRUE,"Impatto ambientale 5 anni";#N/A,#N/A,TRUE,"Adeg. tecnico 5 anni"}</definedName>
    <definedName name="qwdqwdqwd_1" hidden="1">{#N/A,#N/A,TRUE,"Allacciamenti 5 anni";#N/A,#N/A,TRUE,"Carico 5 anni";#N/A,#N/A,TRUE,"Qualità a) 5 anni";#N/A,#N/A,TRUE,"Qualità b) 5 anni";#N/A,#N/A,TRUE,"Impatto ambientale 5 anni";#N/A,#N/A,TRUE,"Adeg. tecnico 5 anni"}</definedName>
    <definedName name="qwe" localSheetId="8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qwe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qwefas" localSheetId="8" hidden="1">{"Income Stmt",#N/A,FALSE,"Model"}</definedName>
    <definedName name="qwefas" hidden="1">{"Income Stmt",#N/A,FALSE,"Model"}</definedName>
    <definedName name="qweqw" localSheetId="8" hidden="1">{"'100'!$A$1:$M$83"}</definedName>
    <definedName name="qweqw" hidden="1">{"'100'!$A$1:$M$83"}</definedName>
    <definedName name="qweqwesg" localSheetId="8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qweqwesg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qwer" localSheetId="8" hidden="1">{"pro_view",#N/A,FALSE,"EEFSNAP2";"rep_view",#N/A,FALSE,"EEFSNAP2"}</definedName>
    <definedName name="qwer" hidden="1">{"pro_view",#N/A,FALSE,"EEFSNAP2";"rep_view",#N/A,FALSE,"EEFSNAP2"}</definedName>
    <definedName name="qwert" localSheetId="8" hidden="1">{#N/A,#N/A,FALSE,"Sum";#N/A,#N/A,FALSE,"P&amp;L";#N/A,#N/A,FALSE,"SAP";#N/A,#N/A,FALSE,"Strap";#N/A,#N/A,FALSE,"B-S";#N/A,#N/A,FALSE,"C-F";#N/A,#N/A,FALSE,"MAT"}</definedName>
    <definedName name="qwert" hidden="1">{#N/A,#N/A,FALSE,"Sum";#N/A,#N/A,FALSE,"P&amp;L";#N/A,#N/A,FALSE,"SAP";#N/A,#N/A,FALSE,"Strap";#N/A,#N/A,FALSE,"B-S";#N/A,#N/A,FALSE,"C-F";#N/A,#N/A,FALSE,"MAT"}</definedName>
    <definedName name="qwertqry" localSheetId="7" hidden="1">{#N/A,#N/A,FALSE,"REPORT"}</definedName>
    <definedName name="qwertqry" localSheetId="8" hidden="1">{#N/A,#N/A,FALSE,"REPORT"}</definedName>
    <definedName name="qwertqry" hidden="1">{#N/A,#N/A,FALSE,"REPORT"}</definedName>
    <definedName name="qwertt" hidden="1">#REF!</definedName>
    <definedName name="qwerty" localSheetId="8" hidden="1">{#N/A,#N/A,TRUE,"Header";#N/A,#N/A,TRUE,"Total";#N/A,#N/A,TRUE,"Core";#N/A,#N/A,TRUE,"New";#N/A,#N/A,TRUE,"Core Units Rev";#N/A,#N/A,TRUE,"Core Units GM";#N/A,#N/A,TRUE,"Core Units GM%";#N/A,#N/A,TRUE,"Core Units SGA";#N/A,#N/A,TRUE,"Core Units EBIT";#N/A,#N/A,TRUE,"New Units Rev";#N/A,#N/A,TRUE,"New Units GM";#N/A,#N/A,TRUE,"New Units GM%";#N/A,#N/A,TRUE,"New Units SGA";#N/A,#N/A,TRUE,"New Units EBIT";#N/A,#N/A,TRUE,"Total SGA detail";#N/A,#N/A,TRUE,"Core SGA detail";#N/A,#N/A,TRUE,"New SGA detail";#N/A,#N/A,TRUE,"Summary";#N/A,#N/A,TRUE,"Summary (2)";#N/A,#N/A,TRUE,"Var to last mth";#N/A,#N/A,TRUE,"Revenue";#N/A,#N/A,TRUE,"COS";#N/A,#N/A,TRUE,"Gross Margin";#N/A,#N/A,TRUE,"SG&amp;A";#N/A,#N/A,TRUE,"EBITDA";#N/A,#N/A,TRUE,"Depn&amp;Amort";#N/A,#N/A,TRUE,"EBIT";#N/A,#N/A,TRUE,"Contingency"}</definedName>
    <definedName name="qwerty" hidden="1">{#N/A,#N/A,TRUE,"Header";#N/A,#N/A,TRUE,"Total";#N/A,#N/A,TRUE,"Core";#N/A,#N/A,TRUE,"New";#N/A,#N/A,TRUE,"Core Units Rev";#N/A,#N/A,TRUE,"Core Units GM";#N/A,#N/A,TRUE,"Core Units GM%";#N/A,#N/A,TRUE,"Core Units SGA";#N/A,#N/A,TRUE,"Core Units EBIT";#N/A,#N/A,TRUE,"New Units Rev";#N/A,#N/A,TRUE,"New Units GM";#N/A,#N/A,TRUE,"New Units GM%";#N/A,#N/A,TRUE,"New Units SGA";#N/A,#N/A,TRUE,"New Units EBIT";#N/A,#N/A,TRUE,"Total SGA detail";#N/A,#N/A,TRUE,"Core SGA detail";#N/A,#N/A,TRUE,"New SGA detail";#N/A,#N/A,TRUE,"Summary";#N/A,#N/A,TRUE,"Summary (2)";#N/A,#N/A,TRUE,"Var to last mth";#N/A,#N/A,TRUE,"Revenue";#N/A,#N/A,TRUE,"COS";#N/A,#N/A,TRUE,"Gross Margin";#N/A,#N/A,TRUE,"SG&amp;A";#N/A,#N/A,TRUE,"EBITDA";#N/A,#N/A,TRUE,"Depn&amp;Amort";#N/A,#N/A,TRUE,"EBIT";#N/A,#N/A,TRUE,"Contingency"}</definedName>
    <definedName name="qwet" localSheetId="8" hidden="1">{#N/A,#N/A,FALSE,"Sum";#N/A,#N/A,FALSE,"P&amp;L";#N/A,#N/A,FALSE,"SAP";#N/A,#N/A,FALSE,"Strap";#N/A,#N/A,FALSE,"B-S";#N/A,#N/A,FALSE,"C-F";#N/A,#N/A,FALSE,"MAT"}</definedName>
    <definedName name="qwet" hidden="1">{#N/A,#N/A,FALSE,"Sum";#N/A,#N/A,FALSE,"P&amp;L";#N/A,#N/A,FALSE,"SAP";#N/A,#N/A,FALSE,"Strap";#N/A,#N/A,FALSE,"B-S";#N/A,#N/A,FALSE,"C-F";#N/A,#N/A,FALSE,"MAT"}</definedName>
    <definedName name="qwetqryetytu" localSheetId="7" hidden="1">{#N/A,#N/A,FALSE,"Pharm";#N/A,#N/A,FALSE,"WWCM"}</definedName>
    <definedName name="qwetqryetytu" localSheetId="8" hidden="1">{#N/A,#N/A,FALSE,"Pharm";#N/A,#N/A,FALSE,"WWCM"}</definedName>
    <definedName name="qwetqryetytu" hidden="1">{#N/A,#N/A,FALSE,"Pharm";#N/A,#N/A,FALSE,"WWCM"}</definedName>
    <definedName name="qweug" localSheetId="8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qweu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qweweqewwr" hidden="1">#N/A</definedName>
    <definedName name="QWFDfQFQQ" localSheetId="8" hidden="1">#REF!</definedName>
    <definedName name="QWFDfQFQQ" hidden="1">#REF!</definedName>
    <definedName name="qwlkjbg" localSheetId="8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qwlkjb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QWOISD" localSheetId="8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QWOISD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QWQWQ" localSheetId="8" hidden="1">{#N/A,#N/A,FALSE,"Min compa cad";#N/A,#N/A,FALSE,"Min CAN Equité ";#N/A,#N/A,FALSE,"Analyse can"}</definedName>
    <definedName name="QWQWQ" hidden="1">{#N/A,#N/A,FALSE,"Min compa cad";#N/A,#N/A,FALSE,"Min CAN Equité ";#N/A,#N/A,FALSE,"Analyse can"}</definedName>
    <definedName name="qwrd" localSheetId="8" hidden="1">{"ACT",#N/A,FALSE,"Q3Elec P&amp;L fy 99  ";"BUD",#N/A,FALSE,"Q3Elec P&amp;L fy 99  ";"PRIOR",#N/A,FALSE,"Q3Elec P&amp;L fy 99  "}</definedName>
    <definedName name="qwrd" hidden="1">{"ACT",#N/A,FALSE,"Q3Elec P&amp;L fy 99  ";"BUD",#N/A,FALSE,"Q3Elec P&amp;L fy 99  ";"PRIOR",#N/A,FALSE,"Q3Elec P&amp;L fy 99  "}</definedName>
    <definedName name="qws" localSheetId="8" hidden="1">{"QTD_OTHER",#N/A,FALSE,"QTD"}</definedName>
    <definedName name="qws" hidden="1">{"QTD_OTHER",#N/A,FALSE,"QTD"}</definedName>
    <definedName name="qwsa" localSheetId="8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qwsa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qwsd" localSheetId="8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qwsd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QWSXC" localSheetId="8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QWSXC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qwwqe" localSheetId="8" hidden="1">{"'100'!$A$1:$M$83"}</definedName>
    <definedName name="qwwqe" hidden="1">{"'100'!$A$1:$M$83"}</definedName>
    <definedName name="qwz" localSheetId="8" hidden="1">{"QTD_HYCO",#N/A,FALSE,"QTD"}</definedName>
    <definedName name="qwz" hidden="1">{"QTD_HYCO",#N/A,FALSE,"QTD"}</definedName>
    <definedName name="r.BSAssets" hidden="1">#REF!</definedName>
    <definedName name="r.BSEquity" hidden="1">#REF!</definedName>
    <definedName name="r.BSLiabilities" hidden="1">#REF!</definedName>
    <definedName name="r.CashFlow" hidden="1">#REF!</definedName>
    <definedName name="r.ISGrossProfit" hidden="1">#REF!</definedName>
    <definedName name="r.ISInterest" hidden="1">#REF!</definedName>
    <definedName name="r.ISNetIncome" hidden="1">#REF!</definedName>
    <definedName name="r.Leverage" hidden="1">#REF!</definedName>
    <definedName name="r.Liquidity" hidden="1">#REF!</definedName>
    <definedName name="r.LTM" hidden="1">#REF!</definedName>
    <definedName name="r.LTMInterim" hidden="1">#REF!</definedName>
    <definedName name="r.Market" hidden="1">#REF!</definedName>
    <definedName name="r.Miscellaneous" hidden="1">#REF!</definedName>
    <definedName name="r.Profitability" hidden="1">#REF!</definedName>
    <definedName name="r.Summary" hidden="1">#REF!</definedName>
    <definedName name="ra" localSheetId="8" hidden="1">{"'AR at dunning level'!$S$96","'AR at dunning level'!$L$124","'AR at dunning level'!$K$124"}</definedName>
    <definedName name="ra" hidden="1">{"'AR at dunning level'!$S$96","'AR at dunning level'!$L$124","'AR at dunning level'!$K$124"}</definedName>
    <definedName name="rad" localSheetId="8" hidden="1">{"PACKAGE",#N/A,FALSE,"CM"}</definedName>
    <definedName name="rad" hidden="1">{"PACKAGE",#N/A,FALSE,"CM"}</definedName>
    <definedName name="raf" localSheetId="8" hidden="1">{#N/A,#N/A,FALSE,"9709 (2)"}</definedName>
    <definedName name="raf" hidden="1">{#N/A,#N/A,FALSE,"9709 (2)"}</definedName>
    <definedName name="rajesh" localSheetId="8" hidden="1">{#N/A,#N/A,TRUE,"P&amp;L";#N/A,#N/A,TRUE,"B-S";#N/A,#N/A,TRUE,"C-F";#N/A,#N/A,TRUE,"MAT";#N/A,#N/A,TRUE,"P2";#N/A,#N/A,TRUE,"P8";#N/A,#N/A,TRUE,"P5";#N/A,#N/A,TRUE,"Emp"}</definedName>
    <definedName name="rajesh" hidden="1">{#N/A,#N/A,TRUE,"P&amp;L";#N/A,#N/A,TRUE,"B-S";#N/A,#N/A,TRUE,"C-F";#N/A,#N/A,TRUE,"MAT";#N/A,#N/A,TRUE,"P2";#N/A,#N/A,TRUE,"P8";#N/A,#N/A,TRUE,"P5";#N/A,#N/A,TRUE,"Emp"}</definedName>
    <definedName name="ramesh" localSheetId="8" hidden="1">{#N/A,#N/A,FALSE,"£ P&amp;L";#N/A,#N/A,FALSE,"£ BS";#N/A,#N/A,FALSE,"£ CF"}</definedName>
    <definedName name="ramesh" hidden="1">{#N/A,#N/A,FALSE,"£ P&amp;L";#N/A,#N/A,FALSE,"£ BS";#N/A,#N/A,FALSE,"£ CF"}</definedName>
    <definedName name="Ramses" localSheetId="8" hidden="1">{#N/A,#N/A,FALSE,"9709 (2)"}</definedName>
    <definedName name="Ramses" hidden="1">{#N/A,#N/A,FALSE,"9709 (2)"}</definedName>
    <definedName name="Rangeprimera" localSheetId="8" hidden="1">{#N/A,#N/A,TRUE,"Cover";#N/A,#N/A,TRUE,"Header (ld)";#N/A,#N/A,TRUE,"T&amp;O By Region";#N/A,#N/A,TRUE,"Region Charts ";#N/A,#N/A,TRUE,"T&amp;O London";#N/A,#N/A,TRUE,"AD Report";#N/A,#N/A,TRUE,"Var by OU"}</definedName>
    <definedName name="Rangeprimera" hidden="1">{#N/A,#N/A,TRUE,"Cover";#N/A,#N/A,TRUE,"Header (ld)";#N/A,#N/A,TRUE,"T&amp;O By Region";#N/A,#N/A,TRUE,"Region Charts ";#N/A,#N/A,TRUE,"T&amp;O London";#N/A,#N/A,TRUE,"AD Report";#N/A,#N/A,TRUE,"Var by OU"}</definedName>
    <definedName name="Rangeprimera_1" localSheetId="8" hidden="1">{#N/A,#N/A,TRUE,"Cover";#N/A,#N/A,TRUE,"Header (ld)";#N/A,#N/A,TRUE,"T&amp;O By Region";#N/A,#N/A,TRUE,"Region Charts ";#N/A,#N/A,TRUE,"T&amp;O London";#N/A,#N/A,TRUE,"AD Report";#N/A,#N/A,TRUE,"Var by OU"}</definedName>
    <definedName name="Rangeprimera_1" hidden="1">{#N/A,#N/A,TRUE,"Cover";#N/A,#N/A,TRUE,"Header (ld)";#N/A,#N/A,TRUE,"T&amp;O By Region";#N/A,#N/A,TRUE,"Region Charts ";#N/A,#N/A,TRUE,"T&amp;O London";#N/A,#N/A,TRUE,"AD Report";#N/A,#N/A,TRUE,"Var by OU"}</definedName>
    <definedName name="RangeSegunda" localSheetId="8" hidden="1">{#N/A,#N/A,TRUE,"Cover";#N/A,#N/A,TRUE,"Header (ld)";#N/A,#N/A,TRUE,"T&amp;O By Region";#N/A,#N/A,TRUE,"Region Charts ";#N/A,#N/A,TRUE,"T&amp;O London";#N/A,#N/A,TRUE,"AD Report";#N/A,#N/A,TRUE,"Var by OU"}</definedName>
    <definedName name="RangeSegunda" hidden="1">{#N/A,#N/A,TRUE,"Cover";#N/A,#N/A,TRUE,"Header (ld)";#N/A,#N/A,TRUE,"T&amp;O By Region";#N/A,#N/A,TRUE,"Region Charts ";#N/A,#N/A,TRUE,"T&amp;O London";#N/A,#N/A,TRUE,"AD Report";#N/A,#N/A,TRUE,"Var by OU"}</definedName>
    <definedName name="RangeSegunda_1" localSheetId="8" hidden="1">{#N/A,#N/A,TRUE,"Cover";#N/A,#N/A,TRUE,"Header (ld)";#N/A,#N/A,TRUE,"T&amp;O By Region";#N/A,#N/A,TRUE,"Region Charts ";#N/A,#N/A,TRUE,"T&amp;O London";#N/A,#N/A,TRUE,"AD Report";#N/A,#N/A,TRUE,"Var by OU"}</definedName>
    <definedName name="RangeSegunda_1" hidden="1">{#N/A,#N/A,TRUE,"Cover";#N/A,#N/A,TRUE,"Header (ld)";#N/A,#N/A,TRUE,"T&amp;O By Region";#N/A,#N/A,TRUE,"Region Charts ";#N/A,#N/A,TRUE,"T&amp;O London";#N/A,#N/A,TRUE,"AD Report";#N/A,#N/A,TRUE,"Var by OU"}</definedName>
    <definedName name="rangeshort" localSheetId="8" hidden="1">{#N/A,#N/A,TRUE,"Cover";#N/A,#N/A,TRUE,"Header (eu)";#N/A,#N/A,TRUE,"Region Charts";#N/A,#N/A,TRUE,"T&amp;O By Region";#N/A,#N/A,TRUE,"AD Report"}</definedName>
    <definedName name="rangeshort" hidden="1">{#N/A,#N/A,TRUE,"Cover";#N/A,#N/A,TRUE,"Header (eu)";#N/A,#N/A,TRUE,"Region Charts";#N/A,#N/A,TRUE,"T&amp;O By Region";#N/A,#N/A,TRUE,"AD Report"}</definedName>
    <definedName name="rangeshort_1" localSheetId="8" hidden="1">{#N/A,#N/A,TRUE,"Cover";#N/A,#N/A,TRUE,"Header (eu)";#N/A,#N/A,TRUE,"Region Charts";#N/A,#N/A,TRUE,"T&amp;O By Region";#N/A,#N/A,TRUE,"AD Report"}</definedName>
    <definedName name="rangeshort_1" hidden="1">{#N/A,#N/A,TRUE,"Cover";#N/A,#N/A,TRUE,"Header (eu)";#N/A,#N/A,TRUE,"Region Charts";#N/A,#N/A,TRUE,"T&amp;O By Region";#N/A,#N/A,TRUE,"AD Report"}</definedName>
    <definedName name="raphael" hidden="1">{"Consolidated Income Statement",#N/A,TRUE,"Deal";"Consolidated Balance Sheet",#N/A,TRUE,"Deal";"Consolidated Cash Flow",#N/A,TRUE,"Deal";"Target Income Statement",#N/A,TRUE,"Target";"Target Balance Sheet",#N/A,TRUE,"Target";"Target Cash Flow",#N/A,TRUE,"Target";"Acquiror Income Statement",#N/A,TRUE,"Acquiror";"Acquiror Balance Sheet",#N/A,TRUE,"Acquiror";"Acquiror Cash Flow",#N/A,TRUE,"Acquiror"}</definedName>
    <definedName name="RCArea" hidden="1">#REF!</definedName>
    <definedName name="rd" localSheetId="8" hidden="1">{"oct_res_comm",#N/A,FALSE,"VarToBud"}</definedName>
    <definedName name="rd" hidden="1">{"oct_res_comm",#N/A,FALSE,"VarToBud"}</definedName>
    <definedName name="rdx" localSheetId="8" hidden="1">{"oct_res_comm",#N/A,FALSE,"VarToBud"}</definedName>
    <definedName name="rdx" hidden="1">{"oct_res_comm",#N/A,FALSE,"VarToBud"}</definedName>
    <definedName name="re" localSheetId="7" hidden="1">{"profit",#N/A,FALSE,"Aero V prior";"profit",#N/A,FALSE,"Eng V Prior";"profit",#N/A,FALSE,"AES V Prior";"profit",#N/A,FALSE,"ES V Prior";"profit",#N/A,FALSE,"CAS V Prior";"profit",#N/A,FALSE,"ATSC V Prior";"profit",#N/A,FALSE,"FMT V Prior";"profit",#N/A,FALSE,"Aero Other V Prior";"profit",#N/A,FALSE,"Judge V Prior"}</definedName>
    <definedName name="re" localSheetId="8" hidden="1">{"profit",#N/A,FALSE,"Aero V prior";"profit",#N/A,FALSE,"Eng V Prior";"profit",#N/A,FALSE,"AES V Prior";"profit",#N/A,FALSE,"ES V Prior";"profit",#N/A,FALSE,"CAS V Prior";"profit",#N/A,FALSE,"ATSC V Prior";"profit",#N/A,FALSE,"FMT V Prior";"profit",#N/A,FALSE,"Aero Other V Prior";"profit",#N/A,FALSE,"Judge V Prior"}</definedName>
    <definedName name="RE" hidden="1">{#N/A,#N/A,FALSE,"Automezzi";#N/A,#N/A,FALSE,"Fabbricati";#N/A,#N/A,FALSE,"SOFTWARE";#N/A,#N/A,FALSE,"COSTRUZIONI LEGGERE";#N/A,#N/A,FALSE,"Impianti 10%";#N/A,#N/A,FALSE,"Impianti 12,5%";#N/A,#N/A,FALSE,"Macchine e impianti 15,5%";#N/A,#N/A,FALSE,"Macchine e Impianti 12,5%";#N/A,#N/A,FALSE,"Attrezzature 25%";#N/A,#N/A,FALSE,"Attrezzatura 35%";#N/A,#N/A,FALSE,"Macchine ufficio elettroniche";#N/A,#N/A,FALSE,"Mobili e arredi";#N/A,#N/A,FALSE,"Mobili officina"}</definedName>
    <definedName name="RE_1" localSheetId="8" hidden="1">{#N/A,#N/A,FALSE,"Automezzi";#N/A,#N/A,FALSE,"Fabbricati";#N/A,#N/A,FALSE,"SOFTWARE";#N/A,#N/A,FALSE,"COSTRUZIONI LEGGERE";#N/A,#N/A,FALSE,"Impianti 10%";#N/A,#N/A,FALSE,"Impianti 12,5%";#N/A,#N/A,FALSE,"Macchine e impianti 15,5%";#N/A,#N/A,FALSE,"Macchine e Impianti 12,5%";#N/A,#N/A,FALSE,"Attrezzature 25%";#N/A,#N/A,FALSE,"Attrezzatura 35%";#N/A,#N/A,FALSE,"Macchine ufficio elettroniche";#N/A,#N/A,FALSE,"Mobili e arredi";#N/A,#N/A,FALSE,"Mobili officina"}</definedName>
    <definedName name="RE_1" hidden="1">{#N/A,#N/A,FALSE,"Automezzi";#N/A,#N/A,FALSE,"Fabbricati";#N/A,#N/A,FALSE,"SOFTWARE";#N/A,#N/A,FALSE,"COSTRUZIONI LEGGERE";#N/A,#N/A,FALSE,"Impianti 10%";#N/A,#N/A,FALSE,"Impianti 12,5%";#N/A,#N/A,FALSE,"Macchine e impianti 15,5%";#N/A,#N/A,FALSE,"Macchine e Impianti 12,5%";#N/A,#N/A,FALSE,"Attrezzature 25%";#N/A,#N/A,FALSE,"Attrezzatura 35%";#N/A,#N/A,FALSE,"Macchine ufficio elettroniche";#N/A,#N/A,FALSE,"Mobili e arredi";#N/A,#N/A,FALSE,"Mobili officina"}</definedName>
    <definedName name="rea" localSheetId="8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rea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ready" localSheetId="8" hidden="1">{#N/A,#N/A,TRUE,"Voorblad B";#N/A,#N/A,TRUE,"Table of Content FinCom B";#N/A,#N/A,TRUE,"A3-P&amp;L by Bus.Unt-Serv.Unt";#N/A,#N/A,TRUE,"Summary carrier service";#N/A,#N/A,TRUE,"Summary Large accounts";#N/A,#N/A,TRUE,"Summary Consumer";#N/A,#N/A,TRUE,"Mobile";#N/A,#N/A,TRUE,"B5-Mobile(1) ";#N/A,#N/A,TRUE,"B4-GM per Product";#N/A,#N/A,TRUE,"Summary N&amp;S";#N/A,#N/A,TRUE,"B15-Network ";#N/A,#N/A,TRUE,"Summary ITbilling";#N/A,#N/A,TRUE,"Billing backlog";#N/A,#N/A,TRUE,"Summary Corporate";#N/A,#N/A,TRUE,"A5-Bal_Sheet CF";#N/A,#N/A,TRUE,"A6-Bal_Sheet CF by Old org. ";#N/A,#N/A,TRUE,"P13-Funding- Inter.";#N/A,#N/A,TRUE,"P14-Risk &amp; Fraud Fixed";#N/A,#N/A,TRUE,"P14-Risk &amp; Fraud Mobile";#N/A,#N/A,TRUE,"Accounts payable"}</definedName>
    <definedName name="ready" hidden="1">{#N/A,#N/A,TRUE,"Voorblad B";#N/A,#N/A,TRUE,"Table of Content FinCom B";#N/A,#N/A,TRUE,"A3-P&amp;L by Bus.Unt-Serv.Unt";#N/A,#N/A,TRUE,"Summary carrier service";#N/A,#N/A,TRUE,"Summary Large accounts";#N/A,#N/A,TRUE,"Summary Consumer";#N/A,#N/A,TRUE,"Mobile";#N/A,#N/A,TRUE,"B5-Mobile(1) ";#N/A,#N/A,TRUE,"B4-GM per Product";#N/A,#N/A,TRUE,"Summary N&amp;S";#N/A,#N/A,TRUE,"B15-Network ";#N/A,#N/A,TRUE,"Summary ITbilling";#N/A,#N/A,TRUE,"Billing backlog";#N/A,#N/A,TRUE,"Summary Corporate";#N/A,#N/A,TRUE,"A5-Bal_Sheet CF";#N/A,#N/A,TRUE,"A6-Bal_Sheet CF by Old org. ";#N/A,#N/A,TRUE,"P13-Funding- Inter.";#N/A,#N/A,TRUE,"P14-Risk &amp; Fraud Fixed";#N/A,#N/A,TRUE,"P14-Risk &amp; Fraud Mobile";#N/A,#N/A,TRUE,"Accounts payable"}</definedName>
    <definedName name="rean" localSheetId="8" hidden="1">#REF!</definedName>
    <definedName name="rean" hidden="1">#REF!</definedName>
    <definedName name="rebazeba" hidden="1">#REF!</definedName>
    <definedName name="RecDesFinAlex" hidden="1">{#N/A,#N/A,FALSE,"SIM95"}</definedName>
    <definedName name="red" localSheetId="8" hidden="1">{#N/A,#N/A,FALSE,"ACQ_GRAPHS";#N/A,#N/A,FALSE,"T_1 GRAPHS";#N/A,#N/A,FALSE,"T_2 GRAPHS";#N/A,#N/A,FALSE,"COMB_GRAPHS"}</definedName>
    <definedName name="red" hidden="1">{#N/A,#N/A,FALSE,"ACQ_GRAPHS";#N/A,#N/A,FALSE,"T_1 GRAPHS";#N/A,#N/A,FALSE,"T_2 GRAPHS";#N/A,#N/A,FALSE,"COMB_GRAPHS"}</definedName>
    <definedName name="red_1" localSheetId="8" hidden="1">{#N/A,#N/A,FALSE,"ACQ_GRAPHS";#N/A,#N/A,FALSE,"T_1 GRAPHS";#N/A,#N/A,FALSE,"T_2 GRAPHS";#N/A,#N/A,FALSE,"COMB_GRAPHS"}</definedName>
    <definedName name="red_1" hidden="1">{#N/A,#N/A,FALSE,"ACQ_GRAPHS";#N/A,#N/A,FALSE,"T_1 GRAPHS";#N/A,#N/A,FALSE,"T_2 GRAPHS";#N/A,#N/A,FALSE,"COMB_GRAPHS"}</definedName>
    <definedName name="RedefinePrintTableRange" localSheetId="8" hidden="1">#N/A</definedName>
    <definedName name="RedefinePrintTableRange" hidden="1">#REF!</definedName>
    <definedName name="redo" localSheetId="7" hidden="1">{#N/A,#N/A,FALSE,"ACQ_GRAPHS";#N/A,#N/A,FALSE,"T_1 GRAPHS";#N/A,#N/A,FALSE,"T_2 GRAPHS";#N/A,#N/A,FALSE,"COMB_GRAPHS"}</definedName>
    <definedName name="redo" localSheetId="8" hidden="1">{#N/A,#N/A,FALSE,"ACQ_GRAPHS";#N/A,#N/A,FALSE,"T_1 GRAPHS";#N/A,#N/A,FALSE,"T_2 GRAPHS";#N/A,#N/A,FALSE,"COMB_GRAPHS"}</definedName>
    <definedName name="redo" hidden="1">{#N/A,#N/A,FALSE,"ACQ_GRAPHS";#N/A,#N/A,FALSE,"T_1 GRAPHS";#N/A,#N/A,FALSE,"T_2 GRAPHS";#N/A,#N/A,FALSE,"COMB_GRAPHS"}</definedName>
    <definedName name="redo_1" localSheetId="8" hidden="1">{#N/A,#N/A,FALSE,"ACQ_GRAPHS";#N/A,#N/A,FALSE,"T_1 GRAPHS";#N/A,#N/A,FALSE,"T_2 GRAPHS";#N/A,#N/A,FALSE,"COMB_GRAPHS"}</definedName>
    <definedName name="redo_1" hidden="1">{#N/A,#N/A,FALSE,"ACQ_GRAPHS";#N/A,#N/A,FALSE,"T_1 GRAPHS";#N/A,#N/A,FALSE,"T_2 GRAPHS";#N/A,#N/A,FALSE,"COMB_GRAPHS"}</definedName>
    <definedName name="redo1" localSheetId="8" hidden="1">{#N/A,#N/A,FALSE,"ACQ_GRAPHS";#N/A,#N/A,FALSE,"T_1 GRAPHS";#N/A,#N/A,FALSE,"T_2 GRAPHS";#N/A,#N/A,FALSE,"COMB_GRAPHS"}</definedName>
    <definedName name="redo1" hidden="1">{#N/A,#N/A,FALSE,"ACQ_GRAPHS";#N/A,#N/A,FALSE,"T_1 GRAPHS";#N/A,#N/A,FALSE,"T_2 GRAPHS";#N/A,#N/A,FALSE,"COMB_GRAPHS"}</definedName>
    <definedName name="redwsc" hidden="1">#REF!</definedName>
    <definedName name="ree" hidden="1">#REF!</definedName>
    <definedName name="reg" localSheetId="8" hidden="1">{"'100'!$A$1:$M$83"}</definedName>
    <definedName name="reg" hidden="1">{"'100'!$A$1:$M$83"}</definedName>
    <definedName name="regeg" localSheetId="8" hidden="1">{"general",#N/A,FALSE,"Assumptions"}</definedName>
    <definedName name="regeg" hidden="1">{"general",#N/A,FALSE,"Assumptions"}</definedName>
    <definedName name="regeg_1" localSheetId="8" hidden="1">{"general",#N/A,FALSE,"Assumptions"}</definedName>
    <definedName name="regeg_1" hidden="1">{"general",#N/A,FALSE,"Assumptions"}</definedName>
    <definedName name="reggie" localSheetId="7" hidden="1">{#N/A,#N/A,FALSE,"Pharm";#N/A,#N/A,FALSE,"WWCM"}</definedName>
    <definedName name="reggie" localSheetId="8" hidden="1">{#N/A,#N/A,FALSE,"Pharm";#N/A,#N/A,FALSE,"WWCM"}</definedName>
    <definedName name="reggie" hidden="1">{#N/A,#N/A,FALSE,"Pharm";#N/A,#N/A,FALSE,"WWCM"}</definedName>
    <definedName name="regrg" localSheetId="8" hidden="1">{"comp1",#N/A,FALSE,"COMPS";"footnotes",#N/A,FALSE,"COMPS"}</definedName>
    <definedName name="regrg" hidden="1">{"comp1",#N/A,FALSE,"COMPS";"footnotes",#N/A,FALSE,"COMPS"}</definedName>
    <definedName name="regrg_1" localSheetId="8" hidden="1">{"comp1",#N/A,FALSE,"COMPS";"footnotes",#N/A,FALSE,"COMPS"}</definedName>
    <definedName name="regrg_1" hidden="1">{"comp1",#N/A,FALSE,"COMPS";"footnotes",#N/A,FALSE,"COMPS"}</definedName>
    <definedName name="rehb" localSheetId="8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reh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REIWU" localSheetId="8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REIWU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rejbg" localSheetId="8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rejb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rejjaer" localSheetId="8" hidden="1">{#N/A,#N/A,FALSE,"Sum";#N/A,#N/A,FALSE,"P&amp;L";#N/A,#N/A,FALSE,"SAP";#N/A,#N/A,FALSE,"Strap";#N/A,#N/A,FALSE,"B-S";#N/A,#N/A,FALSE,"C-F";#N/A,#N/A,FALSE,"MAT"}</definedName>
    <definedName name="rejjaer" hidden="1">{#N/A,#N/A,FALSE,"Sum";#N/A,#N/A,FALSE,"P&amp;L";#N/A,#N/A,FALSE,"SAP";#N/A,#N/A,FALSE,"Strap";#N/A,#N/A,FALSE,"B-S";#N/A,#N/A,FALSE,"C-F";#N/A,#N/A,FALSE,"MAT"}</definedName>
    <definedName name="rekjnb" localSheetId="8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rekjn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rename_of_wrn.CSC" localSheetId="8" hidden="1">{"page1",#N/A,TRUE,"CSC";"page2",#N/A,TRUE,"CSC"}</definedName>
    <definedName name="rename_of_wrn.CSC" hidden="1">{"page1",#N/A,TRUE,"CSC";"page2",#N/A,TRUE,"CSC"}</definedName>
    <definedName name="reoajt" localSheetId="8" hidden="1">{#N/A,#N/A,FALSE,"1";#N/A,#N/A,FALSE,"2";#N/A,#N/A,FALSE,"16 - 17";#N/A,#N/A,FALSE,"18 - 19";#N/A,#N/A,FALSE,"26";#N/A,#N/A,FALSE,"27";#N/A,#N/A,FALSE,"28"}</definedName>
    <definedName name="reoajt" hidden="1">{#N/A,#N/A,FALSE,"1";#N/A,#N/A,FALSE,"2";#N/A,#N/A,FALSE,"16 - 17";#N/A,#N/A,FALSE,"18 - 19";#N/A,#N/A,FALSE,"26";#N/A,#N/A,FALSE,"27";#N/A,#N/A,FALSE,"28"}</definedName>
    <definedName name="Repairs" localSheetId="8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Repairs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report2" localSheetId="8" hidden="1">{#N/A,#N/A,FALSE,"BS";#N/A,#N/A,FALSE,"IS";#N/A,#N/A,FALSE,"CF";#N/A,#N/A,FALSE,"CE";#N/A,#N/A,FALSE,"Depr";#N/A,#N/A,FALSE,"APAL";#N/A,#N/A,FALSE,"OL"}</definedName>
    <definedName name="report2" hidden="1">{#N/A,#N/A,FALSE,"BS";#N/A,#N/A,FALSE,"IS";#N/A,#N/A,FALSE,"CF";#N/A,#N/A,FALSE,"CE";#N/A,#N/A,FALSE,"Depr";#N/A,#N/A,FALSE,"APAL";#N/A,#N/A,FALSE,"OL"}</definedName>
    <definedName name="ReportGroup" localSheetId="8" hidden="1">6</definedName>
    <definedName name="ReportGroup" hidden="1">0</definedName>
    <definedName name="RepQ_TOTALE" hidden="1">#REF!</definedName>
    <definedName name="reqkj" localSheetId="8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reqkj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RESERVED_DATA" hidden="1">#REF!</definedName>
    <definedName name="resources" localSheetId="8" hidden="1">{#N/A,#N/A,FALSE,"Assessment";#N/A,#N/A,FALSE,"Staffing";#N/A,#N/A,FALSE,"Hires";#N/A,#N/A,FALSE,"Assumptions"}</definedName>
    <definedName name="resources" hidden="1">{#N/A,#N/A,FALSE,"Assessment";#N/A,#N/A,FALSE,"Staffing";#N/A,#N/A,FALSE,"Hires";#N/A,#N/A,FALSE,"Assumptions"}</definedName>
    <definedName name="resources_1" localSheetId="8" hidden="1">{#N/A,#N/A,FALSE,"Assessment";#N/A,#N/A,FALSE,"Staffing";#N/A,#N/A,FALSE,"Hires";#N/A,#N/A,FALSE,"Assumptions"}</definedName>
    <definedName name="resources_1" hidden="1">{#N/A,#N/A,FALSE,"Assessment";#N/A,#N/A,FALSE,"Staffing";#N/A,#N/A,FALSE,"Hires";#N/A,#N/A,FALSE,"Assumptions"}</definedName>
    <definedName name="resp." localSheetId="7" hidden="1">{#N/A,#N/A,FALSE,"Pharm";#N/A,#N/A,FALSE,"WWCM"}</definedName>
    <definedName name="resp." localSheetId="8" hidden="1">{#N/A,#N/A,FALSE,"Pharm";#N/A,#N/A,FALSE,"WWCM"}</definedName>
    <definedName name="resp." hidden="1">{#N/A,#N/A,FALSE,"Pharm";#N/A,#N/A,FALSE,"WWCM"}</definedName>
    <definedName name="RestatedActuals" localSheetId="8" hidden="1">{#N/A,#N/A,FALSE,"Aging Summary";#N/A,#N/A,FALSE,"Ratio Analysis";#N/A,#N/A,FALSE,"Test 120 Day Accts";#N/A,#N/A,FALSE,"Tickmarks"}</definedName>
    <definedName name="RestatedActuals" hidden="1">{#N/A,#N/A,FALSE,"Aging Summary";#N/A,#N/A,FALSE,"Ratio Analysis";#N/A,#N/A,FALSE,"Test 120 Day Accts";#N/A,#N/A,FALSE,"Tickmarks"}</definedName>
    <definedName name="results" localSheetId="8" hidden="1">{"FCB_ALL",#N/A,FALSE,"FCB"}</definedName>
    <definedName name="results" hidden="1">{"FCB_ALL",#N/A,FALSE,"FCB"}</definedName>
    <definedName name="RESUME" localSheetId="8" hidden="1">{#N/A,#N/A,TRUE,"SIT.GLOBAL (2)";#N/A,#N/A,TRUE,"SIT.GLOBAL (1)";#N/A,#N/A,TRUE,"7.PROC JUD";#N/A,#N/A,TRUE,"GRAF.RENTAS";#N/A,#N/A,TRUE,"GRAF PTE.COB-COBNET (3)";#N/A,#N/A,TRUE,"GRAF FACT TOTAL-ORD (3)";#N/A,#N/A,TRUE,"DATOSGRAFICO";#N/A,#N/A,TRUE,"RESCINDIDOS";#N/A,#N/A,TRUE,"DETALLE PTE."}</definedName>
    <definedName name="RESUME" hidden="1">{#N/A,#N/A,TRUE,"SIT.GLOBAL (2)";#N/A,#N/A,TRUE,"SIT.GLOBAL (1)";#N/A,#N/A,TRUE,"7.PROC JUD";#N/A,#N/A,TRUE,"GRAF.RENTAS";#N/A,#N/A,TRUE,"GRAF PTE.COB-COBNET (3)";#N/A,#N/A,TRUE,"GRAF FACT TOTAL-ORD (3)";#N/A,#N/A,TRUE,"DATOSGRAFICO";#N/A,#N/A,TRUE,"RESCINDIDOS";#N/A,#N/A,TRUE,"DETALLE PTE."}</definedName>
    <definedName name="RESUSMO1" localSheetId="8" hidden="1">{#N/A,#N/A,FALSE,"DEMPROV IR";#N/A,#N/A,FALSE,"INC.FISC";#N/A,#N/A,FALSE,"LUCRO REAL";#N/A,#N/A,FALSE,"L.LIQ.M";#N/A,#N/A,FALSE,"PROV96";#N/A,#N/A,FALSE,"L.LIQU.";#N/A,#N/A,FALSE,"ADIEXCL";#N/A,#N/A,FALSE,"PAT-VT96";#N/A,#N/A,FALSE,"DPO.INC."}</definedName>
    <definedName name="RESUSMO1" hidden="1">{#N/A,#N/A,FALSE,"DEMPROV IR";#N/A,#N/A,FALSE,"INC.FISC";#N/A,#N/A,FALSE,"LUCRO REAL";#N/A,#N/A,FALSE,"L.LIQ.M";#N/A,#N/A,FALSE,"PROV96";#N/A,#N/A,FALSE,"L.LIQU.";#N/A,#N/A,FALSE,"ADIEXCL";#N/A,#N/A,FALSE,"PAT-VT96";#N/A,#N/A,FALSE,"DPO.INC."}</definedName>
    <definedName name="REUYJJJ" localSheetId="8" hidden="1">{#N/A,#N/A,FALSE,"IC Annex";#N/A,#N/A,FALSE,"Sensitivity";#N/A,#N/A,FALSE,"Key Assumptions";#N/A,#N/A,FALSE,"Graphs";#N/A,#N/A,FALSE,"Global Assumptions";#N/A,#N/A,FALSE,"P&amp;L";#N/A,#N/A,FALSE,"Balance Sheet";#N/A,#N/A,FALSE,"Cash Flow"}</definedName>
    <definedName name="REUYJJJ" hidden="1">{#N/A,#N/A,FALSE,"IC Annex";#N/A,#N/A,FALSE,"Sensitivity";#N/A,#N/A,FALSE,"Key Assumptions";#N/A,#N/A,FALSE,"Graphs";#N/A,#N/A,FALSE,"Global Assumptions";#N/A,#N/A,FALSE,"P&amp;L";#N/A,#N/A,FALSE,"Balance Sheet";#N/A,#N/A,FALSE,"Cash Flow"}</definedName>
    <definedName name="Revisão_PM" localSheetId="7" hidden="1">{"Mes Div 2",#N/A,FALSE,"Mes Diversos 2"}</definedName>
    <definedName name="Revisão_PM" localSheetId="8" hidden="1">{"Mes Div 2",#N/A,FALSE,"Mes Diversos 2"}</definedName>
    <definedName name="Revisão_PM" hidden="1">{"Mes Div 2",#N/A,FALSE,"Mes Diversos 2"}</definedName>
    <definedName name="Revision" localSheetId="8" hidden="1">{#N/A,#N/A,FALSE,"Aging Summary";#N/A,#N/A,FALSE,"Ratio Analysis";#N/A,#N/A,FALSE,"Test 120 Day Accts";#N/A,#N/A,FALSE,"Tickmarks"}</definedName>
    <definedName name="Revision" hidden="1">{#N/A,#N/A,FALSE,"Aging Summary";#N/A,#N/A,FALSE,"Ratio Analysis";#N/A,#N/A,FALSE,"Test 120 Day Accts";#N/A,#N/A,FALSE,"Tickmarks"}</definedName>
    <definedName name="Revision_1" localSheetId="8" hidden="1">{#N/A,#N/A,FALSE,"Aging Summary";#N/A,#N/A,FALSE,"Ratio Analysis";#N/A,#N/A,FALSE,"Test 120 Day Accts";#N/A,#N/A,FALSE,"Tickmarks"}</definedName>
    <definedName name="Revision_1" hidden="1">{#N/A,#N/A,FALSE,"Aging Summary";#N/A,#N/A,FALSE,"Ratio Analysis";#N/A,#N/A,FALSE,"Test 120 Day Accts";#N/A,#N/A,FALSE,"Tickmarks"}</definedName>
    <definedName name="rewjg" localSheetId="8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rewj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rewq" localSheetId="8" hidden="1">{"sales growth",#N/A,FALSE,"summary";"oper income",#N/A,FALSE,"summary";"oros rank",#N/A,FALSE,"summary";"net assets",#N/A,FALSE,"summary";"asset turnover",#N/A,FALSE,"summary";"orona",#N/A,FALSE,"summary"}</definedName>
    <definedName name="rewq" hidden="1">{"sales growth",#N/A,FALSE,"summary";"oper income",#N/A,FALSE,"summary";"oros rank",#N/A,FALSE,"summary";"net assets",#N/A,FALSE,"summary";"asset turnover",#N/A,FALSE,"summary";"orona",#N/A,FALSE,"summary"}</definedName>
    <definedName name="rewr" localSheetId="8" hidden="1">{#N/A,#N/A,FALSE,"Assessment";#N/A,#N/A,FALSE,"Staffing";#N/A,#N/A,FALSE,"Hires";#N/A,#N/A,FALSE,"Assumptions"}</definedName>
    <definedName name="rewr" hidden="1">{#N/A,#N/A,FALSE,"Assessment";#N/A,#N/A,FALSE,"Staffing";#N/A,#N/A,FALSE,"Hires";#N/A,#N/A,FALSE,"Assumptions"}</definedName>
    <definedName name="rewtet" localSheetId="8" hidden="1">{#N/A,#N/A,FALSE,"Umsatz 99";#N/A,#N/A,FALSE,"ER 99 "}</definedName>
    <definedName name="rewtet" hidden="1">{#N/A,#N/A,FALSE,"Umsatz 99";#N/A,#N/A,FALSE,"ER 99 "}</definedName>
    <definedName name="rezq" localSheetId="8" hidden="1">{"vue1",#N/A,FALSE,"synthese";"vue2",#N/A,FALSE,"synthese"}</definedName>
    <definedName name="rezq" hidden="1">{"vue1",#N/A,FALSE,"synthese";"vue2",#N/A,FALSE,"synthese"}</definedName>
    <definedName name="rezq_1" localSheetId="8" hidden="1">{"vue1",#N/A,FALSE,"synthese";"vue2",#N/A,FALSE,"synthese"}</definedName>
    <definedName name="rezq_1" hidden="1">{"vue1",#N/A,FALSE,"synthese";"vue2",#N/A,FALSE,"synthese"}</definedName>
    <definedName name="reztetrert" localSheetId="8" hidden="1">{"comps",#N/A,FALSE,"HANDPACK";"footnotes",#N/A,FALSE,"HANDPACK"}</definedName>
    <definedName name="reztetrert" hidden="1">{"comps",#N/A,FALSE,"HANDPACK";"footnotes",#N/A,FALSE,"HANDPACK"}</definedName>
    <definedName name="reztetrert_1" localSheetId="8" hidden="1">{"comps",#N/A,FALSE,"HANDPACK";"footnotes",#N/A,FALSE,"HANDPACK"}</definedName>
    <definedName name="reztetrert_1" hidden="1">{"comps",#N/A,FALSE,"HANDPACK";"footnotes",#N/A,FALSE,"HANDPACK"}</definedName>
    <definedName name="REZTEZRT" hidden="1">#REF!</definedName>
    <definedName name="rezzzzzzzzz" hidden="1">#REF!</definedName>
    <definedName name="rf" localSheetId="8" hidden="1">{#N/A,#N/A,TRUE,"Header";#N/A,#N/A,TRUE,"Total";#N/A,#N/A,TRUE,"Core";#N/A,#N/A,TRUE,"New";#N/A,#N/A,TRUE,"Core Units Rev";#N/A,#N/A,TRUE,"Core Units GM";#N/A,#N/A,TRUE,"Core Units GM%";#N/A,#N/A,TRUE,"Core Units SGA";#N/A,#N/A,TRUE,"Core Units EBIT";#N/A,#N/A,TRUE,"New Units Rev";#N/A,#N/A,TRUE,"New Units GM";#N/A,#N/A,TRUE,"New Units GM%";#N/A,#N/A,TRUE,"New Units SGA";#N/A,#N/A,TRUE,"New Units EBIT";#N/A,#N/A,TRUE,"Summary";#N/A,#N/A,TRUE,"Summary (2)";#N/A,#N/A,TRUE,"Var to last mth";#N/A,#N/A,TRUE,"Revenue";#N/A,#N/A,TRUE,"COS";#N/A,#N/A,TRUE,"Gross Margin";#N/A,#N/A,TRUE,"SG&amp;A";#N/A,#N/A,TRUE,"EBITDA";#N/A,#N/A,TRUE,"Depn&amp;Amort";#N/A,#N/A,TRUE,"EBIT";#N/A,#N/A,TRUE,"Contingency"}</definedName>
    <definedName name="rf" hidden="1">{#N/A,#N/A,TRUE,"Header";#N/A,#N/A,TRUE,"Total";#N/A,#N/A,TRUE,"Core";#N/A,#N/A,TRUE,"New";#N/A,#N/A,TRUE,"Core Units Rev";#N/A,#N/A,TRUE,"Core Units GM";#N/A,#N/A,TRUE,"Core Units GM%";#N/A,#N/A,TRUE,"Core Units SGA";#N/A,#N/A,TRUE,"Core Units EBIT";#N/A,#N/A,TRUE,"New Units Rev";#N/A,#N/A,TRUE,"New Units GM";#N/A,#N/A,TRUE,"New Units GM%";#N/A,#N/A,TRUE,"New Units SGA";#N/A,#N/A,TRUE,"New Units EBIT";#N/A,#N/A,TRUE,"Summary";#N/A,#N/A,TRUE,"Summary (2)";#N/A,#N/A,TRUE,"Var to last mth";#N/A,#N/A,TRUE,"Revenue";#N/A,#N/A,TRUE,"COS";#N/A,#N/A,TRUE,"Gross Margin";#N/A,#N/A,TRUE,"SG&amp;A";#N/A,#N/A,TRUE,"EBITDA";#N/A,#N/A,TRUE,"Depn&amp;Amort";#N/A,#N/A,TRUE,"EBIT";#N/A,#N/A,TRUE,"Contingency"}</definedName>
    <definedName name="rf2e" localSheetId="7" hidden="1">{#N/A,#N/A,FALSE,"Pharm";#N/A,#N/A,FALSE,"WWCM"}</definedName>
    <definedName name="rf2e" localSheetId="8" hidden="1">{#N/A,#N/A,FALSE,"Pharm";#N/A,#N/A,FALSE,"WWCM"}</definedName>
    <definedName name="rf2e" hidden="1">{#N/A,#N/A,FALSE,"Pharm";#N/A,#N/A,FALSE,"WWCM"}</definedName>
    <definedName name="rfehneberen" localSheetId="8" hidden="1">{#N/A,#N/A,FALSE,"Assessment";#N/A,#N/A,FALSE,"Staffing";#N/A,#N/A,FALSE,"Hires";#N/A,#N/A,FALSE,"Assumptions"}</definedName>
    <definedName name="rfehneberen" hidden="1">{#N/A,#N/A,FALSE,"Assessment";#N/A,#N/A,FALSE,"Staffing";#N/A,#N/A,FALSE,"Hires";#N/A,#N/A,FALSE,"Assumptions"}</definedName>
    <definedName name="RFey" localSheetId="8" hidden="1">{#N/A,#N/A,FALSE,"9709 (2)"}</definedName>
    <definedName name="RFey" hidden="1">{#N/A,#N/A,FALSE,"9709 (2)"}</definedName>
    <definedName name="rfkdjfd" localSheetId="8" hidden="1">{#N/A,#N/A,FALSE,"Min compa cad";#N/A,#N/A,FALSE,"Min CAN Equité ";#N/A,#N/A,FALSE,"Analyse can"}</definedName>
    <definedName name="rfkdjfd" hidden="1">{#N/A,#N/A,FALSE,"Min compa cad";#N/A,#N/A,FALSE,"Min CAN Equité ";#N/A,#N/A,FALSE,"Analyse can"}</definedName>
    <definedName name="rfwere" hidden="1">{#N/A,#N/A,FALSE,"Dutos";#N/A,#N/A,FALSE,"Terminais"}</definedName>
    <definedName name="RG" localSheetId="8" hidden="1">{#N/A,#N/A,FALSE,"cover";#N/A,#N/A,FALSE,"Content ";#N/A,#N/A,FALSE,"E&amp;C Op Stat";#N/A,#N/A,FALSE,"Telcos Op Stat";#N/A,#N/A,FALSE,"Media Op Stat";#N/A,#N/A,FALSE,"Oil Op Stat";#N/A,#N/A,FALSE,"Utilities Op Stat";#N/A,#N/A,FALSE,"E&amp;C Ord An";#N/A,#N/A,FALSE,"E&amp;C Debt Nar";#N/A,#N/A,FALSE,"E&amp;C Debtors";#N/A,#N/A,FALSE,"E&amp;C CO Debt";#N/A,#N/A,FALSE,"Telcos Presales";#N/A,#N/A,FALSE,"Oil Presales";#N/A,#N/A,FALSE,"Utilities Presales"}</definedName>
    <definedName name="RG" hidden="1">{#N/A,#N/A,FALSE,"cover";#N/A,#N/A,FALSE,"Content ";#N/A,#N/A,FALSE,"E&amp;C Op Stat";#N/A,#N/A,FALSE,"Telcos Op Stat";#N/A,#N/A,FALSE,"Media Op Stat";#N/A,#N/A,FALSE,"Oil Op Stat";#N/A,#N/A,FALSE,"Utilities Op Stat";#N/A,#N/A,FALSE,"E&amp;C Ord An";#N/A,#N/A,FALSE,"E&amp;C Debt Nar";#N/A,#N/A,FALSE,"E&amp;C Debtors";#N/A,#N/A,FALSE,"E&amp;C CO Debt";#N/A,#N/A,FALSE,"Telcos Presales";#N/A,#N/A,FALSE,"Oil Presales";#N/A,#N/A,FALSE,"Utilities Presales"}</definedName>
    <definedName name="RGB" localSheetId="8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RGB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rgfag" localSheetId="8" hidden="1">{"comps2",#N/A,FALSE,"AERO";"footnotes",#N/A,FALSE,"AERO"}</definedName>
    <definedName name="rgfag" hidden="1">{"comps2",#N/A,FALSE,"AERO";"footnotes",#N/A,FALSE,"AERO"}</definedName>
    <definedName name="rgfag_1" localSheetId="8" hidden="1">{"comps2",#N/A,FALSE,"AERO";"footnotes",#N/A,FALSE,"AERO"}</definedName>
    <definedName name="rgfag_1" hidden="1">{"comps2",#N/A,FALSE,"AERO";"footnotes",#N/A,FALSE,"AERO"}</definedName>
    <definedName name="rghfrhhjtyjfyjtj" localSheetId="8" hidden="1">{#N/A,#N/A,FALSE,"Centres";#N/A,#N/A,FALSE,"Partenariats";#N/A,#N/A,FALSE,"P.Diverses";#N/A,#N/A,FALSE,"Adm";#N/A,#N/A,FALSE,"Autres R-D";#N/A,#N/A,FALSE,"Intérêts"}</definedName>
    <definedName name="rghfrhhjtyjfyjtj" hidden="1">{#N/A,#N/A,FALSE,"Centres";#N/A,#N/A,FALSE,"Partenariats";#N/A,#N/A,FALSE,"P.Diverses";#N/A,#N/A,FALSE,"Adm";#N/A,#N/A,FALSE,"Autres R-D";#N/A,#N/A,FALSE,"Intérêts"}</definedName>
    <definedName name="rher" localSheetId="8" hidden="1">{"common",#N/A,TRUE,"Common Input";"Sum Res_010",#N/A,TRUE,"Res_010";"Sum Res_011",#N/A,TRUE,"Res_011";"Sum Res_012",#N/A,TRUE,"Res_012";"Sum Res_013",#N/A,TRUE,"Res_013"}</definedName>
    <definedName name="rher" hidden="1">{"common",#N/A,TRUE,"Common Input";"Sum Res_010",#N/A,TRUE,"Res_010";"Sum Res_011",#N/A,TRUE,"Res_011";"Sum Res_012",#N/A,TRUE,"Res_012";"Sum Res_013",#N/A,TRUE,"Res_013"}</definedName>
    <definedName name="ric" hidden="1">#REF!</definedName>
    <definedName name="richard" localSheetId="8" hidden="1">{"July 00",#N/A,TRUE,"Revised P&amp;L";"July 00",#N/A,TRUE,"Income";"July 00",#N/A,TRUE,"Staff costs";"July 00",#N/A,TRUE,"Marketing";"July 00",#N/A,TRUE,"Creative";"July 00",#N/A,TRUE,"Service";"July 00",#N/A,TRUE,"General Establishment";"July 00",#N/A,TRUE,"BALSHEET";"July 00",#N/A,TRUE,"CASH FLOW"}</definedName>
    <definedName name="richard" hidden="1">{"July 00",#N/A,TRUE,"Revised P&amp;L";"July 00",#N/A,TRUE,"Income";"July 00",#N/A,TRUE,"Staff costs";"July 00",#N/A,TRUE,"Marketing";"July 00",#N/A,TRUE,"Creative";"July 00",#N/A,TRUE,"Service";"July 00",#N/A,TRUE,"General Establishment";"July 00",#N/A,TRUE,"BALSHEET";"July 00",#N/A,TRUE,"CASH FLOW"}</definedName>
    <definedName name="richard1" localSheetId="8" hidden="1">{"July 97",#N/A,TRUE,"Revised P&amp;L";"July 97",#N/A,TRUE,"Income";"July 97",#N/A,TRUE,"Staff costs";"July 97",#N/A,TRUE,"Marketing";"July 97",#N/A,TRUE,"Service";"July 97",#N/A,TRUE,"Creative";"July 97",#N/A,TRUE,"General Establishment";"July 97",#N/A,TRUE,"BALSHEET";"July 97",#N/A,TRUE,"CASH FLOW"}</definedName>
    <definedName name="richard1" hidden="1">{"July 97",#N/A,TRUE,"Revised P&amp;L";"July 97",#N/A,TRUE,"Income";"July 97",#N/A,TRUE,"Staff costs";"July 97",#N/A,TRUE,"Marketing";"July 97",#N/A,TRUE,"Service";"July 97",#N/A,TRUE,"Creative";"July 97",#N/A,TRUE,"General Establishment";"July 97",#N/A,TRUE,"BALSHEET";"July 97",#N/A,TRUE,"CASH FLOW"}</definedName>
    <definedName name="RIR" localSheetId="8" hidden="1">{#N/A,#N/A,FALSE,"DEMPROV IR";#N/A,#N/A,FALSE,"INC.FISC";#N/A,#N/A,FALSE,"LUCRO REAL";#N/A,#N/A,FALSE,"L.LIQ.M";#N/A,#N/A,FALSE,"PROV96";#N/A,#N/A,FALSE,"L.LIQU.";#N/A,#N/A,FALSE,"ADIEXCL";#N/A,#N/A,FALSE,"PAT-VT96";#N/A,#N/A,FALSE,"DPO.INC."}</definedName>
    <definedName name="RIR" hidden="1">{#N/A,#N/A,FALSE,"DEMPROV IR";#N/A,#N/A,FALSE,"INC.FISC";#N/A,#N/A,FALSE,"LUCRO REAL";#N/A,#N/A,FALSE,"L.LIQ.M";#N/A,#N/A,FALSE,"PROV96";#N/A,#N/A,FALSE,"L.LIQU.";#N/A,#N/A,FALSE,"ADIEXCL";#N/A,#N/A,FALSE,"PAT-VT96";#N/A,#N/A,FALSE,"DPO.INC."}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</definedName>
    <definedName name="RiskNumSimulations" hidden="1">10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iv" localSheetId="8" hidden="1">{"'REPORT 2000'!$B$3:$M$127"}</definedName>
    <definedName name="riv" hidden="1">{"'REPORT 2000'!$B$3:$M$127"}</definedName>
    <definedName name="riv_1" localSheetId="8" hidden="1">{"'REPORT 2000'!$B$3:$M$127"}</definedName>
    <definedName name="riv_1" hidden="1">{"'REPORT 2000'!$B$3:$M$127"}</definedName>
    <definedName name="rixi" localSheetId="8" hidden="1">{"oct_res_comm",#N/A,FALSE,"VarToBud"}</definedName>
    <definedName name="rixi" hidden="1">{"oct_res_comm",#N/A,FALSE,"VarToBud"}</definedName>
    <definedName name="rjkdjh" hidden="1">#REF!</definedName>
    <definedName name="rjod" localSheetId="8" hidden="1">{"detail",#N/A,FALSE,"mfg";"summary",#N/A,FALSE,"mfg"}</definedName>
    <definedName name="rjod" hidden="1">{"detail",#N/A,FALSE,"mfg";"summary",#N/A,FALSE,"mfg"}</definedName>
    <definedName name="rkejbn" localSheetId="8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rkejbn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rkods" localSheetId="8" hidden="1">{"detail",#N/A,FALSE,"mfg";"summary",#N/A,FALSE,"mfg"}</definedName>
    <definedName name="rkods" hidden="1">{"detail",#N/A,FALSE,"mfg";"summary",#N/A,FALSE,"mfg"}</definedName>
    <definedName name="rkuzki" localSheetId="8" hidden="1">{"Ergebnisbericht_UBA",#N/A,FALSE,"MB"}</definedName>
    <definedName name="rkuzki" hidden="1">{"Ergebnisbericht_UBA",#N/A,FALSE,"MB"}</definedName>
    <definedName name="rkuzki_1" localSheetId="8" hidden="1">{"Ergebnisbericht_UBA",#N/A,FALSE,"MB"}</definedName>
    <definedName name="rkuzki_1" hidden="1">{"Ergebnisbericht_UBA",#N/A,FALSE,"MB"}</definedName>
    <definedName name="rlbg" localSheetId="8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rlb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rn" localSheetId="8" hidden="1">{#N/A,#N/A,FALSE,"Assessment";#N/A,#N/A,FALSE,"Staffing";#N/A,#N/A,FALSE,"Hires";#N/A,#N/A,FALSE,"Assumptions"}</definedName>
    <definedName name="rn" hidden="1">{#N/A,#N/A,FALSE,"Assessment";#N/A,#N/A,FALSE,"Staffing";#N/A,#N/A,FALSE,"Hires";#N/A,#N/A,FALSE,"Assumptions"}</definedName>
    <definedName name="rngShowNames" hidden="1">#REF!</definedName>
    <definedName name="rngToggles" hidden="1">#REF!</definedName>
    <definedName name="rngX" hidden="1">0</definedName>
    <definedName name="rnrn" localSheetId="8" hidden="1">{#N/A,#N/A,FALSE,"Assessment";#N/A,#N/A,FALSE,"Staffing";#N/A,#N/A,FALSE,"Hires";#N/A,#N/A,FALSE,"Assumptions"}</definedName>
    <definedName name="rnrn" hidden="1">{#N/A,#N/A,FALSE,"Assessment";#N/A,#N/A,FALSE,"Staffing";#N/A,#N/A,FALSE,"Hires";#N/A,#N/A,FALSE,"Assumptions"}</definedName>
    <definedName name="rnrny" localSheetId="8" hidden="1">{#N/A,#N/A,FALSE,"Assessment";#N/A,#N/A,FALSE,"Staffing";#N/A,#N/A,FALSE,"Hires";#N/A,#N/A,FALSE,"Assumptions"}</definedName>
    <definedName name="rnrny" hidden="1">{#N/A,#N/A,FALSE,"Assessment";#N/A,#N/A,FALSE,"Staffing";#N/A,#N/A,FALSE,"Hires";#N/A,#N/A,FALSE,"Assumptions"}</definedName>
    <definedName name="ROA" localSheetId="8" hidden="1">{#N/A,#N/A,FALSE,"P&amp;L"}</definedName>
    <definedName name="ROA" hidden="1">{#N/A,#N/A,FALSE,"P&amp;L"}</definedName>
    <definedName name="ROA_1" localSheetId="8" hidden="1">{#N/A,#N/A,FALSE,"P&amp;L"}</definedName>
    <definedName name="ROA_1" hidden="1">{#N/A,#N/A,FALSE,"P&amp;L"}</definedName>
    <definedName name="Roass" localSheetId="8" hidden="1">{#N/A,#N/A,FALSE,"P&amp;L"}</definedName>
    <definedName name="Roass" hidden="1">{#N/A,#N/A,FALSE,"P&amp;L"}</definedName>
    <definedName name="Roass_1" localSheetId="8" hidden="1">{#N/A,#N/A,FALSE,"P&amp;L"}</definedName>
    <definedName name="Roass_1" hidden="1">{#N/A,#N/A,FALSE,"P&amp;L"}</definedName>
    <definedName name="Rock2" localSheetId="8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Rock2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Rock3" localSheetId="8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Rock3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Rockwell" localSheetId="8" hidden="1">{"LBO Summary",#N/A,FALSE,"Summary"}</definedName>
    <definedName name="Rockwell" hidden="1">{"LBO Summary",#N/A,FALSE,"Summary"}</definedName>
    <definedName name="RowLevel" hidden="1">1</definedName>
    <definedName name="Rows2Unhide" hidden="1">#REF!</definedName>
    <definedName name="rp_fnl1" localSheetId="8" hidden="1">{"AS",#N/A,FALSE,"Dec_BS_Fnl";"LIAB",#N/A,FALSE,"Dec_BS_Fnl"}</definedName>
    <definedName name="rp_fnl1" hidden="1">{"AS",#N/A,FALSE,"Dec_BS_Fnl";"LIAB",#N/A,FALSE,"Dec_BS_Fnl"}</definedName>
    <definedName name="rphg" localSheetId="8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rph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RR" localSheetId="7" hidden="1">{"Acum Div 1",#N/A,FALSE,"Acum Diversos 1"}</definedName>
    <definedName name="rr" localSheetId="8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rr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rr.kk" localSheetId="8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rr.k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rr_1" localSheetId="7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rr_1" localSheetId="8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rr_1" hidden="1">{#N/A,#N/A,FALSE,"debt";#N/A,#N/A,FALSE,"apsort";#N/A,#N/A,FALSE,"AR"}</definedName>
    <definedName name="rrhh_..2010" localSheetId="8" hidden="1">{"Pèrdues i Guanys analític.Català",#N/A,FALSE,"Català";"Pèrdues i G. analític.castellà",#N/A,FALSE,"Castellà"}</definedName>
    <definedName name="rrhh_..2010" hidden="1">{"Pèrdues i Guanys analític.Català",#N/A,FALSE,"Català";"Pèrdues i G. analític.castellà",#N/A,FALSE,"Castellà"}</definedName>
    <definedName name="rrr" localSheetId="7" hidden="1">{#N/A,#N/A,FALSE,"Aging Summary";#N/A,#N/A,FALSE,"Ratio Analysis";#N/A,#N/A,FALSE,"Test 120 Day Accts";#N/A,#N/A,FALSE,"Tickmarks"}</definedName>
    <definedName name="rrr" localSheetId="8" hidden="1">{#N/A,#N/A,FALSE,"Aging Summary";#N/A,#N/A,FALSE,"Ratio Analysis";#N/A,#N/A,FALSE,"Test 120 Day Accts";#N/A,#N/A,FALSE,"Tickmarks"}</definedName>
    <definedName name="rrr" hidden="1">{#N/A,#N/A,FALSE,"Aging Summary";#N/A,#N/A,FALSE,"Ratio Analysis";#N/A,#N/A,FALSE,"Test 120 Day Accts";#N/A,#N/A,FALSE,"Tickmarks"}</definedName>
    <definedName name="rrr_1" hidden="1">{#N/A,#N/A,FALSE,"Aging Summary";#N/A,#N/A,FALSE,"Ratio Analysis";#N/A,#N/A,FALSE,"Test 120 Day Accts";#N/A,#N/A,FALSE,"Tickmarks"}</definedName>
    <definedName name="rrr_1_1" hidden="1">{#N/A,#N/A,FALSE,"Aging Summary";#N/A,#N/A,FALSE,"Ratio Analysis";#N/A,#N/A,FALSE,"Test 120 Day Accts";#N/A,#N/A,FALSE,"Tickmarks"}</definedName>
    <definedName name="rrr_1_1_1" hidden="1">{#N/A,#N/A,FALSE,"Aging Summary";#N/A,#N/A,FALSE,"Ratio Analysis";#N/A,#N/A,FALSE,"Test 120 Day Accts";#N/A,#N/A,FALSE,"Tickmarks"}</definedName>
    <definedName name="rrr_1_1_1_1" hidden="1">{#N/A,#N/A,FALSE,"Aging Summary";#N/A,#N/A,FALSE,"Ratio Analysis";#N/A,#N/A,FALSE,"Test 120 Day Accts";#N/A,#N/A,FALSE,"Tickmarks"}</definedName>
    <definedName name="rrr_1_1_1_2" hidden="1">{#N/A,#N/A,FALSE,"Aging Summary";#N/A,#N/A,FALSE,"Ratio Analysis";#N/A,#N/A,FALSE,"Test 120 Day Accts";#N/A,#N/A,FALSE,"Tickmarks"}</definedName>
    <definedName name="rrr_1_1_2" hidden="1">{#N/A,#N/A,FALSE,"Aging Summary";#N/A,#N/A,FALSE,"Ratio Analysis";#N/A,#N/A,FALSE,"Test 120 Day Accts";#N/A,#N/A,FALSE,"Tickmarks"}</definedName>
    <definedName name="rrr_1_1_2_1" hidden="1">{#N/A,#N/A,FALSE,"Aging Summary";#N/A,#N/A,FALSE,"Ratio Analysis";#N/A,#N/A,FALSE,"Test 120 Day Accts";#N/A,#N/A,FALSE,"Tickmarks"}</definedName>
    <definedName name="rrr_1_1_2_2" hidden="1">{#N/A,#N/A,FALSE,"Aging Summary";#N/A,#N/A,FALSE,"Ratio Analysis";#N/A,#N/A,FALSE,"Test 120 Day Accts";#N/A,#N/A,FALSE,"Tickmarks"}</definedName>
    <definedName name="rrr_1_1_3" hidden="1">{#N/A,#N/A,FALSE,"Aging Summary";#N/A,#N/A,FALSE,"Ratio Analysis";#N/A,#N/A,FALSE,"Test 120 Day Accts";#N/A,#N/A,FALSE,"Tickmarks"}</definedName>
    <definedName name="rrr_1_1_4" hidden="1">{#N/A,#N/A,FALSE,"Aging Summary";#N/A,#N/A,FALSE,"Ratio Analysis";#N/A,#N/A,FALSE,"Test 120 Day Accts";#N/A,#N/A,FALSE,"Tickmarks"}</definedName>
    <definedName name="rrr_1_2" hidden="1">{#N/A,#N/A,FALSE,"Aging Summary";#N/A,#N/A,FALSE,"Ratio Analysis";#N/A,#N/A,FALSE,"Test 120 Day Accts";#N/A,#N/A,FALSE,"Tickmarks"}</definedName>
    <definedName name="rrr_1_2_1" hidden="1">{#N/A,#N/A,FALSE,"Aging Summary";#N/A,#N/A,FALSE,"Ratio Analysis";#N/A,#N/A,FALSE,"Test 120 Day Accts";#N/A,#N/A,FALSE,"Tickmarks"}</definedName>
    <definedName name="rrr_1_2_1_1" hidden="1">{#N/A,#N/A,FALSE,"Aging Summary";#N/A,#N/A,FALSE,"Ratio Analysis";#N/A,#N/A,FALSE,"Test 120 Day Accts";#N/A,#N/A,FALSE,"Tickmarks"}</definedName>
    <definedName name="rrr_1_2_1_2" hidden="1">{#N/A,#N/A,FALSE,"Aging Summary";#N/A,#N/A,FALSE,"Ratio Analysis";#N/A,#N/A,FALSE,"Test 120 Day Accts";#N/A,#N/A,FALSE,"Tickmarks"}</definedName>
    <definedName name="rrr_1_2_2" hidden="1">{#N/A,#N/A,FALSE,"Aging Summary";#N/A,#N/A,FALSE,"Ratio Analysis";#N/A,#N/A,FALSE,"Test 120 Day Accts";#N/A,#N/A,FALSE,"Tickmarks"}</definedName>
    <definedName name="rrr_1_2_2_1" hidden="1">{#N/A,#N/A,FALSE,"Aging Summary";#N/A,#N/A,FALSE,"Ratio Analysis";#N/A,#N/A,FALSE,"Test 120 Day Accts";#N/A,#N/A,FALSE,"Tickmarks"}</definedName>
    <definedName name="rrr_1_2_2_2" hidden="1">{#N/A,#N/A,FALSE,"Aging Summary";#N/A,#N/A,FALSE,"Ratio Analysis";#N/A,#N/A,FALSE,"Test 120 Day Accts";#N/A,#N/A,FALSE,"Tickmarks"}</definedName>
    <definedName name="rrr_1_2_3" hidden="1">{#N/A,#N/A,FALSE,"Aging Summary";#N/A,#N/A,FALSE,"Ratio Analysis";#N/A,#N/A,FALSE,"Test 120 Day Accts";#N/A,#N/A,FALSE,"Tickmarks"}</definedName>
    <definedName name="rrr_1_2_4" hidden="1">{#N/A,#N/A,FALSE,"Aging Summary";#N/A,#N/A,FALSE,"Ratio Analysis";#N/A,#N/A,FALSE,"Test 120 Day Accts";#N/A,#N/A,FALSE,"Tickmarks"}</definedName>
    <definedName name="rrr_1_3" hidden="1">{#N/A,#N/A,FALSE,"Aging Summary";#N/A,#N/A,FALSE,"Ratio Analysis";#N/A,#N/A,FALSE,"Test 120 Day Accts";#N/A,#N/A,FALSE,"Tickmarks"}</definedName>
    <definedName name="rrr_1_3_1" hidden="1">{#N/A,#N/A,FALSE,"Aging Summary";#N/A,#N/A,FALSE,"Ratio Analysis";#N/A,#N/A,FALSE,"Test 120 Day Accts";#N/A,#N/A,FALSE,"Tickmarks"}</definedName>
    <definedName name="rrr_1_3_1_1" hidden="1">{#N/A,#N/A,FALSE,"Aging Summary";#N/A,#N/A,FALSE,"Ratio Analysis";#N/A,#N/A,FALSE,"Test 120 Day Accts";#N/A,#N/A,FALSE,"Tickmarks"}</definedName>
    <definedName name="rrr_1_3_1_2" hidden="1">{#N/A,#N/A,FALSE,"Aging Summary";#N/A,#N/A,FALSE,"Ratio Analysis";#N/A,#N/A,FALSE,"Test 120 Day Accts";#N/A,#N/A,FALSE,"Tickmarks"}</definedName>
    <definedName name="rrr_1_3_2" hidden="1">{#N/A,#N/A,FALSE,"Aging Summary";#N/A,#N/A,FALSE,"Ratio Analysis";#N/A,#N/A,FALSE,"Test 120 Day Accts";#N/A,#N/A,FALSE,"Tickmarks"}</definedName>
    <definedName name="rrr_1_3_2_1" hidden="1">{#N/A,#N/A,FALSE,"Aging Summary";#N/A,#N/A,FALSE,"Ratio Analysis";#N/A,#N/A,FALSE,"Test 120 Day Accts";#N/A,#N/A,FALSE,"Tickmarks"}</definedName>
    <definedName name="rrr_1_3_2_2" hidden="1">{#N/A,#N/A,FALSE,"Aging Summary";#N/A,#N/A,FALSE,"Ratio Analysis";#N/A,#N/A,FALSE,"Test 120 Day Accts";#N/A,#N/A,FALSE,"Tickmarks"}</definedName>
    <definedName name="rrr_1_3_3" hidden="1">{#N/A,#N/A,FALSE,"Aging Summary";#N/A,#N/A,FALSE,"Ratio Analysis";#N/A,#N/A,FALSE,"Test 120 Day Accts";#N/A,#N/A,FALSE,"Tickmarks"}</definedName>
    <definedName name="rrr_1_3_4" hidden="1">{#N/A,#N/A,FALSE,"Aging Summary";#N/A,#N/A,FALSE,"Ratio Analysis";#N/A,#N/A,FALSE,"Test 120 Day Accts";#N/A,#N/A,FALSE,"Tickmarks"}</definedName>
    <definedName name="rrr_1_4" hidden="1">{#N/A,#N/A,FALSE,"Aging Summary";#N/A,#N/A,FALSE,"Ratio Analysis";#N/A,#N/A,FALSE,"Test 120 Day Accts";#N/A,#N/A,FALSE,"Tickmarks"}</definedName>
    <definedName name="rrr_1_4_1" hidden="1">{#N/A,#N/A,FALSE,"Aging Summary";#N/A,#N/A,FALSE,"Ratio Analysis";#N/A,#N/A,FALSE,"Test 120 Day Accts";#N/A,#N/A,FALSE,"Tickmarks"}</definedName>
    <definedName name="rrr_1_4_1_1" hidden="1">{#N/A,#N/A,FALSE,"Aging Summary";#N/A,#N/A,FALSE,"Ratio Analysis";#N/A,#N/A,FALSE,"Test 120 Day Accts";#N/A,#N/A,FALSE,"Tickmarks"}</definedName>
    <definedName name="rrr_1_4_1_2" hidden="1">{#N/A,#N/A,FALSE,"Aging Summary";#N/A,#N/A,FALSE,"Ratio Analysis";#N/A,#N/A,FALSE,"Test 120 Day Accts";#N/A,#N/A,FALSE,"Tickmarks"}</definedName>
    <definedName name="rrr_1_4_2" hidden="1">{#N/A,#N/A,FALSE,"Aging Summary";#N/A,#N/A,FALSE,"Ratio Analysis";#N/A,#N/A,FALSE,"Test 120 Day Accts";#N/A,#N/A,FALSE,"Tickmarks"}</definedName>
    <definedName name="rrr_1_4_2_1" hidden="1">{#N/A,#N/A,FALSE,"Aging Summary";#N/A,#N/A,FALSE,"Ratio Analysis";#N/A,#N/A,FALSE,"Test 120 Day Accts";#N/A,#N/A,FALSE,"Tickmarks"}</definedName>
    <definedName name="rrr_1_4_2_2" hidden="1">{#N/A,#N/A,FALSE,"Aging Summary";#N/A,#N/A,FALSE,"Ratio Analysis";#N/A,#N/A,FALSE,"Test 120 Day Accts";#N/A,#N/A,FALSE,"Tickmarks"}</definedName>
    <definedName name="rrr_1_4_3" hidden="1">{#N/A,#N/A,FALSE,"Aging Summary";#N/A,#N/A,FALSE,"Ratio Analysis";#N/A,#N/A,FALSE,"Test 120 Day Accts";#N/A,#N/A,FALSE,"Tickmarks"}</definedName>
    <definedName name="rrr_1_4_4" hidden="1">{#N/A,#N/A,FALSE,"Aging Summary";#N/A,#N/A,FALSE,"Ratio Analysis";#N/A,#N/A,FALSE,"Test 120 Day Accts";#N/A,#N/A,FALSE,"Tickmarks"}</definedName>
    <definedName name="rrr_1_5" hidden="1">{#N/A,#N/A,FALSE,"Aging Summary";#N/A,#N/A,FALSE,"Ratio Analysis";#N/A,#N/A,FALSE,"Test 120 Day Accts";#N/A,#N/A,FALSE,"Tickmarks"}</definedName>
    <definedName name="rrr_1_5_1" hidden="1">{#N/A,#N/A,FALSE,"Aging Summary";#N/A,#N/A,FALSE,"Ratio Analysis";#N/A,#N/A,FALSE,"Test 120 Day Accts";#N/A,#N/A,FALSE,"Tickmarks"}</definedName>
    <definedName name="rrr_1_5_1_1" hidden="1">{#N/A,#N/A,FALSE,"Aging Summary";#N/A,#N/A,FALSE,"Ratio Analysis";#N/A,#N/A,FALSE,"Test 120 Day Accts";#N/A,#N/A,FALSE,"Tickmarks"}</definedName>
    <definedName name="rrr_1_5_1_2" hidden="1">{#N/A,#N/A,FALSE,"Aging Summary";#N/A,#N/A,FALSE,"Ratio Analysis";#N/A,#N/A,FALSE,"Test 120 Day Accts";#N/A,#N/A,FALSE,"Tickmarks"}</definedName>
    <definedName name="rrr_1_5_2" hidden="1">{#N/A,#N/A,FALSE,"Aging Summary";#N/A,#N/A,FALSE,"Ratio Analysis";#N/A,#N/A,FALSE,"Test 120 Day Accts";#N/A,#N/A,FALSE,"Tickmarks"}</definedName>
    <definedName name="rrr_1_5_2_1" hidden="1">{#N/A,#N/A,FALSE,"Aging Summary";#N/A,#N/A,FALSE,"Ratio Analysis";#N/A,#N/A,FALSE,"Test 120 Day Accts";#N/A,#N/A,FALSE,"Tickmarks"}</definedName>
    <definedName name="rrr_1_5_2_2" hidden="1">{#N/A,#N/A,FALSE,"Aging Summary";#N/A,#N/A,FALSE,"Ratio Analysis";#N/A,#N/A,FALSE,"Test 120 Day Accts";#N/A,#N/A,FALSE,"Tickmarks"}</definedName>
    <definedName name="rrr_1_5_3" hidden="1">{#N/A,#N/A,FALSE,"Aging Summary";#N/A,#N/A,FALSE,"Ratio Analysis";#N/A,#N/A,FALSE,"Test 120 Day Accts";#N/A,#N/A,FALSE,"Tickmarks"}</definedName>
    <definedName name="rrr_1_5_4" hidden="1">{#N/A,#N/A,FALSE,"Aging Summary";#N/A,#N/A,FALSE,"Ratio Analysis";#N/A,#N/A,FALSE,"Test 120 Day Accts";#N/A,#N/A,FALSE,"Tickmarks"}</definedName>
    <definedName name="rrr_2" hidden="1">{#N/A,#N/A,FALSE,"Aging Summary";#N/A,#N/A,FALSE,"Ratio Analysis";#N/A,#N/A,FALSE,"Test 120 Day Accts";#N/A,#N/A,FALSE,"Tickmarks"}</definedName>
    <definedName name="rrr_2_1" hidden="1">{#N/A,#N/A,FALSE,"Aging Summary";#N/A,#N/A,FALSE,"Ratio Analysis";#N/A,#N/A,FALSE,"Test 120 Day Accts";#N/A,#N/A,FALSE,"Tickmarks"}</definedName>
    <definedName name="rrr_2_1_1" hidden="1">{#N/A,#N/A,FALSE,"Aging Summary";#N/A,#N/A,FALSE,"Ratio Analysis";#N/A,#N/A,FALSE,"Test 120 Day Accts";#N/A,#N/A,FALSE,"Tickmarks"}</definedName>
    <definedName name="rrr_2_1_1_1" hidden="1">{#N/A,#N/A,FALSE,"Aging Summary";#N/A,#N/A,FALSE,"Ratio Analysis";#N/A,#N/A,FALSE,"Test 120 Day Accts";#N/A,#N/A,FALSE,"Tickmarks"}</definedName>
    <definedName name="rrr_2_1_1_2" hidden="1">{#N/A,#N/A,FALSE,"Aging Summary";#N/A,#N/A,FALSE,"Ratio Analysis";#N/A,#N/A,FALSE,"Test 120 Day Accts";#N/A,#N/A,FALSE,"Tickmarks"}</definedName>
    <definedName name="rrr_2_1_2" hidden="1">{#N/A,#N/A,FALSE,"Aging Summary";#N/A,#N/A,FALSE,"Ratio Analysis";#N/A,#N/A,FALSE,"Test 120 Day Accts";#N/A,#N/A,FALSE,"Tickmarks"}</definedName>
    <definedName name="rrr_2_1_2_1" hidden="1">{#N/A,#N/A,FALSE,"Aging Summary";#N/A,#N/A,FALSE,"Ratio Analysis";#N/A,#N/A,FALSE,"Test 120 Day Accts";#N/A,#N/A,FALSE,"Tickmarks"}</definedName>
    <definedName name="rrr_2_1_2_2" hidden="1">{#N/A,#N/A,FALSE,"Aging Summary";#N/A,#N/A,FALSE,"Ratio Analysis";#N/A,#N/A,FALSE,"Test 120 Day Accts";#N/A,#N/A,FALSE,"Tickmarks"}</definedName>
    <definedName name="rrr_2_1_3" hidden="1">{#N/A,#N/A,FALSE,"Aging Summary";#N/A,#N/A,FALSE,"Ratio Analysis";#N/A,#N/A,FALSE,"Test 120 Day Accts";#N/A,#N/A,FALSE,"Tickmarks"}</definedName>
    <definedName name="rrr_2_1_4" hidden="1">{#N/A,#N/A,FALSE,"Aging Summary";#N/A,#N/A,FALSE,"Ratio Analysis";#N/A,#N/A,FALSE,"Test 120 Day Accts";#N/A,#N/A,FALSE,"Tickmarks"}</definedName>
    <definedName name="rrr_2_2" hidden="1">{#N/A,#N/A,FALSE,"Aging Summary";#N/A,#N/A,FALSE,"Ratio Analysis";#N/A,#N/A,FALSE,"Test 120 Day Accts";#N/A,#N/A,FALSE,"Tickmarks"}</definedName>
    <definedName name="rrr_2_2_1" hidden="1">{#N/A,#N/A,FALSE,"Aging Summary";#N/A,#N/A,FALSE,"Ratio Analysis";#N/A,#N/A,FALSE,"Test 120 Day Accts";#N/A,#N/A,FALSE,"Tickmarks"}</definedName>
    <definedName name="rrr_2_2_1_1" hidden="1">{#N/A,#N/A,FALSE,"Aging Summary";#N/A,#N/A,FALSE,"Ratio Analysis";#N/A,#N/A,FALSE,"Test 120 Day Accts";#N/A,#N/A,FALSE,"Tickmarks"}</definedName>
    <definedName name="rrr_2_2_1_2" hidden="1">{#N/A,#N/A,FALSE,"Aging Summary";#N/A,#N/A,FALSE,"Ratio Analysis";#N/A,#N/A,FALSE,"Test 120 Day Accts";#N/A,#N/A,FALSE,"Tickmarks"}</definedName>
    <definedName name="rrr_2_2_2" hidden="1">{#N/A,#N/A,FALSE,"Aging Summary";#N/A,#N/A,FALSE,"Ratio Analysis";#N/A,#N/A,FALSE,"Test 120 Day Accts";#N/A,#N/A,FALSE,"Tickmarks"}</definedName>
    <definedName name="rrr_2_2_2_1" hidden="1">{#N/A,#N/A,FALSE,"Aging Summary";#N/A,#N/A,FALSE,"Ratio Analysis";#N/A,#N/A,FALSE,"Test 120 Day Accts";#N/A,#N/A,FALSE,"Tickmarks"}</definedName>
    <definedName name="rrr_2_2_2_2" hidden="1">{#N/A,#N/A,FALSE,"Aging Summary";#N/A,#N/A,FALSE,"Ratio Analysis";#N/A,#N/A,FALSE,"Test 120 Day Accts";#N/A,#N/A,FALSE,"Tickmarks"}</definedName>
    <definedName name="rrr_2_2_3" hidden="1">{#N/A,#N/A,FALSE,"Aging Summary";#N/A,#N/A,FALSE,"Ratio Analysis";#N/A,#N/A,FALSE,"Test 120 Day Accts";#N/A,#N/A,FALSE,"Tickmarks"}</definedName>
    <definedName name="rrr_2_2_4" hidden="1">{#N/A,#N/A,FALSE,"Aging Summary";#N/A,#N/A,FALSE,"Ratio Analysis";#N/A,#N/A,FALSE,"Test 120 Day Accts";#N/A,#N/A,FALSE,"Tickmarks"}</definedName>
    <definedName name="rrr_2_3" hidden="1">{#N/A,#N/A,FALSE,"Aging Summary";#N/A,#N/A,FALSE,"Ratio Analysis";#N/A,#N/A,FALSE,"Test 120 Day Accts";#N/A,#N/A,FALSE,"Tickmarks"}</definedName>
    <definedName name="rrr_2_3_1" hidden="1">{#N/A,#N/A,FALSE,"Aging Summary";#N/A,#N/A,FALSE,"Ratio Analysis";#N/A,#N/A,FALSE,"Test 120 Day Accts";#N/A,#N/A,FALSE,"Tickmarks"}</definedName>
    <definedName name="rrr_2_3_1_1" hidden="1">{#N/A,#N/A,FALSE,"Aging Summary";#N/A,#N/A,FALSE,"Ratio Analysis";#N/A,#N/A,FALSE,"Test 120 Day Accts";#N/A,#N/A,FALSE,"Tickmarks"}</definedName>
    <definedName name="rrr_2_3_1_2" hidden="1">{#N/A,#N/A,FALSE,"Aging Summary";#N/A,#N/A,FALSE,"Ratio Analysis";#N/A,#N/A,FALSE,"Test 120 Day Accts";#N/A,#N/A,FALSE,"Tickmarks"}</definedName>
    <definedName name="rrr_2_3_2" hidden="1">{#N/A,#N/A,FALSE,"Aging Summary";#N/A,#N/A,FALSE,"Ratio Analysis";#N/A,#N/A,FALSE,"Test 120 Day Accts";#N/A,#N/A,FALSE,"Tickmarks"}</definedName>
    <definedName name="rrr_2_3_2_1" hidden="1">{#N/A,#N/A,FALSE,"Aging Summary";#N/A,#N/A,FALSE,"Ratio Analysis";#N/A,#N/A,FALSE,"Test 120 Day Accts";#N/A,#N/A,FALSE,"Tickmarks"}</definedName>
    <definedName name="rrr_2_3_2_2" hidden="1">{#N/A,#N/A,FALSE,"Aging Summary";#N/A,#N/A,FALSE,"Ratio Analysis";#N/A,#N/A,FALSE,"Test 120 Day Accts";#N/A,#N/A,FALSE,"Tickmarks"}</definedName>
    <definedName name="rrr_2_3_3" hidden="1">{#N/A,#N/A,FALSE,"Aging Summary";#N/A,#N/A,FALSE,"Ratio Analysis";#N/A,#N/A,FALSE,"Test 120 Day Accts";#N/A,#N/A,FALSE,"Tickmarks"}</definedName>
    <definedName name="rrr_2_3_4" hidden="1">{#N/A,#N/A,FALSE,"Aging Summary";#N/A,#N/A,FALSE,"Ratio Analysis";#N/A,#N/A,FALSE,"Test 120 Day Accts";#N/A,#N/A,FALSE,"Tickmarks"}</definedName>
    <definedName name="rrr_2_4" hidden="1">{#N/A,#N/A,FALSE,"Aging Summary";#N/A,#N/A,FALSE,"Ratio Analysis";#N/A,#N/A,FALSE,"Test 120 Day Accts";#N/A,#N/A,FALSE,"Tickmarks"}</definedName>
    <definedName name="rrr_2_4_1" hidden="1">{#N/A,#N/A,FALSE,"Aging Summary";#N/A,#N/A,FALSE,"Ratio Analysis";#N/A,#N/A,FALSE,"Test 120 Day Accts";#N/A,#N/A,FALSE,"Tickmarks"}</definedName>
    <definedName name="rrr_2_4_1_1" hidden="1">{#N/A,#N/A,FALSE,"Aging Summary";#N/A,#N/A,FALSE,"Ratio Analysis";#N/A,#N/A,FALSE,"Test 120 Day Accts";#N/A,#N/A,FALSE,"Tickmarks"}</definedName>
    <definedName name="rrr_2_4_1_2" hidden="1">{#N/A,#N/A,FALSE,"Aging Summary";#N/A,#N/A,FALSE,"Ratio Analysis";#N/A,#N/A,FALSE,"Test 120 Day Accts";#N/A,#N/A,FALSE,"Tickmarks"}</definedName>
    <definedName name="rrr_2_4_2" hidden="1">{#N/A,#N/A,FALSE,"Aging Summary";#N/A,#N/A,FALSE,"Ratio Analysis";#N/A,#N/A,FALSE,"Test 120 Day Accts";#N/A,#N/A,FALSE,"Tickmarks"}</definedName>
    <definedName name="rrr_2_4_2_1" hidden="1">{#N/A,#N/A,FALSE,"Aging Summary";#N/A,#N/A,FALSE,"Ratio Analysis";#N/A,#N/A,FALSE,"Test 120 Day Accts";#N/A,#N/A,FALSE,"Tickmarks"}</definedName>
    <definedName name="rrr_2_4_2_2" hidden="1">{#N/A,#N/A,FALSE,"Aging Summary";#N/A,#N/A,FALSE,"Ratio Analysis";#N/A,#N/A,FALSE,"Test 120 Day Accts";#N/A,#N/A,FALSE,"Tickmarks"}</definedName>
    <definedName name="rrr_2_4_3" hidden="1">{#N/A,#N/A,FALSE,"Aging Summary";#N/A,#N/A,FALSE,"Ratio Analysis";#N/A,#N/A,FALSE,"Test 120 Day Accts";#N/A,#N/A,FALSE,"Tickmarks"}</definedName>
    <definedName name="rrr_2_4_4" hidden="1">{#N/A,#N/A,FALSE,"Aging Summary";#N/A,#N/A,FALSE,"Ratio Analysis";#N/A,#N/A,FALSE,"Test 120 Day Accts";#N/A,#N/A,FALSE,"Tickmarks"}</definedName>
    <definedName name="rrr_2_5" hidden="1">{#N/A,#N/A,FALSE,"Aging Summary";#N/A,#N/A,FALSE,"Ratio Analysis";#N/A,#N/A,FALSE,"Test 120 Day Accts";#N/A,#N/A,FALSE,"Tickmarks"}</definedName>
    <definedName name="rrr_2_5_1" hidden="1">{#N/A,#N/A,FALSE,"Aging Summary";#N/A,#N/A,FALSE,"Ratio Analysis";#N/A,#N/A,FALSE,"Test 120 Day Accts";#N/A,#N/A,FALSE,"Tickmarks"}</definedName>
    <definedName name="rrr_2_5_1_1" hidden="1">{#N/A,#N/A,FALSE,"Aging Summary";#N/A,#N/A,FALSE,"Ratio Analysis";#N/A,#N/A,FALSE,"Test 120 Day Accts";#N/A,#N/A,FALSE,"Tickmarks"}</definedName>
    <definedName name="rrr_2_5_1_2" hidden="1">{#N/A,#N/A,FALSE,"Aging Summary";#N/A,#N/A,FALSE,"Ratio Analysis";#N/A,#N/A,FALSE,"Test 120 Day Accts";#N/A,#N/A,FALSE,"Tickmarks"}</definedName>
    <definedName name="rrr_2_5_2" hidden="1">{#N/A,#N/A,FALSE,"Aging Summary";#N/A,#N/A,FALSE,"Ratio Analysis";#N/A,#N/A,FALSE,"Test 120 Day Accts";#N/A,#N/A,FALSE,"Tickmarks"}</definedName>
    <definedName name="rrr_2_5_2_1" hidden="1">{#N/A,#N/A,FALSE,"Aging Summary";#N/A,#N/A,FALSE,"Ratio Analysis";#N/A,#N/A,FALSE,"Test 120 Day Accts";#N/A,#N/A,FALSE,"Tickmarks"}</definedName>
    <definedName name="rrr_2_5_2_2" hidden="1">{#N/A,#N/A,FALSE,"Aging Summary";#N/A,#N/A,FALSE,"Ratio Analysis";#N/A,#N/A,FALSE,"Test 120 Day Accts";#N/A,#N/A,FALSE,"Tickmarks"}</definedName>
    <definedName name="rrr_2_5_3" hidden="1">{#N/A,#N/A,FALSE,"Aging Summary";#N/A,#N/A,FALSE,"Ratio Analysis";#N/A,#N/A,FALSE,"Test 120 Day Accts";#N/A,#N/A,FALSE,"Tickmarks"}</definedName>
    <definedName name="rrr_2_5_4" hidden="1">{#N/A,#N/A,FALSE,"Aging Summary";#N/A,#N/A,FALSE,"Ratio Analysis";#N/A,#N/A,FALSE,"Test 120 Day Accts";#N/A,#N/A,FALSE,"Tickmarks"}</definedName>
    <definedName name="rrr_3" hidden="1">{#N/A,#N/A,FALSE,"Aging Summary";#N/A,#N/A,FALSE,"Ratio Analysis";#N/A,#N/A,FALSE,"Test 120 Day Accts";#N/A,#N/A,FALSE,"Tickmarks"}</definedName>
    <definedName name="rrr_3_1" hidden="1">{#N/A,#N/A,FALSE,"Aging Summary";#N/A,#N/A,FALSE,"Ratio Analysis";#N/A,#N/A,FALSE,"Test 120 Day Accts";#N/A,#N/A,FALSE,"Tickmarks"}</definedName>
    <definedName name="rrr_3_1_1" hidden="1">{#N/A,#N/A,FALSE,"Aging Summary";#N/A,#N/A,FALSE,"Ratio Analysis";#N/A,#N/A,FALSE,"Test 120 Day Accts";#N/A,#N/A,FALSE,"Tickmarks"}</definedName>
    <definedName name="rrr_3_1_1_1" hidden="1">{#N/A,#N/A,FALSE,"Aging Summary";#N/A,#N/A,FALSE,"Ratio Analysis";#N/A,#N/A,FALSE,"Test 120 Day Accts";#N/A,#N/A,FALSE,"Tickmarks"}</definedName>
    <definedName name="rrr_3_1_1_2" hidden="1">{#N/A,#N/A,FALSE,"Aging Summary";#N/A,#N/A,FALSE,"Ratio Analysis";#N/A,#N/A,FALSE,"Test 120 Day Accts";#N/A,#N/A,FALSE,"Tickmarks"}</definedName>
    <definedName name="rrr_3_1_2" hidden="1">{#N/A,#N/A,FALSE,"Aging Summary";#N/A,#N/A,FALSE,"Ratio Analysis";#N/A,#N/A,FALSE,"Test 120 Day Accts";#N/A,#N/A,FALSE,"Tickmarks"}</definedName>
    <definedName name="rrr_3_1_2_1" hidden="1">{#N/A,#N/A,FALSE,"Aging Summary";#N/A,#N/A,FALSE,"Ratio Analysis";#N/A,#N/A,FALSE,"Test 120 Day Accts";#N/A,#N/A,FALSE,"Tickmarks"}</definedName>
    <definedName name="rrr_3_1_2_2" hidden="1">{#N/A,#N/A,FALSE,"Aging Summary";#N/A,#N/A,FALSE,"Ratio Analysis";#N/A,#N/A,FALSE,"Test 120 Day Accts";#N/A,#N/A,FALSE,"Tickmarks"}</definedName>
    <definedName name="rrr_3_1_3" hidden="1">{#N/A,#N/A,FALSE,"Aging Summary";#N/A,#N/A,FALSE,"Ratio Analysis";#N/A,#N/A,FALSE,"Test 120 Day Accts";#N/A,#N/A,FALSE,"Tickmarks"}</definedName>
    <definedName name="rrr_3_1_4" hidden="1">{#N/A,#N/A,FALSE,"Aging Summary";#N/A,#N/A,FALSE,"Ratio Analysis";#N/A,#N/A,FALSE,"Test 120 Day Accts";#N/A,#N/A,FALSE,"Tickmarks"}</definedName>
    <definedName name="rrr_3_2" hidden="1">{#N/A,#N/A,FALSE,"Aging Summary";#N/A,#N/A,FALSE,"Ratio Analysis";#N/A,#N/A,FALSE,"Test 120 Day Accts";#N/A,#N/A,FALSE,"Tickmarks"}</definedName>
    <definedName name="rrr_3_2_1" hidden="1">{#N/A,#N/A,FALSE,"Aging Summary";#N/A,#N/A,FALSE,"Ratio Analysis";#N/A,#N/A,FALSE,"Test 120 Day Accts";#N/A,#N/A,FALSE,"Tickmarks"}</definedName>
    <definedName name="rrr_3_2_1_1" hidden="1">{#N/A,#N/A,FALSE,"Aging Summary";#N/A,#N/A,FALSE,"Ratio Analysis";#N/A,#N/A,FALSE,"Test 120 Day Accts";#N/A,#N/A,FALSE,"Tickmarks"}</definedName>
    <definedName name="rrr_3_2_1_2" hidden="1">{#N/A,#N/A,FALSE,"Aging Summary";#N/A,#N/A,FALSE,"Ratio Analysis";#N/A,#N/A,FALSE,"Test 120 Day Accts";#N/A,#N/A,FALSE,"Tickmarks"}</definedName>
    <definedName name="rrr_3_2_2" hidden="1">{#N/A,#N/A,FALSE,"Aging Summary";#N/A,#N/A,FALSE,"Ratio Analysis";#N/A,#N/A,FALSE,"Test 120 Day Accts";#N/A,#N/A,FALSE,"Tickmarks"}</definedName>
    <definedName name="rrr_3_2_2_1" hidden="1">{#N/A,#N/A,FALSE,"Aging Summary";#N/A,#N/A,FALSE,"Ratio Analysis";#N/A,#N/A,FALSE,"Test 120 Day Accts";#N/A,#N/A,FALSE,"Tickmarks"}</definedName>
    <definedName name="rrr_3_2_2_2" hidden="1">{#N/A,#N/A,FALSE,"Aging Summary";#N/A,#N/A,FALSE,"Ratio Analysis";#N/A,#N/A,FALSE,"Test 120 Day Accts";#N/A,#N/A,FALSE,"Tickmarks"}</definedName>
    <definedName name="rrr_3_2_3" hidden="1">{#N/A,#N/A,FALSE,"Aging Summary";#N/A,#N/A,FALSE,"Ratio Analysis";#N/A,#N/A,FALSE,"Test 120 Day Accts";#N/A,#N/A,FALSE,"Tickmarks"}</definedName>
    <definedName name="rrr_3_2_4" hidden="1">{#N/A,#N/A,FALSE,"Aging Summary";#N/A,#N/A,FALSE,"Ratio Analysis";#N/A,#N/A,FALSE,"Test 120 Day Accts";#N/A,#N/A,FALSE,"Tickmarks"}</definedName>
    <definedName name="rrr_3_3" hidden="1">{#N/A,#N/A,FALSE,"Aging Summary";#N/A,#N/A,FALSE,"Ratio Analysis";#N/A,#N/A,FALSE,"Test 120 Day Accts";#N/A,#N/A,FALSE,"Tickmarks"}</definedName>
    <definedName name="rrr_3_3_1" hidden="1">{#N/A,#N/A,FALSE,"Aging Summary";#N/A,#N/A,FALSE,"Ratio Analysis";#N/A,#N/A,FALSE,"Test 120 Day Accts";#N/A,#N/A,FALSE,"Tickmarks"}</definedName>
    <definedName name="rrr_3_3_1_1" hidden="1">{#N/A,#N/A,FALSE,"Aging Summary";#N/A,#N/A,FALSE,"Ratio Analysis";#N/A,#N/A,FALSE,"Test 120 Day Accts";#N/A,#N/A,FALSE,"Tickmarks"}</definedName>
    <definedName name="rrr_3_3_1_2" hidden="1">{#N/A,#N/A,FALSE,"Aging Summary";#N/A,#N/A,FALSE,"Ratio Analysis";#N/A,#N/A,FALSE,"Test 120 Day Accts";#N/A,#N/A,FALSE,"Tickmarks"}</definedName>
    <definedName name="rrr_3_3_2" hidden="1">{#N/A,#N/A,FALSE,"Aging Summary";#N/A,#N/A,FALSE,"Ratio Analysis";#N/A,#N/A,FALSE,"Test 120 Day Accts";#N/A,#N/A,FALSE,"Tickmarks"}</definedName>
    <definedName name="rrr_3_3_2_1" hidden="1">{#N/A,#N/A,FALSE,"Aging Summary";#N/A,#N/A,FALSE,"Ratio Analysis";#N/A,#N/A,FALSE,"Test 120 Day Accts";#N/A,#N/A,FALSE,"Tickmarks"}</definedName>
    <definedName name="rrr_3_3_2_2" hidden="1">{#N/A,#N/A,FALSE,"Aging Summary";#N/A,#N/A,FALSE,"Ratio Analysis";#N/A,#N/A,FALSE,"Test 120 Day Accts";#N/A,#N/A,FALSE,"Tickmarks"}</definedName>
    <definedName name="rrr_3_3_3" hidden="1">{#N/A,#N/A,FALSE,"Aging Summary";#N/A,#N/A,FALSE,"Ratio Analysis";#N/A,#N/A,FALSE,"Test 120 Day Accts";#N/A,#N/A,FALSE,"Tickmarks"}</definedName>
    <definedName name="rrr_3_3_4" hidden="1">{#N/A,#N/A,FALSE,"Aging Summary";#N/A,#N/A,FALSE,"Ratio Analysis";#N/A,#N/A,FALSE,"Test 120 Day Accts";#N/A,#N/A,FALSE,"Tickmarks"}</definedName>
    <definedName name="rrr_3_4" hidden="1">{#N/A,#N/A,FALSE,"Aging Summary";#N/A,#N/A,FALSE,"Ratio Analysis";#N/A,#N/A,FALSE,"Test 120 Day Accts";#N/A,#N/A,FALSE,"Tickmarks"}</definedName>
    <definedName name="rrr_3_4_1" hidden="1">{#N/A,#N/A,FALSE,"Aging Summary";#N/A,#N/A,FALSE,"Ratio Analysis";#N/A,#N/A,FALSE,"Test 120 Day Accts";#N/A,#N/A,FALSE,"Tickmarks"}</definedName>
    <definedName name="rrr_3_4_1_1" hidden="1">{#N/A,#N/A,FALSE,"Aging Summary";#N/A,#N/A,FALSE,"Ratio Analysis";#N/A,#N/A,FALSE,"Test 120 Day Accts";#N/A,#N/A,FALSE,"Tickmarks"}</definedName>
    <definedName name="rrr_3_4_1_2" hidden="1">{#N/A,#N/A,FALSE,"Aging Summary";#N/A,#N/A,FALSE,"Ratio Analysis";#N/A,#N/A,FALSE,"Test 120 Day Accts";#N/A,#N/A,FALSE,"Tickmarks"}</definedName>
    <definedName name="rrr_3_4_2" hidden="1">{#N/A,#N/A,FALSE,"Aging Summary";#N/A,#N/A,FALSE,"Ratio Analysis";#N/A,#N/A,FALSE,"Test 120 Day Accts";#N/A,#N/A,FALSE,"Tickmarks"}</definedName>
    <definedName name="rrr_3_4_2_1" hidden="1">{#N/A,#N/A,FALSE,"Aging Summary";#N/A,#N/A,FALSE,"Ratio Analysis";#N/A,#N/A,FALSE,"Test 120 Day Accts";#N/A,#N/A,FALSE,"Tickmarks"}</definedName>
    <definedName name="rrr_3_4_2_2" hidden="1">{#N/A,#N/A,FALSE,"Aging Summary";#N/A,#N/A,FALSE,"Ratio Analysis";#N/A,#N/A,FALSE,"Test 120 Day Accts";#N/A,#N/A,FALSE,"Tickmarks"}</definedName>
    <definedName name="rrr_3_4_3" hidden="1">{#N/A,#N/A,FALSE,"Aging Summary";#N/A,#N/A,FALSE,"Ratio Analysis";#N/A,#N/A,FALSE,"Test 120 Day Accts";#N/A,#N/A,FALSE,"Tickmarks"}</definedName>
    <definedName name="rrr_3_4_4" hidden="1">{#N/A,#N/A,FALSE,"Aging Summary";#N/A,#N/A,FALSE,"Ratio Analysis";#N/A,#N/A,FALSE,"Test 120 Day Accts";#N/A,#N/A,FALSE,"Tickmarks"}</definedName>
    <definedName name="rrr_3_5" hidden="1">{#N/A,#N/A,FALSE,"Aging Summary";#N/A,#N/A,FALSE,"Ratio Analysis";#N/A,#N/A,FALSE,"Test 120 Day Accts";#N/A,#N/A,FALSE,"Tickmarks"}</definedName>
    <definedName name="rrr_3_5_1" hidden="1">{#N/A,#N/A,FALSE,"Aging Summary";#N/A,#N/A,FALSE,"Ratio Analysis";#N/A,#N/A,FALSE,"Test 120 Day Accts";#N/A,#N/A,FALSE,"Tickmarks"}</definedName>
    <definedName name="rrr_3_5_1_1" hidden="1">{#N/A,#N/A,FALSE,"Aging Summary";#N/A,#N/A,FALSE,"Ratio Analysis";#N/A,#N/A,FALSE,"Test 120 Day Accts";#N/A,#N/A,FALSE,"Tickmarks"}</definedName>
    <definedName name="rrr_3_5_1_2" hidden="1">{#N/A,#N/A,FALSE,"Aging Summary";#N/A,#N/A,FALSE,"Ratio Analysis";#N/A,#N/A,FALSE,"Test 120 Day Accts";#N/A,#N/A,FALSE,"Tickmarks"}</definedName>
    <definedName name="rrr_3_5_2" hidden="1">{#N/A,#N/A,FALSE,"Aging Summary";#N/A,#N/A,FALSE,"Ratio Analysis";#N/A,#N/A,FALSE,"Test 120 Day Accts";#N/A,#N/A,FALSE,"Tickmarks"}</definedName>
    <definedName name="rrr_3_5_2_1" hidden="1">{#N/A,#N/A,FALSE,"Aging Summary";#N/A,#N/A,FALSE,"Ratio Analysis";#N/A,#N/A,FALSE,"Test 120 Day Accts";#N/A,#N/A,FALSE,"Tickmarks"}</definedName>
    <definedName name="rrr_3_5_2_2" hidden="1">{#N/A,#N/A,FALSE,"Aging Summary";#N/A,#N/A,FALSE,"Ratio Analysis";#N/A,#N/A,FALSE,"Test 120 Day Accts";#N/A,#N/A,FALSE,"Tickmarks"}</definedName>
    <definedName name="rrr_3_5_3" hidden="1">{#N/A,#N/A,FALSE,"Aging Summary";#N/A,#N/A,FALSE,"Ratio Analysis";#N/A,#N/A,FALSE,"Test 120 Day Accts";#N/A,#N/A,FALSE,"Tickmarks"}</definedName>
    <definedName name="rrr_3_5_4" hidden="1">{#N/A,#N/A,FALSE,"Aging Summary";#N/A,#N/A,FALSE,"Ratio Analysis";#N/A,#N/A,FALSE,"Test 120 Day Accts";#N/A,#N/A,FALSE,"Tickmarks"}</definedName>
    <definedName name="rrr_4" hidden="1">{#N/A,#N/A,FALSE,"Aging Summary";#N/A,#N/A,FALSE,"Ratio Analysis";#N/A,#N/A,FALSE,"Test 120 Day Accts";#N/A,#N/A,FALSE,"Tickmarks"}</definedName>
    <definedName name="rrr_4_1" hidden="1">{#N/A,#N/A,FALSE,"Aging Summary";#N/A,#N/A,FALSE,"Ratio Analysis";#N/A,#N/A,FALSE,"Test 120 Day Accts";#N/A,#N/A,FALSE,"Tickmarks"}</definedName>
    <definedName name="rrr_4_1_1" hidden="1">{#N/A,#N/A,FALSE,"Aging Summary";#N/A,#N/A,FALSE,"Ratio Analysis";#N/A,#N/A,FALSE,"Test 120 Day Accts";#N/A,#N/A,FALSE,"Tickmarks"}</definedName>
    <definedName name="rrr_4_1_2" hidden="1">{#N/A,#N/A,FALSE,"Aging Summary";#N/A,#N/A,FALSE,"Ratio Analysis";#N/A,#N/A,FALSE,"Test 120 Day Accts";#N/A,#N/A,FALSE,"Tickmarks"}</definedName>
    <definedName name="rrr_4_2" hidden="1">{#N/A,#N/A,FALSE,"Aging Summary";#N/A,#N/A,FALSE,"Ratio Analysis";#N/A,#N/A,FALSE,"Test 120 Day Accts";#N/A,#N/A,FALSE,"Tickmarks"}</definedName>
    <definedName name="rrr_4_2_1" hidden="1">{#N/A,#N/A,FALSE,"Aging Summary";#N/A,#N/A,FALSE,"Ratio Analysis";#N/A,#N/A,FALSE,"Test 120 Day Accts";#N/A,#N/A,FALSE,"Tickmarks"}</definedName>
    <definedName name="rrr_4_2_2" hidden="1">{#N/A,#N/A,FALSE,"Aging Summary";#N/A,#N/A,FALSE,"Ratio Analysis";#N/A,#N/A,FALSE,"Test 120 Day Accts";#N/A,#N/A,FALSE,"Tickmarks"}</definedName>
    <definedName name="rrr_4_3" hidden="1">{#N/A,#N/A,FALSE,"Aging Summary";#N/A,#N/A,FALSE,"Ratio Analysis";#N/A,#N/A,FALSE,"Test 120 Day Accts";#N/A,#N/A,FALSE,"Tickmarks"}</definedName>
    <definedName name="rrr_4_4" hidden="1">{#N/A,#N/A,FALSE,"Aging Summary";#N/A,#N/A,FALSE,"Ratio Analysis";#N/A,#N/A,FALSE,"Test 120 Day Accts";#N/A,#N/A,FALSE,"Tickmarks"}</definedName>
    <definedName name="rrr_5" hidden="1">{#N/A,#N/A,FALSE,"Aging Summary";#N/A,#N/A,FALSE,"Ratio Analysis";#N/A,#N/A,FALSE,"Test 120 Day Accts";#N/A,#N/A,FALSE,"Tickmarks"}</definedName>
    <definedName name="rrr_5_1" hidden="1">{#N/A,#N/A,FALSE,"Aging Summary";#N/A,#N/A,FALSE,"Ratio Analysis";#N/A,#N/A,FALSE,"Test 120 Day Accts";#N/A,#N/A,FALSE,"Tickmarks"}</definedName>
    <definedName name="rrr_5_1_1" hidden="1">{#N/A,#N/A,FALSE,"Aging Summary";#N/A,#N/A,FALSE,"Ratio Analysis";#N/A,#N/A,FALSE,"Test 120 Day Accts";#N/A,#N/A,FALSE,"Tickmarks"}</definedName>
    <definedName name="rrr_5_1_2" hidden="1">{#N/A,#N/A,FALSE,"Aging Summary";#N/A,#N/A,FALSE,"Ratio Analysis";#N/A,#N/A,FALSE,"Test 120 Day Accts";#N/A,#N/A,FALSE,"Tickmarks"}</definedName>
    <definedName name="rrr_5_2" hidden="1">{#N/A,#N/A,FALSE,"Aging Summary";#N/A,#N/A,FALSE,"Ratio Analysis";#N/A,#N/A,FALSE,"Test 120 Day Accts";#N/A,#N/A,FALSE,"Tickmarks"}</definedName>
    <definedName name="rrr_5_2_1" hidden="1">{#N/A,#N/A,FALSE,"Aging Summary";#N/A,#N/A,FALSE,"Ratio Analysis";#N/A,#N/A,FALSE,"Test 120 Day Accts";#N/A,#N/A,FALSE,"Tickmarks"}</definedName>
    <definedName name="rrr_5_2_2" hidden="1">{#N/A,#N/A,FALSE,"Aging Summary";#N/A,#N/A,FALSE,"Ratio Analysis";#N/A,#N/A,FALSE,"Test 120 Day Accts";#N/A,#N/A,FALSE,"Tickmarks"}</definedName>
    <definedName name="rrr_5_3" hidden="1">{#N/A,#N/A,FALSE,"Aging Summary";#N/A,#N/A,FALSE,"Ratio Analysis";#N/A,#N/A,FALSE,"Test 120 Day Accts";#N/A,#N/A,FALSE,"Tickmarks"}</definedName>
    <definedName name="rrr_5_4" hidden="1">{#N/A,#N/A,FALSE,"Aging Summary";#N/A,#N/A,FALSE,"Ratio Analysis";#N/A,#N/A,FALSE,"Test 120 Day Accts";#N/A,#N/A,FALSE,"Tickmarks"}</definedName>
    <definedName name="rrr_new" localSheetId="8" hidden="1">{#N/A,#N/A,FALSE,"Cover";#N/A,#N/A,FALSE,"OFF";#N/A,#N/A,FALSE," ON";#N/A,#N/A,FALSE,"SUM";#N/A,#N/A,FALSE,"VPOP-POP"}</definedName>
    <definedName name="rrr_new" hidden="1">{#N/A,#N/A,FALSE,"Cover";#N/A,#N/A,FALSE,"OFF";#N/A,#N/A,FALSE," ON";#N/A,#N/A,FALSE,"SUM";#N/A,#N/A,FALSE,"VPOP-POP"}</definedName>
    <definedName name="rrrr" localSheetId="8" hidden="1">{"vol data",#N/A,FALSE,"Datasheet";"vol graph",#N/A,FALSE,"Volume";"price data",#N/A,FALSE,"Datasheet";"price graph",#N/A,FALSE,"Price";"dp data",#N/A,FALSE,"Datasheet";"dp graph",#N/A,FALSE,"DirectProfit"}</definedName>
    <definedName name="RRRR" hidden="1">{#N/A,#N/A,FALSE,"Pliego";#N/A,#N/A,FALSE,"Coeficientes";#N/A,#N/A,FALSE,"Cond. Diseño";#N/A,#N/A,FALSE,"Reactor Cullera";#N/A,#N/A,FALSE,"Tres fases";#N/A,#N/A,FALSE,"Dos fases";#N/A,#N/A,FALSE,"Resumen";#N/A,#N/A,FALSE,"Fosforo";#N/A,#N/A,FALSE,"Recirculacion";#N/A,#N/A,FALSE,"Exceso fango";#N/A,#N/A,FALSE,"Decantador";#N/A,#N/A,FALSE,"Desinfeccion";#N/A,#N/A,FALSE,"Recir. int."}</definedName>
    <definedName name="rrrrr" localSheetId="7" hidden="1">{#N/A,#N/A,FALSE,"Pharm";#N/A,#N/A,FALSE,"WWCM"}</definedName>
    <definedName name="rrrrr" localSheetId="8" hidden="1">{#N/A,#N/A,FALSE,"Pharm";#N/A,#N/A,FALSE,"WWCM"}</definedName>
    <definedName name="rrrrr" hidden="1">{#N/A,#N/A,FALSE,"Pharm";#N/A,#N/A,FALSE,"WWCM"}</definedName>
    <definedName name="rrrrrr" localSheetId="7" hidden="1">{"cash plan",#N/A,FALSE,"fccashflow"}</definedName>
    <definedName name="rrrrrr" localSheetId="8" hidden="1">{"cash plan",#N/A,FALSE,"fccashflow"}</definedName>
    <definedName name="rrrrrrrrr" localSheetId="8" hidden="1">{#N/A,#N/A,FALSE,"Input"}</definedName>
    <definedName name="rrrrrrrrr" hidden="1">{#N/A,#N/A,FALSE,"Input"}</definedName>
    <definedName name="rrrrrrrrrrrrrrrrrg" localSheetId="8" hidden="1">{#N/A,#N/A,FALSE,"Assessment";#N/A,#N/A,FALSE,"Staffing";#N/A,#N/A,FALSE,"Hires";#N/A,#N/A,FALSE,"Assumptions"}</definedName>
    <definedName name="rrrrrrrrrrrrrrrrrg" hidden="1">{#N/A,#N/A,FALSE,"Assessment";#N/A,#N/A,FALSE,"Staffing";#N/A,#N/A,FALSE,"Hires";#N/A,#N/A,FALSE,"Assumptions"}</definedName>
    <definedName name="RRRRRRRRRRRRRRRRRRR" localSheetId="8" hidden="1">{"Largo",#N/A,FALSE,"FSMILES (1)";"Corto",#N/A,FALSE,"FSMILES (1)";"PL",#N/A,FALSE,"FSMILES (1)"}</definedName>
    <definedName name="RRRRRRRRRRRRRRRRRRR" hidden="1">{"Largo",#N/A,FALSE,"FSMILES (1)";"Corto",#N/A,FALSE,"FSMILES (1)";"PL",#N/A,FALSE,"FSMILES (1)"}</definedName>
    <definedName name="RRRRRRRRRRRRRRRRRRR_1" localSheetId="8" hidden="1">{"Largo",#N/A,FALSE,"FSMILES (1)";"Corto",#N/A,FALSE,"FSMILES (1)";"PL",#N/A,FALSE,"FSMILES (1)"}</definedName>
    <definedName name="RRRRRRRRRRRRRRRRRRR_1" hidden="1">{"Largo",#N/A,FALSE,"FSMILES (1)";"Corto",#N/A,FALSE,"FSMILES (1)";"PL",#N/A,FALSE,"FSMILES (1)"}</definedName>
    <definedName name="rsac" localSheetId="8" hidden="1">{"PAGE 1",#N/A,FALSE,"COS Excluding Geismar";"PAGE 2",#N/A,FALSE,"COS Excluding Geismar";"PAGE 3",#N/A,FALSE,"COS Excluding Geismar"}</definedName>
    <definedName name="rsac" hidden="1">{"PAGE 1",#N/A,FALSE,"COS Excluding Geismar";"PAGE 2",#N/A,FALSE,"COS Excluding Geismar";"PAGE 3",#N/A,FALSE,"COS Excluding Geismar"}</definedName>
    <definedName name="rstwrtuwrtuwrt" localSheetId="8" hidden="1">{#N/A,#N/A,FALSE,"USCSS ROLLUP";#N/A,#N/A,FALSE,"USCS";#N/A,#N/A,FALSE,"TARGET";#N/A,#N/A,FALSE,"MICROSOFT";#N/A,#N/A,FALSE,"AT&amp;T";#N/A,#N/A,FALSE,"ALT CHANNELS";#N/A,#N/A,FALSE,"USCS HQ"}</definedName>
    <definedName name="rstwrtuwrtuwrt" hidden="1">{#N/A,#N/A,FALSE,"USCSS ROLLUP";#N/A,#N/A,FALSE,"USCS";#N/A,#N/A,FALSE,"TARGET";#N/A,#N/A,FALSE,"MICROSOFT";#N/A,#N/A,FALSE,"AT&amp;T";#N/A,#N/A,FALSE,"ALT CHANNELS";#N/A,#N/A,FALSE,"USCS HQ"}</definedName>
    <definedName name="rt" localSheetId="7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rt" localSheetId="8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rt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rt_1" localSheetId="7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rt_1" localSheetId="8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rt_1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rtbg" localSheetId="8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rtb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Rtdos2001data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rtds" localSheetId="8" hidden="1">{"ICD Details",#N/A,FALSE,"Current Yr";"ICD Details",#N/A,FALSE,"Budget";"ICD Details",#N/A,FALSE,"Prior Year"}</definedName>
    <definedName name="rtds" hidden="1">{"ICD Details",#N/A,FALSE,"Current Yr";"ICD Details",#N/A,FALSE,"Budget";"ICD Details",#N/A,FALSE,"Prior Year"}</definedName>
    <definedName name="rtfg" localSheetId="8" hidden="1">{"LAPO2N2",#N/A,FALSE,"CM";"TOTTEXAS",#N/A,FALSE,"CM";"LOUISIANA",#N/A,FALSE,"CM";"GENERALH2",#N/A,FALSE,"CM";"PRS",#N/A,FALSE,"CM";"PACKAGE",#N/A,FALSE,"CM";"OTHER",#N/A,FALSE,"CM"}</definedName>
    <definedName name="rtfg" hidden="1">{"LAPO2N2",#N/A,FALSE,"CM";"TOTTEXAS",#N/A,FALSE,"CM";"LOUISIANA",#N/A,FALSE,"CM";"GENERALH2",#N/A,FALSE,"CM";"PRS",#N/A,FALSE,"CM";"PACKAGE",#N/A,FALSE,"CM";"OTHER",#N/A,FALSE,"CM"}</definedName>
    <definedName name="rtgh" localSheetId="8" hidden="1">{#N/A,#N/A,TRUE,"Sheet1";#N/A,#N/A,TRUE,"Sheet2";#N/A,#N/A,TRUE,"Sheet3";#N/A,#N/A,TRUE,"Sheet4";#N/A,#N/A,TRUE,"Sheet5";#N/A,#N/A,TRUE,"Sheet6";#N/A,#N/A,TRUE,"Sheet7"}</definedName>
    <definedName name="rtgh" hidden="1">{#N/A,#N/A,TRUE,"Sheet1";#N/A,#N/A,TRUE,"Sheet2";#N/A,#N/A,TRUE,"Sheet3";#N/A,#N/A,TRUE,"Sheet4";#N/A,#N/A,TRUE,"Sheet5";#N/A,#N/A,TRUE,"Sheet6";#N/A,#N/A,TRUE,"Sheet7"}</definedName>
    <definedName name="rthrh" localSheetId="8" hidden="1">{#N/A,#N/A,FALSE,"SMT1";#N/A,#N/A,FALSE,"SMT2";#N/A,#N/A,FALSE,"Summary";#N/A,#N/A,FALSE,"Graphs";#N/A,#N/A,FALSE,"4 Panel"}</definedName>
    <definedName name="rthrh" hidden="1">{#N/A,#N/A,FALSE,"SMT1";#N/A,#N/A,FALSE,"SMT2";#N/A,#N/A,FALSE,"Summary";#N/A,#N/A,FALSE,"Graphs";#N/A,#N/A,FALSE,"4 Panel"}</definedName>
    <definedName name="rthwrh" localSheetId="8" hidden="1">{#N/A,#N/A,FALSE,"Full";#N/A,#N/A,FALSE,"Half";#N/A,#N/A,FALSE,"Op Expenses";#N/A,#N/A,FALSE,"Cap Charge";#N/A,#N/A,FALSE,"Cost C";#N/A,#N/A,FALSE,"PP&amp;E";#N/A,#N/A,FALSE,"R&amp;D"}</definedName>
    <definedName name="rthwrh" hidden="1">{#N/A,#N/A,FALSE,"Full";#N/A,#N/A,FALSE,"Half";#N/A,#N/A,FALSE,"Op Expenses";#N/A,#N/A,FALSE,"Cap Charge";#N/A,#N/A,FALSE,"Cost C";#N/A,#N/A,FALSE,"PP&amp;E";#N/A,#N/A,FALSE,"R&amp;D"}</definedName>
    <definedName name="rti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rtjtrj" localSheetId="8" hidden="1">{#N/A,#N/A,FALSE,"Assessment";#N/A,#N/A,FALSE,"Staffing";#N/A,#N/A,FALSE,"Hires";#N/A,#N/A,FALSE,"Assumptions"}</definedName>
    <definedName name="rtjtrj" hidden="1">{#N/A,#N/A,FALSE,"Assessment";#N/A,#N/A,FALSE,"Staffing";#N/A,#N/A,FALSE,"Hires";#N/A,#N/A,FALSE,"Assumptions"}</definedName>
    <definedName name="rtn" localSheetId="8" hidden="1">{#N/A,#N/A,FALSE,"Assessment";#N/A,#N/A,FALSE,"Staffing";#N/A,#N/A,FALSE,"Hires";#N/A,#N/A,FALSE,"Assumptions"}</definedName>
    <definedName name="rtn" hidden="1">{#N/A,#N/A,FALSE,"Assessment";#N/A,#N/A,FALSE,"Staffing";#N/A,#N/A,FALSE,"Hires";#N/A,#N/A,FALSE,"Assumptions"}</definedName>
    <definedName name="rtnb" localSheetId="8" hidden="1">{"vol data",#N/A,FALSE,"Datasheet";"vol graph",#N/A,FALSE,"Volume";"price data",#N/A,FALSE,"Datasheet";"price graph",#N/A,FALSE,"Price";"dp data",#N/A,FALSE,"Datasheet";"dp graph",#N/A,FALSE,"DirectProfit"}</definedName>
    <definedName name="rtnb" hidden="1">{"vol data",#N/A,FALSE,"Datasheet";"vol graph",#N/A,FALSE,"Volume";"price data",#N/A,FALSE,"Datasheet";"price graph",#N/A,FALSE,"Price";"dp data",#N/A,FALSE,"Datasheet";"dp graph",#N/A,FALSE,"DirectProfit"}</definedName>
    <definedName name="rtnrt" localSheetId="8" hidden="1">{#N/A,#N/A,FALSE,"Assessment";#N/A,#N/A,FALSE,"Staffing";#N/A,#N/A,FALSE,"Hires";#N/A,#N/A,FALSE,"Assumptions"}</definedName>
    <definedName name="rtnrt" hidden="1">{#N/A,#N/A,FALSE,"Assessment";#N/A,#N/A,FALSE,"Staffing";#N/A,#N/A,FALSE,"Hires";#N/A,#N/A,FALSE,"Assumptions"}</definedName>
    <definedName name="RTR" localSheetId="8" hidden="1">{0}</definedName>
    <definedName name="rtr" hidden="1">{"'FLUOXETINE'!$A$1:$I$24"}</definedName>
    <definedName name="rtre" localSheetId="8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rtre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rtrhtrhtrhtrhtrh" localSheetId="8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rtrhtrhtrhtrhtrh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RTRTR" localSheetId="8" hidden="1">{#N/A,#N/A,FALSE,"Min compar us";#N/A,#N/A,FALSE,"Min US Equité ";#N/A,#N/A,FALSE,"Analyse U.S."}</definedName>
    <definedName name="RTRTR" hidden="1">{#N/A,#N/A,FALSE,"Min compar us";#N/A,#N/A,FALSE,"Min US Equité ";#N/A,#N/A,FALSE,"Analyse U.S."}</definedName>
    <definedName name="RTT" hidden="1">{#N/A,#N/A,FALSE,"CA";#N/A,#N/A,FALSE,"CN";#N/A,#N/A,FALSE,"Inv";#N/A,#N/A,FALSE,"Inv Acc";"Miguel_balance",#N/A,FALSE,"Bal";#N/A,#N/A,FALSE,"Plantilla";#N/A,#N/A,FALSE,"CA (2)";#N/A,#N/A,FALSE,"CN (2)"}</definedName>
    <definedName name="RTUFJ" localSheetId="8" hidden="1">{#N/A,#N/A,FALSE,"IC Annex";#N/A,#N/A,FALSE,"Sensitivity";#N/A,#N/A,FALSE,"P&amp;L";#N/A,#N/A,FALSE,"Balance Sheet";#N/A,#N/A,FALSE,"Cash Flow";#N/A,#N/A,FALSE,"Key Assumptions";#N/A,#N/A,FALSE,"Global Assumptions";#N/A,#N/A,FALSE,"Graphs"}</definedName>
    <definedName name="RTUFJ" hidden="1">{#N/A,#N/A,FALSE,"IC Annex";#N/A,#N/A,FALSE,"Sensitivity";#N/A,#N/A,FALSE,"P&amp;L";#N/A,#N/A,FALSE,"Balance Sheet";#N/A,#N/A,FALSE,"Cash Flow";#N/A,#N/A,FALSE,"Key Assumptions";#N/A,#N/A,FALSE,"Global Assumptions";#N/A,#N/A,FALSE,"Graphs"}</definedName>
    <definedName name="RTUFUJH" localSheetId="8" hidden="1">{#N/A,#N/A,FALSE,"IC Annex";#N/A,#N/A,FALSE,"Sensitivity";#N/A,#N/A,FALSE,"Key Assumptions";#N/A,#N/A,FALSE,"Graphs";#N/A,#N/A,FALSE,"Global Assumptions";#N/A,#N/A,FALSE,"P&amp;L";#N/A,#N/A,FALSE,"Balance Sheet";#N/A,#N/A,FALSE,"Cash Flow"}</definedName>
    <definedName name="RTUFUJH" hidden="1">{#N/A,#N/A,FALSE,"IC Annex";#N/A,#N/A,FALSE,"Sensitivity";#N/A,#N/A,FALSE,"Key Assumptions";#N/A,#N/A,FALSE,"Graphs";#N/A,#N/A,FALSE,"Global Assumptions";#N/A,#N/A,FALSE,"P&amp;L";#N/A,#N/A,FALSE,"Balance Sheet";#N/A,#N/A,FALSE,"Cash Flow"}</definedName>
    <definedName name="RTURU" localSheetId="8" hidden="1">{#N/A,#N/A,FALSE,"Global Assumptions";#N/A,#N/A,FALSE,"NZ Valuation";#N/A,#N/A,FALSE,"P&amp;L";#N/A,#N/A,FALSE,"Balance Sheet";#N/A,#N/A,FALSE,"Cash Flow";#N/A,#N/A,FALSE,"Key Assumptions";#N/A,#N/A,FALSE,"Graphs";#N/A,#N/A,FALSE,"Core EBIT Summary";#N/A,#N/A,FALSE,"National Tolls - Residential";#N/A,#N/A,FALSE,"National Tolls - Business";#N/A,#N/A,FALSE,"Internat'l Tolls - Residential";#N/A,#N/A,FALSE,"Internat'l Tolls - Business";#N/A,#N/A,FALSE,"Faxplus";#N/A,#N/A,FALSE,"Business Local Service";#N/A,#N/A,FALSE,"Data Services";#N/A,#N/A,FALSE,"Cellular"}</definedName>
    <definedName name="RTURU" hidden="1">{#N/A,#N/A,FALSE,"Global Assumptions";#N/A,#N/A,FALSE,"NZ Valuation";#N/A,#N/A,FALSE,"P&amp;L";#N/A,#N/A,FALSE,"Balance Sheet";#N/A,#N/A,FALSE,"Cash Flow";#N/A,#N/A,FALSE,"Key Assumptions";#N/A,#N/A,FALSE,"Graphs";#N/A,#N/A,FALSE,"Core EBIT Summary";#N/A,#N/A,FALSE,"National Tolls - Residential";#N/A,#N/A,FALSE,"National Tolls - Business";#N/A,#N/A,FALSE,"Internat'l Tolls - Residential";#N/A,#N/A,FALSE,"Internat'l Tolls - Business";#N/A,#N/A,FALSE,"Faxplus";#N/A,#N/A,FALSE,"Business Local Service";#N/A,#N/A,FALSE,"Data Services";#N/A,#N/A,FALSE,"Cellular"}</definedName>
    <definedName name="RTUTU" localSheetId="8" hidden="1">{#N/A,#N/A,FALSE,"IC Annex";#N/A,#N/A,FALSE,"Sensitivity";#N/A,#N/A,FALSE,"P&amp;L";#N/A,#N/A,FALSE,"Balance Sheet";#N/A,#N/A,FALSE,"Cash Flow";#N/A,#N/A,FALSE,"Key Assumptions";#N/A,#N/A,FALSE,"Global Assumptions";#N/A,#N/A,FALSE,"Graphs"}</definedName>
    <definedName name="RTUTU" hidden="1">{#N/A,#N/A,FALSE,"IC Annex";#N/A,#N/A,FALSE,"Sensitivity";#N/A,#N/A,FALSE,"P&amp;L";#N/A,#N/A,FALSE,"Balance Sheet";#N/A,#N/A,FALSE,"Cash Flow";#N/A,#N/A,FALSE,"Key Assumptions";#N/A,#N/A,FALSE,"Global Assumptions";#N/A,#N/A,FALSE,"Graphs"}</definedName>
    <definedName name="RTUYJHFJH" localSheetId="8" hidden="1">{#N/A,#N/A,FALSE,"IC Annex";#N/A,#N/A,FALSE,"Sensitivity";#N/A,#N/A,FALSE,"P&amp;L";#N/A,#N/A,FALSE,"Balance Sheet";#N/A,#N/A,FALSE,"Cash Flow";#N/A,#N/A,FALSE,"Key Assumptions";#N/A,#N/A,FALSE,"Global Assumptions";#N/A,#N/A,FALSE,"Graphs"}</definedName>
    <definedName name="RTUYJHFJH" hidden="1">{#N/A,#N/A,FALSE,"IC Annex";#N/A,#N/A,FALSE,"Sensitivity";#N/A,#N/A,FALSE,"P&amp;L";#N/A,#N/A,FALSE,"Balance Sheet";#N/A,#N/A,FALSE,"Cash Flow";#N/A,#N/A,FALSE,"Key Assumptions";#N/A,#N/A,FALSE,"Global Assumptions";#N/A,#N/A,FALSE,"Graphs"}</definedName>
    <definedName name="rtw" localSheetId="8" hidden="1">{"Eilbericht_UBA",#N/A,FALSE,"EB"}</definedName>
    <definedName name="rtw" hidden="1">{"Eilbericht_UBA",#N/A,FALSE,"EB"}</definedName>
    <definedName name="rtw_1" localSheetId="8" hidden="1">{"Eilbericht_UBA",#N/A,FALSE,"EB"}</definedName>
    <definedName name="rtw_1" hidden="1">{"Eilbericht_UBA",#N/A,FALSE,"EB"}</definedName>
    <definedName name="rty" localSheetId="8" hidden="1">{"ICD Details",#N/A,FALSE,"Current Yr";"ICD Details",#N/A,FALSE,"Budget";"ICD Details",#N/A,FALSE,"Prior Year"}</definedName>
    <definedName name="rty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rty_1" localSheetId="8" hidden="1">{#N/A,#N/A,TRUE,"Pro Forma";#N/A,#N/A,TRUE,"PF_Bal";#N/A,#N/A,TRUE,"PF_INC";#N/A,#N/A,TRUE,"CBE";#N/A,#N/A,TRUE,"SWK"}</definedName>
    <definedName name="rty_1" hidden="1">{#N/A,#N/A,TRUE,"Pro Forma";#N/A,#N/A,TRUE,"PF_Bal";#N/A,#N/A,TRUE,"PF_INC";#N/A,#N/A,TRUE,"CBE";#N/A,#N/A,TRUE,"SWK"}</definedName>
    <definedName name="rtyjj" localSheetId="8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rtyjj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rtyjj_1" localSheetId="8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rtyjj_1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RTYRTY" localSheetId="8" hidden="1">{#N/A,#N/A,FALSE,"Global Assumptions";#N/A,#N/A,FALSE,"NZ Valuation";#N/A,#N/A,FALSE,"P&amp;L";#N/A,#N/A,FALSE,"Balance Sheet";#N/A,#N/A,FALSE,"Cash Flow";#N/A,#N/A,FALSE,"Key Assumptions";#N/A,#N/A,FALSE,"Graphs";#N/A,#N/A,FALSE,"Core EBIT Summary";#N/A,#N/A,FALSE,"National Tolls - Residential";#N/A,#N/A,FALSE,"National Tolls - Business";#N/A,#N/A,FALSE,"Internat'l Tolls - Residential";#N/A,#N/A,FALSE,"Internat'l Tolls - Business";#N/A,#N/A,FALSE,"Faxplus";#N/A,#N/A,FALSE,"Business Local Service";#N/A,#N/A,FALSE,"Data Services";#N/A,#N/A,FALSE,"Cellular"}</definedName>
    <definedName name="RTYRTY" hidden="1">{#N/A,#N/A,FALSE,"Global Assumptions";#N/A,#N/A,FALSE,"NZ Valuation";#N/A,#N/A,FALSE,"P&amp;L";#N/A,#N/A,FALSE,"Balance Sheet";#N/A,#N/A,FALSE,"Cash Flow";#N/A,#N/A,FALSE,"Key Assumptions";#N/A,#N/A,FALSE,"Graphs";#N/A,#N/A,FALSE,"Core EBIT Summary";#N/A,#N/A,FALSE,"National Tolls - Residential";#N/A,#N/A,FALSE,"National Tolls - Business";#N/A,#N/A,FALSE,"Internat'l Tolls - Residential";#N/A,#N/A,FALSE,"Internat'l Tolls - Business";#N/A,#N/A,FALSE,"Faxplus";#N/A,#N/A,FALSE,"Business Local Service";#N/A,#N/A,FALSE,"Data Services";#N/A,#N/A,FALSE,"Cellular"}</definedName>
    <definedName name="rtyrtyrt" localSheetId="8" hidden="1">{#N/A,#N/A,FALSE,"debt";#N/A,#N/A,FALSE,"apsort";#N/A,#N/A,FALSE,"AR"}</definedName>
    <definedName name="rtyrtyrt" hidden="1">{#N/A,#N/A,FALSE,"debt";#N/A,#N/A,FALSE,"apsort";#N/A,#N/A,FALSE,"AR"}</definedName>
    <definedName name="rtyrtyrt_1" localSheetId="8" hidden="1">{#N/A,#N/A,FALSE,"debt";#N/A,#N/A,FALSE,"apsort";#N/A,#N/A,FALSE,"AR"}</definedName>
    <definedName name="rtyrtyrt_1" hidden="1">{#N/A,#N/A,FALSE,"debt";#N/A,#N/A,FALSE,"apsort";#N/A,#N/A,FALSE,"AR"}</definedName>
    <definedName name="rtyu" localSheetId="8" hidden="1">{"BA detail",#N/A,FALSE,"Q3YTD "}</definedName>
    <definedName name="rtyu" hidden="1">{"BA detail",#N/A,FALSE,"Q3YTD "}</definedName>
    <definedName name="rtyuiop" localSheetId="8" hidden="1">{#N/A,#N/A,FALSE,"Min compar us";#N/A,#N/A,FALSE,"Min US Equité ";#N/A,#N/A,FALSE,"Analyse U.S."}</definedName>
    <definedName name="rtyuiop" hidden="1">{#N/A,#N/A,FALSE,"Min compar us";#N/A,#N/A,FALSE,"Min US Equité ";#N/A,#N/A,FALSE,"Analyse U.S."}</definedName>
    <definedName name="rtyuu" localSheetId="8" hidden="1">{#N/A,#N/A,TRUE,"Voorblad";#N/A,#N/A,TRUE,"Table of Content FinCom B";#N/A,#N/A,TRUE,"A3-P&amp;L by Bus.Unt-Serv.Unt";#N/A,#N/A,TRUE,"Summary carrier service";#N/A,#N/A,TRUE,"Summary Large accounts";#N/A,#N/A,TRUE,"Summary Consumer";#N/A,#N/A,TRUE,"Summary N&amp;S";#N/A,#N/A,TRUE,"Summary ITbilling";#N/A,#N/A,TRUE,"Billing backlog";#N/A,#N/A,TRUE,"Summary Corporate";#N/A,#N/A,TRUE,"B1-Orders RevGap";#N/A,#N/A,TRUE,"B2-Sales Prospects WinLoss";#N/A,#N/A,TRUE,"B4-GM per Product";#N/A,#N/A,TRUE,"B5-Mobile(1) ";#N/A,#N/A,TRUE,"P13-Funding- Inter.";#N/A,#N/A,TRUE,"P14-Risk &amp; Fraud Fixed";#N/A,#N/A,TRUE,"P14-Risk &amp; Fraud Mobile";#N/A,#N/A,TRUE,"Accounts payable";#N/A,#N/A,TRUE,"B15-Network "}</definedName>
    <definedName name="rtyuu" hidden="1">{#N/A,#N/A,TRUE,"Voorblad";#N/A,#N/A,TRUE,"Table of Content FinCom B";#N/A,#N/A,TRUE,"A3-P&amp;L by Bus.Unt-Serv.Unt";#N/A,#N/A,TRUE,"Summary carrier service";#N/A,#N/A,TRUE,"Summary Large accounts";#N/A,#N/A,TRUE,"Summary Consumer";#N/A,#N/A,TRUE,"Summary N&amp;S";#N/A,#N/A,TRUE,"Summary ITbilling";#N/A,#N/A,TRUE,"Billing backlog";#N/A,#N/A,TRUE,"Summary Corporate";#N/A,#N/A,TRUE,"B1-Orders RevGap";#N/A,#N/A,TRUE,"B2-Sales Prospects WinLoss";#N/A,#N/A,TRUE,"B4-GM per Product";#N/A,#N/A,TRUE,"B5-Mobile(1) ";#N/A,#N/A,TRUE,"P13-Funding- Inter.";#N/A,#N/A,TRUE,"P14-Risk &amp; Fraud Fixed";#N/A,#N/A,TRUE,"P14-Risk &amp; Fraud Mobile";#N/A,#N/A,TRUE,"Accounts payable";#N/A,#N/A,TRUE,"B15-Network "}</definedName>
    <definedName name="rtzertztrzz" localSheetId="8" hidden="1">{#N/A,#N/A,FALSE,"CSS";#N/A,#N/A,FALSE,"USCSS ROLLUP";#N/A,#N/A,FALSE,"INT'L ROLLUP";#N/A,#N/A,FALSE,"CSS HQ";#N/A,#N/A,FALSE,"USCS";#N/A,#N/A,FALSE,"TARGET";#N/A,#N/A,FALSE,"MICROSOFT";#N/A,#N/A,FALSE,"AT&amp;T";#N/A,#N/A,FALSE,"ALT CHANNELS";#N/A,#N/A,FALSE,"USCS HQ";#N/A,#N/A,FALSE,"INTL MGMT";#N/A,#N/A,FALSE,"EMEA";#N/A,#N/A,FALSE,"ASIA PACIFIC";#N/A,#N/A,FALSE,"LATIN AMERICA";#N/A,#N/A,FALSE,"CANADA"}</definedName>
    <definedName name="rtzertztrzz" hidden="1">{#N/A,#N/A,FALSE,"CSS";#N/A,#N/A,FALSE,"USCSS ROLLUP";#N/A,#N/A,FALSE,"INT'L ROLLUP";#N/A,#N/A,FALSE,"CSS HQ";#N/A,#N/A,FALSE,"USCS";#N/A,#N/A,FALSE,"TARGET";#N/A,#N/A,FALSE,"MICROSOFT";#N/A,#N/A,FALSE,"AT&amp;T";#N/A,#N/A,FALSE,"ALT CHANNELS";#N/A,#N/A,FALSE,"USCS HQ";#N/A,#N/A,FALSE,"INTL MGMT";#N/A,#N/A,FALSE,"EMEA";#N/A,#N/A,FALSE,"ASIA PACIFIC";#N/A,#N/A,FALSE,"LATIN AMERICA";#N/A,#N/A,FALSE,"CANADA"}</definedName>
    <definedName name="rtzu" localSheetId="8" hidden="1">{"Ergebnisbericht_UBA",#N/A,FALSE,"MB"}</definedName>
    <definedName name="rtzu" hidden="1">{"Ergebnisbericht_UBA",#N/A,FALSE,"MB"}</definedName>
    <definedName name="rtzu_1" localSheetId="8" hidden="1">{"Ergebnisbericht_UBA",#N/A,FALSE,"MB"}</definedName>
    <definedName name="rtzu_1" hidden="1">{"Ergebnisbericht_UBA",#N/A,FALSE,"MB"}</definedName>
    <definedName name="ru" localSheetId="8" hidden="1">{"Ergebnisbericht_UBA",#N/A,FALSE,"MB"}</definedName>
    <definedName name="ru" hidden="1">{"Ergebnisbericht_UBA",#N/A,FALSE,"MB"}</definedName>
    <definedName name="ru_1" localSheetId="8" hidden="1">{"Ergebnisbericht_UBA",#N/A,FALSE,"MB"}</definedName>
    <definedName name="ru_1" hidden="1">{"Ergebnisbericht_UBA",#N/A,FALSE,"MB"}</definedName>
    <definedName name="RUJHJ" localSheetId="8" hidden="1">{#N/A,#N/A,FALSE,"Global Assumptions";#N/A,#N/A,FALSE,"NZ Valuation";#N/A,#N/A,FALSE,"P&amp;L";#N/A,#N/A,FALSE,"Balance Sheet";#N/A,#N/A,FALSE,"Cash Flow";#N/A,#N/A,FALSE,"Key Assumptions";#N/A,#N/A,FALSE,"Graphs";#N/A,#N/A,FALSE,"Core EBIT Summary";#N/A,#N/A,FALSE,"National Tolls - Residential";#N/A,#N/A,FALSE,"National Tolls - Business";#N/A,#N/A,FALSE,"Internat'l Tolls - Residential";#N/A,#N/A,FALSE,"Internat'l Tolls - Business";#N/A,#N/A,FALSE,"Faxplus";#N/A,#N/A,FALSE,"Business Local Service";#N/A,#N/A,FALSE,"Data Services";#N/A,#N/A,FALSE,"Cellular"}</definedName>
    <definedName name="RUJHJ" hidden="1">{#N/A,#N/A,FALSE,"Global Assumptions";#N/A,#N/A,FALSE,"NZ Valuation";#N/A,#N/A,FALSE,"P&amp;L";#N/A,#N/A,FALSE,"Balance Sheet";#N/A,#N/A,FALSE,"Cash Flow";#N/A,#N/A,FALSE,"Key Assumptions";#N/A,#N/A,FALSE,"Graphs";#N/A,#N/A,FALSE,"Core EBIT Summary";#N/A,#N/A,FALSE,"National Tolls - Residential";#N/A,#N/A,FALSE,"National Tolls - Business";#N/A,#N/A,FALSE,"Internat'l Tolls - Residential";#N/A,#N/A,FALSE,"Internat'l Tolls - Business";#N/A,#N/A,FALSE,"Faxplus";#N/A,#N/A,FALSE,"Business Local Service";#N/A,#N/A,FALSE,"Data Services";#N/A,#N/A,FALSE,"Cellular"}</definedName>
    <definedName name="RUTH" hidden="1">{#N/A,#N/A,FALSE,"Resultados_is";#N/A,#N/A,FALSE,"IngresosG_is";#N/A,#N/A,FALSE,"Ingresosp_is";#N/A,#N/A,FALSE,"Financiero_is";#N/A,#N/A,FALSE,"Estructura_is";#N/A,#N/A,FALSE,"EstructuraG_is";#N/A,#N/A,FALSE,"FComercio_is";#N/A,#N/A,FALSE,"Pbeneficios_is";#N/A,#N/A,FALSE,"Gerenciamiento_is";#N/A,#N/A,FALSE,"Desinv_is"}</definedName>
    <definedName name="rutj" localSheetId="8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rutj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rutj_1" localSheetId="8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rutj_1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ruufo" localSheetId="8" hidden="1">{"detail",#N/A,FALSE,"mfg";"summary",#N/A,FALSE,"mfg"}</definedName>
    <definedName name="ruufo" hidden="1">{"detail",#N/A,FALSE,"mfg";"summary",#N/A,FALSE,"mfg"}</definedName>
    <definedName name="rv" localSheetId="8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rv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rw" localSheetId="8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rw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rweq" localSheetId="8" hidden="1">{"TEXO2N2_VOL",#N/A,FALSE,"MTHLYVOL";"TEXH2_VOL",#N/A,FALSE,"MTHLYVOL";"LOUIS_VOL",#N/A,FALSE,"MTHLYVOL";"H2_VOL",#N/A,FALSE,"MTHLYVOL";"O2N2_VOL",#N/A,FALSE,"MTHLYVOL";"PACKAGE_VOL",#N/A,FALSE,"MTHLYVOL"}</definedName>
    <definedName name="rweq" hidden="1">{"TEXO2N2_VOL",#N/A,FALSE,"MTHLYVOL";"TEXH2_VOL",#N/A,FALSE,"MTHLYVOL";"LOUIS_VOL",#N/A,FALSE,"MTHLYVOL";"H2_VOL",#N/A,FALSE,"MTHLYVOL";"O2N2_VOL",#N/A,FALSE,"MTHLYVOL";"PACKAGE_VOL",#N/A,FALSE,"MTHLYVOL"}</definedName>
    <definedName name="rwert" localSheetId="7" hidden="1">{#N/A,#N/A,FALSE,"Pharm";#N/A,#N/A,FALSE,"WWCM"}</definedName>
    <definedName name="rwert" localSheetId="8" hidden="1">{#N/A,#N/A,FALSE,"Pharm";#N/A,#N/A,FALSE,"WWCM"}</definedName>
    <definedName name="rwert" hidden="1">{#N/A,#N/A,FALSE,"Pharm";#N/A,#N/A,FALSE,"WWCM"}</definedName>
    <definedName name="rwew" localSheetId="8" hidden="1">{"summary",#N/A,FALSE,"summary";"sales growth",#N/A,FALSE,"summary";"oper income",#N/A,FALSE,"summary";"oros rank",#N/A,FALSE,"summary";"net assets",#N/A,FALSE,"summary";"asset turnover",#N/A,FALSE,"summary";"orona",#N/A,FALSE,"summary";"total return",#N/A,FALSE,"summary";"overview",#N/A,FALSE,"summary"}</definedName>
    <definedName name="rwew" hidden="1">{"summary",#N/A,FALSE,"summary";"sales growth",#N/A,FALSE,"summary";"oper income",#N/A,FALSE,"summary";"oros rank",#N/A,FALSE,"summary";"net assets",#N/A,FALSE,"summary";"asset turnover",#N/A,FALSE,"summary";"orona",#N/A,FALSE,"summary";"total return",#N/A,FALSE,"summary";"overview",#N/A,FALSE,"summary"}</definedName>
    <definedName name="rwsz" localSheetId="8" hidden="1">{"Commentary",#N/A,FALSE,"May"}</definedName>
    <definedName name="rwsz" hidden="1">{"Commentary",#N/A,FALSE,"May"}</definedName>
    <definedName name="RWT" hidden="1">"ELF_ACT_%"</definedName>
    <definedName name="Rwvu.CE_BF_AG." hidden="1">#REF!</definedName>
    <definedName name="Rwvu.CE_BF_MGD." hidden="1">#REF!</definedName>
    <definedName name="Rwvu.CE_BF_UTILE." hidden="1">#REF!</definedName>
    <definedName name="Rwvu.FASE1_BUDGET." hidden="1">#REF!,#REF!</definedName>
    <definedName name="Rwvu.FASE1_REVBUDGET." hidden="1">#REF!,#REF!</definedName>
    <definedName name="Rwvu.FASE2_BUDGET." hidden="1">#REF!,#REF!</definedName>
    <definedName name="Rwvu.FASE2_REVBUDGET." hidden="1">#REF!,#REF!</definedName>
    <definedName name="Rwvu.FASE3_BUDGET." hidden="1">#REF!,#REF!</definedName>
    <definedName name="Rwvu.FASE3_REVBUDGET." hidden="1">#REF!,#REF!</definedName>
    <definedName name="Rwvu.FASE4_BUDGET." hidden="1">#REF!,#REF!</definedName>
    <definedName name="Rwvu.FASE4_REVBUDGET." hidden="1">#REF!,#REF!</definedName>
    <definedName name="Rwvu.FASI_RIEPILOGO_BUDGET." hidden="1">#REF!,#REF!</definedName>
    <definedName name="Rwvu.FASI_RIEPILOGO_REVBUDGET." hidden="1">#REF!,#REF!</definedName>
    <definedName name="Rwvu.IMPOSTE_BF." hidden="1">#REF!</definedName>
    <definedName name="Rwvu.Page1." hidden="1">#REF!</definedName>
    <definedName name="Rwvu.Page2." hidden="1">#REF!</definedName>
    <definedName name="Rwvu.Page3." hidden="1">#REF!</definedName>
    <definedName name="Rwvu.Page4." hidden="1">#REF!</definedName>
    <definedName name="Rwvu.RACC_IMP." hidden="1">#REF!</definedName>
    <definedName name="Rwvu.RDOTOT." hidden="1">#REF!,#REF!</definedName>
    <definedName name="Rwvu.REV_DIV." hidden="1">#REF!</definedName>
    <definedName name="rwxz" localSheetId="8" hidden="1">{"TXO2N2_SLS",#N/A,FALSE,"MTHLYSLES";"TXH2_SLS",#N/A,FALSE,"MTHLYSLES";"LOUIS_SLS",#N/A,FALSE,"MTHLYSLES";"H2_SLS",#N/A,FALSE,"MTHLYSLES";"O2N2_SLS",#N/A,FALSE,"MTHLYSLES";"PACKAGE_SLS",#N/A,FALSE,"MTHLYSLES"}</definedName>
    <definedName name="rwxz" hidden="1">{"TXO2N2_SLS",#N/A,FALSE,"MTHLYSLES";"TXH2_SLS",#N/A,FALSE,"MTHLYSLES";"LOUIS_SLS",#N/A,FALSE,"MTHLYSLES";"H2_SLS",#N/A,FALSE,"MTHLYSLES";"O2N2_SLS",#N/A,FALSE,"MTHLYSLES";"PACKAGE_SLS",#N/A,FALSE,"MTHLYSLES"}</definedName>
    <definedName name="rxs" localSheetId="8" hidden="1">{"Month Summary",#N/A,FALSE,"Summary";"Total Details",#N/A,FALSE,"Current Yr";"Polymers Details",#N/A,FALSE,"Current Yr";"Performance Details",#N/A,FALSE,"Current Yr";"ICD Details",#N/A,FALSE,"Current Yr"}</definedName>
    <definedName name="rxs" hidden="1">{"Month Summary",#N/A,FALSE,"Summary";"Total Details",#N/A,FALSE,"Current Yr";"Polymers Details",#N/A,FALSE,"Current Yr";"Performance Details",#N/A,FALSE,"Current Yr";"ICD Details",#N/A,FALSE,"Current Yr"}</definedName>
    <definedName name="ryjmn" localSheetId="8" hidden="1">{"'100'!$A$1:$M$83"}</definedName>
    <definedName name="ryjmn" hidden="1">{"'100'!$A$1:$M$83"}</definedName>
    <definedName name="rykk" localSheetId="8" hidden="1">{"fssum01",#N/A,FALSE,"fssum";"fssum02",#N/A,FALSE,"fssum"}</definedName>
    <definedName name="rykk" hidden="1">{"fssum01",#N/A,FALSE,"fssum";"fssum02",#N/A,FALSE,"fssum"}</definedName>
    <definedName name="rykk_1" localSheetId="8" hidden="1">{"fssum01",#N/A,FALSE,"fssum";"fssum02",#N/A,FALSE,"fssum"}</definedName>
    <definedName name="rykk_1" hidden="1">{"fssum01",#N/A,FALSE,"fssum";"fssum02",#N/A,FALSE,"fssum"}</definedName>
    <definedName name="rytkyk" localSheetId="8" hidden="1">{#N/A,#N/A,TRUE,"consinc";#N/A,#N/A,TRUE,"consproj";#N/A,#N/A,TRUE,"deminc";#N/A,#N/A,TRUE,"incproj";#N/A,#N/A,TRUE,"demman";#N/A,#N/A,TRUE,"manproj";#N/A,#N/A,TRUE,"S&amp;Gact";#N/A,#N/A,TRUE,"S&amp;Gproj ";#N/A,#N/A,TRUE,"dengis";#N/A,#N/A,TRUE,"dengisproj";#N/A,#N/A,TRUE,"mitinc";#N/A,#N/A,TRUE,"mitincproj";#N/A,#N/A,TRUE,"mits&amp;G";#N/A,#N/A,TRUE,"mits&amp;gproj";#N/A,#N/A,TRUE,"arcis";#N/A,#N/A,TRUE,"arcproj";#N/A,#N/A,TRUE,"ampinc";#N/A,#N/A,TRUE,"ampincproj";#N/A,#N/A,TRUE,"ampman";#N/A,#N/A,TRUE,"ampmanproj";#N/A,#N/A,TRUE,"ampS&amp;G";#N/A,#N/A,TRUE,"amps&amp;GProj"}</definedName>
    <definedName name="rytkyk" hidden="1">{#N/A,#N/A,TRUE,"consinc";#N/A,#N/A,TRUE,"consproj";#N/A,#N/A,TRUE,"deminc";#N/A,#N/A,TRUE,"incproj";#N/A,#N/A,TRUE,"demman";#N/A,#N/A,TRUE,"manproj";#N/A,#N/A,TRUE,"S&amp;Gact";#N/A,#N/A,TRUE,"S&amp;Gproj ";#N/A,#N/A,TRUE,"dengis";#N/A,#N/A,TRUE,"dengisproj";#N/A,#N/A,TRUE,"mitinc";#N/A,#N/A,TRUE,"mitincproj";#N/A,#N/A,TRUE,"mits&amp;G";#N/A,#N/A,TRUE,"mits&amp;gproj";#N/A,#N/A,TRUE,"arcis";#N/A,#N/A,TRUE,"arcproj";#N/A,#N/A,TRUE,"ampinc";#N/A,#N/A,TRUE,"ampincproj";#N/A,#N/A,TRUE,"ampman";#N/A,#N/A,TRUE,"ampmanproj";#N/A,#N/A,TRUE,"ampS&amp;G";#N/A,#N/A,TRUE,"amps&amp;GProj"}</definedName>
    <definedName name="rytkyk_1" localSheetId="8" hidden="1">{#N/A,#N/A,TRUE,"consinc";#N/A,#N/A,TRUE,"consproj";#N/A,#N/A,TRUE,"deminc";#N/A,#N/A,TRUE,"incproj";#N/A,#N/A,TRUE,"demman";#N/A,#N/A,TRUE,"manproj";#N/A,#N/A,TRUE,"S&amp;Gact";#N/A,#N/A,TRUE,"S&amp;Gproj ";#N/A,#N/A,TRUE,"dengis";#N/A,#N/A,TRUE,"dengisproj";#N/A,#N/A,TRUE,"mitinc";#N/A,#N/A,TRUE,"mitincproj";#N/A,#N/A,TRUE,"mits&amp;G";#N/A,#N/A,TRUE,"mits&amp;gproj";#N/A,#N/A,TRUE,"arcis";#N/A,#N/A,TRUE,"arcproj";#N/A,#N/A,TRUE,"ampinc";#N/A,#N/A,TRUE,"ampincproj";#N/A,#N/A,TRUE,"ampman";#N/A,#N/A,TRUE,"ampmanproj";#N/A,#N/A,TRUE,"ampS&amp;G";#N/A,#N/A,TRUE,"amps&amp;GProj"}</definedName>
    <definedName name="rytkyk_1" hidden="1">{#N/A,#N/A,TRUE,"consinc";#N/A,#N/A,TRUE,"consproj";#N/A,#N/A,TRUE,"deminc";#N/A,#N/A,TRUE,"incproj";#N/A,#N/A,TRUE,"demman";#N/A,#N/A,TRUE,"manproj";#N/A,#N/A,TRUE,"S&amp;Gact";#N/A,#N/A,TRUE,"S&amp;Gproj ";#N/A,#N/A,TRUE,"dengis";#N/A,#N/A,TRUE,"dengisproj";#N/A,#N/A,TRUE,"mitinc";#N/A,#N/A,TRUE,"mitincproj";#N/A,#N/A,TRUE,"mits&amp;G";#N/A,#N/A,TRUE,"mits&amp;gproj";#N/A,#N/A,TRUE,"arcis";#N/A,#N/A,TRUE,"arcproj";#N/A,#N/A,TRUE,"ampinc";#N/A,#N/A,TRUE,"ampincproj";#N/A,#N/A,TRUE,"ampman";#N/A,#N/A,TRUE,"ampmanproj";#N/A,#N/A,TRUE,"ampS&amp;G";#N/A,#N/A,TRUE,"amps&amp;GProj"}</definedName>
    <definedName name="ryujyu" localSheetId="8" hidden="1">{#N/A,#N/A,TRUE,"Graficos";#N/A,#N/A,TRUE,"P.Ingresos";#N/A,#N/A,TRUE,"P.Gastos";#N/A,#N/A,TRUE,"I.Trafico";#N/A,#N/A,TRUE,"I.Peajes";#N/A,#N/A,TRUE,"G.Operativos";#N/A,#N/A,TRUE,"Cf Proyecto";#N/A,#N/A,TRUE,"C.PYG";#N/A,#N/A,TRUE,"Balance";#N/A,#N/A,TRUE,"TIR AC";#N/A,#N/A,TRUE,"Ratios";#N/A,#N/A,TRUE,"Amortizacion";#N/A,#N/A,TRUE,"FC fin";#N/A,#N/A,TRUE,"Coeficientes";#N/A,#N/A,TRUE,"Tesoreria";#N/A,#N/A,TRUE,"Prest.inv";#N/A,#N/A,TRUE,"Obligacion";#N/A,#N/A,TRUE,"Impuestos";#N/A,#N/A,TRUE,"Reservas";#N/A,#N/A,TRUE,"Inversion";#N/A,#N/A,TRUE,"P.Inversion";#N/A,#N/A,TRUE,"C.Fl Inv.";#N/A,#N/A,TRUE,"VAN Oferta"}</definedName>
    <definedName name="ryujyu" hidden="1">{#N/A,#N/A,TRUE,"Graficos";#N/A,#N/A,TRUE,"P.Ingresos";#N/A,#N/A,TRUE,"P.Gastos";#N/A,#N/A,TRUE,"I.Trafico";#N/A,#N/A,TRUE,"I.Peajes";#N/A,#N/A,TRUE,"G.Operativos";#N/A,#N/A,TRUE,"Cf Proyecto";#N/A,#N/A,TRUE,"C.PYG";#N/A,#N/A,TRUE,"Balance";#N/A,#N/A,TRUE,"TIR AC";#N/A,#N/A,TRUE,"Ratios";#N/A,#N/A,TRUE,"Amortizacion";#N/A,#N/A,TRUE,"FC fin";#N/A,#N/A,TRUE,"Coeficientes";#N/A,#N/A,TRUE,"Tesoreria";#N/A,#N/A,TRUE,"Prest.inv";#N/A,#N/A,TRUE,"Obligacion";#N/A,#N/A,TRUE,"Impuestos";#N/A,#N/A,TRUE,"Reservas";#N/A,#N/A,TRUE,"Inversion";#N/A,#N/A,TRUE,"P.Inversion";#N/A,#N/A,TRUE,"C.Fl Inv.";#N/A,#N/A,TRUE,"VAN Oferta"}</definedName>
    <definedName name="ryuk" localSheetId="8" hidden="1">{"pl9601",#N/A,FALSE,"PL96";"pl9602",#N/A,FALSE,"PL96";"pl9603",#N/A,FALSE,"PL96";"PL9604",#N/A,FALSE,"PL96";"pl9605",#N/A,FALSE,"PL96";"pl9606",#N/A,FALSE,"PL96";"pl9607",#N/A,FALSE,"PL96";"pl9608",#N/A,FALSE,"PL96";"pl9609",#N/A,FALSE,"PL96";"pl9610",#N/A,FALSE,"PL96";"pl9611",#N/A,FALSE,"PL96";"fssum01",#N/A,FALSE,"fssum";"fssum02",#N/A,FALSE,"fssum"}</definedName>
    <definedName name="ryuk" hidden="1">{"pl9601",#N/A,FALSE,"PL96";"pl9602",#N/A,FALSE,"PL96";"pl9603",#N/A,FALSE,"PL96";"PL9604",#N/A,FALSE,"PL96";"pl9605",#N/A,FALSE,"PL96";"pl9606",#N/A,FALSE,"PL96";"pl9607",#N/A,FALSE,"PL96";"pl9608",#N/A,FALSE,"PL96";"pl9609",#N/A,FALSE,"PL96";"pl9610",#N/A,FALSE,"PL96";"pl9611",#N/A,FALSE,"PL96";"fssum01",#N/A,FALSE,"fssum";"fssum02",#N/A,FALSE,"fssum"}</definedName>
    <definedName name="ryuk_1" localSheetId="8" hidden="1">{"pl9601",#N/A,FALSE,"PL96";"pl9602",#N/A,FALSE,"PL96";"pl9603",#N/A,FALSE,"PL96";"PL9604",#N/A,FALSE,"PL96";"pl9605",#N/A,FALSE,"PL96";"pl9606",#N/A,FALSE,"PL96";"pl9607",#N/A,FALSE,"PL96";"pl9608",#N/A,FALSE,"PL96";"pl9609",#N/A,FALSE,"PL96";"pl9610",#N/A,FALSE,"PL96";"pl9611",#N/A,FALSE,"PL96";"fssum01",#N/A,FALSE,"fssum";"fssum02",#N/A,FALSE,"fssum"}</definedName>
    <definedName name="ryuk_1" hidden="1">{"pl9601",#N/A,FALSE,"PL96";"pl9602",#N/A,FALSE,"PL96";"pl9603",#N/A,FALSE,"PL96";"PL9604",#N/A,FALSE,"PL96";"pl9605",#N/A,FALSE,"PL96";"pl9606",#N/A,FALSE,"PL96";"pl9607",#N/A,FALSE,"PL96";"pl9608",#N/A,FALSE,"PL96";"pl9609",#N/A,FALSE,"PL96";"pl9610",#N/A,FALSE,"PL96";"pl9611",#N/A,FALSE,"PL96";"fssum01",#N/A,FALSE,"fssum";"fssum02",#N/A,FALSE,"fssum"}</definedName>
    <definedName name="ryukk" localSheetId="8" hidden="1">{#N/A,#N/A,TRUE,"consinc";#N/A,#N/A,TRUE,"consproj";#N/A,#N/A,TRUE,"deminc";#N/A,#N/A,TRUE,"incproj";#N/A,#N/A,TRUE,"demman";#N/A,#N/A,TRUE,"manproj";#N/A,#N/A,TRUE,"S&amp;Gact";#N/A,#N/A,TRUE,"S&amp;Gproj ";#N/A,#N/A,TRUE,"dengis";#N/A,#N/A,TRUE,"dengisproj";#N/A,#N/A,TRUE,"mitinc";#N/A,#N/A,TRUE,"mitincproj";#N/A,#N/A,TRUE,"mits&amp;G";#N/A,#N/A,TRUE,"mits&amp;gproj";#N/A,#N/A,TRUE,"arcis";#N/A,#N/A,TRUE,"arcproj";#N/A,#N/A,TRUE,"ampinc";#N/A,#N/A,TRUE,"ampincproj";#N/A,#N/A,TRUE,"ampman";#N/A,#N/A,TRUE,"ampmanproj";#N/A,#N/A,TRUE,"ampS&amp;G";#N/A,#N/A,TRUE,"amps&amp;GProj"}</definedName>
    <definedName name="ryukk" hidden="1">{#N/A,#N/A,TRUE,"consinc";#N/A,#N/A,TRUE,"consproj";#N/A,#N/A,TRUE,"deminc";#N/A,#N/A,TRUE,"incproj";#N/A,#N/A,TRUE,"demman";#N/A,#N/A,TRUE,"manproj";#N/A,#N/A,TRUE,"S&amp;Gact";#N/A,#N/A,TRUE,"S&amp;Gproj ";#N/A,#N/A,TRUE,"dengis";#N/A,#N/A,TRUE,"dengisproj";#N/A,#N/A,TRUE,"mitinc";#N/A,#N/A,TRUE,"mitincproj";#N/A,#N/A,TRUE,"mits&amp;G";#N/A,#N/A,TRUE,"mits&amp;gproj";#N/A,#N/A,TRUE,"arcis";#N/A,#N/A,TRUE,"arcproj";#N/A,#N/A,TRUE,"ampinc";#N/A,#N/A,TRUE,"ampincproj";#N/A,#N/A,TRUE,"ampman";#N/A,#N/A,TRUE,"ampmanproj";#N/A,#N/A,TRUE,"ampS&amp;G";#N/A,#N/A,TRUE,"amps&amp;GProj"}</definedName>
    <definedName name="ryukk_1" localSheetId="8" hidden="1">{#N/A,#N/A,TRUE,"consinc";#N/A,#N/A,TRUE,"consproj";#N/A,#N/A,TRUE,"deminc";#N/A,#N/A,TRUE,"incproj";#N/A,#N/A,TRUE,"demman";#N/A,#N/A,TRUE,"manproj";#N/A,#N/A,TRUE,"S&amp;Gact";#N/A,#N/A,TRUE,"S&amp;Gproj ";#N/A,#N/A,TRUE,"dengis";#N/A,#N/A,TRUE,"dengisproj";#N/A,#N/A,TRUE,"mitinc";#N/A,#N/A,TRUE,"mitincproj";#N/A,#N/A,TRUE,"mits&amp;G";#N/A,#N/A,TRUE,"mits&amp;gproj";#N/A,#N/A,TRUE,"arcis";#N/A,#N/A,TRUE,"arcproj";#N/A,#N/A,TRUE,"ampinc";#N/A,#N/A,TRUE,"ampincproj";#N/A,#N/A,TRUE,"ampman";#N/A,#N/A,TRUE,"ampmanproj";#N/A,#N/A,TRUE,"ampS&amp;G";#N/A,#N/A,TRUE,"amps&amp;GProj"}</definedName>
    <definedName name="ryukk_1" hidden="1">{#N/A,#N/A,TRUE,"consinc";#N/A,#N/A,TRUE,"consproj";#N/A,#N/A,TRUE,"deminc";#N/A,#N/A,TRUE,"incproj";#N/A,#N/A,TRUE,"demman";#N/A,#N/A,TRUE,"manproj";#N/A,#N/A,TRUE,"S&amp;Gact";#N/A,#N/A,TRUE,"S&amp;Gproj ";#N/A,#N/A,TRUE,"dengis";#N/A,#N/A,TRUE,"dengisproj";#N/A,#N/A,TRUE,"mitinc";#N/A,#N/A,TRUE,"mitincproj";#N/A,#N/A,TRUE,"mits&amp;G";#N/A,#N/A,TRUE,"mits&amp;gproj";#N/A,#N/A,TRUE,"arcis";#N/A,#N/A,TRUE,"arcproj";#N/A,#N/A,TRUE,"ampinc";#N/A,#N/A,TRUE,"ampincproj";#N/A,#N/A,TRUE,"ampman";#N/A,#N/A,TRUE,"ampmanproj";#N/A,#N/A,TRUE,"ampS&amp;G";#N/A,#N/A,TRUE,"amps&amp;GProj"}</definedName>
    <definedName name="ryyr" localSheetId="8" hidden="1">{#N/A,#N/A,FALSE,"Assessment";#N/A,#N/A,FALSE,"Staffing";#N/A,#N/A,FALSE,"Hires";#N/A,#N/A,FALSE,"Assumptions"}</definedName>
    <definedName name="ryyr" hidden="1">{#N/A,#N/A,FALSE,"Assessment";#N/A,#N/A,FALSE,"Staffing";#N/A,#N/A,FALSE,"Hires";#N/A,#N/A,FALSE,"Assumptions"}</definedName>
    <definedName name="s" localSheetId="7" hidden="1">#REF!</definedName>
    <definedName name="s" hidden="1">#REF!</definedName>
    <definedName name="sa" hidden="1">#REF!</definedName>
    <definedName name="saa" localSheetId="8" hidden="1">{#N/A,#N/A,FALSE,"CA";#N/A,#N/A,FALSE,"CN";#N/A,#N/A,FALSE,"Inv";#N/A,#N/A,FALSE,"Inv Acc";"Miguel_balance",#N/A,FALSE,"Bal";#N/A,#N/A,FALSE,"Plantilla";#N/A,#N/A,FALSE,"CA (2)";#N/A,#N/A,FALSE,"CN (2)"}</definedName>
    <definedName name="saa" hidden="1">{#N/A,#N/A,FALSE,"CA";#N/A,#N/A,FALSE,"CN";#N/A,#N/A,FALSE,"Inv";#N/A,#N/A,FALSE,"Inv Acc";"Miguel_balance",#N/A,FALSE,"Bal";#N/A,#N/A,FALSE,"Plantilla";#N/A,#N/A,FALSE,"CA (2)";#N/A,#N/A,FALSE,"CN (2)"}</definedName>
    <definedName name="saaaaasa" hidden="1">Main.SAPF4Help()</definedName>
    <definedName name="sacwe" localSheetId="8" hidden="1">{#N/A,#N/A,FALSE,"Graficos";#N/A,#N/A,FALSE,"P.Ingresos";#N/A,#N/A,FALSE,"P.Gastos";#N/A,#N/A,FALSE,"I.Trafico";#N/A,#N/A,FALSE,"I.Peajes";#N/A,#N/A,FALSE,"G.Operativos";#N/A,#N/A,FALSE,"Cf Proyecto";#N/A,#N/A,FALSE,"C.PYG";#N/A,#N/A,FALSE,"Balance";#N/A,#N/A,FALSE,"TIR AC";#N/A,#N/A,FALSE,"TIR E"}</definedName>
    <definedName name="sacwe" hidden="1">{#N/A,#N/A,FALSE,"Graficos";#N/A,#N/A,FALSE,"P.Ingresos";#N/A,#N/A,FALSE,"P.Gastos";#N/A,#N/A,FALSE,"I.Trafico";#N/A,#N/A,FALSE,"I.Peajes";#N/A,#N/A,FALSE,"G.Operativos";#N/A,#N/A,FALSE,"Cf Proyecto";#N/A,#N/A,FALSE,"C.PYG";#N/A,#N/A,FALSE,"Balance";#N/A,#N/A,FALSE,"TIR AC";#N/A,#N/A,FALSE,"TIR E"}</definedName>
    <definedName name="sad" localSheetId="8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a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adfsadf" localSheetId="8" hidden="1">{"LargoAjustes",#N/A,FALSE,"Ajustes";"CortoAjustes",#N/A,FALSE,"Ajustes";"PLAjustes",#N/A,FALSE,"Ajustes"}</definedName>
    <definedName name="sadfsadf" hidden="1">{"LargoAjustes",#N/A,FALSE,"Ajustes";"CortoAjustes",#N/A,FALSE,"Ajustes";"PLAjustes",#N/A,FALSE,"Ajustes"}</definedName>
    <definedName name="sadfsadf_1" localSheetId="8" hidden="1">{"LargoAjustes",#N/A,FALSE,"Ajustes";"CortoAjustes",#N/A,FALSE,"Ajustes";"PLAjustes",#N/A,FALSE,"Ajustes"}</definedName>
    <definedName name="sadfsadf_1" hidden="1">{"LargoAjustes",#N/A,FALSE,"Ajustes";"CortoAjustes",#N/A,FALSE,"Ajustes";"PLAjustes",#N/A,FALSE,"Ajustes"}</definedName>
    <definedName name="safd" localSheetId="8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safd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Salaries" localSheetId="8" hidden="1">{#N/A,#N/A,FALSE,"Input"}</definedName>
    <definedName name="Salaries" hidden="1">{#N/A,#N/A,FALSE,"Input"}</definedName>
    <definedName name="Salespp" localSheetId="8" hidden="1">{"detail",#N/A,FALSE,"mfg";"summary",#N/A,FALSE,"mfg"}</definedName>
    <definedName name="Salespp" hidden="1">{"detail",#N/A,FALSE,"mfg";"summary",#N/A,FALSE,"mfg"}</definedName>
    <definedName name="sally" localSheetId="7" hidden="1">{#N/A,#N/A,FALSE,"Pharm";#N/A,#N/A,FALSE,"WWCM"}</definedName>
    <definedName name="sally" localSheetId="8" hidden="1">{#N/A,#N/A,FALSE,"Pharm";#N/A,#N/A,FALSE,"WWCM"}</definedName>
    <definedName name="sally" hidden="1">{#N/A,#N/A,FALSE,"Pharm";#N/A,#N/A,FALSE,"WWCM"}</definedName>
    <definedName name="salva" hidden="1">{#N/A,#N/A,FALSE,"Resultados_is";#N/A,#N/A,FALSE,"IngresosG_is";#N/A,#N/A,FALSE,"Ingresosp_is";#N/A,#N/A,FALSE,"Financiero_is";#N/A,#N/A,FALSE,"Estructura_is";#N/A,#N/A,FALSE,"EstructuraG_is";#N/A,#N/A,FALSE,"FComercio_is";#N/A,#N/A,FALSE,"Pbeneficios_is";#N/A,#N/A,FALSE,"Gerenciamiento_is";#N/A,#N/A,FALSE,"Desinv_is"}</definedName>
    <definedName name="sami" localSheetId="8" hidden="1">{"ProductCo PSTN Lines",#N/A,FALSE,"ProductCo Lines Output"}</definedName>
    <definedName name="sami" hidden="1">{"ProductCo PSTN Lines",#N/A,FALSE,"ProductCo Lines Output"}</definedName>
    <definedName name="Sample" localSheetId="8" hidden="1">{#N/A,#N/A,FALSE,"SUMMARY";"BASIS",#N/A,FALSE,"BASIS";"PRICES",#N/A,FALSE,"PRICES";"YIELD",#N/A,FALSE,"YIELD";"INCOME",#N/A,FALSE,"ECONOMIC";"DCF",#N/A,FALSE,"DCF"}</definedName>
    <definedName name="Sample" hidden="1">{#N/A,#N/A,FALSE,"SUMMARY";"BASIS",#N/A,FALSE,"BASIS";"PRICES",#N/A,FALSE,"PRICES";"YIELD",#N/A,FALSE,"YIELD";"INCOME",#N/A,FALSE,"ECONOMIC";"DCF",#N/A,FALSE,"DCF"}</definedName>
    <definedName name="SANTE" localSheetId="8" hidden="1">{#N/A,#N/A,FALSE,"MERCHANT GAS MARGIN";#N/A,#N/A,FALSE,"BULK";#N/A,#N/A,FALSE,"BULK CO2";#N/A,#N/A,FALSE,"ON-SITE";#N/A,#N/A,FALSE,"CYLINDERS"}</definedName>
    <definedName name="SANTE" hidden="1">{#N/A,#N/A,FALSE,"MERCHANT GAS MARGIN";#N/A,#N/A,FALSE,"BULK";#N/A,#N/A,FALSE,"BULK CO2";#N/A,#N/A,FALSE,"ON-SITE";#N/A,#N/A,FALSE,"CYLINDERS"}</definedName>
    <definedName name="SANTE_1" localSheetId="8" hidden="1">{#N/A,#N/A,FALSE,"MERCHANT GAS MARGIN";#N/A,#N/A,FALSE,"BULK";#N/A,#N/A,FALSE,"BULK CO2";#N/A,#N/A,FALSE,"ON-SITE";#N/A,#N/A,FALSE,"CYLINDERS"}</definedName>
    <definedName name="SANTE_1" hidden="1">{#N/A,#N/A,FALSE,"MERCHANT GAS MARGIN";#N/A,#N/A,FALSE,"BULK";#N/A,#N/A,FALSE,"BULK CO2";#N/A,#N/A,FALSE,"ON-SITE";#N/A,#N/A,FALSE,"CYLINDERS"}</definedName>
    <definedName name="SAPBEX" hidden="1">0</definedName>
    <definedName name="SAPBEX1" hidden="1">"P92"</definedName>
    <definedName name="sapbex2" hidden="1">"3RU07LQHWICW9XBTLFVKYCULM"</definedName>
    <definedName name="SAPBEXdnldView" localSheetId="7" hidden="1">"4GHYHCRZSKF4WQZBIPBCYYKUQ"</definedName>
    <definedName name="SAPBEXdnldView" localSheetId="8" hidden="1">"4GHYHCRZSKF4WQZBIPBCYYKUQ"</definedName>
    <definedName name="SAPBEXdnldView" hidden="1">"3XB32VR0SWUMALO47WI2TPY80"</definedName>
    <definedName name="SAPBEXhrIndnt" localSheetId="8" hidden="1">"Wide"</definedName>
    <definedName name="SAPBEXhrIndnt" hidden="1">1</definedName>
    <definedName name="SAPBEXrevision" localSheetId="8" hidden="1">23</definedName>
    <definedName name="SAPBEXrevision" hidden="1">1</definedName>
    <definedName name="SAPBEXrevision_1" hidden="1">1</definedName>
    <definedName name="SAPBEXsysID" localSheetId="7" hidden="1">"CSR"</definedName>
    <definedName name="SAPBEXsysID" localSheetId="8" hidden="1">"BWP"</definedName>
    <definedName name="SAPBEXsysID" hidden="1">"C73"</definedName>
    <definedName name="SAPBEXsysID_1" hidden="1">"W13"</definedName>
    <definedName name="SAPBEXwbID" localSheetId="7" hidden="1">"3XQBW78D16A2EDUNTS3NPBKLN"</definedName>
    <definedName name="SAPBEXwbID" localSheetId="8" hidden="1">"3DT2QHV79OHQQL9JW840MTGJP"</definedName>
    <definedName name="SAPBEXwbID" hidden="1">"3T7KX38OZ96NLIN3IO8IO5GPB"</definedName>
    <definedName name="SAPBEXwbID_1" hidden="1">"3QZCAZG20EZWPUZS7NIIDZUYR"</definedName>
    <definedName name="sape" localSheetId="7" hidden="1">Main.SAPF4Help()</definedName>
    <definedName name="sape" localSheetId="8" hidden="1">Main.SAPF4Help()</definedName>
    <definedName name="sape" hidden="1">Main.SAPF4Help()</definedName>
    <definedName name="sape3" localSheetId="7" hidden="1">Main.SAPF4Help()</definedName>
    <definedName name="sape3" localSheetId="8" hidden="1">Main.SAPF4Help()</definedName>
    <definedName name="sape3" hidden="1">Main.SAPF4Help()</definedName>
    <definedName name="sape44" localSheetId="7" hidden="1">Main.SAPF4Help()</definedName>
    <definedName name="sape44" localSheetId="8" hidden="1">Main.SAPF4Help()</definedName>
    <definedName name="sape44" hidden="1">Main.SAPF4Help()</definedName>
    <definedName name="saper3" localSheetId="7" hidden="1">Main.SAPF4Help()</definedName>
    <definedName name="saper3" localSheetId="8" hidden="1">Main.SAPF4Help()</definedName>
    <definedName name="saper3" hidden="1">Main.SAPF4Help()</definedName>
    <definedName name="sapfun1" localSheetId="7" hidden="1">Main.SAPF4Help()</definedName>
    <definedName name="sapfun1" localSheetId="8" hidden="1">Main.SAPF4Help()</definedName>
    <definedName name="sapfun1" hidden="1">Main.SAPF4Help()</definedName>
    <definedName name="sapfun12" localSheetId="7" hidden="1">Main.SAPF4Help()</definedName>
    <definedName name="sapfun12" localSheetId="8" hidden="1">Main.SAPF4Help()</definedName>
    <definedName name="sapfun12" hidden="1">Main.SAPF4Help()</definedName>
    <definedName name="sapfuncf3help" localSheetId="7" hidden="1">Main.SAPF4Help()</definedName>
    <definedName name="sapfuncf3help" localSheetId="8" hidden="1">Main.SAPF4Help()</definedName>
    <definedName name="sapfuncf3help" hidden="1">Main.SAPF4Help()</definedName>
    <definedName name="SAPFuncF4Help" localSheetId="7" hidden="1">Main.SAPF4Help()</definedName>
    <definedName name="SAPFuncF4Help" localSheetId="8" hidden="1">Main.SAPF4Help()</definedName>
    <definedName name="SAPFuncF4Help" hidden="1">Main.SAPF4Help()</definedName>
    <definedName name="SAPFuncF5Help" localSheetId="7" hidden="1">Main.SAPF4Help()</definedName>
    <definedName name="SAPFuncF5Help" localSheetId="8" hidden="1">Main.SAPF4Help()</definedName>
    <definedName name="SAPFuncF5Help" hidden="1">Main.SAPF4Help()</definedName>
    <definedName name="sapfuncf7help" localSheetId="7" hidden="1">Main.SAPF4Help()</definedName>
    <definedName name="sapfuncf7help" localSheetId="8" hidden="1">Main.SAPF4Help()</definedName>
    <definedName name="sapfuncf7help" hidden="1">Main.SAPF4Help()</definedName>
    <definedName name="sapfuncf8hlrp" localSheetId="7" hidden="1">Main.SAPF4Help()</definedName>
    <definedName name="sapfuncf8hlrp" localSheetId="8" hidden="1">Main.SAPF4Help()</definedName>
    <definedName name="sapfuncf8hlrp" hidden="1">Main.SAPF4Help()</definedName>
    <definedName name="saplink5" localSheetId="7" hidden="1">Main.SAPF4Help()</definedName>
    <definedName name="saplink5" localSheetId="8" hidden="1">Main.SAPF4Help()</definedName>
    <definedName name="saplink5" hidden="1">Main.SAPF4Help()</definedName>
    <definedName name="SAPsysID" hidden="1">"708C5W7SBKP804JT78WJ0JNKI"</definedName>
    <definedName name="SAPwbID" hidden="1">"ARS"</definedName>
    <definedName name="sas" localSheetId="8" hidden="1">{"detail",#N/A,FALSE,"mfg";"summary",#N/A,FALSE,"mfg"}</definedName>
    <definedName name="sas" hidden="1">{"detail",#N/A,FALSE,"mfg";"summary",#N/A,FALSE,"mfg"}</definedName>
    <definedName name="sbgsdgfgbb" hidden="1">#REF!</definedName>
    <definedName name="SC_Advance_Pillar" hidden="1">#REF!</definedName>
    <definedName name="SC_AK1_2003" hidden="1">#REF!</definedName>
    <definedName name="SC_AK1_2004" hidden="1">#REF!</definedName>
    <definedName name="SC_AK1_2005" hidden="1">#REF!</definedName>
    <definedName name="SC_AK1_2006" hidden="1">#REF!</definedName>
    <definedName name="SC_AK1_Objective" hidden="1">#REF!</definedName>
    <definedName name="SC_AK2_2003" hidden="1">#REF!</definedName>
    <definedName name="SC_AK2_2004" hidden="1">#REF!</definedName>
    <definedName name="SC_AK2_2005" hidden="1">#REF!</definedName>
    <definedName name="SC_AK2_2006" hidden="1">#REF!</definedName>
    <definedName name="SC_AK2_Objective" hidden="1">#REF!</definedName>
    <definedName name="SC_AK3_2003" hidden="1">#REF!</definedName>
    <definedName name="SC_AK3_2004" hidden="1">#REF!</definedName>
    <definedName name="SC_AK3_2005" hidden="1">#REF!</definedName>
    <definedName name="SC_AK3_2006" hidden="1">#REF!</definedName>
    <definedName name="SC_AK3_Objective" hidden="1">#REF!</definedName>
    <definedName name="SC_AKP_2001" hidden="1">#REF!</definedName>
    <definedName name="SC_BU" hidden="1">#REF!</definedName>
    <definedName name="SC_Comments" hidden="1">#REF!</definedName>
    <definedName name="SC_Creation_Date" hidden="1">#REF!</definedName>
    <definedName name="SC_Division_Man_Days" hidden="1">#REF!</definedName>
    <definedName name="SC_IEO_2003" hidden="1">#REF!</definedName>
    <definedName name="SC_IEO_2004" hidden="1">#REF!</definedName>
    <definedName name="SC_IEO_2005" hidden="1">#REF!</definedName>
    <definedName name="SC_IEO_2006" hidden="1">#REF!</definedName>
    <definedName name="SC_Objectives" hidden="1">#REF!</definedName>
    <definedName name="SC_PFI_2003" hidden="1">#REF!</definedName>
    <definedName name="SC_PFI_2004" hidden="1">#REF!</definedName>
    <definedName name="SC_PFI_2005" hidden="1">#REF!</definedName>
    <definedName name="SC_PFI_2006" hidden="1">#REF!</definedName>
    <definedName name="SC_PK1_2003" hidden="1">#REF!</definedName>
    <definedName name="SC_PK1_2004" hidden="1">#REF!</definedName>
    <definedName name="SC_PK1_2005" hidden="1">#REF!</definedName>
    <definedName name="SC_PK1_2006" hidden="1">#REF!</definedName>
    <definedName name="SC_PK1_Objective" hidden="1">#REF!</definedName>
    <definedName name="SC_PK2_2003" hidden="1">#REF!</definedName>
    <definedName name="SC_PK2_2004" hidden="1">#REF!</definedName>
    <definedName name="SC_PK2_2005" hidden="1">#REF!</definedName>
    <definedName name="SC_PK2_2006" hidden="1">#REF!</definedName>
    <definedName name="SC_PK2_Objective" hidden="1">#REF!</definedName>
    <definedName name="SC_PK3_2003" hidden="1">#REF!</definedName>
    <definedName name="SC_PK3_2004" hidden="1">#REF!</definedName>
    <definedName name="SC_PK3_2005" hidden="1">#REF!</definedName>
    <definedName name="SC_PK3_2006" hidden="1">#REF!</definedName>
    <definedName name="SC_PK3_Objective" hidden="1">#REF!</definedName>
    <definedName name="SC_PKP_2001" hidden="1">#REF!</definedName>
    <definedName name="SC_Progress_Contract" hidden="1">#REF!</definedName>
    <definedName name="SC_Region_Man_Days" hidden="1">#REF!</definedName>
    <definedName name="SC_Relevant_Indicator_1" hidden="1">#REF!</definedName>
    <definedName name="SC_Relevant_Indicator_2" hidden="1">#REF!</definedName>
    <definedName name="SC_Relevant_Indicator_3" hidden="1">#REF!</definedName>
    <definedName name="SC_Responsible" hidden="1">#REF!</definedName>
    <definedName name="SC_Status" hidden="1">#REF!</definedName>
    <definedName name="SC_Support_Description" hidden="1">#REF!</definedName>
    <definedName name="SC_TC_Man_Days" hidden="1">#REF!</definedName>
    <definedName name="SC_Updated_Date" hidden="1">#REF!</definedName>
    <definedName name="scen_change" hidden="1">#REF!</definedName>
    <definedName name="scen_date1" hidden="1">34379.7786921296</definedName>
    <definedName name="scen_name1" hidden="1">"SOLV 1"</definedName>
    <definedName name="scen_num" hidden="1">1</definedName>
    <definedName name="scen_result" hidden="1">#REF!</definedName>
    <definedName name="scen_user1" hidden="1">"JEAN-LOUIS TORRES"</definedName>
    <definedName name="scen_value1" localSheetId="8" hidden="1">{"0,0525";"0";"0";"20";"0";"0,025";"7"}</definedName>
    <definedName name="scen_value1" hidden="1">{"0,0525";"0";"0";"20";"0";"0,025";"7"}</definedName>
    <definedName name="sche" localSheetId="8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sche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sche_1" localSheetId="8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sche_1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Schuss" localSheetId="8" hidden="1">{#N/A,#N/A,FALSE,"cover";#N/A,#N/A,FALSE,"Content ";#N/A,#N/A,FALSE,"E&amp;C Op Stat";#N/A,#N/A,FALSE,"Telcos Op Stat";#N/A,#N/A,FALSE,"Media Op Stat";#N/A,#N/A,FALSE,"Oil Op Stat";#N/A,#N/A,FALSE,"Utilities Op Stat";#N/A,#N/A,FALSE,"E&amp;C Ord An";#N/A,#N/A,FALSE,"E&amp;C Debt Nar";#N/A,#N/A,FALSE,"E&amp;C Debtors";#N/A,#N/A,FALSE,"E&amp;C CO Debt";#N/A,#N/A,FALSE,"Telcos Presales";#N/A,#N/A,FALSE,"Oil Presales";#N/A,#N/A,FALSE,"Utilities Presales"}</definedName>
    <definedName name="Schuss" hidden="1">{#N/A,#N/A,FALSE,"cover";#N/A,#N/A,FALSE,"Content ";#N/A,#N/A,FALSE,"E&amp;C Op Stat";#N/A,#N/A,FALSE,"Telcos Op Stat";#N/A,#N/A,FALSE,"Media Op Stat";#N/A,#N/A,FALSE,"Oil Op Stat";#N/A,#N/A,FALSE,"Utilities Op Stat";#N/A,#N/A,FALSE,"E&amp;C Ord An";#N/A,#N/A,FALSE,"E&amp;C Debt Nar";#N/A,#N/A,FALSE,"E&amp;C Debtors";#N/A,#N/A,FALSE,"E&amp;C CO Debt";#N/A,#N/A,FALSE,"Telcos Presales";#N/A,#N/A,FALSE,"Oil Presales";#N/A,#N/A,FALSE,"Utilities Presales"}</definedName>
    <definedName name="SCOPPI" hidden="1">#REF!</definedName>
    <definedName name="score" localSheetId="8" hidden="1">{"detail",#N/A,FALSE,"mfg";"summary",#N/A,FALSE,"mfg"}</definedName>
    <definedName name="score" hidden="1">{"detail",#N/A,FALSE,"mfg";"summary",#N/A,FALSE,"mfg"}</definedName>
    <definedName name="scorecardfy00" localSheetId="8" hidden="1">{"Comp_of_Price_Effect",#N/A,FALSE,"QTRDPVAR"}</definedName>
    <definedName name="scorecardfy00" hidden="1">{"Comp_of_Price_Effect",#N/A,FALSE,"QTRDPVAR"}</definedName>
    <definedName name="SD" localSheetId="7" hidden="1">{#N/A,#N/A,FALSE,"Pharm";#N/A,#N/A,FALSE,"WWCM"}</definedName>
    <definedName name="sd" localSheetId="8" hidden="1">{#N/A,#N/A,FALSE,"CA";#N/A,#N/A,FALSE,"CN";#N/A,#N/A,FALSE,"Inv";#N/A,#N/A,FALSE,"Inv Acc";"Miguel_balance",#N/A,FALSE,"Bal";#N/A,#N/A,FALSE,"Plantilla";#N/A,#N/A,FALSE,"CA (2)";#N/A,#N/A,FALSE,"CN (2)"}</definedName>
    <definedName name="sd" hidden="1">{#N/A,#N/A,FALSE,"CA";#N/A,#N/A,FALSE,"CN";#N/A,#N/A,FALSE,"Inv";#N/A,#N/A,FALSE,"Inv Acc";"Miguel_balance",#N/A,FALSE,"Bal";#N/A,#N/A,FALSE,"Plantilla";#N/A,#N/A,FALSE,"CA (2)";#N/A,#N/A,FALSE,"CN (2)"}</definedName>
    <definedName name="sd_1" localSheetId="7" hidden="1">{#N/A,#N/A,FALSE,"CA";#N/A,#N/A,FALSE,"CN";#N/A,#N/A,FALSE,"Inv";#N/A,#N/A,FALSE,"Inv Acc";"Miguel_balance",#N/A,FALSE,"Bal";#N/A,#N/A,FALSE,"Plantilla";#N/A,#N/A,FALSE,"CA (2)";#N/A,#N/A,FALSE,"CN (2)"}</definedName>
    <definedName name="sd_1" localSheetId="8" hidden="1">{#N/A,#N/A,FALSE,"CA";#N/A,#N/A,FALSE,"CN";#N/A,#N/A,FALSE,"Inv";#N/A,#N/A,FALSE,"Inv Acc";"Miguel_balance",#N/A,FALSE,"Bal";#N/A,#N/A,FALSE,"Plantilla";#N/A,#N/A,FALSE,"CA (2)";#N/A,#N/A,FALSE,"CN (2)"}</definedName>
    <definedName name="sd_1" hidden="1">{#N/A,#N/A,FALSE,"CA";#N/A,#N/A,FALSE,"CN";#N/A,#N/A,FALSE,"Inv";#N/A,#N/A,FALSE,"Inv Acc";"Miguel_balance",#N/A,FALSE,"Bal";#N/A,#N/A,FALSE,"Plantilla";#N/A,#N/A,FALSE,"CA (2)";#N/A,#N/A,FALSE,"CN (2)"}</definedName>
    <definedName name="SDAA" hidden="1">{#N/A,#N/A,FALSE,"CA";#N/A,#N/A,FALSE,"CN";#N/A,#N/A,FALSE,"Inv";#N/A,#N/A,FALSE,"Inv Acc";"Miguel_balance",#N/A,FALSE,"Bal";#N/A,#N/A,FALSE,"Plantilla";#N/A,#N/A,FALSE,"CA (2)";#N/A,#N/A,FALSE,"CN (2)"}</definedName>
    <definedName name="sdad" localSheetId="8" hidden="1">{#N/A,#N/A,FALSE,"SMT1";#N/A,#N/A,FALSE,"SMT2";#N/A,#N/A,FALSE,"Summary";#N/A,#N/A,FALSE,"Graphs";#N/A,#N/A,FALSE,"4 Panel"}</definedName>
    <definedName name="sdad" hidden="1">{#N/A,#N/A,FALSE,"SMT1";#N/A,#N/A,FALSE,"SMT2";#N/A,#N/A,FALSE,"Summary";#N/A,#N/A,FALSE,"Graphs";#N/A,#N/A,FALSE,"4 Panel"}</definedName>
    <definedName name="sdadsadsa" hidden="1">{#N/A,#N/A,FALSE,"Acum Julio - 00"}</definedName>
    <definedName name="sdafgs" localSheetId="7" hidden="1">{#N/A,#N/A,FALSE,"Pharm";#N/A,#N/A,FALSE,"WWCM"}</definedName>
    <definedName name="sdafgs" localSheetId="8" hidden="1">{#N/A,#N/A,FALSE,"Pharm";#N/A,#N/A,FALSE,"WWCM"}</definedName>
    <definedName name="sdafgs" hidden="1">{#N/A,#N/A,FALSE,"Pharm";#N/A,#N/A,FALSE,"WWCM"}</definedName>
    <definedName name="SDAFSDA" hidden="1">#REF!</definedName>
    <definedName name="sdasd" localSheetId="8" hidden="1">#REF!</definedName>
    <definedName name="sdasd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sdasda" localSheetId="8" hidden="1">{#N/A,#N/A,FALSE,"SMT1";#N/A,#N/A,FALSE,"SMT2";#N/A,#N/A,FALSE,"Summary";#N/A,#N/A,FALSE,"Graphs";#N/A,#N/A,FALSE,"4 Panel"}</definedName>
    <definedName name="sdasda" hidden="1">{#N/A,#N/A,FALSE,"SMT1";#N/A,#N/A,FALSE,"SMT2";#N/A,#N/A,FALSE,"Summary";#N/A,#N/A,FALSE,"Graphs";#N/A,#N/A,FALSE,"4 Panel"}</definedName>
    <definedName name="sdasga" localSheetId="8" hidden="1">#REF!</definedName>
    <definedName name="sdasga" hidden="1">#REF!</definedName>
    <definedName name="sdc" localSheetId="8" hidden="1">{"summary1",#N/A,TRUE,"Comps";"summary2",#N/A,TRUE,"Comps";"summary3",#N/A,TRUE,"Comps"}</definedName>
    <definedName name="sdc" hidden="1">{"summary1",#N/A,TRUE,"Comps";"summary2",#N/A,TRUE,"Comps";"summary3",#N/A,TRUE,"Comps"}</definedName>
    <definedName name="sdc_1" localSheetId="8" hidden="1">{"summary1",#N/A,TRUE,"Comps";"summary2",#N/A,TRUE,"Comps";"summary3",#N/A,TRUE,"Comps"}</definedName>
    <definedName name="sdc_1" hidden="1">{"summary1",#N/A,TRUE,"Comps";"summary2",#N/A,TRUE,"Comps";"summary3",#N/A,TRUE,"Comps"}</definedName>
    <definedName name="sd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DDDSA" hidden="1">{#N/A,#N/A,FALSE,"CA";#N/A,#N/A,FALSE,"CN";#N/A,#N/A,FALSE,"Inv";#N/A,#N/A,FALSE,"Inv Acc";"Miguel_balance",#N/A,FALSE,"Bal";#N/A,#N/A,FALSE,"Plantilla";#N/A,#N/A,FALSE,"CA (2)";#N/A,#N/A,FALSE,"CN (2)"}</definedName>
    <definedName name="SDDSFS" hidden="1">{#N/A,#N/A,FALSE,"CA";#N/A,#N/A,FALSE,"CN";#N/A,#N/A,FALSE,"Inv";#N/A,#N/A,FALSE,"Inv Acc";"Miguel_balance",#N/A,FALSE,"Bal";#N/A,#N/A,FALSE,"Plantilla";#N/A,#N/A,FALSE,"CA (2)";#N/A,#N/A,FALSE,"CN (2)"}</definedName>
    <definedName name="sdes" localSheetId="8" hidden="1">{"PACKAGE",#N/A,FALSE,"CM"}</definedName>
    <definedName name="sdes" hidden="1">{"PACKAGE",#N/A,FALSE,"CM"}</definedName>
    <definedName name="sdf" localSheetId="7" hidden="1">"c368"</definedName>
    <definedName name="sdf" localSheetId="8" hidden="1">"c368"</definedName>
    <definedName name="SDF" hidden="1">{#N/A,#N/A,FALSE,"CA";#N/A,#N/A,FALSE,"CN";#N/A,#N/A,FALSE,"Inv";#N/A,#N/A,FALSE,"Inv Acc";"Miguel_balance",#N/A,FALSE,"Bal";#N/A,#N/A,FALSE,"Plantilla";#N/A,#N/A,FALSE,"CA (2)";#N/A,#N/A,FALSE,"CN (2)"}</definedName>
    <definedName name="sdf_1" localSheetId="8" hidden="1">{#N/A,#N/A,FALSE,"Calc";#N/A,#N/A,FALSE,"Sensitivity";#N/A,#N/A,FALSE,"LT Earn.Dil.";#N/A,#N/A,FALSE,"Dil. AVP"}</definedName>
    <definedName name="sdf_1" hidden="1">{#N/A,#N/A,FALSE,"Calc";#N/A,#N/A,FALSE,"Sensitivity";#N/A,#N/A,FALSE,"LT Earn.Dil.";#N/A,#N/A,FALSE,"Dil. AVP"}</definedName>
    <definedName name="sdfadfasdfasdf" localSheetId="8" hidden="1">{"Largo",#N/A,FALSE,"FSMILES (1)";"Corto",#N/A,FALSE,"FSMILES (1)";"PL",#N/A,FALSE,"FSMILES (1)"}</definedName>
    <definedName name="sdfadfasdfasdf" hidden="1">{"Largo",#N/A,FALSE,"FSMILES (1)";"Corto",#N/A,FALSE,"FSMILES (1)";"PL",#N/A,FALSE,"FSMILES (1)"}</definedName>
    <definedName name="sdfadfasdfasdf_1" localSheetId="8" hidden="1">{"Largo",#N/A,FALSE,"FSMILES (1)";"Corto",#N/A,FALSE,"FSMILES (1)";"PL",#N/A,FALSE,"FSMILES (1)"}</definedName>
    <definedName name="sdfadfasdfasdf_1" hidden="1">{"Largo",#N/A,FALSE,"FSMILES (1)";"Corto",#N/A,FALSE,"FSMILES (1)";"PL",#N/A,FALSE,"FSMILES (1)"}</definedName>
    <definedName name="sdfas" localSheetId="8" hidden="1">{"Eilbericht_UBA",#N/A,FALSE,"EB"}</definedName>
    <definedName name="sdfas" hidden="1">{"Eilbericht_UBA",#N/A,FALSE,"EB"}</definedName>
    <definedName name="sdfas_1" localSheetId="8" hidden="1">{"Eilbericht_UBA",#N/A,FALSE,"EB"}</definedName>
    <definedName name="sdfas_1" hidden="1">{"Eilbericht_UBA",#N/A,FALSE,"EB"}</definedName>
    <definedName name="sdfasfda" localSheetId="8" hidden="1">{"Mnth_D_YTDA",#N/A,FALSE,"YTD_Calc";"Mnth_D_YTDA",#N/A,FALSE,"YTD_Calc";"YTD_Lei",#N/A,FALSE,"Mnth_Calc";"Mnth_Lei",#N/A,FALSE,"Mnth_Calc";"Diff_M",#N/A,FALSE,"Difference";"Diff_Cumm",#N/A,FALSE,"Difference";"Mnth_D_M",#N/A,FALSE,"Mnth_Calc"}</definedName>
    <definedName name="sdfasfda" hidden="1">{"Mnth_D_YTDA",#N/A,FALSE,"YTD_Calc";"Mnth_D_YTDA",#N/A,FALSE,"YTD_Calc";"YTD_Lei",#N/A,FALSE,"Mnth_Calc";"Mnth_Lei",#N/A,FALSE,"Mnth_Calc";"Diff_M",#N/A,FALSE,"Difference";"Diff_Cumm",#N/A,FALSE,"Difference";"Mnth_D_M",#N/A,FALSE,"Mnth_Calc"}</definedName>
    <definedName name="sdfdfs" localSheetId="8" hidden="1">{#N/A,#N/A,FALSE,"USCSS ROLLUP";#N/A,#N/A,FALSE,"USCS";#N/A,#N/A,FALSE,"TARGET";#N/A,#N/A,FALSE,"MICROSOFT";#N/A,#N/A,FALSE,"AT&amp;T";#N/A,#N/A,FALSE,"ALT CHANNELS";#N/A,#N/A,FALSE,"USCS HQ"}</definedName>
    <definedName name="sdfdfs" hidden="1">{#N/A,#N/A,FALSE,"USCSS ROLLUP";#N/A,#N/A,FALSE,"USCS";#N/A,#N/A,FALSE,"TARGET";#N/A,#N/A,FALSE,"MICROSOFT";#N/A,#N/A,FALSE,"AT&amp;T";#N/A,#N/A,FALSE,"ALT CHANNELS";#N/A,#N/A,FALSE,"USCS HQ"}</definedName>
    <definedName name="sdfdsdf" localSheetId="8" hidden="1">{#N/A,#N/A,FALSE,"USCSS ROLLUP";#N/A,#N/A,FALSE,"USCS";#N/A,#N/A,FALSE,"TARGET";#N/A,#N/A,FALSE,"MICROSOFT";#N/A,#N/A,FALSE,"AT&amp;T";#N/A,#N/A,FALSE,"ALT CHANNELS";#N/A,#N/A,FALSE,"USCS HQ"}</definedName>
    <definedName name="sdfdsdf" hidden="1">{#N/A,#N/A,FALSE,"USCSS ROLLUP";#N/A,#N/A,FALSE,"USCS";#N/A,#N/A,FALSE,"TARGET";#N/A,#N/A,FALSE,"MICROSOFT";#N/A,#N/A,FALSE,"AT&amp;T";#N/A,#N/A,FALSE,"ALT CHANNELS";#N/A,#N/A,FALSE,"USCS HQ"}</definedName>
    <definedName name="sdfdsf" localSheetId="8" hidden="1">{#N/A,#N/A,FALSE,"KA CH  (2)"}</definedName>
    <definedName name="sdfdsf" hidden="1">{#N/A,#N/A,FALSE,"KA CH  (2)"}</definedName>
    <definedName name="sdfe" hidden="1">#REF!</definedName>
    <definedName name="SDFGDG" localSheetId="8" hidden="1">{#N/A,#N/A,FALSE,"Global Assumptions";#N/A,#N/A,FALSE,"NZ Valuation";#N/A,#N/A,FALSE,"P&amp;L";#N/A,#N/A,FALSE,"Balance Sheet";#N/A,#N/A,FALSE,"Cash Flow";#N/A,#N/A,FALSE,"Key Assumptions";#N/A,#N/A,FALSE,"Graphs";#N/A,#N/A,FALSE,"Core EBIT Summary";#N/A,#N/A,FALSE,"National Tolls - Residential";#N/A,#N/A,FALSE,"National Tolls - Business";#N/A,#N/A,FALSE,"Internat'l Tolls - Residential";#N/A,#N/A,FALSE,"Internat'l Tolls - Business";#N/A,#N/A,FALSE,"Faxplus";#N/A,#N/A,FALSE,"Business Local Service";#N/A,#N/A,FALSE,"Data Services";#N/A,#N/A,FALSE,"Cellular"}</definedName>
    <definedName name="SDFGDG" hidden="1">{#N/A,#N/A,FALSE,"Global Assumptions";#N/A,#N/A,FALSE,"NZ Valuation";#N/A,#N/A,FALSE,"P&amp;L";#N/A,#N/A,FALSE,"Balance Sheet";#N/A,#N/A,FALSE,"Cash Flow";#N/A,#N/A,FALSE,"Key Assumptions";#N/A,#N/A,FALSE,"Graphs";#N/A,#N/A,FALSE,"Core EBIT Summary";#N/A,#N/A,FALSE,"National Tolls - Residential";#N/A,#N/A,FALSE,"National Tolls - Business";#N/A,#N/A,FALSE,"Internat'l Tolls - Residential";#N/A,#N/A,FALSE,"Internat'l Tolls - Business";#N/A,#N/A,FALSE,"Faxplus";#N/A,#N/A,FALSE,"Business Local Service";#N/A,#N/A,FALSE,"Data Services";#N/A,#N/A,FALSE,"Cellular"}</definedName>
    <definedName name="sdfgdsf" hidden="1">#REF!</definedName>
    <definedName name="SDFGFG" hidden="1">#REF!</definedName>
    <definedName name="sdfh" localSheetId="7" hidden="1">{#N/A,#N/A,FALSE,"Pharm";#N/A,#N/A,FALSE,"WWCM"}</definedName>
    <definedName name="sdfh" localSheetId="8" hidden="1">{#N/A,#N/A,FALSE,"Pharm";#N/A,#N/A,FALSE,"WWCM"}</definedName>
    <definedName name="sdfh" hidden="1">{#N/A,#N/A,FALSE,"Pharm";#N/A,#N/A,FALSE,"WWCM"}</definedName>
    <definedName name="sdfr" hidden="1">#REF!</definedName>
    <definedName name="sdfrda" localSheetId="8" hidden="1">{#N/A,"Band8",FALSE,"Smoothing";#N/A,"Band9",FALSE,"Smoothing";#N/A,"Band10",FALSE,"Smoothing"}</definedName>
    <definedName name="sdfrda" hidden="1">{#N/A,"Band8",FALSE,"Smoothing";#N/A,"Band9",FALSE,"Smoothing";#N/A,"Band10",FALSE,"Smoothing"}</definedName>
    <definedName name="sdfs" localSheetId="8" hidden="1">{#N/A,#N/A,TRUE,"Voorblad B";#N/A,#N/A,TRUE,"Table of Content FinCom B";#N/A,#N/A,TRUE,"A3-P&amp;L by Bus.Unt-Serv.Unt";#N/A,#N/A,TRUE,"Summary carrier service";#N/A,#N/A,TRUE,"Summary Large accounts";#N/A,#N/A,TRUE,"Summary Consumer";#N/A,#N/A,TRUE,"Mobile";#N/A,#N/A,TRUE,"B5-Mobile(1) ";#N/A,#N/A,TRUE,"B4-GM per Product";#N/A,#N/A,TRUE,"Summary N&amp;S";#N/A,#N/A,TRUE,"B15-Network ";#N/A,#N/A,TRUE,"Summary ITbilling";#N/A,#N/A,TRUE,"Billing backlog";#N/A,#N/A,TRUE,"Summary Corporate";#N/A,#N/A,TRUE,"A5-Bal_Sheet CF";#N/A,#N/A,TRUE,"A6-Bal_Sheet CF by Old org. ";#N/A,#N/A,TRUE,"P13-Funding- Inter.";#N/A,#N/A,TRUE,"P14-Risk &amp; Fraud Fixed";#N/A,#N/A,TRUE,"P14-Risk &amp; Fraud Mobile";#N/A,#N/A,TRUE,"Accounts payable"}</definedName>
    <definedName name="sdfs" hidden="1">{#N/A,#N/A,TRUE,"Voorblad B";#N/A,#N/A,TRUE,"Table of Content FinCom B";#N/A,#N/A,TRUE,"A3-P&amp;L by Bus.Unt-Serv.Unt";#N/A,#N/A,TRUE,"Summary carrier service";#N/A,#N/A,TRUE,"Summary Large accounts";#N/A,#N/A,TRUE,"Summary Consumer";#N/A,#N/A,TRUE,"Mobile";#N/A,#N/A,TRUE,"B5-Mobile(1) ";#N/A,#N/A,TRUE,"B4-GM per Product";#N/A,#N/A,TRUE,"Summary N&amp;S";#N/A,#N/A,TRUE,"B15-Network ";#N/A,#N/A,TRUE,"Summary ITbilling";#N/A,#N/A,TRUE,"Billing backlog";#N/A,#N/A,TRUE,"Summary Corporate";#N/A,#N/A,TRUE,"A5-Bal_Sheet CF";#N/A,#N/A,TRUE,"A6-Bal_Sheet CF by Old org. ";#N/A,#N/A,TRUE,"P13-Funding- Inter.";#N/A,#N/A,TRUE,"P14-Risk &amp; Fraud Fixed";#N/A,#N/A,TRUE,"P14-Risk &amp; Fraud Mobile";#N/A,#N/A,TRUE,"Accounts payable"}</definedName>
    <definedName name="sdfsd" localSheetId="7" hidden="1">#REF!</definedName>
    <definedName name="sdfsd" localSheetId="8" hidden="1">#REF!</definedName>
    <definedName name="sdfsd" hidden="1">{#N/A,#N/A,FALSE,"Aging Summary";#N/A,#N/A,FALSE,"Ratio Analysis";#N/A,#N/A,FALSE,"Test 120 Day Accts";#N/A,#N/A,FALSE,"Tickmarks"}</definedName>
    <definedName name="sdfsdf" localSheetId="8" hidden="1">{"'100'!$A$1:$M$83"}</definedName>
    <definedName name="sdfsdf" hidden="1">{"'100'!$A$1:$M$83"}</definedName>
    <definedName name="sdfsdfgsd" localSheetId="8" hidden="1">{#N/A,#N/A,FALSE,"USCSS ROLLUP";#N/A,#N/A,FALSE,"USCS";#N/A,#N/A,FALSE,"TARGET";#N/A,#N/A,FALSE,"MICROSOFT";#N/A,#N/A,FALSE,"AT&amp;T";#N/A,#N/A,FALSE,"ALT CHANNELS";#N/A,#N/A,FALSE,"USCS HQ"}</definedName>
    <definedName name="sdfsdfgsd" hidden="1">{#N/A,#N/A,FALSE,"USCSS ROLLUP";#N/A,#N/A,FALSE,"USCS";#N/A,#N/A,FALSE,"TARGET";#N/A,#N/A,FALSE,"MICROSOFT";#N/A,#N/A,FALSE,"AT&amp;T";#N/A,#N/A,FALSE,"ALT CHANNELS";#N/A,#N/A,FALSE,"USCS HQ"}</definedName>
    <definedName name="sdfsdfsdf" localSheetId="8" hidden="1">{"MAJNew",#N/A,FALSE,"MAJ";"BISNew",#N/A,FALSE,"BIS";"SMENew",#N/A,FALSE,"SME";"SMPNew",#N/A,FALSE,"SMP";"SMMNew",#N/A,FALSE,"SMM";"SMCNew",#N/A,FALSE,"SMC";"SMRNew",#N/A,FALSE,"SMR";"CNSNew",#N/A,FALSE,"CNS";"REGNew",#N/A,FALSE,"REG";"ALTNew",#N/A,FALSE,"ALT";"PMTNew",#N/A,FALSE,"PMT";"CPSNew",#N/A,FALSE,"CPS";"SERNew",#N/A,FALSE,"SER";"TATNew",#N/A,FALSE,"TAT";"BILNew",#N/A,FALSE,"BIL";"FINNew",#N/A,FALSE,"FIN";"HRSNew",#N/A,FALSE,"HRS";"CEONew",#N/A,FALSE,"CEO";"STPnew",#N/A,FALSE,"STP";"ELINew",#N/A,FALSE,"ELI";"OTHNew",#N/A,FALSE,"OTH";"CTGNew",#N/A,FALSE,"CTG";"CENNew",#N/A,FALSE,"CEN";"TOTNew",#N/A,FALSE,"TOT"}</definedName>
    <definedName name="sdfsdfsdf" hidden="1">{"MAJNew",#N/A,FALSE,"MAJ";"BISNew",#N/A,FALSE,"BIS";"SMENew",#N/A,FALSE,"SME";"SMPNew",#N/A,FALSE,"SMP";"SMMNew",#N/A,FALSE,"SMM";"SMCNew",#N/A,FALSE,"SMC";"SMRNew",#N/A,FALSE,"SMR";"CNSNew",#N/A,FALSE,"CNS";"REGNew",#N/A,FALSE,"REG";"ALTNew",#N/A,FALSE,"ALT";"PMTNew",#N/A,FALSE,"PMT";"CPSNew",#N/A,FALSE,"CPS";"SERNew",#N/A,FALSE,"SER";"TATNew",#N/A,FALSE,"TAT";"BILNew",#N/A,FALSE,"BIL";"FINNew",#N/A,FALSE,"FIN";"HRSNew",#N/A,FALSE,"HRS";"CEONew",#N/A,FALSE,"CEO";"STPnew",#N/A,FALSE,"STP";"ELINew",#N/A,FALSE,"ELI";"OTHNew",#N/A,FALSE,"OTH";"CTGNew",#N/A,FALSE,"CTG";"CENNew",#N/A,FALSE,"CEN";"TOTNew",#N/A,FALSE,"TOT"}</definedName>
    <definedName name="sdfsf" localSheetId="8" hidden="1">{#N/A,#N/A,FALSE,"Full";#N/A,#N/A,FALSE,"Half";#N/A,#N/A,FALSE,"Op Expenses";#N/A,#N/A,FALSE,"Cap Charge";#N/A,#N/A,FALSE,"Cost C";#N/A,#N/A,FALSE,"PP&amp;E";#N/A,#N/A,FALSE,"R&amp;D"}</definedName>
    <definedName name="sdfsf" hidden="1">{#N/A,#N/A,FALSE,"Full";#N/A,#N/A,FALSE,"Half";#N/A,#N/A,FALSE,"Op Expenses";#N/A,#N/A,FALSE,"Cap Charge";#N/A,#N/A,FALSE,"Cost C";#N/A,#N/A,FALSE,"PP&amp;E";#N/A,#N/A,FALSE,"R&amp;D"}</definedName>
    <definedName name="sdfsfsfd" localSheetId="8" hidden="1">{#N/A,#N/A,FALSE,"Operations";#N/A,#N/A,FALSE,"Financials"}</definedName>
    <definedName name="sdfsfsfd" hidden="1">{#N/A,#N/A,FALSE,"Operations";#N/A,#N/A,FALSE,"Financials"}</definedName>
    <definedName name="sdfsfsfd_1" localSheetId="8" hidden="1">{#N/A,#N/A,FALSE,"Operations";#N/A,#N/A,FALSE,"Financials"}</definedName>
    <definedName name="sdfsfsfd_1" hidden="1">{#N/A,#N/A,FALSE,"Operations";#N/A,#N/A,FALSE,"Financials"}</definedName>
    <definedName name="sdfsfsfsdf" localSheetId="8" hidden="1">{#N/A,#N/A,FALSE,"Calc";#N/A,#N/A,FALSE,"Sensitivity";#N/A,#N/A,FALSE,"LT Earn.Dil.";#N/A,#N/A,FALSE,"Dil. AVP"}</definedName>
    <definedName name="sdfsfsfsdf" hidden="1">{#N/A,#N/A,FALSE,"Calc";#N/A,#N/A,FALSE,"Sensitivity";#N/A,#N/A,FALSE,"LT Earn.Dil.";#N/A,#N/A,FALSE,"Dil. AVP"}</definedName>
    <definedName name="sdfsfsfsdf_1" localSheetId="8" hidden="1">{#N/A,#N/A,FALSE,"Calc";#N/A,#N/A,FALSE,"Sensitivity";#N/A,#N/A,FALSE,"LT Earn.Dil.";#N/A,#N/A,FALSE,"Dil. AVP"}</definedName>
    <definedName name="sdfsfsfsdf_1" hidden="1">{#N/A,#N/A,FALSE,"Calc";#N/A,#N/A,FALSE,"Sensitivity";#N/A,#N/A,FALSE,"LT Earn.Dil.";#N/A,#N/A,FALSE,"Dil. AVP"}</definedName>
    <definedName name="sdfwer" localSheetId="8" hidden="1">{#N/A,#N/A,FALSE,"USCSS ROLLUP";#N/A,#N/A,FALSE,"USCS";#N/A,#N/A,FALSE,"TARGET";#N/A,#N/A,FALSE,"MICROSOFT";#N/A,#N/A,FALSE,"AT&amp;T";#N/A,#N/A,FALSE,"ALT CHANNELS";#N/A,#N/A,FALSE,"USCS HQ"}</definedName>
    <definedName name="sdfwer" hidden="1">{#N/A,#N/A,FALSE,"USCSS ROLLUP";#N/A,#N/A,FALSE,"USCS";#N/A,#N/A,FALSE,"TARGET";#N/A,#N/A,FALSE,"MICROSOFT";#N/A,#N/A,FALSE,"AT&amp;T";#N/A,#N/A,FALSE,"ALT CHANNELS";#N/A,#N/A,FALSE,"USCS HQ"}</definedName>
    <definedName name="sdg" hidden="1">{"'RR'!$A$2:$E$81"}</definedName>
    <definedName name="sdgagf" localSheetId="7" hidden="1">{#N/A,#N/A,FALSE,"Pharm";#N/A,#N/A,FALSE,"WWCM"}</definedName>
    <definedName name="sdgagf" localSheetId="8" hidden="1">{#N/A,#N/A,FALSE,"Pharm";#N/A,#N/A,FALSE,"WWCM"}</definedName>
    <definedName name="sdgagf" hidden="1">{#N/A,#N/A,FALSE,"Pharm";#N/A,#N/A,FALSE,"WWCM"}</definedName>
    <definedName name="sdgdgdf" localSheetId="8" hidden="1">{"comp",#N/A,FALSE,"SPEC";"footnotes",#N/A,FALSE,"SPEC"}</definedName>
    <definedName name="sdgdgdf" hidden="1">{"comp",#N/A,FALSE,"SPEC";"footnotes",#N/A,FALSE,"SPEC"}</definedName>
    <definedName name="sdgdgdf_1" localSheetId="8" hidden="1">{"comp",#N/A,FALSE,"SPEC";"footnotes",#N/A,FALSE,"SPEC"}</definedName>
    <definedName name="sdgdgdf_1" hidden="1">{"comp",#N/A,FALSE,"SPEC";"footnotes",#N/A,FALSE,"SPEC"}</definedName>
    <definedName name="sdgh" localSheetId="8" hidden="1">{"qty and inventory value",#N/A,FALSE,"MPartners";"general ledger entries",#N/A,FALSE,"MPartners"}</definedName>
    <definedName name="sdgh" hidden="1">{"qty and inventory value",#N/A,FALSE,"MPartners";"general ledger entries",#N/A,FALSE,"MPartners"}</definedName>
    <definedName name="sdgsdg" localSheetId="8" hidden="1">{#N/A,#N/A,FALSE,"Assessment";#N/A,#N/A,FALSE,"Staffing";#N/A,#N/A,FALSE,"Hires";#N/A,#N/A,FALSE,"Assumptions"}</definedName>
    <definedName name="sdgsdg" hidden="1">{#N/A,#N/A,FALSE,"Assessment";#N/A,#N/A,FALSE,"Staffing";#N/A,#N/A,FALSE,"Hires";#N/A,#N/A,FALSE,"Assumptions"}</definedName>
    <definedName name="sdhsdh" localSheetId="8" hidden="1">{#N/A,#N/A,FALSE,"Assessment";#N/A,#N/A,FALSE,"Staffing";#N/A,#N/A,FALSE,"Hires";#N/A,#N/A,FALSE,"Assumptions"}</definedName>
    <definedName name="sdhsdh" hidden="1">{#N/A,#N/A,FALSE,"Assessment";#N/A,#N/A,FALSE,"Staffing";#N/A,#N/A,FALSE,"Hires";#N/A,#N/A,FALSE,"Assumptions"}</definedName>
    <definedName name="sdlf" localSheetId="8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dlf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drgrsdg" localSheetId="8" hidden="1">{"Eilbericht_UBA",#N/A,FALSE,"EB"}</definedName>
    <definedName name="sdrgrsdg" hidden="1">{"Eilbericht_UBA",#N/A,FALSE,"EB"}</definedName>
    <definedName name="sdrgrsdg_1" localSheetId="8" hidden="1">{"Eilbericht_UBA",#N/A,FALSE,"EB"}</definedName>
    <definedName name="sdrgrsdg_1" hidden="1">{"Eilbericht_UBA",#N/A,FALSE,"EB"}</definedName>
    <definedName name="sds" hidden="1">{#N/A,#N/A,FALSE,"CA";#N/A,#N/A,FALSE,"CN";#N/A,#N/A,FALSE,"Inv";#N/A,#N/A,FALSE,"Inv Acc";"Miguel_balance",#N/A,FALSE,"Bal";#N/A,#N/A,FALSE,"Plantilla";#N/A,#N/A,FALSE,"CA (2)";#N/A,#N/A,FALSE,"CN (2)"}</definedName>
    <definedName name="sdsadasd" localSheetId="7" hidden="1">{#N/A,#N/A,FALSE,"Pharm";#N/A,#N/A,FALSE,"WWCM"}</definedName>
    <definedName name="sdsadasd" localSheetId="8" hidden="1">{#N/A,#N/A,FALSE,"Pharm";#N/A,#N/A,FALSE,"WWCM"}</definedName>
    <definedName name="sdsadasd" hidden="1">{#N/A,#N/A,FALSE,"Pharm";#N/A,#N/A,FALSE,"WWCM"}</definedName>
    <definedName name="sdsd" localSheetId="7" hidden="1">{"Monthly6Q",#N/A,FALSE,"0614ESL"}</definedName>
    <definedName name="sdsd" localSheetId="8" hidden="1">{"Monthly6Q",#N/A,FALSE,"0614ESL"}</definedName>
    <definedName name="sdsd" hidden="1">{#N/A,#N/A,FALSE,"REPORT"}</definedName>
    <definedName name="sdsdh" localSheetId="8" hidden="1">{#N/A,#N/A,FALSE,"Assessment";#N/A,#N/A,FALSE,"Staffing";#N/A,#N/A,FALSE,"Hires";#N/A,#N/A,FALSE,"Assumptions"}</definedName>
    <definedName name="sdsdh" hidden="1">{#N/A,#N/A,FALSE,"Assessment";#N/A,#N/A,FALSE,"Staffing";#N/A,#N/A,FALSE,"Hires";#N/A,#N/A,FALSE,"Assumptions"}</definedName>
    <definedName name="sdvsfdvfdsb" hidden="1">#REF!</definedName>
    <definedName name="se" localSheetId="7" hidden="1">{"Análisis Ventas Ppto 2000",#N/A,FALSE,"Grupo";"Cta Res Ppto 2000",#N/A,FALSE,"Grupo";"Impacto Ppto 2000",#N/A,FALSE,"Grupo";"Bce Ppto 2000",#N/A,FALSE,"Grupo";"Cashflow Ppto 2000",#N/A,FALSE,"Grupo";"Resumen de Ventas",#N/A,FALSE,"VENTAS 2000";"Resumen Cta Res",#N/A,FALSE,"CTA RES 2000"}</definedName>
    <definedName name="se" localSheetId="8" hidden="1">{"Análisis Ventas Ppto 2000",#N/A,FALSE,"Grupo";"Cta Res Ppto 2000",#N/A,FALSE,"Grupo";"Impacto Ppto 2000",#N/A,FALSE,"Grupo";"Bce Ppto 2000",#N/A,FALSE,"Grupo";"Cashflow Ppto 2000",#N/A,FALSE,"Grupo";"Resumen de Ventas",#N/A,FALSE,"VENTAS 2000";"Resumen Cta Res",#N/A,FALSE,"CTA RES 2000"}</definedName>
    <definedName name="se" hidden="1">{"consolidated",#N/A,FALSE,"Sheet1";"cms",#N/A,FALSE,"Sheet1";"fse",#N/A,FALSE,"Sheet1"}</definedName>
    <definedName name="se_1" localSheetId="7" hidden="1">{"Análisis Ventas Ppto 2000",#N/A,FALSE,"Grupo";"Cta Res Ppto 2000",#N/A,FALSE,"Grupo";"Impacto Ppto 2000",#N/A,FALSE,"Grupo";"Bce Ppto 2000",#N/A,FALSE,"Grupo";"Cashflow Ppto 2000",#N/A,FALSE,"Grupo";"Resumen de Ventas",#N/A,FALSE,"VENTAS 2000";"Resumen Cta Res",#N/A,FALSE,"CTA RES 2000"}</definedName>
    <definedName name="se_1" localSheetId="8" hidden="1">{"Análisis Ventas Ppto 2000",#N/A,FALSE,"Grupo";"Cta Res Ppto 2000",#N/A,FALSE,"Grupo";"Impacto Ppto 2000",#N/A,FALSE,"Grupo";"Bce Ppto 2000",#N/A,FALSE,"Grupo";"Cashflow Ppto 2000",#N/A,FALSE,"Grupo";"Resumen de Ventas",#N/A,FALSE,"VENTAS 2000";"Resumen Cta Res",#N/A,FALSE,"CTA RES 2000"}</definedName>
    <definedName name="se_1" hidden="1">{"consolidated",#N/A,FALSE,"Sheet1";"cms",#N/A,FALSE,"Sheet1";"fse",#N/A,FALSE,"Sheet1"}</definedName>
    <definedName name="sea" localSheetId="8" hidden="1">{"oct_res_comm",#N/A,FALSE,"VarToBud"}</definedName>
    <definedName name="sea" hidden="1">{"oct_res_comm",#N/A,FALSE,"VarToBud"}</definedName>
    <definedName name="SecretArchiveNumber" hidden="1">1</definedName>
    <definedName name="see" localSheetId="8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see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see_1" localSheetId="8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see_1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sefs" localSheetId="8" hidden="1">{"werbung",#N/A,FALSE,"GuV9900-0399";"betrieb",#N/A,FALSE,"GuV9900-0399";"personal",#N/A,FALSE,"GuV9900-0399";"tvg",#N/A,FALSE,"GuV9900-0399";"verwaltung",#N/A,FALSE,"GuV9900-0399"}</definedName>
    <definedName name="sefs" hidden="1">{"werbung",#N/A,FALSE,"GuV9900-0399";"betrieb",#N/A,FALSE,"GuV9900-0399";"personal",#N/A,FALSE,"GuV9900-0399";"tvg",#N/A,FALSE,"GuV9900-0399";"verwaltung",#N/A,FALSE,"GuV9900-0399"}</definedName>
    <definedName name="sefs_1" localSheetId="8" hidden="1">{"werbung",#N/A,FALSE,"GuV9900-0399";"betrieb",#N/A,FALSE,"GuV9900-0399";"personal",#N/A,FALSE,"GuV9900-0399";"tvg",#N/A,FALSE,"GuV9900-0399";"verwaltung",#N/A,FALSE,"GuV9900-0399"}</definedName>
    <definedName name="sefs_1" hidden="1">{"werbung",#N/A,FALSE,"GuV9900-0399";"betrieb",#N/A,FALSE,"GuV9900-0399";"personal",#N/A,FALSE,"GuV9900-0399";"tvg",#N/A,FALSE,"GuV9900-0399";"verwaltung",#N/A,FALSE,"GuV9900-0399"}</definedName>
    <definedName name="sefsef" localSheetId="8" hidden="1">{"werbung",#N/A,FALSE,"GuV9900-0399";"betrieb",#N/A,FALSE,"GuV9900-0399";"personal",#N/A,FALSE,"GuV9900-0399";"tvg",#N/A,FALSE,"GuV9900-0399";"verwaltung",#N/A,FALSE,"GuV9900-0399"}</definedName>
    <definedName name="sefsef" hidden="1">{"werbung",#N/A,FALSE,"GuV9900-0399";"betrieb",#N/A,FALSE,"GuV9900-0399";"personal",#N/A,FALSE,"GuV9900-0399";"tvg",#N/A,FALSE,"GuV9900-0399";"verwaltung",#N/A,FALSE,"GuV9900-0399"}</definedName>
    <definedName name="sefsef_1" localSheetId="8" hidden="1">{"werbung",#N/A,FALSE,"GuV9900-0399";"betrieb",#N/A,FALSE,"GuV9900-0399";"personal",#N/A,FALSE,"GuV9900-0399";"tvg",#N/A,FALSE,"GuV9900-0399";"verwaltung",#N/A,FALSE,"GuV9900-0399"}</definedName>
    <definedName name="sefsef_1" hidden="1">{"werbung",#N/A,FALSE,"GuV9900-0399";"betrieb",#N/A,FALSE,"GuV9900-0399";"personal",#N/A,FALSE,"GuV9900-0399";"tvg",#N/A,FALSE,"GuV9900-0399";"verwaltung",#N/A,FALSE,"GuV9900-0399"}</definedName>
    <definedName name="Seg_LBO_Summ" localSheetId="8" hidden="1">{"LBO Summary",#N/A,FALSE,"Summary"}</definedName>
    <definedName name="Seg_LBO_Summ" hidden="1">{"LBO Summary",#N/A,FALSE,"Summary"}</definedName>
    <definedName name="SegmentBudget" localSheetId="8" hidden="1">{"oct_res_comm",#N/A,FALSE,"VarToBud"}</definedName>
    <definedName name="SegmentBudget" hidden="1">{"oct_res_comm",#N/A,FALSE,"VarToBud"}</definedName>
    <definedName name="sei_lá" hidden="1">{"'RR'!$A$2:$E$81"}</definedName>
    <definedName name="seme" localSheetId="8" hidden="1">{#N/A,#N/A,FALSE,"P&amp;L"}</definedName>
    <definedName name="seme" hidden="1">{#N/A,#N/A,FALSE,"P&amp;L"}</definedName>
    <definedName name="seme_1" localSheetId="8" hidden="1">{#N/A,#N/A,FALSE,"P&amp;L"}</definedName>
    <definedName name="seme_1" hidden="1">{#N/A,#N/A,FALSE,"P&amp;L"}</definedName>
    <definedName name="sencount" hidden="1">1</definedName>
    <definedName name="septeimbre" localSheetId="7" hidden="1">{"Mes Marzo",#N/A,FALSE,"VENTAS 99";"Acum. Marzo",#N/A,FALSE,"VENTAS 99"}</definedName>
    <definedName name="septeimbre" localSheetId="8" hidden="1">{"Mes Marzo",#N/A,FALSE,"VENTAS 99";"Acum. Marzo",#N/A,FALSE,"VENTAS 99"}</definedName>
    <definedName name="septeimbre" hidden="1">{"Mes Marzo",#N/A,FALSE,"VENTAS 99";"Acum. Marzo",#N/A,FALSE,"VENTAS 99"}</definedName>
    <definedName name="septeimbre_1" localSheetId="8" hidden="1">{"Mes Marzo",#N/A,FALSE,"VENTAS 99";"Acum. Marzo",#N/A,FALSE,"VENTAS 99"}</definedName>
    <definedName name="septeimbre_1" hidden="1">{"Mes Marzo",#N/A,FALSE,"VENTAS 99";"Acum. Marzo",#N/A,FALSE,"VENTAS 99"}</definedName>
    <definedName name="ser" localSheetId="8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ser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ser_1" localSheetId="8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ser_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serveis" localSheetId="8" hidden="1">{#N/A,#N/A,FALSE,"CA";#N/A,#N/A,FALSE,"CN";#N/A,#N/A,FALSE,"Inv";#N/A,#N/A,FALSE,"Inv Acc";"Miguel_balance",#N/A,FALSE,"Bal";#N/A,#N/A,FALSE,"Plantilla";#N/A,#N/A,FALSE,"CA (2)";#N/A,#N/A,FALSE,"CN (2)"}</definedName>
    <definedName name="serveis" hidden="1">{#N/A,#N/A,FALSE,"CA";#N/A,#N/A,FALSE,"CN";#N/A,#N/A,FALSE,"Inv";#N/A,#N/A,FALSE,"Inv Acc";"Miguel_balance",#N/A,FALSE,"Bal";#N/A,#N/A,FALSE,"Plantilla";#N/A,#N/A,FALSE,"CA (2)";#N/A,#N/A,FALSE,"CN (2)"}</definedName>
    <definedName name="Service" localSheetId="8" hidden="1">{#N/A,#N/A,TRUE,"Voorblad B";#N/A,#N/A,TRUE,"Table of Content FinCom B";#N/A,#N/A,TRUE,"A3-P&amp;L by Bus.Unt-Serv.Unt";#N/A,#N/A,TRUE,"Summary carrier service";#N/A,#N/A,TRUE,"Summary Large accounts";#N/A,#N/A,TRUE,"Summary Consumer";#N/A,#N/A,TRUE,"Mobile";#N/A,#N/A,TRUE,"B5-Mobile(1) ";#N/A,#N/A,TRUE,"B4-GM per Product";#N/A,#N/A,TRUE,"Summary N&amp;S";#N/A,#N/A,TRUE,"B15-Network ";#N/A,#N/A,TRUE,"Summary ITbilling";#N/A,#N/A,TRUE,"Billing backlog";#N/A,#N/A,TRUE,"Summary Corporate";#N/A,#N/A,TRUE,"A5-Bal_Sheet CF";#N/A,#N/A,TRUE,"A6-Bal_Sheet CF by Old org. ";#N/A,#N/A,TRUE,"P13-Funding- Inter.";#N/A,#N/A,TRUE,"P14-Risk &amp; Fraud Fixed";#N/A,#N/A,TRUE,"P14-Risk &amp; Fraud Mobile";#N/A,#N/A,TRUE,"Accounts payable"}</definedName>
    <definedName name="Service" hidden="1">{#N/A,#N/A,TRUE,"Voorblad B";#N/A,#N/A,TRUE,"Table of Content FinCom B";#N/A,#N/A,TRUE,"A3-P&amp;L by Bus.Unt-Serv.Unt";#N/A,#N/A,TRUE,"Summary carrier service";#N/A,#N/A,TRUE,"Summary Large accounts";#N/A,#N/A,TRUE,"Summary Consumer";#N/A,#N/A,TRUE,"Mobile";#N/A,#N/A,TRUE,"B5-Mobile(1) ";#N/A,#N/A,TRUE,"B4-GM per Product";#N/A,#N/A,TRUE,"Summary N&amp;S";#N/A,#N/A,TRUE,"B15-Network ";#N/A,#N/A,TRUE,"Summary ITbilling";#N/A,#N/A,TRUE,"Billing backlog";#N/A,#N/A,TRUE,"Summary Corporate";#N/A,#N/A,TRUE,"A5-Bal_Sheet CF";#N/A,#N/A,TRUE,"A6-Bal_Sheet CF by Old org. ";#N/A,#N/A,TRUE,"P13-Funding- Inter.";#N/A,#N/A,TRUE,"P14-Risk &amp; Fraud Fixed";#N/A,#N/A,TRUE,"P14-Risk &amp; Fraud Mobile";#N/A,#N/A,TRUE,"Accounts payable"}</definedName>
    <definedName name="ses" localSheetId="8" hidden="1">{"RESUMEN",#N/A,FALSE,"RESUMEN";"RESUMEN_MARG",#N/A,FALSE,"RESUMEN"}</definedName>
    <definedName name="ses" hidden="1">{"RESUMEN",#N/A,FALSE,"RESUMEN";"RESUMEN_MARG",#N/A,FALSE,"RESUMEN"}</definedName>
    <definedName name="ses_1" localSheetId="8" hidden="1">{"RESUMEN",#N/A,FALSE,"RESUMEN";"RESUMEN_MARG",#N/A,FALSE,"RESUMEN"}</definedName>
    <definedName name="ses_1" hidden="1">{"RESUMEN",#N/A,FALSE,"RESUMEN";"RESUMEN_MARG",#N/A,FALSE,"RESUMEN"}</definedName>
    <definedName name="sety" localSheetId="8" hidden="1">{"LAPO2N2",#N/A,FALSE,"CM"}</definedName>
    <definedName name="sety" hidden="1">{"LAPO2N2",#N/A,FALSE,"CM"}</definedName>
    <definedName name="sf" localSheetId="7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sf" localSheetId="8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sf" hidden="1">{"Largo",#N/A,FALSE,"FSMILES (1)";"Corto",#N/A,FALSE,"FSMILES (1)";"PL",#N/A,FALSE,"FSMILES (1)"}</definedName>
    <definedName name="sf_1" localSheetId="8" hidden="1">{"Largo",#N/A,FALSE,"FSMILES (1)";"Corto",#N/A,FALSE,"FSMILES (1)";"PL",#N/A,FALSE,"FSMILES (1)"}</definedName>
    <definedName name="sf_1" hidden="1">{"Largo",#N/A,FALSE,"FSMILES (1)";"Corto",#N/A,FALSE,"FSMILES (1)";"PL",#N/A,FALSE,"FSMILES (1)"}</definedName>
    <definedName name="sfbgsfbgsfbg" hidden="1">#REF!</definedName>
    <definedName name="sfd" localSheetId="8" hidden="1">{#N/A,#N/A,FALSE,"Hoja1";#N/A,#N/A,FALSE,"Hoja2"}</definedName>
    <definedName name="sfd" hidden="1">{#N/A,#N/A,FALSE,"Hoja1";#N/A,#N/A,FALSE,"Hoja2"}</definedName>
    <definedName name="sfd_1" localSheetId="8" hidden="1">{#N/A,#N/A,FALSE,"Hoja1";#N/A,#N/A,FALSE,"Hoja2"}</definedName>
    <definedName name="sfd_1" hidden="1">{#N/A,#N/A,FALSE,"Hoja1";#N/A,#N/A,FALSE,"Hoja2"}</definedName>
    <definedName name="sfdfbnn" localSheetId="8" hidden="1">#REF!</definedName>
    <definedName name="sfdfbnn" hidden="1">#REF!</definedName>
    <definedName name="SFDGDSG" hidden="1">#REF!</definedName>
    <definedName name="sfdgfgg" localSheetId="8" hidden="1">{#N/A,#N/A,FALSE,"Umsatz OK";#N/A,#N/A,FALSE,"ER OK ";#N/A,#N/A,FALSE,"EA OK (2)";#N/A,#N/A,FALSE,"EA OK";#N/A,#N/A,FALSE,"EA OK (3)";#N/A,#N/A,FALSE,"EA OK (4)";#N/A,#N/A,FALSE,"KA OK  (2)";#N/A,#N/A,FALSE,"KA OK";#N/A,#N/A,FALSE,"KA OK  (3)";#N/A,#N/A,FALSE,"KA OK (4)"}</definedName>
    <definedName name="sfdgfgg" hidden="1">{#N/A,#N/A,FALSE,"Umsatz OK";#N/A,#N/A,FALSE,"ER OK ";#N/A,#N/A,FALSE,"EA OK (2)";#N/A,#N/A,FALSE,"EA OK";#N/A,#N/A,FALSE,"EA OK (3)";#N/A,#N/A,FALSE,"EA OK (4)";#N/A,#N/A,FALSE,"KA OK  (2)";#N/A,#N/A,FALSE,"KA OK";#N/A,#N/A,FALSE,"KA OK  (3)";#N/A,#N/A,FALSE,"KA OK (4)"}</definedName>
    <definedName name="sfdirect" localSheetId="7" hidden="1">{#N/A,#N/A,FALSE,"REPORT"}</definedName>
    <definedName name="sfdirect" localSheetId="8" hidden="1">{#N/A,#N/A,FALSE,"REPORT"}</definedName>
    <definedName name="sfdirect" hidden="1">{#N/A,#N/A,FALSE,"REPORT"}</definedName>
    <definedName name="sfe" localSheetId="8" hidden="1">{"werbung",#N/A,FALSE,"GuV9900-0399";"betrieb",#N/A,FALSE,"GuV9900-0399";"personal",#N/A,FALSE,"GuV9900-0399";"tvg",#N/A,FALSE,"GuV9900-0399";"verwaltung",#N/A,FALSE,"GuV9900-0399"}</definedName>
    <definedName name="sfe" hidden="1">{"werbung",#N/A,FALSE,"GuV9900-0399";"betrieb",#N/A,FALSE,"GuV9900-0399";"personal",#N/A,FALSE,"GuV9900-0399";"tvg",#N/A,FALSE,"GuV9900-0399";"verwaltung",#N/A,FALSE,"GuV9900-0399"}</definedName>
    <definedName name="sfe_1" localSheetId="8" hidden="1">{"werbung",#N/A,FALSE,"GuV9900-0399";"betrieb",#N/A,FALSE,"GuV9900-0399";"personal",#N/A,FALSE,"GuV9900-0399";"tvg",#N/A,FALSE,"GuV9900-0399";"verwaltung",#N/A,FALSE,"GuV9900-0399"}</definedName>
    <definedName name="sfe_1" hidden="1">{"werbung",#N/A,FALSE,"GuV9900-0399";"betrieb",#N/A,FALSE,"GuV9900-0399";"personal",#N/A,FALSE,"GuV9900-0399";"tvg",#N/A,FALSE,"GuV9900-0399";"verwaltung",#N/A,FALSE,"GuV9900-0399"}</definedName>
    <definedName name="sfgf" localSheetId="8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sfgf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sfghsrfh" localSheetId="8" hidden="1">#REF!</definedName>
    <definedName name="sfghsrfh" hidden="1">#REF!</definedName>
    <definedName name="sfgjsf" localSheetId="8" hidden="1">{"Ergebnisbericht_UBA",#N/A,FALSE,"MB"}</definedName>
    <definedName name="sfgjsf" hidden="1">{"Ergebnisbericht_UBA",#N/A,FALSE,"MB"}</definedName>
    <definedName name="sfgjsf_1" localSheetId="8" hidden="1">{"Ergebnisbericht_UBA",#N/A,FALSE,"MB"}</definedName>
    <definedName name="sfgjsf_1" hidden="1">{"Ergebnisbericht_UBA",#N/A,FALSE,"MB"}</definedName>
    <definedName name="SFGQEQR" hidden="1">#REF!</definedName>
    <definedName name="sfgv" localSheetId="8" hidden="1">{"consolidated",#N/A,FALSE,"Sheet1";"cms",#N/A,FALSE,"Sheet1";"fse",#N/A,FALSE,"Sheet1"}</definedName>
    <definedName name="sfgv" hidden="1">{"consolidated",#N/A,FALSE,"Sheet1";"cms",#N/A,FALSE,"Sheet1";"fse",#N/A,FALSE,"Sheet1"}</definedName>
    <definedName name="sfgv_1" localSheetId="8" hidden="1">{"consolidated",#N/A,FALSE,"Sheet1";"cms",#N/A,FALSE,"Sheet1";"fse",#N/A,FALSE,"Sheet1"}</definedName>
    <definedName name="sfgv_1" hidden="1">{"consolidated",#N/A,FALSE,"Sheet1";"cms",#N/A,FALSE,"Sheet1";"fse",#N/A,FALSE,"Sheet1"}</definedName>
    <definedName name="sfht" localSheetId="8" hidden="1">{"Ergebnisbericht_UBA",#N/A,FALSE,"MB"}</definedName>
    <definedName name="sfht" hidden="1">{"Ergebnisbericht_UBA",#N/A,FALSE,"MB"}</definedName>
    <definedName name="sfht_1" localSheetId="8" hidden="1">{"Ergebnisbericht_UBA",#N/A,FALSE,"MB"}</definedName>
    <definedName name="sfht_1" hidden="1">{"Ergebnisbericht_UBA",#N/A,FALSE,"MB"}</definedName>
    <definedName name="sfhz" localSheetId="8" hidden="1">{"Eilbericht_UBA",#N/A,FALSE,"EB"}</definedName>
    <definedName name="sfhz" hidden="1">{"Eilbericht_UBA",#N/A,FALSE,"EB"}</definedName>
    <definedName name="sfhz_1" localSheetId="8" hidden="1">{"Eilbericht_UBA",#N/A,FALSE,"EB"}</definedName>
    <definedName name="sfhz_1" hidden="1">{"Eilbericht_UBA",#N/A,FALSE,"EB"}</definedName>
    <definedName name="sfj" localSheetId="8" hidden="1">{"Eilbericht_UBA",#N/A,FALSE,"EB"}</definedName>
    <definedName name="sfj" hidden="1">{"Eilbericht_UBA",#N/A,FALSE,"EB"}</definedName>
    <definedName name="sfj_1" localSheetId="8" hidden="1">{"Eilbericht_UBA",#N/A,FALSE,"EB"}</definedName>
    <definedName name="sfj_1" hidden="1">{"Eilbericht_UBA",#N/A,FALSE,"EB"}</definedName>
    <definedName name="sfjne" localSheetId="8" hidden="1">{"werbung",#N/A,FALSE,"GuV9900-0399";"betrieb",#N/A,FALSE,"GuV9900-0399";"personal",#N/A,FALSE,"GuV9900-0399";"tvg",#N/A,FALSE,"GuV9900-0399";"verwaltung",#N/A,FALSE,"GuV9900-0399"}</definedName>
    <definedName name="sfjne" hidden="1">{"werbung",#N/A,FALSE,"GuV9900-0399";"betrieb",#N/A,FALSE,"GuV9900-0399";"personal",#N/A,FALSE,"GuV9900-0399";"tvg",#N/A,FALSE,"GuV9900-0399";"verwaltung",#N/A,FALSE,"GuV9900-0399"}</definedName>
    <definedName name="sfjne_1" localSheetId="8" hidden="1">{"werbung",#N/A,FALSE,"GuV9900-0399";"betrieb",#N/A,FALSE,"GuV9900-0399";"personal",#N/A,FALSE,"GuV9900-0399";"tvg",#N/A,FALSE,"GuV9900-0399";"verwaltung",#N/A,FALSE,"GuV9900-0399"}</definedName>
    <definedName name="sfjne_1" hidden="1">{"werbung",#N/A,FALSE,"GuV9900-0399";"betrieb",#N/A,FALSE,"GuV9900-0399";"personal",#N/A,FALSE,"GuV9900-0399";"tvg",#N/A,FALSE,"GuV9900-0399";"verwaltung",#N/A,FALSE,"GuV9900-0399"}</definedName>
    <definedName name="sfjsgj" localSheetId="8" hidden="1">{"Eilbericht_UBA",#N/A,FALSE,"EB"}</definedName>
    <definedName name="sfjsgj" hidden="1">{"Eilbericht_UBA",#N/A,FALSE,"EB"}</definedName>
    <definedName name="sfjsgj_1" localSheetId="8" hidden="1">{"Eilbericht_UBA",#N/A,FALSE,"EB"}</definedName>
    <definedName name="sfjsgj_1" hidden="1">{"Eilbericht_UBA",#N/A,FALSE,"EB"}</definedName>
    <definedName name="sfju" localSheetId="8" hidden="1">{"Ergebnisbericht_UBA",#N/A,FALSE,"MB"}</definedName>
    <definedName name="sfju" hidden="1">{"Ergebnisbericht_UBA",#N/A,FALSE,"MB"}</definedName>
    <definedName name="sfju_1" localSheetId="8" hidden="1">{"Ergebnisbericht_UBA",#N/A,FALSE,"MB"}</definedName>
    <definedName name="sfju_1" hidden="1">{"Ergebnisbericht_UBA",#N/A,FALSE,"MB"}</definedName>
    <definedName name="sfngnf" localSheetId="8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sfngnf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sfngnf_1" localSheetId="8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sfngnf_1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sfq" localSheetId="8" hidden="1">{#N/A,#N/A,FALSE,"Calc";#N/A,#N/A,FALSE,"Sensitivity";#N/A,#N/A,FALSE,"LT Earn.Dil.";#N/A,#N/A,FALSE,"Dil. AVP"}</definedName>
    <definedName name="sfq" hidden="1">{#N/A,#N/A,FALSE,"Calc";#N/A,#N/A,FALSE,"Sensitivity";#N/A,#N/A,FALSE,"LT Earn.Dil.";#N/A,#N/A,FALSE,"Dil. AVP"}</definedName>
    <definedName name="sfq_1" localSheetId="8" hidden="1">{#N/A,#N/A,FALSE,"Calc";#N/A,#N/A,FALSE,"Sensitivity";#N/A,#N/A,FALSE,"LT Earn.Dil.";#N/A,#N/A,FALSE,"Dil. AVP"}</definedName>
    <definedName name="sfq_1" hidden="1">{#N/A,#N/A,FALSE,"Calc";#N/A,#N/A,FALSE,"Sensitivity";#N/A,#N/A,FALSE,"LT Earn.Dil.";#N/A,#N/A,FALSE,"Dil. AVP"}</definedName>
    <definedName name="sfsdfsdsdffsd" localSheetId="8" hidden="1">{#N/A,#N/A,FALSE,"CSS";#N/A,#N/A,FALSE,"CSS HQ";#N/A,#N/A,FALSE,"USCSS ROLLUP";#N/A,#N/A,FALSE,"INT'L ROLLUP";#N/A,#N/A,FALSE,"352-XXX";#N/A,#N/A,FALSE,"353-XXX";#N/A,#N/A,FALSE,"INTL MGMT";#N/A,#N/A,FALSE,"EMEA";#N/A,#N/A,FALSE,"ASIA PACIFIC";#N/A,#N/A,FALSE,"LATIN AMERICA";#N/A,#N/A,FALSE,"CANADA"}</definedName>
    <definedName name="sfsdfsdsdffsd" hidden="1">{#N/A,#N/A,FALSE,"CSS";#N/A,#N/A,FALSE,"CSS HQ";#N/A,#N/A,FALSE,"USCSS ROLLUP";#N/A,#N/A,FALSE,"INT'L ROLLUP";#N/A,#N/A,FALSE,"352-XXX";#N/A,#N/A,FALSE,"353-XXX";#N/A,#N/A,FALSE,"INTL MGMT";#N/A,#N/A,FALSE,"EMEA";#N/A,#N/A,FALSE,"ASIA PACIFIC";#N/A,#N/A,FALSE,"LATIN AMERICA";#N/A,#N/A,FALSE,"CANADA"}</definedName>
    <definedName name="sfsdfsf" localSheetId="8" hidden="1">{"First Page",#N/A,FALSE,"Surfactants LBO";"Second Page",#N/A,FALSE,"Surfactants LBO"}</definedName>
    <definedName name="sfsdfsf" hidden="1">{"First Page",#N/A,FALSE,"Surfactants LBO";"Second Page",#N/A,FALSE,"Surfactants LBO"}</definedName>
    <definedName name="sfsdfsf_1" localSheetId="8" hidden="1">{"First Page",#N/A,FALSE,"Surfactants LBO";"Second Page",#N/A,FALSE,"Surfactants LBO"}</definedName>
    <definedName name="sfsdfsf_1" hidden="1">{"First Page",#N/A,FALSE,"Surfactants LBO";"Second Page",#N/A,FALSE,"Surfactants LBO"}</definedName>
    <definedName name="sfsfsdf" localSheetId="8" hidden="1">{#N/A,#N/A,FALSE,"Calc";#N/A,#N/A,FALSE,"Sensitivity";#N/A,#N/A,FALSE,"LT Earn.Dil.";#N/A,#N/A,FALSE,"Dil. AVP"}</definedName>
    <definedName name="sfsfsdf" hidden="1">{#N/A,#N/A,FALSE,"Calc";#N/A,#N/A,FALSE,"Sensitivity";#N/A,#N/A,FALSE,"LT Earn.Dil.";#N/A,#N/A,FALSE,"Dil. AVP"}</definedName>
    <definedName name="sfsfsdf_1" localSheetId="8" hidden="1">{#N/A,#N/A,FALSE,"Calc";#N/A,#N/A,FALSE,"Sensitivity";#N/A,#N/A,FALSE,"LT Earn.Dil.";#N/A,#N/A,FALSE,"Dil. AVP"}</definedName>
    <definedName name="sfsfsdf_1" hidden="1">{#N/A,#N/A,FALSE,"Calc";#N/A,#N/A,FALSE,"Sensitivity";#N/A,#N/A,FALSE,"LT Earn.Dil.";#N/A,#N/A,FALSE,"Dil. AVP"}</definedName>
    <definedName name="sfsfsfsfsfd" localSheetId="8" hidden="1">{"away stand alones",#N/A,FALSE,"Target"}</definedName>
    <definedName name="sfsfsfsfsfd" hidden="1">{"away stand alones",#N/A,FALSE,"Target"}</definedName>
    <definedName name="sfsfsfsfsfd_1" localSheetId="8" hidden="1">{"away stand alones",#N/A,FALSE,"Target"}</definedName>
    <definedName name="sfsfsfsfsfd_1" hidden="1">{"away stand alones",#N/A,FALSE,"Target"}</definedName>
    <definedName name="sftu" localSheetId="8" hidden="1">{"Eilbericht_UBA",#N/A,FALSE,"EB"}</definedName>
    <definedName name="sftu" hidden="1">{"Eilbericht_UBA",#N/A,FALSE,"EB"}</definedName>
    <definedName name="sftu_1" localSheetId="8" hidden="1">{"Eilbericht_UBA",#N/A,FALSE,"EB"}</definedName>
    <definedName name="sftu_1" hidden="1">{"Eilbericht_UBA",#N/A,FALSE,"EB"}</definedName>
    <definedName name="sfuofspf" hidden="1">#N/A</definedName>
    <definedName name="sg" localSheetId="8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sg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sg_1" localSheetId="8" hidden="1">{"Eilbericht_UBA",#N/A,FALSE,"EB"}</definedName>
    <definedName name="sg_1" hidden="1">{"Eilbericht_UBA",#N/A,FALSE,"EB"}</definedName>
    <definedName name="sgdg" localSheetId="8" hidden="1">{#N/A,#N/A,FALSE,"Calc";#N/A,#N/A,FALSE,"Sensitivity";#N/A,#N/A,FALSE,"LT Earn.Dil.";#N/A,#N/A,FALSE,"Dil. AVP"}</definedName>
    <definedName name="sgdg" hidden="1">{#N/A,#N/A,FALSE,"Calc";#N/A,#N/A,FALSE,"Sensitivity";#N/A,#N/A,FALSE,"LT Earn.Dil.";#N/A,#N/A,FALSE,"Dil. AVP"}</definedName>
    <definedName name="sgdg_1" localSheetId="8" hidden="1">{#N/A,#N/A,FALSE,"Calc";#N/A,#N/A,FALSE,"Sensitivity";#N/A,#N/A,FALSE,"LT Earn.Dil.";#N/A,#N/A,FALSE,"Dil. AVP"}</definedName>
    <definedName name="sgdg_1" hidden="1">{#N/A,#N/A,FALSE,"Calc";#N/A,#N/A,FALSE,"Sensitivity";#N/A,#N/A,FALSE,"LT Earn.Dil.";#N/A,#N/A,FALSE,"Dil. AVP"}</definedName>
    <definedName name="sgdzhet" localSheetId="8" hidden="1">{"subs",#N/A,FALSE,"database ";"proportional",#N/A,FALSE,"database "}</definedName>
    <definedName name="sgdzhet" hidden="1">{"subs",#N/A,FALSE,"database ";"proportional",#N/A,FALSE,"database "}</definedName>
    <definedName name="sgf" localSheetId="8" hidden="1">{#N/A,#N/A,TRUE,"financial";#N/A,#N/A,TRUE,"plants"}</definedName>
    <definedName name="sgf" hidden="1">{#N/A,#N/A,TRUE,"financial";#N/A,#N/A,TRUE,"plants"}</definedName>
    <definedName name="sgf_1" localSheetId="8" hidden="1">{#N/A,#N/A,TRUE,"financial";#N/A,#N/A,TRUE,"plants"}</definedName>
    <definedName name="sgf_1" hidden="1">{#N/A,#N/A,TRUE,"financial";#N/A,#N/A,TRUE,"plants"}</definedName>
    <definedName name="sgh" localSheetId="8" hidden="1">{#N/A,#N/A,TRUE,"Pro Forma";#N/A,#N/A,TRUE,"PF_Bal";#N/A,#N/A,TRUE,"PF_INC";#N/A,#N/A,TRUE,"CBE";#N/A,#N/A,TRUE,"SWK"}</definedName>
    <definedName name="sgh" hidden="1">{#N/A,#N/A,TRUE,"Pro Forma";#N/A,#N/A,TRUE,"PF_Bal";#N/A,#N/A,TRUE,"PF_INC";#N/A,#N/A,TRUE,"CBE";#N/A,#N/A,TRUE,"SWK"}</definedName>
    <definedName name="sgh_1" localSheetId="8" hidden="1">{#N/A,#N/A,TRUE,"Pro Forma";#N/A,#N/A,TRUE,"PF_Bal";#N/A,#N/A,TRUE,"PF_INC";#N/A,#N/A,TRUE,"CBE";#N/A,#N/A,TRUE,"SWK"}</definedName>
    <definedName name="sgh_1" hidden="1">{#N/A,#N/A,TRUE,"Pro Forma";#N/A,#N/A,TRUE,"PF_Bal";#N/A,#N/A,TRUE,"PF_INC";#N/A,#N/A,TRUE,"CBE";#N/A,#N/A,TRUE,"SWK"}</definedName>
    <definedName name="sghh" localSheetId="8" hidden="1">{#N/A,#N/A,FALSE,"F94is";#N/A,#N/A,FALSE,"T94is";#N/A,#N/A,FALSE,"TOT94is";#N/A,#N/A,FALSE,"f94oh";#N/A,#N/A,FALSE,"Toh94";#N/A,#N/A,FALSE,"TOT94oh";#N/A,#N/A,FALSE,"SGA94";#N/A,#N/A,FALSE,"bs94";#N/A,#N/A,FALSE,"debt";#N/A,#N/A,FALSE,"f94proj";#N/A,#N/A,FALSE,"t94proj";#N/A,#N/A,FALSE,"tot94proj";#N/A,#N/A,FALSE,"f94ohproj";#N/A,#N/A,FALSE,"t94ohproj";#N/A,#N/A,FALSE,"tot94ohproj";#N/A,#N/A,FALSE,"projsga";#N/A,#N/A,FALSE,"projcf";#N/A,#N/A,FALSE,"Projline";#N/A,#N/A,FALSE,"bankline";#N/A,#N/A,FALSE,"Fast95is";#N/A,#N/A,FALSE,"tool95is";#N/A,#N/A,FALSE,"tot95is";#N/A,#N/A,FALSE,"tool950h";#N/A,#N/A,FALSE,"fas95oh";#N/A,#N/A,FALSE,"tot95oh";#N/A,#N/A,FALSE,"95sga"}</definedName>
    <definedName name="sghh" hidden="1">{#N/A,#N/A,FALSE,"F94is";#N/A,#N/A,FALSE,"T94is";#N/A,#N/A,FALSE,"TOT94is";#N/A,#N/A,FALSE,"f94oh";#N/A,#N/A,FALSE,"Toh94";#N/A,#N/A,FALSE,"TOT94oh";#N/A,#N/A,FALSE,"SGA94";#N/A,#N/A,FALSE,"bs94";#N/A,#N/A,FALSE,"debt";#N/A,#N/A,FALSE,"f94proj";#N/A,#N/A,FALSE,"t94proj";#N/A,#N/A,FALSE,"tot94proj";#N/A,#N/A,FALSE,"f94ohproj";#N/A,#N/A,FALSE,"t94ohproj";#N/A,#N/A,FALSE,"tot94ohproj";#N/A,#N/A,FALSE,"projsga";#N/A,#N/A,FALSE,"projcf";#N/A,#N/A,FALSE,"Projline";#N/A,#N/A,FALSE,"bankline";#N/A,#N/A,FALSE,"Fast95is";#N/A,#N/A,FALSE,"tool95is";#N/A,#N/A,FALSE,"tot95is";#N/A,#N/A,FALSE,"tool950h";#N/A,#N/A,FALSE,"fas95oh";#N/A,#N/A,FALSE,"tot95oh";#N/A,#N/A,FALSE,"95sga"}</definedName>
    <definedName name="sghh_1" localSheetId="8" hidden="1">{#N/A,#N/A,FALSE,"F94is";#N/A,#N/A,FALSE,"T94is";#N/A,#N/A,FALSE,"TOT94is";#N/A,#N/A,FALSE,"f94oh";#N/A,#N/A,FALSE,"Toh94";#N/A,#N/A,FALSE,"TOT94oh";#N/A,#N/A,FALSE,"SGA94";#N/A,#N/A,FALSE,"bs94";#N/A,#N/A,FALSE,"debt";#N/A,#N/A,FALSE,"f94proj";#N/A,#N/A,FALSE,"t94proj";#N/A,#N/A,FALSE,"tot94proj";#N/A,#N/A,FALSE,"f94ohproj";#N/A,#N/A,FALSE,"t94ohproj";#N/A,#N/A,FALSE,"tot94ohproj";#N/A,#N/A,FALSE,"projsga";#N/A,#N/A,FALSE,"projcf";#N/A,#N/A,FALSE,"Projline";#N/A,#N/A,FALSE,"bankline";#N/A,#N/A,FALSE,"Fast95is";#N/A,#N/A,FALSE,"tool95is";#N/A,#N/A,FALSE,"tot95is";#N/A,#N/A,FALSE,"tool950h";#N/A,#N/A,FALSE,"fas95oh";#N/A,#N/A,FALSE,"tot95oh";#N/A,#N/A,FALSE,"95sga"}</definedName>
    <definedName name="sghh_1" hidden="1">{#N/A,#N/A,FALSE,"F94is";#N/A,#N/A,FALSE,"T94is";#N/A,#N/A,FALSE,"TOT94is";#N/A,#N/A,FALSE,"f94oh";#N/A,#N/A,FALSE,"Toh94";#N/A,#N/A,FALSE,"TOT94oh";#N/A,#N/A,FALSE,"SGA94";#N/A,#N/A,FALSE,"bs94";#N/A,#N/A,FALSE,"debt";#N/A,#N/A,FALSE,"f94proj";#N/A,#N/A,FALSE,"t94proj";#N/A,#N/A,FALSE,"tot94proj";#N/A,#N/A,FALSE,"f94ohproj";#N/A,#N/A,FALSE,"t94ohproj";#N/A,#N/A,FALSE,"tot94ohproj";#N/A,#N/A,FALSE,"projsga";#N/A,#N/A,FALSE,"projcf";#N/A,#N/A,FALSE,"Projline";#N/A,#N/A,FALSE,"bankline";#N/A,#N/A,FALSE,"Fast95is";#N/A,#N/A,FALSE,"tool95is";#N/A,#N/A,FALSE,"tot95is";#N/A,#N/A,FALSE,"tool950h";#N/A,#N/A,FALSE,"fas95oh";#N/A,#N/A,FALSE,"tot95oh";#N/A,#N/A,FALSE,"95sga"}</definedName>
    <definedName name="sghjs" localSheetId="8" hidden="1">{"Eilbericht_UBA",#N/A,FALSE,"EB"}</definedName>
    <definedName name="sghjs" hidden="1">{"Eilbericht_UBA",#N/A,FALSE,"EB"}</definedName>
    <definedName name="sghjs_1" localSheetId="8" hidden="1">{"Eilbericht_UBA",#N/A,FALSE,"EB"}</definedName>
    <definedName name="sghjs_1" hidden="1">{"Eilbericht_UBA",#N/A,FALSE,"EB"}</definedName>
    <definedName name="sgjsj" localSheetId="8" hidden="1">{"Eilbericht_UBA",#N/A,FALSE,"EB"}</definedName>
    <definedName name="sgjsj" hidden="1">{"Eilbericht_UBA",#N/A,FALSE,"EB"}</definedName>
    <definedName name="sgjsj_1" localSheetId="8" hidden="1">{"Eilbericht_UBA",#N/A,FALSE,"EB"}</definedName>
    <definedName name="sgjsj_1" hidden="1">{"Eilbericht_UBA",#N/A,FALSE,"EB"}</definedName>
    <definedName name="sgsx" localSheetId="8" hidden="1">{"consolidated",#N/A,FALSE,"Sheet1";"cms",#N/A,FALSE,"Sheet1";"fse",#N/A,FALSE,"Sheet1"}</definedName>
    <definedName name="sgsx" hidden="1">{"consolidated",#N/A,FALSE,"Sheet1";"cms",#N/A,FALSE,"Sheet1";"fse",#N/A,FALSE,"Sheet1"}</definedName>
    <definedName name="sgsx_1" localSheetId="8" hidden="1">{"consolidated",#N/A,FALSE,"Sheet1";"cms",#N/A,FALSE,"Sheet1";"fse",#N/A,FALSE,"Sheet1"}</definedName>
    <definedName name="sgsx_1" hidden="1">{"consolidated",#N/A,FALSE,"Sheet1";"cms",#N/A,FALSE,"Sheet1";"fse",#N/A,FALSE,"Sheet1"}</definedName>
    <definedName name="SGT" localSheetId="8" hidden="1">{#N/A,#N/A,FALSE,"Datos";#N/A,#N/A,FALSE,"PartCap";#N/A,#N/A,FALSE,"Gtos-II";#N/A,#N/A,FALSE,"Inm.Mat1";#N/A,#N/A,FALSE,"Inm.Mat2";#N/A,#N/A,FALSE,"Inm.Fin";#N/A,#N/A,FALSE,"DeudAcre";#N/A,#N/A,FALSE,"Exist.Prov";#N/A,#N/A,FALSE,"Patrim.";#N/A,#N/A,FALSE,"IaD ";#N/A,#N/A,FALSE,"IptoSdes1";#N/A,#N/A,FALSE,"IptoSdes2";#N/A,#N/A,FALSE,"Ajust.IM";#N/A,#N/A,FALSE,"Ajust.Exi";#N/A,#N/A,FALSE,"Ajust.Div";#N/A,#N/A,FALSE,"Ajust.IF";#N/A,#N/A,FALSE,"Compvta";#N/A,#N/A,FALSE,"Avales";#N/A,#N/A,FALSE,"Conting.";#N/A,#N/A,FALSE,"Otra infor.1";#N/A,#N/A,FALSE,"Otra infor.2"}</definedName>
    <definedName name="SGT" hidden="1">{#N/A,#N/A,FALSE,"Datos";#N/A,#N/A,FALSE,"PartCap";#N/A,#N/A,FALSE,"Gtos-II";#N/A,#N/A,FALSE,"Inm.Mat1";#N/A,#N/A,FALSE,"Inm.Mat2";#N/A,#N/A,FALSE,"Inm.Fin";#N/A,#N/A,FALSE,"DeudAcre";#N/A,#N/A,FALSE,"Exist.Prov";#N/A,#N/A,FALSE,"Patrim.";#N/A,#N/A,FALSE,"IaD ";#N/A,#N/A,FALSE,"IptoSdes1";#N/A,#N/A,FALSE,"IptoSdes2";#N/A,#N/A,FALSE,"Ajust.IM";#N/A,#N/A,FALSE,"Ajust.Exi";#N/A,#N/A,FALSE,"Ajust.Div";#N/A,#N/A,FALSE,"Ajust.IF";#N/A,#N/A,FALSE,"Compvta";#N/A,#N/A,FALSE,"Avales";#N/A,#N/A,FALSE,"Conting.";#N/A,#N/A,FALSE,"Otra infor.1";#N/A,#N/A,FALSE,"Otra infor.2"}</definedName>
    <definedName name="shdshs" localSheetId="8" hidden="1">{#N/A,#N/A,FALSE,"Customer Ops";#N/A,#N/A,FALSE,"Field Ops";#N/A,#N/A,FALSE,"Ops Management";#N/A,#N/A,FALSE,"Contact Centre";#N/A,#N/A,FALSE,"Credit Services";#N/A,#N/A,FALSE,"Horizon"}</definedName>
    <definedName name="shdshs" hidden="1">{#N/A,#N/A,FALSE,"Customer Ops";#N/A,#N/A,FALSE,"Field Ops";#N/A,#N/A,FALSE,"Ops Management";#N/A,#N/A,FALSE,"Contact Centre";#N/A,#N/A,FALSE,"Credit Services";#N/A,#N/A,FALSE,"Horizon"}</definedName>
    <definedName name="sheet" localSheetId="8" hidden="1">{"Assumptions1",#N/A,FALSE,"Assumptions";"MergerPlans1","20yearamort",FALSE,"MergerPlans";"MergerPlans1","40yearamort",FALSE,"MergerPlans";"MergerPlans2",#N/A,FALSE,"MergerPlans";"inputs",#N/A,FALSE,"MergerPlans"}</definedName>
    <definedName name="sheet" hidden="1">{"Assumptions1",#N/A,FALSE,"Assumptions";"MergerPlans1","20yearamort",FALSE,"MergerPlans";"MergerPlans1","40yearamort",FALSE,"MergerPlans";"MergerPlans2",#N/A,FALSE,"MergerPlans";"inputs",#N/A,FALSE,"MergerPlans"}</definedName>
    <definedName name="SHEET1" hidden="1">#REF!</definedName>
    <definedName name="Sheet4" localSheetId="8" hidden="1">{#N/A,#N/A,FALSE,"BS"}</definedName>
    <definedName name="Sheet4" hidden="1">{#N/A,#N/A,FALSE,"BS"}</definedName>
    <definedName name="shelf" localSheetId="8" hidden="1">{#N/A,#N/A,FALSE,"CHANGES";#N/A,#N/A,FALSE,"PROD SUMMARY";#N/A,#N/A,FALSE,"1995 PO SUM";#N/A,#N/A,FALSE,"1995 GEOG SUM";#N/A,#N/A,FALSE,"1996 PO SUM";#N/A,#N/A,FALSE,"1996 GEOG SUM"}</definedName>
    <definedName name="shelf" hidden="1">{#N/A,#N/A,FALSE,"CHANGES";#N/A,#N/A,FALSE,"PROD SUMMARY";#N/A,#N/A,FALSE,"1995 PO SUM";#N/A,#N/A,FALSE,"1995 GEOG SUM";#N/A,#N/A,FALSE,"1996 PO SUM";#N/A,#N/A,FALSE,"1996 GEOG SUM"}</definedName>
    <definedName name="shit" localSheetId="8" hidden="1">{#N/A,#N/A,FALSE,"Aging Summary";#N/A,#N/A,FALSE,"Ratio Analysis";#N/A,#N/A,FALSE,"Test 120 Day Accts";#N/A,#N/A,FALSE,"Tickmarks"}</definedName>
    <definedName name="shit" hidden="1">{#N/A,#N/A,FALSE,"Aging Summary";#N/A,#N/A,FALSE,"Ratio Analysis";#N/A,#N/A,FALSE,"Test 120 Day Accts";#N/A,#N/A,FALSE,"Tickmarks"}</definedName>
    <definedName name="shit1" localSheetId="8" hidden="1">{#N/A,#N/A,FALSE,"Aging Summary";#N/A,#N/A,FALSE,"Ratio Analysis";#N/A,#N/A,FALSE,"Test 120 Day Accts";#N/A,#N/A,FALSE,"Tickmarks"}</definedName>
    <definedName name="shit1" hidden="1">{#N/A,#N/A,FALSE,"Aging Summary";#N/A,#N/A,FALSE,"Ratio Analysis";#N/A,#N/A,FALSE,"Test 120 Day Accts";#N/A,#N/A,FALSE,"Tickmarks"}</definedName>
    <definedName name="shitt" localSheetId="8" hidden="1">{#N/A,#N/A,FALSE,"Aging Summary";#N/A,#N/A,FALSE,"Ratio Analysis";#N/A,#N/A,FALSE,"Test 120 Day Accts";#N/A,#N/A,FALSE,"Tickmarks"}</definedName>
    <definedName name="shitt" hidden="1">{#N/A,#N/A,FALSE,"Aging Summary";#N/A,#N/A,FALSE,"Ratio Analysis";#N/A,#N/A,FALSE,"Test 120 Day Accts";#N/A,#N/A,FALSE,"Tickmarks"}</definedName>
    <definedName name="shortreportwhy" localSheetId="8" hidden="1">{#N/A,#N/A,TRUE,"Cover";#N/A,#N/A,TRUE,"Header (eu)";#N/A,#N/A,TRUE,"Region Charts";#N/A,#N/A,TRUE,"T&amp;O By Region";#N/A,#N/A,TRUE,"AD Report"}</definedName>
    <definedName name="shortreportwhy" hidden="1">{#N/A,#N/A,TRUE,"Cover";#N/A,#N/A,TRUE,"Header (eu)";#N/A,#N/A,TRUE,"Region Charts";#N/A,#N/A,TRUE,"T&amp;O By Region";#N/A,#N/A,TRUE,"AD Report"}</definedName>
    <definedName name="shortreportwhy_1" localSheetId="8" hidden="1">{#N/A,#N/A,TRUE,"Cover";#N/A,#N/A,TRUE,"Header (eu)";#N/A,#N/A,TRUE,"Region Charts";#N/A,#N/A,TRUE,"T&amp;O By Region";#N/A,#N/A,TRUE,"AD Report"}</definedName>
    <definedName name="shortreportwhy_1" hidden="1">{#N/A,#N/A,TRUE,"Cover";#N/A,#N/A,TRUE,"Header (eu)";#N/A,#N/A,TRUE,"Region Charts";#N/A,#N/A,TRUE,"T&amp;O By Region";#N/A,#N/A,TRUE,"AD Report"}</definedName>
    <definedName name="SID" hidden="1">"Cpavan"</definedName>
    <definedName name="SIG_AC_firstLine" hidden="1">#N/A</definedName>
    <definedName name="SIG_AC_IsControlOK" hidden="1">#N/A</definedName>
    <definedName name="SIG_AC_lastLine" hidden="1">#N/A</definedName>
    <definedName name="SIG_CAC11_firstLine" localSheetId="8" hidden="1">#REF!</definedName>
    <definedName name="SIG_CAC11_firstLine" hidden="1">#REF!</definedName>
    <definedName name="SIG_CAC11_IsControlOK" localSheetId="8" hidden="1">#REF!</definedName>
    <definedName name="SIG_CAC11_IsControlOK" hidden="1">#REF!</definedName>
    <definedName name="SIG_CAC11_lastLine" localSheetId="8" hidden="1">#REF!</definedName>
    <definedName name="SIG_CAC11_lastLine" hidden="1">#REF!</definedName>
    <definedName name="SIG_CAC11_TITLECOL" hidden="1">#REF!</definedName>
    <definedName name="SIG_CAC11_TITLELINE" hidden="1">#REF!</definedName>
    <definedName name="SIG_CAC12_firstLine" hidden="1">#REF!</definedName>
    <definedName name="SIG_CAC12_IsControlOK" hidden="1">#REF!</definedName>
    <definedName name="SIG_CAC12_lastLine" hidden="1">#REF!</definedName>
    <definedName name="SIG_CAC12_TITLECOL" hidden="1">#REF!</definedName>
    <definedName name="SIG_CAC12_TITLELINE" hidden="1">#REF!</definedName>
    <definedName name="SIG_CAC15_firstLine" hidden="1">#REF!</definedName>
    <definedName name="SIG_CAC15_IsControlOK" hidden="1">#REF!</definedName>
    <definedName name="SIG_CAC15_lastLine" hidden="1">#REF!</definedName>
    <definedName name="SIG_CAC15_TITLECOL" hidden="1">#REF!</definedName>
    <definedName name="SIG_CAC15_TITLELINE" hidden="1">#REF!</definedName>
    <definedName name="SIG_CLIENTES_firstLine" hidden="1">#REF!</definedName>
    <definedName name="SIG_CLIENTES_IsControlOK" hidden="1">#REF!</definedName>
    <definedName name="SIG_CLIENTES_lastLine" hidden="1">#REF!</definedName>
    <definedName name="SIG_CLIENTES_TITLELINE" hidden="1">#REF!</definedName>
    <definedName name="SIG_CONTROLE" localSheetId="7" hidden="1">#REF!</definedName>
    <definedName name="SIG_CONTROLE" localSheetId="8" hidden="1">#REF!</definedName>
    <definedName name="SIG_CONTROLE" hidden="1">#REF!</definedName>
    <definedName name="SIG_DERNIERECOLONNE" localSheetId="7" hidden="1">#REF!</definedName>
    <definedName name="SIG_DERNIERECOLONNE" hidden="1">#REF!</definedName>
    <definedName name="SIG_DEUDORES_firstLine" hidden="1">#REF!</definedName>
    <definedName name="SIG_DEUDORES_IsControlOK" hidden="1">#REF!</definedName>
    <definedName name="SIG_DEUDORES_lastLine" hidden="1">#REF!</definedName>
    <definedName name="SIG_DEUDORES_TITLELINE" hidden="1">#REF!</definedName>
    <definedName name="SIG_EFFECTV_firstLine" hidden="1">#REF!</definedName>
    <definedName name="SIG_EFFECTV_H001" hidden="1">#REF!</definedName>
    <definedName name="SIG_EFFECTV_H002" hidden="1">#REF!</definedName>
    <definedName name="SIG_EFFECTV_H003" hidden="1">#REF!</definedName>
    <definedName name="SIG_EFFECTV_H004" hidden="1">#REF!</definedName>
    <definedName name="SIG_EFFECTV_H005" hidden="1">#REF!</definedName>
    <definedName name="SIG_EFFECTV_H006" hidden="1">#REF!</definedName>
    <definedName name="SIG_EFFECTV_H007" hidden="1">#REF!</definedName>
    <definedName name="SIG_EFFECTV_H008" hidden="1">#REF!</definedName>
    <definedName name="SIG_EFFECTV_H009" hidden="1">#REF!</definedName>
    <definedName name="SIG_EFFECTV_H010" hidden="1">#REF!</definedName>
    <definedName name="SIG_EFFECTV_H011" hidden="1">#REF!</definedName>
    <definedName name="SIG_EFFECTV_H012" hidden="1">#REF!</definedName>
    <definedName name="SIG_EFFECTV_IsControlOK" hidden="1">#REF!</definedName>
    <definedName name="SIG_EFFECTV_lastLine" hidden="1">#REF!</definedName>
    <definedName name="SIG_EFFECTV_TITLELINE" hidden="1">#REF!</definedName>
    <definedName name="SIG_ENTCDTO_firstLine" hidden="1">#REF!</definedName>
    <definedName name="SIG_ENTCDTO_IsControlOK" hidden="1">#REF!</definedName>
    <definedName name="SIG_ENTCDTO_lastLine" hidden="1">#REF!</definedName>
    <definedName name="SIG_ENTCDTO_TITLELINE" hidden="1">#REF!</definedName>
    <definedName name="SIG_EXISTENC_firstLine" hidden="1">#REF!</definedName>
    <definedName name="SIG_EXISTENC_IsControlOK" hidden="1">#REF!</definedName>
    <definedName name="SIG_EXISTENC_lastLine" hidden="1">#REF!</definedName>
    <definedName name="SIG_EXISTENC_TITLELINE" hidden="1">#REF!</definedName>
    <definedName name="SIG_FONCOM_firstLine" localSheetId="8" hidden="1">#REF!</definedName>
    <definedName name="SIG_FONCOM_firstLine" hidden="1">#REF!</definedName>
    <definedName name="SIG_FONCOM_IsControlOK" localSheetId="8" hidden="1">#REF!</definedName>
    <definedName name="SIG_FONCOM_IsControlOK" hidden="1">#REF!</definedName>
    <definedName name="SIG_FONCOM_lastLine" localSheetId="8" hidden="1">#REF!</definedName>
    <definedName name="SIG_FONCOM_lastLine" hidden="1">#REF!</definedName>
    <definedName name="SIG_FONCOM_TITLELINE" hidden="1">#REF!</definedName>
    <definedName name="SIG_FONCOMII_firstLine" hidden="1">#REF!</definedName>
    <definedName name="SIG_FONCOMII_IsControlOK" hidden="1">#REF!</definedName>
    <definedName name="SIG_FONCOMII_lastLine" hidden="1">#REF!</definedName>
    <definedName name="SIG_FONCOMII_TITLELINE" hidden="1">#REF!</definedName>
    <definedName name="SIG_GASTEST_firstLine" hidden="1">#REF!</definedName>
    <definedName name="SIG_GASTEST_IsControlOK" hidden="1">#REF!</definedName>
    <definedName name="SIG_GASTEST_lastLine" hidden="1">#REF!</definedName>
    <definedName name="SIG_GASTEST_TITLELINE" hidden="1">#REF!</definedName>
    <definedName name="SIG_INFINTEM_firstLine" hidden="1">#REF!</definedName>
    <definedName name="SIG_INFINTEM_IsControlOK" hidden="1">#REF!</definedName>
    <definedName name="SIG_INFINTEM_lastLine" hidden="1">#REF!</definedName>
    <definedName name="SIG_INFINTEM_TITLELINE" hidden="1">#REF!</definedName>
    <definedName name="SIG_INGDISTR_firstLine" hidden="1">#REF!</definedName>
    <definedName name="SIG_INGDISTR_IsControlOK" hidden="1">#REF!</definedName>
    <definedName name="SIG_INGDISTR_lastLine" hidden="1">#REF!</definedName>
    <definedName name="SIG_INGDISTR_TITLELINE" hidden="1">#REF!</definedName>
    <definedName name="SIG_INMFINAN_firstLine" hidden="1">#REF!</definedName>
    <definedName name="SIG_INMFINAN_IsControlOK" hidden="1">#REF!</definedName>
    <definedName name="SIG_INMFINAN_lastLine" hidden="1">#REF!</definedName>
    <definedName name="SIG_INMFINAN_TITLELINE" hidden="1">#REF!</definedName>
    <definedName name="SIG_INMINMAT_firstLine" hidden="1">#REF!</definedName>
    <definedName name="SIG_INMINMAT_IsControlOK" hidden="1">#REF!</definedName>
    <definedName name="SIG_INMINMAT_lastLine" hidden="1">#REF!</definedName>
    <definedName name="SIG_INMINMAT_TITLELINE" hidden="1">#REF!</definedName>
    <definedName name="SIG_INMMATER_firstLine" hidden="1">#REF!</definedName>
    <definedName name="SIG_INMMATER_IsControlOK" hidden="1">#REF!</definedName>
    <definedName name="SIG_INMMATER_lastLine" hidden="1">#REF!</definedName>
    <definedName name="SIG_INMMATER_TITLELINE" hidden="1">#REF!</definedName>
    <definedName name="SIG_INMPROYE_firstLine" localSheetId="8" hidden="1">#REF!</definedName>
    <definedName name="SIG_INMPROYE_firstLine" hidden="1">#REF!</definedName>
    <definedName name="SIG_INMPROYE_IsControlOK" localSheetId="8" hidden="1">#REF!</definedName>
    <definedName name="SIG_INMPROYE_IsControlOK" hidden="1">#REF!</definedName>
    <definedName name="SIG_INMPROYE_lastLine" localSheetId="8" hidden="1">#REF!</definedName>
    <definedName name="SIG_INMPROYE_lastLine" hidden="1">#REF!</definedName>
    <definedName name="SIG_INMPROYE_TITLELINE" localSheetId="8" hidden="1">#REF!</definedName>
    <definedName name="SIG_INMPROYE_TITLELINE" hidden="1">#REF!</definedName>
    <definedName name="SIG_OTRACREE_firstLine" hidden="1">#REF!</definedName>
    <definedName name="SIG_OTRACREE_IsControlOK" hidden="1">#REF!</definedName>
    <definedName name="SIG_OTRACREE_lastLine" hidden="1">#REF!</definedName>
    <definedName name="SIG_OTRACREE_TITLELINE" hidden="1">#REF!</definedName>
    <definedName name="SIG_PROOPTRA_firstLine" hidden="1">#REF!</definedName>
    <definedName name="SIG_PROOPTRA_IsControlOK" hidden="1">#REF!</definedName>
    <definedName name="SIG_PROOPTRA_lastLine" hidden="1">#REF!</definedName>
    <definedName name="SIG_PROOPTRA_TITLELINE" hidden="1">#REF!</definedName>
    <definedName name="SIG_PROVRIES_firstLine" hidden="1">#REF!</definedName>
    <definedName name="SIG_PROVRIES_IsControlOK" hidden="1">#REF!</definedName>
    <definedName name="SIG_PROVRIES_lastLine" hidden="1">#REF!</definedName>
    <definedName name="SIG_PROVRIES_TITLELINE" hidden="1">#REF!</definedName>
    <definedName name="SIG_PTBD_CAC11" hidden="1">#REF!</definedName>
    <definedName name="SIG_PTBD_CAC12" hidden="1">#REF!</definedName>
    <definedName name="SIG_PTBD_CAC15" hidden="1">#REF!</definedName>
    <definedName name="SIG_PTBD_CLIENTES" hidden="1">#REF!</definedName>
    <definedName name="SIG_PTBD_DEUDORES" hidden="1">#REF!</definedName>
    <definedName name="SIG_PTBD_EFFECTV" hidden="1">#REF!</definedName>
    <definedName name="SIG_PTBD_ENTCDTO" hidden="1">#REF!</definedName>
    <definedName name="SIG_PTBD_EXISTENC" hidden="1">#REF!</definedName>
    <definedName name="SIG_PTBD_FONCOM" hidden="1">#REF!</definedName>
    <definedName name="SIG_PTBD_FONCOMII" hidden="1">#REF!</definedName>
    <definedName name="SIG_PTBD_FONPROPI" localSheetId="8" hidden="1">#REF!</definedName>
    <definedName name="SIG_PTBD_FONPROPI" hidden="1">#REF!</definedName>
    <definedName name="SIG_PTBD_GASTEST" hidden="1">#REF!</definedName>
    <definedName name="SIG_PTBD_INFINTEM" hidden="1">#REF!</definedName>
    <definedName name="SIG_PTBD_INGDISTR" hidden="1">#REF!</definedName>
    <definedName name="SIG_PTBD_INMFINAN" hidden="1">#REF!</definedName>
    <definedName name="SIG_PTBD_INMINMAT" hidden="1">#REF!</definedName>
    <definedName name="SIG_PTBD_INMMATER" hidden="1">#REF!</definedName>
    <definedName name="SIG_PTBD_INMPROYE" localSheetId="8" hidden="1">#REF!</definedName>
    <definedName name="SIG_PTBD_INMPROYE" hidden="1">#REF!</definedName>
    <definedName name="SIG_PTBD_OTRACREE" hidden="1">#REF!</definedName>
    <definedName name="SIG_PTBD_PROOPTRA" hidden="1">#REF!</definedName>
    <definedName name="SIG_PTBD_PROVRIES" hidden="1">#REF!</definedName>
    <definedName name="SIG_PTBD_SOCEXT" hidden="1">#REF!</definedName>
    <definedName name="SIG_PTBD_TITEQUI2" hidden="1">#REF!</definedName>
    <definedName name="SIG_PTBD_TITEQUIV" localSheetId="8" hidden="1">#REF!</definedName>
    <definedName name="SIG_PTBD_TITEQUIV" hidden="1">#REF!</definedName>
    <definedName name="SIG_PTHG_CAC11" hidden="1">#REF!</definedName>
    <definedName name="SIG_PTHG_CAC12" hidden="1">#REF!</definedName>
    <definedName name="SIG_PTHG_CAC15" hidden="1">#REF!</definedName>
    <definedName name="SIG_PTHG_CLIENTES" hidden="1">#REF!</definedName>
    <definedName name="SIG_PTHG_DEUDORES" hidden="1">#REF!</definedName>
    <definedName name="SIG_PTHG_EFFECTV" hidden="1">#REF!</definedName>
    <definedName name="SIG_PTHG_ENTCDTO" hidden="1">#REF!</definedName>
    <definedName name="SIG_PTHG_EXISTENC" hidden="1">#REF!</definedName>
    <definedName name="SIG_PTHG_FONCOM" hidden="1">#REF!</definedName>
    <definedName name="SIG_PTHG_FONCOMII" hidden="1">#REF!</definedName>
    <definedName name="SIG_PTHG_GASTEST" hidden="1">#REF!</definedName>
    <definedName name="SIG_PTHG_INFINTEM" hidden="1">#REF!</definedName>
    <definedName name="SIG_PTHG_INGDISTR" hidden="1">#REF!</definedName>
    <definedName name="SIG_PTHG_INMFINAN" hidden="1">#REF!</definedName>
    <definedName name="SIG_PTHG_INMINMAT" hidden="1">#REF!</definedName>
    <definedName name="SIG_PTHG_INMMATER" hidden="1">#REF!</definedName>
    <definedName name="SIG_PTHG_INMPROYE" localSheetId="8" hidden="1">#REF!</definedName>
    <definedName name="SIG_PTHG_INMPROYE" hidden="1">#REF!</definedName>
    <definedName name="SIG_PTHG_OTRACREE" hidden="1">#REF!</definedName>
    <definedName name="SIG_PTHG_PROOPTRA" hidden="1">#REF!</definedName>
    <definedName name="SIG_PTHG_PROVRIES" hidden="1">#REF!</definedName>
    <definedName name="SIG_PTHG_SOCEXT" hidden="1">#REF!</definedName>
    <definedName name="SIG_PTHG_TITEQUI2" hidden="1">#REF!</definedName>
    <definedName name="SIG_PTHG_TITEQUIV" localSheetId="8" hidden="1">#REF!</definedName>
    <definedName name="SIG_PTHG_TITEQUIV" hidden="1">#REF!</definedName>
    <definedName name="SIG_SOCEXT_firstLine" hidden="1">#REF!</definedName>
    <definedName name="SIG_SOCEXT_IsControlOK" hidden="1">#REF!</definedName>
    <definedName name="SIG_SOCEXT_lastLine" hidden="1">#REF!</definedName>
    <definedName name="SIG_SOCEXT_TITLELINE" hidden="1">#REF!</definedName>
    <definedName name="SIG_TITEQUI2_firstLine" hidden="1">#REF!</definedName>
    <definedName name="SIG_TITEQUI2_IsControlOK" hidden="1">#REF!</definedName>
    <definedName name="SIG_TITEQUI2_lastLine" hidden="1">#REF!</definedName>
    <definedName name="SIG_TITEQUI2_TITLELINE" hidden="1">#REF!</definedName>
    <definedName name="SIG_TITEQUIV_firstLine" hidden="1">#REF!</definedName>
    <definedName name="SIG_TITEQUIV_IsControlOK" hidden="1">#REF!</definedName>
    <definedName name="SIG_TITEQUIV_lastLine" hidden="1">#REF!</definedName>
    <definedName name="SIG_TITEQUIV_TITLELINE" hidden="1">#REF!</definedName>
    <definedName name="SIO130RepQ_TOTALE" hidden="1">#REF!</definedName>
    <definedName name="sj" localSheetId="8" hidden="1">{"Ergebnisbericht_UBA",#N/A,FALSE,"MB"}</definedName>
    <definedName name="sj" hidden="1">{"Ergebnisbericht_UBA",#N/A,FALSE,"MB"}</definedName>
    <definedName name="sj_1" localSheetId="8" hidden="1">{"Ergebnisbericht_UBA",#N/A,FALSE,"MB"}</definedName>
    <definedName name="sj_1" hidden="1">{"Ergebnisbericht_UBA",#N/A,FALSE,"MB"}</definedName>
    <definedName name="sjdsidjijd" localSheetId="8" hidden="1">{"Vend Volume 96",#N/A,FALSE,"Vendas Volume 1996"}</definedName>
    <definedName name="sjdsidjijd" hidden="1">{"Vend Volume 96",#N/A,FALSE,"Vendas Volume 1996"}</definedName>
    <definedName name="sjg" localSheetId="8" hidden="1">{"Ergebnisbericht_UBA",#N/A,FALSE,"MB"}</definedName>
    <definedName name="sjg" hidden="1">{"Ergebnisbericht_UBA",#N/A,FALSE,"MB"}</definedName>
    <definedName name="sjg_1" localSheetId="8" hidden="1">{"Ergebnisbericht_UBA",#N/A,FALSE,"MB"}</definedName>
    <definedName name="sjg_1" hidden="1">{"Ergebnisbericht_UBA",#N/A,FALSE,"MB"}</definedName>
    <definedName name="sjh" localSheetId="8" hidden="1">{"Eilbericht_UBA",#N/A,FALSE,"EB"}</definedName>
    <definedName name="sjh" hidden="1">{"Eilbericht_UBA",#N/A,FALSE,"EB"}</definedName>
    <definedName name="sjh_1" localSheetId="8" hidden="1">{"Eilbericht_UBA",#N/A,FALSE,"EB"}</definedName>
    <definedName name="sjh_1" hidden="1">{"Eilbericht_UBA",#N/A,FALSE,"EB"}</definedName>
    <definedName name="sjsfj" localSheetId="8" hidden="1">{"Eilbericht_UBA",#N/A,FALSE,"EB"}</definedName>
    <definedName name="sjsfj" hidden="1">{"Eilbericht_UBA",#N/A,FALSE,"EB"}</definedName>
    <definedName name="sjsfj_1" localSheetId="8" hidden="1">{"Eilbericht_UBA",#N/A,FALSE,"EB"}</definedName>
    <definedName name="sjsfj_1" hidden="1">{"Eilbericht_UBA",#N/A,FALSE,"EB"}</definedName>
    <definedName name="sk" hidden="1">"1, 3, 1, False, 2, False, False, , 0, False, True, 3, 2"</definedName>
    <definedName name="skjfe" localSheetId="8" hidden="1">{"werbung",#N/A,FALSE,"GuV9900-0399";"betrieb",#N/A,FALSE,"GuV9900-0399";"personal",#N/A,FALSE,"GuV9900-0399";"tvg",#N/A,FALSE,"GuV9900-0399";"verwaltung",#N/A,FALSE,"GuV9900-0399"}</definedName>
    <definedName name="skjfe" hidden="1">{"werbung",#N/A,FALSE,"GuV9900-0399";"betrieb",#N/A,FALSE,"GuV9900-0399";"personal",#N/A,FALSE,"GuV9900-0399";"tvg",#N/A,FALSE,"GuV9900-0399";"verwaltung",#N/A,FALSE,"GuV9900-0399"}</definedName>
    <definedName name="skjfe_1" localSheetId="8" hidden="1">{"werbung",#N/A,FALSE,"GuV9900-0399";"betrieb",#N/A,FALSE,"GuV9900-0399";"personal",#N/A,FALSE,"GuV9900-0399";"tvg",#N/A,FALSE,"GuV9900-0399";"verwaltung",#N/A,FALSE,"GuV9900-0399"}</definedName>
    <definedName name="skjfe_1" hidden="1">{"werbung",#N/A,FALSE,"GuV9900-0399";"betrieb",#N/A,FALSE,"GuV9900-0399";"personal",#N/A,FALSE,"GuV9900-0399";"tvg",#N/A,FALSE,"GuV9900-0399";"verwaltung",#N/A,FALSE,"GuV9900-0399"}</definedName>
    <definedName name="skjfiej" localSheetId="8" hidden="1">{"werbung",#N/A,FALSE,"GuV9900-0399";"betrieb",#N/A,FALSE,"GuV9900-0399";"personal",#N/A,FALSE,"GuV9900-0399";"tvg",#N/A,FALSE,"GuV9900-0399";"verwaltung",#N/A,FALSE,"GuV9900-0399"}</definedName>
    <definedName name="skjfiej" hidden="1">{"werbung",#N/A,FALSE,"GuV9900-0399";"betrieb",#N/A,FALSE,"GuV9900-0399";"personal",#N/A,FALSE,"GuV9900-0399";"tvg",#N/A,FALSE,"GuV9900-0399";"verwaltung",#N/A,FALSE,"GuV9900-0399"}</definedName>
    <definedName name="skjfiej_1" localSheetId="8" hidden="1">{"werbung",#N/A,FALSE,"GuV9900-0399";"betrieb",#N/A,FALSE,"GuV9900-0399";"personal",#N/A,FALSE,"GuV9900-0399";"tvg",#N/A,FALSE,"GuV9900-0399";"verwaltung",#N/A,FALSE,"GuV9900-0399"}</definedName>
    <definedName name="skjfiej_1" hidden="1">{"werbung",#N/A,FALSE,"GuV9900-0399";"betrieb",#N/A,FALSE,"GuV9900-0399";"personal",#N/A,FALSE,"GuV9900-0399";"tvg",#N/A,FALSE,"GuV9900-0399";"verwaltung",#N/A,FALSE,"GuV9900-0399"}</definedName>
    <definedName name="sldkjflksjd" localSheetId="8" hidden="1">{#N/A,#N/A,TRUE,"Header";#N/A,#N/A,TRUE,"Total";#N/A,#N/A,TRUE,"Core";#N/A,#N/A,TRUE,"New";#N/A,#N/A,TRUE,"Core Units Rev";#N/A,#N/A,TRUE,"Core Units GM";#N/A,#N/A,TRUE,"Core Units GM%";#N/A,#N/A,TRUE,"Core Units SGA";#N/A,#N/A,TRUE,"Core Units EBIT";#N/A,#N/A,TRUE,"New Units Rev";#N/A,#N/A,TRUE,"New Units GM";#N/A,#N/A,TRUE,"New Units GM%";#N/A,#N/A,TRUE,"New Units SGA";#N/A,#N/A,TRUE,"New Units EBIT";#N/A,#N/A,TRUE,"Total SGA detail";#N/A,#N/A,TRUE,"Core SGA detail";#N/A,#N/A,TRUE,"New SGA detail";#N/A,#N/A,TRUE,"Summary";#N/A,#N/A,TRUE,"Summary (2)";#N/A,#N/A,TRUE,"Var to last mth";#N/A,#N/A,TRUE,"Revenue";#N/A,#N/A,TRUE,"COS";#N/A,#N/A,TRUE,"Gross Margin";#N/A,#N/A,TRUE,"SG&amp;A";#N/A,#N/A,TRUE,"EBITDA";#N/A,#N/A,TRUE,"Depn&amp;Amort";#N/A,#N/A,TRUE,"EBIT";#N/A,#N/A,TRUE,"Contingency"}</definedName>
    <definedName name="sldkjflksjd" hidden="1">{#N/A,#N/A,TRUE,"Header";#N/A,#N/A,TRUE,"Total";#N/A,#N/A,TRUE,"Core";#N/A,#N/A,TRUE,"New";#N/A,#N/A,TRUE,"Core Units Rev";#N/A,#N/A,TRUE,"Core Units GM";#N/A,#N/A,TRUE,"Core Units GM%";#N/A,#N/A,TRUE,"Core Units SGA";#N/A,#N/A,TRUE,"Core Units EBIT";#N/A,#N/A,TRUE,"New Units Rev";#N/A,#N/A,TRUE,"New Units GM";#N/A,#N/A,TRUE,"New Units GM%";#N/A,#N/A,TRUE,"New Units SGA";#N/A,#N/A,TRUE,"New Units EBIT";#N/A,#N/A,TRUE,"Total SGA detail";#N/A,#N/A,TRUE,"Core SGA detail";#N/A,#N/A,TRUE,"New SGA detail";#N/A,#N/A,TRUE,"Summary";#N/A,#N/A,TRUE,"Summary (2)";#N/A,#N/A,TRUE,"Var to last mth";#N/A,#N/A,TRUE,"Revenue";#N/A,#N/A,TRUE,"COS";#N/A,#N/A,TRUE,"Gross Margin";#N/A,#N/A,TRUE,"SG&amp;A";#N/A,#N/A,TRUE,"EBITDA";#N/A,#N/A,TRUE,"Depn&amp;Amort";#N/A,#N/A,TRUE,"EBIT";#N/A,#N/A,TRUE,"Contingency"}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fl" localSheetId="8" hidden="1">{#N/A,#N/A,FALSE,"Pharm";#N/A,#N/A,FALSE,"WWCM"}</definedName>
    <definedName name="slfl" hidden="1">{#N/A,#N/A,FALSE,"Pharm";#N/A,#N/A,FALSE,"WWCM"}</definedName>
    <definedName name="SLIDE" localSheetId="8" hidden="1">{#N/A,#N/A,TRUE,"Voorblad A";#N/A,#N/A,TRUE,"Table of Content FinCom A";#N/A,#N/A,TRUE,"A1-Summ- Key Figures";#N/A,#N/A,TRUE,"Summary Telfort Figures";#N/A,#N/A,TRUE,"A2-Summ Month Man";#N/A,#N/A,TRUE,"Summary Telfort";#N/A,#N/A,TRUE,"A4-P&amp;L by Old org.";#N/A,#N/A,TRUE,"Summary Fixed";#N/A,#N/A,TRUE,"A6-Bal_Sheet CF by Old org. ";#N/A,#N/A,TRUE,"B1-Orders RevGap"}</definedName>
    <definedName name="Slide" hidden="1">{"'FLUOXETINE'!$A$1:$I$24"}</definedName>
    <definedName name="şlşil" localSheetId="8" hidden="1">{"EVA",#N/A,FALSE,"SMT2";#N/A,#N/A,FALSE,"Summary";#N/A,#N/A,FALSE,"Graphs";#N/A,#N/A,FALSE,"4 Panel"}</definedName>
    <definedName name="şlşil" hidden="1">{"EVA",#N/A,FALSE,"SMT2";#N/A,#N/A,FALSE,"Summary";#N/A,#N/A,FALSE,"Graphs";#N/A,#N/A,FALSE,"4 Panel"}</definedName>
    <definedName name="smk" localSheetId="8" hidden="1">{"QTD_GENERALH2",#N/A,FALSE,"QTD"}</definedName>
    <definedName name="smk" hidden="1">{"QTD_GENERALH2",#N/A,FALSE,"QTD"}</definedName>
    <definedName name="SMP_GO" hidden="1">{#N/A,#N/A,FALSE,"Valuation Summary";#N/A,#N/A,FALSE,"BT IS";#N/A,#N/A,FALSE,"BT CF";#N/A,#N/A,FALSE,"BT BS";#N/A,#N/A,FALSE,"BT FCF";#N/A,#N/A,FALSE,"BT Model";#N/A,#N/A,FALSE,"BT Finance"}</definedName>
    <definedName name="SnecmaFAT" localSheetId="8" hidden="1">{#N/A,#N/A,TRUE,"Pro Forma";#N/A,#N/A,TRUE,"PF_Bal";#N/A,#N/A,TRUE,"PF_INC";#N/A,#N/A,TRUE,"CBE";#N/A,#N/A,TRUE,"SWK"}</definedName>
    <definedName name="SnecmaFAT" hidden="1">{#N/A,#N/A,TRUE,"Pro Forma";#N/A,#N/A,TRUE,"PF_Bal";#N/A,#N/A,TRUE,"PF_INC";#N/A,#N/A,TRUE,"CBE";#N/A,#N/A,TRUE,"SWK"}</definedName>
    <definedName name="SnecmaFAT_1" localSheetId="8" hidden="1">{#N/A,#N/A,TRUE,"Pro Forma";#N/A,#N/A,TRUE,"PF_Bal";#N/A,#N/A,TRUE,"PF_INC";#N/A,#N/A,TRUE,"CBE";#N/A,#N/A,TRUE,"SWK"}</definedName>
    <definedName name="SnecmaFAT_1" hidden="1">{#N/A,#N/A,TRUE,"Pro Forma";#N/A,#N/A,TRUE,"PF_Bal";#N/A,#N/A,TRUE,"PF_INC";#N/A,#N/A,TRUE,"CBE";#N/A,#N/A,TRUE,"SWK"}</definedName>
    <definedName name="SOCIAL" localSheetId="8" hidden="1">{#N/A,#N/A,FALSE,"MERCHANT GAS MARGIN";#N/A,#N/A,FALSE,"BULK";#N/A,#N/A,FALSE,"BULK CO2";#N/A,#N/A,FALSE,"ON-SITE";#N/A,#N/A,FALSE,"CYLINDERS"}</definedName>
    <definedName name="SOCIAL" hidden="1">{#N/A,#N/A,FALSE,"MERCHANT GAS MARGIN";#N/A,#N/A,FALSE,"BULK";#N/A,#N/A,FALSE,"BULK CO2";#N/A,#N/A,FALSE,"ON-SITE";#N/A,#N/A,FALSE,"CYLINDERS"}</definedName>
    <definedName name="SOCIAL_1" localSheetId="8" hidden="1">{#N/A,#N/A,FALSE,"MERCHANT GAS MARGIN";#N/A,#N/A,FALSE,"BULK";#N/A,#N/A,FALSE,"BULK CO2";#N/A,#N/A,FALSE,"ON-SITE";#N/A,#N/A,FALSE,"CYLINDERS"}</definedName>
    <definedName name="SOCIAL_1" hidden="1">{#N/A,#N/A,FALSE,"MERCHANT GAS MARGIN";#N/A,#N/A,FALSE,"BULK";#N/A,#N/A,FALSE,"BULK CO2";#N/A,#N/A,FALSE,"ON-SITE";#N/A,#N/A,FALSE,"CYLINDERS"}</definedName>
    <definedName name="SOCIAL2" localSheetId="8" hidden="1">{#N/A,#N/A,FALSE,"MERCHANT GAS MARGIN";#N/A,#N/A,FALSE,"BULK";#N/A,#N/A,FALSE,"BULK CO2";#N/A,#N/A,FALSE,"ON-SITE";#N/A,#N/A,FALSE,"CYLINDERS"}</definedName>
    <definedName name="SOCIAL2" hidden="1">{#N/A,#N/A,FALSE,"MERCHANT GAS MARGIN";#N/A,#N/A,FALSE,"BULK";#N/A,#N/A,FALSE,"BULK CO2";#N/A,#N/A,FALSE,"ON-SITE";#N/A,#N/A,FALSE,"CYLINDERS"}</definedName>
    <definedName name="SOCIAL2_1" localSheetId="8" hidden="1">{#N/A,#N/A,FALSE,"MERCHANT GAS MARGIN";#N/A,#N/A,FALSE,"BULK";#N/A,#N/A,FALSE,"BULK CO2";#N/A,#N/A,FALSE,"ON-SITE";#N/A,#N/A,FALSE,"CYLINDERS"}</definedName>
    <definedName name="SOCIAL2_1" hidden="1">{#N/A,#N/A,FALSE,"MERCHANT GAS MARGIN";#N/A,#N/A,FALSE,"BULK";#N/A,#N/A,FALSE,"BULK CO2";#N/A,#N/A,FALSE,"ON-SITE";#N/A,#N/A,FALSE,"CYLINDERS"}</definedName>
    <definedName name="sogsafra" hidden="1">#REF!</definedName>
    <definedName name="solo" localSheetId="8" hidden="1">{#N/A,#N/A,FALSE,"Cover";"Bal 1",#N/A,FALSE,"Balance Sheet";"Inc 1",#N/A,FALSE,"Income Statement";"CF 1",#N/A,FALSE,"Cashflow";"Bal 2",#N/A,FALSE,"Balance Sheet";"Inc 2",#N/A,FALSE,"Income Statement";"CF 2",#N/A,FALSE,"Cashflow";"Other 1",#N/A,FALSE,"Additional Info"}</definedName>
    <definedName name="solo" hidden="1">{#N/A,#N/A,FALSE,"Cover";"Bal 1",#N/A,FALSE,"Balance Sheet";"Inc 1",#N/A,FALSE,"Income Statement";"CF 1",#N/A,FALSE,"Cashflow";"Bal 2",#N/A,FALSE,"Balance Sheet";"Inc 2",#N/A,FALSE,"Income Statement";"CF 2",#N/A,FALSE,"Cashflow";"Other 1",#N/A,FALSE,"Additional Info"}</definedName>
    <definedName name="solver_adj" hidden="1">#REF!,#REF!,#REF!,#REF!,#REF!,#REF!,#REF!,#REF!,#REF!,#REF!,#REF!,#REF!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hs1" hidden="1">#REF!</definedName>
    <definedName name="solver_lin" hidden="1">0</definedName>
    <definedName name="solver_neg" hidden="1">2</definedName>
    <definedName name="solver_ntri" hidden="1">1000</definedName>
    <definedName name="solver_num" hidden="1">0</definedName>
    <definedName name="solver_nwt" hidden="1">1</definedName>
    <definedName name="solver_opt" hidden="1">#REF!</definedName>
    <definedName name="solver_pre" hidden="1">0.000001</definedName>
    <definedName name="solver_rel1" hidden="1">1</definedName>
    <definedName name="solver_rel2" hidden="1">1</definedName>
    <definedName name="solver_rel3" hidden="1">3</definedName>
    <definedName name="solver_rel4" hidden="1">4</definedName>
    <definedName name="solver_rel5" hidden="1">4</definedName>
    <definedName name="solver_rel6" hidden="1">4</definedName>
    <definedName name="solver_rhs1" hidden="1">70000</definedName>
    <definedName name="solver_rhs2" hidden="1">1</definedName>
    <definedName name="solver_rhs3" hidden="1">0</definedName>
    <definedName name="solver_rsmp" hidden="1">2</definedName>
    <definedName name="solver_scl" localSheetId="8" hidden="1">2</definedName>
    <definedName name="solver_scl" hidden="1">0</definedName>
    <definedName name="solver_seed" hidden="1">0</definedName>
    <definedName name="solver_sho" localSheetId="8" hidden="1">2</definedName>
    <definedName name="solver_sho" hidden="1">0</definedName>
    <definedName name="solver_tim" hidden="1">100</definedName>
    <definedName name="solver_tmp" localSheetId="8" hidden="1">70000</definedName>
    <definedName name="solver_tmp" hidden="1">#NULL!</definedName>
    <definedName name="solver_tol" hidden="1">0.05</definedName>
    <definedName name="solver_typ" hidden="1">3</definedName>
    <definedName name="solver_val" localSheetId="7" hidden="1">0</definedName>
    <definedName name="solver_val" localSheetId="8" hidden="1">0</definedName>
    <definedName name="solver_val" hidden="1">2</definedName>
    <definedName name="SORINA" localSheetId="8" hidden="1">{#N/A,#N/A,FALSE,"Ratio"}</definedName>
    <definedName name="SORINA" hidden="1">{#N/A,#N/A,FALSE,"Ratio"}</definedName>
    <definedName name="sort" localSheetId="8" hidden="1">#REF!</definedName>
    <definedName name="sort" hidden="1">#REF!</definedName>
    <definedName name="SpecialPrice" hidden="1">#REF!</definedName>
    <definedName name="spend" localSheetId="8" hidden="1">{#N/A,#N/A,FALSE,"CAPA";#N/A,#N/A,FALSE,"INDICES";#N/A,#N/A,FALSE,"RES-GER-CONS";#N/A,#N/A,FALSE,"MAQ-S1";#N/A,#N/A,FALSE,"MAQ-S2";#N/A,#N/A,FALSE,"MAQ-S3";#N/A,#N/A,FALSE,"PROD-VEN";#N/A,#N/A,FALSE,"PRECOS";#N/A,#N/A,FALSE,"BILAN";#N/A,#N/A,FALSE,"CASH-FLOW";#N/A,#N/A,FALSE,"SP4-5"}</definedName>
    <definedName name="spend" hidden="1">{#N/A,#N/A,FALSE,"CAPA";#N/A,#N/A,FALSE,"INDICES";#N/A,#N/A,FALSE,"RES-GER-CONS";#N/A,#N/A,FALSE,"MAQ-S1";#N/A,#N/A,FALSE,"MAQ-S2";#N/A,#N/A,FALSE,"MAQ-S3";#N/A,#N/A,FALSE,"PROD-VEN";#N/A,#N/A,FALSE,"PRECOS";#N/A,#N/A,FALSE,"BILAN";#N/A,#N/A,FALSE,"CASH-FLOW";#N/A,#N/A,FALSE,"SP4-5"}</definedName>
    <definedName name="spend_1" localSheetId="8" hidden="1">{#N/A,#N/A,FALSE,"CAPA";#N/A,#N/A,FALSE,"INDICES";#N/A,#N/A,FALSE,"RES-GER-CONS";#N/A,#N/A,FALSE,"MAQ-S1";#N/A,#N/A,FALSE,"MAQ-S2";#N/A,#N/A,FALSE,"MAQ-S3";#N/A,#N/A,FALSE,"PROD-VEN";#N/A,#N/A,FALSE,"PRECOS";#N/A,#N/A,FALSE,"BILAN";#N/A,#N/A,FALSE,"CASH-FLOW";#N/A,#N/A,FALSE,"SP4-5"}</definedName>
    <definedName name="spend_1" hidden="1">{#N/A,#N/A,FALSE,"CAPA";#N/A,#N/A,FALSE,"INDICES";#N/A,#N/A,FALSE,"RES-GER-CONS";#N/A,#N/A,FALSE,"MAQ-S1";#N/A,#N/A,FALSE,"MAQ-S2";#N/A,#N/A,FALSE,"MAQ-S3";#N/A,#N/A,FALSE,"PROD-VEN";#N/A,#N/A,FALSE,"PRECOS";#N/A,#N/A,FALSE,"BILAN";#N/A,#N/A,FALSE,"CASH-FLOW";#N/A,#N/A,FALSE,"SP4-5"}</definedName>
    <definedName name="spi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pider" hidden="1">#N/A</definedName>
    <definedName name="Spider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pider4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pidera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PWD" hidden="1">"pepsico"</definedName>
    <definedName name="sq" localSheetId="8" hidden="1">{"vue1",#N/A,FALSE,"synthese";"vue2",#N/A,FALSE,"synthese"}</definedName>
    <definedName name="sq" hidden="1">{"vue1",#N/A,FALSE,"synthese";"vue2",#N/A,FALSE,"synthese"}</definedName>
    <definedName name="sq_1" localSheetId="8" hidden="1">{"vue1",#N/A,FALSE,"synthese";"vue2",#N/A,FALSE,"synthese"}</definedName>
    <definedName name="sq_1" hidden="1">{"vue1",#N/A,FALSE,"synthese";"vue2",#N/A,FALSE,"synthese"}</definedName>
    <definedName name="sql_statement" hidden="1">"select distinct acct_cat,sum(cyr),sum(lyr),sum(cbd),mult_x000D_
from r1_datasum_x000D_
group by acct_cat_x000D_
_x000D_
"</definedName>
    <definedName name="sqw" localSheetId="8" hidden="1">{"common",#N/A,TRUE,"Common Input";"Sum Res_010",#N/A,TRUE,"Res_010";"Sum Res_011",#N/A,TRUE,"Res_011";"Sum Res_012",#N/A,TRUE,"Res_012";"Sum Res_013",#N/A,TRUE,"Res_013"}</definedName>
    <definedName name="sqw" hidden="1">{"common",#N/A,TRUE,"Common Input";"Sum Res_010",#N/A,TRUE,"Res_010";"Sum Res_011",#N/A,TRUE,"Res_011";"Sum Res_012",#N/A,TRUE,"Res_012";"Sum Res_013",#N/A,TRUE,"Res_013"}</definedName>
    <definedName name="SR" localSheetId="8" hidden="1">{#N/A,#N/A,TRUE,"Header";#N/A,#N/A,TRUE,"Total";#N/A,#N/A,TRUE,"Core";#N/A,#N/A,TRUE,"New";#N/A,#N/A,TRUE,"Core Units Rev";#N/A,#N/A,TRUE,"Core Units GM";#N/A,#N/A,TRUE,"Core Units GM%";#N/A,#N/A,TRUE,"Core Units SGA";#N/A,#N/A,TRUE,"Core Units EBIT";#N/A,#N/A,TRUE,"New Units Rev";#N/A,#N/A,TRUE,"New Units GM";#N/A,#N/A,TRUE,"New Units GM%";#N/A,#N/A,TRUE,"New Units SGA";#N/A,#N/A,TRUE,"New Units EBIT";#N/A,#N/A,TRUE,"Summary";#N/A,#N/A,TRUE,"Summary (2)";#N/A,#N/A,TRUE,"Var to last mth";#N/A,#N/A,TRUE,"Revenue";#N/A,#N/A,TRUE,"COS";#N/A,#N/A,TRUE,"Gross Margin";#N/A,#N/A,TRUE,"SG&amp;A";#N/A,#N/A,TRUE,"EBITDA";#N/A,#N/A,TRUE,"Depn&amp;Amort";#N/A,#N/A,TRUE,"EBIT";#N/A,#N/A,TRUE,"Contingency"}</definedName>
    <definedName name="SR" hidden="1">{#N/A,#N/A,TRUE,"Header";#N/A,#N/A,TRUE,"Total";#N/A,#N/A,TRUE,"Core";#N/A,#N/A,TRUE,"New";#N/A,#N/A,TRUE,"Core Units Rev";#N/A,#N/A,TRUE,"Core Units GM";#N/A,#N/A,TRUE,"Core Units GM%";#N/A,#N/A,TRUE,"Core Units SGA";#N/A,#N/A,TRUE,"Core Units EBIT";#N/A,#N/A,TRUE,"New Units Rev";#N/A,#N/A,TRUE,"New Units GM";#N/A,#N/A,TRUE,"New Units GM%";#N/A,#N/A,TRUE,"New Units SGA";#N/A,#N/A,TRUE,"New Units EBIT";#N/A,#N/A,TRUE,"Summary";#N/A,#N/A,TRUE,"Summary (2)";#N/A,#N/A,TRUE,"Var to last mth";#N/A,#N/A,TRUE,"Revenue";#N/A,#N/A,TRUE,"COS";#N/A,#N/A,TRUE,"Gross Margin";#N/A,#N/A,TRUE,"SG&amp;A";#N/A,#N/A,TRUE,"EBITDA";#N/A,#N/A,TRUE,"Depn&amp;Amort";#N/A,#N/A,TRUE,"EBIT";#N/A,#N/A,TRUE,"Contingency"}</definedName>
    <definedName name="sr_1" localSheetId="8" hidden="1">{"Ergebnisbericht_UBA",#N/A,FALSE,"MB"}</definedName>
    <definedName name="sr_1" hidden="1">{"Ergebnisbericht_UBA",#N/A,FALSE,"MB"}</definedName>
    <definedName name="sre" localSheetId="8" hidden="1">{"vol data",#N/A,FALSE,"Datasheet";"vol graph",#N/A,FALSE,"Volume";"price data",#N/A,FALSE,"Datasheet";"price graph",#N/A,FALSE,"Price";"dp data",#N/A,FALSE,"Datasheet";"dp graph",#N/A,FALSE,"DirectProfit"}</definedName>
    <definedName name="sre" hidden="1">{"vol data",#N/A,FALSE,"Datasheet";"vol graph",#N/A,FALSE,"Volume";"price data",#N/A,FALSE,"Datasheet";"price graph",#N/A,FALSE,"Price";"dp data",#N/A,FALSE,"Datasheet";"dp graph",#N/A,FALSE,"DirectProfit"}</definedName>
    <definedName name="sret" localSheetId="8" hidden="1">{"Bal Sheet",#N/A,FALSE;"Cash Flow",#N/A,FALSE}</definedName>
    <definedName name="sret" hidden="1">{"Bal Sheet",#N/A,FALSE;"Cash Flow",#N/A,FALSE}</definedName>
    <definedName name="srth" localSheetId="8" hidden="1">{"Ergebnisbericht_UBA",#N/A,FALSE,"MB"}</definedName>
    <definedName name="srth" hidden="1">{"Ergebnisbericht_UBA",#N/A,FALSE,"MB"}</definedName>
    <definedName name="srth_1" localSheetId="8" hidden="1">{"Ergebnisbericht_UBA",#N/A,FALSE,"MB"}</definedName>
    <definedName name="srth_1" hidden="1">{"Ergebnisbericht_UBA",#N/A,FALSE,"MB"}</definedName>
    <definedName name="srzh" localSheetId="8" hidden="1">{"Ergebnisbericht_UBA",#N/A,FALSE,"MB"}</definedName>
    <definedName name="srzh" hidden="1">{"Ergebnisbericht_UBA",#N/A,FALSE,"MB"}</definedName>
    <definedName name="srzh_1" localSheetId="8" hidden="1">{"Ergebnisbericht_UBA",#N/A,FALSE,"MB"}</definedName>
    <definedName name="srzh_1" hidden="1">{"Ergebnisbericht_UBA",#N/A,FALSE,"MB"}</definedName>
    <definedName name="ss" localSheetId="8" hidden="1">{"detail",#N/A,FALSE,"mfg";"summary",#N/A,FALSE,"mfg"}</definedName>
    <definedName name="ss" hidden="1">#REF!</definedName>
    <definedName name="ss_1" localSheetId="8" hidden="1">{#N/A,#N/A,FALSE,"P&amp;L-BS-CF"}</definedName>
    <definedName name="ss_1" hidden="1">{#N/A,#N/A,FALSE,"P&amp;L-BS-CF"}</definedName>
    <definedName name="SS_2" localSheetId="8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SS_2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ssadsad" localSheetId="8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ssadsad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SSD" localSheetId="7" hidden="1">{#N/A,#N/A,FALSE,"REPORT"}</definedName>
    <definedName name="SSD" localSheetId="8" hidden="1">{#N/A,#N/A,FALSE,"REPORT"}</definedName>
    <definedName name="SSD" hidden="1">{#N/A,#N/A,FALSE,"REPORT"}</definedName>
    <definedName name="ssd_1" localSheetId="8" hidden="1">{"assumption 50 50",#N/A,TRUE,"Merger";"has gets cash",#N/A,TRUE,"Merger";"accretion dilution",#N/A,TRUE,"Merger";"comparison credit stats",#N/A,TRUE,"Merger";"pf credit stats",#N/A,TRUE,"Merger";"pf sheets",#N/A,TRUE,"Merger"}</definedName>
    <definedName name="ssd_1" hidden="1">{"assumption 50 50",#N/A,TRUE,"Merger";"has gets cash",#N/A,TRUE,"Merger";"accretion dilution",#N/A,TRUE,"Merger";"comparison credit stats",#N/A,TRUE,"Merger";"pf credit stats",#N/A,TRUE,"Merger";"pf sheets",#N/A,TRUE,"Merger"}</definedName>
    <definedName name="ssdsd" localSheetId="8" hidden="1">{"'Demand Units'!$Z$2:$AF$53"}</definedName>
    <definedName name="ssdsd" hidden="1">{"'Demand Units'!$Z$2:$AF$53"}</definedName>
    <definedName name="ssdsds" localSheetId="8" hidden="1">{#N/A,#N/A,TRUE,"Cover sheet";#N/A,#N/A,TRUE,"DCF analysis";#N/A,#N/A,TRUE,"WACC calculation"}</definedName>
    <definedName name="ssdsds" hidden="1">{#N/A,#N/A,TRUE,"Cover sheet";#N/A,#N/A,TRUE,"DCF analysis";#N/A,#N/A,TRUE,"WACC calculation"}</definedName>
    <definedName name="ssdsds_1" localSheetId="8" hidden="1">{#N/A,#N/A,TRUE,"Cover sheet";#N/A,#N/A,TRUE,"DCF analysis";#N/A,#N/A,TRUE,"WACC calculation"}</definedName>
    <definedName name="ssdsds_1" hidden="1">{#N/A,#N/A,TRUE,"Cover sheet";#N/A,#N/A,TRUE,"DCF analysis";#N/A,#N/A,TRUE,"WACC calculation"}</definedName>
    <definedName name="sse" localSheetId="8" hidden="1">{"YD GENERALH2",#N/A,FALSE,"YTD"}</definedName>
    <definedName name="sse" hidden="1">{"YD GENERALH2",#N/A,FALSE,"YTD"}</definedName>
    <definedName name="ssh" hidden="1">#REF!</definedName>
    <definedName name="SSPP" localSheetId="8" hidden="1">{#N/A,#N/A,FALSE,"CA";#N/A,#N/A,FALSE,"CN";#N/A,#N/A,FALSE,"Inv";#N/A,#N/A,FALSE,"Inv Acc";"Miguel_balance",#N/A,FALSE,"Bal";#N/A,#N/A,FALSE,"Plantilla";#N/A,#N/A,FALSE,"CA (2)";#N/A,#N/A,FALSE,"CN (2)"}</definedName>
    <definedName name="SSPP" hidden="1">{#N/A,#N/A,FALSE,"CA";#N/A,#N/A,FALSE,"CN";#N/A,#N/A,FALSE,"Inv";#N/A,#N/A,FALSE,"Inv Acc";"Miguel_balance",#N/A,FALSE,"Bal";#N/A,#N/A,FALSE,"Plantilla";#N/A,#N/A,FALSE,"CA (2)";#N/A,#N/A,FALSE,"CN (2)"}</definedName>
    <definedName name="sspp_bis" localSheetId="8" hidden="1">{#N/A,#N/A,FALSE,"CA";#N/A,#N/A,FALSE,"CN";#N/A,#N/A,FALSE,"Inv";#N/A,#N/A,FALSE,"Inv Acc";"Miguel_balance",#N/A,FALSE,"Bal";#N/A,#N/A,FALSE,"Plantilla";#N/A,#N/A,FALSE,"CA (2)";#N/A,#N/A,FALSE,"CN (2)"}</definedName>
    <definedName name="sspp_bis" hidden="1">{#N/A,#N/A,FALSE,"CA";#N/A,#N/A,FALSE,"CN";#N/A,#N/A,FALSE,"Inv";#N/A,#N/A,FALSE,"Inv Acc";"Miguel_balance",#N/A,FALSE,"Bal";#N/A,#N/A,FALSE,"Plantilla";#N/A,#N/A,FALSE,"CA (2)";#N/A,#N/A,FALSE,"CN (2)"}</definedName>
    <definedName name="sspp2" localSheetId="8" hidden="1">{#N/A,#N/A,FALSE,"CA";#N/A,#N/A,FALSE,"CN";#N/A,#N/A,FALSE,"Inv";#N/A,#N/A,FALSE,"Inv Acc";"Miguel_balance",#N/A,FALSE,"Bal";#N/A,#N/A,FALSE,"Plantilla";#N/A,#N/A,FALSE,"CA (2)";#N/A,#N/A,FALSE,"CN (2)"}</definedName>
    <definedName name="sspp2" hidden="1">{#N/A,#N/A,FALSE,"CA";#N/A,#N/A,FALSE,"CN";#N/A,#N/A,FALSE,"Inv";#N/A,#N/A,FALSE,"Inv Acc";"Miguel_balance",#N/A,FALSE,"Bal";#N/A,#N/A,FALSE,"Plantilla";#N/A,#N/A,FALSE,"CA (2)";#N/A,#N/A,FALSE,"CN (2)"}</definedName>
    <definedName name="sspp3" localSheetId="8" hidden="1">{#N/A,#N/A,FALSE,"CA";#N/A,#N/A,FALSE,"CN";#N/A,#N/A,FALSE,"Inv";#N/A,#N/A,FALSE,"Inv Acc";"Miguel_balance",#N/A,FALSE,"Bal";#N/A,#N/A,FALSE,"Plantilla";#N/A,#N/A,FALSE,"CA (2)";#N/A,#N/A,FALSE,"CN (2)"}</definedName>
    <definedName name="sspp3" hidden="1">{#N/A,#N/A,FALSE,"CA";#N/A,#N/A,FALSE,"CN";#N/A,#N/A,FALSE,"Inv";#N/A,#N/A,FALSE,"Inv Acc";"Miguel_balance",#N/A,FALSE,"Bal";#N/A,#N/A,FALSE,"Plantilla";#N/A,#N/A,FALSE,"CA (2)";#N/A,#N/A,FALSE,"CN (2)"}</definedName>
    <definedName name="SSPPkk" localSheetId="8" hidden="1">{#N/A,#N/A,FALSE,"CA";#N/A,#N/A,FALSE,"CN";#N/A,#N/A,FALSE,"Inv";#N/A,#N/A,FALSE,"Inv Acc";"Miguel_balance",#N/A,FALSE,"Bal";#N/A,#N/A,FALSE,"Plantilla";#N/A,#N/A,FALSE,"CA (2)";#N/A,#N/A,FALSE,"CN (2)"}</definedName>
    <definedName name="SSPPkk" hidden="1">{#N/A,#N/A,FALSE,"CA";#N/A,#N/A,FALSE,"CN";#N/A,#N/A,FALSE,"Inv";#N/A,#N/A,FALSE,"Inv Acc";"Miguel_balance",#N/A,FALSE,"Bal";#N/A,#N/A,FALSE,"Plantilla";#N/A,#N/A,FALSE,"CA (2)";#N/A,#N/A,FALSE,"CN (2)"}</definedName>
    <definedName name="sss" localSheetId="7" hidden="1">{#N/A,#N/A,FALSE,"Pharm";#N/A,#N/A,FALSE,"WWCM"}</definedName>
    <definedName name="sss" localSheetId="8" hidden="1">{#N/A,#N/A,FALSE,"Pharm";#N/A,#N/A,FALSE,"WWCM"}</definedName>
    <definedName name="sss" hidden="1">{#N/A,#N/A,FALSE,"Pharm";#N/A,#N/A,FALSE,"WWCM"}</definedName>
    <definedName name="sssddfgfg" localSheetId="8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sssddfgfg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ssss" localSheetId="7" hidden="1">{"'Plan_vs_Actual'!$B$3:$U$27"}</definedName>
    <definedName name="ssss" localSheetId="8" hidden="1">#REF!</definedName>
    <definedName name="ssss" hidden="1">{#N/A,"PURCHM",FALSE,"Business Analysis";#N/A,"SPADD",FALSE,"Business Analysis"}</definedName>
    <definedName name="ssss_1" localSheetId="8" hidden="1">{#N/A,#N/A,TRUE,"COVER";"MDC1",#N/A,TRUE,"MDCMEN";"MDC2",#N/A,TRUE,"MDCMEN";"MDC3",#N/A,TRUE,"MDCMEN";"MDC4",#N/A,TRUE,"MDCMEN"}</definedName>
    <definedName name="ssss_1" hidden="1">{#N/A,#N/A,TRUE,"COVER";"MDC1",#N/A,TRUE,"MDCMEN";"MDC2",#N/A,TRUE,"MDCMEN";"MDC3",#N/A,TRUE,"MDCMEN";"MDC4",#N/A,TRUE,"MDCMEN"}</definedName>
    <definedName name="SSSSS" localSheetId="7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SSSS" localSheetId="8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SSS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SSSS_1" localSheetId="7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SSSS_1" localSheetId="8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SSSS_1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SSSSSFDSD" hidden="1">{#N/A,#N/A,FALSE,"CA";#N/A,#N/A,FALSE,"CN";#N/A,#N/A,FALSE,"Inv";#N/A,#N/A,FALSE,"Inv Acc";"Miguel_balance",#N/A,FALSE,"Bal";#N/A,#N/A,FALSE,"Plantilla";#N/A,#N/A,FALSE,"CA (2)";#N/A,#N/A,FALSE,"CN (2)"}</definedName>
    <definedName name="sssssss" localSheetId="8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sssssss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ssssssss" hidden="1">#N/A</definedName>
    <definedName name="SSSSSSSSS" localSheetId="8" hidden="1">{"PARTE1",#N/A,FALSE,"Plan1"}</definedName>
    <definedName name="SSSSSSSSS" hidden="1">{"PARTE1",#N/A,FALSE,"Plan1"}</definedName>
    <definedName name="ssssssssss" localSheetId="8" hidden="1">{#N/A,#N/A,FALSE,"Adm comp";#N/A,#N/A,FALSE,"Adm ajust";"adm",#N/A,FALSE,"Administration";#N/A,#N/A,FALSE,"Adm Bgt 97 vs Prév. 96";#N/A,#N/A,FALSE,"Adm Bgt 97 vs 96"}</definedName>
    <definedName name="ssssssssss" hidden="1">{#N/A,#N/A,FALSE,"Adm comp";#N/A,#N/A,FALSE,"Adm ajust";"adm",#N/A,FALSE,"Administration";#N/A,#N/A,FALSE,"Adm Bgt 97 vs Prév. 96";#N/A,#N/A,FALSE,"Adm Bgt 97 vs 96"}</definedName>
    <definedName name="sssssssssssssssss" localSheetId="8" hidden="1">{"detail",#N/A,FALSE,"mfg";"summary",#N/A,FALSE,"mfg"}</definedName>
    <definedName name="sssssssssssssssss" hidden="1">{"detail",#N/A,FALSE,"mfg";"summary",#N/A,FALSE,"mfg"}</definedName>
    <definedName name="SSSSSSSSSSSSSSSSSS" localSheetId="8" hidden="1">{"'100'!$A$1:$M$83"}</definedName>
    <definedName name="SSSSSSSSSSSSSSSSSS" hidden="1">{"'100'!$A$1:$M$83"}</definedName>
    <definedName name="ssssssssssssssssssss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sssssssssssssssssssssssssssssssssssssss" localSheetId="8" hidden="1">{#N/A,#N/A,TRUE,"Allacciamenti 5 anni";#N/A,#N/A,TRUE,"Carico 5 anni";#N/A,#N/A,TRUE,"Qualità a) 5 anni";#N/A,#N/A,TRUE,"Qualità b) 5 anni";#N/A,#N/A,TRUE,"Impatto ambientale 5 anni";#N/A,#N/A,TRUE,"Adeg. tecnico 5 anni"}</definedName>
    <definedName name="sssssssssssssssssssssssssssssssssssssss" hidden="1">{#N/A,#N/A,TRUE,"Allacciamenti 5 anni";#N/A,#N/A,TRUE,"Carico 5 anni";#N/A,#N/A,TRUE,"Qualità a) 5 anni";#N/A,#N/A,TRUE,"Qualità b) 5 anni";#N/A,#N/A,TRUE,"Impatto ambientale 5 anni";#N/A,#N/A,TRUE,"Adeg. tecnico 5 anni"}</definedName>
    <definedName name="sssssssssssssssssssssssssssssssssssssss_1" localSheetId="8" hidden="1">{#N/A,#N/A,TRUE,"Allacciamenti 5 anni";#N/A,#N/A,TRUE,"Carico 5 anni";#N/A,#N/A,TRUE,"Qualità a) 5 anni";#N/A,#N/A,TRUE,"Qualità b) 5 anni";#N/A,#N/A,TRUE,"Impatto ambientale 5 anni";#N/A,#N/A,TRUE,"Adeg. tecnico 5 anni"}</definedName>
    <definedName name="sssssssssssssssssssssssssssssssssssssss_1" hidden="1">{#N/A,#N/A,TRUE,"Allacciamenti 5 anni";#N/A,#N/A,TRUE,"Carico 5 anni";#N/A,#N/A,TRUE,"Qualità a) 5 anni";#N/A,#N/A,TRUE,"Qualità b) 5 anni";#N/A,#N/A,TRUE,"Impatto ambientale 5 anni";#N/A,#N/A,TRUE,"Adeg. tecnico 5 anni"}</definedName>
    <definedName name="sssswwww" localSheetId="8" hidden="1">{#N/A,"PURCHM",FALSE,"Business Analysis";#N/A,"SPADD",FALSE,"Business Analysis"}</definedName>
    <definedName name="sssswwww" hidden="1">{#N/A,"PURCHM",FALSE,"Business Analysis";#N/A,"SPADD",FALSE,"Business Analysis"}</definedName>
    <definedName name="staffing2" localSheetId="8" hidden="1">{#N/A,#N/A,FALSE,"Assessment";#N/A,#N/A,FALSE,"Staffing";#N/A,#N/A,FALSE,"Hires";#N/A,#N/A,FALSE,"Assumptions"}</definedName>
    <definedName name="staffing2" hidden="1">{#N/A,#N/A,FALSE,"Assessment";#N/A,#N/A,FALSE,"Staffing";#N/A,#N/A,FALSE,"Hires";#N/A,#N/A,FALSE,"Assumptions"}</definedName>
    <definedName name="staffing2_1" localSheetId="8" hidden="1">{#N/A,#N/A,FALSE,"Assessment";#N/A,#N/A,FALSE,"Staffing";#N/A,#N/A,FALSE,"Hires";#N/A,#N/A,FALSE,"Assumptions"}</definedName>
    <definedName name="staffing2_1" hidden="1">{#N/A,#N/A,FALSE,"Assessment";#N/A,#N/A,FALSE,"Staffing";#N/A,#N/A,FALSE,"Hires";#N/A,#N/A,FALSE,"Assumptions"}</definedName>
    <definedName name="Staffing3" localSheetId="8" hidden="1">{#N/A,#N/A,FALSE,"Assessment";#N/A,#N/A,FALSE,"Staffing";#N/A,#N/A,FALSE,"Hires";#N/A,#N/A,FALSE,"Assumptions"}</definedName>
    <definedName name="Staffing3" hidden="1">{#N/A,#N/A,FALSE,"Assessment";#N/A,#N/A,FALSE,"Staffing";#N/A,#N/A,FALSE,"Hires";#N/A,#N/A,FALSE,"Assumptions"}</definedName>
    <definedName name="Staffing3_1" localSheetId="8" hidden="1">{#N/A,#N/A,FALSE,"Assessment";#N/A,#N/A,FALSE,"Staffing";#N/A,#N/A,FALSE,"Hires";#N/A,#N/A,FALSE,"Assumptions"}</definedName>
    <definedName name="Staffing3_1" hidden="1">{#N/A,#N/A,FALSE,"Assessment";#N/A,#N/A,FALSE,"Staffing";#N/A,#N/A,FALSE,"Hires";#N/A,#N/A,FALSE,"Assumptions"}</definedName>
    <definedName name="Staril" localSheetId="7" hidden="1">{#N/A,#N/A,FALSE,"REPORT"}</definedName>
    <definedName name="Staril" localSheetId="8" hidden="1">{#N/A,#N/A,FALSE,"REPORT"}</definedName>
    <definedName name="Staril" hidden="1">{#N/A,#N/A,FALSE,"REPORT"}</definedName>
    <definedName name="STARTDATEYTD" hidden="1">" "</definedName>
    <definedName name="stef" localSheetId="7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ef" localSheetId="8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ef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ef_1" localSheetId="7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ef_1" localSheetId="8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ef_1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gsg" localSheetId="8" hidden="1">{"Print Summary",#N/A,FALSE,"Bal_Graphs";"Print Summary",#N/A,FALSE,"DCF";"Print Summary",#N/A,FALSE,"Graphs";"Print Summary",#N/A,FALSE,"Summary"}</definedName>
    <definedName name="stgsg" hidden="1">{"Print Summary",#N/A,FALSE,"Bal_Graphs";"Print Summary",#N/A,FALSE,"DCF";"Print Summary",#N/A,FALSE,"Graphs";"Print Summary",#N/A,FALSE,"Summary"}</definedName>
    <definedName name="stgsg_1" localSheetId="8" hidden="1">{"Print Summary",#N/A,FALSE,"Bal_Graphs";"Print Summary",#N/A,FALSE,"DCF";"Print Summary",#N/A,FALSE,"Graphs";"Print Summary",#N/A,FALSE,"Summary"}</definedName>
    <definedName name="stgsg_1" hidden="1">{"Print Summary",#N/A,FALSE,"Bal_Graphs";"Print Summary",#N/A,FALSE,"DCF";"Print Summary",#N/A,FALSE,"Graphs";"Print Summary",#N/A,FALSE,"Summary"}</definedName>
    <definedName name="storico" localSheetId="8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storico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storico_1" localSheetId="8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storico_1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StratPlanAP" localSheetId="7" hidden="1">{#N/A,#N/A,FALSE,"Pharm";#N/A,#N/A,FALSE,"WWCM"}</definedName>
    <definedName name="StratPlanAP" localSheetId="8" hidden="1">{#N/A,#N/A,FALSE,"Pharm";#N/A,#N/A,FALSE,"WWCM"}</definedName>
    <definedName name="StratPlanAP" hidden="1">{#N/A,#N/A,FALSE,"Pharm";#N/A,#N/A,FALSE,"WWCM"}</definedName>
    <definedName name="strhg" localSheetId="8" hidden="1">{"C3-RegView   Board Report Data",#N/A,FALSE,"C3-RegView"}</definedName>
    <definedName name="strhg" hidden="1">{"C3-RegView   Board Report Data",#N/A,FALSE,"C3-RegView"}</definedName>
    <definedName name="stro" localSheetId="8" hidden="1">{#N/A,#N/A,FALSE,"Global Assumptions";#N/A,#N/A,FALSE,"NZ Valuation";#N/A,#N/A,FALSE,"P&amp;L";#N/A,#N/A,FALSE,"Balance Sheet";#N/A,#N/A,FALSE,"Cash Flow";#N/A,#N/A,FALSE,"Key Assumptions";#N/A,#N/A,FALSE,"Graphs";#N/A,#N/A,FALSE,"Core EBIT Summary";#N/A,#N/A,FALSE,"National Tolls - Residential";#N/A,#N/A,FALSE,"National Tolls - Business";#N/A,#N/A,FALSE,"Internat'l Tolls - Residential";#N/A,#N/A,FALSE,"Internat'l Tolls - Business";#N/A,#N/A,FALSE,"Faxplus";#N/A,#N/A,FALSE,"Business Local Service";#N/A,#N/A,FALSE,"Data Services";#N/A,#N/A,FALSE,"Cellular"}</definedName>
    <definedName name="stro" hidden="1">{#N/A,#N/A,FALSE,"Global Assumptions";#N/A,#N/A,FALSE,"NZ Valuation";#N/A,#N/A,FALSE,"P&amp;L";#N/A,#N/A,FALSE,"Balance Sheet";#N/A,#N/A,FALSE,"Cash Flow";#N/A,#N/A,FALSE,"Key Assumptions";#N/A,#N/A,FALSE,"Graphs";#N/A,#N/A,FALSE,"Core EBIT Summary";#N/A,#N/A,FALSE,"National Tolls - Residential";#N/A,#N/A,FALSE,"National Tolls - Business";#N/A,#N/A,FALSE,"Internat'l Tolls - Residential";#N/A,#N/A,FALSE,"Internat'l Tolls - Business";#N/A,#N/A,FALSE,"Faxplus";#N/A,#N/A,FALSE,"Business Local Service";#N/A,#N/A,FALSE,"Data Services";#N/A,#N/A,FALSE,"Cellular"}</definedName>
    <definedName name="Structure" localSheetId="8" hidden="1">{#N/A,#N/A,FALSE,"Global Assumptions";#N/A,#N/A,FALSE,"NZ Valuation";#N/A,#N/A,FALSE,"P&amp;L";#N/A,#N/A,FALSE,"Balance Sheet";#N/A,#N/A,FALSE,"Cash Flow";#N/A,#N/A,FALSE,"Key Assumptions";#N/A,#N/A,FALSE,"Graphs";#N/A,#N/A,FALSE,"Core EBIT Summary";#N/A,#N/A,FALSE,"National Tolls - Residential";#N/A,#N/A,FALSE,"National Tolls - Business";#N/A,#N/A,FALSE,"Internat'l Tolls - Residential";#N/A,#N/A,FALSE,"Internat'l Tolls - Business";#N/A,#N/A,FALSE,"Faxplus";#N/A,#N/A,FALSE,"Business Local Service";#N/A,#N/A,FALSE,"Data Services";#N/A,#N/A,FALSE,"Cellular"}</definedName>
    <definedName name="Structure" hidden="1">{#N/A,#N/A,FALSE,"Global Assumptions";#N/A,#N/A,FALSE,"NZ Valuation";#N/A,#N/A,FALSE,"P&amp;L";#N/A,#N/A,FALSE,"Balance Sheet";#N/A,#N/A,FALSE,"Cash Flow";#N/A,#N/A,FALSE,"Key Assumptions";#N/A,#N/A,FALSE,"Graphs";#N/A,#N/A,FALSE,"Core EBIT Summary";#N/A,#N/A,FALSE,"National Tolls - Residential";#N/A,#N/A,FALSE,"National Tolls - Business";#N/A,#N/A,FALSE,"Internat'l Tolls - Residential";#N/A,#N/A,FALSE,"Internat'l Tolls - Business";#N/A,#N/A,FALSE,"Faxplus";#N/A,#N/A,FALSE,"Business Local Service";#N/A,#N/A,FALSE,"Data Services";#N/A,#N/A,FALSE,"Cellular"}</definedName>
    <definedName name="stu" localSheetId="8" hidden="1">{"Eilbericht_UBA",#N/A,FALSE,"EB"}</definedName>
    <definedName name="stu" hidden="1">{"Eilbericht_UBA",#N/A,FALSE,"EB"}</definedName>
    <definedName name="stu_1" localSheetId="8" hidden="1">{"Eilbericht_UBA",#N/A,FALSE,"EB"}</definedName>
    <definedName name="stu_1" hidden="1">{"Eilbericht_UBA",#N/A,FALSE,"EB"}</definedName>
    <definedName name="Stub" localSheetId="8" hidden="1">#REF!</definedName>
    <definedName name="Stub" hidden="1">#REF!</definedName>
    <definedName name="Stub_Header1" hidden="1">#REF!</definedName>
    <definedName name="Stub_Header2" hidden="1">#REF!</definedName>
    <definedName name="Stub_Header3" hidden="1">#REF!</definedName>
    <definedName name="stuff" localSheetId="8" hidden="1">{"TOTAL",#N/A,FALSE,"A";"FISCAL94",#N/A,FALSE,"A";"FISCAL95",#N/A,FALSE,"A";"FISCAL96",#N/A,FALSE,"A";"misc page",#N/A,FALSE,"A"}</definedName>
    <definedName name="stuff" hidden="1">{"TOTAL",#N/A,FALSE,"A";"FISCAL94",#N/A,FALSE,"A";"FISCAL95",#N/A,FALSE,"A";"FISCAL96",#N/A,FALSE,"A";"misc page",#N/A,FALSE,"A"}</definedName>
    <definedName name="stzw" localSheetId="8" hidden="1">{"Ergebnisbericht_UBA",#N/A,FALSE,"MB"}</definedName>
    <definedName name="stzw" hidden="1">{"Ergebnisbericht_UBA",#N/A,FALSE,"MB"}</definedName>
    <definedName name="stzw_1" localSheetId="8" hidden="1">{"Ergebnisbericht_UBA",#N/A,FALSE,"MB"}</definedName>
    <definedName name="stzw_1" hidden="1">{"Ergebnisbericht_UBA",#N/A,FALSE,"MB"}</definedName>
    <definedName name="suma" localSheetId="8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uma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uper" localSheetId="8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super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SuperUser" hidden="1">FALSE</definedName>
    <definedName name="susan" localSheetId="7" hidden="1">#REF!</definedName>
    <definedName name="susan" localSheetId="8" hidden="1">#REF!</definedName>
    <definedName name="Susan" hidden="1">{#N/A,#N/A,FALSE,"Revised cover";#N/A,#N/A,FALSE,"Trends";"main view",#N/A,FALSE,"As Reported";#N/A,#N/A,FALSE,"delegations";#N/A,#N/A,FALSE,"(un) Commited"}</definedName>
    <definedName name="sw" localSheetId="8" hidden="1">{#N/A,"PURCHM",FALSE,"Business Analysis";#N/A,"SPADD",FALSE,"Business Analysis"}</definedName>
    <definedName name="sw" hidden="1">{#N/A,"PURCHM",FALSE,"Business Analysis";#N/A,"SPADD",FALSE,"Business Analysis"}</definedName>
    <definedName name="swaw" localSheetId="8" hidden="1">{"TEXO2N2_VOL",#N/A,FALSE,"MTHLYVOL";"TEXH2_VOL",#N/A,FALSE,"MTHLYVOL";"LOUIS_VOL",#N/A,FALSE,"MTHLYVOL";"H2_VOL",#N/A,FALSE,"MTHLYVOL";"O2N2_VOL",#N/A,FALSE,"MTHLYVOL";"PACKAGE_VOL",#N/A,FALSE,"MTHLYVOL"}</definedName>
    <definedName name="swaw" hidden="1">{"TEXO2N2_VOL",#N/A,FALSE,"MTHLYVOL";"TEXH2_VOL",#N/A,FALSE,"MTHLYVOL";"LOUIS_VOL",#N/A,FALSE,"MTHLYVOL";"H2_VOL",#N/A,FALSE,"MTHLYVOL";"O2N2_VOL",#N/A,FALSE,"MTHLYVOL";"PACKAGE_VOL",#N/A,FALSE,"MTHLYVOL"}</definedName>
    <definedName name="swhtbr" localSheetId="8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swhtbr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swn" localSheetId="8" hidden="1">{"LBO Summary",#N/A,FALSE,"Summary"}</definedName>
    <definedName name="swn" hidden="1">{"LBO Summary",#N/A,FALSE,"Summary"}</definedName>
    <definedName name="swq" localSheetId="8" hidden="1">{#N/A,"PURCHM",FALSE,"Business Analysis";#N/A,"SPADD",FALSE,"Business Analysis"}</definedName>
    <definedName name="swq" hidden="1">{#N/A,"PURCHM",FALSE,"Business Analysis";#N/A,"SPADD",FALSE,"Business Analysis"}</definedName>
    <definedName name="swqwswswswqw" localSheetId="8" hidden="1">{#N/A,#N/A,FALSE,"Trading-Mult ";#N/A,#N/A,FALSE,"M&amp;A info"}</definedName>
    <definedName name="swqwswswswqw" hidden="1">{#N/A,#N/A,FALSE,"Trading-Mult ";#N/A,#N/A,FALSE,"M&amp;A info"}</definedName>
    <definedName name="swqwswswswqw_1" localSheetId="8" hidden="1">{#N/A,#N/A,FALSE,"Trading-Mult ";#N/A,#N/A,FALSE,"M&amp;A info"}</definedName>
    <definedName name="swqwswswswqw_1" hidden="1">{#N/A,#N/A,FALSE,"Trading-Mult ";#N/A,#N/A,FALSE,"M&amp;A info"}</definedName>
    <definedName name="swr" localSheetId="8" hidden="1">{"Polymers Details",#N/A,FALSE,"Current Yr";"Polymer Details",#N/A,FALSE,"Budget";"Polymer Details",#N/A,FALSE,"Prior Year"}</definedName>
    <definedName name="swr" hidden="1">{"Polymers Details",#N/A,FALSE,"Current Yr";"Polymer Details",#N/A,FALSE,"Budget";"Polymer Details",#N/A,FALSE,"Prior Year"}</definedName>
    <definedName name="Swvu" hidden="1">#REF!</definedName>
    <definedName name="Swvu.Ausgabe." hidden="1">#REF!</definedName>
    <definedName name="Swvu.CE_BF_AG." hidden="1">#REF!</definedName>
    <definedName name="Swvu.CE_BF_MGD." hidden="1">#REF!</definedName>
    <definedName name="Swvu.CE_BF_RICLASS." hidden="1">#REF!</definedName>
    <definedName name="Swvu.ce_storici." hidden="1">#REF!</definedName>
    <definedName name="Swvu.dd." hidden="1">#REF!</definedName>
    <definedName name="Swvu.Eingabe." hidden="1">#REF!</definedName>
    <definedName name="Swvu.Extracommissioni." hidden="1">#REF!</definedName>
    <definedName name="Swvu.FASE1_BUDGET." hidden="1">#REF!</definedName>
    <definedName name="Swvu.FASE1_PREC." hidden="1">#REF!</definedName>
    <definedName name="Swvu.FASE1_REVBUDGET." hidden="1">#REF!</definedName>
    <definedName name="Swvu.FASE2_BUDGET." hidden="1">#REF!</definedName>
    <definedName name="Swvu.FASE2_PREC." hidden="1">#REF!</definedName>
    <definedName name="Swvu.FASE2_REVBUDGET." hidden="1">#REF!</definedName>
    <definedName name="Swvu.FASE3_BUDGET." hidden="1">#REF!</definedName>
    <definedName name="Swvu.FASE3_PREC." hidden="1">#REF!</definedName>
    <definedName name="Swvu.FASE3_REVBUDGET." hidden="1">#REF!</definedName>
    <definedName name="Swvu.FASE4_BUDGET." hidden="1">#REF!</definedName>
    <definedName name="Swvu.FASE4_PREC." hidden="1">#REF!</definedName>
    <definedName name="Swvu.FASE4_REVBUDGET." hidden="1">#REF!</definedName>
    <definedName name="Swvu.FASI_RIEPILOGO_BUDGET." hidden="1">#REF!</definedName>
    <definedName name="Swvu.FASI_RIEPILOGO_PREC." hidden="1">#REF!</definedName>
    <definedName name="Swvu.FASI_RIEPILOGO_REVBUDGET." hidden="1">#REF!</definedName>
    <definedName name="Swvu.IMPOSTE_BF." hidden="1">#REF!</definedName>
    <definedName name="Swvu.inputs._.raw._.data." hidden="1">#REF!</definedName>
    <definedName name="Swvu.MDC1." hidden="1">#REF!</definedName>
    <definedName name="Swvu.MDC2." hidden="1">#REF!</definedName>
    <definedName name="Swvu.MDC3." hidden="1">#REF!</definedName>
    <definedName name="Swvu.MDC4." hidden="1">#REF!</definedName>
    <definedName name="Swvu.Page4." hidden="1">#REF!</definedName>
    <definedName name="Swvu.PREC_CE_BF_AREE_GEST." hidden="1">#REF!</definedName>
    <definedName name="Swvu.PREC_CE_BF_MGD." hidden="1">#REF!</definedName>
    <definedName name="Swvu.PREC_CE_BF_UTILE." hidden="1">#REF!</definedName>
    <definedName name="Swvu.RACC_IMP." hidden="1">#REF!</definedName>
    <definedName name="Swvu.REV_DIV." hidden="1">#REF!</definedName>
    <definedName name="Swvu.RIEPILOGOFASI_BUDGET." hidden="1">#REF!</definedName>
    <definedName name="Swvu.Servizi_bancari." hidden="1">#REF!</definedName>
    <definedName name="Swvu.Servizi_finanziari." hidden="1">#REF!</definedName>
    <definedName name="Swvu.summary1." hidden="1">#REF!</definedName>
    <definedName name="Swvu.summary2." hidden="1">#REF!</definedName>
    <definedName name="Swvu.summary3." hidden="1">#REF!</definedName>
    <definedName name="SWW" localSheetId="8" hidden="1">{#N/A,#N/A,FALSE,"Aging Summary";#N/A,#N/A,FALSE,"Ratio Analysis";#N/A,#N/A,FALSE,"Test 120 Day Accts";#N/A,#N/A,FALSE,"Tickmarks"}</definedName>
    <definedName name="SWW" hidden="1">{#N/A,#N/A,FALSE,"Aging Summary";#N/A,#N/A,FALSE,"Ratio Analysis";#N/A,#N/A,FALSE,"Test 120 Day Accts";#N/A,#N/A,FALSE,"Tickmarks"}</definedName>
    <definedName name="SX" localSheetId="7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SX" localSheetId="8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SX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synthese" localSheetId="8" hidden="1">{"tbl1",#N/A,FALSE,"regul";"tbl2",#N/A,FALSE,"regul"}</definedName>
    <definedName name="synthese" hidden="1">{"tbl1",#N/A,FALSE,"regul";"tbl2",#N/A,FALSE,"regul"}</definedName>
    <definedName name="sz" localSheetId="8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sz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szx" localSheetId="8" hidden="1">{"LAPO2N2",#N/A,FALSE,"CM"}</definedName>
    <definedName name="szx" hidden="1">{"LAPO2N2",#N/A,FALSE,"CM"}</definedName>
    <definedName name="szzz" localSheetId="8" hidden="1">{#N/A,#N/A,FALSE,"P&amp;L"}</definedName>
    <definedName name="szzz" hidden="1">{#N/A,#N/A,FALSE,"P&amp;L"}</definedName>
    <definedName name="szzz_1" localSheetId="8" hidden="1">{#N/A,#N/A,FALSE,"P&amp;L"}</definedName>
    <definedName name="szzz_1" hidden="1">{#N/A,#N/A,FALSE,"P&amp;L"}</definedName>
    <definedName name="szzzs" localSheetId="8" hidden="1">{#N/A,#N/A,FALSE,"P&amp;L"}</definedName>
    <definedName name="szzzs" hidden="1">{#N/A,#N/A,FALSE,"P&amp;L"}</definedName>
    <definedName name="szzzs_1" localSheetId="8" hidden="1">{#N/A,#N/A,FALSE,"P&amp;L"}</definedName>
    <definedName name="szzzs_1" hidden="1">{#N/A,#N/A,FALSE,"P&amp;L"}</definedName>
    <definedName name="t" localSheetId="7" hidden="1">Main.SAPF4Help()</definedName>
    <definedName name="t" localSheetId="8" hidden="1">Main.SAPF4Help()</definedName>
    <definedName name="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t.2" localSheetId="8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t.2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t.5" localSheetId="8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t.5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T1det" localSheetId="8" hidden="1">{#N/A,#N/A,FALSE,"MERCHANT GAS MARGIN";#N/A,#N/A,FALSE,"BULK";#N/A,#N/A,FALSE,"BULK CO2";#N/A,#N/A,FALSE,"ON-SITE";#N/A,#N/A,FALSE,"CYLINDERS"}</definedName>
    <definedName name="T1det" hidden="1">{#N/A,#N/A,FALSE,"MERCHANT GAS MARGIN";#N/A,#N/A,FALSE,"BULK";#N/A,#N/A,FALSE,"BULK CO2";#N/A,#N/A,FALSE,"ON-SITE";#N/A,#N/A,FALSE,"CYLINDERS"}</definedName>
    <definedName name="T1det_1" localSheetId="8" hidden="1">{#N/A,#N/A,FALSE,"MERCHANT GAS MARGIN";#N/A,#N/A,FALSE,"BULK";#N/A,#N/A,FALSE,"BULK CO2";#N/A,#N/A,FALSE,"ON-SITE";#N/A,#N/A,FALSE,"CYLINDERS"}</definedName>
    <definedName name="T1det_1" hidden="1">{#N/A,#N/A,FALSE,"MERCHANT GAS MARGIN";#N/A,#N/A,FALSE,"BULK";#N/A,#N/A,FALSE,"BULK CO2";#N/A,#N/A,FALSE,"ON-SITE";#N/A,#N/A,FALSE,"CYLINDERS"}</definedName>
    <definedName name="ta" localSheetId="8" hidden="1">{"BA detail",#N/A,FALSE,"Q3YTD "}</definedName>
    <definedName name="ta" hidden="1">{"BA detail",#N/A,FALSE,"Q3YTD "}</definedName>
    <definedName name="taag" localSheetId="8" hidden="1">{#N/A,#N/A,TRUE,"Voorblad";#N/A,#N/A,TRUE,"Table of Content A";#N/A,#N/A,TRUE,"A1-Summ- Key Figures";#N/A,#N/A,TRUE,"A2-Summ Month Man";#N/A,#N/A,TRUE,"A3-P&amp;L by Bus.Unt-Serv.Unt";#N/A,#N/A,TRUE,"A4-P&amp;L by Old org.";#N/A,#N/A,TRUE,"A6-Bal_Sheet CF by Old org. ";#N/A,#N/A,TRUE,"A8-Headc.Funct."}</definedName>
    <definedName name="taag" hidden="1">{#N/A,#N/A,TRUE,"Voorblad";#N/A,#N/A,TRUE,"Table of Content A";#N/A,#N/A,TRUE,"A1-Summ- Key Figures";#N/A,#N/A,TRUE,"A2-Summ Month Man";#N/A,#N/A,TRUE,"A3-P&amp;L by Bus.Unt-Serv.Unt";#N/A,#N/A,TRUE,"A4-P&amp;L by Old org.";#N/A,#N/A,TRUE,"A6-Bal_Sheet CF by Old org. ";#N/A,#N/A,TRUE,"A8-Headc.Funct."}</definedName>
    <definedName name="tabla" localSheetId="8" hidden="1">{#N/A,#N/A,FALSE,"Resumen";#N/A,#N/A,FALSE,"Full";#N/A,"Carabeer",FALSE,"Dscto.";#N/A,"Disbracentro",FALSE,"Dscto.";#N/A,"Andes",FALSE,"Dscto.";#N/A,"Mar Caribe",FALSE,"Dscto.";#N/A,"Río Beer",FALSE,"Dscto.";#N/A,#N/A,FALSE,"P.L.Full";#N/A,#N/A,FALSE,"P.L.Desc."}</definedName>
    <definedName name="tabla" hidden="1">{#N/A,#N/A,FALSE,"Resumen";#N/A,#N/A,FALSE,"Full";#N/A,"Carabeer",FALSE,"Dscto.";#N/A,"Disbracentro",FALSE,"Dscto.";#N/A,"Andes",FALSE,"Dscto.";#N/A,"Mar Caribe",FALSE,"Dscto.";#N/A,"Río Beer",FALSE,"Dscto.";#N/A,#N/A,FALSE,"P.L.Full";#N/A,#N/A,FALSE,"P.L.Desc."}</definedName>
    <definedName name="tabla_1" localSheetId="8" hidden="1">{#N/A,#N/A,FALSE,"Resumen";#N/A,#N/A,FALSE,"Full";#N/A,"Carabeer",FALSE,"Dscto.";#N/A,"Disbracentro",FALSE,"Dscto.";#N/A,"Andes",FALSE,"Dscto.";#N/A,"Mar Caribe",FALSE,"Dscto.";#N/A,"Río Beer",FALSE,"Dscto.";#N/A,#N/A,FALSE,"P.L.Full";#N/A,#N/A,FALSE,"P.L.Desc."}</definedName>
    <definedName name="tabla_1" hidden="1">{#N/A,#N/A,FALSE,"Resumen";#N/A,#N/A,FALSE,"Full";#N/A,"Carabeer",FALSE,"Dscto.";#N/A,"Disbracentro",FALSE,"Dscto.";#N/A,"Andes",FALSE,"Dscto.";#N/A,"Mar Caribe",FALSE,"Dscto.";#N/A,"Río Beer",FALSE,"Dscto.";#N/A,#N/A,FALSE,"P.L.Full";#N/A,#N/A,FALSE,"P.L.Desc."}</definedName>
    <definedName name="tabla1" localSheetId="8" hidden="1">{#N/A,#N/A,FALSE,"Resumen";#N/A,#N/A,FALSE,"Full";#N/A,"Carabeer",FALSE,"Dscto.";#N/A,"Disbracentro",FALSE,"Dscto.";#N/A,"Andes",FALSE,"Dscto.";#N/A,"Mar Caribe",FALSE,"Dscto.";#N/A,"Río Beer",FALSE,"Dscto.";#N/A,#N/A,FALSE,"P.L.Full";#N/A,#N/A,FALSE,"P.L.Desc."}</definedName>
    <definedName name="tabla1" hidden="1">{#N/A,#N/A,FALSE,"Resumen";#N/A,#N/A,FALSE,"Full";#N/A,"Carabeer",FALSE,"Dscto.";#N/A,"Disbracentro",FALSE,"Dscto.";#N/A,"Andes",FALSE,"Dscto.";#N/A,"Mar Caribe",FALSE,"Dscto.";#N/A,"Río Beer",FALSE,"Dscto.";#N/A,#N/A,FALSE,"P.L.Full";#N/A,#N/A,FALSE,"P.L.Desc."}</definedName>
    <definedName name="tabla1_1" localSheetId="8" hidden="1">{#N/A,#N/A,FALSE,"Resumen";#N/A,#N/A,FALSE,"Full";#N/A,"Carabeer",FALSE,"Dscto.";#N/A,"Disbracentro",FALSE,"Dscto.";#N/A,"Andes",FALSE,"Dscto.";#N/A,"Mar Caribe",FALSE,"Dscto.";#N/A,"Río Beer",FALSE,"Dscto.";#N/A,#N/A,FALSE,"P.L.Full";#N/A,#N/A,FALSE,"P.L.Desc."}</definedName>
    <definedName name="tabla1_1" hidden="1">{#N/A,#N/A,FALSE,"Resumen";#N/A,#N/A,FALSE,"Full";#N/A,"Carabeer",FALSE,"Dscto.";#N/A,"Disbracentro",FALSE,"Dscto.";#N/A,"Andes",FALSE,"Dscto.";#N/A,"Mar Caribe",FALSE,"Dscto.";#N/A,"Río Beer",FALSE,"Dscto.";#N/A,#N/A,FALSE,"P.L.Full";#N/A,#N/A,FALSE,"P.L.Desc."}</definedName>
    <definedName name="table" localSheetId="8" hidden="1">{"'TYPE (2)'!$A$1:$Q$76"}</definedName>
    <definedName name="table" hidden="1">{"'TYPE (2)'!$A$1:$Q$76"}</definedName>
    <definedName name="Taboada" localSheetId="8" hidden="1">{#N/A,#N/A,FALSE,"Datos";#N/A,#N/A,FALSE,"PartCap";#N/A,#N/A,FALSE,"Gtos-II";#N/A,#N/A,FALSE,"Inm.Mat1";#N/A,#N/A,FALSE,"Inm.Mat2";#N/A,#N/A,FALSE,"Inm.Fin";#N/A,#N/A,FALSE,"DeudAcre";#N/A,#N/A,FALSE,"Exist.Prov";#N/A,#N/A,FALSE,"Patrim.";#N/A,#N/A,FALSE,"IaD ";#N/A,#N/A,FALSE,"IptoSdes1";#N/A,#N/A,FALSE,"IptoSdes2";#N/A,#N/A,FALSE,"Ajust.IM";#N/A,#N/A,FALSE,"Ajust.Exi";#N/A,#N/A,FALSE,"Ajust.Div";#N/A,#N/A,FALSE,"Ajust.IF";#N/A,#N/A,FALSE,"Compvta";#N/A,#N/A,FALSE,"Avales";#N/A,#N/A,FALSE,"Conting.";#N/A,#N/A,FALSE,"Otra infor.1";#N/A,#N/A,FALSE,"Otra infor.2"}</definedName>
    <definedName name="Taboada" hidden="1">{#N/A,#N/A,FALSE,"Datos";#N/A,#N/A,FALSE,"PartCap";#N/A,#N/A,FALSE,"Gtos-II";#N/A,#N/A,FALSE,"Inm.Mat1";#N/A,#N/A,FALSE,"Inm.Mat2";#N/A,#N/A,FALSE,"Inm.Fin";#N/A,#N/A,FALSE,"DeudAcre";#N/A,#N/A,FALSE,"Exist.Prov";#N/A,#N/A,FALSE,"Patrim.";#N/A,#N/A,FALSE,"IaD ";#N/A,#N/A,FALSE,"IptoSdes1";#N/A,#N/A,FALSE,"IptoSdes2";#N/A,#N/A,FALSE,"Ajust.IM";#N/A,#N/A,FALSE,"Ajust.Exi";#N/A,#N/A,FALSE,"Ajust.Div";#N/A,#N/A,FALSE,"Ajust.IF";#N/A,#N/A,FALSE,"Compvta";#N/A,#N/A,FALSE,"Avales";#N/A,#N/A,FALSE,"Conting.";#N/A,#N/A,FALSE,"Otra infor.1";#N/A,#N/A,FALSE,"Otra infor.2"}</definedName>
    <definedName name="tabta" localSheetId="8" hidden="1">{#N/A,#N/A,FALSE,"Aging Summary";#N/A,#N/A,FALSE,"Ratio Analysis";#N/A,#N/A,FALSE,"Test 120 Day Accts";#N/A,#N/A,FALSE,"Tickmarks"}</definedName>
    <definedName name="tabta" hidden="1">{#N/A,#N/A,FALSE,"Aging Summary";#N/A,#N/A,FALSE,"Ratio Analysis";#N/A,#N/A,FALSE,"Test 120 Day Accts";#N/A,#N/A,FALSE,"Tickmarks"}</definedName>
    <definedName name="tai.v4" localSheetId="8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tai.v4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Tail.2" localSheetId="8" hidden="1">{#N/A,#N/A,FALSE,"KA CH  (2)"}</definedName>
    <definedName name="Tail.2" hidden="1">{#N/A,#N/A,FALSE,"KA CH  (2)"}</definedName>
    <definedName name="tamas" hidden="1">#REF!</definedName>
    <definedName name="taxol" localSheetId="7" hidden="1">{#N/A,#N/A,FALSE,"Pharm";#N/A,#N/A,FALSE,"WWCM"}</definedName>
    <definedName name="taxol" localSheetId="8" hidden="1">{#N/A,#N/A,FALSE,"Pharm";#N/A,#N/A,FALSE,"WWCM"}</definedName>
    <definedName name="taxol" hidden="1">{#N/A,#N/A,FALSE,"Pharm";#N/A,#N/A,FALSE,"WWCM"}</definedName>
    <definedName name="Taxpb" hidden="1">#REF!</definedName>
    <definedName name="tb" localSheetId="8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tb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TBdbName" hidden="1">"88D5BF544BE111D2B8C5006097494125.mdb"</definedName>
    <definedName name="tbl_ProdInfo" hidden="1">#REF!</definedName>
    <definedName name="TC" hidden="1">{#N/A,#N/A,FALSE,"GRAFICO";#N/A,#N/A,FALSE,"CAJA (2)";#N/A,#N/A,FALSE,"TERCEROS-PROMEDIO";#N/A,#N/A,FALSE,"CAJA";#N/A,#N/A,FALSE,"INGRESOS1995-2003";#N/A,#N/A,FALSE,"GASTOS1995-2003"}</definedName>
    <definedName name="TCredo" localSheetId="8" hidden="1">{#N/A,#N/A,FALSE,"ACQ_GRAPHS";#N/A,#N/A,FALSE,"T_1 GRAPHS";#N/A,#N/A,FALSE,"T_2 GRAPHS";#N/A,#N/A,FALSE,"COMB_GRAPHS"}</definedName>
    <definedName name="TCredo" hidden="1">{#N/A,#N/A,FALSE,"ACQ_GRAPHS";#N/A,#N/A,FALSE,"T_1 GRAPHS";#N/A,#N/A,FALSE,"T_2 GRAPHS";#N/A,#N/A,FALSE,"COMB_GRAPHS"}</definedName>
    <definedName name="TCwrn" localSheetId="8" hidden="1">{#N/A,#N/A,FALSE,"INPUTS";#N/A,#N/A,FALSE,"PROFORMA BSHEET";#N/A,#N/A,FALSE,"COMBINED";#N/A,#N/A,FALSE,"ACQUIROR";#N/A,#N/A,FALSE,"TARGET 1";#N/A,#N/A,FALSE,"TARGET 2";#N/A,#N/A,FALSE,"HIGH YIELD";#N/A,#N/A,FALSE,"OVERFUND"}</definedName>
    <definedName name="TCwrn" hidden="1">{#N/A,#N/A,FALSE,"INPUTS";#N/A,#N/A,FALSE,"PROFORMA BSHEET";#N/A,#N/A,FALSE,"COMBINED";#N/A,#N/A,FALSE,"ACQUIROR";#N/A,#N/A,FALSE,"TARGET 1";#N/A,#N/A,FALSE,"TARGET 2";#N/A,#N/A,FALSE,"HIGH YIELD";#N/A,#N/A,FALSE,"OVERFUND"}</definedName>
    <definedName name="TCwrn.comb" localSheetId="8" hidden="1">{#N/A,#N/A,FALSE,"INPUTS";#N/A,#N/A,FALSE,"PROFORMA BSHEET";#N/A,#N/A,FALSE,"COMBINED";#N/A,#N/A,FALSE,"HIGH YIELD";#N/A,#N/A,FALSE,"COMB_GRAPHS"}</definedName>
    <definedName name="TCwrn.comb" hidden="1">{#N/A,#N/A,FALSE,"INPUTS";#N/A,#N/A,FALSE,"PROFORMA BSHEET";#N/A,#N/A,FALSE,"COMBINED";#N/A,#N/A,FALSE,"HIGH YIELD";#N/A,#N/A,FALSE,"COMB_GRAPHS"}</definedName>
    <definedName name="TCwrn.graphs" localSheetId="8" hidden="1">{#N/A,#N/A,FALSE,"ACQ_GRAPHS";#N/A,#N/A,FALSE,"T_1 GRAPHS";#N/A,#N/A,FALSE,"T_2 GRAPHS";#N/A,#N/A,FALSE,"COMB_GRAPHS"}</definedName>
    <definedName name="TCwrn.graphs" hidden="1">{#N/A,#N/A,FALSE,"ACQ_GRAPHS";#N/A,#N/A,FALSE,"T_1 GRAPHS";#N/A,#N/A,FALSE,"T_2 GRAPHS";#N/A,#N/A,FALSE,"COMB_GRAPHS"}</definedName>
    <definedName name="TCwrn.val" localSheetId="8" hidden="1">{#N/A,#N/A,FALSE,"Valuation Assumptions";#N/A,#N/A,FALSE,"Summary";#N/A,#N/A,FALSE,"DCF";#N/A,#N/A,FALSE,"Valuation";#N/A,#N/A,FALSE,"WACC";#N/A,#N/A,FALSE,"UBVH";#N/A,#N/A,FALSE,"Free Cash Flow"}</definedName>
    <definedName name="TCwrn.val" hidden="1">{#N/A,#N/A,FALSE,"Valuation Assumptions";#N/A,#N/A,FALSE,"Summary";#N/A,#N/A,FALSE,"DCF";#N/A,#N/A,FALSE,"Valuation";#N/A,#N/A,FALSE,"WACC";#N/A,#N/A,FALSE,"UBVH";#N/A,#N/A,FALSE,"Free Cash Flow"}</definedName>
    <definedName name="td" localSheetId="8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td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tdf54r" localSheetId="8" hidden="1">{"BR Usage TOT - TOTAL",#N/A,FALSE,"BR Usage TOT";"BR Usage SUB - TOTAL",#N/A,FALSE,"BR Usage SUB";"BR REV - TOTAL",#N/A,FALSE,"BR REV";"BR Rev Min - TOTAL",#N/A,FALSE,"BR Rev Min";"BR ARPU - TOTAL",#N/A,FALSE," BR ARPU";"BR COS - TOTAL",#N/A,FALSE,"BR COS";"BR COS Min - TOTAL",#N/A,FALSE,"BR COS Min"}</definedName>
    <definedName name="tdf54r" hidden="1">{"BR Usage TOT - TOTAL",#N/A,FALSE,"BR Usage TOT";"BR Usage SUB - TOTAL",#N/A,FALSE,"BR Usage SUB";"BR REV - TOTAL",#N/A,FALSE,"BR REV";"BR Rev Min - TOTAL",#N/A,FALSE,"BR Rev Min";"BR ARPU - TOTAL",#N/A,FALSE," BR ARPU";"BR COS - TOTAL",#N/A,FALSE,"BR COS";"BR COS Min - TOTAL",#N/A,FALSE,"BR COS Min"}</definedName>
    <definedName name="tdyj" localSheetId="8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tdyj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tdyj_1" localSheetId="8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tdyj_1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te" localSheetId="8" hidden="1">{"pro_view",#N/A,FALSE,"EEFSNAP2";"rep_view",#N/A,FALSE,"EEFSNAP2"}</definedName>
    <definedName name="te" hidden="1">{"pro_view",#N/A,FALSE,"EEFSNAP2";"rep_view",#N/A,FALSE,"EEFSNAP2"}</definedName>
    <definedName name="Tech" localSheetId="8" hidden="1">{"People Table",#N/A,FALSE,"Sheet1";"Function table",#N/A,FALSE,"Sheet1"}</definedName>
    <definedName name="Tech" hidden="1">{"People Table",#N/A,FALSE,"Sheet1";"Function table",#N/A,FALSE,"Sheet1"}</definedName>
    <definedName name="Techaug" localSheetId="8" hidden="1">{"People Table",#N/A,FALSE,"Sheet1";"Function table",#N/A,FALSE,"Sheet1"}</definedName>
    <definedName name="Techaug" hidden="1">{"People Table",#N/A,FALSE,"Sheet1";"Function table",#N/A,FALSE,"Sheet1"}</definedName>
    <definedName name="tehy" localSheetId="8" hidden="1">{"common",#N/A,TRUE,"Common Input";"Sum Res_010",#N/A,TRUE,"Res_010";"Sum Res_011",#N/A,TRUE,"Res_011";"Sum Res_012",#N/A,TRUE,"Res_012";"Sum Res_013",#N/A,TRUE,"Res_013"}</definedName>
    <definedName name="tehy" hidden="1">{"common",#N/A,TRUE,"Common Input";"Sum Res_010",#N/A,TRUE,"Res_010";"Sum Res_011",#N/A,TRUE,"Res_011";"Sum Res_012",#N/A,TRUE,"Res_012";"Sum Res_013",#N/A,TRUE,"Res_013"}</definedName>
    <definedName name="telecom" localSheetId="8" hidden="1">{#N/A,#N/A,TRUE,"Voorblad B";#N/A,#N/A,TRUE,"Table of Content FinCom B";#N/A,#N/A,TRUE,"A3-P&amp;L by Bus.Unt-Serv.Unt";#N/A,#N/A,TRUE,"Summary carrier service";#N/A,#N/A,TRUE,"Summary Large accounts";#N/A,#N/A,TRUE,"Summary Consumer";#N/A,#N/A,TRUE,"Mobile";#N/A,#N/A,TRUE,"B5-Mobile(1) ";#N/A,#N/A,TRUE,"B4-GM per Product";#N/A,#N/A,TRUE,"Summary N&amp;S";#N/A,#N/A,TRUE,"B15-Network ";#N/A,#N/A,TRUE,"Summary ITbilling";#N/A,#N/A,TRUE,"Billing backlog";#N/A,#N/A,TRUE,"Summary Corporate";#N/A,#N/A,TRUE,"A5-Bal_Sheet CF";#N/A,#N/A,TRUE,"A6-Bal_Sheet CF by Old org. ";#N/A,#N/A,TRUE,"P13-Funding- Inter.";#N/A,#N/A,TRUE,"P14-Risk &amp; Fraud Fixed";#N/A,#N/A,TRUE,"P14-Risk &amp; Fraud Mobile";#N/A,#N/A,TRUE,"Accounts payable"}</definedName>
    <definedName name="telecom" hidden="1">{#N/A,#N/A,TRUE,"Voorblad B";#N/A,#N/A,TRUE,"Table of Content FinCom B";#N/A,#N/A,TRUE,"A3-P&amp;L by Bus.Unt-Serv.Unt";#N/A,#N/A,TRUE,"Summary carrier service";#N/A,#N/A,TRUE,"Summary Large accounts";#N/A,#N/A,TRUE,"Summary Consumer";#N/A,#N/A,TRUE,"Mobile";#N/A,#N/A,TRUE,"B5-Mobile(1) ";#N/A,#N/A,TRUE,"B4-GM per Product";#N/A,#N/A,TRUE,"Summary N&amp;S";#N/A,#N/A,TRUE,"B15-Network ";#N/A,#N/A,TRUE,"Summary ITbilling";#N/A,#N/A,TRUE,"Billing backlog";#N/A,#N/A,TRUE,"Summary Corporate";#N/A,#N/A,TRUE,"A5-Bal_Sheet CF";#N/A,#N/A,TRUE,"A6-Bal_Sheet CF by Old org. ";#N/A,#N/A,TRUE,"P13-Funding- Inter.";#N/A,#N/A,TRUE,"P14-Risk &amp; Fraud Fixed";#N/A,#N/A,TRUE,"P14-Risk &amp; Fraud Mobile";#N/A,#N/A,TRUE,"Accounts payable"}</definedName>
    <definedName name="telefonia" localSheetId="8" hidden="1">{#N/A,#N/A,FALSE,"CA";#N/A,#N/A,FALSE,"CN";#N/A,#N/A,FALSE,"Inv";#N/A,#N/A,FALSE,"Inv Acc";"Miguel_balance",#N/A,FALSE,"Bal";#N/A,#N/A,FALSE,"Plantilla";#N/A,#N/A,FALSE,"CA (2)";#N/A,#N/A,FALSE,"CN (2)"}</definedName>
    <definedName name="telefonia" hidden="1">{#N/A,#N/A,FALSE,"CA";#N/A,#N/A,FALSE,"CN";#N/A,#N/A,FALSE,"Inv";#N/A,#N/A,FALSE,"Inv Acc";"Miguel_balance",#N/A,FALSE,"Bal";#N/A,#N/A,FALSE,"Plantilla";#N/A,#N/A,FALSE,"CA (2)";#N/A,#N/A,FALSE,"CN (2)"}</definedName>
    <definedName name="telefonia_bis" localSheetId="8" hidden="1">{#N/A,#N/A,FALSE,"CA";#N/A,#N/A,FALSE,"CN";#N/A,#N/A,FALSE,"Inv";#N/A,#N/A,FALSE,"Inv Acc";"Miguel_balance",#N/A,FALSE,"Bal";#N/A,#N/A,FALSE,"Plantilla";#N/A,#N/A,FALSE,"CA (2)";#N/A,#N/A,FALSE,"CN (2)"}</definedName>
    <definedName name="telefonia_bis" hidden="1">{#N/A,#N/A,FALSE,"CA";#N/A,#N/A,FALSE,"CN";#N/A,#N/A,FALSE,"Inv";#N/A,#N/A,FALSE,"Inv Acc";"Miguel_balance",#N/A,FALSE,"Bal";#N/A,#N/A,FALSE,"Plantilla";#N/A,#N/A,FALSE,"CA (2)";#N/A,#N/A,FALSE,"CN (2)"}</definedName>
    <definedName name="Tem" localSheetId="7" hidden="1">{#N/A,#N/A,FALSE,"Pharm";#N/A,#N/A,FALSE,"WWCM"}</definedName>
    <definedName name="Tem" localSheetId="8" hidden="1">{#N/A,#N/A,FALSE,"Pharm";#N/A,#N/A,FALSE,"WWCM"}</definedName>
    <definedName name="Tem" hidden="1">{#N/A,#N/A,FALSE,"Pharm";#N/A,#N/A,FALSE,"WWCM"}</definedName>
    <definedName name="Temp_2" localSheetId="8" hidden="1">{#N/A,#N/A,FALSE,"Assessment";#N/A,#N/A,FALSE,"Staffing";#N/A,#N/A,FALSE,"Hires";#N/A,#N/A,FALSE,"Assumptions"}</definedName>
    <definedName name="Temp_2" hidden="1">{#N/A,#N/A,FALSE,"Assessment";#N/A,#N/A,FALSE,"Staffing";#N/A,#N/A,FALSE,"Hires";#N/A,#N/A,FALSE,"Assumptions"}</definedName>
    <definedName name="Temp_2_1" localSheetId="8" hidden="1">{#N/A,#N/A,FALSE,"Assessment";#N/A,#N/A,FALSE,"Staffing";#N/A,#N/A,FALSE,"Hires";#N/A,#N/A,FALSE,"Assumptions"}</definedName>
    <definedName name="Temp_2_1" hidden="1">{#N/A,#N/A,FALSE,"Assessment";#N/A,#N/A,FALSE,"Staffing";#N/A,#N/A,FALSE,"Hires";#N/A,#N/A,FALSE,"Assumptions"}</definedName>
    <definedName name="Temp_3" localSheetId="8" hidden="1">{#N/A,#N/A,FALSE,"Assessment";#N/A,#N/A,FALSE,"Staffing";#N/A,#N/A,FALSE,"Hires";#N/A,#N/A,FALSE,"Assumptions"}</definedName>
    <definedName name="Temp_3" hidden="1">{#N/A,#N/A,FALSE,"Assessment";#N/A,#N/A,FALSE,"Staffing";#N/A,#N/A,FALSE,"Hires";#N/A,#N/A,FALSE,"Assumptions"}</definedName>
    <definedName name="Temp_3_1" localSheetId="8" hidden="1">{#N/A,#N/A,FALSE,"Assessment";#N/A,#N/A,FALSE,"Staffing";#N/A,#N/A,FALSE,"Hires";#N/A,#N/A,FALSE,"Assumptions"}</definedName>
    <definedName name="Temp_3_1" hidden="1">{#N/A,#N/A,FALSE,"Assessment";#N/A,#N/A,FALSE,"Staffing";#N/A,#N/A,FALSE,"Hires";#N/A,#N/A,FALSE,"Assumptions"}</definedName>
    <definedName name="TEMPLATE" hidden="1">"ManagementReport"</definedName>
    <definedName name="teq" localSheetId="7" hidden="1">{#N/A,#N/A,FALSE,"Pharm";#N/A,#N/A,FALSE,"WWCM"}</definedName>
    <definedName name="teq" localSheetId="8" hidden="1">{#N/A,#N/A,FALSE,"Pharm";#N/A,#N/A,FALSE,"WWCM"}</definedName>
    <definedName name="teq" hidden="1">{#N/A,#N/A,FALSE,"Pharm";#N/A,#N/A,FALSE,"WWCM"}</definedName>
    <definedName name="Tequin" localSheetId="7" hidden="1">{#N/A,#N/A,FALSE,"Pharm";#N/A,#N/A,FALSE,"WWCM"}</definedName>
    <definedName name="Tequin" localSheetId="8" hidden="1">{#N/A,#N/A,FALSE,"Pharm";#N/A,#N/A,FALSE,"WWCM"}</definedName>
    <definedName name="Tequin" hidden="1">{#N/A,#N/A,FALSE,"Pharm";#N/A,#N/A,FALSE,"WWCM"}</definedName>
    <definedName name="tequinol" localSheetId="7" hidden="1">{#N/A,#N/A,FALSE,"REPORT"}</definedName>
    <definedName name="tequinol" localSheetId="8" hidden="1">{#N/A,#N/A,FALSE,"REPORT"}</definedName>
    <definedName name="tequinol" hidden="1">{#N/A,#N/A,FALSE,"REPORT"}</definedName>
    <definedName name="ter" localSheetId="8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ter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terc" localSheetId="8" hidden="1">{"YD GENERALH2",#N/A,FALSE,"YTD"}</definedName>
    <definedName name="terc" hidden="1">{"YD GENERALH2",#N/A,FALSE,"YTD"}</definedName>
    <definedName name="tertws" hidden="1">#REF!</definedName>
    <definedName name="Test" localSheetId="7" hidden="1">{#N/A,#N/A,FALSE,"JA.1";#N/A,#N/A,FALSE,"JA.2";#N/A,#N/A,FALSE,"JA.3";#N/A,#N/A,FALSE,"JA.4";#N/A,#N/A,FALSE,"JA.5";#N/A,#N/A,FALSE,"JA.6";#N/A,#N/A,FALSE,"JA.7";#N/A,#N/A,FALSE,"JA.8";#N/A,#N/A,FALSE,"JA.9";#N/A,#N/A,FALSE,"JA.10";#N/A,#N/A,FALSE,"JB.1";#N/A,#N/A,FALSE,"JB.2";#N/A,#N/A,FALSE,"JB.3";#N/A,#N/A,FALSE,"JB.4";#N/A,#N/A,FALSE,"JB.5";#N/A,#N/A,FALSE,"JB.6";#N/A,#N/A,FALSE,"JB.7";#N/A,#N/A,FALSE,"JB.8";#N/A,#N/A,FALSE,"JB.9";#N/A,#N/A,FALSE,"JB.10";#N/A,#N/A,FALSE,"JC.1";#N/A,#N/A,FALSE,"JC.2";#N/A,#N/A,FALSE,"JC.3";#N/A,#N/A,FALSE,"JC.4";#N/A,#N/A,FALSE,"JC.5";#N/A,#N/A,FALSE,"JC.6";#N/A,#N/A,FALSE,"JC.7";#N/A,#N/A,FALSE,"JC.8";#N/A,#N/A,FALSE,"JC.9";#N/A,#N/A,FALSE,"JC.10";#N/A,#N/A,FALSE,"JD.1";#N/A,#N/A,FALSE,"JD.2";#N/A,#N/A,FALSE,"JD.3";#N/A,#N/A,FALSE,"JD.4";#N/A,#N/A,FALSE,"JD.5";#N/A,#N/A,FALSE,"JD.6";#N/A,#N/A,FALSE,"JD.7";#N/A,#N/A,FALSE,"JD.8";#N/A,#N/A,FALSE,"JD.9";#N/A,#N/A,FALSE,"JD.10"}</definedName>
    <definedName name="Test" localSheetId="8" hidden="1">{#N/A,#N/A,FALSE,"JA.1";#N/A,#N/A,FALSE,"JA.2";#N/A,#N/A,FALSE,"JA.3";#N/A,#N/A,FALSE,"JA.4";#N/A,#N/A,FALSE,"JA.5";#N/A,#N/A,FALSE,"JA.6";#N/A,#N/A,FALSE,"JA.7";#N/A,#N/A,FALSE,"JA.8";#N/A,#N/A,FALSE,"JA.9";#N/A,#N/A,FALSE,"JA.10";#N/A,#N/A,FALSE,"JB.1";#N/A,#N/A,FALSE,"JB.2";#N/A,#N/A,FALSE,"JB.3";#N/A,#N/A,FALSE,"JB.4";#N/A,#N/A,FALSE,"JB.5";#N/A,#N/A,FALSE,"JB.6";#N/A,#N/A,FALSE,"JB.7";#N/A,#N/A,FALSE,"JB.8";#N/A,#N/A,FALSE,"JB.9";#N/A,#N/A,FALSE,"JB.10";#N/A,#N/A,FALSE,"JC.1";#N/A,#N/A,FALSE,"JC.2";#N/A,#N/A,FALSE,"JC.3";#N/A,#N/A,FALSE,"JC.4";#N/A,#N/A,FALSE,"JC.5";#N/A,#N/A,FALSE,"JC.6";#N/A,#N/A,FALSE,"JC.7";#N/A,#N/A,FALSE,"JC.8";#N/A,#N/A,FALSE,"JC.9";#N/A,#N/A,FALSE,"JC.10";#N/A,#N/A,FALSE,"JD.1";#N/A,#N/A,FALSE,"JD.2";#N/A,#N/A,FALSE,"JD.3";#N/A,#N/A,FALSE,"JD.4";#N/A,#N/A,FALSE,"JD.5";#N/A,#N/A,FALSE,"JD.6";#N/A,#N/A,FALSE,"JD.7";#N/A,#N/A,FALSE,"JD.8";#N/A,#N/A,FALSE,"JD.9";#N/A,#N/A,FALSE,"JD.10"}</definedName>
    <definedName name="test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test_01" localSheetId="8" hidden="1">{#N/A,#N/A,FALSE,"Aging Summary";#N/A,#N/A,FALSE,"Ratio Analysis";#N/A,#N/A,FALSE,"Test 120 Day Accts";#N/A,#N/A,FALSE,"Tickmarks"}</definedName>
    <definedName name="test_01" hidden="1">{#N/A,#N/A,FALSE,"Aging Summary";#N/A,#N/A,FALSE,"Ratio Analysis";#N/A,#N/A,FALSE,"Test 120 Day Accts";#N/A,#N/A,FALSE,"Tickmarks"}</definedName>
    <definedName name="test_01_1" localSheetId="8" hidden="1">{#N/A,#N/A,FALSE,"Aging Summary";#N/A,#N/A,FALSE,"Ratio Analysis";#N/A,#N/A,FALSE,"Test 120 Day Accts";#N/A,#N/A,FALSE,"Tickmarks"}</definedName>
    <definedName name="test_01_1" hidden="1">{#N/A,#N/A,FALSE,"Aging Summary";#N/A,#N/A,FALSE,"Ratio Analysis";#N/A,#N/A,FALSE,"Test 120 Day Accts";#N/A,#N/A,FALSE,"Tickmarks"}</definedName>
    <definedName name="test_1" localSheetId="8" hidden="1">{#N/A,#N/A,FALSE,"Aging Summary";#N/A,#N/A,FALSE,"Ratio Analysis";#N/A,#N/A,FALSE,"Test 120 Day Accts";#N/A,#N/A,FALSE,"Tickmarks"}</definedName>
    <definedName name="test_1" hidden="1">{#N/A,#N/A,FALSE,"Aging Summary";#N/A,#N/A,FALSE,"Ratio Analysis";#N/A,#N/A,FALSE,"Test 120 Day Accts";#N/A,#N/A,FALSE,"Tickmarks"}</definedName>
    <definedName name="Test2" localSheetId="7" hidden="1">{#N/A,#N/A,FALSE,"JA.1";#N/A,#N/A,FALSE,"JA.2";#N/A,#N/A,FALSE,"JA.3";#N/A,#N/A,FALSE,"JA.4";#N/A,#N/A,FALSE,"JA.5";#N/A,#N/A,FALSE,"JA.6";#N/A,#N/A,FALSE,"JA.7";#N/A,#N/A,FALSE,"JA.8";#N/A,#N/A,FALSE,"JA.9";#N/A,#N/A,FALSE,"JA.10";#N/A,#N/A,FALSE,"JB.1";#N/A,#N/A,FALSE,"JB.2";#N/A,#N/A,FALSE,"JB.3";#N/A,#N/A,FALSE,"JB.4";#N/A,#N/A,FALSE,"JB.5";#N/A,#N/A,FALSE,"JB.6";#N/A,#N/A,FALSE,"JB.7";#N/A,#N/A,FALSE,"JB.8";#N/A,#N/A,FALSE,"JB.9";#N/A,#N/A,FALSE,"JB.10";#N/A,#N/A,FALSE,"JC.1";#N/A,#N/A,FALSE,"JC.2";#N/A,#N/A,FALSE,"JC.3";#N/A,#N/A,FALSE,"JC.4";#N/A,#N/A,FALSE,"JC.5";#N/A,#N/A,FALSE,"JC.6";#N/A,#N/A,FALSE,"JC.7";#N/A,#N/A,FALSE,"JC.8";#N/A,#N/A,FALSE,"JC.9";#N/A,#N/A,FALSE,"JC.10";#N/A,#N/A,FALSE,"JD.1";#N/A,#N/A,FALSE,"JD.2";#N/A,#N/A,FALSE,"JD.3";#N/A,#N/A,FALSE,"JD.4";#N/A,#N/A,FALSE,"JD.5";#N/A,#N/A,FALSE,"JD.6";#N/A,#N/A,FALSE,"JD.7";#N/A,#N/A,FALSE,"JD.8";#N/A,#N/A,FALSE,"JD.9";#N/A,#N/A,FALSE,"JD.10"}</definedName>
    <definedName name="Test2" localSheetId="8" hidden="1">{#N/A,#N/A,FALSE,"JA.1";#N/A,#N/A,FALSE,"JA.2";#N/A,#N/A,FALSE,"JA.3";#N/A,#N/A,FALSE,"JA.4";#N/A,#N/A,FALSE,"JA.5";#N/A,#N/A,FALSE,"JA.6";#N/A,#N/A,FALSE,"JA.7";#N/A,#N/A,FALSE,"JA.8";#N/A,#N/A,FALSE,"JA.9";#N/A,#N/A,FALSE,"JA.10";#N/A,#N/A,FALSE,"JB.1";#N/A,#N/A,FALSE,"JB.2";#N/A,#N/A,FALSE,"JB.3";#N/A,#N/A,FALSE,"JB.4";#N/A,#N/A,FALSE,"JB.5";#N/A,#N/A,FALSE,"JB.6";#N/A,#N/A,FALSE,"JB.7";#N/A,#N/A,FALSE,"JB.8";#N/A,#N/A,FALSE,"JB.9";#N/A,#N/A,FALSE,"JB.10";#N/A,#N/A,FALSE,"JC.1";#N/A,#N/A,FALSE,"JC.2";#N/A,#N/A,FALSE,"JC.3";#N/A,#N/A,FALSE,"JC.4";#N/A,#N/A,FALSE,"JC.5";#N/A,#N/A,FALSE,"JC.6";#N/A,#N/A,FALSE,"JC.7";#N/A,#N/A,FALSE,"JC.8";#N/A,#N/A,FALSE,"JC.9";#N/A,#N/A,FALSE,"JC.10";#N/A,#N/A,FALSE,"JD.1";#N/A,#N/A,FALSE,"JD.2";#N/A,#N/A,FALSE,"JD.3";#N/A,#N/A,FALSE,"JD.4";#N/A,#N/A,FALSE,"JD.5";#N/A,#N/A,FALSE,"JD.6";#N/A,#N/A,FALSE,"JD.7";#N/A,#N/A,FALSE,"JD.8";#N/A,#N/A,FALSE,"JD.9";#N/A,#N/A,FALSE,"JD.10"}</definedName>
    <definedName name="test22" localSheetId="8" hidden="1">{"'SIVA Pricing Model'!$A$1:$F$39"}</definedName>
    <definedName name="test22" hidden="1">{"'SIVA Pricing Model'!$A$1:$F$39"}</definedName>
    <definedName name="test222" localSheetId="8" hidden="1">{"'SIVA Pricing Model'!$A$1:$F$39"}</definedName>
    <definedName name="test222" hidden="1">{"'SIVA Pricing Model'!$A$1:$F$39"}</definedName>
    <definedName name="test324" localSheetId="8" hidden="1">{"Oct_Plan_Income_Month",#N/A,FALSE,"OctInc";"Oct_Month_Lastyear_Inc",#N/A,FALSE,"OctInc"}</definedName>
    <definedName name="test324" hidden="1">{"Oct_Plan_Income_Month",#N/A,FALSE,"OctInc";"Oct_Month_Lastyear_Inc",#N/A,FALSE,"OctInc"}</definedName>
    <definedName name="test3434" localSheetId="8" hidden="1">{"Oct_Plan_Income_Month",#N/A,FALSE,"OctInc";"Oct_Month_Lastyear_Inc",#N/A,FALSE,"OctInc"}</definedName>
    <definedName name="test3434" hidden="1">{"Oct_Plan_Income_Month",#N/A,FALSE,"OctInc";"Oct_Month_Lastyear_Inc",#N/A,FALSE,"OctInc"}</definedName>
    <definedName name="test4w" localSheetId="8" hidden="1">{"'SIVA Pricing Model'!$A$1:$F$39"}</definedName>
    <definedName name="test4w" hidden="1">{"'SIVA Pricing Model'!$A$1:$F$39"}</definedName>
    <definedName name="teste" localSheetId="7" hidden="1">{#N/A,#N/A,FALSE,"Pharm";#N/A,#N/A,FALSE,"WWCM"}</definedName>
    <definedName name="teste" localSheetId="8" hidden="1">{#N/A,#N/A,FALSE,"Pharm";#N/A,#N/A,FALSE,"WWCM"}</definedName>
    <definedName name="teste" hidden="1">{#N/A,#N/A,FALSE,"Comp Aluguel Mes"}</definedName>
    <definedName name="TESTE1" localSheetId="8" hidden="1">{#N/A,#N/A,FALSE,"DEMPROV IR";#N/A,#N/A,FALSE,"INC.FISC";#N/A,#N/A,FALSE,"LUCRO REAL";#N/A,#N/A,FALSE,"L.LIQ.M";#N/A,#N/A,FALSE,"PROV96";#N/A,#N/A,FALSE,"L.LIQU.";#N/A,#N/A,FALSE,"ADIEXCL";#N/A,#N/A,FALSE,"PAT-VT96";#N/A,#N/A,FALSE,"DPO.INC."}</definedName>
    <definedName name="TESTE1" hidden="1">{#N/A,#N/A,FALSE,"DEMPROV IR";#N/A,#N/A,FALSE,"INC.FISC";#N/A,#N/A,FALSE,"LUCRO REAL";#N/A,#N/A,FALSE,"L.LIQ.M";#N/A,#N/A,FALSE,"PROV96";#N/A,#N/A,FALSE,"L.LIQU.";#N/A,#N/A,FALSE,"ADIEXCL";#N/A,#N/A,FALSE,"PAT-VT96";#N/A,#N/A,FALSE,"DPO.INC."}</definedName>
    <definedName name="TESTE2" localSheetId="8" hidden="1">{#N/A,#N/A,FALSE,"DEMPROV IR";#N/A,#N/A,FALSE,"INC.FISC";#N/A,#N/A,FALSE,"LUCRO REAL";#N/A,#N/A,FALSE,"L.LIQ.M";#N/A,#N/A,FALSE,"PROV96";#N/A,#N/A,FALSE,"L.LIQU.";#N/A,#N/A,FALSE,"ADIEXCL";#N/A,#N/A,FALSE,"PAT-VT96";#N/A,#N/A,FALSE,"DPO.INC."}</definedName>
    <definedName name="TESTE2" hidden="1">{#N/A,#N/A,FALSE,"DEMPROV IR";#N/A,#N/A,FALSE,"INC.FISC";#N/A,#N/A,FALSE,"LUCRO REAL";#N/A,#N/A,FALSE,"L.LIQ.M";#N/A,#N/A,FALSE,"PROV96";#N/A,#N/A,FALSE,"L.LIQU.";#N/A,#N/A,FALSE,"ADIEXCL";#N/A,#N/A,FALSE,"PAT-VT96";#N/A,#N/A,FALSE,"DPO.INC."}</definedName>
    <definedName name="tests" localSheetId="8" hidden="1">{"'SIVA Pricing Model'!$A$1:$F$39"}</definedName>
    <definedName name="tests" hidden="1">{"'SIVA Pricing Model'!$A$1:$F$39"}</definedName>
    <definedName name="TEsts6" localSheetId="8" hidden="1">{"'SIVA Pricing Model'!$A$1:$F$39"}</definedName>
    <definedName name="TEsts6" hidden="1">{"'SIVA Pricing Model'!$A$1:$F$39"}</definedName>
    <definedName name="testss" localSheetId="8" hidden="1">{"'SIVA Pricing Model'!$A$1:$F$39"}</definedName>
    <definedName name="testss" hidden="1">{"'SIVA Pricing Model'!$A$1:$F$39"}</definedName>
    <definedName name="testsss" localSheetId="8" hidden="1">{"'SIVA Pricing Model'!$A$1:$F$39"}</definedName>
    <definedName name="testsss" hidden="1">{"'SIVA Pricing Model'!$A$1:$F$39"}</definedName>
    <definedName name="testst234" localSheetId="8" hidden="1">{"Oct_Plan_Income_Month",#N/A,FALSE,"OctInc";"Oct_Month_Lastyear_Inc",#N/A,FALSE,"OctInc"}</definedName>
    <definedName name="testst234" hidden="1">{"Oct_Plan_Income_Month",#N/A,FALSE,"OctInc";"Oct_Month_Lastyear_Inc",#N/A,FALSE,"OctInc"}</definedName>
    <definedName name="testsw" localSheetId="8" hidden="1">{"'SIVA Pricing Model'!$A$1:$F$39"}</definedName>
    <definedName name="testsw" hidden="1">{"'SIVA Pricing Model'!$A$1:$F$39"}</definedName>
    <definedName name="testterrwe" localSheetId="8" hidden="1">{"ConInc",#N/A,FALSE,"FinStmt";"ConBal",#N/A,FALSE,"FinStmt";"ConCash",#N/A,FALSE,"FinStmt"}</definedName>
    <definedName name="testterrwe" hidden="1">{"ConInc",#N/A,FALSE,"FinStmt";"ConBal",#N/A,FALSE,"FinStmt";"ConCash",#N/A,FALSE,"FinStmt"}</definedName>
    <definedName name="testw" localSheetId="8" hidden="1">{"'SIVA Pricing Model'!$A$1:$F$39"}</definedName>
    <definedName name="testw" hidden="1">{"'SIVA Pricing Model'!$A$1:$F$39"}</definedName>
    <definedName name="testww" localSheetId="8" hidden="1">{"'SIVA Pricing Model'!$A$1:$F$39"}</definedName>
    <definedName name="testww" hidden="1">{"'SIVA Pricing Model'!$A$1:$F$39"}</definedName>
    <definedName name="testwww" localSheetId="8" hidden="1">{"'SIVA Pricing Model'!$A$1:$F$39"}</definedName>
    <definedName name="testwww" hidden="1">{"'SIVA Pricing Model'!$A$1:$F$39"}</definedName>
    <definedName name="tetz" localSheetId="8" hidden="1">{"Ergebnisbericht_UBA",#N/A,FALSE,"MB"}</definedName>
    <definedName name="tetz" hidden="1">{"Ergebnisbericht_UBA",#N/A,FALSE,"MB"}</definedName>
    <definedName name="tetz_1" localSheetId="8" hidden="1">{"Ergebnisbericht_UBA",#N/A,FALSE,"MB"}</definedName>
    <definedName name="tetz_1" hidden="1">{"Ergebnisbericht_UBA",#N/A,FALSE,"MB"}</definedName>
    <definedName name="TextRefCopyRangeCount" localSheetId="7" hidden="1">37</definedName>
    <definedName name="TextRefCopyRangeCount" localSheetId="8" hidden="1">4</definedName>
    <definedName name="TextRefCopyRangeCount" hidden="1">4</definedName>
    <definedName name="teza" localSheetId="8" hidden="1">{#N/A,#N/A,FALSE,"Pharm";#N/A,#N/A,FALSE,"WWCM"}</definedName>
    <definedName name="teza" hidden="1">{#N/A,#N/A,FALSE,"Pharm";#N/A,#N/A,FALSE,"WWCM"}</definedName>
    <definedName name="tezuwt" localSheetId="8" hidden="1">{"Ergebnisbericht_UBA",#N/A,FALSE,"MB"}</definedName>
    <definedName name="tezuwt" hidden="1">{"Ergebnisbericht_UBA",#N/A,FALSE,"MB"}</definedName>
    <definedName name="tezuwt_1" localSheetId="8" hidden="1">{"Ergebnisbericht_UBA",#N/A,FALSE,"MB"}</definedName>
    <definedName name="tezuwt_1" hidden="1">{"Ergebnisbericht_UBA",#N/A,FALSE,"MB"}</definedName>
    <definedName name="tf" localSheetId="8" hidden="1">{"Performance Details",#N/A,FALSE,"Current Yr";"Performance Details",#N/A,FALSE,"Budget";"Performance Details",#N/A,FALSE,"Prior Year"}</definedName>
    <definedName name="tf" hidden="1">{"Performance Details",#N/A,FALSE,"Current Yr";"Performance Details",#N/A,FALSE,"Budget";"Performance Details",#N/A,FALSE,"Prior Year"}</definedName>
    <definedName name="tf_1" localSheetId="8" hidden="1">{#N/A,#N/A,FALSE,"debt";#N/A,#N/A,FALSE,"apsort";#N/A,#N/A,FALSE,"AR"}</definedName>
    <definedName name="tf_1" hidden="1">{#N/A,#N/A,FALSE,"debt";#N/A,#N/A,FALSE,"apsort";#N/A,#N/A,FALSE,"AR"}</definedName>
    <definedName name="tfrttf" localSheetId="8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tfrttf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tg" localSheetId="8" hidden="1">{#N/A,#N/A,TRUE,"Header";#N/A,#N/A,TRUE,"Total";#N/A,#N/A,TRUE,"Core";#N/A,#N/A,TRUE,"New";#N/A,#N/A,TRUE,"Core Units Rev";#N/A,#N/A,TRUE,"Core Units GM";#N/A,#N/A,TRUE,"Core Units GM%";#N/A,#N/A,TRUE,"Core Units SGA";#N/A,#N/A,TRUE,"Core Units EBIT";#N/A,#N/A,TRUE,"New Units Rev";#N/A,#N/A,TRUE,"New Units GM";#N/A,#N/A,TRUE,"New Units GM%";#N/A,#N/A,TRUE,"New Units SGA";#N/A,#N/A,TRUE,"New Units EBIT";#N/A,#N/A,TRUE,"Total SGA detail";#N/A,#N/A,TRUE,"Core SGA detail";#N/A,#N/A,TRUE,"New SGA detail";#N/A,#N/A,TRUE,"Summary";#N/A,#N/A,TRUE,"Summary (2)";#N/A,#N/A,TRUE,"Var to last mth";#N/A,#N/A,TRUE,"Revenue";#N/A,#N/A,TRUE,"COS";#N/A,#N/A,TRUE,"Gross Margin";#N/A,#N/A,TRUE,"SG&amp;A";#N/A,#N/A,TRUE,"EBITDA";#N/A,#N/A,TRUE,"Depn&amp;Amort";#N/A,#N/A,TRUE,"EBIT";#N/A,#N/A,TRUE,"Contingency"}</definedName>
    <definedName name="tg" hidden="1">{#N/A,#N/A,TRUE,"Header";#N/A,#N/A,TRUE,"Total";#N/A,#N/A,TRUE,"Core";#N/A,#N/A,TRUE,"New";#N/A,#N/A,TRUE,"Core Units Rev";#N/A,#N/A,TRUE,"Core Units GM";#N/A,#N/A,TRUE,"Core Units GM%";#N/A,#N/A,TRUE,"Core Units SGA";#N/A,#N/A,TRUE,"Core Units EBIT";#N/A,#N/A,TRUE,"New Units Rev";#N/A,#N/A,TRUE,"New Units GM";#N/A,#N/A,TRUE,"New Units GM%";#N/A,#N/A,TRUE,"New Units SGA";#N/A,#N/A,TRUE,"New Units EBIT";#N/A,#N/A,TRUE,"Total SGA detail";#N/A,#N/A,TRUE,"Core SGA detail";#N/A,#N/A,TRUE,"New SGA detail";#N/A,#N/A,TRUE,"Summary";#N/A,#N/A,TRUE,"Summary (2)";#N/A,#N/A,TRUE,"Var to last mth";#N/A,#N/A,TRUE,"Revenue";#N/A,#N/A,TRUE,"COS";#N/A,#N/A,TRUE,"Gross Margin";#N/A,#N/A,TRUE,"SG&amp;A";#N/A,#N/A,TRUE,"EBITDA";#N/A,#N/A,TRUE,"Depn&amp;Amort";#N/A,#N/A,TRUE,"EBIT";#N/A,#N/A,TRUE,"Contingency"}</definedName>
    <definedName name="tgb" localSheetId="8" hidden="1">{"'100'!$A$1:$M$83"}</definedName>
    <definedName name="tgb" hidden="1">{"'100'!$A$1:$M$83"}</definedName>
    <definedName name="tgh" localSheetId="8" hidden="1">{#N/A,#N/A,FALSE,"Calc";#N/A,#N/A,FALSE,"Sensitivity";#N/A,#N/A,FALSE,"LT Earn.Dil.";#N/A,#N/A,FALSE,"Dil. AVP"}</definedName>
    <definedName name="tgh" hidden="1">{#N/A,#N/A,FALSE,"Calc";#N/A,#N/A,FALSE,"Sensitivity";#N/A,#N/A,FALSE,"LT Earn.Dil.";#N/A,#N/A,FALSE,"Dil. AVP"}</definedName>
    <definedName name="tgh_1" localSheetId="8" hidden="1">{#N/A,#N/A,FALSE,"Calc";#N/A,#N/A,FALSE,"Sensitivity";#N/A,#N/A,FALSE,"LT Earn.Dil.";#N/A,#N/A,FALSE,"Dil. AVP"}</definedName>
    <definedName name="tgh_1" hidden="1">{#N/A,#N/A,FALSE,"Calc";#N/A,#N/A,FALSE,"Sensitivity";#N/A,#N/A,FALSE,"LT Earn.Dil.";#N/A,#N/A,FALSE,"Dil. AVP"}</definedName>
    <definedName name="TGHY" localSheetId="8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TGHY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tha.2" localSheetId="8" hidden="1">{#N/A,#N/A,FALSE,"Produkte Erw.";#N/A,#N/A,FALSE,"Produkte Plan";#N/A,#N/A,FALSE,"Leistungen Erw.";#N/A,#N/A,FALSE,"Leistungen Plan";#N/A,#N/A,FALSE,"KA Allg.Kosten (2)";#N/A,#N/A,FALSE,"KA All.Kosten"}</definedName>
    <definedName name="tha.2" hidden="1">{#N/A,#N/A,FALSE,"Produkte Erw.";#N/A,#N/A,FALSE,"Produkte Plan";#N/A,#N/A,FALSE,"Leistungen Erw.";#N/A,#N/A,FALSE,"Leistungen Plan";#N/A,#N/A,FALSE,"KA Allg.Kosten (2)";#N/A,#N/A,FALSE,"KA All.Kosten"}</definedName>
    <definedName name="tha.3" localSheetId="8" hidden="1">{#N/A,#N/A,FALSE,"KA CH  (2)"}</definedName>
    <definedName name="tha.3" hidden="1">{#N/A,#N/A,FALSE,"KA CH  (2)"}</definedName>
    <definedName name="tha.4" localSheetId="8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tha.4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tha.4._99" localSheetId="8" hidden="1">{#N/A,#N/A,FALSE,"Umsatz 99";#N/A,#N/A,FALSE,"ER 99 "}</definedName>
    <definedName name="tha.4._99" hidden="1">{#N/A,#N/A,FALSE,"Umsatz 99";#N/A,#N/A,FALSE,"ER 99 "}</definedName>
    <definedName name="Thail.2" localSheetId="8" hidden="1">{#N/A,#N/A,FALSE,"Umsatz 99";#N/A,#N/A,FALSE,"ER 99 "}</definedName>
    <definedName name="Thail.2" hidden="1">{#N/A,#N/A,FALSE,"Umsatz 99";#N/A,#N/A,FALSE,"ER 99 "}</definedName>
    <definedName name="TheAA.com" localSheetId="8" hidden="1">{"Res_010",#N/A,FALSE,"Res_010";"sum1",#N/A,FALSE,"Res_010"}</definedName>
    <definedName name="TheAA.com" hidden="1">{"Res_010",#N/A,FALSE,"Res_010";"sum1",#N/A,FALSE,"Res_010"}</definedName>
    <definedName name="thierry" localSheetId="8" hidden="1">{"Totax",#N/A,FALSE,"Sheet1";#N/A,#N/A,FALSE,"Law Output"}</definedName>
    <definedName name="thierry" hidden="1">{"Totax",#N/A,FALSE,"Sheet1";#N/A,#N/A,FALSE,"Law Output"}</definedName>
    <definedName name="thierry1" localSheetId="8" hidden="1">{"Totax",#N/A,FALSE,"Sheet1";#N/A,#N/A,FALSE,"Law Output"}</definedName>
    <definedName name="thierry1" hidden="1">{"Totax",#N/A,FALSE,"Sheet1";#N/A,#N/A,FALSE,"Law Output"}</definedName>
    <definedName name="think3" hidden="1">#REF!</definedName>
    <definedName name="thinkcellissue" hidden="1">#REF!</definedName>
    <definedName name="thousand" comment="Do not delete">1000</definedName>
    <definedName name="thth" localSheetId="8" hidden="1">{#N/A,#N/A,FALSE,"Calc";#N/A,#N/A,FALSE,"Sensitivity";#N/A,#N/A,FALSE,"LT Earn.Dil.";#N/A,#N/A,FALSE,"Dil. AVP"}</definedName>
    <definedName name="thth" hidden="1">{#N/A,#N/A,FALSE,"Calc";#N/A,#N/A,FALSE,"Sensitivity";#N/A,#N/A,FALSE,"LT Earn.Dil.";#N/A,#N/A,FALSE,"Dil. AVP"}</definedName>
    <definedName name="thth_1" localSheetId="8" hidden="1">{#N/A,#N/A,FALSE,"Calc";#N/A,#N/A,FALSE,"Sensitivity";#N/A,#N/A,FALSE,"LT Earn.Dil.";#N/A,#N/A,FALSE,"Dil. AVP"}</definedName>
    <definedName name="thth_1" hidden="1">{#N/A,#N/A,FALSE,"Calc";#N/A,#N/A,FALSE,"Sensitivity";#N/A,#N/A,FALSE,"LT Earn.Dil.";#N/A,#N/A,FALSE,"Dil. AVP"}</definedName>
    <definedName name="THU" localSheetId="8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THU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thyet" localSheetId="8" hidden="1">{"Res_010",#N/A,FALSE,"Res_010";"sum1",#N/A,FALSE,"Res_010"}</definedName>
    <definedName name="thyet" hidden="1">{"Res_010",#N/A,FALSE,"Res_010";"sum1",#N/A,FALSE,"Res_010"}</definedName>
    <definedName name="Title2Spot" hidden="1">#REF!</definedName>
    <definedName name="Titlepb" hidden="1">#REF!</definedName>
    <definedName name="tjtrjrtjt" localSheetId="8" hidden="1">{#N/A,#N/A,FALSE,"Assessment";#N/A,#N/A,FALSE,"Staffing";#N/A,#N/A,FALSE,"Hires";#N/A,#N/A,FALSE,"Assumptions"}</definedName>
    <definedName name="tjtrjrtjt" hidden="1">{#N/A,#N/A,FALSE,"Assessment";#N/A,#N/A,FALSE,"Staffing";#N/A,#N/A,FALSE,"Hires";#N/A,#N/A,FALSE,"Assumptions"}</definedName>
    <definedName name="tjtrjt" localSheetId="8" hidden="1">{#N/A,#N/A,FALSE,"Assessment";#N/A,#N/A,FALSE,"Staffing";#N/A,#N/A,FALSE,"Hires";#N/A,#N/A,FALSE,"Assumptions"}</definedName>
    <definedName name="tjtrjt" hidden="1">{#N/A,#N/A,FALSE,"Assessment";#N/A,#N/A,FALSE,"Staffing";#N/A,#N/A,FALSE,"Hires";#N/A,#N/A,FALSE,"Assumptions"}</definedName>
    <definedName name="tjtrjtr" localSheetId="8" hidden="1">{#N/A,#N/A,FALSE,"Assessment";#N/A,#N/A,FALSE,"Staffing";#N/A,#N/A,FALSE,"Hires";#N/A,#N/A,FALSE,"Assumptions"}</definedName>
    <definedName name="tjtrjtr" hidden="1">{#N/A,#N/A,FALSE,"Assessment";#N/A,#N/A,FALSE,"Staffing";#N/A,#N/A,FALSE,"Hires";#N/A,#N/A,FALSE,"Assumptions"}</definedName>
    <definedName name="tl" localSheetId="8" hidden="1">{"Commentary",#N/A,FALSE,"May"}</definedName>
    <definedName name="tl" hidden="1">{"Commentary",#N/A,FALSE,"May"}</definedName>
    <definedName name="tm" localSheetId="8" hidden="1">{"ICD Details",#N/A,FALSE,"Current Yr";"ICD Details",#N/A,FALSE,"Budget";"ICD Details",#N/A,FALSE,"Prior Year"}</definedName>
    <definedName name="tm" hidden="1">{"ICD Details",#N/A,FALSE,"Current Yr";"ICD Details",#N/A,FALSE,"Budget";"ICD Details",#N/A,FALSE,"Prior Year"}</definedName>
    <definedName name="TM1_COPIA_ACQ_CICLI_src" hidden="1">"ACQ_CICLI!$AW$1:$CT$85"</definedName>
    <definedName name="TM1_COPIA_ACQ_ELEN_src" hidden="1">"ACQ_ELEN!$T$1:$AW$24"</definedName>
    <definedName name="TM1_COPIA_ACQ_PGOL_src" hidden="1">"ACQ_PGOL!$T$1:$AL$24"</definedName>
    <definedName name="TM1_COPIA_ACQ_PPG_src" hidden="1">"ACQ_PPG!$T$1:$AK$23"</definedName>
    <definedName name="TM1_COPIA_ACQ_PUB_src" hidden="1">"ACQ_PUB!$AO$1:$BQ$341"</definedName>
    <definedName name="TM1_COPIA_ACQ_SOL_src" hidden="1">"ACQ_SOL!$AW$1:$CS$64"</definedName>
    <definedName name="TM1_COPIA_ACQCARTA_src" hidden="1">"ACQCARTA!$AY$1:$CT$121"</definedName>
    <definedName name="TM1_COPIA_AG_EFF_src" hidden="1">"AG_EFF!$AP$1:$BI$26"</definedName>
    <definedName name="TM1_COPIA_ALF_m._src" hidden="1">"ALF_m.!$AZ$1:$CW$122"</definedName>
    <definedName name="TM1_COPIA_ALF_src" hidden="1">"ALF!$AX$1:$CR$206"</definedName>
    <definedName name="TM1_COPIA_ALF_TD_PF_src" hidden="1">"ALF_TD_PF!$AQ$1:$CE$201"</definedName>
    <definedName name="TM1_COPIA_ALF_TD_src" hidden="1">"ALF_TD!$AQ$1:$CD$200"</definedName>
    <definedName name="TM1_COPIA_AMM_src" hidden="1">"AMM!$AZ$1:$CX$149"</definedName>
    <definedName name="TM1_COPIA_ANN_m._src" hidden="1">"ANN_m.!$AZ$1:$CW$122"</definedName>
    <definedName name="TM1_COPIA_ANN_src" hidden="1">"ANN!$AX$1:$CR$206"</definedName>
    <definedName name="TM1_COPIA_B_BIANCO_src" hidden="1">"B_BIANCO!$AX$1:$CS$202"</definedName>
    <definedName name="TM1_COPIA_B_GIALLO_src" hidden="1">"B_GIALLO!$AX$1:$CR$206"</definedName>
    <definedName name="TM1_COPIA_CCOM_src" hidden="1">"CCOM!$AW$1:$CT$85"</definedName>
    <definedName name="TM1_COPIA_CCOM_TD_src" hidden="1">"CCOM_TD!$AU$3:$CJ$88"</definedName>
    <definedName name="TM1_COPIA_CECON_src" hidden="1">"CECON!$AX$1:$CS$91"</definedName>
    <definedName name="TM1_COPIA_CECON_TD_PF_src" hidden="1">"CECON_TD_PF!$AV$2:$CK$100"</definedName>
    <definedName name="TM1_COPIA_CECON_TD_src" hidden="1">"CECON_TD!$AX$1:$CL$91"</definedName>
    <definedName name="TM1_COPIA_CGEN_src" hidden="1">"CGEN!$AX$1:$CR$140"</definedName>
    <definedName name="TM1_COPIA_CGEN_TD_src" hidden="1">"CGEN_TD!$AT$2:$CH$120"</definedName>
    <definedName name="TM1_COPIA_CIND_src" hidden="1">"CIND!$AX$1:$CT$88"</definedName>
    <definedName name="TM1_COPIA_CIND_TD_src" hidden="1">"CIND_TD!$AT$1:$CI$83"</definedName>
    <definedName name="TM1_COPIA_CINDCARTA_src" hidden="1">"CINDCARTA!$AX$1:$CT$72"</definedName>
    <definedName name="TM1_COPIA_CL_ACQ_CICLI_src" hidden="1">"CL_ACQ_CICLI!$AX$1:$CS$83"</definedName>
    <definedName name="TM1_COPIA_CL_ACQ_SOL_src" hidden="1">"CL_ACQ_SOL!$AW$1:$CS$64"</definedName>
    <definedName name="TM1_COPIA_CO_DDI_LY_src" hidden="1">"CO_DDI_LY!$AV$2:$CF$204"</definedName>
    <definedName name="TM1_COPIA_CO_DDI_src" hidden="1">"CO_DDI!$AT$13:$CF$195"</definedName>
    <definedName name="TM1_COPIA_COM_COM_COSTI_TD_src" hidden="1">"COM_COM_COSTI_TD!$AR$1:$CE$189"</definedName>
    <definedName name="TM1_COPIA_COM_COM_src" hidden="1">"COM_COM!$AX$4:$CS$188"</definedName>
    <definedName name="TM1_COPIA_COM_COM_TOT_src" hidden="1">"COM_COM_TOT!$AW$1:$CT$329"</definedName>
    <definedName name="TM1_COPIA_COM_IND_src" hidden="1">"COM_IND!$AX$1:$CT$97"</definedName>
    <definedName name="TM1_COPIA_COM_IND_TD_src" hidden="1">"COM_IND_TD!$AS$1:$CF$96"</definedName>
    <definedName name="TM1_COPIA_COM_IND_TOT_src" hidden="1">"COM_IND_TOT!$AY$1:$CU$148"</definedName>
    <definedName name="TM1_COPIA_COM_IT_COSTI_TD_src" hidden="1">"COM_IT_COSTI_TD!$AR$1:$CE$229"</definedName>
    <definedName name="TM1_COPIA_COM_IT_src" hidden="1">"COM_IT!$AX$1:$CT$227"</definedName>
    <definedName name="TM1_COPIA_COM_IT_TOT_src" hidden="1">"COM_IT_TOT!$AX$1:$CT$398"</definedName>
    <definedName name="TM1_COPIA_COM_IT_TOT_TD_src" hidden="1">"COM_IT_TOT_TD!$AR$1:$CD$393"</definedName>
    <definedName name="TM1_COPIA_CONSUMI_src" hidden="1">"CONSUMI!$F$48:$AT$79"</definedName>
    <definedName name="TM1_COPIA_controllo_src" hidden="1">"controllo!$D$2:$E$7"</definedName>
    <definedName name="TM1_COPIA_CPERS_EFF_src" hidden="1">"CPERS_EFF!$T$1:$AR$50"</definedName>
    <definedName name="TM1_COPIA_CPERS_src" hidden="1">"CPERS!$AX$1:$CT$84"</definedName>
    <definedName name="TM1_COPIA_CREDCO_src" hidden="1">"CREDCO!$AY$1:$CS$93"</definedName>
    <definedName name="TM1_COPIA_CSTRUT_src" hidden="1">"CSTRUT!$AW$1:$CT$187"</definedName>
    <definedName name="TM1_COPIA_EBITDA_PROD_src" hidden="1">"EBITDA_PROD!$AX$1:$CS$174"</definedName>
    <definedName name="TM1_COPIA_EBITDA_PROD_TD_src" hidden="1">"EBITDA_PROD_TD!$AQ$1:$CE$174"</definedName>
    <definedName name="TM1_COPIA_EUR_m._src" hidden="1">"EUR_m.!$AZ$1:$CW$122"</definedName>
    <definedName name="TM1_COPIA_EUR_src" hidden="1">"EUR!$AX$1:$CR$206"</definedName>
    <definedName name="TM1_COPIA_EUR_TD_src" hidden="1">"EUR_TD!$AQ$1:$CD$195"</definedName>
    <definedName name="TM1_COPIA_FONDI_1_src" hidden="1">"FONDI_1!$AX$1:$CS$84"</definedName>
    <definedName name="TM1_COPIA_FONDI_2_src" hidden="1">"FONDI_2!$AY$1:$CS$93"</definedName>
    <definedName name="TM1_COPIA_GPM_m._src" hidden="1">"GPM_m.!$AZ$1:$CW$122"</definedName>
    <definedName name="TM1_COPIA_GPM_src" hidden="1">"GPM!$AX$1:$CR$206"</definedName>
    <definedName name="TM1_COPIA_GPM_TD_src" hidden="1">"GPM_TD!$AQ$1:$CD$195"</definedName>
    <definedName name="TM1_COPIA_IMMOB_src" hidden="1">"IMMOB!$AX$1:$CT$121"</definedName>
    <definedName name="TM1_COPIA_IMMOBTOT_src" hidden="1">"IMMOBTOT!$AX$1:$CT$170"</definedName>
    <definedName name="TM1_COPIA_INV_IT_src" hidden="1">"INV_IT!$AX$1:$CT$211"</definedName>
    <definedName name="TM1_COPIA_INV_IT_TD_src" hidden="1">"INV_IT_TD!$AQ$1:$CE$212"</definedName>
    <definedName name="TM1_COPIA_INV_src" hidden="1">"INV!$AX$2:$CT$119"</definedName>
    <definedName name="TM1_COPIA_INV_TD_src" hidden="1">"INV_TD!$AQ$1:$CF$125"</definedName>
    <definedName name="TM1_COPIA_LAVIND_src" hidden="1">"LAVIND!$AW$1:$CG$48"</definedName>
    <definedName name="TM1_COPIA_P.E._src" hidden="1">"P.E.!$U$10:$AO$34"</definedName>
    <definedName name="TM1_COPIA_PBO_m._src" hidden="1">"PBO_m.!$AZ$1:$CW$122"</definedName>
    <definedName name="TM1_COPIA_PBO_src" hidden="1">"PBO!$AX$1:$CR$206"</definedName>
    <definedName name="TM1_COPIA_PBO_TD_src" hidden="1">"PBO_TD!$AQ$1:$CD$190"</definedName>
    <definedName name="TM1_COPIA_PBOL_m._src" hidden="1">"PBOL_m.!$AZ$1:$CW$122"</definedName>
    <definedName name="TM1_COPIA_PBOL_src" hidden="1">"PBOL!$AX$1:$CR$206"</definedName>
    <definedName name="TM1_COPIA_PERS_INCR_src" hidden="1">"PERS_INCR!$T$1:$AS$32"</definedName>
    <definedName name="TM1_COPIA_PG_m._src" hidden="1">"PG_m.!$AZ$1:$CW$122"</definedName>
    <definedName name="TM1_COPIA_PG_src" hidden="1">"PG!$AX$1:$CR$206"</definedName>
    <definedName name="TM1_COPIA_PG_TD_PF_src" hidden="1">"PG_TD_PF!$AQ$1:$CE$204"</definedName>
    <definedName name="TM1_COPIA_PG_TD_src" hidden="1">"PG_TD!$AQ$1:$CF$206"</definedName>
    <definedName name="TM1_COPIA_PGPRO_m._src" hidden="1">"PGPRO_m.!$AZ$1:$CW$122"</definedName>
    <definedName name="TM1_COPIA_PGPRO_src" hidden="1">"PGPRO!$AX$1:$CR$206"</definedName>
    <definedName name="TM1_COPIA_PGPRO_TD_src" hidden="1">"PGPRO_TD!$AQ$1:$CD$191"</definedName>
    <definedName name="TM1_COPIA_PIANO_src" hidden="1">"PIANO!$A$1:$AG$63"</definedName>
    <definedName name="TM1_COPIA_PPG_m._src" hidden="1">"PPG_m.!$AZ$1:$CW$122"</definedName>
    <definedName name="TM1_COPIA_PPG_src" hidden="1">"PPG!$AX$1:$CR$206"</definedName>
    <definedName name="TM1_COPIA_PPG_TD_src" hidden="1">"PPG_TD!$AQ$1:$CD$195"</definedName>
    <definedName name="TM1_COPIA_PROV_DIV_src" hidden="1">"PROV_DIV!$AZ$1:$CW$122"</definedName>
    <definedName name="TM1_COPIA_Provv_RicL_VGC_src" hidden="1">"Provv_RicL_VGC!$AY$1:$CR$121"</definedName>
    <definedName name="TM1_COPIA_Provv_RicL_VJ_src" hidden="1">"Provv_RicL_VJ!$AY$1:$CR$117"</definedName>
    <definedName name="TM1_COPIA_Provv_RicL_VT_src" hidden="1">"Provv_RicL_VT!$AX$1:$CS$114"</definedName>
    <definedName name="TM1_COPIA_Provv_RicP_DDI_src" hidden="1">"Provv_RicP_DDI!$AX$1:$CS$110"</definedName>
    <definedName name="TM1_COPIA_Provv_RicP_VB_PF_src" hidden="1">"Provv_RicP_VB_PF!$AX$5:$CS$118"</definedName>
    <definedName name="TM1_COPIA_Provv_RicP_VB_src" hidden="1">"Provv_RicP_VB!$AY$1:$CS$115"</definedName>
    <definedName name="TM1_COPIA_Provv_RicP_VGC_PF_src" hidden="1">"Provv_RicP_VGC_PF!$AX$1:$CS$115"</definedName>
    <definedName name="TM1_COPIA_Provv_RicP_VGC_src" hidden="1">"Provv_RicP_VGC!$AY$1:$CS$120"</definedName>
    <definedName name="TM1_COPIA_Provv_RicP_VJ_PF_src" hidden="1">"Provv_RicP_VJ_PF!$AY$1:$CS$105"</definedName>
    <definedName name="TM1_COPIA_Provv_RicP_VJ_src" hidden="1">"Provv_RicP_VJ!$AY$1:$CS$111"</definedName>
    <definedName name="TM1_COPIA_Provv_RicP_VT_PF_src" hidden="1">"Provv_RicP_VT_PF!$AX$1:$CT$111"</definedName>
    <definedName name="TM1_COPIA_Provv_RicP_VT_src" hidden="1">"Provv_RicP_VT!$AY$1:$CS$109"</definedName>
    <definedName name="TM1_COPIA_PUB_COM_PF_src" hidden="1">"PUB_COM_PF!$BI$1:$DN$296"</definedName>
    <definedName name="TM1_COPIA_PUB_COM_src" hidden="1">"PUB_COM!$BI$1:$DP$284"</definedName>
    <definedName name="TM1_COPIA_PUB_RIC_PF_src" hidden="1">"PUB_RIC_PF!$AN$1:$BT$356"</definedName>
    <definedName name="TM1_COPIA_PUB_RIC_src" hidden="1">"PUB_RIC!$AN$1:$BT$350"</definedName>
    <definedName name="TM1_COPIA_R_CANALE_src" hidden="1">"R_CANALE!$AW$1:$CO$187"</definedName>
    <definedName name="TM1_COPIA_RCARTA_src" hidden="1">"RCARTA!$AY$1:$CE$52"</definedName>
    <definedName name="TM1_COPIA_RIC_src" hidden="1">"RIC!$AV$1:$CT$125"</definedName>
    <definedName name="TM1_COPIA_RIC_TD_PF_src" hidden="1">"RIC_TD_PF!$AY$1:$CK$131"</definedName>
    <definedName name="TM1_COPIA_RIC_TD_src" hidden="1">"RIC_TD!$AW$1:$CK$127"</definedName>
    <definedName name="TM1_COPIA_SDM_m._src" hidden="1">"SDM_m.!$AZ$1:$CW$122"</definedName>
    <definedName name="TM1_COPIA_SDM_src" hidden="1">"SDM!$AX$1:$CR$206"</definedName>
    <definedName name="TM1_COPIA_SDM_TD_src" hidden="1">"SDM_TD!$AQ$1:$CD$195"</definedName>
    <definedName name="TM1_COPIA_SINT_COMM_src" hidden="1">"SINT_COMM!$AY$1:$CS$219"</definedName>
    <definedName name="TM1_COPIA_SINT_COMM_TD_src" hidden="1">"SINT_COMM_TD!$AQ$1:$CE$219"</definedName>
    <definedName name="TM1_COPIA_SINT_COMM_TOT_src" hidden="1">"SINT_COMM_TOT!$AY$1:$CR$297"</definedName>
    <definedName name="TM1_COPIA_SINT_PF_src" hidden="1">"SINT_PF!$AW$1:$CX$85"</definedName>
    <definedName name="TM1_COPIA_SINT_src" hidden="1">"SINT!$AX$1:$CT$85"</definedName>
    <definedName name="TM1_COPIA_SINT_TD_PF_src" hidden="1">"SINT_TD_PF!$AU$1:$CN$86"</definedName>
    <definedName name="TM1_COPIA_SINT_TD_src" hidden="1">"SINT_TD!$AW$1:$CU$81"</definedName>
    <definedName name="TM1_COPIA_SINTCOMM_src" hidden="1">"SINTCOMM!$AX$1:$CS$218"</definedName>
    <definedName name="TM1_COPIA_SPEND_DAC_src" hidden="1">"SPEND_DAC!$AW$1:$CD$230"</definedName>
    <definedName name="TM1_COPIA_SPEND_DCO_src" hidden="1">"SPEND_DCO!$AW$1:$CE$227"</definedName>
    <definedName name="TM1_COPIA_SPEND_DMS_src" hidden="1">"SPEND_DMS!$AW$1:$CD$222"</definedName>
    <definedName name="TM1_COPIA_SPEND_DOP_src" hidden="1">"SPEND_DOP!$AW$1:$CC$217"</definedName>
    <definedName name="TM1_COPIA_SPEND_DPO_src" hidden="1">"SPEND_DPO!$AW$1:$CC$219"</definedName>
    <definedName name="TM1_COPIA_SPEND_DPS_src" hidden="1">"SPEND_DPS!$AW$1:$CD$219"</definedName>
    <definedName name="TM1_COPIA_SPEND_IMM_src" hidden="1">"SPEND_IMM!$AW$1:$CE$225"</definedName>
    <definedName name="TM1_COPIA_SPEND_src" hidden="1">"SPEND!$AX$1:$CE$222"</definedName>
    <definedName name="TM1_COPIA_TUT_m._src" hidden="1">"TUT_m.!$AZ$1:$CW$122"</definedName>
    <definedName name="TM1_COPIA_TUT_src" hidden="1">"TUT!$AX$1:$CR$206"</definedName>
    <definedName name="TM1_COPIA_TUT_TD_src" hidden="1">"TUT_TD!$AQ$1:$CD$195"</definedName>
    <definedName name="TM1_COPIA_WEB_m._src" hidden="1">"WEB_m.!$AZ$1:$CW$122"</definedName>
    <definedName name="TM1_COPIA_WEB_src" hidden="1">"WEB!$AX$1:$CR$206"</definedName>
    <definedName name="TM1_COPIA_WEB_TD_src" hidden="1">"WEB_TD!$AQ$1:$CD$195"</definedName>
    <definedName name="TM15S17S2004E8C32C10EAM" hidden="1">#REF!</definedName>
    <definedName name="TM25S14S2004E11C18C59EAM" hidden="1">#REF!</definedName>
    <definedName name="tmto" localSheetId="8" hidden="1">{"detail",#N/A,FALSE,"mfg";"summary",#N/A,FALSE,"mfg"}</definedName>
    <definedName name="tmto" hidden="1">{"detail",#N/A,FALSE,"mfg";"summary",#N/A,FALSE,"mfg"}</definedName>
    <definedName name="tn" localSheetId="8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tn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TN1IDubinch" hidden="1">#REF!</definedName>
    <definedName name="TNJHJN" localSheetId="8" hidden="1">{"'100'!$A$1:$M$83"}</definedName>
    <definedName name="TNJHJN" hidden="1">{"'100'!$A$1:$M$83"}</definedName>
    <definedName name="tnntnt" localSheetId="8" hidden="1">{#N/A,#N/A,FALSE,"Assessment";#N/A,#N/A,FALSE,"Staffing";#N/A,#N/A,FALSE,"Hires";#N/A,#N/A,FALSE,"Assumptions"}</definedName>
    <definedName name="tnntnt" hidden="1">{#N/A,#N/A,FALSE,"Assessment";#N/A,#N/A,FALSE,"Staffing";#N/A,#N/A,FALSE,"Hires";#N/A,#N/A,FALSE,"Assumptions"}</definedName>
    <definedName name="tnntntrtn" localSheetId="8" hidden="1">{#N/A,#N/A,FALSE,"Assessment";#N/A,#N/A,FALSE,"Staffing";#N/A,#N/A,FALSE,"Hires";#N/A,#N/A,FALSE,"Assumptions"}</definedName>
    <definedName name="tnntntrtn" hidden="1">{#N/A,#N/A,FALSE,"Assessment";#N/A,#N/A,FALSE,"Staffing";#N/A,#N/A,FALSE,"Hires";#N/A,#N/A,FALSE,"Assumptions"}</definedName>
    <definedName name="tobias" hidden="1">#N/A</definedName>
    <definedName name="toby" localSheetId="8" hidden="1">{"comps1_1",#N/A,FALSE,"Comps1";"comps1_2",#N/A,FALSE,"Comps1";"comps1_3",#N/A,FALSE,"Comps1";"comps1_4",#N/A,FALSE,"Comps1";"comps1_5",#N/A,FALSE,"Comps1"}</definedName>
    <definedName name="toby" hidden="1">{"comps1_1",#N/A,FALSE,"Comps1";"comps1_2",#N/A,FALSE,"Comps1";"comps1_3",#N/A,FALSE,"Comps1";"comps1_4",#N/A,FALSE,"Comps1";"comps1_5",#N/A,FALSE,"Comps1"}</definedName>
    <definedName name="TOC_Hdg_3" hidden="1">#REF!</definedName>
    <definedName name="TOC_Hdg_4" hidden="1">#REF!</definedName>
    <definedName name="TOC_Hdg_5" hidden="1">#REF!</definedName>
    <definedName name="TOM" localSheetId="8" hidden="1">{#N/A,#N/A,TRUE,"Main Issues";#N/A,#N/A,TRUE,"Income statement ($)"}</definedName>
    <definedName name="TOM" hidden="1">{#N/A,#N/A,TRUE,"Main Issues";#N/A,#N/A,TRUE,"Income statement ($)"}</definedName>
    <definedName name="TOM_2" localSheetId="8" hidden="1">{#N/A,#N/A,TRUE,"Main Issues";#N/A,#N/A,TRUE,"Income statement ($)"}</definedName>
    <definedName name="TOM_2" hidden="1">{#N/A,#N/A,TRUE,"Main Issues";#N/A,#N/A,TRUE,"Income statement ($)"}</definedName>
    <definedName name="TOPENTRY" hidden="1">#REF!</definedName>
    <definedName name="total" localSheetId="8" hidden="1">{"detail",#N/A,FALSE,"mfg";"summary",#N/A,FALSE,"mfg"}</definedName>
    <definedName name="total" hidden="1">{"detail",#N/A,FALSE,"mfg";"summary",#N/A,FALSE,"mfg"}</definedName>
    <definedName name="TOTAL_IN" localSheetId="7" hidden="1">{"Informes",#N/A,FALSE,"CA";"Informes",#N/A,FALSE,"CN";"Informes",#N/A,FALSE,"INVERSIONES";"Informes",#N/A,FALSE,"CN Oficial";"Informes",#N/A,FALSE,"CA Oficial";"Informes",#N/A,FALSE,"Res Datos Areas"}</definedName>
    <definedName name="TOTAL_IN" localSheetId="8" hidden="1">{"Informes",#N/A,FALSE,"CA";"Informes",#N/A,FALSE,"CN";"Informes",#N/A,FALSE,"INVERSIONES";"Informes",#N/A,FALSE,"CN Oficial";"Informes",#N/A,FALSE,"CA Oficial";"Informes",#N/A,FALSE,"Res Datos Areas"}</definedName>
    <definedName name="TOTAL_IN" hidden="1">{"Informes",#N/A,FALSE,"CA";"Informes",#N/A,FALSE,"CN";"Informes",#N/A,FALSE,"INVERSIONES";"Informes",#N/A,FALSE,"CN Oficial";"Informes",#N/A,FALSE,"CA Oficial";"Informes",#N/A,FALSE,"Res Datos Areas"}</definedName>
    <definedName name="TOTAL_IN_1" localSheetId="7" hidden="1">{"Informes",#N/A,FALSE,"CA";"Informes",#N/A,FALSE,"CN";"Informes",#N/A,FALSE,"INVERSIONES";"Informes",#N/A,FALSE,"CN Oficial";"Informes",#N/A,FALSE,"CA Oficial";"Informes",#N/A,FALSE,"Res Datos Areas"}</definedName>
    <definedName name="TOTAL_IN_1" localSheetId="8" hidden="1">{"Informes",#N/A,FALSE,"CA";"Informes",#N/A,FALSE,"CN";"Informes",#N/A,FALSE,"INVERSIONES";"Informes",#N/A,FALSE,"CN Oficial";"Informes",#N/A,FALSE,"CA Oficial";"Informes",#N/A,FALSE,"Res Datos Areas"}</definedName>
    <definedName name="TOTAL_IN_1" hidden="1">{"Informes",#N/A,FALSE,"CA";"Informes",#N/A,FALSE,"CN";"Informes",#N/A,FALSE,"INVERSIONES";"Informes",#N/A,FALSE,"CN Oficial";"Informes",#N/A,FALSE,"CA Oficial";"Informes",#N/A,FALSE,"Res Datos Areas"}</definedName>
    <definedName name="TOTAL_INFORMES" localSheetId="7" hidden="1">{"Informes",#N/A,FALSE,"CA";"Informes",#N/A,FALSE,"CN";"Informes",#N/A,FALSE,"INVERSIONES";"Informes",#N/A,FALSE,"CN Oficial";"Informes",#N/A,FALSE,"CA Oficial";"Informes",#N/A,FALSE,"Res Datos Areas"}</definedName>
    <definedName name="TOTAL_INFORMES" localSheetId="8" hidden="1">{"Informes",#N/A,FALSE,"CA";"Informes",#N/A,FALSE,"CN";"Informes",#N/A,FALSE,"INVERSIONES";"Informes",#N/A,FALSE,"CN Oficial";"Informes",#N/A,FALSE,"CA Oficial";"Informes",#N/A,FALSE,"Res Datos Areas"}</definedName>
    <definedName name="TOTAL_INFORMES" hidden="1">{"Informes",#N/A,FALSE,"CA";"Informes",#N/A,FALSE,"CN";"Informes",#N/A,FALSE,"INVERSIONES";"Informes",#N/A,FALSE,"CN Oficial";"Informes",#N/A,FALSE,"CA Oficial";"Informes",#N/A,FALSE,"Res Datos Areas"}</definedName>
    <definedName name="TOTAL_INFORMES_1" localSheetId="7" hidden="1">{"Informes",#N/A,FALSE,"CA";"Informes",#N/A,FALSE,"CN";"Informes",#N/A,FALSE,"INVERSIONES";"Informes",#N/A,FALSE,"CN Oficial";"Informes",#N/A,FALSE,"CA Oficial";"Informes",#N/A,FALSE,"Res Datos Areas"}</definedName>
    <definedName name="TOTAL_INFORMES_1" localSheetId="8" hidden="1">{"Informes",#N/A,FALSE,"CA";"Informes",#N/A,FALSE,"CN";"Informes",#N/A,FALSE,"INVERSIONES";"Informes",#N/A,FALSE,"CN Oficial";"Informes",#N/A,FALSE,"CA Oficial";"Informes",#N/A,FALSE,"Res Datos Areas"}</definedName>
    <definedName name="TOTAL_INFORMES_1" hidden="1">{"Informes",#N/A,FALSE,"CA";"Informes",#N/A,FALSE,"CN";"Informes",#N/A,FALSE,"INVERSIONES";"Informes",#N/A,FALSE,"CN Oficial";"Informes",#N/A,FALSE,"CA Oficial";"Informes",#N/A,FALSE,"Res Datos Areas"}</definedName>
    <definedName name="Tours" hidden="1">#REF!</definedName>
    <definedName name="TQ" localSheetId="8" hidden="1">{"'EARLY LIFE SAVINGS - COSTS '!$A$1:$N$56"}</definedName>
    <definedName name="TQ" hidden="1">{"'EARLY LIFE SAVINGS - COSTS '!$A$1:$N$56"}</definedName>
    <definedName name="TR" localSheetId="8" hidden="1">{"'EARLY LIFE SAVINGS - COSTS '!$A$1:$N$56"}</definedName>
    <definedName name="TR" hidden="1">{"'EARLY LIFE SAVINGS - COSTS '!$A$1:$N$56"}</definedName>
    <definedName name="TR\" localSheetId="8" hidden="1">{#N/A,#N/A,FALSE,"Aging Summary";#N/A,#N/A,FALSE,"Ratio Analysis";#N/A,#N/A,FALSE,"Test 120 Day Accts";#N/A,#N/A,FALSE,"Tickmarks"}</definedName>
    <definedName name="TR\" hidden="1">{#N/A,#N/A,FALSE,"Aging Summary";#N/A,#N/A,FALSE,"Ratio Analysis";#N/A,#N/A,FALSE,"Test 120 Day Accts";#N/A,#N/A,FALSE,"Tickmarks"}</definedName>
    <definedName name="tradcomp" localSheetId="8" hidden="1">{#N/A,#N/A,FALSE,"Trading-Mult ";#N/A,#N/A,FALSE,"Trading-Cap";#N/A,#N/A,FALSE,"Trading-Inc";#N/A,#N/A,FALSE,"Cash Flow";#N/A,#N/A,FALSE,"M&amp;A info"}</definedName>
    <definedName name="tradcomp" hidden="1">{#N/A,#N/A,FALSE,"Trading-Mult ";#N/A,#N/A,FALSE,"Trading-Cap";#N/A,#N/A,FALSE,"Trading-Inc";#N/A,#N/A,FALSE,"Cash Flow";#N/A,#N/A,FALSE,"M&amp;A info"}</definedName>
    <definedName name="tradingcompar" localSheetId="8" hidden="1">{#N/A,#N/A,FALSE,"Trading-Mult ";#N/A,#N/A,FALSE,"Trading-Cap";#N/A,#N/A,FALSE,"Trading-Inc";#N/A,#N/A,FALSE,"Cash Flow";#N/A,#N/A,FALSE,"M&amp;A info"}</definedName>
    <definedName name="tradingcompar" hidden="1">{#N/A,#N/A,FALSE,"Trading-Mult ";#N/A,#N/A,FALSE,"Trading-Cap";#N/A,#N/A,FALSE,"Trading-Inc";#N/A,#N/A,FALSE,"Cash Flow";#N/A,#N/A,FALSE,"M&amp;A info"}</definedName>
    <definedName name="transp3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transp36a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trb.gf" localSheetId="8" hidden="1">{"Statements",#N/A,TRUE,"Income Statement";"Statements",#N/A,TRUE,"Cash Flow Statement";"Statements",#N/A,TRUE,"Balance Sheet ";#N/A,#N/A,TRUE,"Revenue Data Table";#N/A,#N/A,TRUE,"Costs &amp; Expenses Data Table";#N/A,#N/A,TRUE,"Cash Flow Data Table ";#N/A,#N/A,TRUE,"Shor-term Interest Expense"}</definedName>
    <definedName name="trb.gf" hidden="1">{"Statements",#N/A,TRUE,"Income Statement";"Statements",#N/A,TRUE,"Cash Flow Statement";"Statements",#N/A,TRUE,"Balance Sheet ";#N/A,#N/A,TRUE,"Revenue Data Table";#N/A,#N/A,TRUE,"Costs &amp; Expenses Data Table";#N/A,#N/A,TRUE,"Cash Flow Data Table ";#N/A,#N/A,TRUE,"Shor-term Interest Expense"}</definedName>
    <definedName name="trcde" localSheetId="8" hidden="1">{"summary",#N/A,FALSE,"$ Summary";"humberside",#N/A,FALSE,"Local Currency Detail";"mersyside",#N/A,FALSE,"Local Currency Detail";"south wales",#N/A,FALSE,"Local Currency Detail";"teesside",#N/A,FALSE,"Local Currency Detail";"gent/terneuzen",#N/A,FALSE,"Local Currency Detail";"chalampe",#N/A,FALSE,"Local Currency Detail";"botlek",#N/A,FALSE,"Local Currency Detail";"pernis",#N/A,FALSE,"Local Currency Detail";"asu3/eup",#N/A,FALSE,"Local Currency Detail";"electronics uk/ned",#N/A,FALSE,"Local Currency Detail";"electronics ireland",#N/A,FALSE,"Local Currency Detail";"electronics italy",#N/A,FALSE,"Local Currency Detail";"electronics israel/france",#N/A,FALSE,"Local Currency Detail";"strasbourg/germany",#N/A,FALSE,"Local Currency Detail"}</definedName>
    <definedName name="trcde" hidden="1">{"summary",#N/A,FALSE,"$ Summary";"humberside",#N/A,FALSE,"Local Currency Detail";"mersyside",#N/A,FALSE,"Local Currency Detail";"south wales",#N/A,FALSE,"Local Currency Detail";"teesside",#N/A,FALSE,"Local Currency Detail";"gent/terneuzen",#N/A,FALSE,"Local Currency Detail";"chalampe",#N/A,FALSE,"Local Currency Detail";"botlek",#N/A,FALSE,"Local Currency Detail";"pernis",#N/A,FALSE,"Local Currency Detail";"asu3/eup",#N/A,FALSE,"Local Currency Detail";"electronics uk/ned",#N/A,FALSE,"Local Currency Detail";"electronics ireland",#N/A,FALSE,"Local Currency Detail";"electronics italy",#N/A,FALSE,"Local Currency Detail";"electronics israel/france",#N/A,FALSE,"Local Currency Detail";"strasbourg/germany",#N/A,FALSE,"Local Currency Detail"}</definedName>
    <definedName name="tre" localSheetId="8" hidden="1">{"pro_view",#N/A,FALSE,"EEFSNAP2";"rep_view",#N/A,FALSE,"EEFSNAP2"}</definedName>
    <definedName name="tre" hidden="1">{"pro_view",#N/A,FALSE,"EEFSNAP2";"rep_view",#N/A,FALSE,"EEFSNAP2"}</definedName>
    <definedName name="treeList" localSheetId="7" hidden="1">"10000000000000000000000000000000000000000000000000000000000000000000000000000000000000000000000000000000000000000000000000000000000000000000000000000000000000000000000000000000000000000000000000000000"</definedName>
    <definedName name="treeList" localSheetId="8" hidden="1">"10000000000000000000000000000000000000000000000000000000000000000000000000000000000000000000000000000000000000000000000000000000000000000000000000000000000000000000000000000000000000000000000000000000"</definedName>
    <definedName name="treeList" hidden="1">"11111100000000000000000000000000000000000000000000000000000000000000000000000000000000000000000000000000000000000000000000000000000000000000000000000000000000000000000000000000000000000000000000000000"</definedName>
    <definedName name="trend" localSheetId="8" hidden="1">{#N/A,#N/A,FALSE,"Aging Summary";#N/A,#N/A,FALSE,"Ratio Analysis";#N/A,#N/A,FALSE,"Test 120 Day Accts";#N/A,#N/A,FALSE,"Tickmarks"}</definedName>
    <definedName name="trend" hidden="1">{#N/A,#N/A,FALSE,"Aging Summary";#N/A,#N/A,FALSE,"Ratio Analysis";#N/A,#N/A,FALSE,"Test 120 Day Accts";#N/A,#N/A,FALSE,"Tickmarks"}</definedName>
    <definedName name="trend_1" localSheetId="8" hidden="1">{#N/A,#N/A,FALSE,"Aging Summary";#N/A,#N/A,FALSE,"Ratio Analysis";#N/A,#N/A,FALSE,"Test 120 Day Accts";#N/A,#N/A,FALSE,"Tickmarks"}</definedName>
    <definedName name="trend_1" hidden="1">{#N/A,#N/A,FALSE,"Aging Summary";#N/A,#N/A,FALSE,"Ratio Analysis";#N/A,#N/A,FALSE,"Test 120 Day Accts";#N/A,#N/A,FALSE,"Tickmarks"}</definedName>
    <definedName name="TRHDEV" hidden="1">#REF!</definedName>
    <definedName name="trial" localSheetId="8" hidden="1">{"'TYPE (2)'!$A$1:$Q$76"}</definedName>
    <definedName name="trial" hidden="1">{"'TYPE (2)'!$A$1:$Q$76"}</definedName>
    <definedName name="Trienal2" localSheetId="8" hidden="1">{#N/A,#N/A,FALSE,"ABR";#N/A,#N/A,FALSE,"MAR";#N/A,#N/A,FALSE,"CUSTOS"}</definedName>
    <definedName name="Trienal2" hidden="1">{#N/A,#N/A,FALSE,"ABR";#N/A,#N/A,FALSE,"MAR";#N/A,#N/A,FALSE,"CUSTOS"}</definedName>
    <definedName name="trjtjtr" localSheetId="8" hidden="1">{#N/A,#N/A,FALSE,"Assessment";#N/A,#N/A,FALSE,"Staffing";#N/A,#N/A,FALSE,"Hires";#N/A,#N/A,FALSE,"Assumptions"}</definedName>
    <definedName name="trjtjtr" hidden="1">{#N/A,#N/A,FALSE,"Assessment";#N/A,#N/A,FALSE,"Staffing";#N/A,#N/A,FALSE,"Hires";#N/A,#N/A,FALSE,"Assumptions"}</definedName>
    <definedName name="trjtrjrt" localSheetId="8" hidden="1">{#N/A,#N/A,FALSE,"Assessment";#N/A,#N/A,FALSE,"Staffing";#N/A,#N/A,FALSE,"Hires";#N/A,#N/A,FALSE,"Assumptions"}</definedName>
    <definedName name="trjtrjrt" hidden="1">{#N/A,#N/A,FALSE,"Assessment";#N/A,#N/A,FALSE,"Staffing";#N/A,#N/A,FALSE,"Hires";#N/A,#N/A,FALSE,"Assumptions"}</definedName>
    <definedName name="trjtrjtr" localSheetId="8" hidden="1">{#N/A,#N/A,FALSE,"Assessment";#N/A,#N/A,FALSE,"Staffing";#N/A,#N/A,FALSE,"Hires";#N/A,#N/A,FALSE,"Assumptions"}</definedName>
    <definedName name="trjtrjtr" hidden="1">{#N/A,#N/A,FALSE,"Assessment";#N/A,#N/A,FALSE,"Staffing";#N/A,#N/A,FALSE,"Hires";#N/A,#N/A,FALSE,"Assumptions"}</definedName>
    <definedName name="trn" localSheetId="8" hidden="1">{#N/A,#N/A,FALSE,"Assessment";#N/A,#N/A,FALSE,"Staffing";#N/A,#N/A,FALSE,"Hires";#N/A,#N/A,FALSE,"Assumptions"}</definedName>
    <definedName name="trn" hidden="1">{#N/A,#N/A,FALSE,"Assessment";#N/A,#N/A,FALSE,"Staffing";#N/A,#N/A,FALSE,"Hires";#N/A,#N/A,FALSE,"Assumptions"}</definedName>
    <definedName name="trrrrrrrrrrrrrrrrrrrrrrrrrrrrrrrrrr" localSheetId="8" hidden="1">{#N/A,#N/A,FALSE,"Assessment";#N/A,#N/A,FALSE,"Staffing";#N/A,#N/A,FALSE,"Hires";#N/A,#N/A,FALSE,"Assumptions"}</definedName>
    <definedName name="trrrrrrrrrrrrrrrrrrrrrrrrrrrrrrrrrr" hidden="1">{#N/A,#N/A,FALSE,"Assessment";#N/A,#N/A,FALSE,"Staffing";#N/A,#N/A,FALSE,"Hires";#N/A,#N/A,FALSE,"Assumptions"}</definedName>
    <definedName name="trser" localSheetId="8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trser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trser_1" localSheetId="8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trser_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Truquie" hidden="1">#REF!</definedName>
    <definedName name="try" localSheetId="8" hidden="1">{"'Plan_vs_Actual'!$B$3:$U$27"}</definedName>
    <definedName name="try" hidden="1">{"'Plan_vs_Actual'!$B$3:$U$27"}</definedName>
    <definedName name="tryeuyit" localSheetId="7" hidden="1">{#N/A,#N/A,FALSE,"Pharm";#N/A,#N/A,FALSE,"WWCM"}</definedName>
    <definedName name="tryeuyit" localSheetId="8" hidden="1">{#N/A,#N/A,FALSE,"Pharm";#N/A,#N/A,FALSE,"WWCM"}</definedName>
    <definedName name="tryeuyit" hidden="1">{#N/A,#N/A,FALSE,"Pharm";#N/A,#N/A,FALSE,"WWCM"}</definedName>
    <definedName name="ts" localSheetId="8" hidden="1">{"oct_res_comm",#N/A,FALSE,"VarToBud"}</definedName>
    <definedName name="ts" hidden="1">{"oct_res_comm",#N/A,FALSE,"VarToBud"}</definedName>
    <definedName name="TSComerciales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TSComerciales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tt" localSheetId="8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tt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tt.8" localSheetId="8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tt.8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ttrnrtntr" localSheetId="8" hidden="1">{#N/A,#N/A,FALSE,"Assessment";#N/A,#N/A,FALSE,"Staffing";#N/A,#N/A,FALSE,"Hires";#N/A,#N/A,FALSE,"Assumptions"}</definedName>
    <definedName name="ttrnrtntr" hidden="1">{#N/A,#N/A,FALSE,"Assessment";#N/A,#N/A,FALSE,"Staffing";#N/A,#N/A,FALSE,"Hires";#N/A,#N/A,FALSE,"Assumptions"}</definedName>
    <definedName name="ttt" localSheetId="7" hidden="1">#REF!</definedName>
    <definedName name="ttt" localSheetId="8" hidden="1">#REF!</definedName>
    <definedName name="ttt" hidden="1">{#N/A,"PURCHM",FALSE,"Business Analysis";#N/A,"SPADD",FALSE,"Business Analysis"}</definedName>
    <definedName name="tttt" localSheetId="8" hidden="1">{#N/A,#N/A,FALSE,"Produkte Erw.";#N/A,#N/A,FALSE,"Produkte Plan";#N/A,#N/A,FALSE,"Leistungen Erw.";#N/A,#N/A,FALSE,"Leistungen Plan";#N/A,#N/A,FALSE,"KA Allg.Kosten (2)";#N/A,#N/A,FALSE,"KA All.Kosten"}</definedName>
    <definedName name="tttt" hidden="1">{#N/A,#N/A,FALSE,"Produkte Erw.";#N/A,#N/A,FALSE,"Produkte Plan";#N/A,#N/A,FALSE,"Leistungen Erw.";#N/A,#N/A,FALSE,"Leistungen Plan";#N/A,#N/A,FALSE,"KA Allg.Kosten (2)";#N/A,#N/A,FALSE,"KA All.Kosten"}</definedName>
    <definedName name="tttt_1" localSheetId="8" hidden="1">{#N/A,#N/A,FALSE,"projcf";#N/A,#N/A,FALSE,"Projline";#N/A,#N/A,FALSE,"bankline";#N/A,#N/A,FALSE,"Fast95is";#N/A,#N/A,FALSE,"tool95is";#N/A,#N/A,FALSE,"tot95is";#N/A,#N/A,FALSE,"tool950h";#N/A,#N/A,FALSE,"fas95oh";#N/A,#N/A,FALSE,"tot95oh";#N/A,#N/A,FALSE,"95sga";#N/A,#N/A,FALSE,"95projcf";#N/A,#N/A,FALSE,"95loc";#N/A,#N/A,FALSE,"95bankline"}</definedName>
    <definedName name="tttt_1" hidden="1">{#N/A,#N/A,FALSE,"projcf";#N/A,#N/A,FALSE,"Projline";#N/A,#N/A,FALSE,"bankline";#N/A,#N/A,FALSE,"Fast95is";#N/A,#N/A,FALSE,"tool95is";#N/A,#N/A,FALSE,"tot95is";#N/A,#N/A,FALSE,"tool950h";#N/A,#N/A,FALSE,"fas95oh";#N/A,#N/A,FALSE,"tot95oh";#N/A,#N/A,FALSE,"95sga";#N/A,#N/A,FALSE,"95projcf";#N/A,#N/A,FALSE,"95loc";#N/A,#N/A,FALSE,"95bankline"}</definedName>
    <definedName name="TTTTTT" localSheetId="8" hidden="1">{"Largo",#N/A,FALSE,"FSCONSO";"Corto",#N/A,FALSE,"FSCONSO";"pl",#N/A,FALSE,"FSCONSO"}</definedName>
    <definedName name="TTTTTT" hidden="1">{"Largo",#N/A,FALSE,"FSCONSO";"Corto",#N/A,FALSE,"FSCONSO";"pl",#N/A,FALSE,"FSCONSO"}</definedName>
    <definedName name="TTTTTT_1" localSheetId="8" hidden="1">{"Largo",#N/A,FALSE,"FSCONSO";"Corto",#N/A,FALSE,"FSCONSO";"pl",#N/A,FALSE,"FSCONSO"}</definedName>
    <definedName name="TTTTTT_1" hidden="1">{"Largo",#N/A,FALSE,"FSCONSO";"Corto",#N/A,FALSE,"FSCONSO";"pl",#N/A,FALSE,"FSCONSO"}</definedName>
    <definedName name="ttttttt" localSheetId="8" hidden="1">#REF!</definedName>
    <definedName name="ttttttt" hidden="1">#REF!</definedName>
    <definedName name="tttttttttt" localSheetId="8" hidden="1">{#N/A,#N/A,FALSE,"Adm comp";#N/A,#N/A,FALSE,"Adm ajust";"adm",#N/A,FALSE,"Administration";#N/A,#N/A,FALSE,"Adm Bgt 97 vs Prév. 96";#N/A,#N/A,FALSE,"Adm Bgt 97 vs 96"}</definedName>
    <definedName name="tttttttttt" hidden="1">{#N/A,#N/A,FALSE,"Adm comp";#N/A,#N/A,FALSE,"Adm ajust";"adm",#N/A,FALSE,"Administration";#N/A,#N/A,FALSE,"Adm Bgt 97 vs Prév. 96";#N/A,#N/A,FALSE,"Adm Bgt 97 vs 96"}</definedName>
    <definedName name="TTTTTTTTTTTTTT" localSheetId="8" hidden="1">{"Largo",#N/A,FALSE,"FSMILES (1)";"Corto",#N/A,FALSE,"FSMILES (1)";"PL",#N/A,FALSE,"FSMILES (1)"}</definedName>
    <definedName name="TTTTTTTTTTTTTT" hidden="1">{"Largo",#N/A,FALSE,"FSMILES (1)";"Corto",#N/A,FALSE,"FSMILES (1)";"PL",#N/A,FALSE,"FSMILES (1)"}</definedName>
    <definedName name="TTTTTTTTTTTTTT_1" localSheetId="8" hidden="1">{"Largo",#N/A,FALSE,"FSMILES (1)";"Corto",#N/A,FALSE,"FSMILES (1)";"PL",#N/A,FALSE,"FSMILES (1)"}</definedName>
    <definedName name="TTTTTTTTTTTTTT_1" hidden="1">{"Largo",#N/A,FALSE,"FSMILES (1)";"Corto",#N/A,FALSE,"FSMILES (1)";"PL",#N/A,FALSE,"FSMILES (1)"}</definedName>
    <definedName name="tttttttttttttttttt" localSheetId="8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tttttttttttttttttt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tttyt" localSheetId="8" hidden="1">{"example",#N/A,FALSE,"Import 1 - Oracle"}</definedName>
    <definedName name="tttyt" hidden="1">{"example",#N/A,FALSE,"Import 1 - Oracle"}</definedName>
    <definedName name="ttzz" localSheetId="8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ttzz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tu" localSheetId="7" hidden="1">{"Análisis Ventas Ppto 2000",#N/A,FALSE,"Grupo";"Cta Res Ppto 2000",#N/A,FALSE,"Grupo";"Impacto Ppto 2000",#N/A,FALSE,"Grupo";"Bce Ppto 2000",#N/A,FALSE,"Grupo";"Cashflow Ppto 2000",#N/A,FALSE,"Grupo";"Resumen de Ventas",#N/A,FALSE,"VENTAS 2000";"Resumen Cta Res",#N/A,FALSE,"CTA RES 2000"}</definedName>
    <definedName name="tu" localSheetId="8" hidden="1">{"Análisis Ventas Ppto 2000",#N/A,FALSE,"Grupo";"Cta Res Ppto 2000",#N/A,FALSE,"Grupo";"Impacto Ppto 2000",#N/A,FALSE,"Grupo";"Bce Ppto 2000",#N/A,FALSE,"Grupo";"Cashflow Ppto 2000",#N/A,FALSE,"Grupo";"Resumen de Ventas",#N/A,FALSE,"VENTAS 2000";"Resumen Cta Res",#N/A,FALSE,"CTA RES 2000"}</definedName>
    <definedName name="tu" hidden="1">{"Análisis Ventas Ppto 2000",#N/A,FALSE,"Grupo";"Cta Res Ppto 2000",#N/A,FALSE,"Grupo";"Impacto Ppto 2000",#N/A,FALSE,"Grupo";"Bce Ppto 2000",#N/A,FALSE,"Grupo";"Cashflow Ppto 2000",#N/A,FALSE,"Grupo";"Resumen de Ventas",#N/A,FALSE,"VENTAS 2000";"Resumen Cta Res",#N/A,FALSE,"CTA RES 2000"}</definedName>
    <definedName name="tu_1" localSheetId="8" hidden="1">{"Análisis Ventas Ppto 2000",#N/A,FALSE,"Grupo";"Cta Res Ppto 2000",#N/A,FALSE,"Grupo";"Impacto Ppto 2000",#N/A,FALSE,"Grupo";"Bce Ppto 2000",#N/A,FALSE,"Grupo";"Cashflow Ppto 2000",#N/A,FALSE,"Grupo";"Resumen de Ventas",#N/A,FALSE,"VENTAS 2000";"Resumen Cta Res",#N/A,FALSE,"CTA RES 2000"}</definedName>
    <definedName name="tu_1" hidden="1">{"Análisis Ventas Ppto 2000",#N/A,FALSE,"Grupo";"Cta Res Ppto 2000",#N/A,FALSE,"Grupo";"Impacto Ppto 2000",#N/A,FALSE,"Grupo";"Bce Ppto 2000",#N/A,FALSE,"Grupo";"Cashflow Ppto 2000",#N/A,FALSE,"Grupo";"Resumen de Ventas",#N/A,FALSE,"VENTAS 2000";"Resumen Cta Res",#N/A,FALSE,"CTA RES 2000"}</definedName>
    <definedName name="tuku" localSheetId="8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tuku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tuku_1" localSheetId="8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tuku_1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tukui" localSheetId="8" hidden="1">{#N/A,#N/A,TRUE,"Graficos";#N/A,#N/A,TRUE,"P.Ingresos";#N/A,#N/A,TRUE,"P.Gastos";#N/A,#N/A,TRUE,"I.Trafico";#N/A,#N/A,TRUE,"I.Peajes";#N/A,#N/A,TRUE,"G.Operativos";#N/A,#N/A,TRUE,"Cf Proyecto";#N/A,#N/A,TRUE,"C.PYG";#N/A,#N/A,TRUE,"Balance";#N/A,#N/A,TRUE,"TIR AC";#N/A,#N/A,TRUE,"Ratios";#N/A,#N/A,TRUE,"Amortizacion";#N/A,#N/A,TRUE,"FC fin";#N/A,#N/A,TRUE,"Coeficientes";#N/A,#N/A,TRUE,"Tesoreria";#N/A,#N/A,TRUE,"Prest.inv";#N/A,#N/A,TRUE,"Obligacion";#N/A,#N/A,TRUE,"Impuestos";#N/A,#N/A,TRUE,"Reservas";#N/A,#N/A,TRUE,"Inversion";#N/A,#N/A,TRUE,"P.Inversion";#N/A,#N/A,TRUE,"C.Fl Inv.";#N/A,#N/A,TRUE,"VAN Oferta"}</definedName>
    <definedName name="tukui" hidden="1">{#N/A,#N/A,TRUE,"Graficos";#N/A,#N/A,TRUE,"P.Ingresos";#N/A,#N/A,TRUE,"P.Gastos";#N/A,#N/A,TRUE,"I.Trafico";#N/A,#N/A,TRUE,"I.Peajes";#N/A,#N/A,TRUE,"G.Operativos";#N/A,#N/A,TRUE,"Cf Proyecto";#N/A,#N/A,TRUE,"C.PYG";#N/A,#N/A,TRUE,"Balance";#N/A,#N/A,TRUE,"TIR AC";#N/A,#N/A,TRUE,"Ratios";#N/A,#N/A,TRUE,"Amortizacion";#N/A,#N/A,TRUE,"FC fin";#N/A,#N/A,TRUE,"Coeficientes";#N/A,#N/A,TRUE,"Tesoreria";#N/A,#N/A,TRUE,"Prest.inv";#N/A,#N/A,TRUE,"Obligacion";#N/A,#N/A,TRUE,"Impuestos";#N/A,#N/A,TRUE,"Reservas";#N/A,#N/A,TRUE,"Inversion";#N/A,#N/A,TRUE,"P.Inversion";#N/A,#N/A,TRUE,"C.Fl Inv.";#N/A,#N/A,TRUE,"VAN Oferta"}</definedName>
    <definedName name="turd" localSheetId="8" hidden="1">{"detail",#N/A,FALSE,"mfg";"summary",#N/A,FALSE,"mfg"}</definedName>
    <definedName name="turd" hidden="1">{"detail",#N/A,FALSE,"mfg";"summary",#N/A,FALSE,"mfg"}</definedName>
    <definedName name="tv" localSheetId="8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tv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tw" localSheetId="8" hidden="1">{#N/A,#N/A,FALSE,"SMT1";#N/A,#N/A,FALSE,"SMT2";#N/A,#N/A,FALSE,"Summary";#N/A,#N/A,FALSE,"Graphs";#N/A,#N/A,FALSE,"4 Panel"}</definedName>
    <definedName name="tw" hidden="1">{#N/A,#N/A,FALSE,"SMT1";#N/A,#N/A,FALSE,"SMT2";#N/A,#N/A,FALSE,"Summary";#N/A,#N/A,FALSE,"Graphs";#N/A,#N/A,FALSE,"4 Panel"}</definedName>
    <definedName name="ty" localSheetId="7" hidden="1">{"Bce Laf",#N/A,FALSE,"LAF";"CashFlow Laf",#N/A,FALSE,"LAF";"Bce Oleomed",#N/A,FALSE,"Oleomed";"Bce Dreiman",#N/A,FALSE,"Dreiman";"CashFlow oleomed",#N/A,FALSE,"Oleomed";"cashflow Dreiman",#N/A,FALSE,"Dreiman";"Bce Farmygel",#N/A,FALSE,"Farmygel";"Cashflow Farmygel",#N/A,FALSE,"Farmygel";"Cashflow Grupo",#N/A,FALSE,"Grupo";"Cash Flow Grupo",#N/A,FALSE,"GRUPO BCE ";"Bce Laf",#N/A,FALSE,"GRUPO BCE ";"Todas las Compañías",#N/A,FALSE,"Gráficos"}</definedName>
    <definedName name="ty" localSheetId="8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ty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ty_1" localSheetId="7" hidden="1">{"Bce Laf",#N/A,FALSE,"LAF";"CashFlow Laf",#N/A,FALSE,"LAF";"Bce Oleomed",#N/A,FALSE,"Oleomed";"Bce Dreiman",#N/A,FALSE,"Dreiman";"CashFlow oleomed",#N/A,FALSE,"Oleomed";"cashflow Dreiman",#N/A,FALSE,"Dreiman";"Bce Farmygel",#N/A,FALSE,"Farmygel";"Cashflow Farmygel",#N/A,FALSE,"Farmygel";"Cashflow Grupo",#N/A,FALSE,"Grupo";"Cash Flow Grupo",#N/A,FALSE,"GRUPO BCE ";"Bce Laf",#N/A,FALSE,"GRUPO BCE ";"Todas las Compañías",#N/A,FALSE,"Gráficos"}</definedName>
    <definedName name="ty_1" localSheetId="8" hidden="1">{"Bce Laf",#N/A,FALSE,"LAF";"CashFlow Laf",#N/A,FALSE,"LAF";"Bce Oleomed",#N/A,FALSE,"Oleomed";"Bce Dreiman",#N/A,FALSE,"Dreiman";"CashFlow oleomed",#N/A,FALSE,"Oleomed";"cashflow Dreiman",#N/A,FALSE,"Dreiman";"Bce Farmygel",#N/A,FALSE,"Farmygel";"Cashflow Farmygel",#N/A,FALSE,"Farmygel";"Cashflow Grupo",#N/A,FALSE,"Grupo";"Cash Flow Grupo",#N/A,FALSE,"GRUPO BCE ";"Bce Laf",#N/A,FALSE,"GRUPO BCE ";"Todas las Compañías",#N/A,FALSE,"Gráficos"}</definedName>
    <definedName name="ty_1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tynm" localSheetId="8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tynm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Types" hidden="1">#REF!</definedName>
    <definedName name="TYTYT" localSheetId="8" hidden="1">{#N/A,#N/A,FALSE,"Min compa cad";#N/A,#N/A,FALSE,"Min CAN Equité ";#N/A,#N/A,FALSE,"Analyse can"}</definedName>
    <definedName name="TYTYT" hidden="1">{#N/A,#N/A,FALSE,"Min compa cad";#N/A,#N/A,FALSE,"Min CAN Equité ";#N/A,#N/A,FALSE,"Analyse can"}</definedName>
    <definedName name="tyu" localSheetId="8" hidden="1">{"oct_res_comm",#N/A,FALSE,"VarToBud"}</definedName>
    <definedName name="tyu" hidden="1">{"oct_res_comm",#N/A,FALSE,"VarToBud"}</definedName>
    <definedName name="tyu_1" localSheetId="8" hidden="1">{"consolidated",#N/A,FALSE,"Sheet1";"cms",#N/A,FALSE,"Sheet1";"fse",#N/A,FALSE,"Sheet1"}</definedName>
    <definedName name="tyu_1" hidden="1">{"consolidated",#N/A,FALSE,"Sheet1";"cms",#N/A,FALSE,"Sheet1";"fse",#N/A,FALSE,"Sheet1"}</definedName>
    <definedName name="TYUERU" localSheetId="8" hidden="1">{#N/A,#N/A,FALSE,"IC Annex";#N/A,#N/A,FALSE,"Sensitivity";#N/A,#N/A,FALSE,"P&amp;L";#N/A,#N/A,FALSE,"Balance Sheet";#N/A,#N/A,FALSE,"Cash Flow";#N/A,#N/A,FALSE,"Key Assumptions";#N/A,#N/A,FALSE,"Global Assumptions";#N/A,#N/A,FALSE,"Graphs"}</definedName>
    <definedName name="TYUERU" hidden="1">{#N/A,#N/A,FALSE,"IC Annex";#N/A,#N/A,FALSE,"Sensitivity";#N/A,#N/A,FALSE,"P&amp;L";#N/A,#N/A,FALSE,"Balance Sheet";#N/A,#N/A,FALSE,"Cash Flow";#N/A,#N/A,FALSE,"Key Assumptions";#N/A,#N/A,FALSE,"Global Assumptions";#N/A,#N/A,FALSE,"Graphs"}</definedName>
    <definedName name="tyui" localSheetId="8" hidden="1">{"ICD Details",#N/A,FALSE,"Current Yr";"ICD Details",#N/A,FALSE,"Budget";"ICD Details",#N/A,FALSE,"Prior Year"}</definedName>
    <definedName name="tyui" hidden="1">{"ICD Details",#N/A,FALSE,"Current Yr";"ICD Details",#N/A,FALSE,"Budget";"ICD Details",#N/A,FALSE,"Prior Year"}</definedName>
    <definedName name="tyutytyi" localSheetId="7" hidden="1">{#N/A,#N/A,FALSE,"Pharm";#N/A,#N/A,FALSE,"WWCM"}</definedName>
    <definedName name="tyutytyi" localSheetId="8" hidden="1">{#N/A,#N/A,FALSE,"Pharm";#N/A,#N/A,FALSE,"WWCM"}</definedName>
    <definedName name="tyutytyi" hidden="1">{#N/A,#N/A,FALSE,"Pharm";#N/A,#N/A,FALSE,"WWCM"}</definedName>
    <definedName name="tyutyunty" hidden="1">#REF!</definedName>
    <definedName name="tywj" localSheetId="8" hidden="1">{#N/A,#N/A,FALSE,"B1-P&amp;L by Bus.Unt-Serv.Unt";#N/A,#N/A,FALSE,"C2-Detail P&amp;L-Carriers";#N/A,#N/A,FALSE,"C3-Detail P&amp;L-Large Accounts";#N/A,#N/A,FALSE,"C4-Detail P&amp;L-Consumer";#N/A,#N/A,FALSE,"C4-Detail P&amp;L-SME";#N/A,#N/A,FALSE,"C5-Detail P&amp;L-N&amp;S";#N/A,#N/A,FALSE,"C6-Detail P&amp;L-ITBilling";#N/A,#N/A,FALSE,"C7-Detail P&amp;L-Corporate";#N/A,#N/A,FALSE,"B6-GM per Product"}</definedName>
    <definedName name="tywj" hidden="1">{#N/A,#N/A,FALSE,"B1-P&amp;L by Bus.Unt-Serv.Unt";#N/A,#N/A,FALSE,"C2-Detail P&amp;L-Carriers";#N/A,#N/A,FALSE,"C3-Detail P&amp;L-Large Accounts";#N/A,#N/A,FALSE,"C4-Detail P&amp;L-Consumer";#N/A,#N/A,FALSE,"C4-Detail P&amp;L-SME";#N/A,#N/A,FALSE,"C5-Detail P&amp;L-N&amp;S";#N/A,#N/A,FALSE,"C6-Detail P&amp;L-ITBilling";#N/A,#N/A,FALSE,"C7-Detail P&amp;L-Corporate";#N/A,#N/A,FALSE,"B6-GM per Product"}</definedName>
    <definedName name="tyyufkjkhjd" localSheetId="7" hidden="1">{#N/A,#N/A,FALSE,"Pharm";#N/A,#N/A,FALSE,"WWCM"}</definedName>
    <definedName name="tyyufkjkhjd" localSheetId="8" hidden="1">{#N/A,#N/A,FALSE,"Pharm";#N/A,#N/A,FALSE,"WWCM"}</definedName>
    <definedName name="tyyufkjkhjd" hidden="1">{#N/A,#N/A,FALSE,"Pharm";#N/A,#N/A,FALSE,"WWCM"}</definedName>
    <definedName name="tze" localSheetId="8" hidden="1">{"Ergebnisbericht_UBA",#N/A,FALSE,"MB"}</definedName>
    <definedName name="tze" hidden="1">{"Ergebnisbericht_UBA",#N/A,FALSE,"MB"}</definedName>
    <definedName name="tze_1" localSheetId="8" hidden="1">{"Ergebnisbericht_UBA",#N/A,FALSE,"MB"}</definedName>
    <definedName name="tze_1" hidden="1">{"Ergebnisbericht_UBA",#N/A,FALSE,"MB"}</definedName>
    <definedName name="tzet" hidden="1">#REF!</definedName>
    <definedName name="tzjetz" localSheetId="8" hidden="1">{"Eilbericht_UBA",#N/A,FALSE,"EB"}</definedName>
    <definedName name="tzjetz" hidden="1">{"Eilbericht_UBA",#N/A,FALSE,"EB"}</definedName>
    <definedName name="tzjetz_1" localSheetId="8" hidden="1">{"Eilbericht_UBA",#N/A,FALSE,"EB"}</definedName>
    <definedName name="tzjetz_1" hidden="1">{"Eilbericht_UBA",#N/A,FALSE,"EB"}</definedName>
    <definedName name="tzji" localSheetId="8" hidden="1">{"Ergebnisbericht_UBA",#N/A,FALSE,"MB"}</definedName>
    <definedName name="tzji" hidden="1">{"Ergebnisbericht_UBA",#N/A,FALSE,"MB"}</definedName>
    <definedName name="tzji_1" localSheetId="8" hidden="1">{"Ergebnisbericht_UBA",#N/A,FALSE,"MB"}</definedName>
    <definedName name="tzji_1" hidden="1">{"Ergebnisbericht_UBA",#N/A,FALSE,"MB"}</definedName>
    <definedName name="tzt" localSheetId="8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tzt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tzutz.lkjkljk" localSheetId="8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tzutz.lkjklj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u" localSheetId="7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u" localSheetId="8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u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ù" localSheetId="8" hidden="1">{"Ergebnisbericht_UBA",#N/A,FALSE,"MB"}</definedName>
    <definedName name="ù" hidden="1">{"Ergebnisbericht_UBA",#N/A,FALSE,"MB"}</definedName>
    <definedName name="u_1" localSheetId="7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u_1" localSheetId="8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u_1" hidden="1">{#N/A,#N/A,FALSE,"Automezzi";#N/A,#N/A,FALSE,"Fabbricati";#N/A,#N/A,FALSE,"SOFTWARE";#N/A,#N/A,FALSE,"COSTRUZIONI LEGGERE";#N/A,#N/A,FALSE,"Impianti 10%";#N/A,#N/A,FALSE,"Impianti 12,5%";#N/A,#N/A,FALSE,"Macchine e impianti 15,5%";#N/A,#N/A,FALSE,"Macchine e Impianti 12,5%";#N/A,#N/A,FALSE,"Attrezzature 25%";#N/A,#N/A,FALSE,"Attrezzatura 35%";#N/A,#N/A,FALSE,"Macchine ufficio elettroniche";#N/A,#N/A,FALSE,"Mobili e arredi";#N/A,#N/A,FALSE,"Mobili officina"}</definedName>
    <definedName name="ù_1" localSheetId="8" hidden="1">{"Ergebnisbericht_UBA",#N/A,FALSE,"MB"}</definedName>
    <definedName name="ù_1" hidden="1">{"Ergebnisbericht_UBA",#N/A,FALSE,"MB"}</definedName>
    <definedName name="uftt" hidden="1">{#N/A,#N/A,FALSE,"CA";#N/A,#N/A,FALSE,"CN";#N/A,#N/A,FALSE,"Inv";#N/A,#N/A,FALSE,"Inv Acc";"Miguel_balance",#N/A,FALSE,"Bal";#N/A,#N/A,FALSE,"Plantilla";#N/A,#N/A,FALSE,"CA (2)";#N/A,#N/A,FALSE,"CN (2)"}</definedName>
    <definedName name="ugfegfydilgfy" localSheetId="8" hidden="1">{"away stand alones",#N/A,FALSE,"Target"}</definedName>
    <definedName name="ugfegfydilgfy" hidden="1">{"away stand alones",#N/A,FALSE,"Target"}</definedName>
    <definedName name="ugfegfydilgfy_1" localSheetId="8" hidden="1">{"away stand alones",#N/A,FALSE,"Target"}</definedName>
    <definedName name="ugfegfydilgfy_1" hidden="1">{"away stand alones",#N/A,FALSE,"Target"}</definedName>
    <definedName name="ugiorz8or8oru" localSheetId="8" hidden="1">{#N/A,#N/A,FALSE,"CSS";#N/A,#N/A,FALSE,"USCSS ROLLUP";#N/A,#N/A,FALSE,"INT'L ROLLUP";#N/A,#N/A,FALSE,"CSS HQ";#N/A,#N/A,FALSE,"USCS";#N/A,#N/A,FALSE,"TARGET";#N/A,#N/A,FALSE,"MICROSOFT";#N/A,#N/A,FALSE,"AT&amp;T";#N/A,#N/A,FALSE,"ALT CHANNELS";#N/A,#N/A,FALSE,"USCS HQ";#N/A,#N/A,FALSE,"INTL MGMT";#N/A,#N/A,FALSE,"EMEA";#N/A,#N/A,FALSE,"ASIA PACIFIC";#N/A,#N/A,FALSE,"LATIN AMERICA";#N/A,#N/A,FALSE,"CANADA"}</definedName>
    <definedName name="ugiorz8or8oru" hidden="1">{#N/A,#N/A,FALSE,"CSS";#N/A,#N/A,FALSE,"USCSS ROLLUP";#N/A,#N/A,FALSE,"INT'L ROLLUP";#N/A,#N/A,FALSE,"CSS HQ";#N/A,#N/A,FALSE,"USCS";#N/A,#N/A,FALSE,"TARGET";#N/A,#N/A,FALSE,"MICROSOFT";#N/A,#N/A,FALSE,"AT&amp;T";#N/A,#N/A,FALSE,"ALT CHANNELS";#N/A,#N/A,FALSE,"USCS HQ";#N/A,#N/A,FALSE,"INTL MGMT";#N/A,#N/A,FALSE,"EMEA";#N/A,#N/A,FALSE,"ASIA PACIFIC";#N/A,#N/A,FALSE,"LATIN AMERICA";#N/A,#N/A,FALSE,"CANADA"}</definedName>
    <definedName name="ugyi" localSheetId="8" hidden="1">{#N/A,#N/A,FALSE,"output";#N/A,#N/A,FALSE,"contrib";#N/A,#N/A,FALSE,"profile";#N/A,#N/A,FALSE,"comps"}</definedName>
    <definedName name="ugyi" hidden="1">{#N/A,#N/A,FALSE,"output";#N/A,#N/A,FALSE,"contrib";#N/A,#N/A,FALSE,"profile";#N/A,#N/A,FALSE,"comps"}</definedName>
    <definedName name="uh" localSheetId="8" hidden="1">{"detail",#N/A,FALSE,"mfg";"summary",#N/A,FALSE,"mfg"}</definedName>
    <definedName name="uh" hidden="1">{"detail",#N/A,FALSE,"mfg";"summary",#N/A,FALSE,"mfg"}</definedName>
    <definedName name="UHT" localSheetId="8" hidden="1">{#N/A,#N/A,FALSE,"Adm comp";#N/A,#N/A,FALSE,"Adm ajust";"adm",#N/A,FALSE,"Administration";#N/A,#N/A,FALSE,"Adm Bgt 97 vs Prév. 96";#N/A,#N/A,FALSE,"Adm Bgt 97 vs 96"}</definedName>
    <definedName name="UHT" hidden="1">{#N/A,#N/A,FALSE,"Adm comp";#N/A,#N/A,FALSE,"Adm ajust";"adm",#N/A,FALSE,"Administration";#N/A,#N/A,FALSE,"Adm Bgt 97 vs Prév. 96";#N/A,#N/A,FALSE,"Adm Bgt 97 vs 96"}</definedName>
    <definedName name="uhukk" localSheetId="8" hidden="1">{#N/A,#N/A,TRUE,"consinc";#N/A,#N/A,TRUE,"consproj";#N/A,#N/A,TRUE,"deminc";#N/A,#N/A,TRUE,"incproj";#N/A,#N/A,TRUE,"demman";#N/A,#N/A,TRUE,"manproj";#N/A,#N/A,TRUE,"S&amp;Gact";#N/A,#N/A,TRUE,"S&amp;Gproj ";#N/A,#N/A,TRUE,"dengis";#N/A,#N/A,TRUE,"dengisproj";#N/A,#N/A,TRUE,"mitinc";#N/A,#N/A,TRUE,"mitincproj";#N/A,#N/A,TRUE,"mits&amp;G";#N/A,#N/A,TRUE,"mits&amp;gproj";#N/A,#N/A,TRUE,"arcis";#N/A,#N/A,TRUE,"arcproj";#N/A,#N/A,TRUE,"ampinc";#N/A,#N/A,TRUE,"ampincproj";#N/A,#N/A,TRUE,"ampman";#N/A,#N/A,TRUE,"ampmanproj";#N/A,#N/A,TRUE,"ampS&amp;G";#N/A,#N/A,TRUE,"amps&amp;GProj"}</definedName>
    <definedName name="uhukk" hidden="1">{#N/A,#N/A,TRUE,"consinc";#N/A,#N/A,TRUE,"consproj";#N/A,#N/A,TRUE,"deminc";#N/A,#N/A,TRUE,"incproj";#N/A,#N/A,TRUE,"demman";#N/A,#N/A,TRUE,"manproj";#N/A,#N/A,TRUE,"S&amp;Gact";#N/A,#N/A,TRUE,"S&amp;Gproj ";#N/A,#N/A,TRUE,"dengis";#N/A,#N/A,TRUE,"dengisproj";#N/A,#N/A,TRUE,"mitinc";#N/A,#N/A,TRUE,"mitincproj";#N/A,#N/A,TRUE,"mits&amp;G";#N/A,#N/A,TRUE,"mits&amp;gproj";#N/A,#N/A,TRUE,"arcis";#N/A,#N/A,TRUE,"arcproj";#N/A,#N/A,TRUE,"ampinc";#N/A,#N/A,TRUE,"ampincproj";#N/A,#N/A,TRUE,"ampman";#N/A,#N/A,TRUE,"ampmanproj";#N/A,#N/A,TRUE,"ampS&amp;G";#N/A,#N/A,TRUE,"amps&amp;GProj"}</definedName>
    <definedName name="uhukk_1" localSheetId="8" hidden="1">{#N/A,#N/A,TRUE,"consinc";#N/A,#N/A,TRUE,"consproj";#N/A,#N/A,TRUE,"deminc";#N/A,#N/A,TRUE,"incproj";#N/A,#N/A,TRUE,"demman";#N/A,#N/A,TRUE,"manproj";#N/A,#N/A,TRUE,"S&amp;Gact";#N/A,#N/A,TRUE,"S&amp;Gproj ";#N/A,#N/A,TRUE,"dengis";#N/A,#N/A,TRUE,"dengisproj";#N/A,#N/A,TRUE,"mitinc";#N/A,#N/A,TRUE,"mitincproj";#N/A,#N/A,TRUE,"mits&amp;G";#N/A,#N/A,TRUE,"mits&amp;gproj";#N/A,#N/A,TRUE,"arcis";#N/A,#N/A,TRUE,"arcproj";#N/A,#N/A,TRUE,"ampinc";#N/A,#N/A,TRUE,"ampincproj";#N/A,#N/A,TRUE,"ampman";#N/A,#N/A,TRUE,"ampmanproj";#N/A,#N/A,TRUE,"ampS&amp;G";#N/A,#N/A,TRUE,"amps&amp;GProj"}</definedName>
    <definedName name="uhukk_1" hidden="1">{#N/A,#N/A,TRUE,"consinc";#N/A,#N/A,TRUE,"consproj";#N/A,#N/A,TRUE,"deminc";#N/A,#N/A,TRUE,"incproj";#N/A,#N/A,TRUE,"demman";#N/A,#N/A,TRUE,"manproj";#N/A,#N/A,TRUE,"S&amp;Gact";#N/A,#N/A,TRUE,"S&amp;Gproj ";#N/A,#N/A,TRUE,"dengis";#N/A,#N/A,TRUE,"dengisproj";#N/A,#N/A,TRUE,"mitinc";#N/A,#N/A,TRUE,"mitincproj";#N/A,#N/A,TRUE,"mits&amp;G";#N/A,#N/A,TRUE,"mits&amp;gproj";#N/A,#N/A,TRUE,"arcis";#N/A,#N/A,TRUE,"arcproj";#N/A,#N/A,TRUE,"ampinc";#N/A,#N/A,TRUE,"ampincproj";#N/A,#N/A,TRUE,"ampman";#N/A,#N/A,TRUE,"ampmanproj";#N/A,#N/A,TRUE,"ampS&amp;G";#N/A,#N/A,TRUE,"amps&amp;GProj"}</definedName>
    <definedName name="UHV" localSheetId="8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UHV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ui" localSheetId="8" hidden="1">{#N/A,#N/A,TRUE,"financial";#N/A,#N/A,TRUE,"plants"}</definedName>
    <definedName name="ui" hidden="1">{#N/A,#N/A,TRUE,"financial";#N/A,#N/A,TRUE,"plants"}</definedName>
    <definedName name="ui_1" localSheetId="8" hidden="1">{#N/A,#N/A,TRUE,"financial";#N/A,#N/A,TRUE,"plants"}</definedName>
    <definedName name="ui_1" hidden="1">{#N/A,#N/A,TRUE,"financial";#N/A,#N/A,TRUE,"plants"}</definedName>
    <definedName name="uiiloooo" hidden="1">#REF!</definedName>
    <definedName name="uiim" localSheetId="8" hidden="1">{"Pg1",#N/A,FALSE,"OpExYTDvsBud";"Pg2",#N/A,FALSE,"OpExYTDvsBud"}</definedName>
    <definedName name="uiim" hidden="1">{"Pg1",#N/A,FALSE,"OpExYTDvsBud";"Pg2",#N/A,FALSE,"OpExYTDvsBud"}</definedName>
    <definedName name="uiklui" localSheetId="8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uiklui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uiklui_1" localSheetId="8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uiklui_1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uilf" localSheetId="8" hidden="1">{"Ergebnisbericht_UBA",#N/A,FALSE,"MB"}</definedName>
    <definedName name="uilf" hidden="1">{"Ergebnisbericht_UBA",#N/A,FALSE,"MB"}</definedName>
    <definedName name="uilf_1" localSheetId="8" hidden="1">{"Ergebnisbericht_UBA",#N/A,FALSE,"MB"}</definedName>
    <definedName name="uilf_1" hidden="1">{"Ergebnisbericht_UBA",#N/A,FALSE,"MB"}</definedName>
    <definedName name="uilt" localSheetId="8" hidden="1">{"Eilbericht_UBA",#N/A,FALSE,"EB"}</definedName>
    <definedName name="uilt" hidden="1">{"Eilbericht_UBA",#N/A,FALSE,"EB"}</definedName>
    <definedName name="uilt_1" localSheetId="8" hidden="1">{"Eilbericht_UBA",#N/A,FALSE,"EB"}</definedName>
    <definedName name="uilt_1" hidden="1">{"Eilbericht_UBA",#N/A,FALSE,"EB"}</definedName>
    <definedName name="UIOYYYUU" localSheetId="8" hidden="1">{#N/A,#N/A,FALSE,"Min compar us";#N/A,#N/A,FALSE,"Min US Equité ";#N/A,#N/A,FALSE,"Analyse U.S."}</definedName>
    <definedName name="UIOYYYUU" hidden="1">{#N/A,#N/A,FALSE,"Min compar us";#N/A,#N/A,FALSE,"Min US Equité ";#N/A,#N/A,FALSE,"Analyse U.S."}</definedName>
    <definedName name="uiui" localSheetId="8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uiui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uj" localSheetId="8" hidden="1">{#N/A,#N/A,TRUE,"Voorblad";#N/A,#N/A,TRUE,"Table of Content A";#N/A,#N/A,TRUE,"A1-Summ- Key Figures";#N/A,#N/A,TRUE,"A2-Summ Month Man";#N/A,#N/A,TRUE,"A3-P&amp;L by Bus.Unt-Serv.Unt";#N/A,#N/A,TRUE,"A4-P&amp;L by Old org.";#N/A,#N/A,TRUE,"A6-Bal_Sheet CF by Old org. ";#N/A,#N/A,TRUE,"A8-Headc.Funct."}</definedName>
    <definedName name="uj" hidden="1">{#N/A,#N/A,TRUE,"Voorblad";#N/A,#N/A,TRUE,"Table of Content A";#N/A,#N/A,TRUE,"A1-Summ- Key Figures";#N/A,#N/A,TRUE,"A2-Summ Month Man";#N/A,#N/A,TRUE,"A3-P&amp;L by Bus.Unt-Serv.Unt";#N/A,#N/A,TRUE,"A4-P&amp;L by Old org.";#N/A,#N/A,TRUE,"A6-Bal_Sheet CF by Old org. ";#N/A,#N/A,TRUE,"A8-Headc.Funct."}</definedName>
    <definedName name="ujetz" localSheetId="8" hidden="1">{"Eilbericht_UBA",#N/A,FALSE,"EB"}</definedName>
    <definedName name="ujetz" hidden="1">{"Eilbericht_UBA",#N/A,FALSE,"EB"}</definedName>
    <definedName name="ujetz_1" localSheetId="8" hidden="1">{"Eilbericht_UBA",#N/A,FALSE,"EB"}</definedName>
    <definedName name="ujetz_1" hidden="1">{"Eilbericht_UBA",#N/A,FALSE,"EB"}</definedName>
    <definedName name="ujjr" localSheetId="8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ujjr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ujjr_1" localSheetId="8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ujjr_1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UJKI" localSheetId="8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UJKI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ujmjujm" localSheetId="8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ujmjujm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UJNXR" localSheetId="8" hidden="1">{"'100'!$A$1:$M$83"}</definedName>
    <definedName name="UJNXR" hidden="1">{"'100'!$A$1:$M$83"}</definedName>
    <definedName name="ujy" hidden="1">#REF!</definedName>
    <definedName name="ukyk" localSheetId="8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ukyk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ukyk_1" localSheetId="8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ukyk_1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UltimoMP" localSheetId="8" hidden="1">{#N/A,#N/A,FALSE,"IC Annex";#N/A,#N/A,FALSE,"Sensitivity";#N/A,#N/A,FALSE,"Key Assumptions";#N/A,#N/A,FALSE,"Graphs";#N/A,#N/A,FALSE,"Global Assumptions";#N/A,#N/A,FALSE,"P&amp;L";#N/A,#N/A,FALSE,"Balance Sheet";#N/A,#N/A,FALSE,"Cash Flow"}</definedName>
    <definedName name="UltimoMP" hidden="1">{#N/A,#N/A,FALSE,"IC Annex";#N/A,#N/A,FALSE,"Sensitivity";#N/A,#N/A,FALSE,"Key Assumptions";#N/A,#N/A,FALSE,"Graphs";#N/A,#N/A,FALSE,"Global Assumptions";#N/A,#N/A,FALSE,"P&amp;L";#N/A,#N/A,FALSE,"Balance Sheet";#N/A,#N/A,FALSE,"Cash Flow"}</definedName>
    <definedName name="umum" localSheetId="8" hidden="1">{#N/A,#N/A,FALSE,"Assessment";#N/A,#N/A,FALSE,"Staffing";#N/A,#N/A,FALSE,"Hires";#N/A,#N/A,FALSE,"Assumptions"}</definedName>
    <definedName name="umum" hidden="1">{#N/A,#N/A,FALSE,"Assessment";#N/A,#N/A,FALSE,"Staffing";#N/A,#N/A,FALSE,"Hires";#N/A,#N/A,FALSE,"Assumptions"}</definedName>
    <definedName name="umy" localSheetId="8" hidden="1">{"comps",#N/A,FALSE,"comps";"notes",#N/A,FALSE,"comps"}</definedName>
    <definedName name="umy" hidden="1">{"comps",#N/A,FALSE,"comps";"notes",#N/A,FALSE,"comps"}</definedName>
    <definedName name="unanticp" localSheetId="8" hidden="1">{#N/A,#N/A,FALSE,"CSS";#N/A,#N/A,FALSE,"USCSS ROLLUP";#N/A,#N/A,FALSE,"INT'L ROLLUP";#N/A,#N/A,FALSE,"CSS HQ";#N/A,#N/A,FALSE,"USCS";#N/A,#N/A,FALSE,"TARGET";#N/A,#N/A,FALSE,"MICROSOFT";#N/A,#N/A,FALSE,"AT&amp;T";#N/A,#N/A,FALSE,"ALT CHANNELS";#N/A,#N/A,FALSE,"USCS HQ";#N/A,#N/A,FALSE,"INTL MGMT";#N/A,#N/A,FALSE,"EMEA";#N/A,#N/A,FALSE,"ASIA PACIFIC";#N/A,#N/A,FALSE,"LATIN AMERICA";#N/A,#N/A,FALSE,"CANADA"}</definedName>
    <definedName name="unanticp" hidden="1">{#N/A,#N/A,FALSE,"CSS";#N/A,#N/A,FALSE,"USCSS ROLLUP";#N/A,#N/A,FALSE,"INT'L ROLLUP";#N/A,#N/A,FALSE,"CSS HQ";#N/A,#N/A,FALSE,"USCS";#N/A,#N/A,FALSE,"TARGET";#N/A,#N/A,FALSE,"MICROSOFT";#N/A,#N/A,FALSE,"AT&amp;T";#N/A,#N/A,FALSE,"ALT CHANNELS";#N/A,#N/A,FALSE,"USCS HQ";#N/A,#N/A,FALSE,"INTL MGMT";#N/A,#N/A,FALSE,"EMEA";#N/A,#N/A,FALSE,"ASIA PACIFIC";#N/A,#N/A,FALSE,"LATIN AMERICA";#N/A,#N/A,FALSE,"CANADA"}</definedName>
    <definedName name="underlbn" localSheetId="8" hidden="1">{"'100'!$A$1:$M$83"}</definedName>
    <definedName name="underlbn" hidden="1">{"'100'!$A$1:$M$83"}</definedName>
    <definedName name="underlyingBN1" localSheetId="8" hidden="1">{"'100'!$A$1:$M$83"}</definedName>
    <definedName name="underlyingBN1" hidden="1">{"'100'!$A$1:$M$83"}</definedName>
    <definedName name="UNI_AA_VERSION" hidden="1">150.1</definedName>
    <definedName name="UNI_FILT_END" hidden="1">8</definedName>
    <definedName name="UNI_FILT_OFFSPEC" hidden="1">2</definedName>
    <definedName name="UNI_FILT_ONSPEC" hidden="1">1</definedName>
    <definedName name="UNI_FILT_START" hidden="1">4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ND" hidden="1">16384</definedName>
    <definedName name="UNI_RET_EQUIP" hidden="1">1</definedName>
    <definedName name="UNI_RET_EVENT" hidden="1">4096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START" hidden="1">8192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t" localSheetId="8" hidden="1">{#N/A,#N/A,FALSE,"Pharm";#N/A,#N/A,FALSE,"WWCM"}</definedName>
    <definedName name="Unit" hidden="1">{#N/A,#N/A,FALSE,"Pharm";#N/A,#N/A,FALSE,"WWCM"}</definedName>
    <definedName name="untr" hidden="1">#REF!</definedName>
    <definedName name="unyyum" localSheetId="8" hidden="1">{#N/A,#N/A,FALSE,"Assessment";#N/A,#N/A,FALSE,"Staffing";#N/A,#N/A,FALSE,"Hires";#N/A,#N/A,FALSE,"Assumptions"}</definedName>
    <definedName name="unyyum" hidden="1">{#N/A,#N/A,FALSE,"Assessment";#N/A,#N/A,FALSE,"Staffing";#N/A,#N/A,FALSE,"Hires";#N/A,#N/A,FALSE,"Assumptions"}</definedName>
    <definedName name="uoiuiyui" localSheetId="8" hidden="1">{#N/A,#N/A,FALSE,"MERCHANT GAS MARGIN";#N/A,#N/A,FALSE,"BULK";#N/A,#N/A,FALSE,"BULK CO2";#N/A,#N/A,FALSE,"ON-SITE";#N/A,#N/A,FALSE,"CYLINDERS"}</definedName>
    <definedName name="uoiuiyui" hidden="1">{#N/A,#N/A,FALSE,"MERCHANT GAS MARGIN";#N/A,#N/A,FALSE,"BULK";#N/A,#N/A,FALSE,"BULK CO2";#N/A,#N/A,FALSE,"ON-SITE";#N/A,#N/A,FALSE,"CYLINDERS"}</definedName>
    <definedName name="uoiuiyui_1" localSheetId="8" hidden="1">{#N/A,#N/A,FALSE,"MERCHANT GAS MARGIN";#N/A,#N/A,FALSE,"BULK";#N/A,#N/A,FALSE,"BULK CO2";#N/A,#N/A,FALSE,"ON-SITE";#N/A,#N/A,FALSE,"CYLINDERS"}</definedName>
    <definedName name="uoiuiyui_1" hidden="1">{#N/A,#N/A,FALSE,"MERCHANT GAS MARGIN";#N/A,#N/A,FALSE,"BULK";#N/A,#N/A,FALSE,"BULK CO2";#N/A,#N/A,FALSE,"ON-SITE";#N/A,#N/A,FALSE,"CYLINDERS"}</definedName>
    <definedName name="UPDATEACT" hidden="1">TRUE</definedName>
    <definedName name="UPDATEADHOC" hidden="1">FALSE</definedName>
    <definedName name="UPDATEBUD" hidden="1">TRUE</definedName>
    <definedName name="Updated" hidden="1">#REF!</definedName>
    <definedName name="UPDATELY" hidden="1">TRUE</definedName>
    <definedName name="UPDATEPRG" hidden="1">FALSE</definedName>
    <definedName name="ùpù" hidden="1">#REF!</definedName>
    <definedName name="uq" localSheetId="8" hidden="1">{"detail",#N/A,FALSE,"mfg";"summary",#N/A,FALSE,"mfg"}</definedName>
    <definedName name="uq" hidden="1">{"detail",#N/A,FALSE,"mfg";"summary",#N/A,FALSE,"mfg"}</definedName>
    <definedName name="URUR" localSheetId="8" hidden="1">{#N/A,#N/A,FALSE,"IC Annex";#N/A,#N/A,FALSE,"Sensitivity";#N/A,#N/A,FALSE,"P&amp;L";#N/A,#N/A,FALSE,"Balance Sheet";#N/A,#N/A,FALSE,"Cash Flow";#N/A,#N/A,FALSE,"Key Assumptions";#N/A,#N/A,FALSE,"Global Assumptions";#N/A,#N/A,FALSE,"Graphs"}</definedName>
    <definedName name="URUR" hidden="1">{#N/A,#N/A,FALSE,"IC Annex";#N/A,#N/A,FALSE,"Sensitivity";#N/A,#N/A,FALSE,"P&amp;L";#N/A,#N/A,FALSE,"Balance Sheet";#N/A,#N/A,FALSE,"Cash Flow";#N/A,#N/A,FALSE,"Key Assumptions";#N/A,#N/A,FALSE,"Global Assumptions";#N/A,#N/A,FALSE,"Graphs"}</definedName>
    <definedName name="uryu" localSheetId="8" hidden="1">{#N/A,#N/A,FALSE,"projcf";#N/A,#N/A,FALSE,"Projline";#N/A,#N/A,FALSE,"bankline";#N/A,#N/A,FALSE,"Fast95is";#N/A,#N/A,FALSE,"tool95is";#N/A,#N/A,FALSE,"tot95is";#N/A,#N/A,FALSE,"tool950h";#N/A,#N/A,FALSE,"fas95oh";#N/A,#N/A,FALSE,"tot95oh";#N/A,#N/A,FALSE,"95sga";#N/A,#N/A,FALSE,"95projcf";#N/A,#N/A,FALSE,"95loc";#N/A,#N/A,FALSE,"95bankline"}</definedName>
    <definedName name="uryu" hidden="1">{#N/A,#N/A,FALSE,"projcf";#N/A,#N/A,FALSE,"Projline";#N/A,#N/A,FALSE,"bankline";#N/A,#N/A,FALSE,"Fast95is";#N/A,#N/A,FALSE,"tool95is";#N/A,#N/A,FALSE,"tot95is";#N/A,#N/A,FALSE,"tool950h";#N/A,#N/A,FALSE,"fas95oh";#N/A,#N/A,FALSE,"tot95oh";#N/A,#N/A,FALSE,"95sga";#N/A,#N/A,FALSE,"95projcf";#N/A,#N/A,FALSE,"95loc";#N/A,#N/A,FALSE,"95bankline"}</definedName>
    <definedName name="uryu_1" localSheetId="8" hidden="1">{#N/A,#N/A,FALSE,"projcf";#N/A,#N/A,FALSE,"Projline";#N/A,#N/A,FALSE,"bankline";#N/A,#N/A,FALSE,"Fast95is";#N/A,#N/A,FALSE,"tool95is";#N/A,#N/A,FALSE,"tot95is";#N/A,#N/A,FALSE,"tool950h";#N/A,#N/A,FALSE,"fas95oh";#N/A,#N/A,FALSE,"tot95oh";#N/A,#N/A,FALSE,"95sga";#N/A,#N/A,FALSE,"95projcf";#N/A,#N/A,FALSE,"95loc";#N/A,#N/A,FALSE,"95bankline"}</definedName>
    <definedName name="uryu_1" hidden="1">{#N/A,#N/A,FALSE,"projcf";#N/A,#N/A,FALSE,"Projline";#N/A,#N/A,FALSE,"bankline";#N/A,#N/A,FALSE,"Fast95is";#N/A,#N/A,FALSE,"tool95is";#N/A,#N/A,FALSE,"tot95is";#N/A,#N/A,FALSE,"tool950h";#N/A,#N/A,FALSE,"fas95oh";#N/A,#N/A,FALSE,"tot95oh";#N/A,#N/A,FALSE,"95sga";#N/A,#N/A,FALSE,"95projcf";#N/A,#N/A,FALSE,"95loc";#N/A,#N/A,FALSE,"95bankline"}</definedName>
    <definedName name="USDollar" hidden="1">#REF!</definedName>
    <definedName name="USHDEV" hidden="1">#REF!</definedName>
    <definedName name="ut" localSheetId="8" hidden="1">{#N/A,"PURCHM",FALSE,"Business Analysis";#N/A,"SPADD",FALSE,"Business Analysis"}</definedName>
    <definedName name="ut" hidden="1">{#N/A,"PURCHM",FALSE,"Business Analysis";#N/A,"SPADD",FALSE,"Business Analysis"}</definedName>
    <definedName name="UTRO" localSheetId="7" hidden="1">{"Bce Laf",#N/A,FALSE,"LAF";"CashFlow Laf",#N/A,FALSE,"LAF";"Bce Oleomed",#N/A,FALSE,"Oleomed";"Bce Dreiman",#N/A,FALSE,"Dreiman";"CashFlow oleomed",#N/A,FALSE,"Oleomed";"cashflow Dreiman",#N/A,FALSE,"Dreiman";"Bce Farmygel",#N/A,FALSE,"Farmygel";"Cashflow Farmygel",#N/A,FALSE,"Farmygel";"Cashflow Grupo",#N/A,FALSE,"Grupo";"Cash Flow Grupo",#N/A,FALSE,"GRUPO BCE ";"Bce Laf",#N/A,FALSE,"GRUPO BCE ";"Todas las Compañías",#N/A,FALSE,"Gráficos"}</definedName>
    <definedName name="UTRO" localSheetId="8" hidden="1">{"Bce Laf",#N/A,FALSE,"LAF";"CashFlow Laf",#N/A,FALSE,"LAF";"Bce Oleomed",#N/A,FALSE,"Oleomed";"Bce Dreiman",#N/A,FALSE,"Dreiman";"CashFlow oleomed",#N/A,FALSE,"Oleomed";"cashflow Dreiman",#N/A,FALSE,"Dreiman";"Bce Farmygel",#N/A,FALSE,"Farmygel";"Cashflow Farmygel",#N/A,FALSE,"Farmygel";"Cashflow Grupo",#N/A,FALSE,"Grupo";"Cash Flow Grupo",#N/A,FALSE,"GRUPO BCE ";"Bce Laf",#N/A,FALSE,"GRUPO BCE ";"Todas las Compañías",#N/A,FALSE,"Gráficos"}</definedName>
    <definedName name="UTRO" hidden="1">{"Bce Laf",#N/A,FALSE,"LAF";"CashFlow Laf",#N/A,FALSE,"LAF";"Bce Oleomed",#N/A,FALSE,"Oleomed";"Bce Dreiman",#N/A,FALSE,"Dreiman";"CashFlow oleomed",#N/A,FALSE,"Oleomed";"cashflow Dreiman",#N/A,FALSE,"Dreiman";"Bce Farmygel",#N/A,FALSE,"Farmygel";"Cashflow Farmygel",#N/A,FALSE,"Farmygel";"Cashflow Grupo",#N/A,FALSE,"Grupo";"Cash Flow Grupo",#N/A,FALSE,"GRUPO BCE ";"Bce Laf",#N/A,FALSE,"GRUPO BCE ";"Todas las Compañías",#N/A,FALSE,"Gráficos"}</definedName>
    <definedName name="UTRO_1" localSheetId="8" hidden="1">{"Bce Laf",#N/A,FALSE,"LAF";"CashFlow Laf",#N/A,FALSE,"LAF";"Bce Oleomed",#N/A,FALSE,"Oleomed";"Bce Dreiman",#N/A,FALSE,"Dreiman";"CashFlow oleomed",#N/A,FALSE,"Oleomed";"cashflow Dreiman",#N/A,FALSE,"Dreiman";"Bce Farmygel",#N/A,FALSE,"Farmygel";"Cashflow Farmygel",#N/A,FALSE,"Farmygel";"Cashflow Grupo",#N/A,FALSE,"Grupo";"Cash Flow Grupo",#N/A,FALSE,"GRUPO BCE ";"Bce Laf",#N/A,FALSE,"GRUPO BCE ";"Todas las Compañías",#N/A,FALSE,"Gráficos"}</definedName>
    <definedName name="UTRO_1" hidden="1">{"Bce Laf",#N/A,FALSE,"LAF";"CashFlow Laf",#N/A,FALSE,"LAF";"Bce Oleomed",#N/A,FALSE,"Oleomed";"Bce Dreiman",#N/A,FALSE,"Dreiman";"CashFlow oleomed",#N/A,FALSE,"Oleomed";"cashflow Dreiman",#N/A,FALSE,"Dreiman";"Bce Farmygel",#N/A,FALSE,"Farmygel";"Cashflow Farmygel",#N/A,FALSE,"Farmygel";"Cashflow Grupo",#N/A,FALSE,"Grupo";"Cash Flow Grupo",#N/A,FALSE,"GRUPO BCE ";"Bce Laf",#N/A,FALSE,"GRUPO BCE ";"Todas las Compañías",#N/A,FALSE,"Gráficos"}</definedName>
    <definedName name="UTRP" localSheetId="7" hidden="1">{"Bce Laf",#N/A,FALSE,"LAF";"CashFlow Laf",#N/A,FALSE,"LAF";"Bce Oleomed",#N/A,FALSE,"Oleomed";"Bce Dreiman",#N/A,FALSE,"Dreiman";"CashFlow oleomed",#N/A,FALSE,"Oleomed";"cashflow Dreiman",#N/A,FALSE,"Dreiman";"Bce Farmygel",#N/A,FALSE,"Farmygel";"Cashflow Farmygel",#N/A,FALSE,"Farmygel";"Cashflow Grupo",#N/A,FALSE,"Grupo";"Cash Flow Grupo",#N/A,FALSE,"GRUPO BCE ";"Bce Laf",#N/A,FALSE,"GRUPO BCE ";"Todas las Compañías",#N/A,FALSE,"Gráficos"}</definedName>
    <definedName name="UTRP" localSheetId="8" hidden="1">{"Bce Laf",#N/A,FALSE,"LAF";"CashFlow Laf",#N/A,FALSE,"LAF";"Bce Oleomed",#N/A,FALSE,"Oleomed";"Bce Dreiman",#N/A,FALSE,"Dreiman";"CashFlow oleomed",#N/A,FALSE,"Oleomed";"cashflow Dreiman",#N/A,FALSE,"Dreiman";"Bce Farmygel",#N/A,FALSE,"Farmygel";"Cashflow Farmygel",#N/A,FALSE,"Farmygel";"Cashflow Grupo",#N/A,FALSE,"Grupo";"Cash Flow Grupo",#N/A,FALSE,"GRUPO BCE ";"Bce Laf",#N/A,FALSE,"GRUPO BCE ";"Todas las Compañías",#N/A,FALSE,"Gráficos"}</definedName>
    <definedName name="UTRP" hidden="1">{"Bce Laf",#N/A,FALSE,"LAF";"CashFlow Laf",#N/A,FALSE,"LAF";"Bce Oleomed",#N/A,FALSE,"Oleomed";"Bce Dreiman",#N/A,FALSE,"Dreiman";"CashFlow oleomed",#N/A,FALSE,"Oleomed";"cashflow Dreiman",#N/A,FALSE,"Dreiman";"Bce Farmygel",#N/A,FALSE,"Farmygel";"Cashflow Farmygel",#N/A,FALSE,"Farmygel";"Cashflow Grupo",#N/A,FALSE,"Grupo";"Cash Flow Grupo",#N/A,FALSE,"GRUPO BCE ";"Bce Laf",#N/A,FALSE,"GRUPO BCE ";"Todas las Compañías",#N/A,FALSE,"Gráficos"}</definedName>
    <definedName name="UTRP_1" localSheetId="8" hidden="1">{"Bce Laf",#N/A,FALSE,"LAF";"CashFlow Laf",#N/A,FALSE,"LAF";"Bce Oleomed",#N/A,FALSE,"Oleomed";"Bce Dreiman",#N/A,FALSE,"Dreiman";"CashFlow oleomed",#N/A,FALSE,"Oleomed";"cashflow Dreiman",#N/A,FALSE,"Dreiman";"Bce Farmygel",#N/A,FALSE,"Farmygel";"Cashflow Farmygel",#N/A,FALSE,"Farmygel";"Cashflow Grupo",#N/A,FALSE,"Grupo";"Cash Flow Grupo",#N/A,FALSE,"GRUPO BCE ";"Bce Laf",#N/A,FALSE,"GRUPO BCE ";"Todas las Compañías",#N/A,FALSE,"Gráficos"}</definedName>
    <definedName name="UTRP_1" hidden="1">{"Bce Laf",#N/A,FALSE,"LAF";"CashFlow Laf",#N/A,FALSE,"LAF";"Bce Oleomed",#N/A,FALSE,"Oleomed";"Bce Dreiman",#N/A,FALSE,"Dreiman";"CashFlow oleomed",#N/A,FALSE,"Oleomed";"cashflow Dreiman",#N/A,FALSE,"Dreiman";"Bce Farmygel",#N/A,FALSE,"Farmygel";"Cashflow Farmygel",#N/A,FALSE,"Farmygel";"Cashflow Grupo",#N/A,FALSE,"Grupo";"Cash Flow Grupo",#N/A,FALSE,"GRUPO BCE ";"Bce Laf",#N/A,FALSE,"GRUPO BCE ";"Todas las Compañías",#N/A,FALSE,"Gráficos"}</definedName>
    <definedName name="utuyguguy" hidden="1">{#N/A,#N/A,FALSE,"Dutos";#N/A,#N/A,FALSE,"Terminais"}</definedName>
    <definedName name="uu" localSheetId="7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uu" localSheetId="8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uu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uu.kk" localSheetId="8" hidden="1">{#N/A,#N/A,FALSE,"KA CH  (2)"}</definedName>
    <definedName name="uu.kk" hidden="1">{#N/A,#N/A,FALSE,"KA CH  (2)"}</definedName>
    <definedName name="üü.l" localSheetId="8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üü.l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uu_1" localSheetId="7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uu_1" localSheetId="8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uu_1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uui" localSheetId="8" hidden="1">{#N/A,#N/A,FALSE,"Aging Summary";#N/A,#N/A,FALSE,"Ratio Analysis";#N/A,#N/A,FALSE,"Test 120 Day Accts";#N/A,#N/A,FALSE,"Tickmarks"}</definedName>
    <definedName name="uui" hidden="1">{#N/A,#N/A,FALSE,"Aging Summary";#N/A,#N/A,FALSE,"Ratio Analysis";#N/A,#N/A,FALSE,"Test 120 Day Accts";#N/A,#N/A,FALSE,"Tickmarks"}</definedName>
    <definedName name="uui_1" localSheetId="8" hidden="1">{#N/A,#N/A,FALSE,"Aging Summary";#N/A,#N/A,FALSE,"Ratio Analysis";#N/A,#N/A,FALSE,"Test 120 Day Accts";#N/A,#N/A,FALSE,"Tickmarks"}</definedName>
    <definedName name="uui_1" hidden="1">{#N/A,#N/A,FALSE,"Aging Summary";#N/A,#N/A,FALSE,"Ratio Analysis";#N/A,#N/A,FALSE,"Test 120 Day Accts";#N/A,#N/A,FALSE,"Tickmarks"}</definedName>
    <definedName name="uuiiiii" localSheetId="8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uuiiiii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uuu" localSheetId="8" hidden="1">{#N/A,#N/A,FALSE,"cover";#N/A,#N/A,FALSE,"Content ";#N/A,#N/A,FALSE,"E&amp;C Op Stat";#N/A,#N/A,FALSE,"Telcos Op Stat";#N/A,#N/A,FALSE,"Media Op Stat";#N/A,#N/A,FALSE,"Oil Op Stat";#N/A,#N/A,FALSE,"Utilities Op Stat";#N/A,#N/A,FALSE,"E&amp;C Ord An";#N/A,#N/A,FALSE,"E&amp;C Debt Nar";#N/A,#N/A,FALSE,"E&amp;C Debtors";#N/A,#N/A,FALSE,"E&amp;C CO Debt";#N/A,#N/A,FALSE,"Telcos Presales";#N/A,#N/A,FALSE,"Oil Presales";#N/A,#N/A,FALSE,"Utilities Presales"}</definedName>
    <definedName name="uuu" hidden="1">{"Acquiror Income Statement",#N/A,TRUE,"Acquiror";"Acquiror Balance Sheet",#N/A,TRUE,"Acquiror";"Acquiror Cash Flow",#N/A,TRUE,"Acquiror"}</definedName>
    <definedName name="üüü" localSheetId="8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üüü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uuu_1" localSheetId="8" hidden="1">{"VAR.VOLUMI",#N/A,FALSE,"VAR.VOLUMI";"STIMA",#N/A,FALSE,"STIMA";"QUARTER",#N/A,FALSE,"QUARTER"}</definedName>
    <definedName name="uuu_1" hidden="1">{"VAR.VOLUMI",#N/A,FALSE,"VAR.VOLUMI";"STIMA",#N/A,FALSE,"STIMA";"QUARTER",#N/A,FALSE,"QUARTER"}</definedName>
    <definedName name="uuuiot" hidden="1">#REF!</definedName>
    <definedName name="üüüü" localSheetId="8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üüüü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UUUUUU" localSheetId="8" hidden="1">{#N/A,#N/A,FALSE,"Centres";#N/A,#N/A,FALSE,"Partenariats";#N/A,#N/A,FALSE,"P.Diverses";#N/A,#N/A,FALSE,"Adm";#N/A,#N/A,FALSE,"Autres R-D";#N/A,#N/A,FALSE,"Intérêts"}</definedName>
    <definedName name="UUUUUU" hidden="1">{#N/A,#N/A,FALSE,"Centres";#N/A,#N/A,FALSE,"Partenariats";#N/A,#N/A,FALSE,"P.Diverses";#N/A,#N/A,FALSE,"Adm";#N/A,#N/A,FALSE,"Autres R-D";#N/A,#N/A,FALSE,"Intérêts"}</definedName>
    <definedName name="uy" localSheetId="8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uy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uy_1" localSheetId="8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uy_1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uyk" localSheetId="8" hidden="1">{"pl9601",#N/A,FALSE,"PL96";"pl9602",#N/A,FALSE,"PL96";"pl9603",#N/A,FALSE,"PL96";"PL9604",#N/A,FALSE,"PL96";"pl9605",#N/A,FALSE,"PL96";"pl9606",#N/A,FALSE,"PL96";"pl9607",#N/A,FALSE,"PL96";"pl9608",#N/A,FALSE,"PL96";"pl9609",#N/A,FALSE,"PL96";"pl9610",#N/A,FALSE,"PL96";"pl9611",#N/A,FALSE,"PL96";"fssum01",#N/A,FALSE,"fssum";"fssum02",#N/A,FALSE,"fssum"}</definedName>
    <definedName name="uyk" hidden="1">{"pl9601",#N/A,FALSE,"PL96";"pl9602",#N/A,FALSE,"PL96";"pl9603",#N/A,FALSE,"PL96";"PL9604",#N/A,FALSE,"PL96";"pl9605",#N/A,FALSE,"PL96";"pl9606",#N/A,FALSE,"PL96";"pl9607",#N/A,FALSE,"PL96";"pl9608",#N/A,FALSE,"PL96";"pl9609",#N/A,FALSE,"PL96";"pl9610",#N/A,FALSE,"PL96";"pl9611",#N/A,FALSE,"PL96";"fssum01",#N/A,FALSE,"fssum";"fssum02",#N/A,FALSE,"fssum"}</definedName>
    <definedName name="uyk_1" localSheetId="8" hidden="1">{"pl9601",#N/A,FALSE,"PL96";"pl9602",#N/A,FALSE,"PL96";"pl9603",#N/A,FALSE,"PL96";"PL9604",#N/A,FALSE,"PL96";"pl9605",#N/A,FALSE,"PL96";"pl9606",#N/A,FALSE,"PL96";"pl9607",#N/A,FALSE,"PL96";"pl9608",#N/A,FALSE,"PL96";"pl9609",#N/A,FALSE,"PL96";"pl9610",#N/A,FALSE,"PL96";"pl9611",#N/A,FALSE,"PL96";"fssum01",#N/A,FALSE,"fssum";"fssum02",#N/A,FALSE,"fssum"}</definedName>
    <definedName name="uyk_1" hidden="1">{"pl9601",#N/A,FALSE,"PL96";"pl9602",#N/A,FALSE,"PL96";"pl9603",#N/A,FALSE,"PL96";"PL9604",#N/A,FALSE,"PL96";"pl9605",#N/A,FALSE,"PL96";"pl9606",#N/A,FALSE,"PL96";"pl9607",#N/A,FALSE,"PL96";"pl9608",#N/A,FALSE,"PL96";"pl9609",#N/A,FALSE,"PL96";"pl9610",#N/A,FALSE,"PL96";"pl9611",#N/A,FALSE,"PL96";"fssum01",#N/A,FALSE,"fssum";"fssum02",#N/A,FALSE,"fssum"}</definedName>
    <definedName name="uykk" localSheetId="8" hidden="1">{#N/A,#N/A,FALSE,"F94is";#N/A,#N/A,FALSE,"T94is";#N/A,#N/A,FALSE,"TOT94is";#N/A,#N/A,FALSE,"f94oh";#N/A,#N/A,FALSE,"Toh94";#N/A,#N/A,FALSE,"TOT94oh";#N/A,#N/A,FALSE,"SGA94";#N/A,#N/A,FALSE,"bs94";#N/A,#N/A,FALSE,"debt";#N/A,#N/A,FALSE,"f94proj";#N/A,#N/A,FALSE,"t94proj";#N/A,#N/A,FALSE,"tot94proj";#N/A,#N/A,FALSE,"f94ohproj";#N/A,#N/A,FALSE,"t94ohproj";#N/A,#N/A,FALSE,"tot94ohproj";#N/A,#N/A,FALSE,"projsga";#N/A,#N/A,FALSE,"projcf";#N/A,#N/A,FALSE,"Projline";#N/A,#N/A,FALSE,"bankline";#N/A,#N/A,FALSE,"Fast95is";#N/A,#N/A,FALSE,"tool95is";#N/A,#N/A,FALSE,"tot95is";#N/A,#N/A,FALSE,"tool950h";#N/A,#N/A,FALSE,"fas95oh";#N/A,#N/A,FALSE,"tot95oh";#N/A,#N/A,FALSE,"95sga"}</definedName>
    <definedName name="uykk" hidden="1">{#N/A,#N/A,FALSE,"F94is";#N/A,#N/A,FALSE,"T94is";#N/A,#N/A,FALSE,"TOT94is";#N/A,#N/A,FALSE,"f94oh";#N/A,#N/A,FALSE,"Toh94";#N/A,#N/A,FALSE,"TOT94oh";#N/A,#N/A,FALSE,"SGA94";#N/A,#N/A,FALSE,"bs94";#N/A,#N/A,FALSE,"debt";#N/A,#N/A,FALSE,"f94proj";#N/A,#N/A,FALSE,"t94proj";#N/A,#N/A,FALSE,"tot94proj";#N/A,#N/A,FALSE,"f94ohproj";#N/A,#N/A,FALSE,"t94ohproj";#N/A,#N/A,FALSE,"tot94ohproj";#N/A,#N/A,FALSE,"projsga";#N/A,#N/A,FALSE,"projcf";#N/A,#N/A,FALSE,"Projline";#N/A,#N/A,FALSE,"bankline";#N/A,#N/A,FALSE,"Fast95is";#N/A,#N/A,FALSE,"tool95is";#N/A,#N/A,FALSE,"tot95is";#N/A,#N/A,FALSE,"tool950h";#N/A,#N/A,FALSE,"fas95oh";#N/A,#N/A,FALSE,"tot95oh";#N/A,#N/A,FALSE,"95sga"}</definedName>
    <definedName name="uykk_1" localSheetId="8" hidden="1">{#N/A,#N/A,FALSE,"F94is";#N/A,#N/A,FALSE,"T94is";#N/A,#N/A,FALSE,"TOT94is";#N/A,#N/A,FALSE,"f94oh";#N/A,#N/A,FALSE,"Toh94";#N/A,#N/A,FALSE,"TOT94oh";#N/A,#N/A,FALSE,"SGA94";#N/A,#N/A,FALSE,"bs94";#N/A,#N/A,FALSE,"debt";#N/A,#N/A,FALSE,"f94proj";#N/A,#N/A,FALSE,"t94proj";#N/A,#N/A,FALSE,"tot94proj";#N/A,#N/A,FALSE,"f94ohproj";#N/A,#N/A,FALSE,"t94ohproj";#N/A,#N/A,FALSE,"tot94ohproj";#N/A,#N/A,FALSE,"projsga";#N/A,#N/A,FALSE,"projcf";#N/A,#N/A,FALSE,"Projline";#N/A,#N/A,FALSE,"bankline";#N/A,#N/A,FALSE,"Fast95is";#N/A,#N/A,FALSE,"tool95is";#N/A,#N/A,FALSE,"tot95is";#N/A,#N/A,FALSE,"tool950h";#N/A,#N/A,FALSE,"fas95oh";#N/A,#N/A,FALSE,"tot95oh";#N/A,#N/A,FALSE,"95sga"}</definedName>
    <definedName name="uykk_1" hidden="1">{#N/A,#N/A,FALSE,"F94is";#N/A,#N/A,FALSE,"T94is";#N/A,#N/A,FALSE,"TOT94is";#N/A,#N/A,FALSE,"f94oh";#N/A,#N/A,FALSE,"Toh94";#N/A,#N/A,FALSE,"TOT94oh";#N/A,#N/A,FALSE,"SGA94";#N/A,#N/A,FALSE,"bs94";#N/A,#N/A,FALSE,"debt";#N/A,#N/A,FALSE,"f94proj";#N/A,#N/A,FALSE,"t94proj";#N/A,#N/A,FALSE,"tot94proj";#N/A,#N/A,FALSE,"f94ohproj";#N/A,#N/A,FALSE,"t94ohproj";#N/A,#N/A,FALSE,"tot94ohproj";#N/A,#N/A,FALSE,"projsga";#N/A,#N/A,FALSE,"projcf";#N/A,#N/A,FALSE,"Projline";#N/A,#N/A,FALSE,"bankline";#N/A,#N/A,FALSE,"Fast95is";#N/A,#N/A,FALSE,"tool95is";#N/A,#N/A,FALSE,"tot95is";#N/A,#N/A,FALSE,"tool950h";#N/A,#N/A,FALSE,"fas95oh";#N/A,#N/A,FALSE,"tot95oh";#N/A,#N/A,FALSE,"95sga"}</definedName>
    <definedName name="uykuyk" localSheetId="8" hidden="1">{#N/A,#N/A,TRUE,"consinc";#N/A,#N/A,TRUE,"consproj";#N/A,#N/A,TRUE,"deminc";#N/A,#N/A,TRUE,"incproj";#N/A,#N/A,TRUE,"demman";#N/A,#N/A,TRUE,"manproj";#N/A,#N/A,TRUE,"S&amp;Gact";#N/A,#N/A,TRUE,"S&amp;Gproj ";#N/A,#N/A,TRUE,"dengis";#N/A,#N/A,TRUE,"dengisproj";#N/A,#N/A,TRUE,"mitinc";#N/A,#N/A,TRUE,"mitincproj";#N/A,#N/A,TRUE,"mits&amp;G";#N/A,#N/A,TRUE,"mits&amp;gproj";#N/A,#N/A,TRUE,"arcis";#N/A,#N/A,TRUE,"arcproj";#N/A,#N/A,TRUE,"ampinc";#N/A,#N/A,TRUE,"ampincproj";#N/A,#N/A,TRUE,"ampman";#N/A,#N/A,TRUE,"ampmanproj";#N/A,#N/A,TRUE,"ampS&amp;G";#N/A,#N/A,TRUE,"amps&amp;GProj"}</definedName>
    <definedName name="uykuyk" hidden="1">{#N/A,#N/A,TRUE,"consinc";#N/A,#N/A,TRUE,"consproj";#N/A,#N/A,TRUE,"deminc";#N/A,#N/A,TRUE,"incproj";#N/A,#N/A,TRUE,"demman";#N/A,#N/A,TRUE,"manproj";#N/A,#N/A,TRUE,"S&amp;Gact";#N/A,#N/A,TRUE,"S&amp;Gproj ";#N/A,#N/A,TRUE,"dengis";#N/A,#N/A,TRUE,"dengisproj";#N/A,#N/A,TRUE,"mitinc";#N/A,#N/A,TRUE,"mitincproj";#N/A,#N/A,TRUE,"mits&amp;G";#N/A,#N/A,TRUE,"mits&amp;gproj";#N/A,#N/A,TRUE,"arcis";#N/A,#N/A,TRUE,"arcproj";#N/A,#N/A,TRUE,"ampinc";#N/A,#N/A,TRUE,"ampincproj";#N/A,#N/A,TRUE,"ampman";#N/A,#N/A,TRUE,"ampmanproj";#N/A,#N/A,TRUE,"ampS&amp;G";#N/A,#N/A,TRUE,"amps&amp;GProj"}</definedName>
    <definedName name="uykuyk_1" localSheetId="8" hidden="1">{#N/A,#N/A,TRUE,"consinc";#N/A,#N/A,TRUE,"consproj";#N/A,#N/A,TRUE,"deminc";#N/A,#N/A,TRUE,"incproj";#N/A,#N/A,TRUE,"demman";#N/A,#N/A,TRUE,"manproj";#N/A,#N/A,TRUE,"S&amp;Gact";#N/A,#N/A,TRUE,"S&amp;Gproj ";#N/A,#N/A,TRUE,"dengis";#N/A,#N/A,TRUE,"dengisproj";#N/A,#N/A,TRUE,"mitinc";#N/A,#N/A,TRUE,"mitincproj";#N/A,#N/A,TRUE,"mits&amp;G";#N/A,#N/A,TRUE,"mits&amp;gproj";#N/A,#N/A,TRUE,"arcis";#N/A,#N/A,TRUE,"arcproj";#N/A,#N/A,TRUE,"ampinc";#N/A,#N/A,TRUE,"ampincproj";#N/A,#N/A,TRUE,"ampman";#N/A,#N/A,TRUE,"ampmanproj";#N/A,#N/A,TRUE,"ampS&amp;G";#N/A,#N/A,TRUE,"amps&amp;GProj"}</definedName>
    <definedName name="uykuyk_1" hidden="1">{#N/A,#N/A,TRUE,"consinc";#N/A,#N/A,TRUE,"consproj";#N/A,#N/A,TRUE,"deminc";#N/A,#N/A,TRUE,"incproj";#N/A,#N/A,TRUE,"demman";#N/A,#N/A,TRUE,"manproj";#N/A,#N/A,TRUE,"S&amp;Gact";#N/A,#N/A,TRUE,"S&amp;Gproj ";#N/A,#N/A,TRUE,"dengis";#N/A,#N/A,TRUE,"dengisproj";#N/A,#N/A,TRUE,"mitinc";#N/A,#N/A,TRUE,"mitincproj";#N/A,#N/A,TRUE,"mits&amp;G";#N/A,#N/A,TRUE,"mits&amp;gproj";#N/A,#N/A,TRUE,"arcis";#N/A,#N/A,TRUE,"arcproj";#N/A,#N/A,TRUE,"ampinc";#N/A,#N/A,TRUE,"ampincproj";#N/A,#N/A,TRUE,"ampman";#N/A,#N/A,TRUE,"ampmanproj";#N/A,#N/A,TRUE,"ampS&amp;G";#N/A,#N/A,TRUE,"amps&amp;GProj"}</definedName>
    <definedName name="uyt" localSheetId="8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uyt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uytr" localSheetId="8" hidden="1">{#N/A,"PURCHM",FALSE,"Business Analysis";#N/A,"SPADD",FALSE,"Business Analysis"}</definedName>
    <definedName name="uytr" hidden="1">{#N/A,"PURCHM",FALSE,"Business Analysis";#N/A,"SPADD",FALSE,"Business Analysis"}</definedName>
    <definedName name="UYTRYRTY" localSheetId="8" hidden="1">{#N/A,#N/A,FALSE,"Global Assumptions";#N/A,#N/A,FALSE,"NZ Valuation";#N/A,#N/A,FALSE,"P&amp;L";#N/A,#N/A,FALSE,"Balance Sheet";#N/A,#N/A,FALSE,"Cash Flow";#N/A,#N/A,FALSE,"Key Assumptions";#N/A,#N/A,FALSE,"Graphs";#N/A,#N/A,FALSE,"Core EBIT Summary";#N/A,#N/A,FALSE,"National Tolls - Residential";#N/A,#N/A,FALSE,"National Tolls - Business";#N/A,#N/A,FALSE,"Internat'l Tolls - Residential";#N/A,#N/A,FALSE,"Internat'l Tolls - Business";#N/A,#N/A,FALSE,"Faxplus";#N/A,#N/A,FALSE,"Business Local Service";#N/A,#N/A,FALSE,"Data Services";#N/A,#N/A,FALSE,"Cellular"}</definedName>
    <definedName name="UYTRYRTY" hidden="1">{#N/A,#N/A,FALSE,"Global Assumptions";#N/A,#N/A,FALSE,"NZ Valuation";#N/A,#N/A,FALSE,"P&amp;L";#N/A,#N/A,FALSE,"Balance Sheet";#N/A,#N/A,FALSE,"Cash Flow";#N/A,#N/A,FALSE,"Key Assumptions";#N/A,#N/A,FALSE,"Graphs";#N/A,#N/A,FALSE,"Core EBIT Summary";#N/A,#N/A,FALSE,"National Tolls - Residential";#N/A,#N/A,FALSE,"National Tolls - Business";#N/A,#N/A,FALSE,"Internat'l Tolls - Residential";#N/A,#N/A,FALSE,"Internat'l Tolls - Business";#N/A,#N/A,FALSE,"Faxplus";#N/A,#N/A,FALSE,"Business Local Service";#N/A,#N/A,FALSE,"Data Services";#N/A,#N/A,FALSE,"Cellular"}</definedName>
    <definedName name="uyttredc" hidden="1">#REF!</definedName>
    <definedName name="uyu" localSheetId="8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uyu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uyu_1" localSheetId="8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uyu_1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uyuyuyuyuyu" localSheetId="8" hidden="1">{#N/A,#N/A,TRUE,"Cover sheet";#N/A,#N/A,TRUE,"DCF analysis";#N/A,#N/A,TRUE,"WACC calculation"}</definedName>
    <definedName name="uyuyuyuyuyu" hidden="1">{#N/A,#N/A,TRUE,"Cover sheet";#N/A,#N/A,TRUE,"DCF analysis";#N/A,#N/A,TRUE,"WACC calculation"}</definedName>
    <definedName name="uyuyuyuyuyu_1" localSheetId="8" hidden="1">{#N/A,#N/A,TRUE,"Cover sheet";#N/A,#N/A,TRUE,"DCF analysis";#N/A,#N/A,TRUE,"WACC calculation"}</definedName>
    <definedName name="uyuyuyuyuyu_1" hidden="1">{#N/A,#N/A,TRUE,"Cover sheet";#N/A,#N/A,TRUE,"DCF analysis";#N/A,#N/A,TRUE,"WACC calculation"}</definedName>
    <definedName name="uyy" localSheetId="8" hidden="1">{"fssum01",#N/A,FALSE,"fssum";"fssum02",#N/A,FALSE,"fssum"}</definedName>
    <definedName name="uyy" hidden="1">{"fssum01",#N/A,FALSE,"fssum";"fssum02",#N/A,FALSE,"fssum"}</definedName>
    <definedName name="uyy_1" localSheetId="8" hidden="1">{"fssum01",#N/A,FALSE,"fssum";"fssum02",#N/A,FALSE,"fssum"}</definedName>
    <definedName name="uyy_1" hidden="1">{"fssum01",#N/A,FALSE,"fssum";"fssum02",#N/A,FALSE,"fssum"}</definedName>
    <definedName name="uzkk" localSheetId="8" hidden="1">{"Ergebnisbericht_UBA",#N/A,FALSE,"MB"}</definedName>
    <definedName name="uzkk" hidden="1">{"Ergebnisbericht_UBA",#N/A,FALSE,"MB"}</definedName>
    <definedName name="uzkk_1" localSheetId="8" hidden="1">{"Ergebnisbericht_UBA",#N/A,FALSE,"MB"}</definedName>
    <definedName name="uzkk_1" hidden="1">{"Ergebnisbericht_UBA",#N/A,FALSE,"MB"}</definedName>
    <definedName name="uztuz" localSheetId="8" hidden="1">{#N/A,#N/A,FALSE,"Umsatz OK";#N/A,#N/A,FALSE,"ER OK ";#N/A,#N/A,FALSE,"EA OK (2)";#N/A,#N/A,FALSE,"EA OK";#N/A,#N/A,FALSE,"EA OK (3)";#N/A,#N/A,FALSE,"EA OK (4)";#N/A,#N/A,FALSE,"KA OK  (2)";#N/A,#N/A,FALSE,"KA OK";#N/A,#N/A,FALSE,"KA OK  (3)";#N/A,#N/A,FALSE,"KA OK (4)"}</definedName>
    <definedName name="uztuz" hidden="1">{#N/A,#N/A,FALSE,"Umsatz OK";#N/A,#N/A,FALSE,"ER OK ";#N/A,#N/A,FALSE,"EA OK (2)";#N/A,#N/A,FALSE,"EA OK";#N/A,#N/A,FALSE,"EA OK (3)";#N/A,#N/A,FALSE,"EA OK (4)";#N/A,#N/A,FALSE,"KA OK  (2)";#N/A,#N/A,FALSE,"KA OK";#N/A,#N/A,FALSE,"KA OK  (3)";#N/A,#N/A,FALSE,"KA OK (4)"}</definedName>
    <definedName name="uzuztt" localSheetId="8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uzuztt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v" localSheetId="8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v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v.1" localSheetId="8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v.1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v.10" localSheetId="8" hidden="1">{#N/A,#N/A,FALSE,"Produkte Erw.";#N/A,#N/A,FALSE,"Produkte Plan";#N/A,#N/A,FALSE,"Leistungen Erw.";#N/A,#N/A,FALSE,"Leistungen Plan";#N/A,#N/A,FALSE,"KA Allg.Kosten (2)";#N/A,#N/A,FALSE,"KA All.Kosten"}</definedName>
    <definedName name="v.10" hidden="1">{#N/A,#N/A,FALSE,"Produkte Erw.";#N/A,#N/A,FALSE,"Produkte Plan";#N/A,#N/A,FALSE,"Leistungen Erw.";#N/A,#N/A,FALSE,"Leistungen Plan";#N/A,#N/A,FALSE,"KA Allg.Kosten (2)";#N/A,#N/A,FALSE,"KA All.Kosten"}</definedName>
    <definedName name="V.2" localSheetId="8" hidden="1">{#N/A,#N/A,FALSE,"Produkte Erw.";#N/A,#N/A,FALSE,"Produkte Plan";#N/A,#N/A,FALSE,"Leistungen Erw.";#N/A,#N/A,FALSE,"Leistungen Plan";#N/A,#N/A,FALSE,"KA Allg.Kosten (2)";#N/A,#N/A,FALSE,"KA All.Kosten"}</definedName>
    <definedName name="V.2" hidden="1">{#N/A,#N/A,FALSE,"Produkte Erw.";#N/A,#N/A,FALSE,"Produkte Plan";#N/A,#N/A,FALSE,"Leistungen Erw.";#N/A,#N/A,FALSE,"Leistungen Plan";#N/A,#N/A,FALSE,"KA Allg.Kosten (2)";#N/A,#N/A,FALSE,"KA All.Kosten"}</definedName>
    <definedName name="V.3" localSheetId="8" hidden="1">{#N/A,#N/A,FALSE,"Produkte Erw.";#N/A,#N/A,FALSE,"Produkte Plan";#N/A,#N/A,FALSE,"Leistungen Erw.";#N/A,#N/A,FALSE,"Leistungen Plan";#N/A,#N/A,FALSE,"KA Allg.Kosten (2)";#N/A,#N/A,FALSE,"KA All.Kosten"}</definedName>
    <definedName name="V.3" hidden="1">{#N/A,#N/A,FALSE,"Produkte Erw.";#N/A,#N/A,FALSE,"Produkte Plan";#N/A,#N/A,FALSE,"Leistungen Erw.";#N/A,#N/A,FALSE,"Leistungen Plan";#N/A,#N/A,FALSE,"KA Allg.Kosten (2)";#N/A,#N/A,FALSE,"KA All.Kosten"}</definedName>
    <definedName name="v.6" localSheetId="8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v.6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v.7" localSheetId="8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v.7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v.8" localSheetId="8" hidden="1">{#N/A,#N/A,FALSE,"Produkte Erw.";#N/A,#N/A,FALSE,"Produkte Plan";#N/A,#N/A,FALSE,"Leistungen Erw.";#N/A,#N/A,FALSE,"Leistungen Plan";#N/A,#N/A,FALSE,"KA Allg.Kosten (2)";#N/A,#N/A,FALSE,"KA All.Kosten"}</definedName>
    <definedName name="v.8" hidden="1">{#N/A,#N/A,FALSE,"Produkte Erw.";#N/A,#N/A,FALSE,"Produkte Plan";#N/A,#N/A,FALSE,"Leistungen Erw.";#N/A,#N/A,FALSE,"Leistungen Plan";#N/A,#N/A,FALSE,"KA Allg.Kosten (2)";#N/A,#N/A,FALSE,"KA All.Kosten"}</definedName>
    <definedName name="v_1" localSheetId="8" hidden="1">{TRUE,TRUE,-2.75,-17,487.5,256.5,FALSE,TRUE,TRUE,TRUE,0,1,1,3,1,1.41666666666667,2.2,4,TRUE,TRUE,3,TRUE,1,FALSE,100,"Swvu.MDC1.","ACwvu.MDC1.",#N/A,FALSE,FALSE,0.62,0.61,1,0.984251969,2,"&amp;LAPRILIA HISPANIA
control de gestion
Margenes de contribucion y facturacion neta mensual 1996
&amp;R&amp;D","&amp;C&amp;P",FALSE,FALSE,FALSE,FALSE,1,90,#N/A,#N/A,"=R1C1:R46C18","=C1,R1:R4",#N/A,#N/A,FALSE,FALSE,TRUE,9,300,300,FALSE,FALSE,TRUE,TRUE,TRUE}</definedName>
    <definedName name="v_1" hidden="1">{TRUE,TRUE,-2.75,-17,487.5,256.5,FALSE,TRUE,TRUE,TRUE,0,1,1,3,1,1.41666666666667,2.2,4,TRUE,TRUE,3,TRUE,1,FALSE,100,"Swvu.MDC1.","ACwvu.MDC1.",#N/A,FALSE,FALSE,0.62,0.61,1,0.984251969,2,"&amp;LAPRILIA HISPANIA
control de gestion
Margenes de contribucion y facturacion neta mensual 1996
&amp;R&amp;D","&amp;C&amp;P",FALSE,FALSE,FALSE,FALSE,1,90,#N/A,#N/A,"=R1C1:R46C18","=C1,R1:R4",#N/A,#N/A,FALSE,FALSE,TRUE,9,300,300,FALSE,FALSE,TRUE,TRUE,TRUE}</definedName>
    <definedName name="val" localSheetId="8" hidden="1">{"detail",#N/A,FALSE,"mfg";"summary",#N/A,FALSE,"mfg"}</definedName>
    <definedName name="val" hidden="1">{"detail",#N/A,FALSE,"mfg";"summary",#N/A,FALSE,"mfg"}</definedName>
    <definedName name="Values_Entered" hidden="1">#N/A</definedName>
    <definedName name="VARIOS" localSheetId="8" hidden="1">{#N/A,#N/A,TRUE,"SIT.GLOBAL (2)";#N/A,#N/A,TRUE,"SIT.GLOBAL (1)";#N/A,#N/A,TRUE,"7.PROC JUD";#N/A,#N/A,TRUE,"GRAF.RENTAS";#N/A,#N/A,TRUE,"GRAF PTE.COB-COBNET (3)";#N/A,#N/A,TRUE,"GRAF FACT TOTAL-ORD (3)";#N/A,#N/A,TRUE,"DATOSGRAFICO";#N/A,#N/A,TRUE,"RESCINDIDOS";#N/A,#N/A,TRUE,"DETALLE PTE."}</definedName>
    <definedName name="VARIOS" hidden="1">{#N/A,#N/A,TRUE,"SIT.GLOBAL (2)";#N/A,#N/A,TRUE,"SIT.GLOBAL (1)";#N/A,#N/A,TRUE,"7.PROC JUD";#N/A,#N/A,TRUE,"GRAF.RENTAS";#N/A,#N/A,TRUE,"GRAF PTE.COB-COBNET (3)";#N/A,#N/A,TRUE,"GRAF FACT TOTAL-ORD (3)";#N/A,#N/A,TRUE,"DATOSGRAFICO";#N/A,#N/A,TRUE,"RESCINDIDOS";#N/A,#N/A,TRUE,"DETALLE PTE."}</definedName>
    <definedName name="VarsShow" hidden="1">#REF!</definedName>
    <definedName name="VBA_SUBACTIONS" hidden="1">#REF!</definedName>
    <definedName name="VBA_VERSION" hidden="1">"1.9 e"</definedName>
    <definedName name="vbghkvghvhgvhgvghv" localSheetId="8" hidden="1">#REF!</definedName>
    <definedName name="vbghkvghvhgvhgvghv" hidden="1">#REF!</definedName>
    <definedName name="vbhj" localSheetId="8" hidden="1">{#N/A,"PURCHM",FALSE,"Business Analysis";#N/A,"SPADD",FALSE,"Business Analysis"}</definedName>
    <definedName name="vbhj" hidden="1">{#N/A,"PURCHM",FALSE,"Business Analysis";#N/A,"SPADD",FALSE,"Business Analysis"}</definedName>
    <definedName name="vbnm" localSheetId="8" hidden="1">{"net assets",#N/A,FALSE,"summary";"asset turnover",#N/A,FALSE,"summary";"orona",#N/A,FALSE,"summary"}</definedName>
    <definedName name="vbnm" hidden="1">{"net assets",#N/A,FALSE,"summary";"asset turnover",#N/A,FALSE,"summary";"orona",#N/A,FALSE,"summary"}</definedName>
    <definedName name="vbrg" localSheetId="8" hidden="1">{"'100'!$A$1:$M$83"}</definedName>
    <definedName name="vbrg" hidden="1">{"'100'!$A$1:$M$83"}</definedName>
    <definedName name="vbvbvbv" localSheetId="8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vbvbvbv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vbvn" hidden="1">"c116"</definedName>
    <definedName name="vc" localSheetId="8" hidden="1">{#N/A,#N/A,FALSE,"Adm comp";#N/A,#N/A,FALSE,"Adm ajust";"adm",#N/A,FALSE,"Administration";#N/A,#N/A,FALSE,"Adm Bgt 97 vs Prév. 96";#N/A,#N/A,FALSE,"Adm Bgt 97 vs 96"}</definedName>
    <definedName name="vc" hidden="1">{#N/A,#N/A,FALSE,"Adm comp";#N/A,#N/A,FALSE,"Adm ajust";"adm",#N/A,FALSE,"Administration";#N/A,#N/A,FALSE,"Adm Bgt 97 vs Prév. 96";#N/A,#N/A,FALSE,"Adm Bgt 97 vs 96"}</definedName>
    <definedName name="vcfd" localSheetId="8" hidden="1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vcfd" hidden="1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vcncvnc" localSheetId="8" hidden="1">{"landexbravo",#N/A,FALSE,"Land (ex Bravo)";"Schenker_HO",#N/A,FALSE,"Schenker HO";"Landincbravo",#N/A,FALSE,"Land + Bravo";"Logistics",#N/A,FALSE,"Logistics";"Airandsea",#N/A,FALSE,"Air &amp; Sea";"Schenkgroup",#N/A,FALSE,"Schenker Group";"RaabKarcher",#N/A,FALSE,"Raab Karcher";"Brenntag",#N/A,FALSE,"Brenntag";"Interfer",#N/A,FALSE,"Interfer";"F_S",#N/A,FALSE,"F&amp;S";"Full_line",#N/A,FALSE,"Wholesale";"Auto_S",#N/A,FALSE,"Auto_S";"Otherco",#N/A,FALSE,"Other co";"Centraladmin",#N/A,FALSE,"Central Ad";"Consol_adj",#N/A,FALSE,"Consol adj";"Summary98",#N/A,FALSE,"Summary";"Bravo",#N/A,FALSE,"Bravo";"Offerletter",#N/A,FALSE,"Offer letter 1";"Front sheet",#N/A,FALSE,"Comments"}</definedName>
    <definedName name="vcncvnc" hidden="1">{"landexbravo",#N/A,FALSE,"Land (ex Bravo)";"Schenker_HO",#N/A,FALSE,"Schenker HO";"Landincbravo",#N/A,FALSE,"Land + Bravo";"Logistics",#N/A,FALSE,"Logistics";"Airandsea",#N/A,FALSE,"Air &amp; Sea";"Schenkgroup",#N/A,FALSE,"Schenker Group";"RaabKarcher",#N/A,FALSE,"Raab Karcher";"Brenntag",#N/A,FALSE,"Brenntag";"Interfer",#N/A,FALSE,"Interfer";"F_S",#N/A,FALSE,"F&amp;S";"Full_line",#N/A,FALSE,"Wholesale";"Auto_S",#N/A,FALSE,"Auto_S";"Otherco",#N/A,FALSE,"Other co";"Centraladmin",#N/A,FALSE,"Central Ad";"Consol_adj",#N/A,FALSE,"Consol adj";"Summary98",#N/A,FALSE,"Summary";"Bravo",#N/A,FALSE,"Bravo";"Offerletter",#N/A,FALSE,"Offer letter 1";"Front sheet",#N/A,FALSE,"Comments"}</definedName>
    <definedName name="vcncvnc_1" localSheetId="8" hidden="1">{"landexbravo",#N/A,FALSE,"Land (ex Bravo)";"Schenker_HO",#N/A,FALSE,"Schenker HO";"Landincbravo",#N/A,FALSE,"Land + Bravo";"Logistics",#N/A,FALSE,"Logistics";"Airandsea",#N/A,FALSE,"Air &amp; Sea";"Schenkgroup",#N/A,FALSE,"Schenker Group";"RaabKarcher",#N/A,FALSE,"Raab Karcher";"Brenntag",#N/A,FALSE,"Brenntag";"Interfer",#N/A,FALSE,"Interfer";"F_S",#N/A,FALSE,"F&amp;S";"Full_line",#N/A,FALSE,"Wholesale";"Auto_S",#N/A,FALSE,"Auto_S";"Otherco",#N/A,FALSE,"Other co";"Centraladmin",#N/A,FALSE,"Central Ad";"Consol_adj",#N/A,FALSE,"Consol adj";"Summary98",#N/A,FALSE,"Summary";"Bravo",#N/A,FALSE,"Bravo";"Offerletter",#N/A,FALSE,"Offer letter 1";"Front sheet",#N/A,FALSE,"Comments"}</definedName>
    <definedName name="vcncvnc_1" hidden="1">{"landexbravo",#N/A,FALSE,"Land (ex Bravo)";"Schenker_HO",#N/A,FALSE,"Schenker HO";"Landincbravo",#N/A,FALSE,"Land + Bravo";"Logistics",#N/A,FALSE,"Logistics";"Airandsea",#N/A,FALSE,"Air &amp; Sea";"Schenkgroup",#N/A,FALSE,"Schenker Group";"RaabKarcher",#N/A,FALSE,"Raab Karcher";"Brenntag",#N/A,FALSE,"Brenntag";"Interfer",#N/A,FALSE,"Interfer";"F_S",#N/A,FALSE,"F&amp;S";"Full_line",#N/A,FALSE,"Wholesale";"Auto_S",#N/A,FALSE,"Auto_S";"Otherco",#N/A,FALSE,"Other co";"Centraladmin",#N/A,FALSE,"Central Ad";"Consol_adj",#N/A,FALSE,"Consol adj";"Summary98",#N/A,FALSE,"Summary";"Bravo",#N/A,FALSE,"Bravo";"Offerletter",#N/A,FALSE,"Offer letter 1";"Front sheet",#N/A,FALSE,"Comments"}</definedName>
    <definedName name="vcncvncnb" localSheetId="8" hidden="1">{"comps",#N/A,FALSE,"HANDPACK";"footnotes",#N/A,FALSE,"HANDPACK"}</definedName>
    <definedName name="vcncvncnb" hidden="1">{"comps",#N/A,FALSE,"HANDPACK";"footnotes",#N/A,FALSE,"HANDPACK"}</definedName>
    <definedName name="vcncvncnb_1" localSheetId="8" hidden="1">{"comps",#N/A,FALSE,"HANDPACK";"footnotes",#N/A,FALSE,"HANDPACK"}</definedName>
    <definedName name="vcncvncnb_1" hidden="1">{"comps",#N/A,FALSE,"HANDPACK";"footnotes",#N/A,FALSE,"HANDPACK"}</definedName>
    <definedName name="VCONSOLID" hidden="1">TRUE</definedName>
    <definedName name="vcvc" localSheetId="8" hidden="1">{"Polymers Details",#N/A,FALSE,"Current Yr";"Polymer Details",#N/A,FALSE,"Budget";"Polymer Details",#N/A,FALSE,"Prior Year"}</definedName>
    <definedName name="vcvc" hidden="1">{"Polymers Details",#N/A,FALSE,"Current Yr";"Polymer Details",#N/A,FALSE,"Budget";"Polymer Details",#N/A,FALSE,"Prior Year"}</definedName>
    <definedName name="vcvcv" localSheetId="8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vcvcv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vcx" localSheetId="8" hidden="1">{"YD PACKAGE",#N/A,FALSE,"YTD"}</definedName>
    <definedName name="vcx" hidden="1">{"YD PACKAGE",#N/A,FALSE,"YTD"}</definedName>
    <definedName name="vcxz" localSheetId="8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vcxz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vdf" hidden="1">#REF!</definedName>
    <definedName name="vds" localSheetId="8" hidden="1">{"Pèrdues i Guanys analític.Català",#N/A,FALSE,"Català";"Pèrdues i G. analític.castellà",#N/A,FALSE,"Castellà"}</definedName>
    <definedName name="vds" hidden="1">{"Pèrdues i Guanys analític.Català",#N/A,FALSE,"Català";"Pèrdues i G. analític.castellà",#N/A,FALSE,"Castellà"}</definedName>
    <definedName name="VE" localSheetId="8" hidden="1">{#N/A,#N/A,FALSE,"Pharm";#N/A,#N/A,FALSE,"WWCM"}</definedName>
    <definedName name="VE" hidden="1">{#N/A,#N/A,FALSE,"Pharm";#N/A,#N/A,FALSE,"WWCM"}</definedName>
    <definedName name="VEEX" localSheetId="8" hidden="1">{#N/A,#N/A,FALSE,"Centres";#N/A,#N/A,FALSE,"Partenariats";#N/A,#N/A,FALSE,"P.Diverses";#N/A,#N/A,FALSE,"Adm";#N/A,#N/A,FALSE,"Autres R-D";#N/A,#N/A,FALSE,"Intérêts"}</definedName>
    <definedName name="VEEX" hidden="1">{#N/A,#N/A,FALSE,"Centres";#N/A,#N/A,FALSE,"Partenariats";#N/A,#N/A,FALSE,"P.Diverses";#N/A,#N/A,FALSE,"Adm";#N/A,#N/A,FALSE,"Autres R-D";#N/A,#N/A,FALSE,"Intérêts"}</definedName>
    <definedName name="Vendas" localSheetId="7" hidden="1">{"Mes Div 2",#N/A,FALSE,"Mes Diversos 2"}</definedName>
    <definedName name="Vendas" localSheetId="8" hidden="1">{"Mes Div 2",#N/A,FALSE,"Mes Diversos 2"}</definedName>
    <definedName name="Vendas" hidden="1">{"Mes Div 2",#N/A,FALSE,"Mes Diversos 2"}</definedName>
    <definedName name="VERES" hidden="1">#REF!</definedName>
    <definedName name="VERLUCRO" localSheetId="8" hidden="1">{FALSE,FALSE,-1.25,-15.5,484.5,278.25,FALSE,FALSE,TRUE,FALSE,0,1,#N/A,1106,#N/A,12.4059405940594,23.2666666666667,1,FALSE,FALSE,3,TRUE,1,FALSE,100,"Swvu.VERLUCRO.","ACwvu.VERLUCRO.",#N/A,FALSE,FALSE,0,0,0,0,1,"","",TRUE,FALSE,FALSE,FALSE,1,95,#N/A,#N/A,FALSE,FALSE,FALSE,FALSE,FALSE,FALSE,FALSE,1,65532,65532,FALSE,FALSE,TRUE,TRUE,TRUE}</definedName>
    <definedName name="VERLUCRO" hidden="1">{FALSE,FALSE,-1.25,-15.5,484.5,278.25,FALSE,FALSE,TRUE,FALSE,0,1,#N/A,1106,#N/A,12.4059405940594,23.2666666666667,1,FALSE,FALSE,3,TRUE,1,FALSE,100,"Swvu.VERLUCRO.","ACwvu.VERLUCRO.",#N/A,FALSE,FALSE,0,0,0,0,1,"","",TRUE,FALSE,FALSE,FALSE,1,95,#N/A,#N/A,FALSE,FALSE,FALSE,FALSE,FALSE,FALSE,FALSE,1,65532,65532,FALSE,FALSE,TRUE,TRUE,TRUE}</definedName>
    <definedName name="VERO2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VEXPORT" hidden="1">TRUE</definedName>
    <definedName name="vf" localSheetId="8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vf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vf_1" localSheetId="8" hidden="1">{#N/A,#N/A,FALSE,"CBE";#N/A,#N/A,FALSE,"SWK"}</definedName>
    <definedName name="vf_1" hidden="1">{#N/A,#N/A,FALSE,"CBE";#N/A,#N/A,FALSE,"SWK"}</definedName>
    <definedName name="vfcd" localSheetId="8" hidden="1">{"QTD",#N/A,FALSE,"SUM"}</definedName>
    <definedName name="vfcd" hidden="1">{"QTD",#N/A,FALSE,"SUM"}</definedName>
    <definedName name="vfg" hidden="1">#REF!</definedName>
    <definedName name="vfhy" localSheetId="8" hidden="1">{"GENERALH2",#N/A,FALSE,"CM"}</definedName>
    <definedName name="vfhy" hidden="1">{"GENERALH2",#N/A,FALSE,"CM"}</definedName>
    <definedName name="vfrfvfr" localSheetId="8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vfrfvfr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VFVV" localSheetId="8" hidden="1">{#N/A,#N/A,FALSE,"Aging Summary";#N/A,#N/A,FALSE,"Ratio Analysis";#N/A,#N/A,FALSE,"Test 120 Day Accts";#N/A,#N/A,FALSE,"Tickmarks"}</definedName>
    <definedName name="VFVV" hidden="1">{#N/A,#N/A,FALSE,"Aging Summary";#N/A,#N/A,FALSE,"Ratio Analysis";#N/A,#N/A,FALSE,"Test 120 Day Accts";#N/A,#N/A,FALSE,"Tickmarks"}</definedName>
    <definedName name="vgcvgvcghvcghc" localSheetId="8" hidden="1">#REF!</definedName>
    <definedName name="vgcvgvcghvcghc" hidden="1">#REF!</definedName>
    <definedName name="vgf" localSheetId="8" hidden="1">{"GENERALH2",#N/A,FALSE,"CM"}</definedName>
    <definedName name="vgf" hidden="1">{"GENERALH2",#N/A,FALSE,"CM"}</definedName>
    <definedName name="vgghh" localSheetId="8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vgghh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vgghh_1" localSheetId="8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vgghh_1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vghvgh" localSheetId="8" hidden="1">#REF!</definedName>
    <definedName name="vghvgh" hidden="1">#REF!</definedName>
    <definedName name="vgjvg" localSheetId="8" hidden="1">{"pl9601",#N/A,FALSE,"PL96";"pl9602",#N/A,FALSE,"PL96";"pl9603",#N/A,FALSE,"PL96";"PL9604",#N/A,FALSE,"PL96";"pl9605",#N/A,FALSE,"PL96";"pl9606",#N/A,FALSE,"PL96";"pl9607",#N/A,FALSE,"PL96";"pl9608",#N/A,FALSE,"PL96";"pl9609",#N/A,FALSE,"PL96";"pl9610",#N/A,FALSE,"PL96";"pl9611",#N/A,FALSE,"PL96";"fssum01",#N/A,FALSE,"fssum";"fssum02",#N/A,FALSE,"fssum"}</definedName>
    <definedName name="vgjvg" hidden="1">{"pl9601",#N/A,FALSE,"PL96";"pl9602",#N/A,FALSE,"PL96";"pl9603",#N/A,FALSE,"PL96";"PL9604",#N/A,FALSE,"PL96";"pl9605",#N/A,FALSE,"PL96";"pl9606",#N/A,FALSE,"PL96";"pl9607",#N/A,FALSE,"PL96";"pl9608",#N/A,FALSE,"PL96";"pl9609",#N/A,FALSE,"PL96";"pl9610",#N/A,FALSE,"PL96";"pl9611",#N/A,FALSE,"PL96";"fssum01",#N/A,FALSE,"fssum";"fssum02",#N/A,FALSE,"fssum"}</definedName>
    <definedName name="vgjvg_1" localSheetId="8" hidden="1">{"pl9601",#N/A,FALSE,"PL96";"pl9602",#N/A,FALSE,"PL96";"pl9603",#N/A,FALSE,"PL96";"PL9604",#N/A,FALSE,"PL96";"pl9605",#N/A,FALSE,"PL96";"pl9606",#N/A,FALSE,"PL96";"pl9607",#N/A,FALSE,"PL96";"pl9608",#N/A,FALSE,"PL96";"pl9609",#N/A,FALSE,"PL96";"pl9610",#N/A,FALSE,"PL96";"pl9611",#N/A,FALSE,"PL96";"fssum01",#N/A,FALSE,"fssum";"fssum02",#N/A,FALSE,"fssum"}</definedName>
    <definedName name="vgjvg_1" hidden="1">{"pl9601",#N/A,FALSE,"PL96";"pl9602",#N/A,FALSE,"PL96";"pl9603",#N/A,FALSE,"PL96";"PL9604",#N/A,FALSE,"PL96";"pl9605",#N/A,FALSE,"PL96";"pl9606",#N/A,FALSE,"PL96";"pl9607",#N/A,FALSE,"PL96";"pl9608",#N/A,FALSE,"PL96";"pl9609",#N/A,FALSE,"PL96";"pl9610",#N/A,FALSE,"PL96";"pl9611",#N/A,FALSE,"PL96";"fssum01",#N/A,FALSE,"fssum";"fssum02",#N/A,FALSE,"fssum"}</definedName>
    <definedName name="VGT" localSheetId="8" hidden="1">{#N/A,#N/A,FALSE,"Aging Summary";#N/A,#N/A,FALSE,"Ratio Analysis";#N/A,#N/A,FALSE,"Test 120 Day Accts";#N/A,#N/A,FALSE,"Tickmarks"}</definedName>
    <definedName name="VGT" hidden="1">{#N/A,#N/A,FALSE,"Aging Summary";#N/A,#N/A,FALSE,"Ratio Analysis";#N/A,#N/A,FALSE,"Test 120 Day Accts";#N/A,#N/A,FALSE,"Tickmarks"}</definedName>
    <definedName name="VGTS" localSheetId="8" hidden="1">{#N/A,#N/A,FALSE,"Aging Summary";#N/A,#N/A,FALSE,"Ratio Analysis";#N/A,#N/A,FALSE,"Test 120 Day Accts";#N/A,#N/A,FALSE,"Tickmarks"}</definedName>
    <definedName name="VGTS" hidden="1">{#N/A,#N/A,FALSE,"Aging Summary";#N/A,#N/A,FALSE,"Ratio Analysis";#N/A,#N/A,FALSE,"Test 120 Day Accts";#N/A,#N/A,FALSE,"Tickmarks"}</definedName>
    <definedName name="vgvv" localSheetId="8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vgvv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vgvv_1" localSheetId="8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vgvv_1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vhj" localSheetId="8" hidden="1">{#N/A,#N/A,TRUE,"consinc";#N/A,#N/A,TRUE,"consproj";#N/A,#N/A,TRUE,"deminc";#N/A,#N/A,TRUE,"incproj";#N/A,#N/A,TRUE,"demman";#N/A,#N/A,TRUE,"manproj";#N/A,#N/A,TRUE,"S&amp;Gact";#N/A,#N/A,TRUE,"S&amp;Gproj ";#N/A,#N/A,TRUE,"dengis";#N/A,#N/A,TRUE,"dengisproj";#N/A,#N/A,TRUE,"mitinc";#N/A,#N/A,TRUE,"mitincproj";#N/A,#N/A,TRUE,"mits&amp;G";#N/A,#N/A,TRUE,"mits&amp;gproj";#N/A,#N/A,TRUE,"arcis";#N/A,#N/A,TRUE,"arcproj";#N/A,#N/A,TRUE,"ampinc";#N/A,#N/A,TRUE,"ampincproj";#N/A,#N/A,TRUE,"ampman";#N/A,#N/A,TRUE,"ampmanproj";#N/A,#N/A,TRUE,"ampS&amp;G";#N/A,#N/A,TRUE,"amps&amp;GProj"}</definedName>
    <definedName name="vhj" hidden="1">{#N/A,#N/A,TRUE,"consinc";#N/A,#N/A,TRUE,"consproj";#N/A,#N/A,TRUE,"deminc";#N/A,#N/A,TRUE,"incproj";#N/A,#N/A,TRUE,"demman";#N/A,#N/A,TRUE,"manproj";#N/A,#N/A,TRUE,"S&amp;Gact";#N/A,#N/A,TRUE,"S&amp;Gproj ";#N/A,#N/A,TRUE,"dengis";#N/A,#N/A,TRUE,"dengisproj";#N/A,#N/A,TRUE,"mitinc";#N/A,#N/A,TRUE,"mitincproj";#N/A,#N/A,TRUE,"mits&amp;G";#N/A,#N/A,TRUE,"mits&amp;gproj";#N/A,#N/A,TRUE,"arcis";#N/A,#N/A,TRUE,"arcproj";#N/A,#N/A,TRUE,"ampinc";#N/A,#N/A,TRUE,"ampincproj";#N/A,#N/A,TRUE,"ampman";#N/A,#N/A,TRUE,"ampmanproj";#N/A,#N/A,TRUE,"ampS&amp;G";#N/A,#N/A,TRUE,"amps&amp;GProj"}</definedName>
    <definedName name="vhj_1" localSheetId="8" hidden="1">{#N/A,#N/A,TRUE,"consinc";#N/A,#N/A,TRUE,"consproj";#N/A,#N/A,TRUE,"deminc";#N/A,#N/A,TRUE,"incproj";#N/A,#N/A,TRUE,"demman";#N/A,#N/A,TRUE,"manproj";#N/A,#N/A,TRUE,"S&amp;Gact";#N/A,#N/A,TRUE,"S&amp;Gproj ";#N/A,#N/A,TRUE,"dengis";#N/A,#N/A,TRUE,"dengisproj";#N/A,#N/A,TRUE,"mitinc";#N/A,#N/A,TRUE,"mitincproj";#N/A,#N/A,TRUE,"mits&amp;G";#N/A,#N/A,TRUE,"mits&amp;gproj";#N/A,#N/A,TRUE,"arcis";#N/A,#N/A,TRUE,"arcproj";#N/A,#N/A,TRUE,"ampinc";#N/A,#N/A,TRUE,"ampincproj";#N/A,#N/A,TRUE,"ampman";#N/A,#N/A,TRUE,"ampmanproj";#N/A,#N/A,TRUE,"ampS&amp;G";#N/A,#N/A,TRUE,"amps&amp;GProj"}</definedName>
    <definedName name="vhj_1" hidden="1">{#N/A,#N/A,TRUE,"consinc";#N/A,#N/A,TRUE,"consproj";#N/A,#N/A,TRUE,"deminc";#N/A,#N/A,TRUE,"incproj";#N/A,#N/A,TRUE,"demman";#N/A,#N/A,TRUE,"manproj";#N/A,#N/A,TRUE,"S&amp;Gact";#N/A,#N/A,TRUE,"S&amp;Gproj ";#N/A,#N/A,TRUE,"dengis";#N/A,#N/A,TRUE,"dengisproj";#N/A,#N/A,TRUE,"mitinc";#N/A,#N/A,TRUE,"mitincproj";#N/A,#N/A,TRUE,"mits&amp;G";#N/A,#N/A,TRUE,"mits&amp;gproj";#N/A,#N/A,TRUE,"arcis";#N/A,#N/A,TRUE,"arcproj";#N/A,#N/A,TRUE,"ampinc";#N/A,#N/A,TRUE,"ampincproj";#N/A,#N/A,TRUE,"ampman";#N/A,#N/A,TRUE,"ampmanproj";#N/A,#N/A,TRUE,"ampS&amp;G";#N/A,#N/A,TRUE,"amps&amp;GProj"}</definedName>
    <definedName name="vhjhj" localSheetId="8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vhjhj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vhjhj_1" localSheetId="8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vhjhj_1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vhjhjhv" localSheetId="8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vhjhjhv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vhjhjhv_1" localSheetId="8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vhjhjhv_1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vhjj" localSheetId="8" hidden="1">{"fssum01",#N/A,FALSE,"fssum";"fssum02",#N/A,FALSE,"fssum"}</definedName>
    <definedName name="vhjj" hidden="1">{"fssum01",#N/A,FALSE,"fssum";"fssum02",#N/A,FALSE,"fssum"}</definedName>
    <definedName name="vhjj_1" localSheetId="8" hidden="1">{"fssum01",#N/A,FALSE,"fssum";"fssum02",#N/A,FALSE,"fssum"}</definedName>
    <definedName name="vhjj_1" hidden="1">{"fssum01",#N/A,FALSE,"fssum";"fssum02",#N/A,FALSE,"fssum"}</definedName>
    <definedName name="vhjjh" localSheetId="8" hidden="1">{"pl9601",#N/A,FALSE,"PL96";"pl9602",#N/A,FALSE,"PL96";"pl9603",#N/A,FALSE,"PL96";"PL9604",#N/A,FALSE,"PL96";"pl9605",#N/A,FALSE,"PL96";"pl9606",#N/A,FALSE,"PL96";"pl9607",#N/A,FALSE,"PL96";"pl9608",#N/A,FALSE,"PL96";"pl9609",#N/A,FALSE,"PL96";"pl9610",#N/A,FALSE,"PL96";"pl9611",#N/A,FALSE,"PL96";"fssum01",#N/A,FALSE,"fssum";"fssum02",#N/A,FALSE,"fssum"}</definedName>
    <definedName name="vhjjh" hidden="1">{"pl9601",#N/A,FALSE,"PL96";"pl9602",#N/A,FALSE,"PL96";"pl9603",#N/A,FALSE,"PL96";"PL9604",#N/A,FALSE,"PL96";"pl9605",#N/A,FALSE,"PL96";"pl9606",#N/A,FALSE,"PL96";"pl9607",#N/A,FALSE,"PL96";"pl9608",#N/A,FALSE,"PL96";"pl9609",#N/A,FALSE,"PL96";"pl9610",#N/A,FALSE,"PL96";"pl9611",#N/A,FALSE,"PL96";"fssum01",#N/A,FALSE,"fssum";"fssum02",#N/A,FALSE,"fssum"}</definedName>
    <definedName name="vhjjh_1" localSheetId="8" hidden="1">{"pl9601",#N/A,FALSE,"PL96";"pl9602",#N/A,FALSE,"PL96";"pl9603",#N/A,FALSE,"PL96";"PL9604",#N/A,FALSE,"PL96";"pl9605",#N/A,FALSE,"PL96";"pl9606",#N/A,FALSE,"PL96";"pl9607",#N/A,FALSE,"PL96";"pl9608",#N/A,FALSE,"PL96";"pl9609",#N/A,FALSE,"PL96";"pl9610",#N/A,FALSE,"PL96";"pl9611",#N/A,FALSE,"PL96";"fssum01",#N/A,FALSE,"fssum";"fssum02",#N/A,FALSE,"fssum"}</definedName>
    <definedName name="vhjjh_1" hidden="1">{"pl9601",#N/A,FALSE,"PL96";"pl9602",#N/A,FALSE,"PL96";"pl9603",#N/A,FALSE,"PL96";"PL9604",#N/A,FALSE,"PL96";"pl9605",#N/A,FALSE,"PL96";"pl9606",#N/A,FALSE,"PL96";"pl9607",#N/A,FALSE,"PL96";"pl9608",#N/A,FALSE,"PL96";"pl9609",#N/A,FALSE,"PL96";"pl9610",#N/A,FALSE,"PL96";"pl9611",#N/A,FALSE,"PL96";"fssum01",#N/A,FALSE,"fssum";"fssum02",#N/A,FALSE,"fssum"}</definedName>
    <definedName name="vhjvjh" localSheetId="8" hidden="1">{#N/A,#N/A,FALSE,"debt";#N/A,#N/A,FALSE,"apsort";#N/A,#N/A,FALSE,"AR"}</definedName>
    <definedName name="vhjvjh" hidden="1">{#N/A,#N/A,FALSE,"debt";#N/A,#N/A,FALSE,"apsort";#N/A,#N/A,FALSE,"AR"}</definedName>
    <definedName name="vhjvjh_1" localSheetId="8" hidden="1">{#N/A,#N/A,FALSE,"debt";#N/A,#N/A,FALSE,"apsort";#N/A,#N/A,FALSE,"AR"}</definedName>
    <definedName name="vhjvjh_1" hidden="1">{#N/A,#N/A,FALSE,"debt";#N/A,#N/A,FALSE,"apsort";#N/A,#N/A,FALSE,"AR"}</definedName>
    <definedName name="vhktvkhgvkhg" localSheetId="8" hidden="1">#REF!</definedName>
    <definedName name="vhktvkhgvkhg" hidden="1">#REF!</definedName>
    <definedName name="VHU" localSheetId="8" hidden="1">{#N/A,#N/A,FALSE,"Min compa cad";#N/A,#N/A,FALSE,"Min CAN Equité ";#N/A,#N/A,FALSE,"Analyse can"}</definedName>
    <definedName name="VHU" hidden="1">{#N/A,#N/A,FALSE,"Min compa cad";#N/A,#N/A,FALSE,"Min CAN Equité ";#N/A,#N/A,FALSE,"Analyse can"}</definedName>
    <definedName name="vhvvh" localSheetId="8" hidden="1">{#N/A,#N/A,FALSE,"F94is";#N/A,#N/A,FALSE,"T94is";#N/A,#N/A,FALSE,"TOT94is";#N/A,#N/A,FALSE,"f94oh";#N/A,#N/A,FALSE,"Toh94";#N/A,#N/A,FALSE,"TOT94oh";#N/A,#N/A,FALSE,"SGA94";#N/A,#N/A,FALSE,"bs94";#N/A,#N/A,FALSE,"debt";#N/A,#N/A,FALSE,"f94proj";#N/A,#N/A,FALSE,"t94proj";#N/A,#N/A,FALSE,"tot94proj";#N/A,#N/A,FALSE,"f94ohproj";#N/A,#N/A,FALSE,"t94ohproj";#N/A,#N/A,FALSE,"tot94ohproj";#N/A,#N/A,FALSE,"projsga";#N/A,#N/A,FALSE,"projcf";#N/A,#N/A,FALSE,"Projline";#N/A,#N/A,FALSE,"bankline";#N/A,#N/A,FALSE,"Fast95is";#N/A,#N/A,FALSE,"tool95is";#N/A,#N/A,FALSE,"tot95is";#N/A,#N/A,FALSE,"tool950h";#N/A,#N/A,FALSE,"fas95oh";#N/A,#N/A,FALSE,"tot95oh";#N/A,#N/A,FALSE,"95sga"}</definedName>
    <definedName name="vhvvh" hidden="1">{#N/A,#N/A,FALSE,"F94is";#N/A,#N/A,FALSE,"T94is";#N/A,#N/A,FALSE,"TOT94is";#N/A,#N/A,FALSE,"f94oh";#N/A,#N/A,FALSE,"Toh94";#N/A,#N/A,FALSE,"TOT94oh";#N/A,#N/A,FALSE,"SGA94";#N/A,#N/A,FALSE,"bs94";#N/A,#N/A,FALSE,"debt";#N/A,#N/A,FALSE,"f94proj";#N/A,#N/A,FALSE,"t94proj";#N/A,#N/A,FALSE,"tot94proj";#N/A,#N/A,FALSE,"f94ohproj";#N/A,#N/A,FALSE,"t94ohproj";#N/A,#N/A,FALSE,"tot94ohproj";#N/A,#N/A,FALSE,"projsga";#N/A,#N/A,FALSE,"projcf";#N/A,#N/A,FALSE,"Projline";#N/A,#N/A,FALSE,"bankline";#N/A,#N/A,FALSE,"Fast95is";#N/A,#N/A,FALSE,"tool95is";#N/A,#N/A,FALSE,"tot95is";#N/A,#N/A,FALSE,"tool950h";#N/A,#N/A,FALSE,"fas95oh";#N/A,#N/A,FALSE,"tot95oh";#N/A,#N/A,FALSE,"95sga"}</definedName>
    <definedName name="vhvvh_1" localSheetId="8" hidden="1">{#N/A,#N/A,FALSE,"F94is";#N/A,#N/A,FALSE,"T94is";#N/A,#N/A,FALSE,"TOT94is";#N/A,#N/A,FALSE,"f94oh";#N/A,#N/A,FALSE,"Toh94";#N/A,#N/A,FALSE,"TOT94oh";#N/A,#N/A,FALSE,"SGA94";#N/A,#N/A,FALSE,"bs94";#N/A,#N/A,FALSE,"debt";#N/A,#N/A,FALSE,"f94proj";#N/A,#N/A,FALSE,"t94proj";#N/A,#N/A,FALSE,"tot94proj";#N/A,#N/A,FALSE,"f94ohproj";#N/A,#N/A,FALSE,"t94ohproj";#N/A,#N/A,FALSE,"tot94ohproj";#N/A,#N/A,FALSE,"projsga";#N/A,#N/A,FALSE,"projcf";#N/A,#N/A,FALSE,"Projline";#N/A,#N/A,FALSE,"bankline";#N/A,#N/A,FALSE,"Fast95is";#N/A,#N/A,FALSE,"tool95is";#N/A,#N/A,FALSE,"tot95is";#N/A,#N/A,FALSE,"tool950h";#N/A,#N/A,FALSE,"fas95oh";#N/A,#N/A,FALSE,"tot95oh";#N/A,#N/A,FALSE,"95sga"}</definedName>
    <definedName name="vhvvh_1" hidden="1">{#N/A,#N/A,FALSE,"F94is";#N/A,#N/A,FALSE,"T94is";#N/A,#N/A,FALSE,"TOT94is";#N/A,#N/A,FALSE,"f94oh";#N/A,#N/A,FALSE,"Toh94";#N/A,#N/A,FALSE,"TOT94oh";#N/A,#N/A,FALSE,"SGA94";#N/A,#N/A,FALSE,"bs94";#N/A,#N/A,FALSE,"debt";#N/A,#N/A,FALSE,"f94proj";#N/A,#N/A,FALSE,"t94proj";#N/A,#N/A,FALSE,"tot94proj";#N/A,#N/A,FALSE,"f94ohproj";#N/A,#N/A,FALSE,"t94ohproj";#N/A,#N/A,FALSE,"tot94ohproj";#N/A,#N/A,FALSE,"projsga";#N/A,#N/A,FALSE,"projcf";#N/A,#N/A,FALSE,"Projline";#N/A,#N/A,FALSE,"bankline";#N/A,#N/A,FALSE,"Fast95is";#N/A,#N/A,FALSE,"tool95is";#N/A,#N/A,FALSE,"tot95is";#N/A,#N/A,FALSE,"tool950h";#N/A,#N/A,FALSE,"fas95oh";#N/A,#N/A,FALSE,"tot95oh";#N/A,#N/A,FALSE,"95sga"}</definedName>
    <definedName name="Viana_Fit_Out2" localSheetId="8" hidden="1">{"Assump1",#N/A,TRUE,"Assumptions";"Assump2",#N/A,TRUE,"Assumptions"}</definedName>
    <definedName name="Viana_Fit_Out2" hidden="1">{"Assump1",#N/A,TRUE,"Assumptions";"Assump2",#N/A,TRUE,"Assumptions"}</definedName>
    <definedName name="Viastar" localSheetId="8" hidden="1">{#N/A,#N/A,FALSE,"Assumptions";#N/A,#N/A,FALSE,"N-IS-Sum";#N/A,#N/A,FALSE,"N-St-Sum";#N/A,#N/A,FALSE,"Inc Stmt";#N/A,#N/A,FALSE,"Stats"}</definedName>
    <definedName name="Viastar" hidden="1">{#N/A,#N/A,FALSE,"Assumptions";#N/A,#N/A,FALSE,"N-IS-Sum";#N/A,#N/A,FALSE,"N-St-Sum";#N/A,#N/A,FALSE,"Inc Stmt";#N/A,#N/A,FALSE,"Stats"}</definedName>
    <definedName name="vince" localSheetId="8" hidden="1">{#N/A,#N/A,TRUE,"Cover sheet";#N/A,#N/A,TRUE,"DCF analysis";#N/A,#N/A,TRUE,"WACC calculation"}</definedName>
    <definedName name="vince" hidden="1">{#N/A,#N/A,TRUE,"Cover sheet";#N/A,#N/A,TRUE,"DCF analysis";#N/A,#N/A,TRUE,"WACC calculation"}</definedName>
    <definedName name="vince_1" localSheetId="8" hidden="1">{#N/A,#N/A,TRUE,"Cover sheet";#N/A,#N/A,TRUE,"DCF analysis";#N/A,#N/A,TRUE,"WACC calculation"}</definedName>
    <definedName name="vince_1" hidden="1">{#N/A,#N/A,TRUE,"Cover sheet";#N/A,#N/A,TRUE,"DCF analysis";#N/A,#N/A,TRUE,"WACC calculation"}</definedName>
    <definedName name="vision" localSheetId="8" hidden="1">{"mgmt forecast",#N/A,FALSE,"Mgmt Forecast";"dcf table",#N/A,FALSE,"Mgmt Forecast";"sensitivity",#N/A,FALSE,"Mgmt Forecast";"table inputs",#N/A,FALSE,"Mgmt Forecast";"calculations",#N/A,FALSE,"Mgmt Forecast"}</definedName>
    <definedName name="vision" hidden="1">{"mgmt forecast",#N/A,FALSE,"Mgmt Forecast";"dcf table",#N/A,FALSE,"Mgmt Forecast";"sensitivity",#N/A,FALSE,"Mgmt Forecast";"table inputs",#N/A,FALSE,"Mgmt Forecast";"calculations",#N/A,FALSE,"Mgmt Forecast"}</definedName>
    <definedName name="vision_1" localSheetId="8" hidden="1">{"mgmt forecast",#N/A,FALSE,"Mgmt Forecast";"dcf table",#N/A,FALSE,"Mgmt Forecast";"sensitivity",#N/A,FALSE,"Mgmt Forecast";"table inputs",#N/A,FALSE,"Mgmt Forecast";"calculations",#N/A,FALSE,"Mgmt Forecast"}</definedName>
    <definedName name="vision_1" hidden="1">{"mgmt forecast",#N/A,FALSE,"Mgmt Forecast";"dcf table",#N/A,FALSE,"Mgmt Forecast";"sensitivity",#N/A,FALSE,"Mgmt Forecast";"table inputs",#N/A,FALSE,"Mgmt Forecast";"calculations",#N/A,FALSE,"Mgmt Forecast"}</definedName>
    <definedName name="Vj" localSheetId="8" hidden="1">{TRUE,TRUE,-1.25,-15.5,604.5,369.75,FALSE,TRUE,TRUE,FALSE,1,1,25,13,15,2,1,4,TRUE,TRUE,3,TRUE,1,TRUE,100,"Swvu.Wty._.accrual._.summary.","ACwvu.Wty._.accrual._.summary.",1,FALSE,FALSE,0,0,2.1,1,2,"&amp;C&amp;""Helvetica""&amp;18&amp;BDELL COMPUTER CORPORATION
WORLDWIDE OPERATIONS
WARRANTY ACCRUAL SUMMARY
","",TRUE,FALSE,FALSE,FALSE,1,#N/A,1,1,#DIV/0!,FALSE,"Rwvu.Wty._.accrual._.summary.","Cwvu.Wty._.accrual._.summary.",FALSE,FALSE}</definedName>
    <definedName name="Vj" hidden="1">{TRUE,TRUE,-1.25,-15.5,604.5,369.75,FALSE,TRUE,TRUE,FALSE,1,1,25,13,15,2,1,4,TRUE,TRUE,3,TRUE,1,TRUE,100,"Swvu.Wty._.accrual._.summary.","ACwvu.Wty._.accrual._.summary.",1,FALSE,FALSE,0,0,2.1,1,2,"&amp;C&amp;""Helvetica""&amp;18&amp;BDELL COMPUTER CORPORATION
WORLDWIDE OPERATIONS
WARRANTY ACCRUAL SUMMARY
","",TRUE,FALSE,FALSE,FALSE,1,#N/A,1,1,#DIV/0!,FALSE,"Rwvu.Wty._.accrual._.summary.","Cwvu.Wty._.accrual._.summary.",FALSE,FALSE}</definedName>
    <definedName name="vjhjhvjh" localSheetId="8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vjhjhvjh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vjhjhvjh_1" localSheetId="8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vjhjhvjh_1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vjjhhj" localSheetId="8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vjjhhj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vjjhhj_1" localSheetId="8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vjjhhj_1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vjvjhjhv" localSheetId="8" hidden="1">{#N/A,#N/A,TRUE,"consinc";#N/A,#N/A,TRUE,"consproj";#N/A,#N/A,TRUE,"deminc";#N/A,#N/A,TRUE,"incproj";#N/A,#N/A,TRUE,"demman";#N/A,#N/A,TRUE,"manproj";#N/A,#N/A,TRUE,"S&amp;Gact";#N/A,#N/A,TRUE,"S&amp;Gproj ";#N/A,#N/A,TRUE,"dengis";#N/A,#N/A,TRUE,"dengisproj";#N/A,#N/A,TRUE,"mitinc";#N/A,#N/A,TRUE,"mitincproj";#N/A,#N/A,TRUE,"mits&amp;G";#N/A,#N/A,TRUE,"mits&amp;gproj";#N/A,#N/A,TRUE,"arcis";#N/A,#N/A,TRUE,"arcproj";#N/A,#N/A,TRUE,"ampinc";#N/A,#N/A,TRUE,"ampincproj";#N/A,#N/A,TRUE,"ampman";#N/A,#N/A,TRUE,"ampmanproj";#N/A,#N/A,TRUE,"ampS&amp;G";#N/A,#N/A,TRUE,"amps&amp;GProj"}</definedName>
    <definedName name="vjvjhjhv" hidden="1">{#N/A,#N/A,TRUE,"consinc";#N/A,#N/A,TRUE,"consproj";#N/A,#N/A,TRUE,"deminc";#N/A,#N/A,TRUE,"incproj";#N/A,#N/A,TRUE,"demman";#N/A,#N/A,TRUE,"manproj";#N/A,#N/A,TRUE,"S&amp;Gact";#N/A,#N/A,TRUE,"S&amp;Gproj ";#N/A,#N/A,TRUE,"dengis";#N/A,#N/A,TRUE,"dengisproj";#N/A,#N/A,TRUE,"mitinc";#N/A,#N/A,TRUE,"mitincproj";#N/A,#N/A,TRUE,"mits&amp;G";#N/A,#N/A,TRUE,"mits&amp;gproj";#N/A,#N/A,TRUE,"arcis";#N/A,#N/A,TRUE,"arcproj";#N/A,#N/A,TRUE,"ampinc";#N/A,#N/A,TRUE,"ampincproj";#N/A,#N/A,TRUE,"ampman";#N/A,#N/A,TRUE,"ampmanproj";#N/A,#N/A,TRUE,"ampS&amp;G";#N/A,#N/A,TRUE,"amps&amp;GProj"}</definedName>
    <definedName name="vjvjhjhv_1" localSheetId="8" hidden="1">{#N/A,#N/A,TRUE,"consinc";#N/A,#N/A,TRUE,"consproj";#N/A,#N/A,TRUE,"deminc";#N/A,#N/A,TRUE,"incproj";#N/A,#N/A,TRUE,"demman";#N/A,#N/A,TRUE,"manproj";#N/A,#N/A,TRUE,"S&amp;Gact";#N/A,#N/A,TRUE,"S&amp;Gproj ";#N/A,#N/A,TRUE,"dengis";#N/A,#N/A,TRUE,"dengisproj";#N/A,#N/A,TRUE,"mitinc";#N/A,#N/A,TRUE,"mitincproj";#N/A,#N/A,TRUE,"mits&amp;G";#N/A,#N/A,TRUE,"mits&amp;gproj";#N/A,#N/A,TRUE,"arcis";#N/A,#N/A,TRUE,"arcproj";#N/A,#N/A,TRUE,"ampinc";#N/A,#N/A,TRUE,"ampincproj";#N/A,#N/A,TRUE,"ampman";#N/A,#N/A,TRUE,"ampmanproj";#N/A,#N/A,TRUE,"ampS&amp;G";#N/A,#N/A,TRUE,"amps&amp;GProj"}</definedName>
    <definedName name="vjvjhjhv_1" hidden="1">{#N/A,#N/A,TRUE,"consinc";#N/A,#N/A,TRUE,"consproj";#N/A,#N/A,TRUE,"deminc";#N/A,#N/A,TRUE,"incproj";#N/A,#N/A,TRUE,"demman";#N/A,#N/A,TRUE,"manproj";#N/A,#N/A,TRUE,"S&amp;Gact";#N/A,#N/A,TRUE,"S&amp;Gproj ";#N/A,#N/A,TRUE,"dengis";#N/A,#N/A,TRUE,"dengisproj";#N/A,#N/A,TRUE,"mitinc";#N/A,#N/A,TRUE,"mitincproj";#N/A,#N/A,TRUE,"mits&amp;G";#N/A,#N/A,TRUE,"mits&amp;gproj";#N/A,#N/A,TRUE,"arcis";#N/A,#N/A,TRUE,"arcproj";#N/A,#N/A,TRUE,"ampinc";#N/A,#N/A,TRUE,"ampincproj";#N/A,#N/A,TRUE,"ampman";#N/A,#N/A,TRUE,"ampmanproj";#N/A,#N/A,TRUE,"ampS&amp;G";#N/A,#N/A,TRUE,"amps&amp;GProj"}</definedName>
    <definedName name="vkjbvdklj" localSheetId="8" hidden="1">#REF!</definedName>
    <definedName name="vkjbvdklj" hidden="1">#REF!</definedName>
    <definedName name="vlkfverjfeporgporek" hidden="1">#REF!</definedName>
    <definedName name="VLV" localSheetId="8" hidden="1">{"'100'!$A$1:$M$83"}</definedName>
    <definedName name="VLV" hidden="1">{"'100'!$A$1:$M$83"}</definedName>
    <definedName name="vmkkerl" hidden="1">#REF!</definedName>
    <definedName name="vn.2" localSheetId="8" hidden="1">{#N/A,#N/A,FALSE,"KA CH  (2)"}</definedName>
    <definedName name="vn.2" hidden="1">{#N/A,#N/A,FALSE,"KA CH  (2)"}</definedName>
    <definedName name="vn.9" localSheetId="8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vn.9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vo" localSheetId="8" hidden="1">{"consolidated",#N/A,FALSE,"Sheet1";"cms",#N/A,FALSE,"Sheet1";"fse",#N/A,FALSE,"Sheet1"}</definedName>
    <definedName name="vo" hidden="1">{"consolidated",#N/A,FALSE,"Sheet1";"cms",#N/A,FALSE,"Sheet1";"fse",#N/A,FALSE,"Sheet1"}</definedName>
    <definedName name="vo_1" localSheetId="8" hidden="1">{"consolidated",#N/A,FALSE,"Sheet1";"cms",#N/A,FALSE,"Sheet1";"fse",#N/A,FALSE,"Sheet1"}</definedName>
    <definedName name="vo_1" hidden="1">{"consolidated",#N/A,FALSE,"Sheet1";"cms",#N/A,FALSE,"Sheet1";"fse",#N/A,FALSE,"Sheet1"}</definedName>
    <definedName name="vol" localSheetId="8" hidden="1">{#N/A,#N/A,TRUE,"General";#N/A,#N/A,TRUE,"PF IS";#N/A,#N/A,TRUE,"PF BS";#N/A,#N/A,TRUE,"Summary";#N/A,#N/A,TRUE,"Acq Matrix"}</definedName>
    <definedName name="vol" hidden="1">{#N/A,#N/A,TRUE,"General";#N/A,#N/A,TRUE,"PF IS";#N/A,#N/A,TRUE,"PF BS";#N/A,#N/A,TRUE,"Summary";#N/A,#N/A,TRUE,"Acq Matrix"}</definedName>
    <definedName name="vol_1" localSheetId="8" hidden="1">{#N/A,#N/A,TRUE,"General";#N/A,#N/A,TRUE,"PF IS";#N/A,#N/A,TRUE,"PF BS";#N/A,#N/A,TRUE,"Summary";#N/A,#N/A,TRUE,"Acq Matrix"}</definedName>
    <definedName name="vol_1" hidden="1">{#N/A,#N/A,TRUE,"General";#N/A,#N/A,TRUE,"PF IS";#N/A,#N/A,TRUE,"PF BS";#N/A,#N/A,TRUE,"Summary";#N/A,#N/A,TRUE,"Acq Matrix"}</definedName>
    <definedName name="vqa" localSheetId="8" hidden="1">{"First Page",#N/A,FALSE,"Surfactants LBO";"Second Page",#N/A,FALSE,"Surfactants LBO"}</definedName>
    <definedName name="vqa" hidden="1">{"First Page",#N/A,FALSE,"Surfactants LBO";"Second Page",#N/A,FALSE,"Surfactants LBO"}</definedName>
    <definedName name="vqa_1" localSheetId="8" hidden="1">{"First Page",#N/A,FALSE,"Surfactants LBO";"Second Page",#N/A,FALSE,"Surfactants LBO"}</definedName>
    <definedName name="vqa_1" hidden="1">{"First Page",#N/A,FALSE,"Surfactants LBO";"Second Page",#N/A,FALSE,"Surfactants LBO"}</definedName>
    <definedName name="vqv" hidden="1">#REF!</definedName>
    <definedName name="vqvzvebve" hidden="1">#REF!</definedName>
    <definedName name="VR" localSheetId="8" hidden="1">{#N/A,#N/A,FALSE,"Centres";#N/A,#N/A,FALSE,"Partenariats";#N/A,#N/A,FALSE,"P.Diverses";#N/A,#N/A,FALSE,"Adm";#N/A,#N/A,FALSE,"Autres R-D";#N/A,#N/A,FALSE,"Intérêts"}</definedName>
    <definedName name="VR" hidden="1">{#N/A,#N/A,FALSE,"Centres";#N/A,#N/A,FALSE,"Partenariats";#N/A,#N/A,FALSE,"P.Diverses";#N/A,#N/A,FALSE,"Adm";#N/A,#N/A,FALSE,"Autres R-D";#N/A,#N/A,FALSE,"Intérêts"}</definedName>
    <definedName name="VTM_1" hidden="1">#REF!</definedName>
    <definedName name="VTM_2" hidden="1">#REF!</definedName>
    <definedName name="VTM_3" hidden="1">#REF!</definedName>
    <definedName name="VTM_4" hidden="1">#REF!</definedName>
    <definedName name="VUPTERNA" localSheetId="8" hidden="1">{#N/A,#N/A,TRUE,"Allacciamenti 5 anni";#N/A,#N/A,TRUE,"Carico 5 anni";#N/A,#N/A,TRUE,"Qualità a) 5 anni";#N/A,#N/A,TRUE,"Qualità b) 5 anni";#N/A,#N/A,TRUE,"Impatto ambientale 5 anni";#N/A,#N/A,TRUE,"Adeg. tecnico 5 anni"}</definedName>
    <definedName name="VUPTERNA" hidden="1">{#N/A,#N/A,TRUE,"Allacciamenti 5 anni";#N/A,#N/A,TRUE,"Carico 5 anni";#N/A,#N/A,TRUE,"Qualità a) 5 anni";#N/A,#N/A,TRUE,"Qualità b) 5 anni";#N/A,#N/A,TRUE,"Impatto ambientale 5 anni";#N/A,#N/A,TRUE,"Adeg. tecnico 5 anni"}</definedName>
    <definedName name="VUPTERNA_1" localSheetId="8" hidden="1">{#N/A,#N/A,TRUE,"Allacciamenti 5 anni";#N/A,#N/A,TRUE,"Carico 5 anni";#N/A,#N/A,TRUE,"Qualità a) 5 anni";#N/A,#N/A,TRUE,"Qualità b) 5 anni";#N/A,#N/A,TRUE,"Impatto ambientale 5 anni";#N/A,#N/A,TRUE,"Adeg. tecnico 5 anni"}</definedName>
    <definedName name="VUPTERNA_1" hidden="1">{#N/A,#N/A,TRUE,"Allacciamenti 5 anni";#N/A,#N/A,TRUE,"Carico 5 anni";#N/A,#N/A,TRUE,"Qualità a) 5 anni";#N/A,#N/A,TRUE,"Qualità b) 5 anni";#N/A,#N/A,TRUE,"Impatto ambientale 5 anni";#N/A,#N/A,TRUE,"Adeg. tecnico 5 anni"}</definedName>
    <definedName name="vv" localSheetId="7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vv" localSheetId="8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vv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vv_1" localSheetId="7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vv_1" localSheetId="8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vv_1" hidden="1">{"pl9601",#N/A,FALSE,"PL96";"pl9602",#N/A,FALSE,"PL96";"pl9603",#N/A,FALSE,"PL96";"PL9604",#N/A,FALSE,"PL96";"pl9605",#N/A,FALSE,"PL96";"pl9606",#N/A,FALSE,"PL96";"pl9607",#N/A,FALSE,"PL96";"pl9608",#N/A,FALSE,"PL96";"pl9609",#N/A,FALSE,"PL96";"pl9610",#N/A,FALSE,"PL96";"pl9611",#N/A,FALSE,"PL96";"fssum01",#N/A,FALSE,"fssum";"fssum02",#N/A,FALSE,"fssum"}</definedName>
    <definedName name="vvv" localSheetId="8" hidden="1">{#N/A,#N/A,TRUE,"Cover sheet";#N/A,#N/A,TRUE,"DCF analysis";#N/A,#N/A,TRUE,"WACC calculation"}</definedName>
    <definedName name="vvv" hidden="1">{#N/A,#N/A,TRUE,"Cover sheet";#N/A,#N/A,TRUE,"DCF analysis";#N/A,#N/A,TRUE,"WACC calculation"}</definedName>
    <definedName name="vvv_1" localSheetId="8" hidden="1">{#N/A,#N/A,TRUE,"Cover sheet";#N/A,#N/A,TRUE,"DCF analysis";#N/A,#N/A,TRUE,"WACC calculation"}</definedName>
    <definedName name="vvv_1" hidden="1">{#N/A,#N/A,TRUE,"Cover sheet";#N/A,#N/A,TRUE,"DCF analysis";#N/A,#N/A,TRUE,"WACC calculation"}</definedName>
    <definedName name="vvvv" localSheetId="8" hidden="1">{#N/A,#N/A,FALSE,"D9-NWWG";#N/A,#N/A,FALSE,"F2-WMG";#N/A,#N/A,FALSE,"F3-WWMG"}</definedName>
    <definedName name="vvvv" hidden="1">{#N/A,#N/A,FALSE,"D9-NWWG";#N/A,#N/A,FALSE,"F2-WMG";#N/A,#N/A,FALSE,"F3-WWMG"}</definedName>
    <definedName name="VVVVV" localSheetId="8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vvvvv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vvvvvvvv" localSheetId="8" hidden="1">#REF!</definedName>
    <definedName name="vvvvvvvv" hidden="1">#REF!</definedName>
    <definedName name="vvvvvvvvvv" localSheetId="8" hidden="1">{"net assets",#N/A,FALSE,"summary";"asset turnover",#N/A,FALSE,"summary";"orona",#N/A,FALSE,"summary"}</definedName>
    <definedName name="vvvvvvvvvv" hidden="1">{"net assets",#N/A,FALSE,"summary";"asset turnover",#N/A,FALSE,"summary";"orona",#N/A,FALSE,"summary"}</definedName>
    <definedName name="vvvvvvvvvvv" hidden="1">#N/A</definedName>
    <definedName name="vvvvvvvvvvvvvvvvvvvvvvvvvvvv" hidden="1">#REF!</definedName>
    <definedName name="vz" localSheetId="8" hidden="1">{"detail",#N/A,FALSE,"mfg";"summary",#N/A,FALSE,"mfg"}</definedName>
    <definedName name="vz" hidden="1">{"detail",#N/A,FALSE,"mfg";"summary",#N/A,FALSE,"mfg"}</definedName>
    <definedName name="w" localSheetId="7" hidden="1">{"Monthly6Q",#N/A,FALSE,"0614ESL"}</definedName>
    <definedName name="w" localSheetId="8" hidden="1">{"DCF","UPSIDE CASE",FALSE,"Sheet1";"DCF","BASE CASE",FALSE,"Sheet1";"DCF","DOWNSIDE CASE",FALSE,"Sheet1"}</definedName>
    <definedName name="W" hidden="1">{#N/A,#N/A,FALSE,"Pliego";#N/A,#N/A,FALSE,"Coeficientes";#N/A,#N/A,FALSE,"Cond. Diseño";#N/A,#N/A,FALSE,"Reactor Cullera";#N/A,#N/A,FALSE,"Tres fases";#N/A,#N/A,FALSE,"Dos fases";#N/A,#N/A,FALSE,"Resumen";#N/A,#N/A,FALSE,"Fosforo";#N/A,#N/A,FALSE,"Recirculacion";#N/A,#N/A,FALSE,"Exceso fango";#N/A,#N/A,FALSE,"Decantador";#N/A,#N/A,FALSE,"Desinfeccion";#N/A,#N/A,FALSE,"Recir. int."}</definedName>
    <definedName name="w.a" localSheetId="8" hidden="1">{#N/A,#N/A,FALSE,"Ratio"}</definedName>
    <definedName name="w.a" hidden="1">{#N/A,#N/A,FALSE,"Ratio"}</definedName>
    <definedName name="w.l" localSheetId="8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w.l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w_1" localSheetId="8" hidden="1">{"DCF","UPSIDE CASE",FALSE,"Sheet1";"DCF","BASE CASE",FALSE,"Sheet1";"DCF","DOWNSIDE CASE",FALSE,"Sheet1"}</definedName>
    <definedName name="w_1" hidden="1">{"DCF","UPSIDE CASE",FALSE,"Sheet1";"DCF","BASE CASE",FALSE,"Sheet1";"DCF","DOWNSIDE CASE",FALSE,"Sheet1"}</definedName>
    <definedName name="w2f" localSheetId="8" hidden="1">{"QTD_LPO2N2",#N/A,FALSE,"QTD";"QTD_HYCO",#N/A,FALSE,"QTD";"QTD_LOUISIANA",#N/A,FALSE,"QTD";"QTD_GENERALH2",#N/A,FALSE,"QTD";"QTD_PACKAGE",#N/A,FALSE,"QTD";"QTD_PRS",#N/A,FALSE,"QTD";"QTD_OTHER",#N/A,FALSE,"QTD"}</definedName>
    <definedName name="w2f" hidden="1">{"QTD_LPO2N2",#N/A,FALSE,"QTD";"QTD_HYCO",#N/A,FALSE,"QTD";"QTD_LOUISIANA",#N/A,FALSE,"QTD";"QTD_GENERALH2",#N/A,FALSE,"QTD";"QTD_PACKAGE",#N/A,FALSE,"QTD";"QTD_PRS",#N/A,FALSE,"QTD";"QTD_OTHER",#N/A,FALSE,"QTD"}</definedName>
    <definedName name="w2r5" localSheetId="8" hidden="1">{"QTD_OTHER",#N/A,FALSE,"QTD"}</definedName>
    <definedName name="w2r5" hidden="1">{"QTD_OTHER",#N/A,FALSE,"QTD"}</definedName>
    <definedName name="wa" localSheetId="8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wa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WACC_US" localSheetId="8" hidden="1">{"mgmt forecast",#N/A,FALSE,"Mgmt Forecast";"dcf table",#N/A,FALSE,"Mgmt Forecast";"sensitivity",#N/A,FALSE,"Mgmt Forecast";"table inputs",#N/A,FALSE,"Mgmt Forecast";"calculations",#N/A,FALSE,"Mgmt Forecast"}</definedName>
    <definedName name="WACC_US" hidden="1">{"mgmt forecast",#N/A,FALSE,"Mgmt Forecast";"dcf table",#N/A,FALSE,"Mgmt Forecast";"sensitivity",#N/A,FALSE,"Mgmt Forecast";"table inputs",#N/A,FALSE,"Mgmt Forecast";"calculations",#N/A,FALSE,"Mgmt Forecast"}</definedName>
    <definedName name="WACC_US_1" localSheetId="8" hidden="1">{"mgmt forecast",#N/A,FALSE,"Mgmt Forecast";"dcf table",#N/A,FALSE,"Mgmt Forecast";"sensitivity",#N/A,FALSE,"Mgmt Forecast";"table inputs",#N/A,FALSE,"Mgmt Forecast";"calculations",#N/A,FALSE,"Mgmt Forecast"}</definedName>
    <definedName name="WACC_US_1" hidden="1">{"mgmt forecast",#N/A,FALSE,"Mgmt Forecast";"dcf table",#N/A,FALSE,"Mgmt Forecast";"sensitivity",#N/A,FALSE,"Mgmt Forecast";"table inputs",#N/A,FALSE,"Mgmt Forecast";"calculations",#N/A,FALSE,"Mgmt Forecast"}</definedName>
    <definedName name="wae.2" localSheetId="8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wae.2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wae.er_er." localSheetId="8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wae.er_er.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WalkYTDBudNEW" localSheetId="8" hidden="1">{"FIXVARIANCE",#N/A,FALSE,"COSTPHSE";"SOURCING",#N/A,FALSE,"COSTPHSE"}</definedName>
    <definedName name="WalkYTDBudNEW" hidden="1">{"FIXVARIANCE",#N/A,FALSE,"COSTPHSE";"SOURCING",#N/A,FALSE,"COSTPHSE"}</definedName>
    <definedName name="was" localSheetId="7" hidden="1">{#N/A,#N/A,FALSE,"Sales Graph";#N/A,#N/A,FALSE,"BUC Graph";#N/A,#N/A,FALSE,"P&amp;L - YTD"}</definedName>
    <definedName name="was" localSheetId="8" hidden="1">{#N/A,#N/A,FALSE,"Sales Graph";#N/A,#N/A,FALSE,"BUC Graph";#N/A,#N/A,FALSE,"P&amp;L - YTD"}</definedName>
    <definedName name="was" hidden="1">{#N/A,#N/A,FALSE,"Sales Graph";#N/A,#N/A,FALSE,"BUC Graph";#N/A,#N/A,FALSE,"P&amp;L - YTD"}</definedName>
    <definedName name="watford" localSheetId="8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watford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watford_1" localSheetId="8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watford_1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wb" localSheetId="7" hidden="1">{#N/A,#N/A,FALSE,"Pharm";#N/A,#N/A,FALSE,"WWCM"}</definedName>
    <definedName name="wb" localSheetId="8" hidden="1">{#N/A,#N/A,FALSE,"Pharm";#N/A,#N/A,FALSE,"WWCM"}</definedName>
    <definedName name="wb" hidden="1">{#N/A,#N/A,FALSE,"Pharm";#N/A,#N/A,FALSE,"WWCM"}</definedName>
    <definedName name="wc" localSheetId="7" hidden="1">{#N/A,#N/A,FALSE,"Pharm";#N/A,#N/A,FALSE,"WWCM"}</definedName>
    <definedName name="wc" localSheetId="8" hidden="1">{#N/A,#N/A,FALSE,"Pharm";#N/A,#N/A,FALSE,"WWCM"}</definedName>
    <definedName name="wc" hidden="1">{#N/A,#N/A,FALSE,"Pharm";#N/A,#N/A,FALSE,"WWCM"}</definedName>
    <definedName name="wcy" localSheetId="8" hidden="1">{"YD PRS",#N/A,FALSE,"YTD"}</definedName>
    <definedName name="wcy" hidden="1">{"YD PRS",#N/A,FALSE,"YTD"}</definedName>
    <definedName name="wdvkvchkvchwqcvgv" localSheetId="8" hidden="1">#REF!</definedName>
    <definedName name="wdvkvchkvchwqcvgv" hidden="1">#REF!</definedName>
    <definedName name="we" localSheetId="7" hidden="1">{#N/A,#N/A,FALSE,"Pharm";#N/A,#N/A,FALSE,"WWCM"}</definedName>
    <definedName name="we" localSheetId="8" hidden="1">{#N/A,#N/A,FALSE,"Pharm";#N/A,#N/A,FALSE,"WWCM"}</definedName>
    <definedName name="WE" hidden="1">{#N/A,#N/A,FALSE,"Pliego";#N/A,#N/A,FALSE,"Coeficientes";#N/A,#N/A,FALSE,"Cond. Diseño";#N/A,#N/A,FALSE,"Reactor Cullera";#N/A,#N/A,FALSE,"Tres fases";#N/A,#N/A,FALSE,"Dos fases";#N/A,#N/A,FALSE,"Resumen";#N/A,#N/A,FALSE,"Fosforo";#N/A,#N/A,FALSE,"Recirculacion";#N/A,#N/A,FALSE,"Exceso fango";#N/A,#N/A,FALSE,"Decantador";#N/A,#N/A,FALSE,"Desinfeccion";#N/A,#N/A,FALSE,"Recir. int."}</definedName>
    <definedName name="we.3" localSheetId="8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we.3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we.gb.gg" localSheetId="8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we.gb.gg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we3x" localSheetId="8" hidden="1">{"QTD_LPO2N2",#N/A,FALSE,"QTD"}</definedName>
    <definedName name="we3x" hidden="1">{"QTD_LPO2N2",#N/A,FALSE,"QTD"}</definedName>
    <definedName name="weaw" localSheetId="8" hidden="1">{"YTD",#N/A,FALSE,"SUM"}</definedName>
    <definedName name="weaw" hidden="1">{"YTD",#N/A,FALSE,"SUM"}</definedName>
    <definedName name="weawe" localSheetId="8" hidden="1">{"QTD_HYCO",#N/A,FALSE,"QTD"}</definedName>
    <definedName name="weawe" hidden="1">{"QTD_HYCO",#N/A,FALSE,"QTD"}</definedName>
    <definedName name="Web" localSheetId="8" hidden="1">{#N/A,#N/A,FALSE,"Inputs - Prices &amp; Forecasts"}</definedName>
    <definedName name="Web" hidden="1">{#N/A,#N/A,FALSE,"Inputs - Prices &amp; Forecasts"}</definedName>
    <definedName name="wec" localSheetId="8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wec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wecs" localSheetId="8" hidden="1">{"QTD_PRS",#N/A,FALSE,"QTD"}</definedName>
    <definedName name="wecs" hidden="1">{"QTD_PRS",#N/A,FALSE,"QTD"}</definedName>
    <definedName name="wecsd" localSheetId="8" hidden="1">{"sales growth",#N/A,FALSE,"summary";"oper income",#N/A,FALSE,"summary";"oros rank",#N/A,FALSE,"summary";"net assets",#N/A,FALSE,"summary";"asset turnover",#N/A,FALSE,"summary";"orona",#N/A,FALSE,"summary"}</definedName>
    <definedName name="wecsd" hidden="1">{"sales growth",#N/A,FALSE,"summary";"oper income",#N/A,FALSE,"summary";"oros rank",#N/A,FALSE,"summary";"net assets",#N/A,FALSE,"summary";"asset turnover",#N/A,FALSE,"summary";"orona",#N/A,FALSE,"summary"}</definedName>
    <definedName name="wed.2" localSheetId="8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wed.2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wed.3" localSheetId="8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wed.3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wed.5" localSheetId="8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wed.5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wedfwe" localSheetId="8" hidden="1">{#N/A,#N/A,TRUE,"Graficos";#N/A,#N/A,TRUE,"P.Ingresos";#N/A,#N/A,TRUE,"P.Gastos";#N/A,#N/A,TRUE,"I.Trafico";#N/A,#N/A,TRUE,"I.Peajes";#N/A,#N/A,TRUE,"G.Operativos";#N/A,#N/A,TRUE,"Cf Proyecto";#N/A,#N/A,TRUE,"C.PYG";#N/A,#N/A,TRUE,"Balance";#N/A,#N/A,TRUE,"TIR AC";#N/A,#N/A,TRUE,"Ratios";#N/A,#N/A,TRUE,"Amortizacion";#N/A,#N/A,TRUE,"FC fin";#N/A,#N/A,TRUE,"Coeficientes";#N/A,#N/A,TRUE,"Tesoreria";#N/A,#N/A,TRUE,"Prest.inv";#N/A,#N/A,TRUE,"Obligacion";#N/A,#N/A,TRUE,"Impuestos";#N/A,#N/A,TRUE,"Reservas";#N/A,#N/A,TRUE,"Inversion";#N/A,#N/A,TRUE,"P.Inversion";#N/A,#N/A,TRUE,"C.Fl Inv.";#N/A,#N/A,TRUE,"VAN Oferta"}</definedName>
    <definedName name="wedfwe" hidden="1">{#N/A,#N/A,TRUE,"Graficos";#N/A,#N/A,TRUE,"P.Ingresos";#N/A,#N/A,TRUE,"P.Gastos";#N/A,#N/A,TRUE,"I.Trafico";#N/A,#N/A,TRUE,"I.Peajes";#N/A,#N/A,TRUE,"G.Operativos";#N/A,#N/A,TRUE,"Cf Proyecto";#N/A,#N/A,TRUE,"C.PYG";#N/A,#N/A,TRUE,"Balance";#N/A,#N/A,TRUE,"TIR AC";#N/A,#N/A,TRUE,"Ratios";#N/A,#N/A,TRUE,"Amortizacion";#N/A,#N/A,TRUE,"FC fin";#N/A,#N/A,TRUE,"Coeficientes";#N/A,#N/A,TRUE,"Tesoreria";#N/A,#N/A,TRUE,"Prest.inv";#N/A,#N/A,TRUE,"Obligacion";#N/A,#N/A,TRUE,"Impuestos";#N/A,#N/A,TRUE,"Reservas";#N/A,#N/A,TRUE,"Inversion";#N/A,#N/A,TRUE,"P.Inversion";#N/A,#N/A,TRUE,"C.Fl Inv.";#N/A,#N/A,TRUE,"VAN Oferta"}</definedName>
    <definedName name="weds" localSheetId="8" hidden="1">{"overview",#N/A,FALSE,"summary";"net assets",#N/A,FALSE,"summary";"asset turnover",#N/A,FALSE,"summary";"orona",#N/A,FALSE,"summary"}</definedName>
    <definedName name="weds" hidden="1">{"overview",#N/A,FALSE,"summary";"net assets",#N/A,FALSE,"summary";"asset turnover",#N/A,FALSE,"summary";"orona",#N/A,FALSE,"summary"}</definedName>
    <definedName name="wee" localSheetId="8" hidden="1">{#N/A,#N/A,FALSE,"KA CH  (2)"}</definedName>
    <definedName name="wee" hidden="1">{#N/A,#N/A,FALSE,"KA CH  (2)"}</definedName>
    <definedName name="wee_1" localSheetId="8" hidden="1">{"VOLVSBUD",#N/A,FALSE,"VOLUMI";"NETVSBUD",#N/A,FALSE,"NET";"PTAXVSBUD",#N/A,FALSE,"PTAX"}</definedName>
    <definedName name="wee_1" hidden="1">{"VOLVSBUD",#N/A,FALSE,"VOLUMI";"NETVSBUD",#N/A,FALSE,"NET";"PTAXVSBUD",#N/A,FALSE,"PTAX"}</definedName>
    <definedName name="weeeeeeeeeeeeeeeeeeeeee" localSheetId="8" hidden="1">{#N/A,#N/A,FALSE,"Assessment";#N/A,#N/A,FALSE,"Staffing";#N/A,#N/A,FALSE,"Hires";#N/A,#N/A,FALSE,"Assumptions"}</definedName>
    <definedName name="weeeeeeeeeeeeeeeeeeeeee" hidden="1">{#N/A,#N/A,FALSE,"Assessment";#N/A,#N/A,FALSE,"Staffing";#N/A,#N/A,FALSE,"Hires";#N/A,#N/A,FALSE,"Assumptions"}</definedName>
    <definedName name="wef" localSheetId="8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f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f_1" localSheetId="8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f_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fd" localSheetId="8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d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d_1" localSheetId="8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d_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sdfasdf" localSheetId="8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efsdfasdf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efsdfasdf_1" localSheetId="8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efsdfasdf_1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eix" localSheetId="8" hidden="1">{"Comp_of_Price_Effect",#N/A,FALSE,"QTRDPVAR"}</definedName>
    <definedName name="weix" hidden="1">{"Comp_of_Price_Effect",#N/A,FALSE,"QTRDPVAR"}</definedName>
    <definedName name="wen.gb._hm." localSheetId="8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wen.gb._hm.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weop" localSheetId="8" hidden="1">{"oct_res_comm",#N/A,FALSE,"VarToBud"}</definedName>
    <definedName name="weop" hidden="1">{"oct_res_comm",#N/A,FALSE,"VarToBud"}</definedName>
    <definedName name="wer" localSheetId="8" hidden="1">{"Ergebnisbericht_UBA",#N/A,FALSE,"MB"}</definedName>
    <definedName name="wer" hidden="1">{"Ergebnisbericht_UBA",#N/A,FALSE,"MB"}</definedName>
    <definedName name="wer.g" localSheetId="8" hidden="1">{#N/A,#N/A,FALSE,"KA CH  (2)"}</definedName>
    <definedName name="wer.g" hidden="1">{#N/A,#N/A,FALSE,"KA CH  (2)"}</definedName>
    <definedName name="wer_1" localSheetId="8" hidden="1">{"Ergebnisbericht_UBA",#N/A,FALSE,"MB"}</definedName>
    <definedName name="wer_1" hidden="1">{"Ergebnisbericht_UBA",#N/A,FALSE,"MB"}</definedName>
    <definedName name="werewrew" hidden="1">{#N/A,#N/A,FALSE,"Acum Julio - 00"}</definedName>
    <definedName name="werewrewrewrew" localSheetId="8" hidden="1">{#N/A,#N/A,FALSE,"CSSWITH";#N/A,#N/A,FALSE,"USCSSWITH";#N/A,#N/A,FALSE,"INTLWITH";#N/A,#N/A,FALSE,"WNP TOTAL";#N/A,#N/A,FALSE,"US WNP";#N/A,#N/A,FALSE,"EMEA WNP";#N/A,#N/A,FALSE,"ROW WNP";#N/A,#N/A,FALSE,"US LANMGMT"}</definedName>
    <definedName name="werewrewrewrew" hidden="1">{#N/A,#N/A,FALSE,"CSSWITH";#N/A,#N/A,FALSE,"USCSSWITH";#N/A,#N/A,FALSE,"INTLWITH";#N/A,#N/A,FALSE,"WNP TOTAL";#N/A,#N/A,FALSE,"US WNP";#N/A,#N/A,FALSE,"EMEA WNP";#N/A,#N/A,FALSE,"ROW WNP";#N/A,#N/A,FALSE,"US LANMGMT"}</definedName>
    <definedName name="wereww" localSheetId="8" hidden="1">{#N/A,#N/A,FALSE,"USCSS ROLLUP";#N/A,#N/A,FALSE,"USCS";#N/A,#N/A,FALSE,"TARGET";#N/A,#N/A,FALSE,"MICROSOFT";#N/A,#N/A,FALSE,"AT&amp;T";#N/A,#N/A,FALSE,"ALT CHANNELS";#N/A,#N/A,FALSE,"USCS HQ"}</definedName>
    <definedName name="wereww" hidden="1">{#N/A,#N/A,FALSE,"USCSS ROLLUP";#N/A,#N/A,FALSE,"USCS";#N/A,#N/A,FALSE,"TARGET";#N/A,#N/A,FALSE,"MICROSOFT";#N/A,#N/A,FALSE,"AT&amp;T";#N/A,#N/A,FALSE,"ALT CHANNELS";#N/A,#N/A,FALSE,"USCS HQ"}</definedName>
    <definedName name="werq23" localSheetId="8" hidden="1">{#N/A,#N/A,FALSE,"USCSS ROLLUP";#N/A,#N/A,FALSE,"USCS";#N/A,#N/A,FALSE,"TARGET";#N/A,#N/A,FALSE,"MICROSOFT";#N/A,#N/A,FALSE,"AT&amp;T";#N/A,#N/A,FALSE,"ALT CHANNELS";#N/A,#N/A,FALSE,"USCS HQ"}</definedName>
    <definedName name="werq23" hidden="1">{#N/A,#N/A,FALSE,"USCSS ROLLUP";#N/A,#N/A,FALSE,"USCS";#N/A,#N/A,FALSE,"TARGET";#N/A,#N/A,FALSE,"MICROSOFT";#N/A,#N/A,FALSE,"AT&amp;T";#N/A,#N/A,FALSE,"ALT CHANNELS";#N/A,#N/A,FALSE,"USCS HQ"}</definedName>
    <definedName name="werrr" localSheetId="7" hidden="1">{#N/A,#N/A,FALSE,"Pharm";#N/A,#N/A,FALSE,"WWCM"}</definedName>
    <definedName name="werrr" localSheetId="8" hidden="1">{#N/A,#N/A,FALSE,"Pharm";#N/A,#N/A,FALSE,"WWCM"}</definedName>
    <definedName name="werrr" hidden="1">{#N/A,#N/A,FALSE,"Pharm";#N/A,#N/A,FALSE,"WWCM"}</definedName>
    <definedName name="wert" localSheetId="8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ert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erweererw" localSheetId="8" hidden="1">{#N/A,#N/A,FALSE,"CSS";#N/A,#N/A,FALSE,"USCSS ROLLUP";#N/A,#N/A,FALSE,"INT'L ROLLUP";#N/A,#N/A,FALSE,"CSS HQ";#N/A,#N/A,FALSE,"USCS";#N/A,#N/A,FALSE,"TARGET";#N/A,#N/A,FALSE,"MICROSOFT";#N/A,#N/A,FALSE,"AT&amp;T";#N/A,#N/A,FALSE,"ALT CHANNELS";#N/A,#N/A,FALSE,"USCS HQ";#N/A,#N/A,FALSE,"INTL MGMT";#N/A,#N/A,FALSE,"EMEA";#N/A,#N/A,FALSE,"ASIA PACIFIC";#N/A,#N/A,FALSE,"LATIN AMERICA";#N/A,#N/A,FALSE,"CANADA"}</definedName>
    <definedName name="werweererw" hidden="1">{#N/A,#N/A,FALSE,"CSS";#N/A,#N/A,FALSE,"USCSS ROLLUP";#N/A,#N/A,FALSE,"INT'L ROLLUP";#N/A,#N/A,FALSE,"CSS HQ";#N/A,#N/A,FALSE,"USCS";#N/A,#N/A,FALSE,"TARGET";#N/A,#N/A,FALSE,"MICROSOFT";#N/A,#N/A,FALSE,"AT&amp;T";#N/A,#N/A,FALSE,"ALT CHANNELS";#N/A,#N/A,FALSE,"USCS HQ";#N/A,#N/A,FALSE,"INTL MGMT";#N/A,#N/A,FALSE,"EMEA";#N/A,#N/A,FALSE,"ASIA PACIFIC";#N/A,#N/A,FALSE,"LATIN AMERICA";#N/A,#N/A,FALSE,"CANADA"}</definedName>
    <definedName name="werwer" localSheetId="8" hidden="1">{#N/A,#N/A,FALSE,"CSSWITH";#N/A,#N/A,FALSE,"USCSSWITH";#N/A,#N/A,FALSE,"INTLWITH";#N/A,#N/A,FALSE,"WNP TOTAL";#N/A,#N/A,FALSE,"US WNP";#N/A,#N/A,FALSE,"EMEA WNP";#N/A,#N/A,FALSE,"ROW WNP";#N/A,#N/A,FALSE,"US LANMGMT"}</definedName>
    <definedName name="werwer" hidden="1">{#N/A,#N/A,FALSE,"CSSWITH";#N/A,#N/A,FALSE,"USCSSWITH";#N/A,#N/A,FALSE,"INTLWITH";#N/A,#N/A,FALSE,"WNP TOTAL";#N/A,#N/A,FALSE,"US WNP";#N/A,#N/A,FALSE,"EMEA WNP";#N/A,#N/A,FALSE,"ROW WNP";#N/A,#N/A,FALSE,"US LANMGMT"}</definedName>
    <definedName name="wetzjuw" localSheetId="8" hidden="1">{"Ergebnisbericht_UBA",#N/A,FALSE,"MB"}</definedName>
    <definedName name="wetzjuw" hidden="1">{"Ergebnisbericht_UBA",#N/A,FALSE,"MB"}</definedName>
    <definedName name="wetzjuw_1" localSheetId="8" hidden="1">{"Ergebnisbericht_UBA",#N/A,FALSE,"MB"}</definedName>
    <definedName name="wetzjuw_1" hidden="1">{"Ergebnisbericht_UBA",#N/A,FALSE,"MB"}</definedName>
    <definedName name="weurhg" localSheetId="8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weurh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wew" localSheetId="8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wew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wewe" localSheetId="8" hidden="1">{"LOUISIANA",#N/A,FALSE,"CM"}</definedName>
    <definedName name="wewe" hidden="1">{"LOUISIANA",#N/A,FALSE,"CM"}</definedName>
    <definedName name="wewe_1" localSheetId="8" hidden="1">{#N/A,#N/A,FALSE,"MONTHDET";#N/A,#N/A,FALSE,"ACTUAL"}</definedName>
    <definedName name="wewe_1" hidden="1">{#N/A,#N/A,FALSE,"MONTHDET";#N/A,#N/A,FALSE,"ACTUAL"}</definedName>
    <definedName name="wewererwrwewe" localSheetId="8" hidden="1">{#N/A,#N/A,FALSE,"CSS";#N/A,#N/A,FALSE,"CSS HQ";#N/A,#N/A,FALSE,"USCSS ROLLUP";#N/A,#N/A,FALSE,"INT'L ROLLUP";#N/A,#N/A,FALSE,"352-XXX";#N/A,#N/A,FALSE,"353-XXX";#N/A,#N/A,FALSE,"INTL MGMT";#N/A,#N/A,FALSE,"EMEA";#N/A,#N/A,FALSE,"ASIA PACIFIC";#N/A,#N/A,FALSE,"LATIN AMERICA";#N/A,#N/A,FALSE,"CANADA"}</definedName>
    <definedName name="wewererwrwewe" hidden="1">{#N/A,#N/A,FALSE,"CSS";#N/A,#N/A,FALSE,"CSS HQ";#N/A,#N/A,FALSE,"USCSS ROLLUP";#N/A,#N/A,FALSE,"INT'L ROLLUP";#N/A,#N/A,FALSE,"352-XXX";#N/A,#N/A,FALSE,"353-XXX";#N/A,#N/A,FALSE,"INTL MGMT";#N/A,#N/A,FALSE,"EMEA";#N/A,#N/A,FALSE,"ASIA PACIFIC";#N/A,#N/A,FALSE,"LATIN AMERICA";#N/A,#N/A,FALSE,"CANADA"}</definedName>
    <definedName name="wewew" localSheetId="8" hidden="1">{#N/A,#N/A,FALSE,"pl_cons";#N/A,#N/A,FALSE,"pl_grup";#N/A,#N/A,FALSE,"pl_umpl";#N/A,#N/A,FALSE,"pl_bim";#N/A,#N/A,FALSE,"pl_bdb";#N/A,#N/A,FALSE,"pl_mq32";#N/A,#N/A,FALSE,"pl_bsrl"}</definedName>
    <definedName name="wewew" hidden="1">{#N/A,#N/A,FALSE,"pl_cons";#N/A,#N/A,FALSE,"pl_grup";#N/A,#N/A,FALSE,"pl_umpl";#N/A,#N/A,FALSE,"pl_bim";#N/A,#N/A,FALSE,"pl_bdb";#N/A,#N/A,FALSE,"pl_mq32";#N/A,#N/A,FALSE,"pl_bsrl"}</definedName>
    <definedName name="wewew_1" localSheetId="8" hidden="1">{#N/A,#N/A,FALSE,"pl_cons";#N/A,#N/A,FALSE,"pl_grup";#N/A,#N/A,FALSE,"pl_umpl";#N/A,#N/A,FALSE,"pl_bim";#N/A,#N/A,FALSE,"pl_bdb";#N/A,#N/A,FALSE,"pl_mq32";#N/A,#N/A,FALSE,"pl_bsrl"}</definedName>
    <definedName name="wewew_1" hidden="1">{#N/A,#N/A,FALSE,"pl_cons";#N/A,#N/A,FALSE,"pl_grup";#N/A,#N/A,FALSE,"pl_umpl";#N/A,#N/A,FALSE,"pl_bim";#N/A,#N/A,FALSE,"pl_bdb";#N/A,#N/A,FALSE,"pl_mq32";#N/A,#N/A,FALSE,"pl_bsrl"}</definedName>
    <definedName name="wews" localSheetId="8" hidden="1">{"pro_view",#N/A,FALSE,"EEFSNAP2";"rep_view",#N/A,FALSE,"EEFSNAP2"}</definedName>
    <definedName name="wews" hidden="1">{"pro_view",#N/A,FALSE,"EEFSNAP2";"rep_view",#N/A,FALSE,"EEFSNAP2"}</definedName>
    <definedName name="weza" localSheetId="8" hidden="1">{"QTD_PACKAGE",#N/A,FALSE,"QTD"}</definedName>
    <definedName name="weza" hidden="1">{"QTD_PACKAGE",#N/A,FALSE,"QTD"}</definedName>
    <definedName name="weze" localSheetId="8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eze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ezf" localSheetId="8" hidden="1">{"YD PACKAGE",#N/A,FALSE,"YTD"}</definedName>
    <definedName name="wezf" hidden="1">{"YD PACKAGE",#N/A,FALSE,"YTD"}</definedName>
    <definedName name="wfeab" localSheetId="8" hidden="1">{"werbung",#N/A,FALSE,"GuV9900-0399";"betrieb",#N/A,FALSE,"GuV9900-0399";"personal",#N/A,FALSE,"GuV9900-0399";"tvg",#N/A,FALSE,"GuV9900-0399";"verwaltung",#N/A,FALSE,"GuV9900-0399"}</definedName>
    <definedName name="wfeab" hidden="1">{"werbung",#N/A,FALSE,"GuV9900-0399";"betrieb",#N/A,FALSE,"GuV9900-0399";"personal",#N/A,FALSE,"GuV9900-0399";"tvg",#N/A,FALSE,"GuV9900-0399";"verwaltung",#N/A,FALSE,"GuV9900-0399"}</definedName>
    <definedName name="wfeab_1" localSheetId="8" hidden="1">{"werbung",#N/A,FALSE,"GuV9900-0399";"betrieb",#N/A,FALSE,"GuV9900-0399";"personal",#N/A,FALSE,"GuV9900-0399";"tvg",#N/A,FALSE,"GuV9900-0399";"verwaltung",#N/A,FALSE,"GuV9900-0399"}</definedName>
    <definedName name="wfeab_1" hidden="1">{"werbung",#N/A,FALSE,"GuV9900-0399";"betrieb",#N/A,FALSE,"GuV9900-0399";"personal",#N/A,FALSE,"GuV9900-0399";"tvg",#N/A,FALSE,"GuV9900-0399";"verwaltung",#N/A,FALSE,"GuV9900-0399"}</definedName>
    <definedName name="WFT" localSheetId="8" hidden="1">{"Area1",#N/A,FALSE,"OREWACC";"Area2",#N/A,FALSE,"OREWACC"}</definedName>
    <definedName name="WFT" hidden="1">{"Area1",#N/A,FALSE,"OREWACC";"Area2",#N/A,FALSE,"OREWACC"}</definedName>
    <definedName name="wfwf" localSheetId="8" hidden="1">{#N/A,#N/A,FALSE,"Full";#N/A,#N/A,FALSE,"Half";#N/A,#N/A,FALSE,"Op Expenses";#N/A,#N/A,FALSE,"Cap Charge";#N/A,#N/A,FALSE,"Cost C";#N/A,#N/A,FALSE,"PP&amp;E";#N/A,#N/A,FALSE,"R&amp;D"}</definedName>
    <definedName name="wfwf" hidden="1">{#N/A,#N/A,FALSE,"Full";#N/A,#N/A,FALSE,"Half";#N/A,#N/A,FALSE,"Op Expenses";#N/A,#N/A,FALSE,"Cap Charge";#N/A,#N/A,FALSE,"Cost C";#N/A,#N/A,FALSE,"PP&amp;E";#N/A,#N/A,FALSE,"R&amp;D"}</definedName>
    <definedName name="whatever" localSheetId="8" hidden="1">{#N/A,#N/A,FALSE,"CHANGES";#N/A,#N/A,FALSE,"PROD SUMMARY";#N/A,#N/A,FALSE,"1995 PO SUM";#N/A,#N/A,FALSE,"1995 GEOG SUM";#N/A,#N/A,FALSE,"1996 PO SUM";#N/A,#N/A,FALSE,"1996 GEOG SUM"}</definedName>
    <definedName name="whatever" hidden="1">{#N/A,#N/A,FALSE,"CHANGES";#N/A,#N/A,FALSE,"PROD SUMMARY";#N/A,#N/A,FALSE,"1995 PO SUM";#N/A,#N/A,FALSE,"1995 GEOG SUM";#N/A,#N/A,FALSE,"1996 PO SUM";#N/A,#N/A,FALSE,"1996 GEOG SUM"}</definedName>
    <definedName name="whge" localSheetId="8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whge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WIEDJSH" localSheetId="8" hidden="1">{#N/A,#N/A,FALSE,"Min compa cad";#N/A,#N/A,FALSE,"Min CAN Equité ";#N/A,#N/A,FALSE,"Analyse can"}</definedName>
    <definedName name="WIEDJSH" hidden="1">{#N/A,#N/A,FALSE,"Min compa cad";#N/A,#N/A,FALSE,"Min CAN Equité ";#N/A,#N/A,FALSE,"Analyse can"}</definedName>
    <definedName name="WIEUR" localSheetId="8" hidden="1">{#N/A,#N/A,FALSE,"Min compar us";#N/A,#N/A,FALSE,"Min US Equité ";#N/A,#N/A,FALSE,"Analyse U.S."}</definedName>
    <definedName name="WIEUR" hidden="1">{#N/A,#N/A,FALSE,"Min compar us";#N/A,#N/A,FALSE,"Min US Equité ";#N/A,#N/A,FALSE,"Analyse U.S."}</definedName>
    <definedName name="wireless2" localSheetId="8" hidden="1">{"'100'!$A$1:$M$83"}</definedName>
    <definedName name="wireless2" hidden="1">{"'100'!$A$1:$M$83"}</definedName>
    <definedName name="wirevbg" localSheetId="8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wirevb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Wj" localSheetId="8" hidden="1">{"WORK IN PROCESS",#N/A,FALSE,"COGS"}</definedName>
    <definedName name="Wj" hidden="1">{"WORK IN PROCESS",#N/A,FALSE,"COGS"}</definedName>
    <definedName name="wkrp" localSheetId="8" hidden="1">{"Area1",#N/A,FALSE,"OREWACC";"Area2",#N/A,FALSE,"OREWACC"}</definedName>
    <definedName name="wkrp" hidden="1">{"Area1",#N/A,FALSE,"OREWACC";"Area2",#N/A,FALSE,"OREWACC"}</definedName>
    <definedName name="wmiwmi" localSheetId="8" hidden="1">{#N/A,#N/A,FALSE,"£ P&amp;L";#N/A,#N/A,FALSE,"£ BS";#N/A,#N/A,FALSE,"£ CF"}</definedName>
    <definedName name="wmiwmi" hidden="1">{#N/A,#N/A,FALSE,"£ P&amp;L";#N/A,#N/A,FALSE,"£ BS";#N/A,#N/A,FALSE,"£ CF"}</definedName>
    <definedName name="woi" localSheetId="8" hidden="1">{"detail",#N/A,FALSE,"mfg";"summary",#N/A,FALSE,"mfg"}</definedName>
    <definedName name="woi" hidden="1">{"detail",#N/A,FALSE,"mfg";"summary",#N/A,FALSE,"mfg"}</definedName>
    <definedName name="womxien" localSheetId="8" hidden="1">{"detail",#N/A,FALSE,"mfg";"summary",#N/A,FALSE,"mfg"}</definedName>
    <definedName name="womxien" hidden="1">{"detail",#N/A,FALSE,"mfg";"summary",#N/A,FALSE,"mfg"}</definedName>
    <definedName name="Woods" hidden="1">#REF!</definedName>
    <definedName name="woq4hg" localSheetId="8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woq4h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Work_Country" hidden="1">#REF!</definedName>
    <definedName name="Workforce2" hidden="1">{"assumptions1",#N/A,FALSE,"Valuation Analysis";"assumptions2",#N/A,FALSE,"Valuation Analysis"}</definedName>
    <definedName name="working" localSheetId="7" hidden="1">{#N/A,#N/A,FALSE,"REPORT"}</definedName>
    <definedName name="working" localSheetId="8" hidden="1">{#N/A,#N/A,FALSE,"REPORT"}</definedName>
    <definedName name="working" hidden="1">{#N/A,#N/A,FALSE,"REPORT"}</definedName>
    <definedName name="wp" localSheetId="8" hidden="1">{#N/A,#N/A,FALSE,"Amortization Table"}</definedName>
    <definedName name="wp" hidden="1">{#N/A,#N/A,FALSE,"Amortization Table"}</definedName>
    <definedName name="wq" localSheetId="8" hidden="1">{"PRS",#N/A,FALSE,"CM"}</definedName>
    <definedName name="wq" hidden="1">{"PRS",#N/A,FALSE,"CM"}</definedName>
    <definedName name="wqa" localSheetId="8" hidden="1">{#N/A,"PURCHM",FALSE,"Business Analysis";#N/A,"SPADD",FALSE,"Business Analysis"}</definedName>
    <definedName name="wqa" hidden="1">{#N/A,"PURCHM",FALSE,"Business Analysis";#N/A,"SPADD",FALSE,"Business Analysis"}</definedName>
    <definedName name="wqc" localSheetId="8" hidden="1">{"ACT",#N/A,FALSE,"Q3Elec P&amp;L fy 99  ";"BUD",#N/A,FALSE,"Q3Elec P&amp;L fy 99  ";"PRIOR",#N/A,FALSE,"Q3Elec P&amp;L fy 99  "}</definedName>
    <definedName name="wqc" hidden="1">{"ACT",#N/A,FALSE,"Q3Elec P&amp;L fy 99  ";"BUD",#N/A,FALSE,"Q3Elec P&amp;L fy 99  ";"PRIOR",#N/A,FALSE,"Q3Elec P&amp;L fy 99  "}</definedName>
    <definedName name="wqd" localSheetId="8" hidden="1">{"OTHER",#N/A,FALSE,"CM"}</definedName>
    <definedName name="wqd" hidden="1">{"OTHER",#N/A,FALSE,"CM"}</definedName>
    <definedName name="wqdwlae" localSheetId="8" hidden="1">{"Res_010",#N/A,FALSE,"Res_010";"sum1",#N/A,FALSE,"Res_010"}</definedName>
    <definedName name="wqdwlae" hidden="1">{"Res_010",#N/A,FALSE,"Res_010";"sum1",#N/A,FALSE,"Res_010"}</definedName>
    <definedName name="wqeq" localSheetId="8" hidden="1">{"Commentary",#N/A,FALSE,"May"}</definedName>
    <definedName name="wqeq" hidden="1">{"Commentary",#N/A,FALSE,"May"}</definedName>
    <definedName name="wqer" localSheetId="8" hidden="1">{"TXO2N2_SLS",#N/A,FALSE,"MTHLYSLES";"TXH2_SLS",#N/A,FALSE,"MTHLYSLES";"LOUIS_SLS",#N/A,FALSE,"MTHLYSLES";"H2_SLS",#N/A,FALSE,"MTHLYSLES";"O2N2_SLS",#N/A,FALSE,"MTHLYSLES";"PACKAGE_SLS",#N/A,FALSE,"MTHLYSLES"}</definedName>
    <definedName name="wqer" hidden="1">{"TXO2N2_SLS",#N/A,FALSE,"MTHLYSLES";"TXH2_SLS",#N/A,FALSE,"MTHLYSLES";"LOUIS_SLS",#N/A,FALSE,"MTHLYSLES";"H2_SLS",#N/A,FALSE,"MTHLYSLES";"O2N2_SLS",#N/A,FALSE,"MTHLYSLES";"PACKAGE_SLS",#N/A,FALSE,"MTHLYSLES"}</definedName>
    <definedName name="wqewq" localSheetId="8" hidden="1">{"MAJCore",#N/A,FALSE,"MAJ";"BISCore",#N/A,FALSE,"BIS";"SMECore",#N/A,FALSE,"SME";"SMMCore",#N/A,FALSE,"SMM";"SMPCore",#N/A,FALSE,"SMP";"SMCCore",#N/A,FALSE,"SMC";"SMRCore",#N/A,FALSE,"SMR";"CNSCore",#N/A,FALSE,"CNS";"REGCore",#N/A,FALSE,"REG"}</definedName>
    <definedName name="wqewq" hidden="1">{"MAJCore",#N/A,FALSE,"MAJ";"BISCore",#N/A,FALSE,"BIS";"SMECore",#N/A,FALSE,"SME";"SMMCore",#N/A,FALSE,"SMM";"SMPCore",#N/A,FALSE,"SMP";"SMCCore",#N/A,FALSE,"SMC";"SMRCore",#N/A,FALSE,"SMR";"CNSCore",#N/A,FALSE,"CNS";"REGCore",#N/A,FALSE,"REG"}</definedName>
    <definedName name="WQR" localSheetId="8" hidden="1">{#N/A,#N/A,FALSE,"Aging Summary";#N/A,#N/A,FALSE,"Ratio Analysis";#N/A,#N/A,FALSE,"Test 120 Day Accts";#N/A,#N/A,FALSE,"Tickmarks"}</definedName>
    <definedName name="WQR" hidden="1">{#N/A,#N/A,FALSE,"Aging Summary";#N/A,#N/A,FALSE,"Ratio Analysis";#N/A,#N/A,FALSE,"Test 120 Day Accts";#N/A,#N/A,FALSE,"Tickmarks"}</definedName>
    <definedName name="WQR_1" localSheetId="8" hidden="1">{#N/A,#N/A,FALSE,"Aging Summary";#N/A,#N/A,FALSE,"Ratio Analysis";#N/A,#N/A,FALSE,"Test 120 Day Accts";#N/A,#N/A,FALSE,"Tickmarks"}</definedName>
    <definedName name="WQR_1" hidden="1">{#N/A,#N/A,FALSE,"Aging Summary";#N/A,#N/A,FALSE,"Ratio Analysis";#N/A,#N/A,FALSE,"Test 120 Day Accts";#N/A,#N/A,FALSE,"Tickmarks"}</definedName>
    <definedName name="wqwq" localSheetId="8" hidden="1">{"BA detail",#N/A,FALSE,"Q3YTD "}</definedName>
    <definedName name="wqwq" hidden="1">{"BA detail",#N/A,FALSE,"Q3YTD "}</definedName>
    <definedName name="wqx" localSheetId="8" hidden="1">{"Comp_of_Price_Effect",#N/A,FALSE,"QTRDPVAR"}</definedName>
    <definedName name="wqx" hidden="1">{"Comp_of_Price_Effect",#N/A,FALSE,"QTRDPVAR"}</definedName>
    <definedName name="wr" localSheetId="8" hidden="1">{"'100'!$A$1:$M$83"}</definedName>
    <definedName name="wr" hidden="1">{"'100'!$A$1:$M$83"}</definedName>
    <definedName name="wr34ar" localSheetId="8" hidden="1">{"QTD_LOUISIANA",#N/A,FALSE,"QTD"}</definedName>
    <definedName name="wr34ar" hidden="1">{"QTD_LOUISIANA",#N/A,FALSE,"QTD"}</definedName>
    <definedName name="wradw" localSheetId="8" hidden="1">{"YD LAPO2",#N/A,FALSE,"YTD";"YD LPH2",#N/A,FALSE,"YTD";"YD LOUISIANA",#N/A,FALSE,"YTD";"YD GENERALH2",#N/A,FALSE,"YTD";"YD PRS",#N/A,FALSE,"YTD";"YD PACKAGE",#N/A,FALSE,"YTD";"YD OTHER",#N/A,FALSE,"YTD"}</definedName>
    <definedName name="wradw" hidden="1">{"YD LAPO2",#N/A,FALSE,"YTD";"YD LPH2",#N/A,FALSE,"YTD";"YD LOUISIANA",#N/A,FALSE,"YTD";"YD GENERALH2",#N/A,FALSE,"YTD";"YD PRS",#N/A,FALSE,"YTD";"YD PACKAGE",#N/A,FALSE,"YTD";"YD OTHER",#N/A,FALSE,"YTD"}</definedName>
    <definedName name="wrc" localSheetId="8" hidden="1">{#N/A,#N/A,FALSE,"TECH CENTRE RXDU66";#N/A,#N/A,FALSE,"ASU VAAX66";#N/A,#N/A,FALSE,"TCM VAKX66"}</definedName>
    <definedName name="wrc" hidden="1">{#N/A,#N/A,FALSE,"TECH CENTRE RXDU66";#N/A,#N/A,FALSE,"ASU VAAX66";#N/A,#N/A,FALSE,"TCM VAKX66"}</definedName>
    <definedName name="wrd.2._.pagers.3" localSheetId="8" hidden="1">{"Cover",#N/A,FALSE,"Cover";"Summary",#N/A,FALSE,"Summarpage"}</definedName>
    <definedName name="wrd.2._.pagers.3" hidden="1">{"Cover",#N/A,FALSE,"Cover";"Summary",#N/A,FALSE,"Summarpage"}</definedName>
    <definedName name="wrectgfw4retg" localSheetId="8" hidden="1">{#N/A,#N/A,FALSE,"cover";#N/A,#N/A,FALSE,"Content ";#N/A,#N/A,FALSE,"E&amp;C Op Stat";#N/A,#N/A,FALSE,"Telcos Op Stat";#N/A,#N/A,FALSE,"Media Op Stat";#N/A,#N/A,FALSE,"Oil Op Stat";#N/A,#N/A,FALSE,"Utilities Op Stat";#N/A,#N/A,FALSE,"E&amp;C Ord An";#N/A,#N/A,FALSE,"E&amp;C Debt Nar";#N/A,#N/A,FALSE,"E&amp;C Debtors";#N/A,#N/A,FALSE,"E&amp;C CO Debt";#N/A,#N/A,FALSE,"Telcos Presales";#N/A,#N/A,FALSE,"Oil Presales";#N/A,#N/A,FALSE,"Utilities Presales"}</definedName>
    <definedName name="wrectgfw4retg" hidden="1">{#N/A,#N/A,FALSE,"cover";#N/A,#N/A,FALSE,"Content ";#N/A,#N/A,FALSE,"E&amp;C Op Stat";#N/A,#N/A,FALSE,"Telcos Op Stat";#N/A,#N/A,FALSE,"Media Op Stat";#N/A,#N/A,FALSE,"Oil Op Stat";#N/A,#N/A,FALSE,"Utilities Op Stat";#N/A,#N/A,FALSE,"E&amp;C Ord An";#N/A,#N/A,FALSE,"E&amp;C Debt Nar";#N/A,#N/A,FALSE,"E&amp;C Debtors";#N/A,#N/A,FALSE,"E&amp;C CO Debt";#N/A,#N/A,FALSE,"Telcos Presales";#N/A,#N/A,FALSE,"Oil Presales";#N/A,#N/A,FALSE,"Utilities Presales"}</definedName>
    <definedName name="wrewrw" localSheetId="8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wrewrw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wrf" localSheetId="8" hidden="1">{#N/A,"PURCHM",FALSE,"Business Analysis";#N/A,"SPADD",FALSE,"Business Analysis"}</definedName>
    <definedName name="wrf" hidden="1">{#N/A,"PURCHM",FALSE,"Business Analysis";#N/A,"SPADD",FALSE,"Business Analysis"}</definedName>
    <definedName name="wrg" localSheetId="8" hidden="1">{"'100'!$A$1:$M$83"}</definedName>
    <definedName name="wrg" hidden="1">{"'100'!$A$1:$M$83"}</definedName>
    <definedName name="wrm." localSheetId="8" hidden="1">{#N/A,#N/A,FALSE,"PF c0";#N/A,#N/A,FALSE,"Bal SMM";#N/A,#N/A,FALSE,"Inv TE Smm";#N/A,#N/A,FALSE,"Inv Div. Terr.";#N/A,#N/A,FALSE,"Rec TE Smm";#N/A,#N/A,FALSE,"Rec Div. Terr.";#N/A,#N/A,FALSE,"Result. Acum.";#N/A,#N/A,FALSE,"Gráfico BAI";#N/A,#N/A,FALSE,"Result. Acum. ATM";#N/A,#N/A,FALSE,"tipos";#N/A,#N/A,FALSE,"Efectos";#N/A,#N/A,FALSE,"Gr Efectos";#N/A,#N/A,FALSE,"Gastos Personal";#N/A,#N/A,FALSE,"O.G.Adm. Subdirecc."}</definedName>
    <definedName name="wrm." hidden="1">{#N/A,#N/A,FALSE,"PF c0";#N/A,#N/A,FALSE,"Bal SMM";#N/A,#N/A,FALSE,"Inv TE Smm";#N/A,#N/A,FALSE,"Inv Div. Terr.";#N/A,#N/A,FALSE,"Rec TE Smm";#N/A,#N/A,FALSE,"Rec Div. Terr.";#N/A,#N/A,FALSE,"Result. Acum.";#N/A,#N/A,FALSE,"Gráfico BAI";#N/A,#N/A,FALSE,"Result. Acum. ATM";#N/A,#N/A,FALSE,"tipos";#N/A,#N/A,FALSE,"Efectos";#N/A,#N/A,FALSE,"Gr Efectos";#N/A,#N/A,FALSE,"Gastos Personal";#N/A,#N/A,FALSE,"O.G.Adm. Subdirecc."}</definedName>
    <definedName name="wrm.pucspaddq2" localSheetId="8" hidden="1">{#N/A,"PURCHM",FALSE,"Business Analysis";#N/A,"SPADD",FALSE,"Business Analysis"}</definedName>
    <definedName name="wrm.pucspaddq2" hidden="1">{#N/A,"PURCHM",FALSE,"Business Analysis";#N/A,"SPADD",FALSE,"Business Analysis"}</definedName>
    <definedName name="wrn" localSheetId="8" hidden="1">{"cap_structure",#N/A,FALSE,"Graph-Mkt Cap";"price",#N/A,FALSE,"Graph-Price";"ebit",#N/A,FALSE,"Graph-EBITDA";"ebitda",#N/A,FALSE,"Graph-EBITDA"}</definedName>
    <definedName name="wrn" hidden="1">{#N/A,#N/A,FALSE,"DCF Summary";#N/A,#N/A,FALSE,"Casema";#N/A,#N/A,FALSE,"Casema NoTel";#N/A,#N/A,FALSE,"UK";#N/A,#N/A,FALSE,"RCF";#N/A,#N/A,FALSE,"Intercable CZ";#N/A,#N/A,FALSE,"Interkabel P"}</definedName>
    <definedName name="wrn." localSheetId="8" hidden="1">{#N/A,#N/A,FALSE,"SUMMARY";"BASIS",#N/A,FALSE,"BASIS";"PRICES",#N/A,FALSE,"PRICES";"YIELD",#N/A,FALSE,"YIELD";"INCOME",#N/A,FALSE,"ECONOMIC";"DCF",#N/A,FALSE,"DCF"}</definedName>
    <definedName name="wrn." hidden="1">{#N/A,#N/A,FALSE,"SUMMARY";"BASIS",#N/A,FALSE,"BASIS";"PRICES",#N/A,FALSE,"PRICES";"YIELD",#N/A,FALSE,"YIELD";"INCOME",#N/A,FALSE,"ECONOMIC";"DCF",#N/A,FALSE,"DCF"}</definedName>
    <definedName name="wrn._taxl._Worksheets." localSheetId="8" hidden="1">{#N/A,#N/A,FALSE,"Federal";#N/A,#N/A,FALSE,"NYS";#N/A,#N/A,FALSE,"NYC"}</definedName>
    <definedName name="wrn._taxl._Worksheets." hidden="1">{#N/A,#N/A,FALSE,"Federal";#N/A,#N/A,FALSE,"NYS";#N/A,#N/A,FALSE,"NYC"}</definedName>
    <definedName name="wrn._taxl._Worksheets._1" localSheetId="8" hidden="1">{#N/A,#N/A,FALSE,"Federal";#N/A,#N/A,FALSE,"NYS";#N/A,#N/A,FALSE,"NYC"}</definedName>
    <definedName name="wrn._taxl._Worksheets._1" hidden="1">{#N/A,#N/A,FALSE,"Federal";#N/A,#N/A,FALSE,"NYS";#N/A,#N/A,FALSE,"NYC"}</definedName>
    <definedName name="wrn.1" localSheetId="8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rn.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rn.1." localSheetId="8" hidden="1">{#N/A,#N/A,FALSE,"Calc";#N/A,#N/A,FALSE,"Sensitivity";#N/A,#N/A,FALSE,"LT Earn.Dil.";#N/A,#N/A,FALSE,"Dil. AVP"}</definedName>
    <definedName name="wrn.1." hidden="1">{#N/A,#N/A,FALSE,"Calc";#N/A,#N/A,FALSE,"Sensitivity";#N/A,#N/A,FALSE,"LT Earn.Dil.";#N/A,#N/A,FALSE,"Dil. AVP"}</definedName>
    <definedName name="wrn.1._1" localSheetId="8" hidden="1">{#N/A,#N/A,FALSE,"Calc";#N/A,#N/A,FALSE,"Sensitivity";#N/A,#N/A,FALSE,"LT Earn.Dil.";#N/A,#N/A,FALSE,"Dil. AVP"}</definedName>
    <definedName name="wrn.1._1" hidden="1">{#N/A,#N/A,FALSE,"Calc";#N/A,#N/A,FALSE,"Sensitivity";#N/A,#N/A,FALSE,"LT Earn.Dil.";#N/A,#N/A,FALSE,"Dil. AVP"}</definedName>
    <definedName name="wrn.1.1" localSheetId="8" hidden="1">{#N/A,#N/A,FALSE,"Calc";#N/A,#N/A,FALSE,"Sensitivity";#N/A,#N/A,FALSE,"LT Earn.Dil.";#N/A,#N/A,FALSE,"Dil. AVP"}</definedName>
    <definedName name="wrn.1.1" hidden="1">{#N/A,#N/A,FALSE,"Calc";#N/A,#N/A,FALSE,"Sensitivity";#N/A,#N/A,FALSE,"LT Earn.Dil.";#N/A,#N/A,FALSE,"Dil. AVP"}</definedName>
    <definedName name="wrn.1.1.2" localSheetId="8" hidden="1">{#N/A,#N/A,FALSE,"Calc";#N/A,#N/A,FALSE,"Sensitivity";#N/A,#N/A,FALSE,"LT Earn.Dil.";#N/A,#N/A,FALSE,"Dil. AVP"}</definedName>
    <definedName name="wrn.1.1.2" hidden="1">{#N/A,#N/A,FALSE,"Calc";#N/A,#N/A,FALSE,"Sensitivity";#N/A,#N/A,FALSE,"LT Earn.Dil.";#N/A,#N/A,FALSE,"Dil. AVP"}</definedName>
    <definedName name="wrn.1.1.2_1" localSheetId="8" hidden="1">{#N/A,#N/A,FALSE,"Calc";#N/A,#N/A,FALSE,"Sensitivity";#N/A,#N/A,FALSE,"LT Earn.Dil.";#N/A,#N/A,FALSE,"Dil. AVP"}</definedName>
    <definedName name="wrn.1.1.2_1" hidden="1">{#N/A,#N/A,FALSE,"Calc";#N/A,#N/A,FALSE,"Sensitivity";#N/A,#N/A,FALSE,"LT Earn.Dil.";#N/A,#N/A,FALSE,"Dil. AVP"}</definedName>
    <definedName name="wrn.1.1.3" localSheetId="8" hidden="1">{#N/A,#N/A,FALSE,"Calc";#N/A,#N/A,FALSE,"Sensitivity";#N/A,#N/A,FALSE,"LT Earn.Dil.";#N/A,#N/A,FALSE,"Dil. AVP"}</definedName>
    <definedName name="wrn.1.1.3" hidden="1">{#N/A,#N/A,FALSE,"Calc";#N/A,#N/A,FALSE,"Sensitivity";#N/A,#N/A,FALSE,"LT Earn.Dil.";#N/A,#N/A,FALSE,"Dil. AVP"}</definedName>
    <definedName name="wrn.1.1.3_1" localSheetId="8" hidden="1">{#N/A,#N/A,FALSE,"Calc";#N/A,#N/A,FALSE,"Sensitivity";#N/A,#N/A,FALSE,"LT Earn.Dil.";#N/A,#N/A,FALSE,"Dil. AVP"}</definedName>
    <definedName name="wrn.1.1.3_1" hidden="1">{#N/A,#N/A,FALSE,"Calc";#N/A,#N/A,FALSE,"Sensitivity";#N/A,#N/A,FALSE,"LT Earn.Dil.";#N/A,#N/A,FALSE,"Dil. AVP"}</definedName>
    <definedName name="wrn.1.1_1" localSheetId="8" hidden="1">{#N/A,#N/A,FALSE,"Calc";#N/A,#N/A,FALSE,"Sensitivity";#N/A,#N/A,FALSE,"LT Earn.Dil.";#N/A,#N/A,FALSE,"Dil. AVP"}</definedName>
    <definedName name="wrn.1.1_1" hidden="1">{#N/A,#N/A,FALSE,"Calc";#N/A,#N/A,FALSE,"Sensitivity";#N/A,#N/A,FALSE,"LT Earn.Dil.";#N/A,#N/A,FALSE,"Dil. AVP"}</definedName>
    <definedName name="wrn.1.2" localSheetId="8" hidden="1">{#N/A,#N/A,FALSE,"Calc";#N/A,#N/A,FALSE,"Sensitivity";#N/A,#N/A,FALSE,"LT Earn.Dil.";#N/A,#N/A,FALSE,"Dil. AVP"}</definedName>
    <definedName name="wrn.1.2" hidden="1">{#N/A,#N/A,FALSE,"Calc";#N/A,#N/A,FALSE,"Sensitivity";#N/A,#N/A,FALSE,"LT Earn.Dil.";#N/A,#N/A,FALSE,"Dil. AVP"}</definedName>
    <definedName name="wrn.1.2_1" localSheetId="8" hidden="1">{#N/A,#N/A,FALSE,"Calc";#N/A,#N/A,FALSE,"Sensitivity";#N/A,#N/A,FALSE,"LT Earn.Dil.";#N/A,#N/A,FALSE,"Dil. AVP"}</definedName>
    <definedName name="wrn.1.2_1" hidden="1">{#N/A,#N/A,FALSE,"Calc";#N/A,#N/A,FALSE,"Sensitivity";#N/A,#N/A,FALSE,"LT Earn.Dil.";#N/A,#N/A,FALSE,"Dil. AVP"}</definedName>
    <definedName name="wrn.1.3" localSheetId="8" hidden="1">{#N/A,#N/A,FALSE,"Calc";#N/A,#N/A,FALSE,"Sensitivity";#N/A,#N/A,FALSE,"LT Earn.Dil.";#N/A,#N/A,FALSE,"Dil. AVP"}</definedName>
    <definedName name="wrn.1.3" hidden="1">{#N/A,#N/A,FALSE,"Calc";#N/A,#N/A,FALSE,"Sensitivity";#N/A,#N/A,FALSE,"LT Earn.Dil.";#N/A,#N/A,FALSE,"Dil. AVP"}</definedName>
    <definedName name="wrn.1.3_1" localSheetId="8" hidden="1">{#N/A,#N/A,FALSE,"Calc";#N/A,#N/A,FALSE,"Sensitivity";#N/A,#N/A,FALSE,"LT Earn.Dil.";#N/A,#N/A,FALSE,"Dil. AVP"}</definedName>
    <definedName name="wrn.1.3_1" hidden="1">{#N/A,#N/A,FALSE,"Calc";#N/A,#N/A,FALSE,"Sensitivity";#N/A,#N/A,FALSE,"LT Earn.Dil.";#N/A,#N/A,FALSE,"Dil. AVP"}</definedName>
    <definedName name="wrn.10." localSheetId="8" hidden="1">{"cover",#N/A,TRUE,"Cover";"toc3",#N/A,TRUE,"TOC";"over",#N/A,TRUE,"Overview";"ts2",#N/A,TRUE,"Det_Trans_Sum";"ei1c",#N/A,TRUE,"Earnings Impact";"ad1",#N/A,TRUE,"accretion dilution";"pfis1",#N/A,TRUE,"Pro Forma Income Statement";"acq1c",#N/A,TRUE,"Acquirer";"tar1c",#N/A,TRUE,"Target"}</definedName>
    <definedName name="wrn.10." hidden="1">{"cover",#N/A,TRUE,"Cover";"toc3",#N/A,TRUE,"TOC";"over",#N/A,TRUE,"Overview";"ts2",#N/A,TRUE,"Det_Trans_Sum";"ei1c",#N/A,TRUE,"Earnings Impact";"ad1",#N/A,TRUE,"accretion dilution";"pfis1",#N/A,TRUE,"Pro Forma Income Statement";"acq1c",#N/A,TRUE,"Acquirer";"tar1c",#N/A,TRUE,"Target"}</definedName>
    <definedName name="wrn.10yp._.balance._.sheet." localSheetId="7" hidden="1">{"10yp balance sheet",#N/A,FALSE,"Celtel alternative 6"}</definedName>
    <definedName name="wrn.10yp._.balance._.sheet." localSheetId="8" hidden="1">{"10yp balance sheet",#N/A,FALSE,"Celtel alternative 6"}</definedName>
    <definedName name="wrn.10yp._.balance._.sheet." hidden="1">{"10yp balance sheet",#N/A,FALSE,"Celtel alternative 6"}</definedName>
    <definedName name="wrn.10yp._.capex." localSheetId="7" hidden="1">{"10yp capex",#N/A,FALSE,"Celtel alternative 6"}</definedName>
    <definedName name="wrn.10yp._.capex." localSheetId="8" hidden="1">{"10yp capex",#N/A,FALSE,"Celtel alternative 6"}</definedName>
    <definedName name="wrn.10yp._.capex." hidden="1">{"10yp capex",#N/A,FALSE,"Celtel alternative 6"}</definedName>
    <definedName name="wrn.10yp._.customers." localSheetId="7" hidden="1">{"10yp customers",#N/A,FALSE,"Celtel alternative 6"}</definedName>
    <definedName name="wrn.10yp._.customers." localSheetId="8" hidden="1">{"10yp customers",#N/A,FALSE,"Celtel alternative 6"}</definedName>
    <definedName name="wrn.10yp._.customers." hidden="1">{"10yp customers",#N/A,FALSE,"Celtel alternative 6"}</definedName>
    <definedName name="wrn.10yp._.graphs." localSheetId="7" hidden="1">{"10yp graphs",#N/A,FALSE,"Market Data"}</definedName>
    <definedName name="wrn.10yp._.graphs." localSheetId="8" hidden="1">{"10yp graphs",#N/A,FALSE,"Market Data"}</definedName>
    <definedName name="wrn.10yp._.graphs." hidden="1">{"10yp graphs",#N/A,FALSE,"Market Data"}</definedName>
    <definedName name="wrn.10yp._.key._.data." localSheetId="7" hidden="1">{"10yp key data",#N/A,FALSE,"Market Data"}</definedName>
    <definedName name="wrn.10yp._.key._.data." localSheetId="8" hidden="1">{"10yp key data",#N/A,FALSE,"Market Data"}</definedName>
    <definedName name="wrn.10yp._.key._.data." hidden="1">{"10yp key data",#N/A,FALSE,"Market Data"}</definedName>
    <definedName name="wrn.10yp._.profit._.and._.loss." localSheetId="7" hidden="1">{"10yp profit and loss",#N/A,FALSE,"Celtel alternative 6"}</definedName>
    <definedName name="wrn.10yp._.profit._.and._.loss." localSheetId="8" hidden="1">{"10yp profit and loss",#N/A,FALSE,"Celtel alternative 6"}</definedName>
    <definedName name="wrn.10yp._.profit._.and._.loss." hidden="1">{"10yp profit and loss",#N/A,FALSE,"Celtel alternative 6"}</definedName>
    <definedName name="wrn.10yp._.tariffs." localSheetId="7" hidden="1">{"10yp tariffs",#N/A,FALSE,"Celtel alternative 6"}</definedName>
    <definedName name="wrn.10yp._.tariffs." localSheetId="8" hidden="1">{"10yp tariffs",#N/A,FALSE,"Celtel alternative 6"}</definedName>
    <definedName name="wrn.10yp._.tariffs." hidden="1">{"10yp tariffs",#N/A,FALSE,"Celtel alternative 6"}</definedName>
    <definedName name="wrn.11." localSheetId="8" hidden="1">{"cover",#N/A,TRUE,"Cover";"toc3",#N/A,TRUE,"TOC";"over",#N/A,TRUE,"Overview";"ts2",#N/A,TRUE,"Det_Trans_Sum";"ei2c",#N/A,TRUE,"Earnings Impact";"ad2",#N/A,TRUE,"accretion dilution";"pfis2",#N/A,TRUE,"Pro Forma Income Statement";"acq2c",#N/A,TRUE,"Acquirer";"tar2c",#N/A,TRUE,"Target"}</definedName>
    <definedName name="wrn.11." hidden="1">{"cover",#N/A,TRUE,"Cover";"toc3",#N/A,TRUE,"TOC";"over",#N/A,TRUE,"Overview";"ts2",#N/A,TRUE,"Det_Trans_Sum";"ei2c",#N/A,TRUE,"Earnings Impact";"ad2",#N/A,TRUE,"accretion dilution";"pfis2",#N/A,TRUE,"Pro Forma Income Statement";"acq2c",#N/A,TRUE,"Acquirer";"tar2c",#N/A,TRUE,"Target"}</definedName>
    <definedName name="wrn.111111" localSheetId="7" hidden="1">{#N/A,#N/A,FALSE,"Pharm";#N/A,#N/A,FALSE,"WWCM"}</definedName>
    <definedName name="wrn.111111" localSheetId="8" hidden="1">{#N/A,#N/A,FALSE,"Pharm";#N/A,#N/A,FALSE,"WWCM"}</definedName>
    <definedName name="wrn.111111" hidden="1">{#N/A,#N/A,FALSE,"Pharm";#N/A,#N/A,FALSE,"WWCM"}</definedName>
    <definedName name="wrn.12." localSheetId="8" hidden="1">{"cover",#N/A,TRUE,"Cover";"toc3",#N/A,TRUE,"TOC";"over",#N/A,TRUE,"Overview";"ts2",#N/A,TRUE,"Det_Trans_Sum";"ei3c",#N/A,TRUE,"Earnings Impact";"ad3",#N/A,TRUE,"accretion dilution";"pfis3",#N/A,TRUE,"Pro Forma Income Statement";"acq3c",#N/A,TRUE,"Acquirer";"tar3c",#N/A,TRUE,"Target"}</definedName>
    <definedName name="wrn.12." hidden="1">{"cover",#N/A,TRUE,"Cover";"toc3",#N/A,TRUE,"TOC";"over",#N/A,TRUE,"Overview";"ts2",#N/A,TRUE,"Det_Trans_Sum";"ei3c",#N/A,TRUE,"Earnings Impact";"ad3",#N/A,TRUE,"accretion dilution";"pfis3",#N/A,TRUE,"Pro Forma Income Statement";"acq3c",#N/A,TRUE,"Acquirer";"tar3c",#N/A,TRUE,"Target"}</definedName>
    <definedName name="wrn.13." localSheetId="8" hidden="1">{"cover",#N/A,TRUE,"Cover";"toc4",#N/A,TRUE,"TOC";"over",#N/A,TRUE,"Overview";"ts2",#N/A,TRUE,"Det_Trans_Sum";"eic",#N/A,TRUE,"Earnings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Statement";"ca",#N/A,TRUE,"Contribution_Analysis";"acqc",#N/A,TRUE,"Acquirer";"tarc",#N/A,TRUE,"Target"}</definedName>
    <definedName name="wrn.13." hidden="1">{"cover",#N/A,TRUE,"Cover";"toc4",#N/A,TRUE,"TOC";"over",#N/A,TRUE,"Overview";"ts2",#N/A,TRUE,"Det_Trans_Sum";"eic",#N/A,TRUE,"Earnings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Statement";"ca",#N/A,TRUE,"Contribution_Analysis";"acqc",#N/A,TRUE,"Acquirer";"tarc",#N/A,TRUE,"Target"}</definedName>
    <definedName name="wrn.14." localSheetId="8" hidden="1">{"cover",#N/A,TRUE,"Cover";"toc4",#N/A,TRUE,"TOC";"over",#N/A,TRUE,"Overview";"ts2",#N/A,TRUE,"Det_Trans_Sum";"ei1c",#N/A,TRUE,"Earnings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Statement";"ca1",#N/A,TRUE,"Contribution_Analysis";"acq1c",#N/A,TRUE,"Acquirer";"tar1c",#N/A,TRUE,"Target"}</definedName>
    <definedName name="wrn.14." hidden="1">{"cover",#N/A,TRUE,"Cover";"toc4",#N/A,TRUE,"TOC";"over",#N/A,TRUE,"Overview";"ts2",#N/A,TRUE,"Det_Trans_Sum";"ei1c",#N/A,TRUE,"Earnings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Statement";"ca1",#N/A,TRUE,"Contribution_Analysis";"acq1c",#N/A,TRUE,"Acquirer";"tar1c",#N/A,TRUE,"Target"}</definedName>
    <definedName name="wrn.15." localSheetId="8" hidden="1">{"cover",#N/A,TRUE,"Cover";"toc4",#N/A,TRUE,"TOC";"over",#N/A,TRUE,"Overview";"ts2",#N/A,TRUE,"Det_Trans_Sum";"ei2c",#N/A,TRUE,"Earnings Impact";"ad2",#N/A,TRUE,"accretion dilution";"tas",#N/A,TRUE,"TaintedShares";"hg2",#N/A,TRUE,"Has-Gets";"pfis2",#N/A,TRUE,"Pro Forma Income Statement";"ca2",#N/A,TRUE,"Contribution_Analysis";"acq2c",#N/A,TRUE,"Acquirer";"tar2c",#N/A,TRUE,"Target"}</definedName>
    <definedName name="wrn.15." hidden="1">{"cover",#N/A,TRUE,"Cover";"toc4",#N/A,TRUE,"TOC";"over",#N/A,TRUE,"Overview";"ts2",#N/A,TRUE,"Det_Trans_Sum";"ei2c",#N/A,TRUE,"Earnings Impact";"ad2",#N/A,TRUE,"accretion dilution";"tas",#N/A,TRUE,"TaintedShares";"hg2",#N/A,TRUE,"Has-Gets";"pfis2",#N/A,TRUE,"Pro Forma Income Statement";"ca2",#N/A,TRUE,"Contribution_Analysis";"acq2c",#N/A,TRUE,"Acquirer";"tar2c",#N/A,TRUE,"Target"}</definedName>
    <definedName name="wrn.16." localSheetId="8" hidden="1">{"cover",#N/A,TRUE,"Cover";"toc4",#N/A,TRUE,"TOC";"over",#N/A,TRUE,"Overview";"ts2",#N/A,TRUE,"Det_Trans_Sum";"ei3c",#N/A,TRUE,"Earnings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Statement";"ca3",#N/A,TRUE,"Contribution_Analysis";"acq3c",#N/A,TRUE,"Acquirer";"tar3c",#N/A,TRUE,"Target"}</definedName>
    <definedName name="wrn.16." hidden="1">{"cover",#N/A,TRUE,"Cover";"toc4",#N/A,TRUE,"TOC";"over",#N/A,TRUE,"Overview";"ts2",#N/A,TRUE,"Det_Trans_Sum";"ei3c",#N/A,TRUE,"Earnings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Statement";"ca3",#N/A,TRUE,"Contribution_Analysis";"acq3c",#N/A,TRUE,"Acquirer";"tar3c",#N/A,TRUE,"Target"}</definedName>
    <definedName name="wrn.17." localSheetId="8" hidden="1">{"cover",#N/A,TRUE,"Cover";"toc5",#N/A,TRUE,"TOC";"over",#N/A,TRUE,"Overview";"ts2",#N/A,TRUE,"Det_Trans_Sum";"eic",#N/A,TRUE,"Earnings Impact";"ad",#N/A,TRUE,"accretion dilution";"pfis",#N/A,TRUE,"Pro Forma Income Statement";"ca",#N/A,TRUE,"Contribution_Analysis";"acqc",#N/A,TRUE,"Acquirer";"tarc",#N/A,TRUE,"Target"}</definedName>
    <definedName name="wrn.17." hidden="1">{"cover",#N/A,TRUE,"Cover";"toc5",#N/A,TRUE,"TOC";"over",#N/A,TRUE,"Overview";"ts2",#N/A,TRUE,"Det_Trans_Sum";"eic",#N/A,TRUE,"Earnings Impact";"ad",#N/A,TRUE,"accretion dilution";"pfis",#N/A,TRUE,"Pro Forma Income Statement";"ca",#N/A,TRUE,"Contribution_Analysis";"acqc",#N/A,TRUE,"Acquirer";"tarc",#N/A,TRUE,"Target"}</definedName>
    <definedName name="wrn.18." localSheetId="8" hidden="1">{"cover",#N/A,TRUE,"Cover";"toc5",#N/A,TRUE,"TOC";"over",#N/A,TRUE,"Overview";"ts2",#N/A,TRUE,"Det_Trans_Sum";"ei1c",#N/A,TRUE,"Earnings Impact";"ad1",#N/A,TRUE,"accretion dilution";"pfis1",#N/A,TRUE,"Pro Forma Income Statement";"ca1",#N/A,TRUE,"Contribution_Analysis";"acq1c",#N/A,TRUE,"Acquirer";"tar1c",#N/A,TRUE,"Target"}</definedName>
    <definedName name="wrn.18." hidden="1">{"cover",#N/A,TRUE,"Cover";"toc5",#N/A,TRUE,"TOC";"over",#N/A,TRUE,"Overview";"ts2",#N/A,TRUE,"Det_Trans_Sum";"ei1c",#N/A,TRUE,"Earnings Impact";"ad1",#N/A,TRUE,"accretion dilution";"pfis1",#N/A,TRUE,"Pro Forma Income Statement";"ca1",#N/A,TRUE,"Contribution_Analysis";"acq1c",#N/A,TRUE,"Acquirer";"tar1c",#N/A,TRUE,"Target"}</definedName>
    <definedName name="wrn.19." localSheetId="8" hidden="1">{"cover",#N/A,TRUE,"Cover";"toc5",#N/A,TRUE,"TOC";"ts2",#N/A,TRUE,"Det_Trans_Sum";"over",#N/A,TRUE,"Overview";"ei2c",#N/A,TRUE,"Earnings Impact";"ad2",#N/A,TRUE,"accretion dilution";"pfis2",#N/A,TRUE,"Pro Forma Income Statement";"ca2",#N/A,TRUE,"Contribution_Analysis";"acq2c",#N/A,TRUE,"Acquirer";"tar2c",#N/A,TRUE,"Target"}</definedName>
    <definedName name="wrn.19." hidden="1">{"cover",#N/A,TRUE,"Cover";"toc5",#N/A,TRUE,"TOC";"ts2",#N/A,TRUE,"Det_Trans_Sum";"over",#N/A,TRUE,"Overview";"ei2c",#N/A,TRUE,"Earnings Impact";"ad2",#N/A,TRUE,"accretion dilution";"pfis2",#N/A,TRUE,"Pro Forma Income Statement";"ca2",#N/A,TRUE,"Contribution_Analysis";"acq2c",#N/A,TRUE,"Acquirer";"tar2c",#N/A,TRUE,"Target"}</definedName>
    <definedName name="wrn.1994._.Projected._.Cashflow." localSheetId="8" hidden="1">{"Debt Analysis",#N/A,FALSE,"Debt Analysis";"Calender Year",#N/A,FALSE,"Project Cash Flows";"Fiscal Year",#N/A,FALSE,"Project Cash Flows"}</definedName>
    <definedName name="wrn.1994._.Projected._.Cashflow." hidden="1">{"Debt Analysis",#N/A,FALSE,"Debt Analysis";"Calender Year",#N/A,FALSE,"Project Cash Flows";"Fiscal Year",#N/A,FALSE,"Project Cash Flows"}</definedName>
    <definedName name="WRN.2." localSheetId="8" hidden="1">{#N/A,#N/A,FALSE,"Calc";#N/A,#N/A,FALSE,"Sensitivity";#N/A,#N/A,FALSE,"LT Earn.Dil.";#N/A,#N/A,FALSE,"Dil. AVP"}</definedName>
    <definedName name="WRN.2." hidden="1">{#N/A,#N/A,FALSE,"Calc";#N/A,#N/A,FALSE,"Sensitivity";#N/A,#N/A,FALSE,"LT Earn.Dil.";#N/A,#N/A,FALSE,"Dil. AVP"}</definedName>
    <definedName name="wrn.2._.pagers." localSheetId="7" hidden="1">{"Cover",#N/A,FALSE,"Cover";"Summary",#N/A,FALSE,"Summarpage"}</definedName>
    <definedName name="wrn.2._.pagers." localSheetId="8" hidden="1">{"Cover",#N/A,FALSE,"Cover";"Summary",#N/A,FALSE,"Summarpage"}</definedName>
    <definedName name="wrn.2._.pagers." hidden="1">{"Cover",#N/A,FALSE,"Cover";"Summary",#N/A,FALSE,"Summarpage"}</definedName>
    <definedName name="wrn.2._.pagers._1" localSheetId="8" hidden="1">{"Cover",#N/A,FALSE,"Cover";"Summary",#N/A,FALSE,"Summarpage"}</definedName>
    <definedName name="wrn.2._.pagers._1" hidden="1">{"Cover",#N/A,FALSE,"Cover";"Summary",#N/A,FALSE,"Summarpage"}</definedName>
    <definedName name="wrn.2._.pagers.2" localSheetId="8" hidden="1">{"Cover",#N/A,FALSE,"Cover";"Summary",#N/A,FALSE,"Summarpage"}</definedName>
    <definedName name="wrn.2._.pagers.2" hidden="1">{"Cover",#N/A,FALSE,"Cover";"Summary",#N/A,FALSE,"Summarpage"}</definedName>
    <definedName name="WRN.2._1" localSheetId="8" hidden="1">{#N/A,#N/A,FALSE,"Calc";#N/A,#N/A,FALSE,"Sensitivity";#N/A,#N/A,FALSE,"LT Earn.Dil.";#N/A,#N/A,FALSE,"Dil. AVP"}</definedName>
    <definedName name="WRN.2._1" hidden="1">{#N/A,#N/A,FALSE,"Calc";#N/A,#N/A,FALSE,"Sensitivity";#N/A,#N/A,FALSE,"LT Earn.Dil.";#N/A,#N/A,FALSE,"Dil. AVP"}</definedName>
    <definedName name="wrn.20." localSheetId="8" hidden="1">{"cover",#N/A,TRUE,"Cover";"toc5",#N/A,TRUE,"TOC";"over",#N/A,TRUE,"Overview";"ts2",#N/A,TRUE,"Det_Trans_Sum";"ei3c",#N/A,TRUE,"Earnings Impact";"ad3",#N/A,TRUE,"accretion dilution";"pfis3",#N/A,TRUE,"Pro Forma Income Statement";"ca3",#N/A,TRUE,"Contribution_Analysis";"acq3c",#N/A,TRUE,"Acquirer";"tar3c",#N/A,TRUE,"Target"}</definedName>
    <definedName name="wrn.20." hidden="1">{"cover",#N/A,TRUE,"Cover";"toc5",#N/A,TRUE,"TOC";"over",#N/A,TRUE,"Overview";"ts2",#N/A,TRUE,"Det_Trans_Sum";"ei3c",#N/A,TRUE,"Earnings Impact";"ad3",#N/A,TRUE,"accretion dilution";"pfis3",#N/A,TRUE,"Pro Forma Income Statement";"ca3",#N/A,TRUE,"Contribution_Analysis";"acq3c",#N/A,TRUE,"Acquirer";"tar3c",#N/A,TRUE,"Target"}</definedName>
    <definedName name="wrn.2000Base." localSheetId="8" hidden="1">{"a_assump1",#N/A,FALSE,"BPlan 96-00 - Base";"a_assump2",#N/A,FALSE,"BPlan 96-00 - Base";"a_plus",#N/A,FALSE,"BPlan 96-00 - Base";"a_bs",#N/A,FALSE,"BPlan 96-00 - Base";"a_cf",#N/A,FALSE,"BPlan 96-00 - Base";"a_irrbase",#N/A,FALSE,"BPlan 96-00 - Base";"a_notes",#N/A,FALSE,"BPlan 96-00 - Base"}</definedName>
    <definedName name="wrn.2000Base." hidden="1">{"a_assump1",#N/A,FALSE,"BPlan 96-00 - Base";"a_assump2",#N/A,FALSE,"BPlan 96-00 - Base";"a_plus",#N/A,FALSE,"BPlan 96-00 - Base";"a_bs",#N/A,FALSE,"BPlan 96-00 - Base";"a_cf",#N/A,FALSE,"BPlan 96-00 - Base";"a_irrbase",#N/A,FALSE,"BPlan 96-00 - Base";"a_notes",#N/A,FALSE,"BPlan 96-00 - Base"}</definedName>
    <definedName name="wrn.2000Base._1" localSheetId="8" hidden="1">{"a_assump1",#N/A,FALSE,"BPlan 96-00 - Base";"a_assump2",#N/A,FALSE,"BPlan 96-00 - Base";"a_plus",#N/A,FALSE,"BPlan 96-00 - Base";"a_bs",#N/A,FALSE,"BPlan 96-00 - Base";"a_cf",#N/A,FALSE,"BPlan 96-00 - Base";"a_irrbase",#N/A,FALSE,"BPlan 96-00 - Base";"a_notes",#N/A,FALSE,"BPlan 96-00 - Base"}</definedName>
    <definedName name="wrn.2000Base._1" hidden="1">{"a_assump1",#N/A,FALSE,"BPlan 96-00 - Base";"a_assump2",#N/A,FALSE,"BPlan 96-00 - Base";"a_plus",#N/A,FALSE,"BPlan 96-00 - Base";"a_bs",#N/A,FALSE,"BPlan 96-00 - Base";"a_cf",#N/A,FALSE,"BPlan 96-00 - Base";"a_irrbase",#N/A,FALSE,"BPlan 96-00 - Base";"a_notes",#N/A,FALSE,"BPlan 96-00 - Base"}</definedName>
    <definedName name="wrn.21." localSheetId="8" hidden="1">{"cover",#N/A,TRUE,"Cover";"toc6",#N/A,TRUE,"TOC";"over",#N/A,TRUE,"Overview";"ts2",#N/A,TRUE,"Det_Trans_Sum";"eic",#N/A,TRUE,"Earnings Impact";"ad",#N/A,TRUE,"accretion dilution";"hg",#N/A,TRUE,"Has-Gets";"pfis",#N/A,TRUE,"Pro Forma Income Statement";"ca",#N/A,TRUE,"Contribution_Analysis";"acqc",#N/A,TRUE,"Acquirer";"tarc",#N/A,TRUE,"Target"}</definedName>
    <definedName name="wrn.21." hidden="1">{"cover",#N/A,TRUE,"Cover";"toc6",#N/A,TRUE,"TOC";"over",#N/A,TRUE,"Overview";"ts2",#N/A,TRUE,"Det_Trans_Sum";"eic",#N/A,TRUE,"Earnings Impact";"ad",#N/A,TRUE,"accretion dilution";"hg",#N/A,TRUE,"Has-Gets";"pfis",#N/A,TRUE,"Pro Forma Income Statement";"ca",#N/A,TRUE,"Contribution_Analysis";"acqc",#N/A,TRUE,"Acquirer";"tarc",#N/A,TRUE,"Target"}</definedName>
    <definedName name="wrn.22." localSheetId="8" hidden="1">{"cover",#N/A,TRUE,"Cover";"toc6",#N/A,TRUE,"TOC";"over",#N/A,TRUE,"Overview";"ts2",#N/A,TRUE,"Det_Trans_Sum";"ei1c",#N/A,TRUE,"Earnings Impact";"ad1",#N/A,TRUE,"accretion dilution";"hg1",#N/A,TRUE,"Has-Gets";"pfis1",#N/A,TRUE,"Pro Forma Income Statement";"ca1",#N/A,TRUE,"Contribution_Analysis";"acq1c",#N/A,TRUE,"Acquirer";"tar1c",#N/A,TRUE,"Target"}</definedName>
    <definedName name="wrn.22." hidden="1">{"cover",#N/A,TRUE,"Cover";"toc6",#N/A,TRUE,"TOC";"over",#N/A,TRUE,"Overview";"ts2",#N/A,TRUE,"Det_Trans_Sum";"ei1c",#N/A,TRUE,"Earnings Impact";"ad1",#N/A,TRUE,"accretion dilution";"hg1",#N/A,TRUE,"Has-Gets";"pfis1",#N/A,TRUE,"Pro Forma Income Statement";"ca1",#N/A,TRUE,"Contribution_Analysis";"acq1c",#N/A,TRUE,"Acquirer";"tar1c",#N/A,TRUE,"Target"}</definedName>
    <definedName name="wrn.23." localSheetId="8" hidden="1">{"cover",#N/A,TRUE,"Cover";"toc6",#N/A,TRUE,"TOC";"pfis3",#N/A,TRUE,"Overview";"ts2",#N/A,TRUE,"Det_Trans_Sum";"ei2c",#N/A,TRUE,"Earnings Impact";"ad2",#N/A,TRUE,"accretion dilution";"hg2",#N/A,TRUE,"Has-Gets";"pfis2",#N/A,TRUE,"Pro Forma Income Statement";"ca2",#N/A,TRUE,"Contribution_Analysis";"acq2c",#N/A,TRUE,"Acquirer";"tar2c",#N/A,TRUE,"Target"}</definedName>
    <definedName name="wrn.23." hidden="1">{"cover",#N/A,TRUE,"Cover";"toc6",#N/A,TRUE,"TOC";"pfis3",#N/A,TRUE,"Overview";"ts2",#N/A,TRUE,"Det_Trans_Sum";"ei2c",#N/A,TRUE,"Earnings Impact";"ad2",#N/A,TRUE,"accretion dilution";"hg2",#N/A,TRUE,"Has-Gets";"pfis2",#N/A,TRUE,"Pro Forma Income Statement";"ca2",#N/A,TRUE,"Contribution_Analysis";"acq2c",#N/A,TRUE,"Acquirer";"tar2c",#N/A,TRUE,"Target"}</definedName>
    <definedName name="wrn.24." localSheetId="8" hidden="1">{"cover",#N/A,TRUE,"Cover";"toc6",#N/A,TRUE,"TOC";"over",#N/A,TRUE,"Overview";"ts2",#N/A,TRUE,"Det_Trans_Sum";"ei3c",#N/A,TRUE,"Earnings Impact";"ad3",#N/A,TRUE,"accretion dilution";"hg3",#N/A,TRUE,"Has-Gets";"pfis",#N/A,TRUE,"Pro Forma Income Statement";"ca3",#N/A,TRUE,"Contribution_Analysis";"acq3c",#N/A,TRUE,"Acquirer";"tar3c",#N/A,TRUE,"Target"}</definedName>
    <definedName name="wrn.24." hidden="1">{"cover",#N/A,TRUE,"Cover";"toc6",#N/A,TRUE,"TOC";"over",#N/A,TRUE,"Overview";"ts2",#N/A,TRUE,"Det_Trans_Sum";"ei3c",#N/A,TRUE,"Earnings Impact";"ad3",#N/A,TRUE,"accretion dilution";"hg3",#N/A,TRUE,"Has-Gets";"pfis",#N/A,TRUE,"Pro Forma Income Statement";"ca3",#N/A,TRUE,"Contribution_Analysis";"acq3c",#N/A,TRUE,"Acquirer";"tar3c",#N/A,TRUE,"Target"}</definedName>
    <definedName name="wrn.25." localSheetId="8" hidden="1">{"cover",#N/A,TRUE,"Cover";"toc3",#N/A,TRUE,"TOC";"over",#N/A,TRUE,"Overview";"ts2",#N/A,TRUE,"Det_Trans_Sum";"ei",#N/A,TRUE,"Earnings Impact";"ad",#N/A,TRUE,"accretion dilution";"pfis",#N/A,TRUE,"Pro Forma Income Statement";"acq",#N/A,TRUE,"Acquirer";"tar",#N/A,TRUE,"Target"}</definedName>
    <definedName name="wrn.25." hidden="1">{"cover",#N/A,TRUE,"Cover";"toc3",#N/A,TRUE,"TOC";"over",#N/A,TRUE,"Overview";"ts2",#N/A,TRUE,"Det_Trans_Sum";"ei",#N/A,TRUE,"Earnings Impact";"ad",#N/A,TRUE,"accretion dilution";"pfis",#N/A,TRUE,"Pro Forma Income Statement";"acq",#N/A,TRUE,"Acquirer";"tar",#N/A,TRUE,"Target"}</definedName>
    <definedName name="wrn.26." localSheetId="8" hidden="1">{"cover",#N/A,TRUE,"Cover";"toc3",#N/A,TRUE,"TOC";"over",#N/A,TRUE,"Overview";"ts2",#N/A,TRUE,"Det_Trans_Sum";"ei1",#N/A,TRUE,"Earnings Impact";"ad1",#N/A,TRUE,"accretion dilution";"pfis1",#N/A,TRUE,"Pro Forma Income Statement";"acq1",#N/A,TRUE,"Acquirer";"tar1",#N/A,TRUE,"Target"}</definedName>
    <definedName name="wrn.26." hidden="1">{"cover",#N/A,TRUE,"Cover";"toc3",#N/A,TRUE,"TOC";"over",#N/A,TRUE,"Overview";"ts2",#N/A,TRUE,"Det_Trans_Sum";"ei1",#N/A,TRUE,"Earnings Impact";"ad1",#N/A,TRUE,"accretion dilution";"pfis1",#N/A,TRUE,"Pro Forma Income Statement";"acq1",#N/A,TRUE,"Acquirer";"tar1",#N/A,TRUE,"Target"}</definedName>
    <definedName name="wrn.27." localSheetId="8" hidden="1">{"cover",#N/A,TRUE,"Cover";"toc3",#N/A,TRUE,"TOC";"over",#N/A,TRUE,"Overview";"ts2",#N/A,TRUE,"Det_Trans_Sum";"ei2",#N/A,TRUE,"Earnings Impact";"ad2",#N/A,TRUE,"accretion dilution";"pfis2",#N/A,TRUE,"Pro Forma Income Statement";"acq2",#N/A,TRUE,"Acquirer";"tar2",#N/A,TRUE,"Target"}</definedName>
    <definedName name="wrn.27." hidden="1">{"cover",#N/A,TRUE,"Cover";"toc3",#N/A,TRUE,"TOC";"over",#N/A,TRUE,"Overview";"ts2",#N/A,TRUE,"Det_Trans_Sum";"ei2",#N/A,TRUE,"Earnings Impact";"ad2",#N/A,TRUE,"accretion dilution";"pfis2",#N/A,TRUE,"Pro Forma Income Statement";"acq2",#N/A,TRUE,"Acquirer";"tar2",#N/A,TRUE,"Target"}</definedName>
    <definedName name="wrn.28." localSheetId="8" hidden="1">{"cover",#N/A,TRUE,"Cover";"toc3",#N/A,TRUE,"TOC";"over",#N/A,TRUE,"Overview";"ts2",#N/A,TRUE,"Det_Trans_Sum";"ei3",#N/A,TRUE,"Earnings Impact";"ad3",#N/A,TRUE,"accretion dilution";"pfis3",#N/A,TRUE,"Pro Forma Income Statement";"acq3",#N/A,TRUE,"Acquirer";"tar3",#N/A,TRUE,"Target"}</definedName>
    <definedName name="wrn.28." hidden="1">{"cover",#N/A,TRUE,"Cover";"toc3",#N/A,TRUE,"TOC";"over",#N/A,TRUE,"Overview";"ts2",#N/A,TRUE,"Det_Trans_Sum";"ei3",#N/A,TRUE,"Earnings Impact";"ad3",#N/A,TRUE,"accretion dilution";"pfis3",#N/A,TRUE,"Pro Forma Income Statement";"acq3",#N/A,TRUE,"Acquirer";"tar3",#N/A,TRUE,"Target"}</definedName>
    <definedName name="wrn.29." localSheetId="8" hidden="1">{"cover",#N/A,TRUE,"Cover";"toc4",#N/A,TRUE,"TOC";"over",#N/A,TRUE,"Overview";"ts2",#N/A,TRUE,"Det_Trans_Sum";"ei",#N/A,TRUE,"Earnings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Statement";"ca",#N/A,TRUE,"Contribution_Analysis";"acq",#N/A,TRUE,"Acquirer";"tar",#N/A,TRUE,"Target"}</definedName>
    <definedName name="wrn.29." hidden="1">{"cover",#N/A,TRUE,"Cover";"toc4",#N/A,TRUE,"TOC";"over",#N/A,TRUE,"Overview";"ts2",#N/A,TRUE,"Det_Trans_Sum";"ei",#N/A,TRUE,"Earnings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Statement";"ca",#N/A,TRUE,"Contribution_Analysis";"acq",#N/A,TRUE,"Acquirer";"tar",#N/A,TRUE,"Target"}</definedName>
    <definedName name="wrn.3." localSheetId="8" hidden="1">{"cover",#N/A,TRUE,"Cover";"toc1",#N/A,TRUE,"TOC";"ts1",#N/A,TRUE,"Transaction Summary";"ei2",#N/A,TRUE,"Earnings Impact";"ad2",#N/A,TRUE,"accretion dilution"}</definedName>
    <definedName name="wrn.3." hidden="1">{"cover",#N/A,TRUE,"Cover";"toc1",#N/A,TRUE,"TOC";"ts1",#N/A,TRUE,"Transaction Summary";"ei2",#N/A,TRUE,"Earnings Impact";"ad2",#N/A,TRUE,"accretion dilution"}</definedName>
    <definedName name="wrn.30." localSheetId="8" hidden="1">{"cover",#N/A,TRUE,"Cover";"toc4",#N/A,TRUE,"TOC";"over",#N/A,TRUE,"Overview";"ts2",#N/A,TRUE,"Det_Trans_Sum";"ei1",#N/A,TRUE,"Earnings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Statement";"ca1",#N/A,TRUE,"Contribution_Analysis";"acq1",#N/A,TRUE,"Acquirer";"tar1",#N/A,TRUE,"Target"}</definedName>
    <definedName name="wrn.30." hidden="1">{"cover",#N/A,TRUE,"Cover";"toc4",#N/A,TRUE,"TOC";"over",#N/A,TRUE,"Overview";"ts2",#N/A,TRUE,"Det_Trans_Sum";"ei1",#N/A,TRUE,"Earnings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Statement";"ca1",#N/A,TRUE,"Contribution_Analysis";"acq1",#N/A,TRUE,"Acquirer";"tar1",#N/A,TRUE,"Target"}</definedName>
    <definedName name="wrn.31." localSheetId="8" hidden="1">{"cover",#N/A,TRUE,"Cover";"toc4",#N/A,TRUE,"TOC";"over",#N/A,TRUE,"Overview";"ts2",#N/A,TRUE,"Det_Trans_Sum";"ei2",#N/A,TRUE,"Earnings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Statement";"ca2",#N/A,TRUE,"Contribution_Analysis";"acq2",#N/A,TRUE,"Acquirer";"tar2",#N/A,TRUE,"Target"}</definedName>
    <definedName name="wrn.31." hidden="1">{"cover",#N/A,TRUE,"Cover";"toc4",#N/A,TRUE,"TOC";"over",#N/A,TRUE,"Overview";"ts2",#N/A,TRUE,"Det_Trans_Sum";"ei2",#N/A,TRUE,"Earnings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Statement";"ca2",#N/A,TRUE,"Contribution_Analysis";"acq2",#N/A,TRUE,"Acquirer";"tar2",#N/A,TRUE,"Target"}</definedName>
    <definedName name="wrn.32." localSheetId="8" hidden="1">{"cover",#N/A,TRUE,"Cover";"toc4",#N/A,TRUE,"TOC";"over",#N/A,TRUE,"Overview";"ts2",#N/A,TRUE,"Det_Trans_Sum";"ei3",#N/A,TRUE,"Earnings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Statement";"ca3",#N/A,TRUE,"Contribution_Analysis";"acq3",#N/A,TRUE,"Acquirer";"tar3",#N/A,TRUE,"Target"}</definedName>
    <definedName name="wrn.32." hidden="1">{"cover",#N/A,TRUE,"Cover";"toc4",#N/A,TRUE,"TOC";"over",#N/A,TRUE,"Overview";"ts2",#N/A,TRUE,"Det_Trans_Sum";"ei3",#N/A,TRUE,"Earnings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Statement";"ca3",#N/A,TRUE,"Contribution_Analysis";"acq3",#N/A,TRUE,"Acquirer";"tar3",#N/A,TRUE,"Target"}</definedName>
    <definedName name="wrn.33" localSheetId="8" hidden="1">{"cover",#N/A,TRUE,"Cover";"toc6",#N/A,TRUE,"TOC";"over",#N/A,TRUE,"Overview";"ts2",#N/A,TRUE,"Det_Trans_Sum";"ei2",#N/A,TRUE,"Earnings Impact";"ad2",#N/A,TRUE,"accretion dilution";"hg2",#N/A,TRUE,"Has-Gets";"pfis2",#N/A,TRUE,"Pro Forma Income Statement";"ca2",#N/A,TRUE,"Contribution_Analysis";"acq2",#N/A,TRUE,"Acquirer";"tar2",#N/A,TRUE,"Target"}</definedName>
    <definedName name="wrn.33" hidden="1">{"cover",#N/A,TRUE,"Cover";"toc6",#N/A,TRUE,"TOC";"over",#N/A,TRUE,"Overview";"ts2",#N/A,TRUE,"Det_Trans_Sum";"ei2",#N/A,TRUE,"Earnings Impact";"ad2",#N/A,TRUE,"accretion dilution";"hg2",#N/A,TRUE,"Has-Gets";"pfis2",#N/A,TRUE,"Pro Forma Income Statement";"ca2",#N/A,TRUE,"Contribution_Analysis";"acq2",#N/A,TRUE,"Acquirer";"tar2",#N/A,TRUE,"Target"}</definedName>
    <definedName name="wrn.33." localSheetId="8" hidden="1">{"cover",#N/A,TRUE,"Cover";"toc5",#N/A,TRUE,"TOC";"over",#N/A,TRUE,"Overview";"ts2",#N/A,TRUE,"Det_Trans_Sum";"ei",#N/A,TRUE,"Earnings Impact";"ad",#N/A,TRUE,"accretion dilution";"pfis",#N/A,TRUE,"Pro Forma Income Statement";"ca",#N/A,TRUE,"Contribution_Analysis";"acq",#N/A,TRUE,"Acquirer";"tar",#N/A,TRUE,"Target"}</definedName>
    <definedName name="wrn.33." hidden="1">{"cover",#N/A,TRUE,"Cover";"toc5",#N/A,TRUE,"TOC";"over",#N/A,TRUE,"Overview";"ts2",#N/A,TRUE,"Det_Trans_Sum";"ei",#N/A,TRUE,"Earnings Impact";"ad",#N/A,TRUE,"accretion dilution";"pfis",#N/A,TRUE,"Pro Forma Income Statement";"ca",#N/A,TRUE,"Contribution_Analysis";"acq",#N/A,TRUE,"Acquirer";"tar",#N/A,TRUE,"Target"}</definedName>
    <definedName name="wrn.34." localSheetId="8" hidden="1">{"cover",#N/A,TRUE,"Cover";"toc5",#N/A,TRUE,"TOC";"over",#N/A,TRUE,"Overview";"ts2",#N/A,TRUE,"Det_Trans_Sum";"ei1",#N/A,TRUE,"Earnings Impact";"ad1",#N/A,TRUE,"accretion dilution";"pfis1",#N/A,TRUE,"Pro Forma Income Statement";"ca1",#N/A,TRUE,"Contribution_Analysis";"acq1",#N/A,TRUE,"Acquirer";"tar1",#N/A,TRUE,"Target"}</definedName>
    <definedName name="wrn.34." hidden="1">{"cover",#N/A,TRUE,"Cover";"toc5",#N/A,TRUE,"TOC";"over",#N/A,TRUE,"Overview";"ts2",#N/A,TRUE,"Det_Trans_Sum";"ei1",#N/A,TRUE,"Earnings Impact";"ad1",#N/A,TRUE,"accretion dilution";"pfis1",#N/A,TRUE,"Pro Forma Income Statement";"ca1",#N/A,TRUE,"Contribution_Analysis";"acq1",#N/A,TRUE,"Acquirer";"tar1",#N/A,TRUE,"Target"}</definedName>
    <definedName name="wrn.35." localSheetId="8" hidden="1">{"cover",#N/A,TRUE,"Cover";"toc5",#N/A,TRUE,"TOC";"over",#N/A,TRUE,"Overview";"ts2",#N/A,TRUE,"Det_Trans_Sum";"ei2",#N/A,TRUE,"Earnings Impact";"ad2",#N/A,TRUE,"accretion dilution";"pfis2",#N/A,TRUE,"Pro Forma Income Statement";"ca2",#N/A,TRUE,"Contribution_Analysis";"acq2",#N/A,TRUE,"Acquirer";"tar2",#N/A,TRUE,"Target"}</definedName>
    <definedName name="wrn.35." hidden="1">{"cover",#N/A,TRUE,"Cover";"toc5",#N/A,TRUE,"TOC";"over",#N/A,TRUE,"Overview";"ts2",#N/A,TRUE,"Det_Trans_Sum";"ei2",#N/A,TRUE,"Earnings Impact";"ad2",#N/A,TRUE,"accretion dilution";"pfis2",#N/A,TRUE,"Pro Forma Income Statement";"ca2",#N/A,TRUE,"Contribution_Analysis";"acq2",#N/A,TRUE,"Acquirer";"tar2",#N/A,TRUE,"Target"}</definedName>
    <definedName name="wrn.36." localSheetId="8" hidden="1">{"cover",#N/A,TRUE,"Cover";"toc5",#N/A,TRUE,"TOC";"over",#N/A,TRUE,"Overview";"ts2",#N/A,TRUE,"Det_Trans_Sum";"ei3",#N/A,TRUE,"Earnings Impact";"ad3",#N/A,TRUE,"accretion dilution";"pfis3",#N/A,TRUE,"Pro Forma Income Statement";"ca3",#N/A,TRUE,"Contribution_Analysis";"acq3",#N/A,TRUE,"Acquirer";"tar3",#N/A,TRUE,"Target"}</definedName>
    <definedName name="wrn.36." hidden="1">{"cover",#N/A,TRUE,"Cover";"toc5",#N/A,TRUE,"TOC";"over",#N/A,TRUE,"Overview";"ts2",#N/A,TRUE,"Det_Trans_Sum";"ei3",#N/A,TRUE,"Earnings Impact";"ad3",#N/A,TRUE,"accretion dilution";"pfis3",#N/A,TRUE,"Pro Forma Income Statement";"ca3",#N/A,TRUE,"Contribution_Analysis";"acq3",#N/A,TRUE,"Acquirer";"tar3",#N/A,TRUE,"Target"}</definedName>
    <definedName name="wrn.37." localSheetId="8" hidden="1">{"cover",#N/A,TRUE,"Cover";"toc6",#N/A,TRUE,"TOC";"over",#N/A,TRUE,"Overview";"ts2",#N/A,TRUE,"Det_Trans_Sum";"ei",#N/A,TRUE,"Earnings Impact";"ad",#N/A,TRUE,"accretion dilution";"hg",#N/A,TRUE,"Has-Gets";"pfis",#N/A,TRUE,"Pro Forma Income Statement";"ca",#N/A,TRUE,"Contribution_Analysis";"acq",#N/A,TRUE,"Acquirer";"tar",#N/A,TRUE,"Target"}</definedName>
    <definedName name="wrn.37." hidden="1">{"cover",#N/A,TRUE,"Cover";"toc6",#N/A,TRUE,"TOC";"over",#N/A,TRUE,"Overview";"ts2",#N/A,TRUE,"Det_Trans_Sum";"ei",#N/A,TRUE,"Earnings Impact";"ad",#N/A,TRUE,"accretion dilution";"hg",#N/A,TRUE,"Has-Gets";"pfis",#N/A,TRUE,"Pro Forma Income Statement";"ca",#N/A,TRUE,"Contribution_Analysis";"acq",#N/A,TRUE,"Acquirer";"tar",#N/A,TRUE,"Target"}</definedName>
    <definedName name="wrn.38." localSheetId="8" hidden="1">{"cover",#N/A,TRUE,"Cover";"toc6",#N/A,TRUE,"TOC";"over",#N/A,TRUE,"Overview";"ts2",#N/A,TRUE,"Det_Trans_Sum";"ei1",#N/A,TRUE,"Earnings Impact";"ad1",#N/A,TRUE,"accretion dilution";"hg1",#N/A,TRUE,"Has-Gets";"pfis1",#N/A,TRUE,"Pro Forma Income Statement";"ca1",#N/A,TRUE,"Contribution_Analysis";"acq1",#N/A,TRUE,"Acquirer";"tar1",#N/A,TRUE,"Target"}</definedName>
    <definedName name="wrn.38." hidden="1">{"cover",#N/A,TRUE,"Cover";"toc6",#N/A,TRUE,"TOC";"over",#N/A,TRUE,"Overview";"ts2",#N/A,TRUE,"Det_Trans_Sum";"ei1",#N/A,TRUE,"Earnings Impact";"ad1",#N/A,TRUE,"accretion dilution";"hg1",#N/A,TRUE,"Has-Gets";"pfis1",#N/A,TRUE,"Pro Forma Income Statement";"ca1",#N/A,TRUE,"Contribution_Analysis";"acq1",#N/A,TRUE,"Acquirer";"tar1",#N/A,TRUE,"Target"}</definedName>
    <definedName name="wrn.39." localSheetId="8" hidden="1">{"cover",#N/A,TRUE,"Cover";"toc6",#N/A,TRUE,"TOC";"over",#N/A,TRUE,"Overview";"ts2",#N/A,TRUE,"Det_Trans_Sum";"ei2",#N/A,TRUE,"Earnings Impact";"ad2",#N/A,TRUE,"accretion dilution";"hg2",#N/A,TRUE,"Has-Gets";"pfis2",#N/A,TRUE,"Pro Forma Income Statement";"ca2",#N/A,TRUE,"Contribution_Analysis";"acq2",#N/A,TRUE,"Acquirer";"tar2",#N/A,TRUE,"Target"}</definedName>
    <definedName name="wrn.39." hidden="1">{"cover",#N/A,TRUE,"Cover";"toc6",#N/A,TRUE,"TOC";"over",#N/A,TRUE,"Overview";"ts2",#N/A,TRUE,"Det_Trans_Sum";"ei2",#N/A,TRUE,"Earnings Impact";"ad2",#N/A,TRUE,"accretion dilution";"hg2",#N/A,TRUE,"Has-Gets";"pfis2",#N/A,TRUE,"Pro Forma Income Statement";"ca2",#N/A,TRUE,"Contribution_Analysis";"acq2",#N/A,TRUE,"Acquirer";"tar2",#N/A,TRUE,"Target"}</definedName>
    <definedName name="wrn.4." localSheetId="8" hidden="1">{"toc1",#N/A,FALSE,"TOC";"cover",#N/A,FALSE,"Cover";"ts1",#N/A,FALSE,"Transaction Summary";"ei3",#N/A,FALSE,"Earnings Impact";"ad3",#N/A,FALSE,"accretion dilution"}</definedName>
    <definedName name="wrn.4." hidden="1">{"toc1",#N/A,FALSE,"TOC";"cover",#N/A,FALSE,"Cover";"ts1",#N/A,FALSE,"Transaction Summary";"ei3",#N/A,FALSE,"Earnings Impact";"ad3",#N/A,FALSE,"accretion dilution"}</definedName>
    <definedName name="wrn.40." localSheetId="8" hidden="1">{"cover",#N/A,TRUE,"Cover";"toc6",#N/A,TRUE,"TOC";"over",#N/A,TRUE,"Overview";"ts2",#N/A,TRUE,"Det_Trans_Sum";"ei3",#N/A,TRUE,"Earnings Impact";"ad3",#N/A,TRUE,"accretion dilution";"hg3",#N/A,TRUE,"Has-Gets";"pfis3",#N/A,TRUE,"Pro Forma Income Statement";"ca3",#N/A,TRUE,"Contribution_Analysis";"acq3",#N/A,TRUE,"Acquirer";"tar3",#N/A,TRUE,"Target"}</definedName>
    <definedName name="wrn.40." hidden="1">{"cover",#N/A,TRUE,"Cover";"toc6",#N/A,TRUE,"TOC";"over",#N/A,TRUE,"Overview";"ts2",#N/A,TRUE,"Det_Trans_Sum";"ei3",#N/A,TRUE,"Earnings Impact";"ad3",#N/A,TRUE,"accretion dilution";"hg3",#N/A,TRUE,"Has-Gets";"pfis3",#N/A,TRUE,"Pro Forma Income Statement";"ca3",#N/A,TRUE,"Contribution_Analysis";"acq3",#N/A,TRUE,"Acquirer";"tar3",#N/A,TRUE,"Target"}</definedName>
    <definedName name="wrn.41." localSheetId="8" hidden="1">{"cover",#N/A,TRUE,"Cover";"toc7",#N/A,TRUE,"TOC";"over",#N/A,TRUE,"Overview";"ts2",#N/A,TRUE,"Det_Trans_Sum";"eic",#N/A,TRUE,"Earnings Impact";"ad",#N/A,TRUE,"accretion dilution";"pfis",#N/A,TRUE,"Pro Forma Income Statement";"profba",#N/A,TRUE,"Pro Forma Balance Sheet";"acqc",#N/A,TRUE,"Acquirer";"tarc",#N/A,TRUE,"Target"}</definedName>
    <definedName name="wrn.41." hidden="1">{"cover",#N/A,TRUE,"Cover";"toc7",#N/A,TRUE,"TOC";"over",#N/A,TRUE,"Overview";"ts2",#N/A,TRUE,"Det_Trans_Sum";"eic",#N/A,TRUE,"Earnings Impact";"ad",#N/A,TRUE,"accretion dilution";"pfis",#N/A,TRUE,"Pro Forma Income Statement";"profba",#N/A,TRUE,"Pro Forma Balance Sheet";"acqc",#N/A,TRUE,"Acquirer";"tarc",#N/A,TRUE,"Target"}</definedName>
    <definedName name="wrn.42." localSheetId="8" hidden="1">{"cover",#N/A,TRUE,"Cover";"toc7",#N/A,TRUE,"TOC";"over",#N/A,TRUE,"Overview";"ts2",#N/A,TRUE,"Det_Trans_Sum";"ei1c",#N/A,TRUE,"Earnings Impact";"ad1",#N/A,TRUE,"accretion dilution";"pfis1",#N/A,TRUE,"Pro Forma Income Statement";"profba",#N/A,TRUE,"Pro Forma Balance Sheet";"acq1c",#N/A,TRUE,"Acquirer";"tar1c",#N/A,TRUE,"Target"}</definedName>
    <definedName name="wrn.42." hidden="1">{"cover",#N/A,TRUE,"Cover";"toc7",#N/A,TRUE,"TOC";"over",#N/A,TRUE,"Overview";"ts2",#N/A,TRUE,"Det_Trans_Sum";"ei1c",#N/A,TRUE,"Earnings Impact";"ad1",#N/A,TRUE,"accretion dilution";"pfis1",#N/A,TRUE,"Pro Forma Income Statement";"profba",#N/A,TRUE,"Pro Forma Balance Sheet";"acq1c",#N/A,TRUE,"Acquirer";"tar1c",#N/A,TRUE,"Target"}</definedName>
    <definedName name="wrn.43." localSheetId="8" hidden="1">{"cover",#N/A,TRUE,"Cover";"toc7",#N/A,TRUE,"TOC";"over",#N/A,TRUE,"Overview";"ts2",#N/A,TRUE,"Det_Trans_Sum";"ei2c",#N/A,TRUE,"Earnings Impact";"ad2",#N/A,TRUE,"accretion dilution";"pfis2",#N/A,TRUE,"Pro Forma Income Statement";"profba",#N/A,TRUE,"Pro Forma Balance Sheet";"acq2c",#N/A,TRUE,"Acquirer";"tar2c",#N/A,TRUE,"Target"}</definedName>
    <definedName name="wrn.43." hidden="1">{"cover",#N/A,TRUE,"Cover";"toc7",#N/A,TRUE,"TOC";"over",#N/A,TRUE,"Overview";"ts2",#N/A,TRUE,"Det_Trans_Sum";"ei2c",#N/A,TRUE,"Earnings Impact";"ad2",#N/A,TRUE,"accretion dilution";"pfis2",#N/A,TRUE,"Pro Forma Income Statement";"profba",#N/A,TRUE,"Pro Forma Balance Sheet";"acq2c",#N/A,TRUE,"Acquirer";"tar2c",#N/A,TRUE,"Target"}</definedName>
    <definedName name="wrn.44." localSheetId="8" hidden="1">{"cover",#N/A,TRUE,"Cover";"toc7",#N/A,TRUE,"TOC";"over",#N/A,TRUE,"Overview";"ts2",#N/A,TRUE,"Det_Trans_Sum";"ei3c",#N/A,TRUE,"Earnings Impact";"ad3",#N/A,TRUE,"accretion dilution";"pfis3",#N/A,TRUE,"Pro Forma Income Statement";"profba",#N/A,TRUE,"Pro Forma Balance Sheet";"acq3c",#N/A,TRUE,"Acquirer";"tar3c",#N/A,TRUE,"Target"}</definedName>
    <definedName name="wrn.44." hidden="1">{"cover",#N/A,TRUE,"Cover";"toc7",#N/A,TRUE,"TOC";"over",#N/A,TRUE,"Overview";"ts2",#N/A,TRUE,"Det_Trans_Sum";"ei3c",#N/A,TRUE,"Earnings Impact";"ad3",#N/A,TRUE,"accretion dilution";"pfis3",#N/A,TRUE,"Pro Forma Income Statement";"profba",#N/A,TRUE,"Pro Forma Balance Sheet";"acq3c",#N/A,TRUE,"Acquirer";"tar3c",#N/A,TRUE,"Target"}</definedName>
    <definedName name="wrn.448k." localSheetId="8" hidden="1">{"Profit",#N/A,FALSE,"448k";"Capital",#N/A,FALSE,"448k"}</definedName>
    <definedName name="wrn.448k." hidden="1">{"Profit",#N/A,FALSE,"448k";"Capital",#N/A,FALSE,"448k"}</definedName>
    <definedName name="wrn.45." localSheetId="8" hidden="1">{"cover",#N/A,TRUE,"Cover";"toc8",#N/A,TRUE,"TOC";"over",#N/A,TRUE,"Overview";"ts2",#N/A,TRUE,"Det_Trans_Sum";"eic",#N/A,TRUE,"Earnings Impact";"ad",#N/A,TRUE,"accretion dilution";"pfis",#N/A,TRUE,"Pro Forma Income Statement";"ca",#N/A,TRUE,"Contribution_Analysis";"profba",#N/A,TRUE,"Pro Forma Balance Sheet";"acqc",#N/A,TRUE,"Acquirer";"tarc",#N/A,TRUE,"Target"}</definedName>
    <definedName name="wrn.45." hidden="1">{"cover",#N/A,TRUE,"Cover";"toc8",#N/A,TRUE,"TOC";"over",#N/A,TRUE,"Overview";"ts2",#N/A,TRUE,"Det_Trans_Sum";"eic",#N/A,TRUE,"Earnings Impact";"ad",#N/A,TRUE,"accretion dilution";"pfis",#N/A,TRUE,"Pro Forma Income Statement";"ca",#N/A,TRUE,"Contribution_Analysis";"profba",#N/A,TRUE,"Pro Forma Balance Sheet";"acqc",#N/A,TRUE,"Acquirer";"tarc",#N/A,TRUE,"Target"}</definedName>
    <definedName name="wrn.4500_4P." localSheetId="8" hidden="1">{"Profit",#N/A,FALSE,"4500(4P)";"Capital",#N/A,FALSE,"4500(4P)"}</definedName>
    <definedName name="wrn.4500_4P." hidden="1">{"Profit",#N/A,FALSE,"4500(4P)";"Capital",#N/A,FALSE,"4500(4P)"}</definedName>
    <definedName name="wrn.4500_6P." localSheetId="8" hidden="1">{"Profit",#N/A,FALSE,"4500(6P)";"Capital",#N/A,FALSE,"4500(6P)"}</definedName>
    <definedName name="wrn.4500_6P." hidden="1">{"Profit",#N/A,FALSE,"4500(6P)";"Capital",#N/A,FALSE,"4500(6P)"}</definedName>
    <definedName name="wrn.4500_8P." localSheetId="8" hidden="1">{"Profit",#N/A,FALSE,"4500(8P)";"Capital",#N/A,FALSE,"4500(8P)"}</definedName>
    <definedName name="wrn.4500_8P." hidden="1">{"Profit",#N/A,FALSE,"4500(8P)";"Capital",#N/A,FALSE,"4500(8P)"}</definedName>
    <definedName name="wrn.46." localSheetId="8" hidden="1">{"cover",#N/A,TRUE,"Cover";"toc8",#N/A,TRUE,"TOC";"over",#N/A,TRUE,"Overview";"ts2",#N/A,TRUE,"Det_Trans_Sum";"ei1c",#N/A,TRUE,"Earnings Impact";"ad1",#N/A,TRUE,"accretion dilution";"pfis1",#N/A,TRUE,"Pro Forma Income Statement";"ca1",#N/A,TRUE,"Contribution_Analysis";"profba",#N/A,TRUE,"Pro Forma Balance Sheet";"acq1c",#N/A,TRUE,"Acquirer";"tar1c",#N/A,TRUE,"Target"}</definedName>
    <definedName name="wrn.46." hidden="1">{"cover",#N/A,TRUE,"Cover";"toc8",#N/A,TRUE,"TOC";"over",#N/A,TRUE,"Overview";"ts2",#N/A,TRUE,"Det_Trans_Sum";"ei1c",#N/A,TRUE,"Earnings Impact";"ad1",#N/A,TRUE,"accretion dilution";"pfis1",#N/A,TRUE,"Pro Forma Income Statement";"ca1",#N/A,TRUE,"Contribution_Analysis";"profba",#N/A,TRUE,"Pro Forma Balance Sheet";"acq1c",#N/A,TRUE,"Acquirer";"tar1c",#N/A,TRUE,"Target"}</definedName>
    <definedName name="wrn.47." localSheetId="8" hidden="1">{"cover",#N/A,TRUE,"Cover";"toc8",#N/A,TRUE,"TOC";"over",#N/A,TRUE,"Overview";"ts2",#N/A,TRUE,"Det_Trans_Sum";"ei2c",#N/A,TRUE,"Earnings Impact";"ad2",#N/A,TRUE,"accretion dilution";"pfis2",#N/A,TRUE,"Pro Forma Income Statement";"ca2",#N/A,TRUE,"Contribution_Analysis";"profba",#N/A,TRUE,"Pro Forma Balance Sheet";"acq2c",#N/A,TRUE,"Acquirer";"tar2c",#N/A,TRUE,"Target"}</definedName>
    <definedName name="wrn.47." hidden="1">{"cover",#N/A,TRUE,"Cover";"toc8",#N/A,TRUE,"TOC";"over",#N/A,TRUE,"Overview";"ts2",#N/A,TRUE,"Det_Trans_Sum";"ei2c",#N/A,TRUE,"Earnings Impact";"ad2",#N/A,TRUE,"accretion dilution";"pfis2",#N/A,TRUE,"Pro Forma Income Statement";"ca2",#N/A,TRUE,"Contribution_Analysis";"profba",#N/A,TRUE,"Pro Forma Balance Sheet";"acq2c",#N/A,TRUE,"Acquirer";"tar2c",#N/A,TRUE,"Target"}</definedName>
    <definedName name="wrn.48." localSheetId="8" hidden="1">{"cover",#N/A,TRUE,"Cover";"toc8",#N/A,TRUE,"TOC";"over",#N/A,TRUE,"Overview";"ts2",#N/A,TRUE,"Det_Trans_Sum";"ei3c",#N/A,TRUE,"Earnings Impact";"ad3",#N/A,TRUE,"accretion dilution";"pfis3",#N/A,TRUE,"Pro Forma Income Statement";"ca3",#N/A,TRUE,"Contribution_Analysis";"profba",#N/A,TRUE,"Pro Forma Balance Sheet";"acq3c",#N/A,TRUE,"Acquirer";"tar3c",#N/A,TRUE,"Target"}</definedName>
    <definedName name="wrn.48." hidden="1">{"cover",#N/A,TRUE,"Cover";"toc8",#N/A,TRUE,"TOC";"over",#N/A,TRUE,"Overview";"ts2",#N/A,TRUE,"Det_Trans_Sum";"ei3c",#N/A,TRUE,"Earnings Impact";"ad3",#N/A,TRUE,"accretion dilution";"pfis3",#N/A,TRUE,"Pro Forma Income Statement";"ca3",#N/A,TRUE,"Contribution_Analysis";"profba",#N/A,TRUE,"Pro Forma Balance Sheet";"acq3c",#N/A,TRUE,"Acquirer";"tar3c",#N/A,TRUE,"Target"}</definedName>
    <definedName name="wrn.49." localSheetId="8" hidden="1">{"cover",#N/A,TRUE,"Cover";"toc9",#N/A,TRUE,"TOC";"over",#N/A,TRUE,"Overview";"ts2",#N/A,TRUE,"Det_Trans_Sum";"eic",#N/A,TRUE,"Earnings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Statement";"ca",#N/A,TRUE,"Contribution_Analysis";"profba",#N/A,TRUE,"Pro Forma Balance Sheet";"acqc",#N/A,TRUE,"Acquirer";"tarc",#N/A,TRUE,"Target"}</definedName>
    <definedName name="wrn.49." hidden="1">{"cover",#N/A,TRUE,"Cover";"toc9",#N/A,TRUE,"TOC";"over",#N/A,TRUE,"Overview";"ts2",#N/A,TRUE,"Det_Trans_Sum";"eic",#N/A,TRUE,"Earnings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Statement";"ca",#N/A,TRUE,"Contribution_Analysis";"profba",#N/A,TRUE,"Pro Forma Balance Sheet";"acqc",#N/A,TRUE,"Acquirer";"tarc",#N/A,TRUE,"Target"}</definedName>
    <definedName name="wrn.5." localSheetId="8" hidden="1">{"cover",#N/A,TRUE,"Cover";"toc2",#N/A,TRUE,"TOC";"ts1",#N/A,TRUE,"Transaction Summary";"ei",#N/A,TRUE,"Earnings Impact";"ad",#N/A,TRUE,"accretion dilution";"hg",#N/A,TRUE,"Has-Gets"}</definedName>
    <definedName name="wrn.5." hidden="1">{"cover",#N/A,TRUE,"Cover";"toc2",#N/A,TRUE,"TOC";"ts1",#N/A,TRUE,"Transaction Summary";"ei",#N/A,TRUE,"Earnings Impact";"ad",#N/A,TRUE,"accretion dilution";"hg",#N/A,TRUE,"Has-Gets"}</definedName>
    <definedName name="wrn.5._.Year." localSheetId="8" hidden="1">{#N/A,#N/A,FALSE,"Cover";"Bal 1",#N/A,FALSE,"Balance Sheet";"Inc 1",#N/A,FALSE,"Income Statement";"CF 1",#N/A,FALSE,"Cashflow";"Bal 2",#N/A,FALSE,"Balance Sheet";"Inc 2",#N/A,FALSE,"Income Statement";"CF 2",#N/A,FALSE,"Cashflow";"Other 1",#N/A,FALSE,"Additional Info"}</definedName>
    <definedName name="wrn.5._.Year." hidden="1">{#N/A,#N/A,FALSE,"Cover";"Bal 1",#N/A,FALSE,"Balance Sheet";"Inc 1",#N/A,FALSE,"Income Statement";"CF 1",#N/A,FALSE,"Cashflow";"Bal 2",#N/A,FALSE,"Balance Sheet";"Inc 2",#N/A,FALSE,"Income Statement";"CF 2",#N/A,FALSE,"Cashflow";"Other 1",#N/A,FALSE,"Additional Info"}</definedName>
    <definedName name="wrn.50." localSheetId="8" hidden="1">{"cover",#N/A,TRUE,"Cover";"toc9",#N/A,TRUE,"TOC";"over",#N/A,TRUE,"Overview";"ts2",#N/A,TRUE,"Det_Trans_Sum";"ei1c",#N/A,TRUE,"Earnings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Statement";"ca1",#N/A,TRUE,"Contribution_Analysis";"profba",#N/A,TRUE,"Pro Forma Balance Sheet";"acq1c",#N/A,TRUE,"Acquirer";"tar1c",#N/A,TRUE,"Target"}</definedName>
    <definedName name="wrn.50." hidden="1">{"cover",#N/A,TRUE,"Cover";"toc9",#N/A,TRUE,"TOC";"over",#N/A,TRUE,"Overview";"ts2",#N/A,TRUE,"Det_Trans_Sum";"ei1c",#N/A,TRUE,"Earnings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Statement";"ca1",#N/A,TRUE,"Contribution_Analysis";"profba",#N/A,TRUE,"Pro Forma Balance Sheet";"acq1c",#N/A,TRUE,"Acquirer";"tar1c",#N/A,TRUE,"Target"}</definedName>
    <definedName name="wrn.50._.50." localSheetId="8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50._.50.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50._.50._1" localSheetId="8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50._.50._1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50.2" localSheetId="8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50.2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50.2_1" localSheetId="8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50.2_1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50_.501" localSheetId="8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50_.501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50_.501_1" localSheetId="8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50_.501_1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51." localSheetId="8" hidden="1">{"cover",#N/A,TRUE,"Cover";"toc9",#N/A,TRUE,"TOC";"over",#N/A,TRUE,"Overview";"ei2c",#N/A,TRUE,"Earnings Impact";"ts2",#N/A,TRUE,"Det_Trans_Sum";"ad2",#N/A,TRUE,"accretion dilution";"tas",#N/A,TRUE,"TaintedShares";"hg2",#N/A,TRUE,"Has-Gets";"pfis2",#N/A,TRUE,"Pro Forma Income Statement";"ca2",#N/A,TRUE,"Contribution_Analysis";"profba",#N/A,TRUE,"Pro Forma Balance Sheet";"acq2c",#N/A,TRUE,"Acquirer";"tar2c",#N/A,TRUE,"Target"}</definedName>
    <definedName name="wrn.51." hidden="1">{"cover",#N/A,TRUE,"Cover";"toc9",#N/A,TRUE,"TOC";"over",#N/A,TRUE,"Overview";"ei2c",#N/A,TRUE,"Earnings Impact";"ts2",#N/A,TRUE,"Det_Trans_Sum";"ad2",#N/A,TRUE,"accretion dilution";"tas",#N/A,TRUE,"TaintedShares";"hg2",#N/A,TRUE,"Has-Gets";"pfis2",#N/A,TRUE,"Pro Forma Income Statement";"ca2",#N/A,TRUE,"Contribution_Analysis";"profba",#N/A,TRUE,"Pro Forma Balance Sheet";"acq2c",#N/A,TRUE,"Acquirer";"tar2c",#N/A,TRUE,"Target"}</definedName>
    <definedName name="wrn.52." localSheetId="8" hidden="1">{"cover",#N/A,TRUE,"Cover";"toc9",#N/A,TRUE,"TOC";"over",#N/A,TRUE,"Overview";"ts2",#N/A,TRUE,"Det_Trans_Sum";"ei3c",#N/A,TRUE,"Earnings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Statement";"ca3",#N/A,TRUE,"Contribution_Analysis";"profba",#N/A,TRUE,"Pro Forma Balance Sheet";"acq3c",#N/A,TRUE,"Acquirer";"tar3c",#N/A,TRUE,"Target"}</definedName>
    <definedName name="wrn.52." hidden="1">{"cover",#N/A,TRUE,"Cover";"toc9",#N/A,TRUE,"TOC";"over",#N/A,TRUE,"Overview";"ts2",#N/A,TRUE,"Det_Trans_Sum";"ei3c",#N/A,TRUE,"Earnings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Statement";"ca3",#N/A,TRUE,"Contribution_Analysis";"profba",#N/A,TRUE,"Pro Forma Balance Sheet";"acq3c",#N/A,TRUE,"Acquirer";"tar3c",#N/A,TRUE,"Target"}</definedName>
    <definedName name="wrn.53." localSheetId="8" hidden="1">{"cover",#N/A,TRUE,"Cover";"toc10",#N/A,TRUE,"TOC";"over",#N/A,TRUE,"Overview";"ts2",#N/A,TRUE,"Det_Trans_Sum";"eic",#N/A,TRUE,"Earnings Impact";"ad",#N/A,TRUE,"accretion dilution";"hg",#N/A,TRUE,"Has-Gets";"pfis",#N/A,TRUE,"Pro Forma Income Statement";"ca",#N/A,TRUE,"Contribution_Analysis";"profba",#N/A,TRUE,"Pro Forma Balance Sheet";"acqc",#N/A,TRUE,"Acquirer";"tarc",#N/A,TRUE,"Target"}</definedName>
    <definedName name="wrn.53." hidden="1">{"cover",#N/A,TRUE,"Cover";"toc10",#N/A,TRUE,"TOC";"over",#N/A,TRUE,"Overview";"ts2",#N/A,TRUE,"Det_Trans_Sum";"eic",#N/A,TRUE,"Earnings Impact";"ad",#N/A,TRUE,"accretion dilution";"hg",#N/A,TRUE,"Has-Gets";"pfis",#N/A,TRUE,"Pro Forma Income Statement";"ca",#N/A,TRUE,"Contribution_Analysis";"profba",#N/A,TRUE,"Pro Forma Balance Sheet";"acqc",#N/A,TRUE,"Acquirer";"tarc",#N/A,TRUE,"Target"}</definedName>
    <definedName name="wrn.54." localSheetId="8" hidden="1">{"cover",#N/A,TRUE,"Cover";"toc10",#N/A,TRUE,"TOC";"over",#N/A,TRUE,"Overview";"over",#N/A,TRUE,"Det_Trans_Sum";"ei1c",#N/A,TRUE,"Earnings Impact";"ad1",#N/A,TRUE,"accretion dilution";"hg1",#N/A,TRUE,"Has-Gets";"pfis1",#N/A,TRUE,"Pro Forma Income Statement";"ca1",#N/A,TRUE,"Contribution_Analysis";"profba",#N/A,TRUE,"Pro Forma Balance Sheet";"acq1c",#N/A,TRUE,"Acquirer";"tar1c",#N/A,TRUE,"Target"}</definedName>
    <definedName name="wrn.54." hidden="1">{"cover",#N/A,TRUE,"Cover";"toc10",#N/A,TRUE,"TOC";"over",#N/A,TRUE,"Overview";"over",#N/A,TRUE,"Det_Trans_Sum";"ei1c",#N/A,TRUE,"Earnings Impact";"ad1",#N/A,TRUE,"accretion dilution";"hg1",#N/A,TRUE,"Has-Gets";"pfis1",#N/A,TRUE,"Pro Forma Income Statement";"ca1",#N/A,TRUE,"Contribution_Analysis";"profba",#N/A,TRUE,"Pro Forma Balance Sheet";"acq1c",#N/A,TRUE,"Acquirer";"tar1c",#N/A,TRUE,"Target"}</definedName>
    <definedName name="wrn.55." localSheetId="8" hidden="1">{"cover",#N/A,TRUE,"Cover";"toc10",#N/A,TRUE,"TOC";"over",#N/A,TRUE,"Overview";"ts2",#N/A,TRUE,"Det_Trans_Sum";"ei2c",#N/A,TRUE,"Earnings Impact";"ad2",#N/A,TRUE,"accretion dilution";"hg2",#N/A,TRUE,"Has-Gets";"pfis2",#N/A,TRUE,"Pro Forma Income Statement";"ca2",#N/A,TRUE,"Contribution_Analysis";"profba",#N/A,TRUE,"Pro Forma Balance Sheet";"acq2c",#N/A,TRUE,"Acquirer";"tar2c",#N/A,TRUE,"Target"}</definedName>
    <definedName name="wrn.55." hidden="1">{"cover",#N/A,TRUE,"Cover";"toc10",#N/A,TRUE,"TOC";"over",#N/A,TRUE,"Overview";"ts2",#N/A,TRUE,"Det_Trans_Sum";"ei2c",#N/A,TRUE,"Earnings Impact";"ad2",#N/A,TRUE,"accretion dilution";"hg2",#N/A,TRUE,"Has-Gets";"pfis2",#N/A,TRUE,"Pro Forma Income Statement";"ca2",#N/A,TRUE,"Contribution_Analysis";"profba",#N/A,TRUE,"Pro Forma Balance Sheet";"acq2c",#N/A,TRUE,"Acquirer";"tar2c",#N/A,TRUE,"Target"}</definedName>
    <definedName name="wrn.56." localSheetId="8" hidden="1">{"cover",#N/A,TRUE,"Cover";"toc10",#N/A,TRUE,"TOC";"over",#N/A,TRUE,"Overview";"ts2",#N/A,TRUE,"Det_Trans_Sum";"ei3c",#N/A,TRUE,"Earnings Impact";"ad3",#N/A,TRUE,"accretion dilution";"hg3",#N/A,TRUE,"Has-Gets";"pfis3",#N/A,TRUE,"Pro Forma Income Statement";"ca3",#N/A,TRUE,"Contribution_Analysis";"profba",#N/A,TRUE,"Pro Forma Balance Sheet";"acq3c",#N/A,TRUE,"Acquirer";"tar3c",#N/A,TRUE,"Target"}</definedName>
    <definedName name="wrn.56." hidden="1">{"cover",#N/A,TRUE,"Cover";"toc10",#N/A,TRUE,"TOC";"over",#N/A,TRUE,"Overview";"ts2",#N/A,TRUE,"Det_Trans_Sum";"ei3c",#N/A,TRUE,"Earnings Impact";"ad3",#N/A,TRUE,"accretion dilution";"hg3",#N/A,TRUE,"Has-Gets";"pfis3",#N/A,TRUE,"Pro Forma Income Statement";"ca3",#N/A,TRUE,"Contribution_Analysis";"profba",#N/A,TRUE,"Pro Forma Balance Sheet";"acq3c",#N/A,TRUE,"Acquirer";"tar3c",#N/A,TRUE,"Target"}</definedName>
    <definedName name="wrn.57." localSheetId="8" hidden="1">{"cover",#N/A,TRUE,"Cover";"toc7",#N/A,TRUE,"TOC";"over",#N/A,TRUE,"Overview";"ts2",#N/A,TRUE,"Det_Trans_Sum";"ei",#N/A,TRUE,"Earnings Impact";"ad",#N/A,TRUE,"accretion dilution";"pfis",#N/A,TRUE,"Pro Forma Income Statement";"profba",#N/A,TRUE,"Pro Forma Balance Sheet";"acq",#N/A,TRUE,"Acquirer";"tar",#N/A,TRUE,"Target"}</definedName>
    <definedName name="wrn.57." hidden="1">{"cover",#N/A,TRUE,"Cover";"toc7",#N/A,TRUE,"TOC";"over",#N/A,TRUE,"Overview";"ts2",#N/A,TRUE,"Det_Trans_Sum";"ei",#N/A,TRUE,"Earnings Impact";"ad",#N/A,TRUE,"accretion dilution";"pfis",#N/A,TRUE,"Pro Forma Income Statement";"profba",#N/A,TRUE,"Pro Forma Balance Sheet";"acq",#N/A,TRUE,"Acquirer";"tar",#N/A,TRUE,"Target"}</definedName>
    <definedName name="wrn.58." localSheetId="8" hidden="1">{"cover",#N/A,TRUE,"Cover";"toc7",#N/A,TRUE,"TOC";"over",#N/A,TRUE,"Overview";"ts2",#N/A,TRUE,"Det_Trans_Sum";"ei1",#N/A,TRUE,"Earnings Impact";"ad1",#N/A,TRUE,"accretion dilution";"pfis1",#N/A,TRUE,"Pro Forma Income Statement";"profba",#N/A,TRUE,"Pro Forma Balance Sheet";"acq1",#N/A,TRUE,"Acquirer";"tar1",#N/A,TRUE,"Target"}</definedName>
    <definedName name="wrn.58." hidden="1">{"cover",#N/A,TRUE,"Cover";"toc7",#N/A,TRUE,"TOC";"over",#N/A,TRUE,"Overview";"ts2",#N/A,TRUE,"Det_Trans_Sum";"ei1",#N/A,TRUE,"Earnings Impact";"ad1",#N/A,TRUE,"accretion dilution";"pfis1",#N/A,TRUE,"Pro Forma Income Statement";"profba",#N/A,TRUE,"Pro Forma Balance Sheet";"acq1",#N/A,TRUE,"Acquirer";"tar1",#N/A,TRUE,"Target"}</definedName>
    <definedName name="wrn.59." localSheetId="8" hidden="1">{"cover",#N/A,TRUE,"Cover";"toc7",#N/A,TRUE,"TOC";"over",#N/A,TRUE,"Overview";"ts2",#N/A,TRUE,"Det_Trans_Sum";"ei2",#N/A,TRUE,"Earnings Impact";"ad2",#N/A,TRUE,"accretion dilution";"pfis2",#N/A,TRUE,"Pro Forma Income Statement";"profba",#N/A,TRUE,"Pro Forma Balance Sheet";"acq2",#N/A,TRUE,"Acquirer";"tar2",#N/A,TRUE,"Target"}</definedName>
    <definedName name="wrn.59." hidden="1">{"cover",#N/A,TRUE,"Cover";"toc7",#N/A,TRUE,"TOC";"over",#N/A,TRUE,"Overview";"ts2",#N/A,TRUE,"Det_Trans_Sum";"ei2",#N/A,TRUE,"Earnings Impact";"ad2",#N/A,TRUE,"accretion dilution";"pfis2",#N/A,TRUE,"Pro Forma Income Statement";"profba",#N/A,TRUE,"Pro Forma Balance Sheet";"acq2",#N/A,TRUE,"Acquirer";"tar2",#N/A,TRUE,"Target"}</definedName>
    <definedName name="wrn.5900._.WIP." localSheetId="8" hidden="1">{#N/A,#N/A,FALSE,"5900 WIP"}</definedName>
    <definedName name="wrn.5900._.WIP." hidden="1">{#N/A,#N/A,FALSE,"5900 WIP"}</definedName>
    <definedName name="wrn.6." localSheetId="8" hidden="1">{"cover",#N/A,TRUE,"Cover";"toc2",#N/A,TRUE,"TOC";"ts1",#N/A,TRUE,"Transaction Summary";"ei1",#N/A,TRUE,"Earnings Impact";"ad1",#N/A,TRUE,"accretion dilution";"hg1",#N/A,TRUE,"Has-Gets"}</definedName>
    <definedName name="wrn.6." hidden="1">{"cover",#N/A,TRUE,"Cover";"toc2",#N/A,TRUE,"TOC";"ts1",#N/A,TRUE,"Transaction Summary";"ei1",#N/A,TRUE,"Earnings Impact";"ad1",#N/A,TRUE,"accretion dilution";"hg1",#N/A,TRUE,"Has-Gets"}</definedName>
    <definedName name="wrn.60." localSheetId="8" hidden="1">{"cover",#N/A,TRUE,"Cover";"toc7",#N/A,TRUE,"TOC";"over",#N/A,TRUE,"Overview";"ts2",#N/A,TRUE,"Det_Trans_Sum";"ei3",#N/A,TRUE,"Earnings Impact";"ad3",#N/A,TRUE,"accretion dilution";"pfis3",#N/A,TRUE,"Pro Forma Income Statement";"profba",#N/A,TRUE,"Pro Forma Balance Sheet";"acq3",#N/A,TRUE,"Acquirer";"tar3",#N/A,TRUE,"Target"}</definedName>
    <definedName name="wrn.60." hidden="1">{"cover",#N/A,TRUE,"Cover";"toc7",#N/A,TRUE,"TOC";"over",#N/A,TRUE,"Overview";"ts2",#N/A,TRUE,"Det_Trans_Sum";"ei3",#N/A,TRUE,"Earnings Impact";"ad3",#N/A,TRUE,"accretion dilution";"pfis3",#N/A,TRUE,"Pro Forma Income Statement";"profba",#N/A,TRUE,"Pro Forma Balance Sheet";"acq3",#N/A,TRUE,"Acquirer";"tar3",#N/A,TRUE,"Target"}</definedName>
    <definedName name="wrn.61." localSheetId="8" hidden="1">{"cover",#N/A,TRUE,"Cover";"toc8",#N/A,TRUE,"TOC";"over",#N/A,TRUE,"Overview";"ts2",#N/A,TRUE,"Det_Trans_Sum";"ei",#N/A,TRUE,"Earnings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Statement";"ca",#N/A,TRUE,"Contribution_Analysis";"profba",#N/A,TRUE,"Pro Forma Balance Sheet";"acq",#N/A,TRUE,"Acquirer";"tar",#N/A,TRUE,"Target"}</definedName>
    <definedName name="wrn.61." hidden="1">{"cover",#N/A,TRUE,"Cover";"toc8",#N/A,TRUE,"TOC";"over",#N/A,TRUE,"Overview";"ts2",#N/A,TRUE,"Det_Trans_Sum";"ei",#N/A,TRUE,"Earnings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Statement";"ca",#N/A,TRUE,"Contribution_Analysis";"profba",#N/A,TRUE,"Pro Forma Balance Sheet";"acq",#N/A,TRUE,"Acquirer";"tar",#N/A,TRUE,"Target"}</definedName>
    <definedName name="wrn.62." localSheetId="8" hidden="1">{"cover",#N/A,TRUE,"Cover";"toc8",#N/A,TRUE,"TOC";"over",#N/A,TRUE,"Overview";"ts2",#N/A,TRUE,"Det_Trans_Sum";"ei1",#N/A,TRUE,"Earnings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Statement";"ca1",#N/A,TRUE,"Contribution_Analysis";"profba",#N/A,TRUE,"Pro Forma Balance Sheet";"acq1",#N/A,TRUE,"Acquirer";"tar1",#N/A,TRUE,"Target"}</definedName>
    <definedName name="wrn.62." hidden="1">{"cover",#N/A,TRUE,"Cover";"toc8",#N/A,TRUE,"TOC";"over",#N/A,TRUE,"Overview";"ts2",#N/A,TRUE,"Det_Trans_Sum";"ei1",#N/A,TRUE,"Earnings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Statement";"ca1",#N/A,TRUE,"Contribution_Analysis";"profba",#N/A,TRUE,"Pro Forma Balance Sheet";"acq1",#N/A,TRUE,"Acquirer";"tar1",#N/A,TRUE,"Target"}</definedName>
    <definedName name="wrn.63." localSheetId="8" hidden="1">{"cover",#N/A,TRUE,"Cover";"toc8",#N/A,TRUE,"TOC";"over",#N/A,TRUE,"Overview";"ts2",#N/A,TRUE,"Det_Trans_Sum";"ei2",#N/A,TRUE,"Earnings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Statement";"ca2",#N/A,TRUE,"Contribution_Analysis";"profba",#N/A,TRUE,"Pro Forma Balance Sheet";"acq2",#N/A,TRUE,"Acquirer";"tar2",#N/A,TRUE,"Target"}</definedName>
    <definedName name="wrn.63." hidden="1">{"cover",#N/A,TRUE,"Cover";"toc8",#N/A,TRUE,"TOC";"over",#N/A,TRUE,"Overview";"ts2",#N/A,TRUE,"Det_Trans_Sum";"ei2",#N/A,TRUE,"Earnings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Statement";"ca2",#N/A,TRUE,"Contribution_Analysis";"profba",#N/A,TRUE,"Pro Forma Balance Sheet";"acq2",#N/A,TRUE,"Acquirer";"tar2",#N/A,TRUE,"Target"}</definedName>
    <definedName name="wrn.64." localSheetId="8" hidden="1">{"cover",#N/A,TRUE,"Cover";"toc8",#N/A,TRUE,"TOC";"over",#N/A,TRUE,"Overview";"ts2",#N/A,TRUE,"Det_Trans_Sum";"ei3",#N/A,TRUE,"Earnings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Statement";"ca3",#N/A,TRUE,"Contribution_Analysis";"profba",#N/A,TRUE,"Pro Forma Balance Sheet";"acq3",#N/A,TRUE,"Acquirer";"tar3",#N/A,TRUE,"Target"}</definedName>
    <definedName name="wrn.64." hidden="1">{"cover",#N/A,TRUE,"Cover";"toc8",#N/A,TRUE,"TOC";"over",#N/A,TRUE,"Overview";"ts2",#N/A,TRUE,"Det_Trans_Sum";"ei3",#N/A,TRUE,"Earnings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Statement";"ca3",#N/A,TRUE,"Contribution_Analysis";"profba",#N/A,TRUE,"Pro Forma Balance Sheet";"acq3",#N/A,TRUE,"Acquirer";"tar3",#N/A,TRUE,"Target"}</definedName>
    <definedName name="wrn.65." localSheetId="8" hidden="1">{"cover",#N/A,TRUE,"Cover";"toc9",#N/A,TRUE,"TOC";"over",#N/A,TRUE,"Overview";"ts2",#N/A,TRUE,"Det_Trans_Sum";"ei",#N/A,TRUE,"Earnings Impact";"ad1",#N/A,TRUE,"accretion dilution";"pfis",#N/A,TRUE,"Pro Forma Income Statement";"ca",#N/A,TRUE,"Contribution_Analysis";"profba",#N/A,TRUE,"Pro Forma Balance Sheet";"acq",#N/A,TRUE,"Acquirer";"tar",#N/A,TRUE,"Target"}</definedName>
    <definedName name="wrn.65." hidden="1">{"cover",#N/A,TRUE,"Cover";"toc9",#N/A,TRUE,"TOC";"over",#N/A,TRUE,"Overview";"ts2",#N/A,TRUE,"Det_Trans_Sum";"ei",#N/A,TRUE,"Earnings Impact";"ad1",#N/A,TRUE,"accretion dilution";"pfis",#N/A,TRUE,"Pro Forma Income Statement";"ca",#N/A,TRUE,"Contribution_Analysis";"profba",#N/A,TRUE,"Pro Forma Balance Sheet";"acq",#N/A,TRUE,"Acquirer";"tar",#N/A,TRUE,"Target"}</definedName>
    <definedName name="wrn.66." localSheetId="8" hidden="1">{"cover",#N/A,TRUE,"Cover";"toc9",#N/A,TRUE,"TOC";"over",#N/A,TRUE,"Overview";"ts2",#N/A,TRUE,"Det_Trans_Sum";"ei1",#N/A,TRUE,"Earnings Impact";"ad1",#N/A,TRUE,"accretion dilution";"pfis1",#N/A,TRUE,"Pro Forma Income Statement";"ca1",#N/A,TRUE,"Contribution_Analysis";"profba",#N/A,TRUE,"Pro Forma Balance Sheet";"acq1",#N/A,TRUE,"Acquirer";"tar1",#N/A,TRUE,"Target"}</definedName>
    <definedName name="wrn.66." hidden="1">{"cover",#N/A,TRUE,"Cover";"toc9",#N/A,TRUE,"TOC";"over",#N/A,TRUE,"Overview";"ts2",#N/A,TRUE,"Det_Trans_Sum";"ei1",#N/A,TRUE,"Earnings Impact";"ad1",#N/A,TRUE,"accretion dilution";"pfis1",#N/A,TRUE,"Pro Forma Income Statement";"ca1",#N/A,TRUE,"Contribution_Analysis";"profba",#N/A,TRUE,"Pro Forma Balance Sheet";"acq1",#N/A,TRUE,"Acquirer";"tar1",#N/A,TRUE,"Target"}</definedName>
    <definedName name="wrn.67." localSheetId="8" hidden="1">{"cover",#N/A,TRUE,"Cover";"toc9",#N/A,TRUE,"TOC";"over",#N/A,TRUE,"Overview";"ts2",#N/A,TRUE,"Det_Trans_Sum";"ei2",#N/A,TRUE,"Earnings Impact";"ad2",#N/A,TRUE,"accretion dilution";"pfis2",#N/A,TRUE,"Pro Forma Income Statement";"ca2",#N/A,TRUE,"Contribution_Analysis";"profba",#N/A,TRUE,"Pro Forma Balance Sheet";"acq2",#N/A,TRUE,"Acquirer";"tar2",#N/A,TRUE,"Target"}</definedName>
    <definedName name="wrn.67." hidden="1">{"cover",#N/A,TRUE,"Cover";"toc9",#N/A,TRUE,"TOC";"over",#N/A,TRUE,"Overview";"ts2",#N/A,TRUE,"Det_Trans_Sum";"ei2",#N/A,TRUE,"Earnings Impact";"ad2",#N/A,TRUE,"accretion dilution";"pfis2",#N/A,TRUE,"Pro Forma Income Statement";"ca2",#N/A,TRUE,"Contribution_Analysis";"profba",#N/A,TRUE,"Pro Forma Balance Sheet";"acq2",#N/A,TRUE,"Acquirer";"tar2",#N/A,TRUE,"Target"}</definedName>
    <definedName name="wrn.68." localSheetId="8" hidden="1">{"cover",#N/A,TRUE,"Cover";"toc9",#N/A,TRUE,"TOC";"over",#N/A,TRUE,"Overview";"ts2",#N/A,TRUE,"Det_Trans_Sum";"ei3",#N/A,TRUE,"Earnings Impact";"ad3",#N/A,TRUE,"accretion dilution";"pfis3",#N/A,TRUE,"Pro Forma Income Statement";"ca3",#N/A,TRUE,"Contribution_Analysis";"profba",#N/A,TRUE,"Pro Forma Balance Sheet";"acq3",#N/A,TRUE,"Acquirer";"tar3",#N/A,TRUE,"Target"}</definedName>
    <definedName name="wrn.68." hidden="1">{"cover",#N/A,TRUE,"Cover";"toc9",#N/A,TRUE,"TOC";"over",#N/A,TRUE,"Overview";"ts2",#N/A,TRUE,"Det_Trans_Sum";"ei3",#N/A,TRUE,"Earnings Impact";"ad3",#N/A,TRUE,"accretion dilution";"pfis3",#N/A,TRUE,"Pro Forma Income Statement";"ca3",#N/A,TRUE,"Contribution_Analysis";"profba",#N/A,TRUE,"Pro Forma Balance Sheet";"acq3",#N/A,TRUE,"Acquirer";"tar3",#N/A,TRUE,"Target"}</definedName>
    <definedName name="wrn.69." localSheetId="8" hidden="1">{"cover",#N/A,TRUE,"Cover";"toc10",#N/A,TRUE,"TOC";"over",#N/A,TRUE,"Overview";"ts2",#N/A,TRUE,"Det_Trans_Sum";"ei",#N/A,TRUE,"Earnings Impact";"ad",#N/A,TRUE,"accretion dilution";"hg",#N/A,TRUE,"Has-Gets";"pfis",#N/A,TRUE,"Pro Forma Income Statement";"ca",#N/A,TRUE,"Contribution_Analysis";"profba",#N/A,TRUE,"Pro Forma Balance Sheet";"acq",#N/A,TRUE,"Acquirer";"tar",#N/A,TRUE,"Target"}</definedName>
    <definedName name="wrn.69." hidden="1">{"cover",#N/A,TRUE,"Cover";"toc10",#N/A,TRUE,"TOC";"over",#N/A,TRUE,"Overview";"ts2",#N/A,TRUE,"Det_Trans_Sum";"ei",#N/A,TRUE,"Earnings Impact";"ad",#N/A,TRUE,"accretion dilution";"hg",#N/A,TRUE,"Has-Gets";"pfis",#N/A,TRUE,"Pro Forma Income Statement";"ca",#N/A,TRUE,"Contribution_Analysis";"profba",#N/A,TRUE,"Pro Forma Balance Sheet";"acq",#N/A,TRUE,"Acquirer";"tar",#N/A,TRUE,"Target"}</definedName>
    <definedName name="wrn.7." localSheetId="8" hidden="1">{"cover",#N/A,TRUE,"Cover";"toc2",#N/A,TRUE,"TOC";"ts1",#N/A,TRUE,"Transaction Summary";"ei2c",#N/A,TRUE,"Earnings Impact";"ad2",#N/A,TRUE,"accretion dilution";"hg2",#N/A,TRUE,"Has-Gets"}</definedName>
    <definedName name="wrn.7." hidden="1">{"cover",#N/A,TRUE,"Cover";"toc2",#N/A,TRUE,"TOC";"ts1",#N/A,TRUE,"Transaction Summary";"ei2c",#N/A,TRUE,"Earnings Impact";"ad2",#N/A,TRUE,"accretion dilution";"hg2",#N/A,TRUE,"Has-Gets"}</definedName>
    <definedName name="wrn.70." localSheetId="8" hidden="1">{"cover",#N/A,TRUE,"Cover";"toc10",#N/A,TRUE,"TOC";"over",#N/A,TRUE,"Overview";"ts2",#N/A,TRUE,"Det_Trans_Sum";"ei1",#N/A,TRUE,"Earnings Impact";"ad1",#N/A,TRUE,"accretion dilution";"hg",#N/A,TRUE,"Has-Gets";"pfis1",#N/A,TRUE,"Pro Forma Income Statement";"ca1",#N/A,TRUE,"Contribution_Analysis";"profba",#N/A,TRUE,"Pro Forma Balance Sheet";"acq1",#N/A,TRUE,"Acquirer";"tar1",#N/A,TRUE,"Target"}</definedName>
    <definedName name="wrn.70." hidden="1">{"cover",#N/A,TRUE,"Cover";"toc10",#N/A,TRUE,"TOC";"over",#N/A,TRUE,"Overview";"ts2",#N/A,TRUE,"Det_Trans_Sum";"ei1",#N/A,TRUE,"Earnings Impact";"ad1",#N/A,TRUE,"accretion dilution";"hg",#N/A,TRUE,"Has-Gets";"pfis1",#N/A,TRUE,"Pro Forma Income Statement";"ca1",#N/A,TRUE,"Contribution_Analysis";"profba",#N/A,TRUE,"Pro Forma Balance Sheet";"acq1",#N/A,TRUE,"Acquirer";"tar1",#N/A,TRUE,"Target"}</definedName>
    <definedName name="wrn.71." localSheetId="8" hidden="1">{"cover",#N/A,TRUE,"Cover";"toc10",#N/A,TRUE,"TOC";"over",#N/A,TRUE,"Overview";"ts2",#N/A,TRUE,"Det_Trans_Sum";"ei2",#N/A,TRUE,"Earnings Impact";"ad2",#N/A,TRUE,"accretion dilution";"hg2",#N/A,TRUE,"Has-Gets";"pfis2",#N/A,TRUE,"Pro Forma Income Statement";"ca2",#N/A,TRUE,"Contribution_Analysis";"profba",#N/A,TRUE,"Pro Forma Balance Sheet";"acq2",#N/A,TRUE,"Acquirer";"tar2",#N/A,TRUE,"Target"}</definedName>
    <definedName name="wrn.71." hidden="1">{"cover",#N/A,TRUE,"Cover";"toc10",#N/A,TRUE,"TOC";"over",#N/A,TRUE,"Overview";"ts2",#N/A,TRUE,"Det_Trans_Sum";"ei2",#N/A,TRUE,"Earnings Impact";"ad2",#N/A,TRUE,"accretion dilution";"hg2",#N/A,TRUE,"Has-Gets";"pfis2",#N/A,TRUE,"Pro Forma Income Statement";"ca2",#N/A,TRUE,"Contribution_Analysis";"profba",#N/A,TRUE,"Pro Forma Balance Sheet";"acq2",#N/A,TRUE,"Acquirer";"tar2",#N/A,TRUE,"Target"}</definedName>
    <definedName name="wrn.72." localSheetId="8" hidden="1">{"cover",#N/A,TRUE,"Cover";"toc10",#N/A,TRUE,"TOC";"over",#N/A,TRUE,"Overview";"ts2",#N/A,TRUE,"Det_Trans_Sum";"ei3",#N/A,TRUE,"Earnings Impact";"ad3",#N/A,TRUE,"accretion dilution";"hg3",#N/A,TRUE,"Has-Gets";"pfis3",#N/A,TRUE,"Pro Forma Income Statement";"ca3",#N/A,TRUE,"Contribution_Analysis";"profba",#N/A,TRUE,"Pro Forma Balance Sheet";"acq3",#N/A,TRUE,"Acquirer";"tar3",#N/A,TRUE,"Target"}</definedName>
    <definedName name="wrn.72." hidden="1">{"cover",#N/A,TRUE,"Cover";"toc10",#N/A,TRUE,"TOC";"over",#N/A,TRUE,"Overview";"ts2",#N/A,TRUE,"Det_Trans_Sum";"ei3",#N/A,TRUE,"Earnings Impact";"ad3",#N/A,TRUE,"accretion dilution";"hg3",#N/A,TRUE,"Has-Gets";"pfis3",#N/A,TRUE,"Pro Forma Income Statement";"ca3",#N/A,TRUE,"Contribution_Analysis";"profba",#N/A,TRUE,"Pro Forma Balance Sheet";"acq3",#N/A,TRUE,"Acquirer";"tar3",#N/A,TRUE,"Target"}</definedName>
    <definedName name="wrn.730." localSheetId="7" hidden="1">{#N/A,#N/A,FALSE,"REPORT"}</definedName>
    <definedName name="wrn.730." localSheetId="8" hidden="1">{#N/A,#N/A,FALSE,"REPORT"}</definedName>
    <definedName name="wrn.730." hidden="1">{#N/A,#N/A,FALSE,"REPORT"}</definedName>
    <definedName name="wrn.731" localSheetId="7" hidden="1">{#N/A,#N/A,FALSE,"REPORT"}</definedName>
    <definedName name="wrn.731" localSheetId="8" hidden="1">{#N/A,#N/A,FALSE,"REPORT"}</definedName>
    <definedName name="wrn.731" hidden="1">{#N/A,#N/A,FALSE,"REPORT"}</definedName>
    <definedName name="wrn.750." localSheetId="7" hidden="1">{#N/A,#N/A,FALSE,"REPORT"}</definedName>
    <definedName name="wrn.750." localSheetId="8" hidden="1">{#N/A,#N/A,FALSE,"REPORT"}</definedName>
    <definedName name="wrn.750." hidden="1">{#N/A,#N/A,FALSE,"REPORT"}</definedName>
    <definedName name="wrn.7501" localSheetId="7" hidden="1">{#N/A,#N/A,FALSE,"REPORT"}</definedName>
    <definedName name="wrn.7501" localSheetId="8" hidden="1">{#N/A,#N/A,FALSE,"REPORT"}</definedName>
    <definedName name="wrn.7501" hidden="1">{#N/A,#N/A,FALSE,"REPORT"}</definedName>
    <definedName name="wrn.760.16." localSheetId="7" hidden="1">{#N/A,#N/A,FALSE,"REPORT"}</definedName>
    <definedName name="wrn.760.16." localSheetId="8" hidden="1">{#N/A,#N/A,FALSE,"REPORT"}</definedName>
    <definedName name="wrn.760.16." hidden="1">{#N/A,#N/A,FALSE,"REPORT"}</definedName>
    <definedName name="wrn.7900" localSheetId="7" hidden="1">{#N/A,#N/A,FALSE,"REPORT"}</definedName>
    <definedName name="wrn.7900" localSheetId="8" hidden="1">{#N/A,#N/A,FALSE,"REPORT"}</definedName>
    <definedName name="wrn.7900" hidden="1">{#N/A,#N/A,FALSE,"REPORT"}</definedName>
    <definedName name="wrn.8." localSheetId="8" hidden="1">{"cover",#N/A,TRUE,"Cover";"toc2",#N/A,TRUE,"TOC";"ts1",#N/A,TRUE,"Transaction Summary";"ei3",#N/A,TRUE,"Earnings Impact";"ad3",#N/A,TRUE,"accretion dilution";"hg3",#N/A,TRUE,"Has-Gets"}</definedName>
    <definedName name="wrn.8." hidden="1">{"cover",#N/A,TRUE,"Cover";"toc2",#N/A,TRUE,"TOC";"ts1",#N/A,TRUE,"Transaction Summary";"ei3",#N/A,TRUE,"Earnings Impact";"ad3",#N/A,TRUE,"accretion dilution";"hg3",#N/A,TRUE,"Has-Gets"}</definedName>
    <definedName name="wrn.9." localSheetId="8" hidden="1">{"cover",#N/A,TRUE,"Cover";"toc3",#N/A,TRUE,"TOC";"over",#N/A,TRUE,"Overview";"ts2",#N/A,TRUE,"Det_Trans_Sum";"eic",#N/A,TRUE,"Earnings Impact";"ad",#N/A,TRUE,"accretion dilution";"pfis",#N/A,TRUE,"Pro Forma Income Statement";"acqc",#N/A,TRUE,"Acquirer";"tarc",#N/A,TRUE,"Target"}</definedName>
    <definedName name="wrn.9." hidden="1">{"cover",#N/A,TRUE,"Cover";"toc3",#N/A,TRUE,"TOC";"over",#N/A,TRUE,"Overview";"ts2",#N/A,TRUE,"Det_Trans_Sum";"eic",#N/A,TRUE,"Earnings Impact";"ad",#N/A,TRUE,"accretion dilution";"pfis",#N/A,TRUE,"Pro Forma Income Statement";"acqc",#N/A,TRUE,"Acquirer";"tarc",#N/A,TRUE,"Target"}</definedName>
    <definedName name="wrn.905" localSheetId="7" hidden="1">{#N/A,#N/A,FALSE,"REPORT"}</definedName>
    <definedName name="wrn.905" localSheetId="8" hidden="1">{#N/A,#N/A,FALSE,"REPORT"}</definedName>
    <definedName name="wrn.905" hidden="1">{#N/A,#N/A,FALSE,"REPORT"}</definedName>
    <definedName name="wrn.95sombur." localSheetId="8" hidden="1">{#N/A,#N/A,FALSE,"projcf";#N/A,#N/A,FALSE,"Projline";#N/A,#N/A,FALSE,"bankline";#N/A,#N/A,FALSE,"Fast95is";#N/A,#N/A,FALSE,"tool95is";#N/A,#N/A,FALSE,"tot95is";#N/A,#N/A,FALSE,"tool950h";#N/A,#N/A,FALSE,"fas95oh";#N/A,#N/A,FALSE,"tot95oh";#N/A,#N/A,FALSE,"95sga";#N/A,#N/A,FALSE,"95projcf";#N/A,#N/A,FALSE,"95loc";#N/A,#N/A,FALSE,"95bankline"}</definedName>
    <definedName name="wrn.95sombur." hidden="1">{#N/A,#N/A,FALSE,"projcf";#N/A,#N/A,FALSE,"Projline";#N/A,#N/A,FALSE,"bankline";#N/A,#N/A,FALSE,"Fast95is";#N/A,#N/A,FALSE,"tool95is";#N/A,#N/A,FALSE,"tot95is";#N/A,#N/A,FALSE,"tool950h";#N/A,#N/A,FALSE,"fas95oh";#N/A,#N/A,FALSE,"tot95oh";#N/A,#N/A,FALSE,"95sga";#N/A,#N/A,FALSE,"95projcf";#N/A,#N/A,FALSE,"95loc";#N/A,#N/A,FALSE,"95bankline"}</definedName>
    <definedName name="wrn.95sombur._1" localSheetId="8" hidden="1">{#N/A,#N/A,FALSE,"projcf";#N/A,#N/A,FALSE,"Projline";#N/A,#N/A,FALSE,"bankline";#N/A,#N/A,FALSE,"Fast95is";#N/A,#N/A,FALSE,"tool95is";#N/A,#N/A,FALSE,"tot95is";#N/A,#N/A,FALSE,"tool950h";#N/A,#N/A,FALSE,"fas95oh";#N/A,#N/A,FALSE,"tot95oh";#N/A,#N/A,FALSE,"95sga";#N/A,#N/A,FALSE,"95projcf";#N/A,#N/A,FALSE,"95loc";#N/A,#N/A,FALSE,"95bankline"}</definedName>
    <definedName name="wrn.95sombur._1" hidden="1">{#N/A,#N/A,FALSE,"projcf";#N/A,#N/A,FALSE,"Projline";#N/A,#N/A,FALSE,"bankline";#N/A,#N/A,FALSE,"Fast95is";#N/A,#N/A,FALSE,"tool95is";#N/A,#N/A,FALSE,"tot95is";#N/A,#N/A,FALSE,"tool950h";#N/A,#N/A,FALSE,"fas95oh";#N/A,#N/A,FALSE,"tot95oh";#N/A,#N/A,FALSE,"95sga";#N/A,#N/A,FALSE,"95projcf";#N/A,#N/A,FALSE,"95loc";#N/A,#N/A,FALSE,"95bankline"}</definedName>
    <definedName name="wrn.99999" localSheetId="7" hidden="1">{#N/A,#N/A,FALSE,"REPORT"}</definedName>
    <definedName name="wrn.99999" localSheetId="8" hidden="1">{#N/A,#N/A,FALSE,"REPORT"}</definedName>
    <definedName name="wrn.99999" hidden="1">{#N/A,#N/A,FALSE,"REPORT"}</definedName>
    <definedName name="wrn.a.._.IRG." localSheetId="8" hidden="1">{#N/A,#N/A,FALSE,"D9-NWWG";"E4a_Summary_inc_Forecast",#N/A,FALSE,"E4a-Summary";"E4b_WS_inc_Forecast",#N/A,FALSE,"E4b-WS";"E4c-WWS_inc_Forecast",#N/A,FALSE,"E4c-WWS";"E4d_M&amp;G_inc_Forecast",#N/A,FALSE,"E4d-M&amp;G";#N/A,#N/A,FALSE,"E1-Ops";#N/A,#N/A,FALSE,"E4-WS1";#N/A,#N/A,FALSE,"E5-WS2";#N/A,#N/A,FALSE,"E6-WS3";#N/A,#N/A,FALSE,"F2-WSG";#N/A,#N/A,FALSE,"E7-WWS1";#N/A,#N/A,FALSE,"E8-WWS2";#N/A,#N/A,FALSE,"E9-WWS3";#N/A,#N/A,FALSE,"F3-WWSG"}</definedName>
    <definedName name="wrn.a.._.IRG." hidden="1">{#N/A,#N/A,FALSE,"D9-NWWG";"E4a_Summary_inc_Forecast",#N/A,FALSE,"E4a-Summary";"E4b_WS_inc_Forecast",#N/A,FALSE,"E4b-WS";"E4c-WWS_inc_Forecast",#N/A,FALSE,"E4c-WWS";"E4d_M&amp;G_inc_Forecast",#N/A,FALSE,"E4d-M&amp;G";#N/A,#N/A,FALSE,"E1-Ops";#N/A,#N/A,FALSE,"E4-WS1";#N/A,#N/A,FALSE,"E5-WS2";#N/A,#N/A,FALSE,"E6-WS3";#N/A,#N/A,FALSE,"F2-WSG";#N/A,#N/A,FALSE,"E7-WWS1";#N/A,#N/A,FALSE,"E8-WWS2";#N/A,#N/A,FALSE,"E9-WWS3";#N/A,#N/A,FALSE,"F3-WWSG"}</definedName>
    <definedName name="wrn.a.._.IRG._.Colours." localSheetId="8" hidden="1">{#N/A,#N/A,FALSE,"D9-NWWG";#N/A,#N/A,FALSE,"F2-WMG";#N/A,#N/A,FALSE,"F3-WWMG"}</definedName>
    <definedName name="wrn.a.._.IRG._.Colours." hidden="1">{#N/A,#N/A,FALSE,"D9-NWWG";#N/A,#N/A,FALSE,"F2-WMG";#N/A,#N/A,FALSE,"F3-WWMG"}</definedName>
    <definedName name="wrn.aaa" localSheetId="7" hidden="1">{#N/A,#N/A,FALSE,"Pharm";#N/A,#N/A,FALSE,"WWCM"}</definedName>
    <definedName name="wrn.aaa" localSheetId="8" hidden="1">{#N/A,#N/A,FALSE,"Pharm";#N/A,#N/A,FALSE,"WWCM"}</definedName>
    <definedName name="wrn.aaa" hidden="1">{#N/A,#N/A,FALSE,"Pharm";#N/A,#N/A,FALSE,"WWCM"}</definedName>
    <definedName name="wrn.aaaaaaa" localSheetId="7" hidden="1">{#N/A,#N/A,FALSE,"Pharm";#N/A,#N/A,FALSE,"WWCM"}</definedName>
    <definedName name="wrn.aaaaaaa" localSheetId="8" hidden="1">{#N/A,#N/A,FALSE,"Pharm";#N/A,#N/A,FALSE,"WWCM"}</definedName>
    <definedName name="wrn.aaaaaaa" hidden="1">{#N/A,#N/A,FALSE,"Pharm";#N/A,#N/A,FALSE,"WWCM"}</definedName>
    <definedName name="wrn.Accretion." localSheetId="8" hidden="1">{"Accretion",#N/A,FALSE,"Assum"}</definedName>
    <definedName name="wrn.Accretion." hidden="1">{"Accretion",#N/A,FALSE,"Assum"}</definedName>
    <definedName name="wrn.Accretion._.Dilution." hidden="1">{#N/A,#N/A,TRUE,"Snapshot";#N/A,#N/A,TRUE,"PE at Different Premiums";#N/A,#N/A,TRUE,"EBITDA at Different Premiums";#N/A,#N/A,TRUE,"Long Form Dilution";#N/A,#N/A,TRUE,"AVP";#N/A,#N/A,TRUE,"Has-Gets";#N/A,#N/A,TRUE,"Contribution"}</definedName>
    <definedName name="wrn.Accretion._.Dilution._split" hidden="1">{#N/A,#N/A,TRUE,"Snapshot";#N/A,#N/A,TRUE,"PE at Different Premiums";#N/A,#N/A,TRUE,"EBITDA at Different Premiums";#N/A,#N/A,TRUE,"Long Form Dilution";#N/A,#N/A,TRUE,"AVP";#N/A,#N/A,TRUE,"Has-Gets";#N/A,#N/A,TRUE,"Contribution"}</definedName>
    <definedName name="wrn.Acquiror." hidden="1">{"a_Acquiror Assumptions",#N/A,FALSE,"Financials";"b_Acquiror Income Statement",#N/A,FALSE,"Financials";"c_Acquiror Balance Sheet",#N/A,FALSE,"Financials";"d_Acquiror Cashflow Statement",#N/A,FALSE,"Financials"}</definedName>
    <definedName name="wrn.Acquiror._.Financial._.Statements." hidden="1">{"Acquiror Income Statement",#N/A,TRUE,"Acquiror";"Acquiror Balance Sheet",#N/A,TRUE,"Acquiror";"Acquiror Cash Flow",#N/A,TRUE,"Acquiror"}</definedName>
    <definedName name="wrn.Acquiror._1" hidden="1">{"a_Acquiror Assumptions",#N/A,FALSE,"Financials";"b_Acquiror Income Statement",#N/A,FALSE,"Financials";"c_Acquiror Balance Sheet",#N/A,FALSE,"Financials";"d_Acquiror Cashflow Statement",#N/A,FALSE,"Financials"}</definedName>
    <definedName name="wrn.Acquiror._1_1" hidden="1">{"a_Acquiror Assumptions",#N/A,FALSE,"Financials";"b_Acquiror Income Statement",#N/A,FALSE,"Financials";"c_Acquiror Balance Sheet",#N/A,FALSE,"Financials";"d_Acquiror Cashflow Statement",#N/A,FALSE,"Financials"}</definedName>
    <definedName name="wrn.Acquiror._1_1_1" hidden="1">{"a_Acquiror Assumptions",#N/A,FALSE,"Financials";"b_Acquiror Income Statement",#N/A,FALSE,"Financials";"c_Acquiror Balance Sheet",#N/A,FALSE,"Financials";"d_Acquiror Cashflow Statement",#N/A,FALSE,"Financials"}</definedName>
    <definedName name="wrn.Acquiror._1_1_1_1" hidden="1">{"a_Acquiror Assumptions",#N/A,FALSE,"Financials";"b_Acquiror Income Statement",#N/A,FALSE,"Financials";"c_Acquiror Balance Sheet",#N/A,FALSE,"Financials";"d_Acquiror Cashflow Statement",#N/A,FALSE,"Financials"}</definedName>
    <definedName name="wrn.Acquiror._1_1_1_2" hidden="1">{"a_Acquiror Assumptions",#N/A,FALSE,"Financials";"b_Acquiror Income Statement",#N/A,FALSE,"Financials";"c_Acquiror Balance Sheet",#N/A,FALSE,"Financials";"d_Acquiror Cashflow Statement",#N/A,FALSE,"Financials"}</definedName>
    <definedName name="wrn.Acquiror._1_1_2" hidden="1">{"a_Acquiror Assumptions",#N/A,FALSE,"Financials";"b_Acquiror Income Statement",#N/A,FALSE,"Financials";"c_Acquiror Balance Sheet",#N/A,FALSE,"Financials";"d_Acquiror Cashflow Statement",#N/A,FALSE,"Financials"}</definedName>
    <definedName name="wrn.Acquiror._1_1_2_1" hidden="1">{"a_Acquiror Assumptions",#N/A,FALSE,"Financials";"b_Acquiror Income Statement",#N/A,FALSE,"Financials";"c_Acquiror Balance Sheet",#N/A,FALSE,"Financials";"d_Acquiror Cashflow Statement",#N/A,FALSE,"Financials"}</definedName>
    <definedName name="wrn.Acquiror._1_1_2_2" hidden="1">{"a_Acquiror Assumptions",#N/A,FALSE,"Financials";"b_Acquiror Income Statement",#N/A,FALSE,"Financials";"c_Acquiror Balance Sheet",#N/A,FALSE,"Financials";"d_Acquiror Cashflow Statement",#N/A,FALSE,"Financials"}</definedName>
    <definedName name="wrn.Acquiror._1_1_3" hidden="1">{"a_Acquiror Assumptions",#N/A,FALSE,"Financials";"b_Acquiror Income Statement",#N/A,FALSE,"Financials";"c_Acquiror Balance Sheet",#N/A,FALSE,"Financials";"d_Acquiror Cashflow Statement",#N/A,FALSE,"Financials"}</definedName>
    <definedName name="wrn.Acquiror._1_1_4" hidden="1">{"a_Acquiror Assumptions",#N/A,FALSE,"Financials";"b_Acquiror Income Statement",#N/A,FALSE,"Financials";"c_Acquiror Balance Sheet",#N/A,FALSE,"Financials";"d_Acquiror Cashflow Statement",#N/A,FALSE,"Financials"}</definedName>
    <definedName name="wrn.Acquiror._1_2" hidden="1">{"a_Acquiror Assumptions",#N/A,FALSE,"Financials";"b_Acquiror Income Statement",#N/A,FALSE,"Financials";"c_Acquiror Balance Sheet",#N/A,FALSE,"Financials";"d_Acquiror Cashflow Statement",#N/A,FALSE,"Financials"}</definedName>
    <definedName name="wrn.Acquiror._1_2_1" hidden="1">{"a_Acquiror Assumptions",#N/A,FALSE,"Financials";"b_Acquiror Income Statement",#N/A,FALSE,"Financials";"c_Acquiror Balance Sheet",#N/A,FALSE,"Financials";"d_Acquiror Cashflow Statement",#N/A,FALSE,"Financials"}</definedName>
    <definedName name="wrn.Acquiror._1_2_1_1" hidden="1">{"a_Acquiror Assumptions",#N/A,FALSE,"Financials";"b_Acquiror Income Statement",#N/A,FALSE,"Financials";"c_Acquiror Balance Sheet",#N/A,FALSE,"Financials";"d_Acquiror Cashflow Statement",#N/A,FALSE,"Financials"}</definedName>
    <definedName name="wrn.Acquiror._1_2_1_2" hidden="1">{"a_Acquiror Assumptions",#N/A,FALSE,"Financials";"b_Acquiror Income Statement",#N/A,FALSE,"Financials";"c_Acquiror Balance Sheet",#N/A,FALSE,"Financials";"d_Acquiror Cashflow Statement",#N/A,FALSE,"Financials"}</definedName>
    <definedName name="wrn.Acquiror._1_2_2" hidden="1">{"a_Acquiror Assumptions",#N/A,FALSE,"Financials";"b_Acquiror Income Statement",#N/A,FALSE,"Financials";"c_Acquiror Balance Sheet",#N/A,FALSE,"Financials";"d_Acquiror Cashflow Statement",#N/A,FALSE,"Financials"}</definedName>
    <definedName name="wrn.Acquiror._1_2_2_1" hidden="1">{"a_Acquiror Assumptions",#N/A,FALSE,"Financials";"b_Acquiror Income Statement",#N/A,FALSE,"Financials";"c_Acquiror Balance Sheet",#N/A,FALSE,"Financials";"d_Acquiror Cashflow Statement",#N/A,FALSE,"Financials"}</definedName>
    <definedName name="wrn.Acquiror._1_2_2_2" hidden="1">{"a_Acquiror Assumptions",#N/A,FALSE,"Financials";"b_Acquiror Income Statement",#N/A,FALSE,"Financials";"c_Acquiror Balance Sheet",#N/A,FALSE,"Financials";"d_Acquiror Cashflow Statement",#N/A,FALSE,"Financials"}</definedName>
    <definedName name="wrn.Acquiror._1_2_3" hidden="1">{"a_Acquiror Assumptions",#N/A,FALSE,"Financials";"b_Acquiror Income Statement",#N/A,FALSE,"Financials";"c_Acquiror Balance Sheet",#N/A,FALSE,"Financials";"d_Acquiror Cashflow Statement",#N/A,FALSE,"Financials"}</definedName>
    <definedName name="wrn.Acquiror._1_2_4" hidden="1">{"a_Acquiror Assumptions",#N/A,FALSE,"Financials";"b_Acquiror Income Statement",#N/A,FALSE,"Financials";"c_Acquiror Balance Sheet",#N/A,FALSE,"Financials";"d_Acquiror Cashflow Statement",#N/A,FALSE,"Financials"}</definedName>
    <definedName name="wrn.Acquiror._1_3" hidden="1">{"a_Acquiror Assumptions",#N/A,FALSE,"Financials";"b_Acquiror Income Statement",#N/A,FALSE,"Financials";"c_Acquiror Balance Sheet",#N/A,FALSE,"Financials";"d_Acquiror Cashflow Statement",#N/A,FALSE,"Financials"}</definedName>
    <definedName name="wrn.Acquiror._1_3_1" hidden="1">{"a_Acquiror Assumptions",#N/A,FALSE,"Financials";"b_Acquiror Income Statement",#N/A,FALSE,"Financials";"c_Acquiror Balance Sheet",#N/A,FALSE,"Financials";"d_Acquiror Cashflow Statement",#N/A,FALSE,"Financials"}</definedName>
    <definedName name="wrn.Acquiror._1_3_1_1" hidden="1">{"a_Acquiror Assumptions",#N/A,FALSE,"Financials";"b_Acquiror Income Statement",#N/A,FALSE,"Financials";"c_Acquiror Balance Sheet",#N/A,FALSE,"Financials";"d_Acquiror Cashflow Statement",#N/A,FALSE,"Financials"}</definedName>
    <definedName name="wrn.Acquiror._1_3_1_2" hidden="1">{"a_Acquiror Assumptions",#N/A,FALSE,"Financials";"b_Acquiror Income Statement",#N/A,FALSE,"Financials";"c_Acquiror Balance Sheet",#N/A,FALSE,"Financials";"d_Acquiror Cashflow Statement",#N/A,FALSE,"Financials"}</definedName>
    <definedName name="wrn.Acquiror._1_3_2" hidden="1">{"a_Acquiror Assumptions",#N/A,FALSE,"Financials";"b_Acquiror Income Statement",#N/A,FALSE,"Financials";"c_Acquiror Balance Sheet",#N/A,FALSE,"Financials";"d_Acquiror Cashflow Statement",#N/A,FALSE,"Financials"}</definedName>
    <definedName name="wrn.Acquiror._1_3_2_1" hidden="1">{"a_Acquiror Assumptions",#N/A,FALSE,"Financials";"b_Acquiror Income Statement",#N/A,FALSE,"Financials";"c_Acquiror Balance Sheet",#N/A,FALSE,"Financials";"d_Acquiror Cashflow Statement",#N/A,FALSE,"Financials"}</definedName>
    <definedName name="wrn.Acquiror._1_3_2_2" hidden="1">{"a_Acquiror Assumptions",#N/A,FALSE,"Financials";"b_Acquiror Income Statement",#N/A,FALSE,"Financials";"c_Acquiror Balance Sheet",#N/A,FALSE,"Financials";"d_Acquiror Cashflow Statement",#N/A,FALSE,"Financials"}</definedName>
    <definedName name="wrn.Acquiror._1_3_3" hidden="1">{"a_Acquiror Assumptions",#N/A,FALSE,"Financials";"b_Acquiror Income Statement",#N/A,FALSE,"Financials";"c_Acquiror Balance Sheet",#N/A,FALSE,"Financials";"d_Acquiror Cashflow Statement",#N/A,FALSE,"Financials"}</definedName>
    <definedName name="wrn.Acquiror._1_3_4" hidden="1">{"a_Acquiror Assumptions",#N/A,FALSE,"Financials";"b_Acquiror Income Statement",#N/A,FALSE,"Financials";"c_Acquiror Balance Sheet",#N/A,FALSE,"Financials";"d_Acquiror Cashflow Statement",#N/A,FALSE,"Financials"}</definedName>
    <definedName name="wrn.Acquiror._1_4" hidden="1">{"a_Acquiror Assumptions",#N/A,FALSE,"Financials";"b_Acquiror Income Statement",#N/A,FALSE,"Financials";"c_Acquiror Balance Sheet",#N/A,FALSE,"Financials";"d_Acquiror Cashflow Statement",#N/A,FALSE,"Financials"}</definedName>
    <definedName name="wrn.Acquiror._1_4_1" hidden="1">{"a_Acquiror Assumptions",#N/A,FALSE,"Financials";"b_Acquiror Income Statement",#N/A,FALSE,"Financials";"c_Acquiror Balance Sheet",#N/A,FALSE,"Financials";"d_Acquiror Cashflow Statement",#N/A,FALSE,"Financials"}</definedName>
    <definedName name="wrn.Acquiror._1_4_1_1" hidden="1">{"a_Acquiror Assumptions",#N/A,FALSE,"Financials";"b_Acquiror Income Statement",#N/A,FALSE,"Financials";"c_Acquiror Balance Sheet",#N/A,FALSE,"Financials";"d_Acquiror Cashflow Statement",#N/A,FALSE,"Financials"}</definedName>
    <definedName name="wrn.Acquiror._1_4_1_2" hidden="1">{"a_Acquiror Assumptions",#N/A,FALSE,"Financials";"b_Acquiror Income Statement",#N/A,FALSE,"Financials";"c_Acquiror Balance Sheet",#N/A,FALSE,"Financials";"d_Acquiror Cashflow Statement",#N/A,FALSE,"Financials"}</definedName>
    <definedName name="wrn.Acquiror._1_4_2" hidden="1">{"a_Acquiror Assumptions",#N/A,FALSE,"Financials";"b_Acquiror Income Statement",#N/A,FALSE,"Financials";"c_Acquiror Balance Sheet",#N/A,FALSE,"Financials";"d_Acquiror Cashflow Statement",#N/A,FALSE,"Financials"}</definedName>
    <definedName name="wrn.Acquiror._1_4_2_1" hidden="1">{"a_Acquiror Assumptions",#N/A,FALSE,"Financials";"b_Acquiror Income Statement",#N/A,FALSE,"Financials";"c_Acquiror Balance Sheet",#N/A,FALSE,"Financials";"d_Acquiror Cashflow Statement",#N/A,FALSE,"Financials"}</definedName>
    <definedName name="wrn.Acquiror._1_4_2_2" hidden="1">{"a_Acquiror Assumptions",#N/A,FALSE,"Financials";"b_Acquiror Income Statement",#N/A,FALSE,"Financials";"c_Acquiror Balance Sheet",#N/A,FALSE,"Financials";"d_Acquiror Cashflow Statement",#N/A,FALSE,"Financials"}</definedName>
    <definedName name="wrn.Acquiror._1_4_3" hidden="1">{"a_Acquiror Assumptions",#N/A,FALSE,"Financials";"b_Acquiror Income Statement",#N/A,FALSE,"Financials";"c_Acquiror Balance Sheet",#N/A,FALSE,"Financials";"d_Acquiror Cashflow Statement",#N/A,FALSE,"Financials"}</definedName>
    <definedName name="wrn.Acquiror._1_4_4" hidden="1">{"a_Acquiror Assumptions",#N/A,FALSE,"Financials";"b_Acquiror Income Statement",#N/A,FALSE,"Financials";"c_Acquiror Balance Sheet",#N/A,FALSE,"Financials";"d_Acquiror Cashflow Statement",#N/A,FALSE,"Financials"}</definedName>
    <definedName name="wrn.Acquiror._1_5" hidden="1">{"a_Acquiror Assumptions",#N/A,FALSE,"Financials";"b_Acquiror Income Statement",#N/A,FALSE,"Financials";"c_Acquiror Balance Sheet",#N/A,FALSE,"Financials";"d_Acquiror Cashflow Statement",#N/A,FALSE,"Financials"}</definedName>
    <definedName name="wrn.Acquiror._1_5_1" hidden="1">{"a_Acquiror Assumptions",#N/A,FALSE,"Financials";"b_Acquiror Income Statement",#N/A,FALSE,"Financials";"c_Acquiror Balance Sheet",#N/A,FALSE,"Financials";"d_Acquiror Cashflow Statement",#N/A,FALSE,"Financials"}</definedName>
    <definedName name="wrn.Acquiror._1_5_1_1" hidden="1">{"a_Acquiror Assumptions",#N/A,FALSE,"Financials";"b_Acquiror Income Statement",#N/A,FALSE,"Financials";"c_Acquiror Balance Sheet",#N/A,FALSE,"Financials";"d_Acquiror Cashflow Statement",#N/A,FALSE,"Financials"}</definedName>
    <definedName name="wrn.Acquiror._1_5_1_2" hidden="1">{"a_Acquiror Assumptions",#N/A,FALSE,"Financials";"b_Acquiror Income Statement",#N/A,FALSE,"Financials";"c_Acquiror Balance Sheet",#N/A,FALSE,"Financials";"d_Acquiror Cashflow Statement",#N/A,FALSE,"Financials"}</definedName>
    <definedName name="wrn.Acquiror._1_5_2" hidden="1">{"a_Acquiror Assumptions",#N/A,FALSE,"Financials";"b_Acquiror Income Statement",#N/A,FALSE,"Financials";"c_Acquiror Balance Sheet",#N/A,FALSE,"Financials";"d_Acquiror Cashflow Statement",#N/A,FALSE,"Financials"}</definedName>
    <definedName name="wrn.Acquiror._1_5_2_1" hidden="1">{"a_Acquiror Assumptions",#N/A,FALSE,"Financials";"b_Acquiror Income Statement",#N/A,FALSE,"Financials";"c_Acquiror Balance Sheet",#N/A,FALSE,"Financials";"d_Acquiror Cashflow Statement",#N/A,FALSE,"Financials"}</definedName>
    <definedName name="wrn.Acquiror._1_5_2_2" hidden="1">{"a_Acquiror Assumptions",#N/A,FALSE,"Financials";"b_Acquiror Income Statement",#N/A,FALSE,"Financials";"c_Acquiror Balance Sheet",#N/A,FALSE,"Financials";"d_Acquiror Cashflow Statement",#N/A,FALSE,"Financials"}</definedName>
    <definedName name="wrn.Acquiror._1_5_3" hidden="1">{"a_Acquiror Assumptions",#N/A,FALSE,"Financials";"b_Acquiror Income Statement",#N/A,FALSE,"Financials";"c_Acquiror Balance Sheet",#N/A,FALSE,"Financials";"d_Acquiror Cashflow Statement",#N/A,FALSE,"Financials"}</definedName>
    <definedName name="wrn.Acquiror._1_5_4" hidden="1">{"a_Acquiror Assumptions",#N/A,FALSE,"Financials";"b_Acquiror Income Statement",#N/A,FALSE,"Financials";"c_Acquiror Balance Sheet",#N/A,FALSE,"Financials";"d_Acquiror Cashflow Statement",#N/A,FALSE,"Financials"}</definedName>
    <definedName name="wrn.Acquiror._2" hidden="1">{"a_Acquiror Assumptions",#N/A,FALSE,"Financials";"b_Acquiror Income Statement",#N/A,FALSE,"Financials";"c_Acquiror Balance Sheet",#N/A,FALSE,"Financials";"d_Acquiror Cashflow Statement",#N/A,FALSE,"Financials"}</definedName>
    <definedName name="wrn.Acquiror._2_1" hidden="1">{"a_Acquiror Assumptions",#N/A,FALSE,"Financials";"b_Acquiror Income Statement",#N/A,FALSE,"Financials";"c_Acquiror Balance Sheet",#N/A,FALSE,"Financials";"d_Acquiror Cashflow Statement",#N/A,FALSE,"Financials"}</definedName>
    <definedName name="wrn.Acquiror._2_1_1" hidden="1">{"a_Acquiror Assumptions",#N/A,FALSE,"Financials";"b_Acquiror Income Statement",#N/A,FALSE,"Financials";"c_Acquiror Balance Sheet",#N/A,FALSE,"Financials";"d_Acquiror Cashflow Statement",#N/A,FALSE,"Financials"}</definedName>
    <definedName name="wrn.Acquiror._2_1_1_1" hidden="1">{"a_Acquiror Assumptions",#N/A,FALSE,"Financials";"b_Acquiror Income Statement",#N/A,FALSE,"Financials";"c_Acquiror Balance Sheet",#N/A,FALSE,"Financials";"d_Acquiror Cashflow Statement",#N/A,FALSE,"Financials"}</definedName>
    <definedName name="wrn.Acquiror._2_1_1_2" hidden="1">{"a_Acquiror Assumptions",#N/A,FALSE,"Financials";"b_Acquiror Income Statement",#N/A,FALSE,"Financials";"c_Acquiror Balance Sheet",#N/A,FALSE,"Financials";"d_Acquiror Cashflow Statement",#N/A,FALSE,"Financials"}</definedName>
    <definedName name="wrn.Acquiror._2_1_2" hidden="1">{"a_Acquiror Assumptions",#N/A,FALSE,"Financials";"b_Acquiror Income Statement",#N/A,FALSE,"Financials";"c_Acquiror Balance Sheet",#N/A,FALSE,"Financials";"d_Acquiror Cashflow Statement",#N/A,FALSE,"Financials"}</definedName>
    <definedName name="wrn.Acquiror._2_1_2_1" hidden="1">{"a_Acquiror Assumptions",#N/A,FALSE,"Financials";"b_Acquiror Income Statement",#N/A,FALSE,"Financials";"c_Acquiror Balance Sheet",#N/A,FALSE,"Financials";"d_Acquiror Cashflow Statement",#N/A,FALSE,"Financials"}</definedName>
    <definedName name="wrn.Acquiror._2_1_2_2" hidden="1">{"a_Acquiror Assumptions",#N/A,FALSE,"Financials";"b_Acquiror Income Statement",#N/A,FALSE,"Financials";"c_Acquiror Balance Sheet",#N/A,FALSE,"Financials";"d_Acquiror Cashflow Statement",#N/A,FALSE,"Financials"}</definedName>
    <definedName name="wrn.Acquiror._2_1_3" hidden="1">{"a_Acquiror Assumptions",#N/A,FALSE,"Financials";"b_Acquiror Income Statement",#N/A,FALSE,"Financials";"c_Acquiror Balance Sheet",#N/A,FALSE,"Financials";"d_Acquiror Cashflow Statement",#N/A,FALSE,"Financials"}</definedName>
    <definedName name="wrn.Acquiror._2_1_4" hidden="1">{"a_Acquiror Assumptions",#N/A,FALSE,"Financials";"b_Acquiror Income Statement",#N/A,FALSE,"Financials";"c_Acquiror Balance Sheet",#N/A,FALSE,"Financials";"d_Acquiror Cashflow Statement",#N/A,FALSE,"Financials"}</definedName>
    <definedName name="wrn.Acquiror._2_2" hidden="1">{"a_Acquiror Assumptions",#N/A,FALSE,"Financials";"b_Acquiror Income Statement",#N/A,FALSE,"Financials";"c_Acquiror Balance Sheet",#N/A,FALSE,"Financials";"d_Acquiror Cashflow Statement",#N/A,FALSE,"Financials"}</definedName>
    <definedName name="wrn.Acquiror._2_2_1" hidden="1">{"a_Acquiror Assumptions",#N/A,FALSE,"Financials";"b_Acquiror Income Statement",#N/A,FALSE,"Financials";"c_Acquiror Balance Sheet",#N/A,FALSE,"Financials";"d_Acquiror Cashflow Statement",#N/A,FALSE,"Financials"}</definedName>
    <definedName name="wrn.Acquiror._2_2_1_1" hidden="1">{"a_Acquiror Assumptions",#N/A,FALSE,"Financials";"b_Acquiror Income Statement",#N/A,FALSE,"Financials";"c_Acquiror Balance Sheet",#N/A,FALSE,"Financials";"d_Acquiror Cashflow Statement",#N/A,FALSE,"Financials"}</definedName>
    <definedName name="wrn.Acquiror._2_2_1_2" hidden="1">{"a_Acquiror Assumptions",#N/A,FALSE,"Financials";"b_Acquiror Income Statement",#N/A,FALSE,"Financials";"c_Acquiror Balance Sheet",#N/A,FALSE,"Financials";"d_Acquiror Cashflow Statement",#N/A,FALSE,"Financials"}</definedName>
    <definedName name="wrn.Acquiror._2_2_2" hidden="1">{"a_Acquiror Assumptions",#N/A,FALSE,"Financials";"b_Acquiror Income Statement",#N/A,FALSE,"Financials";"c_Acquiror Balance Sheet",#N/A,FALSE,"Financials";"d_Acquiror Cashflow Statement",#N/A,FALSE,"Financials"}</definedName>
    <definedName name="wrn.Acquiror._2_2_2_1" hidden="1">{"a_Acquiror Assumptions",#N/A,FALSE,"Financials";"b_Acquiror Income Statement",#N/A,FALSE,"Financials";"c_Acquiror Balance Sheet",#N/A,FALSE,"Financials";"d_Acquiror Cashflow Statement",#N/A,FALSE,"Financials"}</definedName>
    <definedName name="wrn.Acquiror._2_2_2_2" hidden="1">{"a_Acquiror Assumptions",#N/A,FALSE,"Financials";"b_Acquiror Income Statement",#N/A,FALSE,"Financials";"c_Acquiror Balance Sheet",#N/A,FALSE,"Financials";"d_Acquiror Cashflow Statement",#N/A,FALSE,"Financials"}</definedName>
    <definedName name="wrn.Acquiror._2_2_3" hidden="1">{"a_Acquiror Assumptions",#N/A,FALSE,"Financials";"b_Acquiror Income Statement",#N/A,FALSE,"Financials";"c_Acquiror Balance Sheet",#N/A,FALSE,"Financials";"d_Acquiror Cashflow Statement",#N/A,FALSE,"Financials"}</definedName>
    <definedName name="wrn.Acquiror._2_2_4" hidden="1">{"a_Acquiror Assumptions",#N/A,FALSE,"Financials";"b_Acquiror Income Statement",#N/A,FALSE,"Financials";"c_Acquiror Balance Sheet",#N/A,FALSE,"Financials";"d_Acquiror Cashflow Statement",#N/A,FALSE,"Financials"}</definedName>
    <definedName name="wrn.Acquiror._2_3" hidden="1">{"a_Acquiror Assumptions",#N/A,FALSE,"Financials";"b_Acquiror Income Statement",#N/A,FALSE,"Financials";"c_Acquiror Balance Sheet",#N/A,FALSE,"Financials";"d_Acquiror Cashflow Statement",#N/A,FALSE,"Financials"}</definedName>
    <definedName name="wrn.Acquiror._2_3_1" hidden="1">{"a_Acquiror Assumptions",#N/A,FALSE,"Financials";"b_Acquiror Income Statement",#N/A,FALSE,"Financials";"c_Acquiror Balance Sheet",#N/A,FALSE,"Financials";"d_Acquiror Cashflow Statement",#N/A,FALSE,"Financials"}</definedName>
    <definedName name="wrn.Acquiror._2_3_1_1" hidden="1">{"a_Acquiror Assumptions",#N/A,FALSE,"Financials";"b_Acquiror Income Statement",#N/A,FALSE,"Financials";"c_Acquiror Balance Sheet",#N/A,FALSE,"Financials";"d_Acquiror Cashflow Statement",#N/A,FALSE,"Financials"}</definedName>
    <definedName name="wrn.Acquiror._2_3_1_2" hidden="1">{"a_Acquiror Assumptions",#N/A,FALSE,"Financials";"b_Acquiror Income Statement",#N/A,FALSE,"Financials";"c_Acquiror Balance Sheet",#N/A,FALSE,"Financials";"d_Acquiror Cashflow Statement",#N/A,FALSE,"Financials"}</definedName>
    <definedName name="wrn.Acquiror._2_3_2" hidden="1">{"a_Acquiror Assumptions",#N/A,FALSE,"Financials";"b_Acquiror Income Statement",#N/A,FALSE,"Financials";"c_Acquiror Balance Sheet",#N/A,FALSE,"Financials";"d_Acquiror Cashflow Statement",#N/A,FALSE,"Financials"}</definedName>
    <definedName name="wrn.Acquiror._2_3_2_1" hidden="1">{"a_Acquiror Assumptions",#N/A,FALSE,"Financials";"b_Acquiror Income Statement",#N/A,FALSE,"Financials";"c_Acquiror Balance Sheet",#N/A,FALSE,"Financials";"d_Acquiror Cashflow Statement",#N/A,FALSE,"Financials"}</definedName>
    <definedName name="wrn.Acquiror._2_3_2_2" hidden="1">{"a_Acquiror Assumptions",#N/A,FALSE,"Financials";"b_Acquiror Income Statement",#N/A,FALSE,"Financials";"c_Acquiror Balance Sheet",#N/A,FALSE,"Financials";"d_Acquiror Cashflow Statement",#N/A,FALSE,"Financials"}</definedName>
    <definedName name="wrn.Acquiror._2_3_3" hidden="1">{"a_Acquiror Assumptions",#N/A,FALSE,"Financials";"b_Acquiror Income Statement",#N/A,FALSE,"Financials";"c_Acquiror Balance Sheet",#N/A,FALSE,"Financials";"d_Acquiror Cashflow Statement",#N/A,FALSE,"Financials"}</definedName>
    <definedName name="wrn.Acquiror._2_3_4" hidden="1">{"a_Acquiror Assumptions",#N/A,FALSE,"Financials";"b_Acquiror Income Statement",#N/A,FALSE,"Financials";"c_Acquiror Balance Sheet",#N/A,FALSE,"Financials";"d_Acquiror Cashflow Statement",#N/A,FALSE,"Financials"}</definedName>
    <definedName name="wrn.Acquiror._2_4" hidden="1">{"a_Acquiror Assumptions",#N/A,FALSE,"Financials";"b_Acquiror Income Statement",#N/A,FALSE,"Financials";"c_Acquiror Balance Sheet",#N/A,FALSE,"Financials";"d_Acquiror Cashflow Statement",#N/A,FALSE,"Financials"}</definedName>
    <definedName name="wrn.Acquiror._2_4_1" hidden="1">{"a_Acquiror Assumptions",#N/A,FALSE,"Financials";"b_Acquiror Income Statement",#N/A,FALSE,"Financials";"c_Acquiror Balance Sheet",#N/A,FALSE,"Financials";"d_Acquiror Cashflow Statement",#N/A,FALSE,"Financials"}</definedName>
    <definedName name="wrn.Acquiror._2_4_1_1" hidden="1">{"a_Acquiror Assumptions",#N/A,FALSE,"Financials";"b_Acquiror Income Statement",#N/A,FALSE,"Financials";"c_Acquiror Balance Sheet",#N/A,FALSE,"Financials";"d_Acquiror Cashflow Statement",#N/A,FALSE,"Financials"}</definedName>
    <definedName name="wrn.Acquiror._2_4_1_2" hidden="1">{"a_Acquiror Assumptions",#N/A,FALSE,"Financials";"b_Acquiror Income Statement",#N/A,FALSE,"Financials";"c_Acquiror Balance Sheet",#N/A,FALSE,"Financials";"d_Acquiror Cashflow Statement",#N/A,FALSE,"Financials"}</definedName>
    <definedName name="wrn.Acquiror._2_4_2" hidden="1">{"a_Acquiror Assumptions",#N/A,FALSE,"Financials";"b_Acquiror Income Statement",#N/A,FALSE,"Financials";"c_Acquiror Balance Sheet",#N/A,FALSE,"Financials";"d_Acquiror Cashflow Statement",#N/A,FALSE,"Financials"}</definedName>
    <definedName name="wrn.Acquiror._2_4_2_1" hidden="1">{"a_Acquiror Assumptions",#N/A,FALSE,"Financials";"b_Acquiror Income Statement",#N/A,FALSE,"Financials";"c_Acquiror Balance Sheet",#N/A,FALSE,"Financials";"d_Acquiror Cashflow Statement",#N/A,FALSE,"Financials"}</definedName>
    <definedName name="wrn.Acquiror._2_4_2_2" hidden="1">{"a_Acquiror Assumptions",#N/A,FALSE,"Financials";"b_Acquiror Income Statement",#N/A,FALSE,"Financials";"c_Acquiror Balance Sheet",#N/A,FALSE,"Financials";"d_Acquiror Cashflow Statement",#N/A,FALSE,"Financials"}</definedName>
    <definedName name="wrn.Acquiror._2_4_3" hidden="1">{"a_Acquiror Assumptions",#N/A,FALSE,"Financials";"b_Acquiror Income Statement",#N/A,FALSE,"Financials";"c_Acquiror Balance Sheet",#N/A,FALSE,"Financials";"d_Acquiror Cashflow Statement",#N/A,FALSE,"Financials"}</definedName>
    <definedName name="wrn.Acquiror._2_4_4" hidden="1">{"a_Acquiror Assumptions",#N/A,FALSE,"Financials";"b_Acquiror Income Statement",#N/A,FALSE,"Financials";"c_Acquiror Balance Sheet",#N/A,FALSE,"Financials";"d_Acquiror Cashflow Statement",#N/A,FALSE,"Financials"}</definedName>
    <definedName name="wrn.Acquiror._2_5" hidden="1">{"a_Acquiror Assumptions",#N/A,FALSE,"Financials";"b_Acquiror Income Statement",#N/A,FALSE,"Financials";"c_Acquiror Balance Sheet",#N/A,FALSE,"Financials";"d_Acquiror Cashflow Statement",#N/A,FALSE,"Financials"}</definedName>
    <definedName name="wrn.Acquiror._2_5_1" hidden="1">{"a_Acquiror Assumptions",#N/A,FALSE,"Financials";"b_Acquiror Income Statement",#N/A,FALSE,"Financials";"c_Acquiror Balance Sheet",#N/A,FALSE,"Financials";"d_Acquiror Cashflow Statement",#N/A,FALSE,"Financials"}</definedName>
    <definedName name="wrn.Acquiror._2_5_1_1" hidden="1">{"a_Acquiror Assumptions",#N/A,FALSE,"Financials";"b_Acquiror Income Statement",#N/A,FALSE,"Financials";"c_Acquiror Balance Sheet",#N/A,FALSE,"Financials";"d_Acquiror Cashflow Statement",#N/A,FALSE,"Financials"}</definedName>
    <definedName name="wrn.Acquiror._2_5_1_2" hidden="1">{"a_Acquiror Assumptions",#N/A,FALSE,"Financials";"b_Acquiror Income Statement",#N/A,FALSE,"Financials";"c_Acquiror Balance Sheet",#N/A,FALSE,"Financials";"d_Acquiror Cashflow Statement",#N/A,FALSE,"Financials"}</definedName>
    <definedName name="wrn.Acquiror._2_5_2" hidden="1">{"a_Acquiror Assumptions",#N/A,FALSE,"Financials";"b_Acquiror Income Statement",#N/A,FALSE,"Financials";"c_Acquiror Balance Sheet",#N/A,FALSE,"Financials";"d_Acquiror Cashflow Statement",#N/A,FALSE,"Financials"}</definedName>
    <definedName name="wrn.Acquiror._2_5_2_1" hidden="1">{"a_Acquiror Assumptions",#N/A,FALSE,"Financials";"b_Acquiror Income Statement",#N/A,FALSE,"Financials";"c_Acquiror Balance Sheet",#N/A,FALSE,"Financials";"d_Acquiror Cashflow Statement",#N/A,FALSE,"Financials"}</definedName>
    <definedName name="wrn.Acquiror._2_5_2_2" hidden="1">{"a_Acquiror Assumptions",#N/A,FALSE,"Financials";"b_Acquiror Income Statement",#N/A,FALSE,"Financials";"c_Acquiror Balance Sheet",#N/A,FALSE,"Financials";"d_Acquiror Cashflow Statement",#N/A,FALSE,"Financials"}</definedName>
    <definedName name="wrn.Acquiror._2_5_3" hidden="1">{"a_Acquiror Assumptions",#N/A,FALSE,"Financials";"b_Acquiror Income Statement",#N/A,FALSE,"Financials";"c_Acquiror Balance Sheet",#N/A,FALSE,"Financials";"d_Acquiror Cashflow Statement",#N/A,FALSE,"Financials"}</definedName>
    <definedName name="wrn.Acquiror._2_5_4" hidden="1">{"a_Acquiror Assumptions",#N/A,FALSE,"Financials";"b_Acquiror Income Statement",#N/A,FALSE,"Financials";"c_Acquiror Balance Sheet",#N/A,FALSE,"Financials";"d_Acquiror Cashflow Statement",#N/A,FALSE,"Financials"}</definedName>
    <definedName name="wrn.Acquiror._3" hidden="1">{"a_Acquiror Assumptions",#N/A,FALSE,"Financials";"b_Acquiror Income Statement",#N/A,FALSE,"Financials";"c_Acquiror Balance Sheet",#N/A,FALSE,"Financials";"d_Acquiror Cashflow Statement",#N/A,FALSE,"Financials"}</definedName>
    <definedName name="wrn.Acquiror._3_1" hidden="1">{"a_Acquiror Assumptions",#N/A,FALSE,"Financials";"b_Acquiror Income Statement",#N/A,FALSE,"Financials";"c_Acquiror Balance Sheet",#N/A,FALSE,"Financials";"d_Acquiror Cashflow Statement",#N/A,FALSE,"Financials"}</definedName>
    <definedName name="wrn.Acquiror._3_1_1" hidden="1">{"a_Acquiror Assumptions",#N/A,FALSE,"Financials";"b_Acquiror Income Statement",#N/A,FALSE,"Financials";"c_Acquiror Balance Sheet",#N/A,FALSE,"Financials";"d_Acquiror Cashflow Statement",#N/A,FALSE,"Financials"}</definedName>
    <definedName name="wrn.Acquiror._3_1_1_1" hidden="1">{"a_Acquiror Assumptions",#N/A,FALSE,"Financials";"b_Acquiror Income Statement",#N/A,FALSE,"Financials";"c_Acquiror Balance Sheet",#N/A,FALSE,"Financials";"d_Acquiror Cashflow Statement",#N/A,FALSE,"Financials"}</definedName>
    <definedName name="wrn.Acquiror._3_1_1_2" hidden="1">{"a_Acquiror Assumptions",#N/A,FALSE,"Financials";"b_Acquiror Income Statement",#N/A,FALSE,"Financials";"c_Acquiror Balance Sheet",#N/A,FALSE,"Financials";"d_Acquiror Cashflow Statement",#N/A,FALSE,"Financials"}</definedName>
    <definedName name="wrn.Acquiror._3_1_2" hidden="1">{"a_Acquiror Assumptions",#N/A,FALSE,"Financials";"b_Acquiror Income Statement",#N/A,FALSE,"Financials";"c_Acquiror Balance Sheet",#N/A,FALSE,"Financials";"d_Acquiror Cashflow Statement",#N/A,FALSE,"Financials"}</definedName>
    <definedName name="wrn.Acquiror._3_1_2_1" hidden="1">{"a_Acquiror Assumptions",#N/A,FALSE,"Financials";"b_Acquiror Income Statement",#N/A,FALSE,"Financials";"c_Acquiror Balance Sheet",#N/A,FALSE,"Financials";"d_Acquiror Cashflow Statement",#N/A,FALSE,"Financials"}</definedName>
    <definedName name="wrn.Acquiror._3_1_2_2" hidden="1">{"a_Acquiror Assumptions",#N/A,FALSE,"Financials";"b_Acquiror Income Statement",#N/A,FALSE,"Financials";"c_Acquiror Balance Sheet",#N/A,FALSE,"Financials";"d_Acquiror Cashflow Statement",#N/A,FALSE,"Financials"}</definedName>
    <definedName name="wrn.Acquiror._3_1_3" hidden="1">{"a_Acquiror Assumptions",#N/A,FALSE,"Financials";"b_Acquiror Income Statement",#N/A,FALSE,"Financials";"c_Acquiror Balance Sheet",#N/A,FALSE,"Financials";"d_Acquiror Cashflow Statement",#N/A,FALSE,"Financials"}</definedName>
    <definedName name="wrn.Acquiror._3_1_4" hidden="1">{"a_Acquiror Assumptions",#N/A,FALSE,"Financials";"b_Acquiror Income Statement",#N/A,FALSE,"Financials";"c_Acquiror Balance Sheet",#N/A,FALSE,"Financials";"d_Acquiror Cashflow Statement",#N/A,FALSE,"Financials"}</definedName>
    <definedName name="wrn.Acquiror._3_2" hidden="1">{"a_Acquiror Assumptions",#N/A,FALSE,"Financials";"b_Acquiror Income Statement",#N/A,FALSE,"Financials";"c_Acquiror Balance Sheet",#N/A,FALSE,"Financials";"d_Acquiror Cashflow Statement",#N/A,FALSE,"Financials"}</definedName>
    <definedName name="wrn.Acquiror._3_2_1" hidden="1">{"a_Acquiror Assumptions",#N/A,FALSE,"Financials";"b_Acquiror Income Statement",#N/A,FALSE,"Financials";"c_Acquiror Balance Sheet",#N/A,FALSE,"Financials";"d_Acquiror Cashflow Statement",#N/A,FALSE,"Financials"}</definedName>
    <definedName name="wrn.Acquiror._3_2_1_1" hidden="1">{"a_Acquiror Assumptions",#N/A,FALSE,"Financials";"b_Acquiror Income Statement",#N/A,FALSE,"Financials";"c_Acquiror Balance Sheet",#N/A,FALSE,"Financials";"d_Acquiror Cashflow Statement",#N/A,FALSE,"Financials"}</definedName>
    <definedName name="wrn.Acquiror._3_2_1_2" hidden="1">{"a_Acquiror Assumptions",#N/A,FALSE,"Financials";"b_Acquiror Income Statement",#N/A,FALSE,"Financials";"c_Acquiror Balance Sheet",#N/A,FALSE,"Financials";"d_Acquiror Cashflow Statement",#N/A,FALSE,"Financials"}</definedName>
    <definedName name="wrn.Acquiror._3_2_2" hidden="1">{"a_Acquiror Assumptions",#N/A,FALSE,"Financials";"b_Acquiror Income Statement",#N/A,FALSE,"Financials";"c_Acquiror Balance Sheet",#N/A,FALSE,"Financials";"d_Acquiror Cashflow Statement",#N/A,FALSE,"Financials"}</definedName>
    <definedName name="wrn.Acquiror._3_2_2_1" hidden="1">{"a_Acquiror Assumptions",#N/A,FALSE,"Financials";"b_Acquiror Income Statement",#N/A,FALSE,"Financials";"c_Acquiror Balance Sheet",#N/A,FALSE,"Financials";"d_Acquiror Cashflow Statement",#N/A,FALSE,"Financials"}</definedName>
    <definedName name="wrn.Acquiror._3_2_2_2" hidden="1">{"a_Acquiror Assumptions",#N/A,FALSE,"Financials";"b_Acquiror Income Statement",#N/A,FALSE,"Financials";"c_Acquiror Balance Sheet",#N/A,FALSE,"Financials";"d_Acquiror Cashflow Statement",#N/A,FALSE,"Financials"}</definedName>
    <definedName name="wrn.Acquiror._3_2_3" hidden="1">{"a_Acquiror Assumptions",#N/A,FALSE,"Financials";"b_Acquiror Income Statement",#N/A,FALSE,"Financials";"c_Acquiror Balance Sheet",#N/A,FALSE,"Financials";"d_Acquiror Cashflow Statement",#N/A,FALSE,"Financials"}</definedName>
    <definedName name="wrn.Acquiror._3_2_4" hidden="1">{"a_Acquiror Assumptions",#N/A,FALSE,"Financials";"b_Acquiror Income Statement",#N/A,FALSE,"Financials";"c_Acquiror Balance Sheet",#N/A,FALSE,"Financials";"d_Acquiror Cashflow Statement",#N/A,FALSE,"Financials"}</definedName>
    <definedName name="wrn.Acquiror._3_3" hidden="1">{"a_Acquiror Assumptions",#N/A,FALSE,"Financials";"b_Acquiror Income Statement",#N/A,FALSE,"Financials";"c_Acquiror Balance Sheet",#N/A,FALSE,"Financials";"d_Acquiror Cashflow Statement",#N/A,FALSE,"Financials"}</definedName>
    <definedName name="wrn.Acquiror._3_3_1" hidden="1">{"a_Acquiror Assumptions",#N/A,FALSE,"Financials";"b_Acquiror Income Statement",#N/A,FALSE,"Financials";"c_Acquiror Balance Sheet",#N/A,FALSE,"Financials";"d_Acquiror Cashflow Statement",#N/A,FALSE,"Financials"}</definedName>
    <definedName name="wrn.Acquiror._3_3_1_1" hidden="1">{"a_Acquiror Assumptions",#N/A,FALSE,"Financials";"b_Acquiror Income Statement",#N/A,FALSE,"Financials";"c_Acquiror Balance Sheet",#N/A,FALSE,"Financials";"d_Acquiror Cashflow Statement",#N/A,FALSE,"Financials"}</definedName>
    <definedName name="wrn.Acquiror._3_3_1_2" hidden="1">{"a_Acquiror Assumptions",#N/A,FALSE,"Financials";"b_Acquiror Income Statement",#N/A,FALSE,"Financials";"c_Acquiror Balance Sheet",#N/A,FALSE,"Financials";"d_Acquiror Cashflow Statement",#N/A,FALSE,"Financials"}</definedName>
    <definedName name="wrn.Acquiror._3_3_2" hidden="1">{"a_Acquiror Assumptions",#N/A,FALSE,"Financials";"b_Acquiror Income Statement",#N/A,FALSE,"Financials";"c_Acquiror Balance Sheet",#N/A,FALSE,"Financials";"d_Acquiror Cashflow Statement",#N/A,FALSE,"Financials"}</definedName>
    <definedName name="wrn.Acquiror._3_3_2_1" hidden="1">{"a_Acquiror Assumptions",#N/A,FALSE,"Financials";"b_Acquiror Income Statement",#N/A,FALSE,"Financials";"c_Acquiror Balance Sheet",#N/A,FALSE,"Financials";"d_Acquiror Cashflow Statement",#N/A,FALSE,"Financials"}</definedName>
    <definedName name="wrn.Acquiror._3_3_2_2" hidden="1">{"a_Acquiror Assumptions",#N/A,FALSE,"Financials";"b_Acquiror Income Statement",#N/A,FALSE,"Financials";"c_Acquiror Balance Sheet",#N/A,FALSE,"Financials";"d_Acquiror Cashflow Statement",#N/A,FALSE,"Financials"}</definedName>
    <definedName name="wrn.Acquiror._3_3_3" hidden="1">{"a_Acquiror Assumptions",#N/A,FALSE,"Financials";"b_Acquiror Income Statement",#N/A,FALSE,"Financials";"c_Acquiror Balance Sheet",#N/A,FALSE,"Financials";"d_Acquiror Cashflow Statement",#N/A,FALSE,"Financials"}</definedName>
    <definedName name="wrn.Acquiror._3_3_4" hidden="1">{"a_Acquiror Assumptions",#N/A,FALSE,"Financials";"b_Acquiror Income Statement",#N/A,FALSE,"Financials";"c_Acquiror Balance Sheet",#N/A,FALSE,"Financials";"d_Acquiror Cashflow Statement",#N/A,FALSE,"Financials"}</definedName>
    <definedName name="wrn.Acquiror._3_4" hidden="1">{"a_Acquiror Assumptions",#N/A,FALSE,"Financials";"b_Acquiror Income Statement",#N/A,FALSE,"Financials";"c_Acquiror Balance Sheet",#N/A,FALSE,"Financials";"d_Acquiror Cashflow Statement",#N/A,FALSE,"Financials"}</definedName>
    <definedName name="wrn.Acquiror._3_4_1" hidden="1">{"a_Acquiror Assumptions",#N/A,FALSE,"Financials";"b_Acquiror Income Statement",#N/A,FALSE,"Financials";"c_Acquiror Balance Sheet",#N/A,FALSE,"Financials";"d_Acquiror Cashflow Statement",#N/A,FALSE,"Financials"}</definedName>
    <definedName name="wrn.Acquiror._3_4_1_1" hidden="1">{"a_Acquiror Assumptions",#N/A,FALSE,"Financials";"b_Acquiror Income Statement",#N/A,FALSE,"Financials";"c_Acquiror Balance Sheet",#N/A,FALSE,"Financials";"d_Acquiror Cashflow Statement",#N/A,FALSE,"Financials"}</definedName>
    <definedName name="wrn.Acquiror._3_4_1_2" hidden="1">{"a_Acquiror Assumptions",#N/A,FALSE,"Financials";"b_Acquiror Income Statement",#N/A,FALSE,"Financials";"c_Acquiror Balance Sheet",#N/A,FALSE,"Financials";"d_Acquiror Cashflow Statement",#N/A,FALSE,"Financials"}</definedName>
    <definedName name="wrn.Acquiror._3_4_2" hidden="1">{"a_Acquiror Assumptions",#N/A,FALSE,"Financials";"b_Acquiror Income Statement",#N/A,FALSE,"Financials";"c_Acquiror Balance Sheet",#N/A,FALSE,"Financials";"d_Acquiror Cashflow Statement",#N/A,FALSE,"Financials"}</definedName>
    <definedName name="wrn.Acquiror._3_4_2_1" hidden="1">{"a_Acquiror Assumptions",#N/A,FALSE,"Financials";"b_Acquiror Income Statement",#N/A,FALSE,"Financials";"c_Acquiror Balance Sheet",#N/A,FALSE,"Financials";"d_Acquiror Cashflow Statement",#N/A,FALSE,"Financials"}</definedName>
    <definedName name="wrn.Acquiror._3_4_2_2" hidden="1">{"a_Acquiror Assumptions",#N/A,FALSE,"Financials";"b_Acquiror Income Statement",#N/A,FALSE,"Financials";"c_Acquiror Balance Sheet",#N/A,FALSE,"Financials";"d_Acquiror Cashflow Statement",#N/A,FALSE,"Financials"}</definedName>
    <definedName name="wrn.Acquiror._3_4_3" hidden="1">{"a_Acquiror Assumptions",#N/A,FALSE,"Financials";"b_Acquiror Income Statement",#N/A,FALSE,"Financials";"c_Acquiror Balance Sheet",#N/A,FALSE,"Financials";"d_Acquiror Cashflow Statement",#N/A,FALSE,"Financials"}</definedName>
    <definedName name="wrn.Acquiror._3_4_4" hidden="1">{"a_Acquiror Assumptions",#N/A,FALSE,"Financials";"b_Acquiror Income Statement",#N/A,FALSE,"Financials";"c_Acquiror Balance Sheet",#N/A,FALSE,"Financials";"d_Acquiror Cashflow Statement",#N/A,FALSE,"Financials"}</definedName>
    <definedName name="wrn.Acquiror._3_5" hidden="1">{"a_Acquiror Assumptions",#N/A,FALSE,"Financials";"b_Acquiror Income Statement",#N/A,FALSE,"Financials";"c_Acquiror Balance Sheet",#N/A,FALSE,"Financials";"d_Acquiror Cashflow Statement",#N/A,FALSE,"Financials"}</definedName>
    <definedName name="wrn.Acquiror._3_5_1" hidden="1">{"a_Acquiror Assumptions",#N/A,FALSE,"Financials";"b_Acquiror Income Statement",#N/A,FALSE,"Financials";"c_Acquiror Balance Sheet",#N/A,FALSE,"Financials";"d_Acquiror Cashflow Statement",#N/A,FALSE,"Financials"}</definedName>
    <definedName name="wrn.Acquiror._3_5_1_1" hidden="1">{"a_Acquiror Assumptions",#N/A,FALSE,"Financials";"b_Acquiror Income Statement",#N/A,FALSE,"Financials";"c_Acquiror Balance Sheet",#N/A,FALSE,"Financials";"d_Acquiror Cashflow Statement",#N/A,FALSE,"Financials"}</definedName>
    <definedName name="wrn.Acquiror._3_5_1_2" hidden="1">{"a_Acquiror Assumptions",#N/A,FALSE,"Financials";"b_Acquiror Income Statement",#N/A,FALSE,"Financials";"c_Acquiror Balance Sheet",#N/A,FALSE,"Financials";"d_Acquiror Cashflow Statement",#N/A,FALSE,"Financials"}</definedName>
    <definedName name="wrn.Acquiror._3_5_2" hidden="1">{"a_Acquiror Assumptions",#N/A,FALSE,"Financials";"b_Acquiror Income Statement",#N/A,FALSE,"Financials";"c_Acquiror Balance Sheet",#N/A,FALSE,"Financials";"d_Acquiror Cashflow Statement",#N/A,FALSE,"Financials"}</definedName>
    <definedName name="wrn.Acquiror._3_5_2_1" hidden="1">{"a_Acquiror Assumptions",#N/A,FALSE,"Financials";"b_Acquiror Income Statement",#N/A,FALSE,"Financials";"c_Acquiror Balance Sheet",#N/A,FALSE,"Financials";"d_Acquiror Cashflow Statement",#N/A,FALSE,"Financials"}</definedName>
    <definedName name="wrn.Acquiror._3_5_2_2" hidden="1">{"a_Acquiror Assumptions",#N/A,FALSE,"Financials";"b_Acquiror Income Statement",#N/A,FALSE,"Financials";"c_Acquiror Balance Sheet",#N/A,FALSE,"Financials";"d_Acquiror Cashflow Statement",#N/A,FALSE,"Financials"}</definedName>
    <definedName name="wrn.Acquiror._3_5_3" hidden="1">{"a_Acquiror Assumptions",#N/A,FALSE,"Financials";"b_Acquiror Income Statement",#N/A,FALSE,"Financials";"c_Acquiror Balance Sheet",#N/A,FALSE,"Financials";"d_Acquiror Cashflow Statement",#N/A,FALSE,"Financials"}</definedName>
    <definedName name="wrn.Acquiror._3_5_4" hidden="1">{"a_Acquiror Assumptions",#N/A,FALSE,"Financials";"b_Acquiror Income Statement",#N/A,FALSE,"Financials";"c_Acquiror Balance Sheet",#N/A,FALSE,"Financials";"d_Acquiror Cashflow Statement",#N/A,FALSE,"Financials"}</definedName>
    <definedName name="wrn.Acquiror._4" hidden="1">{"a_Acquiror Assumptions",#N/A,FALSE,"Financials";"b_Acquiror Income Statement",#N/A,FALSE,"Financials";"c_Acquiror Balance Sheet",#N/A,FALSE,"Financials";"d_Acquiror Cashflow Statement",#N/A,FALSE,"Financials"}</definedName>
    <definedName name="wrn.Acquiror._4_1" hidden="1">{"a_Acquiror Assumptions",#N/A,FALSE,"Financials";"b_Acquiror Income Statement",#N/A,FALSE,"Financials";"c_Acquiror Balance Sheet",#N/A,FALSE,"Financials";"d_Acquiror Cashflow Statement",#N/A,FALSE,"Financials"}</definedName>
    <definedName name="wrn.Acquiror._4_1_1" hidden="1">{"a_Acquiror Assumptions",#N/A,FALSE,"Financials";"b_Acquiror Income Statement",#N/A,FALSE,"Financials";"c_Acquiror Balance Sheet",#N/A,FALSE,"Financials";"d_Acquiror Cashflow Statement",#N/A,FALSE,"Financials"}</definedName>
    <definedName name="wrn.Acquiror._4_1_2" hidden="1">{"a_Acquiror Assumptions",#N/A,FALSE,"Financials";"b_Acquiror Income Statement",#N/A,FALSE,"Financials";"c_Acquiror Balance Sheet",#N/A,FALSE,"Financials";"d_Acquiror Cashflow Statement",#N/A,FALSE,"Financials"}</definedName>
    <definedName name="wrn.Acquiror._4_2" hidden="1">{"a_Acquiror Assumptions",#N/A,FALSE,"Financials";"b_Acquiror Income Statement",#N/A,FALSE,"Financials";"c_Acquiror Balance Sheet",#N/A,FALSE,"Financials";"d_Acquiror Cashflow Statement",#N/A,FALSE,"Financials"}</definedName>
    <definedName name="wrn.Acquiror._4_2_1" hidden="1">{"a_Acquiror Assumptions",#N/A,FALSE,"Financials";"b_Acquiror Income Statement",#N/A,FALSE,"Financials";"c_Acquiror Balance Sheet",#N/A,FALSE,"Financials";"d_Acquiror Cashflow Statement",#N/A,FALSE,"Financials"}</definedName>
    <definedName name="wrn.Acquiror._4_2_2" hidden="1">{"a_Acquiror Assumptions",#N/A,FALSE,"Financials";"b_Acquiror Income Statement",#N/A,FALSE,"Financials";"c_Acquiror Balance Sheet",#N/A,FALSE,"Financials";"d_Acquiror Cashflow Statement",#N/A,FALSE,"Financials"}</definedName>
    <definedName name="wrn.Acquiror._4_3" hidden="1">{"a_Acquiror Assumptions",#N/A,FALSE,"Financials";"b_Acquiror Income Statement",#N/A,FALSE,"Financials";"c_Acquiror Balance Sheet",#N/A,FALSE,"Financials";"d_Acquiror Cashflow Statement",#N/A,FALSE,"Financials"}</definedName>
    <definedName name="wrn.Acquiror._4_4" hidden="1">{"a_Acquiror Assumptions",#N/A,FALSE,"Financials";"b_Acquiror Income Statement",#N/A,FALSE,"Financials";"c_Acquiror Balance Sheet",#N/A,FALSE,"Financials";"d_Acquiror Cashflow Statement",#N/A,FALSE,"Financials"}</definedName>
    <definedName name="wrn.Acquiror._5" hidden="1">{"a_Acquiror Assumptions",#N/A,FALSE,"Financials";"b_Acquiror Income Statement",#N/A,FALSE,"Financials";"c_Acquiror Balance Sheet",#N/A,FALSE,"Financials";"d_Acquiror Cashflow Statement",#N/A,FALSE,"Financials"}</definedName>
    <definedName name="wrn.Acquiror._5_1" hidden="1">{"a_Acquiror Assumptions",#N/A,FALSE,"Financials";"b_Acquiror Income Statement",#N/A,FALSE,"Financials";"c_Acquiror Balance Sheet",#N/A,FALSE,"Financials";"d_Acquiror Cashflow Statement",#N/A,FALSE,"Financials"}</definedName>
    <definedName name="wrn.Acquiror._5_1_1" hidden="1">{"a_Acquiror Assumptions",#N/A,FALSE,"Financials";"b_Acquiror Income Statement",#N/A,FALSE,"Financials";"c_Acquiror Balance Sheet",#N/A,FALSE,"Financials";"d_Acquiror Cashflow Statement",#N/A,FALSE,"Financials"}</definedName>
    <definedName name="wrn.Acquiror._5_1_2" hidden="1">{"a_Acquiror Assumptions",#N/A,FALSE,"Financials";"b_Acquiror Income Statement",#N/A,FALSE,"Financials";"c_Acquiror Balance Sheet",#N/A,FALSE,"Financials";"d_Acquiror Cashflow Statement",#N/A,FALSE,"Financials"}</definedName>
    <definedName name="wrn.Acquiror._5_2" hidden="1">{"a_Acquiror Assumptions",#N/A,FALSE,"Financials";"b_Acquiror Income Statement",#N/A,FALSE,"Financials";"c_Acquiror Balance Sheet",#N/A,FALSE,"Financials";"d_Acquiror Cashflow Statement",#N/A,FALSE,"Financials"}</definedName>
    <definedName name="wrn.Acquiror._5_2_1" hidden="1">{"a_Acquiror Assumptions",#N/A,FALSE,"Financials";"b_Acquiror Income Statement",#N/A,FALSE,"Financials";"c_Acquiror Balance Sheet",#N/A,FALSE,"Financials";"d_Acquiror Cashflow Statement",#N/A,FALSE,"Financials"}</definedName>
    <definedName name="wrn.Acquiror._5_2_2" hidden="1">{"a_Acquiror Assumptions",#N/A,FALSE,"Financials";"b_Acquiror Income Statement",#N/A,FALSE,"Financials";"c_Acquiror Balance Sheet",#N/A,FALSE,"Financials";"d_Acquiror Cashflow Statement",#N/A,FALSE,"Financials"}</definedName>
    <definedName name="wrn.Acquiror._5_3" hidden="1">{"a_Acquiror Assumptions",#N/A,FALSE,"Financials";"b_Acquiror Income Statement",#N/A,FALSE,"Financials";"c_Acquiror Balance Sheet",#N/A,FALSE,"Financials";"d_Acquiror Cashflow Statement",#N/A,FALSE,"Financials"}</definedName>
    <definedName name="wrn.Acquiror._5_4" hidden="1">{"a_Acquiror Assumptions",#N/A,FALSE,"Financials";"b_Acquiror Income Statement",#N/A,FALSE,"Financials";"c_Acquiror Balance Sheet",#N/A,FALSE,"Financials";"d_Acquiror Cashflow Statement",#N/A,FALSE,"Financials"}</definedName>
    <definedName name="wrn.Acquisition_matrix." localSheetId="7" hidden="1">{"Acq_matrix",#N/A,FALSE,"Acquisition Matrix"}</definedName>
    <definedName name="wrn.Acquisition_matrix." localSheetId="8" hidden="1">{"Acq_matrix",#N/A,FALSE,"Acquisition Matrix"}</definedName>
    <definedName name="wrn.Acquisition_matrix." hidden="1">{"Acq_matrix",#N/A,FALSE,"Acquisition Matrix"}</definedName>
    <definedName name="wrn.Acquisition_matrix._1" localSheetId="7" hidden="1">{"Acq_matrix",#N/A,FALSE,"Acquisition Matrix"}</definedName>
    <definedName name="wrn.Acquisition_matrix._1" localSheetId="8" hidden="1">{"Acq_matrix",#N/A,FALSE,"Acquisition Matrix"}</definedName>
    <definedName name="wrn.Acquisition_matrix._1" hidden="1">{"Acq_matrix",#N/A,FALSE,"Acquisition Matrix"}</definedName>
    <definedName name="wrn.Acum._.Div._.1." localSheetId="7" hidden="1">{"Acum Div 1",#N/A,FALSE,"Acum Diversos 1"}</definedName>
    <definedName name="wrn.Acum._.Div._.1." localSheetId="8" hidden="1">{"Acum Div 1",#N/A,FALSE,"Acum Diversos 1"}</definedName>
    <definedName name="wrn.Acum._.Div._.1." hidden="1">{"Acum Div 1",#N/A,FALSE,"Acum Diversos 1"}</definedName>
    <definedName name="wrn.Acum._.Div._.2." localSheetId="7" hidden="1">{"Acum Div 2",#N/A,FALSE,"Acum Diversos 2"}</definedName>
    <definedName name="wrn.Acum._.Div._.2." localSheetId="8" hidden="1">{"Acum Div 2",#N/A,FALSE,"Acum Diversos 2"}</definedName>
    <definedName name="wrn.Acum._.Div._.2." hidden="1">{"Acum Div 2",#N/A,FALSE,"Acum Diversos 2"}</definedName>
    <definedName name="wrn.Acum._.Div._.3." localSheetId="7" hidden="1">{"Acum Div 3",#N/A,FALSE,"Acum Diversos 3"}</definedName>
    <definedName name="wrn.Acum._.Div._.3." localSheetId="8" hidden="1">{"Acum Div 3",#N/A,FALSE,"Acum Diversos 3"}</definedName>
    <definedName name="wrn.Acum._.Div._.3." hidden="1">{"Acum Div 3",#N/A,FALSE,"Acum Diversos 3"}</definedName>
    <definedName name="wrn.Acumulado." localSheetId="7" hidden="1">{"Acumulado",#N/A,FALSE,"Acumulado"}</definedName>
    <definedName name="wrn.Acumulado." localSheetId="8" hidden="1">{"Acumulado",#N/A,FALSE,"Acumulado"}</definedName>
    <definedName name="wrn.Acumulado." hidden="1">{"Acumulado",#N/A,FALSE,"Acumulado"}</definedName>
    <definedName name="wrn.adj95." localSheetId="7" hidden="1">{"adj95mult",#N/A,FALSE,"COMPCO";"adj95est",#N/A,FALSE,"COMPCO"}</definedName>
    <definedName name="wrn.adj95." localSheetId="8" hidden="1">{"adj95mult",#N/A,FALSE,"COMPCO";"adj95est",#N/A,FALSE,"COMPCO"}</definedName>
    <definedName name="wrn.adj95." hidden="1">{"adj95mult",#N/A,FALSE,"COMPCO";"adj95est",#N/A,FALSE,"COMPCO"}</definedName>
    <definedName name="wrn.adj95._1" localSheetId="7" hidden="1">{"adj95mult",#N/A,FALSE,"COMPCO";"adj95est",#N/A,FALSE,"COMPCO"}</definedName>
    <definedName name="wrn.adj95._1" localSheetId="8" hidden="1">{"adj95mult",#N/A,FALSE,"COMPCO";"adj95est",#N/A,FALSE,"COMPCO"}</definedName>
    <definedName name="wrn.adj95._1" hidden="1">{"adj95mult",#N/A,FALSE,"COMPCO";"adj95est",#N/A,FALSE,"COMPCO"}</definedName>
    <definedName name="wrn.adm_pl." hidden="1">{"adm_pl",#N/A,FALSE,"PL"}</definedName>
    <definedName name="wrn.adm_rtp." hidden="1">{"adm_rtp",#N/A,FALSE,"PQ"}</definedName>
    <definedName name="wrn.Admin." localSheetId="8" hidden="1">{"Exp",#N/A,FALSE,"Admin";"Sal",#N/A,FALSE,"Admin";"Sum",#N/A,FALSE,"Admin"}</definedName>
    <definedName name="wrn.Admin." hidden="1">{"Exp",#N/A,FALSE,"Admin";"Sal",#N/A,FALSE,"Admin";"Sum",#N/A,FALSE,"Admin"}</definedName>
    <definedName name="wrn.administracion." hidden="1">{#N/A,#N/A,FALSE,"CARATULA GENERAL";#N/A,#N/A,FALSE,"GSxDIRECCION";#N/A,#N/A,FALSE,"Caratula";#N/A,#N/A,FALSE,"GSxCTRO";#N/A,#N/A,FALSE,"GsAdm.Centr";#N/A,#N/A,FALSE,"Dir.Gral";#N/A,#N/A,FALSE,"AdmyFzas";#N/A,#N/A,FALSE,"Sistemas";#N/A,#N/A,FALSE,"RRHH"}</definedName>
    <definedName name="wrn.administration." localSheetId="8" hidden="1">{#N/A,#N/A,FALSE,"Adm comp";#N/A,#N/A,FALSE,"Adm ajust";"adm",#N/A,FALSE,"Administration";#N/A,#N/A,FALSE,"Adm Bgt 97 vs Prév. 96";#N/A,#N/A,FALSE,"Adm Bgt 97 vs 96"}</definedName>
    <definedName name="wrn.administration." hidden="1">{#N/A,#N/A,FALSE,"Adm comp";#N/A,#N/A,FALSE,"Adm ajust";"adm",#N/A,FALSE,"Administration";#N/A,#N/A,FALSE,"Adm Bgt 97 vs Prév. 96";#N/A,#N/A,FALSE,"Adm Bgt 97 vs 96"}</definedName>
    <definedName name="wrn.Administrators._.Data." localSheetId="8" hidden="1">{"Data Input Sheet 1",#N/A,FALSE,"Data Input - Sheet 1";"Plot Data Sheet 1",#N/A,FALSE,"Plot Data - Sheet 1";"Data Input Sheet 2",#N/A,FALSE,"Data Input - Sheet 2";"Plot Data Sheet 2",#N/A,FALSE,"Plot Data - Sheet 2"}</definedName>
    <definedName name="wrn.Administrators._.Data." hidden="1">{"Data Input Sheet 1",#N/A,FALSE,"Data Input - Sheet 1";"Plot Data Sheet 1",#N/A,FALSE,"Plot Data - Sheet 1";"Data Input Sheet 2",#N/A,FALSE,"Data Input - Sheet 2";"Plot Data Sheet 2",#N/A,FALSE,"Plot Data - Sheet 2"}</definedName>
    <definedName name="wrn.Advertising._.Acum._.Julio._.00." hidden="1">{#N/A,#N/A,FALSE,"Acum Julio - 00"}</definedName>
    <definedName name="wrn.AG_riepilogo." localSheetId="8" hidden="1">{"AG_Rete",#N/A,FALSE,"Area Rete";"AG_intergruppo",#N/A,FALSE,"Area Intergruppo";"AG_filiali",#N/A,FALSE,"Area Filiali";"AG_finanza",#N/A,FALSE,"Area Finanza";"AG_struttura",#N/A,FALSE,"Area Struttura"}</definedName>
    <definedName name="wrn.AG_riepilogo." hidden="1">{"AG_Rete",#N/A,FALSE,"Area Rete";"AG_intergruppo",#N/A,FALSE,"Area Intergruppo";"AG_filiali",#N/A,FALSE,"Area Filiali";"AG_finanza",#N/A,FALSE,"Area Finanza";"AG_struttura",#N/A,FALSE,"Area Struttura"}</definedName>
    <definedName name="wrn.AG_riepilogo._1" localSheetId="8" hidden="1">{"AG_Rete",#N/A,FALSE,"Area Rete";"AG_intergruppo",#N/A,FALSE,"Area Intergruppo";"AG_filiali",#N/A,FALSE,"Area Filiali";"AG_finanza",#N/A,FALSE,"Area Finanza";"AG_struttura",#N/A,FALSE,"Area Struttura"}</definedName>
    <definedName name="wrn.AG_riepilogo._1" hidden="1">{"AG_Rete",#N/A,FALSE,"Area Rete";"AG_intergruppo",#N/A,FALSE,"Area Intergruppo";"AG_filiali",#N/A,FALSE,"Area Filiali";"AG_finanza",#N/A,FALSE,"Area Finanza";"AG_struttura",#N/A,FALSE,"Area Struttura"}</definedName>
    <definedName name="wrn.Aging._.and._.Trend._.Analysis." localSheetId="7" hidden="1">{#N/A,#N/A,FALSE,"Aging Summary";#N/A,#N/A,FALSE,"Ratio Analysis";#N/A,#N/A,FALSE,"Test 120 Day Accts";#N/A,#N/A,FALSE,"Tickmarks"}</definedName>
    <definedName name="wrn.Aging._.and._.Trend._.Analysis." localSheetId="8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._1" localSheetId="7" hidden="1">{#N/A,#N/A,FALSE,"Aging Summary";#N/A,#N/A,FALSE,"Ratio Analysis";#N/A,#N/A,FALSE,"Test 120 Day Accts";#N/A,#N/A,FALSE,"Tickmarks"}</definedName>
    <definedName name="wrn.Aging._.and._.Trend._.Analysis._1" localSheetId="8" hidden="1">{#N/A,#N/A,FALSE,"Aging Summary";#N/A,#N/A,FALSE,"Ratio Analysis";#N/A,#N/A,FALSE,"Test 120 Day Accts";#N/A,#N/A,FALSE,"Tickmarks"}</definedName>
    <definedName name="wrn.Aging._.and._.Trend._.Analysis._1" hidden="1">{#N/A,#N/A,FALSE,"Aging Summary";#N/A,#N/A,FALSE,"Ratio Analysis";#N/A,#N/A,FALSE,"Test 120 Day Accts";#N/A,#N/A,FALSE,"Tickmarks"}</definedName>
    <definedName name="wrn.Aging._.and._.Trend._.Analysis._1_1" hidden="1">{#N/A,#N/A,FALSE,"Aging Summary";#N/A,#N/A,FALSE,"Ratio Analysis";#N/A,#N/A,FALSE,"Test 120 Day Accts";#N/A,#N/A,FALSE,"Tickmarks"}</definedName>
    <definedName name="wrn.Aging._.and._.Trend._.Analysis._1_1_1" hidden="1">{#N/A,#N/A,FALSE,"Aging Summary";#N/A,#N/A,FALSE,"Ratio Analysis";#N/A,#N/A,FALSE,"Test 120 Day Accts";#N/A,#N/A,FALSE,"Tickmarks"}</definedName>
    <definedName name="wrn.Aging._.and._.Trend._.Analysis._1_1_1_1" hidden="1">{#N/A,#N/A,FALSE,"Aging Summary";#N/A,#N/A,FALSE,"Ratio Analysis";#N/A,#N/A,FALSE,"Test 120 Day Accts";#N/A,#N/A,FALSE,"Tickmarks"}</definedName>
    <definedName name="wrn.Aging._.and._.Trend._.Analysis._1_1_1_2" hidden="1">{#N/A,#N/A,FALSE,"Aging Summary";#N/A,#N/A,FALSE,"Ratio Analysis";#N/A,#N/A,FALSE,"Test 120 Day Accts";#N/A,#N/A,FALSE,"Tickmarks"}</definedName>
    <definedName name="wrn.Aging._.and._.Trend._.Analysis._1_1_2" hidden="1">{#N/A,#N/A,FALSE,"Aging Summary";#N/A,#N/A,FALSE,"Ratio Analysis";#N/A,#N/A,FALSE,"Test 120 Day Accts";#N/A,#N/A,FALSE,"Tickmarks"}</definedName>
    <definedName name="wrn.Aging._.and._.Trend._.Analysis._1_1_2_1" hidden="1">{#N/A,#N/A,FALSE,"Aging Summary";#N/A,#N/A,FALSE,"Ratio Analysis";#N/A,#N/A,FALSE,"Test 120 Day Accts";#N/A,#N/A,FALSE,"Tickmarks"}</definedName>
    <definedName name="wrn.Aging._.and._.Trend._.Analysis._1_1_2_2" hidden="1">{#N/A,#N/A,FALSE,"Aging Summary";#N/A,#N/A,FALSE,"Ratio Analysis";#N/A,#N/A,FALSE,"Test 120 Day Accts";#N/A,#N/A,FALSE,"Tickmarks"}</definedName>
    <definedName name="wrn.Aging._.and._.Trend._.Analysis._1_1_3" hidden="1">{#N/A,#N/A,FALSE,"Aging Summary";#N/A,#N/A,FALSE,"Ratio Analysis";#N/A,#N/A,FALSE,"Test 120 Day Accts";#N/A,#N/A,FALSE,"Tickmarks"}</definedName>
    <definedName name="wrn.Aging._.and._.Trend._.Analysis._1_1_4" hidden="1">{#N/A,#N/A,FALSE,"Aging Summary";#N/A,#N/A,FALSE,"Ratio Analysis";#N/A,#N/A,FALSE,"Test 120 Day Accts";#N/A,#N/A,FALSE,"Tickmarks"}</definedName>
    <definedName name="wrn.Aging._.and._.Trend._.Analysis._1_2" hidden="1">{#N/A,#N/A,FALSE,"Aging Summary";#N/A,#N/A,FALSE,"Ratio Analysis";#N/A,#N/A,FALSE,"Test 120 Day Accts";#N/A,#N/A,FALSE,"Tickmarks"}</definedName>
    <definedName name="wrn.Aging._.and._.Trend._.Analysis._1_2_1" hidden="1">{#N/A,#N/A,FALSE,"Aging Summary";#N/A,#N/A,FALSE,"Ratio Analysis";#N/A,#N/A,FALSE,"Test 120 Day Accts";#N/A,#N/A,FALSE,"Tickmarks"}</definedName>
    <definedName name="wrn.Aging._.and._.Trend._.Analysis._1_2_1_1" hidden="1">{#N/A,#N/A,FALSE,"Aging Summary";#N/A,#N/A,FALSE,"Ratio Analysis";#N/A,#N/A,FALSE,"Test 120 Day Accts";#N/A,#N/A,FALSE,"Tickmarks"}</definedName>
    <definedName name="wrn.Aging._.and._.Trend._.Analysis._1_2_1_2" hidden="1">{#N/A,#N/A,FALSE,"Aging Summary";#N/A,#N/A,FALSE,"Ratio Analysis";#N/A,#N/A,FALSE,"Test 120 Day Accts";#N/A,#N/A,FALSE,"Tickmarks"}</definedName>
    <definedName name="wrn.Aging._.and._.Trend._.Analysis._1_2_2" hidden="1">{#N/A,#N/A,FALSE,"Aging Summary";#N/A,#N/A,FALSE,"Ratio Analysis";#N/A,#N/A,FALSE,"Test 120 Day Accts";#N/A,#N/A,FALSE,"Tickmarks"}</definedName>
    <definedName name="wrn.Aging._.and._.Trend._.Analysis._1_2_2_1" hidden="1">{#N/A,#N/A,FALSE,"Aging Summary";#N/A,#N/A,FALSE,"Ratio Analysis";#N/A,#N/A,FALSE,"Test 120 Day Accts";#N/A,#N/A,FALSE,"Tickmarks"}</definedName>
    <definedName name="wrn.Aging._.and._.Trend._.Analysis._1_2_2_2" hidden="1">{#N/A,#N/A,FALSE,"Aging Summary";#N/A,#N/A,FALSE,"Ratio Analysis";#N/A,#N/A,FALSE,"Test 120 Day Accts";#N/A,#N/A,FALSE,"Tickmarks"}</definedName>
    <definedName name="wrn.Aging._.and._.Trend._.Analysis._1_2_3" hidden="1">{#N/A,#N/A,FALSE,"Aging Summary";#N/A,#N/A,FALSE,"Ratio Analysis";#N/A,#N/A,FALSE,"Test 120 Day Accts";#N/A,#N/A,FALSE,"Tickmarks"}</definedName>
    <definedName name="wrn.Aging._.and._.Trend._.Analysis._1_2_4" hidden="1">{#N/A,#N/A,FALSE,"Aging Summary";#N/A,#N/A,FALSE,"Ratio Analysis";#N/A,#N/A,FALSE,"Test 120 Day Accts";#N/A,#N/A,FALSE,"Tickmarks"}</definedName>
    <definedName name="wrn.Aging._.and._.Trend._.Analysis._1_3" hidden="1">{#N/A,#N/A,FALSE,"Aging Summary";#N/A,#N/A,FALSE,"Ratio Analysis";#N/A,#N/A,FALSE,"Test 120 Day Accts";#N/A,#N/A,FALSE,"Tickmarks"}</definedName>
    <definedName name="wrn.Aging._.and._.Trend._.Analysis._1_3_1" hidden="1">{#N/A,#N/A,FALSE,"Aging Summary";#N/A,#N/A,FALSE,"Ratio Analysis";#N/A,#N/A,FALSE,"Test 120 Day Accts";#N/A,#N/A,FALSE,"Tickmarks"}</definedName>
    <definedName name="wrn.Aging._.and._.Trend._.Analysis._1_3_1_1" hidden="1">{#N/A,#N/A,FALSE,"Aging Summary";#N/A,#N/A,FALSE,"Ratio Analysis";#N/A,#N/A,FALSE,"Test 120 Day Accts";#N/A,#N/A,FALSE,"Tickmarks"}</definedName>
    <definedName name="wrn.Aging._.and._.Trend._.Analysis._1_3_1_2" hidden="1">{#N/A,#N/A,FALSE,"Aging Summary";#N/A,#N/A,FALSE,"Ratio Analysis";#N/A,#N/A,FALSE,"Test 120 Day Accts";#N/A,#N/A,FALSE,"Tickmarks"}</definedName>
    <definedName name="wrn.Aging._.and._.Trend._.Analysis._1_3_2" hidden="1">{#N/A,#N/A,FALSE,"Aging Summary";#N/A,#N/A,FALSE,"Ratio Analysis";#N/A,#N/A,FALSE,"Test 120 Day Accts";#N/A,#N/A,FALSE,"Tickmarks"}</definedName>
    <definedName name="wrn.Aging._.and._.Trend._.Analysis._1_3_2_1" hidden="1">{#N/A,#N/A,FALSE,"Aging Summary";#N/A,#N/A,FALSE,"Ratio Analysis";#N/A,#N/A,FALSE,"Test 120 Day Accts";#N/A,#N/A,FALSE,"Tickmarks"}</definedName>
    <definedName name="wrn.Aging._.and._.Trend._.Analysis._1_3_2_2" hidden="1">{#N/A,#N/A,FALSE,"Aging Summary";#N/A,#N/A,FALSE,"Ratio Analysis";#N/A,#N/A,FALSE,"Test 120 Day Accts";#N/A,#N/A,FALSE,"Tickmarks"}</definedName>
    <definedName name="wrn.Aging._.and._.Trend._.Analysis._1_3_3" hidden="1">{#N/A,#N/A,FALSE,"Aging Summary";#N/A,#N/A,FALSE,"Ratio Analysis";#N/A,#N/A,FALSE,"Test 120 Day Accts";#N/A,#N/A,FALSE,"Tickmarks"}</definedName>
    <definedName name="wrn.Aging._.and._.Trend._.Analysis._1_3_4" hidden="1">{#N/A,#N/A,FALSE,"Aging Summary";#N/A,#N/A,FALSE,"Ratio Analysis";#N/A,#N/A,FALSE,"Test 120 Day Accts";#N/A,#N/A,FALSE,"Tickmarks"}</definedName>
    <definedName name="wrn.Aging._.and._.Trend._.Analysis._1_4" hidden="1">{#N/A,#N/A,FALSE,"Aging Summary";#N/A,#N/A,FALSE,"Ratio Analysis";#N/A,#N/A,FALSE,"Test 120 Day Accts";#N/A,#N/A,FALSE,"Tickmarks"}</definedName>
    <definedName name="wrn.Aging._.and._.Trend._.Analysis._1_4_1" hidden="1">{#N/A,#N/A,FALSE,"Aging Summary";#N/A,#N/A,FALSE,"Ratio Analysis";#N/A,#N/A,FALSE,"Test 120 Day Accts";#N/A,#N/A,FALSE,"Tickmarks"}</definedName>
    <definedName name="wrn.Aging._.and._.Trend._.Analysis._1_4_1_1" hidden="1">{#N/A,#N/A,FALSE,"Aging Summary";#N/A,#N/A,FALSE,"Ratio Analysis";#N/A,#N/A,FALSE,"Test 120 Day Accts";#N/A,#N/A,FALSE,"Tickmarks"}</definedName>
    <definedName name="wrn.Aging._.and._.Trend._.Analysis._1_4_1_2" hidden="1">{#N/A,#N/A,FALSE,"Aging Summary";#N/A,#N/A,FALSE,"Ratio Analysis";#N/A,#N/A,FALSE,"Test 120 Day Accts";#N/A,#N/A,FALSE,"Tickmarks"}</definedName>
    <definedName name="wrn.Aging._.and._.Trend._.Analysis._1_4_2" hidden="1">{#N/A,#N/A,FALSE,"Aging Summary";#N/A,#N/A,FALSE,"Ratio Analysis";#N/A,#N/A,FALSE,"Test 120 Day Accts";#N/A,#N/A,FALSE,"Tickmarks"}</definedName>
    <definedName name="wrn.Aging._.and._.Trend._.Analysis._1_4_2_1" hidden="1">{#N/A,#N/A,FALSE,"Aging Summary";#N/A,#N/A,FALSE,"Ratio Analysis";#N/A,#N/A,FALSE,"Test 120 Day Accts";#N/A,#N/A,FALSE,"Tickmarks"}</definedName>
    <definedName name="wrn.Aging._.and._.Trend._.Analysis._1_4_2_2" hidden="1">{#N/A,#N/A,FALSE,"Aging Summary";#N/A,#N/A,FALSE,"Ratio Analysis";#N/A,#N/A,FALSE,"Test 120 Day Accts";#N/A,#N/A,FALSE,"Tickmarks"}</definedName>
    <definedName name="wrn.Aging._.and._.Trend._.Analysis._1_4_3" hidden="1">{#N/A,#N/A,FALSE,"Aging Summary";#N/A,#N/A,FALSE,"Ratio Analysis";#N/A,#N/A,FALSE,"Test 120 Day Accts";#N/A,#N/A,FALSE,"Tickmarks"}</definedName>
    <definedName name="wrn.Aging._.and._.Trend._.Analysis._1_4_4" hidden="1">{#N/A,#N/A,FALSE,"Aging Summary";#N/A,#N/A,FALSE,"Ratio Analysis";#N/A,#N/A,FALSE,"Test 120 Day Accts";#N/A,#N/A,FALSE,"Tickmarks"}</definedName>
    <definedName name="wrn.Aging._.and._.Trend._.Analysis._1_5" hidden="1">{#N/A,#N/A,FALSE,"Aging Summary";#N/A,#N/A,FALSE,"Ratio Analysis";#N/A,#N/A,FALSE,"Test 120 Day Accts";#N/A,#N/A,FALSE,"Tickmarks"}</definedName>
    <definedName name="wrn.Aging._.and._.Trend._.Analysis._1_5_1" hidden="1">{#N/A,#N/A,FALSE,"Aging Summary";#N/A,#N/A,FALSE,"Ratio Analysis";#N/A,#N/A,FALSE,"Test 120 Day Accts";#N/A,#N/A,FALSE,"Tickmarks"}</definedName>
    <definedName name="wrn.Aging._.and._.Trend._.Analysis._1_5_1_1" hidden="1">{#N/A,#N/A,FALSE,"Aging Summary";#N/A,#N/A,FALSE,"Ratio Analysis";#N/A,#N/A,FALSE,"Test 120 Day Accts";#N/A,#N/A,FALSE,"Tickmarks"}</definedName>
    <definedName name="wrn.Aging._.and._.Trend._.Analysis._1_5_1_2" hidden="1">{#N/A,#N/A,FALSE,"Aging Summary";#N/A,#N/A,FALSE,"Ratio Analysis";#N/A,#N/A,FALSE,"Test 120 Day Accts";#N/A,#N/A,FALSE,"Tickmarks"}</definedName>
    <definedName name="wrn.Aging._.and._.Trend._.Analysis._1_5_2" hidden="1">{#N/A,#N/A,FALSE,"Aging Summary";#N/A,#N/A,FALSE,"Ratio Analysis";#N/A,#N/A,FALSE,"Test 120 Day Accts";#N/A,#N/A,FALSE,"Tickmarks"}</definedName>
    <definedName name="wrn.Aging._.and._.Trend._.Analysis._1_5_2_1" hidden="1">{#N/A,#N/A,FALSE,"Aging Summary";#N/A,#N/A,FALSE,"Ratio Analysis";#N/A,#N/A,FALSE,"Test 120 Day Accts";#N/A,#N/A,FALSE,"Tickmarks"}</definedName>
    <definedName name="wrn.Aging._.and._.Trend._.Analysis._1_5_2_2" hidden="1">{#N/A,#N/A,FALSE,"Aging Summary";#N/A,#N/A,FALSE,"Ratio Analysis";#N/A,#N/A,FALSE,"Test 120 Day Accts";#N/A,#N/A,FALSE,"Tickmarks"}</definedName>
    <definedName name="wrn.Aging._.and._.Trend._.Analysis._1_5_3" hidden="1">{#N/A,#N/A,FALSE,"Aging Summary";#N/A,#N/A,FALSE,"Ratio Analysis";#N/A,#N/A,FALSE,"Test 120 Day Accts";#N/A,#N/A,FALSE,"Tickmarks"}</definedName>
    <definedName name="wrn.Aging._.and._.Trend._.Analysis._1_5_4" hidden="1">{#N/A,#N/A,FALSE,"Aging Summary";#N/A,#N/A,FALSE,"Ratio Analysis";#N/A,#N/A,FALSE,"Test 120 Day Accts";#N/A,#N/A,FALSE,"Tickmarks"}</definedName>
    <definedName name="wrn.Aging._.and._.Trend._.Analysis._2" hidden="1">{#N/A,#N/A,FALSE,"Aging Summary";#N/A,#N/A,FALSE,"Ratio Analysis";#N/A,#N/A,FALSE,"Test 120 Day Accts";#N/A,#N/A,FALSE,"Tickmarks"}</definedName>
    <definedName name="wrn.Aging._.and._.Trend._.Analysis._2_1" hidden="1">{#N/A,#N/A,FALSE,"Aging Summary";#N/A,#N/A,FALSE,"Ratio Analysis";#N/A,#N/A,FALSE,"Test 120 Day Accts";#N/A,#N/A,FALSE,"Tickmarks"}</definedName>
    <definedName name="wrn.Aging._.and._.Trend._.Analysis._2_1_1" hidden="1">{#N/A,#N/A,FALSE,"Aging Summary";#N/A,#N/A,FALSE,"Ratio Analysis";#N/A,#N/A,FALSE,"Test 120 Day Accts";#N/A,#N/A,FALSE,"Tickmarks"}</definedName>
    <definedName name="wrn.Aging._.and._.Trend._.Analysis._2_1_1_1" hidden="1">{#N/A,#N/A,FALSE,"Aging Summary";#N/A,#N/A,FALSE,"Ratio Analysis";#N/A,#N/A,FALSE,"Test 120 Day Accts";#N/A,#N/A,FALSE,"Tickmarks"}</definedName>
    <definedName name="wrn.Aging._.and._.Trend._.Analysis._2_1_1_2" hidden="1">{#N/A,#N/A,FALSE,"Aging Summary";#N/A,#N/A,FALSE,"Ratio Analysis";#N/A,#N/A,FALSE,"Test 120 Day Accts";#N/A,#N/A,FALSE,"Tickmarks"}</definedName>
    <definedName name="wrn.Aging._.and._.Trend._.Analysis._2_1_2" hidden="1">{#N/A,#N/A,FALSE,"Aging Summary";#N/A,#N/A,FALSE,"Ratio Analysis";#N/A,#N/A,FALSE,"Test 120 Day Accts";#N/A,#N/A,FALSE,"Tickmarks"}</definedName>
    <definedName name="wrn.Aging._.and._.Trend._.Analysis._2_1_2_1" hidden="1">{#N/A,#N/A,FALSE,"Aging Summary";#N/A,#N/A,FALSE,"Ratio Analysis";#N/A,#N/A,FALSE,"Test 120 Day Accts";#N/A,#N/A,FALSE,"Tickmarks"}</definedName>
    <definedName name="wrn.Aging._.and._.Trend._.Analysis._2_1_2_2" hidden="1">{#N/A,#N/A,FALSE,"Aging Summary";#N/A,#N/A,FALSE,"Ratio Analysis";#N/A,#N/A,FALSE,"Test 120 Day Accts";#N/A,#N/A,FALSE,"Tickmarks"}</definedName>
    <definedName name="wrn.Aging._.and._.Trend._.Analysis._2_1_3" hidden="1">{#N/A,#N/A,FALSE,"Aging Summary";#N/A,#N/A,FALSE,"Ratio Analysis";#N/A,#N/A,FALSE,"Test 120 Day Accts";#N/A,#N/A,FALSE,"Tickmarks"}</definedName>
    <definedName name="wrn.Aging._.and._.Trend._.Analysis._2_1_4" hidden="1">{#N/A,#N/A,FALSE,"Aging Summary";#N/A,#N/A,FALSE,"Ratio Analysis";#N/A,#N/A,FALSE,"Test 120 Day Accts";#N/A,#N/A,FALSE,"Tickmarks"}</definedName>
    <definedName name="wrn.Aging._.and._.Trend._.Analysis._2_2" hidden="1">{#N/A,#N/A,FALSE,"Aging Summary";#N/A,#N/A,FALSE,"Ratio Analysis";#N/A,#N/A,FALSE,"Test 120 Day Accts";#N/A,#N/A,FALSE,"Tickmarks"}</definedName>
    <definedName name="wrn.Aging._.and._.Trend._.Analysis._2_2_1" hidden="1">{#N/A,#N/A,FALSE,"Aging Summary";#N/A,#N/A,FALSE,"Ratio Analysis";#N/A,#N/A,FALSE,"Test 120 Day Accts";#N/A,#N/A,FALSE,"Tickmarks"}</definedName>
    <definedName name="wrn.Aging._.and._.Trend._.Analysis._2_2_1_1" hidden="1">{#N/A,#N/A,FALSE,"Aging Summary";#N/A,#N/A,FALSE,"Ratio Analysis";#N/A,#N/A,FALSE,"Test 120 Day Accts";#N/A,#N/A,FALSE,"Tickmarks"}</definedName>
    <definedName name="wrn.Aging._.and._.Trend._.Analysis._2_2_1_2" hidden="1">{#N/A,#N/A,FALSE,"Aging Summary";#N/A,#N/A,FALSE,"Ratio Analysis";#N/A,#N/A,FALSE,"Test 120 Day Accts";#N/A,#N/A,FALSE,"Tickmarks"}</definedName>
    <definedName name="wrn.Aging._.and._.Trend._.Analysis._2_2_2" hidden="1">{#N/A,#N/A,FALSE,"Aging Summary";#N/A,#N/A,FALSE,"Ratio Analysis";#N/A,#N/A,FALSE,"Test 120 Day Accts";#N/A,#N/A,FALSE,"Tickmarks"}</definedName>
    <definedName name="wrn.Aging._.and._.Trend._.Analysis._2_2_2_1" hidden="1">{#N/A,#N/A,FALSE,"Aging Summary";#N/A,#N/A,FALSE,"Ratio Analysis";#N/A,#N/A,FALSE,"Test 120 Day Accts";#N/A,#N/A,FALSE,"Tickmarks"}</definedName>
    <definedName name="wrn.Aging._.and._.Trend._.Analysis._2_2_2_2" hidden="1">{#N/A,#N/A,FALSE,"Aging Summary";#N/A,#N/A,FALSE,"Ratio Analysis";#N/A,#N/A,FALSE,"Test 120 Day Accts";#N/A,#N/A,FALSE,"Tickmarks"}</definedName>
    <definedName name="wrn.Aging._.and._.Trend._.Analysis._2_2_3" hidden="1">{#N/A,#N/A,FALSE,"Aging Summary";#N/A,#N/A,FALSE,"Ratio Analysis";#N/A,#N/A,FALSE,"Test 120 Day Accts";#N/A,#N/A,FALSE,"Tickmarks"}</definedName>
    <definedName name="wrn.Aging._.and._.Trend._.Analysis._2_2_4" hidden="1">{#N/A,#N/A,FALSE,"Aging Summary";#N/A,#N/A,FALSE,"Ratio Analysis";#N/A,#N/A,FALSE,"Test 120 Day Accts";#N/A,#N/A,FALSE,"Tickmarks"}</definedName>
    <definedName name="wrn.Aging._.and._.Trend._.Analysis._2_3" hidden="1">{#N/A,#N/A,FALSE,"Aging Summary";#N/A,#N/A,FALSE,"Ratio Analysis";#N/A,#N/A,FALSE,"Test 120 Day Accts";#N/A,#N/A,FALSE,"Tickmarks"}</definedName>
    <definedName name="wrn.Aging._.and._.Trend._.Analysis._2_3_1" hidden="1">{#N/A,#N/A,FALSE,"Aging Summary";#N/A,#N/A,FALSE,"Ratio Analysis";#N/A,#N/A,FALSE,"Test 120 Day Accts";#N/A,#N/A,FALSE,"Tickmarks"}</definedName>
    <definedName name="wrn.Aging._.and._.Trend._.Analysis._2_3_1_1" hidden="1">{#N/A,#N/A,FALSE,"Aging Summary";#N/A,#N/A,FALSE,"Ratio Analysis";#N/A,#N/A,FALSE,"Test 120 Day Accts";#N/A,#N/A,FALSE,"Tickmarks"}</definedName>
    <definedName name="wrn.Aging._.and._.Trend._.Analysis._2_3_1_2" hidden="1">{#N/A,#N/A,FALSE,"Aging Summary";#N/A,#N/A,FALSE,"Ratio Analysis";#N/A,#N/A,FALSE,"Test 120 Day Accts";#N/A,#N/A,FALSE,"Tickmarks"}</definedName>
    <definedName name="wrn.Aging._.and._.Trend._.Analysis._2_3_2" hidden="1">{#N/A,#N/A,FALSE,"Aging Summary";#N/A,#N/A,FALSE,"Ratio Analysis";#N/A,#N/A,FALSE,"Test 120 Day Accts";#N/A,#N/A,FALSE,"Tickmarks"}</definedName>
    <definedName name="wrn.Aging._.and._.Trend._.Analysis._2_3_2_1" hidden="1">{#N/A,#N/A,FALSE,"Aging Summary";#N/A,#N/A,FALSE,"Ratio Analysis";#N/A,#N/A,FALSE,"Test 120 Day Accts";#N/A,#N/A,FALSE,"Tickmarks"}</definedName>
    <definedName name="wrn.Aging._.and._.Trend._.Analysis._2_3_2_2" hidden="1">{#N/A,#N/A,FALSE,"Aging Summary";#N/A,#N/A,FALSE,"Ratio Analysis";#N/A,#N/A,FALSE,"Test 120 Day Accts";#N/A,#N/A,FALSE,"Tickmarks"}</definedName>
    <definedName name="wrn.Aging._.and._.Trend._.Analysis._2_3_3" hidden="1">{#N/A,#N/A,FALSE,"Aging Summary";#N/A,#N/A,FALSE,"Ratio Analysis";#N/A,#N/A,FALSE,"Test 120 Day Accts";#N/A,#N/A,FALSE,"Tickmarks"}</definedName>
    <definedName name="wrn.Aging._.and._.Trend._.Analysis._2_3_4" hidden="1">{#N/A,#N/A,FALSE,"Aging Summary";#N/A,#N/A,FALSE,"Ratio Analysis";#N/A,#N/A,FALSE,"Test 120 Day Accts";#N/A,#N/A,FALSE,"Tickmarks"}</definedName>
    <definedName name="wrn.Aging._.and._.Trend._.Analysis._2_4" hidden="1">{#N/A,#N/A,FALSE,"Aging Summary";#N/A,#N/A,FALSE,"Ratio Analysis";#N/A,#N/A,FALSE,"Test 120 Day Accts";#N/A,#N/A,FALSE,"Tickmarks"}</definedName>
    <definedName name="wrn.Aging._.and._.Trend._.Analysis._2_4_1" hidden="1">{#N/A,#N/A,FALSE,"Aging Summary";#N/A,#N/A,FALSE,"Ratio Analysis";#N/A,#N/A,FALSE,"Test 120 Day Accts";#N/A,#N/A,FALSE,"Tickmarks"}</definedName>
    <definedName name="wrn.Aging._.and._.Trend._.Analysis._2_4_1_1" hidden="1">{#N/A,#N/A,FALSE,"Aging Summary";#N/A,#N/A,FALSE,"Ratio Analysis";#N/A,#N/A,FALSE,"Test 120 Day Accts";#N/A,#N/A,FALSE,"Tickmarks"}</definedName>
    <definedName name="wrn.Aging._.and._.Trend._.Analysis._2_4_1_2" hidden="1">{#N/A,#N/A,FALSE,"Aging Summary";#N/A,#N/A,FALSE,"Ratio Analysis";#N/A,#N/A,FALSE,"Test 120 Day Accts";#N/A,#N/A,FALSE,"Tickmarks"}</definedName>
    <definedName name="wrn.Aging._.and._.Trend._.Analysis._2_4_2" hidden="1">{#N/A,#N/A,FALSE,"Aging Summary";#N/A,#N/A,FALSE,"Ratio Analysis";#N/A,#N/A,FALSE,"Test 120 Day Accts";#N/A,#N/A,FALSE,"Tickmarks"}</definedName>
    <definedName name="wrn.Aging._.and._.Trend._.Analysis._2_4_2_1" hidden="1">{#N/A,#N/A,FALSE,"Aging Summary";#N/A,#N/A,FALSE,"Ratio Analysis";#N/A,#N/A,FALSE,"Test 120 Day Accts";#N/A,#N/A,FALSE,"Tickmarks"}</definedName>
    <definedName name="wrn.Aging._.and._.Trend._.Analysis._2_4_2_2" hidden="1">{#N/A,#N/A,FALSE,"Aging Summary";#N/A,#N/A,FALSE,"Ratio Analysis";#N/A,#N/A,FALSE,"Test 120 Day Accts";#N/A,#N/A,FALSE,"Tickmarks"}</definedName>
    <definedName name="wrn.Aging._.and._.Trend._.Analysis._2_4_3" hidden="1">{#N/A,#N/A,FALSE,"Aging Summary";#N/A,#N/A,FALSE,"Ratio Analysis";#N/A,#N/A,FALSE,"Test 120 Day Accts";#N/A,#N/A,FALSE,"Tickmarks"}</definedName>
    <definedName name="wrn.Aging._.and._.Trend._.Analysis._2_4_4" hidden="1">{#N/A,#N/A,FALSE,"Aging Summary";#N/A,#N/A,FALSE,"Ratio Analysis";#N/A,#N/A,FALSE,"Test 120 Day Accts";#N/A,#N/A,FALSE,"Tickmarks"}</definedName>
    <definedName name="wrn.Aging._.and._.Trend._.Analysis._2_5" hidden="1">{#N/A,#N/A,FALSE,"Aging Summary";#N/A,#N/A,FALSE,"Ratio Analysis";#N/A,#N/A,FALSE,"Test 120 Day Accts";#N/A,#N/A,FALSE,"Tickmarks"}</definedName>
    <definedName name="wrn.Aging._.and._.Trend._.Analysis._2_5_1" hidden="1">{#N/A,#N/A,FALSE,"Aging Summary";#N/A,#N/A,FALSE,"Ratio Analysis";#N/A,#N/A,FALSE,"Test 120 Day Accts";#N/A,#N/A,FALSE,"Tickmarks"}</definedName>
    <definedName name="wrn.Aging._.and._.Trend._.Analysis._2_5_1_1" hidden="1">{#N/A,#N/A,FALSE,"Aging Summary";#N/A,#N/A,FALSE,"Ratio Analysis";#N/A,#N/A,FALSE,"Test 120 Day Accts";#N/A,#N/A,FALSE,"Tickmarks"}</definedName>
    <definedName name="wrn.Aging._.and._.Trend._.Analysis._2_5_1_2" hidden="1">{#N/A,#N/A,FALSE,"Aging Summary";#N/A,#N/A,FALSE,"Ratio Analysis";#N/A,#N/A,FALSE,"Test 120 Day Accts";#N/A,#N/A,FALSE,"Tickmarks"}</definedName>
    <definedName name="wrn.Aging._.and._.Trend._.Analysis._2_5_2" hidden="1">{#N/A,#N/A,FALSE,"Aging Summary";#N/A,#N/A,FALSE,"Ratio Analysis";#N/A,#N/A,FALSE,"Test 120 Day Accts";#N/A,#N/A,FALSE,"Tickmarks"}</definedName>
    <definedName name="wrn.Aging._.and._.Trend._.Analysis._2_5_2_1" hidden="1">{#N/A,#N/A,FALSE,"Aging Summary";#N/A,#N/A,FALSE,"Ratio Analysis";#N/A,#N/A,FALSE,"Test 120 Day Accts";#N/A,#N/A,FALSE,"Tickmarks"}</definedName>
    <definedName name="wrn.Aging._.and._.Trend._.Analysis._2_5_2_2" hidden="1">{#N/A,#N/A,FALSE,"Aging Summary";#N/A,#N/A,FALSE,"Ratio Analysis";#N/A,#N/A,FALSE,"Test 120 Day Accts";#N/A,#N/A,FALSE,"Tickmarks"}</definedName>
    <definedName name="wrn.Aging._.and._.Trend._.Analysis._2_5_3" hidden="1">{#N/A,#N/A,FALSE,"Aging Summary";#N/A,#N/A,FALSE,"Ratio Analysis";#N/A,#N/A,FALSE,"Test 120 Day Accts";#N/A,#N/A,FALSE,"Tickmarks"}</definedName>
    <definedName name="wrn.Aging._.and._.Trend._.Analysis._2_5_4" hidden="1">{#N/A,#N/A,FALSE,"Aging Summary";#N/A,#N/A,FALSE,"Ratio Analysis";#N/A,#N/A,FALSE,"Test 120 Day Accts";#N/A,#N/A,FALSE,"Tickmarks"}</definedName>
    <definedName name="wrn.Aging._.and._.Trend._.Analysis._3" hidden="1">{#N/A,#N/A,FALSE,"Aging Summary";#N/A,#N/A,FALSE,"Ratio Analysis";#N/A,#N/A,FALSE,"Test 120 Day Accts";#N/A,#N/A,FALSE,"Tickmarks"}</definedName>
    <definedName name="wrn.Aging._.and._.Trend._.Analysis._3_1" hidden="1">{#N/A,#N/A,FALSE,"Aging Summary";#N/A,#N/A,FALSE,"Ratio Analysis";#N/A,#N/A,FALSE,"Test 120 Day Accts";#N/A,#N/A,FALSE,"Tickmarks"}</definedName>
    <definedName name="wrn.Aging._.and._.Trend._.Analysis._3_1_1" hidden="1">{#N/A,#N/A,FALSE,"Aging Summary";#N/A,#N/A,FALSE,"Ratio Analysis";#N/A,#N/A,FALSE,"Test 120 Day Accts";#N/A,#N/A,FALSE,"Tickmarks"}</definedName>
    <definedName name="wrn.Aging._.and._.Trend._.Analysis._3_1_1_1" hidden="1">{#N/A,#N/A,FALSE,"Aging Summary";#N/A,#N/A,FALSE,"Ratio Analysis";#N/A,#N/A,FALSE,"Test 120 Day Accts";#N/A,#N/A,FALSE,"Tickmarks"}</definedName>
    <definedName name="wrn.Aging._.and._.Trend._.Analysis._3_1_1_2" hidden="1">{#N/A,#N/A,FALSE,"Aging Summary";#N/A,#N/A,FALSE,"Ratio Analysis";#N/A,#N/A,FALSE,"Test 120 Day Accts";#N/A,#N/A,FALSE,"Tickmarks"}</definedName>
    <definedName name="wrn.Aging._.and._.Trend._.Analysis._3_1_2" hidden="1">{#N/A,#N/A,FALSE,"Aging Summary";#N/A,#N/A,FALSE,"Ratio Analysis";#N/A,#N/A,FALSE,"Test 120 Day Accts";#N/A,#N/A,FALSE,"Tickmarks"}</definedName>
    <definedName name="wrn.Aging._.and._.Trend._.Analysis._3_1_2_1" hidden="1">{#N/A,#N/A,FALSE,"Aging Summary";#N/A,#N/A,FALSE,"Ratio Analysis";#N/A,#N/A,FALSE,"Test 120 Day Accts";#N/A,#N/A,FALSE,"Tickmarks"}</definedName>
    <definedName name="wrn.Aging._.and._.Trend._.Analysis._3_1_2_2" hidden="1">{#N/A,#N/A,FALSE,"Aging Summary";#N/A,#N/A,FALSE,"Ratio Analysis";#N/A,#N/A,FALSE,"Test 120 Day Accts";#N/A,#N/A,FALSE,"Tickmarks"}</definedName>
    <definedName name="wrn.Aging._.and._.Trend._.Analysis._3_1_3" hidden="1">{#N/A,#N/A,FALSE,"Aging Summary";#N/A,#N/A,FALSE,"Ratio Analysis";#N/A,#N/A,FALSE,"Test 120 Day Accts";#N/A,#N/A,FALSE,"Tickmarks"}</definedName>
    <definedName name="wrn.Aging._.and._.Trend._.Analysis._3_1_4" hidden="1">{#N/A,#N/A,FALSE,"Aging Summary";#N/A,#N/A,FALSE,"Ratio Analysis";#N/A,#N/A,FALSE,"Test 120 Day Accts";#N/A,#N/A,FALSE,"Tickmarks"}</definedName>
    <definedName name="wrn.Aging._.and._.Trend._.Analysis._3_2" hidden="1">{#N/A,#N/A,FALSE,"Aging Summary";#N/A,#N/A,FALSE,"Ratio Analysis";#N/A,#N/A,FALSE,"Test 120 Day Accts";#N/A,#N/A,FALSE,"Tickmarks"}</definedName>
    <definedName name="wrn.Aging._.and._.Trend._.Analysis._3_2_1" hidden="1">{#N/A,#N/A,FALSE,"Aging Summary";#N/A,#N/A,FALSE,"Ratio Analysis";#N/A,#N/A,FALSE,"Test 120 Day Accts";#N/A,#N/A,FALSE,"Tickmarks"}</definedName>
    <definedName name="wrn.Aging._.and._.Trend._.Analysis._3_2_1_1" hidden="1">{#N/A,#N/A,FALSE,"Aging Summary";#N/A,#N/A,FALSE,"Ratio Analysis";#N/A,#N/A,FALSE,"Test 120 Day Accts";#N/A,#N/A,FALSE,"Tickmarks"}</definedName>
    <definedName name="wrn.Aging._.and._.Trend._.Analysis._3_2_1_2" hidden="1">{#N/A,#N/A,FALSE,"Aging Summary";#N/A,#N/A,FALSE,"Ratio Analysis";#N/A,#N/A,FALSE,"Test 120 Day Accts";#N/A,#N/A,FALSE,"Tickmarks"}</definedName>
    <definedName name="wrn.Aging._.and._.Trend._.Analysis._3_2_2" hidden="1">{#N/A,#N/A,FALSE,"Aging Summary";#N/A,#N/A,FALSE,"Ratio Analysis";#N/A,#N/A,FALSE,"Test 120 Day Accts";#N/A,#N/A,FALSE,"Tickmarks"}</definedName>
    <definedName name="wrn.Aging._.and._.Trend._.Analysis._3_2_2_1" hidden="1">{#N/A,#N/A,FALSE,"Aging Summary";#N/A,#N/A,FALSE,"Ratio Analysis";#N/A,#N/A,FALSE,"Test 120 Day Accts";#N/A,#N/A,FALSE,"Tickmarks"}</definedName>
    <definedName name="wrn.Aging._.and._.Trend._.Analysis._3_2_2_2" hidden="1">{#N/A,#N/A,FALSE,"Aging Summary";#N/A,#N/A,FALSE,"Ratio Analysis";#N/A,#N/A,FALSE,"Test 120 Day Accts";#N/A,#N/A,FALSE,"Tickmarks"}</definedName>
    <definedName name="wrn.Aging._.and._.Trend._.Analysis._3_2_3" hidden="1">{#N/A,#N/A,FALSE,"Aging Summary";#N/A,#N/A,FALSE,"Ratio Analysis";#N/A,#N/A,FALSE,"Test 120 Day Accts";#N/A,#N/A,FALSE,"Tickmarks"}</definedName>
    <definedName name="wrn.Aging._.and._.Trend._.Analysis._3_2_4" hidden="1">{#N/A,#N/A,FALSE,"Aging Summary";#N/A,#N/A,FALSE,"Ratio Analysis";#N/A,#N/A,FALSE,"Test 120 Day Accts";#N/A,#N/A,FALSE,"Tickmarks"}</definedName>
    <definedName name="wrn.Aging._.and._.Trend._.Analysis._3_3" hidden="1">{#N/A,#N/A,FALSE,"Aging Summary";#N/A,#N/A,FALSE,"Ratio Analysis";#N/A,#N/A,FALSE,"Test 120 Day Accts";#N/A,#N/A,FALSE,"Tickmarks"}</definedName>
    <definedName name="wrn.Aging._.and._.Trend._.Analysis._3_3_1" hidden="1">{#N/A,#N/A,FALSE,"Aging Summary";#N/A,#N/A,FALSE,"Ratio Analysis";#N/A,#N/A,FALSE,"Test 120 Day Accts";#N/A,#N/A,FALSE,"Tickmarks"}</definedName>
    <definedName name="wrn.Aging._.and._.Trend._.Analysis._3_3_1_1" hidden="1">{#N/A,#N/A,FALSE,"Aging Summary";#N/A,#N/A,FALSE,"Ratio Analysis";#N/A,#N/A,FALSE,"Test 120 Day Accts";#N/A,#N/A,FALSE,"Tickmarks"}</definedName>
    <definedName name="wrn.Aging._.and._.Trend._.Analysis._3_3_1_2" hidden="1">{#N/A,#N/A,FALSE,"Aging Summary";#N/A,#N/A,FALSE,"Ratio Analysis";#N/A,#N/A,FALSE,"Test 120 Day Accts";#N/A,#N/A,FALSE,"Tickmarks"}</definedName>
    <definedName name="wrn.Aging._.and._.Trend._.Analysis._3_3_2" hidden="1">{#N/A,#N/A,FALSE,"Aging Summary";#N/A,#N/A,FALSE,"Ratio Analysis";#N/A,#N/A,FALSE,"Test 120 Day Accts";#N/A,#N/A,FALSE,"Tickmarks"}</definedName>
    <definedName name="wrn.Aging._.and._.Trend._.Analysis._3_3_2_1" hidden="1">{#N/A,#N/A,FALSE,"Aging Summary";#N/A,#N/A,FALSE,"Ratio Analysis";#N/A,#N/A,FALSE,"Test 120 Day Accts";#N/A,#N/A,FALSE,"Tickmarks"}</definedName>
    <definedName name="wrn.Aging._.and._.Trend._.Analysis._3_3_2_2" hidden="1">{#N/A,#N/A,FALSE,"Aging Summary";#N/A,#N/A,FALSE,"Ratio Analysis";#N/A,#N/A,FALSE,"Test 120 Day Accts";#N/A,#N/A,FALSE,"Tickmarks"}</definedName>
    <definedName name="wrn.Aging._.and._.Trend._.Analysis._3_3_3" hidden="1">{#N/A,#N/A,FALSE,"Aging Summary";#N/A,#N/A,FALSE,"Ratio Analysis";#N/A,#N/A,FALSE,"Test 120 Day Accts";#N/A,#N/A,FALSE,"Tickmarks"}</definedName>
    <definedName name="wrn.Aging._.and._.Trend._.Analysis._3_3_4" hidden="1">{#N/A,#N/A,FALSE,"Aging Summary";#N/A,#N/A,FALSE,"Ratio Analysis";#N/A,#N/A,FALSE,"Test 120 Day Accts";#N/A,#N/A,FALSE,"Tickmarks"}</definedName>
    <definedName name="wrn.Aging._.and._.Trend._.Analysis._3_4" hidden="1">{#N/A,#N/A,FALSE,"Aging Summary";#N/A,#N/A,FALSE,"Ratio Analysis";#N/A,#N/A,FALSE,"Test 120 Day Accts";#N/A,#N/A,FALSE,"Tickmarks"}</definedName>
    <definedName name="wrn.Aging._.and._.Trend._.Analysis._3_4_1" hidden="1">{#N/A,#N/A,FALSE,"Aging Summary";#N/A,#N/A,FALSE,"Ratio Analysis";#N/A,#N/A,FALSE,"Test 120 Day Accts";#N/A,#N/A,FALSE,"Tickmarks"}</definedName>
    <definedName name="wrn.Aging._.and._.Trend._.Analysis._3_4_1_1" hidden="1">{#N/A,#N/A,FALSE,"Aging Summary";#N/A,#N/A,FALSE,"Ratio Analysis";#N/A,#N/A,FALSE,"Test 120 Day Accts";#N/A,#N/A,FALSE,"Tickmarks"}</definedName>
    <definedName name="wrn.Aging._.and._.Trend._.Analysis._3_4_1_2" hidden="1">{#N/A,#N/A,FALSE,"Aging Summary";#N/A,#N/A,FALSE,"Ratio Analysis";#N/A,#N/A,FALSE,"Test 120 Day Accts";#N/A,#N/A,FALSE,"Tickmarks"}</definedName>
    <definedName name="wrn.Aging._.and._.Trend._.Analysis._3_4_2" hidden="1">{#N/A,#N/A,FALSE,"Aging Summary";#N/A,#N/A,FALSE,"Ratio Analysis";#N/A,#N/A,FALSE,"Test 120 Day Accts";#N/A,#N/A,FALSE,"Tickmarks"}</definedName>
    <definedName name="wrn.Aging._.and._.Trend._.Analysis._3_4_2_1" hidden="1">{#N/A,#N/A,FALSE,"Aging Summary";#N/A,#N/A,FALSE,"Ratio Analysis";#N/A,#N/A,FALSE,"Test 120 Day Accts";#N/A,#N/A,FALSE,"Tickmarks"}</definedName>
    <definedName name="wrn.Aging._.and._.Trend._.Analysis._3_4_2_2" hidden="1">{#N/A,#N/A,FALSE,"Aging Summary";#N/A,#N/A,FALSE,"Ratio Analysis";#N/A,#N/A,FALSE,"Test 120 Day Accts";#N/A,#N/A,FALSE,"Tickmarks"}</definedName>
    <definedName name="wrn.Aging._.and._.Trend._.Analysis._3_4_3" hidden="1">{#N/A,#N/A,FALSE,"Aging Summary";#N/A,#N/A,FALSE,"Ratio Analysis";#N/A,#N/A,FALSE,"Test 120 Day Accts";#N/A,#N/A,FALSE,"Tickmarks"}</definedName>
    <definedName name="wrn.Aging._.and._.Trend._.Analysis._3_4_4" hidden="1">{#N/A,#N/A,FALSE,"Aging Summary";#N/A,#N/A,FALSE,"Ratio Analysis";#N/A,#N/A,FALSE,"Test 120 Day Accts";#N/A,#N/A,FALSE,"Tickmarks"}</definedName>
    <definedName name="wrn.Aging._.and._.Trend._.Analysis._3_5" hidden="1">{#N/A,#N/A,FALSE,"Aging Summary";#N/A,#N/A,FALSE,"Ratio Analysis";#N/A,#N/A,FALSE,"Test 120 Day Accts";#N/A,#N/A,FALSE,"Tickmarks"}</definedName>
    <definedName name="wrn.Aging._.and._.Trend._.Analysis._3_5_1" hidden="1">{#N/A,#N/A,FALSE,"Aging Summary";#N/A,#N/A,FALSE,"Ratio Analysis";#N/A,#N/A,FALSE,"Test 120 Day Accts";#N/A,#N/A,FALSE,"Tickmarks"}</definedName>
    <definedName name="wrn.Aging._.and._.Trend._.Analysis._3_5_1_1" hidden="1">{#N/A,#N/A,FALSE,"Aging Summary";#N/A,#N/A,FALSE,"Ratio Analysis";#N/A,#N/A,FALSE,"Test 120 Day Accts";#N/A,#N/A,FALSE,"Tickmarks"}</definedName>
    <definedName name="wrn.Aging._.and._.Trend._.Analysis._3_5_1_2" hidden="1">{#N/A,#N/A,FALSE,"Aging Summary";#N/A,#N/A,FALSE,"Ratio Analysis";#N/A,#N/A,FALSE,"Test 120 Day Accts";#N/A,#N/A,FALSE,"Tickmarks"}</definedName>
    <definedName name="wrn.Aging._.and._.Trend._.Analysis._3_5_2" hidden="1">{#N/A,#N/A,FALSE,"Aging Summary";#N/A,#N/A,FALSE,"Ratio Analysis";#N/A,#N/A,FALSE,"Test 120 Day Accts";#N/A,#N/A,FALSE,"Tickmarks"}</definedName>
    <definedName name="wrn.Aging._.and._.Trend._.Analysis._3_5_2_1" hidden="1">{#N/A,#N/A,FALSE,"Aging Summary";#N/A,#N/A,FALSE,"Ratio Analysis";#N/A,#N/A,FALSE,"Test 120 Day Accts";#N/A,#N/A,FALSE,"Tickmarks"}</definedName>
    <definedName name="wrn.Aging._.and._.Trend._.Analysis._3_5_2_2" hidden="1">{#N/A,#N/A,FALSE,"Aging Summary";#N/A,#N/A,FALSE,"Ratio Analysis";#N/A,#N/A,FALSE,"Test 120 Day Accts";#N/A,#N/A,FALSE,"Tickmarks"}</definedName>
    <definedName name="wrn.Aging._.and._.Trend._.Analysis._3_5_3" hidden="1">{#N/A,#N/A,FALSE,"Aging Summary";#N/A,#N/A,FALSE,"Ratio Analysis";#N/A,#N/A,FALSE,"Test 120 Day Accts";#N/A,#N/A,FALSE,"Tickmarks"}</definedName>
    <definedName name="wrn.Aging._.and._.Trend._.Analysis._3_5_4" hidden="1">{#N/A,#N/A,FALSE,"Aging Summary";#N/A,#N/A,FALSE,"Ratio Analysis";#N/A,#N/A,FALSE,"Test 120 Day Accts";#N/A,#N/A,FALSE,"Tickmarks"}</definedName>
    <definedName name="wrn.Aging._.and._.Trend._.Analysis._4" hidden="1">{#N/A,#N/A,FALSE,"Aging Summary";#N/A,#N/A,FALSE,"Ratio Analysis";#N/A,#N/A,FALSE,"Test 120 Day Accts";#N/A,#N/A,FALSE,"Tickmarks"}</definedName>
    <definedName name="wrn.Aging._.and._.Trend._.Analysis._4_1" hidden="1">{#N/A,#N/A,FALSE,"Aging Summary";#N/A,#N/A,FALSE,"Ratio Analysis";#N/A,#N/A,FALSE,"Test 120 Day Accts";#N/A,#N/A,FALSE,"Tickmarks"}</definedName>
    <definedName name="wrn.Aging._.and._.Trend._.Analysis._4_1_1" hidden="1">{#N/A,#N/A,FALSE,"Aging Summary";#N/A,#N/A,FALSE,"Ratio Analysis";#N/A,#N/A,FALSE,"Test 120 Day Accts";#N/A,#N/A,FALSE,"Tickmarks"}</definedName>
    <definedName name="wrn.Aging._.and._.Trend._.Analysis._4_1_2" hidden="1">{#N/A,#N/A,FALSE,"Aging Summary";#N/A,#N/A,FALSE,"Ratio Analysis";#N/A,#N/A,FALSE,"Test 120 Day Accts";#N/A,#N/A,FALSE,"Tickmarks"}</definedName>
    <definedName name="wrn.Aging._.and._.Trend._.Analysis._4_2" hidden="1">{#N/A,#N/A,FALSE,"Aging Summary";#N/A,#N/A,FALSE,"Ratio Analysis";#N/A,#N/A,FALSE,"Test 120 Day Accts";#N/A,#N/A,FALSE,"Tickmarks"}</definedName>
    <definedName name="wrn.Aging._.and._.Trend._.Analysis._4_2_1" hidden="1">{#N/A,#N/A,FALSE,"Aging Summary";#N/A,#N/A,FALSE,"Ratio Analysis";#N/A,#N/A,FALSE,"Test 120 Day Accts";#N/A,#N/A,FALSE,"Tickmarks"}</definedName>
    <definedName name="wrn.Aging._.and._.Trend._.Analysis._4_2_2" hidden="1">{#N/A,#N/A,FALSE,"Aging Summary";#N/A,#N/A,FALSE,"Ratio Analysis";#N/A,#N/A,FALSE,"Test 120 Day Accts";#N/A,#N/A,FALSE,"Tickmarks"}</definedName>
    <definedName name="wrn.Aging._.and._.Trend._.Analysis._4_3" hidden="1">{#N/A,#N/A,FALSE,"Aging Summary";#N/A,#N/A,FALSE,"Ratio Analysis";#N/A,#N/A,FALSE,"Test 120 Day Accts";#N/A,#N/A,FALSE,"Tickmarks"}</definedName>
    <definedName name="wrn.Aging._.and._.Trend._.Analysis._4_4" hidden="1">{#N/A,#N/A,FALSE,"Aging Summary";#N/A,#N/A,FALSE,"Ratio Analysis";#N/A,#N/A,FALSE,"Test 120 Day Accts";#N/A,#N/A,FALSE,"Tickmarks"}</definedName>
    <definedName name="wrn.Aging._.and._.Trend._.Analysis._5" hidden="1">{#N/A,#N/A,FALSE,"Aging Summary";#N/A,#N/A,FALSE,"Ratio Analysis";#N/A,#N/A,FALSE,"Test 120 Day Accts";#N/A,#N/A,FALSE,"Tickmarks"}</definedName>
    <definedName name="wrn.Aging._.and._.Trend._.Analysis._5_1" hidden="1">{#N/A,#N/A,FALSE,"Aging Summary";#N/A,#N/A,FALSE,"Ratio Analysis";#N/A,#N/A,FALSE,"Test 120 Day Accts";#N/A,#N/A,FALSE,"Tickmarks"}</definedName>
    <definedName name="wrn.Aging._.and._.Trend._.Analysis._5_1_1" hidden="1">{#N/A,#N/A,FALSE,"Aging Summary";#N/A,#N/A,FALSE,"Ratio Analysis";#N/A,#N/A,FALSE,"Test 120 Day Accts";#N/A,#N/A,FALSE,"Tickmarks"}</definedName>
    <definedName name="wrn.Aging._.and._.Trend._.Analysis._5_1_2" hidden="1">{#N/A,#N/A,FALSE,"Aging Summary";#N/A,#N/A,FALSE,"Ratio Analysis";#N/A,#N/A,FALSE,"Test 120 Day Accts";#N/A,#N/A,FALSE,"Tickmarks"}</definedName>
    <definedName name="wrn.Aging._.and._.Trend._.Analysis._5_2" hidden="1">{#N/A,#N/A,FALSE,"Aging Summary";#N/A,#N/A,FALSE,"Ratio Analysis";#N/A,#N/A,FALSE,"Test 120 Day Accts";#N/A,#N/A,FALSE,"Tickmarks"}</definedName>
    <definedName name="wrn.Aging._.and._.Trend._.Analysis._5_2_1" hidden="1">{#N/A,#N/A,FALSE,"Aging Summary";#N/A,#N/A,FALSE,"Ratio Analysis";#N/A,#N/A,FALSE,"Test 120 Day Accts";#N/A,#N/A,FALSE,"Tickmarks"}</definedName>
    <definedName name="wrn.Aging._.and._.Trend._.Analysis._5_2_2" hidden="1">{#N/A,#N/A,FALSE,"Aging Summary";#N/A,#N/A,FALSE,"Ratio Analysis";#N/A,#N/A,FALSE,"Test 120 Day Accts";#N/A,#N/A,FALSE,"Tickmarks"}</definedName>
    <definedName name="wrn.Aging._.and._.Trend._.Analysis._5_3" hidden="1">{#N/A,#N/A,FALSE,"Aging Summary";#N/A,#N/A,FALSE,"Ratio Analysis";#N/A,#N/A,FALSE,"Test 120 Day Accts";#N/A,#N/A,FALSE,"Tickmarks"}</definedName>
    <definedName name="wrn.Aging._.and._.Trend._.Analysis._5_4" hidden="1">{#N/A,#N/A,FALSE,"Aging Summary";#N/A,#N/A,FALSE,"Ratio Analysis";#N/A,#N/A,FALSE,"Test 120 Day Accts";#N/A,#N/A,FALSE,"Tickmarks"}</definedName>
    <definedName name="wrn.aging._.and._.Trend._.Analysis1" localSheetId="8" hidden="1">{#N/A,#N/A,FALSE,"Aging Summary";#N/A,#N/A,FALSE,"Ratio Analysis";#N/A,#N/A,FALSE,"Test 120 Day Accts";#N/A,#N/A,FALSE,"Tickmarks"}</definedName>
    <definedName name="wrn.aging._.and._.Trend._.Analysis1" hidden="1">{#N/A,#N/A,FALSE,"Aging Summary";#N/A,#N/A,FALSE,"Ratio Analysis";#N/A,#N/A,FALSE,"Test 120 Day Accts";#N/A,#N/A,FALSE,"Tickmarks"}</definedName>
    <definedName name="wrn.Agregado." localSheetId="8" hidden="1">{"LargoAgreg",#N/A,FALSE,"Agregado";"CortoAgreg",#N/A,FALSE,"Agregado";"PLAgreg",#N/A,FALSE,"Agregado"}</definedName>
    <definedName name="wrn.Agregado." hidden="1">{"LargoAgreg",#N/A,FALSE,"Agregado";"CortoAgreg",#N/A,FALSE,"Agregado";"PLAgreg",#N/A,FALSE,"Agregado"}</definedName>
    <definedName name="wrn.Agregado._1" localSheetId="8" hidden="1">{"LargoAgreg",#N/A,FALSE,"Agregado";"CortoAgreg",#N/A,FALSE,"Agregado";"PLAgreg",#N/A,FALSE,"Agregado"}</definedName>
    <definedName name="wrn.Agregado._1" hidden="1">{"LargoAgreg",#N/A,FALSE,"Agregado";"CortoAgreg",#N/A,FALSE,"Agregado";"PLAgreg",#N/A,FALSE,"Agregado"}</definedName>
    <definedName name="wrn.AIJS._.Print._.Out." localSheetId="8" hidden="1">{"Assumptions",#N/A,FALSE,"Assumptions";"Revenues",#N/A,FALSE,"Revenues";"Expenses",#N/A,FALSE,"Expenses";"Construction",#N/A,FALSE,"Construction Costs";"Income Statement",#N/A,FALSE,"Income Statement";"Depreciation",#N/A,FALSE,"Depreciation";"Cash Flow",#N/A,FALSE,"Cash Flow";"Balance Sheet",#N/A,FALSE,"Balance Sheet";"Debt Pro Forma",#N/A,FALSE,"Debt Pro Forma";"Sources &amp; Uses",#N/A,FALSE,"Sources &amp; Uses";"Debt S&amp;U",#N/A,FALSE,"Debt S&amp;U";"Debt Pro Forma 3",#N/A,FALSE,"Debt Pro Forma 3";"Debt Pro Forma 2",#N/A,FALSE,"Debt Pro Forma 2"}</definedName>
    <definedName name="wrn.AIJS._.Print._.Out." hidden="1">{"Assumptions",#N/A,FALSE,"Assumptions";"Revenues",#N/A,FALSE,"Revenues";"Expenses",#N/A,FALSE,"Expenses";"Construction",#N/A,FALSE,"Construction Costs";"Income Statement",#N/A,FALSE,"Income Statement";"Depreciation",#N/A,FALSE,"Depreciation";"Cash Flow",#N/A,FALSE,"Cash Flow";"Balance Sheet",#N/A,FALSE,"Balance Sheet";"Debt Pro Forma",#N/A,FALSE,"Debt Pro Forma";"Sources &amp; Uses",#N/A,FALSE,"Sources &amp; Uses";"Debt S&amp;U",#N/A,FALSE,"Debt S&amp;U";"Debt Pro Forma 3",#N/A,FALSE,"Debt Pro Forma 3";"Debt Pro Forma 2",#N/A,FALSE,"Debt Pro Forma 2"}</definedName>
    <definedName name="wrn.Aito._.Comp" localSheetId="8" hidden="1">{#N/A,#N/A,FALSE,"Sheet1"}</definedName>
    <definedName name="wrn.Aito._.Comp" hidden="1">{#N/A,#N/A,FALSE,"Sheet1"}</definedName>
    <definedName name="wrn.Aito._.Comp_1" localSheetId="8" hidden="1">{#N/A,#N/A,FALSE,"Sheet1"}</definedName>
    <definedName name="wrn.Aito._.Comp_1" hidden="1">{#N/A,#N/A,FALSE,"Sheet1"}</definedName>
    <definedName name="wrn.Ajustes." localSheetId="8" hidden="1">{"LargoAjustes",#N/A,FALSE,"Ajustes";"CortoAjustes",#N/A,FALSE,"Ajustes";"PLAjustes",#N/A,FALSE,"Ajustes"}</definedName>
    <definedName name="wrn.Ajustes." hidden="1">{"LargoAjustes",#N/A,FALSE,"Ajustes";"CortoAjustes",#N/A,FALSE,"Ajustes";"PLAjustes",#N/A,FALSE,"Ajustes"}</definedName>
    <definedName name="wrn.Ajustes._1" localSheetId="8" hidden="1">{"LargoAjustes",#N/A,FALSE,"Ajustes";"CortoAjustes",#N/A,FALSE,"Ajustes";"PLAjustes",#N/A,FALSE,"Ajustes"}</definedName>
    <definedName name="wrn.Ajustes._1" hidden="1">{"LargoAjustes",#N/A,FALSE,"Ajustes";"CortoAjustes",#N/A,FALSE,"Ajustes";"PLAjustes",#N/A,FALSE,"Ajustes"}</definedName>
    <definedName name="wrn.ALAN." localSheetId="8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1" localSheetId="8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1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ex." localSheetId="8" hidden="1">{#N/A,#N/A,FALSE,"TradeSumm";#N/A,#N/A,FALSE,"StatsSumm"}</definedName>
    <definedName name="wrn.Alex." hidden="1">{#N/A,#N/A,FALSE,"TradeSumm";#N/A,#N/A,FALSE,"StatsSumm"}</definedName>
    <definedName name="wrn.Alex._1" localSheetId="8" hidden="1">{#N/A,#N/A,FALSE,"TradeSumm";#N/A,#N/A,FALSE,"StatsSumm"}</definedName>
    <definedName name="wrn.Alex._1" hidden="1">{#N/A,#N/A,FALSE,"TradeSumm";#N/A,#N/A,FALSE,"StatsSumm"}</definedName>
    <definedName name="wrn.all" localSheetId="8" hidden="1">{"model",#N/A,TRUE,"Model";"capital",#N/A,TRUE,"Capital";"o and m",#N/A,TRUE,"O&amp;M"}</definedName>
    <definedName name="wrn.all" hidden="1">{"model",#N/A,TRUE,"Model";"capital",#N/A,TRUE,"Capital";"o and m",#N/A,TRUE,"O&amp;M"}</definedName>
    <definedName name="wrn.All." localSheetId="7" hidden="1">{#N/A,#N/A,FALSE,"Stats";#N/A,#N/A,FALSE,"$ ACS";#N/A,#N/A,FALSE,"$ P&amp;L";#N/A,#N/A,FALSE,"$ BS";#N/A,#N/A,FALSE,"$ CF";#N/A,#N/A,FALSE,"£ P&amp;L";#N/A,#N/A,FALSE,"£ BS";#N/A,#N/A,FALSE,"£ CF"}</definedName>
    <definedName name="wrn.ALL." localSheetId="8" hidden="1">{#N/A,#N/A,FALSE,"INPUTS";#N/A,#N/A,FALSE,"PROFORMA BSHEET";#N/A,#N/A,FALSE,"COMBINED";#N/A,#N/A,FALSE,"ACQUIROR";#N/A,#N/A,FALSE,"TARGET 1";#N/A,#N/A,FALSE,"TARGET 2";#N/A,#N/A,FALSE,"HIGH YIELD";#N/A,#N/A,FALSE,"OVERFUND"}</definedName>
    <definedName name="wrn.ALL." hidden="1">{#N/A,#N/A,FALSE,"INPUTS";#N/A,#N/A,FALSE,"PROFORMA BSHEET";#N/A,#N/A,FALSE,"COMBINED";#N/A,#N/A,FALSE,"ACQUIROR";#N/A,#N/A,FALSE,"TARGET 1";#N/A,#N/A,FALSE,"TARGET 2";#N/A,#N/A,FALSE,"HIGH YIELD";#N/A,#N/A,FALSE,"OVERFUND"}</definedName>
    <definedName name="wrn.all._.3._.years." localSheetId="8" hidden="1">{#N/A,#N/A,FALSE,"Worldwide FY00";#N/A,#N/A,FALSE,"Worldwide FY01";#N/A,#N/A,FALSE,"Worldwide FY02"}</definedName>
    <definedName name="wrn.all._.3._.years." hidden="1">{#N/A,#N/A,FALSE,"Worldwide FY00";#N/A,#N/A,FALSE,"Worldwide FY01";#N/A,#N/A,FALSE,"Worldwide FY02"}</definedName>
    <definedName name="wrn.All._.Affiliates." localSheetId="8" hidden="1">{#N/A,#N/A,FALSE,"Australia";#N/A,#N/A,FALSE,"Chad";#N/A,#N/A,FALSE,"CIS";#N/A,#N/A,FALSE,"Egypt";#N/A,#N/A,FALSE,"France";#N/A,#N/A,FALSE,"Germany";#N/A,#N/A,FALSE,"Japan";#N/A,#N/A,FALSE,"Malaysia";#N/A,#N/A,FALSE,"Natuna";#N/A,#N/A,FALSE,"Netherlands";#N/A,#N/A,FALSE,"Norway";#N/A,#N/A,FALSE,"Thailand";#N/A,#N/A,FALSE,"United Kingdom";#N/A,#N/A,FALSE,"Yemen";#N/A,#N/A,FALSE,"Headquarters";#N/A,#N/A,FALSE,"TOTAL UPSTREAM"}</definedName>
    <definedName name="wrn.All._.Affiliates." hidden="1">{#N/A,#N/A,FALSE,"Australia";#N/A,#N/A,FALSE,"Chad";#N/A,#N/A,FALSE,"CIS";#N/A,#N/A,FALSE,"Egypt";#N/A,#N/A,FALSE,"France";#N/A,#N/A,FALSE,"Germany";#N/A,#N/A,FALSE,"Japan";#N/A,#N/A,FALSE,"Malaysia";#N/A,#N/A,FALSE,"Natuna";#N/A,#N/A,FALSE,"Netherlands";#N/A,#N/A,FALSE,"Norway";#N/A,#N/A,FALSE,"Thailand";#N/A,#N/A,FALSE,"United Kingdom";#N/A,#N/A,FALSE,"Yemen";#N/A,#N/A,FALSE,"Headquarters";#N/A,#N/A,FALSE,"TOTAL UPSTREAM"}</definedName>
    <definedName name="wrn.All._.Company._.Analyses." localSheetId="8" hidden="1">{"Methodology and Sourcing",#N/A,FALSE,"Methodology and Sourcing";"britishtelecom",#N/A,FALSE,"BT out";"CTC",#N/A,FALSE,"CTC out";"DT",#N/A,FALSE,"DT out";"FT",#N/A,FALSE,"FT out";"HKT",#N/A,FALSE,"HKT out";"KPN",#N/A,FALSE,"KPN out";"MATAV",#N/A,FALSE,"MATAV out";"PT Telkom",#N/A,FALSE,"PT Telkom out";"Tel Arg",#N/A,FALSE,"Tel Arg out";"Telef Arg",#N/A,FALSE,"TASA out";"Tel Asia",#N/A,FALSE,"Tel. Asia Out";"T de E",#N/A,FALSE,"T de E out";"Tel Malay",#N/A,FALSE,"Tel Malay out";"TELMEX",#N/A,FALSE,"Telmex out";"TNZ",#N/A,FALSE,"TNZ out";"Telkom SA",#N/A,FALSE,"Telkom SA out";"SPT",#N/A,FALSE,"SPT out";"USA",#N/A,FALSE,"USA out"}</definedName>
    <definedName name="wrn.All._.Company._.Analyses." hidden="1">{"Methodology and Sourcing",#N/A,FALSE,"Methodology and Sourcing";"britishtelecom",#N/A,FALSE,"BT out";"CTC",#N/A,FALSE,"CTC out";"DT",#N/A,FALSE,"DT out";"FT",#N/A,FALSE,"FT out";"HKT",#N/A,FALSE,"HKT out";"KPN",#N/A,FALSE,"KPN out";"MATAV",#N/A,FALSE,"MATAV out";"PT Telkom",#N/A,FALSE,"PT Telkom out";"Tel Arg",#N/A,FALSE,"Tel Arg out";"Telef Arg",#N/A,FALSE,"TASA out";"Tel Asia",#N/A,FALSE,"Tel. Asia Out";"T de E",#N/A,FALSE,"T de E out";"Tel Malay",#N/A,FALSE,"Tel Malay out";"TELMEX",#N/A,FALSE,"Telmex out";"TNZ",#N/A,FALSE,"TNZ out";"Telkom SA",#N/A,FALSE,"Telkom SA out";"SPT",#N/A,FALSE,"SPT out";"USA",#N/A,FALSE,"USA out"}</definedName>
    <definedName name="wrn.all._.comps." localSheetId="8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ll._.comps.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ll._.comps._1" localSheetId="8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ll._.comps._1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ll._.comps.1" localSheetId="8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ll._.comps.1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ll._.comps.1_1" localSheetId="8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ll._.comps.1_1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ll._.Exhibits." hidden="1">{"Base",#N/A,FALSE,"DCF Calculation - Scenario 1";"Dollar",#N/A,FALSE,"Consolidated - Scenario 1";"CS",#N/A,FALSE,"Consolidated - Scenario 1";"Base",#N/A,FALSE,"New Facilities - Scenario 1";"Inc Stmt Dollar",#N/A,FALSE,"Houston Central";"Inc Stmt CS",#N/A,FALSE,"Houston Central";"Inc Stmt Dollar",#N/A,FALSE,"Victoria";"Inc Stmt CS",#N/A,FALSE,"Victoria";"Inc Stmt Dollar",#N/A,FALSE,"Denver";"Inc Stmt CS",#N/A,FALSE,"Denver";"Inc Stmt Dollar",#N/A,FALSE,"Amarillo";"Inc Stmt CS",#N/A,FALSE,"Amarillo";"Inc Stmt Dollar",#N/A,FALSE,"Kokomo";"Inc Stmt CS",#N/A,FALSE,"Kokomo";"Inc Stmt Dollar",#N/A,FALSE,"San Angelo";"Inc Stmt CS",#N/A,FALSE,"San Angelo";"Inc Stmt Dollar",#N/A,FALSE,"Mandan";"Inc Stmt CS",#N/A,FALSE,"Mandan";"Inc Stmt Dollar",#N/A,FALSE,"Fargo";"Inc Stmt CS",#N/A,FALSE,"Fargo";"Inc Stmt Dollar",#N/A,FALSE,"Lima";"Inc Stmt CS",#N/A,FALSE,"Lima";"Inc Stmt Dollar",#N/A,FALSE,"Mansfield";"Inc Stmt CS",#N/A,FALSE,"Mansfield";"Inc Stmt Dollar",#N/A,FALSE,"Detroit";"Inc Stmt CS",#N/A,FALSE,"Detroit";"Inc Stmt Dollar",#N/A,FALSE,"Harrisburg";"Inc Stmt CS",#N/A,FALSE,"Harrisburg";"Inc Stmt Dollar",#N/A,FALSE,"Savannah";"Inc Stmt CS",#N/A,FALSE,"Savannah";"Inc Stmt Dollar",#N/A,FALSE,"Easton";"Inc Stmt CS",#N/A,FALSE,"Easton"}</definedName>
    <definedName name="wrn.All._.Fin._.Stmts." localSheetId="8" hidden="1">{"BREC - I/S",#N/A,TRUE,"BREC";"BREC - C/F",#N/A,TRUE,"BREC";"BREC - B/S",#N/A,TRUE,"BREC";"BRS I/S",#N/A,TRUE,"BRS";"BRS C/F",#N/A,TRUE,"BRS";"BRS B/S",#N/A,TRUE,"BRS";"COAL - I/S",#N/A,TRUE,"COAL";"COAL - C/F",#N/A,TRUE,"COAL";"COAL - B/S",#N/A,TRUE,"COAL";"Base I/S",#N/A,TRUE,"BASE";"Base C/F",#N/A,TRUE,"BASE";"Base B/S",#N/A,TRUE,"BASE";"REHAB I/S",#N/A,TRUE,"REHAB";"REHAB C/F",#N/A,TRUE,"REHAB";"REHAB B/S",#N/A,TRUE,"REHAB";"EXCURSION I/S",#N/A,TRUE,"EXCURSION";"Excursion C/F",#N/A,TRUE,"EXCURSION";"Excursion B/S",#N/A,TRUE,"EXCURSION"}</definedName>
    <definedName name="wrn.All._.Fin._.Stmts." hidden="1">{"BREC - I/S",#N/A,TRUE,"BREC";"BREC - C/F",#N/A,TRUE,"BREC";"BREC - B/S",#N/A,TRUE,"BREC";"BRS I/S",#N/A,TRUE,"BRS";"BRS C/F",#N/A,TRUE,"BRS";"BRS B/S",#N/A,TRUE,"BRS";"COAL - I/S",#N/A,TRUE,"COAL";"COAL - C/F",#N/A,TRUE,"COAL";"COAL - B/S",#N/A,TRUE,"COAL";"Base I/S",#N/A,TRUE,"BASE";"Base C/F",#N/A,TRUE,"BASE";"Base B/S",#N/A,TRUE,"BASE";"REHAB I/S",#N/A,TRUE,"REHAB";"REHAB C/F",#N/A,TRUE,"REHAB";"REHAB B/S",#N/A,TRUE,"REHAB";"EXCURSION I/S",#N/A,TRUE,"EXCURSION";"Excursion C/F",#N/A,TRUE,"EXCURSION";"Excursion B/S",#N/A,TRUE,"EXCURSION"}</definedName>
    <definedName name="wrn.All._.Financial._.Statements." hidden="1">{"Consolidated Income Statement",#N/A,TRUE,"Deal";"Consolidated Balance Sheet",#N/A,TRUE,"Deal";"Consolidated Cash Flow",#N/A,TRUE,"Deal";"Target Income Statement",#N/A,TRUE,"Target";"Target Balance Sheet",#N/A,TRUE,"Target";"Target Cash Flow",#N/A,TRUE,"Target";"Acquiror Income Statement",#N/A,TRUE,"Acquiror";"Acquiror Balance Sheet",#N/A,TRUE,"Acquiror";"Acquiror Cash Flow",#N/A,TRUE,"Acquiror"}</definedName>
    <definedName name="wrn.All._.First._.Pass._.Schedules." localSheetId="8" hidden="1">{#N/A,#N/A,FALSE,"Assumptions";#N/A,#N/A,FALSE,"Inc Stmt";#N/A,#N/A,FALSE,"Stats";#N/A,#N/A,FALSE,"Existing Business";#N/A,#N/A,FALSE,"New Business";#N/A,#N/A,FALSE,"Labor";#N/A,#N/A,FALSE,"Vehicles";#N/A,#N/A,FALSE,"Facilities";#N/A,#N/A,FALSE,"Indirect Costs";#N/A,#N/A,FALSE,"Capital";#N/A,#N/A,FALSE,"CABR Form";#N/A,#N/A,FALSE,"Corp Costs";#N/A,#N/A,FALSE,"YTD Upload"}</definedName>
    <definedName name="wrn.All._.First._.Pass._.Schedules." hidden="1">{#N/A,#N/A,FALSE,"Assumptions";#N/A,#N/A,FALSE,"Inc Stmt";#N/A,#N/A,FALSE,"Stats";#N/A,#N/A,FALSE,"Existing Business";#N/A,#N/A,FALSE,"New Business";#N/A,#N/A,FALSE,"Labor";#N/A,#N/A,FALSE,"Vehicles";#N/A,#N/A,FALSE,"Facilities";#N/A,#N/A,FALSE,"Indirect Costs";#N/A,#N/A,FALSE,"Capital";#N/A,#N/A,FALSE,"CABR Form";#N/A,#N/A,FALSE,"Corp Costs";#N/A,#N/A,FALSE,"YTD Upload"}</definedName>
    <definedName name="wrn.all._.input." localSheetId="8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input.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input._1" localSheetId="8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input._1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Pages." localSheetId="7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" localSheetId="8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_1" localSheetId="8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_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_Front" localSheetId="8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_Front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nLs." localSheetId="8" hidden="1">{"Sep 98 Segment PnL",#N/A,FALSE,"Full Income Statements";"Sep 99 Segment PnL",#N/A,FALSE,"Full Income Statements";"Sep 98 PnL",#N/A,FALSE,"Full Income Statements";"Sep 99 PnL",#N/A,FALSE,"Full Income Statements"}</definedName>
    <definedName name="wrn.All._.PnLs." hidden="1">{"Sep 98 Segment PnL",#N/A,FALSE,"Full Income Statements";"Sep 99 Segment PnL",#N/A,FALSE,"Full Income Statements";"Sep 98 PnL",#N/A,FALSE,"Full Income Statements";"Sep 99 PnL",#N/A,FALSE,"Full Income Statements"}</definedName>
    <definedName name="wrn.all._.reports." localSheetId="8" hidden="1">{"qty and inventory value",#N/A,FALSE,"MPartners";"general ledger entries",#N/A,FALSE,"MPartners"}</definedName>
    <definedName name="wrn.all._.reports." hidden="1">{"qty and inventory value",#N/A,FALSE,"MPartners";"general ledger entries",#N/A,FALSE,"MPartners"}</definedName>
    <definedName name="wrn.All._.San._.Mateo._.Produced._.Rpts." localSheetId="8" hidden="1">{"Balance Sheet",#N/A,FALSE,"CBR NAM Consolidated vs. Plan";"Cash Flows",#N/A,FALSE,"CBR NAM Consolidated vs. Plan";"Balance Sheet",#N/A,FALSE,"CBR North America Consolidated";"Cash Flows",#N/A,FALSE,"CBR North America Consolidated";"Balance Sheet",#N/A,FALSE,"Canada Consolidation";"Cash Flows",#N/A,FALSE,"Canada Consolidation";"Balance Sheet",#N/A,FALSE,"USA Consolidation";"Cash Flows",#N/A,FALSE,"USA Consolidation";"Balance Sheet",#N/A,FALSE,"102 - CBR Materials";"Cash Flows",#N/A,FALSE,"102 - CBR Materials";"Bal Sheet",#N/A,FALSE,"101 - Calgary Corporate Office";"Cash Flow",#N/A,FALSE,"101 - Calgary Corporate Office";"Balance Sheet",#N/A,FALSE,"USA Consolidation";"Cash Flows",#N/A,FALSE,"USA Consolidation";"Bal Sheet",#N/A,FALSE,"151 - San Mateo Corporate";"Cash Flow",#N/A,FALSE,"151 - San Mateo Corporate"}</definedName>
    <definedName name="wrn.All._.San._.Mateo._.Produced._.Rpts." hidden="1">{"Balance Sheet",#N/A,FALSE,"CBR NAM Consolidated vs. Plan";"Cash Flows",#N/A,FALSE,"CBR NAM Consolidated vs. Plan";"Balance Sheet",#N/A,FALSE,"CBR North America Consolidated";"Cash Flows",#N/A,FALSE,"CBR North America Consolidated";"Balance Sheet",#N/A,FALSE,"Canada Consolidation";"Cash Flows",#N/A,FALSE,"Canada Consolidation";"Balance Sheet",#N/A,FALSE,"USA Consolidation";"Cash Flows",#N/A,FALSE,"USA Consolidation";"Balance Sheet",#N/A,FALSE,"102 - CBR Materials";"Cash Flows",#N/A,FALSE,"102 - CBR Materials";"Bal Sheet",#N/A,FALSE,"101 - Calgary Corporate Office";"Cash Flow",#N/A,FALSE,"101 - Calgary Corporate Office";"Balance Sheet",#N/A,FALSE,"USA Consolidation";"Cash Flows",#N/A,FALSE,"USA Consolidation";"Bal Sheet",#N/A,FALSE,"151 - San Mateo Corporate";"Cash Flow",#N/A,FALSE,"151 - San Mateo Corporate"}</definedName>
    <definedName name="wrn.All._.Schedules." localSheetId="8" hidden="1">{#N/A,#N/A,FALSE,"Assumptions";#N/A,#N/A,FALSE,"Inc Stmt";#N/A,#N/A,FALSE,"Stats";#N/A,#N/A,FALSE,"Existing Business";#N/A,#N/A,FALSE,"New Business";#N/A,#N/A,FALSE,"Labor";#N/A,#N/A,FALSE,"Vehicles";#N/A,#N/A,FALSE,"Facilities";#N/A,#N/A,FALSE,"Indirect Costs";#N/A,#N/A,FALSE,"Capital";#N/A,#N/A,FALSE,"CABR Form";#N/A,#N/A,FALSE,"Corp Costs"}</definedName>
    <definedName name="wrn.All._.Schedules." hidden="1">{#N/A,#N/A,FALSE,"Assumptions";#N/A,#N/A,FALSE,"Inc Stmt";#N/A,#N/A,FALSE,"Stats";#N/A,#N/A,FALSE,"Existing Business";#N/A,#N/A,FALSE,"New Business";#N/A,#N/A,FALSE,"Labor";#N/A,#N/A,FALSE,"Vehicles";#N/A,#N/A,FALSE,"Facilities";#N/A,#N/A,FALSE,"Indirect Costs";#N/A,#N/A,FALSE,"Capital";#N/A,#N/A,FALSE,"CABR Form";#N/A,#N/A,FALSE,"Corp Costs"}</definedName>
    <definedName name="wrn.All._.Sections." localSheetId="8" hidden="1">{"Data Entry",#N/A,FALSE,"COMPTEMP";"Ratios",#N/A,FALSE,"COMPTEMP";"Aggregate Values",#N/A,FALSE,"COMPTEMP";"Equity Multiples",#N/A,FALSE,"COMPTEMP";"Summary Overview",#N/A,FALSE,"COMPTEMP"}</definedName>
    <definedName name="wrn.All._.Sections." hidden="1">{"Data Entry",#N/A,FALSE,"COMPTEMP";"Ratios",#N/A,FALSE,"COMPTEMP";"Aggregate Values",#N/A,FALSE,"COMPTEMP";"Equity Multiples",#N/A,FALSE,"COMPTEMP";"Summary Overview",#N/A,FALSE,"COMPTEMP"}</definedName>
    <definedName name="wrn.All._.Sheets." localSheetId="7" hidden="1">{#N/A,#N/A,FALSE,"JA.1";#N/A,#N/A,FALSE,"JA.2";#N/A,#N/A,FALSE,"JA.3";#N/A,#N/A,FALSE,"JA.4";#N/A,#N/A,FALSE,"JA.5";#N/A,#N/A,FALSE,"JA.6";#N/A,#N/A,FALSE,"JA.7";#N/A,#N/A,FALSE,"JA.8";#N/A,#N/A,FALSE,"JA.9";#N/A,#N/A,FALSE,"JA.10";#N/A,#N/A,FALSE,"JB.1";#N/A,#N/A,FALSE,"JB.2";#N/A,#N/A,FALSE,"JB.3";#N/A,#N/A,FALSE,"JB.4";#N/A,#N/A,FALSE,"JB.5";#N/A,#N/A,FALSE,"JB.6";#N/A,#N/A,FALSE,"JB.7";#N/A,#N/A,FALSE,"JB.8";#N/A,#N/A,FALSE,"JB.9";#N/A,#N/A,FALSE,"JB.10";#N/A,#N/A,FALSE,"JC.1";#N/A,#N/A,FALSE,"JC.2";#N/A,#N/A,FALSE,"JC.3";#N/A,#N/A,FALSE,"JC.4";#N/A,#N/A,FALSE,"JC.5";#N/A,#N/A,FALSE,"JC.6";#N/A,#N/A,FALSE,"JC.7";#N/A,#N/A,FALSE,"JC.8";#N/A,#N/A,FALSE,"JC.9";#N/A,#N/A,FALSE,"JC.10";#N/A,#N/A,FALSE,"JD.1";#N/A,#N/A,FALSE,"JD.2";#N/A,#N/A,FALSE,"JD.3";#N/A,#N/A,FALSE,"JD.4";#N/A,#N/A,FALSE,"JD.5";#N/A,#N/A,FALSE,"JD.6";#N/A,#N/A,FALSE,"JD.7";#N/A,#N/A,FALSE,"JD.8";#N/A,#N/A,FALSE,"JD.9";#N/A,#N/A,FALSE,"JD.10"}</definedName>
    <definedName name="wrn.All._.Sheets." localSheetId="8" hidden="1">{#N/A,#N/A,FALSE,"JA.1";#N/A,#N/A,FALSE,"JA.2";#N/A,#N/A,FALSE,"JA.3";#N/A,#N/A,FALSE,"JA.4";#N/A,#N/A,FALSE,"JA.5";#N/A,#N/A,FALSE,"JA.6";#N/A,#N/A,FALSE,"JA.7";#N/A,#N/A,FALSE,"JA.8";#N/A,#N/A,FALSE,"JA.9";#N/A,#N/A,FALSE,"JA.10";#N/A,#N/A,FALSE,"JB.1";#N/A,#N/A,FALSE,"JB.2";#N/A,#N/A,FALSE,"JB.3";#N/A,#N/A,FALSE,"JB.4";#N/A,#N/A,FALSE,"JB.5";#N/A,#N/A,FALSE,"JB.6";#N/A,#N/A,FALSE,"JB.7";#N/A,#N/A,FALSE,"JB.8";#N/A,#N/A,FALSE,"JB.9";#N/A,#N/A,FALSE,"JB.10";#N/A,#N/A,FALSE,"JC.1";#N/A,#N/A,FALSE,"JC.2";#N/A,#N/A,FALSE,"JC.3";#N/A,#N/A,FALSE,"JC.4";#N/A,#N/A,FALSE,"JC.5";#N/A,#N/A,FALSE,"JC.6";#N/A,#N/A,FALSE,"JC.7";#N/A,#N/A,FALSE,"JC.8";#N/A,#N/A,FALSE,"JC.9";#N/A,#N/A,FALSE,"JC.10";#N/A,#N/A,FALSE,"JD.1";#N/A,#N/A,FALSE,"JD.2";#N/A,#N/A,FALSE,"JD.3";#N/A,#N/A,FALSE,"JD.4";#N/A,#N/A,FALSE,"JD.5";#N/A,#N/A,FALSE,"JD.6";#N/A,#N/A,FALSE,"JD.7";#N/A,#N/A,FALSE,"JD.8";#N/A,#N/A,FALSE,"JD.9";#N/A,#N/A,FALSE,"JD.10"}</definedName>
    <definedName name="wrn.All._.sheets." hidden="1">{#N/A,"TCHEM",FALSE,"BSHIST.XLS";#N/A,"NONDV",FALSE,"BSHIST.XLS";#N/A,"POLY",FALSE,"BSHIST.XLS";#N/A,"PVOH",FALSE,"BSHIST.XLS";#N/A,"ACET",FALSE,"BSHIST.XLS";#N/A,"EMUL",FALSE,"BSHIST.XLS";#N/A,"ICD",FALSE,"BSHIST.XLS";#N/A,"DMU",FALSE,"BSHIST.XLS";#N/A,"METHYL",FALSE,"BSHIST.XLS";#N/A,"HIGHER",FALSE,"BSHIST.XLS";#N/A,"AMM",FALSE,"BSHIST.XLS";#N/A,"CVT",FALSE,"BSHIST.XLS";#N/A,"MEOH",FALSE,"BSHIST.XLS";#N/A,"SPEC",FALSE,"BSHIST.XLS";#N/A,"DERIV",FALSE,"BSHIST.XLS";#N/A,"PINTER",FALSE,"BSHIST.XLS";#N/A,"NEWVEN",FALSE,"BSHIST.XLS";#N/A,"PURPER",FALSE,"BSHIST.XLS";#N/A,"PURADD",FALSE,"BSHIST.XLS";#N/A,"PURSPP",FALSE,"BSHIST.XLS";#N/A,"CTGIND",FALSE,"BSHIST.XLS";#N/A,"ANCHOR",FALSE,"BSHIST.XLS";#N/A,"SPADD",FALSE,"BSHIST.XLS"}</definedName>
    <definedName name="wrn.All._.Sheets.2" localSheetId="8" hidden="1">{#N/A,#N/A,FALSE,"JA.1";#N/A,#N/A,FALSE,"JA.2";#N/A,#N/A,FALSE,"JA.3";#N/A,#N/A,FALSE,"JA.4";#N/A,#N/A,FALSE,"JA.5";#N/A,#N/A,FALSE,"JA.6";#N/A,#N/A,FALSE,"JA.7";#N/A,#N/A,FALSE,"JA.8";#N/A,#N/A,FALSE,"JA.9";#N/A,#N/A,FALSE,"JA.10";#N/A,#N/A,FALSE,"JB.1";#N/A,#N/A,FALSE,"JB.2";#N/A,#N/A,FALSE,"JB.3";#N/A,#N/A,FALSE,"JB.4";#N/A,#N/A,FALSE,"JB.5";#N/A,#N/A,FALSE,"JB.6";#N/A,#N/A,FALSE,"JB.7";#N/A,#N/A,FALSE,"JB.8";#N/A,#N/A,FALSE,"JB.9";#N/A,#N/A,FALSE,"JB.10";#N/A,#N/A,FALSE,"JC.1";#N/A,#N/A,FALSE,"JC.2";#N/A,#N/A,FALSE,"JC.3";#N/A,#N/A,FALSE,"JC.4";#N/A,#N/A,FALSE,"JC.5";#N/A,#N/A,FALSE,"JC.6";#N/A,#N/A,FALSE,"JC.7";#N/A,#N/A,FALSE,"JC.8";#N/A,#N/A,FALSE,"JC.9";#N/A,#N/A,FALSE,"JC.10";#N/A,#N/A,FALSE,"JD.1";#N/A,#N/A,FALSE,"JD.2";#N/A,#N/A,FALSE,"JD.3";#N/A,#N/A,FALSE,"JD.4";#N/A,#N/A,FALSE,"JD.5";#N/A,#N/A,FALSE,"JD.6";#N/A,#N/A,FALSE,"JD.7";#N/A,#N/A,FALSE,"JD.8";#N/A,#N/A,FALSE,"JD.9";#N/A,#N/A,FALSE,"JD.10"}</definedName>
    <definedName name="wrn.All._.Sheets.2" hidden="1">{#N/A,#N/A,FALSE,"JA.1";#N/A,#N/A,FALSE,"JA.2";#N/A,#N/A,FALSE,"JA.3";#N/A,#N/A,FALSE,"JA.4";#N/A,#N/A,FALSE,"JA.5";#N/A,#N/A,FALSE,"JA.6";#N/A,#N/A,FALSE,"JA.7";#N/A,#N/A,FALSE,"JA.8";#N/A,#N/A,FALSE,"JA.9";#N/A,#N/A,FALSE,"JA.10";#N/A,#N/A,FALSE,"JB.1";#N/A,#N/A,FALSE,"JB.2";#N/A,#N/A,FALSE,"JB.3";#N/A,#N/A,FALSE,"JB.4";#N/A,#N/A,FALSE,"JB.5";#N/A,#N/A,FALSE,"JB.6";#N/A,#N/A,FALSE,"JB.7";#N/A,#N/A,FALSE,"JB.8";#N/A,#N/A,FALSE,"JB.9";#N/A,#N/A,FALSE,"JB.10";#N/A,#N/A,FALSE,"JC.1";#N/A,#N/A,FALSE,"JC.2";#N/A,#N/A,FALSE,"JC.3";#N/A,#N/A,FALSE,"JC.4";#N/A,#N/A,FALSE,"JC.5";#N/A,#N/A,FALSE,"JC.6";#N/A,#N/A,FALSE,"JC.7";#N/A,#N/A,FALSE,"JC.8";#N/A,#N/A,FALSE,"JC.9";#N/A,#N/A,FALSE,"JC.10";#N/A,#N/A,FALSE,"JD.1";#N/A,#N/A,FALSE,"JD.2";#N/A,#N/A,FALSE,"JD.3";#N/A,#N/A,FALSE,"JD.4";#N/A,#N/A,FALSE,"JD.5";#N/A,#N/A,FALSE,"JD.6";#N/A,#N/A,FALSE,"JD.7";#N/A,#N/A,FALSE,"JD.8";#N/A,#N/A,FALSE,"JD.9";#N/A,#N/A,FALSE,"JD.10"}</definedName>
    <definedName name="wrn.all._.slides." localSheetId="8" hidden="1">{#N/A,#N/A,FALSE,"Trends";#N/A,#N/A,FALSE,"As Reported";#N/A,#N/A,FALSE,"(un) Commited"}</definedName>
    <definedName name="wrn.all._.slides." hidden="1">{#N/A,#N/A,FALSE,"Trends";#N/A,#N/A,FALSE,"As Reported";#N/A,#N/A,FALSE,"(un) Commited"}</definedName>
    <definedName name="wrn.all._.views." localSheetId="8" hidden="1">{"vol data",#N/A,FALSE,"Datasheet";"vol graph",#N/A,FALSE,"Volume";"price data",#N/A,FALSE,"Datasheet";"price graph",#N/A,FALSE,"Price";"dp data",#N/A,FALSE,"Datasheet";"dp graph",#N/A,FALSE,"DirectProfit"}</definedName>
    <definedName name="wrn.all._.views." hidden="1">{"vol data",#N/A,FALSE,"Datasheet";"vol graph",#N/A,FALSE,"Volume";"price data",#N/A,FALSE,"Datasheet";"price graph",#N/A,FALSE,"Price";"dp data",#N/A,FALSE,"Datasheet";"dp graph",#N/A,FALSE,"DirectProfit"}</definedName>
    <definedName name="wrn.ALL._1" localSheetId="8" hidden="1">{#N/A,#N/A,FALSE,"INPUTS";#N/A,#N/A,FALSE,"PROFORMA BSHEET";#N/A,#N/A,FALSE,"COMBINED";#N/A,#N/A,FALSE,"ACQUIROR";#N/A,#N/A,FALSE,"TARGET 1";#N/A,#N/A,FALSE,"TARGET 2";#N/A,#N/A,FALSE,"HIGH YIELD";#N/A,#N/A,FALSE,"OVERFUND"}</definedName>
    <definedName name="wrn.ALL._1" hidden="1">{#N/A,#N/A,FALSE,"INPUTS";#N/A,#N/A,FALSE,"PROFORMA BSHEET";#N/A,#N/A,FALSE,"COMBINED";#N/A,#N/A,FALSE,"ACQUIROR";#N/A,#N/A,FALSE,"TARGET 1";#N/A,#N/A,FALSE,"TARGET 2";#N/A,#N/A,FALSE,"HIGH YIELD";#N/A,#N/A,FALSE,"OVERFUND"}</definedName>
    <definedName name="wrn.ALL.1" localSheetId="8" hidden="1">{#N/A,#N/A,FALSE,"INPUTS";#N/A,#N/A,FALSE,"PROFORMA BSHEET";#N/A,#N/A,FALSE,"COMBINED";#N/A,#N/A,FALSE,"ACQUIROR";#N/A,#N/A,FALSE,"TARGET 1";#N/A,#N/A,FALSE,"TARGET 2";#N/A,#N/A,FALSE,"HIGH YIELD";#N/A,#N/A,FALSE,"OVERFUND"}</definedName>
    <definedName name="wrn.ALL.1" hidden="1">{#N/A,#N/A,FALSE,"INPUTS";#N/A,#N/A,FALSE,"PROFORMA BSHEET";#N/A,#N/A,FALSE,"COMBINED";#N/A,#N/A,FALSE,"ACQUIROR";#N/A,#N/A,FALSE,"TARGET 1";#N/A,#N/A,FALSE,"TARGET 2";#N/A,#N/A,FALSE,"HIGH YIELD";#N/A,#N/A,FALSE,"OVERFUND"}</definedName>
    <definedName name="wrn.all.2" localSheetId="8" hidden="1">{#N/A,#N/A,FALSE,"DCF";#N/A,#N/A,FALSE,"WACC";#N/A,#N/A,FALSE,"Sales_EBIT";#N/A,#N/A,FALSE,"Capex_Depreciation";#N/A,#N/A,FALSE,"WC";#N/A,#N/A,FALSE,"Interest";#N/A,#N/A,FALSE,"Assumptions"}</definedName>
    <definedName name="wrn.all.2" hidden="1">{#N/A,#N/A,FALSE,"DCF";#N/A,#N/A,FALSE,"WACC";#N/A,#N/A,FALSE,"Sales_EBIT";#N/A,#N/A,FALSE,"Capex_Depreciation";#N/A,#N/A,FALSE,"WC";#N/A,#N/A,FALSE,"Interest";#N/A,#N/A,FALSE,"Assumptions"}</definedName>
    <definedName name="wrn.all.2_1" localSheetId="8" hidden="1">{#N/A,#N/A,FALSE,"DCF";#N/A,#N/A,FALSE,"WACC";#N/A,#N/A,FALSE,"Sales_EBIT";#N/A,#N/A,FALSE,"Capex_Depreciation";#N/A,#N/A,FALSE,"WC";#N/A,#N/A,FALSE,"Interest";#N/A,#N/A,FALSE,"Assumptions"}</definedName>
    <definedName name="wrn.all.2_1" hidden="1">{#N/A,#N/A,FALSE,"DCF";#N/A,#N/A,FALSE,"WACC";#N/A,#N/A,FALSE,"Sales_EBIT";#N/A,#N/A,FALSE,"Capex_Depreciation";#N/A,#N/A,FALSE,"WC";#N/A,#N/A,FALSE,"Interest";#N/A,#N/A,FALSE,"Assumptions"}</definedName>
    <definedName name="wrn.All_Models." localSheetId="8" hidden="1">{#N/A,#N/A,FALSE,"Summary";#N/A,#N/A,FALSE,"Projections";#N/A,#N/A,FALSE,"Mkt Mults";#N/A,#N/A,FALSE,"DCF";#N/A,#N/A,FALSE,"Accr Dil";#N/A,#N/A,FALSE,"PIC LBO";#N/A,#N/A,FALSE,"MULT10_4";#N/A,#N/A,FALSE,"CBI LBO"}</definedName>
    <definedName name="wrn.All_Models.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1" localSheetId="8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1" hidden="1">{#N/A,#N/A,FALSE,"Summary";#N/A,#N/A,FALSE,"Projections";#N/A,#N/A,FALSE,"Mkt Mults";#N/A,#N/A,FALSE,"DCF";#N/A,#N/A,FALSE,"Accr Dil";#N/A,#N/A,FALSE,"PIC LBO";#N/A,#N/A,FALSE,"MULT10_4";#N/A,#N/A,FALSE,"CBI LBO"}</definedName>
    <definedName name="wrn.All_Pages2" localSheetId="8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_Pages2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_Pages2_1" localSheetId="8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_Pages2_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_sheets." hidden="1">{#N/A,#N/A,FALSE,"compcoval";#N/A,#N/A,FALSE,"optionval"}</definedName>
    <definedName name="wrn.all1" hidden="1">{"P&amp;L",#N/A,TRUE,"HC";"P&amp;L Percents",#N/A,TRUE,"P&amp;L";"M&amp;A3 P&amp;L",#N/A,TRUE,"HC";"M&amp;A3 Pipeline",#N/A,TRUE,"HC";"Franchises",#N/A,TRUE,"HC";"CF&amp;BS",#N/A,TRUE,"HC"}</definedName>
    <definedName name="wrn.ALL2." localSheetId="8" hidden="1">{#N/A,#N/A,FALSE,"DCF";#N/A,#N/A,FALSE,"WACC";#N/A,#N/A,FALSE,"Sales_EBIT";#N/A,#N/A,FALSE,"Capex_Depreciation";#N/A,#N/A,FALSE,"WC";#N/A,#N/A,FALSE,"Interest";#N/A,#N/A,FALSE,"Assumptions"}</definedName>
    <definedName name="wrn.ALL2." hidden="1">{#N/A,#N/A,FALSE,"DCF";#N/A,#N/A,FALSE,"WACC";#N/A,#N/A,FALSE,"Sales_EBIT";#N/A,#N/A,FALSE,"Capex_Depreciation";#N/A,#N/A,FALSE,"WC";#N/A,#N/A,FALSE,"Interest";#N/A,#N/A,FALSE,"Assumptions"}</definedName>
    <definedName name="wrn.ALL2._1" localSheetId="8" hidden="1">{#N/A,#N/A,FALSE,"DCF";#N/A,#N/A,FALSE,"WACC";#N/A,#N/A,FALSE,"Sales_EBIT";#N/A,#N/A,FALSE,"Capex_Depreciation";#N/A,#N/A,FALSE,"WC";#N/A,#N/A,FALSE,"Interest";#N/A,#N/A,FALSE,"Assumptions"}</definedName>
    <definedName name="wrn.ALL2._1" hidden="1">{#N/A,#N/A,FALSE,"DCF";#N/A,#N/A,FALSE,"WACC";#N/A,#N/A,FALSE,"Sales_EBIT";#N/A,#N/A,FALSE,"Capex_Depreciation";#N/A,#N/A,FALSE,"WC";#N/A,#N/A,FALSE,"Interest";#N/A,#N/A,FALSE,"Assumptions"}</definedName>
    <definedName name="wrn.AllAnalyses." localSheetId="8" hidden="1">{#N/A,#N/A,FALSE,"Summary-Perot";#N/A,#N/A,FALSE,"Summary-Joint";#N/A,#N/A,FALSE,"Perot's Actions";#N/A,#N/A,FALSE,"Perot's Updates";#N/A,#N/A,FALSE,"Perot's New Actions";#N/A,#N/A,FALSE,"Full by RiskType";#N/A,#N/A,FALSE,"UBSW Audit Plans";#N/A,#N/A,FALSE,"Full by Manager";#N/A,#N/A,FALSE,"Recent Additions";#N/A,#N/A,FALSE,"Recent Close";#N/A,#N/A,FALSE,"Recent Updates";#N/A,#N/A,FALSE,"Closed on Add";#N/A,#N/A,FALSE,"ByReport";#N/A,#N/A,FALSE,"Materiality";#N/A,#N/A,FALSE,"HowOverdue";#N/A,#N/A,FALSE,"StatusComments";#N/A,#N/A,FALSE,"JointStats";#N/A,#N/A,FALSE,"Statistics by RiskGrp";#N/A,#N/A,FALSE,"Stats by Risk"}</definedName>
    <definedName name="wrn.AllAnalyses." hidden="1">{#N/A,#N/A,FALSE,"Summary-Perot";#N/A,#N/A,FALSE,"Summary-Joint";#N/A,#N/A,FALSE,"Perot's Actions";#N/A,#N/A,FALSE,"Perot's Updates";#N/A,#N/A,FALSE,"Perot's New Actions";#N/A,#N/A,FALSE,"Full by RiskType";#N/A,#N/A,FALSE,"UBSW Audit Plans";#N/A,#N/A,FALSE,"Full by Manager";#N/A,#N/A,FALSE,"Recent Additions";#N/A,#N/A,FALSE,"Recent Close";#N/A,#N/A,FALSE,"Recent Updates";#N/A,#N/A,FALSE,"Closed on Add";#N/A,#N/A,FALSE,"ByReport";#N/A,#N/A,FALSE,"Materiality";#N/A,#N/A,FALSE,"HowOverdue";#N/A,#N/A,FALSE,"StatusComments";#N/A,#N/A,FALSE,"JointStats";#N/A,#N/A,FALSE,"Statistics by RiskGrp";#N/A,#N/A,FALSE,"Stats by Risk"}</definedName>
    <definedName name="wrn.Alle._.PenL." localSheetId="8" hidden="1">{#N/A,#N/A,FALSE,"Totaal PenL";#N/A,#N/A,FALSE,"CEO PenL";#N/A,#N/A,FALSE,"CFO PenL";#N/A,#N/A,FALSE,"Consumer PenL";#N/A,#N/A,FALSE,"Business PenL";#N/A,#N/A,FALSE,"Wholesale PenL";#N/A,#N/A,FALSE,"Online PenL";#N/A,#N/A,FALSE,"CEO Staff PenL";#N/A,#N/A,FALSE,"Sales Ops PenL";#N/A,#N/A,FALSE,"Customer Ops PenL";#N/A,#N/A,FALSE,"ISP PenL";#N/A,#N/A,FALSE,"N&amp;S PenL";#N/A,#N/A,FALSE,"CFO Staff PenL"}</definedName>
    <definedName name="wrn.Alle._.PenL." hidden="1">{#N/A,#N/A,FALSE,"Totaal PenL";#N/A,#N/A,FALSE,"CEO PenL";#N/A,#N/A,FALSE,"CFO PenL";#N/A,#N/A,FALSE,"Consumer PenL";#N/A,#N/A,FALSE,"Business PenL";#N/A,#N/A,FALSE,"Wholesale PenL";#N/A,#N/A,FALSE,"Online PenL";#N/A,#N/A,FALSE,"CEO Staff PenL";#N/A,#N/A,FALSE,"Sales Ops PenL";#N/A,#N/A,FALSE,"Customer Ops PenL";#N/A,#N/A,FALSE,"ISP PenL";#N/A,#N/A,FALSE,"N&amp;S PenL";#N/A,#N/A,FALSE,"CFO Staff PenL"}</definedName>
    <definedName name="wrn.Allegati." localSheetId="8" hidden="1">{#N/A,#N/A,FALSE,"Leather SpA P&amp;L A1";#N/A,#N/A,FALSE,"Leather SpA balance sheet A2";#N/A,#N/A,FALSE,"Leather SpA Cash flow A3";#N/A,#N/A,FALSE,"Assumptions A4"}</definedName>
    <definedName name="wrn.Allegati." hidden="1">{#N/A,#N/A,FALSE,"Leather SpA P&amp;L A1";#N/A,#N/A,FALSE,"Leather SpA balance sheet A2";#N/A,#N/A,FALSE,"Leather SpA Cash flow A3";#N/A,#N/A,FALSE,"Assumptions A4"}</definedName>
    <definedName name="wrn.Allegati._1" localSheetId="8" hidden="1">{#N/A,#N/A,FALSE,"Leather SpA P&amp;L A1";#N/A,#N/A,FALSE,"Leather SpA balance sheet A2";#N/A,#N/A,FALSE,"Leather SpA Cash flow A3";#N/A,#N/A,FALSE,"Assumptions A4"}</definedName>
    <definedName name="wrn.Allegati._1" hidden="1">{#N/A,#N/A,FALSE,"Leather SpA P&amp;L A1";#N/A,#N/A,FALSE,"Leather SpA balance sheet A2";#N/A,#N/A,FALSE,"Leather SpA Cash flow A3";#N/A,#N/A,FALSE,"Assumptions A4"}</definedName>
    <definedName name="wrn.allpages." localSheetId="8" hidden="1">{#N/A,#N/A,TRUE,"Historicals";#N/A,#N/A,TRUE,"Charts";#N/A,#N/A,TRUE,"Forecasts"}</definedName>
    <definedName name="wrn.allpages." hidden="1">{#N/A,#N/A,TRUE,"Historicals";#N/A,#N/A,TRUE,"Charts";#N/A,#N/A,TRUE,"Forecasts"}</definedName>
    <definedName name="wrn.Alugueis._.Mensais." hidden="1">{#N/A,#N/A,FALSE,"Aluguéis Mensais"}</definedName>
    <definedName name="wrn.Aluguel." hidden="1">{#N/A,#N/A,FALSE,"Aluguel"}</definedName>
    <definedName name="wrn.AMSA." localSheetId="8" hidden="1">{#N/A,#N/A,FALSE,"EARNINGS";#N/A,#N/A,FALSE,"FINANCIAL";#N/A,#N/A,FALSE,"OPERATIONAL"}</definedName>
    <definedName name="wrn.AMSA." hidden="1">{#N/A,#N/A,FALSE,"EARNINGS";#N/A,#N/A,FALSE,"FINANCIAL";#N/A,#N/A,FALSE,"OPERATIONAL"}</definedName>
    <definedName name="wrn.Ana." localSheetId="8" hidden="1">{"Mktg",#N/A,FALSE,"Ana_BK";"Sal",#N/A,FALSE,"Ana_BK";"Trvl",#N/A,FALSE,"Ana_BK";"Trng",#N/A,FALSE,"Ana_BK";"Prod",#N/A,FALSE,"Ana_BK";"Cons",#N/A,FALSE,"Ana_BK";"Con1",#N/A,FALSE,"Ana_BK"}</definedName>
    <definedName name="wrn.Ana." hidden="1">{"Mktg",#N/A,FALSE,"Ana_BK";"Sal",#N/A,FALSE,"Ana_BK";"Trvl",#N/A,FALSE,"Ana_BK";"Trng",#N/A,FALSE,"Ana_BK";"Prod",#N/A,FALSE,"Ana_BK";"Cons",#N/A,FALSE,"Ana_BK";"Con1",#N/A,FALSE,"Ana_BK"}</definedName>
    <definedName name="wrn.ANÁLISE." hidden="1">{"ANÁLISES-ATIVO",#N/A,FALSE,"ANÁLISES";"ANÁLISES-PASSIVO",#N/A,FALSE,"ANÁLISES";"ANÁLISES-RESULTADO",#N/A,FALSE,"ANÁLISES"}</definedName>
    <definedName name="wrn.anexa1." localSheetId="8" hidden="1">{#N/A,#N/A,FALSE,"KCost-DM"}</definedName>
    <definedName name="wrn.anexa1." hidden="1">{#N/A,#N/A,FALSE,"KCost-DM"}</definedName>
    <definedName name="wrn.anexa14." localSheetId="8" hidden="1">{#N/A,#N/A,FALSE,"Cost-";#N/A,#N/A,FALSE,"Cost+"}</definedName>
    <definedName name="wrn.anexa14." hidden="1">{#N/A,#N/A,FALSE,"Cost-";#N/A,#N/A,FALSE,"Cost+"}</definedName>
    <definedName name="wrn.anexa15." localSheetId="8" hidden="1">{#N/A,#N/A,FALSE,"Sale-";#N/A,#N/A,FALSE,"Sale+"}</definedName>
    <definedName name="wrn.anexa15." hidden="1">{#N/A,#N/A,FALSE,"Sale-";#N/A,#N/A,FALSE,"Sale+"}</definedName>
    <definedName name="wrn.anexa16." localSheetId="8" hidden="1">{#N/A,#N/A,FALSE,"FinPl"}</definedName>
    <definedName name="wrn.anexa16." hidden="1">{#N/A,#N/A,FALSE,"FinPl"}</definedName>
    <definedName name="wrn.anexa17." localSheetId="8" hidden="1">{#N/A,#N/A,FALSE,"Amortization Table"}</definedName>
    <definedName name="wrn.anexa17." hidden="1">{#N/A,#N/A,FALSE,"Amortization Table"}</definedName>
    <definedName name="wrn.anexa18." localSheetId="8" hidden="1">{#N/A,#N/A,FALSE,"IncPr";#N/A,#N/A,FALSE,"InCoE"}</definedName>
    <definedName name="wrn.anexa18." hidden="1">{#N/A,#N/A,FALSE,"IncPr";#N/A,#N/A,FALSE,"InCoE"}</definedName>
    <definedName name="wrn.anexa19." localSheetId="8" hidden="1">{#N/A,#N/A,FALSE,"FRR";#N/A,#N/A,FALSE,"ERR"}</definedName>
    <definedName name="wrn.anexa19." hidden="1">{#N/A,#N/A,FALSE,"FRR";#N/A,#N/A,FALSE,"ERR"}</definedName>
    <definedName name="wrn.anexa2." localSheetId="8" hidden="1">{#N/A,#N/A,FALSE,"DeprTabl Rom"}</definedName>
    <definedName name="wrn.anexa2." hidden="1">{#N/A,#N/A,FALSE,"DeprTabl Rom"}</definedName>
    <definedName name="wrn.anexa21." localSheetId="8" hidden="1">{#N/A,#N/A,FALSE,"P&amp;L";#N/A,#N/A,FALSE,"BS";#N/A,#N/A,FALSE,"CF"}</definedName>
    <definedName name="wrn.anexa21." hidden="1">{#N/A,#N/A,FALSE,"P&amp;L";#N/A,#N/A,FALSE,"BS";#N/A,#N/A,FALSE,"CF"}</definedName>
    <definedName name="wrn.anexa22." localSheetId="8" hidden="1">{#N/A,#N/A,FALSE,"Ratio"}</definedName>
    <definedName name="wrn.anexa22." hidden="1">{#N/A,#N/A,FALSE,"Ratio"}</definedName>
    <definedName name="wrn.anexa23." localSheetId="8" hidden="1">{#N/A,#N/A,FALSE,"Forex"}</definedName>
    <definedName name="wrn.anexa23." hidden="1">{#N/A,#N/A,FALSE,"Forex"}</definedName>
    <definedName name="wrn.anexa26." localSheetId="8" hidden="1">{#N/A,#N/A,FALSE,"SAnFRR";#N/A,#N/A,FALSE,"SAnERR"}</definedName>
    <definedName name="wrn.anexa26." hidden="1">{#N/A,#N/A,FALSE,"SAnFRR";#N/A,#N/A,FALSE,"SAnERR"}</definedName>
    <definedName name="wrn.anexa27." localSheetId="8" hidden="1">{#N/A,#N/A,FALSE,"SAnFRR";#N/A,#N/A,FALSE,"SAnERR"}</definedName>
    <definedName name="wrn.anexa27." hidden="1">{#N/A,#N/A,FALSE,"SAnFRR";#N/A,#N/A,FALSE,"SAnERR"}</definedName>
    <definedName name="wrn.anexa3." localSheetId="8" hidden="1">{#N/A,#N/A,FALSE,"KCost"}</definedName>
    <definedName name="wrn.anexa3." hidden="1">{#N/A,#N/A,FALSE,"KCost"}</definedName>
    <definedName name="wrn.anexos." localSheetId="8" hidden="1">{#N/A,#N/A,FALSE,"Page1";#N/A,#N/A,FALSE,"Page2";#N/A,#N/A,FALSE,"Page3";#N/A,#N/A,FALSE,"Page4";#N/A,#N/A,FALSE,"Page5";#N/A,#N/A,FALSE,"Page6";#N/A,#N/A,FALSE,"Page7";#N/A,#N/A,FALSE,"Page8";#N/A,#N/A,FALSE,"Page9";#N/A,#N/A,FALSE,"Page10";#N/A,#N/A,FALSE,"Page11"}</definedName>
    <definedName name="wrn.anexos." hidden="1">{#N/A,#N/A,FALSE,"Page1";#N/A,#N/A,FALSE,"Page2";#N/A,#N/A,FALSE,"Page3";#N/A,#N/A,FALSE,"Page4";#N/A,#N/A,FALSE,"Page5";#N/A,#N/A,FALSE,"Page6";#N/A,#N/A,FALSE,"Page7";#N/A,#N/A,FALSE,"Page8";#N/A,#N/A,FALSE,"Page9";#N/A,#N/A,FALSE,"Page10";#N/A,#N/A,FALSE,"Page11"}</definedName>
    <definedName name="wrn.annual." localSheetId="8" hidden="1">{#N/A,#N/A,FALSE,"Index";#N/A,#N/A,FALSE,"B_S";#N/A,#N/A,FALSE,"P_L";#N/A,#N/A,FALSE,"Form-3";#N/A,#N/A,FALSE,"Form-4";#N/A,#N/A,FALSE,"Form-5";#N/A,#N/A,FALSE,"Form-6";#N/A,#N/A,FALSE,"Form-7";#N/A,#N/A,FALSE,"Form-8";#N/A,#N/A,FALSE,"Form-8 bis";#N/A,#N/A,FALSE,"Form-9";#N/A,#N/A,FALSE,"Form-10";#N/A,#N/A,FALSE,"Form-11";#N/A,#N/A,FALSE,"Form-12";#N/A,#N/A,FALSE,"Form-13";#N/A,#N/A,FALSE,"Form-13 bis";#N/A,#N/A,FALSE,"Form-13 ter";#N/A,#N/A,FALSE,"Form-14";#N/A,#N/A,FALSE,"Form-15";#N/A,#N/A,FALSE,"Form-16";#N/A,#N/A,FALSE,"Form-17";#N/A,#N/A,FALSE,"Form-18";#N/A,#N/A,FALSE,"Form-19";#N/A,#N/A,FALSE,"Form-20";#N/A,#N/A,FALSE,"Form-21";#N/A,#N/A,FALSE,"Form-22";#N/A,#N/A,FALSE,"Form-23";#N/A,#N/A,FALSE,"Form-24";#N/A,#N/A,FALSE,"Form-25";#N/A,#N/A,FALSE,"Form-26";#N/A,#N/A,FALSE,"Form-27";#N/A,#N/A,FALSE,"Form-28";#N/A,#N/A,FALSE,"Form-29";#N/A,#N/A,FALSE,"Form-30";#N/A,#N/A,FALSE,"Form-31"}</definedName>
    <definedName name="wrn.annual." hidden="1">{#N/A,#N/A,FALSE,"Index";#N/A,#N/A,FALSE,"B_S";#N/A,#N/A,FALSE,"P_L";#N/A,#N/A,FALSE,"Form-3";#N/A,#N/A,FALSE,"Form-4";#N/A,#N/A,FALSE,"Form-5";#N/A,#N/A,FALSE,"Form-6";#N/A,#N/A,FALSE,"Form-7";#N/A,#N/A,FALSE,"Form-8";#N/A,#N/A,FALSE,"Form-8 bis";#N/A,#N/A,FALSE,"Form-9";#N/A,#N/A,FALSE,"Form-10";#N/A,#N/A,FALSE,"Form-11";#N/A,#N/A,FALSE,"Form-12";#N/A,#N/A,FALSE,"Form-13";#N/A,#N/A,FALSE,"Form-13 bis";#N/A,#N/A,FALSE,"Form-13 ter";#N/A,#N/A,FALSE,"Form-14";#N/A,#N/A,FALSE,"Form-15";#N/A,#N/A,FALSE,"Form-16";#N/A,#N/A,FALSE,"Form-17";#N/A,#N/A,FALSE,"Form-18";#N/A,#N/A,FALSE,"Form-19";#N/A,#N/A,FALSE,"Form-20";#N/A,#N/A,FALSE,"Form-21";#N/A,#N/A,FALSE,"Form-22";#N/A,#N/A,FALSE,"Form-23";#N/A,#N/A,FALSE,"Form-24";#N/A,#N/A,FALSE,"Form-25";#N/A,#N/A,FALSE,"Form-26";#N/A,#N/A,FALSE,"Form-27";#N/A,#N/A,FALSE,"Form-28";#N/A,#N/A,FALSE,"Form-29";#N/A,#N/A,FALSE,"Form-30";#N/A,#N/A,FALSE,"Form-31"}</definedName>
    <definedName name="wrn.annual._1" localSheetId="8" hidden="1">{#N/A,#N/A,FALSE,"Index";#N/A,#N/A,FALSE,"B_S";#N/A,#N/A,FALSE,"P_L";#N/A,#N/A,FALSE,"Form-3";#N/A,#N/A,FALSE,"Form-4";#N/A,#N/A,FALSE,"Form-5";#N/A,#N/A,FALSE,"Form-6";#N/A,#N/A,FALSE,"Form-7";#N/A,#N/A,FALSE,"Form-8";#N/A,#N/A,FALSE,"Form-8 bis";#N/A,#N/A,FALSE,"Form-9";#N/A,#N/A,FALSE,"Form-10";#N/A,#N/A,FALSE,"Form-11";#N/A,#N/A,FALSE,"Form-12";#N/A,#N/A,FALSE,"Form-13";#N/A,#N/A,FALSE,"Form-13 bis";#N/A,#N/A,FALSE,"Form-13 ter";#N/A,#N/A,FALSE,"Form-14";#N/A,#N/A,FALSE,"Form-15";#N/A,#N/A,FALSE,"Form-16";#N/A,#N/A,FALSE,"Form-17";#N/A,#N/A,FALSE,"Form-18";#N/A,#N/A,FALSE,"Form-19";#N/A,#N/A,FALSE,"Form-20";#N/A,#N/A,FALSE,"Form-21";#N/A,#N/A,FALSE,"Form-22";#N/A,#N/A,FALSE,"Form-23";#N/A,#N/A,FALSE,"Form-24";#N/A,#N/A,FALSE,"Form-25";#N/A,#N/A,FALSE,"Form-26";#N/A,#N/A,FALSE,"Form-27";#N/A,#N/A,FALSE,"Form-28";#N/A,#N/A,FALSE,"Form-29";#N/A,#N/A,FALSE,"Form-30";#N/A,#N/A,FALSE,"Form-31"}</definedName>
    <definedName name="wrn.annual._1" hidden="1">{#N/A,#N/A,FALSE,"Index";#N/A,#N/A,FALSE,"B_S";#N/A,#N/A,FALSE,"P_L";#N/A,#N/A,FALSE,"Form-3";#N/A,#N/A,FALSE,"Form-4";#N/A,#N/A,FALSE,"Form-5";#N/A,#N/A,FALSE,"Form-6";#N/A,#N/A,FALSE,"Form-7";#N/A,#N/A,FALSE,"Form-8";#N/A,#N/A,FALSE,"Form-8 bis";#N/A,#N/A,FALSE,"Form-9";#N/A,#N/A,FALSE,"Form-10";#N/A,#N/A,FALSE,"Form-11";#N/A,#N/A,FALSE,"Form-12";#N/A,#N/A,FALSE,"Form-13";#N/A,#N/A,FALSE,"Form-13 bis";#N/A,#N/A,FALSE,"Form-13 ter";#N/A,#N/A,FALSE,"Form-14";#N/A,#N/A,FALSE,"Form-15";#N/A,#N/A,FALSE,"Form-16";#N/A,#N/A,FALSE,"Form-17";#N/A,#N/A,FALSE,"Form-18";#N/A,#N/A,FALSE,"Form-19";#N/A,#N/A,FALSE,"Form-20";#N/A,#N/A,FALSE,"Form-21";#N/A,#N/A,FALSE,"Form-22";#N/A,#N/A,FALSE,"Form-23";#N/A,#N/A,FALSE,"Form-24";#N/A,#N/A,FALSE,"Form-25";#N/A,#N/A,FALSE,"Form-26";#N/A,#N/A,FALSE,"Form-27";#N/A,#N/A,FALSE,"Form-28";#N/A,#N/A,FALSE,"Form-29";#N/A,#N/A,FALSE,"Form-30";#N/A,#N/A,FALSE,"Form-31"}</definedName>
    <definedName name="wrn.Anteilig._.alle._.Perioden." hidden="1">{"Alle Perioden",#N/A,FALSE,"Erf";"Alle Perioden",#N/A,FALSE,"Ang";"Alle Perioden",#N/A,FALSE,"BV";"Alle Perioden",#N/A,FALSE,"BE";"Alle Perioden",#N/A,FALSE,"Re";"Alle Perioden",#N/A,FALSE,"Vol"}</definedName>
    <definedName name="wrn.Anteilig._.erste._.elf._.Perioden." hidden="1">{"Erste elf Perioden",#N/A,FALSE,"Erf";"Erste elf Perioden",#N/A,FALSE,"Ang";"Erste elf Perioden",#N/A,FALSE,"BV";"Erste elf Perioden",#N/A,FALSE,"BE";"Erste elf Perioden",#N/A,FALSE,"Vol";"Erste elf Perioden",#N/A,FALSE,"Re"}</definedName>
    <definedName name="wrn.APCI._.Tab." localSheetId="8" hidden="1">{#N/A,#N/A,FALSE,"P and L ";#N/A,#N/A,FALSE,"Sales";#N/A,#N/A,FALSE,"Overheads";#N/A,#N/A,FALSE,"R and D";#N/A,#N/A,FALSE,"Operating Income";#N/A,#N/A,FALSE,"Equity Affiliate Income";"M Factors Print",#N/A,FALSE,"Major Factors"}</definedName>
    <definedName name="wrn.APCI._.Tab." hidden="1">{#N/A,#N/A,FALSE,"P and L ";#N/A,#N/A,FALSE,"Sales";#N/A,#N/A,FALSE,"Overheads";#N/A,#N/A,FALSE,"R and D";#N/A,#N/A,FALSE,"Operating Income";#N/A,#N/A,FALSE,"Equity Affiliate Income";"M Factors Print",#N/A,FALSE,"Major Factors"}</definedName>
    <definedName name="wrn.APCT." localSheetId="8" hidden="1">{"Page1",#N/A,FALSE,"APCT";"Page2",#N/A,FALSE,"APCT"}</definedName>
    <definedName name="wrn.APCT." hidden="1">{"Page1",#N/A,FALSE,"APCT";"Page2",#N/A,FALSE,"APCT"}</definedName>
    <definedName name="wrn.APL." localSheetId="8" hidden="1">{"Page1",#N/A,FALSE,"APL";"Page2",#N/A,FALSE,"APL"}</definedName>
    <definedName name="wrn.APL." hidden="1">{"Page1",#N/A,FALSE,"APL";"Page2",#N/A,FALSE,"APL"}</definedName>
    <definedName name="wrn.Appendices." localSheetId="8" hidden="1">{#N/A,#N/A,FALSE,"Appendicesfinvoorblad";#N/A,#N/A,FALSE,"appendix a";#N/A,#N/A,FALSE,"appendix b";#N/A,#N/A,FALSE,"appendix c";#N/A,#N/A,FALSE,"appendix d";#N/A,#N/A,FALSE,"appendix e";#N/A,#N/A,FALSE,"appendix f";#N/A,#N/A,FALSE,"appendix g";#N/A,#N/A,FALSE,"appendix g2";#N/A,#N/A,FALSE,"appendix h";#N/A,#N/A,FALSE,"appendix i";#N/A,#N/A,FALSE,"appendix i-2";#N/A,#N/A,FALSE,"appendix j";#N/A,#N/A,FALSE,"appendicesprocesses";#N/A,#N/A,FALSE,"appendix k";#N/A,#N/A,FALSE,"appendix l"}</definedName>
    <definedName name="wrn.Appendices." hidden="1">{#N/A,#N/A,FALSE,"Appendicesfinvoorblad";#N/A,#N/A,FALSE,"appendix a";#N/A,#N/A,FALSE,"appendix b";#N/A,#N/A,FALSE,"appendix c";#N/A,#N/A,FALSE,"appendix d";#N/A,#N/A,FALSE,"appendix e";#N/A,#N/A,FALSE,"appendix f";#N/A,#N/A,FALSE,"appendix g";#N/A,#N/A,FALSE,"appendix g2";#N/A,#N/A,FALSE,"appendix h";#N/A,#N/A,FALSE,"appendix i";#N/A,#N/A,FALSE,"appendix i-2";#N/A,#N/A,FALSE,"appendix j";#N/A,#N/A,FALSE,"appendicesprocesses";#N/A,#N/A,FALSE,"appendix k";#N/A,#N/A,FALSE,"appendix l"}</definedName>
    <definedName name="wrn.Appendix." localSheetId="8" hidden="1">{#N/A,#N/A,TRUE,"Lines";#N/A,#N/A,TRUE,"Stations";#N/A,#N/A,TRUE,"Cap. Expenses";#N/A,#N/A,TRUE,"Land";#N/A,#N/A,TRUE,"Cen Proces Sys";#N/A,#N/A,TRUE,"telecom";#N/A,#N/A,TRUE,"Other"}</definedName>
    <definedName name="wrn.Appendix." hidden="1">{#N/A,#N/A,TRUE,"Lines";#N/A,#N/A,TRUE,"Stations";#N/A,#N/A,TRUE,"Cap. Expenses";#N/A,#N/A,TRUE,"Land";#N/A,#N/A,TRUE,"Cen Proces Sys";#N/A,#N/A,TRUE,"telecom";#N/A,#N/A,TRUE,"Other"}</definedName>
    <definedName name="wrn.Appendix._1" localSheetId="8" hidden="1">{#N/A,#N/A,TRUE,"Lines";#N/A,#N/A,TRUE,"Stations";#N/A,#N/A,TRUE,"Cap. Expenses";#N/A,#N/A,TRUE,"Land";#N/A,#N/A,TRUE,"Cen Proces Sys";#N/A,#N/A,TRUE,"telecom";#N/A,#N/A,TRUE,"Other"}</definedName>
    <definedName name="wrn.Appendix._1" hidden="1">{#N/A,#N/A,TRUE,"Lines";#N/A,#N/A,TRUE,"Stations";#N/A,#N/A,TRUE,"Cap. Expenses";#N/A,#N/A,TRUE,"Land";#N/A,#N/A,TRUE,"Cen Proces Sys";#N/A,#N/A,TRUE,"telecom";#N/A,#N/A,TRUE,"Other"}</definedName>
    <definedName name="wrn.appendix.1" localSheetId="8" hidden="1">{#N/A,#N/A,TRUE,"Lines";#N/A,#N/A,TRUE,"Stations";#N/A,#N/A,TRUE,"Cap. Expenses";#N/A,#N/A,TRUE,"Land";#N/A,#N/A,TRUE,"Cen Proces Sys";#N/A,#N/A,TRUE,"telecom";#N/A,#N/A,TRUE,"Other"}</definedName>
    <definedName name="wrn.appendix.1" hidden="1">{#N/A,#N/A,TRUE,"Lines";#N/A,#N/A,TRUE,"Stations";#N/A,#N/A,TRUE,"Cap. Expenses";#N/A,#N/A,TRUE,"Land";#N/A,#N/A,TRUE,"Cen Proces Sys";#N/A,#N/A,TRUE,"telecom";#N/A,#N/A,TRUE,"Other"}</definedName>
    <definedName name="wrn.appendix.1_1" localSheetId="8" hidden="1">{#N/A,#N/A,TRUE,"Lines";#N/A,#N/A,TRUE,"Stations";#N/A,#N/A,TRUE,"Cap. Expenses";#N/A,#N/A,TRUE,"Land";#N/A,#N/A,TRUE,"Cen Proces Sys";#N/A,#N/A,TRUE,"telecom";#N/A,#N/A,TRUE,"Other"}</definedName>
    <definedName name="wrn.appendix.1_1" hidden="1">{#N/A,#N/A,TRUE,"Lines";#N/A,#N/A,TRUE,"Stations";#N/A,#N/A,TRUE,"Cap. Expenses";#N/A,#N/A,TRUE,"Land";#N/A,#N/A,TRUE,"Cen Proces Sys";#N/A,#N/A,TRUE,"telecom";#N/A,#N/A,TRUE,"Other"}</definedName>
    <definedName name="wrn.Approval._.Package." localSheetId="8" hidden="1">{#N/A,#N/A,FALSE,"Cover";#N/A,#N/A,FALSE,"OFF";#N/A,#N/A,FALSE," ON";#N/A,#N/A,FALSE,"SUM";#N/A,#N/A,FALSE,"VPOP-POP"}</definedName>
    <definedName name="wrn.Approval._.Package." hidden="1">{#N/A,#N/A,FALSE,"Cover";#N/A,#N/A,FALSE,"OFF";#N/A,#N/A,FALSE," ON";#N/A,#N/A,FALSE,"SUM";#N/A,#N/A,FALSE,"VPOP-POP"}</definedName>
    <definedName name="wrn.Aqn." localSheetId="8" hidden="1">{"Exp",#N/A,FALSE,"Aquisitions";"Sal",#N/A,FALSE,"Aquisitions";"Sum",#N/A,FALSE,"Aquisitions"}</definedName>
    <definedName name="wrn.Aqn." hidden="1">{"Exp",#N/A,FALSE,"Aquisitions";"Sal",#N/A,FALSE,"Aquisitions";"Sum",#N/A,FALSE,"Aquisitions"}</definedName>
    <definedName name="wrn.AQUIROR._.DCF." localSheetId="7" hidden="1">{"AQUIRORDCF",#N/A,FALSE,"Merger consequences";"Acquirorassns",#N/A,FALSE,"Merger consequences"}</definedName>
    <definedName name="wrn.AQUIROR._.DCF." localSheetId="8" hidden="1">{"AQUIRORDCF",#N/A,FALSE,"Merger consequences";"Acquirorassns",#N/A,FALSE,"Merger consequences"}</definedName>
    <definedName name="wrn.AQUIROR._.DCF." hidden="1">{"AQUIRORDCF",#N/A,FALSE,"Merger consequences";"Acquirorassns",#N/A,FALSE,"Merger consequences"}</definedName>
    <definedName name="wrn.AQUIROR._.DCF._1" localSheetId="7" hidden="1">{"AQUIRORDCF",#N/A,FALSE,"Merger consequences";"Acquirorassns",#N/A,FALSE,"Merger consequences"}</definedName>
    <definedName name="wrn.AQUIROR._.DCF._1" localSheetId="8" hidden="1">{"AQUIRORDCF",#N/A,FALSE,"Merger consequences";"Acquirorassns",#N/A,FALSE,"Merger consequences"}</definedName>
    <definedName name="wrn.AQUIROR._.DCF._1" hidden="1">{"AQUIRORDCF",#N/A,FALSE,"Merger consequences";"Acquirorassns",#N/A,FALSE,"Merger consequences"}</definedName>
    <definedName name="wrn.argentina." hidden="1">{"argentina",#N/A,FALSE,"PL"}</definedName>
    <definedName name="wrn.ARGON._.PRICING." localSheetId="8" hidden="1">{"ARGON PRICING",#N/A,FALSE,"ARGON"}</definedName>
    <definedName name="wrn.ARGON._.PRICING." hidden="1">{"ARGON PRICING",#N/A,FALSE,"ARGON"}</definedName>
    <definedName name="wrn.ARGON._.REVENUE." localSheetId="8" hidden="1">{"ARGON REVENUE",#N/A,FALSE,"ARGON"}</definedName>
    <definedName name="wrn.ARGON._.REVENUE." hidden="1">{"ARGON REVENUE",#N/A,FALSE,"ARGON"}</definedName>
    <definedName name="wrn.ARGON._.VOLUME." localSheetId="8" hidden="1">{"ARGON VOLUME",#N/A,FALSE,"ARGON"}</definedName>
    <definedName name="wrn.ARGON._.VOLUME." hidden="1">{"ARGON VOLUME",#N/A,FALSE,"ARGON"}</definedName>
    <definedName name="wrn.ARGON_VOL" localSheetId="8" hidden="1">{"ARGON VOLUME",#N/A,FALSE,"ARGON"}</definedName>
    <definedName name="wrn.ARGON_VOL" hidden="1">{"ARGON VOLUME",#N/A,FALSE,"ARGON"}</definedName>
    <definedName name="wrn.Asia." localSheetId="7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" localSheetId="8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1" localSheetId="8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1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sumptions." localSheetId="8" hidden="1">{"casespecific",#N/A,FALSE,"Assumptions"}</definedName>
    <definedName name="wrn.assumptions." hidden="1">{"assumptions1",#N/A,FALSE,"Valuation Analysis";"assumptions2",#N/A,FALSE,"Valuation Analysis"}</definedName>
    <definedName name="wrn.assumptions._1" localSheetId="8" hidden="1">{"casespecific",#N/A,FALSE,"Assumptions"}</definedName>
    <definedName name="wrn.assumptions._1" hidden="1">{"casespecific",#N/A,FALSE,"Assumptions"}</definedName>
    <definedName name="wrn.AUGUST." hidden="1">{"p&amp;lSUM",#N/A,FALSE,"P&amp;L";"DETAIL",#N/A,FALSE,"P&amp;L";"% revenue",#N/A,FALSE,"P&amp;L";"% growth",#N/A,FALSE,"P&amp;L";"summary",#N/A,FALSE,"Summary";"chart",#N/A,FALSE,"Summary"}</definedName>
    <definedName name="wrn.august1" hidden="1">{"p&amp;lSUM",#N/A,FALSE,"P&amp;L";"DETAIL",#N/A,FALSE,"P&amp;L";"% revenue",#N/A,FALSE,"P&amp;L";"% growth",#N/A,FALSE,"P&amp;L";"summary",#N/A,FALSE,"Summary";"chart",#N/A,FALSE,"Summary"}</definedName>
    <definedName name="wrn.Auto._.Comp." localSheetId="8" hidden="1">{#N/A,#N/A,FALSE,"Sheet1"}</definedName>
    <definedName name="wrn.Auto._.Comp." hidden="1">{#N/A,#N/A,FALSE,"Sheet1"}</definedName>
    <definedName name="wrn.Auto._.Comp._1" localSheetId="8" hidden="1">{#N/A,#N/A,FALSE,"Sheet1"}</definedName>
    <definedName name="wrn.Auto._.Comp._1" hidden="1">{#N/A,#N/A,FALSE,"Sheet1"}</definedName>
    <definedName name="wrn.Auto._.Comp2." localSheetId="8" hidden="1">{#N/A,#N/A,FALSE,"Sheet1"}</definedName>
    <definedName name="wrn.Auto._.Comp2." hidden="1">{#N/A,#N/A,FALSE,"Sheet1"}</definedName>
    <definedName name="wrn.Auto._.Comps" localSheetId="8" hidden="1">{#N/A,#N/A,FALSE,"Sheet1"}</definedName>
    <definedName name="wrn.Auto._.Comps" hidden="1">{#N/A,#N/A,FALSE,"Sheet1"}</definedName>
    <definedName name="wrn.Auto._.Comps_1" localSheetId="8" hidden="1">{#N/A,#N/A,FALSE,"Sheet1"}</definedName>
    <definedName name="wrn.Auto._.Comps_1" hidden="1">{#N/A,#N/A,FALSE,"Sheet1"}</definedName>
    <definedName name="wrn.autos._scomp." localSheetId="8" hidden="1">{#N/A,#N/A,FALSE,"Sheet1"}</definedName>
    <definedName name="wrn.autos._scomp." hidden="1">{#N/A,#N/A,FALSE,"Sheet1"}</definedName>
    <definedName name="wrn.autos._scomp._1" localSheetId="8" hidden="1">{#N/A,#N/A,FALSE,"Sheet1"}</definedName>
    <definedName name="wrn.autos._scomp._1" hidden="1">{#N/A,#N/A,FALSE,"Sheet1"}</definedName>
    <definedName name="wrn.Aventis._.Analysis." hidden="1">{"P&amp;Lforaventis",#N/A,FALSE,"Franchises";"aventisP&amp;L",#N/A,FALSE,"Franchises";"inflam franchise",#N/A,FALSE,"Franchises"}</definedName>
    <definedName name="wrn.aventis._.analysis.1" hidden="1">{"P&amp;Lforaventis",#N/A,FALSE,"Franchises";"aventisP&amp;L",#N/A,FALSE,"Franchises";"inflam franchise",#N/A,FALSE,"Franchises"}</definedName>
    <definedName name="wrn.away." localSheetId="8" hidden="1">{"away stand alones",#N/A,FALSE,"Target"}</definedName>
    <definedName name="wrn.away." hidden="1">{"away stand alones",#N/A,FALSE,"Target"}</definedName>
    <definedName name="wrn.away._1" localSheetId="8" hidden="1">{"away stand alones",#N/A,FALSE,"Target"}</definedName>
    <definedName name="wrn.away._1" hidden="1">{"away stand alones",#N/A,FALSE,"Target"}</definedName>
    <definedName name="wrn.AWB." localSheetId="8" hidden="1">{#N/A,#N/A,FALSE,"CAPA";#N/A,#N/A,FALSE,"INDICES";#N/A,#N/A,FALSE,"ATIV-CONS";#N/A,#N/A,FALSE,"ATIV-AGENT";#N/A,#N/A,FALSE,"ATIV-SALTO";#N/A,#N/A,FALSE,"ATIV-CMB";#N/A,#N/A,FALSE,"ATIV-DECOR";#N/A,#N/A,FALSE,"ATIV-IMPR";#N/A,#N/A,FALSE,"ATIV-INDUSTR";#N/A,#N/A,FALSE,"ATIV-SEGUR";#N/A,#N/A,FALSE,"SP4-5";#N/A,#N/A,FALSE,"EVOLUÇÂO (2)"}</definedName>
    <definedName name="wrn.AWB." hidden="1">{#N/A,#N/A,FALSE,"CAPA";#N/A,#N/A,FALSE,"INDICES";#N/A,#N/A,FALSE,"ATIV-CONS";#N/A,#N/A,FALSE,"ATIV-AGENT";#N/A,#N/A,FALSE,"ATIV-SALTO";#N/A,#N/A,FALSE,"ATIV-CMB";#N/A,#N/A,FALSE,"ATIV-DECOR";#N/A,#N/A,FALSE,"ATIV-IMPR";#N/A,#N/A,FALSE,"ATIV-INDUSTR";#N/A,#N/A,FALSE,"ATIV-SEGUR";#N/A,#N/A,FALSE,"SP4-5";#N/A,#N/A,FALSE,"EVOLUÇÂO (2)"}</definedName>
    <definedName name="wrn.AWB._1" localSheetId="8" hidden="1">{#N/A,#N/A,FALSE,"CAPA";#N/A,#N/A,FALSE,"INDICES";#N/A,#N/A,FALSE,"ATIV-CONS";#N/A,#N/A,FALSE,"ATIV-AGENT";#N/A,#N/A,FALSE,"ATIV-SALTO";#N/A,#N/A,FALSE,"ATIV-CMB";#N/A,#N/A,FALSE,"ATIV-DECOR";#N/A,#N/A,FALSE,"ATIV-IMPR";#N/A,#N/A,FALSE,"ATIV-INDUSTR";#N/A,#N/A,FALSE,"ATIV-SEGUR";#N/A,#N/A,FALSE,"SP4-5";#N/A,#N/A,FALSE,"EVOLUÇÂO (2)"}</definedName>
    <definedName name="wrn.AWB._1" hidden="1">{#N/A,#N/A,FALSE,"CAPA";#N/A,#N/A,FALSE,"INDICES";#N/A,#N/A,FALSE,"ATIV-CONS";#N/A,#N/A,FALSE,"ATIV-AGENT";#N/A,#N/A,FALSE,"ATIV-SALTO";#N/A,#N/A,FALSE,"ATIV-CMB";#N/A,#N/A,FALSE,"ATIV-DECOR";#N/A,#N/A,FALSE,"ATIV-IMPR";#N/A,#N/A,FALSE,"ATIV-INDUSTR";#N/A,#N/A,FALSE,"ATIV-SEGUR";#N/A,#N/A,FALSE,"SP4-5";#N/A,#N/A,FALSE,"EVOLUÇÂO (2)"}</definedName>
    <definedName name="wrn.Back._.Page." hidden="1">{"Back Page",#N/A,FALSE,"Front and Back"}</definedName>
    <definedName name="wrn.Back._.Page.2" hidden="1">{"Back Page",#N/A,FALSE,"Front and Back"}</definedName>
    <definedName name="wrn.Bal._.Sheet._.and._.Cash._.Flows." localSheetId="8" hidden="1">{"Bal Sheet",#N/A,FALSE;"Cash Flow",#N/A,FALSE}</definedName>
    <definedName name="wrn.Bal._.Sheet._.and._.Cash._.Flows." hidden="1">{"Bal Sheet",#N/A,FALSE;"Cash Flow",#N/A,FALSE}</definedName>
    <definedName name="wrn.balance." localSheetId="8" hidden="1">{"shares",#N/A,FALSE,"P4FLASH";"qtrly",#N/A,FALSE,"P4FLASH";"TOPFLASH",#N/A,FALSE,"P4FLASH";"working",#N/A,FALSE,"P4FLASH";"budget",#N/A,FALSE,"P4FLASH";"FLASH",#N/A,FALSE,"P4FLASH";"monthly9495",#N/A,FALSE,"P4FLASH";"montly9596",#N/A,FALSE,"P4FLASH"}</definedName>
    <definedName name="wrn.balance." hidden="1">{"shares",#N/A,FALSE,"P4FLASH";"qtrly",#N/A,FALSE,"P4FLASH";"TOPFLASH",#N/A,FALSE,"P4FLASH";"working",#N/A,FALSE,"P4FLASH";"budget",#N/A,FALSE,"P4FLASH";"FLASH",#N/A,FALSE,"P4FLASH";"monthly9495",#N/A,FALSE,"P4FLASH";"montly9596",#N/A,FALSE,"P4FLASH"}</definedName>
    <definedName name="wrn.BALANCE._.PARA._.LUIZ._.CLAUDIO." localSheetId="8" hidden="1">{#N/A,#N/A,FALSE,"Hoja1";#N/A,#N/A,FALSE,"Hoja2"}</definedName>
    <definedName name="wrn.BALANCE._.PARA._.LUIZ._.CLAUDIO." hidden="1">{#N/A,#N/A,FALSE,"Hoja1";#N/A,#N/A,FALSE,"Hoja2"}</definedName>
    <definedName name="wrn.BALANCE._.PARA._.LUIZ._.CLAUDIO._1" localSheetId="8" hidden="1">{#N/A,#N/A,FALSE,"Hoja1";#N/A,#N/A,FALSE,"Hoja2"}</definedName>
    <definedName name="wrn.BALANCE._.PARA._.LUIZ._.CLAUDIO._1" hidden="1">{#N/A,#N/A,FALSE,"Hoja1";#N/A,#N/A,FALSE,"Hoja2"}</definedName>
    <definedName name="wrn.Balance._.Sheet." localSheetId="7" hidden="1">{#N/A,#N/A,TRUE,"Balance Sheet "}</definedName>
    <definedName name="wrn.Balance._.Sheet." localSheetId="8" hidden="1">{#N/A,#N/A,TRUE,"Balance Sheet "}</definedName>
    <definedName name="wrn.Balance._.Sheet." hidden="1">{"Assets",#N/A,TRUE,"Mar";"Liabilities",#N/A,TRUE,"Mar"}</definedName>
    <definedName name="wrn.Balance_Dolares." hidden="1">{"Dolares",#N/A,FALSE,"Total Compañia";"Dolares",#N/A,FALSE,"Petroquimicos";"Dolares",#N/A,FALSE,"Agroquimicos";"Dolares",#N/A,FALSE,"Domesticos";"Dolares",#N/A,FALSE,"Marketing";"Dolares",#N/A,FALSE,"Comercial";"Dolares",#N/A,FALSE,"Retail";"Dolares",#N/A,FALSE,"Lubricants";"Dolares",#N/A,FALSE,"Bitumen";"Dolares",#N/A,FALSE,"Others";"Dolares",#N/A,FALSE,"Fuels";"Dolares",#N/A,FALSE,"Fuels - R";"Dolares",#N/A,FALSE,"Lubricants - R";"Dolares",#N/A,FALSE,"NFR - R"}</definedName>
    <definedName name="wrn.Balance_Pesos." hidden="1">{"Pesos",#N/A,FALSE,"Total Compañia";"Pesos",#N/A,FALSE,"Petroquimicos";"Pesos",#N/A,FALSE,"Agroquimicos";"Pesos",#N/A,FALSE,"Domesticos";"Pesos",#N/A,FALSE,"Marketing";"Pesos",#N/A,FALSE,"Comercial";"Pesos",#N/A,FALSE,"Retail";"Pesos",#N/A,FALSE,"Lubricants";"Pesos",#N/A,FALSE,"Bitumen";"Pesos",#N/A,FALSE,"Others";"Pesos",#N/A,FALSE,"Fuels";"Pesos",#N/A,FALSE,"Fuels - R";"Pesos",#N/A,FALSE,"NFR - R";"Pesos",#N/A,FALSE,"Lubricants - R"}</definedName>
    <definedName name="wrn.BALSHE." localSheetId="8" hidden="1">{#N/A,#N/A,FALSE,"BALR$97";#N/A,#N/A,FALSE,"INCR$97";#N/A,#N/A,FALSE,"BALUS$97";#N/A,#N/A,FALSE,"FINANC97";#N/A,#N/A,FALSE,"CFLOW97";#N/A,#N/A,FALSE,"INCUS$97";#N/A,#N/A,FALSE,"CASH97";#N/A,#N/A,FALSE,"STOCKH97"}</definedName>
    <definedName name="wrn.BALSHE." hidden="1">{#N/A,#N/A,FALSE,"BALR$97";#N/A,#N/A,FALSE,"INCR$97";#N/A,#N/A,FALSE,"BALUS$97";#N/A,#N/A,FALSE,"FINANC97";#N/A,#N/A,FALSE,"CFLOW97";#N/A,#N/A,FALSE,"INCUS$97";#N/A,#N/A,FALSE,"CASH97";#N/A,#N/A,FALSE,"STOCKH97"}</definedName>
    <definedName name="wrn.balsheet." localSheetId="8" hidden="1">{"ICDANDNONDIV",#N/A,FALSE,"BSALLNOW.XLS";"polyandpurperf",#N/A,FALSE,"BSALLNOW.XLS"}</definedName>
    <definedName name="wrn.balsheet." hidden="1">{"ICDANDNONDIV",#N/A,FALSE,"BSALLNOW.XLS";"polyandpurperf",#N/A,FALSE,"BSALLNOW.XLS"}</definedName>
    <definedName name="wrn.BALSHEGESPA." localSheetId="8" hidden="1">{#N/A,#N/A,FALSE,"BALUS$97";#N/A,#N/A,FALSE,"INCUS$97";#N/A,#N/A,FALSE,"BALR$97";#N/A,#N/A,FALSE,"INCR$97";#N/A,#N/A,FALSE,"STOCKH97";#N/A,#N/A,FALSE,"FINANC97";#N/A,#N/A,FALSE,"CFLOW97"}</definedName>
    <definedName name="wrn.BALSHEGESPA." hidden="1">{#N/A,#N/A,FALSE,"BALUS$97";#N/A,#N/A,FALSE,"INCUS$97";#N/A,#N/A,FALSE,"BALR$97";#N/A,#N/A,FALSE,"INCR$97";#N/A,#N/A,FALSE,"STOCKH97";#N/A,#N/A,FALSE,"FINANC97";#N/A,#N/A,FALSE,"CFLOW97"}</definedName>
    <definedName name="wrn.Bands." localSheetId="8" hidden="1">{#N/A,"Band8",FALSE,"Smoothing";#N/A,"Band9",FALSE,"Smoothing";#N/A,"Band10",FALSE,"Smoothing"}</definedName>
    <definedName name="wrn.Bands." hidden="1">{#N/A,"Band8",FALSE,"Smoothing";#N/A,"Band9",FALSE,"Smoothing";#N/A,"Band10",FALSE,"Smoothing"}</definedName>
    <definedName name="wrn.Bank._.Group." localSheetId="8" hidden="1">{#N/A,#N/A,FALSE,"Bank Group";#N/A,#N/A,FALSE,"ntl (UK) Group";#N/A,#N/A,FALSE,"ntl Business Ltd";#N/A,#N/A,FALSE,"Consumer Co";#N/A,#N/A,FALSE,"Scanners";#N/A,#N/A,FALSE,"Xtant inc Moleseye";#N/A,#N/A,FALSE,"Bank Facilities"}</definedName>
    <definedName name="wrn.Bank._.Group." hidden="1">{#N/A,#N/A,FALSE,"Bank Group";#N/A,#N/A,FALSE,"ntl (UK) Group";#N/A,#N/A,FALSE,"ntl Business Ltd";#N/A,#N/A,FALSE,"Consumer Co";#N/A,#N/A,FALSE,"Scanners";#N/A,#N/A,FALSE,"Xtant inc Moleseye";#N/A,#N/A,FALSE,"Bank Facilities"}</definedName>
    <definedName name="wrn.BANKPLAN." localSheetId="8" hidden="1">{"cebank",#N/A,FALSE,"P9498BAR";"spbank",#N/A,FALSE,"P9498BAR";"renfinbank",#N/A,FALSE,"P9498BAR";"indici",#N/A,FALSE,"P9498BAR"}</definedName>
    <definedName name="wrn.BANKPLAN." hidden="1">{"cebank",#N/A,FALSE,"P9498BAR";"spbank",#N/A,FALSE,"P9498BAR";"renfinbank",#N/A,FALSE,"P9498BAR";"indici",#N/A,FALSE,"P9498BAR"}</definedName>
    <definedName name="wrn.BANKPLAN._1" localSheetId="8" hidden="1">{"cebank",#N/A,FALSE,"P9498BAR";"spbank",#N/A,FALSE,"P9498BAR";"renfinbank",#N/A,FALSE,"P9498BAR";"indici",#N/A,FALSE,"P9498BAR"}</definedName>
    <definedName name="wrn.BANKPLAN._1" hidden="1">{"cebank",#N/A,FALSE,"P9498BAR";"spbank",#N/A,FALSE,"P9498BAR";"renfinbank",#N/A,FALSE,"P9498BAR";"indici",#N/A,FALSE,"P9498BAR"}</definedName>
    <definedName name="wrn.BASE." localSheetId="8" hidden="1">{#N/A,#N/A,TRUE,"Schema Riferimento";"CdC_Commesse",#N/A,TRUE,"5 Centri di Costo e 40 Commesse";"Commesse_Sistemi",#N/A,TRUE,"5 Centri di Costo e 40 Commesse";#N/A,#N/A,TRUE,"Lista 39 Sistemi";#N/A,#N/A,TRUE,"Pivot"}</definedName>
    <definedName name="wrn.BASE." hidden="1">{#N/A,#N/A,TRUE,"Schema Riferimento";"CdC_Commesse",#N/A,TRUE,"5 Centri di Costo e 40 Commesse";"Commesse_Sistemi",#N/A,TRUE,"5 Centri di Costo e 40 Commesse";#N/A,#N/A,TRUE,"Lista 39 Sistemi";#N/A,#N/A,TRUE,"Pivot"}</definedName>
    <definedName name="wrn.Base._.Data._.Comparison." localSheetId="8" hidden="1">{#N/A,#N/A,FALSE,"Summation";#N/A,#N/A,FALSE,"BSA";#N/A,#N/A,FALSE,"Detail1";#N/A,#N/A,FALSE,"Detail2";#N/A,#N/A,FALSE,"Detail3";#N/A,#N/A,FALSE,"WFTE_Summary";#N/A,#N/A,FALSE,"Funded_WFTE";#N/A,#N/A,FALSE,"PYADJ96"}</definedName>
    <definedName name="wrn.Base._.Data._.Comparison." hidden="1">{#N/A,#N/A,FALSE,"Summation";#N/A,#N/A,FALSE,"BSA";#N/A,#N/A,FALSE,"Detail1";#N/A,#N/A,FALSE,"Detail2";#N/A,#N/A,FALSE,"Detail3";#N/A,#N/A,FALSE,"WFTE_Summary";#N/A,#N/A,FALSE,"Funded_WFTE";#N/A,#N/A,FALSE,"PYADJ96"}</definedName>
    <definedName name="wrn.Base._.Fin._.Stmts." localSheetId="8" hidden="1">{"Base I/S",#N/A,TRUE,"BASE";"Base C/F",#N/A,TRUE,"BASE";"Base B/S",#N/A,TRUE,"BASE"}</definedName>
    <definedName name="wrn.Base._.Fin._.Stmts." hidden="1">{"Base I/S",#N/A,TRUE,"BASE";"Base C/F",#N/A,TRUE,"BASE";"Base B/S",#N/A,TRUE,"BASE"}</definedName>
    <definedName name="wrn.BASE._1" localSheetId="8" hidden="1">{#N/A,#N/A,TRUE,"Schema Riferimento";"CdC_Commesse",#N/A,TRUE,"5 Centri di Costo e 40 Commesse";"Commesse_Sistemi",#N/A,TRUE,"5 Centri di Costo e 40 Commesse";#N/A,#N/A,TRUE,"Lista 39 Sistemi";#N/A,#N/A,TRUE,"Pivot"}</definedName>
    <definedName name="wrn.BASE._1" hidden="1">{#N/A,#N/A,TRUE,"Schema Riferimento";"CdC_Commesse",#N/A,TRUE,"5 Centri di Costo e 40 Commesse";"Commesse_Sistemi",#N/A,TRUE,"5 Centri di Costo e 40 Commesse";#N/A,#N/A,TRUE,"Lista 39 Sistemi";#N/A,#N/A,TRUE,"Pivot"}</definedName>
    <definedName name="wrn.baseDEV." localSheetId="8" hidden="1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name="wrn.baseDEV." hidden="1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name="wrn.baseDEV._1" localSheetId="8" hidden="1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name="wrn.baseDEV._1" hidden="1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name="wrn.Basic." localSheetId="7" hidden="1">{#N/A,#N/A,FALSE,"Cover";#N/A,#N/A,FALSE,"Assumptions";#N/A,#N/A,FALSE,"Acquirer";#N/A,#N/A,FALSE,"Target";#N/A,#N/A,FALSE,"Income Statement";#N/A,#N/A,FALSE,"Summary Tables"}</definedName>
    <definedName name="wrn.Basic." localSheetId="8" hidden="1">{#N/A,#N/A,FALSE,"Cover";#N/A,#N/A,FALSE,"Assumptions";#N/A,#N/A,FALSE,"Acquirer";#N/A,#N/A,FALSE,"Target";#N/A,#N/A,FALSE,"Income Statement";#N/A,#N/A,FALSE,"Summary Tables"}</definedName>
    <definedName name="wrn.Basic." hidden="1">{#N/A,#N/A,FALSE,"Cover";#N/A,#N/A,FALSE,"Assumptions";#N/A,#N/A,FALSE,"Acquirer";#N/A,#N/A,FALSE,"Target";#N/A,#N/A,FALSE,"Income Statement";#N/A,#N/A,FALSE,"Summary Tables"}</definedName>
    <definedName name="wrn.Basic._1" localSheetId="8" hidden="1">{#N/A,#N/A,FALSE,"Cover";#N/A,#N/A,FALSE,"Assumptions";#N/A,#N/A,FALSE,"Acquirer";#N/A,#N/A,FALSE,"Target";#N/A,#N/A,FALSE,"Income Statement";#N/A,#N/A,FALSE,"Summary Tables"}</definedName>
    <definedName name="wrn.Basic._1" hidden="1">{#N/A,#N/A,FALSE,"Cover";#N/A,#N/A,FALSE,"Assumptions";#N/A,#N/A,FALSE,"Acquirer";#N/A,#N/A,FALSE,"Target";#N/A,#N/A,FALSE,"Income Statement";#N/A,#N/A,FALSE,"Summary Tables"}</definedName>
    <definedName name="wrn.BC._.Telfast." localSheetId="8" hidden="1">{#N/A,#N/A,FALSE,"Approval Matrix";#N/A,#N/A,FALSE,"KeyAss";#N/A,#N/A,FALSE,"Medical Info";#N/A,#N/A,FALSE,"New Product Sourcing";#N/A,#N/A,FALSE,"SWOT";#N/A,#N/A,FALSE,"IMSMktMS";#N/A,#N/A,FALSE,"Pricing Analysis";#N/A,#N/A,FALSE,"Promotion Strategy";#N/A,#N/A,FALSE,"Sales Team Allocation";#N/A,#N/A,FALSE,"Backward Calculation";#N/A,#N/A,FALSE,"Volume Growth Forecasts";#N/A,#N/A,FALSE,"Product Contribution"}</definedName>
    <definedName name="wrn.BC._.Telfast." hidden="1">{#N/A,#N/A,FALSE,"Approval Matrix";#N/A,#N/A,FALSE,"KeyAss";#N/A,#N/A,FALSE,"Medical Info";#N/A,#N/A,FALSE,"New Product Sourcing";#N/A,#N/A,FALSE,"SWOT";#N/A,#N/A,FALSE,"IMSMktMS";#N/A,#N/A,FALSE,"Pricing Analysis";#N/A,#N/A,FALSE,"Promotion Strategy";#N/A,#N/A,FALSE,"Sales Team Allocation";#N/A,#N/A,FALSE,"Backward Calculation";#N/A,#N/A,FALSE,"Volume Growth Forecasts";#N/A,#N/A,FALSE,"Product Contribution"}</definedName>
    <definedName name="wrn.BC._.Tritace." localSheetId="8" hidden="1">{#N/A,#N/A,FALSE,"Approval Matrix";#N/A,#N/A,FALSE,"KeyAss";#N/A,#N/A,FALSE,"Medical Info";#N/A,#N/A,FALSE,"New Product Sourcing";#N/A,#N/A,FALSE,"SWOT";#N/A,#N/A,FALSE,"IMSMktMS";#N/A,#N/A,FALSE,"Pricing Analysis";#N/A,#N/A,FALSE,"Promotion Strategy";#N/A,#N/A,FALSE,"Sales Team Allocation";#N/A,#N/A,FALSE,"Backward Calculation";#N/A,#N/A,FALSE,"Volume Growth Forecasts";#N/A,#N/A,FALSE,"Product Contribution"}</definedName>
    <definedName name="wrn.BC._.Tritace." hidden="1">{#N/A,#N/A,FALSE,"Approval Matrix";#N/A,#N/A,FALSE,"KeyAss";#N/A,#N/A,FALSE,"Medical Info";#N/A,#N/A,FALSE,"New Product Sourcing";#N/A,#N/A,FALSE,"SWOT";#N/A,#N/A,FALSE,"IMSMktMS";#N/A,#N/A,FALSE,"Pricing Analysis";#N/A,#N/A,FALSE,"Promotion Strategy";#N/A,#N/A,FALSE,"Sales Team Allocation";#N/A,#N/A,FALSE,"Backward Calculation";#N/A,#N/A,FALSE,"Volume Growth Forecasts";#N/A,#N/A,FALSE,"Product Contribution"}</definedName>
    <definedName name="wrn.Bcecashflow." localSheetId="7" hidden="1">{"Bce Laf",#N/A,FALSE,"LAF";"CashFlow Laf",#N/A,FALSE,"LAF";"Bce Oleomed",#N/A,FALSE,"Oleomed";"Bce Dreiman",#N/A,FALSE,"Dreiman";"CashFlow oleomed",#N/A,FALSE,"Oleomed";"cashflow Dreiman",#N/A,FALSE,"Dreiman";"Bce Farmygel",#N/A,FALSE,"Farmygel";"Cashflow Farmygel",#N/A,FALSE,"Farmygel";"Cashflow Grupo",#N/A,FALSE,"Grupo";"Cash Flow Grupo",#N/A,FALSE,"GRUPO BCE ";"Bce Laf",#N/A,FALSE,"GRUPO BCE ";"Todas las Compañías",#N/A,FALSE,"Gráficos"}</definedName>
    <definedName name="wrn.Bcecashflow." localSheetId="8" hidden="1">{"Bce Laf",#N/A,FALSE,"LAF";"CashFlow Laf",#N/A,FALSE,"LAF";"Bce Oleomed",#N/A,FALSE,"Oleomed";"Bce Dreiman",#N/A,FALSE,"Dreiman";"CashFlow oleomed",#N/A,FALSE,"Oleomed";"cashflow Dreiman",#N/A,FALSE,"Dreiman";"Bce Farmygel",#N/A,FALSE,"Farmygel";"Cashflow Farmygel",#N/A,FALSE,"Farmygel";"Cashflow Grupo",#N/A,FALSE,"Grupo";"Cash Flow Grupo",#N/A,FALSE,"GRUPO BCE ";"Bce Laf",#N/A,FALSE,"GRUPO BCE ";"Todas las Compañías",#N/A,FALSE,"Gráficos"}</definedName>
    <definedName name="wrn.Bcecashflow." hidden="1">{"Bce Laf",#N/A,FALSE,"LAF";"CashFlow Laf",#N/A,FALSE,"LAF";"Bce Oleomed",#N/A,FALSE,"Oleomed";"Bce Dreiman",#N/A,FALSE,"Dreiman";"CashFlow oleomed",#N/A,FALSE,"Oleomed";"cashflow Dreiman",#N/A,FALSE,"Dreiman";"Bce Farmygel",#N/A,FALSE,"Farmygel";"Cashflow Farmygel",#N/A,FALSE,"Farmygel";"Cashflow Grupo",#N/A,FALSE,"Grupo";"Cash Flow Grupo",#N/A,FALSE,"GRUPO BCE ";"Bce Laf",#N/A,FALSE,"GRUPO BCE ";"Todas las Compañías",#N/A,FALSE,"Gráficos"}</definedName>
    <definedName name="wrn.Bcecashflow._1" localSheetId="8" hidden="1">{"Bce Laf",#N/A,FALSE,"LAF";"CashFlow Laf",#N/A,FALSE,"LAF";"Bce Oleomed",#N/A,FALSE,"Oleomed";"Bce Dreiman",#N/A,FALSE,"Dreiman";"CashFlow oleomed",#N/A,FALSE,"Oleomed";"cashflow Dreiman",#N/A,FALSE,"Dreiman";"Bce Farmygel",#N/A,FALSE,"Farmygel";"Cashflow Farmygel",#N/A,FALSE,"Farmygel";"Cashflow Grupo",#N/A,FALSE,"Grupo";"Cash Flow Grupo",#N/A,FALSE,"GRUPO BCE ";"Bce Laf",#N/A,FALSE,"GRUPO BCE ";"Todas las Compañías",#N/A,FALSE,"Gráficos"}</definedName>
    <definedName name="wrn.Bcecashflow._1" hidden="1">{"Bce Laf",#N/A,FALSE,"LAF";"CashFlow Laf",#N/A,FALSE,"LAF";"Bce Oleomed",#N/A,FALSE,"Oleomed";"Bce Dreiman",#N/A,FALSE,"Dreiman";"CashFlow oleomed",#N/A,FALSE,"Oleomed";"cashflow Dreiman",#N/A,FALSE,"Dreiman";"Bce Farmygel",#N/A,FALSE,"Farmygel";"Cashflow Farmygel",#N/A,FALSE,"Farmygel";"Cashflow Grupo",#N/A,FALSE,"Grupo";"Cash Flow Grupo",#N/A,FALSE,"GRUPO BCE ";"Bce Laf",#N/A,FALSE,"GRUPO BCE ";"Todas las Compañías",#N/A,FALSE,"Gráficos"}</definedName>
    <definedName name="wrn.BEL." localSheetId="8" hidden="1">{"IS",#N/A,FALSE,"IS";"RPTIS",#N/A,FALSE,"RPTIS";"STATS",#N/A,FALSE,"STATS";"CELL",#N/A,FALSE,"CELL";"BS",#N/A,FALSE,"BS"}</definedName>
    <definedName name="wrn.BEL." hidden="1">{"IS",#N/A,FALSE,"IS";"RPTIS",#N/A,FALSE,"RPTIS";"STATS",#N/A,FALSE,"STATS";"CELL",#N/A,FALSE,"CELL";"BS",#N/A,FALSE,"BS"}</definedName>
    <definedName name="wrn.BEL._1" localSheetId="8" hidden="1">{"IS",#N/A,FALSE,"IS";"RPTIS",#N/A,FALSE,"RPTIS";"STATS",#N/A,FALSE,"STATS";"CELL",#N/A,FALSE,"CELL";"BS",#N/A,FALSE,"BS"}</definedName>
    <definedName name="wrn.BEL._1" hidden="1">{"IS",#N/A,FALSE,"IS";"RPTIS",#N/A,FALSE,"RPTIS";"STATS",#N/A,FALSE,"STATS";"CELL",#N/A,FALSE,"CELL";"BS",#N/A,FALSE,"BS"}</definedName>
    <definedName name="wrn.betz." localSheetId="8" hidden="1">{"net assets",#N/A,FALSE,"summary";"asset turnover",#N/A,FALSE,"summary";"orona",#N/A,FALSE,"summary"}</definedName>
    <definedName name="wrn.betz." hidden="1">{"net assets",#N/A,FALSE,"summary";"asset turnover",#N/A,FALSE,"summary";"orona",#N/A,FALSE,"summary"}</definedName>
    <definedName name="wrn.Bewegungsbilanz." localSheetId="8" hidden="1">{#N/A,#N/A,FALSE,"Mittelherkunft";#N/A,#N/A,FALSE,"Mittelverwendung"}</definedName>
    <definedName name="wrn.Bewegungsbilanz." hidden="1">{#N/A,#N/A,FALSE,"Mittelherkunft";#N/A,#N/A,FALSE,"Mittelverwendung"}</definedName>
    <definedName name="wrn.BidCo." localSheetId="8" hidden="1">{#N/A,#N/A,FALSE,"BidCo Assumptions";#N/A,#N/A,FALSE,"Credit Stats";#N/A,#N/A,FALSE,"Bidco Summary";#N/A,#N/A,FALSE,"BIDCO Consolidated"}</definedName>
    <definedName name="wrn.BidCo." hidden="1">{#N/A,#N/A,FALSE,"BidCo Assumptions";#N/A,#N/A,FALSE,"Credit Stats";#N/A,#N/A,FALSE,"Bidco Summary";#N/A,#N/A,FALSE,"BIDCO Consolidated"}</definedName>
    <definedName name="wrn.BidReview." localSheetId="8" hidden="1">{#N/A,#N/A,FALSE,"Assumptions";"finsumm",#N/A,FALSE,"Finsumm";"FBGroup",#N/A,FALSE,"FB - BT Group";"FBSync",#N/A,FALSE,"FB - Syncordia Total ";"PLCustom",#N/A,FALSE,"P&amp;L summary";"PriSumm",#N/A,FALSE,"Price Summary";"HoursPay",#N/A,FALSE,"pay_non pay input";"ResourceNonPay",#N/A,FALSE,"pay_non pay input";"CapitalInput",#N/A,FALSE,"Equipt Input";"CurrEqptInput",#N/A,FALSE,"Equipt Input";"TotMtce",#N/A,FALSE,"Equipt Input";"TPNwks",#N/A,FALSE,"Nwks Input";"BTNwks",#N/A,FALSE,"Nwks Input";"Miscellaneous",#N/A,FALSE,"Misc."}</definedName>
    <definedName name="wrn.BidReview." hidden="1">{#N/A,#N/A,FALSE,"Assumptions";"finsumm",#N/A,FALSE,"Finsumm";"FBGroup",#N/A,FALSE,"FB - BT Group";"FBSync",#N/A,FALSE,"FB - Syncordia Total ";"PLCustom",#N/A,FALSE,"P&amp;L summary";"PriSumm",#N/A,FALSE,"Price Summary";"HoursPay",#N/A,FALSE,"pay_non pay input";"ResourceNonPay",#N/A,FALSE,"pay_non pay input";"CapitalInput",#N/A,FALSE,"Equipt Input";"CurrEqptInput",#N/A,FALSE,"Equipt Input";"TotMtce",#N/A,FALSE,"Equipt Input";"TPNwks",#N/A,FALSE,"Nwks Input";"BTNwks",#N/A,FALSE,"Nwks Input";"Miscellaneous",#N/A,FALSE,"Misc."}</definedName>
    <definedName name="wrn.Bilancio." localSheetId="8" hidden="1">{#N/A,#N/A,TRUE,"Attivo";#N/A,#N/A,TRUE,"Passivo";#N/A,#N/A,TRUE,"Conto Economico"}</definedName>
    <definedName name="wrn.Bilancio." hidden="1">{#N/A,#N/A,TRUE,"Attivo";#N/A,#N/A,TRUE,"Passivo";#N/A,#N/A,TRUE,"Conto Economico"}</definedName>
    <definedName name="wrn.Bilancio._1" localSheetId="8" hidden="1">{#N/A,#N/A,TRUE,"Attivo";#N/A,#N/A,TRUE,"Passivo";#N/A,#N/A,TRUE,"Conto Economico"}</definedName>
    <definedName name="wrn.Bilancio._1" hidden="1">{#N/A,#N/A,TRUE,"Attivo";#N/A,#N/A,TRUE,"Passivo";#N/A,#N/A,TRUE,"Conto Economico"}</definedName>
    <definedName name="wrn.Bilancio_semestrale." localSheetId="8" hidden="1">{"Bilancio non rettificato",#N/A,FALSE,"A";"Bilancio Rettifiche",#N/A,FALSE,"B";"Bilancio Rettifiche",#N/A,FALSE,"C";"movimenti",#N/A,FALSE,"D";"amm",#N/A,FALSE,"D";"cpl",#N/A,FALSE,"D";"cola",#N/A,FALSE,"D";"imposte",#N/A,FALSE,"D"}</definedName>
    <definedName name="wrn.Bilancio_semestrale." hidden="1">{"Bilancio non rettificato",#N/A,FALSE,"A";"Bilancio Rettifiche",#N/A,FALSE,"B";"Bilancio Rettifiche",#N/A,FALSE,"C";"movimenti",#N/A,FALSE,"D";"amm",#N/A,FALSE,"D";"cpl",#N/A,FALSE,"D";"cola",#N/A,FALSE,"D";"imposte",#N/A,FALSE,"D"}</definedName>
    <definedName name="wrn.Bilancio_semestrale._1" localSheetId="8" hidden="1">{"Bilancio non rettificato",#N/A,FALSE,"A";"Bilancio Rettifiche",#N/A,FALSE,"B";"Bilancio Rettifiche",#N/A,FALSE,"C";"movimenti",#N/A,FALSE,"D";"amm",#N/A,FALSE,"D";"cpl",#N/A,FALSE,"D";"cola",#N/A,FALSE,"D";"imposte",#N/A,FALSE,"D"}</definedName>
    <definedName name="wrn.Bilancio_semestrale._1" hidden="1">{"Bilancio non rettificato",#N/A,FALSE,"A";"Bilancio Rettifiche",#N/A,FALSE,"B";"Bilancio Rettifiche",#N/A,FALSE,"C";"movimenti",#N/A,FALSE,"D";"amm",#N/A,FALSE,"D";"cpl",#N/A,FALSE,"D";"cola",#N/A,FALSE,"D";"imposte",#N/A,FALSE,"D"}</definedName>
    <definedName name="wrn.Bilanz." localSheetId="8" hidden="1">{#N/A,#N/A,FALSE,"Layout Aktiva";#N/A,#N/A,FALSE,"Layout Passiva"}</definedName>
    <definedName name="wrn.Bilanz." hidden="1">{#N/A,#N/A,FALSE,"Layout Aktiva";#N/A,#N/A,FALSE,"Layout Passiva"}</definedName>
    <definedName name="wrn.blabla." localSheetId="8" hidden="1">{"eingeklappt",#N/A,FALSE,"TOTAL SHARED";"ausgeklappt",#N/A,FALSE,"TOTAL SHARED"}</definedName>
    <definedName name="wrn.blabla." hidden="1">{"eingeklappt",#N/A,FALSE,"TOTAL SHARED";"ausgeklappt",#N/A,FALSE,"TOTAL SHARED"}</definedName>
    <definedName name="wrn.blom." localSheetId="8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wrn.blom.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wrn.blom._1" localSheetId="8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wrn.blom._1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wrn.bm" localSheetId="7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bm" localSheetId="8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bm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Board._.Pack." hidden="1">{"Board Income Statement",#N/A,FALSE,"Board Summary";"Board Balance Sheet",#N/A,FALSE,"Board Summary";"Board Cash Flow",#N/A,FALSE,"Board Summary"}</definedName>
    <definedName name="wrn.BONITO1." hidden="1">{#N/A,#N/A,FALSE,"Rtdos. Extraordinarios";#N/A,#N/A,FALSE,"Aportación Rtdos. I.Global";#N/A,#N/A,FALSE,"Participación en Beneficios";#N/A,#N/A,FALSE,"Rtdos. Puesta Equivalencia";#N/A,#N/A,FALSE,"Ingr. y Gtos. Empresas Grupo";#N/A,#N/A,FALSE,"Sociedades Apéndice";#N/A,#N/A,FALSE,"Fondo de Comercio"}</definedName>
    <definedName name="wrn.BONITO2." hidden="1">{#N/A,#N/A,FALSE,"Préstamos a Largo Plazo";#N/A,#N/A,FALSE,"Cuentas con Emp. del Grupo";#N/A,#N/A,FALSE,"Inmov. Material";#N/A,#N/A,FALSE,"Inv. Financieras Temporales";#N/A,#N/A,FALSE,"Movimiento de Reservas";#N/A,#N/A,FALSE,"Obligaciones";#N/A,#N/A,FALSE,"Socios Externos";#N/A,#N/A,FALSE,"Inmovilizado inmaterial";#N/A,#N/A,FALSE,"Fondos Própios"}</definedName>
    <definedName name="wrn.book." localSheetId="8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" hidden="1">{"EVA",#N/A,FALSE,"SMT2";#N/A,#N/A,FALSE,"Summary";#N/A,#N/A,FALSE,"Graphs";#N/A,#N/A,FALSE,"4 Panel"}</definedName>
    <definedName name="wrn.book._1" localSheetId="8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1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interno." localSheetId="8" hidden="1">{#N/A,#N/A,FALSE,"PRESENT";#N/A,#N/A,FALSE,"INDICE";#N/A,#N/A,FALSE,"DIV_CONS";#N/A,#N/A,FALSE,"DIV_GRUP";#N/A,#N/A,FALSE,"DIV_BIM";#N/A,#N/A,FALSE,"DIV_UMPL";#N/A,#N/A,FALSE,"DIV_BDBAS"}</definedName>
    <definedName name="wrn.bookinterno." hidden="1">{#N/A,#N/A,FALSE,"PRESENT";#N/A,#N/A,FALSE,"INDICE";#N/A,#N/A,FALSE,"DIV_CONS";#N/A,#N/A,FALSE,"DIV_GRUP";#N/A,#N/A,FALSE,"DIV_BIM";#N/A,#N/A,FALSE,"DIV_UMPL";#N/A,#N/A,FALSE,"DIV_BDBAS"}</definedName>
    <definedName name="wrn.bookinterno._1" localSheetId="8" hidden="1">{#N/A,#N/A,FALSE,"PRESENT";#N/A,#N/A,FALSE,"INDICE";#N/A,#N/A,FALSE,"DIV_CONS";#N/A,#N/A,FALSE,"DIV_GRUP";#N/A,#N/A,FALSE,"DIV_BIM";#N/A,#N/A,FALSE,"DIV_UMPL";#N/A,#N/A,FALSE,"DIV_BDBAS"}</definedName>
    <definedName name="wrn.bookinterno._1" hidden="1">{#N/A,#N/A,FALSE,"PRESENT";#N/A,#N/A,FALSE,"INDICE";#N/A,#N/A,FALSE,"DIV_CONS";#N/A,#N/A,FALSE,"DIV_GRUP";#N/A,#N/A,FALSE,"DIV_BIM";#N/A,#N/A,FALSE,"DIV_UMPL";#N/A,#N/A,FALSE,"DIV_BDBAS"}</definedName>
    <definedName name="wrn.Both." localSheetId="8" hidden="1">{"detail",#N/A,FALSE,"mfg";"summary",#N/A,FALSE,"mfg"}</definedName>
    <definedName name="wrn.Both." hidden="1">{"detail",#N/A,FALSE,"mfg";"summary",#N/A,FALSE,"mfg"}</definedName>
    <definedName name="wrn.Both.2" localSheetId="8" hidden="1">{"detail",#N/A,FALSE,"mfg";"summary",#N/A,FALSE,"mfg"}</definedName>
    <definedName name="wrn.Both.2" hidden="1">{"detail",#N/A,FALSE,"mfg";"summary",#N/A,FALSE,"mfg"}</definedName>
    <definedName name="wrn.both1" localSheetId="8" hidden="1">{"detail",#N/A,FALSE,"mfg";"summary",#N/A,FALSE,"mfg"}</definedName>
    <definedName name="wrn.both1" hidden="1">{"detail",#N/A,FALSE,"mfg";"summary",#N/A,FALSE,"mfg"}</definedName>
    <definedName name="wrn.both10" localSheetId="8" hidden="1">{"detail",#N/A,FALSE,"mfg";"summary",#N/A,FALSE,"mfg"}</definedName>
    <definedName name="wrn.both10" hidden="1">{"detail",#N/A,FALSE,"mfg";"summary",#N/A,FALSE,"mfg"}</definedName>
    <definedName name="wrn.both102" localSheetId="8" hidden="1">{"detail",#N/A,FALSE,"mfg";"summary",#N/A,FALSE,"mfg"}</definedName>
    <definedName name="wrn.both102" hidden="1">{"detail",#N/A,FALSE,"mfg";"summary",#N/A,FALSE,"mfg"}</definedName>
    <definedName name="wrn.both11" localSheetId="8" hidden="1">{"detail",#N/A,FALSE,"mfg";"summary",#N/A,FALSE,"mfg"}</definedName>
    <definedName name="wrn.both11" hidden="1">{"detail",#N/A,FALSE,"mfg";"summary",#N/A,FALSE,"mfg"}</definedName>
    <definedName name="wrn.both12" localSheetId="8" hidden="1">{"detail",#N/A,FALSE,"mfg";"summary",#N/A,FALSE,"mfg"}</definedName>
    <definedName name="wrn.both12" hidden="1">{"detail",#N/A,FALSE,"mfg";"summary",#N/A,FALSE,"mfg"}</definedName>
    <definedName name="wrn.Both31" localSheetId="8" hidden="1">{"detail",#N/A,FALSE,"mfg";"summary",#N/A,FALSE,"mfg"}</definedName>
    <definedName name="wrn.Both31" hidden="1">{"detail",#N/A,FALSE,"mfg";"summary",#N/A,FALSE,"mfg"}</definedName>
    <definedName name="wrn.Both32" localSheetId="8" hidden="1">{"detail",#N/A,FALSE,"mfg";"summary",#N/A,FALSE,"mfg"}</definedName>
    <definedName name="wrn.Both32" hidden="1">{"detail",#N/A,FALSE,"mfg";"summary",#N/A,FALSE,"mfg"}</definedName>
    <definedName name="wrn.Both34" localSheetId="8" hidden="1">{"detail",#N/A,FALSE,"mfg";"summary",#N/A,FALSE,"mfg"}</definedName>
    <definedName name="wrn.Both34" hidden="1">{"detail",#N/A,FALSE,"mfg";"summary",#N/A,FALSE,"mfg"}</definedName>
    <definedName name="wrn.Both35" localSheetId="8" hidden="1">{"detail",#N/A,FALSE,"mfg";"summary",#N/A,FALSE,"mfg"}</definedName>
    <definedName name="wrn.Both35" hidden="1">{"detail",#N/A,FALSE,"mfg";"summary",#N/A,FALSE,"mfg"}</definedName>
    <definedName name="wrn.Both42" localSheetId="8" hidden="1">{"detail",#N/A,FALSE,"mfg";"summary",#N/A,FALSE,"mfg"}</definedName>
    <definedName name="wrn.Both42" hidden="1">{"detail",#N/A,FALSE,"mfg";"summary",#N/A,FALSE,"mfg"}</definedName>
    <definedName name="wrn.both71" localSheetId="8" hidden="1">{"detail",#N/A,FALSE,"mfg";"summary",#N/A,FALSE,"mfg"}</definedName>
    <definedName name="wrn.both71" hidden="1">{"detail",#N/A,FALSE,"mfg";"summary",#N/A,FALSE,"mfg"}</definedName>
    <definedName name="wrn.botha11" localSheetId="8" hidden="1">{"detail",#N/A,FALSE,"mfg";"summary",#N/A,FALSE,"mfg"}</definedName>
    <definedName name="wrn.botha11" hidden="1">{"detail",#N/A,FALSE,"mfg";"summary",#N/A,FALSE,"mfg"}</definedName>
    <definedName name="wrn.botha2" localSheetId="8" hidden="1">{"detail",#N/A,FALSE,"mfg";"summary",#N/A,FALSE,"mfg"}</definedName>
    <definedName name="wrn.botha2" hidden="1">{"detail",#N/A,FALSE,"mfg";"summary",#N/A,FALSE,"mfg"}</definedName>
    <definedName name="wrn.bothab2" localSheetId="8" hidden="1">{"detail",#N/A,FALSE,"mfg";"summary",#N/A,FALSE,"mfg"}</definedName>
    <definedName name="wrn.bothab2" hidden="1">{"detail",#N/A,FALSE,"mfg";"summary",#N/A,FALSE,"mfg"}</definedName>
    <definedName name="wrn.bow_argentina." hidden="1">{"bow_argentina",#N/A,FALSE,"AMF"}</definedName>
    <definedName name="wrn.bow_brasil." hidden="1">{"bow_brasil",#N/A,FALSE,"AMF"}</definedName>
    <definedName name="wrn.BP._.print." localSheetId="8" hidden="1">{#N/A,#N/A,FALSE,"BANNERS";#N/A,#N/A,FALSE,"Market";#N/A,#N/A,FALSE,"Tel Rev";#N/A,#N/A,FALSE,"Revenues IOL";#N/A,#N/A,FALSE,"Invest";#N/A,#N/A,FALSE,"Op Cost1";#N/A,#N/A,FALSE,"Op Cost2";#N/A,#N/A,FALSE,"Oth_&amp;_Tot_Revenues";#N/A,#N/A,FALSE,"Fin Mod";#N/A,#N/A,FALSE,"FinMod_RoW";#N/A,#N/A,FALSE,"P&amp;E Burocrat";#N/A,#N/A,FALSE,"cash flow"}</definedName>
    <definedName name="wrn.BP._.print." hidden="1">{#N/A,#N/A,FALSE,"BANNERS";#N/A,#N/A,FALSE,"Market";#N/A,#N/A,FALSE,"Tel Rev";#N/A,#N/A,FALSE,"Revenues IOL";#N/A,#N/A,FALSE,"Invest";#N/A,#N/A,FALSE,"Op Cost1";#N/A,#N/A,FALSE,"Op Cost2";#N/A,#N/A,FALSE,"Oth_&amp;_Tot_Revenues";#N/A,#N/A,FALSE,"Fin Mod";#N/A,#N/A,FALSE,"FinMod_RoW";#N/A,#N/A,FALSE,"P&amp;E Burocrat";#N/A,#N/A,FALSE,"cash flow"}</definedName>
    <definedName name="wrn.BP._.print._1" localSheetId="8" hidden="1">{#N/A,#N/A,FALSE,"BANNERS";#N/A,#N/A,FALSE,"Market";#N/A,#N/A,FALSE,"Tel Rev";#N/A,#N/A,FALSE,"Revenues IOL";#N/A,#N/A,FALSE,"Invest";#N/A,#N/A,FALSE,"Op Cost1";#N/A,#N/A,FALSE,"Op Cost2";#N/A,#N/A,FALSE,"Oth_&amp;_Tot_Revenues";#N/A,#N/A,FALSE,"Fin Mod";#N/A,#N/A,FALSE,"FinMod_RoW";#N/A,#N/A,FALSE,"P&amp;E Burocrat";#N/A,#N/A,FALSE,"cash flow"}</definedName>
    <definedName name="wrn.BP._.print._1" hidden="1">{#N/A,#N/A,FALSE,"BANNERS";#N/A,#N/A,FALSE,"Market";#N/A,#N/A,FALSE,"Tel Rev";#N/A,#N/A,FALSE,"Revenues IOL";#N/A,#N/A,FALSE,"Invest";#N/A,#N/A,FALSE,"Op Cost1";#N/A,#N/A,FALSE,"Op Cost2";#N/A,#N/A,FALSE,"Oth_&amp;_Tot_Revenues";#N/A,#N/A,FALSE,"Fin Mod";#N/A,#N/A,FALSE,"FinMod_RoW";#N/A,#N/A,FALSE,"P&amp;E Burocrat";#N/A,#N/A,FALSE,"cash flow"}</definedName>
    <definedName name="wrn.BPlan." localSheetId="8" hidden="1">{#N/A,#N/A,FALSE,"F_Plan";#N/A,#N/A,FALSE,"Parameter"}</definedName>
    <definedName name="wrn.BPlan." hidden="1">{#N/A,#N/A,FALSE,"F_Plan";#N/A,#N/A,FALSE,"Parameter"}</definedName>
    <definedName name="wrn.Branded._.TOTAL._._._.FY03._.04._.04._.05." localSheetId="8" hidden="1">{"BR Usage TOT - TOTAL",#N/A,FALSE,"BR Usage TOT";"BR Usage SUB - TOTAL",#N/A,FALSE,"BR Usage SUB";"BR REV - TOTAL",#N/A,FALSE,"BR REV";"BR Rev Min - TOTAL",#N/A,FALSE,"BR Rev Min";"BR ARPU - TOTAL",#N/A,FALSE," BR ARPU";"BR COS - TOTAL",#N/A,FALSE,"BR COS";"BR COS Min - TOTAL",#N/A,FALSE,"BR COS Min"}</definedName>
    <definedName name="wrn.Branded._.TOTAL._._._.FY03._.04._.04._.05." hidden="1">{"BR Usage TOT - TOTAL",#N/A,FALSE,"BR Usage TOT";"BR Usage SUB - TOTAL",#N/A,FALSE,"BR Usage SUB";"BR REV - TOTAL",#N/A,FALSE,"BR REV";"BR Rev Min - TOTAL",#N/A,FALSE,"BR Rev Min";"BR ARPU - TOTAL",#N/A,FALSE," BR ARPU";"BR COS - TOTAL",#N/A,FALSE,"BR COS";"BR COS Min - TOTAL",#N/A,FALSE,"BR COS Min"}</definedName>
    <definedName name="wrn.Breakeven." localSheetId="8" hidden="1">{"Breakeven - 2003",#N/A,TRUE,"Breakeven"}</definedName>
    <definedName name="wrn.Breakeven." hidden="1">{"Breakeven - 2003",#N/A,TRUE,"Breakeven"}</definedName>
    <definedName name="wrn.Breakout." localSheetId="8" hidden="1">{#N/A,#N/A,FALSE,"BreakoutFY95";#N/A,#N/A,FALSE,"BreakoutFY96";#N/A,#N/A,FALSE,"BreakoutFY97";#N/A,#N/A,FALSE,"BreakoutFY98"}</definedName>
    <definedName name="wrn.Breakout." hidden="1">{#N/A,#N/A,FALSE,"BreakoutFY95";#N/A,#N/A,FALSE,"BreakoutFY96";#N/A,#N/A,FALSE,"BreakoutFY97";#N/A,#N/A,FALSE,"BreakoutFY98"}</definedName>
    <definedName name="wrn.breakup." localSheetId="8" hidden="1">{"comps1",#N/A,FALSE,"Comps Sheet";"comps2",#N/A,FALSE,"Comps Sheet";"comps3",#N/A,FALSE,"Comps Sheet";"comps4",#N/A,FALSE,"Comps Sheet";"comps5",#N/A,FALSE,"Comps Sheet";"comps6",#N/A,FALSE,"Comps Sheet";"ec",#N/A,FALSE,"E&amp;C";"environmental",#N/A,FALSE,"Environmental";"heavy",#N/A,FALSE,"Heavy Const."}</definedName>
    <definedName name="wrn.breakup." hidden="1">{"comps1",#N/A,FALSE,"Comps Sheet";"comps2",#N/A,FALSE,"Comps Sheet";"comps3",#N/A,FALSE,"Comps Sheet";"comps4",#N/A,FALSE,"Comps Sheet";"comps5",#N/A,FALSE,"Comps Sheet";"comps6",#N/A,FALSE,"Comps Sheet";"ec",#N/A,FALSE,"E&amp;C";"environmental",#N/A,FALSE,"Environmental";"heavy",#N/A,FALSE,"Heavy Const."}</definedName>
    <definedName name="wrn.BREC._.and._.Coal." localSheetId="8" hidden="1">{"DCF",#N/A,TRUE,"DCF";"Breakeven - 2003",#N/A,TRUE,"Breakeven";"BREC - I/S",#N/A,TRUE,"BREC";"BREC - C/F",#N/A,TRUE,"BREC";"BREC - B/S",#N/A,TRUE,"BREC";"BREC Ratios",#N/A,TRUE,"BREC";"COAL - I/S",#N/A,TRUE,"COAL";"COAL - C/F",#N/A,TRUE,"COAL";"BREC - B/S",#N/A,TRUE,"COAL";"Coal Ratios",#N/A,TRUE,"COAL"}</definedName>
    <definedName name="wrn.BREC._.and._.Coal." hidden="1">{"DCF",#N/A,TRUE,"DCF";"Breakeven - 2003",#N/A,TRUE,"Breakeven";"BREC - I/S",#N/A,TRUE,"BREC";"BREC - C/F",#N/A,TRUE,"BREC";"BREC - B/S",#N/A,TRUE,"BREC";"BREC Ratios",#N/A,TRUE,"BREC";"COAL - I/S",#N/A,TRUE,"COAL";"COAL - C/F",#N/A,TRUE,"COAL";"BREC - B/S",#N/A,TRUE,"COAL";"Coal Ratios",#N/A,TRUE,"COAL"}</definedName>
    <definedName name="wrn.BREC._.Fin._.Stmts." localSheetId="8" hidden="1">{"BREC - I/S",#N/A,TRUE,"BREC";"BREC - C/F",#N/A,TRUE,"BREC";"BREC - B/S",#N/A,TRUE,"BREC"}</definedName>
    <definedName name="wrn.BREC._.Fin._.Stmts." hidden="1">{"BREC - I/S",#N/A,TRUE,"BREC";"BREC - C/F",#N/A,TRUE,"BREC";"BREC - B/S",#N/A,TRUE,"BREC"}</definedName>
    <definedName name="wrn.brian." localSheetId="8" hidden="1">{#N/A,#N/A,FALSE,"output";#N/A,#N/A,FALSE,"contrib";#N/A,#N/A,FALSE,"profile";#N/A,#N/A,FALSE,"comps"}</definedName>
    <definedName name="wrn.brian." hidden="1">{#N/A,#N/A,FALSE,"output";#N/A,#N/A,FALSE,"contrib";#N/A,#N/A,FALSE,"profile";#N/A,#N/A,FALSE,"comps"}</definedName>
    <definedName name="wrn.brian._1" localSheetId="8" hidden="1">{#N/A,#N/A,FALSE,"output";#N/A,#N/A,FALSE,"contrib";#N/A,#N/A,FALSE,"profile";#N/A,#N/A,FALSE,"comps"}</definedName>
    <definedName name="wrn.brian._1" hidden="1">{#N/A,#N/A,FALSE,"output";#N/A,#N/A,FALSE,"contrib";#N/A,#N/A,FALSE,"profile";#N/A,#N/A,FALSE,"comps"}</definedName>
    <definedName name="wrn.BRIDGE._.REPORTS." localSheetId="8" hidden="1">{"ENLARGED",#N/A,FALSE,"Bridge";"CALCULATIONS",#N/A,FALSE,"Bridge"}</definedName>
    <definedName name="wrn.BRIDGE._.REPORTS." hidden="1">{"ENLARGED",#N/A,FALSE,"Bridge";"CALCULATIONS",#N/A,FALSE,"Bridge"}</definedName>
    <definedName name="wrn.BROCHURE." localSheetId="8" hidden="1">{"ACT",#N/A,FALSE,"Q3Elec P&amp;L fy 99  ";"BUD",#N/A,FALSE,"Q3Elec P&amp;L fy 99  ";"PRIOR",#N/A,FALSE,"Q3Elec P&amp;L fy 99  "}</definedName>
    <definedName name="wrn.BROCHURE." hidden="1">{"ACT",#N/A,FALSE,"Q3Elec P&amp;L fy 99  ";"BUD",#N/A,FALSE,"Q3Elec P&amp;L fy 99  ";"PRIOR",#N/A,FALSE,"Q3Elec P&amp;L fy 99  "}</definedName>
    <definedName name="wrn.BROCHYTD." localSheetId="8" hidden="1">{"YTDACT",#N/A,FALSE,"YTD Cum";"YTDBUD",#N/A,FALSE,"YTD Cum";"YTDPRIOR",#N/A,FALSE,"YTD Cum"}</definedName>
    <definedName name="wrn.BROCHYTD." hidden="1">{"YTDACT",#N/A,FALSE,"YTD Cum";"YTDBUD",#N/A,FALSE,"YTD Cum";"YTDPRIOR",#N/A,FALSE,"YTD Cum"}</definedName>
    <definedName name="wrn.BRS._.Fin._.Stmt." localSheetId="8" hidden="1">{"BRS I/S",#N/A,TRUE,"BRS";"BRS C/F",#N/A,TRUE,"BRS";"BRS B/S",#N/A,TRUE,"BRS"}</definedName>
    <definedName name="wrn.BRS._.Fin._.Stmt." hidden="1">{"BRS I/S",#N/A,TRUE,"BRS";"BRS C/F",#N/A,TRUE,"BRS";"BRS B/S",#N/A,TRUE,"BRS"}</definedName>
    <definedName name="wrn.BS." localSheetId="8" hidden="1">{"AS",#N/A,FALSE,"Dec_BS";"LIAB",#N/A,FALSE,"Dec_BS"}</definedName>
    <definedName name="wrn.BS." hidden="1">{"AS",#N/A,FALSE,"Dec_BS";"LIAB",#N/A,FALSE,"Dec_BS"}</definedName>
    <definedName name="wrn.bsall." localSheetId="8" hidden="1">{"pg1",#N/A,FALSE,"BSALLNOW.XLS";"pg2",#N/A,FALSE,"BSALLNOW.XLS";"pg3",#N/A,FALSE,"BSALLNOW.XLS"}</definedName>
    <definedName name="wrn.bsall." hidden="1">{"pg1",#N/A,FALSE,"BSALLNOW.XLS";"pg2",#N/A,FALSE,"BSALLNOW.XLS";"pg3",#N/A,FALSE,"BSALLNOW.XLS"}</definedName>
    <definedName name="wrn.BSCOMIT." localSheetId="8" hidden="1">{#N/A,#N/A,FALSE,"bs_cons";#N/A,#N/A,FALSE,"bs_grup";#N/A,#N/A,FALSE,"bs_umpl";#N/A,#N/A,FALSE,"bs_bim";#N/A,#N/A,FALSE,"bs_bdb";#N/A,#N/A,FALSE,"bs_mq32";#N/A,#N/A,FALSE,"bs_bsrl"}</definedName>
    <definedName name="wrn.BSCOMIT." hidden="1">{#N/A,#N/A,FALSE,"bs_cons";#N/A,#N/A,FALSE,"bs_grup";#N/A,#N/A,FALSE,"bs_umpl";#N/A,#N/A,FALSE,"bs_bim";#N/A,#N/A,FALSE,"bs_bdb";#N/A,#N/A,FALSE,"bs_mq32";#N/A,#N/A,FALSE,"bs_bsrl"}</definedName>
    <definedName name="wrn.BSCOMIT._1" localSheetId="8" hidden="1">{#N/A,#N/A,FALSE,"bs_cons";#N/A,#N/A,FALSE,"bs_grup";#N/A,#N/A,FALSE,"bs_umpl";#N/A,#N/A,FALSE,"bs_bim";#N/A,#N/A,FALSE,"bs_bdb";#N/A,#N/A,FALSE,"bs_mq32";#N/A,#N/A,FALSE,"bs_bsrl"}</definedName>
    <definedName name="wrn.BSCOMIT._1" hidden="1">{#N/A,#N/A,FALSE,"bs_cons";#N/A,#N/A,FALSE,"bs_grup";#N/A,#N/A,FALSE,"bs_umpl";#N/A,#N/A,FALSE,"bs_bim";#N/A,#N/A,FALSE,"bs_bdb";#N/A,#N/A,FALSE,"bs_mq32";#N/A,#N/A,FALSE,"bs_bsrl"}</definedName>
    <definedName name="wrn.BSPL." localSheetId="8" hidden="1">{"BS",#N/A,FALSE,"Accounts2002 New";"PL",#N/A,FALSE,"Accounts2002 New"}</definedName>
    <definedName name="wrn.BSPL." hidden="1">{"BS",#N/A,FALSE,"Accounts2002 New";"PL",#N/A,FALSE,"Accounts2002 New"}</definedName>
    <definedName name="wrn.bud." localSheetId="8" hidden="1">{#N/A,#N/A,FALSE,"BudRec";#N/A,#N/A,FALSE,"P&amp;L";#N/A,#N/A,FALSE,"Net Assets";#N/A,#N/A,FALSE,"Cash Flow";#N/A,#N/A,FALSE,"Supplementary";#N/A,#N/A,FALSE,"Fixed assets";#N/A,#N/A,FALSE,"Capex 1";#N/A,#N/A,FALSE,"Capex 2";#N/A,#N/A,FALSE,"Sales,direct mat";#N/A,#N/A,FALSE,"Variables";#N/A,#N/A,FALSE,"Overheads";#N/A,#N/A,FALSE,"P&amp;L % of sales"}</definedName>
    <definedName name="wrn.bud." hidden="1">{#N/A,#N/A,FALSE,"BudRec";#N/A,#N/A,FALSE,"P&amp;L";#N/A,#N/A,FALSE,"Net Assets";#N/A,#N/A,FALSE,"Cash Flow";#N/A,#N/A,FALSE,"Supplementary";#N/A,#N/A,FALSE,"Fixed assets";#N/A,#N/A,FALSE,"Capex 1";#N/A,#N/A,FALSE,"Capex 2";#N/A,#N/A,FALSE,"Sales,direct mat";#N/A,#N/A,FALSE,"Variables";#N/A,#N/A,FALSE,"Overheads";#N/A,#N/A,FALSE,"P&amp;L % of sales"}</definedName>
    <definedName name="wrn.bud._1" localSheetId="8" hidden="1">{#N/A,#N/A,FALSE,"BudRec";#N/A,#N/A,FALSE,"P&amp;L";#N/A,#N/A,FALSE,"Net Assets";#N/A,#N/A,FALSE,"Cash Flow";#N/A,#N/A,FALSE,"Supplementary";#N/A,#N/A,FALSE,"Fixed assets";#N/A,#N/A,FALSE,"Capex 1";#N/A,#N/A,FALSE,"Capex 2";#N/A,#N/A,FALSE,"Sales,direct mat";#N/A,#N/A,FALSE,"Variables";#N/A,#N/A,FALSE,"Overheads";#N/A,#N/A,FALSE,"P&amp;L % of sales"}</definedName>
    <definedName name="wrn.bud._1" hidden="1">{#N/A,#N/A,FALSE,"BudRec";#N/A,#N/A,FALSE,"P&amp;L";#N/A,#N/A,FALSE,"Net Assets";#N/A,#N/A,FALSE,"Cash Flow";#N/A,#N/A,FALSE,"Supplementary";#N/A,#N/A,FALSE,"Fixed assets";#N/A,#N/A,FALSE,"Capex 1";#N/A,#N/A,FALSE,"Capex 2";#N/A,#N/A,FALSE,"Sales,direct mat";#N/A,#N/A,FALSE,"Variables";#N/A,#N/A,FALSE,"Overheads";#N/A,#N/A,FALSE,"P&amp;L % of sales"}</definedName>
    <definedName name="wrn.Budget." localSheetId="8" hidden="1">{"Cumm_TH",#N/A,FALSE,"IS";"BS_TH",#N/A,FALSE,"98_B_BS";"Cumm_TH",#N/A,FALSE,"98_B_CF"}</definedName>
    <definedName name="wrn.Budget." hidden="1">{"Cumm_TH",#N/A,FALSE,"IS";"BS_TH",#N/A,FALSE,"98_B_BS";"Cumm_TH",#N/A,FALSE,"98_B_CF"}</definedName>
    <definedName name="wrn.budget._.balance._.sheet." localSheetId="7" hidden="1">{"bugdet992000 balance sheet",#N/A,FALSE,"Celtel alternative 6"}</definedName>
    <definedName name="wrn.budget._.balance._.sheet." localSheetId="8" hidden="1">{"bugdet992000 balance sheet",#N/A,FALSE,"Celtel alternative 6"}</definedName>
    <definedName name="wrn.budget._.balance._.sheet." hidden="1">{"bugdet992000 balance sheet",#N/A,FALSE,"Celtel alternative 6"}</definedName>
    <definedName name="wrn.budget._.capex." localSheetId="7" hidden="1">{"budget992000 capex",#N/A,FALSE,"Celtel alternative 6"}</definedName>
    <definedName name="wrn.budget._.capex." localSheetId="8" hidden="1">{"budget992000 capex",#N/A,FALSE,"Celtel alternative 6"}</definedName>
    <definedName name="wrn.budget._.capex." hidden="1">{"budget992000 capex",#N/A,FALSE,"Celtel alternative 6"}</definedName>
    <definedName name="wrn.budget._.customers." localSheetId="7" hidden="1">{"budget992000_customers",#N/A,FALSE,"Celtel alternative 6"}</definedName>
    <definedName name="wrn.budget._.customers." localSheetId="8" hidden="1">{"budget992000_customers",#N/A,FALSE,"Celtel alternative 6"}</definedName>
    <definedName name="wrn.budget._.customers." hidden="1">{"budget992000_customers",#N/A,FALSE,"Celtel alternative 6"}</definedName>
    <definedName name="wrn.Budget._.Pack." localSheetId="8" hidden="1">{#N/A,#N/A,FALSE,"Sum";#N/A,#N/A,FALSE,"P&amp;L";#N/A,#N/A,FALSE,"SAP";#N/A,#N/A,FALSE,"Strap";#N/A,#N/A,FALSE,"B-S";#N/A,#N/A,FALSE,"C-F";#N/A,#N/A,FALSE,"MAT"}</definedName>
    <definedName name="wrn.Budget._.Pack." hidden="1">{#N/A,#N/A,FALSE,"Sum";#N/A,#N/A,FALSE,"P&amp;L";#N/A,#N/A,FALSE,"SAP";#N/A,#N/A,FALSE,"Strap";#N/A,#N/A,FALSE,"B-S";#N/A,#N/A,FALSE,"C-F";#N/A,#N/A,FALSE,"MAT"}</definedName>
    <definedName name="wrn.budget._.profit._.and._.loss." localSheetId="7" hidden="1">{"budget992000 profit and loss",#N/A,FALSE,"Celtel alternative 6"}</definedName>
    <definedName name="wrn.budget._.profit._.and._.loss." localSheetId="8" hidden="1">{"budget992000 profit and loss",#N/A,FALSE,"Celtel alternative 6"}</definedName>
    <definedName name="wrn.budget._.profit._.and._.loss." hidden="1">{"budget992000 profit and loss",#N/A,FALSE,"Celtel alternative 6"}</definedName>
    <definedName name="wrn.budget._.tariffs._.and._.usage." localSheetId="7" hidden="1">{"budget992000 tariff and usage",#N/A,FALSE,"Celtel alternative 6"}</definedName>
    <definedName name="wrn.budget._.tariffs._.and._.usage." localSheetId="8" hidden="1">{"budget992000 tariff and usage",#N/A,FALSE,"Celtel alternative 6"}</definedName>
    <definedName name="wrn.budget._.tariffs._.and._.usage." hidden="1">{"budget992000 tariff and usage",#N/A,FALSE,"Celtel alternative 6"}</definedName>
    <definedName name="wrn.Budget._.to._.July._.2000." localSheetId="8" hidden="1">{"P&amp;L",#N/A,TRUE,"P&amp;L";"Balance Sheet",#N/A,TRUE,"BALSHEET";"Cashflow",#N/A,TRUE,"CASH FLOW"}</definedName>
    <definedName name="wrn.Budget._.to._.July._.2000." hidden="1">{"P&amp;L",#N/A,TRUE,"P&amp;L";"Balance Sheet",#N/A,TRUE,"BALSHEET";"Cashflow",#N/A,TRUE,"CASH FLOW"}</definedName>
    <definedName name="wrn.BUDGET97." localSheetId="8" hidden="1">{"FIXVARIANCE",#N/A,FALSE,"COSTPHSE";"SOURCING",#N/A,FALSE,"COSTPHSE"}</definedName>
    <definedName name="wrn.BUDGET97." hidden="1">{"FIXVARIANCE",#N/A,FALSE,"COSTPHSE";"SOURCING",#N/A,FALSE,"COSTPHSE"}</definedName>
    <definedName name="wrn.Buildups." localSheetId="8" hidden="1">{"ACQ",#N/A,FALSE,"ACQUISITIONS";"ACQF",#N/A,FALSE,"ACQUISITIONS";"PF",#N/A,FALSE,"PROYECTOVILA";"PV",#N/A,FALSE,"PROYECTOVILA";"Fee Dev",#N/A,FALSE,"DEVELOPMENT GROWTH";"gd",#N/A,FALSE,"DEVELOPMENT GROWTH"}</definedName>
    <definedName name="wrn.Buildups." hidden="1">{"ACQ",#N/A,FALSE,"ACQUISITIONS";"ACQF",#N/A,FALSE,"ACQUISITIONS";"PF",#N/A,FALSE,"PROYECTOVILA";"PV",#N/A,FALSE,"PROYECTOVILA";"Fee Dev",#N/A,FALSE,"DEVELOPMENT GROWTH";"gd",#N/A,FALSE,"DEVELOPMENT GROWTH"}</definedName>
    <definedName name="wrn.Buildups._1" localSheetId="8" hidden="1">{"ACQ",#N/A,FALSE,"ACQUISITIONS";"ACQF",#N/A,FALSE,"ACQUISITIONS";"PF",#N/A,FALSE,"PROYECTOVILA";"PV",#N/A,FALSE,"PROYECTOVILA";"Fee Dev",#N/A,FALSE,"DEVELOPMENT GROWTH";"gd",#N/A,FALSE,"DEVELOPMENT GROWTH"}</definedName>
    <definedName name="wrn.Buildups._1" hidden="1">{"ACQ",#N/A,FALSE,"ACQUISITIONS";"ACQF",#N/A,FALSE,"ACQUISITIONS";"PF",#N/A,FALSE,"PROYECTOVILA";"PV",#N/A,FALSE,"PROYECTOVILA";"Fee Dev",#N/A,FALSE,"DEVELOPMENT GROWTH";"gd",#N/A,FALSE,"DEVELOPMENT GROWTH"}</definedName>
    <definedName name="wrn.Business._.Plan." localSheetId="8" hidden="1">{#N/A,#N/A,TRUE,"Cover sheet";#N/A,#N/A,TRUE,"F.S.";#N/A,#N/A,TRUE,"Microeconomics";#N/A,#N/A,TRUE,"Microeconomics 2";#N/A,#N/A,TRUE,"Revenues";#N/A,#N/A,TRUE,"COS-supporting";#N/A,#N/A,TRUE,"COS";#N/A,#N/A,TRUE,"Other costs-supporting";#N/A,#N/A,TRUE,"Other costs";#N/A,#N/A,TRUE,"Other income&amp;expense";#N/A,#N/A,TRUE,"Capital ex.";#N/A,#N/A,TRUE,"Financing";#N/A,#N/A,TRUE,"Equity";#N/A,#N/A,TRUE,"Corporate taxation";#N/A,#N/A,TRUE,"current A.&amp;L."}</definedName>
    <definedName name="wrn.Business._.Plan." hidden="1">{#N/A,#N/A,TRUE,"Cover sheet";#N/A,#N/A,TRUE,"F.S.";#N/A,#N/A,TRUE,"Microeconomics";#N/A,#N/A,TRUE,"Microeconomics 2";#N/A,#N/A,TRUE,"Revenues";#N/A,#N/A,TRUE,"COS-supporting";#N/A,#N/A,TRUE,"COS";#N/A,#N/A,TRUE,"Other costs-supporting";#N/A,#N/A,TRUE,"Other costs";#N/A,#N/A,TRUE,"Other income&amp;expense";#N/A,#N/A,TRUE,"Capital ex.";#N/A,#N/A,TRUE,"Financing";#N/A,#N/A,TRUE,"Equity";#N/A,#N/A,TRUE,"Corporate taxation";#N/A,#N/A,TRUE,"current A.&amp;L."}</definedName>
    <definedName name="wrn.Business._.Plan._1" localSheetId="8" hidden="1">{#N/A,#N/A,TRUE,"Cover sheet";#N/A,#N/A,TRUE,"F.S.";#N/A,#N/A,TRUE,"Microeconomics";#N/A,#N/A,TRUE,"Microeconomics 2";#N/A,#N/A,TRUE,"Revenues";#N/A,#N/A,TRUE,"COS-supporting";#N/A,#N/A,TRUE,"COS";#N/A,#N/A,TRUE,"Other costs-supporting";#N/A,#N/A,TRUE,"Other costs";#N/A,#N/A,TRUE,"Other income&amp;expense";#N/A,#N/A,TRUE,"Capital ex.";#N/A,#N/A,TRUE,"Financing";#N/A,#N/A,TRUE,"Equity";#N/A,#N/A,TRUE,"Corporate taxation";#N/A,#N/A,TRUE,"current A.&amp;L."}</definedName>
    <definedName name="wrn.Business._.Plan._1" hidden="1">{#N/A,#N/A,TRUE,"Cover sheet";#N/A,#N/A,TRUE,"F.S.";#N/A,#N/A,TRUE,"Microeconomics";#N/A,#N/A,TRUE,"Microeconomics 2";#N/A,#N/A,TRUE,"Revenues";#N/A,#N/A,TRUE,"COS-supporting";#N/A,#N/A,TRUE,"COS";#N/A,#N/A,TRUE,"Other costs-supporting";#N/A,#N/A,TRUE,"Other costs";#N/A,#N/A,TRUE,"Other income&amp;expense";#N/A,#N/A,TRUE,"Capital ex.";#N/A,#N/A,TRUE,"Financing";#N/A,#N/A,TRUE,"Equity";#N/A,#N/A,TRUE,"Corporate taxation";#N/A,#N/A,TRUE,"current A.&amp;L."}</definedName>
    <definedName name="wrn.Businessreportvolledig." localSheetId="8" hidden="1">{#N/A,#N/A,TRUE,"A-Voorblad";#N/A,#N/A,TRUE,"Table of content";#N/A,#N/A,TRUE,"A1-Summ- Key Indic";#N/A,#N/A,TRUE,"CEO comment";#N/A,#N/A,TRUE,"strategicObjectives";#N/A,#N/A,TRUE,"A3 Financialschutblad";#N/A,#N/A,TRUE,"3.1 Telf Consolidate";#N/A,#N/A,TRUE,"3.2 KPI per unit";#N/A,#N/A,TRUE,"A3 Cashflow statement";#N/A,#N/A,TRUE,"A3 Capex";#N/A,#N/A,TRUE,"Schutblad Customers 4";#N/A,#N/A,TRUE,"A4 KPI's Customers";#N/A,#N/A,TRUE,"Sum sales orders";#N/A,#N/A,TRUE,"Schutblad Processes 5";#N/A,#N/A,TRUE,"A5 KPI's Processes";#N/A,#N/A,TRUE,"Schutblad inn. &amp; Learning 6";#N/A,#N/A,TRUE,"A6 KPI's Inn. &amp; learn."}</definedName>
    <definedName name="wrn.Businessreportvolledig." hidden="1">{#N/A,#N/A,TRUE,"A-Voorblad";#N/A,#N/A,TRUE,"Table of content";#N/A,#N/A,TRUE,"A1-Summ- Key Indic";#N/A,#N/A,TRUE,"CEO comment";#N/A,#N/A,TRUE,"strategicObjectives";#N/A,#N/A,TRUE,"A3 Financialschutblad";#N/A,#N/A,TRUE,"3.1 Telf Consolidate";#N/A,#N/A,TRUE,"3.2 KPI per unit";#N/A,#N/A,TRUE,"A3 Cashflow statement";#N/A,#N/A,TRUE,"A3 Capex";#N/A,#N/A,TRUE,"Schutblad Customers 4";#N/A,#N/A,TRUE,"A4 KPI's Customers";#N/A,#N/A,TRUE,"Sum sales orders";#N/A,#N/A,TRUE,"Schutblad Processes 5";#N/A,#N/A,TRUE,"A5 KPI's Processes";#N/A,#N/A,TRUE,"Schutblad inn. &amp; Learning 6";#N/A,#N/A,TRUE,"A6 KPI's Inn. &amp; learn."}</definedName>
    <definedName name="wrn.c" hidden="1">{"p&amp;lSUM",#N/A,FALSE,"P&amp;L";"DETAIL",#N/A,FALSE,"P&amp;L";"% revenue",#N/A,FALSE,"P&amp;L";"% growth",#N/A,FALSE,"P&amp;L";"summary",#N/A,FALSE,"Summary";"chart",#N/A,FALSE,"Summary"}</definedName>
    <definedName name="wrn.c.._.PK._.Finance." localSheetId="8" hidden="1">{"A3-DivDirNWW_ClosedView",#N/A,FALSE,"A3-DivDirNWW";#N/A,#N/A,FALSE,"A4-DivDirNWW";#N/A,#N/A,FALSE,"B1-Co&amp;RegSum";#N/A,#N/A,FALSE,"C5-NWWRegView";#N/A,#N/A,FALSE,"H2-DivDirs2";#N/A,#N/A,FALSE,"C4-NorPro"}</definedName>
    <definedName name="wrn.c.._.PK._.Finance." hidden="1">{"A3-DivDirNWW_ClosedView",#N/A,FALSE,"A3-DivDirNWW";#N/A,#N/A,FALSE,"A4-DivDirNWW";#N/A,#N/A,FALSE,"B1-Co&amp;RegSum";#N/A,#N/A,FALSE,"C5-NWWRegView";#N/A,#N/A,FALSE,"H2-DivDirs2";#N/A,#N/A,FALSE,"C4-NorPro"}</definedName>
    <definedName name="wrn.C._.15." localSheetId="8" hidden="1">{#N/A,#N/A,FALSE,"RESUMO";#N/A,#N/A,FALSE,"DISTRIB";#N/A,#N/A,FALSE,"CB";#N/A,#N/A,FALSE,"FERTCUB";#N/A,#N/A,FALSE,"FERTCAT";#N/A,#N/A,FALSE,"TRADE";#N/A,#N/A,FALSE,"DISTSELGA"}</definedName>
    <definedName name="wrn.C._.15." hidden="1">{#N/A,#N/A,FALSE,"RESUMO";#N/A,#N/A,FALSE,"DISTRIB";#N/A,#N/A,FALSE,"CB";#N/A,#N/A,FALSE,"FERTCUB";#N/A,#N/A,FALSE,"FERTCAT";#N/A,#N/A,FALSE,"TRADE";#N/A,#N/A,FALSE,"DISTSELGA"}</definedName>
    <definedName name="wrn.Calculos." hidden="1">{#N/A,#N/A,FALSE,"Pliego";#N/A,#N/A,FALSE,"Coeficientes";#N/A,#N/A,FALSE,"Cond. Diseño";#N/A,#N/A,FALSE,"Reactor Cullera";#N/A,#N/A,FALSE,"Tres fases";#N/A,#N/A,FALSE,"Dos fases";#N/A,#N/A,FALSE,"Resumen";#N/A,#N/A,FALSE,"Fosforo";#N/A,#N/A,FALSE,"Recirculacion";#N/A,#N/A,FALSE,"Exceso fango";#N/A,#N/A,FALSE,"Decantador";#N/A,#N/A,FALSE,"Desinfeccion";#N/A,#N/A,FALSE,"Recir. int."}</definedName>
    <definedName name="wrn.Calgary._.Balance._.Sheet." localSheetId="8" hidden="1">{"Bal Sheet",#N/A,FALSE,"101 - Calgary Corporate Office"}</definedName>
    <definedName name="wrn.Calgary._.Balance._.Sheet." hidden="1">{"Bal Sheet",#N/A,FALSE,"101 - Calgary Corporate Office"}</definedName>
    <definedName name="wrn.Calgary._.BS._.and._.CF." localSheetId="8" hidden="1">{"Bal Sheet",#N/A,FALSE,"101 - Calgary Corporate Office";"Cash Flow",#N/A,FALSE,"101 - Calgary Corporate Office"}</definedName>
    <definedName name="wrn.Calgary._.BS._.and._.CF." hidden="1">{"Bal Sheet",#N/A,FALSE,"101 - Calgary Corporate Office";"Cash Flow",#N/A,FALSE,"101 - Calgary Corporate Office"}</definedName>
    <definedName name="wrn.Calgary._.Cash._.Flows." localSheetId="8" hidden="1">{"Cash Flow",#N/A,FALSE,"101 - Calgary Corporate Office"}</definedName>
    <definedName name="wrn.Calgary._.Cash._.Flows." hidden="1">{"Cash Flow",#N/A,FALSE,"101 - Calgary Corporate Office"}</definedName>
    <definedName name="wrn.cambi." localSheetId="8" hidden="1">{#N/A,#N/A,FALSE,"P&amp;L Ita"}</definedName>
    <definedName name="wrn.cambi." hidden="1">{#N/A,#N/A,FALSE,"P&amp;L Ita"}</definedName>
    <definedName name="wrn.cambi._1" localSheetId="8" hidden="1">{#N/A,#N/A,FALSE,"P&amp;L Ita"}</definedName>
    <definedName name="wrn.cambi._1" hidden="1">{#N/A,#N/A,FALSE,"P&amp;L Ita"}</definedName>
    <definedName name="wrn.Canada._.BS._.and._.CF." localSheetId="8" hidden="1">{"Balance Sheet",#N/A,FALSE,"Canada Consolidation";"Cash Flows",#N/A,FALSE,"Canada Consolidation"}</definedName>
    <definedName name="wrn.Canada._.BS._.and._.CF." hidden="1">{"Balance Sheet",#N/A,FALSE,"Canada Consolidation";"Cash Flows",#N/A,FALSE,"Canada Consolidation"}</definedName>
    <definedName name="wrn.Capital." localSheetId="8" hidden="1">{"CapitalInput",#N/A,FALSE,"Equipt Input";"Capital Profile",#N/A,FALSE,"Equipt Input"}</definedName>
    <definedName name="wrn.Capital." hidden="1">{"CapitalInput",#N/A,FALSE,"Equipt Input";"Capital Profile",#N/A,FALSE,"Equipt Input"}</definedName>
    <definedName name="wrn.Capital._.Dispositions." localSheetId="8" hidden="1">{"CHART2",#N/A,FALSE,"D2"}</definedName>
    <definedName name="wrn.Capital._.Dispositions." hidden="1">{"CHART2",#N/A,FALSE,"D2"}</definedName>
    <definedName name="wrn.Capital._.Gain." localSheetId="8" hidden="1">{"CHART1",#N/A,FALSE,"D2"}</definedName>
    <definedName name="wrn.Capital._.Gain." hidden="1">{"CHART1",#N/A,FALSE,"D2"}</definedName>
    <definedName name="wrn.CAPITAL._.TODO." localSheetId="8" hidden="1">{"CAP VOL",#N/A,FALSE,"CAPITAL";"CAP VAR",#N/A,FALSE,"CAPITAL";"CAP FIJ",#N/A,FALSE,"CAPITAL";"CAP CONS",#N/A,FALSE,"CAPITAL";"CAP DATA",#N/A,FALSE,"CAPITAL"}</definedName>
    <definedName name="wrn.CAPITAL._.TODO." hidden="1">{"CAP VOL",#N/A,FALSE,"CAPITAL";"CAP VAR",#N/A,FALSE,"CAPITAL";"CAP FIJ",#N/A,FALSE,"CAPITAL";"CAP CONS",#N/A,FALSE,"CAPITAL";"CAP DATA",#N/A,FALSE,"CAPITAL"}</definedName>
    <definedName name="wrn.CAPITAL._.TODO._1" localSheetId="8" hidden="1">{"CAP VOL",#N/A,FALSE,"CAPITAL";"CAP VAR",#N/A,FALSE,"CAPITAL";"CAP FIJ",#N/A,FALSE,"CAPITAL";"CAP CONS",#N/A,FALSE,"CAPITAL";"CAP DATA",#N/A,FALSE,"CAPITAL"}</definedName>
    <definedName name="wrn.CAPITAL._.TODO._1" hidden="1">{"CAP VOL",#N/A,FALSE,"CAPITAL";"CAP VAR",#N/A,FALSE,"CAPITAL";"CAP FIJ",#N/A,FALSE,"CAPITAL";"CAP CONS",#N/A,FALSE,"CAPITAL";"CAP DATA",#N/A,FALSE,"CAPITAL"}</definedName>
    <definedName name="wrn.Cardiovasculars." localSheetId="7" hidden="1">{#N/A,#N/A,FALSE,"Card";#N/A,#N/A,FALSE,"Prav";#N/A,#N/A,FALSE,"Irbe";#N/A,#N/A,FALSE,"Plavix";#N/A,#N/A,FALSE,"Capt";#N/A,#N/A,FALSE,"Fosi"}</definedName>
    <definedName name="wrn.Cardiovasculars." localSheetId="8" hidden="1">{#N/A,#N/A,FALSE,"Card";#N/A,#N/A,FALSE,"Prav";#N/A,#N/A,FALSE,"Irbe";#N/A,#N/A,FALSE,"Plavix";#N/A,#N/A,FALSE,"Capt";#N/A,#N/A,FALSE,"Fosi"}</definedName>
    <definedName name="wrn.Cardiovasculars." hidden="1">{#N/A,#N/A,FALSE,"Card";#N/A,#N/A,FALSE,"Prav";#N/A,#N/A,FALSE,"Irbe";#N/A,#N/A,FALSE,"Plavix";#N/A,#N/A,FALSE,"Capt";#N/A,#N/A,FALSE,"Fosi"}</definedName>
    <definedName name="wrn.Carrefour._.Worse._.Case." hidden="1">{#N/A,#N/A,TRUE,"DIVIDER PAGE";#N/A,#N/A,TRUE,"Exist + Reg A IS";#N/A,#N/A,TRUE,"Summary IS exc. B";#N/A,#N/A,TRUE,"New Stores";#N/A,#N/A,TRUE,"Existing DCF";#N/A,#N/A,TRUE,"Region A DCF";#N/A,#N/A,TRUE,"Existing + Reg. A DCF"}</definedName>
    <definedName name="wrn.Carrefour._.Worse._.Case._Split" hidden="1">{#N/A,#N/A,TRUE,"DIVIDER PAGE";#N/A,#N/A,TRUE,"Exist + Reg A IS";#N/A,#N/A,TRUE,"Summary IS exc. B";#N/A,#N/A,TRUE,"New Stores";#N/A,#N/A,TRUE,"Existing DCF";#N/A,#N/A,TRUE,"Region A DCF";#N/A,#N/A,TRUE,"Existing + Reg. A DCF"}</definedName>
    <definedName name="wrn.cash." localSheetId="8" hidden="1">{"assumption cash",#N/A,TRUE,"Merger";"has gets cash",#N/A,TRUE,"Merger";"accretion dilution",#N/A,TRUE,"Merger";"comparison credit stats",#N/A,TRUE,"Merger";"pf credit stats",#N/A,TRUE,"Merger";"pf sheets",#N/A,TRUE,"Merger"}</definedName>
    <definedName name="wrn.cash." hidden="1">{"assumption cash",#N/A,TRUE,"Merger";"has gets cash",#N/A,TRUE,"Merger";"accretion dilution",#N/A,TRUE,"Merger";"comparison credit stats",#N/A,TRUE,"Merger";"pf credit stats",#N/A,TRUE,"Merger";"pf sheets",#N/A,TRUE,"Merger"}</definedName>
    <definedName name="wrn.Cash._.Flow." localSheetId="7" hidden="1">{#N/A,#N/A,FALSE,"Património"}</definedName>
    <definedName name="wrn.Cash._.Flow." localSheetId="8" hidden="1">{#N/A,#N/A,FALSE,"Layout Cash Flow"}</definedName>
    <definedName name="wrn.Cash._.Flow." hidden="1">{#N/A,#N/A,FALSE,"Património"}</definedName>
    <definedName name="wrn.Cash._.Flow._.statement." localSheetId="8" hidden="1">{#N/A,#N/A,TRUE,"Cash Flow Statement"}</definedName>
    <definedName name="wrn.Cash._.Flow._.statement." hidden="1">{#N/A,#N/A,TRUE,"Cash Flow Statement"}</definedName>
    <definedName name="wrn.Cash._.Flow.2" localSheetId="8" hidden="1">{#N/A,#N/A,FALSE,"Património"}</definedName>
    <definedName name="wrn.Cash._.Flow.2" hidden="1">{#N/A,#N/A,FALSE,"Património"}</definedName>
    <definedName name="wrn.Cash._.Flow2" localSheetId="8" hidden="1">{#N/A,#N/A,FALSE,"Património"}</definedName>
    <definedName name="wrn.Cash._.Flow2" hidden="1">{#N/A,#N/A,FALSE,"Património"}</definedName>
    <definedName name="wrn.Cash._.Plan." localSheetId="7" hidden="1">{"cash plan",#N/A,FALSE,"fccashflow"}</definedName>
    <definedName name="wrn.Cash._.Plan." localSheetId="8" hidden="1">{"cash plan",#N/A,FALSE,"fccashflow"}</definedName>
    <definedName name="wrn.Cash._.Plan." hidden="1">{"cash plan",#N/A,FALSE,"fccashflow"}</definedName>
    <definedName name="wrn.Cash._.V._.LY." localSheetId="8" hidden="1">{"cash",#N/A,FALSE,"Aerospace";"cash",#N/A,FALSE,"Engines";"cash",#N/A,FALSE,"AES";"cash",#N/A,FALSE,"ES";"cash",#N/A,FALSE,"CAS";"cash",#N/A,FALSE,"ATSC";"cash",#N/A,FALSE,"FMT";"cash",#N/A,FALSE,"Aero Other";"cash",#N/A,FALSE,"Judgement"}</definedName>
    <definedName name="wrn.Cash._.V._.LY." hidden="1">{"cash",#N/A,FALSE,"Aerospace";"cash",#N/A,FALSE,"Engines";"cash",#N/A,FALSE,"AES";"cash",#N/A,FALSE,"ES";"cash",#N/A,FALSE,"CAS";"cash",#N/A,FALSE,"ATSC";"cash",#N/A,FALSE,"FMT";"cash",#N/A,FALSE,"Aero Other";"cash",#N/A,FALSE,"Judgement"}</definedName>
    <definedName name="wrn.Cash._.V._.Prior." localSheetId="8" hidden="1">{"cash",#N/A,FALSE,"Aero V prior";"cash",#N/A,FALSE,"Eng V Prior";"cash",#N/A,FALSE,"AES V Prior";"cash",#N/A,FALSE,"ES V Prior";"cash",#N/A,FALSE,"CAS V Prior";"cash",#N/A,FALSE,"ATSC V Prior";"cash",#N/A,FALSE,"FMT V Prior";"cash",#N/A,FALSE,"Aero Other V Prior";"cash",#N/A,FALSE,"Judge V Prior"}</definedName>
    <definedName name="wrn.Cash._.V._.Prior." hidden="1">{"cash",#N/A,FALSE,"Aero V prior";"cash",#N/A,FALSE,"Eng V Prior";"cash",#N/A,FALSE,"AES V Prior";"cash",#N/A,FALSE,"ES V Prior";"cash",#N/A,FALSE,"CAS V Prior";"cash",#N/A,FALSE,"ATSC V Prior";"cash",#N/A,FALSE,"FMT V Prior";"cash",#N/A,FALSE,"Aero Other V Prior";"cash",#N/A,FALSE,"Judge V Prior"}</definedName>
    <definedName name="wrn.cash._1" localSheetId="8" hidden="1">{"assumption cash",#N/A,TRUE,"Merger";"has gets cash",#N/A,TRUE,"Merger";"accretion dilution",#N/A,TRUE,"Merger";"comparison credit stats",#N/A,TRUE,"Merger";"pf credit stats",#N/A,TRUE,"Merger";"pf sheets",#N/A,TRUE,"Merger"}</definedName>
    <definedName name="wrn.cash._1" hidden="1">{"assumption cash",#N/A,TRUE,"Merger";"has gets cash",#N/A,TRUE,"Merger";"accretion dilution",#N/A,TRUE,"Merger";"comparison credit stats",#N/A,TRUE,"Merger";"pf credit stats",#N/A,TRUE,"Merger";"pf sheets",#N/A,TRUE,"Merger"}</definedName>
    <definedName name="wrn.Cash_Dolares." hidden="1">{"Dolares",#N/A,FALSE,"Total Compañia";"Dolares",#N/A,FALSE,"Petroquimicos";"Dolares",#N/A,FALSE,"Agroquimicos";"Dolares",#N/A,FALSE,"Domesticos";"Dolares",#N/A,FALSE,"Marketing";"Dolares",#N/A,FALSE,"Comercial";"Dolares",#N/A,FALSE,"Retail";"Dolares",#N/A,FALSE,"Lubricants";"Dolares",#N/A,FALSE,"Bitumen";"Dolares",#N/A,FALSE,"Others";"Dolares",#N/A,FALSE,"Fuels";"Dolares",#N/A,FALSE,"Fuels - R";"Dolares",#N/A,FALSE,"Lubricants - R";"Dolares",#N/A,FALSE,"NFR - R"}</definedName>
    <definedName name="wrn.Cash_Pesos." hidden="1">{"Pesos",#N/A,FALSE,"Total Compañia";"Pesos",#N/A,FALSE,"Petroquimicos";"Pesos",#N/A,FALSE,"Agroquimicos";"Pesos",#N/A,FALSE,"Domesticos";"Pesos",#N/A,FALSE,"Marketing";"Pesos",#N/A,FALSE,"Comercial";"Pesos",#N/A,FALSE,"Retail";"Pesos",#N/A,FALSE,"Lubricants";"Pesos",#N/A,FALSE,"Bitumen";"Pesos",#N/A,FALSE,"Others";"Pesos",#N/A,FALSE,"Fuels";"Pesos",#N/A,FALSE,"Fuels - R";"Pesos",#N/A,FALSE,"Lubricants - R";"Pesos",#N/A,FALSE,"NFR - R"}</definedName>
    <definedName name="wrn.CASO._.BASE." localSheetId="8" hidden="1">{"SCENARIOS",#N/A,FALSE,"Resumen de escenario";"INFORHIPOT",#N/A,FALSE,"hipotesis";"INFORA8",#N/A,FALSE,"A-8";"INFORSS",#N/A,FALSE,"SSUR";"SCENARIOS",#N/A,FALSE,"consolidado"}</definedName>
    <definedName name="wrn.CASO._.BASE." hidden="1">{"SCENARIOS",#N/A,FALSE,"Resumen de escenario";"INFORHIPOT",#N/A,FALSE,"hipotesis";"INFORA8",#N/A,FALSE,"A-8";"INFORSS",#N/A,FALSE,"SSUR";"SCENARIOS",#N/A,FALSE,"consolidado"}</definedName>
    <definedName name="wrn.CBUDBF." localSheetId="8" hidden="1">{#N/A,#N/A,FALSE,"HOT";#N/A,#N/A,FALSE,"EXT";#N/A,#N/A,FALSE,"COE";#N/A,#N/A,FALSE,"PRN";#N/A,#N/A,FALSE,"ALU";#N/A,#N/A,FALSE,"REC";#N/A,#N/A,FALSE,"PAK";#N/A,#N/A,FALSE,"SCHIAVI";#N/A,#N/A,FALSE,"TOTAL"}</definedName>
    <definedName name="wrn.CBUDBF." hidden="1">{#N/A,#N/A,FALSE,"HOT";#N/A,#N/A,FALSE,"EXT";#N/A,#N/A,FALSE,"COE";#N/A,#N/A,FALSE,"PRN";#N/A,#N/A,FALSE,"ALU";#N/A,#N/A,FALSE,"REC";#N/A,#N/A,FALSE,"PAK";#N/A,#N/A,FALSE,"SCHIAVI";#N/A,#N/A,FALSE,"TOTAL"}</definedName>
    <definedName name="wrn.CBUDBF._1" localSheetId="8" hidden="1">{#N/A,#N/A,FALSE,"HOT";#N/A,#N/A,FALSE,"EXT";#N/A,#N/A,FALSE,"COE";#N/A,#N/A,FALSE,"PRN";#N/A,#N/A,FALSE,"ALU";#N/A,#N/A,FALSE,"REC";#N/A,#N/A,FALSE,"PAK";#N/A,#N/A,FALSE,"SCHIAVI";#N/A,#N/A,FALSE,"TOTAL"}</definedName>
    <definedName name="wrn.CBUDBF._1" hidden="1">{#N/A,#N/A,FALSE,"HOT";#N/A,#N/A,FALSE,"EXT";#N/A,#N/A,FALSE,"COE";#N/A,#N/A,FALSE,"PRN";#N/A,#N/A,FALSE,"ALU";#N/A,#N/A,FALSE,"REC";#N/A,#N/A,FALSE,"PAK";#N/A,#N/A,FALSE,"SCHIAVI";#N/A,#N/A,FALSE,"TOTAL"}</definedName>
    <definedName name="wrn.CEA._.FY97." localSheetId="8" hidden="1">{"CEA FY97",#N/A,FALSE,"C.E.A. FY97"}</definedName>
    <definedName name="wrn.CEA._.FY97." hidden="1">{"CEA FY97",#N/A,FALSE,"C.E.A. FY97"}</definedName>
    <definedName name="wrn.CEC._.slides." localSheetId="8" hidden="1">{#N/A,#N/A,FALSE,"Cover";#N/A,#N/A,FALSE,"Initial comments";#N/A,#N/A,FALSE,"Trends";#N/A,#N/A,FALSE,"marker1";#N/A,#N/A,FALSE,"Group Spending";#N/A,#N/A,FALSE,"(un) Commited";#N/A,#N/A,FALSE,"delegations";#N/A,#N/A,FALSE,"marker2";#N/A,#N/A,FALSE,"marker3";#N/A,#N/A,FALSE,"Support request";#N/A,#N/A,FALSE,"Support trends";#N/A,#N/A,FALSE,"backup cover";#N/A,#N/A,FALSE,"Acquisitions";#N/A,#N/A,FALSE,"Vs May";#N/A,#N/A,FALSE,"marker4";"main view",#N/A,FALSE,"As Reported"}</definedName>
    <definedName name="wrn.CEC._.slides." hidden="1">{#N/A,#N/A,FALSE,"Cover";#N/A,#N/A,FALSE,"Initial comments";#N/A,#N/A,FALSE,"Trends";#N/A,#N/A,FALSE,"marker1";#N/A,#N/A,FALSE,"Group Spending";#N/A,#N/A,FALSE,"(un) Commited";#N/A,#N/A,FALSE,"delegations";#N/A,#N/A,FALSE,"marker2";#N/A,#N/A,FALSE,"marker3";#N/A,#N/A,FALSE,"Support request";#N/A,#N/A,FALSE,"Support trends";#N/A,#N/A,FALSE,"backup cover";#N/A,#N/A,FALSE,"Acquisitions";#N/A,#N/A,FALSE,"Vs May";#N/A,#N/A,FALSE,"marker4";"main view",#N/A,FALSE,"As Reported"}</definedName>
    <definedName name="wrn.Central._.Nervous._.System." localSheetId="7" hidden="1">{#N/A,#N/A,FALSE,"CNS";#N/A,#N/A,FALSE,"Serz";#N/A,#N/A,FALSE,"Ace"}</definedName>
    <definedName name="wrn.Central._.Nervous._.System." localSheetId="8" hidden="1">{#N/A,#N/A,FALSE,"CNS";#N/A,#N/A,FALSE,"Serz";#N/A,#N/A,FALSE,"Ace"}</definedName>
    <definedName name="wrn.Central._.Nervous._.System." hidden="1">{#N/A,#N/A,FALSE,"CNS";#N/A,#N/A,FALSE,"Serz";#N/A,#N/A,FALSE,"Ace"}</definedName>
    <definedName name="wrn.CF._.Print." localSheetId="8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wrn.CF._.Print.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wrn.Chamonix." localSheetId="8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wrn.Chamonix.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wrn.Charts." hidden="1">{"Revenue chart",#N/A,FALSE,"Charts";"ExpenseChart",#N/A,FALSE,"Charts";"Netincomechart",#N/A,FALSE,"Charts"}</definedName>
    <definedName name="wrn.Chemicals." localSheetId="8" hidden="1">{"PnL",#N/A,FALSE,"Chem P&amp;L";"Responsibility",#N/A,FALSE,"Chem P&amp;L";"Cost Control",#N/A,FALSE,"Chem P&amp;L"}</definedName>
    <definedName name="wrn.Chemicals." hidden="1">{"PnL",#N/A,FALSE,"Chem P&amp;L";"Responsibility",#N/A,FALSE,"Chem P&amp;L";"Cost Control",#N/A,FALSE,"Chem P&amp;L"}</definedName>
    <definedName name="wrn.Cider." localSheetId="8" hidden="1">{#N/A,#N/A,FALSE,"Cider Segment";#N/A,#N/A,FALSE,"Bulmers";#N/A,#N/A,FALSE,"Ritz";#N/A,#N/A,FALSE,"Stag";#N/A,#N/A,FALSE,"Cider Others"}</definedName>
    <definedName name="wrn.Cider." hidden="1">{#N/A,#N/A,FALSE,"Cider Segment";#N/A,#N/A,FALSE,"Bulmers";#N/A,#N/A,FALSE,"Ritz";#N/A,#N/A,FALSE,"Stag";#N/A,#N/A,FALSE,"Cider Others"}</definedName>
    <definedName name="wrn.cisco2501." localSheetId="8" hidden="1">{"Profit",#N/A,FALSE,"cisco2501";"Capital",#N/A,FALSE,"cisco2501"}</definedName>
    <definedName name="wrn.cisco2501." hidden="1">{"Profit",#N/A,FALSE,"cisco2501";"Capital",#N/A,FALSE,"cisco2501"}</definedName>
    <definedName name="wrn.cisco2501a." localSheetId="8" hidden="1">{"Profit",#N/A,FALSE,"Cisco2501a";"Capital",#N/A,FALSE,"Cisco2501a"}</definedName>
    <definedName name="wrn.cisco2501a." hidden="1">{"Profit",#N/A,FALSE,"Cisco2501a";"Capital",#N/A,FALSE,"Cisco2501a"}</definedName>
    <definedName name="wrn.cisco2514." localSheetId="8" hidden="1">{"Profit",#N/A,FALSE,"Cisco2514";"Capital",#N/A,FALSE,"Cisco2514"}</definedName>
    <definedName name="wrn.cisco2514." hidden="1">{"Profit",#N/A,FALSE,"Cisco2514";"Capital",#N/A,FALSE,"Cisco2514"}</definedName>
    <definedName name="wrn.cisco4000." localSheetId="8" hidden="1">{"Profit",#N/A,FALSE,"4500(12)";"Capital",#N/A,FALSE,"4500(12)";"Profit",#N/A,FALSE,"Cisco4000";"Capital",#N/A,FALSE,"Cisco4000"}</definedName>
    <definedName name="wrn.cisco4000." hidden="1">{"Profit",#N/A,FALSE,"4500(12)";"Capital",#N/A,FALSE,"4500(12)";"Profit",#N/A,FALSE,"Cisco4000";"Capital",#N/A,FALSE,"Cisco4000"}</definedName>
    <definedName name="wrn.cisco4500." localSheetId="8" hidden="1">{"Profit",#N/A,FALSE,"Cisco4500";"Capital",#N/A,FALSE,"Cisco4500"}</definedName>
    <definedName name="wrn.cisco4500." hidden="1">{"Profit",#N/A,FALSE,"Cisco4500";"Capital",#N/A,FALSE,"Cisco4500"}</definedName>
    <definedName name="wrn.Cisco4500p." localSheetId="8" hidden="1">{"Profit",#N/A,FALSE,"Cisco 4500p";"Capital",#N/A,FALSE,"Cisco 4500p"}</definedName>
    <definedName name="wrn.Cisco4500p." hidden="1">{"Profit",#N/A,FALSE,"Cisco 4500p";"Capital",#N/A,FALSE,"Cisco 4500p"}</definedName>
    <definedName name="wrn.cisco7000a." localSheetId="8" hidden="1">{"Profit",#N/A,FALSE,"Cisco7000a";"Capital",#N/A,FALSE,"Cisco7000a"}</definedName>
    <definedName name="wrn.cisco7000a." hidden="1">{"Profit",#N/A,FALSE,"Cisco7000a";"Capital",#N/A,FALSE,"Cisco7000a"}</definedName>
    <definedName name="wrn.CiscoAGS." localSheetId="8" hidden="1">{"Profit",#N/A,FALSE,"ciscoags+";"Capital",#N/A,FALSE,"ciscoags+"}</definedName>
    <definedName name="wrn.CiscoAGS." hidden="1">{"Profit",#N/A,FALSE,"ciscoags+";"Capital",#N/A,FALSE,"ciscoags+"}</definedName>
    <definedName name="wrn.civil." localSheetId="8" hidden="1">{#N/A,#N/A,FALSE,"cover2";#N/A,#N/A,FALSE,"Civil Op Stat";#N/A,#N/A,FALSE,"Civil Presales";#N/A,#N/A,FALSE,"Civil &amp; Chief P1";#N/A,#N/A,FALSE,"Civil+Chief Orderbook"}</definedName>
    <definedName name="wrn.civil." hidden="1">{#N/A,#N/A,FALSE,"cover2";#N/A,#N/A,FALSE,"Civil Op Stat";#N/A,#N/A,FALSE,"Civil Presales";#N/A,#N/A,FALSE,"Civil &amp; Chief P1";#N/A,#N/A,FALSE,"Civil+Chief Orderbook"}</definedName>
    <definedName name="wrn.Claudius." localSheetId="8" hidden="1">{"Cotation",#N/A,TRUE,"Quotation"}</definedName>
    <definedName name="wrn.Claudius." hidden="1">{"Cotation",#N/A,TRUE,"Quotation"}</definedName>
    <definedName name="wrn.client." hidden="1">{"multiple",#N/A,FALSE,"client";"margins",#N/A,FALSE,"client";"data",#N/A,FALSE,"client"}</definedName>
    <definedName name="wrn.client._.cfbs." localSheetId="8" hidden="1">{"client cfbs",#N/A,FALSE,"Client"}</definedName>
    <definedName name="wrn.client._.cfbs." hidden="1">{"client cfbs",#N/A,FALSE,"Client"}</definedName>
    <definedName name="wrn.client._.is." localSheetId="8" hidden="1">{"client is",#N/A,FALSE,"Client"}</definedName>
    <definedName name="wrn.client._.is." hidden="1">{"client is",#N/A,FALSE,"Client"}</definedName>
    <definedName name="wrn.client._.stats." localSheetId="8" hidden="1">{"client stats",#N/A,FALSE,"Client"}</definedName>
    <definedName name="wrn.client._.stats." hidden="1">{"client stats",#N/A,FALSE,"Client"}</definedName>
    <definedName name="wrn.Client3." hidden="1">{"data",#N/A,FALSE,"client (3)";"margins",#N/A,FALSE,"client (3)";"multiple",#N/A,FALSE,"client (3)"}</definedName>
    <definedName name="wrn.client4." hidden="1">{"multiple",#N/A,FALSE,"client (4)";"margins",#N/A,FALSE,"client (4)";"data",#N/A,FALSE,"client (4)"}</definedName>
    <definedName name="wrn.CM_ALL." localSheetId="8" hidden="1">{"LAPO2N2",#N/A,FALSE,"CM";"TOTTEXAS",#N/A,FALSE,"CM";"LOUISIANA",#N/A,FALSE,"CM";"GENERALH2",#N/A,FALSE,"CM";"PRS",#N/A,FALSE,"CM";"PACKAGE",#N/A,FALSE,"CM";"OTHER",#N/A,FALSE,"CM"}</definedName>
    <definedName name="wrn.CM_ALL." hidden="1">{"LAPO2N2",#N/A,FALSE,"CM";"TOTTEXAS",#N/A,FALSE,"CM";"LOUISIANA",#N/A,FALSE,"CM";"GENERALH2",#N/A,FALSE,"CM";"PRS",#N/A,FALSE,"CM";"PACKAGE",#N/A,FALSE,"CM";"OTHER",#N/A,FALSE,"CM"}</definedName>
    <definedName name="wrn.CM_GENERALH2." localSheetId="8" hidden="1">{"GENERALH2",#N/A,FALSE,"CM"}</definedName>
    <definedName name="wrn.CM_GENERALH2." hidden="1">{"GENERALH2",#N/A,FALSE,"CM"}</definedName>
    <definedName name="wrn.CM_LAPORTE_O2N2." localSheetId="8" hidden="1">{"LAPO2N2",#N/A,FALSE,"CM"}</definedName>
    <definedName name="wrn.CM_LAPORTE_O2N2." hidden="1">{"LAPO2N2",#N/A,FALSE,"CM"}</definedName>
    <definedName name="wrn.CM_LOUISIANA." localSheetId="8" hidden="1">{"LOUISIANA",#N/A,FALSE,"CM"}</definedName>
    <definedName name="wrn.CM_LOUISIANA." hidden="1">{"LOUISIANA",#N/A,FALSE,"CM"}</definedName>
    <definedName name="wrn.CM_OTHER." localSheetId="8" hidden="1">{"OTHER",#N/A,FALSE,"CM"}</definedName>
    <definedName name="wrn.CM_OTHER." hidden="1">{"OTHER",#N/A,FALSE,"CM"}</definedName>
    <definedName name="wrn.CM_PACKAGE." localSheetId="8" hidden="1">{"PACKAGE",#N/A,FALSE,"CM"}</definedName>
    <definedName name="wrn.CM_PACKAGE." hidden="1">{"PACKAGE",#N/A,FALSE,"CM"}</definedName>
    <definedName name="wrn.CM_PRS." localSheetId="8" hidden="1">{"PRS",#N/A,FALSE,"CM"}</definedName>
    <definedName name="wrn.CM_PRS." hidden="1">{"PRS",#N/A,FALSE,"CM"}</definedName>
    <definedName name="wrn.CM_TEXAS._.HYCO." localSheetId="8" hidden="1">{"TOTTEXAS",#N/A,FALSE,"CM"}</definedName>
    <definedName name="wrn.CM_TEXAS._.HYCO." hidden="1">{"TOTTEXAS",#N/A,FALSE,"CM"}</definedName>
    <definedName name="wrn.CMVsBud." localSheetId="8" hidden="1">{"Page1",#N/A,FALSE,"OpExJanvsBud";"Page2",#N/A,FALSE,"OpExJanvsBud"}</definedName>
    <definedName name="wrn.CMVsBud." hidden="1">{"Page1",#N/A,FALSE,"OpExJanvsBud";"Page2",#N/A,FALSE,"OpExJanvsBud"}</definedName>
    <definedName name="wrn.CMVsPY." localSheetId="8" hidden="1">{"Page 1",#N/A,FALSE,"OpExJanVsPY";"Page 2",#N/A,FALSE,"OpExJanVsPY"}</definedName>
    <definedName name="wrn.CMVsPY." hidden="1">{"Page 1",#N/A,FALSE,"OpExJanVsPY";"Page 2",#N/A,FALSE,"OpExJanVsPY"}</definedName>
    <definedName name="wrn.COAL._.Fin._.Stmts." localSheetId="8" hidden="1">{"COAL - I/S",#N/A,TRUE,"COAL";"COAL - C/F",#N/A,TRUE,"COAL";"COAL - B/S",#N/A,TRUE,"COAL"}</definedName>
    <definedName name="wrn.COAL._.Fin._.Stmts." hidden="1">{"COAL - I/S",#N/A,TRUE,"COAL";"COAL - C/F",#N/A,TRUE,"COAL";"COAL - B/S",#N/A,TRUE,"COAL"}</definedName>
    <definedName name="wrn.COGS._.DETAIL." localSheetId="8" hidden="1">{"COGS DETAIL",#N/A,FALSE,"COGS"}</definedName>
    <definedName name="wrn.COGS._.DETAIL." hidden="1">{"COGS DETAIL",#N/A,FALSE,"COGS"}</definedName>
    <definedName name="wrn.COGS._.FG." localSheetId="8" hidden="1">{"F GOODS",#N/A,FALSE,"COGS"}</definedName>
    <definedName name="wrn.COGS._.FG." hidden="1">{"F GOODS",#N/A,FALSE,"COGS"}</definedName>
    <definedName name="wrn.COGS._.FOH." localSheetId="8" hidden="1">{"LABOR AND FOH",#N/A,FALSE,"COGS"}</definedName>
    <definedName name="wrn.COGS._.FOH." hidden="1">{"LABOR AND FOH",#N/A,FALSE,"COGS"}</definedName>
    <definedName name="wrn.COGS._.PARENT._.SEED." localSheetId="8" hidden="1">{"P SEED",#N/A,FALSE,"COGS"}</definedName>
    <definedName name="wrn.COGS._.PARENT._.SEED." hidden="1">{"P SEED",#N/A,FALSE,"COGS"}</definedName>
    <definedName name="wrn.COGS._.SUMMARY." localSheetId="8" hidden="1">{"COGS SUMMARY",#N/A,FALSE,"COGS"}</definedName>
    <definedName name="wrn.COGS._.SUMMARY." hidden="1">{"COGS SUMMARY",#N/A,FALSE,"COGS"}</definedName>
    <definedName name="wrn.COGS._.WIP." localSheetId="8" hidden="1">{"WORK IN PROCESS",#N/A,FALSE,"COGS"}</definedName>
    <definedName name="wrn.COGS._.WIP." hidden="1">{"WORK IN PROCESS",#N/A,FALSE,"COGS"}</definedName>
    <definedName name="wrn.COMBINED." localSheetId="7" hidden="1">{#N/A,#N/A,FALSE,"INPUTS";#N/A,#N/A,FALSE,"PROFORMA BSHEET";#N/A,#N/A,FALSE,"COMBINED";#N/A,#N/A,FALSE,"HIGH YIELD";#N/A,#N/A,FALSE,"COMB_GRAPHS"}</definedName>
    <definedName name="wrn.COMBINED." localSheetId="8" hidden="1">{#N/A,#N/A,FALSE,"INPUTS";#N/A,#N/A,FALSE,"PROFORMA BSHEET";#N/A,#N/A,FALSE,"COMBINED";#N/A,#N/A,FALSE,"HIGH YIELD";#N/A,#N/A,FALSE,"COMB_GRAPHS"}</definedName>
    <definedName name="wrn.COMBINED." hidden="1">{#N/A,#N/A,FALSE,"INPUTS";#N/A,#N/A,FALSE,"PROFORMA BSHEET";#N/A,#N/A,FALSE,"COMBINED";#N/A,#N/A,FALSE,"HIGH YIELD";#N/A,#N/A,FALSE,"COMB_GRAPHS"}</definedName>
    <definedName name="wrn.COMBINED._1" localSheetId="8" hidden="1">{#N/A,#N/A,FALSE,"INPUTS";#N/A,#N/A,FALSE,"PROFORMA BSHEET";#N/A,#N/A,FALSE,"COMBINED";#N/A,#N/A,FALSE,"HIGH YIELD";#N/A,#N/A,FALSE,"COMB_GRAPHS"}</definedName>
    <definedName name="wrn.COMBINED._1" hidden="1">{#N/A,#N/A,FALSE,"INPUTS";#N/A,#N/A,FALSE,"PROFORMA BSHEET";#N/A,#N/A,FALSE,"COMBINED";#N/A,#N/A,FALSE,"HIGH YIELD";#N/A,#N/A,FALSE,"COMB_GRAPHS"}</definedName>
    <definedName name="wrn.comisiones." localSheetId="8" hidden="1">{#N/A,#N/A,FALSE,"contrib_act";#N/A,#N/A,FALSE,"proportional";#N/A,#N/A,FALSE,"variación_abs"}</definedName>
    <definedName name="wrn.comisiones." hidden="1">{#N/A,#N/A,FALSE,"contrib_act";#N/A,#N/A,FALSE,"proportional";#N/A,#N/A,FALSE,"variación_abs"}</definedName>
    <definedName name="wrn.Comisiones._.e._.Ingresos." localSheetId="8" hidden="1">{#N/A,#N/A,FALSE,"CajaMurcia";#N/A,#N/A,FALSE,"Intercambio 6000";#N/A,#N/A,FALSE,"RessaUta";#N/A,#N/A,FALSE,"Visa";#N/A,#N/A,FALSE,"VideotexIntelvia";#N/A,#N/A,FALSE,"IntMurcia";#N/A,#N/A,FALSE,"IntVisa";#N/A,#N/A,FALSE,"ComMurcia";#N/A,#N/A,FALSE,"ComVisa"}</definedName>
    <definedName name="wrn.Comisiones._.e._.Ingresos." hidden="1">{#N/A,#N/A,FALSE,"CajaMurcia";#N/A,#N/A,FALSE,"Intercambio 6000";#N/A,#N/A,FALSE,"RessaUta";#N/A,#N/A,FALSE,"Visa";#N/A,#N/A,FALSE,"VideotexIntelvia";#N/A,#N/A,FALSE,"IntMurcia";#N/A,#N/A,FALSE,"IntVisa";#N/A,#N/A,FALSE,"ComMurcia";#N/A,#N/A,FALSE,"ComVisa"}</definedName>
    <definedName name="wrn.Comp." localSheetId="8" hidden="1">{"Mnth_D_YTDA",#N/A,FALSE,"YTD_Calc";"Mnth_D_YTDA",#N/A,FALSE,"YTD_Calc";"YTD_Lei",#N/A,FALSE,"Mnth_Calc";"Mnth_Lei",#N/A,FALSE,"Mnth_Calc";"Diff_M",#N/A,FALSE,"Difference";"Diff_Cumm",#N/A,FALSE,"Difference";"Mnth_D_M",#N/A,FALSE,"Mnth_Calc"}</definedName>
    <definedName name="wrn.Comp." hidden="1">{"Mnth_D_YTDA",#N/A,FALSE,"YTD_Calc";"Mnth_D_YTDA",#N/A,FALSE,"YTD_Calc";"YTD_Lei",#N/A,FALSE,"Mnth_Calc";"Mnth_Lei",#N/A,FALSE,"Mnth_Calc";"Diff_M",#N/A,FALSE,"Difference";"Diff_Cumm",#N/A,FALSE,"Difference";"Mnth_D_M",#N/A,FALSE,"Mnth_Calc"}</definedName>
    <definedName name="wrn.Comp._.Aluguel._.Mes." hidden="1">{#N/A,#N/A,FALSE,"Comp Aluguel Mes"}</definedName>
    <definedName name="wrn.Comp._.Venda._.Mes." hidden="1">{#N/A,#N/A,FALSE,"Comp Venda Mes"}</definedName>
    <definedName name="wrn.comp_prjctn_paybck." hidden="1">{#N/A,#N/A,FALSE,"Bene";#N/A,#N/A,FALSE,"Scen1"}</definedName>
    <definedName name="wrn.Compal98." localSheetId="8" hidden="1">{"Capa",#N/A,TRUE,"Valor";"Indice",#N/A,TRUE,"Separadores";"Valor",#N/A,TRUE,"Separadores";"Valor",#N/A,TRUE,"Valor";"WACC",#N/A,TRUE,"Valor";"Beta",#N/A,TRUE,"Valor";"Market Ratios",#N/A,TRUE,"Valor";"Pressupostos",#N/A,TRUE,"Separadores";"Macroassumptions",#N/A,TRUE,"Pressup";"Operating assumptions",#N/A,TRUE,"Pressup";"DR",#N/A,TRUE,"Separadores";"DR",#N/A,TRUE,"DRf";"balance1",#N/A,TRUE,"Balanço";"balance2",#N/A,TRUE,"Balanço";"Working Capital",#N/A,TRUE,"Balanço";"Indicadores",#N/A,TRUE,"Rácios";"Resumo Bebidas e vegetais",#N/A,TRUE,"Separadores";"Bebidas",#N/A,TRUE,"DRf";"Vegetais",#N/A,TRUE,"DRf";"Clássico",#N/A,TRUE,"Separadores";"Mercado",#N/A,TRUE,"Classico";"Total",#N/A,TRUE,"Classico";"Grossistas",#N/A,TRUE,"Classico";"Retalhistas",#N/A,TRUE,"Classico";"Horeca",#N/A,TRUE,"Classico";"Light",#N/A,TRUE,"Separadores";"Mercado",#N/A,TRUE,"Light";"Total",#N/A,TRUE,"Light";"Grossistas",#N/A,TRUE,"Light";"Retalhistas",#N/A,TRUE,"Light";"Horeca",#N/A,TRUE,"Light";"Fresh",#N/A,TRUE,"Separadores";"Mercado",#N/A,TRUE,"Fresh";"Total",#N/A,TRUE,"Fresh";"Grossistas",#N/A,TRUE,"Fresh";"Retalhistas",#N/A,TRUE,"Fresh";"Horeca",#N/A,TRUE,"Fresh";"Dia",#N/A,TRUE,"Separadores";"Mercado",#N/A,TRUE,"C. Dia";"Total",#N/A,TRUE,"C. Dia";"Retalhistas",#N/A,TRUE,"C. Dia";"Horeca",#N/A,TRUE,"C. Dia";"Vital",#N/A,TRUE,"Separadores";"Mercado",#N/A,TRUE,"C. Vital";"Total",#N/A,TRUE,"C. Vital";"Retalhistas",#N/A,TRUE,"C. Vital";"Izzi",#N/A,TRUE,"Separadores";"Mercado",#N/A,TRUE,"Izzi";"Total",#N/A,TRUE,"Izzi";"Grossistas",#N/A,TRUE,"Izzi";"Retalhistas",#N/A,TRUE,"Izzi";"FruTea",#N/A,TRUE,"Separadores";"Mercado",#N/A,TRUE,"Frutea";"Total",#N/A,TRUE,"Frutea";"Grossistas",#N/A,TRUE,"Frutea";"Retalhistas",#N/A,TRUE,"Frutea";"Unicer",#N/A,TRUE,"Frutea";"Vegetais",#N/A,TRUE,"Separadores";"Mercado",#N/A,TRUE,"Veg.sec_ver C_MDD";"Compal_MDD",#N/A,TRUE,"Veg.sec_ver C_MDD";"M_Compal Total",#N/A,TRUE,"Veg.sec_ver C_MDD";"M_Compal Grossistas",#N/A,TRUE,"Veg.sec_ver C_MDD";"M_Compal Retalhistas",#N/A,TRUE,"Veg.sec_ver C_MDD";"MDD Total",#N/A,TRUE,"Veg.sec_ver C_MDD";"MDD Grossistas",#N/A,TRUE,"Veg.sec_ver C_MDD";"MDD Retalhistas",#N/A,TRUE,"Veg.sec_ver C_MDD";"Cogumelos",#N/A,TRUE,"Separadores";"Mercado",#N/A,TRUE,"Cogumelos";"Total",#N/A,TRUE,"Cogumelos";"Grossistas",#N/A,TRUE,"Cogumelos";"Retalhistas",#N/A,TRUE,"Cogumelos";"Tomate",#N/A,TRUE,"Separadores";"Mercado",#N/A,TRUE,"C.Der.Tom";"Compal_MDD Total",#N/A,TRUE,"C.Der.Tom";"M_Compal Total",#N/A,TRUE,"C.Der.Tom";"M_Compal Grossistas",#N/A,TRUE,"C.Der.Tom";"M_Compal Retalhistas",#N/A,TRUE,"C.Der.Tom";"MDD Grossistas",#N/A,TRUE,"C.Der.Tom";"MDD Retalhistas",#N/A,TRUE,"C.Der.Tom";"M_Externo",#N/A,TRUE,"Separadores";"Exportação",#N/A,TRUE,"Export"}</definedName>
    <definedName name="wrn.Compal98." hidden="1">{"Capa",#N/A,TRUE,"Valor";"Indice",#N/A,TRUE,"Separadores";"Valor",#N/A,TRUE,"Separadores";"Valor",#N/A,TRUE,"Valor";"WACC",#N/A,TRUE,"Valor";"Beta",#N/A,TRUE,"Valor";"Market Ratios",#N/A,TRUE,"Valor";"Pressupostos",#N/A,TRUE,"Separadores";"Macroassumptions",#N/A,TRUE,"Pressup";"Operating assumptions",#N/A,TRUE,"Pressup";"DR",#N/A,TRUE,"Separadores";"DR",#N/A,TRUE,"DRf";"balance1",#N/A,TRUE,"Balanço";"balance2",#N/A,TRUE,"Balanço";"Working Capital",#N/A,TRUE,"Balanço";"Indicadores",#N/A,TRUE,"Rácios";"Resumo Bebidas e vegetais",#N/A,TRUE,"Separadores";"Bebidas",#N/A,TRUE,"DRf";"Vegetais",#N/A,TRUE,"DRf";"Clássico",#N/A,TRUE,"Separadores";"Mercado",#N/A,TRUE,"Classico";"Total",#N/A,TRUE,"Classico";"Grossistas",#N/A,TRUE,"Classico";"Retalhistas",#N/A,TRUE,"Classico";"Horeca",#N/A,TRUE,"Classico";"Light",#N/A,TRUE,"Separadores";"Mercado",#N/A,TRUE,"Light";"Total",#N/A,TRUE,"Light";"Grossistas",#N/A,TRUE,"Light";"Retalhistas",#N/A,TRUE,"Light";"Horeca",#N/A,TRUE,"Light";"Fresh",#N/A,TRUE,"Separadores";"Mercado",#N/A,TRUE,"Fresh";"Total",#N/A,TRUE,"Fresh";"Grossistas",#N/A,TRUE,"Fresh";"Retalhistas",#N/A,TRUE,"Fresh";"Horeca",#N/A,TRUE,"Fresh";"Dia",#N/A,TRUE,"Separadores";"Mercado",#N/A,TRUE,"C. Dia";"Total",#N/A,TRUE,"C. Dia";"Retalhistas",#N/A,TRUE,"C. Dia";"Horeca",#N/A,TRUE,"C. Dia";"Vital",#N/A,TRUE,"Separadores";"Mercado",#N/A,TRUE,"C. Vital";"Total",#N/A,TRUE,"C. Vital";"Retalhistas",#N/A,TRUE,"C. Vital";"Izzi",#N/A,TRUE,"Separadores";"Mercado",#N/A,TRUE,"Izzi";"Total",#N/A,TRUE,"Izzi";"Grossistas",#N/A,TRUE,"Izzi";"Retalhistas",#N/A,TRUE,"Izzi";"FruTea",#N/A,TRUE,"Separadores";"Mercado",#N/A,TRUE,"Frutea";"Total",#N/A,TRUE,"Frutea";"Grossistas",#N/A,TRUE,"Frutea";"Retalhistas",#N/A,TRUE,"Frutea";"Unicer",#N/A,TRUE,"Frutea";"Vegetais",#N/A,TRUE,"Separadores";"Mercado",#N/A,TRUE,"Veg.sec_ver C_MDD";"Compal_MDD",#N/A,TRUE,"Veg.sec_ver C_MDD";"M_Compal Total",#N/A,TRUE,"Veg.sec_ver C_MDD";"M_Compal Grossistas",#N/A,TRUE,"Veg.sec_ver C_MDD";"M_Compal Retalhistas",#N/A,TRUE,"Veg.sec_ver C_MDD";"MDD Total",#N/A,TRUE,"Veg.sec_ver C_MDD";"MDD Grossistas",#N/A,TRUE,"Veg.sec_ver C_MDD";"MDD Retalhistas",#N/A,TRUE,"Veg.sec_ver C_MDD";"Cogumelos",#N/A,TRUE,"Separadores";"Mercado",#N/A,TRUE,"Cogumelos";"Total",#N/A,TRUE,"Cogumelos";"Grossistas",#N/A,TRUE,"Cogumelos";"Retalhistas",#N/A,TRUE,"Cogumelos";"Tomate",#N/A,TRUE,"Separadores";"Mercado",#N/A,TRUE,"C.Der.Tom";"Compal_MDD Total",#N/A,TRUE,"C.Der.Tom";"M_Compal Total",#N/A,TRUE,"C.Der.Tom";"M_Compal Grossistas",#N/A,TRUE,"C.Der.Tom";"M_Compal Retalhistas",#N/A,TRUE,"C.Der.Tom";"MDD Grossistas",#N/A,TRUE,"C.Der.Tom";"MDD Retalhistas",#N/A,TRUE,"C.Der.Tom";"M_Externo",#N/A,TRUE,"Separadores";"Exportação",#N/A,TRUE,"Export"}</definedName>
    <definedName name="wrn.Company._.Analysis." hidden="1">{#N/A,#N/A,TRUE,"Summary LTM";#N/A,#N/A,TRUE,"95-97";#N/A,#N/A,TRUE,"97 US &amp; Peso Sum";#N/A,#N/A,TRUE,"1997 Peso Comparison";#N/A,#N/A,TRUE,"97 IS per store";#N/A,#N/A,TRUE,"96 IS per store";#N/A,#N/A,TRUE,"95 IS per store"}</definedName>
    <definedName name="wrn.Company._Analysis._Split" hidden="1">{#N/A,#N/A,TRUE,"Summary LTM";#N/A,#N/A,TRUE,"95-97";#N/A,#N/A,TRUE,"97 US &amp; Peso Sum";#N/A,#N/A,TRUE,"1997 Peso Comparison";#N/A,#N/A,TRUE,"97 IS per store";#N/A,#N/A,TRUE,"96 IS per store";#N/A,#N/A,TRUE,"95 IS per store"}</definedName>
    <definedName name="wrn.COMPARAC.." localSheetId="8" hidden="1">{#N/A,#N/A,FALSE,"COMPARACION";#N/A,#N/A,FALSE,"COMPARAC. ATM"}</definedName>
    <definedName name="wrn.COMPARAC.." hidden="1">{#N/A,#N/A,FALSE,"COMPARACION";#N/A,#N/A,FALSE,"COMPARAC. ATM"}</definedName>
    <definedName name="wrn.compco." localSheetId="7" hidden="1">{"mult96",#N/A,FALSE,"PETCOMP";"est96",#N/A,FALSE,"PETCOMP";"mult95",#N/A,FALSE,"PETCOMP";"est95",#N/A,FALSE,"PETCOMP";"multltm",#N/A,FALSE,"PETCOMP";"resultltm",#N/A,FALSE,"PETCOMP"}</definedName>
    <definedName name="wrn.compco." localSheetId="8" hidden="1">{"mult96",#N/A,FALSE,"PETCOMP";"est96",#N/A,FALSE,"PETCOMP";"mult95",#N/A,FALSE,"PETCOMP";"est95",#N/A,FALSE,"PETCOMP";"multltm",#N/A,FALSE,"PETCOMP";"resultltm",#N/A,FALSE,"PETCOMP"}</definedName>
    <definedName name="wrn.COMPCO." hidden="1">{"Page1",#N/A,FALSE,"CompCo";"Page2",#N/A,FALSE,"CompCo"}</definedName>
    <definedName name="wrn.Compco._.Only." localSheetId="8" hidden="1">{"vi1",#N/A,FALSE,"6_30_96";"vi2",#N/A,FALSE,"6_30_96";"vi3",#N/A,FALSE,"6_30_96"}</definedName>
    <definedName name="wrn.Compco._.Only." hidden="1">{"vi1",#N/A,FALSE,"6_30_96";"vi2",#N/A,FALSE,"6_30_96";"vi3",#N/A,FALSE,"6_30_96"}</definedName>
    <definedName name="wrn.compco._1" localSheetId="7" hidden="1">{"mult96",#N/A,FALSE,"PETCOMP";"est96",#N/A,FALSE,"PETCOMP";"mult95",#N/A,FALSE,"PETCOMP";"est95",#N/A,FALSE,"PETCOMP";"multltm",#N/A,FALSE,"PETCOMP";"resultltm",#N/A,FALSE,"PETCOMP"}</definedName>
    <definedName name="wrn.compco._1" localSheetId="8" hidden="1">{"mult96",#N/A,FALSE,"PETCOMP";"est96",#N/A,FALSE,"PETCOMP";"mult95",#N/A,FALSE,"PETCOMP";"est95",#N/A,FALSE,"PETCOMP";"multltm",#N/A,FALSE,"PETCOMP";"resultltm",#N/A,FALSE,"PETCOMP"}</definedName>
    <definedName name="wrn.compco._1" hidden="1">{"mult96",#N/A,FALSE,"PETCOMP";"est96",#N/A,FALSE,"PETCOMP";"mult95",#N/A,FALSE,"PETCOMP";"est95",#N/A,FALSE,"PETCOMP";"multltm",#N/A,FALSE,"PETCOMP";"resultltm",#N/A,FALSE,"PETCOMP"}</definedName>
    <definedName name="wrn.competitor._.analysis." localSheetId="8" hidden="1">{"summary",#N/A,FALSE,"summary";"sales growth",#N/A,FALSE,"summary";"oper income",#N/A,FALSE,"summary";"oros rank",#N/A,FALSE,"summary";"net assets",#N/A,FALSE,"summary";"asset turnover",#N/A,FALSE,"summary";"orona",#N/A,FALSE,"summary";"total return",#N/A,FALSE,"summary";"overview",#N/A,FALSE,"summary"}</definedName>
    <definedName name="wrn.competitor._.analysis." hidden="1">{"summary",#N/A,FALSE,"summary";"sales growth",#N/A,FALSE,"summary";"oper income",#N/A,FALSE,"summary";"oros rank",#N/A,FALSE,"summary";"net assets",#N/A,FALSE,"summary";"asset turnover",#N/A,FALSE,"summary";"orona",#N/A,FALSE,"summary";"total return",#N/A,FALSE,"summary";"overview",#N/A,FALSE,"summary"}</definedName>
    <definedName name="wrn.COMPLEMENTO." localSheetId="8" hidden="1">{#N/A,#N/A,FALSE,"Desvios";#N/A,#N/A,FALSE,"Desvios-Cálculo";#N/A,#N/A,FALSE,"Máq.1 - Família";#N/A,#N/A,FALSE,"Máq.2 - Família";#N/A,#N/A,FALSE,"Máq.3 - Família";#N/A,#N/A,FALSE,"Ind.Econ.Finan.";#N/A,#N/A,FALSE,"Indic.Operac.";#N/A,#N/A,FALSE,"DEM.CUSTO-MÁQUINA 1 ";#N/A,#N/A,FALSE,"DEM.CUSTO-MÁQUINA 2";#N/A,#N/A,FALSE,"DEM.CUSTO-MÁQUINA 3";#N/A,#N/A,FALSE,"EFIC-MAQ.1";#N/A,#N/A,FALSE,"EFIC-MAQ-2";#N/A,#N/A,FALSE,"EFIC-MAQ-3";#N/A,#N/A,FALSE,"UTILIDADES PRODUÇÃO";#N/A,#N/A,FALSE,"CUSTO VAR.PROD.";#N/A,#N/A,FALSE,"PENTEAD.";#N/A,#N/A,FALSE,"ALGODAO SALTO";#N/A,#N/A,FALSE,"APARAS DIVS.";#N/A,#N/A,FALSE,"LINTER BOLIVIANA";#N/A,#N/A,FALSE,"CEL.ALG.BRTIPO BP";#N/A,#N/A,FALSE,"ESTOQUE";#N/A,#N/A,FALSE,"CUSTO VARIAVEL-US$";#N/A,#N/A,FALSE,"ESTOQUE FINAL MÊS-US$";#N/A,#N/A,FALSE,"VENDAS"}</definedName>
    <definedName name="wrn.COMPLEMENTO." hidden="1">{#N/A,#N/A,FALSE,"Desvios";#N/A,#N/A,FALSE,"Desvios-Cálculo";#N/A,#N/A,FALSE,"Máq.1 - Família";#N/A,#N/A,FALSE,"Máq.2 - Família";#N/A,#N/A,FALSE,"Máq.3 - Família";#N/A,#N/A,FALSE,"Ind.Econ.Finan.";#N/A,#N/A,FALSE,"Indic.Operac.";#N/A,#N/A,FALSE,"DEM.CUSTO-MÁQUINA 1 ";#N/A,#N/A,FALSE,"DEM.CUSTO-MÁQUINA 2";#N/A,#N/A,FALSE,"DEM.CUSTO-MÁQUINA 3";#N/A,#N/A,FALSE,"EFIC-MAQ.1";#N/A,#N/A,FALSE,"EFIC-MAQ-2";#N/A,#N/A,FALSE,"EFIC-MAQ-3";#N/A,#N/A,FALSE,"UTILIDADES PRODUÇÃO";#N/A,#N/A,FALSE,"CUSTO VAR.PROD.";#N/A,#N/A,FALSE,"PENTEAD.";#N/A,#N/A,FALSE,"ALGODAO SALTO";#N/A,#N/A,FALSE,"APARAS DIVS.";#N/A,#N/A,FALSE,"LINTER BOLIVIANA";#N/A,#N/A,FALSE,"CEL.ALG.BRTIPO BP";#N/A,#N/A,FALSE,"ESTOQUE";#N/A,#N/A,FALSE,"CUSTO VARIAVEL-US$";#N/A,#N/A,FALSE,"ESTOQUE FINAL MÊS-US$";#N/A,#N/A,FALSE,"VENDAS"}</definedName>
    <definedName name="wrn.COMPLEMENTO._1" localSheetId="8" hidden="1">{#N/A,#N/A,FALSE,"Desvios";#N/A,#N/A,FALSE,"Desvios-Cálculo";#N/A,#N/A,FALSE,"Máq.1 - Família";#N/A,#N/A,FALSE,"Máq.2 - Família";#N/A,#N/A,FALSE,"Máq.3 - Família";#N/A,#N/A,FALSE,"Ind.Econ.Finan.";#N/A,#N/A,FALSE,"Indic.Operac.";#N/A,#N/A,FALSE,"DEM.CUSTO-MÁQUINA 1 ";#N/A,#N/A,FALSE,"DEM.CUSTO-MÁQUINA 2";#N/A,#N/A,FALSE,"DEM.CUSTO-MÁQUINA 3";#N/A,#N/A,FALSE,"EFIC-MAQ.1";#N/A,#N/A,FALSE,"EFIC-MAQ-2";#N/A,#N/A,FALSE,"EFIC-MAQ-3";#N/A,#N/A,FALSE,"UTILIDADES PRODUÇÃO";#N/A,#N/A,FALSE,"CUSTO VAR.PROD.";#N/A,#N/A,FALSE,"PENTEAD.";#N/A,#N/A,FALSE,"ALGODAO SALTO";#N/A,#N/A,FALSE,"APARAS DIVS.";#N/A,#N/A,FALSE,"LINTER BOLIVIANA";#N/A,#N/A,FALSE,"CEL.ALG.BRTIPO BP";#N/A,#N/A,FALSE,"ESTOQUE";#N/A,#N/A,FALSE,"CUSTO VARIAVEL-US$";#N/A,#N/A,FALSE,"ESTOQUE FINAL MÊS-US$";#N/A,#N/A,FALSE,"VENDAS"}</definedName>
    <definedName name="wrn.COMPLEMENTO._1" hidden="1">{#N/A,#N/A,FALSE,"Desvios";#N/A,#N/A,FALSE,"Desvios-Cálculo";#N/A,#N/A,FALSE,"Máq.1 - Família";#N/A,#N/A,FALSE,"Máq.2 - Família";#N/A,#N/A,FALSE,"Máq.3 - Família";#N/A,#N/A,FALSE,"Ind.Econ.Finan.";#N/A,#N/A,FALSE,"Indic.Operac.";#N/A,#N/A,FALSE,"DEM.CUSTO-MÁQUINA 1 ";#N/A,#N/A,FALSE,"DEM.CUSTO-MÁQUINA 2";#N/A,#N/A,FALSE,"DEM.CUSTO-MÁQUINA 3";#N/A,#N/A,FALSE,"EFIC-MAQ.1";#N/A,#N/A,FALSE,"EFIC-MAQ-2";#N/A,#N/A,FALSE,"EFIC-MAQ-3";#N/A,#N/A,FALSE,"UTILIDADES PRODUÇÃO";#N/A,#N/A,FALSE,"CUSTO VAR.PROD.";#N/A,#N/A,FALSE,"PENTEAD.";#N/A,#N/A,FALSE,"ALGODAO SALTO";#N/A,#N/A,FALSE,"APARAS DIVS.";#N/A,#N/A,FALSE,"LINTER BOLIVIANA";#N/A,#N/A,FALSE,"CEL.ALG.BRTIPO BP";#N/A,#N/A,FALSE,"ESTOQUE";#N/A,#N/A,FALSE,"CUSTO VARIAVEL-US$";#N/A,#N/A,FALSE,"ESTOQUE FINAL MÊS-US$";#N/A,#N/A,FALSE,"VENDAS"}</definedName>
    <definedName name="wrn.Complemento1" localSheetId="8" hidden="1">{#N/A,#N/A,FALSE,"Desvios";#N/A,#N/A,FALSE,"Desvios-Cálculo";#N/A,#N/A,FALSE,"Máq.1 - Família";#N/A,#N/A,FALSE,"Máq.2 - Família";#N/A,#N/A,FALSE,"Máq.3 - Família";#N/A,#N/A,FALSE,"Ind.Econ.Finan.";#N/A,#N/A,FALSE,"Indic.Operac.";#N/A,#N/A,FALSE,"DEM.CUSTO-MÁQUINA 1 ";#N/A,#N/A,FALSE,"DEM.CUSTO-MÁQUINA 2";#N/A,#N/A,FALSE,"DEM.CUSTO-MÁQUINA 3";#N/A,#N/A,FALSE,"EFIC-MAQ.1";#N/A,#N/A,FALSE,"EFIC-MAQ-2";#N/A,#N/A,FALSE,"EFIC-MAQ-3";#N/A,#N/A,FALSE,"UTILIDADES PRODUÇÃO";#N/A,#N/A,FALSE,"CUSTO VAR.PROD.";#N/A,#N/A,FALSE,"PENTEAD.";#N/A,#N/A,FALSE,"ALGODAO SALTO";#N/A,#N/A,FALSE,"APARAS DIVS.";#N/A,#N/A,FALSE,"LINTER BOLIVIANA";#N/A,#N/A,FALSE,"CEL.ALG.BRTIPO BP";#N/A,#N/A,FALSE,"ESTOQUE";#N/A,#N/A,FALSE,"CUSTO VARIAVEL-US$";#N/A,#N/A,FALSE,"ESTOQUE FINAL MÊS-US$";#N/A,#N/A,FALSE,"VENDAS"}</definedName>
    <definedName name="wrn.Complemento1" hidden="1">{#N/A,#N/A,FALSE,"Desvios";#N/A,#N/A,FALSE,"Desvios-Cálculo";#N/A,#N/A,FALSE,"Máq.1 - Família";#N/A,#N/A,FALSE,"Máq.2 - Família";#N/A,#N/A,FALSE,"Máq.3 - Família";#N/A,#N/A,FALSE,"Ind.Econ.Finan.";#N/A,#N/A,FALSE,"Indic.Operac.";#N/A,#N/A,FALSE,"DEM.CUSTO-MÁQUINA 1 ";#N/A,#N/A,FALSE,"DEM.CUSTO-MÁQUINA 2";#N/A,#N/A,FALSE,"DEM.CUSTO-MÁQUINA 3";#N/A,#N/A,FALSE,"EFIC-MAQ.1";#N/A,#N/A,FALSE,"EFIC-MAQ-2";#N/A,#N/A,FALSE,"EFIC-MAQ-3";#N/A,#N/A,FALSE,"UTILIDADES PRODUÇÃO";#N/A,#N/A,FALSE,"CUSTO VAR.PROD.";#N/A,#N/A,FALSE,"PENTEAD.";#N/A,#N/A,FALSE,"ALGODAO SALTO";#N/A,#N/A,FALSE,"APARAS DIVS.";#N/A,#N/A,FALSE,"LINTER BOLIVIANA";#N/A,#N/A,FALSE,"CEL.ALG.BRTIPO BP";#N/A,#N/A,FALSE,"ESTOQUE";#N/A,#N/A,FALSE,"CUSTO VARIAVEL-US$";#N/A,#N/A,FALSE,"ESTOQUE FINAL MÊS-US$";#N/A,#N/A,FALSE,"VENDAS"}</definedName>
    <definedName name="wrn.Complemento1_1" localSheetId="8" hidden="1">{#N/A,#N/A,FALSE,"Desvios";#N/A,#N/A,FALSE,"Desvios-Cálculo";#N/A,#N/A,FALSE,"Máq.1 - Família";#N/A,#N/A,FALSE,"Máq.2 - Família";#N/A,#N/A,FALSE,"Máq.3 - Família";#N/A,#N/A,FALSE,"Ind.Econ.Finan.";#N/A,#N/A,FALSE,"Indic.Operac.";#N/A,#N/A,FALSE,"DEM.CUSTO-MÁQUINA 1 ";#N/A,#N/A,FALSE,"DEM.CUSTO-MÁQUINA 2";#N/A,#N/A,FALSE,"DEM.CUSTO-MÁQUINA 3";#N/A,#N/A,FALSE,"EFIC-MAQ.1";#N/A,#N/A,FALSE,"EFIC-MAQ-2";#N/A,#N/A,FALSE,"EFIC-MAQ-3";#N/A,#N/A,FALSE,"UTILIDADES PRODUÇÃO";#N/A,#N/A,FALSE,"CUSTO VAR.PROD.";#N/A,#N/A,FALSE,"PENTEAD.";#N/A,#N/A,FALSE,"ALGODAO SALTO";#N/A,#N/A,FALSE,"APARAS DIVS.";#N/A,#N/A,FALSE,"LINTER BOLIVIANA";#N/A,#N/A,FALSE,"CEL.ALG.BRTIPO BP";#N/A,#N/A,FALSE,"ESTOQUE";#N/A,#N/A,FALSE,"CUSTO VARIAVEL-US$";#N/A,#N/A,FALSE,"ESTOQUE FINAL MÊS-US$";#N/A,#N/A,FALSE,"VENDAS"}</definedName>
    <definedName name="wrn.Complemento1_1" hidden="1">{#N/A,#N/A,FALSE,"Desvios";#N/A,#N/A,FALSE,"Desvios-Cálculo";#N/A,#N/A,FALSE,"Máq.1 - Família";#N/A,#N/A,FALSE,"Máq.2 - Família";#N/A,#N/A,FALSE,"Máq.3 - Família";#N/A,#N/A,FALSE,"Ind.Econ.Finan.";#N/A,#N/A,FALSE,"Indic.Operac.";#N/A,#N/A,FALSE,"DEM.CUSTO-MÁQUINA 1 ";#N/A,#N/A,FALSE,"DEM.CUSTO-MÁQUINA 2";#N/A,#N/A,FALSE,"DEM.CUSTO-MÁQUINA 3";#N/A,#N/A,FALSE,"EFIC-MAQ.1";#N/A,#N/A,FALSE,"EFIC-MAQ-2";#N/A,#N/A,FALSE,"EFIC-MAQ-3";#N/A,#N/A,FALSE,"UTILIDADES PRODUÇÃO";#N/A,#N/A,FALSE,"CUSTO VAR.PROD.";#N/A,#N/A,FALSE,"PENTEAD.";#N/A,#N/A,FALSE,"ALGODAO SALTO";#N/A,#N/A,FALSE,"APARAS DIVS.";#N/A,#N/A,FALSE,"LINTER BOLIVIANA";#N/A,#N/A,FALSE,"CEL.ALG.BRTIPO BP";#N/A,#N/A,FALSE,"ESTOQUE";#N/A,#N/A,FALSE,"CUSTO VARIAVEL-US$";#N/A,#N/A,FALSE,"ESTOQUE FINAL MÊS-US$";#N/A,#N/A,FALSE,"VENDAS"}</definedName>
    <definedName name="wrn.Complet." localSheetId="8" hidden="1">{"Point Mort",#N/A,FALSE,"Ratios";"Tableaux",#N/A,FALSE,"Ratios"}</definedName>
    <definedName name="wrn.Complet." hidden="1">{"Point Mort",#N/A,FALSE,"Ratios";"Tableaux",#N/A,FALSE,"Ratios"}</definedName>
    <definedName name="wrn.Complet._1" localSheetId="8" hidden="1">{"Point Mort",#N/A,FALSE,"Ratios";"Tableaux",#N/A,FALSE,"Ratios"}</definedName>
    <definedName name="wrn.Complet._1" hidden="1">{"Point Mort",#N/A,FALSE,"Ratios";"Tableaux",#N/A,FALSE,"Ratios"}</definedName>
    <definedName name="wrn.COMPLETA." localSheetId="8" hidden="1">{"IMD AUTOPISTAS",#N/A,FALSE,"IMD 00-01 e incrs por autop.";"CURVAS IMD CONCESION",#N/A,FALSE,"IMD 00-01 e incrs por autop.";"TAM",#N/A,FALSE,"Crecimiento IMD 99-01 mes-acum";"IMD ASETA",#N/A,FALSE,"IMD ASETA- crecs. mens-acums.";"INGRESOS",#N/A,FALSE,"GRÁFICO"}</definedName>
    <definedName name="wrn.COMPLETA." hidden="1">{"IMD AUTOPISTAS",#N/A,FALSE,"IMD 00-01 e incrs por autop.";"CURVAS IMD CONCESION",#N/A,FALSE,"IMD 00-01 e incrs por autop.";"TAM",#N/A,FALSE,"Crecimiento IMD 99-01 mes-acum";"IMD ASETA",#N/A,FALSE,"IMD ASETA- crecs. mens-acums.";"INGRESOS",#N/A,FALSE,"GRÁFICO"}</definedName>
    <definedName name="wrn.Complete." localSheetId="7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" localSheetId="8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" hidden="1">{#N/A,#N/A,TRUE,"DCF Summary";#N/A,#N/A,TRUE,"Casema";#N/A,#N/A,TRUE,"UK";#N/A,#N/A,TRUE,"RCF";#N/A,#N/A,TRUE,"Intercable CZ";#N/A,#N/A,TRUE,"Interkabel P";#N/A,#N/A,TRUE,"LBO-Total";#N/A,#N/A,TRUE,"LBO-Casema"}</definedName>
    <definedName name="wrn.Complete._.Set." localSheetId="8" hidden="1">{#N/A,#N/A,FALSE,"Full";#N/A,#N/A,FALSE,"Half";#N/A,#N/A,FALSE,"Op Expenses";#N/A,#N/A,FALSE,"Cap Charge";#N/A,#N/A,FALSE,"Cost C";#N/A,#N/A,FALSE,"PP&amp;E";#N/A,#N/A,FALSE,"R&amp;D"}</definedName>
    <definedName name="wrn.Complete._.Set." hidden="1">{#N/A,#N/A,FALSE,"Full";#N/A,#N/A,FALSE,"Half";#N/A,#N/A,FALSE,"Op Expenses";#N/A,#N/A,FALSE,"Cap Charge";#N/A,#N/A,FALSE,"Cost C";#N/A,#N/A,FALSE,"PP&amp;E";#N/A,#N/A,FALSE,"R&amp;D"}</definedName>
    <definedName name="wrn.Complete._1" localSheetId="7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" localSheetId="8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" hidden="1">{#N/A,#N/A,TRUE,"DCF Summary";#N/A,#N/A,TRUE,"Casema";#N/A,#N/A,TRUE,"UK";#N/A,#N/A,TRUE,"RCF";#N/A,#N/A,TRUE,"Intercable CZ";#N/A,#N/A,TRUE,"Interkabel P";#N/A,#N/A,TRUE,"LBO-Total";#N/A,#N/A,TRUE,"LBO-Casema"}</definedName>
    <definedName name="wrn.Complete.2" localSheetId="8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" localSheetId="8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o." localSheetId="8" hidden="1">{#N/A,#N/A,FALSE,"p&amp;l";#N/A,#N/A,FALSE,"CF";#N/A,#N/A,FALSE,"BS";#N/A,#N/A,FALSE,"Revenues &amp; costs NEW";#N/A,#N/A,FALSE,"Soccer Rights";#N/A,#N/A,FALSE,"DTT premium";#N/A,#N/A,FALSE,"Gp&amp;l";#N/A,#N/A,FALSE,"GCF";#N/A,#N/A,FALSE,"GBS";#N/A,#N/A,FALSE,"quarter ITA";#N/A,#N/A,FALSE,"QUARTER GROUP"}</definedName>
    <definedName name="wrn.completo." hidden="1">{"completo",#N/A,TRUE,"DISTRIB. modelo (2)"}</definedName>
    <definedName name="wrn.completo._1" localSheetId="8" hidden="1">{#N/A,#N/A,FALSE,"p&amp;l";#N/A,#N/A,FALSE,"CF";#N/A,#N/A,FALSE,"BS";#N/A,#N/A,FALSE,"Revenues &amp; costs NEW";#N/A,#N/A,FALSE,"Soccer Rights";#N/A,#N/A,FALSE,"DTT premium";#N/A,#N/A,FALSE,"Gp&amp;l";#N/A,#N/A,FALSE,"GCF";#N/A,#N/A,FALSE,"GBS";#N/A,#N/A,FALSE,"quarter ITA";#N/A,#N/A,FALSE,"QUARTER GROUP"}</definedName>
    <definedName name="wrn.completo._1" hidden="1">{#N/A,#N/A,FALSE,"p&amp;l";#N/A,#N/A,FALSE,"CF";#N/A,#N/A,FALSE,"BS";#N/A,#N/A,FALSE,"Revenues &amp; costs NEW";#N/A,#N/A,FALSE,"Soccer Rights";#N/A,#N/A,FALSE,"DTT premium";#N/A,#N/A,FALSE,"Gp&amp;l";#N/A,#N/A,FALSE,"GCF";#N/A,#N/A,FALSE,"GBS";#N/A,#N/A,FALSE,"quarter ITA";#N/A,#N/A,FALSE,"QUARTER GROUP"}</definedName>
    <definedName name="wrn.comps." localSheetId="8" hidden="1">{"comps",#N/A,FALSE,"comps";"notes",#N/A,FALSE,"comps"}</definedName>
    <definedName name="wrn.comps." hidden="1">{"comps",#N/A,FALSE,"comps";"notes",#N/A,FALSE,"comps"}</definedName>
    <definedName name="wrn.comps._1" localSheetId="8" hidden="1">{"comps",#N/A,FALSE,"comps";"notes",#N/A,FALSE,"comps"}</definedName>
    <definedName name="wrn.comps._1" hidden="1">{"comps",#N/A,FALSE,"comps";"notes",#N/A,FALSE,"comps"}</definedName>
    <definedName name="wrn.Comps1_Printing." localSheetId="8" hidden="1">{"comps1_1",#N/A,FALSE,"Comps1";"comps1_2",#N/A,FALSE,"Comps1";"comps1_3",#N/A,FALSE,"Comps1";"comps1_4",#N/A,FALSE,"Comps1";"comps1_5",#N/A,FALSE,"Comps1"}</definedName>
    <definedName name="wrn.Comps1_Printing." hidden="1">{"comps1_1",#N/A,FALSE,"Comps1";"comps1_2",#N/A,FALSE,"Comps1";"comps1_3",#N/A,FALSE,"Comps1";"comps1_4",#N/A,FALSE,"Comps1";"comps1_5",#N/A,FALSE,"Comps1"}</definedName>
    <definedName name="wrn.Comps1_Printing._1" localSheetId="8" hidden="1">{"comps1_1",#N/A,FALSE,"Comps1";"comps1_2",#N/A,FALSE,"Comps1";"comps1_3",#N/A,FALSE,"Comps1";"comps1_4",#N/A,FALSE,"Comps1";"comps1_5",#N/A,FALSE,"Comps1"}</definedName>
    <definedName name="wrn.Comps1_Printing._1" hidden="1">{"comps1_1",#N/A,FALSE,"Comps1";"comps1_2",#N/A,FALSE,"Comps1";"comps1_3",#N/A,FALSE,"Comps1";"comps1_4",#N/A,FALSE,"Comps1";"comps1_5",#N/A,FALSE,"Comps1"}</definedName>
    <definedName name="wrn.Comps2_Printing." localSheetId="8" hidden="1">{"comps2_1",#N/A,FALSE,"Comps2";"comps2_2",#N/A,FALSE,"Comps2";"comps2_3",#N/A,FALSE,"Comps2";"comps2_4",#N/A,FALSE,"Comps2";"comps2_5",#N/A,FALSE,"Comps2"}</definedName>
    <definedName name="wrn.Comps2_Printing." hidden="1">{"comps2_1",#N/A,FALSE,"Comps2";"comps2_2",#N/A,FALSE,"Comps2";"comps2_3",#N/A,FALSE,"Comps2";"comps2_4",#N/A,FALSE,"Comps2";"comps2_5",#N/A,FALSE,"Comps2"}</definedName>
    <definedName name="wrn.Comps2_Printing._1" localSheetId="8" hidden="1">{"comps2_1",#N/A,FALSE,"Comps2";"comps2_2",#N/A,FALSE,"Comps2";"comps2_3",#N/A,FALSE,"Comps2";"comps2_4",#N/A,FALSE,"Comps2";"comps2_5",#N/A,FALSE,"Comps2"}</definedName>
    <definedName name="wrn.Comps2_Printing._1" hidden="1">{"comps2_1",#N/A,FALSE,"Comps2";"comps2_2",#N/A,FALSE,"Comps2";"comps2_3",#N/A,FALSE,"Comps2";"comps2_4",#N/A,FALSE,"Comps2";"comps2_5",#N/A,FALSE,"Comps2"}</definedName>
    <definedName name="wrn.CON_DESCUENTO." localSheetId="8" hidden="1">{#N/A,"Carabeer",FALSE,"Dscto.";#N/A,"Disbracentro",FALSE,"Dscto.";#N/A,"Río Beer",FALSE,"Dscto.";#N/A,"Andes",FALSE,"Dscto."}</definedName>
    <definedName name="wrn.CON_DESCUENTO." hidden="1">{#N/A,"Carabeer",FALSE,"Dscto.";#N/A,"Disbracentro",FALSE,"Dscto.";#N/A,"Río Beer",FALSE,"Dscto.";#N/A,"Andes",FALSE,"Dscto."}</definedName>
    <definedName name="wrn.CON_DESCUENTO._1" localSheetId="8" hidden="1">{#N/A,"Carabeer",FALSE,"Dscto.";#N/A,"Disbracentro",FALSE,"Dscto.";#N/A,"Río Beer",FALSE,"Dscto.";#N/A,"Andes",FALSE,"Dscto."}</definedName>
    <definedName name="wrn.CON_DESCUENTO._1" hidden="1">{#N/A,"Carabeer",FALSE,"Dscto.";#N/A,"Disbracentro",FALSE,"Dscto.";#N/A,"Río Beer",FALSE,"Dscto.";#N/A,"Andes",FALSE,"Dscto."}</definedName>
    <definedName name="wrn.Con_Fin_Stmts." localSheetId="8" hidden="1">{"ConInc",#N/A,FALSE,"FinStmt";"ConBal",#N/A,FALSE,"FinStmt";"ConCash",#N/A,FALSE,"FinStmt"}</definedName>
    <definedName name="wrn.Con_Fin_Stmts." hidden="1">{"ConInc",#N/A,FALSE,"FinStmt";"ConBal",#N/A,FALSE,"FinStmt";"ConCash",#N/A,FALSE,"FinStmt"}</definedName>
    <definedName name="wrn.Cons_Adj." localSheetId="8" hidden="1">{"BS_TH",#N/A,FALSE,"MPI_ConsBS_Adj";"Cumm_TH",#N/A,FALSE,"MPI_ConsCF_Adj"}</definedName>
    <definedName name="wrn.Cons_Adj." hidden="1">{"BS_TH",#N/A,FALSE,"MPI_ConsBS_Adj";"Cumm_TH",#N/A,FALSE,"MPI_ConsCF_Adj"}</definedName>
    <definedName name="wrn.CONSEJO." localSheetId="8" hidden="1">{#N/A,#N/A,FALSE,"Acreedores";#N/A,#N/A,FALSE,"Inversión";#N/A,#N/A,FALSE,"Cta Rtdos";#N/A,#N/A,FALSE,"Cta Rtdos %"}</definedName>
    <definedName name="wrn.consejo." hidden="1">{#N/A,#N/A,FALSE,"Rdos_96_97 (N)";#N/A,#N/A,FALSE,"Rdos_96_97";#N/A,#N/A,FALSE,"Gestión Agosto 97 Abv.";#N/A,#N/A,FALSE,"Resultados Agosto 97 (2)";#N/A,#N/A,FALSE,"Margenes Agost97  Abv sin prov.";#N/A,#N/A,FALSE,"Margenes Agosto97 Abv.";#N/A,#N/A,FALSE,"Carat Balance (2)";#N/A,#N/A,FALSE,"Bal Consol Agosto  97";#N/A,#N/A,FALSE,"Carat EE.FF";#N/A,#N/A,FALSE,"Carat Balance";#N/A,#N/A,FALSE,"Carat Cascada";#N/A,#N/A,FALSE,"Carat Margenes";#N/A,#N/A,FALSE,"Balance Agosto  97";#N/A,#N/A,FALSE,"Margenes Agosto 97"}</definedName>
    <definedName name="wrn.Consejo._.Santillana." hidden="1">{#N/A,#N/A,FALSE,"Resultados_is";#N/A,#N/A,FALSE,"IngresosG_is";#N/A,#N/A,FALSE,"Ingresosp_is";#N/A,#N/A,FALSE,"Financiero_is";#N/A,#N/A,FALSE,"Estructura_is";#N/A,#N/A,FALSE,"EstructuraG_is";#N/A,#N/A,FALSE,"FComercio_is";#N/A,#N/A,FALSE,"Pbeneficios_is";#N/A,#N/A,FALSE,"Gerenciamiento_is";#N/A,#N/A,FALSE,"Desinv_is"}</definedName>
    <definedName name="wrn.CONSELL." localSheetId="8" hidden="1">{#N/A,#N/A,FALSE,"trafmes PROPOSTA";#N/A,#N/A,FALSE,"trafacum PROPOSTA";#N/A,#N/A,FALSE,"grafimd";#N/A,#N/A,FALSE,"grafimdmes";#N/A,#N/A,FALSE,"grafimdperiodo";#N/A,#N/A,FALSE,"dtamgrafic (1)";#N/A,#N/A,FALSE,"dtamgrafic (2)";#N/A,#N/A,FALSE,"ingmes";#N/A,#N/A,FALSE,"ingacum";#N/A,#N/A,FALSE,"asetapantalla"}</definedName>
    <definedName name="wrn.CONSELL." hidden="1">{#N/A,#N/A,FALSE,"trafmes PROPOSTA";#N/A,#N/A,FALSE,"trafacum PROPOSTA";#N/A,#N/A,FALSE,"grafimd";#N/A,#N/A,FALSE,"grafimdmes";#N/A,#N/A,FALSE,"grafimdperiodo";#N/A,#N/A,FALSE,"dtamgrafic (1)";#N/A,#N/A,FALSE,"dtamgrafic (2)";#N/A,#N/A,FALSE,"ingmes";#N/A,#N/A,FALSE,"ingacum";#N/A,#N/A,FALSE,"asetapantalla"}</definedName>
    <definedName name="wrn.conso." localSheetId="8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wrn.conso.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wrn.CONSOLIDADO." hidden="1">{"CONSOLIDADO",#N/A,FALSE,"TOT"}</definedName>
    <definedName name="wrn.Consolidados." localSheetId="8" hidden="1">{#N/A,#N/A,FALSE,"Result Consol";#N/A,#N/A,FALSE,"Indiv_Consol"}</definedName>
    <definedName name="wrn.Consolidados." hidden="1">{#N/A,#N/A,FALSE,"Result Consol";#N/A,#N/A,FALSE,"Indiv_Consol"}</definedName>
    <definedName name="wrn.Consolidated." localSheetId="8" hidden="1">{"PnL",#N/A,FALSE,"Total P&amp;L";"Cost Control",#N/A,FALSE,"Total P&amp;L"}</definedName>
    <definedName name="wrn.Consolidated." hidden="1">{"PnL",#N/A,FALSE,"Total P&amp;L";"Cost Control",#N/A,FALSE,"Total P&amp;L"}</definedName>
    <definedName name="wrn.Consolidated._.Accounts." localSheetId="8" hidden="1">{#N/A,#N/A,FALSE,"P&amp;L";#N/A,#N/A,FALSE,"BS";#N/A,#N/A,FALSE,"CF";#N/A,#N/A,FALSE,"Sup";#N/A,#N/A,FALSE,"Cum P&amp;L";#N/A,#N/A,FALSE,"Cum CF"}</definedName>
    <definedName name="wrn.Consolidated._.Accounts." hidden="1">{#N/A,#N/A,FALSE,"P&amp;L";#N/A,#N/A,FALSE,"BS";#N/A,#N/A,FALSE,"CF";#N/A,#N/A,FALSE,"Sup";#N/A,#N/A,FALSE,"Cum P&amp;L";#N/A,#N/A,FALSE,"Cum CF"}</definedName>
    <definedName name="wrn.Consolidated._.Financial._.Statements." hidden="1">{"Consolidated Income Statement",#N/A,FALSE,"Deal";"Consolidated Balance Sheet",#N/A,FALSE,"Deal";"Consolidated Cash Flow",#N/A,FALSE,"Deal"}</definedName>
    <definedName name="wrn.Consolidated._.Monthly." localSheetId="8" hidden="1">{"incstmtcm",#N/A,TRUE,"Inc Stmt (C)";"balshtcm",#N/A,TRUE,"Bal Sheet (C)";"scfcm",#N/A,TRUE,"Cash Flow (C)";"incmcfcm",#N/A,TRUE,"Inc mcf (C)"}</definedName>
    <definedName name="wrn.Consolidated._.Monthly." hidden="1">{"incstmtcm",#N/A,TRUE,"Inc Stmt (C)";"balshtcm",#N/A,TRUE,"Bal Sheet (C)";"scfcm",#N/A,TRUE,"Cash Flow (C)";"incmcfcm",#N/A,TRUE,"Inc mcf (C)"}</definedName>
    <definedName name="wrn.Consolidated._.Quarterly." localSheetId="8" hidden="1">{"forecastcq",#N/A,TRUE,"Forecast (C)";"incstmtcq",#N/A,TRUE,"Inc Stmt (C)";"balshtcq",#N/A,TRUE,"Bal Sheet (C)";"scfcq",#N/A,TRUE,"Cash Flow (C)";"incmcfcq",#N/A,TRUE,"Inc mcf (C)"}</definedName>
    <definedName name="wrn.Consolidated._.Quarterly." hidden="1">{"forecastcq",#N/A,TRUE,"Forecast (C)";"incstmtcq",#N/A,TRUE,"Inc Stmt (C)";"balshtcq",#N/A,TRUE,"Bal Sheet (C)";"scfcq",#N/A,TRUE,"Cash Flow (C)";"incmcfcq",#N/A,TRUE,"Inc mcf (C)"}</definedName>
    <definedName name="wrn.Consolidated._.Set." localSheetId="8" hidden="1">{"Consolidated IS w Ratios",#N/A,FALSE,"Consolidated";"Consolidated CF",#N/A,FALSE,"Consolidated";"Consolidated DCF",#N/A,FALSE,"Consolidated"}</definedName>
    <definedName name="wrn.Consolidated._.Set." hidden="1">{"Consolidated IS w Ratios",#N/A,FALSE,"Consolidated";"Consolidated CF",#N/A,FALSE,"Consolidated";"Consolidated DCF",#N/A,FALSE,"Consolidated"}</definedName>
    <definedName name="wrn.CONSOLIDATION." localSheetId="8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rn.CONSOLIDATION.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rn.CONSOLIDATION._1" localSheetId="8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rn.CONSOLIDATION._1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rn.Consolidations." localSheetId="8" hidden="1">{"Balance Sheet",#N/A,FALSE,"USA Consolidation";"Cash Flows",#N/A,FALSE,"USA Consolidation";"Balance Sheet",#N/A,FALSE,"Canada Consolidation";"Cash Flows",#N/A,FALSE,"Canada Consolidation";"Balance Sheet",#N/A,FALSE,"CBR North America Consolidated";"Cash Flows",#N/A,FALSE,"CBR North America Consolidated";"Balance Sheet",#N/A,FALSE,"CBR NAM Consolidated vs. Plan";"Cash Flows",#N/A,FALSE,"CBR NAM Consolidated vs. Plan"}</definedName>
    <definedName name="wrn.Consolidations." hidden="1">{"Balance Sheet",#N/A,FALSE,"USA Consolidation";"Cash Flows",#N/A,FALSE,"USA Consolidation";"Balance Sheet",#N/A,FALSE,"Canada Consolidation";"Cash Flows",#N/A,FALSE,"Canada Consolidation";"Balance Sheet",#N/A,FALSE,"CBR North America Consolidated";"Cash Flows",#N/A,FALSE,"CBR North America Consolidated";"Balance Sheet",#N/A,FALSE,"CBR NAM Consolidated vs. Plan";"Cash Flows",#N/A,FALSE,"CBR NAM Consolidated vs. Plan"}</definedName>
    <definedName name="wrn.Consumer._.Finance._.Forecast._.Book." localSheetId="8" hidden="1">{#N/A,#N/A,TRUE,"Header";#N/A,#N/A,TRUE,"Total";#N/A,#N/A,TRUE,"Core";#N/A,#N/A,TRUE,"New";#N/A,#N/A,TRUE,"Core Units Rev";#N/A,#N/A,TRUE,"Core Units GM";#N/A,#N/A,TRUE,"Core Units GM%";#N/A,#N/A,TRUE,"Core Units SGA";#N/A,#N/A,TRUE,"Core Units EBIT";#N/A,#N/A,TRUE,"New Units Rev";#N/A,#N/A,TRUE,"New Units GM";#N/A,#N/A,TRUE,"New Units GM%";#N/A,#N/A,TRUE,"New Units SGA";#N/A,#N/A,TRUE,"New Units EBIT";#N/A,#N/A,TRUE,"Total SGA detail";#N/A,#N/A,TRUE,"Core SGA detail";#N/A,#N/A,TRUE,"New SGA detail";#N/A,#N/A,TRUE,"Summary";#N/A,#N/A,TRUE,"Summary (2)";#N/A,#N/A,TRUE,"Var to last mth";#N/A,#N/A,TRUE,"Revenue";#N/A,#N/A,TRUE,"COS";#N/A,#N/A,TRUE,"Gross Margin";#N/A,#N/A,TRUE,"SG&amp;A";#N/A,#N/A,TRUE,"EBITDA";#N/A,#N/A,TRUE,"Depn&amp;Amort";#N/A,#N/A,TRUE,"EBIT";#N/A,#N/A,TRUE,"Contingency"}</definedName>
    <definedName name="wrn.Consumer._.Finance._.Forecast._.Book." hidden="1">{#N/A,#N/A,TRUE,"Header";#N/A,#N/A,TRUE,"Total";#N/A,#N/A,TRUE,"Core";#N/A,#N/A,TRUE,"New";#N/A,#N/A,TRUE,"Core Units Rev";#N/A,#N/A,TRUE,"Core Units GM";#N/A,#N/A,TRUE,"Core Units GM%";#N/A,#N/A,TRUE,"Core Units SGA";#N/A,#N/A,TRUE,"Core Units EBIT";#N/A,#N/A,TRUE,"New Units Rev";#N/A,#N/A,TRUE,"New Units GM";#N/A,#N/A,TRUE,"New Units GM%";#N/A,#N/A,TRUE,"New Units SGA";#N/A,#N/A,TRUE,"New Units EBIT";#N/A,#N/A,TRUE,"Total SGA detail";#N/A,#N/A,TRUE,"Core SGA detail";#N/A,#N/A,TRUE,"New SGA detail";#N/A,#N/A,TRUE,"Summary";#N/A,#N/A,TRUE,"Summary (2)";#N/A,#N/A,TRUE,"Var to last mth";#N/A,#N/A,TRUE,"Revenue";#N/A,#N/A,TRUE,"COS";#N/A,#N/A,TRUE,"Gross Margin";#N/A,#N/A,TRUE,"SG&amp;A";#N/A,#N/A,TRUE,"EBITDA";#N/A,#N/A,TRUE,"Depn&amp;Amort";#N/A,#N/A,TRUE,"EBIT";#N/A,#N/A,TRUE,"Contingency"}</definedName>
    <definedName name="wrn.Consumer._.Medicines." localSheetId="7" hidden="1">{#N/A,#N/A,FALSE,"OTC";#N/A,#N/A,FALSE,"Ther";#N/A,#N/A,FALSE,"Temp";#N/A,#N/A,FALSE,"Exce";#N/A,#N/A,FALSE,"Buff";#N/A,#N/A,FALSE,"Picot";#N/A,#N/A,FALSE,"Luftal";#N/A,#N/A,FALSE,"Comt"}</definedName>
    <definedName name="wrn.Consumer._.Medicines." localSheetId="8" hidden="1">{#N/A,#N/A,FALSE,"OTC";#N/A,#N/A,FALSE,"Ther";#N/A,#N/A,FALSE,"Temp";#N/A,#N/A,FALSE,"Exce";#N/A,#N/A,FALSE,"Buff";#N/A,#N/A,FALSE,"Picot";#N/A,#N/A,FALSE,"Luftal";#N/A,#N/A,FALSE,"Comt"}</definedName>
    <definedName name="wrn.Consumer._.Medicines." hidden="1">{#N/A,#N/A,FALSE,"OTC";#N/A,#N/A,FALSE,"Ther";#N/A,#N/A,FALSE,"Temp";#N/A,#N/A,FALSE,"Exce";#N/A,#N/A,FALSE,"Buff";#N/A,#N/A,FALSE,"Picot";#N/A,#N/A,FALSE,"Luftal";#N/A,#N/A,FALSE,"Comt"}</definedName>
    <definedName name="wrn.Continous._.Page._.Numbers._.DCF." localSheetId="8" hidden="1">{#N/A,#N/A,TRUE,"Cover Page";#N/A,#N/A,TRUE,"Assumptions MPM";#N/A,#N/A,TRUE,"Summary Sheet MPM";#N/A,#N/A,TRUE,"Output MPM";#N/A,#N/A,TRUE,"Input MPM";#N/A,#N/A,TRUE,"Assets MPM";#N/A,#N/A,TRUE,"Valuation Summary MPM";#N/A,#N/A,TRUE,"KMK";#N/A,#N/A,TRUE,"Demag";#N/A,#N/A,TRUE,"Van Dorn";#N/A,#N/A,TRUE,"Billion";#N/A,#N/A,TRUE,"Berstorff";#N/A,#N/A,TRUE,"Assumptions Netstal";#N/A,#N/A,TRUE,"Summary Sheet Netstal";#N/A,#N/A,TRUE,"Output Netstal";#N/A,#N/A,TRUE,"Input Netstal";#N/A,#N/A,TRUE,"Assets Netstal";#N/A,#N/A,TRUE,"Valuation Summary Netstal";#N/A,#N/A,TRUE,"Growth Assumpt BUs";#N/A,#N/A,TRUE,"Growth Analysis";#N/A,#N/A,TRUE,"Assumptions MPM ex N";#N/A,#N/A,TRUE,"Summary Sheet MPM ex N";#N/A,#N/A,TRUE,"Output MPM ex N";#N/A,#N/A,TRUE,"Input MPM ex N";#N/A,#N/A,TRUE,"Assets MPM ex N";#N/A,#N/A,TRUE,"Valuation Summary MPM ex N"}</definedName>
    <definedName name="wrn.Continous._.Page._.Numbers._.DCF." hidden="1">{#N/A,#N/A,TRUE,"Cover Page";#N/A,#N/A,TRUE,"Assumptions MPM";#N/A,#N/A,TRUE,"Summary Sheet MPM";#N/A,#N/A,TRUE,"Output MPM";#N/A,#N/A,TRUE,"Input MPM";#N/A,#N/A,TRUE,"Assets MPM";#N/A,#N/A,TRUE,"Valuation Summary MPM";#N/A,#N/A,TRUE,"KMK";#N/A,#N/A,TRUE,"Demag";#N/A,#N/A,TRUE,"Van Dorn";#N/A,#N/A,TRUE,"Billion";#N/A,#N/A,TRUE,"Berstorff";#N/A,#N/A,TRUE,"Assumptions Netstal";#N/A,#N/A,TRUE,"Summary Sheet Netstal";#N/A,#N/A,TRUE,"Output Netstal";#N/A,#N/A,TRUE,"Input Netstal";#N/A,#N/A,TRUE,"Assets Netstal";#N/A,#N/A,TRUE,"Valuation Summary Netstal";#N/A,#N/A,TRUE,"Growth Assumpt BUs";#N/A,#N/A,TRUE,"Growth Analysis";#N/A,#N/A,TRUE,"Assumptions MPM ex N";#N/A,#N/A,TRUE,"Summary Sheet MPM ex N";#N/A,#N/A,TRUE,"Output MPM ex N";#N/A,#N/A,TRUE,"Input MPM ex N";#N/A,#N/A,TRUE,"Assets MPM ex N";#N/A,#N/A,TRUE,"Valuation Summary MPM ex N"}</definedName>
    <definedName name="wrn.Continous._.Page._.Numbers._.DCF._1" localSheetId="8" hidden="1">{#N/A,#N/A,TRUE,"Cover Page";#N/A,#N/A,TRUE,"Assumptions MPM";#N/A,#N/A,TRUE,"Summary Sheet MPM";#N/A,#N/A,TRUE,"Output MPM";#N/A,#N/A,TRUE,"Input MPM";#N/A,#N/A,TRUE,"Assets MPM";#N/A,#N/A,TRUE,"Valuation Summary MPM";#N/A,#N/A,TRUE,"KMK";#N/A,#N/A,TRUE,"Demag";#N/A,#N/A,TRUE,"Van Dorn";#N/A,#N/A,TRUE,"Billion";#N/A,#N/A,TRUE,"Berstorff";#N/A,#N/A,TRUE,"Assumptions Netstal";#N/A,#N/A,TRUE,"Summary Sheet Netstal";#N/A,#N/A,TRUE,"Output Netstal";#N/A,#N/A,TRUE,"Input Netstal";#N/A,#N/A,TRUE,"Assets Netstal";#N/A,#N/A,TRUE,"Valuation Summary Netstal";#N/A,#N/A,TRUE,"Growth Assumpt BUs";#N/A,#N/A,TRUE,"Growth Analysis";#N/A,#N/A,TRUE,"Assumptions MPM ex N";#N/A,#N/A,TRUE,"Summary Sheet MPM ex N";#N/A,#N/A,TRUE,"Output MPM ex N";#N/A,#N/A,TRUE,"Input MPM ex N";#N/A,#N/A,TRUE,"Assets MPM ex N";#N/A,#N/A,TRUE,"Valuation Summary MPM ex N"}</definedName>
    <definedName name="wrn.Continous._.Page._.Numbers._.DCF._1" hidden="1">{#N/A,#N/A,TRUE,"Cover Page";#N/A,#N/A,TRUE,"Assumptions MPM";#N/A,#N/A,TRUE,"Summary Sheet MPM";#N/A,#N/A,TRUE,"Output MPM";#N/A,#N/A,TRUE,"Input MPM";#N/A,#N/A,TRUE,"Assets MPM";#N/A,#N/A,TRUE,"Valuation Summary MPM";#N/A,#N/A,TRUE,"KMK";#N/A,#N/A,TRUE,"Demag";#N/A,#N/A,TRUE,"Van Dorn";#N/A,#N/A,TRUE,"Billion";#N/A,#N/A,TRUE,"Berstorff";#N/A,#N/A,TRUE,"Assumptions Netstal";#N/A,#N/A,TRUE,"Summary Sheet Netstal";#N/A,#N/A,TRUE,"Output Netstal";#N/A,#N/A,TRUE,"Input Netstal";#N/A,#N/A,TRUE,"Assets Netstal";#N/A,#N/A,TRUE,"Valuation Summary Netstal";#N/A,#N/A,TRUE,"Growth Assumpt BUs";#N/A,#N/A,TRUE,"Growth Analysis";#N/A,#N/A,TRUE,"Assumptions MPM ex N";#N/A,#N/A,TRUE,"Summary Sheet MPM ex N";#N/A,#N/A,TRUE,"Output MPM ex N";#N/A,#N/A,TRUE,"Input MPM ex N";#N/A,#N/A,TRUE,"Assets MPM ex N";#N/A,#N/A,TRUE,"Valuation Summary MPM ex N"}</definedName>
    <definedName name="wrn.contribution." localSheetId="8" hidden="1">{#N/A,#N/A,FALSE,"Contribution Analysis"}</definedName>
    <definedName name="wrn.contribution." hidden="1">{#N/A,#N/A,FALSE,"Contribution Analysis"}</definedName>
    <definedName name="wrn.Contribution._.Margin." hidden="1">{"Contribution Margin",#N/A,TRUE,"Product Summary";"GAAP Reconciliation",#N/A,TRUE,"Product Summary";"Existing Products Contribution Margin Roll",#N/A,TRUE,"Product Roll1";"New Products Contracted Contribution Roll",#N/A,TRUE,"Product Roll2";"New Products Not Contracted Contrib Roll 1",#N/A,TRUE,"Product Roll3";"New Products Not Contracted Contrib Roll 2",#N/A,TRUE,"Product Roll3";"New Products Not Contracted Contrib Roll 3",#N/A,TRUE,"Product Roll3";"New Products Not Contracted Contrib Roll 4",#N/A,TRUE,"Product Roll3"}</definedName>
    <definedName name="wrn.contribution._1" localSheetId="8" hidden="1">{#N/A,#N/A,FALSE,"Contribution Analysis"}</definedName>
    <definedName name="wrn.contribution._1" hidden="1">{#N/A,#N/A,FALSE,"Contribution Analysis"}</definedName>
    <definedName name="wrn.contributory._.asset._.charges." hidden="1">{"contributory1",#N/A,FALSE,"Contributory Assets Detail";"contributory2",#N/A,FALSE,"Contributory Assets Detail"}</definedName>
    <definedName name="wrn.CONTROL._.MENSUAL._.LA._.NAVARRA." localSheetId="8" hidden="1">{"ÍNDICE",#N/A,FALSE,"ÍNDICE";"RESUMEN PREVISTO-REAL",#N/A,FALSE,"RESUMEN DATOS PREV-REAL";"RESUMEN CON AÑO ANTERIOR",#N/A,FALSE,"RESUMEN DATOS CON AÑO ANTERIOR";"RESUMEN OP. COMERCIALES",#N/A,FALSE,"RESUMEN OP. COMERCIALES ";"SALIDAS MES NACIONAL",#N/A,FALSE,"control salidas mes nacional";"SALIDAS MES EXTERIOR",#N/A,FALSE,"control salidas mes exterior";"SALIDAS MES TOTAL",#N/A,FALSE,"control salidas mes Total";"SALIDAS ACUM NACIONAL",#N/A,FALSE,"control salidas acum nacional ";"SALIDAS ACUM EXTERIOR",#N/A,FALSE,"control salidas acum exterior ";"SALIDAS ACUM TOTAL",#N/A,FALSE,"control salidas acum Total ";"LICORES NACIONAL",#N/A,FALSE,"LICORES DE FRUTAS (NACIONAL)";"LICORES EXTERIOR",#N/A,FALSE,"LICORES DE FRUTAS (EXTERIOR)";"LICORES TOTAL",#N/A,FALSE,"LICORES DE FRUTAS (TOTAL)";"PROMOCIONES ACUM NACIONAL",#N/A,FALSE,"control promociones ac. naciona";"GTOS VARIABLES DETALLE",#N/A,FALSE,"control g. var. detalle";"GTOS VARIABLES COMUNES",#N/A,FALSE,"control g. var. comunes";"GASTOS FIJOS",#N/A,FALSE,"control gastos fijos";"PUB Y PROM. PATXARAN",#N/A,FALSE,"ctrl. pub. y prom. patxaran";"PUB Y PROM. LICORES",#N/A,FALSE,"ctrl. pub. y prom. licores";"PUB Y PROM. VINOS",#N/A,FALSE,"ctrl. pub. y prom. vinos";"P y G Presup.",#N/A,FALSE,"control PyG";"P y G Real",#N/A,FALSE,"control PyG (2)";#N/A,#N/A,FALSE,"Comparación Publicidad...";"PyG productos presup.",#N/A,FALSE,"cta. PyG productos";"PyG productos Real",#N/A,FALSE,"cta. PyG productos (2)";#N/A,#N/A,FALSE,"PyG Consolidada (1)";#N/A,#N/A,FALSE,"PyG Consolidada (2)";"Comparación u.f.",#N/A,FALSE,"comparación u.f.";"Comparación precios",#N/A,FALSE,"comparación precios";"Comparación facturación",#N/A,FALSE,"comparación facturación";"Comparación ctas PyG",#N/A,FALSE,"comparación Cta. PyG";"TAM mes",#N/A,FALSE,"TAM mes";"TAM 12 meses",#N/A,FALSE,"TAM 12 meses";"Ventas 4 años",#N/A,FALSE,"ventas 4 útimos años";"Ventas previstas-reales",#N/A,FALSE,"ventas previstas-reales"}</definedName>
    <definedName name="wrn.CONTROL._.MENSUAL._.LA._.NAVARRA." hidden="1">{"ÍNDICE",#N/A,FALSE,"ÍNDICE";"RESUMEN PREVISTO-REAL",#N/A,FALSE,"RESUMEN DATOS PREV-REAL";"RESUMEN CON AÑO ANTERIOR",#N/A,FALSE,"RESUMEN DATOS CON AÑO ANTERIOR";"RESUMEN OP. COMERCIALES",#N/A,FALSE,"RESUMEN OP. COMERCIALES ";"SALIDAS MES NACIONAL",#N/A,FALSE,"control salidas mes nacional";"SALIDAS MES EXTERIOR",#N/A,FALSE,"control salidas mes exterior";"SALIDAS MES TOTAL",#N/A,FALSE,"control salidas mes Total";"SALIDAS ACUM NACIONAL",#N/A,FALSE,"control salidas acum nacional ";"SALIDAS ACUM EXTERIOR",#N/A,FALSE,"control salidas acum exterior ";"SALIDAS ACUM TOTAL",#N/A,FALSE,"control salidas acum Total ";"LICORES NACIONAL",#N/A,FALSE,"LICORES DE FRUTAS (NACIONAL)";"LICORES EXTERIOR",#N/A,FALSE,"LICORES DE FRUTAS (EXTERIOR)";"LICORES TOTAL",#N/A,FALSE,"LICORES DE FRUTAS (TOTAL)";"PROMOCIONES ACUM NACIONAL",#N/A,FALSE,"control promociones ac. naciona";"GTOS VARIABLES DETALLE",#N/A,FALSE,"control g. var. detalle";"GTOS VARIABLES COMUNES",#N/A,FALSE,"control g. var. comunes";"GASTOS FIJOS",#N/A,FALSE,"control gastos fijos";"PUB Y PROM. PATXARAN",#N/A,FALSE,"ctrl. pub. y prom. patxaran";"PUB Y PROM. LICORES",#N/A,FALSE,"ctrl. pub. y prom. licores";"PUB Y PROM. VINOS",#N/A,FALSE,"ctrl. pub. y prom. vinos";"P y G Presup.",#N/A,FALSE,"control PyG";"P y G Real",#N/A,FALSE,"control PyG (2)";#N/A,#N/A,FALSE,"Comparación Publicidad...";"PyG productos presup.",#N/A,FALSE,"cta. PyG productos";"PyG productos Real",#N/A,FALSE,"cta. PyG productos (2)";#N/A,#N/A,FALSE,"PyG Consolidada (1)";#N/A,#N/A,FALSE,"PyG Consolidada (2)";"Comparación u.f.",#N/A,FALSE,"comparación u.f.";"Comparación precios",#N/A,FALSE,"comparación precios";"Comparación facturación",#N/A,FALSE,"comparación facturación";"Comparación ctas PyG",#N/A,FALSE,"comparación Cta. PyG";"TAM mes",#N/A,FALSE,"TAM mes";"TAM 12 meses",#N/A,FALSE,"TAM 12 meses";"Ventas 4 años",#N/A,FALSE,"ventas 4 útimos años";"Ventas previstas-reales",#N/A,FALSE,"ventas previstas-reales"}</definedName>
    <definedName name="wrn.cooper." localSheetId="8" hidden="1">{#N/A,#N/A,TRUE,"Pro Forma";#N/A,#N/A,TRUE,"PF_Bal";#N/A,#N/A,TRUE,"PF_INC";#N/A,#N/A,TRUE,"CBE";#N/A,#N/A,TRUE,"SWK"}</definedName>
    <definedName name="wrn.cooper." hidden="1">{#N/A,#N/A,TRUE,"Pro Forma";#N/A,#N/A,TRUE,"PF_Bal";#N/A,#N/A,TRUE,"PF_INC";#N/A,#N/A,TRUE,"CBE";#N/A,#N/A,TRUE,"SWK"}</definedName>
    <definedName name="wrn.cooper._1" localSheetId="8" hidden="1">{#N/A,#N/A,TRUE,"Pro Forma";#N/A,#N/A,TRUE,"PF_Bal";#N/A,#N/A,TRUE,"PF_INC";#N/A,#N/A,TRUE,"CBE";#N/A,#N/A,TRUE,"SWK"}</definedName>
    <definedName name="wrn.cooper._1" hidden="1">{#N/A,#N/A,TRUE,"Pro Forma";#N/A,#N/A,TRUE,"PF_Bal";#N/A,#N/A,TRUE,"PF_INC";#N/A,#N/A,TRUE,"CBE";#N/A,#N/A,TRUE,"SWK"}</definedName>
    <definedName name="wrn.Core." localSheetId="8" hidden="1">{"MAJCore",#N/A,FALSE,"MAJ";"BISCore",#N/A,FALSE,"BIS";"SMECore",#N/A,FALSE,"SME";"SMMCore",#N/A,FALSE,"SMM";"SMPCore",#N/A,FALSE,"SMP";"SMCCore",#N/A,FALSE,"SMC";"SMRCore",#N/A,FALSE,"SMR";"CNSCore",#N/A,FALSE,"CNS";"REGCore",#N/A,FALSE,"REG"}</definedName>
    <definedName name="wrn.Core." hidden="1">{"MAJCore",#N/A,FALSE,"MAJ";"BISCore",#N/A,FALSE,"BIS";"SMECore",#N/A,FALSE,"SME";"SMMCore",#N/A,FALSE,"SMM";"SMPCore",#N/A,FALSE,"SMP";"SMCCore",#N/A,FALSE,"SMC";"SMRCore",#N/A,FALSE,"SMR";"CNSCore",#N/A,FALSE,"CNS";"REGCore",#N/A,FALSE,"REG"}</definedName>
    <definedName name="wrn.corso_forecast." localSheetId="8" hidden="1">{"ce_storici",#N/A,FALSE}</definedName>
    <definedName name="wrn.corso_forecast." hidden="1">{"ce_storici",#N/A,FALSE}</definedName>
    <definedName name="wrn.corso_forecast._1" localSheetId="8" hidden="1">{"ce_storici",#N/A,FALSE}</definedName>
    <definedName name="wrn.corso_forecast._1" hidden="1">{"ce_storici",#N/A,FALSE}</definedName>
    <definedName name="wrn.COS." localSheetId="8" hidden="1">{"PAGE 1",#N/A,FALSE,"COS";"PAGE 2",#N/A,FALSE,"COS";"PAGE 3",#N/A,FALSE,"COS"}</definedName>
    <definedName name="wrn.COS." hidden="1">{"PAGE 1",#N/A,FALSE,"COS";"PAGE 2",#N/A,FALSE,"COS";"PAGE 3",#N/A,FALSE,"COS"}</definedName>
    <definedName name="wrn.COS._.EX._.GEISMAR." localSheetId="8" hidden="1">{"PAGE 1",#N/A,FALSE,"COS Excluding Geismar";"PAGE 2",#N/A,FALSE,"COS Excluding Geismar";"PAGE 3",#N/A,FALSE,"COS Excluding Geismar"}</definedName>
    <definedName name="wrn.COS._.EX._.GEISMAR." hidden="1">{"PAGE 1",#N/A,FALSE,"COS Excluding Geismar";"PAGE 2",#N/A,FALSE,"COS Excluding Geismar";"PAGE 3",#N/A,FALSE,"COS Excluding Geismar"}</definedName>
    <definedName name="wrn.COST._.OF._.SALES." localSheetId="8" hidden="1">{"COST OF SALES",#N/A,FALSE,"C.O.SALES"}</definedName>
    <definedName name="wrn.COST._.OF._.SALES." hidden="1">{"COST OF SALES",#N/A,FALSE,"C.O.SALES"}</definedName>
    <definedName name="wrn.Covenants." localSheetId="8" hidden="1">{"Page1",#N/A,FALSE,"Covenants";"Page2",#N/A,FALSE,"Covenants";"Page3",#N/A,FALSE,"Covenants"}</definedName>
    <definedName name="wrn.Covenants." hidden="1">{"Page1",#N/A,FALSE,"Covenants";"Page2",#N/A,FALSE,"Covenants";"Page3",#N/A,FALSE,"Covenants"}</definedName>
    <definedName name="wrn.Cover." localSheetId="7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" localSheetId="8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1" localSheetId="8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1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rom._.4cast." hidden="1">{#N/A,#N/A,TRUE,"TOTAL Roll-up";#N/A,#N/A,TRUE,"Launch timing assumptions"}</definedName>
    <definedName name="wrn.croma._.forecast." hidden="1">{#N/A,#N/A,TRUE,"TOTAL Roll-up";#N/A,#N/A,TRUE,"Launch timing assumptions"}</definedName>
    <definedName name="wrn.CRT." localSheetId="8" hidden="1">{#N/A,#N/A,TRUE,"Title Sheet";#N/A,#N/A,TRUE,"Contents";#N/A,#N/A,TRUE,"Scenarios";#N/A,#N/A,TRUE,"WACC";#N/A,#N/A,TRUE,"Valuation-PERPETUITY";#N/A,#N/A,TRUE,"IS - Conso";#N/A,#N/A,TRUE,"IS - Conso (US$ '95)";#N/A,#N/A,TRUE,"Cash Flow - Conso";#N/A,#N/A,TRUE,"Cash Flow - Conso (US$'95)";#N/A,#N/A,TRUE,"BS - Conso";#N/A,#N/A,TRUE,"BS - Conso (US$'95)";#N/A,#N/A,TRUE,"Macro Assumptions";#N/A,#N/A,TRUE,"Supply assumptions";#N/A,#N/A,TRUE,"Tariffs-Elasticities (FIXED)";#N/A,#N/A,TRUE,"Fixed - Revenues";#N/A,#N/A,TRUE,"Cellular - Revenues";#N/A,#N/A,TRUE,"Fixed - OPEX";#N/A,#N/A,TRUE,"Cellular - OPEX";#N/A,#N/A,TRUE,"Fixed - CAPEX";#N/A,#N/A,TRUE," mobile - CAPEX ";#N/A,#N/A,TRUE,"Debt ";#N/A,#N/A,TRUE,"Taxes";#N/A,#N/A,TRUE,"Dividends";#N/A,#N/A,TRUE,"Net WC";#N/A,#N/A,TRUE,"Ratios";#N/A,#N/A,TRUE,"Ratios IS-Conso";#N/A,#N/A,TRUE,"Ratios BS - Conso";#N/A,#N/A,TRUE,"Proforma - Fixed";#N/A,#N/A,TRUE,"Proforma- Cellular"}</definedName>
    <definedName name="wrn.CRT." hidden="1">{#N/A,#N/A,TRUE,"Title Sheet";#N/A,#N/A,TRUE,"Contents";#N/A,#N/A,TRUE,"Scenarios";#N/A,#N/A,TRUE,"WACC";#N/A,#N/A,TRUE,"Valuation-PERPETUITY";#N/A,#N/A,TRUE,"IS - Conso";#N/A,#N/A,TRUE,"IS - Conso (US$ '95)";#N/A,#N/A,TRUE,"Cash Flow - Conso";#N/A,#N/A,TRUE,"Cash Flow - Conso (US$'95)";#N/A,#N/A,TRUE,"BS - Conso";#N/A,#N/A,TRUE,"BS - Conso (US$'95)";#N/A,#N/A,TRUE,"Macro Assumptions";#N/A,#N/A,TRUE,"Supply assumptions";#N/A,#N/A,TRUE,"Tariffs-Elasticities (FIXED)";#N/A,#N/A,TRUE,"Fixed - Revenues";#N/A,#N/A,TRUE,"Cellular - Revenues";#N/A,#N/A,TRUE,"Fixed - OPEX";#N/A,#N/A,TRUE,"Cellular - OPEX";#N/A,#N/A,TRUE,"Fixed - CAPEX";#N/A,#N/A,TRUE," mobile - CAPEX ";#N/A,#N/A,TRUE,"Debt ";#N/A,#N/A,TRUE,"Taxes";#N/A,#N/A,TRUE,"Dividends";#N/A,#N/A,TRUE,"Net WC";#N/A,#N/A,TRUE,"Ratios";#N/A,#N/A,TRUE,"Ratios IS-Conso";#N/A,#N/A,TRUE,"Ratios BS - Conso";#N/A,#N/A,TRUE,"Proforma - Fixed";#N/A,#N/A,TRUE,"Proforma- Cellular"}</definedName>
    <definedName name="wrn.crude." localSheetId="8" hidden="1">{"current1",#N/A,FALSE,"CRUDE";"current2",#N/A,FALSE,"CRUDE";"CONSTANT",#N/A,FALSE,"CRUDE"}</definedName>
    <definedName name="wrn.crude." hidden="1">{"current1",#N/A,FALSE,"CRUDE";"current2",#N/A,FALSE,"CRUDE";"CONSTANT",#N/A,FALSE,"CRUDE"}</definedName>
    <definedName name="wrn.csc." localSheetId="8" hidden="1">{"orixcsc",#N/A,FALSE,"ORIX CSC";"orixcsc2",#N/A,FALSE,"ORIX CSC"}</definedName>
    <definedName name="wrn.csc." hidden="1">{"orixcsc",#N/A,FALSE,"ORIX CSC";"orixcsc2",#N/A,FALSE,"ORIX CSC"}</definedName>
    <definedName name="wrn.CSC._.All." hidden="1">{"Asia and Europe",#N/A,FALSE,"Selected Output 1";"United States",#N/A,FALSE,"Selected Output 1"}</definedName>
    <definedName name="wrn.csc._1" localSheetId="8" hidden="1">{"orixcsc",#N/A,FALSE,"ORIX CSC";"orixcsc2",#N/A,FALSE,"ORIX CSC"}</definedName>
    <definedName name="wrn.csc._1" hidden="1">{"orixcsc",#N/A,FALSE,"ORIX CSC";"orixcsc2",#N/A,FALSE,"ORIX CSC"}</definedName>
    <definedName name="wrn.CSC2" localSheetId="8" hidden="1">{"page1",#N/A,TRUE,"CSC";"page2",#N/A,TRUE,"CSC"}</definedName>
    <definedName name="wrn.CSC2" hidden="1">{"page1",#N/A,TRUE,"CSC";"page2",#N/A,TRUE,"CSC"}</definedName>
    <definedName name="wrn.csc2." localSheetId="8" hidden="1">{#N/A,#N/A,FALSE,"ORIX CSC"}</definedName>
    <definedName name="wrn.csc2." hidden="1">{#N/A,#N/A,FALSE,"ORIX CSC"}</definedName>
    <definedName name="wrn.csc2._1" localSheetId="8" hidden="1">{#N/A,#N/A,FALSE,"ORIX CSC"}</definedName>
    <definedName name="wrn.csc2._1" hidden="1">{#N/A,#N/A,FALSE,"ORIX CSC"}</definedName>
    <definedName name="wrn.CSS._.OUTLOOK._.FY97." localSheetId="8" hidden="1">{#N/A,#N/A,FALSE,"CSS";#N/A,#N/A,FALSE,"USCSS ROLLUP";#N/A,#N/A,FALSE,"INT'L ROLLUP";#N/A,#N/A,FALSE,"CSS HQ";#N/A,#N/A,FALSE,"USCS";#N/A,#N/A,FALSE,"TARGET";#N/A,#N/A,FALSE,"MICROSOFT";#N/A,#N/A,FALSE,"AT&amp;T";#N/A,#N/A,FALSE,"ALT CHANNELS";#N/A,#N/A,FALSE,"USCS HQ";#N/A,#N/A,FALSE,"INTL MGMT";#N/A,#N/A,FALSE,"EMEA";#N/A,#N/A,FALSE,"ASIA PACIFIC";#N/A,#N/A,FALSE,"LATIN AMERICA";#N/A,#N/A,FALSE,"CANADA"}</definedName>
    <definedName name="wrn.CSS._.OUTLOOK._.FY97." hidden="1">{#N/A,#N/A,FALSE,"CSS";#N/A,#N/A,FALSE,"USCSS ROLLUP";#N/A,#N/A,FALSE,"INT'L ROLLUP";#N/A,#N/A,FALSE,"CSS HQ";#N/A,#N/A,FALSE,"USCS";#N/A,#N/A,FALSE,"TARGET";#N/A,#N/A,FALSE,"MICROSOFT";#N/A,#N/A,FALSE,"AT&amp;T";#N/A,#N/A,FALSE,"ALT CHANNELS";#N/A,#N/A,FALSE,"USCS HQ";#N/A,#N/A,FALSE,"INTL MGMT";#N/A,#N/A,FALSE,"EMEA";#N/A,#N/A,FALSE,"ASIA PACIFIC";#N/A,#N/A,FALSE,"LATIN AMERICA";#N/A,#N/A,FALSE,"CANADA"}</definedName>
    <definedName name="wrn.CTA._.RTDOS._.columnas." localSheetId="8" hidden="1">{#N/A,#N/A,FALSE,"MF_OPO_MO";#N/A,#N/A,FALSE,"GEx_GPer_GGen";#N/A,#N/A,FALSE,"Amort_MEx_Saneam";#N/A,#N/A,FALSE,"Saneam.Val_RAI_Gtos.ExP.-MO"}</definedName>
    <definedName name="wrn.CTA._.RTDOS._.columnas." hidden="1">{#N/A,#N/A,FALSE,"MF_OPO_MO";#N/A,#N/A,FALSE,"GEx_GPer_GGen";#N/A,#N/A,FALSE,"Amort_MEx_Saneam";#N/A,#N/A,FALSE,"Saneam.Val_RAI_Gtos.ExP.-MO"}</definedName>
    <definedName name="wrn.CTA._.RTDOS._.lineas." localSheetId="8" hidden="1">{#N/A,#N/A,FALSE,"PF-CF";#N/A,#N/A,FALSE,"MF-MO";#N/A,#N/A,FALSE,"GE-ME";#N/A,#N/A,FALSE,"SANEAM";#N/A,#N/A,FALSE,"BAI";#N/A,#N/A,FALSE,"ATM";#N/A,#N/A,FALSE,"EFICIENCIA"}</definedName>
    <definedName name="wrn.CTA._.RTDOS._.lineas." hidden="1">{#N/A,#N/A,FALSE,"PF-CF";#N/A,#N/A,FALSE,"MF-MO";#N/A,#N/A,FALSE,"GE-ME";#N/A,#N/A,FALSE,"SANEAM";#N/A,#N/A,FALSE,"BAI";#N/A,#N/A,FALSE,"ATM";#N/A,#N/A,FALSE,"EFICIENCIA"}</definedName>
    <definedName name="wrn.cta._.rtdos._.trim.." localSheetId="8" hidden="1">{#N/A,#N/A,FALSE,"% ATM";#N/A,#N/A,FALSE,"MENSUAL";#N/A,#N/A,FALSE,"MENSUAL %";#N/A,#N/A,FALSE,"TRIMESTRAL";#N/A,#N/A,FALSE,"% ATM TRIM."}</definedName>
    <definedName name="wrn.cta._.rtdos._.trim.." hidden="1">{#N/A,#N/A,FALSE,"% ATM";#N/A,#N/A,FALSE,"MENSUAL";#N/A,#N/A,FALSE,"MENSUAL %";#N/A,#N/A,FALSE,"TRIMESTRAL";#N/A,#N/A,FALSE,"% ATM TRIM."}</definedName>
    <definedName name="wrn.CUADROD._.TESA." hidden="1">{#N/A,#N/A,FALSE,"Participaciones";#N/A,#N/A,FALSE,"Gastos Distribuir";#N/A,#N/A,FALSE,"Fondo de Comercio";#N/A,#N/A,FALSE,"Cuentas deudoras y acreedoras";#N/A,#N/A,FALSE,"Prov. Riesgos y gastos";#N/A,#N/A,FALSE,"Préstamos Vencimientos";#N/A,#N/A,FALSE,"Préstamos formato TESA";#N/A,#N/A,FALSE,"Información Swap´s";#N/A,#N/A,FALSE,"Tipos de prestamos";#N/A,#N/A,FALSE,"Obligaciones Vencimientos";#N/A,#N/A,FALSE,"Obligaciones Movimiento";#N/A,#N/A,FALSE,"Coste Financiero Obligaciones";#N/A,#N/A,FALSE,"Coef. Amortizacion";#N/A,#N/A,FALSE,"Venta de Participaciones";#N/A,#N/A,FALSE,"Admones. Pcas.";#N/A,#N/A,FALSE,"Acreedores diversos";#N/A,#N/A,FALSE,"Ingresos y Gastos emp. grupo";#N/A,#N/A,FALSE,"Invovilizado Amortizado";#N/A,#N/A,FALSE,"Ingresos y gastos extraord.";#N/A,#N/A,FALSE,"Personal Categorías y Lineas";#N/A,#N/A,FALSE,"Cotizaciones";#N/A,#N/A,FALSE,"Desglose Inst. Telefónicas";#N/A,#N/A,FALSE,"Inmovilizado Inmaterial";#N/A,#N/A,FALSE,"Inmovilizado Material";#N/A,#N/A,FALSE,"Impuestos antic. y diferidos";#N/A,#N/A,FALSE,"Diferencias de cambio"}</definedName>
    <definedName name="wrn.Cuadros." localSheetId="8" hidden="1">{#N/A,#N/A,FALSE,"NOTAS";#N/A,#N/A,FALSE,"Indice";#N/A,#N/A,FALSE,"c0";#N/A,#N/A,FALSE,"Cuota Dep";#N/A,#N/A,FALSE,"Cuota Dep Prov";#N/A,#N/A,FALSE,"Cuota Inv";#N/A,#N/A,FALSE,"Cuota Inv Prov";#N/A,#N/A,FALSE,"Rec Propios";#N/A,#N/A,FALSE,"Ratios";#N/A,#N/A,FALSE,"Bal Pub Act";#N/A,#N/A,FALSE,"Bal Act";#N/A,#N/A,FALSE,"Inv SF";#N/A,#N/A,FALSE,"Dudosidad";#N/A,#N/A,FALSE,"Bal Pub Pas";#N/A,#N/A,FALSE,"Bal Pas";#N/A,#N/A,FALSE,"Rec SF";#N/A,#N/A,FALSE,"Result";#N/A,#N/A,FALSE,"Result Acum";#N/A,#N/A,FALSE,"Empl y rec";#N/A,#N/A,FALSE,"Tipos Inv";#N/A,#N/A,FALSE,"Tipos Cart";#N/A,#N/A,FALSE,"Tipos IF";#N/A,#N/A,FALSE,"Tipos Rec";#N/A,#N/A,FALSE,"Comis";#N/A,#N/A,FALSE,"G. Gener";#N/A,#N/A,FALSE,"G. Personal";#N/A,#N/A,FALSE,"Inv Div";#N/A,#N/A,FALSE,"Rec Div";#N/A,#N/A,FALSE,"Sucursales";#N/A,#N/A,FALSE,"Inv SC";#N/A,#N/A,FALSE,"Rec SC";#N/A,#N/A,FALSE,"Bal Act Cons";#N/A,#N/A,FALSE,"Bal Pas Cons";#N/A,#N/A,FALSE,"Res Cons";#N/A,#N/A,FALSE,"PF c0";#N/A,#N/A,FALSE,"PF Act";#N/A,#N/A,FALSE,"PF Inv";#N/A,#N/A,FALSE,"PF Inv (SMA)";#N/A,#N/A,FALSE,"PF Pas";#N/A,#N/A,FALSE,"PF Rec";#N/A,#N/A,FALSE,"PF Rec (SMA)";#N/A,#N/A,FALSE,"PF Res"}</definedName>
    <definedName name="wrn.Cuadros." hidden="1">{#N/A,#N/A,FALSE,"NOTAS";#N/A,#N/A,FALSE,"Indice";#N/A,#N/A,FALSE,"c0";#N/A,#N/A,FALSE,"Cuota Dep";#N/A,#N/A,FALSE,"Cuota Dep Prov";#N/A,#N/A,FALSE,"Cuota Inv";#N/A,#N/A,FALSE,"Cuota Inv Prov";#N/A,#N/A,FALSE,"Rec Propios";#N/A,#N/A,FALSE,"Ratios";#N/A,#N/A,FALSE,"Bal Pub Act";#N/A,#N/A,FALSE,"Bal Act";#N/A,#N/A,FALSE,"Inv SF";#N/A,#N/A,FALSE,"Dudosidad";#N/A,#N/A,FALSE,"Bal Pub Pas";#N/A,#N/A,FALSE,"Bal Pas";#N/A,#N/A,FALSE,"Rec SF";#N/A,#N/A,FALSE,"Result";#N/A,#N/A,FALSE,"Result Acum";#N/A,#N/A,FALSE,"Empl y rec";#N/A,#N/A,FALSE,"Tipos Inv";#N/A,#N/A,FALSE,"Tipos Cart";#N/A,#N/A,FALSE,"Tipos IF";#N/A,#N/A,FALSE,"Tipos Rec";#N/A,#N/A,FALSE,"Comis";#N/A,#N/A,FALSE,"G. Gener";#N/A,#N/A,FALSE,"G. Personal";#N/A,#N/A,FALSE,"Inv Div";#N/A,#N/A,FALSE,"Rec Div";#N/A,#N/A,FALSE,"Sucursales";#N/A,#N/A,FALSE,"Inv SC";#N/A,#N/A,FALSE,"Rec SC";#N/A,#N/A,FALSE,"Bal Act Cons";#N/A,#N/A,FALSE,"Bal Pas Cons";#N/A,#N/A,FALSE,"Res Cons";#N/A,#N/A,FALSE,"PF c0";#N/A,#N/A,FALSE,"PF Act";#N/A,#N/A,FALSE,"PF Inv";#N/A,#N/A,FALSE,"PF Inv (SMA)";#N/A,#N/A,FALSE,"PF Pas";#N/A,#N/A,FALSE,"PF Rec";#N/A,#N/A,FALSE,"PF Rec (SMA)";#N/A,#N/A,FALSE,"PF Res"}</definedName>
    <definedName name="wrn.CUENTA._.DE._.RTDOS." localSheetId="8" hidden="1">{#N/A,#N/A,FALSE,"% ATM";#N/A,#N/A,FALSE,"MENSUAL";#N/A,#N/A,FALSE,"MENSUAL %"}</definedName>
    <definedName name="wrn.CUENTA._.DE._.RTDOS." hidden="1">{#N/A,#N/A,FALSE,"% ATM";#N/A,#N/A,FALSE,"MENSUAL";#N/A,#N/A,FALSE,"MENSUAL %"}</definedName>
    <definedName name="wrn.CUENTA._.RESULTADOS." localSheetId="8" hidden="1">{#N/A,#N/A,FALSE,"CTARTDOS";#N/A,#N/A,FALSE,"carmen"}</definedName>
    <definedName name="wrn.CUENTA._.RESULTADOS." hidden="1">{#N/A,#N/A,FALSE,"CTARTDOS";#N/A,#N/A,FALSE,"carmen"}</definedName>
    <definedName name="wrn.CUENTA._.TRIMESTRAL." localSheetId="8" hidden="1">{#N/A,#N/A,FALSE,"% ATM";#N/A,#N/A,FALSE,"% ATM CORREG.";#N/A,#N/A,FALSE,"MES";#N/A,#N/A,FALSE,"MES %";#N/A,#N/A,FALSE,"TRIMES";#N/A,#N/A,FALSE,"% TRIM."}</definedName>
    <definedName name="wrn.CUENTA._.TRIMESTRAL." hidden="1">{#N/A,#N/A,FALSE,"% ATM";#N/A,#N/A,FALSE,"% ATM CORREG.";#N/A,#N/A,FALSE,"MES";#N/A,#N/A,FALSE,"MES %";#N/A,#N/A,FALSE,"TRIMES";#N/A,#N/A,FALSE,"% TRIM."}</definedName>
    <definedName name="wrn.CUOTA._.ACREED.._.OSR." localSheetId="8" hidden="1">{#N/A,#N/A,FALSE,"ACREPRIV";#N/A,#N/A,FALSE,"CTAS CORRIENTES";#N/A,#N/A,FALSE,"AHORRO";#N/A,#N/A,FALSE,"PLAZO";#N/A,#N/A,FALSE,"OSR-CTA"}</definedName>
    <definedName name="wrn.CUOTA._.ACREED.._.OSR." hidden="1">{#N/A,#N/A,FALSE,"ACREPRIV";#N/A,#N/A,FALSE,"CTAS CORRIENTES";#N/A,#N/A,FALSE,"AHORRO";#N/A,#N/A,FALSE,"PLAZO";#N/A,#N/A,FALSE,"OSR-CTA"}</definedName>
    <definedName name="wrn.CUOTA._.CREDITO." localSheetId="8" hidden="1">{#N/A,#N/A,FALSE,"CREDITO";#N/A,#N/A,FALSE,"PRIVADO"}</definedName>
    <definedName name="wrn.CUOTA._.CREDITO." hidden="1">{#N/A,#N/A,FALSE,"CREDITO";#N/A,#N/A,FALSE,"PRIVADO"}</definedName>
    <definedName name="wrn.Current._.Month._.Current._.Yr._.Only." localSheetId="8" hidden="1">{"Month Summary",#N/A,FALSE,"Summary";"Total Details",#N/A,FALSE,"Current Yr";"Polymers Details",#N/A,FALSE,"Current Yr";"Performance Details",#N/A,FALSE,"Current Yr";"ICD Details",#N/A,FALSE,"Current Yr"}</definedName>
    <definedName name="wrn.Current._.Month._.Current._.Yr._.Only." hidden="1">{"Month Summary",#N/A,FALSE,"Summary";"Total Details",#N/A,FALSE,"Current Yr";"Polymers Details",#N/A,FALSE,"Current Yr";"Performance Details",#N/A,FALSE,"Current Yr";"ICD Details",#N/A,FALSE,"Current Yr"}</definedName>
    <definedName name="wrn.Current._.Month._.Everything." localSheetId="8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wrn.Current._.Month._.Everything.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wrn.CustomPrice." localSheetId="8" hidden="1">{"PLCustom",#N/A,FALSE,"P&amp;L summary"}</definedName>
    <definedName name="wrn.CustomPrice." hidden="1">{"PLCustom",#N/A,FALSE,"P&amp;L summary"}</definedName>
    <definedName name="wrn.CUTS." hidden="1">{"REVENUE1",#N/A,FALSE,"REVPIVOT";"EXP1",#N/A,FALSE,"REVPIVOT";"EXP2",#N/A,FALSE,"REVPIVOT";"EXP4",#N/A,FALSE,"REVPIVOT";"EXP5",#N/A,FALSE,"REVPIVOT";"PIPELINE1",#N/A,FALSE,"REVPIVOT";"PIPELINE3",#N/A,FALSE,"REVPIVOT";"PIPELINE4",#N/A,FALSE,"REVPIVOT";"hc1",#N/A,FALSE,"REVPIVOT";"hc2",#N/A,FALSE,"REVPIVOT";"HC3",#N/A,FALSE,"REVPIVOT"}</definedName>
    <definedName name="wrn.d" localSheetId="8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wrn.d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wrn.Danilo." localSheetId="8" hidden="1">{#N/A,#N/A,TRUE,"Main Issues";#N/A,#N/A,TRUE,"Income statement ($)"}</definedName>
    <definedName name="wrn.Danilo." hidden="1">{#N/A,#N/A,TRUE,"Main Issues";#N/A,#N/A,TRUE,"Income statement ($)"}</definedName>
    <definedName name="wrn.Danilo._1" localSheetId="8" hidden="1">{#N/A,#N/A,TRUE,"Main Issues";#N/A,#N/A,TRUE,"Income statement ($)"}</definedName>
    <definedName name="wrn.Danilo._1" hidden="1">{#N/A,#N/A,TRUE,"Main Issues";#N/A,#N/A,TRUE,"Income statement ($)"}</definedName>
    <definedName name="wrn.Danilo._2" localSheetId="8" hidden="1">{#N/A,#N/A,TRUE,"Main Issues";#N/A,#N/A,TRUE,"Income statement ($)"}</definedName>
    <definedName name="wrn.Danilo._2" hidden="1">{#N/A,#N/A,TRUE,"Main Issues";#N/A,#N/A,TRUE,"Income statement ($)"}</definedName>
    <definedName name="wrn.Darwin." localSheetId="8" hidden="1">{#N/A,#N/A,FALSE,"Title";#N/A,#N/A,FALSE,"Assumptions";#N/A,#N/A,FALSE,"Bidder";#N/A,#N/A,FALSE,"Target";#N/A,#N/A,FALSE,"Curr";#N/A,#N/A,FALSE,"Prosp";#N/A,#N/A,FALSE,"Prosp+1";#N/A,#N/A,FALSE,"Summary";#N/A,#N/A,FALSE,"Debtsched";#N/A,#N/A,FALSE,"Sensitivities"}</definedName>
    <definedName name="wrn.Darwin." hidden="1">{#N/A,#N/A,FALSE,"Title";#N/A,#N/A,FALSE,"Assumptions";#N/A,#N/A,FALSE,"Bidder";#N/A,#N/A,FALSE,"Target";#N/A,#N/A,FALSE,"Curr";#N/A,#N/A,FALSE,"Prosp";#N/A,#N/A,FALSE,"Prosp+1";#N/A,#N/A,FALSE,"Summary";#N/A,#N/A,FALSE,"Debtsched";#N/A,#N/A,FALSE,"Sensitivities"}</definedName>
    <definedName name="wrn.Darwin._1" localSheetId="8" hidden="1">{#N/A,#N/A,FALSE,"Title";#N/A,#N/A,FALSE,"Assumptions";#N/A,#N/A,FALSE,"Bidder";#N/A,#N/A,FALSE,"Target";#N/A,#N/A,FALSE,"Curr";#N/A,#N/A,FALSE,"Prosp";#N/A,#N/A,FALSE,"Prosp+1";#N/A,#N/A,FALSE,"Summary";#N/A,#N/A,FALSE,"Debtsched";#N/A,#N/A,FALSE,"Sensitivities"}</definedName>
    <definedName name="wrn.Darwin._1" hidden="1">{#N/A,#N/A,FALSE,"Title";#N/A,#N/A,FALSE,"Assumptions";#N/A,#N/A,FALSE,"Bidder";#N/A,#N/A,FALSE,"Target";#N/A,#N/A,FALSE,"Curr";#N/A,#N/A,FALSE,"Prosp";#N/A,#N/A,FALSE,"Prosp+1";#N/A,#N/A,FALSE,"Summary";#N/A,#N/A,FALSE,"Debtsched";#N/A,#N/A,FALSE,"Sensitivities"}</definedName>
    <definedName name="wrn.data." localSheetId="8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wrn.data.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wrn.Data._.Input." localSheetId="8" hidden="1">{"Data Input Sheet 1",#N/A,FALSE,"Data Input - Sheet 1";"Data Input Sheet 2",#N/A,FALSE,"Data Input - Sheet 2"}</definedName>
    <definedName name="wrn.Data._.Input." hidden="1">{"Data Input Sheet 1",#N/A,FALSE,"Data Input - Sheet 1";"Data Input Sheet 2",#N/A,FALSE,"Data Input - Sheet 2"}</definedName>
    <definedName name="wrn.database." localSheetId="7" hidden="1">{"subs",#N/A,FALSE,"database ";"proportional",#N/A,FALSE,"database "}</definedName>
    <definedName name="wrn.database." localSheetId="8" hidden="1">{"subs",#N/A,FALSE,"database ";"proportional",#N/A,FALSE,"database "}</definedName>
    <definedName name="wrn.database." hidden="1">{"subs",#N/A,FALSE,"database ";"proportional",#N/A,FALSE,"database "}</definedName>
    <definedName name="wrn.database._1" localSheetId="8" hidden="1">{"subs",#N/A,FALSE,"database ";"proportional",#N/A,FALSE,"database "}</definedName>
    <definedName name="wrn.database._1" hidden="1">{"subs",#N/A,FALSE,"database ";"proportional",#N/A,FALSE,"database "}</definedName>
    <definedName name="wrn.DCF." localSheetId="7" hidden="1">{"DCF1",#N/A,FALSE,"SIERRA DCF";"MATRIX1",#N/A,FALSE,"SIERRA DCF"}</definedName>
    <definedName name="wrn.DCF." localSheetId="8" hidden="1">{"DCF1",#N/A,FALSE,"SIERRA DCF";"MATRIX1",#N/A,FALSE,"SIERRA DCF"}</definedName>
    <definedName name="wrn.dcf." hidden="1">{"mgmt forecast",#N/A,FALSE,"Mgmt Forecast";"dcf table",#N/A,FALSE,"Mgmt Forecast";"sensitivity",#N/A,FALSE,"Mgmt Forecast";"table inputs",#N/A,FALSE,"Mgmt Forecast";"calculations",#N/A,FALSE,"Mgmt Forecast"}</definedName>
    <definedName name="wrn.DCF._.I." localSheetId="8" hidden="1">{#N/A,#N/A,FALSE,"Cover";#N/A,#N/A,FALSE,"Pres ";#N/A,#N/A,FALSE,"Outputs";#N/A,#N/A,FALSE,"Sensitivities";#N/A,#N/A,FALSE,"Graphs";#N/A,#N/A,FALSE,"DCF I (In)"}</definedName>
    <definedName name="wrn.DCF._.I." hidden="1">{#N/A,#N/A,FALSE,"Cover";#N/A,#N/A,FALSE,"Pres ";#N/A,#N/A,FALSE,"Outputs";#N/A,#N/A,FALSE,"Sensitivities";#N/A,#N/A,FALSE,"Graphs";#N/A,#N/A,FALSE,"DCF I (In)"}</definedName>
    <definedName name="wrn.DCF._.I._1" localSheetId="8" hidden="1">{#N/A,#N/A,FALSE,"Cover";#N/A,#N/A,FALSE,"Pres ";#N/A,#N/A,FALSE,"Outputs";#N/A,#N/A,FALSE,"Sensitivities";#N/A,#N/A,FALSE,"Graphs";#N/A,#N/A,FALSE,"DCF I (In)"}</definedName>
    <definedName name="wrn.DCF._.I._1" hidden="1">{#N/A,#N/A,FALSE,"Cover";#N/A,#N/A,FALSE,"Pres ";#N/A,#N/A,FALSE,"Outputs";#N/A,#N/A,FALSE,"Sensitivities";#N/A,#N/A,FALSE,"Graphs";#N/A,#N/A,FALSE,"DCF I (In)"}</definedName>
    <definedName name="wrn.DCF._.II._.Report." localSheetId="8" hidden="1">{#N/A,#N/A,FALSE,"Cover";#N/A,#N/A,FALSE,"Pres";#N/A,#N/A,FALSE,"Output";#N/A,#N/A,FALSE,"DCF";#N/A,#N/A,FALSE,"Control (In)";#N/A,#N/A,FALSE,"Broker (In)";#N/A,#N/A,FALSE,"In-House (In)";#N/A,#N/A,FALSE,"Ass";#N/A,#N/A,FALSE,"WACC";#N/A,#N/A,FALSE,"Check (In)"}</definedName>
    <definedName name="wrn.DCF._.II._.Report." hidden="1">{#N/A,#N/A,FALSE,"Cover";#N/A,#N/A,FALSE,"Pres";#N/A,#N/A,FALSE,"Output";#N/A,#N/A,FALSE,"DCF";#N/A,#N/A,FALSE,"Control (In)";#N/A,#N/A,FALSE,"Broker (In)";#N/A,#N/A,FALSE,"In-House (In)";#N/A,#N/A,FALSE,"Ass";#N/A,#N/A,FALSE,"WACC";#N/A,#N/A,FALSE,"Check (In)"}</definedName>
    <definedName name="wrn.DCF._.II._.Report._1" localSheetId="8" hidden="1">{#N/A,#N/A,FALSE,"Cover";#N/A,#N/A,FALSE,"Pres";#N/A,#N/A,FALSE,"Output";#N/A,#N/A,FALSE,"DCF";#N/A,#N/A,FALSE,"Control (In)";#N/A,#N/A,FALSE,"Broker (In)";#N/A,#N/A,FALSE,"In-House (In)";#N/A,#N/A,FALSE,"Ass";#N/A,#N/A,FALSE,"WACC";#N/A,#N/A,FALSE,"Check (In)"}</definedName>
    <definedName name="wrn.DCF._.II._.Report._1" hidden="1">{#N/A,#N/A,FALSE,"Cover";#N/A,#N/A,FALSE,"Pres";#N/A,#N/A,FALSE,"Output";#N/A,#N/A,FALSE,"DCF";#N/A,#N/A,FALSE,"Control (In)";#N/A,#N/A,FALSE,"Broker (In)";#N/A,#N/A,FALSE,"In-House (In)";#N/A,#N/A,FALSE,"Ass";#N/A,#N/A,FALSE,"WACC";#N/A,#N/A,FALSE,"Check (In)"}</definedName>
    <definedName name="wrn.DCF._.III._.Report." localSheetId="8" hidden="1">{#N/A,#N/A,FALSE,"Cover";#N/A,#N/A,FALSE,"Pres ";#N/A,#N/A,FALSE,"Outputs";#N/A,#N/A,FALSE,"DCF ";#N/A,#N/A,FALSE,"CFS";#N/A,#N/A,FALSE,"BS";#N/A,#N/A,FALSE,"PL";#N/A,#N/A,FALSE,"Control (In)";#N/A,#N/A,FALSE,"Broker (In)";#N/A,#N/A,FALSE,"In-House (In)";#N/A,#N/A,FALSE,"WACC";#N/A,#N/A,FALSE,"Ass";#N/A,#N/A,FALSE,"Check"}</definedName>
    <definedName name="wrn.DCF._.III._.Report." hidden="1">{#N/A,#N/A,FALSE,"Cover";#N/A,#N/A,FALSE,"Pres ";#N/A,#N/A,FALSE,"Outputs";#N/A,#N/A,FALSE,"DCF ";#N/A,#N/A,FALSE,"CFS";#N/A,#N/A,FALSE,"BS";#N/A,#N/A,FALSE,"PL";#N/A,#N/A,FALSE,"Control (In)";#N/A,#N/A,FALSE,"Broker (In)";#N/A,#N/A,FALSE,"In-House (In)";#N/A,#N/A,FALSE,"WACC";#N/A,#N/A,FALSE,"Ass";#N/A,#N/A,FALSE,"Check"}</definedName>
    <definedName name="wrn.DCF._.III._.Report._1" localSheetId="8" hidden="1">{#N/A,#N/A,FALSE,"Cover";#N/A,#N/A,FALSE,"Pres ";#N/A,#N/A,FALSE,"Outputs";#N/A,#N/A,FALSE,"DCF ";#N/A,#N/A,FALSE,"CFS";#N/A,#N/A,FALSE,"BS";#N/A,#N/A,FALSE,"PL";#N/A,#N/A,FALSE,"Control (In)";#N/A,#N/A,FALSE,"Broker (In)";#N/A,#N/A,FALSE,"In-House (In)";#N/A,#N/A,FALSE,"WACC";#N/A,#N/A,FALSE,"Ass";#N/A,#N/A,FALSE,"Check"}</definedName>
    <definedName name="wrn.DCF._.III._.Report._1" hidden="1">{#N/A,#N/A,FALSE,"Cover";#N/A,#N/A,FALSE,"Pres ";#N/A,#N/A,FALSE,"Outputs";#N/A,#N/A,FALSE,"DCF ";#N/A,#N/A,FALSE,"CFS";#N/A,#N/A,FALSE,"BS";#N/A,#N/A,FALSE,"PL";#N/A,#N/A,FALSE,"Control (In)";#N/A,#N/A,FALSE,"Broker (In)";#N/A,#N/A,FALSE,"In-House (In)";#N/A,#N/A,FALSE,"WACC";#N/A,#N/A,FALSE,"Ass";#N/A,#N/A,FALSE,"Check"}</definedName>
    <definedName name="wrn.DCF._.Only." localSheetId="8" hidden="1">{#N/A,#N/A,FALSE,"DCF Summary";#N/A,#N/A,FALSE,"Casema";#N/A,#N/A,FALSE,"Casema NoTel";#N/A,#N/A,FALSE,"UK";#N/A,#N/A,FALSE,"RCF";#N/A,#N/A,FALSE,"Intercable CZ";#N/A,#N/A,FALSE,"Interkabel P"}</definedName>
    <definedName name="wrn.DCF._.Only." hidden="1">{#N/A,#N/A,FALSE,"DCF Summary";#N/A,#N/A,FALSE,"Casema";#N/A,#N/A,FALSE,"Casema NoTel";#N/A,#N/A,FALSE,"UK";#N/A,#N/A,FALSE,"RCF";#N/A,#N/A,FALSE,"Intercable CZ";#N/A,#N/A,FALSE,"Interkabel P"}</definedName>
    <definedName name="wrn.DCF._.Only._1" localSheetId="8" hidden="1">{#N/A,#N/A,FALSE,"DCF Summary";#N/A,#N/A,FALSE,"Casema";#N/A,#N/A,FALSE,"Casema NoTel";#N/A,#N/A,FALSE,"UK";#N/A,#N/A,FALSE,"RCF";#N/A,#N/A,FALSE,"Intercable CZ";#N/A,#N/A,FALSE,"Interkabel P"}</definedName>
    <definedName name="wrn.DCF._.Only._1" hidden="1">{#N/A,#N/A,FALSE,"DCF Summary";#N/A,#N/A,FALSE,"Casema";#N/A,#N/A,FALSE,"Casema NoTel";#N/A,#N/A,FALSE,"UK";#N/A,#N/A,FALSE,"RCF";#N/A,#N/A,FALSE,"Intercable CZ";#N/A,#N/A,FALSE,"Interkabel P"}</definedName>
    <definedName name="wrn.DCF._.Valuation." localSheetId="8" hidden="1">{"value box",#N/A,TRUE,"DPL Inc. Fin Statements";"unlevered free cash flows",#N/A,TRUE,"DPL Inc. Fin Statements"}</definedName>
    <definedName name="wrn.DCF._.Valuation." hidden="1">{"value box",#N/A,TRUE,"DPL Inc. Fin Statements";"unlevered free cash flows",#N/A,TRUE,"DPL Inc. Fin Statements"}</definedName>
    <definedName name="wrn.DCF._1" localSheetId="7" hidden="1">{"DCF1",#N/A,FALSE,"SIERRA DCF";"MATRIX1",#N/A,FALSE,"SIERRA DCF"}</definedName>
    <definedName name="wrn.DCF._1" localSheetId="8" hidden="1">{"DCF1",#N/A,FALSE,"SIERRA DCF";"MATRIX1",#N/A,FALSE,"SIERRA DCF"}</definedName>
    <definedName name="wrn.DCF._1" hidden="1">{"DCF1",#N/A,FALSE,"SIERRA DCF";"MATRIX1",#N/A,FALSE,"SIERRA DCF"}</definedName>
    <definedName name="wrn.DCF_Terminal_Value_qchm." localSheetId="7" hidden="1">{"qchm_dcf",#N/A,FALSE,"QCHMDCF2";"qchm_terminal",#N/A,FALSE,"QCHMDCF2"}</definedName>
    <definedName name="wrn.DCF_Terminal_Value_qchm." localSheetId="8" hidden="1">{"qchm_dcf",#N/A,FALSE,"QCHMDCF2";"qchm_terminal",#N/A,FALSE,"QCHMDCF2"}</definedName>
    <definedName name="wrn.DCF_Terminal_Value_qchm." hidden="1">{"qchm_dcf",#N/A,FALSE,"QCHMDCF2";"qchm_terminal",#N/A,FALSE,"QCHMDCF2"}</definedName>
    <definedName name="wrn.DCF_Terminal_Value_qchm._1" localSheetId="7" hidden="1">{"qchm_dcf",#N/A,FALSE,"QCHMDCF2";"qchm_terminal",#N/A,FALSE,"QCHMDCF2"}</definedName>
    <definedName name="wrn.DCF_Terminal_Value_qchm._1" localSheetId="8" hidden="1">{"qchm_dcf",#N/A,FALSE,"QCHMDCF2";"qchm_terminal",#N/A,FALSE,"QCHMDCF2"}</definedName>
    <definedName name="wrn.DCF_Terminal_Value_qchm._1" hidden="1">{"qchm_dcf",#N/A,FALSE,"QCHMDCF2";"qchm_terminal",#N/A,FALSE,"QCHMDCF2"}</definedName>
    <definedName name="Wrn.dcf1" localSheetId="8" hidden="1">{"mgmt forecast",#N/A,FALSE,"Mgmt Forecast";"dcf table",#N/A,FALSE,"Mgmt Forecast";"sensitivity",#N/A,FALSE,"Mgmt Forecast";"table inputs",#N/A,FALSE,"Mgmt Forecast";"calculations",#N/A,FALSE,"Mgmt Forecast"}</definedName>
    <definedName name="Wrn.dcf1" hidden="1">{"mgmt forecast",#N/A,FALSE,"Mgmt Forecast";"dcf table",#N/A,FALSE,"Mgmt Forecast";"sensitivity",#N/A,FALSE,"Mgmt Forecast";"table inputs",#N/A,FALSE,"Mgmt Forecast";"calculations",#N/A,FALSE,"Mgmt Forecast"}</definedName>
    <definedName name="wrn.DCFEpervier." localSheetId="8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CFEpervier.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CFEpervier._1" localSheetId="8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CFEpervier._1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ec02." localSheetId="8" hidden="1">{#N/A,#N/A,FALSE,"BS"}</definedName>
    <definedName name="wrn.dec02." hidden="1">{#N/A,#N/A,FALSE,"BS"}</definedName>
    <definedName name="wrn.Deel._.A." localSheetId="8" hidden="1">{#N/A,#N/A,TRUE,"Voorblad A";#N/A,#N/A,TRUE,"Table of Content FinCom A";#N/A,#N/A,TRUE,"A1-Summ- Key Figures";#N/A,#N/A,TRUE,"Summary Telfort Figures";#N/A,#N/A,TRUE,"A2-Summ Month Man";#N/A,#N/A,TRUE,"Summary Telfort";#N/A,#N/A,TRUE,"A4-P&amp;L by Old org.";#N/A,#N/A,TRUE,"Summary Fixed";#N/A,#N/A,TRUE,"A6-Bal_Sheet CF by Old org. ";#N/A,#N/A,TRUE,"B1-Orders RevGap"}</definedName>
    <definedName name="wrn.Deel._.A." hidden="1">{#N/A,#N/A,TRUE,"Voorblad A";#N/A,#N/A,TRUE,"Table of Content FinCom A";#N/A,#N/A,TRUE,"A1-Summ- Key Figures";#N/A,#N/A,TRUE,"Summary Telfort Figures";#N/A,#N/A,TRUE,"A2-Summ Month Man";#N/A,#N/A,TRUE,"Summary Telfort";#N/A,#N/A,TRUE,"A4-P&amp;L by Old org.";#N/A,#N/A,TRUE,"Summary Fixed";#N/A,#N/A,TRUE,"A6-Bal_Sheet CF by Old org. ";#N/A,#N/A,TRUE,"B1-Orders RevGap"}</definedName>
    <definedName name="wrn.Deel._.B." localSheetId="8" hidden="1">{#N/A,#N/A,TRUE,"Voorblad B";#N/A,#N/A,TRUE,"Table of Content FinCom B";#N/A,#N/A,TRUE,"A3-P&amp;L by Bus.Unt-Serv.Unt";#N/A,#N/A,TRUE,"Summary carrier service";#N/A,#N/A,TRUE,"Summary Large accounts";#N/A,#N/A,TRUE,"Summary Consumer";#N/A,#N/A,TRUE,"Mobile";#N/A,#N/A,TRUE,"B5-Mobile(1) ";#N/A,#N/A,TRUE,"B4-GM per Product";#N/A,#N/A,TRUE,"Summary N&amp;S";#N/A,#N/A,TRUE,"B15-Network ";#N/A,#N/A,TRUE,"Summary ITbilling";#N/A,#N/A,TRUE,"Billing backlog";#N/A,#N/A,TRUE,"Summary Corporate";#N/A,#N/A,TRUE,"A5-Bal_Sheet CF";#N/A,#N/A,TRUE,"A6-Bal_Sheet CF by Old org. ";#N/A,#N/A,TRUE,"P13-Funding- Inter.";#N/A,#N/A,TRUE,"P14-Risk &amp; Fraud Fixed";#N/A,#N/A,TRUE,"P14-Risk &amp; Fraud Mobile";#N/A,#N/A,TRUE,"Accounts payable"}</definedName>
    <definedName name="wrn.Deel._.B." hidden="1">{#N/A,#N/A,TRUE,"Voorblad B";#N/A,#N/A,TRUE,"Table of Content FinCom B";#N/A,#N/A,TRUE,"A3-P&amp;L by Bus.Unt-Serv.Unt";#N/A,#N/A,TRUE,"Summary carrier service";#N/A,#N/A,TRUE,"Summary Large accounts";#N/A,#N/A,TRUE,"Summary Consumer";#N/A,#N/A,TRUE,"Mobile";#N/A,#N/A,TRUE,"B5-Mobile(1) ";#N/A,#N/A,TRUE,"B4-GM per Product";#N/A,#N/A,TRUE,"Summary N&amp;S";#N/A,#N/A,TRUE,"B15-Network ";#N/A,#N/A,TRUE,"Summary ITbilling";#N/A,#N/A,TRUE,"Billing backlog";#N/A,#N/A,TRUE,"Summary Corporate";#N/A,#N/A,TRUE,"A5-Bal_Sheet CF";#N/A,#N/A,TRUE,"A6-Bal_Sheet CF by Old org. ";#N/A,#N/A,TRUE,"P13-Funding- Inter.";#N/A,#N/A,TRUE,"P14-Risk &amp; Fraud Fixed";#N/A,#N/A,TRUE,"P14-Risk &amp; Fraud Mobile";#N/A,#N/A,TRUE,"Accounts payable"}</definedName>
    <definedName name="wrn.Deel._.B1." localSheetId="8" hidden="1">{#N/A,#N/A,TRUE,"Voorblad";#N/A,#N/A,TRUE,"Table of Content FinCom B";#N/A,#N/A,TRUE,"A3-P&amp;L by Bus.Unt-Serv.Unt";#N/A,#N/A,TRUE,"Summary carrier service";#N/A,#N/A,TRUE,"Summary Large accounts";#N/A,#N/A,TRUE,"Summary Consumer";#N/A,#N/A,TRUE,"Summary N&amp;S";#N/A,#N/A,TRUE,"Summary ITbilling";#N/A,#N/A,TRUE,"Billing backlog";#N/A,#N/A,TRUE,"Summary corporate";#N/A,#N/A,TRUE,"B1-Orders RevGap";#N/A,#N/A,TRUE,"B2-Sales Prospects WinLoss";#N/A,#N/A,TRUE,"B4-GM per Product";#N/A,#N/A,TRUE,"B5-Mobile(1) ";#N/A,#N/A,TRUE,"P13-Funding- Inter.";#N/A,#N/A,TRUE,"P14-Risk &amp; Fraud Fixed";#N/A,#N/A,TRUE,"P14-Risk &amp; Fraud Mobile";#N/A,#N/A,TRUE,"Accounts payable";#N/A,#N/A,TRUE,"B15-Network "}</definedName>
    <definedName name="wrn.Deel._.B1." hidden="1">{#N/A,#N/A,TRUE,"Voorblad";#N/A,#N/A,TRUE,"Table of Content FinCom B";#N/A,#N/A,TRUE,"A3-P&amp;L by Bus.Unt-Serv.Unt";#N/A,#N/A,TRUE,"Summary carrier service";#N/A,#N/A,TRUE,"Summary Large accounts";#N/A,#N/A,TRUE,"Summary Consumer";#N/A,#N/A,TRUE,"Summary N&amp;S";#N/A,#N/A,TRUE,"Summary ITbilling";#N/A,#N/A,TRUE,"Billing backlog";#N/A,#N/A,TRUE,"Summary corporate";#N/A,#N/A,TRUE,"B1-Orders RevGap";#N/A,#N/A,TRUE,"B2-Sales Prospects WinLoss";#N/A,#N/A,TRUE,"B4-GM per Product";#N/A,#N/A,TRUE,"B5-Mobile(1) ";#N/A,#N/A,TRUE,"P13-Funding- Inter.";#N/A,#N/A,TRUE,"P14-Risk &amp; Fraud Fixed";#N/A,#N/A,TRUE,"P14-Risk &amp; Fraud Mobile";#N/A,#N/A,TRUE,"Accounts payable";#N/A,#N/A,TRUE,"B15-Network "}</definedName>
    <definedName name="wrn.defence." localSheetId="8" hidden="1">{#N/A,#N/A,FALSE,"cover4";#N/A,#N/A,FALSE,"Defence Op Stat";#N/A,#N/A,FALSE,"Defence Presales";#N/A,#N/A,FALSE,"Defence P1";#N/A,#N/A,FALSE,"Defence Orderbook"}</definedName>
    <definedName name="wrn.defence." hidden="1">{#N/A,#N/A,FALSE,"cover4";#N/A,#N/A,FALSE,"Defence Op Stat";#N/A,#N/A,FALSE,"Defence Presales";#N/A,#N/A,FALSE,"Defence P1";#N/A,#N/A,FALSE,"Defence Orderbook"}</definedName>
    <definedName name="wrn.Deltek._.Upload." localSheetId="8" hidden="1">{#N/A,#N/A,FALSE,"Delt Data"}</definedName>
    <definedName name="wrn.Deltek._.Upload." hidden="1">{#N/A,#N/A,FALSE,"Delt Data"}</definedName>
    <definedName name="wrn.Demmer." localSheetId="8" hidden="1">{#N/A,#N/A,FALSE,"debt";#N/A,#N/A,FALSE,"apsort";#N/A,#N/A,FALSE,"AR"}</definedName>
    <definedName name="wrn.Demmer." hidden="1">{#N/A,#N/A,FALSE,"debt";#N/A,#N/A,FALSE,"apsort";#N/A,#N/A,FALSE,"AR"}</definedName>
    <definedName name="wrn.Demmer._1" localSheetId="8" hidden="1">{#N/A,#N/A,FALSE,"debt";#N/A,#N/A,FALSE,"apsort";#N/A,#N/A,FALSE,"AR"}</definedName>
    <definedName name="wrn.Demmer._1" hidden="1">{#N/A,#N/A,FALSE,"debt";#N/A,#N/A,FALSE,"apsort";#N/A,#N/A,FALSE,"AR"}</definedName>
    <definedName name="wrn.demodel." localSheetId="8" hidden="1">{#N/A,#N/A,TRUE,"Data";#N/A,#N/A,TRUE,"KCost";#N/A,#N/A,TRUE,"FinPl";#N/A,#N/A,TRUE,"Sale-";#N/A,#N/A,TRUE,"Sale+";#N/A,#N/A,TRUE,"Cost+";#N/A,#N/A,TRUE,"Cost-";#N/A,#N/A,TRUE,"InCoE";#N/A,#N/A,TRUE,"IncPr";#N/A,#N/A,TRUE,"WK";#N/A,#N/A,TRUE,"FRR";#N/A,#N/A,TRUE,"SAnFRR";#N/A,#N/A,TRUE,"ERR";#N/A,#N/A,TRUE,"SAnERR";#N/A,#N/A,TRUE,"P&amp;L";#N/A,#N/A,TRUE,"CF";#N/A,#N/A,TRUE,"BS";#N/A,#N/A,TRUE,"Ratio";#N/A,#N/A,TRUE,"Forex"}</definedName>
    <definedName name="wrn.demodel." hidden="1">{#N/A,#N/A,TRUE,"Data";#N/A,#N/A,TRUE,"KCost";#N/A,#N/A,TRUE,"FinPl";#N/A,#N/A,TRUE,"Sale-";#N/A,#N/A,TRUE,"Sale+";#N/A,#N/A,TRUE,"Cost+";#N/A,#N/A,TRUE,"Cost-";#N/A,#N/A,TRUE,"InCoE";#N/A,#N/A,TRUE,"IncPr";#N/A,#N/A,TRUE,"WK";#N/A,#N/A,TRUE,"FRR";#N/A,#N/A,TRUE,"SAnFRR";#N/A,#N/A,TRUE,"ERR";#N/A,#N/A,TRUE,"SAnERR";#N/A,#N/A,TRUE,"P&amp;L";#N/A,#N/A,TRUE,"CF";#N/A,#N/A,TRUE,"BS";#N/A,#N/A,TRUE,"Ratio";#N/A,#N/A,TRUE,"Forex"}</definedName>
    <definedName name="wrn.Depn." localSheetId="8" hidden="1">{"Depn",#N/A,TRUE,"Equipt Input"}</definedName>
    <definedName name="wrn.Depn." hidden="1">{"Depn",#N/A,TRUE,"Equipt Input"}</definedName>
    <definedName name="wrn.Despesas._.Operacionais." hidden="1">{#N/A,#N/A,FALSE,"Campinas";#N/A,#N/A,FALSE,"Sales";#N/A,#N/A,FALSE,"Para de Minas";#N/A,#N/A,FALSE,"Alem Paraiba";#N/A,#N/A,FALSE,"Toledo";#N/A,#N/A,FALSE,"Toledo Nutri";#N/A,#N/A,FALSE,"Consolidado"}</definedName>
    <definedName name="wrn.detail." localSheetId="8" hidden="1">{#N/A,#N/A,FALSE,"TOTAL SSS";#N/A,#N/A,FALSE,"SES Y93";#N/A,#N/A,FALSE,"SES AW FEE";#N/A,#N/A,FALSE,"DSP BK14";#N/A,#N/A,FALSE,"DSP BK14 AW FEE";#N/A,#N/A,FALSE,"DSP BLK 14 FPLOE";#N/A,#N/A,FALSE,"DSP BLK 14 FPLOE";#N/A,#N/A,FALSE,"S14 DESGN";#N/A,#N/A,FALSE,"DSP BLK 18";#N/A,#N/A,FALSE,"DSP BLK 18 AW FEE";#N/A,#N/A,FALSE,"DSP BL18 FFP";#N/A,#N/A,FALSE,"DSP BLK18 CPAF";#N/A,#N/A,FALSE,"DSP BLK 23";#N/A,#N/A,FALSE,"DSP BLK 23 AW FEE";#N/A,#N/A,FALSE,"DSP 23 TERM";#N/A,#N/A,FALSE,"H2O DAMAGE";#N/A,#N/A,FALSE,"DSP ENG";#N/A,#N/A,FALSE,"SBIR";#N/A,#N/A,FALSE,"SBIR STUDY";#N/A,#N/A,FALSE,"CTPP";#N/A,#N/A,FALSE,"CTPP AW FEE";#N/A,#N/A,FALSE,"JTAGS";#N/A,#N/A,FALSE,"TSD";#N/A,#N/A,FALSE,"TSDE";#N/A,#N/A,FALSE,"SRSU";#N/A,#N/A,FALSE,"SRSU Spares";#N/A,#N/A,FALSE,"TSS";#N/A,#N/A,FALSE,"LVI";#N/A,#N/A,FALSE,"GS14";#N/A,#N/A,FALSE,"GS14 CPFF";#N/A,#N/A,FALSE,"GCO";#N/A,#N/A,FALSE,"GCO";#N/A,#N/A,FALSE,"PUP";#N/A,#N/A,FALSE,"CENTRAL FP";#N/A,#N/A,FALSE,"CENTRAL CPFF";#N/A,#N/A,FALSE,"CENTRAL TERM";#N/A,#N/A,FALSE,"WAM";#N/A,#N/A,FALSE,"SPIRIT III";#N/A,#N/A,FALSE,"LLUM";#N/A,#N/A,FALSE,"Mixed Signal";#N/A,#N/A,FALSE,"HGCDTE";#N/A,#N/A,FALSE,"CO INV";#N/A,#N/A,FALSE,"MISC"}</definedName>
    <definedName name="wrn.detail." hidden="1">{#N/A,#N/A,FALSE,"TOTAL SSS";#N/A,#N/A,FALSE,"SES Y93";#N/A,#N/A,FALSE,"SES AW FEE";#N/A,#N/A,FALSE,"DSP BK14";#N/A,#N/A,FALSE,"DSP BK14 AW FEE";#N/A,#N/A,FALSE,"DSP BLK 14 FPLOE";#N/A,#N/A,FALSE,"DSP BLK 14 FPLOE";#N/A,#N/A,FALSE,"S14 DESGN";#N/A,#N/A,FALSE,"DSP BLK 18";#N/A,#N/A,FALSE,"DSP BLK 18 AW FEE";#N/A,#N/A,FALSE,"DSP BL18 FFP";#N/A,#N/A,FALSE,"DSP BLK18 CPAF";#N/A,#N/A,FALSE,"DSP BLK 23";#N/A,#N/A,FALSE,"DSP BLK 23 AW FEE";#N/A,#N/A,FALSE,"DSP 23 TERM";#N/A,#N/A,FALSE,"H2O DAMAGE";#N/A,#N/A,FALSE,"DSP ENG";#N/A,#N/A,FALSE,"SBIR";#N/A,#N/A,FALSE,"SBIR STUDY";#N/A,#N/A,FALSE,"CTPP";#N/A,#N/A,FALSE,"CTPP AW FEE";#N/A,#N/A,FALSE,"JTAGS";#N/A,#N/A,FALSE,"TSD";#N/A,#N/A,FALSE,"TSDE";#N/A,#N/A,FALSE,"SRSU";#N/A,#N/A,FALSE,"SRSU Spares";#N/A,#N/A,FALSE,"TSS";#N/A,#N/A,FALSE,"LVI";#N/A,#N/A,FALSE,"GS14";#N/A,#N/A,FALSE,"GS14 CPFF";#N/A,#N/A,FALSE,"GCO";#N/A,#N/A,FALSE,"GCO";#N/A,#N/A,FALSE,"PUP";#N/A,#N/A,FALSE,"CENTRAL FP";#N/A,#N/A,FALSE,"CENTRAL CPFF";#N/A,#N/A,FALSE,"CENTRAL TERM";#N/A,#N/A,FALSE,"WAM";#N/A,#N/A,FALSE,"SPIRIT III";#N/A,#N/A,FALSE,"LLUM";#N/A,#N/A,FALSE,"Mixed Signal";#N/A,#N/A,FALSE,"HGCDTE";#N/A,#N/A,FALSE,"CO INV";#N/A,#N/A,FALSE,"MISC"}</definedName>
    <definedName name="wrn.Detail._.2000." localSheetId="8" hidden="1">{"Subscribers",#N/A,TRUE,"Income";"Interconnect",#N/A,TRUE,"Interconnect";"Customer Services",#N/A,TRUE,"Customer Services";"Network Charge",#N/A,TRUE,"Network Recharge";"Marketing Outline",#N/A,TRUE,"Marketing &amp; PR";"Creative Summary",#N/A,TRUE,"Creative";"Creative Staff",#N/A,TRUE,"Creative Staff"}</definedName>
    <definedName name="wrn.Detail._.2000." hidden="1">{"Subscribers",#N/A,TRUE,"Income";"Interconnect",#N/A,TRUE,"Interconnect";"Customer Services",#N/A,TRUE,"Customer Services";"Network Charge",#N/A,TRUE,"Network Recharge";"Marketing Outline",#N/A,TRUE,"Marketing &amp; PR";"Creative Summary",#N/A,TRUE,"Creative";"Creative Staff",#N/A,TRUE,"Creative Staff"}</definedName>
    <definedName name="wrn.Detail._.Balance._.Sheet." localSheetId="7" hidden="1">{#N/A,#N/A,FALSE,"Detail"}</definedName>
    <definedName name="wrn.Detail._.Balance._.Sheet." localSheetId="8" hidden="1">{#N/A,#N/A,FALSE,"Detail"}</definedName>
    <definedName name="wrn.Detail._.Balance._.Sheet." hidden="1">{#N/A,#N/A,FALSE,"Detail"}</definedName>
    <definedName name="wrn.detail._1" localSheetId="8" hidden="1">{#N/A,#N/A,FALSE,"TOTAL SSS";#N/A,#N/A,FALSE,"SES Y93";#N/A,#N/A,FALSE,"SES AW FEE";#N/A,#N/A,FALSE,"DSP BK14";#N/A,#N/A,FALSE,"DSP BK14 AW FEE";#N/A,#N/A,FALSE,"DSP BLK 14 FPLOE";#N/A,#N/A,FALSE,"DSP BLK 14 FPLOE";#N/A,#N/A,FALSE,"S14 DESGN";#N/A,#N/A,FALSE,"DSP BLK 18";#N/A,#N/A,FALSE,"DSP BLK 18 AW FEE";#N/A,#N/A,FALSE,"DSP BL18 FFP";#N/A,#N/A,FALSE,"DSP BLK18 CPAF";#N/A,#N/A,FALSE,"DSP BLK 23";#N/A,#N/A,FALSE,"DSP BLK 23 AW FEE";#N/A,#N/A,FALSE,"DSP 23 TERM";#N/A,#N/A,FALSE,"H2O DAMAGE";#N/A,#N/A,FALSE,"DSP ENG";#N/A,#N/A,FALSE,"SBIR";#N/A,#N/A,FALSE,"SBIR STUDY";#N/A,#N/A,FALSE,"CTPP";#N/A,#N/A,FALSE,"CTPP AW FEE";#N/A,#N/A,FALSE,"JTAGS";#N/A,#N/A,FALSE,"TSD";#N/A,#N/A,FALSE,"TSDE";#N/A,#N/A,FALSE,"SRSU";#N/A,#N/A,FALSE,"SRSU Spares";#N/A,#N/A,FALSE,"TSS";#N/A,#N/A,FALSE,"LVI";#N/A,#N/A,FALSE,"GS14";#N/A,#N/A,FALSE,"GS14 CPFF";#N/A,#N/A,FALSE,"GCO";#N/A,#N/A,FALSE,"GCO";#N/A,#N/A,FALSE,"PUP";#N/A,#N/A,FALSE,"CENTRAL FP";#N/A,#N/A,FALSE,"CENTRAL CPFF";#N/A,#N/A,FALSE,"CENTRAL TERM";#N/A,#N/A,FALSE,"WAM";#N/A,#N/A,FALSE,"SPIRIT III";#N/A,#N/A,FALSE,"LLUM";#N/A,#N/A,FALSE,"Mixed Signal";#N/A,#N/A,FALSE,"HGCDTE";#N/A,#N/A,FALSE,"CO INV";#N/A,#N/A,FALSE,"MISC"}</definedName>
    <definedName name="wrn.detail._1" hidden="1">{#N/A,#N/A,FALSE,"TOTAL SSS";#N/A,#N/A,FALSE,"SES Y93";#N/A,#N/A,FALSE,"SES AW FEE";#N/A,#N/A,FALSE,"DSP BK14";#N/A,#N/A,FALSE,"DSP BK14 AW FEE";#N/A,#N/A,FALSE,"DSP BLK 14 FPLOE";#N/A,#N/A,FALSE,"DSP BLK 14 FPLOE";#N/A,#N/A,FALSE,"S14 DESGN";#N/A,#N/A,FALSE,"DSP BLK 18";#N/A,#N/A,FALSE,"DSP BLK 18 AW FEE";#N/A,#N/A,FALSE,"DSP BL18 FFP";#N/A,#N/A,FALSE,"DSP BLK18 CPAF";#N/A,#N/A,FALSE,"DSP BLK 23";#N/A,#N/A,FALSE,"DSP BLK 23 AW FEE";#N/A,#N/A,FALSE,"DSP 23 TERM";#N/A,#N/A,FALSE,"H2O DAMAGE";#N/A,#N/A,FALSE,"DSP ENG";#N/A,#N/A,FALSE,"SBIR";#N/A,#N/A,FALSE,"SBIR STUDY";#N/A,#N/A,FALSE,"CTPP";#N/A,#N/A,FALSE,"CTPP AW FEE";#N/A,#N/A,FALSE,"JTAGS";#N/A,#N/A,FALSE,"TSD";#N/A,#N/A,FALSE,"TSDE";#N/A,#N/A,FALSE,"SRSU";#N/A,#N/A,FALSE,"SRSU Spares";#N/A,#N/A,FALSE,"TSS";#N/A,#N/A,FALSE,"LVI";#N/A,#N/A,FALSE,"GS14";#N/A,#N/A,FALSE,"GS14 CPFF";#N/A,#N/A,FALSE,"GCO";#N/A,#N/A,FALSE,"GCO";#N/A,#N/A,FALSE,"PUP";#N/A,#N/A,FALSE,"CENTRAL FP";#N/A,#N/A,FALSE,"CENTRAL CPFF";#N/A,#N/A,FALSE,"CENTRAL TERM";#N/A,#N/A,FALSE,"WAM";#N/A,#N/A,FALSE,"SPIRIT III";#N/A,#N/A,FALSE,"LLUM";#N/A,#N/A,FALSE,"Mixed Signal";#N/A,#N/A,FALSE,"HGCDTE";#N/A,#N/A,FALSE,"CO INV";#N/A,#N/A,FALSE,"MISC"}</definedName>
    <definedName name="wrn.Detail_Projection." localSheetId="7" hidden="1">{#N/A,#N/A,FALSE,"Detail YTD"}</definedName>
    <definedName name="wrn.Detail_Projection." localSheetId="8" hidden="1">{#N/A,#N/A,FALSE,"Detail YTD"}</definedName>
    <definedName name="wrn.Detail_Projection." hidden="1">{#N/A,#N/A,FALSE,"Detail YTD"}</definedName>
    <definedName name="wrn.Detailed._.P._.and._.L." hidden="1">{"P and L Detail Page 1",#N/A,FALSE,"Data";"P and L Detail Page 2",#N/A,FALSE,"Data"}</definedName>
    <definedName name="wrn.Detailed._.P._.and._.L.2" hidden="1">{"P and L Detail Page 1",#N/A,FALSE,"Data";"P and L Detail Page 2",#N/A,FALSE,"Data"}</definedName>
    <definedName name="wrn.Detailed._.print." localSheetId="8" hidden="1">{#N/A,#N/A,FALSE,"TabA";#N/A,#N/A,FALSE,"UTopxFx98";#N/A,#N/A,FALSE,"TopxFx98";#N/A,#N/A,FALSE,"TopxNom";#N/A,#N/A,FALSE,"UcFx98";#N/A,#N/A,FALSE,"CopxFx98";#N/A,#N/A,FALSE,"UcFx97";#N/A,#N/A,FALSE,"CopxFx97";#N/A,#N/A,FALSE,"UcNom";#N/A,#N/A,FALSE,"UcNomEni";#N/A,#N/A,FALSE,"UnFx98";#N/A,#N/A,FALSE,"NopxFx98";#N/A,#N/A,FALSE,"UnFx97";#N/A,#N/A,FALSE,"NopxFx97";#N/A,#N/A,FALSE,"UnNom";#N/A,#N/A,FALSE,"UnNomEni";#N/A,#N/A,FALSE,"TabC";#N/A,#N/A,FALSE,"CopxNom";#N/A,#N/A,FALSE,"CopxUSD";#N/A,#N/A,FALSE,"CopxUSDPct";#N/A,#N/A,FALSE,"CopxLoc";#N/A,#N/A,FALSE,"NopxNom";#N/A,#N/A,FALSE,"NopxUSD";#N/A,#N/A,FALSE,"NopxUSDPct";#N/A,#N/A,FALSE,"NopxLoc";#N/A,#N/A,FALSE,"ForexR";#N/A,#N/A,FALSE,"MoebGwi";#N/A,#N/A,FALSE,"MoebEni";#N/A,#N/A,FALSE,"GwiEniFac";#N/A,#N/A,FALSE,"TabD";#N/A,#N/A,FALSE,"KoebdENI";#N/A,#N/A,FALSE,"StatSuppl"}</definedName>
    <definedName name="wrn.Detailed._.print." hidden="1">{#N/A,#N/A,FALSE,"TabA";#N/A,#N/A,FALSE,"UTopxFx98";#N/A,#N/A,FALSE,"TopxFx98";#N/A,#N/A,FALSE,"TopxNom";#N/A,#N/A,FALSE,"UcFx98";#N/A,#N/A,FALSE,"CopxFx98";#N/A,#N/A,FALSE,"UcFx97";#N/A,#N/A,FALSE,"CopxFx97";#N/A,#N/A,FALSE,"UcNom";#N/A,#N/A,FALSE,"UcNomEni";#N/A,#N/A,FALSE,"UnFx98";#N/A,#N/A,FALSE,"NopxFx98";#N/A,#N/A,FALSE,"UnFx97";#N/A,#N/A,FALSE,"NopxFx97";#N/A,#N/A,FALSE,"UnNom";#N/A,#N/A,FALSE,"UnNomEni";#N/A,#N/A,FALSE,"TabC";#N/A,#N/A,FALSE,"CopxNom";#N/A,#N/A,FALSE,"CopxUSD";#N/A,#N/A,FALSE,"CopxUSDPct";#N/A,#N/A,FALSE,"CopxLoc";#N/A,#N/A,FALSE,"NopxNom";#N/A,#N/A,FALSE,"NopxUSD";#N/A,#N/A,FALSE,"NopxUSDPct";#N/A,#N/A,FALSE,"NopxLoc";#N/A,#N/A,FALSE,"ForexR";#N/A,#N/A,FALSE,"MoebGwi";#N/A,#N/A,FALSE,"MoebEni";#N/A,#N/A,FALSE,"GwiEniFac";#N/A,#N/A,FALSE,"TabD";#N/A,#N/A,FALSE,"KoebdENI";#N/A,#N/A,FALSE,"StatSuppl"}</definedName>
    <definedName name="wrn.devdeal." localSheetId="8" hidden="1">{"top",#N/A,TRUE,"Detail";"next",#N/A,TRUE,"Detail";"then",#N/A,TRUE,"Detail";"and",#N/A,TRUE,"Detail";"inaddition",#N/A,TRUE,"Detail";"finally",#N/A,TRUE,"Detail"}</definedName>
    <definedName name="wrn.devdeal." hidden="1">{"top",#N/A,TRUE,"Detail";"next",#N/A,TRUE,"Detail";"then",#N/A,TRUE,"Detail";"and",#N/A,TRUE,"Detail";"inaddition",#N/A,TRUE,"Detail";"finally",#N/A,TRUE,"Detail"}</definedName>
    <definedName name="wrn.dil_anal." localSheetId="8" hidden="1">{"hiden",#N/A,FALSE,"14";"hidden",#N/A,FALSE,"16";"hidden",#N/A,FALSE,"18";"hidden",#N/A,FALSE,"20"}</definedName>
    <definedName name="wrn.dil_anal." hidden="1">{"hiden",#N/A,FALSE,"14";"hidden",#N/A,FALSE,"16";"hidden",#N/A,FALSE,"18";"hidden",#N/A,FALSE,"20"}</definedName>
    <definedName name="wrn.dil_anal._1" localSheetId="8" hidden="1">{"hiden",#N/A,FALSE,"14";"hidden",#N/A,FALSE,"16";"hidden",#N/A,FALSE,"18";"hidden",#N/A,FALSE,"20"}</definedName>
    <definedName name="wrn.dil_anal._1" hidden="1">{"hiden",#N/A,FALSE,"14";"hidden",#N/A,FALSE,"16";"hidden",#N/A,FALSE,"18";"hidden",#N/A,FALSE,"20"}</definedName>
    <definedName name="wrn.dil_anal.1" localSheetId="8" hidden="1">{"hiden",#N/A,FALSE,"14";"hidden",#N/A,FALSE,"16";"hidden",#N/A,FALSE,"18";"hidden",#N/A,FALSE,"20"}</definedName>
    <definedName name="wrn.dil_anal.1" hidden="1">{"hiden",#N/A,FALSE,"14";"hidden",#N/A,FALSE,"16";"hidden",#N/A,FALSE,"18";"hidden",#N/A,FALSE,"20"}</definedName>
    <definedName name="wrn.dil_anal.1_1" localSheetId="8" hidden="1">{"hiden",#N/A,FALSE,"14";"hidden",#N/A,FALSE,"16";"hidden",#N/A,FALSE,"18";"hidden",#N/A,FALSE,"20"}</definedName>
    <definedName name="wrn.dil_anal.1_1" hidden="1">{"hiden",#N/A,FALSE,"14";"hidden",#N/A,FALSE,"16";"hidden",#N/A,FALSE,"18";"hidden",#N/A,FALSE,"20"}</definedName>
    <definedName name="wrn.Dir._.Of._.Prg._.Off." localSheetId="8" hidden="1">{"Exp",#N/A,FALSE,"Dir of Prg Off";"Sal",#N/A,FALSE,"Dir of Prg Off";"Sum",#N/A,FALSE,"Dir of Prg Off"}</definedName>
    <definedName name="wrn.Dir._.Of._.Prg._.Off." hidden="1">{"Exp",#N/A,FALSE,"Dir of Prg Off";"Sal",#N/A,FALSE,"Dir of Prg Off";"Sum",#N/A,FALSE,"Dir of Prg Off"}</definedName>
    <definedName name="wrn.direttori." localSheetId="8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1" localSheetId="8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1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v_bow." hidden="1">{"div_bow",#N/A,FALSE,"AMF"}</definedName>
    <definedName name="wrn.div_pls." hidden="1">{"div_pls",#N/A,FALSE,"PL"}</definedName>
    <definedName name="wrn.div_rtp." hidden="1">{"div_rtp",#N/A,FALSE,"PQ"}</definedName>
    <definedName name="wrn.divestiture." hidden="1">{#N/A,#N/A,TRUE,"Overview";#N/A,#N/A,TRUE,"Divest Val";#N/A,#N/A,TRUE,"sources &amp; uses";#N/A,#N/A,TRUE,"Has-Gets Divest"}</definedName>
    <definedName name="wrn.DIVISÃO." hidden="1">{"DIVISÃO-MÊS",#N/A,FALSE,"TOTAL";"DIVISÃO-ACUMULADO",#N/A,FALSE,"TOTAL"}</definedName>
    <definedName name="wrn.divisões." hidden="1">{"divisões",#N/A,FALSE,"TOT"}</definedName>
    <definedName name="wrn.DMark." localSheetId="8" hidden="1">{#N/A,#N/A,FALSE,"DM ACS";#N/A,#N/A,FALSE,"DM P&amp;L";#N/A,#N/A,FALSE,"DM BS";#N/A,#N/A,FALSE,"DM CF"}</definedName>
    <definedName name="wrn.DMark." hidden="1">{#N/A,#N/A,FALSE,"DM ACS";#N/A,#N/A,FALSE,"DM P&amp;L";#N/A,#N/A,FALSE,"DM BS";#N/A,#N/A,FALSE,"DM CF"}</definedName>
    <definedName name="wrn.document." localSheetId="8" hidden="1">{"consolidated",#N/A,FALSE,"Sheet1";"cms",#N/A,FALSE,"Sheet1";"fse",#N/A,FALSE,"Sheet1"}</definedName>
    <definedName name="wrn.document." hidden="1">{"consolidated",#N/A,FALSE,"Sheet1";"cms",#N/A,FALSE,"Sheet1";"fse",#N/A,FALSE,"Sheet1"}</definedName>
    <definedName name="wrn.document._1" localSheetId="8" hidden="1">{"consolidated",#N/A,FALSE,"Sheet1";"cms",#N/A,FALSE,"Sheet1";"fse",#N/A,FALSE,"Sheet1"}</definedName>
    <definedName name="wrn.document._1" hidden="1">{"consolidated",#N/A,FALSE,"Sheet1";"cms",#N/A,FALSE,"Sheet1";"fse",#N/A,FALSE,"Sheet1"}</definedName>
    <definedName name="wrn.document.1" localSheetId="8" hidden="1">{"comp",#N/A,FALSE,"SPEC";"footnotes",#N/A,FALSE,"SPEC"}</definedName>
    <definedName name="wrn.document.1" hidden="1">{"comp",#N/A,FALSE,"SPEC";"footnotes",#N/A,FALSE,"SPEC"}</definedName>
    <definedName name="wrn.document.1_1" localSheetId="8" hidden="1">{"comp",#N/A,FALSE,"SPEC";"footnotes",#N/A,FALSE,"SPEC"}</definedName>
    <definedName name="wrn.document.1_1" hidden="1">{"comp",#N/A,FALSE,"SPEC";"footnotes",#N/A,FALSE,"SPEC"}</definedName>
    <definedName name="wrn.documentaero." localSheetId="8" hidden="1">{"comps2",#N/A,FALSE,"AERO";"footnotes",#N/A,FALSE,"AERO"}</definedName>
    <definedName name="wrn.documentaero." hidden="1">{"comps2",#N/A,FALSE,"AERO";"footnotes",#N/A,FALSE,"AERO"}</definedName>
    <definedName name="wrn.documentaero._1" localSheetId="8" hidden="1">{"comps2",#N/A,FALSE,"AERO";"footnotes",#N/A,FALSE,"AERO"}</definedName>
    <definedName name="wrn.documentaero._1" hidden="1">{"comps2",#N/A,FALSE,"AERO";"footnotes",#N/A,FALSE,"AERO"}</definedName>
    <definedName name="wrn.documentaero.1" localSheetId="8" hidden="1">{"comps2",#N/A,FALSE,"AERO";"footnotes",#N/A,FALSE,"AERO"}</definedName>
    <definedName name="wrn.documentaero.1" hidden="1">{"comps2",#N/A,FALSE,"AERO";"footnotes",#N/A,FALSE,"AERO"}</definedName>
    <definedName name="wrn.documentaero.1_1" localSheetId="8" hidden="1">{"comps2",#N/A,FALSE,"AERO";"footnotes",#N/A,FALSE,"AERO"}</definedName>
    <definedName name="wrn.documentaero.1_1" hidden="1">{"comps2",#N/A,FALSE,"AERO";"footnotes",#N/A,FALSE,"AERO"}</definedName>
    <definedName name="wrn.documentation." hidden="1">{"document1",#N/A,FALSE,"Documentation";"document2",#N/A,FALSE,"Documentation"}</definedName>
    <definedName name="wrn.documenthand." localSheetId="8" hidden="1">{"comps",#N/A,FALSE,"HANDPACK";"footnotes",#N/A,FALSE,"HANDPACK"}</definedName>
    <definedName name="wrn.documenthand." hidden="1">{"comps",#N/A,FALSE,"HANDPACK";"footnotes",#N/A,FALSE,"HANDPACK"}</definedName>
    <definedName name="wrn.documenthand._1" localSheetId="8" hidden="1">{"comps",#N/A,FALSE,"HANDPACK";"footnotes",#N/A,FALSE,"HANDPACK"}</definedName>
    <definedName name="wrn.documenthand._1" hidden="1">{"comps",#N/A,FALSE,"HANDPACK";"footnotes",#N/A,FALSE,"HANDPACK"}</definedName>
    <definedName name="wrn.documenthand.1" localSheetId="8" hidden="1">{"comps",#N/A,FALSE,"HANDPACK";"footnotes",#N/A,FALSE,"HANDPACK"}</definedName>
    <definedName name="wrn.documenthand.1" hidden="1">{"comps",#N/A,FALSE,"HANDPACK";"footnotes",#N/A,FALSE,"HANDPACK"}</definedName>
    <definedName name="wrn.documenthand.1_1" localSheetId="8" hidden="1">{"comps",#N/A,FALSE,"HANDPACK";"footnotes",#N/A,FALSE,"HANDPACK"}</definedName>
    <definedName name="wrn.documenthand.1_1" hidden="1">{"comps",#N/A,FALSE,"HANDPACK";"footnotes",#N/A,FALSE,"HANDPACK"}</definedName>
    <definedName name="wrn.DOLAR." localSheetId="8" hidden="1">{#N/A,#N/A,FALSE,"BALUS$96";#N/A,#N/A,FALSE,"INCUS$96";#N/A,#N/A,FALSE,"CASH96";#N/A,#N/A,FALSE,"FINANC96";#N/A,#N/A,FALSE,"CFLOW96"}</definedName>
    <definedName name="wrn.DOLAR." hidden="1">{#N/A,#N/A,FALSE,"BALUS$96";#N/A,#N/A,FALSE,"INCUS$96";#N/A,#N/A,FALSE,"CASH96";#N/A,#N/A,FALSE,"FINANC96";#N/A,#N/A,FALSE,"CFLOW96"}</definedName>
    <definedName name="wrn.Dollars." localSheetId="8" hidden="1">{#N/A,#N/A,FALSE,"$ ACS";#N/A,#N/A,FALSE,"$ P&amp;L";#N/A,#N/A,FALSE,"$ BS";#N/A,#N/A,FALSE,"$ CF"}</definedName>
    <definedName name="wrn.Dollars." hidden="1">{#N/A,#N/A,FALSE,"$ ACS";#N/A,#N/A,FALSE,"$ P&amp;L";#N/A,#N/A,FALSE,"$ BS";#N/A,#N/A,FALSE,"$ CF"}</definedName>
    <definedName name="wrn.Domestic._.Monthly." localSheetId="8" hidden="1">{"incstmtdm",#N/A,TRUE,"Inc Stmt (D)";"balshtdm",#N/A,TRUE,"Bal Sheet (D)";"scfdm",#N/A,TRUE,"Cash Flow (D)";"incmcfdm",#N/A,TRUE,"Inc mcf (D)";"capsummdm",#N/A,TRUE,"Cap Summ (D)";"assumdm",#N/A,TRUE,"Assum (D)"}</definedName>
    <definedName name="wrn.Domestic._.Monthly." hidden="1">{"incstmtdm",#N/A,TRUE,"Inc Stmt (D)";"balshtdm",#N/A,TRUE,"Bal Sheet (D)";"scfdm",#N/A,TRUE,"Cash Flow (D)";"incmcfdm",#N/A,TRUE,"Inc mcf (D)";"capsummdm",#N/A,TRUE,"Cap Summ (D)";"assumdm",#N/A,TRUE,"Assum (D)"}</definedName>
    <definedName name="wrn.Domestic._.Quarterly." localSheetId="8" hidden="1">{"forecastdq",#N/A,TRUE,"Forecast (D)";"incstmtdq",#N/A,TRUE,"Inc Stmt (D)";"balshtdq",#N/A,TRUE,"Bal Sheet (D)";"scfdq",#N/A,TRUE,"Cash Flow (D)";"incmcfdq",#N/A,TRUE,"Inc mcf (D)";"capsummdq",#N/A,TRUE,"Cap Summ (D)";"assumdq",#N/A,TRUE,"Assum (D)"}</definedName>
    <definedName name="wrn.Domestic._.Quarterly." hidden="1">{"forecastdq",#N/A,TRUE,"Forecast (D)";"incstmtdq",#N/A,TRUE,"Inc Stmt (D)";"balshtdq",#N/A,TRUE,"Bal Sheet (D)";"scfdq",#N/A,TRUE,"Cash Flow (D)";"incmcfdq",#N/A,TRUE,"Inc mcf (D)";"capsummdq",#N/A,TRUE,"Cap Summ (D)";"assumdq",#N/A,TRUE,"Assum (D)"}</definedName>
    <definedName name="wrn.Drawings." localSheetId="8" hidden="1">{"DDC1",#N/A,FALSE,"I";"DDC2",#N/A,FALSE,"I"}</definedName>
    <definedName name="wrn.Drawings." hidden="1">{"DDC1",#N/A,FALSE,"I";"DDC2",#N/A,FALSE,"I"}</definedName>
    <definedName name="wrn.DRs._.por._.canal." localSheetId="8" hidden="1">{"DR Grossistas Total",#N/A,FALSE,"DRGrossista";"DR Grossistas Bebidas",#N/A,FALSE,"DRGrossista";"DR Grossistas Vegetais",#N/A,FALSE,"DRGrossista";"DR Retalho Total",#N/A,FALSE,"DRRetalhista";"DR Retalho Bebidas",#N/A,FALSE,"DRRetalhista";"DR Bebidas - Vegetais",#N/A,FALSE,"DRRetalhista";"DR Horeca Total",#N/A,FALSE,"DRHoreca";"DR Horeca Bebidas",#N/A,FALSE,"DRHoreca"}</definedName>
    <definedName name="wrn.DRs._.por._.canal." hidden="1">{"DR Grossistas Total",#N/A,FALSE,"DRGrossista";"DR Grossistas Bebidas",#N/A,FALSE,"DRGrossista";"DR Grossistas Vegetais",#N/A,FALSE,"DRGrossista";"DR Retalho Total",#N/A,FALSE,"DRRetalhista";"DR Retalho Bebidas",#N/A,FALSE,"DRRetalhista";"DR Bebidas - Vegetais",#N/A,FALSE,"DRRetalhista";"DR Horeca Total",#N/A,FALSE,"DRHoreca";"DR Horeca Bebidas",#N/A,FALSE,"DRHoreca"}</definedName>
    <definedName name="wrn.Drucken._.H.C.._.Starck." localSheetId="8" hidden="1">{#N/A,#N/A,FALSE,"Rohstoffnotierungen";#N/A,#N/A,FALSE,"ER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wrn.Drucken._.H.C.._.Starck." hidden="1">{#N/A,#N/A,FALSE,"Rohstoffnotierungen";#N/A,#N/A,FALSE,"ER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wrn.Earnings._.Model." localSheetId="8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1" localSheetId="8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2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conomic._.Value._.Added._.Analysis." localSheetId="7" hidden="1">{"EVA",#N/A,FALSE,"EVA";"WACC",#N/A,FALSE,"WACC"}</definedName>
    <definedName name="wrn.Economic._.Value._.Added._.Analysis." localSheetId="8" hidden="1">{"EVA",#N/A,FALSE,"EVA";"WACC",#N/A,FALSE,"WACC"}</definedName>
    <definedName name="wrn.Economic._.Value._.Added._.Analysis." hidden="1">{"EVA",#N/A,FALSE,"EVA";"WACC",#N/A,FALSE,"WACC"}</definedName>
    <definedName name="wrn.Economic._.Value._.Added._.Analysis._1" localSheetId="7" hidden="1">{"EVA",#N/A,FALSE,"EVA";"WACC",#N/A,FALSE,"WACC"}</definedName>
    <definedName name="wrn.Economic._.Value._.Added._.Analysis._1" localSheetId="8" hidden="1">{"EVA",#N/A,FALSE,"EVA";"WACC",#N/A,FALSE,"WACC"}</definedName>
    <definedName name="wrn.Economic._.Value._.Added._.Analysis._1" hidden="1">{"EVA",#N/A,FALSE,"EVA";"WACC",#N/A,FALSE,"WACC"}</definedName>
    <definedName name="wrn.EES_BUD_ACT_PY." localSheetId="8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wrn.EES_BUD_ACT_PY.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wrn.EES_BUD_SNAP_ACT_PY." localSheetId="8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wrn.EES_BUD_SNAP_ACT_PY.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wrn.EES_CHECK." localSheetId="8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wrn.EES_CHECK.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wrn.Eilbericht_UBA." localSheetId="8" hidden="1">{"Eilbericht_UBA",#N/A,FALSE,"EB"}</definedName>
    <definedName name="wrn.Eilbericht_UBA." hidden="1">{"Eilbericht_UBA",#N/A,FALSE,"EB"}</definedName>
    <definedName name="wrn.Eilbericht_UBA._1" localSheetId="8" hidden="1">{"Eilbericht_UBA",#N/A,FALSE,"EB"}</definedName>
    <definedName name="wrn.Eilbericht_UBA._1" hidden="1">{"Eilbericht_UBA",#N/A,FALSE,"EB"}</definedName>
    <definedName name="wrn.Einhundert._.Prozent._.alle._.Perioden." hidden="1">{"Alle Perioden",#N/A,FALSE,"Erf";"Alle Perioden",#N/A,FALSE,"BV100";"Alle Perioden",#N/A,FALSE,"BE100";"Alle Perioden",#N/A,FALSE,"Re100";"Alle Perioden",#N/A,FALSE,"Vol100"}</definedName>
    <definedName name="wrn.Einhundert._.Prozent._.erste._.elf._.Perioden." hidden="1">{"Erste elf Perioden",#N/A,FALSE,"Erf";"Erste elf Perioden",#N/A,FALSE,"BV100";"Erste elf Perioden",#N/A,FALSE,"BE100";"Erste elf Perioden",#N/A,FALSE,"Re100";"Erste elf Perioden",#N/A,FALSE,"Vol100"}</definedName>
    <definedName name="wrn.ely." hidden="1">{#N/A,#N/A,FALSE,"fw or db 98 up"}</definedName>
    <definedName name="wrn.EMM._.detail._.edition." localSheetId="8" hidden="1">{#N/A,#N/A,TRUE,"Cover";#N/A,#N/A,TRUE,"Content";"Orders EMM",#N/A,TRUE,"Order Sales";"project EMM",#N/A,TRUE,"Project Control";"Cash EMM",#N/A,TRUE,"Cash Control";"KPI EMM",#N/A,TRUE,"KPI-EMM";"Empl EMM",#N/A,TRUE,"Employees"}</definedName>
    <definedName name="wrn.EMM._.detail._.edition." hidden="1">{#N/A,#N/A,TRUE,"Cover";#N/A,#N/A,TRUE,"Content";"Orders EMM",#N/A,TRUE,"Order Sales";"project EMM",#N/A,TRUE,"Project Control";"Cash EMM",#N/A,TRUE,"Cash Control";"KPI EMM",#N/A,TRUE,"KPI-EMM";"Empl EMM",#N/A,TRUE,"Employees"}</definedName>
    <definedName name="wrn.EMM._.detail._.edition._1" localSheetId="8" hidden="1">{#N/A,#N/A,TRUE,"Cover";#N/A,#N/A,TRUE,"Content";"Orders EMM",#N/A,TRUE,"Order Sales";"project EMM",#N/A,TRUE,"Project Control";"Cash EMM",#N/A,TRUE,"Cash Control";"KPI EMM",#N/A,TRUE,"KPI-EMM";"Empl EMM",#N/A,TRUE,"Employees"}</definedName>
    <definedName name="wrn.EMM._.detail._.edition._1" hidden="1">{#N/A,#N/A,TRUE,"Cover";#N/A,#N/A,TRUE,"Content";"Orders EMM",#N/A,TRUE,"Order Sales";"project EMM",#N/A,TRUE,"Project Control";"Cash EMM",#N/A,TRUE,"Cash Control";"KPI EMM",#N/A,TRUE,"KPI-EMM";"Empl EMM",#N/A,TRUE,"Employees"}</definedName>
    <definedName name="wrn.Empleados." localSheetId="8" hidden="1">{"Empleados",#N/A,FALSE,"Emp."}</definedName>
    <definedName name="wrn.Empleados." hidden="1">{"Empleados",#N/A,FALSE,"Emp."}</definedName>
    <definedName name="wrn.Employee._.by._.CBU." localSheetId="8" hidden="1">{#N/A,#N/A,FALSE,"Main Table"}</definedName>
    <definedName name="wrn.Employee._.by._.CBU." hidden="1">{#N/A,#N/A,FALSE,"Main Table"}</definedName>
    <definedName name="wrn.Employee._.Efficiency." localSheetId="8" hidden="1">{"Employee Efficiency",#N/A,FALSE,"Benchmarking"}</definedName>
    <definedName name="wrn.Employee._.Efficiency." hidden="1">{"Employee Efficiency",#N/A,FALSE,"Benchmarking"}</definedName>
    <definedName name="wrn.EntitiesWithReclasses." localSheetId="8" hidden="1">{"page1",#N/A,FALSE,"EntitiesWithReclasses";"page2",#N/A,FALSE,"EntitiesWithReclasses";"page3",#N/A,FALSE,"EntitiesWithReclasses";"page4",#N/A,FALSE,"EntitiesWithReclasses";"page5",#N/A,FALSE,"EntitiesWithReclasses";"page6",#N/A,FALSE,"EntitiesWithReclasses"}</definedName>
    <definedName name="wrn.EntitiesWithReclasses." hidden="1">{"page1",#N/A,FALSE,"EntitiesWithReclasses";"page2",#N/A,FALSE,"EntitiesWithReclasses";"page3",#N/A,FALSE,"EntitiesWithReclasses";"page4",#N/A,FALSE,"EntitiesWithReclasses";"page5",#N/A,FALSE,"EntitiesWithReclasses";"page6",#N/A,FALSE,"EntitiesWithReclasses"}</definedName>
    <definedName name="wrn.enyém." localSheetId="8" hidden="1">{#N/A,#N/A,FALSE,"content";#N/A,#N/A,FALSE,"summary";#N/A,#N/A,FALSE,"historicBS";#N/A,#N/A,FALSE,"historicIS";#N/A,#N/A,FALSE,"historicCF";#N/A,#N/A,FALSE,"ratios";#N/A,#N/A,FALSE,"ForecastIS";#N/A,#N/A,FALSE,"DCF-WACC";#N/A,#N/A,FALSE,"DCF-CAPM";#N/A,#N/A,FALSE,"debt";#N/A,#N/A,FALSE,"depreciation";#N/A,#N/A,FALSE,"wacc";"view_a",#N/A,FALSE,"GLC";"view_b",#N/A,FALSE,"GLC";"view_c",#N/A,FALSE,"GLC";"view_d",#N/A,FALSE,"GLC";"view_e",#N/A,FALSE,"GLC";#N/A,#N/A,FALSE,"riskfree";#N/A,#N/A,FALSE,"glcapproach";#N/A,#N/A,FALSE,"control";#N/A,#N/A,FALSE,"marketibility";#N/A,#N/A,FALSE,"rev";#N/A,#N/A,FALSE,"customers";#N/A,#N/A,FALSE,"suppliers";#N/A,#N/A,FALSE,"own.str.";"view_a",#N/A,FALSE,"season";"view_b",#N/A,FALSE,"season"}</definedName>
    <definedName name="wrn.enyém." hidden="1">{#N/A,#N/A,FALSE,"content";#N/A,#N/A,FALSE,"summary";#N/A,#N/A,FALSE,"historicBS";#N/A,#N/A,FALSE,"historicIS";#N/A,#N/A,FALSE,"historicCF";#N/A,#N/A,FALSE,"ratios";#N/A,#N/A,FALSE,"ForecastIS";#N/A,#N/A,FALSE,"DCF-WACC";#N/A,#N/A,FALSE,"DCF-CAPM";#N/A,#N/A,FALSE,"debt";#N/A,#N/A,FALSE,"depreciation";#N/A,#N/A,FALSE,"wacc";"view_a",#N/A,FALSE,"GLC";"view_b",#N/A,FALSE,"GLC";"view_c",#N/A,FALSE,"GLC";"view_d",#N/A,FALSE,"GLC";"view_e",#N/A,FALSE,"GLC";#N/A,#N/A,FALSE,"riskfree";#N/A,#N/A,FALSE,"glcapproach";#N/A,#N/A,FALSE,"control";#N/A,#N/A,FALSE,"marketibility";#N/A,#N/A,FALSE,"rev";#N/A,#N/A,FALSE,"customers";#N/A,#N/A,FALSE,"suppliers";#N/A,#N/A,FALSE,"own.str.";"view_a",#N/A,FALSE,"season";"view_b",#N/A,FALSE,"season"}</definedName>
    <definedName name="wrn.Equipment." localSheetId="8" hidden="1">{"PnL",#N/A,FALSE,"Equip P&amp;L";"Responsibility",#N/A,FALSE,"Equip P&amp;L";"Cost Control",#N/A,FALSE,"Equip P&amp;L"}</definedName>
    <definedName name="wrn.Equipment." hidden="1">{"PnL",#N/A,FALSE,"Equip P&amp;L";"Responsibility",#N/A,FALSE,"Equip P&amp;L";"Cost Control",#N/A,FALSE,"Equip P&amp;L"}</definedName>
    <definedName name="wrn.equity._.comps." localSheetId="8" hidden="1">{"equity comps",#N/A,FALSE,"CS Comps";"equity comps",#N/A,FALSE,"PS Comps";"equity comps",#N/A,FALSE,"GIC_Comps";"equity comps",#N/A,FALSE,"GIC2_Comps"}</definedName>
    <definedName name="wrn.equity._.comps." hidden="1">{"equity comps",#N/A,FALSE,"CS Comps";"equity comps",#N/A,FALSE,"PS Comps";"equity comps",#N/A,FALSE,"GIC_Comps";"equity comps",#N/A,FALSE,"GIC2_Comps"}</definedName>
    <definedName name="wrn.equity._.comps._1" localSheetId="8" hidden="1">{"equity comps",#N/A,FALSE,"CS Comps";"equity comps",#N/A,FALSE,"PS Comps";"equity comps",#N/A,FALSE,"GIC_Comps";"equity comps",#N/A,FALSE,"GIC2_Comps"}</definedName>
    <definedName name="wrn.equity._.comps._1" hidden="1">{"equity comps",#N/A,FALSE,"CS Comps";"equity comps",#N/A,FALSE,"PS Comps";"equity comps",#N/A,FALSE,"GIC_Comps";"equity comps",#N/A,FALSE,"GIC2_Comps"}</definedName>
    <definedName name="wrn.equity._.comps.1" localSheetId="8" hidden="1">{"equity comps",#N/A,FALSE,"CS Comps";"equity comps",#N/A,FALSE,"PS Comps";"equity comps",#N/A,FALSE,"GIC_Comps";"equity comps",#N/A,FALSE,"GIC2_Comps"}</definedName>
    <definedName name="wrn.equity._.comps.1" hidden="1">{"equity comps",#N/A,FALSE,"CS Comps";"equity comps",#N/A,FALSE,"PS Comps";"equity comps",#N/A,FALSE,"GIC_Comps";"equity comps",#N/A,FALSE,"GIC2_Comps"}</definedName>
    <definedName name="wrn.equity._.comps.1_1" localSheetId="8" hidden="1">{"equity comps",#N/A,FALSE,"CS Comps";"equity comps",#N/A,FALSE,"PS Comps";"equity comps",#N/A,FALSE,"GIC_Comps";"equity comps",#N/A,FALSE,"GIC2_Comps"}</definedName>
    <definedName name="wrn.equity._.comps.1_1" hidden="1">{"equity comps",#N/A,FALSE,"CS Comps";"equity comps",#N/A,FALSE,"PS Comps";"equity comps",#N/A,FALSE,"GIC_Comps";"equity comps",#N/A,FALSE,"GIC2_Comps"}</definedName>
    <definedName name="wrn.Ergebnisbericht_UBA." localSheetId="8" hidden="1">{"Ergebnisbericht_UBA",#N/A,FALSE,"MB"}</definedName>
    <definedName name="wrn.Ergebnisbericht_UBA." hidden="1">{"Ergebnisbericht_UBA",#N/A,FALSE,"MB"}</definedName>
    <definedName name="wrn.Ergebnisbericht_UBA._1" localSheetId="8" hidden="1">{"Ergebnisbericht_UBA",#N/A,FALSE,"MB"}</definedName>
    <definedName name="wrn.Ergebnisbericht_UBA._1" hidden="1">{"Ergebnisbericht_UBA",#N/A,FALSE,"MB"}</definedName>
    <definedName name="wrn.ESCOVA01." localSheetId="8" hidden="1">{#N/A,#N/A,FALSE,"ABR";#N/A,#N/A,FALSE,"MAR";#N/A,#N/A,FALSE,"CUSTOS"}</definedName>
    <definedName name="wrn.ESCOVA01." hidden="1">{#N/A,#N/A,FALSE,"ABR";#N/A,#N/A,FALSE,"MAR";#N/A,#N/A,FALSE,"CUSTOS"}</definedName>
    <definedName name="wrn.esl." localSheetId="8" hidden="1">{"Monthly6Q",#N/A,FALSE,"0614ESL"}</definedName>
    <definedName name="wrn.esl." hidden="1">{"Monthly6Q",#N/A,FALSE,"0614ESL"}</definedName>
    <definedName name="wrn.Esquema._.de._.Convenio." localSheetId="8" hidden="1">{#N/A,#N/A,TRUE,"Tapa 1";#N/A,#N/A,TRUE,"Tapa 2"}</definedName>
    <definedName name="wrn.Esquema._.de._.Convenio." hidden="1">{#N/A,#N/A,TRUE,"Tapa 1";#N/A,#N/A,TRUE,"Tapa 2"}</definedName>
    <definedName name="wrn.essai." localSheetId="8" hidden="1">{#N/A,#N/A,FALSE,"9709 (2)"}</definedName>
    <definedName name="wrn.essai." hidden="1">{#N/A,#N/A,FALSE,"9709 (2)"}</definedName>
    <definedName name="wrn.este." hidden="1">{#N/A,#N/A,FALSE,"DATOS";#N/A,#N/A,FALSE,"RESUMEN";#N/A,#N/A,FALSE,"INVERS"}</definedName>
    <definedName name="wrn.esterno." localSheetId="8" hidden="1">{#N/A,#N/A,FALSE,"HIGHNEW";#N/A,#N/A,FALSE,"HIGHOLD"}</definedName>
    <definedName name="wrn.esterno." hidden="1">{#N/A,#N/A,FALSE,"HIGHNEW";#N/A,#N/A,FALSE,"HIGHOLD"}</definedName>
    <definedName name="wrn.esterno._1" localSheetId="8" hidden="1">{#N/A,#N/A,FALSE,"HIGHNEW";#N/A,#N/A,FALSE,"HIGHOLD"}</definedName>
    <definedName name="wrn.esterno._1" hidden="1">{#N/A,#N/A,FALSE,"HIGHNEW";#N/A,#N/A,FALSE,"HIGHOLD"}</definedName>
    <definedName name="wrn.ETATS._.DE._.SYNTHESE." localSheetId="8" hidden="1">{#N/A,#N/A,FALSE,"TABLEAU DES FLUX";#N/A,#N/A,FALSE,"COMPTE DE RESULTAT";#N/A,#N/A,FALSE,"BILAN FINANCIER";#N/A,#N/A,FALSE,"BSPL_96"}</definedName>
    <definedName name="wrn.ETATS._.DE._.SYNTHESE." hidden="1">{#N/A,#N/A,FALSE,"TABLEAU DES FLUX";#N/A,#N/A,FALSE,"COMPTE DE RESULTAT";#N/A,#N/A,FALSE,"BILAN FINANCIER";#N/A,#N/A,FALSE,"BSPL_96"}</definedName>
    <definedName name="wrn.EURO." localSheetId="8" hidden="1">{"page3 (budget euros) (2)",#N/A,FALSE,"budget euros"}</definedName>
    <definedName name="wrn.EURO." hidden="1">{"page3 (budget euros) (2)",#N/A,FALSE,"budget euros"}</definedName>
    <definedName name="wrn.Europe." localSheetId="7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" localSheetId="8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.Base." localSheetId="8" hidden="1">{"Eur Base Top",#N/A,FALSE,"Europe Base";"Eur Base Bottom",#N/A,FALSE,"Europe Base"}</definedName>
    <definedName name="wrn.Europe._.Base." hidden="1">{"Eur Base Top",#N/A,FALSE,"Europe Base";"Eur Base Bottom",#N/A,FALSE,"Europe Base"}</definedName>
    <definedName name="wrn.Europe._.Historics._.Forecasts." localSheetId="8" hidden="1">{"Europe Historical",#N/A,FALSE,"Summary";"Europe Forecasts",#N/A,FALSE,"Summary"}</definedName>
    <definedName name="wrn.Europe._.Historics._.Forecasts." hidden="1">{"Europe Historical",#N/A,FALSE,"Summary";"Europe Forecasts",#N/A,FALSE,"Summary"}</definedName>
    <definedName name="wrn.Europe._.Set." localSheetId="8" hidden="1">{"IS w Ratios",#N/A,FALSE,"Europe";"PF CF Europe",#N/A,FALSE,"Europe";"DCF Eur Matrix",#N/A,FALSE,"Europe"}</definedName>
    <definedName name="wrn.Europe._.Set." hidden="1">{"IS w Ratios",#N/A,FALSE,"Europe";"PF CF Europe",#N/A,FALSE,"Europe";"DCF Eur Matrix",#N/A,FALSE,"Europe"}</definedName>
    <definedName name="wrn.Europe._1" localSheetId="8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1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valuation._.Model._.Printout." localSheetId="8" hidden="1">{#N/A,#N/A,TRUE,"Index";#N/A,#N/A,TRUE,"Summary";#N/A,#N/A,TRUE,"General Assumptions";#N/A,#N/A,TRUE,"Economic Assumptions";#N/A,#N/A,TRUE,"Technical Assumptions";#N/A,#N/A,TRUE,"Construction sheet";#N/A,#N/A,TRUE,"Revenues &amp; Costs";#N/A,#N/A,TRUE,"Debt Sheet";#N/A,#N/A,TRUE,"Depreciation";#N/A,#N/A,TRUE,"Cashflow Statement";#N/A,#N/A,TRUE,"Income Statement";#N/A,#N/A,TRUE,"Balance Sheet";#N/A,#N/A,TRUE,"Ratios"}</definedName>
    <definedName name="wrn.Evaluation._.Model._.Printout." hidden="1">{#N/A,#N/A,TRUE,"Index";#N/A,#N/A,TRUE,"Summary";#N/A,#N/A,TRUE,"General Assumptions";#N/A,#N/A,TRUE,"Economic Assumptions";#N/A,#N/A,TRUE,"Technical Assumptions";#N/A,#N/A,TRUE,"Construction sheet";#N/A,#N/A,TRUE,"Revenues &amp; Costs";#N/A,#N/A,TRUE,"Debt Sheet";#N/A,#N/A,TRUE,"Depreciation";#N/A,#N/A,TRUE,"Cashflow Statement";#N/A,#N/A,TRUE,"Income Statement";#N/A,#N/A,TRUE,"Balance Sheet";#N/A,#N/A,TRUE,"Ratios"}</definedName>
    <definedName name="wrn.Everything." localSheetId="8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1" localSheetId="8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1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olucion._.cajas." localSheetId="8" hidden="1">{#N/A,#N/A,FALSE,"GRUPOS";#N/A,#N/A,FALSE,"MENSUAL";#N/A,#N/A,FALSE,"ANUAL";#N/A,#N/A,FALSE,"12 MESES"}</definedName>
    <definedName name="wrn.evolucion._.cajas." hidden="1">{#N/A,#N/A,FALSE,"GRUPOS";#N/A,#N/A,FALSE,"MENSUAL";#N/A,#N/A,FALSE,"ANUAL";#N/A,#N/A,FALSE,"12 MESES"}</definedName>
    <definedName name="wrn.Exam._.Workpapers._.1." localSheetId="8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rn.Exam._.Workpapers._.1.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rn.EXCLUHGLT." localSheetId="8" hidden="1">{#N/A,#N/A,FALSE,"Centres";#N/A,#N/A,FALSE,"Partenariats";#N/A,#N/A,FALSE,"P.Diverses";#N/A,#N/A,FALSE,"Adm";#N/A,#N/A,FALSE,"Autres R-D";#N/A,#N/A,FALSE,"Intérêts"}</definedName>
    <definedName name="wrn.EXCLUHGLT." hidden="1">{#N/A,#N/A,FALSE,"Centres";#N/A,#N/A,FALSE,"Partenariats";#N/A,#N/A,FALSE,"P.Diverses";#N/A,#N/A,FALSE,"Adm";#N/A,#N/A,FALSE,"Autres R-D";#N/A,#N/A,FALSE,"Intérêts"}</definedName>
    <definedName name="wrn.Excursion._.Fin._.Stmts." localSheetId="8" hidden="1">{"EXCURSION I/S",#N/A,TRUE,"EXCURSION";"Excursion C/F",#N/A,TRUE,"EXCURSION";"Excursion B/S",#N/A,TRUE,"EXCURSION"}</definedName>
    <definedName name="wrn.Excursion._.Fin._.Stmts." hidden="1">{"EXCURSION I/S",#N/A,TRUE,"EXCURSION";"Excursion C/F",#N/A,TRUE,"EXCURSION";"Excursion B/S",#N/A,TRUE,"EXCURSION"}</definedName>
    <definedName name="wrn.Exec." localSheetId="8" hidden="1">{"Sum_Ex",#N/A,FALSE,"Slides";"Tan",#N/A,FALSE,"Slides";"Intan",#N/A,FALSE,"Slides";"TVB_K",#N/A,FALSE,"Slides";"TVB_TAN_O",#N/A,FALSE,"Slides";"TVB_Int",#N/A,FALSE,"Slides";"BCST",#N/A,FALSE,"Broadcast equipment  (2)";"Tech_Eq",#N/A,FALSE,"Slide_Tec_Eq";"CONST",#N/A,FALSE,"Slide_construction"}</definedName>
    <definedName name="wrn.Exec." hidden="1">{"Sum_Ex",#N/A,FALSE,"Slides";"Tan",#N/A,FALSE,"Slides";"Intan",#N/A,FALSE,"Slides";"TVB_K",#N/A,FALSE,"Slides";"TVB_TAN_O",#N/A,FALSE,"Slides";"TVB_Int",#N/A,FALSE,"Slides";"BCST",#N/A,FALSE,"Broadcast equipment  (2)";"Tech_Eq",#N/A,FALSE,"Slide_Tec_Eq";"CONST",#N/A,FALSE,"Slide_construction"}</definedName>
    <definedName name="wrn.Exec_IS." localSheetId="8" hidden="1">{"IS_LCL_TV",#N/A,FALSE,"IS_Disc";"IS_TV_BUC",#N/A,FALSE,"IS_Disc";"IS_PRO_FM_BUC",#N/A,FALSE,"IS_Disc";"IS_PRO_NW",#N/A,FALSE,"IS_Disc"}</definedName>
    <definedName name="wrn.Exec_IS." hidden="1">{"IS_LCL_TV",#N/A,FALSE,"IS_Disc";"IS_TV_BUC",#N/A,FALSE,"IS_Disc";"IS_PRO_FM_BUC",#N/A,FALSE,"IS_Disc";"IS_PRO_NW",#N/A,FALSE,"IS_Disc"}</definedName>
    <definedName name="wrn.Exec_New." localSheetId="8" hidden="1">{"IS_New",#N/A,FALSE,"SLIDES_New";"IS_PRO_TV_2",#N/A,FALSE,"IS_New";"IS_LCL_NEW",#N/A,FALSE,"IS_New";"IS_NWR_NEW",#N/A,FALSE,"IS_New";"IS_PRO_CSC",#N/A,FALSE,"IS_New";"IS_PRO_INFO",#N/A,FALSE,"IS_New"}</definedName>
    <definedName name="wrn.Exec_New." hidden="1">{"IS_New",#N/A,FALSE,"SLIDES_New";"IS_PRO_TV_2",#N/A,FALSE,"IS_New";"IS_LCL_NEW",#N/A,FALSE,"IS_New";"IS_NWR_NEW",#N/A,FALSE,"IS_New";"IS_PRO_CSC",#N/A,FALSE,"IS_New";"IS_PRO_INFO",#N/A,FALSE,"IS_New"}</definedName>
    <definedName name="wrn.Exhibit_draft_report." hidden="1">{"Historic",#N/A,FALSE,"Historic IS";"BS",#N/A,FALSE,"DCF BS conversion";"Market_summary_2",#N/A,FALSE,"Market summary";"GCM_summary",#N/A,FALSE,"Market approach";"DCF",#N/A,FALSE,"DCF Projected IS unlevered";"DCF_value",#N/A,FALSE,"DCF Indications of value"}</definedName>
    <definedName name="wrn.EXHIBITS." hidden="1">{"summary1",#N/A,FALSE,"Summary of Values";"weighted average returns",#N/A,FALSE,"WACC and WARA";"revenue graph",#N/A,FALSE,"Revenue Graph";"historical acquirer",#N/A,FALSE,"Historical Performance";"historical target",#N/A,FALSE,"Historical Performance";"revenue detail 1",#N/A,FALSE,"Revenue Detail";"revenue detail 2",#N/A,FALSE,"Revenue Detail";"revenue detail 3",#N/A,FALSE,"Revenue Detail";"revenue detail 4",#N/A,FALSE,"Revenue Detail";"gross_margin1",#N/A,FALSE,"Gross Margin Detail";"gross_margin2",#N/A,FALSE,"Gross Margin Detail";"developed income statement",#N/A,FALSE,"Abbreviated Income Statement";"inprocess income statement",#N/A,FALSE,"Abbreviated Income Statement";"developed valuation",#N/A,FALSE,"Valuation Analysis";"inprocess valuation",#N/A,FALSE,"Valuation Analysis";"trademark1",#N/A,FALSE,"Trademark(s) and Trade Name(s)";"contributory1",#N/A,FALSE,"Contributory Assets Detail";"contributory2",#N/A,FALSE,"Contributory Assets Detail";"fixed asset detail",#N/A,FALSE,"Fixed Asset Detail"}</definedName>
    <definedName name="wrn.EXITO." hidden="1">{#N/A,#N/A,TRUE,"Op. Stats";#N/A,#N/A,TRUE,"New Stores";#N/A,#N/A,TRUE,"LAZARD TOTAL";#N/A,#N/A,TRUE,"Summary IS";#N/A,#N/A,TRUE,"97-LTM-98 Pro Forma";#N/A,#N/A,TRUE,"1997 Reconciliation";#N/A,#N/A,TRUE,"CAPEX &amp; WC";#N/A,#N/A,TRUE,"All Stores DCF Dollars";#N/A,#N/A,TRUE,"Existing DCF";#N/A,#N/A,TRUE,"Region A DCF";#N/A,#N/A,TRUE,"Region B DCF";#N/A,#N/A,TRUE,"APPENDIX";#N/A,#N/A,TRUE,"Total Region IS";#N/A,#N/A,TRUE,"LAZARD MEDELLIN";#N/A,#N/A,TRUE,"LAZARD BOGOTA";#N/A,#N/A,TRUE,"LAZARD CALI";#N/A,#N/A,TRUE,"LAZARD ATLANTICO";#N/A,#N/A,TRUE,"LAZARD OTHER";#N/A,#N/A,TRUE,"Existing IS";#N/A,#N/A,TRUE,"Region A IS";#N/A,#N/A,TRUE,"Region B IS";#N/A,#N/A,TRUE,"Sales Sq. M"}</definedName>
    <definedName name="wrn.Exp_Anal." localSheetId="8" hidden="1">{"Sal",#N/A,FALSE,"Ana_BK";"B_E",#N/A,FALSE,"Ana_BK_1";"Prod",#N/A,FALSE,"Ana_BK";"Rent",#N/A,FALSE,"Ana_BK_1";"R_and_M",#N/A,FALSE,"Ana_BK_2";"Mktg",#N/A,FALSE,"Ana_BK";"Utilities",#N/A,FALSE,"Ana_BK_2";"Cons",#N/A,FALSE,"Ana_BK";"Trvl",#N/A,FALSE,"Ana_BK";"Trng",#N/A,FALSE,"Ana_BK";"Other",#N/A,FALSE,"Ana_BK_2"}</definedName>
    <definedName name="wrn.Exp_Anal." hidden="1">{"Sal",#N/A,FALSE,"Ana_BK";"B_E",#N/A,FALSE,"Ana_BK_1";"Prod",#N/A,FALSE,"Ana_BK";"Rent",#N/A,FALSE,"Ana_BK_1";"R_and_M",#N/A,FALSE,"Ana_BK_2";"Mktg",#N/A,FALSE,"Ana_BK";"Utilities",#N/A,FALSE,"Ana_BK_2";"Cons",#N/A,FALSE,"Ana_BK";"Trvl",#N/A,FALSE,"Ana_BK";"Trng",#N/A,FALSE,"Ana_BK";"Other",#N/A,FALSE,"Ana_BK_2"}</definedName>
    <definedName name="wrn.EXPEDIENT." localSheetId="8" hidden="1">{#N/A,#N/A,FALSE,"TARIFAS";#N/A,#N/A,FALSE,"INCREMENTOS";#N/A,#N/A,FALSE,"LONGITUDES";#N/A,#N/A,FALSE,"LONG_A17";#N/A,#N/A,FALSE,"CALCULOS";"Bonificacions",#N/A,FALSE,"CALCULOS (2)";"Montgat-Mataró",#N/A,FALSE,"PEAJES";"Mataró-Palafolls",#N/A,FALSE,"PEAJES";"Rec.Mataró-Palafolls",#N/A,FALSE,"PEAJES";#N/A,#N/A,FALSE,"PEATGES_A17"}</definedName>
    <definedName name="wrn.EXPEDIENT." hidden="1">{#N/A,#N/A,FALSE,"TARIFAS";#N/A,#N/A,FALSE,"INCREMENTOS";#N/A,#N/A,FALSE,"LONGITUDES";#N/A,#N/A,FALSE,"LONG_A17";#N/A,#N/A,FALSE,"CALCULOS";"Bonificacions",#N/A,FALSE,"CALCULOS (2)";"Montgat-Mataró",#N/A,FALSE,"PEAJES";"Mataró-Palafolls",#N/A,FALSE,"PEAJES";"Rec.Mataró-Palafolls",#N/A,FALSE,"PEAJES";#N/A,#N/A,FALSE,"PEATGES_A17"}</definedName>
    <definedName name="wrn.EXPENSES._.98._.US." hidden="1">{"Expenses 98 MKT",#N/A,TRUE,"MKT";"Expenses 98 BUSS",#N/A,TRUE,"BusOper";"Expenses 98 TECH",#N/A,TRUE,"Tech";"Expenses 98 LOCAL",#N/A,TRUE,"LocalProg";"Expenses 98 GA",#N/A,TRUE,"G&amp;A";"Expenses 98 CONSOL",#N/A,TRUE,"Consolidate"}</definedName>
    <definedName name="wrn.EXPENSES._.99._.REAL." hidden="1">{"Reais 99 MKT",#N/A,TRUE,"MKT";"Reais 99 BUSS",#N/A,TRUE,"BusOper";"Reais 99 TECH",#N/A,TRUE,"Tech";"Reais 99 LOCAL",#N/A,TRUE,"LocalProg";"Reais 99 GA",#N/A,TRUE,"G&amp;A";"Reais 99 CONSOL",#N/A,TRUE,"Consolidate"}</definedName>
    <definedName name="wrn.Exports." localSheetId="8" hidden="1">{#N/A,#N/A,FALSE,"Exports";#N/A,#N/A,FALSE,"Carolans";#N/A,#N/A,FALSE,"Irish Mist";#N/A,#N/A,FALSE,"Tullamore Dew";#N/A,#N/A,FALSE,"Other Brands Exports";#N/A,#N/A,FALSE,"Frangelico";#N/A,#N/A,FALSE,"Mondoro";#N/A,#N/A,FALSE,"Aperol";#N/A,#N/A,FALSE,"Others Exports"}</definedName>
    <definedName name="wrn.Exports." hidden="1">{#N/A,#N/A,FALSE,"Exports";#N/A,#N/A,FALSE,"Carolans";#N/A,#N/A,FALSE,"Irish Mist";#N/A,#N/A,FALSE,"Tullamore Dew";#N/A,#N/A,FALSE,"Other Brands Exports";#N/A,#N/A,FALSE,"Frangelico";#N/A,#N/A,FALSE,"Mondoro";#N/A,#N/A,FALSE,"Aperol";#N/A,#N/A,FALSE,"Others Exports"}</definedName>
    <definedName name="wrn.extn_2501." localSheetId="8" hidden="1">{"Profit",#N/A,FALSE,"extn_2501";"Capital",#N/A,FALSE,"extn_2501"}</definedName>
    <definedName name="wrn.extn_2501." hidden="1">{"Profit",#N/A,FALSE,"extn_2501";"Capital",#N/A,FALSE,"extn_2501"}</definedName>
    <definedName name="wrn.F812." localSheetId="8" hidden="1">{"F8P2",#N/A,TRUE,"F8";"F8P1",#N/A,TRUE,"F8";"F8P3",#N/A,TRUE,"F8"}</definedName>
    <definedName name="wrn.F812." hidden="1">{"F8P2",#N/A,TRUE,"F8";"F8P1",#N/A,TRUE,"F8";"F8P3",#N/A,TRUE,"F8"}</definedName>
    <definedName name="wrn.Far._.East._.Set." localSheetId="8" hidden="1">{"IS FE with Ratios",#N/A,FALSE,"Far East";"PF CF Far East",#N/A,FALSE,"Far East";"DCF Far East Matrix",#N/A,FALSE,"Far East"}</definedName>
    <definedName name="wrn.Far._.East._.Set." hidden="1">{"IS FE with Ratios",#N/A,FALSE,"Far East";"PF CF Far East",#N/A,FALSE,"Far East";"DCF Far East Matrix",#N/A,FALSE,"Far East"}</definedName>
    <definedName name="wrn.FASIVALUTA_PREC." localSheetId="8" hidden="1">{"FASE1_PREC",#N/A,FALSE;"FASE2_PREC",#N/A,FALSE;"FASE3_PREC",#N/A,FALSE;"FASE4_PREC",#N/A,FALSE;"RIEPILOGOFASI_PREC",#N/A,FALSE}</definedName>
    <definedName name="wrn.FASIVALUTA_PREC." hidden="1">{"FASE1_PREC",#N/A,FALSE;"FASE2_PREC",#N/A,FALSE;"FASE3_PREC",#N/A,FALSE;"FASE4_PREC",#N/A,FALSE;"RIEPILOGOFASI_PREC",#N/A,FALSE}</definedName>
    <definedName name="wrn.FASIVALUTA_PREC._1" localSheetId="8" hidden="1">{"FASE1_PREC",#N/A,FALSE;"FASE2_PREC",#N/A,FALSE;"FASE3_PREC",#N/A,FALSE;"FASE4_PREC",#N/A,FALSE;"RIEPILOGOFASI_PREC",#N/A,FALSE}</definedName>
    <definedName name="wrn.FASIVALUTA_PREC._1" hidden="1">{"FASE1_PREC",#N/A,FALSE;"FASE2_PREC",#N/A,FALSE;"FASE3_PREC",#N/A,FALSE;"FASE4_PREC",#N/A,FALSE;"RIEPILOGOFASI_PREC",#N/A,FALSE}</definedName>
    <definedName name="wrn.FCB." localSheetId="8" hidden="1">{"FCB_ALL",#N/A,FALSE,"FCB"}</definedName>
    <definedName name="wrn.FCB." hidden="1">{"FCB_ALL",#N/A,FALSE,"FCB"}</definedName>
    <definedName name="wrn.fcb2" localSheetId="8" hidden="1">{"FCB_ALL",#N/A,FALSE,"FCB"}</definedName>
    <definedName name="wrn.fcb2" hidden="1">{"FCB_ALL",#N/A,FALSE,"FCB"}</definedName>
    <definedName name="wrn.FE._.Sensitivity." localSheetId="8" hidden="1">{"Far East Top",#N/A,FALSE,"FE Model";"Far East Mid",#N/A,FALSE,"FE Model";"Far East Base",#N/A,FALSE,"FE Model"}</definedName>
    <definedName name="wrn.FE._.Sensitivity." hidden="1">{"Far East Top",#N/A,FALSE,"FE Model";"Far East Mid",#N/A,FALSE,"FE Model";"Far East Base",#N/A,FALSE,"FE Model"}</definedName>
    <definedName name="wrn.FHUSS." localSheetId="8" hidden="1">{"fhuss",#N/A,FALSE,"FHUSS";"fhmgt",#N/A,FALSE,"FHMGT"}</definedName>
    <definedName name="wrn.FHUSS." hidden="1">{"fhuss",#N/A,FALSE,"FHUSS";"fhmgt",#N/A,FALSE,"FHMGT"}</definedName>
    <definedName name="wrn.FHUSS._1" localSheetId="8" hidden="1">{"fhuss",#N/A,FALSE,"FHUSS";"fhmgt",#N/A,FALSE,"FHMGT"}</definedName>
    <definedName name="wrn.FHUSS._1" hidden="1">{"fhuss",#N/A,FALSE,"FHUSS";"fhmgt",#N/A,FALSE,"FHMGT"}</definedName>
    <definedName name="wrn.Fin." localSheetId="8" hidden="1">{"Sum",#N/A,FALSE,"Finance";"Exp",#N/A,FALSE,"Finance";"Sal",#N/A,FALSE,"Finance"}</definedName>
    <definedName name="wrn.Fin." hidden="1">{"Sum",#N/A,FALSE,"Finance";"Exp",#N/A,FALSE,"Finance";"Sal",#N/A,FALSE,"Finance"}</definedName>
    <definedName name="wrn.Fin._.Report." localSheetId="8" hidden="1">{#N/A,#N/A,FALSE,"cover";#N/A,#N/A,FALSE,"Content ";#N/A,#N/A,FALSE,"E&amp;C Op Stat";#N/A,#N/A,FALSE,"Telcos Op Stat";#N/A,#N/A,FALSE,"Media Op Stat";#N/A,#N/A,FALSE,"Oil Op Stat";#N/A,#N/A,FALSE,"Utilities Op Stat";#N/A,#N/A,FALSE,"E&amp;C Ord An";#N/A,#N/A,FALSE,"E&amp;C Debt Nar";#N/A,#N/A,FALSE,"E&amp;C Debtors";#N/A,#N/A,FALSE,"E&amp;C CO Debt";#N/A,#N/A,FALSE,"Telcos Presales";#N/A,#N/A,FALSE,"Oil Presales";#N/A,#N/A,FALSE,"Utilities Presales"}</definedName>
    <definedName name="wrn.Fin._.Report." hidden="1">{#N/A,#N/A,FALSE,"cover";#N/A,#N/A,FALSE,"Content ";#N/A,#N/A,FALSE,"E&amp;C Op Stat";#N/A,#N/A,FALSE,"Telcos Op Stat";#N/A,#N/A,FALSE,"Media Op Stat";#N/A,#N/A,FALSE,"Oil Op Stat";#N/A,#N/A,FALSE,"Utilities Op Stat";#N/A,#N/A,FALSE,"E&amp;C Ord An";#N/A,#N/A,FALSE,"E&amp;C Debt Nar";#N/A,#N/A,FALSE,"E&amp;C Debtors";#N/A,#N/A,FALSE,"E&amp;C CO Debt";#N/A,#N/A,FALSE,"Telcos Presales";#N/A,#N/A,FALSE,"Oil Presales";#N/A,#N/A,FALSE,"Utilities Presales"}</definedName>
    <definedName name="wrn.final." localSheetId="8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wrn.final.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wrn.Finance_Admin." localSheetId="8" hidden="1">{#N/A,#N/A,FALSE,"Consumer Finance";#N/A,#N/A,FALSE,"Consumer Exec"}</definedName>
    <definedName name="wrn.Finance_Admin." hidden="1">{#N/A,#N/A,FALSE,"Consumer Finance";#N/A,#N/A,FALSE,"Consumer Exec"}</definedName>
    <definedName name="wrn.FINANCIAL._.MONTH." hidden="1">{"Expense Analysis MKT",#N/A,TRUE,"MKT";"Expense Analysis BUSS",#N/A,TRUE,"BusOper";"Expense Analysis TECH",#N/A,TRUE,"Tech";"Expense Analysis LOCAL",#N/A,TRUE,"LocalProg";"Expense Analysis GA",#N/A,TRUE,"G&amp;A";"Expense Analysis CONSOL",#N/A,TRUE,"Consolidate"}</definedName>
    <definedName name="wrn.FINANCIAL._.MONTHS." hidden="1">{"Expenses Amalysis Months MKT",#N/A,TRUE,"MKT";"Expenses Analysis Months BUSS",#N/A,TRUE,"BusOper";"Expenses Analysis Months TECH",#N/A,TRUE,"Tech";"Expenses Analysis Months LOCAL",#N/A,TRUE,"LocalProg";"Expenses Analysis Months GA",#N/A,TRUE,"G&amp;A";"Expenses Analysis Months CONSOL",#N/A,TRUE,"Consolidate"}</definedName>
    <definedName name="wrn.Financial._.Output." hidden="1">{"P and L",#N/A,FALSE,"Financial Output";"Cashflow",#N/A,FALSE,"Financial Output";"Balance Sheet",#N/A,FALSE,"Financial Output"}</definedName>
    <definedName name="wrn.Financial._.Output.2" hidden="1">{"P and L",#N/A,FALSE,"Financial Output";"Cashflow",#N/A,FALSE,"Financial Output";"Balance Sheet",#N/A,FALSE,"Financial Output"}</definedName>
    <definedName name="wrn.Financial._.Statements._.and._.Schedules." localSheetId="8" hidden="1">{#N/A,#N/A,TRUE,"4-Way Financial Comparison";#N/A,#N/A,TRUE,"Operations Statement";#N/A,#N/A,TRUE,"GAAP Statement";#N/A,#N/A,TRUE,"Balance Sheet";#N/A,#N/A,TRUE,"Cash Flow";#N/A,#N/A,TRUE,"Adjustments";#N/A,#N/A,TRUE,"Non-Op Schedule";#N/A,#N/A,TRUE,"Debt Schedule";#N/A,#N/A,TRUE,"Outsiders Share";#N/A,#N/A,TRUE,"Capital Exp.";#N/A,#N/A,TRUE,"Invest Affiliates";#N/A,#N/A,TRUE,"COC";#N/A,#N/A,TRUE,"Def Chrgs, et al";#N/A,#N/A,TRUE,"Taxes";#N/A,#N/A,TRUE,"IC - Interest Income"}</definedName>
    <definedName name="wrn.Financial._.Statements._.and._.Schedules." hidden="1">{#N/A,#N/A,TRUE,"4-Way Financial Comparison";#N/A,#N/A,TRUE,"Operations Statement";#N/A,#N/A,TRUE,"GAAP Statement";#N/A,#N/A,TRUE,"Balance Sheet";#N/A,#N/A,TRUE,"Cash Flow";#N/A,#N/A,TRUE,"Adjustments";#N/A,#N/A,TRUE,"Non-Op Schedule";#N/A,#N/A,TRUE,"Debt Schedule";#N/A,#N/A,TRUE,"Outsiders Share";#N/A,#N/A,TRUE,"Capital Exp.";#N/A,#N/A,TRUE,"Invest Affiliates";#N/A,#N/A,TRUE,"COC";#N/A,#N/A,TRUE,"Def Chrgs, et al";#N/A,#N/A,TRUE,"Taxes";#N/A,#N/A,TRUE,"IC - Interest Income"}</definedName>
    <definedName name="wrn.FINANCIAL._.US._.MONTH." hidden="1">{"Expenses us MKT",#N/A,TRUE,"MKT";"Expenses us BUSS",#N/A,TRUE,"BusOper";"Expenses us TECH",#N/A,TRUE,"Tech";"Expenses us LOCAL",#N/A,TRUE,"LocalProg";"Expenses us GA",#N/A,TRUE,"G&amp;A";"Expenses us CONSOL",#N/A,TRUE,"Consolidate"}</definedName>
    <definedName name="wrn.FINANCIAL._.US._.MONTHS." hidden="1">{"Expenses Months us MKT",#N/A,TRUE,"MKT";"Expenses Months us BUSS",#N/A,TRUE,"BusOper";"Expenses Months us TECH",#N/A,TRUE,"Tech";"Expenses Months us LOCAL",#N/A,TRUE,"LocalProg";"Expenses Months us GA",#N/A,TRUE,"G&amp;A";"Expenses Months us CONSOL",#N/A,TRUE,"Consolidate"}</definedName>
    <definedName name="wrn.Financials." localSheetId="8" hidden="1">{#N/A,#N/A,FALSE,"Assumptions";"finsumm",#N/A,FALSE,"Finsumm";"FBGroup",#N/A,FALSE,"FB - BT Group";"BSGroup",#N/A,FALSE,"FB - BT Group";"FBSync",#N/A,FALSE,"FB - Syncordia Total ";"FBSyncEx3P",#N/A,FALSE,"FB - Sync excl. 3rd party"}</definedName>
    <definedName name="wrn.Financials." hidden="1">{#N/A,#N/A,FALSE,"Assumptions";"finsumm",#N/A,FALSE,"Finsumm";"FBGroup",#N/A,FALSE,"FB - BT Group";"BSGroup",#N/A,FALSE,"FB - BT Group";"FBSync",#N/A,FALSE,"FB - Syncordia Total ";"FBSyncEx3P",#N/A,FALSE,"FB - Sync excl. 3rd party"}</definedName>
    <definedName name="wrn.Financials_long." localSheetId="8" hidden="1">{"IS",#N/A,FALSE,"Financials2 (Expanded)";"bsa",#N/A,FALSE,"Financials2 (Expanded)";"BS",#N/A,FALSE,"Financials2 (Expanded)";"CF",#N/A,FALSE,"Financials2 (Expanded)"}</definedName>
    <definedName name="wrn.Financials_long." hidden="1">{"IS",#N/A,FALSE,"Financials2 (Expanded)";"bsa",#N/A,FALSE,"Financials2 (Expanded)";"BS",#N/A,FALSE,"Financials2 (Expanded)";"CF",#N/A,FALSE,"Financials2 (Expanded)"}</definedName>
    <definedName name="wrn.Financials_long._1" localSheetId="8" hidden="1">{"IS",#N/A,FALSE,"Financials2 (Expanded)";"bsa",#N/A,FALSE,"Financials2 (Expanded)";"BS",#N/A,FALSE,"Financials2 (Expanded)";"CF",#N/A,FALSE,"Financials2 (Expanded)"}</definedName>
    <definedName name="wrn.Financials_long._1" hidden="1">{"IS",#N/A,FALSE,"Financials2 (Expanded)";"bsa",#N/A,FALSE,"Financials2 (Expanded)";"BS",#N/A,FALSE,"Financials2 (Expanded)";"CF",#N/A,FALSE,"Financials2 (Expanded)"}</definedName>
    <definedName name="wrn.Finanzbedarfsrechnung." localSheetId="8" hidden="1">{#N/A,#N/A,FALSE,"Finanzbedarfsrechnung"}</definedName>
    <definedName name="wrn.Finanzbedarfsrechnung." hidden="1">{#N/A,#N/A,FALSE,"Finanzbedarfsrechnung"}</definedName>
    <definedName name="wrn.finstate." localSheetId="8" hidden="1">{"pl9601",#N/A,FALSE,"PL96";"pl9602",#N/A,FALSE,"PL96";"pl9603",#N/A,FALSE,"PL96";"PL9604",#N/A,FALSE,"PL96";"pl9605",#N/A,FALSE,"PL96";"pl9606",#N/A,FALSE,"PL96";"pl9607",#N/A,FALSE,"PL96";"pl9608",#N/A,FALSE,"PL96";"pl9609",#N/A,FALSE,"PL96";"pl9610",#N/A,FALSE,"PL96";"pl9611",#N/A,FALSE,"PL96";"fssum01",#N/A,FALSE,"fssum";"fssum02",#N/A,FALSE,"fssum"}</definedName>
    <definedName name="wrn.finstate." hidden="1">{"pl9601",#N/A,FALSE,"PL96";"pl9602",#N/A,FALSE,"PL96";"pl9603",#N/A,FALSE,"PL96";"PL9604",#N/A,FALSE,"PL96";"pl9605",#N/A,FALSE,"PL96";"pl9606",#N/A,FALSE,"PL96";"pl9607",#N/A,FALSE,"PL96";"pl9608",#N/A,FALSE,"PL96";"pl9609",#N/A,FALSE,"PL96";"pl9610",#N/A,FALSE,"PL96";"pl9611",#N/A,FALSE,"PL96";"fssum01",#N/A,FALSE,"fssum";"fssum02",#N/A,FALSE,"fssum"}</definedName>
    <definedName name="wrn.finstate._1" localSheetId="8" hidden="1">{"pl9601",#N/A,FALSE,"PL96";"pl9602",#N/A,FALSE,"PL96";"pl9603",#N/A,FALSE,"PL96";"PL9604",#N/A,FALSE,"PL96";"pl9605",#N/A,FALSE,"PL96";"pl9606",#N/A,FALSE,"PL96";"pl9607",#N/A,FALSE,"PL96";"pl9608",#N/A,FALSE,"PL96";"pl9609",#N/A,FALSE,"PL96";"pl9610",#N/A,FALSE,"PL96";"pl9611",#N/A,FALSE,"PL96";"fssum01",#N/A,FALSE,"fssum";"fssum02",#N/A,FALSE,"fssum"}</definedName>
    <definedName name="wrn.finstate._1" hidden="1">{"pl9601",#N/A,FALSE,"PL96";"pl9602",#N/A,FALSE,"PL96";"pl9603",#N/A,FALSE,"PL96";"PL9604",#N/A,FALSE,"PL96";"pl9605",#N/A,FALSE,"PL96";"pl9606",#N/A,FALSE,"PL96";"pl9607",#N/A,FALSE,"PL96";"pl9608",#N/A,FALSE,"PL96";"pl9609",#N/A,FALSE,"PL96";"pl9610",#N/A,FALSE,"PL96";"pl9611",#N/A,FALSE,"PL96";"fssum01",#N/A,FALSE,"fssum";"fssum02",#N/A,FALSE,"fssum"}</definedName>
    <definedName name="wrn.finsummary." localSheetId="8" hidden="1">{"finsumm",#N/A,FALSE,"Finsumm";"graph",#N/A,FALSE,"Finsumm";"costgraph",#N/A,FALSE,"Finsumm";"costbreakdown",#N/A,FALSE,"Finsumm"}</definedName>
    <definedName name="wrn.finsummary." hidden="1">{"finsumm",#N/A,FALSE,"Finsumm";"graph",#N/A,FALSE,"Finsumm";"costgraph",#N/A,FALSE,"Finsumm";"costbreakdown",#N/A,FALSE,"Finsumm"}</definedName>
    <definedName name="wrn.FIRMAS." localSheetId="8" hidden="1">{#N/A,#N/A,FALSE,"Var Inv Negoc";#N/A,#N/A,FALSE,"Var Inv Finan";#N/A,#N/A,FALSE,"Var Rec Negoc";#N/A,#N/A,FALSE,"Var Rec Finan";#N/A,#N/A,FALSE,"Serie Tipos Inv-Rec";#N/A,#N/A,FALSE,"Serie Tipos Finanzas"}</definedName>
    <definedName name="wrn.FIRMAS." hidden="1">{#N/A,#N/A,FALSE,"Var Inv Negoc";#N/A,#N/A,FALSE,"Var Inv Finan";#N/A,#N/A,FALSE,"Var Rec Negoc";#N/A,#N/A,FALSE,"Var Rec Finan";#N/A,#N/A,FALSE,"Serie Tipos Inv-Rec";#N/A,#N/A,FALSE,"Serie Tipos Finanzas"}</definedName>
    <definedName name="wrn.Five._.Year._.Record." hidden="1">{"Five Year Record",#N/A,FALSE,"Front and Back"}</definedName>
    <definedName name="wrn.Five._.Year._.Record.2" hidden="1">{"Five Year Record",#N/A,FALSE,"Front and Back"}</definedName>
    <definedName name="wrn.FLASH." localSheetId="8" hidden="1">{"FLASH",#N/A,FALSE,"P4FLASH"}</definedName>
    <definedName name="wrn.FLASH." hidden="1">{"FLASH",#N/A,FALSE,"P4FLASH"}</definedName>
    <definedName name="wrn.fleck." localSheetId="8" hidden="1">{"first",#N/A,FALSE,"FLEXPAC2";"second",#N/A,FALSE,"FLEXPAC2"}</definedName>
    <definedName name="wrn.fleck." hidden="1">{"first",#N/A,FALSE,"FLEXPAC2";"second",#N/A,FALSE,"FLEXPAC2"}</definedName>
    <definedName name="wrn.fleck._1" localSheetId="8" hidden="1">{"first",#N/A,FALSE,"FLEXPAC2";"second",#N/A,FALSE,"FLEXPAC2"}</definedName>
    <definedName name="wrn.fleck._1" hidden="1">{"first",#N/A,FALSE,"FLEXPAC2";"second",#N/A,FALSE,"FLEXPAC2"}</definedName>
    <definedName name="wrn.fleckcompac." localSheetId="8" hidden="1">{"one",#N/A,FALSE,"FLEXPAC2";"two",#N/A,FALSE,"FLEXPAC2";"three",#N/A,FALSE,"FLEXPAC2"}</definedName>
    <definedName name="wrn.fleckcompac." hidden="1">{"one",#N/A,FALSE,"FLEXPAC2";"two",#N/A,FALSE,"FLEXPAC2";"three",#N/A,FALSE,"FLEXPAC2"}</definedName>
    <definedName name="wrn.fleckcompac._1" localSheetId="8" hidden="1">{"one",#N/A,FALSE,"FLEXPAC2";"two",#N/A,FALSE,"FLEXPAC2";"three",#N/A,FALSE,"FLEXPAC2"}</definedName>
    <definedName name="wrn.fleckcompac._1" hidden="1">{"one",#N/A,FALSE,"FLEXPAC2";"two",#N/A,FALSE,"FLEXPAC2";"three",#N/A,FALSE,"FLEXPAC2"}</definedName>
    <definedName name="wrn.for._.TenneT." localSheetId="8" hidden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._.TenneT." hidden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._.TenneT._1" localSheetId="8" hidden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._.TenneT._1" hidden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._.TenneT.1" localSheetId="8" hidden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._.TenneT.1" hidden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._.TenneT.1_1" localSheetId="8" hidden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._.TenneT.1_1" hidden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ecast." localSheetId="7" hidden="1">{#N/A,#N/A,FALSE,"model"}</definedName>
    <definedName name="wrn.forecast." localSheetId="8" hidden="1">{#N/A,#N/A,FALSE,"model"}</definedName>
    <definedName name="wrn.forecast." hidden="1">{#N/A,#N/A,FALSE,"model"}</definedName>
    <definedName name="wrn.forecast._1" localSheetId="7" hidden="1">{#N/A,#N/A,FALSE,"model"}</definedName>
    <definedName name="wrn.forecast._1" localSheetId="8" hidden="1">{#N/A,#N/A,FALSE,"model"}</definedName>
    <definedName name="wrn.forecast._1" hidden="1">{#N/A,#N/A,FALSE,"model"}</definedName>
    <definedName name="wrn.forecast2" localSheetId="7" hidden="1">{#N/A,#N/A,FALSE,"model"}</definedName>
    <definedName name="wrn.forecast2" localSheetId="8" hidden="1">{#N/A,#N/A,FALSE,"model"}</definedName>
    <definedName name="wrn.forecast2" hidden="1">{#N/A,#N/A,FALSE,"model"}</definedName>
    <definedName name="wrn.forecast2_1" localSheetId="8" hidden="1">{#N/A,#N/A,FALSE,"model"}</definedName>
    <definedName name="wrn.forecast2_1" hidden="1">{#N/A,#N/A,FALSE,"model"}</definedName>
    <definedName name="wrn.forecastassumptions." localSheetId="7" hidden="1">{#N/A,#N/A,FALSE,"model"}</definedName>
    <definedName name="wrn.forecastassumptions." localSheetId="8" hidden="1">{#N/A,#N/A,FALSE,"model"}</definedName>
    <definedName name="wrn.forecastassumptions." hidden="1">{#N/A,#N/A,FALSE,"model"}</definedName>
    <definedName name="wrn.forecastassumptions._1" localSheetId="7" hidden="1">{#N/A,#N/A,FALSE,"model"}</definedName>
    <definedName name="wrn.forecastassumptions._1" localSheetId="8" hidden="1">{#N/A,#N/A,FALSE,"model"}</definedName>
    <definedName name="wrn.forecastassumptions._1" hidden="1">{#N/A,#N/A,FALSE,"model"}</definedName>
    <definedName name="wrn.forecastassumptions2" localSheetId="7" hidden="1">{#N/A,#N/A,FALSE,"model"}</definedName>
    <definedName name="wrn.forecastassumptions2" localSheetId="8" hidden="1">{#N/A,#N/A,FALSE,"model"}</definedName>
    <definedName name="wrn.forecastassumptions2" hidden="1">{#N/A,#N/A,FALSE,"model"}</definedName>
    <definedName name="wrn.forecastassumptions2_1" localSheetId="8" hidden="1">{#N/A,#N/A,FALSE,"model"}</definedName>
    <definedName name="wrn.forecastassumptions2_1" hidden="1">{#N/A,#N/A,FALSE,"model"}</definedName>
    <definedName name="wrn.forecastROIC." localSheetId="7" hidden="1">{#N/A,#N/A,FALSE,"model"}</definedName>
    <definedName name="wrn.forecastROIC." localSheetId="8" hidden="1">{#N/A,#N/A,FALSE,"model"}</definedName>
    <definedName name="wrn.forecastROIC." hidden="1">{#N/A,#N/A,FALSE,"model"}</definedName>
    <definedName name="wrn.forecastROIC._1" localSheetId="7" hidden="1">{#N/A,#N/A,FALSE,"model"}</definedName>
    <definedName name="wrn.forecastROIC._1" localSheetId="8" hidden="1">{#N/A,#N/A,FALSE,"model"}</definedName>
    <definedName name="wrn.forecastROIC._1" hidden="1">{#N/A,#N/A,FALSE,"model"}</definedName>
    <definedName name="wrn.forecastROIC2" localSheetId="7" hidden="1">{#N/A,#N/A,FALSE,"model"}</definedName>
    <definedName name="wrn.forecastROIC2" localSheetId="8" hidden="1">{#N/A,#N/A,FALSE,"model"}</definedName>
    <definedName name="wrn.forecastROIC2" hidden="1">{#N/A,#N/A,FALSE,"model"}</definedName>
    <definedName name="wrn.forecastROIC2_1" localSheetId="8" hidden="1">{#N/A,#N/A,FALSE,"model"}</definedName>
    <definedName name="wrn.forecastROIC2_1" hidden="1">{#N/A,#N/A,FALSE,"model"}</definedName>
    <definedName name="wrn.forecasts." localSheetId="8" hidden="1">{#N/A,#N/A,FALSE,"model"}</definedName>
    <definedName name="wrn.forecasts." hidden="1">{#N/A,#N/A,FALSE,"model"}</definedName>
    <definedName name="wrn.FRANÇA." localSheetId="8" hidden="1">{#N/A,#N/A,FALSE,"BILAN-MENSAL-cons";#N/A,#N/A,FALSE,"RES-mes-MES-cons";#N/A,#N/A,FALSE,"BILAN-Mes-AWB";#N/A,#N/A,FALSE,"RES-mes-AWB";#N/A,#N/A,FALSE,"BILAN-Mes-AWB";#N/A,#N/A,FALSE,"RES-mes-AWP"}</definedName>
    <definedName name="wrn.FRANÇA." hidden="1">{#N/A,#N/A,FALSE,"BILAN-MENSAL-cons";#N/A,#N/A,FALSE,"RES-mes-MES-cons";#N/A,#N/A,FALSE,"BILAN-Mes-AWB";#N/A,#N/A,FALSE,"RES-mes-AWB";#N/A,#N/A,FALSE,"BILAN-Mes-AWB";#N/A,#N/A,FALSE,"RES-mes-AWP"}</definedName>
    <definedName name="wrn.FRANÇA._1" localSheetId="8" hidden="1">{#N/A,#N/A,FALSE,"BILAN-MENSAL-cons";#N/A,#N/A,FALSE,"RES-mes-MES-cons";#N/A,#N/A,FALSE,"BILAN-Mes-AWB";#N/A,#N/A,FALSE,"RES-mes-AWB";#N/A,#N/A,FALSE,"BILAN-Mes-AWB";#N/A,#N/A,FALSE,"RES-mes-AWP"}</definedName>
    <definedName name="wrn.FRANÇA._1" hidden="1">{#N/A,#N/A,FALSE,"BILAN-MENSAL-cons";#N/A,#N/A,FALSE,"RES-mes-MES-cons";#N/A,#N/A,FALSE,"BILAN-Mes-AWB";#N/A,#N/A,FALSE,"RES-mes-AWB";#N/A,#N/A,FALSE,"BILAN-Mes-AWB";#N/A,#N/A,FALSE,"RES-mes-AWP"}</definedName>
    <definedName name="wrn.fred." localSheetId="8" hidden="1">{"cover",#N/A,TRUE,"BaseCase";"pnl",#N/A,TRUE,"BaseCase";"pnldet",#N/A,TRUE,"BaseCase";"bil",#N/A,TRUE,"BaseCase";"tabfi",#N/A,TRUE,"BaseCase";"ratios",#N/A,TRUE,"BaseCase";"variab",#N/A,TRUE,"BaseCase";"inv",#N/A,TRUE,"BaseCase"}</definedName>
    <definedName name="wrn.fred." hidden="1">{"cover",#N/A,TRUE,"BaseCase";"pnl",#N/A,TRUE,"BaseCase";"pnldet",#N/A,TRUE,"BaseCase";"bil",#N/A,TRUE,"BaseCase";"tabfi",#N/A,TRUE,"BaseCase";"ratios",#N/A,TRUE,"BaseCase";"variab",#N/A,TRUE,"BaseCase";"inv",#N/A,TRUE,"BaseCase"}</definedName>
    <definedName name="wrn.fred._1" localSheetId="8" hidden="1">{"cover",#N/A,TRUE,"BaseCase";"pnl",#N/A,TRUE,"BaseCase";"pnldet",#N/A,TRUE,"BaseCase";"bil",#N/A,TRUE,"BaseCase";"tabfi",#N/A,TRUE,"BaseCase";"ratios",#N/A,TRUE,"BaseCase";"variab",#N/A,TRUE,"BaseCase";"inv",#N/A,TRUE,"BaseCase"}</definedName>
    <definedName name="wrn.fred._1" hidden="1">{"cover",#N/A,TRUE,"BaseCase";"pnl",#N/A,TRUE,"BaseCase";"pnldet",#N/A,TRUE,"BaseCase";"bil",#N/A,TRUE,"BaseCase";"tabfi",#N/A,TRUE,"BaseCase";"ratios",#N/A,TRUE,"BaseCase";"variab",#N/A,TRUE,"BaseCase";"inv",#N/A,TRUE,"BaseCase"}</definedName>
    <definedName name="wrn.Friendly." localSheetId="8" hidden="1">{#N/A,#N/A,TRUE,"Julio";#N/A,#N/A,TRUE,"Agosto";#N/A,#N/A,TRUE,"BHCo";#N/A,#N/A,TRUE,"Abril";#N/A,#N/A,TRUE,"Pro Forma"}</definedName>
    <definedName name="wrn.Friendly." hidden="1">{#N/A,#N/A,TRUE,"Julio";#N/A,#N/A,TRUE,"Agosto";#N/A,#N/A,TRUE,"BHCo";#N/A,#N/A,TRUE,"Abril";#N/A,#N/A,TRUE,"Pro Forma"}</definedName>
    <definedName name="wrn.Front._.Page." hidden="1">{"Front Page",#N/A,FALSE,"Front and Back"}</definedName>
    <definedName name="wrn.Front._.Page.2" hidden="1">{"Front Page",#N/A,FALSE,"Front and Back"}</definedName>
    <definedName name="wrn.frully." localSheetId="8" hidden="1">{#N/A,#N/A,FALSE,"P&amp;L"}</definedName>
    <definedName name="wrn.frully." hidden="1">{#N/A,#N/A,FALSE,"P&amp;L"}</definedName>
    <definedName name="wrn.frully._.smodel." localSheetId="8" hidden="1">{#N/A,#N/A,TRUE,"Cover sheet";#N/A,#N/A,TRUE,"DCF analysis";#N/A,#N/A,TRUE,"WACC calculation"}</definedName>
    <definedName name="wrn.frully._.smodel." hidden="1">{#N/A,#N/A,TRUE,"Cover sheet";#N/A,#N/A,TRUE,"DCF analysis";#N/A,#N/A,TRUE,"WACC calculation"}</definedName>
    <definedName name="wrn.frully._.smodel._1" localSheetId="8" hidden="1">{#N/A,#N/A,TRUE,"Cover sheet";#N/A,#N/A,TRUE,"DCF analysis";#N/A,#N/A,TRUE,"WACC calculation"}</definedName>
    <definedName name="wrn.frully._.smodel._1" hidden="1">{#N/A,#N/A,TRUE,"Cover sheet";#N/A,#N/A,TRUE,"DCF analysis";#N/A,#N/A,TRUE,"WACC calculation"}</definedName>
    <definedName name="wrn.frully._1" localSheetId="8" hidden="1">{#N/A,#N/A,FALSE,"P&amp;L"}</definedName>
    <definedName name="wrn.frully._1" hidden="1">{#N/A,#N/A,FALSE,"P&amp;L"}</definedName>
    <definedName name="wrn.FS97." hidden="1">{#N/A,#N/A,FALSE,"Capa";#N/A,#N/A,FALSE,"Balance";#N/A,#N/A,FALSE,"P&amp; L";#N/A,#N/A,FALSE,"DMPL";#N/A,#N/A,FALSE,"DOAR";#N/A,#N/A,FALSE,"G &amp; L";#N/A,#N/A,FALSE,"P&amp;L R$";#N/A,#N/A,FALSE,"P&amp;L US";#N/A,#N/A,FALSE,"Custo R$";#N/A,#N/A,FALSE,"Custo US$"}</definedName>
    <definedName name="wrn.fssum." localSheetId="8" hidden="1">{"fssum01",#N/A,FALSE,"fssum";"fssum02",#N/A,FALSE,"fssum"}</definedName>
    <definedName name="wrn.fssum." hidden="1">{"fssum01",#N/A,FALSE,"fssum";"fssum02",#N/A,FALSE,"fssum"}</definedName>
    <definedName name="wrn.fssum._1" localSheetId="8" hidden="1">{"fssum01",#N/A,FALSE,"fssum";"fssum02",#N/A,FALSE,"fssum"}</definedName>
    <definedName name="wrn.fssum._1" hidden="1">{"fssum01",#N/A,FALSE,"fssum";"fssum02",#N/A,FALSE,"fssum"}</definedName>
    <definedName name="wrn.Full." localSheetId="7" hidden="1">{#N/A,#N/A,TRUE,"Cover Page";#N/A,#N/A,TRUE,"Summary";#N/A,#N/A,TRUE,"Acquisition Analysis";#N/A,#N/A,TRUE,"Acquiror Financials";#N/A,#N/A,TRUE,"Target Financials";#N/A,#N/A,TRUE,"Pro Forma";#N/A,#N/A,TRUE,"Shares";#N/A,#N/A,TRUE,"ESOP Recon";#N/A,#N/A,TRUE,"IRR";#N/A,#N/A,TRUE,"Sensitivity";#N/A,#N/A,TRUE,"Inputs"}</definedName>
    <definedName name="wrn.Full." localSheetId="8" hidden="1">{#N/A,#N/A,TRUE,"Cover Page";#N/A,#N/A,TRUE,"Summary";#N/A,#N/A,TRUE,"Acquisition Analysis";#N/A,#N/A,TRUE,"Acquiror Financials";#N/A,#N/A,TRUE,"Target Financials";#N/A,#N/A,TRUE,"Pro Forma";#N/A,#N/A,TRUE,"Shares";#N/A,#N/A,TRUE,"ESOP Recon";#N/A,#N/A,TRUE,"IRR";#N/A,#N/A,TRUE,"Sensitivity";#N/A,#N/A,TRUE,"Inputs"}</definedName>
    <definedName name="wrn.Full." hidden="1">{#N/A,#N/A,FALSE,"Cover";"outputs total",#N/A,FALSE,"Outputs"}</definedName>
    <definedName name="wrn.full._.financials." localSheetId="8" hidden="1">{"IS Consolidado",#N/A,TRUE,"telecinco";"BS Consolidado",#N/A,TRUE,"telecinco";"parrilla_1",#N/A,TRUE,"Parrilla Costs"}</definedName>
    <definedName name="wrn.full._.financials." hidden="1">{"IS Consolidado",#N/A,TRUE,"telecinco";"BS Consolidado",#N/A,TRUE,"telecinco";"parrilla_1",#N/A,TRUE,"Parrilla Costs"}</definedName>
    <definedName name="wrn.full._.financials._1" localSheetId="8" hidden="1">{"IS Consolidado",#N/A,TRUE,"telecinco";"BS Consolidado",#N/A,TRUE,"telecinco";"parrilla_1",#N/A,TRUE,"Parrilla Costs"}</definedName>
    <definedName name="wrn.full._.financials._1" hidden="1">{"IS Consolidado",#N/A,TRUE,"telecinco";"BS Consolidado",#N/A,TRUE,"telecinco";"parrilla_1",#N/A,TRUE,"Parrilla Costs"}</definedName>
    <definedName name="wrn.Full._.model." localSheetId="7" hidden="1">{"landexbravo",#N/A,FALSE,"Land (ex Bravo)";"Schenker_HO",#N/A,FALSE,"Schenker HO";"Landincbravo",#N/A,FALSE,"Land + Bravo";"Logistics",#N/A,FALSE,"Logistics";"Airandsea",#N/A,FALSE,"Air &amp; Sea";"Schenkgroup",#N/A,FALSE,"Schenker Group";"RaabKarcher",#N/A,FALSE,"Raab Karcher";"Brenntag",#N/A,FALSE,"Brenntag";"Interfer",#N/A,FALSE,"Interfer";"F_S",#N/A,FALSE,"F&amp;S";"Full_line",#N/A,FALSE,"Wholesale";"Auto_S",#N/A,FALSE,"Auto_S";"Otherco",#N/A,FALSE,"Other co";"Centraladmin",#N/A,FALSE,"Central Ad";"Consol_adj",#N/A,FALSE,"Consol adj";"Summary98",#N/A,FALSE,"Summary";"Bravo",#N/A,FALSE,"Bravo";"Offerletter",#N/A,FALSE,"Offer letter 1";"Front sheet",#N/A,FALSE,"Comments"}</definedName>
    <definedName name="wrn.Full._.model." localSheetId="8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wrn.Full._.model.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wrn.Full._.Model._1" localSheetId="7" hidden="1">{#N/A,#N/A,TRUE,"Cover sheet";#N/A,#N/A,TRUE,"DCF analysis";#N/A,#N/A,TRUE,"WACC calculation"}</definedName>
    <definedName name="wrn.Full._.Model._1" localSheetId="8" hidden="1">{#N/A,#N/A,TRUE,"Cover sheet";#N/A,#N/A,TRUE,"DCF analysis";#N/A,#N/A,TRUE,"WACC calculation"}</definedName>
    <definedName name="wrn.Full._.model._1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wrn.full._.models." localSheetId="8" hidden="1">{"bc I model",#N/A,TRUE,"Big Cajun I";"bc II model",#N/A,TRUE,"Big Cajun II";"bc net ppa model",#N/A,TRUE,"Big Cajun Net PPAs";"bc peaking model",#N/A,TRUE,"BC Peaking";"sterlington model",#N/A,TRUE,"Sterlington";"pike model",#N/A,TRUE,"Pike";"batesville 1 model",#N/A,TRUE,"Batesville 1";"bayou cove model",#N/A,TRUE,"Bayou Cove"}</definedName>
    <definedName name="wrn.full._.models." hidden="1">{"bc I model",#N/A,TRUE,"Big Cajun I";"bc II model",#N/A,TRUE,"Big Cajun II";"bc net ppa model",#N/A,TRUE,"Big Cajun Net PPAs";"bc peaking model",#N/A,TRUE,"BC Peaking";"sterlington model",#N/A,TRUE,"Sterlington";"pike model",#N/A,TRUE,"Pike";"batesville 1 model",#N/A,TRUE,"Batesville 1";"bayou cove model",#N/A,TRUE,"Bayou Cove"}</definedName>
    <definedName name="wrn.Full._.Month._.Report." localSheetId="8" hidden="1">{#N/A,#N/A,TRUE,"P&amp;L";#N/A,#N/A,TRUE,"B-S";#N/A,#N/A,TRUE,"C-F";#N/A,#N/A,TRUE,"MAT";#N/A,#N/A,TRUE,"P2";#N/A,#N/A,TRUE,"P8";#N/A,#N/A,TRUE,"P5";#N/A,#N/A,TRUE,"Emp"}</definedName>
    <definedName name="wrn.Full._.Month._.Report." hidden="1">{#N/A,#N/A,TRUE,"P&amp;L";#N/A,#N/A,TRUE,"B-S";#N/A,#N/A,TRUE,"C-F";#N/A,#N/A,TRUE,"MAT";#N/A,#N/A,TRUE,"P2";#N/A,#N/A,TRUE,"P8";#N/A,#N/A,TRUE,"P5";#N/A,#N/A,TRUE,"Emp"}</definedName>
    <definedName name="wrn.Full._.Monty." localSheetId="8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1" localSheetId="8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1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Package." localSheetId="8" hidden="1">{#N/A,#N/A,FALSE,"COVER";#N/A,#N/A,FALSE,"INDEX";#N/A,#N/A,FALSE,"P1000 P&amp;L";#N/A,#N/A,FALSE,"B1000 Balance Sheet";#N/A,#N/A,FALSE,"P1100 Turnover";#N/A,#N/A,FALSE,"P1200 Exceptional";#N/A,#N/A,FALSE,"P1300 Interest";#N/A,#N/A,FALSE,"P1400 Dividends";#N/A,#N/A,FALSE,"P1500 Other P&amp;L Details";#N/A,#N/A,FALSE,"P1600 Profit Reconciliation";#N/A,#N/A,FALSE,"B1100 Tangible Assets";#N/A,#N/A,FALSE,"B1110 Plant and Equipment";#N/A,#N/A,FALSE,"B1120 FA Disps &amp; Historic Cost";#N/A,#N/A,FALSE,"B1200 Investment in Subs";#N/A,#N/A,FALSE,"B1210 Provision in Subs";#N/A,#N/A,FALSE,"B1300 Asso, Other Invs &amp; G'will";#N/A,#N/A,FALSE,"B1400 Stocks";#N/A,#N/A,FALSE,"B1500 Debtors";#N/A,#N/A,FALSE,"B1600 Current Asset Investments";#N/A,#N/A,FALSE,"B1700 Cash, Bank, Loans";#N/A,#N/A,FALSE,"B1800 Creditors &lt; 1 Year";#N/A,#N/A,FALSE,"B1900 Creditors &gt; 1 Year";#N/A,#N/A,FALSE,"B2000 Leasing and Provisions";#N/A,#N/A,FALSE,"B2100 Intra Group";#N/A,#N/A,FALSE,"B2200 Assoc, Cap Com, Conting";#N/A,#N/A,FALSE,"B3000 Share Capital &amp; Reserves";#N/A,#N/A,FALSE,"T1000 Taxation";#N/A,#N/A,FALSE,"D1000 Derivatives etc";#N/A,#N/A,FALSE,"R1000 Related Party"}</definedName>
    <definedName name="wrn.Full._.Package." hidden="1">{#N/A,#N/A,FALSE,"COVER";#N/A,#N/A,FALSE,"INDEX";#N/A,#N/A,FALSE,"P1000 P&amp;L";#N/A,#N/A,FALSE,"B1000 Balance Sheet";#N/A,#N/A,FALSE,"P1100 Turnover";#N/A,#N/A,FALSE,"P1200 Exceptional";#N/A,#N/A,FALSE,"P1300 Interest";#N/A,#N/A,FALSE,"P1400 Dividends";#N/A,#N/A,FALSE,"P1500 Other P&amp;L Details";#N/A,#N/A,FALSE,"P1600 Profit Reconciliation";#N/A,#N/A,FALSE,"B1100 Tangible Assets";#N/A,#N/A,FALSE,"B1110 Plant and Equipment";#N/A,#N/A,FALSE,"B1120 FA Disps &amp; Historic Cost";#N/A,#N/A,FALSE,"B1200 Investment in Subs";#N/A,#N/A,FALSE,"B1210 Provision in Subs";#N/A,#N/A,FALSE,"B1300 Asso, Other Invs &amp; G'will";#N/A,#N/A,FALSE,"B1400 Stocks";#N/A,#N/A,FALSE,"B1500 Debtors";#N/A,#N/A,FALSE,"B1600 Current Asset Investments";#N/A,#N/A,FALSE,"B1700 Cash, Bank, Loans";#N/A,#N/A,FALSE,"B1800 Creditors &lt; 1 Year";#N/A,#N/A,FALSE,"B1900 Creditors &gt; 1 Year";#N/A,#N/A,FALSE,"B2000 Leasing and Provisions";#N/A,#N/A,FALSE,"B2100 Intra Group";#N/A,#N/A,FALSE,"B2200 Assoc, Cap Com, Conting";#N/A,#N/A,FALSE,"B3000 Share Capital &amp; Reserves";#N/A,#N/A,FALSE,"T1000 Taxation";#N/A,#N/A,FALSE,"D1000 Derivatives etc";#N/A,#N/A,FALSE,"R1000 Related Party"}</definedName>
    <definedName name="wrn.Full._.Report." localSheetId="7" hidden="1">{#N/A,#N/A,TRUE,"Scorecard";#N/A,#N/A,TRUE,"Variance";#N/A,#N/A,TRUE,"Outlook"}</definedName>
    <definedName name="wrn.full._.report." localSheetId="8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hidden="1">{"multiple",#N/A,FALSE,"client (2)";"margins",#N/A,FALSE,"client (2)";"data",#N/A,FALSE,"client (2)";"multiple",#N/A,FALSE,"client";"margins",#N/A,FALSE,"client";"data",#N/A,FALSE,"client"}</definedName>
    <definedName name="wrn.Full._.report._.shareholders." localSheetId="8" hidden="1">{#N/A,#N/A,TRUE,"Voorblad";#N/A,#N/A,TRUE,"Table of Content A";#N/A,#N/A,TRUE,"A1-Summ- Key Figures";#N/A,#N/A,TRUE,"A2-Summ Month Man";#N/A,#N/A,TRUE,"A3-P&amp;L by Bus.Unt-Serv.Unt";#N/A,#N/A,TRUE,"A4-P&amp;L by Old org.";#N/A,#N/A,TRUE,"A6-Bal_Sheet CF by Old org. ";#N/A,#N/A,TRUE,"A8-Headc.Funct."}</definedName>
    <definedName name="wrn.Full._.report._.shareholders." hidden="1">{#N/A,#N/A,TRUE,"Voorblad";#N/A,#N/A,TRUE,"Table of Content A";#N/A,#N/A,TRUE,"A1-Summ- Key Figures";#N/A,#N/A,TRUE,"A2-Summ Month Man";#N/A,#N/A,TRUE,"A3-P&amp;L by Bus.Unt-Serv.Unt";#N/A,#N/A,TRUE,"A4-P&amp;L by Old org.";#N/A,#N/A,TRUE,"A6-Bal_Sheet CF by Old org. ";#N/A,#N/A,TRUE,"A8-Headc.Funct."}</definedName>
    <definedName name="wrn.full._.report._1" localSheetId="7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1" localSheetId="8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scheds." localSheetId="8" hidden="1">{#N/A,#N/A,FALSE,"Divider-Lease Doc Scheds";#N/A,#N/A,FALSE,"Sched. 6 Headlease";#N/A,#N/A,FALSE,"Headlease Calculations";#N/A,#N/A,FALSE,"Sched. 7 Headlease";#N/A,#N/A,FALSE,"Sched. 12 Headlease";#N/A,#N/A,FALSE,"Sched. 13 Headlease";#N/A,#N/A,FALSE,"Sublease Doc Scheds";#N/A,#N/A,FALSE,"Sched. 6 Sub";#N/A,#N/A,FALSE,"Sub Rent Calcs";#N/A,#N/A,FALSE,"Sched. 6-2 Sub";#N/A,#N/A,FALSE,"Rebate Calcs";#N/A,#N/A,FALSE,"Sched. 6-3 Sub ";#N/A,#N/A,FALSE,"Sched. 7 Sub";#N/A,#N/A,FALSE,"Sched. 7-2 Sub";#N/A,#N/A,FALSE,"Sched. 7-3 Sub ";#N/A,#N/A,FALSE,"Sched. 7-4 Sub ";#N/A,#N/A,FALSE,"Sched. 7-5 Sub ";#N/A,#N/A,FALSE,"Sched. 7-6 Sub";#N/A,#N/A,FALSE,"Stip Loss Calcs";#N/A,#N/A,FALSE,"Sched. 12 Sublease P.A. Last 2";#N/A,#N/A,FALSE,"Divider- Jr. Loan &amp; Bank Dep";#N/A,#N/A,FALSE,"Total Bank Deposit Schedule";#N/A,#N/A,FALSE,"Bank Deposit Schedule A1";#N/A,#N/A,FALSE,"Bank Deposit Schedule B1";#N/A,#N/A,FALSE,"Bank Deposit Schedule A2";#N/A,#N/A,FALSE,"Bank Deposit Schedule B2";#N/A,#N/A,FALSE,"Total Junior Note Schedule";#N/A,#N/A,FALSE,"Sched 1 Jr Loan A";#N/A,#N/A,FALSE,"Sched 1 Jr. Loan B";#N/A,#N/A,FALSE,"Sched 1 Jr. Note A";#N/A,#N/A,FALSE,"Sched 1 Jr. Note B";#N/A,#N/A,FALSE,"Divider-Senior (ECA) Scheds";#N/A,#N/A,FALSE,"Divider-Back Up Scheds";#N/A,#N/A,FALSE,"Senior Loan";#N/A,#N/A,FALSE,"ECA Supported Loan";#N/A,#N/A,FALSE,"Commercial Loan"}</definedName>
    <definedName name="wrn.full._.scheds." hidden="1">{#N/A,#N/A,FALSE,"Divider-Lease Doc Scheds";#N/A,#N/A,FALSE,"Sched. 6 Headlease";#N/A,#N/A,FALSE,"Headlease Calculations";#N/A,#N/A,FALSE,"Sched. 7 Headlease";#N/A,#N/A,FALSE,"Sched. 12 Headlease";#N/A,#N/A,FALSE,"Sched. 13 Headlease";#N/A,#N/A,FALSE,"Sublease Doc Scheds";#N/A,#N/A,FALSE,"Sched. 6 Sub";#N/A,#N/A,FALSE,"Sub Rent Calcs";#N/A,#N/A,FALSE,"Sched. 6-2 Sub";#N/A,#N/A,FALSE,"Rebate Calcs";#N/A,#N/A,FALSE,"Sched. 6-3 Sub ";#N/A,#N/A,FALSE,"Sched. 7 Sub";#N/A,#N/A,FALSE,"Sched. 7-2 Sub";#N/A,#N/A,FALSE,"Sched. 7-3 Sub ";#N/A,#N/A,FALSE,"Sched. 7-4 Sub ";#N/A,#N/A,FALSE,"Sched. 7-5 Sub ";#N/A,#N/A,FALSE,"Sched. 7-6 Sub";#N/A,#N/A,FALSE,"Stip Loss Calcs";#N/A,#N/A,FALSE,"Sched. 12 Sublease P.A. Last 2";#N/A,#N/A,FALSE,"Divider- Jr. Loan &amp; Bank Dep";#N/A,#N/A,FALSE,"Total Bank Deposit Schedule";#N/A,#N/A,FALSE,"Bank Deposit Schedule A1";#N/A,#N/A,FALSE,"Bank Deposit Schedule B1";#N/A,#N/A,FALSE,"Bank Deposit Schedule A2";#N/A,#N/A,FALSE,"Bank Deposit Schedule B2";#N/A,#N/A,FALSE,"Total Junior Note Schedule";#N/A,#N/A,FALSE,"Sched 1 Jr Loan A";#N/A,#N/A,FALSE,"Sched 1 Jr. Loan B";#N/A,#N/A,FALSE,"Sched 1 Jr. Note A";#N/A,#N/A,FALSE,"Sched 1 Jr. Note B";#N/A,#N/A,FALSE,"Divider-Senior (ECA) Scheds";#N/A,#N/A,FALSE,"Divider-Back Up Scheds";#N/A,#N/A,FALSE,"Senior Loan";#N/A,#N/A,FALSE,"ECA Supported Loan";#N/A,#N/A,FALSE,"Commercial Loan"}</definedName>
    <definedName name="wrn.Full._.without._.data." localSheetId="7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Full._.without._.data." localSheetId="8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Full._.without._.data.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Full._.without._.data._1" localSheetId="8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Full._.without._.data._1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Full._1" localSheetId="8" hidden="1">{#N/A,#N/A,FALSE,"Cover";"outputs total",#N/A,FALSE,"Outputs"}</definedName>
    <definedName name="wrn.Full._1" hidden="1">{#N/A,#N/A,FALSE,"Cover";"outputs total",#N/A,FALSE,"Outputs"}</definedName>
    <definedName name="wrn.FullPrintout." localSheetId="8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wrn.FullPrintout.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wrn.FullPrintout._1" localSheetId="8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wrn.FullPrintout._1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wrn.FullReport." localSheetId="8" hidden="1">{#N/A,#N/A,TRUE,"Cover";#N/A,#N/A,TRUE,"SummPTB";#N/A,#N/A,TRUE,"Vaccover";#N/A,#N/A,TRUE,"VacPTB";#N/A,#N/A,TRUE,"VacSumm";#N/A,#N/A,TRUE,"Vacbrkpg";#N/A,#N/A,TRUE,"Opt105";#N/A,#N/A,TRUE,"Opt95";#N/A,#N/A,TRUE,"Opt85";#N/A,#N/A,TRUE,"Opt75";#N/A,#N/A,TRUE,"Opt55LT";#N/A,#N/A,TRUE,"WPVAccrual";#N/A,#N/A,TRUE,"Sikcover";#N/A,#N/A,TRUE,"SikPTB";#N/A,#N/A,TRUE,"SikSumm";#N/A,#N/A,TRUE,"SikPgB";#N/A,#N/A,TRUE,"BH";#N/A,#N/A,TRUE,"Res";#N/A,#N/A,TRUE,"WPSAccrual"}</definedName>
    <definedName name="wrn.FullReport." hidden="1">{#N/A,#N/A,TRUE,"Cover";#N/A,#N/A,TRUE,"SummPTB";#N/A,#N/A,TRUE,"Vaccover";#N/A,#N/A,TRUE,"VacPTB";#N/A,#N/A,TRUE,"VacSumm";#N/A,#N/A,TRUE,"Vacbrkpg";#N/A,#N/A,TRUE,"Opt105";#N/A,#N/A,TRUE,"Opt95";#N/A,#N/A,TRUE,"Opt85";#N/A,#N/A,TRUE,"Opt75";#N/A,#N/A,TRUE,"Opt55LT";#N/A,#N/A,TRUE,"WPVAccrual";#N/A,#N/A,TRUE,"Sikcover";#N/A,#N/A,TRUE,"SikPTB";#N/A,#N/A,TRUE,"SikSumm";#N/A,#N/A,TRUE,"SikPgB";#N/A,#N/A,TRUE,"BH";#N/A,#N/A,TRUE,"Res";#N/A,#N/A,TRUE,"WPSAccrual"}</definedName>
    <definedName name="wrn.fully." localSheetId="8" hidden="1">{#N/A,#N/A,FALSE,"P&amp;L"}</definedName>
    <definedName name="wrn.fully." hidden="1">{#N/A,#N/A,FALSE,"P&amp;L"}</definedName>
    <definedName name="wrn.fully._.Model" localSheetId="8" hidden="1">{#N/A,#N/A,TRUE,"Cover sheet";#N/A,#N/A,TRUE,"DCF analysis";#N/A,#N/A,TRUE,"WACC calculation"}</definedName>
    <definedName name="wrn.fully._.Model" hidden="1">{#N/A,#N/A,TRUE,"Cover sheet";#N/A,#N/A,TRUE,"DCF analysis";#N/A,#N/A,TRUE,"WACC calculation"}</definedName>
    <definedName name="wrn.fully._.Model_1" localSheetId="8" hidden="1">{#N/A,#N/A,TRUE,"Cover sheet";#N/A,#N/A,TRUE,"DCF analysis";#N/A,#N/A,TRUE,"WACC calculation"}</definedName>
    <definedName name="wrn.fully._.Model_1" hidden="1">{#N/A,#N/A,TRUE,"Cover sheet";#N/A,#N/A,TRUE,"DCF analysis";#N/A,#N/A,TRUE,"WACC calculation"}</definedName>
    <definedName name="wrn.fully._1" localSheetId="8" hidden="1">{#N/A,#N/A,FALSE,"P&amp;L"}</definedName>
    <definedName name="wrn.fully._1" hidden="1">{#N/A,#N/A,FALSE,"P&amp;L"}</definedName>
    <definedName name="wrn.Functional._.and._.Product._.Breakdown." localSheetId="8" hidden="1">{"People Table",#N/A,FALSE,"Sheet1";"Function table",#N/A,FALSE,"Sheet1"}</definedName>
    <definedName name="wrn.Functional._.and._.Product._.Breakdown." hidden="1">{"People Table",#N/A,FALSE,"Sheet1";"Function table",#N/A,FALSE,"Sheet1"}</definedName>
    <definedName name="wrn.FY00._.Summary." localSheetId="8" hidden="1">{"FY00",#N/A,FALSE,"Sheet1"}</definedName>
    <definedName name="wrn.FY00._.Summary." hidden="1">{"FY00",#N/A,FALSE,"Sheet1"}</definedName>
    <definedName name="wrn.FY01._.Target." localSheetId="8" hidden="1">{"FY01 TARGET",#N/A,FALSE,"Sheet1"}</definedName>
    <definedName name="wrn.FY01._.Target." hidden="1">{"FY01 TARGET",#N/A,FALSE,"Sheet1"}</definedName>
    <definedName name="wrn.FY96sbp99" localSheetId="8" hidden="1">{#N/A,#N/A,FALSE,"FY97";#N/A,#N/A,FALSE,"FY98";#N/A,#N/A,FALSE,"FY99";#N/A,#N/A,FALSE,"FY00";#N/A,#N/A,FALSE,"FY01"}</definedName>
    <definedName name="wrn.FY96sbp99" hidden="1">{#N/A,#N/A,FALSE,"FY97";#N/A,#N/A,FALSE,"FY98";#N/A,#N/A,FALSE,"FY99";#N/A,#N/A,FALSE,"FY00";#N/A,#N/A,FALSE,"FY01"}</definedName>
    <definedName name="wrn.FY96sbp99_1" localSheetId="8" hidden="1">{#N/A,#N/A,FALSE,"FY97";#N/A,#N/A,FALSE,"FY98";#N/A,#N/A,FALSE,"FY99";#N/A,#N/A,FALSE,"FY00";#N/A,#N/A,FALSE,"FY01"}</definedName>
    <definedName name="wrn.FY96sbp99_1" hidden="1">{#N/A,#N/A,FALSE,"FY97";#N/A,#N/A,FALSE,"FY98";#N/A,#N/A,FALSE,"FY99";#N/A,#N/A,FALSE,"FY00";#N/A,#N/A,FALSE,"FY01"}</definedName>
    <definedName name="wrn.FY97SBP." localSheetId="8" hidden="1">{#N/A,#N/A,FALSE,"FY97";#N/A,#N/A,FALSE,"FY98";#N/A,#N/A,FALSE,"FY99";#N/A,#N/A,FALSE,"FY00";#N/A,#N/A,FALSE,"FY01"}</definedName>
    <definedName name="wrn.FY97SBP." hidden="1">{#N/A,#N/A,FALSE,"FY97";#N/A,#N/A,FALSE,"FY98";#N/A,#N/A,FALSE,"FY99";#N/A,#N/A,FALSE,"FY00";#N/A,#N/A,FALSE,"FY01"}</definedName>
    <definedName name="wrn.FY97SBP._1" localSheetId="8" hidden="1">{#N/A,#N/A,FALSE,"FY97";#N/A,#N/A,FALSE,"FY98";#N/A,#N/A,FALSE,"FY99";#N/A,#N/A,FALSE,"FY00";#N/A,#N/A,FALSE,"FY01"}</definedName>
    <definedName name="wrn.FY97SBP._1" hidden="1">{#N/A,#N/A,FALSE,"FY97";#N/A,#N/A,FALSE,"FY98";#N/A,#N/A,FALSE,"FY99";#N/A,#N/A,FALSE,"FY00";#N/A,#N/A,FALSE,"FY01"}</definedName>
    <definedName name="wrn.FY97SBP2" localSheetId="8" hidden="1">{#N/A,#N/A,FALSE,"FY97";#N/A,#N/A,FALSE,"FY98";#N/A,#N/A,FALSE,"FY99";#N/A,#N/A,FALSE,"FY00";#N/A,#N/A,FALSE,"FY01"}</definedName>
    <definedName name="wrn.FY97SBP2" hidden="1">{#N/A,#N/A,FALSE,"FY97";#N/A,#N/A,FALSE,"FY98";#N/A,#N/A,FALSE,"FY99";#N/A,#N/A,FALSE,"FY00";#N/A,#N/A,FALSE,"FY01"}</definedName>
    <definedName name="wrn.FY97SBP2_1" localSheetId="8" hidden="1">{#N/A,#N/A,FALSE,"FY97";#N/A,#N/A,FALSE,"FY98";#N/A,#N/A,FALSE,"FY99";#N/A,#N/A,FALSE,"FY00";#N/A,#N/A,FALSE,"FY01"}</definedName>
    <definedName name="wrn.FY97SBP2_1" hidden="1">{#N/A,#N/A,FALSE,"FY97";#N/A,#N/A,FALSE,"FY98";#N/A,#N/A,FALSE,"FY99";#N/A,#N/A,FALSE,"FY00";#N/A,#N/A,FALSE,"FY01"}</definedName>
    <definedName name="wrn.gastos." localSheetId="8" hidden="1">{#N/A,#N/A,FALSE,"PERSONAL";#N/A,#N/A,FALSE,"explotación";#N/A,#N/A,FALSE,"generales"}</definedName>
    <definedName name="wrn.gastos." hidden="1">{#N/A,#N/A,FALSE,"PERSONAL";#N/A,#N/A,FALSE,"explotación";#N/A,#N/A,FALSE,"generales"}</definedName>
    <definedName name="wrn.GB._.99." localSheetId="8" hidden="1">{#N/A,#N/A,FALSE,"Umsatz 99";#N/A,#N/A,FALSE,"ER 99 "}</definedName>
    <definedName name="wrn.GB._.99." hidden="1">{#N/A,#N/A,FALSE,"Umsatz 99";#N/A,#N/A,FALSE,"ER 99 "}</definedName>
    <definedName name="wrn.GB._.CH." localSheetId="8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wrn.GB._.CH.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wrn.GB._.EO." localSheetId="8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wrn.GB._.EO.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wrn.GB._.HM." localSheetId="8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wrn.GB._.HM.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wrn.GB._.OK." localSheetId="8" hidden="1">{#N/A,#N/A,FALSE,"Umsatz OK";#N/A,#N/A,FALSE,"ER OK ";#N/A,#N/A,FALSE,"EA OK (2)";#N/A,#N/A,FALSE,"EA OK";#N/A,#N/A,FALSE,"EA OK (3)";#N/A,#N/A,FALSE,"EA OK (4)";#N/A,#N/A,FALSE,"KA OK  (2)";#N/A,#N/A,FALSE,"KA OK";#N/A,#N/A,FALSE,"KA OK  (3)";#N/A,#N/A,FALSE,"KA OK (4)"}</definedName>
    <definedName name="wrn.GB._.OK." hidden="1">{#N/A,#N/A,FALSE,"Umsatz OK";#N/A,#N/A,FALSE,"ER OK ";#N/A,#N/A,FALSE,"EA OK (2)";#N/A,#N/A,FALSE,"EA OK";#N/A,#N/A,FALSE,"EA OK (3)";#N/A,#N/A,FALSE,"EA OK (4)";#N/A,#N/A,FALSE,"KA OK  (2)";#N/A,#N/A,FALSE,"KA OK";#N/A,#N/A,FALSE,"KA OK  (3)";#N/A,#N/A,FALSE,"KA OK (4)"}</definedName>
    <definedName name="wrn.gb._hm." localSheetId="8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wrn.gb._hm.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wrn.gb_lll" localSheetId="8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wrn.gb_lll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wrn.GD_Off." localSheetId="8" hidden="1">{"Exp",#N/A,FALSE,"GD Office";"Sal",#N/A,FALSE,"GD Office";"Sum",#N/A,FALSE,"GD Office"}</definedName>
    <definedName name="wrn.GD_Off." hidden="1">{"Exp",#N/A,FALSE,"GD Office";"Sal",#N/A,FALSE,"GD Office";"Sum",#N/A,FALSE,"GD Office"}</definedName>
    <definedName name="wrn.GD_Res." localSheetId="8" hidden="1">{"Sal",#N/A,FALSE,"GD Research";"Sum",#N/A,FALSE,"GD Research";"Exp",#N/A,FALSE,"GD Research"}</definedName>
    <definedName name="wrn.GD_Res." hidden="1">{"Sal",#N/A,FALSE,"GD Research";"Sum",#N/A,FALSE,"GD Research";"Exp",#N/A,FALSE,"GD Research"}</definedName>
    <definedName name="wrn.GD_Trng." localSheetId="8" hidden="1">{"Sum",#N/A,FALSE,"GD Training";"Exp",#N/A,FALSE,"GD Training";"Sal",#N/A,FALSE,"GD Training"}</definedName>
    <definedName name="wrn.GD_Trng." hidden="1">{"Sum",#N/A,FALSE,"GD Training";"Exp",#N/A,FALSE,"GD Training";"Sal",#N/A,FALSE,"GD Training"}</definedName>
    <definedName name="wrn.Gefran." localSheetId="8" hidden="1">{"CECons",#N/A,FALSE,"CE"}</definedName>
    <definedName name="wrn.Gefran." hidden="1">{"CECons",#N/A,FALSE,"CE"}</definedName>
    <definedName name="wrn.Gefran._1" localSheetId="8" hidden="1">{"CECons",#N/A,FALSE,"CE"}</definedName>
    <definedName name="wrn.Gefran._1" hidden="1">{"CECons",#N/A,FALSE,"CE"}</definedName>
    <definedName name="wrn.GENERAL." localSheetId="8" hidden="1">{#N/A,#N/A,FALSE,"PORTADA";#N/A,#N/A,FALSE,"INFORME";#N/A,#N/A,FALSE,"REAL MENSUALIZADO";#N/A,#N/A,FALSE,"PRESUPUESTO MENSUALIZADO";#N/A,#N/A,FALSE,"Front Page";#N/A,#N/A,FALSE,"Management Comment";#N/A,#N/A,FALSE,"Summary";#N/A,#N/A,FALSE,"Customers Month";#N/A,#N/A,FALSE,"Customers YTD";#N/A,#N/A,FALSE,"Sales_COGS (Product Categ.)";#N/A,#N/A,FALSE,"SKU ANALYSIS";#N/A,#N/A,FALSE,"Personnel Cost";#N/A,#N/A,FALSE,"OPEX";#N/A,#N/A,FALSE,"CFS";#N/A,#N/A,FALSE,"BS";#N/A,#N/A,FALSE,"Comments"}</definedName>
    <definedName name="wrn.GENERAL." hidden="1">{#N/A,#N/A,FALSE,"PORTADA";#N/A,#N/A,FALSE,"INFORME";#N/A,#N/A,FALSE,"REAL MENSUALIZADO";#N/A,#N/A,FALSE,"PRESUPUESTO MENSUALIZADO";#N/A,#N/A,FALSE,"Front Page";#N/A,#N/A,FALSE,"Management Comment";#N/A,#N/A,FALSE,"Summary";#N/A,#N/A,FALSE,"Customers Month";#N/A,#N/A,FALSE,"Customers YTD";#N/A,#N/A,FALSE,"Sales_COGS (Product Categ.)";#N/A,#N/A,FALSE,"SKU ANALYSIS";#N/A,#N/A,FALSE,"Personnel Cost";#N/A,#N/A,FALSE,"OPEX";#N/A,#N/A,FALSE,"CFS";#N/A,#N/A,FALSE,"BS";#N/A,#N/A,FALSE,"Comments"}</definedName>
    <definedName name="wrn.General._.OTC." localSheetId="7" hidden="1">{#N/A,#N/A,FALSE,"Title Page (3)";#N/A,#N/A,FALSE,"YTD - OTC";#N/A,#N/A,FALSE,"MTH - OTC"}</definedName>
    <definedName name="wrn.General._.OTC." localSheetId="8" hidden="1">{#N/A,#N/A,FALSE,"Title Page (3)";#N/A,#N/A,FALSE,"YTD - OTC";#N/A,#N/A,FALSE,"MTH - OTC"}</definedName>
    <definedName name="wrn.General._.OTC." hidden="1">{#N/A,#N/A,FALSE,"Title Page (3)";#N/A,#N/A,FALSE,"YTD - OTC";#N/A,#N/A,FALSE,"MTH - OTC"}</definedName>
    <definedName name="wrn.General._.Pharm." localSheetId="7" hidden="1">{#N/A,#N/A,FALSE,"Title Page (2)";#N/A,#N/A,FALSE,"YTD - Pharm";#N/A,#N/A,FALSE,"MTH - Pharm"}</definedName>
    <definedName name="wrn.General._.Pharm." localSheetId="8" hidden="1">{#N/A,#N/A,FALSE,"Title Page (2)";#N/A,#N/A,FALSE,"YTD - Pharm";#N/A,#N/A,FALSE,"MTH - Pharm"}</definedName>
    <definedName name="wrn.General._.Pharm." hidden="1">{#N/A,#N/A,FALSE,"Title Page (2)";#N/A,#N/A,FALSE,"YTD - Pharm";#N/A,#N/A,FALSE,"MTH - Pharm"}</definedName>
    <definedName name="wrn.General._.Total." localSheetId="7" hidden="1">{#N/A,#N/A,FALSE,"Title Page (4)";#N/A,#N/A,FALSE,"YTD - Total";#N/A,#N/A,FALSE,"MTH - Total"}</definedName>
    <definedName name="wrn.General._.Total." localSheetId="8" hidden="1">{#N/A,#N/A,FALSE,"Title Page (4)";#N/A,#N/A,FALSE,"YTD - Total";#N/A,#N/A,FALSE,"MTH - Total"}</definedName>
    <definedName name="wrn.General._.Total." hidden="1">{#N/A,#N/A,FALSE,"Title Page (4)";#N/A,#N/A,FALSE,"YTD - Total";#N/A,#N/A,FALSE,"MTH - Total"}</definedName>
    <definedName name="wrn.Geographic._.Trends." hidden="1">{"Geographic P1",#N/A,FALSE,"Division &amp; Geog"}</definedName>
    <definedName name="wrn.Geographic._.Trends.2" hidden="1">{"Geographic P1",#N/A,FALSE,"Division &amp; Geog"}</definedName>
    <definedName name="wrn.GERAL." localSheetId="8" hidden="1">{#N/A,#N/A,FALSE,"index";#N/A,#N/A,FALSE,"BA.1";#N/A,#N/A,FALSE,"BA.2";#N/A,#N/A,FALSE,"BA.3";#N/A,#N/A,FALSE,"BA.5";#N/A,#N/A,FALSE,"BA.6";#N/A,#N/A,FALSE,"BA.7";#N/A,#N/A,FALSE,"BA.9";#N/A,#N/A,FALSE,"BA.8";#N/A,#N/A,FALSE,"BA.10";#N/A,#N/A,FALSE,"BA.11";#N/A,#N/A,FALSE,"94BUD95";#N/A,#N/A,FALSE,"Annexe.1";#N/A,#N/A,FALSE,"94BUD95 (2)";#N/A,#N/A,FALSE,"Annexe.2";#N/A,#N/A,FALSE,"Annexe.3";#N/A,#N/A,FALSE,"Annexe.4";#N/A,#N/A,FALSE,"BILAN-MENSAL-cons";#N/A,#N/A,FALSE,"RES-mes-ACUM";#N/A,#N/A,FALSE,"RES-mes-MES-cons"}</definedName>
    <definedName name="wrn.GERAL." hidden="1">{#N/A,#N/A,FALSE,"index";#N/A,#N/A,FALSE,"BA.1";#N/A,#N/A,FALSE,"BA.2";#N/A,#N/A,FALSE,"BA.3";#N/A,#N/A,FALSE,"BA.5";#N/A,#N/A,FALSE,"BA.6";#N/A,#N/A,FALSE,"BA.7";#N/A,#N/A,FALSE,"BA.9";#N/A,#N/A,FALSE,"BA.8";#N/A,#N/A,FALSE,"BA.10";#N/A,#N/A,FALSE,"BA.11";#N/A,#N/A,FALSE,"94BUD95";#N/A,#N/A,FALSE,"Annexe.1";#N/A,#N/A,FALSE,"94BUD95 (2)";#N/A,#N/A,FALSE,"Annexe.2";#N/A,#N/A,FALSE,"Annexe.3";#N/A,#N/A,FALSE,"Annexe.4";#N/A,#N/A,FALSE,"BILAN-MENSAL-cons";#N/A,#N/A,FALSE,"RES-mes-ACUM";#N/A,#N/A,FALSE,"RES-mes-MES-cons"}</definedName>
    <definedName name="wrn.GERAL._1" localSheetId="8" hidden="1">{#N/A,#N/A,FALSE,"index";#N/A,#N/A,FALSE,"BA.1";#N/A,#N/A,FALSE,"BA.2";#N/A,#N/A,FALSE,"BA.3";#N/A,#N/A,FALSE,"BA.5";#N/A,#N/A,FALSE,"BA.6";#N/A,#N/A,FALSE,"BA.7";#N/A,#N/A,FALSE,"BA.9";#N/A,#N/A,FALSE,"BA.8";#N/A,#N/A,FALSE,"BA.10";#N/A,#N/A,FALSE,"BA.11";#N/A,#N/A,FALSE,"94BUD95";#N/A,#N/A,FALSE,"Annexe.1";#N/A,#N/A,FALSE,"94BUD95 (2)";#N/A,#N/A,FALSE,"Annexe.2";#N/A,#N/A,FALSE,"Annexe.3";#N/A,#N/A,FALSE,"Annexe.4";#N/A,#N/A,FALSE,"BILAN-MENSAL-cons";#N/A,#N/A,FALSE,"RES-mes-ACUM";#N/A,#N/A,FALSE,"RES-mes-MES-cons"}</definedName>
    <definedName name="wrn.GERAL._1" hidden="1">{#N/A,#N/A,FALSE,"index";#N/A,#N/A,FALSE,"BA.1";#N/A,#N/A,FALSE,"BA.2";#N/A,#N/A,FALSE,"BA.3";#N/A,#N/A,FALSE,"BA.5";#N/A,#N/A,FALSE,"BA.6";#N/A,#N/A,FALSE,"BA.7";#N/A,#N/A,FALSE,"BA.9";#N/A,#N/A,FALSE,"BA.8";#N/A,#N/A,FALSE,"BA.10";#N/A,#N/A,FALSE,"BA.11";#N/A,#N/A,FALSE,"94BUD95";#N/A,#N/A,FALSE,"Annexe.1";#N/A,#N/A,FALSE,"94BUD95 (2)";#N/A,#N/A,FALSE,"Annexe.2";#N/A,#N/A,FALSE,"Annexe.3";#N/A,#N/A,FALSE,"Annexe.4";#N/A,#N/A,FALSE,"BILAN-MENSAL-cons";#N/A,#N/A,FALSE,"RES-mes-ACUM";#N/A,#N/A,FALSE,"RES-mes-MES-cons"}</definedName>
    <definedName name="wrn.GERENCIAL." localSheetId="8" hidden="1">{#N/A,#N/A,FALSE,"Capa";#N/A,#N/A,FALSE,"Ind.Econ.Finan.";#N/A,#N/A,FALSE,"Indic.Operac.";#N/A,#N/A,FALSE,"Dem.Rec. S-1";#N/A,#N/A,FALSE,"Dem.Rec. S-2";#N/A,#N/A,FALSE,"Dem.Rec. S-3";#N/A,#N/A,FALSE,"Dem.Coml. S-1";#N/A,#N/A,FALSE,"Dem.Coml. S-2";#N/A,#N/A,FALSE,"Dem.Coml. S-3";#N/A,#N/A,FALSE,"Dem.Rec.Geral";#N/A,#N/A,FALSE,"Dem.Cap.Giro";#N/A,#N/A,FALSE,"Gestão Diret.Des.Organ.";#N/A,#N/A,FALSE,"Dem.Preços";#N/A,#N/A,FALSE,"Gestão Diret.Financ.";#N/A,#N/A,FALSE,"Prod.Líquida";#N/A,#N/A,FALSE,"Custo Unitário";#N/A,#N/A,FALSE,"C.Fixo-M.O.";#N/A,#N/A,FALSE,"C.Fixo - Total ";#N/A,#N/A,FALSE,"Dem.Estoque";#N/A,#N/A,FALSE,"Investimentos";#N/A,#N/A,FALSE,"Efic. Indl.";#N/A,#N/A,FALSE,"Máquina 1";#N/A,#N/A,FALSE,"Máquina 2";#N/A,#N/A,FALSE,"Máquina 3";#N/A,#N/A,FALSE,"Evolução"}</definedName>
    <definedName name="wrn.GERENCIAL." hidden="1">{#N/A,#N/A,FALSE,"Capa";#N/A,#N/A,FALSE,"Ind.Econ.Finan.";#N/A,#N/A,FALSE,"Indic.Operac.";#N/A,#N/A,FALSE,"Dem.Rec. S-1";#N/A,#N/A,FALSE,"Dem.Rec. S-2";#N/A,#N/A,FALSE,"Dem.Rec. S-3";#N/A,#N/A,FALSE,"Dem.Coml. S-1";#N/A,#N/A,FALSE,"Dem.Coml. S-2";#N/A,#N/A,FALSE,"Dem.Coml. S-3";#N/A,#N/A,FALSE,"Dem.Rec.Geral";#N/A,#N/A,FALSE,"Dem.Cap.Giro";#N/A,#N/A,FALSE,"Gestão Diret.Des.Organ.";#N/A,#N/A,FALSE,"Dem.Preços";#N/A,#N/A,FALSE,"Gestão Diret.Financ.";#N/A,#N/A,FALSE,"Prod.Líquida";#N/A,#N/A,FALSE,"Custo Unitário";#N/A,#N/A,FALSE,"C.Fixo-M.O.";#N/A,#N/A,FALSE,"C.Fixo - Total ";#N/A,#N/A,FALSE,"Dem.Estoque";#N/A,#N/A,FALSE,"Investimentos";#N/A,#N/A,FALSE,"Efic. Indl.";#N/A,#N/A,FALSE,"Máquina 1";#N/A,#N/A,FALSE,"Máquina 2";#N/A,#N/A,FALSE,"Máquina 3";#N/A,#N/A,FALSE,"Evolução"}</definedName>
    <definedName name="wrn.GERENCIAL._1" localSheetId="8" hidden="1">{#N/A,#N/A,FALSE,"Capa";#N/A,#N/A,FALSE,"Ind.Econ.Finan.";#N/A,#N/A,FALSE,"Indic.Operac.";#N/A,#N/A,FALSE,"Dem.Rec. S-1";#N/A,#N/A,FALSE,"Dem.Rec. S-2";#N/A,#N/A,FALSE,"Dem.Rec. S-3";#N/A,#N/A,FALSE,"Dem.Coml. S-1";#N/A,#N/A,FALSE,"Dem.Coml. S-2";#N/A,#N/A,FALSE,"Dem.Coml. S-3";#N/A,#N/A,FALSE,"Dem.Rec.Geral";#N/A,#N/A,FALSE,"Dem.Cap.Giro";#N/A,#N/A,FALSE,"Gestão Diret.Des.Organ.";#N/A,#N/A,FALSE,"Dem.Preços";#N/A,#N/A,FALSE,"Gestão Diret.Financ.";#N/A,#N/A,FALSE,"Prod.Líquida";#N/A,#N/A,FALSE,"Custo Unitário";#N/A,#N/A,FALSE,"C.Fixo-M.O.";#N/A,#N/A,FALSE,"C.Fixo - Total ";#N/A,#N/A,FALSE,"Dem.Estoque";#N/A,#N/A,FALSE,"Investimentos";#N/A,#N/A,FALSE,"Efic. Indl.";#N/A,#N/A,FALSE,"Máquina 1";#N/A,#N/A,FALSE,"Máquina 2";#N/A,#N/A,FALSE,"Máquina 3";#N/A,#N/A,FALSE,"Evolução"}</definedName>
    <definedName name="wrn.GERENCIAL._1" hidden="1">{#N/A,#N/A,FALSE,"Capa";#N/A,#N/A,FALSE,"Ind.Econ.Finan.";#N/A,#N/A,FALSE,"Indic.Operac.";#N/A,#N/A,FALSE,"Dem.Rec. S-1";#N/A,#N/A,FALSE,"Dem.Rec. S-2";#N/A,#N/A,FALSE,"Dem.Rec. S-3";#N/A,#N/A,FALSE,"Dem.Coml. S-1";#N/A,#N/A,FALSE,"Dem.Coml. S-2";#N/A,#N/A,FALSE,"Dem.Coml. S-3";#N/A,#N/A,FALSE,"Dem.Rec.Geral";#N/A,#N/A,FALSE,"Dem.Cap.Giro";#N/A,#N/A,FALSE,"Gestão Diret.Des.Organ.";#N/A,#N/A,FALSE,"Dem.Preços";#N/A,#N/A,FALSE,"Gestão Diret.Financ.";#N/A,#N/A,FALSE,"Prod.Líquida";#N/A,#N/A,FALSE,"Custo Unitário";#N/A,#N/A,FALSE,"C.Fixo-M.O.";#N/A,#N/A,FALSE,"C.Fixo - Total ";#N/A,#N/A,FALSE,"Dem.Estoque";#N/A,#N/A,FALSE,"Investimentos";#N/A,#N/A,FALSE,"Efic. Indl.";#N/A,#N/A,FALSE,"Máquina 1";#N/A,#N/A,FALSE,"Máquina 2";#N/A,#N/A,FALSE,"Máquina 3";#N/A,#N/A,FALSE,"Evolução"}</definedName>
    <definedName name="wrn.Gerencial1" localSheetId="8" hidden="1">{#N/A,#N/A,FALSE,"Capa";#N/A,#N/A,FALSE,"Ind.Econ.Finan.";#N/A,#N/A,FALSE,"Indic.Operac.";#N/A,#N/A,FALSE,"Dem.Rec. S-1";#N/A,#N/A,FALSE,"Dem.Rec. S-2";#N/A,#N/A,FALSE,"Dem.Rec. S-3";#N/A,#N/A,FALSE,"Dem.Coml. S-1";#N/A,#N/A,FALSE,"Dem.Coml. S-2";#N/A,#N/A,FALSE,"Dem.Coml. S-3";#N/A,#N/A,FALSE,"Dem.Rec.Geral";#N/A,#N/A,FALSE,"Dem.Cap.Giro";#N/A,#N/A,FALSE,"Gestão Diret.Des.Organ.";#N/A,#N/A,FALSE,"Dem.Preços";#N/A,#N/A,FALSE,"Gestão Diret.Financ.";#N/A,#N/A,FALSE,"Prod.Líquida";#N/A,#N/A,FALSE,"Custo Unitário";#N/A,#N/A,FALSE,"C.Fixo-M.O.";#N/A,#N/A,FALSE,"C.Fixo - Total ";#N/A,#N/A,FALSE,"Dem.Estoque";#N/A,#N/A,FALSE,"Investimentos";#N/A,#N/A,FALSE,"Efic. Indl.";#N/A,#N/A,FALSE,"Máquina 1";#N/A,#N/A,FALSE,"Máquina 2";#N/A,#N/A,FALSE,"Máquina 3";#N/A,#N/A,FALSE,"Evolução"}</definedName>
    <definedName name="wrn.Gerencial1" hidden="1">{#N/A,#N/A,FALSE,"Capa";#N/A,#N/A,FALSE,"Ind.Econ.Finan.";#N/A,#N/A,FALSE,"Indic.Operac.";#N/A,#N/A,FALSE,"Dem.Rec. S-1";#N/A,#N/A,FALSE,"Dem.Rec. S-2";#N/A,#N/A,FALSE,"Dem.Rec. S-3";#N/A,#N/A,FALSE,"Dem.Coml. S-1";#N/A,#N/A,FALSE,"Dem.Coml. S-2";#N/A,#N/A,FALSE,"Dem.Coml. S-3";#N/A,#N/A,FALSE,"Dem.Rec.Geral";#N/A,#N/A,FALSE,"Dem.Cap.Giro";#N/A,#N/A,FALSE,"Gestão Diret.Des.Organ.";#N/A,#N/A,FALSE,"Dem.Preços";#N/A,#N/A,FALSE,"Gestão Diret.Financ.";#N/A,#N/A,FALSE,"Prod.Líquida";#N/A,#N/A,FALSE,"Custo Unitário";#N/A,#N/A,FALSE,"C.Fixo-M.O.";#N/A,#N/A,FALSE,"C.Fixo - Total ";#N/A,#N/A,FALSE,"Dem.Estoque";#N/A,#N/A,FALSE,"Investimentos";#N/A,#N/A,FALSE,"Efic. Indl.";#N/A,#N/A,FALSE,"Máquina 1";#N/A,#N/A,FALSE,"Máquina 2";#N/A,#N/A,FALSE,"Máquina 3";#N/A,#N/A,FALSE,"Evolução"}</definedName>
    <definedName name="wrn.Gerencial1_1" localSheetId="8" hidden="1">{#N/A,#N/A,FALSE,"Capa";#N/A,#N/A,FALSE,"Ind.Econ.Finan.";#N/A,#N/A,FALSE,"Indic.Operac.";#N/A,#N/A,FALSE,"Dem.Rec. S-1";#N/A,#N/A,FALSE,"Dem.Rec. S-2";#N/A,#N/A,FALSE,"Dem.Rec. S-3";#N/A,#N/A,FALSE,"Dem.Coml. S-1";#N/A,#N/A,FALSE,"Dem.Coml. S-2";#N/A,#N/A,FALSE,"Dem.Coml. S-3";#N/A,#N/A,FALSE,"Dem.Rec.Geral";#N/A,#N/A,FALSE,"Dem.Cap.Giro";#N/A,#N/A,FALSE,"Gestão Diret.Des.Organ.";#N/A,#N/A,FALSE,"Dem.Preços";#N/A,#N/A,FALSE,"Gestão Diret.Financ.";#N/A,#N/A,FALSE,"Prod.Líquida";#N/A,#N/A,FALSE,"Custo Unitário";#N/A,#N/A,FALSE,"C.Fixo-M.O.";#N/A,#N/A,FALSE,"C.Fixo - Total ";#N/A,#N/A,FALSE,"Dem.Estoque";#N/A,#N/A,FALSE,"Investimentos";#N/A,#N/A,FALSE,"Efic. Indl.";#N/A,#N/A,FALSE,"Máquina 1";#N/A,#N/A,FALSE,"Máquina 2";#N/A,#N/A,FALSE,"Máquina 3";#N/A,#N/A,FALSE,"Evolução"}</definedName>
    <definedName name="wrn.Gerencial1_1" hidden="1">{#N/A,#N/A,FALSE,"Capa";#N/A,#N/A,FALSE,"Ind.Econ.Finan.";#N/A,#N/A,FALSE,"Indic.Operac.";#N/A,#N/A,FALSE,"Dem.Rec. S-1";#N/A,#N/A,FALSE,"Dem.Rec. S-2";#N/A,#N/A,FALSE,"Dem.Rec. S-3";#N/A,#N/A,FALSE,"Dem.Coml. S-1";#N/A,#N/A,FALSE,"Dem.Coml. S-2";#N/A,#N/A,FALSE,"Dem.Coml. S-3";#N/A,#N/A,FALSE,"Dem.Rec.Geral";#N/A,#N/A,FALSE,"Dem.Cap.Giro";#N/A,#N/A,FALSE,"Gestão Diret.Des.Organ.";#N/A,#N/A,FALSE,"Dem.Preços";#N/A,#N/A,FALSE,"Gestão Diret.Financ.";#N/A,#N/A,FALSE,"Prod.Líquida";#N/A,#N/A,FALSE,"Custo Unitário";#N/A,#N/A,FALSE,"C.Fixo-M.O.";#N/A,#N/A,FALSE,"C.Fixo - Total ";#N/A,#N/A,FALSE,"Dem.Estoque";#N/A,#N/A,FALSE,"Investimentos";#N/A,#N/A,FALSE,"Efic. Indl.";#N/A,#N/A,FALSE,"Máquina 1";#N/A,#N/A,FALSE,"Máquina 2";#N/A,#N/A,FALSE,"Máquina 3";#N/A,#N/A,FALSE,"Evolução"}</definedName>
    <definedName name="wrn.Gesamtausdruck._.alle._.Perioden." hidden="1">{"Alle Perioden",#N/A,FALSE,"Erf";"Alle Perioden",#N/A,FALSE,"Ang";"Alle Perioden",#N/A,FALSE,"BV";"Alle Perioden",#N/A,FALSE,"BE";"Alle Perioden",#N/A,FALSE,"Re";"Alle Perioden",#N/A,FALSE,"Vol";"Alle Perioden",#N/A,FALSE,"BV100";"Alle Perioden",#N/A,FALSE,"BE100";"Alle Perioden",#N/A,FALSE,"Re100";"Alle Perioden",#N/A,FALSE,"Vol100"}</definedName>
    <definedName name="wrn.Gesamtausdruck._.erste._.elf._.Perioden." hidden="1">{"Erste elf Perioden",#N/A,FALSE,"Erf";"Erste elf Perioden",#N/A,FALSE,"Ang";"Erste elf Perioden",#N/A,FALSE,"BV";"Erste elf Perioden",#N/A,FALSE,"BE";"Erste elf Perioden",#N/A,FALSE,"Re";"Erste elf Perioden",#N/A,FALSE,"Vol";"Erste elf Perioden",#N/A,FALSE,"BV100";"Erste elf Perioden",#N/A,FALSE,"BE100";"Erste elf Perioden",#N/A,FALSE,"Re100";"Erste elf Perioden",#N/A,FALSE,"Vol100"}</definedName>
    <definedName name="wrn.Gioia." localSheetId="8" hidden="1">{#N/A,#N/A,FALSE,"Dettaglio x società";#N/A,#N/A,FALSE,"Dettaglio SPI 2002";#N/A,#N/A,FALSE,"Dettaglio SPI";#N/A,#N/A,FALSE,"Dettaglio W";#N/A,#N/A,FALSE,"Comparto SPI 2002";#N/A,#N/A,FALSE,"Comparto SPI";#N/A,#N/A,FALSE,"Comparto W";#N/A,#N/A,FALSE,"Comm x comparto";#N/A,#N/A,FALSE,"Comm x class"}</definedName>
    <definedName name="wrn.Gioia." hidden="1">{#N/A,#N/A,FALSE,"Dettaglio x società";#N/A,#N/A,FALSE,"Dettaglio SPI 2002";#N/A,#N/A,FALSE,"Dettaglio SPI";#N/A,#N/A,FALSE,"Dettaglio W";#N/A,#N/A,FALSE,"Comparto SPI 2002";#N/A,#N/A,FALSE,"Comparto SPI";#N/A,#N/A,FALSE,"Comparto W";#N/A,#N/A,FALSE,"Comm x comparto";#N/A,#N/A,FALSE,"Comm x class"}</definedName>
    <definedName name="wrn.Gioia._1" localSheetId="8" hidden="1">{#N/A,#N/A,FALSE,"Dettaglio x società";#N/A,#N/A,FALSE,"Dettaglio SPI 2002";#N/A,#N/A,FALSE,"Dettaglio SPI";#N/A,#N/A,FALSE,"Dettaglio W";#N/A,#N/A,FALSE,"Comparto SPI 2002";#N/A,#N/A,FALSE,"Comparto SPI";#N/A,#N/A,FALSE,"Comparto W";#N/A,#N/A,FALSE,"Comm x comparto";#N/A,#N/A,FALSE,"Comm x class"}</definedName>
    <definedName name="wrn.Gioia._1" hidden="1">{#N/A,#N/A,FALSE,"Dettaglio x società";#N/A,#N/A,FALSE,"Dettaglio SPI 2002";#N/A,#N/A,FALSE,"Dettaglio SPI";#N/A,#N/A,FALSE,"Dettaglio W";#N/A,#N/A,FALSE,"Comparto SPI 2002";#N/A,#N/A,FALSE,"Comparto SPI";#N/A,#N/A,FALSE,"Comparto W";#N/A,#N/A,FALSE,"Comm x comparto";#N/A,#N/A,FALSE,"Comm x class"}</definedName>
    <definedName name="wrn.gjkgjhg" localSheetId="8" hidden="1">{#N/A,#N/A,FALSE,"Triangle Total";#N/A,#N/A,FALSE,"Triangle LLC";#N/A,#N/A,FALSE,"Triangle LLC";#N/A,#N/A,FALSE,"Teeside"}</definedName>
    <definedName name="wrn.gjkgjhg" hidden="1">{#N/A,#N/A,FALSE,"Triangle Total";#N/A,#N/A,FALSE,"Triangle LLC";#N/A,#N/A,FALSE,"Triangle LLC";#N/A,#N/A,FALSE,"Teeside"}</definedName>
    <definedName name="wrn.global." localSheetId="8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wrn.global.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wrn.Globale." localSheetId="8" hidden="1">{#N/A,#N/A,TRUE,"Scenari";#N/A,#N/A,TRUE,"Wacc";#N/A,#N/A,TRUE,"DCF";#N/A,#N/A,TRUE,"TV";#N/A,#N/A,TRUE,"Ctrl";#N/A,#N/A,TRUE,"EVA ";#N/A,#N/A,TRUE,"Mista"}</definedName>
    <definedName name="wrn.Globale." hidden="1">{#N/A,#N/A,TRUE,"Scenari";#N/A,#N/A,TRUE,"Wacc";#N/A,#N/A,TRUE,"DCF";#N/A,#N/A,TRUE,"TV";#N/A,#N/A,TRUE,"Ctrl";#N/A,#N/A,TRUE,"EVA ";#N/A,#N/A,TRUE,"Mista"}</definedName>
    <definedName name="wrn.Globale._1" localSheetId="8" hidden="1">{#N/A,#N/A,TRUE,"Scenari";#N/A,#N/A,TRUE,"Wacc";#N/A,#N/A,TRUE,"DCF";#N/A,#N/A,TRUE,"TV";#N/A,#N/A,TRUE,"Ctrl";#N/A,#N/A,TRUE,"EVA ";#N/A,#N/A,TRUE,"Mista"}</definedName>
    <definedName name="wrn.Globale._1" hidden="1">{#N/A,#N/A,TRUE,"Scenari";#N/A,#N/A,TRUE,"Wacc";#N/A,#N/A,TRUE,"DCF";#N/A,#N/A,TRUE,"TV";#N/A,#N/A,TRUE,"Ctrl";#N/A,#N/A,TRUE,"EVA ";#N/A,#N/A,TRUE,"Mista"}</definedName>
    <definedName name="wrn.grafico." hidden="1">{#N/A,#N/A,FALSE,"Graficos    ( 9 )"}</definedName>
    <definedName name="wrn.GRAFICOS." localSheetId="8" hidden="1">{#N/A,#N/A,FALSE,"CAPEX";#N/A,#N/A,FALSE,"NETSALES";#N/A,#N/A,FALSE,"GMSTPP";#N/A,#N/A,FALSE,"GMTOTAL";#N/A,#N/A,FALSE,"FERTIL";#N/A,#N/A,FALSE,"STPP";#N/A,#N/A,FALSE,"CBLACK";#N/A,#N/A,FALSE,"OPERTINCOME"}</definedName>
    <definedName name="wrn.GRAFICOS." hidden="1">{#N/A,#N/A,FALSE,"CAPEX";#N/A,#N/A,FALSE,"NETSALES";#N/A,#N/A,FALSE,"GMSTPP";#N/A,#N/A,FALSE,"GMTOTAL";#N/A,#N/A,FALSE,"FERTIL";#N/A,#N/A,FALSE,"STPP";#N/A,#N/A,FALSE,"CBLACK";#N/A,#N/A,FALSE,"OPERTINCOME"}</definedName>
    <definedName name="wrn.Graph._.edition." localSheetId="8" hidden="1">{#N/A,#N/A,FALSE,"KPI-EMM-Graph";#N/A,#N/A,FALSE,"Cost Graph";#N/A,#N/A,FALSE,"Cash graph";#N/A,#N/A,FALSE,"Order Sales Graph"}</definedName>
    <definedName name="wrn.Graph._.edition." hidden="1">{#N/A,#N/A,FALSE,"KPI-EMM-Graph";#N/A,#N/A,FALSE,"Cost Graph";#N/A,#N/A,FALSE,"Cash graph";#N/A,#N/A,FALSE,"Order Sales Graph"}</definedName>
    <definedName name="wrn.Graph._.edition._1" localSheetId="8" hidden="1">{#N/A,#N/A,FALSE,"KPI-EMM-Graph";#N/A,#N/A,FALSE,"Cost Graph";#N/A,#N/A,FALSE,"Cash graph";#N/A,#N/A,FALSE,"Order Sales Graph"}</definedName>
    <definedName name="wrn.Graph._.edition._1" hidden="1">{#N/A,#N/A,FALSE,"KPI-EMM-Graph";#N/A,#N/A,FALSE,"Cost Graph";#N/A,#N/A,FALSE,"Cash graph";#N/A,#N/A,FALSE,"Order Sales Graph"}</definedName>
    <definedName name="wrn.GRAPHS." localSheetId="7" hidden="1">{#N/A,#N/A,FALSE,"ACQ_GRAPHS";#N/A,#N/A,FALSE,"T_1 GRAPHS";#N/A,#N/A,FALSE,"T_2 GRAPHS";#N/A,#N/A,FALSE,"COMB_GRAPHS"}</definedName>
    <definedName name="wrn.GRAPHS." localSheetId="8" hidden="1">{#N/A,#N/A,FALSE,"ACQ_GRAPHS";#N/A,#N/A,FALSE,"T_1 GRAPHS";#N/A,#N/A,FALSE,"T_2 GRAPHS";#N/A,#N/A,FALSE,"COMB_GRAPHS"}</definedName>
    <definedName name="wrn.GRAPHS." hidden="1">{#N/A,#N/A,FALSE,"ACQ_GRAPHS";#N/A,#N/A,FALSE,"T_1 GRAPHS";#N/A,#N/A,FALSE,"T_2 GRAPHS";#N/A,#N/A,FALSE,"COMB_GRAPHS"}</definedName>
    <definedName name="wrn.GRAPHS._1" localSheetId="8" hidden="1">{#N/A,#N/A,FALSE,"ACQ_GRAPHS";#N/A,#N/A,FALSE,"T_1 GRAPHS";#N/A,#N/A,FALSE,"T_2 GRAPHS";#N/A,#N/A,FALSE,"COMB_GRAPHS"}</definedName>
    <definedName name="wrn.GRAPHS._1" hidden="1">{#N/A,#N/A,FALSE,"ACQ_GRAPHS";#N/A,#N/A,FALSE,"T_1 GRAPHS";#N/A,#N/A,FALSE,"T_2 GRAPHS";#N/A,#N/A,FALSE,"COMB_GRAPHS"}</definedName>
    <definedName name="wrn.gross._.margin._.detail." hidden="1">{"gross_margin1",#N/A,FALSE,"Gross Margin Detail";"gross_margin2",#N/A,FALSE,"Gross Margin Detail"}</definedName>
    <definedName name="wrn.GUABIPET." hidden="1">{"TOTAL GUABIPET",#N/A,FALSE,"P E T";"BIRIBA",#N/A,FALSE,"P E T";"FARO",#N/A,FALSE,"P E T";"FARO FILHOTES",#N/A,FALSE,"P E T";"HEROI",#N/A,FALSE,"P E T";"MASCOTE",#N/A,FALSE,"P E T";"RUNO",#N/A,FALSE,"P E T";"TOP CAT CARNE",#N/A,FALSE,"P E T";"TOP CAT PEIXE",#N/A,FALSE,"P E T";"GORJEIO P.PRETO",#N/A,FALSE,"P E T";"GORJEIO PERIQUITO",#N/A,FALSE,"P E T";"GORJEIO CANARIO",#N/A,FALSE,"P E T";"LIMP CAT",#N/A,FALSE,"P E T";"OUTROS",#N/A,FALSE,"P E T"}</definedName>
    <definedName name="wrn.Guidelines." localSheetId="8" hidden="1">{"Guidelines",#N/A,FALSE,"Guidelines"}</definedName>
    <definedName name="wrn.Guidelines." hidden="1">{"Guidelines",#N/A,FALSE,"Guidelines"}</definedName>
    <definedName name="wrn.GuV." localSheetId="8" hidden="1">{#N/A,#N/A,FALSE,"Layout GuV"}</definedName>
    <definedName name="wrn.GuV." hidden="1">{#N/A,#N/A,FALSE,"Layout GuV"}</definedName>
    <definedName name="wrn.h.._.Overview._.Summary." localSheetId="8" hidden="1">{"K1-Overview1",#N/A,FALSE,"K1-Overview";"K1-Overview2",#N/A,FALSE,"K1-Overview";"K1-Overview3 BUD &amp; CUR",#N/A,FALSE,"K1-Overview"}</definedName>
    <definedName name="wrn.h.._.Overview._.Summary." hidden="1">{"K1-Overview1",#N/A,FALSE,"K1-Overview";"K1-Overview2",#N/A,FALSE,"K1-Overview";"K1-Overview3 BUD &amp; CUR",#N/A,FALSE,"K1-Overview"}</definedName>
    <definedName name="wrn.handout." localSheetId="8" hidden="1">{#N/A,#N/A,FALSE,"Income Statement";#N/A,#N/A,FALSE,"Annual Income Statement";#N/A,#N/A,FALSE,"Balance Sheet";#N/A,#N/A,FALSE,"Cash Flow"}</definedName>
    <definedName name="wrn.handout." hidden="1">{#N/A,#N/A,FALSE,"Income Statement";#N/A,#N/A,FALSE,"Annual Income Statement";#N/A,#N/A,FALSE,"Balance Sheet";#N/A,#N/A,FALSE,"Cash Flow"}</definedName>
    <definedName name="wrn.health." localSheetId="8" hidden="1">{#N/A,#N/A,FALSE,"cover3";#N/A,#N/A,FALSE,"Health Op Stat";#N/A,#N/A,FALSE,"Health Presales";#N/A,#N/A,FALSE,"Health P1";#N/A,#N/A,FALSE,"Health Orderbook"}</definedName>
    <definedName name="wrn.health." hidden="1">{#N/A,#N/A,FALSE,"cover3";#N/A,#N/A,FALSE,"Health Op Stat";#N/A,#N/A,FALSE,"Health Presales";#N/A,#N/A,FALSE,"Health P1";#N/A,#N/A,FALSE,"Health Orderbook"}</definedName>
    <definedName name="wrn.HELIUM._.PRICING." localSheetId="8" hidden="1">{"HELIUM PRICING",#N/A,FALSE,"HELIUM"}</definedName>
    <definedName name="wrn.HELIUM._.PRICING." hidden="1">{"HELIUM PRICING",#N/A,FALSE,"HELIUM"}</definedName>
    <definedName name="wrn.HELIUM._.REVENUE." localSheetId="8" hidden="1">{"HELIUM REVENUE",#N/A,FALSE,"HELIUM"}</definedName>
    <definedName name="wrn.HELIUM._.REVENUE." hidden="1">{"HELIUM REVENUE",#N/A,FALSE,"HELIUM"}</definedName>
    <definedName name="wrn.HELIUM._.VOLUME." localSheetId="8" hidden="1">{"HELIUM VOLUME",#N/A,FALSE,"HELIUM"}</definedName>
    <definedName name="wrn.HELIUM._.VOLUME." hidden="1">{"HELIUM VOLUME",#N/A,FALSE,"HELIUM"}</definedName>
    <definedName name="wrn.Historical._.Cost._.PWC." localSheetId="8" hidden="1">{#N/A,#N/A,TRUE,"Cover His PWC";#N/A,#N/A,TRUE,"P&amp;L";#N/A,#N/A,TRUE,"BS";#N/A,#N/A,TRUE,"Depreciation";#N/A,#N/A,TRUE,"GRAPHS";#N/A,#N/A,TRUE,"DCF EBITDA Multiple";#N/A,#N/A,TRUE,"DCF Perpetual Growth"}</definedName>
    <definedName name="wrn.Historical._.Cost._.PWC." hidden="1">{#N/A,#N/A,TRUE,"Cover His PWC";#N/A,#N/A,TRUE,"P&amp;L";#N/A,#N/A,TRUE,"BS";#N/A,#N/A,TRUE,"Depreciation";#N/A,#N/A,TRUE,"GRAPHS";#N/A,#N/A,TRUE,"DCF EBITDA Multiple";#N/A,#N/A,TRUE,"DCF Perpetual Growth"}</definedName>
    <definedName name="wrn.Historical._.Cost._.PWC._1" localSheetId="8" hidden="1">{#N/A,#N/A,TRUE,"Cover His PWC";#N/A,#N/A,TRUE,"P&amp;L";#N/A,#N/A,TRUE,"BS";#N/A,#N/A,TRUE,"Depreciation";#N/A,#N/A,TRUE,"GRAPHS";#N/A,#N/A,TRUE,"DCF EBITDA Multiple";#N/A,#N/A,TRUE,"DCF Perpetual Growth"}</definedName>
    <definedName name="wrn.Historical._.Cost._.PWC._1" hidden="1">{#N/A,#N/A,TRUE,"Cover His PWC";#N/A,#N/A,TRUE,"P&amp;L";#N/A,#N/A,TRUE,"BS";#N/A,#N/A,TRUE,"Depreciation";#N/A,#N/A,TRUE,"GRAPHS";#N/A,#N/A,TRUE,"DCF EBITDA Multiple";#N/A,#N/A,TRUE,"DCF Perpetual Growth"}</definedName>
    <definedName name="wrn.Historical._.Cost._.PWC.1" localSheetId="8" hidden="1">{#N/A,#N/A,TRUE,"Cover His PWC";#N/A,#N/A,TRUE,"P&amp;L";#N/A,#N/A,TRUE,"BS";#N/A,#N/A,TRUE,"Depreciation";#N/A,#N/A,TRUE,"GRAPHS";#N/A,#N/A,TRUE,"DCF EBITDA Multiple";#N/A,#N/A,TRUE,"DCF Perpetual Growth"}</definedName>
    <definedName name="wrn.Historical._.Cost._.PWC.1" hidden="1">{#N/A,#N/A,TRUE,"Cover His PWC";#N/A,#N/A,TRUE,"P&amp;L";#N/A,#N/A,TRUE,"BS";#N/A,#N/A,TRUE,"Depreciation";#N/A,#N/A,TRUE,"GRAPHS";#N/A,#N/A,TRUE,"DCF EBITDA Multiple";#N/A,#N/A,TRUE,"DCF Perpetual Growth"}</definedName>
    <definedName name="wrn.Historical._.Cost._.PWC.1_1" localSheetId="8" hidden="1">{#N/A,#N/A,TRUE,"Cover His PWC";#N/A,#N/A,TRUE,"P&amp;L";#N/A,#N/A,TRUE,"BS";#N/A,#N/A,TRUE,"Depreciation";#N/A,#N/A,TRUE,"GRAPHS";#N/A,#N/A,TRUE,"DCF EBITDA Multiple";#N/A,#N/A,TRUE,"DCF Perpetual Growth"}</definedName>
    <definedName name="wrn.Historical._.Cost._.PWC.1_1" hidden="1">{#N/A,#N/A,TRUE,"Cover His PWC";#N/A,#N/A,TRUE,"P&amp;L";#N/A,#N/A,TRUE,"BS";#N/A,#N/A,TRUE,"Depreciation";#N/A,#N/A,TRUE,"GRAPHS";#N/A,#N/A,TRUE,"DCF EBITDA Multiple";#N/A,#N/A,TRUE,"DCF Perpetual Growth"}</definedName>
    <definedName name="wrn.Historical._.Cost._.TenneT." localSheetId="8" hidden="1">{#N/A,#N/A,TRUE,"Cover His T";#N/A,#N/A,TRUE,"P&amp;L";#N/A,#N/A,TRUE,"BS";#N/A,#N/A,TRUE,"Depreciation";#N/A,#N/A,TRUE,"GRAPHS";#N/A,#N/A,TRUE,"DCF EBITDA Multiple";#N/A,#N/A,TRUE,"DCF Perpetual Growth"}</definedName>
    <definedName name="wrn.Historical._.Cost._.TenneT." hidden="1">{#N/A,#N/A,TRUE,"Cover His T";#N/A,#N/A,TRUE,"P&amp;L";#N/A,#N/A,TRUE,"BS";#N/A,#N/A,TRUE,"Depreciation";#N/A,#N/A,TRUE,"GRAPHS";#N/A,#N/A,TRUE,"DCF EBITDA Multiple";#N/A,#N/A,TRUE,"DCF Perpetual Growth"}</definedName>
    <definedName name="wrn.Historical._.Cost._.TenneT._1" localSheetId="8" hidden="1">{#N/A,#N/A,TRUE,"Cover His T";#N/A,#N/A,TRUE,"P&amp;L";#N/A,#N/A,TRUE,"BS";#N/A,#N/A,TRUE,"Depreciation";#N/A,#N/A,TRUE,"GRAPHS";#N/A,#N/A,TRUE,"DCF EBITDA Multiple";#N/A,#N/A,TRUE,"DCF Perpetual Growth"}</definedName>
    <definedName name="wrn.Historical._.Cost._.TenneT._1" hidden="1">{#N/A,#N/A,TRUE,"Cover His T";#N/A,#N/A,TRUE,"P&amp;L";#N/A,#N/A,TRUE,"BS";#N/A,#N/A,TRUE,"Depreciation";#N/A,#N/A,TRUE,"GRAPHS";#N/A,#N/A,TRUE,"DCF EBITDA Multiple";#N/A,#N/A,TRUE,"DCF Perpetual Growth"}</definedName>
    <definedName name="wrn.Historical._.Cost._.TenneT.1" localSheetId="8" hidden="1">{#N/A,#N/A,TRUE,"Cover His T";#N/A,#N/A,TRUE,"P&amp;L";#N/A,#N/A,TRUE,"BS";#N/A,#N/A,TRUE,"Depreciation";#N/A,#N/A,TRUE,"GRAPHS";#N/A,#N/A,TRUE,"DCF EBITDA Multiple";#N/A,#N/A,TRUE,"DCF Perpetual Growth"}</definedName>
    <definedName name="wrn.Historical._.Cost._.TenneT.1" hidden="1">{#N/A,#N/A,TRUE,"Cover His T";#N/A,#N/A,TRUE,"P&amp;L";#N/A,#N/A,TRUE,"BS";#N/A,#N/A,TRUE,"Depreciation";#N/A,#N/A,TRUE,"GRAPHS";#N/A,#N/A,TRUE,"DCF EBITDA Multiple";#N/A,#N/A,TRUE,"DCF Perpetual Growth"}</definedName>
    <definedName name="wrn.Historical._.Cost._.TenneT.1_1" localSheetId="8" hidden="1">{#N/A,#N/A,TRUE,"Cover His T";#N/A,#N/A,TRUE,"P&amp;L";#N/A,#N/A,TRUE,"BS";#N/A,#N/A,TRUE,"Depreciation";#N/A,#N/A,TRUE,"GRAPHS";#N/A,#N/A,TRUE,"DCF EBITDA Multiple";#N/A,#N/A,TRUE,"DCF Perpetual Growth"}</definedName>
    <definedName name="wrn.Historical._.Cost._.TenneT.1_1" hidden="1">{#N/A,#N/A,TRUE,"Cover His T";#N/A,#N/A,TRUE,"P&amp;L";#N/A,#N/A,TRUE,"BS";#N/A,#N/A,TRUE,"Depreciation";#N/A,#N/A,TRUE,"GRAPHS";#N/A,#N/A,TRUE,"DCF EBITDA Multiple";#N/A,#N/A,TRUE,"DCF Perpetual Growth"}</definedName>
    <definedName name="wrn.historical._.performance." hidden="1">{"historical acquirer",#N/A,FALSE,"Historical Performance";"historical target",#N/A,FALSE,"Historical Performance"}</definedName>
    <definedName name="wrn.history." localSheetId="7" hidden="1">{#N/A,#N/A,FALSE,"model"}</definedName>
    <definedName name="wrn.history." localSheetId="8" hidden="1">{#N/A,#N/A,FALSE,"model"}</definedName>
    <definedName name="wrn.history." hidden="1">{#N/A,#N/A,FALSE,"model"}</definedName>
    <definedName name="wrn.history._1" localSheetId="7" hidden="1">{#N/A,#N/A,FALSE,"model"}</definedName>
    <definedName name="wrn.history._1" localSheetId="8" hidden="1">{#N/A,#N/A,FALSE,"model"}</definedName>
    <definedName name="wrn.history._1" hidden="1">{#N/A,#N/A,FALSE,"model"}</definedName>
    <definedName name="wrn.history2" localSheetId="7" hidden="1">{#N/A,#N/A,FALSE,"model"}</definedName>
    <definedName name="wrn.history2" localSheetId="8" hidden="1">{#N/A,#N/A,FALSE,"model"}</definedName>
    <definedName name="wrn.history2" hidden="1">{#N/A,#N/A,FALSE,"model"}</definedName>
    <definedName name="wrn.history2_1" localSheetId="8" hidden="1">{#N/A,#N/A,FALSE,"model"}</definedName>
    <definedName name="wrn.history2_1" hidden="1">{#N/A,#N/A,FALSE,"model"}</definedName>
    <definedName name="wrn.histROIC." localSheetId="7" hidden="1">{#N/A,#N/A,FALSE,"model"}</definedName>
    <definedName name="wrn.histROIC." localSheetId="8" hidden="1">{#N/A,#N/A,FALSE,"model"}</definedName>
    <definedName name="wrn.histROIC." hidden="1">{#N/A,#N/A,FALSE,"model"}</definedName>
    <definedName name="wrn.histROIC._1" localSheetId="7" hidden="1">{#N/A,#N/A,FALSE,"model"}</definedName>
    <definedName name="wrn.histROIC._1" localSheetId="8" hidden="1">{#N/A,#N/A,FALSE,"model"}</definedName>
    <definedName name="wrn.histROIC._1" hidden="1">{#N/A,#N/A,FALSE,"model"}</definedName>
    <definedName name="wrn.histROIC2" localSheetId="7" hidden="1">{#N/A,#N/A,FALSE,"model"}</definedName>
    <definedName name="wrn.histROIC2" localSheetId="8" hidden="1">{#N/A,#N/A,FALSE,"model"}</definedName>
    <definedName name="wrn.histROIC2" hidden="1">{#N/A,#N/A,FALSE,"model"}</definedName>
    <definedName name="wrn.histROIC2_1" localSheetId="8" hidden="1">{#N/A,#N/A,FALSE,"model"}</definedName>
    <definedName name="wrn.histROIC2_1" hidden="1">{#N/A,#N/A,FALSE,"model"}</definedName>
    <definedName name="wrn.Hum_Res." localSheetId="8" hidden="1">{"Exp",#N/A,FALSE,"Human_Res";"Sal",#N/A,FALSE,"Human_Res";"Sum",#N/A,FALSE,"Human_Res"}</definedName>
    <definedName name="wrn.Hum_Res." hidden="1">{"Exp",#N/A,FALSE,"Human_Res";"Sal",#N/A,FALSE,"Human_Res";"Sum",#N/A,FALSE,"Human_Res"}</definedName>
    <definedName name="wrn.Hyg._.Acq." localSheetId="8" hidden="1">{#N/A,#N/A,FALSE,"main";#N/A,#N/A,FALSE,"100% Cash";#N/A,#N/A,FALSE,"100% Stock"}</definedName>
    <definedName name="wrn.Hyg._.Acq." hidden="1">{#N/A,#N/A,FALSE,"main";#N/A,#N/A,FALSE,"100% Cash";#N/A,#N/A,FALSE,"100% Stock"}</definedName>
    <definedName name="wrn.Hyg._.Acq._1" localSheetId="8" hidden="1">{#N/A,#N/A,FALSE,"main";#N/A,#N/A,FALSE,"100% Cash";#N/A,#N/A,FALSE,"100% Stock"}</definedName>
    <definedName name="wrn.Hyg._.Acq._1" hidden="1">{#N/A,#N/A,FALSE,"main";#N/A,#N/A,FALSE,"100% Cash";#N/A,#N/A,FALSE,"100% Stock"}</definedName>
    <definedName name="wrn.i.._.NWW._.Board._.Report._.Data." localSheetId="8" hidden="1">{"C3-RegView   Board Report Data",#N/A,FALSE,"C3-RegView"}</definedName>
    <definedName name="wrn.i.._.NWW._.Board._.Report._.Data." hidden="1">{"C3-RegView   Board Report Data",#N/A,FALSE,"C3-RegView"}</definedName>
    <definedName name="wrn.IAS_1998." localSheetId="8" hidden="1">{#N/A,#N/A,TRUE,"8.0";#N/A,#N/A,TRUE,"8.1.1.1";#N/A,#N/A,TRUE,"8.1.1.2";#N/A,#N/A,TRUE,"8.1.2.1";#N/A,#N/A,TRUE,"8.1.2.2";#N/A,#N/A,TRUE,"8.1.3.1";#N/A,#N/A,TRUE,"8.1.3.2";#N/A,#N/A,TRUE,"8.1.3.3";#N/A,#N/A,TRUE,"8.1.3.4";#N/A,#N/A,TRUE,"8.1.4.1";#N/A,#N/A,TRUE,"8.1.4.2";#N/A,#N/A,TRUE,"8.1.4.3";#N/A,#N/A,TRUE,"8.1.4.4";#N/A,#N/A,TRUE,"8.1.5";#N/A,#N/A,TRUE,"8.1.6";#N/A,#N/A,TRUE,"8.1.10.1";#N/A,#N/A,TRUE,"8.1.10.2";#N/A,#N/A,TRUE,"8.1.10.3";#N/A,#N/A,TRUE,"8.1.10.4";#N/A,#N/A,TRUE,"8.1.11.1";#N/A,#N/A,TRUE,"8.1.11.2";#N/A,#N/A,TRUE,"8.1.11.3";#N/A,#N/A,TRUE,"8.1.11.4";#N/A,#N/A,TRUE,"8.1.11.5";#N/A,#N/A,TRUE,"8.1.12.1";#N/A,#N/A,TRUE,"8.1.12.2";#N/A,#N/A,TRUE,"8.1.12.3";#N/A,#N/A,TRUE,"8.1.12.4";#N/A,#N/A,TRUE,"8.1.12.5";#N/A,#N/A,TRUE,"8.1.13";#N/A,#N/A,TRUE,"8.2.1";#N/A,#N/A,TRUE,"8.2.2";#N/A,#N/A,TRUE,"8.2.3";#N/A,#N/A,TRUE,"8.2.4";#N/A,#N/A,TRUE,"8.2.5p1";#N/A,#N/A,TRUE,"8.2.5p2";#N/A,#N/A,TRUE,"8.2.5p3";#N/A,#N/A,TRUE,"8.2.5p4.1";#N/A,#N/A,TRUE,"8.2.5p4.2";#N/A,#N/A,TRUE,"8.2.6";#N/A,#N/A,TRUE,"8.2.7";#N/A,#N/A,TRUE,"8.3.1";#N/A,#N/A,TRUE,"8.3.2";#N/A,#N/A,TRUE,"8.4.1";#N/A,#N/A,TRUE,"8.4.2";#N/A,#N/A,TRUE,"8.4.3";#N/A,#N/A,TRUE,"8.4.4";#N/A,#N/A,TRUE,"Balance"}</definedName>
    <definedName name="wrn.IAS_1998." hidden="1">{#N/A,#N/A,TRUE,"8.0";#N/A,#N/A,TRUE,"8.1.1.1";#N/A,#N/A,TRUE,"8.1.1.2";#N/A,#N/A,TRUE,"8.1.2.1";#N/A,#N/A,TRUE,"8.1.2.2";#N/A,#N/A,TRUE,"8.1.3.1";#N/A,#N/A,TRUE,"8.1.3.2";#N/A,#N/A,TRUE,"8.1.3.3";#N/A,#N/A,TRUE,"8.1.3.4";#N/A,#N/A,TRUE,"8.1.4.1";#N/A,#N/A,TRUE,"8.1.4.2";#N/A,#N/A,TRUE,"8.1.4.3";#N/A,#N/A,TRUE,"8.1.4.4";#N/A,#N/A,TRUE,"8.1.5";#N/A,#N/A,TRUE,"8.1.6";#N/A,#N/A,TRUE,"8.1.10.1";#N/A,#N/A,TRUE,"8.1.10.2";#N/A,#N/A,TRUE,"8.1.10.3";#N/A,#N/A,TRUE,"8.1.10.4";#N/A,#N/A,TRUE,"8.1.11.1";#N/A,#N/A,TRUE,"8.1.11.2";#N/A,#N/A,TRUE,"8.1.11.3";#N/A,#N/A,TRUE,"8.1.11.4";#N/A,#N/A,TRUE,"8.1.11.5";#N/A,#N/A,TRUE,"8.1.12.1";#N/A,#N/A,TRUE,"8.1.12.2";#N/A,#N/A,TRUE,"8.1.12.3";#N/A,#N/A,TRUE,"8.1.12.4";#N/A,#N/A,TRUE,"8.1.12.5";#N/A,#N/A,TRUE,"8.1.13";#N/A,#N/A,TRUE,"8.2.1";#N/A,#N/A,TRUE,"8.2.2";#N/A,#N/A,TRUE,"8.2.3";#N/A,#N/A,TRUE,"8.2.4";#N/A,#N/A,TRUE,"8.2.5p1";#N/A,#N/A,TRUE,"8.2.5p2";#N/A,#N/A,TRUE,"8.2.5p3";#N/A,#N/A,TRUE,"8.2.5p4.1";#N/A,#N/A,TRUE,"8.2.5p4.2";#N/A,#N/A,TRUE,"8.2.6";#N/A,#N/A,TRUE,"8.2.7";#N/A,#N/A,TRUE,"8.3.1";#N/A,#N/A,TRUE,"8.3.2";#N/A,#N/A,TRUE,"8.4.1";#N/A,#N/A,TRUE,"8.4.2";#N/A,#N/A,TRUE,"8.4.3";#N/A,#N/A,TRUE,"8.4.4";#N/A,#N/A,TRUE,"Balance"}</definedName>
    <definedName name="wrn.ICD." localSheetId="8" hidden="1">{"ICD Details",#N/A,FALSE,"Current Yr";"ICD Details",#N/A,FALSE,"Budget";"ICD Details",#N/A,FALSE,"Prior Year"}</definedName>
    <definedName name="wrn.ICD." hidden="1">{"ICD Details",#N/A,FALSE,"Current Yr";"ICD Details",#N/A,FALSE,"Budget";"ICD Details",#N/A,FALSE,"Prior Year"}</definedName>
    <definedName name="wrn.ICD._.Balance._.Sheet." localSheetId="8" hidden="1">{#N/A,"ICD",FALSE,"BSHIST.XLS";#N/A,"DMU",FALSE,"BSHIST.XLS";#N/A,"METHYL",FALSE,"BSHIST.XLS";#N/A,"HIGHER",FALSE,"BSHIST.XLS";#N/A,"SPEC",FALSE,"BSHIST.XLS";#N/A,"DERIV",FALSE,"BSHIST.XLS";#N/A,"AMM",FALSE,"BSHIST.XLS";#N/A,"CVT",FALSE,"BSHIST.XLS";#N/A,"MEOH",FALSE,"BSHIST.XLS";#N/A,"PINTER",FALSE,"BSHIST.XLS";#N/A,"NEWVEN",FALSE,"BSHIST.XLS"}</definedName>
    <definedName name="wrn.ICD._.Balance._.Sheet." hidden="1">{#N/A,"ICD",FALSE,"BSHIST.XLS";#N/A,"DMU",FALSE,"BSHIST.XLS";#N/A,"METHYL",FALSE,"BSHIST.XLS";#N/A,"HIGHER",FALSE,"BSHIST.XLS";#N/A,"SPEC",FALSE,"BSHIST.XLS";#N/A,"DERIV",FALSE,"BSHIST.XLS";#N/A,"AMM",FALSE,"BSHIST.XLS";#N/A,"CVT",FALSE,"BSHIST.XLS";#N/A,"MEOH",FALSE,"BSHIST.XLS";#N/A,"PINTER",FALSE,"BSHIST.XLS";#N/A,"NEWVEN",FALSE,"BSHIST.XLS"}</definedName>
    <definedName name="wrn.iIMPRESSION._.DOC.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mp." localSheetId="8" hidden="1">{"vue1",#N/A,FALSE,"synthese";"vue2",#N/A,FALSE,"synthese"}</definedName>
    <definedName name="wrn.imp." hidden="1">{#N/A,#N/A,FALSE,"NET";#N/A,#N/A,FALSE,"caxi";#N/A,#N/A,FALSE,"nhai";#N/A,#N/A,FALSE,"urui";#N/A,#N/A,FALSE,"cali";#N/A,#N/A,FALSE,"joii";#N/A,#N/A,FALSE,"hol";#N/A,#N/A,FALSE,"poa";#N/A,#N/A,FALSE,"pel";#N/A,#N/A,FALSE,"cha";#N/A,#N/A,FALSE,"rgr";#N/A,#N/A,FALSE,"ere";#N/A,#N/A,FALSE,"scr";#N/A,#N/A,FALSE,"cri";#N/A,#N/A,FALSE,"bag";#N/A,#N/A,FALSE,"pfu";#N/A,#N/A,FALSE,"lit";#N/A,#N/A,FALSE,"mmd";#N/A,#N/A,FALSE,"sma";#N/A,#N/A,FALSE,"btg";#N/A,#N/A,FALSE,"far";#N/A,#N/A,FALSE,"laj";#N/A,#N/A,FALSE,"flo";#N/A,#N/A,FALSE,"076";#N/A,#N/A,FALSE,"iflo";#N/A,#N/A,FALSE,"blu"}</definedName>
    <definedName name="wrn.imp._1" localSheetId="8" hidden="1">{"vue1",#N/A,FALSE,"synthese";"vue2",#N/A,FALSE,"synthese"}</definedName>
    <definedName name="wrn.imp._1" hidden="1">{"vue1",#N/A,FALSE,"synthese";"vue2",#N/A,FALSE,"synthese"}</definedName>
    <definedName name="wrn.imp.2" localSheetId="8" hidden="1">{"vue1",#N/A,FALSE,"synthese";"vue2",#N/A,FALSE,"synthese"}</definedName>
    <definedName name="wrn.imp.2" hidden="1">{"vue1",#N/A,FALSE,"synthese";"vue2",#N/A,FALSE,"synthese"}</definedName>
    <definedName name="wrn.imp.2_1" localSheetId="8" hidden="1">{"vue1",#N/A,FALSE,"synthese";"vue2",#N/A,FALSE,"synthese"}</definedName>
    <definedName name="wrn.imp.2_1" hidden="1">{"vue1",#N/A,FALSE,"synthese";"vue2",#N/A,FALSE,"synthese"}</definedName>
    <definedName name="wrn.imp.3" localSheetId="8" hidden="1">{"vue1",#N/A,FALSE,"synthese";"vue2",#N/A,FALSE,"synthese"}</definedName>
    <definedName name="wrn.imp.3" hidden="1">{"vue1",#N/A,FALSE,"synthese";"vue2",#N/A,FALSE,"synthese"}</definedName>
    <definedName name="wrn.imp.3_1" localSheetId="8" hidden="1">{"vue1",#N/A,FALSE,"synthese";"vue2",#N/A,FALSE,"synthese"}</definedName>
    <definedName name="wrn.imp.3_1" hidden="1">{"vue1",#N/A,FALSE,"synthese";"vue2",#N/A,FALSE,"synthese"}</definedName>
    <definedName name="wrn.IMPRESION." localSheetId="8" hidden="1">{#N/A,#N/A,FALSE,"Hoja1";#N/A,#N/A,FALSE,"Hoja2"}</definedName>
    <definedName name="wrn.IMPRESION." hidden="1">{#N/A,#N/A,FALSE,"Hoja1";#N/A,#N/A,FALSE,"Hoja2"}</definedName>
    <definedName name="wrn.IMPRESIÓN._.2001." localSheetId="8" hidden="1">{"Base con grat",#N/A,FALSE,"Base con grat";"Resultante",#N/A,FALSE,"Resultante";"Ingresos",#N/A,FALSE,"Ingresos"}</definedName>
    <definedName name="wrn.IMPRESIÓN._.2001." hidden="1">{"Base con grat",#N/A,FALSE,"Base con grat";"Resultante",#N/A,FALSE,"Resultante";"Ingresos",#N/A,FALSE,"Ingresos"}</definedName>
    <definedName name="wrn.IMPRESION._1" localSheetId="8" hidden="1">{#N/A,#N/A,FALSE,"Hoja1";#N/A,#N/A,FALSE,"Hoja2"}</definedName>
    <definedName name="wrn.IMPRESION._1" hidden="1">{#N/A,#N/A,FALSE,"Hoja1";#N/A,#N/A,FALSE,"Hoja2"}</definedName>
    <definedName name="wrn.Impressão." hidden="1">{#N/A,#N/A,FALSE,"Comp. Mês";#N/A,#N/A,FALSE,"Comp. Acum.";#N/A,#N/A,FALSE,"SAÍDA";#N/A,#N/A,FALSE,"Aberturas";#N/A,#N/A,FALSE,"DETALHES"}</definedName>
    <definedName name="wrn.IMPRESSION._.RP2.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icomp." hidden="1">{#N/A,#N/A,FALSE,"RCom";#N/A,#N/A,FALSE,"RCom-Acum.";#N/A,#N/A,FALSE,"PET";#N/A,#N/A,FALSE,"PET-Acum.";#N/A,#N/A,FALSE,"Nutri";#N/A,#N/A,FALSE,"Nutri-Acum.";#N/A,#N/A,FALSE,"Laborat.";#N/A,#N/A,FALSE,"Laborat.-Acum.";#N/A,#N/A,FALSE,"Outros";#N/A,#N/A,FALSE,"Outros-Acum."}</definedName>
    <definedName name="wrn.ImpriDiv." hidden="1">{#N/A,#N/A,FALSE,"RCom";#N/A,#N/A,FALSE,"RCom-Acum.";#N/A,#N/A,FALSE,"PET";#N/A,#N/A,FALSE,"Pet-Acum.";#N/A,#N/A,FALSE,"Nutri";#N/A,#N/A,FALSE,"Nutri-Acum.";#N/A,#N/A,FALSE,"Laborat.";#N/A,#N/A,FALSE,"Laborat.-Acum.";#N/A,#N/A,FALSE,"Outros";#N/A,#N/A,FALSE,"Outros-Acum."}</definedName>
    <definedName name="wrn.IMPRIME." localSheetId="8" hidden="1">{#N/A,#N/A,FALSE,"RESUMO CUB.";#N/A,#N/A,FALSE,"S.SIMPLES PÓ";#N/A,#N/A,FALSE,"S.SIMPLES GR.";#N/A,#N/A,FALSE,"S.S.GR.AMON.";#N/A,#N/A,FALSE,"N.P.K.";#N/A,#N/A,FALSE,"A.S.CHEMIBAU";#N/A,#N/A,FALSE,"A.S.DPG";#N/A,#N/A,FALSE,"A.FOSFÓR.";#N/A,#N/A,FALSE,"A.FLUOSSIL.";#N/A,#N/A,FALSE,"A.S.INDUSTR.";#N/A,#N/A,FALSE,"YOKARIN"}</definedName>
    <definedName name="wrn.IMPRIME." hidden="1">{#N/A,#N/A,FALSE,"RESUMO CUB.";#N/A,#N/A,FALSE,"S.SIMPLES PÓ";#N/A,#N/A,FALSE,"S.SIMPLES GR.";#N/A,#N/A,FALSE,"S.S.GR.AMON.";#N/A,#N/A,FALSE,"N.P.K.";#N/A,#N/A,FALSE,"A.S.CHEMIBAU";#N/A,#N/A,FALSE,"A.S.DPG";#N/A,#N/A,FALSE,"A.FOSFÓR.";#N/A,#N/A,FALSE,"A.FLUOSSIL.";#N/A,#N/A,FALSE,"A.S.INDUSTR.";#N/A,#N/A,FALSE,"YOKARIN"}</definedName>
    <definedName name="wrn.imprimir." localSheetId="8" hidden="1">{#N/A,#N/A,FALSE,"BALUS$97";#N/A,#N/A,FALSE,"INCUS$97";#N/A,#N/A,FALSE,"BALR$97";#N/A,#N/A,FALSE,"INCR$97";#N/A,#N/A,FALSE,"STOCKH97";#N/A,#N/A,FALSE,"FINANC97";#N/A,#N/A,FALSE,"CFLOW97"}</definedName>
    <definedName name="wrn.imprimir." hidden="1">{#N/A,#N/A,FALSE,"BALUS$97";#N/A,#N/A,FALSE,"INCUS$97";#N/A,#N/A,FALSE,"BALR$97";#N/A,#N/A,FALSE,"INCR$97";#N/A,#N/A,FALSE,"STOCKH97";#N/A,#N/A,FALSE,"FINANC97";#N/A,#N/A,FALSE,"CFLOW97"}</definedName>
    <definedName name="wrn.IMPRIMIR._.TODOS." localSheetId="8" hidden="1">{#N/A,#N/A,FALSE,"ATIVO";#N/A,#N/A,FALSE,"PASSIVO";#N/A,#N/A,FALSE,"L&amp;P";#N/A,#N/A,FALSE,"INTEREST"}</definedName>
    <definedName name="wrn.IMPRIMIR._.TODOS." hidden="1">{#N/A,#N/A,FALSE,"ATIVO";#N/A,#N/A,FALSE,"PASSIVO";#N/A,#N/A,FALSE,"L&amp;P";#N/A,#N/A,FALSE,"INTEREST"}</definedName>
    <definedName name="wrn.Inad._.Unidade._.OTN." hidden="1">{#N/A,#N/A,FALSE,"Inad Unidade-OTN"}</definedName>
    <definedName name="wrn.Inad._.Unidade._.real." hidden="1">{#N/A,#N/A,FALSE,"Inad Unidade-R$"}</definedName>
    <definedName name="wrn.Inadimplencia._.Absoluta." hidden="1">{#N/A,#N/A,FALSE,"Inadimplencia Absoluta"}</definedName>
    <definedName name="wrn.Inadimplencia._.Relativa." hidden="1">{#N/A,#N/A,FALSE,"Inadimplencia Relativa"}</definedName>
    <definedName name="wrn.Income." localSheetId="8" hidden="1">{#N/A,#N/A,TRUE,"Income";#N/A,#N/A,TRUE,"IncomeDetail";#N/A,#N/A,TRUE,"Balance";#N/A,#N/A,TRUE,"BalDetail"}</definedName>
    <definedName name="wrn.Income." hidden="1">{"Income",#N/A,FALSE,"Recap IS"}</definedName>
    <definedName name="wrn.income._.statement." localSheetId="8" hidden="1">{"income statement",#N/A,FALSE,"ATLAS-A"}</definedName>
    <definedName name="wrn.income._.statement." hidden="1">{"income statement",#N/A,FALSE,"ATLAS-A"}</definedName>
    <definedName name="wrn.income._.statement._1" localSheetId="8" hidden="1">{"income statement",#N/A,FALSE,"ATLAS-A"}</definedName>
    <definedName name="wrn.income._.statement._1" hidden="1">{"income statement",#N/A,FALSE,"ATLAS-A"}</definedName>
    <definedName name="wrn.Income._.Stmt." localSheetId="8" hidden="1">{"Income Stmt",#N/A,FALSE,"Model"}</definedName>
    <definedName name="wrn.Income._.Stmt." hidden="1">{"Income Stmt",#N/A,FALSE,"Model"}</definedName>
    <definedName name="wrn.Income._1" hidden="1">{"Income",#N/A,FALSE,"Recap IS"}</definedName>
    <definedName name="wrn.Income._1_1" hidden="1">{"Income",#N/A,FALSE,"Recap IS"}</definedName>
    <definedName name="wrn.Income._1_1_1" hidden="1">{"Income",#N/A,FALSE,"Recap IS"}</definedName>
    <definedName name="wrn.Income._1_1_1_1" hidden="1">{"Income",#N/A,FALSE,"Recap IS"}</definedName>
    <definedName name="wrn.Income._1_1_1_2" hidden="1">{"Income",#N/A,FALSE,"Recap IS"}</definedName>
    <definedName name="wrn.Income._1_1_2" hidden="1">{"Income",#N/A,FALSE,"Recap IS"}</definedName>
    <definedName name="wrn.Income._1_1_2_1" hidden="1">{"Income",#N/A,FALSE,"Recap IS"}</definedName>
    <definedName name="wrn.Income._1_1_2_2" hidden="1">{"Income",#N/A,FALSE,"Recap IS"}</definedName>
    <definedName name="wrn.Income._1_1_3" hidden="1">{"Income",#N/A,FALSE,"Recap IS"}</definedName>
    <definedName name="wrn.Income._1_1_4" hidden="1">{"Income",#N/A,FALSE,"Recap IS"}</definedName>
    <definedName name="wrn.Income._1_2" hidden="1">{"Income",#N/A,FALSE,"Recap IS"}</definedName>
    <definedName name="wrn.Income._1_2_1" hidden="1">{"Income",#N/A,FALSE,"Recap IS"}</definedName>
    <definedName name="wrn.Income._1_2_1_1" hidden="1">{"Income",#N/A,FALSE,"Recap IS"}</definedName>
    <definedName name="wrn.Income._1_2_1_2" hidden="1">{"Income",#N/A,FALSE,"Recap IS"}</definedName>
    <definedName name="wrn.Income._1_2_2" hidden="1">{"Income",#N/A,FALSE,"Recap IS"}</definedName>
    <definedName name="wrn.Income._1_2_2_1" hidden="1">{"Income",#N/A,FALSE,"Recap IS"}</definedName>
    <definedName name="wrn.Income._1_2_2_2" hidden="1">{"Income",#N/A,FALSE,"Recap IS"}</definedName>
    <definedName name="wrn.Income._1_2_3" hidden="1">{"Income",#N/A,FALSE,"Recap IS"}</definedName>
    <definedName name="wrn.Income._1_2_4" hidden="1">{"Income",#N/A,FALSE,"Recap IS"}</definedName>
    <definedName name="wrn.Income._1_3" hidden="1">{"Income",#N/A,FALSE,"Recap IS"}</definedName>
    <definedName name="wrn.Income._1_3_1" hidden="1">{"Income",#N/A,FALSE,"Recap IS"}</definedName>
    <definedName name="wrn.Income._1_3_1_1" hidden="1">{"Income",#N/A,FALSE,"Recap IS"}</definedName>
    <definedName name="wrn.Income._1_3_1_2" hidden="1">{"Income",#N/A,FALSE,"Recap IS"}</definedName>
    <definedName name="wrn.Income._1_3_2" hidden="1">{"Income",#N/A,FALSE,"Recap IS"}</definedName>
    <definedName name="wrn.Income._1_3_2_1" hidden="1">{"Income",#N/A,FALSE,"Recap IS"}</definedName>
    <definedName name="wrn.Income._1_3_2_2" hidden="1">{"Income",#N/A,FALSE,"Recap IS"}</definedName>
    <definedName name="wrn.Income._1_3_3" hidden="1">{"Income",#N/A,FALSE,"Recap IS"}</definedName>
    <definedName name="wrn.Income._1_3_4" hidden="1">{"Income",#N/A,FALSE,"Recap IS"}</definedName>
    <definedName name="wrn.Income._1_4" hidden="1">{"Income",#N/A,FALSE,"Recap IS"}</definedName>
    <definedName name="wrn.Income._1_4_1" hidden="1">{"Income",#N/A,FALSE,"Recap IS"}</definedName>
    <definedName name="wrn.Income._1_4_1_1" hidden="1">{"Income",#N/A,FALSE,"Recap IS"}</definedName>
    <definedName name="wrn.Income._1_4_1_2" hidden="1">{"Income",#N/A,FALSE,"Recap IS"}</definedName>
    <definedName name="wrn.Income._1_4_2" hidden="1">{"Income",#N/A,FALSE,"Recap IS"}</definedName>
    <definedName name="wrn.Income._1_4_2_1" hidden="1">{"Income",#N/A,FALSE,"Recap IS"}</definedName>
    <definedName name="wrn.Income._1_4_2_2" hidden="1">{"Income",#N/A,FALSE,"Recap IS"}</definedName>
    <definedName name="wrn.Income._1_4_3" hidden="1">{"Income",#N/A,FALSE,"Recap IS"}</definedName>
    <definedName name="wrn.Income._1_4_4" hidden="1">{"Income",#N/A,FALSE,"Recap IS"}</definedName>
    <definedName name="wrn.Income._1_5" hidden="1">{"Income",#N/A,FALSE,"Recap IS"}</definedName>
    <definedName name="wrn.Income._1_5_1" hidden="1">{"Income",#N/A,FALSE,"Recap IS"}</definedName>
    <definedName name="wrn.Income._1_5_1_1" hidden="1">{"Income",#N/A,FALSE,"Recap IS"}</definedName>
    <definedName name="wrn.Income._1_5_1_2" hidden="1">{"Income",#N/A,FALSE,"Recap IS"}</definedName>
    <definedName name="wrn.Income._1_5_2" hidden="1">{"Income",#N/A,FALSE,"Recap IS"}</definedName>
    <definedName name="wrn.Income._1_5_2_1" hidden="1">{"Income",#N/A,FALSE,"Recap IS"}</definedName>
    <definedName name="wrn.Income._1_5_2_2" hidden="1">{"Income",#N/A,FALSE,"Recap IS"}</definedName>
    <definedName name="wrn.Income._1_5_3" hidden="1">{"Income",#N/A,FALSE,"Recap IS"}</definedName>
    <definedName name="wrn.Income._1_5_4" hidden="1">{"Income",#N/A,FALSE,"Recap IS"}</definedName>
    <definedName name="wrn.Income._2" hidden="1">{"Income",#N/A,FALSE,"Recap IS"}</definedName>
    <definedName name="wrn.Income._2_1" hidden="1">{"Income",#N/A,FALSE,"Recap IS"}</definedName>
    <definedName name="wrn.Income._2_1_1" hidden="1">{"Income",#N/A,FALSE,"Recap IS"}</definedName>
    <definedName name="wrn.Income._2_1_1_1" hidden="1">{"Income",#N/A,FALSE,"Recap IS"}</definedName>
    <definedName name="wrn.Income._2_1_1_2" hidden="1">{"Income",#N/A,FALSE,"Recap IS"}</definedName>
    <definedName name="wrn.Income._2_1_2" hidden="1">{"Income",#N/A,FALSE,"Recap IS"}</definedName>
    <definedName name="wrn.Income._2_1_2_1" hidden="1">{"Income",#N/A,FALSE,"Recap IS"}</definedName>
    <definedName name="wrn.Income._2_1_2_2" hidden="1">{"Income",#N/A,FALSE,"Recap IS"}</definedName>
    <definedName name="wrn.Income._2_1_3" hidden="1">{"Income",#N/A,FALSE,"Recap IS"}</definedName>
    <definedName name="wrn.Income._2_1_4" hidden="1">{"Income",#N/A,FALSE,"Recap IS"}</definedName>
    <definedName name="wrn.Income._2_2" hidden="1">{"Income",#N/A,FALSE,"Recap IS"}</definedName>
    <definedName name="wrn.Income._2_2_1" hidden="1">{"Income",#N/A,FALSE,"Recap IS"}</definedName>
    <definedName name="wrn.Income._2_2_1_1" hidden="1">{"Income",#N/A,FALSE,"Recap IS"}</definedName>
    <definedName name="wrn.Income._2_2_1_2" hidden="1">{"Income",#N/A,FALSE,"Recap IS"}</definedName>
    <definedName name="wrn.Income._2_2_2" hidden="1">{"Income",#N/A,FALSE,"Recap IS"}</definedName>
    <definedName name="wrn.Income._2_2_2_1" hidden="1">{"Income",#N/A,FALSE,"Recap IS"}</definedName>
    <definedName name="wrn.Income._2_2_2_2" hidden="1">{"Income",#N/A,FALSE,"Recap IS"}</definedName>
    <definedName name="wrn.Income._2_2_3" hidden="1">{"Income",#N/A,FALSE,"Recap IS"}</definedName>
    <definedName name="wrn.Income._2_2_4" hidden="1">{"Income",#N/A,FALSE,"Recap IS"}</definedName>
    <definedName name="wrn.Income._2_3" hidden="1">{"Income",#N/A,FALSE,"Recap IS"}</definedName>
    <definedName name="wrn.Income._2_3_1" hidden="1">{"Income",#N/A,FALSE,"Recap IS"}</definedName>
    <definedName name="wrn.Income._2_3_1_1" hidden="1">{"Income",#N/A,FALSE,"Recap IS"}</definedName>
    <definedName name="wrn.Income._2_3_1_2" hidden="1">{"Income",#N/A,FALSE,"Recap IS"}</definedName>
    <definedName name="wrn.Income._2_3_2" hidden="1">{"Income",#N/A,FALSE,"Recap IS"}</definedName>
    <definedName name="wrn.Income._2_3_2_1" hidden="1">{"Income",#N/A,FALSE,"Recap IS"}</definedName>
    <definedName name="wrn.Income._2_3_2_2" hidden="1">{"Income",#N/A,FALSE,"Recap IS"}</definedName>
    <definedName name="wrn.Income._2_3_3" hidden="1">{"Income",#N/A,FALSE,"Recap IS"}</definedName>
    <definedName name="wrn.Income._2_3_4" hidden="1">{"Income",#N/A,FALSE,"Recap IS"}</definedName>
    <definedName name="wrn.Income._2_4" hidden="1">{"Income",#N/A,FALSE,"Recap IS"}</definedName>
    <definedName name="wrn.Income._2_4_1" hidden="1">{"Income",#N/A,FALSE,"Recap IS"}</definedName>
    <definedName name="wrn.Income._2_4_1_1" hidden="1">{"Income",#N/A,FALSE,"Recap IS"}</definedName>
    <definedName name="wrn.Income._2_4_1_2" hidden="1">{"Income",#N/A,FALSE,"Recap IS"}</definedName>
    <definedName name="wrn.Income._2_4_2" hidden="1">{"Income",#N/A,FALSE,"Recap IS"}</definedName>
    <definedName name="wrn.Income._2_4_2_1" hidden="1">{"Income",#N/A,FALSE,"Recap IS"}</definedName>
    <definedName name="wrn.Income._2_4_2_2" hidden="1">{"Income",#N/A,FALSE,"Recap IS"}</definedName>
    <definedName name="wrn.Income._2_4_3" hidden="1">{"Income",#N/A,FALSE,"Recap IS"}</definedName>
    <definedName name="wrn.Income._2_4_4" hidden="1">{"Income",#N/A,FALSE,"Recap IS"}</definedName>
    <definedName name="wrn.Income._2_5" hidden="1">{"Income",#N/A,FALSE,"Recap IS"}</definedName>
    <definedName name="wrn.Income._2_5_1" hidden="1">{"Income",#N/A,FALSE,"Recap IS"}</definedName>
    <definedName name="wrn.Income._2_5_1_1" hidden="1">{"Income",#N/A,FALSE,"Recap IS"}</definedName>
    <definedName name="wrn.Income._2_5_1_2" hidden="1">{"Income",#N/A,FALSE,"Recap IS"}</definedName>
    <definedName name="wrn.Income._2_5_2" hidden="1">{"Income",#N/A,FALSE,"Recap IS"}</definedName>
    <definedName name="wrn.Income._2_5_2_1" hidden="1">{"Income",#N/A,FALSE,"Recap IS"}</definedName>
    <definedName name="wrn.Income._2_5_2_2" hidden="1">{"Income",#N/A,FALSE,"Recap IS"}</definedName>
    <definedName name="wrn.Income._2_5_3" hidden="1">{"Income",#N/A,FALSE,"Recap IS"}</definedName>
    <definedName name="wrn.Income._2_5_4" hidden="1">{"Income",#N/A,FALSE,"Recap IS"}</definedName>
    <definedName name="wrn.Income._3" hidden="1">{"Income",#N/A,FALSE,"Recap IS"}</definedName>
    <definedName name="wrn.Income._3_1" hidden="1">{"Income",#N/A,FALSE,"Recap IS"}</definedName>
    <definedName name="wrn.Income._3_1_1" hidden="1">{"Income",#N/A,FALSE,"Recap IS"}</definedName>
    <definedName name="wrn.Income._3_1_1_1" hidden="1">{"Income",#N/A,FALSE,"Recap IS"}</definedName>
    <definedName name="wrn.Income._3_1_1_2" hidden="1">{"Income",#N/A,FALSE,"Recap IS"}</definedName>
    <definedName name="wrn.Income._3_1_2" hidden="1">{"Income",#N/A,FALSE,"Recap IS"}</definedName>
    <definedName name="wrn.Income._3_1_2_1" hidden="1">{"Income",#N/A,FALSE,"Recap IS"}</definedName>
    <definedName name="wrn.Income._3_1_2_2" hidden="1">{"Income",#N/A,FALSE,"Recap IS"}</definedName>
    <definedName name="wrn.Income._3_1_3" hidden="1">{"Income",#N/A,FALSE,"Recap IS"}</definedName>
    <definedName name="wrn.Income._3_1_4" hidden="1">{"Income",#N/A,FALSE,"Recap IS"}</definedName>
    <definedName name="wrn.Income._3_2" hidden="1">{"Income",#N/A,FALSE,"Recap IS"}</definedName>
    <definedName name="wrn.Income._3_2_1" hidden="1">{"Income",#N/A,FALSE,"Recap IS"}</definedName>
    <definedName name="wrn.Income._3_2_1_1" hidden="1">{"Income",#N/A,FALSE,"Recap IS"}</definedName>
    <definedName name="wrn.Income._3_2_1_2" hidden="1">{"Income",#N/A,FALSE,"Recap IS"}</definedName>
    <definedName name="wrn.Income._3_2_2" hidden="1">{"Income",#N/A,FALSE,"Recap IS"}</definedName>
    <definedName name="wrn.Income._3_2_2_1" hidden="1">{"Income",#N/A,FALSE,"Recap IS"}</definedName>
    <definedName name="wrn.Income._3_2_2_2" hidden="1">{"Income",#N/A,FALSE,"Recap IS"}</definedName>
    <definedName name="wrn.Income._3_2_3" hidden="1">{"Income",#N/A,FALSE,"Recap IS"}</definedName>
    <definedName name="wrn.Income._3_2_4" hidden="1">{"Income",#N/A,FALSE,"Recap IS"}</definedName>
    <definedName name="wrn.Income._3_3" hidden="1">{"Income",#N/A,FALSE,"Recap IS"}</definedName>
    <definedName name="wrn.Income._3_3_1" hidden="1">{"Income",#N/A,FALSE,"Recap IS"}</definedName>
    <definedName name="wrn.Income._3_3_1_1" hidden="1">{"Income",#N/A,FALSE,"Recap IS"}</definedName>
    <definedName name="wrn.Income._3_3_1_2" hidden="1">{"Income",#N/A,FALSE,"Recap IS"}</definedName>
    <definedName name="wrn.Income._3_3_2" hidden="1">{"Income",#N/A,FALSE,"Recap IS"}</definedName>
    <definedName name="wrn.Income._3_3_2_1" hidden="1">{"Income",#N/A,FALSE,"Recap IS"}</definedName>
    <definedName name="wrn.Income._3_3_2_2" hidden="1">{"Income",#N/A,FALSE,"Recap IS"}</definedName>
    <definedName name="wrn.Income._3_3_3" hidden="1">{"Income",#N/A,FALSE,"Recap IS"}</definedName>
    <definedName name="wrn.Income._3_3_4" hidden="1">{"Income",#N/A,FALSE,"Recap IS"}</definedName>
    <definedName name="wrn.Income._3_4" hidden="1">{"Income",#N/A,FALSE,"Recap IS"}</definedName>
    <definedName name="wrn.Income._3_4_1" hidden="1">{"Income",#N/A,FALSE,"Recap IS"}</definedName>
    <definedName name="wrn.Income._3_4_1_1" hidden="1">{"Income",#N/A,FALSE,"Recap IS"}</definedName>
    <definedName name="wrn.Income._3_4_1_2" hidden="1">{"Income",#N/A,FALSE,"Recap IS"}</definedName>
    <definedName name="wrn.Income._3_4_2" hidden="1">{"Income",#N/A,FALSE,"Recap IS"}</definedName>
    <definedName name="wrn.Income._3_4_2_1" hidden="1">{"Income",#N/A,FALSE,"Recap IS"}</definedName>
    <definedName name="wrn.Income._3_4_2_2" hidden="1">{"Income",#N/A,FALSE,"Recap IS"}</definedName>
    <definedName name="wrn.Income._3_4_3" hidden="1">{"Income",#N/A,FALSE,"Recap IS"}</definedName>
    <definedName name="wrn.Income._3_4_4" hidden="1">{"Income",#N/A,FALSE,"Recap IS"}</definedName>
    <definedName name="wrn.Income._3_5" hidden="1">{"Income",#N/A,FALSE,"Recap IS"}</definedName>
    <definedName name="wrn.Income._3_5_1" hidden="1">{"Income",#N/A,FALSE,"Recap IS"}</definedName>
    <definedName name="wrn.Income._3_5_1_1" hidden="1">{"Income",#N/A,FALSE,"Recap IS"}</definedName>
    <definedName name="wrn.Income._3_5_1_2" hidden="1">{"Income",#N/A,FALSE,"Recap IS"}</definedName>
    <definedName name="wrn.Income._3_5_2" hidden="1">{"Income",#N/A,FALSE,"Recap IS"}</definedName>
    <definedName name="wrn.Income._3_5_2_1" hidden="1">{"Income",#N/A,FALSE,"Recap IS"}</definedName>
    <definedName name="wrn.Income._3_5_2_2" hidden="1">{"Income",#N/A,FALSE,"Recap IS"}</definedName>
    <definedName name="wrn.Income._3_5_3" hidden="1">{"Income",#N/A,FALSE,"Recap IS"}</definedName>
    <definedName name="wrn.Income._3_5_4" hidden="1">{"Income",#N/A,FALSE,"Recap IS"}</definedName>
    <definedName name="wrn.Income._4" hidden="1">{"Income",#N/A,FALSE,"Recap IS"}</definedName>
    <definedName name="wrn.Income._4_1" hidden="1">{"Income",#N/A,FALSE,"Recap IS"}</definedName>
    <definedName name="wrn.Income._4_1_1" hidden="1">{"Income",#N/A,FALSE,"Recap IS"}</definedName>
    <definedName name="wrn.Income._4_1_2" hidden="1">{"Income",#N/A,FALSE,"Recap IS"}</definedName>
    <definedName name="wrn.Income._4_2" hidden="1">{"Income",#N/A,FALSE,"Recap IS"}</definedName>
    <definedName name="wrn.Income._4_2_1" hidden="1">{"Income",#N/A,FALSE,"Recap IS"}</definedName>
    <definedName name="wrn.Income._4_2_2" hidden="1">{"Income",#N/A,FALSE,"Recap IS"}</definedName>
    <definedName name="wrn.Income._4_3" hidden="1">{"Income",#N/A,FALSE,"Recap IS"}</definedName>
    <definedName name="wrn.Income._4_4" hidden="1">{"Income",#N/A,FALSE,"Recap IS"}</definedName>
    <definedName name="wrn.Income._5" hidden="1">{"Income",#N/A,FALSE,"Recap IS"}</definedName>
    <definedName name="wrn.Income._5_1" hidden="1">{"Income",#N/A,FALSE,"Recap IS"}</definedName>
    <definedName name="wrn.Income._5_1_1" hidden="1">{"Income",#N/A,FALSE,"Recap IS"}</definedName>
    <definedName name="wrn.Income._5_1_2" hidden="1">{"Income",#N/A,FALSE,"Recap IS"}</definedName>
    <definedName name="wrn.Income._5_2" hidden="1">{"Income",#N/A,FALSE,"Recap IS"}</definedName>
    <definedName name="wrn.Income._5_2_1" hidden="1">{"Income",#N/A,FALSE,"Recap IS"}</definedName>
    <definedName name="wrn.Income._5_2_2" hidden="1">{"Income",#N/A,FALSE,"Recap IS"}</definedName>
    <definedName name="wrn.Income._5_3" hidden="1">{"Income",#N/A,FALSE,"Recap IS"}</definedName>
    <definedName name="wrn.Income._5_4" hidden="1">{"Income",#N/A,FALSE,"Recap IS"}</definedName>
    <definedName name="wrn.incomestmt." localSheetId="8" hidden="1">{"page1",#N/A,FALSE,"MONTHLY_P&amp;L";"page2",#N/A,FALSE,"MONTHLY_P&amp;L";"page1",#N/A,FALSE,"X140withReclasses";"page2",#N/A,FALSE,"X140withReclasses";"page3",#N/A,FALSE,"X140withReclasses";"page1",#N/A,FALSE,"Entities_including_Reclasses";"page2",#N/A,FALSE,"Entities_including_Reclasses";"page3",#N/A,FALSE,"Entities_including_Reclasses"}</definedName>
    <definedName name="wrn.incomestmt." hidden="1">{"page1",#N/A,FALSE,"MONTHLY_P&amp;L";"page2",#N/A,FALSE,"MONTHLY_P&amp;L";"page1",#N/A,FALSE,"X140withReclasses";"page2",#N/A,FALSE,"X140withReclasses";"page3",#N/A,FALSE,"X140withReclasses";"page1",#N/A,FALSE,"Entities_including_Reclasses";"page2",#N/A,FALSE,"Entities_including_Reclasses";"page3",#N/A,FALSE,"Entities_including_Reclasses"}</definedName>
    <definedName name="wrn.INDEPS." localSheetId="8" hidden="1">{"page1",#N/A,FALSE,"TIND_CC1";"page2",#N/A,FALSE,"TIND_CC1";"page3",#N/A,FALSE,"TIND_CC1";"page4",#N/A,FALSE,"TIND_CC1";"page5",#N/A,FALSE,"TIND_CC1"}</definedName>
    <definedName name="wrn.INDEPS." hidden="1">{"page1",#N/A,FALSE,"TIND_CC1";"page2",#N/A,FALSE,"TIND_CC1";"page3",#N/A,FALSE,"TIND_CC1";"page4",#N/A,FALSE,"TIND_CC1";"page5",#N/A,FALSE,"TIND_CC1"}</definedName>
    <definedName name="wrn.INDICADORES." localSheetId="8" hidden="1">{"PARTE1",#N/A,FALSE,"Plan1"}</definedName>
    <definedName name="wrn.INDICADORES." hidden="1">{"PARTE1",#N/A,FALSE,"Plan1"}</definedName>
    <definedName name="wrn.indices." localSheetId="8" hidden="1">{#N/A,#N/A,FALSE,"GRAFICO";#N/A,#N/A,FALSE,"INDICE 10%";#N/A,#N/A,FALSE,"INDICE 20%"}</definedName>
    <definedName name="wrn.indices." hidden="1">{#N/A,#N/A,FALSE,"GRAFICO";#N/A,#N/A,FALSE,"INDICE 10%";#N/A,#N/A,FALSE,"INDICE 20%"}</definedName>
    <definedName name="wrn.Industry.xls." localSheetId="8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fectious._.Diseases." localSheetId="7" hidden="1">{#N/A,#N/A,FALSE,"Anti";#N/A,#N/A,FALSE,"Cefa";#N/A,#N/A,FALSE,"Ceph";#N/A,#N/A,FALSE,"Cefp";#N/A,#N/A,FALSE,"Cefe";#N/A,#N/A,FALSE,"Pens";#N/A,#N/A,FALSE,"Ampi";#N/A,#N/A,FALSE,"Amox";#N/A,#N/A,FALSE,"Isox";#N/A,#N/A,FALSE,"Aztr";#N/A,#N/A,FALSE,"Videx";#N/A,#N/A,FALSE,"Zerit"}</definedName>
    <definedName name="wrn.Infectious._.Diseases." localSheetId="8" hidden="1">{#N/A,#N/A,FALSE,"Anti";#N/A,#N/A,FALSE,"Cefa";#N/A,#N/A,FALSE,"Ceph";#N/A,#N/A,FALSE,"Cefp";#N/A,#N/A,FALSE,"Cefe";#N/A,#N/A,FALSE,"Pens";#N/A,#N/A,FALSE,"Ampi";#N/A,#N/A,FALSE,"Amox";#N/A,#N/A,FALSE,"Isox";#N/A,#N/A,FALSE,"Aztr";#N/A,#N/A,FALSE,"Videx";#N/A,#N/A,FALSE,"Zerit"}</definedName>
    <definedName name="wrn.Infectious._.Diseases." hidden="1">{#N/A,#N/A,FALSE,"Anti";#N/A,#N/A,FALSE,"Cefa";#N/A,#N/A,FALSE,"Ceph";#N/A,#N/A,FALSE,"Cefp";#N/A,#N/A,FALSE,"Cefe";#N/A,#N/A,FALSE,"Pens";#N/A,#N/A,FALSE,"Ampi";#N/A,#N/A,FALSE,"Amox";#N/A,#N/A,FALSE,"Isox";#N/A,#N/A,FALSE,"Aztr";#N/A,#N/A,FALSE,"Videx";#N/A,#N/A,FALSE,"Zerit"}</definedName>
    <definedName name="wrn.Informe." localSheetId="8" hidden="1">{#N/A,#N/A,FALSE,"Informe1";#N/A,#N/A,FALSE,"Informe2";#N/A,#N/A,FALSE,"Informe3";#N/A,#N/A,FALSE,"Informe5"}</definedName>
    <definedName name="wrn.Informe." hidden="1">{#N/A,#N/A,FALSE,"Informe1";#N/A,#N/A,FALSE,"Informe2";#N/A,#N/A,FALSE,"Informe3";#N/A,#N/A,FALSE,"Informe5"}</definedName>
    <definedName name="wrn.INFORME._.02.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wrn.Informe._.de._.Gestión._.Febrero." localSheetId="7" hidden="1">{"Mes Febrero",#N/A,FALSE,"VENTAS_99";"Acum. Febrero",#N/A,FALSE,"VENTAS_99";"Mes Febrero",#N/A,FALSE,"CTA RES CONSOLID. GRUPO";"Acumulado Febrero",#N/A,FALSE,"CTA RES CONSOLID. GRUPO";"Mes Febrero Cta Res Grupo",#N/A,FALSE,"CTA RES GRUPO";"Acum. Febrero Cta Res Grupo",#N/A,FALSE,"CTA RES GRUPO"}</definedName>
    <definedName name="wrn.Informe._.de._.Gestión._.Febrero." localSheetId="8" hidden="1">{"Mes Febrero",#N/A,FALSE,"VENTAS_99";"Acum. Febrero",#N/A,FALSE,"VENTAS_99";"Mes Febrero",#N/A,FALSE,"CTA RES CONSOLID. GRUPO";"Acumulado Febrero",#N/A,FALSE,"CTA RES CONSOLID. GRUPO";"Mes Febrero Cta Res Grupo",#N/A,FALSE,"CTA RES GRUPO";"Acum. Febrero Cta Res Grupo",#N/A,FALSE,"CTA RES GRUPO"}</definedName>
    <definedName name="wrn.Informe._.de._.Gestión._.Febrero." hidden="1">{"Mes Febrero",#N/A,FALSE,"VENTAS_99";"Acum. Febrero",#N/A,FALSE,"VENTAS_99";"Mes Febrero",#N/A,FALSE,"CTA RES CONSOLID. GRUPO";"Acumulado Febrero",#N/A,FALSE,"CTA RES CONSOLID. GRUPO";"Mes Febrero Cta Res Grupo",#N/A,FALSE,"CTA RES GRUPO";"Acum. Febrero Cta Res Grupo",#N/A,FALSE,"CTA RES GRUPO"}</definedName>
    <definedName name="wrn.Informe._.de._.Gestión._.Febrero._1" localSheetId="8" hidden="1">{"Mes Febrero",#N/A,FALSE,"VENTAS_99";"Acum. Febrero",#N/A,FALSE,"VENTAS_99";"Mes Febrero",#N/A,FALSE,"CTA RES CONSOLID. GRUPO";"Acumulado Febrero",#N/A,FALSE,"CTA RES CONSOLID. GRUPO";"Mes Febrero Cta Res Grupo",#N/A,FALSE,"CTA RES GRUPO";"Acum. Febrero Cta Res Grupo",#N/A,FALSE,"CTA RES GRUPO"}</definedName>
    <definedName name="wrn.Informe._.de._.Gestión._.Febrero._1" hidden="1">{"Mes Febrero",#N/A,FALSE,"VENTAS_99";"Acum. Febrero",#N/A,FALSE,"VENTAS_99";"Mes Febrero",#N/A,FALSE,"CTA RES CONSOLID. GRUPO";"Acumulado Febrero",#N/A,FALSE,"CTA RES CONSOLID. GRUPO";"Mes Febrero Cta Res Grupo",#N/A,FALSE,"CTA RES GRUPO";"Acum. Febrero Cta Res Grupo",#N/A,FALSE,"CTA RES GRUPO"}</definedName>
    <definedName name="wrn.Informe._.de._.Gestión._.Marzo." localSheetId="7" hidden="1">{"Mes Marzo",#N/A,FALSE,"VENTAS 99";"Acum. Marzo",#N/A,FALSE,"VENTAS 99"}</definedName>
    <definedName name="wrn.Informe._.de._.Gestión._.Marzo." localSheetId="8" hidden="1">{"Mes Marzo",#N/A,FALSE,"VENTAS 99";"Acum. Marzo",#N/A,FALSE,"VENTAS 99"}</definedName>
    <definedName name="wrn.Informe._.de._.Gestión._.Marzo." hidden="1">{"Mes Marzo",#N/A,FALSE,"VENTAS 99";"Acum. Marzo",#N/A,FALSE,"VENTAS 99"}</definedName>
    <definedName name="wrn.Informe._.de._.Gestión._.Marzo._1" localSheetId="8" hidden="1">{"Mes Marzo",#N/A,FALSE,"VENTAS 99";"Acum. Marzo",#N/A,FALSE,"VENTAS 99"}</definedName>
    <definedName name="wrn.Informe._.de._.Gestión._.Marzo._1" hidden="1">{"Mes Marzo",#N/A,FALSE,"VENTAS 99";"Acum. Marzo",#N/A,FALSE,"VENTAS 99"}</definedName>
    <definedName name="wrn.INFORME._.MENSUAL." localSheetId="8" hidden="1">{"SITUACION GLOBAL",#N/A,FALSE,"FEBRERO";"ALTAS Y BAJAS",#N/A,FALSE,"FEBRERO";"EVOLUCION COMERCIAL",#N/A,FALSE,"FEBRERO";"LOCALES VACIOS",#N/A,FALSE,"FEBRERO";"FACTURACION",#N/A,FALSE,"FEBRERO";"FACTURACION Y GRAFICO",#N/A,FALSE,"FEBRERO";"PENDIENTE DE COBRO",#N/A,FALSE,"FEBRERO";"PENDIENTE DE COBRO 2",#N/A,FALSE,"FEBRERO";"PATRIMONIAL 1",#N/A,FALSE,"FEBRERO";"PATRIMONIAL 2",#N/A,FALSE,"FEBRERO";"RESUMEN",#N/A,FALSE,"FEBRERO"}</definedName>
    <definedName name="wrn.Informe._.mensual." hidden="1">{#N/A,#N/A,FALSE,"Carátula Rtados. Gestión (2)";#N/A,#N/A,FALSE,"Carátula EE.FF.  (1)";#N/A,#N/A,FALSE,"Gestión Marzo'98 Abv (3)";#N/A,#N/A,FALSE,"Rtdos. Cías. 97 - 98 (4)";#N/A,#N/A,FALSE,"Resultados Gestión Marzo'98 (5)";#N/A,#N/A,FALSE,"Carátula Rtados. Margenes (6)";#N/A,#N/A,FALSE,"Márgenes Marzo'98 Abv. (7)";#N/A,#N/A,FALSE,"Carátula Balance  (8)";#N/A,#N/A,FALSE,"B. P. Equivalencia Marzo'98 (9)";#N/A,#N/A,FALSE,"Carátula Balance  (10)";#N/A,#N/A,FALSE,"B. Consolidado Marzo'98 (11)";#N/A,#N/A,FALSE,"Márgenes Marzo'98 (12)"}</definedName>
    <definedName name="wrn.INFORME._.NOVIEMBRE." hidden="1">{#N/A,#N/A,FALSE,"P_11_P1";#N/A,#N/A,FALSE,"P_11_P2";#N/A,#N/A,FALSE,"P_11_P3";#N/A,#N/A,FALSE,"Resultados_11_P";#N/A,#N/A,FALSE,"CTC_11_P";#N/A,#N/A,FALSE,"TASA_11_P";#N/A,#N/A,FALSE,"TPerú_11_P";#N/A,#N/A,FALSE,"CANTV_11_P";#N/A,#N/A,FALSE,"TLD_11_P";#N/A,#N/A,FALSE,"ROMANIA_11_P";#N/A,#N/A,FALSE,"RESTO_11_P";#N/A,#N/A,FALSE,"Gerenciamiento_11_P";#N/A,#N/A,FALSE,"Financiero_11_P";#N/A,#N/A,FALSE,"Estructura_11_P";#N/A,#N/A,FALSE,"Desinv_11_P";#N/A,#N/A,FALSE,"FComercio_11_P"}</definedName>
    <definedName name="wrn.INFORME._.PPTO97." hidden="1">{#N/A,#N/A,FALSE,"P_97Ppto";#N/A,#N/A,FALSE,"Resultados_97Ppto";#N/A,#N/A,FALSE,"CTC_97Ppt";#N/A,#N/A,FALSE,"TASA_97Ppt";#N/A,#N/A,FALSE,"PERU_97Ppt";#N/A,#N/A,FALSE,"CANTV_97Ppt";#N/A,#N/A,FALSE,"TLD_97Ppt";#N/A,#N/A,FALSE,"ROMANIA_97Ppt";#N/A,#N/A,FALSE,"RParticipadas_97Ppt";#N/A,#N/A,FALSE,"Gerenciamiento_97Ppt";#N/A,#N/A,FALSE,"Financiero_97Ppt";#N/A,#N/A,FALSE,"Estructura_97Ppt";#N/A,#N/A,FALSE,"INetos_97Ppt";#N/A,#N/A,FALSE,"Desinv_97Ppt";#N/A,#N/A,FALSE,"FComercio_97Ppt"}</definedName>
    <definedName name="wrn.Informe._.RLI." localSheetId="8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wrn.Informe._.RLI.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wrn.INFORME._.SEPA_P." hidden="1">{#N/A,#N/A,FALSE,"PR_09_P";#N/A,#N/A,FALSE,"P_09_P3";#N/A,#N/A,FALSE,"PR_09_P1";#N/A,#N/A,FALSE,"Res_márgenes_09_P";#N/A,#N/A,FALSE,"PR_09";#N/A,#N/A,FALSE,"Resultados_09_P";#N/A,#N/A,FALSE,"Pbeneficios_09_P";#N/A,#N/A,FALSE,"CTC_09_P";#N/A,#N/A,FALSE,"TASA_09_P";#N/A,#N/A,FALSE,"TPerú_09_P";#N/A,#N/A,FALSE,"CANTV_09_P";#N/A,#N/A,FALSE,"TLD_09_P";#N/A,#N/A,FALSE,"RUMANIA_09_P";#N/A,#N/A,FALSE,"Gerenciamiento_09_P";#N/A,#N/A,FALSE,"Financiero_09_P";#N/A,#N/A,FALSE,"Estructura_09_P";#N/A,#N/A,FALSE,"Desinv_09_P";#N/A,#N/A,FALSE,"FComercio_09_P"}</definedName>
    <definedName name="wrn.INFORME1." localSheetId="8" hidden="1">{#N/A,#N/A,FALSE,"Principal"}</definedName>
    <definedName name="wrn.INFORME1." hidden="1">{#N/A,#N/A,FALSE,"Principal"}</definedName>
    <definedName name="wrn.Informes." localSheetId="7" hidden="1">{#N/A,#N/A,FALSE,"CN Oficial RESUMIDA EXCanon";#N/A,#N/A,FALSE,"CN Oficial";#N/A,#N/A,FALSE,"CA Oficial";#N/A,#N/A,FALSE,"PLANTILLA";#N/A,#N/A,FALSE,"BAL";#N/A,#N/A,FALSE,"PT_Finanzas";#N/A,#N/A,FALSE,"INVERSIONES BIEN"}</definedName>
    <definedName name="wrn.Informes." localSheetId="8" hidden="1">{#N/A,#N/A,FALSE,"CN Oficial RESUMIDA EXCanon";#N/A,#N/A,FALSE,"CN Oficial";#N/A,#N/A,FALSE,"CA Oficial";#N/A,#N/A,FALSE,"PLANTILLA";#N/A,#N/A,FALSE,"BAL";#N/A,#N/A,FALSE,"PT_Finanzas";#N/A,#N/A,FALSE,"INVERSIONES BIEN"}</definedName>
    <definedName name="wrn.Informes." hidden="1">{#N/A,#N/A,FALSE,"CN Oficial RESUMIDA EXCanon";#N/A,#N/A,FALSE,"CN Oficial";#N/A,#N/A,FALSE,"CA Oficial";#N/A,#N/A,FALSE,"PLANTILLA";#N/A,#N/A,FALSE,"BAL";#N/A,#N/A,FALSE,"PT_Finanzas";#N/A,#N/A,FALSE,"INVERSIONES BIEN"}</definedName>
    <definedName name="wrn.Informes._1" localSheetId="7" hidden="1">{#N/A,#N/A,FALSE,"CN Oficial RESUMIDA EXCanon";#N/A,#N/A,FALSE,"CN Oficial";#N/A,#N/A,FALSE,"CA Oficial";#N/A,#N/A,FALSE,"PLANTILLA";#N/A,#N/A,FALSE,"BAL";#N/A,#N/A,FALSE,"PT_Finanzas";#N/A,#N/A,FALSE,"INVERSIONES BIEN"}</definedName>
    <definedName name="wrn.Informes._1" localSheetId="8" hidden="1">{#N/A,#N/A,FALSE,"CN Oficial RESUMIDA EXCanon";#N/A,#N/A,FALSE,"CN Oficial";#N/A,#N/A,FALSE,"CA Oficial";#N/A,#N/A,FALSE,"PLANTILLA";#N/A,#N/A,FALSE,"BAL";#N/A,#N/A,FALSE,"PT_Finanzas";#N/A,#N/A,FALSE,"INVERSIONES BIEN"}</definedName>
    <definedName name="wrn.Informes._1" hidden="1">{#N/A,#N/A,FALSE,"CN Oficial RESUMIDA EXCanon";#N/A,#N/A,FALSE,"CN Oficial";#N/A,#N/A,FALSE,"CA Oficial";#N/A,#N/A,FALSE,"PLANTILLA";#N/A,#N/A,FALSE,"BAL";#N/A,#N/A,FALSE,"PT_Finanzas";#N/A,#N/A,FALSE,"INVERSIONES BIEN"}</definedName>
    <definedName name="wrn.ingresos." localSheetId="8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rn.ingresos.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rn.Iniciativas._.CR." hidden="1">{#N/A,#N/A,FALSE,"Resumen Proyectos"}</definedName>
    <definedName name="wrn.input" localSheetId="8" hidden="1">{#N/A,#N/A,TRUE,"Assumptions";"Inputs",#N/A,TRUE,"BASEINPUT";"HoursPay",#N/A,TRUE,"pay_non pay input";"ResourceNonPay",#N/A,TRUE,"pay_non pay input";"CapitalInput",#N/A,TRUE,"Equipt Input";"CurrEqptInput",#N/A,TRUE,"Equipt Input";"TPNwks",#N/A,TRUE,"Nwks Input";"BTNwks",#N/A,TRUE,"Nwks Input";"Miscellaneous",#N/A,TRUE,"Misc."}</definedName>
    <definedName name="wrn.input" hidden="1">{#N/A,#N/A,TRUE,"Assumptions";"Inputs",#N/A,TRUE,"BASEINPUT";"HoursPay",#N/A,TRUE,"pay_non pay input";"ResourceNonPay",#N/A,TRUE,"pay_non pay input";"CapitalInput",#N/A,TRUE,"Equipt Input";"CurrEqptInput",#N/A,TRUE,"Equipt Input";"TPNwks",#N/A,TRUE,"Nwks Input";"BTNwks",#N/A,TRUE,"Nwks Input";"Miscellaneous",#N/A,TRUE,"Misc."}</definedName>
    <definedName name="wrn.INPUT." localSheetId="8" hidden="1">{"Aa",#N/A,FALSE,"A";"Ba",#N/A,FALSE,"B";"Ca",#N/A,FALSE,"C";"Cb",#N/A,FALSE,"C";"Cc",#N/A,FALSE,"C";"Cd",#N/A,FALSE,"C";"Ce",#N/A,FALSE,"C";"Da",#N/A,FALSE,"D";"Ea",#N/A,FALSE,"E";"Fa",#N/A,FALSE,"F";"Fb",#N/A,FALSE,"F";"Ga",#N/A,FALSE,"G";"Ha",#N/A,FALSE,"H";"Hb",#N/A,FALSE,"H";"Hc",#N/A,FALSE,"H";"Ia",#N/A,FALSE,"I";"Ib",#N/A,FALSE,"I";"Ja",#N/A,FALSE,"J";"Ka",#N/A,FALSE,"K"}</definedName>
    <definedName name="wrn.INPUT." hidden="1">{"Aa",#N/A,FALSE,"A";"Ba",#N/A,FALSE,"B";"Ca",#N/A,FALSE,"C";"Cb",#N/A,FALSE,"C";"Cc",#N/A,FALSE,"C";"Cd",#N/A,FALSE,"C";"Ce",#N/A,FALSE,"C";"Da",#N/A,FALSE,"D";"Ea",#N/A,FALSE,"E";"Fa",#N/A,FALSE,"F";"Fb",#N/A,FALSE,"F";"Ga",#N/A,FALSE,"G";"Ha",#N/A,FALSE,"H";"Hb",#N/A,FALSE,"H";"Hc",#N/A,FALSE,"H";"Ia",#N/A,FALSE,"I";"Ib",#N/A,FALSE,"I";"Ja",#N/A,FALSE,"J";"Ka",#N/A,FALSE,"K"}</definedName>
    <definedName name="wrn.input._.partes." hidden="1">{"partes",#N/A,FALSE,"DISTRIB. modelo (2)"}</definedName>
    <definedName name="wrn.Input._.Screen." localSheetId="8" hidden="1">{#N/A,#N/A,FALSE,"Input"}</definedName>
    <definedName name="wrn.Input._.Screen." hidden="1">{#N/A,#N/A,FALSE,"Input"}</definedName>
    <definedName name="wrn.input._.sheet." hidden="1">{#N/A,#N/A,FALSE,"TICKERS INPUT SHEET"}</definedName>
    <definedName name="wrn.INPUTA." localSheetId="8" hidden="1">{"Aa",#N/A,FALSE,"A"}</definedName>
    <definedName name="wrn.INPUTA." hidden="1">{"Aa",#N/A,FALSE,"A"}</definedName>
    <definedName name="wrn.INPUTB." localSheetId="8" hidden="1">{"Ba",#N/A,FALSE,"B"}</definedName>
    <definedName name="wrn.INPUTB." hidden="1">{"Ba",#N/A,FALSE,"B"}</definedName>
    <definedName name="wrn.INPUTC." localSheetId="8" hidden="1">{"Ca",#N/A,FALSE,"C";"Cb",#N/A,FALSE,"C";"Cc",#N/A,FALSE,"C";"Cd",#N/A,FALSE,"C";"Ce",#N/A,FALSE,"C"}</definedName>
    <definedName name="wrn.INPUTC." hidden="1">{"Ca",#N/A,FALSE,"C";"Cb",#N/A,FALSE,"C";"Cc",#N/A,FALSE,"C";"Cd",#N/A,FALSE,"C";"Ce",#N/A,FALSE,"C"}</definedName>
    <definedName name="wrn.INPUTD." localSheetId="8" hidden="1">{"Da",#N/A,FALSE,"D"}</definedName>
    <definedName name="wrn.INPUTD." hidden="1">{"Da",#N/A,FALSE,"D"}</definedName>
    <definedName name="wrn.INPUTE." localSheetId="8" hidden="1">{"Ea",#N/A,FALSE,"E"}</definedName>
    <definedName name="wrn.INPUTE." hidden="1">{"Ea",#N/A,FALSE,"E"}</definedName>
    <definedName name="wrn.INPUTF." localSheetId="8" hidden="1">{"Fa",#N/A,FALSE,"F";"Fb",#N/A,FALSE,"F"}</definedName>
    <definedName name="wrn.INPUTF." hidden="1">{"Fa",#N/A,FALSE,"F";"Fb",#N/A,FALSE,"F"}</definedName>
    <definedName name="wrn.INPUTG." localSheetId="8" hidden="1">{"Ga",#N/A,FALSE,"G"}</definedName>
    <definedName name="wrn.INPUTG." hidden="1">{"Ga",#N/A,FALSE,"G"}</definedName>
    <definedName name="wrn.INPUTH." localSheetId="8" hidden="1">{"Ha",#N/A,FALSE,"H";"Hb",#N/A,FALSE,"H"}</definedName>
    <definedName name="wrn.INPUTH." hidden="1">{"Ha",#N/A,FALSE,"H";"Hb",#N/A,FALSE,"H"}</definedName>
    <definedName name="wrn.INPUTI." localSheetId="8" hidden="1">{"Ia",#N/A,FALSE,"I";"Ib",#N/A,FALSE,"I"}</definedName>
    <definedName name="wrn.INPUTI." hidden="1">{"Ia",#N/A,FALSE,"I";"Ib",#N/A,FALSE,"I"}</definedName>
    <definedName name="wrn.INPUTJ." localSheetId="8" hidden="1">{"Ja",#N/A,FALSE,"J"}</definedName>
    <definedName name="wrn.INPUTJ." hidden="1">{"Ja",#N/A,FALSE,"J"}</definedName>
    <definedName name="wrn.INPUTK." localSheetId="8" hidden="1">{"Ka",#N/A,FALSE,"K"}</definedName>
    <definedName name="wrn.INPUTK." hidden="1">{"Ka",#N/A,FALSE,"K"}</definedName>
    <definedName name="wrn.Inputs." localSheetId="8" hidden="1">{#N/A,#N/A,TRUE,"Assumptions";"Inputs",#N/A,TRUE,"BASEINPUT";"HoursPay",#N/A,TRUE,"pay_non pay input";"ResourceNonPay",#N/A,TRUE,"pay_non pay input";"CapitalInput",#N/A,TRUE,"Equipt Input";"CurrEqptInput",#N/A,TRUE,"Equipt Input";"TPNwks",#N/A,TRUE,"Nwks Input";"BTNwks",#N/A,TRUE,"Nwks Input";"Miscellaneous",#N/A,TRUE,"Misc."}</definedName>
    <definedName name="wrn.Inputs." hidden="1">{#N/A,#N/A,TRUE,"Assumptions";"Inputs",#N/A,TRUE,"BASEINPUT";"HoursPay",#N/A,TRUE,"pay_non pay input";"ResourceNonPay",#N/A,TRUE,"pay_non pay input";"CapitalInput",#N/A,TRUE,"Equipt Input";"CurrEqptInput",#N/A,TRUE,"Equipt Input";"TPNwks",#N/A,TRUE,"Nwks Input";"BTNwks",#N/A,TRUE,"Nwks Input";"Miscellaneous",#N/A,TRUE,"Misc."}</definedName>
    <definedName name="wrn.Inputs._.outputs." localSheetId="8" hidden="1">{"key inputs",#N/A,FALSE,"Key Inputs";"key outputs",#N/A,FALSE,"Outputs";"Other inputs",#N/A,FALSE,"Other Inputs";"cashflow",#N/A,FALSE,"Statemnts"}</definedName>
    <definedName name="wrn.Inputs._.outputs." hidden="1">{"key inputs",#N/A,FALSE,"Key Inputs";"key outputs",#N/A,FALSE,"Outputs";"Other inputs",#N/A,FALSE,"Other Inputs";"cashflow",#N/A,FALSE,"Statemnts"}</definedName>
    <definedName name="wrn.Inputsheet_ProjectInput." localSheetId="8" hidden="1">{"ProjectInput",#N/A,FALSE,"INPUT-AREA"}</definedName>
    <definedName name="wrn.Inputsheet_ProjectInput." hidden="1">{"ProjectInput",#N/A,FALSE,"INPUT-AREA"}</definedName>
    <definedName name="wrn.INS._.BUILD._.MACH." localSheetId="8" hidden="1">{"BUILD_MACHINERIES",#N/A,FALSE,"PREPAID-1"}</definedName>
    <definedName name="wrn.INS._.BUILD._.MACH." hidden="1">{"BUILD_MACHINERIES",#N/A,FALSE,"PREPAID-1"}</definedName>
    <definedName name="wrn.INS._.HOSPITALIZATION." localSheetId="8" hidden="1">{"HOSPITALIZATION",#N/A,FALSE,"PREPAID-1"}</definedName>
    <definedName name="wrn.INS._.HOSPITALIZATION." hidden="1">{"HOSPITALIZATION",#N/A,FALSE,"PREPAID-1"}</definedName>
    <definedName name="wrn.INS._.INVENTORY." localSheetId="8" hidden="1">{"INV_INSURANCE",#N/A,FALSE,"PREPAID-1"}</definedName>
    <definedName name="wrn.INS._.INVENTORY." hidden="1">{"INV_INSURANCE",#N/A,FALSE,"PREPAID-1"}</definedName>
    <definedName name="wrn.INS._.PERS._.ACCD." localSheetId="8" hidden="1">{"PERS_ACCD",#N/A,FALSE,"PREPAID-1"}</definedName>
    <definedName name="wrn.INS._.PERS._.ACCD." hidden="1">{"PERS_ACCD",#N/A,FALSE,"PREPAID-1"}</definedName>
    <definedName name="wrn.integral." localSheetId="8" hidden="1">{#N/A,#N/A,FALSE,"inv";#N/A,#N/A,FALSE,"acq";#N/A,#N/A,FALSE,"desinv";#N/A,#N/A,FALSE,"Mba";#N/A,#N/A,FALSE,"autofi";#N/A,#N/A,FALSE,"Synt"}</definedName>
    <definedName name="wrn.integral." hidden="1">{#N/A,#N/A,FALSE,"inv";#N/A,#N/A,FALSE,"acq";#N/A,#N/A,FALSE,"desinv";#N/A,#N/A,FALSE,"Mba";#N/A,#N/A,FALSE,"autofi";#N/A,#N/A,FALSE,"Synt"}</definedName>
    <definedName name="wrn.Internal._.Detail." localSheetId="8" hidden="1">{"IntDetail",#N/A,FALSE,"Reports";"IntSummary",#N/A,FALSE,"Reports"}</definedName>
    <definedName name="wrn.Internal._.Detail." hidden="1">{"IntDetail",#N/A,FALSE,"Reports";"IntSummary",#N/A,FALSE,"Reports"}</definedName>
    <definedName name="wrn.Internal._.Detail._1" localSheetId="8" hidden="1">{"IntDetail",#N/A,FALSE,"Reports";"IntSummary",#N/A,FALSE,"Reports"}</definedName>
    <definedName name="wrn.Internal._.Detail._1" hidden="1">{"IntDetail",#N/A,FALSE,"Reports";"IntSummary",#N/A,FALSE,"Reports"}</definedName>
    <definedName name="wrn.Internal._.is." localSheetId="8" hidden="1">{"internal is",#N/A,FALSE,"Model"}</definedName>
    <definedName name="wrn.Internal._.is." hidden="1">{"internal is",#N/A,FALSE,"Model"}</definedName>
    <definedName name="wrn.international." localSheetId="7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wrn.international." localSheetId="8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wrn.international.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wrn.International._.Monthly." localSheetId="8" hidden="1">{"incstmtim",#N/A,TRUE,"Inc Stmt (I)";"balshtim",#N/A,TRUE,"Bal Sheet (I)";"scfim",#N/A,TRUE,"Cash Flow (I)";"capsummim",#N/A,TRUE,"Cap Summ (I)";"assumim",#N/A,TRUE,"Assum (I)"}</definedName>
    <definedName name="wrn.International._.Monthly." hidden="1">{"incstmtim",#N/A,TRUE,"Inc Stmt (I)";"balshtim",#N/A,TRUE,"Bal Sheet (I)";"scfim",#N/A,TRUE,"Cash Flow (I)";"capsummim",#N/A,TRUE,"Cap Summ (I)";"assumim",#N/A,TRUE,"Assum (I)"}</definedName>
    <definedName name="wrn.International._.Quarterly." localSheetId="8" hidden="1">{"forecastiq",#N/A,TRUE,"Forecast (I)";"incstmtiq",#N/A,TRUE,"Inc Stmt (I)";"balshtiq",#N/A,TRUE,"Bal Sheet (I)";"scfiq",#N/A,TRUE,"Cash Flow (I)";"incmcfiq",#N/A,TRUE,"Inc mcf (I)";"assumiq",#N/A,TRUE,"Assum (I)"}</definedName>
    <definedName name="wrn.International._.Quarterly." hidden="1">{"forecastiq",#N/A,TRUE,"Forecast (I)";"incstmtiq",#N/A,TRUE,"Inc Stmt (I)";"balshtiq",#N/A,TRUE,"Bal Sheet (I)";"scfiq",#N/A,TRUE,"Cash Flow (I)";"incmcfiq",#N/A,TRUE,"Inc mcf (I)";"assumiq",#N/A,TRUE,"Assum (I)"}</definedName>
    <definedName name="wrn.international._1" localSheetId="8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wrn.international._1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wrn.INTL." localSheetId="8" hidden="1">{#N/A,#N/A,FALSE,"EMEA";#N/A,#N/A,FALSE,"INT'L ROLLUP";#N/A,#N/A,FALSE,"ASIA PACIFIC";#N/A,#N/A,FALSE,"INTL MGMT";#N/A,#N/A,FALSE,"LATIN AMERICA";#N/A,#N/A,FALSE,"CANADA"}</definedName>
    <definedName name="wrn.INTL." hidden="1">{#N/A,#N/A,FALSE,"EMEA";#N/A,#N/A,FALSE,"INT'L ROLLUP";#N/A,#N/A,FALSE,"ASIA PACIFIC";#N/A,#N/A,FALSE,"INTL MGMT";#N/A,#N/A,FALSE,"LATIN AMERICA";#N/A,#N/A,FALSE,"CANADA"}</definedName>
    <definedName name="wrn.Introduction." localSheetId="8" hidden="1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Introduction." hidden="1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Introduction._1" localSheetId="8" hidden="1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Introduction._1" hidden="1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Introduction.1" localSheetId="8" hidden="1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Introduction.1" hidden="1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Introduction.1_1" localSheetId="8" hidden="1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Introduction.1_1" hidden="1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Inventories." localSheetId="8" hidden="1">{#N/A,#N/A,FALSE,"Presentation by Unit";#N/A,#N/A,FALSE,"Presentation by BD";#N/A,#N/A,FALSE,"Presentation Split by Biggest U";#N/A,#N/A,FALSE,"Presentation Split by Area";#N/A,#N/A,FALSE,"Presentation Split by BD"}</definedName>
    <definedName name="wrn.Inventories." hidden="1">{#N/A,#N/A,FALSE,"Presentation by Unit";#N/A,#N/A,FALSE,"Presentation by BD";#N/A,#N/A,FALSE,"Presentation Split by Biggest U";#N/A,#N/A,FALSE,"Presentation Split by Area";#N/A,#N/A,FALSE,"Presentation Split by BD"}</definedName>
    <definedName name="wrn.Inventories._1" localSheetId="8" hidden="1">{#N/A,#N/A,FALSE,"Presentation by Unit";#N/A,#N/A,FALSE,"Presentation by BD";#N/A,#N/A,FALSE,"Presentation Split by Biggest U";#N/A,#N/A,FALSE,"Presentation Split by Area";#N/A,#N/A,FALSE,"Presentation Split by BD"}</definedName>
    <definedName name="wrn.Inventories._1" hidden="1">{#N/A,#N/A,FALSE,"Presentation by Unit";#N/A,#N/A,FALSE,"Presentation by BD";#N/A,#N/A,FALSE,"Presentation Split by Biggest U";#N/A,#N/A,FALSE,"Presentation Split by Area";#N/A,#N/A,FALSE,"Presentation Split by BD"}</definedName>
    <definedName name="wrn.INVERSIONES._.CREDITICIAS." localSheetId="8" hidden="1">{#N/A,#N/A,FALSE,"1 INVERS.";#N/A,#N/A,FALSE,"2 INVERS.";#N/A,#N/A,FALSE,"AJUSTADO"}</definedName>
    <definedName name="wrn.INVERSIONES._.CREDITICIAS." hidden="1">{#N/A,#N/A,FALSE,"1 INVERS.";#N/A,#N/A,FALSE,"2 INVERS.";#N/A,#N/A,FALSE,"AJUSTADO"}</definedName>
    <definedName name="wrn.IPO._.Valuation." localSheetId="8" hidden="1">{"assumptions",#N/A,FALSE,"Scenario 1";"valuation",#N/A,FALSE,"Scenario 1"}</definedName>
    <definedName name="wrn.IPO._.Valuation." hidden="1">{"assumptions",#N/A,FALSE,"Scenario 1";"valuation",#N/A,FALSE,"Scenario 1"}</definedName>
    <definedName name="wrn.IQRCGMES.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wrn.IS_EXec_New." localSheetId="8" hidden="1">{"IS_LCL_NEW",#N/A,FALSE,"IS_New";"IS_MV",#N/A,FALSE,"IS_New";"IS_PRO_TV_2",#N/A,FALSE,"IS_New";"IS_NWR_NEW",#N/A,FALSE,"IS_New";"IS_PRO_CSC",#N/A,FALSE,"IS_New";"IS_PRO_INFO",#N/A,FALSE,"IS_New";"IS_VV",#N/A,FALSE,"IS_New"}</definedName>
    <definedName name="wrn.IS_EXec_New." hidden="1">{"IS_LCL_NEW",#N/A,FALSE,"IS_New";"IS_MV",#N/A,FALSE,"IS_New";"IS_PRO_TV_2",#N/A,FALSE,"IS_New";"IS_NWR_NEW",#N/A,FALSE,"IS_New";"IS_PRO_CSC",#N/A,FALSE,"IS_New";"IS_PRO_INFO",#N/A,FALSE,"IS_New";"IS_VV",#N/A,FALSE,"IS_New"}</definedName>
    <definedName name="wrn.ISRAEL." localSheetId="8" hidden="1">{#N/A,#N/A,FALSE,"TECH CENTRE RXDU66";#N/A,#N/A,FALSE,"ASU VAAX66";#N/A,#N/A,FALSE,"TCM VAKX66"}</definedName>
    <definedName name="wrn.ISRAEL." hidden="1">{#N/A,#N/A,FALSE,"TECH CENTRE RXDU66";#N/A,#N/A,FALSE,"ASU VAAX66";#N/A,#N/A,FALSE,"TCM VAKX66"}</definedName>
    <definedName name="wrn.Italy." localSheetId="8" hidden="1">{#N/A,#N/A,FALSE,"Italy";#N/A,#N/A,FALSE,"Aperol Italy";#N/A,#N/A,FALSE,"Aperol Soda Italy";#N/A,#N/A,FALSE,"Spumanti";#N/A,#N/A,FALSE,"Barbieri Liqueur Italy";#N/A,#N/A,FALSE,"Others Italy"}</definedName>
    <definedName name="wrn.Italy." hidden="1">{#N/A,#N/A,FALSE,"Italy";#N/A,#N/A,FALSE,"Aperol Italy";#N/A,#N/A,FALSE,"Aperol Soda Italy";#N/A,#N/A,FALSE,"Spumanti";#N/A,#N/A,FALSE,"Barbieri Liqueur Italy";#N/A,#N/A,FALSE,"Others Italy"}</definedName>
    <definedName name="wrn.JANI._.REBATES." localSheetId="8" hidden="1">{"TOTAL",#N/A,FALSE,"A";"FISCAL94",#N/A,FALSE,"A";"FISCAL95",#N/A,FALSE,"A";"FISCAL96",#N/A,FALSE,"A";"misc page",#N/A,FALSE,"A"}</definedName>
    <definedName name="wrn.JANI._.REBATES." hidden="1">{"TOTAL",#N/A,FALSE,"A";"FISCAL94",#N/A,FALSE,"A";"FISCAL95",#N/A,FALSE,"A";"FISCAL96",#N/A,FALSE,"A";"misc page",#N/A,FALSE,"A"}</definedName>
    <definedName name="wrn.JG._.FE._.Dollar." localSheetId="8" hidden="1">{"JG FE Top",#N/A,FALSE,"JG FE $";"JG FE Bottom",#N/A,FALSE,"JG FE $"}</definedName>
    <definedName name="wrn.JG._.FE._.Dollar." hidden="1">{"JG FE Top",#N/A,FALSE,"JG FE $";"JG FE Bottom",#N/A,FALSE,"JG FE $"}</definedName>
    <definedName name="wrn.JG._.FE._.Yen." localSheetId="8" hidden="1">{"JG FE Top",#N/A,FALSE,"JG FE ¥";"JG FE Bottom",#N/A,FALSE,"JG FE ¥"}</definedName>
    <definedName name="wrn.JG._.FE._.Yen." hidden="1">{"JG FE Top",#N/A,FALSE,"JG FE ¥";"JG FE Bottom",#N/A,FALSE,"JG FE ¥"}</definedName>
    <definedName name="wrn.JPLOUT." localSheetId="8" hidden="1">{#N/A,#N/A,TRUE,"HOT";#N/A,#N/A,TRUE,"EXT";#N/A,#N/A,TRUE,"COE";#N/A,#N/A,TRUE,"PRN";#N/A,#N/A,TRUE,"ALU";#N/A,#N/A,TRUE,"REC";#N/A,#N/A,TRUE,"PAK";#N/A,#N/A,TRUE,"SCH";#N/A,#N/A,TRUE,"OTH";#N/A,#N/A,TRUE,"RECAP TOTAUX"}</definedName>
    <definedName name="wrn.JPLOUT." hidden="1">{#N/A,#N/A,TRUE,"HOT";#N/A,#N/A,TRUE,"EXT";#N/A,#N/A,TRUE,"COE";#N/A,#N/A,TRUE,"PRN";#N/A,#N/A,TRUE,"ALU";#N/A,#N/A,TRUE,"REC";#N/A,#N/A,TRUE,"PAK";#N/A,#N/A,TRUE,"SCH";#N/A,#N/A,TRUE,"OTH";#N/A,#N/A,TRUE,"RECAP TOTAUX"}</definedName>
    <definedName name="wrn.JPLOUT._1" localSheetId="8" hidden="1">{#N/A,#N/A,TRUE,"HOT";#N/A,#N/A,TRUE,"EXT";#N/A,#N/A,TRUE,"COE";#N/A,#N/A,TRUE,"PRN";#N/A,#N/A,TRUE,"ALU";#N/A,#N/A,TRUE,"REC";#N/A,#N/A,TRUE,"PAK";#N/A,#N/A,TRUE,"SCH";#N/A,#N/A,TRUE,"OTH";#N/A,#N/A,TRUE,"RECAP TOTAUX"}</definedName>
    <definedName name="wrn.JPLOUT._1" hidden="1">{#N/A,#N/A,TRUE,"HOT";#N/A,#N/A,TRUE,"EXT";#N/A,#N/A,TRUE,"COE";#N/A,#N/A,TRUE,"PRN";#N/A,#N/A,TRUE,"ALU";#N/A,#N/A,TRUE,"REC";#N/A,#N/A,TRUE,"PAK";#N/A,#N/A,TRUE,"SCH";#N/A,#N/A,TRUE,"OTH";#N/A,#N/A,TRUE,"RECAP TOTAUX"}</definedName>
    <definedName name="wrn.Junta._.Principal." hidden="1">{#N/A,#N/A,FALSE,"VENTAS";#N/A,#N/A,FALSE,"U. BRUTA";#N/A,#N/A,FALSE,"G. PERSONAL";#N/A,#N/A,FALSE,"G. OPERACION";#N/A,#N/A,FALSE,"G. DEPYAM";#N/A,#N/A,FALSE,"INGRESOS";#N/A,#N/A,FALSE,"G.o P.1";#N/A,#N/A,FALSE,"3%Informe Junta";#N/A,#N/A,FALSE,"P Y G (2)";#N/A,#N/A,FALSE,"CART. PROV.";#N/A,#N/A,FALSE,"Usecmes";#N/A,#N/A,FALSE,"Usecacu"}</definedName>
    <definedName name="wrn.karaout." localSheetId="8" hidden="1">{#N/A,#N/A,FALSE,"CSS";#N/A,#N/A,FALSE,"CSS HQ";#N/A,#N/A,FALSE,"USCSS ROLLUP";#N/A,#N/A,FALSE,"INT'L ROLLUP";#N/A,#N/A,FALSE,"352-XXX";#N/A,#N/A,FALSE,"353-XXX";#N/A,#N/A,FALSE,"INTL MGMT";#N/A,#N/A,FALSE,"EMEA";#N/A,#N/A,FALSE,"ASIA PACIFIC";#N/A,#N/A,FALSE,"LATIN AMERICA";#N/A,#N/A,FALSE,"CANADA"}</definedName>
    <definedName name="wrn.karaout." hidden="1">{#N/A,#N/A,FALSE,"CSS";#N/A,#N/A,FALSE,"CSS HQ";#N/A,#N/A,FALSE,"USCSS ROLLUP";#N/A,#N/A,FALSE,"INT'L ROLLUP";#N/A,#N/A,FALSE,"352-XXX";#N/A,#N/A,FALSE,"353-XXX";#N/A,#N/A,FALSE,"INTL MGMT";#N/A,#N/A,FALSE,"EMEA";#N/A,#N/A,FALSE,"ASIA PACIFIC";#N/A,#N/A,FALSE,"LATIN AMERICA";#N/A,#N/A,FALSE,"CANADA"}</definedName>
    <definedName name="wrn.Key._.Pages." localSheetId="8" hidden="1">{#N/A,#N/A,FALSE,"Model";#N/A,#N/A,FALSE,"CapitalCosts"}</definedName>
    <definedName name="wrn.Key._.Pages." hidden="1">{#N/A,#N/A,FALSE,"Model";#N/A,#N/A,FALSE,"CapitalCosts"}</definedName>
    <definedName name="wrn.Komplettausdruck." localSheetId="8" hidden="1">{#N/A,#N/A,FALSE,"Layout Aktiva";#N/A,#N/A,FALSE,"Layout Passiva";#N/A,#N/A,FALSE,"Layout GuV";#N/A,#N/A,FALSE,"Layout Cash Flow";#N/A,#N/A,FALSE,"Mittelherkunft";#N/A,#N/A,FALSE,"Mittelverwendung";#N/A,#N/A,FALSE,"Finanzbedarfsrechnung"}</definedName>
    <definedName name="wrn.Komplettausdruck." hidden="1">{#N/A,#N/A,FALSE,"Layout Aktiva";#N/A,#N/A,FALSE,"Layout Passiva";#N/A,#N/A,FALSE,"Layout GuV";#N/A,#N/A,FALSE,"Layout Cash Flow";#N/A,#N/A,FALSE,"Mittelherkunft";#N/A,#N/A,FALSE,"Mittelverwendung";#N/A,#N/A,FALSE,"Finanzbedarfsrechnung"}</definedName>
    <definedName name="wrn.LA._.SA." localSheetId="8" hidden="1">{"PnL",#N/A,FALSE,"Gas LA SA P&amp;L";"Responsibility",#N/A,FALSE,"Gas LA SA P&amp;L";"Cost Control",#N/A,FALSE,"Gas LA SA P&amp;L";"Program List",#N/A,FALSE,"Gas LA SA P&amp;L"}</definedName>
    <definedName name="wrn.LA._.SA." hidden="1">{"PnL",#N/A,FALSE,"Gas LA SA P&amp;L";"Responsibility",#N/A,FALSE,"Gas LA SA P&amp;L";"Cost Control",#N/A,FALSE,"Gas LA SA P&amp;L";"Program List",#N/A,FALSE,"Gas LA SA P&amp;L"}</definedName>
    <definedName name="wrn.Landscape." localSheetId="8" hidden="1">{"Front - Landscape",#N/A,FALSE,"Front Sheet";"SME 01-03 All",#N/A,FALSE,"SME 1-3";"SME 04-06 All",#N/A,FALSE,"SME 4-6";"SME 07-09 All",#N/A,FALSE,"SME 7-9";"SME 10-12 All",#N/A,FALSE,"SME 10-12";"SME 13-15 All",#N/A,FALSE,"SME 13-15";"SME 17-18 All",#N/A,FALSE,"SME 17-18";"Deliv Summary",#N/A,FALSE,"Deliverables Summ";"Q1 Plan Landscape",#N/A,FALSE,"Qtr 1 Plan";"SME 19 All",#N/A,FALSE,"SME 19"}</definedName>
    <definedName name="wrn.Landscape." hidden="1">{"Front - Landscape",#N/A,FALSE,"Front Sheet";"SME 01-03 All",#N/A,FALSE,"SME 1-3";"SME 04-06 All",#N/A,FALSE,"SME 4-6";"SME 07-09 All",#N/A,FALSE,"SME 7-9";"SME 10-12 All",#N/A,FALSE,"SME 10-12";"SME 13-15 All",#N/A,FALSE,"SME 13-15";"SME 17-18 All",#N/A,FALSE,"SME 17-18";"Deliv Summary",#N/A,FALSE,"Deliverables Summ";"Q1 Plan Landscape",#N/A,FALSE,"Qtr 1 Plan";"SME 19 All",#N/A,FALSE,"SME 19"}</definedName>
    <definedName name="wrn.Latin._.America." hidden="1">{"rawdata",#N/A,TRUE,"CANTV";"in",#N/A,TRUE,"CANTV";"rawdata",#N/A,TRUE,"Entel";"in",#N/A,TRUE,"Entel";"rawdata",#N/A,TRUE,"TBra";"in",#N/A,TRUE,"TBra";"rawdata",#N/A,TRUE,"TArg";"in",#N/A,TRUE,"TArg";"rawdata",#N/A,TRUE,"TdArg";"in",#N/A,TRUE,"TdArg";"rawdata",#N/A,TRUE,"TdPer";"in",#N/A,TRUE,"TdPer";"rawdata",#N/A,TRUE,"CTC";"in",#N/A,TRUE,"CTC";"rawdata",#N/A,TRUE,"TMX";"in",#N/A,TRUE,"TMX"}</definedName>
    <definedName name="wrn.Laura." localSheetId="8" hidden="1">{"custodia",#N/A,FALSE,"Encaje";"encajeprint",#N/A,FALSE,"Encaje"}</definedName>
    <definedName name="wrn.Laura." hidden="1">{"custodia",#N/A,FALSE,"Encaje";"encajeprint",#N/A,FALSE,"Encaje"}</definedName>
    <definedName name="wrn.lbo." localSheetId="8" hidden="1">{"a",#N/A,FALSE,"LBO - 100%, No Sales";"aa",#N/A,FALSE,"LBO - 100%, No Sales";"aaa",#N/A,FALSE,"LBO - 100%, No Sales";"aaaa",#N/A,FALSE,"LBO - 100%, No Sales";"aaaaa",#N/A,FALSE,"LBO - 100%, No Sales";"aaaaaa",#N/A,FALSE,"LBO - 100%, No Sales";"aaaaaaa",#N/A,FALSE,"LBO - 100%, No Sales";"aaaaaaaa",#N/A,FALSE,"LBO - 100%, No Sales"}</definedName>
    <definedName name="wrn.lbo." hidden="1">{"a",#N/A,FALSE,"LBO - 100%, No Sales";"aa",#N/A,FALSE,"LBO - 100%, No Sales";"aaa",#N/A,FALSE,"LBO - 100%, No Sales";"aaaa",#N/A,FALSE,"LBO - 100%, No Sales";"aaaaa",#N/A,FALSE,"LBO - 100%, No Sales";"aaaaaa",#N/A,FALSE,"LBO - 100%, No Sales";"aaaaaaa",#N/A,FALSE,"LBO - 100%, No Sales";"aaaaaaaa",#N/A,FALSE,"LBO - 100%, No Sales"}</definedName>
    <definedName name="wrn.LBO._.Summary." localSheetId="8" hidden="1">{"LBO Summary",#N/A,FALSE,"Summary"}</definedName>
    <definedName name="wrn.LBO._.Summary." hidden="1">{"LBO Summary",#N/A,FALSE,"Summary"}</definedName>
    <definedName name="wrn.LBO._.Summary._1" localSheetId="8" hidden="1">{"LBO Summary",#N/A,FALSE,"Summary"}</definedName>
    <definedName name="wrn.LBO._.Summary._1" hidden="1">{"LBO Summary",#N/A,FALSE,"Summary"}</definedName>
    <definedName name="wrn.lbo2." localSheetId="8" hidden="1">{"a",#N/A,FALSE,"LBO - 100%, Sells FSM in 1999";"aa",#N/A,FALSE,"LBO - 100%, Sells FSM in 1999";"aaa",#N/A,FALSE,"LBO - 100%, Sells FSM in 1999";"aaaa",#N/A,FALSE,"LBO - 100%, Sells FSM in 1999";"aaaaa",#N/A,FALSE,"LBO - 100%, Sells FSM in 1999";"aaaaaa",#N/A,FALSE,"LBO - 100%, Sells FSM in 1999";"aaaaaaa",#N/A,FALSE,"LBO - 100%, Sells FSM in 1999"}</definedName>
    <definedName name="wrn.lbo2." hidden="1">{"a",#N/A,FALSE,"LBO - 100%, Sells FSM in 1999";"aa",#N/A,FALSE,"LBO - 100%, Sells FSM in 1999";"aaa",#N/A,FALSE,"LBO - 100%, Sells FSM in 1999";"aaaa",#N/A,FALSE,"LBO - 100%, Sells FSM in 1999";"aaaaa",#N/A,FALSE,"LBO - 100%, Sells FSM in 1999";"aaaaaa",#N/A,FALSE,"LBO - 100%, Sells FSM in 1999";"aaaaaaa",#N/A,FALSE,"LBO - 100%, Sells FSM in 1999"}</definedName>
    <definedName name="wrn.lbo3." localSheetId="8" hidden="1">{"a",#N/A,FALSE,"LBO - 100%, Sell C,CT 98......";"aa",#N/A,FALSE,"LBO - 100%, Sell C,CT 98......";"aaa",#N/A,FALSE,"LBO - 100%, Sell C,CT 98......";"aaaa",#N/A,FALSE,"LBO - 100%, Sell C,CT 98......";"aaaaa",#N/A,FALSE,"LBO - 100%, Sell C,CT 98......";"aaaaaa",#N/A,FALSE,"LBO - 100%, Sell C,CT 98......"}</definedName>
    <definedName name="wrn.lbo3." hidden="1">{"a",#N/A,FALSE,"LBO - 100%, Sell C,CT 98......";"aa",#N/A,FALSE,"LBO - 100%, Sell C,CT 98......";"aaa",#N/A,FALSE,"LBO - 100%, Sell C,CT 98......";"aaaa",#N/A,FALSE,"LBO - 100%, Sell C,CT 98......";"aaaaa",#N/A,FALSE,"LBO - 100%, Sell C,CT 98......";"aaaaaa",#N/A,FALSE,"LBO - 100%, Sell C,CT 98......"}</definedName>
    <definedName name="wrn.Lcl_TV." localSheetId="8" hidden="1">{"Sum",#N/A,FALSE,"Local TV";"Exp",#N/A,FALSE,"Local TV";"Sal",#N/A,FALSE,"Local TV"}</definedName>
    <definedName name="wrn.Lcl_TV." hidden="1">{"Sum",#N/A,FALSE,"Local TV";"Exp",#N/A,FALSE,"Local TV";"Sal",#N/A,FALSE,"Local TV"}</definedName>
    <definedName name="wrn.Leases.xls." localSheetId="8" hidden="1">{#N/A,#N/A,FALSE,"Initial Year";#N/A,#N/A,FALSE,"Historical";#N/A,#N/A,FALSE,"balsheet";#N/A,#N/A,FALSE,"incstate";#N/A,#N/A,FALSE,"Fleet"}</definedName>
    <definedName name="wrn.Leases.xls." hidden="1">{#N/A,#N/A,FALSE,"Initial Year";#N/A,#N/A,FALSE,"Historical";#N/A,#N/A,FALSE,"balsheet";#N/A,#N/A,FALSE,"incstate";#N/A,#N/A,FALSE,"Fleet"}</definedName>
    <definedName name="wrn.Leasing._.Variance." localSheetId="8" hidden="1">{#N/A,#N/A,FALSE,"Leasing 6A"}</definedName>
    <definedName name="wrn.Leasing._.Variance." hidden="1">{#N/A,#N/A,FALSE,"Leasing 6A"}</definedName>
    <definedName name="wrn.Lewers." localSheetId="8" hidden="1">{#N/A,#N/A,FALSE,"Assumps";#N/A,#N/A,FALSE,"Summary3";#N/A,#N/A,FALSE,"Owned";#N/A,#N/A,FALSE,"Ewa";#N/A,#N/A,FALSE,"Waikiki";#N/A,#N/A,FALSE,"Reef";#N/A,#N/A,FALSE,"Kuhio";#N/A,#N/A,FALSE,"East";#N/A,#N/A,FALSE,"West";#N/A,#N/A,FALSE,"Islander_Waikiki";#N/A,#N/A,FALSE,"Surf";#N/A,#N/A,FALSE,"Ala_Wai";#N/A,#N/A,FALSE,"Reef_Towers";#N/A,#N/A,FALSE,"Waikiki_Tower";#N/A,#N/A,FALSE,"Edgewater";#N/A,#N/A,FALSE,"Village";#N/A,#N/A,FALSE,"Coral_Seas";#N/A,#N/A,FALSE,"Reef_Lanais";#N/A,#N/A,FALSE,"Royal";#N/A,#N/A,FALSE,"Retail";#N/A,#N/A,FALSE,"Retail2";#N/A,#N/A,FALSE,"Parking";#N/A,#N/A,FALSE,"Manage";#N/A,#N/A,FALSE,"Manback";#N/A,#N/A,FALSE,"Invest";#N/A,#N/A,FALSE,"Commercial";#N/A,#N/A,FALSE,"Dev"}</definedName>
    <definedName name="wrn.Lewers." hidden="1">{#N/A,#N/A,FALSE,"Assumps";#N/A,#N/A,FALSE,"Summary3";#N/A,#N/A,FALSE,"Owned";#N/A,#N/A,FALSE,"Ewa";#N/A,#N/A,FALSE,"Waikiki";#N/A,#N/A,FALSE,"Reef";#N/A,#N/A,FALSE,"Kuhio";#N/A,#N/A,FALSE,"East";#N/A,#N/A,FALSE,"West";#N/A,#N/A,FALSE,"Islander_Waikiki";#N/A,#N/A,FALSE,"Surf";#N/A,#N/A,FALSE,"Ala_Wai";#N/A,#N/A,FALSE,"Reef_Towers";#N/A,#N/A,FALSE,"Waikiki_Tower";#N/A,#N/A,FALSE,"Edgewater";#N/A,#N/A,FALSE,"Village";#N/A,#N/A,FALSE,"Coral_Seas";#N/A,#N/A,FALSE,"Reef_Lanais";#N/A,#N/A,FALSE,"Royal";#N/A,#N/A,FALSE,"Retail";#N/A,#N/A,FALSE,"Retail2";#N/A,#N/A,FALSE,"Parking";#N/A,#N/A,FALSE,"Manage";#N/A,#N/A,FALSE,"Manback";#N/A,#N/A,FALSE,"Invest";#N/A,#N/A,FALSE,"Commercial";#N/A,#N/A,FALSE,"Dev"}</definedName>
    <definedName name="wrn.LewersII." localSheetId="8" hidden="1">{#N/A,#N/A,FALSE,"Assumps";#N/A,#N/A,FALSE,"Owned";#N/A,#N/A,FALSE,"Retail";#N/A,#N/A,FALSE,"Retail2";#N/A,#N/A,FALSE,"Parking";#N/A,#N/A,FALSE,"Manage";#N/A,#N/A,FALSE,"Manback";#N/A,#N/A,FALSE,"Invest";#N/A,#N/A,FALSE,"Commercial"}</definedName>
    <definedName name="wrn.LewersII." hidden="1">{#N/A,#N/A,FALSE,"Assumps";#N/A,#N/A,FALSE,"Owned";#N/A,#N/A,FALSE,"Retail";#N/A,#N/A,FALSE,"Retail2";#N/A,#N/A,FALSE,"Parking";#N/A,#N/A,FALSE,"Manage";#N/A,#N/A,FALSE,"Manback";#N/A,#N/A,FALSE,"Invest";#N/A,#N/A,FALSE,"Commercial"}</definedName>
    <definedName name="wrn.lh97." localSheetId="8" hidden="1">{"RETRO",#N/A,FALSE,"Ret";"retro",#N/A,FALSE,"Ret_RO";"retp",#N/A,FALSE,"Ret_P";"livro",#N/A,FALSE,"Livr_RO";"livp",#N/A,FALSE,"Livr_P";"puro",#N/A,FALSE,"Pu_RO";"pup",#N/A,FALSE,"Pu_P";"stocro",#N/A,FALSE,"Stock_RO";"stocp",#N/A,FALSE,"Stock_P";"vitro",#N/A,FALSE,"Vitr-RO";"vitp",#N/A,FALSE,"Vitr-P";"destro",#N/A,FALSE,"Dest_RO";"destp",#N/A,FALSE,"Dest_P"}</definedName>
    <definedName name="wrn.lh97." hidden="1">{"RETRO",#N/A,FALSE,"Ret";"retro",#N/A,FALSE,"Ret_RO";"retp",#N/A,FALSE,"Ret_P";"livro",#N/A,FALSE,"Livr_RO";"livp",#N/A,FALSE,"Livr_P";"puro",#N/A,FALSE,"Pu_RO";"pup",#N/A,FALSE,"Pu_P";"stocro",#N/A,FALSE,"Stock_RO";"stocp",#N/A,FALSE,"Stock_P";"vitro",#N/A,FALSE,"Vitr-RO";"vitp",#N/A,FALSE,"Vitr-P";"destro",#N/A,FALSE,"Dest_RO";"destp",#N/A,FALSE,"Dest_P"}</definedName>
    <definedName name="wrn.lh97._1" localSheetId="8" hidden="1">{"RETRO",#N/A,FALSE,"Ret";"retro",#N/A,FALSE,"Ret_RO";"retp",#N/A,FALSE,"Ret_P";"livro",#N/A,FALSE,"Livr_RO";"livp",#N/A,FALSE,"Livr_P";"puro",#N/A,FALSE,"Pu_RO";"pup",#N/A,FALSE,"Pu_P";"stocro",#N/A,FALSE,"Stock_RO";"stocp",#N/A,FALSE,"Stock_P";"vitro",#N/A,FALSE,"Vitr-RO";"vitp",#N/A,FALSE,"Vitr-P";"destro",#N/A,FALSE,"Dest_RO";"destp",#N/A,FALSE,"Dest_P"}</definedName>
    <definedName name="wrn.lh97._1" hidden="1">{"RETRO",#N/A,FALSE,"Ret";"retro",#N/A,FALSE,"Ret_RO";"retp",#N/A,FALSE,"Ret_P";"livro",#N/A,FALSE,"Livr_RO";"livp",#N/A,FALSE,"Livr_P";"puro",#N/A,FALSE,"Pu_RO";"pup",#N/A,FALSE,"Pu_P";"stocro",#N/A,FALSE,"Stock_RO";"stocp",#N/A,FALSE,"Stock_P";"vitro",#N/A,FALSE,"Vitr-RO";"vitp",#N/A,FALSE,"Vitr-P";"destro",#N/A,FALSE,"Dest_RO";"destp",#N/A,FALSE,"Dest_P"}</definedName>
    <definedName name="wrn.Line._.Efficiency." localSheetId="8" hidden="1">{"Line Efficiency",#N/A,FALSE,"Benchmarking"}</definedName>
    <definedName name="wrn.Line._.Efficiency." hidden="1">{"Line Efficiency",#N/A,FALSE,"Benchmarking"}</definedName>
    <definedName name="wrn.LJD._.Review._.1." localSheetId="8" hidden="1">{"LJD 1",#N/A,FALSE,"Master";"LJD 2",#N/A,FALSE,"Sheet2";"LJD 3",#N/A,FALSE,"Sheet1";"LJD 4",#N/A,FALSE,"Sheet3";"LJD 5",#N/A,FALSE,"Sheet4"}</definedName>
    <definedName name="wrn.LJD._.Review._.1." hidden="1">{"LJD 1",#N/A,FALSE,"Master";"LJD 2",#N/A,FALSE,"Sheet2";"LJD 3",#N/A,FALSE,"Sheet1";"LJD 4",#N/A,FALSE,"Sheet3";"LJD 5",#N/A,FALSE,"Sheet4"}</definedName>
    <definedName name="wrn.LLISTAT." localSheetId="8" hidden="1">{"IMD RESULTANTE",#N/A,FALSE,"Conjunto";"ING.PEAJE",#N/A,FALSE,"Conjunto";"INC.IMD",#N/A,FALSE,"Conjunto";"IMD BASE",#N/A,FALSE,"Conjunto"}</definedName>
    <definedName name="wrn.LLISTAT." hidden="1">{"IMD RESULTANTE",#N/A,FALSE,"Conjunto";"ING.PEAJE",#N/A,FALSE,"Conjunto";"INC.IMD",#N/A,FALSE,"Conjunto";"IMD BASE",#N/A,FALSE,"Conjunto"}</definedName>
    <definedName name="wrn.llll." localSheetId="8" hidden="1">{#N/A,#N/A,FALSE,"AMMORTAMENTI 1994"}</definedName>
    <definedName name="wrn.llll." hidden="1">{#N/A,#N/A,FALSE,"AMMORTAMENTI 1994"}</definedName>
    <definedName name="wrn.llll._1" localSheetId="8" hidden="1">{#N/A,#N/A,FALSE,"AMMORTAMENTI 1994"}</definedName>
    <definedName name="wrn.llll._1" hidden="1">{#N/A,#N/A,FALSE,"AMMORTAMENTI 1994"}</definedName>
    <definedName name="wrn.Lojas._.por._.Aluguel._.Real." hidden="1">{#N/A,#N/A,FALSE,"Lojas por Aluguel (R$)"}</definedName>
    <definedName name="wrn.Lojas._.por._.Faturamento._.real." hidden="1">{#N/A,#N/A,FALSE,"Lojas por Faturamento (R$)"}</definedName>
    <definedName name="wrn.Long._.Report." localSheetId="8" hidden="1">{#N/A,#N/A,TRUE,"Cover";#N/A,#N/A,TRUE,"Header (ld)";#N/A,#N/A,TRUE,"T&amp;O By Region";#N/A,#N/A,TRUE,"Region Charts ";#N/A,#N/A,TRUE,"T&amp;O London";#N/A,#N/A,TRUE,"AD Report";#N/A,#N/A,TRUE,"Var by OU"}</definedName>
    <definedName name="wrn.Long._.Report." hidden="1">{#N/A,#N/A,TRUE,"Cover";#N/A,#N/A,TRUE,"Header (ld)";#N/A,#N/A,TRUE,"T&amp;O By Region";#N/A,#N/A,TRUE,"Region Charts ";#N/A,#N/A,TRUE,"T&amp;O London";#N/A,#N/A,TRUE,"AD Report";#N/A,#N/A,TRUE,"Var by OU"}</definedName>
    <definedName name="wrn.Long._.Report._1" localSheetId="8" hidden="1">{#N/A,#N/A,TRUE,"Cover";#N/A,#N/A,TRUE,"Header (ld)";#N/A,#N/A,TRUE,"T&amp;O By Region";#N/A,#N/A,TRUE,"Region Charts ";#N/A,#N/A,TRUE,"T&amp;O London";#N/A,#N/A,TRUE,"AD Report";#N/A,#N/A,TRUE,"Var by OU"}</definedName>
    <definedName name="wrn.Long._.Report._1" hidden="1">{#N/A,#N/A,TRUE,"Cover";#N/A,#N/A,TRUE,"Header (ld)";#N/A,#N/A,TRUE,"T&amp;O By Region";#N/A,#N/A,TRUE,"Region Charts ";#N/A,#N/A,TRUE,"T&amp;O London";#N/A,#N/A,TRUE,"AD Report";#N/A,#N/A,TRUE,"Var by OU"}</definedName>
    <definedName name="wrn.Long._.Report.a" localSheetId="8" hidden="1">{#N/A,#N/A,TRUE,"Cover";#N/A,#N/A,TRUE,"Header (ld)";#N/A,#N/A,TRUE,"T&amp;O By Region";#N/A,#N/A,TRUE,"Region Charts ";#N/A,#N/A,TRUE,"T&amp;O London";#N/A,#N/A,TRUE,"AD Report";#N/A,#N/A,TRUE,"Var by OU"}</definedName>
    <definedName name="wrn.Long._.Report.a" hidden="1">{#N/A,#N/A,TRUE,"Cover";#N/A,#N/A,TRUE,"Header (ld)";#N/A,#N/A,TRUE,"T&amp;O By Region";#N/A,#N/A,TRUE,"Region Charts ";#N/A,#N/A,TRUE,"T&amp;O London";#N/A,#N/A,TRUE,"AD Report";#N/A,#N/A,TRUE,"Var by OU"}</definedName>
    <definedName name="wrn.Long._.Report.a_1" localSheetId="8" hidden="1">{#N/A,#N/A,TRUE,"Cover";#N/A,#N/A,TRUE,"Header (ld)";#N/A,#N/A,TRUE,"T&amp;O By Region";#N/A,#N/A,TRUE,"Region Charts ";#N/A,#N/A,TRUE,"T&amp;O London";#N/A,#N/A,TRUE,"AD Report";#N/A,#N/A,TRUE,"Var by OU"}</definedName>
    <definedName name="wrn.Long._.Report.a_1" hidden="1">{#N/A,#N/A,TRUE,"Cover";#N/A,#N/A,TRUE,"Header (ld)";#N/A,#N/A,TRUE,"T&amp;O By Region";#N/A,#N/A,TRUE,"Region Charts ";#N/A,#N/A,TRUE,"T&amp;O London";#N/A,#N/A,TRUE,"AD Report";#N/A,#N/A,TRUE,"Var by OU"}</definedName>
    <definedName name="wrn.Lookups." localSheetId="8" hidden="1">{#N/A,#N/A,FALSE,"Instructions";#N/A,#N/A,FALSE,"ReftoESRiskNos";#N/A,#N/A,FALSE,"ESRiskNos";#N/A,#N/A,FALSE,"AuditeeCheck"}</definedName>
    <definedName name="wrn.Lookups." hidden="1">{#N/A,#N/A,FALSE,"Instructions";#N/A,#N/A,FALSE,"ReftoESRiskNos";#N/A,#N/A,FALSE,"ESRiskNos";#N/A,#N/A,FALSE,"AuditeeCheck"}</definedName>
    <definedName name="wrn.LOURES." localSheetId="8" hidden="1">{"LOURES1",#N/A,TRUE,"Sheet1";"LOURES2",#N/A,TRUE,"Sheet1"}</definedName>
    <definedName name="wrn.LOURES." hidden="1">{"LOURES1",#N/A,TRUE,"Sheet1";"LOURES2",#N/A,TRUE,"Sheet1"}</definedName>
    <definedName name="wrn.LPNL." localSheetId="8" hidden="1">{"LPNL1",#N/A,FALSE,"EntitiesWithReclasses";"LPNL2",#N/A,FALSE,"EntitiesWithReclasses";"LPNL3",#N/A,FALSE,"EntitiesWithReclasses"}</definedName>
    <definedName name="wrn.LPNL." hidden="1">{"LPNL1",#N/A,FALSE,"EntitiesWithReclasses";"LPNL2",#N/A,FALSE,"EntitiesWithReclasses";"LPNL3",#N/A,FALSE,"EntitiesWithReclasses"}</definedName>
    <definedName name="wrn.Main._.Report._.All._.Sections." localSheetId="8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wrn.Main._.Report._.All._.Sections.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wrn.Main._.Report._.All._.Sections._1" localSheetId="8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wrn.Main._.Report._.All._.Sections._1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wrn.man._.accs." localSheetId="8" hidden="1">{#N/A,#N/A,FALSE,"P&amp;L";#N/A,#N/A,FALSE,"BS";#N/A,#N/A,FALSE,"SPLIT";#N/A,#N/A,FALSE,"RATIOS";#N/A,#N/A,FALSE,"TURN "}</definedName>
    <definedName name="wrn.man._.accs." hidden="1">{#N/A,#N/A,FALSE,"P&amp;L";#N/A,#N/A,FALSE,"BS";#N/A,#N/A,FALSE,"SPLIT";#N/A,#N/A,FALSE,"RATIOS";#N/A,#N/A,FALSE,"TURN "}</definedName>
    <definedName name="wrn.MANAGEMENT._.COSTS." localSheetId="8" hidden="1">{"MANAGEMENT COSTS",#N/A,FALSE,"C.CENTRE"}</definedName>
    <definedName name="wrn.MANAGEMENT._.COSTS." hidden="1">{"MANAGEMENT COSTS",#N/A,FALSE,"C.CENTRE"}</definedName>
    <definedName name="wrn.Management._.Pack." localSheetId="8" hidden="1">{#N/A,#N/A,FALSE,"Index";#N/A,#N/A,FALSE,"MANGR";#N/A,#N/A,FALSE,"MANTL";#N/A,#N/A,FALSE,"LTDCF";#N/A,#N/A,FALSE,"LtdExp";#N/A,#N/A,FALSE,"MANTI";#N/A,#N/A,FALSE,"INCCF";#N/A,#N/A,FALSE,"INCExp"}</definedName>
    <definedName name="wrn.Management._.Pack." hidden="1">{#N/A,#N/A,FALSE,"Index";#N/A,#N/A,FALSE,"MANGR";#N/A,#N/A,FALSE,"MANTL";#N/A,#N/A,FALSE,"LTDCF";#N/A,#N/A,FALSE,"LtdExp";#N/A,#N/A,FALSE,"MANTI";#N/A,#N/A,FALSE,"INCCF";#N/A,#N/A,FALSE,"INCExp"}</definedName>
    <definedName name="wrn.Management._.Pack._1" localSheetId="8" hidden="1">{#N/A,#N/A,FALSE,"Index";#N/A,#N/A,FALSE,"MANGR";#N/A,#N/A,FALSE,"MANTL";#N/A,#N/A,FALSE,"LTDCF";#N/A,#N/A,FALSE,"LtdExp";#N/A,#N/A,FALSE,"MANTI";#N/A,#N/A,FALSE,"INCCF";#N/A,#N/A,FALSE,"INCExp"}</definedName>
    <definedName name="wrn.Management._.Pack._1" hidden="1">{#N/A,#N/A,FALSE,"Index";#N/A,#N/A,FALSE,"MANGR";#N/A,#N/A,FALSE,"MANTL";#N/A,#N/A,FALSE,"LTDCF";#N/A,#N/A,FALSE,"LtdExp";#N/A,#N/A,FALSE,"MANTI";#N/A,#N/A,FALSE,"INCCF";#N/A,#N/A,FALSE,"INCExp"}</definedName>
    <definedName name="wrn.Mapa._.de._.Aluguel._.Analitico." hidden="1">{#N/A,#N/A,FALSE,"Mapa de Aluguel - Analítico"}</definedName>
    <definedName name="wrn.Mapa._.de._.Aluguel._.Sintetico." hidden="1">{#N/A,#N/A,FALSE,"Mapa de Aluguel - Sintético"}</definedName>
    <definedName name="wrn.marco." localSheetId="8" hidden="1">{#N/A,#N/A,TRUE,"omzontw.aholdldn";#N/A,#N/A,TRUE,"omzontw.aholdldn";#N/A,#N/A,TRUE,"omzetontwikah"}</definedName>
    <definedName name="wrn.marco." hidden="1">{#N/A,#N/A,TRUE,"omzontw.aholdldn";#N/A,#N/A,TRUE,"omzontw.aholdldn";#N/A,#N/A,TRUE,"omzetontwikah"}</definedName>
    <definedName name="wrn.mario" localSheetId="8" hidden="1">{"Area1",#N/A,TRUE,"Obiettivo";"Area2",#N/A,TRUE,"Dati per Direzione"}</definedName>
    <definedName name="wrn.mario" hidden="1">{"Area1",#N/A,TRUE,"Obiettivo";"Area2",#N/A,TRUE,"Dati per Direzione"}</definedName>
    <definedName name="wrn.Mario." localSheetId="8" hidden="1">{"Area1",#N/A,TRUE,"Obiettivo";"Area2",#N/A,TRUE,"Dati per Direzione"}</definedName>
    <definedName name="wrn.Mario." hidden="1">{"Area1",#N/A,TRUE,"Obiettivo";"Area2",#N/A,TRUE,"Dati per Direzione"}</definedName>
    <definedName name="wrn.Mario._1" localSheetId="8" hidden="1">{"Area1",#N/A,TRUE,"Obiettivo";"Area2",#N/A,TRUE,"Dati per Direzione"}</definedName>
    <definedName name="wrn.Mario._1" hidden="1">{"Area1",#N/A,TRUE,"Obiettivo";"Area2",#N/A,TRUE,"Dati per Direzione"}</definedName>
    <definedName name="wrn.mario_1" localSheetId="8" hidden="1">{"Area1",#N/A,TRUE,"Obiettivo";"Area2",#N/A,TRUE,"Dati per Direzione"}</definedName>
    <definedName name="wrn.mario_1" hidden="1">{"Area1",#N/A,TRUE,"Obiettivo";"Area2",#N/A,TRUE,"Dati per Direzione"}</definedName>
    <definedName name="wrn.MAS." localSheetId="8" hidden="1">{"Cost_Centre_Summary",#N/A,FALSE,"Cost Centre Summary";#N/A,#N/A,FALSE,"Forecast 2000"}</definedName>
    <definedName name="wrn.MAS." hidden="1">{"Cost_Centre_Summary",#N/A,FALSE,"Cost Centre Summary";#N/A,#N/A,FALSE,"Forecast 2000"}</definedName>
    <definedName name="wrn.MAS._1" localSheetId="8" hidden="1">{"Cost_Centre_Summary",#N/A,FALSE,"Cost Centre Summary";#N/A,#N/A,FALSE,"Forecast 2000"}</definedName>
    <definedName name="wrn.MAS._1" hidden="1">{"Cost_Centre_Summary",#N/A,FALSE,"Cost Centre Summary";#N/A,#N/A,FALSE,"Forecast 2000"}</definedName>
    <definedName name="wrn.Massimo." localSheetId="8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wrn.Massimo.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wrn.Massimo._1" localSheetId="8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wrn.Massimo._1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wrn.Matls._.Balance._.Sheet." localSheetId="8" hidden="1">{"Balance Sheet",#N/A,FALSE,"102 - CBR Materials"}</definedName>
    <definedName name="wrn.Matls._.Balance._.Sheet." hidden="1">{"Balance Sheet",#N/A,FALSE,"102 - CBR Materials"}</definedName>
    <definedName name="wrn.Matls._.BS._.and._.CF." localSheetId="8" hidden="1">{"Balance Sheet",#N/A,FALSE,"102 - CBR Materials";"Cash Flows",#N/A,FALSE,"102 - CBR Materials"}</definedName>
    <definedName name="wrn.Matls._.BS._.and._.CF." hidden="1">{"Balance Sheet",#N/A,FALSE,"102 - CBR Materials";"Cash Flows",#N/A,FALSE,"102 - CBR Materials"}</definedName>
    <definedName name="wrn.Matls._.Cash._.Flow." localSheetId="8" hidden="1">{"Cash Flows",#N/A,FALSE,"102 - CBR Materials"}</definedName>
    <definedName name="wrn.Matls._.Cash._.Flow." hidden="1">{"Cash Flows",#N/A,FALSE,"102 - CBR Materials"}</definedName>
    <definedName name="wrn.May._.21." localSheetId="8" hidden="1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ay._.21." hidden="1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ay._.21._1" localSheetId="8" hidden="1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ay._.21._1" hidden="1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ay._.21.1" localSheetId="8" hidden="1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ay._.21.1" hidden="1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ay._.21.1_1" localSheetId="8" hidden="1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ay._.21.1_1" hidden="1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edia._.Aluguel._.12._.meses." hidden="1">{#N/A,#N/A,FALSE,"Média Aluguel 12 Meses"}</definedName>
    <definedName name="wrn.memo." localSheetId="8" hidden="1">{#N/A,#N/A,TRUE,"financial";#N/A,#N/A,TRUE,"plants"}</definedName>
    <definedName name="wrn.memo." hidden="1">{#N/A,#N/A,TRUE,"financial";#N/A,#N/A,TRUE,"plants"}</definedName>
    <definedName name="wrn.memo._1" localSheetId="8" hidden="1">{#N/A,#N/A,TRUE,"financial";#N/A,#N/A,TRUE,"plants"}</definedName>
    <definedName name="wrn.memo._1" hidden="1">{#N/A,#N/A,TRUE,"financial";#N/A,#N/A,TRUE,"plants"}</definedName>
    <definedName name="wrn.MENSILE." localSheetId="8" hidden="1">{#N/A,#N/A,TRUE,"covmen";#N/A,#N/A,TRUE,"ECORID";#N/A,#N/A,TRUE,"ECOTRA";#N/A,#N/A,TRUE,"ECOTOT";#N/A,#N/A,TRUE,"FATSOC";#N/A,#N/A,TRUE,"FATDIV";#N/A,#N/A,TRUE,"FATGEO";#N/A,#N/A,TRUE,"ORDINI";#N/A,#N/A,TRUE,"TESORI";#N/A,#N/A,TRUE,"RENDFIN"}</definedName>
    <definedName name="wrn.MENSILE." hidden="1">{#N/A,#N/A,TRUE,"covmen";#N/A,#N/A,TRUE,"ECORID";#N/A,#N/A,TRUE,"ECOTRA";#N/A,#N/A,TRUE,"ECOTOT";#N/A,#N/A,TRUE,"FATSOC";#N/A,#N/A,TRUE,"FATDIV";#N/A,#N/A,TRUE,"FATGEO";#N/A,#N/A,TRUE,"ORDINI";#N/A,#N/A,TRUE,"TESORI";#N/A,#N/A,TRUE,"RENDFIN"}</definedName>
    <definedName name="wrn.MENSILE._1" localSheetId="8" hidden="1">{#N/A,#N/A,TRUE,"covmen";#N/A,#N/A,TRUE,"ECORID";#N/A,#N/A,TRUE,"ECOTRA";#N/A,#N/A,TRUE,"ECOTOT";#N/A,#N/A,TRUE,"FATSOC";#N/A,#N/A,TRUE,"FATDIV";#N/A,#N/A,TRUE,"FATGEO";#N/A,#N/A,TRUE,"ORDINI";#N/A,#N/A,TRUE,"TESORI";#N/A,#N/A,TRUE,"RENDFIN"}</definedName>
    <definedName name="wrn.MENSILE._1" hidden="1">{#N/A,#N/A,TRUE,"covmen";#N/A,#N/A,TRUE,"ECORID";#N/A,#N/A,TRUE,"ECOTRA";#N/A,#N/A,TRUE,"ECOTOT";#N/A,#N/A,TRUE,"FATSOC";#N/A,#N/A,TRUE,"FATDIV";#N/A,#N/A,TRUE,"FATGEO";#N/A,#N/A,TRUE,"ORDINI";#N/A,#N/A,TRUE,"TESORI";#N/A,#N/A,TRUE,"RENDFIN"}</definedName>
    <definedName name="wrn.Mensual." hidden="1">{#N/A,#N/A,TRUE,"Canal";#N/A,#N/A,TRUE,"Todas";#N/A,#N/A,TRUE,"Kiosco";#N/A,#N/A,TRUE,"Suscripción";#N/A,#N/A,TRUE,"Exportación";#N/A,#N/A,TRUE,"Crédito";#N/A,#N/A,TRUE,"GS+Inst";#N/A,#N/A,TRUE,"Otros";#N/A,#N/A,TRUE,"RBA";#N/A,#N/A,TRUE,"Estructura";#N/A,#N/A,TRUE,"Detalle"}</definedName>
    <definedName name="wrn.Menu." localSheetId="8" hidden="1">{"menu",#N/A,FALSE,"Menu"}</definedName>
    <definedName name="wrn.Menu." hidden="1">{"menu",#N/A,FALSE,"Menu"}</definedName>
    <definedName name="wrn.merge." localSheetId="8" hidden="1">{#N/A,#N/A,FALSE,"IPO";#N/A,#N/A,FALSE,"DCF";#N/A,#N/A,FALSE,"LBO";#N/A,#N/A,FALSE,"MULT_VAL";#N/A,#N/A,FALSE,"Status Quo";#N/A,#N/A,FALSE,"Recap"}</definedName>
    <definedName name="wrn.merge." hidden="1">{#N/A,#N/A,FALSE,"IPO";#N/A,#N/A,FALSE,"DCF";#N/A,#N/A,FALSE,"LBO";#N/A,#N/A,FALSE,"MULT_VAL";#N/A,#N/A,FALSE,"Status Quo";#N/A,#N/A,FALSE,"Recap"}</definedName>
    <definedName name="wrn.merge._1" localSheetId="8" hidden="1">{#N/A,#N/A,FALSE,"IPO";#N/A,#N/A,FALSE,"DCF";#N/A,#N/A,FALSE,"LBO";#N/A,#N/A,FALSE,"MULT_VAL";#N/A,#N/A,FALSE,"Status Quo";#N/A,#N/A,FALSE,"Recap"}</definedName>
    <definedName name="wrn.merge._1" hidden="1">{#N/A,#N/A,FALSE,"IPO";#N/A,#N/A,FALSE,"DCF";#N/A,#N/A,FALSE,"LBO";#N/A,#N/A,FALSE,"MULT_VAL";#N/A,#N/A,FALSE,"Status Quo";#N/A,#N/A,FALSE,"Recap"}</definedName>
    <definedName name="wrn.merger." localSheetId="8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wrn.merger.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wrn.MERGER._.PLANS." localSheetId="8" hidden="1">{"Assumptions1",#N/A,FALSE,"Assumptions";"MergerPlans1","20yearamort",FALSE,"MergerPlans";"MergerPlans1","40yearamort",FALSE,"MergerPlans";"MergerPlans2",#N/A,FALSE,"MergerPlans";"inputs",#N/A,FALSE,"MergerPlans"}</definedName>
    <definedName name="wrn.MERGER._.PLANS." hidden="1">{"Assumptions1",#N/A,FALSE,"Assumptions";"MergerPlans1","20yearamort",FALSE,"MergerPlans";"MergerPlans1","40yearamort",FALSE,"MergerPlans";"MergerPlans2",#N/A,FALSE,"MergerPlans";"inputs",#N/A,FALSE,"MergerPlans"}</definedName>
    <definedName name="wrn.merger._1" localSheetId="8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wrn.merger._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wrn.MES." localSheetId="8" hidden="1">{#N/A,#N/A,FALSE,"US$MEDIO"}</definedName>
    <definedName name="wrn.MES." hidden="1">{#N/A,#N/A,FALSE,"US$MEDIO"}</definedName>
    <definedName name="wrn.Mês." localSheetId="7" hidden="1">{"Mês",#N/A,FALSE,"Mês"}</definedName>
    <definedName name="wrn.Mês." localSheetId="8" hidden="1">{"Mês",#N/A,FALSE,"Mês"}</definedName>
    <definedName name="wrn.Mês." hidden="1">{"Mês",#N/A,FALSE,"Mês"}</definedName>
    <definedName name="wrn.Mes._.Div._.1." localSheetId="7" hidden="1">{"Mes Div 1",#N/A,FALSE,"Mes Diversos 1"}</definedName>
    <definedName name="wrn.Mes._.Div._.1." localSheetId="8" hidden="1">{"Mes Div 1",#N/A,FALSE,"Mes Diversos 1"}</definedName>
    <definedName name="wrn.Mes._.Div._.1." hidden="1">{"Mes Div 1",#N/A,FALSE,"Mes Diversos 1"}</definedName>
    <definedName name="wrn.Mes._.Div._.2." localSheetId="7" hidden="1">{"Mes Div 2",#N/A,FALSE,"Mes Diversos 2"}</definedName>
    <definedName name="wrn.Mes._.Div._.2." localSheetId="8" hidden="1">{"Mes Div 2",#N/A,FALSE,"Mes Diversos 2"}</definedName>
    <definedName name="wrn.Mes._.Div._.2." hidden="1">{"Mes Div 2",#N/A,FALSE,"Mes Diversos 2"}</definedName>
    <definedName name="wrn.Mes._.Div._.3." localSheetId="7" hidden="1">{"Mes Div 3",#N/A,FALSE,"Mes Diversos 3"}</definedName>
    <definedName name="wrn.Mes._.Div._.3." localSheetId="8" hidden="1">{"Mes Div 3",#N/A,FALSE,"Mes Diversos 3"}</definedName>
    <definedName name="wrn.Mes._.Div._.3." hidden="1">{"Mes Div 3",#N/A,FALSE,"Mes Diversos 3"}</definedName>
    <definedName name="wrn.MF._.commentary._.on._.variance." localSheetId="8" hidden="1">{"Commentary",#N/A,FALSE,"May"}</definedName>
    <definedName name="wrn.MF._.commentary._.on._.variance." hidden="1">{"Commentary",#N/A,FALSE,"May"}</definedName>
    <definedName name="wrn.MF._.with._.BA._.detail." localSheetId="8" hidden="1">{"BA detail",#N/A,FALSE,"Q3YTD "}</definedName>
    <definedName name="wrn.MF._.with._.BA._.detail." hidden="1">{"BA detail",#N/A,FALSE,"Q3YTD "}</definedName>
    <definedName name="wrn.minorco." localSheetId="8" hidden="1">{#N/A,#N/A,FALSE,"EARNINGS";#N/A,#N/A,FALSE,"FINANCIAL";#N/A,#N/A,FALSE,"OPERATIONAL"}</definedName>
    <definedName name="wrn.minorco." hidden="1">{#N/A,#N/A,FALSE,"EARNINGS";#N/A,#N/A,FALSE,"FINANCIAL";#N/A,#N/A,FALSE,"OPERATIONAL"}</definedName>
    <definedName name="wrn.Mktg." localSheetId="8" hidden="1">{"Sal",#N/A,FALSE,"Public Rel &amp; Marketing";"Exp",#N/A,FALSE,"Public Rel &amp; Marketing";"Sum",#N/A,FALSE,"Public Rel &amp; Marketing";"Exp",#N/A,FALSE,"Promotions &amp; Advertising";"Sal",#N/A,FALSE,"Promotions &amp; Advertising";"Sum",#N/A,FALSE,"Promotions &amp; Advertising";"Exp",#N/A,FALSE," Advertising";"Sal",#N/A,FALSE," Advertising";"Sum",#N/A,FALSE," Advertising"}</definedName>
    <definedName name="wrn.Mktg." hidden="1">{"Sal",#N/A,FALSE,"Public Rel &amp; Marketing";"Exp",#N/A,FALSE,"Public Rel &amp; Marketing";"Sum",#N/A,FALSE,"Public Rel &amp; Marketing";"Exp",#N/A,FALSE,"Promotions &amp; Advertising";"Sal",#N/A,FALSE,"Promotions &amp; Advertising";"Sum",#N/A,FALSE,"Promotions &amp; Advertising";"Exp",#N/A,FALSE," Advertising";"Sal",#N/A,FALSE," Advertising";"Sum",#N/A,FALSE," Advertising"}</definedName>
    <definedName name="wrn.MLP." localSheetId="8" hidden="1">{#N/A,#N/A,FALSE,"Oppsumm DnB";#N/A,#N/A,FALSE,"Oppsumm BKD";#N/A,#N/A,FALSE,"Oppsumm KKD";#N/A,#N/A,FALSE,"Gen forutsetn";#N/A,#N/A,FALSE,"Strategisk alt.-Elektronisk";#N/A,#N/A,FALSE,"Kjøp av skillemynt";#N/A,#N/A,FALSE,"Salg av skillemynt";#N/A,#N/A,FALSE,"Sjekk andre bankers kunder";#N/A,#N/A,FALSE,"Innløsning av anvisning";#N/A,#N/A,FALSE,"Giro med kvittering";#N/A,#N/A,FALSE,"Giro uten kvittering";#N/A,#N/A,FALSE,"Uttak skranke";#N/A,#N/A,FALSE,"Innskudd skranke";#N/A,#N/A,FALSE,"Åpne punkter"}</definedName>
    <definedName name="wrn.MLP." hidden="1">{#N/A,#N/A,FALSE,"Oppsumm DnB";#N/A,#N/A,FALSE,"Oppsumm BKD";#N/A,#N/A,FALSE,"Oppsumm KKD";#N/A,#N/A,FALSE,"Gen forutsetn";#N/A,#N/A,FALSE,"Strategisk alt.-Elektronisk";#N/A,#N/A,FALSE,"Kjøp av skillemynt";#N/A,#N/A,FALSE,"Salg av skillemynt";#N/A,#N/A,FALSE,"Sjekk andre bankers kunder";#N/A,#N/A,FALSE,"Innløsning av anvisning";#N/A,#N/A,FALSE,"Giro med kvittering";#N/A,#N/A,FALSE,"Giro uten kvittering";#N/A,#N/A,FALSE,"Uttak skranke";#N/A,#N/A,FALSE,"Innskudd skranke";#N/A,#N/A,FALSE,"Åpne punkter"}</definedName>
    <definedName name="wrn.MLP._.scenarier." localSheetId="8" hidden="1">{#N/A,#N/A,FALSE,"Scen Kjøp sk.mynt 1";#N/A,#N/A,FALSE,"Scen-Salg sk-mynt 1";#N/A,#N/A,FALSE,"Scenario-Sjekk andre banker";#N/A,#N/A,FALSE,"Scenario - innløsning";#N/A,#N/A,FALSE,"Scenario -Giro_m_kvittering";#N/A,#N/A,FALSE,"Scenario-Giro_u_kvitt";#N/A,#N/A,FALSE,"Scenario - uttak skranke";#N/A,#N/A,FALSE,"Scenario - bedriftsinnskudd"}</definedName>
    <definedName name="wrn.MLP._.scenarier." hidden="1">{#N/A,#N/A,FALSE,"Scen Kjøp sk.mynt 1";#N/A,#N/A,FALSE,"Scen-Salg sk-mynt 1";#N/A,#N/A,FALSE,"Scenario-Sjekk andre banker";#N/A,#N/A,FALSE,"Scenario - innløsning";#N/A,#N/A,FALSE,"Scenario -Giro_m_kvittering";#N/A,#N/A,FALSE,"Scenario-Giro_u_kvitt";#N/A,#N/A,FALSE,"Scenario - uttak skranke";#N/A,#N/A,FALSE,"Scenario - bedriftsinnskudd"}</definedName>
    <definedName name="wrn.MOBIL." localSheetId="8" hidden="1">{"quarter",#N/A,FALSE,"MOB"}</definedName>
    <definedName name="wrn.MOBIL." hidden="1">{"quarter",#N/A,FALSE,"MOB"}</definedName>
    <definedName name="wrn.Model." localSheetId="8" hidden="1">{#N/A,#N/A,TRUE,"General";#N/A,#N/A,TRUE,"PF IS";#N/A,#N/A,TRUE,"PF BS";#N/A,#N/A,TRUE,"Summary";#N/A,#N/A,TRUE,"Acq Matrix"}</definedName>
    <definedName name="wrn.Model." hidden="1">{#N/A,#N/A,TRUE,"General";#N/A,#N/A,TRUE,"PF IS";#N/A,#N/A,TRUE,"PF BS";#N/A,#N/A,TRUE,"Summary";#N/A,#N/A,TRUE,"Acq Matrix"}</definedName>
    <definedName name="wrn.Model._.Summary._.for._.Mr._.Savage." localSheetId="8" hidden="1">{#N/A,#N/A,FALSE,"IC Annex";#N/A,#N/A,FALSE,"Sensitivity";#N/A,#N/A,FALSE,"Key Assumptions";#N/A,#N/A,FALSE,"Graphs";#N/A,#N/A,FALSE,"Global Assumptions";#N/A,#N/A,FALSE,"P&amp;L";#N/A,#N/A,FALSE,"Balance Sheet";#N/A,#N/A,FALSE,"Cash Flow"}</definedName>
    <definedName name="wrn.Model._.Summary._.for._.Mr._.Savage." hidden="1">{#N/A,#N/A,FALSE,"IC Annex";#N/A,#N/A,FALSE,"Sensitivity";#N/A,#N/A,FALSE,"Key Assumptions";#N/A,#N/A,FALSE,"Graphs";#N/A,#N/A,FALSE,"Global Assumptions";#N/A,#N/A,FALSE,"P&amp;L";#N/A,#N/A,FALSE,"Balance Sheet";#N/A,#N/A,FALSE,"Cash Flow"}</definedName>
    <definedName name="wrn.Model._.Summary._.Output." localSheetId="8" hidden="1">{#N/A,#N/A,FALSE,"Global Assumptions";#N/A,#N/A,FALSE,"NZ Valuation";#N/A,#N/A,FALSE,"P&amp;L";#N/A,#N/A,FALSE,"Balance Sheet";#N/A,#N/A,FALSE,"Cash Flow";#N/A,#N/A,FALSE,"Key Assumptions";#N/A,#N/A,FALSE,"Graphs";#N/A,#N/A,FALSE,"Core EBIT Summary";#N/A,#N/A,FALSE,"National Tolls - Residential";#N/A,#N/A,FALSE,"National Tolls - Business";#N/A,#N/A,FALSE,"Internat'l Tolls - Residential";#N/A,#N/A,FALSE,"Internat'l Tolls - Business";#N/A,#N/A,FALSE,"Faxplus";#N/A,#N/A,FALSE,"Business Local Service";#N/A,#N/A,FALSE,"Data Services";#N/A,#N/A,FALSE,"Cellular"}</definedName>
    <definedName name="wrn.Model._.Summary._.Output." hidden="1">{#N/A,#N/A,FALSE,"Global Assumptions";#N/A,#N/A,FALSE,"NZ Valuation";#N/A,#N/A,FALSE,"P&amp;L";#N/A,#N/A,FALSE,"Balance Sheet";#N/A,#N/A,FALSE,"Cash Flow";#N/A,#N/A,FALSE,"Key Assumptions";#N/A,#N/A,FALSE,"Graphs";#N/A,#N/A,FALSE,"Core EBIT Summary";#N/A,#N/A,FALSE,"National Tolls - Residential";#N/A,#N/A,FALSE,"National Tolls - Business";#N/A,#N/A,FALSE,"Internat'l Tolls - Residential";#N/A,#N/A,FALSE,"Internat'l Tolls - Business";#N/A,#N/A,FALSE,"Faxplus";#N/A,#N/A,FALSE,"Business Local Service";#N/A,#N/A,FALSE,"Data Services";#N/A,#N/A,FALSE,"Cellular"}</definedName>
    <definedName name="wrn.Model._.Summary._.Short." localSheetId="8" hidden="1">{#N/A,#N/A,FALSE,"IC Annex";#N/A,#N/A,FALSE,"Sensitivity";#N/A,#N/A,FALSE,"P&amp;L";#N/A,#N/A,FALSE,"Balance Sheet";#N/A,#N/A,FALSE,"Cash Flow";#N/A,#N/A,FALSE,"Key Assumptions";#N/A,#N/A,FALSE,"Global Assumptions";#N/A,#N/A,FALSE,"Graphs"}</definedName>
    <definedName name="wrn.Model._.Summary._.Short." hidden="1">{#N/A,#N/A,FALSE,"IC Annex";#N/A,#N/A,FALSE,"Sensitivity";#N/A,#N/A,FALSE,"P&amp;L";#N/A,#N/A,FALSE,"Balance Sheet";#N/A,#N/A,FALSE,"Cash Flow";#N/A,#N/A,FALSE,"Key Assumptions";#N/A,#N/A,FALSE,"Global Assumptions";#N/A,#N/A,FALSE,"Graphs"}</definedName>
    <definedName name="wrn.Model._1" localSheetId="8" hidden="1">{#N/A,#N/A,TRUE,"General";#N/A,#N/A,TRUE,"PF IS";#N/A,#N/A,TRUE,"PF BS";#N/A,#N/A,TRUE,"Summary";#N/A,#N/A,TRUE,"Acq Matrix"}</definedName>
    <definedName name="wrn.Model._1" hidden="1">{#N/A,#N/A,TRUE,"General";#N/A,#N/A,TRUE,"PF IS";#N/A,#N/A,TRUE,"PF BS";#N/A,#N/A,TRUE,"Summary";#N/A,#N/A,TRUE,"Acq Matrix"}</definedName>
    <definedName name="wrn.Modello." localSheetId="8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wrn.Modello.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wrn.Modello._1" localSheetId="8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wrn.Modello._1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wrn.Modello._2" localSheetId="8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wrn.Modello._2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wrn.modello1" localSheetId="8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wrn.modello1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wrn.Modelo." localSheetId="8" hidden="1">{#N/A,#N/A,FALSE,"Caratula";#N/A,#N/A,FALSE,"Maniobra";#N/A,#N/A,FALSE,"LlenVac";#N/A,#N/A,FALSE,"Almacen";#N/A,#N/A,FALSE,"Consolas";#N/A,#N/A,FALSE,"ProyRes";#N/A,#N/A,FALSE,"OrigApl";#N/A,#N/A,FALSE,"Inversio";#N/A,#N/A,FALSE,"Financiam";#N/A,#N/A,FALSE,"CapTrab";#N/A,#N/A,FALSE,"EscalaVar"}</definedName>
    <definedName name="wrn.Modelo." hidden="1">{#N/A,#N/A,FALSE,"Caratula";#N/A,#N/A,FALSE,"Maniobra";#N/A,#N/A,FALSE,"LlenVac";#N/A,#N/A,FALSE,"Almacen";#N/A,#N/A,FALSE,"Consolas";#N/A,#N/A,FALSE,"ProyRes";#N/A,#N/A,FALSE,"OrigApl";#N/A,#N/A,FALSE,"Inversio";#N/A,#N/A,FALSE,"Financiam";#N/A,#N/A,FALSE,"CapTrab";#N/A,#N/A,FALSE,"EscalaVar"}</definedName>
    <definedName name="wrn.Modelo._1" localSheetId="8" hidden="1">{#N/A,#N/A,FALSE,"Caratula";#N/A,#N/A,FALSE,"Maniobra";#N/A,#N/A,FALSE,"LlenVac";#N/A,#N/A,FALSE,"Almacen";#N/A,#N/A,FALSE,"Consolas";#N/A,#N/A,FALSE,"ProyRes";#N/A,#N/A,FALSE,"OrigApl";#N/A,#N/A,FALSE,"Inversio";#N/A,#N/A,FALSE,"Financiam";#N/A,#N/A,FALSE,"CapTrab";#N/A,#N/A,FALSE,"EscalaVar"}</definedName>
    <definedName name="wrn.Modelo._1" hidden="1">{#N/A,#N/A,FALSE,"Caratula";#N/A,#N/A,FALSE,"Maniobra";#N/A,#N/A,FALSE,"LlenVac";#N/A,#N/A,FALSE,"Almacen";#N/A,#N/A,FALSE,"Consolas";#N/A,#N/A,FALSE,"ProyRes";#N/A,#N/A,FALSE,"OrigApl";#N/A,#N/A,FALSE,"Inversio";#N/A,#N/A,FALSE,"Financiam";#N/A,#N/A,FALSE,"CapTrab";#N/A,#N/A,FALSE,"EscalaVar"}</definedName>
    <definedName name="wrn.MONTH._.YTD." localSheetId="8" hidden="1">{"month_a",#N/A,FALSE,"ACTUALS";"ytd_a",#N/A,FALSE,"ACTUALS"}</definedName>
    <definedName name="wrn.MONTH._.YTD." hidden="1">{"month_a",#N/A,FALSE,"ACTUALS";"ytd_a",#N/A,FALSE,"ACTUALS"}</definedName>
    <definedName name="wrn.Monthly._.Act._.P_L." localSheetId="8" hidden="1">{"Monthly",#N/A,FALSE,"1.2"}</definedName>
    <definedName name="wrn.Monthly._.Act._.P_L." hidden="1">{"Monthly",#N/A,FALSE,"1.2"}</definedName>
    <definedName name="wrn.Monthly._.Act._.P_L._1" localSheetId="8" hidden="1">{"Monthly",#N/A,FALSE,"1.2"}</definedName>
    <definedName name="wrn.Monthly._.Act._.P_L._1" hidden="1">{"Monthly",#N/A,FALSE,"1.2"}</definedName>
    <definedName name="wrn.monthly._.financial." localSheetId="8" hidden="1">{#N/A,#N/A,FALSE,"SUMMARY 4a";#N/A,#N/A,FALSE,"GBA 4b";#N/A,#N/A,FALSE,"TENANT 4c";#N/A,#N/A,FALSE,"BUDGET DETAIL";#N/A,#N/A,FALSE,"PRO FORMA"}</definedName>
    <definedName name="wrn.monthly._.financial." hidden="1">{#N/A,#N/A,FALSE,"SUMMARY 4a";#N/A,#N/A,FALSE,"GBA 4b";#N/A,#N/A,FALSE,"TENANT 4c";#N/A,#N/A,FALSE,"BUDGET DETAIL";#N/A,#N/A,FALSE,"PRO FORMA"}</definedName>
    <definedName name="wrn.Monthly._.Report." localSheetId="8" hidden="1">{#N/A,#N/A,FALSE,"Summary Page";#N/A,#N/A,FALSE,"Collections Listing";#N/A,#N/A,FALSE,"Lessee 60 days past due";#N/A,#N/A,FALSE,"Revenues--Lend Base JP Morgan";#N/A,#N/A,FALSE,"JP Morgan Debt Amort Schedule";#N/A,#N/A,FALSE,"Covenant Analysis"}</definedName>
    <definedName name="wrn.Monthly._.Report." hidden="1">{#N/A,#N/A,FALSE,"Summary Page";#N/A,#N/A,FALSE,"Collections Listing";#N/A,#N/A,FALSE,"Lessee 60 days past due";#N/A,#N/A,FALSE,"Revenues--Lend Base JP Morgan";#N/A,#N/A,FALSE,"JP Morgan Debt Amort Schedule";#N/A,#N/A,FALSE,"Covenant Analysis"}</definedName>
    <definedName name="wrn.MONTHLYREP." localSheetId="8" hidden="1">{#N/A,#N/A,FALSE,"HIGHNEW";#N/A,#N/A,FALSE,"HIGHOLD";#N/A,#N/A,FALSE,"MTHDET"}</definedName>
    <definedName name="wrn.MONTHLYREP." hidden="1">{#N/A,#N/A,FALSE,"HIGHNEW";#N/A,#N/A,FALSE,"HIGHOLD";#N/A,#N/A,FALSE,"MTHDET"}</definedName>
    <definedName name="wrn.MONTHLYREP._1" localSheetId="8" hidden="1">{#N/A,#N/A,FALSE,"HIGHNEW";#N/A,#N/A,FALSE,"HIGHOLD";#N/A,#N/A,FALSE,"MTHDET"}</definedName>
    <definedName name="wrn.MONTHLYREP._1" hidden="1">{#N/A,#N/A,FALSE,"HIGHNEW";#N/A,#N/A,FALSE,"HIGHOLD";#N/A,#N/A,FALSE,"MTHDET"}</definedName>
    <definedName name="wrn.Mor._.Pack._.January." localSheetId="8" hidden="1">{#N/A,#N/A,FALSE,"Contents";"Jan 96",#N/A,FALSE,"1.1";#N/A,#N/A,FALSE,"1.2";#N/A,#N/A,FALSE,"1.3";#N/A,#N/A,FALSE,"1.4";#N/A,#N/A,FALSE,"2.0";#N/A,#N/A,FALSE,"3.1";#N/A,#N/A,FALSE,"3.2";#N/A,#N/A,FALSE,"4.1";#N/A,#N/A,FALSE,"4.2";#N/A,#N/A,FALSE,"5.1";#N/A,#N/A,FALSE,"5.2";#N/A,#N/A,FALSE,"5.3";#N/A,#N/A,FALSE,"6.1";#N/A,#N/A,FALSE,"6.2";#N/A,#N/A,FALSE,"7.0";#N/A,#N/A,FALSE,"8.0"}</definedName>
    <definedName name="wrn.Mor._.Pack._.January." hidden="1">{#N/A,#N/A,FALSE,"Contents";"Jan 96",#N/A,FALSE,"1.1";#N/A,#N/A,FALSE,"1.2";#N/A,#N/A,FALSE,"1.3";#N/A,#N/A,FALSE,"1.4";#N/A,#N/A,FALSE,"2.0";#N/A,#N/A,FALSE,"3.1";#N/A,#N/A,FALSE,"3.2";#N/A,#N/A,FALSE,"4.1";#N/A,#N/A,FALSE,"4.2";#N/A,#N/A,FALSE,"5.1";#N/A,#N/A,FALSE,"5.2";#N/A,#N/A,FALSE,"5.3";#N/A,#N/A,FALSE,"6.1";#N/A,#N/A,FALSE,"6.2";#N/A,#N/A,FALSE,"7.0";#N/A,#N/A,FALSE,"8.0"}</definedName>
    <definedName name="wrn.Mor._.Pack._.January._1" localSheetId="8" hidden="1">{#N/A,#N/A,FALSE,"Contents";"Jan 96",#N/A,FALSE,"1.1";#N/A,#N/A,FALSE,"1.2";#N/A,#N/A,FALSE,"1.3";#N/A,#N/A,FALSE,"1.4";#N/A,#N/A,FALSE,"2.0";#N/A,#N/A,FALSE,"3.1";#N/A,#N/A,FALSE,"3.2";#N/A,#N/A,FALSE,"4.1";#N/A,#N/A,FALSE,"4.2";#N/A,#N/A,FALSE,"5.1";#N/A,#N/A,FALSE,"5.2";#N/A,#N/A,FALSE,"5.3";#N/A,#N/A,FALSE,"6.1";#N/A,#N/A,FALSE,"6.2";#N/A,#N/A,FALSE,"7.0";#N/A,#N/A,FALSE,"8.0"}</definedName>
    <definedName name="wrn.Mor._.Pack._.January._1" hidden="1">{#N/A,#N/A,FALSE,"Contents";"Jan 96",#N/A,FALSE,"1.1";#N/A,#N/A,FALSE,"1.2";#N/A,#N/A,FALSE,"1.3";#N/A,#N/A,FALSE,"1.4";#N/A,#N/A,FALSE,"2.0";#N/A,#N/A,FALSE,"3.1";#N/A,#N/A,FALSE,"3.2";#N/A,#N/A,FALSE,"4.1";#N/A,#N/A,FALSE,"4.2";#N/A,#N/A,FALSE,"5.1";#N/A,#N/A,FALSE,"5.2";#N/A,#N/A,FALSE,"5.3";#N/A,#N/A,FALSE,"6.1";#N/A,#N/A,FALSE,"6.2";#N/A,#N/A,FALSE,"7.0";#N/A,#N/A,FALSE,"8.0"}</definedName>
    <definedName name="wrn.MRP._.Pack._.excl._.cash." localSheetId="8" hidden="1">{#N/A,#N/A,FALSE,"Header";#N/A,#N/A,FALSE,"Group Statement";#N/A,#N/A,FALSE,"Tog Report";#N/A,#N/A,FALSE,"Togethr Comments";#N/A,#N/A,FALSE,"Customer Admin Report";#N/A,#N/A,FALSE,"Insure Report";#N/A,#N/A,FALSE,"Insure Comments";#N/A,#N/A,FALSE,"XCS Report";#N/A,#N/A,FALSE,"XCS Comments";#N/A,#N/A,FALSE,"Proc Report";#N/A,#N/A,FALSE,"Proc Comments";#N/A,#N/A,FALSE,"New Entity (0502) Report";#N/A,#N/A,FALSE,"Bus Serv &amp; Invest "}</definedName>
    <definedName name="wrn.MRP._.Pack._.excl._.cash." hidden="1">{#N/A,#N/A,FALSE,"Header";#N/A,#N/A,FALSE,"Group Statement";#N/A,#N/A,FALSE,"Tog Report";#N/A,#N/A,FALSE,"Togethr Comments";#N/A,#N/A,FALSE,"Customer Admin Report";#N/A,#N/A,FALSE,"Insure Report";#N/A,#N/A,FALSE,"Insure Comments";#N/A,#N/A,FALSE,"XCS Report";#N/A,#N/A,FALSE,"XCS Comments";#N/A,#N/A,FALSE,"Proc Report";#N/A,#N/A,FALSE,"Proc Comments";#N/A,#N/A,FALSE,"New Entity (0502) Report";#N/A,#N/A,FALSE,"Bus Serv &amp; Invest "}</definedName>
    <definedName name="wrn.MRP._.Pack._.excl._.cash._1" localSheetId="8" hidden="1">{#N/A,#N/A,FALSE,"Header";#N/A,#N/A,FALSE,"Group Statement";#N/A,#N/A,FALSE,"Tog Report";#N/A,#N/A,FALSE,"Togethr Comments";#N/A,#N/A,FALSE,"Customer Admin Report";#N/A,#N/A,FALSE,"Insure Report";#N/A,#N/A,FALSE,"Insure Comments";#N/A,#N/A,FALSE,"XCS Report";#N/A,#N/A,FALSE,"XCS Comments";#N/A,#N/A,FALSE,"Proc Report";#N/A,#N/A,FALSE,"Proc Comments";#N/A,#N/A,FALSE,"New Entity (0502) Report";#N/A,#N/A,FALSE,"Bus Serv &amp; Invest "}</definedName>
    <definedName name="wrn.MRP._.Pack._.excl._.cash._1" hidden="1">{#N/A,#N/A,FALSE,"Header";#N/A,#N/A,FALSE,"Group Statement";#N/A,#N/A,FALSE,"Tog Report";#N/A,#N/A,FALSE,"Togethr Comments";#N/A,#N/A,FALSE,"Customer Admin Report";#N/A,#N/A,FALSE,"Insure Report";#N/A,#N/A,FALSE,"Insure Comments";#N/A,#N/A,FALSE,"XCS Report";#N/A,#N/A,FALSE,"XCS Comments";#N/A,#N/A,FALSE,"Proc Report";#N/A,#N/A,FALSE,"Proc Comments";#N/A,#N/A,FALSE,"New Entity (0502) Report";#N/A,#N/A,FALSE,"Bus Serv &amp; Invest "}</definedName>
    <definedName name="wrn.MRP._.Pack._.excl._.commentary." localSheetId="8" hidden="1">{#N/A,#N/A,FALSE,"Header";#N/A,#N/A,FALSE,"Group Statement";#N/A,#N/A,FALSE,"Group P&amp;L Analysis";#N/A,#N/A,FALSE,"Tog Report";#N/A,#N/A,FALSE,"Customer Admin Report";#N/A,#N/A,FALSE,"Insure Report";#N/A,#N/A,FALSE,"XCS Report";#N/A,#N/A,FALSE,"Proc Report";#N/A,#N/A,FALSE,"New Entity (0502) Report";#N/A,#N/A,FALSE,"Bus Serv &amp; Invest ";#N/A,#N/A,FALSE,"Cash Flow"}</definedName>
    <definedName name="wrn.MRP._.Pack._.excl._.commentary." hidden="1">{#N/A,#N/A,FALSE,"Header";#N/A,#N/A,FALSE,"Group Statement";#N/A,#N/A,FALSE,"Group P&amp;L Analysis";#N/A,#N/A,FALSE,"Tog Report";#N/A,#N/A,FALSE,"Customer Admin Report";#N/A,#N/A,FALSE,"Insure Report";#N/A,#N/A,FALSE,"XCS Report";#N/A,#N/A,FALSE,"Proc Report";#N/A,#N/A,FALSE,"New Entity (0502) Report";#N/A,#N/A,FALSE,"Bus Serv &amp; Invest ";#N/A,#N/A,FALSE,"Cash Flow"}</definedName>
    <definedName name="wrn.MRP._.Pack._.excl._.commentary._1" localSheetId="8" hidden="1">{#N/A,#N/A,FALSE,"Header";#N/A,#N/A,FALSE,"Group Statement";#N/A,#N/A,FALSE,"Group P&amp;L Analysis";#N/A,#N/A,FALSE,"Tog Report";#N/A,#N/A,FALSE,"Customer Admin Report";#N/A,#N/A,FALSE,"Insure Report";#N/A,#N/A,FALSE,"XCS Report";#N/A,#N/A,FALSE,"Proc Report";#N/A,#N/A,FALSE,"New Entity (0502) Report";#N/A,#N/A,FALSE,"Bus Serv &amp; Invest ";#N/A,#N/A,FALSE,"Cash Flow"}</definedName>
    <definedName name="wrn.MRP._.Pack._.excl._.commentary._1" hidden="1">{#N/A,#N/A,FALSE,"Header";#N/A,#N/A,FALSE,"Group Statement";#N/A,#N/A,FALSE,"Group P&amp;L Analysis";#N/A,#N/A,FALSE,"Tog Report";#N/A,#N/A,FALSE,"Customer Admin Report";#N/A,#N/A,FALSE,"Insure Report";#N/A,#N/A,FALSE,"XCS Report";#N/A,#N/A,FALSE,"Proc Report";#N/A,#N/A,FALSE,"New Entity (0502) Report";#N/A,#N/A,FALSE,"Bus Serv &amp; Invest ";#N/A,#N/A,FALSE,"Cash Flow"}</definedName>
    <definedName name="wrn.MRP._.Pack._.inc._.commentary." localSheetId="8" hidden="1">{#N/A,#N/A,FALSE,"Header";#N/A,#N/A,FALSE,"Group Statement";#N/A,#N/A,FALSE,"Tog Report";#N/A,#N/A,FALSE,"Togethr Comments";#N/A,#N/A,FALSE,"Customer Admin Report";#N/A,#N/A,FALSE,"Insure Report";#N/A,#N/A,FALSE,"Insure Comments";#N/A,#N/A,FALSE,"XCS Report";#N/A,#N/A,FALSE,"XCS Comments";#N/A,#N/A,FALSE,"Proc Report";#N/A,#N/A,FALSE,"Proc Comments";#N/A,#N/A,FALSE,"New Entity (0502) Report";#N/A,#N/A,FALSE,"Bus Serv &amp; Invest ";#N/A,#N/A,FALSE,"Cash Flow"}</definedName>
    <definedName name="wrn.MRP._.Pack._.inc._.commentary." hidden="1">{#N/A,#N/A,FALSE,"Header";#N/A,#N/A,FALSE,"Group Statement";#N/A,#N/A,FALSE,"Tog Report";#N/A,#N/A,FALSE,"Togethr Comments";#N/A,#N/A,FALSE,"Customer Admin Report";#N/A,#N/A,FALSE,"Insure Report";#N/A,#N/A,FALSE,"Insure Comments";#N/A,#N/A,FALSE,"XCS Report";#N/A,#N/A,FALSE,"XCS Comments";#N/A,#N/A,FALSE,"Proc Report";#N/A,#N/A,FALSE,"Proc Comments";#N/A,#N/A,FALSE,"New Entity (0502) Report";#N/A,#N/A,FALSE,"Bus Serv &amp; Invest ";#N/A,#N/A,FALSE,"Cash Flow"}</definedName>
    <definedName name="wrn.MRP._.Pack._.inc._.commentary._1" localSheetId="8" hidden="1">{#N/A,#N/A,FALSE,"Header";#N/A,#N/A,FALSE,"Group Statement";#N/A,#N/A,FALSE,"Tog Report";#N/A,#N/A,FALSE,"Togethr Comments";#N/A,#N/A,FALSE,"Customer Admin Report";#N/A,#N/A,FALSE,"Insure Report";#N/A,#N/A,FALSE,"Insure Comments";#N/A,#N/A,FALSE,"XCS Report";#N/A,#N/A,FALSE,"XCS Comments";#N/A,#N/A,FALSE,"Proc Report";#N/A,#N/A,FALSE,"Proc Comments";#N/A,#N/A,FALSE,"New Entity (0502) Report";#N/A,#N/A,FALSE,"Bus Serv &amp; Invest ";#N/A,#N/A,FALSE,"Cash Flow"}</definedName>
    <definedName name="wrn.MRP._.Pack._.inc._.commentary._1" hidden="1">{#N/A,#N/A,FALSE,"Header";#N/A,#N/A,FALSE,"Group Statement";#N/A,#N/A,FALSE,"Tog Report";#N/A,#N/A,FALSE,"Togethr Comments";#N/A,#N/A,FALSE,"Customer Admin Report";#N/A,#N/A,FALSE,"Insure Report";#N/A,#N/A,FALSE,"Insure Comments";#N/A,#N/A,FALSE,"XCS Report";#N/A,#N/A,FALSE,"XCS Comments";#N/A,#N/A,FALSE,"Proc Report";#N/A,#N/A,FALSE,"Proc Comments";#N/A,#N/A,FALSE,"New Entity (0502) Report";#N/A,#N/A,FALSE,"Bus Serv &amp; Invest ";#N/A,#N/A,FALSE,"Cash Flow"}</definedName>
    <definedName name="wrn.msarco." localSheetId="8" hidden="1">{#N/A,#N/A,TRUE,"omzontw.aholdldn";#N/A,#N/A,TRUE,"omzetontwikah";#N/A,#N/A,TRUE,"do'sdont's";#N/A,#N/A,TRUE,"man.samenvatting";#N/A,#N/A,TRUE,"budgetfy99";#N/A,#N/A,TRUE,"wasmiddelen";#N/A,#N/A,TRUE,"wasmiddelen";#N/A,#N/A,TRUE,"Toiletblokken";#N/A,#N/A,TRUE,"reinigers &amp; overig";#N/A,#N/A,TRUE,"omzetontwikah";#N/A,#N/A,TRUE,"omzetontwikah";#N/A,#N/A,TRUE,"omzetontwikah";#N/A,#N/A,TRUE,"omzetontwikah";#N/A,#N/A,TRUE,"omzetontwikah"}</definedName>
    <definedName name="wrn.msarco." hidden="1">{#N/A,#N/A,TRUE,"omzontw.aholdldn";#N/A,#N/A,TRUE,"omzetontwikah";#N/A,#N/A,TRUE,"do'sdont's";#N/A,#N/A,TRUE,"man.samenvatting";#N/A,#N/A,TRUE,"budgetfy99";#N/A,#N/A,TRUE,"wasmiddelen";#N/A,#N/A,TRUE,"wasmiddelen";#N/A,#N/A,TRUE,"Toiletblokken";#N/A,#N/A,TRUE,"reinigers &amp; overig";#N/A,#N/A,TRUE,"omzetontwikah";#N/A,#N/A,TRUE,"omzetontwikah";#N/A,#N/A,TRUE,"omzetontwikah";#N/A,#N/A,TRUE,"omzetontwikah";#N/A,#N/A,TRUE,"omzetontwikah"}</definedName>
    <definedName name="wrn.MTHLYGP." localSheetId="8" hidden="1">{"TXO2N2_GP",#N/A,FALSE,"MTHLYGP";"TXH2_GP",#N/A,FALSE,"MTHLYGP";"LOUIS_GP",#N/A,FALSE,"MTHLYGP";"H2_GP",#N/A,FALSE,"MTHLYGP";"O2N2_GP",#N/A,FALSE,"MTHLYGP";"PACKAGE_GP",#N/A,FALSE,"MTHLYGP";"OTHER_GP",#N/A,FALSE,"MTHLYGP"}</definedName>
    <definedName name="wrn.MTHLYGP." hidden="1">{"TXO2N2_GP",#N/A,FALSE,"MTHLYGP";"TXH2_GP",#N/A,FALSE,"MTHLYGP";"LOUIS_GP",#N/A,FALSE,"MTHLYGP";"H2_GP",#N/A,FALSE,"MTHLYGP";"O2N2_GP",#N/A,FALSE,"MTHLYGP";"PACKAGE_GP",#N/A,FALSE,"MTHLYGP";"OTHER_GP",#N/A,FALSE,"MTHLYGP"}</definedName>
    <definedName name="wrn.MTHLYSLES." localSheetId="8" hidden="1">{"TXO2N2_SLS",#N/A,FALSE,"MTHLYSLES";"TXH2_SLS",#N/A,FALSE,"MTHLYSLES";"LOUIS_SLS",#N/A,FALSE,"MTHLYSLES";"H2_SLS",#N/A,FALSE,"MTHLYSLES";"O2N2_SLS",#N/A,FALSE,"MTHLYSLES";"PACKAGE_SLS",#N/A,FALSE,"MTHLYSLES"}</definedName>
    <definedName name="wrn.MTHLYSLES." hidden="1">{"TXO2N2_SLS",#N/A,FALSE,"MTHLYSLES";"TXH2_SLS",#N/A,FALSE,"MTHLYSLES";"LOUIS_SLS",#N/A,FALSE,"MTHLYSLES";"H2_SLS",#N/A,FALSE,"MTHLYSLES";"O2N2_SLS",#N/A,FALSE,"MTHLYSLES";"PACKAGE_SLS",#N/A,FALSE,"MTHLYSLES"}</definedName>
    <definedName name="wrn.MTHYLYVOL." localSheetId="8" hidden="1">{"TEXO2N2_VOL",#N/A,FALSE,"MTHLYVOL";"TEXH2_VOL",#N/A,FALSE,"MTHLYVOL";"LOUIS_VOL",#N/A,FALSE,"MTHLYVOL";"H2_VOL",#N/A,FALSE,"MTHLYVOL";"O2N2_VOL",#N/A,FALSE,"MTHLYVOL";"PACKAGE_VOL",#N/A,FALSE,"MTHLYVOL"}</definedName>
    <definedName name="wrn.MTHYLYVOL." hidden="1">{"TEXO2N2_VOL",#N/A,FALSE,"MTHLYVOL";"TEXH2_VOL",#N/A,FALSE,"MTHLYVOL";"LOUIS_VOL",#N/A,FALSE,"MTHLYVOL";"H2_VOL",#N/A,FALSE,"MTHLYVOL";"O2N2_VOL",#N/A,FALSE,"MTHLYVOL";"PACKAGE_VOL",#N/A,FALSE,"MTHLYVOL"}</definedName>
    <definedName name="wrn.Multiples._.Calculation." hidden="1">{#N/A,#N/A,FALSE,"GCM Data Sum";#N/A,#N/A,FALSE,"TIC-Calculation";#N/A,#N/A,FALSE,"TIC  Multiples";#N/A,#N/A,FALSE,"P-E &amp; Price to Book Multiples";#N/A,#N/A,FALSE,"Margins-EBITDA-to-Growth"}</definedName>
    <definedName name="wrn.MV." localSheetId="8" hidden="1">{"MV_CF",#N/A,FALSE,"MV_B_CF";"MV_Cumm",#N/A,FALSE,"MV_B_IS";"MV_BS",#N/A,FALSE,"MV_B_BS"}</definedName>
    <definedName name="wrn.MV." hidden="1">{"MV_CF",#N/A,FALSE,"MV_B_CF";"MV_Cumm",#N/A,FALSE,"MV_B_IS";"MV_BS",#N/A,FALSE,"MV_B_BS"}</definedName>
    <definedName name="wrn.NA._.Model._.T._.and._.B." localSheetId="8" hidden="1">{"NA Top",#N/A,FALSE,"NA Model";"NA Bottom",#N/A,FALSE,"NA Model"}</definedName>
    <definedName name="wrn.NA._.Model._.T._.and._.B." hidden="1">{"NA Top",#N/A,FALSE,"NA Model";"NA Bottom",#N/A,FALSE,"NA Model"}</definedName>
    <definedName name="wrn.NA_ULV._.Tand._.B." localSheetId="8" hidden="1">{"NA Top",#N/A,FALSE,"NA-ULV";"NA Bottom",#N/A,FALSE,"NA-ULV"}</definedName>
    <definedName name="wrn.NA_ULV._.Tand._.B." hidden="1">{"NA Top",#N/A,FALSE,"NA-ULV";"NA Bottom",#N/A,FALSE,"NA-ULV"}</definedName>
    <definedName name="wrn.NACIONAL." localSheetId="8" hidden="1">{#N/A,#N/A,FALSE,"PORTADA";#N/A,#N/A,FALSE,"INFORME";#N/A,#N/A,FALSE,"REAL MENSUALIZADO";#N/A,#N/A,FALSE,"PRESUPUESTO MENSUALIZADO"}</definedName>
    <definedName name="wrn.NACIONAL." hidden="1">{#N/A,#N/A,FALSE,"PORTADA";#N/A,#N/A,FALSE,"INFORME";#N/A,#N/A,FALSE,"REAL MENSUALIZADO";#N/A,#N/A,FALSE,"PRESUPUESTO MENSUALIZADO"}</definedName>
    <definedName name="wrn.NAM._.BS._.and._.CF._.Consolidation." localSheetId="8" hidden="1">{"Balance Sheet",#N/A,FALSE,"CBR North America Consolidated";"Cash Flows",#N/A,FALSE,"CBR North America Consolidated"}</definedName>
    <definedName name="wrn.NAM._.BS._.and._.CF._.Consolidation." hidden="1">{"Balance Sheet",#N/A,FALSE,"CBR North America Consolidated";"Cash Flows",#N/A,FALSE,"CBR North America Consolidated"}</definedName>
    <definedName name="wrn.NAM._.BS._.and._.CF._.Variances." localSheetId="8" hidden="1">{"Balance Sheet",#N/A,FALSE,"CBR NAM Consolidated vs. Plan";"Cash Flows",#N/A,FALSE,"CBR NAM Consolidated vs. Plan"}</definedName>
    <definedName name="wrn.NAM._.BS._.and._.CF._.Variances." hidden="1">{"Balance Sheet",#N/A,FALSE,"CBR NAM Consolidated vs. Plan";"Cash Flows",#N/A,FALSE,"CBR NAM Consolidated vs. Plan"}</definedName>
    <definedName name="wrn.NAM._.CF._.Variance." localSheetId="8" hidden="1">{"Cash Flows",#N/A,FALSE,"CBR NAM Consolidated vs. Plan"}</definedName>
    <definedName name="wrn.NAM._.CF._.Variance." hidden="1">{"Cash Flows",#N/A,FALSE,"CBR NAM Consolidated vs. Plan"}</definedName>
    <definedName name="wrn.NAM._.Cons._.BS." localSheetId="8" hidden="1">{"Balance Sheet",#N/A,FALSE,"CBR North America Consolidated"}</definedName>
    <definedName name="wrn.NAM._.Cons._.BS." hidden="1">{"Balance Sheet",#N/A,FALSE,"CBR North America Consolidated"}</definedName>
    <definedName name="wrn.natgastab." localSheetId="8" hidden="1">{"natgas1",#N/A,FALSE,"u.s. Natural Gas";"natgas2",#N/A,FALSE,"u.s. Natural Gas"}</definedName>
    <definedName name="wrn.natgastab." hidden="1">{"natgas1",#N/A,FALSE,"u.s. Natural Gas";"natgas2",#N/A,FALSE,"u.s. Natural Gas"}</definedName>
    <definedName name="wrn.new." localSheetId="8" hidden="1">{"new1",#N/A,FALSE,"FLEXPAC2";"new2",#N/A,FALSE,"FLEXPAC2"}</definedName>
    <definedName name="wrn.NEW." hidden="1">{"Total P&amp;L",#N/A,FALSE,"P&amp;LTECH";"SUMPIPELINE",#N/A,FALSE,"P&amp;LTECH";"REVENUE",#N/A,FALSE,"P&amp;LTECH";"r&amp;d",#N/A,FALSE,"P&amp;LTECH"}</definedName>
    <definedName name="wrn.new._1" localSheetId="8" hidden="1">{"new1",#N/A,FALSE,"FLEXPAC2";"new2",#N/A,FALSE,"FLEXPAC2"}</definedName>
    <definedName name="wrn.new._1" hidden="1">{"new1",#N/A,FALSE,"FLEXPAC2";"new2",#N/A,FALSE,"FLEXPAC2"}</definedName>
    <definedName name="wrn.newDEV." localSheetId="8" hidden="1">{"cover",#N/A,TRUE,"Cover";"pnl_NEWDEV",#N/A,TRUE,"NewCaseDEV";"bil_NEWDEV",#N/A,TRUE,"NewCaseDEV";"tabfi_NEWDEV",#N/A,TRUE,"NewCaseDEV";"ratios_NEWDEV",#N/A,TRUE,"NewCaseDEV";"variab_NEWDEV",#N/A,TRUE,"NewCaseDEV";"inv_NEWDEV",#N/A,TRUE,"NewCaseDEV"}</definedName>
    <definedName name="wrn.newDEV." hidden="1">{"cover",#N/A,TRUE,"Cover";"pnl_NEWDEV",#N/A,TRUE,"NewCaseDEV";"bil_NEWDEV",#N/A,TRUE,"NewCaseDEV";"tabfi_NEWDEV",#N/A,TRUE,"NewCaseDEV";"ratios_NEWDEV",#N/A,TRUE,"NewCaseDEV";"variab_NEWDEV",#N/A,TRUE,"NewCaseDEV";"inv_NEWDEV",#N/A,TRUE,"NewCaseDEV"}</definedName>
    <definedName name="wrn.newDEV._1" localSheetId="8" hidden="1">{"cover",#N/A,TRUE,"Cover";"pnl_NEWDEV",#N/A,TRUE,"NewCaseDEV";"bil_NEWDEV",#N/A,TRUE,"NewCaseDEV";"tabfi_NEWDEV",#N/A,TRUE,"NewCaseDEV";"ratios_NEWDEV",#N/A,TRUE,"NewCaseDEV";"variab_NEWDEV",#N/A,TRUE,"NewCaseDEV";"inv_NEWDEV",#N/A,TRUE,"NewCaseDEV"}</definedName>
    <definedName name="wrn.newDEV._1" hidden="1">{"cover",#N/A,TRUE,"Cover";"pnl_NEWDEV",#N/A,TRUE,"NewCaseDEV";"bil_NEWDEV",#N/A,TRUE,"NewCaseDEV";"tabfi_NEWDEV",#N/A,TRUE,"NewCaseDEV";"ratios_NEWDEV",#N/A,TRUE,"NewCaseDEV";"variab_NEWDEV",#N/A,TRUE,"NewCaseDEV";"inv_NEWDEV",#N/A,TRUE,"NewCaseDEV"}</definedName>
    <definedName name="wrn.newEUR." localSheetId="8" hidden="1">{"cover",#N/A,TRUE,"Cover";"pnl_NEWEUR",#N/A,TRUE,"NewCaseEUR";"bil_NEWEUR",#N/A,TRUE,"NewCaseEUR";"tabfi_NEWEUR",#N/A,TRUE,"NewCaseEUR";"ratios_NEWEUR",#N/A,TRUE,"NewCaseEUR";"variab_NEWEUR",#N/A,TRUE,"NewCaseEUR";"inv_NEWEUR",#N/A,TRUE,"NewCaseEUR"}</definedName>
    <definedName name="wrn.newEUR." hidden="1">{"cover",#N/A,TRUE,"Cover";"pnl_NEWEUR",#N/A,TRUE,"NewCaseEUR";"bil_NEWEUR",#N/A,TRUE,"NewCaseEUR";"tabfi_NEWEUR",#N/A,TRUE,"NewCaseEUR";"ratios_NEWEUR",#N/A,TRUE,"NewCaseEUR";"variab_NEWEUR",#N/A,TRUE,"NewCaseEUR";"inv_NEWEUR",#N/A,TRUE,"NewCaseEUR"}</definedName>
    <definedName name="wrn.newEUR._1" localSheetId="8" hidden="1">{"cover",#N/A,TRUE,"Cover";"pnl_NEWEUR",#N/A,TRUE,"NewCaseEUR";"bil_NEWEUR",#N/A,TRUE,"NewCaseEUR";"tabfi_NEWEUR",#N/A,TRUE,"NewCaseEUR";"ratios_NEWEUR",#N/A,TRUE,"NewCaseEUR";"variab_NEWEUR",#N/A,TRUE,"NewCaseEUR";"inv_NEWEUR",#N/A,TRUE,"NewCaseEUR"}</definedName>
    <definedName name="wrn.newEUR._1" hidden="1">{"cover",#N/A,TRUE,"Cover";"pnl_NEWEUR",#N/A,TRUE,"NewCaseEUR";"bil_NEWEUR",#N/A,TRUE,"NewCaseEUR";"tabfi_NEWEUR",#N/A,TRUE,"NewCaseEUR";"ratios_NEWEUR",#N/A,TRUE,"NewCaseEUR";"variab_NEWEUR",#N/A,TRUE,"NewCaseEUR";"inv_NEWEUR",#N/A,TRUE,"NewCaseEUR"}</definedName>
    <definedName name="wrn.NewRept.xls." localSheetId="8" hidden="1">{#N/A,#N/A,TRUE,"Sheet1";#N/A,#N/A,TRUE,"Sheet2";#N/A,#N/A,TRUE,"Sheet3";#N/A,#N/A,TRUE,"Sheet4";#N/A,#N/A,TRUE,"Sheet5";#N/A,#N/A,TRUE,"Sheet6";#N/A,#N/A,TRUE,"Sheet7"}</definedName>
    <definedName name="wrn.NewRept.xls." hidden="1">{#N/A,#N/A,TRUE,"Sheet1";#N/A,#N/A,TRUE,"Sheet2";#N/A,#N/A,TRUE,"Sheet3";#N/A,#N/A,TRUE,"Sheet4";#N/A,#N/A,TRUE,"Sheet5";#N/A,#N/A,TRUE,"Sheet6";#N/A,#N/A,TRUE,"Sheet7"}</definedName>
    <definedName name="wrn.News." localSheetId="8" hidden="1">{"Sum",#N/A,FALSE,"News";"Exp",#N/A,FALSE,"News";"Sal",#N/A,FALSE,"News"}</definedName>
    <definedName name="wrn.News." hidden="1">{"Sum",#N/A,FALSE,"News";"Exp",#N/A,FALSE,"News";"Sal",#N/A,FALSE,"News"}</definedName>
    <definedName name="wrn.NewWave." localSheetId="8" hidden="1">{"MAJNew",#N/A,FALSE,"MAJ";"BISNew",#N/A,FALSE,"BIS";"SMENew",#N/A,FALSE,"SME";"SMPNew",#N/A,FALSE,"SMP";"SMMNew",#N/A,FALSE,"SMM";"SMCNew",#N/A,FALSE,"SMC";"SMRNew",#N/A,FALSE,"SMR";"CNSNew",#N/A,FALSE,"CNS";"REGNew",#N/A,FALSE,"REG";"ALTNew",#N/A,FALSE,"ALT";"PMTNew",#N/A,FALSE,"PMT";"CPSNew",#N/A,FALSE,"CPS";"SERNew",#N/A,FALSE,"SER";"TATNew",#N/A,FALSE,"TAT";"BILNew",#N/A,FALSE,"BIL";"FINNew",#N/A,FALSE,"FIN";"HRSNew",#N/A,FALSE,"HRS";"CEONew",#N/A,FALSE,"CEO";"STPnew",#N/A,FALSE,"STP";"ELINew",#N/A,FALSE,"ELI";"OTHNew",#N/A,FALSE,"OTH";"CTGNew",#N/A,FALSE,"CTG";"CENNew",#N/A,FALSE,"CEN";"TOTNew",#N/A,FALSE,"TOT"}</definedName>
    <definedName name="wrn.NewWave." hidden="1">{"MAJNew",#N/A,FALSE,"MAJ";"BISNew",#N/A,FALSE,"BIS";"SMENew",#N/A,FALSE,"SME";"SMPNew",#N/A,FALSE,"SMP";"SMMNew",#N/A,FALSE,"SMM";"SMCNew",#N/A,FALSE,"SMC";"SMRNew",#N/A,FALSE,"SMR";"CNSNew",#N/A,FALSE,"CNS";"REGNew",#N/A,FALSE,"REG";"ALTNew",#N/A,FALSE,"ALT";"PMTNew",#N/A,FALSE,"PMT";"CPSNew",#N/A,FALSE,"CPS";"SERNew",#N/A,FALSE,"SER";"TATNew",#N/A,FALSE,"TAT";"BILNew",#N/A,FALSE,"BIL";"FINNew",#N/A,FALSE,"FIN";"HRSNew",#N/A,FALSE,"HRS";"CEONew",#N/A,FALSE,"CEO";"STPnew",#N/A,FALSE,"STP";"ELINew",#N/A,FALSE,"ELI";"OTHNew",#N/A,FALSE,"OTH";"CTGNew",#N/A,FALSE,"CTG";"CENNew",#N/A,FALSE,"CEN";"TOTNew",#N/A,FALSE,"TOT"}</definedName>
    <definedName name="wrn.Nico." localSheetId="8" hidden="1">{#N/A,#N/A,TRUE,"Cover";#N/A,#N/A,TRUE,"Transaction Summary";#N/A,#N/A,TRUE,"Earnings Impact";#N/A,#N/A,TRUE,"accretion dilution"}</definedName>
    <definedName name="wrn.Nico." hidden="1">{#N/A,#N/A,TRUE,"Cover";#N/A,#N/A,TRUE,"Transaction Summary";#N/A,#N/A,TRUE,"Earnings Impact";#N/A,#N/A,TRUE,"accretion dilution"}</definedName>
    <definedName name="wrn.Non._.Div._.Balance._.Sheet." localSheetId="8" hidden="1">{#N/A,"NONDV",FALSE,"BSHIST.XLS"}</definedName>
    <definedName name="wrn.Non._.Div._.Balance._.Sheet." hidden="1">{#N/A,"NONDV",FALSE,"BSHIST.XLS"}</definedName>
    <definedName name="wrn.NonPay." localSheetId="8" hidden="1">{"ResourceNonPay",#N/A,FALSE,"pay_non pay input";"CapMaint",#N/A,FALSE,"Equipt Input";"CurrEqptProfile",#N/A,FALSE,"Equipt Input";"Curr Eqpt Mtce",#N/A,FALSE,"Equipt Input";"Miscellaneous",#N/A,FALSE,"Misc."}</definedName>
    <definedName name="wrn.NonPay." hidden="1">{"ResourceNonPay",#N/A,FALSE,"pay_non pay input";"CapMaint",#N/A,FALSE,"Equipt Input";"CurrEqptProfile",#N/A,FALSE,"Equipt Input";"Curr Eqpt Mtce",#N/A,FALSE,"Equipt Input";"Miscellaneous",#N/A,FALSE,"Misc."}</definedName>
    <definedName name="wrn.Norcros._.Forms." localSheetId="8" hidden="1">{#N/A,#N/A,FALSE,"Nx1";#N/A,#N/A,FALSE,"Nx2";#N/A,#N/A,FALSE,"Nx3";#N/A,#N/A,FALSE,"Nx4"}</definedName>
    <definedName name="wrn.Norcros._.Forms." hidden="1">{#N/A,#N/A,FALSE,"Nx1";#N/A,#N/A,FALSE,"Nx2";#N/A,#N/A,FALSE,"Nx3";#N/A,#N/A,FALSE,"Nx4"}</definedName>
    <definedName name="wrn.Normal." localSheetId="8" hidden="1">{#N/A,#N/A,FALSE,"Market Values I";#N/A,#N/A,FALSE,"Market Values II";#N/A,#N/A,FALSE,"DT Shareholding";#N/A,#N/A,FALSE,"Purchase of Sprint1";#N/A,#N/A,FALSE,"Purchase of Sprint2";#N/A,#N/A,FALSE,"Financial Impact1";#N/A,#N/A,FALSE,"Financial Impact2";#N/A,#N/A,FALSE,"Financial Impact3";#N/A,#N/A,FALSE,"Flowback"}</definedName>
    <definedName name="wrn.Normal." hidden="1">{#N/A,#N/A,FALSE,"Market Values I";#N/A,#N/A,FALSE,"Market Values II";#N/A,#N/A,FALSE,"DT Shareholding";#N/A,#N/A,FALSE,"Purchase of Sprint1";#N/A,#N/A,FALSE,"Purchase of Sprint2";#N/A,#N/A,FALSE,"Financial Impact1";#N/A,#N/A,FALSE,"Financial Impact2";#N/A,#N/A,FALSE,"Financial Impact3";#N/A,#N/A,FALSE,"Flowback"}</definedName>
    <definedName name="wrn.North._.America." localSheetId="8" hidden="1">{"PnL",#N/A,FALSE,"Gas NA P&amp;L";"Responsibility",#N/A,FALSE,"Gas NA P&amp;L";"Cost Control",#N/A,FALSE,"Gas NA P&amp;L";"Program List",#N/A,FALSE,"Gas NA P&amp;L"}</definedName>
    <definedName name="wrn.North._.America." hidden="1">{"rawdata",#N/A,TRUE,"AT&amp;T";"in",#N/A,TRUE,"AT&amp;T";"rawdata",#N/A,TRUE,"MCI";"in",#N/A,TRUE,"MCI";"rawdata",#N/A,TRUE,"Sprint";"in",#N/A,TRUE,"Sprint";"rawdata",#N/A,TRUE,"ALL";"in",#N/A,TRUE,"ALL";"rawdata",#N/A,TRUE,"Cent";"in",#N/A,TRUE,"Cent";"rawdata",#N/A,TRUE,"Cin";"in",#N/A,TRUE,"Cin";"rawdata",#N/A,TRUE,"Front";"in",#N/A,TRUE,"Front";"rawdata",#N/A,TRUE,"LCI";"in",#N/A,TRUE,"LCI";"rawdata",#N/A,TRUE,"MFS";"in",#N/A,TRUE,"MFS";"rawdata",#N/A,TRUE,"SNET";"in",#N/A,TRUE,"SNET";"rawdata",#N/A,TRUE,"World";"in",#N/A,TRUE,"World";"rawdata",#N/A,TRUE,"BCE";"in",#N/A,TRUE,"BCE";"rawdata",#N/A,TRUE,"Ameri";"in",#N/A,TRUE,"Ameri";"rawdata",#N/A,TRUE,"BellA";"in",#N/A,TRUE,"BellA";"rawdata",#N/A,TRUE,"BellS";"in",#N/A,TRUE,"BellS";"rawdata",#N/A,TRUE,"PacTel";"in",#N/A,TRUE,"PacTel";"rawdata",#N/A,TRUE,"NYN";"in",#N/A,TRUE,"NYN";"rawdata",#N/A,TRUE,"SBC";"in",#N/A,TRUE,"SBC";"rawdata",#N/A,TRUE,"USW";"in",#N/A,TRUE,"USW";"rawdata",#N/A,TRUE,"GTE";"in",#N/A,TRUE,"GTE"}</definedName>
    <definedName name="wrn.North._.America._.Set." localSheetId="8" hidden="1">{"NA Is w Ratios",#N/A,FALSE,"North America";"PF CFlow NA",#N/A,FALSE,"North America";"NA DCF Matrix",#N/A,FALSE,"North America"}</definedName>
    <definedName name="wrn.North._.America._.Set." hidden="1">{"NA Is w Ratios",#N/A,FALSE,"North America";"PF CFlow NA",#N/A,FALSE,"North America";"NA DCF Matrix",#N/A,FALSE,"North America"}</definedName>
    <definedName name="wrn.Notes." localSheetId="8" hidden="1">{#N/A,#N/A,FALSE,"Assumptions";"Basedata",#N/A,FALSE,"BASEINPUT";"Checklist",#N/A,FALSE,"BASEINPUT"}</definedName>
    <definedName name="wrn.Notes." hidden="1">{#N/A,#N/A,FALSE,"Assumptions";"Basedata",#N/A,FALSE,"BASEINPUT";"Checklist",#N/A,FALSE,"BASEINPUT"}</definedName>
    <definedName name="wrn.NOV96." localSheetId="8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wrn.NOV96.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wrn.NUTRISERVIÇOS." hidden="1">{"TOTAL NUTRISERVIÇOS",#N/A,FALSE,"NUTRI";"PREMIX",#N/A,FALSE,"NUTRI";"NUCLEOS",#N/A,FALSE,"NUTRI";"MATERIAS PRIMAS",#N/A,FALSE,"NUTRI";"OUTROS",#N/A,FALSE,"NUTRI"}</definedName>
    <definedName name="wrn.Obligacion98." localSheetId="8" hidden="1">{#N/A,#N/A,FALSE,"Capitulo IV";#N/A,#N/A,FALSE,"Cuadro IV.2.2.";#N/A,#N/A,FALSE,"cuadro IV.2.3";#N/A,#N/A,FALSE,"Cuadro IV (2.4 y etc)";#N/A,#N/A,FALSE,"Cuadros IV.3";#N/A,#N/A,FALSE,"Capitulo IV.4";#N/A,#N/A,FALSE,"Capitulo IV.7";#N/A,#N/A,FALSE,"Capitulo V.1";#N/A,#N/A,FALSE,"Capitulo V.2";#N/A,#N/A,FALSE,"Capitulo VII"}</definedName>
    <definedName name="wrn.Obligacion98." hidden="1">{#N/A,#N/A,FALSE,"Capitulo IV";#N/A,#N/A,FALSE,"Cuadro IV.2.2.";#N/A,#N/A,FALSE,"cuadro IV.2.3";#N/A,#N/A,FALSE,"Cuadro IV (2.4 y etc)";#N/A,#N/A,FALSE,"Cuadros IV.3";#N/A,#N/A,FALSE,"Capitulo IV.4";#N/A,#N/A,FALSE,"Capitulo IV.7";#N/A,#N/A,FALSE,"Capitulo V.1";#N/A,#N/A,FALSE,"Capitulo V.2";#N/A,#N/A,FALSE,"Capitulo VII"}</definedName>
    <definedName name="wrn.oct_res_comm." localSheetId="8" hidden="1">{"oct_res_comm",#N/A,FALSE,"VarToBud"}</definedName>
    <definedName name="wrn.oct_res_comm." hidden="1">{"oct_res_comm",#N/A,FALSE,"VarToBud"}</definedName>
    <definedName name="wrn.October_Income." localSheetId="8" hidden="1">{"Oct_Plan_Income_Month",#N/A,FALSE,"OctInc";"Oct_Month_Lastyear_Inc",#N/A,FALSE,"OctInc"}</definedName>
    <definedName name="wrn.October_Income." hidden="1">{"Oct_Plan_Income_Month",#N/A,FALSE,"OctInc";"Oct_Month_Lastyear_Inc",#N/A,FALSE,"OctInc"}</definedName>
    <definedName name="wrn.offering." localSheetId="8" hidden="1">{"nwp1",#N/A,FALSE,"pro forma offering";"first sensitivity",#N/A,FALSE,"pro forma offering";"summary",#N/A,FALSE,"pro forma offering";"ownership",#N/A,FALSE,"pro forma offering";"pf1",#N/A,FALSE,"pro forma offering";"data tables",#N/A,FALSE,"pro forma offering"}</definedName>
    <definedName name="wrn.offering." hidden="1">{"nwp1",#N/A,FALSE,"pro forma offering";"first sensitivity",#N/A,FALSE,"pro forma offering";"summary",#N/A,FALSE,"pro forma offering";"ownership",#N/A,FALSE,"pro forma offering";"pf1",#N/A,FALSE,"pro forma offering";"data tables",#N/A,FALSE,"pro forma offering"}</definedName>
    <definedName name="wrn.On_Air." localSheetId="8" hidden="1">{"Exp",#N/A,FALSE,"On  Air Promotions";"Sal",#N/A,FALSE,"On  Air Promotions";"Sum",#N/A,FALSE,"On  Air Promotions"}</definedName>
    <definedName name="wrn.On_Air." hidden="1">{"Exp",#N/A,FALSE,"On  Air Promotions";"Sal",#N/A,FALSE,"On  Air Promotions";"Sum",#N/A,FALSE,"On  Air Promotions"}</definedName>
    <definedName name="wrn.Oncology." localSheetId="7" hidden="1">{#N/A,#N/A,FALSE,"Onco";#N/A,#N/A,FALSE,"Taxol";#N/A,#N/A,FALSE,"UFT";#N/A,#N/A,FALSE,"Carb"}</definedName>
    <definedName name="wrn.Oncology." localSheetId="8" hidden="1">{#N/A,#N/A,FALSE,"Onco";#N/A,#N/A,FALSE,"Taxol";#N/A,#N/A,FALSE,"UFT";#N/A,#N/A,FALSE,"Carb"}</definedName>
    <definedName name="wrn.Oncology." hidden="1">{#N/A,#N/A,FALSE,"Onco";#N/A,#N/A,FALSE,"Taxol";#N/A,#N/A,FALSE,"UFT";#N/A,#N/A,FALSE,"Carb"}</definedName>
    <definedName name="wrn.ontario." localSheetId="8" hidden="1">{"page1",#N/A,FALSE,"sheet 1";"Page2",#N/A,FALSE,"sheet 1";"page3",#N/A,FALSE,"sheet 1";"page4",#N/A,FALSE,"sheet 1"}</definedName>
    <definedName name="wrn.ontario." hidden="1">{"page1",#N/A,FALSE,"sheet 1";"Page2",#N/A,FALSE,"sheet 1";"page3",#N/A,FALSE,"sheet 1";"page4",#N/A,FALSE,"sheet 1"}</definedName>
    <definedName name="wrn.OP._.INDICADORES." hidden="1">{"COMERCIAL BITUMEN",#N/A,FALSE,"INDICADORES OP Unit";"COMERCIAL FUELS",#N/A,FALSE,"INDICADORES OP Unit";"COMERCIAL LUBS",#N/A,FALSE,"INDICADORES OP Unit";"COMERCIAL OTHERS",#N/A,FALSE,"INDICADORES OP Unit";"OP",#N/A,FALSE,"INDICADORES OP Unit";"OP COMERCIAL",#N/A,FALSE,"INDICADORES OP Unit";"OP RETAIL",#N/A,FALSE,"INDICADORES OP Unit";"RETAIL NFR",#N/A,FALSE,"INDICADORES OP Unit";"RETAIL FUELS",#N/A,FALSE,"INDICADORES OP Unit";"RETAILS LUBS",#N/A,FALSE,"INDICADORES OP Unit";"OP",#N/A,FALSE,"INDICADORES OP Unit"}</definedName>
    <definedName name="wrn.OP_Reductions." hidden="1">{"Red_OP_Melgar",#N/A,FALSE,"Detalle reducciones OP";"Red_OP_Melgar_Salarios",#N/A,FALSE,"Detalle reducciones OP";"TOTAL REDU SALARIOS",#N/A,FALSE,"Detalle reducciones OP"}</definedName>
    <definedName name="wrn.OPCALC." localSheetId="8" hidden="1">{"coa",#N/A,FALSE,"N";"cob",#N/A,FALSE,"N";"coc",#N/A,FALSE,"N";"cod",#N/A,FALSE,"N";"coe",#N/A,FALSE,"N";"cof",#N/A,FALSE,"N";"cog",#N/A,FALSE,"N";"coh",#N/A,FALSE,"N";"coi",#N/A,FALSE,"N"}</definedName>
    <definedName name="wrn.OPCALC." hidden="1">{"coa",#N/A,FALSE,"N";"cob",#N/A,FALSE,"N";"coc",#N/A,FALSE,"N";"cod",#N/A,FALSE,"N";"coe",#N/A,FALSE,"N";"cof",#N/A,FALSE,"N";"cog",#N/A,FALSE,"N";"coh",#N/A,FALSE,"N";"coi",#N/A,FALSE,"N"}</definedName>
    <definedName name="wrn.ORCA97." localSheetId="8" hidden="1">{#N/A,#N/A,FALSE,"MÁQUINA 1";#N/A,#N/A,FALSE,"MÁQUINA 2";#N/A,#N/A,FALSE,"MÁQUINA 3";#N/A,#N/A,FALSE,"TOTAL";#N/A,#N/A,FALSE,"DIRET.COMERCIAL";#N/A,#N/A,FALSE,"CAPITAL GIRO";#N/A,#N/A,FALSE,"DEM.PREÇOS";#N/A,#N/A,FALSE,"DIR.ADMINISTRATIVA";#N/A,#N/A,FALSE,"DIR.FINANCEIRA";#N/A,#N/A,FALSE,"PROD.LÍQUIDA";#N/A,#N/A,FALSE,"EFICIÊNCIA";#N/A,#N/A,FALSE,"CUSTOS FIXOS";#N/A,#N/A,FALSE,"VARIAÇÕES=CF";#N/A,#N/A,FALSE,"DEM.RESULTADO";#N/A,#N/A,FALSE,"DEM.RES.MÁQ.1";#N/A,#N/A,FALSE,"DEM.RES.MÁQ.2";#N/A,#N/A,FALSE,"DEM.RES.MÁQ.3";#N/A,#N/A,FALSE,"VARIAÇÕES=RES.";#N/A,#N/A,FALSE,"EVOLUÇÃO";#N/A,#N/A,FALSE,"EVOL.MÁQ.1";#N/A,#N/A,FALSE,"DECOR-M1";#N/A,#N/A,FALSE,"ABRAS.-M1";#N/A,#N/A,FALSE,"IMPR.ESCR.-M1";#N/A,#N/A,FALSE,"INDLS.-M1";#N/A,#N/A,FALSE,"EVOL.-MÁQ.2";#N/A,#N/A,FALSE,"FIDUC.CMB-M2";#N/A,#N/A,FALSE,"FIDUC.ARG.-M2";#N/A,#N/A,FALSE,"FILIGR.FR-M2";#N/A,#N/A,FALSE,"IMPR.ESCR.-M2";#N/A,#N/A,FALSE,"EVOL.-MÁQ.3";#N/A,#N/A,FALSE,"SEGUR.-M3";#N/A,#N/A,FALSE,"ECONATURAL";#N/A,#N/A,FALSE,"IMPR.ESCR.-M3";#N/A,#N/A,FALSE,"ABRAS.-M3";#N/A,#N/A,FALSE,"INDLS.-M3";#N/A,#N/A,FALSE,"EVOL.-CAIXA";#N/A,#N/A,FALSE,"DEM.-CAIXA";#N/A,#N/A,FALSE,"EVOL.-INVEST.";#N/A,#N/A,FALSE,"DEM.-INVEST.";#N/A,#N/A,FALSE,"BALANÇO"}</definedName>
    <definedName name="wrn.ORCA97." hidden="1">{#N/A,#N/A,FALSE,"MÁQUINA 1";#N/A,#N/A,FALSE,"MÁQUINA 2";#N/A,#N/A,FALSE,"MÁQUINA 3";#N/A,#N/A,FALSE,"TOTAL";#N/A,#N/A,FALSE,"DIRET.COMERCIAL";#N/A,#N/A,FALSE,"CAPITAL GIRO";#N/A,#N/A,FALSE,"DEM.PREÇOS";#N/A,#N/A,FALSE,"DIR.ADMINISTRATIVA";#N/A,#N/A,FALSE,"DIR.FINANCEIRA";#N/A,#N/A,FALSE,"PROD.LÍQUIDA";#N/A,#N/A,FALSE,"EFICIÊNCIA";#N/A,#N/A,FALSE,"CUSTOS FIXOS";#N/A,#N/A,FALSE,"VARIAÇÕES=CF";#N/A,#N/A,FALSE,"DEM.RESULTADO";#N/A,#N/A,FALSE,"DEM.RES.MÁQ.1";#N/A,#N/A,FALSE,"DEM.RES.MÁQ.2";#N/A,#N/A,FALSE,"DEM.RES.MÁQ.3";#N/A,#N/A,FALSE,"VARIAÇÕES=RES.";#N/A,#N/A,FALSE,"EVOLUÇÃO";#N/A,#N/A,FALSE,"EVOL.MÁQ.1";#N/A,#N/A,FALSE,"DECOR-M1";#N/A,#N/A,FALSE,"ABRAS.-M1";#N/A,#N/A,FALSE,"IMPR.ESCR.-M1";#N/A,#N/A,FALSE,"INDLS.-M1";#N/A,#N/A,FALSE,"EVOL.-MÁQ.2";#N/A,#N/A,FALSE,"FIDUC.CMB-M2";#N/A,#N/A,FALSE,"FIDUC.ARG.-M2";#N/A,#N/A,FALSE,"FILIGR.FR-M2";#N/A,#N/A,FALSE,"IMPR.ESCR.-M2";#N/A,#N/A,FALSE,"EVOL.-MÁQ.3";#N/A,#N/A,FALSE,"SEGUR.-M3";#N/A,#N/A,FALSE,"ECONATURAL";#N/A,#N/A,FALSE,"IMPR.ESCR.-M3";#N/A,#N/A,FALSE,"ABRAS.-M3";#N/A,#N/A,FALSE,"INDLS.-M3";#N/A,#N/A,FALSE,"EVOL.-CAIXA";#N/A,#N/A,FALSE,"DEM.-CAIXA";#N/A,#N/A,FALSE,"EVOL.-INVEST.";#N/A,#N/A,FALSE,"DEM.-INVEST.";#N/A,#N/A,FALSE,"BALANÇO"}</definedName>
    <definedName name="wrn.ORCA97._1" localSheetId="8" hidden="1">{#N/A,#N/A,FALSE,"MÁQUINA 1";#N/A,#N/A,FALSE,"MÁQUINA 2";#N/A,#N/A,FALSE,"MÁQUINA 3";#N/A,#N/A,FALSE,"TOTAL";#N/A,#N/A,FALSE,"DIRET.COMERCIAL";#N/A,#N/A,FALSE,"CAPITAL GIRO";#N/A,#N/A,FALSE,"DEM.PREÇOS";#N/A,#N/A,FALSE,"DIR.ADMINISTRATIVA";#N/A,#N/A,FALSE,"DIR.FINANCEIRA";#N/A,#N/A,FALSE,"PROD.LÍQUIDA";#N/A,#N/A,FALSE,"EFICIÊNCIA";#N/A,#N/A,FALSE,"CUSTOS FIXOS";#N/A,#N/A,FALSE,"VARIAÇÕES=CF";#N/A,#N/A,FALSE,"DEM.RESULTADO";#N/A,#N/A,FALSE,"DEM.RES.MÁQ.1";#N/A,#N/A,FALSE,"DEM.RES.MÁQ.2";#N/A,#N/A,FALSE,"DEM.RES.MÁQ.3";#N/A,#N/A,FALSE,"VARIAÇÕES=RES.";#N/A,#N/A,FALSE,"EVOLUÇÃO";#N/A,#N/A,FALSE,"EVOL.MÁQ.1";#N/A,#N/A,FALSE,"DECOR-M1";#N/A,#N/A,FALSE,"ABRAS.-M1";#N/A,#N/A,FALSE,"IMPR.ESCR.-M1";#N/A,#N/A,FALSE,"INDLS.-M1";#N/A,#N/A,FALSE,"EVOL.-MÁQ.2";#N/A,#N/A,FALSE,"FIDUC.CMB-M2";#N/A,#N/A,FALSE,"FIDUC.ARG.-M2";#N/A,#N/A,FALSE,"FILIGR.FR-M2";#N/A,#N/A,FALSE,"IMPR.ESCR.-M2";#N/A,#N/A,FALSE,"EVOL.-MÁQ.3";#N/A,#N/A,FALSE,"SEGUR.-M3";#N/A,#N/A,FALSE,"ECONATURAL";#N/A,#N/A,FALSE,"IMPR.ESCR.-M3";#N/A,#N/A,FALSE,"ABRAS.-M3";#N/A,#N/A,FALSE,"INDLS.-M3";#N/A,#N/A,FALSE,"EVOL.-CAIXA";#N/A,#N/A,FALSE,"DEM.-CAIXA";#N/A,#N/A,FALSE,"EVOL.-INVEST.";#N/A,#N/A,FALSE,"DEM.-INVEST.";#N/A,#N/A,FALSE,"BALANÇO"}</definedName>
    <definedName name="wrn.ORCA97._1" hidden="1">{#N/A,#N/A,FALSE,"MÁQUINA 1";#N/A,#N/A,FALSE,"MÁQUINA 2";#N/A,#N/A,FALSE,"MÁQUINA 3";#N/A,#N/A,FALSE,"TOTAL";#N/A,#N/A,FALSE,"DIRET.COMERCIAL";#N/A,#N/A,FALSE,"CAPITAL GIRO";#N/A,#N/A,FALSE,"DEM.PREÇOS";#N/A,#N/A,FALSE,"DIR.ADMINISTRATIVA";#N/A,#N/A,FALSE,"DIR.FINANCEIRA";#N/A,#N/A,FALSE,"PROD.LÍQUIDA";#N/A,#N/A,FALSE,"EFICIÊNCIA";#N/A,#N/A,FALSE,"CUSTOS FIXOS";#N/A,#N/A,FALSE,"VARIAÇÕES=CF";#N/A,#N/A,FALSE,"DEM.RESULTADO";#N/A,#N/A,FALSE,"DEM.RES.MÁQ.1";#N/A,#N/A,FALSE,"DEM.RES.MÁQ.2";#N/A,#N/A,FALSE,"DEM.RES.MÁQ.3";#N/A,#N/A,FALSE,"VARIAÇÕES=RES.";#N/A,#N/A,FALSE,"EVOLUÇÃO";#N/A,#N/A,FALSE,"EVOL.MÁQ.1";#N/A,#N/A,FALSE,"DECOR-M1";#N/A,#N/A,FALSE,"ABRAS.-M1";#N/A,#N/A,FALSE,"IMPR.ESCR.-M1";#N/A,#N/A,FALSE,"INDLS.-M1";#N/A,#N/A,FALSE,"EVOL.-MÁQ.2";#N/A,#N/A,FALSE,"FIDUC.CMB-M2";#N/A,#N/A,FALSE,"FIDUC.ARG.-M2";#N/A,#N/A,FALSE,"FILIGR.FR-M2";#N/A,#N/A,FALSE,"IMPR.ESCR.-M2";#N/A,#N/A,FALSE,"EVOL.-MÁQ.3";#N/A,#N/A,FALSE,"SEGUR.-M3";#N/A,#N/A,FALSE,"ECONATURAL";#N/A,#N/A,FALSE,"IMPR.ESCR.-M3";#N/A,#N/A,FALSE,"ABRAS.-M3";#N/A,#N/A,FALSE,"INDLS.-M3";#N/A,#N/A,FALSE,"EVOL.-CAIXA";#N/A,#N/A,FALSE,"DEM.-CAIXA";#N/A,#N/A,FALSE,"EVOL.-INVEST.";#N/A,#N/A,FALSE,"DEM.-INVEST.";#N/A,#N/A,FALSE,"BALANÇO"}</definedName>
    <definedName name="wrn.Orcamento._.Completo." hidden="1">{#N/A,#N/A,FALSE,"QUADRO GERAL";#N/A,#N/A,FALSE,"RECEITA OPERACIONAL";#N/A,#N/A,FALSE,"DESP.OPERACIONAIS";#N/A,#N/A,FALSE,"INVESTIMENTOS";#N/A,#N/A,FALSE,"NÃO OPERACIONAL";#N/A,#N/A,FALSE,"PROJEÇÃO INDICADORES"}</definedName>
    <definedName name="wrn.Ordered._.packet." localSheetId="8" hidden="1">{"PnL",#N/A,FALSE,"Total P&amp;L";"PnL",#N/A,FALSE,"Gas NA P&amp;L";"PnL",#N/A,FALSE,"Gas Eur P&amp;L";"PnL",#N/A,FALSE,"Gas Asia P&amp;L";"PnL",#N/A,FALSE,"Gas LA SA P&amp;L";"PnL",#N/A,FALSE,"Equip P&amp;L";"PnL",#N/A,FALSE,"Chem P&amp;L";"Responsibility",#N/A,FALSE,"Gas NA P&amp;L";"Responsibility",#N/A,FALSE,"Gas Eur P&amp;L";"Responsibility",#N/A,FALSE,"Gas Asia P&amp;L";"Responsibility",#N/A,FALSE,"Gas LA SA P&amp;L";"Responsibility",#N/A,FALSE,"Equip P&amp;L";"Responsibility",#N/A,FALSE,"Chem P&amp;L";"Cost Control",#N/A,FALSE,"Total P&amp;L";"Cost Control",#N/A,FALSE,"Gas NA P&amp;L";"Cost Control",#N/A,FALSE,"Gas Eur P&amp;L";"Cost Control",#N/A,FALSE,"Gas Asia P&amp;L";"Cost Control",#N/A,FALSE,"Gas LA SA P&amp;L";"Cost Control",#N/A,FALSE,"Equip P&amp;L";"Cost Control",#N/A,FALSE,"Chem P&amp;L"}</definedName>
    <definedName name="wrn.Ordered._.packet." hidden="1">{"PnL",#N/A,FALSE,"Total P&amp;L";"PnL",#N/A,FALSE,"Gas NA P&amp;L";"PnL",#N/A,FALSE,"Gas Eur P&amp;L";"PnL",#N/A,FALSE,"Gas Asia P&amp;L";"PnL",#N/A,FALSE,"Gas LA SA P&amp;L";"PnL",#N/A,FALSE,"Equip P&amp;L";"PnL",#N/A,FALSE,"Chem P&amp;L";"Responsibility",#N/A,FALSE,"Gas NA P&amp;L";"Responsibility",#N/A,FALSE,"Gas Eur P&amp;L";"Responsibility",#N/A,FALSE,"Gas Asia P&amp;L";"Responsibility",#N/A,FALSE,"Gas LA SA P&amp;L";"Responsibility",#N/A,FALSE,"Equip P&amp;L";"Responsibility",#N/A,FALSE,"Chem P&amp;L";"Cost Control",#N/A,FALSE,"Total P&amp;L";"Cost Control",#N/A,FALSE,"Gas NA P&amp;L";"Cost Control",#N/A,FALSE,"Gas Eur P&amp;L";"Cost Control",#N/A,FALSE,"Gas Asia P&amp;L";"Cost Control",#N/A,FALSE,"Gas LA SA P&amp;L";"Cost Control",#N/A,FALSE,"Equip P&amp;L";"Cost Control",#N/A,FALSE,"Chem P&amp;L"}</definedName>
    <definedName name="wrn.Org._._Dev." localSheetId="8" hidden="1">{"Exp",#N/A,FALSE,"Org &amp; Dev";"Sal",#N/A,FALSE,"Org &amp; Dev";"Sum",#N/A,FALSE,"Org &amp; Dev"}</definedName>
    <definedName name="wrn.Org._._Dev." hidden="1">{"Exp",#N/A,FALSE,"Org &amp; Dev";"Sal",#N/A,FALSE,"Org &amp; Dev";"Sum",#N/A,FALSE,"Org &amp; Dev"}</definedName>
    <definedName name="wrn.OTC._.Market._.Report." localSheetId="7" hidden="1">{#N/A,#N/A,FALSE,"Sales Graph";#N/A,#N/A,FALSE,"BUC Graph";#N/A,#N/A,FALSE,"P&amp;L - YTD"}</definedName>
    <definedName name="wrn.OTC._.Market._.Report." localSheetId="8" hidden="1">{#N/A,#N/A,FALSE,"Sales Graph";#N/A,#N/A,FALSE,"BUC Graph";#N/A,#N/A,FALSE,"P&amp;L - YTD"}</definedName>
    <definedName name="wrn.OTC._.Market._.Report." hidden="1">{#N/A,#N/A,FALSE,"Sales Graph";#N/A,#N/A,FALSE,"BUC Graph";#N/A,#N/A,FALSE,"P&amp;L - YTD"}</definedName>
    <definedName name="wrn.OTHER._.ADMIN._.COSTS." localSheetId="8" hidden="1">{"OTHER ADMIN COSTS",#N/A,FALSE,"C.CENTRE"}</definedName>
    <definedName name="wrn.OTHER._.ADMIN._.COSTS." hidden="1">{"OTHER ADMIN COSTS",#N/A,FALSE,"C.CENTRE"}</definedName>
    <definedName name="wrn.Other._.Pharm." localSheetId="7" hidden="1">{#N/A,#N/A,FALSE,"Other";#N/A,#N/A,FALSE,"Ace";#N/A,#N/A,FALSE,"Derm"}</definedName>
    <definedName name="wrn.Other._.Pharm." localSheetId="8" hidden="1">{#N/A,#N/A,FALSE,"Other";#N/A,#N/A,FALSE,"Ace";#N/A,#N/A,FALSE,"Derm"}</definedName>
    <definedName name="wrn.Other._.Pharm." hidden="1">{#N/A,#N/A,FALSE,"Other";#N/A,#N/A,FALSE,"Ace";#N/A,#N/A,FALSE,"Derm"}</definedName>
    <definedName name="wrn.OTHER._.REVENUE." localSheetId="8" hidden="1">{"OTHER REVENUE",#N/A,FALSE,"OTHERS"}</definedName>
    <definedName name="wrn.OTHER._.REVENUE." hidden="1">{"OTHER REVENUE",#N/A,FALSE,"OTHERS"}</definedName>
    <definedName name="wrn.OTros." localSheetId="8" hidden="1">{#N/A,#N/A,FALSE,"Serie Tipos Inv-Rec";#N/A,#N/A,FALSE,"Serie Tipos Finanzas";#N/A,#N/A,FALSE,"Var. Intermens. Red Inv";#N/A,#N/A,FALSE,"Var. Intermens. Red Rec"}</definedName>
    <definedName name="wrn.OTros." hidden="1">{#N/A,#N/A,FALSE,"Serie Tipos Inv-Rec";#N/A,#N/A,FALSE,"Serie Tipos Finanzas";#N/A,#N/A,FALSE,"Var. Intermens. Red Inv";#N/A,#N/A,FALSE,"Var. Intermens. Red Rec"}</definedName>
    <definedName name="wrn.OUT." localSheetId="8" hidden="1">{"Oa",#N/A,FALSE,"O";"Ob",#N/A,FALSE,"O";"Oc",#N/A,FALSE,"O";"Od",#N/A,FALSE,"O";"Oe",#N/A,FALSE,"O";"Of",#N/A,FALSE,"O";"Og",#N/A,FALSE,"O";"Oh",#N/A,FALSE,"O";"Oi",#N/A,FALSE,"O"}</definedName>
    <definedName name="wrn.OUT." hidden="1">{"Oa",#N/A,FALSE,"O";"Ob",#N/A,FALSE,"O";"Oc",#N/A,FALSE,"O";"Od",#N/A,FALSE,"O";"Oe",#N/A,FALSE,"O";"Of",#N/A,FALSE,"O";"Og",#N/A,FALSE,"O";"Oh",#N/A,FALSE,"O";"Oi",#N/A,FALSE,"O"}</definedName>
    <definedName name="wrn.Outlook._.for._.US._.Domestic._.Paging." localSheetId="8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look._.for._.US._.Domestic._.Paging.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look._.for._.US._.Domestic._.Paging._1" localSheetId="8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look._.for._.US._.Domestic._.Paging._1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look._.for._.US._.Domestic._.Paging._1_1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look._.for._.US._.Domestic._.Paging._1_1_1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look._.for._.US._.Domestic._.Paging._1_1_1_1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look._.for._.US._.Domestic._.Paging._1_1_1_2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look._.for._.US._.Domestic._.Paging._1_1_2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look._.for._.US._.Domestic._.Paging._1_1_2_1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look._.for._.US._.Domestic._.Paging._1_1_2_2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look._.for._.US._.Domestic._.Paging._1_1_3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look._.for._.US._.Domestic._.Paging._1_1_4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look._.for._.US._.Domestic._.Paging._1_2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look._.for._.US._.Domestic._.Paging._1_2_1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look._.for._.US._.Domestic._.Paging._1_2_1_1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look._.for._.US._.Domestic._.Paging._1_2_1_2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look._.for._.US._.Domestic._.Paging._1_2_2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look._.for._.US._.Domestic._.Paging._1_2_2_1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look._.for._.US._.Domestic._.Paging._1_2_2_2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look._.for._.US._.Domestic._.Paging._1_2_3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look._.for._.US._.Domestic._.Paging._1_2_4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look._.for._.US._.Domestic._.Paging._1_3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look._.for._.US._.Domestic._.Paging._1_3_1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look._.for._.US._.Domestic._.Paging._1_3_1_1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look._.for._.US._.Domestic._.Paging._1_3_1_2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look._.for._.US._.Domestic._.Paging._1_3_2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look._.for._.US._.Domestic._.Paging._1_3_2_1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look._.for._.US._.Domestic._.Paging._1_3_2_2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look._.for._.US._.Domestic._.Paging._1_3_3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look._.for._.US._.Domestic._.Paging._1_3_4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look._.for._.US._.Domestic._.Paging._1_4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look._.for._.US._.Domestic._.Paging._1_4_1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look._.for._.US._.Domestic._.Paging._1_4_1_1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look._.for._.US._.Domestic._.Paging._1_4_1_2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look._.for._.US._.Domestic._.Paging._1_4_2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look._.for._.US._.Domestic._.Paging._1_4_2_1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look._.for._.US._.Domestic._.Paging._1_4_2_2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look._.for._.US._.Domestic._.Paging._1_4_3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look._.for._.US._.Domestic._.Paging._1_4_4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look._.for._.US._.Domestic._.Paging._1_5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look._.for._.US._.Domestic._.Paging._1_5_1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look._.for._.US._.Domestic._.Paging._1_5_1_1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look._.for._.US._.Domestic._.Paging._1_5_1_2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look._.for._.US._.Domestic._.Paging._1_5_2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look._.for._.US._.Domestic._.Paging._1_5_2_1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look._.for._.US._.Domestic._.Paging._1_5_2_2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look._.for._.US._.Domestic._.Paging._1_5_3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look._.for._.US._.Domestic._.Paging._1_5_4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look._.for._.US._.Domestic._.Paging._2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look._.for._.US._.Domestic._.Paging._2_1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look._.for._.US._.Domestic._.Paging._2_1_1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look._.for._.US._.Domestic._.Paging._2_1_1_1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look._.for._.US._.Domestic._.Paging._2_1_1_2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look._.for._.US._.Domestic._.Paging._2_1_2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look._.for._.US._.Domestic._.Paging._2_1_2_1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look._.for._.US._.Domestic._.Paging._2_1_2_2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look._.for._.US._.Domestic._.Paging._2_1_3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look._.for._.US._.Domestic._.Paging._2_1_4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look._.for._.US._.Domestic._.Paging._2_2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look._.for._.US._.Domestic._.Paging._2_2_1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look._.for._.US._.Domestic._.Paging._2_2_1_1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look._.for._.US._.Domestic._.Paging._2_2_1_2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look._.for._.US._.Domestic._.Paging._2_2_2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look._.for._.US._.Domestic._.Paging._2_2_2_1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look._.for._.US._.Domestic._.Paging._2_2_2_2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look._.for._.US._.Domestic._.Paging._2_2_3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look._.for._.US._.Domestic._.Paging._2_2_4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look._.for._.US._.Domestic._.Paging._2_3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look._.for._.US._.Domestic._.Paging._2_3_1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look._.for._.US._.Domestic._.Paging._2_3_1_1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look._.for._.US._.Domestic._.Paging._2_3_1_2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look._.for._.US._.Domestic._.Paging._2_3_2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look._.for._.US._.Domestic._.Paging._2_3_2_1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look._.for._.US._.Domestic._.Paging._2_3_2_2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look._.for._.US._.Domestic._.Paging._2_3_3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look._.for._.US._.Domestic._.Paging._2_3_4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look._.for._.US._.Domestic._.Paging._2_4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look._.for._.US._.Domestic._.Paging._2_4_1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look._.for._.US._.Domestic._.Paging._2_4_1_1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look._.for._.US._.Domestic._.Paging._2_4_1_2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look._.for._.US._.Domestic._.Paging._2_4_2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look._.for._.US._.Domestic._.Paging._2_4_2_1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look._.for._.US._.Domestic._.Paging._2_4_2_2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look._.for._.US._.Domestic._.Paging._2_4_3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look._.for._.US._.Domestic._.Paging._2_4_4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look._.for._.US._.Domestic._.Paging._2_5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look._.for._.US._.Domestic._.Paging._2_5_1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look._.for._.US._.Domestic._.Paging._2_5_1_1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look._.for._.US._.Domestic._.Paging._2_5_1_2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look._.for._.US._.Domestic._.Paging._2_5_2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look._.for._.US._.Domestic._.Paging._2_5_2_1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look._.for._.US._.Domestic._.Paging._2_5_2_2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look._.for._.US._.Domestic._.Paging._2_5_3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look._.for._.US._.Domestic._.Paging._2_5_4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look._.for._.US._.Domestic._.Paging._3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look._.for._.US._.Domestic._.Paging._3_1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look._.for._.US._.Domestic._.Paging._3_1_1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look._.for._.US._.Domestic._.Paging._3_1_1_1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look._.for._.US._.Domestic._.Paging._3_1_1_2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look._.for._.US._.Domestic._.Paging._3_1_2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look._.for._.US._.Domestic._.Paging._3_1_2_1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look._.for._.US._.Domestic._.Paging._3_1_2_2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look._.for._.US._.Domestic._.Paging._3_1_3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look._.for._.US._.Domestic._.Paging._3_1_4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look._.for._.US._.Domestic._.Paging._3_2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look._.for._.US._.Domestic._.Paging._3_2_1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look._.for._.US._.Domestic._.Paging._3_2_1_1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look._.for._.US._.Domestic._.Paging._3_2_1_2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look._.for._.US._.Domestic._.Paging._3_2_2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look._.for._.US._.Domestic._.Paging._3_2_2_1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look._.for._.US._.Domestic._.Paging._3_2_2_2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look._.for._.US._.Domestic._.Paging._3_2_3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look._.for._.US._.Domestic._.Paging._3_2_4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look._.for._.US._.Domestic._.Paging._3_3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look._.for._.US._.Domestic._.Paging._3_3_1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look._.for._.US._.Domestic._.Paging._3_3_1_1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look._.for._.US._.Domestic._.Paging._3_3_1_2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look._.for._.US._.Domestic._.Paging._3_3_2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look._.for._.US._.Domestic._.Paging._3_3_2_1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look._.for._.US._.Domestic._.Paging._3_3_2_2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look._.for._.US._.Domestic._.Paging._3_3_3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look._.for._.US._.Domestic._.Paging._3_3_4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look._.for._.US._.Domestic._.Paging._3_4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look._.for._.US._.Domestic._.Paging._3_4_1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look._.for._.US._.Domestic._.Paging._3_4_1_1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look._.for._.US._.Domestic._.Paging._3_4_1_2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look._.for._.US._.Domestic._.Paging._3_4_2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look._.for._.US._.Domestic._.Paging._3_4_2_1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look._.for._.US._.Domestic._.Paging._3_4_2_2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look._.for._.US._.Domestic._.Paging._3_4_3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look._.for._.US._.Domestic._.Paging._3_4_4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look._.for._.US._.Domestic._.Paging._3_5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look._.for._.US._.Domestic._.Paging._3_5_1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look._.for._.US._.Domestic._.Paging._3_5_1_1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look._.for._.US._.Domestic._.Paging._3_5_1_2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look._.for._.US._.Domestic._.Paging._3_5_2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look._.for._.US._.Domestic._.Paging._3_5_2_1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look._.for._.US._.Domestic._.Paging._3_5_2_2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look._.for._.US._.Domestic._.Paging._3_5_3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look._.for._.US._.Domestic._.Paging._3_5_4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look._.for._.US._.Domestic._.Paging._4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look._.for._.US._.Domestic._.Paging._4_1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look._.for._.US._.Domestic._.Paging._4_1_1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look._.for._.US._.Domestic._.Paging._4_1_2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look._.for._.US._.Domestic._.Paging._4_2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look._.for._.US._.Domestic._.Paging._4_2_1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look._.for._.US._.Domestic._.Paging._4_2_2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look._.for._.US._.Domestic._.Paging._4_3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look._.for._.US._.Domestic._.Paging._4_4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look._.for._.US._.Domestic._.Paging._5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look._.for._.US._.Domestic._.Paging._5_1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look._.for._.US._.Domestic._.Paging._5_1_1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look._.for._.US._.Domestic._.Paging._5_1_2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look._.for._.US._.Domestic._.Paging._5_2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look._.for._.US._.Domestic._.Paging._5_2_1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look._.for._.US._.Domestic._.Paging._5_2_2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look._.for._.US._.Domestic._.Paging._5_3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look._.for._.US._.Domestic._.Paging._5_4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LOOK._.vs._.ACT." localSheetId="8" hidden="1">{#N/A,#N/A,TRUE,"CUSTHOT";#N/A,#N/A,TRUE,"CUSTEXT";#N/A,#N/A,TRUE,"CUSTCOE";#N/A,#N/A,TRUE,"CUSTPRN";#N/A,#N/A,TRUE,"CUSTALU";#N/A,#N/A,TRUE,"CUSTREC";#N/A,#N/A,TRUE,"CUSTPAK";#N/A,#N/A,TRUE,"CUSTOTH ";#N/A,#N/A,TRUE,"CUSTTOT"}</definedName>
    <definedName name="wrn.OUTLOOK._.vs._.ACT." hidden="1">{#N/A,#N/A,TRUE,"CUSTHOT";#N/A,#N/A,TRUE,"CUSTEXT";#N/A,#N/A,TRUE,"CUSTCOE";#N/A,#N/A,TRUE,"CUSTPRN";#N/A,#N/A,TRUE,"CUSTALU";#N/A,#N/A,TRUE,"CUSTREC";#N/A,#N/A,TRUE,"CUSTPAK";#N/A,#N/A,TRUE,"CUSTOTH ";#N/A,#N/A,TRUE,"CUSTTOT"}</definedName>
    <definedName name="wrn.OUTLOOK._.vs._.ACT._1" localSheetId="8" hidden="1">{#N/A,#N/A,TRUE,"CUSTHOT";#N/A,#N/A,TRUE,"CUSTEXT";#N/A,#N/A,TRUE,"CUSTCOE";#N/A,#N/A,TRUE,"CUSTPRN";#N/A,#N/A,TRUE,"CUSTALU";#N/A,#N/A,TRUE,"CUSTREC";#N/A,#N/A,TRUE,"CUSTPAK";#N/A,#N/A,TRUE,"CUSTOTH ";#N/A,#N/A,TRUE,"CUSTTOT"}</definedName>
    <definedName name="wrn.OUTLOOK._.vs._.ACT._1" hidden="1">{#N/A,#N/A,TRUE,"CUSTHOT";#N/A,#N/A,TRUE,"CUSTEXT";#N/A,#N/A,TRUE,"CUSTCOE";#N/A,#N/A,TRUE,"CUSTPRN";#N/A,#N/A,TRUE,"CUSTALU";#N/A,#N/A,TRUE,"CUSTREC";#N/A,#N/A,TRUE,"CUSTPAK";#N/A,#N/A,TRUE,"CUSTOTH ";#N/A,#N/A,TRUE,"CUSTTOT"}</definedName>
    <definedName name="wrn.OUTPUT." localSheetId="7" hidden="1">{"DCF","UPSIDE CASE",FALSE,"Sheet1";"DCF","BASE CASE",FALSE,"Sheet1";"DCF","DOWNSIDE CASE",FALSE,"Sheet1"}</definedName>
    <definedName name="wrn.OUTPUT." localSheetId="8" hidden="1">{"DCF","UPSIDE CASE",FALSE,"Sheet1";"DCF","BASE CASE",FALSE,"Sheet1";"DCF","DOWNSIDE CASE",FALSE,"Sheet1"}</definedName>
    <definedName name="wrn.Output.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1" localSheetId="7" hidden="1">{"DCF","UPSIDE CASE",FALSE,"Sheet1";"DCF","BASE CASE",FALSE,"Sheet1";"DCF","DOWNSIDE CASE",FALSE,"Sheet1"}</definedName>
    <definedName name="wrn.OUTPUT._1" localSheetId="8" hidden="1">{"DCF","UPSIDE CASE",FALSE,"Sheet1";"DCF","BASE CASE",FALSE,"Sheet1";"DCF","DOWNSIDE CASE",FALSE,"Sheet1"}</definedName>
    <definedName name="wrn.OUTPUT._1" hidden="1">{"DCF","UPSIDE CASE",FALSE,"Sheet1";"DCF","BASE CASE",FALSE,"Sheet1";"DCF","DOWNSIDE CASE",FALSE,"Sheet1"}</definedName>
    <definedName name="wrn.outputs." localSheetId="8" hidden="1">{#N/A,#N/A,FALSE,"Outputs"}</definedName>
    <definedName name="wrn.outputs." hidden="1">{#N/A,#N/A,FALSE,"Outputs"}</definedName>
    <definedName name="wrn.Overheads._.Completo." hidden="1">{"Completo",#N/A,FALSE,"Overheads"}</definedName>
    <definedName name="wrn.Overheads._.por._.partes." hidden="1">{"por unidad",#N/A,FALSE,"Overheads"}</definedName>
    <definedName name="wrn.Overview." localSheetId="8" hidden="1">{"Summary",#N/A,FALSE,"(3) Causal Analysis - Year-end"}</definedName>
    <definedName name="wrn.Overview." hidden="1">{"Summary",#N/A,FALSE,"(3) Causal Analysis - Year-end"}</definedName>
    <definedName name="wrn.Overview2" localSheetId="8" hidden="1">{"Summary",#N/A,FALSE,"(3) Causal Analysis - Year-end"}</definedName>
    <definedName name="wrn.Overview2" hidden="1">{"Summary",#N/A,FALSE,"(3) Causal Analysis - Year-end"}</definedName>
    <definedName name="wrn.p" localSheetId="7" hidden="1">{#N/A,#N/A,FALSE,"1";#N/A,#N/A,FALSE,"2";#N/A,#N/A,FALSE,"16 - 17";#N/A,#N/A,FALSE,"18 - 19";#N/A,#N/A,FALSE,"26";#N/A,#N/A,FALSE,"27";#N/A,#N/A,FALSE,"28"}</definedName>
    <definedName name="wrn.p" localSheetId="8" hidden="1">{#N/A,#N/A,FALSE,"1";#N/A,#N/A,FALSE,"2";#N/A,#N/A,FALSE,"16 - 17";#N/A,#N/A,FALSE,"18 - 19";#N/A,#N/A,FALSE,"26";#N/A,#N/A,FALSE,"27";#N/A,#N/A,FALSE,"28"}</definedName>
    <definedName name="wrn.p" hidden="1">{#N/A,#N/A,FALSE,"1";#N/A,#N/A,FALSE,"2";#N/A,#N/A,FALSE,"16 - 17";#N/A,#N/A,FALSE,"18 - 19";#N/A,#N/A,FALSE,"26";#N/A,#N/A,FALSE,"27";#N/A,#N/A,FALSE,"28"}</definedName>
    <definedName name="wrn.p._.and._.l." localSheetId="8" hidden="1">{"bcII p and l",#N/A,FALSE,"Big Cajun II"}</definedName>
    <definedName name="wrn.p._.and._.l." hidden="1">{"bcII p and l",#N/A,FALSE,"Big Cajun II"}</definedName>
    <definedName name="wrn.PACK." localSheetId="8" hidden="1">{#N/A,#N/A,FALSE,"Summary (Target)";#N/A,#N/A,FALSE,"Extnl Targets  Var";#N/A,#N/A,FALSE,"Total Revenue Analysis";#N/A,#N/A,FALSE,"Total Revenue by Products";#N/A,#N/A,FALSE,"OOC External Analysis";#N/A,#N/A,FALSE,"OOC External by Products";#N/A,#N/A,FALSE,"Joint Ventures"}</definedName>
    <definedName name="wrn.PACK." hidden="1">{#N/A,#N/A,FALSE,"Summary (Target)";#N/A,#N/A,FALSE,"Extnl Targets  Var";#N/A,#N/A,FALSE,"Total Revenue Analysis";#N/A,#N/A,FALSE,"Total Revenue by Products";#N/A,#N/A,FALSE,"OOC External Analysis";#N/A,#N/A,FALSE,"OOC External by Products";#N/A,#N/A,FALSE,"Joint Ventures"}</definedName>
    <definedName name="wrn.Page1.Structure." localSheetId="8" hidden="1">{"Page1.Structure",#N/A,FALSE,"Main"}</definedName>
    <definedName name="wrn.Page1.Structure." hidden="1">{"Page1.Structure",#N/A,FALSE,"Main"}</definedName>
    <definedName name="wrn.Page2.Equity.Goodwill." localSheetId="8" hidden="1">{"Page2.Equity",#N/A,FALSE,"Main"}</definedName>
    <definedName name="wrn.Page2.Equity.Goodwill." hidden="1">{"Page2.Equity",#N/A,FALSE,"Main"}</definedName>
    <definedName name="wrn.Page2.Profit.Loss." localSheetId="8" hidden="1">{"Page2.Profit and Loss",#N/A,FALSE,"Main Model"}</definedName>
    <definedName name="wrn.Page2.Profit.Loss." hidden="1">{"Page2.Profit and Loss",#N/A,FALSE,"Main Model"}</definedName>
    <definedName name="wrn.Page3.Balance.Sheet." localSheetId="8" hidden="1">{"Page3.Balance Sheet",#N/A,FALSE,"Main Model"}</definedName>
    <definedName name="wrn.Page3.Balance.Sheet." hidden="1">{"Page3.Balance Sheet",#N/A,FALSE,"Main Model"}</definedName>
    <definedName name="wrn.Page3.Profit.Cashflow." localSheetId="8" hidden="1">{"Page3.Profit.Cashflow",#N/A,FALSE,"Main"}</definedName>
    <definedName name="wrn.Page3.Profit.Cashflow." hidden="1">{"Page3.Profit.Cashflow",#N/A,FALSE,"Main"}</definedName>
    <definedName name="wrn.Page4.Balance.Sheet." localSheetId="8" hidden="1">{"Page4.Balance.Sheet",#N/A,FALSE,"Main"}</definedName>
    <definedName name="wrn.Page4.Balance.Sheet." hidden="1">{"Page4.Balance.Sheet",#N/A,FALSE,"Main"}</definedName>
    <definedName name="wrn.Page4.Covenants." localSheetId="8" hidden="1">{"Page4.Covenants",#N/A,FALSE,"Main Model"}</definedName>
    <definedName name="wrn.Page4.Covenants." hidden="1">{"Page4.Covenants",#N/A,FALSE,"Main Model"}</definedName>
    <definedName name="wrn.Page5.Covenants." localSheetId="8" hidden="1">{"Page5.Covenants",#N/A,FALSE,"Main"}</definedName>
    <definedName name="wrn.Page5.Covenants." hidden="1">{"Page5.Covenants",#N/A,FALSE,"Main"}</definedName>
    <definedName name="wrn.Page5.Covenants._.2." localSheetId="8" hidden="1">{"Page5.Covenants 2",#N/A,FALSE,"Main Model"}</definedName>
    <definedName name="wrn.Page5.Covenants._.2." hidden="1">{"Page5.Covenants 2",#N/A,FALSE,"Main Model"}</definedName>
    <definedName name="wrn.Page6.Assumptions1." localSheetId="8" hidden="1">{"Page6.Assumptions1",#N/A,FALSE,"Main"}</definedName>
    <definedName name="wrn.Page6.Assumptions1." hidden="1">{"Page6.Assumptions1",#N/A,FALSE,"Main"}</definedName>
    <definedName name="wrn.Page6.Assuptions1." localSheetId="8" hidden="1">{"Page6.Assumptions",#N/A,FALSE,"Main Model"}</definedName>
    <definedName name="wrn.Page6.Assuptions1." hidden="1">{"Page6.Assumptions",#N/A,FALSE,"Main Model"}</definedName>
    <definedName name="wrn.Page7.Assumptions2." localSheetId="8" hidden="1">{"Page7.Assumptions2",#N/A,FALSE,"Main"}</definedName>
    <definedName name="wrn.Page7.Assumptions2." hidden="1">{"Page7.Assumptions2",#N/A,FALSE,"Main"}</definedName>
    <definedName name="wrn.Page8.Yields." localSheetId="8" hidden="1">{"Page8.Yields",#N/A,FALSE,"Main"}</definedName>
    <definedName name="wrn.Page8.Yields." hidden="1">{"Page8.Yields",#N/A,FALSE,"Main"}</definedName>
    <definedName name="wrn.Paging._.Compco." localSheetId="8" hidden="1">{"financials",#N/A,TRUE,"6_30_96";"footnotes",#N/A,TRUE,"6_30_96";"valuation",#N/A,TRUE,"6_30_96"}</definedName>
    <definedName name="wrn.Paging._.Compco." hidden="1">{"financials",#N/A,TRUE,"6_30_96";"footnotes",#N/A,TRUE,"6_30_96";"valuation",#N/A,TRUE,"6_30_96"}</definedName>
    <definedName name="wrn.PandLs." localSheetId="8" hidden="1">{"Plants",#N/A,FALSE,"Plants";"Summary",#N/A,FALSE,"Summary";"Calvert",#N/A,FALSE,"Calvert City";"City",#N/A,FALSE,"City of Industry";"Cleveland",#N/A,FALSE,"Cleveland";"Elkton",#N/A,FALSE,"Elkton";"Langley",#N/A,FALSE,"Langley";"Piedmont",#N/A,FALSE,"Piedmont";"Sbruns",#N/A,FALSE,"South Brunswick";"Nonplant",#N/A,FALSE,"NonPlant Purchases";"Notes",#N/A,FALSE,"Notes to Workbook"}</definedName>
    <definedName name="wrn.PandLs." hidden="1">{"Plants",#N/A,FALSE,"Plants";"Summary",#N/A,FALSE,"Summary";"Calvert",#N/A,FALSE,"Calvert City";"City",#N/A,FALSE,"City of Industry";"Cleveland",#N/A,FALSE,"Cleveland";"Elkton",#N/A,FALSE,"Elkton";"Langley",#N/A,FALSE,"Langley";"Piedmont",#N/A,FALSE,"Piedmont";"Sbruns",#N/A,FALSE,"South Brunswick";"Nonplant",#N/A,FALSE,"NonPlant Purchases";"Notes",#N/A,FALSE,"Notes to Workbook"}</definedName>
    <definedName name="wrn.paolo" localSheetId="8" hidden="1">{"Area1",#N/A,TRUE,"Obiettivo";"Area2",#N/A,TRUE,"Dati per Direzione"}</definedName>
    <definedName name="wrn.paolo" hidden="1">{"Area1",#N/A,TRUE,"Obiettivo";"Area2",#N/A,TRUE,"Dati per Direzione"}</definedName>
    <definedName name="wrn.paolo_1" localSheetId="8" hidden="1">{"Area1",#N/A,TRUE,"Obiettivo";"Area2",#N/A,TRUE,"Dati per Direzione"}</definedName>
    <definedName name="wrn.paolo_1" hidden="1">{"Area1",#N/A,TRUE,"Obiettivo";"Area2",#N/A,TRUE,"Dati per Direzione"}</definedName>
    <definedName name="wrn.Paquet.._.Conso.._.P.E.." localSheetId="8" hidden="1">{#N/A,#N/A,FALSE,"DeudAcre";#N/A,#N/A,FALSE,"Compvta";#N/A,#N/A,FALSE,"Ajust.IM";#N/A,#N/A,FALSE,"Ajust.Exi";#N/A,#N/A,FALSE,"Ajust.Div";#N/A,#N/A,FALSE,"Ajust.IF"}</definedName>
    <definedName name="wrn.Paquet.._.Conso.._.P.E.." hidden="1">{#N/A,#N/A,FALSE,"DeudAcre";#N/A,#N/A,FALSE,"Compvta";#N/A,#N/A,FALSE,"Ajust.IM";#N/A,#N/A,FALSE,"Ajust.Exi";#N/A,#N/A,FALSE,"Ajust.Div";#N/A,#N/A,FALSE,"Ajust.IF"}</definedName>
    <definedName name="wrn.Paquet.._.Conso.I.G.." localSheetId="8" hidden="1">{#N/A,#N/A,FALSE,"Datos";#N/A,#N/A,FALSE,"PartCap";#N/A,#N/A,FALSE,"Gtos-II";#N/A,#N/A,FALSE,"Inm.Mat1";#N/A,#N/A,FALSE,"Inm.Mat2";#N/A,#N/A,FALSE,"Inm.Fin";#N/A,#N/A,FALSE,"DeudAcre";#N/A,#N/A,FALSE,"Exist.Prov";#N/A,#N/A,FALSE,"Patrim.";#N/A,#N/A,FALSE,"IaD ";#N/A,#N/A,FALSE,"IptoSdes1";#N/A,#N/A,FALSE,"IptoSdes2";#N/A,#N/A,FALSE,"Ajust.IM";#N/A,#N/A,FALSE,"Ajust.Exi";#N/A,#N/A,FALSE,"Ajust.Div";#N/A,#N/A,FALSE,"Ajust.IF";#N/A,#N/A,FALSE,"Compvta";#N/A,#N/A,FALSE,"Avales";#N/A,#N/A,FALSE,"Conting.";#N/A,#N/A,FALSE,"Otra infor.1";#N/A,#N/A,FALSE,"Otra infor.2"}</definedName>
    <definedName name="wrn.Paquet.._.Conso.I.G.." hidden="1">{#N/A,#N/A,FALSE,"Datos";#N/A,#N/A,FALSE,"PartCap";#N/A,#N/A,FALSE,"Gtos-II";#N/A,#N/A,FALSE,"Inm.Mat1";#N/A,#N/A,FALSE,"Inm.Mat2";#N/A,#N/A,FALSE,"Inm.Fin";#N/A,#N/A,FALSE,"DeudAcre";#N/A,#N/A,FALSE,"Exist.Prov";#N/A,#N/A,FALSE,"Patrim.";#N/A,#N/A,FALSE,"IaD ";#N/A,#N/A,FALSE,"IptoSdes1";#N/A,#N/A,FALSE,"IptoSdes2";#N/A,#N/A,FALSE,"Ajust.IM";#N/A,#N/A,FALSE,"Ajust.Exi";#N/A,#N/A,FALSE,"Ajust.Div";#N/A,#N/A,FALSE,"Ajust.IF";#N/A,#N/A,FALSE,"Compvta";#N/A,#N/A,FALSE,"Avales";#N/A,#N/A,FALSE,"Conting.";#N/A,#N/A,FALSE,"Otra infor.1";#N/A,#N/A,FALSE,"Otra infor.2"}</definedName>
    <definedName name="wrn.Parque." localSheetId="8" hidden="1">{#N/A,#N/A,FALSE,"Resultados";#N/A,#N/A,FALSE,"PyG";#N/A,#N/A,FALSE,"Config. Parque";#N/A,#N/A,FALSE,"Sup. Productiva";#N/A,#N/A,FALSE,"inversiones";#N/A,#N/A,FALSE,"Amortizaciones";#N/A,#N/A,FALSE,"Detall.Naves";#N/A,#N/A,FALSE,"Precios";#N/A,#N/A,FALSE,"Sup. NO productiva";#N/A,#N/A,FALSE,"Ocupación"}</definedName>
    <definedName name="wrn.Parque." hidden="1">{#N/A,#N/A,FALSE,"Resultados";#N/A,#N/A,FALSE,"PyG";#N/A,#N/A,FALSE,"Config. Parque";#N/A,#N/A,FALSE,"Sup. Productiva";#N/A,#N/A,FALSE,"inversiones";#N/A,#N/A,FALSE,"Amortizaciones";#N/A,#N/A,FALSE,"Detall.Naves";#N/A,#N/A,FALSE,"Precios";#N/A,#N/A,FALSE,"Sup. NO productiva";#N/A,#N/A,FALSE,"Ocupación"}</definedName>
    <definedName name="wrn.partcan." localSheetId="8" hidden="1">{#N/A,#N/A,FALSE,"Min compa cad";#N/A,#N/A,FALSE,"Min CAN Equité ";#N/A,#N/A,FALSE,"Analyse can"}</definedName>
    <definedName name="wrn.partcan." hidden="1">{#N/A,#N/A,FALSE,"Min compa cad";#N/A,#N/A,FALSE,"Min CAN Equité ";#N/A,#N/A,FALSE,"Analyse can"}</definedName>
    <definedName name="wrn.partus." localSheetId="8" hidden="1">{#N/A,#N/A,FALSE,"Min compar us";#N/A,#N/A,FALSE,"Min US Equité ";#N/A,#N/A,FALSE,"Analyse U.S."}</definedName>
    <definedName name="wrn.partus." hidden="1">{#N/A,#N/A,FALSE,"Min compar us";#N/A,#N/A,FALSE,"Min US Equité ";#N/A,#N/A,FALSE,"Analyse U.S."}</definedName>
    <definedName name="wrn.Património." localSheetId="7" hidden="1">{#N/A,#N/A,FALSE,"Património"}</definedName>
    <definedName name="wrn.Património." localSheetId="8" hidden="1">{#N/A,#N/A,FALSE,"Património"}</definedName>
    <definedName name="wrn.Património." hidden="1">{#N/A,#N/A,FALSE,"Património"}</definedName>
    <definedName name="wrn.Património.2" localSheetId="8" hidden="1">{#N/A,#N/A,FALSE,"Património"}</definedName>
    <definedName name="wrn.Património.2" hidden="1">{#N/A,#N/A,FALSE,"Património"}</definedName>
    <definedName name="wrn.Património2" localSheetId="8" hidden="1">{#N/A,#N/A,FALSE,"Património"}</definedName>
    <definedName name="wrn.Património2" hidden="1">{#N/A,#N/A,FALSE,"Património"}</definedName>
    <definedName name="wrn.Payments_Model_Summary." localSheetId="8" hidden="1">{#N/A,#N/A,FALSE,"COVER";#N/A,#N/A,FALSE,"Custs &amp; Ac's Summary";#N/A,#N/A,FALSE,"Payments Summary";#N/A,#N/A,FALSE,"Resource Model Summary"}</definedName>
    <definedName name="wrn.Payments_Model_Summary." hidden="1">{#N/A,#N/A,FALSE,"COVER";#N/A,#N/A,FALSE,"Custs &amp; Ac's Summary";#N/A,#N/A,FALSE,"Payments Summary";#N/A,#N/A,FALSE,"Resource Model Summary"}</definedName>
    <definedName name="wrn.pays" localSheetId="8" hidden="1">{"ResourceNonPay",#N/A,FALSE,"pay_non pay input";"CapMaint",#N/A,FALSE,"Equipt Input";"CurrEqptProfile",#N/A,FALSE,"Equipt Input";"Curr Eqpt Mtce",#N/A,FALSE,"Equipt Input";"Miscellaneous",#N/A,FALSE,"Misc."}</definedName>
    <definedName name="wrn.pays" hidden="1">{"ResourceNonPay",#N/A,FALSE,"pay_non pay input";"CapMaint",#N/A,FALSE,"Equipt Input";"CurrEqptProfile",#N/A,FALSE,"Equipt Input";"Curr Eqpt Mtce",#N/A,FALSE,"Equipt Input";"Miscellaneous",#N/A,FALSE,"Misc."}</definedName>
    <definedName name="wrn.PBIT_DEV." localSheetId="8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wrn.PBIT_DEV.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wrn.Pèrdues._.i._.G.._.analític." localSheetId="8" hidden="1">{"Pèrdues i Guanys analític.Català",#N/A,FALSE,"Català";"Pèrdues i G. analític.castellà",#N/A,FALSE,"Castellà"}</definedName>
    <definedName name="wrn.Pèrdues._.i._.G.._.analític." hidden="1">{"Pèrdues i Guanys analític.Català",#N/A,FALSE,"Català";"Pèrdues i G. analític.castellà",#N/A,FALSE,"Castellà"}</definedName>
    <definedName name="wrn.Performance." localSheetId="8" hidden="1">{"Performance Details",#N/A,FALSE,"Current Yr";"Performance Details",#N/A,FALSE,"Budget";"Performance Details",#N/A,FALSE,"Prior Year"}</definedName>
    <definedName name="wrn.Performance." hidden="1">{"Performance Details",#N/A,FALSE,"Current Yr";"Performance Details",#N/A,FALSE,"Budget";"Performance Details",#N/A,FALSE,"Prior Year"}</definedName>
    <definedName name="wrn.Performance._.Aluguel." hidden="1">{#N/A,#N/A,FALSE,"Performance Aluguel"}</definedName>
    <definedName name="wrn.Performance._.Vendas." hidden="1">{#N/A,#N/A,FALSE,"Performance Vendas"}</definedName>
    <definedName name="wrn.perimeter._.comp." localSheetId="8" hidden="1">{#N/A,#N/A,TRUE,"comp";#N/A,#N/A,TRUE,"notes"}</definedName>
    <definedName name="wrn.perimeter._.comp." hidden="1">{#N/A,#N/A,TRUE,"comp";#N/A,#N/A,TRUE,"notes"}</definedName>
    <definedName name="wrn.perimeter._.comp._1" localSheetId="8" hidden="1">{#N/A,#N/A,TRUE,"comp";#N/A,#N/A,TRUE,"notes"}</definedName>
    <definedName name="wrn.perimeter._.comp._1" hidden="1">{#N/A,#N/A,TRUE,"comp";#N/A,#N/A,TRUE,"notes"}</definedName>
    <definedName name="wrn.Period._.Report._.for._.AKE." localSheetId="8" hidden="1">{#N/A,#N/A,TRUE,"Sum";#N/A,#N/A,TRUE,"P&amp;L";#N/A,#N/A,TRUE,"B-S";#N/A,#N/A,TRUE,"C-F";#N/A,#N/A,TRUE,"Strap";#N/A,#N/A,TRUE,"SAP"}</definedName>
    <definedName name="wrn.Period._.Report._.for._.AKE." hidden="1">{#N/A,#N/A,TRUE,"Sum";#N/A,#N/A,TRUE,"P&amp;L";#N/A,#N/A,TRUE,"B-S";#N/A,#N/A,TRUE,"C-F";#N/A,#N/A,TRUE,"Strap";#N/A,#N/A,TRUE,"SAP"}</definedName>
    <definedName name="wrn.PFDBalance._.Sheet." localSheetId="8" hidden="1">{#N/A,"PURPER",FALSE,"BSHIST.XLS";#N/A,"PURADD",FALSE,"BSHIST.XLS";#N/A,"PURSPP",FALSE,"BSHIST.XLS";#N/A,"CTGIND",FALSE,"BSHIST.XLS";#N/A,"ANCHOR",FALSE,"BSHIST.XLS";#N/A,"SPADD",FALSE,"BSHIST.XLS"}</definedName>
    <definedName name="wrn.PFDBalance._.Sheet." hidden="1">{#N/A,"PURPER",FALSE,"BSHIST.XLS";#N/A,"PURADD",FALSE,"BSHIST.XLS";#N/A,"PURSPP",FALSE,"BSHIST.XLS";#N/A,"CTGIND",FALSE,"BSHIST.XLS";#N/A,"ANCHOR",FALSE,"BSHIST.XLS";#N/A,"SPADD",FALSE,"BSHIST.XLS"}</definedName>
    <definedName name="wrn.Pharm._.Market._.Report." localSheetId="7" hidden="1">{#N/A,#N/A,FALSE,"Sales Graph";#N/A,#N/A,FALSE,"PSBM";#N/A,#N/A,FALSE,"BUC Graph";#N/A,#N/A,FALSE,"P&amp;L - YTD"}</definedName>
    <definedName name="wrn.Pharm._.Market._.Report." localSheetId="8" hidden="1">{#N/A,#N/A,FALSE,"Sales Graph";#N/A,#N/A,FALSE,"PSBM";#N/A,#N/A,FALSE,"BUC Graph";#N/A,#N/A,FALSE,"P&amp;L - YTD"}</definedName>
    <definedName name="wrn.Pharm._.Market._.Report." hidden="1">{#N/A,#N/A,FALSE,"Sales Graph";#N/A,#N/A,FALSE,"PSBM";#N/A,#N/A,FALSE,"BUC Graph";#N/A,#N/A,FALSE,"P&amp;L - YTD"}</definedName>
    <definedName name="wrn.Pharmaceuticals." localSheetId="7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Pharmaceuticals." localSheetId="8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Pharmaceuticals.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PIANO." localSheetId="8" hidden="1">{#N/A,#N/A,TRUE,"INPUT";#N/A,#N/A,TRUE,"ECO97";#N/A,#N/A,TRUE,"eco98-99";#N/A,#N/A,TRUE,"SP";#N/A,#N/A,TRUE,"FIN";#N/A,#N/A,TRUE,"SP_COMM";#N/A,#N/A,TRUE,"RECPAY";#N/A,#N/A,TRUE,"FIXASS";#N/A,#N/A,TRUE,"TFR";#N/A,#N/A,TRUE,"TAX";#N/A,#N/A,TRUE,"FINANZ";#N/A,#N/A,TRUE,"PATNET";#N/A,#N/A,TRUE,"LEAS";#N/A,#N/A,TRUE,"AMMLEAS"}</definedName>
    <definedName name="wrn.PIANO." hidden="1">{#N/A,#N/A,TRUE,"INPUT";#N/A,#N/A,TRUE,"ECO97";#N/A,#N/A,TRUE,"eco98-99";#N/A,#N/A,TRUE,"SP";#N/A,#N/A,TRUE,"FIN";#N/A,#N/A,TRUE,"SP_COMM";#N/A,#N/A,TRUE,"RECPAY";#N/A,#N/A,TRUE,"FIXASS";#N/A,#N/A,TRUE,"TFR";#N/A,#N/A,TRUE,"TAX";#N/A,#N/A,TRUE,"FINANZ";#N/A,#N/A,TRUE,"PATNET";#N/A,#N/A,TRUE,"LEAS";#N/A,#N/A,TRUE,"AMMLEAS"}</definedName>
    <definedName name="wrn.Piano._.5._.anni." localSheetId="8" hidden="1">{#N/A,#N/A,TRUE,"Allacciamenti 5 anni";#N/A,#N/A,TRUE,"Carico 5 anni";#N/A,#N/A,TRUE,"Qualità a) 5 anni";#N/A,#N/A,TRUE,"Qualità b) 5 anni";#N/A,#N/A,TRUE,"Impatto ambientale 5 anni";#N/A,#N/A,TRUE,"Adeg. tecnico 5 anni"}</definedName>
    <definedName name="wrn.Piano._.5._.anni." hidden="1">{#N/A,#N/A,TRUE,"Allacciamenti 5 anni";#N/A,#N/A,TRUE,"Carico 5 anni";#N/A,#N/A,TRUE,"Qualità a) 5 anni";#N/A,#N/A,TRUE,"Qualità b) 5 anni";#N/A,#N/A,TRUE,"Impatto ambientale 5 anni";#N/A,#N/A,TRUE,"Adeg. tecnico 5 anni"}</definedName>
    <definedName name="wrn.Piano._.5._.anni._1" localSheetId="8" hidden="1">{#N/A,#N/A,TRUE,"Allacciamenti 5 anni";#N/A,#N/A,TRUE,"Carico 5 anni";#N/A,#N/A,TRUE,"Qualità a) 5 anni";#N/A,#N/A,TRUE,"Qualità b) 5 anni";#N/A,#N/A,TRUE,"Impatto ambientale 5 anni";#N/A,#N/A,TRUE,"Adeg. tecnico 5 anni"}</definedName>
    <definedName name="wrn.Piano._.5._.anni._1" hidden="1">{#N/A,#N/A,TRUE,"Allacciamenti 5 anni";#N/A,#N/A,TRUE,"Carico 5 anni";#N/A,#N/A,TRUE,"Qualità a) 5 anni";#N/A,#N/A,TRUE,"Qualità b) 5 anni";#N/A,#N/A,TRUE,"Impatto ambientale 5 anni";#N/A,#N/A,TRUE,"Adeg. tecnico 5 anni"}</definedName>
    <definedName name="wrn.PIANO._1" localSheetId="8" hidden="1">{#N/A,#N/A,TRUE,"INPUT";#N/A,#N/A,TRUE,"ECO97";#N/A,#N/A,TRUE,"eco98-99";#N/A,#N/A,TRUE,"SP";#N/A,#N/A,TRUE,"FIN";#N/A,#N/A,TRUE,"SP_COMM";#N/A,#N/A,TRUE,"RECPAY";#N/A,#N/A,TRUE,"FIXASS";#N/A,#N/A,TRUE,"TFR";#N/A,#N/A,TRUE,"TAX";#N/A,#N/A,TRUE,"FINANZ";#N/A,#N/A,TRUE,"PATNET";#N/A,#N/A,TRUE,"LEAS";#N/A,#N/A,TRUE,"AMMLEAS"}</definedName>
    <definedName name="wrn.PIANO._1" hidden="1">{#N/A,#N/A,TRUE,"INPUT";#N/A,#N/A,TRUE,"ECO97";#N/A,#N/A,TRUE,"eco98-99";#N/A,#N/A,TRUE,"SP";#N/A,#N/A,TRUE,"FIN";#N/A,#N/A,TRUE,"SP_COMM";#N/A,#N/A,TRUE,"RECPAY";#N/A,#N/A,TRUE,"FIXASS";#N/A,#N/A,TRUE,"TFR";#N/A,#N/A,TRUE,"TAX";#N/A,#N/A,TRUE,"FINANZ";#N/A,#N/A,TRUE,"PATNET";#N/A,#N/A,TRUE,"LEAS";#N/A,#N/A,TRUE,"AMMLEAS"}</definedName>
    <definedName name="wrn.Pianocomp." localSheetId="8" hidden="1">{"page_1",#N/A,TRUE,"Sheet1";"page_2",#N/A,TRUE,"Sheet1";"page_notes",#N/A,TRUE,"Sheet1"}</definedName>
    <definedName name="wrn.Pianocomp." hidden="1">{"page_1",#N/A,TRUE,"Sheet1";"page_2",#N/A,TRUE,"Sheet1";"page_notes",#N/A,TRUE,"Sheet1"}</definedName>
    <definedName name="wrn.Pianocomp._1" localSheetId="8" hidden="1">{"page_1",#N/A,TRUE,"Sheet1";"page_2",#N/A,TRUE,"Sheet1";"page_notes",#N/A,TRUE,"Sheet1"}</definedName>
    <definedName name="wrn.Pianocomp._1" hidden="1">{"page_1",#N/A,TRUE,"Sheet1";"page_2",#N/A,TRUE,"Sheet1";"page_notes",#N/A,TRUE,"Sheet1"}</definedName>
    <definedName name="wrn.PL." hidden="1">{"20 Years",#N/A,FALSE,"P&amp;Ls";"2001",#N/A,FALSE,"P&amp;Ls"}</definedName>
    <definedName name="wrn.pl_brasil." hidden="1">{"PL_Brasil",#N/A,FALSE,"PL"}</definedName>
    <definedName name="wrn.Planilha._.preços._.1." hidden="1">{#N/A,#N/A,FALSE,"Dutos";#N/A,#N/A,FALSE,"Terminais"}</definedName>
    <definedName name="wrn.plbscf." localSheetId="7" hidden="1">{"p_l",#N/A,FALSE,"Summary Accounts"}</definedName>
    <definedName name="wrn.plbscf." localSheetId="8" hidden="1">{"p_l",#N/A,FALSE,"Summary Accounts"}</definedName>
    <definedName name="wrn.plbscf." hidden="1">{"p_l",#N/A,FALSE,"Summary Accounts"}</definedName>
    <definedName name="wrn.PLCOMIT." localSheetId="8" hidden="1">{#N/A,#N/A,FALSE,"pl_cons";#N/A,#N/A,FALSE,"pl_grup";#N/A,#N/A,FALSE,"pl_umpl";#N/A,#N/A,FALSE,"pl_bim";#N/A,#N/A,FALSE,"pl_bdb";#N/A,#N/A,FALSE,"pl_mq32";#N/A,#N/A,FALSE,"pl_bsrl"}</definedName>
    <definedName name="wrn.PLCOMIT." hidden="1">{#N/A,#N/A,FALSE,"pl_cons";#N/A,#N/A,FALSE,"pl_grup";#N/A,#N/A,FALSE,"pl_umpl";#N/A,#N/A,FALSE,"pl_bim";#N/A,#N/A,FALSE,"pl_bdb";#N/A,#N/A,FALSE,"pl_mq32";#N/A,#N/A,FALSE,"pl_bsrl"}</definedName>
    <definedName name="wrn.PLCOMIT._1" localSheetId="8" hidden="1">{#N/A,#N/A,FALSE,"pl_cons";#N/A,#N/A,FALSE,"pl_grup";#N/A,#N/A,FALSE,"pl_umpl";#N/A,#N/A,FALSE,"pl_bim";#N/A,#N/A,FALSE,"pl_bdb";#N/A,#N/A,FALSE,"pl_mq32";#N/A,#N/A,FALSE,"pl_bsrl"}</definedName>
    <definedName name="wrn.PLCOMIT._1" hidden="1">{#N/A,#N/A,FALSE,"pl_cons";#N/A,#N/A,FALSE,"pl_grup";#N/A,#N/A,FALSE,"pl_umpl";#N/A,#N/A,FALSE,"pl_bim";#N/A,#N/A,FALSE,"pl_bdb";#N/A,#N/A,FALSE,"pl_mq32";#N/A,#N/A,FALSE,"pl_bsrl"}</definedName>
    <definedName name="wrn.PMW._.Gruppe._.00_99." localSheetId="8" hidden="1">{#N/A,#N/A,FALSE,"PMW Gruppe 00_99";#N/A,#N/A,FALSE,"PMW KG 00_99";#N/A,#N/A,FALSE,"PMW Inc. 00_99";#N/A,#N/A,FALSE,"PMW VTECH 00_99";#N/A,#N/A,FALSE,"PMW Thail. 00_99";#N/A,#N/A,FALSE,"PMW Canada 00_99";#N/A,#N/A,FALSE,"Währungsabw. 00_99"}</definedName>
    <definedName name="wrn.PMW._.Gruppe._.00_99." hidden="1">{#N/A,#N/A,FALSE,"PMW Gruppe 00_99";#N/A,#N/A,FALSE,"PMW KG 00_99";#N/A,#N/A,FALSE,"PMW Inc. 00_99";#N/A,#N/A,FALSE,"PMW VTECH 00_99";#N/A,#N/A,FALSE,"PMW Thail. 00_99";#N/A,#N/A,FALSE,"PMW Canada 00_99";#N/A,#N/A,FALSE,"Währungsabw. 00_99"}</definedName>
    <definedName name="wrn.PMW._.Gruppe._.99_98n." localSheetId="8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wrn.PMW._.Gruppe._.99_98n.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wrn.Polymers." localSheetId="8" hidden="1">{"Polymers Details",#N/A,FALSE,"Current Yr";"Polymer Details",#N/A,FALSE,"Budget";"Polymer Details",#N/A,FALSE,"Prior Year"}</definedName>
    <definedName name="wrn.Polymers." hidden="1">{"Polymers Details",#N/A,FALSE,"Current Yr";"Polymer Details",#N/A,FALSE,"Budget";"Polymer Details",#N/A,FALSE,"Prior Year"}</definedName>
    <definedName name="wrn.Polymers._.Balance._.Sheet." localSheetId="8" hidden="1">{#N/A,"POLY",FALSE,"BSHIST.XLS";#N/A,"EMUL",FALSE,"BSHIST.XLS";#N/A,"PVOH",FALSE,"BSHIST.XLS";#N/A,"ACET",FALSE,"BSHIST.XLS"}</definedName>
    <definedName name="wrn.Polymers._.Balance._.Sheet." hidden="1">{#N/A,"POLY",FALSE,"BSHIST.XLS";#N/A,"EMUL",FALSE,"BSHIST.XLS";#N/A,"PVOH",FALSE,"BSHIST.XLS";#N/A,"ACET",FALSE,"BSHIST.XLS"}</definedName>
    <definedName name="wrn.Portrait." localSheetId="8" hidden="1">{"Front",#N/A,FALSE,"Front Sheet";"SME 01-03",#N/A,FALSE,"SME 1-3";"SME 04-06",#N/A,FALSE,"SME 4-6";"SME 07-09",#N/A,FALSE,"SME 7-9";"SME 10-12",#N/A,FALSE,"SME 10-12";"SME 13-15",#N/A,FALSE,"SME 13-15";"SME 17-18",#N/A,FALSE,"SME 17-18";"Q1 Plan",#N/A,FALSE,"Qtr 1 Plan";"SME 19",#N/A,FALSE,"SME 19"}</definedName>
    <definedName name="wrn.Portrait." hidden="1">{"Front",#N/A,FALSE,"Front Sheet";"SME 01-03",#N/A,FALSE,"SME 1-3";"SME 04-06",#N/A,FALSE,"SME 4-6";"SME 07-09",#N/A,FALSE,"SME 7-9";"SME 10-12",#N/A,FALSE,"SME 10-12";"SME 13-15",#N/A,FALSE,"SME 13-15";"SME 17-18",#N/A,FALSE,"SME 17-18";"Q1 Plan",#N/A,FALSE,"Qtr 1 Plan";"SME 19",#N/A,FALSE,"SME 19"}</definedName>
    <definedName name="wrn.Portrait._.IS." localSheetId="8" hidden="1">{"Portrait letter is",#N/A,FALSE,"Model"}</definedName>
    <definedName name="wrn.Portrait._.IS." hidden="1">{"Portrait letter is",#N/A,FALSE,"Model"}</definedName>
    <definedName name="wrn.Portrait._.letter._.is." localSheetId="8" hidden="1">{"portrait letter is",#N/A,FALSE,"Model"}</definedName>
    <definedName name="wrn.Portrait._.letter._.is." hidden="1">{"portrait letter is",#N/A,FALSE,"Model"}</definedName>
    <definedName name="wrn.portugal." hidden="1">{"portugal",#N/A,FALSE,"PL"}</definedName>
    <definedName name="wrn.ppp" localSheetId="7" hidden="1">{#N/A,#N/A,FALSE,"1";#N/A,#N/A,FALSE,"2";#N/A,#N/A,FALSE,"16 - 17";#N/A,#N/A,FALSE,"18 - 19";#N/A,#N/A,FALSE,"26";#N/A,#N/A,FALSE,"27";#N/A,#N/A,FALSE,"28"}</definedName>
    <definedName name="wrn.ppp" localSheetId="8" hidden="1">{#N/A,#N/A,FALSE,"1";#N/A,#N/A,FALSE,"2";#N/A,#N/A,FALSE,"16 - 17";#N/A,#N/A,FALSE,"18 - 19";#N/A,#N/A,FALSE,"26";#N/A,#N/A,FALSE,"27";#N/A,#N/A,FALSE,"28"}</definedName>
    <definedName name="wrn.ppp" hidden="1">{#N/A,#N/A,FALSE,"1";#N/A,#N/A,FALSE,"2";#N/A,#N/A,FALSE,"16 - 17";#N/A,#N/A,FALSE,"18 - 19";#N/A,#N/A,FALSE,"26";#N/A,#N/A,FALSE,"27";#N/A,#N/A,FALSE,"28"}</definedName>
    <definedName name="wrn.Ppto._.2000." localSheetId="7" hidden="1">{"Análisis Ventas Ppto 2000",#N/A,FALSE,"Grupo";"Cta Res Ppto 2000",#N/A,FALSE,"Grupo";"Impacto Ppto 2000",#N/A,FALSE,"Grupo";"Bce Ppto 2000",#N/A,FALSE,"Grupo";"Cashflow Ppto 2000",#N/A,FALSE,"Grupo";"Resumen de Ventas",#N/A,FALSE,"VENTAS 2000";"Resumen Cta Res",#N/A,FALSE,"CTA RES 2000"}</definedName>
    <definedName name="wrn.Ppto._.2000." localSheetId="8" hidden="1">{"Análisis Ventas Ppto 2000",#N/A,FALSE,"Grupo";"Cta Res Ppto 2000",#N/A,FALSE,"Grupo";"Impacto Ppto 2000",#N/A,FALSE,"Grupo";"Bce Ppto 2000",#N/A,FALSE,"Grupo";"Cashflow Ppto 2000",#N/A,FALSE,"Grupo";"Resumen de Ventas",#N/A,FALSE,"VENTAS 2000";"Resumen Cta Res",#N/A,FALSE,"CTA RES 2000"}</definedName>
    <definedName name="wrn.Ppto._.2000." hidden="1">{"Análisis Ventas Ppto 2000",#N/A,FALSE,"Grupo";"Cta Res Ppto 2000",#N/A,FALSE,"Grupo";"Impacto Ppto 2000",#N/A,FALSE,"Grupo";"Bce Ppto 2000",#N/A,FALSE,"Grupo";"Cashflow Ppto 2000",#N/A,FALSE,"Grupo";"Resumen de Ventas",#N/A,FALSE,"VENTAS 2000";"Resumen Cta Res",#N/A,FALSE,"CTA RES 2000"}</definedName>
    <definedName name="wrn.Ppto._.2000._1" localSheetId="8" hidden="1">{"Análisis Ventas Ppto 2000",#N/A,FALSE,"Grupo";"Cta Res Ppto 2000",#N/A,FALSE,"Grupo";"Impacto Ppto 2000",#N/A,FALSE,"Grupo";"Bce Ppto 2000",#N/A,FALSE,"Grupo";"Cashflow Ppto 2000",#N/A,FALSE,"Grupo";"Resumen de Ventas",#N/A,FALSE,"VENTAS 2000";"Resumen Cta Res",#N/A,FALSE,"CTA RES 2000"}</definedName>
    <definedName name="wrn.Ppto._.2000._1" hidden="1">{"Análisis Ventas Ppto 2000",#N/A,FALSE,"Grupo";"Cta Res Ppto 2000",#N/A,FALSE,"Grupo";"Impacto Ppto 2000",#N/A,FALSE,"Grupo";"Bce Ppto 2000",#N/A,FALSE,"Grupo";"Cashflow Ppto 2000",#N/A,FALSE,"Grupo";"Resumen de Ventas",#N/A,FALSE,"VENTAS 2000";"Resumen Cta Res",#N/A,FALSE,"CTA RES 2000"}</definedName>
    <definedName name="wrn.pq_dr." hidden="1">{"pq_dr",#N/A,FALSE,"PQ"}</definedName>
    <definedName name="wrn.pq_pe." hidden="1">{"pq_pe",#N/A,FALSE,"PQ"}</definedName>
    <definedName name="wrn.pq_sp." hidden="1">{"pq_sp",#N/A,FALSE,"PQ"}</definedName>
    <definedName name="wrn.PR_TRIAL_BALANCE." localSheetId="8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wrn.PR_TRIAL_BALANCE.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wrn.PRBFinancials." localSheetId="8" hidden="1">{"incomemth",#N/A,TRUE,"forecast02";"incpercentmth",#N/A,TRUE,"forecast02";"balancemth",#N/A,TRUE,"forecast02";"cashmth",#N/A,TRUE,"forecast02";"newcovenant",#N/A,TRUE,"forecast02";"prbexp",#N/A,TRUE,"forecast02";"prbcap",#N/A,TRUE,"forecast02";"coalconsultants",#N/A,TRUE,"forecast02";"prbsum",#N/A,TRUE,"forecast02"}</definedName>
    <definedName name="wrn.PRBFinancials." hidden="1">{"incomemth",#N/A,TRUE,"forecast02";"incpercentmth",#N/A,TRUE,"forecast02";"balancemth",#N/A,TRUE,"forecast02";"cashmth",#N/A,TRUE,"forecast02";"newcovenant",#N/A,TRUE,"forecast02";"prbexp",#N/A,TRUE,"forecast02";"prbcap",#N/A,TRUE,"forecast02";"coalconsultants",#N/A,TRUE,"forecast02";"prbsum",#N/A,TRUE,"forecast02"}</definedName>
    <definedName name="wrn.Precio._.Venta." localSheetId="8" hidden="1">{#N/A,#N/A,FALSE,"Venta"}</definedName>
    <definedName name="wrn.Precio._.Venta." hidden="1">{#N/A,#N/A,FALSE,"Venta"}</definedName>
    <definedName name="wrn.Presentacion." localSheetId="8" hidden="1">{#N/A,#N/A,FALSE,"Graficos";#N/A,#N/A,FALSE,"P.Ingresos";#N/A,#N/A,FALSE,"P.Gastos";#N/A,#N/A,FALSE,"I.Trafico";#N/A,#N/A,FALSE,"I.Peajes";#N/A,#N/A,FALSE,"G.Operativos";#N/A,#N/A,FALSE,"Cf Proyecto";#N/A,#N/A,FALSE,"C.PYG";#N/A,#N/A,FALSE,"Balance";#N/A,#N/A,FALSE,"TIR AC";#N/A,#N/A,FALSE,"TIR E"}</definedName>
    <definedName name="wrn.Presentacion." hidden="1">{#N/A,#N/A,FALSE,"Graficos";#N/A,#N/A,FALSE,"P.Ingresos";#N/A,#N/A,FALSE,"P.Gastos";#N/A,#N/A,FALSE,"I.Trafico";#N/A,#N/A,FALSE,"I.Peajes";#N/A,#N/A,FALSE,"G.Operativos";#N/A,#N/A,FALSE,"Cf Proyecto";#N/A,#N/A,FALSE,"C.PYG";#N/A,#N/A,FALSE,"Balance";#N/A,#N/A,FALSE,"TIR AC";#N/A,#N/A,FALSE,"TIR E"}</definedName>
    <definedName name="wrn.Presentation." localSheetId="8" hidden="1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wrn.Presentation." hidden="1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wrn.Presentation._1" localSheetId="8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wrn.Presentation._1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wrn.presentation1" localSheetId="8" hidden="1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wrn.presentation1" hidden="1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wrn.presentation2" localSheetId="8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wrn.presentation2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wrn.presentation2_1" localSheetId="8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wrn.presentation2_1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wrn.pressup._.98." localSheetId="8" hidden="1">{"linies crédit 98",#N/A,FALSE,"TRIPES";"base i excedents 98",#N/A,FALSE,"TRIPES";"préstecs 98",#N/A,FALSE,"TRIPES";"resum excedents i finanç. 98",#N/A,FALSE,"TRIPES"}</definedName>
    <definedName name="wrn.pressup._.98." hidden="1">{"linies crédit 98",#N/A,FALSE,"TRIPES";"base i excedents 98",#N/A,FALSE,"TRIPES";"préstecs 98",#N/A,FALSE,"TRIPES";"resum excedents i finanç. 98",#N/A,FALSE,"TRIPES"}</definedName>
    <definedName name="wrn.PRESUPUESTO._.LA._.NAVARRA." localSheetId="8" hidden="1">{"INDICE",#N/A,FALSE,"INDICE";"PREMISAS",#N/A,FALSE,"PREMISAS";"Pvta. bruto (I)",#N/A,FALSE,"PRECIO VTA. BRUTO (I)";"Pvta. bruto (II)",#N/A,FALSE,"PRECIO VTA. BRUTO (II)";"Cálculo Pvta. bruto (I)",#N/A,FALSE,"CALCULO P.V.B. (I)";"Cálculo Pvta. bruto (II)",#N/A,FALSE,"CALCULO P.V.B. (II)";"Espárragos (I)",#N/A,FALSE,"ESPARRAGOS (I)";"Espárragos (II)",#N/A,FALSE,"ESPARRAGOS (II)";"Armagnac (I)",#N/A,FALSE,"ARMANGNAC (I)";"Armagnac (II)",#N/A,FALSE,"ARMANGNAC (II)";"P. compra P.T. exportación",#N/A,FALSE,"Precio de compra de P.T.";"CAJAS NACIONAL MES",#N/A,FALSE,"SALIDAS U.F. NACIONAL MENSUALES";"CAJAS EXTERIOR MES",#N/A,FALSE,"SALIDAS U.F. EXTERIOR MENSUALES";"CAJAS TOTAL MES",#N/A,FALSE,"SALIDAS U.F. TOTAL MENSUALES";"L-B-C NACIONAL MES",#N/A,FALSE,"SALIDAS U.F. NACIONAL MENSUALES";"L-B-C EXTERIOR MES",#N/A,FALSE,"SALIDAS U.F. EXTERIOR MENSUALES";"L-B-C TOTAL MES",#N/A,FALSE,"SALIDAS U.F. TOTAL MENSUALES";"Promoción P. cesión",#N/A,FALSE,"VENTAS PROMOCIÓN";"Ppto. Ventas Nacional (I)",#N/A,FALSE,"Ppto. anual ventas nacional (1)";"Ppto. Ventas Nacional (II)",#N/A,FALSE,"Ppto. anual ventas nacional (2)";"Ppto. Ventas Nacional (III)",#N/A,FALSE,"Ppto. anual ventas nacional (3)";"Ppto. Ventas Exterior (I)",#N/A,FALSE,"Ppto. anual ventas exterior (1)";"Ppto. Ventas Exterior (II)",#N/A,FALSE,"Ppto. anual ventas exterior (2)";"Ppto. Ventas Total (I)",#N/A,FALSE,"Ppto. anual ventas total (1)";"Ppto. Ventas Total (II)",#N/A,FALSE,"Ppto. anual ventas total (2)";"Ppto. Ventas Total (III)",#N/A,FALSE,"Ppto. anual ventas total (3)";"Ppto. Ventas Resumen",#N/A,FALSE,"Ppto. anual ventas resumen";"Gastos variables",#N/A,FALSE,"GASTOS VARIABLES";"Consumo M.P.",#N/A,FALSE,"CONSUMO M. PRIMA";"Compras P.T.",#N/A,FALSE,"COMPRAS P. TERMINADO";"Comisiones",#N/A,FALSE,"COMISIONES";"Tptes y fletes",#N/A,FALSE,"TPTES Y FLETES";#N/A,#N/A,FALSE,"IMPTO.  ALCOHOLES";"Regalos",#N/A,FALSE,"REGALOS";"Gastos fijos",#N/A,FALSE,"GASTOS FIJOS";"Publicidad",#N/A,FALSE,"PUBLICIDAD";"Relaciones públicas",#N/A,FALSE,"RELACIONES PÚBLICAS";"PyG",#N/A,FALSE,"PyG";"Observaciones PyG",#N/A,FALSE,"Observaciones PyG";"PyG por productos",#N/A,FALSE,"PyG PRODUCTOS";"Umbrales",#N/A,FALSE,"UMBRALES"}</definedName>
    <definedName name="wrn.PRESUPUESTO._.LA._.NAVARRA." hidden="1">{"INDICE",#N/A,FALSE,"INDICE";"PREMISAS",#N/A,FALSE,"PREMISAS";"Pvta. bruto (I)",#N/A,FALSE,"PRECIO VTA. BRUTO (I)";"Pvta. bruto (II)",#N/A,FALSE,"PRECIO VTA. BRUTO (II)";"Cálculo Pvta. bruto (I)",#N/A,FALSE,"CALCULO P.V.B. (I)";"Cálculo Pvta. bruto (II)",#N/A,FALSE,"CALCULO P.V.B. (II)";"Espárragos (I)",#N/A,FALSE,"ESPARRAGOS (I)";"Espárragos (II)",#N/A,FALSE,"ESPARRAGOS (II)";"Armagnac (I)",#N/A,FALSE,"ARMANGNAC (I)";"Armagnac (II)",#N/A,FALSE,"ARMANGNAC (II)";"P. compra P.T. exportación",#N/A,FALSE,"Precio de compra de P.T.";"CAJAS NACIONAL MES",#N/A,FALSE,"SALIDAS U.F. NACIONAL MENSUALES";"CAJAS EXTERIOR MES",#N/A,FALSE,"SALIDAS U.F. EXTERIOR MENSUALES";"CAJAS TOTAL MES",#N/A,FALSE,"SALIDAS U.F. TOTAL MENSUALES";"L-B-C NACIONAL MES",#N/A,FALSE,"SALIDAS U.F. NACIONAL MENSUALES";"L-B-C EXTERIOR MES",#N/A,FALSE,"SALIDAS U.F. EXTERIOR MENSUALES";"L-B-C TOTAL MES",#N/A,FALSE,"SALIDAS U.F. TOTAL MENSUALES";"Promoción P. cesión",#N/A,FALSE,"VENTAS PROMOCIÓN";"Ppto. Ventas Nacional (I)",#N/A,FALSE,"Ppto. anual ventas nacional (1)";"Ppto. Ventas Nacional (II)",#N/A,FALSE,"Ppto. anual ventas nacional (2)";"Ppto. Ventas Nacional (III)",#N/A,FALSE,"Ppto. anual ventas nacional (3)";"Ppto. Ventas Exterior (I)",#N/A,FALSE,"Ppto. anual ventas exterior (1)";"Ppto. Ventas Exterior (II)",#N/A,FALSE,"Ppto. anual ventas exterior (2)";"Ppto. Ventas Total (I)",#N/A,FALSE,"Ppto. anual ventas total (1)";"Ppto. Ventas Total (II)",#N/A,FALSE,"Ppto. anual ventas total (2)";"Ppto. Ventas Total (III)",#N/A,FALSE,"Ppto. anual ventas total (3)";"Ppto. Ventas Resumen",#N/A,FALSE,"Ppto. anual ventas resumen";"Gastos variables",#N/A,FALSE,"GASTOS VARIABLES";"Consumo M.P.",#N/A,FALSE,"CONSUMO M. PRIMA";"Compras P.T.",#N/A,FALSE,"COMPRAS P. TERMINADO";"Comisiones",#N/A,FALSE,"COMISIONES";"Tptes y fletes",#N/A,FALSE,"TPTES Y FLETES";#N/A,#N/A,FALSE,"IMPTO.  ALCOHOLES";"Regalos",#N/A,FALSE,"REGALOS";"Gastos fijos",#N/A,FALSE,"GASTOS FIJOS";"Publicidad",#N/A,FALSE,"PUBLICIDAD";"Relaciones públicas",#N/A,FALSE,"RELACIONES PÚBLICAS";"PyG",#N/A,FALSE,"PyG";"Observaciones PyG",#N/A,FALSE,"Observaciones PyG";"PyG por productos",#N/A,FALSE,"PyG PRODUCTOS";"Umbrales",#N/A,FALSE,"UMBRALES"}</definedName>
    <definedName name="wrn.Presupuestos." localSheetId="8" hidden="1">{#N/A,#N/A,FALSE,"PF c0";#N/A,#N/A,FALSE,"Bal SMM";#N/A,#N/A,FALSE,"Inv TE Smm";#N/A,#N/A,FALSE,"Inv Div. Terr.";#N/A,#N/A,FALSE,"Rec TE Smm";#N/A,#N/A,FALSE,"Rec Div. Terr.";#N/A,#N/A,FALSE,"Result. Acum.";#N/A,#N/A,FALSE,"Gráfico BAI";#N/A,#N/A,FALSE,"Result. Acum. ATM";#N/A,#N/A,FALSE,"tipos";#N/A,#N/A,FALSE,"Efectos";#N/A,#N/A,FALSE,"Gr Efectos";#N/A,#N/A,FALSE,"Gastos Personal";#N/A,#N/A,FALSE,"O.G.Adm. Subdirecc."}</definedName>
    <definedName name="wrn.Presupuestos." hidden="1">{#N/A,#N/A,FALSE,"PF c0";#N/A,#N/A,FALSE,"Bal SMM";#N/A,#N/A,FALSE,"Inv TE Smm";#N/A,#N/A,FALSE,"Inv Div. Terr.";#N/A,#N/A,FALSE,"Rec TE Smm";#N/A,#N/A,FALSE,"Rec Div. Terr.";#N/A,#N/A,FALSE,"Result. Acum.";#N/A,#N/A,FALSE,"Gráfico BAI";#N/A,#N/A,FALSE,"Result. Acum. ATM";#N/A,#N/A,FALSE,"tipos";#N/A,#N/A,FALSE,"Efectos";#N/A,#N/A,FALSE,"Gr Efectos";#N/A,#N/A,FALSE,"Gastos Personal";#N/A,#N/A,FALSE,"O.G.Adm. Subdirecc."}</definedName>
    <definedName name="wrn.PRESUPUESTOS._.96." localSheetId="8" hidden="1">{#N/A,#N/A,TRUE,"COVER";"MDC1",#N/A,TRUE,"MDCMEN";"MDC2",#N/A,TRUE,"MDCMEN";"MDC3",#N/A,TRUE,"MDCMEN";"MDC4",#N/A,TRUE,"MDCMEN"}</definedName>
    <definedName name="wrn.PRESUPUESTOS._.96." hidden="1">{#N/A,#N/A,TRUE,"COVER";"MDC1",#N/A,TRUE,"MDCMEN";"MDC2",#N/A,TRUE,"MDCMEN";"MDC3",#N/A,TRUE,"MDCMEN";"MDC4",#N/A,TRUE,"MDCMEN"}</definedName>
    <definedName name="wrn.PRESUPUESTOS._.96._1" localSheetId="8" hidden="1">{#N/A,#N/A,TRUE,"COVER";"MDC1",#N/A,TRUE,"MDCMEN";"MDC2",#N/A,TRUE,"MDCMEN";"MDC3",#N/A,TRUE,"MDCMEN";"MDC4",#N/A,TRUE,"MDCMEN"}</definedName>
    <definedName name="wrn.PRESUPUESTOS._.96._1" hidden="1">{#N/A,#N/A,TRUE,"COVER";"MDC1",#N/A,TRUE,"MDCMEN";"MDC2",#N/A,TRUE,"MDCMEN";"MDC3",#N/A,TRUE,"MDCMEN";"MDC4",#N/A,TRUE,"MDCMEN"}</definedName>
    <definedName name="wrn.Price." localSheetId="8" hidden="1">{"PLCustom",#N/A,TRUE,"P&amp;L summary";"PriSumm",#N/A,TRUE,"Price Summary";"HoursPay",#N/A,TRUE,"pay_non pay input";"ResourceNonPay",#N/A,TRUE,"pay_non pay input";"Capital Profile",#N/A,TRUE,"Equipt Input";"CurrEqptProfile",#N/A,TRUE,"Equipt Input";"TotMtce",#N/A,TRUE,"Equipt Input";"TPNwks",#N/A,TRUE,"Nwks Input";"BTNwks",#N/A,TRUE,"Nwks Input";"Miscellaneous",#N/A,TRUE,"Misc."}</definedName>
    <definedName name="wrn.Price." hidden="1">{"PLCustom",#N/A,TRUE,"P&amp;L summary";"PriSumm",#N/A,TRUE,"Price Summary";"HoursPay",#N/A,TRUE,"pay_non pay input";"ResourceNonPay",#N/A,TRUE,"pay_non pay input";"Capital Profile",#N/A,TRUE,"Equipt Input";"CurrEqptProfile",#N/A,TRUE,"Equipt Input";"TotMtce",#N/A,TRUE,"Equipt Input";"TPNwks",#N/A,TRUE,"Nwks Input";"BTNwks",#N/A,TRUE,"Nwks Input";"Miscellaneous",#N/A,TRUE,"Misc."}</definedName>
    <definedName name="wrn.price._.forecasts." localSheetId="8" hidden="1">{"olfs1",#N/A,FALSE,"olefsum";"olfs2",#N/A,FALSE,"olefsum";"usolf1",#N/A,FALSE,"USolef";"usolf2",#N/A,FALSE,"USolef";"weolf1",#N/A,FALSE,"WEolef";"weolf2",#N/A,FALSE,"WEolef";"asolf1",#N/A,FALSE,"Asiaolef";"asolf2",#N/A,FALSE,"Asiaolef";"amrs1",#N/A,FALSE,"armsum";"amrs2",#N/A,FALSE,"armsum";"usarm1",#N/A,FALSE,"USarm";"usarm2",#N/A,FALSE,"USarm";"usmoh1",#N/A,FALSE,"usmoh";"usmoh2",#N/A,FALSE,"usmoh"}</definedName>
    <definedName name="wrn.price._.forecasts." hidden="1">{"olfs1",#N/A,FALSE,"olefsum";"olfs2",#N/A,FALSE,"olefsum";"usolf1",#N/A,FALSE,"USolef";"usolf2",#N/A,FALSE,"USolef";"weolf1",#N/A,FALSE,"WEolef";"weolf2",#N/A,FALSE,"WEolef";"asolf1",#N/A,FALSE,"Asiaolef";"asolf2",#N/A,FALSE,"Asiaolef";"amrs1",#N/A,FALSE,"armsum";"amrs2",#N/A,FALSE,"armsum";"usarm1",#N/A,FALSE,"USarm";"usarm2",#N/A,FALSE,"USarm";"usmoh1",#N/A,FALSE,"usmoh";"usmoh2",#N/A,FALSE,"usmoh"}</definedName>
    <definedName name="wrn.Price_Effect." localSheetId="8" hidden="1">{"Comp_of_Price_Effect",#N/A,FALSE,"QTRDPVAR"}</definedName>
    <definedName name="wrn.Price_Effect." hidden="1">{"Comp_of_Price_Effect",#N/A,FALSE,"QTRDPVAR"}</definedName>
    <definedName name="wrn.prices." hidden="1">{#N/A,#N/A,TRUE,"BANAMEX";#N/A,#N/A,TRUE,"CGT";#N/A,#N/A,TRUE,"ALFA";#N/A,#N/A,TRUE,"ICA (2)"}</definedName>
    <definedName name="wrn.PrimeCo." localSheetId="7" hidden="1">{"print 1",#N/A,FALSE,"PrimeCo PCS";"print 2",#N/A,FALSE,"PrimeCo PCS";"valuation",#N/A,FALSE,"PrimeCo PCS"}</definedName>
    <definedName name="wrn.PrimeCo." localSheetId="8" hidden="1">{"print 1",#N/A,FALSE,"PrimeCo PCS";"print 2",#N/A,FALSE,"PrimeCo PCS";"valuation",#N/A,FALSE,"PrimeCo PCS"}</definedName>
    <definedName name="wrn.PrimeCo." hidden="1">{"print 1",#N/A,FALSE,"PrimeCo PCS";"print 2",#N/A,FALSE,"PrimeCo PCS";"valuation",#N/A,FALSE,"PrimeCo PCS"}</definedName>
    <definedName name="wrn.PrimeCo._1" localSheetId="8" hidden="1">{"print 1",#N/A,FALSE,"PrimeCo PCS";"print 2",#N/A,FALSE,"PrimeCo PCS";"valuation",#N/A,FALSE,"PrimeCo PCS"}</definedName>
    <definedName name="wrn.PrimeCo._1" hidden="1">{"print 1",#N/A,FALSE,"PrimeCo PCS";"print 2",#N/A,FALSE,"PrimeCo PCS";"valuation",#N/A,FALSE,"PrimeCo PCS"}</definedName>
    <definedName name="wrn.prin2._.all." localSheetId="7" hidden="1">{#N/A,#N/A,FALSE,"Pharm";#N/A,#N/A,FALSE,"WWCM"}</definedName>
    <definedName name="wrn.prin2._.all." localSheetId="8" hidden="1">{#N/A,#N/A,FALSE,"Pharm";#N/A,#N/A,FALSE,"WWCM"}</definedName>
    <definedName name="wrn.prin2._.all." hidden="1">{#N/A,#N/A,FALSE,"Pharm";#N/A,#N/A,FALSE,"WWCM"}</definedName>
    <definedName name="wrn.prin3" localSheetId="7" hidden="1">{#N/A,#N/A,FALSE,"Pharm";#N/A,#N/A,FALSE,"WWCM"}</definedName>
    <definedName name="wrn.prin3" localSheetId="8" hidden="1">{#N/A,#N/A,FALSE,"Pharm";#N/A,#N/A,FALSE,"WWCM"}</definedName>
    <definedName name="wrn.prin3" hidden="1">{#N/A,#N/A,FALSE,"Pharm";#N/A,#N/A,FALSE,"WWCM"}</definedName>
    <definedName name="wrn.principais." localSheetId="8" hidden="1">{#N/A,#N/A,FALSE,"AMSA611";#N/A,#N/A,FALSE,"STACFLOW"}</definedName>
    <definedName name="wrn.principais." hidden="1">{#N/A,#N/A,FALSE,"AMSA611";#N/A,#N/A,FALSE,"STACFLOW"}</definedName>
    <definedName name="wrn.Principal." localSheetId="8" hidden="1">{#N/A,#N/A,FALSE,"Principal";#N/A,#N/A,FALSE,"Principal2"}</definedName>
    <definedName name="wrn.Principal." hidden="1">{#N/A,#N/A,FALSE,"Principal";#N/A,#N/A,FALSE,"Principal2"}</definedName>
    <definedName name="wrn.print" localSheetId="7" hidden="1">{#N/A,#N/A,FALSE,"Pharm";#N/A,#N/A,FALSE,"WWCM"}</definedName>
    <definedName name="wrn.print" localSheetId="8" hidden="1">{#N/A,#N/A,FALSE,"Pharm";#N/A,#N/A,FALSE,"WWCM"}</definedName>
    <definedName name="wrn.print" hidden="1">{#N/A,#N/A,FALSE,"Pharm";#N/A,#N/A,FALSE,"WWCM"}</definedName>
    <definedName name="wrn.Print." localSheetId="7" hidden="1">{"vi1",#N/A,FALSE,"Financial Statements";"vi2",#N/A,FALSE,"Financial Statements";#N/A,#N/A,FALSE,"DCF"}</definedName>
    <definedName name="wrn.Print." localSheetId="8" hidden="1">{"vi1",#N/A,FALSE,"Financial Statements";"vi2",#N/A,FALSE,"Financial Statements";#N/A,#N/A,FALSE,"DCF"}</definedName>
    <definedName name="wrn.Print." hidden="1">{"vi1",#N/A,FALSE,"Financial Statements";"vi2",#N/A,FALSE,"Financial Statements";#N/A,#N/A,FALSE,"DCF"}</definedName>
    <definedName name="wrn.Print._.All." localSheetId="7" hidden="1">{#N/A,#N/A,FALSE,"P&amp;L Variance";#N/A,#N/A,FALSE,"Location P&amp;L (Actual)";#N/A,#N/A,FALSE,"Location P&amp;L (Budget)";#N/A,#N/A,FALSE,"Location P&amp;L (Variance)";#N/A,#N/A,FALSE,"By Month P&amp;L"}</definedName>
    <definedName name="wrn.print._.all." localSheetId="8" hidden="1">{"sum of the parts",#N/A,FALSE,"Sum-of-the-Parts";"LBO analysis",#N/A,FALSE,"LBO P&amp;L";"p&amp;L",#N/A,FALSE,"LBO P&amp;L";"cash flow",#N/A,FALSE,"CF";"cap struct",#N/A,FALSE,"LBO P&amp;L";"equity return",#N/A,FALSE,"return"}</definedName>
    <definedName name="wrn.PRINT._.ALL." hidden="1">{#N/A,#N/A,FALSE,"Pharm";#N/A,#N/A,FALSE,"WWCM"}</definedName>
    <definedName name="wrn.Print._.All._.A4." hidden="1">{"Valuation",#N/A,TRUE,"Valuation Summary";"Financial Statements",#N/A,TRUE,"Results";"Results",#N/A,TRUE,"Results";"Ratios",#N/A,TRUE,"Results";"Historical data",#N/A,TRUE,"Historical Data";"Forecast inputs",#N/A,TRUE,"Forecast Drivers"}</definedName>
    <definedName name="wrn.Print._.All._.Exhibits." hidden="1">{"Inc Stmt Dollar",#N/A,FALSE,"IS";"Inc Stmt CS",#N/A,FALSE,"IS";"BS Dollar",#N/A,FALSE,"BS";"BS CS",#N/A,FALSE,"BS";"CF Dollar",#N/A,FALSE,"CF";"Ratio No.1",#N/A,FALSE,"Ratio";"Ratio No.2",#N/A,FALSE,"Ratio"}</definedName>
    <definedName name="wrn.Print._.All._.Letter." hidden="1">{"Valuation Letter",#N/A,TRUE,"Valuation Summary";"Financial Statements Letter",#N/A,TRUE,"Results";"Results Letter",#N/A,TRUE,"Results";"Ratios Letter",#N/A,TRUE,"Results";"Historical data Letter",#N/A,TRUE,"Historical Data";"Forecast inputs Letter",#N/A,TRUE,"Forecast Drivers"}</definedName>
    <definedName name="wrn.Print._.All._.Pages." localSheetId="8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_1" localSheetId="8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_1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sheets." hidden="1">{"summary",#N/A,FALSE,"Valuation Analysis";"assumptions1",#N/A,FALSE,"Valuation Analysis";"assumptions2",#N/A,FALSE,"Valuation Analysis"}</definedName>
    <definedName name="wrn.Print._.All._.Worksheets." localSheetId="8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2" localSheetId="7" hidden="1">{#N/A,#N/A,FALSE,"Pharm";#N/A,#N/A,FALSE,"WWCM"}</definedName>
    <definedName name="wrn.PRINT._.ALL.2" localSheetId="8" hidden="1">{#N/A,#N/A,FALSE,"Pharm";#N/A,#N/A,FALSE,"WWCM"}</definedName>
    <definedName name="wrn.PRINT._.ALL.2" hidden="1">{#N/A,#N/A,FALSE,"Pharm";#N/A,#N/A,FALSE,"WWCM"}</definedName>
    <definedName name="wrn.print._.all2" localSheetId="7" hidden="1">{#N/A,#N/A,FALSE,"Pharm";#N/A,#N/A,FALSE,"WWCM"}</definedName>
    <definedName name="wrn.print._.all2" localSheetId="8" hidden="1">{#N/A,#N/A,FALSE,"Pharm";#N/A,#N/A,FALSE,"WWCM"}</definedName>
    <definedName name="wrn.print._.all2" hidden="1">{#N/A,#N/A,FALSE,"Pharm";#N/A,#N/A,FALSE,"WWCM"}</definedName>
    <definedName name="wrn.Print._.Analyst._.Comparison." localSheetId="8" hidden="1">{"comp_bob1",#N/A,FALSE,"Analyst Comparison";"comp_linnea1",#N/A,FALSE,"Analyst Comparison"}</definedName>
    <definedName name="wrn.Print._.Analyst._.Comparison." hidden="1">{"comp_bob1",#N/A,FALSE,"Analyst Comparison";"comp_linnea1",#N/A,FALSE,"Analyst Comparison"}</definedName>
    <definedName name="wrn.Print._.bands." localSheetId="8" hidden="1">{#N/A,#N/A,FALSE,"New Bands";#N/A,#N/A,FALSE,"Old Bands"}</definedName>
    <definedName name="wrn.Print._.bands." hidden="1">{#N/A,#N/A,FALSE,"New Bands";#N/A,#N/A,FALSE,"Old Bands"}</definedName>
    <definedName name="wrn.Print._.bands._.and._.prices." localSheetId="8" hidden="1">{#N/A,#N/A,FALSE,"Notes";#N/A,#N/A,FALSE,"New Bands";#N/A,#N/A,FALSE,"Old Bands";#N/A,#N/A,FALSE,"Old Prices";#N/A,#N/A,FALSE,"New Prices";#N/A,#N/A,FALSE,"Variable Prices";#N/A,#N/A,FALSE,"Price changes"}</definedName>
    <definedName name="wrn.Print._.bands._.and._.prices." hidden="1">{#N/A,#N/A,FALSE,"Notes";#N/A,#N/A,FALSE,"New Bands";#N/A,#N/A,FALSE,"Old Bands";#N/A,#N/A,FALSE,"Old Prices";#N/A,#N/A,FALSE,"New Prices";#N/A,#N/A,FALSE,"Variable Prices";#N/A,#N/A,FALSE,"Price changes"}</definedName>
    <definedName name="wrn.Print._.Blank._.Exhibit." hidden="1">{"Extra 1",#N/A,FALSE,"Blank"}</definedName>
    <definedName name="wrn.Print._.BS._.Exhibits." hidden="1">{"BS Dollar",#N/A,FALSE,"BS";"BS CS",#N/A,FALSE,"BS"}</definedName>
    <definedName name="wrn.Print._.Business._.Plan." localSheetId="8" hidden="1">{"bob_is1",#N/A,FALSE,"Financial Statements, Bob";"bob_bs1",#N/A,FALSE,"Financial Statements, Bob";"bob_cf1",#N/A,FALSE,"Financial Statements, Bob";"linnea_is1",#N/A,FALSE,"Financial Statements, Linnea";"linnea_bs1",#N/A,FALSE,"Financial Statements, Linnea";"linnea_cf1",#N/A,FALSE,"Financial Statements, Linnea"}</definedName>
    <definedName name="wrn.Print._.Business._.Plan." hidden="1">{"bob_is1",#N/A,FALSE,"Financial Statements, Bob";"bob_bs1",#N/A,FALSE,"Financial Statements, Bob";"bob_cf1",#N/A,FALSE,"Financial Statements, Bob";"linnea_is1",#N/A,FALSE,"Financial Statements, Linnea";"linnea_bs1",#N/A,FALSE,"Financial Statements, Linnea";"linnea_cf1",#N/A,FALSE,"Financial Statements, Linnea"}</definedName>
    <definedName name="wrn.Print._.CF._.Exhibit." hidden="1">{"CF Dollar",#N/A,FALSE,"CF"}</definedName>
    <definedName name="wrn.Print._.Dilution." localSheetId="8" hidden="1">{"dilution11",#N/A,FALSE,"Dillution Analyis";"dilution21",#N/A,FALSE,"Dillution Analyis";"dilution31",#N/A,FALSE,"Dillution Analyis"}</definedName>
    <definedName name="wrn.Print._.Dilution." hidden="1">{"dilution11",#N/A,FALSE,"Dillution Analyis";"dilution21",#N/A,FALSE,"Dillution Analyis";"dilution31",#N/A,FALSE,"Dillution Analyis"}</definedName>
    <definedName name="wrn.Print._.Entire._.Business._.Case." hidden="1">{"cover",#N/A,FALSE,"Cover Page";"PnLBase",#N/A,FALSE,"Summary P&amp;L";"PnLOpex",#N/A,FALSE,"Summary P&amp;L";"PnLOpexRevenue",#N/A,FALSE,"Summary P&amp;L";"PnL MANS Revenue",#N/A,FALSE,"Summary P&amp;L";"PnL Consolidated",#N/A,FALSE,"Summary P&amp;L";"IRR",#N/A,FALSE,"Investment Appraisal";"London Revenues",#N/A,FALSE,"London";"Manchester Revenues",#N/A,FALSE,"Manchester";"Birmingham Revenues",#N/A,FALSE,"Birmingham";"Liverpool Revenues",#N/A,FALSE,"Liverpool";"Leeds Revenues",#N/A,FALSE,"Leeds";"Sheffield Revenues",#N/A,FALSE,"Sheffield";"Glasgow Revenues",#N/A,FALSE,"Glasgow";"Edinburgh Revenues",#N/A,FALSE,"Edinburgh";"Bristol Revenues",#N/A,FALSE,"Bristol";"Summary Capex and Depreciation",#N/A,FALSE,"Capex1";"Capex London",#N/A,FALSE,"Capex1";"Capex Manchester",#N/A,FALSE,"Capex1";"Capex Birmingham",#N/A,FALSE,"Capex1";"Capex Liverpool",#N/A,FALSE,"Capex1";"Capex Leeds",#N/A,FALSE,"Capex1";"Capex Sheffield",#N/A,FALSE,"Capex1";"Capex Glasgow",#N/A,FALSE,"Capex1";"Capex Edinburgh",#N/A,FALSE,"Capex1";"Capex Bristol",#N/A,FALSE,"Capex1";"Capex Sceotland",#N/A,FALSE,"Capex1";"Capex2 Breakdown1",#N/A,FALSE,"Capex2";"Capex2 Breakdown2",#N/A,FALSE,"Capex2";"UK Market",#N/A,FALSE,"UK Market";"MANS Business Shares",#N/A,FALSE,"UK Market";"MANS Ranking",#N/A,FALSE,"UK Market";"MANS Market Shares",#N/A,FALSE,"Market Shares";"Traffic1",#N/A,FALSE,"Traffic";"Traffic2",#N/A,FALSE,"Traffic";"Customer Sites",#N/A,FALSE,"Customer Sites";"Customer Sites2",#N/A,FALSE,"Customer Sites";"Ports1",#N/A,FALSE,"Switch Ports";"Ports2",#N/A,FALSE,"Switch Ports"}</definedName>
    <definedName name="wrn.Print._.Europe._.TandB." localSheetId="8" hidden="1">{"Print Top",#N/A,FALSE,"Europe Model";"Print Bottom",#N/A,FALSE,"Europe Model"}</definedName>
    <definedName name="wrn.Print._.Europe._.TandB." hidden="1">{"Print Top",#N/A,FALSE,"Europe Model";"Print Bottom",#N/A,FALSE,"Europe Model"}</definedName>
    <definedName name="wrn.Print._.FE._.T._.and._.B." localSheetId="8" hidden="1">{"Far East Top",#N/A,FALSE,"FE Model";"Far East Bottom",#N/A,FALSE,"FE Model"}</definedName>
    <definedName name="wrn.Print._.FE._.T._.and._.B." hidden="1">{"Far East Top",#N/A,FALSE,"FE Model";"Far East Bottom",#N/A,FALSE,"FE Model"}</definedName>
    <definedName name="wrn.print._.graphs." localSheetId="7" hidden="1">{"cap_structure",#N/A,FALSE,"Graph-Mkt Cap";"price",#N/A,FALSE,"Graph-Price";"ebit",#N/A,FALSE,"Graph-EBITDA";"ebitda",#N/A,FALSE,"Graph-EBITDA"}</definedName>
    <definedName name="wrn.print._.graphs." localSheetId="8" hidden="1">{"cap_structure",#N/A,FALSE,"Graph-Mkt Cap";"price",#N/A,FALSE,"Graph-Price";"ebit",#N/A,FALSE,"Graph-EBITDA";"ebitda",#N/A,FALSE,"Graph-EBITDA"}</definedName>
    <definedName name="wrn.print._.graphs." hidden="1">{"cap_structure",#N/A,FALSE,"Graph-Mkt Cap";"price",#N/A,FALSE,"Graph-Price";"ebit",#N/A,FALSE,"Graph-EBITDA";"ebitda",#N/A,FALSE,"Graph-EBITDA"}</definedName>
    <definedName name="wrn.print._.graphs._1" localSheetId="7" hidden="1">{"cap_structure",#N/A,FALSE,"Graph-Mkt Cap";"price",#N/A,FALSE,"Graph-Price";"ebit",#N/A,FALSE,"Graph-EBITDA";"ebitda",#N/A,FALSE,"Graph-EBITDA"}</definedName>
    <definedName name="wrn.print._.graphs._1" localSheetId="8" hidden="1">{"cap_structure",#N/A,FALSE,"Graph-Mkt Cap";"price",#N/A,FALSE,"Graph-Price";"ebit",#N/A,FALSE,"Graph-EBITDA";"ebitda",#N/A,FALSE,"Graph-EBITDA"}</definedName>
    <definedName name="wrn.print._.graphs._1" hidden="1">{"cap_structure",#N/A,FALSE,"Graph-Mkt Cap";"price",#N/A,FALSE,"Graph-Price";"ebit",#N/A,FALSE,"Graph-EBITDA";"ebitda",#N/A,FALSE,"Graph-EBITDA"}</definedName>
    <definedName name="wrn.Print._.IS._.Exhibits." hidden="1">{"Inc Stmt Dollar",#N/A,FALSE,"IS";"Inc Stmt CS",#N/A,FALSE,"IS"}</definedName>
    <definedName name="wrn.Print._.Model." localSheetId="8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Model.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Model._1" localSheetId="8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Model._1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Monthly." localSheetId="8" hidden="1">{#N/A,#N/A,FALSE,"Overview";#N/A,#N/A,FALSE,"EBITDA";#N/A,#N/A,FALSE,"Contribution";#N/A,#N/A,FALSE,"Indirects";#N/A,#N/A,FALSE,"Labour";#N/A,#N/A,FALSE,"Headcount";#N/A,#N/A,FALSE,"Temps";#N/A,#N/A,FALSE,"Capex";#N/A,#N/A,FALSE,"Volumes"}</definedName>
    <definedName name="wrn.Print._.Monthly." hidden="1">{#N/A,#N/A,FALSE,"Overview";#N/A,#N/A,FALSE,"EBITDA";#N/A,#N/A,FALSE,"Contribution";#N/A,#N/A,FALSE,"Indirects";#N/A,#N/A,FALSE,"Labour";#N/A,#N/A,FALSE,"Headcount";#N/A,#N/A,FALSE,"Temps";#N/A,#N/A,FALSE,"Capex";#N/A,#N/A,FALSE,"Volumes"}</definedName>
    <definedName name="wrn.Print._.Out._.1." localSheetId="8" hidden="1">{"Five Year",#N/A,FALSE,"Summary (2)";"Month 1 and Years",#N/A,FALSE,"Cash Budget"}</definedName>
    <definedName name="wrn.Print._.Out._.1." hidden="1">{"Five Year",#N/A,FALSE,"Summary (2)";"Month 1 and Years",#N/A,FALSE,"Cash Budget"}</definedName>
    <definedName name="wrn.Print._.Out._.1._1" localSheetId="8" hidden="1">{"Five Year",#N/A,FALSE,"Summary (2)";"Month 1 and Years",#N/A,FALSE,"Cash Budget"}</definedName>
    <definedName name="wrn.Print._.Out._.1._1" hidden="1">{"Five Year",#N/A,FALSE,"Summary (2)";"Month 1 and Years",#N/A,FALSE,"Cash Budget"}</definedName>
    <definedName name="wrn.print._.pages." localSheetId="8" hidden="1">{#N/A,#N/A,FALSE,"Spain MKT";#N/A,#N/A,FALSE,"Assumptions";#N/A,#N/A,FALSE,"Adve";#N/A,#N/A,FALSE,"E-Commerce";#N/A,#N/A,FALSE,"Opex";#N/A,#N/A,FALSE,"P&amp;L";#N/A,#N/A,FALSE,"FCF &amp; DCF"}</definedName>
    <definedName name="wrn.print._.pages." hidden="1">{#N/A,#N/A,FALSE,"Spain MKT";#N/A,#N/A,FALSE,"Assumptions";#N/A,#N/A,FALSE,"Adve";#N/A,#N/A,FALSE,"E-Commerce";#N/A,#N/A,FALSE,"Opex";#N/A,#N/A,FALSE,"P&amp;L";#N/A,#N/A,FALSE,"FCF &amp; DCF"}</definedName>
    <definedName name="wrn.Print._.prices." localSheetId="8" hidden="1">{#N/A,#N/A,FALSE,"Variable Prices";#N/A,#N/A,FALSE,"Old Prices";#N/A,#N/A,FALSE,"New Prices";#N/A,#N/A,FALSE,"Price changes"}</definedName>
    <definedName name="wrn.Print._.prices." hidden="1">{#N/A,#N/A,FALSE,"Variable Prices";#N/A,#N/A,FALSE,"Old Prices";#N/A,#N/A,FALSE,"New Prices";#N/A,#N/A,FALSE,"Price changes"}</definedName>
    <definedName name="wrn.Print._.Quarterly." localSheetId="8" hidden="1">{#N/A,#N/A,FALSE,"Qtly EBITDA";#N/A,#N/A,FALSE,"Qtly Indirects";#N/A,#N/A,FALSE,"Qtly Cont";#N/A,#N/A,FALSE,"Qtly Lab";#N/A,#N/A,FALSE,"Qtly HC";#N/A,#N/A,FALSE,"Qtly Capex";#N/A,#N/A,FALSE,"Qtly Vol"}</definedName>
    <definedName name="wrn.Print._.Quarterly." hidden="1">{#N/A,#N/A,FALSE,"Qtly EBITDA";#N/A,#N/A,FALSE,"Qtly Indirects";#N/A,#N/A,FALSE,"Qtly Cont";#N/A,#N/A,FALSE,"Qtly Lab";#N/A,#N/A,FALSE,"Qtly HC";#N/A,#N/A,FALSE,"Qtly Capex";#N/A,#N/A,FALSE,"Qtly Vol"}</definedName>
    <definedName name="wrn.Print._.Ratio._.Exhibits." hidden="1">{"Ratio No.1",#N/A,FALSE,"Ratio";"Ratio No.2",#N/A,FALSE,"Ratio"}</definedName>
    <definedName name="wrn.print._.raw._.data._.entry." localSheetId="7" hidden="1">{"inputs raw data",#N/A,TRUE,"INPUT"}</definedName>
    <definedName name="wrn.print._.raw._.data._.entry." localSheetId="8" hidden="1">{"inputs raw data",#N/A,TRUE,"INPUT"}</definedName>
    <definedName name="wrn.print._.raw._.data._.entry." hidden="1">{"inputs raw data",#N/A,TRUE,"INPUT"}</definedName>
    <definedName name="wrn.print._.raw._.data._.entry._1" localSheetId="7" hidden="1">{"inputs raw data",#N/A,TRUE,"INPUT"}</definedName>
    <definedName name="wrn.print._.raw._.data._.entry._1" localSheetId="8" hidden="1">{"inputs raw data",#N/A,TRUE,"INPUT"}</definedName>
    <definedName name="wrn.print._.raw._.data._.entry._1" hidden="1">{"inputs raw data",#N/A,TRUE,"INPUT"}</definedName>
    <definedName name="wrn.Print._.Results._.A4." hidden="1">{"Valuation",#N/A,TRUE,"Valuation Summary";"Financial Statements",#N/A,TRUE,"Results";"Results",#N/A,TRUE,"Results";"Ratios",#N/A,TRUE,"Results"}</definedName>
    <definedName name="wrn.Print._.Results._.Letter." hidden="1">{"Valuation Letter",#N/A,TRUE,"Valuation Summary";"Financial Statements Letter",#N/A,TRUE,"Results";"Results Letter",#N/A,TRUE,"Results";"Ratios Letter",#N/A,TRUE,"Results"}</definedName>
    <definedName name="wrn.print._.standalone." localSheetId="8" hidden="1">{"standalone1",#N/A,FALSE,"DCFBase";"standalone2",#N/A,FALSE,"DCFBase"}</definedName>
    <definedName name="wrn.print._.standalone." hidden="1">{"standalone1",#N/A,FALSE,"DCFBase";"standalone2",#N/A,FALSE,"DCFBase"}</definedName>
    <definedName name="wrn.print._.standalone._1" localSheetId="8" hidden="1">{"standalone1",#N/A,FALSE,"DCFBase";"standalone2",#N/A,FALSE,"DCFBase"}</definedName>
    <definedName name="wrn.print._.standalone._1" hidden="1">{"standalone1",#N/A,FALSE,"DCFBase";"standalone2",#N/A,FALSE,"DCFBase"}</definedName>
    <definedName name="wrn.print._.summary._.sheets." localSheetId="7" hidden="1">{"summary1",#N/A,TRUE,"Comps";"summary2",#N/A,TRUE,"Comps";"summary3",#N/A,TRUE,"Comps"}</definedName>
    <definedName name="wrn.print._.summary._.sheets." localSheetId="8" hidden="1">{"summary1",#N/A,TRUE,"Comps";"summary2",#N/A,TRUE,"Comps";"summary3",#N/A,TRUE,"Comps"}</definedName>
    <definedName name="wrn.print._.summary._.sheets." hidden="1">{"summary1",#N/A,TRUE,"Comps";"summary2",#N/A,TRUE,"Comps";"summary3",#N/A,TRUE,"Comps"}</definedName>
    <definedName name="wrn.print._.summary._.sheets._1" localSheetId="7" hidden="1">{"summary1",#N/A,TRUE,"Comps";"summary2",#N/A,TRUE,"Comps";"summary3",#N/A,TRUE,"Comps"}</definedName>
    <definedName name="wrn.print._.summary._.sheets._1" localSheetId="8" hidden="1">{"summary1",#N/A,TRUE,"Comps";"summary2",#N/A,TRUE,"Comps";"summary3",#N/A,TRUE,"Comps"}</definedName>
    <definedName name="wrn.print._.summary._.sheets._1" hidden="1">{"summary1",#N/A,TRUE,"Comps";"summary2",#N/A,TRUE,"Comps";"summary3",#N/A,TRUE,"Comps"}</definedName>
    <definedName name="wrn.Print._.the._.lot." localSheetId="8" hidden="1">{"First Page",#N/A,FALSE,"Surfactants LBO";"Second Page",#N/A,FALSE,"Surfactants LBO"}</definedName>
    <definedName name="wrn.Print._.the._.lot." hidden="1">{"First Page",#N/A,FALSE,"Surfactants LBO";"Second Page",#N/A,FALSE,"Surfactants LBO"}</definedName>
    <definedName name="wrn.Print._.the._.lot._1" localSheetId="8" hidden="1">{"First Page",#N/A,FALSE,"Surfactants LBO";"Second Page",#N/A,FALSE,"Surfactants LBO"}</definedName>
    <definedName name="wrn.Print._.the._.lot._1" hidden="1">{"First Page",#N/A,FALSE,"Surfactants LBO";"Second Page",#N/A,FALSE,"Surfactants LBO"}</definedName>
    <definedName name="wrn.Print._.whole._.Report." localSheetId="8" hidden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.whole._.Report." hidden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.whole._.Report._1" localSheetId="8" hidden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.whole._.Report._1" hidden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1" localSheetId="7" hidden="1">{"vi1",#N/A,FALSE,"Financial Statements";"vi2",#N/A,FALSE,"Financial Statements";#N/A,#N/A,FALSE,"DCF"}</definedName>
    <definedName name="wrn.Print._1" localSheetId="8" hidden="1">{"vi1",#N/A,FALSE,"Financial Statements";"vi2",#N/A,FALSE,"Financial Statements";#N/A,#N/A,FALSE,"DCF"}</definedName>
    <definedName name="wrn.Print._1" hidden="1">{"vi1",#N/A,FALSE,"Financial Statements";"vi2",#N/A,FALSE,"Financial Statements";#N/A,#N/A,FALSE,"DCF"}</definedName>
    <definedName name="wrn.print._all1." localSheetId="7" hidden="1">{#N/A,#N/A,FALSE,"Pharm";#N/A,#N/A,FALSE,"WWCM"}</definedName>
    <definedName name="wrn.print._all1." localSheetId="8" hidden="1">{#N/A,#N/A,FALSE,"Pharm";#N/A,#N/A,FALSE,"WWCM"}</definedName>
    <definedName name="wrn.print._all1." hidden="1">{#N/A,#N/A,FALSE,"Pharm";#N/A,#N/A,FALSE,"WWCM"}</definedName>
    <definedName name="wrn.print_1" localSheetId="8" hidden="1">{"page1",#N/A,FALSE,"PROFORMA";"page2",#N/A,FALSE,"PROFORMA";"page3",#N/A,FALSE,"PROFORMA";"page4",#N/A,FALSE,"PROFORMA";"page5",#N/A,FALSE,"PROFORMA";"page6",#N/A,FALSE,"PROFORMA";"page7",#N/A,FALSE,"PROFORMA";"page8",#N/A,FALSE,"PROFORMA"}</definedName>
    <definedName name="wrn.print_1" hidden="1">{"page1",#N/A,FALSE,"PROFORMA";"page2",#N/A,FALSE,"PROFORMA";"page3",#N/A,FALSE,"PROFORMA";"page4",#N/A,FALSE,"PROFORMA";"page5",#N/A,FALSE,"PROFORMA";"page6",#N/A,FALSE,"PROFORMA";"page7",#N/A,FALSE,"PROFORMA";"page8",#N/A,FALSE,"PROFORMA"}</definedName>
    <definedName name="wrn.Print_all." localSheetId="8" hidden="1">{"APF",#N/A,FALSE,"Bfc98-1";"APG",#N/A,FALSE,"Bfc98-1";"APND",#N/A,FALSE,"Bfc98-1";"APSA",#N/A,FALSE,"Bfc98-1";"lhy",#N/A,FALSE,"Bfc98-1";"PEC",#N/A,FALSE,"Bfc98-1"}</definedName>
    <definedName name="wrn.Print_all." hidden="1">{"APF",#N/A,FALSE,"Bfc98-1";"APG",#N/A,FALSE,"Bfc98-1";"APND",#N/A,FALSE,"Bfc98-1";"APSA",#N/A,FALSE,"Bfc98-1";"lhy",#N/A,FALSE,"Bfc98-1";"PEC",#N/A,FALSE,"Bfc98-1"}</definedName>
    <definedName name="wrn.Print_all_sections." localSheetId="8" hidden="1">{#N/A,#N/A,TRUE,"Title";#N/A,#N/A,TRUE,"CC-Summary";#N/A,#N/A,TRUE,"CapitalCost";#N/A,#N/A,TRUE,"Revenue and cost analysis";#N/A,#N/A,TRUE,"DCF";#N/A,#N/A,TRUE,"DCF-APV";#N/A,#N/A,TRUE,"DCF-WACC"}</definedName>
    <definedName name="wrn.Print_all_sections." hidden="1">{#N/A,#N/A,TRUE,"Title";#N/A,#N/A,TRUE,"CC-Summary";#N/A,#N/A,TRUE,"CapitalCost";#N/A,#N/A,TRUE,"Revenue and cost analysis";#N/A,#N/A,TRUE,"DCF";#N/A,#N/A,TRUE,"DCF-APV";#N/A,#N/A,TRUE,"DCF-WACC"}</definedName>
    <definedName name="wrn.Print_Buyer." localSheetId="8" hidden="1">{#N/A,"DR",FALSE,"increm pf";#N/A,"MAMSI",FALSE,"increm pf";#N/A,"MAXI",FALSE,"increm pf";#N/A,"PCAM",FALSE,"increm pf";#N/A,"PHSV",FALSE,"increm pf";#N/A,"SIE",FALSE,"increm pf"}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Buyer._1" localSheetId="8" hidden="1">{#N/A,"DR",FALSE,"increm pf";#N/A,"MAMSI",FALSE,"increm pf";#N/A,"MAXI",FALSE,"increm pf";#N/A,"PCAM",FALSE,"increm pf";#N/A,"PHSV",FALSE,"increm pf";#N/A,"SIE",FALSE,"increm pf"}</definedName>
    <definedName name="wrn.Print_Buyer._1" hidden="1">{#N/A,"DR",FALSE,"increm pf";#N/A,"MAMSI",FALSE,"increm pf";#N/A,"MAXI",FALSE,"increm pf";#N/A,"PCAM",FALSE,"increm pf";#N/A,"PHSV",FALSE,"increm pf";#N/A,"SIE",FALSE,"increm pf"}</definedName>
    <definedName name="wrn.Print_Comps_Report." localSheetId="8" hidden="1">{"comps1_1",#N/A,FALSE,"Comps1";"comps1_2",#N/A,FALSE,"Comps1";"comps1_3",#N/A,FALSE,"Comps1";"comps1_4",#N/A,FALSE,"Comps1";"comps1_5",#N/A,FALSE,"Comps1";"comps2_1",#N/A,FALSE,"Comps2";"comps2_2",#N/A,FALSE,"Comps2";"comps2_3",#N/A,FALSE,"Comps2";"comps2_4",#N/A,FALSE,"Comps2";"comps2_5",#N/A,FALSE,"Comps2"}</definedName>
    <definedName name="wrn.Print_Comps_Report." hidden="1">{"comps1_1",#N/A,FALSE,"Comps1";"comps1_2",#N/A,FALSE,"Comps1";"comps1_3",#N/A,FALSE,"Comps1";"comps1_4",#N/A,FALSE,"Comps1";"comps1_5",#N/A,FALSE,"Comps1";"comps2_1",#N/A,FALSE,"Comps2";"comps2_2",#N/A,FALSE,"Comps2";"comps2_3",#N/A,FALSE,"Comps2";"comps2_4",#N/A,FALSE,"Comps2";"comps2_5",#N/A,FALSE,"Comps2"}</definedName>
    <definedName name="wrn.Print_Comps_Report._1" localSheetId="8" hidden="1">{"comps1_1",#N/A,FALSE,"Comps1";"comps1_2",#N/A,FALSE,"Comps1";"comps1_3",#N/A,FALSE,"Comps1";"comps1_4",#N/A,FALSE,"Comps1";"comps1_5",#N/A,FALSE,"Comps1";"comps2_1",#N/A,FALSE,"Comps2";"comps2_2",#N/A,FALSE,"Comps2";"comps2_3",#N/A,FALSE,"Comps2";"comps2_4",#N/A,FALSE,"Comps2";"comps2_5",#N/A,FALSE,"Comps2"}</definedName>
    <definedName name="wrn.Print_Comps_Report._1" hidden="1">{"comps1_1",#N/A,FALSE,"Comps1";"comps1_2",#N/A,FALSE,"Comps1";"comps1_3",#N/A,FALSE,"Comps1";"comps1_4",#N/A,FALSE,"Comps1";"comps1_5",#N/A,FALSE,"Comps1";"comps2_1",#N/A,FALSE,"Comps2";"comps2_2",#N/A,FALSE,"Comps2";"comps2_3",#N/A,FALSE,"Comps2";"comps2_4",#N/A,FALSE,"Comps2";"comps2_5",#N/A,FALSE,"Comps2"}</definedName>
    <definedName name="wrn.Print_CSC." localSheetId="8" hidden="1">{"CSC_1",#N/A,FALSE,"CSC Outputs";"CSC_2",#N/A,FALSE,"CSC Outputs"}</definedName>
    <definedName name="wrn.Print_CSC." hidden="1">{"CSC_1",#N/A,FALSE,"CSC Outputs";"CSC_2",#N/A,FALSE,"CSC Outputs"}</definedName>
    <definedName name="wrn.Print_CSC2" localSheetId="8" hidden="1">{"CSC_1",#N/A,FALSE,"CSC Outputs";"CSC_2",#N/A,FALSE,"CSC Outputs"}</definedName>
    <definedName name="wrn.Print_CSC2" hidden="1">{"CSC_1",#N/A,FALSE,"CSC Outputs";"CSC_2",#N/A,FALSE,"CSC Outputs"}</definedName>
    <definedName name="wrn.Print_DCF." localSheetId="8" hidden="1">{"dcf_linnea1",#N/A,FALSE,"Discounted Cash Flow";"dcf_bob1",#N/A,FALSE,"Discounted Cash Flow";"dcf_bob21",#N/A,FALSE,"Discounted Cash Flow";"dcf_linnea21",#N/A,FALSE,"Discounted Cash Flow"}</definedName>
    <definedName name="wrn.Print_DCF." hidden="1">{"dcf_linnea1",#N/A,FALSE,"Discounted Cash Flow";"dcf_bob1",#N/A,FALSE,"Discounted Cash Flow";"dcf_bob21",#N/A,FALSE,"Discounted Cash Flow";"dcf_linnea21",#N/A,FALSE,"Discounted Cash Flow"}</definedName>
    <definedName name="wrn.Print_Index." localSheetId="8" hidden="1">{"Index",#N/A,FALSE,"Index"}</definedName>
    <definedName name="wrn.Print_Index." hidden="1">{"Index",#N/A,FALSE,"Index"}</definedName>
    <definedName name="wrn.Print_Main_All." localSheetId="8" hidden="1">{"Exec Summary1",#N/A,FALSE,"MAIN";"Exec Summary2",#N/A,FALSE,"MAIN";"Exec Summary3",#N/A,FALSE,"MAIN";"Income Statement",#N/A,FALSE,"MAIN";"Cash Flow",#N/A,FALSE,"MAIN";"Balance Sheet",#N/A,FALSE,"MAIN";"Assumptions-Income Statement",#N/A,FALSE,"MAIN";"Assumptions - Balance Sheet",#N/A,FALSE,"MAIN";"Capital Structure1",#N/A,FALSE,"MAIN";"Capital Structure2",#N/A,FALSE,"MAIN"}</definedName>
    <definedName name="wrn.Print_Main_All." hidden="1">{"Exec Summary1",#N/A,FALSE,"MAIN";"Exec Summary2",#N/A,FALSE,"MAIN";"Exec Summary3",#N/A,FALSE,"MAIN";"Income Statement",#N/A,FALSE,"MAIN";"Cash Flow",#N/A,FALSE,"MAIN";"Balance Sheet",#N/A,FALSE,"MAIN";"Assumptions-Income Statement",#N/A,FALSE,"MAIN";"Assumptions - Balance Sheet",#N/A,FALSE,"MAIN";"Capital Structure1",#N/A,FALSE,"MAIN";"Capital Structure2",#N/A,FALSE,"MAIN"}</definedName>
    <definedName name="wrn.Print_Main_All._2" localSheetId="8" hidden="1">{"Exec Summary1",#N/A,FALSE,"MAIN";"Exec Summary2",#N/A,FALSE,"MAIN";"Exec Summary3",#N/A,FALSE,"MAIN";"Income Statement",#N/A,FALSE,"MAIN";"Cash Flow",#N/A,FALSE,"MAIN";"Balance Sheet",#N/A,FALSE,"MAIN";"Assumptions-Income Statement",#N/A,FALSE,"MAIN";"Assumptions - Balance Sheet",#N/A,FALSE,"MAIN";"Capital Structure1",#N/A,FALSE,"MAIN";"Capital Structure2",#N/A,FALSE,"MAIN"}</definedName>
    <definedName name="wrn.Print_Main_All._2" hidden="1">{"Exec Summary1",#N/A,FALSE,"MAIN";"Exec Summary2",#N/A,FALSE,"MAIN";"Exec Summary3",#N/A,FALSE,"MAIN";"Income Statement",#N/A,FALSE,"MAIN";"Cash Flow",#N/A,FALSE,"MAIN";"Balance Sheet",#N/A,FALSE,"MAIN";"Assumptions-Income Statement",#N/A,FALSE,"MAIN";"Assumptions - Balance Sheet",#N/A,FALSE,"MAIN";"Capital Structure1",#N/A,FALSE,"MAIN";"Capital Structure2",#N/A,FALSE,"MAIN"}</definedName>
    <definedName name="wrn.Print_Target." localSheetId="8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" localSheetId="8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2" localSheetId="7" hidden="1">{#N/A,#N/A,FALSE,"Pharm";#N/A,#N/A,FALSE,"WWCM"}</definedName>
    <definedName name="wrn.print2" localSheetId="8" hidden="1">{#N/A,#N/A,FALSE,"Pharm";#N/A,#N/A,FALSE,"WWCM"}</definedName>
    <definedName name="wrn.print2" hidden="1">{#N/A,#N/A,FALSE,"Pharm";#N/A,#N/A,FALSE,"WWCM"}</definedName>
    <definedName name="wrn.PRINT2." localSheetId="8" hidden="1">{"PAGE1",#N/A,FALSE,"ADJMODL";"PAGE2",#N/A,FALSE,"ADJMODL";"PAGE3",#N/A,FALSE,"ADJMODL";"PAGE4",#N/A,FALSE,"ADJMODL";"PAGE5",#N/A,FALSE,"ADJMODL";"PAGE6",#N/A,FALSE,"ADJMODL";"PAGE7",#N/A,FALSE,"ADJMODL";"PAGE8",#N/A,FALSE,"ADJMODL"}</definedName>
    <definedName name="wrn.PRINT2." hidden="1">{"PAGE1",#N/A,FALSE,"ADJMODL";"PAGE2",#N/A,FALSE,"ADJMODL";"PAGE3",#N/A,FALSE,"ADJMODL";"PAGE4",#N/A,FALSE,"ADJMODL";"PAGE5",#N/A,FALSE,"ADJMODL";"PAGE6",#N/A,FALSE,"ADJMODL";"PAGE7",#N/A,FALSE,"ADJMODL";"PAGE8",#N/A,FALSE,"ADJMODL"}</definedName>
    <definedName name="wrn.Printall." localSheetId="8" hidden="1">{"Cover",#N/A,FALSE,"Cover";"Comments",#N/A,FALSE,"Quarterly Comments";"QtrP&amp;L",#N/A,FALSE,"Product Qtr P&amp;L Trends";"European CPIT",#N/A,FALSE,"European CPIT";"CPIT O2N2 Graphs",#N/A,FALSE,"CPIT O2N2 Graphs";"CPIT HYCO Graphs",#N/A,FALSE,"CPIT HYCO Graphs ";"Scorecard - US format",#N/A,FALSE,"Scorecard - US format";"Programmes",#N/A,FALSE,"Programmes";"Summary Year Majfac vs PY",#N/A,FALSE,"Summary Year Majfac vs PY";"Summary Year Majfac vs Plan",#N/A,FALSE,"Summary Year Majfac vs Plan";"Major Factors by Qtr",#N/A,FALSE,"Major Factors by Qtr";"Capex",#N/A,FALSE,"Capex"}</definedName>
    <definedName name="wrn.PrintAll." hidden="1">{"PA1",#N/A,FALSE,"BORDMW";"pa2",#N/A,FALSE,"BORDMW";"PA3",#N/A,FALSE,"BORDMW";"PA4",#N/A,FALSE,"BORDMW"}</definedName>
    <definedName name="wrn.PrintCap." localSheetId="8" hidden="1">{"page1",#N/A,FALSE,"Capital";"page2",#N/A,FALSE,"Capital";"page3",#N/A,FALSE,"Capital"}</definedName>
    <definedName name="wrn.PrintCap." hidden="1">{"page1",#N/A,FALSE,"Capital";"page2",#N/A,FALSE,"Capital";"page3",#N/A,FALSE,"Capital"}</definedName>
    <definedName name="wrn.Printfinancialsmth." localSheetId="8" hidden="1">{"incomemth",#N/A,TRUE,"forecast00";"incomepercentmth",#N/A,TRUE,"forecast00";"balancemth",#N/A,TRUE,"forecast00";"cashmth",#N/A,TRUE,"forecast00";"covenantmth",#N/A,TRUE,"forecast00"}</definedName>
    <definedName name="wrn.Printfinancialsmth." hidden="1">{"incomemth",#N/A,TRUE,"forecast00";"incomepercentmth",#N/A,TRUE,"forecast00";"balancemth",#N/A,TRUE,"forecast00";"cashmth",#N/A,TRUE,"forecast00";"covenantmth",#N/A,TRUE,"forecast00"}</definedName>
    <definedName name="wrn.Printing._.Report." localSheetId="8" hidden="1">{"Assumptions",#N/A,FALSE,"Assumptions";"Sensitivities1",#N/A,FALSE,"Sensitivities";"Sensitivities2",#N/A,FALSE,"Sensitivities";"Sensitivities3",#N/A,FALSE,"Sensitivities";"Bidder",#N/A,FALSE,"Bidder";"Annualised_Target",#N/A,FALSE,"Target";"Target",#N/A,FALSE,"Target";"Summary",#N/A,FALSE,"Summary";"Historic",#N/A,FALSE,"Hist";"Current",#N/A,FALSE,"Curr";"Prospective",#N/A,FALSE,"Prosp";"Prospective+1",#N/A,FALSE,"Prosp+1"}</definedName>
    <definedName name="wrn.Printing._.Report." hidden="1">{"Assumptions",#N/A,FALSE,"Assumptions";"Sensitivities1",#N/A,FALSE,"Sensitivities";"Sensitivities2",#N/A,FALSE,"Sensitivities";"Sensitivities3",#N/A,FALSE,"Sensitivities";"Bidder",#N/A,FALSE,"Bidder";"Annualised_Target",#N/A,FALSE,"Target";"Target",#N/A,FALSE,"Target";"Summary",#N/A,FALSE,"Summary";"Historic",#N/A,FALSE,"Hist";"Current",#N/A,FALSE,"Curr";"Prospective",#N/A,FALSE,"Prosp";"Prospective+1",#N/A,FALSE,"Prosp+1"}</definedName>
    <definedName name="wrn.Printing._.Report._1" localSheetId="8" hidden="1">{"Assumptions",#N/A,FALSE,"Assumptions";"Sensitivities1",#N/A,FALSE,"Sensitivities";"Sensitivities2",#N/A,FALSE,"Sensitivities";"Sensitivities3",#N/A,FALSE,"Sensitivities";"Bidder",#N/A,FALSE,"Bidder";"Annualised_Target",#N/A,FALSE,"Target";"Target",#N/A,FALSE,"Target";"Summary",#N/A,FALSE,"Summary";"Historic",#N/A,FALSE,"Hist";"Current",#N/A,FALSE,"Curr";"Prospective",#N/A,FALSE,"Prosp";"Prospective+1",#N/A,FALSE,"Prosp+1"}</definedName>
    <definedName name="wrn.Printing._.Report._1" hidden="1">{"Assumptions",#N/A,FALSE,"Assumptions";"Sensitivities1",#N/A,FALSE,"Sensitivities";"Sensitivities2",#N/A,FALSE,"Sensitivities";"Sensitivities3",#N/A,FALSE,"Sensitivities";"Bidder",#N/A,FALSE,"Bidder";"Annualised_Target",#N/A,FALSE,"Target";"Target",#N/A,FALSE,"Target";"Summary",#N/A,FALSE,"Summary";"Historic",#N/A,FALSE,"Hist";"Current",#N/A,FALSE,"Curr";"Prospective",#N/A,FALSE,"Prosp";"Prospective+1",#N/A,FALSE,"Prosp+1"}</definedName>
    <definedName name="wrn.Printing._.the._.transactions._.sheets." localSheetId="8" hidden="1">{#N/A,#N/A,FALSE,"Eastern";#N/A,#N/A,FALSE,"Western"}</definedName>
    <definedName name="wrn.Printing._.the._.transactions._.sheets." hidden="1">{#N/A,#N/A,FALSE,"Eastern";#N/A,#N/A,FALSE,"Western"}</definedName>
    <definedName name="wrn.Printing._.the._.transactions._.sheets._1" localSheetId="8" hidden="1">{#N/A,#N/A,FALSE,"Eastern";#N/A,#N/A,FALSE,"Western"}</definedName>
    <definedName name="wrn.Printing._.the._.transactions._.sheets._1" hidden="1">{#N/A,#N/A,FALSE,"Eastern";#N/A,#N/A,FALSE,"Western"}</definedName>
    <definedName name="wrn.printjustfinancials." localSheetId="8" hidden="1">{"incomemth",#N/A,FALSE,"forecast02";"incpercentmth",#N/A,FALSE,"forecast02";"balancemth",#N/A,FALSE,"forecast02";"cashmth",#N/A,FALSE,"forecast02";"newcovenant",#N/A,FALSE,"forecast02"}</definedName>
    <definedName name="wrn.printjustfinancials." hidden="1">{"incomemth",#N/A,FALSE,"forecast02";"incpercentmth",#N/A,FALSE,"forecast02";"balancemth",#N/A,FALSE,"forecast02";"cashmth",#N/A,FALSE,"forecast02";"newcovenant",#N/A,FALSE,"forecast02"}</definedName>
    <definedName name="wrn.printo." localSheetId="8" hidden="1">{#N/A,#N/A,FALSE,"Trading-Mult ";#N/A,#N/A,FALSE,"M&amp;A info"}</definedName>
    <definedName name="wrn.printo." hidden="1">{#N/A,#N/A,FALSE,"Trading-Mult ";#N/A,#N/A,FALSE,"M&amp;A info"}</definedName>
    <definedName name="wrn.printo._1" localSheetId="8" hidden="1">{#N/A,#N/A,FALSE,"Trading-Mult ";#N/A,#N/A,FALSE,"M&amp;A info"}</definedName>
    <definedName name="wrn.printo._1" hidden="1">{#N/A,#N/A,FALSE,"Trading-Mult ";#N/A,#N/A,FALSE,"M&amp;A info"}</definedName>
    <definedName name="wrn.printout." localSheetId="8" hidden="1">{#N/A,#N/A,FALSE,"BANNERS";#N/A,#N/A,FALSE,"Market";#N/A,#N/A,FALSE,"# of POP MAN";#N/A,#N/A,FALSE,"Penet Input";#N/A,#N/A,FALSE,"Tel Rev";#N/A,#N/A,FALSE,"Invest";#N/A,#N/A,FALSE,"Op Cost1";#N/A,#N/A,FALSE,"Op Cost2";#N/A,#N/A,FALSE,"Oth_&amp;_Tot_Revenues";#N/A,#N/A,FALSE,"Fin Mod";#N/A,#N/A,FALSE,"P&amp;E Burocrat";#N/A,#N/A,FALSE,"cash flow"}</definedName>
    <definedName name="wrn.printout." hidden="1">{#N/A,#N/A,FALSE,"BANNERS";#N/A,#N/A,FALSE,"Market";#N/A,#N/A,FALSE,"# of POP MAN";#N/A,#N/A,FALSE,"Penet Input";#N/A,#N/A,FALSE,"Tel Rev";#N/A,#N/A,FALSE,"Invest";#N/A,#N/A,FALSE,"Op Cost1";#N/A,#N/A,FALSE,"Op Cost2";#N/A,#N/A,FALSE,"Oth_&amp;_Tot_Revenues";#N/A,#N/A,FALSE,"Fin Mod";#N/A,#N/A,FALSE,"P&amp;E Burocrat";#N/A,#N/A,FALSE,"cash flow"}</definedName>
    <definedName name="wrn.printout._1" localSheetId="8" hidden="1">{#N/A,#N/A,FALSE,"BANNERS";#N/A,#N/A,FALSE,"Market";#N/A,#N/A,FALSE,"# of POP MAN";#N/A,#N/A,FALSE,"Penet Input";#N/A,#N/A,FALSE,"Tel Rev";#N/A,#N/A,FALSE,"Invest";#N/A,#N/A,FALSE,"Op Cost1";#N/A,#N/A,FALSE,"Op Cost2";#N/A,#N/A,FALSE,"Oth_&amp;_Tot_Revenues";#N/A,#N/A,FALSE,"Fin Mod";#N/A,#N/A,FALSE,"P&amp;E Burocrat";#N/A,#N/A,FALSE,"cash flow"}</definedName>
    <definedName name="wrn.printout._1" hidden="1">{#N/A,#N/A,FALSE,"BANNERS";#N/A,#N/A,FALSE,"Market";#N/A,#N/A,FALSE,"# of POP MAN";#N/A,#N/A,FALSE,"Penet Input";#N/A,#N/A,FALSE,"Tel Rev";#N/A,#N/A,FALSE,"Invest";#N/A,#N/A,FALSE,"Op Cost1";#N/A,#N/A,FALSE,"Op Cost2";#N/A,#N/A,FALSE,"Oth_&amp;_Tot_Revenues";#N/A,#N/A,FALSE,"Fin Mod";#N/A,#N/A,FALSE,"P&amp;E Burocrat";#N/A,#N/A,FALSE,"cash flow"}</definedName>
    <definedName name="wrn.PRINTREP." localSheetId="8" hidden="1">{"PRINTREP",#N/A,FALSE,"Sheet1"}</definedName>
    <definedName name="wrn.PRINTREP." hidden="1">{"PRINTREP",#N/A,FALSE,"Sheet1"}</definedName>
    <definedName name="wrn.PRINTREP._1" localSheetId="8" hidden="1">{"PRINTREP",#N/A,FALSE,"Sheet1"}</definedName>
    <definedName name="wrn.PRINTREP._1" hidden="1">{"PRINTREP",#N/A,FALSE,"Sheet1"}</definedName>
    <definedName name="wrn.printsyns." localSheetId="8" hidden="1">{"dcfsyn",#N/A,FALSE,"DCFSYN";"senssyn",#N/A,FALSE,"DCFSYN"}</definedName>
    <definedName name="wrn.printsyns." hidden="1">{"dcfsyn",#N/A,FALSE,"DCFSYN";"senssyn",#N/A,FALSE,"DCFSYN"}</definedName>
    <definedName name="wrn.printsyns._1" localSheetId="8" hidden="1">{"dcfsyn",#N/A,FALSE,"DCFSYN";"senssyn",#N/A,FALSE,"DCFSYN"}</definedName>
    <definedName name="wrn.printsyns._1" hidden="1">{"dcfsyn",#N/A,FALSE,"DCFSYN";"senssyn",#N/A,FALSE,"DCFSYN"}</definedName>
    <definedName name="wrn.Pro._.Forma.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1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1_1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1_1_1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1_1_1_1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1_1_1_2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1_1_2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1_1_2_1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1_1_2_2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1_1_3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1_1_4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1_2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1_2_1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1_2_1_1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1_2_1_2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1_2_2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1_2_2_1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1_2_2_2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1_2_3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1_2_4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1_3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1_3_1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1_3_1_1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1_3_1_2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1_3_2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1_3_2_1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1_3_2_2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1_3_3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1_3_4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1_4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1_4_1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1_4_1_1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1_4_1_2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1_4_2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1_4_2_1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1_4_2_2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1_4_3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1_4_4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1_5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1_5_1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1_5_1_1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1_5_1_2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1_5_2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1_5_2_1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1_5_2_2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1_5_3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1_5_4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2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2_1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2_1_1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2_1_1_1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2_1_1_2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2_1_2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2_1_2_1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2_1_2_2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2_1_3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2_1_4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2_2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2_2_1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2_2_1_1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2_2_1_2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2_2_2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2_2_2_1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2_2_2_2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2_2_3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2_2_4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2_3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2_3_1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2_3_1_1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2_3_1_2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2_3_2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2_3_2_1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2_3_2_2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2_3_3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2_3_4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2_4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2_4_1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2_4_1_1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2_4_1_2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2_4_2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2_4_2_1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2_4_2_2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2_4_3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2_4_4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2_5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2_5_1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2_5_1_1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2_5_1_2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2_5_2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2_5_2_1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2_5_2_2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2_5_3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2_5_4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3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3_1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3_1_1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3_1_1_1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3_1_1_2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3_1_2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3_1_2_1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3_1_2_2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3_1_3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3_1_4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3_2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3_2_1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3_2_1_1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3_2_1_2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3_2_2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3_2_2_1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3_2_2_2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3_2_3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3_2_4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3_3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3_3_1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3_3_1_1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3_3_1_2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3_3_2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3_3_2_1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3_3_2_2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3_3_3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3_3_4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3_4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3_4_1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3_4_1_1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3_4_1_2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3_4_2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3_4_2_1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3_4_2_2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3_4_3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3_4_4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3_5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3_5_1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3_5_1_1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3_5_1_2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3_5_2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3_5_2_1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3_5_2_2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3_5_3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3_5_4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4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4_1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4_1_1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4_1_2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4_2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4_2_1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4_2_2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4_3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4_4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5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5_1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5_1_1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5_1_2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5_2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5_2_1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5_2_2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5_3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5_4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TV._.2." localSheetId="8" hidden="1">{"EXP",#N/A,FALSE,"PRO TV 2";"SAL",#N/A,FALSE,"PRO TV 2";"SUM",#N/A,FALSE,"PRO TV 2"}</definedName>
    <definedName name="wrn.PRO._.TV._.2." hidden="1">{"EXP",#N/A,FALSE,"PRO TV 2";"SAL",#N/A,FALSE,"PRO TV 2";"SUM",#N/A,FALSE,"PRO TV 2"}</definedName>
    <definedName name="wrn.PRO_AM_NW." localSheetId="8" hidden="1">{"Sum",#N/A,FALSE,"PRO AM Network";"Exp",#N/A,FALSE,"PRO AM Network";"Sal",#N/A,FALSE,"PRO AM Network"}</definedName>
    <definedName name="wrn.PRO_AM_NW." hidden="1">{"Sum",#N/A,FALSE,"PRO AM Network";"Exp",#N/A,FALSE,"PRO AM Network";"Sal",#N/A,FALSE,"PRO AM Network"}</definedName>
    <definedName name="wrn.Pro_FM_Buc." localSheetId="8" hidden="1">{"Sum",#N/A,FALSE,"PRO FM Buc";"Sal",#N/A,FALSE,"PRO FM Buc";"Exp",#N/A,FALSE,"PRO FM Buc"}</definedName>
    <definedName name="wrn.Pro_FM_Buc." hidden="1">{"Sum",#N/A,FALSE,"PRO FM Buc";"Sal",#N/A,FALSE,"PRO FM Buc";"Exp",#N/A,FALSE,"PRO FM Buc"}</definedName>
    <definedName name="wrn.PRO_FM_NW." localSheetId="8" hidden="1">{"Sum",#N/A,FALSE,"PRO FM Network";"Exp",#N/A,FALSE,"PRO FM Network";"Sal",#N/A,FALSE,"PRO FM Network"}</definedName>
    <definedName name="wrn.PRO_FM_NW." hidden="1">{"Sum",#N/A,FALSE,"PRO FM Network";"Exp",#N/A,FALSE,"PRO FM Network";"Sal",#N/A,FALSE,"PRO FM Network"}</definedName>
    <definedName name="wrn.Prod." localSheetId="8" hidden="1">{"Exp",#N/A,FALSE,"Production";"Sal",#N/A,FALSE,"Production";"Sum",#N/A,FALSE,"Production";"Shows",#N/A,FALSE,"Shows"}</definedName>
    <definedName name="wrn.Prod." hidden="1">{"Exp",#N/A,FALSE,"Production";"Sal",#N/A,FALSE,"Production";"Sum",#N/A,FALSE,"Production";"Shows",#N/A,FALSE,"Shows"}</definedName>
    <definedName name="wrn.PRODUCT." localSheetId="8" hidden="1">{#N/A,#N/A,FALSE,"Intro General";#N/A,#N/A,FALSE,"ABP_OUTL";#N/A,#N/A,FALSE,"Weekintro";#N/A,#N/A,FALSE,"Week Prod"}</definedName>
    <definedName name="wrn.PRODUCT." hidden="1">{#N/A,#N/A,FALSE,"Intro General";#N/A,#N/A,FALSE,"ABP_OUTL";#N/A,#N/A,FALSE,"Weekintro";#N/A,#N/A,FALSE,"Week Prod"}</definedName>
    <definedName name="wrn.Product._.Detail." hidden="1">{"Title Page",#N/A,TRUE,"Product Summary";"Product Summary",#N/A,TRUE,"Product Summary";"Other Products",#N/A,TRUE,"Other Products";"Title Page Existing Products",#N/A,TRUE,"Product Roll1";"Existing Products Revenue Roll",#N/A,TRUE,"Product Roll1";"Existing Products COGS Roll",#N/A,TRUE,"Product Roll1";"Product Build",#N/A,TRUE,"Product1";"Product IMS",#N/A,TRUE,"Product1";"Product Build",#N/A,TRUE,"Product2";"Product IMS",#N/A,TRUE,"Product2";"Product Build",#N/A,TRUE,"Product3";"Product IMS",#N/A,TRUE,"Product3";"Product Build",#N/A,TRUE,"Product4";"Product IMS",#N/A,TRUE,"Product4";"Product Build",#N/A,TRUE,"Product5";"Product IMS",#N/A,TRUE,"Product5";"Product Build",#N/A,TRUE,"Product6";"Product IMS",#N/A,TRUE,"Product6";"Title Page New Products",#N/A,TRUE,"Product Roll2";"New Products Contracted Roll",#N/A,TRUE,"Product Roll2";"Product Build",#N/A,TRUE,"Product7";"Product IMS",#N/A,TRUE,"Product7";"Product Build",#N/A,TRUE,"Product8";"Product IMS",#N/A,TRUE,"Product8";"Product Build",#N/A,TRUE,"Product9";"Product IMS",#N/A,TRUE,"Product9";"New Products Title Page",#N/A,TRUE,"Product Roll3";"Nre Products Not Contracted Revenue Roll",#N/A,TRUE,"Product Roll3";"New Products Not Contracted COGS Roll",#N/A,TRUE,"Product Roll3";"New Products Not Contracted Royalty Roll",#N/A,TRUE,"Product Roll3";"Product Build",#N/A,TRUE,"Product10";"Product IMS",#N/A,TRUE,"Product10";"Product Build",#N/A,TRUE,"Product11";"Product IMS",#N/A,TRUE,"Product11";"Product Build",#N/A,TRUE,"Product12";"Product IMS",#N/A,TRUE,"Product12";"Product Build",#N/A,TRUE,"Product13";"Product IMS",#N/A,TRUE,"Product13";"Product Build",#N/A,TRUE,"Product14";"Product IMS",#N/A,TRUE,"Product14";"Product Build",#N/A,TRUE,"Product15";"Product IMS",#N/A,TRUE,"Product15";"Product Build",#N/A,TRUE,"Product16";"Product IMS",#N/A,TRUE,"Product16";"Product Build",#N/A,TRUE,"Product17";"Product IMS",#N/A,TRUE,"Product17";"Product Build",#N/A,TRUE,"Product18";"Product IMS",#N/A,TRUE,"Product18";"Product Build",#N/A,TRUE,"Product19";"Product IMS",#N/A,TRUE,"Product19";"Product Build",#N/A,TRUE,"Product20";"Product IMS",#N/A,TRUE,"Product20";"Product Build",#N/A,TRUE,"Product21";"Product IMS",#N/A,TRUE,"Product21";"Product Build",#N/A,TRUE,"Product22";"Product IMS",#N/A,TRUE,"Product22";"Product Build",#N/A,TRUE,"Product23";"Product IMS",#N/A,TRUE,"Product23";"Product Build",#N/A,TRUE,"Product24";"Product IMS",#N/A,TRUE,"Product24";"Product Build",#N/A,TRUE,"Product25";"Product IMS",#N/A,TRUE,"Product25";"Product Build",#N/A,TRUE,"Product26";"Product IMS",#N/A,TRUE,"Product26";"Product Build",#N/A,TRUE,"Product27";"Product IMS",#N/A,TRUE,"Product27";"Product Build",#N/A,TRUE,"Product28";"Product IMS",#N/A,TRUE,"Product28";"Product Build",#N/A,TRUE,"Product29";"Product IMS",#N/A,TRUE,"Product29";"Product Build",#N/A,TRUE,"Product30";"Product IMS",#N/A,TRUE,"Product30";"Product Build",#N/A,TRUE,"Product31";"Product IMS",#N/A,TRUE,"Product31"}</definedName>
    <definedName name="wrn.PRODUCT._1" localSheetId="8" hidden="1">{#N/A,#N/A,FALSE,"Intro General";#N/A,#N/A,FALSE,"ABP_OUTL";#N/A,#N/A,FALSE,"Weekintro";#N/A,#N/A,FALSE,"Week Prod"}</definedName>
    <definedName name="wrn.PRODUCT._1" hidden="1">{#N/A,#N/A,FALSE,"Intro General";#N/A,#N/A,FALSE,"ABP_OUTL";#N/A,#N/A,FALSE,"Weekintro";#N/A,#N/A,FALSE,"Week Prod"}</definedName>
    <definedName name="wrn.ProductCo._.PSTN._.Print." localSheetId="8" hidden="1">{"ProductCo PSTN Lines",#N/A,FALSE,"ProductCo Lines Output"}</definedName>
    <definedName name="wrn.ProductCo._.PSTN._.Print." hidden="1">{"ProductCo PSTN Lines",#N/A,FALSE,"ProductCo Lines Output"}</definedName>
    <definedName name="wrn.PRODUCTION._.COSTS." localSheetId="8" hidden="1">{"PRODUCTION COSTS",#N/A,FALSE,"C.CENTRE"}</definedName>
    <definedName name="wrn.PRODUCTION._.COSTS." hidden="1">{"PRODUCTION COSTS",#N/A,FALSE,"C.CENTRE"}</definedName>
    <definedName name="wrn.products" localSheetId="7" hidden="1">{#N/A,#N/A,FALSE,"1";#N/A,#N/A,FALSE,"2";#N/A,#N/A,FALSE,"16 - 17";#N/A,#N/A,FALSE,"18 - 19";#N/A,#N/A,FALSE,"26";#N/A,#N/A,FALSE,"27";#N/A,#N/A,FALSE,"28"}</definedName>
    <definedName name="wrn.products" localSheetId="8" hidden="1">{#N/A,#N/A,FALSE,"1";#N/A,#N/A,FALSE,"2";#N/A,#N/A,FALSE,"16 - 17";#N/A,#N/A,FALSE,"18 - 19";#N/A,#N/A,FALSE,"26";#N/A,#N/A,FALSE,"27";#N/A,#N/A,FALSE,"28"}</definedName>
    <definedName name="wrn.products" hidden="1">{#N/A,#N/A,FALSE,"1";#N/A,#N/A,FALSE,"2";#N/A,#N/A,FALSE,"16 - 17";#N/A,#N/A,FALSE,"18 - 19";#N/A,#N/A,FALSE,"26";#N/A,#N/A,FALSE,"27";#N/A,#N/A,FALSE,"28"}</definedName>
    <definedName name="wrn.Products." localSheetId="7" hidden="1">{#N/A,#N/A,FALSE,"1";#N/A,#N/A,FALSE,"2";#N/A,#N/A,FALSE,"16 - 17";#N/A,#N/A,FALSE,"18 - 19";#N/A,#N/A,FALSE,"26";#N/A,#N/A,FALSE,"27";#N/A,#N/A,FALSE,"28"}</definedName>
    <definedName name="wrn.Products." localSheetId="8" hidden="1">{#N/A,#N/A,FALSE,"1";#N/A,#N/A,FALSE,"2";#N/A,#N/A,FALSE,"16 - 17";#N/A,#N/A,FALSE,"18 - 19";#N/A,#N/A,FALSE,"26";#N/A,#N/A,FALSE,"27";#N/A,#N/A,FALSE,"28"}</definedName>
    <definedName name="wrn.Products." hidden="1">{#N/A,#N/A,FALSE,"1";#N/A,#N/A,FALSE,"2";#N/A,#N/A,FALSE,"16 - 17";#N/A,#N/A,FALSE,"18 - 19";#N/A,#N/A,FALSE,"26";#N/A,#N/A,FALSE,"27";#N/A,#N/A,FALSE,"28"}</definedName>
    <definedName name="wrn.Profile." localSheetId="8" hidden="1">{"Profile",#N/A,FALSE,"BXS"}</definedName>
    <definedName name="wrn.Profile." hidden="1">{"Profile",#N/A,FALSE,"BXS"}</definedName>
    <definedName name="wrn.PROFIT._.LOSS._.AC." localSheetId="8" hidden="1">{"PROFIT LOSS AC",#N/A,FALSE,"P&amp;L FY97"}</definedName>
    <definedName name="wrn.PROFIT._.LOSS._.AC." hidden="1">{"PROFIT LOSS AC",#N/A,FALSE,"P&amp;L FY97"}</definedName>
    <definedName name="wrn.profit._.p" localSheetId="8" hidden="1">{"profit",#N/A,FALSE,"Aerospace";"profit",#N/A,FALSE,"Engines";"profit",#N/A,FALSE,"AES";"profit",#N/A,FALSE,"ES";"profit",#N/A,FALSE,"CAS";"profit",#N/A,FALSE,"ATSC";"profit",#N/A,FALSE,"FMT";"profit",#N/A,FALSE,"Aero Other";"profit",#N/A,FALSE,"Judgement"}</definedName>
    <definedName name="wrn.profit._.p" hidden="1">{"profit",#N/A,FALSE,"Aerospace";"profit",#N/A,FALSE,"Engines";"profit",#N/A,FALSE,"AES";"profit",#N/A,FALSE,"ES";"profit",#N/A,FALSE,"CAS";"profit",#N/A,FALSE,"ATSC";"profit",#N/A,FALSE,"FMT";"profit",#N/A,FALSE,"Aero Other";"profit",#N/A,FALSE,"Judgement"}</definedName>
    <definedName name="wrn.Profit._.V._.LY." localSheetId="8" hidden="1">{"profit",#N/A,FALSE,"Aerospace";"profit",#N/A,FALSE,"Engines";"profit",#N/A,FALSE,"AES";"profit",#N/A,FALSE,"ES";"profit",#N/A,FALSE,"CAS";"profit",#N/A,FALSE,"ATSC";"profit",#N/A,FALSE,"FMT";"profit",#N/A,FALSE,"Aero Other";"profit",#N/A,FALSE,"Judgement"}</definedName>
    <definedName name="wrn.Profit._.V._.LY." hidden="1">{"profit",#N/A,FALSE,"Aerospace";"profit",#N/A,FALSE,"Engines";"profit",#N/A,FALSE,"AES";"profit",#N/A,FALSE,"ES";"profit",#N/A,FALSE,"CAS";"profit",#N/A,FALSE,"ATSC";"profit",#N/A,FALSE,"FMT";"profit",#N/A,FALSE,"Aero Other";"profit",#N/A,FALSE,"Judgement"}</definedName>
    <definedName name="wrn.Profit._.V._.Prior._.Fcst.." localSheetId="8" hidden="1">{"profit",#N/A,FALSE,"Aero V prior";"profit",#N/A,FALSE,"Eng V Prior";"profit",#N/A,FALSE,"AES V Prior";"profit",#N/A,FALSE,"ES V Prior";"profit",#N/A,FALSE,"CAS V Prior";"profit",#N/A,FALSE,"ATSC V Prior";"profit",#N/A,FALSE,"FMT V Prior";"profit",#N/A,FALSE,"Aero Other V Prior";"profit",#N/A,FALSE,"Judge V Prior"}</definedName>
    <definedName name="wrn.Profit._.V._.Prior._.Fcst.." hidden="1">{"profit",#N/A,FALSE,"Aero V prior";"profit",#N/A,FALSE,"Eng V Prior";"profit",#N/A,FALSE,"AES V Prior";"profit",#N/A,FALSE,"ES V Prior";"profit",#N/A,FALSE,"CAS V Prior";"profit",#N/A,FALSE,"ATSC V Prior";"profit",#N/A,FALSE,"FMT V Prior";"profit",#N/A,FALSE,"Aero Other V Prior";"profit",#N/A,FALSE,"Judge V Prior"}</definedName>
    <definedName name="wrn.Proforma." localSheetId="8" hidden="1">{"icd","icd",FALSE,"PROFORMA.XLS";"poly","poly",FALSE,"PROFORMA.XLS";"purper","purper",FALSE,"PROFORMA.XLS";"tchem","tchem",FALSE,"PROFORMA.XLS"}</definedName>
    <definedName name="wrn.Proforma." hidden="1">{"icd","icd",FALSE,"PROFORMA.XLS";"poly","poly",FALSE,"PROFORMA.XLS";"purper","purper",FALSE,"PROFORMA.XLS";"tchem","tchem",FALSE,"PROFORMA.XLS"}</definedName>
    <definedName name="wrn.PROFORMA._.CHECK._.BY._.DIVISION." localSheetId="8" hidden="1">{"PROFORMA CHECK BY DIVISION",#N/A,FALSE,"BSALLNOW.XLS"}</definedName>
    <definedName name="wrn.PROFORMA._.CHECK._.BY._.DIVISION." hidden="1">{"PROFORMA CHECK BY DIVISION",#N/A,FALSE,"BSALLNOW.XLS"}</definedName>
    <definedName name="wrn.Progetto." localSheetId="8" hidden="1">{#N/A,#N/A,FALSE,"Sintesi  A + B";#N/A,#N/A,FALSE,"Dati base";#N/A,#N/A,FALSE,"Descriz.";#N/A,#N/A,FALSE,"Costi";#N/A,#N/A,FALSE,"Risparmi";#N/A,#N/A,FALSE,"Time table";#N/A,#N/A,FALSE,"Pay Back";#N/A,#N/A,FALSE,"C. Econ.";#N/A,#N/A,FALSE,"C.N.I.+Cop."}</definedName>
    <definedName name="wrn.Progetto." hidden="1">{#N/A,#N/A,FALSE,"Sintesi  A + B";#N/A,#N/A,FALSE,"Dati base";#N/A,#N/A,FALSE,"Descriz.";#N/A,#N/A,FALSE,"Costi";#N/A,#N/A,FALSE,"Risparmi";#N/A,#N/A,FALSE,"Time table";#N/A,#N/A,FALSE,"Pay Back";#N/A,#N/A,FALSE,"C. Econ.";#N/A,#N/A,FALSE,"C.N.I.+Cop."}</definedName>
    <definedName name="wrn.Progetto._1" localSheetId="8" hidden="1">{#N/A,#N/A,FALSE,"Sintesi  A + B";#N/A,#N/A,FALSE,"Dati base";#N/A,#N/A,FALSE,"Descriz.";#N/A,#N/A,FALSE,"Costi";#N/A,#N/A,FALSE,"Risparmi";#N/A,#N/A,FALSE,"Time table";#N/A,#N/A,FALSE,"Pay Back";#N/A,#N/A,FALSE,"C. Econ.";#N/A,#N/A,FALSE,"C.N.I.+Cop."}</definedName>
    <definedName name="wrn.Progetto._1" hidden="1">{#N/A,#N/A,FALSE,"Sintesi  A + B";#N/A,#N/A,FALSE,"Dati base";#N/A,#N/A,FALSE,"Descriz.";#N/A,#N/A,FALSE,"Costi";#N/A,#N/A,FALSE,"Risparmi";#N/A,#N/A,FALSE,"Time table";#N/A,#N/A,FALSE,"Pay Back";#N/A,#N/A,FALSE,"C. Econ.";#N/A,#N/A,FALSE,"C.N.I.+Cop."}</definedName>
    <definedName name="wrn.Programmes._.only." localSheetId="8" hidden="1">{"Front - Landscape",#N/A,FALSE,"Front Sheet";#N/A,#N/A,FALSE,"PC 09-11";#N/A,#N/A,FALSE,"PC 12-13";"Vital Few Landscape",#N/A,FALSE,"Vital Few Deliverables";#N/A,#N/A,FALSE,"Qtr 1 Plan"}</definedName>
    <definedName name="wrn.Programmes._.only." hidden="1">{"Front - Landscape",#N/A,FALSE,"Front Sheet";#N/A,#N/A,FALSE,"PC 09-11";#N/A,#N/A,FALSE,"PC 12-13";"Vital Few Landscape",#N/A,FALSE,"Vital Few Deliverables";#N/A,#N/A,FALSE,"Qtr 1 Plan"}</definedName>
    <definedName name="wrn.Projeccions." localSheetId="8" hidden="1">{#N/A,#N/A,FALSE,"ACESA"}</definedName>
    <definedName name="wrn.Projeccions." hidden="1">{#N/A,#N/A,FALSE,"ACESA"}</definedName>
    <definedName name="wrn.Project._.Summary." localSheetId="8" hidden="1">{"Summary",#N/A,FALSE,"MICMULT";"Income Statement",#N/A,FALSE,"MICMULT";"Cash Flows",#N/A,FALSE,"MICMULT"}</definedName>
    <definedName name="wrn.Project._.Summary." hidden="1">{"Summary",#N/A,FALSE,"MICMULT";"Income Statement",#N/A,FALSE,"MICMULT";"Cash Flows",#N/A,FALSE,"MICMULT"}</definedName>
    <definedName name="wrn.Projected._.Data._.and._.Subject._.Company._.Data." hidden="1">{#N/A,#N/A,FALSE,"Projected Data &amp; SUBJECT-INPUTS"}</definedName>
    <definedName name="wrn.projections." localSheetId="8" hidden="1">{#N/A,#N/A,TRUE,"consinc";#N/A,#N/A,TRUE,"consproj";#N/A,#N/A,TRUE,"deminc";#N/A,#N/A,TRUE,"incproj";#N/A,#N/A,TRUE,"demman";#N/A,#N/A,TRUE,"manproj";#N/A,#N/A,TRUE,"S&amp;Gact";#N/A,#N/A,TRUE,"S&amp;Gproj ";#N/A,#N/A,TRUE,"dengis";#N/A,#N/A,TRUE,"dengisproj";#N/A,#N/A,TRUE,"mitinc";#N/A,#N/A,TRUE,"mitincproj";#N/A,#N/A,TRUE,"mits&amp;G";#N/A,#N/A,TRUE,"mits&amp;gproj";#N/A,#N/A,TRUE,"arcis";#N/A,#N/A,TRUE,"arcproj";#N/A,#N/A,TRUE,"ampinc";#N/A,#N/A,TRUE,"ampincproj";#N/A,#N/A,TRUE,"ampman";#N/A,#N/A,TRUE,"ampmanproj";#N/A,#N/A,TRUE,"ampS&amp;G";#N/A,#N/A,TRUE,"amps&amp;GProj"}</definedName>
    <definedName name="wrn.projections." hidden="1">{#N/A,#N/A,TRUE,"consinc";#N/A,#N/A,TRUE,"consproj";#N/A,#N/A,TRUE,"deminc";#N/A,#N/A,TRUE,"incproj";#N/A,#N/A,TRUE,"demman";#N/A,#N/A,TRUE,"manproj";#N/A,#N/A,TRUE,"S&amp;Gact";#N/A,#N/A,TRUE,"S&amp;Gproj ";#N/A,#N/A,TRUE,"dengis";#N/A,#N/A,TRUE,"dengisproj";#N/A,#N/A,TRUE,"mitinc";#N/A,#N/A,TRUE,"mitincproj";#N/A,#N/A,TRUE,"mits&amp;G";#N/A,#N/A,TRUE,"mits&amp;gproj";#N/A,#N/A,TRUE,"arcis";#N/A,#N/A,TRUE,"arcproj";#N/A,#N/A,TRUE,"ampinc";#N/A,#N/A,TRUE,"ampincproj";#N/A,#N/A,TRUE,"ampman";#N/A,#N/A,TRUE,"ampmanproj";#N/A,#N/A,TRUE,"ampS&amp;G";#N/A,#N/A,TRUE,"amps&amp;GProj"}</definedName>
    <definedName name="wrn.projections._1" localSheetId="8" hidden="1">{#N/A,#N/A,TRUE,"consinc";#N/A,#N/A,TRUE,"consproj";#N/A,#N/A,TRUE,"deminc";#N/A,#N/A,TRUE,"incproj";#N/A,#N/A,TRUE,"demman";#N/A,#N/A,TRUE,"manproj";#N/A,#N/A,TRUE,"S&amp;Gact";#N/A,#N/A,TRUE,"S&amp;Gproj ";#N/A,#N/A,TRUE,"dengis";#N/A,#N/A,TRUE,"dengisproj";#N/A,#N/A,TRUE,"mitinc";#N/A,#N/A,TRUE,"mitincproj";#N/A,#N/A,TRUE,"mits&amp;G";#N/A,#N/A,TRUE,"mits&amp;gproj";#N/A,#N/A,TRUE,"arcis";#N/A,#N/A,TRUE,"arcproj";#N/A,#N/A,TRUE,"ampinc";#N/A,#N/A,TRUE,"ampincproj";#N/A,#N/A,TRUE,"ampman";#N/A,#N/A,TRUE,"ampmanproj";#N/A,#N/A,TRUE,"ampS&amp;G";#N/A,#N/A,TRUE,"amps&amp;GProj"}</definedName>
    <definedName name="wrn.projections._1" hidden="1">{#N/A,#N/A,TRUE,"consinc";#N/A,#N/A,TRUE,"consproj";#N/A,#N/A,TRUE,"deminc";#N/A,#N/A,TRUE,"incproj";#N/A,#N/A,TRUE,"demman";#N/A,#N/A,TRUE,"manproj";#N/A,#N/A,TRUE,"S&amp;Gact";#N/A,#N/A,TRUE,"S&amp;Gproj ";#N/A,#N/A,TRUE,"dengis";#N/A,#N/A,TRUE,"dengisproj";#N/A,#N/A,TRUE,"mitinc";#N/A,#N/A,TRUE,"mitincproj";#N/A,#N/A,TRUE,"mits&amp;G";#N/A,#N/A,TRUE,"mits&amp;gproj";#N/A,#N/A,TRUE,"arcis";#N/A,#N/A,TRUE,"arcproj";#N/A,#N/A,TRUE,"ampinc";#N/A,#N/A,TRUE,"ampincproj";#N/A,#N/A,TRUE,"ampman";#N/A,#N/A,TRUE,"ampmanproj";#N/A,#N/A,TRUE,"ampS&amp;G";#N/A,#N/A,TRUE,"amps&amp;GProj"}</definedName>
    <definedName name="wrn.PROJOUR." localSheetId="8" hidden="1">{#N/A,#N/A,FALSE,"DEFINITIF";#N/A,#N/A,FALSE,"DETAILS"}</definedName>
    <definedName name="wrn.PROJOUR." hidden="1">{#N/A,#N/A,FALSE,"DEFINITIF";#N/A,#N/A,FALSE,"DETAILS"}</definedName>
    <definedName name="wrn.PROJOUR._1" localSheetId="8" hidden="1">{#N/A,#N/A,FALSE,"DEFINITIF";#N/A,#N/A,FALSE,"DETAILS"}</definedName>
    <definedName name="wrn.PROJOUR._1" hidden="1">{#N/A,#N/A,FALSE,"DEFINITIF";#N/A,#N/A,FALSE,"DETAILS"}</definedName>
    <definedName name="wrn.ProMonte." localSheetId="8" hidden="1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Monte." hidden="1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r" localSheetId="7" hidden="1">{#N/A,#N/A,FALSE,"Pharm";#N/A,#N/A,FALSE,"WWCM"}</definedName>
    <definedName name="wrn.pror" localSheetId="8" hidden="1">{#N/A,#N/A,FALSE,"Pharm";#N/A,#N/A,FALSE,"WWCM"}</definedName>
    <definedName name="wrn.pror" hidden="1">{#N/A,#N/A,FALSE,"Pharm";#N/A,#N/A,FALSE,"WWCM"}</definedName>
    <definedName name="wrn.PROV.IR96." localSheetId="8" hidden="1">{#N/A,#N/A,FALSE,"DEMPROV IR";#N/A,#N/A,FALSE,"INC.FISC";#N/A,#N/A,FALSE,"LUCRO REAL";#N/A,#N/A,FALSE,"L.LIQ.M";#N/A,#N/A,FALSE,"PROV96";#N/A,#N/A,FALSE,"L.LIQU.";#N/A,#N/A,FALSE,"ADIEXCL";#N/A,#N/A,FALSE,"PAT-VT96";#N/A,#N/A,FALSE,"DPO.INC."}</definedName>
    <definedName name="wrn.PROV.IR96." hidden="1">{#N/A,#N/A,FALSE,"DEMPROV IR";#N/A,#N/A,FALSE,"INC.FISC";#N/A,#N/A,FALSE,"LUCRO REAL";#N/A,#N/A,FALSE,"L.LIQ.M";#N/A,#N/A,FALSE,"PROV96";#N/A,#N/A,FALSE,"L.LIQU.";#N/A,#N/A,FALSE,"ADIEXCL";#N/A,#N/A,FALSE,"PAT-VT96";#N/A,#N/A,FALSE,"DPO.INC."}</definedName>
    <definedName name="wrn.PROVIR97." localSheetId="8" hidden="1">{#N/A,#N/A,FALSE,"IR E CS 1997";#N/A,#N/A,FALSE,"PR ND";#N/A,#N/A,FALSE,"8191";#N/A,#N/A,FALSE,"8383";#N/A,#N/A,FALSE,"MP 1024";#N/A,#N/A,FALSE,"AD_EX_97";#N/A,#N/A,FALSE,"BD 97"}</definedName>
    <definedName name="wrn.PROVIR97." hidden="1">{#N/A,#N/A,FALSE,"IR E CS 1997";#N/A,#N/A,FALSE,"PR ND";#N/A,#N/A,FALSE,"8191";#N/A,#N/A,FALSE,"8383";#N/A,#N/A,FALSE,"MP 1024";#N/A,#N/A,FALSE,"AD_EX_97";#N/A,#N/A,FALSE,"BD 97"}</definedName>
    <definedName name="wrn.PROYEC." hidden="1">{#N/A,#N/A,FALSE,"GRAFICO";#N/A,#N/A,FALSE,"CAJA (2)";#N/A,#N/A,FALSE,"TERCEROS-PROMEDIO";#N/A,#N/A,FALSE,"CAJA";#N/A,#N/A,FALSE,"INGRESOS1995-2003";#N/A,#N/A,FALSE,"GASTOS1995-2003"}</definedName>
    <definedName name="wrn.Proyecto._.SCR." hidden="1">{#N/A,#N/A,TRUE,"Resumen Proyectos"}</definedName>
    <definedName name="wrn.prueba1." localSheetId="8" hidden="1">{"Comparación ctas PyG",#N/A,FALSE,"comparación Cta. PyG"}</definedName>
    <definedName name="wrn.prueba1." hidden="1">{"Comparación ctas PyG",#N/A,FALSE,"comparación Cta. PyG"}</definedName>
    <definedName name="wrn.PTCP." localSheetId="8" hidden="1">{#N/A,#N/A,TRUE,"1";#N/A,#N/A,TRUE,"2";#N/A,#N/A,TRUE,"3";#N/A,#N/A,TRUE,"4";#N/A,#N/A,TRUE,"5";#N/A,#N/A,TRUE,"6";#N/A,#N/A,TRUE,"7";#N/A,#N/A,TRUE,"8";#N/A,#N/A,TRUE,"9"}</definedName>
    <definedName name="wrn.PTCP." hidden="1">{#N/A,#N/A,TRUE,"1";#N/A,#N/A,TRUE,"2";#N/A,#N/A,TRUE,"3";#N/A,#N/A,TRUE,"4";#N/A,#N/A,TRUE,"5";#N/A,#N/A,TRUE,"6";#N/A,#N/A,TRUE,"7";#N/A,#N/A,TRUE,"8";#N/A,#N/A,TRUE,"9"}</definedName>
    <definedName name="wrn.PTCP._1" localSheetId="8" hidden="1">{#N/A,#N/A,TRUE,"1";#N/A,#N/A,TRUE,"2";#N/A,#N/A,TRUE,"3";#N/A,#N/A,TRUE,"4";#N/A,#N/A,TRUE,"5";#N/A,#N/A,TRUE,"6";#N/A,#N/A,TRUE,"7";#N/A,#N/A,TRUE,"8";#N/A,#N/A,TRUE,"9"}</definedName>
    <definedName name="wrn.PTCP._1" hidden="1">{#N/A,#N/A,TRUE,"1";#N/A,#N/A,TRUE,"2";#N/A,#N/A,TRUE,"3";#N/A,#N/A,TRUE,"4";#N/A,#N/A,TRUE,"5";#N/A,#N/A,TRUE,"6";#N/A,#N/A,TRUE,"7";#N/A,#N/A,TRUE,"8";#N/A,#N/A,TRUE,"9"}</definedName>
    <definedName name="wrn.PTMOS._.Y._.CREDITOS." localSheetId="8" hidden="1">{#N/A,#N/A,FALSE,"PTMOS Y CDTOS 1";#N/A,#N/A,FALSE,"SALDOS 2";#N/A,#N/A,FALSE,"CONCESIONES 2";#N/A,#N/A,FALSE,"SALDOS POR TIPOS 3";#N/A,#N/A,FALSE,"EVOL SALDOS";#N/A,#N/A,FALSE,"EVOL CONCES."}</definedName>
    <definedName name="wrn.PTMOS._.Y._.CREDITOS." hidden="1">{#N/A,#N/A,FALSE,"PTMOS Y CDTOS 1";#N/A,#N/A,FALSE,"SALDOS 2";#N/A,#N/A,FALSE,"CONCESIONES 2";#N/A,#N/A,FALSE,"SALDOS POR TIPOS 3";#N/A,#N/A,FALSE,"EVOL SALDOS";#N/A,#N/A,FALSE,"EVOL CONCES."}</definedName>
    <definedName name="wrn.PTMP96." localSheetId="8" hidden="1">{#N/A,#N/A,FALSE,"1";#N/A,#N/A,FALSE,"2";#N/A,#N/A,FALSE,"3";#N/A,#N/A,FALSE,"4";#N/A,#N/A,FALSE,"5";#N/A,#N/A,FALSE,"6";#N/A,#N/A,FALSE,"7";#N/A,#N/A,FALSE,"8"}</definedName>
    <definedName name="wrn.PTMP96." hidden="1">{#N/A,#N/A,FALSE,"1";#N/A,#N/A,FALSE,"2";#N/A,#N/A,FALSE,"3";#N/A,#N/A,FALSE,"4";#N/A,#N/A,FALSE,"5";#N/A,#N/A,FALSE,"6";#N/A,#N/A,FALSE,"7";#N/A,#N/A,FALSE,"8"}</definedName>
    <definedName name="wrn.PTMP96._1" localSheetId="8" hidden="1">{#N/A,#N/A,FALSE,"1";#N/A,#N/A,FALSE,"2";#N/A,#N/A,FALSE,"3";#N/A,#N/A,FALSE,"4";#N/A,#N/A,FALSE,"5";#N/A,#N/A,FALSE,"6";#N/A,#N/A,FALSE,"7";#N/A,#N/A,FALSE,"8"}</definedName>
    <definedName name="wrn.PTMP96._1" hidden="1">{#N/A,#N/A,FALSE,"1";#N/A,#N/A,FALSE,"2";#N/A,#N/A,FALSE,"3";#N/A,#N/A,FALSE,"4";#N/A,#N/A,FALSE,"5";#N/A,#N/A,FALSE,"6";#N/A,#N/A,FALSE,"7";#N/A,#N/A,FALSE,"8"}</definedName>
    <definedName name="wrn.PUCSPADD." localSheetId="8" hidden="1">{#N/A,"PURCHM",FALSE,"Business Analysis";#N/A,"SPADD",FALSE,"Business Analysis"}</definedName>
    <definedName name="wrn.PUCSPADD." hidden="1">{#N/A,"PURCHM",FALSE,"Business Analysis";#N/A,"SPADD",FALSE,"Business Analysis"}</definedName>
    <definedName name="wrn.PUCSPADD.2" localSheetId="8" hidden="1">{#N/A,"PURCHM",FALSE,"Business Analysis";#N/A,"SPADD",FALSE,"Business Analysis"}</definedName>
    <definedName name="wrn.PUCSPADD.2" hidden="1">{#N/A,"PURCHM",FALSE,"Business Analysis";#N/A,"SPADD",FALSE,"Business Analysis"}</definedName>
    <definedName name="wrn.pucspadd1" localSheetId="8" hidden="1">{#N/A,"PURCHM",FALSE,"Business Analysis";#N/A,"SPADD",FALSE,"Business Analysis"}</definedName>
    <definedName name="wrn.pucspadd1" hidden="1">{#N/A,"PURCHM",FALSE,"Business Analysis";#N/A,"SPADD",FALSE,"Business Analysis"}</definedName>
    <definedName name="wrn.pucspadd10" localSheetId="8" hidden="1">{#N/A,"PURCHM",FALSE,"Business Analysis";#N/A,"SPADD",FALSE,"Business Analysis"}</definedName>
    <definedName name="wrn.pucspadd10" hidden="1">{#N/A,"PURCHM",FALSE,"Business Analysis";#N/A,"SPADD",FALSE,"Business Analysis"}</definedName>
    <definedName name="wrn.pucspadd102" localSheetId="8" hidden="1">{#N/A,"PURCHM",FALSE,"Business Analysis";#N/A,"SPADD",FALSE,"Business Analysis"}</definedName>
    <definedName name="wrn.pucspadd102" hidden="1">{#N/A,"PURCHM",FALSE,"Business Analysis";#N/A,"SPADD",FALSE,"Business Analysis"}</definedName>
    <definedName name="wrn.pucspadd11" localSheetId="8" hidden="1">{#N/A,"PURCHM",FALSE,"Business Analysis";#N/A,"SPADD",FALSE,"Business Analysis"}</definedName>
    <definedName name="wrn.pucspadd11" hidden="1">{#N/A,"PURCHM",FALSE,"Business Analysis";#N/A,"SPADD",FALSE,"Business Analysis"}</definedName>
    <definedName name="wrn.pucspadd12" localSheetId="8" hidden="1">{#N/A,"PURCHM",FALSE,"Business Analysis";#N/A,"SPADD",FALSE,"Business Analysis"}</definedName>
    <definedName name="wrn.pucspadd12" hidden="1">{#N/A,"PURCHM",FALSE,"Business Analysis";#N/A,"SPADD",FALSE,"Business Analysis"}</definedName>
    <definedName name="wrn.pucspadd31" localSheetId="8" hidden="1">{#N/A,"PURCHM",FALSE,"Business Analysis";#N/A,"SPADD",FALSE,"Business Analysis"}</definedName>
    <definedName name="wrn.pucspadd31" hidden="1">{#N/A,"PURCHM",FALSE,"Business Analysis";#N/A,"SPADD",FALSE,"Business Analysis"}</definedName>
    <definedName name="wrn.Pucspadd34" localSheetId="8" hidden="1">{#N/A,"PURCHM",FALSE,"Business Analysis";#N/A,"SPADD",FALSE,"Business Analysis"}</definedName>
    <definedName name="wrn.Pucspadd34" hidden="1">{#N/A,"PURCHM",FALSE,"Business Analysis";#N/A,"SPADD",FALSE,"Business Analysis"}</definedName>
    <definedName name="wrn.PUCSPADD35" localSheetId="8" hidden="1">{#N/A,"PURCHM",FALSE,"Business Analysis";#N/A,"SPADD",FALSE,"Business Analysis"}</definedName>
    <definedName name="wrn.PUCSPADD35" hidden="1">{#N/A,"PURCHM",FALSE,"Business Analysis";#N/A,"SPADD",FALSE,"Business Analysis"}</definedName>
    <definedName name="wrn.Pulp." localSheetId="7" hidden="1">{"Pulp Production",#N/A,FALSE,"Pulp";"Pulp Earnings",#N/A,FALSE,"Pulp"}</definedName>
    <definedName name="wrn.Pulp." localSheetId="8" hidden="1">{"Pulp Production",#N/A,FALSE,"Pulp";"Pulp Earnings",#N/A,FALSE,"Pulp"}</definedName>
    <definedName name="wrn.Pulp." hidden="1">{"Pulp Production",#N/A,FALSE,"Pulp";"Pulp Earnings",#N/A,FALSE,"Pulp"}</definedName>
    <definedName name="wrn.Pulp._1" localSheetId="8" hidden="1">{"Pulp Production",#N/A,FALSE,"Pulp";"Pulp Earnings",#N/A,FALSE,"Pulp"}</definedName>
    <definedName name="wrn.Pulp._1" hidden="1">{"Pulp Production",#N/A,FALSE,"Pulp";"Pulp Earnings",#N/A,FALSE,"Pulp"}</definedName>
    <definedName name="wrn.Pulp.2" localSheetId="8" hidden="1">{"Pulp Production",#N/A,FALSE,"Pulp";"Pulp Earnings",#N/A,FALSE,"Pulp"}</definedName>
    <definedName name="wrn.Pulp.2" hidden="1">{"Pulp Production",#N/A,FALSE,"Pulp";"Pulp Earnings",#N/A,FALSE,"Pulp"}</definedName>
    <definedName name="wrn.Pulp.3" localSheetId="8" hidden="1">{"Pulp Production",#N/A,FALSE,"Pulp";"Pulp Earnings",#N/A,FALSE,"Pulp"}</definedName>
    <definedName name="wrn.Pulp.3" hidden="1">{"Pulp Production",#N/A,FALSE,"Pulp";"Pulp Earnings",#N/A,FALSE,"Pulp"}</definedName>
    <definedName name="wrn.PyG_Dolares." hidden="1">{"Dolares",#N/A,FALSE,"Total Compañia";"Dolares",#N/A,FALSE,"Petroquimicos"}</definedName>
    <definedName name="wrn.PyG_Pesos." hidden="1">{"Pesos",#N/A,FALSE,"Total Compañia";"Pesos",#N/A,FALSE,"Petroquimicos";"Pesos",#N/A,FALSE,"Agroquimicos";"Pesos",#N/A,FALSE,"Domesticos";"Pesos",#N/A,FALSE,"Marketing";"Pesos",#N/A,FALSE,"Comercial";"Pesos",#N/A,FALSE,"Retail";"Pesos",#N/A,FALSE,"Lubricants";"Pesos",#N/A,FALSE,"Bitumen";"Pesos",#N/A,FALSE,"Others";"Pesos",#N/A,FALSE,"Fuels";"Pesos",#N/A,FALSE,"Lubricants - R";"Pesos",#N/A,FALSE,"Fuels - R";"Pesos",#N/A,FALSE,"NFR - R"}</definedName>
    <definedName name="wrn.QPB._.Pack." localSheetId="8" hidden="1">{#N/A,#N/A,FALSE,"Cust No."}</definedName>
    <definedName name="wrn.QPB._.Pack." hidden="1">{#N/A,#N/A,FALSE,"Cust No."}</definedName>
    <definedName name="wrn.QTD." localSheetId="8" hidden="1">{"QTD",#N/A,FALSE,"SUM"}</definedName>
    <definedName name="wrn.QTD." hidden="1">{"QTD",#N/A,FALSE,"SUM"}</definedName>
    <definedName name="wrn.QTD_ALL." localSheetId="8" hidden="1">{"QTD_LPO2N2",#N/A,FALSE,"QTD";"QTD_HYCO",#N/A,FALSE,"QTD";"QTD_LOUISIANA",#N/A,FALSE,"QTD";"QTD_GENERALH2",#N/A,FALSE,"QTD";"QTD_PACKAGE",#N/A,FALSE,"QTD";"QTD_PRS",#N/A,FALSE,"QTD";"QTD_OTHER",#N/A,FALSE,"QTD"}</definedName>
    <definedName name="wrn.QTD_ALL." hidden="1">{"QTD_LPO2N2",#N/A,FALSE,"QTD";"QTD_HYCO",#N/A,FALSE,"QTD";"QTD_LOUISIANA",#N/A,FALSE,"QTD";"QTD_GENERALH2",#N/A,FALSE,"QTD";"QTD_PACKAGE",#N/A,FALSE,"QTD";"QTD_PRS",#N/A,FALSE,"QTD";"QTD_OTHER",#N/A,FALSE,"QTD"}</definedName>
    <definedName name="wrn.QTD_GENERAL._.H2." localSheetId="8" hidden="1">{"QTD_GENERALH2",#N/A,FALSE,"QTD"}</definedName>
    <definedName name="wrn.QTD_GENERAL._.H2." hidden="1">{"QTD_GENERALH2",#N/A,FALSE,"QTD"}</definedName>
    <definedName name="wrn.QTD_HYCO." localSheetId="8" hidden="1">{"QTD_HYCO",#N/A,FALSE,"QTD"}</definedName>
    <definedName name="wrn.QTD_HYCO." hidden="1">{"QTD_HYCO",#N/A,FALSE,"QTD"}</definedName>
    <definedName name="wrn.QTD_LOUISIANA." localSheetId="8" hidden="1">{"QTD_LOUISIANA",#N/A,FALSE,"QTD"}</definedName>
    <definedName name="wrn.QTD_LOUISIANA." hidden="1">{"QTD_LOUISIANA",#N/A,FALSE,"QTD"}</definedName>
    <definedName name="wrn.QTD_LPTEO2N2." localSheetId="8" hidden="1">{"QTD_LPO2N2",#N/A,FALSE,"QTD"}</definedName>
    <definedName name="wrn.QTD_LPTEO2N2." hidden="1">{"QTD_LPO2N2",#N/A,FALSE,"QTD"}</definedName>
    <definedName name="wrn.QTD_OTHER." localSheetId="8" hidden="1">{"QTD_OTHER",#N/A,FALSE,"QTD"}</definedName>
    <definedName name="wrn.QTD_OTHER." hidden="1">{"QTD_OTHER",#N/A,FALSE,"QTD"}</definedName>
    <definedName name="wrn.QTD_PACKAGE." localSheetId="8" hidden="1">{"QTD_PACKAGE",#N/A,FALSE,"QTD"}</definedName>
    <definedName name="wrn.QTD_PACKAGE." hidden="1">{"QTD_PACKAGE",#N/A,FALSE,"QTD"}</definedName>
    <definedName name="wrn.QTD_PRS." localSheetId="8" hidden="1">{"QTD_PRS",#N/A,FALSE,"QTD"}</definedName>
    <definedName name="wrn.QTD_PRS." hidden="1">{"QTD_PRS",#N/A,FALSE,"QTD"}</definedName>
    <definedName name="wrn.QTRLY." localSheetId="8" hidden="1">{"qtrly",#N/A,FALSE,"P6FLASH"}</definedName>
    <definedName name="wrn.QTRLY." hidden="1">{"qtrly",#N/A,FALSE,"P6FLASH"}</definedName>
    <definedName name="wrn.Qtrs_PL." localSheetId="8" hidden="1">{"Quarters",#N/A,FALSE,"1.2"}</definedName>
    <definedName name="wrn.Qtrs_PL." hidden="1">{"Quarters",#N/A,FALSE,"1.2"}</definedName>
    <definedName name="wrn.Qtrs_PL._1" localSheetId="8" hidden="1">{"Quarters",#N/A,FALSE,"1.2"}</definedName>
    <definedName name="wrn.Qtrs_PL._1" hidden="1">{"Quarters",#N/A,FALSE,"1.2"}</definedName>
    <definedName name="wrn.Quadro._.Antigo." hidden="1">{#N/A,#N/A,FALSE,"QuadroAntigo"}</definedName>
    <definedName name="wrn.Quadro._.de._.Areas." hidden="1">{#N/A,#N/A,FALSE,"Quadro de Areas"}</definedName>
    <definedName name="wrn.Quick._.Print." localSheetId="8" hidden="1">{#N/A,#N/A,FALSE,"Summary";#N/A,#N/A,FALSE,"Data";#N/A,#N/A,FALSE,"Proj Op Inc";#N/A,#N/A,FALSE,"Proj CF";#N/A,#N/A,FALSE,"Proj Val"}</definedName>
    <definedName name="wrn.Quick._.Print." hidden="1">{#N/A,#N/A,FALSE,"Summary";#N/A,#N/A,FALSE,"Data";#N/A,#N/A,FALSE,"Proj Op Inc";#N/A,#N/A,FALSE,"Proj CF";#N/A,#N/A,FALSE,"Proj Val"}</definedName>
    <definedName name="wrn.RAÇÕES._.COMERCIAIS." hidden="1">{"BOVINOS CORTE",#N/A,FALSE,"R_COM";"BOVINOS LEITE",#N/A,FALSE,"R_COM";"EQUINOS",#N/A,FALSE,"R_COM";"AQUICULTURA",#N/A,FALSE,"R_COM";"SUINOS",#N/A,FALSE,"R_COM";"FRANGO CORTE",#N/A,FALSE,"R_COM";"POSTURA",#N/A,FALSE,"R_COM";"PRIX",#N/A,FALSE,"R_COM";"MINERAIS",#N/A,FALSE,"R_COM";"DO SÍTIO",#N/A,FALSE,"R_COM";"PRODUTOS ESPECIAIS",#N/A,FALSE,"R_COM";"CEVAL",#N/A,FALSE,"R_COM";"OUTROS",#N/A,FALSE,"R_COM";"TOTAL R_COM",#N/A,FALSE,"R_COM"}</definedName>
    <definedName name="wrn.Ramos._.LJ." hidden="1">{#N/A,#N/A,FALSE,"RamosLj"}</definedName>
    <definedName name="wrn.Ramp._.RTZ._.Pymt." localSheetId="8" hidden="1">{"Ramp - RTZ Pymt",#N/A,TRUE,"Ramp"}</definedName>
    <definedName name="wrn.Ramp._.RTZ._.Pymt." hidden="1">{"Ramp - RTZ Pymt",#N/A,TRUE,"Ramp"}</definedName>
    <definedName name="wrn.Range._.Values." localSheetId="8" hidden="1">{"page1",#N/A,FALSE,"Range Value - Incl Reclasses";"page2",#N/A,FALSE,"Range Value - Incl Reclasses";"page3",#N/A,FALSE,"Range Value - Incl Reclasses"}</definedName>
    <definedName name="wrn.Range._.Values." hidden="1">{"page1",#N/A,FALSE,"Range Value - Incl Reclasses";"page2",#N/A,FALSE,"Range Value - Incl Reclasses";"page3",#N/A,FALSE,"Range Value - Incl Reclasses"}</definedName>
    <definedName name="wrn.raport." localSheetId="8" hidden="1">{#N/A,#N/A,FALSE,"1"}</definedName>
    <definedName name="wrn.raport." hidden="1">{#N/A,#N/A,FALSE,"1"}</definedName>
    <definedName name="wrn.RAPP_SETT." localSheetId="8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1" localSheetId="8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1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ort._.1." localSheetId="8" hidden="1">{#N/A,#N/A,TRUE,"Forecast &amp; Analysis";#N/A,#N/A,TRUE,"Market Values";#N/A,#N/A,TRUE,"Ratios";#N/A,#N/A,TRUE,"Regressions";#N/A,#N/A,TRUE,"Market Values";#N/A,#N/A,TRUE,"Parameters &amp; Results"}</definedName>
    <definedName name="wrn.rapport._.1." hidden="1">{#N/A,#N/A,TRUE,"Forecast &amp; Analysis";#N/A,#N/A,TRUE,"Market Values";#N/A,#N/A,TRUE,"Ratios";#N/A,#N/A,TRUE,"Regressions";#N/A,#N/A,TRUE,"Market Values";#N/A,#N/A,TRUE,"Parameters &amp; Results"}</definedName>
    <definedName name="wrn.rapport._.1._1" localSheetId="8" hidden="1">{#N/A,#N/A,TRUE,"Forecast &amp; Analysis";#N/A,#N/A,TRUE,"Market Values";#N/A,#N/A,TRUE,"Ratios";#N/A,#N/A,TRUE,"Regressions";#N/A,#N/A,TRUE,"Market Values";#N/A,#N/A,TRUE,"Parameters &amp; Results"}</definedName>
    <definedName name="wrn.rapport._.1._1" hidden="1">{#N/A,#N/A,TRUE,"Forecast &amp; Analysis";#N/A,#N/A,TRUE,"Market Values";#N/A,#N/A,TRUE,"Ratios";#N/A,#N/A,TRUE,"Regressions";#N/A,#N/A,TRUE,"Market Values";#N/A,#N/A,TRUE,"Parameters &amp; Results"}</definedName>
    <definedName name="wrn.ratios." localSheetId="7" hidden="1">{"ratios",#N/A,FALSE,"Summary Accounts"}</definedName>
    <definedName name="wrn.ratios." localSheetId="8" hidden="1">{"ratios",#N/A,FALSE,"Summary Accounts"}</definedName>
    <definedName name="wrn.ratios." hidden="1">{"ratios",#N/A,FALSE,"Summary Accounts"}</definedName>
    <definedName name="wrn.RCF." localSheetId="8" hidden="1">{#N/A,#N/A,FALSE,"Data";#N/A,#N/A,FALSE,"Chart 1";#N/A,#N/A,FALSE,"Chart 2";#N/A,#N/A,FALSE,"Chart 3";#N/A,#N/A,FALSE,"Chart 4";#N/A,#N/A,FALSE,"Chart 5";#N/A,#N/A,FALSE,"Chart 6"}</definedName>
    <definedName name="wrn.RCF." hidden="1">{#N/A,#N/A,FALSE,"Data";#N/A,#N/A,FALSE,"Chart 1";#N/A,#N/A,FALSE,"Chart 2";#N/A,#N/A,FALSE,"Chart 3";#N/A,#N/A,FALSE,"Chart 4";#N/A,#N/A,FALSE,"Chart 5";#N/A,#N/A,FALSE,"Chart 6"}</definedName>
    <definedName name="wrn.REAL." localSheetId="8" hidden="1">{#N/A,#N/A,FALSE,"BALR$96";#N/A,#N/A,FALSE,"INCR$96"}</definedName>
    <definedName name="wrn.REAL." hidden="1">{"SALES-REAL",#N/A,FALSE,"SALES";"P.MINAS-REAL",#N/A,FALSE,"P.MINAS";"ALPA-REAL",#N/A,FALSE,"ALPA";"BASTOS-REAL",#N/A,FALSE,"BASTOS";"UBERLÂNDIA-REAL",#N/A,FALSE,"UBERLÂNDIA";"CORAL-REAL",#N/A,FALSE,"C.OESTE"}</definedName>
    <definedName name="wrn.Receivables." localSheetId="8" hidden="1">{"summary",#N/A,FALSE,"$ Summary";"humberside",#N/A,FALSE,"Local Currency Detail";"mersyside",#N/A,FALSE,"Local Currency Detail";"south wales",#N/A,FALSE,"Local Currency Detail";"teesside",#N/A,FALSE,"Local Currency Detail";"gent/terneuzen",#N/A,FALSE,"Local Currency Detail";"chalampe",#N/A,FALSE,"Local Currency Detail";"botlek",#N/A,FALSE,"Local Currency Detail";"pernis",#N/A,FALSE,"Local Currency Detail";"asu3/eup",#N/A,FALSE,"Local Currency Detail";"electronics uk/ned",#N/A,FALSE,"Local Currency Detail";"electronics ireland",#N/A,FALSE,"Local Currency Detail";"electronics italy",#N/A,FALSE,"Local Currency Detail";"electronics israel/france",#N/A,FALSE,"Local Currency Detail";"strasbourg/germany",#N/A,FALSE,"Local Currency Detail"}</definedName>
    <definedName name="wrn.Receivables." hidden="1">{"summary",#N/A,FALSE,"$ Summary";"humberside",#N/A,FALSE,"Local Currency Detail";"mersyside",#N/A,FALSE,"Local Currency Detail";"south wales",#N/A,FALSE,"Local Currency Detail";"teesside",#N/A,FALSE,"Local Currency Detail";"gent/terneuzen",#N/A,FALSE,"Local Currency Detail";"chalampe",#N/A,FALSE,"Local Currency Detail";"botlek",#N/A,FALSE,"Local Currency Detail";"pernis",#N/A,FALSE,"Local Currency Detail";"asu3/eup",#N/A,FALSE,"Local Currency Detail";"electronics uk/ned",#N/A,FALSE,"Local Currency Detail";"electronics ireland",#N/A,FALSE,"Local Currency Detail";"electronics italy",#N/A,FALSE,"Local Currency Detail";"electronics israel/france",#N/A,FALSE,"Local Currency Detail";"strasbourg/germany",#N/A,FALSE,"Local Currency Detail"}</definedName>
    <definedName name="wrn.Reddito." localSheetId="8" hidden="1">{#N/A,#N/A,TRUE,"Analisi del Reddito";#N/A,#N/A,TRUE,"Marg.di Contribuzione";#N/A,#N/A,TRUE,"Indici di Redditività";#N/A,#N/A,TRUE,"B.E.P.";#N/A,#N/A,TRUE,"Scheda Fiscale"}</definedName>
    <definedName name="wrn.Reddito." hidden="1">{#N/A,#N/A,TRUE,"Analisi del Reddito";#N/A,#N/A,TRUE,"Marg.di Contribuzione";#N/A,#N/A,TRUE,"Indici di Redditività";#N/A,#N/A,TRUE,"B.E.P.";#N/A,#N/A,TRUE,"Scheda Fiscale"}</definedName>
    <definedName name="wrn.Reddito._1" localSheetId="8" hidden="1">{#N/A,#N/A,TRUE,"Analisi del Reddito";#N/A,#N/A,TRUE,"Marg.di Contribuzione";#N/A,#N/A,TRUE,"Indici di Redditività";#N/A,#N/A,TRUE,"B.E.P.";#N/A,#N/A,TRUE,"Scheda Fiscale"}</definedName>
    <definedName name="wrn.Reddito._1" hidden="1">{#N/A,#N/A,TRUE,"Analisi del Reddito";#N/A,#N/A,TRUE,"Marg.di Contribuzione";#N/A,#N/A,TRUE,"Indici di Redditività";#N/A,#N/A,TRUE,"B.E.P.";#N/A,#N/A,TRUE,"Scheda Fiscale"}</definedName>
    <definedName name="wrn.redo." localSheetId="8" hidden="1">{"overview",#N/A,FALSE,"summary";"net assets",#N/A,FALSE,"summary";"asset turnover",#N/A,FALSE,"summary";"orona",#N/A,FALSE,"summary"}</definedName>
    <definedName name="wrn.redo." hidden="1">{"overview",#N/A,FALSE,"summary";"net assets",#N/A,FALSE,"summary";"asset turnover",#N/A,FALSE,"summary";"orona",#N/A,FALSE,"summary"}</definedName>
    <definedName name="wrn.redo._.2." localSheetId="8" hidden="1">{"sales growth",#N/A,FALSE,"summary";"oper income",#N/A,FALSE,"summary";"oros rank",#N/A,FALSE,"summary";"net assets",#N/A,FALSE,"summary";"asset turnover",#N/A,FALSE,"summary";"orona",#N/A,FALSE,"summary"}</definedName>
    <definedName name="wrn.redo._.2." hidden="1">{"sales growth",#N/A,FALSE,"summary";"oper income",#N/A,FALSE,"summary";"oros rank",#N/A,FALSE,"summary";"net assets",#N/A,FALSE,"summary";"asset turnover",#N/A,FALSE,"summary";"orona",#N/A,FALSE,"summary"}</definedName>
    <definedName name="wrn.Reforcast._.Print." localSheetId="8" hidden="1">{#N/A,#N/A,FALSE,"RF Inc Stmt";#N/A,#N/A,FALSE,"RF-IS-1";#N/A,#N/A,FALSE,"RF-IS-2"}</definedName>
    <definedName name="wrn.Reforcast._.Print." hidden="1">{#N/A,#N/A,FALSE,"RF Inc Stmt";#N/A,#N/A,FALSE,"RF-IS-1";#N/A,#N/A,FALSE,"RF-IS-2"}</definedName>
    <definedName name="wrn.Reforecast." localSheetId="8" hidden="1">{#N/A,#N/A,FALSE,"Assumptions";#N/A,#N/A,FALSE,"Reforecast";#N/A,#N/A,FALSE,"Inc Stmt";#N/A,#N/A,FALSE,"Stats";#N/A,#N/A,FALSE,"Existing Business";#N/A,#N/A,FALSE,"New Business";#N/A,#N/A,FALSE,"Labor";#N/A,#N/A,FALSE,"Vehicles";#N/A,#N/A,FALSE,"Facilities";#N/A,#N/A,FALSE,"Indirect Costs";#N/A,#N/A,FALSE,"Capital";#N/A,#N/A,FALSE,"CABR Form";#N/A,#N/A,FALSE,"Corp Costs";#N/A,#N/A,FALSE,"RF Actuals";#N/A,#N/A,FALSE,"Original Plan"}</definedName>
    <definedName name="wrn.Reforecast." hidden="1">{#N/A,#N/A,FALSE,"Assumptions";#N/A,#N/A,FALSE,"Reforecast";#N/A,#N/A,FALSE,"Inc Stmt";#N/A,#N/A,FALSE,"Stats";#N/A,#N/A,FALSE,"Existing Business";#N/A,#N/A,FALSE,"New Business";#N/A,#N/A,FALSE,"Labor";#N/A,#N/A,FALSE,"Vehicles";#N/A,#N/A,FALSE,"Facilities";#N/A,#N/A,FALSE,"Indirect Costs";#N/A,#N/A,FALSE,"Capital";#N/A,#N/A,FALSE,"CABR Form";#N/A,#N/A,FALSE,"Corp Costs";#N/A,#N/A,FALSE,"RF Actuals";#N/A,#N/A,FALSE,"Original Plan"}</definedName>
    <definedName name="wrn.REHAB._.Fin._.Stmts." localSheetId="8" hidden="1">{"REHAB I/S",#N/A,TRUE,"REHAB";"REHAB C/F",#N/A,TRUE,"REHAB";"REHAB B/S",#N/A,TRUE,"REHAB"}</definedName>
    <definedName name="wrn.REHAB._.Fin._.Stmts." hidden="1">{"REHAB I/S",#N/A,TRUE,"REHAB";"REHAB C/F",#N/A,TRUE,"REHAB";"REHAB B/S",#N/A,TRUE,"REHAB"}</definedName>
    <definedName name="wrn.REL_IR_97." localSheetId="8" hidden="1">{#N/A,#N/A,TRUE,"BD 97";#N/A,#N/A,TRUE,"IR E CS 1997";#N/A,#N/A,TRUE,"CONTINGÊNCIAS";#N/A,#N/A,TRUE,"AD_EX_97";#N/A,#N/A,TRUE,"PR ND";#N/A,#N/A,TRUE,"8191";#N/A,#N/A,TRUE,"8383";#N/A,#N/A,TRUE,"MP 1024"}</definedName>
    <definedName name="wrn.REL_IR_97." hidden="1">{#N/A,#N/A,TRUE,"BD 97";#N/A,#N/A,TRUE,"IR E CS 1997";#N/A,#N/A,TRUE,"CONTINGÊNCIAS";#N/A,#N/A,TRUE,"AD_EX_97";#N/A,#N/A,TRUE,"PR ND";#N/A,#N/A,TRUE,"8191";#N/A,#N/A,TRUE,"8383";#N/A,#N/A,TRUE,"MP 1024"}</definedName>
    <definedName name="wrn.REL_ORÇAMENTO." hidden="1">{"orç_mes",#N/A,FALSE,"TOTAL";"ORÇ_MES",#N/A,FALSE,"760";"ORÇ_MES",#N/A,FALSE,"761"}</definedName>
    <definedName name="wrn.REL_REAL." hidden="1">{"real",#N/A,FALSE,"TOTAL";"REAL",#N/A,FALSE,"760";"REAL",#N/A,FALSE,"761"}</definedName>
    <definedName name="wrn.REL_REPORTE." hidden="1">{"reporte",#N/A,FALSE,"TOTAL";"REPORTE",#N/A,FALSE,"760";"REPORTE",#N/A,FALSE,"761"}</definedName>
    <definedName name="wrn.Relatório._.Resumido." hidden="1">{#N/A,#N/A,FALSE,"GP";#N/A,#N/A,FALSE,"Assinantes";#N/A,#N/A,FALSE,"Rede";#N/A,#N/A,FALSE,"Evolução";#N/A,#N/A,FALSE,"Resultado"}</definedName>
    <definedName name="wrn.RELPAC.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wrn.rep_bdg." localSheetId="8" hidden="1">{#N/A,#N/A,TRUE,"INPUT";#N/A,#N/A,TRUE,"ECO_COMP";#N/A,#N/A,TRUE,"BDG_98";#N/A,#N/A,TRUE,"ordinato";#N/A,#N/A,TRUE,"vend_rid";#N/A,#N/A,TRUE,"vend_tra";#N/A,#N/A,TRUE,"costi_rid";#N/A,#N/A,TRUE,"costi_tra";#N/A,#N/A,TRUE,"dipendenti";#N/A,#N/A,TRUE,"costo_pers";#N/A,#N/A,TRUE,"inv_98";#N/A,#N/A,TRUE,"dett_inv";#N/A,#N/A,TRUE,"spese_gen";#N/A,#N/A,TRUE,"cover";#N/A,#N/A,TRUE,"indice"}</definedName>
    <definedName name="wrn.rep_bdg." hidden="1">{#N/A,#N/A,TRUE,"INPUT";#N/A,#N/A,TRUE,"ECO_COMP";#N/A,#N/A,TRUE,"BDG_98";#N/A,#N/A,TRUE,"ordinato";#N/A,#N/A,TRUE,"vend_rid";#N/A,#N/A,TRUE,"vend_tra";#N/A,#N/A,TRUE,"costi_rid";#N/A,#N/A,TRUE,"costi_tra";#N/A,#N/A,TRUE,"dipendenti";#N/A,#N/A,TRUE,"costo_pers";#N/A,#N/A,TRUE,"inv_98";#N/A,#N/A,TRUE,"dett_inv";#N/A,#N/A,TRUE,"spese_gen";#N/A,#N/A,TRUE,"cover";#N/A,#N/A,TRUE,"indice"}</definedName>
    <definedName name="wrn.rep_bdg._1" localSheetId="8" hidden="1">{#N/A,#N/A,TRUE,"INPUT";#N/A,#N/A,TRUE,"ECO_COMP";#N/A,#N/A,TRUE,"BDG_98";#N/A,#N/A,TRUE,"ordinato";#N/A,#N/A,TRUE,"vend_rid";#N/A,#N/A,TRUE,"vend_tra";#N/A,#N/A,TRUE,"costi_rid";#N/A,#N/A,TRUE,"costi_tra";#N/A,#N/A,TRUE,"dipendenti";#N/A,#N/A,TRUE,"costo_pers";#N/A,#N/A,TRUE,"inv_98";#N/A,#N/A,TRUE,"dett_inv";#N/A,#N/A,TRUE,"spese_gen";#N/A,#N/A,TRUE,"cover";#N/A,#N/A,TRUE,"indice"}</definedName>
    <definedName name="wrn.rep_bdg._1" hidden="1">{#N/A,#N/A,TRUE,"INPUT";#N/A,#N/A,TRUE,"ECO_COMP";#N/A,#N/A,TRUE,"BDG_98";#N/A,#N/A,TRUE,"ordinato";#N/A,#N/A,TRUE,"vend_rid";#N/A,#N/A,TRUE,"vend_tra";#N/A,#N/A,TRUE,"costi_rid";#N/A,#N/A,TRUE,"costi_tra";#N/A,#N/A,TRUE,"dipendenti";#N/A,#N/A,TRUE,"costo_pers";#N/A,#N/A,TRUE,"inv_98";#N/A,#N/A,TRUE,"dett_inv";#N/A,#N/A,TRUE,"spese_gen";#N/A,#N/A,TRUE,"cover";#N/A,#N/A,TRUE,"indice"}</definedName>
    <definedName name="wrn.REP_BDG_R." localSheetId="8" hidden="1">{#N/A,#N/A,TRUE,"INPUT";#N/A,#N/A,TRUE,"vend_rid";#N/A,#N/A,TRUE,"vend_tra";#N/A,#N/A,TRUE,"ordinato";#N/A,#N/A,TRUE,"costi_rid";#N/A,#N/A,TRUE,"costi_tra";#N/A,#N/A,TRUE,"dipendenti";#N/A,#N/A,TRUE,"costo_pers";#N/A,#N/A,TRUE,"inv_98";#N/A,#N/A,TRUE,"ECO_COMP";#N/A,#N/A,TRUE,"anal_gen";#N/A,#N/A,TRUE,"dett_inv";#N/A,#N/A,TRUE,"cover";#N/A,#N/A,TRUE,"indice_R"}</definedName>
    <definedName name="wrn.REP_BDG_R." hidden="1">{#N/A,#N/A,TRUE,"INPUT";#N/A,#N/A,TRUE,"vend_rid";#N/A,#N/A,TRUE,"vend_tra";#N/A,#N/A,TRUE,"ordinato";#N/A,#N/A,TRUE,"costi_rid";#N/A,#N/A,TRUE,"costi_tra";#N/A,#N/A,TRUE,"dipendenti";#N/A,#N/A,TRUE,"costo_pers";#N/A,#N/A,TRUE,"inv_98";#N/A,#N/A,TRUE,"ECO_COMP";#N/A,#N/A,TRUE,"anal_gen";#N/A,#N/A,TRUE,"dett_inv";#N/A,#N/A,TRUE,"cover";#N/A,#N/A,TRUE,"indice_R"}</definedName>
    <definedName name="wrn.REP_BDG_R._1" localSheetId="8" hidden="1">{#N/A,#N/A,TRUE,"INPUT";#N/A,#N/A,TRUE,"vend_rid";#N/A,#N/A,TRUE,"vend_tra";#N/A,#N/A,TRUE,"ordinato";#N/A,#N/A,TRUE,"costi_rid";#N/A,#N/A,TRUE,"costi_tra";#N/A,#N/A,TRUE,"dipendenti";#N/A,#N/A,TRUE,"costo_pers";#N/A,#N/A,TRUE,"inv_98";#N/A,#N/A,TRUE,"ECO_COMP";#N/A,#N/A,TRUE,"anal_gen";#N/A,#N/A,TRUE,"dett_inv";#N/A,#N/A,TRUE,"cover";#N/A,#N/A,TRUE,"indice_R"}</definedName>
    <definedName name="wrn.REP_BDG_R._1" hidden="1">{#N/A,#N/A,TRUE,"INPUT";#N/A,#N/A,TRUE,"vend_rid";#N/A,#N/A,TRUE,"vend_tra";#N/A,#N/A,TRUE,"ordinato";#N/A,#N/A,TRUE,"costi_rid";#N/A,#N/A,TRUE,"costi_tra";#N/A,#N/A,TRUE,"dipendenti";#N/A,#N/A,TRUE,"costo_pers";#N/A,#N/A,TRUE,"inv_98";#N/A,#N/A,TRUE,"ECO_COMP";#N/A,#N/A,TRUE,"anal_gen";#N/A,#N/A,TRUE,"dett_inv";#N/A,#N/A,TRUE,"cover";#N/A,#N/A,TRUE,"indice_R"}</definedName>
    <definedName name="wrn.REPARTO._.DE._.CARGAS." localSheetId="8" hidden="1">{"REPARTO CARGAS 1",#N/A,FALSE,"2003";"REPARTO CARGAS 2",#N/A,FALSE,"2003";"REPARTO CARGAS 3",#N/A,FALSE,"2003"}</definedName>
    <definedName name="wrn.REPARTO._.DE._.CARGAS." hidden="1">{"REPARTO CARGAS 1",#N/A,FALSE,"2003";"REPARTO CARGAS 2",#N/A,FALSE,"2003";"REPARTO CARGAS 3",#N/A,FALSE,"2003"}</definedName>
    <definedName name="wrn.REPARTO._.DE._.CARGAS._.2." localSheetId="8" hidden="1">{"REPARTO CARGAS 1 1",#N/A,FALSE,"2003 (2)";"REPARTO CARGAS 2 1",#N/A,FALSE,"2003 (2)";"REPARTO CARGAS 3 1",#N/A,FALSE,"2003 (2)"}</definedName>
    <definedName name="wrn.REPARTO._.DE._.CARGAS._.2." hidden="1">{"REPARTO CARGAS 1 1",#N/A,FALSE,"2003 (2)";"REPARTO CARGAS 2 1",#N/A,FALSE,"2003 (2)";"REPARTO CARGAS 3 1",#N/A,FALSE,"2003 (2)"}</definedName>
    <definedName name="wrn.Replacement._.Cost." localSheetId="8" hidden="1">{#N/A,#N/A,TRUE,"Cover Repl";#N/A,#N/A,TRUE,"P&amp;L";#N/A,#N/A,TRUE,"P&amp;L (2)";#N/A,#N/A,TRUE,"BS";#N/A,#N/A,TRUE,"Depreciation";#N/A,#N/A,TRUE,"GRAPHS";#N/A,#N/A,TRUE,"DCF EBITDA Multiple";#N/A,#N/A,TRUE,"DCF Perpetual Growth"}</definedName>
    <definedName name="wrn.Replacement._.Cost." hidden="1">{#N/A,#N/A,TRUE,"Cover Repl";#N/A,#N/A,TRUE,"P&amp;L";#N/A,#N/A,TRUE,"P&amp;L (2)";#N/A,#N/A,TRUE,"BS";#N/A,#N/A,TRUE,"Depreciation";#N/A,#N/A,TRUE,"GRAPHS";#N/A,#N/A,TRUE,"DCF EBITDA Multiple";#N/A,#N/A,TRUE,"DCF Perpetual Growth"}</definedName>
    <definedName name="wrn.Replacement._.Cost._1" localSheetId="8" hidden="1">{#N/A,#N/A,TRUE,"Cover Repl";#N/A,#N/A,TRUE,"P&amp;L";#N/A,#N/A,TRUE,"P&amp;L (2)";#N/A,#N/A,TRUE,"BS";#N/A,#N/A,TRUE,"Depreciation";#N/A,#N/A,TRUE,"GRAPHS";#N/A,#N/A,TRUE,"DCF EBITDA Multiple";#N/A,#N/A,TRUE,"DCF Perpetual Growth"}</definedName>
    <definedName name="wrn.Replacement._.Cost._1" hidden="1">{#N/A,#N/A,TRUE,"Cover Repl";#N/A,#N/A,TRUE,"P&amp;L";#N/A,#N/A,TRUE,"P&amp;L (2)";#N/A,#N/A,TRUE,"BS";#N/A,#N/A,TRUE,"Depreciation";#N/A,#N/A,TRUE,"GRAPHS";#N/A,#N/A,TRUE,"DCF EBITDA Multiple";#N/A,#N/A,TRUE,"DCF Perpetual Growth"}</definedName>
    <definedName name="wrn.Replacement._.Cost.1" localSheetId="8" hidden="1">{#N/A,#N/A,TRUE,"Cover Repl";#N/A,#N/A,TRUE,"P&amp;L";#N/A,#N/A,TRUE,"P&amp;L (2)";#N/A,#N/A,TRUE,"BS";#N/A,#N/A,TRUE,"Depreciation";#N/A,#N/A,TRUE,"GRAPHS";#N/A,#N/A,TRUE,"DCF EBITDA Multiple";#N/A,#N/A,TRUE,"DCF Perpetual Growth"}</definedName>
    <definedName name="wrn.Replacement._.Cost.1" hidden="1">{#N/A,#N/A,TRUE,"Cover Repl";#N/A,#N/A,TRUE,"P&amp;L";#N/A,#N/A,TRUE,"P&amp;L (2)";#N/A,#N/A,TRUE,"BS";#N/A,#N/A,TRUE,"Depreciation";#N/A,#N/A,TRUE,"GRAPHS";#N/A,#N/A,TRUE,"DCF EBITDA Multiple";#N/A,#N/A,TRUE,"DCF Perpetual Growth"}</definedName>
    <definedName name="wrn.Replacement._.Cost.1_1" localSheetId="8" hidden="1">{#N/A,#N/A,TRUE,"Cover Repl";#N/A,#N/A,TRUE,"P&amp;L";#N/A,#N/A,TRUE,"P&amp;L (2)";#N/A,#N/A,TRUE,"BS";#N/A,#N/A,TRUE,"Depreciation";#N/A,#N/A,TRUE,"GRAPHS";#N/A,#N/A,TRUE,"DCF EBITDA Multiple";#N/A,#N/A,TRUE,"DCF Perpetual Growth"}</definedName>
    <definedName name="wrn.Replacement._.Cost.1_1" hidden="1">{#N/A,#N/A,TRUE,"Cover Repl";#N/A,#N/A,TRUE,"P&amp;L";#N/A,#N/A,TRUE,"P&amp;L (2)";#N/A,#N/A,TRUE,"BS";#N/A,#N/A,TRUE,"Depreciation";#N/A,#N/A,TRUE,"GRAPHS";#N/A,#N/A,TRUE,"DCF EBITDA Multiple";#N/A,#N/A,TRUE,"DCF Perpetual Growth"}</definedName>
    <definedName name="wrn.Report." localSheetId="8" hidden="1">{"ReportDetail",#N/A,FALSE,"Months";"ReportSummary",#N/A,FALSE,"Avg Qtr CC - Final";"ReportDetail",#N/A,FALSE,"Avg Qtr CC - Final"}</definedName>
    <definedName name="wrn.Report." hidden="1">{"ReportDetail",#N/A,FALSE,"Months";"ReportSummary",#N/A,FALSE,"Avg Qtr CC - Final";"ReportDetail",#N/A,FALSE,"Avg Qtr CC - Final"}</definedName>
    <definedName name="wrn.Report._.1." localSheetId="7" hidden="1">{#N/A,#N/A,TRUE,"Cover";#N/A,#N/A,TRUE,"Contents";"Statements",#N/A,TRUE,"Income Statement";"Statements",#N/A,TRUE,"Cash Flow Statement";"Statements",#N/A,TRUE,"Balance Sheet ";#N/A,#N/A,TRUE,"Revenue Data Table";#N/A,#N/A,TRUE,"Costs &amp; Expenses Data Table";#N/A,#N/A,TRUE,"Cash Flow Data Table ";#N/A,#N/A,TRUE,"Shor-term Interest Expense";#N/A,#N/A,TRUE,"Income Taxes";#N/A,#N/A,TRUE,"New Issue Test";#N/A,#N/A,TRUE,"Ratios"}</definedName>
    <definedName name="wrn.Report._.1." localSheetId="8" hidden="1">{#N/A,#N/A,TRUE,"Cover";#N/A,#N/A,TRUE,"Contents";"Statements",#N/A,TRUE,"Income Statement";"Statements",#N/A,TRUE,"Cash Flow Statement";"Statements",#N/A,TRUE,"Balance Sheet ";#N/A,#N/A,TRUE,"Revenue Data Table";#N/A,#N/A,TRUE,"Costs &amp; Expenses Data Table";#N/A,#N/A,TRUE,"Cash Flow Data Table ";#N/A,#N/A,TRUE,"Shor-term Interest Expense";#N/A,#N/A,TRUE,"Income Taxes";#N/A,#N/A,TRUE,"New Issue Test";#N/A,#N/A,TRUE,"Ratios"}</definedName>
    <definedName name="wrn.Report._.1." hidden="1">{"Page 1",#N/A,FALSE,"Daily calendar";"Backlog",#N/A,FALSE,"Daily calendar"}</definedName>
    <definedName name="wrn.Report._.1._1" localSheetId="8" hidden="1">{"Page 1",#N/A,FALSE,"Daily calendar";"Backlog",#N/A,FALSE,"Daily calendar"}</definedName>
    <definedName name="wrn.Report._.1._1" hidden="1">{"Page 1",#N/A,FALSE,"Daily calendar";"Backlog",#N/A,FALSE,"Daily calendar"}</definedName>
    <definedName name="wrn.Report._.Cash._.Flow." localSheetId="8" hidden="1">{#N/A,#N/A,FALSE,"P&amp;L-BS-CF"}</definedName>
    <definedName name="wrn.Report._.Cash._.Flow." hidden="1">{#N/A,#N/A,FALSE,"P&amp;L-BS-CF"}</definedName>
    <definedName name="wrn.Report._.Cash._.Flow._1" localSheetId="8" hidden="1">{#N/A,#N/A,FALSE,"P&amp;L-BS-CF"}</definedName>
    <definedName name="wrn.Report._.Cash._.Flow._1" hidden="1">{#N/A,#N/A,FALSE,"P&amp;L-BS-CF"}</definedName>
    <definedName name="wrn.Report._.Exhibits." hidden="1">{"Inc Stmt Exhibit",#N/A,FALSE,"IS";"BS Exhibit",#N/A,FALSE,"BS";"Ratio No.1",#N/A,FALSE,"Ratio";"Ratio No.2",#N/A,FALSE,"Ratio"}</definedName>
    <definedName name="wrn.Report._.per._.Cliente." localSheetId="8" hidden="1">{"COVER DPS",#N/A,TRUE,"Cover - DP&amp;S";"Fornitori e Clienti",#N/A,TRUE,"7 Fornitori e 18 Clienti";"PRODOTTI E SERVIZI",#N/A,TRUE,"PRODOTTI &amp; SERVIZI";"CONCLUSE",#N/A,TRUE,"CONCLUSE"}</definedName>
    <definedName name="wrn.Report._.per._.Cliente." hidden="1">{"COVER DPS",#N/A,TRUE,"Cover - DP&amp;S";"Fornitori e Clienti",#N/A,TRUE,"7 Fornitori e 18 Clienti";"PRODOTTI E SERVIZI",#N/A,TRUE,"PRODOTTI &amp; SERVIZI";"CONCLUSE",#N/A,TRUE,"CONCLUSE"}</definedName>
    <definedName name="wrn.Report._.per._.Cliente._1" localSheetId="8" hidden="1">{"COVER DPS",#N/A,TRUE,"Cover - DP&amp;S";"Fornitori e Clienti",#N/A,TRUE,"7 Fornitori e 18 Clienti";"PRODOTTI E SERVIZI",#N/A,TRUE,"PRODOTTI &amp; SERVIZI";"CONCLUSE",#N/A,TRUE,"CONCLUSE"}</definedName>
    <definedName name="wrn.Report._.per._.Cliente._1" hidden="1">{"COVER DPS",#N/A,TRUE,"Cover - DP&amp;S";"Fornitori e Clienti",#N/A,TRUE,"7 Fornitori e 18 Clienti";"PRODOTTI E SERVIZI",#N/A,TRUE,"PRODOTTI &amp; SERVIZI";"CONCLUSE",#N/A,TRUE,"CONCLUSE"}</definedName>
    <definedName name="wrn.report._1" localSheetId="8" hidden="1">{"a",#N/A,FALSE,"Fact Sheet";"a",#N/A,FALSE,"DCFEVA";"a",#N/A,FALSE,"Statements";"a",#N/A,FALSE,"Quarterly";"a",#N/A,FALSE,"Q Grid";"a",#N/A,FALSE,"Stockval";"a",#N/A,FALSE,"DDM"}</definedName>
    <definedName name="wrn.report._1" hidden="1">{"a",#N/A,FALSE,"Fact Sheet";"a",#N/A,FALSE,"DCFEVA";"a",#N/A,FALSE,"Statements";"a",#N/A,FALSE,"Quarterly";"a",#N/A,FALSE,"Q Grid";"a",#N/A,FALSE,"Stockval";"a",#N/A,FALSE,"DDM"}</definedName>
    <definedName name="wrn.report1." localSheetId="8" hidden="1">{"pro_view",#N/A,FALSE,"EEFSNAP2";"rep_view",#N/A,FALSE,"EEFSNAP2"}</definedName>
    <definedName name="wrn.report1." hidden="1">{"pro_view",#N/A,FALSE,"EEFSNAP2";"rep_view",#N/A,FALSE,"EEFSNAP2"}</definedName>
    <definedName name="wrn.Report1._1" localSheetId="8" hidden="1">{#N/A,#N/A,FALSE,"Operations";#N/A,#N/A,FALSE,"Financials"}</definedName>
    <definedName name="wrn.Report1._1" hidden="1">{#N/A,#N/A,FALSE,"Operations";#N/A,#N/A,FALSE,"Financials"}</definedName>
    <definedName name="wrn.REPORTE." hidden="1">{"SALES-REPORTE",#N/A,FALSE,"SALES";"P.MINAS-REPORTE",#N/A,FALSE,"P.MINAS";"ALPA-REPORTE",#N/A,FALSE,"ALPA";"BASTOS-REPORTE",#N/A,FALSE,"BASTOS"}</definedName>
    <definedName name="wrn.Reporte._.1." localSheetId="8" hidden="1">{#N/A,#N/A,FALSE,"PRECIO FULL";#N/A,#N/A,FALSE,"LARA";#N/A,#N/A,FALSE,"CARACAS";#N/A,#N/A,FALSE,"DISBRACENTRO";#N/A,#N/A,FALSE,"ANDES";#N/A,#N/A,FALSE,"MAR CARIBE";#N/A,#N/A,FALSE,"RIO BEER";#N/A,#N/A,FALSE,"DISBRAH"}</definedName>
    <definedName name="wrn.Reporte._.1." hidden="1">{#N/A,#N/A,FALSE,"PRECIO FULL";#N/A,#N/A,FALSE,"LARA";#N/A,#N/A,FALSE,"CARACAS";#N/A,#N/A,FALSE,"DISBRACENTRO";#N/A,#N/A,FALSE,"ANDES";#N/A,#N/A,FALSE,"MAR CARIBE";#N/A,#N/A,FALSE,"RIO BEER";#N/A,#N/A,FALSE,"DISBRAH"}</definedName>
    <definedName name="wrn.Reporte._.1._1" localSheetId="8" hidden="1">{#N/A,#N/A,FALSE,"PRECIO FULL";#N/A,#N/A,FALSE,"LARA";#N/A,#N/A,FALSE,"CARACAS";#N/A,#N/A,FALSE,"DISBRACENTRO";#N/A,#N/A,FALSE,"ANDES";#N/A,#N/A,FALSE,"MAR CARIBE";#N/A,#N/A,FALSE,"RIO BEER";#N/A,#N/A,FALSE,"DISBRAH"}</definedName>
    <definedName name="wrn.Reporte._.1._1" hidden="1">{#N/A,#N/A,FALSE,"PRECIO FULL";#N/A,#N/A,FALSE,"LARA";#N/A,#N/A,FALSE,"CARACAS";#N/A,#N/A,FALSE,"DISBRACENTRO";#N/A,#N/A,FALSE,"ANDES";#N/A,#N/A,FALSE,"MAR CARIBE";#N/A,#N/A,FALSE,"RIO BEER";#N/A,#N/A,FALSE,"DISBRAH"}</definedName>
    <definedName name="wrn.REPORTESTERNO." localSheetId="8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1" localSheetId="8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interno." localSheetId="8" hidden="1">{#N/A,#N/A,FALSE,"HIGHNEW";#N/A,#N/A,FALSE,"HIGHOLD";#N/A,#N/A,FALSE,"MTHDET";#N/A,#N/A,FALSE,"ACTDET"}</definedName>
    <definedName name="wrn.reportinterno." hidden="1">{#N/A,#N/A,FALSE,"HIGHNEW";#N/A,#N/A,FALSE,"HIGHOLD";#N/A,#N/A,FALSE,"MTHDET";#N/A,#N/A,FALSE,"ACTDET"}</definedName>
    <definedName name="wrn.reportinterno._1" localSheetId="8" hidden="1">{#N/A,#N/A,FALSE,"HIGHNEW";#N/A,#N/A,FALSE,"HIGHOLD";#N/A,#N/A,FALSE,"MTHDET";#N/A,#N/A,FALSE,"ACTDET"}</definedName>
    <definedName name="wrn.reportinterno._1" hidden="1">{#N/A,#N/A,FALSE,"HIGHNEW";#N/A,#N/A,FALSE,"HIGHOLD";#N/A,#N/A,FALSE,"MTHDET";#N/A,#N/A,FALSE,"ACTDET"}</definedName>
    <definedName name="wrn.Reports2." hidden="1">{"NI2",#N/A,FALSE,"Sum - Exp";"Revenue2",#N/A,FALSE,"Sum - Exp";"Headcount2",#N/A,FALSE,"Sum - Exp";"Pipeline2",#N/A,FALSE,"Sum - Exp";"expenses",#N/A,FALSE,"Sum - Exp"}</definedName>
    <definedName name="wrn.Res_010." localSheetId="8" hidden="1">{"Res_010",#N/A,FALSE,"Res_010";"sum1",#N/A,FALSE,"Res_010"}</definedName>
    <definedName name="wrn.Res_010." hidden="1">{"Res_010",#N/A,FALSE,"Res_010";"sum1",#N/A,FALSE,"Res_010"}</definedName>
    <definedName name="wrn.Resource_Model_Detailed." localSheetId="8" hidden="1">{#N/A,#N/A,FALSE,"COVER";#N/A,#N/A,FALSE,"Custs &amp; Ac's Summary";#N/A,#N/A,FALSE,"Payments Summary";#N/A,#N/A,FALSE,"SMS Payments";#N/A,#N/A,FALSE,"ICMS Payments";#N/A,#N/A,FALSE,"Harmony Payments";#N/A,#N/A,FALSE,"Resource Model Summary";#N/A,#N/A,FALSE,"Resource Model (SMS)";#N/A,#N/A,FALSE,"Resource Model (ICMS)";#N/A,#N/A,FALSE,"Resource Model (Harmony)"}</definedName>
    <definedName name="wrn.Resource_Model_Detailed." hidden="1">{#N/A,#N/A,FALSE,"COVER";#N/A,#N/A,FALSE,"Custs &amp; Ac's Summary";#N/A,#N/A,FALSE,"Payments Summary";#N/A,#N/A,FALSE,"SMS Payments";#N/A,#N/A,FALSE,"ICMS Payments";#N/A,#N/A,FALSE,"Harmony Payments";#N/A,#N/A,FALSE,"Resource Model Summary";#N/A,#N/A,FALSE,"Resource Model (SMS)";#N/A,#N/A,FALSE,"Resource Model (ICMS)";#N/A,#N/A,FALSE,"Resource Model (Harmony)"}</definedName>
    <definedName name="wrn.Responsabili." localSheetId="8" hidden="1">{"cuccoli",#N/A,FALSE,"SintFixed (3)";"tagliarini",#N/A,FALSE,"SintFixed (3)";"savino",#N/A,FALSE,"SintFixed (3)";"donati",#N/A,FALSE,"SintFixed (3)";"gatti",#N/A,FALSE,"SintFixed (3)";"sigliano",#N/A,FALSE,"SintFixed (3)"}</definedName>
    <definedName name="wrn.Responsabili." hidden="1">{"cuccoli",#N/A,FALSE,"SintFixed (3)";"tagliarini",#N/A,FALSE,"SintFixed (3)";"savino",#N/A,FALSE,"SintFixed (3)";"donati",#N/A,FALSE,"SintFixed (3)";"gatti",#N/A,FALSE,"SintFixed (3)";"sigliano",#N/A,FALSE,"SintFixed (3)"}</definedName>
    <definedName name="wrn.Responsabili._1" localSheetId="8" hidden="1">{"cuccoli",#N/A,FALSE,"SintFixed (3)";"tagliarini",#N/A,FALSE,"SintFixed (3)";"savino",#N/A,FALSE,"SintFixed (3)";"donati",#N/A,FALSE,"SintFixed (3)";"gatti",#N/A,FALSE,"SintFixed (3)";"sigliano",#N/A,FALSE,"SintFixed (3)"}</definedName>
    <definedName name="wrn.Responsabili._1" hidden="1">{"cuccoli",#N/A,FALSE,"SintFixed (3)";"tagliarini",#N/A,FALSE,"SintFixed (3)";"savino",#N/A,FALSE,"SintFixed (3)";"donati",#N/A,FALSE,"SintFixed (3)";"gatti",#N/A,FALSE,"SintFixed (3)";"sigliano",#N/A,FALSE,"SintFixed (3)"}</definedName>
    <definedName name="wrn.Resto._.cuadros." localSheetId="8" hidden="1">{#N/A,#N/A,FALSE,"Rec";#N/A,#N/A,FALSE,"Rec (SMM)";#N/A,#N/A,FALSE,"RAT-div (2)";#N/A,#N/A,FALSE,"Inv";#N/A,#N/A,FALSE,"Inv (SMM)";#N/A,#N/A,FALSE,"ICB-div (2)";#N/A,#N/A,FALSE,"Bal (SF)";#N/A,#N/A,FALSE,"Bal (SMM)";#N/A,#N/A,FALSE,"PF Act";#N/A,#N/A,FALSE,"PF Inv-div (2)";#N/A,#N/A,FALSE,"PF Pas";#N/A,#N/A,FALSE,"PF Rec-div (2)"}</definedName>
    <definedName name="wrn.Resto._.cuadros." hidden="1">{#N/A,#N/A,FALSE,"Rec";#N/A,#N/A,FALSE,"Rec (SMM)";#N/A,#N/A,FALSE,"RAT-div (2)";#N/A,#N/A,FALSE,"Inv";#N/A,#N/A,FALSE,"Inv (SMM)";#N/A,#N/A,FALSE,"ICB-div (2)";#N/A,#N/A,FALSE,"Bal (SF)";#N/A,#N/A,FALSE,"Bal (SMM)";#N/A,#N/A,FALSE,"PF Act";#N/A,#N/A,FALSE,"PF Inv-div (2)";#N/A,#N/A,FALSE,"PF Pas";#N/A,#N/A,FALSE,"PF Rec-div (2)"}</definedName>
    <definedName name="wrn.RESULTADO." hidden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wrn.Resultados." localSheetId="8" hidden="1">{#N/A,#N/A,FALSE,"Result";#N/A,#N/A,FALSE,"Result (MEDIA)";#N/A,#N/A,FALSE,"Result (PF)"}</definedName>
    <definedName name="wrn.Resultados." hidden="1">{#N/A,#N/A,FALSE,"Result";#N/A,#N/A,FALSE,"Result (MEDIA)";#N/A,#N/A,FALSE,"Result (PF)"}</definedName>
    <definedName name="wrn.RESUMEN." localSheetId="8" hidden="1">{"RESUMEN",#N/A,FALSE,"RESUMEN";"RESUMEN_MARG",#N/A,FALSE,"RESUMEN"}</definedName>
    <definedName name="wrn.RESUMEN." hidden="1">{"RESUMEN",#N/A,FALSE,"RESUMEN";"RESUMEN_MARG",#N/A,FALSE,"RESUMEN"}</definedName>
    <definedName name="wrn.Resumen._.Cuentas._.Anuales." localSheetId="7" hidden="1">{"P y G",#N/A,FALSE,"PyG";"Balance",#N/A,FALSE,"Balance";"Ratios",#N/A,FALSE,"Ratios"}</definedName>
    <definedName name="wrn.Resumen._.Cuentas._.Anuales." localSheetId="8" hidden="1">{"P y G",#N/A,FALSE,"PyG";"Balance",#N/A,FALSE,"Balance";"Ratios",#N/A,FALSE,"Ratios"}</definedName>
    <definedName name="wrn.Resumen._.Cuentas._.Anuales." hidden="1">{"P y G",#N/A,FALSE,"PyG";"Balance",#N/A,FALSE,"Balance";"Ratios",#N/A,FALSE,"Ratios"}</definedName>
    <definedName name="wrn.Resumen._.Cuentas._.Anuales._1" localSheetId="8" hidden="1">{"P y G",#N/A,FALSE,"PyG";"Balance",#N/A,FALSE,"Balance";"Ratios",#N/A,FALSE,"Ratios"}</definedName>
    <definedName name="wrn.Resumen._.Cuentas._.Anuales._1" hidden="1">{"P y G",#N/A,FALSE,"PyG";"Balance",#N/A,FALSE,"Balance";"Ratios",#N/A,FALSE,"Ratios"}</definedName>
    <definedName name="wrn.RESUMEN._.GESTION." localSheetId="8" hidden="1">{#N/A,#N/A,TRUE,"SIT.GLOBAL (2)";#N/A,#N/A,TRUE,"SIT.GLOBAL (1)";#N/A,#N/A,TRUE,"7.PROC JUD";#N/A,#N/A,TRUE,"GRAF.RENTAS";#N/A,#N/A,TRUE,"GRAF PTE.COB-COBNET (3)";#N/A,#N/A,TRUE,"GRAF FACT TOTAL-ORD (3)";#N/A,#N/A,TRUE,"DATOSGRAFICO";#N/A,#N/A,TRUE,"RESCINDIDOS";#N/A,#N/A,TRUE,"DETALLE PTE."}</definedName>
    <definedName name="wrn.RESUMEN._.GESTION." hidden="1">{#N/A,#N/A,TRUE,"SIT.GLOBAL (2)";#N/A,#N/A,TRUE,"SIT.GLOBAL (1)";#N/A,#N/A,TRUE,"7.PROC JUD";#N/A,#N/A,TRUE,"GRAF.RENTAS";#N/A,#N/A,TRUE,"GRAF PTE.COB-COBNET (3)";#N/A,#N/A,TRUE,"GRAF FACT TOTAL-ORD (3)";#N/A,#N/A,TRUE,"DATOSGRAFICO";#N/A,#N/A,TRUE,"RESCINDIDOS";#N/A,#N/A,TRUE,"DETALLE PTE."}</definedName>
    <definedName name="wrn.RESUMEN._1" localSheetId="8" hidden="1">{"RESUMEN",#N/A,FALSE,"RESUMEN";"RESUMEN_MARG",#N/A,FALSE,"RESUMEN"}</definedName>
    <definedName name="wrn.RESUMEN._1" hidden="1">{"RESUMEN",#N/A,FALSE,"RESUMEN";"RESUMEN_MARG",#N/A,FALSE,"RESUMEN"}</definedName>
    <definedName name="wrn.Reunião_17.08." hidden="1">{#N/A,#N/A,FALSE,"Capa-17.08";#N/A,#N/A,FALSE,"DIVIS.1";"L&amp;P_01_Ajust",#N/A,FALSE,"L&amp;P_01_Ajust";#N/A,#N/A,FALSE,"R.COM._01";#N/A,#N/A,FALSE,"PET_01";#N/A,#N/A,FALSE,"NUTRI_01";"Bal_Mog_01-Ativo",#N/A,FALSE,"Bal_Mog_01";"Bal_Mog_01-Passivo",#N/A,FALSE,"Bal_Mog_01";"Doar_Mog_01",#N/A,FALSE,"Doar_Mog_01";#N/A,#N/A,FALSE,"Indices";#N/A,#N/A,FALSE,"Equival_01";#N/A,#N/A,FALSE,"DIVIS.2";#N/A,#N/A,FALSE,"Cap_Giro";#N/A,#N/A,FALSE,"Estoques";#N/A,#N/A,FALSE,"Realiz_L_P";#N/A,#N/A,FALSE,"At_Permanente";#N/A,#N/A,FALSE,"Financ.Banc.";#N/A,#N/A,FALSE,"Desp_00_01";#N/A,#N/A,FALSE,"Func_Local";#N/A,#N/A,FALSE,"Fluxo Cx_1";#N/A,#N/A,FALSE,"Fluxo Cx_2";#N/A,#N/A,FALSE,"DIVIS.3";"Comp.01x00",#N/A,FALSE,"Comp. 01x00";#N/A,#N/A,FALSE,"R.Com_01x00";#N/A,#N/A,FALSE,"PET_01x00";#N/A,#N/A,FALSE,"Nutri_01x00"}</definedName>
    <definedName name="wrn.REUNIÃO_24.01.01." hidden="1">{#N/A,#N/A,FALSE,"Capa-24.01";#N/A,#N/A,FALSE,"DIVIS.1";#N/A,#N/A,FALSE,"MOG_2000";"Bal_Mog_00-Ativo",#N/A,FALSE,"Bal_Mog_00";"Bal_Mog_00-Passivo",#N/A,FALSE,"Bal_Mog_00";#N/A,#N/A,FALSE,"BALANÇO";#N/A,#N/A,FALSE,"Cap_Giro";#N/A,#N/A,FALSE,"Estoques";#N/A,#N/A,FALSE,"Realiz_L_P";#N/A,#N/A,FALSE,"At_Permanente";#N/A,#N/A,FALSE,"Financ.Banc.";#N/A,#N/A,FALSE,"Equival_00";#N/A,#N/A,FALSE,"Desp_99_00";#N/A,#N/A,FALSE,"Func_Local";#N/A,#N/A,FALSE,"DIVIS.2";#N/A,#N/A,FALSE,"Comp. 00x99"}</definedName>
    <definedName name="wrn.revenue._.detail." hidden="1">{"revenue detail 1",#N/A,FALSE,"Revenue Detail";"revenue detail 2",#N/A,FALSE,"Revenue Detail";"revenue detail 3",#N/A,FALSE,"Revenue Detail";"revenue detail 4",#N/A,FALSE,"Revenue Detail"}</definedName>
    <definedName name="wrn.revenue._.graph." hidden="1">{"revenue graph",#N/A,FALSE,"Revenue Graph"}</definedName>
    <definedName name="wrn.review." localSheetId="8" hidden="1">{#N/A,#N/A,FALSE,"FRONTPG";#N/A,#N/A,FALSE,"STATUSREC";#N/A,#N/A,FALSE,"INELIG";#N/A,#N/A,FALSE,"ARACTIV";#N/A,#N/A,FALSE,"ARANAL";#N/A,#N/A,FALSE,"INVANAL";#N/A,#N/A,FALSE,"BALSHT";#N/A,#N/A,FALSE,"INCSTMT";#N/A,#N/A,FALSE,"CASHFLOW";#N/A,#N/A,FALSE,"TREND";#N/A,#N/A,FALSE,"LIAB"}</definedName>
    <definedName name="wrn.review." hidden="1">{#N/A,#N/A,FALSE,"FRONTPG";#N/A,#N/A,FALSE,"STATUSREC";#N/A,#N/A,FALSE,"INELIG";#N/A,#N/A,FALSE,"ARACTIV";#N/A,#N/A,FALSE,"ARANAL";#N/A,#N/A,FALSE,"INVANAL";#N/A,#N/A,FALSE,"BALSHT";#N/A,#N/A,FALSE,"INCSTMT";#N/A,#N/A,FALSE,"CASHFLOW";#N/A,#N/A,FALSE,"TREND";#N/A,#N/A,FALSE,"LIAB"}</definedName>
    <definedName name="wrn.revised._.CEC._.slides." localSheetId="8" hidden="1">{#N/A,#N/A,FALSE,"Revised cover";#N/A,#N/A,FALSE,"Trends";"main view",#N/A,FALSE,"As Reported";#N/A,#N/A,FALSE,"delegations";#N/A,#N/A,FALSE,"(un) Commited"}</definedName>
    <definedName name="wrn.revised._.CEC._.slides." hidden="1">{#N/A,#N/A,FALSE,"Revised cover";#N/A,#N/A,FALSE,"Trends";"main view",#N/A,FALSE,"As Reported";#N/A,#N/A,FALSE,"delegations";#N/A,#N/A,FALSE,"(un) Commited"}</definedName>
    <definedName name="wrn.ReWemtl." localSheetId="8" hidden="1">{"werbung",#N/A,FALSE,"GuV9900-0399";"betrieb",#N/A,FALSE,"GuV9900-0399";"personal",#N/A,FALSE,"GuV9900-0399";"tvg",#N/A,FALSE,"GuV9900-0399";"verwaltung",#N/A,FALSE,"GuV9900-0399"}</definedName>
    <definedName name="wrn.ReWemtl." hidden="1">{"werbung",#N/A,FALSE,"GuV9900-0399";"betrieb",#N/A,FALSE,"GuV9900-0399";"personal",#N/A,FALSE,"GuV9900-0399";"tvg",#N/A,FALSE,"GuV9900-0399";"verwaltung",#N/A,FALSE,"GuV9900-0399"}</definedName>
    <definedName name="wrn.ReWemtl._1" localSheetId="8" hidden="1">{"werbung",#N/A,FALSE,"GuV9900-0399";"betrieb",#N/A,FALSE,"GuV9900-0399";"personal",#N/A,FALSE,"GuV9900-0399";"tvg",#N/A,FALSE,"GuV9900-0399";"verwaltung",#N/A,FALSE,"GuV9900-0399"}</definedName>
    <definedName name="wrn.ReWemtl._1" hidden="1">{"werbung",#N/A,FALSE,"GuV9900-0399";"betrieb",#N/A,FALSE,"GuV9900-0399";"personal",#N/A,FALSE,"GuV9900-0399";"tvg",#N/A,FALSE,"GuV9900-0399";"verwaltung",#N/A,FALSE,"GuV9900-0399"}</definedName>
    <definedName name="wrn.RGD_BG_FC." localSheetId="8" hidden="1">{#N/A,#N/A,FALSE,"RGD$";#N/A,#N/A,FALSE,"BG$";#N/A,#N/A,FALSE,"FC$"}</definedName>
    <definedName name="wrn.RGD_BG_FC." hidden="1">{#N/A,#N/A,FALSE,"RGD$";#N/A,#N/A,FALSE,"BG$";#N/A,#N/A,FALSE,"FC$"}</definedName>
    <definedName name="wrn.RGD_BG_FC._1" localSheetId="8" hidden="1">{#N/A,#N/A,FALSE,"RGD$";#N/A,#N/A,FALSE,"BG$";#N/A,#N/A,FALSE,"FC$"}</definedName>
    <definedName name="wrn.RGD_BG_FC._1" hidden="1">{#N/A,#N/A,FALSE,"RGD$";#N/A,#N/A,FALSE,"BG$";#N/A,#N/A,FALSE,"FC$"}</definedName>
    <definedName name="wrn.RHD._.RESERVE._.REPORT." localSheetId="8" hidden="1">{#N/A,#N/A,FALSE,"CHANGES";#N/A,#N/A,FALSE,"PROD SUMMARY";#N/A,#N/A,FALSE,"1995 PO SUM";#N/A,#N/A,FALSE,"1995 GEOG SUM";#N/A,#N/A,FALSE,"1996 PO SUM";#N/A,#N/A,FALSE,"1996 GEOG SUM"}</definedName>
    <definedName name="wrn.RHD._.RESERVE._.REPORT." hidden="1">{#N/A,#N/A,FALSE,"CHANGES";#N/A,#N/A,FALSE,"PROD SUMMARY";#N/A,#N/A,FALSE,"1995 PO SUM";#N/A,#N/A,FALSE,"1995 GEOG SUM";#N/A,#N/A,FALSE,"1996 PO SUM";#N/A,#N/A,FALSE,"1996 GEOG SUM"}</definedName>
    <definedName name="wrn.rhd.whatever" localSheetId="8" hidden="1">{#N/A,#N/A,FALSE,"CHANGES";#N/A,#N/A,FALSE,"PROD SUMMARY";#N/A,#N/A,FALSE,"1995 PO SUM";#N/A,#N/A,FALSE,"1995 GEOG SUM";#N/A,#N/A,FALSE,"1996 PO SUM";#N/A,#N/A,FALSE,"1996 GEOG SUM"}</definedName>
    <definedName name="wrn.rhd.whatever" hidden="1">{#N/A,#N/A,FALSE,"CHANGES";#N/A,#N/A,FALSE,"PROD SUMMARY";#N/A,#N/A,FALSE,"1995 PO SUM";#N/A,#N/A,FALSE,"1995 GEOG SUM";#N/A,#N/A,FALSE,"1996 PO SUM";#N/A,#N/A,FALSE,"1996 GEOG SUM"}</definedName>
    <definedName name="wrn.riepilogo." localSheetId="8" hidden="1">{#N/A,#N/A,FALSE,"Automezzi";#N/A,#N/A,FALSE,"Fabbricati";#N/A,#N/A,FALSE,"SOFTWARE";#N/A,#N/A,FALSE,"COSTRUZIONI LEGGERE";#N/A,#N/A,FALSE,"Impianti 10%";#N/A,#N/A,FALSE,"Impianti 12,5%";#N/A,#N/A,FALSE,"Macchine e impianti 15,5%";#N/A,#N/A,FALSE,"Macchine e Impianti 12,5%";#N/A,#N/A,FALSE,"Attrezzature 25%";#N/A,#N/A,FALSE,"Attrezzatura 35%";#N/A,#N/A,FALSE,"Macchine ufficio elettroniche";#N/A,#N/A,FALSE,"Mobili e arredi";#N/A,#N/A,FALSE,"Mobili officina"}</definedName>
    <definedName name="wrn.riepilogo." hidden="1">{#N/A,#N/A,FALSE,"Automezzi";#N/A,#N/A,FALSE,"Fabbricati";#N/A,#N/A,FALSE,"SOFTWARE";#N/A,#N/A,FALSE,"COSTRUZIONI LEGGERE";#N/A,#N/A,FALSE,"Impianti 10%";#N/A,#N/A,FALSE,"Impianti 12,5%";#N/A,#N/A,FALSE,"Macchine e impianti 15,5%";#N/A,#N/A,FALSE,"Macchine e Impianti 12,5%";#N/A,#N/A,FALSE,"Attrezzature 25%";#N/A,#N/A,FALSE,"Attrezzatura 35%";#N/A,#N/A,FALSE,"Macchine ufficio elettroniche";#N/A,#N/A,FALSE,"Mobili e arredi";#N/A,#N/A,FALSE,"Mobili officina"}</definedName>
    <definedName name="wrn.riepilogo._1" localSheetId="8" hidden="1">{#N/A,#N/A,FALSE,"Automezzi";#N/A,#N/A,FALSE,"Fabbricati";#N/A,#N/A,FALSE,"SOFTWARE";#N/A,#N/A,FALSE,"COSTRUZIONI LEGGERE";#N/A,#N/A,FALSE,"Impianti 10%";#N/A,#N/A,FALSE,"Impianti 12,5%";#N/A,#N/A,FALSE,"Macchine e impianti 15,5%";#N/A,#N/A,FALSE,"Macchine e Impianti 12,5%";#N/A,#N/A,FALSE,"Attrezzature 25%";#N/A,#N/A,FALSE,"Attrezzatura 35%";#N/A,#N/A,FALSE,"Macchine ufficio elettroniche";#N/A,#N/A,FALSE,"Mobili e arredi";#N/A,#N/A,FALSE,"Mobili officina"}</definedName>
    <definedName name="wrn.riepilogo._1" hidden="1">{#N/A,#N/A,FALSE,"Automezzi";#N/A,#N/A,FALSE,"Fabbricati";#N/A,#N/A,FALSE,"SOFTWARE";#N/A,#N/A,FALSE,"COSTRUZIONI LEGGERE";#N/A,#N/A,FALSE,"Impianti 10%";#N/A,#N/A,FALSE,"Impianti 12,5%";#N/A,#N/A,FALSE,"Macchine e impianti 15,5%";#N/A,#N/A,FALSE,"Macchine e Impianti 12,5%";#N/A,#N/A,FALSE,"Attrezzature 25%";#N/A,#N/A,FALSE,"Attrezzatura 35%";#N/A,#N/A,FALSE,"Macchine ufficio elettroniche";#N/A,#N/A,FALSE,"Mobili e arredi";#N/A,#N/A,FALSE,"Mobili officina"}</definedName>
    <definedName name="wrn.ROADSHOW." hidden="1">{#N/A,#N/A,FALSE,"Rdos_96_97  Abv.";#N/A,#N/A,FALSE,"Rdos_96_97";#N/A,#N/A,FALSE,"Gestión Julio 97 Abv.";#N/A,#N/A,FALSE,"Gestión Julio 97 Abv.";#N/A,#N/A,FALSE,"Margenes Julio97  Abv sin prov.";#N/A,#N/A,FALSE,"Margenes Julio 97 Abv.";#N/A,#N/A,FALSE,"Carat Balance (2)";#N/A,#N/A,FALSE,"Bal Consol Julio  97";#N/A,#N/A,FALSE,"Carat EE.FF";#N/A,#N/A,FALSE,"Carat Balance";#N/A,#N/A,FALSE,"Carat Cascada";#N/A,#N/A,FALSE,"Carat Margenes";#N/A,#N/A,FALSE,"Balance Julio  97";#N/A,#N/A,FALSE,"Margenes Julio 97";#N/A,#N/A,FALSE,"Resultados Julio 97 (2)"}</definedName>
    <definedName name="wrn.Robuster." localSheetId="8" hidden="1">{#N/A,#N/A,TRUE,"Cover";#N/A,#N/A,TRUE,"Descr";#N/A,#N/A,TRUE,"Control (In)";#N/A,#N/A,TRUE,"Op Margin";#N/A,#N/A,TRUE,"Depn";#N/A,#N/A,TRUE,"Finance";#N/A,#N/A,TRUE,"Tax";#N/A,#N/A,TRUE,"P &amp; L";#N/A,#N/A,TRUE,"CFS";#N/A,#N/A,TRUE,"BS";#N/A,#N/A,TRUE,"DCF";#N/A,#N/A,TRUE,"Ratios"}</definedName>
    <definedName name="wrn.Robuster." hidden="1">{#N/A,#N/A,TRUE,"Cover";#N/A,#N/A,TRUE,"Descr";#N/A,#N/A,TRUE,"Control (In)";#N/A,#N/A,TRUE,"Op Margin";#N/A,#N/A,TRUE,"Depn";#N/A,#N/A,TRUE,"Finance";#N/A,#N/A,TRUE,"Tax";#N/A,#N/A,TRUE,"P &amp; L";#N/A,#N/A,TRUE,"CFS";#N/A,#N/A,TRUE,"BS";#N/A,#N/A,TRUE,"DCF";#N/A,#N/A,TRUE,"Ratios"}</definedName>
    <definedName name="wrn.Rolling._.Forecast._.Full._.Version." localSheetId="8" hidden="1">{#N/A,#N/A,FALSE,"Result";#N/A,#N/A,FALSE,"B-M-W";#N/A,#N/A,FALSE,"Qtrly analysis";#N/A,#N/A,FALSE,"B'log del";#N/A,#N/A,FALSE,"Categories";#N/A,#N/A,FALSE,"Inputs";#N/A,#N/A,FALSE,"Backlogs";#N/A,#N/A,FALSE,"IGS";#N/A,#N/A,FALSE,"P.Sale";#N/A,#N/A,FALSE,"Margin";#N/A,#N/A,FALSE,"Consistency";#N/A,#N/A,FALSE,"Segments"}</definedName>
    <definedName name="wrn.Rolling._.Forecast._.Full._.Version." hidden="1">{#N/A,#N/A,FALSE,"Result";#N/A,#N/A,FALSE,"B-M-W";#N/A,#N/A,FALSE,"Qtrly analysis";#N/A,#N/A,FALSE,"B'log del";#N/A,#N/A,FALSE,"Categories";#N/A,#N/A,FALSE,"Inputs";#N/A,#N/A,FALSE,"Backlogs";#N/A,#N/A,FALSE,"IGS";#N/A,#N/A,FALSE,"P.Sale";#N/A,#N/A,FALSE,"Margin";#N/A,#N/A,FALSE,"Consistency";#N/A,#N/A,FALSE,"Segments"}</definedName>
    <definedName name="wrn.Rolling._.Forecast._.Including._.Detail." localSheetId="8" hidden="1">{#N/A,#N/A,FALSE,"Result";#N/A,#N/A,FALSE,"B-M-W";#N/A,#N/A,FALSE,"Qtrly analysis";#N/A,#N/A,FALSE,"B'log del";#N/A,#N/A,FALSE,"Categories";#N/A,#N/A,FALSE,"Inputs";#N/A,#N/A,FALSE,"Backlogs"}</definedName>
    <definedName name="wrn.Rolling._.Forecast._.Including._.Detail." hidden="1">{#N/A,#N/A,FALSE,"Result";#N/A,#N/A,FALSE,"B-M-W";#N/A,#N/A,FALSE,"Qtrly analysis";#N/A,#N/A,FALSE,"B'log del";#N/A,#N/A,FALSE,"Categories";#N/A,#N/A,FALSE,"Inputs";#N/A,#N/A,FALSE,"Backlogs"}</definedName>
    <definedName name="wrn.Rollng._.Forecast._.Review." localSheetId="8" hidden="1">{#N/A,#N/A,TRUE,"Result";#N/A,#N/A,TRUE,"Qtrly analysis";#N/A,#N/A,TRUE,"B-M-W";#N/A,#N/A,TRUE,"B'log del";#N/A,#N/A,TRUE,"Categories"}</definedName>
    <definedName name="wrn.Rollng._.Forecast._.Review." hidden="1">{#N/A,#N/A,TRUE,"Result";#N/A,#N/A,TRUE,"Qtrly analysis";#N/A,#N/A,TRUE,"B-M-W";#N/A,#N/A,TRUE,"B'log del";#N/A,#N/A,TRUE,"Categories"}</definedName>
    <definedName name="wrn.ROLLUPS." localSheetId="8" hidden="1">{#N/A,#N/A,FALSE,"CSS";#N/A,#N/A,FALSE,"USCSS ROLLUP";#N/A,#N/A,FALSE,"INT'L ROLLUP";#N/A,#N/A,FALSE,"CSS HQ"}</definedName>
    <definedName name="wrn.ROLLUPS." hidden="1">{#N/A,#N/A,FALSE,"CSS";#N/A,#N/A,FALSE,"USCSS ROLLUP";#N/A,#N/A,FALSE,"INT'L ROLLUP";#N/A,#N/A,FALSE,"CSS HQ"}</definedName>
    <definedName name="wrn.RP_FNL." localSheetId="8" hidden="1">{"AS",#N/A,FALSE,"Dec_BS_Fnl";"LIAB",#N/A,FALSE,"Dec_BS_Fnl"}</definedName>
    <definedName name="wrn.RP_FNL." hidden="1">{"AS",#N/A,FALSE,"Dec_BS_Fnl";"LIAB",#N/A,FALSE,"Dec_BS_Fnl"}</definedName>
    <definedName name="wrn.RustyPresentation." localSheetId="8" hidden="1">{#N/A,#N/A,TRUE,"TransCore Summary";#N/A,#N/A,TRUE,"TransCore IS";#N/A,#N/A,TRUE,"TransCore Balance";#N/A,#N/A,TRUE,"TransCore Backlog";#N/A,#N/A,TRUE,"Syntonic IS";#N/A,#N/A,TRUE,"Syntonic Bal";#N/A,#N/A,TRUE,"Systems IS";#N/A,#N/A,TRUE,"Systems Bal"}</definedName>
    <definedName name="wrn.RustyPresentation." hidden="1">{#N/A,#N/A,TRUE,"TransCore Summary";#N/A,#N/A,TRUE,"TransCore IS";#N/A,#N/A,TRUE,"TransCore Balance";#N/A,#N/A,TRUE,"TransCore Backlog";#N/A,#N/A,TRUE,"Syntonic IS";#N/A,#N/A,TRUE,"Syntonic Bal";#N/A,#N/A,TRUE,"Systems IS";#N/A,#N/A,TRUE,"Systems Bal"}</definedName>
    <definedName name="wrn.RWReport1." hidden="1">{#N/A,"S 0050 ",TRUE,"Sheet1";#N/A,"S 0130 ",TRUE,"Sheet1";#N/A,"S 0170 ",TRUE,"Sheet1";#N/A,"S 0280 ",TRUE,"Sheet1";#N/A,"S 0310 ",TRUE,"Sheet1";#N/A,"S 0480 ",TRUE,"Sheet1";#N/A,"S 0500 ",TRUE,"Sheet1"}</definedName>
    <definedName name="wrn.S.T._.Int.._.Expense._.Calculation." localSheetId="8" hidden="1">{#N/A,#N/A,TRUE,"Shor-term Interest Expense"}</definedName>
    <definedName name="wrn.S.T._.Int.._.Expense._.Calculation." hidden="1">{#N/A,#N/A,TRUE,"Shor-term Interest Expense"}</definedName>
    <definedName name="wrn.saf." localSheetId="8" hidden="1">{#N/A,#N/A,FALSE,"SAFILOR"}</definedName>
    <definedName name="wrn.saf." hidden="1">{#N/A,#N/A,FALSE,"SAFILOR"}</definedName>
    <definedName name="wrn.saf._1" localSheetId="8" hidden="1">{#N/A,#N/A,FALSE,"SAFILOR"}</definedName>
    <definedName name="wrn.saf._1" hidden="1">{#N/A,#N/A,FALSE,"SAFILOR"}</definedName>
    <definedName name="wrn.SALDO._.DE._.ACREEDORES." localSheetId="8" hidden="1">{#N/A,#N/A,FALSE,"1 ACREED.";#N/A,#N/A,FALSE,"2 ACREED.";#N/A,#N/A,FALSE,"AJUSTADO"}</definedName>
    <definedName name="wrn.SALDO._.DE._.ACREEDORES." hidden="1">{#N/A,#N/A,FALSE,"1 ACREED.";#N/A,#N/A,FALSE,"2 ACREED.";#N/A,#N/A,FALSE,"AJUSTADO"}</definedName>
    <definedName name="wrn.SALDO._.EURO." localSheetId="8" hidden="1">{#N/A,#N/A,FALSE,"1 euro";#N/A,#N/A,FALSE,"2 euro";#N/A,#N/A,FALSE,"Aj. euro"}</definedName>
    <definedName name="wrn.SALDO._.EURO." hidden="1">{#N/A,#N/A,FALSE,"1 euro";#N/A,#N/A,FALSE,"2 euro";#N/A,#N/A,FALSE,"Aj. euro"}</definedName>
    <definedName name="wrn.SALDOS._.EURO." localSheetId="8" hidden="1">{#N/A,#N/A,FALSE,"1 euro";#N/A,#N/A,FALSE,"2 euro";#N/A,#N/A,FALSE,"AJ. euro"}</definedName>
    <definedName name="wrn.SALDOS._.EURO." hidden="1">{#N/A,#N/A,FALSE,"1 euro";#N/A,#N/A,FALSE,"2 euro";#N/A,#N/A,FALSE,"AJ. euro"}</definedName>
    <definedName name="wrn.sales." localSheetId="7" hidden="1">{"sales",#N/A,FALSE,"Sales";"sales existing",#N/A,FALSE,"Sales";"sales rd1",#N/A,FALSE,"Sales";"sales rd2",#N/A,FALSE,"Sales"}</definedName>
    <definedName name="wrn.sales." localSheetId="8" hidden="1">{"sales",#N/A,FALSE,"Sales";"sales existing",#N/A,FALSE,"Sales";"sales rd1",#N/A,FALSE,"Sales";"sales rd2",#N/A,FALSE,"Sales"}</definedName>
    <definedName name="wrn.sales." hidden="1">{"sales",#N/A,FALSE,"Sales";"sales existing",#N/A,FALSE,"Sales";"sales rd1",#N/A,FALSE,"Sales";"sales rd2",#N/A,FALSE,"Sales"}</definedName>
    <definedName name="wrn.sales._1" localSheetId="7" hidden="1">{"sales",#N/A,FALSE,"Sales";"sales existing",#N/A,FALSE,"Sales";"sales rd1",#N/A,FALSE,"Sales";"sales rd2",#N/A,FALSE,"Sales"}</definedName>
    <definedName name="wrn.sales._1" localSheetId="8" hidden="1">{"sales",#N/A,FALSE,"Sales";"sales existing",#N/A,FALSE,"Sales";"sales rd1",#N/A,FALSE,"Sales";"sales rd2",#N/A,FALSE,"Sales"}</definedName>
    <definedName name="wrn.sales._1" hidden="1">{"sales",#N/A,FALSE,"Sales";"sales existing",#N/A,FALSE,"Sales";"sales rd1",#N/A,FALSE,"Sales";"sales rd2",#N/A,FALSE,"Sales"}</definedName>
    <definedName name="wrn.salto." localSheetId="8" hidden="1">{#N/A,#N/A,FALSE,"CAPA";#N/A,#N/A,FALSE,"INDICES";#N/A,#N/A,FALSE,"RES-GER-CONS";#N/A,#N/A,FALSE,"MAQ-S1";#N/A,#N/A,FALSE,"MAQ-S2";#N/A,#N/A,FALSE,"MAQ-S3";#N/A,#N/A,FALSE,"PROD-VEN";#N/A,#N/A,FALSE,"PRECOS";#N/A,#N/A,FALSE,"BILAN";#N/A,#N/A,FALSE,"CASH-FLOW";#N/A,#N/A,FALSE,"SP4-5"}</definedName>
    <definedName name="wrn.salto." hidden="1">{#N/A,#N/A,FALSE,"CAPA";#N/A,#N/A,FALSE,"INDICES";#N/A,#N/A,FALSE,"RES-GER-CONS";#N/A,#N/A,FALSE,"MAQ-S1";#N/A,#N/A,FALSE,"MAQ-S2";#N/A,#N/A,FALSE,"MAQ-S3";#N/A,#N/A,FALSE,"PROD-VEN";#N/A,#N/A,FALSE,"PRECOS";#N/A,#N/A,FALSE,"BILAN";#N/A,#N/A,FALSE,"CASH-FLOW";#N/A,#N/A,FALSE,"SP4-5"}</definedName>
    <definedName name="wrn.salto._1" localSheetId="8" hidden="1">{#N/A,#N/A,FALSE,"CAPA";#N/A,#N/A,FALSE,"INDICES";#N/A,#N/A,FALSE,"RES-GER-CONS";#N/A,#N/A,FALSE,"MAQ-S1";#N/A,#N/A,FALSE,"MAQ-S2";#N/A,#N/A,FALSE,"MAQ-S3";#N/A,#N/A,FALSE,"PROD-VEN";#N/A,#N/A,FALSE,"PRECOS";#N/A,#N/A,FALSE,"BILAN";#N/A,#N/A,FALSE,"CASH-FLOW";#N/A,#N/A,FALSE,"SP4-5"}</definedName>
    <definedName name="wrn.salto._1" hidden="1">{#N/A,#N/A,FALSE,"CAPA";#N/A,#N/A,FALSE,"INDICES";#N/A,#N/A,FALSE,"RES-GER-CONS";#N/A,#N/A,FALSE,"MAQ-S1";#N/A,#N/A,FALSE,"MAQ-S2";#N/A,#N/A,FALSE,"MAQ-S3";#N/A,#N/A,FALSE,"PROD-VEN";#N/A,#N/A,FALSE,"PRECOS";#N/A,#N/A,FALSE,"BILAN";#N/A,#N/A,FALSE,"CASH-FLOW";#N/A,#N/A,FALSE,"SP4-5"}</definedName>
    <definedName name="wrn.sample." hidden="1">{"sample",#N/A,FALSE,"Client Input Sheet"}</definedName>
    <definedName name="wrn.San._.Mateo._.Bal._.Sheet." localSheetId="8" hidden="1">{"Bal Sheet",#N/A,FALSE,"151 - San Mateo Corporate"}</definedName>
    <definedName name="wrn.San._.Mateo._.Bal._.Sheet." hidden="1">{"Bal Sheet",#N/A,FALSE,"151 - San Mateo Corporate"}</definedName>
    <definedName name="wrn.San._.Mateo._.BS._.and._.CF." localSheetId="8" hidden="1">{"Bal Sheet",#N/A,FALSE,"151 - San Mateo Corporate";"Cash Flow",#N/A,FALSE,"151 - San Mateo Corporate"}</definedName>
    <definedName name="wrn.San._.Mateo._.BS._.and._.CF." hidden="1">{"Bal Sheet",#N/A,FALSE,"151 - San Mateo Corporate";"Cash Flow",#N/A,FALSE,"151 - San Mateo Corporate"}</definedName>
    <definedName name="wrn.San._.Mateo._.Cash._.Flows." localSheetId="8" hidden="1">{"Cash Flow",#N/A,FALSE,"151 - San Mateo Corporate"}</definedName>
    <definedName name="wrn.San._.Mateo._.Cash._.Flows." hidden="1">{"Cash Flow",#N/A,FALSE,"151 - San Mateo Corporate"}</definedName>
    <definedName name="wrn.Sapere." localSheetId="8" hidden="1">{"risultati",#N/A,FALSE,"Revenues";"ricavi advertising",#N/A,FALSE,"Revenues";"ricavi e-commerce",#N/A,FALSE,"Revenues";"ricavi fee for content",#N/A,FALSE,"Revenues";"costi infrastruttura",#N/A,FALSE,"Costi";"altri costi",#N/A,FALSE,"Costi";"conto economico",#N/A,FALSE,"Conto economico";"Flussi di cassa",#N/A,FALSE,"FCF"}</definedName>
    <definedName name="wrn.Sapere." hidden="1">{"risultati",#N/A,FALSE,"Revenues";"ricavi advertising",#N/A,FALSE,"Revenues";"ricavi e-commerce",#N/A,FALSE,"Revenues";"ricavi fee for content",#N/A,FALSE,"Revenues";"costi infrastruttura",#N/A,FALSE,"Costi";"altri costi",#N/A,FALSE,"Costi";"conto economico",#N/A,FALSE,"Conto economico";"Flussi di cassa",#N/A,FALSE,"FCF"}</definedName>
    <definedName name="wrn.Sapere._1" localSheetId="8" hidden="1">{"risultati",#N/A,FALSE,"Revenues";"ricavi advertising",#N/A,FALSE,"Revenues";"ricavi e-commerce",#N/A,FALSE,"Revenues";"ricavi fee for content",#N/A,FALSE,"Revenues";"costi infrastruttura",#N/A,FALSE,"Costi";"altri costi",#N/A,FALSE,"Costi";"conto economico",#N/A,FALSE,"Conto economico";"Flussi di cassa",#N/A,FALSE,"FCF"}</definedName>
    <definedName name="wrn.Sapere._1" hidden="1">{"risultati",#N/A,FALSE,"Revenues";"ricavi advertising",#N/A,FALSE,"Revenues";"ricavi e-commerce",#N/A,FALSE,"Revenues";"ricavi fee for content",#N/A,FALSE,"Revenues";"costi infrastruttura",#N/A,FALSE,"Costi";"altri costi",#N/A,FALSE,"Costi";"conto economico",#N/A,FALSE,"Conto economico";"Flussi di cassa",#N/A,FALSE,"FCF"}</definedName>
    <definedName name="wrn.SBEI." localSheetId="8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BEI.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CA._.Acq.." localSheetId="8" hidden="1">{#N/A,#N/A,FALSE,"main";#N/A,#N/A,FALSE,"Pooling";#N/A,#N/A,FALSE,"Purchase"}</definedName>
    <definedName name="wrn.SCA._.Acq.." hidden="1">{#N/A,#N/A,FALSE,"main";#N/A,#N/A,FALSE,"Pooling";#N/A,#N/A,FALSE,"Purchase"}</definedName>
    <definedName name="wrn.SCA._.Acq.._1" localSheetId="8" hidden="1">{#N/A,#N/A,FALSE,"main";#N/A,#N/A,FALSE,"Pooling";#N/A,#N/A,FALSE,"Purchase"}</definedName>
    <definedName name="wrn.SCA._.Acq.._1" hidden="1">{#N/A,#N/A,FALSE,"main";#N/A,#N/A,FALSE,"Pooling";#N/A,#N/A,FALSE,"Purchase"}</definedName>
    <definedName name="wrn.SCA._.AcqDisv." localSheetId="8" hidden="1">{#N/A,#N/A,FALSE,"main";#N/A,#N/A,FALSE,"Purchase"}</definedName>
    <definedName name="wrn.SCA._.AcqDisv." hidden="1">{#N/A,#N/A,FALSE,"main";#N/A,#N/A,FALSE,"Purchase"}</definedName>
    <definedName name="wrn.SCA._.AcqDisv._1" localSheetId="8" hidden="1">{#N/A,#N/A,FALSE,"main";#N/A,#N/A,FALSE,"Purchase"}</definedName>
    <definedName name="wrn.SCA._.AcqDisv._1" hidden="1">{#N/A,#N/A,FALSE,"main";#N/A,#N/A,FALSE,"Purchase"}</definedName>
    <definedName name="wrn.Scenario._.Summary.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chedule_1A." localSheetId="8" hidden="1">{"Schedule_IA",#N/A,FALSE,"I-A"}</definedName>
    <definedName name="wrn.Schedule_1A." hidden="1">{"Schedule_IA",#N/A,FALSE,"I-A"}</definedName>
    <definedName name="wrn.Schedule_1B." localSheetId="8" hidden="1">{"Schedule_1B",#N/A,FALSE,"I-B"}</definedName>
    <definedName name="wrn.Schedule_1B." hidden="1">{"Schedule_1B",#N/A,FALSE,"I-B"}</definedName>
    <definedName name="wrn.Schedule_1C." localSheetId="8" hidden="1">{"Schedule_1C",#N/A,FALSE,"I-C"}</definedName>
    <definedName name="wrn.Schedule_1C." hidden="1">{"Schedule_1C",#N/A,FALSE,"I-C"}</definedName>
    <definedName name="wrn.Schedule_1D." localSheetId="8" hidden="1">{"Schedule_1D",#N/A,FALSE,"I-D"}</definedName>
    <definedName name="wrn.Schedule_1D." hidden="1">{"Schedule_1D",#N/A,FALSE,"I-D"}</definedName>
    <definedName name="wrn.Schedule_I." localSheetId="8" hidden="1">{"Schedule_I",#N/A,FALSE,"I"}</definedName>
    <definedName name="wrn.Schedule_I." hidden="1">{"Schedule_I",#N/A,FALSE,"I"}</definedName>
    <definedName name="wrn.Schedules." localSheetId="8" hidden="1">{"S 1 2",#N/A,FALSE,"Accounts2002 New";"S 3 4",#N/A,FALSE,"Accounts2002 New";"S 6 7 8",#N/A,FALSE,"Accounts2002 New";"S 9 10 11 12 13",#N/A,FALSE,"Accounts2002 New";"S 14 15 16 17",#N/A,FALSE,"Accounts2002 New";"S 18 19",#N/A,FALSE,"Accounts2002 New"}</definedName>
    <definedName name="wrn.Schedules." hidden="1">{"S 1 2",#N/A,FALSE,"Accounts2002 New";"S 3 4",#N/A,FALSE,"Accounts2002 New";"S 6 7 8",#N/A,FALSE,"Accounts2002 New";"S 9 10 11 12 13",#N/A,FALSE,"Accounts2002 New";"S 14 15 16 17",#N/A,FALSE,"Accounts2002 New";"S 18 19",#N/A,FALSE,"Accounts2002 New"}</definedName>
    <definedName name="wrn.Scheduling." localSheetId="8" hidden="1">{"Exp",#N/A,FALSE,"Scheduling";"Sal",#N/A,FALSE,"Scheduling";"Sum",#N/A,FALSE,"Scheduling"}</definedName>
    <definedName name="wrn.Scheduling." hidden="1">{"Exp",#N/A,FALSE,"Scheduling";"Sal",#N/A,FALSE,"Scheduling";"Sum",#N/A,FALSE,"Scheduling"}</definedName>
    <definedName name="wrn.SecondCalc9798." localSheetId="8" hidden="1">{#N/A,#N/A,FALSE,"Cover";#N/A,#N/A,FALSE,"Contents";#N/A,#N/A,FALSE,"BSA";#N/A,#N/A,FALSE,"Detail1";#N/A,#N/A,FALSE,"Detail2";#N/A,#N/A,FALSE,"NewPCF";#N/A,#N/A,FALSE,"Lottery";#N/A,#N/A,FALSE,"DeclineFTE";#N/A,#N/A,FALSE,"Sparsity1";#N/A,#N/A,FALSE,"Sparsity2";#N/A,#N/A,FALSE,"Labs";#N/A,#N/A,FALSE,"Safe_Hou";#N/A,#N/A,FALSE,"PerformanceSupplement";#N/A,#N/A,FALSE,"Math1";#N/A,#N/A,FALSE,"Math23";#N/A,#N/A,FALSE,"Lang1";#N/A,#N/A,FALSE,"Lang23";#N/A,#N/A,FALSE,"Dropout";#N/A,#N/A,FALSE,"remred";#N/A,#N/A,FALSE,"Dropout2";#N/A,#N/A,FALSE,"MinimumPY1";#N/A,#N/A,FALSE,"MinimumPY4";#N/A,#N/A,FALSE,"MinimumPY2";#N/A,#N/A,FALSE,"MinimumPY5";#N/A,#N/A,FALSE,"MinimumCY1";#N/A,#N/A,FALSE,"MinimumCY2";#N/A,#N/A,FALSE,"MinimumCY3";#N/A,#N/A,FALSE,"MinimumCY4";#N/A,#N/A,FALSE,"MinGuarantee";#N/A,#N/A,FALSE,"MinPercent";#N/A,#N/A,FALSE,"Compression1";#N/A,#N/A,FALSE,"Compression2";#N/A,#N/A,FALSE,"Compression3";#N/A,#N/A,FALSE,"Compression4";#N/A,#N/A,FALSE,"Equalize1";#N/A,#N/A,FALSE,"AdditionalMills1";#N/A,#N/A,FALSE,"AdditionalMills2";#N/A,#N/A,FALSE,"Mills";#N/A,#N/A,FALSE,"LRE";#N/A,#N/A,FALSE,"Addon";#N/A,#N/A,FALSE,"FTESUMM";#N/A,#N/A,FALSE,"FTE2";#N/A,#N/A,FALSE,"BaseData";#N/A,#N/A,FALSE,"WFTE2";#N/A,#N/A,FALSE,"Nonvoted"}</definedName>
    <definedName name="wrn.SecondCalc9798." hidden="1">{#N/A,#N/A,FALSE,"Cover";#N/A,#N/A,FALSE,"Contents";#N/A,#N/A,FALSE,"BSA";#N/A,#N/A,FALSE,"Detail1";#N/A,#N/A,FALSE,"Detail2";#N/A,#N/A,FALSE,"NewPCF";#N/A,#N/A,FALSE,"Lottery";#N/A,#N/A,FALSE,"DeclineFTE";#N/A,#N/A,FALSE,"Sparsity1";#N/A,#N/A,FALSE,"Sparsity2";#N/A,#N/A,FALSE,"Labs";#N/A,#N/A,FALSE,"Safe_Hou";#N/A,#N/A,FALSE,"PerformanceSupplement";#N/A,#N/A,FALSE,"Math1";#N/A,#N/A,FALSE,"Math23";#N/A,#N/A,FALSE,"Lang1";#N/A,#N/A,FALSE,"Lang23";#N/A,#N/A,FALSE,"Dropout";#N/A,#N/A,FALSE,"remred";#N/A,#N/A,FALSE,"Dropout2";#N/A,#N/A,FALSE,"MinimumPY1";#N/A,#N/A,FALSE,"MinimumPY4";#N/A,#N/A,FALSE,"MinimumPY2";#N/A,#N/A,FALSE,"MinimumPY5";#N/A,#N/A,FALSE,"MinimumCY1";#N/A,#N/A,FALSE,"MinimumCY2";#N/A,#N/A,FALSE,"MinimumCY3";#N/A,#N/A,FALSE,"MinimumCY4";#N/A,#N/A,FALSE,"MinGuarantee";#N/A,#N/A,FALSE,"MinPercent";#N/A,#N/A,FALSE,"Compression1";#N/A,#N/A,FALSE,"Compression2";#N/A,#N/A,FALSE,"Compression3";#N/A,#N/A,FALSE,"Compression4";#N/A,#N/A,FALSE,"Equalize1";#N/A,#N/A,FALSE,"AdditionalMills1";#N/A,#N/A,FALSE,"AdditionalMills2";#N/A,#N/A,FALSE,"Mills";#N/A,#N/A,FALSE,"LRE";#N/A,#N/A,FALSE,"Addon";#N/A,#N/A,FALSE,"FTESUMM";#N/A,#N/A,FALSE,"FTE2";#N/A,#N/A,FALSE,"BaseData";#N/A,#N/A,FALSE,"WFTE2";#N/A,#N/A,FALSE,"Nonvoted"}</definedName>
    <definedName name="wrn.Segment._.Report." localSheetId="8" hidden="1">{"Segment Report",#N/A,FALSE,"Reports"}</definedName>
    <definedName name="wrn.Segment._.Report." hidden="1">{"Segment Report",#N/A,FALSE,"Reports"}</definedName>
    <definedName name="wrn.seguimiento." localSheetId="8" hidden="1">{"seg_mes",#N/A,FALSE,"Miralcamp";"SEG_ACU",#N/A,FALSE,"Miralcamp"}</definedName>
    <definedName name="wrn.seguimiento." hidden="1">{"seg_mes",#N/A,FALSE,"Miralcamp";"SEG_ACU",#N/A,FALSE,"Miralcamp"}</definedName>
    <definedName name="wrn.SENCILLO." hidden="1">{"PYGS",#N/A,FALSE,"PYG";"ACTIS",#N/A,FALSE,"BCE_GRAL-ACTIVO";"PASIS",#N/A,FALSE,"BCE_GRAL-PASIVO-PATRIM";"CAJAS",#N/A,FALSE,"CAJA"}</definedName>
    <definedName name="wrn.sens." localSheetId="8" hidden="1">{#N/A,#N/A,FALSE,"Sensitivities";#N/A,#N/A,FALSE,"Sensitivities2"}</definedName>
    <definedName name="wrn.sens." hidden="1">{#N/A,#N/A,FALSE,"Sensitivities";#N/A,#N/A,FALSE,"Sensitivities2"}</definedName>
    <definedName name="wrn.sens._1" localSheetId="8" hidden="1">{#N/A,#N/A,FALSE,"Sensitivities";#N/A,#N/A,FALSE,"Sensitivities2"}</definedName>
    <definedName name="wrn.sens._1" hidden="1">{#N/A,#N/A,FALSE,"Sensitivities";#N/A,#N/A,FALSE,"Sensitivities2"}</definedName>
    <definedName name="wrn.sens3." localSheetId="8" hidden="1">{#N/A,#N/A,TRUE,"DCF";#N/A,#N/A,TRUE,"DCF"}</definedName>
    <definedName name="wrn.sens3." hidden="1">{#N/A,#N/A,TRUE,"DCF";#N/A,#N/A,TRUE,"DCF"}</definedName>
    <definedName name="wrn.sens3._1" localSheetId="8" hidden="1">{#N/A,#N/A,TRUE,"DCF";#N/A,#N/A,TRUE,"DCF"}</definedName>
    <definedName name="wrn.sens3._1" hidden="1">{#N/A,#N/A,TRUE,"DCF";#N/A,#N/A,TRUE,"DCF"}</definedName>
    <definedName name="wrn.sensitivity." localSheetId="7" hidden="1">{"sensitivity",#N/A,FALSE,"Sensitivity"}</definedName>
    <definedName name="wrn.sensitivity." localSheetId="8" hidden="1">{"sensitivity",#N/A,FALSE,"Sensitivity"}</definedName>
    <definedName name="wrn.sensitivity." hidden="1">{"sensitivity",#N/A,FALSE,"Sensitivity"}</definedName>
    <definedName name="wrn.sensitivity._.analyses." localSheetId="8" hidden="1">{"general",#N/A,FALSE,"Assumptions"}</definedName>
    <definedName name="wrn.sensitivity._.analyses." hidden="1">{"general",#N/A,FALSE,"Assumptions"}</definedName>
    <definedName name="wrn.sensitivity._.analyses._1" localSheetId="8" hidden="1">{"general",#N/A,FALSE,"Assumptions"}</definedName>
    <definedName name="wrn.sensitivity._.analyses._1" hidden="1">{"general",#N/A,FALSE,"Assumptions"}</definedName>
    <definedName name="wrn.Seth." localSheetId="8" hidden="1">{#N/A,#N/A,FALSE,"Assumps";#N/A,#N/A,FALSE,"Summary";#N/A,#N/A,FALSE,"Owned";#N/A,#N/A,FALSE,"Waikiki";#N/A,#N/A,FALSE,"Reef";#N/A,#N/A,FALSE,"Kuhio";#N/A,#N/A,FALSE,"East";#N/A,#N/A,FALSE,"West";#N/A,#N/A,FALSE,"Reef_Towers";#N/A,#N/A,FALSE,"Waikiki_Tower";#N/A,#N/A,FALSE,"Edgewater";#N/A,#N/A,FALSE,"Village";#N/A,#N/A,FALSE,"Coral_Seas";#N/A,#N/A,FALSE,"Reef_Lanais";#N/A,#N/A,FALSE,"Royal";#N/A,#N/A,FALSE,"Islander_Waikiki";#N/A,#N/A,FALSE,"Surf";#N/A,#N/A,FALSE,"Ala_Wai";"Manage1",#N/A,FALSE,"Manage";#N/A,#N/A,FALSE,"Manback";"Invest1",#N/A,FALSE,"Invest";"Commercial1",#N/A,FALSE,"Commercial";"Dev1",#N/A,FALSE,"Dev"}</definedName>
    <definedName name="wrn.Seth." hidden="1">{#N/A,#N/A,FALSE,"Assumps";#N/A,#N/A,FALSE,"Summary";#N/A,#N/A,FALSE,"Owned";#N/A,#N/A,FALSE,"Waikiki";#N/A,#N/A,FALSE,"Reef";#N/A,#N/A,FALSE,"Kuhio";#N/A,#N/A,FALSE,"East";#N/A,#N/A,FALSE,"West";#N/A,#N/A,FALSE,"Reef_Towers";#N/A,#N/A,FALSE,"Waikiki_Tower";#N/A,#N/A,FALSE,"Edgewater";#N/A,#N/A,FALSE,"Village";#N/A,#N/A,FALSE,"Coral_Seas";#N/A,#N/A,FALSE,"Reef_Lanais";#N/A,#N/A,FALSE,"Royal";#N/A,#N/A,FALSE,"Islander_Waikiki";#N/A,#N/A,FALSE,"Surf";#N/A,#N/A,FALSE,"Ala_Wai";"Manage1",#N/A,FALSE,"Manage";#N/A,#N/A,FALSE,"Manback";"Invest1",#N/A,FALSE,"Invest";"Commercial1",#N/A,FALSE,"Commercial";"Dev1",#N/A,FALSE,"Dev"}</definedName>
    <definedName name="wrn.SethII." localSheetId="8" hidden="1">{#N/A,#N/A,FALSE,"Assumps";#N/A,#N/A,FALSE,"Owned";#N/A,#N/A,FALSE,"Manage";#N/A,#N/A,FALSE,"Manback";#N/A,#N/A,FALSE,"Invest";#N/A,#N/A,FALSE,"Commercial"}</definedName>
    <definedName name="wrn.SethII." hidden="1">{#N/A,#N/A,FALSE,"Assumps";#N/A,#N/A,FALSE,"Owned";#N/A,#N/A,FALSE,"Manage";#N/A,#N/A,FALSE,"Manback";#N/A,#N/A,FALSE,"Invest";#N/A,#N/A,FALSE,"Commercial"}</definedName>
    <definedName name="wrn.sfull." localSheetId="8" hidden="1">{#N/A,#N/A,FALSE,"P&amp;L"}</definedName>
    <definedName name="wrn.sfull." hidden="1">{#N/A,#N/A,FALSE,"P&amp;L"}</definedName>
    <definedName name="wrn.sfull._._model" localSheetId="8" hidden="1">{#N/A,#N/A,TRUE,"Cover sheet";#N/A,#N/A,TRUE,"DCF analysis";#N/A,#N/A,TRUE,"WACC calculation"}</definedName>
    <definedName name="wrn.sfull._._model" hidden="1">{#N/A,#N/A,TRUE,"Cover sheet";#N/A,#N/A,TRUE,"DCF analysis";#N/A,#N/A,TRUE,"WACC calculation"}</definedName>
    <definedName name="wrn.sfull._._model_1" localSheetId="8" hidden="1">{#N/A,#N/A,TRUE,"Cover sheet";#N/A,#N/A,TRUE,"DCF analysis";#N/A,#N/A,TRUE,"WACC calculation"}</definedName>
    <definedName name="wrn.sfull._._model_1" hidden="1">{#N/A,#N/A,TRUE,"Cover sheet";#N/A,#N/A,TRUE,"DCF analysis";#N/A,#N/A,TRUE,"WACC calculation"}</definedName>
    <definedName name="wrn.sfull._1" localSheetId="8" hidden="1">{#N/A,#N/A,FALSE,"P&amp;L"}</definedName>
    <definedName name="wrn.sfull._1" hidden="1">{#N/A,#N/A,FALSE,"P&amp;L"}</definedName>
    <definedName name="wrn.SHORT." localSheetId="8" hidden="1">{"CREDIT STATISTICS",#N/A,FALSE,"STATS";"CF_AND_IS",#N/A,FALSE,"PLAN";"BALSHEET",#N/A,FALSE,"BALANCE SHEET"}</definedName>
    <definedName name="wrn.SHORT." hidden="1">{"CREDIT STATISTICS",#N/A,FALSE,"STATS";"CF_AND_IS",#N/A,FALSE,"PLAN";"BALSHEET",#N/A,FALSE,"BALANCE SHEET"}</definedName>
    <definedName name="wrn.Short._.Report." localSheetId="8" hidden="1">{#N/A,#N/A,TRUE,"Cover";#N/A,#N/A,TRUE,"Header (eu)";#N/A,#N/A,TRUE,"Region Charts";#N/A,#N/A,TRUE,"T&amp;O By Region";#N/A,#N/A,TRUE,"AD Report"}</definedName>
    <definedName name="wrn.Short._.Report." hidden="1">{#N/A,#N/A,TRUE,"Cover";#N/A,#N/A,TRUE,"Header (eu)";#N/A,#N/A,TRUE,"Region Charts";#N/A,#N/A,TRUE,"T&amp;O By Region";#N/A,#N/A,TRUE,"AD Report"}</definedName>
    <definedName name="wrn.Short._.Report._1" localSheetId="8" hidden="1">{#N/A,#N/A,TRUE,"Cover";#N/A,#N/A,TRUE,"Header (eu)";#N/A,#N/A,TRUE,"Region Charts";#N/A,#N/A,TRUE,"T&amp;O By Region";#N/A,#N/A,TRUE,"AD Report"}</definedName>
    <definedName name="wrn.Short._.Report._1" hidden="1">{#N/A,#N/A,TRUE,"Cover";#N/A,#N/A,TRUE,"Header (eu)";#N/A,#N/A,TRUE,"Region Charts";#N/A,#N/A,TRUE,"T&amp;O By Region";#N/A,#N/A,TRUE,"AD Report"}</definedName>
    <definedName name="wrn.SHORT._1" localSheetId="8" hidden="1">{"CREDIT STATISTICS",#N/A,FALSE,"STATS";"CF_AND_IS",#N/A,FALSE,"PLAN";"BALSHEET",#N/A,FALSE,"BALANCE SHEET"}</definedName>
    <definedName name="wrn.SHORT._1" hidden="1">{"CREDIT STATISTICS",#N/A,FALSE,"STATS";"CF_AND_IS",#N/A,FALSE,"PLAN";"BALSHEET",#N/A,FALSE,"BALANCE SHEET"}</definedName>
    <definedName name="wrn.Shorten._.Version." hidden="1">{#N/A,#N/A,FALSE,"changes";#N/A,#N/A,FALSE,"Assumptions";"view1",#N/A,FALSE,"BE Analysis";"view2",#N/A,FALSE,"BE Analysis";#N/A,#N/A,FALSE,"DCF Calculation - Scenario 1";"Dollar",#N/A,FALSE,"Consolidated - Scenario 1";"CS",#N/A,FALSE,"Consolidated - Scenario 1"}</definedName>
    <definedName name="wrn.SIM95." hidden="1">{#N/A,#N/A,FALSE,"SIM95"}</definedName>
    <definedName name="wrn.sim953" hidden="1">{#N/A,#N/A,FALSE,"SIM95"}</definedName>
    <definedName name="wrn.sim954" hidden="1">{#N/A,#N/A,FALSE,"SIM95"}</definedName>
    <definedName name="wrn.SINGPROD." localSheetId="8" hidden="1">{"singcurrent1",#N/A,FALSE,"SING MARG";"SINGCURRENT2",#N/A,FALSE,"SING MARG";"SINGCONSTANT",#N/A,FALSE,"SING MARG"}</definedName>
    <definedName name="wrn.SINGPROD." hidden="1">{"singcurrent1",#N/A,FALSE,"SING MARG";"SINGCURRENT2",#N/A,FALSE,"SING MARG";"SINGCONSTANT",#N/A,FALSE,"SING MARG"}</definedName>
    <definedName name="wrn.Site._.Report." localSheetId="8" hidden="1">{"Site",#N/A,FALSE,"Net Inventory Turns";"Site",#N/A,FALSE,"LInearity";"Site",#N/A,FALSE,"On Time Delivery";"Site",#N/A,FALSE,"Fill Rate";"Site",#N/A,FALSE,"Days Past Due";"Site",#N/A,FALSE,"COPQ";"Site",#N/A,FALSE,"Customer Returns";"Site",#N/A,FALSE,"LWCAIR";"Site",#N/A,FALSE,"TCIR";"Site",#N/A,FALSE,"TDU";"Site",#N/A,FALSE,"Supplier Defects";"Site",#N/A,FALSE,"Supplier Delivery";"Site",#N/A,FALSE,"OEC";"Site",#N/A,FALSE,"MM"}</definedName>
    <definedName name="wrn.Site._.Report." hidden="1">{"Site",#N/A,FALSE,"Net Inventory Turns";"Site",#N/A,FALSE,"LInearity";"Site",#N/A,FALSE,"On Time Delivery";"Site",#N/A,FALSE,"Fill Rate";"Site",#N/A,FALSE,"Days Past Due";"Site",#N/A,FALSE,"COPQ";"Site",#N/A,FALSE,"Customer Returns";"Site",#N/A,FALSE,"LWCAIR";"Site",#N/A,FALSE,"TCIR";"Site",#N/A,FALSE,"TDU";"Site",#N/A,FALSE,"Supplier Defects";"Site",#N/A,FALSE,"Supplier Delivery";"Site",#N/A,FALSE,"OEC";"Site",#N/A,FALSE,"MM"}</definedName>
    <definedName name="wrn.SITUKRAFT." localSheetId="8" hidden="1">{#N/A,#N/A,FALSE,"REC 95 - 96 LC";#N/A,#N/A,FALSE,"REC 95 - 96 BEF";#N/A,#N/A,FALSE,"95 VS 96"}</definedName>
    <definedName name="wrn.SITUKRAFT." hidden="1">{#N/A,#N/A,FALSE,"REC 95 - 96 LC";#N/A,#N/A,FALSE,"REC 95 - 96 BEF";#N/A,#N/A,FALSE,"95 VS 96"}</definedName>
    <definedName name="wrn.SITUKRAFT._1" localSheetId="8" hidden="1">{#N/A,#N/A,FALSE,"REC 95 - 96 LC";#N/A,#N/A,FALSE,"REC 95 - 96 BEF";#N/A,#N/A,FALSE,"95 VS 96"}</definedName>
    <definedName name="wrn.SITUKRAFT._1" hidden="1">{#N/A,#N/A,FALSE,"REC 95 - 96 LC";#N/A,#N/A,FALSE,"REC 95 - 96 BEF";#N/A,#N/A,FALSE,"95 VS 96"}</definedName>
    <definedName name="wrn.SKSCS1." localSheetId="8" hidden="1">{#N/A,#N/A,FALSE,"Antony Financials";#N/A,#N/A,FALSE,"Cowboy Financials";#N/A,#N/A,FALSE,"Combined";#N/A,#N/A,FALSE,"Valuematrix";#N/A,#N/A,FALSE,"DCFAntony";#N/A,#N/A,FALSE,"DCFCowboy";#N/A,#N/A,FALSE,"DCFCombined"}</definedName>
    <definedName name="wrn.SKSCS1." hidden="1">{#N/A,#N/A,FALSE,"Antony Financials";#N/A,#N/A,FALSE,"Cowboy Financials";#N/A,#N/A,FALSE,"Combined";#N/A,#N/A,FALSE,"Valuematrix";#N/A,#N/A,FALSE,"DCFAntony";#N/A,#N/A,FALSE,"DCFCowboy";#N/A,#N/A,FALSE,"DCFCombined"}</definedName>
    <definedName name="wrn.SKSCS1._1" localSheetId="8" hidden="1">{#N/A,#N/A,FALSE,"Antony Financials";#N/A,#N/A,FALSE,"Cowboy Financials";#N/A,#N/A,FALSE,"Combined";#N/A,#N/A,FALSE,"Valuematrix";#N/A,#N/A,FALSE,"DCFAntony";#N/A,#N/A,FALSE,"DCFCowboy";#N/A,#N/A,FALSE,"DCFCombined"}</definedName>
    <definedName name="wrn.SKSCS1._1" hidden="1">{#N/A,#N/A,FALSE,"Antony Financials";#N/A,#N/A,FALSE,"Cowboy Financials";#N/A,#N/A,FALSE,"Combined";#N/A,#N/A,FALSE,"Valuematrix";#N/A,#N/A,FALSE,"DCFAntony";#N/A,#N/A,FALSE,"DCFCowboy";#N/A,#N/A,FALSE,"DCFCombined"}</definedName>
    <definedName name="wrn.sociedades." hidden="1">{"sociedades",#N/A,FALSE,"PL"}</definedName>
    <definedName name="wrn.Soft._.Drinks." localSheetId="8" hidden="1">{#N/A,#N/A,FALSE,"Soft Drinks";#N/A,#N/A,FALSE,"Club Soft";#N/A,#N/A,FALSE,"Club Mixers";#N/A,#N/A,FALSE,"TK";#N/A,#N/A,FALSE,"Cidona";#N/A,#N/A,FALSE,"Britvic";#N/A,#N/A,FALSE,"Mi Wadi";#N/A,#N/A,FALSE,"Pepsi";#N/A,#N/A,FALSE,"7UP";#N/A,#N/A,FALSE,"Schweppes";#N/A,#N/A,FALSE,"Wholesale";#N/A,#N/A,FALSE,"Other Soft Drinks"}</definedName>
    <definedName name="wrn.Soft._.Drinks." hidden="1">{#N/A,#N/A,FALSE,"Soft Drinks";#N/A,#N/A,FALSE,"Club Soft";#N/A,#N/A,FALSE,"Club Mixers";#N/A,#N/A,FALSE,"TK";#N/A,#N/A,FALSE,"Cidona";#N/A,#N/A,FALSE,"Britvic";#N/A,#N/A,FALSE,"Mi Wadi";#N/A,#N/A,FALSE,"Pepsi";#N/A,#N/A,FALSE,"7UP";#N/A,#N/A,FALSE,"Schweppes";#N/A,#N/A,FALSE,"Wholesale";#N/A,#N/A,FALSE,"Other Soft Drinks"}</definedName>
    <definedName name="wrn.Soluzioni." localSheetId="8" hidden="1">{#N/A,#N/A,FALSE,"P&amp;L proj";#N/A,#N/A,FALSE,"Balance sheet proj";#N/A,#N/A,FALSE,"cf proj";#N/A,#N/A,FALSE,"IRR";#N/A,#N/A,FALSE,"Wacc";#N/A,#N/A,FALSE,"DCF";#N/A,#N/A,FALSE,"APV";#N/A,#N/A,FALSE,"comparables";#N/A,#N/A,FALSE,"Valuation"}</definedName>
    <definedName name="wrn.Soluzioni." hidden="1">{#N/A,#N/A,FALSE,"P&amp;L proj";#N/A,#N/A,FALSE,"Balance sheet proj";#N/A,#N/A,FALSE,"cf proj";#N/A,#N/A,FALSE,"IRR";#N/A,#N/A,FALSE,"Wacc";#N/A,#N/A,FALSE,"DCF";#N/A,#N/A,FALSE,"APV";#N/A,#N/A,FALSE,"comparables";#N/A,#N/A,FALSE,"Valuation"}</definedName>
    <definedName name="wrn.Soluzioni._1" localSheetId="8" hidden="1">{#N/A,#N/A,FALSE,"P&amp;L proj";#N/A,#N/A,FALSE,"Balance sheet proj";#N/A,#N/A,FALSE,"cf proj";#N/A,#N/A,FALSE,"IRR";#N/A,#N/A,FALSE,"Wacc";#N/A,#N/A,FALSE,"DCF";#N/A,#N/A,FALSE,"APV";#N/A,#N/A,FALSE,"comparables";#N/A,#N/A,FALSE,"Valuation"}</definedName>
    <definedName name="wrn.Soluzioni._1" hidden="1">{#N/A,#N/A,FALSE,"P&amp;L proj";#N/A,#N/A,FALSE,"Balance sheet proj";#N/A,#N/A,FALSE,"cf proj";#N/A,#N/A,FALSE,"IRR";#N/A,#N/A,FALSE,"Wacc";#N/A,#N/A,FALSE,"DCF";#N/A,#N/A,FALSE,"APV";#N/A,#N/A,FALSE,"comparables";#N/A,#N/A,FALSE,"Valuation"}</definedName>
    <definedName name="wrn.sombur." localSheetId="8" hidden="1">{#N/A,#N/A,FALSE,"F94is";#N/A,#N/A,FALSE,"T94is";#N/A,#N/A,FALSE,"TOT94is";#N/A,#N/A,FALSE,"f94oh";#N/A,#N/A,FALSE,"Toh94";#N/A,#N/A,FALSE,"TOT94oh";#N/A,#N/A,FALSE,"SGA94";#N/A,#N/A,FALSE,"bs94";#N/A,#N/A,FALSE,"debt";#N/A,#N/A,FALSE,"f94proj";#N/A,#N/A,FALSE,"t94proj";#N/A,#N/A,FALSE,"tot94proj";#N/A,#N/A,FALSE,"f94ohproj";#N/A,#N/A,FALSE,"t94ohproj";#N/A,#N/A,FALSE,"tot94ohproj";#N/A,#N/A,FALSE,"projsga";#N/A,#N/A,FALSE,"projcf";#N/A,#N/A,FALSE,"Projline";#N/A,#N/A,FALSE,"bankline";#N/A,#N/A,FALSE,"Fast95is";#N/A,#N/A,FALSE,"tool95is";#N/A,#N/A,FALSE,"tot95is";#N/A,#N/A,FALSE,"tool950h";#N/A,#N/A,FALSE,"fas95oh";#N/A,#N/A,FALSE,"tot95oh";#N/A,#N/A,FALSE,"95sga"}</definedName>
    <definedName name="wrn.sombur." hidden="1">{#N/A,#N/A,FALSE,"F94is";#N/A,#N/A,FALSE,"T94is";#N/A,#N/A,FALSE,"TOT94is";#N/A,#N/A,FALSE,"f94oh";#N/A,#N/A,FALSE,"Toh94";#N/A,#N/A,FALSE,"TOT94oh";#N/A,#N/A,FALSE,"SGA94";#N/A,#N/A,FALSE,"bs94";#N/A,#N/A,FALSE,"debt";#N/A,#N/A,FALSE,"f94proj";#N/A,#N/A,FALSE,"t94proj";#N/A,#N/A,FALSE,"tot94proj";#N/A,#N/A,FALSE,"f94ohproj";#N/A,#N/A,FALSE,"t94ohproj";#N/A,#N/A,FALSE,"tot94ohproj";#N/A,#N/A,FALSE,"projsga";#N/A,#N/A,FALSE,"projcf";#N/A,#N/A,FALSE,"Projline";#N/A,#N/A,FALSE,"bankline";#N/A,#N/A,FALSE,"Fast95is";#N/A,#N/A,FALSE,"tool95is";#N/A,#N/A,FALSE,"tot95is";#N/A,#N/A,FALSE,"tool950h";#N/A,#N/A,FALSE,"fas95oh";#N/A,#N/A,FALSE,"tot95oh";#N/A,#N/A,FALSE,"95sga"}</definedName>
    <definedName name="wrn.sombur._1" localSheetId="8" hidden="1">{#N/A,#N/A,FALSE,"F94is";#N/A,#N/A,FALSE,"T94is";#N/A,#N/A,FALSE,"TOT94is";#N/A,#N/A,FALSE,"f94oh";#N/A,#N/A,FALSE,"Toh94";#N/A,#N/A,FALSE,"TOT94oh";#N/A,#N/A,FALSE,"SGA94";#N/A,#N/A,FALSE,"bs94";#N/A,#N/A,FALSE,"debt";#N/A,#N/A,FALSE,"f94proj";#N/A,#N/A,FALSE,"t94proj";#N/A,#N/A,FALSE,"tot94proj";#N/A,#N/A,FALSE,"f94ohproj";#N/A,#N/A,FALSE,"t94ohproj";#N/A,#N/A,FALSE,"tot94ohproj";#N/A,#N/A,FALSE,"projsga";#N/A,#N/A,FALSE,"projcf";#N/A,#N/A,FALSE,"Projline";#N/A,#N/A,FALSE,"bankline";#N/A,#N/A,FALSE,"Fast95is";#N/A,#N/A,FALSE,"tool95is";#N/A,#N/A,FALSE,"tot95is";#N/A,#N/A,FALSE,"tool950h";#N/A,#N/A,FALSE,"fas95oh";#N/A,#N/A,FALSE,"tot95oh";#N/A,#N/A,FALSE,"95sga"}</definedName>
    <definedName name="wrn.sombur._1" hidden="1">{#N/A,#N/A,FALSE,"F94is";#N/A,#N/A,FALSE,"T94is";#N/A,#N/A,FALSE,"TOT94is";#N/A,#N/A,FALSE,"f94oh";#N/A,#N/A,FALSE,"Toh94";#N/A,#N/A,FALSE,"TOT94oh";#N/A,#N/A,FALSE,"SGA94";#N/A,#N/A,FALSE,"bs94";#N/A,#N/A,FALSE,"debt";#N/A,#N/A,FALSE,"f94proj";#N/A,#N/A,FALSE,"t94proj";#N/A,#N/A,FALSE,"tot94proj";#N/A,#N/A,FALSE,"f94ohproj";#N/A,#N/A,FALSE,"t94ohproj";#N/A,#N/A,FALSE,"tot94ohproj";#N/A,#N/A,FALSE,"projsga";#N/A,#N/A,FALSE,"projcf";#N/A,#N/A,FALSE,"Projline";#N/A,#N/A,FALSE,"bankline";#N/A,#N/A,FALSE,"Fast95is";#N/A,#N/A,FALSE,"tool95is";#N/A,#N/A,FALSE,"tot95is";#N/A,#N/A,FALSE,"tool950h";#N/A,#N/A,FALSE,"fas95oh";#N/A,#N/A,FALSE,"tot95oh";#N/A,#N/A,FALSE,"95sga"}</definedName>
    <definedName name="wrn.Sonstige." localSheetId="8" hidden="1">{#N/A,#N/A,FALSE,"Produkte Erw.";#N/A,#N/A,FALSE,"Produkte Plan";#N/A,#N/A,FALSE,"Leistungen Erw.";#N/A,#N/A,FALSE,"Leistungen Plan";#N/A,#N/A,FALSE,"KA Allg.Kosten (2)";#N/A,#N/A,FALSE,"KA All.Kosten"}</definedName>
    <definedName name="wrn.Sonstige." hidden="1">{#N/A,#N/A,FALSE,"Produkte Erw.";#N/A,#N/A,FALSE,"Produkte Plan";#N/A,#N/A,FALSE,"Leistungen Erw.";#N/A,#N/A,FALSE,"Leistungen Plan";#N/A,#N/A,FALSE,"KA Allg.Kosten (2)";#N/A,#N/A,FALSE,"KA All.Kosten"}</definedName>
    <definedName name="wrn.SPEC._.GAS._.CYLS." localSheetId="8" hidden="1">{"SPEC GAS CYLS",#N/A,FALSE,"SPEC GAS"}</definedName>
    <definedName name="wrn.SPEC._.GAS._.CYLS." hidden="1">{"SPEC GAS CYLS",#N/A,FALSE,"SPEC GAS"}</definedName>
    <definedName name="wrn.spinto." localSheetId="8" hidden="1">{#N/A,#N/A,FALSE,"Trading-Mult ";#N/A,#N/A,FALSE,"M&amp;A info"}</definedName>
    <definedName name="wrn.spinto." hidden="1">{#N/A,#N/A,FALSE,"Trading-Mult ";#N/A,#N/A,FALSE,"M&amp;A info"}</definedName>
    <definedName name="wrn.spinto._1" localSheetId="8" hidden="1">{#N/A,#N/A,FALSE,"Trading-Mult ";#N/A,#N/A,FALSE,"M&amp;A info"}</definedName>
    <definedName name="wrn.spinto._1" hidden="1">{#N/A,#N/A,FALSE,"Trading-Mult ";#N/A,#N/A,FALSE,"M&amp;A info"}</definedName>
    <definedName name="wrn.Sport." localSheetId="8" hidden="1">{"Exp",#N/A,FALSE,"Sports";"Sal",#N/A,FALSE,"Sports";"Sum",#N/A,FALSE,"Sports"}</definedName>
    <definedName name="wrn.Sport." hidden="1">{"Exp",#N/A,FALSE,"Sports";"Sal",#N/A,FALSE,"Sports";"Sum",#N/A,FALSE,"Sports"}</definedName>
    <definedName name="wrn.sprint." localSheetId="8" hidden="1">{#N/A,#N/A,FALSE,"Trading-Mult ";#N/A,#N/A,FALSE,"M&amp;A info"}</definedName>
    <definedName name="wrn.sprint." hidden="1">{#N/A,#N/A,FALSE,"Trading-Mult ";#N/A,#N/A,FALSE,"M&amp;A info"}</definedName>
    <definedName name="wrn.sprint._1" localSheetId="8" hidden="1">{#N/A,#N/A,FALSE,"Trading-Mult ";#N/A,#N/A,FALSE,"M&amp;A info"}</definedName>
    <definedName name="wrn.sprint._1" hidden="1">{#N/A,#N/A,FALSE,"Trading-Mult ";#N/A,#N/A,FALSE,"M&amp;A info"}</definedName>
    <definedName name="wrn.Staffing." localSheetId="8" hidden="1">{#N/A,#N/A,FALSE,"Assessment";#N/A,#N/A,FALSE,"Staffing";#N/A,#N/A,FALSE,"Hires";#N/A,#N/A,FALSE,"Assumptions"}</definedName>
    <definedName name="wrn.Staffing." hidden="1">{#N/A,#N/A,FALSE,"Assessment";#N/A,#N/A,FALSE,"Staffing";#N/A,#N/A,FALSE,"Hires";#N/A,#N/A,FALSE,"Assumptions"}</definedName>
    <definedName name="wrn.Staffing._1" localSheetId="8" hidden="1">{#N/A,#N/A,FALSE,"Assessment";#N/A,#N/A,FALSE,"Staffing";#N/A,#N/A,FALSE,"Hires";#N/A,#N/A,FALSE,"Assumptions"}</definedName>
    <definedName name="wrn.Staffing._1" hidden="1">{#N/A,#N/A,FALSE,"Assessment";#N/A,#N/A,FALSE,"Staffing";#N/A,#N/A,FALSE,"Hires";#N/A,#N/A,FALSE,"Assumptions"}</definedName>
    <definedName name="wrn.Staffing1" localSheetId="8" hidden="1">{#N/A,#N/A,FALSE,"Assessment";#N/A,#N/A,FALSE,"Staffing";#N/A,#N/A,FALSE,"Hires";#N/A,#N/A,FALSE,"Assumptions"}</definedName>
    <definedName name="wrn.Staffing1" hidden="1">{#N/A,#N/A,FALSE,"Assessment";#N/A,#N/A,FALSE,"Staffing";#N/A,#N/A,FALSE,"Hires";#N/A,#N/A,FALSE,"Assumptions"}</definedName>
    <definedName name="wrn.Staffing1_1" localSheetId="8" hidden="1">{#N/A,#N/A,FALSE,"Assessment";#N/A,#N/A,FALSE,"Staffing";#N/A,#N/A,FALSE,"Hires";#N/A,#N/A,FALSE,"Assumptions"}</definedName>
    <definedName name="wrn.Staffing1_1" hidden="1">{#N/A,#N/A,FALSE,"Assessment";#N/A,#N/A,FALSE,"Staffing";#N/A,#N/A,FALSE,"Hires";#N/A,#N/A,FALSE,"Assumptions"}</definedName>
    <definedName name="wrn.STAMPA." localSheetId="8" hidden="1">{"VAR.VOLUMI",#N/A,FALSE,"VAR.VOLUMI";"STIMA",#N/A,FALSE,"STIMA";"QUARTER",#N/A,FALSE,"QUARTER"}</definedName>
    <definedName name="wrn.STAMPA." hidden="1">{"VAR.VOLUMI",#N/A,FALSE,"VAR.VOLUMI";"STIMA",#N/A,FALSE,"STIMA";"QUARTER",#N/A,FALSE,"QUARTER"}</definedName>
    <definedName name="wrn.stampa._.estesa." localSheetId="8" hidden="1">{"exttotale",#N/A,FALSE,"MERENDE";"extmerende",#N/A,FALSE,"MERENDE";"extsnacks",#N/A,FALSE,"MERENDE";"exttorte",#N/A,FALSE,"MERENDE";"exttrancino",#N/A,FALSE,"MERENDE";"extflauti",#N/A,FALSE,"MERENDE";"extcrosta",#N/A,FALSE,"MERENDE";"extcamille",#N/A,FALSE,"MERENDE";"extsfoglie",#N/A,FALSE,"MERENDE";"extplum",#N/A,FALSE,"MERENDE";"extringo",#N/A,FALSE,"MERENDE";"extpav",#N/A,FALSE,"MERENDE";"extfuori",#N/A,FALSE,"MERENDE";"extbaio",#N/A,FALSE,"MERENDE"}</definedName>
    <definedName name="wrn.stampa._.estesa." hidden="1">{"exttotale",#N/A,FALSE,"MERENDE";"extmerende",#N/A,FALSE,"MERENDE";"extsnacks",#N/A,FALSE,"MERENDE";"exttorte",#N/A,FALSE,"MERENDE";"exttrancino",#N/A,FALSE,"MERENDE";"extflauti",#N/A,FALSE,"MERENDE";"extcrosta",#N/A,FALSE,"MERENDE";"extcamille",#N/A,FALSE,"MERENDE";"extsfoglie",#N/A,FALSE,"MERENDE";"extplum",#N/A,FALSE,"MERENDE";"extringo",#N/A,FALSE,"MERENDE";"extpav",#N/A,FALSE,"MERENDE";"extfuori",#N/A,FALSE,"MERENDE";"extbaio",#N/A,FALSE,"MERENDE"}</definedName>
    <definedName name="wrn.stampa._.estesa._1" localSheetId="8" hidden="1">{"exttotale",#N/A,FALSE,"MERENDE";"extmerende",#N/A,FALSE,"MERENDE";"extsnacks",#N/A,FALSE,"MERENDE";"exttorte",#N/A,FALSE,"MERENDE";"exttrancino",#N/A,FALSE,"MERENDE";"extflauti",#N/A,FALSE,"MERENDE";"extcrosta",#N/A,FALSE,"MERENDE";"extcamille",#N/A,FALSE,"MERENDE";"extsfoglie",#N/A,FALSE,"MERENDE";"extplum",#N/A,FALSE,"MERENDE";"extringo",#N/A,FALSE,"MERENDE";"extpav",#N/A,FALSE,"MERENDE";"extfuori",#N/A,FALSE,"MERENDE";"extbaio",#N/A,FALSE,"MERENDE"}</definedName>
    <definedName name="wrn.stampa._.estesa._1" hidden="1">{"exttotale",#N/A,FALSE,"MERENDE";"extmerende",#N/A,FALSE,"MERENDE";"extsnacks",#N/A,FALSE,"MERENDE";"exttorte",#N/A,FALSE,"MERENDE";"exttrancino",#N/A,FALSE,"MERENDE";"extflauti",#N/A,FALSE,"MERENDE";"extcrosta",#N/A,FALSE,"MERENDE";"extcamille",#N/A,FALSE,"MERENDE";"extsfoglie",#N/A,FALSE,"MERENDE";"extplum",#N/A,FALSE,"MERENDE";"extringo",#N/A,FALSE,"MERENDE";"extpav",#N/A,FALSE,"MERENDE";"extfuori",#N/A,FALSE,"MERENDE";"extbaio",#N/A,FALSE,"MERENDE"}</definedName>
    <definedName name="wrn.STAMPA._.VS._.BUD." localSheetId="8" hidden="1">{"VOLVSBUD",#N/A,FALSE,"VOLUMI";"NETVSBUD",#N/A,FALSE,"NET";"PTAXVSBUD",#N/A,FALSE,"PTAX"}</definedName>
    <definedName name="wrn.STAMPA._.VS._.BUD." hidden="1">{"VOLVSBUD",#N/A,FALSE,"VOLUMI";"NETVSBUD",#N/A,FALSE,"NET";"PTAXVSBUD",#N/A,FALSE,"PTAX"}</definedName>
    <definedName name="wrn.STAMPA._.VS._.BUD._1" localSheetId="8" hidden="1">{"VOLVSBUD",#N/A,FALSE,"VOLUMI";"NETVSBUD",#N/A,FALSE,"NET";"PTAXVSBUD",#N/A,FALSE,"PTAX"}</definedName>
    <definedName name="wrn.STAMPA._.VS._.BUD._1" hidden="1">{"VOLVSBUD",#N/A,FALSE,"VOLUMI";"NETVSBUD",#N/A,FALSE,"NET";"PTAXVSBUD",#N/A,FALSE,"PTAX"}</definedName>
    <definedName name="wrn.STAMPA._.VS._.LY." localSheetId="8" hidden="1">{"VOLVSLY",#N/A,FALSE,"VOLUMI";"NETVSLY",#N/A,FALSE,"NET";"PTAXVSLY",#N/A,FALSE,"PTAX"}</definedName>
    <definedName name="wrn.STAMPA._.VS._.LY." hidden="1">{"VOLVSLY",#N/A,FALSE,"VOLUMI";"NETVSLY",#N/A,FALSE,"NET";"PTAXVSLY",#N/A,FALSE,"PTAX"}</definedName>
    <definedName name="wrn.STAMPA._.VS._.LY._1" localSheetId="8" hidden="1">{"VOLVSLY",#N/A,FALSE,"VOLUMI";"NETVSLY",#N/A,FALSE,"NET";"PTAXVSLY",#N/A,FALSE,"PTAX"}</definedName>
    <definedName name="wrn.STAMPA._.VS._.LY._1" hidden="1">{"VOLVSLY",#N/A,FALSE,"VOLUMI";"NETVSLY",#N/A,FALSE,"NET";"PTAXVSLY",#N/A,FALSE,"PTAX"}</definedName>
    <definedName name="wrn.STAMPA._1" localSheetId="8" hidden="1">{"VAR.VOLUMI",#N/A,FALSE,"VAR.VOLUMI";"STIMA",#N/A,FALSE,"STIMA";"QUARTER",#N/A,FALSE,"QUARTER"}</definedName>
    <definedName name="wrn.STAMPA._1" hidden="1">{"VAR.VOLUMI",#N/A,FALSE,"VAR.VOLUMI";"STIMA",#N/A,FALSE,"STIMA";"QUARTER",#N/A,FALSE,"QUARTER"}</definedName>
    <definedName name="wrn.STAMPAMST." localSheetId="8" hidden="1">{"PLTOTALE",#N/A,FALSE,"TOTALE";"PLMERENDE",#N/A,FALSE,"TOTALE";"PLSNACKS",#N/A,FALSE,"TOTALE";"PLTORTE",#N/A,FALSE,"TOTALE";"PLTRANCINO",#N/A,FALSE,"TOTALE";"PLFLAUTI",#N/A,FALSE,"TOTALE";"PLCOLATE",#N/A,FALSE,"TOTALE";"PLFROLLE",#N/A,FALSE,"TOTALE";"PLSFOGLIE",#N/A,FALSE,"TOTALE";"PLPLUM",#N/A,FALSE,"TOTALE";"PLRINGO",#N/A,FALSE,"TOTALE";"PLPAVES",#N/A,FALSE,"TOTALE";"PLFUORI",#N/A,FALSE,"TOTALE";"PLBAIOCCHI",#N/A,FALSE,"TOTALE"}</definedName>
    <definedName name="wrn.STAMPAMST." hidden="1">{"PLTOTALE",#N/A,FALSE,"TOTALE";"PLMERENDE",#N/A,FALSE,"TOTALE";"PLSNACKS",#N/A,FALSE,"TOTALE";"PLTORTE",#N/A,FALSE,"TOTALE";"PLTRANCINO",#N/A,FALSE,"TOTALE";"PLFLAUTI",#N/A,FALSE,"TOTALE";"PLCOLATE",#N/A,FALSE,"TOTALE";"PLFROLLE",#N/A,FALSE,"TOTALE";"PLSFOGLIE",#N/A,FALSE,"TOTALE";"PLPLUM",#N/A,FALSE,"TOTALE";"PLRINGO",#N/A,FALSE,"TOTALE";"PLPAVES",#N/A,FALSE,"TOTALE";"PLFUORI",#N/A,FALSE,"TOTALE";"PLBAIOCCHI",#N/A,FALSE,"TOTALE"}</definedName>
    <definedName name="wrn.STAMPAMST._1" localSheetId="8" hidden="1">{"PLTOTALE",#N/A,FALSE,"TOTALE";"PLMERENDE",#N/A,FALSE,"TOTALE";"PLSNACKS",#N/A,FALSE,"TOTALE";"PLTORTE",#N/A,FALSE,"TOTALE";"PLTRANCINO",#N/A,FALSE,"TOTALE";"PLFLAUTI",#N/A,FALSE,"TOTALE";"PLCOLATE",#N/A,FALSE,"TOTALE";"PLFROLLE",#N/A,FALSE,"TOTALE";"PLSFOGLIE",#N/A,FALSE,"TOTALE";"PLPLUM",#N/A,FALSE,"TOTALE";"PLRINGO",#N/A,FALSE,"TOTALE";"PLPAVES",#N/A,FALSE,"TOTALE";"PLFUORI",#N/A,FALSE,"TOTALE";"PLBAIOCCHI",#N/A,FALSE,"TOTALE"}</definedName>
    <definedName name="wrn.STAMPAMST._1" hidden="1">{"PLTOTALE",#N/A,FALSE,"TOTALE";"PLMERENDE",#N/A,FALSE,"TOTALE";"PLSNACKS",#N/A,FALSE,"TOTALE";"PLTORTE",#N/A,FALSE,"TOTALE";"PLTRANCINO",#N/A,FALSE,"TOTALE";"PLFLAUTI",#N/A,FALSE,"TOTALE";"PLCOLATE",#N/A,FALSE,"TOTALE";"PLFROLLE",#N/A,FALSE,"TOTALE";"PLSFOGLIE",#N/A,FALSE,"TOTALE";"PLPLUM",#N/A,FALSE,"TOTALE";"PLRINGO",#N/A,FALSE,"TOTALE";"PLPAVES",#N/A,FALSE,"TOTALE";"PLFUORI",#N/A,FALSE,"TOTALE";"PLBAIOCCHI",#N/A,FALSE,"TOTALE"}</definedName>
    <definedName name="wrn.StampaTotale." localSheetId="8" hidden="1">{"Testata",#N/A,TRUE,"Parametri";"BILSP",#N/A,TRUE,"Bilancio";"BILCE",#N/A,TRUE,"Bilancio";"CE",#N/A,TRUE,"Analisi";"SPF",#N/A,TRUE,"Analisi";"SPG",#N/A,TRUE,"Analisi";"RENDFIN",#N/A,TRUE,"Analisi";"INDICI",#N/A,TRUE,"Indici";"ROE",#N/A,TRUE,"ROE";"CELINEE",#N/A,TRUE,"Linee";"ROILINEE",#N/A,TRUE,"Linee"}</definedName>
    <definedName name="wrn.StampaTotale." hidden="1">{"Testata",#N/A,TRUE,"Parametri";"BILSP",#N/A,TRUE,"Bilancio";"BILCE",#N/A,TRUE,"Bilancio";"CE",#N/A,TRUE,"Analisi";"SPF",#N/A,TRUE,"Analisi";"SPG",#N/A,TRUE,"Analisi";"RENDFIN",#N/A,TRUE,"Analisi";"INDICI",#N/A,TRUE,"Indici";"ROE",#N/A,TRUE,"ROE";"CELINEE",#N/A,TRUE,"Linee";"ROILINEE",#N/A,TRUE,"Linee"}</definedName>
    <definedName name="wrn.StampaTotale._1" localSheetId="8" hidden="1">{"Testata",#N/A,TRUE,"Parametri";"BILSP",#N/A,TRUE,"Bilancio";"BILCE",#N/A,TRUE,"Bilancio";"CE",#N/A,TRUE,"Analisi";"SPF",#N/A,TRUE,"Analisi";"SPG",#N/A,TRUE,"Analisi";"RENDFIN",#N/A,TRUE,"Analisi";"INDICI",#N/A,TRUE,"Indici";"ROE",#N/A,TRUE,"ROE";"CELINEE",#N/A,TRUE,"Linee";"ROILINEE",#N/A,TRUE,"Linee"}</definedName>
    <definedName name="wrn.StampaTotale._1" hidden="1">{"Testata",#N/A,TRUE,"Parametri";"BILSP",#N/A,TRUE,"Bilancio";"BILCE",#N/A,TRUE,"Bilancio";"CE",#N/A,TRUE,"Analisi";"SPF",#N/A,TRUE,"Analisi";"SPG",#N/A,TRUE,"Analisi";"RENDFIN",#N/A,TRUE,"Analisi";"INDICI",#N/A,TRUE,"Indici";"ROE",#N/A,TRUE,"ROE";"CELINEE",#N/A,TRUE,"Linee";"ROILINEE",#N/A,TRUE,"Linee"}</definedName>
    <definedName name="wrn.stand_alone." localSheetId="8" hidden="1">{#N/A,#N/A,FALSE,"CBE";#N/A,#N/A,FALSE,"SWK"}</definedName>
    <definedName name="wrn.stand_alone." hidden="1">{#N/A,#N/A,FALSE,"CBE";#N/A,#N/A,FALSE,"SWK"}</definedName>
    <definedName name="wrn.stand_alone._1" localSheetId="8" hidden="1">{#N/A,#N/A,FALSE,"CBE";#N/A,#N/A,FALSE,"SWK"}</definedName>
    <definedName name="wrn.stand_alone._1" hidden="1">{#N/A,#N/A,FALSE,"CBE";#N/A,#N/A,FALSE,"SWK"}</definedName>
    <definedName name="wrn.STAND_ALONE_BOTH." localSheetId="8" hidden="1">{"FCB_ALL",#N/A,FALSE,"FCB";"GREY_ALL",#N/A,FALSE,"GREY"}</definedName>
    <definedName name="wrn.STAND_ALONE_BOTH." hidden="1">{"FCB_ALL",#N/A,FALSE,"FCB";"GREY_ALL",#N/A,FALSE,"GREY"}</definedName>
    <definedName name="wrn.Standard." localSheetId="8" hidden="1">{#N/A,#N/A,FALSE,"IS US";#N/A,#N/A,FALSE,"BS US";#N/A,#N/A,FALSE,"IS LOCAL";#N/A,#N/A,FALSE,"BS INPUT";#N/A,#N/A,FALSE,"EQUITY";#N/A,#N/A,FALSE,"LOCAL ADJ";#N/A,#N/A,FALSE,"GAAP ADJ"}</definedName>
    <definedName name="wrn.Standard." hidden="1">{#N/A,#N/A,FALSE,"IS US";#N/A,#N/A,FALSE,"BS US";#N/A,#N/A,FALSE,"IS LOCAL";#N/A,#N/A,FALSE,"BS INPUT";#N/A,#N/A,FALSE,"EQUITY";#N/A,#N/A,FALSE,"LOCAL ADJ";#N/A,#N/A,FALSE,"GAAP ADJ"}</definedName>
    <definedName name="wrn.Standard._.Reports." localSheetId="8" hidden="1">{#N/A,#N/A,FALSE,"Books";#N/A,#N/A,FALSE,"Barge";#N/A,#N/A,FALSE,"Insurance";#N/A,#N/A,FALSE,"Consolidated"}</definedName>
    <definedName name="wrn.Standard._.Reports." hidden="1">{#N/A,#N/A,FALSE,"Books";#N/A,#N/A,FALSE,"Barge";#N/A,#N/A,FALSE,"Insurance";#N/A,#N/A,FALSE,"Consolidated"}</definedName>
    <definedName name="wrn.Statements." localSheetId="7" hidden="1">{"Statements",#N/A,TRUE,"Income Statement";"Statements",#N/A,TRUE,"Cash Flow Statement";"Statements",#N/A,TRUE,"Balance Sheet ";#N/A,#N/A,TRUE,"Revenue Data Table";#N/A,#N/A,TRUE,"Costs &amp; Expenses Data Table";#N/A,#N/A,TRUE,"Cash Flow Data Table ";#N/A,#N/A,TRUE,"Shor-term Interest Expense"}</definedName>
    <definedName name="wrn.Statements." localSheetId="8" hidden="1">{"Statements",#N/A,TRUE,"Income Statement";"Statements",#N/A,TRUE,"Cash Flow Statement";"Statements",#N/A,TRUE,"Balance Sheet ";#N/A,#N/A,TRUE,"Revenue Data Table";#N/A,#N/A,TRUE,"Costs &amp; Expenses Data Table";#N/A,#N/A,TRUE,"Cash Flow Data Table ";#N/A,#N/A,TRUE,"Shor-term Interest Expense"}</definedName>
    <definedName name="wrn.Statements." hidden="1">{"Co1statements",#N/A,FALSE,"Cmpy1";"Co2statement",#N/A,FALSE,"Cmpy2";"co1pm",#N/A,FALSE,"Co1PM";"co2PM",#N/A,FALSE,"Co2PM";"value",#N/A,FALSE,"value";"opco",#N/A,FALSE,"NewSparkle";"adjusts",#N/A,FALSE,"Adjustments"}</definedName>
    <definedName name="wrn.stay" localSheetId="8" hidden="1">{"summary1",#N/A,TRUE,"Comps";"summary2",#N/A,TRUE,"Comps";"summary3",#N/A,TRUE,"Comps"}</definedName>
    <definedName name="wrn.stay" hidden="1">{"summary1",#N/A,TRUE,"Comps";"summary2",#N/A,TRUE,"Comps";"summary3",#N/A,TRUE,"Comps"}</definedName>
    <definedName name="wrn.Sterling." localSheetId="8" hidden="1">{#N/A,#N/A,FALSE,"£ P&amp;L";#N/A,#N/A,FALSE,"£ BS";#N/A,#N/A,FALSE,"£ CF"}</definedName>
    <definedName name="wrn.Sterling." hidden="1">{#N/A,#N/A,FALSE,"£ P&amp;L";#N/A,#N/A,FALSE,"£ BS";#N/A,#N/A,FALSE,"£ CF"}</definedName>
    <definedName name="wrn.Struttura." localSheetId="8" hidden="1">{#N/A,#N/A,TRUE,"Analisi Struttura";#N/A,#N/A,TRUE,"Grafico Struttura";#N/A,#N/A,TRUE,"Composizione";#N/A,#N/A,TRUE,"Equilibrio Patr.";#N/A,#N/A,TRUE,"Rendiconto Fin."}</definedName>
    <definedName name="wrn.Struttura." hidden="1">{#N/A,#N/A,TRUE,"Analisi Struttura";#N/A,#N/A,TRUE,"Grafico Struttura";#N/A,#N/A,TRUE,"Composizione";#N/A,#N/A,TRUE,"Equilibrio Patr.";#N/A,#N/A,TRUE,"Rendiconto Fin."}</definedName>
    <definedName name="wrn.Struttura._1" localSheetId="8" hidden="1">{#N/A,#N/A,TRUE,"Analisi Struttura";#N/A,#N/A,TRUE,"Grafico Struttura";#N/A,#N/A,TRUE,"Composizione";#N/A,#N/A,TRUE,"Equilibrio Patr.";#N/A,#N/A,TRUE,"Rendiconto Fin."}</definedName>
    <definedName name="wrn.Struttura._1" hidden="1">{#N/A,#N/A,TRUE,"Analisi Struttura";#N/A,#N/A,TRUE,"Grafico Struttura";#N/A,#N/A,TRUE,"Composizione";#N/A,#N/A,TRUE,"Equilibrio Patr.";#N/A,#N/A,TRUE,"Rendiconto Fin."}</definedName>
    <definedName name="wrn.SUDDIVISIONE._.UTILI." localSheetId="8" hidden="1">{#N/A,#N/A,TRUE,"UTIFAC";#N/A,#N/A,TRUE,"UTIESP";#N/A,#N/A,TRUE,"UTIFRA";#N/A,#N/A,TRUE,"UTIGBR";#N/A,#N/A,TRUE,"UTIGER";#N/A,#N/A,TRUE,"UTIGRE";#N/A,#N/A,TRUE,"UTISWE";#N/A,#N/A,TRUE,"UTIAUS";#N/A,#N/A,TRUE,"UTISAF";#N/A,#N/A,TRUE,"UTICAN"}</definedName>
    <definedName name="wrn.SUDDIVISIONE._.UTILI." hidden="1">{#N/A,#N/A,TRUE,"UTIFAC";#N/A,#N/A,TRUE,"UTIESP";#N/A,#N/A,TRUE,"UTIFRA";#N/A,#N/A,TRUE,"UTIGBR";#N/A,#N/A,TRUE,"UTIGER";#N/A,#N/A,TRUE,"UTIGRE";#N/A,#N/A,TRUE,"UTISWE";#N/A,#N/A,TRUE,"UTIAUS";#N/A,#N/A,TRUE,"UTISAF";#N/A,#N/A,TRUE,"UTICAN"}</definedName>
    <definedName name="wrn.SUDDIVISIONE._.UTILI._1" localSheetId="8" hidden="1">{#N/A,#N/A,TRUE,"UTIFAC";#N/A,#N/A,TRUE,"UTIESP";#N/A,#N/A,TRUE,"UTIFRA";#N/A,#N/A,TRUE,"UTIGBR";#N/A,#N/A,TRUE,"UTIGER";#N/A,#N/A,TRUE,"UTIGRE";#N/A,#N/A,TRUE,"UTISWE";#N/A,#N/A,TRUE,"UTIAUS";#N/A,#N/A,TRUE,"UTISAF";#N/A,#N/A,TRUE,"UTICAN"}</definedName>
    <definedName name="wrn.SUDDIVISIONE._.UTILI._1" hidden="1">{#N/A,#N/A,TRUE,"UTIFAC";#N/A,#N/A,TRUE,"UTIESP";#N/A,#N/A,TRUE,"UTIFRA";#N/A,#N/A,TRUE,"UTIGBR";#N/A,#N/A,TRUE,"UTIGER";#N/A,#N/A,TRUE,"UTIGRE";#N/A,#N/A,TRUE,"UTISWE";#N/A,#N/A,TRUE,"UTIAUS";#N/A,#N/A,TRUE,"UTISAF";#N/A,#N/A,TRUE,"UTICAN"}</definedName>
    <definedName name="wrn.suibud." localSheetId="8" hidden="1">{"tbl1",#N/A,FALSE,"regul";"tbl2",#N/A,FALSE,"regul"}</definedName>
    <definedName name="wrn.suibud." hidden="1">{"tbl1",#N/A,FALSE,"regul";"tbl2",#N/A,FALSE,"regul"}</definedName>
    <definedName name="wrn.suivi." localSheetId="8" hidden="1">{"moy",#N/A,FALSE,"CAMBRAI";"paie",#N/A,FALSE,"CAMBRAI"}</definedName>
    <definedName name="wrn.suivi." hidden="1">{"moy",#N/A,FALSE,"CAMBRAI";"paie",#N/A,FALSE,"CAMBRAI"}</definedName>
    <definedName name="wrn.summaries." localSheetId="8" hidden="1">{"common",#N/A,TRUE,"Common Input";"Sum Res_010",#N/A,TRUE,"Res_010";"Sum Res_011",#N/A,TRUE,"Res_011";"Sum Res_012",#N/A,TRUE,"Res_012";"Sum Res_013",#N/A,TRUE,"Res_013"}</definedName>
    <definedName name="wrn.summaries." hidden="1">{"common",#N/A,TRUE,"Common Input";"Sum Res_010",#N/A,TRUE,"Res_010";"Sum Res_011",#N/A,TRUE,"Res_011";"Sum Res_012",#N/A,TRUE,"Res_012";"Sum Res_013",#N/A,TRUE,"Res_013"}</definedName>
    <definedName name="wrn.summaries._1" localSheetId="8" hidden="1">{#N/A,#N/A,FALSE,"YTD SALES";#N/A,#N/A,FALSE,"MONTH SALES";#N/A,#N/A,FALSE,"YTD PROFIT";#N/A,#N/A,FALSE,"MONTH PROFIT";#N/A,#N/A,FALSE,"MONTH PROFIT %";#N/A,#N/A,FALSE,"YTD AWARDS";#N/A,#N/A,FALSE,"MONTH AWARDS";#N/A,#N/A,FALSE,"FUNDED BACKLOG";#N/A,#N/A,FALSE,"CONTRACT BACKLOG";#N/A,#N/A,FALSE,"CONTRACT AWARDS";#N/A,#N/A,FALSE,"CONTRACT VALUES";#N/A,#N/A,FALSE,"YTD WIP";#N/A,#N/A,FALSE,"MONTH WIP";#N/A,#N/A,FALSE,"GROSS INVENTORY";#N/A,#N/A,FALSE,"PP";#N/A,#N/A,FALSE,"NET INVENTORY";#N/A,#N/A,FALSE,"RECEIVABLES"}</definedName>
    <definedName name="wrn.summaries._1" hidden="1">{#N/A,#N/A,FALSE,"YTD SALES";#N/A,#N/A,FALSE,"MONTH SALES";#N/A,#N/A,FALSE,"YTD PROFIT";#N/A,#N/A,FALSE,"MONTH PROFIT";#N/A,#N/A,FALSE,"MONTH PROFIT %";#N/A,#N/A,FALSE,"YTD AWARDS";#N/A,#N/A,FALSE,"MONTH AWARDS";#N/A,#N/A,FALSE,"FUNDED BACKLOG";#N/A,#N/A,FALSE,"CONTRACT BACKLOG";#N/A,#N/A,FALSE,"CONTRACT AWARDS";#N/A,#N/A,FALSE,"CONTRACT VALUES";#N/A,#N/A,FALSE,"YTD WIP";#N/A,#N/A,FALSE,"MONTH WIP";#N/A,#N/A,FALSE,"GROSS INVENTORY";#N/A,#N/A,FALSE,"PP";#N/A,#N/A,FALSE,"NET INVENTORY";#N/A,#N/A,FALSE,"RECEIVABLES"}</definedName>
    <definedName name="wrn.Summary." localSheetId="7" hidden="1">{#N/A,#N/A,TRUE,"Cover Page";#N/A,#N/A,TRUE,"Summary";#N/A,#N/A,TRUE,"Acquisition Analysis";#N/A,#N/A,TRUE,"Pro Forma";#N/A,#N/A,TRUE,"Sensitivity";#N/A,#N/A,TRUE,"Inputs"}</definedName>
    <definedName name="wrn.Summary." localSheetId="8" hidden="1">{#N/A,#N/A,TRUE,"Cover Page";#N/A,#N/A,TRUE,"Summary";#N/A,#N/A,TRUE,"Acquisition Analysis";#N/A,#N/A,TRUE,"Pro Forma";#N/A,#N/A,TRUE,"Sensitivity";#N/A,#N/A,TRUE,"Inputs"}</definedName>
    <definedName name="wrn.SUMMARY." hidden="1">{"SUMMARY",#N/A,FALSE,"SUMMARY"}</definedName>
    <definedName name="wrn.Summary._.Report." localSheetId="8" hidden="1">{#N/A,#N/A,FALSE,"Cover";"Summary",#N/A,FALSE,"Net Inventory Turns";"Summary",#N/A,FALSE,"LInearity";"Summary",#N/A,FALSE,"On Time Delivery";"Summary",#N/A,FALSE,"Fill Rate";"Summary",#N/A,FALSE,"Days Past Due";"Summary",#N/A,FALSE,"COPQ";"Summary",#N/A,FALSE,"Customer Returns";"Summary",#N/A,FALSE,"LWCAIR";"Summary",#N/A,FALSE,"TCIR";"Summary",#N/A,FALSE,"TDU";"Summary",#N/A,FALSE,"Supplier Defects";"Summary",#N/A,FALSE,"Supplier Delivery";"Summary",#N/A,FALSE,"OEC";"Summary",#N/A,FALSE,"MM"}</definedName>
    <definedName name="wrn.Summary._.Report." hidden="1">{#N/A,#N/A,FALSE,"Cover";"Summary",#N/A,FALSE,"Net Inventory Turns";"Summary",#N/A,FALSE,"LInearity";"Summary",#N/A,FALSE,"On Time Delivery";"Summary",#N/A,FALSE,"Fill Rate";"Summary",#N/A,FALSE,"Days Past Due";"Summary",#N/A,FALSE,"COPQ";"Summary",#N/A,FALSE,"Customer Returns";"Summary",#N/A,FALSE,"LWCAIR";"Summary",#N/A,FALSE,"TCIR";"Summary",#N/A,FALSE,"TDU";"Summary",#N/A,FALSE,"Supplier Defects";"Summary",#N/A,FALSE,"Supplier Delivery";"Summary",#N/A,FALSE,"OEC";"Summary",#N/A,FALSE,"MM"}</definedName>
    <definedName name="wrn.Summary._.results." localSheetId="8" hidden="1">{"key inputs",#N/A,TRUE,"Key Inputs";"key outputs",#N/A,TRUE,"Outputs";"Other inputs",#N/A,TRUE,"Other Inputs";"Revenue",#N/A,TRUE,"Rev"}</definedName>
    <definedName name="wrn.Summary._.results." hidden="1">{"key inputs",#N/A,TRUE,"Key Inputs";"key outputs",#N/A,TRUE,"Outputs";"Other inputs",#N/A,TRUE,"Other Inputs";"Revenue",#N/A,TRUE,"Rev"}</definedName>
    <definedName name="wrn.summary._.schedules." hidden="1">{"summary1",#N/A,FALSE,"Summary of Values";"summary2",#N/A,FALSE,"Summary of Values"}</definedName>
    <definedName name="wrn.Summary._.sheets." localSheetId="8" hidden="1">{#N/A,#N/A,FALSE,"ARPUs &amp; Profile";#N/A,#N/A,FALSE,"Competitive Analysis";#N/A,#N/A,FALSE,"Margin Analysis"}</definedName>
    <definedName name="wrn.Summary._.sheets." hidden="1">{#N/A,#N/A,FALSE,"ARPUs &amp; Profile";#N/A,#N/A,FALSE,"Competitive Analysis";#N/A,#N/A,FALSE,"Margin Analysis"}</definedName>
    <definedName name="wrn.Summary._.sheets._1" localSheetId="8" hidden="1">{#N/A,#N/A,FALSE,"ARPUs &amp; Profile";#N/A,#N/A,FALSE,"Competitive Analysis";#N/A,#N/A,FALSE,"Margin Analysis"}</definedName>
    <definedName name="wrn.Summary._.sheets._1" hidden="1">{#N/A,#N/A,FALSE,"ARPUs &amp; Profile";#N/A,#N/A,FALSE,"Competitive Analysis";#N/A,#N/A,FALSE,"Margin Analysis"}</definedName>
    <definedName name="wrn.Summary._.with._.short._.outputs." localSheetId="8" hidden="1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wrn.Summary._.with._.short._.outputs." hidden="1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wrn.Summary._.with._.short._.outputs._1" localSheetId="8" hidden="1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wrn.Summary._.with._.short._.outputs._1" hidden="1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wrn.SUMMARY._1" localSheetId="8" hidden="1">{"BS",#N/A,FALSE,"USA"}</definedName>
    <definedName name="wrn.SUMMARY._1" hidden="1">{"BS",#N/A,FALSE,"USA"}</definedName>
    <definedName name="wrn.Summary_PL." localSheetId="8" hidden="1">{"profit and loss",#N/A,FALSE,"Summary";"revenues",#N/A,FALSE,"Summary";"COSTS",#N/A,FALSE,"Summary"}</definedName>
    <definedName name="wrn.Summary_PL." hidden="1">{"profit and loss",#N/A,FALSE,"Summary";"revenues",#N/A,FALSE,"Summary";"COSTS",#N/A,FALSE,"Summary"}</definedName>
    <definedName name="wrn.SummaryPack." localSheetId="8" hidden="1">{#N/A,#N/A,FALSE,"Summary-Perot";#N/A,#N/A,FALSE,"Summary-Joint";#N/A,#N/A,FALSE,"Perot's Actions";#N/A,#N/A,FALSE,"UBSW Audit Plans";#N/A,#N/A,FALSE,"Perot's New Actions";#N/A,#N/A,FALSE,"Perot's Updates";#N/A,#N/A,FALSE,"Full by RiskType"}</definedName>
    <definedName name="wrn.SummaryPack." hidden="1">{#N/A,#N/A,FALSE,"Summary-Perot";#N/A,#N/A,FALSE,"Summary-Joint";#N/A,#N/A,FALSE,"Perot's Actions";#N/A,#N/A,FALSE,"UBSW Audit Plans";#N/A,#N/A,FALSE,"Perot's New Actions";#N/A,#N/A,FALSE,"Perot's Updates";#N/A,#N/A,FALSE,"Full by RiskType"}</definedName>
    <definedName name="wrn.SummaryPgs." localSheetId="8" hidden="1">{#N/A,#N/A,FALSE,"CreditStat";#N/A,#N/A,FALSE,"SPbrkup";#N/A,#N/A,FALSE,"MerSPsyn";#N/A,#N/A,FALSE,"MerSPwKCsyn";#N/A,#N/A,FALSE,"MerSPwKCsyn (2)";#N/A,#N/A,FALSE,"CreditStat (2)"}</definedName>
    <definedName name="wrn.SummaryPgs." hidden="1">{#N/A,#N/A,FALSE,"CreditStat";#N/A,#N/A,FALSE,"SPbrkup";#N/A,#N/A,FALSE,"MerSPsyn";#N/A,#N/A,FALSE,"MerSPwKCsyn";#N/A,#N/A,FALSE,"MerSPwKCsyn (2)";#N/A,#N/A,FALSE,"CreditStat (2)"}</definedName>
    <definedName name="wrn.SummaryPgs._1" localSheetId="8" hidden="1">{#N/A,#N/A,FALSE,"CreditStat";#N/A,#N/A,FALSE,"SPbrkup";#N/A,#N/A,FALSE,"MerSPsyn";#N/A,#N/A,FALSE,"MerSPwKCsyn";#N/A,#N/A,FALSE,"MerSPwKCsyn (2)";#N/A,#N/A,FALSE,"CreditStat (2)"}</definedName>
    <definedName name="wrn.SummaryPgs._1" hidden="1">{#N/A,#N/A,FALSE,"CreditStat";#N/A,#N/A,FALSE,"SPbrkup";#N/A,#N/A,FALSE,"MerSPsyn";#N/A,#N/A,FALSE,"MerSPwKCsyn";#N/A,#N/A,FALSE,"MerSPwKCsyn (2)";#N/A,#N/A,FALSE,"CreditStat (2)"}</definedName>
    <definedName name="wrn.SummaryReport." localSheetId="8" hidden="1">{"matrix",#N/A,TRUE,"Matrix";"forecast",#N/A,TRUE,"Forecast";"incstmt",#N/A,TRUE,"Inc Stmt";"balsheet",#N/A,TRUE,"Bal Sheet";"cashflow",#N/A,TRUE,"Cash Flow";"incmcf",#N/A,TRUE,"Inc mcf";"capsumm",#N/A,TRUE,"Cap Summ";"assump",#N/A,TRUE,"Assum";"epscalc",#N/A,TRUE,"Inc Stmt"}</definedName>
    <definedName name="wrn.SummaryReport." hidden="1">{"matrix",#N/A,TRUE,"Matrix";"forecast",#N/A,TRUE,"Forecast";"incstmt",#N/A,TRUE,"Inc Stmt";"balsheet",#N/A,TRUE,"Bal Sheet";"cashflow",#N/A,TRUE,"Cash Flow";"incmcf",#N/A,TRUE,"Inc mcf";"capsumm",#N/A,TRUE,"Cap Summ";"assump",#N/A,TRUE,"Assum";"epscalc",#N/A,TRUE,"Inc Stmt"}</definedName>
    <definedName name="wrn.Supporting._.Schedules." localSheetId="8" hidden="1">{"Sch 1 - Diesel Fuel",#N/A,TRUE,"Sch 1";"Sch 3 trans costs",#N/A,TRUE,"Sch 3";"Sch 3a crew costs",#N/A,TRUE,"Sch 3a";"Sch 3c loco costs",#N/A,TRUE,"Sch 3c";"Sch 4 Coal track maintenance",#N/A,TRUE,"Sch 4";"Sch 5 Mech Oper Exp",#N/A,TRUE,"Sch 5";"02-c Coal operating exp for 2002",#N/A,TRUE,"02-c";"Sch 03-c Coal oper exp for 2003",#N/A,TRUE,"03-c";"Sch 04-c Oper exp for 2004",#N/A,TRUE,"04-c";"Sch 05-c Oper exp for the 2005",#N/A,TRUE,"05-c";"Sch 06-c Oper exp for 2006",#N/A,TRUE,"06-c";"Sch 07-c Oper exp for 2007",#N/A,TRUE,"07-c";"Sch 6 Property taxes",#N/A,TRUE,"Sch 6";"Depreciation assumptions",#N/A,TRUE,"Sch 7";"Sch 9 cap ex timing",#N/A,TRUE,"Sch 9";"Sch 9a Capital Cost Estimate",#N/A,TRUE,"Sch 9a";"Sch 10 Capex",#N/A,TRUE,"Sch 10";"Sch 10a Upgrade cost estimate feeding Sch 10",#N/A,TRUE,"Sch 10a";"Sch 10b Relay rail cost estimate feeding Sch 10",#N/A,TRUE,"Sch 10b";"capex-amort Coal construction debt amort",#N/A,TRUE,"capex-amort";"Trans admin and SGA staff expense",#N/A,TRUE,"staffyr";"coal-taxi Motel &amp; taxi expense",#N/A,TRUE,"coal-taxi"}</definedName>
    <definedName name="wrn.Supporting._.Schedules." hidden="1">{"Sch 1 - Diesel Fuel",#N/A,TRUE,"Sch 1";"Sch 3 trans costs",#N/A,TRUE,"Sch 3";"Sch 3a crew costs",#N/A,TRUE,"Sch 3a";"Sch 3c loco costs",#N/A,TRUE,"Sch 3c";"Sch 4 Coal track maintenance",#N/A,TRUE,"Sch 4";"Sch 5 Mech Oper Exp",#N/A,TRUE,"Sch 5";"02-c Coal operating exp for 2002",#N/A,TRUE,"02-c";"Sch 03-c Coal oper exp for 2003",#N/A,TRUE,"03-c";"Sch 04-c Oper exp for 2004",#N/A,TRUE,"04-c";"Sch 05-c Oper exp for the 2005",#N/A,TRUE,"05-c";"Sch 06-c Oper exp for 2006",#N/A,TRUE,"06-c";"Sch 07-c Oper exp for 2007",#N/A,TRUE,"07-c";"Sch 6 Property taxes",#N/A,TRUE,"Sch 6";"Depreciation assumptions",#N/A,TRUE,"Sch 7";"Sch 9 cap ex timing",#N/A,TRUE,"Sch 9";"Sch 9a Capital Cost Estimate",#N/A,TRUE,"Sch 9a";"Sch 10 Capex",#N/A,TRUE,"Sch 10";"Sch 10a Upgrade cost estimate feeding Sch 10",#N/A,TRUE,"Sch 10a";"Sch 10b Relay rail cost estimate feeding Sch 10",#N/A,TRUE,"Sch 10b";"capex-amort Coal construction debt amort",#N/A,TRUE,"capex-amort";"Trans admin and SGA staff expense",#N/A,TRUE,"staffyr";"coal-taxi Motel &amp; taxi expense",#N/A,TRUE,"coal-taxi"}</definedName>
    <definedName name="wrn.Synergies." hidden="1">{"Synergies",#N/A,TRUE,"Product Summary";"Existing Products Contracted Synergies",#N/A,TRUE,"Product Roll1";"Existing Products Contracted Synergies 3",#N/A,TRUE,"Product Roll1";"Existing Products Contracted Synergies 2",#N/A,TRUE,"Product Roll1";"New Products Contracted Synergies",#N/A,TRUE,"Product Roll2";"New Products Not Contracted Synergies 2",#N/A,TRUE,"Product Roll3";"New Products Not Contracted Synergies",#N/A,TRUE,"Product Roll3";"New Products Not Contracted Synergies 3",#N/A,TRUE,"Product Roll3"}</definedName>
    <definedName name="wrn.synthèse1." localSheetId="8" hidden="1">{"synth",#N/A,FALSE,"RATIOS CONSO";"synth",#N/A,FALSE,"CA CONSO";"synth",#N/A,FALSE,"RO CONSO";"synth",#N/A,FALSE,"EBITDA CONSO";"synth",#N/A,FALSE,"CAPEX CONSO";"synth",#N/A,FALSE,"Disponible"}</definedName>
    <definedName name="wrn.synthèse1." hidden="1">{"synth",#N/A,FALSE,"RATIOS CONSO";"synth",#N/A,FALSE,"CA CONSO";"synth",#N/A,FALSE,"RO CONSO";"synth",#N/A,FALSE,"EBITDA CONSO";"synth",#N/A,FALSE,"CAPEX CONSO";"synth",#N/A,FALSE,"Disponible"}</definedName>
    <definedName name="wrn.synthèse1._1" localSheetId="8" hidden="1">{"synth",#N/A,FALSE,"RATIOS CONSO";"synth",#N/A,FALSE,"CA CONSO";"synth",#N/A,FALSE,"RO CONSO";"synth",#N/A,FALSE,"EBITDA CONSO";"synth",#N/A,FALSE,"CAPEX CONSO";"synth",#N/A,FALSE,"Disponible"}</definedName>
    <definedName name="wrn.synthèse1._1" hidden="1">{"synth",#N/A,FALSE,"RATIOS CONSO";"synth",#N/A,FALSE,"CA CONSO";"synth",#N/A,FALSE,"RO CONSO";"synth",#N/A,FALSE,"EBITDA CONSO";"synth",#N/A,FALSE,"CAPEX CONSO";"synth",#N/A,FALSE,"Disponible"}</definedName>
    <definedName name="wrn.synthèse2." localSheetId="8" hidden="1">{"synth",#N/A,TRUE,"Disponible";"synth",#N/A,TRUE,"CAPEX CONSO"}</definedName>
    <definedName name="wrn.synthèse2." hidden="1">{"synth",#N/A,TRUE,"Disponible";"synth",#N/A,TRUE,"CAPEX CONSO"}</definedName>
    <definedName name="wrn.synthèse2._1" localSheetId="8" hidden="1">{"synth",#N/A,TRUE,"Disponible";"synth",#N/A,TRUE,"CAPEX CONSO"}</definedName>
    <definedName name="wrn.synthèse2._1" hidden="1">{"synth",#N/A,TRUE,"Disponible";"synth",#N/A,TRUE,"CAPEX CONSO"}</definedName>
    <definedName name="wrn.Tabla._.PL." localSheetId="8" hidden="1">{#N/A,#N/A,FALSE,"P.L.Full";#N/A,#N/A,FALSE,"P.L.Desc."}</definedName>
    <definedName name="wrn.Tabla._.PL." hidden="1">{#N/A,#N/A,FALSE,"P.L.Full";#N/A,#N/A,FALSE,"P.L.Desc."}</definedName>
    <definedName name="wrn.Tabla._.PL._1" localSheetId="8" hidden="1">{#N/A,#N/A,FALSE,"P.L.Full";#N/A,#N/A,FALSE,"P.L.Desc."}</definedName>
    <definedName name="wrn.Tabla._.PL._1" hidden="1">{#N/A,#N/A,FALSE,"P.L.Full";#N/A,#N/A,FALSE,"P.L.Desc."}</definedName>
    <definedName name="wrn.tableeurlpg." localSheetId="8" hidden="1">{"eurlpg1",#N/A,FALSE,"europe LPG";"eurlpg2",#N/A,FALSE,"europe LPG"}</definedName>
    <definedName name="wrn.tableeurlpg." hidden="1">{"eurlpg1",#N/A,FALSE,"europe LPG";"eurlpg2",#N/A,FALSE,"europe LPG"}</definedName>
    <definedName name="wrn.tablejap." localSheetId="8" hidden="1">{"japcurrent1",#N/A,FALSE,"JAPAN PRODUCTS";"japcurrent2",#N/A,FALSE,"JAPAN PRODUCTS"}</definedName>
    <definedName name="wrn.tablejap." hidden="1">{"japcurrent1",#N/A,FALSE,"JAPAN PRODUCTS";"japcurrent2",#N/A,FALSE,"JAPAN PRODUCTS"}</definedName>
    <definedName name="wrn.tablejaplpg." localSheetId="8" hidden="1">{"japlpg1",#N/A,FALSE,"JAPAN LPG ";"japllpg2",#N/A,FALSE,"JAPAN LPG "}</definedName>
    <definedName name="wrn.tablejaplpg." hidden="1">{"japlpg1",#N/A,FALSE,"JAPAN LPG ";"japllpg2",#N/A,FALSE,"JAPAN LPG "}</definedName>
    <definedName name="wrn.tablemeastlpg." localSheetId="8" hidden="1">{"midlpg1",#N/A,FALSE,"MIDEAST LPG";"midlpg2",#N/A,FALSE,"MIDEAST LPG"}</definedName>
    <definedName name="wrn.tablemeastlpg." hidden="1">{"midlpg1",#N/A,FALSE,"MIDEAST LPG";"midlpg2",#N/A,FALSE,"MIDEAST LPG"}</definedName>
    <definedName name="wrn.TABLEMED." localSheetId="8" hidden="1">{"medcurrent1",#N/A,FALSE,"MED MARGINS";"medcurrent2",#N/A,FALSE,"MED MARGINS";"medconstant",#N/A,FALSE,"MED MARGINS"}</definedName>
    <definedName name="wrn.TABLEMED." hidden="1">{"medcurrent1",#N/A,FALSE,"MED MARGINS";"medcurrent2",#N/A,FALSE,"MED MARGINS";"medconstant",#N/A,FALSE,"MED MARGINS"}</definedName>
    <definedName name="wrn.tablemideast." localSheetId="8" hidden="1">{"midcurrent1",#N/A,FALSE,"ARAB GULF PRODUCTS";"midcurrent2",#N/A,FALSE,"ARAB GULF PRODUCTS"}</definedName>
    <definedName name="wrn.tablemideast." hidden="1">{"midcurrent1",#N/A,FALSE,"ARAB GULF PRODUCTS";"midcurrent2",#N/A,FALSE,"ARAB GULF PRODUCTS"}</definedName>
    <definedName name="wrn.tablengl." localSheetId="8" hidden="1">{"ngl1",#N/A,FALSE,"u.s. NGL";"ngl2",#N/A,FALSE,"u.s. NGL"}</definedName>
    <definedName name="wrn.tablengl." hidden="1">{"ngl1",#N/A,FALSE,"u.s. NGL";"ngl2",#N/A,FALSE,"u.s. NGL"}</definedName>
    <definedName name="wrn.TABLENWE." localSheetId="8" hidden="1">{"nwecurrent1",#N/A,FALSE,"NWE MARGINS";"nwecurrent2",#N/A,FALSE,"NWE MARGINS";"nweconstant",#N/A,FALSE,"NWE MARGINS"}</definedName>
    <definedName name="wrn.TABLENWE." hidden="1">{"nwecurrent1",#N/A,FALSE,"NWE MARGINS";"nwecurrent2",#N/A,FALSE,"NWE MARGINS";"nweconstant",#N/A,FALSE,"NWE MARGINS"}</definedName>
    <definedName name="wrn.tableprod." localSheetId="8" hidden="1">{"current1",#N/A,FALSE,"US PRODUCTS";"current2",#N/A,FALSE,"US PRODUCTS";"constant",#N/A,FALSE,"US PRODUCTS"}</definedName>
    <definedName name="wrn.tableprod." hidden="1">{"current1",#N/A,FALSE,"US PRODUCTS";"current2",#N/A,FALSE,"US PRODUCTS";"constant",#N/A,FALSE,"US PRODUCTS"}</definedName>
    <definedName name="wrn.TARGENERATOR." localSheetId="8" hidden="1">{"Pa",#N/A,FALSE,"P"}</definedName>
    <definedName name="wrn.TARGENERATOR." hidden="1">{"Pa",#N/A,FALSE,"P"}</definedName>
    <definedName name="wrn.Target." hidden="1">{"e_Target Assumptions",#N/A,FALSE,"Financials";"f_Target Income Statement",#N/A,FALSE,"Financials";"g_Target Balance Sheet",#N/A,FALSE,"Financials";"h_Target Cashflow Statement",#N/A,FALSE,"Financials"}</definedName>
    <definedName name="wrn.TARGET._.DCF." localSheetId="7" hidden="1">{"targetdcf",#N/A,FALSE,"Merger consequences";"TARGETASSU",#N/A,FALSE,"Merger consequences";"TERMINAL VALUE",#N/A,FALSE,"Merger consequences"}</definedName>
    <definedName name="wrn.TARGET._.DCF." localSheetId="8" hidden="1">{"targetdcf",#N/A,FALSE,"Merger consequences";"TARGETASSU",#N/A,FALSE,"Merger consequences";"TERMINAL VALUE",#N/A,FALSE,"Merger consequences"}</definedName>
    <definedName name="wrn.TARGET._.DCF." hidden="1">{"targetdcf",#N/A,FALSE,"Merger consequences";"TARGETASSU",#N/A,FALSE,"Merger consequences";"TERMINAL VALUE",#N/A,FALSE,"Merger consequences"}</definedName>
    <definedName name="wrn.TARGET._.DCF._1" localSheetId="7" hidden="1">{"targetdcf",#N/A,FALSE,"Merger consequences";"TARGETASSU",#N/A,FALSE,"Merger consequences";"TERMINAL VALUE",#N/A,FALSE,"Merger consequences"}</definedName>
    <definedName name="wrn.TARGET._.DCF._1" localSheetId="8" hidden="1">{"targetdcf",#N/A,FALSE,"Merger consequences";"TARGETASSU",#N/A,FALSE,"Merger consequences";"TERMINAL VALUE",#N/A,FALSE,"Merger consequences"}</definedName>
    <definedName name="wrn.TARGET._.DCF._1" hidden="1">{"targetdcf",#N/A,FALSE,"Merger consequences";"TARGETASSU",#N/A,FALSE,"Merger consequences";"TERMINAL VALUE",#N/A,FALSE,"Merger consequences"}</definedName>
    <definedName name="wrn.Target._.Financial._.Statements." hidden="1">{"Target Income Statement",#N/A,FALSE,"Target";"Target Balance Sheet",#N/A,FALSE,"Target";"Target Cash Flow",#N/A,FALSE,"Target"}</definedName>
    <definedName name="wrn.Target._.Summary." localSheetId="8" hidden="1">{"SUMMARY",#N/A,FALSE,"Sheet1"}</definedName>
    <definedName name="wrn.Target._.Summary." hidden="1">{"SUMMARY",#N/A,FALSE,"Sheet1"}</definedName>
    <definedName name="wrn.Target._1" hidden="1">{"e_Target Assumptions",#N/A,FALSE,"Financials";"f_Target Income Statement",#N/A,FALSE,"Financials";"g_Target Balance Sheet",#N/A,FALSE,"Financials";"h_Target Cashflow Statement",#N/A,FALSE,"Financials"}</definedName>
    <definedName name="wrn.Target._1_1" hidden="1">{"e_Target Assumptions",#N/A,FALSE,"Financials";"f_Target Income Statement",#N/A,FALSE,"Financials";"g_Target Balance Sheet",#N/A,FALSE,"Financials";"h_Target Cashflow Statement",#N/A,FALSE,"Financials"}</definedName>
    <definedName name="wrn.Target._1_1_1" hidden="1">{"e_Target Assumptions",#N/A,FALSE,"Financials";"f_Target Income Statement",#N/A,FALSE,"Financials";"g_Target Balance Sheet",#N/A,FALSE,"Financials";"h_Target Cashflow Statement",#N/A,FALSE,"Financials"}</definedName>
    <definedName name="wrn.Target._1_1_1_1" hidden="1">{"e_Target Assumptions",#N/A,FALSE,"Financials";"f_Target Income Statement",#N/A,FALSE,"Financials";"g_Target Balance Sheet",#N/A,FALSE,"Financials";"h_Target Cashflow Statement",#N/A,FALSE,"Financials"}</definedName>
    <definedName name="wrn.Target._1_1_1_2" hidden="1">{"e_Target Assumptions",#N/A,FALSE,"Financials";"f_Target Income Statement",#N/A,FALSE,"Financials";"g_Target Balance Sheet",#N/A,FALSE,"Financials";"h_Target Cashflow Statement",#N/A,FALSE,"Financials"}</definedName>
    <definedName name="wrn.Target._1_1_2" hidden="1">{"e_Target Assumptions",#N/A,FALSE,"Financials";"f_Target Income Statement",#N/A,FALSE,"Financials";"g_Target Balance Sheet",#N/A,FALSE,"Financials";"h_Target Cashflow Statement",#N/A,FALSE,"Financials"}</definedName>
    <definedName name="wrn.Target._1_1_2_1" hidden="1">{"e_Target Assumptions",#N/A,FALSE,"Financials";"f_Target Income Statement",#N/A,FALSE,"Financials";"g_Target Balance Sheet",#N/A,FALSE,"Financials";"h_Target Cashflow Statement",#N/A,FALSE,"Financials"}</definedName>
    <definedName name="wrn.Target._1_1_2_2" hidden="1">{"e_Target Assumptions",#N/A,FALSE,"Financials";"f_Target Income Statement",#N/A,FALSE,"Financials";"g_Target Balance Sheet",#N/A,FALSE,"Financials";"h_Target Cashflow Statement",#N/A,FALSE,"Financials"}</definedName>
    <definedName name="wrn.Target._1_1_3" hidden="1">{"e_Target Assumptions",#N/A,FALSE,"Financials";"f_Target Income Statement",#N/A,FALSE,"Financials";"g_Target Balance Sheet",#N/A,FALSE,"Financials";"h_Target Cashflow Statement",#N/A,FALSE,"Financials"}</definedName>
    <definedName name="wrn.Target._1_1_4" hidden="1">{"e_Target Assumptions",#N/A,FALSE,"Financials";"f_Target Income Statement",#N/A,FALSE,"Financials";"g_Target Balance Sheet",#N/A,FALSE,"Financials";"h_Target Cashflow Statement",#N/A,FALSE,"Financials"}</definedName>
    <definedName name="wrn.Target._1_2" hidden="1">{"e_Target Assumptions",#N/A,FALSE,"Financials";"f_Target Income Statement",#N/A,FALSE,"Financials";"g_Target Balance Sheet",#N/A,FALSE,"Financials";"h_Target Cashflow Statement",#N/A,FALSE,"Financials"}</definedName>
    <definedName name="wrn.Target._1_2_1" hidden="1">{"e_Target Assumptions",#N/A,FALSE,"Financials";"f_Target Income Statement",#N/A,FALSE,"Financials";"g_Target Balance Sheet",#N/A,FALSE,"Financials";"h_Target Cashflow Statement",#N/A,FALSE,"Financials"}</definedName>
    <definedName name="wrn.Target._1_2_1_1" hidden="1">{"e_Target Assumptions",#N/A,FALSE,"Financials";"f_Target Income Statement",#N/A,FALSE,"Financials";"g_Target Balance Sheet",#N/A,FALSE,"Financials";"h_Target Cashflow Statement",#N/A,FALSE,"Financials"}</definedName>
    <definedName name="wrn.Target._1_2_1_2" hidden="1">{"e_Target Assumptions",#N/A,FALSE,"Financials";"f_Target Income Statement",#N/A,FALSE,"Financials";"g_Target Balance Sheet",#N/A,FALSE,"Financials";"h_Target Cashflow Statement",#N/A,FALSE,"Financials"}</definedName>
    <definedName name="wrn.Target._1_2_2" hidden="1">{"e_Target Assumptions",#N/A,FALSE,"Financials";"f_Target Income Statement",#N/A,FALSE,"Financials";"g_Target Balance Sheet",#N/A,FALSE,"Financials";"h_Target Cashflow Statement",#N/A,FALSE,"Financials"}</definedName>
    <definedName name="wrn.Target._1_2_2_1" hidden="1">{"e_Target Assumptions",#N/A,FALSE,"Financials";"f_Target Income Statement",#N/A,FALSE,"Financials";"g_Target Balance Sheet",#N/A,FALSE,"Financials";"h_Target Cashflow Statement",#N/A,FALSE,"Financials"}</definedName>
    <definedName name="wrn.Target._1_2_2_2" hidden="1">{"e_Target Assumptions",#N/A,FALSE,"Financials";"f_Target Income Statement",#N/A,FALSE,"Financials";"g_Target Balance Sheet",#N/A,FALSE,"Financials";"h_Target Cashflow Statement",#N/A,FALSE,"Financials"}</definedName>
    <definedName name="wrn.Target._1_2_3" hidden="1">{"e_Target Assumptions",#N/A,FALSE,"Financials";"f_Target Income Statement",#N/A,FALSE,"Financials";"g_Target Balance Sheet",#N/A,FALSE,"Financials";"h_Target Cashflow Statement",#N/A,FALSE,"Financials"}</definedName>
    <definedName name="wrn.Target._1_2_4" hidden="1">{"e_Target Assumptions",#N/A,FALSE,"Financials";"f_Target Income Statement",#N/A,FALSE,"Financials";"g_Target Balance Sheet",#N/A,FALSE,"Financials";"h_Target Cashflow Statement",#N/A,FALSE,"Financials"}</definedName>
    <definedName name="wrn.Target._1_3" hidden="1">{"e_Target Assumptions",#N/A,FALSE,"Financials";"f_Target Income Statement",#N/A,FALSE,"Financials";"g_Target Balance Sheet",#N/A,FALSE,"Financials";"h_Target Cashflow Statement",#N/A,FALSE,"Financials"}</definedName>
    <definedName name="wrn.Target._1_3_1" hidden="1">{"e_Target Assumptions",#N/A,FALSE,"Financials";"f_Target Income Statement",#N/A,FALSE,"Financials";"g_Target Balance Sheet",#N/A,FALSE,"Financials";"h_Target Cashflow Statement",#N/A,FALSE,"Financials"}</definedName>
    <definedName name="wrn.Target._1_3_1_1" hidden="1">{"e_Target Assumptions",#N/A,FALSE,"Financials";"f_Target Income Statement",#N/A,FALSE,"Financials";"g_Target Balance Sheet",#N/A,FALSE,"Financials";"h_Target Cashflow Statement",#N/A,FALSE,"Financials"}</definedName>
    <definedName name="wrn.Target._1_3_1_2" hidden="1">{"e_Target Assumptions",#N/A,FALSE,"Financials";"f_Target Income Statement",#N/A,FALSE,"Financials";"g_Target Balance Sheet",#N/A,FALSE,"Financials";"h_Target Cashflow Statement",#N/A,FALSE,"Financials"}</definedName>
    <definedName name="wrn.Target._1_3_2" hidden="1">{"e_Target Assumptions",#N/A,FALSE,"Financials";"f_Target Income Statement",#N/A,FALSE,"Financials";"g_Target Balance Sheet",#N/A,FALSE,"Financials";"h_Target Cashflow Statement",#N/A,FALSE,"Financials"}</definedName>
    <definedName name="wrn.Target._1_3_2_1" hidden="1">{"e_Target Assumptions",#N/A,FALSE,"Financials";"f_Target Income Statement",#N/A,FALSE,"Financials";"g_Target Balance Sheet",#N/A,FALSE,"Financials";"h_Target Cashflow Statement",#N/A,FALSE,"Financials"}</definedName>
    <definedName name="wrn.Target._1_3_2_2" hidden="1">{"e_Target Assumptions",#N/A,FALSE,"Financials";"f_Target Income Statement",#N/A,FALSE,"Financials";"g_Target Balance Sheet",#N/A,FALSE,"Financials";"h_Target Cashflow Statement",#N/A,FALSE,"Financials"}</definedName>
    <definedName name="wrn.Target._1_3_3" hidden="1">{"e_Target Assumptions",#N/A,FALSE,"Financials";"f_Target Income Statement",#N/A,FALSE,"Financials";"g_Target Balance Sheet",#N/A,FALSE,"Financials";"h_Target Cashflow Statement",#N/A,FALSE,"Financials"}</definedName>
    <definedName name="wrn.Target._1_3_4" hidden="1">{"e_Target Assumptions",#N/A,FALSE,"Financials";"f_Target Income Statement",#N/A,FALSE,"Financials";"g_Target Balance Sheet",#N/A,FALSE,"Financials";"h_Target Cashflow Statement",#N/A,FALSE,"Financials"}</definedName>
    <definedName name="wrn.Target._1_4" hidden="1">{"e_Target Assumptions",#N/A,FALSE,"Financials";"f_Target Income Statement",#N/A,FALSE,"Financials";"g_Target Balance Sheet",#N/A,FALSE,"Financials";"h_Target Cashflow Statement",#N/A,FALSE,"Financials"}</definedName>
    <definedName name="wrn.Target._1_4_1" hidden="1">{"e_Target Assumptions",#N/A,FALSE,"Financials";"f_Target Income Statement",#N/A,FALSE,"Financials";"g_Target Balance Sheet",#N/A,FALSE,"Financials";"h_Target Cashflow Statement",#N/A,FALSE,"Financials"}</definedName>
    <definedName name="wrn.Target._1_4_1_1" hidden="1">{"e_Target Assumptions",#N/A,FALSE,"Financials";"f_Target Income Statement",#N/A,FALSE,"Financials";"g_Target Balance Sheet",#N/A,FALSE,"Financials";"h_Target Cashflow Statement",#N/A,FALSE,"Financials"}</definedName>
    <definedName name="wrn.Target._1_4_1_2" hidden="1">{"e_Target Assumptions",#N/A,FALSE,"Financials";"f_Target Income Statement",#N/A,FALSE,"Financials";"g_Target Balance Sheet",#N/A,FALSE,"Financials";"h_Target Cashflow Statement",#N/A,FALSE,"Financials"}</definedName>
    <definedName name="wrn.Target._1_4_2" hidden="1">{"e_Target Assumptions",#N/A,FALSE,"Financials";"f_Target Income Statement",#N/A,FALSE,"Financials";"g_Target Balance Sheet",#N/A,FALSE,"Financials";"h_Target Cashflow Statement",#N/A,FALSE,"Financials"}</definedName>
    <definedName name="wrn.Target._1_4_2_1" hidden="1">{"e_Target Assumptions",#N/A,FALSE,"Financials";"f_Target Income Statement",#N/A,FALSE,"Financials";"g_Target Balance Sheet",#N/A,FALSE,"Financials";"h_Target Cashflow Statement",#N/A,FALSE,"Financials"}</definedName>
    <definedName name="wrn.Target._1_4_2_2" hidden="1">{"e_Target Assumptions",#N/A,FALSE,"Financials";"f_Target Income Statement",#N/A,FALSE,"Financials";"g_Target Balance Sheet",#N/A,FALSE,"Financials";"h_Target Cashflow Statement",#N/A,FALSE,"Financials"}</definedName>
    <definedName name="wrn.Target._1_4_3" hidden="1">{"e_Target Assumptions",#N/A,FALSE,"Financials";"f_Target Income Statement",#N/A,FALSE,"Financials";"g_Target Balance Sheet",#N/A,FALSE,"Financials";"h_Target Cashflow Statement",#N/A,FALSE,"Financials"}</definedName>
    <definedName name="wrn.Target._1_4_4" hidden="1">{"e_Target Assumptions",#N/A,FALSE,"Financials";"f_Target Income Statement",#N/A,FALSE,"Financials";"g_Target Balance Sheet",#N/A,FALSE,"Financials";"h_Target Cashflow Statement",#N/A,FALSE,"Financials"}</definedName>
    <definedName name="wrn.Target._1_5" hidden="1">{"e_Target Assumptions",#N/A,FALSE,"Financials";"f_Target Income Statement",#N/A,FALSE,"Financials";"g_Target Balance Sheet",#N/A,FALSE,"Financials";"h_Target Cashflow Statement",#N/A,FALSE,"Financials"}</definedName>
    <definedName name="wrn.Target._1_5_1" hidden="1">{"e_Target Assumptions",#N/A,FALSE,"Financials";"f_Target Income Statement",#N/A,FALSE,"Financials";"g_Target Balance Sheet",#N/A,FALSE,"Financials";"h_Target Cashflow Statement",#N/A,FALSE,"Financials"}</definedName>
    <definedName name="wrn.Target._1_5_1_1" hidden="1">{"e_Target Assumptions",#N/A,FALSE,"Financials";"f_Target Income Statement",#N/A,FALSE,"Financials";"g_Target Balance Sheet",#N/A,FALSE,"Financials";"h_Target Cashflow Statement",#N/A,FALSE,"Financials"}</definedName>
    <definedName name="wrn.Target._1_5_1_2" hidden="1">{"e_Target Assumptions",#N/A,FALSE,"Financials";"f_Target Income Statement",#N/A,FALSE,"Financials";"g_Target Balance Sheet",#N/A,FALSE,"Financials";"h_Target Cashflow Statement",#N/A,FALSE,"Financials"}</definedName>
    <definedName name="wrn.Target._1_5_2" hidden="1">{"e_Target Assumptions",#N/A,FALSE,"Financials";"f_Target Income Statement",#N/A,FALSE,"Financials";"g_Target Balance Sheet",#N/A,FALSE,"Financials";"h_Target Cashflow Statement",#N/A,FALSE,"Financials"}</definedName>
    <definedName name="wrn.Target._1_5_2_1" hidden="1">{"e_Target Assumptions",#N/A,FALSE,"Financials";"f_Target Income Statement",#N/A,FALSE,"Financials";"g_Target Balance Sheet",#N/A,FALSE,"Financials";"h_Target Cashflow Statement",#N/A,FALSE,"Financials"}</definedName>
    <definedName name="wrn.Target._1_5_2_2" hidden="1">{"e_Target Assumptions",#N/A,FALSE,"Financials";"f_Target Income Statement",#N/A,FALSE,"Financials";"g_Target Balance Sheet",#N/A,FALSE,"Financials";"h_Target Cashflow Statement",#N/A,FALSE,"Financials"}</definedName>
    <definedName name="wrn.Target._1_5_3" hidden="1">{"e_Target Assumptions",#N/A,FALSE,"Financials";"f_Target Income Statement",#N/A,FALSE,"Financials";"g_Target Balance Sheet",#N/A,FALSE,"Financials";"h_Target Cashflow Statement",#N/A,FALSE,"Financials"}</definedName>
    <definedName name="wrn.Target._1_5_4" hidden="1">{"e_Target Assumptions",#N/A,FALSE,"Financials";"f_Target Income Statement",#N/A,FALSE,"Financials";"g_Target Balance Sheet",#N/A,FALSE,"Financials";"h_Target Cashflow Statement",#N/A,FALSE,"Financials"}</definedName>
    <definedName name="wrn.Target._2" hidden="1">{"e_Target Assumptions",#N/A,FALSE,"Financials";"f_Target Income Statement",#N/A,FALSE,"Financials";"g_Target Balance Sheet",#N/A,FALSE,"Financials";"h_Target Cashflow Statement",#N/A,FALSE,"Financials"}</definedName>
    <definedName name="wrn.Target._2_1" hidden="1">{"e_Target Assumptions",#N/A,FALSE,"Financials";"f_Target Income Statement",#N/A,FALSE,"Financials";"g_Target Balance Sheet",#N/A,FALSE,"Financials";"h_Target Cashflow Statement",#N/A,FALSE,"Financials"}</definedName>
    <definedName name="wrn.Target._2_1_1" hidden="1">{"e_Target Assumptions",#N/A,FALSE,"Financials";"f_Target Income Statement",#N/A,FALSE,"Financials";"g_Target Balance Sheet",#N/A,FALSE,"Financials";"h_Target Cashflow Statement",#N/A,FALSE,"Financials"}</definedName>
    <definedName name="wrn.Target._2_1_1_1" hidden="1">{"e_Target Assumptions",#N/A,FALSE,"Financials";"f_Target Income Statement",#N/A,FALSE,"Financials";"g_Target Balance Sheet",#N/A,FALSE,"Financials";"h_Target Cashflow Statement",#N/A,FALSE,"Financials"}</definedName>
    <definedName name="wrn.Target._2_1_1_2" hidden="1">{"e_Target Assumptions",#N/A,FALSE,"Financials";"f_Target Income Statement",#N/A,FALSE,"Financials";"g_Target Balance Sheet",#N/A,FALSE,"Financials";"h_Target Cashflow Statement",#N/A,FALSE,"Financials"}</definedName>
    <definedName name="wrn.Target._2_1_2" hidden="1">{"e_Target Assumptions",#N/A,FALSE,"Financials";"f_Target Income Statement",#N/A,FALSE,"Financials";"g_Target Balance Sheet",#N/A,FALSE,"Financials";"h_Target Cashflow Statement",#N/A,FALSE,"Financials"}</definedName>
    <definedName name="wrn.Target._2_1_2_1" hidden="1">{"e_Target Assumptions",#N/A,FALSE,"Financials";"f_Target Income Statement",#N/A,FALSE,"Financials";"g_Target Balance Sheet",#N/A,FALSE,"Financials";"h_Target Cashflow Statement",#N/A,FALSE,"Financials"}</definedName>
    <definedName name="wrn.Target._2_1_2_2" hidden="1">{"e_Target Assumptions",#N/A,FALSE,"Financials";"f_Target Income Statement",#N/A,FALSE,"Financials";"g_Target Balance Sheet",#N/A,FALSE,"Financials";"h_Target Cashflow Statement",#N/A,FALSE,"Financials"}</definedName>
    <definedName name="wrn.Target._2_1_3" hidden="1">{"e_Target Assumptions",#N/A,FALSE,"Financials";"f_Target Income Statement",#N/A,FALSE,"Financials";"g_Target Balance Sheet",#N/A,FALSE,"Financials";"h_Target Cashflow Statement",#N/A,FALSE,"Financials"}</definedName>
    <definedName name="wrn.Target._2_1_4" hidden="1">{"e_Target Assumptions",#N/A,FALSE,"Financials";"f_Target Income Statement",#N/A,FALSE,"Financials";"g_Target Balance Sheet",#N/A,FALSE,"Financials";"h_Target Cashflow Statement",#N/A,FALSE,"Financials"}</definedName>
    <definedName name="wrn.Target._2_2" hidden="1">{"e_Target Assumptions",#N/A,FALSE,"Financials";"f_Target Income Statement",#N/A,FALSE,"Financials";"g_Target Balance Sheet",#N/A,FALSE,"Financials";"h_Target Cashflow Statement",#N/A,FALSE,"Financials"}</definedName>
    <definedName name="wrn.Target._2_2_1" hidden="1">{"e_Target Assumptions",#N/A,FALSE,"Financials";"f_Target Income Statement",#N/A,FALSE,"Financials";"g_Target Balance Sheet",#N/A,FALSE,"Financials";"h_Target Cashflow Statement",#N/A,FALSE,"Financials"}</definedName>
    <definedName name="wrn.Target._2_2_1_1" hidden="1">{"e_Target Assumptions",#N/A,FALSE,"Financials";"f_Target Income Statement",#N/A,FALSE,"Financials";"g_Target Balance Sheet",#N/A,FALSE,"Financials";"h_Target Cashflow Statement",#N/A,FALSE,"Financials"}</definedName>
    <definedName name="wrn.Target._2_2_1_2" hidden="1">{"e_Target Assumptions",#N/A,FALSE,"Financials";"f_Target Income Statement",#N/A,FALSE,"Financials";"g_Target Balance Sheet",#N/A,FALSE,"Financials";"h_Target Cashflow Statement",#N/A,FALSE,"Financials"}</definedName>
    <definedName name="wrn.Target._2_2_2" hidden="1">{"e_Target Assumptions",#N/A,FALSE,"Financials";"f_Target Income Statement",#N/A,FALSE,"Financials";"g_Target Balance Sheet",#N/A,FALSE,"Financials";"h_Target Cashflow Statement",#N/A,FALSE,"Financials"}</definedName>
    <definedName name="wrn.Target._2_2_2_1" hidden="1">{"e_Target Assumptions",#N/A,FALSE,"Financials";"f_Target Income Statement",#N/A,FALSE,"Financials";"g_Target Balance Sheet",#N/A,FALSE,"Financials";"h_Target Cashflow Statement",#N/A,FALSE,"Financials"}</definedName>
    <definedName name="wrn.Target._2_2_2_2" hidden="1">{"e_Target Assumptions",#N/A,FALSE,"Financials";"f_Target Income Statement",#N/A,FALSE,"Financials";"g_Target Balance Sheet",#N/A,FALSE,"Financials";"h_Target Cashflow Statement",#N/A,FALSE,"Financials"}</definedName>
    <definedName name="wrn.Target._2_2_3" hidden="1">{"e_Target Assumptions",#N/A,FALSE,"Financials";"f_Target Income Statement",#N/A,FALSE,"Financials";"g_Target Balance Sheet",#N/A,FALSE,"Financials";"h_Target Cashflow Statement",#N/A,FALSE,"Financials"}</definedName>
    <definedName name="wrn.Target._2_2_4" hidden="1">{"e_Target Assumptions",#N/A,FALSE,"Financials";"f_Target Income Statement",#N/A,FALSE,"Financials";"g_Target Balance Sheet",#N/A,FALSE,"Financials";"h_Target Cashflow Statement",#N/A,FALSE,"Financials"}</definedName>
    <definedName name="wrn.Target._2_3" hidden="1">{"e_Target Assumptions",#N/A,FALSE,"Financials";"f_Target Income Statement",#N/A,FALSE,"Financials";"g_Target Balance Sheet",#N/A,FALSE,"Financials";"h_Target Cashflow Statement",#N/A,FALSE,"Financials"}</definedName>
    <definedName name="wrn.Target._2_3_1" hidden="1">{"e_Target Assumptions",#N/A,FALSE,"Financials";"f_Target Income Statement",#N/A,FALSE,"Financials";"g_Target Balance Sheet",#N/A,FALSE,"Financials";"h_Target Cashflow Statement",#N/A,FALSE,"Financials"}</definedName>
    <definedName name="wrn.Target._2_3_1_1" hidden="1">{"e_Target Assumptions",#N/A,FALSE,"Financials";"f_Target Income Statement",#N/A,FALSE,"Financials";"g_Target Balance Sheet",#N/A,FALSE,"Financials";"h_Target Cashflow Statement",#N/A,FALSE,"Financials"}</definedName>
    <definedName name="wrn.Target._2_3_1_2" hidden="1">{"e_Target Assumptions",#N/A,FALSE,"Financials";"f_Target Income Statement",#N/A,FALSE,"Financials";"g_Target Balance Sheet",#N/A,FALSE,"Financials";"h_Target Cashflow Statement",#N/A,FALSE,"Financials"}</definedName>
    <definedName name="wrn.Target._2_3_2" hidden="1">{"e_Target Assumptions",#N/A,FALSE,"Financials";"f_Target Income Statement",#N/A,FALSE,"Financials";"g_Target Balance Sheet",#N/A,FALSE,"Financials";"h_Target Cashflow Statement",#N/A,FALSE,"Financials"}</definedName>
    <definedName name="wrn.Target._2_3_2_1" hidden="1">{"e_Target Assumptions",#N/A,FALSE,"Financials";"f_Target Income Statement",#N/A,FALSE,"Financials";"g_Target Balance Sheet",#N/A,FALSE,"Financials";"h_Target Cashflow Statement",#N/A,FALSE,"Financials"}</definedName>
    <definedName name="wrn.Target._2_3_2_2" hidden="1">{"e_Target Assumptions",#N/A,FALSE,"Financials";"f_Target Income Statement",#N/A,FALSE,"Financials";"g_Target Balance Sheet",#N/A,FALSE,"Financials";"h_Target Cashflow Statement",#N/A,FALSE,"Financials"}</definedName>
    <definedName name="wrn.Target._2_3_3" hidden="1">{"e_Target Assumptions",#N/A,FALSE,"Financials";"f_Target Income Statement",#N/A,FALSE,"Financials";"g_Target Balance Sheet",#N/A,FALSE,"Financials";"h_Target Cashflow Statement",#N/A,FALSE,"Financials"}</definedName>
    <definedName name="wrn.Target._2_3_4" hidden="1">{"e_Target Assumptions",#N/A,FALSE,"Financials";"f_Target Income Statement",#N/A,FALSE,"Financials";"g_Target Balance Sheet",#N/A,FALSE,"Financials";"h_Target Cashflow Statement",#N/A,FALSE,"Financials"}</definedName>
    <definedName name="wrn.Target._2_4" hidden="1">{"e_Target Assumptions",#N/A,FALSE,"Financials";"f_Target Income Statement",#N/A,FALSE,"Financials";"g_Target Balance Sheet",#N/A,FALSE,"Financials";"h_Target Cashflow Statement",#N/A,FALSE,"Financials"}</definedName>
    <definedName name="wrn.Target._2_4_1" hidden="1">{"e_Target Assumptions",#N/A,FALSE,"Financials";"f_Target Income Statement",#N/A,FALSE,"Financials";"g_Target Balance Sheet",#N/A,FALSE,"Financials";"h_Target Cashflow Statement",#N/A,FALSE,"Financials"}</definedName>
    <definedName name="wrn.Target._2_4_1_1" hidden="1">{"e_Target Assumptions",#N/A,FALSE,"Financials";"f_Target Income Statement",#N/A,FALSE,"Financials";"g_Target Balance Sheet",#N/A,FALSE,"Financials";"h_Target Cashflow Statement",#N/A,FALSE,"Financials"}</definedName>
    <definedName name="wrn.Target._2_4_1_2" hidden="1">{"e_Target Assumptions",#N/A,FALSE,"Financials";"f_Target Income Statement",#N/A,FALSE,"Financials";"g_Target Balance Sheet",#N/A,FALSE,"Financials";"h_Target Cashflow Statement",#N/A,FALSE,"Financials"}</definedName>
    <definedName name="wrn.Target._2_4_2" hidden="1">{"e_Target Assumptions",#N/A,FALSE,"Financials";"f_Target Income Statement",#N/A,FALSE,"Financials";"g_Target Balance Sheet",#N/A,FALSE,"Financials";"h_Target Cashflow Statement",#N/A,FALSE,"Financials"}</definedName>
    <definedName name="wrn.Target._2_4_2_1" hidden="1">{"e_Target Assumptions",#N/A,FALSE,"Financials";"f_Target Income Statement",#N/A,FALSE,"Financials";"g_Target Balance Sheet",#N/A,FALSE,"Financials";"h_Target Cashflow Statement",#N/A,FALSE,"Financials"}</definedName>
    <definedName name="wrn.Target._2_4_2_2" hidden="1">{"e_Target Assumptions",#N/A,FALSE,"Financials";"f_Target Income Statement",#N/A,FALSE,"Financials";"g_Target Balance Sheet",#N/A,FALSE,"Financials";"h_Target Cashflow Statement",#N/A,FALSE,"Financials"}</definedName>
    <definedName name="wrn.Target._2_4_3" hidden="1">{"e_Target Assumptions",#N/A,FALSE,"Financials";"f_Target Income Statement",#N/A,FALSE,"Financials";"g_Target Balance Sheet",#N/A,FALSE,"Financials";"h_Target Cashflow Statement",#N/A,FALSE,"Financials"}</definedName>
    <definedName name="wrn.Target._2_4_4" hidden="1">{"e_Target Assumptions",#N/A,FALSE,"Financials";"f_Target Income Statement",#N/A,FALSE,"Financials";"g_Target Balance Sheet",#N/A,FALSE,"Financials";"h_Target Cashflow Statement",#N/A,FALSE,"Financials"}</definedName>
    <definedName name="wrn.Target._2_5" hidden="1">{"e_Target Assumptions",#N/A,FALSE,"Financials";"f_Target Income Statement",#N/A,FALSE,"Financials";"g_Target Balance Sheet",#N/A,FALSE,"Financials";"h_Target Cashflow Statement",#N/A,FALSE,"Financials"}</definedName>
    <definedName name="wrn.Target._2_5_1" hidden="1">{"e_Target Assumptions",#N/A,FALSE,"Financials";"f_Target Income Statement",#N/A,FALSE,"Financials";"g_Target Balance Sheet",#N/A,FALSE,"Financials";"h_Target Cashflow Statement",#N/A,FALSE,"Financials"}</definedName>
    <definedName name="wrn.Target._2_5_1_1" hidden="1">{"e_Target Assumptions",#N/A,FALSE,"Financials";"f_Target Income Statement",#N/A,FALSE,"Financials";"g_Target Balance Sheet",#N/A,FALSE,"Financials";"h_Target Cashflow Statement",#N/A,FALSE,"Financials"}</definedName>
    <definedName name="wrn.Target._2_5_1_2" hidden="1">{"e_Target Assumptions",#N/A,FALSE,"Financials";"f_Target Income Statement",#N/A,FALSE,"Financials";"g_Target Balance Sheet",#N/A,FALSE,"Financials";"h_Target Cashflow Statement",#N/A,FALSE,"Financials"}</definedName>
    <definedName name="wrn.Target._2_5_2" hidden="1">{"e_Target Assumptions",#N/A,FALSE,"Financials";"f_Target Income Statement",#N/A,FALSE,"Financials";"g_Target Balance Sheet",#N/A,FALSE,"Financials";"h_Target Cashflow Statement",#N/A,FALSE,"Financials"}</definedName>
    <definedName name="wrn.Target._2_5_2_1" hidden="1">{"e_Target Assumptions",#N/A,FALSE,"Financials";"f_Target Income Statement",#N/A,FALSE,"Financials";"g_Target Balance Sheet",#N/A,FALSE,"Financials";"h_Target Cashflow Statement",#N/A,FALSE,"Financials"}</definedName>
    <definedName name="wrn.Target._2_5_2_2" hidden="1">{"e_Target Assumptions",#N/A,FALSE,"Financials";"f_Target Income Statement",#N/A,FALSE,"Financials";"g_Target Balance Sheet",#N/A,FALSE,"Financials";"h_Target Cashflow Statement",#N/A,FALSE,"Financials"}</definedName>
    <definedName name="wrn.Target._2_5_3" hidden="1">{"e_Target Assumptions",#N/A,FALSE,"Financials";"f_Target Income Statement",#N/A,FALSE,"Financials";"g_Target Balance Sheet",#N/A,FALSE,"Financials";"h_Target Cashflow Statement",#N/A,FALSE,"Financials"}</definedName>
    <definedName name="wrn.Target._2_5_4" hidden="1">{"e_Target Assumptions",#N/A,FALSE,"Financials";"f_Target Income Statement",#N/A,FALSE,"Financials";"g_Target Balance Sheet",#N/A,FALSE,"Financials";"h_Target Cashflow Statement",#N/A,FALSE,"Financials"}</definedName>
    <definedName name="wrn.Target._3" hidden="1">{"e_Target Assumptions",#N/A,FALSE,"Financials";"f_Target Income Statement",#N/A,FALSE,"Financials";"g_Target Balance Sheet",#N/A,FALSE,"Financials";"h_Target Cashflow Statement",#N/A,FALSE,"Financials"}</definedName>
    <definedName name="wrn.Target._3_1" hidden="1">{"e_Target Assumptions",#N/A,FALSE,"Financials";"f_Target Income Statement",#N/A,FALSE,"Financials";"g_Target Balance Sheet",#N/A,FALSE,"Financials";"h_Target Cashflow Statement",#N/A,FALSE,"Financials"}</definedName>
    <definedName name="wrn.Target._3_1_1" hidden="1">{"e_Target Assumptions",#N/A,FALSE,"Financials";"f_Target Income Statement",#N/A,FALSE,"Financials";"g_Target Balance Sheet",#N/A,FALSE,"Financials";"h_Target Cashflow Statement",#N/A,FALSE,"Financials"}</definedName>
    <definedName name="wrn.Target._3_1_1_1" hidden="1">{"e_Target Assumptions",#N/A,FALSE,"Financials";"f_Target Income Statement",#N/A,FALSE,"Financials";"g_Target Balance Sheet",#N/A,FALSE,"Financials";"h_Target Cashflow Statement",#N/A,FALSE,"Financials"}</definedName>
    <definedName name="wrn.Target._3_1_1_2" hidden="1">{"e_Target Assumptions",#N/A,FALSE,"Financials";"f_Target Income Statement",#N/A,FALSE,"Financials";"g_Target Balance Sheet",#N/A,FALSE,"Financials";"h_Target Cashflow Statement",#N/A,FALSE,"Financials"}</definedName>
    <definedName name="wrn.Target._3_1_2" hidden="1">{"e_Target Assumptions",#N/A,FALSE,"Financials";"f_Target Income Statement",#N/A,FALSE,"Financials";"g_Target Balance Sheet",#N/A,FALSE,"Financials";"h_Target Cashflow Statement",#N/A,FALSE,"Financials"}</definedName>
    <definedName name="wrn.Target._3_1_2_1" hidden="1">{"e_Target Assumptions",#N/A,FALSE,"Financials";"f_Target Income Statement",#N/A,FALSE,"Financials";"g_Target Balance Sheet",#N/A,FALSE,"Financials";"h_Target Cashflow Statement",#N/A,FALSE,"Financials"}</definedName>
    <definedName name="wrn.Target._3_1_2_2" hidden="1">{"e_Target Assumptions",#N/A,FALSE,"Financials";"f_Target Income Statement",#N/A,FALSE,"Financials";"g_Target Balance Sheet",#N/A,FALSE,"Financials";"h_Target Cashflow Statement",#N/A,FALSE,"Financials"}</definedName>
    <definedName name="wrn.Target._3_1_3" hidden="1">{"e_Target Assumptions",#N/A,FALSE,"Financials";"f_Target Income Statement",#N/A,FALSE,"Financials";"g_Target Balance Sheet",#N/A,FALSE,"Financials";"h_Target Cashflow Statement",#N/A,FALSE,"Financials"}</definedName>
    <definedName name="wrn.Target._3_1_4" hidden="1">{"e_Target Assumptions",#N/A,FALSE,"Financials";"f_Target Income Statement",#N/A,FALSE,"Financials";"g_Target Balance Sheet",#N/A,FALSE,"Financials";"h_Target Cashflow Statement",#N/A,FALSE,"Financials"}</definedName>
    <definedName name="wrn.Target._3_2" hidden="1">{"e_Target Assumptions",#N/A,FALSE,"Financials";"f_Target Income Statement",#N/A,FALSE,"Financials";"g_Target Balance Sheet",#N/A,FALSE,"Financials";"h_Target Cashflow Statement",#N/A,FALSE,"Financials"}</definedName>
    <definedName name="wrn.Target._3_2_1" hidden="1">{"e_Target Assumptions",#N/A,FALSE,"Financials";"f_Target Income Statement",#N/A,FALSE,"Financials";"g_Target Balance Sheet",#N/A,FALSE,"Financials";"h_Target Cashflow Statement",#N/A,FALSE,"Financials"}</definedName>
    <definedName name="wrn.Target._3_2_1_1" hidden="1">{"e_Target Assumptions",#N/A,FALSE,"Financials";"f_Target Income Statement",#N/A,FALSE,"Financials";"g_Target Balance Sheet",#N/A,FALSE,"Financials";"h_Target Cashflow Statement",#N/A,FALSE,"Financials"}</definedName>
    <definedName name="wrn.Target._3_2_1_2" hidden="1">{"e_Target Assumptions",#N/A,FALSE,"Financials";"f_Target Income Statement",#N/A,FALSE,"Financials";"g_Target Balance Sheet",#N/A,FALSE,"Financials";"h_Target Cashflow Statement",#N/A,FALSE,"Financials"}</definedName>
    <definedName name="wrn.Target._3_2_2" hidden="1">{"e_Target Assumptions",#N/A,FALSE,"Financials";"f_Target Income Statement",#N/A,FALSE,"Financials";"g_Target Balance Sheet",#N/A,FALSE,"Financials";"h_Target Cashflow Statement",#N/A,FALSE,"Financials"}</definedName>
    <definedName name="wrn.Target._3_2_2_1" hidden="1">{"e_Target Assumptions",#N/A,FALSE,"Financials";"f_Target Income Statement",#N/A,FALSE,"Financials";"g_Target Balance Sheet",#N/A,FALSE,"Financials";"h_Target Cashflow Statement",#N/A,FALSE,"Financials"}</definedName>
    <definedName name="wrn.Target._3_2_2_2" hidden="1">{"e_Target Assumptions",#N/A,FALSE,"Financials";"f_Target Income Statement",#N/A,FALSE,"Financials";"g_Target Balance Sheet",#N/A,FALSE,"Financials";"h_Target Cashflow Statement",#N/A,FALSE,"Financials"}</definedName>
    <definedName name="wrn.Target._3_2_3" hidden="1">{"e_Target Assumptions",#N/A,FALSE,"Financials";"f_Target Income Statement",#N/A,FALSE,"Financials";"g_Target Balance Sheet",#N/A,FALSE,"Financials";"h_Target Cashflow Statement",#N/A,FALSE,"Financials"}</definedName>
    <definedName name="wrn.Target._3_2_4" hidden="1">{"e_Target Assumptions",#N/A,FALSE,"Financials";"f_Target Income Statement",#N/A,FALSE,"Financials";"g_Target Balance Sheet",#N/A,FALSE,"Financials";"h_Target Cashflow Statement",#N/A,FALSE,"Financials"}</definedName>
    <definedName name="wrn.Target._3_3" hidden="1">{"e_Target Assumptions",#N/A,FALSE,"Financials";"f_Target Income Statement",#N/A,FALSE,"Financials";"g_Target Balance Sheet",#N/A,FALSE,"Financials";"h_Target Cashflow Statement",#N/A,FALSE,"Financials"}</definedName>
    <definedName name="wrn.Target._3_3_1" hidden="1">{"e_Target Assumptions",#N/A,FALSE,"Financials";"f_Target Income Statement",#N/A,FALSE,"Financials";"g_Target Balance Sheet",#N/A,FALSE,"Financials";"h_Target Cashflow Statement",#N/A,FALSE,"Financials"}</definedName>
    <definedName name="wrn.Target._3_3_1_1" hidden="1">{"e_Target Assumptions",#N/A,FALSE,"Financials";"f_Target Income Statement",#N/A,FALSE,"Financials";"g_Target Balance Sheet",#N/A,FALSE,"Financials";"h_Target Cashflow Statement",#N/A,FALSE,"Financials"}</definedName>
    <definedName name="wrn.Target._3_3_1_2" hidden="1">{"e_Target Assumptions",#N/A,FALSE,"Financials";"f_Target Income Statement",#N/A,FALSE,"Financials";"g_Target Balance Sheet",#N/A,FALSE,"Financials";"h_Target Cashflow Statement",#N/A,FALSE,"Financials"}</definedName>
    <definedName name="wrn.Target._3_3_2" hidden="1">{"e_Target Assumptions",#N/A,FALSE,"Financials";"f_Target Income Statement",#N/A,FALSE,"Financials";"g_Target Balance Sheet",#N/A,FALSE,"Financials";"h_Target Cashflow Statement",#N/A,FALSE,"Financials"}</definedName>
    <definedName name="wrn.Target._3_3_2_1" hidden="1">{"e_Target Assumptions",#N/A,FALSE,"Financials";"f_Target Income Statement",#N/A,FALSE,"Financials";"g_Target Balance Sheet",#N/A,FALSE,"Financials";"h_Target Cashflow Statement",#N/A,FALSE,"Financials"}</definedName>
    <definedName name="wrn.Target._3_3_2_2" hidden="1">{"e_Target Assumptions",#N/A,FALSE,"Financials";"f_Target Income Statement",#N/A,FALSE,"Financials";"g_Target Balance Sheet",#N/A,FALSE,"Financials";"h_Target Cashflow Statement",#N/A,FALSE,"Financials"}</definedName>
    <definedName name="wrn.Target._3_3_3" hidden="1">{"e_Target Assumptions",#N/A,FALSE,"Financials";"f_Target Income Statement",#N/A,FALSE,"Financials";"g_Target Balance Sheet",#N/A,FALSE,"Financials";"h_Target Cashflow Statement",#N/A,FALSE,"Financials"}</definedName>
    <definedName name="wrn.Target._3_3_4" hidden="1">{"e_Target Assumptions",#N/A,FALSE,"Financials";"f_Target Income Statement",#N/A,FALSE,"Financials";"g_Target Balance Sheet",#N/A,FALSE,"Financials";"h_Target Cashflow Statement",#N/A,FALSE,"Financials"}</definedName>
    <definedName name="wrn.Target._3_4" hidden="1">{"e_Target Assumptions",#N/A,FALSE,"Financials";"f_Target Income Statement",#N/A,FALSE,"Financials";"g_Target Balance Sheet",#N/A,FALSE,"Financials";"h_Target Cashflow Statement",#N/A,FALSE,"Financials"}</definedName>
    <definedName name="wrn.Target._3_4_1" hidden="1">{"e_Target Assumptions",#N/A,FALSE,"Financials";"f_Target Income Statement",#N/A,FALSE,"Financials";"g_Target Balance Sheet",#N/A,FALSE,"Financials";"h_Target Cashflow Statement",#N/A,FALSE,"Financials"}</definedName>
    <definedName name="wrn.Target._3_4_1_1" hidden="1">{"e_Target Assumptions",#N/A,FALSE,"Financials";"f_Target Income Statement",#N/A,FALSE,"Financials";"g_Target Balance Sheet",#N/A,FALSE,"Financials";"h_Target Cashflow Statement",#N/A,FALSE,"Financials"}</definedName>
    <definedName name="wrn.Target._3_4_1_2" hidden="1">{"e_Target Assumptions",#N/A,FALSE,"Financials";"f_Target Income Statement",#N/A,FALSE,"Financials";"g_Target Balance Sheet",#N/A,FALSE,"Financials";"h_Target Cashflow Statement",#N/A,FALSE,"Financials"}</definedName>
    <definedName name="wrn.Target._3_4_2" hidden="1">{"e_Target Assumptions",#N/A,FALSE,"Financials";"f_Target Income Statement",#N/A,FALSE,"Financials";"g_Target Balance Sheet",#N/A,FALSE,"Financials";"h_Target Cashflow Statement",#N/A,FALSE,"Financials"}</definedName>
    <definedName name="wrn.Target._3_4_2_1" hidden="1">{"e_Target Assumptions",#N/A,FALSE,"Financials";"f_Target Income Statement",#N/A,FALSE,"Financials";"g_Target Balance Sheet",#N/A,FALSE,"Financials";"h_Target Cashflow Statement",#N/A,FALSE,"Financials"}</definedName>
    <definedName name="wrn.Target._3_4_2_2" hidden="1">{"e_Target Assumptions",#N/A,FALSE,"Financials";"f_Target Income Statement",#N/A,FALSE,"Financials";"g_Target Balance Sheet",#N/A,FALSE,"Financials";"h_Target Cashflow Statement",#N/A,FALSE,"Financials"}</definedName>
    <definedName name="wrn.Target._3_4_3" hidden="1">{"e_Target Assumptions",#N/A,FALSE,"Financials";"f_Target Income Statement",#N/A,FALSE,"Financials";"g_Target Balance Sheet",#N/A,FALSE,"Financials";"h_Target Cashflow Statement",#N/A,FALSE,"Financials"}</definedName>
    <definedName name="wrn.Target._3_4_4" hidden="1">{"e_Target Assumptions",#N/A,FALSE,"Financials";"f_Target Income Statement",#N/A,FALSE,"Financials";"g_Target Balance Sheet",#N/A,FALSE,"Financials";"h_Target Cashflow Statement",#N/A,FALSE,"Financials"}</definedName>
    <definedName name="wrn.Target._3_5" hidden="1">{"e_Target Assumptions",#N/A,FALSE,"Financials";"f_Target Income Statement",#N/A,FALSE,"Financials";"g_Target Balance Sheet",#N/A,FALSE,"Financials";"h_Target Cashflow Statement",#N/A,FALSE,"Financials"}</definedName>
    <definedName name="wrn.Target._3_5_1" hidden="1">{"e_Target Assumptions",#N/A,FALSE,"Financials";"f_Target Income Statement",#N/A,FALSE,"Financials";"g_Target Balance Sheet",#N/A,FALSE,"Financials";"h_Target Cashflow Statement",#N/A,FALSE,"Financials"}</definedName>
    <definedName name="wrn.Target._3_5_1_1" hidden="1">{"e_Target Assumptions",#N/A,FALSE,"Financials";"f_Target Income Statement",#N/A,FALSE,"Financials";"g_Target Balance Sheet",#N/A,FALSE,"Financials";"h_Target Cashflow Statement",#N/A,FALSE,"Financials"}</definedName>
    <definedName name="wrn.Target._3_5_1_2" hidden="1">{"e_Target Assumptions",#N/A,FALSE,"Financials";"f_Target Income Statement",#N/A,FALSE,"Financials";"g_Target Balance Sheet",#N/A,FALSE,"Financials";"h_Target Cashflow Statement",#N/A,FALSE,"Financials"}</definedName>
    <definedName name="wrn.Target._3_5_2" hidden="1">{"e_Target Assumptions",#N/A,FALSE,"Financials";"f_Target Income Statement",#N/A,FALSE,"Financials";"g_Target Balance Sheet",#N/A,FALSE,"Financials";"h_Target Cashflow Statement",#N/A,FALSE,"Financials"}</definedName>
    <definedName name="wrn.Target._3_5_2_1" hidden="1">{"e_Target Assumptions",#N/A,FALSE,"Financials";"f_Target Income Statement",#N/A,FALSE,"Financials";"g_Target Balance Sheet",#N/A,FALSE,"Financials";"h_Target Cashflow Statement",#N/A,FALSE,"Financials"}</definedName>
    <definedName name="wrn.Target._3_5_2_2" hidden="1">{"e_Target Assumptions",#N/A,FALSE,"Financials";"f_Target Income Statement",#N/A,FALSE,"Financials";"g_Target Balance Sheet",#N/A,FALSE,"Financials";"h_Target Cashflow Statement",#N/A,FALSE,"Financials"}</definedName>
    <definedName name="wrn.Target._3_5_3" hidden="1">{"e_Target Assumptions",#N/A,FALSE,"Financials";"f_Target Income Statement",#N/A,FALSE,"Financials";"g_Target Balance Sheet",#N/A,FALSE,"Financials";"h_Target Cashflow Statement",#N/A,FALSE,"Financials"}</definedName>
    <definedName name="wrn.Target._3_5_4" hidden="1">{"e_Target Assumptions",#N/A,FALSE,"Financials";"f_Target Income Statement",#N/A,FALSE,"Financials";"g_Target Balance Sheet",#N/A,FALSE,"Financials";"h_Target Cashflow Statement",#N/A,FALSE,"Financials"}</definedName>
    <definedName name="wrn.Target._4" hidden="1">{"e_Target Assumptions",#N/A,FALSE,"Financials";"f_Target Income Statement",#N/A,FALSE,"Financials";"g_Target Balance Sheet",#N/A,FALSE,"Financials";"h_Target Cashflow Statement",#N/A,FALSE,"Financials"}</definedName>
    <definedName name="wrn.Target._4_1" hidden="1">{"e_Target Assumptions",#N/A,FALSE,"Financials";"f_Target Income Statement",#N/A,FALSE,"Financials";"g_Target Balance Sheet",#N/A,FALSE,"Financials";"h_Target Cashflow Statement",#N/A,FALSE,"Financials"}</definedName>
    <definedName name="wrn.Target._4_1_1" hidden="1">{"e_Target Assumptions",#N/A,FALSE,"Financials";"f_Target Income Statement",#N/A,FALSE,"Financials";"g_Target Balance Sheet",#N/A,FALSE,"Financials";"h_Target Cashflow Statement",#N/A,FALSE,"Financials"}</definedName>
    <definedName name="wrn.Target._4_1_2" hidden="1">{"e_Target Assumptions",#N/A,FALSE,"Financials";"f_Target Income Statement",#N/A,FALSE,"Financials";"g_Target Balance Sheet",#N/A,FALSE,"Financials";"h_Target Cashflow Statement",#N/A,FALSE,"Financials"}</definedName>
    <definedName name="wrn.Target._4_2" hidden="1">{"e_Target Assumptions",#N/A,FALSE,"Financials";"f_Target Income Statement",#N/A,FALSE,"Financials";"g_Target Balance Sheet",#N/A,FALSE,"Financials";"h_Target Cashflow Statement",#N/A,FALSE,"Financials"}</definedName>
    <definedName name="wrn.Target._4_2_1" hidden="1">{"e_Target Assumptions",#N/A,FALSE,"Financials";"f_Target Income Statement",#N/A,FALSE,"Financials";"g_Target Balance Sheet",#N/A,FALSE,"Financials";"h_Target Cashflow Statement",#N/A,FALSE,"Financials"}</definedName>
    <definedName name="wrn.Target._4_2_2" hidden="1">{"e_Target Assumptions",#N/A,FALSE,"Financials";"f_Target Income Statement",#N/A,FALSE,"Financials";"g_Target Balance Sheet",#N/A,FALSE,"Financials";"h_Target Cashflow Statement",#N/A,FALSE,"Financials"}</definedName>
    <definedName name="wrn.Target._4_3" hidden="1">{"e_Target Assumptions",#N/A,FALSE,"Financials";"f_Target Income Statement",#N/A,FALSE,"Financials";"g_Target Balance Sheet",#N/A,FALSE,"Financials";"h_Target Cashflow Statement",#N/A,FALSE,"Financials"}</definedName>
    <definedName name="wrn.Target._4_4" hidden="1">{"e_Target Assumptions",#N/A,FALSE,"Financials";"f_Target Income Statement",#N/A,FALSE,"Financials";"g_Target Balance Sheet",#N/A,FALSE,"Financials";"h_Target Cashflow Statement",#N/A,FALSE,"Financials"}</definedName>
    <definedName name="wrn.Target._5" hidden="1">{"e_Target Assumptions",#N/A,FALSE,"Financials";"f_Target Income Statement",#N/A,FALSE,"Financials";"g_Target Balance Sheet",#N/A,FALSE,"Financials";"h_Target Cashflow Statement",#N/A,FALSE,"Financials"}</definedName>
    <definedName name="wrn.Target._5_1" hidden="1">{"e_Target Assumptions",#N/A,FALSE,"Financials";"f_Target Income Statement",#N/A,FALSE,"Financials";"g_Target Balance Sheet",#N/A,FALSE,"Financials";"h_Target Cashflow Statement",#N/A,FALSE,"Financials"}</definedName>
    <definedName name="wrn.Target._5_1_1" hidden="1">{"e_Target Assumptions",#N/A,FALSE,"Financials";"f_Target Income Statement",#N/A,FALSE,"Financials";"g_Target Balance Sheet",#N/A,FALSE,"Financials";"h_Target Cashflow Statement",#N/A,FALSE,"Financials"}</definedName>
    <definedName name="wrn.Target._5_1_2" hidden="1">{"e_Target Assumptions",#N/A,FALSE,"Financials";"f_Target Income Statement",#N/A,FALSE,"Financials";"g_Target Balance Sheet",#N/A,FALSE,"Financials";"h_Target Cashflow Statement",#N/A,FALSE,"Financials"}</definedName>
    <definedName name="wrn.Target._5_2" hidden="1">{"e_Target Assumptions",#N/A,FALSE,"Financials";"f_Target Income Statement",#N/A,FALSE,"Financials";"g_Target Balance Sheet",#N/A,FALSE,"Financials";"h_Target Cashflow Statement",#N/A,FALSE,"Financials"}</definedName>
    <definedName name="wrn.Target._5_2_1" hidden="1">{"e_Target Assumptions",#N/A,FALSE,"Financials";"f_Target Income Statement",#N/A,FALSE,"Financials";"g_Target Balance Sheet",#N/A,FALSE,"Financials";"h_Target Cashflow Statement",#N/A,FALSE,"Financials"}</definedName>
    <definedName name="wrn.Target._5_2_2" hidden="1">{"e_Target Assumptions",#N/A,FALSE,"Financials";"f_Target Income Statement",#N/A,FALSE,"Financials";"g_Target Balance Sheet",#N/A,FALSE,"Financials";"h_Target Cashflow Statement",#N/A,FALSE,"Financials"}</definedName>
    <definedName name="wrn.Target._5_3" hidden="1">{"e_Target Assumptions",#N/A,FALSE,"Financials";"f_Target Income Statement",#N/A,FALSE,"Financials";"g_Target Balance Sheet",#N/A,FALSE,"Financials";"h_Target Cashflow Statement",#N/A,FALSE,"Financials"}</definedName>
    <definedName name="wrn.Target._5_4" hidden="1">{"e_Target Assumptions",#N/A,FALSE,"Financials";"f_Target Income Statement",#N/A,FALSE,"Financials";"g_Target Balance Sheet",#N/A,FALSE,"Financials";"h_Target Cashflow Statement",#N/A,FALSE,"Financials"}</definedName>
    <definedName name="wrn.Tariff._.Analysis." localSheetId="8" hidden="1">{"Tarifica91",#N/A,FALSE,"Tariffs";"Tarifica92",#N/A,FALSE,"Tariffs";"Tarifica93",#N/A,FALSE,"Tariffs";"Tarifica94",#N/A,FALSE,"Tariffs";"Tarifica95",#N/A,FALSE,"Tariffs";"Tarifica96",#N/A,FALSE,"Tariffs"}</definedName>
    <definedName name="wrn.Tariff._.Analysis." hidden="1">{"Tarifica91",#N/A,FALSE,"Tariffs";"Tarifica92",#N/A,FALSE,"Tariffs";"Tarifica93",#N/A,FALSE,"Tariffs";"Tarifica94",#N/A,FALSE,"Tariffs";"Tarifica95",#N/A,FALSE,"Tariffs";"Tarifica96",#N/A,FALSE,"Tariffs"}</definedName>
    <definedName name="wrn.Tariff._.Comaprison." localSheetId="8" hidden="1">{"Tariff Comparison",#N/A,FALSE,"Benchmarking";"Tariff Comparison 2",#N/A,FALSE,"Benchmarking";"Tariff Comparison 3",#N/A,FALSE,"Benchmarking"}</definedName>
    <definedName name="wrn.Tariff._.Comaprison." hidden="1">{"Tariff Comparison",#N/A,FALSE,"Benchmarking";"Tariff Comparison 2",#N/A,FALSE,"Benchmarking";"Tariff Comparison 3",#N/A,FALSE,"Benchmarking"}</definedName>
    <definedName name="wrn.tavole_supporto." localSheetId="8" hidden="1">{"Cop_tav_supp",#N/A,FALSE,"Copertine";"pag1e2_s",#N/A,FALSE,"Indici";"pag3_6_s",#N/A,FALSE,"P.F.";"pag7e8_s",#N/A,FALSE,"Fondi";"pag9_s",#N/A,FALSE,"Fondi";"pag10_12_s",#N/A,FALSE,"Commissioni rete";"pag13e14_s",#N/A,FALSE,"Titoli";"pag15_s",#N/A,FALSE,"C.C. e P.E.";"pag16_20_s",#N/A,FALSE,"C.E_BF";"pag21_s",#N/A,FALSE,"C.E_BF";"pag22_s",#N/A,FALSE,"C.E_BF"}</definedName>
    <definedName name="wrn.tavole_supporto." hidden="1">{"Cop_tav_supp",#N/A,FALSE,"Copertine";"pag1e2_s",#N/A,FALSE,"Indici";"pag3_6_s",#N/A,FALSE,"P.F.";"pag7e8_s",#N/A,FALSE,"Fondi";"pag9_s",#N/A,FALSE,"Fondi";"pag10_12_s",#N/A,FALSE,"Commissioni rete";"pag13e14_s",#N/A,FALSE,"Titoli";"pag15_s",#N/A,FALSE,"C.C. e P.E.";"pag16_20_s",#N/A,FALSE,"C.E_BF";"pag21_s",#N/A,FALSE,"C.E_BF";"pag22_s",#N/A,FALSE,"C.E_BF"}</definedName>
    <definedName name="wrn.tavole_supporto._1" localSheetId="8" hidden="1">{"Cop_tav_supp",#N/A,FALSE,"Copertine";"pag1e2_s",#N/A,FALSE,"Indici";"pag3_6_s",#N/A,FALSE,"P.F.";"pag7e8_s",#N/A,FALSE,"Fondi";"pag9_s",#N/A,FALSE,"Fondi";"pag10_12_s",#N/A,FALSE,"Commissioni rete";"pag13e14_s",#N/A,FALSE,"Titoli";"pag15_s",#N/A,FALSE,"C.C. e P.E.";"pag16_20_s",#N/A,FALSE,"C.E_BF";"pag21_s",#N/A,FALSE,"C.E_BF";"pag22_s",#N/A,FALSE,"C.E_BF"}</definedName>
    <definedName name="wrn.tavole_supporto._1" hidden="1">{"Cop_tav_supp",#N/A,FALSE,"Copertine";"pag1e2_s",#N/A,FALSE,"Indici";"pag3_6_s",#N/A,FALSE,"P.F.";"pag7e8_s",#N/A,FALSE,"Fondi";"pag9_s",#N/A,FALSE,"Fondi";"pag10_12_s",#N/A,FALSE,"Commissioni rete";"pag13e14_s",#N/A,FALSE,"Titoli";"pag15_s",#N/A,FALSE,"C.C. e P.E.";"pag16_20_s",#N/A,FALSE,"C.E_BF";"pag21_s",#N/A,FALSE,"C.E_BF";"pag22_s",#N/A,FALSE,"C.E_BF"}</definedName>
    <definedName name="wrn.Tax._.Accrual._.Worksheets." localSheetId="8" hidden="1">{#N/A,#N/A,FALSE,"Federal";#N/A,#N/A,FALSE,"NYS";#N/A,#N/A,FALSE,"NYC"}</definedName>
    <definedName name="wrn.Tax._.Accrual._.Worksheets." hidden="1">{#N/A,#N/A,FALSE,"Federal";#N/A,#N/A,FALSE,"NYS";#N/A,#N/A,FALSE,"NYC"}</definedName>
    <definedName name="wrn.Tax._.Accrual._.Worksheets._1" localSheetId="8" hidden="1">{#N/A,#N/A,FALSE,"Federal";#N/A,#N/A,FALSE,"NYS";#N/A,#N/A,FALSE,"NYC"}</definedName>
    <definedName name="wrn.Tax._.Accrual._.Worksheets._1" hidden="1">{#N/A,#N/A,FALSE,"Federal";#N/A,#N/A,FALSE,"NYS";#N/A,#N/A,FALSE,"NYC"}</definedName>
    <definedName name="wrn.TCR." localSheetId="8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wrn.TCR.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wrn.TCR._1" localSheetId="8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wrn.TCR._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wrn.Tech." localSheetId="8" hidden="1">{"Exp",#N/A,FALSE,"Technical";"Sal",#N/A,FALSE,"Technical";"Sum",#N/A,FALSE,"Technical"}</definedName>
    <definedName name="wrn.Tech." hidden="1">{"Exp",#N/A,FALSE,"Technical";"Sal",#N/A,FALSE,"Technical";"Sum",#N/A,FALSE,"Technical"}</definedName>
    <definedName name="wrn.TECHCALC." localSheetId="8" hidden="1">{"tc1",#N/A,FALSE,"L";"tc2",#N/A,FALSE,"L";"tc3",#N/A,FALSE,"L";"tc4",#N/A,FALSE,"L";"tc5",#N/A,FALSE,"L";"tc6",#N/A,FALSE,"L";"tc7",#N/A,FALSE,"L";"tc8",#N/A,FALSE,"L";"tc9",#N/A,FALSE,"L"}</definedName>
    <definedName name="wrn.TECHCALC." hidden="1">{"tc1",#N/A,FALSE,"L";"tc2",#N/A,FALSE,"L";"tc3",#N/A,FALSE,"L";"tc4",#N/A,FALSE,"L";"tc5",#N/A,FALSE,"L";"tc6",#N/A,FALSE,"L";"tc7",#N/A,FALSE,"L";"tc8",#N/A,FALSE,"L";"tc9",#N/A,FALSE,"L"}</definedName>
    <definedName name="wrn.technology." hidden="1">{"developed valuation",#N/A,FALSE,"Valuation Analysis";"developed income statement",#N/A,FALSE,"Abbreviated Income Statement";"inprocess valuation",#N/A,FALSE,"Valuation Analysis";"inprocess income statement",#N/A,FALSE,"Abbreviated Income Statement"}</definedName>
    <definedName name="wrn.TELEFONICA." hidden="1">{#N/A,#N/A,FALSE,"Balances";#N/A,#N/A,FALSE,"ANEX-1";#N/A,#N/A,FALSE,"ANEX.2";#N/A,#N/A,FALSE,"ANEX-3";#N/A,#N/A,FALSE,"ANEX.4";#N/A,#N/A,FALSE,"ANEX-5";#N/A,#N/A,FALSE,"ANEX-7 (último)";#N/A,#N/A,FALSE,"ANEX-6"}</definedName>
    <definedName name="wrn.Telefonica1." hidden="1">{#N/A,#N/A,FALSE,"Balances";#N/A,#N/A,FALSE,"ANEX-3";#N/A,#N/A,FALSE,"ANEX-7 (último)";#N/A,#N/A,FALSE,"CTC-96";#N/A,#N/A,FALSE,"PERU-96";#N/A,#N/A,FALSE,"TLD-96";#N/A,#N/A,FALSE,"TISA-96";#N/A,#N/A,FALSE,"Inversiones 1996";#N/A,#N/A,FALSE,"ANEX.2";#N/A,#N/A,FALSE,"ANEX-5"}</definedName>
    <definedName name="wrn.Telet." hidden="1">{#N/A,#N/A,FALSE,"Valuation Summary";#N/A,#N/A,FALSE,"BT IS";#N/A,#N/A,FALSE,"BT CF";#N/A,#N/A,FALSE,"BT BS";#N/A,#N/A,FALSE,"BT FCF";#N/A,#N/A,FALSE,"BT Model";#N/A,#N/A,FALSE,"BT Finance"}</definedName>
    <definedName name="wrn.temp." localSheetId="8" hidden="1">{"a 1",#N/A,FALSE,"Project Cash Flows"}</definedName>
    <definedName name="wrn.temp." hidden="1">{"a 1",#N/A,FALSE,"Project Cash Flows"}</definedName>
    <definedName name="wrn.TESA." hidden="1">{#N/A,#N/A,FALSE,"Diferencias de cambio";#N/A,#N/A,FALSE,"Personal Categorías y Lineas";#N/A,#N/A,FALSE,"Impuestos antic. y diferidos";#N/A,#N/A,FALSE,"Inmovilizado Material";#N/A,#N/A,FALSE,"Inmovilizado Inmaterial";#N/A,#N/A,FALSE,"Desglose Inst. Telefónicas";#N/A,#N/A,FALSE,"Cotizaciones";#N/A,#N/A,FALSE,"Ingresos y Gastos emp. grupo";#N/A,#N/A,FALSE,"Acreedores diversos";#N/A,#N/A,FALSE,"Admones. Pcas.";#N/A,#N/A,FALSE,"Venta de Participaciones";#N/A,#N/A,FALSE,"Coef. Amortizacion";#N/A,#N/A,FALSE,"Ingresos distribuir";#N/A,#N/A,FALSE,"Clientes";#N/A,#N/A,FALSE,"Socios Externos Movimiento";#N/A,#N/A,FALSE,"Coste Financiero Obligaciones";#N/A,#N/A,FALSE,"Obligaciones Movimiento";#N/A,#N/A,FALSE,"Obligaciones Vencimientos";#N/A,#N/A,FALSE,"Tipos de prestamos";#N/A,#N/A,FALSE,"Información Swap´s";#N/A,#N/A,FALSE,"Préstamos formato TESA";#N/A,#N/A,FALSE,"Préstamos Vencimientos";#N/A,#N/A,FALSE,"Prov. Riesgos y gastos";#N/A,#N/A,FALSE,"Cuentas deudoras y acreedoras";#N/A,#N/A,FALSE,"Fondo de Comercio";#N/A,#N/A,FALSE,"Gastos Distribuir";#N/A,#N/A,FALSE,"Participaciones";#N/A,#N/A,FALSE,"Ingresos y gastos extraord.";#N/A,#N/A,FALSE,"Invovilizado Amortizado";#N/A,#N/A,FALSE,"Fondos Própios";#N/A,#N/A,FALSE,"Movimiento de Reservas";#N/A,#N/A,FALSE,"Diferencias de cambio";#N/A,#N/A,FALSE,"Socios Externos"}</definedName>
    <definedName name="wrn.test." localSheetId="7" hidden="1">{"test2",#N/A,TRUE,"Prices"}</definedName>
    <definedName name="wrn.test." localSheetId="8" hidden="1">{"test2",#N/A,TRUE,"Prices"}</definedName>
    <definedName name="wrn.test." hidden="1">{"test2",#N/A,TRUE,"Prices"}</definedName>
    <definedName name="wrn.test._1" localSheetId="8" hidden="1">{"test2",#N/A,TRUE,"Prices"}</definedName>
    <definedName name="wrn.test._1" hidden="1">{"test2",#N/A,TRUE,"Prices"}</definedName>
    <definedName name="wrn.Test1." localSheetId="8" hidden="1">{#N/A,#N/A,TRUE,"CPC Germany Brands"}</definedName>
    <definedName name="wrn.Test1." hidden="1">{#N/A,#N/A,TRUE,"CPC Germany Brands"}</definedName>
    <definedName name="wrn.testo." localSheetId="8" hidden="1">{"Cop_testo",#N/A,FALSE,"Copertine";"testo_pag1_4",#N/A,FALSE,"Testo";"pag5",#N/A,FALSE,"P.F.";"pag6.7",#N/A,FALSE,"Ipotesi generali";"testo_pag8_9",#N/A,FALSE,"Testo";"pag10",#N/A,FALSE,"Flussi e stock";"testo_pag_11",#N/A,FALSE,"Testo";"pag12.14",#N/A,FALSE,"Fondi";"testo_pag_15",#N/A,FALSE,"Testo";"pag16_17",#N/A,FALSE,"Fondi";"pag18",#N/A,FALSE,"Fondi";"testo_pag_19",#N/A,FALSE,"Testo";"pag20",#N/A,FALSE,"Commissioni rete";"testo_pag_21",#N/A,FALSE,"Testo";"pag22",#N/A,FALSE,"NVV";"testo_pag_23",#N/A,FALSE,"Testo";"pag24",#N/A,FALSE,"Costi operativi";"testo_pag_25",#N/A,FALSE,"Testo";"pag26",#N/A,FALSE,"C.E_BF";"pag27",#N/A,FALSE,"C.E_BF";"testo_pag_28_29",#N/A,FALSE,"Testo";"pag30_36",#N/A,FALSE,"C.E_Soc_prod";"testo_pag37_42",#N/A,FALSE,"Testo"}</definedName>
    <definedName name="wrn.testo." hidden="1">{"Cop_testo",#N/A,FALSE,"Copertine";"testo_pag1_4",#N/A,FALSE,"Testo";"pag5",#N/A,FALSE,"P.F.";"pag6.7",#N/A,FALSE,"Ipotesi generali";"testo_pag8_9",#N/A,FALSE,"Testo";"pag10",#N/A,FALSE,"Flussi e stock";"testo_pag_11",#N/A,FALSE,"Testo";"pag12.14",#N/A,FALSE,"Fondi";"testo_pag_15",#N/A,FALSE,"Testo";"pag16_17",#N/A,FALSE,"Fondi";"pag18",#N/A,FALSE,"Fondi";"testo_pag_19",#N/A,FALSE,"Testo";"pag20",#N/A,FALSE,"Commissioni rete";"testo_pag_21",#N/A,FALSE,"Testo";"pag22",#N/A,FALSE,"NVV";"testo_pag_23",#N/A,FALSE,"Testo";"pag24",#N/A,FALSE,"Costi operativi";"testo_pag_25",#N/A,FALSE,"Testo";"pag26",#N/A,FALSE,"C.E_BF";"pag27",#N/A,FALSE,"C.E_BF";"testo_pag_28_29",#N/A,FALSE,"Testo";"pag30_36",#N/A,FALSE,"C.E_Soc_prod";"testo_pag37_42",#N/A,FALSE,"Testo"}</definedName>
    <definedName name="wrn.testo._1" localSheetId="8" hidden="1">{"Cop_testo",#N/A,FALSE,"Copertine";"testo_pag1_4",#N/A,FALSE,"Testo";"pag5",#N/A,FALSE,"P.F.";"pag6.7",#N/A,FALSE,"Ipotesi generali";"testo_pag8_9",#N/A,FALSE,"Testo";"pag10",#N/A,FALSE,"Flussi e stock";"testo_pag_11",#N/A,FALSE,"Testo";"pag12.14",#N/A,FALSE,"Fondi";"testo_pag_15",#N/A,FALSE,"Testo";"pag16_17",#N/A,FALSE,"Fondi";"pag18",#N/A,FALSE,"Fondi";"testo_pag_19",#N/A,FALSE,"Testo";"pag20",#N/A,FALSE,"Commissioni rete";"testo_pag_21",#N/A,FALSE,"Testo";"pag22",#N/A,FALSE,"NVV";"testo_pag_23",#N/A,FALSE,"Testo";"pag24",#N/A,FALSE,"Costi operativi";"testo_pag_25",#N/A,FALSE,"Testo";"pag26",#N/A,FALSE,"C.E_BF";"pag27",#N/A,FALSE,"C.E_BF";"testo_pag_28_29",#N/A,FALSE,"Testo";"pag30_36",#N/A,FALSE,"C.E_Soc_prod";"testo_pag37_42",#N/A,FALSE,"Testo"}</definedName>
    <definedName name="wrn.testo._1" hidden="1">{"Cop_testo",#N/A,FALSE,"Copertine";"testo_pag1_4",#N/A,FALSE,"Testo";"pag5",#N/A,FALSE,"P.F.";"pag6.7",#N/A,FALSE,"Ipotesi generali";"testo_pag8_9",#N/A,FALSE,"Testo";"pag10",#N/A,FALSE,"Flussi e stock";"testo_pag_11",#N/A,FALSE,"Testo";"pag12.14",#N/A,FALSE,"Fondi";"testo_pag_15",#N/A,FALSE,"Testo";"pag16_17",#N/A,FALSE,"Fondi";"pag18",#N/A,FALSE,"Fondi";"testo_pag_19",#N/A,FALSE,"Testo";"pag20",#N/A,FALSE,"Commissioni rete";"testo_pag_21",#N/A,FALSE,"Testo";"pag22",#N/A,FALSE,"NVV";"testo_pag_23",#N/A,FALSE,"Testo";"pag24",#N/A,FALSE,"Costi operativi";"testo_pag_25",#N/A,FALSE,"Testo";"pag26",#N/A,FALSE,"C.E_BF";"pag27",#N/A,FALSE,"C.E_BF";"testo_pag_28_29",#N/A,FALSE,"Testo";"pag30_36",#N/A,FALSE,"C.E_Soc_prod";"testo_pag37_42",#N/A,FALSE,"Testo"}</definedName>
    <definedName name="wrn.Things." localSheetId="8" hidden="1">{#N/A,#N/A,FALSE,"Bank Rec Cover Sheet";#N/A,#N/A,FALSE,"Bank Rec Details"}</definedName>
    <definedName name="wrn.Things." hidden="1">{#N/A,#N/A,FALSE,"Bank Rec Cover Sheet";#N/A,#N/A,FALSE,"Bank Rec Details"}</definedName>
    <definedName name="wrn.Thomas_Case." localSheetId="8" hidden="1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definedName>
    <definedName name="wrn.Thomas_Case." hidden="1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definedName>
    <definedName name="wrn.Thomas_Case._1" localSheetId="8" hidden="1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definedName>
    <definedName name="wrn.Thomas_Case._1" hidden="1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definedName>
    <definedName name="wrn.Todas._.las._.tablas." localSheetId="8" hidden="1">{#N/A,#N/A,FALSE,"Resumen";#N/A,#N/A,FALSE,"Full";#N/A,"Carabeer",FALSE,"Dscto.";#N/A,"Disbracentro",FALSE,"Dscto.";#N/A,"Andes",FALSE,"Dscto.";#N/A,"Mar Caribe",FALSE,"Dscto.";#N/A,"Río Beer",FALSE,"Dscto.";#N/A,#N/A,FALSE,"P.L.Full";#N/A,#N/A,FALSE,"P.L.Desc."}</definedName>
    <definedName name="wrn.Todas._.las._.tablas." hidden="1">{#N/A,#N/A,FALSE,"Resumen";#N/A,#N/A,FALSE,"Full";#N/A,"Carabeer",FALSE,"Dscto.";#N/A,"Disbracentro",FALSE,"Dscto.";#N/A,"Andes",FALSE,"Dscto.";#N/A,"Mar Caribe",FALSE,"Dscto.";#N/A,"Río Beer",FALSE,"Dscto.";#N/A,#N/A,FALSE,"P.L.Full";#N/A,#N/A,FALSE,"P.L.Desc."}</definedName>
    <definedName name="wrn.Todas._.las._.tablas._1" localSheetId="8" hidden="1">{#N/A,#N/A,FALSE,"Resumen";#N/A,#N/A,FALSE,"Full";#N/A,"Carabeer",FALSE,"Dscto.";#N/A,"Disbracentro",FALSE,"Dscto.";#N/A,"Andes",FALSE,"Dscto.";#N/A,"Mar Caribe",FALSE,"Dscto.";#N/A,"Río Beer",FALSE,"Dscto.";#N/A,#N/A,FALSE,"P.L.Full";#N/A,#N/A,FALSE,"P.L.Desc."}</definedName>
    <definedName name="wrn.Todas._.las._.tablas._1" hidden="1">{#N/A,#N/A,FALSE,"Resumen";#N/A,#N/A,FALSE,"Full";#N/A,"Carabeer",FALSE,"Dscto.";#N/A,"Disbracentro",FALSE,"Dscto.";#N/A,"Andes",FALSE,"Dscto.";#N/A,"Mar Caribe",FALSE,"Dscto.";#N/A,"Río Beer",FALSE,"Dscto.";#N/A,#N/A,FALSE,"P.L.Full";#N/A,#N/A,FALSE,"P.L.Desc."}</definedName>
    <definedName name="wrn.todo." localSheetId="7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wrn.todo." localSheetId="8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wrn.todo." hidden="1">{"Largo",#N/A,FALSE,"FSCONSO";"Corto",#N/A,FALSE,"FSCONSO";"pl",#N/A,FALSE,"FSCONSO"}</definedName>
    <definedName name="wrn.todo._1" localSheetId="7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wrn.todo._1" localSheetId="8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wrn.todo._1" hidden="1">{"Largo",#N/A,FALSE,"FSCONSO";"Corto",#N/A,FALSE,"FSCONSO";"pl",#N/A,FALSE,"FSCONSO"}</definedName>
    <definedName name="wrn.todo2." localSheetId="8" hidden="1">{"Largo",#N/A,FALSE,"FSMILES (1)";"Corto",#N/A,FALSE,"FSMILES (1)";"PL",#N/A,FALSE,"FSMILES (1)"}</definedName>
    <definedName name="wrn.todo2." hidden="1">{"Largo",#N/A,FALSE,"FSMILES (1)";"Corto",#N/A,FALSE,"FSMILES (1)";"PL",#N/A,FALSE,"FSMILES (1)"}</definedName>
    <definedName name="wrn.todo2._1" localSheetId="8" hidden="1">{"Largo",#N/A,FALSE,"FSMILES (1)";"Corto",#N/A,FALSE,"FSMILES (1)";"PL",#N/A,FALSE,"FSMILES (1)"}</definedName>
    <definedName name="wrn.todo2._1" hidden="1">{"Largo",#N/A,FALSE,"FSMILES (1)";"Corto",#N/A,FALSE,"FSMILES (1)";"PL",#N/A,FALSE,"FSMILES (1)"}</definedName>
    <definedName name="wrn.TODOS." localSheetId="8" hidden="1">{#N/A,#N/A,FALSE,"fid.exp2";#N/A,#N/A,FALSE,"fil.exp2";#N/A,#N/A,FALSE,"fil.nac2"}</definedName>
    <definedName name="wrn.TODOS." hidden="1">{#N/A,#N/A,FALSE,"fid.exp2";#N/A,#N/A,FALSE,"fil.exp2";#N/A,#N/A,FALSE,"fil.nac2"}</definedName>
    <definedName name="wrn.TODOS._1" localSheetId="8" hidden="1">{#N/A,#N/A,FALSE,"fid.exp2";#N/A,#N/A,FALSE,"fil.exp2";#N/A,#N/A,FALSE,"fil.nac2"}</definedName>
    <definedName name="wrn.TODOS._1" hidden="1">{#N/A,#N/A,FALSE,"fid.exp2";#N/A,#N/A,FALSE,"fil.exp2";#N/A,#N/A,FALSE,"fil.nac2"}</definedName>
    <definedName name="wrn.tot_bow." hidden="1">{"tot_bow",#N/A,FALSE,"AMF"}</definedName>
    <definedName name="wrn.TOT_DIVISÕES." hidden="1">{"TOT_DIVISÕES",#N/A,FALSE,"TOT"}</definedName>
    <definedName name="wrn.tot_pls." hidden="1">{"tot_pls",#N/A,FALSE,"PL"}</definedName>
    <definedName name="wrn.tot_pqs." hidden="1">{"tot_pqs",#N/A,FALSE,"PQ"}</definedName>
    <definedName name="wrn.Tota._.Division103a" localSheetId="8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._.Division103a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._Division31" localSheetId="8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._Division3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" localSheetId="8" hidden="1">{"MAJTotal",#N/A,FALSE,"MAJ";"BISTotal",#N/A,FALSE,"BIS";"SMETotal",#N/A,FALSE,"SME";"SMMTotal",#N/A,FALSE,"SMM";"SMPTotal",#N/A,FALSE,"SMP";"SMCTotal",#N/A,FALSE,"SMC";"SMRTotal",#N/A,FALSE,"SMR";"CNSTotal",#N/A,FALSE,"CNS";"REGTotal",#N/A,FALSE,"REG";"ALTTotal",#N/A,FALSE,"ALT";"PMTTotal",#N/A,FALSE,"PMT";"CPSTotal",#N/A,FALSE,"CPS";"SERTotal",#N/A,FALSE,"SER";"TATTotal",#N/A,FALSE,"TAT";"BILTotal",#N/A,FALSE,"BIL";"FINTotal",#N/A,FALSE,"FIN";"HRSTotal",#N/A,FALSE,"HRS";"CEOTotal",#N/A,FALSE,"CEO";"STPTotal",#N/A,FALSE,"STP";"ELITotal",#N/A,FALSE,"ELI";"OTHTotal",#N/A,FALSE,"OTH";"CTGTotal",#N/A,FALSE,"CTG";"CENTotal",#N/A,FALSE,"CEN";"TOTTotal",#N/A,FALSE,"TOT"}</definedName>
    <definedName name="wrn.Total." hidden="1">{"Parcial",#N/A,FALSE,"GastFuncionamiento";"Parcial2",#N/A,FALSE,"GastFuncionamiento";"Total",#N/A,FALSE,"GastFuncionamiento"}</definedName>
    <definedName name="wrn.Total._.Business." localSheetId="7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wrn.Total._.Business." localSheetId="8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wrn.Total._.Business.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wrn.Total._.Chem._.Balance._.Sheet." localSheetId="8" hidden="1">{#N/A,"TCHEM",FALSE,"BSHIST.XLS"}</definedName>
    <definedName name="wrn.Total._.Chem._.Balance._.Sheet." hidden="1">{#N/A,"TCHEM",FALSE,"BSHIST.XLS"}</definedName>
    <definedName name="wrn.Total._.Company._.Reforecast._.Print." localSheetId="8" hidden="1">{#N/A,#N/A,FALSE,"RF Inc Stmt ";#N/A,#N/A,FALSE,"RFN-IS-SUM";#N/A,#N/A,FALSE,"RFN-IS-1";#N/A,#N/A,FALSE,"RFN-IS-2";#N/A,#N/A,FALSE,"RFN-IS-3";#N/A,#N/A,FALSE,"RFN-IS-4";#N/A,#N/A,FALSE,"RFN-IS-5";#N/A,#N/A,FALSE,"RFN-IS-6";#N/A,#N/A,FALSE,"RFN-IS-7";#N/A,#N/A,FALSE,"RFN-IS-8";#N/A,#N/A,FALSE,"RFN-IS-9";#N/A,#N/A,FALSE,"RFN-IS-10";#N/A,#N/A,FALSE,"RFN-IS-11";#N/A,#N/A,FALSE,"RFA-IS-SUM";#N/A,#N/A,FALSE,"RFA-IS-1";#N/A,#N/A,FALSE,"RFA-IS-2";#N/A,#N/A,FALSE,"RFA-IS-3";#N/A,#N/A,FALSE,"RFA-IS-4";#N/A,#N/A,FALSE,"RFA-IS-5";#N/A,#N/A,FALSE,"RFA-IS-6"}</definedName>
    <definedName name="wrn.Total._.Company._.Reforecast._.Print." hidden="1">{#N/A,#N/A,FALSE,"RF Inc Stmt ";#N/A,#N/A,FALSE,"RFN-IS-SUM";#N/A,#N/A,FALSE,"RFN-IS-1";#N/A,#N/A,FALSE,"RFN-IS-2";#N/A,#N/A,FALSE,"RFN-IS-3";#N/A,#N/A,FALSE,"RFN-IS-4";#N/A,#N/A,FALSE,"RFN-IS-5";#N/A,#N/A,FALSE,"RFN-IS-6";#N/A,#N/A,FALSE,"RFN-IS-7";#N/A,#N/A,FALSE,"RFN-IS-8";#N/A,#N/A,FALSE,"RFN-IS-9";#N/A,#N/A,FALSE,"RFN-IS-10";#N/A,#N/A,FALSE,"RFN-IS-11";#N/A,#N/A,FALSE,"RFA-IS-SUM";#N/A,#N/A,FALSE,"RFA-IS-1";#N/A,#N/A,FALSE,"RFA-IS-2";#N/A,#N/A,FALSE,"RFA-IS-3";#N/A,#N/A,FALSE,"RFA-IS-4";#N/A,#N/A,FALSE,"RFA-IS-5";#N/A,#N/A,FALSE,"RFA-IS-6"}</definedName>
    <definedName name="wrn.Total._.Division" localSheetId="8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." localSheetId="8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.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.2" localSheetId="8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.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12" localSheetId="8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1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34" localSheetId="8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34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35" localSheetId="8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35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a1b" localSheetId="8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a1b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Informes." localSheetId="7" hidden="1">{#N/A,#N/A,FALSE,"CA";#N/A,#N/A,FALSE,"CN";#N/A,#N/A,FALSE,"Inv";#N/A,#N/A,FALSE,"Inv Acc";"Miguel_balance",#N/A,FALSE,"Bal";#N/A,#N/A,FALSE,"Plantilla";#N/A,#N/A,FALSE,"CA (2)";#N/A,#N/A,FALSE,"CN (2)"}</definedName>
    <definedName name="wrn.Total._.Informes." localSheetId="8" hidden="1">{#N/A,#N/A,FALSE,"CA";#N/A,#N/A,FALSE,"CN";#N/A,#N/A,FALSE,"Inv";#N/A,#N/A,FALSE,"Inv Acc";"Miguel_balance",#N/A,FALSE,"Bal";#N/A,#N/A,FALSE,"Plantilla";#N/A,#N/A,FALSE,"CA (2)";#N/A,#N/A,FALSE,"CN (2)"}</definedName>
    <definedName name="wrn.Total._.Informes." hidden="1">{#N/A,#N/A,FALSE,"CA";#N/A,#N/A,FALSE,"CN";#N/A,#N/A,FALSE,"Inv";#N/A,#N/A,FALSE,"Inv Acc";"Miguel_balance",#N/A,FALSE,"Bal";#N/A,#N/A,FALSE,"Plantilla";#N/A,#N/A,FALSE,"CA (2)";#N/A,#N/A,FALSE,"CN (2)"}</definedName>
    <definedName name="wrn.Total._.Informes._1" localSheetId="7" hidden="1">{#N/A,#N/A,FALSE,"CA";#N/A,#N/A,FALSE,"CN";#N/A,#N/A,FALSE,"Inv";#N/A,#N/A,FALSE,"Inv Acc";"Miguel_balance",#N/A,FALSE,"Bal";#N/A,#N/A,FALSE,"Plantilla";#N/A,#N/A,FALSE,"CA (2)";#N/A,#N/A,FALSE,"CN (2)"}</definedName>
    <definedName name="wrn.Total._.Informes._1" localSheetId="8" hidden="1">{#N/A,#N/A,FALSE,"CA";#N/A,#N/A,FALSE,"CN";#N/A,#N/A,FALSE,"Inv";#N/A,#N/A,FALSE,"Inv Acc";"Miguel_balance",#N/A,FALSE,"Bal";#N/A,#N/A,FALSE,"Plantilla";#N/A,#N/A,FALSE,"CA (2)";#N/A,#N/A,FALSE,"CN (2)"}</definedName>
    <definedName name="wrn.Total._.Informes._1" hidden="1">{#N/A,#N/A,FALSE,"CA";#N/A,#N/A,FALSE,"CN";#N/A,#N/A,FALSE,"Inv";#N/A,#N/A,FALSE,"Inv Acc";"Miguel_balance",#N/A,FALSE,"Bal";#N/A,#N/A,FALSE,"Plantilla";#N/A,#N/A,FALSE,"CA (2)";#N/A,#N/A,FALSE,"CN (2)"}</definedName>
    <definedName name="wrn.Total._.Market._.Report." localSheetId="7" hidden="1">{#N/A,#N/A,FALSE,"Sales Graph";#N/A,#N/A,FALSE,"BUC Graph";#N/A,#N/A,FALSE,"P&amp;L - YTD"}</definedName>
    <definedName name="wrn.Total._.Market._.Report." localSheetId="8" hidden="1">{#N/A,#N/A,FALSE,"Sales Graph";#N/A,#N/A,FALSE,"BUC Graph";#N/A,#N/A,FALSE,"P&amp;L - YTD"}</definedName>
    <definedName name="wrn.Total._.Market._.Report." hidden="1">{#N/A,#N/A,FALSE,"Sales Graph";#N/A,#N/A,FALSE,"BUC Graph";#N/A,#N/A,FALSE,"P&amp;L - YTD"}</definedName>
    <definedName name="wrn.total._Division11" localSheetId="8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Division1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Division32" localSheetId="8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Division3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1" localSheetId="8" hidden="1">{"MAJTotal",#N/A,FALSE,"MAJ";"BISTotal",#N/A,FALSE,"BIS";"SMETotal",#N/A,FALSE,"SME";"SMMTotal",#N/A,FALSE,"SMM";"SMPTotal",#N/A,FALSE,"SMP";"SMCTotal",#N/A,FALSE,"SMC";"SMRTotal",#N/A,FALSE,"SMR";"CNSTotal",#N/A,FALSE,"CNS";"REGTotal",#N/A,FALSE,"REG";"ALTTotal",#N/A,FALSE,"ALT";"PMTTotal",#N/A,FALSE,"PMT";"CPSTotal",#N/A,FALSE,"CPS";"SERTotal",#N/A,FALSE,"SER";"TATTotal",#N/A,FALSE,"TAT";"BILTotal",#N/A,FALSE,"BIL";"FINTotal",#N/A,FALSE,"FIN";"HRSTotal",#N/A,FALSE,"HRS";"CEOTotal",#N/A,FALSE,"CEO";"STPTotal",#N/A,FALSE,"STP";"ELITotal",#N/A,FALSE,"ELI";"OTHTotal",#N/A,FALSE,"OTH";"CTGTotal",#N/A,FALSE,"CTG";"CENTotal",#N/A,FALSE,"CEN";"TOTTotal",#N/A,FALSE,"TOT"}</definedName>
    <definedName name="wrn.total.1" hidden="1">{"MAJTotal",#N/A,FALSE,"MAJ";"BISTotal",#N/A,FALSE,"BIS";"SMETotal",#N/A,FALSE,"SME";"SMMTotal",#N/A,FALSE,"SMM";"SMPTotal",#N/A,FALSE,"SMP";"SMCTotal",#N/A,FALSE,"SMC";"SMRTotal",#N/A,FALSE,"SMR";"CNSTotal",#N/A,FALSE,"CNS";"REGTotal",#N/A,FALSE,"REG";"ALTTotal",#N/A,FALSE,"ALT";"PMTTotal",#N/A,FALSE,"PMT";"CPSTotal",#N/A,FALSE,"CPS";"SERTotal",#N/A,FALSE,"SER";"TATTotal",#N/A,FALSE,"TAT";"BILTotal",#N/A,FALSE,"BIL";"FINTotal",#N/A,FALSE,"FIN";"HRSTotal",#N/A,FALSE,"HRS";"CEOTotal",#N/A,FALSE,"CEO";"STPTotal",#N/A,FALSE,"STP";"ELITotal",#N/A,FALSE,"ELI";"OTHTotal",#N/A,FALSE,"OTH";"CTGTotal",#N/A,FALSE,"CTG";"CENTotal",#N/A,FALSE,"CEN";"TOTTotal",#N/A,FALSE,"TOT"}</definedName>
    <definedName name="wrn.total_Divisionb2" localSheetId="8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_Divisionb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42" localSheetId="8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4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a4" localSheetId="8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a4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comp." localSheetId="8" hidden="1">{"comp1",#N/A,FALSE,"COMPS";"footnotes",#N/A,FALSE,"COMPS"}</definedName>
    <definedName name="wrn.totalcomp." hidden="1">{"comp1",#N/A,FALSE,"COMPS";"footnotes",#N/A,FALSE,"COMPS"}</definedName>
    <definedName name="wrn.totalcomp._1" localSheetId="8" hidden="1">{"comp1",#N/A,FALSE,"COMPS";"footnotes",#N/A,FALSE,"COMPS"}</definedName>
    <definedName name="wrn.totalcomp._1" hidden="1">{"comp1",#N/A,FALSE,"COMPS";"footnotes",#N/A,FALSE,"COMPS"}</definedName>
    <definedName name="wrn.totalcomp.1" localSheetId="8" hidden="1">{"comp1",#N/A,FALSE,"COMPS";"footnotes",#N/A,FALSE,"COMPS"}</definedName>
    <definedName name="wrn.totalcomp.1" hidden="1">{"comp1",#N/A,FALSE,"COMPS";"footnotes",#N/A,FALSE,"COMPS"}</definedName>
    <definedName name="wrn.totalcomp.1_1" localSheetId="8" hidden="1">{"comp1",#N/A,FALSE,"COMPS";"footnotes",#N/A,FALSE,"COMPS"}</definedName>
    <definedName name="wrn.totalcomp.1_1" hidden="1">{"comp1",#N/A,FALSE,"COMPS";"footnotes",#N/A,FALSE,"COMPS"}</definedName>
    <definedName name="wrn.Totar." localSheetId="8" hidden="1">{"Totax",#N/A,FALSE,"Sheet1";#N/A,#N/A,FALSE,"Law Output"}</definedName>
    <definedName name="wrn.Totar." hidden="1">{"Totax",#N/A,FALSE,"Sheet1";#N/A,#N/A,FALSE,"Law Output"}</definedName>
    <definedName name="wrn.toto." localSheetId="8" hidden="1">{"tableau a",#N/A,FALSE,"Feuil3";"tableau b",#N/A,FALSE,"Feuil3"}</definedName>
    <definedName name="wrn.toto." hidden="1">{"tableau a",#N/A,FALSE,"Feuil3";"tableau b",#N/A,FALSE,"Feuil3"}</definedName>
    <definedName name="wrn.toto.2" localSheetId="8" hidden="1">{"tableau a",#N/A,FALSE,"Feuil3";"tableau b",#N/A,FALSE,"Feuil3"}</definedName>
    <definedName name="wrn.toto.2" hidden="1">{"tableau a",#N/A,FALSE,"Feuil3";"tableau b",#N/A,FALSE,"Feuil3"}</definedName>
    <definedName name="wrn.totsuivi." localSheetId="8" hidden="1">{"TOTMOY",#N/A,FALSE,"TOTFDP";"TOTPAIE",#N/A,FALSE,"TOTFDP"}</definedName>
    <definedName name="wrn.totsuivi." hidden="1">{"TOTMOY",#N/A,FALSE,"TOTFDP";"TOTPAIE",#N/A,FALSE,"TOTFDP"}</definedName>
    <definedName name="wrn.Tout._.Sauf._.BG." localSheetId="8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wrn.Tout._.Sauf._.BG.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wrn.Tout._.Sauf._.BG._1" localSheetId="8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wrn.Tout._.Sauf._.BG._1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wrn.TR9901." hidden="1">{"Balance",#N/A,FALSE,"Plan'99 OP Unit";"Cash Flow",#N/A,FALSE,"Plan'99 OP Unit";"Contribuiton",#N/A,FALSE,"Plan'99 OP Unit"}</definedName>
    <definedName name="wrn.Track." localSheetId="8" hidden="1">{#N/A,#N/A,FALSE,"Inc Stmt";#N/A,#N/A,FALSE,"Indirect Costs";#N/A,#N/A,FALSE,"Capital"}</definedName>
    <definedName name="wrn.Track." hidden="1">{#N/A,#N/A,FALSE,"Inc Stmt";#N/A,#N/A,FALSE,"Indirect Costs";#N/A,#N/A,FALSE,"Capital"}</definedName>
    <definedName name="wrn.trademark._.and._.trade._.name." hidden="1">{"trademark1",#N/A,FALSE,"Trademark(s) and Trade Name(s)"}</definedName>
    <definedName name="wrn.trans._.sum." localSheetId="8" hidden="1">{"trans assumptions",#N/A,FALSE,"Merger";"trans accretion",#N/A,FALSE,"Merger"}</definedName>
    <definedName name="wrn.trans._.sum." hidden="1">{"trans assumptions",#N/A,FALSE,"Merger";"trans accretion",#N/A,FALSE,"Merger"}</definedName>
    <definedName name="wrn.trans._.sum._1" localSheetId="8" hidden="1">{"trans assumptions",#N/A,FALSE,"Merger";"trans accretion",#N/A,FALSE,"Merger"}</definedName>
    <definedName name="wrn.trans._.sum._1" hidden="1">{"trans assumptions",#N/A,FALSE,"Merger";"trans accretion",#N/A,FALSE,"Merger"}</definedName>
    <definedName name="wrn.Transaction._.Overview." hidden="1">{"Transaction Summary",#N/A,FALSE,"Deal";"Accretion Dilution Analysis",#N/A,FALSE,"Deal";"Accretion Dilution Sensitivity",#N/A,FALSE,"Deal";"Pre Tax Synergies Sensitivity",#N/A,FALSE,"Deal";"Consolidated Income Statement",#N/A,FALSE,"Deal";"Contribution Analysis",#N/A,FALSE,"Deal"}</definedName>
    <definedName name="wrn.TRANSPORT._.COSTS." localSheetId="8" hidden="1">{"TRANSPORT COSTS",#N/A,FALSE,"C.CENTRE"}</definedName>
    <definedName name="wrn.TRANSPORT._.COSTS." hidden="1">{"TRANSPORT COSTS",#N/A,FALSE,"C.CENTRE"}</definedName>
    <definedName name="wrn.TransPrcd_123." localSheetId="8" hidden="1">{#N/A,#N/A,TRUE,"TransPrcd 1";#N/A,#N/A,TRUE,"TransPrcd 2";#N/A,#N/A,TRUE,"TransPrcd 3"}</definedName>
    <definedName name="wrn.TransPrcd_123." hidden="1">{#N/A,#N/A,TRUE,"TransPrcd 1";#N/A,#N/A,TRUE,"TransPrcd 2";#N/A,#N/A,TRUE,"TransPrcd 3"}</definedName>
    <definedName name="wrn.TransPrcd_123._1" localSheetId="8" hidden="1">{#N/A,#N/A,TRUE,"TransPrcd 1";#N/A,#N/A,TRUE,"TransPrcd 2";#N/A,#N/A,TRUE,"TransPrcd 3"}</definedName>
    <definedName name="wrn.TransPrcd_123._1" hidden="1">{#N/A,#N/A,TRUE,"TransPrcd 1";#N/A,#N/A,TRUE,"TransPrcd 2";#N/A,#N/A,TRUE,"TransPrcd 3"}</definedName>
    <definedName name="wrn.Trial._.Balance." localSheetId="8" hidden="1">{#N/A,#N/A,TRUE,"constb"}</definedName>
    <definedName name="wrn.Trial._.Balance." hidden="1">{#N/A,#N/A,TRUE,"constb"}</definedName>
    <definedName name="wrn.Triangle." localSheetId="8" hidden="1">{#N/A,#N/A,FALSE,"Triangle Total";#N/A,#N/A,FALSE,"Triangle LLC";#N/A,#N/A,FALSE,"Triangle LLC";#N/A,#N/A,FALSE,"Teeside"}</definedName>
    <definedName name="wrn.Triangle." hidden="1">{#N/A,#N/A,FALSE,"Triangle Total";#N/A,#N/A,FALSE,"Triangle LLC";#N/A,#N/A,FALSE,"Triangle LLC";#N/A,#N/A,FALSE,"Teeside"}</definedName>
    <definedName name="wrn.TRIMESTRALE." localSheetId="8" hidden="1">{#N/A,#N/A,TRUE,"covtri";#N/A,#N/A,TRUE,"indtri";#N/A,#N/A,TRUE,"ECORID";#N/A,#N/A,TRUE,"ECOTRA";#N/A,#N/A,TRUE,"ECOTOT";#N/A,#N/A,TRUE,"FATSOC";#N/A,#N/A,TRUE,"FATDIV";#N/A,#N/A,TRUE,"FATGEO";#N/A,#N/A,TRUE,"ORDINI";#N/A,#N/A,TRUE,"SITPAT";#N/A,#N/A,TRUE,"RENDFIN";#N/A,#N/A,TRUE,"TESORI";#N/A,#N/A,TRUE,"PERSONE"}</definedName>
    <definedName name="wrn.TRIMESTRALE." hidden="1">{#N/A,#N/A,TRUE,"covtri";#N/A,#N/A,TRUE,"indtri";#N/A,#N/A,TRUE,"ECORID";#N/A,#N/A,TRUE,"ECOTRA";#N/A,#N/A,TRUE,"ECOTOT";#N/A,#N/A,TRUE,"FATSOC";#N/A,#N/A,TRUE,"FATDIV";#N/A,#N/A,TRUE,"FATGEO";#N/A,#N/A,TRUE,"ORDINI";#N/A,#N/A,TRUE,"SITPAT";#N/A,#N/A,TRUE,"RENDFIN";#N/A,#N/A,TRUE,"TESORI";#N/A,#N/A,TRUE,"PERSONE"}</definedName>
    <definedName name="wrn.TRIMESTRALE._1" localSheetId="8" hidden="1">{#N/A,#N/A,TRUE,"covtri";#N/A,#N/A,TRUE,"indtri";#N/A,#N/A,TRUE,"ECORID";#N/A,#N/A,TRUE,"ECOTRA";#N/A,#N/A,TRUE,"ECOTOT";#N/A,#N/A,TRUE,"FATSOC";#N/A,#N/A,TRUE,"FATDIV";#N/A,#N/A,TRUE,"FATGEO";#N/A,#N/A,TRUE,"ORDINI";#N/A,#N/A,TRUE,"SITPAT";#N/A,#N/A,TRUE,"RENDFIN";#N/A,#N/A,TRUE,"TESORI";#N/A,#N/A,TRUE,"PERSONE"}</definedName>
    <definedName name="wrn.TRIMESTRALE._1" hidden="1">{#N/A,#N/A,TRUE,"covtri";#N/A,#N/A,TRUE,"indtri";#N/A,#N/A,TRUE,"ECORID";#N/A,#N/A,TRUE,"ECOTRA";#N/A,#N/A,TRUE,"ECOTOT";#N/A,#N/A,TRUE,"FATSOC";#N/A,#N/A,TRUE,"FATDIV";#N/A,#N/A,TRUE,"FATGEO";#N/A,#N/A,TRUE,"ORDINI";#N/A,#N/A,TRUE,"SITPAT";#N/A,#N/A,TRUE,"RENDFIN";#N/A,#N/A,TRUE,"TESORI";#N/A,#N/A,TRUE,"PERSONE"}</definedName>
    <definedName name="wrn.tutto." localSheetId="8" hidden="1">{#N/A,#N/A,FALSE,"trimestri TIWS";#N/A,#N/A,FALSE,"Trimestri SPA";#N/A,#N/A,FALSE,"valuation NEW";#N/A,#N/A,FALSE,"telecom italia spa";#N/A,#N/A,FALSE,"cash flow";#N/A,#N/A,FALSE,"TIWS summary";#N/A,#N/A,FALSE,"TIWS revenues";#N/A,#N/A,FALSE,"TIWS Ebitda";#N/A,#N/A,FALSE,"lines and customers";#N/A,#N/A,FALSE,"TIWS monthly fees"}</definedName>
    <definedName name="wrn.tutto." hidden="1">{#N/A,#N/A,FALSE,"trimestri TIWS";#N/A,#N/A,FALSE,"Trimestri SPA";#N/A,#N/A,FALSE,"valuation NEW";#N/A,#N/A,FALSE,"telecom italia spa";#N/A,#N/A,FALSE,"cash flow";#N/A,#N/A,FALSE,"TIWS summary";#N/A,#N/A,FALSE,"TIWS revenues";#N/A,#N/A,FALSE,"TIWS Ebitda";#N/A,#N/A,FALSE,"lines and customers";#N/A,#N/A,FALSE,"TIWS monthly fees"}</definedName>
    <definedName name="wrn.tutto._1" localSheetId="8" hidden="1">{#N/A,#N/A,FALSE,"trimestri TIWS";#N/A,#N/A,FALSE,"Trimestri SPA";#N/A,#N/A,FALSE,"valuation NEW";#N/A,#N/A,FALSE,"telecom italia spa";#N/A,#N/A,FALSE,"cash flow";#N/A,#N/A,FALSE,"TIWS summary";#N/A,#N/A,FALSE,"TIWS revenues";#N/A,#N/A,FALSE,"TIWS Ebitda";#N/A,#N/A,FALSE,"lines and customers";#N/A,#N/A,FALSE,"TIWS monthly fees"}</definedName>
    <definedName name="wrn.tutto._1" hidden="1">{#N/A,#N/A,FALSE,"trimestri TIWS";#N/A,#N/A,FALSE,"Trimestri SPA";#N/A,#N/A,FALSE,"valuation NEW";#N/A,#N/A,FALSE,"telecom italia spa";#N/A,#N/A,FALSE,"cash flow";#N/A,#N/A,FALSE,"TIWS summary";#N/A,#N/A,FALSE,"TIWS revenues";#N/A,#N/A,FALSE,"TIWS Ebitda";#N/A,#N/A,FALSE,"lines and customers";#N/A,#N/A,FALSE,"TIWS monthly fees"}</definedName>
    <definedName name="wrn.Tweety." localSheetId="8" hidden="1">{#N/A,#N/A,FALSE,"A&amp;E";#N/A,#N/A,FALSE,"HighTop";#N/A,#N/A,FALSE,"JG";#N/A,#N/A,FALSE,"RI";#N/A,#N/A,FALSE,"woHT";#N/A,#N/A,FALSE,"woHT&amp;JG"}</definedName>
    <definedName name="wrn.Tweety." hidden="1">{#N/A,#N/A,FALSE,"A&amp;E";#N/A,#N/A,FALSE,"HighTop";#N/A,#N/A,FALSE,"JG";#N/A,#N/A,FALSE,"RI";#N/A,#N/A,FALSE,"woHT";#N/A,#N/A,FALSE,"woHT&amp;JG"}</definedName>
    <definedName name="wrn.Tweety._1" localSheetId="8" hidden="1">{#N/A,#N/A,FALSE,"A&amp;E";#N/A,#N/A,FALSE,"HighTop";#N/A,#N/A,FALSE,"JG";#N/A,#N/A,FALSE,"RI";#N/A,#N/A,FALSE,"woHT";#N/A,#N/A,FALSE,"woHT&amp;JG"}</definedName>
    <definedName name="wrn.Tweety._1" hidden="1">{#N/A,#N/A,FALSE,"A&amp;E";#N/A,#N/A,FALSE,"HighTop";#N/A,#N/A,FALSE,"JG";#N/A,#N/A,FALSE,"RI";#N/A,#N/A,FALSE,"woHT";#N/A,#N/A,FALSE,"woHT&amp;JG"}</definedName>
    <definedName name="wrn.U.FISICAS._.PRESUP.._.ANUALES." localSheetId="8" hidden="1">{"CAJAS NACIONAL ANUAL",#N/A,FALSE,"SALIDAS U.F. TOTALES ANUAL";"CAJAS EXTERIOR ANUAL",#N/A,FALSE,"SALIDAS U.F. TOTALES ANUAL";"CAJAS TOTAL ANUAL",#N/A,FALSE,"SALIDAS U.F. TOTALES ANUAL";"L-B-C NACIONAL ANUAL",#N/A,FALSE,"SALIDAS U.F. TOTALES ANUAL";"L-B-C EXTERIOR ANUAL",#N/A,FALSE,"SALIDAS U.F. TOTALES ANUAL";"L-B-C TOTAL ANUAL",#N/A,FALSE,"SALIDAS U.F. TOTALES ANUAL"}</definedName>
    <definedName name="wrn.U.FISICAS._.PRESUP.._.ANUALES." hidden="1">{"CAJAS NACIONAL ANUAL",#N/A,FALSE,"SALIDAS U.F. TOTALES ANUAL";"CAJAS EXTERIOR ANUAL",#N/A,FALSE,"SALIDAS U.F. TOTALES ANUAL";"CAJAS TOTAL ANUAL",#N/A,FALSE,"SALIDAS U.F. TOTALES ANUAL";"L-B-C NACIONAL ANUAL",#N/A,FALSE,"SALIDAS U.F. TOTALES ANUAL";"L-B-C EXTERIOR ANUAL",#N/A,FALSE,"SALIDAS U.F. TOTALES ANUAL";"L-B-C TOTAL ANUAL",#N/A,FALSE,"SALIDAS U.F. TOTALES ANUAL"}</definedName>
    <definedName name="wrn.Umsatz." localSheetId="8" hidden="1">{#N/A,#N/A,FALSE,"Umsatz";#N/A,#N/A,FALSE,"Base V.02";#N/A,#N/A,FALSE,"Charts"}</definedName>
    <definedName name="wrn.Umsatz." hidden="1">{#N/A,#N/A,FALSE,"Umsatz";#N/A,#N/A,FALSE,"Base V.02";#N/A,#N/A,FALSE,"Charts"}</definedName>
    <definedName name="wrn.Unall." localSheetId="8" hidden="1">{"Sum",#N/A,FALSE,"Unallocated"}</definedName>
    <definedName name="wrn.Unall." hidden="1">{"Sum",#N/A,FALSE,"Unallocated"}</definedName>
    <definedName name="wrn.UNISER." hidden="1">{"UNISER",#N/A,FALSE,"TOT"}</definedName>
    <definedName name="wrn.unit." localSheetId="8" hidden="1">{#N/A,#N/A,FALSE,"B1-P&amp;L by Bus.Unt-Serv.Unt";#N/A,#N/A,FALSE,"C2-Detail P&amp;L-Carriers";#N/A,#N/A,FALSE,"C3-Detail P&amp;L-Large Accounts";#N/A,#N/A,FALSE,"C4-Detail P&amp;L-Consumer";#N/A,#N/A,FALSE,"C4-Detail P&amp;L-SME";#N/A,#N/A,FALSE,"C5-Detail P&amp;L-N&amp;S";#N/A,#N/A,FALSE,"C6-Detail P&amp;L-ITBilling";#N/A,#N/A,FALSE,"C7-Detail P&amp;L-Corporate";#N/A,#N/A,FALSE,"B6-GM per Product"}</definedName>
    <definedName name="wrn.unit." hidden="1">{#N/A,#N/A,FALSE,"B1-P&amp;L by Bus.Unt-Serv.Unt";#N/A,#N/A,FALSE,"C2-Detail P&amp;L-Carriers";#N/A,#N/A,FALSE,"C3-Detail P&amp;L-Large Accounts";#N/A,#N/A,FALSE,"C4-Detail P&amp;L-Consumer";#N/A,#N/A,FALSE,"C4-Detail P&amp;L-SME";#N/A,#N/A,FALSE,"C5-Detail P&amp;L-N&amp;S";#N/A,#N/A,FALSE,"C6-Detail P&amp;L-ITBilling";#N/A,#N/A,FALSE,"C7-Detail P&amp;L-Corporate";#N/A,#N/A,FALSE,"B6-GM per Product"}</definedName>
    <definedName name="wrn.UNITED._.STATES." localSheetId="8" hidden="1">{#N/A,#N/A,FALSE,"USCSS ROLLUP";#N/A,#N/A,FALSE,"USCS";#N/A,#N/A,FALSE,"TARGET";#N/A,#N/A,FALSE,"MICROSOFT";#N/A,#N/A,FALSE,"AT&amp;T";#N/A,#N/A,FALSE,"ALT CHANNELS";#N/A,#N/A,FALSE,"USCS HQ"}</definedName>
    <definedName name="wrn.UNITED._.STATES." hidden="1">{#N/A,#N/A,FALSE,"USCSS ROLLUP";#N/A,#N/A,FALSE,"USCS";#N/A,#N/A,FALSE,"TARGET";#N/A,#N/A,FALSE,"MICROSOFT";#N/A,#N/A,FALSE,"AT&amp;T";#N/A,#N/A,FALSE,"ALT CHANNELS";#N/A,#N/A,FALSE,"USCS HQ"}</definedName>
    <definedName name="wrn.up." localSheetId="8" hidden="1">{"up stand alones",#N/A,FALSE,"Acquiror"}</definedName>
    <definedName name="wrn.up." hidden="1">{"up stand alones",#N/A,FALSE,"Acquiror"}</definedName>
    <definedName name="wrn.up._1" localSheetId="8" hidden="1">{"up stand alones",#N/A,FALSE,"Acquiror"}</definedName>
    <definedName name="wrn.up._1" hidden="1">{"up stand alones",#N/A,FALSE,"Acquiror"}</definedName>
    <definedName name="wrn.Upper._.Case." localSheetId="8" hidden="1">{"presentation","onepurchase",FALSE,"Inputs and Calculations";"presentation","onepool",FALSE,"Inputs and Calculations";"presentation","twopool",FALSE,"Inputs and Calculations";"presentation","twopurchase",FALSE,"Inputs and Calculations";"presentation","threepurchase",FALSE,"Inputs and Calculations";"presentation","threepool",FALSE,"Inputs and Calculations";"presentation","fourpool",FALSE,"Inputs and Calculations";"presentation","fourpurchase",FALSE,"Inputs and Calculations";"presentation","fivepool",FALSE,"Inputs and Calculations";"presentation","fivepurchase",FALSE,"Inputs and Calculations";"presentation","sixpool",FALSE,"Inputs and Calculations";"presentation","sixpurchase",FALSE,"Inputs and Calculations";"presentation","sevenpool",FALSE,"Inputs and Calculations";"presentation","sevenpurchase",FALSE,"Inputs and Calculations";"presentation","eightpool",FALSE,"Inputs and Calculations";"presentation","eightpurchase",FALSE,"Inputs and Calculations";"presentation","ninepool",FALSE,"Inputs and Calculations";"presentation","ninepurchase",FALSE,"Inputs and Calculations";"presentation","tenpool",FALSE,"Inputs and Calculations";"presentation","tenpurchase",FALSE,"Inputs and Calculations"}</definedName>
    <definedName name="wrn.Upper._.Case." hidden="1">{"presentation","onepurchase",FALSE,"Inputs and Calculations";"presentation","onepool",FALSE,"Inputs and Calculations";"presentation","twopool",FALSE,"Inputs and Calculations";"presentation","twopurchase",FALSE,"Inputs and Calculations";"presentation","threepurchase",FALSE,"Inputs and Calculations";"presentation","threepool",FALSE,"Inputs and Calculations";"presentation","fourpool",FALSE,"Inputs and Calculations";"presentation","fourpurchase",FALSE,"Inputs and Calculations";"presentation","fivepool",FALSE,"Inputs and Calculations";"presentation","fivepurchase",FALSE,"Inputs and Calculations";"presentation","sixpool",FALSE,"Inputs and Calculations";"presentation","sixpurchase",FALSE,"Inputs and Calculations";"presentation","sevenpool",FALSE,"Inputs and Calculations";"presentation","sevenpurchase",FALSE,"Inputs and Calculations";"presentation","eightpool",FALSE,"Inputs and Calculations";"presentation","eightpurchase",FALSE,"Inputs and Calculations";"presentation","ninepool",FALSE,"Inputs and Calculations";"presentation","ninepurchase",FALSE,"Inputs and Calculations";"presentation","tenpool",FALSE,"Inputs and Calculations";"presentation","tenpurchase",FALSE,"Inputs and Calculations"}</definedName>
    <definedName name="wrn.US._.BS._.and._.CF." localSheetId="8" hidden="1">{"Balance Sheet",#N/A,FALSE,"USA Consolidation";"Cash Flows",#N/A,FALSE,"USA Consolidation"}</definedName>
    <definedName name="wrn.US._.BS._.and._.CF." hidden="1">{"Balance Sheet",#N/A,FALSE,"USA Consolidation";"Cash Flows",#N/A,FALSE,"USA Consolidation"}</definedName>
    <definedName name="wrn.USW." localSheetId="8" hidden="1">{"IS",#N/A,FALSE,"IS";"RPTIS",#N/A,FALSE,"RPTIS";"STATS",#N/A,FALSE,"STATS";"BS",#N/A,FALSE,"BS"}</definedName>
    <definedName name="wrn.USW." hidden="1">{"IS",#N/A,FALSE,"IS";"RPTIS",#N/A,FALSE,"RPTIS";"STATS",#N/A,FALSE,"STATS";"BS",#N/A,FALSE,"BS"}</definedName>
    <definedName name="wrn.USW._1" localSheetId="8" hidden="1">{"IS",#N/A,FALSE,"IS";"RPTIS",#N/A,FALSE,"RPTIS";"STATS",#N/A,FALSE,"STATS";"BS",#N/A,FALSE,"BS"}</definedName>
    <definedName name="wrn.USW._1" hidden="1">{"IS",#N/A,FALSE,"IS";"RPTIS",#N/A,FALSE,"RPTIS";"STATS",#N/A,FALSE,"STATS";"BS",#N/A,FALSE,"BS"}</definedName>
    <definedName name="wrn.UTILI._.SPAGNA." localSheetId="8" hidden="1">{#N/A,#N/A,TRUE,"UTIESP"}</definedName>
    <definedName name="wrn.UTILI._.SPAGNA." hidden="1">{#N/A,#N/A,TRUE,"UTIESP"}</definedName>
    <definedName name="wrn.UTILI._.SPAGNA._1" localSheetId="8" hidden="1">{#N/A,#N/A,TRUE,"UTIESP"}</definedName>
    <definedName name="wrn.UTILI._.SPAGNA._1" hidden="1">{#N/A,#N/A,TRUE,"UTIESP"}</definedName>
    <definedName name="wrn.UTILI._.SUD._.AFRICA." localSheetId="8" hidden="1">{#N/A,#N/A,TRUE,"UTISAF"}</definedName>
    <definedName name="wrn.UTILI._.SUD._.AFRICA." hidden="1">{#N/A,#N/A,TRUE,"UTISAF"}</definedName>
    <definedName name="wrn.UTILI._.SUD._.AFRICA._1" localSheetId="8" hidden="1">{#N/A,#N/A,TRUE,"UTISAF"}</definedName>
    <definedName name="wrn.UTILI._.SUD._.AFRICA._1" hidden="1">{#N/A,#N/A,TRUE,"UTISAF"}</definedName>
    <definedName name="wrn.UTL._.Position." localSheetId="7" hidden="1">{"UTL effect",#N/A,FALSE,"Sensitivity"}</definedName>
    <definedName name="wrn.UTL._.Position." localSheetId="8" hidden="1">{"UTL effect",#N/A,FALSE,"Sensitivity"}</definedName>
    <definedName name="wrn.UTL._.Position." hidden="1">{"UTL effect",#N/A,FALSE,"Sensitivity"}</definedName>
    <definedName name="wrn.V._.Volume._.1996." localSheetId="7" hidden="1">{"Vend Volume 96",#N/A,FALSE,"Vendas Volume 1996"}</definedName>
    <definedName name="wrn.V._.Volume._.1996." localSheetId="8" hidden="1">{"Vend Volume 96",#N/A,FALSE,"Vendas Volume 1996"}</definedName>
    <definedName name="wrn.V._.Volume._.1996." hidden="1">{"Vend Volume 96",#N/A,FALSE,"Vendas Volume 1996"}</definedName>
    <definedName name="wrn.valderrama." localSheetId="8" hidden="1">{"valderrama1",#N/A,FALSE,"Pro Forma";"valderrama",#N/A,FALSE,"Pro Forma"}</definedName>
    <definedName name="wrn.valderrama." hidden="1">{"valderrama1",#N/A,FALSE,"Pro Forma";"valderrama",#N/A,FALSE,"Pro Forma"}</definedName>
    <definedName name="wrn.VALUATION." localSheetId="7" hidden="1">{#N/A,#N/A,FALSE,"Valuation Assumptions";#N/A,#N/A,FALSE,"Summary";#N/A,#N/A,FALSE,"DCF";#N/A,#N/A,FALSE,"Valuation";#N/A,#N/A,FALSE,"WACC";#N/A,#N/A,FALSE,"UBVH";#N/A,#N/A,FALSE,"Free Cash Flow"}</definedName>
    <definedName name="wrn.VALUATION." localSheetId="8" hidden="1">{#N/A,#N/A,FALSE,"Valuation Assumptions";#N/A,#N/A,FALSE,"Summary";#N/A,#N/A,FALSE,"DCF";#N/A,#N/A,FALSE,"Valuation";#N/A,#N/A,FALSE,"WACC";#N/A,#N/A,FALSE,"UBVH";#N/A,#N/A,FALSE,"Free Cash Flow"}</definedName>
    <definedName name="wrn.VALUATION." hidden="1">{#N/A,#N/A,FALSE,"Valuation Assumptions";#N/A,#N/A,FALSE,"Summary";#N/A,#N/A,FALSE,"DCF";#N/A,#N/A,FALSE,"Valuation";#N/A,#N/A,FALSE,"WACC";#N/A,#N/A,FALSE,"UBVH";#N/A,#N/A,FALSE,"Free Cash Flow"}</definedName>
    <definedName name="wrn.Valuation._.Committee." localSheetId="8" hidden="1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Committee." hidden="1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Committee._1" localSheetId="8" hidden="1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Committee._1" hidden="1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Committee.1" localSheetId="8" hidden="1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Committee.1" hidden="1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Committee.1_1" localSheetId="8" hidden="1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Committee.1_1" hidden="1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Package._.1." localSheetId="8" hidden="1">{"Balance Sheet",#N/A,FALSE,"Balance Sheet";"Sum Cash Flow",#N/A,FALSE,"Sum Cash Flow";"Income Statement 1",#N/A,FALSE,"Income Statement 1";"DCF Projections",#N/A,FALSE,"DCF Projections";"DCF1",#N/A,FALSE,"DCF1";"AVP",#N/A,FALSE,"AVP";"CalcWorksheet",#N/A,FALSE,"Calc Wksht New";"PV of Future Prices",#N/A,FALSE,"Fut Share Price - New EPS";"FutureSharePrices",#N/A,FALSE,"Future Share Prices"}</definedName>
    <definedName name="wrn.Valuation._.Package._.1." hidden="1">{"Balance Sheet",#N/A,FALSE,"Balance Sheet";"Sum Cash Flow",#N/A,FALSE,"Sum Cash Flow";"Income Statement 1",#N/A,FALSE,"Income Statement 1";"DCF Projections",#N/A,FALSE,"DCF Projections";"DCF1",#N/A,FALSE,"DCF1";"AVP",#N/A,FALSE,"AVP";"CalcWorksheet",#N/A,FALSE,"Calc Wksht New";"PV of Future Prices",#N/A,FALSE,"Fut Share Price - New EPS";"FutureSharePrices",#N/A,FALSE,"Future Share Prices"}</definedName>
    <definedName name="wrn.VALUATION._1" localSheetId="8" hidden="1">{#N/A,#N/A,FALSE,"Valuation Assumptions";#N/A,#N/A,FALSE,"Summary";#N/A,#N/A,FALSE,"DCF";#N/A,#N/A,FALSE,"Valuation";#N/A,#N/A,FALSE,"WACC";#N/A,#N/A,FALSE,"UBVH";#N/A,#N/A,FALSE,"Free Cash Flow"}</definedName>
    <definedName name="wrn.VALUATION._1" hidden="1">{#N/A,#N/A,FALSE,"Valuation Assumptions";#N/A,#N/A,FALSE,"Summary";#N/A,#N/A,FALSE,"DCF";#N/A,#N/A,FALSE,"Valuation";#N/A,#N/A,FALSE,"WACC";#N/A,#N/A,FALSE,"UBVH";#N/A,#N/A,FALSE,"Free Cash Flow"}</definedName>
    <definedName name="wrn.Variance." localSheetId="8" hidden="1">{"Act_vs_Budget",#N/A,FALSE,"QTRDPVAR";"Act_vs_Prior_Year",#N/A,FALSE,"QTRDPVAR"}</definedName>
    <definedName name="wrn.Variance." hidden="1">{"Act_vs_Budget",#N/A,FALSE,"QTRDPVAR";"Act_vs_Prior_Year",#N/A,FALSE,"QTRDPVAR"}</definedName>
    <definedName name="wrn.VECICLE_INS." localSheetId="8" hidden="1">{"VEHICLE_INS",#N/A,FALSE,"PREPAID-1"}</definedName>
    <definedName name="wrn.VECICLE_INS." hidden="1">{"VEHICLE_INS",#N/A,FALSE,"PREPAID-1"}</definedName>
    <definedName name="wrn.Vendas." hidden="1">{#N/A,#N/A,FALSE,"Vendas"}</definedName>
    <definedName name="wrn.VETERINÁRIA." hidden="1">{"TOTAL VETERINÁRIA",#N/A,FALSE,"VETER";"DESINFETANTES",#N/A,FALSE,"VETER";"QUIMIOTERÁPIOS",#N/A,FALSE,"VETER";"PROMOTORES CRESCIMENTO",#N/A,FALSE,"VETER";"ADITIVOS",#N/A,FALSE,"VETER";"POLIVITAMÍNICOS",#N/A,FALSE,"VETER";"ANTIBIÓTICOS",#N/A,FALSE,"VETER";"ANTIPARASITÁRIOS",#N/A,FALSE,"VETER";"BIOLÓGICO",#N/A,FALSE,"VETER";"OUTROS",#N/A,FALSE,"VETER"}</definedName>
    <definedName name="wrn.VV." localSheetId="8" hidden="1">{"VV_CF",#N/A,FALSE,"VV_B_CF";"VV_IS",#N/A,FALSE,"VV_B_IS";"VV_BS",#N/A,FALSE,"VV_B_BS"}</definedName>
    <definedName name="wrn.VV." hidden="1">{"VV_CF",#N/A,FALSE,"VV_B_CF";"VV_IS",#N/A,FALSE,"VV_B_IS";"VV_BS",#N/A,FALSE,"VV_B_BS"}</definedName>
    <definedName name="wrn.Wacc." localSheetId="8" hidden="1">{"Area1",#N/A,FALSE,"OREWACC";"Area2",#N/A,FALSE,"OREWACC"}</definedName>
    <definedName name="wrn.Wacc." hidden="1">{"Area1",#N/A,FALSE,"OREWACC";"Area2",#N/A,FALSE,"OREWACC"}</definedName>
    <definedName name="wrn.wag." localSheetId="8" hidden="1">{"inc.ann",#N/A,FALSE,"WAG";"inc.quart",#N/A,FALSE,"WAG"}</definedName>
    <definedName name="wrn.wag." hidden="1">{"inc.ann",#N/A,FALSE,"WAG";"inc.quart",#N/A,FALSE,"WAG"}</definedName>
    <definedName name="wrn.wag._1" localSheetId="8" hidden="1">{"inc.ann",#N/A,FALSE,"WAG";"inc.quart",#N/A,FALSE,"WAG"}</definedName>
    <definedName name="wrn.wag._1" hidden="1">{"inc.ann",#N/A,FALSE,"WAG";"inc.quart",#N/A,FALSE,"WAG"}</definedName>
    <definedName name="wrn.Währungsbericht." localSheetId="8" hidden="1">{#N/A,#N/A,FALSE,"US$";#N/A,#N/A,FALSE,"GBP";#N/A,#N/A,FALSE,"ITL";#N/A,#N/A,FALSE,"ESP";#N/A,#N/A,FALSE,"JPY"}</definedName>
    <definedName name="wrn.Währungsbericht." hidden="1">{#N/A,#N/A,FALSE,"US$";#N/A,#N/A,FALSE,"GBP";#N/A,#N/A,FALSE,"ITL";#N/A,#N/A,FALSE,"ESP";#N/A,#N/A,FALSE,"JPY"}</definedName>
    <definedName name="wrn.Warranty._.Reserves." localSheetId="8" hidden="1">{"provision",#N/A,FALSE;"reserve analysis",#N/A,FALSE}</definedName>
    <definedName name="wrn.Warranty._.Reserves." hidden="1">{"provision",#N/A,FALSE;"reserve analysis",#N/A,FALSE}</definedName>
    <definedName name="wrn.Water." localSheetId="8" hidden="1">{#N/A,#N/A,FALSE,"Water";#N/A,#N/A,FALSE,"Ballygowan";#N/A,#N/A,FALSE,"Volvic"}</definedName>
    <definedName name="wrn.Water." hidden="1">{#N/A,#N/A,FALSE,"Water";#N/A,#N/A,FALSE,"Ballygowan";#N/A,#N/A,FALSE,"Volvic"}</definedName>
    <definedName name="wrn.whole._.document." localSheetId="8" hidden="1">{"page 1",#N/A,FALSE,"A";"page 2",#N/A,FALSE,"A";"page 3",#N/A,FALSE,"A";"page 4",#N/A,FALSE,"A";"page 5",#N/A,FALSE,"A";"page 6",#N/A,FALSE,"A";"page 7",#N/A,FALSE,"A";"page 8",#N/A,FALSE,"A";"page 9",#N/A,FALSE,"A";"page 10",#N/A,FALSE,"A";"page 11",#N/A,FALSE,"A";"page 12",#N/A,FALSE,"A";"page 13",#N/A,FALSE,"A";"page 14",#N/A,FALSE,"A"}</definedName>
    <definedName name="wrn.whole._.document." hidden="1">{"page 1",#N/A,FALSE,"A";"page 2",#N/A,FALSE,"A";"page 3",#N/A,FALSE,"A";"page 4",#N/A,FALSE,"A";"page 5",#N/A,FALSE,"A";"page 6",#N/A,FALSE,"A";"page 7",#N/A,FALSE,"A";"page 8",#N/A,FALSE,"A";"page 9",#N/A,FALSE,"A";"page 10",#N/A,FALSE,"A";"page 11",#N/A,FALSE,"A";"page 12",#N/A,FALSE,"A";"page 13",#N/A,FALSE,"A";"page 14",#N/A,FALSE,"A"}</definedName>
    <definedName name="wrn.Whole._.Pack." hidden="1">{"Board Income Statement",#N/A,FALSE,"Board Summary";"Board Balance Sheet",#N/A,FALSE,"Board Summary";"Board Cash Flow",#N/A,FALSE,"Board Summary";"Op Cap Startup",#N/A,FALSE,"Operating-Startup Expense (2)";"Total Salary",#N/A,FALSE,"Operating-Startup Expense (2)";"Op Salary",#N/A,FALSE,"Operating-Startup Expense (2)";"Cap Salary",#N/A,FALSE,"Operating-Startup Expense (2)";"Startup Salary",#N/A,FALSE,"Operating-Startup Expense (2)";#N/A,#N/A,FALSE,"Advertising &amp; Promotion (2)";#N/A,#N/A,FALSE,"G&amp;A (2)";#N/A,#N/A,FALSE,"Billings (2)";#N/A,#N/A,FALSE,"Travel (2)";#N/A,#N/A,FALSE,"Comms Cost (2)";#N/A,#N/A,FALSE,"CAPEX (3)";#N/A,#N/A,FALSE,"CAPEX (2)"}</definedName>
    <definedName name="wrn.WholeShabang." localSheetId="8" hidden="1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wrn.WholeShabang." hidden="1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wrn.WineSpirits." localSheetId="8" hidden="1">{#N/A,#N/A,FALSE,"W&amp;Spirits";#N/A,#N/A,FALSE,"Grants";#N/A,#N/A,FALSE,"CCB"}</definedName>
    <definedName name="wrn.WineSpirits." hidden="1">{#N/A,#N/A,FALSE,"W&amp;Spirits";#N/A,#N/A,FALSE,"Grants";#N/A,#N/A,FALSE,"CCB"}</definedName>
    <definedName name="wrn.WNPLMS." localSheetId="8" hidden="1">{#N/A,#N/A,FALSE,"CSSWITH";#N/A,#N/A,FALSE,"USCSSWITH";#N/A,#N/A,FALSE,"INTLWITH";#N/A,#N/A,FALSE,"WNP TOTAL";#N/A,#N/A,FALSE,"US WNP";#N/A,#N/A,FALSE,"EMEA WNP";#N/A,#N/A,FALSE,"ROW WNP";#N/A,#N/A,FALSE,"US LANMGMT"}</definedName>
    <definedName name="wrn.WNPLMS." hidden="1">{#N/A,#N/A,FALSE,"CSSWITH";#N/A,#N/A,FALSE,"USCSSWITH";#N/A,#N/A,FALSE,"INTLWITH";#N/A,#N/A,FALSE,"WNP TOTAL";#N/A,#N/A,FALSE,"US WNP";#N/A,#N/A,FALSE,"EMEA WNP";#N/A,#N/A,FALSE,"ROW WNP";#N/A,#N/A,FALSE,"US LANMGMT"}</definedName>
    <definedName name="wrn.WORK._.PAPER." hidden="1">{#N/A,#N/A,TRUE,"Consolidate";"Work Paper MKT",#N/A,TRUE,"MKT";"Work Paper BUSS",#N/A,TRUE,"BusOper";"Work Paper TECH",#N/A,TRUE,"Tech";"Work Paper LOCAL",#N/A,TRUE,"LocalProg";"Work Paper GA",#N/A,TRUE,"G&amp;A";"Work Paper CONSOL",#N/A,TRUE,"Consolidate"}</definedName>
    <definedName name="wrn.WORK._.PAPER._.99." hidden="1">{"Work Paper99 MKT",#N/A,TRUE,"MKT";"Work Paper99 BUSS",#N/A,TRUE,"BusOper";"Work Paper99 TECH",#N/A,TRUE,"Tech";"Work Paper99 LOCAL",#N/A,TRUE,"LocalProg";"Work Paper99 GA",#N/A,TRUE,"G&amp;A";"Work Paper99 CONSOL",#N/A,TRUE,"Consolidate"}</definedName>
    <definedName name="wrn.work._.paper._.shcedules." hidden="1">{"summary1",#N/A,FALSE,"Summary of Values";"summary2",#N/A,FALSE,"Summary of Values";"weighted average returns",#N/A,FALSE,"WACC and WARA";"fixed asset detail",#N/A,FALSE,"Fixed Asset Detail"}</definedName>
    <definedName name="wrn.WPAPERS." localSheetId="8" hidden="1">{#N/A,#N/A,FALSE,"ATIVO";#N/A,#N/A,FALSE,"PASSIVO";#N/A,#N/A,FALSE,"L&amp;P";#N/A,#N/A,FALSE,"INTEREST";#N/A,#N/A,FALSE,"IRDIFERIDO"}</definedName>
    <definedName name="wrn.WPAPERS." hidden="1">{#N/A,#N/A,FALSE,"ATIVO";#N/A,#N/A,FALSE,"PASSIVO";#N/A,#N/A,FALSE,"L&amp;P";#N/A,#N/A,FALSE,"INTEREST";#N/A,#N/A,FALSE,"IRDIFERIDO"}</definedName>
    <definedName name="wrn.Wright.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wrn.X140." localSheetId="8" hidden="1">{"page1",#N/A,FALSE,"X140withReclasses";"page2",#N/A,FALSE,"X140withReclasses";"page3",#N/A,FALSE,"X140withReclasses"}</definedName>
    <definedName name="wrn.X140." hidden="1">{"page1",#N/A,FALSE,"X140withReclasses";"page2",#N/A,FALSE,"X140withReclasses";"page3",#N/A,FALSE,"X140withReclasses"}</definedName>
    <definedName name="wrn.Year1." localSheetId="8" hidden="1">{"Page1",#N/A,FALSE,"Yr 1";"Page2",#N/A,FALSE,"Yr 1";"Page3",#N/A,FALSE,"Yr 1";"Page4",#N/A,FALSE,"Yr 1"}</definedName>
    <definedName name="wrn.Year1." hidden="1">{"Page1",#N/A,FALSE,"Yr 1";"Page2",#N/A,FALSE,"Yr 1";"Page3",#N/A,FALSE,"Yr 1";"Page4",#N/A,FALSE,"Yr 1"}</definedName>
    <definedName name="wrn.Year2." localSheetId="8" hidden="1">{"Page1",#N/A,FALSE,"Yr 2";"Page2",#N/A,FALSE,"Yr 2";"Page3",#N/A,FALSE,"Yr 2";"Page4",#N/A,FALSE,"Yr 2"}</definedName>
    <definedName name="wrn.Year2." hidden="1">{"Page1",#N/A,FALSE,"Yr 2";"Page2",#N/A,FALSE,"Yr 2";"Page3",#N/A,FALSE,"Yr 2";"Page4",#N/A,FALSE,"Yr 2"}</definedName>
    <definedName name="wrn.YTD." localSheetId="8" hidden="1">{"YTD",#N/A,FALSE,"SUM"}</definedName>
    <definedName name="wrn.YTD." hidden="1">{"YTD",#N/A,FALSE,"SUM"}</definedName>
    <definedName name="wrn.YTD._.PACKAGE." localSheetId="8" hidden="1">{"YD PACKAGE",#N/A,FALSE,"YTD"}</definedName>
    <definedName name="wrn.YTD._.PACKAGE." hidden="1">{"YD PACKAGE",#N/A,FALSE,"YTD"}</definedName>
    <definedName name="wrn.YTD._.PRS." localSheetId="8" hidden="1">{"YD PRS",#N/A,FALSE,"YTD"}</definedName>
    <definedName name="wrn.YTD._.PRS." hidden="1">{"YD PRS",#N/A,FALSE,"YTD"}</definedName>
    <definedName name="wrn.YTD_ALL." localSheetId="8" hidden="1">{"YD LAPO2",#N/A,FALSE,"YTD";"YD LPH2",#N/A,FALSE,"YTD";"YD LOUISIANA",#N/A,FALSE,"YTD";"YD GENERALH2",#N/A,FALSE,"YTD";"YD PRS",#N/A,FALSE,"YTD";"YD PACKAGE",#N/A,FALSE,"YTD";"YD OTHER",#N/A,FALSE,"YTD"}</definedName>
    <definedName name="wrn.YTD_ALL." hidden="1">{"YD LAPO2",#N/A,FALSE,"YTD";"YD LPH2",#N/A,FALSE,"YTD";"YD LOUISIANA",#N/A,FALSE,"YTD";"YD GENERALH2",#N/A,FALSE,"YTD";"YD PRS",#N/A,FALSE,"YTD";"YD PACKAGE",#N/A,FALSE,"YTD";"YD OTHER",#N/A,FALSE,"YTD"}</definedName>
    <definedName name="wrn.YTD_GENERALH2." localSheetId="8" hidden="1">{"YD GENERALH2",#N/A,FALSE,"YTD"}</definedName>
    <definedName name="wrn.YTD_GENERALH2." hidden="1">{"YD GENERALH2",#N/A,FALSE,"YTD"}</definedName>
    <definedName name="wrn.YTD_LAPORTE_O2N2." localSheetId="8" hidden="1">{"YD LAPO2",#N/A,FALSE,"YTD"}</definedName>
    <definedName name="wrn.YTD_LAPORTE_O2N2." hidden="1">{"YD LAPO2",#N/A,FALSE,"YTD"}</definedName>
    <definedName name="wrn.YTD_LOUISIANA." localSheetId="8" hidden="1">{"YD LOUISIANA",#N/A,FALSE,"YTD"}</definedName>
    <definedName name="wrn.YTD_LOUISIANA." hidden="1">{"YD LOUISIANA",#N/A,FALSE,"YTD"}</definedName>
    <definedName name="wrn.YTD_OTHER." localSheetId="8" hidden="1">{"YD OTHER",#N/A,FALSE,"YTD"}</definedName>
    <definedName name="wrn.YTD_OTHER." hidden="1">{"YD OTHER",#N/A,FALSE,"YTD"}</definedName>
    <definedName name="wrn.YTD_ROY_PL." localSheetId="8" hidden="1">{"ROY_YTD",#N/A,FALSE,"1.2"}</definedName>
    <definedName name="wrn.YTD_ROY_PL." hidden="1">{"ROY_YTD",#N/A,FALSE,"1.2"}</definedName>
    <definedName name="wrn.YTD_ROY_PL._1" localSheetId="8" hidden="1">{"ROY_YTD",#N/A,FALSE,"1.2"}</definedName>
    <definedName name="wrn.YTD_ROY_PL._1" hidden="1">{"ROY_YTD",#N/A,FALSE,"1.2"}</definedName>
    <definedName name="wrn.YTD_TEXAS._.HYCO." localSheetId="8" hidden="1">{"YD LPH2",#N/A,FALSE,"YTD"}</definedName>
    <definedName name="wrn.YTD_TEXAS._.HYCO." hidden="1">{"YD LPH2",#N/A,FALSE,"YTD"}</definedName>
    <definedName name="wrn.YTDvsBud." localSheetId="8" hidden="1">{"Pg1",#N/A,FALSE,"OpExYTDvsBud";"Pg2",#N/A,FALSE,"OpExYTDvsBud"}</definedName>
    <definedName name="wrn.YTDvsBud." hidden="1">{"Pg1",#N/A,FALSE,"OpExYTDvsBud";"Pg2",#N/A,FALSE,"OpExYTDvsBud"}</definedName>
    <definedName name="wrn.YTDvsPY." localSheetId="8" hidden="1">{"Pa1",#N/A,FALSE,"OpExYTDvsPY";"Pa2",#N/A,FALSE,"OpExYTDvsPY"}</definedName>
    <definedName name="wrn.YTDvsPY." hidden="1">{"Pa1",#N/A,FALSE,"OpExYTDvsPY";"Pa2",#N/A,FALSE,"OpExYTDvsPY"}</definedName>
    <definedName name="wrn.z_ALL.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1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1_1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1_1_1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1_1_1_1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1_1_1_2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1_1_2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1_1_2_1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1_1_2_2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1_1_3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1_1_4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1_2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1_2_1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1_2_1_1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1_2_1_2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1_2_2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1_2_2_1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1_2_2_2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1_2_3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1_2_4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1_3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1_3_1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1_3_1_1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1_3_1_2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1_3_2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1_3_2_1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1_3_2_2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1_3_3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1_3_4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1_4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1_4_1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1_4_1_1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1_4_1_2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1_4_2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1_4_2_1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1_4_2_2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1_4_3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1_4_4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1_5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1_5_1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1_5_1_1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1_5_1_2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1_5_2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1_5_2_1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1_5_2_2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1_5_3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1_5_4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2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2_1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2_1_1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2_1_1_1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2_1_1_2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2_1_2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2_1_2_1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2_1_2_2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2_1_3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2_1_4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2_2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2_2_1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2_2_1_1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2_2_1_2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2_2_2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2_2_2_1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2_2_2_2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2_2_3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2_2_4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2_3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2_3_1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2_3_1_1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2_3_1_2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2_3_2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2_3_2_1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2_3_2_2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2_3_3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2_3_4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2_4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2_4_1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2_4_1_1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2_4_1_2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2_4_2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2_4_2_1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2_4_2_2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2_4_3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2_4_4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2_5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2_5_1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2_5_1_1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2_5_1_2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2_5_2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2_5_2_1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2_5_2_2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2_5_3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2_5_4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3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3_1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3_1_1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3_1_1_1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3_1_1_2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3_1_2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3_1_2_1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3_1_2_2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3_1_3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3_1_4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3_2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3_2_1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3_2_1_1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3_2_1_2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3_2_2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3_2_2_1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3_2_2_2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3_2_3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3_2_4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3_3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3_3_1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3_3_1_1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3_3_1_2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3_3_2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3_3_2_1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3_3_2_2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3_3_3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3_3_4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3_4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3_4_1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3_4_1_1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3_4_1_2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3_4_2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3_4_2_1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3_4_2_2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3_4_3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3_4_4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3_5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3_5_1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3_5_1_1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3_5_1_2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3_5_2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3_5_2_1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3_5_2_2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3_5_3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3_5_4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4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4_1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4_1_1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4_1_2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4_2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4_2_1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4_2_2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4_3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4_4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5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5_1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5_1_1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5_1_2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5_2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5_2_1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5_2_2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5_3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5_4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BROCHURE." localSheetId="8" hidden="1">{"zt1a",#N/A,FALSE,"T1A";"zt1b",#N/A,FALSE,"T1B";"zt2",#N/A,FALSE,"T2";"zt4",#N/A,FALSE,"T4";"zt5_6",#N/A,FALSE,"T5_6";"zt9",#N/A,FALSE,"T9";"zt11",#N/A,FALSE,"T11";"zt12",#N/A,FALSE,"T12";"zt13",#N/A,FALSE,"T13";"zt14a",#N/A,FALSE,"T14A";"zt14b",#N/A,FALSE,"T14B";"zt14c",#N/A,FALSE,"T14C";"zt15",#N/A,FALSE,"T15";"zt16",#N/A,FALSE,"T16";"zt17",#N/A,FALSE,"T17";"zt18",#N/A,FALSE,"T18";"zt19",#N/A,FALSE,"T19";"zt20",#N/A,FALSE,"T20";"zt21",#N/A,FALSE,"T21";"zt22",#N/A,FALSE,"T22"}</definedName>
    <definedName name="wrn.ZBROCHURE." hidden="1">{"zt1a",#N/A,FALSE,"T1A";"zt1b",#N/A,FALSE,"T1B";"zt2",#N/A,FALSE,"T2";"zt4",#N/A,FALSE,"T4";"zt5_6",#N/A,FALSE,"T5_6";"zt9",#N/A,FALSE,"T9";"zt11",#N/A,FALSE,"T11";"zt12",#N/A,FALSE,"T12";"zt13",#N/A,FALSE,"T13";"zt14a",#N/A,FALSE,"T14A";"zt14b",#N/A,FALSE,"T14B";"zt14c",#N/A,FALSE,"T14C";"zt15",#N/A,FALSE,"T15";"zt16",#N/A,FALSE,"T16";"zt17",#N/A,FALSE,"T17";"zt18",#N/A,FALSE,"T18";"zt19",#N/A,FALSE,"T19";"zt20",#N/A,FALSE,"T20";"zt21",#N/A,FALSE,"T21";"zt22",#N/A,FALSE,"T22"}</definedName>
    <definedName name="wrn_1" localSheetId="8" hidden="1">{"cap_structure",#N/A,FALSE,"Graph-Mkt Cap";"price",#N/A,FALSE,"Graph-Price";"ebit",#N/A,FALSE,"Graph-EBITDA";"ebitda",#N/A,FALSE,"Graph-EBITDA"}</definedName>
    <definedName name="wrn_1" hidden="1">{"cap_structure",#N/A,FALSE,"Graph-Mkt Cap";"price",#N/A,FALSE,"Graph-Price";"ebit",#N/A,FALSE,"Graph-EBITDA";"ebitda",#N/A,FALSE,"Graph-EBITDA"}</definedName>
    <definedName name="wrn_new" localSheetId="8" hidden="1">{#N/A,#N/A,FALSE,"Cover";#N/A,#N/A,FALSE,"OFF";#N/A,#N/A,FALSE," ON";#N/A,#N/A,FALSE,"SUM";#N/A,#N/A,FALSE,"VPOP-POP"}</definedName>
    <definedName name="wrn_new" hidden="1">{#N/A,#N/A,FALSE,"Cover";#N/A,#N/A,FALSE,"OFF";#N/A,#N/A,FALSE," ON";#N/A,#N/A,FALSE,"SUM";#N/A,#N/A,FALSE,"VPOP-POP"}</definedName>
    <definedName name="wrn1.1.1" localSheetId="8" hidden="1">{#N/A,#N/A,FALSE,"Calc";#N/A,#N/A,FALSE,"Sensitivity";#N/A,#N/A,FALSE,"LT Earn.Dil.";#N/A,#N/A,FALSE,"Dil. AVP"}</definedName>
    <definedName name="wrn1.1.1" hidden="1">{#N/A,#N/A,FALSE,"Calc";#N/A,#N/A,FALSE,"Sensitivity";#N/A,#N/A,FALSE,"LT Earn.Dil.";#N/A,#N/A,FALSE,"Dil. AVP"}</definedName>
    <definedName name="wrn1.1.1_1" localSheetId="8" hidden="1">{#N/A,#N/A,FALSE,"Calc";#N/A,#N/A,FALSE,"Sensitivity";#N/A,#N/A,FALSE,"LT Earn.Dil.";#N/A,#N/A,FALSE,"Dil. AVP"}</definedName>
    <definedName name="wrn1.1.1_1" hidden="1">{#N/A,#N/A,FALSE,"Calc";#N/A,#N/A,FALSE,"Sensitivity";#N/A,#N/A,FALSE,"LT Earn.Dil.";#N/A,#N/A,FALSE,"Dil. AVP"}</definedName>
    <definedName name="wrn1.Current._.Month._.Everything" localSheetId="8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wrn1.Current._.Month._.Everything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wrn1.fullreport" localSheetId="8" hidden="1">{#N/A,#N/A,TRUE,"Cover";#N/A,#N/A,TRUE,"SummPTB";#N/A,#N/A,TRUE,"Vaccover";#N/A,#N/A,TRUE,"VacPTB";#N/A,#N/A,TRUE,"VacSumm";#N/A,#N/A,TRUE,"Vacbrkpg";#N/A,#N/A,TRUE,"Opt105";#N/A,#N/A,TRUE,"Opt95";#N/A,#N/A,TRUE,"Opt85";#N/A,#N/A,TRUE,"Opt75";#N/A,#N/A,TRUE,"Opt55LT";#N/A,#N/A,TRUE,"WPVAccrual";#N/A,#N/A,TRUE,"Sikcover";#N/A,#N/A,TRUE,"SikPTB";#N/A,#N/A,TRUE,"SikSumm";#N/A,#N/A,TRUE,"SikPgB";#N/A,#N/A,TRUE,"BH";#N/A,#N/A,TRUE,"Res";#N/A,#N/A,TRUE,"WPSAccrual"}</definedName>
    <definedName name="wrn1.fullreport" hidden="1">{#N/A,#N/A,TRUE,"Cover";#N/A,#N/A,TRUE,"SummPTB";#N/A,#N/A,TRUE,"Vaccover";#N/A,#N/A,TRUE,"VacPTB";#N/A,#N/A,TRUE,"VacSumm";#N/A,#N/A,TRUE,"Vacbrkpg";#N/A,#N/A,TRUE,"Opt105";#N/A,#N/A,TRUE,"Opt95";#N/A,#N/A,TRUE,"Opt85";#N/A,#N/A,TRUE,"Opt75";#N/A,#N/A,TRUE,"Opt55LT";#N/A,#N/A,TRUE,"WPVAccrual";#N/A,#N/A,TRUE,"Sikcover";#N/A,#N/A,TRUE,"SikPTB";#N/A,#N/A,TRUE,"SikSumm";#N/A,#N/A,TRUE,"SikPgB";#N/A,#N/A,TRUE,"BH";#N/A,#N/A,TRUE,"Res";#N/A,#N/A,TRUE,"WPSAccrual"}</definedName>
    <definedName name="wrn1.history" localSheetId="7" hidden="1">{#N/A,#N/A,FALSE,"model"}</definedName>
    <definedName name="wrn1.history" localSheetId="8" hidden="1">{#N/A,#N/A,FALSE,"model"}</definedName>
    <definedName name="wrn1.history" hidden="1">{#N/A,#N/A,FALSE,"model"}</definedName>
    <definedName name="wrn1.history_1" localSheetId="8" hidden="1">{#N/A,#N/A,FALSE,"model"}</definedName>
    <definedName name="wrn1.history_1" hidden="1">{#N/A,#N/A,FALSE,"model"}</definedName>
    <definedName name="wrn1.PRINT." localSheetId="8" hidden="1">{"DOWNLOAD",#N/A,FALSE,"GLDownload";"UPLOAD",#N/A,FALSE,"GLUpload"}</definedName>
    <definedName name="wrn1.PRINT." hidden="1">{"DOWNLOAD",#N/A,FALSE,"GLDownload";"UPLOAD",#N/A,FALSE,"GLUpload"}</definedName>
    <definedName name="wrn1.printall" localSheetId="8" hidden="1">{"page1",#N/A,FALSE,"DCM";"page2",#N/A,FALSE,"DCM";"page3",#N/A,FALSE,"DCM";"page4",#N/A,FALSE,"DCM";"page5",#N/A,FALSE,"DCM";"page6",#N/A,FALSE,"DCM";"page7",#N/A,FALSE,"DCM";"page8",#N/A,FALSE,"DCM"}</definedName>
    <definedName name="wrn1.printall" hidden="1">{"page1",#N/A,FALSE,"DCM";"page2",#N/A,FALSE,"DCM";"page3",#N/A,FALSE,"DCM";"page4",#N/A,FALSE,"DCM";"page5",#N/A,FALSE,"DCM";"page6",#N/A,FALSE,"DCM";"page7",#N/A,FALSE,"DCM";"page8",#N/A,FALSE,"DCM"}</definedName>
    <definedName name="wrn2.Bplan." localSheetId="8" hidden="1">{#N/A,#N/A,FALSE,"F_Plan";#N/A,#N/A,FALSE,"Parameter"}</definedName>
    <definedName name="wrn2.Bplan." hidden="1">{#N/A,#N/A,FALSE,"F_Plan";#N/A,#N/A,FALSE,"Parameter"}</definedName>
    <definedName name="WRN2.Document" localSheetId="8" hidden="1">{"consolidated",#N/A,FALSE,"Sheet1";"cms",#N/A,FALSE,"Sheet1";"fse",#N/A,FALSE,"Sheet1"}</definedName>
    <definedName name="WRN2.Document" hidden="1">{"consolidated",#N/A,FALSE,"Sheet1";"cms",#N/A,FALSE,"Sheet1";"fse",#N/A,FALSE,"Sheet1"}</definedName>
    <definedName name="WRN2.Document_1" localSheetId="8" hidden="1">{"consolidated",#N/A,FALSE,"Sheet1";"cms",#N/A,FALSE,"Sheet1";"fse",#N/A,FALSE,"Sheet1"}</definedName>
    <definedName name="WRN2.Document_1" hidden="1">{"consolidated",#N/A,FALSE,"Sheet1";"cms",#N/A,FALSE,"Sheet1";"fse",#N/A,FALSE,"Sheet1"}</definedName>
    <definedName name="wrn3.ALL." localSheetId="8" hidden="1">{#N/A,#N/A,FALSE,"DCF";#N/A,#N/A,FALSE,"WACC";#N/A,#N/A,FALSE,"Sales_EBIT";#N/A,#N/A,FALSE,"Capex_Depreciation";#N/A,#N/A,FALSE,"WC";#N/A,#N/A,FALSE,"Interest";#N/A,#N/A,FALSE,"Assumptions"}</definedName>
    <definedName name="wrn3.ALL." hidden="1">{#N/A,#N/A,FALSE,"DCF";#N/A,#N/A,FALSE,"WACC";#N/A,#N/A,FALSE,"Sales_EBIT";#N/A,#N/A,FALSE,"Capex_Depreciation";#N/A,#N/A,FALSE,"WC";#N/A,#N/A,FALSE,"Interest";#N/A,#N/A,FALSE,"Assumptions"}</definedName>
    <definedName name="wrn3.ALL._1" localSheetId="8" hidden="1">{#N/A,#N/A,FALSE,"DCF";#N/A,#N/A,FALSE,"WACC";#N/A,#N/A,FALSE,"Sales_EBIT";#N/A,#N/A,FALSE,"Capex_Depreciation";#N/A,#N/A,FALSE,"WC";#N/A,#N/A,FALSE,"Interest";#N/A,#N/A,FALSE,"Assumptions"}</definedName>
    <definedName name="wrn3.ALL._1" hidden="1">{#N/A,#N/A,FALSE,"DCF";#N/A,#N/A,FALSE,"WACC";#N/A,#N/A,FALSE,"Sales_EBIT";#N/A,#N/A,FALSE,"Capex_Depreciation";#N/A,#N/A,FALSE,"WC";#N/A,#N/A,FALSE,"Interest";#N/A,#N/A,FALSE,"Assumptions"}</definedName>
    <definedName name="wrn3.histroic" localSheetId="7" hidden="1">{#N/A,#N/A,FALSE,"model"}</definedName>
    <definedName name="wrn3.histroic" localSheetId="8" hidden="1">{#N/A,#N/A,FALSE,"model"}</definedName>
    <definedName name="wrn3.histroic" hidden="1">{#N/A,#N/A,FALSE,"model"}</definedName>
    <definedName name="wrn3.histroic_1" localSheetId="8" hidden="1">{#N/A,#N/A,FALSE,"model"}</definedName>
    <definedName name="wrn3.histroic_1" hidden="1">{#N/A,#N/A,FALSE,"model"}</definedName>
    <definedName name="wrna.prod" localSheetId="7" hidden="1">{#N/A,#N/A,FALSE,"1";#N/A,#N/A,FALSE,"2";#N/A,#N/A,FALSE,"16 - 17";#N/A,#N/A,FALSE,"18 - 19";#N/A,#N/A,FALSE,"26";#N/A,#N/A,FALSE,"27";#N/A,#N/A,FALSE,"28"}</definedName>
    <definedName name="wrna.prod" localSheetId="8" hidden="1">{#N/A,#N/A,FALSE,"1";#N/A,#N/A,FALSE,"2";#N/A,#N/A,FALSE,"16 - 17";#N/A,#N/A,FALSE,"18 - 19";#N/A,#N/A,FALSE,"26";#N/A,#N/A,FALSE,"27";#N/A,#N/A,FALSE,"28"}</definedName>
    <definedName name="wrna.prod" hidden="1">{#N/A,#N/A,FALSE,"1";#N/A,#N/A,FALSE,"2";#N/A,#N/A,FALSE,"16 - 17";#N/A,#N/A,FALSE,"18 - 19";#N/A,#N/A,FALSE,"26";#N/A,#N/A,FALSE,"27";#N/A,#N/A,FALSE,"28"}</definedName>
    <definedName name="wrnaboth" localSheetId="8" hidden="1">{"detail",#N/A,FALSE,"mfg";"summary",#N/A,FALSE,"mfg"}</definedName>
    <definedName name="wrnaboth" hidden="1">{"detail",#N/A,FALSE,"mfg";"summary",#N/A,FALSE,"mfg"}</definedName>
    <definedName name="wrnaging" localSheetId="8" hidden="1">{#N/A,#N/A,FALSE,"Aging Summary";#N/A,#N/A,FALSE,"Ratio Analysis";#N/A,#N/A,FALSE,"Test 120 Day Accts";#N/A,#N/A,FALSE,"Tickmarks"}</definedName>
    <definedName name="wrnaging" hidden="1">{#N/A,#N/A,FALSE,"Aging Summary";#N/A,#N/A,FALSE,"Ratio Analysis";#N/A,#N/A,FALSE,"Test 120 Day Accts";#N/A,#N/A,FALSE,"Tickmarks"}</definedName>
    <definedName name="wrnats" localSheetId="8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ats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avboth" localSheetId="8" hidden="1">{"detail",#N/A,FALSE,"mfg";"summary",#N/A,FALSE,"mfg"}</definedName>
    <definedName name="wrnavboth" hidden="1">{"detail",#N/A,FALSE,"mfg";"summary",#N/A,FALSE,"mfg"}</definedName>
    <definedName name="wrnavpucspadd" localSheetId="8" hidden="1">{#N/A,"PURCHM",FALSE,"Business Analysis";#N/A,"SPADD",FALSE,"Business Analysis"}</definedName>
    <definedName name="wrnavpucspadd" hidden="1">{#N/A,"PURCHM",FALSE,"Business Analysis";#N/A,"SPADD",FALSE,"Business Analysis"}</definedName>
    <definedName name="wrnb213" localSheetId="8" hidden="1">{"detail",#N/A,FALSE,"mfg";"summary",#N/A,FALSE,"mfg"}</definedName>
    <definedName name="wrnb213" hidden="1">{"detail",#N/A,FALSE,"mfg";"summary",#N/A,FALSE,"mfg"}</definedName>
    <definedName name="wrnb412" localSheetId="8" hidden="1">{"detail",#N/A,FALSE,"mfg";"summary",#N/A,FALSE,"mfg"}</definedName>
    <definedName name="wrnb412" hidden="1">{"detail",#N/A,FALSE,"mfg";"summary",#N/A,FALSE,"mfg"}</definedName>
    <definedName name="wrnboth14a" localSheetId="8" hidden="1">{"detail",#N/A,FALSE,"mfg";"summary",#N/A,FALSE,"mfg"}</definedName>
    <definedName name="wrnboth14a" hidden="1">{"detail",#N/A,FALSE,"mfg";"summary",#N/A,FALSE,"mfg"}</definedName>
    <definedName name="WRNBV" localSheetId="8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WRNBV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wrnfy97" localSheetId="8" hidden="1">{#N/A,#N/A,FALSE,"FY97";#N/A,#N/A,FALSE,"FY98";#N/A,#N/A,FALSE,"FY99";#N/A,#N/A,FALSE,"FY00";#N/A,#N/A,FALSE,"FY01"}</definedName>
    <definedName name="wrnfy97" hidden="1">{#N/A,#N/A,FALSE,"FY97";#N/A,#N/A,FALSE,"FY98";#N/A,#N/A,FALSE,"FY99";#N/A,#N/A,FALSE,"FY00";#N/A,#N/A,FALSE,"FY01"}</definedName>
    <definedName name="wrnfy97_1" localSheetId="8" hidden="1">{#N/A,#N/A,FALSE,"FY97";#N/A,#N/A,FALSE,"FY98";#N/A,#N/A,FALSE,"FY99";#N/A,#N/A,FALSE,"FY00";#N/A,#N/A,FALSE,"FY01"}</definedName>
    <definedName name="wrnfy97_1" hidden="1">{#N/A,#N/A,FALSE,"FY97";#N/A,#N/A,FALSE,"FY98";#N/A,#N/A,FALSE,"FY99";#N/A,#N/A,FALSE,"FY00";#N/A,#N/A,FALSE,"FY01"}</definedName>
    <definedName name="wrnnovonome" hidden="1">{#N/A,#N/A,FALSE,"Dutos";#N/A,#N/A,FALSE,"Terminais"}</definedName>
    <definedName name="WRNP41" localSheetId="8" hidden="1">{#N/A,"PURCHM",FALSE,"Business Analysis";#N/A,"SPADD",FALSE,"Business Analysis"}</definedName>
    <definedName name="WRNP41" hidden="1">{#N/A,"PURCHM",FALSE,"Business Analysis";#N/A,"SPADD",FALSE,"Business Analysis"}</definedName>
    <definedName name="wrnp61" localSheetId="8" hidden="1">{#N/A,"PURCHM",FALSE,"Business Analysis";#N/A,"SPADD",FALSE,"Business Analysis"}</definedName>
    <definedName name="wrnp61" hidden="1">{#N/A,"PURCHM",FALSE,"Business Analysis";#N/A,"SPADD",FALSE,"Business Analysis"}</definedName>
    <definedName name="wrnpag2" localSheetId="8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pag2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pav" localSheetId="8" hidden="1">{#N/A,"PURCHM",FALSE,"Business Analysis";#N/A,"SPADD",FALSE,"Business Analysis"}</definedName>
    <definedName name="wrnpav" hidden="1">{#N/A,"PURCHM",FALSE,"Business Analysis";#N/A,"SPADD",FALSE,"Business Analysis"}</definedName>
    <definedName name="wrnpuc213" localSheetId="8" hidden="1">{#N/A,"PURCHM",FALSE,"Business Analysis";#N/A,"SPADD",FALSE,"Business Analysis"}</definedName>
    <definedName name="wrnpuc213" hidden="1">{#N/A,"PURCHM",FALSE,"Business Analysis";#N/A,"SPADD",FALSE,"Business Analysis"}</definedName>
    <definedName name="wrnpuc2412" localSheetId="8" hidden="1">{#N/A,"PURCHM",FALSE,"Business Analysis";#N/A,"SPADD",FALSE,"Business Analysis"}</definedName>
    <definedName name="wrnpuc2412" hidden="1">{#N/A,"PURCHM",FALSE,"Business Analysis";#N/A,"SPADD",FALSE,"Business Analysis"}</definedName>
    <definedName name="wrnpuc412" localSheetId="8" hidden="1">{#N/A,"PURCHM",FALSE,"Business Analysis";#N/A,"SPADD",FALSE,"Business Analysis"}</definedName>
    <definedName name="wrnpuc412" hidden="1">{#N/A,"PURCHM",FALSE,"Business Analysis";#N/A,"SPADD",FALSE,"Business Analysis"}</definedName>
    <definedName name="wrnpucs213" localSheetId="8" hidden="1">{#N/A,"PURCHM",FALSE,"Business Analysis";#N/A,"SPADD",FALSE,"Business Analysis"}</definedName>
    <definedName name="wrnpucs213" hidden="1">{#N/A,"PURCHM",FALSE,"Business Analysis";#N/A,"SPADD",FALSE,"Business Analysis"}</definedName>
    <definedName name="wrnpucspadd32" localSheetId="8" hidden="1">{#N/A,"PURCHM",FALSE,"Business Analysis";#N/A,"SPADD",FALSE,"Business Analysis"}</definedName>
    <definedName name="wrnpucspadd32" hidden="1">{#N/A,"PURCHM",FALSE,"Business Analysis";#N/A,"SPADD",FALSE,"Business Analysis"}</definedName>
    <definedName name="wrnpucspaddza103" localSheetId="8" hidden="1">{#N/A,"PURCHM",FALSE,"Business Analysis";#N/A,"SPADD",FALSE,"Business Analysis"}</definedName>
    <definedName name="wrnpucspaddza103" hidden="1">{#N/A,"PURCHM",FALSE,"Business Analysis";#N/A,"SPADD",FALSE,"Business Analysis"}</definedName>
    <definedName name="wrnpucspvd" localSheetId="8" hidden="1">{#N/A,"PURCHM",FALSE,"Business Analysis";#N/A,"SPADD",FALSE,"Business Analysis"}</definedName>
    <definedName name="wrnpucspvd" hidden="1">{#N/A,"PURCHM",FALSE,"Business Analysis";#N/A,"SPADD",FALSE,"Business Analysis"}</definedName>
    <definedName name="wrnpvcs" localSheetId="8" hidden="1">{#N/A,"PURCHM",FALSE,"Business Analysis";#N/A,"SPADD",FALSE,"Business Analysis"}</definedName>
    <definedName name="wrnpvcs" hidden="1">{#N/A,"PURCHM",FALSE,"Business Analysis";#N/A,"SPADD",FALSE,"Business Analysis"}</definedName>
    <definedName name="wrnt.dcf" localSheetId="8" hidden="1">{"mgmt forecast",#N/A,FALSE,"Mgmt Forecast";"dcf table",#N/A,FALSE,"Mgmt Forecast";"sensitivity",#N/A,FALSE,"Mgmt Forecast";"table inputs",#N/A,FALSE,"Mgmt Forecast";"calculations",#N/A,FALSE,"Mgmt Forecast"}</definedName>
    <definedName name="wrnt.dcf" hidden="1">{"mgmt forecast",#N/A,FALSE,"Mgmt Forecast";"dcf table",#N/A,FALSE,"Mgmt Forecast";"sensitivity",#N/A,FALSE,"Mgmt Forecast";"table inputs",#N/A,FALSE,"Mgmt Forecast";"calculations",#N/A,FALSE,"Mgmt Forecast"}</definedName>
    <definedName name="wrnt51" localSheetId="8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5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61" localSheetId="8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6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71" localSheetId="8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7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41" localSheetId="8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4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412" localSheetId="8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41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al213" localSheetId="8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al21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ax" localSheetId="8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ax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div213" localSheetId="8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div21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div412" localSheetId="8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div41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ong" localSheetId="8" hidden="1">{#N/A,#N/A,FALSE,"JA.1";#N/A,#N/A,FALSE,"JA.2";#N/A,#N/A,FALSE,"JA.3";#N/A,#N/A,FALSE,"JA.4";#N/A,#N/A,FALSE,"JA.5";#N/A,#N/A,FALSE,"JA.6";#N/A,#N/A,FALSE,"JA.7";#N/A,#N/A,FALSE,"JA.8";#N/A,#N/A,FALSE,"JA.9";#N/A,#N/A,FALSE,"JA.10";#N/A,#N/A,FALSE,"JB.1";#N/A,#N/A,FALSE,"JB.2";#N/A,#N/A,FALSE,"JB.3";#N/A,#N/A,FALSE,"JB.4";#N/A,#N/A,FALSE,"JB.5";#N/A,#N/A,FALSE,"JB.6";#N/A,#N/A,FALSE,"JB.7";#N/A,#N/A,FALSE,"JB.8";#N/A,#N/A,FALSE,"JB.9";#N/A,#N/A,FALSE,"JB.10";#N/A,#N/A,FALSE,"JC.1";#N/A,#N/A,FALSE,"JC.2";#N/A,#N/A,FALSE,"JC.3";#N/A,#N/A,FALSE,"JC.4";#N/A,#N/A,FALSE,"JC.5";#N/A,#N/A,FALSE,"JC.6";#N/A,#N/A,FALSE,"JC.7";#N/A,#N/A,FALSE,"JC.8";#N/A,#N/A,FALSE,"JC.9";#N/A,#N/A,FALSE,"JC.10";#N/A,#N/A,FALSE,"JD.1";#N/A,#N/A,FALSE,"JD.2";#N/A,#N/A,FALSE,"JD.3";#N/A,#N/A,FALSE,"JD.4";#N/A,#N/A,FALSE,"JD.5";#N/A,#N/A,FALSE,"JD.6";#N/A,#N/A,FALSE,"JD.7";#N/A,#N/A,FALSE,"JD.8";#N/A,#N/A,FALSE,"JD.9";#N/A,#N/A,FALSE,"JD.10"}</definedName>
    <definedName name="Wrong" hidden="1">{#N/A,#N/A,FALSE,"JA.1";#N/A,#N/A,FALSE,"JA.2";#N/A,#N/A,FALSE,"JA.3";#N/A,#N/A,FALSE,"JA.4";#N/A,#N/A,FALSE,"JA.5";#N/A,#N/A,FALSE,"JA.6";#N/A,#N/A,FALSE,"JA.7";#N/A,#N/A,FALSE,"JA.8";#N/A,#N/A,FALSE,"JA.9";#N/A,#N/A,FALSE,"JA.10";#N/A,#N/A,FALSE,"JB.1";#N/A,#N/A,FALSE,"JB.2";#N/A,#N/A,FALSE,"JB.3";#N/A,#N/A,FALSE,"JB.4";#N/A,#N/A,FALSE,"JB.5";#N/A,#N/A,FALSE,"JB.6";#N/A,#N/A,FALSE,"JB.7";#N/A,#N/A,FALSE,"JB.8";#N/A,#N/A,FALSE,"JB.9";#N/A,#N/A,FALSE,"JB.10";#N/A,#N/A,FALSE,"JC.1";#N/A,#N/A,FALSE,"JC.2";#N/A,#N/A,FALSE,"JC.3";#N/A,#N/A,FALSE,"JC.4";#N/A,#N/A,FALSE,"JC.5";#N/A,#N/A,FALSE,"JC.6";#N/A,#N/A,FALSE,"JC.7";#N/A,#N/A,FALSE,"JC.8";#N/A,#N/A,FALSE,"JC.9";#N/A,#N/A,FALSE,"JC.10";#N/A,#N/A,FALSE,"JD.1";#N/A,#N/A,FALSE,"JD.2";#N/A,#N/A,FALSE,"JD.3";#N/A,#N/A,FALSE,"JD.4";#N/A,#N/A,FALSE,"JD.5";#N/A,#N/A,FALSE,"JD.6";#N/A,#N/A,FALSE,"JD.7";#N/A,#N/A,FALSE,"JD.8";#N/A,#N/A,FALSE,"JD.9";#N/A,#N/A,FALSE,"JD.10"}</definedName>
    <definedName name="Wrong2" localSheetId="8" hidden="1">{#N/A,#N/A,FALSE,"KA.1";#N/A,#N/A,FALSE,"KA.2";#N/A,#N/A,FALSE,"KB.1";#N/A,#N/A,FALSE,"KB.2";#N/A,#N/A,FALSE,"KC.1";#N/A,#N/A,FALSE,"KC.2";#N/A,#N/A,FALSE,"KD.1";#N/A,#N/A,FALSE,"KD.2"}</definedName>
    <definedName name="Wrong2" hidden="1">{#N/A,#N/A,FALSE,"KA.1";#N/A,#N/A,FALSE,"KA.2";#N/A,#N/A,FALSE,"KB.1";#N/A,#N/A,FALSE,"KB.2";#N/A,#N/A,FALSE,"KC.1";#N/A,#N/A,FALSE,"KC.2";#N/A,#N/A,FALSE,"KD.1";#N/A,#N/A,FALSE,"KD.2"}</definedName>
    <definedName name="WRQE" localSheetId="8" hidden="1">{#N/A,#N/A,FALSE,"Assessment";#N/A,#N/A,FALSE,"Staffing";#N/A,#N/A,FALSE,"Hires";#N/A,#N/A,FALSE,"Assumptions"}</definedName>
    <definedName name="WRQE" hidden="1">{#N/A,#N/A,FALSE,"Assessment";#N/A,#N/A,FALSE,"Staffing";#N/A,#N/A,FALSE,"Hires";#N/A,#N/A,FALSE,"Assumptions"}</definedName>
    <definedName name="WRR" localSheetId="7" hidden="1">{#N/A,#N/A,FALSE,"Pharm";#N/A,#N/A,FALSE,"WWCM"}</definedName>
    <definedName name="WRR" localSheetId="8" hidden="1">{#N/A,#N/A,FALSE,"Pharm";#N/A,#N/A,FALSE,"WWCM"}</definedName>
    <definedName name="WRR" hidden="1">{#N/A,#N/A,FALSE,"Pharm";#N/A,#N/A,FALSE,"WWCM"}</definedName>
    <definedName name="wrre" localSheetId="8" hidden="1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wrre" hidden="1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wrrrrr" localSheetId="7" hidden="1">{#N/A,#N/A,FALSE,"REPORT"}</definedName>
    <definedName name="wrrrrr" localSheetId="8" hidden="1">{#N/A,#N/A,FALSE,"REPORT"}</definedName>
    <definedName name="wrrrrr" hidden="1">{#N/A,#N/A,FALSE,"REPORT"}</definedName>
    <definedName name="wrtz" localSheetId="8" hidden="1">{"Ergebnisbericht_UBA",#N/A,FALSE,"MB"}</definedName>
    <definedName name="wrtz" hidden="1">{"Ergebnisbericht_UBA",#N/A,FALSE,"MB"}</definedName>
    <definedName name="wrtz_1" localSheetId="8" hidden="1">{"Ergebnisbericht_UBA",#N/A,FALSE,"MB"}</definedName>
    <definedName name="wrtz_1" hidden="1">{"Ergebnisbericht_UBA",#N/A,FALSE,"MB"}</definedName>
    <definedName name="wru" localSheetId="8" hidden="1">{"Eilbericht_UBA",#N/A,FALSE,"EB"}</definedName>
    <definedName name="wru" hidden="1">{"Eilbericht_UBA",#N/A,FALSE,"EB"}</definedName>
    <definedName name="wru_1" localSheetId="8" hidden="1">{"Eilbericht_UBA",#N/A,FALSE,"EB"}</definedName>
    <definedName name="wru_1" hidden="1">{"Eilbericht_UBA",#N/A,FALSE,"EB"}</definedName>
    <definedName name="wrwer" localSheetId="8" hidden="1">{#N/A,#N/A,FALSE,"Umsatz 99";#N/A,#N/A,FALSE,"ER 99 "}</definedName>
    <definedName name="wrwer" hidden="1">{#N/A,#N/A,FALSE,"Umsatz 99";#N/A,#N/A,FALSE,"ER 99 "}</definedName>
    <definedName name="wrxave" localSheetId="8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xave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y" localSheetId="8" hidden="1">{"YD LAPO2",#N/A,FALSE,"YTD"}</definedName>
    <definedName name="wry" hidden="1">{"YD LAPO2",#N/A,FALSE,"YTD"}</definedName>
    <definedName name="wrz" localSheetId="8" hidden="1">{"Ergebnisbericht_UBA",#N/A,FALSE,"MB"}</definedName>
    <definedName name="wrz" hidden="1">{"Ergebnisbericht_UBA",#N/A,FALSE,"MB"}</definedName>
    <definedName name="wrz_1" localSheetId="8" hidden="1">{"Ergebnisbericht_UBA",#N/A,FALSE,"MB"}</definedName>
    <definedName name="wrz_1" hidden="1">{"Ergebnisbericht_UBA",#N/A,FALSE,"MB"}</definedName>
    <definedName name="WS" localSheetId="8" hidden="1">{#N/A,#N/A,FALSE,"IR E CS 1997";#N/A,#N/A,FALSE,"PR ND";#N/A,#N/A,FALSE,"8191";#N/A,#N/A,FALSE,"8383";#N/A,#N/A,FALSE,"MP 1024";#N/A,#N/A,FALSE,"AD_EX_97";#N/A,#N/A,FALSE,"BD 97"}</definedName>
    <definedName name="WS" hidden="1">{#N/A,#N/A,FALSE,"IR E CS 1997";#N/A,#N/A,FALSE,"PR ND";#N/A,#N/A,FALSE,"8191";#N/A,#N/A,FALSE,"8383";#N/A,#N/A,FALSE,"MP 1024";#N/A,#N/A,FALSE,"AD_EX_97";#N/A,#N/A,FALSE,"BD 97"}</definedName>
    <definedName name="WSDE" localSheetId="8" hidden="1">{#N/A,#N/A,FALSE,"Min compa cad";#N/A,#N/A,FALSE,"Min CAN Equité ";#N/A,#N/A,FALSE,"Analyse can"}</definedName>
    <definedName name="WSDE" hidden="1">{#N/A,#N/A,FALSE,"Min compa cad";#N/A,#N/A,FALSE,"Min CAN Equité ";#N/A,#N/A,FALSE,"Analyse can"}</definedName>
    <definedName name="wsxsww" localSheetId="8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wsxsww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wt" localSheetId="8" hidden="1">{"comps2_1",#N/A,FALSE,"Comps2";"comps2_2",#N/A,FALSE,"Comps2";"comps2_3",#N/A,FALSE,"Comps2";"comps2_4",#N/A,FALSE,"Comps2";"comps2_5",#N/A,FALSE,"Comps2"}</definedName>
    <definedName name="wt" hidden="1">{"comps2_1",#N/A,FALSE,"Comps2";"comps2_2",#N/A,FALSE,"Comps2";"comps2_3",#N/A,FALSE,"Comps2";"comps2_4",#N/A,FALSE,"Comps2";"comps2_5",#N/A,FALSE,"Comps2"}</definedName>
    <definedName name="wt_1" localSheetId="8" hidden="1">{"comps2_1",#N/A,FALSE,"Comps2";"comps2_2",#N/A,FALSE,"Comps2";"comps2_3",#N/A,FALSE,"Comps2";"comps2_4",#N/A,FALSE,"Comps2";"comps2_5",#N/A,FALSE,"Comps2"}</definedName>
    <definedName name="wt_1" hidden="1">{"comps2_1",#N/A,FALSE,"Comps2";"comps2_2",#N/A,FALSE,"Comps2";"comps2_3",#N/A,FALSE,"Comps2";"comps2_4",#N/A,FALSE,"Comps2";"comps2_5",#N/A,FALSE,"Comps2"}</definedName>
    <definedName name="wtg4rt" localSheetId="8" hidden="1">{"example",#N/A,FALSE,"Import 1 - Oracle"}</definedName>
    <definedName name="wtg4rt" hidden="1">{"example",#N/A,FALSE,"Import 1 - Oracle"}</definedName>
    <definedName name="wtrhs" localSheetId="8" hidden="1">{"Ergebnisbericht_UBA",#N/A,FALSE,"MB"}</definedName>
    <definedName name="wtrhs" hidden="1">{"Ergebnisbericht_UBA",#N/A,FALSE,"MB"}</definedName>
    <definedName name="wtrhs_1" localSheetId="8" hidden="1">{"Ergebnisbericht_UBA",#N/A,FALSE,"MB"}</definedName>
    <definedName name="wtrhs_1" hidden="1">{"Ergebnisbericht_UBA",#N/A,FALSE,"MB"}</definedName>
    <definedName name="wtz" localSheetId="8" hidden="1">{"Eilbericht_UBA",#N/A,FALSE,"EB"}</definedName>
    <definedName name="wtz" hidden="1">{"Eilbericht_UBA",#N/A,FALSE,"EB"}</definedName>
    <definedName name="wtz_1" localSheetId="8" hidden="1">{"Eilbericht_UBA",#N/A,FALSE,"EB"}</definedName>
    <definedName name="wtz_1" hidden="1">{"Eilbericht_UBA",#N/A,FALSE,"EB"}</definedName>
    <definedName name="wtzwz" localSheetId="8" hidden="1">{"Eilbericht_UBA",#N/A,FALSE,"EB"}</definedName>
    <definedName name="wtzwz" hidden="1">{"Eilbericht_UBA",#N/A,FALSE,"EB"}</definedName>
    <definedName name="wtzwz_1" localSheetId="8" hidden="1">{"Eilbericht_UBA",#N/A,FALSE,"EB"}</definedName>
    <definedName name="wtzwz_1" hidden="1">{"Eilbericht_UBA",#N/A,FALSE,"EB"}</definedName>
    <definedName name="wu" localSheetId="8" hidden="1">{"Ergebnisbericht_UBA",#N/A,FALSE,"MB"}</definedName>
    <definedName name="wu" hidden="1">{"Ergebnisbericht_UBA",#N/A,FALSE,"MB"}</definedName>
    <definedName name="wu_1" localSheetId="8" hidden="1">{"Ergebnisbericht_UBA",#N/A,FALSE,"MB"}</definedName>
    <definedName name="wu_1" hidden="1">{"Ergebnisbericht_UBA",#N/A,FALSE,"MB"}</definedName>
    <definedName name="wv" localSheetId="7" hidden="1">{#N/A,#N/A,FALSE,"Pharm";#N/A,#N/A,FALSE,"WWCM"}</definedName>
    <definedName name="wv" localSheetId="8" hidden="1">{#N/A,#N/A,FALSE,"Pharm";#N/A,#N/A,FALSE,"WWCM"}</definedName>
    <definedName name="wv" hidden="1">{#N/A,#N/A,FALSE,"Pharm";#N/A,#N/A,FALSE,"WWCM"}</definedName>
    <definedName name="wvbub" localSheetId="8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bub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ebusarea2132" localSheetId="8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ebusarea2132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t.busarea34" localSheetId="8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t.busarea34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.ACC." localSheetId="8" hidden="1">{TRUE,TRUE,-1.25,-15.5,484.5,278.25,FALSE,FALSE,TRUE,FALSE,0,1,#N/A,452,#N/A,5.92592592592593,22.5714285714286,1,FALSE,FALSE,3,TRUE,1,FALSE,100,"Swvu.ACC.","ACwvu.ACC.",#N/A,FALSE,FALSE,0,0,0,0,2,"","",FALSE,FALSE,FALSE,FALSE,1,90,#N/A,#N/A,"=R1C1:R650C11",FALSE,#N/A,#N/A,FALSE,FALSE,FALSE,1,65532,65532,FALSE,FALSE,TRUE,TRUE,TRUE}</definedName>
    <definedName name="wvu.ACC." hidden="1">{TRUE,TRUE,-1.25,-15.5,484.5,278.25,FALSE,FALSE,TRUE,FALSE,0,1,#N/A,452,#N/A,5.92592592592593,22.5714285714286,1,FALSE,FALSE,3,TRUE,1,FALSE,100,"Swvu.ACC.","ACwvu.ACC.",#N/A,FALSE,FALSE,0,0,0,0,2,"","",FALSE,FALSE,FALSE,FALSE,1,90,#N/A,#N/A,"=R1C1:R650C11",FALSE,#N/A,#N/A,FALSE,FALSE,FALSE,1,65532,65532,FALSE,FALSE,TRUE,TRUE,TRUE}</definedName>
    <definedName name="wvu.AFAC." localSheetId="8" hidden="1">{TRUE,TRUE,-1.25,-15.5,484.5,278.25,FALSE,FALSE,TRUE,FALSE,0,1,#N/A,551,#N/A,5.92592592592593,22.5714285714286,1,FALSE,FALSE,3,TRUE,1,FALSE,100,"Swvu.AFAC.","ACwvu.AFAC.",#N/A,FALSE,FALSE,0,0,0,0,2,"","",FALSE,FALSE,FALSE,FALSE,1,90,#N/A,#N/A,"=R1C1:R650C11",FALSE,#N/A,#N/A,FALSE,FALSE,FALSE,1,65532,65532,FALSE,FALSE,TRUE,TRUE,TRUE}</definedName>
    <definedName name="wvu.AFAC." hidden="1">{TRUE,TRUE,-1.25,-15.5,484.5,278.25,FALSE,FALSE,TRUE,FALSE,0,1,#N/A,551,#N/A,5.92592592592593,22.5714285714286,1,FALSE,FALSE,3,TRUE,1,FALSE,100,"Swvu.AFAC.","ACwvu.AFAC.",#N/A,FALSE,FALSE,0,0,0,0,2,"","",FALSE,FALSE,FALSE,FALSE,1,90,#N/A,#N/A,"=R1C1:R650C11",FALSE,#N/A,#N/A,FALSE,FALSE,FALSE,1,65532,65532,FALSE,FALSE,TRUE,TRUE,TRUE}</definedName>
    <definedName name="wvu.Ausgabe." localSheetId="8" hidden="1">{TRUE,TRUE,0.25,-14,481.5,298.5,FALSE,FALSE,TRUE,FALSE,0,1,#N/A,230,#N/A,11.6792452830189,22.3333333333333,1,FALSE,FALSE,3,TRUE,1,FALSE,100,"Swvu.Ausgabe.","ACwvu.Ausgabe.",1,FALSE,FALSE,0.196850393700787,0.196850393700787,0,0,2,"","",TRUE,TRUE,FALSE,FALSE,1,99,#N/A,#N/A,"=R231C1:R283C23",FALSE,#N/A,#N/A,FALSE,FALSE}</definedName>
    <definedName name="wvu.Ausgabe." hidden="1">{TRUE,TRUE,0.25,-14,481.5,298.5,FALSE,FALSE,TRUE,FALSE,0,1,#N/A,230,#N/A,11.6792452830189,22.3333333333333,1,FALSE,FALSE,3,TRUE,1,FALSE,100,"Swvu.Ausgabe.","ACwvu.Ausgabe.",1,FALSE,FALSE,0.196850393700787,0.196850393700787,0,0,2,"","",TRUE,TRUE,FALSE,FALSE,1,99,#N/A,#N/A,"=R231C1:R283C23",FALSE,#N/A,#N/A,FALSE,FALSE}</definedName>
    <definedName name="wvu.Ausgabe._1" localSheetId="8" hidden="1">{TRUE,TRUE,0.25,-14,481.5,298.5,FALSE,FALSE,TRUE,FALSE,0,1,#N/A,230,#N/A,11.6792452830189,22.3333333333333,1,FALSE,FALSE,3,TRUE,1,FALSE,100,"Swvu.Ausgabe.","ACwvu.Ausgabe.",1,FALSE,FALSE,0.196850393700787,0.196850393700787,0,0,2,"","",TRUE,TRUE,FALSE,FALSE,1,99,#N/A,#N/A,"=R231C1:R283C23",FALSE,#N/A,#N/A,FALSE,FALSE}</definedName>
    <definedName name="wvu.Ausgabe._1" hidden="1">{TRUE,TRUE,0.25,-14,481.5,298.5,FALSE,FALSE,TRUE,FALSE,0,1,#N/A,230,#N/A,11.6792452830189,22.3333333333333,1,FALSE,FALSE,3,TRUE,1,FALSE,100,"Swvu.Ausgabe.","ACwvu.Ausgabe.",1,FALSE,FALSE,0.196850393700787,0.196850393700787,0,0,2,"","",TRUE,TRUE,FALSE,FALSE,1,99,#N/A,#N/A,"=R231C1:R283C23",FALSE,#N/A,#N/A,FALSE,FALSE}</definedName>
    <definedName name="wvu.busarea." localSheetId="8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.busarea.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.busarea.2" localSheetId="8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.busarea.2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.busareab2" localSheetId="8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.busareab2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.CE_BF_AG." localSheetId="8" hidden="1">{TRUE,TRUE,-1.25,-15.5,484.5,276.75,FALSE,FALSE,TRUE,TRUE,0,1,#N/A,55,#N/A,6.54430379746835,17.0952380952381,1,FALSE,FALSE,3,TRUE,1,FALSE,100,"Swvu.CE_BF_AG.","ACwvu.CE_BF_AG.",1,FALSE,FALSE,0.196850393700787,0.196850393700787,0.78740157480315,0.196850393700787,2,"","",TRUE,TRUE,FALSE,FALSE,1,#N/A,1,1,"=R2C2:R66C22",FALSE,"Rwvu.CE_BF_AG.","Cwvu.CE_BF_AG.",FALSE,FALSE,FALSE,9,65532,65532,FALSE,FALSE,TRUE,TRUE,TRUE}</definedName>
    <definedName name="wvu.CE_BF_AG." hidden="1">{TRUE,TRUE,-1.25,-15.5,484.5,276.75,FALSE,FALSE,TRUE,TRUE,0,1,#N/A,55,#N/A,6.54430379746835,17.0952380952381,1,FALSE,FALSE,3,TRUE,1,FALSE,100,"Swvu.CE_BF_AG.","ACwvu.CE_BF_AG.",1,FALSE,FALSE,0.196850393700787,0.196850393700787,0.78740157480315,0.196850393700787,2,"","",TRUE,TRUE,FALSE,FALSE,1,#N/A,1,1,"=R2C2:R66C22",FALSE,"Rwvu.CE_BF_AG.","Cwvu.CE_BF_AG.",FALSE,FALSE,FALSE,9,65532,65532,FALSE,FALSE,TRUE,TRUE,TRUE}</definedName>
    <definedName name="wvu.CE_BF_AG._1" localSheetId="8" hidden="1">{TRUE,TRUE,-1.25,-15.5,484.5,276.75,FALSE,FALSE,TRUE,TRUE,0,1,#N/A,55,#N/A,6.54430379746835,17.0952380952381,1,FALSE,FALSE,3,TRUE,1,FALSE,100,"Swvu.CE_BF_AG.","ACwvu.CE_BF_AG.",1,FALSE,FALSE,0.196850393700787,0.196850393700787,0.78740157480315,0.196850393700787,2,"","",TRUE,TRUE,FALSE,FALSE,1,#N/A,1,1,"=R2C2:R66C22",FALSE,"Rwvu.CE_BF_AG.","Cwvu.CE_BF_AG.",FALSE,FALSE,FALSE,9,65532,65532,FALSE,FALSE,TRUE,TRUE,TRUE}</definedName>
    <definedName name="wvu.CE_BF_AG._1" hidden="1">{TRUE,TRUE,-1.25,-15.5,484.5,276.75,FALSE,FALSE,TRUE,TRUE,0,1,#N/A,55,#N/A,6.54430379746835,17.0952380952381,1,FALSE,FALSE,3,TRUE,1,FALSE,100,"Swvu.CE_BF_AG.","ACwvu.CE_BF_AG.",1,FALSE,FALSE,0.196850393700787,0.196850393700787,0.78740157480315,0.196850393700787,2,"","",TRUE,TRUE,FALSE,FALSE,1,#N/A,1,1,"=R2C2:R66C22",FALSE,"Rwvu.CE_BF_AG.","Cwvu.CE_BF_AG.",FALSE,FALSE,FALSE,9,65532,65532,FALSE,FALSE,TRUE,TRUE,TRUE}</definedName>
    <definedName name="wvu.CE_BF_MGD." localSheetId="8" hidden="1">{TRUE,TRUE,-1.25,-15.5,484.5,276.75,FALSE,FALSE,TRUE,TRUE,0,1,#N/A,62,#N/A,6.54430379746835,15.7272727272727,1,FALSE,FALSE,3,TRUE,1,FALSE,100,"Swvu.CE_BF_MGD.","ACwvu.CE_BF_MGD.",1,FALSE,FALSE,0.196850393700787,0.196850393700787,0.78740157480315,0.196850393700787,2,"","",TRUE,TRUE,FALSE,FALSE,1,#N/A,1,1,"=R70C2:R132C22",FALSE,"Rwvu.CE_BF_MGD.","Cwvu.CE_BF_MGD.",FALSE,FALSE,FALSE,9,65532,65532,FALSE,FALSE,TRUE,TRUE,TRUE}</definedName>
    <definedName name="wvu.CE_BF_MGD." hidden="1">{TRUE,TRUE,-1.25,-15.5,484.5,276.75,FALSE,FALSE,TRUE,TRUE,0,1,#N/A,62,#N/A,6.54430379746835,15.7272727272727,1,FALSE,FALSE,3,TRUE,1,FALSE,100,"Swvu.CE_BF_MGD.","ACwvu.CE_BF_MGD.",1,FALSE,FALSE,0.196850393700787,0.196850393700787,0.78740157480315,0.196850393700787,2,"","",TRUE,TRUE,FALSE,FALSE,1,#N/A,1,1,"=R70C2:R132C22",FALSE,"Rwvu.CE_BF_MGD.","Cwvu.CE_BF_MGD.",FALSE,FALSE,FALSE,9,65532,65532,FALSE,FALSE,TRUE,TRUE,TRUE}</definedName>
    <definedName name="wvu.CE_BF_MGD._1" localSheetId="8" hidden="1">{TRUE,TRUE,-1.25,-15.5,484.5,276.75,FALSE,FALSE,TRUE,TRUE,0,1,#N/A,62,#N/A,6.54430379746835,15.7272727272727,1,FALSE,FALSE,3,TRUE,1,FALSE,100,"Swvu.CE_BF_MGD.","ACwvu.CE_BF_MGD.",1,FALSE,FALSE,0.196850393700787,0.196850393700787,0.78740157480315,0.196850393700787,2,"","",TRUE,TRUE,FALSE,FALSE,1,#N/A,1,1,"=R70C2:R132C22",FALSE,"Rwvu.CE_BF_MGD.","Cwvu.CE_BF_MGD.",FALSE,FALSE,FALSE,9,65532,65532,FALSE,FALSE,TRUE,TRUE,TRUE}</definedName>
    <definedName name="wvu.CE_BF_MGD._1" hidden="1">{TRUE,TRUE,-1.25,-15.5,484.5,276.75,FALSE,FALSE,TRUE,TRUE,0,1,#N/A,62,#N/A,6.54430379746835,15.7272727272727,1,FALSE,FALSE,3,TRUE,1,FALSE,100,"Swvu.CE_BF_MGD.","ACwvu.CE_BF_MGD.",1,FALSE,FALSE,0.196850393700787,0.196850393700787,0.78740157480315,0.196850393700787,2,"","",TRUE,TRUE,FALSE,FALSE,1,#N/A,1,1,"=R70C2:R132C22",FALSE,"Rwvu.CE_BF_MGD.","Cwvu.CE_BF_MGD.",FALSE,FALSE,FALSE,9,65532,65532,FALSE,FALSE,TRUE,TRUE,TRUE}</definedName>
    <definedName name="wvu.CE_BF_RICLASS." localSheetId="8" hidden="1">{TRUE,TRUE,-1.25,-15.5,484.5,253.5,FALSE,FALSE,TRUE,TRUE,0,2,#N/A,5,#N/A,10.5454545454545,21.4615384615385,1,FALSE,FALSE,3,TRUE,1,FALSE,75,"Swvu.CE_BF_RICLASS.","ACwvu.CE_BF_RICLASS.",#N/A,FALSE,FALSE,0.78740157480315,0.78740157480315,0.6,0.66,2,"","&amp;LPianificazione&amp;R&amp;D",TRUE,FALSE,FALSE,FALSE,1,#N/A,1,1,"=R5C2:R62C16",FALSE,#N/A,#N/A,FALSE,FALSE,FALSE,9,65532,300,FALSE,FALSE,TRUE,TRUE,TRUE}</definedName>
    <definedName name="wvu.CE_BF_RICLASS." hidden="1">{TRUE,TRUE,-1.25,-15.5,484.5,253.5,FALSE,FALSE,TRUE,TRUE,0,2,#N/A,5,#N/A,10.5454545454545,21.4615384615385,1,FALSE,FALSE,3,TRUE,1,FALSE,75,"Swvu.CE_BF_RICLASS.","ACwvu.CE_BF_RICLASS.",#N/A,FALSE,FALSE,0.78740157480315,0.78740157480315,0.6,0.66,2,"","&amp;LPianificazione&amp;R&amp;D",TRUE,FALSE,FALSE,FALSE,1,#N/A,1,1,"=R5C2:R62C16",FALSE,#N/A,#N/A,FALSE,FALSE,FALSE,9,65532,300,FALSE,FALSE,TRUE,TRUE,TRUE}</definedName>
    <definedName name="wvu.CE_BF_RICLASS._1" localSheetId="8" hidden="1">{TRUE,TRUE,-1.25,-15.5,484.5,253.5,FALSE,FALSE,TRUE,TRUE,0,2,#N/A,5,#N/A,10.5454545454545,21.4615384615385,1,FALSE,FALSE,3,TRUE,1,FALSE,75,"Swvu.CE_BF_RICLASS.","ACwvu.CE_BF_RICLASS.",#N/A,FALSE,FALSE,0.78740157480315,0.78740157480315,0.6,0.66,2,"","&amp;LPianificazione&amp;R&amp;D",TRUE,FALSE,FALSE,FALSE,1,#N/A,1,1,"=R5C2:R62C16",FALSE,#N/A,#N/A,FALSE,FALSE,FALSE,9,65532,300,FALSE,FALSE,TRUE,TRUE,TRUE}</definedName>
    <definedName name="wvu.CE_BF_RICLASS._1" hidden="1">{TRUE,TRUE,-1.25,-15.5,484.5,253.5,FALSE,FALSE,TRUE,TRUE,0,2,#N/A,5,#N/A,10.5454545454545,21.4615384615385,1,FALSE,FALSE,3,TRUE,1,FALSE,75,"Swvu.CE_BF_RICLASS.","ACwvu.CE_BF_RICLASS.",#N/A,FALSE,FALSE,0.78740157480315,0.78740157480315,0.6,0.66,2,"","&amp;LPianificazione&amp;R&amp;D",TRUE,FALSE,FALSE,FALSE,1,#N/A,1,1,"=R5C2:R62C16",FALSE,#N/A,#N/A,FALSE,FALSE,FALSE,9,65532,300,FALSE,FALSE,TRUE,TRUE,TRUE}</definedName>
    <definedName name="wvu.CE_BF_UTILE." localSheetId="8" hidden="1">{TRUE,TRUE,-1.25,-15.5,484.5,276.75,FALSE,FALSE,TRUE,TRUE,0,1,#N/A,69,#N/A,6.74683544303798,14.4285714285714,1,FALSE,FALSE,3,TRUE,1,FALSE,100,"Swvu.CE_BF_UTILE.","ACwvu.CE_BF_UTILE.",1,FALSE,FALSE,0.196850393700787,0.196850393700787,0.78740157480315,0.196850393700787,2,"","",TRUE,FALSE,FALSE,FALSE,1,53,#N/A,#N/A,"=R134C2:R187C22","=R70:R71","Rwvu.CE_BF_UTILE.","Cwvu.CE_BF_UTILE.",FALSE,FALSE,TRUE,9,65532,65532,FALSE,FALSE,TRUE,TRUE,TRUE}</definedName>
    <definedName name="wvu.CE_BF_UTILE." hidden="1">{TRUE,TRUE,-1.25,-15.5,484.5,276.75,FALSE,FALSE,TRUE,TRUE,0,1,#N/A,69,#N/A,6.74683544303798,14.4285714285714,1,FALSE,FALSE,3,TRUE,1,FALSE,100,"Swvu.CE_BF_UTILE.","ACwvu.CE_BF_UTILE.",1,FALSE,FALSE,0.196850393700787,0.196850393700787,0.78740157480315,0.196850393700787,2,"","",TRUE,FALSE,FALSE,FALSE,1,53,#N/A,#N/A,"=R134C2:R187C22","=R70:R71","Rwvu.CE_BF_UTILE.","Cwvu.CE_BF_UTILE.",FALSE,FALSE,TRUE,9,65532,65532,FALSE,FALSE,TRUE,TRUE,TRUE}</definedName>
    <definedName name="wvu.CE_BF_UTILE._1" localSheetId="8" hidden="1">{TRUE,TRUE,-1.25,-15.5,484.5,276.75,FALSE,FALSE,TRUE,TRUE,0,1,#N/A,69,#N/A,6.74683544303798,14.4285714285714,1,FALSE,FALSE,3,TRUE,1,FALSE,100,"Swvu.CE_BF_UTILE.","ACwvu.CE_BF_UTILE.",1,FALSE,FALSE,0.196850393700787,0.196850393700787,0.78740157480315,0.196850393700787,2,"","",TRUE,FALSE,FALSE,FALSE,1,53,#N/A,#N/A,"=R134C2:R187C22","=R70:R71","Rwvu.CE_BF_UTILE.","Cwvu.CE_BF_UTILE.",FALSE,FALSE,TRUE,9,65532,65532,FALSE,FALSE,TRUE,TRUE,TRUE}</definedName>
    <definedName name="wvu.CE_BF_UTILE._1" hidden="1">{TRUE,TRUE,-1.25,-15.5,484.5,276.75,FALSE,FALSE,TRUE,TRUE,0,1,#N/A,69,#N/A,6.74683544303798,14.4285714285714,1,FALSE,FALSE,3,TRUE,1,FALSE,100,"Swvu.CE_BF_UTILE.","ACwvu.CE_BF_UTILE.",1,FALSE,FALSE,0.196850393700787,0.196850393700787,0.78740157480315,0.196850393700787,2,"","",TRUE,FALSE,FALSE,FALSE,1,53,#N/A,#N/A,"=R134C2:R187C22","=R70:R71","Rwvu.CE_BF_UTILE.","Cwvu.CE_BF_UTILE.",FALSE,FALSE,TRUE,9,65532,65532,FALSE,FALSE,TRUE,TRUE,TRUE}</definedName>
    <definedName name="wvu.ce_storici." localSheetId="8" hidden="1">{TRUE,TRUE,-1.25,-15.5,484.5,301.5,FALSE,FALSE,TRUE,TRUE,0,1,#N/A,13,#N/A,7.06382978723404,20.2352941176471,1,FALSE,FALSE,3,TRUE,1,FALSE,100,"Swvu.ce_storici.","ACwvu.ce_storici.",1,FALSE,FALSE,0.36,0.44,0.984251968503937,0.984251968503937,2,"&amp;C&amp;B&amp;UBangers Distribution Italia S.p.A.","",TRUE,TRUE,FALSE,FALSE,1,110,#N/A,#N/A,"=R12C1:R242C6,R12C8,R12C8,R12C8:R75C20,R12C22:R242C30",FALSE,#N/A,#N/A,FALSE,FALSE}</definedName>
    <definedName name="wvu.ce_storici." hidden="1">{TRUE,TRUE,-1.25,-15.5,484.5,301.5,FALSE,FALSE,TRUE,TRUE,0,1,#N/A,13,#N/A,7.06382978723404,20.2352941176471,1,FALSE,FALSE,3,TRUE,1,FALSE,100,"Swvu.ce_storici.","ACwvu.ce_storici.",1,FALSE,FALSE,0.36,0.44,0.984251968503937,0.984251968503937,2,"&amp;C&amp;B&amp;UBangers Distribution Italia S.p.A.","",TRUE,TRUE,FALSE,FALSE,1,110,#N/A,#N/A,"=R12C1:R242C6,R12C8,R12C8,R12C8:R75C20,R12C22:R242C30",FALSE,#N/A,#N/A,FALSE,FALSE}</definedName>
    <definedName name="wvu.ce_storici._1" localSheetId="8" hidden="1">{TRUE,TRUE,-1.25,-15.5,484.5,301.5,FALSE,FALSE,TRUE,TRUE,0,1,#N/A,13,#N/A,7.06382978723404,20.2352941176471,1,FALSE,FALSE,3,TRUE,1,FALSE,100,"Swvu.ce_storici.","ACwvu.ce_storici.",1,FALSE,FALSE,0.36,0.44,0.984251968503937,0.984251968503937,2,"&amp;C&amp;B&amp;UBangers Distribution Italia S.p.A.","",TRUE,TRUE,FALSE,FALSE,1,110,#N/A,#N/A,"=R12C1:R242C6,R12C8,R12C8,R12C8:R75C20,R12C22:R242C30",FALSE,#N/A,#N/A,FALSE,FALSE}</definedName>
    <definedName name="wvu.ce_storici._1" hidden="1">{TRUE,TRUE,-1.25,-15.5,484.5,301.5,FALSE,FALSE,TRUE,TRUE,0,1,#N/A,13,#N/A,7.06382978723404,20.2352941176471,1,FALSE,FALSE,3,TRUE,1,FALSE,100,"Swvu.ce_storici.","ACwvu.ce_storici.",1,FALSE,FALSE,0.36,0.44,0.984251968503937,0.984251968503937,2,"&amp;C&amp;B&amp;UBangers Distribution Italia S.p.A.","",TRUE,TRUE,FALSE,FALSE,1,110,#N/A,#N/A,"=R12C1:R242C6,R12C8,R12C8,R12C8:R75C20,R12C22:R242C30",FALSE,#N/A,#N/A,FALSE,FALSE}</definedName>
    <definedName name="wvu.daily._.update._.global._.sheet." localSheetId="8" hidden="1">{TRUE,TRUE,-1.25,-15.5,456.75,276.75,FALSE,FALSE,TRUE,TRUE,0,1,2,1,21,1,4,4,TRUE,TRUE,3,TRUE,1,TRUE,100,"Swvu.daily._.update._.global._.sheet.","ACwvu.daily._.update._.global._.sheet.",#N/A,FALSE,FALSE,0.393700787401575,0.393700787401575,0.984251968503937,0.984251968503937,1,"&amp;CUTILITIES : KEY DATA
&amp;A&amp;R&amp;D","&amp;LNB : Lyonnaise, Viag estimates based upon TED&amp;CPage &amp;P&amp;REuropean Yields are Gross",TRUE,FALSE,FALSE,FALSE,1,#N/A,1,1,FALSE,FALSE,#N/A,#N/A,FALSE,FALSE,FALSE,9,65532,65532,FALSE,FALSE,TRUE,TRUE,TRUE}</definedName>
    <definedName name="wvu.daily._.update._.global._.sheet." hidden="1">{TRUE,TRUE,-1.25,-15.5,456.75,276.75,FALSE,FALSE,TRUE,TRUE,0,1,2,1,21,1,4,4,TRUE,TRUE,3,TRUE,1,TRUE,100,"Swvu.daily._.update._.global._.sheet.","ACwvu.daily._.update._.global._.sheet.",#N/A,FALSE,FALSE,0.393700787401575,0.393700787401575,0.984251968503937,0.984251968503937,1,"&amp;CUTILITIES : KEY DATA
&amp;A&amp;R&amp;D","&amp;LNB : Lyonnaise, Viag estimates based upon TED&amp;CPage &amp;P&amp;REuropean Yields are Gross",TRUE,FALSE,FALSE,FALSE,1,#N/A,1,1,FALSE,FALSE,#N/A,#N/A,FALSE,FALSE,FALSE,9,65532,65532,FALSE,FALSE,TRUE,TRUE,TRUE}</definedName>
    <definedName name="wvu.daily._.update._.global._.sheet._1" localSheetId="8" hidden="1">{TRUE,TRUE,-1.25,-15.5,456.75,276.75,FALSE,FALSE,TRUE,TRUE,0,1,2,1,21,1,4,4,TRUE,TRUE,3,TRUE,1,TRUE,100,"Swvu.daily._.update._.global._.sheet.","ACwvu.daily._.update._.global._.sheet.",#N/A,FALSE,FALSE,0.393700787401575,0.393700787401575,0.984251968503937,0.984251968503937,1,"&amp;CUTILITIES : KEY DATA
&amp;A&amp;R&amp;D","&amp;LNB : Lyonnaise, Viag estimates based upon TED&amp;CPage &amp;P&amp;REuropean Yields are Gross",TRUE,FALSE,FALSE,FALSE,1,#N/A,1,1,FALSE,FALSE,#N/A,#N/A,FALSE,FALSE,FALSE,9,65532,65532,FALSE,FALSE,TRUE,TRUE,TRUE}</definedName>
    <definedName name="wvu.daily._.update._.global._.sheet._1" hidden="1">{TRUE,TRUE,-1.25,-15.5,456.75,276.75,FALSE,FALSE,TRUE,TRUE,0,1,2,1,21,1,4,4,TRUE,TRUE,3,TRUE,1,TRUE,100,"Swvu.daily._.update._.global._.sheet.","ACwvu.daily._.update._.global._.sheet.",#N/A,FALSE,FALSE,0.393700787401575,0.393700787401575,0.984251968503937,0.984251968503937,1,"&amp;CUTILITIES : KEY DATA
&amp;A&amp;R&amp;D","&amp;LNB : Lyonnaise, Viag estimates based upon TED&amp;CPage &amp;P&amp;REuropean Yields are Gross",TRUE,FALSE,FALSE,FALSE,1,#N/A,1,1,FALSE,FALSE,#N/A,#N/A,FALSE,FALSE,FALSE,9,65532,65532,FALSE,FALSE,TRUE,TRUE,TRUE}</definedName>
    <definedName name="wvu.daily._.update._.summary." localSheetId="8" hidden="1">{TRUE,TRUE,-1.25,-15.5,456.75,276.75,FALSE,FALSE,TRUE,TRUE,0,1,2,1,5,1,4,4,TRUE,TRUE,3,TRUE,1,TRUE,100,"Swvu.daily._.update._.summary.","ACwvu.daily._.update._.summary.",#N/A,FALSE,FALSE,0.393700787401575,0.393700787401575,0.984251968503937,0.984251968503937,2,"&amp;C&amp;A&amp;R&amp;D","&amp;LNB : Lyonnaise, Viag estimates based upon TED&amp;CPage &amp;P&amp;REuropean Yields are Gross",TRUE,FALSE,FALSE,FALSE,1,#N/A,1,1,"=R1C1:R37C16",FALSE,#N/A,#N/A,FALSE,FALSE,FALSE,9,65532,65532,FALSE,FALSE,TRUE,TRUE,TRUE}</definedName>
    <definedName name="wvu.daily._.update._.summary." hidden="1">{TRUE,TRUE,-1.25,-15.5,456.75,276.75,FALSE,FALSE,TRUE,TRUE,0,1,2,1,5,1,4,4,TRUE,TRUE,3,TRUE,1,TRUE,100,"Swvu.daily._.update._.summary.","ACwvu.daily._.update._.summary.",#N/A,FALSE,FALSE,0.393700787401575,0.393700787401575,0.984251968503937,0.984251968503937,2,"&amp;C&amp;A&amp;R&amp;D","&amp;LNB : Lyonnaise, Viag estimates based upon TED&amp;CPage &amp;P&amp;REuropean Yields are Gross",TRUE,FALSE,FALSE,FALSE,1,#N/A,1,1,"=R1C1:R37C16",FALSE,#N/A,#N/A,FALSE,FALSE,FALSE,9,65532,65532,FALSE,FALSE,TRUE,TRUE,TRUE}</definedName>
    <definedName name="wvu.daily._.update._.summary._1" localSheetId="8" hidden="1">{TRUE,TRUE,-1.25,-15.5,456.75,276.75,FALSE,FALSE,TRUE,TRUE,0,1,2,1,5,1,4,4,TRUE,TRUE,3,TRUE,1,TRUE,100,"Swvu.daily._.update._.summary.","ACwvu.daily._.update._.summary.",#N/A,FALSE,FALSE,0.393700787401575,0.393700787401575,0.984251968503937,0.984251968503937,2,"&amp;C&amp;A&amp;R&amp;D","&amp;LNB : Lyonnaise, Viag estimates based upon TED&amp;CPage &amp;P&amp;REuropean Yields are Gross",TRUE,FALSE,FALSE,FALSE,1,#N/A,1,1,"=R1C1:R37C16",FALSE,#N/A,#N/A,FALSE,FALSE,FALSE,9,65532,65532,FALSE,FALSE,TRUE,TRUE,TRUE}</definedName>
    <definedName name="wvu.daily._.update._.summary._1" hidden="1">{TRUE,TRUE,-1.25,-15.5,456.75,276.75,FALSE,FALSE,TRUE,TRUE,0,1,2,1,5,1,4,4,TRUE,TRUE,3,TRUE,1,TRUE,100,"Swvu.daily._.update._.summary.","ACwvu.daily._.update._.summary.",#N/A,FALSE,FALSE,0.393700787401575,0.393700787401575,0.984251968503937,0.984251968503937,2,"&amp;C&amp;A&amp;R&amp;D","&amp;LNB : Lyonnaise, Viag estimates based upon TED&amp;CPage &amp;P&amp;REuropean Yields are Gross",TRUE,FALSE,FALSE,FALSE,1,#N/A,1,1,"=R1C1:R37C16",FALSE,#N/A,#N/A,FALSE,FALSE,FALSE,9,65532,65532,FALSE,FALSE,TRUE,TRUE,TRUE}</definedName>
    <definedName name="wvu.dd." localSheetId="8" hidden="1">{TRUE,TRUE,-1.25,-15.5,484.5,301.5,FALSE,FALSE,TRUE,TRUE,0,1,#N/A,9,#N/A,7.578125,17.4117647058824,1,FALSE,FALSE,3,TRUE,1,FALSE,100,"Swvu.dd.","ACwvu.dd.",1,FALSE,FALSE,0.748031496062992,0.354330708661417,1.73228346456693,0.275590551181102,1,"&amp;L&amp;10PASFIN - Servizi Finanziari S.p.A.
&amp;I Mergers  and Acquisitions&amp;R&amp;10Data di stampa: &amp;D
 Ore:      &amp;T","&amp;R&amp;""Times New Roman""Pagina &amp;P",FALSE,FALSE,FALSE,FALSE,1,100,#N/A,#N/A,"=R59C1:R283C7",FALSE,#N/A,#N/A,FALSE,FALSE}</definedName>
    <definedName name="wvu.dd." hidden="1">{TRUE,TRUE,-1.25,-15.5,484.5,301.5,FALSE,FALSE,TRUE,TRUE,0,1,#N/A,9,#N/A,7.578125,17.4117647058824,1,FALSE,FALSE,3,TRUE,1,FALSE,100,"Swvu.dd.","ACwvu.dd.",1,FALSE,FALSE,0.748031496062992,0.354330708661417,1.73228346456693,0.275590551181102,1,"&amp;L&amp;10PASFIN - Servizi Finanziari S.p.A.
&amp;I Mergers  and Acquisitions&amp;R&amp;10Data di stampa: &amp;D
 Ore:      &amp;T","&amp;R&amp;""Times New Roman""Pagina &amp;P",FALSE,FALSE,FALSE,FALSE,1,100,#N/A,#N/A,"=R59C1:R283C7",FALSE,#N/A,#N/A,FALSE,FALSE}</definedName>
    <definedName name="wvu.dd._1" localSheetId="8" hidden="1">{TRUE,TRUE,-1.25,-15.5,484.5,301.5,FALSE,FALSE,TRUE,TRUE,0,1,#N/A,9,#N/A,7.578125,17.4117647058824,1,FALSE,FALSE,3,TRUE,1,FALSE,100,"Swvu.dd.","ACwvu.dd.",1,FALSE,FALSE,0.748031496062992,0.354330708661417,1.73228346456693,0.275590551181102,1,"&amp;L&amp;10PASFIN - Servizi Finanziari S.p.A.
&amp;I Mergers  and Acquisitions&amp;R&amp;10Data di stampa: &amp;D
 Ore:      &amp;T","&amp;R&amp;""Times New Roman""Pagina &amp;P",FALSE,FALSE,FALSE,FALSE,1,100,#N/A,#N/A,"=R59C1:R283C7",FALSE,#N/A,#N/A,FALSE,FALSE}</definedName>
    <definedName name="wvu.dd._1" hidden="1">{TRUE,TRUE,-1.25,-15.5,484.5,301.5,FALSE,FALSE,TRUE,TRUE,0,1,#N/A,9,#N/A,7.578125,17.4117647058824,1,FALSE,FALSE,3,TRUE,1,FALSE,100,"Swvu.dd.","ACwvu.dd.",1,FALSE,FALSE,0.748031496062992,0.354330708661417,1.73228346456693,0.275590551181102,1,"&amp;L&amp;10PASFIN - Servizi Finanziari S.p.A.
&amp;I Mergers  and Acquisitions&amp;R&amp;10Data di stampa: &amp;D
 Ore:      &amp;T","&amp;R&amp;""Times New Roman""Pagina &amp;P",FALSE,FALSE,FALSE,FALSE,1,100,#N/A,#N/A,"=R59C1:R283C7",FALSE,#N/A,#N/A,FALSE,FALSE}</definedName>
    <definedName name="wvu.Eingabe." localSheetId="8" hidden="1">{TRUE,TRUE,0.25,-14,481.5,298.5,FALSE,FALSE,TRUE,FALSE,0,1,#N/A,1,#N/A,11.6792452830189,20.2352941176471,1,FALSE,FALSE,3,TRUE,1,FALSE,100,"Swvu.Eingabe.","ACwvu.Eingabe.",1,FALSE,FALSE,0.196850393700787,0.196850393700787,0,0,2,"","",TRUE,TRUE,FALSE,FALSE,1,99,#N/A,#N/A,"=R231C1:R283C23",FALSE,#N/A,#N/A,FALSE,FALSE}</definedName>
    <definedName name="wvu.Eingabe." hidden="1">{TRUE,TRUE,0.25,-14,481.5,298.5,FALSE,FALSE,TRUE,FALSE,0,1,#N/A,1,#N/A,11.6792452830189,20.2352941176471,1,FALSE,FALSE,3,TRUE,1,FALSE,100,"Swvu.Eingabe.","ACwvu.Eingabe.",1,FALSE,FALSE,0.196850393700787,0.196850393700787,0,0,2,"","",TRUE,TRUE,FALSE,FALSE,1,99,#N/A,#N/A,"=R231C1:R283C23",FALSE,#N/A,#N/A,FALSE,FALSE}</definedName>
    <definedName name="wvu.Eingabe._1" localSheetId="8" hidden="1">{TRUE,TRUE,0.25,-14,481.5,298.5,FALSE,FALSE,TRUE,FALSE,0,1,#N/A,1,#N/A,11.6792452830189,20.2352941176471,1,FALSE,FALSE,3,TRUE,1,FALSE,100,"Swvu.Eingabe.","ACwvu.Eingabe.",1,FALSE,FALSE,0.196850393700787,0.196850393700787,0,0,2,"","",TRUE,TRUE,FALSE,FALSE,1,99,#N/A,#N/A,"=R231C1:R283C23",FALSE,#N/A,#N/A,FALSE,FALSE}</definedName>
    <definedName name="wvu.Eingabe._1" hidden="1">{TRUE,TRUE,0.25,-14,481.5,298.5,FALSE,FALSE,TRUE,FALSE,0,1,#N/A,1,#N/A,11.6792452830189,20.2352941176471,1,FALSE,FALSE,3,TRUE,1,FALSE,100,"Swvu.Eingabe.","ACwvu.Eingabe.",1,FALSE,FALSE,0.196850393700787,0.196850393700787,0,0,2,"","",TRUE,TRUE,FALSE,FALSE,1,99,#N/A,#N/A,"=R231C1:R283C23",FALSE,#N/A,#N/A,FALSE,FALSE}</definedName>
    <definedName name="wvu.ELIMLUCRO." localSheetId="8" hidden="1">{TRUE,TRUE,-1.25,-15.5,484.5,278.25,FALSE,FALSE,TRUE,FALSE,0,3,#N/A,574,#N/A,6.75,22.5714285714286,1,FALSE,FALSE,3,TRUE,1,FALSE,100,"Swvu.ELIMLUCRO.","ACwvu.ELIMLUCRO.",#N/A,FALSE,FALSE,0,0,0,0,2,"","",FALSE,FALSE,FALSE,FALSE,1,90,#N/A,#N/A,"=R1C1:R650C11",FALSE,#N/A,#N/A,FALSE,FALSE,FALSE,1,65532,65532,FALSE,FALSE,TRUE,TRUE,TRUE}</definedName>
    <definedName name="wvu.ELIMLUCRO." hidden="1">{TRUE,TRUE,-1.25,-15.5,484.5,278.25,FALSE,FALSE,TRUE,FALSE,0,3,#N/A,574,#N/A,6.75,22.5714285714286,1,FALSE,FALSE,3,TRUE,1,FALSE,100,"Swvu.ELIMLUCRO.","ACwvu.ELIMLUCRO.",#N/A,FALSE,FALSE,0,0,0,0,2,"","",FALSE,FALSE,FALSE,FALSE,1,90,#N/A,#N/A,"=R1C1:R650C11",FALSE,#N/A,#N/A,FALSE,FALSE,FALSE,1,65532,65532,FALSE,FALSE,TRUE,TRUE,TRUE}</definedName>
    <definedName name="wvu.ESTOQUES." localSheetId="8" hidden="1">{TRUE,TRUE,-1.25,-15.5,484.5,278.25,FALSE,FALSE,TRUE,FALSE,0,1,#N/A,183,#N/A,5.92592592592593,22.5714285714286,1,FALSE,FALSE,3,TRUE,1,FALSE,100,"Swvu.ESTOQUES.","ACwvu.ESTOQUES.",#N/A,FALSE,FALSE,0,0,0,0,2,"","",FALSE,FALSE,FALSE,FALSE,1,90,#N/A,#N/A,"=R1C1:R650C11",FALSE,#N/A,#N/A,FALSE,FALSE,FALSE,1,65532,65532,FALSE,FALSE,TRUE,TRUE,TRUE}</definedName>
    <definedName name="wvu.ESTOQUES." hidden="1">{TRUE,TRUE,-1.25,-15.5,484.5,278.25,FALSE,FALSE,TRUE,FALSE,0,1,#N/A,183,#N/A,5.92592592592593,22.5714285714286,1,FALSE,FALSE,3,TRUE,1,FALSE,100,"Swvu.ESTOQUES.","ACwvu.ESTOQUES.",#N/A,FALSE,FALSE,0,0,0,0,2,"","",FALSE,FALSE,FALSE,FALSE,1,90,#N/A,#N/A,"=R1C1:R650C11",FALSE,#N/A,#N/A,FALSE,FALSE,FALSE,1,65532,65532,FALSE,FALSE,TRUE,TRUE,TRUE}</definedName>
    <definedName name="wvu.Extracommissioni." localSheetId="8" hidden="1">{TRUE,TRUE,-1.25,-15.5,484.5,253.5,FALSE,TRUE,TRUE,TRUE,0,6,#N/A,62,#N/A,9.10416666666667,21.6923076923077,1,FALSE,FALSE,3,TRUE,1,FALSE,75,"Swvu.Extracommissioni.","ACwvu.Extracommissioni.",#N/A,FALSE,FALSE,0.78740157480315,0.78740157480315,0.984251968503937,0.984251968503937,1,"","&amp;LPianificazione&amp;R&amp;D",TRUE,FALSE,FALSE,FALSE,1,#N/A,1,1,"=R72C12:R98C18",FALSE,#N/A,#N/A,FALSE,FALSE,FALSE,9,65532,65532,FALSE,FALSE,TRUE,TRUE,TRUE}</definedName>
    <definedName name="wvu.Extracommissioni." hidden="1">{TRUE,TRUE,-1.25,-15.5,484.5,253.5,FALSE,TRUE,TRUE,TRUE,0,6,#N/A,62,#N/A,9.10416666666667,21.6923076923077,1,FALSE,FALSE,3,TRUE,1,FALSE,75,"Swvu.Extracommissioni.","ACwvu.Extracommissioni.",#N/A,FALSE,FALSE,0.78740157480315,0.78740157480315,0.984251968503937,0.984251968503937,1,"","&amp;LPianificazione&amp;R&amp;D",TRUE,FALSE,FALSE,FALSE,1,#N/A,1,1,"=R72C12:R98C18",FALSE,#N/A,#N/A,FALSE,FALSE,FALSE,9,65532,65532,FALSE,FALSE,TRUE,TRUE,TRUE}</definedName>
    <definedName name="wvu.Extracommissioni._1" localSheetId="8" hidden="1">{TRUE,TRUE,-1.25,-15.5,484.5,253.5,FALSE,TRUE,TRUE,TRUE,0,6,#N/A,62,#N/A,9.10416666666667,21.6923076923077,1,FALSE,FALSE,3,TRUE,1,FALSE,75,"Swvu.Extracommissioni.","ACwvu.Extracommissioni.",#N/A,FALSE,FALSE,0.78740157480315,0.78740157480315,0.984251968503937,0.984251968503937,1,"","&amp;LPianificazione&amp;R&amp;D",TRUE,FALSE,FALSE,FALSE,1,#N/A,1,1,"=R72C12:R98C18",FALSE,#N/A,#N/A,FALSE,FALSE,FALSE,9,65532,65532,FALSE,FALSE,TRUE,TRUE,TRUE}</definedName>
    <definedName name="wvu.Extracommissioni._1" hidden="1">{TRUE,TRUE,-1.25,-15.5,484.5,253.5,FALSE,TRUE,TRUE,TRUE,0,6,#N/A,62,#N/A,9.10416666666667,21.6923076923077,1,FALSE,FALSE,3,TRUE,1,FALSE,75,"Swvu.Extracommissioni.","ACwvu.Extracommissioni.",#N/A,FALSE,FALSE,0.78740157480315,0.78740157480315,0.984251968503937,0.984251968503937,1,"","&amp;LPianificazione&amp;R&amp;D",TRUE,FALSE,FALSE,FALSE,1,#N/A,1,1,"=R72C12:R98C18",FALSE,#N/A,#N/A,FALSE,FALSE,FALSE,9,65532,65532,FALSE,FALSE,TRUE,TRUE,TRUE}</definedName>
    <definedName name="wvu.Fabio." localSheetId="8" hidden="1">{TRUE,TRUE,-1.25,-15.5,484.5,276.75,FALSE,FALSE,TRUE,TRUE,0,2,3,6,469,1,1,4,TRUE,TRUE,3,TRUE,1,TRUE,100,"Swvu.Fabio.","ACwvu.Fabio.",#N/A,FALSE,FALSE,0,0,0.393700787401575,0.393700787401575,2,"","&amp;C&amp;""Times New Roman,Bold Italic""&amp;P",TRUE,FALSE,FALSE,FALSE,1,67,#N/A,#N/A,"=R1C2:R497C25","=R1:R7",#N/A,#N/A,FALSE,FALSE,FALSE,1,65532,65532,FALSE,FALSE,TRUE,TRUE,TRUE}</definedName>
    <definedName name="wvu.Fabio." hidden="1">{TRUE,TRUE,-1.25,-15.5,484.5,276.75,FALSE,FALSE,TRUE,TRUE,0,2,3,6,469,1,1,4,TRUE,TRUE,3,TRUE,1,TRUE,100,"Swvu.Fabio.","ACwvu.Fabio.",#N/A,FALSE,FALSE,0,0,0.393700787401575,0.393700787401575,2,"","&amp;C&amp;""Times New Roman,Bold Italic""&amp;P",TRUE,FALSE,FALSE,FALSE,1,67,#N/A,#N/A,"=R1C2:R497C25","=R1:R7",#N/A,#N/A,FALSE,FALSE,FALSE,1,65532,65532,FALSE,FALSE,TRUE,TRUE,TRUE}</definedName>
    <definedName name="wvu.FASE1_BUDGET." localSheetId="8" hidden="1">{TRUE,TRUE,-1.25,-15.5,484.5,276.75,FALSE,TRUE,TRUE,TRUE,0,38,#N/A,61,#N/A,12.4473684210526,31.7272727272727,1,FALSE,FALSE,3,TRUE,1,FALSE,50,"Swvu.FASE1_BUDGET.","ACwvu.FASE1_BUDGET.",#N/A,FALSE,FALSE,0.196850393700787,0.196850393700787,0.393700787401575,0.196850393700787,2,"","",TRUE,TRUE,FALSE,FALSE,1,75,#N/A,#N/A,"=R78C44:R99C57","=R72:R76","Rwvu.FASE1_BUDGET.","Cwvu.FASE1_BUDGET.",FALSE,FALSE,TRUE,9,65532,65532,FALSE,FALSE,TRUE,TRUE,TRUE}</definedName>
    <definedName name="wvu.FASE1_BUDGET." hidden="1">{TRUE,TRUE,-1.25,-15.5,484.5,276.75,FALSE,TRUE,TRUE,TRUE,0,38,#N/A,61,#N/A,12.4473684210526,31.7272727272727,1,FALSE,FALSE,3,TRUE,1,FALSE,50,"Swvu.FASE1_BUDGET.","ACwvu.FASE1_BUDGET.",#N/A,FALSE,FALSE,0.196850393700787,0.196850393700787,0.393700787401575,0.196850393700787,2,"","",TRUE,TRUE,FALSE,FALSE,1,75,#N/A,#N/A,"=R78C44:R99C57","=R72:R76","Rwvu.FASE1_BUDGET.","Cwvu.FASE1_BUDGET.",FALSE,FALSE,TRUE,9,65532,65532,FALSE,FALSE,TRUE,TRUE,TRUE}</definedName>
    <definedName name="wvu.FASE1_BUDGET._1" localSheetId="8" hidden="1">{TRUE,TRUE,-1.25,-15.5,484.5,276.75,FALSE,TRUE,TRUE,TRUE,0,38,#N/A,61,#N/A,12.4473684210526,31.7272727272727,1,FALSE,FALSE,3,TRUE,1,FALSE,50,"Swvu.FASE1_BUDGET.","ACwvu.FASE1_BUDGET.",#N/A,FALSE,FALSE,0.196850393700787,0.196850393700787,0.393700787401575,0.196850393700787,2,"","",TRUE,TRUE,FALSE,FALSE,1,75,#N/A,#N/A,"=R78C44:R99C57","=R72:R76","Rwvu.FASE1_BUDGET.","Cwvu.FASE1_BUDGET.",FALSE,FALSE,TRUE,9,65532,65532,FALSE,FALSE,TRUE,TRUE,TRUE}</definedName>
    <definedName name="wvu.FASE1_BUDGET._1" hidden="1">{TRUE,TRUE,-1.25,-15.5,484.5,276.75,FALSE,TRUE,TRUE,TRUE,0,38,#N/A,61,#N/A,12.4473684210526,31.7272727272727,1,FALSE,FALSE,3,TRUE,1,FALSE,50,"Swvu.FASE1_BUDGET.","ACwvu.FASE1_BUDGET.",#N/A,FALSE,FALSE,0.196850393700787,0.196850393700787,0.393700787401575,0.196850393700787,2,"","",TRUE,TRUE,FALSE,FALSE,1,75,#N/A,#N/A,"=R78C44:R99C57","=R72:R76","Rwvu.FASE1_BUDGET.","Cwvu.FASE1_BUDGET.",FALSE,FALSE,TRUE,9,65532,65532,FALSE,FALSE,TRUE,TRUE,TRUE}</definedName>
    <definedName name="wvu.FASE1_PREC." localSheetId="8" hidden="1">{TRUE,TRUE,-2,-16.25,484.5,288,FALSE,TRUE,TRUE,TRUE,0,25,#N/A,75,#N/A,19.6470588235294,29.8888888888889,1,FALSE,FALSE,3,TRUE,1,FALSE,50,"Swvu.FASE1_PREC.","ACwvu.FASE1_PREC.",1,FALSE,FALSE,0.196850393700787,0.196850393700787,0.393700787401575,0.196850393700787,2,"","",TRUE,TRUE,FALSE,FALSE,1,#N/A,1,1,"=R78C31:R98C59","=R74:R77",#N/A,#N/A,FALSE,FALSE}</definedName>
    <definedName name="wvu.FASE1_PREC." hidden="1">{TRUE,TRUE,-2,-16.25,484.5,288,FALSE,TRUE,TRUE,TRUE,0,25,#N/A,75,#N/A,19.6470588235294,29.8888888888889,1,FALSE,FALSE,3,TRUE,1,FALSE,50,"Swvu.FASE1_PREC.","ACwvu.FASE1_PREC.",1,FALSE,FALSE,0.196850393700787,0.196850393700787,0.393700787401575,0.196850393700787,2,"","",TRUE,TRUE,FALSE,FALSE,1,#N/A,1,1,"=R78C31:R98C59","=R74:R77",#N/A,#N/A,FALSE,FALSE}</definedName>
    <definedName name="wvu.FASE1_PREC._1" localSheetId="8" hidden="1">{TRUE,TRUE,-2,-16.25,484.5,288,FALSE,TRUE,TRUE,TRUE,0,25,#N/A,75,#N/A,19.6470588235294,29.8888888888889,1,FALSE,FALSE,3,TRUE,1,FALSE,50,"Swvu.FASE1_PREC.","ACwvu.FASE1_PREC.",1,FALSE,FALSE,0.196850393700787,0.196850393700787,0.393700787401575,0.196850393700787,2,"","",TRUE,TRUE,FALSE,FALSE,1,#N/A,1,1,"=R78C31:R98C59","=R74:R77",#N/A,#N/A,FALSE,FALSE}</definedName>
    <definedName name="wvu.FASE1_PREC._1" hidden="1">{TRUE,TRUE,-2,-16.25,484.5,288,FALSE,TRUE,TRUE,TRUE,0,25,#N/A,75,#N/A,19.6470588235294,29.8888888888889,1,FALSE,FALSE,3,TRUE,1,FALSE,50,"Swvu.FASE1_PREC.","ACwvu.FASE1_PREC.",1,FALSE,FALSE,0.196850393700787,0.196850393700787,0.393700787401575,0.196850393700787,2,"","",TRUE,TRUE,FALSE,FALSE,1,#N/A,1,1,"=R78C31:R98C59","=R74:R77",#N/A,#N/A,FALSE,FALSE}</definedName>
    <definedName name="wvu.FASE1_REVBUDGET." localSheetId="8" hidden="1">{TRUE,TRUE,-1.25,-15.5,484.5,276.75,FALSE,TRUE,TRUE,TRUE,0,63,#N/A,76,#N/A,13.9459459459459,29.0909090909091,1,FALSE,FALSE,3,TRUE,1,FALSE,50,"Swvu.FASE1_REVBUDGET.","ACwvu.FASE1_REVBUDGET.",1,FALSE,FALSE,0.393700787401575,0.393700787401575,0,0,2,"","",TRUE,TRUE,FALSE,FALSE,1,#N/A,1,1,"=R78C65:R99C78","=R72:R76","Rwvu.FASE1_REVBUDGET.","Cwvu.FASE1_REVBUDGET.",FALSE,FALSE,FALSE,9,65532,65532,FALSE,FALSE,TRUE,TRUE,TRUE}</definedName>
    <definedName name="wvu.FASE1_REVBUDGET." hidden="1">{TRUE,TRUE,-1.25,-15.5,484.5,276.75,FALSE,TRUE,TRUE,TRUE,0,63,#N/A,76,#N/A,13.9459459459459,29.0909090909091,1,FALSE,FALSE,3,TRUE,1,FALSE,50,"Swvu.FASE1_REVBUDGET.","ACwvu.FASE1_REVBUDGET.",1,FALSE,FALSE,0.393700787401575,0.393700787401575,0,0,2,"","",TRUE,TRUE,FALSE,FALSE,1,#N/A,1,1,"=R78C65:R99C78","=R72:R76","Rwvu.FASE1_REVBUDGET.","Cwvu.FASE1_REVBUDGET.",FALSE,FALSE,FALSE,9,65532,65532,FALSE,FALSE,TRUE,TRUE,TRUE}</definedName>
    <definedName name="wvu.FASE1_REVBUDGET._1" localSheetId="8" hidden="1">{TRUE,TRUE,-1.25,-15.5,484.5,276.75,FALSE,TRUE,TRUE,TRUE,0,63,#N/A,76,#N/A,13.9459459459459,29.0909090909091,1,FALSE,FALSE,3,TRUE,1,FALSE,50,"Swvu.FASE1_REVBUDGET.","ACwvu.FASE1_REVBUDGET.",1,FALSE,FALSE,0.393700787401575,0.393700787401575,0,0,2,"","",TRUE,TRUE,FALSE,FALSE,1,#N/A,1,1,"=R78C65:R99C78","=R72:R76","Rwvu.FASE1_REVBUDGET.","Cwvu.FASE1_REVBUDGET.",FALSE,FALSE,FALSE,9,65532,65532,FALSE,FALSE,TRUE,TRUE,TRUE}</definedName>
    <definedName name="wvu.FASE1_REVBUDGET._1" hidden="1">{TRUE,TRUE,-1.25,-15.5,484.5,276.75,FALSE,TRUE,TRUE,TRUE,0,63,#N/A,76,#N/A,13.9459459459459,29.0909090909091,1,FALSE,FALSE,3,TRUE,1,FALSE,50,"Swvu.FASE1_REVBUDGET.","ACwvu.FASE1_REVBUDGET.",1,FALSE,FALSE,0.393700787401575,0.393700787401575,0,0,2,"","",TRUE,TRUE,FALSE,FALSE,1,#N/A,1,1,"=R78C65:R99C78","=R72:R76","Rwvu.FASE1_REVBUDGET.","Cwvu.FASE1_REVBUDGET.",FALSE,FALSE,FALSE,9,65532,65532,FALSE,FALSE,TRUE,TRUE,TRUE}</definedName>
    <definedName name="wvu.FASE2_BUDGET." localSheetId="8" hidden="1">{TRUE,TRUE,-1.25,-15.5,484.5,276.75,FALSE,TRUE,TRUE,TRUE,0,38,#N/A,88,#N/A,12.4473684210526,29.7272727272727,1,FALSE,FALSE,3,TRUE,1,FALSE,50,"Swvu.FASE2_BUDGET.","ACwvu.FASE2_BUDGET.",#N/A,FALSE,FALSE,0.196850393700787,0.196850393700787,0.393700787401575,0.196850393700787,2,"","",TRUE,TRUE,FALSE,FALSE,1,75,#N/A,#N/A,"=R102C44:R120C57","=R72:R76","Rwvu.FASE2_BUDGET.","Cwvu.FASE2_BUDGET.",FALSE,FALSE,TRUE,9,65532,65532,FALSE,FALSE,TRUE,TRUE,TRUE}</definedName>
    <definedName name="wvu.FASE2_BUDGET." hidden="1">{TRUE,TRUE,-1.25,-15.5,484.5,276.75,FALSE,TRUE,TRUE,TRUE,0,38,#N/A,88,#N/A,12.4473684210526,29.7272727272727,1,FALSE,FALSE,3,TRUE,1,FALSE,50,"Swvu.FASE2_BUDGET.","ACwvu.FASE2_BUDGET.",#N/A,FALSE,FALSE,0.196850393700787,0.196850393700787,0.393700787401575,0.196850393700787,2,"","",TRUE,TRUE,FALSE,FALSE,1,75,#N/A,#N/A,"=R102C44:R120C57","=R72:R76","Rwvu.FASE2_BUDGET.","Cwvu.FASE2_BUDGET.",FALSE,FALSE,TRUE,9,65532,65532,FALSE,FALSE,TRUE,TRUE,TRUE}</definedName>
    <definedName name="wvu.FASE2_BUDGET._1" localSheetId="8" hidden="1">{TRUE,TRUE,-1.25,-15.5,484.5,276.75,FALSE,TRUE,TRUE,TRUE,0,38,#N/A,88,#N/A,12.4473684210526,29.7272727272727,1,FALSE,FALSE,3,TRUE,1,FALSE,50,"Swvu.FASE2_BUDGET.","ACwvu.FASE2_BUDGET.",#N/A,FALSE,FALSE,0.196850393700787,0.196850393700787,0.393700787401575,0.196850393700787,2,"","",TRUE,TRUE,FALSE,FALSE,1,75,#N/A,#N/A,"=R102C44:R120C57","=R72:R76","Rwvu.FASE2_BUDGET.","Cwvu.FASE2_BUDGET.",FALSE,FALSE,TRUE,9,65532,65532,FALSE,FALSE,TRUE,TRUE,TRUE}</definedName>
    <definedName name="wvu.FASE2_BUDGET._1" hidden="1">{TRUE,TRUE,-1.25,-15.5,484.5,276.75,FALSE,TRUE,TRUE,TRUE,0,38,#N/A,88,#N/A,12.4473684210526,29.7272727272727,1,FALSE,FALSE,3,TRUE,1,FALSE,50,"Swvu.FASE2_BUDGET.","ACwvu.FASE2_BUDGET.",#N/A,FALSE,FALSE,0.196850393700787,0.196850393700787,0.393700787401575,0.196850393700787,2,"","",TRUE,TRUE,FALSE,FALSE,1,75,#N/A,#N/A,"=R102C44:R120C57","=R72:R76","Rwvu.FASE2_BUDGET.","Cwvu.FASE2_BUDGET.",FALSE,FALSE,TRUE,9,65532,65532,FALSE,FALSE,TRUE,TRUE,TRUE}</definedName>
    <definedName name="wvu.FASE2_PREC." localSheetId="8" hidden="1">{TRUE,TRUE,-2,-16.25,484.5,288,FALSE,TRUE,TRUE,TRUE,0,25,#N/A,94,#N/A,19.6470588235294,29.8181818181818,1,FALSE,FALSE,3,TRUE,1,FALSE,50,"Swvu.FASE2_PREC.","ACwvu.FASE2_PREC.",1,FALSE,FALSE,0.196850393700787,0.196850393700787,0.393700787401575,0.196850393700787,2,"","",TRUE,TRUE,FALSE,FALSE,1,#N/A,1,1,"=R99C31:R116C59","=R74:R77",#N/A,#N/A,FALSE,FALSE}</definedName>
    <definedName name="wvu.FASE2_PREC." hidden="1">{TRUE,TRUE,-2,-16.25,484.5,288,FALSE,TRUE,TRUE,TRUE,0,25,#N/A,94,#N/A,19.6470588235294,29.8181818181818,1,FALSE,FALSE,3,TRUE,1,FALSE,50,"Swvu.FASE2_PREC.","ACwvu.FASE2_PREC.",1,FALSE,FALSE,0.196850393700787,0.196850393700787,0.393700787401575,0.196850393700787,2,"","",TRUE,TRUE,FALSE,FALSE,1,#N/A,1,1,"=R99C31:R116C59","=R74:R77",#N/A,#N/A,FALSE,FALSE}</definedName>
    <definedName name="wvu.FASE2_PREC._1" localSheetId="8" hidden="1">{TRUE,TRUE,-2,-16.25,484.5,288,FALSE,TRUE,TRUE,TRUE,0,25,#N/A,94,#N/A,19.6470588235294,29.8181818181818,1,FALSE,FALSE,3,TRUE,1,FALSE,50,"Swvu.FASE2_PREC.","ACwvu.FASE2_PREC.",1,FALSE,FALSE,0.196850393700787,0.196850393700787,0.393700787401575,0.196850393700787,2,"","",TRUE,TRUE,FALSE,FALSE,1,#N/A,1,1,"=R99C31:R116C59","=R74:R77",#N/A,#N/A,FALSE,FALSE}</definedName>
    <definedName name="wvu.FASE2_PREC._1" hidden="1">{TRUE,TRUE,-2,-16.25,484.5,288,FALSE,TRUE,TRUE,TRUE,0,25,#N/A,94,#N/A,19.6470588235294,29.8181818181818,1,FALSE,FALSE,3,TRUE,1,FALSE,50,"Swvu.FASE2_PREC.","ACwvu.FASE2_PREC.",1,FALSE,FALSE,0.196850393700787,0.196850393700787,0.393700787401575,0.196850393700787,2,"","",TRUE,TRUE,FALSE,FALSE,1,#N/A,1,1,"=R99C31:R116C59","=R74:R77",#N/A,#N/A,FALSE,FALSE}</definedName>
    <definedName name="wvu.FASE2_REVBUDGET." localSheetId="8" hidden="1">{TRUE,TRUE,-1.25,-15.5,484.5,276.75,FALSE,TRUE,TRUE,TRUE,0,58,#N/A,89,#N/A,15.2,29.6666666666667,1,FALSE,FALSE,3,TRUE,1,FALSE,50,"Swvu.FASE2_REVBUDGET.","ACwvu.FASE2_REVBUDGET.",1,FALSE,FALSE,0.393700787401575,0.393700787401575,0,0,2,"","",TRUE,TRUE,FALSE,FALSE,1,#N/A,1,1,"=R103C65:R121C78","=R72:R76","Rwvu.FASE2_REVBUDGET.","Cwvu.FASE2_REVBUDGET.",FALSE,FALSE,FALSE,9,65532,65532,FALSE,FALSE,TRUE,TRUE,TRUE}</definedName>
    <definedName name="wvu.FASE2_REVBUDGET." hidden="1">{TRUE,TRUE,-1.25,-15.5,484.5,276.75,FALSE,TRUE,TRUE,TRUE,0,58,#N/A,89,#N/A,15.2,29.6666666666667,1,FALSE,FALSE,3,TRUE,1,FALSE,50,"Swvu.FASE2_REVBUDGET.","ACwvu.FASE2_REVBUDGET.",1,FALSE,FALSE,0.393700787401575,0.393700787401575,0,0,2,"","",TRUE,TRUE,FALSE,FALSE,1,#N/A,1,1,"=R103C65:R121C78","=R72:R76","Rwvu.FASE2_REVBUDGET.","Cwvu.FASE2_REVBUDGET.",FALSE,FALSE,FALSE,9,65532,65532,FALSE,FALSE,TRUE,TRUE,TRUE}</definedName>
    <definedName name="wvu.FASE2_REVBUDGET._1" localSheetId="8" hidden="1">{TRUE,TRUE,-1.25,-15.5,484.5,276.75,FALSE,TRUE,TRUE,TRUE,0,58,#N/A,89,#N/A,15.2,29.6666666666667,1,FALSE,FALSE,3,TRUE,1,FALSE,50,"Swvu.FASE2_REVBUDGET.","ACwvu.FASE2_REVBUDGET.",1,FALSE,FALSE,0.393700787401575,0.393700787401575,0,0,2,"","",TRUE,TRUE,FALSE,FALSE,1,#N/A,1,1,"=R103C65:R121C78","=R72:R76","Rwvu.FASE2_REVBUDGET.","Cwvu.FASE2_REVBUDGET.",FALSE,FALSE,FALSE,9,65532,65532,FALSE,FALSE,TRUE,TRUE,TRUE}</definedName>
    <definedName name="wvu.FASE2_REVBUDGET._1" hidden="1">{TRUE,TRUE,-1.25,-15.5,484.5,276.75,FALSE,TRUE,TRUE,TRUE,0,58,#N/A,89,#N/A,15.2,29.6666666666667,1,FALSE,FALSE,3,TRUE,1,FALSE,50,"Swvu.FASE2_REVBUDGET.","ACwvu.FASE2_REVBUDGET.",1,FALSE,FALSE,0.393700787401575,0.393700787401575,0,0,2,"","",TRUE,TRUE,FALSE,FALSE,1,#N/A,1,1,"=R103C65:R121C78","=R72:R76","Rwvu.FASE2_REVBUDGET.","Cwvu.FASE2_REVBUDGET.",FALSE,FALSE,FALSE,9,65532,65532,FALSE,FALSE,TRUE,TRUE,TRUE}</definedName>
    <definedName name="wvu.FASE3_BUDGET." localSheetId="8" hidden="1">{TRUE,TRUE,-1.25,-15.5,484.5,276.75,FALSE,TRUE,TRUE,TRUE,0,38,#N/A,117,#N/A,12.4473684210526,30.4444444444444,1,FALSE,FALSE,3,TRUE,1,FALSE,50,"Swvu.FASE3_BUDGET.","ACwvu.FASE3_BUDGET.",#N/A,FALSE,FALSE,0.196850393700787,0.196850393700787,0.393700787401575,0.196850393700787,2,"","",TRUE,TRUE,FALSE,FALSE,1,75,#N/A,#N/A,"=R122C44:R140C57","=R72:R76","Rwvu.FASE3_BUDGET.","Cwvu.FASE3_BUDGET.",FALSE,FALSE,TRUE,9,65532,65532,FALSE,FALSE,TRUE,TRUE,TRUE}</definedName>
    <definedName name="wvu.FASE3_BUDGET." hidden="1">{TRUE,TRUE,-1.25,-15.5,484.5,276.75,FALSE,TRUE,TRUE,TRUE,0,38,#N/A,117,#N/A,12.4473684210526,30.4444444444444,1,FALSE,FALSE,3,TRUE,1,FALSE,50,"Swvu.FASE3_BUDGET.","ACwvu.FASE3_BUDGET.",#N/A,FALSE,FALSE,0.196850393700787,0.196850393700787,0.393700787401575,0.196850393700787,2,"","",TRUE,TRUE,FALSE,FALSE,1,75,#N/A,#N/A,"=R122C44:R140C57","=R72:R76","Rwvu.FASE3_BUDGET.","Cwvu.FASE3_BUDGET.",FALSE,FALSE,TRUE,9,65532,65532,FALSE,FALSE,TRUE,TRUE,TRUE}</definedName>
    <definedName name="wvu.FASE3_BUDGET._1" localSheetId="8" hidden="1">{TRUE,TRUE,-1.25,-15.5,484.5,276.75,FALSE,TRUE,TRUE,TRUE,0,38,#N/A,117,#N/A,12.4473684210526,30.4444444444444,1,FALSE,FALSE,3,TRUE,1,FALSE,50,"Swvu.FASE3_BUDGET.","ACwvu.FASE3_BUDGET.",#N/A,FALSE,FALSE,0.196850393700787,0.196850393700787,0.393700787401575,0.196850393700787,2,"","",TRUE,TRUE,FALSE,FALSE,1,75,#N/A,#N/A,"=R122C44:R140C57","=R72:R76","Rwvu.FASE3_BUDGET.","Cwvu.FASE3_BUDGET.",FALSE,FALSE,TRUE,9,65532,65532,FALSE,FALSE,TRUE,TRUE,TRUE}</definedName>
    <definedName name="wvu.FASE3_BUDGET._1" hidden="1">{TRUE,TRUE,-1.25,-15.5,484.5,276.75,FALSE,TRUE,TRUE,TRUE,0,38,#N/A,117,#N/A,12.4473684210526,30.4444444444444,1,FALSE,FALSE,3,TRUE,1,FALSE,50,"Swvu.FASE3_BUDGET.","ACwvu.FASE3_BUDGET.",#N/A,FALSE,FALSE,0.196850393700787,0.196850393700787,0.393700787401575,0.196850393700787,2,"","",TRUE,TRUE,FALSE,FALSE,1,75,#N/A,#N/A,"=R122C44:R140C57","=R72:R76","Rwvu.FASE3_BUDGET.","Cwvu.FASE3_BUDGET.",FALSE,FALSE,TRUE,9,65532,65532,FALSE,FALSE,TRUE,TRUE,TRUE}</definedName>
    <definedName name="wvu.FASE3_PREC." localSheetId="8" hidden="1">{TRUE,TRUE,-2,-16.25,486,289.5,FALSE,TRUE,TRUE,TRUE,0,38,#N/A,103,#N/A,23.9318181818182,29.8181818181818,1,FALSE,FALSE,3,TRUE,1,FALSE,50,"Swvu.FASE3_PREC.","ACwvu.FASE3_PREC.",1,FALSE,FALSE,0.196850393700787,0.196850393700787,0.393700787401575,0.196850393700787,2,"","",TRUE,TRUE,FALSE,FALSE,1,#N/A,1,1,"=R99C31:R116C59","=R74:R77",#N/A,#N/A,FALSE,FALSE}</definedName>
    <definedName name="wvu.FASE3_PREC." hidden="1">{TRUE,TRUE,-2,-16.25,486,289.5,FALSE,TRUE,TRUE,TRUE,0,38,#N/A,103,#N/A,23.9318181818182,29.8181818181818,1,FALSE,FALSE,3,TRUE,1,FALSE,50,"Swvu.FASE3_PREC.","ACwvu.FASE3_PREC.",1,FALSE,FALSE,0.196850393700787,0.196850393700787,0.393700787401575,0.196850393700787,2,"","",TRUE,TRUE,FALSE,FALSE,1,#N/A,1,1,"=R99C31:R116C59","=R74:R77",#N/A,#N/A,FALSE,FALSE}</definedName>
    <definedName name="wvu.FASE3_PREC._1" localSheetId="8" hidden="1">{TRUE,TRUE,-2,-16.25,486,289.5,FALSE,TRUE,TRUE,TRUE,0,38,#N/A,103,#N/A,23.9318181818182,29.8181818181818,1,FALSE,FALSE,3,TRUE,1,FALSE,50,"Swvu.FASE3_PREC.","ACwvu.FASE3_PREC.",1,FALSE,FALSE,0.196850393700787,0.196850393700787,0.393700787401575,0.196850393700787,2,"","",TRUE,TRUE,FALSE,FALSE,1,#N/A,1,1,"=R99C31:R116C59","=R74:R77",#N/A,#N/A,FALSE,FALSE}</definedName>
    <definedName name="wvu.FASE3_PREC._1" hidden="1">{TRUE,TRUE,-2,-16.25,486,289.5,FALSE,TRUE,TRUE,TRUE,0,38,#N/A,103,#N/A,23.9318181818182,29.8181818181818,1,FALSE,FALSE,3,TRUE,1,FALSE,50,"Swvu.FASE3_PREC.","ACwvu.FASE3_PREC.",1,FALSE,FALSE,0.196850393700787,0.196850393700787,0.393700787401575,0.196850393700787,2,"","",TRUE,TRUE,FALSE,FALSE,1,#N/A,1,1,"=R99C31:R116C59","=R74:R77",#N/A,#N/A,FALSE,FALSE}</definedName>
    <definedName name="wvu.FASE3_REVBUDGET." localSheetId="8" hidden="1">{TRUE,TRUE,-1.25,-15.5,484.5,276.75,FALSE,TRUE,TRUE,TRUE,0,62,#N/A,122,#N/A,14.1891891891892,29.5454545454545,1,FALSE,FALSE,3,TRUE,1,FALSE,50,"Swvu.FASE3_REVBUDGET.","ACwvu.FASE3_REVBUDGET.",1,FALSE,FALSE,0.393700787401575,0.393700787401575,0,0,2,"","",TRUE,TRUE,FALSE,FALSE,1,78,#N/A,#N/A,"=R124C65:R139C75","=R72:R76","Rwvu.FASE3_REVBUDGET.","Cwvu.FASE3_REVBUDGET.",FALSE,FALSE,TRUE,9,65532,65532,FALSE,FALSE,TRUE,TRUE,TRUE}</definedName>
    <definedName name="wvu.FASE3_REVBUDGET." hidden="1">{TRUE,TRUE,-1.25,-15.5,484.5,276.75,FALSE,TRUE,TRUE,TRUE,0,62,#N/A,122,#N/A,14.1891891891892,29.5454545454545,1,FALSE,FALSE,3,TRUE,1,FALSE,50,"Swvu.FASE3_REVBUDGET.","ACwvu.FASE3_REVBUDGET.",1,FALSE,FALSE,0.393700787401575,0.393700787401575,0,0,2,"","",TRUE,TRUE,FALSE,FALSE,1,78,#N/A,#N/A,"=R124C65:R139C75","=R72:R76","Rwvu.FASE3_REVBUDGET.","Cwvu.FASE3_REVBUDGET.",FALSE,FALSE,TRUE,9,65532,65532,FALSE,FALSE,TRUE,TRUE,TRUE}</definedName>
    <definedName name="wvu.FASE3_REVBUDGET._1" localSheetId="8" hidden="1">{TRUE,TRUE,-1.25,-15.5,484.5,276.75,FALSE,TRUE,TRUE,TRUE,0,62,#N/A,122,#N/A,14.1891891891892,29.5454545454545,1,FALSE,FALSE,3,TRUE,1,FALSE,50,"Swvu.FASE3_REVBUDGET.","ACwvu.FASE3_REVBUDGET.",1,FALSE,FALSE,0.393700787401575,0.393700787401575,0,0,2,"","",TRUE,TRUE,FALSE,FALSE,1,78,#N/A,#N/A,"=R124C65:R139C75","=R72:R76","Rwvu.FASE3_REVBUDGET.","Cwvu.FASE3_REVBUDGET.",FALSE,FALSE,TRUE,9,65532,65532,FALSE,FALSE,TRUE,TRUE,TRUE}</definedName>
    <definedName name="wvu.FASE3_REVBUDGET._1" hidden="1">{TRUE,TRUE,-1.25,-15.5,484.5,276.75,FALSE,TRUE,TRUE,TRUE,0,62,#N/A,122,#N/A,14.1891891891892,29.5454545454545,1,FALSE,FALSE,3,TRUE,1,FALSE,50,"Swvu.FASE3_REVBUDGET.","ACwvu.FASE3_REVBUDGET.",1,FALSE,FALSE,0.393700787401575,0.393700787401575,0,0,2,"","",TRUE,TRUE,FALSE,FALSE,1,78,#N/A,#N/A,"=R124C65:R139C75","=R72:R76","Rwvu.FASE3_REVBUDGET.","Cwvu.FASE3_REVBUDGET.",FALSE,FALSE,TRUE,9,65532,65532,FALSE,FALSE,TRUE,TRUE,TRUE}</definedName>
    <definedName name="wvu.FASE4_BUDGET." localSheetId="8" hidden="1">{TRUE,TRUE,-1.25,-15.5,484.5,276.75,FALSE,TRUE,TRUE,TRUE,0,38,#N/A,126,#N/A,12.4473684210526,31.7272727272727,1,FALSE,FALSE,3,TRUE,1,FALSE,50,"Swvu.FASE4_BUDGET.","ACwvu.FASE4_BUDGET.",#N/A,FALSE,FALSE,0.196850393700787,0.196850393700787,0.393700787401575,0.196850393700787,2,"","",TRUE,TRUE,FALSE,FALSE,1,75,#N/A,#N/A,"=R141C44:R168C57","=R72:R76","Rwvu.FASE4_BUDGET.","Cwvu.FASE4_BUDGET.",FALSE,FALSE,TRUE,9,65532,65532,FALSE,FALSE,TRUE,TRUE,TRUE}</definedName>
    <definedName name="wvu.FASE4_BUDGET." hidden="1">{TRUE,TRUE,-1.25,-15.5,484.5,276.75,FALSE,TRUE,TRUE,TRUE,0,38,#N/A,126,#N/A,12.4473684210526,31.7272727272727,1,FALSE,FALSE,3,TRUE,1,FALSE,50,"Swvu.FASE4_BUDGET.","ACwvu.FASE4_BUDGET.",#N/A,FALSE,FALSE,0.196850393700787,0.196850393700787,0.393700787401575,0.196850393700787,2,"","",TRUE,TRUE,FALSE,FALSE,1,75,#N/A,#N/A,"=R141C44:R168C57","=R72:R76","Rwvu.FASE4_BUDGET.","Cwvu.FASE4_BUDGET.",FALSE,FALSE,TRUE,9,65532,65532,FALSE,FALSE,TRUE,TRUE,TRUE}</definedName>
    <definedName name="wvu.FASE4_BUDGET._1" localSheetId="8" hidden="1">{TRUE,TRUE,-1.25,-15.5,484.5,276.75,FALSE,TRUE,TRUE,TRUE,0,38,#N/A,126,#N/A,12.4473684210526,31.7272727272727,1,FALSE,FALSE,3,TRUE,1,FALSE,50,"Swvu.FASE4_BUDGET.","ACwvu.FASE4_BUDGET.",#N/A,FALSE,FALSE,0.196850393700787,0.196850393700787,0.393700787401575,0.196850393700787,2,"","",TRUE,TRUE,FALSE,FALSE,1,75,#N/A,#N/A,"=R141C44:R168C57","=R72:R76","Rwvu.FASE4_BUDGET.","Cwvu.FASE4_BUDGET.",FALSE,FALSE,TRUE,9,65532,65532,FALSE,FALSE,TRUE,TRUE,TRUE}</definedName>
    <definedName name="wvu.FASE4_BUDGET._1" hidden="1">{TRUE,TRUE,-1.25,-15.5,484.5,276.75,FALSE,TRUE,TRUE,TRUE,0,38,#N/A,126,#N/A,12.4473684210526,31.7272727272727,1,FALSE,FALSE,3,TRUE,1,FALSE,50,"Swvu.FASE4_BUDGET.","ACwvu.FASE4_BUDGET.",#N/A,FALSE,FALSE,0.196850393700787,0.196850393700787,0.393700787401575,0.196850393700787,2,"","",TRUE,TRUE,FALSE,FALSE,1,75,#N/A,#N/A,"=R141C44:R168C57","=R72:R76","Rwvu.FASE4_BUDGET.","Cwvu.FASE4_BUDGET.",FALSE,FALSE,TRUE,9,65532,65532,FALSE,FALSE,TRUE,TRUE,TRUE}</definedName>
    <definedName name="wvu.FASE4_PREC." localSheetId="8" hidden="1">{TRUE,TRUE,-2,-16.25,486,289.5,FALSE,TRUE,TRUE,TRUE,0,35,#N/A,137,#N/A,25.5909090909091,30.0909090909091,1,FALSE,FALSE,3,TRUE,1,FALSE,50,"Swvu.FASE4_PREC.","ACwvu.FASE4_PREC.",1,FALSE,FALSE,0.196850393700787,0.196850393700787,0.393700787401575,0.196850393700787,2,"","",TRUE,TRUE,FALSE,FALSE,1,#N/A,1,1,"=R99C31:R116C59","=R74:R77",#N/A,#N/A,FALSE,FALSE}</definedName>
    <definedName name="wvu.FASE4_PREC." hidden="1">{TRUE,TRUE,-2,-16.25,486,289.5,FALSE,TRUE,TRUE,TRUE,0,35,#N/A,137,#N/A,25.5909090909091,30.0909090909091,1,FALSE,FALSE,3,TRUE,1,FALSE,50,"Swvu.FASE4_PREC.","ACwvu.FASE4_PREC.",1,FALSE,FALSE,0.196850393700787,0.196850393700787,0.393700787401575,0.196850393700787,2,"","",TRUE,TRUE,FALSE,FALSE,1,#N/A,1,1,"=R99C31:R116C59","=R74:R77",#N/A,#N/A,FALSE,FALSE}</definedName>
    <definedName name="wvu.FASE4_PREC._1" localSheetId="8" hidden="1">{TRUE,TRUE,-2,-16.25,486,289.5,FALSE,TRUE,TRUE,TRUE,0,35,#N/A,137,#N/A,25.5909090909091,30.0909090909091,1,FALSE,FALSE,3,TRUE,1,FALSE,50,"Swvu.FASE4_PREC.","ACwvu.FASE4_PREC.",1,FALSE,FALSE,0.196850393700787,0.196850393700787,0.393700787401575,0.196850393700787,2,"","",TRUE,TRUE,FALSE,FALSE,1,#N/A,1,1,"=R99C31:R116C59","=R74:R77",#N/A,#N/A,FALSE,FALSE}</definedName>
    <definedName name="wvu.FASE4_PREC._1" hidden="1">{TRUE,TRUE,-2,-16.25,486,289.5,FALSE,TRUE,TRUE,TRUE,0,35,#N/A,137,#N/A,25.5909090909091,30.0909090909091,1,FALSE,FALSE,3,TRUE,1,FALSE,50,"Swvu.FASE4_PREC.","ACwvu.FASE4_PREC.",1,FALSE,FALSE,0.196850393700787,0.196850393700787,0.393700787401575,0.196850393700787,2,"","",TRUE,TRUE,FALSE,FALSE,1,#N/A,1,1,"=R99C31:R116C59","=R74:R77",#N/A,#N/A,FALSE,FALSE}</definedName>
    <definedName name="wvu.FASE4_REVBUDGET." localSheetId="8" hidden="1">{TRUE,TRUE,-1.25,-15.5,484.5,276.75,FALSE,TRUE,TRUE,TRUE,0,63,#N/A,128,#N/A,13.9459459459459,29.5454545454545,1,FALSE,FALSE,3,TRUE,1,FALSE,50,"Swvu.FASE4_REVBUDGET.","ACwvu.FASE4_REVBUDGET.",1,FALSE,FALSE,0.393700787401575,0.393700787401575,0,0,2,"","",TRUE,TRUE,FALSE,FALSE,1,78,#N/A,#N/A,"=R143C65:R167C74","=R72:R76","Rwvu.FASE4_REVBUDGET.","Cwvu.FASE4_REVBUDGET.",FALSE,FALSE,TRUE,9,65532,65532,FALSE,FALSE,TRUE,TRUE,TRUE}</definedName>
    <definedName name="wvu.FASE4_REVBUDGET." hidden="1">{TRUE,TRUE,-1.25,-15.5,484.5,276.75,FALSE,TRUE,TRUE,TRUE,0,63,#N/A,128,#N/A,13.9459459459459,29.5454545454545,1,FALSE,FALSE,3,TRUE,1,FALSE,50,"Swvu.FASE4_REVBUDGET.","ACwvu.FASE4_REVBUDGET.",1,FALSE,FALSE,0.393700787401575,0.393700787401575,0,0,2,"","",TRUE,TRUE,FALSE,FALSE,1,78,#N/A,#N/A,"=R143C65:R167C74","=R72:R76","Rwvu.FASE4_REVBUDGET.","Cwvu.FASE4_REVBUDGET.",FALSE,FALSE,TRUE,9,65532,65532,FALSE,FALSE,TRUE,TRUE,TRUE}</definedName>
    <definedName name="wvu.FASE4_REVBUDGET._1" localSheetId="8" hidden="1">{TRUE,TRUE,-1.25,-15.5,484.5,276.75,FALSE,TRUE,TRUE,TRUE,0,63,#N/A,128,#N/A,13.9459459459459,29.5454545454545,1,FALSE,FALSE,3,TRUE,1,FALSE,50,"Swvu.FASE4_REVBUDGET.","ACwvu.FASE4_REVBUDGET.",1,FALSE,FALSE,0.393700787401575,0.393700787401575,0,0,2,"","",TRUE,TRUE,FALSE,FALSE,1,78,#N/A,#N/A,"=R143C65:R167C74","=R72:R76","Rwvu.FASE4_REVBUDGET.","Cwvu.FASE4_REVBUDGET.",FALSE,FALSE,TRUE,9,65532,65532,FALSE,FALSE,TRUE,TRUE,TRUE}</definedName>
    <definedName name="wvu.FASE4_REVBUDGET._1" hidden="1">{TRUE,TRUE,-1.25,-15.5,484.5,276.75,FALSE,TRUE,TRUE,TRUE,0,63,#N/A,128,#N/A,13.9459459459459,29.5454545454545,1,FALSE,FALSE,3,TRUE,1,FALSE,50,"Swvu.FASE4_REVBUDGET.","ACwvu.FASE4_REVBUDGET.",1,FALSE,FALSE,0.393700787401575,0.393700787401575,0,0,2,"","",TRUE,TRUE,FALSE,FALSE,1,78,#N/A,#N/A,"=R143C65:R167C74","=R72:R76","Rwvu.FASE4_REVBUDGET.","Cwvu.FASE4_REVBUDGET.",FALSE,FALSE,TRUE,9,65532,65532,FALSE,FALSE,TRUE,TRUE,TRUE}</definedName>
    <definedName name="wvu.FASI_RIEPILOGO_BUDGET." localSheetId="8" hidden="1">{TRUE,TRUE,-1.25,-15.5,484.5,276.75,FALSE,TRUE,TRUE,TRUE,0,38,#N/A,157,#N/A,12.4473684210526,30.8888888888889,1,FALSE,FALSE,3,TRUE,1,FALSE,50,"Swvu.FASI_RIEPILOGO_BUDGET.","ACwvu.FASI_RIEPILOGO_BUDGET.",#N/A,FALSE,FALSE,0.196850393700787,0.196850393700787,0.393700787401575,0.196850393700787,2,"","",TRUE,TRUE,FALSE,FALSE,1,75,#N/A,#N/A,"=R172C44:R184C57","=R72:R76","Rwvu.FASI_RIEPILOGO_BUDGET.","Cwvu.FASI_RIEPILOGO_BUDGET.",FALSE,FALSE,TRUE,9,65532,65532,FALSE,FALSE,TRUE,TRUE,TRUE}</definedName>
    <definedName name="wvu.FASI_RIEPILOGO_BUDGET." hidden="1">{TRUE,TRUE,-1.25,-15.5,484.5,276.75,FALSE,TRUE,TRUE,TRUE,0,38,#N/A,157,#N/A,12.4473684210526,30.8888888888889,1,FALSE,FALSE,3,TRUE,1,FALSE,50,"Swvu.FASI_RIEPILOGO_BUDGET.","ACwvu.FASI_RIEPILOGO_BUDGET.",#N/A,FALSE,FALSE,0.196850393700787,0.196850393700787,0.393700787401575,0.196850393700787,2,"","",TRUE,TRUE,FALSE,FALSE,1,75,#N/A,#N/A,"=R172C44:R184C57","=R72:R76","Rwvu.FASI_RIEPILOGO_BUDGET.","Cwvu.FASI_RIEPILOGO_BUDGET.",FALSE,FALSE,TRUE,9,65532,65532,FALSE,FALSE,TRUE,TRUE,TRUE}</definedName>
    <definedName name="wvu.FASI_RIEPILOGO_BUDGET._1" localSheetId="8" hidden="1">{TRUE,TRUE,-1.25,-15.5,484.5,276.75,FALSE,TRUE,TRUE,TRUE,0,38,#N/A,157,#N/A,12.4473684210526,30.8888888888889,1,FALSE,FALSE,3,TRUE,1,FALSE,50,"Swvu.FASI_RIEPILOGO_BUDGET.","ACwvu.FASI_RIEPILOGO_BUDGET.",#N/A,FALSE,FALSE,0.196850393700787,0.196850393700787,0.393700787401575,0.196850393700787,2,"","",TRUE,TRUE,FALSE,FALSE,1,75,#N/A,#N/A,"=R172C44:R184C57","=R72:R76","Rwvu.FASI_RIEPILOGO_BUDGET.","Cwvu.FASI_RIEPILOGO_BUDGET.",FALSE,FALSE,TRUE,9,65532,65532,FALSE,FALSE,TRUE,TRUE,TRUE}</definedName>
    <definedName name="wvu.FASI_RIEPILOGO_BUDGET._1" hidden="1">{TRUE,TRUE,-1.25,-15.5,484.5,276.75,FALSE,TRUE,TRUE,TRUE,0,38,#N/A,157,#N/A,12.4473684210526,30.8888888888889,1,FALSE,FALSE,3,TRUE,1,FALSE,50,"Swvu.FASI_RIEPILOGO_BUDGET.","ACwvu.FASI_RIEPILOGO_BUDGET.",#N/A,FALSE,FALSE,0.196850393700787,0.196850393700787,0.393700787401575,0.196850393700787,2,"","",TRUE,TRUE,FALSE,FALSE,1,75,#N/A,#N/A,"=R172C44:R184C57","=R72:R76","Rwvu.FASI_RIEPILOGO_BUDGET.","Cwvu.FASI_RIEPILOGO_BUDGET.",FALSE,FALSE,TRUE,9,65532,65532,FALSE,FALSE,TRUE,TRUE,TRUE}</definedName>
    <definedName name="wvu.FASI_RIEPILOGO_PREC." localSheetId="8" hidden="1">{TRUE,TRUE,-2,-16.25,486,289.5,FALSE,TRUE,TRUE,TRUE,0,38,#N/A,154,#N/A,23.9318181818182,30.1818181818182,1,FALSE,FALSE,3,TRUE,1,FALSE,50,"Swvu.FASI_RIEPILOGO_PREC.","ACwvu.FASI_RIEPILOGO_PREC.",1,FALSE,FALSE,0.196850393700787,0.196850393700787,0.393700787401575,0.196850393700787,2,"","",TRUE,TRUE,FALSE,FALSE,1,#N/A,1,1,"=R99C31:R116C59","=R74:R77",#N/A,#N/A,FALSE,FALSE}</definedName>
    <definedName name="wvu.FASI_RIEPILOGO_PREC." hidden="1">{TRUE,TRUE,-2,-16.25,486,289.5,FALSE,TRUE,TRUE,TRUE,0,38,#N/A,154,#N/A,23.9318181818182,30.1818181818182,1,FALSE,FALSE,3,TRUE,1,FALSE,50,"Swvu.FASI_RIEPILOGO_PREC.","ACwvu.FASI_RIEPILOGO_PREC.",1,FALSE,FALSE,0.196850393700787,0.196850393700787,0.393700787401575,0.196850393700787,2,"","",TRUE,TRUE,FALSE,FALSE,1,#N/A,1,1,"=R99C31:R116C59","=R74:R77",#N/A,#N/A,FALSE,FALSE}</definedName>
    <definedName name="wvu.FASI_RIEPILOGO_PREC._1" localSheetId="8" hidden="1">{TRUE,TRUE,-2,-16.25,486,289.5,FALSE,TRUE,TRUE,TRUE,0,38,#N/A,154,#N/A,23.9318181818182,30.1818181818182,1,FALSE,FALSE,3,TRUE,1,FALSE,50,"Swvu.FASI_RIEPILOGO_PREC.","ACwvu.FASI_RIEPILOGO_PREC.",1,FALSE,FALSE,0.196850393700787,0.196850393700787,0.393700787401575,0.196850393700787,2,"","",TRUE,TRUE,FALSE,FALSE,1,#N/A,1,1,"=R99C31:R116C59","=R74:R77",#N/A,#N/A,FALSE,FALSE}</definedName>
    <definedName name="wvu.FASI_RIEPILOGO_PREC._1" hidden="1">{TRUE,TRUE,-2,-16.25,486,289.5,FALSE,TRUE,TRUE,TRUE,0,38,#N/A,154,#N/A,23.9318181818182,30.1818181818182,1,FALSE,FALSE,3,TRUE,1,FALSE,50,"Swvu.FASI_RIEPILOGO_PREC.","ACwvu.FASI_RIEPILOGO_PREC.",1,FALSE,FALSE,0.196850393700787,0.196850393700787,0.393700787401575,0.196850393700787,2,"","",TRUE,TRUE,FALSE,FALSE,1,#N/A,1,1,"=R99C31:R116C59","=R74:R77",#N/A,#N/A,FALSE,FALSE}</definedName>
    <definedName name="wvu.FASI_RIEPILOGO_REVBUDGET." localSheetId="8" hidden="1">{TRUE,TRUE,-1.25,-15.5,484.5,276.75,FALSE,TRUE,TRUE,TRUE,0,63,#N/A,163,#N/A,13.9459459459459,28.7272727272727,1,FALSE,FALSE,3,TRUE,1,FALSE,50,"Swvu.FASI_RIEPILOGO_REVBUDGET.","ACwvu.FASI_RIEPILOGO_REVBUDGET.",1,FALSE,FALSE,0.393700787401575,0.393700787401575,0,0,2,"","",TRUE,TRUE,FALSE,FALSE,1,120,#N/A,#N/A,"=R174C65:R185C70","=R72:R76","Rwvu.FASI_RIEPILOGO_REVBUDGET.","Cwvu.FASI_RIEPILOGO_REVBUDGET.",FALSE,FALSE,TRUE,9,65532,65532,FALSE,FALSE,TRUE,TRUE,TRUE}</definedName>
    <definedName name="wvu.FASI_RIEPILOGO_REVBUDGET." hidden="1">{TRUE,TRUE,-1.25,-15.5,484.5,276.75,FALSE,TRUE,TRUE,TRUE,0,63,#N/A,163,#N/A,13.9459459459459,28.7272727272727,1,FALSE,FALSE,3,TRUE,1,FALSE,50,"Swvu.FASI_RIEPILOGO_REVBUDGET.","ACwvu.FASI_RIEPILOGO_REVBUDGET.",1,FALSE,FALSE,0.393700787401575,0.393700787401575,0,0,2,"","",TRUE,TRUE,FALSE,FALSE,1,120,#N/A,#N/A,"=R174C65:R185C70","=R72:R76","Rwvu.FASI_RIEPILOGO_REVBUDGET.","Cwvu.FASI_RIEPILOGO_REVBUDGET.",FALSE,FALSE,TRUE,9,65532,65532,FALSE,FALSE,TRUE,TRUE,TRUE}</definedName>
    <definedName name="wvu.FASI_RIEPILOGO_REVBUDGET._1" localSheetId="8" hidden="1">{TRUE,TRUE,-1.25,-15.5,484.5,276.75,FALSE,TRUE,TRUE,TRUE,0,63,#N/A,163,#N/A,13.9459459459459,28.7272727272727,1,FALSE,FALSE,3,TRUE,1,FALSE,50,"Swvu.FASI_RIEPILOGO_REVBUDGET.","ACwvu.FASI_RIEPILOGO_REVBUDGET.",1,FALSE,FALSE,0.393700787401575,0.393700787401575,0,0,2,"","",TRUE,TRUE,FALSE,FALSE,1,120,#N/A,#N/A,"=R174C65:R185C70","=R72:R76","Rwvu.FASI_RIEPILOGO_REVBUDGET.","Cwvu.FASI_RIEPILOGO_REVBUDGET.",FALSE,FALSE,TRUE,9,65532,65532,FALSE,FALSE,TRUE,TRUE,TRUE}</definedName>
    <definedName name="wvu.FASI_RIEPILOGO_REVBUDGET._1" hidden="1">{TRUE,TRUE,-1.25,-15.5,484.5,276.75,FALSE,TRUE,TRUE,TRUE,0,63,#N/A,163,#N/A,13.9459459459459,28.7272727272727,1,FALSE,FALSE,3,TRUE,1,FALSE,50,"Swvu.FASI_RIEPILOGO_REVBUDGET.","ACwvu.FASI_RIEPILOGO_REVBUDGET.",1,FALSE,FALSE,0.393700787401575,0.393700787401575,0,0,2,"","",TRUE,TRUE,FALSE,FALSE,1,120,#N/A,#N/A,"=R174C65:R185C70","=R72:R76","Rwvu.FASI_RIEPILOGO_REVBUDGET.","Cwvu.FASI_RIEPILOGO_REVBUDGET.",FALSE,FALSE,TRUE,9,65532,65532,FALSE,FALSE,TRUE,TRUE,TRUE}</definedName>
    <definedName name="wvu.IMPOSTE_BF." localSheetId="8" hidden="1">{TRUE,TRUE,-1.25,-15.5,484.5,276.75,FALSE,FALSE,TRUE,TRUE,0,3,#N/A,194,#N/A,5.35443037974684,14.952380952381,1,FALSE,FALSE,3,TRUE,1,FALSE,100,"Swvu.IMPOSTE_BF.","ACwvu.IMPOSTE_BF.",1,FALSE,FALSE,0.196850393700787,0.196850393700787,0.78740157480315,0.196850393700787,2,"","",TRUE,FALSE,FALSE,FALSE,1,#N/A,1,1,"=R194C3:R231C7",FALSE,"Rwvu.IMPOSTE_BF.","Cwvu.IMPOSTE_BF.",FALSE,FALSE,FALSE,9,65532,300,FALSE,FALSE,TRUE,TRUE,TRUE}</definedName>
    <definedName name="wvu.IMPOSTE_BF." hidden="1">{TRUE,TRUE,-1.25,-15.5,484.5,276.75,FALSE,FALSE,TRUE,TRUE,0,3,#N/A,194,#N/A,5.35443037974684,14.952380952381,1,FALSE,FALSE,3,TRUE,1,FALSE,100,"Swvu.IMPOSTE_BF.","ACwvu.IMPOSTE_BF.",1,FALSE,FALSE,0.196850393700787,0.196850393700787,0.78740157480315,0.196850393700787,2,"","",TRUE,FALSE,FALSE,FALSE,1,#N/A,1,1,"=R194C3:R231C7",FALSE,"Rwvu.IMPOSTE_BF.","Cwvu.IMPOSTE_BF.",FALSE,FALSE,FALSE,9,65532,300,FALSE,FALSE,TRUE,TRUE,TRUE}</definedName>
    <definedName name="wvu.IMPOSTE_BF._1" localSheetId="8" hidden="1">{TRUE,TRUE,-1.25,-15.5,484.5,276.75,FALSE,FALSE,TRUE,TRUE,0,3,#N/A,194,#N/A,5.35443037974684,14.952380952381,1,FALSE,FALSE,3,TRUE,1,FALSE,100,"Swvu.IMPOSTE_BF.","ACwvu.IMPOSTE_BF.",1,FALSE,FALSE,0.196850393700787,0.196850393700787,0.78740157480315,0.196850393700787,2,"","",TRUE,FALSE,FALSE,FALSE,1,#N/A,1,1,"=R194C3:R231C7",FALSE,"Rwvu.IMPOSTE_BF.","Cwvu.IMPOSTE_BF.",FALSE,FALSE,FALSE,9,65532,300,FALSE,FALSE,TRUE,TRUE,TRUE}</definedName>
    <definedName name="wvu.IMPOSTE_BF._1" hidden="1">{TRUE,TRUE,-1.25,-15.5,484.5,276.75,FALSE,FALSE,TRUE,TRUE,0,3,#N/A,194,#N/A,5.35443037974684,14.952380952381,1,FALSE,FALSE,3,TRUE,1,FALSE,100,"Swvu.IMPOSTE_BF.","ACwvu.IMPOSTE_BF.",1,FALSE,FALSE,0.196850393700787,0.196850393700787,0.78740157480315,0.196850393700787,2,"","",TRUE,FALSE,FALSE,FALSE,1,#N/A,1,1,"=R194C3:R231C7",FALSE,"Rwvu.IMPOSTE_BF.","Cwvu.IMPOSTE_BF.",FALSE,FALSE,FALSE,9,65532,300,FALSE,FALSE,TRUE,TRUE,TRUE}</definedName>
    <definedName name="wvu.inputs._.raw._.data." localSheetId="7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localSheetId="8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1" localSheetId="7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1" localSheetId="8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data.1" localSheetId="8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data.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data.1_1" localSheetId="8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data.1_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LPERDAS." localSheetId="8" hidden="1">{TRUE,TRUE,-1.25,-15.5,484.5,278.25,FALSE,FALSE,TRUE,FALSE,0,5,#N/A,63,#N/A,7.47457627118644,22.5714285714286,1,FALSE,FALSE,3,TRUE,1,FALSE,100,"Swvu.LPERDAS.","ACwvu.LPERDAS.",#N/A,FALSE,FALSE,0,0,0,0,2,"","",FALSE,FALSE,FALSE,FALSE,1,90,#N/A,#N/A,"=R1C1:R650C11",FALSE,#N/A,#N/A,FALSE,FALSE,FALSE,1,65532,65532,FALSE,FALSE,TRUE,TRUE,TRUE}</definedName>
    <definedName name="wvu.LPERDAS." hidden="1">{TRUE,TRUE,-1.25,-15.5,484.5,278.25,FALSE,FALSE,TRUE,FALSE,0,5,#N/A,63,#N/A,7.47457627118644,22.5714285714286,1,FALSE,FALSE,3,TRUE,1,FALSE,100,"Swvu.LPERDAS.","ACwvu.LPERDAS.",#N/A,FALSE,FALSE,0,0,0,0,2,"","",FALSE,FALSE,FALSE,FALSE,1,90,#N/A,#N/A,"=R1C1:R650C11",FALSE,#N/A,#N/A,FALSE,FALSE,FALSE,1,65532,65532,FALSE,FALSE,TRUE,TRUE,TRUE}</definedName>
    <definedName name="wvu.MDC1." localSheetId="8" hidden="1">{TRUE,TRUE,-2.75,-17,487.5,256.5,FALSE,TRUE,TRUE,TRUE,0,1,1,3,1,1.41666666666667,2.2,4,TRUE,TRUE,3,TRUE,1,FALSE,100,"Swvu.MDC1.","ACwvu.MDC1.",#N/A,FALSE,FALSE,0.62,0.61,1,0.984251969,2,"&amp;LAPRILIA HISPANIA
control de gestion
Margenes de contribucion y facturacion neta mensual 1996
&amp;R&amp;D","&amp;C&amp;P",FALSE,FALSE,FALSE,FALSE,1,90,#N/A,#N/A,"=R1C1:R46C18","=C1,R1:R4",#N/A,#N/A,FALSE,FALSE,TRUE,9,300,300,FALSE,FALSE,TRUE,TRUE,TRUE}</definedName>
    <definedName name="wvu.MDC1." hidden="1">{TRUE,TRUE,-2.75,-17,487.5,256.5,FALSE,TRUE,TRUE,TRUE,0,1,1,3,1,1.41666666666667,2.2,4,TRUE,TRUE,3,TRUE,1,FALSE,100,"Swvu.MDC1.","ACwvu.MDC1.",#N/A,FALSE,FALSE,0.62,0.61,1,0.984251969,2,"&amp;LAPRILIA HISPANIA
control de gestion
Margenes de contribucion y facturacion neta mensual 1996
&amp;R&amp;D","&amp;C&amp;P",FALSE,FALSE,FALSE,FALSE,1,90,#N/A,#N/A,"=R1C1:R46C18","=C1,R1:R4",#N/A,#N/A,FALSE,FALSE,TRUE,9,300,300,FALSE,FALSE,TRUE,TRUE,TRUE}</definedName>
    <definedName name="wvu.MDC1._1" localSheetId="8" hidden="1">{TRUE,TRUE,-2.75,-17,487.5,256.5,FALSE,TRUE,TRUE,TRUE,0,1,1,3,1,1.41666666666667,2.2,4,TRUE,TRUE,3,TRUE,1,FALSE,100,"Swvu.MDC1.","ACwvu.MDC1.",#N/A,FALSE,FALSE,0.62,0.61,1,0.984251969,2,"&amp;LAPRILIA HISPANIA
control de gestion
Margenes de contribucion y facturacion neta mensual 1996
&amp;R&amp;D","&amp;C&amp;P",FALSE,FALSE,FALSE,FALSE,1,90,#N/A,#N/A,"=R1C1:R46C18","=C1,R1:R4",#N/A,#N/A,FALSE,FALSE,TRUE,9,300,300,FALSE,FALSE,TRUE,TRUE,TRUE}</definedName>
    <definedName name="wvu.MDC1._1" hidden="1">{TRUE,TRUE,-2.75,-17,487.5,256.5,FALSE,TRUE,TRUE,TRUE,0,1,1,3,1,1.41666666666667,2.2,4,TRUE,TRUE,3,TRUE,1,FALSE,100,"Swvu.MDC1.","ACwvu.MDC1.",#N/A,FALSE,FALSE,0.62,0.61,1,0.984251969,2,"&amp;LAPRILIA HISPANIA
control de gestion
Margenes de contribucion y facturacion neta mensual 1996
&amp;R&amp;D","&amp;C&amp;P",FALSE,FALSE,FALSE,FALSE,1,90,#N/A,#N/A,"=R1C1:R46C18","=C1,R1:R4",#N/A,#N/A,FALSE,FALSE,TRUE,9,300,300,FALSE,FALSE,TRUE,TRUE,TRUE}</definedName>
    <definedName name="wvu.MDC2." localSheetId="8" hidden="1">{TRUE,TRUE,-2.75,-17,487.5,256.5,FALSE,TRUE,TRUE,TRUE,0,1,1,3,1,1.41666666666667,2.2,4,TRUE,TRUE,3,TRUE,1,FALSE,100,"Swvu.MDC2.","ACwvu.MDC2.",#N/A,FALSE,FALSE,0.62,0.61,1,0.984251969,2,"&amp;LAPRILIA HISPANIA
control de gestion
Margenes de contribucion y facturacion neta mensual 1996
&amp;R&amp;D","&amp;C6",FALSE,FALSE,FALSE,FALSE,1,90,#N/A,#N/A,"=R1C19:R46C34","=C1,R1:R4",#N/A,#N/A,FALSE,FALSE,TRUE,9,300,300,FALSE,FALSE,TRUE,TRUE,TRUE}</definedName>
    <definedName name="wvu.MDC2." hidden="1">{TRUE,TRUE,-2.75,-17,487.5,256.5,FALSE,TRUE,TRUE,TRUE,0,1,1,3,1,1.41666666666667,2.2,4,TRUE,TRUE,3,TRUE,1,FALSE,100,"Swvu.MDC2.","ACwvu.MDC2.",#N/A,FALSE,FALSE,0.62,0.61,1,0.984251969,2,"&amp;LAPRILIA HISPANIA
control de gestion
Margenes de contribucion y facturacion neta mensual 1996
&amp;R&amp;D","&amp;C6",FALSE,FALSE,FALSE,FALSE,1,90,#N/A,#N/A,"=R1C19:R46C34","=C1,R1:R4",#N/A,#N/A,FALSE,FALSE,TRUE,9,300,300,FALSE,FALSE,TRUE,TRUE,TRUE}</definedName>
    <definedName name="wvu.MDC2._1" localSheetId="8" hidden="1">{TRUE,TRUE,-2.75,-17,487.5,256.5,FALSE,TRUE,TRUE,TRUE,0,1,1,3,1,1.41666666666667,2.2,4,TRUE,TRUE,3,TRUE,1,FALSE,100,"Swvu.MDC2.","ACwvu.MDC2.",#N/A,FALSE,FALSE,0.62,0.61,1,0.984251969,2,"&amp;LAPRILIA HISPANIA
control de gestion
Margenes de contribucion y facturacion neta mensual 1996
&amp;R&amp;D","&amp;C6",FALSE,FALSE,FALSE,FALSE,1,90,#N/A,#N/A,"=R1C19:R46C34","=C1,R1:R4",#N/A,#N/A,FALSE,FALSE,TRUE,9,300,300,FALSE,FALSE,TRUE,TRUE,TRUE}</definedName>
    <definedName name="wvu.MDC2._1" hidden="1">{TRUE,TRUE,-2.75,-17,487.5,256.5,FALSE,TRUE,TRUE,TRUE,0,1,1,3,1,1.41666666666667,2.2,4,TRUE,TRUE,3,TRUE,1,FALSE,100,"Swvu.MDC2.","ACwvu.MDC2.",#N/A,FALSE,FALSE,0.62,0.61,1,0.984251969,2,"&amp;LAPRILIA HISPANIA
control de gestion
Margenes de contribucion y facturacion neta mensual 1996
&amp;R&amp;D","&amp;C6",FALSE,FALSE,FALSE,FALSE,1,90,#N/A,#N/A,"=R1C19:R46C34","=C1,R1:R4",#N/A,#N/A,FALSE,FALSE,TRUE,9,300,300,FALSE,FALSE,TRUE,TRUE,TRUE}</definedName>
    <definedName name="wvu.MDC3." localSheetId="8" hidden="1">{TRUE,TRUE,-2.75,-17,487.5,256.5,FALSE,TRUE,TRUE,TRUE,0,1,19,3,1,1.41666666666667,2.2,4,TRUE,TRUE,3,TRUE,1,FALSE,100,"Swvu.MDC3.","ACwvu.MDC3.",#N/A,FALSE,FALSE,0.62,0.61,1,0.984251969,2,"&amp;LAPRILIA HISPANIA
control de gestion
Margenes de contribucion y facturacion neta mensual 1996
&amp;R&amp;D","&amp;C7",FALSE,FALSE,FALSE,FALSE,1,90,#N/A,#N/A,"=R1C35:R46C50","=C1,R1:R4",#N/A,#N/A,FALSE,FALSE,TRUE,9,300,300,FALSE,FALSE,TRUE,TRUE,TRUE}</definedName>
    <definedName name="wvu.MDC3." hidden="1">{TRUE,TRUE,-2.75,-17,487.5,256.5,FALSE,TRUE,TRUE,TRUE,0,1,19,3,1,1.41666666666667,2.2,4,TRUE,TRUE,3,TRUE,1,FALSE,100,"Swvu.MDC3.","ACwvu.MDC3.",#N/A,FALSE,FALSE,0.62,0.61,1,0.984251969,2,"&amp;LAPRILIA HISPANIA
control de gestion
Margenes de contribucion y facturacion neta mensual 1996
&amp;R&amp;D","&amp;C7",FALSE,FALSE,FALSE,FALSE,1,90,#N/A,#N/A,"=R1C35:R46C50","=C1,R1:R4",#N/A,#N/A,FALSE,FALSE,TRUE,9,300,300,FALSE,FALSE,TRUE,TRUE,TRUE}</definedName>
    <definedName name="wvu.MDC3._1" localSheetId="8" hidden="1">{TRUE,TRUE,-2.75,-17,487.5,256.5,FALSE,TRUE,TRUE,TRUE,0,1,19,3,1,1.41666666666667,2.2,4,TRUE,TRUE,3,TRUE,1,FALSE,100,"Swvu.MDC3.","ACwvu.MDC3.",#N/A,FALSE,FALSE,0.62,0.61,1,0.984251969,2,"&amp;LAPRILIA HISPANIA
control de gestion
Margenes de contribucion y facturacion neta mensual 1996
&amp;R&amp;D","&amp;C7",FALSE,FALSE,FALSE,FALSE,1,90,#N/A,#N/A,"=R1C35:R46C50","=C1,R1:R4",#N/A,#N/A,FALSE,FALSE,TRUE,9,300,300,FALSE,FALSE,TRUE,TRUE,TRUE}</definedName>
    <definedName name="wvu.MDC3._1" hidden="1">{TRUE,TRUE,-2.75,-17,487.5,256.5,FALSE,TRUE,TRUE,TRUE,0,1,19,3,1,1.41666666666667,2.2,4,TRUE,TRUE,3,TRUE,1,FALSE,100,"Swvu.MDC3.","ACwvu.MDC3.",#N/A,FALSE,FALSE,0.62,0.61,1,0.984251969,2,"&amp;LAPRILIA HISPANIA
control de gestion
Margenes de contribucion y facturacion neta mensual 1996
&amp;R&amp;D","&amp;C7",FALSE,FALSE,FALSE,FALSE,1,90,#N/A,#N/A,"=R1C35:R46C50","=C1,R1:R4",#N/A,#N/A,FALSE,FALSE,TRUE,9,300,300,FALSE,FALSE,TRUE,TRUE,TRUE}</definedName>
    <definedName name="wvu.MDC4." localSheetId="8" hidden="1">{TRUE,TRUE,-2.75,-17,487.5,256.5,FALSE,TRUE,TRUE,TRUE,0,1,35,3,1,1.41666666666667,2.2,4,TRUE,TRUE,3,TRUE,1,FALSE,100,"Swvu.MDC4.","ACwvu.MDC4.",#N/A,FALSE,FALSE,0.62,0.61,1,0.984251969,2,"&amp;LAPRILIA HISPANIA
control de gestion
Margenes de contribucion y facturacion neta mensual 1996
&amp;R&amp;D","&amp;C8",FALSE,FALSE,FALSE,FALSE,1,90,#N/A,#N/A,"=R1C51:R46C55","=C1,R1:R4",#N/A,#N/A,FALSE,FALSE,TRUE,9,300,300,FALSE,FALSE,TRUE,TRUE,TRUE}</definedName>
    <definedName name="wvu.MDC4." hidden="1">{TRUE,TRUE,-2.75,-17,487.5,256.5,FALSE,TRUE,TRUE,TRUE,0,1,35,3,1,1.41666666666667,2.2,4,TRUE,TRUE,3,TRUE,1,FALSE,100,"Swvu.MDC4.","ACwvu.MDC4.",#N/A,FALSE,FALSE,0.62,0.61,1,0.984251969,2,"&amp;LAPRILIA HISPANIA
control de gestion
Margenes de contribucion y facturacion neta mensual 1996
&amp;R&amp;D","&amp;C8",FALSE,FALSE,FALSE,FALSE,1,90,#N/A,#N/A,"=R1C51:R46C55","=C1,R1:R4",#N/A,#N/A,FALSE,FALSE,TRUE,9,300,300,FALSE,FALSE,TRUE,TRUE,TRUE}</definedName>
    <definedName name="wvu.MDC4._1" localSheetId="8" hidden="1">{TRUE,TRUE,-2.75,-17,487.5,256.5,FALSE,TRUE,TRUE,TRUE,0,1,35,3,1,1.41666666666667,2.2,4,TRUE,TRUE,3,TRUE,1,FALSE,100,"Swvu.MDC4.","ACwvu.MDC4.",#N/A,FALSE,FALSE,0.62,0.61,1,0.984251969,2,"&amp;LAPRILIA HISPANIA
control de gestion
Margenes de contribucion y facturacion neta mensual 1996
&amp;R&amp;D","&amp;C8",FALSE,FALSE,FALSE,FALSE,1,90,#N/A,#N/A,"=R1C51:R46C55","=C1,R1:R4",#N/A,#N/A,FALSE,FALSE,TRUE,9,300,300,FALSE,FALSE,TRUE,TRUE,TRUE}</definedName>
    <definedName name="wvu.MDC4._1" hidden="1">{TRUE,TRUE,-2.75,-17,487.5,256.5,FALSE,TRUE,TRUE,TRUE,0,1,35,3,1,1.41666666666667,2.2,4,TRUE,TRUE,3,TRUE,1,FALSE,100,"Swvu.MDC4.","ACwvu.MDC4.",#N/A,FALSE,FALSE,0.62,0.61,1,0.984251969,2,"&amp;LAPRILIA HISPANIA
control de gestion
Margenes de contribucion y facturacion neta mensual 1996
&amp;R&amp;D","&amp;C8",FALSE,FALSE,FALSE,FALSE,1,90,#N/A,#N/A,"=R1C51:R46C55","=C1,R1:R4",#N/A,#N/A,FALSE,FALSE,TRUE,9,300,300,FALSE,FALSE,TRUE,TRUE,TRUE}</definedName>
    <definedName name="wvu.PREC_CE_BF_AREE_GEST." localSheetId="8" hidden="1">{TRUE,TRUE,-2,-16.25,486,289.5,FALSE,TRUE,TRUE,TRUE,0,5,5,54,#N/A,2.8,30.0909090909091,2,TRUE,FALSE,3,TRUE,1,FALSE,50,"Swvu.PREC_CE_BF_AREE_GEST.","ACwvu.PREC_CE_BF_AREE_GEST.",1,FALSE,FALSE,0.196850393700787,0.196850393700787,0.393700787401575,0.196850393700787,1,"","",TRUE,TRUE,FALSE,FALSE,1,#N/A,1,1,"=R71C2:R145C11","=R1:R8",#N/A,#N/A,FALSE,FALSE}</definedName>
    <definedName name="wvu.PREC_CE_BF_AREE_GEST." hidden="1">{TRUE,TRUE,-2,-16.25,486,289.5,FALSE,TRUE,TRUE,TRUE,0,5,5,54,#N/A,2.8,30.0909090909091,2,TRUE,FALSE,3,TRUE,1,FALSE,50,"Swvu.PREC_CE_BF_AREE_GEST.","ACwvu.PREC_CE_BF_AREE_GEST.",1,FALSE,FALSE,0.196850393700787,0.196850393700787,0.393700787401575,0.196850393700787,1,"","",TRUE,TRUE,FALSE,FALSE,1,#N/A,1,1,"=R71C2:R145C11","=R1:R8",#N/A,#N/A,FALSE,FALSE}</definedName>
    <definedName name="wvu.PREC_CE_BF_AREE_GEST._1" localSheetId="8" hidden="1">{TRUE,TRUE,-2,-16.25,486,289.5,FALSE,TRUE,TRUE,TRUE,0,5,5,54,#N/A,2.8,30.0909090909091,2,TRUE,FALSE,3,TRUE,1,FALSE,50,"Swvu.PREC_CE_BF_AREE_GEST.","ACwvu.PREC_CE_BF_AREE_GEST.",1,FALSE,FALSE,0.196850393700787,0.196850393700787,0.393700787401575,0.196850393700787,1,"","",TRUE,TRUE,FALSE,FALSE,1,#N/A,1,1,"=R71C2:R145C11","=R1:R8",#N/A,#N/A,FALSE,FALSE}</definedName>
    <definedName name="wvu.PREC_CE_BF_AREE_GEST._1" hidden="1">{TRUE,TRUE,-2,-16.25,486,289.5,FALSE,TRUE,TRUE,TRUE,0,5,5,54,#N/A,2.8,30.0909090909091,2,TRUE,FALSE,3,TRUE,1,FALSE,50,"Swvu.PREC_CE_BF_AREE_GEST.","ACwvu.PREC_CE_BF_AREE_GEST.",1,FALSE,FALSE,0.196850393700787,0.196850393700787,0.393700787401575,0.196850393700787,1,"","",TRUE,TRUE,FALSE,FALSE,1,#N/A,1,1,"=R71C2:R145C11","=R1:R8",#N/A,#N/A,FALSE,FALSE}</definedName>
    <definedName name="wvu.PREC_CE_BF_MGD." localSheetId="8" hidden="1">{TRUE,TRUE,-2,-16.25,486,289.5,FALSE,TRUE,TRUE,TRUE,0,2,5,125,#N/A,2.56497175141243,30,2,TRUE,FALSE,3,TRUE,1,FALSE,50,"Swvu.PREC_CE_BF_MGD.","ACwvu.PREC_CE_BF_MGD.",1,FALSE,FALSE,0.196850393700787,0.196850393700787,0.393700787401575,0.196850393700787,1,"","",TRUE,TRUE,FALSE,FALSE,1,#N/A,1,1,"=R71C2:R145C11","=R1:R8",#N/A,#N/A,FALSE,FALSE}</definedName>
    <definedName name="wvu.PREC_CE_BF_MGD." hidden="1">{TRUE,TRUE,-2,-16.25,486,289.5,FALSE,TRUE,TRUE,TRUE,0,2,5,125,#N/A,2.56497175141243,30,2,TRUE,FALSE,3,TRUE,1,FALSE,50,"Swvu.PREC_CE_BF_MGD.","ACwvu.PREC_CE_BF_MGD.",1,FALSE,FALSE,0.196850393700787,0.196850393700787,0.393700787401575,0.196850393700787,1,"","",TRUE,TRUE,FALSE,FALSE,1,#N/A,1,1,"=R71C2:R145C11","=R1:R8",#N/A,#N/A,FALSE,FALSE}</definedName>
    <definedName name="wvu.PREC_CE_BF_MGD._1" localSheetId="8" hidden="1">{TRUE,TRUE,-2,-16.25,486,289.5,FALSE,TRUE,TRUE,TRUE,0,2,5,125,#N/A,2.56497175141243,30,2,TRUE,FALSE,3,TRUE,1,FALSE,50,"Swvu.PREC_CE_BF_MGD.","ACwvu.PREC_CE_BF_MGD.",1,FALSE,FALSE,0.196850393700787,0.196850393700787,0.393700787401575,0.196850393700787,1,"","",TRUE,TRUE,FALSE,FALSE,1,#N/A,1,1,"=R71C2:R145C11","=R1:R8",#N/A,#N/A,FALSE,FALSE}</definedName>
    <definedName name="wvu.PREC_CE_BF_MGD._1" hidden="1">{TRUE,TRUE,-2,-16.25,486,289.5,FALSE,TRUE,TRUE,TRUE,0,2,5,125,#N/A,2.56497175141243,30,2,TRUE,FALSE,3,TRUE,1,FALSE,50,"Swvu.PREC_CE_BF_MGD.","ACwvu.PREC_CE_BF_MGD.",1,FALSE,FALSE,0.196850393700787,0.196850393700787,0.393700787401575,0.196850393700787,1,"","",TRUE,TRUE,FALSE,FALSE,1,#N/A,1,1,"=R71C2:R145C11","=R1:R8",#N/A,#N/A,FALSE,FALSE}</definedName>
    <definedName name="wvu.PREC_CE_BF_UTILE." localSheetId="8" hidden="1">{TRUE,TRUE,-2,-16.25,486,289.5,FALSE,TRUE,TRUE,TRUE,0,2,5,182,#N/A,2.57627118644068,30.1818181818182,2,TRUE,FALSE,3,TRUE,1,FALSE,50,"Swvu.PREC_CE_BF_UTILE.","ACwvu.PREC_CE_BF_UTILE.",1,FALSE,FALSE,0.196850393700787,0.196850393700787,0.393700787401575,0.196850393700787,1,"","",TRUE,TRUE,FALSE,FALSE,1,#N/A,1,1,"=R71C2:R145C11","=R1:R8",#N/A,#N/A,FALSE,FALSE}</definedName>
    <definedName name="wvu.PREC_CE_BF_UTILE." hidden="1">{TRUE,TRUE,-2,-16.25,486,289.5,FALSE,TRUE,TRUE,TRUE,0,2,5,182,#N/A,2.57627118644068,30.1818181818182,2,TRUE,FALSE,3,TRUE,1,FALSE,50,"Swvu.PREC_CE_BF_UTILE.","ACwvu.PREC_CE_BF_UTILE.",1,FALSE,FALSE,0.196850393700787,0.196850393700787,0.393700787401575,0.196850393700787,1,"","",TRUE,TRUE,FALSE,FALSE,1,#N/A,1,1,"=R71C2:R145C11","=R1:R8",#N/A,#N/A,FALSE,FALSE}</definedName>
    <definedName name="wvu.PREC_CE_BF_UTILE._1" localSheetId="8" hidden="1">{TRUE,TRUE,-2,-16.25,486,289.5,FALSE,TRUE,TRUE,TRUE,0,2,5,182,#N/A,2.57627118644068,30.1818181818182,2,TRUE,FALSE,3,TRUE,1,FALSE,50,"Swvu.PREC_CE_BF_UTILE.","ACwvu.PREC_CE_BF_UTILE.",1,FALSE,FALSE,0.196850393700787,0.196850393700787,0.393700787401575,0.196850393700787,1,"","",TRUE,TRUE,FALSE,FALSE,1,#N/A,1,1,"=R71C2:R145C11","=R1:R8",#N/A,#N/A,FALSE,FALSE}</definedName>
    <definedName name="wvu.PREC_CE_BF_UTILE._1" hidden="1">{TRUE,TRUE,-2,-16.25,486,289.5,FALSE,TRUE,TRUE,TRUE,0,2,5,182,#N/A,2.57627118644068,30.1818181818182,2,TRUE,FALSE,3,TRUE,1,FALSE,50,"Swvu.PREC_CE_BF_UTILE.","ACwvu.PREC_CE_BF_UTILE.",1,FALSE,FALSE,0.196850393700787,0.196850393700787,0.393700787401575,0.196850393700787,1,"","",TRUE,TRUE,FALSE,FALSE,1,#N/A,1,1,"=R71C2:R145C11","=R1:R8",#N/A,#N/A,FALSE,FALSE}</definedName>
    <definedName name="wvu.Presentation." localSheetId="8" hidden="1">{TRUE,TRUE,-1.25,-15.5,604.5,369.75,FALSE,TRUE,TRUE,FALSE,1,1,3,13,22,2,1,4,TRUE,TRUE,3,TRUE,1,TRUE,100,"Swvu.Presentation.","ACwvu.Presentation.",1,FALSE,FALSE,0,0,2,0.8,2,"&amp;C&amp;""Helvetica""&amp;18&amp;BDELL COMPUTER CORPORATION
ACCRUED WARRANTY SUMMARY&amp;""MS Sans Serif""&amp;10&amp;B
&amp;""Helvetica""&amp;14&amp;BACCOUNTS 23490-739/999","",TRUE,FALSE,FALSE,FALSE,1,125,#N/A,#N/A,"=R13C1:R42C42",FALSE,"Rwvu.Presentation.","Cwvu.Presentation.",FALSE,FALSE}</definedName>
    <definedName name="wvu.Presentation." hidden="1">{TRUE,TRUE,-1.25,-15.5,604.5,369.75,FALSE,TRUE,TRUE,FALSE,1,1,3,13,22,2,1,4,TRUE,TRUE,3,TRUE,1,TRUE,100,"Swvu.Presentation.","ACwvu.Presentation.",1,FALSE,FALSE,0,0,2,0.8,2,"&amp;C&amp;""Helvetica""&amp;18&amp;BDELL COMPUTER CORPORATION
ACCRUED WARRANTY SUMMARY&amp;""MS Sans Serif""&amp;10&amp;B
&amp;""Helvetica""&amp;14&amp;BACCOUNTS 23490-739/999","",TRUE,FALSE,FALSE,FALSE,1,125,#N/A,#N/A,"=R13C1:R42C42",FALSE,"Rwvu.Presentation.","Cwvu.Presentation.",FALSE,FALSE}</definedName>
    <definedName name="wvu.provision." localSheetId="8" hidden="1">{TRUE,TRUE,-1.25,-15.5,604.5,369.75,FALSE,TRUE,TRUE,TRUE,0,1,#N/A,1,#N/A,36.96875,22.9444444444444,1,FALSE,FALSE,3,TRUE,1,FALSE,100,"Swvu.provision.","ACwvu.provision.",1,FALSE,FALSE,0.75,0.75,2.02,1,2,"&amp;C&amp;""Helvetica""&amp;18&amp;BDELL COMPUTER CORPORATION
SERVICE OPERATIONS - FINANCE&amp;""MS Sans Serif""&amp;10&amp;B
&amp;""Helvetica""&amp;14&amp;BParts Provision vs. Write-offs","&amp;L&amp;""Helvetica""&amp;9Bob Ross&amp;C&amp;""Helvetica""&amp;9&amp;F&amp;R&amp;""Helvetica""&amp;9&amp;D     &amp;T",FALSE,FALSE,FALSE,FALSE,1,110,#N/A,#N/A,"=R7C1:R26C36",FALSE,"Rwvu.provision.",#N/A,FALSE,FALSE}</definedName>
    <definedName name="wvu.provision." hidden="1">{TRUE,TRUE,-1.25,-15.5,604.5,369.75,FALSE,TRUE,TRUE,TRUE,0,1,#N/A,1,#N/A,36.96875,22.9444444444444,1,FALSE,FALSE,3,TRUE,1,FALSE,100,"Swvu.provision.","ACwvu.provision.",1,FALSE,FALSE,0.75,0.75,2.02,1,2,"&amp;C&amp;""Helvetica""&amp;18&amp;BDELL COMPUTER CORPORATION
SERVICE OPERATIONS - FINANCE&amp;""MS Sans Serif""&amp;10&amp;B
&amp;""Helvetica""&amp;14&amp;BParts Provision vs. Write-offs","&amp;L&amp;""Helvetica""&amp;9Bob Ross&amp;C&amp;""Helvetica""&amp;9&amp;F&amp;R&amp;""Helvetica""&amp;9&amp;D     &amp;T",FALSE,FALSE,FALSE,FALSE,1,110,#N/A,#N/A,"=R7C1:R26C36",FALSE,"Rwvu.provision.",#N/A,FALSE,FALSE}</definedName>
    <definedName name="wvu.RACC_IMP." localSheetId="8" hidden="1">{TRUE,TRUE,-1.25,-15.5,484.5,276.75,FALSE,FALSE,TRUE,TRUE,0,32,#N/A,1,#N/A,4.80412371134021,17.3529411764706,1,FALSE,FALSE,3,TRUE,1,FALSE,100,"Swvu.RACC_IMP.","ACwvu.RACC_IMP.",1,FALSE,FALSE,0.196850393700787,0.196850393700787,0.78740157480315,0.196850393700787,2,"","",TRUE,TRUE,FALSE,FALSE,1,#N/A,1,1,"=R1C33:R49C40",FALSE,"Rwvu.RACC_IMP.","Cwvu.RACC_IMP.",FALSE,FALSE,FALSE,9,65532,65532,FALSE,FALSE,TRUE,TRUE,TRUE}</definedName>
    <definedName name="wvu.RACC_IMP." hidden="1">{TRUE,TRUE,-1.25,-15.5,484.5,276.75,FALSE,FALSE,TRUE,TRUE,0,32,#N/A,1,#N/A,4.80412371134021,17.3529411764706,1,FALSE,FALSE,3,TRUE,1,FALSE,100,"Swvu.RACC_IMP.","ACwvu.RACC_IMP.",1,FALSE,FALSE,0.196850393700787,0.196850393700787,0.78740157480315,0.196850393700787,2,"","",TRUE,TRUE,FALSE,FALSE,1,#N/A,1,1,"=R1C33:R49C40",FALSE,"Rwvu.RACC_IMP.","Cwvu.RACC_IMP.",FALSE,FALSE,FALSE,9,65532,65532,FALSE,FALSE,TRUE,TRUE,TRUE}</definedName>
    <definedName name="wvu.RACC_IMP._1" localSheetId="8" hidden="1">{TRUE,TRUE,-1.25,-15.5,484.5,276.75,FALSE,FALSE,TRUE,TRUE,0,32,#N/A,1,#N/A,4.80412371134021,17.3529411764706,1,FALSE,FALSE,3,TRUE,1,FALSE,100,"Swvu.RACC_IMP.","ACwvu.RACC_IMP.",1,FALSE,FALSE,0.196850393700787,0.196850393700787,0.78740157480315,0.196850393700787,2,"","",TRUE,TRUE,FALSE,FALSE,1,#N/A,1,1,"=R1C33:R49C40",FALSE,"Rwvu.RACC_IMP.","Cwvu.RACC_IMP.",FALSE,FALSE,FALSE,9,65532,65532,FALSE,FALSE,TRUE,TRUE,TRUE}</definedName>
    <definedName name="wvu.RACC_IMP._1" hidden="1">{TRUE,TRUE,-1.25,-15.5,484.5,276.75,FALSE,FALSE,TRUE,TRUE,0,32,#N/A,1,#N/A,4.80412371134021,17.3529411764706,1,FALSE,FALSE,3,TRUE,1,FALSE,100,"Swvu.RACC_IMP.","ACwvu.RACC_IMP.",1,FALSE,FALSE,0.196850393700787,0.196850393700787,0.78740157480315,0.196850393700787,2,"","",TRUE,TRUE,FALSE,FALSE,1,#N/A,1,1,"=R1C33:R49C40",FALSE,"Rwvu.RACC_IMP.","Cwvu.RACC_IMP.",FALSE,FALSE,FALSE,9,65532,65532,FALSE,FALSE,TRUE,TRUE,TRUE}</definedName>
    <definedName name="wvu.RDOTOT." localSheetId="8" hidden="1">{TRUE,TRUE,-2.75,-17,486.75,278.25,FALSE,TRUE,TRUE,TRUE,0,1,12,5,1,0.921875,3.06666666666667,4,TRUE,TRUE,3,TRUE,1,FALSE,100,"Swvu.RDOTOT.","ACwvu.RDOTOT.",#N/A,FALSE,FALSE,1.4,0.22,0.43,0.5,1,"&amp;C
&amp;R&amp;D","&amp;C
&amp;P",FALSE,FALSE,FALSE,FALSE,1,78,#N/A,#N/A,FALSE,"=C1,R1:R6","Rwvu.RDOTOT.","Cwvu.RDOTOT.",FALSE,FALSE,FALSE,#NULL!,#NULL!,#NULL!,FALSE,FALSE,TRUE,TRUE,TRUE}</definedName>
    <definedName name="wvu.RDOTOT." hidden="1">{TRUE,TRUE,-2.75,-17,486.75,278.25,FALSE,TRUE,TRUE,TRUE,0,1,12,5,1,0.921875,3.06666666666667,4,TRUE,TRUE,3,TRUE,1,FALSE,100,"Swvu.RDOTOT.","ACwvu.RDOTOT.",#N/A,FALSE,FALSE,1.4,0.22,0.43,0.5,1,"&amp;C
&amp;R&amp;D","&amp;C
&amp;P",FALSE,FALSE,FALSE,FALSE,1,78,#N/A,#N/A,FALSE,"=C1,R1:R6","Rwvu.RDOTOT.","Cwvu.RDOTOT.",FALSE,FALSE,FALSE,#NULL!,#NULL!,#NULL!,FALSE,FALSE,TRUE,TRUE,TRUE}</definedName>
    <definedName name="wvu.RDOTOT._1" localSheetId="8" hidden="1">{TRUE,TRUE,-2.75,-17,486.75,278.25,FALSE,TRUE,TRUE,TRUE,0,1,12,5,1,0.921875,3.06666666666667,4,TRUE,TRUE,3,TRUE,1,FALSE,100,"Swvu.RDOTOT.","ACwvu.RDOTOT.",#N/A,FALSE,FALSE,1.4,0.22,0.43,0.5,1,"&amp;C
&amp;R&amp;D","&amp;C
&amp;P",FALSE,FALSE,FALSE,FALSE,1,78,#N/A,#N/A,FALSE,"=C1,R1:R6","Rwvu.RDOTOT.","Cwvu.RDOTOT.",FALSE,FALSE,FALSE,#NULL!,#NULL!,#NULL!,FALSE,FALSE,TRUE,TRUE,TRUE}</definedName>
    <definedName name="wvu.RDOTOT._1" hidden="1">{TRUE,TRUE,-2.75,-17,486.75,278.25,FALSE,TRUE,TRUE,TRUE,0,1,12,5,1,0.921875,3.06666666666667,4,TRUE,TRUE,3,TRUE,1,FALSE,100,"Swvu.RDOTOT.","ACwvu.RDOTOT.",#N/A,FALSE,FALSE,1.4,0.22,0.43,0.5,1,"&amp;C
&amp;R&amp;D","&amp;C
&amp;P",FALSE,FALSE,FALSE,FALSE,1,78,#N/A,#N/A,FALSE,"=C1,R1:R6","Rwvu.RDOTOT.","Cwvu.RDOTOT.",FALSE,FALSE,FALSE,#NULL!,#NULL!,#NULL!,FALSE,FALSE,TRUE,TRUE,TRUE}</definedName>
    <definedName name="wvu.RES432." localSheetId="8" hidden="1">{TRUE,TRUE,-1.25,-15.5,484.5,278.25,FALSE,FALSE,TRUE,FALSE,0,5,#N/A,593,#N/A,7.47457627118644,22.5714285714286,1,FALSE,FALSE,3,TRUE,1,FALSE,100,"Swvu.RES432.","ACwvu.RES432.",#N/A,FALSE,FALSE,0,0,0,0,2,"","",FALSE,FALSE,FALSE,FALSE,1,90,#N/A,#N/A,"=R1C1:R650C11",FALSE,#N/A,#N/A,FALSE,FALSE,FALSE,1,65532,65532,FALSE,FALSE,TRUE,TRUE,TRUE}</definedName>
    <definedName name="wvu.RES432." hidden="1">{TRUE,TRUE,-1.25,-15.5,484.5,278.25,FALSE,FALSE,TRUE,FALSE,0,5,#N/A,593,#N/A,7.47457627118644,22.5714285714286,1,FALSE,FALSE,3,TRUE,1,FALSE,100,"Swvu.RES432.","ACwvu.RES432.",#N/A,FALSE,FALSE,0,0,0,0,2,"","",FALSE,FALSE,FALSE,FALSE,1,90,#N/A,#N/A,"=R1C1:R650C11",FALSE,#N/A,#N/A,FALSE,FALSE,FALSE,1,65532,65532,FALSE,FALSE,TRUE,TRUE,TRUE}</definedName>
    <definedName name="wvu.reserve._.analysis." localSheetId="8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wvu.reserve._.analysis.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wvu.REV_DIV." localSheetId="8" hidden="1">{TRUE,TRUE,-1.25,-15.5,484.5,276.75,FALSE,FALSE,TRUE,TRUE,0,2,#N/A,236,#N/A,5.73417721518987,16.4117647058824,1,FALSE,FALSE,3,TRUE,1,FALSE,100,"Swvu.REV_DIV.","ACwvu.REV_DIV.",1,FALSE,FALSE,0.393700787401575,0.393700787401575,0,0,2,"","",TRUE,TRUE,FALSE,FALSE,1,#N/A,1,1,"=R236C2:R263C8",FALSE,"Rwvu.REV_DIV.","Cwvu.REV_DIV.",FALSE,FALSE,FALSE,9,65532,300,FALSE,FALSE,TRUE,TRUE,TRUE}</definedName>
    <definedName name="wvu.REV_DIV." hidden="1">{TRUE,TRUE,-1.25,-15.5,484.5,276.75,FALSE,FALSE,TRUE,TRUE,0,2,#N/A,236,#N/A,5.73417721518987,16.4117647058824,1,FALSE,FALSE,3,TRUE,1,FALSE,100,"Swvu.REV_DIV.","ACwvu.REV_DIV.",1,FALSE,FALSE,0.393700787401575,0.393700787401575,0,0,2,"","",TRUE,TRUE,FALSE,FALSE,1,#N/A,1,1,"=R236C2:R263C8",FALSE,"Rwvu.REV_DIV.","Cwvu.REV_DIV.",FALSE,FALSE,FALSE,9,65532,300,FALSE,FALSE,TRUE,TRUE,TRUE}</definedName>
    <definedName name="wvu.REV_DIV._1" localSheetId="8" hidden="1">{TRUE,TRUE,-1.25,-15.5,484.5,276.75,FALSE,FALSE,TRUE,TRUE,0,2,#N/A,236,#N/A,5.73417721518987,16.4117647058824,1,FALSE,FALSE,3,TRUE,1,FALSE,100,"Swvu.REV_DIV.","ACwvu.REV_DIV.",1,FALSE,FALSE,0.393700787401575,0.393700787401575,0,0,2,"","",TRUE,TRUE,FALSE,FALSE,1,#N/A,1,1,"=R236C2:R263C8",FALSE,"Rwvu.REV_DIV.","Cwvu.REV_DIV.",FALSE,FALSE,FALSE,9,65532,300,FALSE,FALSE,TRUE,TRUE,TRUE}</definedName>
    <definedName name="wvu.REV_DIV._1" hidden="1">{TRUE,TRUE,-1.25,-15.5,484.5,276.75,FALSE,FALSE,TRUE,TRUE,0,2,#N/A,236,#N/A,5.73417721518987,16.4117647058824,1,FALSE,FALSE,3,TRUE,1,FALSE,100,"Swvu.REV_DIV.","ACwvu.REV_DIV.",1,FALSE,FALSE,0.393700787401575,0.393700787401575,0,0,2,"","",TRUE,TRUE,FALSE,FALSE,1,#N/A,1,1,"=R236C2:R263C8",FALSE,"Rwvu.REV_DIV.","Cwvu.REV_DIV.",FALSE,FALSE,FALSE,9,65532,300,FALSE,FALSE,TRUE,TRUE,TRUE}</definedName>
    <definedName name="wvu.RIEPILOGOFASI_BUDGET." localSheetId="8" hidden="1">{TRUE,TRUE,-1.25,-15.5,484.5,279.75,FALSE,TRUE,TRUE,TRUE,0,78,#N/A,157,#N/A,20.1818181818182,29.1818181818182,1,FALSE,FALSE,3,TRUE,1,FALSE,50,"Swvu.RIEPILOGOFASI_BUDGET.","ACwvu.RIEPILOGOFASI_BUDGET.",1,FALSE,FALSE,0.196850393700787,0.196850393700787,0.393700787401575,0.196850393700787,2,"","",TRUE,TRUE,FALSE,FALSE,1,#N/A,1,1,"=R135C66:R161C94","=R74:R77",#N/A,#N/A,FALSE,FALSE}</definedName>
    <definedName name="wvu.RIEPILOGOFASI_BUDGET." hidden="1">{TRUE,TRUE,-1.25,-15.5,484.5,279.75,FALSE,TRUE,TRUE,TRUE,0,78,#N/A,157,#N/A,20.1818181818182,29.1818181818182,1,FALSE,FALSE,3,TRUE,1,FALSE,50,"Swvu.RIEPILOGOFASI_BUDGET.","ACwvu.RIEPILOGOFASI_BUDGET.",1,FALSE,FALSE,0.196850393700787,0.196850393700787,0.393700787401575,0.196850393700787,2,"","",TRUE,TRUE,FALSE,FALSE,1,#N/A,1,1,"=R135C66:R161C94","=R74:R77",#N/A,#N/A,FALSE,FALSE}</definedName>
    <definedName name="wvu.RIEPILOGOFASI_BUDGET._1" localSheetId="8" hidden="1">{TRUE,TRUE,-1.25,-15.5,484.5,279.75,FALSE,TRUE,TRUE,TRUE,0,78,#N/A,157,#N/A,20.1818181818182,29.1818181818182,1,FALSE,FALSE,3,TRUE,1,FALSE,50,"Swvu.RIEPILOGOFASI_BUDGET.","ACwvu.RIEPILOGOFASI_BUDGET.",1,FALSE,FALSE,0.196850393700787,0.196850393700787,0.393700787401575,0.196850393700787,2,"","",TRUE,TRUE,FALSE,FALSE,1,#N/A,1,1,"=R135C66:R161C94","=R74:R77",#N/A,#N/A,FALSE,FALSE}</definedName>
    <definedName name="wvu.RIEPILOGOFASI_BUDGET._1" hidden="1">{TRUE,TRUE,-1.25,-15.5,484.5,279.75,FALSE,TRUE,TRUE,TRUE,0,78,#N/A,157,#N/A,20.1818181818182,29.1818181818182,1,FALSE,FALSE,3,TRUE,1,FALSE,50,"Swvu.RIEPILOGOFASI_BUDGET.","ACwvu.RIEPILOGOFASI_BUDGET.",1,FALSE,FALSE,0.196850393700787,0.196850393700787,0.393700787401575,0.196850393700787,2,"","",TRUE,TRUE,FALSE,FALSE,1,#N/A,1,1,"=R135C66:R161C94","=R74:R77",#N/A,#N/A,FALSE,FALSE}</definedName>
    <definedName name="wvu.SEG_ACU." localSheetId="8" hidden="1">{TRUE,TRUE,-0.8,-17,483.6,277.2,FALSE,FALSE,TRUE,FALSE,0,13,#N/A,1,#N/A,10.1025641025641,20.8235294117647,1,FALSE,FALSE,3,TRUE,1,FALSE,75,"Swvu.SEG_ACU.","ACwvu.SEG_ACU.",#N/A,FALSE,FALSE,0.39,0.31,0.48,0.44,1,"&amp;A","Página &amp;P",FALSE,FALSE,FALSE,FALSE,1,#N/A,1,1,"=R8C3:R72C11","=C1:C2,R1:R7",#N/A,#N/A,FALSE,FALSE,FALSE,9,300,300,FALSE,FALSE,TRUE,TRUE,TRUE}</definedName>
    <definedName name="wvu.SEG_ACU." hidden="1">{TRUE,TRUE,-0.8,-17,483.6,277.2,FALSE,FALSE,TRUE,FALSE,0,13,#N/A,1,#N/A,10.1025641025641,20.8235294117647,1,FALSE,FALSE,3,TRUE,1,FALSE,75,"Swvu.SEG_ACU.","ACwvu.SEG_ACU.",#N/A,FALSE,FALSE,0.39,0.31,0.48,0.44,1,"&amp;A","Página &amp;P",FALSE,FALSE,FALSE,FALSE,1,#N/A,1,1,"=R8C3:R72C11","=C1:C2,R1:R7",#N/A,#N/A,FALSE,FALSE,FALSE,9,300,300,FALSE,FALSE,TRUE,TRUE,TRUE}</definedName>
    <definedName name="wvu.seg_mes." localSheetId="8" hidden="1">{TRUE,TRUE,-0.8,-17,483.6,277.2,FALSE,FALSE,TRUE,FALSE,0,1,#N/A,1,#N/A,9.84615384615385,20.8235294117647,1,FALSE,FALSE,3,TRUE,1,FALSE,75,"Swvu.seg_mes.","ACwvu.seg_mes.",#N/A,FALSE,FALSE,0.39,0.31,0.48,0.44,1,"&amp;A","Página &amp;P",FALSE,FALSE,FALSE,FALSE,1,#N/A,1,1,"=R8C3:R72C11","=C1:C2,R1:R7",#N/A,#N/A,FALSE,FALSE,FALSE,9,300,300,FALSE,FALSE,TRUE,TRUE,TRUE}</definedName>
    <definedName name="wvu.seg_mes." hidden="1">{TRUE,TRUE,-0.8,-17,483.6,277.2,FALSE,FALSE,TRUE,FALSE,0,1,#N/A,1,#N/A,9.84615384615385,20.8235294117647,1,FALSE,FALSE,3,TRUE,1,FALSE,75,"Swvu.seg_mes.","ACwvu.seg_mes.",#N/A,FALSE,FALSE,0.39,0.31,0.48,0.44,1,"&amp;A","Página &amp;P",FALSE,FALSE,FALSE,FALSE,1,#N/A,1,1,"=R8C3:R72C11","=C1:C2,R1:R7",#N/A,#N/A,FALSE,FALSE,FALSE,9,300,300,FALSE,FALSE,TRUE,TRUE,TRUE}</definedName>
    <definedName name="wvu.Servizi_bancari." localSheetId="8" hidden="1">{TRUE,TRUE,-1.25,-15.5,484.5,253.5,FALSE,TRUE,TRUE,TRUE,0,20,#N/A,96,#N/A,8.95833333333333,21.6923076923077,1,FALSE,FALSE,3,TRUE,1,FALSE,75,"Swvu.Servizi_bancari.","ACwvu.Servizi_bancari.",#N/A,FALSE,FALSE,0.78740157480315,0.78740157480315,0.984251968503937,0.984251968503937,1,"","&amp;LPianificazione&amp;R&amp;D",TRUE,FALSE,FALSE,FALSE,1,#N/A,1,1,"=R106C21:R152C27",FALSE,#N/A,#N/A,FALSE,FALSE,FALSE,9,65532,65532,FALSE,FALSE,TRUE,TRUE,TRUE}</definedName>
    <definedName name="wvu.Servizi_bancari." hidden="1">{TRUE,TRUE,-1.25,-15.5,484.5,253.5,FALSE,TRUE,TRUE,TRUE,0,20,#N/A,96,#N/A,8.95833333333333,21.6923076923077,1,FALSE,FALSE,3,TRUE,1,FALSE,75,"Swvu.Servizi_bancari.","ACwvu.Servizi_bancari.",#N/A,FALSE,FALSE,0.78740157480315,0.78740157480315,0.984251968503937,0.984251968503937,1,"","&amp;LPianificazione&amp;R&amp;D",TRUE,FALSE,FALSE,FALSE,1,#N/A,1,1,"=R106C21:R152C27",FALSE,#N/A,#N/A,FALSE,FALSE,FALSE,9,65532,65532,FALSE,FALSE,TRUE,TRUE,TRUE}</definedName>
    <definedName name="wvu.Servizi_bancari._1" localSheetId="8" hidden="1">{TRUE,TRUE,-1.25,-15.5,484.5,253.5,FALSE,TRUE,TRUE,TRUE,0,20,#N/A,96,#N/A,8.95833333333333,21.6923076923077,1,FALSE,FALSE,3,TRUE,1,FALSE,75,"Swvu.Servizi_bancari.","ACwvu.Servizi_bancari.",#N/A,FALSE,FALSE,0.78740157480315,0.78740157480315,0.984251968503937,0.984251968503937,1,"","&amp;LPianificazione&amp;R&amp;D",TRUE,FALSE,FALSE,FALSE,1,#N/A,1,1,"=R106C21:R152C27",FALSE,#N/A,#N/A,FALSE,FALSE,FALSE,9,65532,65532,FALSE,FALSE,TRUE,TRUE,TRUE}</definedName>
    <definedName name="wvu.Servizi_bancari._1" hidden="1">{TRUE,TRUE,-1.25,-15.5,484.5,253.5,FALSE,TRUE,TRUE,TRUE,0,20,#N/A,96,#N/A,8.95833333333333,21.6923076923077,1,FALSE,FALSE,3,TRUE,1,FALSE,75,"Swvu.Servizi_bancari.","ACwvu.Servizi_bancari.",#N/A,FALSE,FALSE,0.78740157480315,0.78740157480315,0.984251968503937,0.984251968503937,1,"","&amp;LPianificazione&amp;R&amp;D",TRUE,FALSE,FALSE,FALSE,1,#N/A,1,1,"=R106C21:R152C27",FALSE,#N/A,#N/A,FALSE,FALSE,FALSE,9,65532,65532,FALSE,FALSE,TRUE,TRUE,TRUE}</definedName>
    <definedName name="wvu.Servizi_finanziari." localSheetId="8" hidden="1">{TRUE,TRUE,-1.25,-15.5,484.5,253.5,FALSE,TRUE,TRUE,TRUE,0,1,#N/A,7,#N/A,10.2916666666667,21.5384615384615,1,FALSE,FALSE,3,TRUE,1,FALSE,75,"Swvu.Servizi_finanziari.","ACwvu.Servizi_finanziari.",#N/A,FALSE,FALSE,0.78740157480315,0.78740157480315,0.984251968503937,0.984251968503937,1,"","&amp;LPianificazione&amp;R&amp;D",TRUE,FALSE,FALSE,FALSE,1,#N/A,1,1,"=R7C3:R67C9",FALSE,#N/A,#N/A,FALSE,FALSE,FALSE,9,65532,65532,FALSE,FALSE,TRUE,TRUE,TRUE}</definedName>
    <definedName name="wvu.Servizi_finanziari." hidden="1">{TRUE,TRUE,-1.25,-15.5,484.5,253.5,FALSE,TRUE,TRUE,TRUE,0,1,#N/A,7,#N/A,10.2916666666667,21.5384615384615,1,FALSE,FALSE,3,TRUE,1,FALSE,75,"Swvu.Servizi_finanziari.","ACwvu.Servizi_finanziari.",#N/A,FALSE,FALSE,0.78740157480315,0.78740157480315,0.984251968503937,0.984251968503937,1,"","&amp;LPianificazione&amp;R&amp;D",TRUE,FALSE,FALSE,FALSE,1,#N/A,1,1,"=R7C3:R67C9",FALSE,#N/A,#N/A,FALSE,FALSE,FALSE,9,65532,65532,FALSE,FALSE,TRUE,TRUE,TRUE}</definedName>
    <definedName name="wvu.Servizi_finanziari._1" localSheetId="8" hidden="1">{TRUE,TRUE,-1.25,-15.5,484.5,253.5,FALSE,TRUE,TRUE,TRUE,0,1,#N/A,7,#N/A,10.2916666666667,21.5384615384615,1,FALSE,FALSE,3,TRUE,1,FALSE,75,"Swvu.Servizi_finanziari.","ACwvu.Servizi_finanziari.",#N/A,FALSE,FALSE,0.78740157480315,0.78740157480315,0.984251968503937,0.984251968503937,1,"","&amp;LPianificazione&amp;R&amp;D",TRUE,FALSE,FALSE,FALSE,1,#N/A,1,1,"=R7C3:R67C9",FALSE,#N/A,#N/A,FALSE,FALSE,FALSE,9,65532,65532,FALSE,FALSE,TRUE,TRUE,TRUE}</definedName>
    <definedName name="wvu.Servizi_finanziari._1" hidden="1">{TRUE,TRUE,-1.25,-15.5,484.5,253.5,FALSE,TRUE,TRUE,TRUE,0,1,#N/A,7,#N/A,10.2916666666667,21.5384615384615,1,FALSE,FALSE,3,TRUE,1,FALSE,75,"Swvu.Servizi_finanziari.","ACwvu.Servizi_finanziari.",#N/A,FALSE,FALSE,0.78740157480315,0.78740157480315,0.984251968503937,0.984251968503937,1,"","&amp;LPianificazione&amp;R&amp;D",TRUE,FALSE,FALSE,FALSE,1,#N/A,1,1,"=R7C3:R67C9",FALSE,#N/A,#N/A,FALSE,FALSE,FALSE,9,65532,65532,FALSE,FALSE,TRUE,TRUE,TRUE}</definedName>
    <definedName name="wvu.summary1." localSheetId="7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localSheetId="8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1" localSheetId="7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1" localSheetId="8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1" localSheetId="8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1_1" localSheetId="8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1_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7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localSheetId="8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1" localSheetId="7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1" localSheetId="8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1" localSheetId="8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1_1" localSheetId="8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1_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7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localSheetId="8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1" localSheetId="7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1" localSheetId="8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1" localSheetId="8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1_1" localSheetId="8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1_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localSheetId="8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.1" localSheetId="8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.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.1_1" localSheetId="8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.1_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_1" localSheetId="8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_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VERLUCRO." localSheetId="8" hidden="1">{FALSE,FALSE,-1.25,-15.5,484.5,278.25,FALSE,FALSE,TRUE,FALSE,0,1,#N/A,1106,#N/A,12.4059405940594,23.2666666666667,1,FALSE,FALSE,3,TRUE,1,FALSE,100,"Swvu.VERLUCRO.","ACwvu.VERLUCRO.",#N/A,FALSE,FALSE,0,0,0,0,1,"","",TRUE,FALSE,FALSE,FALSE,1,95,#N/A,#N/A,FALSE,FALSE,FALSE,FALSE,FALSE,FALSE,FALSE,1,65532,65532,FALSE,FALSE,TRUE,TRUE,TRUE}</definedName>
    <definedName name="wvu.VERLUCRO." hidden="1">{FALSE,FALSE,-1.25,-15.5,484.5,278.25,FALSE,FALSE,TRUE,FALSE,0,1,#N/A,1106,#N/A,12.4059405940594,23.2666666666667,1,FALSE,FALSE,3,TRUE,1,FALSE,100,"Swvu.VERLUCRO.","ACwvu.VERLUCRO.",#N/A,FALSE,FALSE,0,0,0,0,1,"","",TRUE,FALSE,FALSE,FALSE,1,95,#N/A,#N/A,FALSE,FALSE,FALSE,FALSE,FALSE,FALSE,FALSE,1,65532,65532,FALSE,FALSE,TRUE,TRUE,TRUE}</definedName>
    <definedName name="wvu.Wty._.accrual._.summary." localSheetId="8" hidden="1">{TRUE,TRUE,-1.25,-15.5,604.5,369.75,FALSE,TRUE,TRUE,FALSE,1,1,25,13,15,2,1,4,TRUE,TRUE,3,TRUE,1,TRUE,100,"Swvu.Wty._.accrual._.summary.","ACwvu.Wty._.accrual._.summary.",1,FALSE,FALSE,0,0,2.1,1,2,"&amp;C&amp;""Helvetica""&amp;18&amp;BDELL COMPUTER CORPORATION
WORLDWIDE OPERATIONS
WARRANTY ACCRUAL SUMMARY
","",TRUE,FALSE,FALSE,FALSE,1,#N/A,1,1,#DIV/0!,FALSE,"Rwvu.Wty._.accrual._.summary.","Cwvu.Wty._.accrual._.summary.",FALSE,FALSE}</definedName>
    <definedName name="wvu.Wty._.accrual._.summary." hidden="1">{TRUE,TRUE,-1.25,-15.5,604.5,369.75,FALSE,TRUE,TRUE,FALSE,1,1,25,13,15,2,1,4,TRUE,TRUE,3,TRUE,1,TRUE,100,"Swvu.Wty._.accrual._.summary.","ACwvu.Wty._.accrual._.summary.",1,FALSE,FALSE,0,0,2.1,1,2,"&amp;C&amp;""Helvetica""&amp;18&amp;BDELL COMPUTER CORPORATION
WORLDWIDE OPERATIONS
WARRANTY ACCRUAL SUMMARY
","",TRUE,FALSE,FALSE,FALSE,1,#N/A,1,1,#DIV/0!,FALSE,"Rwvu.Wty._.accrual._.summary.","Cwvu.Wty._.accrual._.summary.",FALSE,FALSE}</definedName>
    <definedName name="wvub412" localSheetId="8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b412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b71" localSheetId="8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b71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bu412" localSheetId="8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bu412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busarea213" localSheetId="8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busarea213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busarea35" localSheetId="8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busarea35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w" localSheetId="7" hidden="1">{#N/A,#N/A,FALSE,"Pharm";#N/A,#N/A,FALSE,"WWCM"}</definedName>
    <definedName name="ww" localSheetId="8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ww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ww_1" localSheetId="7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ww_1" localSheetId="8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ww_1" hidden="1">{"assumption 50 50",#N/A,TRUE,"Merger";"has gets cash",#N/A,TRUE,"Merger";"accretion dilution",#N/A,TRUE,"Merger";"comparison credit stats",#N/A,TRUE,"Merger";"pf credit stats",#N/A,TRUE,"Merger";"pf sheets",#N/A,TRUE,"Merger"}</definedName>
    <definedName name="wwe.kkjk" localSheetId="8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wwe.kkj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wwsr" localSheetId="8" hidden="1">{"First Page",#N/A,FALSE,"Surfactants LBO";"Second Page",#N/A,FALSE,"Surfactants LBO"}</definedName>
    <definedName name="wwsr" hidden="1">{"First Page",#N/A,FALSE,"Surfactants LBO";"Second Page",#N/A,FALSE,"Surfactants LBO"}</definedName>
    <definedName name="wwsr_1" localSheetId="8" hidden="1">{"First Page",#N/A,FALSE,"Surfactants LBO";"Second Page",#N/A,FALSE,"Surfactants LBO"}</definedName>
    <definedName name="wwsr_1" hidden="1">{"First Page",#N/A,FALSE,"Surfactants LBO";"Second Page",#N/A,FALSE,"Surfactants LBO"}</definedName>
    <definedName name="wwt" localSheetId="8" hidden="1">{"YD LAPO2",#N/A,FALSE,"YTD"}</definedName>
    <definedName name="wwt" hidden="1">{"YD LAPO2",#N/A,FALSE,"YTD"}</definedName>
    <definedName name="www" localSheetId="7" hidden="1">#REF!</definedName>
    <definedName name="www" localSheetId="8" hidden="1">#REF!</definedName>
    <definedName name="www" hidden="1">{#N/A,"PURCHM",FALSE,"Business Analysis";#N/A,"SPADD",FALSE,"Business Analysis"}</definedName>
    <definedName name="www_1" localSheetId="8" hidden="1">{#N/A,#N/A,TRUE,"consinc";#N/A,#N/A,TRUE,"consproj";#N/A,#N/A,TRUE,"deminc";#N/A,#N/A,TRUE,"incproj";#N/A,#N/A,TRUE,"demman";#N/A,#N/A,TRUE,"manproj";#N/A,#N/A,TRUE,"S&amp;Gact";#N/A,#N/A,TRUE,"S&amp;Gproj ";#N/A,#N/A,TRUE,"dengis";#N/A,#N/A,TRUE,"dengisproj";#N/A,#N/A,TRUE,"mitinc";#N/A,#N/A,TRUE,"mitincproj";#N/A,#N/A,TRUE,"mits&amp;G";#N/A,#N/A,TRUE,"mits&amp;gproj";#N/A,#N/A,TRUE,"arcis";#N/A,#N/A,TRUE,"arcproj";#N/A,#N/A,TRUE,"ampinc";#N/A,#N/A,TRUE,"ampincproj";#N/A,#N/A,TRUE,"ampman";#N/A,#N/A,TRUE,"ampmanproj";#N/A,#N/A,TRUE,"ampS&amp;G";#N/A,#N/A,TRUE,"amps&amp;GProj"}</definedName>
    <definedName name="www_1" hidden="1">{#N/A,#N/A,TRUE,"consinc";#N/A,#N/A,TRUE,"consproj";#N/A,#N/A,TRUE,"deminc";#N/A,#N/A,TRUE,"incproj";#N/A,#N/A,TRUE,"demman";#N/A,#N/A,TRUE,"manproj";#N/A,#N/A,TRUE,"S&amp;Gact";#N/A,#N/A,TRUE,"S&amp;Gproj ";#N/A,#N/A,TRUE,"dengis";#N/A,#N/A,TRUE,"dengisproj";#N/A,#N/A,TRUE,"mitinc";#N/A,#N/A,TRUE,"mitincproj";#N/A,#N/A,TRUE,"mits&amp;G";#N/A,#N/A,TRUE,"mits&amp;gproj";#N/A,#N/A,TRUE,"arcis";#N/A,#N/A,TRUE,"arcproj";#N/A,#N/A,TRUE,"ampinc";#N/A,#N/A,TRUE,"ampincproj";#N/A,#N/A,TRUE,"ampman";#N/A,#N/A,TRUE,"ampmanproj";#N/A,#N/A,TRUE,"ampS&amp;G";#N/A,#N/A,TRUE,"amps&amp;GProj"}</definedName>
    <definedName name="wwwe" localSheetId="8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wwwe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wwww" localSheetId="8" hidden="1">{#N/A,#N/A,FALSE,"Produkte Erw.";#N/A,#N/A,FALSE,"Produkte Plan";#N/A,#N/A,FALSE,"Leistungen Erw.";#N/A,#N/A,FALSE,"Leistungen Plan";#N/A,#N/A,FALSE,"KA Allg.Kosten (2)";#N/A,#N/A,FALSE,"KA All.Kosten"}</definedName>
    <definedName name="wwww" hidden="1">{#N/A,#N/A,FALSE,"Produkte Erw.";#N/A,#N/A,FALSE,"Produkte Plan";#N/A,#N/A,FALSE,"Leistungen Erw.";#N/A,#N/A,FALSE,"Leistungen Plan";#N/A,#N/A,FALSE,"KA Allg.Kosten (2)";#N/A,#N/A,FALSE,"KA All.Kosten"}</definedName>
    <definedName name="wwww_1" localSheetId="8" hidden="1">{"inputs raw data",#N/A,TRUE,"INPUT"}</definedName>
    <definedName name="wwww_1" hidden="1">{"inputs raw data",#N/A,TRUE,"INPUT"}</definedName>
    <definedName name="wwwww" localSheetId="8" hidden="1">{#N/A,#N/A,TRUE,"Allacciamenti 5 anni";#N/A,#N/A,TRUE,"Carico 5 anni";#N/A,#N/A,TRUE,"Qualità a) 5 anni";#N/A,#N/A,TRUE,"Qualità b) 5 anni";#N/A,#N/A,TRUE,"Impatto ambientale 5 anni";#N/A,#N/A,TRUE,"Adeg. tecnico 5 anni"}</definedName>
    <definedName name="wwwww" hidden="1">{#N/A,#N/A,TRUE,"Allacciamenti 5 anni";#N/A,#N/A,TRUE,"Carico 5 anni";#N/A,#N/A,TRUE,"Qualità a) 5 anni";#N/A,#N/A,TRUE,"Qualità b) 5 anni";#N/A,#N/A,TRUE,"Impatto ambientale 5 anni";#N/A,#N/A,TRUE,"Adeg. tecnico 5 anni"}</definedName>
    <definedName name="wwwww_1" localSheetId="8" hidden="1">{#N/A,#N/A,TRUE,"Allacciamenti 5 anni";#N/A,#N/A,TRUE,"Carico 5 anni";#N/A,#N/A,TRUE,"Qualità a) 5 anni";#N/A,#N/A,TRUE,"Qualità b) 5 anni";#N/A,#N/A,TRUE,"Impatto ambientale 5 anni";#N/A,#N/A,TRUE,"Adeg. tecnico 5 anni"}</definedName>
    <definedName name="wwwww_1" hidden="1">{#N/A,#N/A,TRUE,"Allacciamenti 5 anni";#N/A,#N/A,TRUE,"Carico 5 anni";#N/A,#N/A,TRUE,"Qualità a) 5 anni";#N/A,#N/A,TRUE,"Qualità b) 5 anni";#N/A,#N/A,TRUE,"Impatto ambientale 5 anni";#N/A,#N/A,TRUE,"Adeg. tecnico 5 anni"}</definedName>
    <definedName name="wwwwwwwww" localSheetId="8" hidden="1">{"YTD",#N/A,FALSE,"SUM"}</definedName>
    <definedName name="wwwwwwwww" hidden="1">{"YTD",#N/A,FALSE,"SUM"}</definedName>
    <definedName name="wwwwwwwww1" localSheetId="8" hidden="1">{#N/A,#N/A,TRUE,"Allacciamenti 5 anni";#N/A,#N/A,TRUE,"Carico 5 anni";#N/A,#N/A,TRUE,"Qualità a) 5 anni";#N/A,#N/A,TRUE,"Qualità b) 5 anni";#N/A,#N/A,TRUE,"Impatto ambientale 5 anni";#N/A,#N/A,TRUE,"Adeg. tecnico 5 anni"}</definedName>
    <definedName name="wwwwwwwww1" hidden="1">{#N/A,#N/A,TRUE,"Allacciamenti 5 anni";#N/A,#N/A,TRUE,"Carico 5 anni";#N/A,#N/A,TRUE,"Qualità a) 5 anni";#N/A,#N/A,TRUE,"Qualità b) 5 anni";#N/A,#N/A,TRUE,"Impatto ambientale 5 anni";#N/A,#N/A,TRUE,"Adeg. tecnico 5 anni"}</definedName>
    <definedName name="wwwwwwwww1_1" localSheetId="8" hidden="1">{#N/A,#N/A,TRUE,"Allacciamenti 5 anni";#N/A,#N/A,TRUE,"Carico 5 anni";#N/A,#N/A,TRUE,"Qualità a) 5 anni";#N/A,#N/A,TRUE,"Qualità b) 5 anni";#N/A,#N/A,TRUE,"Impatto ambientale 5 anni";#N/A,#N/A,TRUE,"Adeg. tecnico 5 anni"}</definedName>
    <definedName name="wwwwwwwww1_1" hidden="1">{#N/A,#N/A,TRUE,"Allacciamenti 5 anni";#N/A,#N/A,TRUE,"Carico 5 anni";#N/A,#N/A,TRUE,"Qualità a) 5 anni";#N/A,#N/A,TRUE,"Qualità b) 5 anni";#N/A,#N/A,TRUE,"Impatto ambientale 5 anni";#N/A,#N/A,TRUE,"Adeg. tecnico 5 anni"}</definedName>
    <definedName name="wwwwwwwwwww" localSheetId="8" hidden="1">{"YD PACKAGE",#N/A,FALSE,"YTD"}</definedName>
    <definedName name="wwwwwwwwwww" hidden="1">{"YD PACKAGE",#N/A,FALSE,"YTD"}</definedName>
    <definedName name="wwwwwwwwwwww" localSheetId="8" hidden="1">{#N/A,#N/A,TRUE,"Allacciamenti 5 anni";#N/A,#N/A,TRUE,"Carico 5 anni";#N/A,#N/A,TRUE,"Qualità a) 5 anni";#N/A,#N/A,TRUE,"Qualità b) 5 anni";#N/A,#N/A,TRUE,"Impatto ambientale 5 anni";#N/A,#N/A,TRUE,"Adeg. tecnico 5 anni"}</definedName>
    <definedName name="wwwwwwwwwwww" hidden="1">{#N/A,#N/A,TRUE,"Allacciamenti 5 anni";#N/A,#N/A,TRUE,"Carico 5 anni";#N/A,#N/A,TRUE,"Qualità a) 5 anni";#N/A,#N/A,TRUE,"Qualità b) 5 anni";#N/A,#N/A,TRUE,"Impatto ambientale 5 anni";#N/A,#N/A,TRUE,"Adeg. tecnico 5 anni"}</definedName>
    <definedName name="wwwwwwwwwwww_1" localSheetId="8" hidden="1">{#N/A,#N/A,TRUE,"Allacciamenti 5 anni";#N/A,#N/A,TRUE,"Carico 5 anni";#N/A,#N/A,TRUE,"Qualità a) 5 anni";#N/A,#N/A,TRUE,"Qualità b) 5 anni";#N/A,#N/A,TRUE,"Impatto ambientale 5 anni";#N/A,#N/A,TRUE,"Adeg. tecnico 5 anni"}</definedName>
    <definedName name="wwwwwwwwwwww_1" hidden="1">{#N/A,#N/A,TRUE,"Allacciamenti 5 anni";#N/A,#N/A,TRUE,"Carico 5 anni";#N/A,#N/A,TRUE,"Qualità a) 5 anni";#N/A,#N/A,TRUE,"Qualità b) 5 anni";#N/A,#N/A,TRUE,"Impatto ambientale 5 anni";#N/A,#N/A,TRUE,"Adeg. tecnico 5 anni"}</definedName>
    <definedName name="wwwwwwwwwwwwww" localSheetId="8" hidden="1">{"detail",#N/A,FALSE,"mfg";"summary",#N/A,FALSE,"mfg"}</definedName>
    <definedName name="wwwwwwwwwwwwww" hidden="1">{"detail",#N/A,FALSE,"mfg";"summary",#N/A,FALSE,"mfg"}</definedName>
    <definedName name="wwwwwwwwwwwwwwwwwww" localSheetId="8" hidden="1">{"Ergebnisbericht_UBA",#N/A,FALSE,"MB"}</definedName>
    <definedName name="wwwwwwwwwwwwwwwwwww" hidden="1">{"Ergebnisbericht_UBA",#N/A,FALSE,"MB"}</definedName>
    <definedName name="wwwwwwwwwwwwwwwwwww_1" localSheetId="8" hidden="1">{"Ergebnisbericht_UBA",#N/A,FALSE,"MB"}</definedName>
    <definedName name="wwwwwwwwwwwwwwwwwww_1" hidden="1">{"Ergebnisbericht_UBA",#N/A,FALSE,"MB"}</definedName>
    <definedName name="wx" localSheetId="7" hidden="1">{#N/A,#N/A,FALSE,"Pharm";#N/A,#N/A,FALSE,"WWCM"}</definedName>
    <definedName name="wx" localSheetId="8" hidden="1">{#N/A,#N/A,FALSE,"Pharm";#N/A,#N/A,FALSE,"WWCM"}</definedName>
    <definedName name="wx" hidden="1">{#N/A,#N/A,FALSE,"Pharm";#N/A,#N/A,FALSE,"WWCM"}</definedName>
    <definedName name="wxqfew" localSheetId="8" hidden="1">{#N/A,#N/A,FALSE,"cover";#N/A,#N/A,FALSE,"Content ";#N/A,#N/A,FALSE,"E&amp;C Op Stat";#N/A,#N/A,FALSE,"Telcos Op Stat";#N/A,#N/A,FALSE,"Media Op Stat";#N/A,#N/A,FALSE,"Oil Op Stat";#N/A,#N/A,FALSE,"Utilities Op Stat";#N/A,#N/A,FALSE,"E&amp;C Ord An";#N/A,#N/A,FALSE,"E&amp;C Debt Nar";#N/A,#N/A,FALSE,"E&amp;C Debtors";#N/A,#N/A,FALSE,"E&amp;C CO Debt";#N/A,#N/A,FALSE,"Telcos Presales";#N/A,#N/A,FALSE,"Oil Presales";#N/A,#N/A,FALSE,"Utilities Presales"}</definedName>
    <definedName name="wxqfew" hidden="1">{#N/A,#N/A,FALSE,"cover";#N/A,#N/A,FALSE,"Content ";#N/A,#N/A,FALSE,"E&amp;C Op Stat";#N/A,#N/A,FALSE,"Telcos Op Stat";#N/A,#N/A,FALSE,"Media Op Stat";#N/A,#N/A,FALSE,"Oil Op Stat";#N/A,#N/A,FALSE,"Utilities Op Stat";#N/A,#N/A,FALSE,"E&amp;C Ord An";#N/A,#N/A,FALSE,"E&amp;C Debt Nar";#N/A,#N/A,FALSE,"E&amp;C Debtors";#N/A,#N/A,FALSE,"E&amp;C CO Debt";#N/A,#N/A,FALSE,"Telcos Presales";#N/A,#N/A,FALSE,"Oil Presales";#N/A,#N/A,FALSE,"Utilities Presales"}</definedName>
    <definedName name="x" localSheetId="7" hidden="1">{#N/A,#N/A,FALSE,"P&amp;L Variance";#N/A,#N/A,FALSE,"Location P&amp;L (Actual)";#N/A,#N/A,FALSE,"Location P&amp;L (Budget)";#N/A,#N/A,FALSE,"Location P&amp;L (Variance)";#N/A,#N/A,FALSE,"By Month P&amp;L"}</definedName>
    <definedName name="x" localSheetId="8" hidden="1">{#N/A,#N/A,FALSE,"P&amp;L Variance";#N/A,#N/A,FALSE,"Location P&amp;L (Actual)";#N/A,#N/A,FALSE,"Location P&amp;L (Budget)";#N/A,#N/A,FALSE,"Location P&amp;L (Variance)";#N/A,#N/A,FALSE,"By Month P&amp;L"}</definedName>
    <definedName name="x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xb" localSheetId="8" hidden="1">{"BA detail",#N/A,FALSE,"Q3YTD "}</definedName>
    <definedName name="xb" hidden="1">{"BA detail",#N/A,FALSE,"Q3YTD "}</definedName>
    <definedName name="xc" localSheetId="8" hidden="1">{"ICD Details",#N/A,FALSE,"Current Yr";"ICD Details",#N/A,FALSE,"Budget";"ICD Details",#N/A,FALSE,"Prior Year"}</definedName>
    <definedName name="xc" hidden="1">{"ICD Details",#N/A,FALSE,"Current Yr";"ICD Details",#N/A,FALSE,"Budget";"ICD Details",#N/A,FALSE,"Prior Year"}</definedName>
    <definedName name="xccvbcbvcb" localSheetId="8" hidden="1">{"comps2",#N/A,FALSE,"AERO";"footnotes",#N/A,FALSE,"AERO"}</definedName>
    <definedName name="xccvbcbvcb" hidden="1">{"comps2",#N/A,FALSE,"AERO";"footnotes",#N/A,FALSE,"AERO"}</definedName>
    <definedName name="xccvbcbvcb_1" localSheetId="8" hidden="1">{"comps2",#N/A,FALSE,"AERO";"footnotes",#N/A,FALSE,"AERO"}</definedName>
    <definedName name="xccvbcbvcb_1" hidden="1">{"comps2",#N/A,FALSE,"AERO";"footnotes",#N/A,FALSE,"AERO"}</definedName>
    <definedName name="XCFDSA" localSheetId="8" hidden="1">{#N/A,#N/A,FALSE,"Centres";#N/A,#N/A,FALSE,"Partenariats";#N/A,#N/A,FALSE,"P.Diverses";#N/A,#N/A,FALSE,"Adm";#N/A,#N/A,FALSE,"Autres R-D";#N/A,#N/A,FALSE,"Intérêts"}</definedName>
    <definedName name="XCFDSA" hidden="1">{#N/A,#N/A,FALSE,"Centres";#N/A,#N/A,FALSE,"Partenariats";#N/A,#N/A,FALSE,"P.Diverses";#N/A,#N/A,FALSE,"Adm";#N/A,#N/A,FALSE,"Autres R-D";#N/A,#N/A,FALSE,"Intérêts"}</definedName>
    <definedName name="xchart1" localSheetId="8" hidden="1">#REF!</definedName>
    <definedName name="xchart1" hidden="1">#REF!</definedName>
    <definedName name="xchart2" localSheetId="8" hidden="1">#REF!</definedName>
    <definedName name="xchart2" hidden="1">#REF!</definedName>
    <definedName name="xchart3" localSheetId="8" hidden="1">#REF!</definedName>
    <definedName name="xchart3" hidden="1">#REF!</definedName>
    <definedName name="xchart4" hidden="1">#REF!</definedName>
    <definedName name="xchart5" hidden="1">#REF!</definedName>
    <definedName name="xcsdef" localSheetId="8" hidden="1">{#N/A,#N/A,FALSE,"REPORT"}</definedName>
    <definedName name="xcsdef" hidden="1">{#N/A,#N/A,FALSE,"REPORT"}</definedName>
    <definedName name="xcv" localSheetId="7" hidden="1">{#N/A,#N/A,FALSE,"Pharm";#N/A,#N/A,FALSE,"WWCM"}</definedName>
    <definedName name="xcv" localSheetId="8" hidden="1">{#N/A,#N/A,FALSE,"Pharm";#N/A,#N/A,FALSE,"WWCM"}</definedName>
    <definedName name="xcv" hidden="1">{#N/A,#N/A,FALSE,"Pharm";#N/A,#N/A,FALSE,"WWCM"}</definedName>
    <definedName name="xcvbxcvbcx" localSheetId="8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xcvbxcvbcx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xcxc" localSheetId="8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xcxc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XE" localSheetId="8" hidden="1">{#N/A,#N/A,FALSE,"Centres";#N/A,#N/A,FALSE,"Partenariats";#N/A,#N/A,FALSE,"P.Diverses";#N/A,#N/A,FALSE,"Adm";#N/A,#N/A,FALSE,"Autres R-D";#N/A,#N/A,FALSE,"Intérêts"}</definedName>
    <definedName name="XE" hidden="1">{#N/A,#N/A,FALSE,"Centres";#N/A,#N/A,FALSE,"Partenariats";#N/A,#N/A,FALSE,"P.Diverses";#N/A,#N/A,FALSE,"Adm";#N/A,#N/A,FALSE,"Autres R-D";#N/A,#N/A,FALSE,"Intérêts"}</definedName>
    <definedName name="xf" hidden="1">#REF!</definedName>
    <definedName name="XG" localSheetId="8" hidden="1">{#N/A,#N/A,FALSE,"IC Annex";#N/A,#N/A,FALSE,"Sensitivity";#N/A,#N/A,FALSE,"P&amp;L";#N/A,#N/A,FALSE,"Balance Sheet";#N/A,#N/A,FALSE,"Cash Flow";#N/A,#N/A,FALSE,"Key Assumptions";#N/A,#N/A,FALSE,"Global Assumptions";#N/A,#N/A,FALSE,"Graphs"}</definedName>
    <definedName name="XG" hidden="1">{#N/A,#N/A,FALSE,"IC Annex";#N/A,#N/A,FALSE,"Sensitivity";#N/A,#N/A,FALSE,"P&amp;L";#N/A,#N/A,FALSE,"Balance Sheet";#N/A,#N/A,FALSE,"Cash Flow";#N/A,#N/A,FALSE,"Key Assumptions";#N/A,#N/A,FALSE,"Global Assumptions";#N/A,#N/A,FALSE,"Graphs"}</definedName>
    <definedName name="xkjs" localSheetId="8" hidden="1">{#N/A,#N/A,FALSE,"Customer Ops";#N/A,#N/A,FALSE,"Field Ops";#N/A,#N/A,FALSE,"Ops Management";#N/A,#N/A,FALSE,"Contact Centre";#N/A,#N/A,FALSE,"Credit Services";#N/A,#N/A,FALSE,"Horizon"}</definedName>
    <definedName name="xkjs" hidden="1">{#N/A,#N/A,FALSE,"Customer Ops";#N/A,#N/A,FALSE,"Field Ops";#N/A,#N/A,FALSE,"Ops Management";#N/A,#N/A,FALSE,"Contact Centre";#N/A,#N/A,FALSE,"Credit Services";#N/A,#N/A,FALSE,"Horizon"}</definedName>
    <definedName name="XLRPARAMS_DataGenerazione" hidden="1">#REF!</definedName>
    <definedName name="XLRPARAMS_LanTotale" hidden="1">#REF!</definedName>
    <definedName name="XLRPARAMS_PeriodoFine" hidden="1">#REF!</definedName>
    <definedName name="XLRPARAMS_PeriodoInizio" hidden="1">#REF!</definedName>
    <definedName name="xlx" localSheetId="8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xlx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XMXKIJO" localSheetId="8" hidden="1">{#N/A,#N/A,FALSE,"cover";#N/A,#N/A,FALSE,"Content ";#N/A,#N/A,FALSE,"E&amp;C Op Stat";#N/A,#N/A,FALSE,"Telcos Op Stat";#N/A,#N/A,FALSE,"Media Op Stat";#N/A,#N/A,FALSE,"Oil Op Stat";#N/A,#N/A,FALSE,"Utilities Op Stat";#N/A,#N/A,FALSE,"E&amp;C Ord An";#N/A,#N/A,FALSE,"E&amp;C Debt Nar";#N/A,#N/A,FALSE,"E&amp;C Debtors";#N/A,#N/A,FALSE,"E&amp;C CO Debt";#N/A,#N/A,FALSE,"Telcos Presales";#N/A,#N/A,FALSE,"Oil Presales";#N/A,#N/A,FALSE,"Utilities Presales"}</definedName>
    <definedName name="XMXKIJO" hidden="1">{#N/A,#N/A,FALSE,"cover";#N/A,#N/A,FALSE,"Content ";#N/A,#N/A,FALSE,"E&amp;C Op Stat";#N/A,#N/A,FALSE,"Telcos Op Stat";#N/A,#N/A,FALSE,"Media Op Stat";#N/A,#N/A,FALSE,"Oil Op Stat";#N/A,#N/A,FALSE,"Utilities Op Stat";#N/A,#N/A,FALSE,"E&amp;C Ord An";#N/A,#N/A,FALSE,"E&amp;C Debt Nar";#N/A,#N/A,FALSE,"E&amp;C Debtors";#N/A,#N/A,FALSE,"E&amp;C CO Debt";#N/A,#N/A,FALSE,"Telcos Presales";#N/A,#N/A,FALSE,"Oil Presales";#N/A,#N/A,FALSE,"Utilities Presales"}</definedName>
    <definedName name="xn" localSheetId="8" hidden="1">{"oct_res_comm",#N/A,FALSE,"VarToBud"}</definedName>
    <definedName name="xn" hidden="1">{"oct_res_comm",#N/A,FALSE,"VarToBud"}</definedName>
    <definedName name="xpr" localSheetId="8" hidden="1">{"Area1",#N/A,FALSE,"OREWACC";"Area2",#N/A,FALSE,"OREWACC"}</definedName>
    <definedName name="xpr" hidden="1">{"Area1",#N/A,FALSE,"OREWACC";"Area2",#N/A,FALSE,"OREWACC"}</definedName>
    <definedName name="XREF_COLUMN_1" localSheetId="7" hidden="1">#REF!</definedName>
    <definedName name="XREF_COLUMN_1" localSheetId="8" hidden="1">#REF!</definedName>
    <definedName name="XREF_COLUMN_1" hidden="1">#REF!</definedName>
    <definedName name="XREF_COLUMN_10" localSheetId="7" hidden="1">#REF!</definedName>
    <definedName name="XREF_COLUMN_10" localSheetId="8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7" localSheetId="7" hidden="1">#REF!</definedName>
    <definedName name="XREF_COLUMN_17" localSheetId="8" hidden="1">#REF!</definedName>
    <definedName name="XREF_COLUMN_17" hidden="1">#REF!</definedName>
    <definedName name="XREF_COLUMN_18" hidden="1">#REF!</definedName>
    <definedName name="XREF_COLUMN_19" hidden="1">#REF!</definedName>
    <definedName name="XREF_COLUMN_2" localSheetId="7" hidden="1">#REF!</definedName>
    <definedName name="XREF_COLUMN_2" hidden="1">#REF!</definedName>
    <definedName name="XREF_COLUMN_20" hidden="1">#REF!</definedName>
    <definedName name="XREF_COLUMN_21" hidden="1">#REF!</definedName>
    <definedName name="XREF_COLUMN_23" hidden="1">#REF!</definedName>
    <definedName name="XREF_COLUMN_26" hidden="1">#REF!</definedName>
    <definedName name="XREF_COLUMN_28" hidden="1">#REF!</definedName>
    <definedName name="XREF_COLUMN_29" hidden="1">#REF!</definedName>
    <definedName name="XREF_COLUMN_3" localSheetId="7" hidden="1">#REF!</definedName>
    <definedName name="XREF_COLUMN_3" hidden="1">#REF!</definedName>
    <definedName name="XREF_COLUMN_30" hidden="1">#REF!</definedName>
    <definedName name="XREF_COLUMN_36" hidden="1">#REF!</definedName>
    <definedName name="XREF_COLUMN_38" hidden="1">#REF!</definedName>
    <definedName name="XREF_COLUMN_39" hidden="1">#REF!</definedName>
    <definedName name="XREF_COLUMN_4" hidden="1">#REF!</definedName>
    <definedName name="XREF_COLUMN_40" hidden="1">#REF!</definedName>
    <definedName name="XREF_COLUMN_41" hidden="1">#REF!</definedName>
    <definedName name="XREF_COLUMN_5" localSheetId="7" hidden="1">#REF!</definedName>
    <definedName name="XREF_COLUMN_5" localSheetId="8" hidden="1">#REF!</definedName>
    <definedName name="XREF_COLUMN_5" hidden="1">#REF!</definedName>
    <definedName name="XREF_COLUMN_6" localSheetId="7" hidden="1">#REF!</definedName>
    <definedName name="XREF_COLUMN_6" localSheetId="8" hidden="1">#REF!</definedName>
    <definedName name="XREF_COLUMN_6" hidden="1">#REF!</definedName>
    <definedName name="XREF_COLUMN_7" localSheetId="7" hidden="1">#REF!</definedName>
    <definedName name="XREF_COLUMN_7" localSheetId="8" hidden="1">#REF!</definedName>
    <definedName name="XREF_COLUMN_7" hidden="1">#REF!</definedName>
    <definedName name="XREF_COLUMN_8" localSheetId="7" hidden="1">#REF!</definedName>
    <definedName name="XREF_COLUMN_8" localSheetId="8" hidden="1">#REF!</definedName>
    <definedName name="XREF_COLUMN_8" hidden="1">#REF!</definedName>
    <definedName name="XREF_COLUMN_9" localSheetId="7" hidden="1">#REF!</definedName>
    <definedName name="XREF_COLUMN_9" localSheetId="8" hidden="1">#REF!</definedName>
    <definedName name="XREF_COLUMN_9" hidden="1">#REF!</definedName>
    <definedName name="XRefActiveRow" localSheetId="7" hidden="1">#REF!</definedName>
    <definedName name="XRefActiveRow" hidden="1">#REF!</definedName>
    <definedName name="XRefColumnsCount" localSheetId="7" hidden="1">1</definedName>
    <definedName name="XRefColumnsCount" localSheetId="8" hidden="1">1</definedName>
    <definedName name="XRefColumnsCount" hidden="1">2</definedName>
    <definedName name="XRefCopy1" localSheetId="7" hidden="1">#REF!</definedName>
    <definedName name="XRefCopy1" hidden="1">#REF!</definedName>
    <definedName name="XRefCopy10" hidden="1">#REF!</definedName>
    <definedName name="XRefCopy100Row" hidden="1">#REF!</definedName>
    <definedName name="XRefCopy104" hidden="1">#REF!</definedName>
    <definedName name="XRefCopy104Row" hidden="1">#REF!</definedName>
    <definedName name="XRefCopy105" hidden="1">#REF!</definedName>
    <definedName name="XRefCopy105Row" hidden="1">#REF!</definedName>
    <definedName name="XRefCopy106" hidden="1">#REF!</definedName>
    <definedName name="XRefCopy106Row" hidden="1">#REF!</definedName>
    <definedName name="XRefCopy107" hidden="1">#REF!</definedName>
    <definedName name="XRefCopy107Row" hidden="1">#REF!</definedName>
    <definedName name="XRefCopy108" hidden="1">#REF!</definedName>
    <definedName name="XRefCopy108Row" hidden="1">#REF!</definedName>
    <definedName name="XRefCopy109" hidden="1">#REF!</definedName>
    <definedName name="XRefCopy109Row" hidden="1">#REF!</definedName>
    <definedName name="XRefCopy10Row" hidden="1">#REF!</definedName>
    <definedName name="XRefCopy11" hidden="1">#REF!</definedName>
    <definedName name="XRefCopy111" hidden="1">#REF!</definedName>
    <definedName name="XRefCopy111Row" hidden="1">#REF!</definedName>
    <definedName name="XRefCopy112" hidden="1">#REF!</definedName>
    <definedName name="XRefCopy112Row" hidden="1">#REF!</definedName>
    <definedName name="XRefCopy113" hidden="1">#REF!</definedName>
    <definedName name="XRefCopy113Row" hidden="1">#REF!</definedName>
    <definedName name="XRefCopy119Row" hidden="1">#REF!</definedName>
    <definedName name="XRefCopy11Row" hidden="1">#REF!</definedName>
    <definedName name="XRefCopy12" hidden="1">#REF!</definedName>
    <definedName name="XRefCopy120Row" hidden="1">#REF!</definedName>
    <definedName name="XRefCopy121Row" hidden="1">#REF!</definedName>
    <definedName name="XRefCopy122Row" hidden="1">#REF!</definedName>
    <definedName name="XRefCopy127Row" hidden="1">#REF!</definedName>
    <definedName name="XRefCopy128Row" hidden="1">#REF!</definedName>
    <definedName name="XRefCopy129Row" hidden="1">#REF!</definedName>
    <definedName name="XRefCopy12Row" hidden="1">#REF!</definedName>
    <definedName name="XRefCopy13" hidden="1">#REF!</definedName>
    <definedName name="XRefCopy130Row" hidden="1">#REF!</definedName>
    <definedName name="XRefCopy131Row" hidden="1">#REF!</definedName>
    <definedName name="XRefCopy132Row" hidden="1">#REF!</definedName>
    <definedName name="XRefCopy133Row" hidden="1">#REF!</definedName>
    <definedName name="XRefCopy134Row" hidden="1">#REF!</definedName>
    <definedName name="XRefCopy135Row" hidden="1">#REF!</definedName>
    <definedName name="XRefCopy138Row" hidden="1">#REF!</definedName>
    <definedName name="XRefCopy139Row" hidden="1">#REF!</definedName>
    <definedName name="XRefCopy13Row" hidden="1">#REF!</definedName>
    <definedName name="XRefCopy14" hidden="1">#REF!</definedName>
    <definedName name="XRefCopy140" hidden="1">#REF!</definedName>
    <definedName name="XRefCopy140Row" hidden="1">#REF!</definedName>
    <definedName name="XRefCopy141" hidden="1">#REF!</definedName>
    <definedName name="XRefCopy141Row" hidden="1">#REF!</definedName>
    <definedName name="XRefCopy142" hidden="1">#REF!</definedName>
    <definedName name="XRefCopy142Row" hidden="1">#REF!</definedName>
    <definedName name="XRefCopy143" hidden="1">#REF!</definedName>
    <definedName name="XRefCopy143Row" hidden="1">#REF!</definedName>
    <definedName name="XRefCopy144" hidden="1">#REF!</definedName>
    <definedName name="XRefCopy144Row" hidden="1">#REF!</definedName>
    <definedName name="XRefCopy145" hidden="1">#REF!</definedName>
    <definedName name="XRefCopy145Row" hidden="1">#REF!</definedName>
    <definedName name="XRefCopy146" hidden="1">#REF!</definedName>
    <definedName name="XRefCopy146Row" hidden="1">#REF!</definedName>
    <definedName name="XRefCopy147" hidden="1">#REF!</definedName>
    <definedName name="XRefCopy147Row" hidden="1">#REF!</definedName>
    <definedName name="XRefCopy148" hidden="1">#REF!</definedName>
    <definedName name="XRefCopy148Row" hidden="1">#REF!</definedName>
    <definedName name="XRefCopy149" hidden="1">#REF!</definedName>
    <definedName name="XRefCopy149Row" hidden="1">#REF!</definedName>
    <definedName name="XRefCopy14Row" localSheetId="7" hidden="1">#REF!</definedName>
    <definedName name="XRefCopy14Row" localSheetId="8" hidden="1">#REF!</definedName>
    <definedName name="XRefCopy14Row" hidden="1">#REF!</definedName>
    <definedName name="XRefCopy15" hidden="1">#REF!</definedName>
    <definedName name="XRefCopy150" hidden="1">#REF!</definedName>
    <definedName name="XRefCopy150Row" hidden="1">#REF!</definedName>
    <definedName name="XRefCopy151" hidden="1">#REF!</definedName>
    <definedName name="XRefCopy151Row" hidden="1">#REF!</definedName>
    <definedName name="XRefCopy152" hidden="1">#REF!</definedName>
    <definedName name="XRefCopy152Row" hidden="1">#REF!</definedName>
    <definedName name="XRefCopy153" hidden="1">#REF!</definedName>
    <definedName name="XRefCopy153Row" hidden="1">#REF!</definedName>
    <definedName name="XRefCopy154" hidden="1">#REF!</definedName>
    <definedName name="XRefCopy154Row" hidden="1">#REF!</definedName>
    <definedName name="XRefCopy155" hidden="1">#REF!</definedName>
    <definedName name="XRefCopy155Row" hidden="1">#REF!</definedName>
    <definedName name="XRefCopy156Row" hidden="1">#REF!</definedName>
    <definedName name="XRefCopy157Row" hidden="1">#REF!</definedName>
    <definedName name="XRefCopy158Row" hidden="1">#REF!</definedName>
    <definedName name="XRefCopy159Row" hidden="1">#REF!</definedName>
    <definedName name="XRefCopy15Row" localSheetId="7" hidden="1">#REF!</definedName>
    <definedName name="XRefCopy15Row" localSheetId="8" hidden="1">#REF!</definedName>
    <definedName name="XRefCopy15Row" hidden="1">#REF!</definedName>
    <definedName name="XRefCopy16" hidden="1">#REF!</definedName>
    <definedName name="XRefCopy160Row" hidden="1">#REF!</definedName>
    <definedName name="XRefCopy162Row" hidden="1">#REF!</definedName>
    <definedName name="XRefCopy163Row" hidden="1">#REF!</definedName>
    <definedName name="XRefCopy164Row" hidden="1">#REF!</definedName>
    <definedName name="XRefCopy165Row" hidden="1">#REF!</definedName>
    <definedName name="XRefCopy166Row" hidden="1">#REF!</definedName>
    <definedName name="XRefCopy167Row" hidden="1">#REF!</definedName>
    <definedName name="XRefCopy168Row" hidden="1">#REF!</definedName>
    <definedName name="XRefCopy169" hidden="1">#REF!</definedName>
    <definedName name="XRefCopy169Row" hidden="1">#REF!</definedName>
    <definedName name="XRefCopy16Row" hidden="1">#REF!</definedName>
    <definedName name="XRefCopy17" hidden="1">#REF!</definedName>
    <definedName name="XRefCopy172Row" hidden="1">#REF!</definedName>
    <definedName name="XRefCopy173Row" hidden="1">#REF!</definedName>
    <definedName name="XRefCopy174" hidden="1">#REF!</definedName>
    <definedName name="XRefCopy174Row" hidden="1">#REF!</definedName>
    <definedName name="XRefCopy175" hidden="1">#REF!</definedName>
    <definedName name="XRefCopy175Row" hidden="1">#REF!</definedName>
    <definedName name="XRefCopy176" hidden="1">#REF!</definedName>
    <definedName name="XRefCopy176Row" hidden="1">#REF!</definedName>
    <definedName name="XRefCopy177Row" hidden="1">#REF!</definedName>
    <definedName name="XRefCopy178Row" hidden="1">#REF!</definedName>
    <definedName name="XRefCopy17Row" localSheetId="7" hidden="1">#REF!</definedName>
    <definedName name="XRefCopy17Row" localSheetId="8" hidden="1">#REF!</definedName>
    <definedName name="XRefCopy17Row" hidden="1">#REF!</definedName>
    <definedName name="XRefCopy18" hidden="1">#REF!</definedName>
    <definedName name="XRefCopy180Row" hidden="1">#REF!</definedName>
    <definedName name="XRefCopy182Row" hidden="1">#REF!</definedName>
    <definedName name="XRefCopy185Row" hidden="1">#REF!</definedName>
    <definedName name="XRefCopy187Row" hidden="1">#REF!</definedName>
    <definedName name="XRefCopy188" hidden="1">#REF!</definedName>
    <definedName name="XRefCopy188Row" hidden="1">#REF!</definedName>
    <definedName name="XRefCopy18Row" hidden="1">#REF!</definedName>
    <definedName name="XRefCopy19" hidden="1">#REF!</definedName>
    <definedName name="XRefCopy190Row" hidden="1">#REF!</definedName>
    <definedName name="XRefCopy194Row" hidden="1">#REF!</definedName>
    <definedName name="XRefCopy195Row" hidden="1">#REF!</definedName>
    <definedName name="XRefCopy19Row" localSheetId="7" hidden="1">#REF!</definedName>
    <definedName name="XRefCopy19Row" localSheetId="8" hidden="1">#REF!</definedName>
    <definedName name="XRefCopy19Row" hidden="1">#REF!</definedName>
    <definedName name="XRefCopy1Row" localSheetId="7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localSheetId="7" hidden="1">#REF!</definedName>
    <definedName name="XRefCopy23Row" localSheetId="8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6Row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localSheetId="7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" localSheetId="7" hidden="1">#REF!</definedName>
    <definedName name="XRefCopy4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" hidden="1">#REF!</definedName>
    <definedName name="XRefCopy49Row" hidden="1">#REF!</definedName>
    <definedName name="XRefCopy4Row" hidden="1">#REF!</definedName>
    <definedName name="XRefCopy5" localSheetId="7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8Row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1" hidden="1">#REF!</definedName>
    <definedName name="XRefCopy61Row" hidden="1">#REF!</definedName>
    <definedName name="XRefCopy62" hidden="1">#REF!</definedName>
    <definedName name="XRefCopy62Row" hidden="1">#REF!</definedName>
    <definedName name="XRefCopy63" hidden="1">#REF!</definedName>
    <definedName name="XRefCopy63Row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6" hidden="1">#REF!</definedName>
    <definedName name="XRefCopy66Row" hidden="1">#REF!</definedName>
    <definedName name="XRefCopy67" hidden="1">#REF!</definedName>
    <definedName name="XRefCopy67Row" hidden="1">#REF!</definedName>
    <definedName name="XRefCopy68" hidden="1">#REF!</definedName>
    <definedName name="XRefCopy68Row" hidden="1">#REF!</definedName>
    <definedName name="XRefCopy69" hidden="1">#REF!</definedName>
    <definedName name="XRefCopy69Row" hidden="1">#REF!</definedName>
    <definedName name="XRefCopy6Row" hidden="1">#REF!</definedName>
    <definedName name="XRefCopy7" hidden="1">#REF!</definedName>
    <definedName name="XRefCopy70" hidden="1">#REF!</definedName>
    <definedName name="XRefCopy70Row" hidden="1">#REF!</definedName>
    <definedName name="XRefCopy71" hidden="1">#REF!</definedName>
    <definedName name="XRefCopy71Row" hidden="1">#REF!</definedName>
    <definedName name="XRefCopy72" hidden="1">#REF!</definedName>
    <definedName name="XRefCopy72Row" hidden="1">#REF!</definedName>
    <definedName name="XRefCopy73" hidden="1">#REF!</definedName>
    <definedName name="XRefCopy73Row" hidden="1">#REF!</definedName>
    <definedName name="XRefCopy74" hidden="1">#REF!</definedName>
    <definedName name="XRefCopy74Row" hidden="1">#REF!</definedName>
    <definedName name="XRefCopy75" hidden="1">#REF!</definedName>
    <definedName name="XRefCopy75Row" hidden="1">#REF!</definedName>
    <definedName name="XRefCopy76Row" hidden="1">#REF!</definedName>
    <definedName name="XRefCopy77Row" hidden="1">#REF!</definedName>
    <definedName name="XRefCopy78Row" hidden="1">#REF!</definedName>
    <definedName name="XRefCopy79Row" hidden="1">#REF!</definedName>
    <definedName name="XRefCopy7Row" localSheetId="7" hidden="1">#REF!</definedName>
    <definedName name="XRefCopy7Row" hidden="1">#REF!</definedName>
    <definedName name="XRefCopy8" localSheetId="7" hidden="1">#REF!</definedName>
    <definedName name="XRefCopy8" hidden="1">#REF!</definedName>
    <definedName name="XRefCopy80Row" hidden="1">#REF!</definedName>
    <definedName name="XRefCopy81Row" hidden="1">#REF!</definedName>
    <definedName name="XRefCopy83Row" hidden="1">#REF!</definedName>
    <definedName name="XRefCopy84Row" hidden="1">#REF!</definedName>
    <definedName name="XRefCopy85Row" hidden="1">#REF!</definedName>
    <definedName name="XRefCopy86" hidden="1">#REF!</definedName>
    <definedName name="XRefCopy86Row" hidden="1">#REF!</definedName>
    <definedName name="XRefCopy87Row" hidden="1">#REF!</definedName>
    <definedName name="XRefCopy88Row" hidden="1">#REF!</definedName>
    <definedName name="XRefCopy89Row" hidden="1">#REF!</definedName>
    <definedName name="XRefCopy8Row" localSheetId="7" hidden="1">#REF!</definedName>
    <definedName name="XRefCopy8Row" hidden="1">#REF!</definedName>
    <definedName name="XRefCopy9" hidden="1">#REF!</definedName>
    <definedName name="XRefCopy90Row" hidden="1">#REF!</definedName>
    <definedName name="XRefCopy91Row" hidden="1">#REF!</definedName>
    <definedName name="XRefCopy92Row" hidden="1">#REF!</definedName>
    <definedName name="XRefCopy93" hidden="1">#REF!</definedName>
    <definedName name="XRefCopy93Row" hidden="1">#REF!</definedName>
    <definedName name="XRefCopy94" hidden="1">#REF!</definedName>
    <definedName name="XRefCopy94Row" hidden="1">#REF!</definedName>
    <definedName name="XRefCopy95Row" hidden="1">#REF!</definedName>
    <definedName name="XRefCopy96Row" hidden="1">#REF!</definedName>
    <definedName name="XRefCopy97Row" hidden="1">#REF!</definedName>
    <definedName name="XRefCopy98Row" hidden="1">#REF!</definedName>
    <definedName name="XRefCopy99Row" hidden="1">#REF!</definedName>
    <definedName name="XRefCopy9Row" localSheetId="7" hidden="1">#REF!</definedName>
    <definedName name="XRefCopy9Row" localSheetId="8" hidden="1">#REF!</definedName>
    <definedName name="XRefCopy9Row" hidden="1">#REF!</definedName>
    <definedName name="XRefCopyRangeCount" localSheetId="8" hidden="1">2</definedName>
    <definedName name="XRefCopyRangeCount" hidden="1">3</definedName>
    <definedName name="XRefPaste1" localSheetId="7" hidden="1">#REF!</definedName>
    <definedName name="XRefPaste1" localSheetId="8" hidden="1">#REF!</definedName>
    <definedName name="XRefPaste1" hidden="1">#REF!</definedName>
    <definedName name="XRefPaste10" hidden="1">#REF!</definedName>
    <definedName name="XRefPaste101Row" hidden="1">#REF!</definedName>
    <definedName name="XRefPaste102Row" hidden="1">#REF!</definedName>
    <definedName name="XRefPaste103Row" hidden="1">#REF!</definedName>
    <definedName name="XRefPaste104Row" hidden="1">#REF!</definedName>
    <definedName name="XRefPaste105" hidden="1">#REF!</definedName>
    <definedName name="XRefPaste105Row" hidden="1">#REF!</definedName>
    <definedName name="XRefPaste106" hidden="1">#REF!</definedName>
    <definedName name="XRefPaste106Row" hidden="1">#REF!</definedName>
    <definedName name="XRefPaste107" hidden="1">#REF!</definedName>
    <definedName name="XRefPaste107Row" hidden="1">#REF!</definedName>
    <definedName name="XRefPaste108" hidden="1">#REF!</definedName>
    <definedName name="XRefPaste108Row" hidden="1">#REF!</definedName>
    <definedName name="XRefPaste109" hidden="1">#REF!</definedName>
    <definedName name="XRefPaste109Row" hidden="1">#REF!</definedName>
    <definedName name="XRefPaste10Row" localSheetId="7" hidden="1">#REF!</definedName>
    <definedName name="XRefPaste10Row" localSheetId="8" hidden="1">#REF!</definedName>
    <definedName name="XRefPaste10Row" hidden="1">#REF!</definedName>
    <definedName name="XRefPaste11" hidden="1">#REF!</definedName>
    <definedName name="XRefPaste110" hidden="1">#REF!</definedName>
    <definedName name="XRefPaste110Row" hidden="1">#REF!</definedName>
    <definedName name="XRefPaste111Row" hidden="1">#REF!</definedName>
    <definedName name="XRefPaste112" hidden="1">#REF!</definedName>
    <definedName name="XRefPaste112Row" hidden="1">#REF!</definedName>
    <definedName name="XRefPaste113Row" hidden="1">#REF!</definedName>
    <definedName name="XRefPaste114" hidden="1">#REF!</definedName>
    <definedName name="XRefPaste114Row" hidden="1">#REF!</definedName>
    <definedName name="XRefPaste115Row" hidden="1">#REF!</definedName>
    <definedName name="XRefPaste116Row" hidden="1">#REF!</definedName>
    <definedName name="XRefPaste117Row" hidden="1">#REF!</definedName>
    <definedName name="XRefPaste118Row" hidden="1">#REF!</definedName>
    <definedName name="XRefPaste119Row" hidden="1">#REF!</definedName>
    <definedName name="XRefPaste11Row" localSheetId="7" hidden="1">#REF!</definedName>
    <definedName name="XRefPaste11Row" localSheetId="8" hidden="1">#REF!</definedName>
    <definedName name="XRefPaste11Row" hidden="1">#REF!</definedName>
    <definedName name="XRefPaste12" hidden="1">#REF!</definedName>
    <definedName name="XRefPaste120Row" hidden="1">#REF!</definedName>
    <definedName name="XRefPaste121Row" hidden="1">#REF!</definedName>
    <definedName name="XRefPaste122" hidden="1">#REF!</definedName>
    <definedName name="XRefPaste122Row" hidden="1">#REF!</definedName>
    <definedName name="XRefPaste123" hidden="1">#REF!</definedName>
    <definedName name="XRefPaste123Row" hidden="1">#REF!</definedName>
    <definedName name="XRefPaste124" hidden="1">#REF!</definedName>
    <definedName name="XRefPaste124Row" hidden="1">#REF!</definedName>
    <definedName name="XRefPaste125" hidden="1">#REF!</definedName>
    <definedName name="XRefPaste125Row" hidden="1">#REF!</definedName>
    <definedName name="XRefPaste126" hidden="1">#REF!</definedName>
    <definedName name="XRefPaste126Row" hidden="1">#REF!</definedName>
    <definedName name="XRefPaste127" hidden="1">#REF!</definedName>
    <definedName name="XRefPaste127Row" hidden="1">#REF!</definedName>
    <definedName name="XRefPaste128" hidden="1">#REF!</definedName>
    <definedName name="XRefPaste128Row" hidden="1">#REF!</definedName>
    <definedName name="XRefPaste129" hidden="1">#REF!</definedName>
    <definedName name="XRefPaste129Row" hidden="1">#REF!</definedName>
    <definedName name="XRefPaste12Row" localSheetId="7" hidden="1">#REF!</definedName>
    <definedName name="XRefPaste12Row" hidden="1">#REF!</definedName>
    <definedName name="XRefPaste13" hidden="1">#REF!</definedName>
    <definedName name="XRefPaste130" hidden="1">#REF!</definedName>
    <definedName name="XRefPaste130Row" hidden="1">#REF!</definedName>
    <definedName name="XRefPaste131" hidden="1">#REF!</definedName>
    <definedName name="XRefPaste131Row" hidden="1">#REF!</definedName>
    <definedName name="XRefPaste132" hidden="1">#REF!</definedName>
    <definedName name="XRefPaste132Row" hidden="1">#REF!</definedName>
    <definedName name="XRefPaste133" hidden="1">#REF!</definedName>
    <definedName name="XRefPaste133Row" hidden="1">#REF!</definedName>
    <definedName name="XRefPaste134" hidden="1">#REF!</definedName>
    <definedName name="XRefPaste134Row" hidden="1">#REF!</definedName>
    <definedName name="XRefPaste135" hidden="1">#REF!</definedName>
    <definedName name="XRefPaste135Row" hidden="1">#REF!</definedName>
    <definedName name="XRefPaste136Row" hidden="1">#REF!</definedName>
    <definedName name="XRefPaste137Row" hidden="1">#REF!</definedName>
    <definedName name="XRefPaste138Row" hidden="1">#REF!</definedName>
    <definedName name="XRefPaste139Row" hidden="1">#REF!</definedName>
    <definedName name="XRefPaste13Row" hidden="1">#REF!</definedName>
    <definedName name="XRefPaste14" hidden="1">#REF!</definedName>
    <definedName name="XRefPaste140Row" hidden="1">#REF!</definedName>
    <definedName name="XRefPaste141Row" hidden="1">#REF!</definedName>
    <definedName name="XRefPaste142Row" hidden="1">#REF!</definedName>
    <definedName name="XRefPaste143Row" hidden="1">#REF!</definedName>
    <definedName name="XRefPaste144Row" hidden="1">#REF!</definedName>
    <definedName name="XRefPaste145Row" hidden="1">#REF!</definedName>
    <definedName name="XRefPaste146Row" hidden="1">#REF!</definedName>
    <definedName name="XRefPaste147" hidden="1">#REF!</definedName>
    <definedName name="XRefPaste147Row" hidden="1">#REF!</definedName>
    <definedName name="XRefPaste14Row" localSheetId="7" hidden="1">#REF!</definedName>
    <definedName name="XRefPaste14Row" hidden="1">#REF!</definedName>
    <definedName name="XRefPaste15" hidden="1">#REF!</definedName>
    <definedName name="XRefPaste15Row" localSheetId="7" hidden="1">#REF!</definedName>
    <definedName name="XRefPaste15Row" hidden="1">#REF!</definedName>
    <definedName name="XRefPaste16" hidden="1">#REF!</definedName>
    <definedName name="XRefPaste16Row" localSheetId="7" hidden="1">#REF!</definedName>
    <definedName name="XRefPaste16Row" hidden="1">#REF!</definedName>
    <definedName name="XRefPaste17" hidden="1">#REF!</definedName>
    <definedName name="XRefPaste17Row" localSheetId="7" hidden="1">#REF!</definedName>
    <definedName name="XRefPaste17Row" hidden="1">#REF!</definedName>
    <definedName name="XRefPaste18" hidden="1">#REF!</definedName>
    <definedName name="XRefPaste18Row" localSheetId="7" hidden="1">#REF!</definedName>
    <definedName name="XRefPaste18Row" hidden="1">#REF!</definedName>
    <definedName name="XRefPaste19" hidden="1">#REF!</definedName>
    <definedName name="XRefPaste19Row" localSheetId="7" hidden="1">#REF!</definedName>
    <definedName name="XRefPaste19Row" hidden="1">#REF!</definedName>
    <definedName name="XRefPaste1Row" localSheetId="7" hidden="1">#REF!</definedName>
    <definedName name="XRefPaste1Row" hidden="1">#REF!</definedName>
    <definedName name="XRefPaste2" localSheetId="7" hidden="1">#REF!</definedName>
    <definedName name="XRefPaste2" hidden="1">#REF!</definedName>
    <definedName name="XRefPaste20" hidden="1">#REF!</definedName>
    <definedName name="XRefPaste20Row" localSheetId="7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localSheetId="7" hidden="1">#REF!</definedName>
    <definedName name="XRefPaste3" hidden="1">#REF!</definedName>
    <definedName name="XRefPaste30" hidden="1">#REF!</definedName>
    <definedName name="XRefPaste30Row" localSheetId="7" hidden="1">#REF!</definedName>
    <definedName name="XRefPaste30Row" hidden="1">#REF!</definedName>
    <definedName name="XRefPaste31" hidden="1">#REF!</definedName>
    <definedName name="XRefPaste31Row" localSheetId="7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localSheetId="7" hidden="1">#REF!</definedName>
    <definedName name="XRefPaste37Row" hidden="1">#REF!</definedName>
    <definedName name="XRefPaste38" hidden="1">#REF!</definedName>
    <definedName name="XRefPaste38Row" localSheetId="7" hidden="1">#REF!</definedName>
    <definedName name="XRefPaste38Row" hidden="1">#REF!</definedName>
    <definedName name="XRefPaste39" hidden="1">#REF!</definedName>
    <definedName name="XRefPaste39Row" localSheetId="7" hidden="1">#REF!</definedName>
    <definedName name="XRefPaste39Row" hidden="1">#REF!</definedName>
    <definedName name="XRefPaste3Row" localSheetId="7" hidden="1">#REF!</definedName>
    <definedName name="XRefPaste3Row" hidden="1">#REF!</definedName>
    <definedName name="XRefPaste4" hidden="1">#REF!</definedName>
    <definedName name="XRefPaste40" hidden="1">#REF!</definedName>
    <definedName name="XRefPaste40Row" localSheetId="7" hidden="1">#REF!</definedName>
    <definedName name="XRefPaste40Row" hidden="1">#REF!</definedName>
    <definedName name="XRefPaste41" hidden="1">#REF!</definedName>
    <definedName name="XRefPaste41Row" localSheetId="7" hidden="1">#REF!</definedName>
    <definedName name="XRefPaste41Row" hidden="1">#REF!</definedName>
    <definedName name="XRefPaste42" hidden="1">#REF!</definedName>
    <definedName name="XRefPaste42Row" localSheetId="7" hidden="1">#REF!</definedName>
    <definedName name="XRefPaste42Row" hidden="1">#REF!</definedName>
    <definedName name="XRefPaste43" hidden="1">#REF!</definedName>
    <definedName name="XRefPaste43Row" localSheetId="7" hidden="1">#REF!</definedName>
    <definedName name="XRefPaste43Row" hidden="1">#REF!</definedName>
    <definedName name="XRefPaste44" hidden="1">#REF!</definedName>
    <definedName name="XRefPaste44Row" localSheetId="7" hidden="1">#REF!</definedName>
    <definedName name="XRefPaste44Row" hidden="1">#REF!</definedName>
    <definedName name="XRefPaste45Row" localSheetId="7" hidden="1">#REF!</definedName>
    <definedName name="XRefPaste45Row" hidden="1">#REF!</definedName>
    <definedName name="XRefPaste46" hidden="1">#REF!</definedName>
    <definedName name="XRefPaste46Row" localSheetId="7" hidden="1">#REF!</definedName>
    <definedName name="XRefPaste46Row" hidden="1">#REF!</definedName>
    <definedName name="XRefPaste47" hidden="1">#REF!</definedName>
    <definedName name="XRefPaste47Row" localSheetId="7" hidden="1">#REF!</definedName>
    <definedName name="XRefPaste47Row" hidden="1">#REF!</definedName>
    <definedName name="XRefPaste48Row" localSheetId="7" hidden="1">#REF!</definedName>
    <definedName name="XRefPaste48Row" hidden="1">#REF!</definedName>
    <definedName name="XRefPaste49Row" hidden="1">#REF!</definedName>
    <definedName name="XRefPaste4Row" localSheetId="7" hidden="1">#REF!</definedName>
    <definedName name="XRefPaste4Row" hidden="1">#REF!</definedName>
    <definedName name="XRefPaste5" hidden="1">#REF!</definedName>
    <definedName name="XRefPaste50Row" hidden="1">#REF!</definedName>
    <definedName name="XRefPaste51Row" hidden="1">#REF!</definedName>
    <definedName name="XRefPaste52Row" hidden="1">#REF!</definedName>
    <definedName name="XRefPaste53Row" hidden="1">#REF!</definedName>
    <definedName name="XRefPaste54Row" hidden="1">#REF!</definedName>
    <definedName name="XRefPaste55Row" hidden="1">#REF!</definedName>
    <definedName name="XRefPaste56" localSheetId="8" hidden="1">#REF!</definedName>
    <definedName name="XRefPaste56" hidden="1">#REF!</definedName>
    <definedName name="XRefPaste56Row" hidden="1">#REF!</definedName>
    <definedName name="XRefPaste57Row" hidden="1">#REF!</definedName>
    <definedName name="XRefPaste58Row" hidden="1">#REF!</definedName>
    <definedName name="XRefPaste59Row" hidden="1">#REF!</definedName>
    <definedName name="XRefPaste5Row" hidden="1">#REF!</definedName>
    <definedName name="XRefPaste6" hidden="1">#REF!</definedName>
    <definedName name="XRefPaste60Row" localSheetId="7" hidden="1">#REF!</definedName>
    <definedName name="XRefPaste60Row" hidden="1">#REF!</definedName>
    <definedName name="XRefPaste61Row" localSheetId="7" hidden="1">#REF!</definedName>
    <definedName name="XRefPaste61Row" hidden="1">#REF!</definedName>
    <definedName name="XRefPaste62Row" localSheetId="7" hidden="1">#REF!</definedName>
    <definedName name="XRefPaste62Row" hidden="1">#REF!</definedName>
    <definedName name="XRefPaste63" hidden="1">#REF!</definedName>
    <definedName name="XRefPaste63Row" hidden="1">#REF!</definedName>
    <definedName name="XRefPaste64Row" hidden="1">#REF!</definedName>
    <definedName name="XRefPaste65Row" localSheetId="7" hidden="1">#REF!</definedName>
    <definedName name="XRefPaste65Row" hidden="1">#REF!</definedName>
    <definedName name="XRefPaste66Row" hidden="1">#REF!</definedName>
    <definedName name="XRefPaste67Row" hidden="1">#REF!</definedName>
    <definedName name="XRefPaste68" hidden="1">#REF!</definedName>
    <definedName name="XRefPaste68Row" localSheetId="7" hidden="1">#REF!</definedName>
    <definedName name="XRefPaste68Row" hidden="1">#REF!</definedName>
    <definedName name="XRefPaste69" hidden="1">#REF!</definedName>
    <definedName name="XRefPaste69Row" localSheetId="7" hidden="1">#REF!</definedName>
    <definedName name="XRefPaste69Row" hidden="1">#REF!</definedName>
    <definedName name="XRefPaste6Row" hidden="1">#REF!</definedName>
    <definedName name="XRefPaste7" hidden="1">#REF!</definedName>
    <definedName name="XRefPaste70" hidden="1">#REF!</definedName>
    <definedName name="XRefPaste70Row" hidden="1">#REF!</definedName>
    <definedName name="XRefPaste72Row" hidden="1">#REF!</definedName>
    <definedName name="XRefPaste73Row" hidden="1">#REF!</definedName>
    <definedName name="XRefPaste74Row" hidden="1">#REF!</definedName>
    <definedName name="XRefPaste75Row" hidden="1">#REF!</definedName>
    <definedName name="XRefPaste76" hidden="1">#REF!</definedName>
    <definedName name="XRefPaste76Row" hidden="1">#REF!</definedName>
    <definedName name="XRefPaste77" hidden="1">#REF!</definedName>
    <definedName name="XRefPaste77Row" hidden="1">#REF!</definedName>
    <definedName name="XRefPaste78Row" hidden="1">#REF!</definedName>
    <definedName name="XRefPaste79Row" hidden="1">#REF!</definedName>
    <definedName name="XRefPaste7Row" hidden="1">#REF!</definedName>
    <definedName name="XRefPaste8" hidden="1">#REF!</definedName>
    <definedName name="XRefPaste80Row" hidden="1">#REF!</definedName>
    <definedName name="XRefPaste81Row" hidden="1">#REF!</definedName>
    <definedName name="XRefPaste83Row" hidden="1">#REF!</definedName>
    <definedName name="XRefPaste84Row" hidden="1">#REF!</definedName>
    <definedName name="XRefPaste85Row" hidden="1">#REF!</definedName>
    <definedName name="XRefPaste87Row" hidden="1">#REF!</definedName>
    <definedName name="XRefPaste88Row" hidden="1">#REF!</definedName>
    <definedName name="XRefPaste89Row" hidden="1">#REF!</definedName>
    <definedName name="XRefPaste8Row" localSheetId="7" hidden="1">#REF!</definedName>
    <definedName name="XRefPaste8Row" hidden="1">#REF!</definedName>
    <definedName name="XRefPaste9" hidden="1">#REF!</definedName>
    <definedName name="XRefPaste90Row" hidden="1">#REF!</definedName>
    <definedName name="XRefPaste91Row" hidden="1">#REF!</definedName>
    <definedName name="XRefPaste92Row" hidden="1">#REF!</definedName>
    <definedName name="XRefPaste93" hidden="1">#REF!</definedName>
    <definedName name="XRefPaste93Row" hidden="1">#REF!</definedName>
    <definedName name="XRefPaste94" hidden="1">#REF!</definedName>
    <definedName name="XRefPaste94Row" hidden="1">#REF!</definedName>
    <definedName name="XRefPaste95Row" hidden="1">#REF!</definedName>
    <definedName name="XRefPaste96Row" hidden="1">#REF!</definedName>
    <definedName name="XRefPaste97Row" hidden="1">#REF!</definedName>
    <definedName name="XRefPaste98Row" hidden="1">#REF!</definedName>
    <definedName name="XRefPaste99Row" hidden="1">#REF!</definedName>
    <definedName name="XRefPaste9Row" localSheetId="7" hidden="1">#REF!</definedName>
    <definedName name="XRefPaste9Row" hidden="1">#REF!</definedName>
    <definedName name="XRefPasteRangeCount" localSheetId="7" hidden="1">1</definedName>
    <definedName name="XRefPasteRangeCount" localSheetId="8" hidden="1">1</definedName>
    <definedName name="XRefPasteRangeCount" hidden="1">2</definedName>
    <definedName name="xrm" localSheetId="8" hidden="1">{"vue1",#N/A,FALSE,"synthese";"vue2",#N/A,FALSE,"synthese"}</definedName>
    <definedName name="xrm" hidden="1">{"vue1",#N/A,FALSE,"synthese";"vue2",#N/A,FALSE,"synthese"}</definedName>
    <definedName name="xrm_1" localSheetId="8" hidden="1">{"vue1",#N/A,FALSE,"synthese";"vue2",#N/A,FALSE,"synthese"}</definedName>
    <definedName name="xrm_1" hidden="1">{"vue1",#N/A,FALSE,"synthese";"vue2",#N/A,FALSE,"synthese"}</definedName>
    <definedName name="xrm2" localSheetId="8" hidden="1">{"vue1",#N/A,FALSE,"synthese";"vue2",#N/A,FALSE,"synthese"}</definedName>
    <definedName name="xrm2" hidden="1">{"vue1",#N/A,FALSE,"synthese";"vue2",#N/A,FALSE,"synthese"}</definedName>
    <definedName name="xrm2_1" localSheetId="8" hidden="1">{"vue1",#N/A,FALSE,"synthese";"vue2",#N/A,FALSE,"synthese"}</definedName>
    <definedName name="xrm2_1" hidden="1">{"vue1",#N/A,FALSE,"synthese";"vue2",#N/A,FALSE,"synthese"}</definedName>
    <definedName name="xs" localSheetId="8" hidden="1">{#N/A,"PURCHM",FALSE,"Business Analysis";#N/A,"SPADD",FALSE,"Business Analysis"}</definedName>
    <definedName name="xs" hidden="1">{#N/A,"PURCHM",FALSE,"Business Analysis";#N/A,"SPADD",FALSE,"Business Analysis"}</definedName>
    <definedName name="xs_1" localSheetId="8" hidden="1">{#N/A,#N/A,FALSE,"P&amp;L-BS-CF"}</definedName>
    <definedName name="xs_1" hidden="1">{#N/A,#N/A,FALSE,"P&amp;L-BS-CF"}</definedName>
    <definedName name="xsd" localSheetId="8" hidden="1">{"detail",#N/A,FALSE,"mfg";"summary",#N/A,FALSE,"mfg"}</definedName>
    <definedName name="xsd" hidden="1">{"detail",#N/A,FALSE,"mfg";"summary",#N/A,FALSE,"mfg"}</definedName>
    <definedName name="xt" localSheetId="8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xt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xv" localSheetId="7" hidden="1">#REF!</definedName>
    <definedName name="xv" localSheetId="8" hidden="1">#REF!</definedName>
    <definedName name="xv" hidden="1">{"Commentary",#N/A,FALSE,"May"}</definedName>
    <definedName name="xvc" localSheetId="8" hidden="1">{#N/A,#N/A,FALSE,"Graficos";#N/A,#N/A,FALSE,"P.Ingresos";#N/A,#N/A,FALSE,"P.Gastos";#N/A,#N/A,FALSE,"I.Trafico";#N/A,#N/A,FALSE,"I.Peajes";#N/A,#N/A,FALSE,"G.Operativos";#N/A,#N/A,FALSE,"Cf Proyecto";#N/A,#N/A,FALSE,"C.PYG";#N/A,#N/A,FALSE,"Balance";#N/A,#N/A,FALSE,"TIR AC";#N/A,#N/A,FALSE,"TIR E"}</definedName>
    <definedName name="xvc" hidden="1">{#N/A,#N/A,FALSE,"Graficos";#N/A,#N/A,FALSE,"P.Ingresos";#N/A,#N/A,FALSE,"P.Gastos";#N/A,#N/A,FALSE,"I.Trafico";#N/A,#N/A,FALSE,"I.Peajes";#N/A,#N/A,FALSE,"G.Operativos";#N/A,#N/A,FALSE,"Cf Proyecto";#N/A,#N/A,FALSE,"C.PYG";#N/A,#N/A,FALSE,"Balance";#N/A,#N/A,FALSE,"TIR AC";#N/A,#N/A,FALSE,"TIR E"}</definedName>
    <definedName name="XVCWXV" hidden="1">#REF!</definedName>
    <definedName name="xvcxvcvc" localSheetId="8" hidden="1">{#N/A,#N/A,FALSE,"CSS";#N/A,#N/A,FALSE,"USCSS ROLLUP";#N/A,#N/A,FALSE,"INT'L ROLLUP";#N/A,#N/A,FALSE,"CSS HQ"}</definedName>
    <definedName name="xvcxvcvc" hidden="1">{#N/A,#N/A,FALSE,"CSS";#N/A,#N/A,FALSE,"USCSS ROLLUP";#N/A,#N/A,FALSE,"INT'L ROLLUP";#N/A,#N/A,FALSE,"CSS HQ"}</definedName>
    <definedName name="xx" localSheetId="7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xx" localSheetId="8" hidden="1">{#N/A,#N/A,FALSE,"REPORT"}</definedName>
    <definedName name="xx" hidden="1">{#N/A,#N/A,FALSE,"SIM95"}</definedName>
    <definedName name="xxcxc" localSheetId="8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xxcxc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xxczzxa" hidden="1">#REF!</definedName>
    <definedName name="XXW" hidden="1">{#N/A,#N/A,FALSE,"SIM95"}</definedName>
    <definedName name="xxx" localSheetId="7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xxx" localSheetId="8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XXX" hidden="1">{"report",#N/A,FALSE,"dataBase"}</definedName>
    <definedName name="xxx.gb._Hm." localSheetId="8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xxx.gb._Hm.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xxx_1" localSheetId="8" hidden="1">{"'Segmentos de Clientes'!$B$3:$F$14"}</definedName>
    <definedName name="xxx_1" hidden="1">{"'Segmentos de Clientes'!$B$3:$F$14"}</definedName>
    <definedName name="xxx2" localSheetId="8" hidden="1">{"oct_res_comm",#N/A,FALSE,"VarToBud"}</definedName>
    <definedName name="xxx2" hidden="1">{"oct_res_comm",#N/A,FALSE,"VarToBud"}</definedName>
    <definedName name="xxx4" localSheetId="8" hidden="1">{"'100'!$A$1:$M$83"}</definedName>
    <definedName name="xxx4" hidden="1">{"'100'!$A$1:$M$83"}</definedName>
    <definedName name="xxxnom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xxxnom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xxxx" localSheetId="8" hidden="1">{"detail",#N/A,FALSE,"mfg";"summary",#N/A,FALSE,"mfg"}</definedName>
    <definedName name="xxxx" hidden="1">{"detail",#N/A,FALSE,"mfg";"summary",#N/A,FALSE,"mfg"}</definedName>
    <definedName name="xxxxx" localSheetId="7" hidden="1">{#N/A,#N/A,FALSE,"Aging Summary";#N/A,#N/A,FALSE,"Ratio Analysis";#N/A,#N/A,FALSE,"Test 120 Day Accts";#N/A,#N/A,FALSE,"Tickmarks"}</definedName>
    <definedName name="xxxxx" localSheetId="8" hidden="1">{"10yp capex",#N/A,FALSE,"Celtel alternative 6"}</definedName>
    <definedName name="xxxxx" hidden="1">{#N/A,#N/A,FALSE,"Pharm";#N/A,#N/A,FALSE,"WWCM"}</definedName>
    <definedName name="xxxxx_1" localSheetId="8" hidden="1">{#N/A,#N/A,FALSE,"CBE";#N/A,#N/A,FALSE,"SWK"}</definedName>
    <definedName name="xxxxx_1" hidden="1">{#N/A,#N/A,FALSE,"CBE";#N/A,#N/A,FALSE,"SWK"}</definedName>
    <definedName name="xxxxxx" localSheetId="7" hidden="1">{"10yp graphs",#N/A,FALSE,"Market Data"}</definedName>
    <definedName name="xxxxxx" localSheetId="8" hidden="1">{"10yp graphs",#N/A,FALSE,"Market Data"}</definedName>
    <definedName name="xxxxxx" hidden="1">{"natgas1",#N/A,FALSE,"u.s. Natural Gas";"natgas2",#N/A,FALSE,"u.s. Natural Gas"}</definedName>
    <definedName name="xxxxxxxxx" hidden="1">#N/A</definedName>
    <definedName name="xxxxxxxxxxxx" hidden="1">#N/A</definedName>
    <definedName name="xxxxxxxxxxxxxxxxxxxxxxx" localSheetId="8" hidden="1">{#N/A,#N/A,FALSE,"cover";#N/A,#N/A,FALSE,"Content ";#N/A,#N/A,FALSE,"E&amp;C Op Stat";#N/A,#N/A,FALSE,"Telcos Op Stat";#N/A,#N/A,FALSE,"Media Op Stat";#N/A,#N/A,FALSE,"Oil Op Stat";#N/A,#N/A,FALSE,"Utilities Op Stat";#N/A,#N/A,FALSE,"E&amp;C Ord An";#N/A,#N/A,FALSE,"E&amp;C Debt Nar";#N/A,#N/A,FALSE,"E&amp;C Debtors";#N/A,#N/A,FALSE,"E&amp;C CO Debt";#N/A,#N/A,FALSE,"Telcos Presales";#N/A,#N/A,FALSE,"Oil Presales";#N/A,#N/A,FALSE,"Utilities Presales"}</definedName>
    <definedName name="xxxxxxxxxxxxxxxxxxxxxxx" hidden="1">{#N/A,#N/A,FALSE,"cover";#N/A,#N/A,FALSE,"Content ";#N/A,#N/A,FALSE,"E&amp;C Op Stat";#N/A,#N/A,FALSE,"Telcos Op Stat";#N/A,#N/A,FALSE,"Media Op Stat";#N/A,#N/A,FALSE,"Oil Op Stat";#N/A,#N/A,FALSE,"Utilities Op Stat";#N/A,#N/A,FALSE,"E&amp;C Ord An";#N/A,#N/A,FALSE,"E&amp;C Debt Nar";#N/A,#N/A,FALSE,"E&amp;C Debtors";#N/A,#N/A,FALSE,"E&amp;C CO Debt";#N/A,#N/A,FALSE,"Telcos Presales";#N/A,#N/A,FALSE,"Oil Presales";#N/A,#N/A,FALSE,"Utilities Presales"}</definedName>
    <definedName name="xxxxz" localSheetId="8" hidden="1">{#N/A,#N/A,TRUE,"Graficos";#N/A,#N/A,TRUE,"P.Ingresos";#N/A,#N/A,TRUE,"P.Gastos";#N/A,#N/A,TRUE,"I.Trafico";#N/A,#N/A,TRUE,"I.Peajes";#N/A,#N/A,TRUE,"G.Operativos";#N/A,#N/A,TRUE,"Cf Proyecto";#N/A,#N/A,TRUE,"C.PYG";#N/A,#N/A,TRUE,"Balance";#N/A,#N/A,TRUE,"TIR AC";#N/A,#N/A,TRUE,"Ratios";#N/A,#N/A,TRUE,"Amortizacion";#N/A,#N/A,TRUE,"FC fin";#N/A,#N/A,TRUE,"Coeficientes";#N/A,#N/A,TRUE,"Tesoreria";#N/A,#N/A,TRUE,"Prest.inv";#N/A,#N/A,TRUE,"Obligacion";#N/A,#N/A,TRUE,"Impuestos";#N/A,#N/A,TRUE,"Reservas";#N/A,#N/A,TRUE,"Inversion";#N/A,#N/A,TRUE,"P.Inversion";#N/A,#N/A,TRUE,"C.Fl Inv.";#N/A,#N/A,TRUE,"VAN Oferta"}</definedName>
    <definedName name="xxxxz" hidden="1">{#N/A,#N/A,TRUE,"Graficos";#N/A,#N/A,TRUE,"P.Ingresos";#N/A,#N/A,TRUE,"P.Gastos";#N/A,#N/A,TRUE,"I.Trafico";#N/A,#N/A,TRUE,"I.Peajes";#N/A,#N/A,TRUE,"G.Operativos";#N/A,#N/A,TRUE,"Cf Proyecto";#N/A,#N/A,TRUE,"C.PYG";#N/A,#N/A,TRUE,"Balance";#N/A,#N/A,TRUE,"TIR AC";#N/A,#N/A,TRUE,"Ratios";#N/A,#N/A,TRUE,"Amortizacion";#N/A,#N/A,TRUE,"FC fin";#N/A,#N/A,TRUE,"Coeficientes";#N/A,#N/A,TRUE,"Tesoreria";#N/A,#N/A,TRUE,"Prest.inv";#N/A,#N/A,TRUE,"Obligacion";#N/A,#N/A,TRUE,"Impuestos";#N/A,#N/A,TRUE,"Reservas";#N/A,#N/A,TRUE,"Inversion";#N/A,#N/A,TRUE,"P.Inversion";#N/A,#N/A,TRUE,"C.Fl Inv.";#N/A,#N/A,TRUE,"VAN Oferta"}</definedName>
    <definedName name="xxy" hidden="1">{#N/A,#N/A,FALSE,"SIM95"}</definedName>
    <definedName name="xy" hidden="1">#REF!</definedName>
    <definedName name="xyz" localSheetId="7" hidden="1">{"Site",#N/A,FALSE,"Net Inventory Turns";"Site",#N/A,FALSE,"LInearity";"Site",#N/A,FALSE,"On Time Delivery";"Site",#N/A,FALSE,"Fill Rate";"Site",#N/A,FALSE,"Days Past Due";"Site",#N/A,FALSE,"COPQ";"Site",#N/A,FALSE,"Customer Returns";"Site",#N/A,FALSE,"LWCAIR";"Site",#N/A,FALSE,"TCIR";"Site",#N/A,FALSE,"TDU";"Site",#N/A,FALSE,"Supplier Defects";"Site",#N/A,FALSE,"Supplier Delivery";"Site",#N/A,FALSE,"OEC";"Site",#N/A,FALSE,"MM"}</definedName>
    <definedName name="xyz" localSheetId="8" hidden="1">{"Site",#N/A,FALSE,"Net Inventory Turns";"Site",#N/A,FALSE,"LInearity";"Site",#N/A,FALSE,"On Time Delivery";"Site",#N/A,FALSE,"Fill Rate";"Site",#N/A,FALSE,"Days Past Due";"Site",#N/A,FALSE,"COPQ";"Site",#N/A,FALSE,"Customer Returns";"Site",#N/A,FALSE,"LWCAIR";"Site",#N/A,FALSE,"TCIR";"Site",#N/A,FALSE,"TDU";"Site",#N/A,FALSE,"Supplier Defects";"Site",#N/A,FALSE,"Supplier Delivery";"Site",#N/A,FALSE,"OEC";"Site",#N/A,FALSE,"MM"}</definedName>
    <definedName name="xyz" hidden="1">{"'FLUOXETINE'!$A$1:$I$24"}</definedName>
    <definedName name="xz" localSheetId="8" hidden="1">{#N/A,#N/A,FALSE,"Adm comp";#N/A,#N/A,FALSE,"Adm ajust";"adm",#N/A,FALSE,"Administration";#N/A,#N/A,FALSE,"Adm Bgt 97 vs Prév. 96";#N/A,#N/A,FALSE,"Adm Bgt 97 vs 96"}</definedName>
    <definedName name="xz" hidden="1">{"'FLUOXETINE'!$A$1:$I$24"}</definedName>
    <definedName name="xzxz" localSheetId="8" hidden="1">{#N/A,"PURCHM",FALSE,"Business Analysis";#N/A,"SPADD",FALSE,"Business Analysis"}</definedName>
    <definedName name="xzxz" hidden="1">{#N/A,"PURCHM",FALSE,"Business Analysis";#N/A,"SPADD",FALSE,"Business Analysis"}</definedName>
    <definedName name="y" localSheetId="7" hidden="1">{#N/A,#N/A,FALSE,"Pharm";#N/A,#N/A,FALSE,"WWCM"}</definedName>
    <definedName name="y" localSheetId="8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y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y_1" localSheetId="8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y_1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Yash" localSheetId="8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ash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ash_1" localSheetId="8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ash_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eeey" localSheetId="8" hidden="1">{"pl9601",#N/A,FALSE,"PL96";"pl9602",#N/A,FALSE,"PL96";"pl9603",#N/A,FALSE,"PL96";"PL9604",#N/A,FALSE,"PL96";"pl9605",#N/A,FALSE,"PL96";"pl9606",#N/A,FALSE,"PL96";"pl9607",#N/A,FALSE,"PL96";"pl9608",#N/A,FALSE,"PL96";"pl9609",#N/A,FALSE,"PL96";"pl9610",#N/A,FALSE,"PL96";"pl9611",#N/A,FALSE,"PL96";"fssum01",#N/A,FALSE,"fssum";"fssum02",#N/A,FALSE,"fssum"}</definedName>
    <definedName name="yeeey" hidden="1">{"pl9601",#N/A,FALSE,"PL96";"pl9602",#N/A,FALSE,"PL96";"pl9603",#N/A,FALSE,"PL96";"PL9604",#N/A,FALSE,"PL96";"pl9605",#N/A,FALSE,"PL96";"pl9606",#N/A,FALSE,"PL96";"pl9607",#N/A,FALSE,"PL96";"pl9608",#N/A,FALSE,"PL96";"pl9609",#N/A,FALSE,"PL96";"pl9610",#N/A,FALSE,"PL96";"pl9611",#N/A,FALSE,"PL96";"fssum01",#N/A,FALSE,"fssum";"fssum02",#N/A,FALSE,"fssum"}</definedName>
    <definedName name="yeeey_1" localSheetId="8" hidden="1">{"pl9601",#N/A,FALSE,"PL96";"pl9602",#N/A,FALSE,"PL96";"pl9603",#N/A,FALSE,"PL96";"PL9604",#N/A,FALSE,"PL96";"pl9605",#N/A,FALSE,"PL96";"pl9606",#N/A,FALSE,"PL96";"pl9607",#N/A,FALSE,"PL96";"pl9608",#N/A,FALSE,"PL96";"pl9609",#N/A,FALSE,"PL96";"pl9610",#N/A,FALSE,"PL96";"pl9611",#N/A,FALSE,"PL96";"fssum01",#N/A,FALSE,"fssum";"fssum02",#N/A,FALSE,"fssum"}</definedName>
    <definedName name="yeeey_1" hidden="1">{"pl9601",#N/A,FALSE,"PL96";"pl9602",#N/A,FALSE,"PL96";"pl9603",#N/A,FALSE,"PL96";"PL9604",#N/A,FALSE,"PL96";"pl9605",#N/A,FALSE,"PL96";"pl9606",#N/A,FALSE,"PL96";"pl9607",#N/A,FALSE,"PL96";"pl9608",#N/A,FALSE,"PL96";"pl9609",#N/A,FALSE,"PL96";"pl9610",#N/A,FALSE,"PL96";"pl9611",#N/A,FALSE,"PL96";"fssum01",#N/A,FALSE,"fssum";"fssum02",#N/A,FALSE,"fssum"}</definedName>
    <definedName name="yes" hidden="1">#N/A</definedName>
    <definedName name="yfj" localSheetId="8" hidden="1">{#N/A,#N/A,TRUE,"Cover sheet";#N/A,#N/A,TRUE,"INPUTS";#N/A,#N/A,TRUE,"OUTPUTS";#N/A,#N/A,TRUE,"VALUATION"}</definedName>
    <definedName name="yfj" hidden="1">{#N/A,#N/A,TRUE,"Cover sheet";#N/A,#N/A,TRUE,"INPUTS";#N/A,#N/A,TRUE,"OUTPUTS";#N/A,#N/A,TRUE,"VALUATION"}</definedName>
    <definedName name="yfj_1" localSheetId="8" hidden="1">{#N/A,#N/A,TRUE,"Cover sheet";#N/A,#N/A,TRUE,"INPUTS";#N/A,#N/A,TRUE,"OUTPUTS";#N/A,#N/A,TRUE,"VALUATION"}</definedName>
    <definedName name="yfj_1" hidden="1">{#N/A,#N/A,TRUE,"Cover sheet";#N/A,#N/A,TRUE,"INPUTS";#N/A,#N/A,TRUE,"OUTPUTS";#N/A,#N/A,TRUE,"VALUATION"}</definedName>
    <definedName name="yg" localSheetId="8" hidden="1">{"Polymers Details",#N/A,FALSE,"Current Yr";"Polymer Details",#N/A,FALSE,"Budget";"Polymer Details",#N/A,FALSE,"Prior Year"}</definedName>
    <definedName name="yg" hidden="1">{"Polymers Details",#N/A,FALSE,"Current Yr";"Polymer Details",#N/A,FALSE,"Budget";"Polymer Details",#N/A,FALSE,"Prior Year"}</definedName>
    <definedName name="ygbyb" localSheetId="8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ygbyb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yh" localSheetId="8" hidden="1">{"Polymers Details",#N/A,FALSE,"Current Yr";"Polymer Details",#N/A,FALSE,"Budget";"Polymer Details",#N/A,FALSE,"Prior Year"}</definedName>
    <definedName name="yh" hidden="1">{"Polymers Details",#N/A,FALSE,"Current Yr";"Polymer Details",#N/A,FALSE,"Budget";"Polymer Details",#N/A,FALSE,"Prior Year"}</definedName>
    <definedName name="yhg" localSheetId="7" hidden="1">{"Monthly6Q",#N/A,FALSE,"0614ESL"}</definedName>
    <definedName name="yhg" localSheetId="8" hidden="1">{"Monthly6Q",#N/A,FALSE,"0614ESL"}</definedName>
    <definedName name="yhg" hidden="1">2</definedName>
    <definedName name="YHJU" localSheetId="8" hidden="1">{#N/A,#N/A,FALSE,"Centres";#N/A,#N/A,FALSE,"Partenariats";#N/A,#N/A,FALSE,"P.Diverses";#N/A,#N/A,FALSE,"Adm";#N/A,#N/A,FALSE,"Autres R-D";#N/A,#N/A,FALSE,"Intérêts"}</definedName>
    <definedName name="YHJU" hidden="1">{#N/A,#N/A,FALSE,"Centres";#N/A,#N/A,FALSE,"Partenariats";#N/A,#N/A,FALSE,"P.Diverses";#N/A,#N/A,FALSE,"Adm";#N/A,#N/A,FALSE,"Autres R-D";#N/A,#N/A,FALSE,"Intérêts"}</definedName>
    <definedName name="yhn" localSheetId="8" hidden="1">{"detail",#N/A,FALSE,"mfg";"summary",#N/A,FALSE,"mfg"}</definedName>
    <definedName name="yhn" hidden="1">{"detail",#N/A,FALSE,"mfg";"summary",#N/A,FALSE,"mfg"}</definedName>
    <definedName name="yhnhyhn" localSheetId="8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yhnhyhn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yhnjuhnj" localSheetId="8" hidden="1">{#N/A,#N/A,FALSE,"Adm comp";#N/A,#N/A,FALSE,"Adm ajust";"adm",#N/A,FALSE,"Administration";#N/A,#N/A,FALSE,"Adm Bgt 97 vs Prév. 96";#N/A,#N/A,FALSE,"Adm Bgt 97 vs 96"}</definedName>
    <definedName name="yhnjuhnj" hidden="1">{#N/A,#N/A,FALSE,"Adm comp";#N/A,#N/A,FALSE,"Adm ajust";"adm",#N/A,FALSE,"Administration";#N/A,#N/A,FALSE,"Adm Bgt 97 vs Prév. 96";#N/A,#N/A,FALSE,"Adm Bgt 97 vs 96"}</definedName>
    <definedName name="yi" localSheetId="8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yi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YIJHDYRTYR" localSheetId="8" hidden="1">{#N/A,#N/A,FALSE,"Global Assumptions";#N/A,#N/A,FALSE,"NZ Valuation";#N/A,#N/A,FALSE,"P&amp;L";#N/A,#N/A,FALSE,"Balance Sheet";#N/A,#N/A,FALSE,"Cash Flow";#N/A,#N/A,FALSE,"Key Assumptions";#N/A,#N/A,FALSE,"Graphs";#N/A,#N/A,FALSE,"Core EBIT Summary";#N/A,#N/A,FALSE,"National Tolls - Residential";#N/A,#N/A,FALSE,"National Tolls - Business";#N/A,#N/A,FALSE,"Internat'l Tolls - Residential";#N/A,#N/A,FALSE,"Internat'l Tolls - Business";#N/A,#N/A,FALSE,"Faxplus";#N/A,#N/A,FALSE,"Business Local Service";#N/A,#N/A,FALSE,"Data Services";#N/A,#N/A,FALSE,"Cellular"}</definedName>
    <definedName name="YIJHDYRTYR" hidden="1">{#N/A,#N/A,FALSE,"Global Assumptions";#N/A,#N/A,FALSE,"NZ Valuation";#N/A,#N/A,FALSE,"P&amp;L";#N/A,#N/A,FALSE,"Balance Sheet";#N/A,#N/A,FALSE,"Cash Flow";#N/A,#N/A,FALSE,"Key Assumptions";#N/A,#N/A,FALSE,"Graphs";#N/A,#N/A,FALSE,"Core EBIT Summary";#N/A,#N/A,FALSE,"National Tolls - Residential";#N/A,#N/A,FALSE,"National Tolls - Business";#N/A,#N/A,FALSE,"Internat'l Tolls - Residential";#N/A,#N/A,FALSE,"Internat'l Tolls - Business";#N/A,#N/A,FALSE,"Faxplus";#N/A,#N/A,FALSE,"Business Local Service";#N/A,#N/A,FALSE,"Data Services";#N/A,#N/A,FALSE,"Cellular"}</definedName>
    <definedName name="yjejjd" localSheetId="8" hidden="1">{"pl9601",#N/A,FALSE,"PL96";"pl9602",#N/A,FALSE,"PL96";"pl9603",#N/A,FALSE,"PL96";"PL9604",#N/A,FALSE,"PL96";"pl9605",#N/A,FALSE,"PL96";"pl9606",#N/A,FALSE,"PL96";"pl9607",#N/A,FALSE,"PL96";"pl9608",#N/A,FALSE,"PL96";"pl9609",#N/A,FALSE,"PL96";"pl9610",#N/A,FALSE,"PL96";"pl9611",#N/A,FALSE,"PL96";"fssum01",#N/A,FALSE,"fssum";"fssum02",#N/A,FALSE,"fssum"}</definedName>
    <definedName name="yjejjd" hidden="1">{"pl9601",#N/A,FALSE,"PL96";"pl9602",#N/A,FALSE,"PL96";"pl9603",#N/A,FALSE,"PL96";"PL9604",#N/A,FALSE,"PL96";"pl9605",#N/A,FALSE,"PL96";"pl9606",#N/A,FALSE,"PL96";"pl9607",#N/A,FALSE,"PL96";"pl9608",#N/A,FALSE,"PL96";"pl9609",#N/A,FALSE,"PL96";"pl9610",#N/A,FALSE,"PL96";"pl9611",#N/A,FALSE,"PL96";"fssum01",#N/A,FALSE,"fssum";"fssum02",#N/A,FALSE,"fssum"}</definedName>
    <definedName name="yjejjd_1" localSheetId="8" hidden="1">{"pl9601",#N/A,FALSE,"PL96";"pl9602",#N/A,FALSE,"PL96";"pl9603",#N/A,FALSE,"PL96";"PL9604",#N/A,FALSE,"PL96";"pl9605",#N/A,FALSE,"PL96";"pl9606",#N/A,FALSE,"PL96";"pl9607",#N/A,FALSE,"PL96";"pl9608",#N/A,FALSE,"PL96";"pl9609",#N/A,FALSE,"PL96";"pl9610",#N/A,FALSE,"PL96";"pl9611",#N/A,FALSE,"PL96";"fssum01",#N/A,FALSE,"fssum";"fssum02",#N/A,FALSE,"fssum"}</definedName>
    <definedName name="yjejjd_1" hidden="1">{"pl9601",#N/A,FALSE,"PL96";"pl9602",#N/A,FALSE,"PL96";"pl9603",#N/A,FALSE,"PL96";"PL9604",#N/A,FALSE,"PL96";"pl9605",#N/A,FALSE,"PL96";"pl9606",#N/A,FALSE,"PL96";"pl9607",#N/A,FALSE,"PL96";"pl9608",#N/A,FALSE,"PL96";"pl9609",#N/A,FALSE,"PL96";"pl9610",#N/A,FALSE,"PL96";"pl9611",#N/A,FALSE,"PL96";"fssum01",#N/A,FALSE,"fssum";"fssum02",#N/A,FALSE,"fssum"}</definedName>
    <definedName name="yjje" localSheetId="8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yjje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yjje_1" localSheetId="8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yjje_1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YJJYJ" localSheetId="8" hidden="1">{#N/A,#N/A,TRUE,"BD 97";#N/A,#N/A,TRUE,"IR E CS 1997";#N/A,#N/A,TRUE,"CONTINGÊNCIAS";#N/A,#N/A,TRUE,"AD_EX_97";#N/A,#N/A,TRUE,"PR ND";#N/A,#N/A,TRUE,"8191";#N/A,#N/A,TRUE,"8383";#N/A,#N/A,TRUE,"MP 1024"}</definedName>
    <definedName name="YJJYJ" hidden="1">{#N/A,#N/A,TRUE,"BD 97";#N/A,#N/A,TRUE,"IR E CS 1997";#N/A,#N/A,TRUE,"CONTINGÊNCIAS";#N/A,#N/A,TRUE,"AD_EX_97";#N/A,#N/A,TRUE,"PR ND";#N/A,#N/A,TRUE,"8191";#N/A,#N/A,TRUE,"8383";#N/A,#N/A,TRUE,"MP 1024"}</definedName>
    <definedName name="yjlull" localSheetId="8" hidden="1">{#N/A,#N/A,FALSE,"projcf";#N/A,#N/A,FALSE,"Projline";#N/A,#N/A,FALSE,"bankline";#N/A,#N/A,FALSE,"Fast95is";#N/A,#N/A,FALSE,"tool95is";#N/A,#N/A,FALSE,"tot95is";#N/A,#N/A,FALSE,"tool950h";#N/A,#N/A,FALSE,"fas95oh";#N/A,#N/A,FALSE,"tot95oh";#N/A,#N/A,FALSE,"95sga";#N/A,#N/A,FALSE,"95projcf";#N/A,#N/A,FALSE,"95loc";#N/A,#N/A,FALSE,"95bankline"}</definedName>
    <definedName name="yjlull" hidden="1">{#N/A,#N/A,FALSE,"projcf";#N/A,#N/A,FALSE,"Projline";#N/A,#N/A,FALSE,"bankline";#N/A,#N/A,FALSE,"Fast95is";#N/A,#N/A,FALSE,"tool95is";#N/A,#N/A,FALSE,"tot95is";#N/A,#N/A,FALSE,"tool950h";#N/A,#N/A,FALSE,"fas95oh";#N/A,#N/A,FALSE,"tot95oh";#N/A,#N/A,FALSE,"95sga";#N/A,#N/A,FALSE,"95projcf";#N/A,#N/A,FALSE,"95loc";#N/A,#N/A,FALSE,"95bankline"}</definedName>
    <definedName name="yjlull_1" localSheetId="8" hidden="1">{#N/A,#N/A,FALSE,"projcf";#N/A,#N/A,FALSE,"Projline";#N/A,#N/A,FALSE,"bankline";#N/A,#N/A,FALSE,"Fast95is";#N/A,#N/A,FALSE,"tool95is";#N/A,#N/A,FALSE,"tot95is";#N/A,#N/A,FALSE,"tool950h";#N/A,#N/A,FALSE,"fas95oh";#N/A,#N/A,FALSE,"tot95oh";#N/A,#N/A,FALSE,"95sga";#N/A,#N/A,FALSE,"95projcf";#N/A,#N/A,FALSE,"95loc";#N/A,#N/A,FALSE,"95bankline"}</definedName>
    <definedName name="yjlull_1" hidden="1">{#N/A,#N/A,FALSE,"projcf";#N/A,#N/A,FALSE,"Projline";#N/A,#N/A,FALSE,"bankline";#N/A,#N/A,FALSE,"Fast95is";#N/A,#N/A,FALSE,"tool95is";#N/A,#N/A,FALSE,"tot95is";#N/A,#N/A,FALSE,"tool950h";#N/A,#N/A,FALSE,"fas95oh";#N/A,#N/A,FALSE,"tot95oh";#N/A,#N/A,FALSE,"95sga";#N/A,#N/A,FALSE,"95projcf";#N/A,#N/A,FALSE,"95loc";#N/A,#N/A,FALSE,"95bankline"}</definedName>
    <definedName name="yjud" hidden="1">#REF!</definedName>
    <definedName name="ykk" localSheetId="8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ykk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ykk_1" localSheetId="8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ykk_1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yktyk" localSheetId="8" hidden="1">{#N/A,#N/A,FALSE,"Assessment";#N/A,#N/A,FALSE,"Staffing";#N/A,#N/A,FALSE,"Hires";#N/A,#N/A,FALSE,"Assumptions"}</definedName>
    <definedName name="yktyk" hidden="1">{#N/A,#N/A,FALSE,"Assessment";#N/A,#N/A,FALSE,"Staffing";#N/A,#N/A,FALSE,"Hires";#N/A,#N/A,FALSE,"Assumptions"}</definedName>
    <definedName name="ym" localSheetId="8" hidden="1">{#N/A,"PURCHM",FALSE,"Business Analysis";#N/A,"SPADD",FALSE,"Business Analysis"}</definedName>
    <definedName name="ym" hidden="1">{#N/A,"PURCHM",FALSE,"Business Analysis";#N/A,"SPADD",FALSE,"Business Analysis"}</definedName>
    <definedName name="yn" localSheetId="8" hidden="1">{"AS REP",#N/A,FALSE,"EEFSNAP2";"PROP",#N/A,FALSE,"EEFSNAP2";"RISKS",#N/A,FALSE,"EEFSNAP2";"VIEW ALL",#N/A,FALSE,"EEFSNAP2"}</definedName>
    <definedName name="yn" hidden="1">{"AS REP",#N/A,FALSE,"EEFSNAP2";"PROP",#N/A,FALSE,"EEFSNAP2";"RISKS",#N/A,FALSE,"EEFSNAP2";"VIEW ALL",#N/A,FALSE,"EEFSNAP2"}</definedName>
    <definedName name="YO" localSheetId="7" hidden="1">{"Análisis Ventas Ppto 2000",#N/A,FALSE,"Grupo";"Cta Res Ppto 2000",#N/A,FALSE,"Grupo";"Impacto Ppto 2000",#N/A,FALSE,"Grupo";"Bce Ppto 2000",#N/A,FALSE,"Grupo";"Cashflow Ppto 2000",#N/A,FALSE,"Grupo";"Resumen de Ventas",#N/A,FALSE,"VENTAS 2000";"Resumen Cta Res",#N/A,FALSE,"CTA RES 2000"}</definedName>
    <definedName name="YO" localSheetId="8" hidden="1">{"Análisis Ventas Ppto 2000",#N/A,FALSE,"Grupo";"Cta Res Ppto 2000",#N/A,FALSE,"Grupo";"Impacto Ppto 2000",#N/A,FALSE,"Grupo";"Bce Ppto 2000",#N/A,FALSE,"Grupo";"Cashflow Ppto 2000",#N/A,FALSE,"Grupo";"Resumen de Ventas",#N/A,FALSE,"VENTAS 2000";"Resumen Cta Res",#N/A,FALSE,"CTA RES 2000"}</definedName>
    <definedName name="YO" hidden="1">{#N/A,#N/A,FALSE,"GRAFICO";#N/A,#N/A,FALSE,"CAJA (2)";#N/A,#N/A,FALSE,"TERCEROS-PROMEDIO";#N/A,#N/A,FALSE,"CAJA";#N/A,#N/A,FALSE,"INGRESOS1995-2003";#N/A,#N/A,FALSE,"GASTOS1995-2003"}</definedName>
    <definedName name="YO_1" localSheetId="8" hidden="1">{"Análisis Ventas Ppto 2000",#N/A,FALSE,"Grupo";"Cta Res Ppto 2000",#N/A,FALSE,"Grupo";"Impacto Ppto 2000",#N/A,FALSE,"Grupo";"Bce Ppto 2000",#N/A,FALSE,"Grupo";"Cashflow Ppto 2000",#N/A,FALSE,"Grupo";"Resumen de Ventas",#N/A,FALSE,"VENTAS 2000";"Resumen Cta Res",#N/A,FALSE,"CTA RES 2000"}</definedName>
    <definedName name="YO_1" hidden="1">{"Análisis Ventas Ppto 2000",#N/A,FALSE,"Grupo";"Cta Res Ppto 2000",#N/A,FALSE,"Grupo";"Impacto Ppto 2000",#N/A,FALSE,"Grupo";"Bce Ppto 2000",#N/A,FALSE,"Grupo";"Cashflow Ppto 2000",#N/A,FALSE,"Grupo";"Resumen de Ventas",#N/A,FALSE,"VENTAS 2000";"Resumen Cta Res",#N/A,FALSE,"CTA RES 2000"}</definedName>
    <definedName name="yold" localSheetId="8" hidden="1">{"'100'!$A$1:$M$83"}</definedName>
    <definedName name="yold" hidden="1">{"'100'!$A$1:$M$83"}</definedName>
    <definedName name="YOLI" localSheetId="8" hidden="1">{#N/A,#N/A,TRUE,"SIT.GLOBAL (2)";#N/A,#N/A,TRUE,"SIT.GLOBAL (1)";#N/A,#N/A,TRUE,"7.PROC JUD";#N/A,#N/A,TRUE,"GRAF.RENTAS";#N/A,#N/A,TRUE,"GRAF PTE.COB-COBNET (3)";#N/A,#N/A,TRUE,"GRAF FACT TOTAL-ORD (3)";#N/A,#N/A,TRUE,"DATOSGRAFICO";#N/A,#N/A,TRUE,"RESCINDIDOS";#N/A,#N/A,TRUE,"DETALLE PTE."}</definedName>
    <definedName name="YOLI" hidden="1">{#N/A,#N/A,TRUE,"SIT.GLOBAL (2)";#N/A,#N/A,TRUE,"SIT.GLOBAL (1)";#N/A,#N/A,TRUE,"7.PROC JUD";#N/A,#N/A,TRUE,"GRAF.RENTAS";#N/A,#N/A,TRUE,"GRAF PTE.COB-COBNET (3)";#N/A,#N/A,TRUE,"GRAF FACT TOTAL-ORD (3)";#N/A,#N/A,TRUE,"DATOSGRAFICO";#N/A,#N/A,TRUE,"RESCINDIDOS";#N/A,#N/A,TRUE,"DETALLE PTE."}</definedName>
    <definedName name="yp" localSheetId="8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yp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yq" localSheetId="8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yq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ytdedj" localSheetId="8" hidden="1">{#N/A,#N/A,FALSE,"debt";#N/A,#N/A,FALSE,"apsort";#N/A,#N/A,FALSE,"AR"}</definedName>
    <definedName name="ytdedj" hidden="1">{#N/A,#N/A,FALSE,"debt";#N/A,#N/A,FALSE,"apsort";#N/A,#N/A,FALSE,"AR"}</definedName>
    <definedName name="ytdedj_1" localSheetId="8" hidden="1">{#N/A,#N/A,FALSE,"debt";#N/A,#N/A,FALSE,"apsort";#N/A,#N/A,FALSE,"AR"}</definedName>
    <definedName name="ytdedj_1" hidden="1">{#N/A,#N/A,FALSE,"debt";#N/A,#N/A,FALSE,"apsort";#N/A,#N/A,FALSE,"AR"}</definedName>
    <definedName name="yte" localSheetId="8" hidden="1">{#N/A,#N/A,TRUE,"consinc";#N/A,#N/A,TRUE,"consproj";#N/A,#N/A,TRUE,"deminc";#N/A,#N/A,TRUE,"incproj";#N/A,#N/A,TRUE,"demman";#N/A,#N/A,TRUE,"manproj";#N/A,#N/A,TRUE,"S&amp;Gact";#N/A,#N/A,TRUE,"S&amp;Gproj ";#N/A,#N/A,TRUE,"dengis";#N/A,#N/A,TRUE,"dengisproj";#N/A,#N/A,TRUE,"mitinc";#N/A,#N/A,TRUE,"mitincproj";#N/A,#N/A,TRUE,"mits&amp;G";#N/A,#N/A,TRUE,"mits&amp;gproj";#N/A,#N/A,TRUE,"arcis";#N/A,#N/A,TRUE,"arcproj";#N/A,#N/A,TRUE,"ampinc";#N/A,#N/A,TRUE,"ampincproj";#N/A,#N/A,TRUE,"ampman";#N/A,#N/A,TRUE,"ampmanproj";#N/A,#N/A,TRUE,"ampS&amp;G";#N/A,#N/A,TRUE,"amps&amp;GProj"}</definedName>
    <definedName name="yte" hidden="1">{#N/A,#N/A,TRUE,"consinc";#N/A,#N/A,TRUE,"consproj";#N/A,#N/A,TRUE,"deminc";#N/A,#N/A,TRUE,"incproj";#N/A,#N/A,TRUE,"demman";#N/A,#N/A,TRUE,"manproj";#N/A,#N/A,TRUE,"S&amp;Gact";#N/A,#N/A,TRUE,"S&amp;Gproj ";#N/A,#N/A,TRUE,"dengis";#N/A,#N/A,TRUE,"dengisproj";#N/A,#N/A,TRUE,"mitinc";#N/A,#N/A,TRUE,"mitincproj";#N/A,#N/A,TRUE,"mits&amp;G";#N/A,#N/A,TRUE,"mits&amp;gproj";#N/A,#N/A,TRUE,"arcis";#N/A,#N/A,TRUE,"arcproj";#N/A,#N/A,TRUE,"ampinc";#N/A,#N/A,TRUE,"ampincproj";#N/A,#N/A,TRUE,"ampman";#N/A,#N/A,TRUE,"ampmanproj";#N/A,#N/A,TRUE,"ampS&amp;G";#N/A,#N/A,TRUE,"amps&amp;GProj"}</definedName>
    <definedName name="yte_1" localSheetId="8" hidden="1">{#N/A,#N/A,TRUE,"consinc";#N/A,#N/A,TRUE,"consproj";#N/A,#N/A,TRUE,"deminc";#N/A,#N/A,TRUE,"incproj";#N/A,#N/A,TRUE,"demman";#N/A,#N/A,TRUE,"manproj";#N/A,#N/A,TRUE,"S&amp;Gact";#N/A,#N/A,TRUE,"S&amp;Gproj ";#N/A,#N/A,TRUE,"dengis";#N/A,#N/A,TRUE,"dengisproj";#N/A,#N/A,TRUE,"mitinc";#N/A,#N/A,TRUE,"mitincproj";#N/A,#N/A,TRUE,"mits&amp;G";#N/A,#N/A,TRUE,"mits&amp;gproj";#N/A,#N/A,TRUE,"arcis";#N/A,#N/A,TRUE,"arcproj";#N/A,#N/A,TRUE,"ampinc";#N/A,#N/A,TRUE,"ampincproj";#N/A,#N/A,TRUE,"ampman";#N/A,#N/A,TRUE,"ampmanproj";#N/A,#N/A,TRUE,"ampS&amp;G";#N/A,#N/A,TRUE,"amps&amp;GProj"}</definedName>
    <definedName name="yte_1" hidden="1">{#N/A,#N/A,TRUE,"consinc";#N/A,#N/A,TRUE,"consproj";#N/A,#N/A,TRUE,"deminc";#N/A,#N/A,TRUE,"incproj";#N/A,#N/A,TRUE,"demman";#N/A,#N/A,TRUE,"manproj";#N/A,#N/A,TRUE,"S&amp;Gact";#N/A,#N/A,TRUE,"S&amp;Gproj ";#N/A,#N/A,TRUE,"dengis";#N/A,#N/A,TRUE,"dengisproj";#N/A,#N/A,TRUE,"mitinc";#N/A,#N/A,TRUE,"mitincproj";#N/A,#N/A,TRUE,"mits&amp;G";#N/A,#N/A,TRUE,"mits&amp;gproj";#N/A,#N/A,TRUE,"arcis";#N/A,#N/A,TRUE,"arcproj";#N/A,#N/A,TRUE,"ampinc";#N/A,#N/A,TRUE,"ampincproj";#N/A,#N/A,TRUE,"ampman";#N/A,#N/A,TRUE,"ampmanproj";#N/A,#N/A,TRUE,"ampS&amp;G";#N/A,#N/A,TRUE,"amps&amp;GProj"}</definedName>
    <definedName name="ytirui" hidden="1">#REF!</definedName>
    <definedName name="ytkk" localSheetId="8" hidden="1">{"fssum01",#N/A,FALSE,"fssum";"fssum02",#N/A,FALSE,"fssum"}</definedName>
    <definedName name="ytkk" hidden="1">{"fssum01",#N/A,FALSE,"fssum";"fssum02",#N/A,FALSE,"fssum"}</definedName>
    <definedName name="ytkk_1" localSheetId="8" hidden="1">{"fssum01",#N/A,FALSE,"fssum";"fssum02",#N/A,FALSE,"fssum"}</definedName>
    <definedName name="ytkk_1" hidden="1">{"fssum01",#N/A,FALSE,"fssum";"fssum02",#N/A,FALSE,"fssum"}</definedName>
    <definedName name="ytkt" localSheetId="8" hidden="1">{#N/A,#N/A,TRUE,"consinc";#N/A,#N/A,TRUE,"consproj";#N/A,#N/A,TRUE,"deminc";#N/A,#N/A,TRUE,"incproj";#N/A,#N/A,TRUE,"demman";#N/A,#N/A,TRUE,"manproj";#N/A,#N/A,TRUE,"S&amp;Gact";#N/A,#N/A,TRUE,"S&amp;Gproj ";#N/A,#N/A,TRUE,"dengis";#N/A,#N/A,TRUE,"dengisproj";#N/A,#N/A,TRUE,"mitinc";#N/A,#N/A,TRUE,"mitincproj";#N/A,#N/A,TRUE,"mits&amp;G";#N/A,#N/A,TRUE,"mits&amp;gproj";#N/A,#N/A,TRUE,"arcis";#N/A,#N/A,TRUE,"arcproj";#N/A,#N/A,TRUE,"ampinc";#N/A,#N/A,TRUE,"ampincproj";#N/A,#N/A,TRUE,"ampman";#N/A,#N/A,TRUE,"ampmanproj";#N/A,#N/A,TRUE,"ampS&amp;G";#N/A,#N/A,TRUE,"amps&amp;GProj"}</definedName>
    <definedName name="ytkt" hidden="1">{#N/A,#N/A,TRUE,"consinc";#N/A,#N/A,TRUE,"consproj";#N/A,#N/A,TRUE,"deminc";#N/A,#N/A,TRUE,"incproj";#N/A,#N/A,TRUE,"demman";#N/A,#N/A,TRUE,"manproj";#N/A,#N/A,TRUE,"S&amp;Gact";#N/A,#N/A,TRUE,"S&amp;Gproj ";#N/A,#N/A,TRUE,"dengis";#N/A,#N/A,TRUE,"dengisproj";#N/A,#N/A,TRUE,"mitinc";#N/A,#N/A,TRUE,"mitincproj";#N/A,#N/A,TRUE,"mits&amp;G";#N/A,#N/A,TRUE,"mits&amp;gproj";#N/A,#N/A,TRUE,"arcis";#N/A,#N/A,TRUE,"arcproj";#N/A,#N/A,TRUE,"ampinc";#N/A,#N/A,TRUE,"ampincproj";#N/A,#N/A,TRUE,"ampman";#N/A,#N/A,TRUE,"ampmanproj";#N/A,#N/A,TRUE,"ampS&amp;G";#N/A,#N/A,TRUE,"amps&amp;GProj"}</definedName>
    <definedName name="ytkt_1" localSheetId="8" hidden="1">{#N/A,#N/A,TRUE,"consinc";#N/A,#N/A,TRUE,"consproj";#N/A,#N/A,TRUE,"deminc";#N/A,#N/A,TRUE,"incproj";#N/A,#N/A,TRUE,"demman";#N/A,#N/A,TRUE,"manproj";#N/A,#N/A,TRUE,"S&amp;Gact";#N/A,#N/A,TRUE,"S&amp;Gproj ";#N/A,#N/A,TRUE,"dengis";#N/A,#N/A,TRUE,"dengisproj";#N/A,#N/A,TRUE,"mitinc";#N/A,#N/A,TRUE,"mitincproj";#N/A,#N/A,TRUE,"mits&amp;G";#N/A,#N/A,TRUE,"mits&amp;gproj";#N/A,#N/A,TRUE,"arcis";#N/A,#N/A,TRUE,"arcproj";#N/A,#N/A,TRUE,"ampinc";#N/A,#N/A,TRUE,"ampincproj";#N/A,#N/A,TRUE,"ampman";#N/A,#N/A,TRUE,"ampmanproj";#N/A,#N/A,TRUE,"ampS&amp;G";#N/A,#N/A,TRUE,"amps&amp;GProj"}</definedName>
    <definedName name="ytkt_1" hidden="1">{#N/A,#N/A,TRUE,"consinc";#N/A,#N/A,TRUE,"consproj";#N/A,#N/A,TRUE,"deminc";#N/A,#N/A,TRUE,"incproj";#N/A,#N/A,TRUE,"demman";#N/A,#N/A,TRUE,"manproj";#N/A,#N/A,TRUE,"S&amp;Gact";#N/A,#N/A,TRUE,"S&amp;Gproj ";#N/A,#N/A,TRUE,"dengis";#N/A,#N/A,TRUE,"dengisproj";#N/A,#N/A,TRUE,"mitinc";#N/A,#N/A,TRUE,"mitincproj";#N/A,#N/A,TRUE,"mits&amp;G";#N/A,#N/A,TRUE,"mits&amp;gproj";#N/A,#N/A,TRUE,"arcis";#N/A,#N/A,TRUE,"arcproj";#N/A,#N/A,TRUE,"ampinc";#N/A,#N/A,TRUE,"ampincproj";#N/A,#N/A,TRUE,"ampman";#N/A,#N/A,TRUE,"ampmanproj";#N/A,#N/A,TRUE,"ampS&amp;G";#N/A,#N/A,TRUE,"amps&amp;GProj"}</definedName>
    <definedName name="ytkyt" localSheetId="8" hidden="1">{#N/A,#N/A,FALSE,"Assessment";#N/A,#N/A,FALSE,"Staffing";#N/A,#N/A,FALSE,"Hires";#N/A,#N/A,FALSE,"Assumptions"}</definedName>
    <definedName name="ytkyt" hidden="1">{#N/A,#N/A,FALSE,"Assessment";#N/A,#N/A,FALSE,"Staffing";#N/A,#N/A,FALSE,"Hires";#N/A,#N/A,FALSE,"Assumptions"}</definedName>
    <definedName name="ytre" localSheetId="8" hidden="1">{"overview",#N/A,FALSE,"summary";"net assets",#N/A,FALSE,"summary";"asset turnover",#N/A,FALSE,"summary";"orona",#N/A,FALSE,"summary"}</definedName>
    <definedName name="ytre" hidden="1">{"overview",#N/A,FALSE,"summary";"net assets",#N/A,FALSE,"summary";"asset turnover",#N/A,FALSE,"summary";"orona",#N/A,FALSE,"summary"}</definedName>
    <definedName name="ytryuryrytyt" hidden="1">{#N/A,#N/A,FALSE,"Dutos";#N/A,#N/A,FALSE,"Terminais"}</definedName>
    <definedName name="yttty" localSheetId="8" hidden="1">{#N/A,#N/A,FALSE,"Adm comp";#N/A,#N/A,FALSE,"Adm ajust";"adm",#N/A,FALSE,"Administration";#N/A,#N/A,FALSE,"Adm Bgt 97 vs Prév. 96";#N/A,#N/A,FALSE,"Adm Bgt 97 vs 96"}</definedName>
    <definedName name="yttty" hidden="1">{#N/A,#N/A,FALSE,"Adm comp";#N/A,#N/A,FALSE,"Adm ajust";"adm",#N/A,FALSE,"Administration";#N/A,#N/A,FALSE,"Adm Bgt 97 vs Prév. 96";#N/A,#N/A,FALSE,"Adm Bgt 97 vs 96"}</definedName>
    <definedName name="ytukyu" localSheetId="8" hidden="1">{#N/A,#N/A,FALSE,"Graficos";#N/A,#N/A,FALSE,"P.Ingresos";#N/A,#N/A,FALSE,"P.Gastos";#N/A,#N/A,FALSE,"I.Trafico";#N/A,#N/A,FALSE,"I.Peajes";#N/A,#N/A,FALSE,"G.Operativos";#N/A,#N/A,FALSE,"Cf Proyecto";#N/A,#N/A,FALSE,"C.PYG";#N/A,#N/A,FALSE,"Balance";#N/A,#N/A,FALSE,"TIR AC";#N/A,#N/A,FALSE,"TIR E"}</definedName>
    <definedName name="ytukyu" hidden="1">{#N/A,#N/A,FALSE,"Graficos";#N/A,#N/A,FALSE,"P.Ingresos";#N/A,#N/A,FALSE,"P.Gastos";#N/A,#N/A,FALSE,"I.Trafico";#N/A,#N/A,FALSE,"I.Peajes";#N/A,#N/A,FALSE,"G.Operativos";#N/A,#N/A,FALSE,"Cf Proyecto";#N/A,#N/A,FALSE,"C.PYG";#N/A,#N/A,FALSE,"Balance";#N/A,#N/A,FALSE,"TIR AC";#N/A,#N/A,FALSE,"TIR E"}</definedName>
    <definedName name="yty" localSheetId="8" hidden="1">{"fssum01",#N/A,FALSE,"fssum";"fssum02",#N/A,FALSE,"fssum"}</definedName>
    <definedName name="yty" hidden="1">{"fssum01",#N/A,FALSE,"fssum";"fssum02",#N/A,FALSE,"fssum"}</definedName>
    <definedName name="yty_1" localSheetId="8" hidden="1">{"fssum01",#N/A,FALSE,"fssum";"fssum02",#N/A,FALSE,"fssum"}</definedName>
    <definedName name="yty_1" hidden="1">{"fssum01",#N/A,FALSE,"fssum";"fssum02",#N/A,FALSE,"fssum"}</definedName>
    <definedName name="yu" localSheetId="7" hidden="1">{"Bce Laf",#N/A,FALSE,"LAF";"CashFlow Laf",#N/A,FALSE,"LAF";"Bce Oleomed",#N/A,FALSE,"Oleomed";"Bce Dreiman",#N/A,FALSE,"Dreiman";"CashFlow oleomed",#N/A,FALSE,"Oleomed";"cashflow Dreiman",#N/A,FALSE,"Dreiman";"Bce Farmygel",#N/A,FALSE,"Farmygel";"Cashflow Farmygel",#N/A,FALSE,"Farmygel";"Cashflow Grupo",#N/A,FALSE,"Grupo";"Cash Flow Grupo",#N/A,FALSE,"GRUPO BCE ";"Bce Laf",#N/A,FALSE,"GRUPO BCE ";"Todas las Compañías",#N/A,FALSE,"Gráficos"}</definedName>
    <definedName name="yu" localSheetId="8" hidden="1">{"Bce Laf",#N/A,FALSE,"LAF";"CashFlow Laf",#N/A,FALSE,"LAF";"Bce Oleomed",#N/A,FALSE,"Oleomed";"Bce Dreiman",#N/A,FALSE,"Dreiman";"CashFlow oleomed",#N/A,FALSE,"Oleomed";"cashflow Dreiman",#N/A,FALSE,"Dreiman";"Bce Farmygel",#N/A,FALSE,"Farmygel";"Cashflow Farmygel",#N/A,FALSE,"Farmygel";"Cashflow Grupo",#N/A,FALSE,"Grupo";"Cash Flow Grupo",#N/A,FALSE,"GRUPO BCE ";"Bce Laf",#N/A,FALSE,"GRUPO BCE ";"Todas las Compañías",#N/A,FALSE,"Gráficos"}</definedName>
    <definedName name="yu" hidden="1">{"Consolidated Income Statement",#N/A,TRUE,"Deal";"Consolidated Balance Sheet",#N/A,TRUE,"Deal";"Consolidated Cash Flow",#N/A,TRUE,"Deal";"Target Income Statement",#N/A,TRUE,"Target";"Target Balance Sheet",#N/A,TRUE,"Target";"Target Cash Flow",#N/A,TRUE,"Target";"Acquiror Income Statement",#N/A,TRUE,"Acquiror";"Acquiror Balance Sheet",#N/A,TRUE,"Acquiror";"Acquiror Cash Flow",#N/A,TRUE,"Acquiror"}</definedName>
    <definedName name="yu_1" localSheetId="8" hidden="1">{"Bce Laf",#N/A,FALSE,"LAF";"CashFlow Laf",#N/A,FALSE,"LAF";"Bce Oleomed",#N/A,FALSE,"Oleomed";"Bce Dreiman",#N/A,FALSE,"Dreiman";"CashFlow oleomed",#N/A,FALSE,"Oleomed";"cashflow Dreiman",#N/A,FALSE,"Dreiman";"Bce Farmygel",#N/A,FALSE,"Farmygel";"Cashflow Farmygel",#N/A,FALSE,"Farmygel";"Cashflow Grupo",#N/A,FALSE,"Grupo";"Cash Flow Grupo",#N/A,FALSE,"GRUPO BCE ";"Bce Laf",#N/A,FALSE,"GRUPO BCE ";"Todas las Compañías",#N/A,FALSE,"Gráficos"}</definedName>
    <definedName name="yu_1" hidden="1">{"Bce Laf",#N/A,FALSE,"LAF";"CashFlow Laf",#N/A,FALSE,"LAF";"Bce Oleomed",#N/A,FALSE,"Oleomed";"Bce Dreiman",#N/A,FALSE,"Dreiman";"CashFlow oleomed",#N/A,FALSE,"Oleomed";"cashflow Dreiman",#N/A,FALSE,"Dreiman";"Bce Farmygel",#N/A,FALSE,"Farmygel";"Cashflow Farmygel",#N/A,FALSE,"Farmygel";"Cashflow Grupo",#N/A,FALSE,"Grupo";"Cash Flow Grupo",#N/A,FALSE,"GRUPO BCE ";"Bce Laf",#N/A,FALSE,"GRUPO BCE ";"Todas las Compañías",#N/A,FALSE,"Gráficos"}</definedName>
    <definedName name="yueh" hidden="1">#REF!</definedName>
    <definedName name="yuhj" hidden="1">#REF!</definedName>
    <definedName name="yui" localSheetId="7" hidden="1">{#N/A,#N/A,FALSE,"CA";#N/A,#N/A,FALSE,"CN";#N/A,#N/A,FALSE,"Inv";#N/A,#N/A,FALSE,"Inv Acc";"Miguel_balance",#N/A,FALSE,"Bal";#N/A,#N/A,FALSE,"Plantilla";#N/A,#N/A,FALSE,"CA (2)";#N/A,#N/A,FALSE,"CN (2)"}</definedName>
    <definedName name="yui" localSheetId="8" hidden="1">{#N/A,#N/A,FALSE,"CA";#N/A,#N/A,FALSE,"CN";#N/A,#N/A,FALSE,"Inv";#N/A,#N/A,FALSE,"Inv Acc";"Miguel_balance",#N/A,FALSE,"Bal";#N/A,#N/A,FALSE,"Plantilla";#N/A,#N/A,FALSE,"CA (2)";#N/A,#N/A,FALSE,"CN (2)"}</definedName>
    <definedName name="yui" hidden="1">{#N/A,#N/A,FALSE,"CA";#N/A,#N/A,FALSE,"CN";#N/A,#N/A,FALSE,"Inv";#N/A,#N/A,FALSE,"Inv Acc";"Miguel_balance",#N/A,FALSE,"Bal";#N/A,#N/A,FALSE,"Plantilla";#N/A,#N/A,FALSE,"CA (2)";#N/A,#N/A,FALSE,"CN (2)"}</definedName>
    <definedName name="yui_1" localSheetId="7" hidden="1">{#N/A,#N/A,FALSE,"CA";#N/A,#N/A,FALSE,"CN";#N/A,#N/A,FALSE,"Inv";#N/A,#N/A,FALSE,"Inv Acc";"Miguel_balance",#N/A,FALSE,"Bal";#N/A,#N/A,FALSE,"Plantilla";#N/A,#N/A,FALSE,"CA (2)";#N/A,#N/A,FALSE,"CN (2)"}</definedName>
    <definedName name="yui_1" localSheetId="8" hidden="1">{#N/A,#N/A,FALSE,"CA";#N/A,#N/A,FALSE,"CN";#N/A,#N/A,FALSE,"Inv";#N/A,#N/A,FALSE,"Inv Acc";"Miguel_balance",#N/A,FALSE,"Bal";#N/A,#N/A,FALSE,"Plantilla";#N/A,#N/A,FALSE,"CA (2)";#N/A,#N/A,FALSE,"CN (2)"}</definedName>
    <definedName name="yui_1" hidden="1">{#N/A,#N/A,FALSE,"CA";#N/A,#N/A,FALSE,"CN";#N/A,#N/A,FALSE,"Inv";#N/A,#N/A,FALSE,"Inv Acc";"Miguel_balance",#N/A,FALSE,"Bal";#N/A,#N/A,FALSE,"Plantilla";#N/A,#N/A,FALSE,"CA (2)";#N/A,#N/A,FALSE,"CN (2)"}</definedName>
    <definedName name="yuio" localSheetId="8" hidden="1">{"oct_res_comm",#N/A,FALSE,"VarToBud"}</definedName>
    <definedName name="yuio" hidden="1">{"oct_res_comm",#N/A,FALSE,"VarToBud"}</definedName>
    <definedName name="yuiy" hidden="1">#REF!</definedName>
    <definedName name="YUJGHFJ" localSheetId="8" hidden="1">{#N/A,#N/A,FALSE,"IC Annex";#N/A,#N/A,FALSE,"Sensitivity";#N/A,#N/A,FALSE,"P&amp;L";#N/A,#N/A,FALSE,"Balance Sheet";#N/A,#N/A,FALSE,"Cash Flow";#N/A,#N/A,FALSE,"Key Assumptions";#N/A,#N/A,FALSE,"Global Assumptions";#N/A,#N/A,FALSE,"Graphs"}</definedName>
    <definedName name="YUJGHFJ" hidden="1">{#N/A,#N/A,FALSE,"IC Annex";#N/A,#N/A,FALSE,"Sensitivity";#N/A,#N/A,FALSE,"P&amp;L";#N/A,#N/A,FALSE,"Balance Sheet";#N/A,#N/A,FALSE,"Cash Flow";#N/A,#N/A,FALSE,"Key Assumptions";#N/A,#N/A,FALSE,"Global Assumptions";#N/A,#N/A,FALSE,"Graphs"}</definedName>
    <definedName name="yujryuj" localSheetId="8" hidden="1">{#N/A,#N/A,FALSE,"Graficos";#N/A,#N/A,FALSE,"P.Ingresos";#N/A,#N/A,FALSE,"P.Gastos";#N/A,#N/A,FALSE,"I.Trafico";#N/A,#N/A,FALSE,"I.Peajes";#N/A,#N/A,FALSE,"G.Operativos";#N/A,#N/A,FALSE,"Cf Proyecto";#N/A,#N/A,FALSE,"C.PYG";#N/A,#N/A,FALSE,"Balance";#N/A,#N/A,FALSE,"TIR AC";#N/A,#N/A,FALSE,"TIR E"}</definedName>
    <definedName name="yujryuj" hidden="1">{#N/A,#N/A,FALSE,"Graficos";#N/A,#N/A,FALSE,"P.Ingresos";#N/A,#N/A,FALSE,"P.Gastos";#N/A,#N/A,FALSE,"I.Trafico";#N/A,#N/A,FALSE,"I.Peajes";#N/A,#N/A,FALSE,"G.Operativos";#N/A,#N/A,FALSE,"Cf Proyecto";#N/A,#N/A,FALSE,"C.PYG";#N/A,#N/A,FALSE,"Balance";#N/A,#N/A,FALSE,"TIR AC";#N/A,#N/A,FALSE,"TIR E"}</definedName>
    <definedName name="yukk" localSheetId="8" hidden="1">{"fssum01",#N/A,FALSE,"fssum";"fssum02",#N/A,FALSE,"fssum"}</definedName>
    <definedName name="yukk" hidden="1">{"fssum01",#N/A,FALSE,"fssum";"fssum02",#N/A,FALSE,"fssum"}</definedName>
    <definedName name="yukk_1" localSheetId="8" hidden="1">{"fssum01",#N/A,FALSE,"fssum";"fssum02",#N/A,FALSE,"fssum"}</definedName>
    <definedName name="yukk_1" hidden="1">{"fssum01",#N/A,FALSE,"fssum";"fssum02",#N/A,FALSE,"fssum"}</definedName>
    <definedName name="yulll" localSheetId="8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yulll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yulll_1" localSheetId="8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yulll_1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yuop" localSheetId="8" hidden="1">{"OTHER",#N/A,FALSE,"CM"}</definedName>
    <definedName name="yuop" hidden="1">{"OTHER",#N/A,FALSE,"CM"}</definedName>
    <definedName name="yuuuuuuu" localSheetId="7" hidden="1">{"ratios",#N/A,FALSE,"Summary Accounts"}</definedName>
    <definedName name="yuuuuuuu" localSheetId="8" hidden="1">{"ratios",#N/A,FALSE,"Summary Accounts"}</definedName>
    <definedName name="yuuuuuuu" hidden="1">{"ratios",#N/A,FALSE,"Summary Accounts"}</definedName>
    <definedName name="yuyuuyuyuyuyu" localSheetId="8" hidden="1">{#N/A,#N/A,TRUE,"Cover sheet";#N/A,#N/A,TRUE,"DCF analysis";#N/A,#N/A,TRUE,"WACC calculation"}</definedName>
    <definedName name="yuyuuyuyuyuyu" hidden="1">{#N/A,#N/A,TRUE,"Cover sheet";#N/A,#N/A,TRUE,"DCF analysis";#N/A,#N/A,TRUE,"WACC calculation"}</definedName>
    <definedName name="yuyuuyuyuyuyu_1" localSheetId="8" hidden="1">{#N/A,#N/A,TRUE,"Cover sheet";#N/A,#N/A,TRUE,"DCF analysis";#N/A,#N/A,TRUE,"WACC calculation"}</definedName>
    <definedName name="yuyuuyuyuyuyu_1" hidden="1">{#N/A,#N/A,TRUE,"Cover sheet";#N/A,#N/A,TRUE,"DCF analysis";#N/A,#N/A,TRUE,"WACC calculation"}</definedName>
    <definedName name="YUYUY" localSheetId="8" hidden="1">{#N/A,#N/A,FALSE,"Min compar us";#N/A,#N/A,FALSE,"Min US Equité ";#N/A,#N/A,FALSE,"Analyse U.S."}</definedName>
    <definedName name="YUYUY" hidden="1">{#N/A,#N/A,FALSE,"Min compar us";#N/A,#N/A,FALSE,"Min US Equité ";#N/A,#N/A,FALSE,"Analyse U.S."}</definedName>
    <definedName name="yv" localSheetId="8" hidden="1">{"sales growth",#N/A,FALSE,"summary";"oper income",#N/A,FALSE,"summary";"oros rank",#N/A,FALSE,"summary";"net assets",#N/A,FALSE,"summary";"asset turnover",#N/A,FALSE,"summary";"orona",#N/A,FALSE,"summary"}</definedName>
    <definedName name="yv" hidden="1">{"sales growth",#N/A,FALSE,"summary";"oper income",#N/A,FALSE,"summary";"oros rank",#N/A,FALSE,"summary";"net assets",#N/A,FALSE,"summary";"asset turnover",#N/A,FALSE,"summary";"orona",#N/A,FALSE,"summary"}</definedName>
    <definedName name="yx" localSheetId="8" hidden="1">{"overview",#N/A,FALSE,"summary";"net assets",#N/A,FALSE,"summary";"asset turnover",#N/A,FALSE,"summary";"orona",#N/A,FALSE,"summary"}</definedName>
    <definedName name="yx" hidden="1">{"overview",#N/A,FALSE,"summary";"net assets",#N/A,FALSE,"summary";"asset turnover",#N/A,FALSE,"summary";"orona",#N/A,FALSE,"summary"}</definedName>
    <definedName name="yxcxycxy" localSheetId="8" hidden="1">{#N/A,#N/A,FALSE,"Umsatz 99";#N/A,#N/A,FALSE,"ER 99 "}</definedName>
    <definedName name="yxcxycxy" hidden="1">{#N/A,#N/A,FALSE,"Umsatz 99";#N/A,#N/A,FALSE,"ER 99 "}</definedName>
    <definedName name="yy" localSheetId="8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yy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yy.7" localSheetId="8" hidden="1">{#N/A,#N/A,FALSE,"PMW Gruppe 00_99";#N/A,#N/A,FALSE,"PMW KG 00_99";#N/A,#N/A,FALSE,"PMW Inc. 00_99";#N/A,#N/A,FALSE,"PMW VTECH 00_99";#N/A,#N/A,FALSE,"PMW Thail. 00_99";#N/A,#N/A,FALSE,"PMW Canada 00_99";#N/A,#N/A,FALSE,"Währungsabw. 00_99"}</definedName>
    <definedName name="yy.7" hidden="1">{#N/A,#N/A,FALSE,"PMW Gruppe 00_99";#N/A,#N/A,FALSE,"PMW KG 00_99";#N/A,#N/A,FALSE,"PMW Inc. 00_99";#N/A,#N/A,FALSE,"PMW VTECH 00_99";#N/A,#N/A,FALSE,"PMW Thail. 00_99";#N/A,#N/A,FALSE,"PMW Canada 00_99";#N/A,#N/A,FALSE,"Währungsabw. 00_99"}</definedName>
    <definedName name="yy_1" localSheetId="8" hidden="1">{#N/A,#N/A,FALSE,"projcf";#N/A,#N/A,FALSE,"Projline";#N/A,#N/A,FALSE,"bankline";#N/A,#N/A,FALSE,"Fast95is";#N/A,#N/A,FALSE,"tool95is";#N/A,#N/A,FALSE,"tot95is";#N/A,#N/A,FALSE,"tool950h";#N/A,#N/A,FALSE,"fas95oh";#N/A,#N/A,FALSE,"tot95oh";#N/A,#N/A,FALSE,"95sga";#N/A,#N/A,FALSE,"95projcf";#N/A,#N/A,FALSE,"95loc";#N/A,#N/A,FALSE,"95bankline"}</definedName>
    <definedName name="yy_1" hidden="1">{#N/A,#N/A,FALSE,"projcf";#N/A,#N/A,FALSE,"Projline";#N/A,#N/A,FALSE,"bankline";#N/A,#N/A,FALSE,"Fast95is";#N/A,#N/A,FALSE,"tool95is";#N/A,#N/A,FALSE,"tot95is";#N/A,#N/A,FALSE,"tool950h";#N/A,#N/A,FALSE,"fas95oh";#N/A,#N/A,FALSE,"tot95oh";#N/A,#N/A,FALSE,"95sga";#N/A,#N/A,FALSE,"95projcf";#N/A,#N/A,FALSE,"95loc";#N/A,#N/A,FALSE,"95bankline"}</definedName>
    <definedName name="yyj" hidden="1">#REF!</definedName>
    <definedName name="yyju" localSheetId="8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yyju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yyju_1" localSheetId="8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yyju_1" hidden="1">{#N/A,#N/A,FALSE,"History";#N/A,#N/A,FALSE,"histbs";#N/A,#N/A,FALSE,"arsch";#N/A,#N/A,FALSE,"currbalsht";#N/A,#N/A,FALSE,"apsort";#N/A,#N/A,FALSE,"Secdbt";#N/A,#N/A,FALSE,"proj1";#N/A,#N/A,FALSE,"Proj2";#N/A,#N/A,FALSE,"manuf1";#N/A,#N/A,FALSE,"manuf2";#N/A,#N/A,FALSE,"G&amp;A1";#N/A,#N/A,FALSE,"g&amp;A2";#N/A,#N/A,FALSE,"cashfl";#N/A,#N/A,FALSE,"actquote";#N/A,#N/A,FALSE,"costs";#N/A,#N/A,FALSE,"Brkeven"}</definedName>
    <definedName name="yytt" localSheetId="8" hidden="1">{#N/A,#N/A,FALSE,"debt";#N/A,#N/A,FALSE,"apsort";#N/A,#N/A,FALSE,"AR"}</definedName>
    <definedName name="yytt" hidden="1">{#N/A,#N/A,FALSE,"debt";#N/A,#N/A,FALSE,"apsort";#N/A,#N/A,FALSE,"AR"}</definedName>
    <definedName name="yytt_1" localSheetId="8" hidden="1">{#N/A,#N/A,FALSE,"debt";#N/A,#N/A,FALSE,"apsort";#N/A,#N/A,FALSE,"AR"}</definedName>
    <definedName name="yytt_1" hidden="1">{#N/A,#N/A,FALSE,"debt";#N/A,#N/A,FALSE,"apsort";#N/A,#N/A,FALSE,"AR"}</definedName>
    <definedName name="yyy" localSheetId="7" hidden="1">{#N/A,#N/A,FALSE,"Other";#N/A,#N/A,FALSE,"Ace";#N/A,#N/A,FALSE,"Derm"}</definedName>
    <definedName name="yyy" localSheetId="8" hidden="1">{#N/A,#N/A,FALSE,"Other";#N/A,#N/A,FALSE,"Ace";#N/A,#N/A,FALSE,"Derm"}</definedName>
    <definedName name="yyy" hidden="1">{"report",#N/A,FALSE,"dataBase"}</definedName>
    <definedName name="yyy_1" localSheetId="8" hidden="1">{"Bilancio non rettificato",#N/A,FALSE,"A";"Bilancio Rettifiche",#N/A,FALSE,"B";"Bilancio Rettifiche",#N/A,FALSE,"C";"movimenti",#N/A,FALSE,"D";"amm",#N/A,FALSE,"D";"cpl",#N/A,FALSE,"D";"cola",#N/A,FALSE,"D";"imposte",#N/A,FALSE,"D"}</definedName>
    <definedName name="yyy_1" hidden="1">{"Bilancio non rettificato",#N/A,FALSE,"A";"Bilancio Rettifiche",#N/A,FALSE,"B";"Bilancio Rettifiche",#N/A,FALSE,"C";"movimenti",#N/A,FALSE,"D";"amm",#N/A,FALSE,"D";"cpl",#N/A,FALSE,"D";"cola",#N/A,FALSE,"D";"imposte",#N/A,FALSE,"D"}</definedName>
    <definedName name="yyyy" localSheetId="8" hidden="1">{#N/A,#N/A,FALSE,"IC Annex";#N/A,#N/A,FALSE,"Sensitivity";#N/A,#N/A,FALSE,"Key Assumptions";#N/A,#N/A,FALSE,"Graphs";#N/A,#N/A,FALSE,"Global Assumptions";#N/A,#N/A,FALSE,"P&amp;L";#N/A,#N/A,FALSE,"Balance Sheet";#N/A,#N/A,FALSE,"Cash Flow"}</definedName>
    <definedName name="yyyy" hidden="1">{#N/A,#N/A,FALSE,"IC Annex";#N/A,#N/A,FALSE,"Sensitivity";#N/A,#N/A,FALSE,"Key Assumptions";#N/A,#N/A,FALSE,"Graphs";#N/A,#N/A,FALSE,"Global Assumptions";#N/A,#N/A,FALSE,"P&amp;L";#N/A,#N/A,FALSE,"Balance Sheet";#N/A,#N/A,FALSE,"Cash Flow"}</definedName>
    <definedName name="YYYYY" localSheetId="8" hidden="1">{"LargoAjustes",#N/A,FALSE,"Ajustes";"CortoAjustes",#N/A,FALSE,"Ajustes";"PLAjustes",#N/A,FALSE,"Ajustes"}</definedName>
    <definedName name="YYYYY" hidden="1">{"LargoAjustes",#N/A,FALSE,"Ajustes";"CortoAjustes",#N/A,FALSE,"Ajustes";"PLAjustes",#N/A,FALSE,"Ajustes"}</definedName>
    <definedName name="YYYYY_1" localSheetId="8" hidden="1">{"LargoAjustes",#N/A,FALSE,"Ajustes";"CortoAjustes",#N/A,FALSE,"Ajustes";"PLAjustes",#N/A,FALSE,"Ajustes"}</definedName>
    <definedName name="YYYYY_1" hidden="1">{"LargoAjustes",#N/A,FALSE,"Ajustes";"CortoAjustes",#N/A,FALSE,"Ajustes";"PLAjustes",#N/A,FALSE,"Ajustes"}</definedName>
    <definedName name="yyyyyy" localSheetId="7" hidden="1">{"p_l",#N/A,FALSE,"Summary Accounts"}</definedName>
    <definedName name="yyyyyy" localSheetId="8" hidden="1">{"p_l",#N/A,FALSE,"Summary Accounts"}</definedName>
    <definedName name="yyyyyy" hidden="1">{"p_l",#N/A,FALSE,"Summary Accounts"}</definedName>
    <definedName name="yyyyyyyyyyyyyyyyyyyr" localSheetId="8" hidden="1">{#N/A,#N/A,FALSE,"Assessment";#N/A,#N/A,FALSE,"Staffing";#N/A,#N/A,FALSE,"Hires";#N/A,#N/A,FALSE,"Assumptions"}</definedName>
    <definedName name="yyyyyyyyyyyyyyyyyyyr" hidden="1">{#N/A,#N/A,FALSE,"Assessment";#N/A,#N/A,FALSE,"Staffing";#N/A,#N/A,FALSE,"Hires";#N/A,#N/A,FALSE,"Assumptions"}</definedName>
    <definedName name="YYZ" hidden="1">{#N/A,#N/A,FALSE,"SIM95"}</definedName>
    <definedName name="Z" localSheetId="8" hidden="1">{"YD GENERALH2",#N/A,FALSE,"YTD"}</definedName>
    <definedName name="z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z.l" localSheetId="8" hidden="1">{#N/A,#N/A,FALSE,"KA CH  (2)"}</definedName>
    <definedName name="z.l" hidden="1">{#N/A,#N/A,FALSE,"KA CH  (2)"}</definedName>
    <definedName name="Z_011879B6_E780_4200_A588_97BFEC531A68_.wvu.FilterData" hidden="1">#REF!</definedName>
    <definedName name="Z_079367C5_12C1_4E76_989C_00CA7AA9E4F6_.wvu.PrintArea" localSheetId="8" hidden="1">#REF!</definedName>
    <definedName name="Z_079367C5_12C1_4E76_989C_00CA7AA9E4F6_.wvu.PrintArea" hidden="1">#REF!</definedName>
    <definedName name="Z_2891AF67_639B_11D2_AA4E_AB73DC59AB4D_.wvu.PrintArea" hidden="1">#REF!</definedName>
    <definedName name="Z_2891AF68_639B_11D2_AA4E_AB73DC59AB4D_.wvu.PrintArea" hidden="1">#REF!</definedName>
    <definedName name="Z_2A7076C5_E3EA_4006_BEDC_0943BBFE50BA_.wvu.FilterData" hidden="1">#REF!</definedName>
    <definedName name="Z_2C4261EE_198C_4D62_9267_E9AC7DC7B774_.wvu.Cols" localSheetId="8" hidden="1">#REF!</definedName>
    <definedName name="Z_2C4261EE_198C_4D62_9267_E9AC7DC7B774_.wvu.Cols" hidden="1">#REF!</definedName>
    <definedName name="Z_2C4261EE_198C_4D62_9267_E9AC7DC7B774_.wvu.Rows" localSheetId="8" hidden="1">#REF!,#REF!</definedName>
    <definedName name="Z_2C4261EE_198C_4D62_9267_E9AC7DC7B774_.wvu.Rows" hidden="1">#REF!,#REF!</definedName>
    <definedName name="Z_31A2AC97_D129_4052_8003_17787EEDE885_.wvu.FilterData" hidden="1">#REF!</definedName>
    <definedName name="Z_335793BD_F0C8_11D5_9DE4_0030F103C1A1_.wvu.FilterData" hidden="1">#REF!</definedName>
    <definedName name="Z_3645D35A_34E7_497D_8938_634FC96F3076_.wvu.FilterData" hidden="1">#REF!</definedName>
    <definedName name="Z_43226E25_0D6A_49D5_BDB7_ED08E49E8D34_.wvu.FilterData" hidden="1">#REF!</definedName>
    <definedName name="Z_43226E25_0D6A_49D5_BDB7_ED08E49E8D34_.wvu.PrintArea" hidden="1">#REF!</definedName>
    <definedName name="Z_43226E25_0D6A_49D5_BDB7_ED08E49E8D34_.wvu.Rows" hidden="1">#REF!,#REF!</definedName>
    <definedName name="Z_559994F5_DCAA_4278_9E74_016FB79E0B5B_.wvu.FilterData" hidden="1">#REF!</definedName>
    <definedName name="Z_55EE4DDF_50BD_4B47_AA67_5B18E6CA744E_.wvu.FilterData" hidden="1">#REF!</definedName>
    <definedName name="Z_59082854_99A7_453E_8E86_2ABCA544D96C_.wvu.FilterData" hidden="1">#REF!</definedName>
    <definedName name="Z_7E628F38_9442_401C_B7B3_4CA757B11515_.wvu.FilterData" hidden="1">#REF!</definedName>
    <definedName name="Z_CFA02B0A_5F8E_4FB6_AA43_B8CA842B30B3_.wvu.FilterData" hidden="1">#REF!</definedName>
    <definedName name="Z_D2B38318_0F3F_4777_86A0_28065E8B2F2D_.wvu.FilterData" hidden="1">#REF!</definedName>
    <definedName name="Z_ECBFB624_D6BB_4AFA_9FDC_4711CFCF8DD1_.wvu.FilterData" hidden="1">#REF!</definedName>
    <definedName name="za" localSheetId="8" hidden="1">{"detail",#N/A,FALSE,"mfg";"summary",#N/A,FALSE,"mfg"}</definedName>
    <definedName name="za" hidden="1">{"detail",#N/A,FALSE,"mfg";"summary",#N/A,FALSE,"mfg"}</definedName>
    <definedName name="zaazaz" localSheetId="8" hidden="1">{"vue1",#N/A,FALSE,"synthese";"vue2",#N/A,FALSE,"synthese"}</definedName>
    <definedName name="zaazaz" hidden="1">{"vue1",#N/A,FALSE,"synthese";"vue2",#N/A,FALSE,"synthese"}</definedName>
    <definedName name="zaazaz_1" localSheetId="8" hidden="1">{"vue1",#N/A,FALSE,"synthese";"vue2",#N/A,FALSE,"synthese"}</definedName>
    <definedName name="zaazaz_1" hidden="1">{"vue1",#N/A,FALSE,"synthese";"vue2",#N/A,FALSE,"synthese"}</definedName>
    <definedName name="ZAE" hidden="1">#REF!</definedName>
    <definedName name="zaq" localSheetId="8" hidden="1">{#N/A,#N/A,FALSE,"Calc";#N/A,#N/A,FALSE,"Sensitivity";#N/A,#N/A,FALSE,"LT Earn.Dil.";#N/A,#N/A,FALSE,"Dil. AVP"}</definedName>
    <definedName name="zaq" hidden="1">{#N/A,#N/A,FALSE,"Calc";#N/A,#N/A,FALSE,"Sensitivity";#N/A,#N/A,FALSE,"LT Earn.Dil.";#N/A,#N/A,FALSE,"Dil. AVP"}</definedName>
    <definedName name="zaq_1" localSheetId="8" hidden="1">{#N/A,#N/A,FALSE,"Calc";#N/A,#N/A,FALSE,"Sensitivity";#N/A,#N/A,FALSE,"LT Earn.Dil.";#N/A,#N/A,FALSE,"Dil. AVP"}</definedName>
    <definedName name="zaq_1" hidden="1">{#N/A,#N/A,FALSE,"Calc";#N/A,#N/A,FALSE,"Sensitivity";#N/A,#N/A,FALSE,"LT Earn.Dil.";#N/A,#N/A,FALSE,"Dil. AVP"}</definedName>
    <definedName name="ZAXSCDVFBG" localSheetId="8" hidden="1">{#N/A,#N/A,FALSE,"Centres";#N/A,#N/A,FALSE,"Partenariats";#N/A,#N/A,FALSE,"P.Diverses";#N/A,#N/A,FALSE,"Adm";#N/A,#N/A,FALSE,"Autres R-D";#N/A,#N/A,FALSE,"Intérêts"}</definedName>
    <definedName name="ZAXSCDVFBG" hidden="1">{#N/A,#N/A,FALSE,"Centres";#N/A,#N/A,FALSE,"Partenariats";#N/A,#N/A,FALSE,"P.Diverses";#N/A,#N/A,FALSE,"Adm";#N/A,#N/A,FALSE,"Autres R-D";#N/A,#N/A,FALSE,"Intérêts"}</definedName>
    <definedName name="zaz" localSheetId="8" hidden="1">{#N/A,"PURCHM",FALSE,"Business Analysis";#N/A,"SPADD",FALSE,"Business Analysis"}</definedName>
    <definedName name="zaz" hidden="1">{#N/A,"PURCHM",FALSE,"Business Analysis";#N/A,"SPADD",FALSE,"Business Analysis"}</definedName>
    <definedName name="zb" hidden="1">#REF!</definedName>
    <definedName name="zc" hidden="1">#REF!</definedName>
    <definedName name="zd" hidden="1">#REF!</definedName>
    <definedName name="zebra" localSheetId="8" hidden="1">{"ProductCo PSTN Lines",#N/A,FALSE,"ProductCo Lines Output"}</definedName>
    <definedName name="zebra" hidden="1">{"ProductCo PSTN Lines",#N/A,FALSE,"ProductCo Lines Output"}</definedName>
    <definedName name="zedaqzd" localSheetId="8" hidden="1">{#N/A,#N/A,FALSE,"Operations";#N/A,#N/A,FALSE,"Financials"}</definedName>
    <definedName name="zedaqzd" hidden="1">{#N/A,#N/A,FALSE,"Operations";#N/A,#N/A,FALSE,"Financials"}</definedName>
    <definedName name="zedaqzd_1" localSheetId="8" hidden="1">{#N/A,#N/A,FALSE,"Operations";#N/A,#N/A,FALSE,"Financials"}</definedName>
    <definedName name="zedaqzd_1" hidden="1">{#N/A,#N/A,FALSE,"Operations";#N/A,#N/A,FALSE,"Financials"}</definedName>
    <definedName name="zefz" localSheetId="8" hidden="1">{"First Page",#N/A,FALSE,"Surfactants LBO";"Second Page",#N/A,FALSE,"Surfactants LBO"}</definedName>
    <definedName name="zefz" hidden="1">{"First Page",#N/A,FALSE,"Surfactants LBO";"Second Page",#N/A,FALSE,"Surfactants LBO"}</definedName>
    <definedName name="zefz_1" localSheetId="8" hidden="1">{"First Page",#N/A,FALSE,"Surfactants LBO";"Second Page",#N/A,FALSE,"Surfactants LBO"}</definedName>
    <definedName name="zefz_1" hidden="1">{"First Page",#N/A,FALSE,"Surfactants LBO";"Second Page",#N/A,FALSE,"Surfactants LBO"}</definedName>
    <definedName name="zeg" hidden="1">#REF!</definedName>
    <definedName name="zer" localSheetId="8" hidden="1">{#N/A,#N/A,FALSE,"Calc";#N/A,#N/A,FALSE,"Sensitivity";#N/A,#N/A,FALSE,"LT Earn.Dil.";#N/A,#N/A,FALSE,"Dil. AVP"}</definedName>
    <definedName name="zer" hidden="1">{#N/A,#N/A,FALSE,"Calc";#N/A,#N/A,FALSE,"Sensitivity";#N/A,#N/A,FALSE,"LT Earn.Dil.";#N/A,#N/A,FALSE,"Dil. AVP"}</definedName>
    <definedName name="zer_1" localSheetId="8" hidden="1">{#N/A,#N/A,FALSE,"Calc";#N/A,#N/A,FALSE,"Sensitivity";#N/A,#N/A,FALSE,"LT Earn.Dil.";#N/A,#N/A,FALSE,"Dil. AVP"}</definedName>
    <definedName name="zer_1" hidden="1">{#N/A,#N/A,FALSE,"Calc";#N/A,#N/A,FALSE,"Sensitivity";#N/A,#N/A,FALSE,"LT Earn.Dil.";#N/A,#N/A,FALSE,"Dil. AVP"}</definedName>
    <definedName name="ZERTRET" hidden="1">#REF!</definedName>
    <definedName name="zeyh" hidden="1">#REF!</definedName>
    <definedName name="zezrzrzerz" localSheetId="8" hidden="1">{"equity comps",#N/A,FALSE,"CS Comps";"equity comps",#N/A,FALSE,"PS Comps";"equity comps",#N/A,FALSE,"GIC_Comps";"equity comps",#N/A,FALSE,"GIC2_Comps"}</definedName>
    <definedName name="zezrzrzerz" hidden="1">{"equity comps",#N/A,FALSE,"CS Comps";"equity comps",#N/A,FALSE,"PS Comps";"equity comps",#N/A,FALSE,"GIC_Comps";"equity comps",#N/A,FALSE,"GIC2_Comps"}</definedName>
    <definedName name="zezrzrzerz_1" localSheetId="8" hidden="1">{"equity comps",#N/A,FALSE,"CS Comps";"equity comps",#N/A,FALSE,"PS Comps";"equity comps",#N/A,FALSE,"GIC_Comps";"equity comps",#N/A,FALSE,"GIC2_Comps"}</definedName>
    <definedName name="zezrzrzerz_1" hidden="1">{"equity comps",#N/A,FALSE,"CS Comps";"equity comps",#N/A,FALSE,"PS Comps";"equity comps",#N/A,FALSE,"GIC_Comps";"equity comps",#N/A,FALSE,"GIC2_Comps"}</definedName>
    <definedName name="zg" hidden="1">#REF!</definedName>
    <definedName name="zhu" localSheetId="7" hidden="1">{#N/A,#N/A,FALSE,"REPORT"}</definedName>
    <definedName name="zhu" localSheetId="8" hidden="1">{#N/A,#N/A,FALSE,"REPORT"}</definedName>
    <definedName name="zhu" hidden="1">{#N/A,#N/A,FALSE,"REPORT"}</definedName>
    <definedName name="zhutr" localSheetId="7" hidden="1">{#N/A,#N/A,FALSE,"REPORT"}</definedName>
    <definedName name="zhutr" localSheetId="8" hidden="1">{#N/A,#N/A,FALSE,"REPORT"}</definedName>
    <definedName name="zhutr" hidden="1">{#N/A,#N/A,FALSE,"REPORT"}</definedName>
    <definedName name="zioio" localSheetId="8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zioio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zj" hidden="1">#REF!</definedName>
    <definedName name="zl" localSheetId="8" hidden="1">{#N/A,"PURCHM",FALSE,"Business Analysis";#N/A,"SPADD",FALSE,"Business Analysis"}</definedName>
    <definedName name="zl" hidden="1">{#N/A,"PURCHM",FALSE,"Business Analysis";#N/A,"SPADD",FALSE,"Business Analysis"}</definedName>
    <definedName name="ZPQLA" localSheetId="8" hidden="1">{#N/A,#N/A,FALSE,"Min compar us";#N/A,#N/A,FALSE,"Min US Equité ";#N/A,#N/A,FALSE,"Analyse U.S."}</definedName>
    <definedName name="ZPQLA" hidden="1">{#N/A,#N/A,FALSE,"Min compar us";#N/A,#N/A,FALSE,"Min US Equité ";#N/A,#N/A,FALSE,"Analyse U.S."}</definedName>
    <definedName name="ZSZ" localSheetId="7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ZSZ" localSheetId="8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ZSZ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ztrzet" hidden="1">#REF!</definedName>
    <definedName name="zu" localSheetId="8" hidden="1">{"Ergebnisbericht_UBA",#N/A,FALSE,"MB"}</definedName>
    <definedName name="zu" hidden="1">{"Ergebnisbericht_UBA",#N/A,FALSE,"MB"}</definedName>
    <definedName name="zu_1" localSheetId="8" hidden="1">{"Ergebnisbericht_UBA",#N/A,FALSE,"MB"}</definedName>
    <definedName name="zu_1" hidden="1">{"Ergebnisbericht_UBA",#N/A,FALSE,"MB"}</definedName>
    <definedName name="zuwtuw" localSheetId="8" hidden="1">{"Ergebnisbericht_UBA",#N/A,FALSE,"MB"}</definedName>
    <definedName name="zuwtuw" hidden="1">{"Ergebnisbericht_UBA",#N/A,FALSE,"MB"}</definedName>
    <definedName name="zuwtuw_1" localSheetId="8" hidden="1">{"Ergebnisbericht_UBA",#N/A,FALSE,"MB"}</definedName>
    <definedName name="zuwtuw_1" hidden="1">{"Ergebnisbericht_UBA",#N/A,FALSE,"MB"}</definedName>
    <definedName name="zvbzcvb" hidden="1">{"'RR'!$A$2:$E$81"}</definedName>
    <definedName name="zx" localSheetId="8" hidden="1">{"Pèrdues i Guanys analític.Català",#N/A,FALSE,"Català";"Pèrdues i G. analític.castellà",#N/A,FALSE,"Castellà"}</definedName>
    <definedName name="zx" hidden="1">{"Pèrdues i Guanys analític.Català",#N/A,FALSE,"Català";"Pèrdues i G. analític.castellà",#N/A,FALSE,"Castellà"}</definedName>
    <definedName name="ZXCNFJH" localSheetId="8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ZXCNFJH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zxcvbnm" localSheetId="8" hidden="1">{#N/A,#N/A,TRUE,"Header";#N/A,#N/A,TRUE,"Total";#N/A,#N/A,TRUE,"Core";#N/A,#N/A,TRUE,"New";#N/A,#N/A,TRUE,"Core Units Rev";#N/A,#N/A,TRUE,"Core Units GM";#N/A,#N/A,TRUE,"Core Units GM%";#N/A,#N/A,TRUE,"Core Units SGA";#N/A,#N/A,TRUE,"Core Units EBIT";#N/A,#N/A,TRUE,"New Units Rev";#N/A,#N/A,TRUE,"New Units GM";#N/A,#N/A,TRUE,"New Units GM%";#N/A,#N/A,TRUE,"New Units SGA";#N/A,#N/A,TRUE,"New Units EBIT";#N/A,#N/A,TRUE,"Summary";#N/A,#N/A,TRUE,"Summary (2)";#N/A,#N/A,TRUE,"Var to last mth";#N/A,#N/A,TRUE,"Revenue";#N/A,#N/A,TRUE,"COS";#N/A,#N/A,TRUE,"Gross Margin";#N/A,#N/A,TRUE,"SG&amp;A";#N/A,#N/A,TRUE,"EBITDA";#N/A,#N/A,TRUE,"Depn&amp;Amort";#N/A,#N/A,TRUE,"EBIT";#N/A,#N/A,TRUE,"Contingency"}</definedName>
    <definedName name="zxcvbnm" hidden="1">{#N/A,#N/A,TRUE,"Header";#N/A,#N/A,TRUE,"Total";#N/A,#N/A,TRUE,"Core";#N/A,#N/A,TRUE,"New";#N/A,#N/A,TRUE,"Core Units Rev";#N/A,#N/A,TRUE,"Core Units GM";#N/A,#N/A,TRUE,"Core Units GM%";#N/A,#N/A,TRUE,"Core Units SGA";#N/A,#N/A,TRUE,"Core Units EBIT";#N/A,#N/A,TRUE,"New Units Rev";#N/A,#N/A,TRUE,"New Units GM";#N/A,#N/A,TRUE,"New Units GM%";#N/A,#N/A,TRUE,"New Units SGA";#N/A,#N/A,TRUE,"New Units EBIT";#N/A,#N/A,TRUE,"Summary";#N/A,#N/A,TRUE,"Summary (2)";#N/A,#N/A,TRUE,"Var to last mth";#N/A,#N/A,TRUE,"Revenue";#N/A,#N/A,TRUE,"COS";#N/A,#N/A,TRUE,"Gross Margin";#N/A,#N/A,TRUE,"SG&amp;A";#N/A,#N/A,TRUE,"EBITDA";#N/A,#N/A,TRUE,"Depn&amp;Amort";#N/A,#N/A,TRUE,"EBIT";#N/A,#N/A,TRUE,"Contingency"}</definedName>
    <definedName name="zxzx" localSheetId="8" hidden="1">{"oct_res_comm",#N/A,FALSE,"VarToBud"}</definedName>
    <definedName name="zxzx" hidden="1">{"oct_res_comm",#N/A,FALSE,"VarToBud"}</definedName>
    <definedName name="zysomo" localSheetId="8" hidden="1">{"'Demand Units'!$Z$2:$AF$53"}</definedName>
    <definedName name="zysomo" hidden="1">{"'Demand Units'!$Z$2:$AF$53"}</definedName>
    <definedName name="ZZ" localSheetId="8" hidden="1">{"Largo",#N/A,FALSE,"FSMILES (1)";"Corto",#N/A,FALSE,"FSMILES (1)";"PL",#N/A,FALSE,"FSMILES (1)"}</definedName>
    <definedName name="zz" hidden="1">{"'FLUOXETINE'!$A$1:$I$24"}</definedName>
    <definedName name="ZZ_1" localSheetId="8" hidden="1">{"Largo",#N/A,FALSE,"FSMILES (1)";"Corto",#N/A,FALSE,"FSMILES (1)";"PL",#N/A,FALSE,"FSMILES (1)"}</definedName>
    <definedName name="ZZ_1" hidden="1">{"Largo",#N/A,FALSE,"FSMILES (1)";"Corto",#N/A,FALSE,"FSMILES (1)";"PL",#N/A,FALSE,"FSMILES (1)"}</definedName>
    <definedName name="ZZ_EVCOMOPTS" hidden="1">10</definedName>
    <definedName name="zza4pg" localSheetId="7" hidden="1">{#N/A,#N/A,FALSE,"REPORT"}</definedName>
    <definedName name="zza4pg" localSheetId="8" hidden="1">{#N/A,#N/A,FALSE,"REPORT"}</definedName>
    <definedName name="zza4pg" hidden="1">{#N/A,#N/A,FALSE,"REPORT"}</definedName>
    <definedName name="zzad" localSheetId="8" hidden="1">{#N/A,#N/A,TRUE,"Header";#N/A,#N/A,TRUE,"Total";#N/A,#N/A,TRUE,"Core";#N/A,#N/A,TRUE,"New";#N/A,#N/A,TRUE,"Core Units Rev";#N/A,#N/A,TRUE,"Core Units GM";#N/A,#N/A,TRUE,"Core Units GM%";#N/A,#N/A,TRUE,"Core Units SGA";#N/A,#N/A,TRUE,"Core Units EBIT";#N/A,#N/A,TRUE,"New Units Rev";#N/A,#N/A,TRUE,"New Units GM";#N/A,#N/A,TRUE,"New Units GM%";#N/A,#N/A,TRUE,"New Units SGA";#N/A,#N/A,TRUE,"New Units EBIT";#N/A,#N/A,TRUE,"Summary";#N/A,#N/A,TRUE,"Summary (2)";#N/A,#N/A,TRUE,"Var to last mth";#N/A,#N/A,TRUE,"Revenue";#N/A,#N/A,TRUE,"COS";#N/A,#N/A,TRUE,"Gross Margin";#N/A,#N/A,TRUE,"SG&amp;A";#N/A,#N/A,TRUE,"EBITDA";#N/A,#N/A,TRUE,"Depn&amp;Amort";#N/A,#N/A,TRUE,"EBIT";#N/A,#N/A,TRUE,"Contingency"}</definedName>
    <definedName name="zzad" hidden="1">{#N/A,#N/A,TRUE,"Header";#N/A,#N/A,TRUE,"Total";#N/A,#N/A,TRUE,"Core";#N/A,#N/A,TRUE,"New";#N/A,#N/A,TRUE,"Core Units Rev";#N/A,#N/A,TRUE,"Core Units GM";#N/A,#N/A,TRUE,"Core Units GM%";#N/A,#N/A,TRUE,"Core Units SGA";#N/A,#N/A,TRUE,"Core Units EBIT";#N/A,#N/A,TRUE,"New Units Rev";#N/A,#N/A,TRUE,"New Units GM";#N/A,#N/A,TRUE,"New Units GM%";#N/A,#N/A,TRUE,"New Units SGA";#N/A,#N/A,TRUE,"New Units EBIT";#N/A,#N/A,TRUE,"Summary";#N/A,#N/A,TRUE,"Summary (2)";#N/A,#N/A,TRUE,"Var to last mth";#N/A,#N/A,TRUE,"Revenue";#N/A,#N/A,TRUE,"COS";#N/A,#N/A,TRUE,"Gross Margin";#N/A,#N/A,TRUE,"SG&amp;A";#N/A,#N/A,TRUE,"EBITDA";#N/A,#N/A,TRUE,"Depn&amp;Amort";#N/A,#N/A,TRUE,"EBIT";#N/A,#N/A,TRUE,"Contingency"}</definedName>
    <definedName name="zzaxz" localSheetId="8" hidden="1">{"detail",#N/A,FALSE,"mfg";"summary",#N/A,FALSE,"mfg"}</definedName>
    <definedName name="zzaxz" hidden="1">{"detail",#N/A,FALSE,"mfg";"summary",#N/A,FALSE,"mfg"}</definedName>
    <definedName name="zzb" localSheetId="8" hidden="1">{#N/A,#N/A,TRUE,"Header";#N/A,#N/A,TRUE,"Total";#N/A,#N/A,TRUE,"Core";#N/A,#N/A,TRUE,"New";#N/A,#N/A,TRUE,"Core Units Rev";#N/A,#N/A,TRUE,"Core Units GM";#N/A,#N/A,TRUE,"Core Units GM%";#N/A,#N/A,TRUE,"Core Units SGA";#N/A,#N/A,TRUE,"Core Units EBIT";#N/A,#N/A,TRUE,"New Units Rev";#N/A,#N/A,TRUE,"New Units GM";#N/A,#N/A,TRUE,"New Units GM%";#N/A,#N/A,TRUE,"New Units SGA";#N/A,#N/A,TRUE,"New Units EBIT";#N/A,#N/A,TRUE,"Summary";#N/A,#N/A,TRUE,"Summary (2)";#N/A,#N/A,TRUE,"Var to last mth";#N/A,#N/A,TRUE,"Revenue";#N/A,#N/A,TRUE,"COS";#N/A,#N/A,TRUE,"Gross Margin";#N/A,#N/A,TRUE,"SG&amp;A";#N/A,#N/A,TRUE,"EBITDA";#N/A,#N/A,TRUE,"Depn&amp;Amort";#N/A,#N/A,TRUE,"EBIT";#N/A,#N/A,TRUE,"Contingency"}</definedName>
    <definedName name="zzb" hidden="1">{#N/A,#N/A,TRUE,"Header";#N/A,#N/A,TRUE,"Total";#N/A,#N/A,TRUE,"Core";#N/A,#N/A,TRUE,"New";#N/A,#N/A,TRUE,"Core Units Rev";#N/A,#N/A,TRUE,"Core Units GM";#N/A,#N/A,TRUE,"Core Units GM%";#N/A,#N/A,TRUE,"Core Units SGA";#N/A,#N/A,TRUE,"Core Units EBIT";#N/A,#N/A,TRUE,"New Units Rev";#N/A,#N/A,TRUE,"New Units GM";#N/A,#N/A,TRUE,"New Units GM%";#N/A,#N/A,TRUE,"New Units SGA";#N/A,#N/A,TRUE,"New Units EBIT";#N/A,#N/A,TRUE,"Summary";#N/A,#N/A,TRUE,"Summary (2)";#N/A,#N/A,TRUE,"Var to last mth";#N/A,#N/A,TRUE,"Revenue";#N/A,#N/A,TRUE,"COS";#N/A,#N/A,TRUE,"Gross Margin";#N/A,#N/A,TRUE,"SG&amp;A";#N/A,#N/A,TRUE,"EBITDA";#N/A,#N/A,TRUE,"Depn&amp;Amort";#N/A,#N/A,TRUE,"EBIT";#N/A,#N/A,TRUE,"Contingency"}</definedName>
    <definedName name="zzbc" localSheetId="8" hidden="1">{#N/A,#N/A,TRUE,"Header";#N/A,#N/A,TRUE,"Total";#N/A,#N/A,TRUE,"Core";#N/A,#N/A,TRUE,"New";#N/A,#N/A,TRUE,"Core Units Rev";#N/A,#N/A,TRUE,"Core Units GM";#N/A,#N/A,TRUE,"Core Units GM%";#N/A,#N/A,TRUE,"Core Units SGA";#N/A,#N/A,TRUE,"Core Units EBIT";#N/A,#N/A,TRUE,"New Units Rev";#N/A,#N/A,TRUE,"New Units GM";#N/A,#N/A,TRUE,"New Units GM%";#N/A,#N/A,TRUE,"New Units SGA";#N/A,#N/A,TRUE,"New Units EBIT";#N/A,#N/A,TRUE,"Summary";#N/A,#N/A,TRUE,"Summary (2)";#N/A,#N/A,TRUE,"Var to last mth";#N/A,#N/A,TRUE,"Revenue";#N/A,#N/A,TRUE,"COS";#N/A,#N/A,TRUE,"Gross Margin";#N/A,#N/A,TRUE,"SG&amp;A";#N/A,#N/A,TRUE,"EBITDA";#N/A,#N/A,TRUE,"Depn&amp;Amort";#N/A,#N/A,TRUE,"EBIT";#N/A,#N/A,TRUE,"Contingency"}</definedName>
    <definedName name="zzbc" hidden="1">{#N/A,#N/A,TRUE,"Header";#N/A,#N/A,TRUE,"Total";#N/A,#N/A,TRUE,"Core";#N/A,#N/A,TRUE,"New";#N/A,#N/A,TRUE,"Core Units Rev";#N/A,#N/A,TRUE,"Core Units GM";#N/A,#N/A,TRUE,"Core Units GM%";#N/A,#N/A,TRUE,"Core Units SGA";#N/A,#N/A,TRUE,"Core Units EBIT";#N/A,#N/A,TRUE,"New Units Rev";#N/A,#N/A,TRUE,"New Units GM";#N/A,#N/A,TRUE,"New Units GM%";#N/A,#N/A,TRUE,"New Units SGA";#N/A,#N/A,TRUE,"New Units EBIT";#N/A,#N/A,TRUE,"Summary";#N/A,#N/A,TRUE,"Summary (2)";#N/A,#N/A,TRUE,"Var to last mth";#N/A,#N/A,TRUE,"Revenue";#N/A,#N/A,TRUE,"COS";#N/A,#N/A,TRUE,"Gross Margin";#N/A,#N/A,TRUE,"SG&amp;A";#N/A,#N/A,TRUE,"EBITDA";#N/A,#N/A,TRUE,"Depn&amp;Amort";#N/A,#N/A,TRUE,"EBIT";#N/A,#N/A,TRUE,"Contingency"}</definedName>
    <definedName name="zzee" localSheetId="7" hidden="1">{#N/A,#N/A,FALSE,"Pharm";#N/A,#N/A,FALSE,"WWCM"}</definedName>
    <definedName name="zzee" localSheetId="8" hidden="1">{#N/A,#N/A,FALSE,"Pharm";#N/A,#N/A,FALSE,"WWCM"}</definedName>
    <definedName name="zzee" hidden="1">{#N/A,#N/A,FALSE,"Pharm";#N/A,#N/A,FALSE,"WWCM"}</definedName>
    <definedName name="zzi.7" localSheetId="8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zzi.7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zzz" localSheetId="8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zzz" hidden="1">{"report",#N/A,FALSE,"dataBase"}</definedName>
    <definedName name="zzz1" hidden="1">#REF!</definedName>
    <definedName name="zzzz" localSheetId="8" hidden="1">{"example",#N/A,FALSE,"Import 1 - Oracle"}</definedName>
    <definedName name="zzzz" hidden="1">{"'RR'!$A$2:$E$81"}</definedName>
    <definedName name="zzzzz" localSheetId="7" hidden="1">#REF!</definedName>
    <definedName name="zzzzz" localSheetId="8" hidden="1">#REF!</definedName>
    <definedName name="zzzzz" hidden="1">{#N/A,#N/A,FALSE,"REPORT"}</definedName>
    <definedName name="zzzzzz" localSheetId="8" hidden="1">{"example",#N/A,FALSE,"Import 1 - Oracle"}</definedName>
    <definedName name="zzzzzz" hidden="1">{"example",#N/A,FALSE,"Import 1 - Oracle"}</definedName>
    <definedName name="zzzzzzzzz" hidden="1">#N/A</definedName>
    <definedName name="ZZZZZZZZZZZZZZZ" localSheetId="8" hidden="1">{"BREC - I/S",#N/A,TRUE,"BREC";"BREC - C/F",#N/A,TRUE,"BREC";"BREC - B/S",#N/A,TRUE,"BREC";"BRS I/S",#N/A,TRUE,"BRS";"BRS C/F",#N/A,TRUE,"BRS";"BRS B/S",#N/A,TRUE,"BRS";"COAL - I/S",#N/A,TRUE,"COAL";"COAL - C/F",#N/A,TRUE,"COAL";"COAL - B/S",#N/A,TRUE,"COAL";"Base I/S",#N/A,TRUE,"BASE";"Base C/F",#N/A,TRUE,"BASE";"Base B/S",#N/A,TRUE,"BASE";"REHAB I/S",#N/A,TRUE,"REHAB";"REHAB C/F",#N/A,TRUE,"REHAB";"REHAB B/S",#N/A,TRUE,"REHAB";"EXCURSION I/S",#N/A,TRUE,"EXCURSION";"Excursion C/F",#N/A,TRUE,"EXCURSION";"Excursion B/S",#N/A,TRUE,"EXCURSION"}</definedName>
    <definedName name="ZZZZZZZZZZZZZZZ" hidden="1">{"BREC - I/S",#N/A,TRUE,"BREC";"BREC - C/F",#N/A,TRUE,"BREC";"BREC - B/S",#N/A,TRUE,"BREC";"BRS I/S",#N/A,TRUE,"BRS";"BRS C/F",#N/A,TRUE,"BRS";"BRS B/S",#N/A,TRUE,"BRS";"COAL - I/S",#N/A,TRUE,"COAL";"COAL - C/F",#N/A,TRUE,"COAL";"COAL - B/S",#N/A,TRUE,"COAL";"Base I/S",#N/A,TRUE,"BASE";"Base C/F",#N/A,TRUE,"BASE";"Base B/S",#N/A,TRUE,"BASE";"REHAB I/S",#N/A,TRUE,"REHAB";"REHAB C/F",#N/A,TRUE,"REHAB";"REHAB B/S",#N/A,TRUE,"REHAB";"EXCURSION I/S",#N/A,TRUE,"EXCURSION";"Excursion C/F",#N/A,TRUE,"EXCURSION";"Excursion B/S",#N/A,TRUE,"EXCURSION"}</definedName>
    <definedName name="고" localSheetId="7" hidden="1">{#N/A,#N/A,FALSE,"REPORT"}</definedName>
    <definedName name="고" localSheetId="8" hidden="1">{#N/A,#N/A,FALSE,"REPORT"}</definedName>
    <definedName name="고" hidden="1">{#N/A,#N/A,FALSE,"REPORT"}</definedName>
    <definedName name="ㄶㅇ노ㅗㄶ호" localSheetId="7" hidden="1">{#N/A,#N/A,FALSE,"REPORT"}</definedName>
    <definedName name="ㄶㅇ노ㅗㄶ호" localSheetId="8" hidden="1">{#N/A,#N/A,FALSE,"REPORT"}</definedName>
    <definedName name="ㄶㅇ노ㅗㄶ호" hidden="1">{#N/A,#N/A,FALSE,"REPORT"}</definedName>
    <definedName name="미애" localSheetId="7" hidden="1">{#N/A,#N/A,FALSE,"REPORT"}</definedName>
    <definedName name="미애" localSheetId="8" hidden="1">{#N/A,#N/A,FALSE,"REPORT"}</definedName>
    <definedName name="미애" hidden="1">{#N/A,#N/A,FALSE,"REPORT"}</definedName>
    <definedName name="ㅂㅁ" localSheetId="8" hidden="1">{#N/A,"PURCHM",FALSE,"Business Analysis";#N/A,"SPADD",FALSE,"Business Analysis"}</definedName>
    <definedName name="ㅂㅁ" hidden="1">{#N/A,"PURCHM",FALSE,"Business Analysis";#N/A,"SPADD",FALSE,"Business Analysis"}</definedName>
    <definedName name="이" localSheetId="8" hidden="1">{"vol data",#N/A,FALSE,"Datasheet";"vol graph",#N/A,FALSE,"Volume";"price data",#N/A,FALSE,"Datasheet";"price graph",#N/A,FALSE,"Price";"dp data",#N/A,FALSE,"Datasheet";"dp graph",#N/A,FALSE,"DirectProfit"}</definedName>
    <definedName name="이" hidden="1">{"vol data",#N/A,FALSE,"Datasheet";"vol graph",#N/A,FALSE,"Volume";"price data",#N/A,FALSE,"Datasheet";"price graph",#N/A,FALSE,"Price";"dp data",#N/A,FALSE,"Datasheet";"dp graph",#N/A,FALSE,"DirectProfit"}</definedName>
    <definedName name="啊实打实大师" hidden="1">IF(COUNTA(#REF!)=0,0,INDEX(#REF!,MATCH(ROW(#REF!),#REF!,TRUE)))+1</definedName>
    <definedName name="啊实打实的" hidden="1">IF(COUNTA(#REF!)=0,0,INDEX(#REF!,MATCH(ROW(#REF!),#REF!,TRUE)))+1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" i="512" l="1"/>
  <c r="O3" i="512"/>
  <c r="K44" i="512"/>
  <c r="J44" i="512"/>
  <c r="L44" i="512" s="1"/>
  <c r="I44" i="512"/>
  <c r="H44" i="512"/>
  <c r="G44" i="512"/>
  <c r="F44" i="512"/>
  <c r="E44" i="512"/>
  <c r="K43" i="512"/>
  <c r="J43" i="512"/>
  <c r="L43" i="512" s="1"/>
  <c r="I43" i="512"/>
  <c r="H43" i="512"/>
  <c r="G43" i="512"/>
  <c r="F43" i="512"/>
  <c r="E43" i="512"/>
  <c r="K42" i="512"/>
  <c r="J42" i="512"/>
  <c r="L42" i="512" s="1"/>
  <c r="I42" i="512"/>
  <c r="H42" i="512"/>
  <c r="G42" i="512"/>
  <c r="F42" i="512"/>
  <c r="E42" i="512"/>
  <c r="K41" i="512"/>
  <c r="J41" i="512"/>
  <c r="L41" i="512" s="1"/>
  <c r="I41" i="512"/>
  <c r="H41" i="512"/>
  <c r="G41" i="512"/>
  <c r="F41" i="512"/>
  <c r="E41" i="512"/>
  <c r="K40" i="512"/>
  <c r="J40" i="512"/>
  <c r="L40" i="512" s="1"/>
  <c r="I40" i="512"/>
  <c r="H40" i="512"/>
  <c r="G40" i="512"/>
  <c r="F40" i="512"/>
  <c r="E40" i="512"/>
  <c r="K39" i="512"/>
  <c r="J39" i="512"/>
  <c r="L39" i="512" s="1"/>
  <c r="I39" i="512"/>
  <c r="H39" i="512"/>
  <c r="G39" i="512"/>
  <c r="F39" i="512"/>
  <c r="E39" i="512"/>
  <c r="L38" i="512"/>
  <c r="K38" i="512"/>
  <c r="J38" i="512"/>
  <c r="I38" i="512"/>
  <c r="H38" i="512"/>
  <c r="G38" i="512"/>
  <c r="F38" i="512"/>
  <c r="E38" i="512"/>
  <c r="P30" i="512"/>
  <c r="O30" i="512"/>
  <c r="N30" i="512"/>
  <c r="M30" i="512"/>
  <c r="L30" i="512"/>
  <c r="K30" i="512"/>
  <c r="J30" i="512"/>
  <c r="P27" i="512"/>
  <c r="O27" i="512"/>
  <c r="N27" i="512"/>
  <c r="M27" i="512"/>
  <c r="L27" i="512"/>
  <c r="K27" i="512"/>
  <c r="J27" i="512"/>
  <c r="P26" i="512"/>
  <c r="O26" i="512"/>
  <c r="N26" i="512"/>
  <c r="M26" i="512"/>
  <c r="L26" i="512"/>
  <c r="K26" i="512"/>
  <c r="J26" i="512"/>
  <c r="P25" i="512"/>
  <c r="O25" i="512"/>
  <c r="N25" i="512"/>
  <c r="M25" i="512"/>
  <c r="L25" i="512"/>
  <c r="K25" i="512"/>
  <c r="J25" i="512"/>
  <c r="M23" i="512"/>
  <c r="N23" i="512" s="1"/>
  <c r="O23" i="512" s="1"/>
  <c r="P23" i="512" s="1"/>
  <c r="L23" i="512"/>
  <c r="K23" i="512"/>
  <c r="J23" i="512"/>
  <c r="P22" i="512"/>
  <c r="O22" i="512"/>
  <c r="N22" i="512"/>
  <c r="M22" i="512"/>
  <c r="L22" i="512"/>
  <c r="K22" i="512"/>
  <c r="J22" i="512"/>
  <c r="D40" i="512"/>
  <c r="D41" i="512" s="1"/>
  <c r="D42" i="512" s="1"/>
  <c r="D43" i="512" s="1"/>
  <c r="D44" i="512" s="1"/>
  <c r="D39" i="512"/>
  <c r="D38" i="512"/>
  <c r="H9" i="512"/>
  <c r="H8" i="512"/>
  <c r="H6" i="512"/>
  <c r="G9" i="512"/>
  <c r="G8" i="512"/>
  <c r="G6" i="512"/>
  <c r="F9" i="512"/>
  <c r="F8" i="512"/>
  <c r="F6" i="512"/>
  <c r="D9" i="512"/>
  <c r="C9" i="512"/>
  <c r="B9" i="512"/>
  <c r="D8" i="512"/>
  <c r="D7" i="512"/>
  <c r="D6" i="512"/>
  <c r="C8" i="512"/>
  <c r="C7" i="512"/>
  <c r="C6" i="512"/>
  <c r="C38" i="512"/>
  <c r="D37" i="512" s="1"/>
  <c r="E37" i="512" s="1"/>
  <c r="F37" i="512" s="1"/>
  <c r="G37" i="512" s="1"/>
  <c r="H37" i="512" s="1"/>
  <c r="I37" i="512" s="1"/>
  <c r="J37" i="512" s="1"/>
  <c r="K37" i="512" s="1"/>
  <c r="C39" i="512"/>
  <c r="K20" i="512"/>
  <c r="L20" i="512" s="1"/>
  <c r="M20" i="512" s="1"/>
  <c r="N20" i="512" s="1"/>
  <c r="O20" i="512" s="1"/>
  <c r="P20" i="512" s="1"/>
  <c r="P24" i="512" l="1"/>
  <c r="H10" i="512"/>
  <c r="G10" i="512"/>
  <c r="C10" i="512"/>
  <c r="H11" i="512" s="1"/>
  <c r="D10" i="512"/>
  <c r="C40" i="512"/>
  <c r="C11" i="512" l="1"/>
  <c r="P28" i="512"/>
  <c r="C41" i="512"/>
  <c r="C42" i="512" l="1"/>
  <c r="C43" i="512" l="1"/>
  <c r="C44" i="512" l="1"/>
  <c r="J24" i="512" l="1"/>
  <c r="K24" i="512" l="1"/>
  <c r="O24" i="512" l="1"/>
  <c r="L24" i="512"/>
  <c r="M24" i="512"/>
  <c r="N24" i="512" l="1"/>
  <c r="J28" i="512" l="1"/>
  <c r="K28" i="512" l="1"/>
  <c r="L28" i="512" l="1"/>
  <c r="M28" i="512" l="1"/>
  <c r="N28" i="512" l="1"/>
  <c r="O28" i="512" l="1"/>
  <c r="M38" i="512" l="1"/>
  <c r="M43" i="512"/>
  <c r="M41" i="512"/>
  <c r="M39" i="512"/>
  <c r="M44" i="512"/>
  <c r="M40" i="512"/>
  <c r="M42" i="512"/>
  <c r="J32" i="512" l="1" a="1"/>
  <c r="J32" i="512" s="1"/>
  <c r="J33" i="512" a="1"/>
  <c r="J33" i="512" s="1"/>
  <c r="O41" i="492" l="1"/>
  <c r="D14" i="491"/>
  <c r="O34" i="492" l="1"/>
  <c r="M4" i="492"/>
  <c r="Q22" i="492" s="1"/>
  <c r="N7" i="492"/>
  <c r="N23" i="492" s="1"/>
  <c r="N137" i="492"/>
  <c r="M106" i="492"/>
  <c r="M107" i="492" s="1"/>
  <c r="M108" i="492" s="1"/>
  <c r="M109" i="492" s="1"/>
  <c r="M110" i="492" s="1"/>
  <c r="M111" i="492" s="1"/>
  <c r="M112" i="492" s="1"/>
  <c r="M113" i="492" s="1"/>
  <c r="M114" i="492" s="1"/>
  <c r="M115" i="492" s="1"/>
  <c r="M116" i="492" s="1"/>
  <c r="M117" i="492" s="1"/>
  <c r="M118" i="492" s="1"/>
  <c r="M119" i="492" s="1"/>
  <c r="M120" i="492" s="1"/>
  <c r="M121" i="492" s="1"/>
  <c r="M122" i="492" s="1"/>
  <c r="M123" i="492" s="1"/>
  <c r="M124" i="492" s="1"/>
  <c r="M125" i="492" s="1"/>
  <c r="M126" i="492" s="1"/>
  <c r="M127" i="492" s="1"/>
  <c r="M128" i="492" s="1"/>
  <c r="M129" i="492" s="1"/>
  <c r="M130" i="492" s="1"/>
  <c r="M131" i="492" s="1"/>
  <c r="M132" i="492" s="1"/>
  <c r="M133" i="492" s="1"/>
  <c r="N105" i="492"/>
  <c r="M104" i="492"/>
  <c r="P65" i="492"/>
  <c r="P66" i="492" s="1"/>
  <c r="P67" i="492" s="1"/>
  <c r="P68" i="492" s="1"/>
  <c r="P69" i="492" s="1"/>
  <c r="P70" i="492" s="1"/>
  <c r="P71" i="492" s="1"/>
  <c r="P72" i="492" s="1"/>
  <c r="P73" i="492" s="1"/>
  <c r="P74" i="492" s="1"/>
  <c r="P75" i="492" s="1"/>
  <c r="P76" i="492" s="1"/>
  <c r="P77" i="492" s="1"/>
  <c r="P78" i="492" s="1"/>
  <c r="P79" i="492" s="1"/>
  <c r="P80" i="492" s="1"/>
  <c r="P81" i="492" s="1"/>
  <c r="P82" i="492" s="1"/>
  <c r="P83" i="492" s="1"/>
  <c r="P84" i="492" s="1"/>
  <c r="P85" i="492" s="1"/>
  <c r="P86" i="492" s="1"/>
  <c r="P87" i="492" s="1"/>
  <c r="P88" i="492" s="1"/>
  <c r="P89" i="492" s="1"/>
  <c r="P90" i="492" s="1"/>
  <c r="P91" i="492" s="1"/>
  <c r="P92" i="492" s="1"/>
  <c r="M65" i="492"/>
  <c r="M66" i="492" s="1"/>
  <c r="M67" i="492" s="1"/>
  <c r="M68" i="492" s="1"/>
  <c r="M69" i="492" s="1"/>
  <c r="M70" i="492" s="1"/>
  <c r="M71" i="492" s="1"/>
  <c r="M72" i="492" s="1"/>
  <c r="M73" i="492" s="1"/>
  <c r="M74" i="492" s="1"/>
  <c r="M75" i="492" s="1"/>
  <c r="M76" i="492" s="1"/>
  <c r="M77" i="492" s="1"/>
  <c r="M78" i="492" s="1"/>
  <c r="M79" i="492" s="1"/>
  <c r="M80" i="492" s="1"/>
  <c r="M81" i="492" s="1"/>
  <c r="M82" i="492" s="1"/>
  <c r="M83" i="492" s="1"/>
  <c r="M84" i="492" s="1"/>
  <c r="M85" i="492" s="1"/>
  <c r="M86" i="492" s="1"/>
  <c r="M87" i="492" s="1"/>
  <c r="M88" i="492" s="1"/>
  <c r="M89" i="492" s="1"/>
  <c r="M90" i="492" s="1"/>
  <c r="M91" i="492" s="1"/>
  <c r="M92" i="492" s="1"/>
  <c r="Q64" i="492"/>
  <c r="N64" i="492"/>
  <c r="P63" i="492"/>
  <c r="M63" i="492"/>
  <c r="Q51" i="492"/>
  <c r="O42" i="492"/>
  <c r="F33" i="492"/>
  <c r="N15" i="492"/>
  <c r="P15" i="492" s="1"/>
  <c r="N14" i="492"/>
  <c r="P14" i="492" s="1"/>
  <c r="D26" i="492"/>
  <c r="D142" i="492"/>
  <c r="D133" i="492"/>
  <c r="D132" i="492"/>
  <c r="D131" i="492"/>
  <c r="D130" i="492"/>
  <c r="D129" i="492"/>
  <c r="D128" i="492"/>
  <c r="D127" i="492"/>
  <c r="D126" i="492"/>
  <c r="D125" i="492"/>
  <c r="D124" i="492"/>
  <c r="D123" i="492"/>
  <c r="D122" i="492"/>
  <c r="D121" i="492"/>
  <c r="D120" i="492"/>
  <c r="D119" i="492"/>
  <c r="D118" i="492"/>
  <c r="D117" i="492"/>
  <c r="D116" i="492"/>
  <c r="D115" i="492"/>
  <c r="D114" i="492"/>
  <c r="D113" i="492"/>
  <c r="D112" i="492"/>
  <c r="D111" i="492"/>
  <c r="D110" i="492"/>
  <c r="D109" i="492"/>
  <c r="D108" i="492"/>
  <c r="D107" i="492"/>
  <c r="D106" i="492"/>
  <c r="G92" i="492"/>
  <c r="G91" i="492"/>
  <c r="G90" i="492"/>
  <c r="G89" i="492"/>
  <c r="G88" i="492"/>
  <c r="G87" i="492"/>
  <c r="G86" i="492"/>
  <c r="G85" i="492"/>
  <c r="G84" i="492"/>
  <c r="G83" i="492"/>
  <c r="G82" i="492"/>
  <c r="G81" i="492"/>
  <c r="G80" i="492"/>
  <c r="G79" i="492"/>
  <c r="G78" i="492"/>
  <c r="G77" i="492"/>
  <c r="G76" i="492"/>
  <c r="G75" i="492"/>
  <c r="G74" i="492"/>
  <c r="G73" i="492"/>
  <c r="G72" i="492"/>
  <c r="G71" i="492"/>
  <c r="G70" i="492"/>
  <c r="G69" i="492"/>
  <c r="G68" i="492"/>
  <c r="G67" i="492"/>
  <c r="G66" i="492"/>
  <c r="G65" i="492"/>
  <c r="D92" i="492"/>
  <c r="D91" i="492"/>
  <c r="D90" i="492"/>
  <c r="D89" i="492"/>
  <c r="D88" i="492"/>
  <c r="D87" i="492"/>
  <c r="D86" i="492"/>
  <c r="D85" i="492"/>
  <c r="D84" i="492"/>
  <c r="D83" i="492"/>
  <c r="D82" i="492"/>
  <c r="D81" i="492"/>
  <c r="D80" i="492"/>
  <c r="D79" i="492"/>
  <c r="D78" i="492"/>
  <c r="D77" i="492"/>
  <c r="D76" i="492"/>
  <c r="D75" i="492"/>
  <c r="D74" i="492"/>
  <c r="D73" i="492"/>
  <c r="D72" i="492"/>
  <c r="D71" i="492"/>
  <c r="D70" i="492"/>
  <c r="D69" i="492"/>
  <c r="D68" i="492"/>
  <c r="D67" i="492"/>
  <c r="D66" i="492"/>
  <c r="D65" i="492"/>
  <c r="D44" i="492"/>
  <c r="C44" i="492"/>
  <c r="F42" i="492"/>
  <c r="C42" i="492"/>
  <c r="F41" i="492"/>
  <c r="D41" i="492"/>
  <c r="C41" i="492"/>
  <c r="F40" i="492"/>
  <c r="D40" i="492"/>
  <c r="C40" i="492"/>
  <c r="F39" i="492"/>
  <c r="E39" i="492"/>
  <c r="D39" i="492"/>
  <c r="H33" i="492"/>
  <c r="I33" i="492"/>
  <c r="I32" i="492"/>
  <c r="F32" i="492"/>
  <c r="D33" i="492"/>
  <c r="D137" i="492" s="1"/>
  <c r="D32" i="492"/>
  <c r="E29" i="492"/>
  <c r="H23" i="492"/>
  <c r="H22" i="492"/>
  <c r="F23" i="492"/>
  <c r="E23" i="492"/>
  <c r="F22" i="492"/>
  <c r="E22" i="492"/>
  <c r="E13" i="492"/>
  <c r="E14" i="492"/>
  <c r="E15" i="492"/>
  <c r="E12" i="492"/>
  <c r="Q23" i="492" l="1"/>
  <c r="Q97" i="492"/>
  <c r="N13" i="492"/>
  <c r="P13" i="492" s="1"/>
  <c r="N53" i="492"/>
  <c r="O33" i="492"/>
  <c r="O26" i="492"/>
  <c r="O32" i="492"/>
  <c r="N22" i="492"/>
  <c r="N29" i="492"/>
  <c r="N54" i="492" s="1"/>
  <c r="N97" i="492" l="1"/>
  <c r="N52" i="492"/>
  <c r="N24" i="492"/>
  <c r="N12" i="492"/>
  <c r="P12" i="492" l="1"/>
  <c r="P16" i="492" s="1"/>
  <c r="N16" i="492"/>
  <c r="N27" i="492"/>
  <c r="O24" i="492"/>
  <c r="N30" i="492" l="1"/>
  <c r="O30" i="492" s="1"/>
  <c r="O27" i="492"/>
  <c r="N34" i="492"/>
  <c r="O16" i="492"/>
  <c r="Q52" i="492"/>
  <c r="I70" i="492" l="1"/>
  <c r="I65" i="492"/>
  <c r="I92" i="492"/>
  <c r="I91" i="492"/>
  <c r="I90" i="492"/>
  <c r="I89" i="492"/>
  <c r="I88" i="492"/>
  <c r="I87" i="492"/>
  <c r="I86" i="492"/>
  <c r="I85" i="492"/>
  <c r="I84" i="492"/>
  <c r="I83" i="492"/>
  <c r="I82" i="492"/>
  <c r="I81" i="492"/>
  <c r="I80" i="492"/>
  <c r="I79" i="492"/>
  <c r="I78" i="492"/>
  <c r="I77" i="492"/>
  <c r="I76" i="492"/>
  <c r="I75" i="492"/>
  <c r="I74" i="492"/>
  <c r="I73" i="492"/>
  <c r="I72" i="492"/>
  <c r="I71" i="492"/>
  <c r="I69" i="492"/>
  <c r="I68" i="492"/>
  <c r="I67" i="492"/>
  <c r="I66" i="492"/>
  <c r="L153" i="491"/>
  <c r="M153" i="491"/>
  <c r="N153" i="491"/>
  <c r="O153" i="491"/>
  <c r="P153" i="491"/>
  <c r="Q153" i="491"/>
  <c r="R153" i="491"/>
  <c r="S153" i="491"/>
  <c r="T153" i="491"/>
  <c r="U153" i="491"/>
  <c r="V153" i="491"/>
  <c r="W153" i="491"/>
  <c r="X153" i="491"/>
  <c r="Y153" i="491"/>
  <c r="Z153" i="491"/>
  <c r="AA153" i="491"/>
  <c r="AB153" i="491"/>
  <c r="AC153" i="491"/>
  <c r="AD153" i="491"/>
  <c r="AE153" i="491"/>
  <c r="AF153" i="491"/>
  <c r="AG153" i="491"/>
  <c r="AH153" i="491"/>
  <c r="AI153" i="491"/>
  <c r="AJ153" i="491"/>
  <c r="AK153" i="491"/>
  <c r="AL153" i="491"/>
  <c r="AM153" i="491"/>
  <c r="AN153" i="491"/>
  <c r="AO153" i="491"/>
  <c r="AP153" i="491"/>
  <c r="AQ153" i="491"/>
  <c r="AR153" i="491"/>
  <c r="AS153" i="491"/>
  <c r="AT153" i="491"/>
  <c r="AU153" i="491"/>
  <c r="K153" i="491"/>
  <c r="L44" i="491"/>
  <c r="Q44" i="491"/>
  <c r="V44" i="491"/>
  <c r="AA44" i="491"/>
  <c r="AF44" i="491"/>
  <c r="AK44" i="491"/>
  <c r="AP44" i="491"/>
  <c r="AU44" i="491"/>
  <c r="E42" i="492" l="1"/>
  <c r="E41" i="492"/>
  <c r="O37" i="502" l="1"/>
  <c r="P37" i="502"/>
  <c r="O38" i="502"/>
  <c r="P38" i="502"/>
  <c r="O53" i="502"/>
  <c r="O78" i="502" s="1"/>
  <c r="P53" i="502"/>
  <c r="P57" i="502"/>
  <c r="P64" i="502"/>
  <c r="O71" i="502"/>
  <c r="P71" i="502"/>
  <c r="O73" i="502"/>
  <c r="P78" i="502"/>
  <c r="O80" i="502"/>
  <c r="P80" i="502"/>
  <c r="P85" i="502"/>
  <c r="O87" i="502"/>
  <c r="P87" i="502"/>
  <c r="P92" i="502"/>
  <c r="O94" i="502"/>
  <c r="P94" i="502"/>
  <c r="O106" i="502"/>
  <c r="P106" i="502"/>
  <c r="O107" i="502"/>
  <c r="P107" i="502"/>
  <c r="O108" i="502"/>
  <c r="P108" i="502" s="1"/>
  <c r="O112" i="502"/>
  <c r="P112" i="502"/>
  <c r="S7" i="490"/>
  <c r="L28" i="499"/>
  <c r="M28" i="499"/>
  <c r="P8" i="502" s="1"/>
  <c r="P35" i="502" s="1"/>
  <c r="P39" i="502" s="1"/>
  <c r="P42" i="502" s="1"/>
  <c r="S12" i="490"/>
  <c r="T12" i="490"/>
  <c r="AQ133" i="491" a="1"/>
  <c r="AQ133" i="491" s="1"/>
  <c r="AL133" i="491" a="1"/>
  <c r="AL133" i="491" s="1"/>
  <c r="AQ150" i="491" a="1"/>
  <c r="AL150" i="491" a="1"/>
  <c r="AQ176" i="491" a="1"/>
  <c r="AL176" i="491" a="1"/>
  <c r="AQ202" i="491" a="1"/>
  <c r="AQ202" i="491" s="1"/>
  <c r="AL202" i="491" a="1"/>
  <c r="AL202" i="491" s="1"/>
  <c r="AU143" i="491"/>
  <c r="AU94" i="491" s="1"/>
  <c r="AP143" i="491"/>
  <c r="AP94" i="491" s="1"/>
  <c r="AU126" i="491"/>
  <c r="AP126" i="491"/>
  <c r="AT94" i="491"/>
  <c r="AS94" i="491"/>
  <c r="AR94" i="491"/>
  <c r="AQ94" i="491"/>
  <c r="AU93" i="491"/>
  <c r="AT93" i="491"/>
  <c r="AS93" i="491"/>
  <c r="AR93" i="491"/>
  <c r="AQ93" i="491"/>
  <c r="AO94" i="491"/>
  <c r="AN94" i="491"/>
  <c r="AM94" i="491"/>
  <c r="AL94" i="491"/>
  <c r="AP93" i="491"/>
  <c r="AO93" i="491"/>
  <c r="AN93" i="491"/>
  <c r="AM93" i="491"/>
  <c r="AL93" i="491"/>
  <c r="AU45" i="491"/>
  <c r="AU43" i="491"/>
  <c r="AU42" i="491"/>
  <c r="AU41" i="491"/>
  <c r="AU40" i="491"/>
  <c r="AU39" i="491"/>
  <c r="AU38" i="491"/>
  <c r="AP45" i="491"/>
  <c r="AP43" i="491"/>
  <c r="AP42" i="491"/>
  <c r="AP41" i="491"/>
  <c r="AP40" i="491"/>
  <c r="AP39" i="491"/>
  <c r="AP38" i="491"/>
  <c r="O4" i="502"/>
  <c r="P4" i="502" s="1"/>
  <c r="M10" i="499" l="1"/>
  <c r="L21" i="499"/>
  <c r="L37" i="499"/>
  <c r="L31" i="499"/>
  <c r="AU76" i="491"/>
  <c r="AQ76" i="491" s="1"/>
  <c r="AQ157" i="491" s="1"/>
  <c r="L34" i="499"/>
  <c r="O8" i="502"/>
  <c r="O35" i="502" s="1"/>
  <c r="O39" i="502" s="1"/>
  <c r="O42" i="502" s="1"/>
  <c r="L39" i="499"/>
  <c r="L40" i="499" s="1"/>
  <c r="M21" i="499"/>
  <c r="M31" i="499"/>
  <c r="AP52" i="491"/>
  <c r="AL52" i="491" s="1"/>
  <c r="M17" i="499"/>
  <c r="AU55" i="491"/>
  <c r="AT55" i="491" s="1"/>
  <c r="AU75" i="491"/>
  <c r="AS75" i="491" s="1"/>
  <c r="M13" i="499"/>
  <c r="M37" i="499"/>
  <c r="T7" i="490"/>
  <c r="S15" i="490"/>
  <c r="M14" i="499"/>
  <c r="T15" i="490"/>
  <c r="P9" i="502"/>
  <c r="AP76" i="491"/>
  <c r="AL76" i="491" s="1"/>
  <c r="AL157" i="491" s="1"/>
  <c r="M34" i="499"/>
  <c r="S9" i="490"/>
  <c r="S52" i="490" s="1"/>
  <c r="S16" i="490"/>
  <c r="O9" i="502"/>
  <c r="AP55" i="491"/>
  <c r="AO55" i="491" s="1"/>
  <c r="AU52" i="491"/>
  <c r="AR52" i="491" s="1"/>
  <c r="T9" i="490"/>
  <c r="T16" i="490"/>
  <c r="AP75" i="491"/>
  <c r="AO75" i="491" s="1"/>
  <c r="O64" i="502"/>
  <c r="O92" i="502"/>
  <c r="O85" i="502"/>
  <c r="O57" i="502"/>
  <c r="M39" i="499"/>
  <c r="M40" i="499" s="1"/>
  <c r="L13" i="499"/>
  <c r="L17" i="499"/>
  <c r="AN76" i="491"/>
  <c r="AN157" i="491" s="1"/>
  <c r="AR76" i="491"/>
  <c r="AR157" i="491" s="1"/>
  <c r="AQ150" i="491"/>
  <c r="AU150" i="491" s="1"/>
  <c r="AL150" i="491"/>
  <c r="AQ176" i="491"/>
  <c r="AU176" i="491" s="1"/>
  <c r="AL176" i="491"/>
  <c r="AP176" i="491" s="1"/>
  <c r="AU202" i="491"/>
  <c r="AP133" i="491"/>
  <c r="AQ75" i="491" l="1"/>
  <c r="T52" i="490"/>
  <c r="T8" i="490"/>
  <c r="AM76" i="491"/>
  <c r="AM157" i="491" s="1"/>
  <c r="AO76" i="491"/>
  <c r="AO157" i="491" s="1"/>
  <c r="AU157" i="491"/>
  <c r="AS76" i="491"/>
  <c r="AS157" i="491" s="1"/>
  <c r="AT76" i="491"/>
  <c r="AT157" i="491" s="1"/>
  <c r="AP157" i="491"/>
  <c r="AM52" i="491"/>
  <c r="AL55" i="491"/>
  <c r="S10" i="490"/>
  <c r="AL75" i="491"/>
  <c r="AM75" i="491"/>
  <c r="AN75" i="491"/>
  <c r="AR55" i="491"/>
  <c r="T10" i="490"/>
  <c r="AS55" i="491"/>
  <c r="AS52" i="491"/>
  <c r="AQ55" i="491"/>
  <c r="AT52" i="491"/>
  <c r="AQ52" i="491"/>
  <c r="AO52" i="491"/>
  <c r="AN52" i="491"/>
  <c r="AM55" i="491"/>
  <c r="AP54" i="491"/>
  <c r="S13" i="490"/>
  <c r="T13" i="490"/>
  <c r="AU54" i="491"/>
  <c r="AN55" i="491"/>
  <c r="AT75" i="491"/>
  <c r="AR75" i="491"/>
  <c r="AP202" i="491"/>
  <c r="AP150" i="491"/>
  <c r="AU133" i="491"/>
  <c r="Q12" i="490"/>
  <c r="P12" i="490"/>
  <c r="O12" i="490"/>
  <c r="M12" i="490"/>
  <c r="T14" i="490" l="1"/>
  <c r="S14" i="490"/>
  <c r="AP74" i="491"/>
  <c r="AM54" i="491"/>
  <c r="AN54" i="491"/>
  <c r="AO54" i="491"/>
  <c r="AL54" i="491"/>
  <c r="AP56" i="491"/>
  <c r="AR54" i="491"/>
  <c r="AU56" i="491"/>
  <c r="AS54" i="491"/>
  <c r="AQ54" i="491"/>
  <c r="AT54" i="491"/>
  <c r="AU74" i="491"/>
  <c r="N12" i="490"/>
  <c r="R12" i="490"/>
  <c r="AR74" i="491" l="1"/>
  <c r="AK25" i="491"/>
  <c r="AR56" i="491"/>
  <c r="AO56" i="491"/>
  <c r="AI25" i="491"/>
  <c r="AO74" i="491"/>
  <c r="AG25" i="491"/>
  <c r="AM74" i="491"/>
  <c r="AM56" i="491"/>
  <c r="AL74" i="491"/>
  <c r="AF25" i="491"/>
  <c r="AL56" i="491"/>
  <c r="AT74" i="491"/>
  <c r="AM25" i="491"/>
  <c r="AT56" i="491"/>
  <c r="AN74" i="491"/>
  <c r="AH25" i="491"/>
  <c r="AN56" i="491"/>
  <c r="AQ74" i="491"/>
  <c r="AJ25" i="491"/>
  <c r="AQ56" i="491"/>
  <c r="AS74" i="491"/>
  <c r="AL25" i="491"/>
  <c r="AS56" i="491"/>
  <c r="G13" i="490"/>
  <c r="G14" i="490"/>
  <c r="G11" i="490"/>
  <c r="C14" i="490"/>
  <c r="AL26" i="491" l="1"/>
  <c r="AM26" i="491"/>
  <c r="AJ26" i="491"/>
  <c r="AK26" i="491"/>
  <c r="AM123" i="491" l="1"/>
  <c r="AS123" i="491"/>
  <c r="AR123" i="491"/>
  <c r="AN123" i="491"/>
  <c r="AL123" i="491"/>
  <c r="AQ123" i="491"/>
  <c r="AO123" i="491"/>
  <c r="D160" i="491"/>
  <c r="F55" i="499"/>
  <c r="H55" i="499" s="1"/>
  <c r="AN166" i="491"/>
  <c r="AS166" i="491"/>
  <c r="AM166" i="491"/>
  <c r="AL166" i="491"/>
  <c r="AO166" i="491"/>
  <c r="AQ166" i="491"/>
  <c r="AR166" i="491"/>
  <c r="AT166" i="491"/>
  <c r="AT123" i="491"/>
  <c r="AT160" i="491" l="1"/>
  <c r="AL160" i="491"/>
  <c r="AD160" i="491"/>
  <c r="V160" i="491"/>
  <c r="N160" i="491"/>
  <c r="AS160" i="491"/>
  <c r="M160" i="491"/>
  <c r="AR160" i="491"/>
  <c r="AJ160" i="491"/>
  <c r="AB160" i="491"/>
  <c r="T160" i="491"/>
  <c r="AN160" i="491"/>
  <c r="AQ160" i="491"/>
  <c r="AI160" i="491"/>
  <c r="AA160" i="491"/>
  <c r="S160" i="491"/>
  <c r="AF160" i="491"/>
  <c r="P160" i="491"/>
  <c r="AP160" i="491"/>
  <c r="AH160" i="491"/>
  <c r="Z160" i="491"/>
  <c r="R160" i="491"/>
  <c r="X160" i="491"/>
  <c r="AO160" i="491"/>
  <c r="AG160" i="491"/>
  <c r="Y160" i="491"/>
  <c r="Q160" i="491"/>
  <c r="AU160" i="491"/>
  <c r="AM160" i="491"/>
  <c r="AE160" i="491"/>
  <c r="W160" i="491"/>
  <c r="O160" i="491"/>
  <c r="AK160" i="491"/>
  <c r="AC160" i="491"/>
  <c r="U160" i="491"/>
  <c r="E62" i="499"/>
  <c r="F62" i="499"/>
  <c r="F60" i="499"/>
  <c r="D61" i="499"/>
  <c r="D60" i="499"/>
  <c r="E61" i="499"/>
  <c r="F61" i="499"/>
  <c r="L55" i="499"/>
  <c r="I55" i="499"/>
  <c r="J55" i="499"/>
  <c r="G55" i="499"/>
  <c r="M55" i="499"/>
  <c r="K55" i="499"/>
  <c r="L102" i="491"/>
  <c r="M33" i="490"/>
  <c r="D28" i="490"/>
  <c r="I4" i="502"/>
  <c r="J4" i="502" s="1"/>
  <c r="K4" i="502" s="1"/>
  <c r="L4" i="502" s="1"/>
  <c r="M4" i="502" s="1"/>
  <c r="N4" i="502" s="1"/>
  <c r="I112" i="502"/>
  <c r="J112" i="502" s="1"/>
  <c r="K112" i="502" s="1"/>
  <c r="L112" i="502" s="1"/>
  <c r="M112" i="502" s="1"/>
  <c r="H111" i="502"/>
  <c r="H113" i="502" s="1"/>
  <c r="I108" i="502"/>
  <c r="J108" i="502" s="1"/>
  <c r="K108" i="502" s="1"/>
  <c r="L108" i="502" s="1"/>
  <c r="M108" i="502" s="1"/>
  <c r="D108" i="502"/>
  <c r="I107" i="502"/>
  <c r="J107" i="502" s="1"/>
  <c r="K107" i="502" s="1"/>
  <c r="L107" i="502" s="1"/>
  <c r="M107" i="502" s="1"/>
  <c r="N107" i="502" s="1"/>
  <c r="D107" i="502"/>
  <c r="I106" i="502"/>
  <c r="J106" i="502" s="1"/>
  <c r="K106" i="502" s="1"/>
  <c r="L106" i="502" s="1"/>
  <c r="M106" i="502" s="1"/>
  <c r="D106" i="502"/>
  <c r="I100" i="502"/>
  <c r="M95" i="502"/>
  <c r="L95" i="502"/>
  <c r="K95" i="502"/>
  <c r="J95" i="502"/>
  <c r="I95" i="502"/>
  <c r="H95" i="502"/>
  <c r="L88" i="502"/>
  <c r="K88" i="502"/>
  <c r="J88" i="502"/>
  <c r="I88" i="502"/>
  <c r="H88" i="502"/>
  <c r="K81" i="502"/>
  <c r="J81" i="502"/>
  <c r="I81" i="502"/>
  <c r="H81" i="502"/>
  <c r="J74" i="502"/>
  <c r="I74" i="502"/>
  <c r="H74" i="502"/>
  <c r="I67" i="502"/>
  <c r="H67" i="502"/>
  <c r="H60" i="502"/>
  <c r="H53" i="502"/>
  <c r="I38" i="502"/>
  <c r="J38" i="502" s="1"/>
  <c r="I37" i="502"/>
  <c r="J37" i="502" s="1"/>
  <c r="K37" i="502" s="1"/>
  <c r="L37" i="502" s="1"/>
  <c r="M37" i="502" s="1"/>
  <c r="B2" i="502"/>
  <c r="K27" i="491" l="1"/>
  <c r="N37" i="502"/>
  <c r="K38" i="502"/>
  <c r="L38" i="502" s="1"/>
  <c r="M38" i="502" s="1"/>
  <c r="I53" i="502"/>
  <c r="N108" i="502"/>
  <c r="N112" i="502"/>
  <c r="N106" i="502"/>
  <c r="C2" i="499"/>
  <c r="N38" i="502" l="1"/>
  <c r="J53" i="502"/>
  <c r="D55" i="502"/>
  <c r="I9" i="502" l="1"/>
  <c r="L55" i="491"/>
  <c r="I59" i="502"/>
  <c r="J59" i="502"/>
  <c r="K59" i="502"/>
  <c r="J57" i="502"/>
  <c r="K53" i="502"/>
  <c r="K57" i="502" s="1"/>
  <c r="D62" i="502"/>
  <c r="J66" i="502" s="1"/>
  <c r="K66" i="502" l="1"/>
  <c r="L53" i="502"/>
  <c r="L59" i="502"/>
  <c r="L66" i="502"/>
  <c r="K64" i="502"/>
  <c r="D69" i="502"/>
  <c r="K73" i="502" s="1"/>
  <c r="L71" i="502" l="1"/>
  <c r="D76" i="502"/>
  <c r="L80" i="502" s="1"/>
  <c r="L64" i="502"/>
  <c r="L57" i="502"/>
  <c r="L73" i="502"/>
  <c r="M53" i="502"/>
  <c r="M73" i="502"/>
  <c r="M59" i="502"/>
  <c r="M66" i="502"/>
  <c r="M80" i="502" l="1"/>
  <c r="M64" i="502"/>
  <c r="M57" i="502"/>
  <c r="D83" i="502"/>
  <c r="M87" i="502" s="1"/>
  <c r="M78" i="502"/>
  <c r="M71" i="502"/>
  <c r="N73" i="502"/>
  <c r="N80" i="502"/>
  <c r="N66" i="502"/>
  <c r="N53" i="502"/>
  <c r="N87" i="502" l="1"/>
  <c r="D90" i="502"/>
  <c r="N94" i="502" s="1"/>
  <c r="N85" i="502"/>
  <c r="N64" i="502"/>
  <c r="N57" i="502"/>
  <c r="N71" i="502"/>
  <c r="N78" i="502"/>
  <c r="B107" i="492" l="1"/>
  <c r="B66" i="492"/>
  <c r="C2" i="492"/>
  <c r="AG202" i="491" a="1"/>
  <c r="AG202" i="491" s="1"/>
  <c r="AK202" i="491" s="1"/>
  <c r="AB202" i="491" a="1"/>
  <c r="AB202" i="491" s="1"/>
  <c r="AF202" i="491" s="1"/>
  <c r="W202" i="491" a="1"/>
  <c r="W202" i="491" s="1"/>
  <c r="AA202" i="491" s="1"/>
  <c r="R202" i="491" a="1"/>
  <c r="R202" i="491" s="1"/>
  <c r="V202" i="491" s="1"/>
  <c r="M202" i="491" a="1"/>
  <c r="M202" i="491" s="1"/>
  <c r="Q202" i="491" s="1"/>
  <c r="L201" i="491"/>
  <c r="L200" i="491"/>
  <c r="L197" i="491"/>
  <c r="L194" i="491"/>
  <c r="L186" i="491"/>
  <c r="M186" i="491" s="1"/>
  <c r="AG176" i="491" a="1"/>
  <c r="AG176" i="491" s="1"/>
  <c r="AK176" i="491" s="1"/>
  <c r="AB176" i="491" a="1"/>
  <c r="AB176" i="491" s="1"/>
  <c r="AF176" i="491" s="1"/>
  <c r="W176" i="491" a="1"/>
  <c r="W176" i="491" s="1"/>
  <c r="AA176" i="491" s="1"/>
  <c r="R176" i="491" a="1"/>
  <c r="R176" i="491" s="1"/>
  <c r="V176" i="491" s="1"/>
  <c r="M176" i="491" a="1"/>
  <c r="M176" i="491" s="1"/>
  <c r="Q176" i="491" s="1"/>
  <c r="Q167" i="491"/>
  <c r="M167" i="491"/>
  <c r="L155" i="491"/>
  <c r="M155" i="491" s="1"/>
  <c r="N155" i="491" s="1"/>
  <c r="O155" i="491" s="1"/>
  <c r="P155" i="491" s="1"/>
  <c r="Q155" i="491" s="1"/>
  <c r="R155" i="491" s="1"/>
  <c r="S155" i="491" s="1"/>
  <c r="T155" i="491" s="1"/>
  <c r="U155" i="491" s="1"/>
  <c r="V155" i="491" s="1"/>
  <c r="W155" i="491" s="1"/>
  <c r="X155" i="491" s="1"/>
  <c r="Y155" i="491" s="1"/>
  <c r="Z155" i="491" s="1"/>
  <c r="AA155" i="491" s="1"/>
  <c r="AB155" i="491" s="1"/>
  <c r="AC155" i="491" s="1"/>
  <c r="AD155" i="491" s="1"/>
  <c r="AE155" i="491" s="1"/>
  <c r="AF155" i="491" s="1"/>
  <c r="AG155" i="491" s="1"/>
  <c r="AH155" i="491" s="1"/>
  <c r="AI155" i="491" s="1"/>
  <c r="AJ155" i="491" s="1"/>
  <c r="AK155" i="491" s="1"/>
  <c r="AL155" i="491" s="1"/>
  <c r="AM155" i="491" s="1"/>
  <c r="AN155" i="491" s="1"/>
  <c r="AO155" i="491" s="1"/>
  <c r="AP155" i="491" s="1"/>
  <c r="AQ155" i="491" s="1"/>
  <c r="AR155" i="491" s="1"/>
  <c r="AS155" i="491" s="1"/>
  <c r="AT155" i="491" s="1"/>
  <c r="AU155" i="491" s="1"/>
  <c r="AG150" i="491" a="1"/>
  <c r="AG150" i="491" s="1"/>
  <c r="AK150" i="491" s="1"/>
  <c r="AB150" i="491" a="1"/>
  <c r="AB150" i="491" s="1"/>
  <c r="AF150" i="491" s="1"/>
  <c r="W150" i="491" a="1"/>
  <c r="W150" i="491" s="1"/>
  <c r="AA150" i="491" s="1"/>
  <c r="R150" i="491" a="1"/>
  <c r="R150" i="491" s="1"/>
  <c r="V150" i="491" s="1"/>
  <c r="M150" i="491" a="1"/>
  <c r="M150" i="491" s="1"/>
  <c r="Q150" i="491" s="1"/>
  <c r="AK143" i="491"/>
  <c r="AK94" i="491" s="1"/>
  <c r="AF143" i="491"/>
  <c r="AF94" i="491" s="1"/>
  <c r="AA143" i="491"/>
  <c r="AA94" i="491" s="1"/>
  <c r="V143" i="491"/>
  <c r="V94" i="491" s="1"/>
  <c r="Q143" i="491"/>
  <c r="Q94" i="491" s="1"/>
  <c r="L138" i="491"/>
  <c r="M138" i="491" s="1"/>
  <c r="N138" i="491" s="1"/>
  <c r="O138" i="491" s="1"/>
  <c r="P138" i="491" s="1"/>
  <c r="Q138" i="491" s="1"/>
  <c r="R138" i="491" s="1"/>
  <c r="S138" i="491" s="1"/>
  <c r="T138" i="491" s="1"/>
  <c r="U138" i="491" s="1"/>
  <c r="V138" i="491" s="1"/>
  <c r="W138" i="491" s="1"/>
  <c r="X138" i="491" s="1"/>
  <c r="Y138" i="491" s="1"/>
  <c r="Z138" i="491" s="1"/>
  <c r="AA138" i="491" s="1"/>
  <c r="AB138" i="491" s="1"/>
  <c r="AC138" i="491" s="1"/>
  <c r="AD138" i="491" s="1"/>
  <c r="AE138" i="491" s="1"/>
  <c r="AF138" i="491" s="1"/>
  <c r="AG138" i="491" s="1"/>
  <c r="AH138" i="491" s="1"/>
  <c r="AI138" i="491" s="1"/>
  <c r="AJ138" i="491" s="1"/>
  <c r="AK138" i="491" s="1"/>
  <c r="AL138" i="491" s="1"/>
  <c r="AM138" i="491" s="1"/>
  <c r="AN138" i="491" s="1"/>
  <c r="AO138" i="491" s="1"/>
  <c r="AP138" i="491" s="1"/>
  <c r="AQ138" i="491" s="1"/>
  <c r="AR138" i="491" s="1"/>
  <c r="AS138" i="491" s="1"/>
  <c r="AT138" i="491" s="1"/>
  <c r="AU138" i="491" s="1"/>
  <c r="AG133" i="491" a="1"/>
  <c r="AG133" i="491" s="1"/>
  <c r="AK133" i="491" s="1"/>
  <c r="AB133" i="491" a="1"/>
  <c r="AB133" i="491" s="1"/>
  <c r="AF133" i="491" s="1"/>
  <c r="W133" i="491" a="1"/>
  <c r="W133" i="491" s="1"/>
  <c r="AA133" i="491" s="1"/>
  <c r="R133" i="491" a="1"/>
  <c r="R133" i="491" s="1"/>
  <c r="V133" i="491" s="1"/>
  <c r="M133" i="491" a="1"/>
  <c r="M133" i="491" s="1"/>
  <c r="Q133" i="491" s="1"/>
  <c r="AK126" i="491"/>
  <c r="AK93" i="491" s="1"/>
  <c r="AF126" i="491"/>
  <c r="AF93" i="491" s="1"/>
  <c r="AA126" i="491"/>
  <c r="AA93" i="491" s="1"/>
  <c r="V126" i="491"/>
  <c r="V93" i="491" s="1"/>
  <c r="Q126" i="491"/>
  <c r="Q93" i="491" s="1"/>
  <c r="L121" i="491"/>
  <c r="M121" i="491" s="1"/>
  <c r="N121" i="491" s="1"/>
  <c r="O121" i="491" s="1"/>
  <c r="P121" i="491" s="1"/>
  <c r="Q121" i="491" s="1"/>
  <c r="R121" i="491" s="1"/>
  <c r="S121" i="491" s="1"/>
  <c r="T121" i="491" s="1"/>
  <c r="U121" i="491" s="1"/>
  <c r="V121" i="491" s="1"/>
  <c r="W121" i="491" s="1"/>
  <c r="X121" i="491" s="1"/>
  <c r="Y121" i="491" s="1"/>
  <c r="Z121" i="491" s="1"/>
  <c r="AA121" i="491" s="1"/>
  <c r="AB121" i="491" s="1"/>
  <c r="AC121" i="491" s="1"/>
  <c r="AD121" i="491" s="1"/>
  <c r="AE121" i="491" s="1"/>
  <c r="AF121" i="491" s="1"/>
  <c r="AG121" i="491" s="1"/>
  <c r="AH121" i="491" s="1"/>
  <c r="AI121" i="491" s="1"/>
  <c r="AJ121" i="491" s="1"/>
  <c r="AK121" i="491" s="1"/>
  <c r="AL121" i="491" s="1"/>
  <c r="AM121" i="491" s="1"/>
  <c r="AN121" i="491" s="1"/>
  <c r="AO121" i="491" s="1"/>
  <c r="AP121" i="491" s="1"/>
  <c r="AQ121" i="491" s="1"/>
  <c r="AR121" i="491" s="1"/>
  <c r="AS121" i="491" s="1"/>
  <c r="AT121" i="491" s="1"/>
  <c r="AU121" i="491" s="1"/>
  <c r="C113" i="491"/>
  <c r="C183" i="491" s="1"/>
  <c r="L112" i="491"/>
  <c r="L107" i="491"/>
  <c r="M107" i="491" s="1"/>
  <c r="N107" i="491" s="1"/>
  <c r="O107" i="491" s="1"/>
  <c r="P107" i="491" s="1"/>
  <c r="Q107" i="491" s="1"/>
  <c r="R107" i="491" s="1"/>
  <c r="S107" i="491" s="1"/>
  <c r="T107" i="491" s="1"/>
  <c r="U107" i="491" s="1"/>
  <c r="V107" i="491" s="1"/>
  <c r="W107" i="491" s="1"/>
  <c r="X107" i="491" s="1"/>
  <c r="Y107" i="491" s="1"/>
  <c r="Z107" i="491" s="1"/>
  <c r="AA107" i="491" s="1"/>
  <c r="AB107" i="491" s="1"/>
  <c r="AC107" i="491" s="1"/>
  <c r="AD107" i="491" s="1"/>
  <c r="AE107" i="491" s="1"/>
  <c r="AF107" i="491" s="1"/>
  <c r="AG107" i="491" s="1"/>
  <c r="AH107" i="491" s="1"/>
  <c r="AI107" i="491" s="1"/>
  <c r="AJ107" i="491" s="1"/>
  <c r="AK107" i="491" s="1"/>
  <c r="AL107" i="491" s="1"/>
  <c r="AM107" i="491" s="1"/>
  <c r="AN107" i="491" s="1"/>
  <c r="AO107" i="491" s="1"/>
  <c r="AP107" i="491" s="1"/>
  <c r="AQ107" i="491" s="1"/>
  <c r="AR107" i="491" s="1"/>
  <c r="AS107" i="491" s="1"/>
  <c r="AT107" i="491" s="1"/>
  <c r="AU107" i="491" s="1"/>
  <c r="AJ94" i="491"/>
  <c r="AI94" i="491"/>
  <c r="AH94" i="491"/>
  <c r="AG94" i="491"/>
  <c r="AE94" i="491"/>
  <c r="AD94" i="491"/>
  <c r="AC94" i="491"/>
  <c r="AB94" i="491"/>
  <c r="Z94" i="491"/>
  <c r="Y94" i="491"/>
  <c r="X94" i="491"/>
  <c r="W94" i="491"/>
  <c r="U94" i="491"/>
  <c r="T94" i="491"/>
  <c r="S94" i="491"/>
  <c r="R94" i="491"/>
  <c r="P94" i="491"/>
  <c r="O94" i="491"/>
  <c r="N94" i="491"/>
  <c r="M94" i="491"/>
  <c r="AJ93" i="491"/>
  <c r="AI93" i="491"/>
  <c r="AH93" i="491"/>
  <c r="AG93" i="491"/>
  <c r="AE93" i="491"/>
  <c r="AD93" i="491"/>
  <c r="AC93" i="491"/>
  <c r="AB93" i="491"/>
  <c r="Z93" i="491"/>
  <c r="Y93" i="491"/>
  <c r="X93" i="491"/>
  <c r="W93" i="491"/>
  <c r="U93" i="491"/>
  <c r="T93" i="491"/>
  <c r="S93" i="491"/>
  <c r="R93" i="491"/>
  <c r="P93" i="491"/>
  <c r="O93" i="491"/>
  <c r="N93" i="491"/>
  <c r="M93" i="491"/>
  <c r="C90" i="491"/>
  <c r="C84" i="491"/>
  <c r="L72" i="491"/>
  <c r="M72" i="491" s="1"/>
  <c r="N72" i="491" s="1"/>
  <c r="O72" i="491" s="1"/>
  <c r="P72" i="491" s="1"/>
  <c r="Q72" i="491" s="1"/>
  <c r="R72" i="491" s="1"/>
  <c r="S72" i="491" s="1"/>
  <c r="T72" i="491" s="1"/>
  <c r="U72" i="491" s="1"/>
  <c r="V72" i="491" s="1"/>
  <c r="W72" i="491" s="1"/>
  <c r="X72" i="491" s="1"/>
  <c r="Y72" i="491" s="1"/>
  <c r="Z72" i="491" s="1"/>
  <c r="AA72" i="491" s="1"/>
  <c r="AB72" i="491" s="1"/>
  <c r="AC72" i="491" s="1"/>
  <c r="AD72" i="491" s="1"/>
  <c r="AE72" i="491" s="1"/>
  <c r="AF72" i="491" s="1"/>
  <c r="AG72" i="491" s="1"/>
  <c r="AH72" i="491" s="1"/>
  <c r="AI72" i="491" s="1"/>
  <c r="AJ72" i="491" s="1"/>
  <c r="AK72" i="491" s="1"/>
  <c r="AL72" i="491" s="1"/>
  <c r="AM72" i="491" s="1"/>
  <c r="AN72" i="491" s="1"/>
  <c r="AO72" i="491" s="1"/>
  <c r="AP72" i="491" s="1"/>
  <c r="AQ72" i="491" s="1"/>
  <c r="AR72" i="491" s="1"/>
  <c r="AS72" i="491" s="1"/>
  <c r="AT72" i="491" s="1"/>
  <c r="AU72" i="491" s="1"/>
  <c r="K62" i="491"/>
  <c r="J62" i="491"/>
  <c r="I62" i="491"/>
  <c r="H62" i="491"/>
  <c r="K61" i="491"/>
  <c r="J61" i="491"/>
  <c r="I61" i="491"/>
  <c r="H61" i="491"/>
  <c r="K60" i="491"/>
  <c r="J60" i="491"/>
  <c r="I60" i="491"/>
  <c r="H60" i="491"/>
  <c r="K59" i="491"/>
  <c r="J59" i="491"/>
  <c r="I59" i="491"/>
  <c r="H59" i="491"/>
  <c r="L50" i="491"/>
  <c r="M50" i="491" s="1"/>
  <c r="N50" i="491" s="1"/>
  <c r="O50" i="491" s="1"/>
  <c r="P50" i="491" s="1"/>
  <c r="Q50" i="491" s="1"/>
  <c r="R50" i="491" s="1"/>
  <c r="S50" i="491" s="1"/>
  <c r="T50" i="491" s="1"/>
  <c r="U50" i="491" s="1"/>
  <c r="V50" i="491" s="1"/>
  <c r="W50" i="491" s="1"/>
  <c r="X50" i="491" s="1"/>
  <c r="Y50" i="491" s="1"/>
  <c r="Z50" i="491" s="1"/>
  <c r="AA50" i="491" s="1"/>
  <c r="AB50" i="491" s="1"/>
  <c r="AC50" i="491" s="1"/>
  <c r="AD50" i="491" s="1"/>
  <c r="AE50" i="491" s="1"/>
  <c r="AF50" i="491" s="1"/>
  <c r="AG50" i="491" s="1"/>
  <c r="AH50" i="491" s="1"/>
  <c r="AI50" i="491" s="1"/>
  <c r="AJ50" i="491" s="1"/>
  <c r="AK50" i="491" s="1"/>
  <c r="AL50" i="491" s="1"/>
  <c r="AM50" i="491" s="1"/>
  <c r="AN50" i="491" s="1"/>
  <c r="AO50" i="491" s="1"/>
  <c r="AP50" i="491" s="1"/>
  <c r="AQ50" i="491" s="1"/>
  <c r="AR50" i="491" s="1"/>
  <c r="AS50" i="491" s="1"/>
  <c r="AT50" i="491" s="1"/>
  <c r="AU50" i="491" s="1"/>
  <c r="AK45" i="491"/>
  <c r="AF45" i="491"/>
  <c r="AA45" i="491"/>
  <c r="V45" i="491"/>
  <c r="Q45" i="491"/>
  <c r="L45" i="491"/>
  <c r="AK43" i="491"/>
  <c r="AF43" i="491"/>
  <c r="AA43" i="491"/>
  <c r="V43" i="491"/>
  <c r="Q43" i="491"/>
  <c r="L43" i="491"/>
  <c r="AK42" i="491"/>
  <c r="AF42" i="491"/>
  <c r="AA42" i="491"/>
  <c r="V42" i="491"/>
  <c r="Q42" i="491"/>
  <c r="L42" i="491"/>
  <c r="AK41" i="491"/>
  <c r="AF41" i="491"/>
  <c r="AA41" i="491"/>
  <c r="V41" i="491"/>
  <c r="Q41" i="491"/>
  <c r="L41" i="491"/>
  <c r="AK40" i="491"/>
  <c r="AF40" i="491"/>
  <c r="AA40" i="491"/>
  <c r="V40" i="491"/>
  <c r="Q40" i="491"/>
  <c r="L40" i="491"/>
  <c r="AK39" i="491"/>
  <c r="AF39" i="491"/>
  <c r="AA39" i="491"/>
  <c r="V39" i="491"/>
  <c r="Q39" i="491"/>
  <c r="L39" i="491"/>
  <c r="AK38" i="491"/>
  <c r="AF38" i="491"/>
  <c r="AA38" i="491"/>
  <c r="V38" i="491"/>
  <c r="Q38" i="491"/>
  <c r="L38" i="491"/>
  <c r="L36" i="491"/>
  <c r="M36" i="491" s="1"/>
  <c r="M31" i="491"/>
  <c r="R31" i="491" s="1"/>
  <c r="W31" i="491" s="1"/>
  <c r="AB31" i="491" s="1"/>
  <c r="AG31" i="491" s="1"/>
  <c r="AL31" i="491" s="1"/>
  <c r="AQ31" i="491" s="1"/>
  <c r="J28" i="491"/>
  <c r="I28" i="491"/>
  <c r="H28" i="491"/>
  <c r="J27" i="491"/>
  <c r="I27" i="491"/>
  <c r="H27" i="491"/>
  <c r="L23" i="491"/>
  <c r="M23" i="491" s="1"/>
  <c r="N23" i="491" s="1"/>
  <c r="O23" i="491" s="1"/>
  <c r="P23" i="491" s="1"/>
  <c r="Q23" i="491" s="1"/>
  <c r="R23" i="491" s="1"/>
  <c r="S23" i="491" s="1"/>
  <c r="T23" i="491" s="1"/>
  <c r="U23" i="491" s="1"/>
  <c r="V23" i="491" s="1"/>
  <c r="W23" i="491" s="1"/>
  <c r="X23" i="491" s="1"/>
  <c r="Y23" i="491" s="1"/>
  <c r="Z23" i="491" s="1"/>
  <c r="AA23" i="491" s="1"/>
  <c r="AB23" i="491" s="1"/>
  <c r="AC23" i="491" s="1"/>
  <c r="AD23" i="491" s="1"/>
  <c r="AE23" i="491" s="1"/>
  <c r="AF23" i="491" s="1"/>
  <c r="AG23" i="491" s="1"/>
  <c r="AH23" i="491" s="1"/>
  <c r="AI23" i="491" s="1"/>
  <c r="AJ23" i="491" s="1"/>
  <c r="AK23" i="491" s="1"/>
  <c r="AL23" i="491" s="1"/>
  <c r="AM23" i="491" s="1"/>
  <c r="L20" i="491"/>
  <c r="P20" i="491" s="1"/>
  <c r="T20" i="491" s="1"/>
  <c r="X20" i="491" s="1"/>
  <c r="AB20" i="491" s="1"/>
  <c r="AF20" i="491" s="1"/>
  <c r="AJ20" i="491" s="1"/>
  <c r="L10" i="491"/>
  <c r="L7" i="491"/>
  <c r="P7" i="491" s="1"/>
  <c r="T7" i="491" s="1"/>
  <c r="X7" i="491" s="1"/>
  <c r="AB7" i="491" s="1"/>
  <c r="AF7" i="491" s="1"/>
  <c r="AJ7" i="491" s="1"/>
  <c r="C2" i="491"/>
  <c r="L58" i="490"/>
  <c r="D6" i="490"/>
  <c r="C2" i="490"/>
  <c r="K25" i="490" l="1"/>
  <c r="M10" i="491"/>
  <c r="N10" i="491" s="1"/>
  <c r="O10" i="491" s="1"/>
  <c r="P10" i="491" s="1"/>
  <c r="Q10" i="491" s="1"/>
  <c r="R10" i="491" s="1"/>
  <c r="S10" i="491" s="1"/>
  <c r="T10" i="491" s="1"/>
  <c r="U10" i="491" s="1"/>
  <c r="V10" i="491" s="1"/>
  <c r="W10" i="491" s="1"/>
  <c r="X10" i="491" s="1"/>
  <c r="Y10" i="491" s="1"/>
  <c r="Z10" i="491" s="1"/>
  <c r="AA10" i="491" s="1"/>
  <c r="AB10" i="491" s="1"/>
  <c r="AC10" i="491" s="1"/>
  <c r="AD10" i="491" s="1"/>
  <c r="AE10" i="491" s="1"/>
  <c r="AF10" i="491" s="1"/>
  <c r="AG10" i="491" s="1"/>
  <c r="AH10" i="491" s="1"/>
  <c r="AI10" i="491" s="1"/>
  <c r="AJ10" i="491" s="1"/>
  <c r="AK10" i="491" s="1"/>
  <c r="AL10" i="491" s="1"/>
  <c r="AM10" i="491" s="1"/>
  <c r="G125" i="502"/>
  <c r="C4" i="492"/>
  <c r="B108" i="492"/>
  <c r="B109" i="492" s="1"/>
  <c r="B110" i="492" s="1"/>
  <c r="B111" i="492" s="1"/>
  <c r="B112" i="492" s="1"/>
  <c r="B113" i="492" s="1"/>
  <c r="B114" i="492" s="1"/>
  <c r="B115" i="492" s="1"/>
  <c r="B116" i="492" s="1"/>
  <c r="B117" i="492" s="1"/>
  <c r="B118" i="492" s="1"/>
  <c r="B119" i="492" s="1"/>
  <c r="B120" i="492" s="1"/>
  <c r="B121" i="492" s="1"/>
  <c r="B122" i="492" s="1"/>
  <c r="B123" i="492" s="1"/>
  <c r="B124" i="492" s="1"/>
  <c r="B125" i="492" s="1"/>
  <c r="B67" i="492"/>
  <c r="B68" i="492" s="1"/>
  <c r="B69" i="492" s="1"/>
  <c r="B70" i="492" s="1"/>
  <c r="B71" i="492" s="1"/>
  <c r="B72" i="492" s="1"/>
  <c r="B73" i="492" s="1"/>
  <c r="B74" i="492" s="1"/>
  <c r="B75" i="492" s="1"/>
  <c r="B76" i="492" s="1"/>
  <c r="B77" i="492" s="1"/>
  <c r="B78" i="492" s="1"/>
  <c r="B79" i="492" s="1"/>
  <c r="B80" i="492" s="1"/>
  <c r="B81" i="492" s="1"/>
  <c r="B82" i="492" s="1"/>
  <c r="B83" i="492" s="1"/>
  <c r="B84" i="492" s="1"/>
  <c r="B85" i="492" s="1"/>
  <c r="B86" i="492" s="1"/>
  <c r="B87" i="492" s="1"/>
  <c r="B88" i="492" s="1"/>
  <c r="B89" i="492" s="1"/>
  <c r="B90" i="492" s="1"/>
  <c r="B91" i="492" s="1"/>
  <c r="B92" i="492" s="1"/>
  <c r="H29" i="491"/>
  <c r="L61" i="491"/>
  <c r="H58" i="491"/>
  <c r="I29" i="491"/>
  <c r="J58" i="491"/>
  <c r="J29" i="491"/>
  <c r="F65" i="492"/>
  <c r="N36" i="491"/>
  <c r="O36" i="491" s="1"/>
  <c r="P36" i="491" s="1"/>
  <c r="Q36" i="491" s="1"/>
  <c r="R36" i="491" s="1"/>
  <c r="S36" i="491" s="1"/>
  <c r="T36" i="491" s="1"/>
  <c r="U36" i="491" s="1"/>
  <c r="V36" i="491" s="1"/>
  <c r="W36" i="491" s="1"/>
  <c r="X36" i="491" s="1"/>
  <c r="Y36" i="491" s="1"/>
  <c r="Z36" i="491" s="1"/>
  <c r="AA36" i="491" s="1"/>
  <c r="AB36" i="491" s="1"/>
  <c r="AC36" i="491" s="1"/>
  <c r="AD36" i="491" s="1"/>
  <c r="AE36" i="491" s="1"/>
  <c r="AF36" i="491" s="1"/>
  <c r="AG36" i="491" s="1"/>
  <c r="AH36" i="491" s="1"/>
  <c r="AI36" i="491" s="1"/>
  <c r="AJ36" i="491" s="1"/>
  <c r="AK36" i="491" s="1"/>
  <c r="AL36" i="491" s="1"/>
  <c r="AM36" i="491" s="1"/>
  <c r="AN36" i="491" s="1"/>
  <c r="AO36" i="491" s="1"/>
  <c r="AP36" i="491" s="1"/>
  <c r="AQ36" i="491" s="1"/>
  <c r="AR36" i="491" s="1"/>
  <c r="AS36" i="491" s="1"/>
  <c r="AT36" i="491" s="1"/>
  <c r="AU36" i="491" s="1"/>
  <c r="I58" i="491"/>
  <c r="K58" i="491"/>
  <c r="L59" i="491"/>
  <c r="L60" i="491"/>
  <c r="L62" i="491"/>
  <c r="AH166" i="491"/>
  <c r="X166" i="491"/>
  <c r="N166" i="491"/>
  <c r="AC123" i="491"/>
  <c r="S123" i="491"/>
  <c r="D179" i="491"/>
  <c r="D205" i="491"/>
  <c r="AB166" i="491"/>
  <c r="R166" i="491"/>
  <c r="AB123" i="491"/>
  <c r="R123" i="491"/>
  <c r="AE166" i="491"/>
  <c r="U166" i="491"/>
  <c r="AJ123" i="491"/>
  <c r="Z123" i="491"/>
  <c r="P123" i="491"/>
  <c r="AI166" i="491"/>
  <c r="Y166" i="491"/>
  <c r="O166" i="491"/>
  <c r="AI123" i="491"/>
  <c r="Y123" i="491"/>
  <c r="O123" i="491"/>
  <c r="D175" i="491"/>
  <c r="D201" i="491"/>
  <c r="AC166" i="491"/>
  <c r="S166" i="491"/>
  <c r="AH123" i="491"/>
  <c r="X123" i="491"/>
  <c r="N123" i="491"/>
  <c r="AG166" i="491"/>
  <c r="W166" i="491"/>
  <c r="AG123" i="491"/>
  <c r="AJ166" i="491"/>
  <c r="Z166" i="491"/>
  <c r="P166" i="491"/>
  <c r="AE123" i="491"/>
  <c r="U123" i="491"/>
  <c r="AD166" i="491"/>
  <c r="AD123" i="491"/>
  <c r="T123" i="491"/>
  <c r="D149" i="491"/>
  <c r="D132" i="491"/>
  <c r="W123" i="491"/>
  <c r="N186" i="491"/>
  <c r="T166" i="491"/>
  <c r="Q95" i="492" l="1"/>
  <c r="N95" i="492"/>
  <c r="C65" i="492"/>
  <c r="C106" i="492"/>
  <c r="AN179" i="491"/>
  <c r="AF179" i="491"/>
  <c r="X179" i="491"/>
  <c r="P179" i="491"/>
  <c r="AH179" i="491"/>
  <c r="AO179" i="491"/>
  <c r="Q179" i="491"/>
  <c r="AU179" i="491"/>
  <c r="AM179" i="491"/>
  <c r="AE179" i="491"/>
  <c r="W179" i="491"/>
  <c r="O179" i="491"/>
  <c r="Z179" i="491"/>
  <c r="AT179" i="491"/>
  <c r="AL179" i="491"/>
  <c r="AD179" i="491"/>
  <c r="V179" i="491"/>
  <c r="N179" i="491"/>
  <c r="AG179" i="491"/>
  <c r="AS179" i="491"/>
  <c r="AK179" i="491"/>
  <c r="AC179" i="491"/>
  <c r="U179" i="491"/>
  <c r="M179" i="491"/>
  <c r="AP179" i="491"/>
  <c r="R179" i="491"/>
  <c r="AR179" i="491"/>
  <c r="AJ179" i="491"/>
  <c r="AB179" i="491"/>
  <c r="T179" i="491"/>
  <c r="Y179" i="491"/>
  <c r="AQ179" i="491"/>
  <c r="AI179" i="491"/>
  <c r="AA179" i="491"/>
  <c r="S179" i="491"/>
  <c r="C28" i="490"/>
  <c r="C23" i="490"/>
  <c r="C26" i="490"/>
  <c r="C25" i="490"/>
  <c r="C29" i="490"/>
  <c r="C32" i="490"/>
  <c r="C31" i="490"/>
  <c r="C33" i="490"/>
  <c r="C39" i="490" a="1"/>
  <c r="C39" i="490" s="1"/>
  <c r="I126" i="502"/>
  <c r="O126" i="502"/>
  <c r="P126" i="502"/>
  <c r="G95" i="492"/>
  <c r="R205" i="491"/>
  <c r="AT205" i="491"/>
  <c r="AL205" i="491"/>
  <c r="AS205" i="491"/>
  <c r="AR205" i="491"/>
  <c r="AN205" i="491"/>
  <c r="AQ205" i="491"/>
  <c r="AO205" i="491"/>
  <c r="AM205" i="491"/>
  <c r="AO201" i="491"/>
  <c r="AO200" i="491" s="1"/>
  <c r="AR201" i="491"/>
  <c r="AR200" i="491" s="1"/>
  <c r="AN201" i="491"/>
  <c r="AN200" i="491" s="1"/>
  <c r="AT201" i="491"/>
  <c r="AT200" i="491" s="1"/>
  <c r="AM201" i="491"/>
  <c r="AM200" i="491" s="1"/>
  <c r="AQ201" i="491"/>
  <c r="AS201" i="491"/>
  <c r="AS200" i="491" s="1"/>
  <c r="AL201" i="491"/>
  <c r="AR175" i="491"/>
  <c r="AR174" i="491" s="1"/>
  <c r="AN175" i="491"/>
  <c r="AN174" i="491" s="1"/>
  <c r="AQ175" i="491"/>
  <c r="AM175" i="491"/>
  <c r="AM174" i="491" s="1"/>
  <c r="AO175" i="491"/>
  <c r="AO174" i="491" s="1"/>
  <c r="AL175" i="491"/>
  <c r="AS175" i="491"/>
  <c r="AS174" i="491" s="1"/>
  <c r="AT175" i="491"/>
  <c r="AT174" i="491" s="1"/>
  <c r="AN132" i="491"/>
  <c r="AN131" i="491" s="1"/>
  <c r="AT132" i="491"/>
  <c r="AT131" i="491" s="1"/>
  <c r="AM132" i="491"/>
  <c r="AO132" i="491"/>
  <c r="AO131" i="491" s="1"/>
  <c r="AS132" i="491"/>
  <c r="AS131" i="491" s="1"/>
  <c r="AL132" i="491"/>
  <c r="AL131" i="491" s="1"/>
  <c r="AR132" i="491"/>
  <c r="AR131" i="491" s="1"/>
  <c r="AQ132" i="491"/>
  <c r="AN149" i="491"/>
  <c r="AN148" i="491" s="1"/>
  <c r="AM149" i="491"/>
  <c r="AM148" i="491" s="1"/>
  <c r="AL149" i="491"/>
  <c r="AR149" i="491"/>
  <c r="AR148" i="491" s="1"/>
  <c r="AT149" i="491"/>
  <c r="AT148" i="491" s="1"/>
  <c r="AQ149" i="491"/>
  <c r="AO149" i="491"/>
  <c r="AO148" i="491" s="1"/>
  <c r="AS149" i="491"/>
  <c r="AS148" i="491" s="1"/>
  <c r="D95" i="492"/>
  <c r="L126" i="502"/>
  <c r="K126" i="502"/>
  <c r="J126" i="502"/>
  <c r="N126" i="502"/>
  <c r="H130" i="502"/>
  <c r="M126" i="502"/>
  <c r="G23" i="492"/>
  <c r="G22" i="492"/>
  <c r="D105" i="492"/>
  <c r="B126" i="492"/>
  <c r="B127" i="492" s="1"/>
  <c r="B128" i="492" s="1"/>
  <c r="B129" i="492" s="1"/>
  <c r="B130" i="492" s="1"/>
  <c r="B131" i="492" s="1"/>
  <c r="B132" i="492" s="1"/>
  <c r="B133" i="492" s="1"/>
  <c r="F66" i="492"/>
  <c r="X205" i="491"/>
  <c r="O205" i="491"/>
  <c r="N205" i="491"/>
  <c r="AI205" i="491"/>
  <c r="AJ205" i="491"/>
  <c r="K102" i="491"/>
  <c r="AG205" i="491"/>
  <c r="AB205" i="491"/>
  <c r="AD205" i="491"/>
  <c r="T205" i="491"/>
  <c r="G64" i="492"/>
  <c r="P205" i="491"/>
  <c r="U205" i="491"/>
  <c r="AH205" i="491"/>
  <c r="D64" i="492"/>
  <c r="Y205" i="491"/>
  <c r="AC205" i="491"/>
  <c r="S205" i="491"/>
  <c r="AE205" i="491"/>
  <c r="M205" i="491"/>
  <c r="Z205" i="491"/>
  <c r="W205" i="491"/>
  <c r="M25" i="490"/>
  <c r="M24" i="490"/>
  <c r="M23" i="490"/>
  <c r="AH132" i="491"/>
  <c r="AH131" i="491" s="1"/>
  <c r="Z132" i="491"/>
  <c r="Z131" i="491" s="1"/>
  <c r="R132" i="491"/>
  <c r="AG132" i="491"/>
  <c r="Y132" i="491"/>
  <c r="Y131" i="491" s="1"/>
  <c r="X132" i="491"/>
  <c r="X131" i="491" s="1"/>
  <c r="P132" i="491"/>
  <c r="P131" i="491" s="1"/>
  <c r="AE132" i="491"/>
  <c r="AE131" i="491" s="1"/>
  <c r="W132" i="491"/>
  <c r="O132" i="491"/>
  <c r="O131" i="491" s="1"/>
  <c r="AJ132" i="491"/>
  <c r="AJ131" i="491" s="1"/>
  <c r="AB132" i="491"/>
  <c r="T132" i="491"/>
  <c r="T131" i="491" s="1"/>
  <c r="AI132" i="491"/>
  <c r="AI131" i="491" s="1"/>
  <c r="S132" i="491"/>
  <c r="S131" i="491" s="1"/>
  <c r="U132" i="491"/>
  <c r="U131" i="491" s="1"/>
  <c r="N132" i="491"/>
  <c r="N131" i="491" s="1"/>
  <c r="M132" i="491"/>
  <c r="AD132" i="491"/>
  <c r="AD131" i="491" s="1"/>
  <c r="AC132" i="491"/>
  <c r="AC131" i="491" s="1"/>
  <c r="M123" i="491"/>
  <c r="D123" i="491" s="1"/>
  <c r="AJ175" i="491"/>
  <c r="AJ174" i="491" s="1"/>
  <c r="AB175" i="491"/>
  <c r="T175" i="491"/>
  <c r="T174" i="491" s="1"/>
  <c r="AI175" i="491"/>
  <c r="AI174" i="491" s="1"/>
  <c r="S175" i="491"/>
  <c r="S174" i="491" s="1"/>
  <c r="AH175" i="491"/>
  <c r="AH174" i="491" s="1"/>
  <c r="Z175" i="491"/>
  <c r="Z174" i="491" s="1"/>
  <c r="R175" i="491"/>
  <c r="AG175" i="491"/>
  <c r="Y175" i="491"/>
  <c r="Y174" i="491" s="1"/>
  <c r="X175" i="491"/>
  <c r="X174" i="491" s="1"/>
  <c r="AE175" i="491"/>
  <c r="AE174" i="491" s="1"/>
  <c r="W175" i="491"/>
  <c r="O175" i="491"/>
  <c r="O174" i="491" s="1"/>
  <c r="AD175" i="491"/>
  <c r="AD174" i="491" s="1"/>
  <c r="N175" i="491"/>
  <c r="N174" i="491" s="1"/>
  <c r="AC175" i="491"/>
  <c r="AC174" i="491" s="1"/>
  <c r="P175" i="491"/>
  <c r="P174" i="491" s="1"/>
  <c r="M175" i="491"/>
  <c r="U175" i="491"/>
  <c r="U174" i="491" s="1"/>
  <c r="AJ201" i="491"/>
  <c r="AJ200" i="491" s="1"/>
  <c r="AB201" i="491"/>
  <c r="T201" i="491"/>
  <c r="T200" i="491" s="1"/>
  <c r="AI201" i="491"/>
  <c r="AI200" i="491" s="1"/>
  <c r="S201" i="491"/>
  <c r="S200" i="491" s="1"/>
  <c r="AH201" i="491"/>
  <c r="AH200" i="491" s="1"/>
  <c r="Z201" i="491"/>
  <c r="Z200" i="491" s="1"/>
  <c r="R201" i="491"/>
  <c r="AG201" i="491"/>
  <c r="Y201" i="491"/>
  <c r="Y200" i="491" s="1"/>
  <c r="X201" i="491"/>
  <c r="X200" i="491" s="1"/>
  <c r="P201" i="491"/>
  <c r="P200" i="491" s="1"/>
  <c r="AE201" i="491"/>
  <c r="AE200" i="491" s="1"/>
  <c r="W201" i="491"/>
  <c r="O201" i="491"/>
  <c r="O200" i="491" s="1"/>
  <c r="AD201" i="491"/>
  <c r="AD200" i="491" s="1"/>
  <c r="N201" i="491"/>
  <c r="N200" i="491" s="1"/>
  <c r="AC201" i="491"/>
  <c r="AC200" i="491" s="1"/>
  <c r="U201" i="491"/>
  <c r="U200" i="491" s="1"/>
  <c r="M201" i="491"/>
  <c r="AH149" i="491"/>
  <c r="AH148" i="491" s="1"/>
  <c r="Z149" i="491"/>
  <c r="Z148" i="491" s="1"/>
  <c r="R149" i="491"/>
  <c r="AG149" i="491"/>
  <c r="Y149" i="491"/>
  <c r="Y148" i="491" s="1"/>
  <c r="X149" i="491"/>
  <c r="X148" i="491" s="1"/>
  <c r="P149" i="491"/>
  <c r="P148" i="491" s="1"/>
  <c r="AE149" i="491"/>
  <c r="AE148" i="491" s="1"/>
  <c r="W149" i="491"/>
  <c r="O149" i="491"/>
  <c r="O148" i="491" s="1"/>
  <c r="AD149" i="491"/>
  <c r="AD148" i="491" s="1"/>
  <c r="N149" i="491"/>
  <c r="N148" i="491" s="1"/>
  <c r="AJ149" i="491"/>
  <c r="AJ148" i="491" s="1"/>
  <c r="AB149" i="491"/>
  <c r="T149" i="491"/>
  <c r="T148" i="491" s="1"/>
  <c r="AI149" i="491"/>
  <c r="AI148" i="491" s="1"/>
  <c r="S149" i="491"/>
  <c r="S148" i="491" s="1"/>
  <c r="AC149" i="491"/>
  <c r="AC148" i="491" s="1"/>
  <c r="U149" i="491"/>
  <c r="U148" i="491" s="1"/>
  <c r="M149" i="491"/>
  <c r="M166" i="491"/>
  <c r="D166" i="491" s="1"/>
  <c r="O186" i="491"/>
  <c r="C104" i="492"/>
  <c r="C61" i="491"/>
  <c r="L58" i="491"/>
  <c r="I10" i="502" s="1"/>
  <c r="I41" i="502" s="1"/>
  <c r="F63" i="492"/>
  <c r="C60" i="491"/>
  <c r="C22" i="490"/>
  <c r="C63" i="492"/>
  <c r="C21" i="490"/>
  <c r="C59" i="491"/>
  <c r="N99" i="492" l="1"/>
  <c r="N135" i="492"/>
  <c r="C107" i="492"/>
  <c r="C66" i="492"/>
  <c r="E140" i="491"/>
  <c r="AO140" i="491" s="1"/>
  <c r="O127" i="502"/>
  <c r="P127" i="502"/>
  <c r="P129" i="502"/>
  <c r="O129" i="502"/>
  <c r="AU205" i="491"/>
  <c r="D135" i="492"/>
  <c r="AP149" i="491"/>
  <c r="AL148" i="491"/>
  <c r="AP148" i="491" s="1"/>
  <c r="AP175" i="491"/>
  <c r="AL174" i="491"/>
  <c r="AP174" i="491" s="1"/>
  <c r="AP132" i="491"/>
  <c r="AM131" i="491"/>
  <c r="AP131" i="491" s="1"/>
  <c r="AU175" i="491"/>
  <c r="AQ174" i="491"/>
  <c r="AU174" i="491" s="1"/>
  <c r="AU132" i="491"/>
  <c r="AQ131" i="491"/>
  <c r="AU131" i="491" s="1"/>
  <c r="AP201" i="491"/>
  <c r="AL200" i="491"/>
  <c r="AQ200" i="491"/>
  <c r="AU201" i="491"/>
  <c r="AP205" i="491"/>
  <c r="AU149" i="491"/>
  <c r="AQ148" i="491"/>
  <c r="AU148" i="491" s="1"/>
  <c r="L129" i="502"/>
  <c r="M129" i="502"/>
  <c r="L127" i="502"/>
  <c r="J129" i="502"/>
  <c r="M127" i="502"/>
  <c r="N129" i="502"/>
  <c r="K127" i="502"/>
  <c r="J127" i="502"/>
  <c r="I127" i="502"/>
  <c r="I129" i="502"/>
  <c r="K129" i="502"/>
  <c r="N127" i="502"/>
  <c r="F67" i="492"/>
  <c r="Q205" i="491"/>
  <c r="AF205" i="491"/>
  <c r="AK205" i="491"/>
  <c r="V205" i="491"/>
  <c r="AA205" i="491"/>
  <c r="Q175" i="491"/>
  <c r="M174" i="491"/>
  <c r="AK149" i="491"/>
  <c r="AG148" i="491"/>
  <c r="V201" i="491"/>
  <c r="R200" i="491"/>
  <c r="AA175" i="491"/>
  <c r="W174" i="491"/>
  <c r="V175" i="491"/>
  <c r="R174" i="491"/>
  <c r="Q132" i="491"/>
  <c r="M131" i="491"/>
  <c r="AF149" i="491"/>
  <c r="AB148" i="491"/>
  <c r="AA149" i="491"/>
  <c r="W148" i="491"/>
  <c r="AF132" i="491"/>
  <c r="AB131" i="491"/>
  <c r="P186" i="491"/>
  <c r="Q149" i="491"/>
  <c r="M148" i="491"/>
  <c r="V149" i="491"/>
  <c r="R148" i="491"/>
  <c r="C95" i="491"/>
  <c r="C83" i="491"/>
  <c r="C112" i="491"/>
  <c r="C152" i="491" s="1"/>
  <c r="C89" i="491"/>
  <c r="M22" i="490"/>
  <c r="M21" i="490" s="1"/>
  <c r="C93" i="491"/>
  <c r="C81" i="491"/>
  <c r="C110" i="491"/>
  <c r="C118" i="491" s="1"/>
  <c r="C87" i="491"/>
  <c r="AG131" i="491"/>
  <c r="AK132" i="491"/>
  <c r="AA132" i="491"/>
  <c r="W131" i="491"/>
  <c r="Q201" i="491"/>
  <c r="M200" i="491"/>
  <c r="AA201" i="491"/>
  <c r="W200" i="491"/>
  <c r="AF201" i="491"/>
  <c r="AB200" i="491"/>
  <c r="AF175" i="491"/>
  <c r="AB174" i="491"/>
  <c r="C111" i="491"/>
  <c r="C135" i="491" s="1"/>
  <c r="C94" i="491"/>
  <c r="C82" i="491"/>
  <c r="C88" i="491"/>
  <c r="AG200" i="491"/>
  <c r="AK201" i="491"/>
  <c r="AK175" i="491"/>
  <c r="AG174" i="491"/>
  <c r="V132" i="491"/>
  <c r="R131" i="491"/>
  <c r="C67" i="492" l="1"/>
  <c r="C108" i="492"/>
  <c r="AS140" i="491"/>
  <c r="O140" i="491"/>
  <c r="AM140" i="491"/>
  <c r="S140" i="491"/>
  <c r="N140" i="491"/>
  <c r="AG140" i="491"/>
  <c r="AD140" i="491"/>
  <c r="AH140" i="491"/>
  <c r="P140" i="491"/>
  <c r="AB140" i="491"/>
  <c r="W140" i="491"/>
  <c r="AJ140" i="491"/>
  <c r="M140" i="491"/>
  <c r="R140" i="491"/>
  <c r="T140" i="491"/>
  <c r="AI140" i="491"/>
  <c r="AL140" i="491"/>
  <c r="U140" i="491"/>
  <c r="AN140" i="491"/>
  <c r="AQ140" i="491"/>
  <c r="Z140" i="491"/>
  <c r="AR140" i="491"/>
  <c r="X140" i="491"/>
  <c r="Y140" i="491"/>
  <c r="AT140" i="491"/>
  <c r="AC140" i="491"/>
  <c r="AE140" i="491"/>
  <c r="K23" i="490"/>
  <c r="K22" i="490"/>
  <c r="K24" i="490"/>
  <c r="O130" i="502"/>
  <c r="O11" i="502" s="1"/>
  <c r="P130" i="502"/>
  <c r="P11" i="502" s="1"/>
  <c r="AU200" i="491"/>
  <c r="AP200" i="491"/>
  <c r="M130" i="502"/>
  <c r="M11" i="502" s="1"/>
  <c r="L130" i="502"/>
  <c r="L11" i="502" s="1"/>
  <c r="I130" i="502"/>
  <c r="I11" i="502" s="1"/>
  <c r="J130" i="502"/>
  <c r="J11" i="502" s="1"/>
  <c r="N130" i="502"/>
  <c r="N11" i="502" s="1"/>
  <c r="K130" i="502"/>
  <c r="K11" i="502" s="1"/>
  <c r="F68" i="492"/>
  <c r="V174" i="491"/>
  <c r="Q186" i="491"/>
  <c r="R186" i="491" s="1"/>
  <c r="AF148" i="491"/>
  <c r="V200" i="491"/>
  <c r="AF200" i="491"/>
  <c r="AK200" i="491"/>
  <c r="V148" i="491"/>
  <c r="AF131" i="491"/>
  <c r="AA174" i="491"/>
  <c r="AF174" i="491"/>
  <c r="AK174" i="491"/>
  <c r="AA200" i="491"/>
  <c r="AA131" i="491"/>
  <c r="AK131" i="491"/>
  <c r="V131" i="491"/>
  <c r="Q200" i="491"/>
  <c r="Q131" i="491"/>
  <c r="AK148" i="491"/>
  <c r="Q174" i="491"/>
  <c r="Q148" i="491"/>
  <c r="AA148" i="491"/>
  <c r="C109" i="492" l="1"/>
  <c r="C68" i="492"/>
  <c r="F69" i="492"/>
  <c r="S186" i="491"/>
  <c r="C69" i="492" l="1"/>
  <c r="C110" i="492"/>
  <c r="F70" i="492"/>
  <c r="T186" i="491"/>
  <c r="C111" i="492" l="1"/>
  <c r="C70" i="492"/>
  <c r="F71" i="492"/>
  <c r="U186" i="491"/>
  <c r="C71" i="492" l="1"/>
  <c r="C112" i="492"/>
  <c r="F72" i="492"/>
  <c r="V186" i="491"/>
  <c r="W186" i="491" s="1"/>
  <c r="C113" i="492" l="1"/>
  <c r="C72" i="492"/>
  <c r="F73" i="492"/>
  <c r="X186" i="491"/>
  <c r="C73" i="492" l="1"/>
  <c r="C114" i="492"/>
  <c r="F74" i="492"/>
  <c r="Y186" i="491"/>
  <c r="C115" i="492" l="1"/>
  <c r="C74" i="492"/>
  <c r="F75" i="492"/>
  <c r="Z186" i="491"/>
  <c r="C75" i="492" l="1"/>
  <c r="C116" i="492"/>
  <c r="F76" i="492"/>
  <c r="AA186" i="491"/>
  <c r="AB186" i="491" s="1"/>
  <c r="C117" i="492" l="1"/>
  <c r="C76" i="492"/>
  <c r="F77" i="492"/>
  <c r="AC186" i="491"/>
  <c r="C77" i="492" l="1"/>
  <c r="C118" i="492"/>
  <c r="F78" i="492"/>
  <c r="AD186" i="491"/>
  <c r="C119" i="492" l="1"/>
  <c r="C78" i="492"/>
  <c r="F79" i="492"/>
  <c r="AE186" i="491"/>
  <c r="C79" i="492" l="1"/>
  <c r="C120" i="492"/>
  <c r="F80" i="492"/>
  <c r="AF186" i="491"/>
  <c r="AG186" i="491" s="1"/>
  <c r="C121" i="492" l="1"/>
  <c r="C80" i="492"/>
  <c r="F81" i="492"/>
  <c r="AH186" i="491"/>
  <c r="C122" i="492" l="1"/>
  <c r="C81" i="492"/>
  <c r="F82" i="492"/>
  <c r="AI186" i="491"/>
  <c r="C82" i="492" l="1"/>
  <c r="C123" i="492"/>
  <c r="F83" i="492"/>
  <c r="AJ186" i="491"/>
  <c r="D190" i="491" s="1"/>
  <c r="C124" i="492" l="1"/>
  <c r="C83" i="492"/>
  <c r="AK186" i="491"/>
  <c r="AL186" i="491" s="1"/>
  <c r="F85" i="492" l="1"/>
  <c r="F84" i="492"/>
  <c r="C84" i="492"/>
  <c r="C125" i="492"/>
  <c r="AM186" i="491"/>
  <c r="AL191" i="491"/>
  <c r="F86" i="492"/>
  <c r="M191" i="491"/>
  <c r="N191" i="491"/>
  <c r="O191" i="491"/>
  <c r="P191" i="491"/>
  <c r="R191" i="491"/>
  <c r="S191" i="491"/>
  <c r="T191" i="491"/>
  <c r="U191" i="491"/>
  <c r="W191" i="491"/>
  <c r="X191" i="491"/>
  <c r="Y191" i="491"/>
  <c r="Z191" i="491"/>
  <c r="AB191" i="491"/>
  <c r="AC191" i="491"/>
  <c r="AD191" i="491"/>
  <c r="AE191" i="491"/>
  <c r="AG191" i="491"/>
  <c r="AH191" i="491"/>
  <c r="AI191" i="491"/>
  <c r="AJ191" i="491"/>
  <c r="C126" i="492" l="1"/>
  <c r="C85" i="492"/>
  <c r="AN186" i="491"/>
  <c r="AM191" i="491"/>
  <c r="F87" i="492"/>
  <c r="C86" i="492" l="1"/>
  <c r="C127" i="492"/>
  <c r="AN191" i="491"/>
  <c r="AO186" i="491"/>
  <c r="F88" i="492"/>
  <c r="C128" i="492" l="1"/>
  <c r="C87" i="492"/>
  <c r="AP186" i="491"/>
  <c r="AQ186" i="491" s="1"/>
  <c r="AO191" i="491"/>
  <c r="F90" i="492" l="1"/>
  <c r="F89" i="492"/>
  <c r="C88" i="492"/>
  <c r="C129" i="492"/>
  <c r="AR186" i="491"/>
  <c r="AQ191" i="491"/>
  <c r="F91" i="492" l="1"/>
  <c r="C130" i="492"/>
  <c r="C89" i="492"/>
  <c r="AR191" i="491"/>
  <c r="AS186" i="491"/>
  <c r="F92" i="492" l="1"/>
  <c r="C90" i="492"/>
  <c r="C131" i="492"/>
  <c r="AT186" i="491"/>
  <c r="AS191" i="491"/>
  <c r="D19" i="473"/>
  <c r="D20" i="473"/>
  <c r="C132" i="492" l="1"/>
  <c r="C133" i="492"/>
  <c r="C91" i="492"/>
  <c r="C92" i="492"/>
  <c r="AT191" i="491"/>
  <c r="AU186" i="491"/>
  <c r="M15" i="490" l="1"/>
  <c r="V15" i="490" l="1"/>
  <c r="M16" i="490" l="1"/>
  <c r="V16" i="490" l="1"/>
  <c r="P36" i="499" l="1"/>
  <c r="O36" i="499" l="1"/>
  <c r="D18" i="473" l="1"/>
  <c r="L52" i="491" l="1"/>
  <c r="I52" i="491" s="1"/>
  <c r="M7" i="490"/>
  <c r="F21" i="499"/>
  <c r="F31" i="499"/>
  <c r="F37" i="499"/>
  <c r="V7" i="490" l="1"/>
  <c r="J52" i="491"/>
  <c r="H52" i="491"/>
  <c r="K52" i="491"/>
  <c r="J9" i="502" l="1"/>
  <c r="Q55" i="491"/>
  <c r="K9" i="502" l="1"/>
  <c r="V55" i="491"/>
  <c r="N55" i="491"/>
  <c r="M55" i="491"/>
  <c r="P55" i="491"/>
  <c r="O55" i="491"/>
  <c r="L9" i="502" l="1"/>
  <c r="AA55" i="491"/>
  <c r="U55" i="491"/>
  <c r="T55" i="491"/>
  <c r="S55" i="491"/>
  <c r="R55" i="491"/>
  <c r="M9" i="502" l="1"/>
  <c r="AF55" i="491"/>
  <c r="W55" i="491"/>
  <c r="Z55" i="491"/>
  <c r="Y55" i="491"/>
  <c r="X55" i="491"/>
  <c r="N9" i="502" l="1"/>
  <c r="AK55" i="491"/>
  <c r="AB55" i="491"/>
  <c r="AD55" i="491"/>
  <c r="AE55" i="491"/>
  <c r="AC55" i="491"/>
  <c r="P20" i="499"/>
  <c r="AG55" i="491" l="1"/>
  <c r="AJ55" i="491"/>
  <c r="AI55" i="491"/>
  <c r="AH55" i="491"/>
  <c r="O20" i="499"/>
  <c r="D16" i="473" l="1"/>
  <c r="D17" i="473" l="1"/>
  <c r="D14" i="473"/>
  <c r="D15" i="473" l="1"/>
  <c r="F17" i="499" l="1"/>
  <c r="D7" i="492" l="1"/>
  <c r="M52" i="490" s="1"/>
  <c r="L54" i="491"/>
  <c r="J54" i="491" s="1"/>
  <c r="K26" i="491"/>
  <c r="M13" i="490"/>
  <c r="M9" i="490"/>
  <c r="F13" i="499"/>
  <c r="F28" i="499"/>
  <c r="I8" i="502" s="1"/>
  <c r="F34" i="499"/>
  <c r="V13" i="490" l="1"/>
  <c r="V9" i="490"/>
  <c r="E28" i="490"/>
  <c r="M14" i="490"/>
  <c r="M10" i="490"/>
  <c r="I54" i="491"/>
  <c r="I25" i="491" s="1"/>
  <c r="K54" i="491"/>
  <c r="K25" i="491" s="1"/>
  <c r="H54" i="491"/>
  <c r="H55" i="491"/>
  <c r="K55" i="491"/>
  <c r="J55" i="491"/>
  <c r="J56" i="491" s="1"/>
  <c r="I55" i="491"/>
  <c r="L56" i="491"/>
  <c r="J25" i="491"/>
  <c r="I35" i="502"/>
  <c r="I39" i="502" s="1"/>
  <c r="I42" i="502" s="1"/>
  <c r="I12" i="502"/>
  <c r="F39" i="499"/>
  <c r="F40" i="499" s="1"/>
  <c r="D23" i="492" l="1"/>
  <c r="K56" i="491"/>
  <c r="D29" i="492"/>
  <c r="I56" i="491"/>
  <c r="H25" i="491"/>
  <c r="H26" i="491" s="1"/>
  <c r="H56" i="491"/>
  <c r="E26" i="492"/>
  <c r="I43" i="502"/>
  <c r="I58" i="502" s="1"/>
  <c r="I47" i="502" s="1"/>
  <c r="I44" i="502"/>
  <c r="I49" i="502" s="1"/>
  <c r="I57" i="502" s="1"/>
  <c r="D53" i="492" l="1"/>
  <c r="D54" i="492"/>
  <c r="D31" i="490"/>
  <c r="E31" i="490" s="1"/>
  <c r="I26" i="491"/>
  <c r="J26" i="491"/>
  <c r="I60" i="502"/>
  <c r="J56" i="502" s="1"/>
  <c r="D14" i="490" l="1"/>
  <c r="D195" i="491"/>
  <c r="D162" i="491"/>
  <c r="D32" i="490"/>
  <c r="E32" i="490" s="1"/>
  <c r="I50" i="502"/>
  <c r="AL194" i="491" l="1"/>
  <c r="AQ194" i="491"/>
  <c r="AR194" i="491"/>
  <c r="AM194" i="491"/>
  <c r="AS194" i="491"/>
  <c r="AN194" i="491"/>
  <c r="AO194" i="491"/>
  <c r="AT194" i="491"/>
  <c r="D25" i="490"/>
  <c r="E25" i="490" s="1"/>
  <c r="E14" i="490"/>
  <c r="L195" i="491"/>
  <c r="M193" i="491" s="1"/>
  <c r="AH194" i="491"/>
  <c r="AH90" i="491" s="1"/>
  <c r="M194" i="491"/>
  <c r="M90" i="491" s="1"/>
  <c r="AD194" i="491"/>
  <c r="AD90" i="491" s="1"/>
  <c r="P194" i="491"/>
  <c r="P90" i="491" s="1"/>
  <c r="N194" i="491"/>
  <c r="N90" i="491" s="1"/>
  <c r="AJ194" i="491"/>
  <c r="AJ90" i="491" s="1"/>
  <c r="X194" i="491"/>
  <c r="X90" i="491" s="1"/>
  <c r="W194" i="491"/>
  <c r="W90" i="491" s="1"/>
  <c r="Z194" i="491"/>
  <c r="Z90" i="491" s="1"/>
  <c r="O194" i="491"/>
  <c r="AB194" i="491"/>
  <c r="S194" i="491"/>
  <c r="S90" i="491" s="1"/>
  <c r="R194" i="491"/>
  <c r="R90" i="491" s="1"/>
  <c r="AG194" i="491"/>
  <c r="AG90" i="491" s="1"/>
  <c r="AC194" i="491"/>
  <c r="AC90" i="491" s="1"/>
  <c r="AE194" i="491"/>
  <c r="AE90" i="491" s="1"/>
  <c r="AI194" i="491"/>
  <c r="AI90" i="491" s="1"/>
  <c r="Y194" i="491"/>
  <c r="Y90" i="491" s="1"/>
  <c r="T194" i="491"/>
  <c r="T90" i="491" s="1"/>
  <c r="U194" i="491"/>
  <c r="U90" i="491" s="1"/>
  <c r="I46" i="502"/>
  <c r="I13" i="502"/>
  <c r="I111" i="502" s="1"/>
  <c r="AN90" i="491" l="1"/>
  <c r="AM90" i="491"/>
  <c r="AT90" i="491"/>
  <c r="AR90" i="491"/>
  <c r="AS90" i="491"/>
  <c r="AO90" i="491"/>
  <c r="AQ90" i="491"/>
  <c r="AU194" i="491"/>
  <c r="AL90" i="491"/>
  <c r="AP194" i="491"/>
  <c r="Q193" i="491"/>
  <c r="L113" i="491"/>
  <c r="M195" i="491"/>
  <c r="M204" i="491" s="1"/>
  <c r="Q194" i="491"/>
  <c r="AF194" i="491"/>
  <c r="AK194" i="491"/>
  <c r="O90" i="491"/>
  <c r="Q90" i="491" s="1"/>
  <c r="AB90" i="491"/>
  <c r="AF90" i="491" s="1"/>
  <c r="AA194" i="491"/>
  <c r="V194" i="491"/>
  <c r="M197" i="491"/>
  <c r="V90" i="491"/>
  <c r="AA90" i="491"/>
  <c r="AK90" i="491"/>
  <c r="I113" i="502"/>
  <c r="I102" i="502" s="1"/>
  <c r="I15" i="502" s="1"/>
  <c r="I16" i="502" s="1"/>
  <c r="I101" i="502"/>
  <c r="AP90" i="491" l="1"/>
  <c r="AU90" i="491"/>
  <c r="N193" i="491"/>
  <c r="N195" i="491" s="1"/>
  <c r="M113" i="491"/>
  <c r="P193" i="491"/>
  <c r="P195" i="491" s="1"/>
  <c r="P113" i="491" s="1"/>
  <c r="Q195" i="491"/>
  <c r="Q113" i="491" s="1"/>
  <c r="M62" i="491"/>
  <c r="I103" i="502"/>
  <c r="J100" i="502" s="1"/>
  <c r="I23" i="502"/>
  <c r="I28" i="502"/>
  <c r="I21" i="502"/>
  <c r="I22" i="502"/>
  <c r="I18" i="502"/>
  <c r="R193" i="491" l="1"/>
  <c r="R195" i="491" s="1"/>
  <c r="V193" i="491"/>
  <c r="V195" i="491" s="1"/>
  <c r="V113" i="491" s="1"/>
  <c r="M84" i="491"/>
  <c r="P204" i="491"/>
  <c r="P197" i="491"/>
  <c r="N197" i="491"/>
  <c r="O193" i="491"/>
  <c r="N113" i="491"/>
  <c r="N204" i="491"/>
  <c r="I24" i="502"/>
  <c r="I26" i="502" s="1"/>
  <c r="I30" i="502" s="1"/>
  <c r="D13" i="473"/>
  <c r="D11" i="473"/>
  <c r="D9" i="473"/>
  <c r="D10" i="473"/>
  <c r="AA193" i="491" l="1"/>
  <c r="AA195" i="491" s="1"/>
  <c r="AB193" i="491" s="1"/>
  <c r="W193" i="491"/>
  <c r="W195" i="491" s="1"/>
  <c r="L64" i="491"/>
  <c r="I64" i="491" s="1"/>
  <c r="M17" i="490"/>
  <c r="Q75" i="491"/>
  <c r="N15" i="490"/>
  <c r="Q52" i="491"/>
  <c r="N52" i="491" s="1"/>
  <c r="N7" i="490"/>
  <c r="N62" i="491"/>
  <c r="N84" i="491" s="1"/>
  <c r="R204" i="491"/>
  <c r="R113" i="491"/>
  <c r="S193" i="491"/>
  <c r="U193" i="491"/>
  <c r="R197" i="491"/>
  <c r="P62" i="491"/>
  <c r="P84" i="491" s="1"/>
  <c r="O195" i="491"/>
  <c r="O113" i="491" s="1"/>
  <c r="I31" i="502"/>
  <c r="F24" i="499"/>
  <c r="G17" i="499"/>
  <c r="G37" i="499"/>
  <c r="G21" i="499"/>
  <c r="G31" i="499"/>
  <c r="G10" i="499"/>
  <c r="AF193" i="491" l="1"/>
  <c r="AF195" i="491" s="1"/>
  <c r="AG193" i="491" s="1"/>
  <c r="AA113" i="491"/>
  <c r="Q54" i="491"/>
  <c r="M54" i="491" s="1"/>
  <c r="N13" i="490"/>
  <c r="N9" i="490"/>
  <c r="L66" i="491"/>
  <c r="J64" i="491"/>
  <c r="K64" i="491"/>
  <c r="K66" i="491" s="1"/>
  <c r="H64" i="491"/>
  <c r="O52" i="491"/>
  <c r="P52" i="491"/>
  <c r="M52" i="491"/>
  <c r="V52" i="491"/>
  <c r="S52" i="491" s="1"/>
  <c r="O7" i="490"/>
  <c r="N8" i="490"/>
  <c r="O204" i="491"/>
  <c r="Q204" i="491" s="1"/>
  <c r="O197" i="491"/>
  <c r="W197" i="491"/>
  <c r="Z193" i="491"/>
  <c r="X193" i="491"/>
  <c r="W113" i="491"/>
  <c r="W204" i="491"/>
  <c r="R62" i="491"/>
  <c r="AB195" i="491"/>
  <c r="U195" i="491"/>
  <c r="U113" i="491" s="1"/>
  <c r="S195" i="491"/>
  <c r="S197" i="491" s="1"/>
  <c r="I66" i="491"/>
  <c r="G13" i="499"/>
  <c r="G28" i="499"/>
  <c r="J8" i="502" s="1"/>
  <c r="J35" i="502" s="1"/>
  <c r="J39" i="502" s="1"/>
  <c r="J42" i="502" s="1"/>
  <c r="G14" i="499"/>
  <c r="O15" i="490"/>
  <c r="H10" i="499"/>
  <c r="H37" i="499"/>
  <c r="H21" i="499"/>
  <c r="N10" i="490" l="1"/>
  <c r="N52" i="490"/>
  <c r="AF113" i="491"/>
  <c r="AK193" i="491"/>
  <c r="AK195" i="491" s="1"/>
  <c r="J66" i="491"/>
  <c r="N14" i="490"/>
  <c r="H66" i="491"/>
  <c r="T52" i="491"/>
  <c r="U52" i="491"/>
  <c r="R52" i="491"/>
  <c r="AA52" i="491"/>
  <c r="Y52" i="491" s="1"/>
  <c r="P7" i="490"/>
  <c r="O8" i="490"/>
  <c r="AG195" i="491"/>
  <c r="R84" i="491"/>
  <c r="U204" i="491"/>
  <c r="U197" i="491"/>
  <c r="X195" i="491"/>
  <c r="S204" i="491"/>
  <c r="S62" i="491" s="1"/>
  <c r="S84" i="491" s="1"/>
  <c r="S113" i="491"/>
  <c r="T193" i="491"/>
  <c r="AB113" i="491"/>
  <c r="AE193" i="491"/>
  <c r="AC193" i="491"/>
  <c r="Z195" i="491"/>
  <c r="Z113" i="491" s="1"/>
  <c r="AB204" i="491"/>
  <c r="W62" i="491"/>
  <c r="AB197" i="491"/>
  <c r="O62" i="491"/>
  <c r="Q197" i="491"/>
  <c r="H31" i="499"/>
  <c r="V75" i="491"/>
  <c r="I37" i="499"/>
  <c r="I10" i="499"/>
  <c r="I21" i="499"/>
  <c r="AK113" i="491" l="1"/>
  <c r="AP193" i="491"/>
  <c r="AP195" i="491" s="1"/>
  <c r="AL193" i="491"/>
  <c r="Z52" i="491"/>
  <c r="X52" i="491"/>
  <c r="W52" i="491"/>
  <c r="AA75" i="491"/>
  <c r="W75" i="491" s="1"/>
  <c r="P15" i="490"/>
  <c r="AF75" i="491"/>
  <c r="AC75" i="491" s="1"/>
  <c r="Q15" i="490"/>
  <c r="P8" i="490"/>
  <c r="AF52" i="491"/>
  <c r="AC52" i="491" s="1"/>
  <c r="Q7" i="490"/>
  <c r="U62" i="491"/>
  <c r="U84" i="491" s="1"/>
  <c r="Z204" i="491"/>
  <c r="Z197" i="491"/>
  <c r="X204" i="491"/>
  <c r="Y193" i="491"/>
  <c r="X113" i="491"/>
  <c r="O84" i="491"/>
  <c r="Q62" i="491"/>
  <c r="Q84" i="491" s="1"/>
  <c r="X197" i="491"/>
  <c r="AB62" i="491"/>
  <c r="AC195" i="491"/>
  <c r="AE195" i="491"/>
  <c r="AE113" i="491" s="1"/>
  <c r="W84" i="491"/>
  <c r="T195" i="491"/>
  <c r="T113" i="491" s="1"/>
  <c r="AG197" i="491"/>
  <c r="AJ193" i="491"/>
  <c r="AG113" i="491"/>
  <c r="AH193" i="491"/>
  <c r="AG204" i="491"/>
  <c r="S75" i="491"/>
  <c r="U75" i="491"/>
  <c r="T75" i="491"/>
  <c r="R75" i="491"/>
  <c r="M18" i="490"/>
  <c r="J17" i="499"/>
  <c r="H17" i="499"/>
  <c r="I31" i="499"/>
  <c r="J10" i="499"/>
  <c r="J37" i="499"/>
  <c r="J31" i="499"/>
  <c r="J21" i="499"/>
  <c r="N25" i="490" l="1"/>
  <c r="AL195" i="491"/>
  <c r="AP113" i="491"/>
  <c r="AU193" i="491"/>
  <c r="AU195" i="491" s="1"/>
  <c r="AU113" i="491" s="1"/>
  <c r="AQ193" i="491"/>
  <c r="O13" i="490"/>
  <c r="V54" i="491"/>
  <c r="S54" i="491" s="1"/>
  <c r="Q13" i="490"/>
  <c r="AF54" i="491"/>
  <c r="L115" i="491"/>
  <c r="M34" i="490"/>
  <c r="Q9" i="490"/>
  <c r="Q10" i="490" s="1"/>
  <c r="X75" i="491"/>
  <c r="Z75" i="491"/>
  <c r="Y75" i="491"/>
  <c r="AB75" i="491"/>
  <c r="AE75" i="491"/>
  <c r="AD75" i="491"/>
  <c r="AE52" i="491"/>
  <c r="AD52" i="491"/>
  <c r="AB52" i="491"/>
  <c r="O9" i="490"/>
  <c r="Q8" i="490"/>
  <c r="Z62" i="491"/>
  <c r="Z84" i="491" s="1"/>
  <c r="AE204" i="491"/>
  <c r="T204" i="491"/>
  <c r="V204" i="491" s="1"/>
  <c r="AB84" i="491"/>
  <c r="AH195" i="491"/>
  <c r="X62" i="491"/>
  <c r="AG62" i="491"/>
  <c r="AE197" i="491"/>
  <c r="AC204" i="491"/>
  <c r="AC113" i="491"/>
  <c r="AD193" i="491"/>
  <c r="AJ195" i="491"/>
  <c r="AJ113" i="491" s="1"/>
  <c r="AC197" i="491"/>
  <c r="Y195" i="491"/>
  <c r="Y113" i="491" s="1"/>
  <c r="T197" i="491"/>
  <c r="Q99" i="491"/>
  <c r="M99" i="491"/>
  <c r="M20" i="490"/>
  <c r="M19" i="490"/>
  <c r="J13" i="499"/>
  <c r="N16" i="490"/>
  <c r="H28" i="499"/>
  <c r="K8" i="502" s="1"/>
  <c r="K35" i="502" s="1"/>
  <c r="K39" i="502" s="1"/>
  <c r="K42" i="502" s="1"/>
  <c r="H14" i="499"/>
  <c r="H13" i="499"/>
  <c r="J28" i="499"/>
  <c r="M8" i="502" s="1"/>
  <c r="M35" i="502" s="1"/>
  <c r="M39" i="502" s="1"/>
  <c r="M42" i="502" s="1"/>
  <c r="I17" i="499"/>
  <c r="D7" i="473"/>
  <c r="D8" i="473"/>
  <c r="D12" i="473"/>
  <c r="R7" i="490" l="1"/>
  <c r="L10" i="499"/>
  <c r="AQ195" i="491"/>
  <c r="AO193" i="491"/>
  <c r="AM193" i="491"/>
  <c r="AL113" i="491"/>
  <c r="AL204" i="491"/>
  <c r="AL197" i="491"/>
  <c r="P13" i="490"/>
  <c r="AA54" i="491"/>
  <c r="O14" i="490"/>
  <c r="Q14" i="490"/>
  <c r="Q52" i="490"/>
  <c r="P9" i="490"/>
  <c r="P52" i="490" s="1"/>
  <c r="T54" i="491"/>
  <c r="T56" i="491" s="1"/>
  <c r="V74" i="491"/>
  <c r="U54" i="491"/>
  <c r="S25" i="491" s="1"/>
  <c r="V56" i="491"/>
  <c r="R54" i="491"/>
  <c r="R56" i="491" s="1"/>
  <c r="O52" i="490"/>
  <c r="O10" i="490"/>
  <c r="AE62" i="491"/>
  <c r="AE84" i="491" s="1"/>
  <c r="Y204" i="491"/>
  <c r="AA204" i="491" s="1"/>
  <c r="Y197" i="491"/>
  <c r="AA197" i="491" s="1"/>
  <c r="AC62" i="491"/>
  <c r="AG84" i="491"/>
  <c r="AJ204" i="491"/>
  <c r="X84" i="491"/>
  <c r="AJ197" i="491"/>
  <c r="AH204" i="491"/>
  <c r="AI193" i="491"/>
  <c r="AH113" i="491"/>
  <c r="T62" i="491"/>
  <c r="V197" i="491"/>
  <c r="AD195" i="491"/>
  <c r="AD113" i="491" s="1"/>
  <c r="AH197" i="491"/>
  <c r="G39" i="499"/>
  <c r="G40" i="499" s="1"/>
  <c r="Q76" i="491"/>
  <c r="AE54" i="491"/>
  <c r="AD54" i="491"/>
  <c r="AC54" i="491"/>
  <c r="AF74" i="491"/>
  <c r="AB54" i="491"/>
  <c r="AF56" i="491"/>
  <c r="J14" i="499"/>
  <c r="Q25" i="491"/>
  <c r="S74" i="491"/>
  <c r="S56" i="491"/>
  <c r="P9" i="499"/>
  <c r="AK52" i="491"/>
  <c r="G34" i="499"/>
  <c r="I28" i="499"/>
  <c r="L8" i="502" s="1"/>
  <c r="I14" i="499"/>
  <c r="I13" i="499"/>
  <c r="K37" i="499"/>
  <c r="K10" i="499"/>
  <c r="K21" i="499"/>
  <c r="O9" i="499"/>
  <c r="D6" i="473"/>
  <c r="S8" i="490" l="1"/>
  <c r="U7" i="490"/>
  <c r="R8" i="490"/>
  <c r="AL62" i="491"/>
  <c r="AM195" i="491"/>
  <c r="AO195" i="491"/>
  <c r="AO113" i="491" s="1"/>
  <c r="AQ113" i="491"/>
  <c r="AT193" i="491"/>
  <c r="AR193" i="491"/>
  <c r="AQ204" i="491"/>
  <c r="AQ197" i="491"/>
  <c r="P14" i="490"/>
  <c r="P10" i="490"/>
  <c r="T74" i="491"/>
  <c r="R25" i="491"/>
  <c r="U56" i="491"/>
  <c r="U74" i="491"/>
  <c r="P25" i="491"/>
  <c r="R74" i="491"/>
  <c r="AK75" i="491"/>
  <c r="AJ75" i="491" s="1"/>
  <c r="R15" i="490"/>
  <c r="U15" i="490" s="1"/>
  <c r="AH62" i="491"/>
  <c r="AH84" i="491" s="1"/>
  <c r="AD204" i="491"/>
  <c r="AF204" i="491" s="1"/>
  <c r="AD197" i="491"/>
  <c r="Y62" i="491"/>
  <c r="T84" i="491"/>
  <c r="V62" i="491"/>
  <c r="V84" i="491" s="1"/>
  <c r="AI195" i="491"/>
  <c r="AI113" i="491" s="1"/>
  <c r="AJ62" i="491"/>
  <c r="AJ84" i="491" s="1"/>
  <c r="AC84" i="491"/>
  <c r="N76" i="491"/>
  <c r="N157" i="491" s="1"/>
  <c r="P76" i="491"/>
  <c r="P157" i="491" s="1"/>
  <c r="M76" i="491"/>
  <c r="M157" i="491" s="1"/>
  <c r="M158" i="491" s="1"/>
  <c r="M162" i="491" s="1"/>
  <c r="M163" i="491" s="1"/>
  <c r="O76" i="491"/>
  <c r="O157" i="491" s="1"/>
  <c r="Q157" i="491"/>
  <c r="O75" i="491"/>
  <c r="M75" i="491"/>
  <c r="P75" i="491"/>
  <c r="N75" i="491"/>
  <c r="AB74" i="491"/>
  <c r="AB56" i="491"/>
  <c r="X25" i="491"/>
  <c r="AC56" i="491"/>
  <c r="Y25" i="491"/>
  <c r="AC74" i="491"/>
  <c r="AD56" i="491"/>
  <c r="Z25" i="491"/>
  <c r="AD74" i="491"/>
  <c r="AE74" i="491"/>
  <c r="AE56" i="491"/>
  <c r="AA25" i="491"/>
  <c r="AA56" i="491"/>
  <c r="Z54" i="491"/>
  <c r="Y54" i="491"/>
  <c r="X54" i="491"/>
  <c r="AA74" i="491"/>
  <c r="W54" i="491"/>
  <c r="AH52" i="491"/>
  <c r="AG52" i="491"/>
  <c r="AJ52" i="491"/>
  <c r="AI52" i="491"/>
  <c r="L35" i="502"/>
  <c r="L39" i="502" s="1"/>
  <c r="L42" i="502" s="1"/>
  <c r="K31" i="499"/>
  <c r="P30" i="499"/>
  <c r="L14" i="499"/>
  <c r="O30" i="499"/>
  <c r="O25" i="490" l="1"/>
  <c r="AO204" i="491"/>
  <c r="AO197" i="491"/>
  <c r="AN193" i="491"/>
  <c r="AM113" i="491"/>
  <c r="AR195" i="491"/>
  <c r="AT195" i="491"/>
  <c r="AT113" i="491" s="1"/>
  <c r="AQ62" i="491"/>
  <c r="AM204" i="491"/>
  <c r="AM197" i="491"/>
  <c r="AL84" i="491"/>
  <c r="K17" i="499"/>
  <c r="P17" i="499" s="1"/>
  <c r="S26" i="491"/>
  <c r="AG75" i="491"/>
  <c r="AI75" i="491"/>
  <c r="AH75" i="491"/>
  <c r="V76" i="491"/>
  <c r="T76" i="491" s="1"/>
  <c r="T157" i="491" s="1"/>
  <c r="O16" i="490"/>
  <c r="R9" i="490"/>
  <c r="U9" i="490" s="1"/>
  <c r="AD62" i="491"/>
  <c r="AD84" i="491" s="1"/>
  <c r="AF197" i="491"/>
  <c r="Y84" i="491"/>
  <c r="AA62" i="491"/>
  <c r="AA84" i="491" s="1"/>
  <c r="AI204" i="491"/>
  <c r="AK204" i="491" s="1"/>
  <c r="AI197" i="491"/>
  <c r="M164" i="491"/>
  <c r="M178" i="491" s="1"/>
  <c r="M169" i="491"/>
  <c r="N158" i="491"/>
  <c r="N162" i="491" s="1"/>
  <c r="N163" i="491" s="1"/>
  <c r="AA26" i="491"/>
  <c r="W56" i="491"/>
  <c r="T25" i="491"/>
  <c r="T26" i="491" s="1"/>
  <c r="W74" i="491"/>
  <c r="X74" i="491"/>
  <c r="U25" i="491"/>
  <c r="X56" i="491"/>
  <c r="Y74" i="491"/>
  <c r="V25" i="491"/>
  <c r="Y56" i="491"/>
  <c r="Z56" i="491"/>
  <c r="Z74" i="491"/>
  <c r="W25" i="491"/>
  <c r="P12" i="499"/>
  <c r="H34" i="499"/>
  <c r="H39" i="499"/>
  <c r="H40" i="499" s="1"/>
  <c r="D5" i="473"/>
  <c r="K14" i="499"/>
  <c r="K28" i="499"/>
  <c r="N8" i="502" s="1"/>
  <c r="N35" i="502" s="1"/>
  <c r="N39" i="502" s="1"/>
  <c r="N42" i="502" s="1"/>
  <c r="O12" i="499"/>
  <c r="K13" i="499"/>
  <c r="P25" i="490" l="1"/>
  <c r="AO62" i="491"/>
  <c r="AO84" i="491" s="1"/>
  <c r="AT204" i="491"/>
  <c r="AT197" i="491"/>
  <c r="AR113" i="491"/>
  <c r="AS193" i="491"/>
  <c r="AR197" i="491"/>
  <c r="AQ84" i="491"/>
  <c r="AM62" i="491"/>
  <c r="AN195" i="491"/>
  <c r="AN113" i="491" s="1"/>
  <c r="AR204" i="491"/>
  <c r="O17" i="499"/>
  <c r="R13" i="490"/>
  <c r="U13" i="490" s="1"/>
  <c r="AK54" i="491"/>
  <c r="S76" i="491"/>
  <c r="S157" i="491" s="1"/>
  <c r="U76" i="491"/>
  <c r="U157" i="491" s="1"/>
  <c r="R76" i="491"/>
  <c r="R157" i="491" s="1"/>
  <c r="V157" i="491"/>
  <c r="AA76" i="491"/>
  <c r="AA157" i="491" s="1"/>
  <c r="P16" i="490"/>
  <c r="AF62" i="491"/>
  <c r="AF84" i="491" s="1"/>
  <c r="R52" i="490"/>
  <c r="R10" i="490"/>
  <c r="AK197" i="491"/>
  <c r="AI62" i="491"/>
  <c r="N164" i="491"/>
  <c r="N178" i="491" s="1"/>
  <c r="N169" i="491"/>
  <c r="N95" i="491" s="1"/>
  <c r="N92" i="491" s="1"/>
  <c r="M95" i="491"/>
  <c r="M92" i="491" s="1"/>
  <c r="O158" i="491"/>
  <c r="U26" i="491"/>
  <c r="V26" i="491"/>
  <c r="W26" i="491"/>
  <c r="X26" i="491"/>
  <c r="Y26" i="491"/>
  <c r="Z26" i="491"/>
  <c r="P54" i="491"/>
  <c r="Q56" i="491"/>
  <c r="O54" i="491"/>
  <c r="Q74" i="491"/>
  <c r="N54" i="491"/>
  <c r="I34" i="499"/>
  <c r="I39" i="499"/>
  <c r="I40" i="499" s="1"/>
  <c r="P28" i="499"/>
  <c r="O28" i="499"/>
  <c r="Q25" i="490" l="1"/>
  <c r="AT62" i="491"/>
  <c r="AT84" i="491" s="1"/>
  <c r="AN204" i="491"/>
  <c r="AP204" i="491" s="1"/>
  <c r="AM84" i="491"/>
  <c r="AR62" i="491"/>
  <c r="AS195" i="491"/>
  <c r="AS113" i="491" s="1"/>
  <c r="AN197" i="491"/>
  <c r="AI54" i="491"/>
  <c r="AD25" i="491" s="1"/>
  <c r="AJ54" i="491"/>
  <c r="AJ74" i="491" s="1"/>
  <c r="AH54" i="491"/>
  <c r="AH74" i="491" s="1"/>
  <c r="AG54" i="491"/>
  <c r="AG74" i="491" s="1"/>
  <c r="AK56" i="491"/>
  <c r="AK74" i="491"/>
  <c r="R14" i="490"/>
  <c r="Y76" i="491"/>
  <c r="Y157" i="491" s="1"/>
  <c r="W76" i="491"/>
  <c r="W157" i="491" s="1"/>
  <c r="Z76" i="491"/>
  <c r="Z157" i="491" s="1"/>
  <c r="X76" i="491"/>
  <c r="X157" i="491" s="1"/>
  <c r="AF76" i="491"/>
  <c r="AE76" i="491" s="1"/>
  <c r="AE157" i="491" s="1"/>
  <c r="Q16" i="490"/>
  <c r="AI84" i="491"/>
  <c r="AK62" i="491"/>
  <c r="AK84" i="491" s="1"/>
  <c r="O162" i="491"/>
  <c r="O163" i="491" s="1"/>
  <c r="P158" i="491"/>
  <c r="N74" i="491"/>
  <c r="M25" i="491"/>
  <c r="N56" i="491"/>
  <c r="O56" i="491"/>
  <c r="N25" i="491"/>
  <c r="O74" i="491"/>
  <c r="P74" i="491"/>
  <c r="O25" i="491"/>
  <c r="P56" i="491"/>
  <c r="L25" i="491"/>
  <c r="L26" i="491" s="1"/>
  <c r="M74" i="491"/>
  <c r="M56" i="491"/>
  <c r="J39" i="499"/>
  <c r="J40" i="499" s="1"/>
  <c r="J34" i="499"/>
  <c r="D4" i="473"/>
  <c r="D21" i="473" s="1"/>
  <c r="R25" i="490" l="1"/>
  <c r="AH56" i="491"/>
  <c r="AI74" i="491"/>
  <c r="AI56" i="491"/>
  <c r="AS204" i="491"/>
  <c r="AU204" i="491" s="1"/>
  <c r="AS197" i="491"/>
  <c r="AR84" i="491"/>
  <c r="AN62" i="491"/>
  <c r="AP197" i="491"/>
  <c r="AE25" i="491"/>
  <c r="AG26" i="491" s="1"/>
  <c r="AI26" i="491"/>
  <c r="AC25" i="491"/>
  <c r="AJ56" i="491"/>
  <c r="AG56" i="491"/>
  <c r="AB25" i="491"/>
  <c r="AB26" i="491" s="1"/>
  <c r="AF157" i="491"/>
  <c r="AD76" i="491"/>
  <c r="AD157" i="491" s="1"/>
  <c r="AC76" i="491"/>
  <c r="AC157" i="491" s="1"/>
  <c r="AB76" i="491"/>
  <c r="AB157" i="491" s="1"/>
  <c r="P162" i="491"/>
  <c r="Q158" i="491"/>
  <c r="O164" i="491"/>
  <c r="O178" i="491" s="1"/>
  <c r="N26" i="491"/>
  <c r="O26" i="491"/>
  <c r="P26" i="491"/>
  <c r="Q26" i="491"/>
  <c r="R26" i="491"/>
  <c r="M26" i="491"/>
  <c r="P163" i="491" l="1"/>
  <c r="Q163" i="491" s="1"/>
  <c r="AH26" i="491"/>
  <c r="AS62" i="491"/>
  <c r="AU197" i="491"/>
  <c r="AN84" i="491"/>
  <c r="AP62" i="491"/>
  <c r="AP84" i="491" s="1"/>
  <c r="AC26" i="491"/>
  <c r="AD26" i="491"/>
  <c r="AF26" i="491"/>
  <c r="AE26" i="491"/>
  <c r="O169" i="491"/>
  <c r="O95" i="491" s="1"/>
  <c r="O92" i="491" s="1"/>
  <c r="R158" i="491"/>
  <c r="Q162" i="491"/>
  <c r="Q164" i="491" s="1"/>
  <c r="P164" i="491"/>
  <c r="P178" i="491" s="1"/>
  <c r="Q178" i="491" s="1"/>
  <c r="R16" i="490"/>
  <c r="U16" i="490" s="1"/>
  <c r="P169" i="491" l="1"/>
  <c r="P95" i="491" s="1"/>
  <c r="P92" i="491" s="1"/>
  <c r="S25" i="490"/>
  <c r="AS84" i="491"/>
  <c r="AU62" i="491"/>
  <c r="AU84" i="491" s="1"/>
  <c r="K34" i="499"/>
  <c r="AK76" i="491"/>
  <c r="R162" i="491"/>
  <c r="R163" i="491" s="1"/>
  <c r="S158" i="491"/>
  <c r="Q169" i="491"/>
  <c r="Q95" i="491" s="1"/>
  <c r="Q92" i="491" s="1"/>
  <c r="O33" i="499"/>
  <c r="P33" i="499"/>
  <c r="K39" i="499"/>
  <c r="P39" i="499" s="1"/>
  <c r="T25" i="490" l="1"/>
  <c r="AH76" i="491"/>
  <c r="AH157" i="491" s="1"/>
  <c r="AK157" i="491"/>
  <c r="AG76" i="491"/>
  <c r="AG157" i="491" s="1"/>
  <c r="AI76" i="491"/>
  <c r="AI157" i="491" s="1"/>
  <c r="AJ76" i="491"/>
  <c r="AJ157" i="491" s="1"/>
  <c r="N42" i="490"/>
  <c r="N26" i="490"/>
  <c r="S162" i="491"/>
  <c r="S163" i="491" s="1"/>
  <c r="T158" i="491"/>
  <c r="R164" i="491"/>
  <c r="R178" i="491" s="1"/>
  <c r="O39" i="499"/>
  <c r="K40" i="499"/>
  <c r="R169" i="491" l="1"/>
  <c r="R95" i="491" s="1"/>
  <c r="R92" i="491" s="1"/>
  <c r="T162" i="491"/>
  <c r="T163" i="491" s="1"/>
  <c r="U158" i="491"/>
  <c r="S169" i="491"/>
  <c r="S95" i="491" s="1"/>
  <c r="S92" i="491" s="1"/>
  <c r="S164" i="491"/>
  <c r="S178" i="491" s="1"/>
  <c r="T169" i="491" l="1"/>
  <c r="T95" i="491" s="1"/>
  <c r="T92" i="491" s="1"/>
  <c r="T164" i="491"/>
  <c r="T178" i="491" s="1"/>
  <c r="U162" i="491"/>
  <c r="V158" i="491"/>
  <c r="U163" i="491" l="1"/>
  <c r="V163" i="491" s="1"/>
  <c r="U164" i="491"/>
  <c r="U178" i="491" s="1"/>
  <c r="V178" i="491" s="1"/>
  <c r="W158" i="491"/>
  <c r="V162" i="491"/>
  <c r="V164" i="491" s="1"/>
  <c r="U169" i="491" l="1"/>
  <c r="U95" i="491" s="1"/>
  <c r="U92" i="491" s="1"/>
  <c r="V169" i="491"/>
  <c r="V95" i="491" s="1"/>
  <c r="V92" i="491" s="1"/>
  <c r="W162" i="491"/>
  <c r="W163" i="491" s="1"/>
  <c r="X158" i="491"/>
  <c r="W164" i="491" l="1"/>
  <c r="W178" i="491" s="1"/>
  <c r="X162" i="491"/>
  <c r="X163" i="491" s="1"/>
  <c r="Y158" i="491"/>
  <c r="O26" i="490"/>
  <c r="O42" i="490"/>
  <c r="X164" i="491" l="1"/>
  <c r="X178" i="491" s="1"/>
  <c r="X169" i="491"/>
  <c r="X95" i="491" s="1"/>
  <c r="X92" i="491" s="1"/>
  <c r="Y162" i="491"/>
  <c r="Y163" i="491" s="1"/>
  <c r="Z158" i="491"/>
  <c r="W169" i="491"/>
  <c r="W95" i="491" s="1"/>
  <c r="W92" i="491" s="1"/>
  <c r="Z162" i="491" l="1"/>
  <c r="AA158" i="491"/>
  <c r="Y164" i="491"/>
  <c r="Y178" i="491" s="1"/>
  <c r="Z163" i="491" l="1"/>
  <c r="AA163" i="491" s="1"/>
  <c r="Y169" i="491"/>
  <c r="Y95" i="491" s="1"/>
  <c r="Y92" i="491" s="1"/>
  <c r="AA162" i="491"/>
  <c r="AA164" i="491" s="1"/>
  <c r="AB158" i="491"/>
  <c r="Z164" i="491"/>
  <c r="Z178" i="491" s="1"/>
  <c r="AA178" i="491" s="1"/>
  <c r="Z169" i="491" l="1"/>
  <c r="Z95" i="491" s="1"/>
  <c r="Z92" i="491" s="1"/>
  <c r="AB162" i="491"/>
  <c r="AB163" i="491" s="1"/>
  <c r="AC158" i="491"/>
  <c r="AA169" i="491"/>
  <c r="AA95" i="491" s="1"/>
  <c r="AA92" i="491" s="1"/>
  <c r="P26" i="490" l="1"/>
  <c r="P42" i="490"/>
  <c r="AD158" i="491"/>
  <c r="AC162" i="491"/>
  <c r="AC163" i="491" s="1"/>
  <c r="AB164" i="491"/>
  <c r="AB178" i="491" s="1"/>
  <c r="AB169" i="491" l="1"/>
  <c r="AB95" i="491" s="1"/>
  <c r="AB92" i="491" s="1"/>
  <c r="AC169" i="491"/>
  <c r="AC95" i="491" s="1"/>
  <c r="AC92" i="491" s="1"/>
  <c r="AC164" i="491"/>
  <c r="AC178" i="491" s="1"/>
  <c r="AD162" i="491"/>
  <c r="AD163" i="491" s="1"/>
  <c r="AE158" i="491"/>
  <c r="AE162" i="491" l="1"/>
  <c r="AF158" i="491"/>
  <c r="AD169" i="491"/>
  <c r="AD95" i="491" s="1"/>
  <c r="AD92" i="491" s="1"/>
  <c r="AD164" i="491"/>
  <c r="AD178" i="491" s="1"/>
  <c r="AE163" i="491" l="1"/>
  <c r="AF163" i="491" s="1"/>
  <c r="AF162" i="491"/>
  <c r="AF164" i="491" s="1"/>
  <c r="AG158" i="491"/>
  <c r="AE164" i="491"/>
  <c r="AE178" i="491" s="1"/>
  <c r="AF178" i="491" s="1"/>
  <c r="AH158" i="491" l="1"/>
  <c r="AG162" i="491"/>
  <c r="AG163" i="491" s="1"/>
  <c r="AE169" i="491"/>
  <c r="AE95" i="491" s="1"/>
  <c r="AE92" i="491" s="1"/>
  <c r="AF169" i="491"/>
  <c r="AF95" i="491" s="1"/>
  <c r="AF92" i="491" s="1"/>
  <c r="Q42" i="490" l="1"/>
  <c r="Q26" i="490"/>
  <c r="AG164" i="491"/>
  <c r="AG178" i="491" s="1"/>
  <c r="AI158" i="491"/>
  <c r="AH162" i="491"/>
  <c r="AH163" i="491" s="1"/>
  <c r="AH164" i="491" l="1"/>
  <c r="AH178" i="491" s="1"/>
  <c r="AH169" i="491"/>
  <c r="AH95" i="491" s="1"/>
  <c r="AH92" i="491" s="1"/>
  <c r="AG169" i="491"/>
  <c r="AG95" i="491" s="1"/>
  <c r="AG92" i="491" s="1"/>
  <c r="AI162" i="491"/>
  <c r="AI163" i="491" s="1"/>
  <c r="AJ158" i="491"/>
  <c r="AJ162" i="491" l="1"/>
  <c r="AK158" i="491"/>
  <c r="AL158" i="491" s="1"/>
  <c r="AI164" i="491"/>
  <c r="AI178" i="491" s="1"/>
  <c r="AJ163" i="491" l="1"/>
  <c r="AK163" i="491" s="1"/>
  <c r="AL162" i="491"/>
  <c r="AM158" i="491"/>
  <c r="AI169" i="491"/>
  <c r="AI95" i="491" s="1"/>
  <c r="AI92" i="491" s="1"/>
  <c r="AK162" i="491"/>
  <c r="AK164" i="491" s="1"/>
  <c r="AJ164" i="491"/>
  <c r="AJ178" i="491" s="1"/>
  <c r="AK178" i="491" s="1"/>
  <c r="AJ169" i="491" l="1"/>
  <c r="AJ95" i="491" s="1"/>
  <c r="AJ92" i="491" s="1"/>
  <c r="AL163" i="491"/>
  <c r="AM162" i="491"/>
  <c r="AM163" i="491" s="1"/>
  <c r="AN158" i="491"/>
  <c r="AL164" i="491"/>
  <c r="AL178" i="491" s="1"/>
  <c r="AK169" i="491"/>
  <c r="AK95" i="491" s="1"/>
  <c r="AK92" i="491" s="1"/>
  <c r="D169" i="491"/>
  <c r="AM169" i="491" l="1"/>
  <c r="AM95" i="491" s="1"/>
  <c r="AM92" i="491" s="1"/>
  <c r="AM164" i="491"/>
  <c r="AM178" i="491" s="1"/>
  <c r="AN162" i="491"/>
  <c r="AN163" i="491" s="1"/>
  <c r="AO158" i="491"/>
  <c r="AO168" i="491"/>
  <c r="AO89" i="491" s="1"/>
  <c r="AR168" i="491"/>
  <c r="AR89" i="491" s="1"/>
  <c r="AM168" i="491"/>
  <c r="AM89" i="491" s="1"/>
  <c r="AN168" i="491"/>
  <c r="AN89" i="491" s="1"/>
  <c r="AL168" i="491"/>
  <c r="AS168" i="491"/>
  <c r="AS89" i="491" s="1"/>
  <c r="AQ168" i="491"/>
  <c r="AT168" i="491"/>
  <c r="AT89" i="491" s="1"/>
  <c r="AL169" i="491"/>
  <c r="AL95" i="491" s="1"/>
  <c r="AL92" i="491" s="1"/>
  <c r="N168" i="491"/>
  <c r="N89" i="491" s="1"/>
  <c r="Y168" i="491"/>
  <c r="Y89" i="491" s="1"/>
  <c r="AE168" i="491"/>
  <c r="AE89" i="491" s="1"/>
  <c r="M168" i="491"/>
  <c r="R168" i="491"/>
  <c r="AG168" i="491"/>
  <c r="P168" i="491"/>
  <c r="P89" i="491" s="1"/>
  <c r="O168" i="491"/>
  <c r="O89" i="491" s="1"/>
  <c r="X168" i="491"/>
  <c r="X89" i="491" s="1"/>
  <c r="S168" i="491"/>
  <c r="S89" i="491" s="1"/>
  <c r="Z168" i="491"/>
  <c r="Z89" i="491" s="1"/>
  <c r="U168" i="491"/>
  <c r="U89" i="491" s="1"/>
  <c r="AI168" i="491"/>
  <c r="AI89" i="491" s="1"/>
  <c r="AD168" i="491"/>
  <c r="AD89" i="491" s="1"/>
  <c r="AJ168" i="491"/>
  <c r="AJ89" i="491" s="1"/>
  <c r="W168" i="491"/>
  <c r="AC168" i="491"/>
  <c r="AC89" i="491" s="1"/>
  <c r="AH168" i="491"/>
  <c r="AH89" i="491" s="1"/>
  <c r="T168" i="491"/>
  <c r="T89" i="491" s="1"/>
  <c r="AB168" i="491"/>
  <c r="R26" i="490"/>
  <c r="R42" i="490"/>
  <c r="AL89" i="491" l="1"/>
  <c r="AP168" i="491"/>
  <c r="AO162" i="491"/>
  <c r="AP158" i="491"/>
  <c r="AQ89" i="491"/>
  <c r="AU168" i="491"/>
  <c r="AN164" i="491"/>
  <c r="AN178" i="491" s="1"/>
  <c r="R89" i="491"/>
  <c r="V89" i="491" s="1"/>
  <c r="V168" i="491"/>
  <c r="M89" i="491"/>
  <c r="Q89" i="491" s="1"/>
  <c r="Q168" i="491"/>
  <c r="Q170" i="491" s="1"/>
  <c r="M170" i="491"/>
  <c r="AF168" i="491"/>
  <c r="AB89" i="491"/>
  <c r="AF89" i="491" s="1"/>
  <c r="W89" i="491"/>
  <c r="AA89" i="491" s="1"/>
  <c r="AA168" i="491"/>
  <c r="AK168" i="491"/>
  <c r="AG89" i="491"/>
  <c r="AK89" i="491" s="1"/>
  <c r="AO163" i="491" l="1"/>
  <c r="AP163" i="491" s="1"/>
  <c r="AN169" i="491"/>
  <c r="AN95" i="491" s="1"/>
  <c r="AN92" i="491" s="1"/>
  <c r="AO164" i="491"/>
  <c r="AO178" i="491" s="1"/>
  <c r="AP178" i="491" s="1"/>
  <c r="AP89" i="491"/>
  <c r="AU89" i="491"/>
  <c r="AP162" i="491"/>
  <c r="AP164" i="491" s="1"/>
  <c r="AQ158" i="491"/>
  <c r="M112" i="491"/>
  <c r="N167" i="491"/>
  <c r="M172" i="491"/>
  <c r="R167" i="491"/>
  <c r="V167" i="491"/>
  <c r="V170" i="491" s="1"/>
  <c r="Q112" i="491"/>
  <c r="AO169" i="491" l="1"/>
  <c r="AO95" i="491" s="1"/>
  <c r="AO92" i="491" s="1"/>
  <c r="AQ162" i="491"/>
  <c r="AQ163" i="491" s="1"/>
  <c r="AR158" i="491"/>
  <c r="AP169" i="491"/>
  <c r="AP95" i="491" s="1"/>
  <c r="AP92" i="491" s="1"/>
  <c r="V112" i="491"/>
  <c r="AA167" i="491"/>
  <c r="AA170" i="491" s="1"/>
  <c r="W167" i="491"/>
  <c r="R170" i="491"/>
  <c r="R172" i="491" s="1"/>
  <c r="M61" i="491"/>
  <c r="N170" i="491"/>
  <c r="N172" i="491" s="1"/>
  <c r="N61" i="491" s="1"/>
  <c r="N83" i="491" s="1"/>
  <c r="S26" i="490" l="1"/>
  <c r="S42" i="490"/>
  <c r="AR162" i="491"/>
  <c r="AR163" i="491" s="1"/>
  <c r="AS158" i="491"/>
  <c r="AQ164" i="491"/>
  <c r="AQ178" i="491" s="1"/>
  <c r="R61" i="491"/>
  <c r="S167" i="491"/>
  <c r="S170" i="491" s="1"/>
  <c r="R112" i="491"/>
  <c r="W170" i="491"/>
  <c r="M83" i="491"/>
  <c r="AF167" i="491"/>
  <c r="AF170" i="491" s="1"/>
  <c r="AB167" i="491"/>
  <c r="AB170" i="491" s="1"/>
  <c r="AA112" i="491"/>
  <c r="O167" i="491"/>
  <c r="N112" i="491"/>
  <c r="AT158" i="491" l="1"/>
  <c r="AS162" i="491"/>
  <c r="AS163" i="491" s="1"/>
  <c r="AR164" i="491"/>
  <c r="AR178" i="491" s="1"/>
  <c r="AR169" i="491"/>
  <c r="AR95" i="491" s="1"/>
  <c r="AR92" i="491" s="1"/>
  <c r="AQ169" i="491"/>
  <c r="AQ95" i="491" s="1"/>
  <c r="AQ92" i="491" s="1"/>
  <c r="X167" i="491"/>
  <c r="W112" i="491"/>
  <c r="W172" i="491"/>
  <c r="O170" i="491"/>
  <c r="AB172" i="491"/>
  <c r="AC167" i="491"/>
  <c r="AB112" i="491"/>
  <c r="S172" i="491"/>
  <c r="T167" i="491"/>
  <c r="T170" i="491" s="1"/>
  <c r="S112" i="491"/>
  <c r="AK167" i="491"/>
  <c r="AK170" i="491" s="1"/>
  <c r="AG167" i="491"/>
  <c r="AG170" i="491" s="1"/>
  <c r="AF112" i="491"/>
  <c r="R83" i="491"/>
  <c r="AS164" i="491" l="1"/>
  <c r="AS178" i="491" s="1"/>
  <c r="AU158" i="491"/>
  <c r="AU162" i="491" s="1"/>
  <c r="AU164" i="491" s="1"/>
  <c r="AT162" i="491"/>
  <c r="AP167" i="491"/>
  <c r="AP170" i="491" s="1"/>
  <c r="AL167" i="491"/>
  <c r="AK112" i="491"/>
  <c r="O112" i="491"/>
  <c r="P167" i="491"/>
  <c r="W61" i="491"/>
  <c r="T172" i="491"/>
  <c r="T61" i="491" s="1"/>
  <c r="T83" i="491" s="1"/>
  <c r="U167" i="491"/>
  <c r="T112" i="491"/>
  <c r="S61" i="491"/>
  <c r="X170" i="491"/>
  <c r="X172" i="491" s="1"/>
  <c r="X61" i="491" s="1"/>
  <c r="X83" i="491" s="1"/>
  <c r="AC170" i="491"/>
  <c r="AC172" i="491" s="1"/>
  <c r="AC61" i="491" s="1"/>
  <c r="AC83" i="491" s="1"/>
  <c r="AB61" i="491"/>
  <c r="AG172" i="491"/>
  <c r="AG112" i="491"/>
  <c r="AH167" i="491"/>
  <c r="AH170" i="491" s="1"/>
  <c r="O172" i="491"/>
  <c r="AT163" i="491" l="1"/>
  <c r="AU163" i="491" s="1"/>
  <c r="AT164" i="491"/>
  <c r="AT178" i="491" s="1"/>
  <c r="AU178" i="491" s="1"/>
  <c r="AS169" i="491"/>
  <c r="AS95" i="491" s="1"/>
  <c r="AS92" i="491" s="1"/>
  <c r="AL170" i="491"/>
  <c r="AL172" i="491" s="1"/>
  <c r="AQ167" i="491"/>
  <c r="AU167" i="491"/>
  <c r="AP112" i="491"/>
  <c r="W83" i="491"/>
  <c r="AG61" i="491"/>
  <c r="AB83" i="491"/>
  <c r="X112" i="491"/>
  <c r="Y167" i="491"/>
  <c r="P170" i="491"/>
  <c r="P112" i="491" s="1"/>
  <c r="S83" i="491"/>
  <c r="O61" i="491"/>
  <c r="AH172" i="491"/>
  <c r="AH61" i="491" s="1"/>
  <c r="AH83" i="491" s="1"/>
  <c r="AI167" i="491"/>
  <c r="AH112" i="491"/>
  <c r="AD167" i="491"/>
  <c r="AC112" i="491"/>
  <c r="U170" i="491"/>
  <c r="U112" i="491" s="1"/>
  <c r="AT169" i="491" l="1"/>
  <c r="AT95" i="491" s="1"/>
  <c r="AT92" i="491" s="1"/>
  <c r="AU169" i="491"/>
  <c r="AU95" i="491" s="1"/>
  <c r="AU92" i="491" s="1"/>
  <c r="AL61" i="491"/>
  <c r="AQ170" i="491"/>
  <c r="AQ172" i="491" s="1"/>
  <c r="AL112" i="491"/>
  <c r="AM167" i="491"/>
  <c r="P172" i="491"/>
  <c r="P61" i="491" s="1"/>
  <c r="P83" i="491" s="1"/>
  <c r="AD170" i="491"/>
  <c r="AD172" i="491" s="1"/>
  <c r="U172" i="491"/>
  <c r="O83" i="491"/>
  <c r="AG83" i="491"/>
  <c r="AI170" i="491"/>
  <c r="AI172" i="491" s="1"/>
  <c r="Y170" i="491"/>
  <c r="Y172" i="491" s="1"/>
  <c r="T42" i="490" l="1"/>
  <c r="T26" i="490"/>
  <c r="AU170" i="491"/>
  <c r="AU112" i="491" s="1"/>
  <c r="AM170" i="491"/>
  <c r="AM172" i="491" s="1"/>
  <c r="AQ61" i="491"/>
  <c r="AR167" i="491"/>
  <c r="AQ112" i="491"/>
  <c r="AL83" i="491"/>
  <c r="Q172" i="491"/>
  <c r="Q61" i="491"/>
  <c r="Q83" i="491" s="1"/>
  <c r="Y61" i="491"/>
  <c r="Z167" i="491"/>
  <c r="Y112" i="491"/>
  <c r="U61" i="491"/>
  <c r="V172" i="491"/>
  <c r="AI112" i="491"/>
  <c r="AJ167" i="491"/>
  <c r="AD61" i="491"/>
  <c r="AI61" i="491"/>
  <c r="AE167" i="491"/>
  <c r="AD112" i="491"/>
  <c r="N24" i="490" l="1"/>
  <c r="AM61" i="491"/>
  <c r="AR170" i="491"/>
  <c r="AR172" i="491" s="1"/>
  <c r="AQ83" i="491"/>
  <c r="AM112" i="491"/>
  <c r="AN167" i="491"/>
  <c r="AJ170" i="491"/>
  <c r="AJ112" i="491" s="1"/>
  <c r="Y83" i="491"/>
  <c r="U83" i="491"/>
  <c r="V61" i="491"/>
  <c r="V83" i="491" s="1"/>
  <c r="AI83" i="491"/>
  <c r="Z170" i="491"/>
  <c r="Z112" i="491" s="1"/>
  <c r="AE170" i="491"/>
  <c r="AE112" i="491" s="1"/>
  <c r="AD83" i="491"/>
  <c r="O24" i="490" l="1"/>
  <c r="AR112" i="491"/>
  <c r="AS167" i="491"/>
  <c r="AN170" i="491"/>
  <c r="AN172" i="491" s="1"/>
  <c r="AR61" i="491"/>
  <c r="AM83" i="491"/>
  <c r="AJ172" i="491"/>
  <c r="AK172" i="491" s="1"/>
  <c r="Z172" i="491"/>
  <c r="Z61" i="491" s="1"/>
  <c r="AE172" i="491"/>
  <c r="AE61" i="491" s="1"/>
  <c r="AR83" i="491" l="1"/>
  <c r="AN61" i="491"/>
  <c r="AS170" i="491"/>
  <c r="AS172" i="491" s="1"/>
  <c r="AO167" i="491"/>
  <c r="AN112" i="491"/>
  <c r="AJ61" i="491"/>
  <c r="AJ83" i="491" s="1"/>
  <c r="AF172" i="491"/>
  <c r="AA172" i="491"/>
  <c r="AE83" i="491"/>
  <c r="AF61" i="491"/>
  <c r="AF83" i="491" s="1"/>
  <c r="Z83" i="491"/>
  <c r="AA61" i="491"/>
  <c r="AA83" i="491" s="1"/>
  <c r="P24" i="490" l="1"/>
  <c r="Q24" i="490"/>
  <c r="AO170" i="491"/>
  <c r="AO112" i="491" s="1"/>
  <c r="AS61" i="491"/>
  <c r="AT167" i="491"/>
  <c r="AS112" i="491"/>
  <c r="AN83" i="491"/>
  <c r="AK61" i="491"/>
  <c r="AK83" i="491" s="1"/>
  <c r="R24" i="490" l="1"/>
  <c r="AO172" i="491"/>
  <c r="AO61" i="491" s="1"/>
  <c r="AT170" i="491"/>
  <c r="AT112" i="491" s="1"/>
  <c r="AS83" i="491"/>
  <c r="AT172" i="491" l="1"/>
  <c r="AT61" i="491" s="1"/>
  <c r="AP172" i="491"/>
  <c r="AO83" i="491"/>
  <c r="AP61" i="491"/>
  <c r="G97" i="492"/>
  <c r="D13" i="492"/>
  <c r="AU172" i="491" l="1"/>
  <c r="AP83" i="491"/>
  <c r="AT83" i="491"/>
  <c r="AU61" i="491"/>
  <c r="D13" i="490"/>
  <c r="S24" i="490" l="1"/>
  <c r="AU83" i="491"/>
  <c r="D22" i="490"/>
  <c r="E22" i="490" s="1"/>
  <c r="E13" i="490"/>
  <c r="D22" i="492"/>
  <c r="T24" i="490" l="1"/>
  <c r="D52" i="492"/>
  <c r="D12" i="492"/>
  <c r="D143" i="491"/>
  <c r="AL142" i="491" l="1"/>
  <c r="AT142" i="491"/>
  <c r="AT88" i="491" s="1"/>
  <c r="AN142" i="491"/>
  <c r="AN88" i="491" s="1"/>
  <c r="AM142" i="491"/>
  <c r="AM88" i="491" s="1"/>
  <c r="AO142" i="491"/>
  <c r="AO88" i="491" s="1"/>
  <c r="AS142" i="491"/>
  <c r="AS88" i="491" s="1"/>
  <c r="AR142" i="491"/>
  <c r="AR88" i="491" s="1"/>
  <c r="AQ142" i="491"/>
  <c r="D97" i="492"/>
  <c r="D99" i="492" s="1"/>
  <c r="D24" i="492"/>
  <c r="D27" i="492" s="1"/>
  <c r="D12" i="490"/>
  <c r="P142" i="491"/>
  <c r="P88" i="491" s="1"/>
  <c r="S142" i="491"/>
  <c r="S88" i="491" s="1"/>
  <c r="L143" i="491"/>
  <c r="AG142" i="491"/>
  <c r="W142" i="491"/>
  <c r="X142" i="491"/>
  <c r="X88" i="491" s="1"/>
  <c r="AD142" i="491"/>
  <c r="AD88" i="491" s="1"/>
  <c r="AC142" i="491"/>
  <c r="AC88" i="491" s="1"/>
  <c r="AE142" i="491"/>
  <c r="AE88" i="491" s="1"/>
  <c r="M142" i="491"/>
  <c r="AH142" i="491"/>
  <c r="AH88" i="491" s="1"/>
  <c r="AI142" i="491"/>
  <c r="AI88" i="491" s="1"/>
  <c r="T142" i="491"/>
  <c r="T88" i="491" s="1"/>
  <c r="U142" i="491"/>
  <c r="U88" i="491" s="1"/>
  <c r="R142" i="491"/>
  <c r="AB142" i="491"/>
  <c r="Y142" i="491"/>
  <c r="Y88" i="491" s="1"/>
  <c r="O142" i="491"/>
  <c r="O88" i="491" s="1"/>
  <c r="AJ142" i="491"/>
  <c r="AJ88" i="491" s="1"/>
  <c r="N142" i="491"/>
  <c r="N88" i="491" s="1"/>
  <c r="Z142" i="491"/>
  <c r="Z88" i="491" s="1"/>
  <c r="F12" i="492"/>
  <c r="F13" i="492"/>
  <c r="D30" i="492" l="1"/>
  <c r="AU142" i="491"/>
  <c r="AQ88" i="491"/>
  <c r="AU88" i="491" s="1"/>
  <c r="D126" i="491"/>
  <c r="E24" i="492"/>
  <c r="AL88" i="491"/>
  <c r="AP88" i="491" s="1"/>
  <c r="AP142" i="491"/>
  <c r="D21" i="490"/>
  <c r="E21" i="490" s="1"/>
  <c r="E12" i="490"/>
  <c r="AF142" i="491"/>
  <c r="AB88" i="491"/>
  <c r="AF88" i="491" s="1"/>
  <c r="V142" i="491"/>
  <c r="R88" i="491"/>
  <c r="V88" i="491" s="1"/>
  <c r="W88" i="491"/>
  <c r="AA88" i="491" s="1"/>
  <c r="AA142" i="491"/>
  <c r="AK142" i="491"/>
  <c r="AG88" i="491"/>
  <c r="AK88" i="491" s="1"/>
  <c r="L144" i="491"/>
  <c r="Q142" i="491"/>
  <c r="M88" i="491"/>
  <c r="Q88" i="491" s="1"/>
  <c r="E23" i="490" l="1"/>
  <c r="AS125" i="491"/>
  <c r="AS87" i="491" s="1"/>
  <c r="AS86" i="491" s="1"/>
  <c r="AR125" i="491"/>
  <c r="AR87" i="491" s="1"/>
  <c r="AR86" i="491" s="1"/>
  <c r="AQ125" i="491"/>
  <c r="AL125" i="491"/>
  <c r="AT125" i="491"/>
  <c r="AT87" i="491" s="1"/>
  <c r="AT86" i="491" s="1"/>
  <c r="AN125" i="491"/>
  <c r="AN87" i="491" s="1"/>
  <c r="AN86" i="491" s="1"/>
  <c r="AM125" i="491"/>
  <c r="AM87" i="491" s="1"/>
  <c r="AM86" i="491" s="1"/>
  <c r="AO125" i="491"/>
  <c r="AO87" i="491" s="1"/>
  <c r="AO86" i="491" s="1"/>
  <c r="N125" i="491"/>
  <c r="N87" i="491" s="1"/>
  <c r="N86" i="491" s="1"/>
  <c r="AG125" i="491"/>
  <c r="O125" i="491"/>
  <c r="O87" i="491" s="1"/>
  <c r="O86" i="491" s="1"/>
  <c r="Z125" i="491"/>
  <c r="Z87" i="491" s="1"/>
  <c r="Z86" i="491" s="1"/>
  <c r="P125" i="491"/>
  <c r="P87" i="491" s="1"/>
  <c r="P86" i="491" s="1"/>
  <c r="R125" i="491"/>
  <c r="Y125" i="491"/>
  <c r="Y87" i="491" s="1"/>
  <c r="Y86" i="491" s="1"/>
  <c r="AB125" i="491"/>
  <c r="M125" i="491"/>
  <c r="AD125" i="491"/>
  <c r="AD87" i="491" s="1"/>
  <c r="AD86" i="491" s="1"/>
  <c r="T125" i="491"/>
  <c r="T87" i="491" s="1"/>
  <c r="T86" i="491" s="1"/>
  <c r="L126" i="491"/>
  <c r="W125" i="491"/>
  <c r="AC125" i="491"/>
  <c r="AC87" i="491" s="1"/>
  <c r="AC86" i="491" s="1"/>
  <c r="AI125" i="491"/>
  <c r="AI87" i="491" s="1"/>
  <c r="AI86" i="491" s="1"/>
  <c r="AH125" i="491"/>
  <c r="AH87" i="491" s="1"/>
  <c r="AH86" i="491" s="1"/>
  <c r="U125" i="491"/>
  <c r="U87" i="491" s="1"/>
  <c r="U86" i="491" s="1"/>
  <c r="AE125" i="491"/>
  <c r="AE87" i="491" s="1"/>
  <c r="AE86" i="491" s="1"/>
  <c r="S125" i="491"/>
  <c r="S87" i="491" s="1"/>
  <c r="S86" i="491" s="1"/>
  <c r="X125" i="491"/>
  <c r="X87" i="491" s="1"/>
  <c r="X86" i="491" s="1"/>
  <c r="AJ125" i="491"/>
  <c r="AJ87" i="491" s="1"/>
  <c r="AJ86" i="491" s="1"/>
  <c r="D23" i="490"/>
  <c r="D26" i="490" s="1"/>
  <c r="L111" i="491"/>
  <c r="Q141" i="491"/>
  <c r="Q144" i="491" s="1"/>
  <c r="M141" i="491"/>
  <c r="M144" i="491" s="1"/>
  <c r="R87" i="491" l="1"/>
  <c r="V125" i="491"/>
  <c r="AA125" i="491"/>
  <c r="W87" i="491"/>
  <c r="L127" i="491"/>
  <c r="AP125" i="491"/>
  <c r="AL87" i="491"/>
  <c r="AU125" i="491"/>
  <c r="AQ87" i="491"/>
  <c r="AG87" i="491"/>
  <c r="AK125" i="491"/>
  <c r="AF125" i="491"/>
  <c r="AB87" i="491"/>
  <c r="Q125" i="491"/>
  <c r="M87" i="491"/>
  <c r="V141" i="491"/>
  <c r="V144" i="491" s="1"/>
  <c r="R141" i="491"/>
  <c r="R144" i="491" s="1"/>
  <c r="Q111" i="491"/>
  <c r="M146" i="491"/>
  <c r="N141" i="491"/>
  <c r="M111" i="491"/>
  <c r="M26" i="490"/>
  <c r="U26" i="490" s="1"/>
  <c r="Q124" i="491" l="1"/>
  <c r="Q127" i="491" s="1"/>
  <c r="M124" i="491"/>
  <c r="L110" i="491"/>
  <c r="AP87" i="491"/>
  <c r="AP86" i="491" s="1"/>
  <c r="AL86" i="491"/>
  <c r="Q87" i="491"/>
  <c r="Q86" i="491" s="1"/>
  <c r="M86" i="491"/>
  <c r="AB86" i="491"/>
  <c r="AF87" i="491"/>
  <c r="AF86" i="491" s="1"/>
  <c r="AA87" i="491"/>
  <c r="AA86" i="491" s="1"/>
  <c r="W86" i="491"/>
  <c r="AK87" i="491"/>
  <c r="AK86" i="491" s="1"/>
  <c r="AG86" i="491"/>
  <c r="AU87" i="491"/>
  <c r="AU86" i="491" s="1"/>
  <c r="AQ86" i="491"/>
  <c r="R86" i="491"/>
  <c r="V87" i="491"/>
  <c r="V86" i="491" s="1"/>
  <c r="M27" i="490"/>
  <c r="M60" i="491"/>
  <c r="N144" i="491"/>
  <c r="N146" i="491" s="1"/>
  <c r="N60" i="491" s="1"/>
  <c r="N82" i="491" s="1"/>
  <c r="R146" i="491"/>
  <c r="R111" i="491"/>
  <c r="S141" i="491"/>
  <c r="V111" i="491"/>
  <c r="W141" i="491"/>
  <c r="W144" i="491" s="1"/>
  <c r="AA141" i="491"/>
  <c r="AA144" i="491" s="1"/>
  <c r="S43" i="490" l="1"/>
  <c r="T43" i="490"/>
  <c r="P43" i="490"/>
  <c r="N43" i="490"/>
  <c r="R43" i="490"/>
  <c r="O43" i="490"/>
  <c r="Q43" i="490"/>
  <c r="R124" i="491"/>
  <c r="Q110" i="491"/>
  <c r="Q109" i="491" s="1"/>
  <c r="O28" i="491" s="1"/>
  <c r="V124" i="491"/>
  <c r="V127" i="491" s="1"/>
  <c r="M127" i="491"/>
  <c r="M129" i="491" s="1"/>
  <c r="M59" i="491" s="1"/>
  <c r="M58" i="491" s="1"/>
  <c r="L109" i="491"/>
  <c r="L116" i="491"/>
  <c r="W146" i="491"/>
  <c r="W111" i="491"/>
  <c r="X141" i="491"/>
  <c r="S144" i="491"/>
  <c r="R60" i="491"/>
  <c r="M28" i="490"/>
  <c r="AA111" i="491"/>
  <c r="AB141" i="491"/>
  <c r="AF141" i="491"/>
  <c r="AF144" i="491" s="1"/>
  <c r="N111" i="491"/>
  <c r="O141" i="491"/>
  <c r="O144" i="491" s="1"/>
  <c r="M82" i="491"/>
  <c r="M44" i="490" l="1"/>
  <c r="N41" i="490" s="1"/>
  <c r="N44" i="490" s="1"/>
  <c r="K28" i="491"/>
  <c r="K29" i="491" s="1"/>
  <c r="M81" i="491"/>
  <c r="M80" i="491" s="1"/>
  <c r="R127" i="491"/>
  <c r="R129" i="491" s="1"/>
  <c r="R59" i="491" s="1"/>
  <c r="R58" i="491" s="1"/>
  <c r="M110" i="491"/>
  <c r="M109" i="491" s="1"/>
  <c r="L28" i="491" s="1"/>
  <c r="N124" i="491"/>
  <c r="N127" i="491" s="1"/>
  <c r="W124" i="491"/>
  <c r="AA124" i="491"/>
  <c r="AA127" i="491" s="1"/>
  <c r="V110" i="491"/>
  <c r="V109" i="491" s="1"/>
  <c r="S28" i="491" s="1"/>
  <c r="S111" i="491"/>
  <c r="T141" i="491"/>
  <c r="T144" i="491" s="1"/>
  <c r="X144" i="491"/>
  <c r="X146" i="491" s="1"/>
  <c r="X60" i="491" s="1"/>
  <c r="X82" i="491" s="1"/>
  <c r="N32" i="490"/>
  <c r="G53" i="499" s="1"/>
  <c r="W60" i="491"/>
  <c r="AF111" i="491"/>
  <c r="AK141" i="491"/>
  <c r="AK144" i="491" s="1"/>
  <c r="AG141" i="491"/>
  <c r="AB144" i="491"/>
  <c r="AB146" i="491" s="1"/>
  <c r="O146" i="491"/>
  <c r="P141" i="491"/>
  <c r="O111" i="491"/>
  <c r="R82" i="491"/>
  <c r="S146" i="491"/>
  <c r="O41" i="490" l="1"/>
  <c r="O44" i="490" s="1"/>
  <c r="P41" i="490" s="1"/>
  <c r="P44" i="490" s="1"/>
  <c r="M46" i="490"/>
  <c r="K14" i="491"/>
  <c r="K16" i="491" s="1"/>
  <c r="K12" i="491"/>
  <c r="R81" i="491"/>
  <c r="R80" i="491" s="1"/>
  <c r="AB124" i="491"/>
  <c r="AF124" i="491"/>
  <c r="AF127" i="491" s="1"/>
  <c r="AA110" i="491"/>
  <c r="AA109" i="491" s="1"/>
  <c r="W28" i="491" s="1"/>
  <c r="W127" i="491"/>
  <c r="W129" i="491" s="1"/>
  <c r="W59" i="491" s="1"/>
  <c r="W58" i="491" s="1"/>
  <c r="N129" i="491"/>
  <c r="N59" i="491" s="1"/>
  <c r="O124" i="491"/>
  <c r="N110" i="491"/>
  <c r="N109" i="491" s="1"/>
  <c r="M28" i="491" s="1"/>
  <c r="R110" i="491"/>
  <c r="R109" i="491" s="1"/>
  <c r="P28" i="491" s="1"/>
  <c r="S124" i="491"/>
  <c r="S127" i="491" s="1"/>
  <c r="AK111" i="491"/>
  <c r="AP141" i="491"/>
  <c r="AP144" i="491" s="1"/>
  <c r="AL141" i="491"/>
  <c r="M47" i="490"/>
  <c r="X111" i="491"/>
  <c r="Y141" i="491"/>
  <c r="Y144" i="491" s="1"/>
  <c r="S60" i="491"/>
  <c r="Q41" i="490"/>
  <c r="Q44" i="490" s="1"/>
  <c r="AG144" i="491"/>
  <c r="AG146" i="491" s="1"/>
  <c r="O60" i="491"/>
  <c r="P144" i="491"/>
  <c r="P111" i="491" s="1"/>
  <c r="T146" i="491"/>
  <c r="T60" i="491" s="1"/>
  <c r="T82" i="491" s="1"/>
  <c r="T111" i="491"/>
  <c r="U141" i="491"/>
  <c r="W82" i="491"/>
  <c r="AB60" i="491"/>
  <c r="AB111" i="491"/>
  <c r="AC141" i="491"/>
  <c r="AC144" i="491" s="1"/>
  <c r="M54" i="490" l="1"/>
  <c r="G51" i="499" s="1"/>
  <c r="W81" i="491"/>
  <c r="W80" i="491" s="1"/>
  <c r="N81" i="491"/>
  <c r="N80" i="491" s="1"/>
  <c r="N58" i="491"/>
  <c r="X124" i="491"/>
  <c r="W110" i="491"/>
  <c r="W109" i="491" s="1"/>
  <c r="T28" i="491" s="1"/>
  <c r="AB127" i="491"/>
  <c r="AB129" i="491" s="1"/>
  <c r="AB59" i="491" s="1"/>
  <c r="O127" i="491"/>
  <c r="O129" i="491" s="1"/>
  <c r="O59" i="491" s="1"/>
  <c r="S129" i="491"/>
  <c r="S59" i="491" s="1"/>
  <c r="S81" i="491" s="1"/>
  <c r="T124" i="491"/>
  <c r="T127" i="491" s="1"/>
  <c r="T129" i="491" s="1"/>
  <c r="T59" i="491" s="1"/>
  <c r="S110" i="491"/>
  <c r="S109" i="491" s="1"/>
  <c r="Q28" i="491" s="1"/>
  <c r="AG124" i="491"/>
  <c r="AG127" i="491" s="1"/>
  <c r="AG129" i="491" s="1"/>
  <c r="AG59" i="491" s="1"/>
  <c r="AK124" i="491"/>
  <c r="AK127" i="491" s="1"/>
  <c r="AF110" i="491"/>
  <c r="AF109" i="491" s="1"/>
  <c r="AA28" i="491" s="1"/>
  <c r="AL144" i="491"/>
  <c r="AL146" i="491" s="1"/>
  <c r="AP111" i="491"/>
  <c r="AU141" i="491"/>
  <c r="AU144" i="491" s="1"/>
  <c r="AU111" i="491" s="1"/>
  <c r="AQ141" i="491"/>
  <c r="O82" i="491"/>
  <c r="S82" i="491"/>
  <c r="AC146" i="491"/>
  <c r="AD141" i="491"/>
  <c r="AD144" i="491" s="1"/>
  <c r="AC111" i="491"/>
  <c r="AG60" i="491"/>
  <c r="Y146" i="491"/>
  <c r="Y111" i="491"/>
  <c r="Z141" i="491"/>
  <c r="AG111" i="491"/>
  <c r="AH141" i="491"/>
  <c r="AH144" i="491" s="1"/>
  <c r="U144" i="491"/>
  <c r="U111" i="491" s="1"/>
  <c r="AB82" i="491"/>
  <c r="R41" i="490"/>
  <c r="R44" i="490" s="1"/>
  <c r="S41" i="490" s="1"/>
  <c r="S44" i="490" s="1"/>
  <c r="P146" i="491"/>
  <c r="AH124" i="491" l="1"/>
  <c r="AH127" i="491" s="1"/>
  <c r="AH129" i="491" s="1"/>
  <c r="AG110" i="491"/>
  <c r="AG109" i="491" s="1"/>
  <c r="AB28" i="491" s="1"/>
  <c r="S80" i="491"/>
  <c r="S58" i="491"/>
  <c r="T110" i="491"/>
  <c r="T109" i="491" s="1"/>
  <c r="R28" i="491" s="1"/>
  <c r="U124" i="491"/>
  <c r="U127" i="491" s="1"/>
  <c r="U110" i="491" s="1"/>
  <c r="U109" i="491" s="1"/>
  <c r="O58" i="491"/>
  <c r="O81" i="491"/>
  <c r="O80" i="491" s="1"/>
  <c r="AB81" i="491"/>
  <c r="AB80" i="491" s="1"/>
  <c r="AB58" i="491"/>
  <c r="T41" i="490"/>
  <c r="T44" i="490" s="1"/>
  <c r="AK110" i="491"/>
  <c r="AK109" i="491" s="1"/>
  <c r="AE28" i="491" s="1"/>
  <c r="AL124" i="491"/>
  <c r="AP124" i="491"/>
  <c r="AP127" i="491" s="1"/>
  <c r="AC124" i="491"/>
  <c r="AB110" i="491"/>
  <c r="AB109" i="491" s="1"/>
  <c r="X28" i="491" s="1"/>
  <c r="X127" i="491"/>
  <c r="X129" i="491" s="1"/>
  <c r="X59" i="491" s="1"/>
  <c r="P124" i="491"/>
  <c r="O110" i="491"/>
  <c r="O109" i="491" s="1"/>
  <c r="N28" i="491" s="1"/>
  <c r="AL60" i="491"/>
  <c r="AQ144" i="491"/>
  <c r="AQ146" i="491" s="1"/>
  <c r="AM141" i="491"/>
  <c r="AL111" i="491"/>
  <c r="U146" i="491"/>
  <c r="U60" i="491" s="1"/>
  <c r="U82" i="491" s="1"/>
  <c r="AD146" i="491"/>
  <c r="AD60" i="491" s="1"/>
  <c r="AD82" i="491" s="1"/>
  <c r="AD111" i="491"/>
  <c r="AE141" i="491"/>
  <c r="AC60" i="491"/>
  <c r="P60" i="491"/>
  <c r="Q146" i="491"/>
  <c r="Z144" i="491"/>
  <c r="Z111" i="491" s="1"/>
  <c r="AG81" i="491"/>
  <c r="AG58" i="491"/>
  <c r="Y60" i="491"/>
  <c r="AH146" i="491"/>
  <c r="AH111" i="491"/>
  <c r="AI141" i="491"/>
  <c r="AI144" i="491" s="1"/>
  <c r="T58" i="491"/>
  <c r="T81" i="491"/>
  <c r="T80" i="491" s="1"/>
  <c r="AG82" i="491"/>
  <c r="AC127" i="491" l="1"/>
  <c r="AC129" i="491" s="1"/>
  <c r="AC59" i="491" s="1"/>
  <c r="AC81" i="491" s="1"/>
  <c r="P127" i="491"/>
  <c r="P110" i="491" s="1"/>
  <c r="P109" i="491" s="1"/>
  <c r="AU124" i="491"/>
  <c r="AU127" i="491" s="1"/>
  <c r="AU110" i="491" s="1"/>
  <c r="AU109" i="491" s="1"/>
  <c r="AM28" i="491" s="1"/>
  <c r="AP110" i="491"/>
  <c r="AP109" i="491" s="1"/>
  <c r="AI28" i="491" s="1"/>
  <c r="AQ124" i="491"/>
  <c r="AL127" i="491"/>
  <c r="X81" i="491"/>
  <c r="X80" i="491" s="1"/>
  <c r="X58" i="491"/>
  <c r="X110" i="491"/>
  <c r="X109" i="491" s="1"/>
  <c r="U28" i="491" s="1"/>
  <c r="Y124" i="491"/>
  <c r="AQ60" i="491"/>
  <c r="AQ111" i="491"/>
  <c r="AR141" i="491"/>
  <c r="AM144" i="491"/>
  <c r="AM146" i="491" s="1"/>
  <c r="AL82" i="491"/>
  <c r="V146" i="491"/>
  <c r="V60" i="491"/>
  <c r="V82" i="491" s="1"/>
  <c r="U129" i="491"/>
  <c r="V129" i="491" s="1"/>
  <c r="Z146" i="491"/>
  <c r="P82" i="491"/>
  <c r="Q60" i="491"/>
  <c r="AC82" i="491"/>
  <c r="AH60" i="491"/>
  <c r="AE144" i="491"/>
  <c r="AE111" i="491" s="1"/>
  <c r="AH110" i="491"/>
  <c r="AH109" i="491" s="1"/>
  <c r="AC28" i="491" s="1"/>
  <c r="AI124" i="491"/>
  <c r="AI127" i="491" s="1"/>
  <c r="AI146" i="491"/>
  <c r="AI60" i="491" s="1"/>
  <c r="AI111" i="491"/>
  <c r="AJ141" i="491"/>
  <c r="AH59" i="491"/>
  <c r="Y82" i="491"/>
  <c r="AG80" i="491"/>
  <c r="O23" i="490" l="1"/>
  <c r="P129" i="491"/>
  <c r="Q129" i="491" s="1"/>
  <c r="AC80" i="491"/>
  <c r="AC58" i="491"/>
  <c r="AL110" i="491"/>
  <c r="AL109" i="491" s="1"/>
  <c r="AF28" i="491" s="1"/>
  <c r="AM124" i="491"/>
  <c r="Y127" i="491"/>
  <c r="Y129" i="491" s="1"/>
  <c r="Y59" i="491" s="1"/>
  <c r="AQ127" i="491"/>
  <c r="AQ129" i="491" s="1"/>
  <c r="AQ59" i="491" s="1"/>
  <c r="AQ81" i="491" s="1"/>
  <c r="AL129" i="491"/>
  <c r="AL59" i="491" s="1"/>
  <c r="AC110" i="491"/>
  <c r="AC109" i="491" s="1"/>
  <c r="Y28" i="491" s="1"/>
  <c r="AD124" i="491"/>
  <c r="AD127" i="491" s="1"/>
  <c r="AM60" i="491"/>
  <c r="AQ82" i="491"/>
  <c r="AN141" i="491"/>
  <c r="AM111" i="491"/>
  <c r="AR144" i="491"/>
  <c r="U59" i="491"/>
  <c r="U58" i="491" s="1"/>
  <c r="AE146" i="491"/>
  <c r="AF146" i="491" s="1"/>
  <c r="Z60" i="491"/>
  <c r="AA146" i="491"/>
  <c r="AI129" i="491"/>
  <c r="AJ124" i="491"/>
  <c r="AI110" i="491"/>
  <c r="AI109" i="491" s="1"/>
  <c r="AD28" i="491" s="1"/>
  <c r="Q82" i="491"/>
  <c r="AI82" i="491"/>
  <c r="AH58" i="491"/>
  <c r="AH81" i="491"/>
  <c r="AJ144" i="491"/>
  <c r="AJ111" i="491" s="1"/>
  <c r="AH82" i="491"/>
  <c r="P59" i="491" l="1"/>
  <c r="P81" i="491" s="1"/>
  <c r="P80" i="491" s="1"/>
  <c r="Y81" i="491"/>
  <c r="Y80" i="491" s="1"/>
  <c r="Y58" i="491"/>
  <c r="AQ110" i="491"/>
  <c r="AQ109" i="491" s="1"/>
  <c r="AJ28" i="491" s="1"/>
  <c r="AR124" i="491"/>
  <c r="Z124" i="491"/>
  <c r="Y110" i="491"/>
  <c r="Y109" i="491" s="1"/>
  <c r="V28" i="491" s="1"/>
  <c r="AQ58" i="491"/>
  <c r="AD129" i="491"/>
  <c r="AD59" i="491" s="1"/>
  <c r="AE124" i="491"/>
  <c r="AD110" i="491"/>
  <c r="AD109" i="491" s="1"/>
  <c r="Z28" i="491" s="1"/>
  <c r="AL81" i="491"/>
  <c r="AL80" i="491" s="1"/>
  <c r="AL58" i="491"/>
  <c r="AM127" i="491"/>
  <c r="AQ80" i="491"/>
  <c r="AR111" i="491"/>
  <c r="AS141" i="491"/>
  <c r="AS144" i="491" s="1"/>
  <c r="AN144" i="491"/>
  <c r="AN146" i="491" s="1"/>
  <c r="AR146" i="491"/>
  <c r="AM82" i="491"/>
  <c r="V59" i="491"/>
  <c r="V58" i="491" s="1"/>
  <c r="U81" i="491"/>
  <c r="U80" i="491" s="1"/>
  <c r="AH80" i="491"/>
  <c r="AE60" i="491"/>
  <c r="AE82" i="491" s="1"/>
  <c r="AJ146" i="491"/>
  <c r="AJ60" i="491" s="1"/>
  <c r="AK60" i="491" s="1"/>
  <c r="AK82" i="491" s="1"/>
  <c r="Z82" i="491"/>
  <c r="AA60" i="491"/>
  <c r="AJ127" i="491"/>
  <c r="AJ110" i="491" s="1"/>
  <c r="AJ109" i="491" s="1"/>
  <c r="AI59" i="491"/>
  <c r="N23" i="490"/>
  <c r="R23" i="490" l="1"/>
  <c r="P58" i="491"/>
  <c r="Q59" i="491"/>
  <c r="Q81" i="491" s="1"/>
  <c r="AR127" i="491"/>
  <c r="AR129" i="491" s="1"/>
  <c r="AR59" i="491" s="1"/>
  <c r="AR81" i="491" s="1"/>
  <c r="AM110" i="491"/>
  <c r="AM109" i="491" s="1"/>
  <c r="AG28" i="491" s="1"/>
  <c r="AN124" i="491"/>
  <c r="AM129" i="491"/>
  <c r="AM59" i="491" s="1"/>
  <c r="AE127" i="491"/>
  <c r="AE110" i="491" s="1"/>
  <c r="AE109" i="491" s="1"/>
  <c r="AD81" i="491"/>
  <c r="AD80" i="491" s="1"/>
  <c r="AD58" i="491"/>
  <c r="Z127" i="491"/>
  <c r="Z110" i="491" s="1"/>
  <c r="Z109" i="491" s="1"/>
  <c r="AN111" i="491"/>
  <c r="AO141" i="491"/>
  <c r="AR60" i="491"/>
  <c r="AN60" i="491"/>
  <c r="AS146" i="491"/>
  <c r="AS60" i="491" s="1"/>
  <c r="AT141" i="491"/>
  <c r="AS111" i="491"/>
  <c r="V81" i="491"/>
  <c r="AJ82" i="491"/>
  <c r="AF60" i="491"/>
  <c r="AF82" i="491" s="1"/>
  <c r="AK146" i="491"/>
  <c r="AA82" i="491"/>
  <c r="AI81" i="491"/>
  <c r="AI80" i="491" s="1"/>
  <c r="AI58" i="491"/>
  <c r="K10" i="502"/>
  <c r="AJ129" i="491"/>
  <c r="Q58" i="491" l="1"/>
  <c r="J10" i="502" s="1"/>
  <c r="J12" i="502" s="1"/>
  <c r="V80" i="491"/>
  <c r="Q23" i="490"/>
  <c r="AE129" i="491"/>
  <c r="AE59" i="491" s="1"/>
  <c r="Z129" i="491"/>
  <c r="AA129" i="491" s="1"/>
  <c r="AM58" i="491"/>
  <c r="AM81" i="491"/>
  <c r="AM80" i="491" s="1"/>
  <c r="N22" i="490"/>
  <c r="N21" i="490" s="1"/>
  <c r="N61" i="490" s="1"/>
  <c r="Q80" i="491"/>
  <c r="AN127" i="491"/>
  <c r="AN129" i="491" s="1"/>
  <c r="AN59" i="491" s="1"/>
  <c r="AS124" i="491"/>
  <c r="AR110" i="491"/>
  <c r="AR109" i="491" s="1"/>
  <c r="AK28" i="491" s="1"/>
  <c r="AT144" i="491"/>
  <c r="AT111" i="491" s="1"/>
  <c r="AR82" i="491"/>
  <c r="AR80" i="491" s="1"/>
  <c r="AR58" i="491"/>
  <c r="AO144" i="491"/>
  <c r="AO111" i="491" s="1"/>
  <c r="AS82" i="491"/>
  <c r="AN82" i="491"/>
  <c r="O22" i="490"/>
  <c r="O21" i="490" s="1"/>
  <c r="O61" i="490" s="1"/>
  <c r="P23" i="490"/>
  <c r="K12" i="502"/>
  <c r="K41" i="502"/>
  <c r="AJ59" i="491"/>
  <c r="AK129" i="491"/>
  <c r="J41" i="502" l="1"/>
  <c r="J44" i="502" s="1"/>
  <c r="J49" i="502" s="1"/>
  <c r="J64" i="502" s="1"/>
  <c r="AF129" i="491"/>
  <c r="Z59" i="491"/>
  <c r="Z58" i="491" s="1"/>
  <c r="AO146" i="491"/>
  <c r="AP146" i="491" s="1"/>
  <c r="AO124" i="491"/>
  <c r="AN110" i="491"/>
  <c r="AN109" i="491" s="1"/>
  <c r="AH28" i="491" s="1"/>
  <c r="AN81" i="491"/>
  <c r="AN80" i="491" s="1"/>
  <c r="AN58" i="491"/>
  <c r="AS127" i="491"/>
  <c r="AF59" i="491"/>
  <c r="AE81" i="491"/>
  <c r="AE80" i="491" s="1"/>
  <c r="AE58" i="491"/>
  <c r="AT146" i="491"/>
  <c r="K44" i="502"/>
  <c r="K49" i="502" s="1"/>
  <c r="K71" i="502" s="1"/>
  <c r="K43" i="502"/>
  <c r="AJ81" i="491"/>
  <c r="AJ80" i="491" s="1"/>
  <c r="AJ58" i="491"/>
  <c r="AK59" i="491"/>
  <c r="J43" i="502" l="1"/>
  <c r="J58" i="502" s="1"/>
  <c r="J60" i="502" s="1"/>
  <c r="Z81" i="491"/>
  <c r="Z80" i="491" s="1"/>
  <c r="AA59" i="491"/>
  <c r="AA58" i="491" s="1"/>
  <c r="L10" i="502" s="1"/>
  <c r="AO60" i="491"/>
  <c r="AO82" i="491" s="1"/>
  <c r="AS110" i="491"/>
  <c r="AS109" i="491" s="1"/>
  <c r="AL28" i="491" s="1"/>
  <c r="AT124" i="491"/>
  <c r="AF81" i="491"/>
  <c r="AF58" i="491"/>
  <c r="M10" i="502" s="1"/>
  <c r="AO127" i="491"/>
  <c r="AO110" i="491" s="1"/>
  <c r="AO109" i="491" s="1"/>
  <c r="AS129" i="491"/>
  <c r="AS59" i="491" s="1"/>
  <c r="AT60" i="491"/>
  <c r="AU146" i="491"/>
  <c r="AK81" i="491"/>
  <c r="AK58" i="491"/>
  <c r="J65" i="502" l="1"/>
  <c r="J67" i="502" s="1"/>
  <c r="K63" i="502" s="1"/>
  <c r="AA81" i="491"/>
  <c r="P22" i="490" s="1"/>
  <c r="P21" i="490" s="1"/>
  <c r="P61" i="490" s="1"/>
  <c r="AP60" i="491"/>
  <c r="AP82" i="491" s="1"/>
  <c r="AO129" i="491"/>
  <c r="AT127" i="491"/>
  <c r="AT110" i="491" s="1"/>
  <c r="AT109" i="491" s="1"/>
  <c r="L41" i="502"/>
  <c r="L12" i="502"/>
  <c r="M41" i="502"/>
  <c r="M12" i="502"/>
  <c r="AF80" i="491"/>
  <c r="Q22" i="490"/>
  <c r="Q21" i="490" s="1"/>
  <c r="Q61" i="490" s="1"/>
  <c r="AS58" i="491"/>
  <c r="AS81" i="491"/>
  <c r="AS80" i="491" s="1"/>
  <c r="AT82" i="491"/>
  <c r="AU60" i="491"/>
  <c r="K56" i="502"/>
  <c r="N10" i="502"/>
  <c r="AK80" i="491"/>
  <c r="R22" i="490"/>
  <c r="R21" i="490" s="1"/>
  <c r="R61" i="490" s="1"/>
  <c r="AA80" i="491" l="1"/>
  <c r="J47" i="502"/>
  <c r="J13" i="502" s="1"/>
  <c r="J111" i="502" s="1"/>
  <c r="J50" i="502"/>
  <c r="AT129" i="491"/>
  <c r="AT59" i="491" s="1"/>
  <c r="L44" i="502"/>
  <c r="L49" i="502" s="1"/>
  <c r="L78" i="502" s="1"/>
  <c r="L43" i="502"/>
  <c r="S23" i="490"/>
  <c r="M43" i="502"/>
  <c r="M44" i="502"/>
  <c r="M49" i="502" s="1"/>
  <c r="M85" i="502" s="1"/>
  <c r="AO59" i="491"/>
  <c r="AP129" i="491"/>
  <c r="AU82" i="491"/>
  <c r="N41" i="502"/>
  <c r="N44" i="502" s="1"/>
  <c r="N12" i="502"/>
  <c r="J46" i="502" l="1"/>
  <c r="K58" i="502" s="1"/>
  <c r="AU129" i="491"/>
  <c r="T23" i="490"/>
  <c r="AT58" i="491"/>
  <c r="AU59" i="491"/>
  <c r="AT81" i="491"/>
  <c r="AT80" i="491" s="1"/>
  <c r="AO81" i="491"/>
  <c r="AO80" i="491" s="1"/>
  <c r="AP59" i="491"/>
  <c r="AO58" i="491"/>
  <c r="N49" i="502"/>
  <c r="N92" i="502" s="1"/>
  <c r="N43" i="502"/>
  <c r="J101" i="502"/>
  <c r="J113" i="502"/>
  <c r="J102" i="502" s="1"/>
  <c r="J15" i="502" s="1"/>
  <c r="J16" i="502" s="1"/>
  <c r="AP81" i="491" l="1"/>
  <c r="AP58" i="491"/>
  <c r="O10" i="502" s="1"/>
  <c r="AU81" i="491"/>
  <c r="AU58" i="491"/>
  <c r="P10" i="502" s="1"/>
  <c r="K60" i="502"/>
  <c r="J103" i="502"/>
  <c r="K100" i="502" s="1"/>
  <c r="K65" i="502"/>
  <c r="K67" i="502" s="1"/>
  <c r="L63" i="502" s="1"/>
  <c r="J22" i="502"/>
  <c r="J21" i="502"/>
  <c r="J18" i="502"/>
  <c r="J23" i="502"/>
  <c r="J28" i="502"/>
  <c r="S22" i="490" l="1"/>
  <c r="S21" i="490" s="1"/>
  <c r="S61" i="490" s="1"/>
  <c r="AP80" i="491"/>
  <c r="P41" i="502"/>
  <c r="P12" i="502"/>
  <c r="T22" i="490"/>
  <c r="T21" i="490" s="1"/>
  <c r="T61" i="490" s="1"/>
  <c r="AU80" i="491"/>
  <c r="O41" i="502"/>
  <c r="O12" i="502"/>
  <c r="J24" i="502"/>
  <c r="J26" i="502" s="1"/>
  <c r="J30" i="502" s="1"/>
  <c r="J31" i="502" s="1"/>
  <c r="K72" i="502"/>
  <c r="K74" i="502" s="1"/>
  <c r="L70" i="502" s="1"/>
  <c r="L56" i="502"/>
  <c r="O43" i="502" l="1"/>
  <c r="O44" i="502"/>
  <c r="O49" i="502" s="1"/>
  <c r="P44" i="502"/>
  <c r="P49" i="502" s="1"/>
  <c r="P43" i="502"/>
  <c r="K50" i="502"/>
  <c r="K47" i="502"/>
  <c r="N17" i="490" l="1"/>
  <c r="G24" i="499"/>
  <c r="Q64" i="491"/>
  <c r="Q66" i="491" s="1"/>
  <c r="K13" i="502"/>
  <c r="K111" i="502" s="1"/>
  <c r="K46" i="502"/>
  <c r="N64" i="491" l="1"/>
  <c r="N77" i="491" s="1"/>
  <c r="P64" i="491"/>
  <c r="P77" i="491" s="1"/>
  <c r="M64" i="491"/>
  <c r="M66" i="491" s="1"/>
  <c r="O64" i="491"/>
  <c r="O66" i="491" s="1"/>
  <c r="L58" i="502"/>
  <c r="L65" i="502" s="1"/>
  <c r="L67" i="502" s="1"/>
  <c r="M63" i="502" s="1"/>
  <c r="K101" i="502"/>
  <c r="K113" i="502"/>
  <c r="K102" i="502" s="1"/>
  <c r="K15" i="502" s="1"/>
  <c r="K16" i="502" s="1"/>
  <c r="P66" i="491" l="1"/>
  <c r="N66" i="491"/>
  <c r="M77" i="491"/>
  <c r="M78" i="491" s="1"/>
  <c r="M97" i="491" s="1"/>
  <c r="M100" i="491" s="1"/>
  <c r="O77" i="491"/>
  <c r="O78" i="491" s="1"/>
  <c r="O97" i="491" s="1"/>
  <c r="O100" i="491" s="1"/>
  <c r="P78" i="491"/>
  <c r="P97" i="491" s="1"/>
  <c r="P100" i="491" s="1"/>
  <c r="N78" i="491"/>
  <c r="N97" i="491" s="1"/>
  <c r="N100" i="491" s="1"/>
  <c r="L60" i="502"/>
  <c r="K103" i="502"/>
  <c r="L100" i="502" s="1"/>
  <c r="K21" i="502"/>
  <c r="K22" i="502"/>
  <c r="K28" i="502"/>
  <c r="K23" i="502"/>
  <c r="K18" i="502"/>
  <c r="L72" i="502"/>
  <c r="L74" i="502" s="1"/>
  <c r="M70" i="502" s="1"/>
  <c r="Q77" i="491" l="1"/>
  <c r="Q78" i="491" s="1"/>
  <c r="Q97" i="491" s="1"/>
  <c r="K24" i="502"/>
  <c r="K26" i="502" s="1"/>
  <c r="K30" i="502" s="1"/>
  <c r="L79" i="502"/>
  <c r="L81" i="502" s="1"/>
  <c r="M77" i="502" s="1"/>
  <c r="Q100" i="491"/>
  <c r="M56" i="502"/>
  <c r="O17" i="490" l="1"/>
  <c r="L47" i="502"/>
  <c r="L13" i="502" s="1"/>
  <c r="L111" i="502" s="1"/>
  <c r="L50" i="502"/>
  <c r="K31" i="502"/>
  <c r="N18" i="490"/>
  <c r="H24" i="499"/>
  <c r="V64" i="491"/>
  <c r="L46" i="502" l="1"/>
  <c r="M58" i="502" s="1"/>
  <c r="R64" i="491"/>
  <c r="S64" i="491"/>
  <c r="U64" i="491"/>
  <c r="T64" i="491"/>
  <c r="V66" i="491"/>
  <c r="N19" i="490"/>
  <c r="N20" i="490"/>
  <c r="L113" i="502"/>
  <c r="L102" i="502" s="1"/>
  <c r="L15" i="502" s="1"/>
  <c r="L16" i="502" s="1"/>
  <c r="L101" i="502"/>
  <c r="N60" i="490" l="1"/>
  <c r="N27" i="490"/>
  <c r="M65" i="502"/>
  <c r="M67" i="502" s="1"/>
  <c r="N63" i="502" s="1"/>
  <c r="L103" i="502"/>
  <c r="M100" i="502" s="1"/>
  <c r="T77" i="491"/>
  <c r="T78" i="491" s="1"/>
  <c r="T97" i="491" s="1"/>
  <c r="T100" i="491" s="1"/>
  <c r="T66" i="491"/>
  <c r="U77" i="491"/>
  <c r="U78" i="491" s="1"/>
  <c r="U97" i="491" s="1"/>
  <c r="U100" i="491" s="1"/>
  <c r="U66" i="491"/>
  <c r="S77" i="491"/>
  <c r="S78" i="491" s="1"/>
  <c r="S97" i="491" s="1"/>
  <c r="S100" i="491" s="1"/>
  <c r="S66" i="491"/>
  <c r="L21" i="502"/>
  <c r="L18" i="502"/>
  <c r="L28" i="502"/>
  <c r="L22" i="502"/>
  <c r="L23" i="502"/>
  <c r="R77" i="491"/>
  <c r="R66" i="491"/>
  <c r="M60" i="502"/>
  <c r="N28" i="490" l="1"/>
  <c r="N62" i="490" s="1"/>
  <c r="G52" i="499"/>
  <c r="G54" i="499" s="1"/>
  <c r="M72" i="502"/>
  <c r="L24" i="502"/>
  <c r="L26" i="502" s="1"/>
  <c r="L30" i="502" s="1"/>
  <c r="N56" i="502"/>
  <c r="V77" i="491"/>
  <c r="R78" i="491"/>
  <c r="R97" i="491" s="1"/>
  <c r="R100" i="491" s="1"/>
  <c r="G56" i="499" l="1"/>
  <c r="G62" i="499" s="1"/>
  <c r="M74" i="502"/>
  <c r="M79" i="502"/>
  <c r="M81" i="502" s="1"/>
  <c r="N77" i="502" s="1"/>
  <c r="V78" i="491"/>
  <c r="V97" i="491" s="1"/>
  <c r="V100" i="491"/>
  <c r="L31" i="502"/>
  <c r="P17" i="490" l="1"/>
  <c r="G61" i="499"/>
  <c r="G60" i="499"/>
  <c r="M86" i="502"/>
  <c r="M88" i="502" s="1"/>
  <c r="N84" i="502" s="1"/>
  <c r="N70" i="502"/>
  <c r="O18" i="490"/>
  <c r="I24" i="499"/>
  <c r="AA64" i="491"/>
  <c r="G63" i="499" l="1"/>
  <c r="G65" i="499" s="1"/>
  <c r="M50" i="502"/>
  <c r="M47" i="502"/>
  <c r="O19" i="490"/>
  <c r="O20" i="490"/>
  <c r="X64" i="491"/>
  <c r="W64" i="491"/>
  <c r="Y64" i="491"/>
  <c r="Z64" i="491"/>
  <c r="AA66" i="491"/>
  <c r="O60" i="490" l="1"/>
  <c r="O27" i="490"/>
  <c r="M46" i="502"/>
  <c r="M13" i="502"/>
  <c r="M111" i="502" s="1"/>
  <c r="Y77" i="491"/>
  <c r="Y78" i="491" s="1"/>
  <c r="Y97" i="491" s="1"/>
  <c r="Y100" i="491" s="1"/>
  <c r="Y66" i="491"/>
  <c r="W77" i="491"/>
  <c r="W66" i="491"/>
  <c r="Z77" i="491"/>
  <c r="Z78" i="491" s="1"/>
  <c r="Z97" i="491" s="1"/>
  <c r="Z100" i="491" s="1"/>
  <c r="Z66" i="491"/>
  <c r="X77" i="491"/>
  <c r="X78" i="491" s="1"/>
  <c r="X97" i="491" s="1"/>
  <c r="X100" i="491" s="1"/>
  <c r="X66" i="491"/>
  <c r="N29" i="490" l="1"/>
  <c r="Q101" i="491"/>
  <c r="O28" i="490"/>
  <c r="O62" i="490" s="1"/>
  <c r="H52" i="499"/>
  <c r="M101" i="502"/>
  <c r="M113" i="502"/>
  <c r="M102" i="502" s="1"/>
  <c r="M15" i="502" s="1"/>
  <c r="M16" i="502" s="1"/>
  <c r="N58" i="502"/>
  <c r="N65" i="502" s="1"/>
  <c r="N67" i="502" s="1"/>
  <c r="O63" i="502" s="1"/>
  <c r="W78" i="491"/>
  <c r="W97" i="491" s="1"/>
  <c r="W100" i="491" s="1"/>
  <c r="AA77" i="491"/>
  <c r="N33" i="490" l="1"/>
  <c r="Q102" i="491"/>
  <c r="O27" i="491" s="1"/>
  <c r="O29" i="491" s="1"/>
  <c r="O12" i="491" s="1"/>
  <c r="O101" i="491"/>
  <c r="M101" i="491"/>
  <c r="M102" i="491" s="1"/>
  <c r="N101" i="491"/>
  <c r="P101" i="491"/>
  <c r="N72" i="502"/>
  <c r="N74" i="502" s="1"/>
  <c r="O70" i="502" s="1"/>
  <c r="N59" i="502"/>
  <c r="N60" i="502" s="1"/>
  <c r="O56" i="502" s="1"/>
  <c r="M22" i="502"/>
  <c r="M21" i="502"/>
  <c r="M23" i="502"/>
  <c r="M28" i="502"/>
  <c r="M18" i="502"/>
  <c r="M103" i="502"/>
  <c r="N100" i="502" s="1"/>
  <c r="AA100" i="491"/>
  <c r="AA78" i="491"/>
  <c r="AA97" i="491" s="1"/>
  <c r="O32" i="490" l="1"/>
  <c r="H53" i="499" s="1"/>
  <c r="H54" i="499" s="1"/>
  <c r="H56" i="499" s="1"/>
  <c r="N46" i="490"/>
  <c r="N39" i="490"/>
  <c r="Q115" i="491"/>
  <c r="Q116" i="491" s="1"/>
  <c r="V99" i="491"/>
  <c r="N34" i="490"/>
  <c r="R99" i="491"/>
  <c r="L27" i="491"/>
  <c r="L29" i="491" s="1"/>
  <c r="N99" i="491"/>
  <c r="N102" i="491" s="1"/>
  <c r="M115" i="491"/>
  <c r="M116" i="491" s="1"/>
  <c r="D42" i="490"/>
  <c r="O14" i="491"/>
  <c r="O16" i="491" s="1"/>
  <c r="N79" i="502"/>
  <c r="N81" i="502" s="1"/>
  <c r="O77" i="502" s="1"/>
  <c r="M24" i="502"/>
  <c r="M26" i="502" s="1"/>
  <c r="M30" i="502" s="1"/>
  <c r="P18" i="490"/>
  <c r="N47" i="490" l="1"/>
  <c r="N54" i="490"/>
  <c r="H51" i="499" s="1"/>
  <c r="H62" i="499" s="1"/>
  <c r="M27" i="491"/>
  <c r="M29" i="491" s="1"/>
  <c r="N115" i="491"/>
  <c r="N116" i="491" s="1"/>
  <c r="O99" i="491"/>
  <c r="O102" i="491" s="1"/>
  <c r="L12" i="491"/>
  <c r="L14" i="491"/>
  <c r="L16" i="491" s="1"/>
  <c r="E42" i="490"/>
  <c r="F42" i="490" s="1"/>
  <c r="O17" i="491"/>
  <c r="N86" i="502"/>
  <c r="N88" i="502" s="1"/>
  <c r="O84" i="502" s="1"/>
  <c r="M31" i="502"/>
  <c r="P19" i="490"/>
  <c r="P20" i="490"/>
  <c r="H61" i="499" l="1"/>
  <c r="N55" i="490"/>
  <c r="H60" i="499"/>
  <c r="L17" i="491"/>
  <c r="E39" i="490"/>
  <c r="D39" i="490"/>
  <c r="N27" i="491"/>
  <c r="N29" i="491" s="1"/>
  <c r="P99" i="491"/>
  <c r="P102" i="491" s="1"/>
  <c r="P115" i="491" s="1"/>
  <c r="P116" i="491" s="1"/>
  <c r="O115" i="491"/>
  <c r="O116" i="491" s="1"/>
  <c r="M12" i="491"/>
  <c r="M14" i="491"/>
  <c r="M16" i="491" s="1"/>
  <c r="P60" i="490"/>
  <c r="N57" i="490"/>
  <c r="N93" i="502"/>
  <c r="N95" i="502" s="1"/>
  <c r="N50" i="502" s="1"/>
  <c r="P27" i="490"/>
  <c r="AF64" i="491"/>
  <c r="AC64" i="491" s="1"/>
  <c r="Q17" i="490"/>
  <c r="J24" i="499"/>
  <c r="H63" i="499" l="1"/>
  <c r="H65" i="499" s="1"/>
  <c r="V101" i="491" s="1"/>
  <c r="N14" i="491"/>
  <c r="N16" i="491" s="1"/>
  <c r="N12" i="491"/>
  <c r="F39" i="490"/>
  <c r="E40" i="490"/>
  <c r="M17" i="491"/>
  <c r="D40" i="490"/>
  <c r="N47" i="502"/>
  <c r="N13" i="502" s="1"/>
  <c r="N111" i="502" s="1"/>
  <c r="P28" i="490"/>
  <c r="P62" i="490" s="1"/>
  <c r="I52" i="499"/>
  <c r="AB64" i="491"/>
  <c r="AB66" i="491" s="1"/>
  <c r="AD64" i="491"/>
  <c r="AD77" i="491" s="1"/>
  <c r="AD78" i="491" s="1"/>
  <c r="AD97" i="491" s="1"/>
  <c r="AD100" i="491" s="1"/>
  <c r="AE64" i="491"/>
  <c r="AE77" i="491" s="1"/>
  <c r="AE78" i="491" s="1"/>
  <c r="AE97" i="491" s="1"/>
  <c r="AE100" i="491" s="1"/>
  <c r="AF66" i="491"/>
  <c r="AC77" i="491"/>
  <c r="AC78" i="491" s="1"/>
  <c r="AC97" i="491" s="1"/>
  <c r="AC100" i="491" s="1"/>
  <c r="AC66" i="491"/>
  <c r="O29" i="490" l="1"/>
  <c r="F40" i="490"/>
  <c r="D41" i="490"/>
  <c r="V102" i="491"/>
  <c r="S27" i="491" s="1"/>
  <c r="S29" i="491" s="1"/>
  <c r="U101" i="491"/>
  <c r="S101" i="491"/>
  <c r="T101" i="491"/>
  <c r="R101" i="491"/>
  <c r="R102" i="491" s="1"/>
  <c r="E41" i="490"/>
  <c r="N17" i="491"/>
  <c r="N46" i="502"/>
  <c r="O58" i="502" s="1"/>
  <c r="O65" i="502" s="1"/>
  <c r="O66" i="502" s="1"/>
  <c r="O67" i="502" s="1"/>
  <c r="P63" i="502" s="1"/>
  <c r="AB77" i="491"/>
  <c r="AF77" i="491" s="1"/>
  <c r="AD66" i="491"/>
  <c r="AE66" i="491"/>
  <c r="N101" i="502"/>
  <c r="N113" i="502"/>
  <c r="N102" i="502" s="1"/>
  <c r="N15" i="502" s="1"/>
  <c r="N16" i="502" s="1"/>
  <c r="O33" i="490" l="1"/>
  <c r="O46" i="490" s="1"/>
  <c r="O54" i="490" s="1"/>
  <c r="I51" i="499" s="1"/>
  <c r="V115" i="491"/>
  <c r="V116" i="491" s="1"/>
  <c r="W99" i="491"/>
  <c r="AA99" i="491"/>
  <c r="F41" i="490"/>
  <c r="R115" i="491"/>
  <c r="R116" i="491" s="1"/>
  <c r="S99" i="491"/>
  <c r="S102" i="491" s="1"/>
  <c r="P27" i="491"/>
  <c r="P29" i="491" s="1"/>
  <c r="O34" i="490"/>
  <c r="O39" i="490"/>
  <c r="S12" i="491"/>
  <c r="S14" i="491"/>
  <c r="S16" i="491" s="1"/>
  <c r="AB78" i="491"/>
  <c r="AB97" i="491" s="1"/>
  <c r="AB100" i="491" s="1"/>
  <c r="AF100" i="491" s="1"/>
  <c r="O72" i="502"/>
  <c r="O59" i="502"/>
  <c r="O60" i="502" s="1"/>
  <c r="P56" i="502" s="1"/>
  <c r="N23" i="502"/>
  <c r="N28" i="502"/>
  <c r="N21" i="502"/>
  <c r="N22" i="502"/>
  <c r="N18" i="502"/>
  <c r="N103" i="502"/>
  <c r="O100" i="502" s="1"/>
  <c r="AF78" i="491"/>
  <c r="AF97" i="491" s="1"/>
  <c r="Q18" i="490"/>
  <c r="O47" i="490" l="1"/>
  <c r="P32" i="490"/>
  <c r="I53" i="499" s="1"/>
  <c r="I54" i="499" s="1"/>
  <c r="I56" i="499" s="1"/>
  <c r="I60" i="499" s="1"/>
  <c r="P12" i="491"/>
  <c r="P14" i="491"/>
  <c r="P16" i="491" s="1"/>
  <c r="Q27" i="491"/>
  <c r="Q29" i="491" s="1"/>
  <c r="T99" i="491"/>
  <c r="T102" i="491" s="1"/>
  <c r="S115" i="491"/>
  <c r="S116" i="491" s="1"/>
  <c r="D46" i="490"/>
  <c r="O55" i="490"/>
  <c r="E46" i="490"/>
  <c r="S17" i="491"/>
  <c r="O74" i="502"/>
  <c r="P70" i="502" s="1"/>
  <c r="O79" i="502"/>
  <c r="O86" i="502" s="1"/>
  <c r="O88" i="502" s="1"/>
  <c r="P84" i="502" s="1"/>
  <c r="N24" i="502"/>
  <c r="N26" i="502" s="1"/>
  <c r="N30" i="502" s="1"/>
  <c r="Q20" i="490"/>
  <c r="Q60" i="490" s="1"/>
  <c r="Q19" i="490"/>
  <c r="I62" i="499" l="1"/>
  <c r="I61" i="499"/>
  <c r="R27" i="491"/>
  <c r="R29" i="491" s="1"/>
  <c r="U99" i="491"/>
  <c r="U102" i="491" s="1"/>
  <c r="U115" i="491" s="1"/>
  <c r="U116" i="491" s="1"/>
  <c r="T115" i="491"/>
  <c r="T116" i="491" s="1"/>
  <c r="Q12" i="491"/>
  <c r="Q14" i="491"/>
  <c r="Q16" i="491" s="1"/>
  <c r="P17" i="491"/>
  <c r="E43" i="490"/>
  <c r="D43" i="490"/>
  <c r="F46" i="490"/>
  <c r="O57" i="490"/>
  <c r="I63" i="499"/>
  <c r="I65" i="499" s="1"/>
  <c r="O93" i="502"/>
  <c r="O95" i="502" s="1"/>
  <c r="O81" i="502"/>
  <c r="P77" i="502" s="1"/>
  <c r="Q27" i="490"/>
  <c r="N31" i="502"/>
  <c r="F43" i="490" l="1"/>
  <c r="D44" i="490"/>
  <c r="Q17" i="491"/>
  <c r="E44" i="490"/>
  <c r="R12" i="491"/>
  <c r="R14" i="491"/>
  <c r="R16" i="491" s="1"/>
  <c r="R17" i="490"/>
  <c r="Q28" i="490"/>
  <c r="J52" i="499"/>
  <c r="O47" i="502"/>
  <c r="O13" i="502" s="1"/>
  <c r="O111" i="502" s="1"/>
  <c r="O50" i="502"/>
  <c r="Q62" i="490"/>
  <c r="K24" i="499"/>
  <c r="P23" i="499"/>
  <c r="O23" i="499"/>
  <c r="AK64" i="491"/>
  <c r="R17" i="491" l="1"/>
  <c r="E45" i="490"/>
  <c r="D45" i="490"/>
  <c r="F44" i="490"/>
  <c r="P29" i="490"/>
  <c r="AA101" i="491"/>
  <c r="O46" i="502"/>
  <c r="P58" i="502" s="1"/>
  <c r="P65" i="502" s="1"/>
  <c r="O113" i="502"/>
  <c r="O102" i="502" s="1"/>
  <c r="O15" i="502" s="1"/>
  <c r="O16" i="502" s="1"/>
  <c r="O101" i="502"/>
  <c r="AG64" i="491"/>
  <c r="AJ64" i="491"/>
  <c r="AH64" i="491"/>
  <c r="AI64" i="491"/>
  <c r="AK66" i="491"/>
  <c r="AA102" i="491" l="1"/>
  <c r="AF99" i="491" s="1"/>
  <c r="Y101" i="491"/>
  <c r="W101" i="491"/>
  <c r="W102" i="491" s="1"/>
  <c r="X101" i="491"/>
  <c r="Z101" i="491"/>
  <c r="F45" i="490"/>
  <c r="P33" i="490"/>
  <c r="P66" i="502"/>
  <c r="P67" i="502" s="1"/>
  <c r="P72" i="502"/>
  <c r="P73" i="502" s="1"/>
  <c r="P74" i="502" s="1"/>
  <c r="O22" i="502"/>
  <c r="O21" i="502"/>
  <c r="O23" i="502"/>
  <c r="O18" i="502"/>
  <c r="O28" i="502"/>
  <c r="O103" i="502"/>
  <c r="P100" i="502" s="1"/>
  <c r="P59" i="502"/>
  <c r="P60" i="502" s="1"/>
  <c r="AI77" i="491"/>
  <c r="AI78" i="491" s="1"/>
  <c r="AI97" i="491" s="1"/>
  <c r="AI100" i="491" s="1"/>
  <c r="AI66" i="491"/>
  <c r="AJ66" i="491"/>
  <c r="AJ77" i="491"/>
  <c r="AJ78" i="491" s="1"/>
  <c r="AJ97" i="491" s="1"/>
  <c r="AJ100" i="491" s="1"/>
  <c r="AH77" i="491"/>
  <c r="AH78" i="491" s="1"/>
  <c r="AH97" i="491" s="1"/>
  <c r="AH100" i="491" s="1"/>
  <c r="AH66" i="491"/>
  <c r="AG77" i="491"/>
  <c r="AG66" i="491"/>
  <c r="P34" i="490" l="1"/>
  <c r="W27" i="491"/>
  <c r="W29" i="491" s="1"/>
  <c r="W12" i="491" s="1"/>
  <c r="AB99" i="491"/>
  <c r="AA115" i="491"/>
  <c r="AA116" i="491" s="1"/>
  <c r="X99" i="491"/>
  <c r="X102" i="491" s="1"/>
  <c r="W115" i="491"/>
  <c r="W116" i="491" s="1"/>
  <c r="T27" i="491"/>
  <c r="T29" i="491" s="1"/>
  <c r="P46" i="490"/>
  <c r="Q32" i="490"/>
  <c r="J53" i="499" s="1"/>
  <c r="J54" i="499" s="1"/>
  <c r="J56" i="499" s="1"/>
  <c r="P39" i="490"/>
  <c r="O24" i="502"/>
  <c r="O26" i="502" s="1"/>
  <c r="O30" i="502" s="1"/>
  <c r="P79" i="502"/>
  <c r="P81" i="502" s="1"/>
  <c r="AG78" i="491"/>
  <c r="AG97" i="491" s="1"/>
  <c r="AG100" i="491" s="1"/>
  <c r="AK77" i="491"/>
  <c r="D50" i="490" l="1"/>
  <c r="W14" i="491"/>
  <c r="W16" i="491" s="1"/>
  <c r="W17" i="491" s="1"/>
  <c r="T12" i="491"/>
  <c r="T14" i="491"/>
  <c r="T16" i="491" s="1"/>
  <c r="U27" i="491"/>
  <c r="U29" i="491" s="1"/>
  <c r="Y99" i="491"/>
  <c r="Y102" i="491" s="1"/>
  <c r="X115" i="491"/>
  <c r="X116" i="491" s="1"/>
  <c r="P54" i="490"/>
  <c r="P47" i="490"/>
  <c r="P86" i="502"/>
  <c r="P88" i="502" s="1"/>
  <c r="O31" i="502"/>
  <c r="L24" i="499"/>
  <c r="AP64" i="491"/>
  <c r="S17" i="490"/>
  <c r="S18" i="490" s="1"/>
  <c r="AK78" i="491"/>
  <c r="AK97" i="491" s="1"/>
  <c r="AK100" i="491"/>
  <c r="E50" i="490" l="1"/>
  <c r="P57" i="490" s="1"/>
  <c r="Z99" i="491"/>
  <c r="Z102" i="491" s="1"/>
  <c r="Z115" i="491" s="1"/>
  <c r="Z116" i="491" s="1"/>
  <c r="Y115" i="491"/>
  <c r="Y116" i="491" s="1"/>
  <c r="V27" i="491"/>
  <c r="V29" i="491" s="1"/>
  <c r="U12" i="491"/>
  <c r="U14" i="491"/>
  <c r="U16" i="491" s="1"/>
  <c r="E47" i="490"/>
  <c r="T17" i="491"/>
  <c r="D47" i="490"/>
  <c r="P55" i="490"/>
  <c r="J51" i="499"/>
  <c r="P93" i="502"/>
  <c r="P95" i="502" s="1"/>
  <c r="P50" i="502" s="1"/>
  <c r="S20" i="490"/>
  <c r="S19" i="490"/>
  <c r="AL64" i="491"/>
  <c r="AP66" i="491"/>
  <c r="AN64" i="491"/>
  <c r="AO64" i="491"/>
  <c r="AM64" i="491"/>
  <c r="R18" i="490"/>
  <c r="F50" i="490" l="1"/>
  <c r="F47" i="490"/>
  <c r="D48" i="490"/>
  <c r="V12" i="491"/>
  <c r="V14" i="491"/>
  <c r="V16" i="491" s="1"/>
  <c r="U17" i="491"/>
  <c r="E48" i="490"/>
  <c r="J62" i="499"/>
  <c r="J60" i="499"/>
  <c r="J61" i="499"/>
  <c r="P47" i="502"/>
  <c r="P13" i="502" s="1"/>
  <c r="P111" i="502" s="1"/>
  <c r="S27" i="490"/>
  <c r="S60" i="490"/>
  <c r="S62" i="490" s="1"/>
  <c r="AL77" i="491"/>
  <c r="AL66" i="491"/>
  <c r="AN77" i="491"/>
  <c r="AN78" i="491" s="1"/>
  <c r="AN97" i="491" s="1"/>
  <c r="AN100" i="491" s="1"/>
  <c r="AN66" i="491"/>
  <c r="AM66" i="491"/>
  <c r="AM77" i="491"/>
  <c r="AM78" i="491" s="1"/>
  <c r="AM97" i="491" s="1"/>
  <c r="AM100" i="491" s="1"/>
  <c r="AO77" i="491"/>
  <c r="AO78" i="491" s="1"/>
  <c r="AO97" i="491" s="1"/>
  <c r="AO100" i="491" s="1"/>
  <c r="AO66" i="491"/>
  <c r="R19" i="490"/>
  <c r="R20" i="490"/>
  <c r="R60" i="490" s="1"/>
  <c r="F48" i="490" l="1"/>
  <c r="E49" i="490"/>
  <c r="V17" i="491"/>
  <c r="D49" i="490"/>
  <c r="J63" i="499"/>
  <c r="J65" i="499" s="1"/>
  <c r="S28" i="490"/>
  <c r="L52" i="499"/>
  <c r="P46" i="502"/>
  <c r="P113" i="502"/>
  <c r="P102" i="502" s="1"/>
  <c r="P15" i="502" s="1"/>
  <c r="P16" i="502" s="1"/>
  <c r="P101" i="502"/>
  <c r="AL78" i="491"/>
  <c r="AL97" i="491" s="1"/>
  <c r="AL100" i="491" s="1"/>
  <c r="AP77" i="491"/>
  <c r="AP78" i="491" s="1"/>
  <c r="AP97" i="491" s="1"/>
  <c r="R27" i="490"/>
  <c r="F49" i="490" l="1"/>
  <c r="K52" i="499"/>
  <c r="P103" i="502"/>
  <c r="P21" i="502"/>
  <c r="P18" i="502"/>
  <c r="P22" i="502"/>
  <c r="P28" i="502"/>
  <c r="P23" i="502"/>
  <c r="AP100" i="491"/>
  <c r="R28" i="490"/>
  <c r="R62" i="490" s="1"/>
  <c r="Q29" i="490" l="1"/>
  <c r="AF101" i="491"/>
  <c r="P24" i="502"/>
  <c r="P26" i="502" s="1"/>
  <c r="P30" i="502" s="1"/>
  <c r="AF102" i="491" l="1"/>
  <c r="AE101" i="491"/>
  <c r="AC101" i="491"/>
  <c r="AD101" i="491"/>
  <c r="AB101" i="491"/>
  <c r="AB102" i="491" s="1"/>
  <c r="Q33" i="490"/>
  <c r="Q39" i="490" s="1"/>
  <c r="P31" i="502"/>
  <c r="AF115" i="491" l="1"/>
  <c r="AF116" i="491" s="1"/>
  <c r="AK99" i="491"/>
  <c r="Q34" i="490"/>
  <c r="AG99" i="491"/>
  <c r="Q46" i="490"/>
  <c r="Q54" i="490" s="1"/>
  <c r="AA27" i="491"/>
  <c r="AA29" i="491" s="1"/>
  <c r="AA14" i="491" s="1"/>
  <c r="AA16" i="491" s="1"/>
  <c r="R32" i="490"/>
  <c r="K53" i="499" s="1"/>
  <c r="K54" i="499" s="1"/>
  <c r="K56" i="499" s="1"/>
  <c r="AC99" i="491"/>
  <c r="AC102" i="491" s="1"/>
  <c r="AB115" i="491"/>
  <c r="AB116" i="491" s="1"/>
  <c r="X27" i="491"/>
  <c r="X29" i="491" s="1"/>
  <c r="M24" i="499"/>
  <c r="T17" i="490"/>
  <c r="AU64" i="491"/>
  <c r="E32" i="492"/>
  <c r="D15" i="492"/>
  <c r="E33" i="492"/>
  <c r="F14" i="492" l="1"/>
  <c r="D14" i="492"/>
  <c r="Q47" i="490"/>
  <c r="E54" i="490"/>
  <c r="Q57" i="490" s="1"/>
  <c r="AA12" i="491"/>
  <c r="Q55" i="490" s="1"/>
  <c r="X12" i="491"/>
  <c r="X14" i="491"/>
  <c r="X16" i="491" s="1"/>
  <c r="Y27" i="491"/>
  <c r="Y29" i="491" s="1"/>
  <c r="AD99" i="491"/>
  <c r="AD102" i="491" s="1"/>
  <c r="AC115" i="491"/>
  <c r="AC116" i="491" s="1"/>
  <c r="T18" i="490"/>
  <c r="T19" i="490" s="1"/>
  <c r="V17" i="490"/>
  <c r="U17" i="490"/>
  <c r="K51" i="499"/>
  <c r="AR64" i="491"/>
  <c r="AQ64" i="491"/>
  <c r="AT64" i="491"/>
  <c r="AS64" i="491"/>
  <c r="AU66" i="491"/>
  <c r="D34" i="492"/>
  <c r="E34" i="492" s="1"/>
  <c r="E33" i="490" s="1"/>
  <c r="E27" i="492"/>
  <c r="E30" i="492"/>
  <c r="D29" i="490"/>
  <c r="F15" i="492" l="1"/>
  <c r="F16" i="492" s="1"/>
  <c r="D54" i="490"/>
  <c r="F54" i="490" s="1"/>
  <c r="AA17" i="491"/>
  <c r="T20" i="490"/>
  <c r="Z27" i="491"/>
  <c r="Z29" i="491" s="1"/>
  <c r="AE99" i="491"/>
  <c r="AE102" i="491" s="1"/>
  <c r="AE115" i="491" s="1"/>
  <c r="AE116" i="491" s="1"/>
  <c r="AD115" i="491"/>
  <c r="AD116" i="491" s="1"/>
  <c r="Y14" i="491"/>
  <c r="Y16" i="491" s="1"/>
  <c r="Y12" i="491"/>
  <c r="E51" i="490"/>
  <c r="X17" i="491"/>
  <c r="D51" i="490"/>
  <c r="V18" i="490"/>
  <c r="U18" i="490"/>
  <c r="E26" i="490"/>
  <c r="E29" i="490"/>
  <c r="D33" i="490"/>
  <c r="K62" i="499"/>
  <c r="K60" i="499"/>
  <c r="K61" i="499"/>
  <c r="E16" i="492"/>
  <c r="AS66" i="491"/>
  <c r="AS77" i="491"/>
  <c r="AS78" i="491" s="1"/>
  <c r="AS97" i="491" s="1"/>
  <c r="AS100" i="491" s="1"/>
  <c r="AT66" i="491"/>
  <c r="AT77" i="491"/>
  <c r="AT78" i="491" s="1"/>
  <c r="AT97" i="491" s="1"/>
  <c r="AT100" i="491" s="1"/>
  <c r="AQ66" i="491"/>
  <c r="AQ77" i="491"/>
  <c r="AR66" i="491"/>
  <c r="AR77" i="491"/>
  <c r="AR78" i="491" s="1"/>
  <c r="AR97" i="491" s="1"/>
  <c r="AR100" i="491" s="1"/>
  <c r="D16" i="492"/>
  <c r="H11" i="490"/>
  <c r="U20" i="490" l="1"/>
  <c r="I11" i="490"/>
  <c r="V20" i="490"/>
  <c r="F51" i="490"/>
  <c r="T60" i="490"/>
  <c r="T62" i="490" s="1"/>
  <c r="T27" i="490"/>
  <c r="M52" i="499" s="1"/>
  <c r="D52" i="490"/>
  <c r="Y17" i="491"/>
  <c r="E52" i="490"/>
  <c r="Z14" i="491"/>
  <c r="Z16" i="491" s="1"/>
  <c r="Z12" i="491"/>
  <c r="K63" i="499"/>
  <c r="K65" i="499" s="1"/>
  <c r="G52" i="492"/>
  <c r="AQ78" i="491"/>
  <c r="AQ97" i="491" s="1"/>
  <c r="AQ100" i="491" s="1"/>
  <c r="AU77" i="491"/>
  <c r="AU78" i="491" s="1"/>
  <c r="AU97" i="491" s="1"/>
  <c r="U27" i="490" l="1"/>
  <c r="T28" i="490"/>
  <c r="F52" i="490"/>
  <c r="E53" i="490"/>
  <c r="Z17" i="491"/>
  <c r="D53" i="490"/>
  <c r="H13" i="490"/>
  <c r="AU100" i="491"/>
  <c r="I13" i="490" l="1"/>
  <c r="F53" i="490"/>
  <c r="R29" i="490"/>
  <c r="AK101" i="491"/>
  <c r="AK102" i="491" l="1"/>
  <c r="AE27" i="491" s="1"/>
  <c r="AE29" i="491" s="1"/>
  <c r="AE12" i="491" s="1"/>
  <c r="AI101" i="491"/>
  <c r="AH101" i="491"/>
  <c r="AG101" i="491"/>
  <c r="AG102" i="491" s="1"/>
  <c r="AJ101" i="491"/>
  <c r="R33" i="490"/>
  <c r="S32" i="490" s="1"/>
  <c r="L53" i="499" s="1"/>
  <c r="L54" i="499" s="1"/>
  <c r="L56" i="499" s="1"/>
  <c r="AK115" i="491" l="1"/>
  <c r="AK116" i="491" s="1"/>
  <c r="AL99" i="491"/>
  <c r="AP99" i="491"/>
  <c r="AH99" i="491"/>
  <c r="AH102" i="491" s="1"/>
  <c r="AB27" i="491"/>
  <c r="AB29" i="491" s="1"/>
  <c r="AG115" i="491"/>
  <c r="AG116" i="491" s="1"/>
  <c r="R46" i="490"/>
  <c r="R34" i="490"/>
  <c r="R39" i="490"/>
  <c r="D58" i="490"/>
  <c r="AE14" i="491"/>
  <c r="AE16" i="491" s="1"/>
  <c r="R47" i="490" l="1"/>
  <c r="R54" i="490"/>
  <c r="R55" i="490" s="1"/>
  <c r="AB12" i="491"/>
  <c r="AB14" i="491"/>
  <c r="AB16" i="491" s="1"/>
  <c r="AH115" i="491"/>
  <c r="AH116" i="491" s="1"/>
  <c r="AC27" i="491"/>
  <c r="AC29" i="491" s="1"/>
  <c r="AI99" i="491"/>
  <c r="AI102" i="491" s="1"/>
  <c r="AE17" i="491"/>
  <c r="E58" i="490"/>
  <c r="F58" i="490" s="1"/>
  <c r="L51" i="499" l="1"/>
  <c r="AD27" i="491"/>
  <c r="AD29" i="491" s="1"/>
  <c r="AJ99" i="491"/>
  <c r="AJ102" i="491" s="1"/>
  <c r="AJ115" i="491" s="1"/>
  <c r="AJ116" i="491" s="1"/>
  <c r="AI115" i="491"/>
  <c r="AI116" i="491" s="1"/>
  <c r="AC14" i="491"/>
  <c r="AC16" i="491" s="1"/>
  <c r="AC12" i="491"/>
  <c r="E55" i="490"/>
  <c r="AB17" i="491"/>
  <c r="D55" i="490"/>
  <c r="R57" i="490"/>
  <c r="L61" i="499" l="1"/>
  <c r="L62" i="499"/>
  <c r="L60" i="499"/>
  <c r="F55" i="490"/>
  <c r="D56" i="490"/>
  <c r="E56" i="490"/>
  <c r="AC17" i="491"/>
  <c r="AD14" i="491"/>
  <c r="AD16" i="491" s="1"/>
  <c r="AD12" i="491"/>
  <c r="L63" i="499" l="1"/>
  <c r="L65" i="499" s="1"/>
  <c r="AD17" i="491"/>
  <c r="E57" i="490"/>
  <c r="D57" i="490"/>
  <c r="F56" i="490"/>
  <c r="AP101" i="491" l="1"/>
  <c r="AP102" i="491" s="1"/>
  <c r="AU99" i="491" s="1"/>
  <c r="F57" i="490"/>
  <c r="AO101" i="491" l="1"/>
  <c r="AL101" i="491"/>
  <c r="AL102" i="491" s="1"/>
  <c r="AL115" i="491" s="1"/>
  <c r="AL116" i="491" s="1"/>
  <c r="AN101" i="491"/>
  <c r="AM101" i="491"/>
  <c r="S29" i="490"/>
  <c r="S33" i="490" s="1"/>
  <c r="S46" i="490" s="1"/>
  <c r="AP115" i="491"/>
  <c r="AP116" i="491" s="1"/>
  <c r="AI27" i="491"/>
  <c r="AI29" i="491" s="1"/>
  <c r="AI14" i="491" s="1"/>
  <c r="AI16" i="491" s="1"/>
  <c r="AQ99" i="491"/>
  <c r="AF27" i="491" l="1"/>
  <c r="AF29" i="491" s="1"/>
  <c r="AF12" i="491" s="1"/>
  <c r="AM99" i="491"/>
  <c r="AM102" i="491" s="1"/>
  <c r="AN99" i="491" s="1"/>
  <c r="AN102" i="491" s="1"/>
  <c r="AI12" i="491"/>
  <c r="AI17" i="491" s="1"/>
  <c r="S39" i="490"/>
  <c r="T32" i="490"/>
  <c r="M53" i="499" s="1"/>
  <c r="M54" i="499" s="1"/>
  <c r="M56" i="499" s="1"/>
  <c r="S34" i="490"/>
  <c r="E62" i="490"/>
  <c r="S47" i="490"/>
  <c r="S54" i="490"/>
  <c r="D62" i="490" l="1"/>
  <c r="F62" i="490" s="1"/>
  <c r="AM115" i="491"/>
  <c r="AM116" i="491" s="1"/>
  <c r="AG27" i="491"/>
  <c r="AG29" i="491" s="1"/>
  <c r="AG14" i="491" s="1"/>
  <c r="AG16" i="491" s="1"/>
  <c r="AF14" i="491"/>
  <c r="AF16" i="491" s="1"/>
  <c r="E59" i="490" s="1"/>
  <c r="AO99" i="491"/>
  <c r="AO102" i="491" s="1"/>
  <c r="AO115" i="491" s="1"/>
  <c r="AO116" i="491" s="1"/>
  <c r="AN115" i="491"/>
  <c r="AN116" i="491" s="1"/>
  <c r="AH27" i="491"/>
  <c r="AH29" i="491" s="1"/>
  <c r="D59" i="490"/>
  <c r="S57" i="490"/>
  <c r="M51" i="499"/>
  <c r="S55" i="490"/>
  <c r="AG12" i="491" l="1"/>
  <c r="AG17" i="491" s="1"/>
  <c r="AF17" i="491"/>
  <c r="F59" i="490"/>
  <c r="E60" i="490"/>
  <c r="AH12" i="491"/>
  <c r="AH14" i="491"/>
  <c r="AH16" i="491" s="1"/>
  <c r="M62" i="499"/>
  <c r="M60" i="499"/>
  <c r="M61" i="499"/>
  <c r="D60" i="490" l="1"/>
  <c r="F60" i="490" s="1"/>
  <c r="AH17" i="491"/>
  <c r="E61" i="490"/>
  <c r="D61" i="490"/>
  <c r="M63" i="499"/>
  <c r="O63" i="499" l="1"/>
  <c r="M65" i="499"/>
  <c r="F61" i="490"/>
  <c r="T29" i="490" l="1"/>
  <c r="AU101" i="491"/>
  <c r="O65" i="499"/>
  <c r="T33" i="490" l="1"/>
  <c r="T46" i="490" s="1"/>
  <c r="AU102" i="491"/>
  <c r="AS101" i="491"/>
  <c r="AQ101" i="491"/>
  <c r="AQ102" i="491" s="1"/>
  <c r="AR101" i="491"/>
  <c r="AT101" i="491"/>
  <c r="T39" i="490" l="1"/>
  <c r="T34" i="490"/>
  <c r="AR99" i="491"/>
  <c r="AR102" i="491" s="1"/>
  <c r="AJ27" i="491"/>
  <c r="AJ29" i="491" s="1"/>
  <c r="AQ115" i="491"/>
  <c r="AQ116" i="491" s="1"/>
  <c r="AU115" i="491"/>
  <c r="AU116" i="491" s="1"/>
  <c r="AM27" i="491"/>
  <c r="AM29" i="491" s="1"/>
  <c r="T54" i="490"/>
  <c r="AM12" i="491" l="1"/>
  <c r="T55" i="490" s="1"/>
  <c r="AM14" i="491"/>
  <c r="AM16" i="491" s="1"/>
  <c r="T47" i="490"/>
  <c r="AJ14" i="491"/>
  <c r="AJ16" i="491" s="1"/>
  <c r="AJ12" i="491"/>
  <c r="AS99" i="491"/>
  <c r="AS102" i="491" s="1"/>
  <c r="AK27" i="491"/>
  <c r="AK29" i="491" s="1"/>
  <c r="AR115" i="491"/>
  <c r="AR116" i="491" s="1"/>
  <c r="AL27" i="491" l="1"/>
  <c r="AL29" i="491" s="1"/>
  <c r="AS115" i="491"/>
  <c r="AS116" i="491" s="1"/>
  <c r="AT99" i="491"/>
  <c r="AT102" i="491" s="1"/>
  <c r="AT115" i="491" s="1"/>
  <c r="AT116" i="491" s="1"/>
  <c r="D63" i="490"/>
  <c r="AJ17" i="491"/>
  <c r="E63" i="490"/>
  <c r="AM17" i="491"/>
  <c r="E66" i="490"/>
  <c r="AK14" i="491"/>
  <c r="AK16" i="491" s="1"/>
  <c r="AK12" i="491"/>
  <c r="D66" i="490"/>
  <c r="F63" i="490" l="1"/>
  <c r="F66" i="490"/>
  <c r="T57" i="490"/>
  <c r="D64" i="490"/>
  <c r="E64" i="490"/>
  <c r="AK17" i="491"/>
  <c r="AL12" i="491"/>
  <c r="AL14" i="491"/>
  <c r="AL16" i="491" s="1"/>
  <c r="F64" i="490" l="1"/>
  <c r="E65" i="490"/>
  <c r="AL17" i="491"/>
  <c r="D65" i="490"/>
  <c r="F65" i="490" l="1"/>
  <c r="Q56" i="492" l="1"/>
  <c r="N56" i="492" s="1"/>
  <c r="N51" i="492" s="1"/>
  <c r="D51" i="492" s="1"/>
  <c r="D11" i="490" s="1"/>
  <c r="E11" i="490" s="1"/>
  <c r="E15" i="490" s="1"/>
  <c r="G54" i="492"/>
  <c r="H14" i="490" s="1"/>
  <c r="D15" i="490" l="1"/>
  <c r="H15" i="490"/>
  <c r="I14" i="490"/>
  <c r="I15" i="490" s="1"/>
  <c r="G56" i="492"/>
  <c r="D56" i="492" s="1"/>
  <c r="I16" i="490" l="1"/>
  <c r="D16" i="490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<sst xmlns="http://schemas.openxmlformats.org/spreadsheetml/2006/main" count="908" uniqueCount="287">
  <si>
    <t>%</t>
  </si>
  <si>
    <t>EBITDA</t>
  </si>
  <si>
    <t>Total</t>
  </si>
  <si>
    <t>Revenue</t>
  </si>
  <si>
    <t>Frulact Maroc</t>
  </si>
  <si>
    <t>Frulact South Africa</t>
  </si>
  <si>
    <t>CAGR</t>
  </si>
  <si>
    <t>Total Revenue</t>
  </si>
  <si>
    <t>x</t>
  </si>
  <si>
    <t>1st Transformation</t>
  </si>
  <si>
    <t>HQ</t>
  </si>
  <si>
    <t>Working Capital</t>
  </si>
  <si>
    <t>Frulact USA</t>
  </si>
  <si>
    <t>Maintenance Capex</t>
  </si>
  <si>
    <t>Consolidated</t>
  </si>
  <si>
    <t>Adj.</t>
  </si>
  <si>
    <t>Check</t>
  </si>
  <si>
    <t>Master Check</t>
  </si>
  <si>
    <t xml:space="preserve">Strictly Private and Confidential </t>
  </si>
  <si>
    <t>Plant-Based</t>
  </si>
  <si>
    <t>Flavours</t>
  </si>
  <si>
    <t>P&amp;L</t>
  </si>
  <si>
    <t>Cash Flow</t>
  </si>
  <si>
    <t>Food Systems</t>
  </si>
  <si>
    <t>Frulact Germany</t>
  </si>
  <si>
    <t>Frulact Portugal</t>
  </si>
  <si>
    <t>Frulact France</t>
  </si>
  <si>
    <t>Frulact Switzerland</t>
  </si>
  <si>
    <t>Frulact Canada</t>
  </si>
  <si>
    <t xml:space="preserve">EBITDA </t>
  </si>
  <si>
    <t>Total Capex</t>
  </si>
  <si>
    <t>Add-ons</t>
  </si>
  <si>
    <t>By Tab</t>
  </si>
  <si>
    <t>Organic</t>
  </si>
  <si>
    <t>Estimated closing</t>
  </si>
  <si>
    <t>Revenues &amp; Cashflow Statement</t>
  </si>
  <si>
    <t>FY25B</t>
  </si>
  <si>
    <t>FY26F</t>
  </si>
  <si>
    <t>FY27F</t>
  </si>
  <si>
    <t>FY28F</t>
  </si>
  <si>
    <t>FY29F</t>
  </si>
  <si>
    <t>FY30F</t>
  </si>
  <si>
    <t>Revenue growth YoY</t>
  </si>
  <si>
    <t>Sources &amp; Uses</t>
  </si>
  <si>
    <t>EBITDA margin</t>
  </si>
  <si>
    <t>Sources</t>
  </si>
  <si>
    <t>Uses</t>
  </si>
  <si>
    <t>Change in Working Capital</t>
  </si>
  <si>
    <t>Taxes paid</t>
  </si>
  <si>
    <t>TOTAL</t>
  </si>
  <si>
    <t>Operating Free Cash Flow</t>
  </si>
  <si>
    <t>% Operating FCF Margin</t>
  </si>
  <si>
    <t>Cash flow available for debt service</t>
  </si>
  <si>
    <t>Debt Service</t>
  </si>
  <si>
    <t>Capital Structure</t>
  </si>
  <si>
    <t>Debt drawdown</t>
  </si>
  <si>
    <t>FINAL CAPITAL STRUCTURE</t>
  </si>
  <si>
    <t>Free Cash Flow</t>
  </si>
  <si>
    <t>EURm</t>
  </si>
  <si>
    <t>xEBITDA</t>
  </si>
  <si>
    <t>Cash BoP</t>
  </si>
  <si>
    <t>Cash EoP</t>
  </si>
  <si>
    <t>Net Debt BS Items</t>
  </si>
  <si>
    <t>Debt BoP</t>
  </si>
  <si>
    <t>Drawdown debt</t>
  </si>
  <si>
    <t>Amortizations</t>
  </si>
  <si>
    <t>Debt EoP</t>
  </si>
  <si>
    <t>Covenants (Semi-annual)</t>
  </si>
  <si>
    <t>Net Debt</t>
  </si>
  <si>
    <t>Dates</t>
  </si>
  <si>
    <t>Leverage</t>
  </si>
  <si>
    <t>Covenant</t>
  </si>
  <si>
    <t>Credit Metrics</t>
  </si>
  <si>
    <t>Leverage Ratio</t>
  </si>
  <si>
    <t>Annual Covenants</t>
  </si>
  <si>
    <t>Flat-line</t>
  </si>
  <si>
    <t>Cash</t>
  </si>
  <si>
    <t>Closing</t>
  </si>
  <si>
    <t>Year End</t>
  </si>
  <si>
    <t>Credit metrics</t>
  </si>
  <si>
    <t>Q1</t>
  </si>
  <si>
    <t>Q2</t>
  </si>
  <si>
    <t>Q3</t>
  </si>
  <si>
    <t>Q4</t>
  </si>
  <si>
    <t>Net leverage ratio (ND/EBITDA)</t>
  </si>
  <si>
    <t>Headroom</t>
  </si>
  <si>
    <t>SFA Net Leverage Covenant</t>
  </si>
  <si>
    <t>Flattening of Net Leverage Covenant</t>
  </si>
  <si>
    <t>Covenant Source Data</t>
  </si>
  <si>
    <t>LTM EBITDA</t>
  </si>
  <si>
    <t>Cash Balance</t>
  </si>
  <si>
    <t>Total Debt</t>
  </si>
  <si>
    <t>Net Total Debt</t>
  </si>
  <si>
    <t>Quarterly Model</t>
  </si>
  <si>
    <t>Seasonality</t>
  </si>
  <si>
    <t>FY</t>
  </si>
  <si>
    <t>D&amp;A</t>
  </si>
  <si>
    <t>Taxes</t>
  </si>
  <si>
    <t>Capex</t>
  </si>
  <si>
    <t xml:space="preserve">Current debt </t>
  </si>
  <si>
    <t>EBIT</t>
  </si>
  <si>
    <t>Interest Expense (incl. commitment fees)</t>
  </si>
  <si>
    <t>RCF</t>
  </si>
  <si>
    <t>Tax Payable</t>
  </si>
  <si>
    <t>Net Income</t>
  </si>
  <si>
    <t xml:space="preserve">Tax Payable </t>
  </si>
  <si>
    <t>Cash Flow Before Debt Service</t>
  </si>
  <si>
    <t>Cash Paid Interest (incl. Commitment fees)</t>
  </si>
  <si>
    <t>Scheduled Amortisation</t>
  </si>
  <si>
    <t>Debt Drawdown</t>
  </si>
  <si>
    <t>Net Cash Flow</t>
  </si>
  <si>
    <t>Opening Cash</t>
  </si>
  <si>
    <t xml:space="preserve">Net Cash Flow </t>
  </si>
  <si>
    <t>Closing cash balance</t>
  </si>
  <si>
    <t>Summary Debt Schedule</t>
  </si>
  <si>
    <t>Repayment Flag</t>
  </si>
  <si>
    <t>Opening Debt Balance</t>
  </si>
  <si>
    <t>Contractual Amortisation</t>
  </si>
  <si>
    <t>Drawdown</t>
  </si>
  <si>
    <t>Closing Debt Balance</t>
  </si>
  <si>
    <t>Interest Expense</t>
  </si>
  <si>
    <t>All-In-Margin</t>
  </si>
  <si>
    <t>Margin</t>
  </si>
  <si>
    <t>Euribor Fwd</t>
  </si>
  <si>
    <t>Capex -  accumulated</t>
  </si>
  <si>
    <t>Accumulated drawdown - limited</t>
  </si>
  <si>
    <t>Commitment fee for undrawn amount</t>
  </si>
  <si>
    <t>Fee</t>
  </si>
  <si>
    <t>Funding</t>
  </si>
  <si>
    <t>Partial amortization hypotesis</t>
  </si>
  <si>
    <t>Maturity</t>
  </si>
  <si>
    <t>Drawn Interest Expense</t>
  </si>
  <si>
    <t xml:space="preserve">Average Drawn </t>
  </si>
  <si>
    <t>ACTIVE SCENARIO</t>
  </si>
  <si>
    <t>TLB</t>
  </si>
  <si>
    <t>Amount</t>
  </si>
  <si>
    <t>TLA</t>
  </si>
  <si>
    <t>UPFRONT FEES</t>
  </si>
  <si>
    <t>UF Fees</t>
  </si>
  <si>
    <t>UF Fees (€k)</t>
  </si>
  <si>
    <t>C. Fee</t>
  </si>
  <si>
    <t>Total Net Debt</t>
  </si>
  <si>
    <t>AMORTIZATION PROFILE</t>
  </si>
  <si>
    <t>Euribor fwd</t>
  </si>
  <si>
    <t>WALL</t>
  </si>
  <si>
    <t>Avg WALL</t>
  </si>
  <si>
    <t>A.</t>
  </si>
  <si>
    <t>B.</t>
  </si>
  <si>
    <t>C.</t>
  </si>
  <si>
    <t>End</t>
  </si>
  <si>
    <t>Cum.</t>
  </si>
  <si>
    <t>Income Statement</t>
  </si>
  <si>
    <t>Net Revenues</t>
  </si>
  <si>
    <t>% Growth</t>
  </si>
  <si>
    <t>% of Revenues</t>
  </si>
  <si>
    <t>Cash Flow Statement</t>
  </si>
  <si>
    <t>1.</t>
  </si>
  <si>
    <t>% of Total Revenues</t>
  </si>
  <si>
    <t>2.</t>
  </si>
  <si>
    <t>Operating Pre-Tax Free Cash Flow</t>
  </si>
  <si>
    <t>% Operating Pre-Tax FCF Margin</t>
  </si>
  <si>
    <t>CIT Calculation</t>
  </si>
  <si>
    <t>Net financial expenses</t>
  </si>
  <si>
    <t>Tax Base Rate - Before Goodwill Amortization</t>
  </si>
  <si>
    <t>EBITDA Limit Tax Base Increase</t>
  </si>
  <si>
    <t>Tax Losses Carried Forward Compensation</t>
  </si>
  <si>
    <t>Adjusted Tax Base Rate</t>
  </si>
  <si>
    <t xml:space="preserve">Cash CIT to be Paid </t>
  </si>
  <si>
    <t>Rule of the 30% EBITDA Limit</t>
  </si>
  <si>
    <t>Minimum Deductible Net Fin. Expenses</t>
  </si>
  <si>
    <t>EBITDA Limit</t>
  </si>
  <si>
    <t>Net Financial Expenses</t>
  </si>
  <si>
    <t>Excess on EBITDA Limit to be Carried Forward</t>
  </si>
  <si>
    <t>EBITDA Limit not applied (to be used in 5 Yrs)</t>
  </si>
  <si>
    <t>Net Fin. Exp. Non Deducted Carried Forward</t>
  </si>
  <si>
    <t>Increase in EBITDA Limit Applied in the Period</t>
  </si>
  <si>
    <t>EBITDA Limit Excess in the Period</t>
  </si>
  <si>
    <t>EBITDA Limit Excess Pending to Be Applied</t>
  </si>
  <si>
    <t>EBITDA Limit Increase from Previous 5 Years</t>
  </si>
  <si>
    <t>BoP</t>
  </si>
  <si>
    <t>Excess in the Period</t>
  </si>
  <si>
    <t>Excess Applied</t>
  </si>
  <si>
    <t>Excess Expired</t>
  </si>
  <si>
    <t>EoP</t>
  </si>
  <si>
    <t>3.</t>
  </si>
  <si>
    <t>Tax Losses Carried Forward</t>
  </si>
  <si>
    <t>Beginning of Period</t>
  </si>
  <si>
    <t>New Tax Losses</t>
  </si>
  <si>
    <t>Applied in the Period</t>
  </si>
  <si>
    <t>Tax Losses Carried Forward End of Period</t>
  </si>
  <si>
    <t xml:space="preserve">Percentage of Tax Losses Carried Forward </t>
  </si>
  <si>
    <t>Applicable Percentage</t>
  </si>
  <si>
    <t xml:space="preserve">Tax Base </t>
  </si>
  <si>
    <t>Minimum Tax Loss Compensation</t>
  </si>
  <si>
    <t>Tax Base for Tax Losses Compensation</t>
  </si>
  <si>
    <r>
      <t>FYE Dec (</t>
    </r>
    <r>
      <rPr>
        <b/>
        <sz val="9"/>
        <color theme="0"/>
        <rFont val="Arial"/>
        <family val="2"/>
        <scheme val="minor"/>
      </rPr>
      <t>€</t>
    </r>
    <r>
      <rPr>
        <b/>
        <i/>
        <sz val="9"/>
        <color theme="0"/>
        <rFont val="Arial"/>
        <family val="2"/>
        <scheme val="minor"/>
      </rPr>
      <t>m)</t>
    </r>
  </si>
  <si>
    <t>% Margin</t>
  </si>
  <si>
    <t>Reported EBITDA</t>
  </si>
  <si>
    <t>Other deductible expenses</t>
  </si>
  <si>
    <t>SHLs Tax Base Adjustment</t>
  </si>
  <si>
    <t>Municipal tax surcharge (Derrama municipal)</t>
  </si>
  <si>
    <t>National tax surcharge (Derrama estadual)</t>
  </si>
  <si>
    <t>rate</t>
  </si>
  <si>
    <t>Bracket 1</t>
  </si>
  <si>
    <t>Bracket 2</t>
  </si>
  <si>
    <t>Bracket 3</t>
  </si>
  <si>
    <t>National tax surcharge</t>
  </si>
  <si>
    <t>Total surcharges</t>
  </si>
  <si>
    <t>EBITDA Limit - Threshold</t>
  </si>
  <si>
    <t>New Goodwill Amortization Tax Deductibility</t>
  </si>
  <si>
    <t>Tax Deductibility of Goodwill</t>
  </si>
  <si>
    <t>Period</t>
  </si>
  <si>
    <t>First Period Impact</t>
  </si>
  <si>
    <t>Tax Amoritzation of Goodwill</t>
  </si>
  <si>
    <t>Transaction expenses</t>
  </si>
  <si>
    <t>Flag years</t>
  </si>
  <si>
    <t>Flag active</t>
  </si>
  <si>
    <t>Years of amortization</t>
  </si>
  <si>
    <t>Corporate tax</t>
  </si>
  <si>
    <t>Acquisition debt</t>
  </si>
  <si>
    <t>PIK</t>
  </si>
  <si>
    <t>DSCR</t>
  </si>
  <si>
    <t>SOURCES &amp; USES</t>
  </si>
  <si>
    <t>€m</t>
  </si>
  <si>
    <t>Purchase Price</t>
  </si>
  <si>
    <t>Structuring fees</t>
  </si>
  <si>
    <t>Holdco PIK</t>
  </si>
  <si>
    <t>Transaction cost</t>
  </si>
  <si>
    <t>€M</t>
  </si>
  <si>
    <t>Capital Structure - Frulact</t>
  </si>
  <si>
    <t>FY31F</t>
  </si>
  <si>
    <t>FY32F</t>
  </si>
  <si>
    <t>Adjustments &amp; normalizations</t>
  </si>
  <si>
    <t>Adj. normalized EBITDA</t>
  </si>
  <si>
    <t>Equity Cushion</t>
  </si>
  <si>
    <t>25B-32F</t>
  </si>
  <si>
    <t>26B-32F CAGR</t>
  </si>
  <si>
    <t>FY25B-32F</t>
  </si>
  <si>
    <t>CHECK</t>
  </si>
  <si>
    <t>CFADS (exc. expansion capex)</t>
  </si>
  <si>
    <t>Dividends</t>
  </si>
  <si>
    <t>Range 1</t>
  </si>
  <si>
    <t>Range 2</t>
  </si>
  <si>
    <t>Range 3</t>
  </si>
  <si>
    <t>% of FCF</t>
  </si>
  <si>
    <t>Higher than</t>
  </si>
  <si>
    <t>Lower than</t>
  </si>
  <si>
    <t>Min Cash on Balance (€m)</t>
  </si>
  <si>
    <t>Dividends to JDM</t>
  </si>
  <si>
    <t>D.</t>
  </si>
  <si>
    <t>Previous Year Leverage</t>
  </si>
  <si>
    <t>Cash Balance BoP</t>
  </si>
  <si>
    <t>Minimum Cash on Balance</t>
  </si>
  <si>
    <t>Dividend Distribution - Range 1</t>
  </si>
  <si>
    <t>Dividend Distribution - Range 2</t>
  </si>
  <si>
    <t>Dividend Distribution - Range 3</t>
  </si>
  <si>
    <t>Applicable Dividend Distribution</t>
  </si>
  <si>
    <t>% Div</t>
  </si>
  <si>
    <t>Distributable Cash</t>
  </si>
  <si>
    <t>Max Distributable Cash</t>
  </si>
  <si>
    <t>Active Case Distributions</t>
  </si>
  <si>
    <t>Equity ticket</t>
  </si>
  <si>
    <t>Key output</t>
  </si>
  <si>
    <t>Expansion Capex (no M&amp;A)</t>
  </si>
  <si>
    <t>Capex funded (organic capex without M&amp;A)</t>
  </si>
  <si>
    <t>Undrawn debt</t>
  </si>
  <si>
    <t>Availability Tenor Flag</t>
  </si>
  <si>
    <t>Years</t>
  </si>
  <si>
    <t>PERMITTED PAYMENTS/DIVIDENDS MECHANISIM</t>
  </si>
  <si>
    <t>OTHER</t>
  </si>
  <si>
    <t>Permitted Distributions under TLB Only structure:</t>
  </si>
  <si>
    <t>Swap Rate (annual %)</t>
  </si>
  <si>
    <t>CAF</t>
  </si>
  <si>
    <t>Seller case</t>
  </si>
  <si>
    <t>TLB Only</t>
  </si>
  <si>
    <t>Returns</t>
  </si>
  <si>
    <t>Entry date</t>
  </si>
  <si>
    <t>Exit date</t>
  </si>
  <si>
    <t>Exit multiple</t>
  </si>
  <si>
    <t xml:space="preserve">Exit valuation analysis </t>
  </si>
  <si>
    <t>EBITDA multiple</t>
  </si>
  <si>
    <t>Enterprise Value</t>
  </si>
  <si>
    <t>Financial debt</t>
  </si>
  <si>
    <t>Equity Value</t>
  </si>
  <si>
    <t>Dividends received</t>
  </si>
  <si>
    <t>IRR</t>
  </si>
  <si>
    <t>MOIC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</si>
</sst>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1"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_(&quot;£&quot;* #,##0_);_(&quot;£&quot;* \(#,##0\);_(&quot;£&quot;* &quot;-&quot;_);_(@_)"/>
    <numFmt numFmtId="167" formatCode="_(&quot;£&quot;* #,##0.00_);_(&quot;£&quot;* \(#,##0.00\);_(&quot;£&quot;* &quot;-&quot;??_);_(@_)"/>
    <numFmt numFmtId="168" formatCode="#,##0;\(#,##0\);\-"/>
    <numFmt numFmtId="169" formatCode="#,##0.0;\(#,##0.0\);\-"/>
    <numFmt numFmtId="170" formatCode="#,##0.0%;\(#,##0.0%\);\-"/>
    <numFmt numFmtId="171" formatCode="0.0%_);\(0.0%\);0.0%_);@_)"/>
    <numFmt numFmtId="172" formatCode="#,##0.00%;\(#,##0.00%\);&quot;-&quot;"/>
    <numFmt numFmtId="173" formatCode="yyyy&quot;E&quot;"/>
    <numFmt numFmtId="174" formatCode="#,##0_);\(#,##0\);&quot; -  &quot;"/>
    <numFmt numFmtId="175" formatCode="0.0%_);\(0.0%\)"/>
    <numFmt numFmtId="176" formatCode="#,##0.0_);\(#,##0.0\);&quot; -  &quot;"/>
    <numFmt numFmtId="177" formatCode="#,##0.000000000000000"/>
    <numFmt numFmtId="178" formatCode="0.0\x"/>
    <numFmt numFmtId="179" formatCode="dd\ mmm\ yy"/>
    <numFmt numFmtId="180" formatCode="#,##0.00\x;\(#,##0.00\x\)"/>
    <numFmt numFmtId="181" formatCode="#,##0.0\x;\(#,##0.0\x\)"/>
    <numFmt numFmtId="182" formatCode="#,##0.000000"/>
    <numFmt numFmtId="183" formatCode="#,##0.0"/>
    <numFmt numFmtId="184" formatCode="&quot;Year end,&quot;\ dd\ mmm"/>
    <numFmt numFmtId="185" formatCode="0.00\x"/>
    <numFmt numFmtId="186" formatCode="#,##0.0_);\(#,##0.0\);\–_);&quot;–&quot;_)"/>
    <numFmt numFmtId="187" formatCode="#,##0.0%;\(#,##0.0%\)"/>
    <numFmt numFmtId="188" formatCode="_(* #,##0.00\x_-;_(* \(#,##0.00\);_(* &quot;-&quot;_);_(@_)"/>
    <numFmt numFmtId="189" formatCode="#,##0.0;\(#,##0.0\);&quot;-&quot;;@"/>
    <numFmt numFmtId="190" formatCode="#,##0_);\(#,##0\);\–_);&quot;–&quot;_)"/>
    <numFmt numFmtId="191" formatCode="#,##0;\(#,##0\);&quot;-&quot;"/>
    <numFmt numFmtId="192" formatCode="#,##0.00%;\(#,##0.00%\)"/>
    <numFmt numFmtId="193" formatCode="0.00%_);\(0.00%\)"/>
    <numFmt numFmtId="194" formatCode="0&quot; yrs&quot;"/>
    <numFmt numFmtId="195" formatCode="#,##0.00_);\(#,##0.00\);&quot; -  &quot;"/>
    <numFmt numFmtId="196" formatCode="0.0%;\(0.0\)%;\-"/>
    <numFmt numFmtId="197" formatCode="0.0%_);\(0.0%\);&quot;–&quot;_)"/>
    <numFmt numFmtId="198" formatCode="#,##0.0_)_%;\(#,##0.0\)_%;#,##0.0_)_%;@_)_%"/>
    <numFmt numFmtId="199" formatCode="&quot;FY &quot;0&quot;E&quot;"/>
    <numFmt numFmtId="200" formatCode="#,##0.0%_);\(#,##0.0%\);&quot;-&quot;_)"/>
    <numFmt numFmtId="201" formatCode="#,##0_);\(#,##0\);&quot;-&quot;_)"/>
    <numFmt numFmtId="202" formatCode="&quot;FY &quot;0&quot;A&quot;"/>
    <numFmt numFmtId="203" formatCode="#,##0.0_);\(#,##0.0\);&quot;-&quot;_)"/>
    <numFmt numFmtId="204" formatCode="0.0;\(0.0\);&quot;€m&quot;"/>
    <numFmt numFmtId="205" formatCode="yyyy&quot;B&quot;"/>
    <numFmt numFmtId="206" formatCode="#,##0;\(#,##0\);&quot;--&quot;"/>
    <numFmt numFmtId="207" formatCode="#,##0.0;\(#,##0.0\);&quot;--&quot;"/>
    <numFmt numFmtId="208" formatCode="#,##0;\(#,##0\)"/>
    <numFmt numFmtId="209" formatCode="yyyy&quot;A&quot;"/>
    <numFmt numFmtId="210" formatCode="0.0"/>
    <numFmt numFmtId="211" formatCode="0.0%"/>
    <numFmt numFmtId="212" formatCode="###0.0;\(###0.0\);\-"/>
    <numFmt numFmtId="213" formatCode="0%&quot; EBITDA&quot;"/>
    <numFmt numFmtId="214" formatCode="#,##0.0\ ;\(#,##0.0\);\-\-"/>
    <numFmt numFmtId="215" formatCode="&quot;Yes&quot;;;&quot;No&quot;"/>
    <numFmt numFmtId="216" formatCode="yyyy&quot;F&quot;"/>
    <numFmt numFmtId="221" formatCode="0.00&quot;x&quot;"/>
    <numFmt numFmtId="222" formatCode="&quot;OK&quot;;;&quot;ERROR&quot;"/>
    <numFmt numFmtId="223" formatCode="#,##0.0\x;\(#,##0.0\x\);&quot; -  &quot;"/>
    <numFmt numFmtId="224" formatCode="0.0&quot; years&quot;"/>
    <numFmt numFmtId="225" formatCode="0.00%_);\(0.00%\);&quot;–&quot;_)"/>
    <numFmt numFmtId="227" formatCode="0.0&quot;x&quot;"/>
    <numFmt numFmtId="228" formatCode="yyyy"/>
  </numFmts>
  <fonts count="114">
    <font>
      <sz val="9"/>
      <color theme="1"/>
      <name val="Arial"/>
      <family val="2"/>
    </font>
    <font>
      <sz val="8"/>
      <color theme="1"/>
      <name val="Arial"/>
      <family val="2"/>
    </font>
    <font>
      <sz val="8"/>
      <color theme="1"/>
      <name val="Arial"/>
      <family val="2"/>
    </font>
    <font>
      <sz val="8"/>
      <color theme="1"/>
      <name val="Arial"/>
      <family val="2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Arial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sz val="9"/>
      <name val="Arial"/>
      <family val="2"/>
    </font>
    <font>
      <b/>
      <sz val="9"/>
      <color theme="0"/>
      <name val="Arial"/>
      <family val="2"/>
    </font>
    <font>
      <b/>
      <sz val="9"/>
      <name val="Arial"/>
      <family val="2"/>
    </font>
    <font>
      <sz val="9"/>
      <color theme="0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9"/>
      <color rgb="FF008000"/>
      <name val="Arial"/>
      <family val="2"/>
    </font>
    <font>
      <sz val="9"/>
      <color rgb="FF0000FF"/>
      <name val="Arial"/>
      <family val="2"/>
    </font>
    <font>
      <sz val="9"/>
      <color rgb="FF000000"/>
      <name val="Arial"/>
      <family val="2"/>
    </font>
    <font>
      <i/>
      <sz val="9"/>
      <color rgb="FFC00000"/>
      <name val="Arial"/>
      <family val="2"/>
    </font>
    <font>
      <u/>
      <sz val="9"/>
      <color theme="10"/>
      <name val="Arial"/>
      <family val="2"/>
    </font>
    <font>
      <b/>
      <sz val="9"/>
      <color theme="1"/>
      <name val="Arial"/>
      <family val="2"/>
      <scheme val="minor"/>
    </font>
    <font>
      <sz val="9"/>
      <color theme="1"/>
      <name val="Arial"/>
      <family val="2"/>
      <scheme val="minor"/>
    </font>
    <font>
      <b/>
      <sz val="9"/>
      <color theme="0"/>
      <name val="Arial"/>
      <family val="2"/>
      <scheme val="minor"/>
    </font>
    <font>
      <sz val="9"/>
      <name val="Arial"/>
      <family val="2"/>
      <scheme val="minor"/>
    </font>
    <font>
      <i/>
      <sz val="9"/>
      <color theme="1"/>
      <name val="Arial"/>
      <family val="2"/>
      <scheme val="minor"/>
    </font>
    <font>
      <b/>
      <sz val="9"/>
      <name val="Arial"/>
      <family val="2"/>
      <scheme val="minor"/>
    </font>
    <font>
      <b/>
      <i/>
      <sz val="9"/>
      <color theme="1"/>
      <name val="Arial"/>
      <family val="2"/>
      <scheme val="minor"/>
    </font>
    <font>
      <sz val="9"/>
      <color rgb="FF0000FF"/>
      <name val="Arial"/>
      <family val="2"/>
      <scheme val="minor"/>
    </font>
    <font>
      <b/>
      <sz val="9"/>
      <color rgb="FF000000"/>
      <name val="arial"/>
      <family val="2"/>
    </font>
    <font>
      <b/>
      <sz val="9"/>
      <color rgb="FF008000"/>
      <name val="arial"/>
      <family val="2"/>
    </font>
    <font>
      <sz val="9"/>
      <color theme="0" tint="-0.499984740745262"/>
      <name val="Arial"/>
      <family val="2"/>
    </font>
    <font>
      <b/>
      <i/>
      <sz val="9"/>
      <color theme="3"/>
      <name val="Arial"/>
      <family val="2"/>
    </font>
    <font>
      <b/>
      <sz val="9"/>
      <color rgb="FF0000FF"/>
      <name val="Arial"/>
      <family val="2"/>
    </font>
    <font>
      <i/>
      <sz val="9"/>
      <name val="Arial"/>
      <family val="2"/>
      <scheme val="minor"/>
    </font>
    <font>
      <b/>
      <sz val="9"/>
      <color rgb="FF0000FF"/>
      <name val="Arial"/>
      <family val="2"/>
      <scheme val="minor"/>
    </font>
    <font>
      <sz val="10"/>
      <name val="Arial"/>
      <family val="2"/>
    </font>
    <font>
      <sz val="8"/>
      <color indexed="8"/>
      <name val="Arial"/>
      <family val="2"/>
    </font>
    <font>
      <b/>
      <sz val="8"/>
      <color indexed="9"/>
      <name val="Arial"/>
      <family val="2"/>
    </font>
    <font>
      <sz val="10"/>
      <name val="Tms Rmn"/>
    </font>
    <font>
      <sz val="8"/>
      <color indexed="9"/>
      <name val="Arial"/>
      <family val="2"/>
    </font>
    <font>
      <sz val="8"/>
      <name val="Arial"/>
      <family val="2"/>
    </font>
    <font>
      <b/>
      <sz val="8"/>
      <color indexed="8"/>
      <name val="Arial"/>
      <family val="2"/>
    </font>
    <font>
      <sz val="8"/>
      <color indexed="17"/>
      <name val="Arial"/>
      <family val="2"/>
    </font>
    <font>
      <b/>
      <i/>
      <sz val="8"/>
      <color indexed="9"/>
      <name val="Arial"/>
      <family val="2"/>
    </font>
    <font>
      <i/>
      <sz val="8"/>
      <name val="Arial"/>
      <family val="2"/>
    </font>
    <font>
      <b/>
      <sz val="8"/>
      <color indexed="12"/>
      <name val="Arial"/>
      <family val="2"/>
    </font>
    <font>
      <b/>
      <sz val="8"/>
      <name val="Arial"/>
      <family val="2"/>
    </font>
    <font>
      <i/>
      <sz val="8"/>
      <color indexed="55"/>
      <name val="Arial"/>
      <family val="2"/>
    </font>
    <font>
      <sz val="11"/>
      <color indexed="8"/>
      <name val="Calibri"/>
      <family val="2"/>
    </font>
    <font>
      <b/>
      <i/>
      <sz val="8"/>
      <name val="Arial"/>
      <family val="2"/>
    </font>
    <font>
      <sz val="10"/>
      <name val="Arial"/>
      <family val="2"/>
    </font>
    <font>
      <sz val="9"/>
      <color indexed="8"/>
      <name val="Arial"/>
      <family val="2"/>
    </font>
    <font>
      <i/>
      <sz val="8"/>
      <color rgb="FF0000FF"/>
      <name val="Arial"/>
      <family val="2"/>
    </font>
    <font>
      <b/>
      <sz val="8"/>
      <color rgb="FF00B050"/>
      <name val="Arial"/>
      <family val="2"/>
    </font>
    <font>
      <sz val="8"/>
      <color indexed="12"/>
      <name val="Arial"/>
      <family val="2"/>
    </font>
    <font>
      <i/>
      <sz val="8"/>
      <color indexed="24"/>
      <name val="Arial"/>
      <family val="2"/>
    </font>
    <font>
      <b/>
      <sz val="8"/>
      <color indexed="24"/>
      <name val="Arial"/>
      <family val="2"/>
    </font>
    <font>
      <sz val="12"/>
      <color indexed="8"/>
      <name val="Calibri"/>
      <family val="2"/>
      <charset val="136"/>
    </font>
    <font>
      <b/>
      <sz val="8"/>
      <color indexed="60"/>
      <name val="Arial"/>
      <family val="2"/>
    </font>
    <font>
      <b/>
      <sz val="9"/>
      <color rgb="FFC00000"/>
      <name val="Arial"/>
      <family val="2"/>
      <scheme val="minor"/>
    </font>
    <font>
      <b/>
      <sz val="8"/>
      <color indexed="16"/>
      <name val="Arial"/>
      <family val="2"/>
    </font>
    <font>
      <sz val="8"/>
      <color indexed="16"/>
      <name val="Arial"/>
      <family val="2"/>
    </font>
    <font>
      <sz val="8"/>
      <color rgb="FF00B050"/>
      <name val="Arial"/>
      <family val="2"/>
    </font>
    <font>
      <b/>
      <sz val="8"/>
      <color indexed="17"/>
      <name val="Arial"/>
      <family val="2"/>
    </font>
    <font>
      <i/>
      <sz val="8"/>
      <color indexed="23"/>
      <name val="Arial"/>
      <family val="2"/>
    </font>
    <font>
      <b/>
      <sz val="8"/>
      <color rgb="FF008000"/>
      <name val="Arial"/>
      <family val="2"/>
    </font>
    <font>
      <b/>
      <sz val="8"/>
      <color rgb="FF0000FF"/>
      <name val="Arial"/>
      <family val="2"/>
    </font>
    <font>
      <b/>
      <sz val="8"/>
      <color indexed="56"/>
      <name val="Arial"/>
      <family val="2"/>
    </font>
    <font>
      <sz val="8"/>
      <color rgb="FF0000FF"/>
      <name val="Arial"/>
      <family val="2"/>
    </font>
    <font>
      <sz val="8"/>
      <color theme="0" tint="-4.9989318521683403E-2"/>
      <name val="Arial"/>
      <family val="2"/>
    </font>
    <font>
      <sz val="8"/>
      <name val="Times New Roman"/>
      <family val="1"/>
    </font>
    <font>
      <b/>
      <sz val="8"/>
      <color theme="1"/>
      <name val="Arial"/>
      <family val="2"/>
    </font>
    <font>
      <b/>
      <sz val="9"/>
      <color rgb="FF00B050"/>
      <name val="Arial"/>
      <family val="2"/>
      <scheme val="minor"/>
    </font>
    <font>
      <sz val="9"/>
      <color rgb="FF00B050"/>
      <name val="arial"/>
      <family val="2"/>
    </font>
    <font>
      <sz val="9"/>
      <color rgb="FF00B050"/>
      <name val="Arial"/>
      <family val="2"/>
      <scheme val="minor"/>
    </font>
    <font>
      <sz val="9"/>
      <color indexed="8"/>
      <name val="Arial"/>
      <family val="2"/>
      <scheme val="minor"/>
    </font>
    <font>
      <b/>
      <sz val="9"/>
      <color indexed="8"/>
      <name val="Arial"/>
      <family val="2"/>
      <scheme val="minor"/>
    </font>
    <font>
      <b/>
      <i/>
      <sz val="9"/>
      <color theme="0"/>
      <name val="Arial"/>
      <family val="2"/>
      <scheme val="minor"/>
    </font>
    <font>
      <b/>
      <i/>
      <sz val="9"/>
      <color rgb="FFFFFFFF"/>
      <name val="Arial"/>
      <family val="2"/>
      <scheme val="minor"/>
    </font>
    <font>
      <b/>
      <i/>
      <sz val="9"/>
      <color rgb="FF000000"/>
      <name val="Arial"/>
      <family val="2"/>
      <scheme val="minor"/>
    </font>
    <font>
      <b/>
      <i/>
      <sz val="9"/>
      <color rgb="FF00B050"/>
      <name val="Arial"/>
      <family val="2"/>
      <scheme val="minor"/>
    </font>
    <font>
      <i/>
      <sz val="9"/>
      <color rgb="FF00B050"/>
      <name val="Arial"/>
      <family val="2"/>
      <scheme val="minor"/>
    </font>
    <font>
      <sz val="9"/>
      <color rgb="FFFF0000"/>
      <name val="Arial"/>
      <family val="2"/>
      <scheme val="minor"/>
    </font>
    <font>
      <sz val="9"/>
      <color indexed="16"/>
      <name val="Arial"/>
      <family val="2"/>
    </font>
    <font>
      <sz val="9"/>
      <color rgb="FF3366FF"/>
      <name val="Arial"/>
      <family val="2"/>
    </font>
    <font>
      <sz val="9"/>
      <color theme="1"/>
      <name val="Arial"/>
      <family val="2"/>
      <scheme val="major"/>
    </font>
    <font>
      <i/>
      <sz val="9"/>
      <color theme="1"/>
      <name val="Arial"/>
      <family val="2"/>
      <scheme val="major"/>
    </font>
    <font>
      <i/>
      <sz val="9"/>
      <color rgb="FF0000FF"/>
      <name val="Arial"/>
      <family val="2"/>
    </font>
    <font>
      <b/>
      <sz val="9"/>
      <color indexed="16"/>
      <name val="Arial"/>
      <family val="2"/>
    </font>
    <font>
      <sz val="9"/>
      <color indexed="12"/>
      <name val="Arial"/>
      <family val="2"/>
    </font>
    <font>
      <sz val="9"/>
      <color rgb="FF00B050"/>
      <name val="Arial"/>
      <family val="2"/>
      <scheme val="major"/>
    </font>
    <font>
      <sz val="9"/>
      <color rgb="FF2E00D6"/>
      <name val="Arial"/>
      <family val="2"/>
    </font>
    <font>
      <sz val="8"/>
      <color theme="0"/>
      <name val="Arial"/>
      <family val="2"/>
    </font>
    <font>
      <b/>
      <sz val="8"/>
      <color rgb="FF0F4775"/>
      <name val="Arial"/>
      <family val="2"/>
    </font>
    <font>
      <i/>
      <sz val="8"/>
      <color rgb="FF00B050"/>
      <name val="Arial"/>
      <family val="2"/>
    </font>
    <font>
      <b/>
      <u/>
      <sz val="9"/>
      <color indexed="8"/>
      <name val="Arial"/>
      <family val="2"/>
      <scheme val="minor"/>
    </font>
    <font>
      <b/>
      <sz val="8"/>
      <color theme="0"/>
      <name val="Arial"/>
      <family val="2"/>
    </font>
    <font>
      <sz val="8"/>
      <color rgb="FF008000"/>
      <name val="Arial"/>
      <family val="2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lightUp">
        <fgColor theme="0" tint="-0.24994659260841701"/>
        <bgColor auto="1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0" tint="-0.24994659260841701"/>
      </patternFill>
    </fill>
    <fill>
      <patternFill patternType="solid">
        <fgColor theme="3"/>
        <bgColor indexed="64"/>
      </patternFill>
    </fill>
    <fill>
      <patternFill patternType="solid">
        <fgColor theme="3" tint="0.79998168889431442"/>
        <bgColor theme="0" tint="-0.24994659260841701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-0.24994659260841701"/>
        <bgColor indexed="64"/>
      </patternFill>
    </fill>
    <fill>
      <patternFill patternType="solid">
        <fgColor theme="0" tint="-0.14996795556505021"/>
        <bgColor theme="0"/>
      </patternFill>
    </fill>
    <fill>
      <patternFill patternType="solid">
        <fgColor rgb="FFA2B628"/>
        <bgColor indexed="64"/>
      </patternFill>
    </fill>
    <fill>
      <patternFill patternType="lightUp">
        <fgColor theme="0" tint="-0.24994659260841701"/>
        <bgColor theme="4" tint="0.79995117038483843"/>
      </patternFill>
    </fill>
    <fill>
      <patternFill patternType="lightUp">
        <fgColor theme="0" tint="-0.24994659260841701"/>
        <bgColor theme="3" tint="0.79995117038483843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0EAD1"/>
        <bgColor theme="0" tint="-0.24994659260841701"/>
      </patternFill>
    </fill>
    <fill>
      <patternFill patternType="solid">
        <fgColor indexed="56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rgb="FF003366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EAED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F5F5D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5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auto="1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8"/>
      </left>
      <right style="dotted">
        <color indexed="8"/>
      </right>
      <top style="dotted">
        <color indexed="8"/>
      </top>
      <bottom style="dotted">
        <color indexed="8"/>
      </bottom>
      <diagonal/>
    </border>
    <border>
      <left style="medium">
        <color indexed="9"/>
      </left>
      <right/>
      <top style="medium">
        <color indexed="9"/>
      </top>
      <bottom style="medium">
        <color indexed="9"/>
      </bottom>
      <diagonal/>
    </border>
    <border>
      <left style="medium">
        <color indexed="9"/>
      </left>
      <right style="medium">
        <color indexed="9"/>
      </right>
      <top style="medium">
        <color indexed="9"/>
      </top>
      <bottom style="medium">
        <color indexed="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ck">
        <color indexed="9"/>
      </right>
      <top/>
      <bottom/>
      <diagonal/>
    </border>
    <border>
      <left style="thick">
        <color indexed="9"/>
      </left>
      <right style="thick">
        <color indexed="9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/>
      <top/>
      <bottom/>
      <diagonal/>
    </border>
    <border>
      <left style="medium">
        <color indexed="9"/>
      </left>
      <right/>
      <top/>
      <bottom style="medium">
        <color indexed="9"/>
      </bottom>
      <diagonal/>
    </border>
    <border>
      <left style="medium">
        <color indexed="10"/>
      </left>
      <right style="medium">
        <color indexed="10"/>
      </right>
      <top style="medium">
        <color indexed="10"/>
      </top>
      <bottom style="medium">
        <color indexed="1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9"/>
      </left>
      <right/>
      <top style="medium">
        <color indexed="9"/>
      </top>
      <bottom/>
      <diagonal/>
    </border>
    <border>
      <left/>
      <right/>
      <top style="thin">
        <color theme="1" tint="0.499984740745262"/>
      </top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/>
      <top style="thin">
        <color indexed="64"/>
      </top>
      <bottom/>
      <diagonal/>
    </border>
    <border>
      <left style="thin">
        <color rgb="FF003366"/>
      </left>
      <right style="thin">
        <color rgb="FF003366"/>
      </right>
      <top style="thin">
        <color rgb="FF003366"/>
      </top>
      <bottom style="thin">
        <color rgb="FF003366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/>
      <right/>
      <top/>
      <bottom style="thin">
        <color theme="1" tint="0.499984740745262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theme="1"/>
      </bottom>
      <diagonal/>
    </border>
    <border>
      <left/>
      <right style="thick">
        <color rgb="FFFFFFFF"/>
      </right>
      <top/>
      <bottom/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</borders>
  <cellStyleXfs count="77">
    <xf numFmtId="0" fontId="0" fillId="0" borderId="0" applyNumberFormat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1" applyNumberFormat="0" applyFill="0" applyAlignment="0" applyProtection="0"/>
    <xf numFmtId="0" fontId="11" fillId="0" borderId="2" applyNumberFormat="0" applyFill="0" applyAlignment="0" applyProtection="0"/>
    <xf numFmtId="0" fontId="12" fillId="0" borderId="3" applyNumberFormat="0" applyFill="0" applyAlignment="0" applyProtection="0"/>
    <xf numFmtId="0" fontId="12" fillId="0" borderId="0" applyNumberFormat="0" applyFill="0" applyBorder="0" applyAlignment="0" applyProtection="0"/>
    <xf numFmtId="0" fontId="13" fillId="2" borderId="0" applyNumberFormat="0" applyBorder="0" applyAlignment="0" applyProtection="0"/>
    <xf numFmtId="0" fontId="14" fillId="3" borderId="0" applyNumberFormat="0" applyBorder="0" applyAlignment="0" applyProtection="0"/>
    <xf numFmtId="0" fontId="15" fillId="4" borderId="0" applyNumberFormat="0" applyBorder="0" applyAlignment="0" applyProtection="0"/>
    <xf numFmtId="0" fontId="16" fillId="5" borderId="4" applyNumberFormat="0" applyAlignment="0" applyProtection="0"/>
    <xf numFmtId="0" fontId="17" fillId="6" borderId="5" applyNumberFormat="0" applyAlignment="0" applyProtection="0"/>
    <xf numFmtId="0" fontId="18" fillId="6" borderId="4" applyNumberFormat="0" applyAlignment="0" applyProtection="0"/>
    <xf numFmtId="0" fontId="19" fillId="0" borderId="6" applyNumberFormat="0" applyFill="0" applyAlignment="0" applyProtection="0"/>
    <xf numFmtId="0" fontId="20" fillId="7" borderId="7" applyNumberFormat="0" applyAlignment="0" applyProtection="0"/>
    <xf numFmtId="0" fontId="21" fillId="0" borderId="0" applyNumberFormat="0" applyFill="0" applyBorder="0" applyAlignment="0" applyProtection="0"/>
    <xf numFmtId="0" fontId="8" fillId="8" borderId="8" applyNumberFormat="0" applyFont="0" applyAlignment="0" applyProtection="0"/>
    <xf numFmtId="0" fontId="22" fillId="0" borderId="0" applyNumberFormat="0" applyFill="0" applyBorder="0" applyAlignment="0" applyProtection="0"/>
    <xf numFmtId="0" fontId="23" fillId="0" borderId="9" applyNumberFormat="0" applyFill="0" applyAlignment="0" applyProtection="0"/>
    <xf numFmtId="0" fontId="28" fillId="0" borderId="0" applyNumberFormat="0" applyFont="0" applyFill="0" applyBorder="0" applyAlignment="0" applyProtection="0">
      <alignment vertical="center"/>
    </xf>
    <xf numFmtId="0" fontId="25" fillId="20" borderId="0" applyNumberFormat="0" applyFont="0" applyBorder="0" applyAlignment="0" applyProtection="0">
      <alignment vertical="center"/>
    </xf>
    <xf numFmtId="0" fontId="25" fillId="14" borderId="0" applyNumberFormat="0" applyFont="0" applyBorder="0" applyAlignment="0" applyProtection="0">
      <alignment vertical="center"/>
    </xf>
    <xf numFmtId="0" fontId="28" fillId="0" borderId="0" applyNumberFormat="0" applyFont="0" applyFill="0" applyBorder="0" applyAlignment="0" applyProtection="0">
      <alignment vertical="center"/>
    </xf>
    <xf numFmtId="0" fontId="27" fillId="17" borderId="0" applyNumberFormat="0" applyAlignment="0" applyProtection="0">
      <alignment vertical="center"/>
    </xf>
    <xf numFmtId="0" fontId="25" fillId="19" borderId="0" applyNumberFormat="0" applyFont="0" applyBorder="0" applyAlignment="0" applyProtection="0">
      <alignment vertical="center"/>
    </xf>
    <xf numFmtId="0" fontId="25" fillId="12" borderId="0" applyNumberFormat="0" applyFont="0" applyBorder="0" applyAlignment="0" applyProtection="0">
      <alignment vertical="center"/>
    </xf>
    <xf numFmtId="0" fontId="28" fillId="0" borderId="0" applyNumberFormat="0" applyFont="0" applyFill="0" applyBorder="0" applyAlignment="0" applyProtection="0">
      <alignment vertical="center"/>
    </xf>
    <xf numFmtId="0" fontId="25" fillId="9" borderId="0" applyNumberFormat="0" applyFont="0" applyBorder="0" applyAlignment="0" applyProtection="0">
      <alignment vertical="center"/>
    </xf>
    <xf numFmtId="0" fontId="25" fillId="0" borderId="0" applyNumberFormat="0" applyFont="0" applyBorder="0" applyAlignment="0" applyProtection="0">
      <alignment vertical="center"/>
    </xf>
    <xf numFmtId="0" fontId="28" fillId="0" borderId="0" applyNumberFormat="0" applyFont="0" applyFill="0" applyBorder="0" applyAlignment="0" applyProtection="0">
      <alignment vertical="center"/>
    </xf>
    <xf numFmtId="0" fontId="28" fillId="0" borderId="0" applyNumberFormat="0" applyFont="0" applyFill="0" applyBorder="0" applyAlignment="0" applyProtection="0">
      <alignment vertical="center"/>
    </xf>
    <xf numFmtId="0" fontId="28" fillId="0" borderId="0" applyNumberFormat="0" applyFont="0" applyFill="0" applyBorder="0" applyAlignment="0" applyProtection="0">
      <alignment vertical="center"/>
    </xf>
    <xf numFmtId="0" fontId="27" fillId="0" borderId="13" applyNumberFormat="0" applyAlignment="0" applyProtection="0">
      <alignment vertical="center"/>
    </xf>
    <xf numFmtId="0" fontId="26" fillId="0" borderId="0" applyNumberFormat="0" applyFont="0" applyFill="0" applyBorder="0" applyAlignment="0" applyProtection="0">
      <alignment vertical="center"/>
    </xf>
    <xf numFmtId="0" fontId="24" fillId="0" borderId="0" applyNumberFormat="0" applyFont="0" applyFill="0" applyBorder="0" applyAlignment="0" applyProtection="0"/>
    <xf numFmtId="0" fontId="24" fillId="0" borderId="0" applyNumberFormat="0" applyFont="0" applyFill="0" applyBorder="0" applyAlignment="0" applyProtection="0"/>
    <xf numFmtId="0" fontId="24" fillId="0" borderId="0" applyNumberFormat="0" applyFont="0" applyFill="0" applyBorder="0" applyAlignment="0" applyProtection="0"/>
    <xf numFmtId="0" fontId="26" fillId="0" borderId="0" applyNumberFormat="0" applyFont="0" applyFill="0" applyBorder="0" applyAlignment="0" applyProtection="0">
      <alignment vertical="center"/>
    </xf>
    <xf numFmtId="0" fontId="24" fillId="0" borderId="0" applyNumberFormat="0" applyFont="0" applyFill="0" applyBorder="0" applyAlignment="0" applyProtection="0"/>
    <xf numFmtId="0" fontId="24" fillId="0" borderId="0" applyNumberFormat="0" applyFont="0" applyFill="0" applyBorder="0" applyAlignment="0" applyProtection="0"/>
    <xf numFmtId="0" fontId="28" fillId="0" borderId="0" applyNumberFormat="0" applyFill="0" applyBorder="0" applyAlignment="0" applyProtection="0">
      <alignment vertical="center"/>
    </xf>
    <xf numFmtId="0" fontId="29" fillId="9" borderId="0" applyNumberFormat="0" applyFont="0" applyBorder="0" applyAlignment="0" applyProtection="0">
      <alignment vertical="center"/>
    </xf>
    <xf numFmtId="0" fontId="29" fillId="0" borderId="10" applyNumberFormat="0" applyFont="0" applyAlignment="0"/>
    <xf numFmtId="0" fontId="34" fillId="0" borderId="0" applyNumberFormat="0" applyFill="0" applyAlignment="0" applyProtection="0">
      <alignment vertical="center"/>
    </xf>
    <xf numFmtId="0" fontId="29" fillId="10" borderId="10" applyNumberFormat="0" applyFont="0" applyAlignment="0" applyProtection="0">
      <alignment vertical="center"/>
    </xf>
    <xf numFmtId="0" fontId="29" fillId="11" borderId="10" applyNumberFormat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/>
    <xf numFmtId="0" fontId="26" fillId="16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51" fillId="0" borderId="0"/>
    <xf numFmtId="0" fontId="4" fillId="0" borderId="0"/>
    <xf numFmtId="0" fontId="54" fillId="0" borderId="0"/>
    <xf numFmtId="0" fontId="4" fillId="0" borderId="0"/>
    <xf numFmtId="0" fontId="4" fillId="0" borderId="0"/>
    <xf numFmtId="43" fontId="64" fillId="0" borderId="0" applyFont="0" applyFill="0" applyBorder="0" applyAlignment="0" applyProtection="0"/>
    <xf numFmtId="0" fontId="66" fillId="0" borderId="0"/>
    <xf numFmtId="165" fontId="67" fillId="0" borderId="0" applyFont="0" applyFill="0" applyBorder="0" applyAlignment="0" applyProtection="0"/>
    <xf numFmtId="9" fontId="73" fillId="0" borderId="0" applyFont="0" applyFill="0" applyBorder="0" applyAlignment="0" applyProtection="0"/>
    <xf numFmtId="0" fontId="4" fillId="0" borderId="0"/>
    <xf numFmtId="9" fontId="66" fillId="0" borderId="0" applyFont="0" applyFill="0" applyBorder="0" applyAlignment="0" applyProtection="0"/>
    <xf numFmtId="0" fontId="4" fillId="0" borderId="0"/>
    <xf numFmtId="198" fontId="86" fillId="0" borderId="0"/>
    <xf numFmtId="0" fontId="2" fillId="0" borderId="0"/>
    <xf numFmtId="0" fontId="4" fillId="0" borderId="0"/>
    <xf numFmtId="0" fontId="64" fillId="0" borderId="0"/>
    <xf numFmtId="9" fontId="64" fillId="0" borderId="0" applyFont="0" applyFill="0" applyBorder="0" applyAlignment="0" applyProtection="0"/>
    <xf numFmtId="0" fontId="66" fillId="0" borderId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748">
    <xf numFmtId="0" fontId="0" fillId="0" borderId="0" xfId="0">
      <alignment vertical="center"/>
    </xf>
    <xf numFmtId="0" fontId="0" fillId="0" borderId="0" xfId="0" applyFont="1" applyAlignment="1">
      <alignment horizontal="center" vertical="center"/>
    </xf>
    <xf numFmtId="0" fontId="26" fillId="18" borderId="0" xfId="53" applyAlignment="1">
      <alignment horizontal="center" vertical="center"/>
    </xf>
    <xf numFmtId="0" fontId="30" fillId="14" borderId="11" xfId="25" applyFont="1" applyBorder="1" applyAlignment="1">
      <alignment horizontal="center" vertical="center"/>
    </xf>
    <xf numFmtId="0" fontId="0" fillId="0" borderId="0" xfId="0" applyFont="1" applyAlignment="1">
      <alignment vertical="center"/>
    </xf>
    <xf numFmtId="0" fontId="0" fillId="0" borderId="0" xfId="0" applyFont="1" applyAlignment="1">
      <alignment horizontal="left" vertical="center"/>
    </xf>
    <xf numFmtId="0" fontId="0" fillId="0" borderId="0" xfId="0" applyFont="1" applyFill="1" applyAlignment="1">
      <alignment vertical="center"/>
    </xf>
    <xf numFmtId="0" fontId="26" fillId="0" borderId="0" xfId="0" applyFont="1" applyFill="1" applyAlignment="1">
      <alignment horizontal="left" vertical="center"/>
    </xf>
    <xf numFmtId="0" fontId="26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horizontal="left" vertical="center"/>
    </xf>
    <xf numFmtId="0" fontId="30" fillId="14" borderId="11" xfId="25" applyFont="1" applyBorder="1" applyAlignment="1">
      <alignment horizontal="left" vertical="center"/>
    </xf>
    <xf numFmtId="0" fontId="26" fillId="18" borderId="0" xfId="53" applyAlignment="1">
      <alignment horizontal="left" vertical="center"/>
    </xf>
    <xf numFmtId="0" fontId="47" fillId="21" borderId="0" xfId="0" applyNumberFormat="1" applyFont="1" applyFill="1" applyBorder="1" applyAlignment="1"/>
    <xf numFmtId="0" fontId="46" fillId="21" borderId="0" xfId="0" applyFont="1" applyFill="1" applyBorder="1" applyAlignment="1"/>
    <xf numFmtId="0" fontId="29" fillId="21" borderId="0" xfId="0" applyFont="1" applyFill="1" applyBorder="1" applyAlignment="1"/>
    <xf numFmtId="0" fontId="29" fillId="13" borderId="0" xfId="0" applyFont="1" applyFill="1" applyBorder="1" applyAlignment="1"/>
    <xf numFmtId="169" fontId="31" fillId="11" borderId="10" xfId="49" applyNumberFormat="1" applyFont="1" applyAlignment="1">
      <alignment horizontal="center" vertical="center"/>
    </xf>
    <xf numFmtId="0" fontId="51" fillId="0" borderId="0" xfId="57"/>
    <xf numFmtId="0" fontId="52" fillId="0" borderId="0" xfId="58" applyFont="1"/>
    <xf numFmtId="0" fontId="53" fillId="23" borderId="0" xfId="58" applyFont="1" applyFill="1" applyAlignment="1">
      <alignment vertical="center"/>
    </xf>
    <xf numFmtId="0" fontId="53" fillId="23" borderId="0" xfId="59" applyFont="1" applyFill="1" applyAlignment="1">
      <alignment horizontal="left" vertical="center"/>
    </xf>
    <xf numFmtId="0" fontId="55" fillId="23" borderId="0" xfId="59" applyFont="1" applyFill="1"/>
    <xf numFmtId="0" fontId="53" fillId="0" borderId="0" xfId="58" applyFont="1" applyAlignment="1">
      <alignment vertical="center"/>
    </xf>
    <xf numFmtId="0" fontId="56" fillId="0" borderId="0" xfId="57" applyFont="1"/>
    <xf numFmtId="0" fontId="53" fillId="24" borderId="0" xfId="57" applyFont="1" applyFill="1" applyAlignment="1">
      <alignment vertical="center"/>
    </xf>
    <xf numFmtId="0" fontId="53" fillId="0" borderId="0" xfId="57" applyFont="1" applyAlignment="1">
      <alignment vertical="center"/>
    </xf>
    <xf numFmtId="0" fontId="57" fillId="0" borderId="0" xfId="60" applyFont="1"/>
    <xf numFmtId="0" fontId="52" fillId="0" borderId="0" xfId="57" applyFont="1"/>
    <xf numFmtId="0" fontId="53" fillId="25" borderId="0" xfId="57" applyFont="1" applyFill="1" applyAlignment="1">
      <alignment horizontal="left" vertical="center"/>
    </xf>
    <xf numFmtId="173" fontId="59" fillId="26" borderId="23" xfId="58" applyNumberFormat="1" applyFont="1" applyFill="1" applyBorder="1" applyAlignment="1">
      <alignment horizontal="centerContinuous" vertical="center"/>
    </xf>
    <xf numFmtId="173" fontId="59" fillId="23" borderId="24" xfId="58" applyNumberFormat="1" applyFont="1" applyFill="1" applyBorder="1" applyAlignment="1">
      <alignment horizontal="center" vertical="center"/>
    </xf>
    <xf numFmtId="17" fontId="60" fillId="0" borderId="0" xfId="57" applyNumberFormat="1" applyFont="1" applyAlignment="1">
      <alignment horizontal="left"/>
    </xf>
    <xf numFmtId="0" fontId="62" fillId="0" borderId="25" xfId="58" applyFont="1" applyBorder="1" applyAlignment="1">
      <alignment horizontal="left" vertical="center"/>
    </xf>
    <xf numFmtId="3" fontId="62" fillId="0" borderId="25" xfId="58" applyNumberFormat="1" applyFont="1" applyBorder="1" applyAlignment="1">
      <alignment horizontal="center" vertical="center"/>
    </xf>
    <xf numFmtId="175" fontId="62" fillId="0" borderId="21" xfId="58" applyNumberFormat="1" applyFont="1" applyBorder="1" applyAlignment="1">
      <alignment horizontal="center" vertical="center"/>
    </xf>
    <xf numFmtId="0" fontId="63" fillId="0" borderId="0" xfId="61" applyFont="1" applyAlignment="1">
      <alignment horizontal="left" indent="1"/>
    </xf>
    <xf numFmtId="175" fontId="63" fillId="0" borderId="0" xfId="57" applyNumberFormat="1" applyFont="1" applyAlignment="1">
      <alignment horizontal="center"/>
    </xf>
    <xf numFmtId="0" fontId="52" fillId="0" borderId="26" xfId="57" applyFont="1" applyBorder="1"/>
    <xf numFmtId="0" fontId="52" fillId="0" borderId="27" xfId="57" applyFont="1" applyBorder="1"/>
    <xf numFmtId="0" fontId="63" fillId="0" borderId="0" xfId="58" applyFont="1" applyAlignment="1">
      <alignment horizontal="left" vertical="center" indent="1"/>
    </xf>
    <xf numFmtId="175" fontId="63" fillId="0" borderId="0" xfId="61" applyNumberFormat="1" applyFont="1" applyAlignment="1">
      <alignment horizontal="center"/>
    </xf>
    <xf numFmtId="176" fontId="52" fillId="0" borderId="27" xfId="61" applyNumberFormat="1" applyFont="1" applyBorder="1" applyAlignment="1">
      <alignment horizontal="center"/>
    </xf>
    <xf numFmtId="176" fontId="62" fillId="0" borderId="0" xfId="58" applyNumberFormat="1" applyFont="1" applyAlignment="1">
      <alignment horizontal="center" vertical="center"/>
    </xf>
    <xf numFmtId="0" fontId="62" fillId="28" borderId="28" xfId="60" applyFont="1" applyFill="1" applyBorder="1" applyAlignment="1">
      <alignment horizontal="left" vertical="center" wrapText="1" readingOrder="1"/>
    </xf>
    <xf numFmtId="0" fontId="62" fillId="28" borderId="28" xfId="60" applyFont="1" applyFill="1" applyBorder="1" applyAlignment="1">
      <alignment horizontal="center" vertical="center" wrapText="1" readingOrder="1"/>
    </xf>
    <xf numFmtId="0" fontId="56" fillId="0" borderId="0" xfId="58" applyFont="1" applyAlignment="1">
      <alignment horizontal="left" vertical="center"/>
    </xf>
    <xf numFmtId="176" fontId="56" fillId="0" borderId="0" xfId="58" applyNumberFormat="1" applyFont="1" applyAlignment="1">
      <alignment horizontal="center" vertical="center"/>
    </xf>
    <xf numFmtId="176" fontId="56" fillId="0" borderId="27" xfId="58" applyNumberFormat="1" applyFont="1" applyBorder="1" applyAlignment="1">
      <alignment horizontal="center" vertical="center"/>
    </xf>
    <xf numFmtId="176" fontId="52" fillId="0" borderId="0" xfId="61" applyNumberFormat="1" applyFont="1" applyAlignment="1">
      <alignment horizontal="center"/>
    </xf>
    <xf numFmtId="0" fontId="62" fillId="0" borderId="25" xfId="57" applyFont="1" applyBorder="1"/>
    <xf numFmtId="174" fontId="62" fillId="0" borderId="25" xfId="62" applyNumberFormat="1" applyFont="1" applyBorder="1" applyAlignment="1">
      <alignment horizontal="center" vertical="center"/>
    </xf>
    <xf numFmtId="177" fontId="56" fillId="0" borderId="0" xfId="60" applyNumberFormat="1" applyFont="1"/>
    <xf numFmtId="176" fontId="62" fillId="0" borderId="25" xfId="58" applyNumberFormat="1" applyFont="1" applyBorder="1" applyAlignment="1">
      <alignment horizontal="center" vertical="center"/>
    </xf>
    <xf numFmtId="175" fontId="63" fillId="0" borderId="0" xfId="58" applyNumberFormat="1" applyFont="1" applyAlignment="1">
      <alignment horizontal="center" vertical="center"/>
    </xf>
    <xf numFmtId="175" fontId="60" fillId="0" borderId="27" xfId="58" applyNumberFormat="1" applyFont="1" applyBorder="1" applyAlignment="1">
      <alignment horizontal="center" vertical="center"/>
    </xf>
    <xf numFmtId="0" fontId="62" fillId="0" borderId="0" xfId="58" applyFont="1" applyAlignment="1">
      <alignment horizontal="left" vertical="center"/>
    </xf>
    <xf numFmtId="176" fontId="65" fillId="0" borderId="0" xfId="58" applyNumberFormat="1" applyFont="1" applyAlignment="1">
      <alignment horizontal="center" vertical="center"/>
    </xf>
    <xf numFmtId="175" fontId="62" fillId="0" borderId="27" xfId="58" applyNumberFormat="1" applyFont="1" applyBorder="1" applyAlignment="1">
      <alignment horizontal="center" vertical="center"/>
    </xf>
    <xf numFmtId="175" fontId="60" fillId="0" borderId="0" xfId="58" applyNumberFormat="1" applyFont="1" applyAlignment="1">
      <alignment horizontal="center" vertical="center"/>
    </xf>
    <xf numFmtId="0" fontId="60" fillId="0" borderId="0" xfId="58" applyFont="1" applyAlignment="1">
      <alignment horizontal="left" vertical="center" indent="1"/>
    </xf>
    <xf numFmtId="176" fontId="60" fillId="0" borderId="0" xfId="58" applyNumberFormat="1" applyFont="1" applyAlignment="1">
      <alignment horizontal="center" vertical="center"/>
    </xf>
    <xf numFmtId="175" fontId="56" fillId="0" borderId="27" xfId="58" applyNumberFormat="1" applyFont="1" applyBorder="1" applyAlignment="1">
      <alignment horizontal="center" vertical="center"/>
    </xf>
    <xf numFmtId="0" fontId="53" fillId="24" borderId="0" xfId="58" applyFont="1" applyFill="1" applyAlignment="1">
      <alignment vertical="center"/>
    </xf>
    <xf numFmtId="0" fontId="62" fillId="24" borderId="0" xfId="58" applyFont="1" applyFill="1" applyAlignment="1">
      <alignment vertical="center"/>
    </xf>
    <xf numFmtId="0" fontId="56" fillId="0" borderId="0" xfId="60" applyFont="1"/>
    <xf numFmtId="0" fontId="55" fillId="29" borderId="0" xfId="63" applyFont="1" applyFill="1"/>
    <xf numFmtId="0" fontId="62" fillId="28" borderId="29" xfId="60" applyFont="1" applyFill="1" applyBorder="1" applyAlignment="1">
      <alignment horizontal="center" vertical="center" wrapText="1" readingOrder="1"/>
    </xf>
    <xf numFmtId="0" fontId="63" fillId="0" borderId="25" xfId="58" applyFont="1" applyBorder="1" applyAlignment="1">
      <alignment horizontal="left" vertical="center" indent="1"/>
    </xf>
    <xf numFmtId="0" fontId="56" fillId="0" borderId="0" xfId="63" applyFont="1" applyAlignment="1">
      <alignment vertical="center"/>
    </xf>
    <xf numFmtId="174" fontId="56" fillId="0" borderId="0" xfId="64" applyNumberFormat="1" applyFont="1" applyFill="1" applyAlignment="1">
      <alignment horizontal="center" vertical="center"/>
    </xf>
    <xf numFmtId="178" fontId="52" fillId="0" borderId="0" xfId="63" applyNumberFormat="1" applyFont="1" applyAlignment="1">
      <alignment horizontal="center" vertical="center" readingOrder="1"/>
    </xf>
    <xf numFmtId="0" fontId="56" fillId="0" borderId="11" xfId="57" applyFont="1" applyBorder="1"/>
    <xf numFmtId="176" fontId="68" fillId="0" borderId="11" xfId="58" applyNumberFormat="1" applyFont="1" applyBorder="1" applyAlignment="1">
      <alignment horizontal="center" vertical="center"/>
    </xf>
    <xf numFmtId="176" fontId="60" fillId="0" borderId="11" xfId="58" applyNumberFormat="1" applyFont="1" applyBorder="1" applyAlignment="1">
      <alignment horizontal="center" vertical="center"/>
    </xf>
    <xf numFmtId="0" fontId="56" fillId="0" borderId="13" xfId="57" applyFont="1" applyBorder="1"/>
    <xf numFmtId="176" fontId="60" fillId="0" borderId="13" xfId="58" applyNumberFormat="1" applyFont="1" applyBorder="1" applyAlignment="1">
      <alignment horizontal="center" vertical="center"/>
    </xf>
    <xf numFmtId="4" fontId="56" fillId="0" borderId="0" xfId="57" applyNumberFormat="1" applyFont="1"/>
    <xf numFmtId="0" fontId="52" fillId="0" borderId="0" xfId="57" applyFont="1" applyAlignment="1">
      <alignment horizontal="center"/>
    </xf>
    <xf numFmtId="176" fontId="60" fillId="27" borderId="0" xfId="58" applyNumberFormat="1" applyFont="1" applyFill="1" applyAlignment="1">
      <alignment horizontal="center" vertical="center"/>
    </xf>
    <xf numFmtId="176" fontId="65" fillId="27" borderId="0" xfId="58" applyNumberFormat="1" applyFont="1" applyFill="1" applyAlignment="1">
      <alignment horizontal="center" vertical="center"/>
    </xf>
    <xf numFmtId="0" fontId="52" fillId="0" borderId="0" xfId="57" applyFont="1" applyAlignment="1">
      <alignment horizontal="left" indent="1"/>
    </xf>
    <xf numFmtId="179" fontId="56" fillId="31" borderId="24" xfId="58" applyNumberFormat="1" applyFont="1" applyFill="1" applyBorder="1" applyAlignment="1">
      <alignment horizontal="center" vertical="center" wrapText="1"/>
    </xf>
    <xf numFmtId="176" fontId="60" fillId="32" borderId="0" xfId="58" applyNumberFormat="1" applyFont="1" applyFill="1" applyAlignment="1">
      <alignment horizontal="center" vertical="center"/>
    </xf>
    <xf numFmtId="0" fontId="62" fillId="0" borderId="0" xfId="57" applyFont="1"/>
    <xf numFmtId="0" fontId="57" fillId="0" borderId="0" xfId="57" applyFont="1"/>
    <xf numFmtId="0" fontId="56" fillId="0" borderId="0" xfId="57" applyFont="1" applyAlignment="1">
      <alignment horizontal="center"/>
    </xf>
    <xf numFmtId="181" fontId="56" fillId="0" borderId="0" xfId="57" applyNumberFormat="1" applyFont="1" applyAlignment="1">
      <alignment horizontal="center"/>
    </xf>
    <xf numFmtId="0" fontId="56" fillId="0" borderId="0" xfId="57" applyFont="1" applyAlignment="1">
      <alignment horizontal="left" indent="1"/>
    </xf>
    <xf numFmtId="0" fontId="57" fillId="0" borderId="0" xfId="57" applyFont="1" applyAlignment="1">
      <alignment horizontal="left"/>
    </xf>
    <xf numFmtId="4" fontId="62" fillId="0" borderId="0" xfId="57" applyNumberFormat="1" applyFont="1"/>
    <xf numFmtId="182" fontId="56" fillId="0" borderId="0" xfId="57" applyNumberFormat="1" applyFont="1"/>
    <xf numFmtId="183" fontId="62" fillId="0" borderId="0" xfId="57" applyNumberFormat="1" applyFont="1"/>
    <xf numFmtId="3" fontId="56" fillId="0" borderId="0" xfId="57" applyNumberFormat="1" applyFont="1"/>
    <xf numFmtId="0" fontId="52" fillId="0" borderId="0" xfId="58" applyFont="1" applyAlignment="1">
      <alignment horizontal="center"/>
    </xf>
    <xf numFmtId="14" fontId="70" fillId="10" borderId="22" xfId="58" applyNumberFormat="1" applyFont="1" applyFill="1" applyBorder="1" applyAlignment="1">
      <alignment horizontal="center" vertical="center"/>
    </xf>
    <xf numFmtId="16" fontId="70" fillId="10" borderId="22" xfId="58" applyNumberFormat="1" applyFont="1" applyFill="1" applyBorder="1" applyAlignment="1">
      <alignment horizontal="center" vertical="center"/>
    </xf>
    <xf numFmtId="0" fontId="53" fillId="23" borderId="0" xfId="57" applyFont="1" applyFill="1"/>
    <xf numFmtId="0" fontId="56" fillId="23" borderId="0" xfId="57" applyFont="1" applyFill="1"/>
    <xf numFmtId="0" fontId="53" fillId="23" borderId="0" xfId="58" applyFont="1" applyFill="1" applyAlignment="1">
      <alignment horizontal="center"/>
    </xf>
    <xf numFmtId="0" fontId="53" fillId="23" borderId="34" xfId="58" applyFont="1" applyFill="1" applyBorder="1" applyAlignment="1">
      <alignment horizontal="center"/>
    </xf>
    <xf numFmtId="0" fontId="53" fillId="23" borderId="35" xfId="58" applyFont="1" applyFill="1" applyBorder="1" applyAlignment="1">
      <alignment horizontal="centerContinuous"/>
    </xf>
    <xf numFmtId="0" fontId="53" fillId="23" borderId="0" xfId="58" applyFont="1" applyFill="1" applyAlignment="1">
      <alignment horizontal="centerContinuous"/>
    </xf>
    <xf numFmtId="0" fontId="52" fillId="27" borderId="0" xfId="57" applyFont="1" applyFill="1"/>
    <xf numFmtId="0" fontId="52" fillId="27" borderId="0" xfId="58" applyFont="1" applyFill="1"/>
    <xf numFmtId="173" fontId="59" fillId="0" borderId="24" xfId="58" applyNumberFormat="1" applyFont="1" applyBorder="1" applyAlignment="1">
      <alignment horizontal="center" vertical="center"/>
    </xf>
    <xf numFmtId="173" fontId="59" fillId="23" borderId="36" xfId="58" applyNumberFormat="1" applyFont="1" applyFill="1" applyBorder="1" applyAlignment="1">
      <alignment horizontal="center" vertical="center"/>
    </xf>
    <xf numFmtId="0" fontId="55" fillId="33" borderId="36" xfId="57" applyFont="1" applyFill="1" applyBorder="1" applyAlignment="1">
      <alignment horizontal="center"/>
    </xf>
    <xf numFmtId="179" fontId="56" fillId="0" borderId="24" xfId="58" applyNumberFormat="1" applyFont="1" applyBorder="1" applyAlignment="1">
      <alignment horizontal="center" vertical="center" wrapText="1"/>
    </xf>
    <xf numFmtId="179" fontId="56" fillId="34" borderId="24" xfId="58" applyNumberFormat="1" applyFont="1" applyFill="1" applyBorder="1" applyAlignment="1">
      <alignment horizontal="center" vertical="center" wrapText="1"/>
    </xf>
    <xf numFmtId="184" fontId="71" fillId="0" borderId="0" xfId="57" applyNumberFormat="1" applyFont="1" applyAlignment="1">
      <alignment horizontal="left"/>
    </xf>
    <xf numFmtId="179" fontId="72" fillId="0" borderId="0" xfId="57" applyNumberFormat="1" applyFont="1" applyAlignment="1">
      <alignment horizontal="center"/>
    </xf>
    <xf numFmtId="0" fontId="57" fillId="0" borderId="0" xfId="58" applyFont="1"/>
    <xf numFmtId="0" fontId="62" fillId="27" borderId="37" xfId="58" quotePrefix="1" applyFont="1" applyFill="1" applyBorder="1" applyAlignment="1">
      <alignment horizontal="center" vertical="center"/>
    </xf>
    <xf numFmtId="0" fontId="53" fillId="0" borderId="25" xfId="58" applyFont="1" applyBorder="1" applyAlignment="1">
      <alignment horizontal="left" vertical="center"/>
    </xf>
    <xf numFmtId="0" fontId="57" fillId="28" borderId="25" xfId="58" applyFont="1" applyFill="1" applyBorder="1" applyAlignment="1">
      <alignment horizontal="center"/>
    </xf>
    <xf numFmtId="185" fontId="62" fillId="0" borderId="25" xfId="57" applyNumberFormat="1" applyFont="1" applyBorder="1" applyAlignment="1">
      <alignment horizontal="center"/>
    </xf>
    <xf numFmtId="186" fontId="56" fillId="27" borderId="0" xfId="58" applyNumberFormat="1" applyFont="1" applyFill="1" applyAlignment="1">
      <alignment horizontal="center" vertical="center"/>
    </xf>
    <xf numFmtId="186" fontId="56" fillId="0" borderId="0" xfId="58" applyNumberFormat="1" applyFont="1" applyAlignment="1">
      <alignment horizontal="center" vertical="center"/>
    </xf>
    <xf numFmtId="186" fontId="56" fillId="28" borderId="0" xfId="58" applyNumberFormat="1" applyFont="1" applyFill="1" applyAlignment="1">
      <alignment horizontal="center" vertical="center"/>
    </xf>
    <xf numFmtId="9" fontId="56" fillId="0" borderId="0" xfId="65" applyFont="1" applyFill="1" applyAlignment="1">
      <alignment horizontal="center" vertical="center"/>
    </xf>
    <xf numFmtId="9" fontId="56" fillId="0" borderId="0" xfId="65" applyFont="1" applyFill="1" applyBorder="1" applyAlignment="1">
      <alignment horizontal="center" vertical="center"/>
    </xf>
    <xf numFmtId="0" fontId="74" fillId="27" borderId="25" xfId="57" applyFont="1" applyFill="1" applyBorder="1"/>
    <xf numFmtId="188" fontId="74" fillId="27" borderId="25" xfId="57" applyNumberFormat="1" applyFont="1" applyFill="1" applyBorder="1" applyAlignment="1">
      <alignment horizontal="right"/>
    </xf>
    <xf numFmtId="185" fontId="75" fillId="32" borderId="25" xfId="57" applyNumberFormat="1" applyFont="1" applyFill="1" applyBorder="1" applyAlignment="1">
      <alignment horizontal="center"/>
    </xf>
    <xf numFmtId="0" fontId="76" fillId="27" borderId="0" xfId="57" applyFont="1" applyFill="1"/>
    <xf numFmtId="188" fontId="77" fillId="27" borderId="0" xfId="57" applyNumberFormat="1" applyFont="1" applyFill="1" applyAlignment="1">
      <alignment horizontal="right"/>
    </xf>
    <xf numFmtId="0" fontId="56" fillId="27" borderId="0" xfId="57" applyFont="1" applyFill="1"/>
    <xf numFmtId="185" fontId="61" fillId="10" borderId="10" xfId="57" applyNumberFormat="1" applyFont="1" applyFill="1" applyBorder="1" applyAlignment="1">
      <alignment horizontal="center"/>
    </xf>
    <xf numFmtId="186" fontId="58" fillId="0" borderId="0" xfId="58" applyNumberFormat="1" applyFont="1" applyAlignment="1">
      <alignment horizontal="center" vertical="center"/>
    </xf>
    <xf numFmtId="189" fontId="52" fillId="27" borderId="0" xfId="58" applyNumberFormat="1" applyFont="1" applyFill="1" applyAlignment="1">
      <alignment horizontal="center" vertical="center"/>
    </xf>
    <xf numFmtId="179" fontId="56" fillId="28" borderId="24" xfId="58" applyNumberFormat="1" applyFont="1" applyFill="1" applyBorder="1" applyAlignment="1">
      <alignment horizontal="center" vertical="center" wrapText="1"/>
    </xf>
    <xf numFmtId="190" fontId="57" fillId="0" borderId="0" xfId="57" applyNumberFormat="1" applyFont="1" applyAlignment="1">
      <alignment horizontal="center"/>
    </xf>
    <xf numFmtId="186" fontId="57" fillId="0" borderId="0" xfId="57" applyNumberFormat="1" applyFont="1" applyAlignment="1">
      <alignment horizontal="center"/>
    </xf>
    <xf numFmtId="186" fontId="52" fillId="0" borderId="0" xfId="57" applyNumberFormat="1" applyFont="1" applyAlignment="1">
      <alignment horizontal="center"/>
    </xf>
    <xf numFmtId="0" fontId="52" fillId="0" borderId="0" xfId="66" applyFont="1"/>
    <xf numFmtId="190" fontId="52" fillId="0" borderId="0" xfId="57" applyNumberFormat="1" applyFont="1" applyAlignment="1">
      <alignment horizontal="center"/>
    </xf>
    <xf numFmtId="175" fontId="52" fillId="0" borderId="0" xfId="58" applyNumberFormat="1" applyFont="1" applyAlignment="1">
      <alignment horizontal="center" vertical="center"/>
    </xf>
    <xf numFmtId="0" fontId="53" fillId="25" borderId="0" xfId="57" applyFont="1" applyFill="1"/>
    <xf numFmtId="0" fontId="53" fillId="23" borderId="34" xfId="58" applyFont="1" applyFill="1" applyBorder="1" applyAlignment="1">
      <alignment horizontal="centerContinuous"/>
    </xf>
    <xf numFmtId="0" fontId="52" fillId="27" borderId="0" xfId="57" applyFont="1" applyFill="1" applyAlignment="1">
      <alignment vertical="center"/>
    </xf>
    <xf numFmtId="0" fontId="52" fillId="0" borderId="0" xfId="57" applyFont="1" applyAlignment="1">
      <alignment vertical="center"/>
    </xf>
    <xf numFmtId="0" fontId="53" fillId="25" borderId="0" xfId="57" applyFont="1" applyFill="1" applyAlignment="1">
      <alignment vertical="center"/>
    </xf>
    <xf numFmtId="179" fontId="56" fillId="0" borderId="0" xfId="58" applyNumberFormat="1" applyFont="1" applyAlignment="1">
      <alignment horizontal="center" vertical="center" wrapText="1"/>
    </xf>
    <xf numFmtId="0" fontId="52" fillId="0" borderId="30" xfId="57" applyFont="1" applyBorder="1"/>
    <xf numFmtId="9" fontId="70" fillId="0" borderId="11" xfId="57" applyNumberFormat="1" applyFont="1" applyBorder="1" applyAlignment="1" applyProtection="1">
      <alignment horizontal="center"/>
      <protection locked="0"/>
    </xf>
    <xf numFmtId="9" fontId="70" fillId="0" borderId="31" xfId="57" applyNumberFormat="1" applyFont="1" applyBorder="1" applyAlignment="1" applyProtection="1">
      <alignment horizontal="center"/>
      <protection locked="0"/>
    </xf>
    <xf numFmtId="9" fontId="57" fillId="0" borderId="31" xfId="57" applyNumberFormat="1" applyFont="1" applyBorder="1" applyAlignment="1" applyProtection="1">
      <alignment horizontal="center"/>
      <protection locked="0"/>
    </xf>
    <xf numFmtId="9" fontId="70" fillId="0" borderId="30" xfId="57" applyNumberFormat="1" applyFont="1" applyBorder="1" applyAlignment="1" applyProtection="1">
      <alignment horizontal="center"/>
      <protection locked="0"/>
    </xf>
    <xf numFmtId="9" fontId="70" fillId="0" borderId="0" xfId="57" applyNumberFormat="1" applyFont="1" applyAlignment="1" applyProtection="1">
      <alignment horizontal="center"/>
      <protection locked="0"/>
    </xf>
    <xf numFmtId="9" fontId="57" fillId="0" borderId="0" xfId="57" applyNumberFormat="1" applyFont="1" applyAlignment="1" applyProtection="1">
      <alignment horizontal="center"/>
      <protection locked="0"/>
    </xf>
    <xf numFmtId="9" fontId="70" fillId="0" borderId="27" xfId="57" applyNumberFormat="1" applyFont="1" applyBorder="1" applyAlignment="1" applyProtection="1">
      <alignment horizontal="center"/>
      <protection locked="0"/>
    </xf>
    <xf numFmtId="9" fontId="57" fillId="0" borderId="27" xfId="57" applyNumberFormat="1" applyFont="1" applyBorder="1" applyAlignment="1" applyProtection="1">
      <alignment horizontal="center"/>
      <protection locked="0"/>
    </xf>
    <xf numFmtId="9" fontId="70" fillId="0" borderId="26" xfId="57" applyNumberFormat="1" applyFont="1" applyBorder="1" applyAlignment="1" applyProtection="1">
      <alignment horizontal="center"/>
      <protection locked="0"/>
    </xf>
    <xf numFmtId="0" fontId="52" fillId="0" borderId="32" xfId="57" applyFont="1" applyBorder="1"/>
    <xf numFmtId="9" fontId="70" fillId="0" borderId="13" xfId="57" applyNumberFormat="1" applyFont="1" applyBorder="1" applyAlignment="1" applyProtection="1">
      <alignment horizontal="center"/>
      <protection locked="0"/>
    </xf>
    <xf numFmtId="9" fontId="70" fillId="0" borderId="14" xfId="57" applyNumberFormat="1" applyFont="1" applyBorder="1" applyAlignment="1" applyProtection="1">
      <alignment horizontal="center"/>
      <protection locked="0"/>
    </xf>
    <xf numFmtId="9" fontId="57" fillId="0" borderId="14" xfId="57" applyNumberFormat="1" applyFont="1" applyBorder="1" applyAlignment="1" applyProtection="1">
      <alignment horizontal="center"/>
      <protection locked="0"/>
    </xf>
    <xf numFmtId="9" fontId="70" fillId="0" borderId="32" xfId="57" applyNumberFormat="1" applyFont="1" applyBorder="1" applyAlignment="1" applyProtection="1">
      <alignment horizontal="center"/>
      <protection locked="0"/>
    </xf>
    <xf numFmtId="0" fontId="52" fillId="0" borderId="11" xfId="57" applyFont="1" applyBorder="1"/>
    <xf numFmtId="186" fontId="52" fillId="0" borderId="11" xfId="57" applyNumberFormat="1" applyFont="1" applyBorder="1" applyAlignment="1">
      <alignment horizontal="center"/>
    </xf>
    <xf numFmtId="186" fontId="78" fillId="0" borderId="38" xfId="57" applyNumberFormat="1" applyFont="1" applyBorder="1" applyAlignment="1">
      <alignment horizontal="center"/>
    </xf>
    <xf numFmtId="186" fontId="69" fillId="0" borderId="0" xfId="57" applyNumberFormat="1" applyFont="1" applyAlignment="1">
      <alignment horizontal="center" vertical="center"/>
    </xf>
    <xf numFmtId="186" fontId="69" fillId="0" borderId="19" xfId="57" applyNumberFormat="1" applyFont="1" applyBorder="1" applyAlignment="1">
      <alignment horizontal="center" vertical="center"/>
    </xf>
    <xf numFmtId="0" fontId="57" fillId="0" borderId="0" xfId="57" applyFont="1" applyAlignment="1">
      <alignment vertical="center"/>
    </xf>
    <xf numFmtId="186" fontId="57" fillId="0" borderId="19" xfId="57" applyNumberFormat="1" applyFont="1" applyBorder="1" applyAlignment="1">
      <alignment horizontal="center"/>
    </xf>
    <xf numFmtId="0" fontId="57" fillId="0" borderId="13" xfId="57" applyFont="1" applyBorder="1"/>
    <xf numFmtId="186" fontId="57" fillId="0" borderId="13" xfId="57" applyNumberFormat="1" applyFont="1" applyBorder="1" applyAlignment="1">
      <alignment horizontal="center"/>
    </xf>
    <xf numFmtId="186" fontId="57" fillId="0" borderId="39" xfId="57" applyNumberFormat="1" applyFont="1" applyBorder="1" applyAlignment="1">
      <alignment horizontal="center"/>
    </xf>
    <xf numFmtId="186" fontId="52" fillId="0" borderId="19" xfId="57" applyNumberFormat="1" applyFont="1" applyBorder="1" applyAlignment="1">
      <alignment horizontal="center"/>
    </xf>
    <xf numFmtId="186" fontId="79" fillId="0" borderId="19" xfId="57" applyNumberFormat="1" applyFont="1" applyBorder="1" applyAlignment="1">
      <alignment horizontal="center" vertical="center"/>
    </xf>
    <xf numFmtId="0" fontId="52" fillId="0" borderId="13" xfId="57" applyFont="1" applyBorder="1"/>
    <xf numFmtId="186" fontId="52" fillId="0" borderId="13" xfId="57" applyNumberFormat="1" applyFont="1" applyBorder="1" applyAlignment="1">
      <alignment horizontal="center"/>
    </xf>
    <xf numFmtId="0" fontId="57" fillId="0" borderId="25" xfId="57" applyFont="1" applyBorder="1"/>
    <xf numFmtId="0" fontId="57" fillId="0" borderId="25" xfId="57" applyFont="1" applyBorder="1" applyAlignment="1">
      <alignment horizontal="center"/>
    </xf>
    <xf numFmtId="186" fontId="57" fillId="0" borderId="25" xfId="57" applyNumberFormat="1" applyFont="1" applyBorder="1" applyAlignment="1">
      <alignment horizontal="center"/>
    </xf>
    <xf numFmtId="186" fontId="57" fillId="0" borderId="17" xfId="57" applyNumberFormat="1" applyFont="1" applyBorder="1" applyAlignment="1">
      <alignment horizontal="center"/>
    </xf>
    <xf numFmtId="0" fontId="57" fillId="0" borderId="0" xfId="57" applyFont="1" applyAlignment="1">
      <alignment horizontal="center"/>
    </xf>
    <xf numFmtId="0" fontId="57" fillId="0" borderId="19" xfId="57" applyFont="1" applyBorder="1" applyAlignment="1">
      <alignment horizontal="center"/>
    </xf>
    <xf numFmtId="0" fontId="57" fillId="0" borderId="13" xfId="57" applyFont="1" applyBorder="1" applyAlignment="1">
      <alignment horizontal="center"/>
    </xf>
    <xf numFmtId="186" fontId="57" fillId="0" borderId="14" xfId="57" applyNumberFormat="1" applyFont="1" applyBorder="1" applyAlignment="1">
      <alignment horizontal="center"/>
    </xf>
    <xf numFmtId="186" fontId="57" fillId="0" borderId="32" xfId="57" applyNumberFormat="1" applyFont="1" applyBorder="1" applyAlignment="1">
      <alignment horizontal="center"/>
    </xf>
    <xf numFmtId="186" fontId="56" fillId="0" borderId="0" xfId="57" applyNumberFormat="1" applyFont="1" applyAlignment="1">
      <alignment horizontal="center"/>
    </xf>
    <xf numFmtId="0" fontId="52" fillId="0" borderId="19" xfId="57" applyFont="1" applyBorder="1" applyAlignment="1">
      <alignment horizontal="center"/>
    </xf>
    <xf numFmtId="186" fontId="52" fillId="0" borderId="26" xfId="57" applyNumberFormat="1" applyFont="1" applyBorder="1" applyAlignment="1">
      <alignment horizontal="center"/>
    </xf>
    <xf numFmtId="0" fontId="52" fillId="0" borderId="13" xfId="57" applyFont="1" applyBorder="1" applyAlignment="1">
      <alignment horizontal="left" indent="1"/>
    </xf>
    <xf numFmtId="0" fontId="52" fillId="0" borderId="13" xfId="57" applyFont="1" applyBorder="1" applyAlignment="1">
      <alignment horizontal="center"/>
    </xf>
    <xf numFmtId="186" fontId="56" fillId="0" borderId="13" xfId="57" applyNumberFormat="1" applyFont="1" applyBorder="1" applyAlignment="1">
      <alignment horizontal="center"/>
    </xf>
    <xf numFmtId="186" fontId="52" fillId="0" borderId="39" xfId="57" applyNumberFormat="1" applyFont="1" applyBorder="1" applyAlignment="1">
      <alignment horizontal="center"/>
    </xf>
    <xf numFmtId="186" fontId="56" fillId="0" borderId="32" xfId="57" applyNumberFormat="1" applyFont="1" applyBorder="1" applyAlignment="1">
      <alignment horizontal="center"/>
    </xf>
    <xf numFmtId="186" fontId="62" fillId="0" borderId="39" xfId="57" applyNumberFormat="1" applyFont="1" applyBorder="1" applyAlignment="1">
      <alignment horizontal="center"/>
    </xf>
    <xf numFmtId="186" fontId="62" fillId="0" borderId="13" xfId="57" applyNumberFormat="1" applyFont="1" applyBorder="1" applyAlignment="1">
      <alignment horizontal="center"/>
    </xf>
    <xf numFmtId="190" fontId="52" fillId="0" borderId="0" xfId="57" applyNumberFormat="1" applyFont="1"/>
    <xf numFmtId="0" fontId="57" fillId="27" borderId="0" xfId="57" applyFont="1" applyFill="1" applyAlignment="1">
      <alignment horizontal="left" indent="1"/>
    </xf>
    <xf numFmtId="0" fontId="57" fillId="27" borderId="0" xfId="57" applyFont="1" applyFill="1"/>
    <xf numFmtId="0" fontId="57" fillId="27" borderId="40" xfId="57" applyFont="1" applyFill="1" applyBorder="1"/>
    <xf numFmtId="0" fontId="57" fillId="27" borderId="40" xfId="57" applyFont="1" applyFill="1" applyBorder="1" applyAlignment="1">
      <alignment horizontal="center"/>
    </xf>
    <xf numFmtId="186" fontId="57" fillId="27" borderId="40" xfId="57" applyNumberFormat="1" applyFont="1" applyFill="1" applyBorder="1" applyAlignment="1">
      <alignment horizontal="center"/>
    </xf>
    <xf numFmtId="186" fontId="57" fillId="32" borderId="41" xfId="57" applyNumberFormat="1" applyFont="1" applyFill="1" applyBorder="1" applyAlignment="1">
      <alignment horizontal="center"/>
    </xf>
    <xf numFmtId="186" fontId="57" fillId="27" borderId="41" xfId="57" applyNumberFormat="1" applyFont="1" applyFill="1" applyBorder="1" applyAlignment="1">
      <alignment horizontal="center"/>
    </xf>
    <xf numFmtId="175" fontId="80" fillId="0" borderId="0" xfId="57" applyNumberFormat="1" applyFont="1" applyAlignment="1">
      <alignment horizontal="center"/>
    </xf>
    <xf numFmtId="175" fontId="80" fillId="32" borderId="0" xfId="57" applyNumberFormat="1" applyFont="1" applyFill="1" applyAlignment="1">
      <alignment horizontal="center"/>
    </xf>
    <xf numFmtId="0" fontId="62" fillId="27" borderId="0" xfId="57" applyFont="1" applyFill="1"/>
    <xf numFmtId="186" fontId="62" fillId="0" borderId="0" xfId="57" applyNumberFormat="1" applyFont="1" applyAlignment="1">
      <alignment horizontal="center"/>
    </xf>
    <xf numFmtId="186" fontId="62" fillId="0" borderId="19" xfId="57" applyNumberFormat="1" applyFont="1" applyBorder="1" applyAlignment="1">
      <alignment horizontal="center"/>
    </xf>
    <xf numFmtId="0" fontId="52" fillId="27" borderId="0" xfId="57" applyFont="1" applyFill="1" applyAlignment="1">
      <alignment horizontal="left" indent="1"/>
    </xf>
    <xf numFmtId="176" fontId="62" fillId="27" borderId="0" xfId="57" applyNumberFormat="1" applyFont="1" applyFill="1" applyAlignment="1">
      <alignment horizontal="center"/>
    </xf>
    <xf numFmtId="186" fontId="56" fillId="0" borderId="19" xfId="57" applyNumberFormat="1" applyFont="1" applyBorder="1" applyAlignment="1">
      <alignment horizontal="center"/>
    </xf>
    <xf numFmtId="174" fontId="81" fillId="0" borderId="17" xfId="57" applyNumberFormat="1" applyFont="1" applyBorder="1" applyAlignment="1">
      <alignment horizontal="center"/>
    </xf>
    <xf numFmtId="186" fontId="56" fillId="35" borderId="19" xfId="57" applyNumberFormat="1" applyFont="1" applyFill="1" applyBorder="1" applyAlignment="1">
      <alignment horizontal="center"/>
    </xf>
    <xf numFmtId="0" fontId="57" fillId="27" borderId="13" xfId="57" applyFont="1" applyFill="1" applyBorder="1"/>
    <xf numFmtId="10" fontId="57" fillId="27" borderId="13" xfId="57" applyNumberFormat="1" applyFont="1" applyFill="1" applyBorder="1" applyAlignment="1">
      <alignment horizontal="center"/>
    </xf>
    <xf numFmtId="10" fontId="57" fillId="27" borderId="39" xfId="57" applyNumberFormat="1" applyFont="1" applyFill="1" applyBorder="1" applyAlignment="1">
      <alignment horizontal="center"/>
    </xf>
    <xf numFmtId="192" fontId="81" fillId="0" borderId="17" xfId="57" applyNumberFormat="1" applyFont="1" applyBorder="1" applyAlignment="1">
      <alignment horizontal="center"/>
    </xf>
    <xf numFmtId="10" fontId="52" fillId="0" borderId="0" xfId="67" applyNumberFormat="1" applyFont="1" applyBorder="1" applyAlignment="1">
      <alignment horizontal="center"/>
    </xf>
    <xf numFmtId="10" fontId="52" fillId="0" borderId="38" xfId="67" applyNumberFormat="1" applyFont="1" applyBorder="1" applyAlignment="1">
      <alignment horizontal="center"/>
    </xf>
    <xf numFmtId="0" fontId="3" fillId="0" borderId="13" xfId="57" applyFont="1" applyBorder="1" applyAlignment="1">
      <alignment horizontal="left" indent="1"/>
    </xf>
    <xf numFmtId="10" fontId="52" fillId="0" borderId="13" xfId="67" applyNumberFormat="1" applyFont="1" applyFill="1" applyBorder="1" applyAlignment="1">
      <alignment horizontal="center"/>
    </xf>
    <xf numFmtId="10" fontId="52" fillId="0" borderId="39" xfId="67" applyNumberFormat="1" applyFont="1" applyFill="1" applyBorder="1" applyAlignment="1">
      <alignment horizontal="center"/>
    </xf>
    <xf numFmtId="10" fontId="78" fillId="0" borderId="13" xfId="67" applyNumberFormat="1" applyFont="1" applyFill="1" applyBorder="1" applyAlignment="1">
      <alignment horizontal="center"/>
    </xf>
    <xf numFmtId="0" fontId="52" fillId="27" borderId="0" xfId="57" applyFont="1" applyFill="1" applyAlignment="1">
      <alignment horizontal="left"/>
    </xf>
    <xf numFmtId="0" fontId="52" fillId="27" borderId="0" xfId="57" applyFont="1" applyFill="1" applyAlignment="1">
      <alignment horizontal="center"/>
    </xf>
    <xf numFmtId="186" fontId="56" fillId="32" borderId="0" xfId="57" applyNumberFormat="1" applyFont="1" applyFill="1" applyAlignment="1">
      <alignment horizontal="center"/>
    </xf>
    <xf numFmtId="186" fontId="56" fillId="32" borderId="19" xfId="57" applyNumberFormat="1" applyFont="1" applyFill="1" applyBorder="1" applyAlignment="1">
      <alignment horizontal="center"/>
    </xf>
    <xf numFmtId="174" fontId="62" fillId="0" borderId="17" xfId="57" applyNumberFormat="1" applyFont="1" applyBorder="1" applyAlignment="1">
      <alignment horizontal="center"/>
    </xf>
    <xf numFmtId="10" fontId="57" fillId="32" borderId="13" xfId="57" applyNumberFormat="1" applyFont="1" applyFill="1" applyBorder="1" applyAlignment="1">
      <alignment horizontal="center"/>
    </xf>
    <xf numFmtId="186" fontId="56" fillId="0" borderId="39" xfId="57" applyNumberFormat="1" applyFont="1" applyBorder="1" applyAlignment="1">
      <alignment horizontal="center"/>
    </xf>
    <xf numFmtId="10" fontId="52" fillId="0" borderId="19" xfId="67" applyNumberFormat="1" applyFont="1" applyBorder="1" applyAlignment="1">
      <alignment horizontal="center"/>
    </xf>
    <xf numFmtId="179" fontId="56" fillId="28" borderId="42" xfId="58" applyNumberFormat="1" applyFont="1" applyFill="1" applyBorder="1" applyAlignment="1">
      <alignment horizontal="center" vertical="center" wrapText="1"/>
    </xf>
    <xf numFmtId="192" fontId="82" fillId="0" borderId="17" xfId="57" applyNumberFormat="1" applyFont="1" applyBorder="1" applyAlignment="1">
      <alignment horizontal="center"/>
    </xf>
    <xf numFmtId="186" fontId="52" fillId="0" borderId="14" xfId="57" applyNumberFormat="1" applyFont="1" applyBorder="1" applyAlignment="1">
      <alignment horizontal="center"/>
    </xf>
    <xf numFmtId="186" fontId="52" fillId="0" borderId="32" xfId="57" applyNumberFormat="1" applyFont="1" applyBorder="1" applyAlignment="1">
      <alignment horizontal="center"/>
    </xf>
    <xf numFmtId="10" fontId="57" fillId="0" borderId="13" xfId="57" applyNumberFormat="1" applyFont="1" applyBorder="1" applyAlignment="1">
      <alignment horizontal="center"/>
    </xf>
    <xf numFmtId="10" fontId="57" fillId="0" borderId="39" xfId="57" applyNumberFormat="1" applyFont="1" applyBorder="1" applyAlignment="1">
      <alignment horizontal="center"/>
    </xf>
    <xf numFmtId="10" fontId="52" fillId="0" borderId="0" xfId="67" applyNumberFormat="1" applyFont="1" applyFill="1" applyBorder="1" applyAlignment="1">
      <alignment horizontal="center"/>
    </xf>
    <xf numFmtId="10" fontId="52" fillId="0" borderId="38" xfId="67" applyNumberFormat="1" applyFont="1" applyFill="1" applyBorder="1" applyAlignment="1">
      <alignment horizontal="center"/>
    </xf>
    <xf numFmtId="10" fontId="52" fillId="0" borderId="19" xfId="67" applyNumberFormat="1" applyFont="1" applyFill="1" applyBorder="1" applyAlignment="1">
      <alignment horizontal="center"/>
    </xf>
    <xf numFmtId="193" fontId="56" fillId="0" borderId="0" xfId="63" applyNumberFormat="1" applyFont="1"/>
    <xf numFmtId="0" fontId="56" fillId="0" borderId="0" xfId="63" applyFont="1"/>
    <xf numFmtId="0" fontId="56" fillId="0" borderId="0" xfId="63" applyFont="1" applyAlignment="1">
      <alignment horizontal="center"/>
    </xf>
    <xf numFmtId="0" fontId="53" fillId="25" borderId="0" xfId="58" applyFont="1" applyFill="1" applyAlignment="1">
      <alignment vertical="center"/>
    </xf>
    <xf numFmtId="0" fontId="53" fillId="25" borderId="0" xfId="58" applyFont="1" applyFill="1" applyAlignment="1">
      <alignment horizontal="center" vertical="center"/>
    </xf>
    <xf numFmtId="14" fontId="56" fillId="0" borderId="0" xfId="63" applyNumberFormat="1" applyFont="1" applyAlignment="1">
      <alignment horizontal="left"/>
    </xf>
    <xf numFmtId="0" fontId="55" fillId="29" borderId="0" xfId="63" applyFont="1" applyFill="1" applyAlignment="1">
      <alignment horizontal="center"/>
    </xf>
    <xf numFmtId="0" fontId="83" fillId="34" borderId="28" xfId="63" applyFont="1" applyFill="1" applyBorder="1" applyAlignment="1">
      <alignment horizontal="left" vertical="center" readingOrder="1"/>
    </xf>
    <xf numFmtId="0" fontId="83" fillId="34" borderId="29" xfId="63" applyFont="1" applyFill="1" applyBorder="1" applyAlignment="1">
      <alignment horizontal="center" vertical="center" readingOrder="1"/>
    </xf>
    <xf numFmtId="0" fontId="65" fillId="0" borderId="0" xfId="63" applyFont="1" applyAlignment="1">
      <alignment horizontal="left"/>
    </xf>
    <xf numFmtId="0" fontId="56" fillId="0" borderId="0" xfId="63" applyFont="1" applyAlignment="1">
      <alignment horizontal="left"/>
    </xf>
    <xf numFmtId="174" fontId="56" fillId="0" borderId="0" xfId="63" applyNumberFormat="1" applyFont="1" applyAlignment="1">
      <alignment horizontal="center" vertical="center"/>
    </xf>
    <xf numFmtId="0" fontId="57" fillId="0" borderId="33" xfId="63" applyFont="1" applyBorder="1" applyAlignment="1">
      <alignment vertical="center"/>
    </xf>
    <xf numFmtId="174" fontId="57" fillId="0" borderId="33" xfId="64" applyNumberFormat="1" applyFont="1" applyFill="1" applyBorder="1" applyAlignment="1">
      <alignment horizontal="center" vertical="center"/>
    </xf>
    <xf numFmtId="176" fontId="56" fillId="0" borderId="0" xfId="63" applyNumberFormat="1" applyFont="1" applyAlignment="1">
      <alignment horizontal="center" vertical="center"/>
    </xf>
    <xf numFmtId="0" fontId="56" fillId="32" borderId="0" xfId="63" applyFont="1" applyFill="1" applyAlignment="1">
      <alignment vertical="center"/>
    </xf>
    <xf numFmtId="0" fontId="83" fillId="34" borderId="28" xfId="63" applyFont="1" applyFill="1" applyBorder="1" applyAlignment="1">
      <alignment horizontal="center" vertical="center" readingOrder="1"/>
    </xf>
    <xf numFmtId="0" fontId="56" fillId="32" borderId="0" xfId="63" applyFont="1" applyFill="1"/>
    <xf numFmtId="174" fontId="52" fillId="32" borderId="0" xfId="64" applyNumberFormat="1" applyFont="1" applyFill="1" applyBorder="1" applyAlignment="1">
      <alignment horizontal="center"/>
    </xf>
    <xf numFmtId="176" fontId="56" fillId="32" borderId="0" xfId="63" applyNumberFormat="1" applyFont="1" applyFill="1" applyAlignment="1">
      <alignment horizontal="center" vertical="center"/>
    </xf>
    <xf numFmtId="193" fontId="70" fillId="10" borderId="10" xfId="63" applyNumberFormat="1" applyFont="1" applyFill="1" applyBorder="1" applyAlignment="1">
      <alignment horizontal="center" vertical="center"/>
    </xf>
    <xf numFmtId="0" fontId="57" fillId="0" borderId="0" xfId="63" applyFont="1" applyAlignment="1">
      <alignment vertical="center"/>
    </xf>
    <xf numFmtId="176" fontId="57" fillId="0" borderId="0" xfId="64" applyNumberFormat="1" applyFont="1" applyFill="1" applyBorder="1" applyAlignment="1">
      <alignment horizontal="center" vertical="center"/>
    </xf>
    <xf numFmtId="175" fontId="57" fillId="0" borderId="0" xfId="64" applyNumberFormat="1" applyFont="1" applyFill="1" applyBorder="1" applyAlignment="1">
      <alignment horizontal="center" vertical="center"/>
    </xf>
    <xf numFmtId="178" fontId="56" fillId="0" borderId="0" xfId="63" applyNumberFormat="1" applyFont="1" applyAlignment="1">
      <alignment horizontal="center" vertical="center"/>
    </xf>
    <xf numFmtId="14" fontId="56" fillId="0" borderId="0" xfId="63" applyNumberFormat="1" applyFont="1" applyAlignment="1">
      <alignment horizontal="center" vertical="center"/>
    </xf>
    <xf numFmtId="194" fontId="56" fillId="0" borderId="0" xfId="63" applyNumberFormat="1" applyFont="1" applyAlignment="1">
      <alignment horizontal="center"/>
    </xf>
    <xf numFmtId="194" fontId="84" fillId="10" borderId="0" xfId="63" applyNumberFormat="1" applyFont="1" applyFill="1" applyAlignment="1">
      <alignment horizontal="center"/>
    </xf>
    <xf numFmtId="0" fontId="57" fillId="0" borderId="11" xfId="63" applyFont="1" applyBorder="1" applyAlignment="1">
      <alignment vertical="center"/>
    </xf>
    <xf numFmtId="174" fontId="57" fillId="0" borderId="11" xfId="64" applyNumberFormat="1" applyFont="1" applyFill="1" applyBorder="1" applyAlignment="1">
      <alignment horizontal="center" vertical="center"/>
    </xf>
    <xf numFmtId="178" fontId="57" fillId="0" borderId="11" xfId="63" applyNumberFormat="1" applyFont="1" applyBorder="1" applyAlignment="1">
      <alignment horizontal="center" vertical="center"/>
    </xf>
    <xf numFmtId="195" fontId="57" fillId="0" borderId="11" xfId="64" applyNumberFormat="1" applyFont="1" applyFill="1" applyBorder="1" applyAlignment="1">
      <alignment horizontal="center" vertical="center"/>
    </xf>
    <xf numFmtId="175" fontId="57" fillId="0" borderId="11" xfId="64" applyNumberFormat="1" applyFont="1" applyFill="1" applyBorder="1" applyAlignment="1">
      <alignment horizontal="center" vertical="center"/>
    </xf>
    <xf numFmtId="175" fontId="56" fillId="0" borderId="0" xfId="63" applyNumberFormat="1" applyFont="1" applyAlignment="1">
      <alignment horizontal="center" vertical="center"/>
    </xf>
    <xf numFmtId="178" fontId="57" fillId="0" borderId="33" xfId="64" applyNumberFormat="1" applyFont="1" applyFill="1" applyBorder="1" applyAlignment="1">
      <alignment horizontal="center" vertical="center"/>
    </xf>
    <xf numFmtId="175" fontId="57" fillId="0" borderId="33" xfId="64" applyNumberFormat="1" applyFont="1" applyFill="1" applyBorder="1" applyAlignment="1">
      <alignment horizontal="center" vertical="center"/>
    </xf>
    <xf numFmtId="0" fontId="83" fillId="34" borderId="29" xfId="57" applyFont="1" applyFill="1" applyBorder="1" applyAlignment="1">
      <alignment horizontal="center" vertical="center" wrapText="1" readingOrder="1"/>
    </xf>
    <xf numFmtId="0" fontId="52" fillId="0" borderId="0" xfId="57" applyFont="1" applyAlignment="1">
      <alignment horizontal="center" vertical="center"/>
    </xf>
    <xf numFmtId="175" fontId="57" fillId="0" borderId="0" xfId="57" applyNumberFormat="1" applyFont="1" applyAlignment="1">
      <alignment horizontal="center" vertical="center"/>
    </xf>
    <xf numFmtId="0" fontId="85" fillId="0" borderId="0" xfId="63" applyFont="1"/>
    <xf numFmtId="179" fontId="56" fillId="0" borderId="23" xfId="58" applyNumberFormat="1" applyFont="1" applyBorder="1" applyAlignment="1">
      <alignment horizontal="center" vertical="center" wrapText="1"/>
    </xf>
    <xf numFmtId="196" fontId="52" fillId="0" borderId="0" xfId="57" applyNumberFormat="1" applyFont="1" applyAlignment="1">
      <alignment horizontal="center" vertical="center"/>
    </xf>
    <xf numFmtId="197" fontId="70" fillId="10" borderId="10" xfId="63" applyNumberFormat="1" applyFont="1" applyFill="1" applyBorder="1" applyAlignment="1">
      <alignment horizontal="center" vertical="center"/>
    </xf>
    <xf numFmtId="176" fontId="56" fillId="0" borderId="0" xfId="57" applyNumberFormat="1" applyFont="1"/>
    <xf numFmtId="0" fontId="57" fillId="0" borderId="11" xfId="57" applyFont="1" applyBorder="1" applyAlignment="1">
      <alignment horizontal="center" vertical="center"/>
    </xf>
    <xf numFmtId="2" fontId="57" fillId="0" borderId="11" xfId="57" applyNumberFormat="1" applyFont="1" applyBorder="1" applyAlignment="1">
      <alignment horizontal="center" vertical="center"/>
    </xf>
    <xf numFmtId="2" fontId="52" fillId="0" borderId="0" xfId="57" applyNumberFormat="1" applyFont="1" applyAlignment="1">
      <alignment horizontal="center" vertical="center"/>
    </xf>
    <xf numFmtId="174" fontId="57" fillId="0" borderId="0" xfId="57" applyNumberFormat="1" applyFont="1" applyAlignment="1">
      <alignment horizontal="center" vertical="center"/>
    </xf>
    <xf numFmtId="2" fontId="57" fillId="0" borderId="0" xfId="57" applyNumberFormat="1" applyFont="1" applyAlignment="1">
      <alignment horizontal="center" vertical="center"/>
    </xf>
    <xf numFmtId="168" fontId="44" fillId="22" borderId="16" xfId="25" applyNumberFormat="1" applyFont="1" applyFill="1" applyBorder="1" applyAlignment="1">
      <alignment horizontal="center" vertical="center"/>
    </xf>
    <xf numFmtId="170" fontId="43" fillId="36" borderId="15" xfId="0" applyNumberFormat="1" applyFont="1" applyFill="1" applyBorder="1" applyAlignment="1">
      <alignment vertical="center"/>
    </xf>
    <xf numFmtId="0" fontId="91" fillId="0" borderId="0" xfId="72" applyFont="1"/>
    <xf numFmtId="0" fontId="38" fillId="0" borderId="0" xfId="72" applyFont="1" applyAlignment="1">
      <alignment vertical="center"/>
    </xf>
    <xf numFmtId="0" fontId="92" fillId="0" borderId="0" xfId="72" applyFont="1"/>
    <xf numFmtId="173" fontId="94" fillId="0" borderId="0" xfId="72" applyNumberFormat="1" applyFont="1" applyAlignment="1">
      <alignment horizontal="center" vertical="center"/>
    </xf>
    <xf numFmtId="179" fontId="39" fillId="30" borderId="44" xfId="72" applyNumberFormat="1" applyFont="1" applyFill="1" applyBorder="1" applyAlignment="1">
      <alignment horizontal="center" vertical="center" wrapText="1"/>
    </xf>
    <xf numFmtId="179" fontId="39" fillId="30" borderId="44" xfId="72" applyNumberFormat="1" applyFont="1" applyFill="1" applyBorder="1" applyAlignment="1">
      <alignment horizontal="center" vertical="center"/>
    </xf>
    <xf numFmtId="179" fontId="39" fillId="0" borderId="0" xfId="72" applyNumberFormat="1" applyFont="1" applyAlignment="1">
      <alignment horizontal="center" vertical="center"/>
    </xf>
    <xf numFmtId="0" fontId="41" fillId="11" borderId="0" xfId="72" applyFont="1" applyFill="1" applyAlignment="1">
      <alignment horizontal="left" vertical="center"/>
    </xf>
    <xf numFmtId="0" fontId="41" fillId="0" borderId="0" xfId="72" applyFont="1" applyAlignment="1">
      <alignment horizontal="left" vertical="center"/>
    </xf>
    <xf numFmtId="0" fontId="92" fillId="0" borderId="0" xfId="72" applyFont="1" applyAlignment="1">
      <alignment horizontal="center"/>
    </xf>
    <xf numFmtId="0" fontId="37" fillId="0" borderId="0" xfId="72" applyFont="1"/>
    <xf numFmtId="186" fontId="39" fillId="11" borderId="0" xfId="72" applyNumberFormat="1" applyFont="1" applyFill="1" applyAlignment="1">
      <alignment horizontal="center" vertical="center"/>
    </xf>
    <xf numFmtId="9" fontId="39" fillId="11" borderId="0" xfId="73" applyFont="1" applyFill="1" applyAlignment="1">
      <alignment horizontal="center" vertical="center"/>
    </xf>
    <xf numFmtId="9" fontId="39" fillId="11" borderId="0" xfId="73" applyFont="1" applyFill="1" applyBorder="1" applyAlignment="1">
      <alignment horizontal="center" vertical="center"/>
    </xf>
    <xf numFmtId="9" fontId="39" fillId="0" borderId="0" xfId="73" applyFont="1" applyFill="1" applyAlignment="1">
      <alignment horizontal="center" vertical="center"/>
    </xf>
    <xf numFmtId="0" fontId="41" fillId="11" borderId="25" xfId="72" applyFont="1" applyFill="1" applyBorder="1" applyAlignment="1">
      <alignment horizontal="left" vertical="center"/>
    </xf>
    <xf numFmtId="186" fontId="36" fillId="32" borderId="25" xfId="72" applyNumberFormat="1" applyFont="1" applyFill="1" applyBorder="1" applyAlignment="1">
      <alignment horizontal="center" vertical="center"/>
    </xf>
    <xf numFmtId="175" fontId="36" fillId="32" borderId="25" xfId="72" applyNumberFormat="1" applyFont="1" applyFill="1" applyBorder="1" applyAlignment="1">
      <alignment horizontal="center" vertical="center"/>
    </xf>
    <xf numFmtId="175" fontId="88" fillId="0" borderId="0" xfId="72" applyNumberFormat="1" applyFont="1" applyAlignment="1">
      <alignment horizontal="center" vertical="center"/>
    </xf>
    <xf numFmtId="0" fontId="49" fillId="11" borderId="0" xfId="72" applyFont="1" applyFill="1" applyAlignment="1">
      <alignment horizontal="left" vertical="center" indent="1"/>
    </xf>
    <xf numFmtId="196" fontId="95" fillId="32" borderId="0" xfId="72" applyNumberFormat="1" applyFont="1" applyFill="1" applyAlignment="1">
      <alignment horizontal="center" vertical="center"/>
    </xf>
    <xf numFmtId="196" fontId="42" fillId="32" borderId="0" xfId="72" applyNumberFormat="1" applyFont="1" applyFill="1" applyAlignment="1">
      <alignment horizontal="center" vertical="center"/>
    </xf>
    <xf numFmtId="175" fontId="42" fillId="32" borderId="0" xfId="72" applyNumberFormat="1" applyFont="1" applyFill="1" applyAlignment="1">
      <alignment horizontal="center" vertical="center"/>
    </xf>
    <xf numFmtId="196" fontId="96" fillId="0" borderId="0" xfId="72" applyNumberFormat="1" applyFont="1" applyAlignment="1">
      <alignment horizontal="center" vertical="center"/>
    </xf>
    <xf numFmtId="0" fontId="37" fillId="11" borderId="0" xfId="72" applyFont="1" applyFill="1"/>
    <xf numFmtId="0" fontId="39" fillId="11" borderId="0" xfId="72" applyFont="1" applyFill="1" applyAlignment="1">
      <alignment horizontal="left" vertical="center"/>
    </xf>
    <xf numFmtId="9" fontId="37" fillId="11" borderId="0" xfId="73" applyFont="1" applyFill="1" applyAlignment="1">
      <alignment horizontal="center" vertical="center"/>
    </xf>
    <xf numFmtId="175" fontId="37" fillId="11" borderId="0" xfId="73" applyNumberFormat="1" applyFont="1" applyFill="1" applyAlignment="1">
      <alignment horizontal="center" vertical="center"/>
    </xf>
    <xf numFmtId="197" fontId="49" fillId="11" borderId="0" xfId="72" applyNumberFormat="1" applyFont="1" applyFill="1" applyAlignment="1">
      <alignment horizontal="center" vertical="center"/>
    </xf>
    <xf numFmtId="197" fontId="40" fillId="11" borderId="0" xfId="72" applyNumberFormat="1" applyFont="1" applyFill="1" applyAlignment="1">
      <alignment horizontal="center" vertical="center"/>
    </xf>
    <xf numFmtId="197" fontId="49" fillId="0" borderId="0" xfId="72" applyNumberFormat="1" applyFont="1" applyAlignment="1">
      <alignment horizontal="center" vertical="center"/>
    </xf>
    <xf numFmtId="186" fontId="88" fillId="0" borderId="0" xfId="72" applyNumberFormat="1" applyFont="1" applyAlignment="1">
      <alignment horizontal="center" vertical="center"/>
    </xf>
    <xf numFmtId="197" fontId="49" fillId="32" borderId="0" xfId="72" applyNumberFormat="1" applyFont="1" applyFill="1" applyAlignment="1">
      <alignment horizontal="center" vertical="center"/>
    </xf>
    <xf numFmtId="197" fontId="40" fillId="32" borderId="0" xfId="72" applyNumberFormat="1" applyFont="1" applyFill="1" applyAlignment="1">
      <alignment horizontal="center" vertical="center"/>
    </xf>
    <xf numFmtId="175" fontId="40" fillId="32" borderId="0" xfId="72" applyNumberFormat="1" applyFont="1" applyFill="1" applyAlignment="1">
      <alignment horizontal="center" vertical="center"/>
    </xf>
    <xf numFmtId="197" fontId="97" fillId="0" borderId="0" xfId="72" applyNumberFormat="1" applyFont="1" applyAlignment="1">
      <alignment horizontal="center" vertical="center"/>
    </xf>
    <xf numFmtId="196" fontId="49" fillId="32" borderId="0" xfId="72" applyNumberFormat="1" applyFont="1" applyFill="1" applyAlignment="1">
      <alignment horizontal="center" vertical="center"/>
    </xf>
    <xf numFmtId="196" fontId="40" fillId="32" borderId="0" xfId="72" applyNumberFormat="1" applyFont="1" applyFill="1" applyAlignment="1">
      <alignment horizontal="center" vertical="center"/>
    </xf>
    <xf numFmtId="175" fontId="40" fillId="0" borderId="0" xfId="72" applyNumberFormat="1" applyFont="1" applyAlignment="1">
      <alignment horizontal="center" vertical="center"/>
    </xf>
    <xf numFmtId="196" fontId="97" fillId="0" borderId="0" xfId="72" applyNumberFormat="1" applyFont="1" applyAlignment="1">
      <alignment horizontal="center" vertical="center"/>
    </xf>
    <xf numFmtId="186" fontId="37" fillId="11" borderId="0" xfId="72" applyNumberFormat="1" applyFont="1" applyFill="1" applyAlignment="1">
      <alignment horizontal="center" vertical="center"/>
    </xf>
    <xf numFmtId="175" fontId="37" fillId="0" borderId="0" xfId="72" applyNumberFormat="1" applyFont="1" applyAlignment="1">
      <alignment horizontal="center" vertical="center"/>
    </xf>
    <xf numFmtId="186" fontId="39" fillId="0" borderId="0" xfId="72" applyNumberFormat="1" applyFont="1" applyAlignment="1">
      <alignment horizontal="center" vertical="center"/>
    </xf>
    <xf numFmtId="186" fontId="37" fillId="32" borderId="0" xfId="72" applyNumberFormat="1" applyFont="1" applyFill="1" applyAlignment="1">
      <alignment horizontal="center" vertical="center"/>
    </xf>
    <xf numFmtId="175" fontId="37" fillId="32" borderId="0" xfId="72" applyNumberFormat="1" applyFont="1" applyFill="1" applyAlignment="1">
      <alignment horizontal="center" vertical="center"/>
    </xf>
    <xf numFmtId="0" fontId="49" fillId="11" borderId="0" xfId="72" applyFont="1" applyFill="1" applyAlignment="1">
      <alignment horizontal="left" vertical="center"/>
    </xf>
    <xf numFmtId="189" fontId="98" fillId="0" borderId="0" xfId="72" applyNumberFormat="1" applyFont="1" applyAlignment="1">
      <alignment horizontal="center" vertical="center"/>
    </xf>
    <xf numFmtId="186" fontId="39" fillId="11" borderId="13" xfId="72" applyNumberFormat="1" applyFont="1" applyFill="1" applyBorder="1" applyAlignment="1">
      <alignment horizontal="center" vertical="center"/>
    </xf>
    <xf numFmtId="186" fontId="41" fillId="32" borderId="25" xfId="72" applyNumberFormat="1" applyFont="1" applyFill="1" applyBorder="1" applyAlignment="1">
      <alignment horizontal="center" vertical="center"/>
    </xf>
    <xf numFmtId="0" fontId="37" fillId="11" borderId="0" xfId="66" applyFont="1" applyFill="1"/>
    <xf numFmtId="0" fontId="37" fillId="11" borderId="0" xfId="61" applyFont="1" applyFill="1"/>
    <xf numFmtId="186" fontId="37" fillId="11" borderId="0" xfId="61" applyNumberFormat="1" applyFont="1" applyFill="1" applyAlignment="1">
      <alignment horizontal="center"/>
    </xf>
    <xf numFmtId="186" fontId="37" fillId="11" borderId="47" xfId="61" applyNumberFormat="1" applyFont="1" applyFill="1" applyBorder="1" applyAlignment="1">
      <alignment horizontal="center"/>
    </xf>
    <xf numFmtId="175" fontId="37" fillId="0" borderId="0" xfId="72" applyNumberFormat="1" applyFont="1"/>
    <xf numFmtId="186" fontId="90" fillId="0" borderId="0" xfId="72" applyNumberFormat="1" applyFont="1" applyAlignment="1">
      <alignment horizontal="center" vertical="center"/>
    </xf>
    <xf numFmtId="175" fontId="37" fillId="11" borderId="0" xfId="72" applyNumberFormat="1" applyFont="1" applyFill="1" applyAlignment="1">
      <alignment horizontal="center" vertical="center"/>
    </xf>
    <xf numFmtId="197" fontId="96" fillId="0" borderId="0" xfId="72" applyNumberFormat="1" applyFont="1" applyAlignment="1">
      <alignment horizontal="center" vertical="center"/>
    </xf>
    <xf numFmtId="186" fontId="36" fillId="11" borderId="25" xfId="72" applyNumberFormat="1" applyFont="1" applyFill="1" applyBorder="1" applyAlignment="1">
      <alignment horizontal="center" vertical="center"/>
    </xf>
    <xf numFmtId="197" fontId="97" fillId="32" borderId="0" xfId="72" applyNumberFormat="1" applyFont="1" applyFill="1" applyAlignment="1">
      <alignment horizontal="center" vertical="center"/>
    </xf>
    <xf numFmtId="0" fontId="91" fillId="0" borderId="0" xfId="72" applyFont="1" applyAlignment="1">
      <alignment wrapText="1"/>
    </xf>
    <xf numFmtId="0" fontId="37" fillId="0" borderId="0" xfId="60" applyFont="1"/>
    <xf numFmtId="170" fontId="36" fillId="32" borderId="25" xfId="72" applyNumberFormat="1" applyFont="1" applyFill="1" applyBorder="1" applyAlignment="1">
      <alignment horizontal="center" vertical="center"/>
    </xf>
    <xf numFmtId="0" fontId="38" fillId="25" borderId="0" xfId="72" applyFont="1" applyFill="1" applyAlignment="1">
      <alignment vertical="center"/>
    </xf>
    <xf numFmtId="0" fontId="26" fillId="25" borderId="0" xfId="59" applyFont="1" applyFill="1" applyAlignment="1">
      <alignment horizontal="left" vertical="center"/>
    </xf>
    <xf numFmtId="0" fontId="28" fillId="25" borderId="0" xfId="59" applyFont="1" applyFill="1"/>
    <xf numFmtId="0" fontId="93" fillId="25" borderId="0" xfId="72" applyFont="1" applyFill="1" applyAlignment="1">
      <alignment vertical="center"/>
    </xf>
    <xf numFmtId="173" fontId="94" fillId="25" borderId="44" xfId="72" applyNumberFormat="1" applyFont="1" applyFill="1" applyBorder="1" applyAlignment="1">
      <alignment horizontal="center" vertical="center"/>
    </xf>
    <xf numFmtId="0" fontId="38" fillId="25" borderId="25" xfId="72" applyFont="1" applyFill="1" applyBorder="1" applyAlignment="1">
      <alignment horizontal="left" vertical="center"/>
    </xf>
    <xf numFmtId="0" fontId="92" fillId="25" borderId="25" xfId="72" applyFont="1" applyFill="1" applyBorder="1" applyAlignment="1">
      <alignment horizontal="center"/>
    </xf>
    <xf numFmtId="0" fontId="36" fillId="25" borderId="25" xfId="72" applyFont="1" applyFill="1" applyBorder="1" applyAlignment="1">
      <alignment horizontal="center"/>
    </xf>
    <xf numFmtId="0" fontId="91" fillId="25" borderId="0" xfId="72" applyFont="1" applyFill="1"/>
    <xf numFmtId="0" fontId="37" fillId="25" borderId="0" xfId="72" applyFont="1" applyFill="1"/>
    <xf numFmtId="0" fontId="41" fillId="11" borderId="48" xfId="72" quotePrefix="1" applyFont="1" applyFill="1" applyBorder="1" applyAlignment="1">
      <alignment horizontal="center" vertical="center"/>
    </xf>
    <xf numFmtId="0" fontId="38" fillId="25" borderId="0" xfId="72" applyFont="1" applyFill="1" applyAlignment="1">
      <alignment horizontal="center" vertical="center"/>
    </xf>
    <xf numFmtId="9" fontId="39" fillId="32" borderId="0" xfId="73" applyFont="1" applyFill="1" applyAlignment="1">
      <alignment horizontal="center" vertical="center"/>
    </xf>
    <xf numFmtId="0" fontId="29" fillId="0" borderId="0" xfId="68" applyFont="1"/>
    <xf numFmtId="0" fontId="29" fillId="0" borderId="0" xfId="68" applyFont="1" applyAlignment="1">
      <alignment horizontal="center"/>
    </xf>
    <xf numFmtId="0" fontId="38" fillId="37" borderId="0" xfId="72" applyFont="1" applyFill="1" applyAlignment="1">
      <alignment vertical="center"/>
    </xf>
    <xf numFmtId="0" fontId="37" fillId="0" borderId="0" xfId="60" applyFont="1" applyAlignment="1">
      <alignment horizontal="center"/>
    </xf>
    <xf numFmtId="209" fontId="30" fillId="30" borderId="13" xfId="68" applyNumberFormat="1" applyFont="1" applyFill="1" applyBorder="1" applyAlignment="1">
      <alignment horizontal="center" vertical="center"/>
    </xf>
    <xf numFmtId="199" fontId="27" fillId="0" borderId="0" xfId="69" applyNumberFormat="1" applyFont="1"/>
    <xf numFmtId="0" fontId="26" fillId="38" borderId="0" xfId="68" applyFont="1" applyFill="1" applyAlignment="1">
      <alignment horizontal="center"/>
    </xf>
    <xf numFmtId="0" fontId="26" fillId="38" borderId="0" xfId="68" applyFont="1" applyFill="1"/>
    <xf numFmtId="0" fontId="28" fillId="38" borderId="0" xfId="68" applyFont="1" applyFill="1" applyAlignment="1">
      <alignment horizontal="center"/>
    </xf>
    <xf numFmtId="0" fontId="28" fillId="38" borderId="0" xfId="68" applyFont="1" applyFill="1"/>
    <xf numFmtId="0" fontId="30" fillId="0" borderId="0" xfId="68" applyFont="1"/>
    <xf numFmtId="0" fontId="29" fillId="0" borderId="0" xfId="68" applyFont="1" applyAlignment="1">
      <alignment horizontal="left" indent="1"/>
    </xf>
    <xf numFmtId="203" fontId="89" fillId="32" borderId="0" xfId="69" applyNumberFormat="1" applyFont="1" applyFill="1" applyAlignment="1">
      <alignment horizontal="right"/>
    </xf>
    <xf numFmtId="169" fontId="89" fillId="32" borderId="0" xfId="69" applyNumberFormat="1" applyFont="1" applyFill="1" applyAlignment="1">
      <alignment horizontal="right"/>
    </xf>
    <xf numFmtId="203" fontId="29" fillId="32" borderId="0" xfId="69" applyNumberFormat="1" applyFont="1" applyFill="1" applyAlignment="1">
      <alignment horizontal="right"/>
    </xf>
    <xf numFmtId="203" fontId="89" fillId="0" borderId="0" xfId="69" applyNumberFormat="1" applyFont="1" applyAlignment="1">
      <alignment horizontal="right"/>
    </xf>
    <xf numFmtId="203" fontId="32" fillId="0" borderId="0" xfId="69" applyNumberFormat="1" applyFont="1" applyAlignment="1">
      <alignment horizontal="right"/>
    </xf>
    <xf numFmtId="169" fontId="25" fillId="0" borderId="0" xfId="69" applyNumberFormat="1" applyFont="1" applyAlignment="1">
      <alignment horizontal="right"/>
    </xf>
    <xf numFmtId="0" fontId="29" fillId="0" borderId="12" xfId="68" applyFont="1" applyBorder="1"/>
    <xf numFmtId="0" fontId="29" fillId="0" borderId="12" xfId="68" applyFont="1" applyBorder="1" applyAlignment="1">
      <alignment horizontal="center"/>
    </xf>
    <xf numFmtId="203" fontId="29" fillId="32" borderId="12" xfId="69" applyNumberFormat="1" applyFont="1" applyFill="1" applyBorder="1" applyAlignment="1">
      <alignment horizontal="right"/>
    </xf>
    <xf numFmtId="169" fontId="29" fillId="32" borderId="12" xfId="69" applyNumberFormat="1" applyFont="1" applyFill="1" applyBorder="1" applyAlignment="1">
      <alignment horizontal="right"/>
    </xf>
    <xf numFmtId="0" fontId="29" fillId="0" borderId="0" xfId="71" applyFont="1"/>
    <xf numFmtId="0" fontId="29" fillId="0" borderId="0" xfId="71" applyFont="1" applyAlignment="1">
      <alignment horizontal="center"/>
    </xf>
    <xf numFmtId="169" fontId="29" fillId="0" borderId="0" xfId="68" applyNumberFormat="1" applyFont="1"/>
    <xf numFmtId="169" fontId="29" fillId="15" borderId="0" xfId="68" applyNumberFormat="1" applyFont="1" applyFill="1"/>
    <xf numFmtId="0" fontId="30" fillId="0" borderId="47" xfId="71" applyFont="1" applyBorder="1"/>
    <xf numFmtId="0" fontId="30" fillId="0" borderId="47" xfId="71" applyFont="1" applyBorder="1" applyAlignment="1">
      <alignment horizontal="center"/>
    </xf>
    <xf numFmtId="0" fontId="29" fillId="0" borderId="47" xfId="68" applyFont="1" applyBorder="1"/>
    <xf numFmtId="169" fontId="30" fillId="0" borderId="47" xfId="68" applyNumberFormat="1" applyFont="1" applyBorder="1"/>
    <xf numFmtId="0" fontId="30" fillId="0" borderId="0" xfId="71" applyFont="1"/>
    <xf numFmtId="0" fontId="30" fillId="0" borderId="0" xfId="71" applyFont="1" applyAlignment="1">
      <alignment horizontal="center"/>
    </xf>
    <xf numFmtId="168" fontId="29" fillId="0" borderId="0" xfId="68" applyNumberFormat="1" applyFont="1"/>
    <xf numFmtId="0" fontId="29" fillId="0" borderId="0" xfId="60" applyFont="1"/>
    <xf numFmtId="0" fontId="29" fillId="0" borderId="0" xfId="60" applyFont="1" applyAlignment="1">
      <alignment horizontal="center"/>
    </xf>
    <xf numFmtId="212" fontId="101" fillId="0" borderId="0" xfId="60" applyNumberFormat="1" applyFont="1"/>
    <xf numFmtId="211" fontId="100" fillId="0" borderId="0" xfId="60" applyNumberFormat="1" applyFont="1" applyAlignment="1">
      <alignment horizontal="center"/>
    </xf>
    <xf numFmtId="0" fontId="101" fillId="0" borderId="0" xfId="60" applyFont="1"/>
    <xf numFmtId="212" fontId="37" fillId="0" borderId="0" xfId="60" applyNumberFormat="1" applyFont="1"/>
    <xf numFmtId="0" fontId="29" fillId="0" borderId="47" xfId="60" applyFont="1" applyBorder="1"/>
    <xf numFmtId="0" fontId="29" fillId="0" borderId="47" xfId="60" applyFont="1" applyBorder="1" applyAlignment="1">
      <alignment horizontal="center"/>
    </xf>
    <xf numFmtId="212" fontId="101" fillId="0" borderId="47" xfId="60" applyNumberFormat="1" applyFont="1" applyBorder="1"/>
    <xf numFmtId="9" fontId="32" fillId="0" borderId="0" xfId="75" applyFont="1" applyBorder="1" applyAlignment="1">
      <alignment horizontal="center"/>
    </xf>
    <xf numFmtId="203" fontId="44" fillId="0" borderId="47" xfId="69" applyNumberFormat="1" applyFont="1" applyBorder="1" applyAlignment="1">
      <alignment horizontal="right"/>
    </xf>
    <xf numFmtId="211" fontId="102" fillId="0" borderId="0" xfId="71" applyNumberFormat="1" applyFont="1"/>
    <xf numFmtId="198" fontId="105" fillId="0" borderId="0" xfId="69" applyFont="1"/>
    <xf numFmtId="198" fontId="105" fillId="0" borderId="0" xfId="69" applyFont="1" applyAlignment="1">
      <alignment horizontal="center"/>
    </xf>
    <xf numFmtId="202" fontId="27" fillId="0" borderId="0" xfId="69" applyNumberFormat="1" applyFont="1"/>
    <xf numFmtId="203" fontId="25" fillId="32" borderId="0" xfId="69" applyNumberFormat="1" applyFont="1" applyFill="1" applyAlignment="1">
      <alignment horizontal="right"/>
    </xf>
    <xf numFmtId="0" fontId="25" fillId="0" borderId="0" xfId="68" applyFont="1"/>
    <xf numFmtId="203" fontId="25" fillId="0" borderId="0" xfId="69" applyNumberFormat="1" applyFont="1" applyAlignment="1">
      <alignment horizontal="right"/>
    </xf>
    <xf numFmtId="200" fontId="32" fillId="10" borderId="49" xfId="69" applyNumberFormat="1" applyFont="1" applyFill="1" applyBorder="1" applyAlignment="1">
      <alignment horizontal="right"/>
    </xf>
    <xf numFmtId="200" fontId="25" fillId="0" borderId="0" xfId="69" applyNumberFormat="1" applyFont="1" applyAlignment="1">
      <alignment horizontal="right"/>
    </xf>
    <xf numFmtId="203" fontId="33" fillId="0" borderId="0" xfId="69" applyNumberFormat="1" applyFont="1" applyAlignment="1">
      <alignment horizontal="right"/>
    </xf>
    <xf numFmtId="206" fontId="25" fillId="0" borderId="0" xfId="68" applyNumberFormat="1" applyFont="1"/>
    <xf numFmtId="0" fontId="26" fillId="0" borderId="0" xfId="68" applyFont="1" applyAlignment="1">
      <alignment horizontal="center"/>
    </xf>
    <xf numFmtId="203" fontId="33" fillId="0" borderId="0" xfId="68" applyNumberFormat="1" applyFont="1"/>
    <xf numFmtId="0" fontId="30" fillId="0" borderId="43" xfId="68" applyFont="1" applyBorder="1"/>
    <xf numFmtId="0" fontId="30" fillId="0" borderId="43" xfId="68" applyFont="1" applyBorder="1" applyAlignment="1">
      <alignment horizontal="center"/>
    </xf>
    <xf numFmtId="203" fontId="44" fillId="0" borderId="43" xfId="69" applyNumberFormat="1" applyFont="1" applyBorder="1" applyAlignment="1">
      <alignment horizontal="right"/>
    </xf>
    <xf numFmtId="0" fontId="30" fillId="0" borderId="50" xfId="68" applyFont="1" applyBorder="1"/>
    <xf numFmtId="0" fontId="30" fillId="0" borderId="50" xfId="68" applyFont="1" applyBorder="1" applyAlignment="1">
      <alignment horizontal="center"/>
    </xf>
    <xf numFmtId="203" fontId="44" fillId="0" borderId="50" xfId="69" applyNumberFormat="1" applyFont="1" applyBorder="1" applyAlignment="1">
      <alignment horizontal="right"/>
    </xf>
    <xf numFmtId="203" fontId="25" fillId="0" borderId="0" xfId="68" applyNumberFormat="1" applyFont="1"/>
    <xf numFmtId="204" fontId="29" fillId="0" borderId="0" xfId="68" applyNumberFormat="1" applyFont="1" applyAlignment="1">
      <alignment horizontal="center"/>
    </xf>
    <xf numFmtId="204" fontId="29" fillId="0" borderId="0" xfId="68" applyNumberFormat="1" applyFont="1" applyAlignment="1">
      <alignment horizontal="left"/>
    </xf>
    <xf numFmtId="203" fontId="31" fillId="0" borderId="0" xfId="69" applyNumberFormat="1" applyFont="1" applyAlignment="1">
      <alignment horizontal="right"/>
    </xf>
    <xf numFmtId="201" fontId="25" fillId="0" borderId="0" xfId="69" applyNumberFormat="1" applyFont="1" applyAlignment="1">
      <alignment horizontal="right"/>
    </xf>
    <xf numFmtId="198" fontId="105" fillId="30" borderId="0" xfId="69" applyFont="1" applyFill="1"/>
    <xf numFmtId="198" fontId="105" fillId="30" borderId="0" xfId="69" applyFont="1" applyFill="1" applyAlignment="1">
      <alignment horizontal="center"/>
    </xf>
    <xf numFmtId="198" fontId="27" fillId="30" borderId="0" xfId="69" applyFont="1" applyFill="1" applyAlignment="1">
      <alignment horizontal="center"/>
    </xf>
    <xf numFmtId="173" fontId="30" fillId="30" borderId="0" xfId="68" applyNumberFormat="1" applyFont="1" applyFill="1" applyAlignment="1">
      <alignment horizontal="center" vertical="center"/>
    </xf>
    <xf numFmtId="198" fontId="105" fillId="32" borderId="0" xfId="69" applyFont="1" applyFill="1"/>
    <xf numFmtId="198" fontId="105" fillId="32" borderId="0" xfId="69" applyFont="1" applyFill="1" applyAlignment="1">
      <alignment horizontal="center"/>
    </xf>
    <xf numFmtId="198" fontId="27" fillId="32" borderId="0" xfId="69" applyFont="1" applyFill="1" applyAlignment="1">
      <alignment horizontal="center"/>
    </xf>
    <xf numFmtId="199" fontId="27" fillId="32" borderId="0" xfId="69" applyNumberFormat="1" applyFont="1" applyFill="1"/>
    <xf numFmtId="0" fontId="29" fillId="32" borderId="0" xfId="68" applyFont="1" applyFill="1"/>
    <xf numFmtId="173" fontId="30" fillId="0" borderId="0" xfId="68" applyNumberFormat="1" applyFont="1" applyAlignment="1">
      <alignment horizontal="left"/>
    </xf>
    <xf numFmtId="0" fontId="30" fillId="0" borderId="0" xfId="68" applyFont="1" applyAlignment="1">
      <alignment horizontal="center"/>
    </xf>
    <xf numFmtId="207" fontId="27" fillId="0" borderId="0" xfId="69" applyNumberFormat="1" applyFont="1" applyAlignment="1">
      <alignment horizontal="right"/>
    </xf>
    <xf numFmtId="207" fontId="27" fillId="30" borderId="0" xfId="69" applyNumberFormat="1" applyFont="1" applyFill="1" applyAlignment="1">
      <alignment horizontal="right"/>
    </xf>
    <xf numFmtId="207" fontId="45" fillId="0" borderId="0" xfId="69" applyNumberFormat="1" applyFont="1" applyAlignment="1">
      <alignment horizontal="right"/>
    </xf>
    <xf numFmtId="0" fontId="29" fillId="0" borderId="13" xfId="68" applyFont="1" applyBorder="1" applyAlignment="1">
      <alignment horizontal="left" indent="1"/>
    </xf>
    <xf numFmtId="0" fontId="30" fillId="0" borderId="13" xfId="68" applyFont="1" applyBorder="1" applyAlignment="1">
      <alignment horizontal="center"/>
    </xf>
    <xf numFmtId="0" fontId="30" fillId="0" borderId="13" xfId="68" applyFont="1" applyBorder="1"/>
    <xf numFmtId="207" fontId="27" fillId="0" borderId="13" xfId="69" applyNumberFormat="1" applyFont="1" applyBorder="1" applyAlignment="1">
      <alignment horizontal="right"/>
    </xf>
    <xf numFmtId="0" fontId="30" fillId="31" borderId="0" xfId="68" applyFont="1" applyFill="1"/>
    <xf numFmtId="0" fontId="30" fillId="31" borderId="0" xfId="68" applyFont="1" applyFill="1" applyAlignment="1">
      <alignment horizontal="center"/>
    </xf>
    <xf numFmtId="207" fontId="27" fillId="31" borderId="0" xfId="69" applyNumberFormat="1" applyFont="1" applyFill="1" applyAlignment="1">
      <alignment horizontal="right"/>
    </xf>
    <xf numFmtId="0" fontId="30" fillId="0" borderId="0" xfId="68" applyFont="1" applyAlignment="1">
      <alignment horizontal="left" indent="1"/>
    </xf>
    <xf numFmtId="0" fontId="29" fillId="30" borderId="0" xfId="68" applyFont="1" applyFill="1"/>
    <xf numFmtId="0" fontId="29" fillId="30" borderId="13" xfId="68" applyFont="1" applyFill="1" applyBorder="1"/>
    <xf numFmtId="0" fontId="30" fillId="31" borderId="0" xfId="68" applyFont="1" applyFill="1" applyAlignment="1">
      <alignment horizontal="left" indent="1"/>
    </xf>
    <xf numFmtId="201" fontId="29" fillId="0" borderId="0" xfId="68" applyNumberFormat="1" applyFont="1"/>
    <xf numFmtId="176" fontId="31" fillId="0" borderId="0" xfId="68" applyNumberFormat="1" applyFont="1"/>
    <xf numFmtId="176" fontId="33" fillId="0" borderId="0" xfId="68" applyNumberFormat="1" applyFont="1"/>
    <xf numFmtId="0" fontId="30" fillId="31" borderId="43" xfId="68" applyFont="1" applyFill="1" applyBorder="1"/>
    <xf numFmtId="0" fontId="30" fillId="31" borderId="43" xfId="68" applyFont="1" applyFill="1" applyBorder="1" applyAlignment="1">
      <alignment horizontal="center"/>
    </xf>
    <xf numFmtId="203" fontId="48" fillId="0" borderId="49" xfId="69" applyNumberFormat="1" applyFont="1" applyBorder="1" applyAlignment="1">
      <alignment horizontal="right"/>
    </xf>
    <xf numFmtId="176" fontId="44" fillId="31" borderId="43" xfId="69" applyNumberFormat="1" applyFont="1" applyFill="1" applyBorder="1" applyAlignment="1">
      <alignment horizontal="right"/>
    </xf>
    <xf numFmtId="0" fontId="32" fillId="10" borderId="49" xfId="68" applyFont="1" applyFill="1" applyBorder="1" applyAlignment="1">
      <alignment horizontal="center"/>
    </xf>
    <xf numFmtId="200" fontId="31" fillId="0" borderId="0" xfId="69" applyNumberFormat="1" applyFont="1" applyAlignment="1">
      <alignment horizontal="right"/>
    </xf>
    <xf numFmtId="200" fontId="32" fillId="10" borderId="51" xfId="69" applyNumberFormat="1" applyFont="1" applyFill="1" applyBorder="1" applyAlignment="1">
      <alignment horizontal="right"/>
    </xf>
    <xf numFmtId="200" fontId="31" fillId="0" borderId="13" xfId="69" applyNumberFormat="1" applyFont="1" applyBorder="1" applyAlignment="1">
      <alignment horizontal="right"/>
    </xf>
    <xf numFmtId="200" fontId="30" fillId="31" borderId="0" xfId="69" applyNumberFormat="1" applyFont="1" applyFill="1" applyAlignment="1">
      <alignment horizontal="right"/>
    </xf>
    <xf numFmtId="207" fontId="27" fillId="32" borderId="0" xfId="69" applyNumberFormat="1" applyFont="1" applyFill="1" applyAlignment="1">
      <alignment horizontal="right"/>
    </xf>
    <xf numFmtId="203" fontId="33" fillId="32" borderId="0" xfId="69" applyNumberFormat="1" applyFont="1" applyFill="1" applyAlignment="1">
      <alignment horizontal="right"/>
    </xf>
    <xf numFmtId="203" fontId="32" fillId="10" borderId="49" xfId="68" applyNumberFormat="1" applyFont="1" applyFill="1" applyBorder="1"/>
    <xf numFmtId="203" fontId="31" fillId="0" borderId="0" xfId="68" applyNumberFormat="1" applyFont="1"/>
    <xf numFmtId="198" fontId="27" fillId="0" borderId="0" xfId="69" applyFont="1"/>
    <xf numFmtId="198" fontId="27" fillId="0" borderId="0" xfId="69" applyFont="1" applyAlignment="1">
      <alignment horizontal="center"/>
    </xf>
    <xf numFmtId="215" fontId="32" fillId="10" borderId="49" xfId="68" applyNumberFormat="1" applyFont="1" applyFill="1" applyBorder="1" applyAlignment="1">
      <alignment horizontal="center"/>
    </xf>
    <xf numFmtId="171" fontId="31" fillId="0" borderId="49" xfId="68" applyNumberFormat="1" applyFont="1" applyBorder="1" applyAlignment="1">
      <alignment horizontal="center"/>
    </xf>
    <xf numFmtId="0" fontId="100" fillId="0" borderId="0" xfId="68" applyFont="1" applyAlignment="1">
      <alignment horizontal="center"/>
    </xf>
    <xf numFmtId="14" fontId="27" fillId="0" borderId="0" xfId="69" applyNumberFormat="1" applyFont="1" applyAlignment="1">
      <alignment horizontal="center"/>
    </xf>
    <xf numFmtId="176" fontId="27" fillId="0" borderId="0" xfId="69" applyNumberFormat="1" applyFont="1"/>
    <xf numFmtId="176" fontId="32" fillId="10" borderId="49" xfId="68" applyNumberFormat="1" applyFont="1" applyFill="1" applyBorder="1" applyAlignment="1">
      <alignment horizontal="center"/>
    </xf>
    <xf numFmtId="195" fontId="29" fillId="0" borderId="0" xfId="68" applyNumberFormat="1" applyFont="1"/>
    <xf numFmtId="176" fontId="29" fillId="0" borderId="0" xfId="68" applyNumberFormat="1" applyFont="1"/>
    <xf numFmtId="0" fontId="30" fillId="0" borderId="0" xfId="74" applyFont="1"/>
    <xf numFmtId="0" fontId="29" fillId="0" borderId="0" xfId="74" applyFont="1"/>
    <xf numFmtId="0" fontId="30" fillId="0" borderId="0" xfId="74" applyFont="1" applyAlignment="1">
      <alignment horizontal="centerContinuous"/>
    </xf>
    <xf numFmtId="15" fontId="30" fillId="0" borderId="0" xfId="74" applyNumberFormat="1" applyFont="1"/>
    <xf numFmtId="173" fontId="30" fillId="0" borderId="0" xfId="68" applyNumberFormat="1" applyFont="1" applyAlignment="1">
      <alignment vertical="center"/>
    </xf>
    <xf numFmtId="0" fontId="99" fillId="0" borderId="0" xfId="74" applyFont="1"/>
    <xf numFmtId="210" fontId="29" fillId="0" borderId="0" xfId="68" applyNumberFormat="1" applyFont="1"/>
    <xf numFmtId="203" fontId="29" fillId="0" borderId="0" xfId="68" applyNumberFormat="1" applyFont="1"/>
    <xf numFmtId="214" fontId="29" fillId="0" borderId="0" xfId="74" applyNumberFormat="1" applyFont="1"/>
    <xf numFmtId="2" fontId="29" fillId="0" borderId="0" xfId="68" applyNumberFormat="1" applyFont="1"/>
    <xf numFmtId="0" fontId="104" fillId="0" borderId="0" xfId="74" applyFont="1"/>
    <xf numFmtId="0" fontId="27" fillId="0" borderId="0" xfId="74" applyFont="1"/>
    <xf numFmtId="214" fontId="27" fillId="0" borderId="0" xfId="74" applyNumberFormat="1" applyFont="1"/>
    <xf numFmtId="200" fontId="32" fillId="0" borderId="0" xfId="69" applyNumberFormat="1" applyFont="1"/>
    <xf numFmtId="211" fontId="29" fillId="0" borderId="0" xfId="68" applyNumberFormat="1" applyFont="1"/>
    <xf numFmtId="0" fontId="103" fillId="0" borderId="0" xfId="74" applyFont="1" applyAlignment="1">
      <alignment horizontal="center"/>
    </xf>
    <xf numFmtId="169" fontId="106" fillId="32" borderId="0" xfId="69" applyNumberFormat="1" applyFont="1" applyFill="1" applyAlignment="1">
      <alignment horizontal="right"/>
    </xf>
    <xf numFmtId="169" fontId="89" fillId="0" borderId="0" xfId="69" applyNumberFormat="1" applyFont="1" applyAlignment="1">
      <alignment horizontal="right"/>
    </xf>
    <xf numFmtId="211" fontId="107" fillId="10" borderId="17" xfId="60" applyNumberFormat="1" applyFont="1" applyFill="1" applyBorder="1" applyAlignment="1">
      <alignment horizontal="center"/>
    </xf>
    <xf numFmtId="0" fontId="107" fillId="10" borderId="17" xfId="60" applyFont="1" applyFill="1" applyBorder="1" applyAlignment="1">
      <alignment horizontal="center"/>
    </xf>
    <xf numFmtId="9" fontId="107" fillId="10" borderId="17" xfId="75" applyFont="1" applyFill="1" applyBorder="1" applyAlignment="1">
      <alignment horizontal="center"/>
    </xf>
    <xf numFmtId="203" fontId="107" fillId="10" borderId="49" xfId="69" applyNumberFormat="1" applyFont="1" applyFill="1" applyBorder="1" applyAlignment="1">
      <alignment horizontal="right"/>
    </xf>
    <xf numFmtId="200" fontId="107" fillId="10" borderId="49" xfId="69" applyNumberFormat="1" applyFont="1" applyFill="1" applyBorder="1" applyAlignment="1">
      <alignment horizontal="right"/>
    </xf>
    <xf numFmtId="0" fontId="26" fillId="25" borderId="0" xfId="68" applyFont="1" applyFill="1" applyAlignment="1">
      <alignment horizontal="center"/>
    </xf>
    <xf numFmtId="0" fontId="26" fillId="25" borderId="0" xfId="68" applyFont="1" applyFill="1"/>
    <xf numFmtId="0" fontId="25" fillId="25" borderId="0" xfId="68" applyFont="1" applyFill="1" applyAlignment="1">
      <alignment horizontal="center"/>
    </xf>
    <xf numFmtId="0" fontId="25" fillId="25" borderId="0" xfId="68" applyFont="1" applyFill="1"/>
    <xf numFmtId="203" fontId="30" fillId="0" borderId="49" xfId="68" applyNumberFormat="1" applyFont="1" applyBorder="1"/>
    <xf numFmtId="203" fontId="30" fillId="0" borderId="0" xfId="68" applyNumberFormat="1" applyFont="1"/>
    <xf numFmtId="205" fontId="30" fillId="30" borderId="13" xfId="68" applyNumberFormat="1" applyFont="1" applyFill="1" applyBorder="1" applyAlignment="1">
      <alignment horizontal="center" vertical="center"/>
    </xf>
    <xf numFmtId="216" fontId="30" fillId="30" borderId="13" xfId="68" applyNumberFormat="1" applyFont="1" applyFill="1" applyBorder="1" applyAlignment="1">
      <alignment horizontal="center" vertical="center"/>
    </xf>
    <xf numFmtId="186" fontId="78" fillId="0" borderId="19" xfId="57" applyNumberFormat="1" applyFont="1" applyBorder="1" applyAlignment="1">
      <alignment horizontal="center" vertical="center"/>
    </xf>
    <xf numFmtId="186" fontId="78" fillId="0" borderId="19" xfId="57" applyNumberFormat="1" applyFont="1" applyBorder="1" applyAlignment="1">
      <alignment horizontal="center"/>
    </xf>
    <xf numFmtId="179" fontId="79" fillId="0" borderId="17" xfId="57" applyNumberFormat="1" applyFont="1" applyBorder="1" applyAlignment="1">
      <alignment horizontal="center"/>
    </xf>
    <xf numFmtId="181" fontId="70" fillId="10" borderId="10" xfId="63" applyNumberFormat="1" applyFont="1" applyFill="1" applyBorder="1" applyAlignment="1">
      <alignment horizontal="center" vertical="center"/>
    </xf>
    <xf numFmtId="178" fontId="57" fillId="0" borderId="0" xfId="63" applyNumberFormat="1" applyFont="1" applyAlignment="1">
      <alignment horizontal="center" vertical="center"/>
    </xf>
    <xf numFmtId="181" fontId="70" fillId="10" borderId="52" xfId="63" applyNumberFormat="1" applyFont="1" applyFill="1" applyBorder="1" applyAlignment="1">
      <alignment horizontal="center" vertical="center"/>
    </xf>
    <xf numFmtId="176" fontId="70" fillId="10" borderId="52" xfId="63" applyNumberFormat="1" applyFont="1" applyFill="1" applyBorder="1" applyAlignment="1">
      <alignment horizontal="center" vertical="center"/>
    </xf>
    <xf numFmtId="194" fontId="84" fillId="0" borderId="0" xfId="63" applyNumberFormat="1" applyFont="1" applyAlignment="1">
      <alignment horizontal="center"/>
    </xf>
    <xf numFmtId="0" fontId="56" fillId="25" borderId="0" xfId="63" applyFont="1" applyFill="1"/>
    <xf numFmtId="187" fontId="56" fillId="0" borderId="27" xfId="58" applyNumberFormat="1" applyFont="1" applyBorder="1" applyAlignment="1">
      <alignment horizontal="center" vertical="center"/>
    </xf>
    <xf numFmtId="14" fontId="58" fillId="0" borderId="22" xfId="58" applyNumberFormat="1" applyFont="1" applyBorder="1" applyAlignment="1">
      <alignment horizontal="center" vertical="center"/>
    </xf>
    <xf numFmtId="170" fontId="39" fillId="0" borderId="0" xfId="0" applyNumberFormat="1" applyFont="1" applyFill="1" applyBorder="1" applyAlignment="1">
      <alignment horizontal="center" vertical="center"/>
    </xf>
    <xf numFmtId="208" fontId="43" fillId="36" borderId="10" xfId="0" applyNumberFormat="1" applyFont="1" applyFill="1" applyBorder="1" applyAlignment="1">
      <alignment vertical="center"/>
    </xf>
    <xf numFmtId="14" fontId="45" fillId="0" borderId="0" xfId="69" applyNumberFormat="1" applyFont="1" applyAlignment="1">
      <alignment horizontal="center"/>
    </xf>
    <xf numFmtId="0" fontId="56" fillId="0" borderId="0" xfId="0" applyFont="1" applyAlignment="1"/>
    <xf numFmtId="0" fontId="52" fillId="0" borderId="0" xfId="0" applyFont="1" applyAlignment="1"/>
    <xf numFmtId="176" fontId="56" fillId="0" borderId="0" xfId="0" applyNumberFormat="1" applyFont="1" applyAlignment="1">
      <alignment horizontal="center" vertical="center"/>
    </xf>
    <xf numFmtId="185" fontId="62" fillId="0" borderId="0" xfId="0" applyNumberFormat="1" applyFont="1" applyAlignment="1">
      <alignment horizontal="center" vertical="center"/>
    </xf>
    <xf numFmtId="14" fontId="78" fillId="0" borderId="0" xfId="63" applyNumberFormat="1" applyFont="1" applyAlignment="1">
      <alignment horizontal="left"/>
    </xf>
    <xf numFmtId="0" fontId="28" fillId="39" borderId="0" xfId="57" applyFont="1" applyFill="1"/>
    <xf numFmtId="0" fontId="108" fillId="39" borderId="0" xfId="57" applyFont="1" applyFill="1"/>
    <xf numFmtId="0" fontId="109" fillId="30" borderId="53" xfId="57" applyFont="1" applyFill="1" applyBorder="1" applyAlignment="1">
      <alignment horizontal="left" vertical="center" readingOrder="1"/>
    </xf>
    <xf numFmtId="0" fontId="109" fillId="30" borderId="54" xfId="57" applyFont="1" applyFill="1" applyBorder="1" applyAlignment="1">
      <alignment horizontal="center" vertical="center" readingOrder="1"/>
    </xf>
    <xf numFmtId="176" fontId="56" fillId="0" borderId="0" xfId="57" applyNumberFormat="1" applyFont="1" applyAlignment="1">
      <alignment horizontal="center" vertical="center"/>
    </xf>
    <xf numFmtId="0" fontId="87" fillId="0" borderId="33" xfId="57" applyFont="1" applyBorder="1" applyAlignment="1">
      <alignment vertical="center"/>
    </xf>
    <xf numFmtId="176" fontId="87" fillId="0" borderId="33" xfId="64" applyNumberFormat="1" applyFont="1" applyBorder="1" applyAlignment="1">
      <alignment horizontal="center" vertical="center"/>
    </xf>
    <xf numFmtId="176" fontId="62" fillId="11" borderId="0" xfId="57" applyNumberFormat="1" applyFont="1" applyFill="1" applyAlignment="1">
      <alignment horizontal="center" vertical="center"/>
    </xf>
    <xf numFmtId="177" fontId="56" fillId="0" borderId="17" xfId="60" applyNumberFormat="1" applyFont="1" applyBorder="1"/>
    <xf numFmtId="0" fontId="56" fillId="11" borderId="0" xfId="57" applyFont="1" applyFill="1"/>
    <xf numFmtId="176" fontId="65" fillId="11" borderId="0" xfId="58" applyNumberFormat="1" applyFont="1" applyFill="1" applyAlignment="1">
      <alignment horizontal="center" vertical="center"/>
    </xf>
    <xf numFmtId="0" fontId="56" fillId="0" borderId="47" xfId="57" applyFont="1" applyBorder="1"/>
    <xf numFmtId="179" fontId="82" fillId="11" borderId="17" xfId="57" applyNumberFormat="1" applyFont="1" applyFill="1" applyBorder="1" applyAlignment="1">
      <alignment horizontal="center"/>
    </xf>
    <xf numFmtId="0" fontId="56" fillId="11" borderId="0" xfId="63" applyFont="1" applyFill="1"/>
    <xf numFmtId="0" fontId="56" fillId="11" borderId="0" xfId="63" applyFont="1" applyFill="1" applyAlignment="1">
      <alignment vertical="center"/>
    </xf>
    <xf numFmtId="14" fontId="56" fillId="11" borderId="0" xfId="63" applyNumberFormat="1" applyFont="1" applyFill="1" applyAlignment="1">
      <alignment horizontal="center" vertical="center"/>
    </xf>
    <xf numFmtId="175" fontId="84" fillId="0" borderId="0" xfId="57" applyNumberFormat="1" applyFont="1" applyAlignment="1">
      <alignment horizontal="left" vertical="center"/>
    </xf>
    <xf numFmtId="172" fontId="70" fillId="10" borderId="10" xfId="63" applyNumberFormat="1" applyFont="1" applyFill="1" applyBorder="1" applyAlignment="1">
      <alignment horizontal="center" vertical="center"/>
    </xf>
    <xf numFmtId="176" fontId="52" fillId="32" borderId="0" xfId="64" applyNumberFormat="1" applyFont="1" applyFill="1" applyBorder="1" applyAlignment="1">
      <alignment horizontal="center"/>
    </xf>
    <xf numFmtId="193" fontId="56" fillId="0" borderId="10" xfId="63" applyNumberFormat="1" applyFont="1" applyBorder="1" applyAlignment="1">
      <alignment horizontal="center" vertical="center"/>
    </xf>
    <xf numFmtId="181" fontId="56" fillId="0" borderId="0" xfId="63" applyNumberFormat="1" applyFont="1" applyAlignment="1">
      <alignment horizontal="center" vertical="center"/>
    </xf>
    <xf numFmtId="193" fontId="56" fillId="0" borderId="0" xfId="63" applyNumberFormat="1" applyFont="1" applyAlignment="1">
      <alignment horizontal="center" vertical="center"/>
    </xf>
    <xf numFmtId="181" fontId="56" fillId="0" borderId="13" xfId="63" applyNumberFormat="1" applyFont="1" applyBorder="1" applyAlignment="1">
      <alignment horizontal="center" vertical="center"/>
    </xf>
    <xf numFmtId="193" fontId="56" fillId="0" borderId="13" xfId="63" applyNumberFormat="1" applyFont="1" applyBorder="1" applyAlignment="1">
      <alignment horizontal="center" vertical="center"/>
    </xf>
    <xf numFmtId="172" fontId="56" fillId="0" borderId="0" xfId="63" applyNumberFormat="1" applyFont="1" applyAlignment="1">
      <alignment horizontal="center" vertical="center"/>
    </xf>
    <xf numFmtId="172" fontId="57" fillId="0" borderId="18" xfId="64" applyNumberFormat="1" applyFont="1" applyFill="1" applyBorder="1" applyAlignment="1">
      <alignment horizontal="center" vertical="center"/>
    </xf>
    <xf numFmtId="176" fontId="57" fillId="0" borderId="33" xfId="64" applyNumberFormat="1" applyFont="1" applyFill="1" applyBorder="1" applyAlignment="1">
      <alignment horizontal="center" vertical="center"/>
    </xf>
    <xf numFmtId="189" fontId="41" fillId="11" borderId="25" xfId="72" applyNumberFormat="1" applyFont="1" applyFill="1" applyBorder="1" applyAlignment="1">
      <alignment horizontal="center" vertical="center"/>
    </xf>
    <xf numFmtId="189" fontId="41" fillId="32" borderId="25" xfId="72" applyNumberFormat="1" applyFont="1" applyFill="1" applyBorder="1" applyAlignment="1">
      <alignment horizontal="center" vertical="center"/>
    </xf>
    <xf numFmtId="175" fontId="63" fillId="0" borderId="25" xfId="58" applyNumberFormat="1" applyFont="1" applyBorder="1" applyAlignment="1">
      <alignment horizontal="center" vertical="center"/>
    </xf>
    <xf numFmtId="3" fontId="62" fillId="0" borderId="13" xfId="58" applyNumberFormat="1" applyFont="1" applyBorder="1" applyAlignment="1">
      <alignment horizontal="center" vertical="center"/>
    </xf>
    <xf numFmtId="3" fontId="62" fillId="0" borderId="0" xfId="58" applyNumberFormat="1" applyFont="1" applyAlignment="1">
      <alignment horizontal="center" vertical="center"/>
    </xf>
    <xf numFmtId="176" fontId="110" fillId="11" borderId="13" xfId="58" applyNumberFormat="1" applyFont="1" applyFill="1" applyBorder="1" applyAlignment="1">
      <alignment horizontal="center" vertical="center"/>
    </xf>
    <xf numFmtId="0" fontId="55" fillId="23" borderId="35" xfId="58" applyFont="1" applyFill="1" applyBorder="1" applyAlignment="1">
      <alignment horizontal="centerContinuous"/>
    </xf>
    <xf numFmtId="15" fontId="78" fillId="0" borderId="0" xfId="57" applyNumberFormat="1" applyFont="1" applyAlignment="1">
      <alignment horizontal="center"/>
    </xf>
    <xf numFmtId="175" fontId="32" fillId="36" borderId="17" xfId="57" applyNumberFormat="1" applyFont="1" applyFill="1" applyBorder="1" applyAlignment="1">
      <alignment horizontal="center"/>
    </xf>
    <xf numFmtId="0" fontId="52" fillId="11" borderId="0" xfId="57" applyFont="1" applyFill="1"/>
    <xf numFmtId="176" fontId="56" fillId="11" borderId="0" xfId="58" applyNumberFormat="1" applyFont="1" applyFill="1" applyAlignment="1">
      <alignment horizontal="center" vertical="center"/>
    </xf>
    <xf numFmtId="176" fontId="62" fillId="11" borderId="25" xfId="58" applyNumberFormat="1" applyFont="1" applyFill="1" applyBorder="1" applyAlignment="1">
      <alignment horizontal="center" vertical="center"/>
    </xf>
    <xf numFmtId="175" fontId="63" fillId="11" borderId="0" xfId="58" applyNumberFormat="1" applyFont="1" applyFill="1" applyAlignment="1">
      <alignment horizontal="center" vertical="center"/>
    </xf>
    <xf numFmtId="176" fontId="60" fillId="11" borderId="0" xfId="58" applyNumberFormat="1" applyFont="1" applyFill="1" applyAlignment="1">
      <alignment horizontal="center" vertical="center"/>
    </xf>
    <xf numFmtId="176" fontId="60" fillId="11" borderId="11" xfId="58" applyNumberFormat="1" applyFont="1" applyFill="1" applyBorder="1" applyAlignment="1">
      <alignment horizontal="center" vertical="center"/>
    </xf>
    <xf numFmtId="222" fontId="60" fillId="0" borderId="0" xfId="57" applyNumberFormat="1" applyFont="1" applyAlignment="1">
      <alignment horizontal="center"/>
    </xf>
    <xf numFmtId="0" fontId="60" fillId="0" borderId="0" xfId="57" applyFont="1"/>
    <xf numFmtId="181" fontId="56" fillId="11" borderId="10" xfId="63" applyNumberFormat="1" applyFont="1" applyFill="1" applyBorder="1" applyAlignment="1">
      <alignment horizontal="center" vertical="center"/>
    </xf>
    <xf numFmtId="172" fontId="56" fillId="11" borderId="10" xfId="63" applyNumberFormat="1" applyFont="1" applyFill="1" applyBorder="1" applyAlignment="1">
      <alignment horizontal="center" vertical="center"/>
    </xf>
    <xf numFmtId="0" fontId="56" fillId="0" borderId="13" xfId="63" applyFont="1" applyBorder="1"/>
    <xf numFmtId="176" fontId="70" fillId="10" borderId="55" xfId="63" applyNumberFormat="1" applyFont="1" applyFill="1" applyBorder="1" applyAlignment="1">
      <alignment horizontal="center" vertical="center"/>
    </xf>
    <xf numFmtId="176" fontId="56" fillId="11" borderId="55" xfId="63" applyNumberFormat="1" applyFont="1" applyFill="1" applyBorder="1" applyAlignment="1">
      <alignment horizontal="center" vertical="center"/>
    </xf>
    <xf numFmtId="175" fontId="60" fillId="0" borderId="31" xfId="58" applyNumberFormat="1" applyFont="1" applyBorder="1" applyAlignment="1">
      <alignment horizontal="center" vertical="center"/>
    </xf>
    <xf numFmtId="0" fontId="92" fillId="0" borderId="47" xfId="72" applyFont="1" applyBorder="1"/>
    <xf numFmtId="0" fontId="92" fillId="0" borderId="13" xfId="72" applyFont="1" applyBorder="1"/>
    <xf numFmtId="210" fontId="90" fillId="0" borderId="17" xfId="72" applyNumberFormat="1" applyFont="1" applyBorder="1" applyAlignment="1">
      <alignment horizontal="right"/>
    </xf>
    <xf numFmtId="0" fontId="38" fillId="25" borderId="0" xfId="72" applyFont="1" applyFill="1" applyAlignment="1">
      <alignment horizontal="left" vertical="center"/>
    </xf>
    <xf numFmtId="210" fontId="41" fillId="0" borderId="47" xfId="72" applyNumberFormat="1" applyFont="1" applyBorder="1" applyAlignment="1">
      <alignment horizontal="center"/>
    </xf>
    <xf numFmtId="175" fontId="63" fillId="0" borderId="47" xfId="58" applyNumberFormat="1" applyFont="1" applyBorder="1" applyAlignment="1">
      <alignment horizontal="center" vertical="center"/>
    </xf>
    <xf numFmtId="175" fontId="63" fillId="11" borderId="47" xfId="58" applyNumberFormat="1" applyFont="1" applyFill="1" applyBorder="1" applyAlignment="1">
      <alignment horizontal="center" vertical="center"/>
    </xf>
    <xf numFmtId="176" fontId="62" fillId="0" borderId="47" xfId="58" applyNumberFormat="1" applyFont="1" applyBorder="1" applyAlignment="1">
      <alignment horizontal="center" vertical="center"/>
    </xf>
    <xf numFmtId="0" fontId="91" fillId="0" borderId="25" xfId="72" applyFont="1" applyBorder="1"/>
    <xf numFmtId="0" fontId="92" fillId="0" borderId="25" xfId="72" applyFont="1" applyBorder="1"/>
    <xf numFmtId="223" fontId="56" fillId="0" borderId="0" xfId="63" applyNumberFormat="1" applyFont="1" applyAlignment="1">
      <alignment horizontal="center" vertical="center"/>
    </xf>
    <xf numFmtId="223" fontId="62" fillId="0" borderId="25" xfId="63" applyNumberFormat="1" applyFont="1" applyBorder="1" applyAlignment="1">
      <alignment horizontal="center" vertical="center"/>
    </xf>
    <xf numFmtId="9" fontId="62" fillId="0" borderId="17" xfId="67" applyFont="1" applyBorder="1" applyAlignment="1">
      <alignment horizontal="center"/>
    </xf>
    <xf numFmtId="223" fontId="57" fillId="0" borderId="11" xfId="63" applyNumberFormat="1" applyFont="1" applyBorder="1" applyAlignment="1">
      <alignment horizontal="center" vertical="center"/>
    </xf>
    <xf numFmtId="223" fontId="57" fillId="0" borderId="33" xfId="64" applyNumberFormat="1" applyFont="1" applyFill="1" applyBorder="1" applyAlignment="1">
      <alignment horizontal="center" vertical="center"/>
    </xf>
    <xf numFmtId="223" fontId="56" fillId="0" borderId="0" xfId="63" applyNumberFormat="1" applyFont="1"/>
    <xf numFmtId="223" fontId="52" fillId="0" borderId="0" xfId="63" applyNumberFormat="1" applyFont="1" applyAlignment="1">
      <alignment horizontal="center" vertical="center" readingOrder="1"/>
    </xf>
    <xf numFmtId="186" fontId="56" fillId="0" borderId="26" xfId="57" applyNumberFormat="1" applyFont="1" applyBorder="1" applyAlignment="1">
      <alignment horizontal="center"/>
    </xf>
    <xf numFmtId="186" fontId="57" fillId="40" borderId="25" xfId="57" applyNumberFormat="1" applyFont="1" applyFill="1" applyBorder="1" applyAlignment="1">
      <alignment horizontal="center"/>
    </xf>
    <xf numFmtId="186" fontId="57" fillId="40" borderId="17" xfId="57" applyNumberFormat="1" applyFont="1" applyFill="1" applyBorder="1" applyAlignment="1">
      <alignment horizontal="center"/>
    </xf>
    <xf numFmtId="186" fontId="52" fillId="40" borderId="0" xfId="57" applyNumberFormat="1" applyFont="1" applyFill="1" applyAlignment="1">
      <alignment horizontal="center"/>
    </xf>
    <xf numFmtId="186" fontId="78" fillId="40" borderId="38" xfId="57" applyNumberFormat="1" applyFont="1" applyFill="1" applyBorder="1" applyAlignment="1">
      <alignment horizontal="center"/>
    </xf>
    <xf numFmtId="186" fontId="78" fillId="40" borderId="19" xfId="57" applyNumberFormat="1" applyFont="1" applyFill="1" applyBorder="1" applyAlignment="1">
      <alignment horizontal="center"/>
    </xf>
    <xf numFmtId="186" fontId="52" fillId="40" borderId="19" xfId="57" applyNumberFormat="1" applyFont="1" applyFill="1" applyBorder="1" applyAlignment="1">
      <alignment horizontal="center"/>
    </xf>
    <xf numFmtId="0" fontId="57" fillId="40" borderId="0" xfId="57" applyFont="1" applyFill="1" applyAlignment="1">
      <alignment horizontal="center"/>
    </xf>
    <xf numFmtId="0" fontId="57" fillId="40" borderId="19" xfId="57" applyFont="1" applyFill="1" applyBorder="1" applyAlignment="1">
      <alignment horizontal="center"/>
    </xf>
    <xf numFmtId="186" fontId="57" fillId="40" borderId="13" xfId="57" applyNumberFormat="1" applyFont="1" applyFill="1" applyBorder="1" applyAlignment="1">
      <alignment horizontal="center"/>
    </xf>
    <xf numFmtId="186" fontId="57" fillId="40" borderId="14" xfId="57" applyNumberFormat="1" applyFont="1" applyFill="1" applyBorder="1" applyAlignment="1">
      <alignment horizontal="center"/>
    </xf>
    <xf numFmtId="186" fontId="57" fillId="40" borderId="39" xfId="57" applyNumberFormat="1" applyFont="1" applyFill="1" applyBorder="1" applyAlignment="1">
      <alignment horizontal="center"/>
    </xf>
    <xf numFmtId="186" fontId="56" fillId="40" borderId="0" xfId="57" applyNumberFormat="1" applyFont="1" applyFill="1" applyAlignment="1">
      <alignment horizontal="center"/>
    </xf>
    <xf numFmtId="0" fontId="52" fillId="40" borderId="0" xfId="57" applyFont="1" applyFill="1" applyAlignment="1">
      <alignment horizontal="center"/>
    </xf>
    <xf numFmtId="0" fontId="52" fillId="40" borderId="19" xfId="57" applyFont="1" applyFill="1" applyBorder="1" applyAlignment="1">
      <alignment horizontal="center"/>
    </xf>
    <xf numFmtId="186" fontId="57" fillId="40" borderId="0" xfId="57" applyNumberFormat="1" applyFont="1" applyFill="1" applyAlignment="1">
      <alignment horizontal="center"/>
    </xf>
    <xf numFmtId="186" fontId="57" fillId="40" borderId="19" xfId="57" applyNumberFormat="1" applyFont="1" applyFill="1" applyBorder="1" applyAlignment="1">
      <alignment horizontal="center"/>
    </xf>
    <xf numFmtId="186" fontId="56" fillId="40" borderId="13" xfId="57" applyNumberFormat="1" applyFont="1" applyFill="1" applyBorder="1" applyAlignment="1">
      <alignment horizontal="center"/>
    </xf>
    <xf numFmtId="186" fontId="52" fillId="40" borderId="39" xfId="57" applyNumberFormat="1" applyFont="1" applyFill="1" applyBorder="1" applyAlignment="1">
      <alignment horizontal="center"/>
    </xf>
    <xf numFmtId="186" fontId="62" fillId="40" borderId="0" xfId="57" applyNumberFormat="1" applyFont="1" applyFill="1" applyAlignment="1">
      <alignment horizontal="center"/>
    </xf>
    <xf numFmtId="0" fontId="57" fillId="40" borderId="13" xfId="57" applyFont="1" applyFill="1" applyBorder="1" applyAlignment="1">
      <alignment horizontal="center"/>
    </xf>
    <xf numFmtId="191" fontId="58" fillId="0" borderId="17" xfId="58" applyNumberFormat="1" applyFont="1" applyBorder="1" applyAlignment="1">
      <alignment horizontal="center"/>
    </xf>
    <xf numFmtId="186" fontId="69" fillId="0" borderId="39" xfId="57" applyNumberFormat="1" applyFont="1" applyBorder="1" applyAlignment="1">
      <alignment horizontal="center"/>
    </xf>
    <xf numFmtId="0" fontId="57" fillId="40" borderId="40" xfId="57" applyFont="1" applyFill="1" applyBorder="1" applyAlignment="1">
      <alignment horizontal="center"/>
    </xf>
    <xf numFmtId="186" fontId="57" fillId="40" borderId="40" xfId="57" applyNumberFormat="1" applyFont="1" applyFill="1" applyBorder="1" applyAlignment="1">
      <alignment horizontal="center"/>
    </xf>
    <xf numFmtId="175" fontId="80" fillId="40" borderId="0" xfId="57" applyNumberFormat="1" applyFont="1" applyFill="1" applyAlignment="1">
      <alignment horizontal="center"/>
    </xf>
    <xf numFmtId="186" fontId="52" fillId="40" borderId="13" xfId="57" applyNumberFormat="1" applyFont="1" applyFill="1" applyBorder="1" applyAlignment="1">
      <alignment horizontal="center"/>
    </xf>
    <xf numFmtId="10" fontId="57" fillId="40" borderId="13" xfId="57" applyNumberFormat="1" applyFont="1" applyFill="1" applyBorder="1" applyAlignment="1">
      <alignment horizontal="center"/>
    </xf>
    <xf numFmtId="10" fontId="52" fillId="40" borderId="0" xfId="67" applyNumberFormat="1" applyFont="1" applyFill="1" applyBorder="1" applyAlignment="1">
      <alignment horizontal="center"/>
    </xf>
    <xf numFmtId="174" fontId="78" fillId="0" borderId="0" xfId="64" applyNumberFormat="1" applyFont="1" applyFill="1" applyAlignment="1">
      <alignment horizontal="center" vertical="center"/>
    </xf>
    <xf numFmtId="174" fontId="69" fillId="0" borderId="33" xfId="64" applyNumberFormat="1" applyFont="1" applyFill="1" applyBorder="1" applyAlignment="1">
      <alignment horizontal="center" vertical="center"/>
    </xf>
    <xf numFmtId="174" fontId="62" fillId="11" borderId="20" xfId="58" applyNumberFormat="1" applyFont="1" applyFill="1" applyBorder="1" applyAlignment="1">
      <alignment horizontal="center" vertical="center"/>
    </xf>
    <xf numFmtId="0" fontId="52" fillId="11" borderId="26" xfId="57" applyFont="1" applyFill="1" applyBorder="1"/>
    <xf numFmtId="176" fontId="52" fillId="11" borderId="0" xfId="61" applyNumberFormat="1" applyFont="1" applyFill="1" applyAlignment="1">
      <alignment horizontal="center"/>
    </xf>
    <xf numFmtId="176" fontId="52" fillId="11" borderId="26" xfId="61" applyNumberFormat="1" applyFont="1" applyFill="1" applyBorder="1" applyAlignment="1">
      <alignment horizontal="center"/>
    </xf>
    <xf numFmtId="176" fontId="56" fillId="11" borderId="26" xfId="58" applyNumberFormat="1" applyFont="1" applyFill="1" applyBorder="1" applyAlignment="1">
      <alignment horizontal="center" vertical="center"/>
    </xf>
    <xf numFmtId="175" fontId="60" fillId="11" borderId="26" xfId="58" applyNumberFormat="1" applyFont="1" applyFill="1" applyBorder="1" applyAlignment="1">
      <alignment horizontal="center" vertical="center"/>
    </xf>
    <xf numFmtId="176" fontId="62" fillId="11" borderId="26" xfId="58" applyNumberFormat="1" applyFont="1" applyFill="1" applyBorder="1" applyAlignment="1">
      <alignment horizontal="center" vertical="center"/>
    </xf>
    <xf numFmtId="175" fontId="60" fillId="11" borderId="30" xfId="58" applyNumberFormat="1" applyFont="1" applyFill="1" applyBorder="1" applyAlignment="1">
      <alignment horizontal="center" vertical="center"/>
    </xf>
    <xf numFmtId="0" fontId="57" fillId="11" borderId="13" xfId="57" applyFont="1" applyFill="1" applyBorder="1" applyAlignment="1">
      <alignment horizontal="left" indent="1"/>
    </xf>
    <xf numFmtId="0" fontId="57" fillId="11" borderId="13" xfId="57" applyFont="1" applyFill="1" applyBorder="1" applyAlignment="1">
      <alignment horizontal="center"/>
    </xf>
    <xf numFmtId="186" fontId="62" fillId="11" borderId="13" xfId="57" applyNumberFormat="1" applyFont="1" applyFill="1" applyBorder="1" applyAlignment="1">
      <alignment horizontal="center"/>
    </xf>
    <xf numFmtId="186" fontId="62" fillId="11" borderId="0" xfId="57" applyNumberFormat="1" applyFont="1" applyFill="1" applyAlignment="1">
      <alignment horizontal="center"/>
    </xf>
    <xf numFmtId="186" fontId="57" fillId="11" borderId="39" xfId="57" applyNumberFormat="1" applyFont="1" applyFill="1" applyBorder="1" applyAlignment="1">
      <alignment horizontal="center"/>
    </xf>
    <xf numFmtId="186" fontId="52" fillId="11" borderId="0" xfId="57" applyNumberFormat="1" applyFont="1" applyFill="1" applyAlignment="1">
      <alignment horizontal="center"/>
    </xf>
    <xf numFmtId="224" fontId="69" fillId="0" borderId="17" xfId="57" applyNumberFormat="1" applyFont="1" applyBorder="1" applyAlignment="1">
      <alignment horizontal="center"/>
    </xf>
    <xf numFmtId="183" fontId="83" fillId="34" borderId="29" xfId="63" applyNumberFormat="1" applyFont="1" applyFill="1" applyBorder="1" applyAlignment="1">
      <alignment horizontal="center" vertical="center" readingOrder="1"/>
    </xf>
    <xf numFmtId="185" fontId="62" fillId="11" borderId="25" xfId="57" applyNumberFormat="1" applyFont="1" applyFill="1" applyBorder="1" applyAlignment="1">
      <alignment horizontal="center"/>
    </xf>
    <xf numFmtId="0" fontId="60" fillId="0" borderId="0" xfId="63" applyFont="1"/>
    <xf numFmtId="176" fontId="78" fillId="0" borderId="0" xfId="64" applyNumberFormat="1" applyFont="1" applyFill="1" applyAlignment="1">
      <alignment horizontal="center" vertical="center"/>
    </xf>
    <xf numFmtId="176" fontId="56" fillId="0" borderId="0" xfId="64" applyNumberFormat="1" applyFont="1" applyFill="1" applyAlignment="1">
      <alignment horizontal="center" vertical="center"/>
    </xf>
    <xf numFmtId="176" fontId="62" fillId="0" borderId="25" xfId="62" applyNumberFormat="1" applyFont="1" applyFill="1" applyBorder="1" applyAlignment="1">
      <alignment horizontal="center" vertical="center"/>
    </xf>
    <xf numFmtId="186" fontId="69" fillId="0" borderId="0" xfId="57" applyNumberFormat="1" applyFont="1" applyAlignment="1">
      <alignment horizontal="center"/>
    </xf>
    <xf numFmtId="0" fontId="62" fillId="15" borderId="0" xfId="57" applyFont="1" applyFill="1"/>
    <xf numFmtId="180" fontId="62" fillId="15" borderId="0" xfId="57" applyNumberFormat="1" applyFont="1" applyFill="1" applyAlignment="1">
      <alignment horizontal="center"/>
    </xf>
    <xf numFmtId="181" fontId="62" fillId="15" borderId="0" xfId="57" applyNumberFormat="1" applyFont="1" applyFill="1" applyAlignment="1">
      <alignment horizontal="center"/>
    </xf>
    <xf numFmtId="0" fontId="57" fillId="15" borderId="0" xfId="57" applyFont="1" applyFill="1"/>
    <xf numFmtId="0" fontId="56" fillId="15" borderId="0" xfId="0" applyFont="1" applyFill="1" applyAlignment="1"/>
    <xf numFmtId="0" fontId="52" fillId="15" borderId="0" xfId="0" applyFont="1" applyFill="1" applyAlignment="1"/>
    <xf numFmtId="176" fontId="56" fillId="15" borderId="0" xfId="0" applyNumberFormat="1" applyFont="1" applyFill="1" applyAlignment="1">
      <alignment horizontal="center" vertical="center"/>
    </xf>
    <xf numFmtId="0" fontId="62" fillId="15" borderId="47" xfId="0" applyFont="1" applyFill="1" applyBorder="1" applyAlignment="1"/>
    <xf numFmtId="0" fontId="57" fillId="15" borderId="47" xfId="0" applyFont="1" applyFill="1" applyBorder="1" applyAlignment="1"/>
    <xf numFmtId="185" fontId="62" fillId="15" borderId="47" xfId="0" applyNumberFormat="1" applyFont="1" applyFill="1" applyBorder="1" applyAlignment="1">
      <alignment horizontal="center" vertical="center"/>
    </xf>
    <xf numFmtId="0" fontId="91" fillId="0" borderId="0" xfId="72" applyFont="1" applyAlignment="1">
      <alignment horizontal="center" vertical="center"/>
    </xf>
    <xf numFmtId="176" fontId="91" fillId="0" borderId="0" xfId="72" applyNumberFormat="1" applyFont="1" applyAlignment="1">
      <alignment horizontal="center" vertical="center"/>
    </xf>
    <xf numFmtId="176" fontId="92" fillId="0" borderId="25" xfId="72" applyNumberFormat="1" applyFont="1" applyBorder="1" applyAlignment="1">
      <alignment horizontal="center" vertical="center"/>
    </xf>
    <xf numFmtId="176" fontId="90" fillId="0" borderId="0" xfId="72" applyNumberFormat="1" applyFont="1" applyAlignment="1">
      <alignment horizontal="center" vertical="center"/>
    </xf>
    <xf numFmtId="176" fontId="92" fillId="0" borderId="47" xfId="72" applyNumberFormat="1" applyFont="1" applyBorder="1" applyAlignment="1">
      <alignment horizontal="center" vertical="center"/>
    </xf>
    <xf numFmtId="176" fontId="92" fillId="0" borderId="13" xfId="72" applyNumberFormat="1" applyFont="1" applyBorder="1" applyAlignment="1">
      <alignment horizontal="center" vertical="center"/>
    </xf>
    <xf numFmtId="0" fontId="111" fillId="0" borderId="0" xfId="72" applyFont="1"/>
    <xf numFmtId="0" fontId="92" fillId="0" borderId="0" xfId="72" applyFont="1" applyAlignment="1">
      <alignment horizontal="center" vertical="center"/>
    </xf>
    <xf numFmtId="0" fontId="91" fillId="0" borderId="47" xfId="72" applyFont="1" applyBorder="1"/>
    <xf numFmtId="221" fontId="91" fillId="0" borderId="38" xfId="72" applyNumberFormat="1" applyFont="1" applyBorder="1" applyAlignment="1">
      <alignment horizontal="center" vertical="center"/>
    </xf>
    <xf numFmtId="221" fontId="91" fillId="0" borderId="47" xfId="72" applyNumberFormat="1" applyFont="1" applyBorder="1" applyAlignment="1">
      <alignment horizontal="center" vertical="center"/>
    </xf>
    <xf numFmtId="9" fontId="91" fillId="0" borderId="20" xfId="67" applyFont="1" applyFill="1" applyBorder="1" applyAlignment="1">
      <alignment horizontal="center" vertical="center"/>
    </xf>
    <xf numFmtId="176" fontId="91" fillId="0" borderId="30" xfId="72" applyNumberFormat="1" applyFont="1" applyBorder="1" applyAlignment="1">
      <alignment horizontal="center" vertical="center"/>
    </xf>
    <xf numFmtId="176" fontId="91" fillId="0" borderId="47" xfId="72" applyNumberFormat="1" applyFont="1" applyBorder="1" applyAlignment="1">
      <alignment horizontal="center" vertical="center"/>
    </xf>
    <xf numFmtId="221" fontId="91" fillId="0" borderId="20" xfId="72" applyNumberFormat="1" applyFont="1" applyBorder="1" applyAlignment="1">
      <alignment horizontal="center" vertical="center"/>
    </xf>
    <xf numFmtId="0" fontId="91" fillId="0" borderId="13" xfId="72" applyFont="1" applyBorder="1"/>
    <xf numFmtId="221" fontId="91" fillId="0" borderId="13" xfId="72" applyNumberFormat="1" applyFont="1" applyBorder="1" applyAlignment="1">
      <alignment horizontal="center" vertical="center"/>
    </xf>
    <xf numFmtId="176" fontId="91" fillId="0" borderId="32" xfId="72" applyNumberFormat="1" applyFont="1" applyBorder="1" applyAlignment="1">
      <alignment horizontal="center" vertical="center"/>
    </xf>
    <xf numFmtId="176" fontId="91" fillId="0" borderId="13" xfId="72" applyNumberFormat="1" applyFont="1" applyBorder="1" applyAlignment="1">
      <alignment horizontal="center" vertical="center"/>
    </xf>
    <xf numFmtId="176" fontId="92" fillId="0" borderId="0" xfId="72" applyNumberFormat="1" applyFont="1" applyAlignment="1">
      <alignment horizontal="center" vertical="center"/>
    </xf>
    <xf numFmtId="2" fontId="91" fillId="0" borderId="0" xfId="72" applyNumberFormat="1" applyFont="1"/>
    <xf numFmtId="181" fontId="62" fillId="30" borderId="0" xfId="57" applyNumberFormat="1" applyFont="1" applyFill="1" applyAlignment="1">
      <alignment horizontal="center"/>
    </xf>
    <xf numFmtId="221" fontId="90" fillId="0" borderId="0" xfId="72" applyNumberFormat="1" applyFont="1" applyAlignment="1">
      <alignment horizontal="center" vertical="center"/>
    </xf>
    <xf numFmtId="180" fontId="62" fillId="30" borderId="0" xfId="57" applyNumberFormat="1" applyFont="1" applyFill="1" applyAlignment="1">
      <alignment horizontal="center"/>
    </xf>
    <xf numFmtId="0" fontId="56" fillId="0" borderId="20" xfId="63" applyFont="1" applyBorder="1"/>
    <xf numFmtId="225" fontId="70" fillId="10" borderId="56" xfId="63" applyNumberFormat="1" applyFont="1" applyFill="1" applyBorder="1" applyAlignment="1">
      <alignment horizontal="center" vertical="center"/>
    </xf>
    <xf numFmtId="0" fontId="3" fillId="11" borderId="13" xfId="57" applyFont="1" applyFill="1" applyBorder="1" applyAlignment="1">
      <alignment horizontal="left" indent="1"/>
    </xf>
    <xf numFmtId="0" fontId="52" fillId="11" borderId="13" xfId="57" applyFont="1" applyFill="1" applyBorder="1" applyAlignment="1">
      <alignment horizontal="left" indent="1"/>
    </xf>
    <xf numFmtId="10" fontId="52" fillId="11" borderId="13" xfId="67" applyNumberFormat="1" applyFont="1" applyFill="1" applyBorder="1" applyAlignment="1">
      <alignment horizontal="center"/>
    </xf>
    <xf numFmtId="10" fontId="52" fillId="11" borderId="39" xfId="67" applyNumberFormat="1" applyFont="1" applyFill="1" applyBorder="1" applyAlignment="1">
      <alignment horizontal="center"/>
    </xf>
    <xf numFmtId="10" fontId="78" fillId="11" borderId="13" xfId="67" applyNumberFormat="1" applyFont="1" applyFill="1" applyBorder="1" applyAlignment="1">
      <alignment horizontal="center"/>
    </xf>
    <xf numFmtId="186" fontId="52" fillId="11" borderId="19" xfId="57" applyNumberFormat="1" applyFont="1" applyFill="1" applyBorder="1" applyAlignment="1">
      <alignment horizontal="center"/>
    </xf>
    <xf numFmtId="0" fontId="91" fillId="11" borderId="0" xfId="72" applyFont="1" applyFill="1"/>
    <xf numFmtId="221" fontId="91" fillId="11" borderId="20" xfId="72" applyNumberFormat="1" applyFont="1" applyFill="1" applyBorder="1" applyAlignment="1">
      <alignment horizontal="center" vertical="center"/>
    </xf>
    <xf numFmtId="221" fontId="91" fillId="11" borderId="25" xfId="72" applyNumberFormat="1" applyFont="1" applyFill="1" applyBorder="1" applyAlignment="1">
      <alignment horizontal="center" vertical="center"/>
    </xf>
    <xf numFmtId="9" fontId="91" fillId="11" borderId="20" xfId="67" applyFont="1" applyFill="1" applyBorder="1" applyAlignment="1">
      <alignment horizontal="center" vertical="center"/>
    </xf>
    <xf numFmtId="176" fontId="91" fillId="11" borderId="26" xfId="72" applyNumberFormat="1" applyFont="1" applyFill="1" applyBorder="1" applyAlignment="1">
      <alignment horizontal="center" vertical="center"/>
    </xf>
    <xf numFmtId="176" fontId="91" fillId="11" borderId="0" xfId="72" applyNumberFormat="1" applyFont="1" applyFill="1" applyAlignment="1">
      <alignment horizontal="center" vertical="center"/>
    </xf>
    <xf numFmtId="176" fontId="62" fillId="11" borderId="0" xfId="58" applyNumberFormat="1" applyFont="1" applyFill="1" applyAlignment="1">
      <alignment horizontal="center" vertical="center"/>
    </xf>
    <xf numFmtId="189" fontId="50" fillId="32" borderId="25" xfId="72" applyNumberFormat="1" applyFont="1" applyFill="1" applyBorder="1" applyAlignment="1">
      <alignment horizontal="center" vertical="center"/>
    </xf>
    <xf numFmtId="189" fontId="50" fillId="32" borderId="0" xfId="72" applyNumberFormat="1" applyFont="1" applyFill="1" applyAlignment="1">
      <alignment horizontal="center" vertical="center"/>
    </xf>
    <xf numFmtId="189" fontId="43" fillId="32" borderId="0" xfId="72" applyNumberFormat="1" applyFont="1" applyFill="1" applyAlignment="1">
      <alignment horizontal="center" vertical="center"/>
    </xf>
    <xf numFmtId="189" fontId="43" fillId="0" borderId="0" xfId="72" applyNumberFormat="1" applyFont="1" applyAlignment="1">
      <alignment horizontal="center" vertical="center"/>
    </xf>
    <xf numFmtId="10" fontId="52" fillId="32" borderId="0" xfId="67" applyNumberFormat="1" applyFont="1" applyFill="1" applyBorder="1" applyAlignment="1">
      <alignment horizontal="center"/>
    </xf>
    <xf numFmtId="176" fontId="84" fillId="10" borderId="17" xfId="57" applyNumberFormat="1" applyFont="1" applyFill="1" applyBorder="1" applyAlignment="1">
      <alignment horizontal="center" vertical="center"/>
    </xf>
    <xf numFmtId="187" fontId="69" fillId="11" borderId="10" xfId="57" applyNumberFormat="1" applyFont="1" applyFill="1" applyBorder="1" applyAlignment="1">
      <alignment horizontal="center"/>
    </xf>
    <xf numFmtId="172" fontId="70" fillId="10" borderId="57" xfId="63" applyNumberFormat="1" applyFont="1" applyFill="1" applyBorder="1" applyAlignment="1">
      <alignment horizontal="center" vertical="center"/>
    </xf>
    <xf numFmtId="172" fontId="57" fillId="0" borderId="33" xfId="64" applyNumberFormat="1" applyFont="1" applyFill="1" applyBorder="1" applyAlignment="1">
      <alignment horizontal="center" vertical="center"/>
    </xf>
    <xf numFmtId="176" fontId="84" fillId="0" borderId="0" xfId="57" applyNumberFormat="1" applyFont="1" applyAlignment="1">
      <alignment horizontal="center" vertical="center"/>
    </xf>
    <xf numFmtId="197" fontId="56" fillId="11" borderId="10" xfId="63" applyNumberFormat="1" applyFont="1" applyFill="1" applyBorder="1" applyAlignment="1">
      <alignment horizontal="center" vertical="center"/>
    </xf>
    <xf numFmtId="173" fontId="94" fillId="25" borderId="45" xfId="72" applyNumberFormat="1" applyFont="1" applyFill="1" applyBorder="1" applyAlignment="1">
      <alignment horizontal="center" vertical="center"/>
    </xf>
    <xf numFmtId="173" fontId="94" fillId="25" borderId="46" xfId="72" applyNumberFormat="1" applyFont="1" applyFill="1" applyBorder="1" applyAlignment="1">
      <alignment horizontal="center" vertical="center"/>
    </xf>
    <xf numFmtId="213" fontId="103" fillId="0" borderId="0" xfId="74" applyNumberFormat="1" applyFont="1" applyAlignment="1">
      <alignment horizontal="center"/>
    </xf>
    <xf numFmtId="0" fontId="112" fillId="39" borderId="0" xfId="0" applyFont="1" applyFill="1" applyAlignment="1"/>
    <xf numFmtId="0" fontId="108" fillId="39" borderId="0" xfId="0" applyFont="1" applyFill="1" applyAlignment="1"/>
    <xf numFmtId="0" fontId="0" fillId="0" borderId="0" xfId="0" applyAlignment="1"/>
    <xf numFmtId="14" fontId="84" fillId="10" borderId="0" xfId="0" applyNumberFormat="1" applyFont="1" applyFill="1" applyAlignment="1"/>
    <xf numFmtId="227" fontId="84" fillId="10" borderId="0" xfId="0" applyNumberFormat="1" applyFont="1" applyFill="1" applyAlignment="1"/>
    <xf numFmtId="0" fontId="0" fillId="0" borderId="0" xfId="0" applyAlignment="1">
      <alignment horizontal="left" indent="1"/>
    </xf>
    <xf numFmtId="169" fontId="113" fillId="0" borderId="0" xfId="0" applyNumberFormat="1" applyFont="1" applyAlignment="1"/>
    <xf numFmtId="227" fontId="0" fillId="0" borderId="0" xfId="0" applyNumberFormat="1" applyAlignment="1"/>
    <xf numFmtId="0" fontId="87" fillId="0" borderId="47" xfId="0" applyFont="1" applyBorder="1" applyAlignment="1"/>
    <xf numFmtId="169" fontId="87" fillId="0" borderId="47" xfId="0" applyNumberFormat="1" applyFont="1" applyBorder="1" applyAlignment="1"/>
    <xf numFmtId="169" fontId="0" fillId="0" borderId="0" xfId="0" applyNumberFormat="1" applyAlignment="1"/>
    <xf numFmtId="169" fontId="84" fillId="0" borderId="0" xfId="0" applyNumberFormat="1" applyFont="1" applyAlignment="1"/>
    <xf numFmtId="0" fontId="87" fillId="0" borderId="30" xfId="0" applyFont="1" applyBorder="1" applyAlignment="1"/>
    <xf numFmtId="170" fontId="87" fillId="0" borderId="47" xfId="0" applyNumberFormat="1" applyFont="1" applyBorder="1" applyAlignment="1"/>
    <xf numFmtId="170" fontId="87" fillId="0" borderId="31" xfId="0" applyNumberFormat="1" applyFont="1" applyBorder="1" applyAlignment="1"/>
    <xf numFmtId="0" fontId="87" fillId="0" borderId="32" xfId="0" applyFont="1" applyBorder="1" applyAlignment="1"/>
    <xf numFmtId="0" fontId="87" fillId="0" borderId="13" xfId="0" applyFont="1" applyBorder="1" applyAlignment="1"/>
    <xf numFmtId="227" fontId="87" fillId="0" borderId="13" xfId="0" applyNumberFormat="1" applyFont="1" applyBorder="1" applyAlignment="1"/>
    <xf numFmtId="227" fontId="87" fillId="0" borderId="14" xfId="0" applyNumberFormat="1" applyFont="1" applyBorder="1" applyAlignment="1"/>
    <xf numFmtId="0" fontId="0" fillId="40" borderId="0" xfId="0" applyFill="1" applyAlignment="1"/>
    <xf numFmtId="0" fontId="87" fillId="40" borderId="0" xfId="0" applyFont="1" applyFill="1" applyAlignment="1">
      <alignment horizontal="center"/>
    </xf>
    <xf numFmtId="0" fontId="87" fillId="0" borderId="0" xfId="0" applyFont="1" applyAlignment="1">
      <alignment horizontal="center"/>
    </xf>
    <xf numFmtId="14" fontId="87" fillId="40" borderId="0" xfId="0" applyNumberFormat="1" applyFont="1" applyFill="1" applyAlignment="1">
      <alignment horizontal="center"/>
    </xf>
    <xf numFmtId="228" fontId="0" fillId="0" borderId="0" xfId="0" applyNumberFormat="1" applyAlignment="1">
      <alignment horizontal="left"/>
    </xf>
    <xf numFmtId="170" fontId="0" fillId="0" borderId="0" xfId="0" applyNumberFormat="1" applyAlignment="1">
      <alignment horizontal="center"/>
    </xf>
    <xf numFmtId="227" fontId="0" fillId="0" borderId="0" xfId="0" applyNumberFormat="1" applyAlignment="1">
      <alignment horizontal="center"/>
    </xf>
    <xf numFmtId="14" fontId="1" fillId="0" borderId="0" xfId="0" applyNumberFormat="1" applyFont="1" applyAlignment="1"/>
    <xf numFmtId="3" fontId="62" fillId="0" borderId="25" xfId="58" applyNumberFormat="1" applyFont="1" applyFill="1" applyBorder="1" applyAlignment="1">
      <alignment horizontal="center" vertical="center"/>
    </xf>
    <xf numFmtId="169" fontId="113" fillId="0" borderId="0" xfId="0" applyNumberFormat="1" applyFont="1" applyFill="1" applyAlignment="1"/>
    <xf numFmtId="0" fontId="87" fillId="10" borderId="30" xfId="0" applyFont="1" applyFill="1" applyBorder="1" applyAlignment="1"/>
    <xf numFmtId="170" fontId="87" fillId="10" borderId="31" xfId="0" applyNumberFormat="1" applyFont="1" applyFill="1" applyBorder="1" applyAlignment="1"/>
    <xf numFmtId="0" fontId="87" fillId="10" borderId="32" xfId="0" applyFont="1" applyFill="1" applyBorder="1" applyAlignment="1"/>
    <xf numFmtId="227" fontId="87" fillId="10" borderId="14" xfId="0" applyNumberFormat="1" applyFont="1" applyFill="1" applyBorder="1" applyAlignment="1"/>
    <xf numFmtId="183" fontId="69" fillId="0" borderId="29" xfId="63" applyNumberFormat="1" applyFont="1" applyFill="1" applyBorder="1" applyAlignment="1">
      <alignment horizontal="center" vertical="center" readingOrder="1"/>
    </xf>
  </cellXfs>
  <cellStyles count="77">
    <cellStyle name="20% - Accent1" xfId="24" builtinId="30" customBuiltin="1"/>
    <cellStyle name="20% - Accent2" xfId="28" builtinId="34" customBuiltin="1"/>
    <cellStyle name="20% - Accent3" xfId="31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5" builtinId="31" customBuiltin="1"/>
    <cellStyle name="40% - Accent2" xfId="29" builtinId="35" customBuiltin="1"/>
    <cellStyle name="40% - Accent3" xfId="32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52" builtinId="32" customBuiltin="1"/>
    <cellStyle name="60% - Accent2" xfId="53" builtinId="36" customBuiltin="1"/>
    <cellStyle name="60% - Accent3" xfId="27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3" builtinId="29" customBuiltin="1"/>
    <cellStyle name="Accent2" xfId="26" builtinId="33" customBuiltin="1"/>
    <cellStyle name="Accent3" xfId="30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2" builtinId="27" hidden="1"/>
    <cellStyle name="Break" xfId="46" xr:uid="{2E085D38-4DF8-4847-9D66-CB5A58C8209C}"/>
    <cellStyle name="Calculation" xfId="16" builtinId="22" hidden="1"/>
    <cellStyle name="Check" xfId="47" xr:uid="{84D34647-120A-42B4-8D1E-46EDC368C44A}"/>
    <cellStyle name="Check Cell" xfId="18" builtinId="23" hidden="1"/>
    <cellStyle name="Comma" xfId="1" builtinId="3" hidden="1"/>
    <cellStyle name="Comma [0]" xfId="2" builtinId="6" hidden="1"/>
    <cellStyle name="Comma 2" xfId="64" xr:uid="{9CA4E9A2-E2CF-4AD9-8FCD-14CC18CF4C3D}"/>
    <cellStyle name="Comma 3" xfId="76" xr:uid="{FC025C00-B5DB-46A6-BEE8-3C324E501350}"/>
    <cellStyle name="Comma 5" xfId="62" xr:uid="{D3DE1DD5-5900-44B2-AA92-47E107075F3B}"/>
    <cellStyle name="Currency" xfId="3" builtinId="4" hidden="1"/>
    <cellStyle name="Currency [0]" xfId="4" builtinId="7" hidden="1"/>
    <cellStyle name="Explanatory Text" xfId="21" builtinId="53" hidden="1"/>
    <cellStyle name="Good" xfId="11" builtinId="26" hidden="1"/>
    <cellStyle name="Heading 1" xfId="7" builtinId="16" hidden="1"/>
    <cellStyle name="Heading 2" xfId="8" builtinId="17" hidden="1"/>
    <cellStyle name="Heading 3" xfId="9" builtinId="18" hidden="1"/>
    <cellStyle name="Heading 4" xfId="10" builtinId="19" hidden="1"/>
    <cellStyle name="Hyperlink" xfId="50" builtinId="8" hidden="1"/>
    <cellStyle name="Input" xfId="14" builtinId="20" hidden="1"/>
    <cellStyle name="Input1" xfId="48" xr:uid="{87D6FA47-D090-4A57-887C-28AA861CE52E}"/>
    <cellStyle name="Input2" xfId="49" xr:uid="{08EF01E2-7230-463A-9ADE-8CBB6CF1F5E8}"/>
    <cellStyle name="Linked Cell" xfId="17" builtinId="24" hidden="1"/>
    <cellStyle name="Neutral" xfId="13" builtinId="28" hidden="1"/>
    <cellStyle name="NoData" xfId="45" xr:uid="{522D5355-456B-43ED-8227-F9F684D89527}"/>
    <cellStyle name="Normal" xfId="0" builtinId="0" customBuiltin="1"/>
    <cellStyle name="Normal 10" xfId="60" xr:uid="{6C7A3539-4729-4DD3-B39C-5336BD268363}"/>
    <cellStyle name="Normal 11" xfId="68" xr:uid="{D62088B5-C2D0-4AB9-AE8E-6EA07B4FF568}"/>
    <cellStyle name="Normal 2" xfId="57" xr:uid="{699442C4-BCE6-4E18-9D1F-161BE25D0ED6}"/>
    <cellStyle name="Normal 2 10 8" xfId="71" xr:uid="{8398E858-5539-4D0B-A495-518CE13C1106}"/>
    <cellStyle name="Normal 2 2" xfId="63" xr:uid="{38476912-008E-4D21-91D1-3B036C8F77A4}"/>
    <cellStyle name="Normal 21" xfId="58" xr:uid="{CE83D2D7-A3D8-4DC5-B589-C3C5544AE7EA}"/>
    <cellStyle name="Normal 21 2" xfId="72" xr:uid="{0EF94EE1-4316-41F1-B8C7-EA6707E1AB78}"/>
    <cellStyle name="Normal 23 2" xfId="66" xr:uid="{37696DDA-6DD6-4991-8D0D-1AA8DFFF809A}"/>
    <cellStyle name="Normal 3 2" xfId="74" xr:uid="{AB20EAAD-E0FB-441C-A275-777C543D9769}"/>
    <cellStyle name="Normal 39 2 2" xfId="61" xr:uid="{683DEF8A-A51A-4DA3-BF55-F8A83D606BF0}"/>
    <cellStyle name="Normal 7 2 2" xfId="70" xr:uid="{3CE7604B-1DD3-4BAB-AA60-E2A6AE998AF2}"/>
    <cellStyle name="Normal_Standalone" xfId="69" xr:uid="{82E3CAC4-61BB-4423-A9CB-EE4FC1001EA0}"/>
    <cellStyle name="Normal_Timetable 010209" xfId="59" xr:uid="{4571D8DC-60D3-4D47-8E2B-261B4ED18DDE}"/>
    <cellStyle name="Note" xfId="20" builtinId="10" hidden="1"/>
    <cellStyle name="Output" xfId="15" builtinId="21" hidden="1"/>
    <cellStyle name="Per cent" xfId="5" builtinId="5" hidden="1"/>
    <cellStyle name="Per cent" xfId="51" builtinId="5" hidden="1"/>
    <cellStyle name="Per cent" xfId="54" builtinId="5" hidden="1"/>
    <cellStyle name="Per cent" xfId="55" builtinId="5" hidden="1"/>
    <cellStyle name="Per cent" xfId="56" builtinId="5" hidden="1"/>
    <cellStyle name="Per cent" xfId="67" builtinId="5"/>
    <cellStyle name="Percent 2" xfId="65" xr:uid="{A12E53F0-A29E-4AD7-8AAE-CFC72C7214B8}"/>
    <cellStyle name="Percent 2 2" xfId="73" xr:uid="{BDB9A4C5-265D-4DDE-A71D-CF58AABB8CDF}"/>
    <cellStyle name="Percent 3" xfId="75" xr:uid="{37DF88BB-D9F5-4AA0-ADB3-694ABE0F8AC6}"/>
    <cellStyle name="Title" xfId="6" builtinId="15" hidden="1"/>
    <cellStyle name="Total" xfId="22" builtinId="25" hidden="1"/>
    <cellStyle name="Warning Text" xfId="19" builtinId="11" hidden="1"/>
  </cellStyles>
  <dxfs count="28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0000FF"/>
      <color rgb="FFFFFFCC"/>
      <color rgb="FF002060"/>
      <color rgb="FF008000"/>
      <color rgb="FF003366"/>
      <color rgb="FF2E00D6"/>
      <color rgb="FFFFDFD7"/>
      <color rgb="FF606060"/>
      <color rgb="FF9BD189"/>
      <color rgb="FFF4D6F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Relationship Id="rId22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508489</xdr:colOff>
      <xdr:row>18</xdr:row>
      <xdr:rowOff>133386</xdr:rowOff>
    </xdr:from>
    <xdr:to>
      <xdr:col>12</xdr:col>
      <xdr:colOff>535105</xdr:colOff>
      <xdr:row>21</xdr:row>
      <xdr:rowOff>38895</xdr:rowOff>
    </xdr:to>
    <xdr:sp macro="" textlink="">
      <xdr:nvSpPr>
        <xdr:cNvPr id="3" name="TextBox 4">
          <a:extLst>
            <a:ext uri="{FF2B5EF4-FFF2-40B4-BE49-F238E27FC236}">
              <a16:creationId xmlns:a16="http://schemas.microsoft.com/office/drawing/2014/main" id="{B635C531-1A3F-43A1-A4FB-4F6DEBF0D345}"/>
            </a:ext>
          </a:extLst>
        </xdr:cNvPr>
        <xdr:cNvSpPr txBox="1"/>
      </xdr:nvSpPr>
      <xdr:spPr>
        <a:xfrm>
          <a:off x="508489" y="2571786"/>
          <a:ext cx="6732216" cy="362709"/>
        </a:xfrm>
        <a:prstGeom prst="rect">
          <a:avLst/>
        </a:prstGeom>
        <a:noFill/>
        <a:ln>
          <a:noFill/>
        </a:ln>
      </xdr:spPr>
      <xdr:txBody>
        <a:bodyPr vert="horz" wrap="square" lIns="0" tIns="0" rIns="0" bIns="0" rtlCol="0" anchor="ctr" anchorCtr="0">
          <a:noAutofit/>
        </a:bodyPr>
        <a:lstStyle>
          <a:defPPr>
            <a:defRPr lang="fr-FR"/>
          </a:defPPr>
          <a:lvl1pPr marL="0" algn="l" defTabSz="914400" rtl="0" eaLnBrk="1" latinLnBrk="0" hangingPunct="1">
            <a:defRPr lang="en-US" sz="11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lang="en-US" sz="11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lang="en-US" sz="11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lang="en-US" sz="11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lang="en-US" sz="11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 defTabSz="1049274"/>
          <a:r>
            <a:rPr lang="en-GB" sz="2400" b="1" cap="small">
              <a:solidFill>
                <a:schemeClr val="tx2"/>
              </a:solidFill>
              <a:latin typeface="Arial" panose="020B0604020202020204" pitchFamily="34" charset="0"/>
              <a:cs typeface="Arial" panose="020B0604020202020204" pitchFamily="34" charset="0"/>
            </a:rPr>
            <a:t>Project Atlantic:</a:t>
          </a:r>
          <a:r>
            <a:rPr lang="en-GB" sz="2400" b="1" cap="small" baseline="0">
              <a:solidFill>
                <a:schemeClr val="tx2"/>
              </a:solidFill>
              <a:latin typeface="Arial" panose="020B0604020202020204" pitchFamily="34" charset="0"/>
              <a:cs typeface="Arial" panose="020B0604020202020204" pitchFamily="34" charset="0"/>
            </a:rPr>
            <a:t> Business Plan </a:t>
          </a:r>
          <a:endParaRPr lang="en-GB" sz="2400" b="1" cap="small">
            <a:solidFill>
              <a:schemeClr val="tx2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</xdr:col>
      <xdr:colOff>508489</xdr:colOff>
      <xdr:row>21</xdr:row>
      <xdr:rowOff>77905</xdr:rowOff>
    </xdr:from>
    <xdr:to>
      <xdr:col>11</xdr:col>
      <xdr:colOff>272579</xdr:colOff>
      <xdr:row>23</xdr:row>
      <xdr:rowOff>39588</xdr:rowOff>
    </xdr:to>
    <xdr:sp macro="" textlink="">
      <xdr:nvSpPr>
        <xdr:cNvPr id="4" name="TextBox 5">
          <a:extLst>
            <a:ext uri="{FF2B5EF4-FFF2-40B4-BE49-F238E27FC236}">
              <a16:creationId xmlns:a16="http://schemas.microsoft.com/office/drawing/2014/main" id="{3167B10D-3470-4617-9380-7EFDDCA70206}"/>
            </a:ext>
          </a:extLst>
        </xdr:cNvPr>
        <xdr:cNvSpPr txBox="1"/>
      </xdr:nvSpPr>
      <xdr:spPr>
        <a:xfrm>
          <a:off x="508489" y="2973505"/>
          <a:ext cx="5860090" cy="266483"/>
        </a:xfrm>
        <a:prstGeom prst="rect">
          <a:avLst/>
        </a:prstGeom>
        <a:noFill/>
        <a:ln>
          <a:noFill/>
        </a:ln>
      </xdr:spPr>
      <xdr:txBody>
        <a:bodyPr vert="horz" wrap="square" lIns="0" tIns="0" rIns="0" bIns="0" rtlCol="0" anchor="ctr" anchorCtr="0">
          <a:noAutofit/>
        </a:bodyPr>
        <a:lstStyle>
          <a:defPPr>
            <a:defRPr lang="fr-FR"/>
          </a:defPPr>
          <a:lvl1pPr marL="0" algn="l" defTabSz="914400" rtl="0" eaLnBrk="1" latinLnBrk="0" hangingPunct="1">
            <a:defRPr lang="en-US" sz="11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lang="en-US" sz="11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lang="en-US" sz="11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lang="en-US" sz="11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lang="en-US" sz="11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 defTabSz="1049274"/>
          <a:r>
            <a:rPr lang="es-ES" sz="1800" b="1" kern="1200" cap="small" baseline="0" dirty="0">
              <a:solidFill>
                <a:schemeClr val="tx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October</a:t>
          </a:r>
          <a:r>
            <a:rPr lang="es-ES" sz="1800" b="1" kern="1200" cap="small" baseline="0" dirty="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r>
            <a:rPr lang="es-ES" sz="1800" b="1" kern="1200" cap="small" baseline="0" dirty="0">
              <a:solidFill>
                <a:schemeClr val="tx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2025</a:t>
          </a:r>
          <a:endParaRPr sz="1800" b="1" dirty="0">
            <a:solidFill>
              <a:schemeClr val="tx2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</xdr:col>
      <xdr:colOff>508489</xdr:colOff>
      <xdr:row>17</xdr:row>
      <xdr:rowOff>148005</xdr:rowOff>
    </xdr:from>
    <xdr:to>
      <xdr:col>12</xdr:col>
      <xdr:colOff>536608</xdr:colOff>
      <xdr:row>17</xdr:row>
      <xdr:rowOff>148005</xdr:rowOff>
    </xdr:to>
    <xdr:cxnSp macro="">
      <xdr:nvCxnSpPr>
        <xdr:cNvPr id="5" name="Straight Connector 6">
          <a:extLst>
            <a:ext uri="{FF2B5EF4-FFF2-40B4-BE49-F238E27FC236}">
              <a16:creationId xmlns:a16="http://schemas.microsoft.com/office/drawing/2014/main" id="{DC27A5BF-2B20-4A92-B9E0-A5C48764EEE3}"/>
            </a:ext>
          </a:extLst>
        </xdr:cNvPr>
        <xdr:cNvCxnSpPr/>
      </xdr:nvCxnSpPr>
      <xdr:spPr>
        <a:xfrm>
          <a:off x="508489" y="2434005"/>
          <a:ext cx="6733719" cy="0"/>
        </a:xfrm>
        <a:prstGeom prst="line">
          <a:avLst/>
        </a:prstGeom>
        <a:ln w="19050">
          <a:solidFill>
            <a:schemeClr val="accent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508489</xdr:colOff>
      <xdr:row>24</xdr:row>
      <xdr:rowOff>42498</xdr:rowOff>
    </xdr:from>
    <xdr:to>
      <xdr:col>12</xdr:col>
      <xdr:colOff>536608</xdr:colOff>
      <xdr:row>24</xdr:row>
      <xdr:rowOff>42498</xdr:rowOff>
    </xdr:to>
    <xdr:cxnSp macro="">
      <xdr:nvCxnSpPr>
        <xdr:cNvPr id="6" name="Straight Connector 6">
          <a:extLst>
            <a:ext uri="{FF2B5EF4-FFF2-40B4-BE49-F238E27FC236}">
              <a16:creationId xmlns:a16="http://schemas.microsoft.com/office/drawing/2014/main" id="{1AFDF758-8953-49C5-A3D6-853D4C40DFE1}"/>
            </a:ext>
          </a:extLst>
        </xdr:cNvPr>
        <xdr:cNvCxnSpPr/>
      </xdr:nvCxnSpPr>
      <xdr:spPr>
        <a:xfrm>
          <a:off x="508489" y="3395298"/>
          <a:ext cx="6733719" cy="0"/>
        </a:xfrm>
        <a:prstGeom prst="line">
          <a:avLst/>
        </a:prstGeom>
        <a:ln w="19050">
          <a:solidFill>
            <a:schemeClr val="accent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WINDOWS\TEMP\AOP%20Templates%2020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bert%20godefroid\Local%20Settings\Temporary%20Internet%20Files\OLK84\Gezamelijke%20documenten\Fondsen\NeSBIC%20Buy%20Out%20Fund\Projects\Targets\Margriet\Valuation%20and%20models\Jeroen\Models\bleustone7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y%20Documents\Projects\Group\EXT\International%20Proposals\Honduras%2008000\Financial%20Model\Honduras%20Model%20Ver%20PP%20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Hypapps\Private%20Data\BAP\2002%20AOP\Final%20Templates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SILITA%2030060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DRIVERS"/>
      <sheetName val="Contacts"/>
      <sheetName val="Header"/>
      <sheetName val="AOP Summary-1"/>
      <sheetName val="AOP Summary-2"/>
      <sheetName val="AOP P&amp;L"/>
      <sheetName val="AOP Sales Growth"/>
      <sheetName val="AOP Sales Bridge (FY)"/>
      <sheetName val="AOP Op Inc. Bridge (FY)"/>
      <sheetName val="AOP Inc. Stmt"/>
      <sheetName val="AOP NI Bridge (FY)"/>
      <sheetName val="AOP FCF "/>
      <sheetName val="AOP CAPEX"/>
      <sheetName val="AOP CAPEX Detail"/>
      <sheetName val="AOP Cash Conversion"/>
      <sheetName val="AOP Cash Flow Bridge (FY) "/>
      <sheetName val="AOP CWC"/>
      <sheetName val="AOP CWC-2"/>
      <sheetName val="AOP Receivables"/>
      <sheetName val="AOP Inventory "/>
      <sheetName val="AOP Trade Payables"/>
      <sheetName val="AOP Avg. Inv."/>
      <sheetName val="AOP ROI"/>
      <sheetName val="AOP Warranty"/>
      <sheetName val="AOP Quarterly Key Ind"/>
      <sheetName val="AOP SBU SBE Totals "/>
      <sheetName val="AOP SBU SBE Totals-2"/>
      <sheetName val="AOP SBE Trends"/>
      <sheetName val="AOP SBE ROI Leaders"/>
      <sheetName val="AOP Headcount"/>
      <sheetName val="AOP R&amp;O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ExSum"/>
      <sheetName val="Ass."/>
      <sheetName val="Deal"/>
      <sheetName val="S&amp;LB"/>
      <sheetName val="P&amp;L Consolidated"/>
      <sheetName val="Ops Divisions NIF"/>
      <sheetName val="BAL"/>
      <sheetName val="P&amp;l Divisions NIF"/>
      <sheetName val="Ops concern-level"/>
      <sheetName val="CF"/>
      <sheetName val="Rat"/>
      <sheetName val="Ex"/>
      <sheetName val="IRR"/>
      <sheetName val="Val"/>
      <sheetName val="Drivers"/>
      <sheetName val="Sensitivity"/>
      <sheetName val="Chart"/>
      <sheetName val="Tree"/>
      <sheetName val="PFOB"/>
      <sheetName val="SDcol"/>
      <sheetName val="IP"/>
      <sheetName val="Ops management"/>
      <sheetName val="P&amp;L Mngt"/>
      <sheetName val="P&amp;L Divisions Mngt"/>
      <sheetName val="Module1"/>
      <sheetName val="Module2"/>
      <sheetName val="Module3"/>
      <sheetName val="System"/>
      <sheetName val="Tables"/>
      <sheetName val="entity"/>
      <sheetName val="AnmII"/>
      <sheetName val="Set-up 2"/>
      <sheetName val="ORU list"/>
      <sheetName val="Balance Rates History"/>
      <sheetName val="NOC - Currency"/>
      <sheetName val="ORU's"/>
      <sheetName val="Z. Appendix"/>
      <sheetName val="Lists"/>
      <sheetName val="Input"/>
      <sheetName val="List of Entities"/>
      <sheetName val="Baseline input"/>
      <sheetName val="Seasonality"/>
      <sheetName val="1. Guideline"/>
      <sheetName val="Trade debtors"/>
      <sheetName val="Data valida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 &amp; HISTORICAL DATA"/>
      <sheetName val="AV STATS"/>
      <sheetName val="FINANCIAL PROJECTIONS"/>
      <sheetName val="FLITE SCHED"/>
      <sheetName val="HIST REV"/>
      <sheetName val="FUT REV"/>
      <sheetName val="Sheet2"/>
      <sheetName val="SALARIES"/>
      <sheetName val="CAPEX"/>
      <sheetName val="LOAN T1"/>
      <sheetName val="LOAN T2"/>
      <sheetName val="LOAN T3"/>
      <sheetName val="insur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DRIVERS"/>
      <sheetName val="Contacts"/>
      <sheetName val="Section Break"/>
      <sheetName val="AOP SBU Trends"/>
      <sheetName val="Controls"/>
      <sheetName val="Control Actions"/>
      <sheetName val="Business Mix"/>
      <sheetName val="Market Share"/>
      <sheetName val="AOP Summary-1"/>
      <sheetName val="AOP Summary-2"/>
      <sheetName val="AOP P&amp;L"/>
      <sheetName val="AOP Sales Growth"/>
      <sheetName val="NI Bridge"/>
      <sheetName val="Costs"/>
      <sheetName val="Repositioning"/>
      <sheetName val="Supply  Management"/>
      <sheetName val="Six Sigma Summary"/>
      <sheetName val="IT Financial Profile"/>
      <sheetName val="Appl Initiatives"/>
      <sheetName val="Digitization Fin Summ"/>
      <sheetName val="AOP R&amp;D Detail"/>
      <sheetName val="AOP Cash Conversion"/>
      <sheetName val="CF Bridge"/>
      <sheetName val="AOP CWC-2"/>
      <sheetName val="AOP Receivables"/>
      <sheetName val="AOP Inventory "/>
      <sheetName val="AOP Trade Payables"/>
      <sheetName val="AOP CAPEX"/>
      <sheetName val="AOP Quarterly Key Ind"/>
      <sheetName val="AOP R&amp;O "/>
      <sheetName val="Contingencies"/>
      <sheetName val="Learning"/>
      <sheetName val="AOP SBE Trends"/>
      <sheetName val="AOP SBU SBE Totals "/>
      <sheetName val="AOP SBU SBE Totals-2"/>
      <sheetName val="BackUp"/>
      <sheetName val="AOP Inc. Stmt"/>
      <sheetName val="AOP FCF "/>
      <sheetName val="AOP CAPEX Detail"/>
      <sheetName val="AOP Avg. Inv."/>
      <sheetName val="AOP ROI"/>
      <sheetName val="AOP SBE ROI Leakers"/>
      <sheetName val="AOP Headcount"/>
      <sheetName val="Sheet1"/>
      <sheetName val="Quality"/>
      <sheetName val="ECC  QTD"/>
      <sheetName val="Final Templates"/>
      <sheetName val="People and Overhead"/>
      <sheetName val="Driver Info"/>
      <sheetName val="LOB"/>
      <sheetName val="Section_Break"/>
      <sheetName val="AOP_SBU_Trends"/>
      <sheetName val="Control_Actions"/>
      <sheetName val="Business_Mix"/>
      <sheetName val="Market_Share"/>
      <sheetName val="AOP_Summary-1"/>
      <sheetName val="AOP_Summary-2"/>
      <sheetName val="AOP_P&amp;L"/>
      <sheetName val="AOP_Sales_Growth"/>
      <sheetName val="NI_Bridge"/>
      <sheetName val="Supply__Management"/>
      <sheetName val="Six_Sigma_Summary"/>
      <sheetName val="IT_Financial_Profile"/>
      <sheetName val="Appl_Initiatives"/>
      <sheetName val="Digitization_Fin_Summ"/>
      <sheetName val="AOP_R&amp;D_Detail"/>
      <sheetName val="AOP_Cash_Conversion"/>
      <sheetName val="CF_Bridge"/>
      <sheetName val="AOP_CWC-2"/>
      <sheetName val="AOP_Receivables"/>
      <sheetName val="AOP_Inventory_"/>
      <sheetName val="AOP_Trade_Payables"/>
      <sheetName val="AOP_CAPEX"/>
      <sheetName val="AOP_Quarterly_Key_Ind"/>
      <sheetName val="AOP_R&amp;O_"/>
      <sheetName val="AOP_SBE_Trends"/>
      <sheetName val="AOP_SBU_SBE_Totals_"/>
      <sheetName val="AOP_SBU_SBE_Totals-2"/>
      <sheetName val="AOP_Inc__Stmt"/>
      <sheetName val="AOP_FCF_"/>
      <sheetName val="AOP_CAPEX_Detail"/>
      <sheetName val="AOP_Avg__Inv_"/>
      <sheetName val="AOP_ROI"/>
      <sheetName val="AOP_SBE_ROI_Leakers"/>
      <sheetName val="AOP_Headcount"/>
      <sheetName val="Section_Break1"/>
      <sheetName val="AOP_SBU_Trends1"/>
      <sheetName val="Control_Actions1"/>
      <sheetName val="Business_Mix1"/>
      <sheetName val="Market_Share1"/>
      <sheetName val="AOP_Summary-11"/>
      <sheetName val="AOP_Summary-21"/>
      <sheetName val="AOP_P&amp;L1"/>
      <sheetName val="AOP_Sales_Growth1"/>
      <sheetName val="NI_Bridge1"/>
      <sheetName val="Supply__Management1"/>
      <sheetName val="Six_Sigma_Summary1"/>
      <sheetName val="IT_Financial_Profile1"/>
      <sheetName val="Appl_Initiatives1"/>
      <sheetName val="Digitization_Fin_Summ1"/>
      <sheetName val="AOP_R&amp;D_Detail1"/>
      <sheetName val="AOP_Cash_Conversion1"/>
      <sheetName val="CF_Bridge1"/>
      <sheetName val="AOP_CWC-21"/>
      <sheetName val="AOP_Receivables1"/>
      <sheetName val="AOP_Inventory_1"/>
      <sheetName val="AOP_Trade_Payables1"/>
      <sheetName val="AOP_CAPEX1"/>
      <sheetName val="AOP_Quarterly_Key_Ind1"/>
      <sheetName val="AOP_R&amp;O_1"/>
      <sheetName val="AOP_SBE_Trends1"/>
      <sheetName val="AOP_SBU_SBE_Totals_1"/>
      <sheetName val="AOP_SBU_SBE_Totals-21"/>
      <sheetName val="AOP_Inc__Stmt1"/>
      <sheetName val="AOP_FCF_1"/>
      <sheetName val="AOP_CAPEX_Detail1"/>
      <sheetName val="AOP_Avg__Inv_1"/>
      <sheetName val="AOP_ROI1"/>
      <sheetName val="AOP_SBE_ROI_Leakers1"/>
      <sheetName val="AOP_Headcount1"/>
      <sheetName val="ECC__QTD"/>
      <sheetName val="Final_Templates"/>
      <sheetName val="People_and_Overhead"/>
      <sheetName val="Driver_Info"/>
      <sheetName val="Section_Break2"/>
      <sheetName val="AOP_SBU_Trends2"/>
      <sheetName val="Control_Actions2"/>
      <sheetName val="Business_Mix2"/>
      <sheetName val="Market_Share2"/>
      <sheetName val="AOP_Summary-12"/>
      <sheetName val="AOP_Summary-22"/>
      <sheetName val="AOP_P&amp;L2"/>
      <sheetName val="AOP_Sales_Growth2"/>
      <sheetName val="NI_Bridge2"/>
      <sheetName val="Supply__Management2"/>
      <sheetName val="Six_Sigma_Summary2"/>
      <sheetName val="IT_Financial_Profile2"/>
      <sheetName val="Appl_Initiatives2"/>
      <sheetName val="Digitization_Fin_Summ2"/>
      <sheetName val="AOP_R&amp;D_Detail2"/>
      <sheetName val="AOP_Cash_Conversion2"/>
      <sheetName val="CF_Bridge2"/>
      <sheetName val="AOP_CWC-22"/>
      <sheetName val="AOP_Receivables2"/>
      <sheetName val="AOP_Inventory_2"/>
      <sheetName val="AOP_Trade_Payables2"/>
      <sheetName val="AOP_CAPEX2"/>
      <sheetName val="AOP_Quarterly_Key_Ind2"/>
      <sheetName val="AOP_R&amp;O_2"/>
      <sheetName val="AOP_SBE_Trends2"/>
      <sheetName val="AOP_SBU_SBE_Totals_2"/>
      <sheetName val="AOP_SBU_SBE_Totals-22"/>
      <sheetName val="AOP_Inc__Stmt2"/>
      <sheetName val="AOP_FCF_2"/>
      <sheetName val="AOP_CAPEX_Detail2"/>
      <sheetName val="AOP_Avg__Inv_2"/>
      <sheetName val="AOP_ROI2"/>
      <sheetName val="AOP_SBE_ROI_Leakers2"/>
      <sheetName val="AOP_Headcount2"/>
      <sheetName val="ECC__QTD1"/>
      <sheetName val="Final_Templates1"/>
      <sheetName val="People_and_Overhead1"/>
      <sheetName val="Driver_Inf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2">
          <cell r="A2" t="str">
            <v>Category:</v>
          </cell>
        </row>
        <row r="3">
          <cell r="A3" t="str">
            <v>Period:</v>
          </cell>
        </row>
        <row r="4">
          <cell r="A4" t="str">
            <v>Frequency:</v>
          </cell>
        </row>
        <row r="5">
          <cell r="A5" t="str">
            <v>Application:</v>
          </cell>
        </row>
        <row r="6">
          <cell r="A6" t="str">
            <v>Account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ontsheet"/>
      <sheetName val="Spainconsol"/>
      <sheetName val="Forecast"/>
      <sheetName val="Printing"/>
      <sheetName val="Complete model"/>
      <sheetName val="Comparison"/>
      <sheetName val="Vols OHD"/>
      <sheetName val="Cons PL EURO"/>
      <sheetName val="Consol CF"/>
      <sheetName val="Consol BS Hyperion"/>
      <sheetName val="Consol BS EURO"/>
      <sheetName val="Working Capital bud02"/>
      <sheetName val="Working Capital 03"/>
      <sheetName val="Spainvols actual"/>
      <sheetName val="Spainvols budget"/>
      <sheetName val="Seasonality"/>
      <sheetName val="Shareholder interest"/>
      <sheetName val="Budet input to JDE"/>
      <sheetName val="fcast for DT"/>
      <sheetName val="Iplast"/>
      <sheetName val="Iplast volumes"/>
      <sheetName val="Working Capital Iplast"/>
      <sheetName val="Mallorca"/>
      <sheetName val="Mallorca volumes"/>
      <sheetName val="Working Capital PB"/>
      <sheetName val="Cabreiroa"/>
      <sheetName val="Working Capital Cabreiroa"/>
      <sheetName val="Fontoira"/>
      <sheetName val="Working Capital Fontoira"/>
      <sheetName val="Coosur"/>
      <sheetName val="Working Capital Coosur"/>
      <sheetName val="Olilan"/>
      <sheetName val="Working Capital Olilan"/>
      <sheetName val="FT"/>
      <sheetName val="FA"/>
      <sheetName val="AM"/>
      <sheetName val="NICentral"/>
      <sheetName val="Working Capital NIC"/>
      <sheetName val="CAPEX timings"/>
      <sheetName val="Site PL €"/>
      <sheetName val="Spain PL €"/>
      <sheetName val="Iplast PL €"/>
      <sheetName val="Mallorca PL €"/>
      <sheetName val="Cab. PL €"/>
      <sheetName val="Fontoira PL €"/>
      <sheetName val="Coosur PL €"/>
      <sheetName val="Olilan PL €"/>
      <sheetName val="FT PL €"/>
      <sheetName val="FA PL €"/>
      <sheetName val="AM PL €"/>
      <sheetName val="NIC PL €"/>
      <sheetName val="graph data"/>
      <sheetName val="graphs"/>
      <sheetName val="Complete_model"/>
      <sheetName val="Vols_OHD"/>
      <sheetName val="Cons_PL_EURO"/>
      <sheetName val="Consol_CF"/>
      <sheetName val="Consol_BS_Hyperion"/>
      <sheetName val="Consol_BS_EURO"/>
      <sheetName val="Working_Capital_bud02"/>
      <sheetName val="Working_Capital_03"/>
      <sheetName val="Spainvols_actual"/>
      <sheetName val="Spainvols_budget"/>
      <sheetName val="Shareholder_interest"/>
      <sheetName val="Budet_input_to_JDE"/>
      <sheetName val="fcast_for_DT"/>
      <sheetName val="Iplast_volumes"/>
      <sheetName val="Working_Capital_Iplast"/>
      <sheetName val="Mallorca_volumes"/>
      <sheetName val="Working_Capital_PB"/>
      <sheetName val="Working_Capital_Cabreiroa"/>
      <sheetName val="Working_Capital_Fontoira"/>
      <sheetName val="Working_Capital_Coosur"/>
      <sheetName val="Working_Capital_Olilan"/>
      <sheetName val="Working_Capital_NIC"/>
      <sheetName val="CAPEX_timings"/>
      <sheetName val="Site_PL_€"/>
      <sheetName val="Spain_PL_€"/>
      <sheetName val="Iplast_PL_€"/>
      <sheetName val="Mallorca_PL_€"/>
      <sheetName val="Cab__PL_€"/>
      <sheetName val="Fontoira_PL_€"/>
      <sheetName val="Coosur_PL_€"/>
      <sheetName val="Olilan_PL_€"/>
      <sheetName val="FT_PL_€"/>
      <sheetName val="FA_PL_€"/>
      <sheetName val="AM_PL_€"/>
      <sheetName val="NIC_PL_€"/>
      <sheetName val="graph_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17">
          <cell r="B17" t="str">
            <v>Oct</v>
          </cell>
        </row>
        <row r="19">
          <cell r="B19">
            <v>7.4070795907762235E-2</v>
          </cell>
          <cell r="C19">
            <v>6.8971693858476832E-2</v>
          </cell>
          <cell r="D19">
            <v>5.4105694977463446E-2</v>
          </cell>
          <cell r="E19">
            <v>8.9463323382402385E-2</v>
          </cell>
          <cell r="F19">
            <v>7.8718352379639117E-2</v>
          </cell>
          <cell r="G19">
            <v>7.6661677522578076E-2</v>
          </cell>
          <cell r="H19">
            <v>9.9334661383666534E-2</v>
          </cell>
          <cell r="I19">
            <v>8.9424600042843555E-2</v>
          </cell>
          <cell r="J19">
            <v>9.1680650220794829E-2</v>
          </cell>
          <cell r="K19">
            <v>9.4438123813993816E-2</v>
          </cell>
          <cell r="L19">
            <v>8.9709478069387297E-2</v>
          </cell>
          <cell r="M19">
            <v>9.3420948440991858E-2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</sheetDataSet>
  </externalBook>
</externalLink>
</file>

<file path=xl/theme/theme1.xml><?xml version="1.0" encoding="utf-8"?>
<a:theme xmlns:a="http://schemas.openxmlformats.org/drawingml/2006/main" name="Atlantic2">
  <a:themeElements>
    <a:clrScheme name="Custom 13">
      <a:dk1>
        <a:srgbClr val="212121"/>
      </a:dk1>
      <a:lt1>
        <a:sysClr val="window" lastClr="FFFFFF"/>
      </a:lt1>
      <a:dk2>
        <a:srgbClr val="37793B"/>
      </a:dk2>
      <a:lt2>
        <a:srgbClr val="7F7F7F"/>
      </a:lt2>
      <a:accent1>
        <a:srgbClr val="BED43C"/>
      </a:accent1>
      <a:accent2>
        <a:srgbClr val="5FAD44"/>
      </a:accent2>
      <a:accent3>
        <a:srgbClr val="9E7A4F"/>
      </a:accent3>
      <a:accent4>
        <a:srgbClr val="FFD953"/>
      </a:accent4>
      <a:accent5>
        <a:srgbClr val="FAA204"/>
      </a:accent5>
      <a:accent6>
        <a:srgbClr val="FF613A"/>
      </a:accent6>
      <a:hlink>
        <a:srgbClr val="A5A5A5"/>
      </a:hlink>
      <a:folHlink>
        <a:srgbClr val="26B6DA"/>
      </a:folHlink>
    </a:clrScheme>
    <a:fontScheme name="Custom 21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E5E5E5"/>
        </a:solidFill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a:spPr>
      <a:bodyPr rtlCol="0" anchor="ctr"/>
      <a:lstStyle>
        <a:defPPr algn="ctr">
          <a:defRPr sz="900" dirty="0" smtClean="0">
            <a:solidFill>
              <a:schemeClr val="tx2"/>
            </a:solidFill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>
        <a:ln>
          <a:solidFill>
            <a:srgbClr val="A8A8A8"/>
          </a:solidFill>
          <a:headEnd type="none" w="med" len="med"/>
          <a:tailEnd type="none" w="med" len="med"/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</a:objectDefaults>
  <a:extraClrSchemeLst/>
  <a:custClrLst>
    <a:custClr name="EVR Blue 1">
      <a:srgbClr val="264D82"/>
    </a:custClr>
    <a:custClr name="EVR Blue 2">
      <a:srgbClr val="0069AA"/>
    </a:custClr>
    <a:custClr name="EVR Blue 3">
      <a:srgbClr val="6A97D4"/>
    </a:custClr>
    <a:custClr name="EVR Blue 4">
      <a:srgbClr val="A8C3E6"/>
    </a:custClr>
    <a:custClr name="EVR Blue 5">
      <a:srgbClr val="D1E2FF"/>
    </a:custClr>
    <a:custClr name="EVR Blue 6">
      <a:srgbClr val="E1EAF6"/>
    </a:custClr>
    <a:custClr name="EVR MarineGreen Text">
      <a:srgbClr val="408487"/>
    </a:custClr>
    <a:custClr name="EVR MarineGreen 1">
      <a:srgbClr val="9EC6C5"/>
    </a:custClr>
    <a:custClr name="EVR MarineGreen 2">
      <a:srgbClr val="C8DEDE"/>
    </a:custClr>
    <a:custClr name="EVR MarineGreen 3">
      <a:srgbClr val="D8E8E8"/>
    </a:custClr>
    <a:custClr name="EVR Orange 1">
      <a:srgbClr val="EB8521"/>
    </a:custClr>
    <a:custClr name="EVR Orange 2">
      <a:srgbClr val="ECA321"/>
    </a:custClr>
    <a:custClr name="EVR Orange 3">
      <a:srgbClr val="F3C571"/>
    </a:custClr>
    <a:custClr name="EVR Orange 4">
      <a:srgbClr val="F6D498"/>
    </a:custClr>
    <a:custClr name="EVR Orange 5">
      <a:srgbClr val="FBE7D3"/>
    </a:custClr>
    <a:custClr name="EVR Green 1">
      <a:srgbClr val="53780A"/>
    </a:custClr>
    <a:custClr name="EVR Green 2">
      <a:srgbClr val="8AAD46"/>
    </a:custClr>
    <a:custClr name="EVR Green 3">
      <a:srgbClr val="BDD18F"/>
    </a:custClr>
    <a:custClr name="EVR Green 4">
      <a:srgbClr val="D6E3BB"/>
    </a:custClr>
    <a:custClr name="EVR Red 1">
      <a:srgbClr val="8A0000"/>
    </a:custClr>
    <a:custClr name="EVR Red 2">
      <a:srgbClr val="C10202"/>
    </a:custClr>
    <a:custClr name="EVR Red 3">
      <a:srgbClr val="DD4637"/>
    </a:custClr>
    <a:custClr name="EVR Red 4">
      <a:srgbClr val="EA9086"/>
    </a:custClr>
    <a:custClr name="EVR Red 5">
      <a:srgbClr val="F3C0BB"/>
    </a:custClr>
    <a:custClr name="EVR Teal 1">
      <a:srgbClr val="00A29E"/>
    </a:custClr>
    <a:custClr name="EVR Teal 2">
      <a:srgbClr val="14C0B8"/>
    </a:custClr>
    <a:custClr name="EVR Teal 3">
      <a:srgbClr val="73CCCA"/>
    </a:custClr>
    <a:custClr name="EVR Teal 4">
      <a:srgbClr val="A3DFDD"/>
    </a:custClr>
    <a:custClr name="EVR Purple 1">
      <a:srgbClr val="312248"/>
    </a:custClr>
    <a:custClr name="EVR Purple 2">
      <a:srgbClr val="695189"/>
    </a:custClr>
    <a:custClr name="EVR Purple 3">
      <a:srgbClr val="AC8DB5"/>
    </a:custClr>
    <a:custClr name="EVR Purple 4">
      <a:srgbClr val="CCB7D1"/>
    </a:custClr>
    <a:custClr name="EVR Yellow 1">
      <a:srgbClr val="FACA00"/>
    </a:custClr>
    <a:custClr name="EVR Yellow 2">
      <a:srgbClr val="FFDB43"/>
    </a:custClr>
    <a:custClr name="EVR Yellow 3">
      <a:srgbClr val="FFE67D"/>
    </a:custClr>
    <a:custClr name="EVR Yellow 4">
      <a:srgbClr val="FFEEAF"/>
    </a:custClr>
    <a:custClr name="EVR Grey 1">
      <a:srgbClr val="7F7F7F"/>
    </a:custClr>
    <a:custClr name="EVR Grey 2">
      <a:srgbClr val="A8A8A8"/>
    </a:custClr>
    <a:custClr name="EVR Grey 3">
      <a:srgbClr val="BFBFBF"/>
    </a:custClr>
    <a:custClr name="EVR Grey 4">
      <a:srgbClr val="D9D9D9"/>
    </a:custClr>
    <a:custClr name="EVR Grey 5">
      <a:srgbClr val="F2F2F2"/>
    </a:custClr>
    <a:custClr name="EVR Pantone Blue">
      <a:srgbClr val="282969"/>
    </a:custClr>
  </a:custClrLst>
  <a:extLst>
    <a:ext uri="{05A4C25C-085E-4340-85A3-A5531E510DB2}">
      <thm15:themeFamily xmlns:thm15="http://schemas.microsoft.com/office/thememl/2012/main" name="Atlantic2" id="{40707B24-6877-4B35-AD4E-9B66BD281AC8}" vid="{8B7ED693-F953-4972-816C-48F6B4468DEC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6C9703F-6097-43AA-A016-436649102114}">
  <we:reference id="f53bac05-48fe-4cc3-97fd-89712d4c6174" version="1.0.0.0" store="developer" storeType="Registry"/>
  <we:alternateReferences/>
  <we:properties/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F33F8-EB32-4142-88F0-989579AC489F}">
  <sheetPr codeName="Sheet3">
    <tabColor rgb="FFC00000"/>
  </sheetPr>
  <dimension ref="A2:D21"/>
  <sheetViews>
    <sheetView showGridLines="0" zoomScaleNormal="100" workbookViewId="0"/>
  </sheetViews>
  <sheetFormatPr defaultColWidth="9.125" defaultRowHeight="12" customHeight="1"/>
  <cols>
    <col min="1" max="1" width="2.75" style="4" customWidth="1"/>
    <col min="2" max="2" width="4" style="5" bestFit="1" customWidth="1"/>
    <col min="3" max="3" width="21.875" style="1" customWidth="1"/>
    <col min="4" max="4" width="12.875" style="1" customWidth="1"/>
    <col min="5" max="16384" width="9.125" style="5"/>
  </cols>
  <sheetData>
    <row r="2" spans="1:4" ht="12" customHeight="1">
      <c r="B2" s="11" t="s">
        <v>32</v>
      </c>
      <c r="C2" s="2"/>
      <c r="D2" s="2"/>
    </row>
    <row r="3" spans="1:4" s="9" customFormat="1" ht="12" customHeight="1">
      <c r="A3" s="6"/>
      <c r="B3" s="7"/>
      <c r="C3" s="8"/>
      <c r="D3" s="8"/>
    </row>
    <row r="4" spans="1:4" ht="12" customHeight="1">
      <c r="B4" s="5" t="s">
        <v>14</v>
      </c>
      <c r="D4" s="16" t="e">
        <f>+#REF!</f>
        <v>#REF!</v>
      </c>
    </row>
    <row r="5" spans="1:4" ht="12" customHeight="1">
      <c r="B5" s="5" t="s">
        <v>33</v>
      </c>
      <c r="D5" s="16" t="e">
        <f>+#REF!</f>
        <v>#REF!</v>
      </c>
    </row>
    <row r="6" spans="1:4" ht="12" customHeight="1">
      <c r="B6" s="5" t="s">
        <v>23</v>
      </c>
      <c r="D6" s="16" t="e">
        <f>+#REF!</f>
        <v>#REF!</v>
      </c>
    </row>
    <row r="7" spans="1:4" ht="12" customHeight="1">
      <c r="B7" s="5" t="s">
        <v>25</v>
      </c>
      <c r="D7" s="16" t="e">
        <f>+#REF!</f>
        <v>#REF!</v>
      </c>
    </row>
    <row r="8" spans="1:4" ht="12" customHeight="1">
      <c r="B8" s="5" t="s">
        <v>26</v>
      </c>
      <c r="D8" s="16" t="e">
        <f>+#REF!</f>
        <v>#REF!</v>
      </c>
    </row>
    <row r="9" spans="1:4" ht="12" customHeight="1">
      <c r="B9" s="5" t="s">
        <v>24</v>
      </c>
      <c r="D9" s="16" t="e">
        <f>+#REF!</f>
        <v>#REF!</v>
      </c>
    </row>
    <row r="10" spans="1:4" ht="12" customHeight="1">
      <c r="B10" s="5" t="s">
        <v>27</v>
      </c>
      <c r="D10" s="16" t="e">
        <f>+#REF!</f>
        <v>#REF!</v>
      </c>
    </row>
    <row r="11" spans="1:4" ht="12" customHeight="1">
      <c r="B11" s="5" t="s">
        <v>4</v>
      </c>
      <c r="D11" s="16" t="e">
        <f>+#REF!</f>
        <v>#REF!</v>
      </c>
    </row>
    <row r="12" spans="1:4" ht="12" customHeight="1">
      <c r="B12" s="5" t="s">
        <v>5</v>
      </c>
      <c r="D12" s="16" t="e">
        <f>+#REF!</f>
        <v>#REF!</v>
      </c>
    </row>
    <row r="13" spans="1:4" ht="12" customHeight="1">
      <c r="B13" s="5" t="s">
        <v>28</v>
      </c>
      <c r="D13" s="16" t="e">
        <f>+#REF!</f>
        <v>#REF!</v>
      </c>
    </row>
    <row r="14" spans="1:4" ht="12" customHeight="1">
      <c r="B14" s="5" t="s">
        <v>12</v>
      </c>
      <c r="D14" s="16" t="e">
        <f>+#REF!</f>
        <v>#REF!</v>
      </c>
    </row>
    <row r="15" spans="1:4" ht="12" customHeight="1">
      <c r="B15" s="5" t="s">
        <v>19</v>
      </c>
      <c r="D15" s="16" t="e">
        <f>+#REF!</f>
        <v>#REF!</v>
      </c>
    </row>
    <row r="16" spans="1:4" ht="12" customHeight="1">
      <c r="B16" s="5" t="s">
        <v>20</v>
      </c>
      <c r="D16" s="16" t="e">
        <f>+#REF!</f>
        <v>#REF!</v>
      </c>
    </row>
    <row r="17" spans="2:4" ht="12" customHeight="1">
      <c r="B17" s="5" t="s">
        <v>9</v>
      </c>
      <c r="D17" s="16" t="e">
        <f>+#REF!</f>
        <v>#REF!</v>
      </c>
    </row>
    <row r="18" spans="2:4" ht="12" customHeight="1">
      <c r="B18" s="5" t="s">
        <v>10</v>
      </c>
      <c r="D18" s="16" t="e">
        <f>+#REF!</f>
        <v>#REF!</v>
      </c>
    </row>
    <row r="19" spans="2:4" ht="12" customHeight="1">
      <c r="B19" s="5" t="s">
        <v>15</v>
      </c>
      <c r="D19" s="16" t="e">
        <f>+#REF!</f>
        <v>#REF!</v>
      </c>
    </row>
    <row r="20" spans="2:4" ht="12" customHeight="1">
      <c r="B20" s="5" t="s">
        <v>31</v>
      </c>
      <c r="D20" s="16" t="e">
        <f>+#REF!</f>
        <v>#REF!</v>
      </c>
    </row>
    <row r="21" spans="2:4" ht="12" customHeight="1">
      <c r="B21" s="10" t="s">
        <v>17</v>
      </c>
      <c r="C21" s="3"/>
      <c r="D21" s="285" t="e">
        <f>SUM(D4:D20)</f>
        <v>#REF!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8E672-B39C-4686-87AE-C9AC4B15C4A8}">
  <sheetPr codeName="Sheet4">
    <tabColor theme="1" tint="9.9978637043366805E-2"/>
  </sheetPr>
  <dimension ref="A1:Q33"/>
  <sheetViews>
    <sheetView showGridLines="0" zoomScaleNormal="100" workbookViewId="0">
      <selection activeCell="C28" sqref="C28"/>
    </sheetView>
  </sheetViews>
  <sheetFormatPr defaultColWidth="0" defaultRowHeight="12" customHeight="1" zeroHeight="1"/>
  <cols>
    <col min="1" max="1" width="0.375" style="14" customWidth="1"/>
    <col min="2" max="14" width="9.125" style="14" customWidth="1"/>
    <col min="15" max="15" width="0.25" style="14" customWidth="1"/>
    <col min="16" max="16" width="9.125" style="14" hidden="1" customWidth="1"/>
    <col min="17" max="17" width="2.75" style="14" hidden="1" customWidth="1"/>
    <col min="18" max="16384" width="9.125" style="14" hidden="1"/>
  </cols>
  <sheetData>
    <row r="1" spans="1:15" ht="2.85" customHeight="1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ht="12" customHeight="1">
      <c r="A2" s="15"/>
      <c r="O2" s="15"/>
    </row>
    <row r="3" spans="1:15" ht="12" customHeight="1">
      <c r="A3" s="15"/>
      <c r="O3" s="15"/>
    </row>
    <row r="4" spans="1:15" ht="12" customHeight="1">
      <c r="A4" s="15"/>
      <c r="K4" s="12" t="s">
        <v>18</v>
      </c>
      <c r="L4" s="12"/>
      <c r="N4" s="13"/>
      <c r="O4" s="15"/>
    </row>
    <row r="5" spans="1:15" ht="12" customHeight="1">
      <c r="A5" s="15"/>
      <c r="O5" s="15"/>
    </row>
    <row r="6" spans="1:15" ht="12" customHeight="1">
      <c r="A6" s="15"/>
      <c r="O6" s="15"/>
    </row>
    <row r="7" spans="1:15" ht="12" customHeight="1">
      <c r="A7" s="15"/>
      <c r="O7" s="15"/>
    </row>
    <row r="8" spans="1:15" ht="12" customHeight="1">
      <c r="A8" s="15"/>
      <c r="O8" s="15"/>
    </row>
    <row r="9" spans="1:15" ht="12" customHeight="1">
      <c r="A9" s="15"/>
      <c r="O9" s="15"/>
    </row>
    <row r="10" spans="1:15" ht="12" customHeight="1">
      <c r="A10" s="15"/>
      <c r="O10" s="15"/>
    </row>
    <row r="11" spans="1:15" ht="12" customHeight="1">
      <c r="A11" s="15"/>
      <c r="O11" s="15"/>
    </row>
    <row r="12" spans="1:15" ht="12" customHeight="1">
      <c r="A12" s="15"/>
      <c r="O12" s="15"/>
    </row>
    <row r="13" spans="1:15" ht="12" customHeight="1">
      <c r="A13" s="15"/>
      <c r="O13" s="15"/>
    </row>
    <row r="14" spans="1:15" ht="12" customHeight="1">
      <c r="A14" s="15"/>
      <c r="O14" s="15"/>
    </row>
    <row r="15" spans="1:15" ht="12" customHeight="1">
      <c r="A15" s="15"/>
      <c r="O15" s="15"/>
    </row>
    <row r="16" spans="1:15" ht="12" customHeight="1">
      <c r="A16" s="15"/>
      <c r="O16" s="15"/>
    </row>
    <row r="17" spans="1:15" ht="12" customHeight="1">
      <c r="A17" s="15"/>
      <c r="O17" s="15"/>
    </row>
    <row r="18" spans="1:15" ht="12" customHeight="1">
      <c r="A18" s="15"/>
      <c r="O18" s="15"/>
    </row>
    <row r="19" spans="1:15" ht="12" customHeight="1">
      <c r="A19" s="15"/>
      <c r="O19" s="15"/>
    </row>
    <row r="20" spans="1:15" ht="12" customHeight="1">
      <c r="A20" s="15"/>
      <c r="O20" s="15"/>
    </row>
    <row r="21" spans="1:15" ht="12" customHeight="1">
      <c r="A21" s="15"/>
      <c r="O21" s="15"/>
    </row>
    <row r="22" spans="1:15" ht="12" customHeight="1">
      <c r="A22" s="15"/>
      <c r="O22" s="15"/>
    </row>
    <row r="23" spans="1:15" ht="12" customHeight="1">
      <c r="A23" s="15"/>
      <c r="O23" s="15"/>
    </row>
    <row r="24" spans="1:15" ht="12" customHeight="1">
      <c r="A24" s="15"/>
      <c r="O24" s="15"/>
    </row>
    <row r="25" spans="1:15" ht="12" customHeight="1">
      <c r="A25" s="15"/>
      <c r="O25" s="15"/>
    </row>
    <row r="26" spans="1:15" ht="12" customHeight="1">
      <c r="A26" s="15"/>
      <c r="O26" s="15"/>
    </row>
    <row r="27" spans="1:15" ht="12" customHeight="1">
      <c r="A27" s="15"/>
      <c r="O27" s="15"/>
    </row>
    <row r="28" spans="1:15" ht="12" customHeight="1">
      <c r="A28" s="15"/>
      <c r="O28" s="15"/>
    </row>
    <row r="29" spans="1:15" ht="12" customHeight="1">
      <c r="A29" s="15"/>
      <c r="O29" s="15"/>
    </row>
    <row r="30" spans="1:15" ht="12" customHeight="1">
      <c r="A30" s="15"/>
      <c r="O30" s="15"/>
    </row>
    <row r="31" spans="1:15" ht="12" customHeight="1">
      <c r="A31" s="15"/>
      <c r="O31" s="15"/>
    </row>
    <row r="32" spans="1:15" ht="12" customHeight="1">
      <c r="A32" s="15"/>
      <c r="O32" s="15"/>
    </row>
    <row r="33" spans="1:15" ht="1.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19690-CFB2-4FFD-AC3E-1B8CCBC03793}">
  <sheetPr codeName="Sheet32">
    <tabColor rgb="FF003366"/>
  </sheetPr>
  <dimension ref="A1"/>
  <sheetViews>
    <sheetView topLeftCell="A1048576" workbookViewId="0"/>
  </sheetViews>
  <sheetFormatPr defaultColWidth="8.75" defaultRowHeight="12.45" customHeight="1" zeroHeight="1"/>
  <cols>
    <col min="1" max="16384" width="8.75" style="17"/>
  </cols>
  <sheetData>
    <row r="1" ht="13.2" hidden="1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BB70E-54E0-4FE1-AC14-3D8F7BACF5AF}">
  <dimension ref="B3:P44"/>
  <sheetViews>
    <sheetView showGridLines="0" workbookViewId="0">
      <selection activeCell="B1" sqref="B1"/>
    </sheetView>
  </sheetViews>
  <sheetFormatPr defaultRowHeight="11.4"/>
  <cols>
    <col min="2" max="2" width="21.75" customWidth="1"/>
    <col min="3" max="3" width="20.625" bestFit="1" customWidth="1"/>
    <col min="4" max="4" width="9.875" bestFit="1" customWidth="1"/>
    <col min="6" max="6" width="15.125" customWidth="1"/>
  </cols>
  <sheetData>
    <row r="3" spans="2:16">
      <c r="B3" s="24" t="s">
        <v>43</v>
      </c>
      <c r="C3" s="24"/>
      <c r="D3" s="24"/>
      <c r="E3" s="24"/>
      <c r="F3" s="24"/>
      <c r="G3" s="24"/>
      <c r="H3" s="24"/>
      <c r="N3" s="743" t="s">
        <v>285</v>
      </c>
      <c r="O3" s="744">
        <f>+L43</f>
        <v>0.21128523945808414</v>
      </c>
    </row>
    <row r="4" spans="2:16">
      <c r="B4" s="27"/>
      <c r="C4" s="27"/>
      <c r="D4" s="27"/>
      <c r="E4" s="27"/>
      <c r="F4" s="27"/>
      <c r="G4" s="27"/>
      <c r="H4" s="27"/>
      <c r="N4" s="745" t="s">
        <v>286</v>
      </c>
      <c r="O4" s="746">
        <f>+M43</f>
        <v>2.504726551315573</v>
      </c>
    </row>
    <row r="5" spans="2:16">
      <c r="B5" s="43" t="s">
        <v>45</v>
      </c>
      <c r="C5" s="44" t="s">
        <v>228</v>
      </c>
      <c r="D5" s="66" t="s">
        <v>59</v>
      </c>
      <c r="E5" s="27"/>
      <c r="F5" s="43" t="s">
        <v>46</v>
      </c>
      <c r="G5" s="44" t="s">
        <v>228</v>
      </c>
      <c r="H5" s="66" t="s">
        <v>59</v>
      </c>
    </row>
    <row r="6" spans="2:16">
      <c r="B6" s="23" t="s">
        <v>261</v>
      </c>
      <c r="C6" s="627">
        <f>+'Debt Summary'!D11</f>
        <v>296.49750000000006</v>
      </c>
      <c r="D6" s="591">
        <f>+'Debt Summary'!E11</f>
        <v>5.779678362573101</v>
      </c>
      <c r="E6" s="27"/>
      <c r="F6" s="23" t="str">
        <f>+'Debt Summary'!G11</f>
        <v>Purchase Price</v>
      </c>
      <c r="G6" s="647">
        <f>+'Debt Summary'!H11</f>
        <v>540</v>
      </c>
      <c r="H6" s="591">
        <f>+'Debt Summary'!I11</f>
        <v>10.526315789473685</v>
      </c>
    </row>
    <row r="7" spans="2:16">
      <c r="B7" s="23" t="s">
        <v>136</v>
      </c>
      <c r="C7" s="627">
        <f>+'Debt Summary'!D12</f>
        <v>0</v>
      </c>
      <c r="D7" s="591">
        <f>+'Debt Summary'!E12</f>
        <v>0</v>
      </c>
      <c r="E7" s="27"/>
      <c r="F7" s="23"/>
      <c r="G7" s="648"/>
      <c r="H7" s="591"/>
    </row>
    <row r="8" spans="2:16">
      <c r="B8" s="23" t="s">
        <v>134</v>
      </c>
      <c r="C8" s="627">
        <f>+'Debt Summary'!D13</f>
        <v>256.5</v>
      </c>
      <c r="D8" s="591">
        <f>+'Debt Summary'!E13</f>
        <v>5</v>
      </c>
      <c r="E8" s="23"/>
      <c r="F8" s="23" t="str">
        <f>+'Debt Summary'!G13</f>
        <v>Structuring fees</v>
      </c>
      <c r="G8" s="647">
        <f>+'Debt Summary'!H13</f>
        <v>4.8975</v>
      </c>
      <c r="H8" s="591">
        <f>+'Debt Summary'!I13</f>
        <v>9.5467836257309951E-2</v>
      </c>
    </row>
    <row r="9" spans="2:16">
      <c r="B9" s="23" t="str">
        <f>+'Debt Summary'!C14</f>
        <v>Holdco PIK</v>
      </c>
      <c r="C9" s="627">
        <f>+'Debt Summary'!D14</f>
        <v>0</v>
      </c>
      <c r="D9" s="591">
        <f>+'Debt Summary'!E14</f>
        <v>0</v>
      </c>
      <c r="E9" s="27"/>
      <c r="F9" s="23" t="str">
        <f>+'Debt Summary'!G14</f>
        <v>Transaction cost</v>
      </c>
      <c r="G9" s="647">
        <f>+'Debt Summary'!H14</f>
        <v>8.1</v>
      </c>
      <c r="H9" s="591">
        <f>+'Debt Summary'!I14</f>
        <v>0.15789473684210525</v>
      </c>
    </row>
    <row r="10" spans="2:16">
      <c r="B10" s="49" t="s">
        <v>49</v>
      </c>
      <c r="C10" s="50">
        <f>+ROUND(SUM(C6:C9),1)</f>
        <v>553</v>
      </c>
      <c r="D10" s="592">
        <f>+SUM(D6:D9)</f>
        <v>10.779678362573101</v>
      </c>
      <c r="E10" s="27"/>
      <c r="F10" s="49" t="s">
        <v>49</v>
      </c>
      <c r="G10" s="649">
        <f>+SUM(G6:G9)</f>
        <v>552.99750000000006</v>
      </c>
      <c r="H10" s="592">
        <f>+SUM(H6:H9)</f>
        <v>10.779678362573099</v>
      </c>
    </row>
    <row r="11" spans="2:16">
      <c r="B11" s="83" t="s">
        <v>234</v>
      </c>
      <c r="C11" s="593">
        <f>+C6/C10</f>
        <v>0.53616184448462945</v>
      </c>
      <c r="D11" s="23"/>
      <c r="E11" s="23"/>
      <c r="F11" s="23"/>
      <c r="G11" s="23"/>
      <c r="H11" s="539" t="b">
        <f>+ROUND(C10,0)=ROUND(G10,0)</f>
        <v>1</v>
      </c>
    </row>
    <row r="13" spans="2:16">
      <c r="B13" s="714" t="s">
        <v>275</v>
      </c>
      <c r="C13" s="715"/>
      <c r="D13" s="715"/>
      <c r="E13" s="715"/>
      <c r="F13" s="715"/>
      <c r="G13" s="715"/>
      <c r="H13" s="715"/>
      <c r="I13" s="715"/>
      <c r="J13" s="715"/>
      <c r="K13" s="715"/>
      <c r="L13" s="715"/>
      <c r="M13" s="715"/>
      <c r="N13" s="715"/>
      <c r="O13" s="715"/>
      <c r="P13" s="715"/>
    </row>
    <row r="14" spans="2:16">
      <c r="B14" s="716"/>
      <c r="C14" s="716"/>
      <c r="D14" s="716"/>
      <c r="E14" s="716"/>
      <c r="F14" s="716"/>
      <c r="G14" s="716"/>
      <c r="H14" s="716"/>
      <c r="I14" s="716"/>
      <c r="J14" s="716"/>
      <c r="K14" s="716"/>
      <c r="L14" s="716"/>
      <c r="M14" s="716"/>
      <c r="N14" s="716"/>
      <c r="O14" s="716"/>
      <c r="P14" s="716"/>
    </row>
    <row r="15" spans="2:16">
      <c r="B15" s="716"/>
      <c r="C15" s="716" t="s">
        <v>276</v>
      </c>
      <c r="D15" s="740">
        <v>46022</v>
      </c>
      <c r="E15" s="716"/>
      <c r="F15" s="716"/>
      <c r="G15" s="716"/>
      <c r="H15" s="716"/>
      <c r="I15" s="716"/>
      <c r="J15" s="716"/>
      <c r="K15" s="716"/>
      <c r="L15" s="716"/>
      <c r="M15" s="716"/>
      <c r="N15" s="716"/>
      <c r="O15" s="716"/>
      <c r="P15" s="716"/>
    </row>
    <row r="16" spans="2:16">
      <c r="B16" s="716"/>
      <c r="C16" s="716" t="s">
        <v>277</v>
      </c>
      <c r="D16" s="717">
        <v>47848</v>
      </c>
      <c r="E16" s="716"/>
      <c r="F16" s="716"/>
      <c r="G16" s="716"/>
      <c r="H16" s="716"/>
      <c r="I16" s="716"/>
      <c r="J16" s="716"/>
      <c r="K16" s="716"/>
      <c r="L16" s="716"/>
      <c r="M16" s="716"/>
      <c r="N16" s="716"/>
      <c r="O16" s="716"/>
      <c r="P16" s="716"/>
    </row>
    <row r="17" spans="2:16">
      <c r="B17" s="716"/>
      <c r="C17" s="716" t="s">
        <v>278</v>
      </c>
      <c r="D17" s="718">
        <v>10</v>
      </c>
      <c r="E17" s="716"/>
      <c r="F17" s="716"/>
      <c r="G17" s="716"/>
      <c r="H17" s="716"/>
      <c r="I17" s="716"/>
      <c r="J17" s="716"/>
      <c r="K17" s="716"/>
      <c r="L17" s="716"/>
      <c r="M17" s="716"/>
      <c r="N17" s="716"/>
      <c r="O17" s="716"/>
      <c r="P17" s="716"/>
    </row>
    <row r="18" spans="2:16">
      <c r="B18" s="716"/>
      <c r="C18" s="716"/>
      <c r="D18" s="716"/>
      <c r="E18" s="716"/>
      <c r="F18" s="716"/>
      <c r="G18" s="716"/>
      <c r="H18" s="716"/>
      <c r="I18" s="716"/>
      <c r="J18" s="716"/>
      <c r="K18" s="716"/>
      <c r="L18" s="716"/>
      <c r="M18" s="716"/>
      <c r="N18" s="716"/>
      <c r="O18" s="716"/>
      <c r="P18" s="716"/>
    </row>
    <row r="19" spans="2:16" ht="12" thickBot="1">
      <c r="B19" s="716"/>
      <c r="C19" s="716"/>
      <c r="D19" s="716"/>
      <c r="E19" s="716"/>
      <c r="F19" s="716"/>
      <c r="G19" s="716"/>
      <c r="H19" s="716"/>
      <c r="I19" s="716"/>
      <c r="J19" s="716"/>
      <c r="K19" s="716"/>
      <c r="L19" s="716"/>
      <c r="M19" s="716"/>
      <c r="N19" s="716"/>
      <c r="O19" s="716"/>
      <c r="P19" s="716"/>
    </row>
    <row r="20" spans="2:16" ht="12" thickBot="1">
      <c r="B20" s="28" t="s">
        <v>279</v>
      </c>
      <c r="C20" s="28"/>
      <c r="D20" s="28"/>
      <c r="E20" s="28"/>
      <c r="F20" s="28"/>
      <c r="G20" s="28"/>
      <c r="H20" s="28"/>
      <c r="I20" s="28"/>
      <c r="J20" s="30">
        <v>46022</v>
      </c>
      <c r="K20" s="30">
        <f t="shared" ref="K20:P20" si="0">+EOMONTH(J20,12)</f>
        <v>46387</v>
      </c>
      <c r="L20" s="30">
        <f t="shared" si="0"/>
        <v>46752</v>
      </c>
      <c r="M20" s="30">
        <f t="shared" si="0"/>
        <v>47118</v>
      </c>
      <c r="N20" s="30">
        <f t="shared" si="0"/>
        <v>47483</v>
      </c>
      <c r="O20" s="30">
        <f t="shared" si="0"/>
        <v>47848</v>
      </c>
      <c r="P20" s="30">
        <f t="shared" si="0"/>
        <v>48213</v>
      </c>
    </row>
    <row r="21" spans="2:16">
      <c r="B21" s="716"/>
      <c r="C21" s="716"/>
      <c r="D21" s="716"/>
      <c r="E21" s="716"/>
      <c r="F21" s="716"/>
      <c r="G21" s="716"/>
      <c r="H21" s="716"/>
      <c r="I21" s="716"/>
      <c r="J21" s="716"/>
      <c r="K21" s="716"/>
      <c r="L21" s="716"/>
      <c r="M21" s="716"/>
      <c r="N21" s="716"/>
      <c r="O21" s="716"/>
      <c r="P21" s="716"/>
    </row>
    <row r="22" spans="2:16">
      <c r="B22" s="716"/>
      <c r="C22" s="719" t="s">
        <v>1</v>
      </c>
      <c r="D22" s="716"/>
      <c r="E22" s="716"/>
      <c r="F22" s="716"/>
      <c r="G22" s="716"/>
      <c r="H22" s="716"/>
      <c r="I22" s="716"/>
      <c r="J22" s="720">
        <f>+'Debt Summary'!M13</f>
        <v>51.3</v>
      </c>
      <c r="K22" s="720">
        <f>+'Debt Summary'!N13</f>
        <v>52.243319264117702</v>
      </c>
      <c r="L22" s="720">
        <f>+'Debt Summary'!O13</f>
        <v>61.7132853779801</v>
      </c>
      <c r="M22" s="720">
        <f>+'Debt Summary'!P13</f>
        <v>73.285082498468938</v>
      </c>
      <c r="N22" s="720">
        <f>+'Debt Summary'!Q13</f>
        <v>79.587751834913689</v>
      </c>
      <c r="O22" s="720">
        <f>+'Debt Summary'!R13</f>
        <v>87.783623965317773</v>
      </c>
      <c r="P22" s="742">
        <f>+'Debt Summary'!S13</f>
        <v>89.539296444624128</v>
      </c>
    </row>
    <row r="23" spans="2:16">
      <c r="B23" s="716"/>
      <c r="C23" s="719" t="s">
        <v>280</v>
      </c>
      <c r="D23" s="716"/>
      <c r="E23" s="716"/>
      <c r="F23" s="716"/>
      <c r="G23" s="716"/>
      <c r="H23" s="716"/>
      <c r="I23" s="716"/>
      <c r="J23" s="721">
        <f>+D17</f>
        <v>10</v>
      </c>
      <c r="K23" s="721">
        <f>+J23</f>
        <v>10</v>
      </c>
      <c r="L23" s="721">
        <f t="shared" ref="L23:P23" si="1">+K23</f>
        <v>10</v>
      </c>
      <c r="M23" s="721">
        <f t="shared" si="1"/>
        <v>10</v>
      </c>
      <c r="N23" s="721">
        <f t="shared" si="1"/>
        <v>10</v>
      </c>
      <c r="O23" s="721">
        <f t="shared" si="1"/>
        <v>10</v>
      </c>
      <c r="P23" s="721">
        <f t="shared" si="1"/>
        <v>10</v>
      </c>
    </row>
    <row r="24" spans="2:16">
      <c r="B24" s="716"/>
      <c r="C24" s="722" t="s">
        <v>281</v>
      </c>
      <c r="D24" s="722"/>
      <c r="E24" s="722"/>
      <c r="F24" s="722"/>
      <c r="G24" s="722"/>
      <c r="H24" s="722"/>
      <c r="I24" s="722"/>
      <c r="J24" s="723">
        <f>+J22*J23</f>
        <v>513</v>
      </c>
      <c r="K24" s="723">
        <f>+K22*K23</f>
        <v>522.43319264117702</v>
      </c>
      <c r="L24" s="723">
        <f t="shared" ref="L24:P24" si="2">+L22*L23</f>
        <v>617.13285377980105</v>
      </c>
      <c r="M24" s="723">
        <f t="shared" si="2"/>
        <v>732.85082498468932</v>
      </c>
      <c r="N24" s="723">
        <f t="shared" si="2"/>
        <v>795.87751834913684</v>
      </c>
      <c r="O24" s="723">
        <f t="shared" si="2"/>
        <v>877.8362396531777</v>
      </c>
      <c r="P24" s="723">
        <f t="shared" si="2"/>
        <v>895.39296444624131</v>
      </c>
    </row>
    <row r="25" spans="2:16">
      <c r="B25" s="716"/>
      <c r="C25" s="719" t="s">
        <v>282</v>
      </c>
      <c r="D25" s="716"/>
      <c r="E25" s="716"/>
      <c r="F25" s="716"/>
      <c r="G25" s="716"/>
      <c r="H25" s="716"/>
      <c r="I25" s="716"/>
      <c r="J25" s="742">
        <f>-'Debt Summary'!M44</f>
        <v>-256.5</v>
      </c>
      <c r="K25" s="742">
        <f>-'Debt Summary'!N44</f>
        <v>-267.14142106263029</v>
      </c>
      <c r="L25" s="742">
        <f>-'Debt Summary'!O44</f>
        <v>-291.64353982312633</v>
      </c>
      <c r="M25" s="742">
        <f>-'Debt Summary'!P44</f>
        <v>-304.19406449221458</v>
      </c>
      <c r="N25" s="742">
        <f>-'Debt Summary'!Q44</f>
        <v>-304.19406449221458</v>
      </c>
      <c r="O25" s="742">
        <f>-'Debt Summary'!R44</f>
        <v>-304.19406449221458</v>
      </c>
      <c r="P25" s="742">
        <f>-'Debt Summary'!S44</f>
        <v>-304.19406449221458</v>
      </c>
    </row>
    <row r="26" spans="2:16">
      <c r="B26" s="716"/>
      <c r="C26" s="719" t="s">
        <v>76</v>
      </c>
      <c r="D26" s="716"/>
      <c r="E26" s="716"/>
      <c r="F26" s="716"/>
      <c r="G26" s="716"/>
      <c r="H26" s="716"/>
      <c r="I26" s="716"/>
      <c r="J26" s="720">
        <f>+'Debt Summary'!M33</f>
        <v>0</v>
      </c>
      <c r="K26" s="720">
        <f>+'Debt Summary'!N33</f>
        <v>28.530577855677159</v>
      </c>
      <c r="L26" s="720">
        <f>+'Debt Summary'!O33</f>
        <v>62.036428112099507</v>
      </c>
      <c r="M26" s="720">
        <f>+'Debt Summary'!P33</f>
        <v>87.807268165453053</v>
      </c>
      <c r="N26" s="720">
        <f>+'Debt Summary'!Q33</f>
        <v>10</v>
      </c>
      <c r="O26" s="720">
        <f>+'Debt Summary'!R33</f>
        <v>37.531608764035944</v>
      </c>
      <c r="P26" s="720">
        <f>+'Debt Summary'!S33</f>
        <v>67.44173546232831</v>
      </c>
    </row>
    <row r="27" spans="2:16">
      <c r="B27" s="716"/>
      <c r="C27" s="719" t="s">
        <v>214</v>
      </c>
      <c r="D27" s="716"/>
      <c r="E27" s="716"/>
      <c r="F27" s="716"/>
      <c r="G27" s="716"/>
      <c r="H27" s="716"/>
      <c r="I27" s="716"/>
      <c r="J27" s="724">
        <f>-J24*1.5%</f>
        <v>-7.6949999999999994</v>
      </c>
      <c r="K27" s="724">
        <f t="shared" ref="K27:P27" si="3">-K24*1.5%</f>
        <v>-7.8364978896176547</v>
      </c>
      <c r="L27" s="724">
        <f t="shared" si="3"/>
        <v>-9.2569928066970153</v>
      </c>
      <c r="M27" s="724">
        <f t="shared" si="3"/>
        <v>-10.99276237477034</v>
      </c>
      <c r="N27" s="724">
        <f t="shared" si="3"/>
        <v>-11.938162775237052</v>
      </c>
      <c r="O27" s="724">
        <f t="shared" si="3"/>
        <v>-13.167543594797666</v>
      </c>
      <c r="P27" s="724">
        <f t="shared" si="3"/>
        <v>-13.430894466693619</v>
      </c>
    </row>
    <row r="28" spans="2:16">
      <c r="B28" s="716"/>
      <c r="C28" s="722" t="s">
        <v>283</v>
      </c>
      <c r="D28" s="722"/>
      <c r="E28" s="722"/>
      <c r="F28" s="722"/>
      <c r="G28" s="722"/>
      <c r="H28" s="722"/>
      <c r="I28" s="722"/>
      <c r="J28" s="723">
        <f>+SUM(J24:J27)</f>
        <v>248.80500000000001</v>
      </c>
      <c r="K28" s="723">
        <f>+SUM(K24:K27)</f>
        <v>275.98585154460625</v>
      </c>
      <c r="L28" s="723">
        <f t="shared" ref="L28:P28" si="4">+SUM(L24:L27)</f>
        <v>378.26874926207716</v>
      </c>
      <c r="M28" s="723">
        <f t="shared" si="4"/>
        <v>505.47126628315743</v>
      </c>
      <c r="N28" s="723">
        <f t="shared" si="4"/>
        <v>489.7452910816852</v>
      </c>
      <c r="O28" s="723">
        <f t="shared" si="4"/>
        <v>598.00624033020142</v>
      </c>
      <c r="P28" s="723">
        <f t="shared" si="4"/>
        <v>645.20974094966141</v>
      </c>
    </row>
    <row r="29" spans="2:16">
      <c r="B29" s="716"/>
      <c r="C29" s="716"/>
      <c r="D29" s="716"/>
      <c r="E29" s="716"/>
      <c r="F29" s="716"/>
      <c r="G29" s="716"/>
      <c r="H29" s="716"/>
      <c r="I29" s="716"/>
      <c r="J29" s="724"/>
      <c r="K29" s="724"/>
      <c r="L29" s="724"/>
      <c r="M29" s="724"/>
      <c r="N29" s="724"/>
      <c r="O29" s="724"/>
      <c r="P29" s="724"/>
    </row>
    <row r="30" spans="2:16">
      <c r="B30" s="716"/>
      <c r="C30" s="716" t="s">
        <v>284</v>
      </c>
      <c r="D30" s="716"/>
      <c r="E30" s="716"/>
      <c r="F30" s="716"/>
      <c r="G30" s="716"/>
      <c r="H30" s="716"/>
      <c r="I30" s="716"/>
      <c r="J30" s="725">
        <f>+'Debt Summary'!M29</f>
        <v>0</v>
      </c>
      <c r="K30" s="725">
        <f>+'Debt Summary'!N29</f>
        <v>0</v>
      </c>
      <c r="L30" s="725">
        <f>+'Debt Summary'!O29</f>
        <v>0</v>
      </c>
      <c r="M30" s="725">
        <f>+'Debt Summary'!P29</f>
        <v>15.770840053353542</v>
      </c>
      <c r="N30" s="725">
        <f>+'Debt Summary'!Q29</f>
        <v>111.33647150109837</v>
      </c>
      <c r="O30" s="725">
        <f>+'Debt Summary'!R29</f>
        <v>17.531608764035944</v>
      </c>
      <c r="P30" s="725">
        <f>+'Debt Summary'!S29</f>
        <v>19.910126698292363</v>
      </c>
    </row>
    <row r="31" spans="2:16">
      <c r="B31" s="716"/>
      <c r="C31" s="716"/>
      <c r="D31" s="716"/>
      <c r="E31" s="716"/>
      <c r="F31" s="716"/>
      <c r="G31" s="716"/>
      <c r="H31" s="716"/>
      <c r="I31" s="716"/>
      <c r="J31" s="716"/>
      <c r="K31" s="724"/>
      <c r="L31" s="724"/>
      <c r="M31" s="724"/>
      <c r="N31" s="724"/>
      <c r="O31" s="724"/>
      <c r="P31" s="724"/>
    </row>
    <row r="32" spans="2:16">
      <c r="B32" s="716"/>
      <c r="C32" s="726" t="s">
        <v>285</v>
      </c>
      <c r="D32" s="722"/>
      <c r="E32" s="722"/>
      <c r="F32" s="722"/>
      <c r="G32" s="722"/>
      <c r="H32" s="722"/>
      <c r="I32" s="722"/>
      <c r="J32" s="727" cm="1">
        <f t="array" ref="J32:P32">+TRANSPOSE(L38:L44)</f>
        <v>0</v>
      </c>
      <c r="K32" s="727">
        <v>-6.917983591556548E-2</v>
      </c>
      <c r="L32" s="727">
        <v>0.129509049654007</v>
      </c>
      <c r="M32" s="727">
        <v>0.20669718384742741</v>
      </c>
      <c r="N32" s="727">
        <v>0.20239074826240541</v>
      </c>
      <c r="O32" s="727">
        <v>0.21128523945808414</v>
      </c>
      <c r="P32" s="728">
        <v>0.19702684283256527</v>
      </c>
    </row>
    <row r="33" spans="2:16">
      <c r="B33" s="716"/>
      <c r="C33" s="729" t="s">
        <v>286</v>
      </c>
      <c r="D33" s="730"/>
      <c r="E33" s="730"/>
      <c r="F33" s="730"/>
      <c r="G33" s="730"/>
      <c r="H33" s="730"/>
      <c r="I33" s="730"/>
      <c r="J33" s="731" cm="1">
        <f t="array" ref="J33:P33">+TRANSPOSE(M38:M44)</f>
        <v>0.83914704171198728</v>
      </c>
      <c r="K33" s="731">
        <v>0.9308201638955006</v>
      </c>
      <c r="L33" s="731">
        <v>1.2757906871460201</v>
      </c>
      <c r="M33" s="731">
        <v>1.7579983181528038</v>
      </c>
      <c r="N33" s="731">
        <v>2.0804647682902453</v>
      </c>
      <c r="O33" s="731">
        <v>2.504726551315573</v>
      </c>
      <c r="P33" s="732">
        <v>2.7310813344680529</v>
      </c>
    </row>
    <row r="34" spans="2:16">
      <c r="B34" s="716"/>
      <c r="C34" s="716"/>
      <c r="D34" s="716"/>
      <c r="E34" s="716"/>
      <c r="F34" s="716"/>
      <c r="G34" s="716"/>
      <c r="H34" s="716"/>
      <c r="I34" s="716"/>
      <c r="J34" s="716"/>
      <c r="K34" s="716"/>
      <c r="L34" s="716"/>
      <c r="M34" s="716"/>
      <c r="N34" s="716"/>
      <c r="O34" s="716"/>
      <c r="P34" s="716"/>
    </row>
    <row r="35" spans="2:16">
      <c r="B35" s="716"/>
      <c r="C35" s="716"/>
      <c r="D35" s="716"/>
      <c r="E35" s="716"/>
      <c r="F35" s="716"/>
      <c r="G35" s="716"/>
      <c r="H35" s="716"/>
      <c r="I35" s="716"/>
      <c r="J35" s="716"/>
      <c r="K35" s="716"/>
      <c r="L35" s="716"/>
      <c r="M35" s="716"/>
      <c r="N35" s="716"/>
      <c r="O35" s="716"/>
      <c r="P35" s="716"/>
    </row>
    <row r="36" spans="2:16">
      <c r="B36" s="716"/>
      <c r="C36" s="733"/>
      <c r="D36" s="734" t="s">
        <v>128</v>
      </c>
      <c r="E36" s="734"/>
      <c r="F36" s="734"/>
      <c r="G36" s="734"/>
      <c r="H36" s="734"/>
      <c r="I36" s="734"/>
      <c r="J36" s="734"/>
      <c r="K36" s="734"/>
      <c r="L36" s="734"/>
      <c r="M36" s="734"/>
      <c r="N36" s="735"/>
      <c r="O36" s="735"/>
      <c r="P36" s="716"/>
    </row>
    <row r="37" spans="2:16">
      <c r="B37" s="716"/>
      <c r="C37" s="733"/>
      <c r="D37" s="736">
        <f>+C38</f>
        <v>46022</v>
      </c>
      <c r="E37" s="736">
        <f>+D37</f>
        <v>46022</v>
      </c>
      <c r="F37" s="736">
        <f>+EOMONTH(E37,12)</f>
        <v>46387</v>
      </c>
      <c r="G37" s="736">
        <f t="shared" ref="G37:K37" si="5">+EOMONTH(F37,12)</f>
        <v>46752</v>
      </c>
      <c r="H37" s="736">
        <f t="shared" si="5"/>
        <v>47118</v>
      </c>
      <c r="I37" s="736">
        <f t="shared" si="5"/>
        <v>47483</v>
      </c>
      <c r="J37" s="736">
        <f t="shared" si="5"/>
        <v>47848</v>
      </c>
      <c r="K37" s="736">
        <f t="shared" si="5"/>
        <v>48213</v>
      </c>
      <c r="L37" s="734" t="s">
        <v>285</v>
      </c>
      <c r="M37" s="734" t="s">
        <v>286</v>
      </c>
      <c r="N37" s="735"/>
      <c r="O37" s="735"/>
      <c r="P37" s="716"/>
    </row>
    <row r="38" spans="2:16">
      <c r="B38" s="716"/>
      <c r="C38" s="737">
        <f>+D15</f>
        <v>46022</v>
      </c>
      <c r="D38" s="724">
        <f>-C6</f>
        <v>-296.49750000000006</v>
      </c>
      <c r="E38" s="724">
        <f>+IF($C38=J$20,J$28,0)+IF($C38&gt;=J$20,J$30,0)</f>
        <v>248.80500000000001</v>
      </c>
      <c r="F38" s="724">
        <f t="shared" ref="F38:K38" si="6">+IF($C38=K$20,K$28,0)+IF($C38&gt;=K$20,K$30,0)</f>
        <v>0</v>
      </c>
      <c r="G38" s="724">
        <f t="shared" si="6"/>
        <v>0</v>
      </c>
      <c r="H38" s="724">
        <f t="shared" si="6"/>
        <v>0</v>
      </c>
      <c r="I38" s="724">
        <f t="shared" si="6"/>
        <v>0</v>
      </c>
      <c r="J38" s="724">
        <f t="shared" si="6"/>
        <v>0</v>
      </c>
      <c r="K38" s="724">
        <f t="shared" si="6"/>
        <v>0</v>
      </c>
      <c r="L38" s="738">
        <f>IFERROR(+XIRR($D38:$K38,$D$37:$K$37),0)</f>
        <v>0</v>
      </c>
      <c r="M38" s="739">
        <f>IFERROR(+SUM(E38:K38)/-D38,0)</f>
        <v>0.83914704171198728</v>
      </c>
      <c r="N38" s="716"/>
      <c r="O38" s="716"/>
      <c r="P38" s="716"/>
    </row>
    <row r="39" spans="2:16">
      <c r="B39" s="716"/>
      <c r="C39" s="737">
        <f>+EOMONTH(C38,12)</f>
        <v>46387</v>
      </c>
      <c r="D39" s="724">
        <f>+D38</f>
        <v>-296.49750000000006</v>
      </c>
      <c r="E39" s="724">
        <f t="shared" ref="E39:E44" si="7">+IF($C39=J$20,J$28,0)+IF($C39&gt;=J$20,J$30,0)</f>
        <v>0</v>
      </c>
      <c r="F39" s="724">
        <f t="shared" ref="F39:F44" si="8">+IF($C39=K$20,K$28,0)+IF($C39&gt;=K$20,K$30,0)</f>
        <v>275.98585154460625</v>
      </c>
      <c r="G39" s="724">
        <f t="shared" ref="G39:G44" si="9">+IF($C39=L$20,L$28,0)+IF($C39&gt;=L$20,L$30,0)</f>
        <v>0</v>
      </c>
      <c r="H39" s="724">
        <f t="shared" ref="H39:H44" si="10">+IF($C39=M$20,M$28,0)+IF($C39&gt;=M$20,M$30,0)</f>
        <v>0</v>
      </c>
      <c r="I39" s="724">
        <f t="shared" ref="I39:I44" si="11">+IF($C39=N$20,N$28,0)+IF($C39&gt;=N$20,N$30,0)</f>
        <v>0</v>
      </c>
      <c r="J39" s="724">
        <f t="shared" ref="J39:J44" si="12">+IF($C39=O$20,O$28,0)+IF($C39&gt;=O$20,O$30,0)</f>
        <v>0</v>
      </c>
      <c r="K39" s="724">
        <f t="shared" ref="K39:K44" si="13">+IF($C39=P$20,P$28,0)+IF($C39&gt;=P$20,P$30,0)</f>
        <v>0</v>
      </c>
      <c r="L39" s="738">
        <f t="shared" ref="L39:L44" si="14">IFERROR(+XIRR($D39:$K39,$D$37:$K$37),0)</f>
        <v>-6.917983591556548E-2</v>
      </c>
      <c r="M39" s="739">
        <f t="shared" ref="M39:M44" si="15">IFERROR(+SUM(E39:K39)/-D39,0)</f>
        <v>0.9308201638955006</v>
      </c>
      <c r="N39" s="716"/>
      <c r="O39" s="716"/>
      <c r="P39" s="716"/>
    </row>
    <row r="40" spans="2:16">
      <c r="B40" s="716"/>
      <c r="C40" s="737">
        <f t="shared" ref="C40:C44" si="16">+EOMONTH(C39,12)</f>
        <v>46752</v>
      </c>
      <c r="D40" s="724">
        <f t="shared" ref="D40:D44" si="17">+D39</f>
        <v>-296.49750000000006</v>
      </c>
      <c r="E40" s="724">
        <f t="shared" si="7"/>
        <v>0</v>
      </c>
      <c r="F40" s="724">
        <f t="shared" si="8"/>
        <v>0</v>
      </c>
      <c r="G40" s="724">
        <f t="shared" si="9"/>
        <v>378.26874926207716</v>
      </c>
      <c r="H40" s="724">
        <f t="shared" si="10"/>
        <v>0</v>
      </c>
      <c r="I40" s="724">
        <f t="shared" si="11"/>
        <v>0</v>
      </c>
      <c r="J40" s="724">
        <f t="shared" si="12"/>
        <v>0</v>
      </c>
      <c r="K40" s="724">
        <f t="shared" si="13"/>
        <v>0</v>
      </c>
      <c r="L40" s="738">
        <f t="shared" si="14"/>
        <v>0.129509049654007</v>
      </c>
      <c r="M40" s="739">
        <f t="shared" si="15"/>
        <v>1.2757906871460201</v>
      </c>
      <c r="N40" s="716"/>
      <c r="O40" s="716"/>
      <c r="P40" s="716"/>
    </row>
    <row r="41" spans="2:16">
      <c r="B41" s="716"/>
      <c r="C41" s="737">
        <f t="shared" si="16"/>
        <v>47118</v>
      </c>
      <c r="D41" s="724">
        <f t="shared" si="17"/>
        <v>-296.49750000000006</v>
      </c>
      <c r="E41" s="724">
        <f t="shared" si="7"/>
        <v>0</v>
      </c>
      <c r="F41" s="724">
        <f t="shared" si="8"/>
        <v>0</v>
      </c>
      <c r="G41" s="724">
        <f t="shared" si="9"/>
        <v>0</v>
      </c>
      <c r="H41" s="724">
        <f t="shared" si="10"/>
        <v>521.24210633651103</v>
      </c>
      <c r="I41" s="724">
        <f t="shared" si="11"/>
        <v>0</v>
      </c>
      <c r="J41" s="724">
        <f t="shared" si="12"/>
        <v>0</v>
      </c>
      <c r="K41" s="724">
        <f t="shared" si="13"/>
        <v>0</v>
      </c>
      <c r="L41" s="738">
        <f t="shared" si="14"/>
        <v>0.20669718384742741</v>
      </c>
      <c r="M41" s="739">
        <f t="shared" si="15"/>
        <v>1.7579983181528038</v>
      </c>
      <c r="N41" s="716"/>
      <c r="O41" s="716"/>
      <c r="P41" s="716"/>
    </row>
    <row r="42" spans="2:16">
      <c r="B42" s="716"/>
      <c r="C42" s="737">
        <f t="shared" si="16"/>
        <v>47483</v>
      </c>
      <c r="D42" s="724">
        <f t="shared" si="17"/>
        <v>-296.49750000000006</v>
      </c>
      <c r="E42" s="724">
        <f t="shared" si="7"/>
        <v>0</v>
      </c>
      <c r="F42" s="724">
        <f t="shared" si="8"/>
        <v>0</v>
      </c>
      <c r="G42" s="724">
        <f t="shared" si="9"/>
        <v>0</v>
      </c>
      <c r="H42" s="724">
        <f t="shared" si="10"/>
        <v>15.770840053353542</v>
      </c>
      <c r="I42" s="724">
        <f t="shared" si="11"/>
        <v>601.08176258278354</v>
      </c>
      <c r="J42" s="724">
        <f t="shared" si="12"/>
        <v>0</v>
      </c>
      <c r="K42" s="724">
        <f t="shared" si="13"/>
        <v>0</v>
      </c>
      <c r="L42" s="738">
        <f t="shared" si="14"/>
        <v>0.20239074826240541</v>
      </c>
      <c r="M42" s="739">
        <f t="shared" si="15"/>
        <v>2.0804647682902453</v>
      </c>
      <c r="N42" s="716"/>
      <c r="O42" s="716"/>
      <c r="P42" s="716"/>
    </row>
    <row r="43" spans="2:16">
      <c r="B43" s="716"/>
      <c r="C43" s="737">
        <f t="shared" si="16"/>
        <v>47848</v>
      </c>
      <c r="D43" s="724">
        <f t="shared" si="17"/>
        <v>-296.49750000000006</v>
      </c>
      <c r="E43" s="724">
        <f t="shared" si="7"/>
        <v>0</v>
      </c>
      <c r="F43" s="724">
        <f t="shared" si="8"/>
        <v>0</v>
      </c>
      <c r="G43" s="724">
        <f t="shared" si="9"/>
        <v>0</v>
      </c>
      <c r="H43" s="724">
        <f t="shared" si="10"/>
        <v>15.770840053353542</v>
      </c>
      <c r="I43" s="724">
        <f t="shared" si="11"/>
        <v>111.33647150109837</v>
      </c>
      <c r="J43" s="724">
        <f t="shared" si="12"/>
        <v>615.53784909423734</v>
      </c>
      <c r="K43" s="724">
        <f t="shared" si="13"/>
        <v>0</v>
      </c>
      <c r="L43" s="738">
        <f t="shared" si="14"/>
        <v>0.21128523945808414</v>
      </c>
      <c r="M43" s="739">
        <f t="shared" si="15"/>
        <v>2.504726551315573</v>
      </c>
      <c r="N43" s="716"/>
      <c r="O43" s="716"/>
      <c r="P43" s="716"/>
    </row>
    <row r="44" spans="2:16">
      <c r="B44" s="716"/>
      <c r="C44" s="737">
        <f t="shared" si="16"/>
        <v>48213</v>
      </c>
      <c r="D44" s="724">
        <f t="shared" si="17"/>
        <v>-296.49750000000006</v>
      </c>
      <c r="E44" s="724">
        <f t="shared" si="7"/>
        <v>0</v>
      </c>
      <c r="F44" s="724">
        <f t="shared" si="8"/>
        <v>0</v>
      </c>
      <c r="G44" s="724">
        <f t="shared" si="9"/>
        <v>0</v>
      </c>
      <c r="H44" s="724">
        <f t="shared" si="10"/>
        <v>15.770840053353542</v>
      </c>
      <c r="I44" s="724">
        <f t="shared" si="11"/>
        <v>111.33647150109837</v>
      </c>
      <c r="J44" s="724">
        <f t="shared" si="12"/>
        <v>17.531608764035944</v>
      </c>
      <c r="K44" s="724">
        <f t="shared" si="13"/>
        <v>665.11986764795381</v>
      </c>
      <c r="L44" s="738">
        <f t="shared" si="14"/>
        <v>0.19702684283256527</v>
      </c>
      <c r="M44" s="739">
        <f t="shared" si="15"/>
        <v>2.7310813344680529</v>
      </c>
      <c r="N44" s="716"/>
      <c r="O44" s="716"/>
      <c r="P44" s="716"/>
    </row>
  </sheetData>
  <conditionalFormatting sqref="H11">
    <cfRule type="cellIs" dxfId="27" priority="1" operator="equal">
      <formula>TRUE</formula>
    </cfRule>
    <cfRule type="cellIs" dxfId="26" priority="2" operator="equal">
      <formula>FALSE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DE0A7-731A-4C37-9A7C-5534A62CED0A}">
  <sheetPr codeName="Sheet22"/>
  <dimension ref="A1:BE137"/>
  <sheetViews>
    <sheetView showGridLines="0" tabSelected="1" zoomScaleNormal="100" workbookViewId="0">
      <selection activeCell="G20" sqref="G20:I33"/>
    </sheetView>
  </sheetViews>
  <sheetFormatPr defaultColWidth="0" defaultRowHeight="10.199999999999999" zeroHeight="1"/>
  <cols>
    <col min="1" max="2" width="1.625" style="23" customWidth="1"/>
    <col min="3" max="3" width="24" style="23" customWidth="1"/>
    <col min="4" max="4" width="10.875" style="23" bestFit="1" customWidth="1"/>
    <col min="5" max="5" width="9.75" style="23" bestFit="1" customWidth="1"/>
    <col min="6" max="6" width="10.375" style="23" customWidth="1"/>
    <col min="7" max="7" width="22.875" style="23" bestFit="1" customWidth="1"/>
    <col min="8" max="8" width="11.125" style="23" bestFit="1" customWidth="1"/>
    <col min="9" max="9" width="10.125" style="23" bestFit="1" customWidth="1"/>
    <col min="10" max="10" width="3.75" style="23" customWidth="1"/>
    <col min="11" max="11" width="40.875" style="23" customWidth="1"/>
    <col min="12" max="20" width="10.75" style="23" customWidth="1"/>
    <col min="21" max="22" width="12.375" style="23" customWidth="1"/>
    <col min="23" max="24" width="9.75" style="23" customWidth="1"/>
    <col min="25" max="37" width="9.75" style="23" hidden="1" customWidth="1"/>
    <col min="38" max="38" width="10" style="23" hidden="1" customWidth="1"/>
    <col min="39" max="41" width="9.75" style="23" hidden="1" customWidth="1"/>
    <col min="42" max="49" width="0" style="23" hidden="1" customWidth="1"/>
    <col min="50" max="50" width="10" style="23" hidden="1" customWidth="1"/>
    <col min="51" max="53" width="9.75" style="23" hidden="1" customWidth="1"/>
    <col min="54" max="57" width="0" style="23" hidden="1" customWidth="1"/>
    <col min="58" max="16384" width="9.75" style="23" hidden="1"/>
  </cols>
  <sheetData>
    <row r="1" spans="1:42"/>
    <row r="2" spans="1:42">
      <c r="A2" s="18"/>
      <c r="B2" s="18"/>
      <c r="C2" s="19" t="str">
        <f ca="1">RIGHT(CELL("filename",D1), LEN(CELL("filename", D1))- FIND("]", CELL("filename", D1), 1))</f>
        <v>Debt Summary</v>
      </c>
      <c r="D2" s="19"/>
      <c r="E2" s="19"/>
      <c r="F2" s="19"/>
      <c r="G2" s="19"/>
      <c r="H2" s="19"/>
      <c r="I2" s="20"/>
      <c r="J2" s="21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</row>
    <row r="3" spans="1:42"/>
    <row r="4" spans="1:42" ht="10.8" thickBot="1">
      <c r="C4" s="19" t="s">
        <v>262</v>
      </c>
      <c r="D4" s="19"/>
      <c r="E4" s="19"/>
      <c r="F4" s="19"/>
      <c r="G4" s="19"/>
      <c r="H4" s="19"/>
      <c r="I4" s="19"/>
      <c r="K4" s="28" t="s">
        <v>35</v>
      </c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5" spans="1:42" ht="10.8" thickBot="1">
      <c r="M5" s="29" t="s">
        <v>36</v>
      </c>
      <c r="N5" s="30" t="s">
        <v>37</v>
      </c>
      <c r="O5" s="30" t="s">
        <v>38</v>
      </c>
      <c r="P5" s="30" t="s">
        <v>39</v>
      </c>
      <c r="Q5" s="30" t="s">
        <v>40</v>
      </c>
      <c r="R5" s="30" t="s">
        <v>41</v>
      </c>
      <c r="S5" s="30" t="s">
        <v>230</v>
      </c>
      <c r="T5" s="30" t="s">
        <v>231</v>
      </c>
      <c r="U5" s="30" t="s">
        <v>235</v>
      </c>
      <c r="V5" s="30" t="s">
        <v>236</v>
      </c>
    </row>
    <row r="6" spans="1:42">
      <c r="C6" s="26" t="s">
        <v>34</v>
      </c>
      <c r="D6" s="522">
        <f>Model!D4</f>
        <v>46022</v>
      </c>
      <c r="J6" s="25"/>
      <c r="K6" s="31"/>
      <c r="L6" s="31"/>
      <c r="M6" s="27"/>
      <c r="U6" s="27"/>
      <c r="V6" s="27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</row>
    <row r="7" spans="1:42">
      <c r="K7" s="32" t="s">
        <v>3</v>
      </c>
      <c r="L7" s="32"/>
      <c r="M7" s="33">
        <f>'Active Case'!F9</f>
        <v>267.66925614825271</v>
      </c>
      <c r="N7" s="33">
        <f>'Active Case'!G9</f>
        <v>300.63698049159871</v>
      </c>
      <c r="O7" s="33">
        <f>'Active Case'!H9</f>
        <v>344.37964501609071</v>
      </c>
      <c r="P7" s="33">
        <f>'Active Case'!I9</f>
        <v>386.42074228226841</v>
      </c>
      <c r="Q7" s="33">
        <f>'Active Case'!J9</f>
        <v>411.17115090445213</v>
      </c>
      <c r="R7" s="33">
        <f>'Active Case'!K9</f>
        <v>438.65809816113892</v>
      </c>
      <c r="S7" s="33">
        <f>'Active Case'!L9</f>
        <v>447.4312601243617</v>
      </c>
      <c r="T7" s="33">
        <f>'Active Case'!M9</f>
        <v>456.37988532684892</v>
      </c>
      <c r="U7" s="629">
        <f>+SUM(M7:T7)</f>
        <v>3052.7470184550129</v>
      </c>
      <c r="V7" s="34">
        <f>+(T7/M7)^(1/7)-1</f>
        <v>7.920512831852089E-2</v>
      </c>
    </row>
    <row r="8" spans="1:42">
      <c r="C8" s="24" t="s">
        <v>43</v>
      </c>
      <c r="D8" s="24"/>
      <c r="E8" s="24"/>
      <c r="F8" s="24"/>
      <c r="G8" s="24"/>
      <c r="H8" s="24"/>
      <c r="I8" s="24"/>
      <c r="K8" s="35" t="s">
        <v>42</v>
      </c>
      <c r="L8" s="35"/>
      <c r="M8" s="27"/>
      <c r="N8" s="36">
        <f t="shared" ref="N8:T8" si="0">+N7/M7-1</f>
        <v>0.12316589816010226</v>
      </c>
      <c r="O8" s="36">
        <f t="shared" si="0"/>
        <v>0.14549994632385022</v>
      </c>
      <c r="P8" s="36">
        <f t="shared" si="0"/>
        <v>0.12207776468383713</v>
      </c>
      <c r="Q8" s="36">
        <f t="shared" si="0"/>
        <v>6.4050414260899968E-2</v>
      </c>
      <c r="R8" s="36">
        <f t="shared" si="0"/>
        <v>6.6850378963173362E-2</v>
      </c>
      <c r="S8" s="36">
        <f t="shared" si="0"/>
        <v>2.0000000000000018E-2</v>
      </c>
      <c r="T8" s="36">
        <f t="shared" si="0"/>
        <v>2.0000000000000018E-2</v>
      </c>
      <c r="U8" s="630"/>
      <c r="V8" s="38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</row>
    <row r="9" spans="1:42">
      <c r="C9" s="27"/>
      <c r="D9" s="27"/>
      <c r="E9" s="27"/>
      <c r="F9" s="27"/>
      <c r="G9" s="27"/>
      <c r="H9" s="27"/>
      <c r="I9" s="27"/>
      <c r="K9" s="32" t="s">
        <v>1</v>
      </c>
      <c r="L9" s="32"/>
      <c r="M9" s="33">
        <f>'Active Case'!F12</f>
        <v>45.111660831986867</v>
      </c>
      <c r="N9" s="33">
        <f>'Active Case'!G12</f>
        <v>52.243319264117702</v>
      </c>
      <c r="O9" s="33">
        <f>'Active Case'!H12</f>
        <v>61.7132853779801</v>
      </c>
      <c r="P9" s="33">
        <f>'Active Case'!I12</f>
        <v>73.285082498468938</v>
      </c>
      <c r="Q9" s="33">
        <f>'Active Case'!J12</f>
        <v>79.587751834913689</v>
      </c>
      <c r="R9" s="33">
        <f>'Active Case'!K12</f>
        <v>87.783623965317773</v>
      </c>
      <c r="S9" s="33">
        <f>'Active Case'!L12</f>
        <v>89.539296444624128</v>
      </c>
      <c r="T9" s="33">
        <f>'Active Case'!M12</f>
        <v>91.330082373516603</v>
      </c>
      <c r="U9" s="629">
        <f>+SUM(M9:T9)</f>
        <v>580.59410259092579</v>
      </c>
      <c r="V9" s="34">
        <f>+(T9/M9)^(1/7)-1</f>
        <v>0.10601424107612356</v>
      </c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</row>
    <row r="10" spans="1:42">
      <c r="C10" s="43" t="s">
        <v>45</v>
      </c>
      <c r="D10" s="44" t="s">
        <v>228</v>
      </c>
      <c r="E10" s="66" t="s">
        <v>59</v>
      </c>
      <c r="F10" s="27"/>
      <c r="G10" s="43" t="s">
        <v>46</v>
      </c>
      <c r="H10" s="44" t="s">
        <v>228</v>
      </c>
      <c r="I10" s="66" t="s">
        <v>59</v>
      </c>
      <c r="K10" s="39" t="s">
        <v>44</v>
      </c>
      <c r="L10" s="39"/>
      <c r="M10" s="40">
        <f t="shared" ref="M10:R10" si="1">+M9/M7</f>
        <v>0.16853508498189679</v>
      </c>
      <c r="N10" s="40">
        <f t="shared" si="1"/>
        <v>0.17377542569343907</v>
      </c>
      <c r="O10" s="40">
        <f t="shared" si="1"/>
        <v>0.1792013153829014</v>
      </c>
      <c r="P10" s="40">
        <f t="shared" si="1"/>
        <v>0.18965100596213971</v>
      </c>
      <c r="Q10" s="40">
        <f t="shared" si="1"/>
        <v>0.1935635602348188</v>
      </c>
      <c r="R10" s="40">
        <f t="shared" si="1"/>
        <v>0.20011855322700753</v>
      </c>
      <c r="S10" s="40">
        <f>+S9/S7</f>
        <v>0.20011855322700753</v>
      </c>
      <c r="T10" s="40">
        <f>+T9/T7</f>
        <v>0.20011855322700753</v>
      </c>
      <c r="U10" s="631"/>
      <c r="V10" s="48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</row>
    <row r="11" spans="1:42">
      <c r="C11" s="23" t="s">
        <v>261</v>
      </c>
      <c r="D11" s="627">
        <f>+'Debt Structure'!D51</f>
        <v>296.49750000000006</v>
      </c>
      <c r="E11" s="591">
        <f>+D11/$M$13</f>
        <v>5.779678362573101</v>
      </c>
      <c r="F11" s="27"/>
      <c r="G11" s="23" t="str">
        <f>+'Debt Structure'!F51</f>
        <v>Purchase Price</v>
      </c>
      <c r="H11" s="647">
        <f>+'Debt Structure'!G51</f>
        <v>540</v>
      </c>
      <c r="I11" s="591">
        <f>+H11/$M$13</f>
        <v>10.526315789473685</v>
      </c>
      <c r="U11" s="540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</row>
    <row r="12" spans="1:42">
      <c r="C12" s="23" t="s">
        <v>136</v>
      </c>
      <c r="D12" s="627">
        <f>+'Debt Structure'!D52</f>
        <v>0</v>
      </c>
      <c r="E12" s="591">
        <f>+D12/$M$13</f>
        <v>0</v>
      </c>
      <c r="F12" s="27"/>
      <c r="H12" s="648"/>
      <c r="I12" s="591"/>
      <c r="K12" s="23" t="s">
        <v>232</v>
      </c>
      <c r="M12" s="561">
        <f>+'Active Case'!F16</f>
        <v>6.1883391680131297</v>
      </c>
      <c r="N12" s="561">
        <f>+'Active Case'!G16</f>
        <v>0</v>
      </c>
      <c r="O12" s="561">
        <f>+'Active Case'!H16</f>
        <v>0</v>
      </c>
      <c r="P12" s="561">
        <f>+'Active Case'!I16</f>
        <v>0</v>
      </c>
      <c r="Q12" s="561">
        <f>+'Active Case'!J16</f>
        <v>0</v>
      </c>
      <c r="R12" s="562">
        <f>+'Active Case'!K16</f>
        <v>0</v>
      </c>
      <c r="S12" s="562">
        <f>+'Active Case'!L16</f>
        <v>0</v>
      </c>
      <c r="T12" s="562">
        <f>+'Active Case'!M16</f>
        <v>0</v>
      </c>
      <c r="U12" s="540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</row>
    <row r="13" spans="1:42">
      <c r="C13" s="23" t="s">
        <v>134</v>
      </c>
      <c r="D13" s="627">
        <f>+'Debt Structure'!D53</f>
        <v>256.5</v>
      </c>
      <c r="E13" s="591">
        <f>+D13/$M$13</f>
        <v>5</v>
      </c>
      <c r="G13" s="23" t="str">
        <f>+'Debt Structure'!F52</f>
        <v>Structuring fees</v>
      </c>
      <c r="H13" s="647">
        <f>+'Debt Structure'!G52</f>
        <v>4.8975</v>
      </c>
      <c r="I13" s="591">
        <f>+H13/$M$13</f>
        <v>9.5467836257309951E-2</v>
      </c>
      <c r="K13" s="32" t="s">
        <v>233</v>
      </c>
      <c r="L13" s="32"/>
      <c r="M13" s="561">
        <f>+'Active Case'!F17</f>
        <v>51.3</v>
      </c>
      <c r="N13" s="561">
        <f>+'Active Case'!G17</f>
        <v>52.243319264117702</v>
      </c>
      <c r="O13" s="561">
        <f>+'Active Case'!H17</f>
        <v>61.7132853779801</v>
      </c>
      <c r="P13" s="561">
        <f>+'Active Case'!I17</f>
        <v>73.285082498468938</v>
      </c>
      <c r="Q13" s="561">
        <f>+'Active Case'!J17</f>
        <v>79.587751834913689</v>
      </c>
      <c r="R13" s="33">
        <f>+'Active Case'!K17</f>
        <v>87.783623965317773</v>
      </c>
      <c r="S13" s="741">
        <f>+'Active Case'!L17</f>
        <v>89.539296444624128</v>
      </c>
      <c r="T13" s="33">
        <f>+'Active Case'!M17</f>
        <v>91.330082373516603</v>
      </c>
      <c r="U13" s="629">
        <f>+SUM(M13:T13)</f>
        <v>586.78244175893894</v>
      </c>
      <c r="V13" s="34">
        <f>+(T13/M13)^(1/7)-1</f>
        <v>8.5888445585053486E-2</v>
      </c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P13" s="27"/>
    </row>
    <row r="14" spans="1:42">
      <c r="C14" s="23" t="str">
        <f>+'Debt Structure'!C54</f>
        <v>Holdco PIK</v>
      </c>
      <c r="D14" s="627">
        <f>+'Debt Structure'!D54</f>
        <v>0</v>
      </c>
      <c r="E14" s="591">
        <f>+D14/$M$13</f>
        <v>0</v>
      </c>
      <c r="F14" s="27"/>
      <c r="G14" s="23" t="str">
        <f>+'Debt Structure'!F54</f>
        <v>Transaction cost</v>
      </c>
      <c r="H14" s="647">
        <f>+'Debt Structure'!G54</f>
        <v>8.1</v>
      </c>
      <c r="I14" s="591">
        <f>+H14/$M$13</f>
        <v>0.15789473684210525</v>
      </c>
      <c r="K14" s="39" t="s">
        <v>44</v>
      </c>
      <c r="L14" s="39"/>
      <c r="M14" s="40">
        <f t="shared" ref="M14:T14" si="2">+M13/M7</f>
        <v>0.19165443479839428</v>
      </c>
      <c r="N14" s="40">
        <f t="shared" si="2"/>
        <v>0.17377542569343907</v>
      </c>
      <c r="O14" s="40">
        <f t="shared" si="2"/>
        <v>0.1792013153829014</v>
      </c>
      <c r="P14" s="40">
        <f t="shared" si="2"/>
        <v>0.18965100596213971</v>
      </c>
      <c r="Q14" s="40">
        <f t="shared" si="2"/>
        <v>0.1935635602348188</v>
      </c>
      <c r="R14" s="40">
        <f t="shared" si="2"/>
        <v>0.20011855322700753</v>
      </c>
      <c r="S14" s="40">
        <f t="shared" si="2"/>
        <v>0.20011855322700753</v>
      </c>
      <c r="T14" s="40">
        <f t="shared" si="2"/>
        <v>0.20011855322700753</v>
      </c>
      <c r="U14" s="632"/>
      <c r="V14" s="41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42"/>
    </row>
    <row r="15" spans="1:42">
      <c r="C15" s="49" t="s">
        <v>49</v>
      </c>
      <c r="D15" s="50">
        <f>+ROUND(SUM(D11:D14),1)</f>
        <v>553</v>
      </c>
      <c r="E15" s="592">
        <f>+SUM(E11:E14)</f>
        <v>10.779678362573101</v>
      </c>
      <c r="F15" s="27"/>
      <c r="G15" s="49" t="s">
        <v>49</v>
      </c>
      <c r="H15" s="649">
        <f>+SUM(H11:H14)</f>
        <v>552.99750000000006</v>
      </c>
      <c r="I15" s="592">
        <f>+SUM(I11:I14)</f>
        <v>10.779678362573099</v>
      </c>
      <c r="K15" s="45" t="s">
        <v>47</v>
      </c>
      <c r="L15" s="45"/>
      <c r="M15" s="46">
        <f>'Active Case'!F30</f>
        <v>-5.829985368542264</v>
      </c>
      <c r="N15" s="46">
        <f>'Active Case'!G30</f>
        <v>-5.0017418512492444</v>
      </c>
      <c r="O15" s="46">
        <f>'Active Case'!H30</f>
        <v>-6.8476120922720733</v>
      </c>
      <c r="P15" s="46">
        <f>'Active Case'!I30</f>
        <v>-6.1780845624569771</v>
      </c>
      <c r="Q15" s="46">
        <f>'Active Case'!J30</f>
        <v>-2.5470105535414187</v>
      </c>
      <c r="R15" s="46">
        <f>'Active Case'!K30</f>
        <v>-2.9852206145091404</v>
      </c>
      <c r="S15" s="568">
        <f>'Active Case'!L30</f>
        <v>-1.566009410435266</v>
      </c>
      <c r="T15" s="568">
        <f>'Active Case'!M30</f>
        <v>-1.5973295986439713</v>
      </c>
      <c r="U15" s="633">
        <f>+SUM(M15:T15)</f>
        <v>-32.552994051650359</v>
      </c>
      <c r="V15" s="521">
        <f>+(T15/M15)^(1/7)-1</f>
        <v>-0.16885787114390804</v>
      </c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</row>
    <row r="16" spans="1:42">
      <c r="A16" s="540"/>
      <c r="B16" s="540"/>
      <c r="C16" s="83" t="s">
        <v>234</v>
      </c>
      <c r="D16" s="593">
        <f>+D11/D15</f>
        <v>0.53616184448462945</v>
      </c>
      <c r="I16" s="539" t="b">
        <f>+ROUND(D15,0)=ROUND(H15,0)</f>
        <v>1</v>
      </c>
      <c r="K16" s="45" t="s">
        <v>30</v>
      </c>
      <c r="L16" s="45"/>
      <c r="M16" s="46">
        <f>'Active Case'!F33+'Active Case'!F36</f>
        <v>-13.805999999999999</v>
      </c>
      <c r="N16" s="46">
        <f>'Active Case'!G33+'Active Case'!G36</f>
        <v>-10.641421062630272</v>
      </c>
      <c r="O16" s="46">
        <f>'Active Case'!H33+'Active Case'!H36</f>
        <v>-24.502118760496032</v>
      </c>
      <c r="P16" s="46">
        <f>'Active Case'!I33+'Active Case'!I36</f>
        <v>-12.55052466908821</v>
      </c>
      <c r="Q16" s="46">
        <f>'Active Case'!J33+'Active Case'!J36</f>
        <v>-16.469825364836812</v>
      </c>
      <c r="R16" s="46">
        <f>'Active Case'!K33+'Active Case'!K36</f>
        <v>-11.001133346286295</v>
      </c>
      <c r="S16" s="568">
        <f>'Active Case'!L33+'Active Case'!L36</f>
        <v>-8.7731619632227762</v>
      </c>
      <c r="T16" s="568">
        <f>'Active Case'!M33+'Active Case'!M36</f>
        <v>-8.7731619632227762</v>
      </c>
      <c r="U16" s="633">
        <f>+SUM(M16:T16)</f>
        <v>-106.51734712978318</v>
      </c>
      <c r="V16" s="521">
        <f>+(T16/M16)^(1/7)-1</f>
        <v>-6.2719128108395861E-2</v>
      </c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</row>
    <row r="17" spans="1:37">
      <c r="A17" s="540"/>
      <c r="B17" s="540"/>
      <c r="K17" s="27" t="s">
        <v>48</v>
      </c>
      <c r="L17" s="27"/>
      <c r="M17" s="46">
        <f>'Active Case'!F23</f>
        <v>-8.2650987630678809</v>
      </c>
      <c r="N17" s="46">
        <f>'Active Case'!G23</f>
        <v>-3.7039729122669787</v>
      </c>
      <c r="O17" s="46">
        <f>'Active Case'!H23</f>
        <v>-5.6672514600211628</v>
      </c>
      <c r="P17" s="46">
        <f>'Active Case'!I23</f>
        <v>-9.116753898834423</v>
      </c>
      <c r="Q17" s="46">
        <f>'Active Case'!J23</f>
        <v>-10.349509356279407</v>
      </c>
      <c r="R17" s="46">
        <f>'Active Case'!K23</f>
        <v>-12.041849251839722</v>
      </c>
      <c r="S17" s="568">
        <f>'Active Case'!L23</f>
        <v>-12.687668449770644</v>
      </c>
      <c r="T17" s="568">
        <f>'Active Case'!M23</f>
        <v>-14.216824092049084</v>
      </c>
      <c r="U17" s="633">
        <f>+SUM(M17:T17)</f>
        <v>-76.048928184129295</v>
      </c>
      <c r="V17" s="521">
        <f>+(T17/M17)^(1/7)-1</f>
        <v>8.0564384127515876E-2</v>
      </c>
      <c r="W17" s="25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</row>
    <row r="18" spans="1:37">
      <c r="A18" s="540"/>
      <c r="B18" s="540"/>
      <c r="C18" s="62" t="s">
        <v>229</v>
      </c>
      <c r="D18" s="63"/>
      <c r="E18" s="63"/>
      <c r="F18" s="63"/>
      <c r="G18" s="63"/>
      <c r="H18" s="63"/>
      <c r="I18" s="63"/>
      <c r="K18" s="32" t="s">
        <v>50</v>
      </c>
      <c r="L18" s="32"/>
      <c r="M18" s="52">
        <f t="shared" ref="M18:R18" si="3">+M9+SUM(M15:M17)</f>
        <v>17.21057670037672</v>
      </c>
      <c r="N18" s="52">
        <f t="shared" si="3"/>
        <v>32.896183437971203</v>
      </c>
      <c r="O18" s="52">
        <f t="shared" si="3"/>
        <v>24.696303065190833</v>
      </c>
      <c r="P18" s="52">
        <f t="shared" si="3"/>
        <v>45.439719368089328</v>
      </c>
      <c r="Q18" s="52">
        <f t="shared" si="3"/>
        <v>50.22140656025605</v>
      </c>
      <c r="R18" s="52">
        <f t="shared" si="3"/>
        <v>61.755420752682618</v>
      </c>
      <c r="S18" s="569">
        <f>+S9+SUM(S15:S17)</f>
        <v>66.51245662119544</v>
      </c>
      <c r="T18" s="569">
        <f>+T9+SUM(T15:T17)</f>
        <v>66.74276671960078</v>
      </c>
      <c r="U18" s="629">
        <f>+SUM(M18:T18)</f>
        <v>365.474833225363</v>
      </c>
      <c r="V18" s="34">
        <f>+(T18/M18)^(1/7)-1</f>
        <v>0.21363186002234391</v>
      </c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</row>
    <row r="19" spans="1:37">
      <c r="A19" s="540"/>
      <c r="B19" s="540"/>
      <c r="C19" s="64"/>
      <c r="D19" s="64"/>
      <c r="E19" s="64"/>
      <c r="F19" s="64"/>
      <c r="G19" s="64"/>
      <c r="H19" s="64"/>
      <c r="I19" s="64"/>
      <c r="K19" s="39" t="s">
        <v>51</v>
      </c>
      <c r="L19" s="39"/>
      <c r="M19" s="53">
        <f t="shared" ref="M19:R19" si="4">IF(+M18/M9&lt;0,"n.m.",M18/M9)</f>
        <v>0.38151059799096093</v>
      </c>
      <c r="N19" s="53">
        <f t="shared" si="4"/>
        <v>0.6296725380648871</v>
      </c>
      <c r="O19" s="53">
        <f t="shared" si="4"/>
        <v>0.40017806399272843</v>
      </c>
      <c r="P19" s="53">
        <f t="shared" si="4"/>
        <v>0.62004050236333774</v>
      </c>
      <c r="Q19" s="53">
        <f t="shared" si="4"/>
        <v>0.63101928880248681</v>
      </c>
      <c r="R19" s="53">
        <f t="shared" si="4"/>
        <v>0.70349591373763998</v>
      </c>
      <c r="S19" s="570">
        <f>IF(+S18/S9&lt;0,"n.m.",S18/S9)</f>
        <v>0.74282978828552992</v>
      </c>
      <c r="T19" s="570">
        <f>IF(+T18/T9&lt;0,"n.m.",T18/T9)</f>
        <v>0.73078623149205091</v>
      </c>
      <c r="U19" s="634"/>
      <c r="V19" s="54"/>
      <c r="W19" s="27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</row>
    <row r="20" spans="1:37">
      <c r="A20" s="540"/>
      <c r="B20" s="540"/>
      <c r="C20" s="43" t="s">
        <v>54</v>
      </c>
      <c r="D20" s="66" t="s">
        <v>58</v>
      </c>
      <c r="E20" s="66" t="s">
        <v>59</v>
      </c>
      <c r="K20" s="32" t="s">
        <v>52</v>
      </c>
      <c r="L20" s="52"/>
      <c r="M20" s="52">
        <f t="shared" ref="M20:R20" si="5">M18</f>
        <v>17.21057670037672</v>
      </c>
      <c r="N20" s="52">
        <f t="shared" si="5"/>
        <v>32.896183437971203</v>
      </c>
      <c r="O20" s="52">
        <f t="shared" si="5"/>
        <v>24.696303065190833</v>
      </c>
      <c r="P20" s="52">
        <f t="shared" si="5"/>
        <v>45.439719368089328</v>
      </c>
      <c r="Q20" s="52">
        <f t="shared" si="5"/>
        <v>50.22140656025605</v>
      </c>
      <c r="R20" s="52">
        <f t="shared" si="5"/>
        <v>61.755420752682618</v>
      </c>
      <c r="S20" s="569">
        <f>S18</f>
        <v>66.51245662119544</v>
      </c>
      <c r="T20" s="569">
        <f>T18</f>
        <v>66.74276671960078</v>
      </c>
      <c r="U20" s="629">
        <f>+SUM(M20:T20)</f>
        <v>365.474833225363</v>
      </c>
      <c r="V20" s="34">
        <f>+(T20/M20)^(1/7)-1</f>
        <v>0.21363186002234391</v>
      </c>
      <c r="W20" s="27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42"/>
      <c r="AJ20" s="42"/>
      <c r="AK20" s="42"/>
    </row>
    <row r="21" spans="1:37">
      <c r="A21" s="540"/>
      <c r="B21" s="540"/>
      <c r="C21" s="68" t="str">
        <f>'Debt Structure'!C22</f>
        <v>TLA</v>
      </c>
      <c r="D21" s="69">
        <f>+D12</f>
        <v>0</v>
      </c>
      <c r="E21" s="591">
        <f>+D21/$M$13</f>
        <v>0</v>
      </c>
      <c r="K21" s="55" t="s">
        <v>53</v>
      </c>
      <c r="L21" s="55"/>
      <c r="M21" s="56">
        <f t="shared" ref="M21:T21" si="6">+SUM(M22:M25)</f>
        <v>0</v>
      </c>
      <c r="N21" s="56">
        <f t="shared" si="6"/>
        <v>-15.007026644924318</v>
      </c>
      <c r="O21" s="56">
        <f t="shared" si="6"/>
        <v>-15.692571569264512</v>
      </c>
      <c r="P21" s="56">
        <f t="shared" si="6"/>
        <v>-16.448563930470456</v>
      </c>
      <c r="Q21" s="56">
        <f t="shared" si="6"/>
        <v>-16.692203224610726</v>
      </c>
      <c r="R21" s="56">
        <f t="shared" si="6"/>
        <v>-16.692203224610726</v>
      </c>
      <c r="S21" s="541">
        <f t="shared" si="6"/>
        <v>-16.692203224610726</v>
      </c>
      <c r="T21" s="541">
        <f t="shared" si="6"/>
        <v>-318.82474231374891</v>
      </c>
      <c r="U21" s="635"/>
      <c r="V21" s="57"/>
      <c r="W21" s="27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58"/>
    </row>
    <row r="22" spans="1:37">
      <c r="A22" s="540"/>
      <c r="B22" s="540"/>
      <c r="C22" s="68" t="str">
        <f>'Debt Structure'!C23</f>
        <v>TLB</v>
      </c>
      <c r="D22" s="69">
        <f>+D13</f>
        <v>256.5</v>
      </c>
      <c r="E22" s="591">
        <f>+D22/$M$13</f>
        <v>5</v>
      </c>
      <c r="K22" s="59" t="str">
        <f>Model!C81</f>
        <v>TLA</v>
      </c>
      <c r="L22" s="59"/>
      <c r="M22" s="60">
        <f>Model!L81+Model!L87</f>
        <v>0</v>
      </c>
      <c r="N22" s="60">
        <f>Model!Q81+Model!Q87</f>
        <v>0</v>
      </c>
      <c r="O22" s="60">
        <f>Model!V81+Model!V87</f>
        <v>0</v>
      </c>
      <c r="P22" s="60">
        <f>Model!AA81+Model!AA87</f>
        <v>0</v>
      </c>
      <c r="Q22" s="60">
        <f>Model!AF81+Model!AF87</f>
        <v>0</v>
      </c>
      <c r="R22" s="60">
        <f>Model!AK81+Model!AK87</f>
        <v>0</v>
      </c>
      <c r="S22" s="571">
        <f>Model!AP81+Model!AP87</f>
        <v>0</v>
      </c>
      <c r="T22" s="571">
        <f>Model!AU81+Model!AU87</f>
        <v>0</v>
      </c>
      <c r="U22" s="633"/>
      <c r="V22" s="61"/>
      <c r="W22" s="27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0"/>
    </row>
    <row r="23" spans="1:37">
      <c r="A23" s="540"/>
      <c r="B23" s="540"/>
      <c r="C23" s="264" t="str">
        <f>'Debt Structure'!C24</f>
        <v>Acquisition debt</v>
      </c>
      <c r="D23" s="265">
        <f>+SUM(D21:D22)</f>
        <v>256.5</v>
      </c>
      <c r="E23" s="594">
        <f>'Debt Structure'!E24</f>
        <v>5</v>
      </c>
      <c r="K23" s="59" t="str">
        <f>Model!C82</f>
        <v>TLB</v>
      </c>
      <c r="L23" s="59"/>
      <c r="M23" s="60">
        <f>Model!L82+Model!L88</f>
        <v>0</v>
      </c>
      <c r="N23" s="60">
        <f>Model!Q82+Model!Q88</f>
        <v>-14.107500000000002</v>
      </c>
      <c r="O23" s="60">
        <f>Model!V82+Model!V88</f>
        <v>-14.107500000000002</v>
      </c>
      <c r="P23" s="60">
        <f>Model!AA82+Model!AA88</f>
        <v>-14.107500000000002</v>
      </c>
      <c r="Q23" s="60">
        <f>Model!AF82+Model!AF88</f>
        <v>-14.107500000000002</v>
      </c>
      <c r="R23" s="60">
        <f>Model!AK82+Model!AK88</f>
        <v>-14.107500000000002</v>
      </c>
      <c r="S23" s="571">
        <f>Model!AP82+Model!AP88</f>
        <v>-14.107500000000002</v>
      </c>
      <c r="T23" s="571">
        <f>Model!AU82+Model!AU88</f>
        <v>-268.84406250000001</v>
      </c>
      <c r="U23" s="633"/>
      <c r="V23" s="61"/>
      <c r="W23" s="27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</row>
    <row r="24" spans="1:37">
      <c r="C24" s="68"/>
      <c r="D24" s="247"/>
      <c r="E24" s="591"/>
      <c r="K24" s="59" t="str">
        <f>Model!C83</f>
        <v>CAF</v>
      </c>
      <c r="L24" s="59"/>
      <c r="M24" s="60">
        <f>Model!L83+Model!L89</f>
        <v>0</v>
      </c>
      <c r="N24" s="60">
        <f>Model!Q83+Model!Q89</f>
        <v>-0.6995266449243176</v>
      </c>
      <c r="O24" s="60">
        <f>Model!V83+Model!V89</f>
        <v>-1.3850715692645115</v>
      </c>
      <c r="P24" s="60">
        <f>Model!AA83+Model!AA89</f>
        <v>-2.1410639304704562</v>
      </c>
      <c r="Q24" s="60">
        <f>Model!AF83+Model!AF89</f>
        <v>-2.384703224610726</v>
      </c>
      <c r="R24" s="60">
        <f>Model!AK83+Model!AK89</f>
        <v>-2.384703224610726</v>
      </c>
      <c r="S24" s="571">
        <f>Model!AP83+Model!AP89</f>
        <v>-2.384703224610726</v>
      </c>
      <c r="T24" s="571">
        <f>Model!AU83+Model!AU89</f>
        <v>-49.780679813748904</v>
      </c>
      <c r="U24" s="633"/>
      <c r="V24" s="61"/>
      <c r="W24" s="27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</row>
    <row r="25" spans="1:37">
      <c r="C25" s="68" t="str">
        <f>'Debt Structure'!C29</f>
        <v>PIK</v>
      </c>
      <c r="D25" s="69">
        <f>+D14</f>
        <v>0</v>
      </c>
      <c r="E25" s="591">
        <f>+D25/$M$13</f>
        <v>0</v>
      </c>
      <c r="K25" s="59" t="str">
        <f>Model!C84</f>
        <v>RCF</v>
      </c>
      <c r="L25" s="59"/>
      <c r="M25" s="60">
        <f>Model!L84+Model!L90</f>
        <v>0</v>
      </c>
      <c r="N25" s="60">
        <f>Model!Q84+Model!Q90</f>
        <v>-0.2</v>
      </c>
      <c r="O25" s="60">
        <f>Model!V84+Model!V90</f>
        <v>-0.2</v>
      </c>
      <c r="P25" s="60">
        <f>Model!AA84+Model!AA90</f>
        <v>-0.2</v>
      </c>
      <c r="Q25" s="60">
        <f>Model!AF84+Model!AF90</f>
        <v>-0.2</v>
      </c>
      <c r="R25" s="60">
        <f>Model!AK84+Model!AK90</f>
        <v>-0.2</v>
      </c>
      <c r="S25" s="571">
        <f>Model!AP84+Model!AP90</f>
        <v>-0.2</v>
      </c>
      <c r="T25" s="571">
        <f>Model!AU84+Model!AU90</f>
        <v>-0.2</v>
      </c>
      <c r="U25" s="633"/>
      <c r="V25" s="61"/>
      <c r="W25" s="42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</row>
    <row r="26" spans="1:37">
      <c r="C26" s="264" t="str">
        <f>'Debt Structure'!C30</f>
        <v>Total Net Debt</v>
      </c>
      <c r="D26" s="265">
        <f>+D25+D23</f>
        <v>256.5</v>
      </c>
      <c r="E26" s="594">
        <f>'Debt Structure'!E30</f>
        <v>5</v>
      </c>
      <c r="K26" s="55" t="s">
        <v>55</v>
      </c>
      <c r="L26" s="55"/>
      <c r="M26" s="56">
        <f>Model!L92*0</f>
        <v>0</v>
      </c>
      <c r="N26" s="541">
        <f>Model!Q92</f>
        <v>10.641421062630272</v>
      </c>
      <c r="O26" s="541">
        <f>Model!V92</f>
        <v>24.502118760496032</v>
      </c>
      <c r="P26" s="56">
        <f>Model!AA92</f>
        <v>12.550524669088219</v>
      </c>
      <c r="Q26" s="56">
        <f>Model!AF92</f>
        <v>0</v>
      </c>
      <c r="R26" s="56">
        <f>Model!AK92</f>
        <v>0</v>
      </c>
      <c r="S26" s="541">
        <f>+Model!AP92</f>
        <v>0</v>
      </c>
      <c r="T26" s="541">
        <f>+Model!AU92</f>
        <v>0</v>
      </c>
      <c r="U26" s="633">
        <f>+SUM(M26:T26)</f>
        <v>47.694064492214522</v>
      </c>
      <c r="V26" s="61"/>
      <c r="W26" s="48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0"/>
    </row>
    <row r="27" spans="1:37">
      <c r="C27" s="68"/>
      <c r="D27" s="247"/>
      <c r="E27" s="591"/>
      <c r="K27" s="32" t="s">
        <v>57</v>
      </c>
      <c r="L27" s="32"/>
      <c r="M27" s="52">
        <f t="shared" ref="M27:T27" si="7">+M20+M21+M26</f>
        <v>17.21057670037672</v>
      </c>
      <c r="N27" s="52">
        <f t="shared" si="7"/>
        <v>28.530577855677159</v>
      </c>
      <c r="O27" s="52">
        <f t="shared" si="7"/>
        <v>33.505850256422349</v>
      </c>
      <c r="P27" s="52">
        <f t="shared" si="7"/>
        <v>41.541680106707091</v>
      </c>
      <c r="Q27" s="52">
        <f t="shared" si="7"/>
        <v>33.52920333564532</v>
      </c>
      <c r="R27" s="52">
        <f t="shared" si="7"/>
        <v>45.063217528071888</v>
      </c>
      <c r="S27" s="569">
        <f t="shared" si="7"/>
        <v>49.820253396584718</v>
      </c>
      <c r="T27" s="569">
        <f t="shared" si="7"/>
        <v>-252.08197559414813</v>
      </c>
      <c r="U27" s="629">
        <f>+SUM(M27:T27)</f>
        <v>-2.8806164146628817</v>
      </c>
      <c r="V27" s="34"/>
      <c r="W27" s="46"/>
    </row>
    <row r="28" spans="1:37">
      <c r="C28" s="68" t="str">
        <f>'Debt Structure'!C26</f>
        <v>Cash</v>
      </c>
      <c r="D28" s="627">
        <f>'Debt Structure'!D26</f>
        <v>0</v>
      </c>
      <c r="E28" s="591">
        <f>+D28/$M$13</f>
        <v>0</v>
      </c>
      <c r="K28" s="67" t="s">
        <v>51</v>
      </c>
      <c r="L28" s="67"/>
      <c r="M28" s="560">
        <f t="shared" ref="M28:R28" si="8">+M27/M9</f>
        <v>0.38151059799096093</v>
      </c>
      <c r="N28" s="586">
        <f t="shared" si="8"/>
        <v>0.54610959367723078</v>
      </c>
      <c r="O28" s="586">
        <f t="shared" si="8"/>
        <v>0.54292767029346267</v>
      </c>
      <c r="P28" s="586">
        <f t="shared" si="8"/>
        <v>0.56685042426710752</v>
      </c>
      <c r="Q28" s="586">
        <f t="shared" si="8"/>
        <v>0.42128597130364814</v>
      </c>
      <c r="R28" s="586">
        <f t="shared" si="8"/>
        <v>0.51334423771198845</v>
      </c>
      <c r="S28" s="587">
        <f>+S27/S9</f>
        <v>0.55640657649567549</v>
      </c>
      <c r="T28" s="587">
        <f>+T27/T9</f>
        <v>-2.7601198755432796</v>
      </c>
      <c r="U28" s="636"/>
      <c r="V28" s="580"/>
      <c r="W28" s="46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0"/>
    </row>
    <row r="29" spans="1:37" ht="10.8" thickBot="1">
      <c r="C29" s="248" t="str">
        <f>'Debt Structure'!C27</f>
        <v>Total Net Debt</v>
      </c>
      <c r="D29" s="628">
        <f>'Debt Structure'!D27</f>
        <v>256.5</v>
      </c>
      <c r="E29" s="595">
        <f>'Debt Structure'!E27</f>
        <v>5</v>
      </c>
      <c r="K29" s="83" t="s">
        <v>248</v>
      </c>
      <c r="M29" s="83"/>
      <c r="N29" s="588">
        <f>+'Active Case'!G65</f>
        <v>0</v>
      </c>
      <c r="O29" s="588">
        <f>+'Active Case'!H65</f>
        <v>0</v>
      </c>
      <c r="P29" s="588">
        <f>+'Active Case'!I65</f>
        <v>15.770840053353542</v>
      </c>
      <c r="Q29" s="588">
        <f>+'Active Case'!J65</f>
        <v>111.33647150109837</v>
      </c>
      <c r="R29" s="588">
        <f>+'Active Case'!K65</f>
        <v>17.531608764035944</v>
      </c>
      <c r="S29" s="588">
        <f>+'Active Case'!L65</f>
        <v>19.910126698292363</v>
      </c>
      <c r="T29" s="588">
        <f>+'Active Case'!M65</f>
        <v>0</v>
      </c>
      <c r="U29" s="542"/>
      <c r="V29" s="542"/>
      <c r="W29" s="46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0"/>
    </row>
    <row r="30" spans="1:37">
      <c r="C30" s="237"/>
      <c r="D30" s="237"/>
      <c r="E30" s="596"/>
      <c r="L30" s="279"/>
      <c r="M30" s="42"/>
      <c r="N30" s="42"/>
      <c r="O30" s="42"/>
      <c r="P30" s="42"/>
      <c r="Q30" s="42"/>
      <c r="R30" s="42"/>
      <c r="S30" s="699"/>
      <c r="T30" s="699"/>
      <c r="W30" s="46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</row>
    <row r="31" spans="1:37">
      <c r="C31" s="68" t="str">
        <f>'Debt Structure'!C32</f>
        <v>RCF</v>
      </c>
      <c r="D31" s="627">
        <f>'Debt Structure'!D32</f>
        <v>20</v>
      </c>
      <c r="E31" s="591">
        <f>+D31/$M$13</f>
        <v>0.38986354775828463</v>
      </c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</row>
    <row r="32" spans="1:37">
      <c r="C32" s="68" t="str">
        <f>'Debt Structure'!C33</f>
        <v>CAF</v>
      </c>
      <c r="D32" s="627">
        <f>'Debt Structure'!D33</f>
        <v>50</v>
      </c>
      <c r="E32" s="591">
        <f>+D32/$M$13</f>
        <v>0.97465886939571156</v>
      </c>
      <c r="K32" s="71" t="s">
        <v>60</v>
      </c>
      <c r="L32" s="71"/>
      <c r="M32" s="72"/>
      <c r="N32" s="73">
        <f t="shared" ref="N32:T32" si="9">+M33</f>
        <v>0</v>
      </c>
      <c r="O32" s="73">
        <f t="shared" si="9"/>
        <v>28.530577855677159</v>
      </c>
      <c r="P32" s="73">
        <f t="shared" si="9"/>
        <v>62.036428112099507</v>
      </c>
      <c r="Q32" s="73">
        <f t="shared" si="9"/>
        <v>87.807268165453053</v>
      </c>
      <c r="R32" s="73">
        <f t="shared" si="9"/>
        <v>10</v>
      </c>
      <c r="S32" s="572">
        <f t="shared" si="9"/>
        <v>37.531608764035944</v>
      </c>
      <c r="T32" s="572">
        <f t="shared" si="9"/>
        <v>67.44173546232831</v>
      </c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</row>
    <row r="33" spans="3:38" ht="10.8" thickBot="1">
      <c r="C33" s="248" t="str">
        <f>'Debt Structure'!C34</f>
        <v>Total</v>
      </c>
      <c r="D33" s="628">
        <f>'Debt Structure'!D34</f>
        <v>326.5</v>
      </c>
      <c r="E33" s="595">
        <f>'Debt Structure'!E34</f>
        <v>6.3645224171539967</v>
      </c>
      <c r="K33" s="74" t="s">
        <v>61</v>
      </c>
      <c r="L33" s="74"/>
      <c r="M33" s="563">
        <f>'Debt Structure'!D26</f>
        <v>0</v>
      </c>
      <c r="N33" s="75">
        <f>+N27+N32-N29</f>
        <v>28.530577855677159</v>
      </c>
      <c r="O33" s="75">
        <f t="shared" ref="O33:T33" si="10">+O27+O32-O29</f>
        <v>62.036428112099507</v>
      </c>
      <c r="P33" s="75">
        <f t="shared" si="10"/>
        <v>87.807268165453053</v>
      </c>
      <c r="Q33" s="75">
        <f t="shared" si="10"/>
        <v>10</v>
      </c>
      <c r="R33" s="75">
        <f t="shared" si="10"/>
        <v>37.531608764035944</v>
      </c>
      <c r="S33" s="75">
        <f t="shared" si="10"/>
        <v>67.44173546232831</v>
      </c>
      <c r="T33" s="75">
        <f t="shared" si="10"/>
        <v>-184.64024013181984</v>
      </c>
      <c r="W33" s="60"/>
      <c r="X33" s="77"/>
      <c r="Y33" s="77"/>
      <c r="Z33" s="77"/>
      <c r="AA33" s="77"/>
      <c r="AB33" s="77"/>
      <c r="AC33" s="77"/>
      <c r="AD33" s="77"/>
      <c r="AE33" s="77"/>
      <c r="AF33" s="77"/>
      <c r="AG33" s="77"/>
      <c r="AH33" s="77"/>
      <c r="AI33" s="77"/>
      <c r="AJ33" s="77"/>
      <c r="AK33" s="77"/>
    </row>
    <row r="34" spans="3:38">
      <c r="K34" s="27" t="s">
        <v>16</v>
      </c>
      <c r="L34" s="27"/>
      <c r="M34" s="51" t="b">
        <f>ROUND(+Model!L102,1)=ROUND(M33,1)</f>
        <v>1</v>
      </c>
      <c r="N34" s="51" t="b">
        <f>ROUND(+Model!Q102,1)=ROUND(N33,1)</f>
        <v>1</v>
      </c>
      <c r="O34" s="51" t="b">
        <f>ROUND(+Model!V102,1)=ROUND(O33,1)</f>
        <v>1</v>
      </c>
      <c r="P34" s="51" t="b">
        <f>ROUND(+Model!AA102,1)=ROUND(P33,1)</f>
        <v>1</v>
      </c>
      <c r="Q34" s="51" t="b">
        <f>ROUND(+Model!AF102,1)=ROUND(Q33,1)</f>
        <v>1</v>
      </c>
      <c r="R34" s="51" t="b">
        <f>ROUND(+Model!AK102,1)=ROUND(R33,1)</f>
        <v>1</v>
      </c>
      <c r="S34" s="51" t="b">
        <f>ROUND(+Model!AP102,1)=ROUND(S33,1)</f>
        <v>1</v>
      </c>
      <c r="T34" s="51" t="b">
        <f>ROUND(+Model!AU102,1)=ROUND(T33,1)</f>
        <v>1</v>
      </c>
      <c r="W34" s="56"/>
    </row>
    <row r="35" spans="3:38">
      <c r="M35" s="76"/>
      <c r="W35" s="60"/>
    </row>
    <row r="36" spans="3:38" ht="10.8" thickBot="1">
      <c r="C36" s="24" t="s">
        <v>67</v>
      </c>
      <c r="D36" s="24"/>
      <c r="E36" s="24"/>
      <c r="F36" s="24"/>
      <c r="G36" s="24"/>
      <c r="H36" s="24"/>
      <c r="I36" s="24"/>
      <c r="K36" s="28" t="s">
        <v>62</v>
      </c>
      <c r="L36" s="28"/>
      <c r="M36" s="28"/>
      <c r="N36" s="28"/>
      <c r="O36" s="28"/>
      <c r="P36" s="28"/>
      <c r="Q36" s="28"/>
      <c r="R36" s="28"/>
      <c r="S36" s="28"/>
      <c r="T36" s="28"/>
      <c r="W36" s="60"/>
    </row>
    <row r="37" spans="3:38" ht="10.8" thickBot="1">
      <c r="C37" s="27"/>
      <c r="M37" s="29" t="s">
        <v>36</v>
      </c>
      <c r="N37" s="30" t="s">
        <v>37</v>
      </c>
      <c r="O37" s="30" t="s">
        <v>38</v>
      </c>
      <c r="P37" s="30" t="s">
        <v>39</v>
      </c>
      <c r="Q37" s="30" t="s">
        <v>40</v>
      </c>
      <c r="R37" s="30" t="s">
        <v>41</v>
      </c>
      <c r="S37" s="30" t="s">
        <v>230</v>
      </c>
      <c r="T37" s="30" t="s">
        <v>231</v>
      </c>
      <c r="W37" s="60"/>
      <c r="AL37" s="78"/>
    </row>
    <row r="38" spans="3:38" ht="10.8" thickBot="1">
      <c r="C38" s="30" t="s">
        <v>69</v>
      </c>
      <c r="D38" s="30" t="s">
        <v>70</v>
      </c>
      <c r="E38" s="30" t="s">
        <v>71</v>
      </c>
      <c r="F38" s="30" t="s">
        <v>238</v>
      </c>
      <c r="K38" s="27"/>
      <c r="L38" s="27"/>
      <c r="M38" s="27"/>
      <c r="N38" s="27"/>
      <c r="O38" s="27"/>
      <c r="P38" s="27"/>
      <c r="Q38" s="27"/>
      <c r="R38" s="27"/>
      <c r="S38" s="27"/>
      <c r="T38" s="27"/>
      <c r="AL38" s="27"/>
    </row>
    <row r="39" spans="3:38" ht="10.8" thickBot="1">
      <c r="C39" s="81" cm="1">
        <f t="array" ref="C39:C66">+TRANSPOSE(Model!L10:AM10)</f>
        <v>46112</v>
      </c>
      <c r="D39" s="597">
        <f>IF(SUMIF(Model!$H$10:$AM$10,C39,Model!$H$12:$AM$12)=0,"n.a.",SUMIF(Model!$H$10:$AM$10,C39,Model!$H$12:$AM$12))</f>
        <v>4.8895653057744406</v>
      </c>
      <c r="E39" s="597">
        <f>IF(SUMIF(Model!$H$10:$AM$10,C39,Model!$H$16:$AM$16)=0,"n.a.",SUMIF(Model!$H$10:$AM$10,C39,Model!$H$16:$AM$16))</f>
        <v>8.15</v>
      </c>
      <c r="F39" s="573">
        <f>+N(E39&gt;D39)</f>
        <v>1</v>
      </c>
      <c r="K39" s="23" t="s">
        <v>61</v>
      </c>
      <c r="M39" s="60"/>
      <c r="N39" s="60">
        <f t="shared" ref="N39:T39" si="11">N33</f>
        <v>28.530577855677159</v>
      </c>
      <c r="O39" s="60">
        <f t="shared" si="11"/>
        <v>62.036428112099507</v>
      </c>
      <c r="P39" s="60">
        <f t="shared" si="11"/>
        <v>87.807268165453053</v>
      </c>
      <c r="Q39" s="60">
        <f t="shared" si="11"/>
        <v>10</v>
      </c>
      <c r="R39" s="60">
        <f t="shared" si="11"/>
        <v>37.531608764035944</v>
      </c>
      <c r="S39" s="60">
        <f t="shared" si="11"/>
        <v>67.44173546232831</v>
      </c>
      <c r="T39" s="60">
        <f t="shared" si="11"/>
        <v>-184.64024013181984</v>
      </c>
      <c r="W39" s="60"/>
      <c r="AL39" s="79"/>
    </row>
    <row r="40" spans="3:38" ht="10.8" thickBot="1">
      <c r="C40" s="81">
        <v>46203</v>
      </c>
      <c r="D40" s="597">
        <f>IF(SUMIF(Model!$H$10:$AM$10,C40,Model!$H$12:$AM$12)=0,"n.a.",SUMIF(Model!$H$10:$AM$10,C40,Model!$H$12:$AM$12))</f>
        <v>4.7806505771142245</v>
      </c>
      <c r="E40" s="597">
        <f>IF(SUMIF(Model!$H$10:$AM$10,C40,Model!$H$16:$AM$16)=0,"n.a.",SUMIF(Model!$H$10:$AM$10,C40,Model!$H$16:$AM$16))</f>
        <v>8</v>
      </c>
      <c r="F40" s="573">
        <f t="shared" ref="F40:F66" si="12">+N(E40&gt;D40)</f>
        <v>1</v>
      </c>
      <c r="K40" s="27"/>
      <c r="L40" s="27"/>
      <c r="M40" s="60"/>
      <c r="N40" s="60"/>
      <c r="O40" s="60"/>
      <c r="P40" s="60"/>
      <c r="Q40" s="60"/>
      <c r="R40" s="60"/>
      <c r="S40" s="60"/>
      <c r="T40" s="60"/>
      <c r="W40" s="60"/>
      <c r="AL40" s="78"/>
    </row>
    <row r="41" spans="3:38" ht="10.8" thickBot="1">
      <c r="C41" s="81">
        <v>46295</v>
      </c>
      <c r="D41" s="597">
        <f>IF(SUMIF(Model!$H$10:$AM$10,C41,Model!$H$12:$AM$12)=0,"n.a.",SUMIF(Model!$H$10:$AM$10,C41,Model!$H$12:$AM$12))</f>
        <v>4.6732351370051353</v>
      </c>
      <c r="E41" s="597">
        <f>IF(SUMIF(Model!$H$10:$AM$10,C41,Model!$H$16:$AM$16)=0,"n.a.",SUMIF(Model!$H$10:$AM$10,C41,Model!$H$16:$AM$16))</f>
        <v>7.8</v>
      </c>
      <c r="F41" s="573">
        <f t="shared" si="12"/>
        <v>1</v>
      </c>
      <c r="K41" s="23" t="s">
        <v>63</v>
      </c>
      <c r="M41" s="60"/>
      <c r="N41" s="60">
        <f t="shared" ref="N41:T41" si="13">+M44</f>
        <v>256.5</v>
      </c>
      <c r="O41" s="60">
        <f t="shared" si="13"/>
        <v>267.14142106263029</v>
      </c>
      <c r="P41" s="60">
        <f t="shared" si="13"/>
        <v>291.64353982312633</v>
      </c>
      <c r="Q41" s="60">
        <f t="shared" si="13"/>
        <v>304.19406449221458</v>
      </c>
      <c r="R41" s="60">
        <f t="shared" si="13"/>
        <v>304.19406449221458</v>
      </c>
      <c r="S41" s="60">
        <f t="shared" si="13"/>
        <v>304.19406449221458</v>
      </c>
      <c r="T41" s="60">
        <f t="shared" si="13"/>
        <v>304.19406449221458</v>
      </c>
      <c r="W41" s="27"/>
    </row>
    <row r="42" spans="3:38" ht="10.8" thickBot="1">
      <c r="C42" s="81">
        <v>46387</v>
      </c>
      <c r="D42" s="597">
        <f>IF(SUMIF(Model!$H$10:$AM$10,C42,Model!$H$12:$AM$12)=0,"n.a.",SUMIF(Model!$H$10:$AM$10,C42,Model!$H$12:$AM$12))</f>
        <v>4.5672986817826162</v>
      </c>
      <c r="E42" s="597">
        <f>IF(SUMIF(Model!$H$10:$AM$10,C42,Model!$H$16:$AM$16)=0,"n.a.",SUMIF(Model!$H$10:$AM$10,C42,Model!$H$16:$AM$16))</f>
        <v>7.65</v>
      </c>
      <c r="F42" s="573">
        <f t="shared" si="12"/>
        <v>1</v>
      </c>
      <c r="K42" s="80" t="s">
        <v>64</v>
      </c>
      <c r="L42" s="80"/>
      <c r="M42" s="60"/>
      <c r="N42" s="60">
        <f>Model!Q92</f>
        <v>10.641421062630272</v>
      </c>
      <c r="O42" s="60">
        <f>Model!V92</f>
        <v>24.502118760496032</v>
      </c>
      <c r="P42" s="60">
        <f>Model!AA92</f>
        <v>12.550524669088219</v>
      </c>
      <c r="Q42" s="60">
        <f>Model!AF92</f>
        <v>0</v>
      </c>
      <c r="R42" s="60">
        <f>Model!AK92</f>
        <v>0</v>
      </c>
      <c r="S42" s="60">
        <f>Model!AP92</f>
        <v>0</v>
      </c>
      <c r="T42" s="60">
        <f>Model!AU92</f>
        <v>0</v>
      </c>
      <c r="W42" s="42"/>
    </row>
    <row r="43" spans="3:38" ht="10.8" thickBot="1">
      <c r="C43" s="81">
        <v>46477</v>
      </c>
      <c r="D43" s="597">
        <f>IF(SUMIF(Model!$H$10:$AM$10,C43,Model!$H$12:$AM$12)=0,"n.a.",SUMIF(Model!$H$10:$AM$10,C43,Model!$H$12:$AM$12))</f>
        <v>4.3263966229138511</v>
      </c>
      <c r="E43" s="597">
        <f>IF(SUMIF(Model!$H$10:$AM$10,C43,Model!$H$16:$AM$16)=0,"n.a.",SUMIF(Model!$H$10:$AM$10,C43,Model!$H$16:$AM$16))</f>
        <v>7.25</v>
      </c>
      <c r="F43" s="573">
        <f t="shared" si="12"/>
        <v>1</v>
      </c>
      <c r="K43" s="80" t="s">
        <v>65</v>
      </c>
      <c r="L43" s="80"/>
      <c r="M43" s="60"/>
      <c r="N43" s="60">
        <f>Model!Q86</f>
        <v>0</v>
      </c>
      <c r="O43" s="60">
        <f>Model!V86</f>
        <v>0</v>
      </c>
      <c r="P43" s="60">
        <f>Model!AA86</f>
        <v>0</v>
      </c>
      <c r="Q43" s="60">
        <f>Model!AF86</f>
        <v>0</v>
      </c>
      <c r="R43" s="60">
        <f>Model!AK86</f>
        <v>0</v>
      </c>
      <c r="S43" s="60">
        <f>Model!AP86</f>
        <v>0</v>
      </c>
      <c r="T43" s="60">
        <f>Model!AU86</f>
        <v>-304.19406449221452</v>
      </c>
      <c r="W43" s="58"/>
    </row>
    <row r="44" spans="3:38" ht="10.8" thickBot="1">
      <c r="C44" s="81">
        <v>46568</v>
      </c>
      <c r="D44" s="597">
        <f>IF(SUMIF(Model!$H$10:$AM$10,C44,Model!$H$12:$AM$12)=0,"n.a.",SUMIF(Model!$H$10:$AM$10,C44,Model!$H$12:$AM$12))</f>
        <v>4.1065889528749313</v>
      </c>
      <c r="E44" s="597">
        <f>IF(SUMIF(Model!$H$10:$AM$10,C44,Model!$H$16:$AM$16)=0,"n.a.",SUMIF(Model!$H$10:$AM$10,C44,Model!$H$16:$AM$16))</f>
        <v>6.85</v>
      </c>
      <c r="F44" s="573">
        <f t="shared" si="12"/>
        <v>1</v>
      </c>
      <c r="K44" s="23" t="s">
        <v>66</v>
      </c>
      <c r="M44" s="60">
        <f>Model!L109</f>
        <v>256.5</v>
      </c>
      <c r="N44" s="60">
        <f t="shared" ref="N44:T44" si="14">+N41+N42+N43</f>
        <v>267.14142106263029</v>
      </c>
      <c r="O44" s="60">
        <f t="shared" si="14"/>
        <v>291.64353982312633</v>
      </c>
      <c r="P44" s="60">
        <f t="shared" si="14"/>
        <v>304.19406449221458</v>
      </c>
      <c r="Q44" s="60">
        <f t="shared" si="14"/>
        <v>304.19406449221458</v>
      </c>
      <c r="R44" s="60">
        <f t="shared" si="14"/>
        <v>304.19406449221458</v>
      </c>
      <c r="S44" s="60">
        <f t="shared" si="14"/>
        <v>304.19406449221458</v>
      </c>
      <c r="T44" s="60">
        <f t="shared" si="14"/>
        <v>0</v>
      </c>
      <c r="W44" s="77"/>
    </row>
    <row r="45" spans="3:38" ht="10.8" thickBot="1">
      <c r="C45" s="81">
        <v>46660</v>
      </c>
      <c r="D45" s="597">
        <f>IF(SUMIF(Model!$H$10:$AM$10,C45,Model!$H$12:$AM$12)=0,"n.a.",SUMIF(Model!$H$10:$AM$10,C45,Model!$H$12:$AM$12))</f>
        <v>3.9053511058821662</v>
      </c>
      <c r="E45" s="597">
        <f>IF(SUMIF(Model!$H$10:$AM$10,C45,Model!$H$16:$AM$16)=0,"n.a.",SUMIF(Model!$H$10:$AM$10,C45,Model!$H$16:$AM$16))</f>
        <v>6.55</v>
      </c>
      <c r="F45" s="573">
        <f t="shared" si="12"/>
        <v>1</v>
      </c>
      <c r="K45" s="27"/>
      <c r="L45" s="27"/>
      <c r="M45" s="60"/>
      <c r="N45" s="60"/>
      <c r="O45" s="60"/>
      <c r="P45" s="60"/>
      <c r="Q45" s="60"/>
      <c r="R45" s="60"/>
      <c r="S45" s="60"/>
      <c r="T45" s="60"/>
    </row>
    <row r="46" spans="3:38" ht="10.8" thickBot="1">
      <c r="C46" s="81">
        <v>46752</v>
      </c>
      <c r="D46" s="597">
        <f>IF(SUMIF(Model!$H$10:$AM$10,C46,Model!$H$12:$AM$12)=0,"n.a.",SUMIF(Model!$H$10:$AM$10,C46,Model!$H$12:$AM$12))</f>
        <v>3.7205459133269998</v>
      </c>
      <c r="E46" s="597">
        <f>IF(SUMIF(Model!$H$10:$AM$10,C46,Model!$H$16:$AM$16)=0,"n.a.",SUMIF(Model!$H$10:$AM$10,C46,Model!$H$16:$AM$16))</f>
        <v>6.25</v>
      </c>
      <c r="F46" s="573">
        <f t="shared" si="12"/>
        <v>1</v>
      </c>
      <c r="K46" s="23" t="s">
        <v>68</v>
      </c>
      <c r="M46" s="60">
        <f t="shared" ref="M46:R46" si="15">+M44-M33</f>
        <v>256.5</v>
      </c>
      <c r="N46" s="60">
        <f>+N44-N33</f>
        <v>238.61084320695312</v>
      </c>
      <c r="O46" s="60">
        <f t="shared" si="15"/>
        <v>229.60711171102682</v>
      </c>
      <c r="P46" s="60">
        <f>+P44-P33</f>
        <v>216.38679632676153</v>
      </c>
      <c r="Q46" s="60">
        <f t="shared" si="15"/>
        <v>294.19406449221458</v>
      </c>
      <c r="R46" s="60">
        <f t="shared" si="15"/>
        <v>266.66245572817866</v>
      </c>
      <c r="S46" s="60">
        <f>+S44-S33</f>
        <v>236.75232902988625</v>
      </c>
      <c r="T46" s="60">
        <f>+T44-T33</f>
        <v>184.64024013181984</v>
      </c>
    </row>
    <row r="47" spans="3:38" ht="10.8" thickBot="1">
      <c r="C47" s="81">
        <v>46843</v>
      </c>
      <c r="D47" s="597">
        <f>IF(SUMIF(Model!$H$10:$AM$10,C47,Model!$H$12:$AM$12)=0,"n.a.",SUMIF(Model!$H$10:$AM$10,C47,Model!$H$12:$AM$12))</f>
        <v>3.5020609016265678</v>
      </c>
      <c r="E47" s="597">
        <f>IF(SUMIF(Model!$H$10:$AM$10,C47,Model!$H$16:$AM$16)=0,"n.a.",SUMIF(Model!$H$10:$AM$10,C47,Model!$H$16:$AM$16))</f>
        <v>5.85</v>
      </c>
      <c r="F47" s="573">
        <f t="shared" si="12"/>
        <v>1</v>
      </c>
      <c r="K47" s="27"/>
      <c r="L47" s="27"/>
      <c r="M47" s="51" t="b">
        <f>ROUND(+Model!L116,2)=ROUND(M46,2)</f>
        <v>1</v>
      </c>
      <c r="N47" s="51" t="b">
        <f>ROUND(+Model!Q116,2)=ROUND(N46,2)</f>
        <v>1</v>
      </c>
      <c r="O47" s="51" t="b">
        <f>ROUND(+Model!V116,2)=ROUND(O46,2)</f>
        <v>1</v>
      </c>
      <c r="P47" s="51" t="b">
        <f>ROUND(+Model!AA116,2)=ROUND(P46,2)</f>
        <v>1</v>
      </c>
      <c r="Q47" s="51" t="b">
        <f>ROUND(+Model!AF116,2)=ROUND(Q46,2)</f>
        <v>1</v>
      </c>
      <c r="R47" s="51" t="b">
        <f>ROUND(+Model!AK116,2)=ROUND(R46,2)</f>
        <v>1</v>
      </c>
      <c r="S47" s="51" t="b">
        <f>ROUND(+Model!AP116,2)=ROUND(S46,2)</f>
        <v>1</v>
      </c>
      <c r="T47" s="51" t="b">
        <f>ROUND(+Model!AU116,2)=ROUND(T46,2)</f>
        <v>1</v>
      </c>
    </row>
    <row r="48" spans="3:38" ht="10.8" thickBot="1">
      <c r="C48" s="81">
        <v>46934</v>
      </c>
      <c r="D48" s="597">
        <f>IF(SUMIF(Model!$H$10:$AM$10,C48,Model!$H$12:$AM$12)=0,"n.a.",SUMIF(Model!$H$10:$AM$10,C48,Model!$H$12:$AM$12))</f>
        <v>3.3027688393918782</v>
      </c>
      <c r="E48" s="597">
        <f>IF(SUMIF(Model!$H$10:$AM$10,C48,Model!$H$16:$AM$16)=0,"n.a.",SUMIF(Model!$H$10:$AM$10,C48,Model!$H$16:$AM$16))</f>
        <v>5.55</v>
      </c>
      <c r="F48" s="573">
        <f t="shared" si="12"/>
        <v>1</v>
      </c>
    </row>
    <row r="49" spans="3:22" ht="10.8" thickBot="1">
      <c r="C49" s="81">
        <v>47026</v>
      </c>
      <c r="D49" s="597">
        <f>IF(SUMIF(Model!$H$10:$AM$10,C49,Model!$H$12:$AM$12)=0,"n.a.",SUMIF(Model!$H$10:$AM$10,C49,Model!$H$12:$AM$12))</f>
        <v>3.1203033728784817</v>
      </c>
      <c r="E49" s="597">
        <f>IF(SUMIF(Model!$H$10:$AM$10,C49,Model!$H$16:$AM$16)=0,"n.a.",SUMIF(Model!$H$10:$AM$10,C49,Model!$H$16:$AM$16))</f>
        <v>5.25</v>
      </c>
      <c r="F49" s="573">
        <f t="shared" si="12"/>
        <v>1</v>
      </c>
      <c r="K49" s="28" t="s">
        <v>72</v>
      </c>
      <c r="L49" s="28"/>
      <c r="M49" s="28"/>
      <c r="N49" s="28"/>
      <c r="O49" s="28"/>
      <c r="P49" s="28"/>
      <c r="Q49" s="28"/>
      <c r="R49" s="28"/>
      <c r="S49" s="28"/>
      <c r="T49" s="28"/>
    </row>
    <row r="50" spans="3:22" ht="10.8" thickBot="1">
      <c r="C50" s="81">
        <v>47118</v>
      </c>
      <c r="D50" s="597">
        <f>IF(SUMIF(Model!$H$10:$AM$10,C50,Model!$H$12:$AM$12)=0,"n.a.",SUMIF(Model!$H$10:$AM$10,C50,Model!$H$12:$AM$12))</f>
        <v>2.9526717982651132</v>
      </c>
      <c r="E50" s="597">
        <f>IF(SUMIF(Model!$H$10:$AM$10,C50,Model!$H$16:$AM$16)=0,"n.a.",SUMIF(Model!$H$10:$AM$10,C50,Model!$H$16:$AM$16))</f>
        <v>4.95</v>
      </c>
      <c r="F50" s="573">
        <f t="shared" si="12"/>
        <v>1</v>
      </c>
      <c r="M50" s="27"/>
      <c r="N50" s="30" t="s">
        <v>37</v>
      </c>
      <c r="O50" s="30" t="s">
        <v>38</v>
      </c>
      <c r="P50" s="30" t="s">
        <v>39</v>
      </c>
      <c r="Q50" s="30" t="s">
        <v>40</v>
      </c>
      <c r="R50" s="30" t="s">
        <v>41</v>
      </c>
      <c r="S50" s="30" t="s">
        <v>230</v>
      </c>
      <c r="T50" s="30" t="s">
        <v>231</v>
      </c>
    </row>
    <row r="51" spans="3:22" ht="10.8" thickBot="1">
      <c r="C51" s="81">
        <v>47208</v>
      </c>
      <c r="D51" s="597">
        <f>IF(SUMIF(Model!$H$10:$AM$10,C51,Model!$H$12:$AM$12)=0,"n.a.",SUMIF(Model!$H$10:$AM$10,C51,Model!$H$12:$AM$12))</f>
        <v>3.1503640278190943</v>
      </c>
      <c r="E51" s="597">
        <f>IF(SUMIF(Model!$H$10:$AM$10,C51,Model!$H$16:$AM$16)=0,"n.a.",SUMIF(Model!$H$10:$AM$10,C51,Model!$H$16:$AM$16))</f>
        <v>5.3</v>
      </c>
      <c r="F51" s="573">
        <f t="shared" si="12"/>
        <v>1</v>
      </c>
      <c r="K51" s="27"/>
      <c r="L51" s="27"/>
      <c r="M51" s="27"/>
      <c r="N51" s="27"/>
      <c r="O51" s="27"/>
      <c r="P51" s="27"/>
      <c r="Q51" s="27"/>
      <c r="R51" s="27"/>
      <c r="S51" s="27"/>
      <c r="T51" s="27"/>
    </row>
    <row r="52" spans="3:22" ht="10.8" thickBot="1">
      <c r="C52" s="81">
        <v>47299</v>
      </c>
      <c r="D52" s="597">
        <f>IF(SUMIF(Model!$H$10:$AM$10,C52,Model!$H$12:$AM$12)=0,"n.a.",SUMIF(Model!$H$10:$AM$10,C52,Model!$H$12:$AM$12))</f>
        <v>3.339905765765482</v>
      </c>
      <c r="E52" s="597">
        <f>IF(SUMIF(Model!$H$10:$AM$10,C52,Model!$H$16:$AM$16)=0,"n.a.",SUMIF(Model!$H$10:$AM$10,C52,Model!$H$16:$AM$16))</f>
        <v>5.6</v>
      </c>
      <c r="F52" s="573">
        <f t="shared" si="12"/>
        <v>1</v>
      </c>
      <c r="K52" s="27" t="s">
        <v>1</v>
      </c>
      <c r="L52" s="27"/>
      <c r="M52" s="82">
        <f>+'Debt Structure'!D7</f>
        <v>51.3</v>
      </c>
      <c r="N52" s="82">
        <f t="shared" ref="N52:T52" si="16">N9</f>
        <v>52.243319264117702</v>
      </c>
      <c r="O52" s="78">
        <f t="shared" si="16"/>
        <v>61.7132853779801</v>
      </c>
      <c r="P52" s="78">
        <f t="shared" si="16"/>
        <v>73.285082498468938</v>
      </c>
      <c r="Q52" s="78">
        <f t="shared" si="16"/>
        <v>79.587751834913689</v>
      </c>
      <c r="R52" s="78">
        <f t="shared" si="16"/>
        <v>87.783623965317773</v>
      </c>
      <c r="S52" s="78">
        <f t="shared" si="16"/>
        <v>89.539296444624128</v>
      </c>
      <c r="T52" s="78">
        <f t="shared" si="16"/>
        <v>91.330082373516603</v>
      </c>
    </row>
    <row r="53" spans="3:22" ht="10.8" thickBot="1">
      <c r="C53" s="81">
        <v>47391</v>
      </c>
      <c r="D53" s="597">
        <f>IF(SUMIF(Model!$H$10:$AM$10,C53,Model!$H$12:$AM$12)=0,"n.a.",SUMIF(Model!$H$10:$AM$10,C53,Model!$H$12:$AM$12))</f>
        <v>3.5217908764894625</v>
      </c>
      <c r="E53" s="597">
        <f>IF(SUMIF(Model!$H$10:$AM$10,C53,Model!$H$16:$AM$16)=0,"n.a.",SUMIF(Model!$H$10:$AM$10,C53,Model!$H$16:$AM$16))</f>
        <v>5.9</v>
      </c>
      <c r="F53" s="573">
        <f t="shared" si="12"/>
        <v>1</v>
      </c>
      <c r="K53" s="27"/>
      <c r="L53" s="27"/>
      <c r="M53" s="27"/>
      <c r="N53" s="27"/>
    </row>
    <row r="54" spans="3:22" ht="10.8" thickBot="1">
      <c r="C54" s="81">
        <v>47483</v>
      </c>
      <c r="D54" s="597">
        <f>IF(SUMIF(Model!$H$10:$AM$10,C54,Model!$H$12:$AM$12)=0,"n.a.",SUMIF(Model!$H$10:$AM$10,C54,Model!$H$12:$AM$12))</f>
        <v>3.6964741145402842</v>
      </c>
      <c r="E54" s="597">
        <f>IF(SUMIF(Model!$H$10:$AM$10,C54,Model!$H$16:$AM$16)=0,"n.a.",SUMIF(Model!$H$10:$AM$10,C54,Model!$H$16:$AM$16))</f>
        <v>6.2</v>
      </c>
      <c r="F54" s="573">
        <f t="shared" si="12"/>
        <v>1</v>
      </c>
      <c r="K54" s="651" t="s">
        <v>73</v>
      </c>
      <c r="L54" s="651"/>
      <c r="M54" s="684">
        <f t="shared" ref="M54:R54" si="17">IF(+M46/M52&lt;0,"n.m.",M46/M52)</f>
        <v>5</v>
      </c>
      <c r="N54" s="652">
        <f t="shared" si="17"/>
        <v>4.5672986817826162</v>
      </c>
      <c r="O54" s="682">
        <f t="shared" si="17"/>
        <v>3.7205459133270007</v>
      </c>
      <c r="P54" s="653">
        <f>IF(+P46/P52&lt;0,"n.m.",P46/P52)</f>
        <v>2.9526717982651141</v>
      </c>
      <c r="Q54" s="653">
        <f t="shared" si="17"/>
        <v>3.6964741145402855</v>
      </c>
      <c r="R54" s="653">
        <f t="shared" si="17"/>
        <v>3.0377243918926577</v>
      </c>
      <c r="S54" s="653">
        <f>IF(+S46/S52&lt;0,"n.m.",S46/S52)</f>
        <v>2.6441164765718983</v>
      </c>
      <c r="T54" s="653">
        <f>IF(+T46/T52&lt;0,"n.m.",T46/T52)</f>
        <v>2.0216804292006287</v>
      </c>
    </row>
    <row r="55" spans="3:22" ht="10.8" thickBot="1">
      <c r="C55" s="81">
        <v>47573</v>
      </c>
      <c r="D55" s="597">
        <f>IF(SUMIF(Model!$H$10:$AM$10,C55,Model!$H$12:$AM$12)=0,"n.a.",SUMIF(Model!$H$10:$AM$10,C55,Model!$H$12:$AM$12))</f>
        <v>3.5193864080706874</v>
      </c>
      <c r="E55" s="597">
        <f>IF(SUMIF(Model!$H$10:$AM$10,C55,Model!$H$16:$AM$16)=0,"n.a.",SUMIF(Model!$H$10:$AM$10,C55,Model!$H$16:$AM$16))</f>
        <v>5.9</v>
      </c>
      <c r="F55" s="573">
        <f t="shared" si="12"/>
        <v>1</v>
      </c>
      <c r="K55" s="27" t="s">
        <v>16</v>
      </c>
      <c r="L55" s="27"/>
      <c r="M55" s="27"/>
      <c r="N55" s="85" t="b">
        <f>IFERROR(ROUND(N54,1)=ROUND(Model!O12,1),"n.a.")</f>
        <v>1</v>
      </c>
      <c r="O55" s="85" t="b">
        <f>IFERROR(ROUND(O54,1)=ROUND(Model!S12,1),"n.a.")</f>
        <v>1</v>
      </c>
      <c r="P55" s="85" t="b">
        <f>IFERROR(ROUND(P54,1)=ROUND(Model!W12,1),"n.a.")</f>
        <v>1</v>
      </c>
      <c r="Q55" s="85" t="b">
        <f>IFERROR(ROUND(Q54,1)=ROUND(Model!AA12,1),"n.a.")</f>
        <v>1</v>
      </c>
      <c r="R55" s="85" t="b">
        <f>IFERROR(ROUND(R54,1)=ROUND(Model!AE12,1),"n.a.")</f>
        <v>1</v>
      </c>
      <c r="S55" s="85" t="b">
        <f>IFERROR(ROUND(S54,1)=ROUND(Model!AI12,1),"n.a.")</f>
        <v>1</v>
      </c>
      <c r="T55" s="85" t="b">
        <f>IFERROR(ROUND(T54,1)=ROUND(Model!AM12,1),"n.a.")</f>
        <v>1</v>
      </c>
    </row>
    <row r="56" spans="3:22" ht="10.8" thickBot="1">
      <c r="C56" s="81">
        <v>47664</v>
      </c>
      <c r="D56" s="597">
        <f>IF(SUMIF(Model!$H$10:$AM$10,C56,Model!$H$12:$AM$12)=0,"n.a.",SUMIF(Model!$H$10:$AM$10,C56,Model!$H$12:$AM$12))</f>
        <v>3.350970364788131</v>
      </c>
      <c r="E56" s="597">
        <f>IF(SUMIF(Model!$H$10:$AM$10,C56,Model!$H$16:$AM$16)=0,"n.a.",SUMIF(Model!$H$10:$AM$10,C56,Model!$H$16:$AM$16))</f>
        <v>5.6</v>
      </c>
      <c r="F56" s="573">
        <f t="shared" si="12"/>
        <v>1</v>
      </c>
      <c r="K56" s="27"/>
      <c r="L56" s="27"/>
      <c r="M56" s="27"/>
    </row>
    <row r="57" spans="3:22" ht="10.8" thickBot="1">
      <c r="C57" s="81">
        <v>47756</v>
      </c>
      <c r="D57" s="597">
        <f>IF(SUMIF(Model!$H$10:$AM$10,C57,Model!$H$12:$AM$12)=0,"n.a.",SUMIF(Model!$H$10:$AM$10,C57,Model!$H$12:$AM$12))</f>
        <v>3.1906042538254518</v>
      </c>
      <c r="E57" s="597">
        <f>IF(SUMIF(Model!$H$10:$AM$10,C57,Model!$H$16:$AM$16)=0,"n.a.",SUMIF(Model!$H$10:$AM$10,C57,Model!$H$16:$AM$16))</f>
        <v>5.35</v>
      </c>
      <c r="F57" s="573">
        <f t="shared" si="12"/>
        <v>1</v>
      </c>
      <c r="K57" s="651" t="s">
        <v>74</v>
      </c>
      <c r="L57" s="651"/>
      <c r="M57" s="654"/>
      <c r="N57" s="653">
        <f>E42</f>
        <v>7.65</v>
      </c>
      <c r="O57" s="653">
        <f>E46</f>
        <v>6.25</v>
      </c>
      <c r="P57" s="653">
        <f>E50</f>
        <v>4.95</v>
      </c>
      <c r="Q57" s="653">
        <f>E54</f>
        <v>6.2</v>
      </c>
      <c r="R57" s="653">
        <f>E58</f>
        <v>5.0999999999999996</v>
      </c>
      <c r="S57" s="653">
        <f>+E62</f>
        <v>4.45</v>
      </c>
      <c r="T57" s="653">
        <f>+E66</f>
        <v>3.4</v>
      </c>
    </row>
    <row r="58" spans="3:22" ht="10.8" thickBot="1">
      <c r="C58" s="81">
        <v>47848</v>
      </c>
      <c r="D58" s="597">
        <f>IF(SUMIF(Model!$H$10:$AM$10,C58,Model!$H$12:$AM$12)=0,"n.a.",SUMIF(Model!$H$10:$AM$10,C58,Model!$H$12:$AM$12))</f>
        <v>3.0377243918926564</v>
      </c>
      <c r="E58" s="597">
        <f>IF(SUMIF(Model!$H$10:$AM$10,C58,Model!$H$16:$AM$16)=0,"n.a.",SUMIF(Model!$H$10:$AM$10,C58,Model!$H$16:$AM$16))</f>
        <v>5.0999999999999996</v>
      </c>
      <c r="F58" s="573">
        <f t="shared" si="12"/>
        <v>1</v>
      </c>
      <c r="K58" s="23" t="s">
        <v>75</v>
      </c>
      <c r="L58" s="86">
        <f>Model!D18</f>
        <v>3</v>
      </c>
      <c r="M58" s="27"/>
      <c r="N58" s="86"/>
      <c r="O58" s="86"/>
      <c r="P58" s="86"/>
      <c r="Q58" s="86"/>
      <c r="R58" s="86"/>
      <c r="S58" s="86"/>
      <c r="T58" s="86"/>
    </row>
    <row r="59" spans="3:22" ht="10.8" thickBot="1">
      <c r="C59" s="81">
        <v>47938</v>
      </c>
      <c r="D59" s="597">
        <f>IF(SUMIF(Model!$H$10:$AM$10,C59,Model!$H$12:$AM$12)=0,"n.a.",SUMIF(Model!$H$10:$AM$10,C59,Model!$H$12:$AM$12))</f>
        <v>2.9378537268112703</v>
      </c>
      <c r="E59" s="597">
        <f>IF(SUMIF(Model!$H$10:$AM$10,C59,Model!$H$16:$AM$16)=0,"n.a.",SUMIF(Model!$H$10:$AM$10,C59,Model!$H$16:$AM$16))</f>
        <v>4.9000000000000004</v>
      </c>
      <c r="F59" s="573">
        <f t="shared" si="12"/>
        <v>1</v>
      </c>
      <c r="U59" s="528"/>
      <c r="V59" s="528"/>
    </row>
    <row r="60" spans="3:22" ht="10.8" thickBot="1">
      <c r="C60" s="81">
        <v>48029</v>
      </c>
      <c r="D60" s="597">
        <f>IF(SUMIF(Model!$H$10:$AM$10,C60,Model!$H$12:$AM$12)=0,"n.a.",SUMIF(Model!$H$10:$AM$10,C60,Model!$H$12:$AM$12))</f>
        <v>2.8389718801960355</v>
      </c>
      <c r="E60" s="597">
        <f>IF(SUMIF(Model!$H$10:$AM$10,C60,Model!$H$16:$AM$16)=0,"n.a.",SUMIF(Model!$H$10:$AM$10,C60,Model!$H$16:$AM$16))</f>
        <v>4.75</v>
      </c>
      <c r="F60" s="573">
        <f t="shared" si="12"/>
        <v>1</v>
      </c>
      <c r="K60" s="526" t="s">
        <v>239</v>
      </c>
      <c r="L60" s="526"/>
      <c r="M60" s="527"/>
      <c r="N60" s="528">
        <f>+N20-'Active Case'!G36</f>
        <v>37.5248648907695</v>
      </c>
      <c r="O60" s="528">
        <f>+O20-'Active Case'!H36</f>
        <v>42.310828925365051</v>
      </c>
      <c r="P60" s="528">
        <f>+P20-'Active Case'!I36</f>
        <v>50.261829191532172</v>
      </c>
      <c r="Q60" s="528">
        <f>+Q20-'Active Case'!J36</f>
        <v>58.467808907003814</v>
      </c>
      <c r="R60" s="528">
        <f>+R20-'Active Case'!K36</f>
        <v>63.983392135746136</v>
      </c>
      <c r="S60" s="528">
        <f>+S20-'Active Case'!L36</f>
        <v>66.51245662119544</v>
      </c>
      <c r="T60" s="528">
        <f>+T20-'Active Case'!M36</f>
        <v>66.74276671960078</v>
      </c>
      <c r="U60" s="528"/>
      <c r="V60" s="528"/>
    </row>
    <row r="61" spans="3:22" ht="10.8" thickBot="1">
      <c r="C61" s="81">
        <v>48121</v>
      </c>
      <c r="D61" s="597">
        <f>IF(SUMIF(Model!$H$10:$AM$10,C61,Model!$H$12:$AM$12)=0,"n.a.",SUMIF(Model!$H$10:$AM$10,C61,Model!$H$12:$AM$12))</f>
        <v>2.7410642389661737</v>
      </c>
      <c r="E61" s="597">
        <f>IF(SUMIF(Model!$H$10:$AM$10,C61,Model!$H$16:$AM$16)=0,"n.a.",SUMIF(Model!$H$10:$AM$10,C61,Model!$H$16:$AM$16))</f>
        <v>4.5999999999999996</v>
      </c>
      <c r="F61" s="573">
        <f t="shared" si="12"/>
        <v>1</v>
      </c>
      <c r="K61" s="655" t="s">
        <v>53</v>
      </c>
      <c r="L61" s="655"/>
      <c r="M61" s="656"/>
      <c r="N61" s="657">
        <f t="shared" ref="N61:T61" si="18">-N21</f>
        <v>15.007026644924318</v>
      </c>
      <c r="O61" s="657">
        <f t="shared" si="18"/>
        <v>15.692571569264512</v>
      </c>
      <c r="P61" s="657">
        <f t="shared" si="18"/>
        <v>16.448563930470456</v>
      </c>
      <c r="Q61" s="657">
        <f t="shared" si="18"/>
        <v>16.692203224610726</v>
      </c>
      <c r="R61" s="657">
        <f t="shared" si="18"/>
        <v>16.692203224610726</v>
      </c>
      <c r="S61" s="657">
        <f t="shared" si="18"/>
        <v>16.692203224610726</v>
      </c>
      <c r="T61" s="657">
        <f t="shared" si="18"/>
        <v>318.82474231374891</v>
      </c>
      <c r="U61" s="529"/>
      <c r="V61" s="529"/>
    </row>
    <row r="62" spans="3:22" ht="10.8" thickBot="1">
      <c r="C62" s="81">
        <v>48213</v>
      </c>
      <c r="D62" s="597">
        <f>IF(SUMIF(Model!$H$10:$AM$10,C62,Model!$H$12:$AM$12)=0,"n.a.",SUMIF(Model!$H$10:$AM$10,C62,Model!$H$12:$AM$12))</f>
        <v>2.6441164765718979</v>
      </c>
      <c r="E62" s="597">
        <f>IF(SUMIF(Model!$H$10:$AM$10,C62,Model!$H$16:$AM$16)=0,"n.a.",SUMIF(Model!$H$10:$AM$10,C62,Model!$H$16:$AM$16))</f>
        <v>4.45</v>
      </c>
      <c r="F62" s="573">
        <f t="shared" si="12"/>
        <v>1</v>
      </c>
      <c r="K62" s="658" t="s">
        <v>221</v>
      </c>
      <c r="L62" s="658"/>
      <c r="M62" s="659"/>
      <c r="N62" s="660">
        <f t="shared" ref="N62:T62" si="19">+N60/N61</f>
        <v>2.5004863240821376</v>
      </c>
      <c r="O62" s="660">
        <f t="shared" si="19"/>
        <v>2.6962329748576765</v>
      </c>
      <c r="P62" s="660">
        <f t="shared" si="19"/>
        <v>3.055697105473365</v>
      </c>
      <c r="Q62" s="660">
        <f t="shared" si="19"/>
        <v>3.5027017176977444</v>
      </c>
      <c r="R62" s="660">
        <f t="shared" si="19"/>
        <v>3.8331304307037199</v>
      </c>
      <c r="S62" s="660">
        <f t="shared" si="19"/>
        <v>3.9846421545557571</v>
      </c>
      <c r="T62" s="660">
        <f t="shared" si="19"/>
        <v>0.20933998483066471</v>
      </c>
    </row>
    <row r="63" spans="3:22" ht="10.8" thickBot="1">
      <c r="C63" s="81">
        <v>48304</v>
      </c>
      <c r="D63" s="597">
        <f>IF(SUMIF(Model!$H$10:$AM$10,C63,Model!$H$12:$AM$12)=0,"n.a.",SUMIF(Model!$H$10:$AM$10,C63,Model!$H$12:$AM$12))</f>
        <v>2.4919122293421774</v>
      </c>
      <c r="E63" s="597">
        <f>IF(SUMIF(Model!$H$10:$AM$10,C63,Model!$H$16:$AM$16)=0,"n.a.",SUMIF(Model!$H$10:$AM$10,C63,Model!$H$16:$AM$16))</f>
        <v>4.2</v>
      </c>
      <c r="F63" s="573">
        <f t="shared" si="12"/>
        <v>1</v>
      </c>
    </row>
    <row r="64" spans="3:22" ht="10.8" thickBot="1">
      <c r="C64" s="81">
        <v>48395</v>
      </c>
      <c r="D64" s="597">
        <f>IF(SUMIF(Model!$H$10:$AM$10,C64,Model!$H$12:$AM$12)=0,"n.a.",SUMIF(Model!$H$10:$AM$10,C64,Model!$H$12:$AM$12))</f>
        <v>2.3412149548573056</v>
      </c>
      <c r="E64" s="597">
        <f>IF(SUMIF(Model!$H$10:$AM$10,C64,Model!$H$16:$AM$16)=0,"n.a.",SUMIF(Model!$H$10:$AM$10,C64,Model!$H$16:$AM$16))</f>
        <v>3.95</v>
      </c>
      <c r="F64" s="573">
        <f t="shared" si="12"/>
        <v>1</v>
      </c>
      <c r="K64" s="574"/>
    </row>
    <row r="65" spans="3:6" ht="10.8" thickBot="1">
      <c r="C65" s="81">
        <v>48487</v>
      </c>
      <c r="D65" s="597">
        <f>IF(SUMIF(Model!$H$10:$AM$10,C65,Model!$H$12:$AM$12)=0,"n.a.",SUMIF(Model!$H$10:$AM$10,C65,Model!$H$12:$AM$12))</f>
        <v>2.192002382584108</v>
      </c>
      <c r="E65" s="597">
        <f>IF(SUMIF(Model!$H$10:$AM$10,C65,Model!$H$16:$AM$16)=0,"n.a.",SUMIF(Model!$H$10:$AM$10,C65,Model!$H$16:$AM$16))</f>
        <v>3.7</v>
      </c>
      <c r="F65" s="573">
        <f t="shared" si="12"/>
        <v>1</v>
      </c>
    </row>
    <row r="66" spans="3:6" ht="10.8" thickBot="1">
      <c r="C66" s="81">
        <v>48579</v>
      </c>
      <c r="D66" s="597">
        <f>IF(SUMIF(Model!$H$10:$AM$10,C66,Model!$H$12:$AM$12)=0,"n.a.",SUMIF(Model!$H$10:$AM$10,C66,Model!$H$12:$AM$12))</f>
        <v>2.0216804292006283</v>
      </c>
      <c r="E66" s="597">
        <f>IF(SUMIF(Model!$H$10:$AM$10,C66,Model!$H$16:$AM$16)=0,"n.a.",SUMIF(Model!$H$10:$AM$10,C66,Model!$H$16:$AM$16))</f>
        <v>3.4</v>
      </c>
      <c r="F66" s="573">
        <f t="shared" si="12"/>
        <v>1</v>
      </c>
    </row>
    <row r="67" spans="3:6"/>
    <row r="68" spans="3:6"/>
    <row r="69" spans="3:6"/>
    <row r="70" spans="3:6"/>
    <row r="71" spans="3:6"/>
    <row r="72" spans="3:6"/>
    <row r="73" spans="3:6"/>
    <row r="74" spans="3:6"/>
    <row r="75" spans="3:6"/>
    <row r="76" spans="3:6"/>
    <row r="77" spans="3:6"/>
    <row r="78" spans="3:6"/>
    <row r="79" spans="3:6"/>
    <row r="80" spans="3:6"/>
    <row r="81" spans="4:5"/>
    <row r="84" spans="4:5" hidden="1">
      <c r="D84" s="70"/>
      <c r="E84" s="70"/>
    </row>
    <row r="85" spans="4:5" hidden="1">
      <c r="D85" s="70"/>
      <c r="E85" s="70"/>
    </row>
    <row r="86" spans="4:5" hidden="1">
      <c r="D86" s="70"/>
      <c r="E86" s="70"/>
    </row>
    <row r="87" spans="4:5" hidden="1">
      <c r="D87" s="70"/>
      <c r="E87" s="70"/>
    </row>
    <row r="88" spans="4:5" hidden="1">
      <c r="D88" s="70"/>
      <c r="E88" s="70"/>
    </row>
    <row r="89" spans="4:5" hidden="1">
      <c r="D89" s="70"/>
      <c r="E89" s="70"/>
    </row>
    <row r="90" spans="4:5" hidden="1">
      <c r="D90" s="70"/>
      <c r="E90" s="70"/>
    </row>
    <row r="91" spans="4:5" hidden="1">
      <c r="D91" s="70"/>
      <c r="E91" s="70"/>
    </row>
    <row r="92" spans="4:5" hidden="1">
      <c r="D92" s="70"/>
      <c r="E92" s="70"/>
    </row>
    <row r="93" spans="4:5" hidden="1">
      <c r="D93" s="70"/>
      <c r="E93" s="70"/>
    </row>
    <row r="94" spans="4:5" hidden="1">
      <c r="D94" s="70"/>
      <c r="E94" s="70"/>
    </row>
    <row r="95" spans="4:5" hidden="1">
      <c r="D95" s="70"/>
      <c r="E95" s="70"/>
    </row>
    <row r="96" spans="4:5" hidden="1">
      <c r="D96" s="70"/>
      <c r="E96" s="70"/>
    </row>
    <row r="97" spans="4:37" hidden="1">
      <c r="D97" s="70"/>
      <c r="E97" s="70"/>
    </row>
    <row r="98" spans="4:37" hidden="1">
      <c r="D98" s="70"/>
      <c r="E98" s="70"/>
    </row>
    <row r="99" spans="4:37" hidden="1">
      <c r="D99" s="70"/>
      <c r="E99" s="70"/>
    </row>
    <row r="105" spans="4:37" hidden="1">
      <c r="W105" s="83"/>
    </row>
    <row r="106" spans="4:37" hidden="1">
      <c r="W106" s="83"/>
      <c r="X106" s="83"/>
      <c r="Y106" s="83"/>
      <c r="Z106" s="83"/>
      <c r="AA106" s="83"/>
      <c r="AB106" s="83"/>
      <c r="AC106" s="83"/>
      <c r="AD106" s="83"/>
      <c r="AE106" s="83"/>
      <c r="AF106" s="83"/>
      <c r="AG106" s="83"/>
      <c r="AH106" s="83"/>
      <c r="AI106" s="83"/>
      <c r="AJ106" s="83"/>
      <c r="AK106" s="83"/>
    </row>
    <row r="107" spans="4:37" hidden="1">
      <c r="X107" s="83"/>
      <c r="Y107" s="83"/>
      <c r="Z107" s="83"/>
      <c r="AA107" s="83"/>
      <c r="AB107" s="83"/>
      <c r="AC107" s="83"/>
      <c r="AD107" s="83"/>
      <c r="AE107" s="83"/>
      <c r="AF107" s="83"/>
      <c r="AG107" s="83"/>
      <c r="AH107" s="83"/>
      <c r="AI107" s="83"/>
      <c r="AJ107" s="83"/>
      <c r="AK107" s="83"/>
    </row>
    <row r="108" spans="4:37" hidden="1">
      <c r="W108" s="83"/>
      <c r="X108" s="83"/>
      <c r="Y108" s="83"/>
      <c r="Z108" s="83"/>
      <c r="AA108" s="83"/>
      <c r="AB108" s="83"/>
      <c r="AC108" s="83"/>
      <c r="AD108" s="83"/>
      <c r="AE108" s="83"/>
      <c r="AF108" s="83"/>
      <c r="AG108" s="83"/>
      <c r="AH108" s="83"/>
      <c r="AI108" s="83"/>
      <c r="AJ108" s="83"/>
      <c r="AK108" s="83"/>
    </row>
    <row r="109" spans="4:37" hidden="1">
      <c r="W109" s="83"/>
      <c r="X109" s="83"/>
      <c r="Y109" s="83"/>
      <c r="Z109" s="83"/>
      <c r="AA109" s="83"/>
      <c r="AB109" s="83"/>
      <c r="AC109" s="83"/>
      <c r="AD109" s="83"/>
      <c r="AE109" s="83"/>
      <c r="AF109" s="83"/>
      <c r="AG109" s="83"/>
      <c r="AH109" s="83"/>
      <c r="AI109" s="83"/>
      <c r="AJ109" s="83"/>
      <c r="AK109" s="83"/>
    </row>
    <row r="111" spans="4:37" hidden="1">
      <c r="V111" s="83"/>
    </row>
    <row r="112" spans="4:37" hidden="1">
      <c r="V112" s="83"/>
    </row>
    <row r="113" spans="7:37" hidden="1">
      <c r="V113" s="83"/>
    </row>
    <row r="114" spans="7:37" hidden="1">
      <c r="V114" s="83"/>
    </row>
    <row r="118" spans="7:37" hidden="1">
      <c r="W118" s="83"/>
      <c r="X118" s="83"/>
      <c r="Y118" s="83"/>
      <c r="Z118" s="83"/>
      <c r="AA118" s="83"/>
      <c r="AB118" s="83"/>
      <c r="AC118" s="83"/>
      <c r="AD118" s="83"/>
      <c r="AE118" s="83"/>
      <c r="AF118" s="83"/>
      <c r="AG118" s="83"/>
      <c r="AH118" s="83"/>
      <c r="AI118" s="83"/>
      <c r="AJ118" s="83"/>
      <c r="AK118" s="83"/>
    </row>
    <row r="119" spans="7:37" hidden="1">
      <c r="J119" s="83"/>
      <c r="K119" s="83"/>
      <c r="L119" s="83"/>
      <c r="M119" s="83"/>
      <c r="N119" s="83"/>
      <c r="O119" s="83"/>
      <c r="P119" s="83"/>
      <c r="Q119" s="83"/>
      <c r="R119" s="83"/>
      <c r="S119" s="83"/>
      <c r="T119" s="83"/>
      <c r="U119" s="83"/>
      <c r="W119" s="83"/>
      <c r="X119" s="83"/>
      <c r="Y119" s="83"/>
      <c r="Z119" s="83"/>
      <c r="AA119" s="83"/>
      <c r="AB119" s="83"/>
      <c r="AC119" s="83"/>
      <c r="AD119" s="83"/>
      <c r="AE119" s="83"/>
      <c r="AF119" s="83"/>
      <c r="AG119" s="83"/>
      <c r="AH119" s="83"/>
      <c r="AI119" s="83"/>
      <c r="AJ119" s="83"/>
      <c r="AK119" s="83"/>
    </row>
    <row r="120" spans="7:37" s="83" customFormat="1" hidden="1">
      <c r="V120" s="23"/>
    </row>
    <row r="121" spans="7:37" s="83" customFormat="1" hidden="1">
      <c r="V121" s="23"/>
    </row>
    <row r="122" spans="7:37" s="83" customFormat="1" hidden="1">
      <c r="G122" s="89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</row>
    <row r="123" spans="7:37" hidden="1">
      <c r="G123" s="90"/>
      <c r="V123" s="83"/>
    </row>
    <row r="124" spans="7:37" hidden="1">
      <c r="G124" s="76"/>
      <c r="V124" s="83"/>
    </row>
    <row r="125" spans="7:37" hidden="1">
      <c r="V125" s="83"/>
    </row>
    <row r="126" spans="7:37" hidden="1">
      <c r="V126" s="83"/>
    </row>
    <row r="127" spans="7:37" hidden="1">
      <c r="G127" s="76"/>
    </row>
    <row r="128" spans="7:37" hidden="1">
      <c r="G128" s="76"/>
      <c r="J128" s="76"/>
      <c r="K128" s="76"/>
      <c r="L128" s="76"/>
      <c r="M128" s="76"/>
      <c r="N128" s="76"/>
      <c r="O128" s="76"/>
      <c r="P128" s="76"/>
      <c r="Q128" s="76"/>
      <c r="R128" s="76"/>
      <c r="S128" s="76"/>
      <c r="T128" s="76"/>
      <c r="U128" s="76"/>
    </row>
    <row r="129" spans="7:37" hidden="1">
      <c r="G129" s="76"/>
      <c r="H129" s="76"/>
      <c r="I129" s="76"/>
    </row>
    <row r="130" spans="7:37" hidden="1">
      <c r="G130" s="76"/>
      <c r="J130" s="91"/>
      <c r="K130" s="91"/>
      <c r="L130" s="91"/>
      <c r="M130" s="91"/>
      <c r="N130" s="91"/>
      <c r="O130" s="91"/>
      <c r="P130" s="91"/>
      <c r="Q130" s="91"/>
      <c r="R130" s="91"/>
      <c r="S130" s="91"/>
      <c r="T130" s="91"/>
      <c r="U130" s="91"/>
    </row>
    <row r="131" spans="7:37" s="83" customFormat="1" hidden="1">
      <c r="G131" s="89"/>
      <c r="H131" s="91"/>
      <c r="I131" s="91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</row>
    <row r="132" spans="7:37" s="83" customFormat="1" hidden="1"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</row>
    <row r="133" spans="7:37" s="83" customFormat="1" hidden="1"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</row>
    <row r="134" spans="7:37" s="83" customFormat="1" hidden="1"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</row>
    <row r="135" spans="7:37" s="83" customFormat="1" hidden="1"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</row>
    <row r="136" spans="7:37" hidden="1">
      <c r="J136" s="92"/>
      <c r="K136" s="92"/>
      <c r="L136" s="92"/>
      <c r="M136" s="92"/>
      <c r="N136" s="92"/>
      <c r="O136" s="92"/>
      <c r="P136" s="92"/>
      <c r="Q136" s="92"/>
      <c r="R136" s="92"/>
      <c r="S136" s="92"/>
      <c r="T136" s="92"/>
      <c r="U136" s="92"/>
    </row>
    <row r="137" spans="7:37" hidden="1">
      <c r="H137" s="92"/>
      <c r="I137" s="92"/>
    </row>
  </sheetData>
  <conditionalFormatting sqref="F39:F66">
    <cfRule type="cellIs" dxfId="25" priority="1" operator="equal">
      <formula>0</formula>
    </cfRule>
    <cfRule type="cellIs" dxfId="24" priority="2" operator="equal">
      <formula>1</formula>
    </cfRule>
  </conditionalFormatting>
  <conditionalFormatting sqref="I16">
    <cfRule type="cellIs" dxfId="23" priority="21" operator="equal">
      <formula>TRUE</formula>
    </cfRule>
    <cfRule type="cellIs" dxfId="22" priority="22" operator="equal">
      <formula>FALSE</formula>
    </cfRule>
  </conditionalFormatting>
  <conditionalFormatting sqref="M34:T34">
    <cfRule type="cellIs" dxfId="21" priority="19" operator="equal">
      <formula>TRUE</formula>
    </cfRule>
    <cfRule type="cellIs" dxfId="20" priority="20" operator="equal">
      <formula>FALSE</formula>
    </cfRule>
  </conditionalFormatting>
  <conditionalFormatting sqref="M47:T47">
    <cfRule type="cellIs" dxfId="19" priority="17" operator="equal">
      <formula>TRUE</formula>
    </cfRule>
    <cfRule type="cellIs" dxfId="18" priority="18" operator="equal">
      <formula>FALSE</formula>
    </cfRule>
  </conditionalFormatting>
  <conditionalFormatting sqref="N55:T55">
    <cfRule type="cellIs" dxfId="17" priority="15" operator="equal">
      <formula>TRUE</formula>
    </cfRule>
    <cfRule type="cellIs" dxfId="16" priority="16" operator="equal">
      <formula>FALSE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40F97-1B88-4C8E-BB1E-0982C840F3DE}">
  <sheetPr codeName="Sheet29"/>
  <dimension ref="A1:CV242"/>
  <sheetViews>
    <sheetView showGridLines="0" topLeftCell="A124" zoomScale="85" zoomScaleNormal="85" workbookViewId="0">
      <pane xSplit="11" topLeftCell="L1" activePane="topRight" state="frozen"/>
      <selection pane="topRight" activeCell="L145" sqref="L145"/>
    </sheetView>
  </sheetViews>
  <sheetFormatPr defaultColWidth="0" defaultRowHeight="10.199999999999999" zeroHeight="1" outlineLevelRow="1"/>
  <cols>
    <col min="1" max="2" width="2.375" style="23" customWidth="1"/>
    <col min="3" max="3" width="32.375" style="23" customWidth="1"/>
    <col min="4" max="4" width="16.375" style="23" customWidth="1"/>
    <col min="5" max="5" width="10.625" style="23" customWidth="1"/>
    <col min="6" max="6" width="12.75" style="23" customWidth="1"/>
    <col min="7" max="10" width="10.625" style="23" customWidth="1"/>
    <col min="11" max="11" width="9.875" style="23" customWidth="1"/>
    <col min="12" max="35" width="9.75" style="23" customWidth="1"/>
    <col min="36" max="36" width="8.375" style="23" customWidth="1"/>
    <col min="37" max="48" width="9.375" style="23" customWidth="1"/>
    <col min="49" max="51" width="9.375" style="23" hidden="1" customWidth="1"/>
    <col min="52" max="52" width="10.75" style="23" hidden="1" customWidth="1"/>
    <col min="53" max="58" width="9.75" style="23" hidden="1" customWidth="1"/>
    <col min="59" max="100" width="8.75" style="23" hidden="1" customWidth="1"/>
    <col min="101" max="16384" width="9.75" style="23" hidden="1"/>
  </cols>
  <sheetData>
    <row r="1" spans="1:52">
      <c r="A1" s="18"/>
      <c r="B1" s="18"/>
      <c r="C1" s="18"/>
      <c r="D1" s="18"/>
      <c r="E1" s="93"/>
      <c r="F1" s="18"/>
      <c r="G1" s="18"/>
      <c r="H1" s="93"/>
      <c r="I1" s="93"/>
      <c r="J1" s="93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</row>
    <row r="2" spans="1:52">
      <c r="A2" s="18"/>
      <c r="B2" s="18"/>
      <c r="C2" s="19" t="str">
        <f ca="1">RIGHT(CELL("filename",C1), LEN(CELL("filename", C1))- FIND("]", CELL("filename", C1), 1))</f>
        <v>Model</v>
      </c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22"/>
      <c r="AW2" s="22"/>
      <c r="AX2" s="22"/>
      <c r="AY2" s="22"/>
      <c r="AZ2" s="18"/>
    </row>
    <row r="3" spans="1:52">
      <c r="A3" s="18"/>
      <c r="B3" s="18"/>
      <c r="C3" s="18"/>
      <c r="D3" s="18"/>
      <c r="E3" s="93"/>
      <c r="F3" s="18"/>
      <c r="G3" s="18"/>
      <c r="H3" s="93"/>
      <c r="I3" s="93"/>
      <c r="J3" s="93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</row>
    <row r="4" spans="1:52">
      <c r="A4" s="18"/>
      <c r="B4" s="18"/>
      <c r="C4" s="18" t="s">
        <v>77</v>
      </c>
      <c r="D4" s="94">
        <v>46022</v>
      </c>
      <c r="E4" s="93"/>
      <c r="F4" s="18"/>
      <c r="G4" s="18"/>
      <c r="H4" s="93"/>
      <c r="I4" s="93"/>
      <c r="J4" s="93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</row>
    <row r="5" spans="1:52">
      <c r="A5" s="18"/>
      <c r="B5" s="18"/>
      <c r="C5" s="18" t="s">
        <v>78</v>
      </c>
      <c r="D5" s="95">
        <v>44561</v>
      </c>
      <c r="E5" s="93"/>
      <c r="F5" s="18"/>
      <c r="G5" s="18"/>
      <c r="H5" s="93"/>
      <c r="I5" s="93"/>
      <c r="J5" s="93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</row>
    <row r="6" spans="1:52">
      <c r="A6" s="18"/>
      <c r="B6" s="18"/>
      <c r="C6" s="18"/>
      <c r="D6" s="18"/>
      <c r="E6" s="93"/>
      <c r="F6" s="18"/>
      <c r="G6" s="18"/>
      <c r="H6" s="93"/>
      <c r="I6" s="93"/>
      <c r="J6" s="93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</row>
    <row r="7" spans="1:52">
      <c r="A7" s="18"/>
      <c r="B7" s="18"/>
      <c r="C7" s="96" t="s">
        <v>79</v>
      </c>
      <c r="D7" s="97"/>
      <c r="E7" s="97"/>
      <c r="F7" s="98"/>
      <c r="G7" s="99"/>
      <c r="H7" s="100">
        <v>2025</v>
      </c>
      <c r="I7" s="101"/>
      <c r="J7" s="101"/>
      <c r="K7" s="101"/>
      <c r="L7" s="100">
        <f>+H7+1</f>
        <v>2026</v>
      </c>
      <c r="M7" s="101"/>
      <c r="N7" s="101"/>
      <c r="O7" s="101"/>
      <c r="P7" s="100">
        <f>+L7+1</f>
        <v>2027</v>
      </c>
      <c r="Q7" s="101"/>
      <c r="R7" s="101"/>
      <c r="S7" s="101"/>
      <c r="T7" s="100">
        <f>+P7+1</f>
        <v>2028</v>
      </c>
      <c r="U7" s="101"/>
      <c r="V7" s="101"/>
      <c r="W7" s="101"/>
      <c r="X7" s="100">
        <f>+T7+1</f>
        <v>2029</v>
      </c>
      <c r="Y7" s="101"/>
      <c r="Z7" s="101"/>
      <c r="AA7" s="101"/>
      <c r="AB7" s="100">
        <f>+X7+1</f>
        <v>2030</v>
      </c>
      <c r="AC7" s="101"/>
      <c r="AD7" s="101"/>
      <c r="AE7" s="101"/>
      <c r="AF7" s="100">
        <f>+AB7+1</f>
        <v>2031</v>
      </c>
      <c r="AG7" s="101"/>
      <c r="AH7" s="101"/>
      <c r="AI7" s="101"/>
      <c r="AJ7" s="100">
        <f>+AF7+1</f>
        <v>2032</v>
      </c>
      <c r="AK7" s="101"/>
      <c r="AL7" s="101"/>
      <c r="AM7" s="101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</row>
    <row r="8" spans="1:52" ht="10.8" thickBot="1">
      <c r="C8" s="102"/>
      <c r="D8" s="102"/>
      <c r="E8" s="93"/>
      <c r="F8" s="18"/>
      <c r="G8" s="93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</row>
    <row r="9" spans="1:52" ht="10.8" thickBot="1">
      <c r="A9" s="18"/>
      <c r="B9" s="103"/>
      <c r="C9" s="45"/>
      <c r="D9" s="45"/>
      <c r="E9" s="104"/>
      <c r="F9" s="104"/>
      <c r="G9" s="104"/>
      <c r="H9" s="30" t="s">
        <v>80</v>
      </c>
      <c r="I9" s="105" t="s">
        <v>81</v>
      </c>
      <c r="J9" s="105" t="s">
        <v>82</v>
      </c>
      <c r="K9" s="106" t="s">
        <v>77</v>
      </c>
      <c r="L9" s="30" t="s">
        <v>80</v>
      </c>
      <c r="M9" s="105" t="s">
        <v>81</v>
      </c>
      <c r="N9" s="105" t="s">
        <v>82</v>
      </c>
      <c r="O9" s="105" t="s">
        <v>83</v>
      </c>
      <c r="P9" s="30" t="s">
        <v>80</v>
      </c>
      <c r="Q9" s="105" t="s">
        <v>81</v>
      </c>
      <c r="R9" s="105" t="s">
        <v>82</v>
      </c>
      <c r="S9" s="105" t="s">
        <v>83</v>
      </c>
      <c r="T9" s="30" t="s">
        <v>80</v>
      </c>
      <c r="U9" s="105" t="s">
        <v>81</v>
      </c>
      <c r="V9" s="105" t="s">
        <v>82</v>
      </c>
      <c r="W9" s="105" t="s">
        <v>83</v>
      </c>
      <c r="X9" s="30" t="s">
        <v>80</v>
      </c>
      <c r="Y9" s="105" t="s">
        <v>81</v>
      </c>
      <c r="Z9" s="105" t="s">
        <v>82</v>
      </c>
      <c r="AA9" s="105" t="s">
        <v>83</v>
      </c>
      <c r="AB9" s="30" t="s">
        <v>80</v>
      </c>
      <c r="AC9" s="105" t="s">
        <v>81</v>
      </c>
      <c r="AD9" s="105" t="s">
        <v>82</v>
      </c>
      <c r="AE9" s="105" t="s">
        <v>83</v>
      </c>
      <c r="AF9" s="30" t="s">
        <v>80</v>
      </c>
      <c r="AG9" s="105" t="s">
        <v>81</v>
      </c>
      <c r="AH9" s="105" t="s">
        <v>82</v>
      </c>
      <c r="AI9" s="105" t="s">
        <v>83</v>
      </c>
      <c r="AJ9" s="30" t="s">
        <v>80</v>
      </c>
      <c r="AK9" s="105" t="s">
        <v>81</v>
      </c>
      <c r="AL9" s="105" t="s">
        <v>82</v>
      </c>
      <c r="AM9" s="105" t="s">
        <v>83</v>
      </c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</row>
    <row r="10" spans="1:52" ht="10.8" thickBot="1">
      <c r="E10" s="107"/>
      <c r="F10" s="107"/>
      <c r="G10" s="107"/>
      <c r="H10" s="108">
        <v>45747</v>
      </c>
      <c r="I10" s="108">
        <v>45838</v>
      </c>
      <c r="J10" s="108">
        <v>45930</v>
      </c>
      <c r="K10" s="108">
        <v>46022</v>
      </c>
      <c r="L10" s="108">
        <f>EOMONTH(K10,3)</f>
        <v>46112</v>
      </c>
      <c r="M10" s="108">
        <f t="shared" ref="M10:AE10" si="0">EOMONTH(L10,3)</f>
        <v>46203</v>
      </c>
      <c r="N10" s="108">
        <f t="shared" si="0"/>
        <v>46295</v>
      </c>
      <c r="O10" s="108">
        <f t="shared" si="0"/>
        <v>46387</v>
      </c>
      <c r="P10" s="108">
        <f t="shared" si="0"/>
        <v>46477</v>
      </c>
      <c r="Q10" s="108">
        <f t="shared" si="0"/>
        <v>46568</v>
      </c>
      <c r="R10" s="108">
        <f t="shared" si="0"/>
        <v>46660</v>
      </c>
      <c r="S10" s="108">
        <f t="shared" si="0"/>
        <v>46752</v>
      </c>
      <c r="T10" s="108">
        <f t="shared" si="0"/>
        <v>46843</v>
      </c>
      <c r="U10" s="108">
        <f t="shared" si="0"/>
        <v>46934</v>
      </c>
      <c r="V10" s="108">
        <f t="shared" si="0"/>
        <v>47026</v>
      </c>
      <c r="W10" s="108">
        <f t="shared" si="0"/>
        <v>47118</v>
      </c>
      <c r="X10" s="108">
        <f t="shared" si="0"/>
        <v>47208</v>
      </c>
      <c r="Y10" s="108">
        <f t="shared" si="0"/>
        <v>47299</v>
      </c>
      <c r="Z10" s="108">
        <f t="shared" si="0"/>
        <v>47391</v>
      </c>
      <c r="AA10" s="108">
        <f t="shared" si="0"/>
        <v>47483</v>
      </c>
      <c r="AB10" s="108">
        <f t="shared" si="0"/>
        <v>47573</v>
      </c>
      <c r="AC10" s="108">
        <f t="shared" si="0"/>
        <v>47664</v>
      </c>
      <c r="AD10" s="108">
        <f t="shared" si="0"/>
        <v>47756</v>
      </c>
      <c r="AE10" s="108">
        <f t="shared" si="0"/>
        <v>47848</v>
      </c>
      <c r="AF10" s="108">
        <f t="shared" ref="AF10:AM10" si="1">EOMONTH(AE10,3)</f>
        <v>47938</v>
      </c>
      <c r="AG10" s="108">
        <f t="shared" si="1"/>
        <v>48029</v>
      </c>
      <c r="AH10" s="108">
        <f t="shared" si="1"/>
        <v>48121</v>
      </c>
      <c r="AI10" s="108">
        <f t="shared" si="1"/>
        <v>48213</v>
      </c>
      <c r="AJ10" s="108">
        <f t="shared" si="1"/>
        <v>48304</v>
      </c>
      <c r="AK10" s="108">
        <f t="shared" si="1"/>
        <v>48395</v>
      </c>
      <c r="AL10" s="108">
        <f t="shared" si="1"/>
        <v>48487</v>
      </c>
      <c r="AM10" s="108">
        <f t="shared" si="1"/>
        <v>48579</v>
      </c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</row>
    <row r="11" spans="1:52" ht="10.8" thickBot="1">
      <c r="C11" s="109"/>
      <c r="D11" s="110"/>
      <c r="E11" s="110"/>
      <c r="F11" s="110"/>
      <c r="G11" s="110"/>
      <c r="H11" s="110"/>
      <c r="I11" s="110"/>
      <c r="J11" s="110"/>
      <c r="K11" s="110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</row>
    <row r="12" spans="1:52" ht="10.8" thickBot="1">
      <c r="A12" s="111"/>
      <c r="B12" s="112"/>
      <c r="C12" s="32" t="s">
        <v>84</v>
      </c>
      <c r="D12" s="113"/>
      <c r="E12" s="114"/>
      <c r="F12" s="114"/>
      <c r="G12" s="114"/>
      <c r="H12" s="114"/>
      <c r="I12" s="114"/>
      <c r="J12" s="114"/>
      <c r="K12" s="645">
        <f>IF(K29=0,"n.a.",IF(K29&lt;0,"n.a.",K29/K26))</f>
        <v>5</v>
      </c>
      <c r="L12" s="115">
        <f>IF(L29=0,"n.a.",IF(L29&lt;0,"n.a.",L29/L26))</f>
        <v>4.8895653057744406</v>
      </c>
      <c r="M12" s="115">
        <f t="shared" ref="M12:AE12" si="2">IF(M29=0,"n.a.",IF(M29&lt;0,"n.a.",M29/M26))</f>
        <v>4.7806505771142245</v>
      </c>
      <c r="N12" s="115">
        <f t="shared" si="2"/>
        <v>4.6732351370051353</v>
      </c>
      <c r="O12" s="115">
        <f t="shared" si="2"/>
        <v>4.5672986817826162</v>
      </c>
      <c r="P12" s="115">
        <f t="shared" si="2"/>
        <v>4.3263966229138511</v>
      </c>
      <c r="Q12" s="115">
        <f t="shared" si="2"/>
        <v>4.1065889528749313</v>
      </c>
      <c r="R12" s="115">
        <f t="shared" si="2"/>
        <v>3.9053511058821662</v>
      </c>
      <c r="S12" s="115">
        <f t="shared" si="2"/>
        <v>3.7205459133269998</v>
      </c>
      <c r="T12" s="115">
        <f t="shared" si="2"/>
        <v>3.5020609016265678</v>
      </c>
      <c r="U12" s="115">
        <f t="shared" si="2"/>
        <v>3.3027688393918782</v>
      </c>
      <c r="V12" s="115">
        <f t="shared" si="2"/>
        <v>3.1203033728784817</v>
      </c>
      <c r="W12" s="115">
        <f>IF(W29=0,"n.a.",IF(W29&lt;0,"n.a.",W29/W26))</f>
        <v>2.9526717982651132</v>
      </c>
      <c r="X12" s="115">
        <f t="shared" si="2"/>
        <v>3.1503640278190943</v>
      </c>
      <c r="Y12" s="115">
        <f t="shared" si="2"/>
        <v>3.339905765765482</v>
      </c>
      <c r="Z12" s="115">
        <f t="shared" si="2"/>
        <v>3.5217908764894625</v>
      </c>
      <c r="AA12" s="115">
        <f t="shared" si="2"/>
        <v>3.6964741145402842</v>
      </c>
      <c r="AB12" s="115">
        <f t="shared" si="2"/>
        <v>3.5193864080706874</v>
      </c>
      <c r="AC12" s="115">
        <f t="shared" si="2"/>
        <v>3.350970364788131</v>
      </c>
      <c r="AD12" s="115">
        <f t="shared" si="2"/>
        <v>3.1906042538254518</v>
      </c>
      <c r="AE12" s="115">
        <f t="shared" si="2"/>
        <v>3.0377243918926564</v>
      </c>
      <c r="AF12" s="115">
        <f t="shared" ref="AF12:AM12" si="3">IF(AF29=0,"n.a.",IF(AF29&lt;0,"n.a.",AF29/AF26))</f>
        <v>2.9378537268112703</v>
      </c>
      <c r="AG12" s="115">
        <f t="shared" si="3"/>
        <v>2.8389718801960355</v>
      </c>
      <c r="AH12" s="115">
        <f t="shared" si="3"/>
        <v>2.7410642389661737</v>
      </c>
      <c r="AI12" s="115">
        <f t="shared" si="3"/>
        <v>2.6441164765718979</v>
      </c>
      <c r="AJ12" s="115">
        <f t="shared" si="3"/>
        <v>2.4919122293421774</v>
      </c>
      <c r="AK12" s="115">
        <f t="shared" si="3"/>
        <v>2.3412149548573056</v>
      </c>
      <c r="AL12" s="115">
        <f t="shared" si="3"/>
        <v>2.192002382584108</v>
      </c>
      <c r="AM12" s="115">
        <f t="shared" si="3"/>
        <v>2.0216804292006283</v>
      </c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</row>
    <row r="13" spans="1:52">
      <c r="A13" s="18"/>
      <c r="B13" s="116"/>
      <c r="C13" s="117"/>
      <c r="D13" s="117"/>
      <c r="E13" s="118"/>
      <c r="F13" s="118"/>
      <c r="G13" s="118"/>
      <c r="H13" s="118"/>
      <c r="I13" s="118"/>
      <c r="J13" s="118"/>
      <c r="K13" s="119"/>
      <c r="L13" s="119"/>
      <c r="M13" s="119"/>
      <c r="N13" s="119"/>
      <c r="O13" s="119"/>
      <c r="P13" s="120"/>
      <c r="Q13" s="120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</row>
    <row r="14" spans="1:52">
      <c r="A14" s="111"/>
      <c r="B14" s="116"/>
      <c r="C14" s="32" t="s">
        <v>85</v>
      </c>
      <c r="D14" s="706">
        <f>+'Debt Structure'!D142</f>
        <v>0.4</v>
      </c>
      <c r="E14" s="114"/>
      <c r="F14" s="114"/>
      <c r="G14" s="114"/>
      <c r="H14" s="114"/>
      <c r="I14" s="114"/>
      <c r="J14" s="114"/>
      <c r="K14" s="115">
        <f>IF(K29=0,"n.a.",IF(K29&lt;0,"n.a.",(K29/(K26*(1-$D$14)))))</f>
        <v>8.3333333333333339</v>
      </c>
      <c r="L14" s="115">
        <f t="shared" ref="L14:AE14" si="4">IF(L29=0,"n.a.",IF(L29&lt;0,"n.a.",(L29/(L26*(1-$D$14)))))</f>
        <v>8.1492755096240685</v>
      </c>
      <c r="M14" s="115">
        <f t="shared" si="4"/>
        <v>7.9677509618570417</v>
      </c>
      <c r="N14" s="115">
        <f t="shared" si="4"/>
        <v>7.7887252283418924</v>
      </c>
      <c r="O14" s="115">
        <f t="shared" si="4"/>
        <v>7.612164469637694</v>
      </c>
      <c r="P14" s="115">
        <f t="shared" si="4"/>
        <v>7.2106610381897509</v>
      </c>
      <c r="Q14" s="115">
        <f t="shared" si="4"/>
        <v>6.8443149214582188</v>
      </c>
      <c r="R14" s="115">
        <f t="shared" si="4"/>
        <v>6.5089185098036095</v>
      </c>
      <c r="S14" s="115">
        <f t="shared" si="4"/>
        <v>6.2009098555449995</v>
      </c>
      <c r="T14" s="115">
        <f t="shared" si="4"/>
        <v>5.8367681693776134</v>
      </c>
      <c r="U14" s="115">
        <f t="shared" si="4"/>
        <v>5.5046147323197978</v>
      </c>
      <c r="V14" s="115">
        <f t="shared" si="4"/>
        <v>5.2005056214641368</v>
      </c>
      <c r="W14" s="115">
        <f t="shared" si="4"/>
        <v>4.9211196637751886</v>
      </c>
      <c r="X14" s="115">
        <f t="shared" si="4"/>
        <v>5.2506067130318241</v>
      </c>
      <c r="Y14" s="115">
        <f t="shared" si="4"/>
        <v>5.5665096096091364</v>
      </c>
      <c r="Z14" s="115">
        <f t="shared" si="4"/>
        <v>5.8696514608157715</v>
      </c>
      <c r="AA14" s="115">
        <f t="shared" si="4"/>
        <v>6.1607901909004736</v>
      </c>
      <c r="AB14" s="115">
        <f t="shared" si="4"/>
        <v>5.8656440134511456</v>
      </c>
      <c r="AC14" s="115">
        <f t="shared" si="4"/>
        <v>5.5849506079802183</v>
      </c>
      <c r="AD14" s="115">
        <f t="shared" si="4"/>
        <v>5.3176737563757532</v>
      </c>
      <c r="AE14" s="115">
        <f t="shared" si="4"/>
        <v>5.0628739864877605</v>
      </c>
      <c r="AF14" s="115">
        <f t="shared" ref="AF14:AM14" si="5">IF(AF29=0,"n.a.",IF(AF29&lt;0,"n.a.",(AF29/(AF26*(1-$D$14)))))</f>
        <v>4.8964228780187833</v>
      </c>
      <c r="AG14" s="115">
        <f t="shared" si="5"/>
        <v>4.731619800326726</v>
      </c>
      <c r="AH14" s="115">
        <f t="shared" si="5"/>
        <v>4.5684403982769561</v>
      </c>
      <c r="AI14" s="115">
        <f t="shared" si="5"/>
        <v>4.4068607942864961</v>
      </c>
      <c r="AJ14" s="115">
        <f t="shared" si="5"/>
        <v>4.1531870489036287</v>
      </c>
      <c r="AK14" s="115">
        <f t="shared" si="5"/>
        <v>3.9020249247621761</v>
      </c>
      <c r="AL14" s="115">
        <f t="shared" si="5"/>
        <v>3.6533373043068464</v>
      </c>
      <c r="AM14" s="115">
        <f t="shared" si="5"/>
        <v>3.369467382001047</v>
      </c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</row>
    <row r="15" spans="1:52">
      <c r="A15" s="18"/>
      <c r="B15" s="116"/>
      <c r="C15" s="117"/>
      <c r="D15" s="117"/>
      <c r="E15" s="118"/>
      <c r="F15" s="118"/>
      <c r="G15" s="118"/>
      <c r="H15" s="118"/>
      <c r="I15" s="118"/>
      <c r="J15" s="118"/>
      <c r="K15" s="119"/>
      <c r="L15" s="119"/>
      <c r="M15" s="119"/>
      <c r="N15" s="119"/>
      <c r="O15" s="119"/>
      <c r="P15" s="120"/>
      <c r="Q15" s="120"/>
      <c r="R15" s="119"/>
      <c r="S15" s="119"/>
      <c r="T15" s="119"/>
      <c r="U15" s="119"/>
      <c r="V15" s="119"/>
      <c r="W15" s="119"/>
      <c r="X15" s="119"/>
      <c r="Y15" s="119"/>
      <c r="Z15" s="119"/>
      <c r="AA15" s="119"/>
      <c r="AB15" s="119"/>
      <c r="AC15" s="119"/>
      <c r="AD15" s="119"/>
      <c r="AE15" s="119"/>
      <c r="AF15" s="119"/>
      <c r="AG15" s="119"/>
      <c r="AH15" s="119"/>
      <c r="AI15" s="119"/>
      <c r="AJ15" s="119"/>
      <c r="AK15" s="119"/>
      <c r="AL15" s="119"/>
      <c r="AM15" s="119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</row>
    <row r="16" spans="1:52" ht="12">
      <c r="A16" s="18"/>
      <c r="B16" s="103"/>
      <c r="C16" s="121" t="s">
        <v>86</v>
      </c>
      <c r="D16" s="122"/>
      <c r="E16" s="114"/>
      <c r="F16" s="114"/>
      <c r="G16" s="114"/>
      <c r="H16" s="114"/>
      <c r="I16" s="114"/>
      <c r="J16" s="114"/>
      <c r="K16" s="123">
        <f>IFERROR(MAX($D$18,ROUNDUP((K14*100/5),0)*5/100),"n.a")</f>
        <v>8.35</v>
      </c>
      <c r="L16" s="123">
        <f t="shared" ref="L16:AE16" si="6">IFERROR(MAX($D$18,ROUNDUP((L14*100/5),0)*5/100),"n.a")</f>
        <v>8.15</v>
      </c>
      <c r="M16" s="123">
        <f t="shared" si="6"/>
        <v>8</v>
      </c>
      <c r="N16" s="123">
        <f t="shared" si="6"/>
        <v>7.8</v>
      </c>
      <c r="O16" s="123">
        <f t="shared" si="6"/>
        <v>7.65</v>
      </c>
      <c r="P16" s="123">
        <f t="shared" si="6"/>
        <v>7.25</v>
      </c>
      <c r="Q16" s="123">
        <f t="shared" si="6"/>
        <v>6.85</v>
      </c>
      <c r="R16" s="123">
        <f t="shared" si="6"/>
        <v>6.55</v>
      </c>
      <c r="S16" s="123">
        <f t="shared" si="6"/>
        <v>6.25</v>
      </c>
      <c r="T16" s="123">
        <f t="shared" si="6"/>
        <v>5.85</v>
      </c>
      <c r="U16" s="123">
        <f t="shared" si="6"/>
        <v>5.55</v>
      </c>
      <c r="V16" s="123">
        <f t="shared" si="6"/>
        <v>5.25</v>
      </c>
      <c r="W16" s="123">
        <f t="shared" si="6"/>
        <v>4.95</v>
      </c>
      <c r="X16" s="123">
        <f t="shared" si="6"/>
        <v>5.3</v>
      </c>
      <c r="Y16" s="123">
        <f t="shared" si="6"/>
        <v>5.6</v>
      </c>
      <c r="Z16" s="123">
        <f t="shared" si="6"/>
        <v>5.9</v>
      </c>
      <c r="AA16" s="123">
        <f t="shared" si="6"/>
        <v>6.2</v>
      </c>
      <c r="AB16" s="123">
        <f t="shared" si="6"/>
        <v>5.9</v>
      </c>
      <c r="AC16" s="123">
        <f t="shared" si="6"/>
        <v>5.6</v>
      </c>
      <c r="AD16" s="123">
        <f t="shared" si="6"/>
        <v>5.35</v>
      </c>
      <c r="AE16" s="123">
        <f t="shared" si="6"/>
        <v>5.0999999999999996</v>
      </c>
      <c r="AF16" s="123">
        <f t="shared" ref="AF16:AM16" si="7">IFERROR(MAX($D$18,ROUNDUP((AF14*100/5),0)*5/100),"n.a")</f>
        <v>4.9000000000000004</v>
      </c>
      <c r="AG16" s="123">
        <f t="shared" si="7"/>
        <v>4.75</v>
      </c>
      <c r="AH16" s="123">
        <f t="shared" si="7"/>
        <v>4.5999999999999996</v>
      </c>
      <c r="AI16" s="123">
        <f t="shared" si="7"/>
        <v>4.45</v>
      </c>
      <c r="AJ16" s="123">
        <f t="shared" si="7"/>
        <v>4.2</v>
      </c>
      <c r="AK16" s="123">
        <f t="shared" si="7"/>
        <v>3.95</v>
      </c>
      <c r="AL16" s="123">
        <f t="shared" si="7"/>
        <v>3.7</v>
      </c>
      <c r="AM16" s="123">
        <f t="shared" si="7"/>
        <v>3.4</v>
      </c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</row>
    <row r="17" spans="1:51">
      <c r="A17" s="18"/>
      <c r="B17" s="103"/>
      <c r="C17" s="124"/>
      <c r="D17" s="125"/>
      <c r="E17" s="117"/>
      <c r="F17" s="117"/>
      <c r="G17" s="117"/>
      <c r="H17" s="117"/>
      <c r="I17" s="117"/>
      <c r="J17" s="117"/>
      <c r="K17" s="117"/>
      <c r="L17" s="119" t="b">
        <f t="shared" ref="L17:AE17" si="8">+L16&gt;L12</f>
        <v>1</v>
      </c>
      <c r="M17" s="119" t="b">
        <f t="shared" si="8"/>
        <v>1</v>
      </c>
      <c r="N17" s="119" t="b">
        <f t="shared" si="8"/>
        <v>1</v>
      </c>
      <c r="O17" s="119" t="b">
        <f t="shared" si="8"/>
        <v>1</v>
      </c>
      <c r="P17" s="119" t="b">
        <f t="shared" si="8"/>
        <v>1</v>
      </c>
      <c r="Q17" s="119" t="b">
        <f t="shared" si="8"/>
        <v>1</v>
      </c>
      <c r="R17" s="119" t="b">
        <f t="shared" si="8"/>
        <v>1</v>
      </c>
      <c r="S17" s="119" t="b">
        <f t="shared" si="8"/>
        <v>1</v>
      </c>
      <c r="T17" s="119" t="b">
        <f t="shared" si="8"/>
        <v>1</v>
      </c>
      <c r="U17" s="119" t="b">
        <f t="shared" si="8"/>
        <v>1</v>
      </c>
      <c r="V17" s="119" t="b">
        <f t="shared" si="8"/>
        <v>1</v>
      </c>
      <c r="W17" s="119" t="b">
        <f t="shared" si="8"/>
        <v>1</v>
      </c>
      <c r="X17" s="119" t="b">
        <f t="shared" si="8"/>
        <v>1</v>
      </c>
      <c r="Y17" s="119" t="b">
        <f t="shared" si="8"/>
        <v>1</v>
      </c>
      <c r="Z17" s="119" t="b">
        <f t="shared" si="8"/>
        <v>1</v>
      </c>
      <c r="AA17" s="119" t="b">
        <f t="shared" si="8"/>
        <v>1</v>
      </c>
      <c r="AB17" s="119" t="b">
        <f t="shared" si="8"/>
        <v>1</v>
      </c>
      <c r="AC17" s="119" t="b">
        <f t="shared" si="8"/>
        <v>1</v>
      </c>
      <c r="AD17" s="119" t="b">
        <f t="shared" si="8"/>
        <v>1</v>
      </c>
      <c r="AE17" s="119" t="b">
        <f t="shared" si="8"/>
        <v>1</v>
      </c>
      <c r="AF17" s="119" t="b">
        <f t="shared" ref="AF17:AM17" si="9">+AF16&gt;AF12</f>
        <v>1</v>
      </c>
      <c r="AG17" s="119" t="b">
        <f t="shared" si="9"/>
        <v>1</v>
      </c>
      <c r="AH17" s="119" t="b">
        <f t="shared" si="9"/>
        <v>1</v>
      </c>
      <c r="AI17" s="119" t="b">
        <f t="shared" si="9"/>
        <v>1</v>
      </c>
      <c r="AJ17" s="119" t="b">
        <f t="shared" si="9"/>
        <v>1</v>
      </c>
      <c r="AK17" s="119" t="b">
        <f t="shared" si="9"/>
        <v>1</v>
      </c>
      <c r="AL17" s="119" t="b">
        <f t="shared" si="9"/>
        <v>1</v>
      </c>
      <c r="AM17" s="119" t="b">
        <f t="shared" si="9"/>
        <v>1</v>
      </c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</row>
    <row r="18" spans="1:51">
      <c r="A18" s="18"/>
      <c r="B18" s="103"/>
      <c r="C18" s="126" t="s">
        <v>87</v>
      </c>
      <c r="D18" s="127">
        <v>3</v>
      </c>
      <c r="E18" s="117"/>
      <c r="F18" s="117"/>
      <c r="G18" s="117"/>
      <c r="H18" s="117"/>
      <c r="I18" s="117"/>
      <c r="J18" s="117"/>
      <c r="K18" s="119"/>
      <c r="L18" s="119"/>
      <c r="M18" s="119"/>
      <c r="N18" s="119"/>
      <c r="O18" s="119"/>
      <c r="P18" s="120"/>
      <c r="Q18" s="120"/>
      <c r="R18" s="119"/>
      <c r="S18" s="119"/>
      <c r="T18" s="119"/>
      <c r="U18" s="119"/>
      <c r="V18" s="119"/>
      <c r="W18" s="119"/>
      <c r="X18" s="119"/>
      <c r="Y18" s="119"/>
      <c r="Z18" s="119"/>
      <c r="AA18" s="119"/>
      <c r="AB18" s="119"/>
      <c r="AC18" s="119"/>
      <c r="AD18" s="119"/>
      <c r="AE18" s="119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</row>
    <row r="19" spans="1:51">
      <c r="A19" s="18"/>
      <c r="B19" s="18"/>
      <c r="C19" s="18"/>
      <c r="D19" s="45"/>
      <c r="E19" s="117"/>
      <c r="F19" s="128"/>
      <c r="G19" s="117"/>
      <c r="H19" s="128"/>
      <c r="I19" s="128"/>
      <c r="J19" s="128"/>
      <c r="K19" s="128"/>
      <c r="L19" s="128"/>
      <c r="M19" s="128"/>
      <c r="N19" s="128"/>
      <c r="O19" s="128"/>
      <c r="P19" s="128"/>
      <c r="Q19" s="128"/>
      <c r="R19" s="128"/>
      <c r="S19" s="128"/>
      <c r="T19" s="128"/>
      <c r="U19" s="128"/>
      <c r="V19" s="128"/>
      <c r="W19" s="128"/>
      <c r="X19" s="128"/>
      <c r="Y19" s="128"/>
      <c r="Z19" s="128"/>
      <c r="AA19" s="128"/>
      <c r="AB19" s="18"/>
      <c r="AC19" s="18"/>
      <c r="AD19" s="18"/>
      <c r="AE19" s="129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</row>
    <row r="20" spans="1:51">
      <c r="A20" s="18"/>
      <c r="B20" s="18"/>
      <c r="C20" s="96" t="s">
        <v>88</v>
      </c>
      <c r="D20" s="97"/>
      <c r="E20" s="97"/>
      <c r="F20" s="98"/>
      <c r="G20" s="99"/>
      <c r="H20" s="100">
        <v>2025</v>
      </c>
      <c r="I20" s="101"/>
      <c r="J20" s="101"/>
      <c r="K20" s="101"/>
      <c r="L20" s="100">
        <f>+H20+1</f>
        <v>2026</v>
      </c>
      <c r="M20" s="101"/>
      <c r="N20" s="101"/>
      <c r="O20" s="101"/>
      <c r="P20" s="100">
        <f>+L20+1</f>
        <v>2027</v>
      </c>
      <c r="Q20" s="101"/>
      <c r="R20" s="101"/>
      <c r="S20" s="101"/>
      <c r="T20" s="100">
        <f>+P20+1</f>
        <v>2028</v>
      </c>
      <c r="U20" s="101"/>
      <c r="V20" s="101"/>
      <c r="W20" s="101"/>
      <c r="X20" s="100">
        <f>+T20+1</f>
        <v>2029</v>
      </c>
      <c r="Y20" s="101"/>
      <c r="Z20" s="101"/>
      <c r="AA20" s="101"/>
      <c r="AB20" s="100">
        <f>+X20+1</f>
        <v>2030</v>
      </c>
      <c r="AC20" s="101"/>
      <c r="AD20" s="101"/>
      <c r="AE20" s="101"/>
      <c r="AF20" s="100">
        <f>+AB20+1</f>
        <v>2031</v>
      </c>
      <c r="AG20" s="101"/>
      <c r="AH20" s="101"/>
      <c r="AI20" s="101"/>
      <c r="AJ20" s="100">
        <f>+AF20+1</f>
        <v>2032</v>
      </c>
      <c r="AK20" s="101"/>
      <c r="AL20" s="101"/>
      <c r="AM20" s="101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</row>
    <row r="21" spans="1:51" ht="10.8" thickBot="1">
      <c r="C21" s="102"/>
      <c r="D21" s="102"/>
      <c r="E21" s="93"/>
      <c r="F21" s="18"/>
      <c r="G21" s="93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</row>
    <row r="22" spans="1:51" ht="10.8" thickBot="1">
      <c r="A22" s="18"/>
      <c r="B22" s="103"/>
      <c r="C22" s="45"/>
      <c r="D22" s="45"/>
      <c r="E22" s="104"/>
      <c r="F22" s="104"/>
      <c r="G22" s="104"/>
      <c r="H22" s="30" t="s">
        <v>80</v>
      </c>
      <c r="I22" s="105" t="s">
        <v>81</v>
      </c>
      <c r="J22" s="105" t="s">
        <v>82</v>
      </c>
      <c r="K22" s="106" t="s">
        <v>77</v>
      </c>
      <c r="L22" s="30" t="s">
        <v>80</v>
      </c>
      <c r="M22" s="105" t="s">
        <v>81</v>
      </c>
      <c r="N22" s="105" t="s">
        <v>82</v>
      </c>
      <c r="O22" s="105" t="s">
        <v>83</v>
      </c>
      <c r="P22" s="30" t="s">
        <v>80</v>
      </c>
      <c r="Q22" s="105" t="s">
        <v>81</v>
      </c>
      <c r="R22" s="105" t="s">
        <v>82</v>
      </c>
      <c r="S22" s="105" t="s">
        <v>83</v>
      </c>
      <c r="T22" s="30" t="s">
        <v>80</v>
      </c>
      <c r="U22" s="105" t="s">
        <v>81</v>
      </c>
      <c r="V22" s="105" t="s">
        <v>82</v>
      </c>
      <c r="W22" s="105" t="s">
        <v>83</v>
      </c>
      <c r="X22" s="30" t="s">
        <v>80</v>
      </c>
      <c r="Y22" s="105" t="s">
        <v>81</v>
      </c>
      <c r="Z22" s="105" t="s">
        <v>82</v>
      </c>
      <c r="AA22" s="105" t="s">
        <v>83</v>
      </c>
      <c r="AB22" s="30" t="s">
        <v>80</v>
      </c>
      <c r="AC22" s="105" t="s">
        <v>81</v>
      </c>
      <c r="AD22" s="105" t="s">
        <v>82</v>
      </c>
      <c r="AE22" s="105" t="s">
        <v>83</v>
      </c>
      <c r="AF22" s="30" t="s">
        <v>80</v>
      </c>
      <c r="AG22" s="105" t="s">
        <v>81</v>
      </c>
      <c r="AH22" s="105" t="s">
        <v>82</v>
      </c>
      <c r="AI22" s="105" t="s">
        <v>83</v>
      </c>
      <c r="AJ22" s="30" t="s">
        <v>80</v>
      </c>
      <c r="AK22" s="105" t="s">
        <v>81</v>
      </c>
      <c r="AL22" s="105" t="s">
        <v>82</v>
      </c>
      <c r="AM22" s="105" t="s">
        <v>83</v>
      </c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</row>
    <row r="23" spans="1:51" ht="10.8" thickBot="1">
      <c r="E23" s="107"/>
      <c r="F23" s="107"/>
      <c r="G23" s="107"/>
      <c r="H23" s="130">
        <v>45747</v>
      </c>
      <c r="I23" s="130">
        <v>45838</v>
      </c>
      <c r="J23" s="130">
        <v>45930</v>
      </c>
      <c r="K23" s="130">
        <v>46022</v>
      </c>
      <c r="L23" s="130">
        <f>EOMONTH(K23,3)</f>
        <v>46112</v>
      </c>
      <c r="M23" s="130">
        <f t="shared" ref="M23:AE23" si="10">EOMONTH(L23,3)</f>
        <v>46203</v>
      </c>
      <c r="N23" s="130">
        <f t="shared" si="10"/>
        <v>46295</v>
      </c>
      <c r="O23" s="130">
        <f t="shared" si="10"/>
        <v>46387</v>
      </c>
      <c r="P23" s="130">
        <f t="shared" si="10"/>
        <v>46477</v>
      </c>
      <c r="Q23" s="130">
        <f t="shared" si="10"/>
        <v>46568</v>
      </c>
      <c r="R23" s="130">
        <f t="shared" si="10"/>
        <v>46660</v>
      </c>
      <c r="S23" s="130">
        <f t="shared" si="10"/>
        <v>46752</v>
      </c>
      <c r="T23" s="130">
        <f t="shared" si="10"/>
        <v>46843</v>
      </c>
      <c r="U23" s="130">
        <f t="shared" si="10"/>
        <v>46934</v>
      </c>
      <c r="V23" s="130">
        <f t="shared" si="10"/>
        <v>47026</v>
      </c>
      <c r="W23" s="130">
        <f t="shared" si="10"/>
        <v>47118</v>
      </c>
      <c r="X23" s="130">
        <f t="shared" si="10"/>
        <v>47208</v>
      </c>
      <c r="Y23" s="130">
        <f t="shared" si="10"/>
        <v>47299</v>
      </c>
      <c r="Z23" s="130">
        <f t="shared" si="10"/>
        <v>47391</v>
      </c>
      <c r="AA23" s="130">
        <f t="shared" si="10"/>
        <v>47483</v>
      </c>
      <c r="AB23" s="130">
        <f t="shared" si="10"/>
        <v>47573</v>
      </c>
      <c r="AC23" s="130">
        <f t="shared" si="10"/>
        <v>47664</v>
      </c>
      <c r="AD23" s="130">
        <f t="shared" si="10"/>
        <v>47756</v>
      </c>
      <c r="AE23" s="130">
        <f t="shared" si="10"/>
        <v>47848</v>
      </c>
      <c r="AF23" s="130">
        <f t="shared" ref="AF23:AM23" si="11">EOMONTH(AE23,3)</f>
        <v>47938</v>
      </c>
      <c r="AG23" s="130">
        <f t="shared" si="11"/>
        <v>48029</v>
      </c>
      <c r="AH23" s="130">
        <f t="shared" si="11"/>
        <v>48121</v>
      </c>
      <c r="AI23" s="130">
        <f t="shared" si="11"/>
        <v>48213</v>
      </c>
      <c r="AJ23" s="130">
        <f t="shared" si="11"/>
        <v>48304</v>
      </c>
      <c r="AK23" s="130">
        <f t="shared" si="11"/>
        <v>48395</v>
      </c>
      <c r="AL23" s="130">
        <f t="shared" si="11"/>
        <v>48487</v>
      </c>
      <c r="AM23" s="130">
        <f t="shared" si="11"/>
        <v>48579</v>
      </c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</row>
    <row r="24" spans="1:51">
      <c r="C24" s="109"/>
      <c r="D24" s="110"/>
      <c r="E24" s="110"/>
      <c r="F24" s="110"/>
      <c r="G24" s="110"/>
      <c r="H24" s="110"/>
      <c r="I24" s="110"/>
      <c r="J24" s="110"/>
      <c r="K24" s="110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</row>
    <row r="25" spans="1:51" s="84" customFormat="1">
      <c r="C25" s="84" t="s">
        <v>1</v>
      </c>
      <c r="D25" s="131"/>
      <c r="E25" s="132"/>
      <c r="F25" s="132"/>
      <c r="G25" s="132"/>
      <c r="H25" s="132">
        <f>H54</f>
        <v>12.824999999999999</v>
      </c>
      <c r="I25" s="132">
        <f>I54</f>
        <v>12.824999999999999</v>
      </c>
      <c r="J25" s="132">
        <f>J54</f>
        <v>12.824999999999999</v>
      </c>
      <c r="K25" s="132">
        <f>K54</f>
        <v>12.824999999999999</v>
      </c>
      <c r="L25" s="132">
        <f>M54</f>
        <v>13.060829816029425</v>
      </c>
      <c r="M25" s="132">
        <f>N54</f>
        <v>13.060829816029425</v>
      </c>
      <c r="N25" s="132">
        <f>O54</f>
        <v>13.060829816029425</v>
      </c>
      <c r="O25" s="132">
        <f>P54</f>
        <v>13.060829816029425</v>
      </c>
      <c r="P25" s="132">
        <f>R54</f>
        <v>15.428321344495025</v>
      </c>
      <c r="Q25" s="132">
        <f>S54</f>
        <v>15.428321344495025</v>
      </c>
      <c r="R25" s="132">
        <f>T54</f>
        <v>15.428321344495025</v>
      </c>
      <c r="S25" s="132">
        <f>U54</f>
        <v>15.428321344495025</v>
      </c>
      <c r="T25" s="132">
        <f>W54</f>
        <v>18.321270624617235</v>
      </c>
      <c r="U25" s="132">
        <f>X54</f>
        <v>18.321270624617235</v>
      </c>
      <c r="V25" s="132">
        <f>Y54</f>
        <v>18.321270624617235</v>
      </c>
      <c r="W25" s="132">
        <f>Z54</f>
        <v>18.321270624617235</v>
      </c>
      <c r="X25" s="132">
        <f>AB54</f>
        <v>19.896937958728422</v>
      </c>
      <c r="Y25" s="132">
        <f>AC54</f>
        <v>19.896937958728422</v>
      </c>
      <c r="Z25" s="132">
        <f>AD54</f>
        <v>19.896937958728422</v>
      </c>
      <c r="AA25" s="132">
        <f>AE54</f>
        <v>19.896937958728422</v>
      </c>
      <c r="AB25" s="132">
        <f>AG54</f>
        <v>21.945905991329443</v>
      </c>
      <c r="AC25" s="132">
        <f>AH54</f>
        <v>21.945905991329443</v>
      </c>
      <c r="AD25" s="132">
        <f>AI54</f>
        <v>21.945905991329443</v>
      </c>
      <c r="AE25" s="132">
        <f>AJ54</f>
        <v>21.945905991329443</v>
      </c>
      <c r="AF25" s="132">
        <f>AL54</f>
        <v>22.384824111156032</v>
      </c>
      <c r="AG25" s="132">
        <f>AM54</f>
        <v>22.384824111156032</v>
      </c>
      <c r="AH25" s="132">
        <f>AN54</f>
        <v>22.384824111156032</v>
      </c>
      <c r="AI25" s="132">
        <f>AO54</f>
        <v>22.384824111156032</v>
      </c>
      <c r="AJ25" s="132">
        <f>+AQ54</f>
        <v>22.832520593379151</v>
      </c>
      <c r="AK25" s="132">
        <f>+AR54</f>
        <v>22.832520593379151</v>
      </c>
      <c r="AL25" s="132">
        <f>+AS54</f>
        <v>22.832520593379151</v>
      </c>
      <c r="AM25" s="132">
        <f>+AT54</f>
        <v>22.832520593379151</v>
      </c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</row>
    <row r="26" spans="1:51" s="84" customFormat="1">
      <c r="C26" s="84" t="s">
        <v>89</v>
      </c>
      <c r="D26" s="131"/>
      <c r="E26" s="132"/>
      <c r="F26" s="132"/>
      <c r="G26" s="132"/>
      <c r="H26" s="132">
        <f>H25+G25+F25+E25</f>
        <v>12.824999999999999</v>
      </c>
      <c r="I26" s="132">
        <f t="shared" ref="I26:AE26" si="12">I25+H25+G25+F25</f>
        <v>25.65</v>
      </c>
      <c r="J26" s="132">
        <f t="shared" si="12"/>
        <v>38.474999999999994</v>
      </c>
      <c r="K26" s="650">
        <f>+'Active Case'!F17</f>
        <v>51.3</v>
      </c>
      <c r="L26" s="132">
        <f t="shared" si="12"/>
        <v>51.53582981602942</v>
      </c>
      <c r="M26" s="132">
        <f t="shared" si="12"/>
        <v>51.771659632058856</v>
      </c>
      <c r="N26" s="132">
        <f t="shared" si="12"/>
        <v>52.007489448088279</v>
      </c>
      <c r="O26" s="132">
        <f t="shared" si="12"/>
        <v>52.243319264117702</v>
      </c>
      <c r="P26" s="132">
        <f t="shared" si="12"/>
        <v>54.610810792583301</v>
      </c>
      <c r="Q26" s="132">
        <f t="shared" si="12"/>
        <v>56.978302321048901</v>
      </c>
      <c r="R26" s="132">
        <f t="shared" si="12"/>
        <v>59.3457938495145</v>
      </c>
      <c r="S26" s="132">
        <f t="shared" si="12"/>
        <v>61.7132853779801</v>
      </c>
      <c r="T26" s="132">
        <f t="shared" si="12"/>
        <v>64.606234658102309</v>
      </c>
      <c r="U26" s="132">
        <f t="shared" si="12"/>
        <v>67.499183938224519</v>
      </c>
      <c r="V26" s="132">
        <f t="shared" si="12"/>
        <v>70.392133218346729</v>
      </c>
      <c r="W26" s="132">
        <f t="shared" si="12"/>
        <v>73.285082498468938</v>
      </c>
      <c r="X26" s="132">
        <f t="shared" si="12"/>
        <v>74.860749832580126</v>
      </c>
      <c r="Y26" s="132">
        <f t="shared" si="12"/>
        <v>76.436417166691314</v>
      </c>
      <c r="Z26" s="132">
        <f t="shared" si="12"/>
        <v>78.012084500802501</v>
      </c>
      <c r="AA26" s="132">
        <f t="shared" si="12"/>
        <v>79.587751834913689</v>
      </c>
      <c r="AB26" s="132">
        <f t="shared" si="12"/>
        <v>81.636719867514714</v>
      </c>
      <c r="AC26" s="132">
        <f t="shared" si="12"/>
        <v>83.685687900115738</v>
      </c>
      <c r="AD26" s="132">
        <f t="shared" si="12"/>
        <v>85.734655932716748</v>
      </c>
      <c r="AE26" s="132">
        <f t="shared" si="12"/>
        <v>87.783623965317773</v>
      </c>
      <c r="AF26" s="132">
        <f t="shared" ref="AF26:AM26" si="13">AF25+AE25+AD25+AC25</f>
        <v>88.222542085144354</v>
      </c>
      <c r="AG26" s="132">
        <f t="shared" si="13"/>
        <v>88.66146020497095</v>
      </c>
      <c r="AH26" s="132">
        <f t="shared" si="13"/>
        <v>89.100378324797532</v>
      </c>
      <c r="AI26" s="132">
        <f t="shared" si="13"/>
        <v>89.539296444624128</v>
      </c>
      <c r="AJ26" s="132">
        <f t="shared" si="13"/>
        <v>89.98699292684725</v>
      </c>
      <c r="AK26" s="132">
        <f t="shared" si="13"/>
        <v>90.434689409070373</v>
      </c>
      <c r="AL26" s="132">
        <f t="shared" si="13"/>
        <v>90.882385891293495</v>
      </c>
      <c r="AM26" s="132">
        <f t="shared" si="13"/>
        <v>91.330082373516603</v>
      </c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</row>
    <row r="27" spans="1:51">
      <c r="A27" s="18"/>
      <c r="B27" s="111"/>
      <c r="C27" s="27" t="s">
        <v>90</v>
      </c>
      <c r="D27" s="84"/>
      <c r="E27" s="133"/>
      <c r="F27" s="133"/>
      <c r="H27" s="133">
        <f>H102</f>
        <v>0</v>
      </c>
      <c r="I27" s="133">
        <f>I102</f>
        <v>0</v>
      </c>
      <c r="J27" s="133">
        <f>J102</f>
        <v>0</v>
      </c>
      <c r="K27" s="133">
        <f>L102</f>
        <v>0</v>
      </c>
      <c r="L27" s="133">
        <f>M102</f>
        <v>7.1725497929041548</v>
      </c>
      <c r="M27" s="133">
        <f>N102</f>
        <v>14.318496033151733</v>
      </c>
      <c r="N27" s="133">
        <f>O102</f>
        <v>21.437838720742736</v>
      </c>
      <c r="O27" s="133">
        <f>Q102</f>
        <v>28.530577855677162</v>
      </c>
      <c r="P27" s="133">
        <f>R102</f>
        <v>36.998923365134608</v>
      </c>
      <c r="Q27" s="133">
        <f>S102</f>
        <v>45.406013577690814</v>
      </c>
      <c r="R27" s="133">
        <f>T102</f>
        <v>53.751848493345783</v>
      </c>
      <c r="S27" s="133">
        <f>V102</f>
        <v>62.036428112099514</v>
      </c>
      <c r="T27" s="133">
        <f>W102</f>
        <v>68.526202592946987</v>
      </c>
      <c r="U27" s="133">
        <f>X102</f>
        <v>74.98460076212173</v>
      </c>
      <c r="V27" s="133">
        <f>Y102</f>
        <v>81.411622619623756</v>
      </c>
      <c r="W27" s="133">
        <f>AA102</f>
        <v>87.807268165453067</v>
      </c>
      <c r="X27" s="133">
        <f>AB102</f>
        <v>68.355451124089797</v>
      </c>
      <c r="Y27" s="133">
        <f>AC102</f>
        <v>48.903634082726533</v>
      </c>
      <c r="Z27" s="133">
        <f>AD102</f>
        <v>29.451817041363277</v>
      </c>
      <c r="AA27" s="133">
        <f>AF102</f>
        <v>10.000000000000028</v>
      </c>
      <c r="AB27" s="133">
        <f>AG102</f>
        <v>16.882902191009016</v>
      </c>
      <c r="AC27" s="133">
        <f>AH102</f>
        <v>23.765804382018004</v>
      </c>
      <c r="AD27" s="133">
        <f>AI102</f>
        <v>30.648706573026992</v>
      </c>
      <c r="AE27" s="133">
        <f>AK102</f>
        <v>37.531608764035973</v>
      </c>
      <c r="AF27" s="133">
        <f>AL102</f>
        <v>45.009140438609059</v>
      </c>
      <c r="AG27" s="133">
        <f>AM102</f>
        <v>52.486672113182145</v>
      </c>
      <c r="AH27" s="133">
        <f>AN102</f>
        <v>59.964203787755231</v>
      </c>
      <c r="AI27" s="133">
        <f>AP102</f>
        <v>67.441735462328339</v>
      </c>
      <c r="AJ27" s="133">
        <f>AQ102</f>
        <v>79.954376336075853</v>
      </c>
      <c r="AK27" s="133">
        <f>AR102</f>
        <v>92.467017209823368</v>
      </c>
      <c r="AL27" s="133">
        <f>AS102</f>
        <v>104.97965808357088</v>
      </c>
      <c r="AM27" s="133">
        <f>AU102</f>
        <v>-184.64024013181978</v>
      </c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</row>
    <row r="28" spans="1:51">
      <c r="A28" s="134"/>
      <c r="B28" s="134"/>
      <c r="C28" s="27" t="s">
        <v>91</v>
      </c>
      <c r="D28" s="135"/>
      <c r="E28" s="133"/>
      <c r="F28" s="133"/>
      <c r="G28" s="133"/>
      <c r="H28" s="133">
        <f>H109</f>
        <v>0</v>
      </c>
      <c r="I28" s="133">
        <f>I109</f>
        <v>0</v>
      </c>
      <c r="J28" s="133">
        <f>J109</f>
        <v>0</v>
      </c>
      <c r="K28" s="133">
        <f>L109</f>
        <v>256.5</v>
      </c>
      <c r="L28" s="133">
        <f>M109</f>
        <v>259.16035526565759</v>
      </c>
      <c r="M28" s="133">
        <f>N109</f>
        <v>261.82071053131511</v>
      </c>
      <c r="N28" s="133">
        <f>O109</f>
        <v>264.4810657969727</v>
      </c>
      <c r="O28" s="133">
        <f>Q109</f>
        <v>267.14142106263029</v>
      </c>
      <c r="P28" s="133">
        <f>R109</f>
        <v>273.26695075275427</v>
      </c>
      <c r="Q28" s="133">
        <f>S109</f>
        <v>279.39248044287831</v>
      </c>
      <c r="R28" s="133">
        <f>T109</f>
        <v>285.51801013300229</v>
      </c>
      <c r="S28" s="133">
        <f>V109</f>
        <v>291.64353982312628</v>
      </c>
      <c r="T28" s="133">
        <f>W109</f>
        <v>294.78117099039838</v>
      </c>
      <c r="U28" s="133">
        <f>X109</f>
        <v>297.91880215767043</v>
      </c>
      <c r="V28" s="133">
        <f>Y109</f>
        <v>301.05643332494247</v>
      </c>
      <c r="W28" s="133">
        <f>AA109</f>
        <v>304.19406449221452</v>
      </c>
      <c r="X28" s="133">
        <f>AB109</f>
        <v>304.19406449221452</v>
      </c>
      <c r="Y28" s="133">
        <f>AC109</f>
        <v>304.19406449221452</v>
      </c>
      <c r="Z28" s="133">
        <f>AD109</f>
        <v>304.19406449221452</v>
      </c>
      <c r="AA28" s="133">
        <f>AF109</f>
        <v>304.19406449221452</v>
      </c>
      <c r="AB28" s="133">
        <f>AG109</f>
        <v>304.19406449221452</v>
      </c>
      <c r="AC28" s="133">
        <f>AH109</f>
        <v>304.19406449221452</v>
      </c>
      <c r="AD28" s="133">
        <f>AI109</f>
        <v>304.19406449221452</v>
      </c>
      <c r="AE28" s="133">
        <f>AK109</f>
        <v>304.19406449221452</v>
      </c>
      <c r="AF28" s="133">
        <f>AL109</f>
        <v>304.19406449221452</v>
      </c>
      <c r="AG28" s="133">
        <f>AM109</f>
        <v>304.19406449221452</v>
      </c>
      <c r="AH28" s="133">
        <f>AN109</f>
        <v>304.19406449221452</v>
      </c>
      <c r="AI28" s="133">
        <f>AP109</f>
        <v>304.19406449221452</v>
      </c>
      <c r="AJ28" s="133">
        <f>AQ109</f>
        <v>304.19406449221452</v>
      </c>
      <c r="AK28" s="133">
        <f>AR109</f>
        <v>304.19406449221452</v>
      </c>
      <c r="AL28" s="133">
        <f>AS109</f>
        <v>304.19406449221452</v>
      </c>
      <c r="AM28" s="133">
        <f>AU109</f>
        <v>0</v>
      </c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</row>
    <row r="29" spans="1:51">
      <c r="A29" s="18"/>
      <c r="B29" s="111"/>
      <c r="C29" s="27" t="s">
        <v>92</v>
      </c>
      <c r="D29" s="135"/>
      <c r="E29" s="133"/>
      <c r="F29" s="133"/>
      <c r="G29" s="133"/>
      <c r="H29" s="133">
        <f t="shared" ref="H29:AE29" si="14">H28-H27</f>
        <v>0</v>
      </c>
      <c r="I29" s="133">
        <f t="shared" si="14"/>
        <v>0</v>
      </c>
      <c r="J29" s="133">
        <f t="shared" si="14"/>
        <v>0</v>
      </c>
      <c r="K29" s="133">
        <f t="shared" si="14"/>
        <v>256.5</v>
      </c>
      <c r="L29" s="133">
        <f t="shared" si="14"/>
        <v>251.98780547275342</v>
      </c>
      <c r="M29" s="133">
        <f t="shared" si="14"/>
        <v>247.50221449816337</v>
      </c>
      <c r="N29" s="133">
        <f t="shared" si="14"/>
        <v>243.04322707622995</v>
      </c>
      <c r="O29" s="133">
        <f t="shared" si="14"/>
        <v>238.61084320695312</v>
      </c>
      <c r="P29" s="133">
        <f t="shared" si="14"/>
        <v>236.26802738761967</v>
      </c>
      <c r="Q29" s="133">
        <f t="shared" si="14"/>
        <v>233.98646686518748</v>
      </c>
      <c r="R29" s="133">
        <f t="shared" si="14"/>
        <v>231.7661616396565</v>
      </c>
      <c r="S29" s="133">
        <f t="shared" si="14"/>
        <v>229.60711171102676</v>
      </c>
      <c r="T29" s="133">
        <f t="shared" si="14"/>
        <v>226.25496839745139</v>
      </c>
      <c r="U29" s="133">
        <f t="shared" si="14"/>
        <v>222.93420139554871</v>
      </c>
      <c r="V29" s="133">
        <f t="shared" si="14"/>
        <v>219.64481070531872</v>
      </c>
      <c r="W29" s="133">
        <f t="shared" si="14"/>
        <v>216.38679632676144</v>
      </c>
      <c r="X29" s="133">
        <f t="shared" si="14"/>
        <v>235.83861336812473</v>
      </c>
      <c r="Y29" s="133">
        <f t="shared" si="14"/>
        <v>255.29043040948798</v>
      </c>
      <c r="Z29" s="133">
        <f t="shared" si="14"/>
        <v>274.74224745085127</v>
      </c>
      <c r="AA29" s="133">
        <f t="shared" si="14"/>
        <v>294.19406449221447</v>
      </c>
      <c r="AB29" s="133">
        <f t="shared" si="14"/>
        <v>287.31116230120551</v>
      </c>
      <c r="AC29" s="133">
        <f t="shared" si="14"/>
        <v>280.4282601101965</v>
      </c>
      <c r="AD29" s="133">
        <f t="shared" si="14"/>
        <v>273.54535791918755</v>
      </c>
      <c r="AE29" s="133">
        <f t="shared" si="14"/>
        <v>266.66245572817854</v>
      </c>
      <c r="AF29" s="133">
        <f t="shared" ref="AF29:AM29" si="15">AF28-AF27</f>
        <v>259.18492405360547</v>
      </c>
      <c r="AG29" s="133">
        <f t="shared" si="15"/>
        <v>251.70739237903237</v>
      </c>
      <c r="AH29" s="133">
        <f t="shared" si="15"/>
        <v>244.2298607044593</v>
      </c>
      <c r="AI29" s="133">
        <f t="shared" si="15"/>
        <v>236.7523290298862</v>
      </c>
      <c r="AJ29" s="133">
        <f t="shared" si="15"/>
        <v>224.23968815613867</v>
      </c>
      <c r="AK29" s="133">
        <f t="shared" si="15"/>
        <v>211.72704728239114</v>
      </c>
      <c r="AL29" s="133">
        <f t="shared" si="15"/>
        <v>199.21440640864364</v>
      </c>
      <c r="AM29" s="133">
        <f t="shared" si="15"/>
        <v>184.64024013181978</v>
      </c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</row>
    <row r="30" spans="1:51">
      <c r="A30" s="18"/>
      <c r="B30" s="111"/>
      <c r="C30" s="27"/>
      <c r="D30" s="135"/>
      <c r="E30" s="133"/>
      <c r="F30" s="133"/>
      <c r="G30" s="133"/>
      <c r="H30" s="133"/>
      <c r="I30" s="133"/>
      <c r="J30" s="133"/>
      <c r="K30" s="133"/>
      <c r="L30" s="133"/>
      <c r="M30" s="133"/>
      <c r="N30" s="133"/>
      <c r="O30" s="133"/>
      <c r="P30" s="133"/>
      <c r="Q30" s="133"/>
      <c r="R30" s="133"/>
      <c r="S30" s="133"/>
      <c r="T30" s="133"/>
      <c r="U30" s="133"/>
      <c r="V30" s="133"/>
      <c r="W30" s="133"/>
      <c r="X30" s="133"/>
      <c r="Y30" s="133"/>
      <c r="Z30" s="133"/>
      <c r="AA30" s="133"/>
      <c r="AB30" s="117"/>
      <c r="AC30" s="117"/>
      <c r="AD30" s="117"/>
      <c r="AE30" s="18"/>
      <c r="AF30" s="136"/>
      <c r="AG30" s="136"/>
      <c r="AH30" s="136"/>
      <c r="AI30" s="117"/>
    </row>
    <row r="31" spans="1:51">
      <c r="A31" s="18"/>
      <c r="B31" s="18"/>
      <c r="C31" s="137" t="s">
        <v>93</v>
      </c>
      <c r="D31" s="97"/>
      <c r="E31" s="97"/>
      <c r="F31" s="98"/>
      <c r="G31" s="99"/>
      <c r="H31" s="100">
        <v>2025</v>
      </c>
      <c r="I31" s="101"/>
      <c r="J31" s="101"/>
      <c r="K31" s="101"/>
      <c r="L31" s="138"/>
      <c r="M31" s="100">
        <f>+H31+1</f>
        <v>2026</v>
      </c>
      <c r="N31" s="101"/>
      <c r="O31" s="101"/>
      <c r="P31" s="101"/>
      <c r="Q31" s="138"/>
      <c r="R31" s="100">
        <f>+M31+1</f>
        <v>2027</v>
      </c>
      <c r="S31" s="101"/>
      <c r="T31" s="101"/>
      <c r="U31" s="101"/>
      <c r="V31" s="138"/>
      <c r="W31" s="100">
        <f>+R31+1</f>
        <v>2028</v>
      </c>
      <c r="X31" s="101"/>
      <c r="Y31" s="101"/>
      <c r="Z31" s="101"/>
      <c r="AA31" s="138"/>
      <c r="AB31" s="100">
        <f>+W31+1</f>
        <v>2029</v>
      </c>
      <c r="AC31" s="101"/>
      <c r="AD31" s="101"/>
      <c r="AE31" s="101"/>
      <c r="AF31" s="138"/>
      <c r="AG31" s="100">
        <f>+AB31+1</f>
        <v>2030</v>
      </c>
      <c r="AH31" s="101"/>
      <c r="AI31" s="101"/>
      <c r="AJ31" s="101"/>
      <c r="AK31" s="138"/>
      <c r="AL31" s="100">
        <f>+AG31+1</f>
        <v>2031</v>
      </c>
      <c r="AM31" s="101"/>
      <c r="AN31" s="101"/>
      <c r="AO31" s="101"/>
      <c r="AP31" s="138"/>
      <c r="AQ31" s="564">
        <f>+AL31+1</f>
        <v>2032</v>
      </c>
      <c r="AR31" s="101"/>
      <c r="AS31" s="101"/>
      <c r="AT31" s="101"/>
      <c r="AU31" s="138"/>
    </row>
    <row r="32" spans="1:51">
      <c r="A32" s="18"/>
      <c r="B32" s="18"/>
      <c r="C32" s="59"/>
      <c r="D32" s="59"/>
      <c r="E32" s="117"/>
      <c r="F32" s="117"/>
      <c r="G32" s="117"/>
      <c r="H32" s="117"/>
      <c r="I32" s="117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  <c r="AA32" s="117"/>
      <c r="AB32" s="117"/>
      <c r="AC32" s="117"/>
      <c r="AD32" s="117"/>
      <c r="AE32" s="117"/>
      <c r="AF32" s="117"/>
      <c r="AG32" s="117"/>
      <c r="AH32" s="117"/>
      <c r="AI32" s="117"/>
    </row>
    <row r="33" spans="1:78" s="139" customFormat="1">
      <c r="B33" s="140"/>
      <c r="C33" s="141" t="s">
        <v>94</v>
      </c>
      <c r="D33" s="141"/>
      <c r="E33" s="141"/>
      <c r="F33" s="141"/>
      <c r="G33" s="141"/>
      <c r="H33" s="141"/>
      <c r="I33" s="141"/>
      <c r="J33" s="141"/>
      <c r="K33" s="141"/>
      <c r="L33" s="141"/>
      <c r="M33" s="141"/>
      <c r="N33" s="141"/>
      <c r="O33" s="141"/>
      <c r="P33" s="141"/>
      <c r="Q33" s="141"/>
      <c r="R33" s="141"/>
      <c r="S33" s="141"/>
      <c r="T33" s="141"/>
      <c r="U33" s="141"/>
      <c r="V33" s="141"/>
      <c r="W33" s="141"/>
      <c r="X33" s="141"/>
      <c r="Y33" s="141"/>
      <c r="Z33" s="141"/>
      <c r="AA33" s="141"/>
      <c r="AB33" s="141"/>
      <c r="AC33" s="141"/>
      <c r="AD33" s="141"/>
      <c r="AE33" s="141"/>
      <c r="AF33" s="141"/>
      <c r="AG33" s="141"/>
      <c r="AH33" s="141"/>
      <c r="AI33" s="141"/>
      <c r="AJ33" s="141"/>
      <c r="AK33" s="141"/>
      <c r="AL33" s="141"/>
      <c r="AM33" s="141"/>
      <c r="AN33" s="141"/>
      <c r="AO33" s="141"/>
      <c r="AP33" s="141"/>
      <c r="AQ33" s="141"/>
      <c r="AR33" s="141"/>
      <c r="AS33" s="141"/>
      <c r="AT33" s="141"/>
      <c r="AU33" s="141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</row>
    <row r="34" spans="1:78" ht="10.8" thickBot="1">
      <c r="A34" s="18"/>
      <c r="B34" s="18"/>
      <c r="C34" s="59"/>
      <c r="D34" s="59"/>
      <c r="E34" s="117"/>
      <c r="F34" s="117"/>
      <c r="G34" s="117"/>
      <c r="H34" s="117"/>
      <c r="I34" s="117"/>
      <c r="J34" s="117"/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  <c r="AA34" s="117"/>
      <c r="AB34" s="117"/>
      <c r="AC34" s="117"/>
      <c r="AD34" s="117"/>
      <c r="AE34" s="117"/>
      <c r="AF34" s="117"/>
      <c r="AG34" s="117"/>
      <c r="AH34" s="117"/>
      <c r="AI34" s="117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</row>
    <row r="35" spans="1:78" ht="10.8" thickBot="1">
      <c r="A35" s="18"/>
      <c r="B35" s="103"/>
      <c r="C35" s="45"/>
      <c r="D35" s="45"/>
      <c r="E35" s="104"/>
      <c r="F35" s="104"/>
      <c r="G35" s="104"/>
      <c r="H35" s="30" t="s">
        <v>80</v>
      </c>
      <c r="I35" s="105" t="s">
        <v>81</v>
      </c>
      <c r="J35" s="105" t="s">
        <v>82</v>
      </c>
      <c r="K35" s="106" t="s">
        <v>77</v>
      </c>
      <c r="L35" s="30" t="s">
        <v>95</v>
      </c>
      <c r="M35" s="30" t="s">
        <v>80</v>
      </c>
      <c r="N35" s="105" t="s">
        <v>81</v>
      </c>
      <c r="O35" s="105" t="s">
        <v>82</v>
      </c>
      <c r="P35" s="105" t="s">
        <v>83</v>
      </c>
      <c r="Q35" s="30" t="s">
        <v>95</v>
      </c>
      <c r="R35" s="30" t="s">
        <v>80</v>
      </c>
      <c r="S35" s="105" t="s">
        <v>81</v>
      </c>
      <c r="T35" s="105" t="s">
        <v>82</v>
      </c>
      <c r="U35" s="105" t="s">
        <v>83</v>
      </c>
      <c r="V35" s="30" t="s">
        <v>95</v>
      </c>
      <c r="W35" s="30" t="s">
        <v>80</v>
      </c>
      <c r="X35" s="105" t="s">
        <v>81</v>
      </c>
      <c r="Y35" s="105" t="s">
        <v>82</v>
      </c>
      <c r="Z35" s="105" t="s">
        <v>83</v>
      </c>
      <c r="AA35" s="30" t="s">
        <v>95</v>
      </c>
      <c r="AB35" s="30" t="s">
        <v>80</v>
      </c>
      <c r="AC35" s="105" t="s">
        <v>81</v>
      </c>
      <c r="AD35" s="105" t="s">
        <v>82</v>
      </c>
      <c r="AE35" s="105" t="s">
        <v>83</v>
      </c>
      <c r="AF35" s="30" t="s">
        <v>95</v>
      </c>
      <c r="AG35" s="30" t="s">
        <v>80</v>
      </c>
      <c r="AH35" s="105" t="s">
        <v>81</v>
      </c>
      <c r="AI35" s="105" t="s">
        <v>82</v>
      </c>
      <c r="AJ35" s="105" t="s">
        <v>83</v>
      </c>
      <c r="AK35" s="30" t="s">
        <v>95</v>
      </c>
      <c r="AL35" s="30" t="s">
        <v>80</v>
      </c>
      <c r="AM35" s="105" t="s">
        <v>81</v>
      </c>
      <c r="AN35" s="105" t="s">
        <v>82</v>
      </c>
      <c r="AO35" s="105" t="s">
        <v>83</v>
      </c>
      <c r="AP35" s="30" t="s">
        <v>95</v>
      </c>
      <c r="AQ35" s="30" t="s">
        <v>80</v>
      </c>
      <c r="AR35" s="105" t="s">
        <v>81</v>
      </c>
      <c r="AS35" s="105" t="s">
        <v>82</v>
      </c>
      <c r="AT35" s="105" t="s">
        <v>83</v>
      </c>
      <c r="AU35" s="30" t="s">
        <v>95</v>
      </c>
    </row>
    <row r="36" spans="1:78" ht="10.8" thickBot="1">
      <c r="E36" s="107"/>
      <c r="F36" s="107"/>
      <c r="G36" s="107"/>
      <c r="H36" s="130">
        <v>45747</v>
      </c>
      <c r="I36" s="130">
        <v>45838</v>
      </c>
      <c r="J36" s="130">
        <v>45930</v>
      </c>
      <c r="K36" s="130">
        <v>46022</v>
      </c>
      <c r="L36" s="130">
        <f>K36</f>
        <v>46022</v>
      </c>
      <c r="M36" s="130">
        <f>EOMONTH(L36,3)</f>
        <v>46112</v>
      </c>
      <c r="N36" s="130">
        <f>EOMONTH(M36,3)</f>
        <v>46203</v>
      </c>
      <c r="O36" s="130">
        <f>EOMONTH(N36,3)</f>
        <v>46295</v>
      </c>
      <c r="P36" s="130">
        <f>EOMONTH(O36,3)</f>
        <v>46387</v>
      </c>
      <c r="Q36" s="130">
        <f>P36</f>
        <v>46387</v>
      </c>
      <c r="R36" s="130">
        <f>EOMONTH(Q36,3)</f>
        <v>46477</v>
      </c>
      <c r="S36" s="130">
        <f>EOMONTH(R36,3)</f>
        <v>46568</v>
      </c>
      <c r="T36" s="130">
        <f>EOMONTH(S36,3)</f>
        <v>46660</v>
      </c>
      <c r="U36" s="130">
        <f>EOMONTH(T36,3)</f>
        <v>46752</v>
      </c>
      <c r="V36" s="130">
        <f>U36</f>
        <v>46752</v>
      </c>
      <c r="W36" s="130">
        <f>EOMONTH(V36,3)</f>
        <v>46843</v>
      </c>
      <c r="X36" s="130">
        <f>EOMONTH(W36,3)</f>
        <v>46934</v>
      </c>
      <c r="Y36" s="130">
        <f>EOMONTH(X36,3)</f>
        <v>47026</v>
      </c>
      <c r="Z36" s="130">
        <f>EOMONTH(Y36,3)</f>
        <v>47118</v>
      </c>
      <c r="AA36" s="130">
        <f>Z36</f>
        <v>47118</v>
      </c>
      <c r="AB36" s="130">
        <f>EOMONTH(AA36,3)</f>
        <v>47208</v>
      </c>
      <c r="AC36" s="130">
        <f>EOMONTH(AB36,3)</f>
        <v>47299</v>
      </c>
      <c r="AD36" s="130">
        <f>EOMONTH(AC36,3)</f>
        <v>47391</v>
      </c>
      <c r="AE36" s="130">
        <f>EOMONTH(AD36,3)</f>
        <v>47483</v>
      </c>
      <c r="AF36" s="130">
        <f>AE36</f>
        <v>47483</v>
      </c>
      <c r="AG36" s="130">
        <f>EOMONTH(AF36,3)</f>
        <v>47573</v>
      </c>
      <c r="AH36" s="130">
        <f>EOMONTH(AG36,3)</f>
        <v>47664</v>
      </c>
      <c r="AI36" s="130">
        <f>EOMONTH(AH36,3)</f>
        <v>47756</v>
      </c>
      <c r="AJ36" s="130">
        <f>EOMONTH(AI36,3)</f>
        <v>47848</v>
      </c>
      <c r="AK36" s="130">
        <f>AJ36</f>
        <v>47848</v>
      </c>
      <c r="AL36" s="130">
        <f>EOMONTH(AK36,3)</f>
        <v>47938</v>
      </c>
      <c r="AM36" s="130">
        <f>EOMONTH(AL36,3)</f>
        <v>48029</v>
      </c>
      <c r="AN36" s="130">
        <f>EOMONTH(AM36,3)</f>
        <v>48121</v>
      </c>
      <c r="AO36" s="130">
        <f>EOMONTH(AN36,3)</f>
        <v>48213</v>
      </c>
      <c r="AP36" s="130">
        <f>AO36</f>
        <v>48213</v>
      </c>
      <c r="AQ36" s="130">
        <f>EOMONTH(AP36,3)</f>
        <v>48304</v>
      </c>
      <c r="AR36" s="130">
        <f>EOMONTH(AQ36,3)</f>
        <v>48395</v>
      </c>
      <c r="AS36" s="130">
        <f>EOMONTH(AR36,3)</f>
        <v>48487</v>
      </c>
      <c r="AT36" s="130">
        <f>EOMONTH(AS36,3)</f>
        <v>48579</v>
      </c>
      <c r="AU36" s="130">
        <f>AT36</f>
        <v>48579</v>
      </c>
    </row>
    <row r="37" spans="1:78">
      <c r="I37" s="142"/>
      <c r="J37" s="142"/>
      <c r="K37" s="142"/>
      <c r="L37" s="142"/>
      <c r="M37" s="142"/>
      <c r="N37" s="142"/>
      <c r="O37" s="142"/>
      <c r="P37" s="142"/>
      <c r="Q37" s="142"/>
      <c r="R37" s="142"/>
      <c r="S37" s="142"/>
      <c r="T37" s="142"/>
      <c r="U37" s="142"/>
      <c r="V37" s="142"/>
      <c r="W37" s="142"/>
      <c r="X37" s="142"/>
      <c r="Y37" s="142"/>
      <c r="Z37" s="142"/>
      <c r="AA37" s="142"/>
      <c r="AB37" s="142"/>
      <c r="AC37" s="142"/>
      <c r="AD37" s="142"/>
      <c r="AE37" s="142"/>
      <c r="AF37" s="142"/>
      <c r="AG37" s="142"/>
      <c r="AH37" s="142"/>
      <c r="AI37" s="142"/>
      <c r="AJ37" s="142"/>
      <c r="AK37" s="142"/>
      <c r="AL37" s="142"/>
      <c r="AM37" s="142"/>
      <c r="AN37" s="142"/>
      <c r="AO37" s="142"/>
      <c r="AP37" s="142"/>
      <c r="AQ37" s="142"/>
      <c r="AR37" s="142"/>
      <c r="AS37" s="142"/>
      <c r="AT37" s="142"/>
      <c r="AU37" s="142"/>
    </row>
    <row r="38" spans="1:78">
      <c r="C38" s="143" t="s">
        <v>3</v>
      </c>
      <c r="D38" s="71"/>
      <c r="E38" s="71"/>
      <c r="F38" s="71"/>
      <c r="G38" s="71"/>
      <c r="H38" s="144">
        <v>0.25</v>
      </c>
      <c r="I38" s="144">
        <v>0.25</v>
      </c>
      <c r="J38" s="144">
        <v>0.25</v>
      </c>
      <c r="K38" s="145">
        <v>0.25</v>
      </c>
      <c r="L38" s="146">
        <f t="shared" ref="L38:L45" si="16">SUM(H38:K38)</f>
        <v>1</v>
      </c>
      <c r="M38" s="147">
        <v>0.25</v>
      </c>
      <c r="N38" s="144">
        <v>0.25</v>
      </c>
      <c r="O38" s="144">
        <v>0.25</v>
      </c>
      <c r="P38" s="145">
        <v>0.25</v>
      </c>
      <c r="Q38" s="146">
        <f t="shared" ref="Q38:Q45" si="17">SUM(M38:P38)</f>
        <v>1</v>
      </c>
      <c r="R38" s="147">
        <v>0.25</v>
      </c>
      <c r="S38" s="144">
        <v>0.25</v>
      </c>
      <c r="T38" s="144">
        <v>0.25</v>
      </c>
      <c r="U38" s="145">
        <v>0.25</v>
      </c>
      <c r="V38" s="146">
        <f t="shared" ref="V38:V45" si="18">SUM(R38:U38)</f>
        <v>1</v>
      </c>
      <c r="W38" s="147">
        <v>0.25</v>
      </c>
      <c r="X38" s="144">
        <v>0.25</v>
      </c>
      <c r="Y38" s="144">
        <v>0.25</v>
      </c>
      <c r="Z38" s="145">
        <v>0.25</v>
      </c>
      <c r="AA38" s="146">
        <f t="shared" ref="AA38:AA45" si="19">SUM(W38:Z38)</f>
        <v>1</v>
      </c>
      <c r="AB38" s="147">
        <v>0.25</v>
      </c>
      <c r="AC38" s="144">
        <v>0.25</v>
      </c>
      <c r="AD38" s="144">
        <v>0.25</v>
      </c>
      <c r="AE38" s="145">
        <v>0.25</v>
      </c>
      <c r="AF38" s="146">
        <f t="shared" ref="AF38:AF45" si="20">SUM(AB38:AE38)</f>
        <v>1</v>
      </c>
      <c r="AG38" s="147">
        <v>0.25</v>
      </c>
      <c r="AH38" s="144">
        <v>0.25</v>
      </c>
      <c r="AI38" s="144">
        <v>0.25</v>
      </c>
      <c r="AJ38" s="145">
        <v>0.25</v>
      </c>
      <c r="AK38" s="146">
        <f t="shared" ref="AK38:AK45" si="21">SUM(AG38:AJ38)</f>
        <v>1</v>
      </c>
      <c r="AL38" s="147">
        <v>0.25</v>
      </c>
      <c r="AM38" s="144">
        <v>0.25</v>
      </c>
      <c r="AN38" s="144">
        <v>0.25</v>
      </c>
      <c r="AO38" s="145">
        <v>0.25</v>
      </c>
      <c r="AP38" s="146">
        <f t="shared" ref="AP38:AP45" si="22">SUM(AL38:AO38)</f>
        <v>1</v>
      </c>
      <c r="AQ38" s="147">
        <v>0.25</v>
      </c>
      <c r="AR38" s="144">
        <v>0.25</v>
      </c>
      <c r="AS38" s="144">
        <v>0.25</v>
      </c>
      <c r="AT38" s="145">
        <v>0.25</v>
      </c>
      <c r="AU38" s="146">
        <f t="shared" ref="AU38:AU45" si="23">SUM(AQ38:AT38)</f>
        <v>1</v>
      </c>
    </row>
    <row r="39" spans="1:78">
      <c r="C39" s="37" t="s">
        <v>1</v>
      </c>
      <c r="E39" s="148"/>
      <c r="F39" s="148"/>
      <c r="G39" s="149"/>
      <c r="H39" s="148">
        <v>0.25</v>
      </c>
      <c r="I39" s="148">
        <v>0.25</v>
      </c>
      <c r="J39" s="148">
        <v>0.25</v>
      </c>
      <c r="K39" s="150">
        <v>0.25</v>
      </c>
      <c r="L39" s="151">
        <f t="shared" si="16"/>
        <v>1</v>
      </c>
      <c r="M39" s="152">
        <v>0.25</v>
      </c>
      <c r="N39" s="148">
        <v>0.25</v>
      </c>
      <c r="O39" s="148">
        <v>0.25</v>
      </c>
      <c r="P39" s="150">
        <v>0.25</v>
      </c>
      <c r="Q39" s="151">
        <f t="shared" si="17"/>
        <v>1</v>
      </c>
      <c r="R39" s="152">
        <v>0.25</v>
      </c>
      <c r="S39" s="148">
        <v>0.25</v>
      </c>
      <c r="T39" s="148">
        <v>0.25</v>
      </c>
      <c r="U39" s="150">
        <v>0.25</v>
      </c>
      <c r="V39" s="151">
        <f t="shared" si="18"/>
        <v>1</v>
      </c>
      <c r="W39" s="152">
        <v>0.25</v>
      </c>
      <c r="X39" s="148">
        <v>0.25</v>
      </c>
      <c r="Y39" s="148">
        <v>0.25</v>
      </c>
      <c r="Z39" s="150">
        <v>0.25</v>
      </c>
      <c r="AA39" s="151">
        <f t="shared" si="19"/>
        <v>1</v>
      </c>
      <c r="AB39" s="152">
        <v>0.25</v>
      </c>
      <c r="AC39" s="148">
        <v>0.25</v>
      </c>
      <c r="AD39" s="148">
        <v>0.25</v>
      </c>
      <c r="AE39" s="150">
        <v>0.25</v>
      </c>
      <c r="AF39" s="151">
        <f t="shared" si="20"/>
        <v>1</v>
      </c>
      <c r="AG39" s="152">
        <v>0.25</v>
      </c>
      <c r="AH39" s="148">
        <v>0.25</v>
      </c>
      <c r="AI39" s="148">
        <v>0.25</v>
      </c>
      <c r="AJ39" s="150">
        <v>0.25</v>
      </c>
      <c r="AK39" s="151">
        <f t="shared" si="21"/>
        <v>1</v>
      </c>
      <c r="AL39" s="152">
        <v>0.25</v>
      </c>
      <c r="AM39" s="148">
        <v>0.25</v>
      </c>
      <c r="AN39" s="148">
        <v>0.25</v>
      </c>
      <c r="AO39" s="150">
        <v>0.25</v>
      </c>
      <c r="AP39" s="151">
        <f t="shared" si="22"/>
        <v>1</v>
      </c>
      <c r="AQ39" s="152">
        <v>0.25</v>
      </c>
      <c r="AR39" s="148">
        <v>0.25</v>
      </c>
      <c r="AS39" s="148">
        <v>0.25</v>
      </c>
      <c r="AT39" s="150">
        <v>0.25</v>
      </c>
      <c r="AU39" s="151">
        <f t="shared" si="23"/>
        <v>1</v>
      </c>
    </row>
    <row r="40" spans="1:78">
      <c r="C40" s="37" t="s">
        <v>96</v>
      </c>
      <c r="E40" s="148"/>
      <c r="F40" s="148"/>
      <c r="G40" s="149"/>
      <c r="H40" s="148">
        <v>0.25</v>
      </c>
      <c r="I40" s="148">
        <v>0.25</v>
      </c>
      <c r="J40" s="148">
        <v>0.25</v>
      </c>
      <c r="K40" s="150">
        <v>0.25</v>
      </c>
      <c r="L40" s="151">
        <f t="shared" si="16"/>
        <v>1</v>
      </c>
      <c r="M40" s="152">
        <v>0.25</v>
      </c>
      <c r="N40" s="148">
        <v>0.25</v>
      </c>
      <c r="O40" s="148">
        <v>0.25</v>
      </c>
      <c r="P40" s="150">
        <v>0.25</v>
      </c>
      <c r="Q40" s="151">
        <f t="shared" si="17"/>
        <v>1</v>
      </c>
      <c r="R40" s="152">
        <v>0.25</v>
      </c>
      <c r="S40" s="148">
        <v>0.25</v>
      </c>
      <c r="T40" s="148">
        <v>0.25</v>
      </c>
      <c r="U40" s="150">
        <v>0.25</v>
      </c>
      <c r="V40" s="151">
        <f t="shared" si="18"/>
        <v>1</v>
      </c>
      <c r="W40" s="152">
        <v>0.25</v>
      </c>
      <c r="X40" s="148">
        <v>0.25</v>
      </c>
      <c r="Y40" s="148">
        <v>0.25</v>
      </c>
      <c r="Z40" s="150">
        <v>0.25</v>
      </c>
      <c r="AA40" s="151">
        <f t="shared" si="19"/>
        <v>1</v>
      </c>
      <c r="AB40" s="152">
        <v>0.25</v>
      </c>
      <c r="AC40" s="148">
        <v>0.25</v>
      </c>
      <c r="AD40" s="148">
        <v>0.25</v>
      </c>
      <c r="AE40" s="150">
        <v>0.25</v>
      </c>
      <c r="AF40" s="151">
        <f t="shared" si="20"/>
        <v>1</v>
      </c>
      <c r="AG40" s="152">
        <v>0.25</v>
      </c>
      <c r="AH40" s="148">
        <v>0.25</v>
      </c>
      <c r="AI40" s="148">
        <v>0.25</v>
      </c>
      <c r="AJ40" s="150">
        <v>0.25</v>
      </c>
      <c r="AK40" s="151">
        <f t="shared" si="21"/>
        <v>1</v>
      </c>
      <c r="AL40" s="152">
        <v>0.25</v>
      </c>
      <c r="AM40" s="148">
        <v>0.25</v>
      </c>
      <c r="AN40" s="148">
        <v>0.25</v>
      </c>
      <c r="AO40" s="150">
        <v>0.25</v>
      </c>
      <c r="AP40" s="151">
        <f t="shared" si="22"/>
        <v>1</v>
      </c>
      <c r="AQ40" s="152">
        <v>0.25</v>
      </c>
      <c r="AR40" s="148">
        <v>0.25</v>
      </c>
      <c r="AS40" s="148">
        <v>0.25</v>
      </c>
      <c r="AT40" s="150">
        <v>0.25</v>
      </c>
      <c r="AU40" s="151">
        <f t="shared" si="23"/>
        <v>1</v>
      </c>
    </row>
    <row r="41" spans="1:78">
      <c r="C41" s="37" t="s">
        <v>97</v>
      </c>
      <c r="E41" s="148"/>
      <c r="F41" s="148"/>
      <c r="G41" s="149"/>
      <c r="H41" s="148">
        <v>0.25</v>
      </c>
      <c r="I41" s="148">
        <v>0.25</v>
      </c>
      <c r="J41" s="148">
        <v>0.25</v>
      </c>
      <c r="K41" s="150">
        <v>0.25</v>
      </c>
      <c r="L41" s="151">
        <f t="shared" si="16"/>
        <v>1</v>
      </c>
      <c r="M41" s="152">
        <v>0.25</v>
      </c>
      <c r="N41" s="148">
        <v>0.25</v>
      </c>
      <c r="O41" s="148">
        <v>0.25</v>
      </c>
      <c r="P41" s="150">
        <v>0.25</v>
      </c>
      <c r="Q41" s="151">
        <f t="shared" si="17"/>
        <v>1</v>
      </c>
      <c r="R41" s="152">
        <v>0.25</v>
      </c>
      <c r="S41" s="148">
        <v>0.25</v>
      </c>
      <c r="T41" s="148">
        <v>0.25</v>
      </c>
      <c r="U41" s="150">
        <v>0.25</v>
      </c>
      <c r="V41" s="151">
        <f t="shared" si="18"/>
        <v>1</v>
      </c>
      <c r="W41" s="152">
        <v>0.25</v>
      </c>
      <c r="X41" s="148">
        <v>0.25</v>
      </c>
      <c r="Y41" s="148">
        <v>0.25</v>
      </c>
      <c r="Z41" s="150">
        <v>0.25</v>
      </c>
      <c r="AA41" s="151">
        <f t="shared" si="19"/>
        <v>1</v>
      </c>
      <c r="AB41" s="152">
        <v>0.25</v>
      </c>
      <c r="AC41" s="148">
        <v>0.25</v>
      </c>
      <c r="AD41" s="148">
        <v>0.25</v>
      </c>
      <c r="AE41" s="150">
        <v>0.25</v>
      </c>
      <c r="AF41" s="151">
        <f t="shared" si="20"/>
        <v>1</v>
      </c>
      <c r="AG41" s="152">
        <v>0.25</v>
      </c>
      <c r="AH41" s="148">
        <v>0.25</v>
      </c>
      <c r="AI41" s="148">
        <v>0.25</v>
      </c>
      <c r="AJ41" s="150">
        <v>0.25</v>
      </c>
      <c r="AK41" s="151">
        <f t="shared" si="21"/>
        <v>1</v>
      </c>
      <c r="AL41" s="152">
        <v>0.25</v>
      </c>
      <c r="AM41" s="148">
        <v>0.25</v>
      </c>
      <c r="AN41" s="148">
        <v>0.25</v>
      </c>
      <c r="AO41" s="150">
        <v>0.25</v>
      </c>
      <c r="AP41" s="151">
        <f t="shared" si="22"/>
        <v>1</v>
      </c>
      <c r="AQ41" s="152">
        <v>0.25</v>
      </c>
      <c r="AR41" s="148">
        <v>0.25</v>
      </c>
      <c r="AS41" s="148">
        <v>0.25</v>
      </c>
      <c r="AT41" s="150">
        <v>0.25</v>
      </c>
      <c r="AU41" s="151">
        <f t="shared" si="23"/>
        <v>1</v>
      </c>
    </row>
    <row r="42" spans="1:78">
      <c r="C42" s="37" t="s">
        <v>11</v>
      </c>
      <c r="E42" s="148"/>
      <c r="F42" s="148"/>
      <c r="G42" s="149"/>
      <c r="H42" s="148">
        <v>0.25</v>
      </c>
      <c r="I42" s="148">
        <v>0.25</v>
      </c>
      <c r="J42" s="148">
        <v>0.25</v>
      </c>
      <c r="K42" s="150">
        <v>0.25</v>
      </c>
      <c r="L42" s="151">
        <f t="shared" si="16"/>
        <v>1</v>
      </c>
      <c r="M42" s="152">
        <v>0.25</v>
      </c>
      <c r="N42" s="148">
        <v>0.25</v>
      </c>
      <c r="O42" s="148">
        <v>0.25</v>
      </c>
      <c r="P42" s="150">
        <v>0.25</v>
      </c>
      <c r="Q42" s="151">
        <f t="shared" si="17"/>
        <v>1</v>
      </c>
      <c r="R42" s="152">
        <v>0.25</v>
      </c>
      <c r="S42" s="148">
        <v>0.25</v>
      </c>
      <c r="T42" s="148">
        <v>0.25</v>
      </c>
      <c r="U42" s="150">
        <v>0.25</v>
      </c>
      <c r="V42" s="151">
        <f t="shared" si="18"/>
        <v>1</v>
      </c>
      <c r="W42" s="152">
        <v>0.25</v>
      </c>
      <c r="X42" s="148">
        <v>0.25</v>
      </c>
      <c r="Y42" s="148">
        <v>0.25</v>
      </c>
      <c r="Z42" s="150">
        <v>0.25</v>
      </c>
      <c r="AA42" s="151">
        <f t="shared" si="19"/>
        <v>1</v>
      </c>
      <c r="AB42" s="152">
        <v>0.25</v>
      </c>
      <c r="AC42" s="148">
        <v>0.25</v>
      </c>
      <c r="AD42" s="148">
        <v>0.25</v>
      </c>
      <c r="AE42" s="150">
        <v>0.25</v>
      </c>
      <c r="AF42" s="151">
        <f t="shared" si="20"/>
        <v>1</v>
      </c>
      <c r="AG42" s="152">
        <v>0.25</v>
      </c>
      <c r="AH42" s="148">
        <v>0.25</v>
      </c>
      <c r="AI42" s="148">
        <v>0.25</v>
      </c>
      <c r="AJ42" s="150">
        <v>0.25</v>
      </c>
      <c r="AK42" s="151">
        <f t="shared" si="21"/>
        <v>1</v>
      </c>
      <c r="AL42" s="152">
        <v>0.25</v>
      </c>
      <c r="AM42" s="148">
        <v>0.25</v>
      </c>
      <c r="AN42" s="148">
        <v>0.25</v>
      </c>
      <c r="AO42" s="150">
        <v>0.25</v>
      </c>
      <c r="AP42" s="151">
        <f t="shared" si="22"/>
        <v>1</v>
      </c>
      <c r="AQ42" s="152">
        <v>0.25</v>
      </c>
      <c r="AR42" s="148">
        <v>0.25</v>
      </c>
      <c r="AS42" s="148">
        <v>0.25</v>
      </c>
      <c r="AT42" s="150">
        <v>0.25</v>
      </c>
      <c r="AU42" s="151">
        <f t="shared" si="23"/>
        <v>1</v>
      </c>
    </row>
    <row r="43" spans="1:78">
      <c r="C43" s="37" t="s">
        <v>98</v>
      </c>
      <c r="E43" s="148"/>
      <c r="F43" s="148"/>
      <c r="G43" s="149"/>
      <c r="H43" s="148">
        <v>0.25</v>
      </c>
      <c r="I43" s="148">
        <v>0.25</v>
      </c>
      <c r="J43" s="148">
        <v>0.25</v>
      </c>
      <c r="K43" s="150">
        <v>0.25</v>
      </c>
      <c r="L43" s="151">
        <f t="shared" si="16"/>
        <v>1</v>
      </c>
      <c r="M43" s="152">
        <v>0.25</v>
      </c>
      <c r="N43" s="148">
        <v>0.25</v>
      </c>
      <c r="O43" s="148">
        <v>0.25</v>
      </c>
      <c r="P43" s="150">
        <v>0.25</v>
      </c>
      <c r="Q43" s="151">
        <f t="shared" si="17"/>
        <v>1</v>
      </c>
      <c r="R43" s="152">
        <v>0.25</v>
      </c>
      <c r="S43" s="148">
        <v>0.25</v>
      </c>
      <c r="T43" s="148">
        <v>0.25</v>
      </c>
      <c r="U43" s="150">
        <v>0.25</v>
      </c>
      <c r="V43" s="151">
        <f t="shared" si="18"/>
        <v>1</v>
      </c>
      <c r="W43" s="152">
        <v>0.25</v>
      </c>
      <c r="X43" s="148">
        <v>0.25</v>
      </c>
      <c r="Y43" s="148">
        <v>0.25</v>
      </c>
      <c r="Z43" s="150">
        <v>0.25</v>
      </c>
      <c r="AA43" s="151">
        <f t="shared" si="19"/>
        <v>1</v>
      </c>
      <c r="AB43" s="152">
        <v>0.25</v>
      </c>
      <c r="AC43" s="148">
        <v>0.25</v>
      </c>
      <c r="AD43" s="148">
        <v>0.25</v>
      </c>
      <c r="AE43" s="150">
        <v>0.25</v>
      </c>
      <c r="AF43" s="151">
        <f t="shared" si="20"/>
        <v>1</v>
      </c>
      <c r="AG43" s="152">
        <v>0.25</v>
      </c>
      <c r="AH43" s="148">
        <v>0.25</v>
      </c>
      <c r="AI43" s="148">
        <v>0.25</v>
      </c>
      <c r="AJ43" s="150">
        <v>0.25</v>
      </c>
      <c r="AK43" s="151">
        <f t="shared" si="21"/>
        <v>1</v>
      </c>
      <c r="AL43" s="152">
        <v>0.25</v>
      </c>
      <c r="AM43" s="148">
        <v>0.25</v>
      </c>
      <c r="AN43" s="148">
        <v>0.25</v>
      </c>
      <c r="AO43" s="150">
        <v>0.25</v>
      </c>
      <c r="AP43" s="151">
        <f t="shared" si="22"/>
        <v>1</v>
      </c>
      <c r="AQ43" s="152">
        <v>0.25</v>
      </c>
      <c r="AR43" s="148">
        <v>0.25</v>
      </c>
      <c r="AS43" s="148">
        <v>0.25</v>
      </c>
      <c r="AT43" s="150">
        <v>0.25</v>
      </c>
      <c r="AU43" s="151">
        <f t="shared" si="23"/>
        <v>1</v>
      </c>
    </row>
    <row r="44" spans="1:78">
      <c r="C44" s="37" t="s">
        <v>240</v>
      </c>
      <c r="E44" s="148"/>
      <c r="F44" s="148"/>
      <c r="G44" s="149"/>
      <c r="H44" s="148">
        <v>0.25</v>
      </c>
      <c r="I44" s="148">
        <v>0.25</v>
      </c>
      <c r="J44" s="148">
        <v>0.25</v>
      </c>
      <c r="K44" s="150">
        <v>0.25</v>
      </c>
      <c r="L44" s="151">
        <f>SUM(H44:K44)</f>
        <v>1</v>
      </c>
      <c r="M44" s="152">
        <v>0.25</v>
      </c>
      <c r="N44" s="148">
        <v>0.25</v>
      </c>
      <c r="O44" s="148">
        <v>0.25</v>
      </c>
      <c r="P44" s="150">
        <v>0.25</v>
      </c>
      <c r="Q44" s="151">
        <f>SUM(M44:P44)</f>
        <v>1</v>
      </c>
      <c r="R44" s="152">
        <v>0.25</v>
      </c>
      <c r="S44" s="148">
        <v>0.25</v>
      </c>
      <c r="T44" s="148">
        <v>0.25</v>
      </c>
      <c r="U44" s="150">
        <v>0.25</v>
      </c>
      <c r="V44" s="151">
        <f>SUM(R44:U44)</f>
        <v>1</v>
      </c>
      <c r="W44" s="152">
        <v>0.25</v>
      </c>
      <c r="X44" s="148">
        <v>0.25</v>
      </c>
      <c r="Y44" s="148">
        <v>0.25</v>
      </c>
      <c r="Z44" s="150">
        <v>0.25</v>
      </c>
      <c r="AA44" s="151">
        <f>SUM(W44:Z44)</f>
        <v>1</v>
      </c>
      <c r="AB44" s="152">
        <v>0.25</v>
      </c>
      <c r="AC44" s="148">
        <v>0.25</v>
      </c>
      <c r="AD44" s="148">
        <v>0.25</v>
      </c>
      <c r="AE44" s="150">
        <v>0.25</v>
      </c>
      <c r="AF44" s="151">
        <f>SUM(AB44:AE44)</f>
        <v>1</v>
      </c>
      <c r="AG44" s="152">
        <v>0.25</v>
      </c>
      <c r="AH44" s="148">
        <v>0.25</v>
      </c>
      <c r="AI44" s="148">
        <v>0.25</v>
      </c>
      <c r="AJ44" s="150">
        <v>0.25</v>
      </c>
      <c r="AK44" s="151">
        <f>SUM(AG44:AJ44)</f>
        <v>1</v>
      </c>
      <c r="AL44" s="152">
        <v>0.25</v>
      </c>
      <c r="AM44" s="148">
        <v>0.25</v>
      </c>
      <c r="AN44" s="148">
        <v>0.25</v>
      </c>
      <c r="AO44" s="150">
        <v>0.25</v>
      </c>
      <c r="AP44" s="151">
        <f>SUM(AL44:AO44)</f>
        <v>1</v>
      </c>
      <c r="AQ44" s="152">
        <v>0.25</v>
      </c>
      <c r="AR44" s="148">
        <v>0.25</v>
      </c>
      <c r="AS44" s="148">
        <v>0.25</v>
      </c>
      <c r="AT44" s="150">
        <v>0.25</v>
      </c>
      <c r="AU44" s="151">
        <f>SUM(AQ44:AT44)</f>
        <v>1</v>
      </c>
    </row>
    <row r="45" spans="1:78">
      <c r="C45" s="153" t="s">
        <v>99</v>
      </c>
      <c r="D45" s="74"/>
      <c r="E45" s="74"/>
      <c r="F45" s="74"/>
      <c r="G45" s="74"/>
      <c r="H45" s="154">
        <v>0.25</v>
      </c>
      <c r="I45" s="154">
        <v>0.25</v>
      </c>
      <c r="J45" s="154">
        <v>0.25</v>
      </c>
      <c r="K45" s="155">
        <v>0.25</v>
      </c>
      <c r="L45" s="156">
        <f t="shared" si="16"/>
        <v>1</v>
      </c>
      <c r="M45" s="157">
        <v>0.25</v>
      </c>
      <c r="N45" s="154">
        <v>0.25</v>
      </c>
      <c r="O45" s="154">
        <v>0.25</v>
      </c>
      <c r="P45" s="155">
        <v>0.25</v>
      </c>
      <c r="Q45" s="156">
        <f t="shared" si="17"/>
        <v>1</v>
      </c>
      <c r="R45" s="157">
        <v>0.25</v>
      </c>
      <c r="S45" s="154">
        <v>0.25</v>
      </c>
      <c r="T45" s="154">
        <v>0.25</v>
      </c>
      <c r="U45" s="155">
        <v>0.25</v>
      </c>
      <c r="V45" s="156">
        <f t="shared" si="18"/>
        <v>1</v>
      </c>
      <c r="W45" s="157">
        <v>0.25</v>
      </c>
      <c r="X45" s="154">
        <v>0.25</v>
      </c>
      <c r="Y45" s="154">
        <v>0.25</v>
      </c>
      <c r="Z45" s="155">
        <v>0.25</v>
      </c>
      <c r="AA45" s="156">
        <f t="shared" si="19"/>
        <v>1</v>
      </c>
      <c r="AB45" s="157">
        <v>0.25</v>
      </c>
      <c r="AC45" s="154">
        <v>0.25</v>
      </c>
      <c r="AD45" s="154">
        <v>0.25</v>
      </c>
      <c r="AE45" s="155">
        <v>0.25</v>
      </c>
      <c r="AF45" s="156">
        <f t="shared" si="20"/>
        <v>1</v>
      </c>
      <c r="AG45" s="157">
        <v>0.25</v>
      </c>
      <c r="AH45" s="154">
        <v>0.25</v>
      </c>
      <c r="AI45" s="154">
        <v>0.25</v>
      </c>
      <c r="AJ45" s="155">
        <v>0.25</v>
      </c>
      <c r="AK45" s="156">
        <f t="shared" si="21"/>
        <v>1</v>
      </c>
      <c r="AL45" s="157">
        <v>0.25</v>
      </c>
      <c r="AM45" s="154">
        <v>0.25</v>
      </c>
      <c r="AN45" s="154">
        <v>0.25</v>
      </c>
      <c r="AO45" s="155">
        <v>0.25</v>
      </c>
      <c r="AP45" s="156">
        <f t="shared" si="22"/>
        <v>1</v>
      </c>
      <c r="AQ45" s="157">
        <v>0.25</v>
      </c>
      <c r="AR45" s="154">
        <v>0.25</v>
      </c>
      <c r="AS45" s="154">
        <v>0.25</v>
      </c>
      <c r="AT45" s="155">
        <v>0.25</v>
      </c>
      <c r="AU45" s="156">
        <f t="shared" si="23"/>
        <v>1</v>
      </c>
    </row>
    <row r="46" spans="1:78"/>
    <row r="47" spans="1:78" s="139" customFormat="1">
      <c r="B47" s="140"/>
      <c r="C47" s="141" t="s">
        <v>21</v>
      </c>
      <c r="D47" s="141"/>
      <c r="E47" s="141"/>
      <c r="F47" s="141"/>
      <c r="G47" s="141"/>
      <c r="H47" s="141"/>
      <c r="I47" s="141"/>
      <c r="J47" s="141"/>
      <c r="K47" s="141"/>
      <c r="L47" s="141"/>
      <c r="M47" s="141"/>
      <c r="N47" s="141"/>
      <c r="O47" s="141"/>
      <c r="P47" s="141"/>
      <c r="Q47" s="141"/>
      <c r="R47" s="141"/>
      <c r="S47" s="141"/>
      <c r="T47" s="141"/>
      <c r="U47" s="141"/>
      <c r="V47" s="141"/>
      <c r="W47" s="141"/>
      <c r="X47" s="141"/>
      <c r="Y47" s="141"/>
      <c r="Z47" s="141"/>
      <c r="AA47" s="141"/>
      <c r="AB47" s="141"/>
      <c r="AC47" s="141"/>
      <c r="AD47" s="141"/>
      <c r="AE47" s="141"/>
      <c r="AF47" s="141"/>
      <c r="AG47" s="141"/>
      <c r="AH47" s="141"/>
      <c r="AI47" s="141"/>
      <c r="AJ47" s="141"/>
      <c r="AK47" s="141"/>
      <c r="AL47" s="141"/>
      <c r="AM47" s="141"/>
      <c r="AN47" s="141"/>
      <c r="AO47" s="141"/>
      <c r="AP47" s="141"/>
      <c r="AQ47" s="141"/>
      <c r="AR47" s="141"/>
      <c r="AS47" s="141"/>
      <c r="AT47" s="141"/>
      <c r="AU47" s="141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23"/>
      <c r="BW47" s="23"/>
      <c r="BX47" s="23"/>
      <c r="BY47" s="23"/>
      <c r="BZ47" s="23"/>
    </row>
    <row r="48" spans="1:78" ht="10.8" thickBot="1"/>
    <row r="49" spans="1:81" ht="10.8" thickBot="1">
      <c r="A49" s="18"/>
      <c r="B49" s="103"/>
      <c r="C49" s="45"/>
      <c r="D49" s="45"/>
      <c r="E49" s="104"/>
      <c r="F49" s="104"/>
      <c r="G49" s="104"/>
      <c r="H49" s="30" t="s">
        <v>80</v>
      </c>
      <c r="I49" s="105" t="s">
        <v>81</v>
      </c>
      <c r="J49" s="105" t="s">
        <v>82</v>
      </c>
      <c r="K49" s="106" t="s">
        <v>77</v>
      </c>
      <c r="L49" s="30" t="s">
        <v>95</v>
      </c>
      <c r="M49" s="30" t="s">
        <v>80</v>
      </c>
      <c r="N49" s="105" t="s">
        <v>81</v>
      </c>
      <c r="O49" s="105" t="s">
        <v>82</v>
      </c>
      <c r="P49" s="105" t="s">
        <v>83</v>
      </c>
      <c r="Q49" s="30" t="s">
        <v>95</v>
      </c>
      <c r="R49" s="30" t="s">
        <v>80</v>
      </c>
      <c r="S49" s="105" t="s">
        <v>81</v>
      </c>
      <c r="T49" s="105" t="s">
        <v>82</v>
      </c>
      <c r="U49" s="105" t="s">
        <v>83</v>
      </c>
      <c r="V49" s="30" t="s">
        <v>95</v>
      </c>
      <c r="W49" s="30" t="s">
        <v>80</v>
      </c>
      <c r="X49" s="105" t="s">
        <v>81</v>
      </c>
      <c r="Y49" s="105" t="s">
        <v>82</v>
      </c>
      <c r="Z49" s="105" t="s">
        <v>83</v>
      </c>
      <c r="AA49" s="30" t="s">
        <v>95</v>
      </c>
      <c r="AB49" s="30" t="s">
        <v>80</v>
      </c>
      <c r="AC49" s="105" t="s">
        <v>81</v>
      </c>
      <c r="AD49" s="105" t="s">
        <v>82</v>
      </c>
      <c r="AE49" s="105" t="s">
        <v>83</v>
      </c>
      <c r="AF49" s="30" t="s">
        <v>95</v>
      </c>
      <c r="AG49" s="30" t="s">
        <v>80</v>
      </c>
      <c r="AH49" s="105" t="s">
        <v>81</v>
      </c>
      <c r="AI49" s="105" t="s">
        <v>82</v>
      </c>
      <c r="AJ49" s="105" t="s">
        <v>83</v>
      </c>
      <c r="AK49" s="30" t="s">
        <v>95</v>
      </c>
      <c r="AL49" s="30" t="s">
        <v>80</v>
      </c>
      <c r="AM49" s="105" t="s">
        <v>81</v>
      </c>
      <c r="AN49" s="105" t="s">
        <v>82</v>
      </c>
      <c r="AO49" s="105" t="s">
        <v>83</v>
      </c>
      <c r="AP49" s="30" t="s">
        <v>95</v>
      </c>
      <c r="AQ49" s="30" t="s">
        <v>80</v>
      </c>
      <c r="AR49" s="105" t="s">
        <v>81</v>
      </c>
      <c r="AS49" s="105" t="s">
        <v>82</v>
      </c>
      <c r="AT49" s="105" t="s">
        <v>83</v>
      </c>
      <c r="AU49" s="30" t="s">
        <v>95</v>
      </c>
    </row>
    <row r="50" spans="1:81" ht="10.8" thickBot="1">
      <c r="E50" s="107"/>
      <c r="F50" s="107"/>
      <c r="G50" s="107"/>
      <c r="H50" s="130">
        <v>45747</v>
      </c>
      <c r="I50" s="130">
        <v>45838</v>
      </c>
      <c r="J50" s="130">
        <v>45930</v>
      </c>
      <c r="K50" s="130">
        <v>46022</v>
      </c>
      <c r="L50" s="130">
        <f>K50</f>
        <v>46022</v>
      </c>
      <c r="M50" s="130">
        <f>EOMONTH(L50,3)</f>
        <v>46112</v>
      </c>
      <c r="N50" s="130">
        <f>EOMONTH(M50,3)</f>
        <v>46203</v>
      </c>
      <c r="O50" s="130">
        <f>EOMONTH(N50,3)</f>
        <v>46295</v>
      </c>
      <c r="P50" s="130">
        <f>EOMONTH(O50,3)</f>
        <v>46387</v>
      </c>
      <c r="Q50" s="130">
        <f>P50</f>
        <v>46387</v>
      </c>
      <c r="R50" s="130">
        <f>EOMONTH(Q50,3)</f>
        <v>46477</v>
      </c>
      <c r="S50" s="130">
        <f>EOMONTH(R50,3)</f>
        <v>46568</v>
      </c>
      <c r="T50" s="130">
        <f>EOMONTH(S50,3)</f>
        <v>46660</v>
      </c>
      <c r="U50" s="130">
        <f>EOMONTH(T50,3)</f>
        <v>46752</v>
      </c>
      <c r="V50" s="130">
        <f>U50</f>
        <v>46752</v>
      </c>
      <c r="W50" s="130">
        <f>EOMONTH(V50,3)</f>
        <v>46843</v>
      </c>
      <c r="X50" s="130">
        <f>EOMONTH(W50,3)</f>
        <v>46934</v>
      </c>
      <c r="Y50" s="130">
        <f>EOMONTH(X50,3)</f>
        <v>47026</v>
      </c>
      <c r="Z50" s="130">
        <f>EOMONTH(Y50,3)</f>
        <v>47118</v>
      </c>
      <c r="AA50" s="130">
        <f>Z50</f>
        <v>47118</v>
      </c>
      <c r="AB50" s="130">
        <f>EOMONTH(AA50,3)</f>
        <v>47208</v>
      </c>
      <c r="AC50" s="130">
        <f>EOMONTH(AB50,3)</f>
        <v>47299</v>
      </c>
      <c r="AD50" s="130">
        <f>EOMONTH(AC50,3)</f>
        <v>47391</v>
      </c>
      <c r="AE50" s="130">
        <f>EOMONTH(AD50,3)</f>
        <v>47483</v>
      </c>
      <c r="AF50" s="130">
        <f>AE50</f>
        <v>47483</v>
      </c>
      <c r="AG50" s="130">
        <f>EOMONTH(AF50,3)</f>
        <v>47573</v>
      </c>
      <c r="AH50" s="130">
        <f>EOMONTH(AG50,3)</f>
        <v>47664</v>
      </c>
      <c r="AI50" s="130">
        <f>EOMONTH(AH50,3)</f>
        <v>47756</v>
      </c>
      <c r="AJ50" s="130">
        <f>EOMONTH(AI50,3)</f>
        <v>47848</v>
      </c>
      <c r="AK50" s="130">
        <f>AJ50</f>
        <v>47848</v>
      </c>
      <c r="AL50" s="130">
        <f>EOMONTH(AK50,3)</f>
        <v>47938</v>
      </c>
      <c r="AM50" s="130">
        <f>EOMONTH(AL50,3)</f>
        <v>48029</v>
      </c>
      <c r="AN50" s="130">
        <f>EOMONTH(AM50,3)</f>
        <v>48121</v>
      </c>
      <c r="AO50" s="130">
        <f>EOMONTH(AN50,3)</f>
        <v>48213</v>
      </c>
      <c r="AP50" s="130">
        <f>AO50</f>
        <v>48213</v>
      </c>
      <c r="AQ50" s="130">
        <f>EOMONTH(AP50,3)</f>
        <v>48304</v>
      </c>
      <c r="AR50" s="130">
        <f>EOMONTH(AQ50,3)</f>
        <v>48395</v>
      </c>
      <c r="AS50" s="130">
        <f>EOMONTH(AR50,3)</f>
        <v>48487</v>
      </c>
      <c r="AT50" s="130">
        <f>EOMONTH(AS50,3)</f>
        <v>48579</v>
      </c>
      <c r="AU50" s="130">
        <f>AT50</f>
        <v>48579</v>
      </c>
    </row>
    <row r="51" spans="1:81">
      <c r="I51" s="142"/>
      <c r="J51" s="142"/>
      <c r="K51" s="142"/>
      <c r="L51" s="142"/>
      <c r="M51" s="142"/>
      <c r="N51" s="142"/>
      <c r="O51" s="142"/>
      <c r="P51" s="142"/>
      <c r="Q51" s="142"/>
      <c r="R51" s="142"/>
      <c r="S51" s="142"/>
      <c r="T51" s="142"/>
      <c r="U51" s="142"/>
      <c r="V51" s="142"/>
      <c r="W51" s="142"/>
      <c r="X51" s="142"/>
      <c r="Y51" s="142"/>
      <c r="Z51" s="142"/>
      <c r="AA51" s="142"/>
      <c r="AB51" s="142"/>
      <c r="AC51" s="142"/>
      <c r="AD51" s="142"/>
      <c r="AE51" s="142"/>
      <c r="AF51" s="142"/>
      <c r="AG51" s="142"/>
      <c r="AH51" s="142"/>
      <c r="AI51" s="142"/>
      <c r="AJ51" s="142"/>
      <c r="AK51" s="142"/>
      <c r="AL51" s="142"/>
      <c r="AM51" s="142"/>
      <c r="AN51" s="142"/>
      <c r="AO51" s="142"/>
      <c r="AP51" s="142"/>
      <c r="AQ51" s="142"/>
      <c r="AR51" s="142"/>
      <c r="AS51" s="142"/>
      <c r="AT51" s="142"/>
      <c r="AU51" s="142"/>
    </row>
    <row r="52" spans="1:81" s="27" customFormat="1">
      <c r="C52" s="158" t="s">
        <v>7</v>
      </c>
      <c r="D52" s="71"/>
      <c r="E52" s="71"/>
      <c r="F52" s="71"/>
      <c r="G52" s="71"/>
      <c r="H52" s="159">
        <f>L52*H38</f>
        <v>66.917314037063178</v>
      </c>
      <c r="I52" s="159">
        <f>L52*I38</f>
        <v>66.917314037063178</v>
      </c>
      <c r="J52" s="159">
        <f>L52*J38</f>
        <v>66.917314037063178</v>
      </c>
      <c r="K52" s="159">
        <f>L52*K38</f>
        <v>66.917314037063178</v>
      </c>
      <c r="L52" s="160">
        <f>'Active Case'!F9</f>
        <v>267.66925614825271</v>
      </c>
      <c r="M52" s="159">
        <f>Q52*M38</f>
        <v>75.159245122899677</v>
      </c>
      <c r="N52" s="159">
        <f>Q52*N38</f>
        <v>75.159245122899677</v>
      </c>
      <c r="O52" s="159">
        <f>Q52*O38</f>
        <v>75.159245122899677</v>
      </c>
      <c r="P52" s="159">
        <f>Q52*P38</f>
        <v>75.159245122899677</v>
      </c>
      <c r="Q52" s="160">
        <f>'Active Case'!G9</f>
        <v>300.63698049159871</v>
      </c>
      <c r="R52" s="159">
        <f>V52*R38</f>
        <v>86.094911254022676</v>
      </c>
      <c r="S52" s="159">
        <f>V52*S38</f>
        <v>86.094911254022676</v>
      </c>
      <c r="T52" s="159">
        <f>V52*T38</f>
        <v>86.094911254022676</v>
      </c>
      <c r="U52" s="159">
        <f>V52*U38</f>
        <v>86.094911254022676</v>
      </c>
      <c r="V52" s="160">
        <f>'Active Case'!H9</f>
        <v>344.37964501609071</v>
      </c>
      <c r="W52" s="159">
        <f>AA52*W38</f>
        <v>96.605185570567102</v>
      </c>
      <c r="X52" s="159">
        <f>AA52*X38</f>
        <v>96.605185570567102</v>
      </c>
      <c r="Y52" s="159">
        <f>AA52*Y38</f>
        <v>96.605185570567102</v>
      </c>
      <c r="Z52" s="159">
        <f>AA52*Z38</f>
        <v>96.605185570567102</v>
      </c>
      <c r="AA52" s="160">
        <f>'Active Case'!I9</f>
        <v>386.42074228226841</v>
      </c>
      <c r="AB52" s="159">
        <f>AF52*AB38</f>
        <v>102.79278772611303</v>
      </c>
      <c r="AC52" s="159">
        <f>AF52*AC38</f>
        <v>102.79278772611303</v>
      </c>
      <c r="AD52" s="159">
        <f>AF52*AD38</f>
        <v>102.79278772611303</v>
      </c>
      <c r="AE52" s="159">
        <f>AF52*AE38</f>
        <v>102.79278772611303</v>
      </c>
      <c r="AF52" s="160">
        <f>'Active Case'!J9</f>
        <v>411.17115090445213</v>
      </c>
      <c r="AG52" s="159">
        <f>AK52*AG38</f>
        <v>109.66452454028473</v>
      </c>
      <c r="AH52" s="159">
        <f>AK52*AH38</f>
        <v>109.66452454028473</v>
      </c>
      <c r="AI52" s="159">
        <f>AK52*AI38</f>
        <v>109.66452454028473</v>
      </c>
      <c r="AJ52" s="159">
        <f>AK52*AJ38</f>
        <v>109.66452454028473</v>
      </c>
      <c r="AK52" s="160">
        <f>'Active Case'!K9</f>
        <v>438.65809816113892</v>
      </c>
      <c r="AL52" s="159">
        <f>AP52*AL38</f>
        <v>111.85781503109042</v>
      </c>
      <c r="AM52" s="159">
        <f>AP52*AM38</f>
        <v>111.85781503109042</v>
      </c>
      <c r="AN52" s="159">
        <f>AP52*AN38</f>
        <v>111.85781503109042</v>
      </c>
      <c r="AO52" s="159">
        <f>AP52*AO38</f>
        <v>111.85781503109042</v>
      </c>
      <c r="AP52" s="160">
        <f>'Active Case'!L9</f>
        <v>447.4312601243617</v>
      </c>
      <c r="AQ52" s="159">
        <f>AU52*AQ38</f>
        <v>114.09497133171223</v>
      </c>
      <c r="AR52" s="159">
        <f>AU52*AR38</f>
        <v>114.09497133171223</v>
      </c>
      <c r="AS52" s="159">
        <f>AU52*AS38</f>
        <v>114.09497133171223</v>
      </c>
      <c r="AT52" s="159">
        <f>AU52*AT38</f>
        <v>114.09497133171223</v>
      </c>
      <c r="AU52" s="160">
        <f>'Active Case'!M9</f>
        <v>456.37988532684892</v>
      </c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/>
      <c r="BV52" s="23"/>
      <c r="BW52" s="23"/>
      <c r="BX52" s="23"/>
      <c r="BY52" s="23"/>
      <c r="BZ52" s="23"/>
      <c r="CA52" s="133"/>
      <c r="CB52" s="133"/>
      <c r="CC52" s="133"/>
    </row>
    <row r="53" spans="1:81" s="27" customFormat="1">
      <c r="C53" s="84"/>
      <c r="D53" s="84"/>
      <c r="E53" s="133"/>
      <c r="F53" s="133"/>
      <c r="G53" s="161"/>
      <c r="H53" s="133"/>
      <c r="I53" s="133"/>
      <c r="J53" s="133"/>
      <c r="K53" s="133"/>
      <c r="L53" s="162"/>
      <c r="M53" s="133"/>
      <c r="N53" s="133"/>
      <c r="O53" s="133"/>
      <c r="P53" s="133"/>
      <c r="Q53" s="162"/>
      <c r="R53" s="133"/>
      <c r="S53" s="133"/>
      <c r="T53" s="133"/>
      <c r="U53" s="133"/>
      <c r="V53" s="162"/>
      <c r="W53" s="133"/>
      <c r="X53" s="133"/>
      <c r="Y53" s="133"/>
      <c r="Z53" s="133"/>
      <c r="AA53" s="162"/>
      <c r="AB53" s="133"/>
      <c r="AC53" s="133"/>
      <c r="AD53" s="133"/>
      <c r="AE53" s="133"/>
      <c r="AF53" s="162"/>
      <c r="AG53" s="133"/>
      <c r="AH53" s="133"/>
      <c r="AI53" s="133"/>
      <c r="AJ53" s="133"/>
      <c r="AK53" s="162"/>
      <c r="AL53" s="133"/>
      <c r="AM53" s="133"/>
      <c r="AN53" s="133"/>
      <c r="AO53" s="133"/>
      <c r="AP53" s="162"/>
      <c r="AQ53" s="133"/>
      <c r="AR53" s="133"/>
      <c r="AS53" s="133"/>
      <c r="AT53" s="133"/>
      <c r="AU53" s="162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  <c r="BR53" s="23"/>
      <c r="BS53" s="23"/>
      <c r="BT53" s="23"/>
      <c r="BU53" s="23"/>
      <c r="BV53" s="23"/>
      <c r="BW53" s="23"/>
      <c r="BX53" s="23"/>
      <c r="BY53" s="23"/>
      <c r="BZ53" s="23"/>
      <c r="CA53" s="133"/>
      <c r="CB53" s="133"/>
      <c r="CC53" s="133"/>
    </row>
    <row r="54" spans="1:81" s="84" customFormat="1">
      <c r="C54" s="163" t="s">
        <v>1</v>
      </c>
      <c r="D54" s="163"/>
      <c r="E54" s="132"/>
      <c r="F54" s="132"/>
      <c r="G54" s="161"/>
      <c r="H54" s="132">
        <f>L54*H39</f>
        <v>12.824999999999999</v>
      </c>
      <c r="I54" s="132">
        <f>L54*I39</f>
        <v>12.824999999999999</v>
      </c>
      <c r="J54" s="132">
        <f>L54*J39</f>
        <v>12.824999999999999</v>
      </c>
      <c r="K54" s="132">
        <f>L54*K39</f>
        <v>12.824999999999999</v>
      </c>
      <c r="L54" s="162">
        <f>+'Active Case'!F17</f>
        <v>51.3</v>
      </c>
      <c r="M54" s="132">
        <f>Q54*M39</f>
        <v>13.060829816029425</v>
      </c>
      <c r="N54" s="132">
        <f>Q54*N39</f>
        <v>13.060829816029425</v>
      </c>
      <c r="O54" s="132">
        <f>Q54*O39</f>
        <v>13.060829816029425</v>
      </c>
      <c r="P54" s="132">
        <f>Q54*P39</f>
        <v>13.060829816029425</v>
      </c>
      <c r="Q54" s="162">
        <f>'Active Case'!G17</f>
        <v>52.243319264117702</v>
      </c>
      <c r="R54" s="132">
        <f>V54*R39</f>
        <v>15.428321344495025</v>
      </c>
      <c r="S54" s="132">
        <f>V54*S39</f>
        <v>15.428321344495025</v>
      </c>
      <c r="T54" s="132">
        <f>V54*T39</f>
        <v>15.428321344495025</v>
      </c>
      <c r="U54" s="132">
        <f>V54*U39</f>
        <v>15.428321344495025</v>
      </c>
      <c r="V54" s="162">
        <f>'Active Case'!H17</f>
        <v>61.7132853779801</v>
      </c>
      <c r="W54" s="132">
        <f>AA54*W39</f>
        <v>18.321270624617235</v>
      </c>
      <c r="X54" s="132">
        <f>AA54*X39</f>
        <v>18.321270624617235</v>
      </c>
      <c r="Y54" s="132">
        <f>AA54*Y39</f>
        <v>18.321270624617235</v>
      </c>
      <c r="Z54" s="132">
        <f>AA54*Z39</f>
        <v>18.321270624617235</v>
      </c>
      <c r="AA54" s="162">
        <f>'Active Case'!I17</f>
        <v>73.285082498468938</v>
      </c>
      <c r="AB54" s="132">
        <f>AF54*AB39</f>
        <v>19.896937958728422</v>
      </c>
      <c r="AC54" s="132">
        <f>AF54*AC39</f>
        <v>19.896937958728422</v>
      </c>
      <c r="AD54" s="132">
        <f>AF54*AD39</f>
        <v>19.896937958728422</v>
      </c>
      <c r="AE54" s="132">
        <f>AF54*AE39</f>
        <v>19.896937958728422</v>
      </c>
      <c r="AF54" s="162">
        <f>'Active Case'!J17</f>
        <v>79.587751834913689</v>
      </c>
      <c r="AG54" s="132">
        <f>AK54*AG39</f>
        <v>21.945905991329443</v>
      </c>
      <c r="AH54" s="132">
        <f>AK54*AH39</f>
        <v>21.945905991329443</v>
      </c>
      <c r="AI54" s="132">
        <f>AK54*AI39</f>
        <v>21.945905991329443</v>
      </c>
      <c r="AJ54" s="132">
        <f>AK54*AJ39</f>
        <v>21.945905991329443</v>
      </c>
      <c r="AK54" s="162">
        <f>'Active Case'!K17</f>
        <v>87.783623965317773</v>
      </c>
      <c r="AL54" s="132">
        <f>AP54*AL39</f>
        <v>22.384824111156032</v>
      </c>
      <c r="AM54" s="132">
        <f>AP54*AM39</f>
        <v>22.384824111156032</v>
      </c>
      <c r="AN54" s="132">
        <f>AP54*AN39</f>
        <v>22.384824111156032</v>
      </c>
      <c r="AO54" s="132">
        <f>AP54*AO39</f>
        <v>22.384824111156032</v>
      </c>
      <c r="AP54" s="162">
        <f>'Active Case'!L17</f>
        <v>89.539296444624128</v>
      </c>
      <c r="AQ54" s="132">
        <f>AU54*AQ39</f>
        <v>22.832520593379151</v>
      </c>
      <c r="AR54" s="132">
        <f>AU54*AR39</f>
        <v>22.832520593379151</v>
      </c>
      <c r="AS54" s="132">
        <f>AU54*AS39</f>
        <v>22.832520593379151</v>
      </c>
      <c r="AT54" s="132">
        <f>AU54*AT39</f>
        <v>22.832520593379151</v>
      </c>
      <c r="AU54" s="162">
        <f>'Active Case'!M17</f>
        <v>91.330082373516603</v>
      </c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83"/>
      <c r="BH54" s="83"/>
      <c r="BI54" s="83"/>
      <c r="BJ54" s="83"/>
      <c r="BK54" s="83"/>
      <c r="BL54" s="83"/>
      <c r="BM54" s="83"/>
      <c r="BN54" s="83"/>
      <c r="BO54" s="83"/>
      <c r="BP54" s="83"/>
      <c r="BQ54" s="83"/>
      <c r="BR54" s="83"/>
      <c r="BS54" s="83"/>
      <c r="BT54" s="83"/>
      <c r="BU54" s="83"/>
      <c r="BV54" s="83"/>
      <c r="BW54" s="83"/>
      <c r="BX54" s="83"/>
      <c r="BY54" s="83"/>
      <c r="BZ54" s="83"/>
      <c r="CA54" s="132"/>
      <c r="CB54" s="132"/>
      <c r="CC54" s="132"/>
    </row>
    <row r="55" spans="1:81" s="27" customFormat="1">
      <c r="C55" s="27" t="s">
        <v>96</v>
      </c>
      <c r="E55" s="133"/>
      <c r="F55" s="133"/>
      <c r="G55" s="161"/>
      <c r="H55" s="133">
        <f>L55*H40</f>
        <v>-3.2966899598194703</v>
      </c>
      <c r="I55" s="133">
        <f>L55*I40</f>
        <v>-3.2966899598194703</v>
      </c>
      <c r="J55" s="133">
        <f>L55*J40</f>
        <v>-3.2966899598194703</v>
      </c>
      <c r="K55" s="133">
        <f>L55*K40</f>
        <v>-3.2966899598194703</v>
      </c>
      <c r="L55" s="512">
        <f>'Active Case'!F20</f>
        <v>-13.186759839277881</v>
      </c>
      <c r="M55" s="133">
        <f>Q55*M40</f>
        <v>-3.4417249685895035</v>
      </c>
      <c r="N55" s="133">
        <f>Q55*N40</f>
        <v>-3.4417249685895035</v>
      </c>
      <c r="O55" s="133">
        <f>Q55*O40</f>
        <v>-3.4417249685895035</v>
      </c>
      <c r="P55" s="133">
        <f>Q55*P40</f>
        <v>-3.4417249685895035</v>
      </c>
      <c r="Q55" s="512">
        <f>'Active Case'!G20</f>
        <v>-13.766899874358014</v>
      </c>
      <c r="R55" s="133">
        <f>V55*R40</f>
        <v>-3.6943183290852031</v>
      </c>
      <c r="S55" s="133">
        <f>V55*S40</f>
        <v>-3.6943183290852031</v>
      </c>
      <c r="T55" s="133">
        <f>V55*T40</f>
        <v>-3.6943183290852031</v>
      </c>
      <c r="U55" s="133">
        <f>V55*U40</f>
        <v>-3.6943183290852031</v>
      </c>
      <c r="V55" s="512">
        <f>'Active Case'!H20</f>
        <v>-14.777273316340812</v>
      </c>
      <c r="W55" s="133">
        <f>AA55*W40</f>
        <v>-3.9373268914292519</v>
      </c>
      <c r="X55" s="133">
        <f>AA55*X40</f>
        <v>-3.9373268914292519</v>
      </c>
      <c r="Y55" s="133">
        <f>AA55*Y40</f>
        <v>-3.9373268914292519</v>
      </c>
      <c r="Z55" s="133">
        <f>AA55*Z40</f>
        <v>-3.9373268914292519</v>
      </c>
      <c r="AA55" s="512">
        <f>'Active Case'!I20</f>
        <v>-15.749307565717007</v>
      </c>
      <c r="AB55" s="133">
        <f>AF55*AB40</f>
        <v>-4.0301322743937549</v>
      </c>
      <c r="AC55" s="133">
        <f>AF55*AC40</f>
        <v>-4.0301322743937549</v>
      </c>
      <c r="AD55" s="133">
        <f>AF55*AD40</f>
        <v>-4.0301322743937549</v>
      </c>
      <c r="AE55" s="133">
        <f>AF55*AE40</f>
        <v>-4.0301322743937549</v>
      </c>
      <c r="AF55" s="512">
        <f>'Active Case'!J20</f>
        <v>-16.12052909757502</v>
      </c>
      <c r="AG55" s="133">
        <f>AK55*AG40</f>
        <v>-4.0772460483945405</v>
      </c>
      <c r="AH55" s="133">
        <f>AK55*AH40</f>
        <v>-4.0772460483945405</v>
      </c>
      <c r="AI55" s="133">
        <f>AK55*AI40</f>
        <v>-4.0772460483945405</v>
      </c>
      <c r="AJ55" s="133">
        <f>AK55*AJ40</f>
        <v>-4.0772460483945405</v>
      </c>
      <c r="AK55" s="512">
        <f>'Active Case'!K20</f>
        <v>-16.308984193578162</v>
      </c>
      <c r="AL55" s="133">
        <f>AP55*AL40</f>
        <v>-4.0772460483945405</v>
      </c>
      <c r="AM55" s="133">
        <f>AP55*AM40</f>
        <v>-4.0772460483945405</v>
      </c>
      <c r="AN55" s="133">
        <f>AP55*AN40</f>
        <v>-4.0772460483945405</v>
      </c>
      <c r="AO55" s="133">
        <f>AP55*AO40</f>
        <v>-4.0772460483945405</v>
      </c>
      <c r="AP55" s="512">
        <f>'Active Case'!L20</f>
        <v>-16.308984193578162</v>
      </c>
      <c r="AQ55" s="133">
        <f>AU55*AQ40</f>
        <v>-4.0772460483945405</v>
      </c>
      <c r="AR55" s="133">
        <f>AU55*AR40</f>
        <v>-4.0772460483945405</v>
      </c>
      <c r="AS55" s="133">
        <f>AU55*AS40</f>
        <v>-4.0772460483945405</v>
      </c>
      <c r="AT55" s="133">
        <f>AU55*AT40</f>
        <v>-4.0772460483945405</v>
      </c>
      <c r="AU55" s="512">
        <f>'Active Case'!M20</f>
        <v>-16.308984193578162</v>
      </c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  <c r="BR55" s="23"/>
      <c r="BS55" s="23"/>
      <c r="BT55" s="23"/>
      <c r="BU55" s="23"/>
      <c r="BV55" s="23"/>
      <c r="BW55" s="23"/>
      <c r="BX55" s="23"/>
      <c r="BY55" s="23"/>
      <c r="BZ55" s="23"/>
      <c r="CA55" s="133"/>
      <c r="CB55" s="133"/>
      <c r="CC55" s="133"/>
    </row>
    <row r="56" spans="1:81" s="27" customFormat="1">
      <c r="C56" s="84" t="s">
        <v>100</v>
      </c>
      <c r="D56" s="84"/>
      <c r="E56" s="133"/>
      <c r="F56" s="133"/>
      <c r="G56" s="132"/>
      <c r="H56" s="132">
        <f t="shared" ref="H56:AK56" si="24">SUM(H54:H55)</f>
        <v>9.5283100401805285</v>
      </c>
      <c r="I56" s="132">
        <f t="shared" si="24"/>
        <v>9.5283100401805285</v>
      </c>
      <c r="J56" s="132">
        <f t="shared" si="24"/>
        <v>9.5283100401805285</v>
      </c>
      <c r="K56" s="132">
        <f t="shared" si="24"/>
        <v>9.5283100401805285</v>
      </c>
      <c r="L56" s="164">
        <f t="shared" si="24"/>
        <v>38.113240160722114</v>
      </c>
      <c r="M56" s="132">
        <f t="shared" si="24"/>
        <v>9.619104847439921</v>
      </c>
      <c r="N56" s="132">
        <f t="shared" si="24"/>
        <v>9.619104847439921</v>
      </c>
      <c r="O56" s="132">
        <f t="shared" si="24"/>
        <v>9.619104847439921</v>
      </c>
      <c r="P56" s="132">
        <f t="shared" si="24"/>
        <v>9.619104847439921</v>
      </c>
      <c r="Q56" s="164">
        <f t="shared" si="24"/>
        <v>38.476419389759684</v>
      </c>
      <c r="R56" s="132">
        <f t="shared" si="24"/>
        <v>11.734003015409822</v>
      </c>
      <c r="S56" s="132">
        <f t="shared" si="24"/>
        <v>11.734003015409822</v>
      </c>
      <c r="T56" s="132">
        <f t="shared" si="24"/>
        <v>11.734003015409822</v>
      </c>
      <c r="U56" s="132">
        <f t="shared" si="24"/>
        <v>11.734003015409822</v>
      </c>
      <c r="V56" s="164">
        <f t="shared" si="24"/>
        <v>46.936012061639289</v>
      </c>
      <c r="W56" s="132">
        <f t="shared" si="24"/>
        <v>14.383943733187984</v>
      </c>
      <c r="X56" s="132">
        <f t="shared" si="24"/>
        <v>14.383943733187984</v>
      </c>
      <c r="Y56" s="132">
        <f t="shared" si="24"/>
        <v>14.383943733187984</v>
      </c>
      <c r="Z56" s="132">
        <f t="shared" si="24"/>
        <v>14.383943733187984</v>
      </c>
      <c r="AA56" s="164">
        <f t="shared" si="24"/>
        <v>57.535774932751934</v>
      </c>
      <c r="AB56" s="132">
        <f t="shared" si="24"/>
        <v>15.866805684334668</v>
      </c>
      <c r="AC56" s="132">
        <f t="shared" si="24"/>
        <v>15.866805684334668</v>
      </c>
      <c r="AD56" s="132">
        <f t="shared" si="24"/>
        <v>15.866805684334668</v>
      </c>
      <c r="AE56" s="132">
        <f t="shared" si="24"/>
        <v>15.866805684334668</v>
      </c>
      <c r="AF56" s="164">
        <f t="shared" si="24"/>
        <v>63.467222737338673</v>
      </c>
      <c r="AG56" s="132">
        <f t="shared" si="24"/>
        <v>17.868659942934904</v>
      </c>
      <c r="AH56" s="132">
        <f t="shared" si="24"/>
        <v>17.868659942934904</v>
      </c>
      <c r="AI56" s="132">
        <f t="shared" si="24"/>
        <v>17.868659942934904</v>
      </c>
      <c r="AJ56" s="132">
        <f t="shared" si="24"/>
        <v>17.868659942934904</v>
      </c>
      <c r="AK56" s="164">
        <f t="shared" si="24"/>
        <v>71.474639771739618</v>
      </c>
      <c r="AL56" s="132">
        <f t="shared" ref="AL56:AU56" si="25">SUM(AL54:AL55)</f>
        <v>18.307578062761493</v>
      </c>
      <c r="AM56" s="132">
        <f t="shared" si="25"/>
        <v>18.307578062761493</v>
      </c>
      <c r="AN56" s="132">
        <f t="shared" si="25"/>
        <v>18.307578062761493</v>
      </c>
      <c r="AO56" s="132">
        <f t="shared" si="25"/>
        <v>18.307578062761493</v>
      </c>
      <c r="AP56" s="164">
        <f t="shared" si="25"/>
        <v>73.230312251045973</v>
      </c>
      <c r="AQ56" s="132">
        <f t="shared" si="25"/>
        <v>18.755274544984609</v>
      </c>
      <c r="AR56" s="132">
        <f t="shared" si="25"/>
        <v>18.755274544984609</v>
      </c>
      <c r="AS56" s="132">
        <f t="shared" si="25"/>
        <v>18.755274544984609</v>
      </c>
      <c r="AT56" s="132">
        <f t="shared" si="25"/>
        <v>18.755274544984609</v>
      </c>
      <c r="AU56" s="164">
        <f t="shared" si="25"/>
        <v>75.021098179938434</v>
      </c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  <c r="BR56" s="23"/>
      <c r="BS56" s="23"/>
      <c r="BT56" s="23"/>
      <c r="BU56" s="23"/>
      <c r="BV56" s="23"/>
      <c r="BW56" s="23"/>
      <c r="BX56" s="23"/>
      <c r="BY56" s="23"/>
      <c r="BZ56" s="23"/>
      <c r="CA56" s="133"/>
      <c r="CB56" s="133"/>
      <c r="CC56" s="133"/>
    </row>
    <row r="57" spans="1:81" s="27" customFormat="1" ht="14.7" customHeight="1">
      <c r="A57" s="84"/>
      <c r="B57" s="84"/>
      <c r="C57" s="84"/>
      <c r="D57" s="84"/>
      <c r="E57" s="133"/>
      <c r="F57" s="133"/>
      <c r="G57" s="132"/>
      <c r="H57" s="133"/>
      <c r="I57" s="133"/>
      <c r="J57" s="133"/>
      <c r="K57" s="133"/>
      <c r="L57" s="164"/>
      <c r="M57" s="133"/>
      <c r="N57" s="133"/>
      <c r="O57" s="133"/>
      <c r="P57" s="133"/>
      <c r="Q57" s="164"/>
      <c r="R57" s="133"/>
      <c r="S57" s="133"/>
      <c r="T57" s="133"/>
      <c r="U57" s="133"/>
      <c r="V57" s="164"/>
      <c r="W57" s="133"/>
      <c r="X57" s="133"/>
      <c r="Y57" s="133"/>
      <c r="Z57" s="133"/>
      <c r="AA57" s="164"/>
      <c r="AB57" s="133"/>
      <c r="AC57" s="133"/>
      <c r="AD57" s="133"/>
      <c r="AE57" s="133"/>
      <c r="AF57" s="164"/>
      <c r="AG57" s="133"/>
      <c r="AH57" s="133"/>
      <c r="AI57" s="133"/>
      <c r="AJ57" s="133"/>
      <c r="AK57" s="164"/>
      <c r="AL57" s="133"/>
      <c r="AM57" s="133"/>
      <c r="AN57" s="133"/>
      <c r="AO57" s="133"/>
      <c r="AP57" s="164"/>
      <c r="AQ57" s="133"/>
      <c r="AR57" s="133"/>
      <c r="AS57" s="133"/>
      <c r="AT57" s="133"/>
      <c r="AU57" s="164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  <c r="BR57" s="23"/>
      <c r="BS57" s="23"/>
      <c r="BT57" s="23"/>
      <c r="BU57" s="23"/>
      <c r="BV57" s="23"/>
      <c r="BW57" s="23"/>
      <c r="BX57" s="23"/>
      <c r="BY57" s="23"/>
      <c r="BZ57" s="23"/>
      <c r="CA57" s="133"/>
      <c r="CB57" s="133"/>
      <c r="CC57" s="133"/>
    </row>
    <row r="58" spans="1:81" s="84" customFormat="1">
      <c r="A58" s="27"/>
      <c r="B58" s="27"/>
      <c r="C58" s="165" t="s">
        <v>101</v>
      </c>
      <c r="D58" s="165"/>
      <c r="E58" s="165"/>
      <c r="F58" s="165"/>
      <c r="G58" s="165"/>
      <c r="H58" s="166">
        <f t="shared" ref="H58:AK58" si="26">SUM(H59:H62)</f>
        <v>0</v>
      </c>
      <c r="I58" s="166">
        <f t="shared" si="26"/>
        <v>0</v>
      </c>
      <c r="J58" s="166">
        <f t="shared" si="26"/>
        <v>0</v>
      </c>
      <c r="K58" s="166">
        <f t="shared" si="26"/>
        <v>0</v>
      </c>
      <c r="L58" s="167">
        <f t="shared" si="26"/>
        <v>0</v>
      </c>
      <c r="M58" s="166">
        <f t="shared" si="26"/>
        <v>-3.7118513322462161</v>
      </c>
      <c r="N58" s="166">
        <f t="shared" si="26"/>
        <v>-3.7384548849027919</v>
      </c>
      <c r="O58" s="166">
        <f t="shared" si="26"/>
        <v>-3.7650584375593676</v>
      </c>
      <c r="P58" s="166">
        <f t="shared" si="26"/>
        <v>-3.7916619902159434</v>
      </c>
      <c r="Q58" s="167">
        <f t="shared" si="26"/>
        <v>-15.007026644924318</v>
      </c>
      <c r="R58" s="166">
        <f t="shared" si="26"/>
        <v>-3.8312599469642681</v>
      </c>
      <c r="S58" s="166">
        <f t="shared" si="26"/>
        <v>-3.8925152438655082</v>
      </c>
      <c r="T58" s="166">
        <f t="shared" si="26"/>
        <v>-3.9537705407667483</v>
      </c>
      <c r="U58" s="166">
        <f t="shared" si="26"/>
        <v>-4.0150258376679888</v>
      </c>
      <c r="V58" s="167">
        <f t="shared" si="26"/>
        <v>-15.692571569264512</v>
      </c>
      <c r="W58" s="166">
        <f t="shared" si="26"/>
        <v>-4.0650765151085331</v>
      </c>
      <c r="X58" s="166">
        <f t="shared" si="26"/>
        <v>-4.0964528267812543</v>
      </c>
      <c r="Y58" s="166">
        <f t="shared" si="26"/>
        <v>-4.1278291384539747</v>
      </c>
      <c r="Z58" s="166">
        <f t="shared" si="26"/>
        <v>-4.1592054501266951</v>
      </c>
      <c r="AA58" s="167">
        <f t="shared" si="26"/>
        <v>-16.448563930470456</v>
      </c>
      <c r="AB58" s="166">
        <f t="shared" si="26"/>
        <v>-4.1730508061526814</v>
      </c>
      <c r="AC58" s="166">
        <f t="shared" si="26"/>
        <v>-4.1730508061526814</v>
      </c>
      <c r="AD58" s="166">
        <f t="shared" si="26"/>
        <v>-4.1730508061526814</v>
      </c>
      <c r="AE58" s="166">
        <f t="shared" si="26"/>
        <v>-4.1730508061526814</v>
      </c>
      <c r="AF58" s="167">
        <f t="shared" si="26"/>
        <v>-16.692203224610726</v>
      </c>
      <c r="AG58" s="166">
        <f t="shared" si="26"/>
        <v>-4.1730508061526814</v>
      </c>
      <c r="AH58" s="166">
        <f t="shared" si="26"/>
        <v>-4.1730508061526814</v>
      </c>
      <c r="AI58" s="166">
        <f t="shared" si="26"/>
        <v>-4.1730508061526814</v>
      </c>
      <c r="AJ58" s="166">
        <f t="shared" si="26"/>
        <v>-4.1730508061526814</v>
      </c>
      <c r="AK58" s="167">
        <f t="shared" si="26"/>
        <v>-16.692203224610726</v>
      </c>
      <c r="AL58" s="166">
        <f t="shared" ref="AL58:AU58" si="27">SUM(AL59:AL62)</f>
        <v>-4.1730508061526814</v>
      </c>
      <c r="AM58" s="166">
        <f t="shared" si="27"/>
        <v>-4.1730508061526814</v>
      </c>
      <c r="AN58" s="166">
        <f t="shared" si="27"/>
        <v>-4.1730508061526814</v>
      </c>
      <c r="AO58" s="166">
        <f t="shared" si="27"/>
        <v>-4.1730508061526814</v>
      </c>
      <c r="AP58" s="167">
        <f t="shared" si="27"/>
        <v>-16.692203224610726</v>
      </c>
      <c r="AQ58" s="166">
        <f t="shared" si="27"/>
        <v>-4.1730508061526814</v>
      </c>
      <c r="AR58" s="166">
        <f t="shared" si="27"/>
        <v>-4.1730508061526814</v>
      </c>
      <c r="AS58" s="166">
        <f t="shared" si="27"/>
        <v>-4.1730508061526814</v>
      </c>
      <c r="AT58" s="166">
        <f t="shared" si="27"/>
        <v>-2.1115254030763406</v>
      </c>
      <c r="AU58" s="167">
        <f t="shared" si="27"/>
        <v>-14.630677821534386</v>
      </c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CA58" s="132"/>
      <c r="CB58" s="132"/>
      <c r="CC58" s="132"/>
    </row>
    <row r="59" spans="1:81" s="27" customFormat="1">
      <c r="C59" s="80" t="str">
        <f>'Debt Structure'!C22</f>
        <v>TLA</v>
      </c>
      <c r="D59" s="80"/>
      <c r="E59" s="133"/>
      <c r="F59" s="133"/>
      <c r="G59" s="133"/>
      <c r="H59" s="133">
        <f>H129</f>
        <v>0</v>
      </c>
      <c r="I59" s="133">
        <f>I129</f>
        <v>0</v>
      </c>
      <c r="J59" s="133">
        <f>J129</f>
        <v>0</v>
      </c>
      <c r="K59" s="133">
        <f>K129</f>
        <v>0</v>
      </c>
      <c r="L59" s="168">
        <f>SUM(H59:K59)</f>
        <v>0</v>
      </c>
      <c r="M59" s="133">
        <f>M129</f>
        <v>0</v>
      </c>
      <c r="N59" s="133">
        <f>N129</f>
        <v>0</v>
      </c>
      <c r="O59" s="133">
        <f>O129</f>
        <v>0</v>
      </c>
      <c r="P59" s="133">
        <f>P129</f>
        <v>0</v>
      </c>
      <c r="Q59" s="168">
        <f>SUM(M59:P59)</f>
        <v>0</v>
      </c>
      <c r="R59" s="133">
        <f>R129</f>
        <v>0</v>
      </c>
      <c r="S59" s="133">
        <f>S129</f>
        <v>0</v>
      </c>
      <c r="T59" s="133">
        <f>T129</f>
        <v>0</v>
      </c>
      <c r="U59" s="133">
        <f>U129</f>
        <v>0</v>
      </c>
      <c r="V59" s="168">
        <f>SUM(R59:U59)</f>
        <v>0</v>
      </c>
      <c r="W59" s="133">
        <f>W129</f>
        <v>0</v>
      </c>
      <c r="X59" s="133">
        <f>X129</f>
        <v>0</v>
      </c>
      <c r="Y59" s="133">
        <f>Y129</f>
        <v>0</v>
      </c>
      <c r="Z59" s="133">
        <f>Z129</f>
        <v>0</v>
      </c>
      <c r="AA59" s="168">
        <f>SUM(W59:Z59)</f>
        <v>0</v>
      </c>
      <c r="AB59" s="133">
        <f>AB129</f>
        <v>0</v>
      </c>
      <c r="AC59" s="133">
        <f>AC129</f>
        <v>0</v>
      </c>
      <c r="AD59" s="133">
        <f>AD129</f>
        <v>0</v>
      </c>
      <c r="AE59" s="133">
        <f>AE129</f>
        <v>0</v>
      </c>
      <c r="AF59" s="168">
        <f>SUM(AB59:AE59)</f>
        <v>0</v>
      </c>
      <c r="AG59" s="133">
        <f>AG129</f>
        <v>0</v>
      </c>
      <c r="AH59" s="133">
        <f>AH129</f>
        <v>0</v>
      </c>
      <c r="AI59" s="133">
        <f>AI129</f>
        <v>0</v>
      </c>
      <c r="AJ59" s="133">
        <f>AJ129</f>
        <v>0</v>
      </c>
      <c r="AK59" s="168">
        <f>SUM(AG59:AJ59)</f>
        <v>0</v>
      </c>
      <c r="AL59" s="133">
        <f>AL129</f>
        <v>0</v>
      </c>
      <c r="AM59" s="133">
        <f>AM129</f>
        <v>0</v>
      </c>
      <c r="AN59" s="133">
        <f>AN129</f>
        <v>0</v>
      </c>
      <c r="AO59" s="133">
        <f>AO129</f>
        <v>0</v>
      </c>
      <c r="AP59" s="168">
        <f>SUM(AL59:AO59)</f>
        <v>0</v>
      </c>
      <c r="AQ59" s="133">
        <f>AQ129</f>
        <v>0</v>
      </c>
      <c r="AR59" s="133">
        <f>AR129</f>
        <v>0</v>
      </c>
      <c r="AS59" s="133">
        <f>AS129</f>
        <v>0</v>
      </c>
      <c r="AT59" s="133">
        <f>AT129</f>
        <v>0</v>
      </c>
      <c r="AU59" s="168">
        <f>SUM(AQ59:AT59)</f>
        <v>0</v>
      </c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23"/>
      <c r="BR59" s="23"/>
      <c r="BS59" s="23"/>
      <c r="BT59" s="23"/>
      <c r="BU59" s="23"/>
      <c r="BV59" s="23"/>
      <c r="BW59" s="23"/>
      <c r="BX59" s="23"/>
      <c r="BY59" s="23"/>
      <c r="BZ59" s="23"/>
      <c r="CA59" s="133"/>
      <c r="CB59" s="133"/>
      <c r="CC59" s="133"/>
    </row>
    <row r="60" spans="1:81" s="27" customFormat="1">
      <c r="C60" s="80" t="str">
        <f>'Debt Structure'!C23</f>
        <v>TLB</v>
      </c>
      <c r="D60" s="80"/>
      <c r="E60" s="133"/>
      <c r="F60" s="133"/>
      <c r="G60" s="133"/>
      <c r="H60" s="133">
        <f>H146</f>
        <v>0</v>
      </c>
      <c r="I60" s="133">
        <f>I146</f>
        <v>0</v>
      </c>
      <c r="J60" s="133">
        <f>J146</f>
        <v>0</v>
      </c>
      <c r="K60" s="133">
        <f>K146</f>
        <v>0</v>
      </c>
      <c r="L60" s="168">
        <f>SUM(H60:K60)</f>
        <v>0</v>
      </c>
      <c r="M60" s="133">
        <f>M146</f>
        <v>-3.5268750000000004</v>
      </c>
      <c r="N60" s="133">
        <f>N146</f>
        <v>-3.5268750000000004</v>
      </c>
      <c r="O60" s="133">
        <f>O146</f>
        <v>-3.5268750000000004</v>
      </c>
      <c r="P60" s="133">
        <f>P146</f>
        <v>-3.5268750000000004</v>
      </c>
      <c r="Q60" s="168">
        <f>SUM(M60:P60)</f>
        <v>-14.107500000000002</v>
      </c>
      <c r="R60" s="133">
        <f>R146</f>
        <v>-3.5268750000000004</v>
      </c>
      <c r="S60" s="133">
        <f>S146</f>
        <v>-3.5268750000000004</v>
      </c>
      <c r="T60" s="133">
        <f>T146</f>
        <v>-3.5268750000000004</v>
      </c>
      <c r="U60" s="133">
        <f>U146</f>
        <v>-3.5268750000000004</v>
      </c>
      <c r="V60" s="168">
        <f>SUM(R60:U60)</f>
        <v>-14.107500000000002</v>
      </c>
      <c r="W60" s="133">
        <f>W146</f>
        <v>-3.5268750000000004</v>
      </c>
      <c r="X60" s="133">
        <f>X146</f>
        <v>-3.5268750000000004</v>
      </c>
      <c r="Y60" s="133">
        <f>Y146</f>
        <v>-3.5268750000000004</v>
      </c>
      <c r="Z60" s="133">
        <f>Z146</f>
        <v>-3.5268750000000004</v>
      </c>
      <c r="AA60" s="168">
        <f>SUM(W60:Z60)</f>
        <v>-14.107500000000002</v>
      </c>
      <c r="AB60" s="133">
        <f>AB146</f>
        <v>-3.5268750000000004</v>
      </c>
      <c r="AC60" s="133">
        <f>AC146</f>
        <v>-3.5268750000000004</v>
      </c>
      <c r="AD60" s="133">
        <f>AD146</f>
        <v>-3.5268750000000004</v>
      </c>
      <c r="AE60" s="133">
        <f>AE146</f>
        <v>-3.5268750000000004</v>
      </c>
      <c r="AF60" s="168">
        <f>SUM(AB60:AE60)</f>
        <v>-14.107500000000002</v>
      </c>
      <c r="AG60" s="133">
        <f>AG146</f>
        <v>-3.5268750000000004</v>
      </c>
      <c r="AH60" s="133">
        <f>AH146</f>
        <v>-3.5268750000000004</v>
      </c>
      <c r="AI60" s="133">
        <f>AI146</f>
        <v>-3.5268750000000004</v>
      </c>
      <c r="AJ60" s="133">
        <f>AJ146</f>
        <v>-3.5268750000000004</v>
      </c>
      <c r="AK60" s="168">
        <f>SUM(AG60:AJ60)</f>
        <v>-14.107500000000002</v>
      </c>
      <c r="AL60" s="133">
        <f>AL146</f>
        <v>-3.5268750000000004</v>
      </c>
      <c r="AM60" s="133">
        <f>AM146</f>
        <v>-3.5268750000000004</v>
      </c>
      <c r="AN60" s="133">
        <f>AN146</f>
        <v>-3.5268750000000004</v>
      </c>
      <c r="AO60" s="133">
        <f>AO146</f>
        <v>-3.5268750000000004</v>
      </c>
      <c r="AP60" s="168">
        <f>SUM(AL60:AO60)</f>
        <v>-14.107500000000002</v>
      </c>
      <c r="AQ60" s="133">
        <f>AQ146</f>
        <v>-3.5268750000000004</v>
      </c>
      <c r="AR60" s="133">
        <f>AR146</f>
        <v>-3.5268750000000004</v>
      </c>
      <c r="AS60" s="133">
        <f>AS146</f>
        <v>-3.5268750000000004</v>
      </c>
      <c r="AT60" s="133">
        <f>AT146</f>
        <v>-1.7634375000000002</v>
      </c>
      <c r="AU60" s="168">
        <f>SUM(AQ60:AT60)</f>
        <v>-12.344062500000001</v>
      </c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23"/>
      <c r="BR60" s="23"/>
      <c r="BS60" s="23"/>
      <c r="BT60" s="23"/>
      <c r="BU60" s="23"/>
      <c r="BV60" s="23"/>
      <c r="BW60" s="23"/>
      <c r="BX60" s="23"/>
      <c r="BY60" s="23"/>
      <c r="BZ60" s="23"/>
      <c r="CA60" s="133"/>
      <c r="CB60" s="133"/>
      <c r="CC60" s="133"/>
    </row>
    <row r="61" spans="1:81" s="27" customFormat="1">
      <c r="C61" s="80" t="str">
        <f>'Debt Structure'!C33</f>
        <v>CAF</v>
      </c>
      <c r="D61" s="80"/>
      <c r="E61" s="133"/>
      <c r="F61" s="133"/>
      <c r="G61" s="133"/>
      <c r="H61" s="133">
        <f>H172+H178</f>
        <v>0</v>
      </c>
      <c r="I61" s="133">
        <f>I172+I178</f>
        <v>0</v>
      </c>
      <c r="J61" s="133">
        <f>J172+J178</f>
        <v>0</v>
      </c>
      <c r="K61" s="133">
        <f>K172+K178</f>
        <v>0</v>
      </c>
      <c r="L61" s="168">
        <f>SUM(H61:K61)</f>
        <v>0</v>
      </c>
      <c r="M61" s="133">
        <f>M172+M178</f>
        <v>-0.13497633224621586</v>
      </c>
      <c r="N61" s="133">
        <f>N172+N178</f>
        <v>-0.16157988490279157</v>
      </c>
      <c r="O61" s="133">
        <f>O172+O178</f>
        <v>-0.18818343755936726</v>
      </c>
      <c r="P61" s="133">
        <f>P172+P178</f>
        <v>-0.21478699021594294</v>
      </c>
      <c r="Q61" s="168">
        <f>SUM(M61:P61)</f>
        <v>-0.6995266449243176</v>
      </c>
      <c r="R61" s="133">
        <f>R172+R178</f>
        <v>-0.25438494696426772</v>
      </c>
      <c r="S61" s="133">
        <f>S172+S178</f>
        <v>-0.31564024386550782</v>
      </c>
      <c r="T61" s="133">
        <f>T172+T178</f>
        <v>-0.37689554076674797</v>
      </c>
      <c r="U61" s="133">
        <f>U172+U178</f>
        <v>-0.43815083766798801</v>
      </c>
      <c r="V61" s="168">
        <f>SUM(R61:U61)</f>
        <v>-1.3850715692645115</v>
      </c>
      <c r="W61" s="133">
        <f>W172+W178</f>
        <v>-0.48820151510853321</v>
      </c>
      <c r="X61" s="133">
        <f>X172+X178</f>
        <v>-0.51957782678125386</v>
      </c>
      <c r="Y61" s="133">
        <f>Y172+Y178</f>
        <v>-0.55095413845397434</v>
      </c>
      <c r="Z61" s="133">
        <f>Z172+Z178</f>
        <v>-0.58233045012669493</v>
      </c>
      <c r="AA61" s="168">
        <f>SUM(W61:Z61)</f>
        <v>-2.1410639304704562</v>
      </c>
      <c r="AB61" s="133">
        <f>AB172+AB178</f>
        <v>-0.59617580615268151</v>
      </c>
      <c r="AC61" s="133">
        <f>AC172+AC178</f>
        <v>-0.59617580615268151</v>
      </c>
      <c r="AD61" s="133">
        <f>AD172+AD178</f>
        <v>-0.59617580615268151</v>
      </c>
      <c r="AE61" s="133">
        <f>AE172+AE178</f>
        <v>-0.59617580615268151</v>
      </c>
      <c r="AF61" s="168">
        <f>SUM(AB61:AE61)</f>
        <v>-2.384703224610726</v>
      </c>
      <c r="AG61" s="133">
        <f>AG172+AG178</f>
        <v>-0.59617580615268151</v>
      </c>
      <c r="AH61" s="133">
        <f>AH172+AH178</f>
        <v>-0.59617580615268151</v>
      </c>
      <c r="AI61" s="133">
        <f>AI172+AI178</f>
        <v>-0.59617580615268151</v>
      </c>
      <c r="AJ61" s="133">
        <f>AJ172+AJ178</f>
        <v>-0.59617580615268151</v>
      </c>
      <c r="AK61" s="168">
        <f>SUM(AG61:AJ61)</f>
        <v>-2.384703224610726</v>
      </c>
      <c r="AL61" s="133">
        <f>AL172+AL178</f>
        <v>-0.59617580615268151</v>
      </c>
      <c r="AM61" s="133">
        <f>AM172+AM178</f>
        <v>-0.59617580615268151</v>
      </c>
      <c r="AN61" s="133">
        <f>AN172+AN178</f>
        <v>-0.59617580615268151</v>
      </c>
      <c r="AO61" s="133">
        <f>AO172+AO178</f>
        <v>-0.59617580615268151</v>
      </c>
      <c r="AP61" s="168">
        <f>SUM(AL61:AO61)</f>
        <v>-2.384703224610726</v>
      </c>
      <c r="AQ61" s="133">
        <f>AQ172+AQ178</f>
        <v>-0.59617580615268151</v>
      </c>
      <c r="AR61" s="133">
        <f>AR172+AR178</f>
        <v>-0.59617580615268151</v>
      </c>
      <c r="AS61" s="133">
        <f>AS172+AS178</f>
        <v>-0.59617580615268151</v>
      </c>
      <c r="AT61" s="133">
        <f>AT172+AT178</f>
        <v>-0.29808790307634075</v>
      </c>
      <c r="AU61" s="168">
        <f>SUM(AQ61:AT61)</f>
        <v>-2.086615321534385</v>
      </c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  <c r="BN61" s="23"/>
      <c r="BO61" s="23"/>
      <c r="BP61" s="23"/>
      <c r="BQ61" s="23"/>
      <c r="BR61" s="23"/>
      <c r="BS61" s="23"/>
      <c r="BT61" s="23"/>
      <c r="BU61" s="23"/>
      <c r="BV61" s="23"/>
      <c r="BW61" s="23"/>
      <c r="BX61" s="23"/>
      <c r="BY61" s="23"/>
      <c r="BZ61" s="23"/>
      <c r="CA61" s="133"/>
      <c r="CB61" s="133"/>
      <c r="CC61" s="133"/>
    </row>
    <row r="62" spans="1:81" s="27" customFormat="1">
      <c r="C62" s="80" t="s">
        <v>102</v>
      </c>
      <c r="D62" s="80"/>
      <c r="E62" s="133"/>
      <c r="F62" s="133"/>
      <c r="G62" s="133"/>
      <c r="H62" s="133">
        <f>H197+H204</f>
        <v>0</v>
      </c>
      <c r="I62" s="133">
        <f>I197+I204</f>
        <v>0</v>
      </c>
      <c r="J62" s="133">
        <f>J197+J204</f>
        <v>0</v>
      </c>
      <c r="K62" s="133">
        <f>K197+K204</f>
        <v>0</v>
      </c>
      <c r="L62" s="168">
        <f>SUM(H62:K62)</f>
        <v>0</v>
      </c>
      <c r="M62" s="133">
        <f>M197+M204</f>
        <v>-0.05</v>
      </c>
      <c r="N62" s="133">
        <f>N197+N204</f>
        <v>-0.05</v>
      </c>
      <c r="O62" s="133">
        <f>O197+O204</f>
        <v>-0.05</v>
      </c>
      <c r="P62" s="133">
        <f>P197+P204</f>
        <v>-0.05</v>
      </c>
      <c r="Q62" s="168">
        <f>SUM(M62:P62)</f>
        <v>-0.2</v>
      </c>
      <c r="R62" s="133">
        <f>R197+R204</f>
        <v>-0.05</v>
      </c>
      <c r="S62" s="133">
        <f>S197+S204</f>
        <v>-0.05</v>
      </c>
      <c r="T62" s="133">
        <f>T197+T204</f>
        <v>-0.05</v>
      </c>
      <c r="U62" s="133">
        <f>U197+U204</f>
        <v>-0.05</v>
      </c>
      <c r="V62" s="168">
        <f>SUM(R62:U62)</f>
        <v>-0.2</v>
      </c>
      <c r="W62" s="133">
        <f>W197+W204</f>
        <v>-0.05</v>
      </c>
      <c r="X62" s="133">
        <f>X197+X204</f>
        <v>-0.05</v>
      </c>
      <c r="Y62" s="133">
        <f>Y197+Y204</f>
        <v>-0.05</v>
      </c>
      <c r="Z62" s="133">
        <f>Z197+Z204</f>
        <v>-0.05</v>
      </c>
      <c r="AA62" s="168">
        <f>SUM(W62:Z62)</f>
        <v>-0.2</v>
      </c>
      <c r="AB62" s="133">
        <f>AB197+AB204</f>
        <v>-0.05</v>
      </c>
      <c r="AC62" s="133">
        <f>AC197+AC204</f>
        <v>-0.05</v>
      </c>
      <c r="AD62" s="133">
        <f>AD197+AD204</f>
        <v>-0.05</v>
      </c>
      <c r="AE62" s="133">
        <f>AE197+AE204</f>
        <v>-0.05</v>
      </c>
      <c r="AF62" s="168">
        <f>SUM(AB62:AE62)</f>
        <v>-0.2</v>
      </c>
      <c r="AG62" s="133">
        <f>AG197+AG204</f>
        <v>-0.05</v>
      </c>
      <c r="AH62" s="133">
        <f>AH197+AH204</f>
        <v>-0.05</v>
      </c>
      <c r="AI62" s="133">
        <f>AI197+AI204</f>
        <v>-0.05</v>
      </c>
      <c r="AJ62" s="133">
        <f>AJ197+AJ204</f>
        <v>-0.05</v>
      </c>
      <c r="AK62" s="168">
        <f>SUM(AG62:AJ62)</f>
        <v>-0.2</v>
      </c>
      <c r="AL62" s="133">
        <f>AL197+AL204</f>
        <v>-0.05</v>
      </c>
      <c r="AM62" s="133">
        <f>AM197+AM204</f>
        <v>-0.05</v>
      </c>
      <c r="AN62" s="133">
        <f>AN197+AN204</f>
        <v>-0.05</v>
      </c>
      <c r="AO62" s="133">
        <f>AO197+AO204</f>
        <v>-0.05</v>
      </c>
      <c r="AP62" s="168">
        <f>SUM(AL62:AO62)</f>
        <v>-0.2</v>
      </c>
      <c r="AQ62" s="133">
        <f>AQ197+AQ204</f>
        <v>-0.05</v>
      </c>
      <c r="AR62" s="133">
        <f>AR197+AR204</f>
        <v>-0.05</v>
      </c>
      <c r="AS62" s="133">
        <f>AS197+AS204</f>
        <v>-0.05</v>
      </c>
      <c r="AT62" s="133">
        <f>AT197+AT204</f>
        <v>-0.05</v>
      </c>
      <c r="AU62" s="168">
        <f>SUM(AQ62:AT62)</f>
        <v>-0.2</v>
      </c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  <c r="BR62" s="23"/>
      <c r="BS62" s="23"/>
      <c r="BT62" s="23"/>
      <c r="BU62" s="23"/>
      <c r="BV62" s="23"/>
      <c r="BW62" s="23"/>
      <c r="BX62" s="23"/>
      <c r="BY62" s="23"/>
      <c r="BZ62" s="23"/>
      <c r="CA62" s="133"/>
      <c r="CB62" s="133"/>
      <c r="CC62" s="133"/>
    </row>
    <row r="63" spans="1:81" s="27" customFormat="1">
      <c r="C63" s="80"/>
      <c r="D63" s="80"/>
      <c r="E63" s="133"/>
      <c r="F63" s="133"/>
      <c r="G63" s="133"/>
      <c r="H63" s="133"/>
      <c r="I63" s="133"/>
      <c r="J63" s="133"/>
      <c r="K63" s="133"/>
      <c r="L63" s="168"/>
      <c r="M63" s="133"/>
      <c r="N63" s="133"/>
      <c r="O63" s="133"/>
      <c r="P63" s="133"/>
      <c r="Q63" s="168"/>
      <c r="R63" s="133"/>
      <c r="S63" s="133"/>
      <c r="T63" s="133"/>
      <c r="U63" s="133"/>
      <c r="V63" s="168"/>
      <c r="W63" s="133"/>
      <c r="X63" s="133"/>
      <c r="Y63" s="133"/>
      <c r="Z63" s="133"/>
      <c r="AA63" s="168"/>
      <c r="AB63" s="133"/>
      <c r="AC63" s="133"/>
      <c r="AD63" s="133"/>
      <c r="AE63" s="133"/>
      <c r="AF63" s="168"/>
      <c r="AG63" s="133"/>
      <c r="AH63" s="133"/>
      <c r="AI63" s="133"/>
      <c r="AJ63" s="133"/>
      <c r="AK63" s="168"/>
      <c r="AL63" s="133"/>
      <c r="AM63" s="133"/>
      <c r="AN63" s="133"/>
      <c r="AO63" s="133"/>
      <c r="AP63" s="168"/>
      <c r="AQ63" s="133"/>
      <c r="AR63" s="133"/>
      <c r="AS63" s="133"/>
      <c r="AT63" s="133"/>
      <c r="AU63" s="168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  <c r="BR63" s="23"/>
      <c r="BS63" s="23"/>
      <c r="BT63" s="23"/>
      <c r="BU63" s="23"/>
      <c r="BV63" s="23"/>
      <c r="BW63" s="23"/>
      <c r="BX63" s="23"/>
      <c r="BY63" s="23"/>
      <c r="BZ63" s="23"/>
      <c r="CA63" s="133"/>
      <c r="CB63" s="133"/>
      <c r="CC63" s="133"/>
    </row>
    <row r="64" spans="1:81" s="84" customFormat="1">
      <c r="C64" s="88" t="s">
        <v>103</v>
      </c>
      <c r="D64" s="88"/>
      <c r="E64" s="132"/>
      <c r="F64" s="132"/>
      <c r="G64" s="132"/>
      <c r="H64" s="132">
        <f>L64*H41</f>
        <v>-2.0662746907669702</v>
      </c>
      <c r="I64" s="132">
        <f>L64*I41</f>
        <v>-2.0662746907669702</v>
      </c>
      <c r="J64" s="132">
        <f>L64*J41</f>
        <v>-2.0662746907669702</v>
      </c>
      <c r="K64" s="132">
        <f>L64*K41</f>
        <v>-2.0662746907669702</v>
      </c>
      <c r="L64" s="162">
        <f>'Active Case'!F23</f>
        <v>-8.2650987630678809</v>
      </c>
      <c r="M64" s="132">
        <f>Q64*M41</f>
        <v>-0.92599322806674467</v>
      </c>
      <c r="N64" s="132">
        <f>Q64*N41</f>
        <v>-0.92599322806674467</v>
      </c>
      <c r="O64" s="132">
        <f>Q64*O41</f>
        <v>-0.92599322806674467</v>
      </c>
      <c r="P64" s="132">
        <f>Q64*P41</f>
        <v>-0.92599322806674467</v>
      </c>
      <c r="Q64" s="162">
        <f>'Active Case'!G23</f>
        <v>-3.7039729122669787</v>
      </c>
      <c r="R64" s="132">
        <f>V64*R41</f>
        <v>-1.4168128650052907</v>
      </c>
      <c r="S64" s="132">
        <f>V64*S41</f>
        <v>-1.4168128650052907</v>
      </c>
      <c r="T64" s="132">
        <f>V64*T41</f>
        <v>-1.4168128650052907</v>
      </c>
      <c r="U64" s="132">
        <f>V64*U41</f>
        <v>-1.4168128650052907</v>
      </c>
      <c r="V64" s="162">
        <f>'Active Case'!H23</f>
        <v>-5.6672514600211628</v>
      </c>
      <c r="W64" s="132">
        <f>AA64*W41</f>
        <v>-2.2791884747086057</v>
      </c>
      <c r="X64" s="132">
        <f>AA64*X41</f>
        <v>-2.2791884747086057</v>
      </c>
      <c r="Y64" s="132">
        <f>AA64*Y41</f>
        <v>-2.2791884747086057</v>
      </c>
      <c r="Z64" s="132">
        <f>AA64*Z41</f>
        <v>-2.2791884747086057</v>
      </c>
      <c r="AA64" s="162">
        <f>'Active Case'!I23</f>
        <v>-9.116753898834423</v>
      </c>
      <c r="AB64" s="132">
        <f>AF64*AB41</f>
        <v>-2.5873773390698518</v>
      </c>
      <c r="AC64" s="132">
        <f>AF64*AC41</f>
        <v>-2.5873773390698518</v>
      </c>
      <c r="AD64" s="132">
        <f>AF64*AD41</f>
        <v>-2.5873773390698518</v>
      </c>
      <c r="AE64" s="132">
        <f>AF64*AE41</f>
        <v>-2.5873773390698518</v>
      </c>
      <c r="AF64" s="162">
        <f>'Active Case'!J23</f>
        <v>-10.349509356279407</v>
      </c>
      <c r="AG64" s="132">
        <f>AK64*AG41</f>
        <v>-3.0104623129599304</v>
      </c>
      <c r="AH64" s="132">
        <f>AK64*AH41</f>
        <v>-3.0104623129599304</v>
      </c>
      <c r="AI64" s="132">
        <f>AK64*AI41</f>
        <v>-3.0104623129599304</v>
      </c>
      <c r="AJ64" s="132">
        <f>AK64*AJ41</f>
        <v>-3.0104623129599304</v>
      </c>
      <c r="AK64" s="162">
        <f>'Active Case'!K23</f>
        <v>-12.041849251839722</v>
      </c>
      <c r="AL64" s="132">
        <f>AP64*AL41</f>
        <v>-3.1719171124426611</v>
      </c>
      <c r="AM64" s="132">
        <f>AP64*AM41</f>
        <v>-3.1719171124426611</v>
      </c>
      <c r="AN64" s="132">
        <f>AP64*AN41</f>
        <v>-3.1719171124426611</v>
      </c>
      <c r="AO64" s="132">
        <f>AP64*AO41</f>
        <v>-3.1719171124426611</v>
      </c>
      <c r="AP64" s="162">
        <f>'Active Case'!L23</f>
        <v>-12.687668449770644</v>
      </c>
      <c r="AQ64" s="132">
        <f>AU64*AQ41</f>
        <v>-3.554206023012271</v>
      </c>
      <c r="AR64" s="132">
        <f>AU64*AR41</f>
        <v>-3.554206023012271</v>
      </c>
      <c r="AS64" s="132">
        <f>AU64*AS41</f>
        <v>-3.554206023012271</v>
      </c>
      <c r="AT64" s="132">
        <f>AU64*AT41</f>
        <v>-3.554206023012271</v>
      </c>
      <c r="AU64" s="162">
        <f>'Active Case'!M23</f>
        <v>-14.216824092049084</v>
      </c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83"/>
      <c r="BH64" s="83"/>
      <c r="BI64" s="83"/>
      <c r="BJ64" s="83"/>
      <c r="BK64" s="83"/>
      <c r="BL64" s="83"/>
      <c r="BM64" s="83"/>
      <c r="BN64" s="83"/>
      <c r="BO64" s="83"/>
      <c r="BP64" s="83"/>
      <c r="BQ64" s="83"/>
      <c r="BR64" s="83"/>
      <c r="BS64" s="83"/>
      <c r="BT64" s="83"/>
      <c r="BU64" s="83"/>
      <c r="BV64" s="83"/>
      <c r="BW64" s="83"/>
      <c r="BX64" s="83"/>
      <c r="BY64" s="83"/>
      <c r="BZ64" s="83"/>
      <c r="CA64" s="132"/>
      <c r="CB64" s="132"/>
      <c r="CC64" s="132"/>
    </row>
    <row r="65" spans="1:81" s="27" customFormat="1">
      <c r="C65" s="88"/>
      <c r="D65" s="88"/>
      <c r="E65" s="133"/>
      <c r="F65" s="133"/>
      <c r="G65" s="133"/>
      <c r="H65" s="133"/>
      <c r="I65" s="133"/>
      <c r="J65" s="133"/>
      <c r="K65" s="133"/>
      <c r="L65" s="169"/>
      <c r="M65" s="133"/>
      <c r="N65" s="133"/>
      <c r="O65" s="133"/>
      <c r="P65" s="133"/>
      <c r="Q65" s="169"/>
      <c r="R65" s="133"/>
      <c r="S65" s="133"/>
      <c r="T65" s="133"/>
      <c r="U65" s="133"/>
      <c r="V65" s="169"/>
      <c r="W65" s="133"/>
      <c r="X65" s="133"/>
      <c r="Y65" s="133"/>
      <c r="Z65" s="133"/>
      <c r="AA65" s="169"/>
      <c r="AB65" s="133"/>
      <c r="AC65" s="133"/>
      <c r="AD65" s="133"/>
      <c r="AE65" s="133"/>
      <c r="AF65" s="169"/>
      <c r="AG65" s="133"/>
      <c r="AH65" s="133"/>
      <c r="AI65" s="133"/>
      <c r="AJ65" s="133"/>
      <c r="AK65" s="169"/>
      <c r="AL65" s="133"/>
      <c r="AM65" s="133"/>
      <c r="AN65" s="133"/>
      <c r="AO65" s="133"/>
      <c r="AP65" s="169"/>
      <c r="AQ65" s="133"/>
      <c r="AR65" s="133"/>
      <c r="AS65" s="133"/>
      <c r="AT65" s="133"/>
      <c r="AU65" s="169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3"/>
      <c r="CA65" s="133"/>
      <c r="CB65" s="133"/>
      <c r="CC65" s="133"/>
    </row>
    <row r="66" spans="1:81" s="27" customFormat="1">
      <c r="C66" s="88" t="s">
        <v>104</v>
      </c>
      <c r="D66" s="88"/>
      <c r="E66" s="133"/>
      <c r="F66" s="133"/>
      <c r="G66" s="133"/>
      <c r="H66" s="132">
        <f t="shared" ref="H66:AK66" si="28">H56+H58+H64</f>
        <v>7.4620353494135578</v>
      </c>
      <c r="I66" s="132">
        <f t="shared" si="28"/>
        <v>7.4620353494135578</v>
      </c>
      <c r="J66" s="132">
        <f t="shared" si="28"/>
        <v>7.4620353494135578</v>
      </c>
      <c r="K66" s="132">
        <f t="shared" si="28"/>
        <v>7.4620353494135578</v>
      </c>
      <c r="L66" s="164">
        <f t="shared" si="28"/>
        <v>29.848141397654231</v>
      </c>
      <c r="M66" s="132">
        <f t="shared" si="28"/>
        <v>4.9812602871269611</v>
      </c>
      <c r="N66" s="132">
        <f t="shared" si="28"/>
        <v>4.9546567344703849</v>
      </c>
      <c r="O66" s="132">
        <f t="shared" si="28"/>
        <v>4.9280531818138087</v>
      </c>
      <c r="P66" s="132">
        <f t="shared" si="28"/>
        <v>4.9014496291572325</v>
      </c>
      <c r="Q66" s="164">
        <f t="shared" si="28"/>
        <v>19.765419832568391</v>
      </c>
      <c r="R66" s="132">
        <f t="shared" si="28"/>
        <v>6.4859302034402635</v>
      </c>
      <c r="S66" s="132">
        <f t="shared" si="28"/>
        <v>6.424674906539023</v>
      </c>
      <c r="T66" s="132">
        <f t="shared" si="28"/>
        <v>6.3634196096377833</v>
      </c>
      <c r="U66" s="132">
        <f t="shared" si="28"/>
        <v>6.3021643127365428</v>
      </c>
      <c r="V66" s="164">
        <f t="shared" si="28"/>
        <v>25.576189032353614</v>
      </c>
      <c r="W66" s="132">
        <f t="shared" si="28"/>
        <v>8.0396787433708443</v>
      </c>
      <c r="X66" s="132">
        <f t="shared" si="28"/>
        <v>8.0083024316981231</v>
      </c>
      <c r="Y66" s="132">
        <f t="shared" si="28"/>
        <v>7.9769261200254018</v>
      </c>
      <c r="Z66" s="132">
        <f t="shared" si="28"/>
        <v>7.9455498083526823</v>
      </c>
      <c r="AA66" s="164">
        <f t="shared" si="28"/>
        <v>31.970457103447053</v>
      </c>
      <c r="AB66" s="132">
        <f t="shared" si="28"/>
        <v>9.1063775391121364</v>
      </c>
      <c r="AC66" s="132">
        <f t="shared" si="28"/>
        <v>9.1063775391121364</v>
      </c>
      <c r="AD66" s="132">
        <f t="shared" si="28"/>
        <v>9.1063775391121364</v>
      </c>
      <c r="AE66" s="132">
        <f t="shared" si="28"/>
        <v>9.1063775391121364</v>
      </c>
      <c r="AF66" s="164">
        <f t="shared" si="28"/>
        <v>36.425510156448546</v>
      </c>
      <c r="AG66" s="132">
        <f t="shared" si="28"/>
        <v>10.685146823822294</v>
      </c>
      <c r="AH66" s="132">
        <f t="shared" si="28"/>
        <v>10.685146823822294</v>
      </c>
      <c r="AI66" s="132">
        <f t="shared" si="28"/>
        <v>10.685146823822294</v>
      </c>
      <c r="AJ66" s="132">
        <f t="shared" si="28"/>
        <v>10.685146823822294</v>
      </c>
      <c r="AK66" s="164">
        <f t="shared" si="28"/>
        <v>42.740587295289174</v>
      </c>
      <c r="AL66" s="132">
        <f t="shared" ref="AL66:AU66" si="29">AL56+AL58+AL64</f>
        <v>10.962610144166153</v>
      </c>
      <c r="AM66" s="132">
        <f t="shared" si="29"/>
        <v>10.962610144166153</v>
      </c>
      <c r="AN66" s="132">
        <f t="shared" si="29"/>
        <v>10.962610144166153</v>
      </c>
      <c r="AO66" s="132">
        <f t="shared" si="29"/>
        <v>10.962610144166153</v>
      </c>
      <c r="AP66" s="164">
        <f t="shared" si="29"/>
        <v>43.85044057666461</v>
      </c>
      <c r="AQ66" s="132">
        <f t="shared" si="29"/>
        <v>11.028017715819658</v>
      </c>
      <c r="AR66" s="132">
        <f t="shared" si="29"/>
        <v>11.028017715819658</v>
      </c>
      <c r="AS66" s="132">
        <f t="shared" si="29"/>
        <v>11.028017715819658</v>
      </c>
      <c r="AT66" s="132">
        <f t="shared" si="29"/>
        <v>13.089543118895996</v>
      </c>
      <c r="AU66" s="164">
        <f t="shared" si="29"/>
        <v>46.173596266354963</v>
      </c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  <c r="BR66" s="23"/>
      <c r="BS66" s="23"/>
      <c r="BT66" s="23"/>
      <c r="BU66" s="23"/>
      <c r="BV66" s="23"/>
      <c r="BW66" s="23"/>
      <c r="BX66" s="23"/>
      <c r="BY66" s="23"/>
      <c r="BZ66" s="23"/>
      <c r="CA66" s="133"/>
      <c r="CB66" s="133"/>
      <c r="CC66" s="133"/>
    </row>
    <row r="67" spans="1:81" s="27" customFormat="1">
      <c r="C67" s="170"/>
      <c r="D67" s="170"/>
      <c r="E67" s="170"/>
      <c r="F67" s="170"/>
      <c r="G67" s="170"/>
      <c r="H67" s="170"/>
      <c r="I67" s="171"/>
      <c r="J67" s="171"/>
      <c r="K67" s="171"/>
      <c r="L67" s="167"/>
      <c r="M67" s="171"/>
      <c r="N67" s="171"/>
      <c r="O67" s="171"/>
      <c r="P67" s="171"/>
      <c r="Q67" s="167"/>
      <c r="R67" s="171"/>
      <c r="S67" s="171"/>
      <c r="T67" s="171"/>
      <c r="U67" s="171"/>
      <c r="V67" s="167"/>
      <c r="W67" s="171"/>
      <c r="X67" s="171"/>
      <c r="Y67" s="171"/>
      <c r="Z67" s="171"/>
      <c r="AA67" s="167"/>
      <c r="AB67" s="171"/>
      <c r="AC67" s="171"/>
      <c r="AD67" s="171"/>
      <c r="AE67" s="171"/>
      <c r="AF67" s="167"/>
      <c r="AG67" s="171"/>
      <c r="AH67" s="171"/>
      <c r="AI67" s="171"/>
      <c r="AJ67" s="171"/>
      <c r="AK67" s="167"/>
      <c r="AL67" s="171"/>
      <c r="AM67" s="171"/>
      <c r="AN67" s="171"/>
      <c r="AO67" s="171"/>
      <c r="AP67" s="167"/>
      <c r="AQ67" s="171"/>
      <c r="AR67" s="171"/>
      <c r="AS67" s="171"/>
      <c r="AT67" s="171"/>
      <c r="AU67" s="167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/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3"/>
      <c r="CA67" s="133"/>
      <c r="CB67" s="133"/>
      <c r="CC67" s="133"/>
    </row>
    <row r="68" spans="1:81" s="27" customFormat="1">
      <c r="E68" s="133"/>
      <c r="F68" s="133"/>
      <c r="G68" s="133"/>
      <c r="H68" s="133"/>
      <c r="I68" s="133"/>
      <c r="J68" s="133"/>
      <c r="K68" s="133"/>
      <c r="L68" s="133"/>
      <c r="M68" s="133"/>
      <c r="N68" s="133"/>
      <c r="O68" s="133"/>
      <c r="P68" s="133"/>
      <c r="Q68" s="133"/>
      <c r="R68" s="133"/>
      <c r="S68" s="133"/>
      <c r="T68" s="133"/>
      <c r="U68" s="133"/>
      <c r="V68" s="133"/>
      <c r="W68" s="133"/>
      <c r="X68" s="133"/>
      <c r="Y68" s="133"/>
      <c r="Z68" s="133"/>
      <c r="AA68" s="133"/>
      <c r="AB68" s="133"/>
      <c r="AC68" s="133"/>
      <c r="AD68" s="133"/>
      <c r="AE68" s="133"/>
      <c r="AF68" s="133"/>
      <c r="AG68" s="133"/>
      <c r="AH68" s="133"/>
      <c r="AI68" s="133"/>
      <c r="AJ68" s="133"/>
      <c r="AK68" s="133"/>
      <c r="AL68" s="133"/>
      <c r="AM68" s="133"/>
      <c r="AN68" s="133"/>
      <c r="AO68" s="133"/>
      <c r="AP68" s="133"/>
      <c r="AQ68" s="133"/>
      <c r="AR68" s="133"/>
      <c r="AS68" s="133"/>
      <c r="AT68" s="133"/>
      <c r="AU68" s="133"/>
      <c r="AV68" s="23"/>
      <c r="AW68" s="23"/>
      <c r="AX68" s="23"/>
      <c r="AY68" s="23"/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23"/>
      <c r="BK68" s="23"/>
      <c r="BL68" s="23"/>
      <c r="BM68" s="23"/>
      <c r="BN68" s="23"/>
      <c r="BO68" s="23"/>
      <c r="BP68" s="23"/>
      <c r="BQ68" s="23"/>
      <c r="BR68" s="23"/>
      <c r="BS68" s="23"/>
      <c r="BT68" s="23"/>
      <c r="BU68" s="23"/>
      <c r="BV68" s="23"/>
      <c r="BW68" s="23"/>
      <c r="BX68" s="23"/>
      <c r="BY68" s="23"/>
      <c r="BZ68" s="23"/>
      <c r="CA68" s="133"/>
      <c r="CB68" s="133"/>
      <c r="CC68" s="133"/>
    </row>
    <row r="69" spans="1:81" s="139" customFormat="1">
      <c r="B69" s="140"/>
      <c r="C69" s="141" t="s">
        <v>22</v>
      </c>
      <c r="D69" s="141"/>
      <c r="E69" s="141"/>
      <c r="F69" s="141"/>
      <c r="G69" s="141"/>
      <c r="H69" s="141"/>
      <c r="I69" s="141"/>
      <c r="J69" s="141"/>
      <c r="K69" s="141"/>
      <c r="L69" s="141"/>
      <c r="M69" s="141"/>
      <c r="N69" s="141"/>
      <c r="O69" s="141"/>
      <c r="P69" s="141"/>
      <c r="Q69" s="141"/>
      <c r="R69" s="141"/>
      <c r="S69" s="141"/>
      <c r="T69" s="141"/>
      <c r="U69" s="141"/>
      <c r="V69" s="141"/>
      <c r="W69" s="141"/>
      <c r="X69" s="141"/>
      <c r="Y69" s="141"/>
      <c r="Z69" s="141"/>
      <c r="AA69" s="141"/>
      <c r="AB69" s="141"/>
      <c r="AC69" s="141"/>
      <c r="AD69" s="141"/>
      <c r="AE69" s="141"/>
      <c r="AF69" s="141"/>
      <c r="AG69" s="141"/>
      <c r="AH69" s="141"/>
      <c r="AI69" s="141"/>
      <c r="AJ69" s="141"/>
      <c r="AK69" s="141"/>
      <c r="AL69" s="141"/>
      <c r="AM69" s="141"/>
      <c r="AN69" s="141"/>
      <c r="AO69" s="141"/>
      <c r="AP69" s="141"/>
      <c r="AQ69" s="141"/>
      <c r="AR69" s="141"/>
      <c r="AS69" s="141"/>
      <c r="AT69" s="141"/>
      <c r="AU69" s="141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23"/>
      <c r="BK69" s="23"/>
      <c r="BL69" s="23"/>
      <c r="BM69" s="23"/>
      <c r="BN69" s="23"/>
      <c r="BO69" s="23"/>
      <c r="BP69" s="23"/>
      <c r="BQ69" s="23"/>
      <c r="BR69" s="23"/>
      <c r="BS69" s="23"/>
      <c r="BT69" s="23"/>
      <c r="BU69" s="23"/>
      <c r="BV69" s="23"/>
      <c r="BW69" s="23"/>
      <c r="BX69" s="23"/>
      <c r="BY69" s="23"/>
      <c r="BZ69" s="23"/>
    </row>
    <row r="70" spans="1:81" ht="10.8" thickBot="1"/>
    <row r="71" spans="1:81" ht="10.8" thickBot="1">
      <c r="A71" s="18"/>
      <c r="B71" s="103"/>
      <c r="C71" s="45"/>
      <c r="D71" s="45"/>
      <c r="E71" s="104"/>
      <c r="F71" s="104"/>
      <c r="G71" s="104"/>
      <c r="H71" s="30" t="s">
        <v>80</v>
      </c>
      <c r="I71" s="105" t="s">
        <v>81</v>
      </c>
      <c r="J71" s="105" t="s">
        <v>82</v>
      </c>
      <c r="K71" s="106" t="s">
        <v>77</v>
      </c>
      <c r="L71" s="30" t="s">
        <v>95</v>
      </c>
      <c r="M71" s="30" t="s">
        <v>80</v>
      </c>
      <c r="N71" s="105" t="s">
        <v>81</v>
      </c>
      <c r="O71" s="105" t="s">
        <v>82</v>
      </c>
      <c r="P71" s="105" t="s">
        <v>83</v>
      </c>
      <c r="Q71" s="30" t="s">
        <v>95</v>
      </c>
      <c r="R71" s="30" t="s">
        <v>80</v>
      </c>
      <c r="S71" s="105" t="s">
        <v>81</v>
      </c>
      <c r="T71" s="105" t="s">
        <v>82</v>
      </c>
      <c r="U71" s="105" t="s">
        <v>83</v>
      </c>
      <c r="V71" s="30" t="s">
        <v>95</v>
      </c>
      <c r="W71" s="30" t="s">
        <v>80</v>
      </c>
      <c r="X71" s="105" t="s">
        <v>81</v>
      </c>
      <c r="Y71" s="105" t="s">
        <v>82</v>
      </c>
      <c r="Z71" s="105" t="s">
        <v>83</v>
      </c>
      <c r="AA71" s="30" t="s">
        <v>95</v>
      </c>
      <c r="AB71" s="30" t="s">
        <v>80</v>
      </c>
      <c r="AC71" s="105" t="s">
        <v>81</v>
      </c>
      <c r="AD71" s="105" t="s">
        <v>82</v>
      </c>
      <c r="AE71" s="105" t="s">
        <v>83</v>
      </c>
      <c r="AF71" s="30" t="s">
        <v>95</v>
      </c>
      <c r="AG71" s="30" t="s">
        <v>80</v>
      </c>
      <c r="AH71" s="105" t="s">
        <v>81</v>
      </c>
      <c r="AI71" s="105" t="s">
        <v>82</v>
      </c>
      <c r="AJ71" s="105" t="s">
        <v>83</v>
      </c>
      <c r="AK71" s="30" t="s">
        <v>95</v>
      </c>
      <c r="AL71" s="30" t="s">
        <v>80</v>
      </c>
      <c r="AM71" s="105" t="s">
        <v>81</v>
      </c>
      <c r="AN71" s="105" t="s">
        <v>82</v>
      </c>
      <c r="AO71" s="105" t="s">
        <v>83</v>
      </c>
      <c r="AP71" s="30" t="s">
        <v>95</v>
      </c>
      <c r="AQ71" s="30" t="s">
        <v>80</v>
      </c>
      <c r="AR71" s="105" t="s">
        <v>81</v>
      </c>
      <c r="AS71" s="105" t="s">
        <v>82</v>
      </c>
      <c r="AT71" s="105" t="s">
        <v>83</v>
      </c>
      <c r="AU71" s="30" t="s">
        <v>95</v>
      </c>
    </row>
    <row r="72" spans="1:81" ht="10.8" thickBot="1">
      <c r="E72" s="107"/>
      <c r="F72" s="107"/>
      <c r="G72" s="107"/>
      <c r="H72" s="130">
        <v>45747</v>
      </c>
      <c r="I72" s="130">
        <v>45838</v>
      </c>
      <c r="J72" s="130">
        <v>45930</v>
      </c>
      <c r="K72" s="130">
        <v>46022</v>
      </c>
      <c r="L72" s="130">
        <f>K72</f>
        <v>46022</v>
      </c>
      <c r="M72" s="130">
        <f>EOMONTH(L72,3)</f>
        <v>46112</v>
      </c>
      <c r="N72" s="130">
        <f>EOMONTH(M72,3)</f>
        <v>46203</v>
      </c>
      <c r="O72" s="130">
        <f>EOMONTH(N72,3)</f>
        <v>46295</v>
      </c>
      <c r="P72" s="130">
        <f>EOMONTH(O72,3)</f>
        <v>46387</v>
      </c>
      <c r="Q72" s="130">
        <f>P72</f>
        <v>46387</v>
      </c>
      <c r="R72" s="130">
        <f>EOMONTH(Q72,3)</f>
        <v>46477</v>
      </c>
      <c r="S72" s="130">
        <f>EOMONTH(R72,3)</f>
        <v>46568</v>
      </c>
      <c r="T72" s="130">
        <f>EOMONTH(S72,3)</f>
        <v>46660</v>
      </c>
      <c r="U72" s="130">
        <f>EOMONTH(T72,3)</f>
        <v>46752</v>
      </c>
      <c r="V72" s="130">
        <f>U72</f>
        <v>46752</v>
      </c>
      <c r="W72" s="130">
        <f>EOMONTH(V72,3)</f>
        <v>46843</v>
      </c>
      <c r="X72" s="130">
        <f>EOMONTH(W72,3)</f>
        <v>46934</v>
      </c>
      <c r="Y72" s="130">
        <f>EOMONTH(X72,3)</f>
        <v>47026</v>
      </c>
      <c r="Z72" s="130">
        <f>EOMONTH(Y72,3)</f>
        <v>47118</v>
      </c>
      <c r="AA72" s="130">
        <f>Z72</f>
        <v>47118</v>
      </c>
      <c r="AB72" s="130">
        <f>EOMONTH(AA72,3)</f>
        <v>47208</v>
      </c>
      <c r="AC72" s="130">
        <f>EOMONTH(AB72,3)</f>
        <v>47299</v>
      </c>
      <c r="AD72" s="130">
        <f>EOMONTH(AC72,3)</f>
        <v>47391</v>
      </c>
      <c r="AE72" s="130">
        <f>EOMONTH(AD72,3)</f>
        <v>47483</v>
      </c>
      <c r="AF72" s="130">
        <f>AE72</f>
        <v>47483</v>
      </c>
      <c r="AG72" s="130">
        <f>EOMONTH(AF72,3)</f>
        <v>47573</v>
      </c>
      <c r="AH72" s="130">
        <f>EOMONTH(AG72,3)</f>
        <v>47664</v>
      </c>
      <c r="AI72" s="130">
        <f>EOMONTH(AH72,3)</f>
        <v>47756</v>
      </c>
      <c r="AJ72" s="130">
        <f>EOMONTH(AI72,3)</f>
        <v>47848</v>
      </c>
      <c r="AK72" s="130">
        <f>AJ72</f>
        <v>47848</v>
      </c>
      <c r="AL72" s="130">
        <f>EOMONTH(AK72,3)</f>
        <v>47938</v>
      </c>
      <c r="AM72" s="130">
        <f>EOMONTH(AL72,3)</f>
        <v>48029</v>
      </c>
      <c r="AN72" s="130">
        <f>EOMONTH(AM72,3)</f>
        <v>48121</v>
      </c>
      <c r="AO72" s="130">
        <f>EOMONTH(AN72,3)</f>
        <v>48213</v>
      </c>
      <c r="AP72" s="130">
        <f>AO72</f>
        <v>48213</v>
      </c>
      <c r="AQ72" s="130">
        <f>EOMONTH(AP72,3)</f>
        <v>48304</v>
      </c>
      <c r="AR72" s="130">
        <f>EOMONTH(AQ72,3)</f>
        <v>48395</v>
      </c>
      <c r="AS72" s="130">
        <f>EOMONTH(AR72,3)</f>
        <v>48487</v>
      </c>
      <c r="AT72" s="130">
        <f>EOMONTH(AS72,3)</f>
        <v>48579</v>
      </c>
      <c r="AU72" s="130">
        <f>AT72</f>
        <v>48579</v>
      </c>
    </row>
    <row r="73" spans="1:81">
      <c r="I73" s="142"/>
      <c r="J73" s="142"/>
      <c r="K73" s="142"/>
      <c r="L73" s="142"/>
      <c r="M73" s="142"/>
      <c r="N73" s="142"/>
      <c r="O73" s="142"/>
      <c r="P73" s="142"/>
      <c r="Q73" s="142"/>
      <c r="R73" s="142"/>
      <c r="S73" s="142"/>
      <c r="T73" s="142"/>
      <c r="U73" s="142"/>
      <c r="V73" s="142"/>
      <c r="W73" s="142"/>
      <c r="X73" s="142"/>
      <c r="Y73" s="142"/>
      <c r="Z73" s="142"/>
      <c r="AA73" s="142"/>
      <c r="AB73" s="142"/>
      <c r="AC73" s="142"/>
      <c r="AD73" s="142"/>
      <c r="AE73" s="142"/>
      <c r="AF73" s="142"/>
      <c r="AG73" s="142"/>
      <c r="AH73" s="142"/>
      <c r="AI73" s="142"/>
      <c r="AJ73" s="142"/>
      <c r="AK73" s="142"/>
      <c r="AL73" s="142"/>
      <c r="AM73" s="142"/>
      <c r="AN73" s="142"/>
      <c r="AO73" s="142"/>
      <c r="AP73" s="142"/>
      <c r="AQ73" s="142"/>
      <c r="AR73" s="142"/>
      <c r="AS73" s="142"/>
      <c r="AT73" s="142"/>
      <c r="AU73" s="142"/>
    </row>
    <row r="74" spans="1:81" s="27" customFormat="1">
      <c r="C74" s="172" t="s">
        <v>29</v>
      </c>
      <c r="D74" s="172"/>
      <c r="E74" s="173"/>
      <c r="F74" s="173"/>
      <c r="G74" s="173"/>
      <c r="H74" s="599"/>
      <c r="I74" s="599"/>
      <c r="J74" s="599"/>
      <c r="K74" s="599"/>
      <c r="L74" s="600"/>
      <c r="M74" s="174">
        <f t="shared" ref="M74:AK74" si="30">M54</f>
        <v>13.060829816029425</v>
      </c>
      <c r="N74" s="174">
        <f t="shared" si="30"/>
        <v>13.060829816029425</v>
      </c>
      <c r="O74" s="174">
        <f t="shared" si="30"/>
        <v>13.060829816029425</v>
      </c>
      <c r="P74" s="174">
        <f t="shared" si="30"/>
        <v>13.060829816029425</v>
      </c>
      <c r="Q74" s="175">
        <f t="shared" si="30"/>
        <v>52.243319264117702</v>
      </c>
      <c r="R74" s="174">
        <f t="shared" si="30"/>
        <v>15.428321344495025</v>
      </c>
      <c r="S74" s="174">
        <f t="shared" si="30"/>
        <v>15.428321344495025</v>
      </c>
      <c r="T74" s="174">
        <f t="shared" si="30"/>
        <v>15.428321344495025</v>
      </c>
      <c r="U74" s="174">
        <f t="shared" si="30"/>
        <v>15.428321344495025</v>
      </c>
      <c r="V74" s="175">
        <f t="shared" si="30"/>
        <v>61.7132853779801</v>
      </c>
      <c r="W74" s="174">
        <f t="shared" si="30"/>
        <v>18.321270624617235</v>
      </c>
      <c r="X74" s="174">
        <f t="shared" si="30"/>
        <v>18.321270624617235</v>
      </c>
      <c r="Y74" s="174">
        <f t="shared" si="30"/>
        <v>18.321270624617235</v>
      </c>
      <c r="Z74" s="174">
        <f t="shared" si="30"/>
        <v>18.321270624617235</v>
      </c>
      <c r="AA74" s="175">
        <f t="shared" si="30"/>
        <v>73.285082498468938</v>
      </c>
      <c r="AB74" s="174">
        <f t="shared" si="30"/>
        <v>19.896937958728422</v>
      </c>
      <c r="AC74" s="174">
        <f t="shared" si="30"/>
        <v>19.896937958728422</v>
      </c>
      <c r="AD74" s="174">
        <f t="shared" si="30"/>
        <v>19.896937958728422</v>
      </c>
      <c r="AE74" s="174">
        <f t="shared" si="30"/>
        <v>19.896937958728422</v>
      </c>
      <c r="AF74" s="175">
        <f t="shared" si="30"/>
        <v>79.587751834913689</v>
      </c>
      <c r="AG74" s="174">
        <f t="shared" si="30"/>
        <v>21.945905991329443</v>
      </c>
      <c r="AH74" s="174">
        <f t="shared" si="30"/>
        <v>21.945905991329443</v>
      </c>
      <c r="AI74" s="174">
        <f t="shared" si="30"/>
        <v>21.945905991329443</v>
      </c>
      <c r="AJ74" s="174">
        <f t="shared" si="30"/>
        <v>21.945905991329443</v>
      </c>
      <c r="AK74" s="175">
        <f t="shared" si="30"/>
        <v>87.783623965317773</v>
      </c>
      <c r="AL74" s="174">
        <f t="shared" ref="AL74:AU74" si="31">AL54</f>
        <v>22.384824111156032</v>
      </c>
      <c r="AM74" s="174">
        <f t="shared" si="31"/>
        <v>22.384824111156032</v>
      </c>
      <c r="AN74" s="174">
        <f t="shared" si="31"/>
        <v>22.384824111156032</v>
      </c>
      <c r="AO74" s="174">
        <f t="shared" si="31"/>
        <v>22.384824111156032</v>
      </c>
      <c r="AP74" s="175">
        <f t="shared" si="31"/>
        <v>89.539296444624128</v>
      </c>
      <c r="AQ74" s="174">
        <f t="shared" si="31"/>
        <v>22.832520593379151</v>
      </c>
      <c r="AR74" s="174">
        <f t="shared" si="31"/>
        <v>22.832520593379151</v>
      </c>
      <c r="AS74" s="174">
        <f t="shared" si="31"/>
        <v>22.832520593379151</v>
      </c>
      <c r="AT74" s="174">
        <f t="shared" si="31"/>
        <v>22.832520593379151</v>
      </c>
      <c r="AU74" s="175">
        <f t="shared" si="31"/>
        <v>91.330082373516603</v>
      </c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23"/>
      <c r="BK74" s="23"/>
      <c r="BL74" s="23"/>
      <c r="BM74" s="23"/>
      <c r="BN74" s="23"/>
      <c r="BO74" s="23"/>
      <c r="BP74" s="23"/>
      <c r="BQ74" s="23"/>
      <c r="BR74" s="23"/>
      <c r="BS74" s="23"/>
      <c r="BT74" s="23"/>
      <c r="BU74" s="23"/>
      <c r="BV74" s="23"/>
      <c r="BW74" s="23"/>
      <c r="BX74" s="23"/>
      <c r="BY74" s="23"/>
      <c r="BZ74" s="23"/>
      <c r="CA74" s="133"/>
      <c r="CB74" s="133"/>
      <c r="CC74" s="133"/>
    </row>
    <row r="75" spans="1:81" s="27" customFormat="1">
      <c r="C75" s="80" t="s">
        <v>47</v>
      </c>
      <c r="D75" s="80"/>
      <c r="E75" s="77"/>
      <c r="F75" s="77"/>
      <c r="G75" s="77"/>
      <c r="H75" s="601"/>
      <c r="I75" s="601"/>
      <c r="J75" s="601"/>
      <c r="K75" s="601"/>
      <c r="L75" s="602"/>
      <c r="M75" s="133">
        <f>Q75*M42</f>
        <v>-1.2504354628123111</v>
      </c>
      <c r="N75" s="133">
        <f>Q75*N42</f>
        <v>-1.2504354628123111</v>
      </c>
      <c r="O75" s="133">
        <f>Q75*O42</f>
        <v>-1.2504354628123111</v>
      </c>
      <c r="P75" s="133">
        <f>Q75*P42</f>
        <v>-1.2504354628123111</v>
      </c>
      <c r="Q75" s="160">
        <f>'Active Case'!G30</f>
        <v>-5.0017418512492444</v>
      </c>
      <c r="R75" s="133">
        <f>V75*R42</f>
        <v>-1.7119030230680183</v>
      </c>
      <c r="S75" s="133">
        <f>V75*S42</f>
        <v>-1.7119030230680183</v>
      </c>
      <c r="T75" s="133">
        <f>V75*T42</f>
        <v>-1.7119030230680183</v>
      </c>
      <c r="U75" s="133">
        <f>V75*U42</f>
        <v>-1.7119030230680183</v>
      </c>
      <c r="V75" s="160">
        <f>'Active Case'!H30</f>
        <v>-6.8476120922720733</v>
      </c>
      <c r="W75" s="133">
        <f>AA75*W42</f>
        <v>-1.5445211406142443</v>
      </c>
      <c r="X75" s="133">
        <f>AA75*X42</f>
        <v>-1.5445211406142443</v>
      </c>
      <c r="Y75" s="133">
        <f>AA75*Y42</f>
        <v>-1.5445211406142443</v>
      </c>
      <c r="Z75" s="133">
        <f>AA75*Z42</f>
        <v>-1.5445211406142443</v>
      </c>
      <c r="AA75" s="160">
        <f>'Active Case'!I30</f>
        <v>-6.1780845624569771</v>
      </c>
      <c r="AB75" s="133">
        <f>AF75*AB42</f>
        <v>-0.63675263838535467</v>
      </c>
      <c r="AC75" s="133">
        <f>AF75*AC42</f>
        <v>-0.63675263838535467</v>
      </c>
      <c r="AD75" s="133">
        <f>AF75*AD42</f>
        <v>-0.63675263838535467</v>
      </c>
      <c r="AE75" s="133">
        <f>AF75*AE42</f>
        <v>-0.63675263838535467</v>
      </c>
      <c r="AF75" s="160">
        <f>'Active Case'!J30</f>
        <v>-2.5470105535414187</v>
      </c>
      <c r="AG75" s="133">
        <f>AK75*AG42</f>
        <v>-0.74630515362728511</v>
      </c>
      <c r="AH75" s="133">
        <f>AK75*AH42</f>
        <v>-0.74630515362728511</v>
      </c>
      <c r="AI75" s="133">
        <f>AK75*AI42</f>
        <v>-0.74630515362728511</v>
      </c>
      <c r="AJ75" s="133">
        <f>AK75*AJ42</f>
        <v>-0.74630515362728511</v>
      </c>
      <c r="AK75" s="160">
        <f>'Active Case'!K30</f>
        <v>-2.9852206145091404</v>
      </c>
      <c r="AL75" s="133">
        <f>AP75*AL42</f>
        <v>-0.3915023526088165</v>
      </c>
      <c r="AM75" s="133">
        <f>AP75*AM42</f>
        <v>-0.3915023526088165</v>
      </c>
      <c r="AN75" s="133">
        <f>AP75*AN42</f>
        <v>-0.3915023526088165</v>
      </c>
      <c r="AO75" s="133">
        <f>AP75*AO42</f>
        <v>-0.3915023526088165</v>
      </c>
      <c r="AP75" s="160">
        <f>'Active Case'!L30</f>
        <v>-1.566009410435266</v>
      </c>
      <c r="AQ75" s="133">
        <f>AU75*AQ42</f>
        <v>-0.39933239966099282</v>
      </c>
      <c r="AR75" s="133">
        <f>AU75*AR42</f>
        <v>-0.39933239966099282</v>
      </c>
      <c r="AS75" s="133">
        <f>AU75*AS42</f>
        <v>-0.39933239966099282</v>
      </c>
      <c r="AT75" s="133">
        <f>AU75*AT42</f>
        <v>-0.39933239966099282</v>
      </c>
      <c r="AU75" s="160">
        <f>'Active Case'!M30</f>
        <v>-1.5973295986439713</v>
      </c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23"/>
      <c r="BK75" s="23"/>
      <c r="BL75" s="23"/>
      <c r="BM75" s="23"/>
      <c r="BN75" s="23"/>
      <c r="BO75" s="23"/>
      <c r="BP75" s="23"/>
      <c r="BQ75" s="23"/>
      <c r="BR75" s="23"/>
      <c r="BS75" s="23"/>
      <c r="BT75" s="23"/>
      <c r="BU75" s="23"/>
      <c r="BV75" s="23"/>
      <c r="BW75" s="23"/>
      <c r="BX75" s="23"/>
      <c r="BY75" s="23"/>
      <c r="BZ75" s="23"/>
      <c r="CA75" s="133"/>
      <c r="CB75" s="133"/>
      <c r="CC75" s="133"/>
    </row>
    <row r="76" spans="1:81" s="27" customFormat="1">
      <c r="C76" s="80" t="s">
        <v>98</v>
      </c>
      <c r="D76" s="80"/>
      <c r="E76" s="77"/>
      <c r="F76" s="77"/>
      <c r="G76" s="77"/>
      <c r="H76" s="601"/>
      <c r="I76" s="601"/>
      <c r="J76" s="601"/>
      <c r="K76" s="601"/>
      <c r="L76" s="603"/>
      <c r="M76" s="133">
        <f>Q76*M43</f>
        <v>-2.660355265657568</v>
      </c>
      <c r="N76" s="133">
        <f>Q76*N43</f>
        <v>-2.660355265657568</v>
      </c>
      <c r="O76" s="133">
        <f>Q76*O43</f>
        <v>-2.660355265657568</v>
      </c>
      <c r="P76" s="133">
        <f>Q76*P43</f>
        <v>-2.660355265657568</v>
      </c>
      <c r="Q76" s="513">
        <f>'Active Case'!G33+'Active Case'!G36</f>
        <v>-10.641421062630272</v>
      </c>
      <c r="R76" s="133">
        <f>V76*R43</f>
        <v>-6.1255296901240079</v>
      </c>
      <c r="S76" s="133">
        <f>V76*S43</f>
        <v>-6.1255296901240079</v>
      </c>
      <c r="T76" s="133">
        <f>V76*T43</f>
        <v>-6.1255296901240079</v>
      </c>
      <c r="U76" s="133">
        <f>V76*U43</f>
        <v>-6.1255296901240079</v>
      </c>
      <c r="V76" s="513">
        <f>'Active Case'!H33+'Active Case'!H36</f>
        <v>-24.502118760496032</v>
      </c>
      <c r="W76" s="133">
        <f>AA76*W43</f>
        <v>-3.1376311672720525</v>
      </c>
      <c r="X76" s="133">
        <f>AA76*X43</f>
        <v>-3.1376311672720525</v>
      </c>
      <c r="Y76" s="133">
        <f>AA76*Y43</f>
        <v>-3.1376311672720525</v>
      </c>
      <c r="Z76" s="133">
        <f>AA76*Z43</f>
        <v>-3.1376311672720525</v>
      </c>
      <c r="AA76" s="513">
        <f>'Active Case'!I33+'Active Case'!I36</f>
        <v>-12.55052466908821</v>
      </c>
      <c r="AB76" s="133">
        <f>AF76*AB43</f>
        <v>-4.1174563412092029</v>
      </c>
      <c r="AC76" s="133">
        <f>AF76*AC43</f>
        <v>-4.1174563412092029</v>
      </c>
      <c r="AD76" s="133">
        <f>AF76*AD43</f>
        <v>-4.1174563412092029</v>
      </c>
      <c r="AE76" s="133">
        <f>AF76*AE43</f>
        <v>-4.1174563412092029</v>
      </c>
      <c r="AF76" s="513">
        <f>'Active Case'!J33+'Active Case'!J36</f>
        <v>-16.469825364836812</v>
      </c>
      <c r="AG76" s="133">
        <f>AK76*AG43</f>
        <v>-2.7502833365715738</v>
      </c>
      <c r="AH76" s="133">
        <f>AK76*AH43</f>
        <v>-2.7502833365715738</v>
      </c>
      <c r="AI76" s="133">
        <f>AK76*AI43</f>
        <v>-2.7502833365715738</v>
      </c>
      <c r="AJ76" s="133">
        <f>AK76*AJ43</f>
        <v>-2.7502833365715738</v>
      </c>
      <c r="AK76" s="513">
        <f>'Active Case'!K33+'Active Case'!K36</f>
        <v>-11.001133346286295</v>
      </c>
      <c r="AL76" s="133">
        <f>AP76*AL43</f>
        <v>-2.193290490805694</v>
      </c>
      <c r="AM76" s="133">
        <f>AP76*AM43</f>
        <v>-2.193290490805694</v>
      </c>
      <c r="AN76" s="133">
        <f>AP76*AN43</f>
        <v>-2.193290490805694</v>
      </c>
      <c r="AO76" s="133">
        <f>AP76*AO43</f>
        <v>-2.193290490805694</v>
      </c>
      <c r="AP76" s="513">
        <f>'Active Case'!L33+'Active Case'!L36</f>
        <v>-8.7731619632227762</v>
      </c>
      <c r="AQ76" s="133">
        <f>AU76*AQ43</f>
        <v>-2.193290490805694</v>
      </c>
      <c r="AR76" s="133">
        <f>AU76*AR43</f>
        <v>-2.193290490805694</v>
      </c>
      <c r="AS76" s="133">
        <f>AU76*AS43</f>
        <v>-2.193290490805694</v>
      </c>
      <c r="AT76" s="133">
        <f>AU76*AT43</f>
        <v>-2.193290490805694</v>
      </c>
      <c r="AU76" s="513">
        <f>'Active Case'!M33+'Active Case'!M36</f>
        <v>-8.7731619632227762</v>
      </c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3"/>
      <c r="BM76" s="23"/>
      <c r="BN76" s="23"/>
      <c r="BO76" s="23"/>
      <c r="BP76" s="23"/>
      <c r="BQ76" s="23"/>
      <c r="BR76" s="23"/>
      <c r="BS76" s="23"/>
      <c r="BT76" s="23"/>
      <c r="BU76" s="23"/>
      <c r="BV76" s="23"/>
      <c r="BW76" s="23"/>
      <c r="BX76" s="23"/>
      <c r="BY76" s="23"/>
      <c r="BZ76" s="23"/>
      <c r="CA76" s="133"/>
      <c r="CB76" s="133"/>
      <c r="CC76" s="133"/>
    </row>
    <row r="77" spans="1:81" s="27" customFormat="1">
      <c r="C77" s="80" t="s">
        <v>105</v>
      </c>
      <c r="D77" s="80"/>
      <c r="E77" s="133"/>
      <c r="F77" s="133"/>
      <c r="G77" s="133"/>
      <c r="H77" s="601"/>
      <c r="I77" s="601"/>
      <c r="J77" s="601"/>
      <c r="K77" s="601"/>
      <c r="L77" s="604"/>
      <c r="M77" s="133">
        <f>M64</f>
        <v>-0.92599322806674467</v>
      </c>
      <c r="N77" s="133">
        <f>N64</f>
        <v>-0.92599322806674467</v>
      </c>
      <c r="O77" s="133">
        <f>O64</f>
        <v>-0.92599322806674467</v>
      </c>
      <c r="P77" s="133">
        <f>P64</f>
        <v>-0.92599322806674467</v>
      </c>
      <c r="Q77" s="168">
        <f>SUM(M77:P77)</f>
        <v>-3.7039729122669787</v>
      </c>
      <c r="R77" s="133">
        <f>R64</f>
        <v>-1.4168128650052907</v>
      </c>
      <c r="S77" s="133">
        <f>S64</f>
        <v>-1.4168128650052907</v>
      </c>
      <c r="T77" s="133">
        <f>T64</f>
        <v>-1.4168128650052907</v>
      </c>
      <c r="U77" s="133">
        <f>U64</f>
        <v>-1.4168128650052907</v>
      </c>
      <c r="V77" s="168">
        <f>SUM(R77:U77)</f>
        <v>-5.6672514600211628</v>
      </c>
      <c r="W77" s="133">
        <f>W64</f>
        <v>-2.2791884747086057</v>
      </c>
      <c r="X77" s="133">
        <f>X64</f>
        <v>-2.2791884747086057</v>
      </c>
      <c r="Y77" s="133">
        <f>Y64</f>
        <v>-2.2791884747086057</v>
      </c>
      <c r="Z77" s="133">
        <f>Z64</f>
        <v>-2.2791884747086057</v>
      </c>
      <c r="AA77" s="168">
        <f>SUM(W77:Z77)</f>
        <v>-9.116753898834423</v>
      </c>
      <c r="AB77" s="133">
        <f>AB64</f>
        <v>-2.5873773390698518</v>
      </c>
      <c r="AC77" s="133">
        <f>AC64</f>
        <v>-2.5873773390698518</v>
      </c>
      <c r="AD77" s="133">
        <f>AD64</f>
        <v>-2.5873773390698518</v>
      </c>
      <c r="AE77" s="133">
        <f>AE64</f>
        <v>-2.5873773390698518</v>
      </c>
      <c r="AF77" s="168">
        <f>SUM(AB77:AE77)</f>
        <v>-10.349509356279407</v>
      </c>
      <c r="AG77" s="133">
        <f>AG64</f>
        <v>-3.0104623129599304</v>
      </c>
      <c r="AH77" s="133">
        <f>AH64</f>
        <v>-3.0104623129599304</v>
      </c>
      <c r="AI77" s="133">
        <f>AI64</f>
        <v>-3.0104623129599304</v>
      </c>
      <c r="AJ77" s="133">
        <f>AJ64</f>
        <v>-3.0104623129599304</v>
      </c>
      <c r="AK77" s="168">
        <f>SUM(AG77:AJ77)</f>
        <v>-12.041849251839722</v>
      </c>
      <c r="AL77" s="133">
        <f>AL64</f>
        <v>-3.1719171124426611</v>
      </c>
      <c r="AM77" s="133">
        <f>AM64</f>
        <v>-3.1719171124426611</v>
      </c>
      <c r="AN77" s="133">
        <f>AN64</f>
        <v>-3.1719171124426611</v>
      </c>
      <c r="AO77" s="133">
        <f>AO64</f>
        <v>-3.1719171124426611</v>
      </c>
      <c r="AP77" s="168">
        <f>SUM(AL77:AO77)</f>
        <v>-12.687668449770644</v>
      </c>
      <c r="AQ77" s="133">
        <f>AQ64</f>
        <v>-3.554206023012271</v>
      </c>
      <c r="AR77" s="133">
        <f>AR64</f>
        <v>-3.554206023012271</v>
      </c>
      <c r="AS77" s="133">
        <f>AS64</f>
        <v>-3.554206023012271</v>
      </c>
      <c r="AT77" s="133">
        <f>AT64</f>
        <v>-3.554206023012271</v>
      </c>
      <c r="AU77" s="168">
        <f>SUM(AQ77:AT77)</f>
        <v>-14.216824092049084</v>
      </c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  <c r="BT77" s="23"/>
      <c r="BU77" s="23"/>
      <c r="BV77" s="23"/>
      <c r="BW77" s="23"/>
      <c r="BX77" s="23"/>
      <c r="BY77" s="23"/>
      <c r="BZ77" s="23"/>
      <c r="CA77" s="133"/>
      <c r="CB77" s="133"/>
      <c r="CC77" s="133"/>
    </row>
    <row r="78" spans="1:81" s="27" customFormat="1">
      <c r="C78" s="172" t="s">
        <v>106</v>
      </c>
      <c r="D78" s="172"/>
      <c r="E78" s="173"/>
      <c r="F78" s="173"/>
      <c r="G78" s="173"/>
      <c r="H78" s="599"/>
      <c r="I78" s="599"/>
      <c r="J78" s="599"/>
      <c r="K78" s="599"/>
      <c r="L78" s="600"/>
      <c r="M78" s="174">
        <f t="shared" ref="M78:AK78" si="32">SUM(M74:M77)</f>
        <v>8.2240458594928025</v>
      </c>
      <c r="N78" s="174">
        <f t="shared" si="32"/>
        <v>8.2240458594928025</v>
      </c>
      <c r="O78" s="174">
        <f t="shared" si="32"/>
        <v>8.2240458594928025</v>
      </c>
      <c r="P78" s="174">
        <f t="shared" si="32"/>
        <v>8.2240458594928025</v>
      </c>
      <c r="Q78" s="175">
        <f t="shared" si="32"/>
        <v>32.89618343797121</v>
      </c>
      <c r="R78" s="174">
        <f t="shared" si="32"/>
        <v>6.1740757662977082</v>
      </c>
      <c r="S78" s="174">
        <f t="shared" si="32"/>
        <v>6.1740757662977082</v>
      </c>
      <c r="T78" s="174">
        <f t="shared" si="32"/>
        <v>6.1740757662977082</v>
      </c>
      <c r="U78" s="174">
        <f t="shared" si="32"/>
        <v>6.1740757662977082</v>
      </c>
      <c r="V78" s="175">
        <f t="shared" si="32"/>
        <v>24.696303065190833</v>
      </c>
      <c r="W78" s="174">
        <f t="shared" si="32"/>
        <v>11.359929842022332</v>
      </c>
      <c r="X78" s="174">
        <f t="shared" si="32"/>
        <v>11.359929842022332</v>
      </c>
      <c r="Y78" s="174">
        <f t="shared" si="32"/>
        <v>11.359929842022332</v>
      </c>
      <c r="Z78" s="174">
        <f t="shared" si="32"/>
        <v>11.359929842022332</v>
      </c>
      <c r="AA78" s="175">
        <f t="shared" si="32"/>
        <v>45.439719368089328</v>
      </c>
      <c r="AB78" s="174">
        <f t="shared" si="32"/>
        <v>12.555351640064016</v>
      </c>
      <c r="AC78" s="174">
        <f t="shared" si="32"/>
        <v>12.555351640064016</v>
      </c>
      <c r="AD78" s="174">
        <f t="shared" si="32"/>
        <v>12.555351640064016</v>
      </c>
      <c r="AE78" s="174">
        <f t="shared" si="32"/>
        <v>12.555351640064016</v>
      </c>
      <c r="AF78" s="175">
        <f t="shared" si="32"/>
        <v>50.221406560256064</v>
      </c>
      <c r="AG78" s="174">
        <f t="shared" si="32"/>
        <v>15.438855188170653</v>
      </c>
      <c r="AH78" s="174">
        <f t="shared" si="32"/>
        <v>15.438855188170653</v>
      </c>
      <c r="AI78" s="174">
        <f t="shared" si="32"/>
        <v>15.438855188170653</v>
      </c>
      <c r="AJ78" s="174">
        <f t="shared" si="32"/>
        <v>15.438855188170653</v>
      </c>
      <c r="AK78" s="175">
        <f t="shared" si="32"/>
        <v>61.75542075268261</v>
      </c>
      <c r="AL78" s="174">
        <f t="shared" ref="AL78:AU78" si="33">SUM(AL74:AL77)</f>
        <v>16.62811415529886</v>
      </c>
      <c r="AM78" s="174">
        <f t="shared" si="33"/>
        <v>16.62811415529886</v>
      </c>
      <c r="AN78" s="174">
        <f t="shared" si="33"/>
        <v>16.62811415529886</v>
      </c>
      <c r="AO78" s="174">
        <f t="shared" si="33"/>
        <v>16.62811415529886</v>
      </c>
      <c r="AP78" s="175">
        <f t="shared" si="33"/>
        <v>66.51245662119544</v>
      </c>
      <c r="AQ78" s="174">
        <f t="shared" si="33"/>
        <v>16.685691679900195</v>
      </c>
      <c r="AR78" s="174">
        <f t="shared" si="33"/>
        <v>16.685691679900195</v>
      </c>
      <c r="AS78" s="174">
        <f t="shared" si="33"/>
        <v>16.685691679900195</v>
      </c>
      <c r="AT78" s="174">
        <f t="shared" si="33"/>
        <v>16.685691679900195</v>
      </c>
      <c r="AU78" s="175">
        <f t="shared" si="33"/>
        <v>66.74276671960078</v>
      </c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3"/>
      <c r="BK78" s="23"/>
      <c r="BL78" s="23"/>
      <c r="BM78" s="23"/>
      <c r="BN78" s="23"/>
      <c r="BO78" s="23"/>
      <c r="BP78" s="23"/>
      <c r="BQ78" s="23"/>
      <c r="BR78" s="23"/>
      <c r="BS78" s="23"/>
      <c r="BT78" s="23"/>
      <c r="BU78" s="23"/>
      <c r="BV78" s="23"/>
      <c r="BW78" s="23"/>
      <c r="BX78" s="23"/>
      <c r="BY78" s="23"/>
      <c r="BZ78" s="23"/>
      <c r="CA78" s="133"/>
      <c r="CB78" s="133"/>
      <c r="CC78" s="133"/>
    </row>
    <row r="79" spans="1:81" s="27" customFormat="1">
      <c r="C79" s="84"/>
      <c r="D79" s="84"/>
      <c r="E79" s="176"/>
      <c r="F79" s="176"/>
      <c r="G79" s="176"/>
      <c r="H79" s="605"/>
      <c r="I79" s="605"/>
      <c r="J79" s="605"/>
      <c r="K79" s="605"/>
      <c r="L79" s="606"/>
      <c r="M79" s="176"/>
      <c r="N79" s="176"/>
      <c r="O79" s="176"/>
      <c r="P79" s="176"/>
      <c r="Q79" s="177"/>
      <c r="R79" s="176"/>
      <c r="S79" s="176"/>
      <c r="T79" s="176"/>
      <c r="U79" s="176"/>
      <c r="V79" s="177"/>
      <c r="W79" s="176"/>
      <c r="X79" s="176"/>
      <c r="Y79" s="176"/>
      <c r="Z79" s="176"/>
      <c r="AA79" s="177"/>
      <c r="AB79" s="176"/>
      <c r="AC79" s="176"/>
      <c r="AD79" s="176"/>
      <c r="AE79" s="176"/>
      <c r="AF79" s="177"/>
      <c r="AG79" s="176"/>
      <c r="AH79" s="176"/>
      <c r="AI79" s="176"/>
      <c r="AJ79" s="176"/>
      <c r="AK79" s="177"/>
      <c r="AL79" s="176"/>
      <c r="AM79" s="176"/>
      <c r="AN79" s="176"/>
      <c r="AO79" s="176"/>
      <c r="AP79" s="177"/>
      <c r="AQ79" s="176"/>
      <c r="AR79" s="176"/>
      <c r="AS79" s="176"/>
      <c r="AT79" s="176"/>
      <c r="AU79" s="177"/>
      <c r="AV79" s="23"/>
      <c r="AW79" s="23"/>
      <c r="AX79" s="23"/>
      <c r="AY79" s="23"/>
      <c r="AZ79" s="23"/>
      <c r="BA79" s="23"/>
      <c r="BB79" s="23"/>
      <c r="BC79" s="23"/>
      <c r="BD79" s="23"/>
      <c r="BE79" s="23"/>
      <c r="BF79" s="23"/>
      <c r="BG79" s="23"/>
      <c r="BH79" s="23"/>
      <c r="BI79" s="23"/>
      <c r="BJ79" s="23"/>
      <c r="BK79" s="23"/>
      <c r="BL79" s="23"/>
      <c r="BM79" s="23"/>
      <c r="BN79" s="23"/>
      <c r="BO79" s="23"/>
      <c r="BP79" s="23"/>
      <c r="BQ79" s="23"/>
      <c r="BR79" s="23"/>
      <c r="BS79" s="23"/>
      <c r="BT79" s="23"/>
      <c r="BU79" s="23"/>
      <c r="BV79" s="23"/>
      <c r="BW79" s="23"/>
      <c r="BX79" s="23"/>
      <c r="BY79" s="23"/>
      <c r="BZ79" s="23"/>
      <c r="CA79" s="133"/>
      <c r="CB79" s="133"/>
      <c r="CC79" s="133"/>
    </row>
    <row r="80" spans="1:81" s="27" customFormat="1">
      <c r="C80" s="165" t="s">
        <v>107</v>
      </c>
      <c r="D80" s="165"/>
      <c r="E80" s="178"/>
      <c r="F80" s="178"/>
      <c r="G80" s="178"/>
      <c r="H80" s="607"/>
      <c r="I80" s="607"/>
      <c r="J80" s="607"/>
      <c r="K80" s="608"/>
      <c r="L80" s="609"/>
      <c r="M80" s="180">
        <f t="shared" ref="M80:AK80" si="34">SUM(M81:M84)</f>
        <v>-3.7118513322462161</v>
      </c>
      <c r="N80" s="166">
        <f t="shared" si="34"/>
        <v>-3.7384548849027919</v>
      </c>
      <c r="O80" s="166">
        <f t="shared" si="34"/>
        <v>-3.7650584375593676</v>
      </c>
      <c r="P80" s="179">
        <f t="shared" si="34"/>
        <v>-3.7916619902159434</v>
      </c>
      <c r="Q80" s="167">
        <f t="shared" si="34"/>
        <v>-15.007026644924318</v>
      </c>
      <c r="R80" s="180">
        <f t="shared" si="34"/>
        <v>-3.8312599469642681</v>
      </c>
      <c r="S80" s="166">
        <f t="shared" si="34"/>
        <v>-3.8925152438655082</v>
      </c>
      <c r="T80" s="166">
        <f t="shared" si="34"/>
        <v>-3.9537705407667483</v>
      </c>
      <c r="U80" s="179">
        <f t="shared" si="34"/>
        <v>-4.0150258376679888</v>
      </c>
      <c r="V80" s="167">
        <f t="shared" si="34"/>
        <v>-15.692571569264512</v>
      </c>
      <c r="W80" s="180">
        <f t="shared" si="34"/>
        <v>-4.0650765151085331</v>
      </c>
      <c r="X80" s="166">
        <f t="shared" si="34"/>
        <v>-4.0964528267812543</v>
      </c>
      <c r="Y80" s="166">
        <f t="shared" si="34"/>
        <v>-4.1278291384539747</v>
      </c>
      <c r="Z80" s="179">
        <f t="shared" si="34"/>
        <v>-4.1592054501266951</v>
      </c>
      <c r="AA80" s="167">
        <f t="shared" si="34"/>
        <v>-16.448563930470456</v>
      </c>
      <c r="AB80" s="180">
        <f t="shared" si="34"/>
        <v>-4.1730508061526814</v>
      </c>
      <c r="AC80" s="166">
        <f t="shared" si="34"/>
        <v>-4.1730508061526814</v>
      </c>
      <c r="AD80" s="166">
        <f t="shared" si="34"/>
        <v>-4.1730508061526814</v>
      </c>
      <c r="AE80" s="179">
        <f t="shared" si="34"/>
        <v>-4.1730508061526814</v>
      </c>
      <c r="AF80" s="167">
        <f t="shared" si="34"/>
        <v>-16.692203224610726</v>
      </c>
      <c r="AG80" s="180">
        <f t="shared" si="34"/>
        <v>-4.1730508061526814</v>
      </c>
      <c r="AH80" s="166">
        <f t="shared" si="34"/>
        <v>-4.1730508061526814</v>
      </c>
      <c r="AI80" s="166">
        <f t="shared" si="34"/>
        <v>-4.1730508061526814</v>
      </c>
      <c r="AJ80" s="179">
        <f t="shared" si="34"/>
        <v>-4.1730508061526814</v>
      </c>
      <c r="AK80" s="167">
        <f t="shared" si="34"/>
        <v>-16.692203224610726</v>
      </c>
      <c r="AL80" s="180">
        <f t="shared" ref="AL80:AU80" si="35">SUM(AL81:AL84)</f>
        <v>-4.1730508061526814</v>
      </c>
      <c r="AM80" s="166">
        <f t="shared" si="35"/>
        <v>-4.1730508061526814</v>
      </c>
      <c r="AN80" s="166">
        <f t="shared" si="35"/>
        <v>-4.1730508061526814</v>
      </c>
      <c r="AO80" s="179">
        <f t="shared" si="35"/>
        <v>-4.1730508061526814</v>
      </c>
      <c r="AP80" s="167">
        <f t="shared" si="35"/>
        <v>-16.692203224610726</v>
      </c>
      <c r="AQ80" s="180">
        <f t="shared" si="35"/>
        <v>-4.1730508061526814</v>
      </c>
      <c r="AR80" s="166">
        <f t="shared" si="35"/>
        <v>-4.1730508061526814</v>
      </c>
      <c r="AS80" s="166">
        <f t="shared" si="35"/>
        <v>-4.1730508061526814</v>
      </c>
      <c r="AT80" s="179">
        <f t="shared" si="35"/>
        <v>-2.1115254030763406</v>
      </c>
      <c r="AU80" s="167">
        <f t="shared" si="35"/>
        <v>-14.630677821534386</v>
      </c>
      <c r="AV80" s="23"/>
      <c r="AW80" s="23"/>
      <c r="AX80" s="23"/>
      <c r="AY80" s="23"/>
      <c r="AZ80" s="23"/>
      <c r="BA80" s="23"/>
      <c r="BB80" s="23"/>
      <c r="BC80" s="23"/>
      <c r="BD80" s="23"/>
      <c r="BE80" s="23"/>
      <c r="BF80" s="23"/>
      <c r="BG80" s="23"/>
      <c r="BH80" s="23"/>
      <c r="BI80" s="23"/>
      <c r="BJ80" s="23"/>
      <c r="BK80" s="23"/>
      <c r="BL80" s="23"/>
      <c r="BM80" s="23"/>
      <c r="BN80" s="23"/>
      <c r="BO80" s="23"/>
      <c r="BP80" s="23"/>
      <c r="BQ80" s="23"/>
      <c r="BR80" s="23"/>
      <c r="BS80" s="23"/>
      <c r="BT80" s="23"/>
      <c r="BU80" s="23"/>
      <c r="BV80" s="23"/>
      <c r="BW80" s="23"/>
      <c r="BX80" s="23"/>
      <c r="BY80" s="23"/>
      <c r="BZ80" s="23"/>
      <c r="CA80" s="133"/>
      <c r="CB80" s="133"/>
      <c r="CC80" s="133"/>
    </row>
    <row r="81" spans="3:81" s="27" customFormat="1">
      <c r="C81" s="87" t="str">
        <f>$C$59</f>
        <v>TLA</v>
      </c>
      <c r="D81" s="80"/>
      <c r="E81" s="77"/>
      <c r="F81" s="77"/>
      <c r="G81" s="77"/>
      <c r="H81" s="610"/>
      <c r="I81" s="610"/>
      <c r="J81" s="610"/>
      <c r="K81" s="610"/>
      <c r="L81" s="604"/>
      <c r="M81" s="181">
        <f t="shared" ref="M81:AK81" si="36">M59</f>
        <v>0</v>
      </c>
      <c r="N81" s="181">
        <f t="shared" si="36"/>
        <v>0</v>
      </c>
      <c r="O81" s="181">
        <f t="shared" si="36"/>
        <v>0</v>
      </c>
      <c r="P81" s="181">
        <f t="shared" si="36"/>
        <v>0</v>
      </c>
      <c r="Q81" s="168">
        <f t="shared" si="36"/>
        <v>0</v>
      </c>
      <c r="R81" s="181">
        <f t="shared" si="36"/>
        <v>0</v>
      </c>
      <c r="S81" s="181">
        <f t="shared" si="36"/>
        <v>0</v>
      </c>
      <c r="T81" s="181">
        <f t="shared" si="36"/>
        <v>0</v>
      </c>
      <c r="U81" s="181">
        <f t="shared" si="36"/>
        <v>0</v>
      </c>
      <c r="V81" s="168">
        <f t="shared" si="36"/>
        <v>0</v>
      </c>
      <c r="W81" s="181">
        <f t="shared" si="36"/>
        <v>0</v>
      </c>
      <c r="X81" s="181">
        <f t="shared" si="36"/>
        <v>0</v>
      </c>
      <c r="Y81" s="181">
        <f t="shared" si="36"/>
        <v>0</v>
      </c>
      <c r="Z81" s="181">
        <f t="shared" si="36"/>
        <v>0</v>
      </c>
      <c r="AA81" s="168">
        <f t="shared" si="36"/>
        <v>0</v>
      </c>
      <c r="AB81" s="181">
        <f t="shared" si="36"/>
        <v>0</v>
      </c>
      <c r="AC81" s="181">
        <f t="shared" si="36"/>
        <v>0</v>
      </c>
      <c r="AD81" s="181">
        <f t="shared" si="36"/>
        <v>0</v>
      </c>
      <c r="AE81" s="181">
        <f t="shared" si="36"/>
        <v>0</v>
      </c>
      <c r="AF81" s="168">
        <f t="shared" si="36"/>
        <v>0</v>
      </c>
      <c r="AG81" s="181">
        <f t="shared" si="36"/>
        <v>0</v>
      </c>
      <c r="AH81" s="181">
        <f t="shared" si="36"/>
        <v>0</v>
      </c>
      <c r="AI81" s="181">
        <f t="shared" si="36"/>
        <v>0</v>
      </c>
      <c r="AJ81" s="181">
        <f t="shared" si="36"/>
        <v>0</v>
      </c>
      <c r="AK81" s="168">
        <f t="shared" si="36"/>
        <v>0</v>
      </c>
      <c r="AL81" s="181">
        <f t="shared" ref="AL81:AU81" si="37">AL59</f>
        <v>0</v>
      </c>
      <c r="AM81" s="181">
        <f t="shared" si="37"/>
        <v>0</v>
      </c>
      <c r="AN81" s="181">
        <f t="shared" si="37"/>
        <v>0</v>
      </c>
      <c r="AO81" s="181">
        <f t="shared" si="37"/>
        <v>0</v>
      </c>
      <c r="AP81" s="168">
        <f t="shared" si="37"/>
        <v>0</v>
      </c>
      <c r="AQ81" s="181">
        <f t="shared" si="37"/>
        <v>0</v>
      </c>
      <c r="AR81" s="181">
        <f t="shared" si="37"/>
        <v>0</v>
      </c>
      <c r="AS81" s="181">
        <f t="shared" si="37"/>
        <v>0</v>
      </c>
      <c r="AT81" s="181">
        <f t="shared" si="37"/>
        <v>0</v>
      </c>
      <c r="AU81" s="168">
        <f t="shared" si="37"/>
        <v>0</v>
      </c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23"/>
      <c r="BR81" s="23"/>
      <c r="BS81" s="23"/>
      <c r="BT81" s="23"/>
      <c r="BU81" s="23"/>
      <c r="BV81" s="23"/>
      <c r="BW81" s="23"/>
      <c r="BX81" s="23"/>
      <c r="BY81" s="23"/>
      <c r="BZ81" s="23"/>
      <c r="CA81" s="133"/>
      <c r="CB81" s="133"/>
      <c r="CC81" s="133"/>
    </row>
    <row r="82" spans="3:81" s="27" customFormat="1">
      <c r="C82" s="87" t="str">
        <f>$C$60</f>
        <v>TLB</v>
      </c>
      <c r="D82" s="80"/>
      <c r="E82" s="77"/>
      <c r="F82" s="77"/>
      <c r="G82" s="77"/>
      <c r="H82" s="610"/>
      <c r="I82" s="610"/>
      <c r="J82" s="610"/>
      <c r="K82" s="610"/>
      <c r="L82" s="604"/>
      <c r="M82" s="181">
        <f t="shared" ref="M82:AK84" si="38">M60</f>
        <v>-3.5268750000000004</v>
      </c>
      <c r="N82" s="181">
        <f t="shared" si="38"/>
        <v>-3.5268750000000004</v>
      </c>
      <c r="O82" s="181">
        <f t="shared" si="38"/>
        <v>-3.5268750000000004</v>
      </c>
      <c r="P82" s="181">
        <f t="shared" si="38"/>
        <v>-3.5268750000000004</v>
      </c>
      <c r="Q82" s="168">
        <f t="shared" si="38"/>
        <v>-14.107500000000002</v>
      </c>
      <c r="R82" s="181">
        <f t="shared" si="38"/>
        <v>-3.5268750000000004</v>
      </c>
      <c r="S82" s="181">
        <f t="shared" si="38"/>
        <v>-3.5268750000000004</v>
      </c>
      <c r="T82" s="181">
        <f t="shared" si="38"/>
        <v>-3.5268750000000004</v>
      </c>
      <c r="U82" s="181">
        <f t="shared" si="38"/>
        <v>-3.5268750000000004</v>
      </c>
      <c r="V82" s="168">
        <f t="shared" si="38"/>
        <v>-14.107500000000002</v>
      </c>
      <c r="W82" s="181">
        <f t="shared" si="38"/>
        <v>-3.5268750000000004</v>
      </c>
      <c r="X82" s="181">
        <f t="shared" si="38"/>
        <v>-3.5268750000000004</v>
      </c>
      <c r="Y82" s="181">
        <f t="shared" si="38"/>
        <v>-3.5268750000000004</v>
      </c>
      <c r="Z82" s="181">
        <f t="shared" si="38"/>
        <v>-3.5268750000000004</v>
      </c>
      <c r="AA82" s="168">
        <f t="shared" si="38"/>
        <v>-14.107500000000002</v>
      </c>
      <c r="AB82" s="181">
        <f t="shared" si="38"/>
        <v>-3.5268750000000004</v>
      </c>
      <c r="AC82" s="181">
        <f t="shared" si="38"/>
        <v>-3.5268750000000004</v>
      </c>
      <c r="AD82" s="181">
        <f t="shared" si="38"/>
        <v>-3.5268750000000004</v>
      </c>
      <c r="AE82" s="181">
        <f t="shared" si="38"/>
        <v>-3.5268750000000004</v>
      </c>
      <c r="AF82" s="168">
        <f t="shared" si="38"/>
        <v>-14.107500000000002</v>
      </c>
      <c r="AG82" s="181">
        <f t="shared" si="38"/>
        <v>-3.5268750000000004</v>
      </c>
      <c r="AH82" s="181">
        <f t="shared" si="38"/>
        <v>-3.5268750000000004</v>
      </c>
      <c r="AI82" s="181">
        <f t="shared" si="38"/>
        <v>-3.5268750000000004</v>
      </c>
      <c r="AJ82" s="181">
        <f t="shared" si="38"/>
        <v>-3.5268750000000004</v>
      </c>
      <c r="AK82" s="168">
        <f t="shared" si="38"/>
        <v>-14.107500000000002</v>
      </c>
      <c r="AL82" s="181">
        <f t="shared" ref="AL82:AU82" si="39">AL60</f>
        <v>-3.5268750000000004</v>
      </c>
      <c r="AM82" s="181">
        <f t="shared" si="39"/>
        <v>-3.5268750000000004</v>
      </c>
      <c r="AN82" s="181">
        <f t="shared" si="39"/>
        <v>-3.5268750000000004</v>
      </c>
      <c r="AO82" s="181">
        <f t="shared" si="39"/>
        <v>-3.5268750000000004</v>
      </c>
      <c r="AP82" s="168">
        <f t="shared" si="39"/>
        <v>-14.107500000000002</v>
      </c>
      <c r="AQ82" s="181">
        <f t="shared" si="39"/>
        <v>-3.5268750000000004</v>
      </c>
      <c r="AR82" s="181">
        <f t="shared" si="39"/>
        <v>-3.5268750000000004</v>
      </c>
      <c r="AS82" s="181">
        <f t="shared" si="39"/>
        <v>-3.5268750000000004</v>
      </c>
      <c r="AT82" s="181">
        <f t="shared" si="39"/>
        <v>-1.7634375000000002</v>
      </c>
      <c r="AU82" s="168">
        <f t="shared" si="39"/>
        <v>-12.344062500000001</v>
      </c>
      <c r="AV82" s="23"/>
      <c r="AW82" s="23"/>
      <c r="AX82" s="23"/>
      <c r="AY82" s="23"/>
      <c r="AZ82" s="23"/>
      <c r="BA82" s="23"/>
      <c r="BB82" s="23"/>
      <c r="BC82" s="23"/>
      <c r="BD82" s="23"/>
      <c r="BE82" s="23"/>
      <c r="BF82" s="23"/>
      <c r="BG82" s="23"/>
      <c r="BH82" s="23"/>
      <c r="BI82" s="23"/>
      <c r="BJ82" s="23"/>
      <c r="BK82" s="23"/>
      <c r="BL82" s="23"/>
      <c r="BM82" s="23"/>
      <c r="BN82" s="23"/>
      <c r="BO82" s="23"/>
      <c r="BP82" s="23"/>
      <c r="BQ82" s="23"/>
      <c r="BR82" s="23"/>
      <c r="BS82" s="23"/>
      <c r="BT82" s="23"/>
      <c r="BU82" s="23"/>
      <c r="BV82" s="23"/>
      <c r="BW82" s="23"/>
      <c r="BX82" s="23"/>
      <c r="BY82" s="23"/>
      <c r="BZ82" s="23"/>
      <c r="CA82" s="133"/>
      <c r="CB82" s="133"/>
      <c r="CC82" s="133"/>
    </row>
    <row r="83" spans="3:81" s="27" customFormat="1">
      <c r="C83" s="87" t="str">
        <f>$C$61</f>
        <v>CAF</v>
      </c>
      <c r="D83" s="80"/>
      <c r="E83" s="77"/>
      <c r="F83" s="77"/>
      <c r="G83" s="77"/>
      <c r="H83" s="610"/>
      <c r="I83" s="610"/>
      <c r="J83" s="610"/>
      <c r="K83" s="610"/>
      <c r="L83" s="604"/>
      <c r="M83" s="181">
        <f t="shared" si="38"/>
        <v>-0.13497633224621586</v>
      </c>
      <c r="N83" s="181">
        <f t="shared" si="38"/>
        <v>-0.16157988490279157</v>
      </c>
      <c r="O83" s="181">
        <f t="shared" si="38"/>
        <v>-0.18818343755936726</v>
      </c>
      <c r="P83" s="181">
        <f t="shared" si="38"/>
        <v>-0.21478699021594294</v>
      </c>
      <c r="Q83" s="168">
        <f t="shared" si="38"/>
        <v>-0.6995266449243176</v>
      </c>
      <c r="R83" s="181">
        <f t="shared" si="38"/>
        <v>-0.25438494696426772</v>
      </c>
      <c r="S83" s="181">
        <f t="shared" si="38"/>
        <v>-0.31564024386550782</v>
      </c>
      <c r="T83" s="181">
        <f t="shared" si="38"/>
        <v>-0.37689554076674797</v>
      </c>
      <c r="U83" s="181">
        <f t="shared" si="38"/>
        <v>-0.43815083766798801</v>
      </c>
      <c r="V83" s="168">
        <f t="shared" si="38"/>
        <v>-1.3850715692645115</v>
      </c>
      <c r="W83" s="181">
        <f t="shared" si="38"/>
        <v>-0.48820151510853321</v>
      </c>
      <c r="X83" s="181">
        <f t="shared" si="38"/>
        <v>-0.51957782678125386</v>
      </c>
      <c r="Y83" s="181">
        <f t="shared" si="38"/>
        <v>-0.55095413845397434</v>
      </c>
      <c r="Z83" s="181">
        <f t="shared" si="38"/>
        <v>-0.58233045012669493</v>
      </c>
      <c r="AA83" s="168">
        <f t="shared" si="38"/>
        <v>-2.1410639304704562</v>
      </c>
      <c r="AB83" s="181">
        <f t="shared" si="38"/>
        <v>-0.59617580615268151</v>
      </c>
      <c r="AC83" s="181">
        <f t="shared" si="38"/>
        <v>-0.59617580615268151</v>
      </c>
      <c r="AD83" s="181">
        <f t="shared" si="38"/>
        <v>-0.59617580615268151</v>
      </c>
      <c r="AE83" s="181">
        <f t="shared" si="38"/>
        <v>-0.59617580615268151</v>
      </c>
      <c r="AF83" s="168">
        <f t="shared" si="38"/>
        <v>-2.384703224610726</v>
      </c>
      <c r="AG83" s="181">
        <f t="shared" si="38"/>
        <v>-0.59617580615268151</v>
      </c>
      <c r="AH83" s="181">
        <f t="shared" si="38"/>
        <v>-0.59617580615268151</v>
      </c>
      <c r="AI83" s="181">
        <f t="shared" si="38"/>
        <v>-0.59617580615268151</v>
      </c>
      <c r="AJ83" s="181">
        <f t="shared" si="38"/>
        <v>-0.59617580615268151</v>
      </c>
      <c r="AK83" s="168">
        <f t="shared" si="38"/>
        <v>-2.384703224610726</v>
      </c>
      <c r="AL83" s="181">
        <f t="shared" ref="AL83:AU83" si="40">AL61</f>
        <v>-0.59617580615268151</v>
      </c>
      <c r="AM83" s="181">
        <f t="shared" si="40"/>
        <v>-0.59617580615268151</v>
      </c>
      <c r="AN83" s="181">
        <f t="shared" si="40"/>
        <v>-0.59617580615268151</v>
      </c>
      <c r="AO83" s="181">
        <f t="shared" si="40"/>
        <v>-0.59617580615268151</v>
      </c>
      <c r="AP83" s="168">
        <f t="shared" si="40"/>
        <v>-2.384703224610726</v>
      </c>
      <c r="AQ83" s="181">
        <f t="shared" si="40"/>
        <v>-0.59617580615268151</v>
      </c>
      <c r="AR83" s="181">
        <f t="shared" si="40"/>
        <v>-0.59617580615268151</v>
      </c>
      <c r="AS83" s="181">
        <f t="shared" si="40"/>
        <v>-0.59617580615268151</v>
      </c>
      <c r="AT83" s="181">
        <f t="shared" si="40"/>
        <v>-0.29808790307634075</v>
      </c>
      <c r="AU83" s="168">
        <f t="shared" si="40"/>
        <v>-2.086615321534385</v>
      </c>
      <c r="AV83" s="23"/>
      <c r="AW83" s="23"/>
      <c r="AX83" s="23"/>
      <c r="AY83" s="23"/>
      <c r="AZ83" s="23"/>
      <c r="BA83" s="23"/>
      <c r="BB83" s="23"/>
      <c r="BC83" s="23"/>
      <c r="BD83" s="23"/>
      <c r="BE83" s="23"/>
      <c r="BF83" s="23"/>
      <c r="BG83" s="23"/>
      <c r="BH83" s="23"/>
      <c r="BI83" s="23"/>
      <c r="BJ83" s="23"/>
      <c r="BK83" s="23"/>
      <c r="BL83" s="23"/>
      <c r="BM83" s="23"/>
      <c r="BN83" s="23"/>
      <c r="BO83" s="23"/>
      <c r="BP83" s="23"/>
      <c r="BQ83" s="23"/>
      <c r="BR83" s="23"/>
      <c r="BS83" s="23"/>
      <c r="BT83" s="23"/>
      <c r="BU83" s="23"/>
      <c r="BV83" s="23"/>
      <c r="BW83" s="23"/>
      <c r="BX83" s="23"/>
      <c r="BY83" s="23"/>
      <c r="BZ83" s="23"/>
      <c r="CA83" s="133"/>
      <c r="CB83" s="133"/>
      <c r="CC83" s="133"/>
    </row>
    <row r="84" spans="3:81" s="27" customFormat="1">
      <c r="C84" s="87" t="str">
        <f>$C$62</f>
        <v>RCF</v>
      </c>
      <c r="D84" s="87"/>
      <c r="E84" s="85"/>
      <c r="F84" s="85"/>
      <c r="G84" s="85"/>
      <c r="H84" s="610"/>
      <c r="I84" s="610"/>
      <c r="J84" s="610"/>
      <c r="K84" s="610"/>
      <c r="L84" s="604"/>
      <c r="M84" s="181">
        <f t="shared" si="38"/>
        <v>-0.05</v>
      </c>
      <c r="N84" s="181">
        <f t="shared" si="38"/>
        <v>-0.05</v>
      </c>
      <c r="O84" s="181">
        <f t="shared" si="38"/>
        <v>-0.05</v>
      </c>
      <c r="P84" s="181">
        <f t="shared" si="38"/>
        <v>-0.05</v>
      </c>
      <c r="Q84" s="168">
        <f t="shared" si="38"/>
        <v>-0.2</v>
      </c>
      <c r="R84" s="181">
        <f t="shared" si="38"/>
        <v>-0.05</v>
      </c>
      <c r="S84" s="181">
        <f t="shared" si="38"/>
        <v>-0.05</v>
      </c>
      <c r="T84" s="181">
        <f t="shared" si="38"/>
        <v>-0.05</v>
      </c>
      <c r="U84" s="181">
        <f t="shared" si="38"/>
        <v>-0.05</v>
      </c>
      <c r="V84" s="168">
        <f t="shared" si="38"/>
        <v>-0.2</v>
      </c>
      <c r="W84" s="181">
        <f t="shared" si="38"/>
        <v>-0.05</v>
      </c>
      <c r="X84" s="181">
        <f t="shared" si="38"/>
        <v>-0.05</v>
      </c>
      <c r="Y84" s="181">
        <f t="shared" si="38"/>
        <v>-0.05</v>
      </c>
      <c r="Z84" s="181">
        <f t="shared" si="38"/>
        <v>-0.05</v>
      </c>
      <c r="AA84" s="168">
        <f t="shared" si="38"/>
        <v>-0.2</v>
      </c>
      <c r="AB84" s="181">
        <f t="shared" si="38"/>
        <v>-0.05</v>
      </c>
      <c r="AC84" s="181">
        <f t="shared" si="38"/>
        <v>-0.05</v>
      </c>
      <c r="AD84" s="181">
        <f t="shared" si="38"/>
        <v>-0.05</v>
      </c>
      <c r="AE84" s="181">
        <f t="shared" si="38"/>
        <v>-0.05</v>
      </c>
      <c r="AF84" s="168">
        <f t="shared" si="38"/>
        <v>-0.2</v>
      </c>
      <c r="AG84" s="181">
        <f t="shared" si="38"/>
        <v>-0.05</v>
      </c>
      <c r="AH84" s="181">
        <f t="shared" si="38"/>
        <v>-0.05</v>
      </c>
      <c r="AI84" s="181">
        <f t="shared" si="38"/>
        <v>-0.05</v>
      </c>
      <c r="AJ84" s="181">
        <f t="shared" si="38"/>
        <v>-0.05</v>
      </c>
      <c r="AK84" s="168">
        <f t="shared" si="38"/>
        <v>-0.2</v>
      </c>
      <c r="AL84" s="181">
        <f t="shared" ref="AL84:AU84" si="41">AL62</f>
        <v>-0.05</v>
      </c>
      <c r="AM84" s="181">
        <f t="shared" si="41"/>
        <v>-0.05</v>
      </c>
      <c r="AN84" s="181">
        <f t="shared" si="41"/>
        <v>-0.05</v>
      </c>
      <c r="AO84" s="181">
        <f t="shared" si="41"/>
        <v>-0.05</v>
      </c>
      <c r="AP84" s="168">
        <f t="shared" si="41"/>
        <v>-0.2</v>
      </c>
      <c r="AQ84" s="181">
        <f t="shared" si="41"/>
        <v>-0.05</v>
      </c>
      <c r="AR84" s="181">
        <f t="shared" si="41"/>
        <v>-0.05</v>
      </c>
      <c r="AS84" s="181">
        <f t="shared" si="41"/>
        <v>-0.05</v>
      </c>
      <c r="AT84" s="181">
        <f t="shared" si="41"/>
        <v>-0.05</v>
      </c>
      <c r="AU84" s="168">
        <f t="shared" si="41"/>
        <v>-0.2</v>
      </c>
      <c r="AV84" s="23"/>
      <c r="AW84" s="23"/>
      <c r="AX84" s="23"/>
      <c r="AY84" s="23"/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23"/>
      <c r="BK84" s="23"/>
      <c r="BL84" s="23"/>
      <c r="BM84" s="23"/>
      <c r="BN84" s="23"/>
      <c r="BO84" s="23"/>
      <c r="BP84" s="23"/>
      <c r="BQ84" s="23"/>
      <c r="BR84" s="23"/>
      <c r="BS84" s="23"/>
      <c r="BT84" s="23"/>
      <c r="BU84" s="23"/>
      <c r="BV84" s="23"/>
      <c r="BW84" s="23"/>
      <c r="BX84" s="23"/>
      <c r="BY84" s="23"/>
      <c r="BZ84" s="23"/>
      <c r="CA84" s="133"/>
      <c r="CB84" s="133"/>
      <c r="CC84" s="133"/>
    </row>
    <row r="85" spans="3:81" s="27" customFormat="1">
      <c r="C85" s="87"/>
      <c r="D85" s="80"/>
      <c r="E85" s="77"/>
      <c r="F85" s="77"/>
      <c r="G85" s="77"/>
      <c r="H85" s="611"/>
      <c r="I85" s="611"/>
      <c r="J85" s="611"/>
      <c r="K85" s="611"/>
      <c r="L85" s="612"/>
      <c r="M85" s="77"/>
      <c r="N85" s="77"/>
      <c r="O85" s="77"/>
      <c r="P85" s="77"/>
      <c r="Q85" s="182"/>
      <c r="R85" s="77"/>
      <c r="S85" s="77"/>
      <c r="T85" s="77"/>
      <c r="U85" s="77"/>
      <c r="V85" s="182"/>
      <c r="W85" s="77"/>
      <c r="X85" s="77"/>
      <c r="Y85" s="77"/>
      <c r="Z85" s="77"/>
      <c r="AA85" s="182"/>
      <c r="AB85" s="77"/>
      <c r="AC85" s="77"/>
      <c r="AD85" s="77"/>
      <c r="AE85" s="77"/>
      <c r="AF85" s="182"/>
      <c r="AG85" s="77"/>
      <c r="AH85" s="77"/>
      <c r="AI85" s="77"/>
      <c r="AJ85" s="77"/>
      <c r="AK85" s="182"/>
      <c r="AL85" s="77"/>
      <c r="AM85" s="77"/>
      <c r="AN85" s="77"/>
      <c r="AO85" s="77"/>
      <c r="AP85" s="182"/>
      <c r="AQ85" s="77"/>
      <c r="AR85" s="77"/>
      <c r="AS85" s="77"/>
      <c r="AT85" s="77"/>
      <c r="AU85" s="182"/>
      <c r="AV85" s="23"/>
      <c r="AW85" s="23"/>
      <c r="AX85" s="23"/>
      <c r="AY85" s="23"/>
      <c r="AZ85" s="23"/>
      <c r="BA85" s="23"/>
      <c r="BB85" s="23"/>
      <c r="BC85" s="23"/>
      <c r="BD85" s="23"/>
      <c r="BE85" s="23"/>
      <c r="BF85" s="23"/>
      <c r="BG85" s="23"/>
      <c r="BH85" s="23"/>
      <c r="BI85" s="23"/>
      <c r="BJ85" s="23"/>
      <c r="BK85" s="23"/>
      <c r="BL85" s="23"/>
      <c r="BM85" s="23"/>
      <c r="BN85" s="23"/>
      <c r="BO85" s="23"/>
      <c r="BP85" s="23"/>
      <c r="BQ85" s="23"/>
      <c r="BR85" s="23"/>
      <c r="BS85" s="23"/>
      <c r="BT85" s="23"/>
      <c r="BU85" s="23"/>
      <c r="BV85" s="23"/>
      <c r="BW85" s="23"/>
      <c r="BX85" s="23"/>
      <c r="BY85" s="23"/>
      <c r="BZ85" s="23"/>
      <c r="CA85" s="133"/>
      <c r="CB85" s="133"/>
      <c r="CC85" s="133"/>
    </row>
    <row r="86" spans="3:81" s="27" customFormat="1">
      <c r="C86" s="165" t="s">
        <v>108</v>
      </c>
      <c r="D86" s="165"/>
      <c r="E86" s="178"/>
      <c r="F86" s="178"/>
      <c r="G86" s="178"/>
      <c r="H86" s="607"/>
      <c r="I86" s="607"/>
      <c r="J86" s="607"/>
      <c r="K86" s="607"/>
      <c r="L86" s="609"/>
      <c r="M86" s="166">
        <f t="shared" ref="M86:AK86" si="42">SUM(M87:M90)</f>
        <v>0</v>
      </c>
      <c r="N86" s="166">
        <f t="shared" si="42"/>
        <v>0</v>
      </c>
      <c r="O86" s="166">
        <f t="shared" si="42"/>
        <v>0</v>
      </c>
      <c r="P86" s="166">
        <f t="shared" si="42"/>
        <v>0</v>
      </c>
      <c r="Q86" s="167">
        <f>SUM(Q87:Q90)</f>
        <v>0</v>
      </c>
      <c r="R86" s="166">
        <f t="shared" si="42"/>
        <v>0</v>
      </c>
      <c r="S86" s="166">
        <f t="shared" si="42"/>
        <v>0</v>
      </c>
      <c r="T86" s="166">
        <f t="shared" si="42"/>
        <v>0</v>
      </c>
      <c r="U86" s="166">
        <f t="shared" si="42"/>
        <v>0</v>
      </c>
      <c r="V86" s="167">
        <f t="shared" si="42"/>
        <v>0</v>
      </c>
      <c r="W86" s="166">
        <f t="shared" si="42"/>
        <v>0</v>
      </c>
      <c r="X86" s="166">
        <f t="shared" si="42"/>
        <v>0</v>
      </c>
      <c r="Y86" s="166">
        <f t="shared" si="42"/>
        <v>0</v>
      </c>
      <c r="Z86" s="166">
        <f t="shared" si="42"/>
        <v>0</v>
      </c>
      <c r="AA86" s="167">
        <f t="shared" si="42"/>
        <v>0</v>
      </c>
      <c r="AB86" s="166">
        <f t="shared" si="42"/>
        <v>0</v>
      </c>
      <c r="AC86" s="166">
        <f t="shared" si="42"/>
        <v>0</v>
      </c>
      <c r="AD86" s="166">
        <f t="shared" si="42"/>
        <v>0</v>
      </c>
      <c r="AE86" s="166">
        <f t="shared" si="42"/>
        <v>0</v>
      </c>
      <c r="AF86" s="167">
        <f t="shared" si="42"/>
        <v>0</v>
      </c>
      <c r="AG86" s="166">
        <f t="shared" si="42"/>
        <v>0</v>
      </c>
      <c r="AH86" s="166">
        <f t="shared" si="42"/>
        <v>0</v>
      </c>
      <c r="AI86" s="166">
        <f t="shared" si="42"/>
        <v>0</v>
      </c>
      <c r="AJ86" s="166">
        <f t="shared" si="42"/>
        <v>0</v>
      </c>
      <c r="AK86" s="167">
        <f t="shared" si="42"/>
        <v>0</v>
      </c>
      <c r="AL86" s="166">
        <f t="shared" ref="AL86:AU86" si="43">SUM(AL87:AL90)</f>
        <v>0</v>
      </c>
      <c r="AM86" s="166">
        <f t="shared" si="43"/>
        <v>0</v>
      </c>
      <c r="AN86" s="166">
        <f t="shared" si="43"/>
        <v>0</v>
      </c>
      <c r="AO86" s="166">
        <f t="shared" si="43"/>
        <v>0</v>
      </c>
      <c r="AP86" s="167">
        <f t="shared" si="43"/>
        <v>0</v>
      </c>
      <c r="AQ86" s="166">
        <f t="shared" si="43"/>
        <v>0</v>
      </c>
      <c r="AR86" s="166">
        <f t="shared" si="43"/>
        <v>0</v>
      </c>
      <c r="AS86" s="166">
        <f t="shared" si="43"/>
        <v>0</v>
      </c>
      <c r="AT86" s="166">
        <f t="shared" si="43"/>
        <v>-304.19406449221452</v>
      </c>
      <c r="AU86" s="167">
        <f t="shared" si="43"/>
        <v>-304.19406449221452</v>
      </c>
      <c r="AV86" s="23"/>
      <c r="AW86" s="23"/>
      <c r="AX86" s="23"/>
      <c r="AY86" s="23"/>
      <c r="AZ86" s="23"/>
      <c r="BA86" s="23"/>
      <c r="BB86" s="23"/>
      <c r="BC86" s="23"/>
      <c r="BD86" s="23"/>
      <c r="BE86" s="23"/>
      <c r="BF86" s="23"/>
      <c r="BG86" s="23"/>
      <c r="BH86" s="23"/>
      <c r="BI86" s="23"/>
      <c r="BJ86" s="23"/>
      <c r="BK86" s="23"/>
      <c r="BL86" s="23"/>
      <c r="BM86" s="23"/>
      <c r="BN86" s="23"/>
      <c r="BO86" s="23"/>
      <c r="BP86" s="23"/>
      <c r="BQ86" s="23"/>
      <c r="BR86" s="23"/>
      <c r="BS86" s="23"/>
      <c r="BT86" s="23"/>
      <c r="BU86" s="23"/>
      <c r="BV86" s="23"/>
      <c r="BW86" s="23"/>
      <c r="BX86" s="23"/>
      <c r="BY86" s="23"/>
      <c r="BZ86" s="23"/>
      <c r="CA86" s="133"/>
      <c r="CB86" s="133"/>
      <c r="CC86" s="133"/>
    </row>
    <row r="87" spans="3:81" s="27" customFormat="1">
      <c r="C87" s="87" t="str">
        <f>$C$59</f>
        <v>TLA</v>
      </c>
      <c r="E87" s="77"/>
      <c r="F87" s="77"/>
      <c r="G87" s="77"/>
      <c r="H87" s="610"/>
      <c r="I87" s="610"/>
      <c r="J87" s="610"/>
      <c r="K87" s="610"/>
      <c r="L87" s="604"/>
      <c r="M87" s="181">
        <f>M125</f>
        <v>0</v>
      </c>
      <c r="N87" s="181">
        <f>N125</f>
        <v>0</v>
      </c>
      <c r="O87" s="181">
        <f>O125</f>
        <v>0</v>
      </c>
      <c r="P87" s="181">
        <f>P125</f>
        <v>0</v>
      </c>
      <c r="Q87" s="168">
        <f>SUM(M87:P87)</f>
        <v>0</v>
      </c>
      <c r="R87" s="181">
        <f>R125</f>
        <v>0</v>
      </c>
      <c r="S87" s="181">
        <f>S125</f>
        <v>0</v>
      </c>
      <c r="T87" s="181">
        <f>T125</f>
        <v>0</v>
      </c>
      <c r="U87" s="181">
        <f>U125</f>
        <v>0</v>
      </c>
      <c r="V87" s="168">
        <f>SUM(R87:U87)</f>
        <v>0</v>
      </c>
      <c r="W87" s="181">
        <f>W125</f>
        <v>0</v>
      </c>
      <c r="X87" s="181">
        <f>X125</f>
        <v>0</v>
      </c>
      <c r="Y87" s="181">
        <f>Y125</f>
        <v>0</v>
      </c>
      <c r="Z87" s="181">
        <f>Z125</f>
        <v>0</v>
      </c>
      <c r="AA87" s="168">
        <f>SUM(W87:Z87)</f>
        <v>0</v>
      </c>
      <c r="AB87" s="181">
        <f>AB125</f>
        <v>0</v>
      </c>
      <c r="AC87" s="181">
        <f>AC125</f>
        <v>0</v>
      </c>
      <c r="AD87" s="181">
        <f>AD125</f>
        <v>0</v>
      </c>
      <c r="AE87" s="181">
        <f>AE125</f>
        <v>0</v>
      </c>
      <c r="AF87" s="168">
        <f>SUM(AB87:AE87)</f>
        <v>0</v>
      </c>
      <c r="AG87" s="181">
        <f>AG125</f>
        <v>0</v>
      </c>
      <c r="AH87" s="181">
        <f>AH125</f>
        <v>0</v>
      </c>
      <c r="AI87" s="181">
        <f>AI125</f>
        <v>0</v>
      </c>
      <c r="AJ87" s="181">
        <f>AJ125</f>
        <v>0</v>
      </c>
      <c r="AK87" s="168">
        <f>SUM(AG87:AJ87)</f>
        <v>0</v>
      </c>
      <c r="AL87" s="181">
        <f>AL125</f>
        <v>0</v>
      </c>
      <c r="AM87" s="181">
        <f>AM125</f>
        <v>0</v>
      </c>
      <c r="AN87" s="181">
        <f>AN125</f>
        <v>0</v>
      </c>
      <c r="AO87" s="181">
        <f>AO125</f>
        <v>0</v>
      </c>
      <c r="AP87" s="168">
        <f>SUM(AL87:AO87)</f>
        <v>0</v>
      </c>
      <c r="AQ87" s="181">
        <f>AQ125</f>
        <v>0</v>
      </c>
      <c r="AR87" s="181">
        <f>AR125</f>
        <v>0</v>
      </c>
      <c r="AS87" s="181">
        <f>AS125</f>
        <v>0</v>
      </c>
      <c r="AT87" s="181">
        <f>AT125</f>
        <v>0</v>
      </c>
      <c r="AU87" s="168">
        <f>SUM(AQ87:AT87)</f>
        <v>0</v>
      </c>
      <c r="AV87" s="23"/>
      <c r="AW87" s="23"/>
      <c r="AX87" s="23"/>
      <c r="AY87" s="23"/>
      <c r="AZ87" s="23"/>
      <c r="BA87" s="23"/>
      <c r="BB87" s="23"/>
      <c r="BC87" s="23"/>
      <c r="BD87" s="23"/>
      <c r="BE87" s="23"/>
      <c r="BF87" s="23"/>
      <c r="BG87" s="23"/>
      <c r="BH87" s="23"/>
      <c r="BI87" s="23"/>
      <c r="BJ87" s="23"/>
      <c r="BK87" s="23"/>
      <c r="BL87" s="23"/>
      <c r="BM87" s="23"/>
      <c r="BN87" s="23"/>
      <c r="BO87" s="23"/>
      <c r="BP87" s="23"/>
      <c r="BQ87" s="23"/>
      <c r="BR87" s="23"/>
      <c r="BS87" s="23"/>
      <c r="BT87" s="23"/>
      <c r="BU87" s="23"/>
      <c r="BV87" s="23"/>
      <c r="BW87" s="23"/>
      <c r="BX87" s="23"/>
      <c r="BY87" s="23"/>
      <c r="BZ87" s="23"/>
      <c r="CA87" s="133"/>
      <c r="CB87" s="133"/>
      <c r="CC87" s="133"/>
    </row>
    <row r="88" spans="3:81" s="27" customFormat="1">
      <c r="C88" s="87" t="str">
        <f>$C$60</f>
        <v>TLB</v>
      </c>
      <c r="E88" s="77"/>
      <c r="F88" s="77"/>
      <c r="G88" s="77"/>
      <c r="H88" s="610"/>
      <c r="I88" s="610"/>
      <c r="J88" s="610"/>
      <c r="K88" s="610"/>
      <c r="L88" s="604"/>
      <c r="M88" s="181">
        <f>M142</f>
        <v>0</v>
      </c>
      <c r="N88" s="181">
        <f>N142</f>
        <v>0</v>
      </c>
      <c r="O88" s="181">
        <f>O142</f>
        <v>0</v>
      </c>
      <c r="P88" s="181">
        <f>P142</f>
        <v>0</v>
      </c>
      <c r="Q88" s="168">
        <f>SUM(M88:P88)</f>
        <v>0</v>
      </c>
      <c r="R88" s="181">
        <f>R142</f>
        <v>0</v>
      </c>
      <c r="S88" s="181">
        <f>S142</f>
        <v>0</v>
      </c>
      <c r="T88" s="181">
        <f>T142</f>
        <v>0</v>
      </c>
      <c r="U88" s="181">
        <f>U142</f>
        <v>0</v>
      </c>
      <c r="V88" s="168">
        <f>SUM(R88:U88)</f>
        <v>0</v>
      </c>
      <c r="W88" s="181">
        <f>W142</f>
        <v>0</v>
      </c>
      <c r="X88" s="181">
        <f>X142</f>
        <v>0</v>
      </c>
      <c r="Y88" s="181">
        <f>Y142</f>
        <v>0</v>
      </c>
      <c r="Z88" s="181">
        <f>Z142</f>
        <v>0</v>
      </c>
      <c r="AA88" s="168">
        <f>SUM(W88:Z88)</f>
        <v>0</v>
      </c>
      <c r="AB88" s="181">
        <f>AB142</f>
        <v>0</v>
      </c>
      <c r="AC88" s="181">
        <f>AC142</f>
        <v>0</v>
      </c>
      <c r="AD88" s="181">
        <f>AD142</f>
        <v>0</v>
      </c>
      <c r="AE88" s="181">
        <f>AE142</f>
        <v>0</v>
      </c>
      <c r="AF88" s="168">
        <f>SUM(AB88:AE88)</f>
        <v>0</v>
      </c>
      <c r="AG88" s="181">
        <f>AG142</f>
        <v>0</v>
      </c>
      <c r="AH88" s="181">
        <f>AH142</f>
        <v>0</v>
      </c>
      <c r="AI88" s="181">
        <f>AI142</f>
        <v>0</v>
      </c>
      <c r="AJ88" s="181">
        <f>AJ142</f>
        <v>0</v>
      </c>
      <c r="AK88" s="168">
        <f>SUM(AG88:AJ88)</f>
        <v>0</v>
      </c>
      <c r="AL88" s="181">
        <f>AL142</f>
        <v>0</v>
      </c>
      <c r="AM88" s="181">
        <f>AM142</f>
        <v>0</v>
      </c>
      <c r="AN88" s="181">
        <f>AN142</f>
        <v>0</v>
      </c>
      <c r="AO88" s="181">
        <f>AO142</f>
        <v>0</v>
      </c>
      <c r="AP88" s="168">
        <f>SUM(AL88:AO88)</f>
        <v>0</v>
      </c>
      <c r="AQ88" s="181">
        <f>AQ142</f>
        <v>0</v>
      </c>
      <c r="AR88" s="181">
        <f>AR142</f>
        <v>0</v>
      </c>
      <c r="AS88" s="181">
        <f>AS142</f>
        <v>0</v>
      </c>
      <c r="AT88" s="181">
        <f>AT142</f>
        <v>-256.5</v>
      </c>
      <c r="AU88" s="168">
        <f>SUM(AQ88:AT88)</f>
        <v>-256.5</v>
      </c>
      <c r="AV88" s="23"/>
      <c r="AW88" s="23"/>
      <c r="AX88" s="23"/>
      <c r="AY88" s="23"/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23"/>
      <c r="BK88" s="23"/>
      <c r="BL88" s="23"/>
      <c r="BM88" s="23"/>
      <c r="BN88" s="23"/>
      <c r="BO88" s="23"/>
      <c r="BP88" s="23"/>
      <c r="BQ88" s="23"/>
      <c r="BR88" s="23"/>
      <c r="BS88" s="23"/>
      <c r="BT88" s="23"/>
      <c r="BU88" s="23"/>
      <c r="BV88" s="23"/>
      <c r="BW88" s="23"/>
      <c r="BX88" s="23"/>
      <c r="BY88" s="23"/>
      <c r="BZ88" s="23"/>
      <c r="CA88" s="133"/>
      <c r="CB88" s="133"/>
      <c r="CC88" s="133"/>
    </row>
    <row r="89" spans="3:81" s="27" customFormat="1">
      <c r="C89" s="87" t="str">
        <f>$C$61</f>
        <v>CAF</v>
      </c>
      <c r="E89" s="77"/>
      <c r="F89" s="77"/>
      <c r="G89" s="77"/>
      <c r="H89" s="610"/>
      <c r="I89" s="610"/>
      <c r="J89" s="610"/>
      <c r="K89" s="610"/>
      <c r="L89" s="604"/>
      <c r="M89" s="181">
        <f>M168</f>
        <v>0</v>
      </c>
      <c r="N89" s="181">
        <f>N168</f>
        <v>0</v>
      </c>
      <c r="O89" s="181">
        <f>O168</f>
        <v>0</v>
      </c>
      <c r="P89" s="181">
        <f>P168</f>
        <v>0</v>
      </c>
      <c r="Q89" s="168">
        <f>SUM(M89:P89)</f>
        <v>0</v>
      </c>
      <c r="R89" s="181">
        <f>R168</f>
        <v>0</v>
      </c>
      <c r="S89" s="181">
        <f>S168</f>
        <v>0</v>
      </c>
      <c r="T89" s="181">
        <f>T168</f>
        <v>0</v>
      </c>
      <c r="U89" s="181">
        <f>U168</f>
        <v>0</v>
      </c>
      <c r="V89" s="168">
        <f>SUM(R89:U89)</f>
        <v>0</v>
      </c>
      <c r="W89" s="181">
        <f>W168</f>
        <v>0</v>
      </c>
      <c r="X89" s="181">
        <f>X168</f>
        <v>0</v>
      </c>
      <c r="Y89" s="181">
        <f>Y168</f>
        <v>0</v>
      </c>
      <c r="Z89" s="181">
        <f>Z168</f>
        <v>0</v>
      </c>
      <c r="AA89" s="168">
        <f>SUM(W89:Z89)</f>
        <v>0</v>
      </c>
      <c r="AB89" s="181">
        <f>AB168</f>
        <v>0</v>
      </c>
      <c r="AC89" s="181">
        <f>AC168</f>
        <v>0</v>
      </c>
      <c r="AD89" s="181">
        <f>AD168</f>
        <v>0</v>
      </c>
      <c r="AE89" s="181">
        <f>AE168</f>
        <v>0</v>
      </c>
      <c r="AF89" s="168">
        <f>SUM(AB89:AE89)</f>
        <v>0</v>
      </c>
      <c r="AG89" s="181">
        <f>AG168</f>
        <v>0</v>
      </c>
      <c r="AH89" s="181">
        <f>AH168</f>
        <v>0</v>
      </c>
      <c r="AI89" s="181">
        <f>AI168</f>
        <v>0</v>
      </c>
      <c r="AJ89" s="181">
        <f>AJ168</f>
        <v>0</v>
      </c>
      <c r="AK89" s="168">
        <f>SUM(AG89:AJ89)</f>
        <v>0</v>
      </c>
      <c r="AL89" s="181">
        <f>AL168</f>
        <v>0</v>
      </c>
      <c r="AM89" s="181">
        <f>AM168</f>
        <v>0</v>
      </c>
      <c r="AN89" s="181">
        <f>AN168</f>
        <v>0</v>
      </c>
      <c r="AO89" s="181">
        <f>AO168</f>
        <v>0</v>
      </c>
      <c r="AP89" s="168">
        <f>SUM(AL89:AO89)</f>
        <v>0</v>
      </c>
      <c r="AQ89" s="181">
        <f>AQ168</f>
        <v>0</v>
      </c>
      <c r="AR89" s="181">
        <f>AR168</f>
        <v>0</v>
      </c>
      <c r="AS89" s="181">
        <f>AS168</f>
        <v>0</v>
      </c>
      <c r="AT89" s="181">
        <f>AT168</f>
        <v>-47.694064492214522</v>
      </c>
      <c r="AU89" s="168">
        <f>SUM(AQ89:AT89)</f>
        <v>-47.694064492214522</v>
      </c>
      <c r="AV89" s="23"/>
      <c r="AW89" s="23"/>
      <c r="AX89" s="23"/>
      <c r="AY89" s="23"/>
      <c r="AZ89" s="23"/>
      <c r="BA89" s="23"/>
      <c r="BB89" s="23"/>
      <c r="BC89" s="23"/>
      <c r="BD89" s="23"/>
      <c r="BE89" s="23"/>
      <c r="BF89" s="23"/>
      <c r="BG89" s="23"/>
      <c r="BH89" s="23"/>
      <c r="BI89" s="23"/>
      <c r="BJ89" s="23"/>
      <c r="BK89" s="23"/>
      <c r="BL89" s="23"/>
      <c r="BM89" s="23"/>
      <c r="BN89" s="23"/>
      <c r="BO89" s="23"/>
      <c r="BP89" s="23"/>
      <c r="BQ89" s="23"/>
      <c r="BR89" s="23"/>
      <c r="BS89" s="23"/>
      <c r="BT89" s="23"/>
      <c r="BU89" s="23"/>
      <c r="BV89" s="23"/>
      <c r="BW89" s="23"/>
      <c r="BX89" s="23"/>
      <c r="BY89" s="23"/>
      <c r="BZ89" s="23"/>
      <c r="CA89" s="133"/>
      <c r="CB89" s="133"/>
      <c r="CC89" s="133"/>
    </row>
    <row r="90" spans="3:81" s="27" customFormat="1">
      <c r="C90" s="87" t="str">
        <f>$C$62</f>
        <v>RCF</v>
      </c>
      <c r="D90" s="87"/>
      <c r="E90" s="85"/>
      <c r="F90" s="85"/>
      <c r="G90" s="85"/>
      <c r="H90" s="610"/>
      <c r="I90" s="610"/>
      <c r="J90" s="610"/>
      <c r="K90" s="610"/>
      <c r="L90" s="604"/>
      <c r="M90" s="181">
        <f>M194</f>
        <v>0</v>
      </c>
      <c r="N90" s="181">
        <f>N194</f>
        <v>0</v>
      </c>
      <c r="O90" s="181">
        <f>O194</f>
        <v>0</v>
      </c>
      <c r="P90" s="181">
        <f>P194</f>
        <v>0</v>
      </c>
      <c r="Q90" s="168">
        <f>SUM(M90:P90)</f>
        <v>0</v>
      </c>
      <c r="R90" s="181">
        <f>R194</f>
        <v>0</v>
      </c>
      <c r="S90" s="181">
        <f>S194</f>
        <v>0</v>
      </c>
      <c r="T90" s="181">
        <f>T194</f>
        <v>0</v>
      </c>
      <c r="U90" s="181">
        <f>U194</f>
        <v>0</v>
      </c>
      <c r="V90" s="168">
        <f>SUM(R90:U90)</f>
        <v>0</v>
      </c>
      <c r="W90" s="181">
        <f>W194</f>
        <v>0</v>
      </c>
      <c r="X90" s="181">
        <f>X194</f>
        <v>0</v>
      </c>
      <c r="Y90" s="181">
        <f>Y194</f>
        <v>0</v>
      </c>
      <c r="Z90" s="181">
        <f>Z194</f>
        <v>0</v>
      </c>
      <c r="AA90" s="168">
        <f>SUM(W90:Z90)</f>
        <v>0</v>
      </c>
      <c r="AB90" s="181">
        <f>AB194</f>
        <v>0</v>
      </c>
      <c r="AC90" s="181">
        <f>AC194</f>
        <v>0</v>
      </c>
      <c r="AD90" s="181">
        <f>AD194</f>
        <v>0</v>
      </c>
      <c r="AE90" s="181">
        <f>AE194</f>
        <v>0</v>
      </c>
      <c r="AF90" s="168">
        <f>SUM(AB90:AE90)</f>
        <v>0</v>
      </c>
      <c r="AG90" s="181">
        <f>AG194</f>
        <v>0</v>
      </c>
      <c r="AH90" s="181">
        <f>AH194</f>
        <v>0</v>
      </c>
      <c r="AI90" s="181">
        <f>AI194</f>
        <v>0</v>
      </c>
      <c r="AJ90" s="181">
        <f>AJ194</f>
        <v>0</v>
      </c>
      <c r="AK90" s="168">
        <f>SUM(AG90:AJ90)</f>
        <v>0</v>
      </c>
      <c r="AL90" s="181">
        <f>AL194</f>
        <v>0</v>
      </c>
      <c r="AM90" s="181">
        <f>AM194</f>
        <v>0</v>
      </c>
      <c r="AN90" s="181">
        <f>AN194</f>
        <v>0</v>
      </c>
      <c r="AO90" s="181">
        <f>AO194</f>
        <v>0</v>
      </c>
      <c r="AP90" s="168">
        <f>SUM(AL90:AO90)</f>
        <v>0</v>
      </c>
      <c r="AQ90" s="181">
        <f>AQ194</f>
        <v>0</v>
      </c>
      <c r="AR90" s="181">
        <f>AR194</f>
        <v>0</v>
      </c>
      <c r="AS90" s="181">
        <f>AS194</f>
        <v>0</v>
      </c>
      <c r="AT90" s="181">
        <f>AT194</f>
        <v>0</v>
      </c>
      <c r="AU90" s="168">
        <f>SUM(AQ90:AT90)</f>
        <v>0</v>
      </c>
      <c r="AV90" s="23"/>
      <c r="AW90" s="23"/>
      <c r="AX90" s="23"/>
      <c r="AY90" s="23"/>
      <c r="AZ90" s="23"/>
      <c r="BA90" s="23"/>
      <c r="BB90" s="23"/>
      <c r="BC90" s="23"/>
      <c r="BD90" s="23"/>
      <c r="BE90" s="23"/>
      <c r="BF90" s="23"/>
      <c r="BG90" s="23"/>
      <c r="BH90" s="23"/>
      <c r="BI90" s="23"/>
      <c r="BJ90" s="23"/>
      <c r="BK90" s="23"/>
      <c r="BL90" s="23"/>
      <c r="BM90" s="23"/>
      <c r="BN90" s="23"/>
      <c r="BO90" s="23"/>
      <c r="BP90" s="23"/>
      <c r="BQ90" s="23"/>
      <c r="BR90" s="23"/>
      <c r="BS90" s="23"/>
      <c r="BT90" s="23"/>
      <c r="BU90" s="23"/>
      <c r="BV90" s="23"/>
      <c r="BW90" s="23"/>
      <c r="BX90" s="23"/>
      <c r="BY90" s="23"/>
      <c r="BZ90" s="23"/>
      <c r="CA90" s="133"/>
      <c r="CB90" s="133"/>
      <c r="CC90" s="133"/>
    </row>
    <row r="91" spans="3:81" s="27" customFormat="1">
      <c r="C91" s="87"/>
      <c r="E91" s="77"/>
      <c r="F91" s="77"/>
      <c r="G91" s="77"/>
      <c r="H91" s="611"/>
      <c r="I91" s="611"/>
      <c r="J91" s="611"/>
      <c r="K91" s="611"/>
      <c r="L91" s="612"/>
      <c r="M91" s="77"/>
      <c r="N91" s="77"/>
      <c r="O91" s="77"/>
      <c r="P91" s="77"/>
      <c r="Q91" s="182"/>
      <c r="R91" s="77"/>
      <c r="S91" s="77"/>
      <c r="T91" s="77"/>
      <c r="U91" s="77"/>
      <c r="V91" s="182"/>
      <c r="W91" s="77"/>
      <c r="X91" s="77"/>
      <c r="Y91" s="77"/>
      <c r="Z91" s="77"/>
      <c r="AA91" s="182"/>
      <c r="AB91" s="77"/>
      <c r="AC91" s="77"/>
      <c r="AD91" s="77"/>
      <c r="AE91" s="77"/>
      <c r="AF91" s="182"/>
      <c r="AG91" s="77"/>
      <c r="AH91" s="77"/>
      <c r="AI91" s="77"/>
      <c r="AJ91" s="77"/>
      <c r="AK91" s="182"/>
      <c r="AL91" s="77"/>
      <c r="AM91" s="77"/>
      <c r="AN91" s="77"/>
      <c r="AO91" s="77"/>
      <c r="AP91" s="182"/>
      <c r="AQ91" s="77"/>
      <c r="AR91" s="77"/>
      <c r="AS91" s="77"/>
      <c r="AT91" s="77"/>
      <c r="AU91" s="182"/>
      <c r="AV91" s="23"/>
      <c r="AW91" s="23"/>
      <c r="AX91" s="23"/>
      <c r="AY91" s="23"/>
      <c r="AZ91" s="23"/>
      <c r="BA91" s="23"/>
      <c r="BB91" s="23"/>
      <c r="BC91" s="23"/>
      <c r="BD91" s="23"/>
      <c r="BE91" s="23"/>
      <c r="BF91" s="23"/>
      <c r="BG91" s="23"/>
      <c r="BH91" s="23"/>
      <c r="BI91" s="23"/>
      <c r="BJ91" s="23"/>
      <c r="BK91" s="23"/>
      <c r="BL91" s="23"/>
      <c r="BM91" s="23"/>
      <c r="BN91" s="23"/>
      <c r="BO91" s="23"/>
      <c r="BP91" s="23"/>
      <c r="BQ91" s="23"/>
      <c r="BR91" s="23"/>
      <c r="BS91" s="23"/>
      <c r="BT91" s="23"/>
      <c r="BU91" s="23"/>
      <c r="BV91" s="23"/>
      <c r="BW91" s="23"/>
      <c r="BX91" s="23"/>
      <c r="BY91" s="23"/>
      <c r="BZ91" s="23"/>
      <c r="CA91" s="133"/>
      <c r="CB91" s="133"/>
      <c r="CC91" s="133"/>
    </row>
    <row r="92" spans="3:81" s="27" customFormat="1">
      <c r="C92" s="165" t="s">
        <v>109</v>
      </c>
      <c r="D92" s="165"/>
      <c r="E92" s="178"/>
      <c r="F92" s="178"/>
      <c r="G92" s="178"/>
      <c r="H92" s="607"/>
      <c r="I92" s="607"/>
      <c r="J92" s="607"/>
      <c r="K92" s="607"/>
      <c r="L92" s="609"/>
      <c r="M92" s="166">
        <f t="shared" ref="M92:AK92" si="44">SUM(M93:M95)</f>
        <v>2.660355265657568</v>
      </c>
      <c r="N92" s="166">
        <f t="shared" si="44"/>
        <v>2.660355265657568</v>
      </c>
      <c r="O92" s="166">
        <f t="shared" si="44"/>
        <v>2.660355265657568</v>
      </c>
      <c r="P92" s="166">
        <f t="shared" si="44"/>
        <v>2.660355265657568</v>
      </c>
      <c r="Q92" s="167">
        <f t="shared" si="44"/>
        <v>10.641421062630272</v>
      </c>
      <c r="R92" s="166">
        <f t="shared" si="44"/>
        <v>6.1255296901240079</v>
      </c>
      <c r="S92" s="166">
        <f t="shared" si="44"/>
        <v>6.1255296901240079</v>
      </c>
      <c r="T92" s="166">
        <f t="shared" si="44"/>
        <v>6.1255296901240079</v>
      </c>
      <c r="U92" s="166">
        <f t="shared" si="44"/>
        <v>6.1255296901240079</v>
      </c>
      <c r="V92" s="167">
        <f t="shared" si="44"/>
        <v>24.502118760496032</v>
      </c>
      <c r="W92" s="166">
        <f t="shared" si="44"/>
        <v>3.1376311672720547</v>
      </c>
      <c r="X92" s="166">
        <f t="shared" si="44"/>
        <v>3.1376311672720547</v>
      </c>
      <c r="Y92" s="166">
        <f t="shared" si="44"/>
        <v>3.1376311672720547</v>
      </c>
      <c r="Z92" s="166">
        <f t="shared" si="44"/>
        <v>3.1376311672720547</v>
      </c>
      <c r="AA92" s="167">
        <f t="shared" si="44"/>
        <v>12.550524669088219</v>
      </c>
      <c r="AB92" s="166">
        <f t="shared" si="44"/>
        <v>0</v>
      </c>
      <c r="AC92" s="166">
        <f t="shared" si="44"/>
        <v>0</v>
      </c>
      <c r="AD92" s="166">
        <f t="shared" si="44"/>
        <v>0</v>
      </c>
      <c r="AE92" s="166">
        <f t="shared" si="44"/>
        <v>0</v>
      </c>
      <c r="AF92" s="167">
        <f t="shared" si="44"/>
        <v>0</v>
      </c>
      <c r="AG92" s="166">
        <f t="shared" si="44"/>
        <v>0</v>
      </c>
      <c r="AH92" s="166">
        <f t="shared" si="44"/>
        <v>0</v>
      </c>
      <c r="AI92" s="166">
        <f t="shared" si="44"/>
        <v>0</v>
      </c>
      <c r="AJ92" s="166">
        <f t="shared" si="44"/>
        <v>0</v>
      </c>
      <c r="AK92" s="167">
        <f t="shared" si="44"/>
        <v>0</v>
      </c>
      <c r="AL92" s="166">
        <f t="shared" ref="AL92:AU92" si="45">SUM(AL93:AL95)</f>
        <v>0</v>
      </c>
      <c r="AM92" s="166">
        <f t="shared" si="45"/>
        <v>0</v>
      </c>
      <c r="AN92" s="166">
        <f t="shared" si="45"/>
        <v>0</v>
      </c>
      <c r="AO92" s="166">
        <f t="shared" si="45"/>
        <v>0</v>
      </c>
      <c r="AP92" s="167">
        <f t="shared" si="45"/>
        <v>0</v>
      </c>
      <c r="AQ92" s="166">
        <f t="shared" si="45"/>
        <v>0</v>
      </c>
      <c r="AR92" s="166">
        <f t="shared" si="45"/>
        <v>0</v>
      </c>
      <c r="AS92" s="166">
        <f t="shared" si="45"/>
        <v>0</v>
      </c>
      <c r="AT92" s="166">
        <f t="shared" si="45"/>
        <v>0</v>
      </c>
      <c r="AU92" s="167">
        <f t="shared" si="45"/>
        <v>0</v>
      </c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3"/>
      <c r="BK92" s="23"/>
      <c r="BL92" s="23"/>
      <c r="BM92" s="23"/>
      <c r="BN92" s="23"/>
      <c r="BO92" s="23"/>
      <c r="BP92" s="23"/>
      <c r="BQ92" s="23"/>
      <c r="BR92" s="23"/>
      <c r="BS92" s="23"/>
      <c r="BT92" s="23"/>
      <c r="BU92" s="23"/>
      <c r="BV92" s="23"/>
      <c r="BW92" s="23"/>
      <c r="BX92" s="23"/>
      <c r="BY92" s="23"/>
      <c r="BZ92" s="23"/>
      <c r="CA92" s="133"/>
      <c r="CB92" s="133"/>
      <c r="CC92" s="133"/>
    </row>
    <row r="93" spans="3:81" s="27" customFormat="1">
      <c r="C93" s="87" t="str">
        <f>$C$59</f>
        <v>TLA</v>
      </c>
      <c r="D93" s="80"/>
      <c r="E93" s="77"/>
      <c r="F93" s="77"/>
      <c r="G93" s="77"/>
      <c r="H93" s="601"/>
      <c r="I93" s="601"/>
      <c r="J93" s="601"/>
      <c r="K93" s="601"/>
      <c r="L93" s="604"/>
      <c r="M93" s="183">
        <f t="shared" ref="M93:AK93" si="46">M126</f>
        <v>0</v>
      </c>
      <c r="N93" s="133">
        <f t="shared" si="46"/>
        <v>0</v>
      </c>
      <c r="O93" s="133">
        <f t="shared" si="46"/>
        <v>0</v>
      </c>
      <c r="P93" s="133">
        <f t="shared" si="46"/>
        <v>0</v>
      </c>
      <c r="Q93" s="168">
        <f t="shared" si="46"/>
        <v>0</v>
      </c>
      <c r="R93" s="183">
        <f t="shared" si="46"/>
        <v>0</v>
      </c>
      <c r="S93" s="133">
        <f t="shared" si="46"/>
        <v>0</v>
      </c>
      <c r="T93" s="133">
        <f t="shared" si="46"/>
        <v>0</v>
      </c>
      <c r="U93" s="133">
        <f t="shared" si="46"/>
        <v>0</v>
      </c>
      <c r="V93" s="168">
        <f t="shared" si="46"/>
        <v>0</v>
      </c>
      <c r="W93" s="183">
        <f t="shared" si="46"/>
        <v>0</v>
      </c>
      <c r="X93" s="133">
        <f t="shared" si="46"/>
        <v>0</v>
      </c>
      <c r="Y93" s="133">
        <f t="shared" si="46"/>
        <v>0</v>
      </c>
      <c r="Z93" s="133">
        <f t="shared" si="46"/>
        <v>0</v>
      </c>
      <c r="AA93" s="168">
        <f t="shared" si="46"/>
        <v>0</v>
      </c>
      <c r="AB93" s="183">
        <f t="shared" si="46"/>
        <v>0</v>
      </c>
      <c r="AC93" s="133">
        <f t="shared" si="46"/>
        <v>0</v>
      </c>
      <c r="AD93" s="133">
        <f t="shared" si="46"/>
        <v>0</v>
      </c>
      <c r="AE93" s="133">
        <f t="shared" si="46"/>
        <v>0</v>
      </c>
      <c r="AF93" s="168">
        <f t="shared" si="46"/>
        <v>0</v>
      </c>
      <c r="AG93" s="183">
        <f t="shared" si="46"/>
        <v>0</v>
      </c>
      <c r="AH93" s="133">
        <f t="shared" si="46"/>
        <v>0</v>
      </c>
      <c r="AI93" s="133">
        <f t="shared" si="46"/>
        <v>0</v>
      </c>
      <c r="AJ93" s="133">
        <f t="shared" si="46"/>
        <v>0</v>
      </c>
      <c r="AK93" s="168">
        <f t="shared" si="46"/>
        <v>0</v>
      </c>
      <c r="AL93" s="183">
        <f t="shared" ref="AL93:AU93" si="47">AL126</f>
        <v>0</v>
      </c>
      <c r="AM93" s="133">
        <f t="shared" si="47"/>
        <v>0</v>
      </c>
      <c r="AN93" s="133">
        <f t="shared" si="47"/>
        <v>0</v>
      </c>
      <c r="AO93" s="133">
        <f t="shared" si="47"/>
        <v>0</v>
      </c>
      <c r="AP93" s="168">
        <f t="shared" si="47"/>
        <v>0</v>
      </c>
      <c r="AQ93" s="183">
        <f t="shared" si="47"/>
        <v>0</v>
      </c>
      <c r="AR93" s="133">
        <f t="shared" si="47"/>
        <v>0</v>
      </c>
      <c r="AS93" s="133">
        <f t="shared" si="47"/>
        <v>0</v>
      </c>
      <c r="AT93" s="133">
        <f t="shared" si="47"/>
        <v>0</v>
      </c>
      <c r="AU93" s="168">
        <f t="shared" si="47"/>
        <v>0</v>
      </c>
      <c r="AV93" s="23"/>
      <c r="AW93" s="23"/>
      <c r="AX93" s="23"/>
      <c r="AY93" s="23"/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23"/>
      <c r="BK93" s="23"/>
      <c r="BL93" s="23"/>
      <c r="BM93" s="23"/>
      <c r="BN93" s="23"/>
      <c r="BO93" s="23"/>
      <c r="BP93" s="23"/>
      <c r="BQ93" s="23"/>
      <c r="BR93" s="23"/>
      <c r="BS93" s="23"/>
      <c r="BT93" s="23"/>
      <c r="BU93" s="23"/>
      <c r="BV93" s="23"/>
      <c r="BW93" s="23"/>
      <c r="BX93" s="23"/>
      <c r="BY93" s="23"/>
      <c r="BZ93" s="23"/>
      <c r="CA93" s="133"/>
      <c r="CB93" s="133"/>
      <c r="CC93" s="133"/>
    </row>
    <row r="94" spans="3:81" s="27" customFormat="1">
      <c r="C94" s="87" t="str">
        <f>$C$60</f>
        <v>TLB</v>
      </c>
      <c r="D94" s="80"/>
      <c r="E94" s="77"/>
      <c r="F94" s="77"/>
      <c r="G94" s="77"/>
      <c r="H94" s="601"/>
      <c r="I94" s="601"/>
      <c r="J94" s="601"/>
      <c r="K94" s="601"/>
      <c r="L94" s="604"/>
      <c r="M94" s="133">
        <f t="shared" ref="M94:AK94" si="48">M143</f>
        <v>0</v>
      </c>
      <c r="N94" s="133">
        <f t="shared" si="48"/>
        <v>0</v>
      </c>
      <c r="O94" s="133">
        <f t="shared" si="48"/>
        <v>0</v>
      </c>
      <c r="P94" s="133">
        <f t="shared" si="48"/>
        <v>0</v>
      </c>
      <c r="Q94" s="168">
        <f t="shared" si="48"/>
        <v>0</v>
      </c>
      <c r="R94" s="133">
        <f t="shared" si="48"/>
        <v>0</v>
      </c>
      <c r="S94" s="133">
        <f t="shared" si="48"/>
        <v>0</v>
      </c>
      <c r="T94" s="133">
        <f t="shared" si="48"/>
        <v>0</v>
      </c>
      <c r="U94" s="133">
        <f t="shared" si="48"/>
        <v>0</v>
      </c>
      <c r="V94" s="168">
        <f t="shared" si="48"/>
        <v>0</v>
      </c>
      <c r="W94" s="133">
        <f t="shared" si="48"/>
        <v>0</v>
      </c>
      <c r="X94" s="133">
        <f t="shared" si="48"/>
        <v>0</v>
      </c>
      <c r="Y94" s="133">
        <f t="shared" si="48"/>
        <v>0</v>
      </c>
      <c r="Z94" s="133">
        <f t="shared" si="48"/>
        <v>0</v>
      </c>
      <c r="AA94" s="168">
        <f t="shared" si="48"/>
        <v>0</v>
      </c>
      <c r="AB94" s="133">
        <f t="shared" si="48"/>
        <v>0</v>
      </c>
      <c r="AC94" s="133">
        <f t="shared" si="48"/>
        <v>0</v>
      </c>
      <c r="AD94" s="133">
        <f t="shared" si="48"/>
        <v>0</v>
      </c>
      <c r="AE94" s="133">
        <f t="shared" si="48"/>
        <v>0</v>
      </c>
      <c r="AF94" s="168">
        <f t="shared" si="48"/>
        <v>0</v>
      </c>
      <c r="AG94" s="133">
        <f t="shared" si="48"/>
        <v>0</v>
      </c>
      <c r="AH94" s="133">
        <f t="shared" si="48"/>
        <v>0</v>
      </c>
      <c r="AI94" s="133">
        <f t="shared" si="48"/>
        <v>0</v>
      </c>
      <c r="AJ94" s="133">
        <f t="shared" si="48"/>
        <v>0</v>
      </c>
      <c r="AK94" s="168">
        <f t="shared" si="48"/>
        <v>0</v>
      </c>
      <c r="AL94" s="133">
        <f t="shared" ref="AL94:AU94" si="49">AL143</f>
        <v>0</v>
      </c>
      <c r="AM94" s="133">
        <f t="shared" si="49"/>
        <v>0</v>
      </c>
      <c r="AN94" s="133">
        <f t="shared" si="49"/>
        <v>0</v>
      </c>
      <c r="AO94" s="133">
        <f t="shared" si="49"/>
        <v>0</v>
      </c>
      <c r="AP94" s="168">
        <f t="shared" si="49"/>
        <v>0</v>
      </c>
      <c r="AQ94" s="133">
        <f t="shared" si="49"/>
        <v>0</v>
      </c>
      <c r="AR94" s="133">
        <f t="shared" si="49"/>
        <v>0</v>
      </c>
      <c r="AS94" s="133">
        <f t="shared" si="49"/>
        <v>0</v>
      </c>
      <c r="AT94" s="133">
        <f t="shared" si="49"/>
        <v>0</v>
      </c>
      <c r="AU94" s="168">
        <f t="shared" si="49"/>
        <v>0</v>
      </c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23"/>
      <c r="BK94" s="23"/>
      <c r="BL94" s="23"/>
      <c r="BM94" s="23"/>
      <c r="BN94" s="23"/>
      <c r="BO94" s="23"/>
      <c r="BP94" s="23"/>
      <c r="BQ94" s="23"/>
      <c r="BR94" s="23"/>
      <c r="BS94" s="23"/>
      <c r="BT94" s="23"/>
      <c r="BU94" s="23"/>
      <c r="BV94" s="23"/>
      <c r="BW94" s="23"/>
      <c r="BX94" s="23"/>
      <c r="BY94" s="23"/>
      <c r="BZ94" s="23"/>
      <c r="CA94" s="133"/>
      <c r="CB94" s="133"/>
      <c r="CC94" s="133"/>
    </row>
    <row r="95" spans="3:81" s="27" customFormat="1">
      <c r="C95" s="87" t="str">
        <f>$C$61</f>
        <v>CAF</v>
      </c>
      <c r="D95" s="80"/>
      <c r="E95" s="77"/>
      <c r="F95" s="77"/>
      <c r="G95" s="77"/>
      <c r="H95" s="601"/>
      <c r="I95" s="601"/>
      <c r="J95" s="601"/>
      <c r="K95" s="601"/>
      <c r="L95" s="604"/>
      <c r="M95" s="183">
        <f t="shared" ref="M95:AK95" si="50">M169</f>
        <v>2.660355265657568</v>
      </c>
      <c r="N95" s="133">
        <f t="shared" si="50"/>
        <v>2.660355265657568</v>
      </c>
      <c r="O95" s="133">
        <f t="shared" si="50"/>
        <v>2.660355265657568</v>
      </c>
      <c r="P95" s="133">
        <f t="shared" si="50"/>
        <v>2.660355265657568</v>
      </c>
      <c r="Q95" s="168">
        <f t="shared" si="50"/>
        <v>10.641421062630272</v>
      </c>
      <c r="R95" s="183">
        <f t="shared" si="50"/>
        <v>6.1255296901240079</v>
      </c>
      <c r="S95" s="133">
        <f t="shared" si="50"/>
        <v>6.1255296901240079</v>
      </c>
      <c r="T95" s="133">
        <f t="shared" si="50"/>
        <v>6.1255296901240079</v>
      </c>
      <c r="U95" s="133">
        <f t="shared" si="50"/>
        <v>6.1255296901240079</v>
      </c>
      <c r="V95" s="168">
        <f t="shared" si="50"/>
        <v>24.502118760496032</v>
      </c>
      <c r="W95" s="183">
        <f t="shared" si="50"/>
        <v>3.1376311672720547</v>
      </c>
      <c r="X95" s="133">
        <f t="shared" si="50"/>
        <v>3.1376311672720547</v>
      </c>
      <c r="Y95" s="133">
        <f t="shared" si="50"/>
        <v>3.1376311672720547</v>
      </c>
      <c r="Z95" s="133">
        <f t="shared" si="50"/>
        <v>3.1376311672720547</v>
      </c>
      <c r="AA95" s="168">
        <f t="shared" si="50"/>
        <v>12.550524669088219</v>
      </c>
      <c r="AB95" s="183">
        <f t="shared" si="50"/>
        <v>0</v>
      </c>
      <c r="AC95" s="133">
        <f t="shared" si="50"/>
        <v>0</v>
      </c>
      <c r="AD95" s="133">
        <f t="shared" si="50"/>
        <v>0</v>
      </c>
      <c r="AE95" s="133">
        <f t="shared" si="50"/>
        <v>0</v>
      </c>
      <c r="AF95" s="168">
        <f t="shared" si="50"/>
        <v>0</v>
      </c>
      <c r="AG95" s="183">
        <f t="shared" si="50"/>
        <v>0</v>
      </c>
      <c r="AH95" s="133">
        <f t="shared" si="50"/>
        <v>0</v>
      </c>
      <c r="AI95" s="133">
        <f t="shared" si="50"/>
        <v>0</v>
      </c>
      <c r="AJ95" s="133">
        <f t="shared" si="50"/>
        <v>0</v>
      </c>
      <c r="AK95" s="168">
        <f t="shared" si="50"/>
        <v>0</v>
      </c>
      <c r="AL95" s="183">
        <f t="shared" ref="AL95:AU95" si="51">AL169</f>
        <v>0</v>
      </c>
      <c r="AM95" s="133">
        <f t="shared" si="51"/>
        <v>0</v>
      </c>
      <c r="AN95" s="133">
        <f t="shared" si="51"/>
        <v>0</v>
      </c>
      <c r="AO95" s="133">
        <f t="shared" si="51"/>
        <v>0</v>
      </c>
      <c r="AP95" s="168">
        <f t="shared" si="51"/>
        <v>0</v>
      </c>
      <c r="AQ95" s="183">
        <f t="shared" si="51"/>
        <v>0</v>
      </c>
      <c r="AR95" s="133">
        <f t="shared" si="51"/>
        <v>0</v>
      </c>
      <c r="AS95" s="133">
        <f t="shared" si="51"/>
        <v>0</v>
      </c>
      <c r="AT95" s="133">
        <f t="shared" si="51"/>
        <v>0</v>
      </c>
      <c r="AU95" s="168">
        <f t="shared" si="51"/>
        <v>0</v>
      </c>
      <c r="AV95" s="23"/>
      <c r="AW95" s="23"/>
      <c r="AX95" s="23"/>
      <c r="AY95" s="23"/>
      <c r="AZ95" s="23"/>
      <c r="BA95" s="23"/>
      <c r="BB95" s="23"/>
      <c r="BC95" s="23"/>
      <c r="BD95" s="23"/>
      <c r="BE95" s="23"/>
      <c r="BF95" s="23"/>
      <c r="BG95" s="23"/>
      <c r="BH95" s="23"/>
      <c r="BI95" s="23"/>
      <c r="BJ95" s="23"/>
      <c r="BK95" s="23"/>
      <c r="BL95" s="23"/>
      <c r="BM95" s="23"/>
      <c r="BN95" s="23"/>
      <c r="BO95" s="23"/>
      <c r="BP95" s="23"/>
      <c r="BQ95" s="23"/>
      <c r="BR95" s="23"/>
      <c r="BS95" s="23"/>
      <c r="BT95" s="23"/>
      <c r="BU95" s="23"/>
      <c r="BV95" s="23"/>
      <c r="BW95" s="23"/>
      <c r="BX95" s="23"/>
      <c r="BY95" s="23"/>
      <c r="BZ95" s="23"/>
      <c r="CA95" s="133"/>
      <c r="CB95" s="133"/>
      <c r="CC95" s="133"/>
    </row>
    <row r="96" spans="3:81" s="27" customFormat="1">
      <c r="C96" s="87"/>
      <c r="D96" s="80"/>
      <c r="E96" s="77"/>
      <c r="F96" s="77"/>
      <c r="G96" s="77"/>
      <c r="H96" s="601"/>
      <c r="I96" s="601"/>
      <c r="J96" s="601"/>
      <c r="K96" s="601"/>
      <c r="L96" s="604"/>
      <c r="M96" s="133"/>
      <c r="N96" s="133"/>
      <c r="O96" s="133"/>
      <c r="P96" s="133"/>
      <c r="Q96" s="168"/>
      <c r="R96" s="133"/>
      <c r="S96" s="133"/>
      <c r="T96" s="133"/>
      <c r="U96" s="133"/>
      <c r="V96" s="168"/>
      <c r="W96" s="133"/>
      <c r="X96" s="133"/>
      <c r="Y96" s="133"/>
      <c r="Z96" s="133"/>
      <c r="AA96" s="168"/>
      <c r="AB96" s="133"/>
      <c r="AC96" s="133"/>
      <c r="AD96" s="133"/>
      <c r="AE96" s="133"/>
      <c r="AF96" s="168"/>
      <c r="AG96" s="133"/>
      <c r="AH96" s="133"/>
      <c r="AI96" s="133"/>
      <c r="AJ96" s="133"/>
      <c r="AK96" s="168"/>
      <c r="AL96" s="133"/>
      <c r="AM96" s="133"/>
      <c r="AN96" s="133"/>
      <c r="AO96" s="133"/>
      <c r="AP96" s="168"/>
      <c r="AQ96" s="133"/>
      <c r="AR96" s="133"/>
      <c r="AS96" s="133"/>
      <c r="AT96" s="133"/>
      <c r="AU96" s="168"/>
      <c r="AV96" s="23"/>
      <c r="AW96" s="23"/>
      <c r="AX96" s="23"/>
      <c r="AY96" s="23"/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23"/>
      <c r="BK96" s="23"/>
      <c r="BL96" s="23"/>
      <c r="BM96" s="23"/>
      <c r="BN96" s="23"/>
      <c r="BO96" s="23"/>
      <c r="BP96" s="23"/>
      <c r="BQ96" s="23"/>
      <c r="BR96" s="23"/>
      <c r="BS96" s="23"/>
      <c r="BT96" s="23"/>
      <c r="BU96" s="23"/>
      <c r="BV96" s="23"/>
      <c r="BW96" s="23"/>
      <c r="BX96" s="23"/>
      <c r="BY96" s="23"/>
      <c r="BZ96" s="23"/>
      <c r="CA96" s="133"/>
      <c r="CB96" s="133"/>
      <c r="CC96" s="133"/>
    </row>
    <row r="97" spans="1:81" s="27" customFormat="1">
      <c r="C97" s="165" t="s">
        <v>110</v>
      </c>
      <c r="D97" s="165"/>
      <c r="E97" s="178"/>
      <c r="F97" s="178"/>
      <c r="G97" s="178"/>
      <c r="H97" s="607"/>
      <c r="I97" s="607"/>
      <c r="J97" s="607"/>
      <c r="K97" s="607"/>
      <c r="L97" s="609"/>
      <c r="M97" s="166">
        <f t="shared" ref="M97:AK97" si="52">M78+M80+M86+M92</f>
        <v>7.1725497929041548</v>
      </c>
      <c r="N97" s="166">
        <f t="shared" si="52"/>
        <v>7.1459462402475786</v>
      </c>
      <c r="O97" s="166">
        <f t="shared" si="52"/>
        <v>7.1193426875910024</v>
      </c>
      <c r="P97" s="166">
        <f t="shared" si="52"/>
        <v>7.0927391349344271</v>
      </c>
      <c r="Q97" s="167">
        <f t="shared" si="52"/>
        <v>28.530577855677166</v>
      </c>
      <c r="R97" s="166">
        <f t="shared" si="52"/>
        <v>8.468345509457448</v>
      </c>
      <c r="S97" s="166">
        <f t="shared" si="52"/>
        <v>8.4070902125562075</v>
      </c>
      <c r="T97" s="166">
        <f t="shared" si="52"/>
        <v>8.3458349156549687</v>
      </c>
      <c r="U97" s="166">
        <f t="shared" si="52"/>
        <v>8.2845796187537282</v>
      </c>
      <c r="V97" s="167">
        <f t="shared" si="52"/>
        <v>33.505850256422349</v>
      </c>
      <c r="W97" s="166">
        <f t="shared" si="52"/>
        <v>10.432484494185854</v>
      </c>
      <c r="X97" s="166">
        <f t="shared" si="52"/>
        <v>10.401108182513132</v>
      </c>
      <c r="Y97" s="166">
        <f t="shared" si="52"/>
        <v>10.369731870840411</v>
      </c>
      <c r="Z97" s="166">
        <f t="shared" si="52"/>
        <v>10.338355559167692</v>
      </c>
      <c r="AA97" s="167">
        <f t="shared" si="52"/>
        <v>41.541680106707091</v>
      </c>
      <c r="AB97" s="166">
        <f t="shared" si="52"/>
        <v>8.3823008339113336</v>
      </c>
      <c r="AC97" s="166">
        <f t="shared" si="52"/>
        <v>8.3823008339113336</v>
      </c>
      <c r="AD97" s="166">
        <f t="shared" si="52"/>
        <v>8.3823008339113336</v>
      </c>
      <c r="AE97" s="166">
        <f t="shared" si="52"/>
        <v>8.3823008339113336</v>
      </c>
      <c r="AF97" s="167">
        <f t="shared" si="52"/>
        <v>33.529203335645335</v>
      </c>
      <c r="AG97" s="166">
        <f t="shared" si="52"/>
        <v>11.265804382017972</v>
      </c>
      <c r="AH97" s="166">
        <f t="shared" si="52"/>
        <v>11.265804382017972</v>
      </c>
      <c r="AI97" s="166">
        <f t="shared" si="52"/>
        <v>11.265804382017972</v>
      </c>
      <c r="AJ97" s="166">
        <f t="shared" si="52"/>
        <v>11.265804382017972</v>
      </c>
      <c r="AK97" s="167">
        <f t="shared" si="52"/>
        <v>45.063217528071888</v>
      </c>
      <c r="AL97" s="166">
        <f t="shared" ref="AL97:AU97" si="53">AL78+AL80+AL86+AL92</f>
        <v>12.45506334914618</v>
      </c>
      <c r="AM97" s="166">
        <f t="shared" si="53"/>
        <v>12.45506334914618</v>
      </c>
      <c r="AN97" s="166">
        <f t="shared" si="53"/>
        <v>12.45506334914618</v>
      </c>
      <c r="AO97" s="166">
        <f t="shared" si="53"/>
        <v>12.45506334914618</v>
      </c>
      <c r="AP97" s="167">
        <f t="shared" si="53"/>
        <v>49.820253396584718</v>
      </c>
      <c r="AQ97" s="166">
        <f t="shared" si="53"/>
        <v>12.512640873747515</v>
      </c>
      <c r="AR97" s="166">
        <f t="shared" si="53"/>
        <v>12.512640873747515</v>
      </c>
      <c r="AS97" s="166">
        <f t="shared" si="53"/>
        <v>12.512640873747515</v>
      </c>
      <c r="AT97" s="166">
        <f t="shared" si="53"/>
        <v>-289.61989821539066</v>
      </c>
      <c r="AU97" s="167">
        <f t="shared" si="53"/>
        <v>-252.08197559414813</v>
      </c>
      <c r="AV97" s="23"/>
      <c r="AW97" s="23"/>
      <c r="AX97" s="23"/>
      <c r="AY97" s="23"/>
      <c r="AZ97" s="23"/>
      <c r="BA97" s="23"/>
      <c r="BB97" s="23"/>
      <c r="BC97" s="23"/>
      <c r="BD97" s="23"/>
      <c r="BE97" s="23"/>
      <c r="BF97" s="23"/>
      <c r="BG97" s="23"/>
      <c r="BH97" s="23"/>
      <c r="BI97" s="23"/>
      <c r="BJ97" s="23"/>
      <c r="BK97" s="23"/>
      <c r="BL97" s="23"/>
      <c r="BM97" s="23"/>
      <c r="BN97" s="23"/>
      <c r="BO97" s="23"/>
      <c r="BP97" s="23"/>
      <c r="BQ97" s="23"/>
      <c r="BR97" s="23"/>
      <c r="BS97" s="23"/>
      <c r="BT97" s="23"/>
      <c r="BU97" s="23"/>
      <c r="BV97" s="23"/>
      <c r="BW97" s="23"/>
      <c r="BX97" s="23"/>
      <c r="BY97" s="23"/>
      <c r="BZ97" s="23"/>
      <c r="CA97" s="133"/>
      <c r="CB97" s="133"/>
      <c r="CC97" s="133"/>
    </row>
    <row r="98" spans="1:81" s="27" customFormat="1">
      <c r="C98" s="84"/>
      <c r="D98" s="84"/>
      <c r="E98" s="176"/>
      <c r="F98" s="176"/>
      <c r="G98" s="176"/>
      <c r="H98" s="613"/>
      <c r="I98" s="613"/>
      <c r="J98" s="613"/>
      <c r="K98" s="613"/>
      <c r="L98" s="614"/>
      <c r="M98" s="176"/>
      <c r="N98" s="176"/>
      <c r="O98" s="176"/>
      <c r="P98" s="132"/>
      <c r="Q98" s="164"/>
      <c r="R98" s="132"/>
      <c r="S98" s="132"/>
      <c r="T98" s="132"/>
      <c r="U98" s="132"/>
      <c r="V98" s="164"/>
      <c r="W98" s="132"/>
      <c r="X98" s="132"/>
      <c r="Y98" s="132"/>
      <c r="Z98" s="132"/>
      <c r="AA98" s="164"/>
      <c r="AB98" s="132"/>
      <c r="AC98" s="132"/>
      <c r="AD98" s="132"/>
      <c r="AE98" s="132"/>
      <c r="AF98" s="164"/>
      <c r="AG98" s="132"/>
      <c r="AH98" s="132"/>
      <c r="AI98" s="132"/>
      <c r="AJ98" s="132"/>
      <c r="AK98" s="164"/>
      <c r="AL98" s="132"/>
      <c r="AM98" s="132"/>
      <c r="AN98" s="132"/>
      <c r="AO98" s="132"/>
      <c r="AP98" s="164"/>
      <c r="AQ98" s="132"/>
      <c r="AR98" s="132"/>
      <c r="AS98" s="132"/>
      <c r="AT98" s="132"/>
      <c r="AU98" s="164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23"/>
      <c r="BK98" s="23"/>
      <c r="BL98" s="23"/>
      <c r="BM98" s="23"/>
      <c r="BN98" s="23"/>
      <c r="BO98" s="23"/>
      <c r="BP98" s="23"/>
      <c r="BQ98" s="23"/>
      <c r="BR98" s="23"/>
      <c r="BS98" s="23"/>
      <c r="BT98" s="23"/>
      <c r="BU98" s="23"/>
      <c r="BV98" s="23"/>
      <c r="BW98" s="23"/>
      <c r="BX98" s="23"/>
      <c r="BY98" s="23"/>
      <c r="BZ98" s="23"/>
      <c r="CA98" s="133"/>
      <c r="CB98" s="133"/>
      <c r="CC98" s="133"/>
    </row>
    <row r="99" spans="1:81" s="27" customFormat="1">
      <c r="C99" s="27" t="s">
        <v>111</v>
      </c>
      <c r="E99" s="77"/>
      <c r="F99" s="77"/>
      <c r="G99" s="77"/>
      <c r="H99" s="610"/>
      <c r="I99" s="611"/>
      <c r="J99" s="611"/>
      <c r="K99" s="610"/>
      <c r="L99" s="604"/>
      <c r="M99" s="598">
        <f>L102</f>
        <v>0</v>
      </c>
      <c r="N99" s="181">
        <f>M102</f>
        <v>7.1725497929041548</v>
      </c>
      <c r="O99" s="181">
        <f>N102</f>
        <v>14.318496033151733</v>
      </c>
      <c r="P99" s="181">
        <f>O102</f>
        <v>21.437838720742736</v>
      </c>
      <c r="Q99" s="168">
        <f>L102</f>
        <v>0</v>
      </c>
      <c r="R99" s="598">
        <f>Q102</f>
        <v>28.530577855677162</v>
      </c>
      <c r="S99" s="181">
        <f>R102</f>
        <v>36.998923365134608</v>
      </c>
      <c r="T99" s="181">
        <f>S102</f>
        <v>45.406013577690814</v>
      </c>
      <c r="U99" s="181">
        <f>T102</f>
        <v>53.751848493345783</v>
      </c>
      <c r="V99" s="168">
        <f>Q102</f>
        <v>28.530577855677162</v>
      </c>
      <c r="W99" s="598">
        <f>V102</f>
        <v>62.036428112099514</v>
      </c>
      <c r="X99" s="181">
        <f>W102</f>
        <v>68.526202592946987</v>
      </c>
      <c r="Y99" s="181">
        <f>X102</f>
        <v>74.98460076212173</v>
      </c>
      <c r="Z99" s="181">
        <f>Y102</f>
        <v>81.411622619623756</v>
      </c>
      <c r="AA99" s="168">
        <f>V102</f>
        <v>62.036428112099514</v>
      </c>
      <c r="AB99" s="598">
        <f>AA102</f>
        <v>87.807268165453067</v>
      </c>
      <c r="AC99" s="181">
        <f>AB102</f>
        <v>68.355451124089797</v>
      </c>
      <c r="AD99" s="181">
        <f>AC102</f>
        <v>48.903634082726533</v>
      </c>
      <c r="AE99" s="181">
        <f>AD102</f>
        <v>29.451817041363277</v>
      </c>
      <c r="AF99" s="168">
        <f>AA102</f>
        <v>87.807268165453067</v>
      </c>
      <c r="AG99" s="598">
        <f>AF102</f>
        <v>10.000000000000028</v>
      </c>
      <c r="AH99" s="181">
        <f>AG102</f>
        <v>16.882902191009016</v>
      </c>
      <c r="AI99" s="181">
        <f>AH102</f>
        <v>23.765804382018004</v>
      </c>
      <c r="AJ99" s="181">
        <f>AI102</f>
        <v>30.648706573026992</v>
      </c>
      <c r="AK99" s="168">
        <f>AF102</f>
        <v>10.000000000000028</v>
      </c>
      <c r="AL99" s="598">
        <f>AK102</f>
        <v>37.531608764035973</v>
      </c>
      <c r="AM99" s="181">
        <f>AL102</f>
        <v>45.009140438609059</v>
      </c>
      <c r="AN99" s="181">
        <f>AM102</f>
        <v>52.486672113182145</v>
      </c>
      <c r="AO99" s="181">
        <f>AN102</f>
        <v>59.964203787755231</v>
      </c>
      <c r="AP99" s="168">
        <f>AK102</f>
        <v>37.531608764035973</v>
      </c>
      <c r="AQ99" s="598">
        <f>AP102</f>
        <v>67.441735462328339</v>
      </c>
      <c r="AR99" s="181">
        <f>AQ102</f>
        <v>79.954376336075853</v>
      </c>
      <c r="AS99" s="181">
        <f>AR102</f>
        <v>92.467017209823368</v>
      </c>
      <c r="AT99" s="181">
        <f>AS102</f>
        <v>104.97965808357088</v>
      </c>
      <c r="AU99" s="168">
        <f>AP102</f>
        <v>67.441735462328339</v>
      </c>
      <c r="AV99" s="23"/>
      <c r="AW99" s="23"/>
      <c r="AX99" s="23"/>
      <c r="AY99" s="23"/>
      <c r="AZ99" s="23"/>
      <c r="BA99" s="23"/>
      <c r="BB99" s="23"/>
      <c r="BC99" s="23"/>
      <c r="BD99" s="23"/>
      <c r="BE99" s="23"/>
      <c r="BF99" s="23"/>
      <c r="BG99" s="23"/>
      <c r="BH99" s="23"/>
      <c r="BI99" s="23"/>
      <c r="BJ99" s="23"/>
      <c r="BK99" s="23"/>
      <c r="BL99" s="23"/>
      <c r="BM99" s="23"/>
      <c r="BN99" s="23"/>
      <c r="BO99" s="23"/>
      <c r="BP99" s="23"/>
      <c r="BQ99" s="23"/>
      <c r="BR99" s="23"/>
      <c r="BS99" s="23"/>
      <c r="BT99" s="23"/>
      <c r="BU99" s="23"/>
      <c r="BV99" s="23"/>
      <c r="BW99" s="23"/>
      <c r="BX99" s="23"/>
      <c r="BY99" s="23"/>
      <c r="BZ99" s="23"/>
      <c r="CA99" s="133"/>
      <c r="CB99" s="133"/>
      <c r="CC99" s="133"/>
    </row>
    <row r="100" spans="1:81" s="27" customFormat="1">
      <c r="C100" s="184" t="s">
        <v>112</v>
      </c>
      <c r="D100" s="184"/>
      <c r="E100" s="185"/>
      <c r="F100" s="185"/>
      <c r="G100" s="185"/>
      <c r="H100" s="615"/>
      <c r="I100" s="615"/>
      <c r="J100" s="615"/>
      <c r="K100" s="615"/>
      <c r="L100" s="616"/>
      <c r="M100" s="188">
        <f>M97</f>
        <v>7.1725497929041548</v>
      </c>
      <c r="N100" s="186">
        <f>N97</f>
        <v>7.1459462402475786</v>
      </c>
      <c r="O100" s="186">
        <f>O97</f>
        <v>7.1193426875910024</v>
      </c>
      <c r="P100" s="186">
        <f>P97</f>
        <v>7.0927391349344271</v>
      </c>
      <c r="Q100" s="187">
        <f>SUM(M100:P100)</f>
        <v>28.530577855677162</v>
      </c>
      <c r="R100" s="188">
        <f>R97</f>
        <v>8.468345509457448</v>
      </c>
      <c r="S100" s="186">
        <f>S97</f>
        <v>8.4070902125562075</v>
      </c>
      <c r="T100" s="186">
        <f>T97</f>
        <v>8.3458349156549687</v>
      </c>
      <c r="U100" s="186">
        <f>U97</f>
        <v>8.2845796187537282</v>
      </c>
      <c r="V100" s="187">
        <f>SUM(R100:U100)</f>
        <v>33.505850256422349</v>
      </c>
      <c r="W100" s="188">
        <f>W97</f>
        <v>10.432484494185854</v>
      </c>
      <c r="X100" s="186">
        <f>X97</f>
        <v>10.401108182513132</v>
      </c>
      <c r="Y100" s="186">
        <f>Y97</f>
        <v>10.369731870840411</v>
      </c>
      <c r="Z100" s="186">
        <f>Z97</f>
        <v>10.338355559167692</v>
      </c>
      <c r="AA100" s="187">
        <f>SUM(W100:Z100)</f>
        <v>41.541680106707091</v>
      </c>
      <c r="AB100" s="188">
        <f>AB97</f>
        <v>8.3823008339113336</v>
      </c>
      <c r="AC100" s="186">
        <f>AC97</f>
        <v>8.3823008339113336</v>
      </c>
      <c r="AD100" s="186">
        <f>AD97</f>
        <v>8.3823008339113336</v>
      </c>
      <c r="AE100" s="186">
        <f>AE97</f>
        <v>8.3823008339113336</v>
      </c>
      <c r="AF100" s="187">
        <f>SUM(AB100:AE100)</f>
        <v>33.529203335645335</v>
      </c>
      <c r="AG100" s="188">
        <f>AG97</f>
        <v>11.265804382017972</v>
      </c>
      <c r="AH100" s="186">
        <f>AH97</f>
        <v>11.265804382017972</v>
      </c>
      <c r="AI100" s="186">
        <f>AI97</f>
        <v>11.265804382017972</v>
      </c>
      <c r="AJ100" s="186">
        <f>AJ97</f>
        <v>11.265804382017972</v>
      </c>
      <c r="AK100" s="187">
        <f>SUM(AG100:AJ100)</f>
        <v>45.063217528071888</v>
      </c>
      <c r="AL100" s="188">
        <f>AL97</f>
        <v>12.45506334914618</v>
      </c>
      <c r="AM100" s="186">
        <f>AM97</f>
        <v>12.45506334914618</v>
      </c>
      <c r="AN100" s="186">
        <f>AN97</f>
        <v>12.45506334914618</v>
      </c>
      <c r="AO100" s="186">
        <f>AO97</f>
        <v>12.45506334914618</v>
      </c>
      <c r="AP100" s="187">
        <f>SUM(AL100:AO100)</f>
        <v>49.820253396584718</v>
      </c>
      <c r="AQ100" s="188">
        <f>AQ97</f>
        <v>12.512640873747515</v>
      </c>
      <c r="AR100" s="186">
        <f>AR97</f>
        <v>12.512640873747515</v>
      </c>
      <c r="AS100" s="186">
        <f>AS97</f>
        <v>12.512640873747515</v>
      </c>
      <c r="AT100" s="186">
        <f>AT97</f>
        <v>-289.61989821539066</v>
      </c>
      <c r="AU100" s="187">
        <f>SUM(AQ100:AT100)</f>
        <v>-252.0819755941481</v>
      </c>
      <c r="AV100" s="23"/>
      <c r="AW100" s="23"/>
      <c r="AX100" s="23"/>
      <c r="AY100" s="23"/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/>
      <c r="BP100" s="23"/>
      <c r="BQ100" s="23"/>
      <c r="BR100" s="23"/>
      <c r="BS100" s="23"/>
      <c r="BT100" s="23"/>
      <c r="BU100" s="23"/>
      <c r="BV100" s="23"/>
      <c r="BW100" s="23"/>
      <c r="BX100" s="23"/>
      <c r="BY100" s="23"/>
      <c r="BZ100" s="23"/>
      <c r="CA100" s="133"/>
      <c r="CB100" s="133"/>
      <c r="CC100" s="133"/>
    </row>
    <row r="101" spans="1:81" s="567" customFormat="1">
      <c r="C101" s="637" t="s">
        <v>248</v>
      </c>
      <c r="D101" s="637"/>
      <c r="E101" s="638"/>
      <c r="F101" s="638"/>
      <c r="G101" s="638"/>
      <c r="H101" s="639"/>
      <c r="I101" s="639"/>
      <c r="J101" s="639"/>
      <c r="K101" s="640"/>
      <c r="L101" s="641"/>
      <c r="M101" s="639">
        <f>+M44*$Q101</f>
        <v>0</v>
      </c>
      <c r="N101" s="639">
        <f>+N44*$Q101</f>
        <v>0</v>
      </c>
      <c r="O101" s="639">
        <f>+O44*$Q101</f>
        <v>0</v>
      </c>
      <c r="P101" s="639">
        <f>+P44*$Q101</f>
        <v>0</v>
      </c>
      <c r="Q101" s="641">
        <f>-'Active Case'!G65</f>
        <v>0</v>
      </c>
      <c r="R101" s="639">
        <f>+R44*$V101</f>
        <v>0</v>
      </c>
      <c r="S101" s="639">
        <f>+S44*$V101</f>
        <v>0</v>
      </c>
      <c r="T101" s="639">
        <f>+T44*$V101</f>
        <v>0</v>
      </c>
      <c r="U101" s="639">
        <f>+U44*$V101</f>
        <v>0</v>
      </c>
      <c r="V101" s="641">
        <f>-'Active Case'!H65</f>
        <v>0</v>
      </c>
      <c r="W101" s="639">
        <f>+W44*$AA101</f>
        <v>-3.9427100133383854</v>
      </c>
      <c r="X101" s="639">
        <f>+X44*$AA101</f>
        <v>-3.9427100133383854</v>
      </c>
      <c r="Y101" s="639">
        <f>+Y44*$AA101</f>
        <v>-3.9427100133383854</v>
      </c>
      <c r="Z101" s="639">
        <f>+Z44*$AA101</f>
        <v>-3.9427100133383854</v>
      </c>
      <c r="AA101" s="641">
        <f>-'Active Case'!I65</f>
        <v>-15.770840053353542</v>
      </c>
      <c r="AB101" s="639">
        <f>+AB44*$AF101</f>
        <v>-27.834117875274593</v>
      </c>
      <c r="AC101" s="639">
        <f>+AC44*$AF101</f>
        <v>-27.834117875274593</v>
      </c>
      <c r="AD101" s="639">
        <f>+AD44*$AF101</f>
        <v>-27.834117875274593</v>
      </c>
      <c r="AE101" s="639">
        <f>+AE44*$AF101</f>
        <v>-27.834117875274593</v>
      </c>
      <c r="AF101" s="641">
        <f>-'Active Case'!J65</f>
        <v>-111.33647150109837</v>
      </c>
      <c r="AG101" s="639">
        <f>+AG44*$AK101</f>
        <v>-4.382902191008986</v>
      </c>
      <c r="AH101" s="639">
        <f>+AH44*$AK101</f>
        <v>-4.382902191008986</v>
      </c>
      <c r="AI101" s="639">
        <f>+AI44*$AK101</f>
        <v>-4.382902191008986</v>
      </c>
      <c r="AJ101" s="639">
        <f>+AJ44*$AK101</f>
        <v>-4.382902191008986</v>
      </c>
      <c r="AK101" s="641">
        <f>-'Active Case'!K65</f>
        <v>-17.531608764035944</v>
      </c>
      <c r="AL101" s="639">
        <f>+AL44*$AP101</f>
        <v>-4.9775316745730906</v>
      </c>
      <c r="AM101" s="639">
        <f>+AM44*$AP101</f>
        <v>-4.9775316745730906</v>
      </c>
      <c r="AN101" s="639">
        <f>+AN44*$AP101</f>
        <v>-4.9775316745730906</v>
      </c>
      <c r="AO101" s="639">
        <f>+AO44*$AP101</f>
        <v>-4.9775316745730906</v>
      </c>
      <c r="AP101" s="641">
        <f>-'Active Case'!L65</f>
        <v>-19.910126698292363</v>
      </c>
      <c r="AQ101" s="639">
        <f>+AQ44*$AU101</f>
        <v>0</v>
      </c>
      <c r="AR101" s="639">
        <f>+AR44*$AU101</f>
        <v>0</v>
      </c>
      <c r="AS101" s="639">
        <f>+AS44*$AU101</f>
        <v>0</v>
      </c>
      <c r="AT101" s="639">
        <f>+AT44*$AU101</f>
        <v>0</v>
      </c>
      <c r="AU101" s="641">
        <f>-'Active Case'!M65</f>
        <v>0</v>
      </c>
      <c r="AV101" s="540"/>
      <c r="AW101" s="540"/>
      <c r="AX101" s="540"/>
      <c r="AY101" s="540"/>
      <c r="AZ101" s="540"/>
      <c r="BA101" s="540"/>
      <c r="BB101" s="540"/>
      <c r="BC101" s="540"/>
      <c r="BD101" s="540"/>
      <c r="BE101" s="540"/>
      <c r="BF101" s="540"/>
      <c r="BG101" s="540"/>
      <c r="BH101" s="540"/>
      <c r="BI101" s="540"/>
      <c r="BJ101" s="540"/>
      <c r="BK101" s="540"/>
      <c r="BL101" s="540"/>
      <c r="BM101" s="540"/>
      <c r="BN101" s="540"/>
      <c r="BO101" s="540"/>
      <c r="BP101" s="540"/>
      <c r="BQ101" s="540"/>
      <c r="BR101" s="540"/>
      <c r="BS101" s="540"/>
      <c r="BT101" s="540"/>
      <c r="BU101" s="540"/>
      <c r="BV101" s="540"/>
      <c r="BW101" s="540"/>
      <c r="BX101" s="540"/>
      <c r="BY101" s="540"/>
      <c r="BZ101" s="540"/>
      <c r="CA101" s="642"/>
      <c r="CB101" s="642"/>
      <c r="CC101" s="642"/>
    </row>
    <row r="102" spans="1:81" s="27" customFormat="1">
      <c r="C102" s="165" t="s">
        <v>113</v>
      </c>
      <c r="D102" s="165"/>
      <c r="E102" s="178"/>
      <c r="F102" s="178"/>
      <c r="G102" s="178"/>
      <c r="H102" s="607"/>
      <c r="I102" s="618"/>
      <c r="J102" s="618"/>
      <c r="K102" s="619">
        <f>-'Debt Structure'!D26</f>
        <v>0</v>
      </c>
      <c r="L102" s="620">
        <f>+'Debt Structure'!D26</f>
        <v>0</v>
      </c>
      <c r="M102" s="190">
        <f t="shared" ref="M102:AU102" si="54">SUM(M99:M100,M101)</f>
        <v>7.1725497929041548</v>
      </c>
      <c r="N102" s="190">
        <f t="shared" si="54"/>
        <v>14.318496033151733</v>
      </c>
      <c r="O102" s="190">
        <f t="shared" si="54"/>
        <v>21.437838720742736</v>
      </c>
      <c r="P102" s="190">
        <f t="shared" si="54"/>
        <v>28.530577855677162</v>
      </c>
      <c r="Q102" s="189">
        <f t="shared" si="54"/>
        <v>28.530577855677162</v>
      </c>
      <c r="R102" s="190">
        <f t="shared" si="54"/>
        <v>36.998923365134608</v>
      </c>
      <c r="S102" s="190">
        <f t="shared" si="54"/>
        <v>45.406013577690814</v>
      </c>
      <c r="T102" s="190">
        <f t="shared" si="54"/>
        <v>53.751848493345783</v>
      </c>
      <c r="U102" s="190">
        <f t="shared" si="54"/>
        <v>62.036428112099514</v>
      </c>
      <c r="V102" s="189">
        <f t="shared" si="54"/>
        <v>62.036428112099514</v>
      </c>
      <c r="W102" s="190">
        <f t="shared" si="54"/>
        <v>68.526202592946987</v>
      </c>
      <c r="X102" s="190">
        <f t="shared" si="54"/>
        <v>74.98460076212173</v>
      </c>
      <c r="Y102" s="190">
        <f t="shared" si="54"/>
        <v>81.411622619623756</v>
      </c>
      <c r="Z102" s="190">
        <f t="shared" si="54"/>
        <v>87.807268165453067</v>
      </c>
      <c r="AA102" s="189">
        <f t="shared" si="54"/>
        <v>87.807268165453067</v>
      </c>
      <c r="AB102" s="190">
        <f t="shared" si="54"/>
        <v>68.355451124089797</v>
      </c>
      <c r="AC102" s="190">
        <f t="shared" si="54"/>
        <v>48.903634082726533</v>
      </c>
      <c r="AD102" s="190">
        <f t="shared" si="54"/>
        <v>29.451817041363277</v>
      </c>
      <c r="AE102" s="190">
        <f t="shared" si="54"/>
        <v>10.000000000000021</v>
      </c>
      <c r="AF102" s="189">
        <f t="shared" si="54"/>
        <v>10.000000000000028</v>
      </c>
      <c r="AG102" s="190">
        <f t="shared" si="54"/>
        <v>16.882902191009016</v>
      </c>
      <c r="AH102" s="190">
        <f t="shared" si="54"/>
        <v>23.765804382018004</v>
      </c>
      <c r="AI102" s="190">
        <f t="shared" si="54"/>
        <v>30.648706573026992</v>
      </c>
      <c r="AJ102" s="190">
        <f t="shared" si="54"/>
        <v>37.531608764035973</v>
      </c>
      <c r="AK102" s="189">
        <f t="shared" si="54"/>
        <v>37.531608764035973</v>
      </c>
      <c r="AL102" s="190">
        <f t="shared" si="54"/>
        <v>45.009140438609059</v>
      </c>
      <c r="AM102" s="190">
        <f t="shared" si="54"/>
        <v>52.486672113182145</v>
      </c>
      <c r="AN102" s="190">
        <f t="shared" si="54"/>
        <v>59.964203787755231</v>
      </c>
      <c r="AO102" s="190">
        <f t="shared" si="54"/>
        <v>67.441735462328325</v>
      </c>
      <c r="AP102" s="189">
        <f t="shared" si="54"/>
        <v>67.441735462328339</v>
      </c>
      <c r="AQ102" s="190">
        <f t="shared" si="54"/>
        <v>79.954376336075853</v>
      </c>
      <c r="AR102" s="190">
        <f t="shared" si="54"/>
        <v>92.467017209823368</v>
      </c>
      <c r="AS102" s="190">
        <f t="shared" si="54"/>
        <v>104.97965808357088</v>
      </c>
      <c r="AT102" s="190">
        <f t="shared" si="54"/>
        <v>-184.64024013181978</v>
      </c>
      <c r="AU102" s="189">
        <f t="shared" si="54"/>
        <v>-184.64024013181978</v>
      </c>
      <c r="AV102" s="23"/>
      <c r="AW102" s="23"/>
      <c r="AX102" s="23"/>
      <c r="AY102" s="23"/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23"/>
      <c r="BK102" s="23"/>
      <c r="BL102" s="23"/>
      <c r="BM102" s="23"/>
      <c r="BN102" s="23"/>
      <c r="BO102" s="23"/>
      <c r="BP102" s="23"/>
      <c r="BQ102" s="23"/>
      <c r="BR102" s="23"/>
      <c r="BS102" s="23"/>
      <c r="BT102" s="23"/>
      <c r="BU102" s="23"/>
      <c r="BV102" s="23"/>
      <c r="BW102" s="23"/>
      <c r="BX102" s="23"/>
      <c r="BY102" s="23"/>
      <c r="BZ102" s="23"/>
      <c r="CA102" s="133"/>
      <c r="CB102" s="133"/>
      <c r="CC102" s="133"/>
    </row>
    <row r="103" spans="1:81" s="27" customFormat="1">
      <c r="E103" s="133"/>
      <c r="F103" s="133"/>
      <c r="G103" s="133"/>
      <c r="H103" s="133"/>
      <c r="I103" s="133"/>
      <c r="J103" s="133"/>
      <c r="K103" s="133"/>
      <c r="L103" s="133"/>
      <c r="M103" s="133"/>
      <c r="N103" s="133"/>
      <c r="O103" s="133"/>
      <c r="P103" s="133"/>
      <c r="Q103" s="133"/>
      <c r="R103" s="133"/>
      <c r="S103" s="133"/>
      <c r="T103" s="133"/>
      <c r="U103" s="133"/>
      <c r="V103" s="133"/>
      <c r="W103" s="133"/>
      <c r="X103" s="133"/>
      <c r="Y103" s="133"/>
      <c r="Z103" s="133"/>
      <c r="AA103" s="133"/>
      <c r="AB103" s="133"/>
      <c r="AC103" s="133"/>
      <c r="AD103" s="133"/>
      <c r="AE103" s="133"/>
      <c r="AF103" s="133"/>
      <c r="AG103" s="133"/>
      <c r="AH103" s="133"/>
      <c r="AI103" s="133"/>
      <c r="AJ103" s="133"/>
      <c r="AK103" s="133"/>
      <c r="AL103" s="133"/>
      <c r="AM103" s="133"/>
      <c r="AN103" s="133"/>
      <c r="AO103" s="133"/>
      <c r="AP103" s="133"/>
      <c r="AQ103" s="133"/>
      <c r="AR103" s="133"/>
      <c r="AS103" s="133"/>
      <c r="AT103" s="133"/>
      <c r="AU103" s="133"/>
      <c r="AV103" s="23"/>
      <c r="AW103" s="23"/>
      <c r="AX103" s="23"/>
      <c r="AY103" s="23"/>
      <c r="AZ103" s="23"/>
      <c r="BA103" s="23"/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  <c r="BM103" s="23"/>
      <c r="BN103" s="23"/>
      <c r="BO103" s="23"/>
      <c r="BP103" s="23"/>
      <c r="BQ103" s="23"/>
      <c r="BR103" s="23"/>
      <c r="BS103" s="23"/>
      <c r="BT103" s="23"/>
      <c r="BU103" s="23"/>
      <c r="BV103" s="23"/>
      <c r="BW103" s="23"/>
      <c r="BX103" s="23"/>
      <c r="BY103" s="23"/>
      <c r="BZ103" s="23"/>
      <c r="CA103" s="133"/>
      <c r="CB103" s="133"/>
      <c r="CC103" s="133"/>
    </row>
    <row r="104" spans="1:81" s="139" customFormat="1">
      <c r="A104" s="140"/>
      <c r="B104" s="140"/>
      <c r="C104" s="141" t="s">
        <v>114</v>
      </c>
      <c r="D104" s="141"/>
      <c r="E104" s="141"/>
      <c r="F104" s="141"/>
      <c r="G104" s="141"/>
      <c r="H104" s="141"/>
      <c r="I104" s="141"/>
      <c r="J104" s="141"/>
      <c r="K104" s="141"/>
      <c r="L104" s="141"/>
      <c r="M104" s="141"/>
      <c r="N104" s="141"/>
      <c r="O104" s="141"/>
      <c r="P104" s="141"/>
      <c r="Q104" s="141"/>
      <c r="R104" s="141"/>
      <c r="S104" s="141"/>
      <c r="T104" s="141"/>
      <c r="U104" s="141"/>
      <c r="V104" s="141"/>
      <c r="W104" s="141"/>
      <c r="X104" s="141"/>
      <c r="Y104" s="141"/>
      <c r="Z104" s="141"/>
      <c r="AA104" s="141"/>
      <c r="AB104" s="141"/>
      <c r="AC104" s="141"/>
      <c r="AD104" s="141"/>
      <c r="AE104" s="141"/>
      <c r="AF104" s="141"/>
      <c r="AG104" s="141"/>
      <c r="AH104" s="141"/>
      <c r="AI104" s="141"/>
      <c r="AJ104" s="141"/>
      <c r="AK104" s="141"/>
      <c r="AL104" s="141"/>
      <c r="AM104" s="141"/>
      <c r="AN104" s="141"/>
      <c r="AO104" s="141"/>
      <c r="AP104" s="141"/>
      <c r="AQ104" s="141"/>
      <c r="AR104" s="141"/>
      <c r="AS104" s="141"/>
      <c r="AT104" s="141"/>
      <c r="AU104" s="141"/>
      <c r="AV104" s="23"/>
      <c r="AW104" s="23"/>
      <c r="AX104" s="23"/>
      <c r="AY104" s="23"/>
      <c r="AZ104" s="23"/>
      <c r="BA104" s="23"/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/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3"/>
    </row>
    <row r="105" spans="1:81" ht="10.8" thickBot="1"/>
    <row r="106" spans="1:81" ht="10.8" thickBot="1">
      <c r="A106" s="18"/>
      <c r="B106" s="103"/>
      <c r="C106" s="45"/>
      <c r="D106" s="45"/>
      <c r="E106" s="104"/>
      <c r="F106" s="104"/>
      <c r="G106" s="104"/>
      <c r="H106" s="30" t="s">
        <v>80</v>
      </c>
      <c r="I106" s="105" t="s">
        <v>81</v>
      </c>
      <c r="J106" s="105" t="s">
        <v>82</v>
      </c>
      <c r="K106" s="106" t="s">
        <v>77</v>
      </c>
      <c r="L106" s="30" t="s">
        <v>95</v>
      </c>
      <c r="M106" s="30" t="s">
        <v>80</v>
      </c>
      <c r="N106" s="105" t="s">
        <v>81</v>
      </c>
      <c r="O106" s="105" t="s">
        <v>82</v>
      </c>
      <c r="P106" s="105" t="s">
        <v>83</v>
      </c>
      <c r="Q106" s="30" t="s">
        <v>95</v>
      </c>
      <c r="R106" s="30" t="s">
        <v>80</v>
      </c>
      <c r="S106" s="105" t="s">
        <v>81</v>
      </c>
      <c r="T106" s="105" t="s">
        <v>82</v>
      </c>
      <c r="U106" s="105" t="s">
        <v>83</v>
      </c>
      <c r="V106" s="30" t="s">
        <v>95</v>
      </c>
      <c r="W106" s="30" t="s">
        <v>80</v>
      </c>
      <c r="X106" s="105" t="s">
        <v>81</v>
      </c>
      <c r="Y106" s="105" t="s">
        <v>82</v>
      </c>
      <c r="Z106" s="105" t="s">
        <v>83</v>
      </c>
      <c r="AA106" s="30" t="s">
        <v>95</v>
      </c>
      <c r="AB106" s="30" t="s">
        <v>80</v>
      </c>
      <c r="AC106" s="105" t="s">
        <v>81</v>
      </c>
      <c r="AD106" s="105" t="s">
        <v>82</v>
      </c>
      <c r="AE106" s="105" t="s">
        <v>83</v>
      </c>
      <c r="AF106" s="30" t="s">
        <v>95</v>
      </c>
      <c r="AG106" s="30" t="s">
        <v>80</v>
      </c>
      <c r="AH106" s="105" t="s">
        <v>81</v>
      </c>
      <c r="AI106" s="105" t="s">
        <v>82</v>
      </c>
      <c r="AJ106" s="105" t="s">
        <v>83</v>
      </c>
      <c r="AK106" s="30" t="s">
        <v>95</v>
      </c>
      <c r="AL106" s="30" t="s">
        <v>80</v>
      </c>
      <c r="AM106" s="105" t="s">
        <v>81</v>
      </c>
      <c r="AN106" s="105" t="s">
        <v>82</v>
      </c>
      <c r="AO106" s="105" t="s">
        <v>83</v>
      </c>
      <c r="AP106" s="30" t="s">
        <v>95</v>
      </c>
      <c r="AQ106" s="30" t="s">
        <v>80</v>
      </c>
      <c r="AR106" s="105" t="s">
        <v>81</v>
      </c>
      <c r="AS106" s="105" t="s">
        <v>82</v>
      </c>
      <c r="AT106" s="105" t="s">
        <v>83</v>
      </c>
      <c r="AU106" s="30" t="s">
        <v>95</v>
      </c>
    </row>
    <row r="107" spans="1:81" ht="10.8" thickBot="1">
      <c r="E107" s="107"/>
      <c r="F107" s="107"/>
      <c r="G107" s="107"/>
      <c r="H107" s="130">
        <v>45747</v>
      </c>
      <c r="I107" s="130">
        <v>45838</v>
      </c>
      <c r="J107" s="130">
        <v>45930</v>
      </c>
      <c r="K107" s="130">
        <v>46022</v>
      </c>
      <c r="L107" s="130">
        <f>K107</f>
        <v>46022</v>
      </c>
      <c r="M107" s="130">
        <f>EOMONTH(L107,3)</f>
        <v>46112</v>
      </c>
      <c r="N107" s="130">
        <f>EOMONTH(M107,3)</f>
        <v>46203</v>
      </c>
      <c r="O107" s="130">
        <f>EOMONTH(N107,3)</f>
        <v>46295</v>
      </c>
      <c r="P107" s="130">
        <f>EOMONTH(O107,3)</f>
        <v>46387</v>
      </c>
      <c r="Q107" s="130">
        <f>P107</f>
        <v>46387</v>
      </c>
      <c r="R107" s="130">
        <f>EOMONTH(Q107,3)</f>
        <v>46477</v>
      </c>
      <c r="S107" s="130">
        <f>EOMONTH(R107,3)</f>
        <v>46568</v>
      </c>
      <c r="T107" s="130">
        <f>EOMONTH(S107,3)</f>
        <v>46660</v>
      </c>
      <c r="U107" s="130">
        <f>EOMONTH(T107,3)</f>
        <v>46752</v>
      </c>
      <c r="V107" s="130">
        <f>U107</f>
        <v>46752</v>
      </c>
      <c r="W107" s="130">
        <f>EOMONTH(V107,3)</f>
        <v>46843</v>
      </c>
      <c r="X107" s="130">
        <f>EOMONTH(W107,3)</f>
        <v>46934</v>
      </c>
      <c r="Y107" s="130">
        <f>EOMONTH(X107,3)</f>
        <v>47026</v>
      </c>
      <c r="Z107" s="130">
        <f>EOMONTH(Y107,3)</f>
        <v>47118</v>
      </c>
      <c r="AA107" s="130">
        <f>Z107</f>
        <v>47118</v>
      </c>
      <c r="AB107" s="130">
        <f>EOMONTH(AA107,3)</f>
        <v>47208</v>
      </c>
      <c r="AC107" s="130">
        <f>EOMONTH(AB107,3)</f>
        <v>47299</v>
      </c>
      <c r="AD107" s="130">
        <f>EOMONTH(AC107,3)</f>
        <v>47391</v>
      </c>
      <c r="AE107" s="130">
        <f>EOMONTH(AD107,3)</f>
        <v>47483</v>
      </c>
      <c r="AF107" s="130">
        <f>AE107</f>
        <v>47483</v>
      </c>
      <c r="AG107" s="130">
        <f>EOMONTH(AF107,3)</f>
        <v>47573</v>
      </c>
      <c r="AH107" s="130">
        <f>EOMONTH(AG107,3)</f>
        <v>47664</v>
      </c>
      <c r="AI107" s="130">
        <f>EOMONTH(AH107,3)</f>
        <v>47756</v>
      </c>
      <c r="AJ107" s="130">
        <f>EOMONTH(AI107,3)</f>
        <v>47848</v>
      </c>
      <c r="AK107" s="130">
        <f>AJ107</f>
        <v>47848</v>
      </c>
      <c r="AL107" s="130">
        <f>EOMONTH(AK107,3)</f>
        <v>47938</v>
      </c>
      <c r="AM107" s="130">
        <f>EOMONTH(AL107,3)</f>
        <v>48029</v>
      </c>
      <c r="AN107" s="130">
        <f>EOMONTH(AM107,3)</f>
        <v>48121</v>
      </c>
      <c r="AO107" s="130">
        <f>EOMONTH(AN107,3)</f>
        <v>48213</v>
      </c>
      <c r="AP107" s="130">
        <f>AO107</f>
        <v>48213</v>
      </c>
      <c r="AQ107" s="130">
        <f>EOMONTH(AP107,3)</f>
        <v>48304</v>
      </c>
      <c r="AR107" s="130">
        <f>EOMONTH(AQ107,3)</f>
        <v>48395</v>
      </c>
      <c r="AS107" s="130">
        <f>EOMONTH(AR107,3)</f>
        <v>48487</v>
      </c>
      <c r="AT107" s="130">
        <f>EOMONTH(AS107,3)</f>
        <v>48579</v>
      </c>
      <c r="AU107" s="130">
        <f>AT107</f>
        <v>48579</v>
      </c>
    </row>
    <row r="108" spans="1:81" s="27" customFormat="1">
      <c r="E108" s="133"/>
      <c r="F108" s="133"/>
      <c r="G108" s="133"/>
      <c r="H108" s="133"/>
      <c r="I108" s="133"/>
      <c r="J108" s="133"/>
      <c r="K108" s="133"/>
      <c r="L108" s="168"/>
      <c r="M108" s="133"/>
      <c r="N108" s="133"/>
      <c r="O108" s="133"/>
      <c r="P108" s="133"/>
      <c r="Q108" s="168"/>
      <c r="R108" s="133"/>
      <c r="S108" s="133"/>
      <c r="T108" s="133"/>
      <c r="U108" s="133"/>
      <c r="V108" s="168"/>
      <c r="W108" s="133"/>
      <c r="X108" s="133"/>
      <c r="Y108" s="133"/>
      <c r="Z108" s="133"/>
      <c r="AA108" s="168"/>
      <c r="AB108" s="133"/>
      <c r="AC108" s="133"/>
      <c r="AD108" s="133"/>
      <c r="AE108" s="133"/>
      <c r="AF108" s="168"/>
      <c r="AG108" s="133"/>
      <c r="AH108" s="133"/>
      <c r="AI108" s="133"/>
      <c r="AJ108" s="133"/>
      <c r="AK108" s="168"/>
      <c r="AL108" s="133"/>
      <c r="AM108" s="133"/>
      <c r="AN108" s="133"/>
      <c r="AO108" s="133"/>
      <c r="AP108" s="168"/>
      <c r="AQ108" s="133"/>
      <c r="AR108" s="133"/>
      <c r="AS108" s="133"/>
      <c r="AT108" s="133"/>
      <c r="AU108" s="168"/>
      <c r="AV108" s="23"/>
      <c r="AW108" s="23"/>
      <c r="AX108" s="23"/>
      <c r="AY108" s="23"/>
      <c r="AZ108" s="23"/>
      <c r="BA108" s="23"/>
      <c r="BB108" s="23"/>
      <c r="BC108" s="23"/>
      <c r="BD108" s="23"/>
      <c r="BE108" s="23"/>
      <c r="BF108" s="23"/>
      <c r="BG108" s="23"/>
      <c r="BH108" s="23"/>
      <c r="BI108" s="23"/>
      <c r="BJ108" s="23"/>
      <c r="BK108" s="23"/>
      <c r="BL108" s="23"/>
      <c r="BM108" s="23"/>
      <c r="BN108" s="23"/>
      <c r="BO108" s="23"/>
      <c r="BP108" s="23"/>
      <c r="BQ108" s="23"/>
      <c r="BR108" s="23"/>
      <c r="BS108" s="23"/>
      <c r="BT108" s="23"/>
      <c r="BU108" s="23"/>
      <c r="BV108" s="23"/>
      <c r="BW108" s="23"/>
      <c r="BX108" s="23"/>
      <c r="BY108" s="23"/>
      <c r="BZ108" s="23"/>
      <c r="CA108" s="133"/>
      <c r="CB108" s="133"/>
      <c r="CC108" s="133"/>
    </row>
    <row r="109" spans="1:81" s="84" customFormat="1">
      <c r="C109" s="165" t="s">
        <v>91</v>
      </c>
      <c r="D109" s="165"/>
      <c r="E109" s="178"/>
      <c r="F109" s="178"/>
      <c r="G109" s="178"/>
      <c r="H109" s="618"/>
      <c r="I109" s="618"/>
      <c r="J109" s="618"/>
      <c r="K109" s="607"/>
      <c r="L109" s="167">
        <f t="shared" ref="L109:AK109" si="55">SUM(L110:L113)</f>
        <v>256.5</v>
      </c>
      <c r="M109" s="166">
        <f t="shared" si="55"/>
        <v>259.16035526565759</v>
      </c>
      <c r="N109" s="166">
        <f t="shared" si="55"/>
        <v>261.82071053131511</v>
      </c>
      <c r="O109" s="166">
        <f t="shared" si="55"/>
        <v>264.4810657969727</v>
      </c>
      <c r="P109" s="166">
        <f t="shared" si="55"/>
        <v>267.14142106263029</v>
      </c>
      <c r="Q109" s="167">
        <f t="shared" si="55"/>
        <v>267.14142106263029</v>
      </c>
      <c r="R109" s="166">
        <f t="shared" si="55"/>
        <v>273.26695075275427</v>
      </c>
      <c r="S109" s="166">
        <f t="shared" si="55"/>
        <v>279.39248044287831</v>
      </c>
      <c r="T109" s="166">
        <f t="shared" si="55"/>
        <v>285.51801013300229</v>
      </c>
      <c r="U109" s="166">
        <f t="shared" si="55"/>
        <v>291.64353982312628</v>
      </c>
      <c r="V109" s="167">
        <f t="shared" si="55"/>
        <v>291.64353982312628</v>
      </c>
      <c r="W109" s="166">
        <f t="shared" si="55"/>
        <v>294.78117099039838</v>
      </c>
      <c r="X109" s="166">
        <f t="shared" si="55"/>
        <v>297.91880215767043</v>
      </c>
      <c r="Y109" s="166">
        <f t="shared" si="55"/>
        <v>301.05643332494247</v>
      </c>
      <c r="Z109" s="166">
        <f t="shared" si="55"/>
        <v>304.19406449221452</v>
      </c>
      <c r="AA109" s="167">
        <f t="shared" si="55"/>
        <v>304.19406449221452</v>
      </c>
      <c r="AB109" s="166">
        <f t="shared" si="55"/>
        <v>304.19406449221452</v>
      </c>
      <c r="AC109" s="166">
        <f t="shared" si="55"/>
        <v>304.19406449221452</v>
      </c>
      <c r="AD109" s="166">
        <f t="shared" si="55"/>
        <v>304.19406449221452</v>
      </c>
      <c r="AE109" s="166">
        <f t="shared" si="55"/>
        <v>304.19406449221452</v>
      </c>
      <c r="AF109" s="167">
        <f t="shared" si="55"/>
        <v>304.19406449221452</v>
      </c>
      <c r="AG109" s="166">
        <f t="shared" si="55"/>
        <v>304.19406449221452</v>
      </c>
      <c r="AH109" s="166">
        <f t="shared" si="55"/>
        <v>304.19406449221452</v>
      </c>
      <c r="AI109" s="166">
        <f t="shared" si="55"/>
        <v>304.19406449221452</v>
      </c>
      <c r="AJ109" s="166">
        <f t="shared" si="55"/>
        <v>304.19406449221452</v>
      </c>
      <c r="AK109" s="167">
        <f t="shared" si="55"/>
        <v>304.19406449221452</v>
      </c>
      <c r="AL109" s="166">
        <f t="shared" ref="AL109:AU109" si="56">SUM(AL110:AL113)</f>
        <v>304.19406449221452</v>
      </c>
      <c r="AM109" s="166">
        <f t="shared" si="56"/>
        <v>304.19406449221452</v>
      </c>
      <c r="AN109" s="166">
        <f t="shared" si="56"/>
        <v>304.19406449221452</v>
      </c>
      <c r="AO109" s="166">
        <f t="shared" si="56"/>
        <v>304.19406449221452</v>
      </c>
      <c r="AP109" s="167">
        <f t="shared" si="56"/>
        <v>304.19406449221452</v>
      </c>
      <c r="AQ109" s="166">
        <f t="shared" si="56"/>
        <v>304.19406449221452</v>
      </c>
      <c r="AR109" s="166">
        <f t="shared" si="56"/>
        <v>304.19406449221452</v>
      </c>
      <c r="AS109" s="166">
        <f t="shared" si="56"/>
        <v>304.19406449221452</v>
      </c>
      <c r="AT109" s="166">
        <f t="shared" si="56"/>
        <v>0</v>
      </c>
      <c r="AU109" s="167">
        <f t="shared" si="56"/>
        <v>0</v>
      </c>
      <c r="AV109" s="23"/>
      <c r="AW109" s="23"/>
      <c r="AX109" s="23"/>
      <c r="AY109" s="23"/>
      <c r="AZ109" s="23"/>
      <c r="BA109" s="23"/>
      <c r="BB109" s="23"/>
      <c r="BC109" s="23"/>
      <c r="BD109" s="23"/>
      <c r="BE109" s="23"/>
      <c r="BF109" s="23"/>
    </row>
    <row r="110" spans="1:81" s="27" customFormat="1">
      <c r="C110" s="80" t="str">
        <f>$C$59</f>
        <v>TLA</v>
      </c>
      <c r="D110" s="191"/>
      <c r="E110" s="135"/>
      <c r="F110" s="135"/>
      <c r="G110" s="133"/>
      <c r="H110" s="601"/>
      <c r="I110" s="601"/>
      <c r="J110" s="601"/>
      <c r="K110" s="601"/>
      <c r="L110" s="168">
        <f t="shared" ref="L110:AK110" si="57">L127</f>
        <v>0</v>
      </c>
      <c r="M110" s="133">
        <f t="shared" si="57"/>
        <v>0</v>
      </c>
      <c r="N110" s="133">
        <f t="shared" si="57"/>
        <v>0</v>
      </c>
      <c r="O110" s="133">
        <f t="shared" si="57"/>
        <v>0</v>
      </c>
      <c r="P110" s="133">
        <f t="shared" si="57"/>
        <v>0</v>
      </c>
      <c r="Q110" s="168">
        <f t="shared" si="57"/>
        <v>0</v>
      </c>
      <c r="R110" s="133">
        <f t="shared" si="57"/>
        <v>0</v>
      </c>
      <c r="S110" s="133">
        <f t="shared" si="57"/>
        <v>0</v>
      </c>
      <c r="T110" s="133">
        <f t="shared" si="57"/>
        <v>0</v>
      </c>
      <c r="U110" s="133">
        <f t="shared" si="57"/>
        <v>0</v>
      </c>
      <c r="V110" s="168">
        <f t="shared" si="57"/>
        <v>0</v>
      </c>
      <c r="W110" s="133">
        <f t="shared" si="57"/>
        <v>0</v>
      </c>
      <c r="X110" s="133">
        <f t="shared" si="57"/>
        <v>0</v>
      </c>
      <c r="Y110" s="133">
        <f t="shared" si="57"/>
        <v>0</v>
      </c>
      <c r="Z110" s="133">
        <f t="shared" si="57"/>
        <v>0</v>
      </c>
      <c r="AA110" s="168">
        <f t="shared" si="57"/>
        <v>0</v>
      </c>
      <c r="AB110" s="133">
        <f t="shared" si="57"/>
        <v>0</v>
      </c>
      <c r="AC110" s="133">
        <f t="shared" si="57"/>
        <v>0</v>
      </c>
      <c r="AD110" s="133">
        <f t="shared" si="57"/>
        <v>0</v>
      </c>
      <c r="AE110" s="133">
        <f t="shared" si="57"/>
        <v>0</v>
      </c>
      <c r="AF110" s="168">
        <f t="shared" si="57"/>
        <v>0</v>
      </c>
      <c r="AG110" s="133">
        <f t="shared" si="57"/>
        <v>0</v>
      </c>
      <c r="AH110" s="133">
        <f t="shared" si="57"/>
        <v>0</v>
      </c>
      <c r="AI110" s="133">
        <f t="shared" si="57"/>
        <v>0</v>
      </c>
      <c r="AJ110" s="133">
        <f t="shared" si="57"/>
        <v>0</v>
      </c>
      <c r="AK110" s="168">
        <f t="shared" si="57"/>
        <v>0</v>
      </c>
      <c r="AL110" s="133">
        <f t="shared" ref="AL110:AU110" si="58">AL127</f>
        <v>0</v>
      </c>
      <c r="AM110" s="133">
        <f t="shared" si="58"/>
        <v>0</v>
      </c>
      <c r="AN110" s="133">
        <f t="shared" si="58"/>
        <v>0</v>
      </c>
      <c r="AO110" s="133">
        <f t="shared" si="58"/>
        <v>0</v>
      </c>
      <c r="AP110" s="168">
        <f t="shared" si="58"/>
        <v>0</v>
      </c>
      <c r="AQ110" s="133">
        <f t="shared" si="58"/>
        <v>0</v>
      </c>
      <c r="AR110" s="133">
        <f t="shared" si="58"/>
        <v>0</v>
      </c>
      <c r="AS110" s="133">
        <f t="shared" si="58"/>
        <v>0</v>
      </c>
      <c r="AT110" s="133">
        <f t="shared" si="58"/>
        <v>0</v>
      </c>
      <c r="AU110" s="168">
        <f t="shared" si="58"/>
        <v>0</v>
      </c>
      <c r="AV110" s="23"/>
      <c r="AW110" s="23"/>
      <c r="AX110" s="23"/>
      <c r="AY110" s="23"/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  <c r="BJ110" s="23"/>
      <c r="BK110" s="23"/>
      <c r="BL110" s="23"/>
      <c r="BM110" s="23"/>
      <c r="BN110" s="23"/>
      <c r="BO110" s="23"/>
      <c r="BP110" s="23"/>
      <c r="BQ110" s="23"/>
      <c r="BR110" s="23"/>
      <c r="BS110" s="23"/>
      <c r="BT110" s="23"/>
      <c r="BU110" s="23"/>
      <c r="BV110" s="23"/>
      <c r="BW110" s="23"/>
      <c r="BX110" s="23"/>
      <c r="BY110" s="23"/>
      <c r="BZ110" s="23"/>
    </row>
    <row r="111" spans="1:81" s="27" customFormat="1">
      <c r="C111" s="80" t="str">
        <f>$C$60</f>
        <v>TLB</v>
      </c>
      <c r="D111" s="191"/>
      <c r="E111" s="135"/>
      <c r="F111" s="135"/>
      <c r="G111" s="133"/>
      <c r="H111" s="601"/>
      <c r="I111" s="601"/>
      <c r="J111" s="601"/>
      <c r="K111" s="601"/>
      <c r="L111" s="168">
        <f t="shared" ref="L111:AK111" si="59">L144</f>
        <v>256.5</v>
      </c>
      <c r="M111" s="133">
        <f t="shared" si="59"/>
        <v>256.5</v>
      </c>
      <c r="N111" s="133">
        <f t="shared" si="59"/>
        <v>256.5</v>
      </c>
      <c r="O111" s="133">
        <f t="shared" si="59"/>
        <v>256.5</v>
      </c>
      <c r="P111" s="133">
        <f t="shared" si="59"/>
        <v>256.5</v>
      </c>
      <c r="Q111" s="168">
        <f t="shared" si="59"/>
        <v>256.5</v>
      </c>
      <c r="R111" s="133">
        <f t="shared" si="59"/>
        <v>256.5</v>
      </c>
      <c r="S111" s="133">
        <f t="shared" si="59"/>
        <v>256.5</v>
      </c>
      <c r="T111" s="133">
        <f t="shared" si="59"/>
        <v>256.5</v>
      </c>
      <c r="U111" s="133">
        <f t="shared" si="59"/>
        <v>256.5</v>
      </c>
      <c r="V111" s="168">
        <f t="shared" si="59"/>
        <v>256.5</v>
      </c>
      <c r="W111" s="133">
        <f t="shared" si="59"/>
        <v>256.5</v>
      </c>
      <c r="X111" s="133">
        <f t="shared" si="59"/>
        <v>256.5</v>
      </c>
      <c r="Y111" s="133">
        <f t="shared" si="59"/>
        <v>256.5</v>
      </c>
      <c r="Z111" s="133">
        <f t="shared" si="59"/>
        <v>256.5</v>
      </c>
      <c r="AA111" s="168">
        <f t="shared" si="59"/>
        <v>256.5</v>
      </c>
      <c r="AB111" s="133">
        <f t="shared" si="59"/>
        <v>256.5</v>
      </c>
      <c r="AC111" s="133">
        <f t="shared" si="59"/>
        <v>256.5</v>
      </c>
      <c r="AD111" s="133">
        <f t="shared" si="59"/>
        <v>256.5</v>
      </c>
      <c r="AE111" s="133">
        <f t="shared" si="59"/>
        <v>256.5</v>
      </c>
      <c r="AF111" s="168">
        <f t="shared" si="59"/>
        <v>256.5</v>
      </c>
      <c r="AG111" s="133">
        <f t="shared" si="59"/>
        <v>256.5</v>
      </c>
      <c r="AH111" s="133">
        <f t="shared" si="59"/>
        <v>256.5</v>
      </c>
      <c r="AI111" s="133">
        <f t="shared" si="59"/>
        <v>256.5</v>
      </c>
      <c r="AJ111" s="133">
        <f t="shared" si="59"/>
        <v>256.5</v>
      </c>
      <c r="AK111" s="168">
        <f t="shared" si="59"/>
        <v>256.5</v>
      </c>
      <c r="AL111" s="133">
        <f t="shared" ref="AL111:AU111" si="60">AL144</f>
        <v>256.5</v>
      </c>
      <c r="AM111" s="133">
        <f t="shared" si="60"/>
        <v>256.5</v>
      </c>
      <c r="AN111" s="133">
        <f t="shared" si="60"/>
        <v>256.5</v>
      </c>
      <c r="AO111" s="133">
        <f t="shared" si="60"/>
        <v>256.5</v>
      </c>
      <c r="AP111" s="168">
        <f t="shared" si="60"/>
        <v>256.5</v>
      </c>
      <c r="AQ111" s="133">
        <f t="shared" si="60"/>
        <v>256.5</v>
      </c>
      <c r="AR111" s="133">
        <f t="shared" si="60"/>
        <v>256.5</v>
      </c>
      <c r="AS111" s="133">
        <f t="shared" si="60"/>
        <v>256.5</v>
      </c>
      <c r="AT111" s="133">
        <f t="shared" si="60"/>
        <v>0</v>
      </c>
      <c r="AU111" s="168">
        <f t="shared" si="60"/>
        <v>0</v>
      </c>
      <c r="AV111" s="23"/>
      <c r="AW111" s="23"/>
      <c r="AX111" s="23"/>
      <c r="AY111" s="23"/>
      <c r="AZ111" s="23"/>
      <c r="BA111" s="23"/>
      <c r="BB111" s="23"/>
      <c r="BC111" s="23"/>
      <c r="BD111" s="23"/>
      <c r="BE111" s="23"/>
      <c r="BF111" s="23"/>
      <c r="BG111" s="23"/>
      <c r="BH111" s="23"/>
      <c r="BI111" s="23"/>
      <c r="BJ111" s="23"/>
      <c r="BK111" s="23"/>
      <c r="BL111" s="23"/>
      <c r="BM111" s="23"/>
      <c r="BN111" s="23"/>
      <c r="BO111" s="23"/>
      <c r="BP111" s="23"/>
      <c r="BQ111" s="23"/>
      <c r="BR111" s="23"/>
      <c r="BS111" s="23"/>
      <c r="BT111" s="23"/>
      <c r="BU111" s="23"/>
      <c r="BV111" s="23"/>
      <c r="BW111" s="23"/>
      <c r="BX111" s="23"/>
      <c r="BY111" s="23"/>
      <c r="BZ111" s="23"/>
    </row>
    <row r="112" spans="1:81" s="27" customFormat="1">
      <c r="C112" s="80" t="str">
        <f>$C$61</f>
        <v>CAF</v>
      </c>
      <c r="D112" s="191"/>
      <c r="E112" s="135"/>
      <c r="F112" s="135"/>
      <c r="G112" s="133"/>
      <c r="H112" s="601"/>
      <c r="I112" s="601"/>
      <c r="J112" s="601"/>
      <c r="K112" s="601"/>
      <c r="L112" s="168">
        <f t="shared" ref="L112:AK112" si="61">L170</f>
        <v>0</v>
      </c>
      <c r="M112" s="133">
        <f t="shared" si="61"/>
        <v>2.660355265657568</v>
      </c>
      <c r="N112" s="133">
        <f t="shared" si="61"/>
        <v>5.3207105313151359</v>
      </c>
      <c r="O112" s="133">
        <f>O170</f>
        <v>7.9810657969727039</v>
      </c>
      <c r="P112" s="133">
        <f t="shared" si="61"/>
        <v>10.641421062630272</v>
      </c>
      <c r="Q112" s="168">
        <f t="shared" si="61"/>
        <v>10.641421062630272</v>
      </c>
      <c r="R112" s="133">
        <f t="shared" si="61"/>
        <v>16.76695075275428</v>
      </c>
      <c r="S112" s="133">
        <f t="shared" si="61"/>
        <v>22.892480442878288</v>
      </c>
      <c r="T112" s="133">
        <f t="shared" si="61"/>
        <v>29.018010133002296</v>
      </c>
      <c r="U112" s="133">
        <f t="shared" si="61"/>
        <v>35.143539823126304</v>
      </c>
      <c r="V112" s="168">
        <f t="shared" si="61"/>
        <v>35.143539823126304</v>
      </c>
      <c r="W112" s="133">
        <f t="shared" si="61"/>
        <v>38.281170990398358</v>
      </c>
      <c r="X112" s="133">
        <f t="shared" si="61"/>
        <v>41.418802157670413</v>
      </c>
      <c r="Y112" s="133">
        <f t="shared" si="61"/>
        <v>44.556433324942468</v>
      </c>
      <c r="Z112" s="133">
        <f t="shared" si="61"/>
        <v>47.694064492214522</v>
      </c>
      <c r="AA112" s="168">
        <f t="shared" si="61"/>
        <v>47.694064492214522</v>
      </c>
      <c r="AB112" s="133">
        <f t="shared" si="61"/>
        <v>47.694064492214522</v>
      </c>
      <c r="AC112" s="133">
        <f t="shared" si="61"/>
        <v>47.694064492214522</v>
      </c>
      <c r="AD112" s="133">
        <f t="shared" si="61"/>
        <v>47.694064492214522</v>
      </c>
      <c r="AE112" s="133">
        <f t="shared" si="61"/>
        <v>47.694064492214522</v>
      </c>
      <c r="AF112" s="168">
        <f t="shared" si="61"/>
        <v>47.694064492214522</v>
      </c>
      <c r="AG112" s="133">
        <f t="shared" si="61"/>
        <v>47.694064492214522</v>
      </c>
      <c r="AH112" s="133">
        <f t="shared" si="61"/>
        <v>47.694064492214522</v>
      </c>
      <c r="AI112" s="133">
        <f t="shared" si="61"/>
        <v>47.694064492214522</v>
      </c>
      <c r="AJ112" s="133">
        <f t="shared" si="61"/>
        <v>47.694064492214522</v>
      </c>
      <c r="AK112" s="168">
        <f t="shared" si="61"/>
        <v>47.694064492214522</v>
      </c>
      <c r="AL112" s="133">
        <f t="shared" ref="AL112:AU112" si="62">AL170</f>
        <v>47.694064492214522</v>
      </c>
      <c r="AM112" s="133">
        <f t="shared" si="62"/>
        <v>47.694064492214522</v>
      </c>
      <c r="AN112" s="133">
        <f t="shared" si="62"/>
        <v>47.694064492214522</v>
      </c>
      <c r="AO112" s="133">
        <f t="shared" si="62"/>
        <v>47.694064492214522</v>
      </c>
      <c r="AP112" s="168">
        <f t="shared" si="62"/>
        <v>47.694064492214522</v>
      </c>
      <c r="AQ112" s="133">
        <f t="shared" si="62"/>
        <v>47.694064492214522</v>
      </c>
      <c r="AR112" s="133">
        <f t="shared" si="62"/>
        <v>47.694064492214522</v>
      </c>
      <c r="AS112" s="133">
        <f t="shared" si="62"/>
        <v>47.694064492214522</v>
      </c>
      <c r="AT112" s="133">
        <f t="shared" si="62"/>
        <v>0</v>
      </c>
      <c r="AU112" s="168">
        <f t="shared" si="62"/>
        <v>0</v>
      </c>
      <c r="AV112" s="23"/>
      <c r="AW112" s="23"/>
      <c r="AX112" s="23"/>
      <c r="AY112" s="23"/>
      <c r="AZ112" s="23"/>
      <c r="BA112" s="23"/>
      <c r="BB112" s="23"/>
      <c r="BC112" s="23"/>
      <c r="BD112" s="23"/>
      <c r="BE112" s="23"/>
      <c r="BF112" s="23"/>
      <c r="BG112" s="23"/>
      <c r="BH112" s="23"/>
      <c r="BI112" s="23"/>
      <c r="BJ112" s="23"/>
      <c r="BK112" s="23"/>
      <c r="BL112" s="23"/>
      <c r="BM112" s="23"/>
      <c r="BN112" s="23"/>
      <c r="BO112" s="23"/>
      <c r="BP112" s="23"/>
      <c r="BQ112" s="23"/>
      <c r="BR112" s="23"/>
      <c r="BS112" s="23"/>
      <c r="BT112" s="23"/>
      <c r="BU112" s="23"/>
      <c r="BV112" s="23"/>
      <c r="BW112" s="23"/>
      <c r="BX112" s="23"/>
      <c r="BY112" s="23"/>
      <c r="BZ112" s="23"/>
    </row>
    <row r="113" spans="1:81" s="27" customFormat="1">
      <c r="C113" s="80" t="str">
        <f>$C$62</f>
        <v>RCF</v>
      </c>
      <c r="D113" s="191"/>
      <c r="E113" s="135"/>
      <c r="F113" s="135"/>
      <c r="G113" s="133"/>
      <c r="H113" s="601"/>
      <c r="I113" s="601"/>
      <c r="J113" s="601"/>
      <c r="K113" s="601"/>
      <c r="L113" s="168">
        <f t="shared" ref="L113:AK113" si="63">L195</f>
        <v>0</v>
      </c>
      <c r="M113" s="133">
        <f t="shared" si="63"/>
        <v>0</v>
      </c>
      <c r="N113" s="133">
        <f t="shared" si="63"/>
        <v>0</v>
      </c>
      <c r="O113" s="133">
        <f t="shared" si="63"/>
        <v>0</v>
      </c>
      <c r="P113" s="133">
        <f t="shared" si="63"/>
        <v>0</v>
      </c>
      <c r="Q113" s="168">
        <f t="shared" si="63"/>
        <v>0</v>
      </c>
      <c r="R113" s="133">
        <f t="shared" si="63"/>
        <v>0</v>
      </c>
      <c r="S113" s="133">
        <f t="shared" si="63"/>
        <v>0</v>
      </c>
      <c r="T113" s="133">
        <f t="shared" si="63"/>
        <v>0</v>
      </c>
      <c r="U113" s="133">
        <f t="shared" si="63"/>
        <v>0</v>
      </c>
      <c r="V113" s="168">
        <f t="shared" si="63"/>
        <v>0</v>
      </c>
      <c r="W113" s="133">
        <f t="shared" si="63"/>
        <v>0</v>
      </c>
      <c r="X113" s="133">
        <f t="shared" si="63"/>
        <v>0</v>
      </c>
      <c r="Y113" s="133">
        <f t="shared" si="63"/>
        <v>0</v>
      </c>
      <c r="Z113" s="133">
        <f t="shared" si="63"/>
        <v>0</v>
      </c>
      <c r="AA113" s="168">
        <f t="shared" si="63"/>
        <v>0</v>
      </c>
      <c r="AB113" s="133">
        <f t="shared" si="63"/>
        <v>0</v>
      </c>
      <c r="AC113" s="133">
        <f t="shared" si="63"/>
        <v>0</v>
      </c>
      <c r="AD113" s="133">
        <f t="shared" si="63"/>
        <v>0</v>
      </c>
      <c r="AE113" s="133">
        <f t="shared" si="63"/>
        <v>0</v>
      </c>
      <c r="AF113" s="168">
        <f t="shared" si="63"/>
        <v>0</v>
      </c>
      <c r="AG113" s="133">
        <f t="shared" si="63"/>
        <v>0</v>
      </c>
      <c r="AH113" s="133">
        <f t="shared" si="63"/>
        <v>0</v>
      </c>
      <c r="AI113" s="133">
        <f t="shared" si="63"/>
        <v>0</v>
      </c>
      <c r="AJ113" s="133">
        <f t="shared" si="63"/>
        <v>0</v>
      </c>
      <c r="AK113" s="168">
        <f t="shared" si="63"/>
        <v>0</v>
      </c>
      <c r="AL113" s="133">
        <f t="shared" ref="AL113:AU113" si="64">AL195</f>
        <v>0</v>
      </c>
      <c r="AM113" s="133">
        <f t="shared" si="64"/>
        <v>0</v>
      </c>
      <c r="AN113" s="133">
        <f t="shared" si="64"/>
        <v>0</v>
      </c>
      <c r="AO113" s="133">
        <f t="shared" si="64"/>
        <v>0</v>
      </c>
      <c r="AP113" s="168">
        <f t="shared" si="64"/>
        <v>0</v>
      </c>
      <c r="AQ113" s="133">
        <f t="shared" si="64"/>
        <v>0</v>
      </c>
      <c r="AR113" s="133">
        <f t="shared" si="64"/>
        <v>0</v>
      </c>
      <c r="AS113" s="133">
        <f t="shared" si="64"/>
        <v>0</v>
      </c>
      <c r="AT113" s="133">
        <f t="shared" si="64"/>
        <v>0</v>
      </c>
      <c r="AU113" s="168">
        <f t="shared" si="64"/>
        <v>0</v>
      </c>
      <c r="AV113" s="23"/>
      <c r="AW113" s="23"/>
      <c r="AX113" s="23"/>
      <c r="AY113" s="23"/>
      <c r="AZ113" s="23"/>
      <c r="BA113" s="23"/>
      <c r="BB113" s="23"/>
      <c r="BC113" s="23"/>
      <c r="BD113" s="23"/>
      <c r="BE113" s="23"/>
      <c r="BF113" s="23"/>
      <c r="BG113" s="23"/>
      <c r="BH113" s="23"/>
      <c r="BI113" s="23"/>
      <c r="BJ113" s="23"/>
      <c r="BK113" s="23"/>
      <c r="BL113" s="23"/>
      <c r="BM113" s="23"/>
      <c r="BN113" s="23"/>
      <c r="BO113" s="23"/>
      <c r="BP113" s="23"/>
      <c r="BQ113" s="23"/>
      <c r="BR113" s="23"/>
      <c r="BS113" s="23"/>
      <c r="BT113" s="23"/>
      <c r="BU113" s="23"/>
      <c r="BV113" s="23"/>
      <c r="BW113" s="23"/>
      <c r="BX113" s="23"/>
      <c r="BY113" s="23"/>
      <c r="BZ113" s="23"/>
    </row>
    <row r="114" spans="1:81" s="27" customFormat="1">
      <c r="C114" s="80"/>
      <c r="D114" s="191"/>
      <c r="E114" s="135"/>
      <c r="F114" s="135"/>
      <c r="G114" s="133"/>
      <c r="H114" s="601"/>
      <c r="I114" s="601"/>
      <c r="J114" s="601"/>
      <c r="K114" s="601"/>
      <c r="L114" s="168"/>
      <c r="M114" s="133"/>
      <c r="N114" s="133"/>
      <c r="O114" s="133"/>
      <c r="P114" s="133"/>
      <c r="Q114" s="168"/>
      <c r="R114" s="133"/>
      <c r="S114" s="133"/>
      <c r="T114" s="133"/>
      <c r="U114" s="133"/>
      <c r="V114" s="168"/>
      <c r="W114" s="133"/>
      <c r="X114" s="133"/>
      <c r="Y114" s="133"/>
      <c r="Z114" s="133"/>
      <c r="AA114" s="168"/>
      <c r="AB114" s="133"/>
      <c r="AC114" s="133"/>
      <c r="AD114" s="133"/>
      <c r="AE114" s="133"/>
      <c r="AF114" s="168"/>
      <c r="AG114" s="133"/>
      <c r="AH114" s="133"/>
      <c r="AI114" s="133"/>
      <c r="AJ114" s="133"/>
      <c r="AK114" s="168"/>
      <c r="AL114" s="133"/>
      <c r="AM114" s="133"/>
      <c r="AN114" s="133"/>
      <c r="AO114" s="133"/>
      <c r="AP114" s="168"/>
      <c r="AQ114" s="133"/>
      <c r="AR114" s="133"/>
      <c r="AS114" s="133"/>
      <c r="AT114" s="133"/>
      <c r="AU114" s="168"/>
      <c r="AV114" s="23"/>
      <c r="AW114" s="23"/>
      <c r="AX114" s="23"/>
      <c r="AY114" s="23"/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23"/>
      <c r="BK114" s="23"/>
      <c r="BL114" s="23"/>
      <c r="BM114" s="23"/>
      <c r="BN114" s="23"/>
      <c r="BO114" s="23"/>
      <c r="BP114" s="23"/>
      <c r="BQ114" s="23"/>
      <c r="BR114" s="23"/>
      <c r="BS114" s="23"/>
      <c r="BT114" s="23"/>
      <c r="BU114" s="23"/>
      <c r="BV114" s="23"/>
      <c r="BW114" s="23"/>
      <c r="BX114" s="23"/>
      <c r="BY114" s="23"/>
      <c r="BZ114" s="23"/>
    </row>
    <row r="115" spans="1:81" s="27" customFormat="1">
      <c r="C115" s="192" t="s">
        <v>76</v>
      </c>
      <c r="E115" s="133"/>
      <c r="F115" s="133"/>
      <c r="G115" s="133"/>
      <c r="H115" s="601"/>
      <c r="I115" s="601"/>
      <c r="J115" s="601"/>
      <c r="K115" s="601"/>
      <c r="L115" s="168">
        <f t="shared" ref="L115:AK115" si="65">L102</f>
        <v>0</v>
      </c>
      <c r="M115" s="133">
        <f t="shared" si="65"/>
        <v>7.1725497929041548</v>
      </c>
      <c r="N115" s="133">
        <f t="shared" si="65"/>
        <v>14.318496033151733</v>
      </c>
      <c r="O115" s="133">
        <f t="shared" si="65"/>
        <v>21.437838720742736</v>
      </c>
      <c r="P115" s="133">
        <f t="shared" si="65"/>
        <v>28.530577855677162</v>
      </c>
      <c r="Q115" s="168">
        <f t="shared" si="65"/>
        <v>28.530577855677162</v>
      </c>
      <c r="R115" s="133">
        <f t="shared" si="65"/>
        <v>36.998923365134608</v>
      </c>
      <c r="S115" s="133">
        <f t="shared" si="65"/>
        <v>45.406013577690814</v>
      </c>
      <c r="T115" s="133">
        <f t="shared" si="65"/>
        <v>53.751848493345783</v>
      </c>
      <c r="U115" s="133">
        <f t="shared" si="65"/>
        <v>62.036428112099514</v>
      </c>
      <c r="V115" s="168">
        <f t="shared" si="65"/>
        <v>62.036428112099514</v>
      </c>
      <c r="W115" s="133">
        <f t="shared" si="65"/>
        <v>68.526202592946987</v>
      </c>
      <c r="X115" s="133">
        <f t="shared" si="65"/>
        <v>74.98460076212173</v>
      </c>
      <c r="Y115" s="133">
        <f t="shared" si="65"/>
        <v>81.411622619623756</v>
      </c>
      <c r="Z115" s="133">
        <f t="shared" si="65"/>
        <v>87.807268165453067</v>
      </c>
      <c r="AA115" s="168">
        <f t="shared" si="65"/>
        <v>87.807268165453067</v>
      </c>
      <c r="AB115" s="133">
        <f t="shared" si="65"/>
        <v>68.355451124089797</v>
      </c>
      <c r="AC115" s="133">
        <f t="shared" si="65"/>
        <v>48.903634082726533</v>
      </c>
      <c r="AD115" s="133">
        <f t="shared" si="65"/>
        <v>29.451817041363277</v>
      </c>
      <c r="AE115" s="133">
        <f t="shared" si="65"/>
        <v>10.000000000000021</v>
      </c>
      <c r="AF115" s="168">
        <f t="shared" si="65"/>
        <v>10.000000000000028</v>
      </c>
      <c r="AG115" s="133">
        <f t="shared" si="65"/>
        <v>16.882902191009016</v>
      </c>
      <c r="AH115" s="133">
        <f t="shared" si="65"/>
        <v>23.765804382018004</v>
      </c>
      <c r="AI115" s="133">
        <f t="shared" si="65"/>
        <v>30.648706573026992</v>
      </c>
      <c r="AJ115" s="133">
        <f t="shared" si="65"/>
        <v>37.531608764035973</v>
      </c>
      <c r="AK115" s="168">
        <f t="shared" si="65"/>
        <v>37.531608764035973</v>
      </c>
      <c r="AL115" s="133">
        <f t="shared" ref="AL115:AU115" si="66">AL102</f>
        <v>45.009140438609059</v>
      </c>
      <c r="AM115" s="133">
        <f t="shared" si="66"/>
        <v>52.486672113182145</v>
      </c>
      <c r="AN115" s="133">
        <f t="shared" si="66"/>
        <v>59.964203787755231</v>
      </c>
      <c r="AO115" s="133">
        <f t="shared" si="66"/>
        <v>67.441735462328325</v>
      </c>
      <c r="AP115" s="168">
        <f t="shared" si="66"/>
        <v>67.441735462328339</v>
      </c>
      <c r="AQ115" s="133">
        <f t="shared" si="66"/>
        <v>79.954376336075853</v>
      </c>
      <c r="AR115" s="133">
        <f t="shared" si="66"/>
        <v>92.467017209823368</v>
      </c>
      <c r="AS115" s="133">
        <f t="shared" si="66"/>
        <v>104.97965808357088</v>
      </c>
      <c r="AT115" s="133">
        <f t="shared" si="66"/>
        <v>-184.64024013181978</v>
      </c>
      <c r="AU115" s="168">
        <f t="shared" si="66"/>
        <v>-184.64024013181978</v>
      </c>
      <c r="AV115" s="23"/>
      <c r="AW115" s="23"/>
      <c r="AX115" s="23"/>
      <c r="AY115" s="23"/>
      <c r="AZ115" s="23"/>
      <c r="BA115" s="23"/>
      <c r="BB115" s="23"/>
      <c r="BC115" s="23"/>
      <c r="BD115" s="23"/>
      <c r="BE115" s="23"/>
      <c r="BF115" s="23"/>
      <c r="BG115" s="23"/>
      <c r="BH115" s="23"/>
      <c r="BI115" s="23"/>
      <c r="BJ115" s="23"/>
      <c r="BK115" s="23"/>
      <c r="BL115" s="23"/>
      <c r="BM115" s="23"/>
      <c r="BN115" s="23"/>
      <c r="BO115" s="23"/>
      <c r="BP115" s="23"/>
      <c r="BQ115" s="23"/>
      <c r="BR115" s="23"/>
      <c r="BS115" s="23"/>
      <c r="BT115" s="23"/>
      <c r="BU115" s="23"/>
      <c r="BV115" s="23"/>
      <c r="BW115" s="23"/>
      <c r="BX115" s="23"/>
      <c r="BY115" s="23"/>
      <c r="BZ115" s="23"/>
      <c r="CA115" s="133"/>
      <c r="CB115" s="133"/>
      <c r="CC115" s="133"/>
    </row>
    <row r="116" spans="1:81" s="193" customFormat="1" ht="10.8" thickBot="1">
      <c r="A116" s="84"/>
      <c r="C116" s="194" t="s">
        <v>92</v>
      </c>
      <c r="D116" s="194"/>
      <c r="E116" s="195"/>
      <c r="F116" s="195"/>
      <c r="G116" s="195"/>
      <c r="H116" s="621"/>
      <c r="I116" s="621"/>
      <c r="J116" s="621"/>
      <c r="K116" s="622"/>
      <c r="L116" s="197">
        <f t="shared" ref="L116:AK116" si="67">SUM(L110:L113)-L115</f>
        <v>256.5</v>
      </c>
      <c r="M116" s="196">
        <f t="shared" si="67"/>
        <v>251.98780547275342</v>
      </c>
      <c r="N116" s="196">
        <f t="shared" si="67"/>
        <v>247.50221449816337</v>
      </c>
      <c r="O116" s="196">
        <f t="shared" si="67"/>
        <v>243.04322707622995</v>
      </c>
      <c r="P116" s="196">
        <f t="shared" si="67"/>
        <v>238.61084320695312</v>
      </c>
      <c r="Q116" s="197">
        <f t="shared" si="67"/>
        <v>238.61084320695312</v>
      </c>
      <c r="R116" s="196">
        <f t="shared" si="67"/>
        <v>236.26802738761967</v>
      </c>
      <c r="S116" s="196">
        <f t="shared" si="67"/>
        <v>233.98646686518748</v>
      </c>
      <c r="T116" s="196">
        <f t="shared" si="67"/>
        <v>231.7661616396565</v>
      </c>
      <c r="U116" s="196">
        <f t="shared" si="67"/>
        <v>229.60711171102676</v>
      </c>
      <c r="V116" s="198">
        <f t="shared" si="67"/>
        <v>229.60711171102676</v>
      </c>
      <c r="W116" s="196">
        <f t="shared" si="67"/>
        <v>226.25496839745139</v>
      </c>
      <c r="X116" s="196">
        <f t="shared" si="67"/>
        <v>222.93420139554871</v>
      </c>
      <c r="Y116" s="196">
        <f t="shared" si="67"/>
        <v>219.64481070531872</v>
      </c>
      <c r="Z116" s="196">
        <f t="shared" si="67"/>
        <v>216.38679632676144</v>
      </c>
      <c r="AA116" s="198">
        <f t="shared" si="67"/>
        <v>216.38679632676144</v>
      </c>
      <c r="AB116" s="196">
        <f t="shared" si="67"/>
        <v>235.83861336812473</v>
      </c>
      <c r="AC116" s="196">
        <f t="shared" si="67"/>
        <v>255.29043040948798</v>
      </c>
      <c r="AD116" s="196">
        <f t="shared" si="67"/>
        <v>274.74224745085127</v>
      </c>
      <c r="AE116" s="196">
        <f t="shared" si="67"/>
        <v>294.19406449221452</v>
      </c>
      <c r="AF116" s="198">
        <f t="shared" si="67"/>
        <v>294.19406449221447</v>
      </c>
      <c r="AG116" s="196">
        <f t="shared" si="67"/>
        <v>287.31116230120551</v>
      </c>
      <c r="AH116" s="196">
        <f t="shared" si="67"/>
        <v>280.4282601101965</v>
      </c>
      <c r="AI116" s="196">
        <f t="shared" si="67"/>
        <v>273.54535791918755</v>
      </c>
      <c r="AJ116" s="196">
        <f t="shared" si="67"/>
        <v>266.66245572817854</v>
      </c>
      <c r="AK116" s="198">
        <f t="shared" si="67"/>
        <v>266.66245572817854</v>
      </c>
      <c r="AL116" s="196">
        <f t="shared" ref="AL116:AU116" si="68">SUM(AL110:AL113)-AL115</f>
        <v>259.18492405360547</v>
      </c>
      <c r="AM116" s="196">
        <f t="shared" si="68"/>
        <v>251.70739237903237</v>
      </c>
      <c r="AN116" s="196">
        <f t="shared" si="68"/>
        <v>244.2298607044593</v>
      </c>
      <c r="AO116" s="196">
        <f t="shared" si="68"/>
        <v>236.7523290298862</v>
      </c>
      <c r="AP116" s="198">
        <f t="shared" si="68"/>
        <v>236.7523290298862</v>
      </c>
      <c r="AQ116" s="196">
        <f t="shared" si="68"/>
        <v>224.23968815613867</v>
      </c>
      <c r="AR116" s="196">
        <f t="shared" si="68"/>
        <v>211.72704728239114</v>
      </c>
      <c r="AS116" s="196">
        <f t="shared" si="68"/>
        <v>199.21440640864364</v>
      </c>
      <c r="AT116" s="196">
        <f t="shared" si="68"/>
        <v>184.64024013181978</v>
      </c>
      <c r="AU116" s="198">
        <f t="shared" si="68"/>
        <v>184.64024013181978</v>
      </c>
      <c r="AV116" s="23"/>
      <c r="AW116" s="23"/>
      <c r="AX116" s="23"/>
      <c r="AY116" s="23"/>
      <c r="AZ116" s="23"/>
      <c r="BA116" s="23"/>
      <c r="BB116" s="23"/>
      <c r="BC116" s="23"/>
      <c r="BD116" s="23"/>
      <c r="BE116" s="23"/>
      <c r="BF116" s="23"/>
      <c r="BG116" s="84"/>
      <c r="BH116" s="84"/>
      <c r="BI116" s="84"/>
      <c r="BJ116" s="84"/>
      <c r="BK116" s="84"/>
      <c r="BL116" s="84"/>
      <c r="BM116" s="84"/>
      <c r="BN116" s="84"/>
      <c r="BO116" s="84"/>
      <c r="BP116" s="84"/>
      <c r="BQ116" s="84"/>
      <c r="BR116" s="84"/>
      <c r="BS116" s="84"/>
      <c r="BT116" s="84"/>
      <c r="BU116" s="84"/>
      <c r="BV116" s="84"/>
      <c r="BW116" s="84"/>
      <c r="BX116" s="84"/>
      <c r="BY116" s="84"/>
      <c r="BZ116" s="84"/>
    </row>
    <row r="117" spans="1:81" s="27" customFormat="1" ht="10.8" thickTop="1">
      <c r="E117" s="133"/>
      <c r="F117" s="133"/>
      <c r="G117" s="133"/>
      <c r="H117" s="133"/>
      <c r="I117" s="133"/>
      <c r="J117" s="133"/>
      <c r="K117" s="133"/>
      <c r="L117" s="133"/>
      <c r="M117" s="133"/>
      <c r="N117" s="133"/>
      <c r="O117" s="133"/>
      <c r="P117" s="133"/>
      <c r="Q117" s="133"/>
      <c r="R117" s="133"/>
      <c r="S117" s="133"/>
      <c r="T117" s="133"/>
      <c r="U117" s="133"/>
      <c r="V117" s="133"/>
      <c r="W117" s="133"/>
      <c r="X117" s="133"/>
      <c r="Y117" s="133"/>
      <c r="Z117" s="133"/>
      <c r="AA117" s="133"/>
      <c r="AB117" s="133"/>
      <c r="AC117" s="133"/>
      <c r="AD117" s="133"/>
      <c r="AE117" s="133"/>
      <c r="AF117" s="133"/>
      <c r="AG117" s="133"/>
      <c r="AH117" s="133"/>
      <c r="AI117" s="133"/>
      <c r="AJ117" s="133"/>
      <c r="AK117" s="133"/>
      <c r="AL117" s="133"/>
      <c r="AM117" s="133"/>
      <c r="AN117" s="133"/>
      <c r="AO117" s="133"/>
      <c r="AP117" s="133"/>
      <c r="AQ117" s="133"/>
      <c r="AR117" s="133"/>
      <c r="AS117" s="133"/>
      <c r="AT117" s="133"/>
      <c r="AU117" s="133"/>
      <c r="AV117" s="23"/>
      <c r="AW117" s="23"/>
      <c r="AX117" s="23"/>
      <c r="AY117" s="23"/>
      <c r="AZ117" s="23"/>
      <c r="BA117" s="23"/>
      <c r="BB117" s="23"/>
      <c r="BC117" s="23"/>
      <c r="BD117" s="23"/>
      <c r="BE117" s="23"/>
      <c r="BF117" s="23"/>
      <c r="BG117" s="23"/>
      <c r="BH117" s="23"/>
      <c r="BI117" s="23"/>
      <c r="BJ117" s="23"/>
      <c r="BK117" s="23"/>
      <c r="BL117" s="23"/>
      <c r="BM117" s="23"/>
      <c r="BN117" s="23"/>
      <c r="BO117" s="23"/>
      <c r="BP117" s="23"/>
      <c r="BQ117" s="23"/>
      <c r="BR117" s="23"/>
      <c r="BS117" s="23"/>
      <c r="BT117" s="23"/>
      <c r="BU117" s="23"/>
      <c r="BV117" s="23"/>
      <c r="BW117" s="23"/>
      <c r="BX117" s="23"/>
      <c r="BY117" s="23"/>
      <c r="BZ117" s="23"/>
      <c r="CA117" s="133"/>
      <c r="CB117" s="133"/>
      <c r="CC117" s="133"/>
    </row>
    <row r="118" spans="1:81" s="27" customFormat="1">
      <c r="C118" s="141" t="str">
        <f>C110</f>
        <v>TLA</v>
      </c>
      <c r="D118" s="141"/>
      <c r="E118" s="141"/>
      <c r="F118" s="141"/>
      <c r="G118" s="141"/>
      <c r="H118" s="141"/>
      <c r="I118" s="141"/>
      <c r="J118" s="141"/>
      <c r="K118" s="141"/>
      <c r="L118" s="141"/>
      <c r="M118" s="141"/>
      <c r="N118" s="141"/>
      <c r="O118" s="141"/>
      <c r="P118" s="141"/>
      <c r="Q118" s="141"/>
      <c r="R118" s="141"/>
      <c r="S118" s="141"/>
      <c r="T118" s="141"/>
      <c r="U118" s="141"/>
      <c r="V118" s="141"/>
      <c r="W118" s="141"/>
      <c r="X118" s="141"/>
      <c r="Y118" s="141"/>
      <c r="Z118" s="141"/>
      <c r="AA118" s="141"/>
      <c r="AB118" s="141"/>
      <c r="AC118" s="141"/>
      <c r="AD118" s="141"/>
      <c r="AE118" s="141"/>
      <c r="AF118" s="141"/>
      <c r="AG118" s="141"/>
      <c r="AH118" s="141"/>
      <c r="AI118" s="141"/>
      <c r="AJ118" s="141"/>
      <c r="AK118" s="141"/>
      <c r="AL118" s="141"/>
      <c r="AM118" s="141"/>
      <c r="AN118" s="141"/>
      <c r="AO118" s="141"/>
      <c r="AP118" s="141"/>
      <c r="AQ118" s="141"/>
      <c r="AR118" s="141"/>
      <c r="AS118" s="141"/>
      <c r="AT118" s="141"/>
      <c r="AU118" s="141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  <c r="BH118" s="23"/>
      <c r="BI118" s="23"/>
      <c r="BJ118" s="23"/>
      <c r="BK118" s="23"/>
      <c r="BL118" s="23"/>
      <c r="BM118" s="23"/>
      <c r="BN118" s="23"/>
      <c r="BO118" s="23"/>
      <c r="BP118" s="23"/>
      <c r="BQ118" s="23"/>
      <c r="BR118" s="23"/>
      <c r="BS118" s="23"/>
      <c r="BT118" s="23"/>
      <c r="BU118" s="23"/>
      <c r="BV118" s="23"/>
      <c r="BW118" s="23"/>
      <c r="BX118" s="23"/>
      <c r="BY118" s="23"/>
      <c r="BZ118" s="23"/>
      <c r="CA118" s="133"/>
      <c r="CB118" s="133"/>
      <c r="CC118" s="133"/>
    </row>
    <row r="119" spans="1:81" s="27" customFormat="1" ht="10.8" outlineLevel="1" thickBot="1">
      <c r="C119" s="23"/>
      <c r="E119" s="133"/>
      <c r="F119" s="133"/>
      <c r="G119" s="133"/>
      <c r="H119" s="133"/>
      <c r="I119" s="133"/>
      <c r="J119" s="133"/>
      <c r="K119" s="133"/>
      <c r="L119" s="133"/>
      <c r="M119" s="133"/>
      <c r="N119" s="133"/>
      <c r="O119" s="133"/>
      <c r="P119" s="133"/>
      <c r="Q119" s="133"/>
      <c r="R119" s="133"/>
      <c r="S119" s="133"/>
      <c r="T119" s="133"/>
      <c r="U119" s="133"/>
      <c r="V119" s="133"/>
      <c r="W119" s="133"/>
      <c r="X119" s="133"/>
      <c r="Y119" s="133"/>
      <c r="Z119" s="133"/>
      <c r="AA119" s="133"/>
      <c r="AB119" s="133"/>
      <c r="AC119" s="133"/>
      <c r="AD119" s="133"/>
      <c r="AE119" s="133"/>
      <c r="AF119" s="133"/>
      <c r="AG119" s="133"/>
      <c r="AH119" s="133"/>
      <c r="AI119" s="133"/>
      <c r="AJ119" s="133"/>
      <c r="AK119" s="133"/>
      <c r="AL119" s="133"/>
      <c r="AM119" s="133"/>
      <c r="AN119" s="133"/>
      <c r="AO119" s="133"/>
      <c r="AP119" s="133"/>
      <c r="AQ119" s="133"/>
      <c r="AR119" s="133"/>
      <c r="AS119" s="133"/>
      <c r="AT119" s="133"/>
      <c r="AU119" s="133"/>
      <c r="AV119" s="23"/>
      <c r="AW119" s="23"/>
      <c r="AX119" s="23"/>
      <c r="AY119" s="23"/>
      <c r="AZ119" s="23"/>
      <c r="BA119" s="23"/>
      <c r="BB119" s="23"/>
      <c r="BC119" s="23"/>
      <c r="BD119" s="23"/>
      <c r="BE119" s="23"/>
      <c r="BF119" s="23"/>
      <c r="BG119" s="23"/>
      <c r="BH119" s="23"/>
      <c r="BI119" s="23"/>
      <c r="BJ119" s="23"/>
      <c r="BK119" s="23"/>
      <c r="BL119" s="23"/>
      <c r="BM119" s="23"/>
      <c r="BN119" s="23"/>
      <c r="BO119" s="23"/>
      <c r="BP119" s="23"/>
      <c r="BQ119" s="23"/>
      <c r="BR119" s="23"/>
      <c r="BS119" s="23"/>
      <c r="BT119" s="23"/>
      <c r="BU119" s="23"/>
      <c r="BV119" s="23"/>
      <c r="BW119" s="23"/>
      <c r="BX119" s="23"/>
      <c r="BY119" s="23"/>
      <c r="BZ119" s="23"/>
      <c r="CA119" s="133"/>
      <c r="CB119" s="133"/>
      <c r="CC119" s="133"/>
    </row>
    <row r="120" spans="1:81" ht="10.8" outlineLevel="1" thickBot="1">
      <c r="A120" s="18"/>
      <c r="B120" s="103"/>
      <c r="C120" s="45"/>
      <c r="D120" s="45"/>
      <c r="E120" s="104"/>
      <c r="F120" s="104"/>
      <c r="G120" s="104"/>
      <c r="H120" s="30" t="s">
        <v>80</v>
      </c>
      <c r="I120" s="105" t="s">
        <v>81</v>
      </c>
      <c r="J120" s="105" t="s">
        <v>82</v>
      </c>
      <c r="K120" s="106" t="s">
        <v>77</v>
      </c>
      <c r="L120" s="30" t="s">
        <v>95</v>
      </c>
      <c r="M120" s="30" t="s">
        <v>80</v>
      </c>
      <c r="N120" s="105" t="s">
        <v>81</v>
      </c>
      <c r="O120" s="105" t="s">
        <v>82</v>
      </c>
      <c r="P120" s="105" t="s">
        <v>83</v>
      </c>
      <c r="Q120" s="30" t="s">
        <v>95</v>
      </c>
      <c r="R120" s="30" t="s">
        <v>80</v>
      </c>
      <c r="S120" s="105" t="s">
        <v>81</v>
      </c>
      <c r="T120" s="105" t="s">
        <v>82</v>
      </c>
      <c r="U120" s="105" t="s">
        <v>83</v>
      </c>
      <c r="V120" s="30" t="s">
        <v>95</v>
      </c>
      <c r="W120" s="30" t="s">
        <v>80</v>
      </c>
      <c r="X120" s="105" t="s">
        <v>81</v>
      </c>
      <c r="Y120" s="105" t="s">
        <v>82</v>
      </c>
      <c r="Z120" s="105" t="s">
        <v>83</v>
      </c>
      <c r="AA120" s="30" t="s">
        <v>95</v>
      </c>
      <c r="AB120" s="30" t="s">
        <v>80</v>
      </c>
      <c r="AC120" s="105" t="s">
        <v>81</v>
      </c>
      <c r="AD120" s="105" t="s">
        <v>82</v>
      </c>
      <c r="AE120" s="105" t="s">
        <v>83</v>
      </c>
      <c r="AF120" s="30" t="s">
        <v>95</v>
      </c>
      <c r="AG120" s="30" t="s">
        <v>80</v>
      </c>
      <c r="AH120" s="105" t="s">
        <v>81</v>
      </c>
      <c r="AI120" s="105" t="s">
        <v>82</v>
      </c>
      <c r="AJ120" s="105" t="s">
        <v>83</v>
      </c>
      <c r="AK120" s="30" t="s">
        <v>95</v>
      </c>
      <c r="AL120" s="30" t="s">
        <v>80</v>
      </c>
      <c r="AM120" s="105" t="s">
        <v>81</v>
      </c>
      <c r="AN120" s="105" t="s">
        <v>82</v>
      </c>
      <c r="AO120" s="105" t="s">
        <v>83</v>
      </c>
      <c r="AP120" s="30" t="s">
        <v>95</v>
      </c>
      <c r="AQ120" s="30" t="s">
        <v>80</v>
      </c>
      <c r="AR120" s="105" t="s">
        <v>81</v>
      </c>
      <c r="AS120" s="105" t="s">
        <v>82</v>
      </c>
      <c r="AT120" s="105" t="s">
        <v>83</v>
      </c>
      <c r="AU120" s="30" t="s">
        <v>95</v>
      </c>
    </row>
    <row r="121" spans="1:81" ht="10.8" outlineLevel="1" thickBot="1">
      <c r="E121" s="107"/>
      <c r="F121" s="107"/>
      <c r="G121" s="107"/>
      <c r="H121" s="130">
        <v>45747</v>
      </c>
      <c r="I121" s="130">
        <v>45838</v>
      </c>
      <c r="J121" s="130">
        <v>45930</v>
      </c>
      <c r="K121" s="130">
        <v>46022</v>
      </c>
      <c r="L121" s="130">
        <f>K121</f>
        <v>46022</v>
      </c>
      <c r="M121" s="130">
        <f>EOMONTH(L121,3)</f>
        <v>46112</v>
      </c>
      <c r="N121" s="130">
        <f>EOMONTH(M121,3)</f>
        <v>46203</v>
      </c>
      <c r="O121" s="130">
        <f>EOMONTH(N121,3)</f>
        <v>46295</v>
      </c>
      <c r="P121" s="130">
        <f>EOMONTH(O121,3)</f>
        <v>46387</v>
      </c>
      <c r="Q121" s="130">
        <f>P121</f>
        <v>46387</v>
      </c>
      <c r="R121" s="130">
        <f>EOMONTH(Q121,3)</f>
        <v>46477</v>
      </c>
      <c r="S121" s="130">
        <f>EOMONTH(R121,3)</f>
        <v>46568</v>
      </c>
      <c r="T121" s="130">
        <f>EOMONTH(S121,3)</f>
        <v>46660</v>
      </c>
      <c r="U121" s="130">
        <f>EOMONTH(T121,3)</f>
        <v>46752</v>
      </c>
      <c r="V121" s="130">
        <f>U121</f>
        <v>46752</v>
      </c>
      <c r="W121" s="130">
        <f>EOMONTH(V121,3)</f>
        <v>46843</v>
      </c>
      <c r="X121" s="130">
        <f>EOMONTH(W121,3)</f>
        <v>46934</v>
      </c>
      <c r="Y121" s="130">
        <f>EOMONTH(X121,3)</f>
        <v>47026</v>
      </c>
      <c r="Z121" s="130">
        <f>EOMONTH(Y121,3)</f>
        <v>47118</v>
      </c>
      <c r="AA121" s="130">
        <f>Z121</f>
        <v>47118</v>
      </c>
      <c r="AB121" s="130">
        <f>EOMONTH(AA121,3)</f>
        <v>47208</v>
      </c>
      <c r="AC121" s="130">
        <f>EOMONTH(AB121,3)</f>
        <v>47299</v>
      </c>
      <c r="AD121" s="130">
        <f>EOMONTH(AC121,3)</f>
        <v>47391</v>
      </c>
      <c r="AE121" s="130">
        <f>EOMONTH(AD121,3)</f>
        <v>47483</v>
      </c>
      <c r="AF121" s="130">
        <f>AE121</f>
        <v>47483</v>
      </c>
      <c r="AG121" s="130">
        <f>EOMONTH(AF121,3)</f>
        <v>47573</v>
      </c>
      <c r="AH121" s="130">
        <f>EOMONTH(AG121,3)</f>
        <v>47664</v>
      </c>
      <c r="AI121" s="130">
        <f>EOMONTH(AH121,3)</f>
        <v>47756</v>
      </c>
      <c r="AJ121" s="130">
        <f>EOMONTH(AI121,3)</f>
        <v>47848</v>
      </c>
      <c r="AK121" s="130">
        <f>AJ121</f>
        <v>47848</v>
      </c>
      <c r="AL121" s="130">
        <f>EOMONTH(AK121,3)</f>
        <v>47938</v>
      </c>
      <c r="AM121" s="130">
        <f>EOMONTH(AL121,3)</f>
        <v>48029</v>
      </c>
      <c r="AN121" s="130">
        <f>EOMONTH(AM121,3)</f>
        <v>48121</v>
      </c>
      <c r="AO121" s="130">
        <f>EOMONTH(AN121,3)</f>
        <v>48213</v>
      </c>
      <c r="AP121" s="130">
        <f>AO121</f>
        <v>48213</v>
      </c>
      <c r="AQ121" s="130">
        <f>EOMONTH(AP121,3)</f>
        <v>48304</v>
      </c>
      <c r="AR121" s="130">
        <f>EOMONTH(AQ121,3)</f>
        <v>48395</v>
      </c>
      <c r="AS121" s="130">
        <f>EOMONTH(AR121,3)</f>
        <v>48487</v>
      </c>
      <c r="AT121" s="130">
        <f>EOMONTH(AS121,3)</f>
        <v>48579</v>
      </c>
      <c r="AU121" s="130">
        <f>AT121</f>
        <v>48579</v>
      </c>
    </row>
    <row r="122" spans="1:81" s="27" customFormat="1" outlineLevel="1">
      <c r="E122" s="133"/>
      <c r="F122" s="133"/>
      <c r="G122" s="133"/>
      <c r="H122" s="133"/>
      <c r="I122" s="133"/>
      <c r="J122" s="133"/>
      <c r="K122" s="133"/>
      <c r="L122" s="168"/>
      <c r="M122" s="133"/>
      <c r="N122" s="133"/>
      <c r="O122" s="133"/>
      <c r="P122" s="133"/>
      <c r="Q122" s="168"/>
      <c r="R122" s="133"/>
      <c r="S122" s="133"/>
      <c r="T122" s="133"/>
      <c r="U122" s="133"/>
      <c r="V122" s="168"/>
      <c r="W122" s="133"/>
      <c r="X122" s="133"/>
      <c r="Y122" s="133"/>
      <c r="Z122" s="133"/>
      <c r="AA122" s="168"/>
      <c r="AB122" s="133"/>
      <c r="AC122" s="133"/>
      <c r="AD122" s="133"/>
      <c r="AE122" s="133"/>
      <c r="AF122" s="168"/>
      <c r="AG122" s="133"/>
      <c r="AH122" s="133"/>
      <c r="AI122" s="133"/>
      <c r="AJ122" s="133"/>
      <c r="AK122" s="168"/>
      <c r="AL122" s="133"/>
      <c r="AM122" s="133"/>
      <c r="AN122" s="133"/>
      <c r="AO122" s="133"/>
      <c r="AP122" s="168"/>
      <c r="AQ122" s="133"/>
      <c r="AR122" s="133"/>
      <c r="AS122" s="133"/>
      <c r="AT122" s="133"/>
      <c r="AU122" s="168"/>
      <c r="AV122" s="23"/>
      <c r="AW122" s="23"/>
      <c r="AX122" s="23"/>
      <c r="AY122" s="23"/>
      <c r="AZ122" s="23"/>
      <c r="BA122" s="23"/>
      <c r="BB122" s="23"/>
      <c r="BC122" s="23"/>
      <c r="BD122" s="23"/>
      <c r="BE122" s="23"/>
      <c r="BF122" s="23"/>
      <c r="BG122" s="23"/>
      <c r="BH122" s="23"/>
      <c r="BI122" s="23"/>
      <c r="BJ122" s="23"/>
      <c r="BK122" s="23"/>
      <c r="BL122" s="23"/>
      <c r="BM122" s="23"/>
      <c r="BN122" s="23"/>
      <c r="BO122" s="23"/>
      <c r="BP122" s="23"/>
      <c r="BQ122" s="23"/>
      <c r="BR122" s="23"/>
      <c r="BS122" s="23"/>
      <c r="BT122" s="23"/>
      <c r="BU122" s="23"/>
      <c r="BV122" s="23"/>
      <c r="BW122" s="23"/>
      <c r="BX122" s="23"/>
      <c r="BY122" s="23"/>
      <c r="BZ122" s="23"/>
      <c r="CA122" s="133"/>
      <c r="CB122" s="133"/>
      <c r="CC122" s="133"/>
    </row>
    <row r="123" spans="1:81" s="27" customFormat="1" outlineLevel="1">
      <c r="C123" s="80" t="s">
        <v>115</v>
      </c>
      <c r="D123" s="200">
        <f>SUM(E123:AK123)</f>
        <v>0</v>
      </c>
      <c r="E123" s="133"/>
      <c r="F123" s="133"/>
      <c r="G123" s="133"/>
      <c r="H123" s="623"/>
      <c r="I123" s="623"/>
      <c r="J123" s="623"/>
      <c r="K123" s="623"/>
      <c r="L123" s="168"/>
      <c r="M123" s="200">
        <f>'Debt Structure'!D65</f>
        <v>0</v>
      </c>
      <c r="N123" s="200">
        <f>'Debt Structure'!D66</f>
        <v>0</v>
      </c>
      <c r="O123" s="200">
        <f>'Debt Structure'!D67</f>
        <v>0</v>
      </c>
      <c r="P123" s="200">
        <f>'Debt Structure'!D68</f>
        <v>0</v>
      </c>
      <c r="Q123" s="168"/>
      <c r="R123" s="200">
        <f>'Debt Structure'!D69</f>
        <v>0</v>
      </c>
      <c r="S123" s="200">
        <f>'Debt Structure'!D70</f>
        <v>0</v>
      </c>
      <c r="T123" s="200">
        <f>'Debt Structure'!D71</f>
        <v>0</v>
      </c>
      <c r="U123" s="200">
        <f>'Debt Structure'!D72</f>
        <v>0</v>
      </c>
      <c r="V123" s="168"/>
      <c r="W123" s="200">
        <f>'Debt Structure'!D73</f>
        <v>0</v>
      </c>
      <c r="X123" s="200">
        <f>'Debt Structure'!D74</f>
        <v>0</v>
      </c>
      <c r="Y123" s="200">
        <f>'Debt Structure'!D75</f>
        <v>0</v>
      </c>
      <c r="Z123" s="200">
        <f>'Debt Structure'!D76</f>
        <v>0</v>
      </c>
      <c r="AA123" s="168"/>
      <c r="AB123" s="200">
        <f>'Debt Structure'!D77</f>
        <v>0</v>
      </c>
      <c r="AC123" s="200">
        <f>'Debt Structure'!D78</f>
        <v>0</v>
      </c>
      <c r="AD123" s="200">
        <f>'Debt Structure'!D79</f>
        <v>0</v>
      </c>
      <c r="AE123" s="200">
        <f>'Debt Structure'!D80</f>
        <v>0</v>
      </c>
      <c r="AF123" s="168"/>
      <c r="AG123" s="200">
        <f>'Debt Structure'!D81</f>
        <v>0</v>
      </c>
      <c r="AH123" s="200">
        <f>'Debt Structure'!D82</f>
        <v>0</v>
      </c>
      <c r="AI123" s="200">
        <f>'Debt Structure'!D83</f>
        <v>0</v>
      </c>
      <c r="AJ123" s="200">
        <f>'Debt Structure'!D84</f>
        <v>0</v>
      </c>
      <c r="AK123" s="168"/>
      <c r="AL123" s="200">
        <f>+'Debt Structure'!D85</f>
        <v>0</v>
      </c>
      <c r="AM123" s="200">
        <f>+'Debt Structure'!D86</f>
        <v>0</v>
      </c>
      <c r="AN123" s="200">
        <f>+'Debt Structure'!D87</f>
        <v>0</v>
      </c>
      <c r="AO123" s="200">
        <f>+'Debt Structure'!D88</f>
        <v>0</v>
      </c>
      <c r="AP123" s="168"/>
      <c r="AQ123" s="200">
        <f>+'Debt Structure'!D89</f>
        <v>0</v>
      </c>
      <c r="AR123" s="200">
        <f>+'Debt Structure'!D90</f>
        <v>0</v>
      </c>
      <c r="AS123" s="200">
        <f>+'Debt Structure'!D91</f>
        <v>0</v>
      </c>
      <c r="AT123" s="200">
        <f>+'Debt Structure'!D92</f>
        <v>0</v>
      </c>
      <c r="AU123" s="168"/>
      <c r="AV123" s="23"/>
      <c r="AW123" s="23"/>
      <c r="AX123" s="23"/>
      <c r="AY123" s="23"/>
      <c r="AZ123" s="23"/>
      <c r="BA123" s="23"/>
      <c r="BB123" s="23"/>
      <c r="BC123" s="23"/>
      <c r="BD123" s="23"/>
      <c r="BE123" s="23"/>
      <c r="BF123" s="23"/>
      <c r="BG123" s="23"/>
      <c r="BH123" s="23"/>
      <c r="BI123" s="23"/>
      <c r="BJ123" s="23"/>
      <c r="BK123" s="23"/>
      <c r="BL123" s="23"/>
      <c r="BM123" s="23"/>
      <c r="BN123" s="23"/>
      <c r="BO123" s="23"/>
      <c r="BP123" s="23"/>
      <c r="BQ123" s="23"/>
      <c r="BR123" s="23"/>
      <c r="BS123" s="23"/>
      <c r="BT123" s="23"/>
      <c r="BU123" s="23"/>
      <c r="BV123" s="23"/>
      <c r="BW123" s="23"/>
      <c r="BX123" s="23"/>
      <c r="BY123" s="23"/>
      <c r="BZ123" s="23"/>
      <c r="CA123" s="133"/>
      <c r="CB123" s="133"/>
      <c r="CC123" s="133"/>
    </row>
    <row r="124" spans="1:81" s="83" customFormat="1" outlineLevel="1">
      <c r="C124" s="201" t="s">
        <v>116</v>
      </c>
      <c r="E124" s="202"/>
      <c r="F124" s="202"/>
      <c r="G124" s="202"/>
      <c r="H124" s="617"/>
      <c r="I124" s="617"/>
      <c r="J124" s="617"/>
      <c r="K124" s="617"/>
      <c r="L124" s="203"/>
      <c r="M124" s="202">
        <f>L127</f>
        <v>0</v>
      </c>
      <c r="N124" s="202">
        <f>M127</f>
        <v>0</v>
      </c>
      <c r="O124" s="202">
        <f>N127</f>
        <v>0</v>
      </c>
      <c r="P124" s="202">
        <f>O127</f>
        <v>0</v>
      </c>
      <c r="Q124" s="203">
        <f>L127</f>
        <v>0</v>
      </c>
      <c r="R124" s="202">
        <f>Q127</f>
        <v>0</v>
      </c>
      <c r="S124" s="202">
        <f>R127</f>
        <v>0</v>
      </c>
      <c r="T124" s="202">
        <f>S127</f>
        <v>0</v>
      </c>
      <c r="U124" s="202">
        <f>T127</f>
        <v>0</v>
      </c>
      <c r="V124" s="203">
        <f>Q127</f>
        <v>0</v>
      </c>
      <c r="W124" s="202">
        <f>V127</f>
        <v>0</v>
      </c>
      <c r="X124" s="202">
        <f>W127</f>
        <v>0</v>
      </c>
      <c r="Y124" s="202">
        <f>X127</f>
        <v>0</v>
      </c>
      <c r="Z124" s="202">
        <f>Y127</f>
        <v>0</v>
      </c>
      <c r="AA124" s="203">
        <f>V127</f>
        <v>0</v>
      </c>
      <c r="AB124" s="202">
        <f>AA127</f>
        <v>0</v>
      </c>
      <c r="AC124" s="202">
        <f>AB127</f>
        <v>0</v>
      </c>
      <c r="AD124" s="202">
        <f>AC127</f>
        <v>0</v>
      </c>
      <c r="AE124" s="202">
        <f>AD127</f>
        <v>0</v>
      </c>
      <c r="AF124" s="203">
        <f>AA127</f>
        <v>0</v>
      </c>
      <c r="AG124" s="202">
        <f>AF127</f>
        <v>0</v>
      </c>
      <c r="AH124" s="202">
        <f>AG127</f>
        <v>0</v>
      </c>
      <c r="AI124" s="202">
        <f>AH127</f>
        <v>0</v>
      </c>
      <c r="AJ124" s="202">
        <f>AI127</f>
        <v>0</v>
      </c>
      <c r="AK124" s="203">
        <f>AF127</f>
        <v>0</v>
      </c>
      <c r="AL124" s="202">
        <f>AK127</f>
        <v>0</v>
      </c>
      <c r="AM124" s="202">
        <f>AL127</f>
        <v>0</v>
      </c>
      <c r="AN124" s="202">
        <f>AM127</f>
        <v>0</v>
      </c>
      <c r="AO124" s="202">
        <f>AN127</f>
        <v>0</v>
      </c>
      <c r="AP124" s="203">
        <f>AK127</f>
        <v>0</v>
      </c>
      <c r="AQ124" s="202">
        <f>AP127</f>
        <v>0</v>
      </c>
      <c r="AR124" s="202">
        <f>AQ127</f>
        <v>0</v>
      </c>
      <c r="AS124" s="202">
        <f>AR127</f>
        <v>0</v>
      </c>
      <c r="AT124" s="202">
        <f>AS127</f>
        <v>0</v>
      </c>
      <c r="AU124" s="203">
        <f>AP127</f>
        <v>0</v>
      </c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23"/>
      <c r="CA124" s="202"/>
      <c r="CB124" s="202"/>
      <c r="CC124" s="202"/>
    </row>
    <row r="125" spans="1:81" s="27" customFormat="1" outlineLevel="1">
      <c r="C125" s="204" t="s">
        <v>117</v>
      </c>
      <c r="D125" s="205"/>
      <c r="E125" s="133"/>
      <c r="F125" s="133"/>
      <c r="G125" s="133"/>
      <c r="H125" s="601"/>
      <c r="I125" s="601"/>
      <c r="J125" s="601"/>
      <c r="K125" s="601"/>
      <c r="L125" s="206"/>
      <c r="M125" s="133">
        <f>-M123*$D$126</f>
        <v>0</v>
      </c>
      <c r="N125" s="133">
        <f>-N123*$D$126</f>
        <v>0</v>
      </c>
      <c r="O125" s="133">
        <f>-O123*$D$126</f>
        <v>0</v>
      </c>
      <c r="P125" s="133">
        <f>-P123*$D$126</f>
        <v>0</v>
      </c>
      <c r="Q125" s="206">
        <f>SUM(M125:P125)</f>
        <v>0</v>
      </c>
      <c r="R125" s="133">
        <f>-R123*$D$126</f>
        <v>0</v>
      </c>
      <c r="S125" s="133">
        <f>-S123*$D$126</f>
        <v>0</v>
      </c>
      <c r="T125" s="133">
        <f>-T123*$D$126</f>
        <v>0</v>
      </c>
      <c r="U125" s="133">
        <f>-U123*$D$126</f>
        <v>0</v>
      </c>
      <c r="V125" s="206">
        <f>SUM(R125:U125)</f>
        <v>0</v>
      </c>
      <c r="W125" s="133">
        <f>-W123*$D$126</f>
        <v>0</v>
      </c>
      <c r="X125" s="133">
        <f>-X123*$D$126</f>
        <v>0</v>
      </c>
      <c r="Y125" s="133">
        <f>-Y123*$D$126</f>
        <v>0</v>
      </c>
      <c r="Z125" s="133">
        <f>-Z123*$D$126</f>
        <v>0</v>
      </c>
      <c r="AA125" s="206">
        <f>SUM(W125:Z125)</f>
        <v>0</v>
      </c>
      <c r="AB125" s="133">
        <f>-AB123*$D$126</f>
        <v>0</v>
      </c>
      <c r="AC125" s="133">
        <f>-AC123*$D$126</f>
        <v>0</v>
      </c>
      <c r="AD125" s="133">
        <f>-AD123*$D$126</f>
        <v>0</v>
      </c>
      <c r="AE125" s="133">
        <f>-AE123*$D$126</f>
        <v>0</v>
      </c>
      <c r="AF125" s="206">
        <f>SUM(AB125:AE125)</f>
        <v>0</v>
      </c>
      <c r="AG125" s="133">
        <f>-AG123*$D$126</f>
        <v>0</v>
      </c>
      <c r="AH125" s="133">
        <f>-AH123*$D$126</f>
        <v>0</v>
      </c>
      <c r="AI125" s="133">
        <f>-AI123*$D$126</f>
        <v>0</v>
      </c>
      <c r="AJ125" s="133">
        <f>-AJ123*$D$126</f>
        <v>0</v>
      </c>
      <c r="AK125" s="206">
        <f>SUM(AG125:AJ125)</f>
        <v>0</v>
      </c>
      <c r="AL125" s="133">
        <f>-AL123*$D$126</f>
        <v>0</v>
      </c>
      <c r="AM125" s="133">
        <f>-AM123*$D$126</f>
        <v>0</v>
      </c>
      <c r="AN125" s="133">
        <f>-AN123*$D$126</f>
        <v>0</v>
      </c>
      <c r="AO125" s="133">
        <f>-AO123*$D$126</f>
        <v>0</v>
      </c>
      <c r="AP125" s="206">
        <f>SUM(AL125:AO125)</f>
        <v>0</v>
      </c>
      <c r="AQ125" s="133">
        <f>-AQ123*$D$126</f>
        <v>0</v>
      </c>
      <c r="AR125" s="133">
        <f>-AR123*$D$126</f>
        <v>0</v>
      </c>
      <c r="AS125" s="133">
        <f>-AS123*$D$126</f>
        <v>0</v>
      </c>
      <c r="AT125" s="133">
        <f>-AT123*$D$126</f>
        <v>0</v>
      </c>
      <c r="AU125" s="206">
        <f>SUM(AQ125:AT125)</f>
        <v>0</v>
      </c>
      <c r="AV125" s="23"/>
      <c r="AW125" s="23"/>
      <c r="AX125" s="23"/>
      <c r="AY125" s="23"/>
      <c r="AZ125" s="23"/>
      <c r="BA125" s="23"/>
      <c r="BB125" s="23"/>
      <c r="BC125" s="23"/>
      <c r="BD125" s="23"/>
      <c r="BE125" s="23"/>
      <c r="BF125" s="23"/>
      <c r="BG125" s="23"/>
      <c r="BH125" s="23"/>
      <c r="BI125" s="23"/>
      <c r="BJ125" s="23"/>
      <c r="BK125" s="23"/>
      <c r="BL125" s="23"/>
      <c r="BM125" s="23"/>
      <c r="BN125" s="23"/>
      <c r="BO125" s="23"/>
      <c r="BP125" s="23"/>
      <c r="BQ125" s="23"/>
      <c r="BR125" s="23"/>
      <c r="BS125" s="23"/>
      <c r="BT125" s="23"/>
      <c r="BU125" s="23"/>
      <c r="BV125" s="23"/>
      <c r="BW125" s="23"/>
      <c r="BX125" s="23"/>
      <c r="BY125" s="23"/>
      <c r="BZ125" s="23"/>
      <c r="CA125" s="133"/>
      <c r="CB125" s="133"/>
      <c r="CC125" s="133"/>
    </row>
    <row r="126" spans="1:81" s="27" customFormat="1" outlineLevel="1">
      <c r="C126" s="80" t="s">
        <v>118</v>
      </c>
      <c r="D126" s="207">
        <f>'Debt Structure'!D12</f>
        <v>0</v>
      </c>
      <c r="E126" s="133"/>
      <c r="F126" s="133"/>
      <c r="G126" s="133"/>
      <c r="H126" s="601"/>
      <c r="I126" s="601"/>
      <c r="J126" s="601"/>
      <c r="K126" s="610"/>
      <c r="L126" s="208">
        <f>D126</f>
        <v>0</v>
      </c>
      <c r="M126" s="133"/>
      <c r="N126" s="133"/>
      <c r="O126" s="133"/>
      <c r="P126" s="133"/>
      <c r="Q126" s="206">
        <f>SUM(M126:P126)</f>
        <v>0</v>
      </c>
      <c r="R126" s="133"/>
      <c r="S126" s="133"/>
      <c r="T126" s="133"/>
      <c r="U126" s="133"/>
      <c r="V126" s="206">
        <f>SUM(R126:U126)</f>
        <v>0</v>
      </c>
      <c r="W126" s="133"/>
      <c r="X126" s="133"/>
      <c r="Y126" s="133"/>
      <c r="Z126" s="133"/>
      <c r="AA126" s="206">
        <f>SUM(W126:Z126)</f>
        <v>0</v>
      </c>
      <c r="AB126" s="133"/>
      <c r="AC126" s="133"/>
      <c r="AD126" s="133"/>
      <c r="AE126" s="133"/>
      <c r="AF126" s="206">
        <f>SUM(AB126:AE126)</f>
        <v>0</v>
      </c>
      <c r="AG126" s="133"/>
      <c r="AH126" s="133"/>
      <c r="AI126" s="133"/>
      <c r="AJ126" s="133"/>
      <c r="AK126" s="206">
        <f>SUM(AG126:AJ126)</f>
        <v>0</v>
      </c>
      <c r="AL126" s="133"/>
      <c r="AM126" s="133"/>
      <c r="AN126" s="133"/>
      <c r="AO126" s="133"/>
      <c r="AP126" s="206">
        <f>SUM(AL126:AO126)</f>
        <v>0</v>
      </c>
      <c r="AQ126" s="133"/>
      <c r="AR126" s="133"/>
      <c r="AS126" s="133"/>
      <c r="AT126" s="133"/>
      <c r="AU126" s="206">
        <f>SUM(AQ126:AT126)</f>
        <v>0</v>
      </c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  <c r="BH126" s="23"/>
      <c r="BI126" s="23"/>
      <c r="BJ126" s="23"/>
      <c r="BK126" s="23"/>
      <c r="BL126" s="23"/>
      <c r="BM126" s="23"/>
      <c r="BN126" s="23"/>
      <c r="BO126" s="23"/>
      <c r="BP126" s="23"/>
      <c r="BQ126" s="23"/>
      <c r="BR126" s="23"/>
      <c r="BS126" s="23"/>
      <c r="BT126" s="23"/>
      <c r="BU126" s="23"/>
      <c r="BV126" s="23"/>
      <c r="BW126" s="23"/>
      <c r="BX126" s="23"/>
      <c r="BY126" s="23"/>
      <c r="BZ126" s="23"/>
      <c r="CA126" s="133"/>
      <c r="CB126" s="133"/>
      <c r="CC126" s="133"/>
    </row>
    <row r="127" spans="1:81" s="84" customFormat="1" outlineLevel="1">
      <c r="C127" s="193" t="s">
        <v>119</v>
      </c>
      <c r="D127" s="132"/>
      <c r="E127" s="132"/>
      <c r="F127" s="132"/>
      <c r="G127" s="132"/>
      <c r="H127" s="613"/>
      <c r="I127" s="613"/>
      <c r="J127" s="613"/>
      <c r="K127" s="613"/>
      <c r="L127" s="203">
        <f t="shared" ref="L127:V127" si="69">L124+L125+L126</f>
        <v>0</v>
      </c>
      <c r="M127" s="132">
        <f t="shared" si="69"/>
        <v>0</v>
      </c>
      <c r="N127" s="132">
        <f t="shared" si="69"/>
        <v>0</v>
      </c>
      <c r="O127" s="132">
        <f t="shared" si="69"/>
        <v>0</v>
      </c>
      <c r="P127" s="132">
        <f t="shared" si="69"/>
        <v>0</v>
      </c>
      <c r="Q127" s="203">
        <f t="shared" si="69"/>
        <v>0</v>
      </c>
      <c r="R127" s="132">
        <f t="shared" si="69"/>
        <v>0</v>
      </c>
      <c r="S127" s="132">
        <f t="shared" si="69"/>
        <v>0</v>
      </c>
      <c r="T127" s="132">
        <f t="shared" si="69"/>
        <v>0</v>
      </c>
      <c r="U127" s="132">
        <f t="shared" si="69"/>
        <v>0</v>
      </c>
      <c r="V127" s="203">
        <f t="shared" si="69"/>
        <v>0</v>
      </c>
      <c r="W127" s="132">
        <f t="shared" ref="W127:AU127" si="70">W124+W125+W126</f>
        <v>0</v>
      </c>
      <c r="X127" s="132">
        <f t="shared" si="70"/>
        <v>0</v>
      </c>
      <c r="Y127" s="132">
        <f t="shared" si="70"/>
        <v>0</v>
      </c>
      <c r="Z127" s="132">
        <f t="shared" si="70"/>
        <v>0</v>
      </c>
      <c r="AA127" s="203">
        <f t="shared" si="70"/>
        <v>0</v>
      </c>
      <c r="AB127" s="132">
        <f t="shared" si="70"/>
        <v>0</v>
      </c>
      <c r="AC127" s="132">
        <f t="shared" si="70"/>
        <v>0</v>
      </c>
      <c r="AD127" s="132">
        <f t="shared" si="70"/>
        <v>0</v>
      </c>
      <c r="AE127" s="132">
        <f t="shared" si="70"/>
        <v>0</v>
      </c>
      <c r="AF127" s="203">
        <f t="shared" si="70"/>
        <v>0</v>
      </c>
      <c r="AG127" s="132">
        <f t="shared" si="70"/>
        <v>0</v>
      </c>
      <c r="AH127" s="132">
        <f t="shared" si="70"/>
        <v>0</v>
      </c>
      <c r="AI127" s="132">
        <f t="shared" si="70"/>
        <v>0</v>
      </c>
      <c r="AJ127" s="132">
        <f t="shared" si="70"/>
        <v>0</v>
      </c>
      <c r="AK127" s="203">
        <f t="shared" si="70"/>
        <v>0</v>
      </c>
      <c r="AL127" s="132">
        <f t="shared" si="70"/>
        <v>0</v>
      </c>
      <c r="AM127" s="132">
        <f t="shared" si="70"/>
        <v>0</v>
      </c>
      <c r="AN127" s="132">
        <f t="shared" si="70"/>
        <v>0</v>
      </c>
      <c r="AO127" s="132">
        <f t="shared" si="70"/>
        <v>0</v>
      </c>
      <c r="AP127" s="203">
        <f t="shared" si="70"/>
        <v>0</v>
      </c>
      <c r="AQ127" s="132">
        <f t="shared" si="70"/>
        <v>0</v>
      </c>
      <c r="AR127" s="132">
        <f t="shared" si="70"/>
        <v>0</v>
      </c>
      <c r="AS127" s="132">
        <f t="shared" si="70"/>
        <v>0</v>
      </c>
      <c r="AT127" s="132">
        <f t="shared" si="70"/>
        <v>0</v>
      </c>
      <c r="AU127" s="203">
        <f t="shared" si="70"/>
        <v>0</v>
      </c>
      <c r="AV127" s="23"/>
      <c r="AW127" s="23"/>
      <c r="AX127" s="23"/>
      <c r="AY127" s="23"/>
      <c r="AZ127" s="23"/>
      <c r="BA127" s="23"/>
      <c r="BB127" s="23"/>
      <c r="BC127" s="23"/>
      <c r="BD127" s="23"/>
      <c r="BE127" s="23"/>
      <c r="BF127" s="23"/>
      <c r="CA127" s="132"/>
      <c r="CB127" s="132"/>
      <c r="CC127" s="132"/>
    </row>
    <row r="128" spans="1:81" s="27" customFormat="1" outlineLevel="1">
      <c r="C128" s="193"/>
      <c r="E128" s="133"/>
      <c r="F128" s="133"/>
      <c r="G128" s="133"/>
      <c r="H128" s="601"/>
      <c r="I128" s="601"/>
      <c r="J128" s="601"/>
      <c r="K128" s="601"/>
      <c r="L128" s="168"/>
      <c r="M128" s="133"/>
      <c r="N128" s="133"/>
      <c r="O128" s="133"/>
      <c r="P128" s="133"/>
      <c r="Q128" s="168"/>
      <c r="R128" s="133"/>
      <c r="S128" s="133"/>
      <c r="T128" s="133"/>
      <c r="U128" s="133"/>
      <c r="V128" s="168"/>
      <c r="W128" s="133"/>
      <c r="X128" s="133"/>
      <c r="Y128" s="133"/>
      <c r="Z128" s="133"/>
      <c r="AA128" s="168"/>
      <c r="AB128" s="133"/>
      <c r="AC128" s="133"/>
      <c r="AD128" s="133"/>
      <c r="AE128" s="133"/>
      <c r="AF128" s="168"/>
      <c r="AG128" s="133"/>
      <c r="AH128" s="133"/>
      <c r="AI128" s="133"/>
      <c r="AJ128" s="133"/>
      <c r="AK128" s="168"/>
      <c r="AL128" s="133"/>
      <c r="AM128" s="133"/>
      <c r="AN128" s="133"/>
      <c r="AO128" s="133"/>
      <c r="AP128" s="168"/>
      <c r="AQ128" s="133"/>
      <c r="AR128" s="133"/>
      <c r="AS128" s="133"/>
      <c r="AT128" s="133"/>
      <c r="AU128" s="168"/>
      <c r="AV128" s="23"/>
      <c r="AW128" s="23"/>
      <c r="AX128" s="23"/>
      <c r="AY128" s="23"/>
      <c r="AZ128" s="23"/>
      <c r="BA128" s="23"/>
      <c r="BB128" s="23"/>
      <c r="BC128" s="23"/>
      <c r="BD128" s="23"/>
      <c r="BE128" s="23"/>
      <c r="BF128" s="23"/>
      <c r="BG128" s="23"/>
      <c r="BH128" s="23"/>
      <c r="BI128" s="23"/>
      <c r="BJ128" s="23"/>
      <c r="BK128" s="23"/>
      <c r="BL128" s="23"/>
      <c r="BM128" s="23"/>
      <c r="BN128" s="23"/>
      <c r="BO128" s="23"/>
      <c r="BP128" s="23"/>
      <c r="BQ128" s="23"/>
      <c r="BR128" s="23"/>
      <c r="BS128" s="23"/>
      <c r="BT128" s="23"/>
      <c r="BU128" s="23"/>
      <c r="BV128" s="23"/>
      <c r="BW128" s="23"/>
      <c r="BX128" s="23"/>
      <c r="BY128" s="23"/>
      <c r="BZ128" s="23"/>
      <c r="CA128" s="133"/>
      <c r="CB128" s="133"/>
      <c r="CC128" s="133"/>
    </row>
    <row r="129" spans="1:81" s="27" customFormat="1" outlineLevel="1">
      <c r="C129" s="209" t="s">
        <v>120</v>
      </c>
      <c r="D129" s="170"/>
      <c r="E129" s="166"/>
      <c r="F129" s="166"/>
      <c r="G129" s="166"/>
      <c r="H129" s="624"/>
      <c r="I129" s="624"/>
      <c r="J129" s="624"/>
      <c r="K129" s="624"/>
      <c r="L129" s="189"/>
      <c r="M129" s="171">
        <f>(-M131*AVERAGE(M124,M127))</f>
        <v>0</v>
      </c>
      <c r="N129" s="171">
        <f>(-N131*AVERAGE(N124,N127))</f>
        <v>0</v>
      </c>
      <c r="O129" s="171">
        <f>(-O131*AVERAGE(O124,O127))</f>
        <v>0</v>
      </c>
      <c r="P129" s="171">
        <f>(-P131*AVERAGE(P124,P127))</f>
        <v>0</v>
      </c>
      <c r="Q129" s="189">
        <f>SUM(M129:P129)</f>
        <v>0</v>
      </c>
      <c r="R129" s="171">
        <f>(-R131*AVERAGE(R124,R127))</f>
        <v>0</v>
      </c>
      <c r="S129" s="171">
        <f>(-S131*AVERAGE(S124,S127))</f>
        <v>0</v>
      </c>
      <c r="T129" s="171">
        <f>(-T131*AVERAGE(T124,T127))</f>
        <v>0</v>
      </c>
      <c r="U129" s="171">
        <f>(-U131*AVERAGE(U124,U127))</f>
        <v>0</v>
      </c>
      <c r="V129" s="189">
        <f>SUM(R129:U129)</f>
        <v>0</v>
      </c>
      <c r="W129" s="171">
        <f>(-W131*AVERAGE(W124,W127))</f>
        <v>0</v>
      </c>
      <c r="X129" s="171">
        <f>(-X131*AVERAGE(X124,X127))</f>
        <v>0</v>
      </c>
      <c r="Y129" s="171">
        <f>(-Y131*AVERAGE(Y124,Y127))</f>
        <v>0</v>
      </c>
      <c r="Z129" s="171">
        <f>(-Z131*AVERAGE(Z124,Z127))</f>
        <v>0</v>
      </c>
      <c r="AA129" s="189">
        <f>SUM(W129:Z129)</f>
        <v>0</v>
      </c>
      <c r="AB129" s="171">
        <f>(-AB131*AVERAGE(AB124,AB127))</f>
        <v>0</v>
      </c>
      <c r="AC129" s="171">
        <f>(-AC131*AVERAGE(AC124,AC127))</f>
        <v>0</v>
      </c>
      <c r="AD129" s="171">
        <f>(-AD131*AVERAGE(AD124,AD127))</f>
        <v>0</v>
      </c>
      <c r="AE129" s="171">
        <f>(-AE131*AVERAGE(AE124,AE127))</f>
        <v>0</v>
      </c>
      <c r="AF129" s="189">
        <f>SUM(AB129:AE129)</f>
        <v>0</v>
      </c>
      <c r="AG129" s="171">
        <f>(-AG131*AVERAGE(AG124,AG127))</f>
        <v>0</v>
      </c>
      <c r="AH129" s="171">
        <f>(-AH131*AVERAGE(AH124,AH127))</f>
        <v>0</v>
      </c>
      <c r="AI129" s="171">
        <f>(-AI131*AVERAGE(AI124,AI127))</f>
        <v>0</v>
      </c>
      <c r="AJ129" s="171">
        <f>(-AJ131*AVERAGE(AJ124,AJ127))</f>
        <v>0</v>
      </c>
      <c r="AK129" s="189">
        <f>SUM(AG129:AJ129)</f>
        <v>0</v>
      </c>
      <c r="AL129" s="171">
        <f>(-AL131*AVERAGE(AL124,AL127))</f>
        <v>0</v>
      </c>
      <c r="AM129" s="171">
        <f>(-AM131*AVERAGE(AM124,AM127))</f>
        <v>0</v>
      </c>
      <c r="AN129" s="171">
        <f>(-AN131*AVERAGE(AN124,AN127))</f>
        <v>0</v>
      </c>
      <c r="AO129" s="171">
        <f>(-AO131*AVERAGE(AO124,AO127))</f>
        <v>0</v>
      </c>
      <c r="AP129" s="189">
        <f>SUM(AL129:AO129)</f>
        <v>0</v>
      </c>
      <c r="AQ129" s="171">
        <f>(-AQ131*AVERAGE(AQ124,AQ127))</f>
        <v>0</v>
      </c>
      <c r="AR129" s="171">
        <f>(-AR131*AVERAGE(AR124,AR127))</f>
        <v>0</v>
      </c>
      <c r="AS129" s="171">
        <f>(-AS131*AVERAGE(AS124,AS127))</f>
        <v>0</v>
      </c>
      <c r="AT129" s="171">
        <f>(-AT131*AVERAGE(AT124,AT127))</f>
        <v>0</v>
      </c>
      <c r="AU129" s="189">
        <f>SUM(AQ129:AT129)</f>
        <v>0</v>
      </c>
      <c r="AV129" s="23"/>
      <c r="AW129" s="23"/>
      <c r="AX129" s="23"/>
      <c r="AY129" s="23"/>
      <c r="AZ129" s="23"/>
      <c r="BA129" s="23"/>
      <c r="BB129" s="23"/>
      <c r="BC129" s="23"/>
      <c r="BD129" s="23"/>
      <c r="BE129" s="23"/>
      <c r="BF129" s="23"/>
      <c r="BG129" s="23"/>
      <c r="BH129" s="23"/>
      <c r="BI129" s="23"/>
      <c r="BJ129" s="23"/>
      <c r="BK129" s="23"/>
      <c r="BL129" s="23"/>
      <c r="BM129" s="23"/>
      <c r="BN129" s="23"/>
      <c r="BO129" s="23"/>
      <c r="BP129" s="23"/>
      <c r="BQ129" s="23"/>
      <c r="BR129" s="23"/>
      <c r="BS129" s="23"/>
      <c r="BT129" s="23"/>
      <c r="BU129" s="23"/>
      <c r="BV129" s="23"/>
      <c r="BW129" s="23"/>
      <c r="BX129" s="23"/>
      <c r="BY129" s="23"/>
      <c r="BZ129" s="23"/>
      <c r="CA129" s="133"/>
      <c r="CB129" s="133"/>
      <c r="CC129" s="133"/>
    </row>
    <row r="130" spans="1:81" s="27" customFormat="1" outlineLevel="1">
      <c r="C130" s="193"/>
      <c r="E130" s="132"/>
      <c r="F130" s="132"/>
      <c r="G130" s="132"/>
      <c r="H130" s="601"/>
      <c r="I130" s="601"/>
      <c r="J130" s="601"/>
      <c r="K130" s="601"/>
      <c r="L130" s="203"/>
      <c r="M130" s="133"/>
      <c r="N130" s="133"/>
      <c r="O130" s="133"/>
      <c r="P130" s="133"/>
      <c r="Q130" s="203"/>
      <c r="R130" s="133"/>
      <c r="S130" s="133"/>
      <c r="T130" s="133"/>
      <c r="U130" s="133"/>
      <c r="V130" s="203"/>
      <c r="W130" s="133"/>
      <c r="X130" s="133"/>
      <c r="Y130" s="133"/>
      <c r="Z130" s="133"/>
      <c r="AA130" s="203"/>
      <c r="AB130" s="133"/>
      <c r="AC130" s="133"/>
      <c r="AD130" s="133"/>
      <c r="AE130" s="133"/>
      <c r="AF130" s="203"/>
      <c r="AG130" s="133"/>
      <c r="AH130" s="133"/>
      <c r="AI130" s="133"/>
      <c r="AJ130" s="133"/>
      <c r="AK130" s="203"/>
      <c r="AL130" s="133"/>
      <c r="AM130" s="133"/>
      <c r="AN130" s="133"/>
      <c r="AO130" s="133"/>
      <c r="AP130" s="203"/>
      <c r="AQ130" s="133"/>
      <c r="AR130" s="133"/>
      <c r="AS130" s="133"/>
      <c r="AT130" s="133"/>
      <c r="AU130" s="203"/>
      <c r="AV130" s="23"/>
      <c r="AW130" s="23"/>
      <c r="AX130" s="23"/>
      <c r="AY130" s="23"/>
      <c r="AZ130" s="23"/>
      <c r="BA130" s="23"/>
      <c r="BB130" s="23"/>
      <c r="BC130" s="23"/>
      <c r="BD130" s="23"/>
      <c r="BE130" s="23"/>
      <c r="BF130" s="23"/>
      <c r="BG130" s="23"/>
      <c r="BH130" s="23"/>
      <c r="BI130" s="23"/>
      <c r="BJ130" s="23"/>
      <c r="BK130" s="23"/>
      <c r="BL130" s="23"/>
      <c r="BM130" s="23"/>
      <c r="BN130" s="23"/>
      <c r="BO130" s="23"/>
      <c r="BP130" s="23"/>
      <c r="BQ130" s="23"/>
      <c r="BR130" s="23"/>
      <c r="BS130" s="23"/>
      <c r="BT130" s="23"/>
      <c r="BU130" s="23"/>
      <c r="BV130" s="23"/>
      <c r="BW130" s="23"/>
      <c r="BX130" s="23"/>
      <c r="BY130" s="23"/>
      <c r="BZ130" s="23"/>
      <c r="CA130" s="133"/>
      <c r="CB130" s="133"/>
      <c r="CC130" s="133"/>
    </row>
    <row r="131" spans="1:81" s="84" customFormat="1" outlineLevel="1">
      <c r="C131" s="165" t="s">
        <v>121</v>
      </c>
      <c r="D131" s="165"/>
      <c r="E131" s="166"/>
      <c r="F131" s="166"/>
      <c r="G131" s="166"/>
      <c r="H131" s="625"/>
      <c r="I131" s="625"/>
      <c r="J131" s="625"/>
      <c r="K131" s="625"/>
      <c r="L131" s="167"/>
      <c r="M131" s="210">
        <f>M132+M133</f>
        <v>5.0000000000000001E-3</v>
      </c>
      <c r="N131" s="210">
        <f>N132+N133</f>
        <v>5.0000000000000001E-3</v>
      </c>
      <c r="O131" s="210">
        <f>O132+O133</f>
        <v>5.0000000000000001E-3</v>
      </c>
      <c r="P131" s="210">
        <f>P132+P133</f>
        <v>5.0000000000000001E-3</v>
      </c>
      <c r="Q131" s="211">
        <f>SUM(M131:P131)</f>
        <v>0.02</v>
      </c>
      <c r="R131" s="210">
        <f>R132+R133</f>
        <v>5.0000000000000001E-3</v>
      </c>
      <c r="S131" s="210">
        <f>S132+S133</f>
        <v>5.0000000000000001E-3</v>
      </c>
      <c r="T131" s="210">
        <f>T132+T133</f>
        <v>5.0000000000000001E-3</v>
      </c>
      <c r="U131" s="210">
        <f>U132+U133</f>
        <v>5.0000000000000001E-3</v>
      </c>
      <c r="V131" s="211">
        <f>SUM(R131:U131)</f>
        <v>0.02</v>
      </c>
      <c r="W131" s="210">
        <f>W132+W133</f>
        <v>5.0000000000000001E-3</v>
      </c>
      <c r="X131" s="210">
        <f>X132+X133</f>
        <v>5.0000000000000001E-3</v>
      </c>
      <c r="Y131" s="210">
        <f>Y132+Y133</f>
        <v>5.0000000000000001E-3</v>
      </c>
      <c r="Z131" s="210">
        <f>Z132+Z133</f>
        <v>5.0000000000000001E-3</v>
      </c>
      <c r="AA131" s="211">
        <f>SUM(W131:Z131)</f>
        <v>0.02</v>
      </c>
      <c r="AB131" s="210">
        <f>AB132+AB133</f>
        <v>5.0000000000000001E-3</v>
      </c>
      <c r="AC131" s="210">
        <f>AC132+AC133</f>
        <v>5.0000000000000001E-3</v>
      </c>
      <c r="AD131" s="210">
        <f>AD132+AD133</f>
        <v>5.0000000000000001E-3</v>
      </c>
      <c r="AE131" s="210">
        <f>AE132+AE133</f>
        <v>5.0000000000000001E-3</v>
      </c>
      <c r="AF131" s="211">
        <f>SUM(AB131:AE131)</f>
        <v>0.02</v>
      </c>
      <c r="AG131" s="210">
        <f>AG132+AG133</f>
        <v>5.0000000000000001E-3</v>
      </c>
      <c r="AH131" s="210">
        <f>AH132+AH133</f>
        <v>5.0000000000000001E-3</v>
      </c>
      <c r="AI131" s="210">
        <f>AI132+AI133</f>
        <v>5.0000000000000001E-3</v>
      </c>
      <c r="AJ131" s="210">
        <f>AJ132+AJ133</f>
        <v>5.0000000000000001E-3</v>
      </c>
      <c r="AK131" s="211">
        <f>SUM(AG131:AJ131)</f>
        <v>0.02</v>
      </c>
      <c r="AL131" s="210">
        <f>AL132+AL133</f>
        <v>5.0000000000000001E-3</v>
      </c>
      <c r="AM131" s="210">
        <f>AM132+AM133</f>
        <v>5.0000000000000001E-3</v>
      </c>
      <c r="AN131" s="210">
        <f>AN132+AN133</f>
        <v>5.0000000000000001E-3</v>
      </c>
      <c r="AO131" s="210">
        <f>AO132+AO133</f>
        <v>5.0000000000000001E-3</v>
      </c>
      <c r="AP131" s="211">
        <f>SUM(AL131:AO131)</f>
        <v>0.02</v>
      </c>
      <c r="AQ131" s="210">
        <f>AQ132+AQ133</f>
        <v>5.0000000000000001E-3</v>
      </c>
      <c r="AR131" s="210">
        <f>AR132+AR133</f>
        <v>5.0000000000000001E-3</v>
      </c>
      <c r="AS131" s="210">
        <f>AS132+AS133</f>
        <v>5.0000000000000001E-3</v>
      </c>
      <c r="AT131" s="210">
        <f>AT132+AT133</f>
        <v>5.0000000000000001E-3</v>
      </c>
      <c r="AU131" s="211">
        <f>SUM(AQ131:AT131)</f>
        <v>0.02</v>
      </c>
      <c r="AV131" s="23"/>
      <c r="AW131" s="23"/>
      <c r="AX131" s="23"/>
      <c r="AY131" s="23"/>
      <c r="AZ131" s="23"/>
      <c r="BA131" s="23"/>
      <c r="BB131" s="23"/>
      <c r="BC131" s="23"/>
      <c r="BD131" s="23"/>
      <c r="BE131" s="23"/>
      <c r="BF131" s="23"/>
      <c r="CA131" s="132"/>
      <c r="CB131" s="132"/>
      <c r="CC131" s="132"/>
    </row>
    <row r="132" spans="1:81" s="27" customFormat="1" outlineLevel="1">
      <c r="C132" s="80" t="s">
        <v>122</v>
      </c>
      <c r="D132" s="212">
        <f>'Debt Structure'!F22</f>
        <v>0</v>
      </c>
      <c r="E132" s="133"/>
      <c r="F132" s="133"/>
      <c r="G132" s="133"/>
      <c r="H132" s="626"/>
      <c r="I132" s="626"/>
      <c r="J132" s="626"/>
      <c r="K132" s="626"/>
      <c r="L132" s="168"/>
      <c r="M132" s="213">
        <f>$D$132/4</f>
        <v>0</v>
      </c>
      <c r="N132" s="213">
        <f>$D$132/4</f>
        <v>0</v>
      </c>
      <c r="O132" s="213">
        <f>$D$132/4</f>
        <v>0</v>
      </c>
      <c r="P132" s="213">
        <f>$D$132/4</f>
        <v>0</v>
      </c>
      <c r="Q132" s="214">
        <f>SUM(M132:P132)</f>
        <v>0</v>
      </c>
      <c r="R132" s="213">
        <f>$D$132/4</f>
        <v>0</v>
      </c>
      <c r="S132" s="213">
        <f>$D$132/4</f>
        <v>0</v>
      </c>
      <c r="T132" s="213">
        <f>$D$132/4</f>
        <v>0</v>
      </c>
      <c r="U132" s="213">
        <f>$D$132/4</f>
        <v>0</v>
      </c>
      <c r="V132" s="214">
        <f>SUM(R132:U132)</f>
        <v>0</v>
      </c>
      <c r="W132" s="213">
        <f>$D$132/4</f>
        <v>0</v>
      </c>
      <c r="X132" s="213">
        <f>$D$132/4</f>
        <v>0</v>
      </c>
      <c r="Y132" s="213">
        <f>$D$132/4</f>
        <v>0</v>
      </c>
      <c r="Z132" s="213">
        <f>$D$132/4</f>
        <v>0</v>
      </c>
      <c r="AA132" s="214">
        <f>SUM(W132:Z132)</f>
        <v>0</v>
      </c>
      <c r="AB132" s="213">
        <f>$D$132/4</f>
        <v>0</v>
      </c>
      <c r="AC132" s="213">
        <f>$D$132/4</f>
        <v>0</v>
      </c>
      <c r="AD132" s="213">
        <f>$D$132/4</f>
        <v>0</v>
      </c>
      <c r="AE132" s="213">
        <f>$D$132/4</f>
        <v>0</v>
      </c>
      <c r="AF132" s="214">
        <f>SUM(AB132:AE132)</f>
        <v>0</v>
      </c>
      <c r="AG132" s="213">
        <f>$D$132/4</f>
        <v>0</v>
      </c>
      <c r="AH132" s="213">
        <f>$D$132/4</f>
        <v>0</v>
      </c>
      <c r="AI132" s="213">
        <f>$D$132/4</f>
        <v>0</v>
      </c>
      <c r="AJ132" s="213">
        <f>$D$132/4</f>
        <v>0</v>
      </c>
      <c r="AK132" s="214">
        <f>SUM(AG132:AJ132)</f>
        <v>0</v>
      </c>
      <c r="AL132" s="213">
        <f>$D$132/4</f>
        <v>0</v>
      </c>
      <c r="AM132" s="213">
        <f>$D$132/4</f>
        <v>0</v>
      </c>
      <c r="AN132" s="213">
        <f>$D$132/4</f>
        <v>0</v>
      </c>
      <c r="AO132" s="213">
        <f>$D$132/4</f>
        <v>0</v>
      </c>
      <c r="AP132" s="214">
        <f>SUM(AL132:AO132)</f>
        <v>0</v>
      </c>
      <c r="AQ132" s="213">
        <f>$D$132/4</f>
        <v>0</v>
      </c>
      <c r="AR132" s="213">
        <f>$D$132/4</f>
        <v>0</v>
      </c>
      <c r="AS132" s="213">
        <f>$D$132/4</f>
        <v>0</v>
      </c>
      <c r="AT132" s="213">
        <f>$D$132/4</f>
        <v>0</v>
      </c>
      <c r="AU132" s="214">
        <f>SUM(AQ132:AT132)</f>
        <v>0</v>
      </c>
      <c r="AV132" s="23"/>
      <c r="AW132" s="23"/>
      <c r="AX132" s="23"/>
      <c r="AY132" s="23"/>
      <c r="AZ132" s="23"/>
      <c r="BA132" s="23"/>
      <c r="BB132" s="23"/>
      <c r="BC132" s="23"/>
      <c r="BD132" s="23"/>
      <c r="BE132" s="23"/>
      <c r="BF132" s="23"/>
      <c r="BG132" s="23"/>
      <c r="BH132" s="23"/>
      <c r="BI132" s="23"/>
      <c r="BJ132" s="23"/>
      <c r="BK132" s="23"/>
      <c r="BL132" s="23"/>
      <c r="BM132" s="23"/>
      <c r="BN132" s="23"/>
      <c r="BO132" s="23"/>
      <c r="BP132" s="23"/>
      <c r="BQ132" s="23"/>
      <c r="BR132" s="23"/>
      <c r="BS132" s="23"/>
      <c r="BT132" s="23"/>
      <c r="BU132" s="23"/>
      <c r="BV132" s="23"/>
      <c r="BW132" s="23"/>
      <c r="BX132" s="23"/>
      <c r="BY132" s="23"/>
      <c r="BZ132" s="23"/>
      <c r="CA132" s="133"/>
      <c r="CB132" s="133"/>
      <c r="CC132" s="133"/>
    </row>
    <row r="133" spans="1:81" s="567" customFormat="1" outlineLevel="1">
      <c r="C133" s="687" t="s">
        <v>123</v>
      </c>
      <c r="D133" s="688"/>
      <c r="E133" s="688"/>
      <c r="F133" s="688"/>
      <c r="G133" s="688"/>
      <c r="H133" s="689"/>
      <c r="I133" s="689"/>
      <c r="J133" s="689"/>
      <c r="K133" s="689"/>
      <c r="L133" s="690"/>
      <c r="M133" s="691" cm="1">
        <f t="array" ref="M133:P133">TRANSPOSE('Debt Structure'!I65:I68)</f>
        <v>5.0000000000000001E-3</v>
      </c>
      <c r="N133" s="691">
        <v>5.0000000000000001E-3</v>
      </c>
      <c r="O133" s="691">
        <v>5.0000000000000001E-3</v>
      </c>
      <c r="P133" s="691">
        <v>5.0000000000000001E-3</v>
      </c>
      <c r="Q133" s="690">
        <f>SUM(M133:P133)</f>
        <v>0.02</v>
      </c>
      <c r="R133" s="691" cm="1">
        <f t="array" ref="R133:U133">TRANSPOSE('Debt Structure'!I69:I72)</f>
        <v>5.0000000000000001E-3</v>
      </c>
      <c r="S133" s="691">
        <v>5.0000000000000001E-3</v>
      </c>
      <c r="T133" s="691">
        <v>5.0000000000000001E-3</v>
      </c>
      <c r="U133" s="691">
        <v>5.0000000000000001E-3</v>
      </c>
      <c r="V133" s="690">
        <f>SUM(R133:U133)</f>
        <v>0.02</v>
      </c>
      <c r="W133" s="691" cm="1">
        <f t="array" ref="W133:Z133">TRANSPOSE('Debt Structure'!I73:I76)</f>
        <v>5.0000000000000001E-3</v>
      </c>
      <c r="X133" s="691">
        <v>5.0000000000000001E-3</v>
      </c>
      <c r="Y133" s="691">
        <v>5.0000000000000001E-3</v>
      </c>
      <c r="Z133" s="691">
        <v>5.0000000000000001E-3</v>
      </c>
      <c r="AA133" s="690">
        <f>SUM(W133:Z133)</f>
        <v>0.02</v>
      </c>
      <c r="AB133" s="691" cm="1">
        <f t="array" ref="AB133:AE133">TRANSPOSE('Debt Structure'!I77:I80)</f>
        <v>5.0000000000000001E-3</v>
      </c>
      <c r="AC133" s="691">
        <v>5.0000000000000001E-3</v>
      </c>
      <c r="AD133" s="691">
        <v>5.0000000000000001E-3</v>
      </c>
      <c r="AE133" s="691">
        <v>5.0000000000000001E-3</v>
      </c>
      <c r="AF133" s="690">
        <f>SUM(AB133:AE133)</f>
        <v>0.02</v>
      </c>
      <c r="AG133" s="691" cm="1">
        <f t="array" ref="AG133:AJ133">TRANSPOSE('Debt Structure'!I81:I84)</f>
        <v>5.0000000000000001E-3</v>
      </c>
      <c r="AH133" s="691">
        <v>5.0000000000000001E-3</v>
      </c>
      <c r="AI133" s="691">
        <v>5.0000000000000001E-3</v>
      </c>
      <c r="AJ133" s="691">
        <v>5.0000000000000001E-3</v>
      </c>
      <c r="AK133" s="690">
        <f>SUM(AG133:AJ133)</f>
        <v>0.02</v>
      </c>
      <c r="AL133" s="691" cm="1">
        <f t="array" ref="AL133:AO133">+TRANSPOSE('Debt Structure'!$I$85:$I$88)</f>
        <v>5.0000000000000001E-3</v>
      </c>
      <c r="AM133" s="691">
        <v>5.0000000000000001E-3</v>
      </c>
      <c r="AN133" s="691">
        <v>5.0000000000000001E-3</v>
      </c>
      <c r="AO133" s="691">
        <v>5.0000000000000001E-3</v>
      </c>
      <c r="AP133" s="690">
        <f>SUM(AL133:AO133)</f>
        <v>0.02</v>
      </c>
      <c r="AQ133" s="691" cm="1">
        <f t="array" ref="AQ133:AT133">+TRANSPOSE('Debt Structure'!$I$89:$I$92)</f>
        <v>5.0000000000000001E-3</v>
      </c>
      <c r="AR133" s="691">
        <v>5.0000000000000001E-3</v>
      </c>
      <c r="AS133" s="691">
        <v>5.0000000000000001E-3</v>
      </c>
      <c r="AT133" s="691">
        <v>5.0000000000000001E-3</v>
      </c>
      <c r="AU133" s="690">
        <f>SUM(AQ133:AT133)</f>
        <v>0.02</v>
      </c>
      <c r="AV133" s="540"/>
      <c r="AW133" s="540"/>
      <c r="AX133" s="540"/>
      <c r="AY133" s="540"/>
      <c r="AZ133" s="540"/>
      <c r="BA133" s="540"/>
      <c r="BB133" s="540"/>
      <c r="BC133" s="540"/>
      <c r="BD133" s="540"/>
      <c r="BE133" s="540"/>
      <c r="BF133" s="540"/>
      <c r="BG133" s="540"/>
      <c r="BH133" s="540"/>
      <c r="BI133" s="540"/>
      <c r="BJ133" s="540"/>
      <c r="BK133" s="540"/>
      <c r="BL133" s="540"/>
      <c r="BM133" s="540"/>
      <c r="BN133" s="540"/>
      <c r="BO133" s="540"/>
      <c r="BP133" s="540"/>
      <c r="BQ133" s="540"/>
      <c r="BR133" s="540"/>
      <c r="BS133" s="540"/>
      <c r="BT133" s="540"/>
      <c r="BU133" s="540"/>
      <c r="BV133" s="540"/>
      <c r="BW133" s="540"/>
      <c r="BX133" s="540"/>
      <c r="BY133" s="540"/>
      <c r="BZ133" s="540"/>
      <c r="CA133" s="642"/>
      <c r="CB133" s="642"/>
      <c r="CC133" s="642"/>
    </row>
    <row r="134" spans="1:81" s="27" customFormat="1">
      <c r="E134" s="133"/>
      <c r="F134" s="133"/>
      <c r="G134" s="133"/>
      <c r="H134" s="133"/>
      <c r="I134" s="133"/>
      <c r="J134" s="133"/>
      <c r="K134" s="133"/>
      <c r="L134" s="133"/>
      <c r="M134" s="133"/>
      <c r="N134" s="133"/>
      <c r="O134" s="133"/>
      <c r="P134" s="133"/>
      <c r="Q134" s="133"/>
      <c r="R134" s="133"/>
      <c r="S134" s="133"/>
      <c r="T134" s="133"/>
      <c r="U134" s="133"/>
      <c r="V134" s="133"/>
      <c r="W134" s="133"/>
      <c r="X134" s="133"/>
      <c r="Y134" s="133"/>
      <c r="Z134" s="133"/>
      <c r="AA134" s="133"/>
      <c r="AB134" s="133"/>
      <c r="AC134" s="133"/>
      <c r="AD134" s="133"/>
      <c r="AE134" s="133"/>
      <c r="AF134" s="133"/>
      <c r="AG134" s="133"/>
      <c r="AH134" s="133"/>
      <c r="AI134" s="133"/>
      <c r="AJ134" s="133"/>
      <c r="AK134" s="133"/>
      <c r="AL134" s="133"/>
      <c r="AM134" s="133"/>
      <c r="AN134" s="133"/>
      <c r="AO134" s="133"/>
      <c r="AP134" s="133"/>
      <c r="AQ134" s="133"/>
      <c r="AR134" s="133"/>
      <c r="AS134" s="133"/>
      <c r="AT134" s="133"/>
      <c r="AU134" s="133"/>
      <c r="AV134" s="23"/>
      <c r="AW134" s="23"/>
      <c r="AX134" s="23"/>
      <c r="AY134" s="23"/>
      <c r="AZ134" s="23"/>
      <c r="BA134" s="23"/>
      <c r="BB134" s="23"/>
      <c r="BC134" s="23"/>
      <c r="BD134" s="23"/>
      <c r="BE134" s="23"/>
      <c r="BF134" s="23"/>
      <c r="BG134" s="23"/>
      <c r="BH134" s="23"/>
      <c r="BI134" s="23"/>
      <c r="BJ134" s="23"/>
      <c r="BK134" s="23"/>
      <c r="BL134" s="23"/>
      <c r="BM134" s="23"/>
      <c r="BN134" s="23"/>
      <c r="BO134" s="23"/>
      <c r="BP134" s="23"/>
      <c r="BQ134" s="23"/>
      <c r="BR134" s="23"/>
      <c r="BS134" s="23"/>
      <c r="BT134" s="23"/>
      <c r="BU134" s="23"/>
      <c r="BV134" s="23"/>
      <c r="BW134" s="23"/>
      <c r="BX134" s="23"/>
      <c r="BY134" s="23"/>
      <c r="BZ134" s="23"/>
      <c r="CA134" s="133"/>
      <c r="CB134" s="133"/>
      <c r="CC134" s="133"/>
    </row>
    <row r="135" spans="1:81" s="27" customFormat="1">
      <c r="C135" s="141" t="str">
        <f>C111</f>
        <v>TLB</v>
      </c>
      <c r="D135" s="141"/>
      <c r="E135" s="141"/>
      <c r="F135" s="141"/>
      <c r="G135" s="141"/>
      <c r="H135" s="141"/>
      <c r="I135" s="141"/>
      <c r="J135" s="141"/>
      <c r="K135" s="141"/>
      <c r="L135" s="141"/>
      <c r="M135" s="141"/>
      <c r="N135" s="141"/>
      <c r="O135" s="141"/>
      <c r="P135" s="141"/>
      <c r="Q135" s="141"/>
      <c r="R135" s="141"/>
      <c r="S135" s="141"/>
      <c r="T135" s="141"/>
      <c r="U135" s="141"/>
      <c r="V135" s="141"/>
      <c r="W135" s="141"/>
      <c r="X135" s="141"/>
      <c r="Y135" s="141"/>
      <c r="Z135" s="141"/>
      <c r="AA135" s="141"/>
      <c r="AB135" s="141"/>
      <c r="AC135" s="141"/>
      <c r="AD135" s="141"/>
      <c r="AE135" s="141"/>
      <c r="AF135" s="141"/>
      <c r="AG135" s="141"/>
      <c r="AH135" s="141"/>
      <c r="AI135" s="141"/>
      <c r="AJ135" s="141"/>
      <c r="AK135" s="141"/>
      <c r="AL135" s="141"/>
      <c r="AM135" s="141"/>
      <c r="AN135" s="141"/>
      <c r="AO135" s="141"/>
      <c r="AP135" s="141"/>
      <c r="AQ135" s="141"/>
      <c r="AR135" s="141"/>
      <c r="AS135" s="141"/>
      <c r="AT135" s="141"/>
      <c r="AU135" s="141"/>
      <c r="AV135" s="23"/>
      <c r="AW135" s="23"/>
      <c r="AX135" s="23"/>
      <c r="AY135" s="23"/>
      <c r="AZ135" s="23"/>
      <c r="BA135" s="23"/>
      <c r="BB135" s="23"/>
      <c r="BC135" s="23"/>
      <c r="BD135" s="23"/>
      <c r="BE135" s="23"/>
      <c r="BF135" s="23"/>
      <c r="BG135" s="23"/>
      <c r="BH135" s="23"/>
      <c r="BI135" s="23"/>
      <c r="BJ135" s="23"/>
      <c r="BK135" s="23"/>
      <c r="BL135" s="23"/>
      <c r="BM135" s="23"/>
      <c r="BN135" s="23"/>
      <c r="BO135" s="23"/>
      <c r="BP135" s="23"/>
      <c r="BQ135" s="23"/>
      <c r="BR135" s="23"/>
      <c r="BS135" s="23"/>
      <c r="BT135" s="23"/>
      <c r="BU135" s="23"/>
      <c r="BV135" s="23"/>
      <c r="BW135" s="23"/>
      <c r="BX135" s="23"/>
      <c r="BY135" s="23"/>
      <c r="BZ135" s="23"/>
      <c r="CA135" s="133"/>
      <c r="CB135" s="133"/>
      <c r="CC135" s="133"/>
    </row>
    <row r="136" spans="1:81" s="27" customFormat="1" ht="10.8" outlineLevel="1" thickBot="1">
      <c r="C136" s="23"/>
      <c r="E136" s="133"/>
      <c r="F136" s="133"/>
      <c r="G136" s="133"/>
      <c r="H136" s="133"/>
      <c r="I136" s="133"/>
      <c r="J136" s="133"/>
      <c r="K136" s="133"/>
      <c r="L136" s="133"/>
      <c r="M136" s="133"/>
      <c r="N136" s="133"/>
      <c r="O136" s="133"/>
      <c r="P136" s="133"/>
      <c r="Q136" s="133"/>
      <c r="R136" s="133"/>
      <c r="S136" s="133"/>
      <c r="T136" s="133"/>
      <c r="U136" s="133"/>
      <c r="V136" s="133"/>
      <c r="W136" s="133"/>
      <c r="X136" s="133"/>
      <c r="Y136" s="133"/>
      <c r="Z136" s="133"/>
      <c r="AA136" s="133"/>
      <c r="AB136" s="133"/>
      <c r="AC136" s="133"/>
      <c r="AD136" s="133"/>
      <c r="AE136" s="133"/>
      <c r="AF136" s="133"/>
      <c r="AG136" s="133"/>
      <c r="AH136" s="133"/>
      <c r="AI136" s="133"/>
      <c r="AJ136" s="133"/>
      <c r="AK136" s="133"/>
      <c r="AL136" s="133"/>
      <c r="AM136" s="133"/>
      <c r="AN136" s="133"/>
      <c r="AO136" s="133"/>
      <c r="AP136" s="133"/>
      <c r="AQ136" s="133"/>
      <c r="AR136" s="133"/>
      <c r="AS136" s="133"/>
      <c r="AT136" s="133"/>
      <c r="AU136" s="133"/>
      <c r="AV136" s="23"/>
      <c r="AW136" s="23"/>
      <c r="AX136" s="23"/>
      <c r="AY136" s="23"/>
      <c r="AZ136" s="23"/>
      <c r="BA136" s="23"/>
      <c r="BB136" s="23"/>
      <c r="BC136" s="23"/>
      <c r="BD136" s="23"/>
      <c r="BE136" s="23"/>
      <c r="BF136" s="23"/>
      <c r="BG136" s="23"/>
      <c r="BH136" s="23"/>
      <c r="BI136" s="23"/>
      <c r="BJ136" s="23"/>
      <c r="BK136" s="23"/>
      <c r="BL136" s="23"/>
      <c r="BM136" s="23"/>
      <c r="BN136" s="23"/>
      <c r="BO136" s="23"/>
      <c r="BP136" s="23"/>
      <c r="BQ136" s="23"/>
      <c r="BR136" s="23"/>
      <c r="BS136" s="23"/>
      <c r="BT136" s="23"/>
      <c r="BU136" s="23"/>
      <c r="BV136" s="23"/>
      <c r="BW136" s="23"/>
      <c r="BX136" s="23"/>
      <c r="BY136" s="23"/>
      <c r="BZ136" s="23"/>
      <c r="CA136" s="133"/>
      <c r="CB136" s="133"/>
      <c r="CC136" s="133"/>
    </row>
    <row r="137" spans="1:81" ht="10.8" outlineLevel="1" thickBot="1">
      <c r="A137" s="18"/>
      <c r="B137" s="103"/>
      <c r="C137" s="45"/>
      <c r="D137" s="45"/>
      <c r="E137" s="104"/>
      <c r="F137" s="104"/>
      <c r="G137" s="104"/>
      <c r="H137" s="30" t="s">
        <v>80</v>
      </c>
      <c r="I137" s="105" t="s">
        <v>81</v>
      </c>
      <c r="J137" s="105" t="s">
        <v>82</v>
      </c>
      <c r="K137" s="106" t="s">
        <v>77</v>
      </c>
      <c r="L137" s="30" t="s">
        <v>95</v>
      </c>
      <c r="M137" s="30" t="s">
        <v>80</v>
      </c>
      <c r="N137" s="105" t="s">
        <v>81</v>
      </c>
      <c r="O137" s="105" t="s">
        <v>82</v>
      </c>
      <c r="P137" s="105" t="s">
        <v>83</v>
      </c>
      <c r="Q137" s="30" t="s">
        <v>95</v>
      </c>
      <c r="R137" s="30" t="s">
        <v>80</v>
      </c>
      <c r="S137" s="105" t="s">
        <v>81</v>
      </c>
      <c r="T137" s="105" t="s">
        <v>82</v>
      </c>
      <c r="U137" s="105" t="s">
        <v>83</v>
      </c>
      <c r="V137" s="30" t="s">
        <v>95</v>
      </c>
      <c r="W137" s="30" t="s">
        <v>80</v>
      </c>
      <c r="X137" s="105" t="s">
        <v>81</v>
      </c>
      <c r="Y137" s="105" t="s">
        <v>82</v>
      </c>
      <c r="Z137" s="105" t="s">
        <v>83</v>
      </c>
      <c r="AA137" s="30" t="s">
        <v>95</v>
      </c>
      <c r="AB137" s="30" t="s">
        <v>80</v>
      </c>
      <c r="AC137" s="105" t="s">
        <v>81</v>
      </c>
      <c r="AD137" s="105" t="s">
        <v>82</v>
      </c>
      <c r="AE137" s="105" t="s">
        <v>83</v>
      </c>
      <c r="AF137" s="30" t="s">
        <v>95</v>
      </c>
      <c r="AG137" s="30" t="s">
        <v>80</v>
      </c>
      <c r="AH137" s="105" t="s">
        <v>81</v>
      </c>
      <c r="AI137" s="105" t="s">
        <v>82</v>
      </c>
      <c r="AJ137" s="105" t="s">
        <v>83</v>
      </c>
      <c r="AK137" s="30" t="s">
        <v>95</v>
      </c>
      <c r="AL137" s="30" t="s">
        <v>80</v>
      </c>
      <c r="AM137" s="105" t="s">
        <v>81</v>
      </c>
      <c r="AN137" s="105" t="s">
        <v>82</v>
      </c>
      <c r="AO137" s="105" t="s">
        <v>83</v>
      </c>
      <c r="AP137" s="30" t="s">
        <v>95</v>
      </c>
      <c r="AQ137" s="30" t="s">
        <v>80</v>
      </c>
      <c r="AR137" s="105" t="s">
        <v>81</v>
      </c>
      <c r="AS137" s="105" t="s">
        <v>82</v>
      </c>
      <c r="AT137" s="105" t="s">
        <v>83</v>
      </c>
      <c r="AU137" s="30" t="s">
        <v>95</v>
      </c>
    </row>
    <row r="138" spans="1:81" ht="10.8" outlineLevel="1" thickBot="1">
      <c r="E138" s="107"/>
      <c r="F138" s="107"/>
      <c r="G138" s="107"/>
      <c r="H138" s="130">
        <v>45747</v>
      </c>
      <c r="I138" s="130">
        <v>45838</v>
      </c>
      <c r="J138" s="130">
        <v>45930</v>
      </c>
      <c r="K138" s="130">
        <v>46022</v>
      </c>
      <c r="L138" s="130">
        <f>K138</f>
        <v>46022</v>
      </c>
      <c r="M138" s="130">
        <f>EOMONTH(L138,3)</f>
        <v>46112</v>
      </c>
      <c r="N138" s="130">
        <f>EOMONTH(M138,3)</f>
        <v>46203</v>
      </c>
      <c r="O138" s="130">
        <f>EOMONTH(N138,3)</f>
        <v>46295</v>
      </c>
      <c r="P138" s="130">
        <f>EOMONTH(O138,3)</f>
        <v>46387</v>
      </c>
      <c r="Q138" s="130">
        <f>P138</f>
        <v>46387</v>
      </c>
      <c r="R138" s="130">
        <f>EOMONTH(Q138,3)</f>
        <v>46477</v>
      </c>
      <c r="S138" s="130">
        <f>EOMONTH(R138,3)</f>
        <v>46568</v>
      </c>
      <c r="T138" s="130">
        <f>EOMONTH(S138,3)</f>
        <v>46660</v>
      </c>
      <c r="U138" s="130">
        <f>EOMONTH(T138,3)</f>
        <v>46752</v>
      </c>
      <c r="V138" s="130">
        <f>U138</f>
        <v>46752</v>
      </c>
      <c r="W138" s="130">
        <f>EOMONTH(V138,3)</f>
        <v>46843</v>
      </c>
      <c r="X138" s="130">
        <f>EOMONTH(W138,3)</f>
        <v>46934</v>
      </c>
      <c r="Y138" s="130">
        <f>EOMONTH(X138,3)</f>
        <v>47026</v>
      </c>
      <c r="Z138" s="130">
        <f>EOMONTH(Y138,3)</f>
        <v>47118</v>
      </c>
      <c r="AA138" s="130">
        <f>Z138</f>
        <v>47118</v>
      </c>
      <c r="AB138" s="130">
        <f>EOMONTH(AA138,3)</f>
        <v>47208</v>
      </c>
      <c r="AC138" s="130">
        <f>EOMONTH(AB138,3)</f>
        <v>47299</v>
      </c>
      <c r="AD138" s="130">
        <f>EOMONTH(AC138,3)</f>
        <v>47391</v>
      </c>
      <c r="AE138" s="130">
        <f>EOMONTH(AD138,3)</f>
        <v>47483</v>
      </c>
      <c r="AF138" s="130">
        <f>AE138</f>
        <v>47483</v>
      </c>
      <c r="AG138" s="130">
        <f>EOMONTH(AF138,3)</f>
        <v>47573</v>
      </c>
      <c r="AH138" s="130">
        <f>EOMONTH(AG138,3)</f>
        <v>47664</v>
      </c>
      <c r="AI138" s="130">
        <f>EOMONTH(AH138,3)</f>
        <v>47756</v>
      </c>
      <c r="AJ138" s="130">
        <f>EOMONTH(AI138,3)</f>
        <v>47848</v>
      </c>
      <c r="AK138" s="130">
        <f>AJ138</f>
        <v>47848</v>
      </c>
      <c r="AL138" s="130">
        <f>EOMONTH(AK138,3)</f>
        <v>47938</v>
      </c>
      <c r="AM138" s="130">
        <f>EOMONTH(AL138,3)</f>
        <v>48029</v>
      </c>
      <c r="AN138" s="130">
        <f>EOMONTH(AM138,3)</f>
        <v>48121</v>
      </c>
      <c r="AO138" s="130">
        <f>EOMONTH(AN138,3)</f>
        <v>48213</v>
      </c>
      <c r="AP138" s="130">
        <f>AO138</f>
        <v>48213</v>
      </c>
      <c r="AQ138" s="130">
        <f>EOMONTH(AP138,3)</f>
        <v>48304</v>
      </c>
      <c r="AR138" s="130">
        <f>EOMONTH(AQ138,3)</f>
        <v>48395</v>
      </c>
      <c r="AS138" s="130">
        <f>EOMONTH(AR138,3)</f>
        <v>48487</v>
      </c>
      <c r="AT138" s="130">
        <f>EOMONTH(AS138,3)</f>
        <v>48579</v>
      </c>
      <c r="AU138" s="130">
        <f>AT138</f>
        <v>48579</v>
      </c>
    </row>
    <row r="139" spans="1:81" s="27" customFormat="1" outlineLevel="1">
      <c r="E139" s="133"/>
      <c r="F139" s="133"/>
      <c r="G139" s="133"/>
      <c r="H139" s="133"/>
      <c r="I139" s="133"/>
      <c r="J139" s="133"/>
      <c r="K139" s="133"/>
      <c r="L139" s="168"/>
      <c r="M139" s="133"/>
      <c r="N139" s="133"/>
      <c r="O139" s="133"/>
      <c r="P139" s="133"/>
      <c r="Q139" s="168"/>
      <c r="R139" s="133"/>
      <c r="S139" s="133"/>
      <c r="T139" s="133"/>
      <c r="U139" s="133"/>
      <c r="V139" s="168"/>
      <c r="W139" s="133"/>
      <c r="X139" s="133"/>
      <c r="Y139" s="133"/>
      <c r="Z139" s="133"/>
      <c r="AA139" s="168"/>
      <c r="AB139" s="133"/>
      <c r="AC139" s="133"/>
      <c r="AD139" s="133"/>
      <c r="AE139" s="133"/>
      <c r="AF139" s="168"/>
      <c r="AG139" s="133"/>
      <c r="AH139" s="133"/>
      <c r="AI139" s="133"/>
      <c r="AJ139" s="133"/>
      <c r="AK139" s="168"/>
      <c r="AL139" s="133"/>
      <c r="AM139" s="133"/>
      <c r="AN139" s="133"/>
      <c r="AO139" s="133"/>
      <c r="AP139" s="168"/>
      <c r="AQ139" s="133"/>
      <c r="AR139" s="133"/>
      <c r="AS139" s="133"/>
      <c r="AT139" s="133"/>
      <c r="AU139" s="168"/>
      <c r="AV139" s="23"/>
      <c r="AW139" s="23"/>
      <c r="AX139" s="23"/>
      <c r="AY139" s="23"/>
      <c r="AZ139" s="23"/>
      <c r="BA139" s="23"/>
      <c r="BB139" s="23"/>
      <c r="BC139" s="23"/>
      <c r="BD139" s="23"/>
      <c r="BE139" s="23"/>
      <c r="BF139" s="23"/>
      <c r="BG139" s="23"/>
      <c r="BH139" s="23"/>
      <c r="BI139" s="23"/>
      <c r="BJ139" s="23"/>
      <c r="BK139" s="23"/>
      <c r="BL139" s="23"/>
      <c r="BM139" s="23"/>
      <c r="BN139" s="23"/>
      <c r="BO139" s="23"/>
      <c r="BP139" s="23"/>
      <c r="BQ139" s="23"/>
      <c r="BR139" s="23"/>
      <c r="BS139" s="23"/>
      <c r="BT139" s="23"/>
      <c r="BU139" s="23"/>
      <c r="BV139" s="23"/>
      <c r="BW139" s="23"/>
      <c r="BX139" s="23"/>
      <c r="BY139" s="23"/>
      <c r="BZ139" s="23"/>
      <c r="CA139" s="133"/>
      <c r="CB139" s="133"/>
      <c r="CC139" s="133"/>
    </row>
    <row r="140" spans="1:81" s="27" customFormat="1" ht="11.4" outlineLevel="1">
      <c r="C140" s="80" t="s">
        <v>115</v>
      </c>
      <c r="D140" s="566">
        <v>1</v>
      </c>
      <c r="E140" s="565">
        <f>+'Debt Structure'!G23</f>
        <v>48579</v>
      </c>
      <c r="F140" s="133"/>
      <c r="G140" s="133"/>
      <c r="H140" s="199"/>
      <c r="I140" s="199"/>
      <c r="J140" s="199"/>
      <c r="K140" s="199"/>
      <c r="L140" s="168"/>
      <c r="M140" s="200">
        <f>+N(M138=$E140)*$D140</f>
        <v>0</v>
      </c>
      <c r="N140" s="200">
        <f>+N(N138=$E140)*$D140</f>
        <v>0</v>
      </c>
      <c r="O140" s="200">
        <f>+N(O138=$E140)*$D140</f>
        <v>0</v>
      </c>
      <c r="P140" s="200">
        <f>+N(P138=$E140)*$D140</f>
        <v>0</v>
      </c>
      <c r="Q140" s="168"/>
      <c r="R140" s="200">
        <f t="shared" ref="R140:AT140" si="71">+N(R138=$E140)*$D140</f>
        <v>0</v>
      </c>
      <c r="S140" s="200">
        <f t="shared" si="71"/>
        <v>0</v>
      </c>
      <c r="T140" s="200">
        <f t="shared" si="71"/>
        <v>0</v>
      </c>
      <c r="U140" s="200">
        <f t="shared" si="71"/>
        <v>0</v>
      </c>
      <c r="V140" s="168"/>
      <c r="W140" s="200">
        <f t="shared" si="71"/>
        <v>0</v>
      </c>
      <c r="X140" s="200">
        <f t="shared" si="71"/>
        <v>0</v>
      </c>
      <c r="Y140" s="200">
        <f t="shared" si="71"/>
        <v>0</v>
      </c>
      <c r="Z140" s="200">
        <f t="shared" si="71"/>
        <v>0</v>
      </c>
      <c r="AA140" s="168"/>
      <c r="AB140" s="200">
        <f t="shared" si="71"/>
        <v>0</v>
      </c>
      <c r="AC140" s="200">
        <f t="shared" si="71"/>
        <v>0</v>
      </c>
      <c r="AD140" s="200">
        <f t="shared" si="71"/>
        <v>0</v>
      </c>
      <c r="AE140" s="200">
        <f t="shared" si="71"/>
        <v>0</v>
      </c>
      <c r="AF140" s="168"/>
      <c r="AG140" s="200">
        <f t="shared" si="71"/>
        <v>0</v>
      </c>
      <c r="AH140" s="200">
        <f t="shared" si="71"/>
        <v>0</v>
      </c>
      <c r="AI140" s="200">
        <f t="shared" si="71"/>
        <v>0</v>
      </c>
      <c r="AJ140" s="200">
        <f t="shared" si="71"/>
        <v>0</v>
      </c>
      <c r="AK140" s="168"/>
      <c r="AL140" s="200">
        <f t="shared" si="71"/>
        <v>0</v>
      </c>
      <c r="AM140" s="200">
        <f t="shared" si="71"/>
        <v>0</v>
      </c>
      <c r="AN140" s="200">
        <f t="shared" si="71"/>
        <v>0</v>
      </c>
      <c r="AO140" s="200">
        <f t="shared" si="71"/>
        <v>0</v>
      </c>
      <c r="AP140" s="168"/>
      <c r="AQ140" s="200">
        <f t="shared" si="71"/>
        <v>0</v>
      </c>
      <c r="AR140" s="200">
        <f t="shared" si="71"/>
        <v>0</v>
      </c>
      <c r="AS140" s="200">
        <f t="shared" si="71"/>
        <v>0</v>
      </c>
      <c r="AT140" s="200">
        <f t="shared" si="71"/>
        <v>1</v>
      </c>
      <c r="AU140" s="168"/>
      <c r="AV140" s="23"/>
      <c r="AW140" s="23"/>
      <c r="AX140" s="23"/>
      <c r="AY140" s="23"/>
      <c r="AZ140" s="23"/>
      <c r="BA140" s="23"/>
      <c r="BB140" s="23"/>
      <c r="BC140" s="23"/>
      <c r="BD140" s="23"/>
      <c r="BE140" s="23"/>
      <c r="BF140" s="23"/>
      <c r="BG140" s="23"/>
      <c r="BH140" s="23"/>
      <c r="BI140" s="23"/>
      <c r="BJ140" s="23"/>
      <c r="BK140" s="23"/>
      <c r="BL140" s="23"/>
      <c r="BM140" s="23"/>
      <c r="BN140" s="23"/>
      <c r="BO140" s="23"/>
      <c r="BP140" s="23"/>
      <c r="BQ140" s="23"/>
      <c r="BR140" s="23"/>
      <c r="BS140" s="23"/>
      <c r="BT140" s="23"/>
      <c r="BU140" s="23"/>
      <c r="BV140" s="23"/>
      <c r="BW140" s="23"/>
      <c r="BX140" s="23"/>
      <c r="BY140" s="23"/>
      <c r="BZ140" s="23"/>
      <c r="CA140" s="133"/>
      <c r="CB140" s="133"/>
      <c r="CC140" s="133"/>
    </row>
    <row r="141" spans="1:81" s="83" customFormat="1" outlineLevel="1">
      <c r="C141" s="201" t="s">
        <v>116</v>
      </c>
      <c r="E141" s="202"/>
      <c r="F141" s="202"/>
      <c r="G141" s="202"/>
      <c r="H141" s="202"/>
      <c r="I141" s="202"/>
      <c r="J141" s="202"/>
      <c r="K141" s="202"/>
      <c r="L141" s="203"/>
      <c r="M141" s="202">
        <f>L144</f>
        <v>256.5</v>
      </c>
      <c r="N141" s="202">
        <f>M144</f>
        <v>256.5</v>
      </c>
      <c r="O141" s="202">
        <f>N144</f>
        <v>256.5</v>
      </c>
      <c r="P141" s="202">
        <f>O144</f>
        <v>256.5</v>
      </c>
      <c r="Q141" s="203">
        <f>L144</f>
        <v>256.5</v>
      </c>
      <c r="R141" s="202">
        <f>Q144</f>
        <v>256.5</v>
      </c>
      <c r="S141" s="202">
        <f>R144</f>
        <v>256.5</v>
      </c>
      <c r="T141" s="202">
        <f>S144</f>
        <v>256.5</v>
      </c>
      <c r="U141" s="202">
        <f>T144</f>
        <v>256.5</v>
      </c>
      <c r="V141" s="203">
        <f>Q144</f>
        <v>256.5</v>
      </c>
      <c r="W141" s="202">
        <f>V144</f>
        <v>256.5</v>
      </c>
      <c r="X141" s="202">
        <f>W144</f>
        <v>256.5</v>
      </c>
      <c r="Y141" s="202">
        <f>X144</f>
        <v>256.5</v>
      </c>
      <c r="Z141" s="202">
        <f>Y144</f>
        <v>256.5</v>
      </c>
      <c r="AA141" s="203">
        <f>V144</f>
        <v>256.5</v>
      </c>
      <c r="AB141" s="202">
        <f>AA144</f>
        <v>256.5</v>
      </c>
      <c r="AC141" s="202">
        <f>AB144</f>
        <v>256.5</v>
      </c>
      <c r="AD141" s="202">
        <f>AC144</f>
        <v>256.5</v>
      </c>
      <c r="AE141" s="202">
        <f>AD144</f>
        <v>256.5</v>
      </c>
      <c r="AF141" s="203">
        <f>AA144</f>
        <v>256.5</v>
      </c>
      <c r="AG141" s="202">
        <f>AF144</f>
        <v>256.5</v>
      </c>
      <c r="AH141" s="202">
        <f>AG144</f>
        <v>256.5</v>
      </c>
      <c r="AI141" s="202">
        <f>AH144</f>
        <v>256.5</v>
      </c>
      <c r="AJ141" s="202">
        <f>AI144</f>
        <v>256.5</v>
      </c>
      <c r="AK141" s="203">
        <f>AF144</f>
        <v>256.5</v>
      </c>
      <c r="AL141" s="202">
        <f>AK144</f>
        <v>256.5</v>
      </c>
      <c r="AM141" s="202">
        <f>AL144</f>
        <v>256.5</v>
      </c>
      <c r="AN141" s="202">
        <f>AM144</f>
        <v>256.5</v>
      </c>
      <c r="AO141" s="202">
        <f>AN144</f>
        <v>256.5</v>
      </c>
      <c r="AP141" s="203">
        <f>AK144</f>
        <v>256.5</v>
      </c>
      <c r="AQ141" s="202">
        <f>AP144</f>
        <v>256.5</v>
      </c>
      <c r="AR141" s="202">
        <f>AQ144</f>
        <v>256.5</v>
      </c>
      <c r="AS141" s="202">
        <f>AR144</f>
        <v>256.5</v>
      </c>
      <c r="AT141" s="202">
        <f>AS144</f>
        <v>256.5</v>
      </c>
      <c r="AU141" s="203">
        <f>AP144</f>
        <v>256.5</v>
      </c>
      <c r="AV141" s="23"/>
      <c r="AW141" s="23"/>
      <c r="AX141" s="23"/>
      <c r="AY141" s="23"/>
      <c r="AZ141" s="23"/>
      <c r="BA141" s="23"/>
      <c r="BB141" s="23"/>
      <c r="BC141" s="23"/>
      <c r="BD141" s="23"/>
      <c r="BE141" s="23"/>
      <c r="BF141" s="23"/>
      <c r="CA141" s="202"/>
      <c r="CB141" s="202"/>
      <c r="CC141" s="202"/>
    </row>
    <row r="142" spans="1:81" s="27" customFormat="1" outlineLevel="1">
      <c r="C142" s="204" t="s">
        <v>117</v>
      </c>
      <c r="D142" s="205"/>
      <c r="E142" s="133"/>
      <c r="F142" s="133"/>
      <c r="G142" s="133"/>
      <c r="H142" s="133"/>
      <c r="I142" s="133"/>
      <c r="J142" s="133"/>
      <c r="K142" s="133"/>
      <c r="L142" s="206"/>
      <c r="M142" s="133">
        <f>-M140*$D$143</f>
        <v>0</v>
      </c>
      <c r="N142" s="133">
        <f>-N140*$D$143</f>
        <v>0</v>
      </c>
      <c r="O142" s="133">
        <f>-O140*$D$143</f>
        <v>0</v>
      </c>
      <c r="P142" s="133">
        <f>-P140*$D$143</f>
        <v>0</v>
      </c>
      <c r="Q142" s="206">
        <f>SUM(M142:P142)</f>
        <v>0</v>
      </c>
      <c r="R142" s="133">
        <f>-R140*$D$143</f>
        <v>0</v>
      </c>
      <c r="S142" s="133">
        <f>-S140*$D$143</f>
        <v>0</v>
      </c>
      <c r="T142" s="133">
        <f>-T140*$D$143</f>
        <v>0</v>
      </c>
      <c r="U142" s="133">
        <f>-U140*$D$143</f>
        <v>0</v>
      </c>
      <c r="V142" s="206">
        <f>SUM(R142:U142)</f>
        <v>0</v>
      </c>
      <c r="W142" s="133">
        <f>-W140*$D$143</f>
        <v>0</v>
      </c>
      <c r="X142" s="133">
        <f>-X140*$D$143</f>
        <v>0</v>
      </c>
      <c r="Y142" s="133">
        <f>-Y140*$D$143</f>
        <v>0</v>
      </c>
      <c r="Z142" s="133">
        <f>-Z140*$D$143</f>
        <v>0</v>
      </c>
      <c r="AA142" s="206">
        <f>SUM(W142:Z142)</f>
        <v>0</v>
      </c>
      <c r="AB142" s="133">
        <f>-AB140*$D$143</f>
        <v>0</v>
      </c>
      <c r="AC142" s="133">
        <f>-AC140*$D$143</f>
        <v>0</v>
      </c>
      <c r="AD142" s="133">
        <f>-AD140*$D$143</f>
        <v>0</v>
      </c>
      <c r="AE142" s="133">
        <f>-AE140*$D$143</f>
        <v>0</v>
      </c>
      <c r="AF142" s="206">
        <f>SUM(AB142:AE142)</f>
        <v>0</v>
      </c>
      <c r="AG142" s="133">
        <f>-AG140*$D$143</f>
        <v>0</v>
      </c>
      <c r="AH142" s="133">
        <f>-AH140*$D$143</f>
        <v>0</v>
      </c>
      <c r="AI142" s="133">
        <f>-AI140*$D$143</f>
        <v>0</v>
      </c>
      <c r="AJ142" s="133">
        <f>-AJ140*$D$143</f>
        <v>0</v>
      </c>
      <c r="AK142" s="206">
        <f>SUM(AG142:AJ142)</f>
        <v>0</v>
      </c>
      <c r="AL142" s="133">
        <f>-AL140*$D$143</f>
        <v>0</v>
      </c>
      <c r="AM142" s="133">
        <f>-AM140*$D$143</f>
        <v>0</v>
      </c>
      <c r="AN142" s="133">
        <f>-AN140*$D$143</f>
        <v>0</v>
      </c>
      <c r="AO142" s="133">
        <f>-AO140*$D$143</f>
        <v>0</v>
      </c>
      <c r="AP142" s="206">
        <f>SUM(AL142:AO142)</f>
        <v>0</v>
      </c>
      <c r="AQ142" s="133">
        <f>-AQ140*$D$143</f>
        <v>0</v>
      </c>
      <c r="AR142" s="133">
        <f>-AR140*$D$143</f>
        <v>0</v>
      </c>
      <c r="AS142" s="133">
        <f>-AS140*$D$143</f>
        <v>0</v>
      </c>
      <c r="AT142" s="133">
        <f>-AT140*$D$143</f>
        <v>-256.5</v>
      </c>
      <c r="AU142" s="206">
        <f>SUM(AQ142:AT142)</f>
        <v>-256.5</v>
      </c>
      <c r="AV142" s="23"/>
      <c r="AW142" s="23"/>
      <c r="AX142" s="23"/>
      <c r="AY142" s="23"/>
      <c r="AZ142" s="23"/>
      <c r="BA142" s="23"/>
      <c r="BB142" s="23"/>
      <c r="BC142" s="23"/>
      <c r="BD142" s="23"/>
      <c r="BE142" s="23"/>
      <c r="BF142" s="23"/>
      <c r="BG142" s="23"/>
      <c r="BH142" s="23"/>
      <c r="BI142" s="23"/>
      <c r="BJ142" s="23"/>
      <c r="BK142" s="23"/>
      <c r="BL142" s="23"/>
      <c r="BM142" s="23"/>
      <c r="BN142" s="23"/>
      <c r="BO142" s="23"/>
      <c r="BP142" s="23"/>
      <c r="BQ142" s="23"/>
      <c r="BR142" s="23"/>
      <c r="BS142" s="23"/>
      <c r="BT142" s="23"/>
      <c r="BU142" s="23"/>
      <c r="BV142" s="23"/>
      <c r="BW142" s="23"/>
      <c r="BX142" s="23"/>
      <c r="BY142" s="23"/>
      <c r="BZ142" s="23"/>
      <c r="CA142" s="133"/>
      <c r="CB142" s="133"/>
      <c r="CC142" s="133"/>
    </row>
    <row r="143" spans="1:81" s="27" customFormat="1" outlineLevel="1">
      <c r="C143" s="80" t="s">
        <v>118</v>
      </c>
      <c r="D143" s="207">
        <f>'Debt Structure'!D13</f>
        <v>256.5</v>
      </c>
      <c r="E143" s="133"/>
      <c r="F143" s="133"/>
      <c r="G143" s="133"/>
      <c r="H143" s="133"/>
      <c r="I143" s="133"/>
      <c r="J143" s="133"/>
      <c r="K143" s="181"/>
      <c r="L143" s="208">
        <f>D143</f>
        <v>256.5</v>
      </c>
      <c r="M143" s="133">
        <v>0</v>
      </c>
      <c r="N143" s="133">
        <v>0</v>
      </c>
      <c r="O143" s="133">
        <v>0</v>
      </c>
      <c r="P143" s="133">
        <v>0</v>
      </c>
      <c r="Q143" s="206">
        <f>SUM(M143:P143)</f>
        <v>0</v>
      </c>
      <c r="R143" s="133">
        <v>0</v>
      </c>
      <c r="S143" s="133">
        <v>0</v>
      </c>
      <c r="T143" s="133">
        <v>0</v>
      </c>
      <c r="U143" s="133">
        <v>0</v>
      </c>
      <c r="V143" s="206">
        <f>SUM(R143:U143)</f>
        <v>0</v>
      </c>
      <c r="W143" s="133">
        <v>0</v>
      </c>
      <c r="X143" s="133">
        <v>0</v>
      </c>
      <c r="Y143" s="133">
        <v>0</v>
      </c>
      <c r="Z143" s="133">
        <v>0</v>
      </c>
      <c r="AA143" s="206">
        <f>SUM(W143:Z143)</f>
        <v>0</v>
      </c>
      <c r="AB143" s="133">
        <v>0</v>
      </c>
      <c r="AC143" s="133">
        <v>0</v>
      </c>
      <c r="AD143" s="133">
        <v>0</v>
      </c>
      <c r="AE143" s="133">
        <v>0</v>
      </c>
      <c r="AF143" s="206">
        <f>SUM(AB143:AE143)</f>
        <v>0</v>
      </c>
      <c r="AG143" s="133">
        <v>0</v>
      </c>
      <c r="AH143" s="133">
        <v>0</v>
      </c>
      <c r="AI143" s="133">
        <v>0</v>
      </c>
      <c r="AJ143" s="133">
        <v>0</v>
      </c>
      <c r="AK143" s="206">
        <f>SUM(AG143:AJ143)</f>
        <v>0</v>
      </c>
      <c r="AL143" s="133">
        <v>0</v>
      </c>
      <c r="AM143" s="133">
        <v>0</v>
      </c>
      <c r="AN143" s="133">
        <v>0</v>
      </c>
      <c r="AO143" s="133">
        <v>0</v>
      </c>
      <c r="AP143" s="206">
        <f>SUM(AL143:AO143)</f>
        <v>0</v>
      </c>
      <c r="AQ143" s="133">
        <v>0</v>
      </c>
      <c r="AR143" s="133">
        <v>0</v>
      </c>
      <c r="AS143" s="133">
        <v>0</v>
      </c>
      <c r="AT143" s="133">
        <v>0</v>
      </c>
      <c r="AU143" s="206">
        <f>SUM(AQ143:AT143)</f>
        <v>0</v>
      </c>
      <c r="AV143" s="23"/>
      <c r="AW143" s="23"/>
      <c r="AX143" s="23"/>
      <c r="AY143" s="23"/>
      <c r="AZ143" s="23"/>
      <c r="BA143" s="23"/>
      <c r="BB143" s="23"/>
      <c r="BC143" s="23"/>
      <c r="BD143" s="23"/>
      <c r="BE143" s="23"/>
      <c r="BF143" s="23"/>
      <c r="BG143" s="23"/>
      <c r="BH143" s="23"/>
      <c r="BI143" s="23"/>
      <c r="BJ143" s="23"/>
      <c r="BK143" s="23"/>
      <c r="BL143" s="23"/>
      <c r="BM143" s="23"/>
      <c r="BN143" s="23"/>
      <c r="BO143" s="23"/>
      <c r="BP143" s="23"/>
      <c r="BQ143" s="23"/>
      <c r="BR143" s="23"/>
      <c r="BS143" s="23"/>
      <c r="BT143" s="23"/>
      <c r="BU143" s="23"/>
      <c r="BV143" s="23"/>
      <c r="BW143" s="23"/>
      <c r="BX143" s="23"/>
      <c r="BY143" s="23"/>
      <c r="BZ143" s="23"/>
      <c r="CA143" s="133"/>
      <c r="CB143" s="133"/>
      <c r="CC143" s="133"/>
    </row>
    <row r="144" spans="1:81" s="84" customFormat="1" outlineLevel="1">
      <c r="C144" s="193" t="s">
        <v>119</v>
      </c>
      <c r="D144" s="132"/>
      <c r="E144" s="132"/>
      <c r="F144" s="132"/>
      <c r="G144" s="132"/>
      <c r="H144" s="132"/>
      <c r="I144" s="132"/>
      <c r="J144" s="132"/>
      <c r="K144" s="132"/>
      <c r="L144" s="203">
        <f t="shared" ref="L144:AK144" si="72">L141+L142+L143</f>
        <v>256.5</v>
      </c>
      <c r="M144" s="132">
        <f t="shared" si="72"/>
        <v>256.5</v>
      </c>
      <c r="N144" s="132">
        <f t="shared" si="72"/>
        <v>256.5</v>
      </c>
      <c r="O144" s="132">
        <f t="shared" si="72"/>
        <v>256.5</v>
      </c>
      <c r="P144" s="132">
        <f t="shared" si="72"/>
        <v>256.5</v>
      </c>
      <c r="Q144" s="203">
        <f t="shared" si="72"/>
        <v>256.5</v>
      </c>
      <c r="R144" s="132">
        <f t="shared" si="72"/>
        <v>256.5</v>
      </c>
      <c r="S144" s="132">
        <f t="shared" si="72"/>
        <v>256.5</v>
      </c>
      <c r="T144" s="132">
        <f t="shared" si="72"/>
        <v>256.5</v>
      </c>
      <c r="U144" s="132">
        <f t="shared" si="72"/>
        <v>256.5</v>
      </c>
      <c r="V144" s="203">
        <f t="shared" si="72"/>
        <v>256.5</v>
      </c>
      <c r="W144" s="132">
        <f t="shared" si="72"/>
        <v>256.5</v>
      </c>
      <c r="X144" s="132">
        <f t="shared" si="72"/>
        <v>256.5</v>
      </c>
      <c r="Y144" s="132">
        <f t="shared" si="72"/>
        <v>256.5</v>
      </c>
      <c r="Z144" s="132">
        <f t="shared" si="72"/>
        <v>256.5</v>
      </c>
      <c r="AA144" s="203">
        <f t="shared" si="72"/>
        <v>256.5</v>
      </c>
      <c r="AB144" s="132">
        <f t="shared" si="72"/>
        <v>256.5</v>
      </c>
      <c r="AC144" s="132">
        <f t="shared" si="72"/>
        <v>256.5</v>
      </c>
      <c r="AD144" s="132">
        <f t="shared" si="72"/>
        <v>256.5</v>
      </c>
      <c r="AE144" s="132">
        <f t="shared" si="72"/>
        <v>256.5</v>
      </c>
      <c r="AF144" s="203">
        <f t="shared" si="72"/>
        <v>256.5</v>
      </c>
      <c r="AG144" s="132">
        <f t="shared" si="72"/>
        <v>256.5</v>
      </c>
      <c r="AH144" s="132">
        <f t="shared" si="72"/>
        <v>256.5</v>
      </c>
      <c r="AI144" s="132">
        <f t="shared" si="72"/>
        <v>256.5</v>
      </c>
      <c r="AJ144" s="132">
        <f t="shared" si="72"/>
        <v>256.5</v>
      </c>
      <c r="AK144" s="203">
        <f t="shared" si="72"/>
        <v>256.5</v>
      </c>
      <c r="AL144" s="132">
        <f t="shared" ref="AL144:AU144" si="73">AL141+AL142+AL143</f>
        <v>256.5</v>
      </c>
      <c r="AM144" s="132">
        <f t="shared" si="73"/>
        <v>256.5</v>
      </c>
      <c r="AN144" s="132">
        <f t="shared" si="73"/>
        <v>256.5</v>
      </c>
      <c r="AO144" s="132">
        <f t="shared" si="73"/>
        <v>256.5</v>
      </c>
      <c r="AP144" s="203">
        <f t="shared" si="73"/>
        <v>256.5</v>
      </c>
      <c r="AQ144" s="132">
        <f t="shared" si="73"/>
        <v>256.5</v>
      </c>
      <c r="AR144" s="132">
        <f t="shared" si="73"/>
        <v>256.5</v>
      </c>
      <c r="AS144" s="132">
        <f t="shared" si="73"/>
        <v>256.5</v>
      </c>
      <c r="AT144" s="132">
        <f t="shared" si="73"/>
        <v>0</v>
      </c>
      <c r="AU144" s="203">
        <f t="shared" si="73"/>
        <v>0</v>
      </c>
      <c r="AV144" s="23"/>
      <c r="AW144" s="23"/>
      <c r="AX144" s="23"/>
      <c r="AY144" s="23"/>
      <c r="AZ144" s="23"/>
      <c r="BA144" s="23"/>
      <c r="BB144" s="23"/>
      <c r="BC144" s="23"/>
      <c r="BD144" s="23"/>
      <c r="BE144" s="23"/>
      <c r="BF144" s="23"/>
      <c r="CA144" s="132"/>
      <c r="CB144" s="132"/>
      <c r="CC144" s="132"/>
    </row>
    <row r="145" spans="1:81" s="27" customFormat="1" outlineLevel="1">
      <c r="C145" s="193"/>
      <c r="E145" s="133"/>
      <c r="F145" s="133"/>
      <c r="G145" s="133"/>
      <c r="H145" s="133"/>
      <c r="I145" s="133"/>
      <c r="J145" s="133"/>
      <c r="K145" s="133"/>
      <c r="L145" s="168"/>
      <c r="M145" s="133"/>
      <c r="N145" s="133"/>
      <c r="O145" s="133"/>
      <c r="P145" s="133"/>
      <c r="Q145" s="168"/>
      <c r="R145" s="133"/>
      <c r="S145" s="133"/>
      <c r="T145" s="133"/>
      <c r="U145" s="133"/>
      <c r="V145" s="168"/>
      <c r="W145" s="133"/>
      <c r="X145" s="133"/>
      <c r="Y145" s="133"/>
      <c r="Z145" s="133"/>
      <c r="AA145" s="168"/>
      <c r="AB145" s="133"/>
      <c r="AC145" s="133"/>
      <c r="AD145" s="133"/>
      <c r="AE145" s="133"/>
      <c r="AF145" s="168"/>
      <c r="AG145" s="133"/>
      <c r="AH145" s="133"/>
      <c r="AI145" s="133"/>
      <c r="AJ145" s="133"/>
      <c r="AK145" s="168"/>
      <c r="AL145" s="133"/>
      <c r="AM145" s="133"/>
      <c r="AN145" s="133"/>
      <c r="AO145" s="133"/>
      <c r="AP145" s="168"/>
      <c r="AQ145" s="133"/>
      <c r="AR145" s="133"/>
      <c r="AS145" s="133"/>
      <c r="AT145" s="133"/>
      <c r="AU145" s="168"/>
      <c r="AV145" s="23"/>
      <c r="AW145" s="23"/>
      <c r="AX145" s="23"/>
      <c r="AY145" s="23"/>
      <c r="AZ145" s="23"/>
      <c r="BA145" s="23"/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/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3"/>
      <c r="CA145" s="133"/>
      <c r="CB145" s="133"/>
      <c r="CC145" s="133"/>
    </row>
    <row r="146" spans="1:81" s="27" customFormat="1" outlineLevel="1">
      <c r="C146" s="209" t="s">
        <v>120</v>
      </c>
      <c r="D146" s="170"/>
      <c r="E146" s="166"/>
      <c r="F146" s="166"/>
      <c r="G146" s="166"/>
      <c r="H146" s="171"/>
      <c r="I146" s="171"/>
      <c r="J146" s="171"/>
      <c r="K146" s="171"/>
      <c r="L146" s="189"/>
      <c r="M146" s="171">
        <f>(-M148*AVERAGE(M141,M144))</f>
        <v>-3.5268750000000004</v>
      </c>
      <c r="N146" s="171">
        <f>(-N148*AVERAGE(N141,N144))</f>
        <v>-3.5268750000000004</v>
      </c>
      <c r="O146" s="171">
        <f>(-O148*AVERAGE(O141,O144))</f>
        <v>-3.5268750000000004</v>
      </c>
      <c r="P146" s="171">
        <f>(-P148*AVERAGE(P141,P144))</f>
        <v>-3.5268750000000004</v>
      </c>
      <c r="Q146" s="189">
        <f>SUM(M146:P146)</f>
        <v>-14.107500000000002</v>
      </c>
      <c r="R146" s="171">
        <f>(-R148*AVERAGE(R141,R144))</f>
        <v>-3.5268750000000004</v>
      </c>
      <c r="S146" s="171">
        <f>(-S148*AVERAGE(S141,S144))</f>
        <v>-3.5268750000000004</v>
      </c>
      <c r="T146" s="171">
        <f>(-T148*AVERAGE(T141,T144))</f>
        <v>-3.5268750000000004</v>
      </c>
      <c r="U146" s="171">
        <f>(-U148*AVERAGE(U141,U144))</f>
        <v>-3.5268750000000004</v>
      </c>
      <c r="V146" s="189">
        <f>SUM(R146:U146)</f>
        <v>-14.107500000000002</v>
      </c>
      <c r="W146" s="171">
        <f>(-W148*AVERAGE(W141,W144))</f>
        <v>-3.5268750000000004</v>
      </c>
      <c r="X146" s="171">
        <f>(-X148*AVERAGE(X141,X144))</f>
        <v>-3.5268750000000004</v>
      </c>
      <c r="Y146" s="171">
        <f>(-Y148*AVERAGE(Y141,Y144))</f>
        <v>-3.5268750000000004</v>
      </c>
      <c r="Z146" s="171">
        <f>(-Z148*AVERAGE(Z141,Z144))</f>
        <v>-3.5268750000000004</v>
      </c>
      <c r="AA146" s="189">
        <f>SUM(W146:Z146)</f>
        <v>-14.107500000000002</v>
      </c>
      <c r="AB146" s="171">
        <f>(-AB148*AVERAGE(AB141,AB144))</f>
        <v>-3.5268750000000004</v>
      </c>
      <c r="AC146" s="171">
        <f>(-AC148*AVERAGE(AC141,AC144))</f>
        <v>-3.5268750000000004</v>
      </c>
      <c r="AD146" s="171">
        <f>(-AD148*AVERAGE(AD141,AD144))</f>
        <v>-3.5268750000000004</v>
      </c>
      <c r="AE146" s="171">
        <f>(-AE148*AVERAGE(AE141,AE144))</f>
        <v>-3.5268750000000004</v>
      </c>
      <c r="AF146" s="189">
        <f>SUM(AB146:AE146)</f>
        <v>-14.107500000000002</v>
      </c>
      <c r="AG146" s="171">
        <f>(-AG148*AVERAGE(AG141,AG144))</f>
        <v>-3.5268750000000004</v>
      </c>
      <c r="AH146" s="171">
        <f>(-AH148*AVERAGE(AH141,AH144))</f>
        <v>-3.5268750000000004</v>
      </c>
      <c r="AI146" s="171">
        <f>(-AI148*AVERAGE(AI141,AI144))</f>
        <v>-3.5268750000000004</v>
      </c>
      <c r="AJ146" s="171">
        <f>(-AJ148*AVERAGE(AJ141,AJ144))</f>
        <v>-3.5268750000000004</v>
      </c>
      <c r="AK146" s="189">
        <f>SUM(AG146:AJ146)</f>
        <v>-14.107500000000002</v>
      </c>
      <c r="AL146" s="171">
        <f>(-AL148*AVERAGE(AL141,AL144))</f>
        <v>-3.5268750000000004</v>
      </c>
      <c r="AM146" s="171">
        <f>(-AM148*AVERAGE(AM141,AM144))</f>
        <v>-3.5268750000000004</v>
      </c>
      <c r="AN146" s="171">
        <f>(-AN148*AVERAGE(AN141,AN144))</f>
        <v>-3.5268750000000004</v>
      </c>
      <c r="AO146" s="171">
        <f>(-AO148*AVERAGE(AO141,AO144))</f>
        <v>-3.5268750000000004</v>
      </c>
      <c r="AP146" s="189">
        <f>SUM(AL146:AO146)</f>
        <v>-14.107500000000002</v>
      </c>
      <c r="AQ146" s="171">
        <f>(-AQ148*AVERAGE(AQ141,AQ144))</f>
        <v>-3.5268750000000004</v>
      </c>
      <c r="AR146" s="171">
        <f>(-AR148*AVERAGE(AR141,AR144))</f>
        <v>-3.5268750000000004</v>
      </c>
      <c r="AS146" s="171">
        <f>(-AS148*AVERAGE(AS141,AS144))</f>
        <v>-3.5268750000000004</v>
      </c>
      <c r="AT146" s="171">
        <f>(-AT148*AVERAGE(AT141,AT144))</f>
        <v>-1.7634375000000002</v>
      </c>
      <c r="AU146" s="189">
        <f>SUM(AQ146:AT146)</f>
        <v>-12.344062500000001</v>
      </c>
      <c r="AV146" s="23"/>
      <c r="AW146" s="23"/>
      <c r="AX146" s="23"/>
      <c r="AY146" s="23"/>
      <c r="AZ146" s="23"/>
      <c r="BA146" s="23"/>
      <c r="BB146" s="23"/>
      <c r="BC146" s="23"/>
      <c r="BD146" s="23"/>
      <c r="BE146" s="23"/>
      <c r="BF146" s="23"/>
      <c r="BG146" s="23"/>
      <c r="BH146" s="23"/>
      <c r="BI146" s="23"/>
      <c r="BJ146" s="23"/>
      <c r="BK146" s="23"/>
      <c r="BL146" s="23"/>
      <c r="BM146" s="23"/>
      <c r="BN146" s="23"/>
      <c r="BO146" s="23"/>
      <c r="BP146" s="23"/>
      <c r="BQ146" s="23"/>
      <c r="BR146" s="23"/>
      <c r="BS146" s="23"/>
      <c r="BT146" s="23"/>
      <c r="BU146" s="23"/>
      <c r="BV146" s="23"/>
      <c r="BW146" s="23"/>
      <c r="BX146" s="23"/>
      <c r="BY146" s="23"/>
      <c r="BZ146" s="23"/>
      <c r="CA146" s="133"/>
      <c r="CB146" s="133"/>
      <c r="CC146" s="133"/>
    </row>
    <row r="147" spans="1:81" s="27" customFormat="1" outlineLevel="1">
      <c r="C147" s="193"/>
      <c r="E147" s="132"/>
      <c r="F147" s="132"/>
      <c r="G147" s="132"/>
      <c r="H147" s="133"/>
      <c r="I147" s="133"/>
      <c r="J147" s="133"/>
      <c r="K147" s="133"/>
      <c r="L147" s="203"/>
      <c r="M147" s="133"/>
      <c r="N147" s="133"/>
      <c r="O147" s="133"/>
      <c r="P147" s="133"/>
      <c r="Q147" s="203"/>
      <c r="R147" s="133"/>
      <c r="S147" s="133"/>
      <c r="T147" s="133"/>
      <c r="U147" s="133"/>
      <c r="V147" s="203"/>
      <c r="W147" s="133"/>
      <c r="X147" s="133"/>
      <c r="Y147" s="133"/>
      <c r="Z147" s="133"/>
      <c r="AA147" s="203"/>
      <c r="AB147" s="133"/>
      <c r="AC147" s="133"/>
      <c r="AD147" s="133"/>
      <c r="AE147" s="133"/>
      <c r="AF147" s="203"/>
      <c r="AG147" s="133"/>
      <c r="AH147" s="133"/>
      <c r="AI147" s="133"/>
      <c r="AJ147" s="133"/>
      <c r="AK147" s="203"/>
      <c r="AL147" s="133"/>
      <c r="AM147" s="133"/>
      <c r="AN147" s="133"/>
      <c r="AO147" s="133"/>
      <c r="AP147" s="203"/>
      <c r="AQ147" s="133"/>
      <c r="AR147" s="133"/>
      <c r="AS147" s="133"/>
      <c r="AT147" s="133"/>
      <c r="AU147" s="203"/>
      <c r="AV147" s="23"/>
      <c r="AW147" s="23"/>
      <c r="AX147" s="23"/>
      <c r="AY147" s="23"/>
      <c r="AZ147" s="23"/>
      <c r="BA147" s="23"/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/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3"/>
      <c r="CA147" s="133"/>
      <c r="CB147" s="133"/>
      <c r="CC147" s="133"/>
    </row>
    <row r="148" spans="1:81" s="84" customFormat="1" outlineLevel="1">
      <c r="C148" s="165" t="s">
        <v>121</v>
      </c>
      <c r="D148" s="165"/>
      <c r="E148" s="166"/>
      <c r="F148" s="166"/>
      <c r="G148" s="166"/>
      <c r="H148" s="210"/>
      <c r="I148" s="210"/>
      <c r="J148" s="210"/>
      <c r="K148" s="210"/>
      <c r="L148" s="167"/>
      <c r="M148" s="210">
        <f>M149+M150</f>
        <v>1.3750000000000002E-2</v>
      </c>
      <c r="N148" s="210">
        <f>N149+N150</f>
        <v>1.3750000000000002E-2</v>
      </c>
      <c r="O148" s="210">
        <f>O149+O150</f>
        <v>1.3750000000000002E-2</v>
      </c>
      <c r="P148" s="210">
        <f>P149+P150</f>
        <v>1.3750000000000002E-2</v>
      </c>
      <c r="Q148" s="211">
        <f>SUM(M148:P148)</f>
        <v>5.5000000000000007E-2</v>
      </c>
      <c r="R148" s="210">
        <f>R149+R150</f>
        <v>1.3750000000000002E-2</v>
      </c>
      <c r="S148" s="210">
        <f>S149+S150</f>
        <v>1.3750000000000002E-2</v>
      </c>
      <c r="T148" s="210">
        <f>T149+T150</f>
        <v>1.3750000000000002E-2</v>
      </c>
      <c r="U148" s="210">
        <f>U149+U150</f>
        <v>1.3750000000000002E-2</v>
      </c>
      <c r="V148" s="211">
        <f>SUM(R148:U148)</f>
        <v>5.5000000000000007E-2</v>
      </c>
      <c r="W148" s="210">
        <f>W149+W150</f>
        <v>1.3750000000000002E-2</v>
      </c>
      <c r="X148" s="210">
        <f>X149+X150</f>
        <v>1.3750000000000002E-2</v>
      </c>
      <c r="Y148" s="210">
        <f>Y149+Y150</f>
        <v>1.3750000000000002E-2</v>
      </c>
      <c r="Z148" s="210">
        <f>Z149+Z150</f>
        <v>1.3750000000000002E-2</v>
      </c>
      <c r="AA148" s="211">
        <f>SUM(W148:Z148)</f>
        <v>5.5000000000000007E-2</v>
      </c>
      <c r="AB148" s="210">
        <f>AB149+AB150</f>
        <v>1.3750000000000002E-2</v>
      </c>
      <c r="AC148" s="210">
        <f>AC149+AC150</f>
        <v>1.3750000000000002E-2</v>
      </c>
      <c r="AD148" s="210">
        <f>AD149+AD150</f>
        <v>1.3750000000000002E-2</v>
      </c>
      <c r="AE148" s="210">
        <f>AE149+AE150</f>
        <v>1.3750000000000002E-2</v>
      </c>
      <c r="AF148" s="211">
        <f>SUM(AB148:AE148)</f>
        <v>5.5000000000000007E-2</v>
      </c>
      <c r="AG148" s="210">
        <f>AG149+AG150</f>
        <v>1.3750000000000002E-2</v>
      </c>
      <c r="AH148" s="210">
        <f>AH149+AH150</f>
        <v>1.3750000000000002E-2</v>
      </c>
      <c r="AI148" s="210">
        <f>AI149+AI150</f>
        <v>1.3750000000000002E-2</v>
      </c>
      <c r="AJ148" s="210">
        <f>AJ149+AJ150</f>
        <v>1.3750000000000002E-2</v>
      </c>
      <c r="AK148" s="211">
        <f>SUM(AG148:AJ148)</f>
        <v>5.5000000000000007E-2</v>
      </c>
      <c r="AL148" s="210">
        <f>AL149+AL150</f>
        <v>1.3750000000000002E-2</v>
      </c>
      <c r="AM148" s="210">
        <f>AM149+AM150</f>
        <v>1.3750000000000002E-2</v>
      </c>
      <c r="AN148" s="210">
        <f>AN149+AN150</f>
        <v>1.3750000000000002E-2</v>
      </c>
      <c r="AO148" s="210">
        <f>AO149+AO150</f>
        <v>1.3750000000000002E-2</v>
      </c>
      <c r="AP148" s="211">
        <f>SUM(AL148:AO148)</f>
        <v>5.5000000000000007E-2</v>
      </c>
      <c r="AQ148" s="210">
        <f>AQ149+AQ150</f>
        <v>1.3750000000000002E-2</v>
      </c>
      <c r="AR148" s="210">
        <f>AR149+AR150</f>
        <v>1.3750000000000002E-2</v>
      </c>
      <c r="AS148" s="210">
        <f>AS149+AS150</f>
        <v>1.3750000000000002E-2</v>
      </c>
      <c r="AT148" s="210">
        <f>AT149+AT150</f>
        <v>1.3750000000000002E-2</v>
      </c>
      <c r="AU148" s="211">
        <f>SUM(AQ148:AT148)</f>
        <v>5.5000000000000007E-2</v>
      </c>
      <c r="AV148" s="23"/>
      <c r="AW148" s="23"/>
      <c r="AX148" s="23"/>
      <c r="AY148" s="23"/>
      <c r="AZ148" s="23"/>
      <c r="BA148" s="23"/>
      <c r="BB148" s="23"/>
      <c r="BC148" s="23"/>
      <c r="BD148" s="23"/>
      <c r="BE148" s="23"/>
      <c r="BF148" s="23"/>
      <c r="CA148" s="132"/>
      <c r="CB148" s="132"/>
      <c r="CC148" s="132"/>
    </row>
    <row r="149" spans="1:81" s="27" customFormat="1" outlineLevel="1">
      <c r="C149" s="80" t="s">
        <v>122</v>
      </c>
      <c r="D149" s="212">
        <f>'Debt Structure'!F23</f>
        <v>3.5000000000000003E-2</v>
      </c>
      <c r="E149" s="133"/>
      <c r="F149" s="133"/>
      <c r="G149" s="133"/>
      <c r="H149" s="213"/>
      <c r="I149" s="213"/>
      <c r="J149" s="213"/>
      <c r="K149" s="213"/>
      <c r="L149" s="168"/>
      <c r="M149" s="213">
        <f>$D$149/4</f>
        <v>8.7500000000000008E-3</v>
      </c>
      <c r="N149" s="213">
        <f>$D$149/4</f>
        <v>8.7500000000000008E-3</v>
      </c>
      <c r="O149" s="213">
        <f>$D$149/4</f>
        <v>8.7500000000000008E-3</v>
      </c>
      <c r="P149" s="213">
        <f>$D$149/4</f>
        <v>8.7500000000000008E-3</v>
      </c>
      <c r="Q149" s="214">
        <f>SUM(M149:P149)</f>
        <v>3.5000000000000003E-2</v>
      </c>
      <c r="R149" s="213">
        <f>$D$149/4</f>
        <v>8.7500000000000008E-3</v>
      </c>
      <c r="S149" s="213">
        <f>$D$149/4</f>
        <v>8.7500000000000008E-3</v>
      </c>
      <c r="T149" s="213">
        <f>$D$149/4</f>
        <v>8.7500000000000008E-3</v>
      </c>
      <c r="U149" s="213">
        <f>$D$149/4</f>
        <v>8.7500000000000008E-3</v>
      </c>
      <c r="V149" s="214">
        <f>SUM(R149:U149)</f>
        <v>3.5000000000000003E-2</v>
      </c>
      <c r="W149" s="213">
        <f>$D$149/4</f>
        <v>8.7500000000000008E-3</v>
      </c>
      <c r="X149" s="213">
        <f>$D$149/4</f>
        <v>8.7500000000000008E-3</v>
      </c>
      <c r="Y149" s="213">
        <f>$D$149/4</f>
        <v>8.7500000000000008E-3</v>
      </c>
      <c r="Z149" s="213">
        <f>$D$149/4</f>
        <v>8.7500000000000008E-3</v>
      </c>
      <c r="AA149" s="214">
        <f>SUM(W149:Z149)</f>
        <v>3.5000000000000003E-2</v>
      </c>
      <c r="AB149" s="213">
        <f>$D$149/4</f>
        <v>8.7500000000000008E-3</v>
      </c>
      <c r="AC149" s="213">
        <f>$D$149/4</f>
        <v>8.7500000000000008E-3</v>
      </c>
      <c r="AD149" s="213">
        <f>$D$149/4</f>
        <v>8.7500000000000008E-3</v>
      </c>
      <c r="AE149" s="213">
        <f>$D$149/4</f>
        <v>8.7500000000000008E-3</v>
      </c>
      <c r="AF149" s="214">
        <f>SUM(AB149:AE149)</f>
        <v>3.5000000000000003E-2</v>
      </c>
      <c r="AG149" s="213">
        <f>$D$149/4</f>
        <v>8.7500000000000008E-3</v>
      </c>
      <c r="AH149" s="213">
        <f>$D$149/4</f>
        <v>8.7500000000000008E-3</v>
      </c>
      <c r="AI149" s="213">
        <f>$D$149/4</f>
        <v>8.7500000000000008E-3</v>
      </c>
      <c r="AJ149" s="213">
        <f>$D$149/4</f>
        <v>8.7500000000000008E-3</v>
      </c>
      <c r="AK149" s="214">
        <f>SUM(AG149:AJ149)</f>
        <v>3.5000000000000003E-2</v>
      </c>
      <c r="AL149" s="213">
        <f>$D$149/4</f>
        <v>8.7500000000000008E-3</v>
      </c>
      <c r="AM149" s="213">
        <f>$D$149/4</f>
        <v>8.7500000000000008E-3</v>
      </c>
      <c r="AN149" s="213">
        <f>$D$149/4</f>
        <v>8.7500000000000008E-3</v>
      </c>
      <c r="AO149" s="213">
        <f>$D$149/4</f>
        <v>8.7500000000000008E-3</v>
      </c>
      <c r="AP149" s="214">
        <f>SUM(AL149:AO149)</f>
        <v>3.5000000000000003E-2</v>
      </c>
      <c r="AQ149" s="213">
        <f>$D$149/4</f>
        <v>8.7500000000000008E-3</v>
      </c>
      <c r="AR149" s="213">
        <f>$D$149/4</f>
        <v>8.7500000000000008E-3</v>
      </c>
      <c r="AS149" s="213">
        <f>$D$149/4</f>
        <v>8.7500000000000008E-3</v>
      </c>
      <c r="AT149" s="213">
        <f>$D$149/4</f>
        <v>8.7500000000000008E-3</v>
      </c>
      <c r="AU149" s="214">
        <f>SUM(AQ149:AT149)</f>
        <v>3.5000000000000003E-2</v>
      </c>
      <c r="AV149" s="23"/>
      <c r="AW149" s="23"/>
      <c r="AX149" s="23"/>
      <c r="AY149" s="23"/>
      <c r="AZ149" s="23"/>
      <c r="BA149" s="23"/>
      <c r="BB149" s="23"/>
      <c r="BC149" s="23"/>
      <c r="BD149" s="23"/>
      <c r="BE149" s="23"/>
      <c r="BF149" s="23"/>
      <c r="BG149" s="23"/>
      <c r="BH149" s="23"/>
      <c r="BI149" s="23"/>
      <c r="BJ149" s="23"/>
      <c r="BK149" s="23"/>
      <c r="BL149" s="23"/>
      <c r="BM149" s="23"/>
      <c r="BN149" s="23"/>
      <c r="BO149" s="23"/>
      <c r="BP149" s="23"/>
      <c r="BQ149" s="23"/>
      <c r="BR149" s="23"/>
      <c r="BS149" s="23"/>
      <c r="BT149" s="23"/>
      <c r="BU149" s="23"/>
      <c r="BV149" s="23"/>
      <c r="BW149" s="23"/>
      <c r="BX149" s="23"/>
      <c r="BY149" s="23"/>
      <c r="BZ149" s="23"/>
      <c r="CA149" s="133"/>
      <c r="CB149" s="133"/>
      <c r="CC149" s="133"/>
    </row>
    <row r="150" spans="1:81" s="567" customFormat="1" outlineLevel="1">
      <c r="C150" s="687" t="s">
        <v>123</v>
      </c>
      <c r="D150" s="688"/>
      <c r="E150" s="688"/>
      <c r="F150" s="688"/>
      <c r="G150" s="688"/>
      <c r="H150" s="689"/>
      <c r="I150" s="689"/>
      <c r="J150" s="689"/>
      <c r="K150" s="689"/>
      <c r="L150" s="690"/>
      <c r="M150" s="691" cm="1">
        <f t="array" ref="M150:P150">TRANSPOSE('Debt Structure'!I65:I68)</f>
        <v>5.0000000000000001E-3</v>
      </c>
      <c r="N150" s="691">
        <v>5.0000000000000001E-3</v>
      </c>
      <c r="O150" s="691">
        <v>5.0000000000000001E-3</v>
      </c>
      <c r="P150" s="691">
        <v>5.0000000000000001E-3</v>
      </c>
      <c r="Q150" s="690">
        <f>SUM(M150:P150)</f>
        <v>0.02</v>
      </c>
      <c r="R150" s="691" cm="1">
        <f t="array" ref="R150:U150">TRANSPOSE('Debt Structure'!I69:I72)</f>
        <v>5.0000000000000001E-3</v>
      </c>
      <c r="S150" s="691">
        <v>5.0000000000000001E-3</v>
      </c>
      <c r="T150" s="691">
        <v>5.0000000000000001E-3</v>
      </c>
      <c r="U150" s="691">
        <v>5.0000000000000001E-3</v>
      </c>
      <c r="V150" s="690">
        <f>SUM(R150:U150)</f>
        <v>0.02</v>
      </c>
      <c r="W150" s="691" cm="1">
        <f t="array" ref="W150:Z150">TRANSPOSE('Debt Structure'!I73:I76)</f>
        <v>5.0000000000000001E-3</v>
      </c>
      <c r="X150" s="691">
        <v>5.0000000000000001E-3</v>
      </c>
      <c r="Y150" s="691">
        <v>5.0000000000000001E-3</v>
      </c>
      <c r="Z150" s="691">
        <v>5.0000000000000001E-3</v>
      </c>
      <c r="AA150" s="690">
        <f>SUM(W150:Z150)</f>
        <v>0.02</v>
      </c>
      <c r="AB150" s="691" cm="1">
        <f t="array" ref="AB150:AE150">TRANSPOSE('Debt Structure'!I77:I80)</f>
        <v>5.0000000000000001E-3</v>
      </c>
      <c r="AC150" s="691">
        <v>5.0000000000000001E-3</v>
      </c>
      <c r="AD150" s="691">
        <v>5.0000000000000001E-3</v>
      </c>
      <c r="AE150" s="691">
        <v>5.0000000000000001E-3</v>
      </c>
      <c r="AF150" s="690">
        <f>SUM(AB150:AE150)</f>
        <v>0.02</v>
      </c>
      <c r="AG150" s="691" cm="1">
        <f t="array" ref="AG150:AJ150">TRANSPOSE('Debt Structure'!I81:I84)</f>
        <v>5.0000000000000001E-3</v>
      </c>
      <c r="AH150" s="691">
        <v>5.0000000000000001E-3</v>
      </c>
      <c r="AI150" s="691">
        <v>5.0000000000000001E-3</v>
      </c>
      <c r="AJ150" s="691">
        <v>5.0000000000000001E-3</v>
      </c>
      <c r="AK150" s="690">
        <f>SUM(AG150:AJ150)</f>
        <v>0.02</v>
      </c>
      <c r="AL150" s="691" cm="1">
        <f t="array" ref="AL150:AO150">+TRANSPOSE('Debt Structure'!$I$85:$I$88)</f>
        <v>5.0000000000000001E-3</v>
      </c>
      <c r="AM150" s="691">
        <v>5.0000000000000001E-3</v>
      </c>
      <c r="AN150" s="691">
        <v>5.0000000000000001E-3</v>
      </c>
      <c r="AO150" s="691">
        <v>5.0000000000000001E-3</v>
      </c>
      <c r="AP150" s="690">
        <f>SUM(AL150:AO150)</f>
        <v>0.02</v>
      </c>
      <c r="AQ150" s="691" cm="1">
        <f t="array" ref="AQ150:AT150">+TRANSPOSE('Debt Structure'!$I$89:$I$92)</f>
        <v>5.0000000000000001E-3</v>
      </c>
      <c r="AR150" s="691">
        <v>5.0000000000000001E-3</v>
      </c>
      <c r="AS150" s="691">
        <v>5.0000000000000001E-3</v>
      </c>
      <c r="AT150" s="691">
        <v>5.0000000000000001E-3</v>
      </c>
      <c r="AU150" s="690">
        <f>SUM(AQ150:AT150)</f>
        <v>0.02</v>
      </c>
      <c r="AV150" s="540"/>
      <c r="AW150" s="540"/>
      <c r="AX150" s="540"/>
      <c r="AY150" s="540"/>
      <c r="AZ150" s="540"/>
      <c r="BA150" s="540"/>
      <c r="BB150" s="540"/>
      <c r="BC150" s="540"/>
      <c r="BD150" s="540"/>
      <c r="BE150" s="540"/>
      <c r="BF150" s="540"/>
      <c r="BG150" s="540"/>
      <c r="BH150" s="540"/>
      <c r="BI150" s="540"/>
      <c r="BJ150" s="540"/>
      <c r="BK150" s="540"/>
      <c r="BL150" s="540"/>
      <c r="BM150" s="540"/>
      <c r="BN150" s="540"/>
      <c r="BO150" s="540"/>
      <c r="BP150" s="540"/>
      <c r="BQ150" s="540"/>
      <c r="BR150" s="540"/>
      <c r="BS150" s="540"/>
      <c r="BT150" s="540"/>
      <c r="BU150" s="540"/>
      <c r="BV150" s="540"/>
      <c r="BW150" s="540"/>
      <c r="BX150" s="540"/>
      <c r="BY150" s="540"/>
      <c r="BZ150" s="540"/>
      <c r="CA150" s="642"/>
      <c r="CB150" s="642"/>
      <c r="CC150" s="642"/>
    </row>
    <row r="151" spans="1:81" s="27" customFormat="1">
      <c r="E151" s="133"/>
      <c r="F151" s="133"/>
      <c r="G151" s="133"/>
      <c r="H151" s="133"/>
      <c r="I151" s="133"/>
      <c r="J151" s="133"/>
      <c r="K151" s="133"/>
      <c r="L151" s="133"/>
      <c r="M151" s="133"/>
      <c r="N151" s="133"/>
      <c r="O151" s="133"/>
      <c r="P151" s="133"/>
      <c r="Q151" s="133"/>
      <c r="R151" s="133"/>
      <c r="S151" s="133"/>
      <c r="T151" s="133"/>
      <c r="U151" s="133"/>
      <c r="V151" s="133"/>
      <c r="W151" s="133"/>
      <c r="X151" s="133"/>
      <c r="Y151" s="133"/>
      <c r="Z151" s="133"/>
      <c r="AA151" s="133"/>
      <c r="AB151" s="133"/>
      <c r="AC151" s="133"/>
      <c r="AD151" s="133"/>
      <c r="AE151" s="133"/>
      <c r="AF151" s="133"/>
      <c r="AG151" s="133"/>
      <c r="AH151" s="133"/>
      <c r="AI151" s="133"/>
      <c r="AJ151" s="133"/>
      <c r="AK151" s="133"/>
      <c r="AL151" s="133"/>
      <c r="AM151" s="133"/>
      <c r="AN151" s="133"/>
      <c r="AO151" s="133"/>
      <c r="AP151" s="133"/>
      <c r="AQ151" s="133"/>
      <c r="AR151" s="133"/>
      <c r="AS151" s="133"/>
      <c r="AT151" s="133"/>
      <c r="AU151" s="133"/>
      <c r="AV151" s="23"/>
      <c r="AW151" s="23"/>
      <c r="AX151" s="23"/>
      <c r="AY151" s="23"/>
      <c r="AZ151" s="23"/>
      <c r="BA151" s="23"/>
      <c r="BB151" s="23"/>
      <c r="BC151" s="23"/>
      <c r="BD151" s="23"/>
      <c r="BE151" s="23"/>
      <c r="BF151" s="23"/>
      <c r="BG151" s="23"/>
      <c r="BH151" s="23"/>
      <c r="BI151" s="23"/>
      <c r="BJ151" s="23"/>
      <c r="BK151" s="23"/>
      <c r="BL151" s="23"/>
      <c r="BM151" s="23"/>
      <c r="BN151" s="23"/>
      <c r="BO151" s="23"/>
      <c r="BP151" s="23"/>
      <c r="BQ151" s="23"/>
      <c r="BR151" s="23"/>
      <c r="BS151" s="23"/>
      <c r="BT151" s="23"/>
      <c r="BU151" s="23"/>
      <c r="BV151" s="23"/>
      <c r="BW151" s="23"/>
      <c r="BX151" s="23"/>
      <c r="BY151" s="23"/>
      <c r="BZ151" s="23"/>
      <c r="CA151" s="133"/>
      <c r="CB151" s="133"/>
      <c r="CC151" s="133"/>
    </row>
    <row r="152" spans="1:81" s="27" customFormat="1">
      <c r="C152" s="141" t="str">
        <f>C112</f>
        <v>CAF</v>
      </c>
      <c r="D152" s="141"/>
      <c r="E152" s="141"/>
      <c r="F152" s="141"/>
      <c r="G152" s="141"/>
      <c r="H152" s="141"/>
      <c r="I152" s="141"/>
      <c r="J152" s="141"/>
      <c r="K152" s="141"/>
      <c r="L152" s="141"/>
      <c r="M152" s="141"/>
      <c r="N152" s="141"/>
      <c r="O152" s="141"/>
      <c r="P152" s="141"/>
      <c r="Q152" s="141"/>
      <c r="R152" s="141"/>
      <c r="S152" s="141"/>
      <c r="T152" s="141"/>
      <c r="U152" s="141"/>
      <c r="V152" s="141"/>
      <c r="W152" s="141"/>
      <c r="X152" s="141"/>
      <c r="Y152" s="141"/>
      <c r="Z152" s="141"/>
      <c r="AA152" s="141"/>
      <c r="AB152" s="141"/>
      <c r="AC152" s="141"/>
      <c r="AD152" s="141"/>
      <c r="AE152" s="141"/>
      <c r="AF152" s="141"/>
      <c r="AG152" s="141"/>
      <c r="AH152" s="141"/>
      <c r="AI152" s="141"/>
      <c r="AJ152" s="141"/>
      <c r="AK152" s="141"/>
      <c r="AL152" s="141"/>
      <c r="AM152" s="141"/>
      <c r="AN152" s="141"/>
      <c r="AO152" s="141"/>
      <c r="AP152" s="141"/>
      <c r="AQ152" s="141"/>
      <c r="AR152" s="141"/>
      <c r="AS152" s="141"/>
      <c r="AT152" s="141"/>
      <c r="AU152" s="141"/>
      <c r="AV152" s="23"/>
      <c r="AW152" s="23"/>
      <c r="AX152" s="23"/>
      <c r="AY152" s="23"/>
      <c r="AZ152" s="23"/>
      <c r="BA152" s="23"/>
      <c r="BB152" s="23"/>
      <c r="BC152" s="23"/>
      <c r="BD152" s="23"/>
      <c r="BE152" s="23"/>
      <c r="BF152" s="23"/>
      <c r="BG152" s="23"/>
      <c r="BH152" s="23"/>
      <c r="BI152" s="23"/>
      <c r="BJ152" s="23"/>
      <c r="BK152" s="23"/>
      <c r="BL152" s="23"/>
      <c r="BM152" s="23"/>
      <c r="BN152" s="23"/>
      <c r="BO152" s="23"/>
      <c r="BP152" s="23"/>
      <c r="BQ152" s="23"/>
      <c r="BR152" s="23"/>
      <c r="BS152" s="23"/>
      <c r="BT152" s="23"/>
      <c r="BU152" s="23"/>
      <c r="BV152" s="23"/>
      <c r="BW152" s="23"/>
      <c r="BX152" s="23"/>
      <c r="BY152" s="23"/>
      <c r="BZ152" s="23"/>
      <c r="CA152" s="133"/>
      <c r="CB152" s="133"/>
      <c r="CC152" s="133"/>
    </row>
    <row r="153" spans="1:81" s="567" customFormat="1" ht="10.8" outlineLevel="1" thickBot="1">
      <c r="C153" s="540" t="s">
        <v>267</v>
      </c>
      <c r="E153" s="642"/>
      <c r="F153" s="642"/>
      <c r="G153" s="642"/>
      <c r="H153" s="642"/>
      <c r="I153" s="642"/>
      <c r="J153" s="642"/>
      <c r="K153" s="642">
        <f>+(K155-$D$4)/365</f>
        <v>0</v>
      </c>
      <c r="L153" s="642">
        <f t="shared" ref="L153:AU153" si="74">+(L155-$D$4)/365</f>
        <v>0</v>
      </c>
      <c r="M153" s="642">
        <f t="shared" si="74"/>
        <v>0.24657534246575341</v>
      </c>
      <c r="N153" s="642">
        <f t="shared" si="74"/>
        <v>0.49589041095890413</v>
      </c>
      <c r="O153" s="642">
        <f t="shared" si="74"/>
        <v>0.74794520547945209</v>
      </c>
      <c r="P153" s="642">
        <f t="shared" si="74"/>
        <v>1</v>
      </c>
      <c r="Q153" s="642">
        <f t="shared" si="74"/>
        <v>1</v>
      </c>
      <c r="R153" s="642">
        <f t="shared" si="74"/>
        <v>1.2465753424657535</v>
      </c>
      <c r="S153" s="642">
        <f t="shared" si="74"/>
        <v>1.4958904109589042</v>
      </c>
      <c r="T153" s="642">
        <f t="shared" si="74"/>
        <v>1.747945205479452</v>
      </c>
      <c r="U153" s="642">
        <f t="shared" si="74"/>
        <v>2</v>
      </c>
      <c r="V153" s="642">
        <f t="shared" si="74"/>
        <v>2</v>
      </c>
      <c r="W153" s="642">
        <f t="shared" si="74"/>
        <v>2.2493150684931509</v>
      </c>
      <c r="X153" s="642">
        <f t="shared" si="74"/>
        <v>2.4986301369863013</v>
      </c>
      <c r="Y153" s="642">
        <f t="shared" si="74"/>
        <v>2.7506849315068491</v>
      </c>
      <c r="Z153" s="642">
        <f t="shared" si="74"/>
        <v>3.0027397260273974</v>
      </c>
      <c r="AA153" s="642">
        <f t="shared" si="74"/>
        <v>3.0027397260273974</v>
      </c>
      <c r="AB153" s="642">
        <f t="shared" si="74"/>
        <v>3.2493150684931509</v>
      </c>
      <c r="AC153" s="642">
        <f t="shared" si="74"/>
        <v>3.4986301369863013</v>
      </c>
      <c r="AD153" s="642">
        <f t="shared" si="74"/>
        <v>3.7506849315068491</v>
      </c>
      <c r="AE153" s="642">
        <f t="shared" si="74"/>
        <v>4.0027397260273974</v>
      </c>
      <c r="AF153" s="642">
        <f t="shared" si="74"/>
        <v>4.0027397260273974</v>
      </c>
      <c r="AG153" s="642">
        <f t="shared" si="74"/>
        <v>4.2493150684931509</v>
      </c>
      <c r="AH153" s="642">
        <f t="shared" si="74"/>
        <v>4.4986301369863018</v>
      </c>
      <c r="AI153" s="642">
        <f t="shared" si="74"/>
        <v>4.7506849315068491</v>
      </c>
      <c r="AJ153" s="642">
        <f t="shared" si="74"/>
        <v>5.0027397260273974</v>
      </c>
      <c r="AK153" s="642">
        <f t="shared" si="74"/>
        <v>5.0027397260273974</v>
      </c>
      <c r="AL153" s="642">
        <f t="shared" si="74"/>
        <v>5.2493150684931509</v>
      </c>
      <c r="AM153" s="642">
        <f t="shared" si="74"/>
        <v>5.4986301369863018</v>
      </c>
      <c r="AN153" s="642">
        <f t="shared" si="74"/>
        <v>5.7506849315068491</v>
      </c>
      <c r="AO153" s="642">
        <f t="shared" si="74"/>
        <v>6.0027397260273974</v>
      </c>
      <c r="AP153" s="642">
        <f t="shared" si="74"/>
        <v>6.0027397260273974</v>
      </c>
      <c r="AQ153" s="642">
        <f t="shared" si="74"/>
        <v>6.2520547945205482</v>
      </c>
      <c r="AR153" s="642">
        <f t="shared" si="74"/>
        <v>6.5013698630136982</v>
      </c>
      <c r="AS153" s="642">
        <f t="shared" si="74"/>
        <v>6.7534246575342465</v>
      </c>
      <c r="AT153" s="642">
        <f t="shared" si="74"/>
        <v>7.0054794520547947</v>
      </c>
      <c r="AU153" s="642">
        <f t="shared" si="74"/>
        <v>7.0054794520547947</v>
      </c>
      <c r="AV153" s="540"/>
      <c r="AW153" s="540"/>
      <c r="AX153" s="540"/>
      <c r="AY153" s="540"/>
      <c r="AZ153" s="540"/>
      <c r="BA153" s="540"/>
      <c r="BB153" s="540"/>
      <c r="BC153" s="540"/>
      <c r="BD153" s="540"/>
      <c r="BE153" s="540"/>
      <c r="BF153" s="540"/>
      <c r="BG153" s="540"/>
      <c r="BH153" s="540"/>
      <c r="BI153" s="540"/>
      <c r="BJ153" s="540"/>
      <c r="BK153" s="540"/>
      <c r="BL153" s="540"/>
      <c r="BM153" s="540"/>
      <c r="BN153" s="540"/>
      <c r="BO153" s="540"/>
      <c r="BP153" s="540"/>
      <c r="BQ153" s="540"/>
      <c r="BR153" s="540"/>
      <c r="BS153" s="540"/>
      <c r="BT153" s="540"/>
      <c r="BU153" s="540"/>
      <c r="BV153" s="540"/>
      <c r="BW153" s="540"/>
      <c r="BX153" s="540"/>
      <c r="BY153" s="540"/>
      <c r="BZ153" s="540"/>
      <c r="CA153" s="642"/>
      <c r="CB153" s="642"/>
      <c r="CC153" s="642"/>
    </row>
    <row r="154" spans="1:81" ht="10.8" outlineLevel="1" thickBot="1">
      <c r="A154" s="18"/>
      <c r="B154" s="18"/>
      <c r="C154" s="45"/>
      <c r="D154" s="45"/>
      <c r="E154" s="104"/>
      <c r="F154" s="104"/>
      <c r="G154" s="104"/>
      <c r="H154" s="30" t="s">
        <v>80</v>
      </c>
      <c r="I154" s="105" t="s">
        <v>81</v>
      </c>
      <c r="J154" s="105" t="s">
        <v>82</v>
      </c>
      <c r="K154" s="106" t="s">
        <v>77</v>
      </c>
      <c r="L154" s="30" t="s">
        <v>95</v>
      </c>
      <c r="M154" s="30" t="s">
        <v>80</v>
      </c>
      <c r="N154" s="105" t="s">
        <v>81</v>
      </c>
      <c r="O154" s="105" t="s">
        <v>82</v>
      </c>
      <c r="P154" s="105" t="s">
        <v>83</v>
      </c>
      <c r="Q154" s="30" t="s">
        <v>95</v>
      </c>
      <c r="R154" s="30" t="s">
        <v>80</v>
      </c>
      <c r="S154" s="105" t="s">
        <v>81</v>
      </c>
      <c r="T154" s="105" t="s">
        <v>82</v>
      </c>
      <c r="U154" s="105" t="s">
        <v>83</v>
      </c>
      <c r="V154" s="30" t="s">
        <v>95</v>
      </c>
      <c r="W154" s="30" t="s">
        <v>80</v>
      </c>
      <c r="X154" s="105" t="s">
        <v>81</v>
      </c>
      <c r="Y154" s="105" t="s">
        <v>82</v>
      </c>
      <c r="Z154" s="105" t="s">
        <v>83</v>
      </c>
      <c r="AA154" s="30" t="s">
        <v>95</v>
      </c>
      <c r="AB154" s="30" t="s">
        <v>80</v>
      </c>
      <c r="AC154" s="105" t="s">
        <v>81</v>
      </c>
      <c r="AD154" s="105" t="s">
        <v>82</v>
      </c>
      <c r="AE154" s="105" t="s">
        <v>83</v>
      </c>
      <c r="AF154" s="30" t="s">
        <v>95</v>
      </c>
      <c r="AG154" s="30" t="s">
        <v>80</v>
      </c>
      <c r="AH154" s="105" t="s">
        <v>81</v>
      </c>
      <c r="AI154" s="105" t="s">
        <v>82</v>
      </c>
      <c r="AJ154" s="105" t="s">
        <v>83</v>
      </c>
      <c r="AK154" s="30" t="s">
        <v>95</v>
      </c>
      <c r="AL154" s="30" t="s">
        <v>80</v>
      </c>
      <c r="AM154" s="105" t="s">
        <v>81</v>
      </c>
      <c r="AN154" s="105" t="s">
        <v>82</v>
      </c>
      <c r="AO154" s="105" t="s">
        <v>83</v>
      </c>
      <c r="AP154" s="30" t="s">
        <v>95</v>
      </c>
      <c r="AQ154" s="30" t="s">
        <v>80</v>
      </c>
      <c r="AR154" s="105" t="s">
        <v>81</v>
      </c>
      <c r="AS154" s="105" t="s">
        <v>82</v>
      </c>
      <c r="AT154" s="105" t="s">
        <v>83</v>
      </c>
      <c r="AU154" s="30" t="s">
        <v>95</v>
      </c>
    </row>
    <row r="155" spans="1:81" ht="10.8" outlineLevel="1" thickBot="1">
      <c r="E155" s="107"/>
      <c r="F155" s="107"/>
      <c r="G155" s="107"/>
      <c r="H155" s="130">
        <v>45747</v>
      </c>
      <c r="I155" s="130">
        <v>45838</v>
      </c>
      <c r="J155" s="130">
        <v>45930</v>
      </c>
      <c r="K155" s="130">
        <v>46022</v>
      </c>
      <c r="L155" s="130">
        <f>K155</f>
        <v>46022</v>
      </c>
      <c r="M155" s="130">
        <f>EOMONTH(L155,3)</f>
        <v>46112</v>
      </c>
      <c r="N155" s="130">
        <f>EOMONTH(M155,3)</f>
        <v>46203</v>
      </c>
      <c r="O155" s="130">
        <f>EOMONTH(N155,3)</f>
        <v>46295</v>
      </c>
      <c r="P155" s="130">
        <f>EOMONTH(O155,3)</f>
        <v>46387</v>
      </c>
      <c r="Q155" s="130">
        <f>P155</f>
        <v>46387</v>
      </c>
      <c r="R155" s="130">
        <f>EOMONTH(Q155,3)</f>
        <v>46477</v>
      </c>
      <c r="S155" s="130">
        <f>EOMONTH(R155,3)</f>
        <v>46568</v>
      </c>
      <c r="T155" s="130">
        <f>EOMONTH(S155,3)</f>
        <v>46660</v>
      </c>
      <c r="U155" s="130">
        <f>EOMONTH(T155,3)</f>
        <v>46752</v>
      </c>
      <c r="V155" s="130">
        <f>U155</f>
        <v>46752</v>
      </c>
      <c r="W155" s="130">
        <f>EOMONTH(V155,3)</f>
        <v>46843</v>
      </c>
      <c r="X155" s="130">
        <f>EOMONTH(W155,3)</f>
        <v>46934</v>
      </c>
      <c r="Y155" s="130">
        <f>EOMONTH(X155,3)</f>
        <v>47026</v>
      </c>
      <c r="Z155" s="130">
        <f>EOMONTH(Y155,3)</f>
        <v>47118</v>
      </c>
      <c r="AA155" s="130">
        <f>Z155</f>
        <v>47118</v>
      </c>
      <c r="AB155" s="130">
        <f>EOMONTH(AA155,3)</f>
        <v>47208</v>
      </c>
      <c r="AC155" s="130">
        <f>EOMONTH(AB155,3)</f>
        <v>47299</v>
      </c>
      <c r="AD155" s="130">
        <f>EOMONTH(AC155,3)</f>
        <v>47391</v>
      </c>
      <c r="AE155" s="130">
        <f>EOMONTH(AD155,3)</f>
        <v>47483</v>
      </c>
      <c r="AF155" s="130">
        <f>AE155</f>
        <v>47483</v>
      </c>
      <c r="AG155" s="130">
        <f>EOMONTH(AF155,3)</f>
        <v>47573</v>
      </c>
      <c r="AH155" s="130">
        <f>EOMONTH(AG155,3)</f>
        <v>47664</v>
      </c>
      <c r="AI155" s="130">
        <f>EOMONTH(AH155,3)</f>
        <v>47756</v>
      </c>
      <c r="AJ155" s="130">
        <f>EOMONTH(AI155,3)</f>
        <v>47848</v>
      </c>
      <c r="AK155" s="130">
        <f>AJ155</f>
        <v>47848</v>
      </c>
      <c r="AL155" s="130">
        <f>EOMONTH(AK155,3)</f>
        <v>47938</v>
      </c>
      <c r="AM155" s="130">
        <f>EOMONTH(AL155,3)</f>
        <v>48029</v>
      </c>
      <c r="AN155" s="130">
        <f>EOMONTH(AM155,3)</f>
        <v>48121</v>
      </c>
      <c r="AO155" s="130">
        <f>EOMONTH(AN155,3)</f>
        <v>48213</v>
      </c>
      <c r="AP155" s="130">
        <f>AO155</f>
        <v>48213</v>
      </c>
      <c r="AQ155" s="130">
        <f>EOMONTH(AP155,3)</f>
        <v>48304</v>
      </c>
      <c r="AR155" s="130">
        <f>EOMONTH(AQ155,3)</f>
        <v>48395</v>
      </c>
      <c r="AS155" s="130">
        <f>EOMONTH(AR155,3)</f>
        <v>48487</v>
      </c>
      <c r="AT155" s="130">
        <f>EOMONTH(AS155,3)</f>
        <v>48579</v>
      </c>
      <c r="AU155" s="130">
        <f>AT155</f>
        <v>48579</v>
      </c>
    </row>
    <row r="156" spans="1:81" s="27" customFormat="1" outlineLevel="1">
      <c r="E156" s="133"/>
      <c r="F156" s="133"/>
      <c r="G156" s="133"/>
      <c r="H156" s="133"/>
      <c r="I156" s="133"/>
      <c r="J156" s="133"/>
      <c r="K156" s="133"/>
      <c r="L156" s="168"/>
      <c r="M156" s="133"/>
      <c r="N156" s="133"/>
      <c r="O156" s="133"/>
      <c r="P156" s="133"/>
      <c r="Q156" s="168"/>
      <c r="R156" s="133"/>
      <c r="S156" s="133"/>
      <c r="T156" s="133"/>
      <c r="U156" s="133"/>
      <c r="V156" s="168"/>
      <c r="W156" s="133"/>
      <c r="X156" s="133"/>
      <c r="Y156" s="133"/>
      <c r="Z156" s="133"/>
      <c r="AA156" s="168"/>
      <c r="AB156" s="133"/>
      <c r="AC156" s="133"/>
      <c r="AD156" s="133"/>
      <c r="AE156" s="133"/>
      <c r="AF156" s="168"/>
      <c r="AG156" s="133"/>
      <c r="AH156" s="133"/>
      <c r="AI156" s="133"/>
      <c r="AJ156" s="133"/>
      <c r="AK156" s="168"/>
      <c r="AL156" s="133"/>
      <c r="AM156" s="133"/>
      <c r="AN156" s="133"/>
      <c r="AO156" s="133"/>
      <c r="AP156" s="168"/>
      <c r="AQ156" s="133"/>
      <c r="AR156" s="133"/>
      <c r="AS156" s="133"/>
      <c r="AT156" s="133"/>
      <c r="AU156" s="168"/>
      <c r="AV156" s="23"/>
      <c r="AW156" s="23"/>
      <c r="AX156" s="23"/>
      <c r="AY156" s="23"/>
      <c r="AZ156" s="23"/>
      <c r="BA156" s="23"/>
      <c r="BB156" s="23"/>
      <c r="BC156" s="23"/>
      <c r="BD156" s="23"/>
      <c r="BE156" s="23"/>
      <c r="BF156" s="23"/>
      <c r="BG156" s="23"/>
      <c r="BH156" s="23"/>
      <c r="BI156" s="23"/>
      <c r="BJ156" s="23"/>
      <c r="BK156" s="23"/>
      <c r="BL156" s="23"/>
      <c r="BM156" s="23"/>
      <c r="BN156" s="23"/>
      <c r="BO156" s="23"/>
      <c r="BP156" s="23"/>
      <c r="BQ156" s="23"/>
      <c r="BR156" s="23"/>
      <c r="BS156" s="23"/>
      <c r="BT156" s="23"/>
      <c r="BU156" s="23"/>
      <c r="BV156" s="23"/>
      <c r="BW156" s="23"/>
      <c r="BX156" s="23"/>
      <c r="BY156" s="23"/>
      <c r="BZ156" s="23"/>
      <c r="CA156" s="133"/>
      <c r="CB156" s="133"/>
      <c r="CC156" s="133"/>
    </row>
    <row r="157" spans="1:81" s="27" customFormat="1" outlineLevel="1">
      <c r="C157" s="219" t="s">
        <v>264</v>
      </c>
      <c r="D157" s="204"/>
      <c r="E157" s="220"/>
      <c r="F157" s="220"/>
      <c r="G157" s="220"/>
      <c r="H157" s="221"/>
      <c r="I157" s="221"/>
      <c r="J157" s="221"/>
      <c r="K157" s="221"/>
      <c r="L157" s="222"/>
      <c r="M157" s="221">
        <f t="shared" ref="M157:AK157" si="75">-M76</f>
        <v>2.660355265657568</v>
      </c>
      <c r="N157" s="221">
        <f t="shared" si="75"/>
        <v>2.660355265657568</v>
      </c>
      <c r="O157" s="221">
        <f t="shared" si="75"/>
        <v>2.660355265657568</v>
      </c>
      <c r="P157" s="221">
        <f t="shared" si="75"/>
        <v>2.660355265657568</v>
      </c>
      <c r="Q157" s="222">
        <f t="shared" si="75"/>
        <v>10.641421062630272</v>
      </c>
      <c r="R157" s="221">
        <f t="shared" si="75"/>
        <v>6.1255296901240079</v>
      </c>
      <c r="S157" s="221">
        <f t="shared" si="75"/>
        <v>6.1255296901240079</v>
      </c>
      <c r="T157" s="221">
        <f t="shared" si="75"/>
        <v>6.1255296901240079</v>
      </c>
      <c r="U157" s="221">
        <f t="shared" si="75"/>
        <v>6.1255296901240079</v>
      </c>
      <c r="V157" s="222">
        <f t="shared" si="75"/>
        <v>24.502118760496032</v>
      </c>
      <c r="W157" s="221">
        <f t="shared" si="75"/>
        <v>3.1376311672720525</v>
      </c>
      <c r="X157" s="221">
        <f t="shared" si="75"/>
        <v>3.1376311672720525</v>
      </c>
      <c r="Y157" s="221">
        <f t="shared" si="75"/>
        <v>3.1376311672720525</v>
      </c>
      <c r="Z157" s="221">
        <f t="shared" si="75"/>
        <v>3.1376311672720525</v>
      </c>
      <c r="AA157" s="222">
        <f t="shared" si="75"/>
        <v>12.55052466908821</v>
      </c>
      <c r="AB157" s="221">
        <f t="shared" si="75"/>
        <v>4.1174563412092029</v>
      </c>
      <c r="AC157" s="221">
        <f t="shared" si="75"/>
        <v>4.1174563412092029</v>
      </c>
      <c r="AD157" s="221">
        <f t="shared" si="75"/>
        <v>4.1174563412092029</v>
      </c>
      <c r="AE157" s="221">
        <f t="shared" si="75"/>
        <v>4.1174563412092029</v>
      </c>
      <c r="AF157" s="222">
        <f t="shared" si="75"/>
        <v>16.469825364836812</v>
      </c>
      <c r="AG157" s="221">
        <f t="shared" si="75"/>
        <v>2.7502833365715738</v>
      </c>
      <c r="AH157" s="221">
        <f t="shared" si="75"/>
        <v>2.7502833365715738</v>
      </c>
      <c r="AI157" s="221">
        <f t="shared" si="75"/>
        <v>2.7502833365715738</v>
      </c>
      <c r="AJ157" s="221">
        <f t="shared" si="75"/>
        <v>2.7502833365715738</v>
      </c>
      <c r="AK157" s="222">
        <f t="shared" si="75"/>
        <v>11.001133346286295</v>
      </c>
      <c r="AL157" s="221">
        <f t="shared" ref="AL157:AU157" si="76">-AL76</f>
        <v>2.193290490805694</v>
      </c>
      <c r="AM157" s="221">
        <f t="shared" si="76"/>
        <v>2.193290490805694</v>
      </c>
      <c r="AN157" s="221">
        <f t="shared" si="76"/>
        <v>2.193290490805694</v>
      </c>
      <c r="AO157" s="221">
        <f t="shared" si="76"/>
        <v>2.193290490805694</v>
      </c>
      <c r="AP157" s="222">
        <f t="shared" si="76"/>
        <v>8.7731619632227762</v>
      </c>
      <c r="AQ157" s="221">
        <f t="shared" si="76"/>
        <v>2.193290490805694</v>
      </c>
      <c r="AR157" s="221">
        <f t="shared" si="76"/>
        <v>2.193290490805694</v>
      </c>
      <c r="AS157" s="221">
        <f t="shared" si="76"/>
        <v>2.193290490805694</v>
      </c>
      <c r="AT157" s="221">
        <f t="shared" si="76"/>
        <v>2.193290490805694</v>
      </c>
      <c r="AU157" s="222">
        <f t="shared" si="76"/>
        <v>8.7731619632227762</v>
      </c>
      <c r="AV157" s="23"/>
      <c r="AW157" s="23"/>
      <c r="AX157" s="23"/>
      <c r="AY157" s="23"/>
      <c r="AZ157" s="23"/>
      <c r="BA157" s="23"/>
      <c r="BB157" s="23"/>
      <c r="BC157" s="23"/>
      <c r="BD157" s="23"/>
      <c r="BE157" s="23"/>
      <c r="BF157" s="23"/>
      <c r="BG157" s="23"/>
      <c r="BH157" s="23"/>
      <c r="BI157" s="23"/>
      <c r="BJ157" s="23"/>
      <c r="BK157" s="23"/>
      <c r="BL157" s="23"/>
      <c r="BM157" s="23"/>
      <c r="BN157" s="23"/>
      <c r="BO157" s="23"/>
      <c r="BP157" s="23"/>
      <c r="BQ157" s="23"/>
      <c r="BR157" s="23"/>
      <c r="BS157" s="23"/>
      <c r="BT157" s="23"/>
      <c r="BU157" s="23"/>
      <c r="BV157" s="23"/>
      <c r="BW157" s="23"/>
      <c r="BX157" s="23"/>
      <c r="BY157" s="23"/>
      <c r="BZ157" s="23"/>
      <c r="CA157" s="133"/>
      <c r="CB157" s="133"/>
      <c r="CC157" s="133"/>
    </row>
    <row r="158" spans="1:81" s="27" customFormat="1" outlineLevel="1">
      <c r="C158" s="219" t="s">
        <v>124</v>
      </c>
      <c r="E158" s="133"/>
      <c r="F158" s="133"/>
      <c r="G158" s="133"/>
      <c r="H158" s="133"/>
      <c r="I158" s="133"/>
      <c r="J158" s="133"/>
      <c r="K158" s="133"/>
      <c r="L158" s="168"/>
      <c r="M158" s="133">
        <f>M157+L158</f>
        <v>2.660355265657568</v>
      </c>
      <c r="N158" s="133">
        <f>N157+M158</f>
        <v>5.3207105313151359</v>
      </c>
      <c r="O158" s="133">
        <f>O157+N158</f>
        <v>7.9810657969727039</v>
      </c>
      <c r="P158" s="133">
        <f>P157+O158</f>
        <v>10.641421062630272</v>
      </c>
      <c r="Q158" s="168">
        <f>P158</f>
        <v>10.641421062630272</v>
      </c>
      <c r="R158" s="133">
        <f>R157+Q158</f>
        <v>16.76695075275428</v>
      </c>
      <c r="S158" s="133">
        <f>S157+R158</f>
        <v>22.892480442878288</v>
      </c>
      <c r="T158" s="133">
        <f>T157+S158</f>
        <v>29.018010133002296</v>
      </c>
      <c r="U158" s="133">
        <f>U157+T158</f>
        <v>35.143539823126304</v>
      </c>
      <c r="V158" s="168">
        <f>U158</f>
        <v>35.143539823126304</v>
      </c>
      <c r="W158" s="133">
        <f>W157+V158</f>
        <v>38.281170990398358</v>
      </c>
      <c r="X158" s="133">
        <f>X157+W158</f>
        <v>41.418802157670413</v>
      </c>
      <c r="Y158" s="133">
        <f>Y157+X158</f>
        <v>44.556433324942468</v>
      </c>
      <c r="Z158" s="133">
        <f>Z157+Y158</f>
        <v>47.694064492214522</v>
      </c>
      <c r="AA158" s="168">
        <f>Z158</f>
        <v>47.694064492214522</v>
      </c>
      <c r="AB158" s="133">
        <f>AB157+AA158</f>
        <v>51.811520833423728</v>
      </c>
      <c r="AC158" s="133">
        <f>AC157+AB158</f>
        <v>55.928977174632934</v>
      </c>
      <c r="AD158" s="133">
        <f>AD157+AC158</f>
        <v>60.046433515842139</v>
      </c>
      <c r="AE158" s="133">
        <f>AE157+AD158</f>
        <v>64.163889857051345</v>
      </c>
      <c r="AF158" s="168">
        <f>AE158</f>
        <v>64.163889857051345</v>
      </c>
      <c r="AG158" s="133">
        <f>AG157+AF158</f>
        <v>66.914173193622915</v>
      </c>
      <c r="AH158" s="133">
        <f>AH157+AG158</f>
        <v>69.664456530194485</v>
      </c>
      <c r="AI158" s="133">
        <f>AI157+AH158</f>
        <v>72.414739866766055</v>
      </c>
      <c r="AJ158" s="133">
        <f>AJ157+AI158</f>
        <v>75.165023203337626</v>
      </c>
      <c r="AK158" s="168">
        <f>AJ158</f>
        <v>75.165023203337626</v>
      </c>
      <c r="AL158" s="133">
        <f>AL157+AK158</f>
        <v>77.35831369414332</v>
      </c>
      <c r="AM158" s="133">
        <f>AM157+AL158</f>
        <v>79.551604184949014</v>
      </c>
      <c r="AN158" s="133">
        <f>AN157+AM158</f>
        <v>81.744894675754708</v>
      </c>
      <c r="AO158" s="133">
        <f>AO157+AN158</f>
        <v>83.938185166560402</v>
      </c>
      <c r="AP158" s="168">
        <f>AO158</f>
        <v>83.938185166560402</v>
      </c>
      <c r="AQ158" s="133">
        <f>AQ157+AP158</f>
        <v>86.131475657366096</v>
      </c>
      <c r="AR158" s="133">
        <f>AR157+AQ158</f>
        <v>88.32476614817179</v>
      </c>
      <c r="AS158" s="133">
        <f>AS157+AR158</f>
        <v>90.518056638977484</v>
      </c>
      <c r="AT158" s="133">
        <f>AT157+AS158</f>
        <v>92.711347129783178</v>
      </c>
      <c r="AU158" s="168">
        <f>AT158</f>
        <v>92.711347129783178</v>
      </c>
      <c r="AV158" s="23"/>
      <c r="AW158" s="23"/>
      <c r="AX158" s="23"/>
      <c r="AY158" s="23"/>
      <c r="AZ158" s="23"/>
      <c r="BA158" s="23"/>
      <c r="BB158" s="23"/>
      <c r="BC158" s="23"/>
      <c r="BD158" s="23"/>
      <c r="BE158" s="23"/>
      <c r="BF158" s="23"/>
      <c r="BG158" s="23"/>
      <c r="BH158" s="23"/>
      <c r="BI158" s="23"/>
      <c r="BJ158" s="23"/>
      <c r="BK158" s="23"/>
      <c r="BL158" s="23"/>
      <c r="BM158" s="23"/>
      <c r="BN158" s="23"/>
      <c r="BO158" s="23"/>
      <c r="BP158" s="23"/>
      <c r="BQ158" s="23"/>
      <c r="BR158" s="23"/>
      <c r="BS158" s="23"/>
      <c r="BT158" s="23"/>
      <c r="BU158" s="23"/>
      <c r="BV158" s="23"/>
      <c r="BW158" s="23"/>
      <c r="BX158" s="23"/>
      <c r="BY158" s="23"/>
      <c r="BZ158" s="23"/>
      <c r="CA158" s="133"/>
      <c r="CB158" s="133"/>
      <c r="CC158" s="133"/>
    </row>
    <row r="159" spans="1:81" s="27" customFormat="1" outlineLevel="1">
      <c r="E159" s="133"/>
      <c r="F159" s="133"/>
      <c r="G159" s="133"/>
      <c r="H159" s="133"/>
      <c r="I159" s="133"/>
      <c r="J159" s="133"/>
      <c r="K159" s="133"/>
      <c r="L159" s="168"/>
      <c r="M159" s="133"/>
      <c r="N159" s="133"/>
      <c r="O159" s="133"/>
      <c r="P159" s="133"/>
      <c r="Q159" s="168"/>
      <c r="R159" s="133"/>
      <c r="S159" s="133"/>
      <c r="T159" s="133"/>
      <c r="U159" s="133"/>
      <c r="V159" s="168"/>
      <c r="W159" s="133"/>
      <c r="X159" s="133"/>
      <c r="Y159" s="133"/>
      <c r="Z159" s="133"/>
      <c r="AA159" s="168"/>
      <c r="AB159" s="133"/>
      <c r="AC159" s="133"/>
      <c r="AD159" s="133"/>
      <c r="AE159" s="133"/>
      <c r="AF159" s="168"/>
      <c r="AG159" s="133"/>
      <c r="AH159" s="133"/>
      <c r="AI159" s="133"/>
      <c r="AJ159" s="133"/>
      <c r="AK159" s="168"/>
      <c r="AL159" s="133"/>
      <c r="AM159" s="133"/>
      <c r="AN159" s="133"/>
      <c r="AO159" s="133"/>
      <c r="AP159" s="168"/>
      <c r="AQ159" s="133"/>
      <c r="AR159" s="133"/>
      <c r="AS159" s="133"/>
      <c r="AT159" s="133"/>
      <c r="AU159" s="168"/>
      <c r="AV159" s="23"/>
      <c r="AW159" s="23"/>
      <c r="AX159" s="23"/>
      <c r="AY159" s="23"/>
      <c r="AZ159" s="23"/>
      <c r="BA159" s="23"/>
      <c r="BB159" s="23"/>
      <c r="BC159" s="23"/>
      <c r="BD159" s="23"/>
      <c r="BE159" s="23"/>
      <c r="BF159" s="23"/>
      <c r="BG159" s="23"/>
      <c r="BH159" s="23"/>
      <c r="BI159" s="23"/>
      <c r="BJ159" s="23"/>
      <c r="BK159" s="23"/>
      <c r="BL159" s="23"/>
      <c r="BM159" s="23"/>
      <c r="BN159" s="23"/>
      <c r="BO159" s="23"/>
      <c r="BP159" s="23"/>
      <c r="BQ159" s="23"/>
      <c r="BR159" s="23"/>
      <c r="BS159" s="23"/>
      <c r="BT159" s="23"/>
      <c r="BU159" s="23"/>
      <c r="BV159" s="23"/>
      <c r="BW159" s="23"/>
      <c r="BX159" s="23"/>
      <c r="BY159" s="23"/>
      <c r="BZ159" s="23"/>
      <c r="CA159" s="133"/>
      <c r="CB159" s="133"/>
      <c r="CC159" s="133"/>
    </row>
    <row r="160" spans="1:81" s="27" customFormat="1" outlineLevel="1">
      <c r="C160" s="27" t="s">
        <v>266</v>
      </c>
      <c r="D160" s="643">
        <f>+'Debt Structure'!$H$33</f>
        <v>3</v>
      </c>
      <c r="E160" s="133"/>
      <c r="F160" s="133"/>
      <c r="G160" s="133"/>
      <c r="H160" s="133"/>
      <c r="I160" s="133"/>
      <c r="J160" s="133"/>
      <c r="K160" s="133"/>
      <c r="L160" s="168"/>
      <c r="M160" s="133">
        <f>+N(ROUND(M153,2)&lt;=ROUND($D160,2))</f>
        <v>1</v>
      </c>
      <c r="N160" s="133">
        <f t="shared" ref="N160:AU160" si="77">+N(ROUND(N153,2)&lt;=ROUND($D160,2))</f>
        <v>1</v>
      </c>
      <c r="O160" s="133">
        <f t="shared" si="77"/>
        <v>1</v>
      </c>
      <c r="P160" s="133">
        <f t="shared" si="77"/>
        <v>1</v>
      </c>
      <c r="Q160" s="168">
        <f t="shared" si="77"/>
        <v>1</v>
      </c>
      <c r="R160" s="133">
        <f t="shared" si="77"/>
        <v>1</v>
      </c>
      <c r="S160" s="133">
        <f t="shared" si="77"/>
        <v>1</v>
      </c>
      <c r="T160" s="133">
        <f t="shared" si="77"/>
        <v>1</v>
      </c>
      <c r="U160" s="133">
        <f t="shared" si="77"/>
        <v>1</v>
      </c>
      <c r="V160" s="168">
        <f t="shared" si="77"/>
        <v>1</v>
      </c>
      <c r="W160" s="133">
        <f t="shared" si="77"/>
        <v>1</v>
      </c>
      <c r="X160" s="133">
        <f t="shared" si="77"/>
        <v>1</v>
      </c>
      <c r="Y160" s="133">
        <f t="shared" si="77"/>
        <v>1</v>
      </c>
      <c r="Z160" s="133">
        <f t="shared" si="77"/>
        <v>1</v>
      </c>
      <c r="AA160" s="168">
        <f t="shared" si="77"/>
        <v>1</v>
      </c>
      <c r="AB160" s="133">
        <f t="shared" si="77"/>
        <v>0</v>
      </c>
      <c r="AC160" s="133">
        <f t="shared" si="77"/>
        <v>0</v>
      </c>
      <c r="AD160" s="133">
        <f t="shared" si="77"/>
        <v>0</v>
      </c>
      <c r="AE160" s="133">
        <f t="shared" si="77"/>
        <v>0</v>
      </c>
      <c r="AF160" s="168">
        <f t="shared" si="77"/>
        <v>0</v>
      </c>
      <c r="AG160" s="133">
        <f t="shared" si="77"/>
        <v>0</v>
      </c>
      <c r="AH160" s="133">
        <f t="shared" si="77"/>
        <v>0</v>
      </c>
      <c r="AI160" s="133">
        <f t="shared" si="77"/>
        <v>0</v>
      </c>
      <c r="AJ160" s="133">
        <f t="shared" si="77"/>
        <v>0</v>
      </c>
      <c r="AK160" s="168">
        <f t="shared" si="77"/>
        <v>0</v>
      </c>
      <c r="AL160" s="133">
        <f t="shared" si="77"/>
        <v>0</v>
      </c>
      <c r="AM160" s="133">
        <f t="shared" si="77"/>
        <v>0</v>
      </c>
      <c r="AN160" s="133">
        <f t="shared" si="77"/>
        <v>0</v>
      </c>
      <c r="AO160" s="133">
        <f t="shared" si="77"/>
        <v>0</v>
      </c>
      <c r="AP160" s="168">
        <f t="shared" si="77"/>
        <v>0</v>
      </c>
      <c r="AQ160" s="133">
        <f t="shared" si="77"/>
        <v>0</v>
      </c>
      <c r="AR160" s="133">
        <f t="shared" si="77"/>
        <v>0</v>
      </c>
      <c r="AS160" s="133">
        <f t="shared" si="77"/>
        <v>0</v>
      </c>
      <c r="AT160" s="133">
        <f t="shared" si="77"/>
        <v>0</v>
      </c>
      <c r="AU160" s="168">
        <f t="shared" si="77"/>
        <v>0</v>
      </c>
      <c r="AV160" s="23"/>
      <c r="AW160" s="23"/>
      <c r="AX160" s="23"/>
      <c r="AY160" s="23"/>
      <c r="AZ160" s="23"/>
      <c r="BA160" s="23"/>
      <c r="BB160" s="23"/>
      <c r="BC160" s="23"/>
      <c r="BD160" s="23"/>
      <c r="BE160" s="23"/>
      <c r="BF160" s="23"/>
      <c r="BG160" s="23"/>
      <c r="BH160" s="23"/>
      <c r="BI160" s="23"/>
      <c r="BJ160" s="23"/>
      <c r="BK160" s="23"/>
      <c r="BL160" s="23"/>
      <c r="BM160" s="23"/>
      <c r="BN160" s="23"/>
      <c r="BO160" s="23"/>
      <c r="BP160" s="23"/>
      <c r="BQ160" s="23"/>
      <c r="BR160" s="23"/>
      <c r="BS160" s="23"/>
      <c r="BT160" s="23"/>
      <c r="BU160" s="23"/>
      <c r="BV160" s="23"/>
      <c r="BW160" s="23"/>
      <c r="BX160" s="23"/>
      <c r="BY160" s="23"/>
      <c r="BZ160" s="23"/>
      <c r="CA160" s="133"/>
      <c r="CB160" s="133"/>
      <c r="CC160" s="133"/>
    </row>
    <row r="161" spans="3:81" s="27" customFormat="1" outlineLevel="1">
      <c r="E161" s="133"/>
      <c r="F161" s="133"/>
      <c r="G161" s="133"/>
      <c r="H161" s="133"/>
      <c r="I161" s="133"/>
      <c r="J161" s="133"/>
      <c r="K161" s="133"/>
      <c r="L161" s="168"/>
      <c r="M161" s="133"/>
      <c r="N161" s="133"/>
      <c r="O161" s="133"/>
      <c r="P161" s="133"/>
      <c r="Q161" s="168"/>
      <c r="R161" s="133"/>
      <c r="S161" s="133"/>
      <c r="T161" s="133"/>
      <c r="U161" s="133"/>
      <c r="V161" s="168"/>
      <c r="W161" s="133"/>
      <c r="X161" s="133"/>
      <c r="Y161" s="133"/>
      <c r="Z161" s="133"/>
      <c r="AA161" s="168"/>
      <c r="AB161" s="133"/>
      <c r="AC161" s="133"/>
      <c r="AD161" s="133"/>
      <c r="AE161" s="133"/>
      <c r="AF161" s="168"/>
      <c r="AG161" s="133"/>
      <c r="AH161" s="133"/>
      <c r="AI161" s="133"/>
      <c r="AJ161" s="133"/>
      <c r="AK161" s="168"/>
      <c r="AL161" s="133"/>
      <c r="AM161" s="133"/>
      <c r="AN161" s="133"/>
      <c r="AO161" s="133"/>
      <c r="AP161" s="168"/>
      <c r="AQ161" s="133"/>
      <c r="AR161" s="133"/>
      <c r="AS161" s="133"/>
      <c r="AT161" s="133"/>
      <c r="AU161" s="168"/>
      <c r="AV161" s="23"/>
      <c r="AW161" s="23"/>
      <c r="AX161" s="23"/>
      <c r="AY161" s="23"/>
      <c r="AZ161" s="23"/>
      <c r="BA161" s="23"/>
      <c r="BB161" s="23"/>
      <c r="BC161" s="23"/>
      <c r="BD161" s="23"/>
      <c r="BE161" s="23"/>
      <c r="BF161" s="23"/>
      <c r="BG161" s="23"/>
      <c r="BH161" s="23"/>
      <c r="BI161" s="23"/>
      <c r="BJ161" s="23"/>
      <c r="BK161" s="23"/>
      <c r="BL161" s="23"/>
      <c r="BM161" s="23"/>
      <c r="BN161" s="23"/>
      <c r="BO161" s="23"/>
      <c r="BP161" s="23"/>
      <c r="BQ161" s="23"/>
      <c r="BR161" s="23"/>
      <c r="BS161" s="23"/>
      <c r="BT161" s="23"/>
      <c r="BU161" s="23"/>
      <c r="BV161" s="23"/>
      <c r="BW161" s="23"/>
      <c r="BX161" s="23"/>
      <c r="BY161" s="23"/>
      <c r="BZ161" s="23"/>
      <c r="CA161" s="133"/>
      <c r="CB161" s="133"/>
      <c r="CC161" s="133"/>
    </row>
    <row r="162" spans="3:81" s="27" customFormat="1" outlineLevel="1">
      <c r="C162" s="27" t="s">
        <v>125</v>
      </c>
      <c r="D162" s="207">
        <f>'Debt Structure'!D33</f>
        <v>50</v>
      </c>
      <c r="E162" s="133"/>
      <c r="F162" s="133"/>
      <c r="G162" s="133"/>
      <c r="H162" s="133"/>
      <c r="I162" s="133"/>
      <c r="J162" s="133"/>
      <c r="K162" s="133"/>
      <c r="L162" s="168"/>
      <c r="M162" s="133">
        <f t="shared" ref="M162:AK162" si="78">MIN(M158,$D$162)</f>
        <v>2.660355265657568</v>
      </c>
      <c r="N162" s="133">
        <f t="shared" si="78"/>
        <v>5.3207105313151359</v>
      </c>
      <c r="O162" s="133">
        <f t="shared" si="78"/>
        <v>7.9810657969727039</v>
      </c>
      <c r="P162" s="133">
        <f t="shared" si="78"/>
        <v>10.641421062630272</v>
      </c>
      <c r="Q162" s="168">
        <f t="shared" si="78"/>
        <v>10.641421062630272</v>
      </c>
      <c r="R162" s="133">
        <f t="shared" si="78"/>
        <v>16.76695075275428</v>
      </c>
      <c r="S162" s="133">
        <f t="shared" si="78"/>
        <v>22.892480442878288</v>
      </c>
      <c r="T162" s="133">
        <f t="shared" si="78"/>
        <v>29.018010133002296</v>
      </c>
      <c r="U162" s="133">
        <f t="shared" si="78"/>
        <v>35.143539823126304</v>
      </c>
      <c r="V162" s="168">
        <f t="shared" si="78"/>
        <v>35.143539823126304</v>
      </c>
      <c r="W162" s="133">
        <f t="shared" si="78"/>
        <v>38.281170990398358</v>
      </c>
      <c r="X162" s="133">
        <f t="shared" si="78"/>
        <v>41.418802157670413</v>
      </c>
      <c r="Y162" s="133">
        <f t="shared" si="78"/>
        <v>44.556433324942468</v>
      </c>
      <c r="Z162" s="133">
        <f t="shared" si="78"/>
        <v>47.694064492214522</v>
      </c>
      <c r="AA162" s="168">
        <f t="shared" si="78"/>
        <v>47.694064492214522</v>
      </c>
      <c r="AB162" s="133">
        <f t="shared" si="78"/>
        <v>50</v>
      </c>
      <c r="AC162" s="133">
        <f t="shared" si="78"/>
        <v>50</v>
      </c>
      <c r="AD162" s="133">
        <f t="shared" si="78"/>
        <v>50</v>
      </c>
      <c r="AE162" s="133">
        <f t="shared" si="78"/>
        <v>50</v>
      </c>
      <c r="AF162" s="168">
        <f t="shared" si="78"/>
        <v>50</v>
      </c>
      <c r="AG162" s="133">
        <f t="shared" si="78"/>
        <v>50</v>
      </c>
      <c r="AH162" s="133">
        <f t="shared" si="78"/>
        <v>50</v>
      </c>
      <c r="AI162" s="133">
        <f t="shared" si="78"/>
        <v>50</v>
      </c>
      <c r="AJ162" s="133">
        <f t="shared" si="78"/>
        <v>50</v>
      </c>
      <c r="AK162" s="168">
        <f t="shared" si="78"/>
        <v>50</v>
      </c>
      <c r="AL162" s="133">
        <f t="shared" ref="AL162:AU162" si="79">MIN(AL158,$D$162)</f>
        <v>50</v>
      </c>
      <c r="AM162" s="133">
        <f t="shared" si="79"/>
        <v>50</v>
      </c>
      <c r="AN162" s="133">
        <f t="shared" si="79"/>
        <v>50</v>
      </c>
      <c r="AO162" s="133">
        <f t="shared" si="79"/>
        <v>50</v>
      </c>
      <c r="AP162" s="168">
        <f t="shared" si="79"/>
        <v>50</v>
      </c>
      <c r="AQ162" s="133">
        <f t="shared" si="79"/>
        <v>50</v>
      </c>
      <c r="AR162" s="133">
        <f t="shared" si="79"/>
        <v>50</v>
      </c>
      <c r="AS162" s="133">
        <f t="shared" si="79"/>
        <v>50</v>
      </c>
      <c r="AT162" s="133">
        <f t="shared" si="79"/>
        <v>50</v>
      </c>
      <c r="AU162" s="168">
        <f t="shared" si="79"/>
        <v>50</v>
      </c>
      <c r="AV162" s="23"/>
      <c r="AW162" s="23"/>
      <c r="AX162" s="23"/>
      <c r="AY162" s="23"/>
      <c r="AZ162" s="23"/>
      <c r="BA162" s="23"/>
      <c r="BB162" s="23"/>
      <c r="BC162" s="23"/>
      <c r="BD162" s="23"/>
      <c r="BE162" s="23"/>
      <c r="BF162" s="23"/>
      <c r="BG162" s="23"/>
      <c r="BH162" s="23"/>
      <c r="BI162" s="23"/>
      <c r="BJ162" s="23"/>
      <c r="BK162" s="23"/>
      <c r="BL162" s="23"/>
      <c r="BM162" s="23"/>
      <c r="BN162" s="23"/>
      <c r="BO162" s="23"/>
      <c r="BP162" s="23"/>
      <c r="BQ162" s="23"/>
      <c r="BR162" s="23"/>
      <c r="BS162" s="23"/>
      <c r="BT162" s="23"/>
      <c r="BU162" s="23"/>
      <c r="BV162" s="23"/>
      <c r="BW162" s="23"/>
      <c r="BX162" s="23"/>
      <c r="BY162" s="23"/>
      <c r="BZ162" s="23"/>
      <c r="CA162" s="133"/>
      <c r="CB162" s="133"/>
      <c r="CC162" s="133"/>
    </row>
    <row r="163" spans="3:81" s="567" customFormat="1" outlineLevel="1">
      <c r="C163" s="567" t="s">
        <v>118</v>
      </c>
      <c r="E163" s="642"/>
      <c r="F163" s="642"/>
      <c r="G163" s="642"/>
      <c r="H163" s="642"/>
      <c r="I163" s="642"/>
      <c r="J163" s="642"/>
      <c r="K163" s="642"/>
      <c r="L163" s="692"/>
      <c r="M163" s="642">
        <f>(M162-L162)*M160</f>
        <v>2.660355265657568</v>
      </c>
      <c r="N163" s="642">
        <f>(N162-M162)*N160</f>
        <v>2.660355265657568</v>
      </c>
      <c r="O163" s="642">
        <f>(O162-N162)*O160</f>
        <v>2.660355265657568</v>
      </c>
      <c r="P163" s="642">
        <f>(P162-O162)*P160</f>
        <v>2.660355265657568</v>
      </c>
      <c r="Q163" s="692">
        <f>SUM(M163:P163)</f>
        <v>10.641421062630272</v>
      </c>
      <c r="R163" s="642">
        <f>(R162-Q162)*R160</f>
        <v>6.1255296901240079</v>
      </c>
      <c r="S163" s="642">
        <f>(S162-R162)*S160</f>
        <v>6.1255296901240079</v>
      </c>
      <c r="T163" s="642">
        <f>(T162-S162)*T160</f>
        <v>6.1255296901240079</v>
      </c>
      <c r="U163" s="642">
        <f>(U162-T162)*U160</f>
        <v>6.1255296901240079</v>
      </c>
      <c r="V163" s="692">
        <f>SUM(R163:U163)</f>
        <v>24.502118760496032</v>
      </c>
      <c r="W163" s="642">
        <f>(W162-V162)*W160</f>
        <v>3.1376311672720547</v>
      </c>
      <c r="X163" s="642">
        <f>(X162-W162)*X160</f>
        <v>3.1376311672720547</v>
      </c>
      <c r="Y163" s="642">
        <f>(Y162-X162)*Y160</f>
        <v>3.1376311672720547</v>
      </c>
      <c r="Z163" s="642">
        <f>(Z162-Y162)*Z160</f>
        <v>3.1376311672720547</v>
      </c>
      <c r="AA163" s="692">
        <f>SUM(W163:Z163)</f>
        <v>12.550524669088219</v>
      </c>
      <c r="AB163" s="642">
        <f>(AB162-AA162)*AB160</f>
        <v>0</v>
      </c>
      <c r="AC163" s="642">
        <f>(AC162-AB162)*AC160</f>
        <v>0</v>
      </c>
      <c r="AD163" s="642">
        <f>(AD162-AC162)*AD160</f>
        <v>0</v>
      </c>
      <c r="AE163" s="642">
        <f>(AE162-AD162)*AE160</f>
        <v>0</v>
      </c>
      <c r="AF163" s="692">
        <f>SUM(AB163:AE163)</f>
        <v>0</v>
      </c>
      <c r="AG163" s="642">
        <f>(AG162-AF162)*AG160</f>
        <v>0</v>
      </c>
      <c r="AH163" s="642">
        <f>(AH162-AG162)*AH160</f>
        <v>0</v>
      </c>
      <c r="AI163" s="642">
        <f>(AI162-AH162)*AI160</f>
        <v>0</v>
      </c>
      <c r="AJ163" s="642">
        <f>(AJ162-AI162)*AJ160</f>
        <v>0</v>
      </c>
      <c r="AK163" s="692">
        <f>SUM(AG163:AJ163)</f>
        <v>0</v>
      </c>
      <c r="AL163" s="642">
        <f>(AL162-AK162)*AL160</f>
        <v>0</v>
      </c>
      <c r="AM163" s="642">
        <f>(AM162-AL162)*AM160</f>
        <v>0</v>
      </c>
      <c r="AN163" s="642">
        <f>(AN162-AM162)*AN160</f>
        <v>0</v>
      </c>
      <c r="AO163" s="642">
        <f>(AO162-AN162)*AO160</f>
        <v>0</v>
      </c>
      <c r="AP163" s="692">
        <f>SUM(AL163:AO163)</f>
        <v>0</v>
      </c>
      <c r="AQ163" s="642">
        <f>(AQ162-AP162)*AQ160</f>
        <v>0</v>
      </c>
      <c r="AR163" s="642">
        <f>(AR162-AQ162)*AR160</f>
        <v>0</v>
      </c>
      <c r="AS163" s="642">
        <f>(AS162-AR162)*AS160</f>
        <v>0</v>
      </c>
      <c r="AT163" s="642">
        <f>(AT162-AS162)*AT160</f>
        <v>0</v>
      </c>
      <c r="AU163" s="692">
        <f>SUM(AQ163:AT163)</f>
        <v>0</v>
      </c>
      <c r="AV163" s="540"/>
      <c r="AW163" s="540"/>
      <c r="AX163" s="540"/>
      <c r="AY163" s="540"/>
      <c r="AZ163" s="540"/>
      <c r="BA163" s="540"/>
      <c r="BB163" s="540"/>
      <c r="BC163" s="540"/>
      <c r="BD163" s="540"/>
      <c r="BE163" s="540"/>
      <c r="BF163" s="540"/>
      <c r="BG163" s="540"/>
      <c r="BH163" s="540"/>
      <c r="BI163" s="540"/>
      <c r="BJ163" s="540"/>
      <c r="BK163" s="540"/>
      <c r="BL163" s="540"/>
      <c r="BM163" s="540"/>
      <c r="BN163" s="540"/>
      <c r="BO163" s="540"/>
      <c r="BP163" s="540"/>
      <c r="BQ163" s="540"/>
      <c r="BR163" s="540"/>
      <c r="BS163" s="540"/>
      <c r="BT163" s="540"/>
      <c r="BU163" s="540"/>
      <c r="BV163" s="540"/>
      <c r="BW163" s="540"/>
      <c r="BX163" s="540"/>
      <c r="BY163" s="540"/>
      <c r="BZ163" s="540"/>
      <c r="CA163" s="642"/>
      <c r="CB163" s="642"/>
      <c r="CC163" s="642"/>
    </row>
    <row r="164" spans="3:81" s="27" customFormat="1" outlineLevel="1">
      <c r="C164" s="27" t="s">
        <v>265</v>
      </c>
      <c r="E164" s="133"/>
      <c r="F164" s="133"/>
      <c r="G164" s="133"/>
      <c r="H164" s="133"/>
      <c r="I164" s="133"/>
      <c r="J164" s="133"/>
      <c r="K164" s="133"/>
      <c r="L164" s="168"/>
      <c r="M164" s="133">
        <f t="shared" ref="M164:AK164" si="80">$D$162-M162</f>
        <v>47.339644734342428</v>
      </c>
      <c r="N164" s="133">
        <f t="shared" si="80"/>
        <v>44.679289468684864</v>
      </c>
      <c r="O164" s="133">
        <f t="shared" si="80"/>
        <v>42.0189342030273</v>
      </c>
      <c r="P164" s="133">
        <f t="shared" si="80"/>
        <v>39.358578937369728</v>
      </c>
      <c r="Q164" s="168">
        <f t="shared" si="80"/>
        <v>39.358578937369728</v>
      </c>
      <c r="R164" s="133">
        <f t="shared" si="80"/>
        <v>33.233049247245717</v>
      </c>
      <c r="S164" s="133">
        <f t="shared" si="80"/>
        <v>27.107519557121712</v>
      </c>
      <c r="T164" s="133">
        <f t="shared" si="80"/>
        <v>20.981989866997704</v>
      </c>
      <c r="U164" s="133">
        <f t="shared" si="80"/>
        <v>14.856460176873696</v>
      </c>
      <c r="V164" s="168">
        <f t="shared" si="80"/>
        <v>14.856460176873696</v>
      </c>
      <c r="W164" s="133">
        <f t="shared" si="80"/>
        <v>11.718829009601642</v>
      </c>
      <c r="X164" s="133">
        <f t="shared" si="80"/>
        <v>8.5811978423295869</v>
      </c>
      <c r="Y164" s="133">
        <f t="shared" si="80"/>
        <v>5.4435666750575322</v>
      </c>
      <c r="Z164" s="133">
        <f t="shared" si="80"/>
        <v>2.3059355077854775</v>
      </c>
      <c r="AA164" s="168">
        <f t="shared" si="80"/>
        <v>2.3059355077854775</v>
      </c>
      <c r="AB164" s="133">
        <f t="shared" si="80"/>
        <v>0</v>
      </c>
      <c r="AC164" s="133">
        <f t="shared" si="80"/>
        <v>0</v>
      </c>
      <c r="AD164" s="133">
        <f t="shared" si="80"/>
        <v>0</v>
      </c>
      <c r="AE164" s="133">
        <f t="shared" si="80"/>
        <v>0</v>
      </c>
      <c r="AF164" s="168">
        <f t="shared" si="80"/>
        <v>0</v>
      </c>
      <c r="AG164" s="133">
        <f t="shared" si="80"/>
        <v>0</v>
      </c>
      <c r="AH164" s="133">
        <f t="shared" si="80"/>
        <v>0</v>
      </c>
      <c r="AI164" s="133">
        <f t="shared" si="80"/>
        <v>0</v>
      </c>
      <c r="AJ164" s="133">
        <f t="shared" si="80"/>
        <v>0</v>
      </c>
      <c r="AK164" s="168">
        <f t="shared" si="80"/>
        <v>0</v>
      </c>
      <c r="AL164" s="133">
        <f t="shared" ref="AL164:AU164" si="81">$D$162-AL162</f>
        <v>0</v>
      </c>
      <c r="AM164" s="133">
        <f t="shared" si="81"/>
        <v>0</v>
      </c>
      <c r="AN164" s="133">
        <f t="shared" si="81"/>
        <v>0</v>
      </c>
      <c r="AO164" s="133">
        <f t="shared" si="81"/>
        <v>0</v>
      </c>
      <c r="AP164" s="168">
        <f t="shared" si="81"/>
        <v>0</v>
      </c>
      <c r="AQ164" s="133">
        <f t="shared" si="81"/>
        <v>0</v>
      </c>
      <c r="AR164" s="133">
        <f t="shared" si="81"/>
        <v>0</v>
      </c>
      <c r="AS164" s="133">
        <f t="shared" si="81"/>
        <v>0</v>
      </c>
      <c r="AT164" s="133">
        <f t="shared" si="81"/>
        <v>0</v>
      </c>
      <c r="AU164" s="168">
        <f t="shared" si="81"/>
        <v>0</v>
      </c>
      <c r="AV164" s="23"/>
      <c r="AW164" s="23"/>
      <c r="AX164" s="23"/>
      <c r="AY164" s="23"/>
      <c r="AZ164" s="23"/>
      <c r="BA164" s="23"/>
      <c r="BB164" s="23"/>
      <c r="BC164" s="23"/>
      <c r="BD164" s="23"/>
      <c r="BE164" s="23"/>
      <c r="BF164" s="23"/>
      <c r="BG164" s="23"/>
      <c r="BH164" s="23"/>
      <c r="BI164" s="23"/>
      <c r="BJ164" s="23"/>
      <c r="BK164" s="23"/>
      <c r="BL164" s="23"/>
      <c r="BM164" s="23"/>
      <c r="BN164" s="23"/>
      <c r="BO164" s="23"/>
      <c r="BP164" s="23"/>
      <c r="BQ164" s="23"/>
      <c r="BR164" s="23"/>
      <c r="BS164" s="23"/>
      <c r="BT164" s="23"/>
      <c r="BU164" s="23"/>
      <c r="BV164" s="23"/>
      <c r="BW164" s="23"/>
      <c r="BX164" s="23"/>
      <c r="BY164" s="23"/>
      <c r="BZ164" s="23"/>
      <c r="CA164" s="133"/>
      <c r="CB164" s="133"/>
      <c r="CC164" s="133"/>
    </row>
    <row r="165" spans="3:81" s="27" customFormat="1" outlineLevel="1">
      <c r="E165" s="133"/>
      <c r="F165" s="133"/>
      <c r="G165" s="133"/>
      <c r="H165" s="133"/>
      <c r="I165" s="133"/>
      <c r="J165" s="133"/>
      <c r="K165" s="133"/>
      <c r="L165" s="168"/>
      <c r="M165" s="133"/>
      <c r="N165" s="133"/>
      <c r="O165" s="133"/>
      <c r="P165" s="133"/>
      <c r="Q165" s="168"/>
      <c r="R165" s="133"/>
      <c r="S165" s="133"/>
      <c r="T165" s="133"/>
      <c r="U165" s="133"/>
      <c r="V165" s="168"/>
      <c r="W165" s="133"/>
      <c r="X165" s="133"/>
      <c r="Y165" s="133"/>
      <c r="Z165" s="133"/>
      <c r="AA165" s="168"/>
      <c r="AB165" s="133"/>
      <c r="AC165" s="133"/>
      <c r="AD165" s="133"/>
      <c r="AE165" s="133"/>
      <c r="AF165" s="168"/>
      <c r="AG165" s="133"/>
      <c r="AH165" s="133"/>
      <c r="AI165" s="133"/>
      <c r="AJ165" s="133"/>
      <c r="AK165" s="168"/>
      <c r="AL165" s="133"/>
      <c r="AM165" s="133"/>
      <c r="AN165" s="133"/>
      <c r="AO165" s="133"/>
      <c r="AP165" s="168"/>
      <c r="AQ165" s="133"/>
      <c r="AR165" s="133"/>
      <c r="AS165" s="133"/>
      <c r="AT165" s="133"/>
      <c r="AU165" s="168"/>
      <c r="AV165" s="23"/>
      <c r="AW165" s="23"/>
      <c r="AX165" s="23"/>
      <c r="AY165" s="23"/>
      <c r="AZ165" s="23"/>
      <c r="BA165" s="23"/>
      <c r="BB165" s="23"/>
      <c r="BC165" s="23"/>
      <c r="BD165" s="23"/>
      <c r="BE165" s="23"/>
      <c r="BF165" s="23"/>
      <c r="BG165" s="23"/>
      <c r="BH165" s="23"/>
      <c r="BI165" s="23"/>
      <c r="BJ165" s="23"/>
      <c r="BK165" s="23"/>
      <c r="BL165" s="23"/>
      <c r="BM165" s="23"/>
      <c r="BN165" s="23"/>
      <c r="BO165" s="23"/>
      <c r="BP165" s="23"/>
      <c r="BQ165" s="23"/>
      <c r="BR165" s="23"/>
      <c r="BS165" s="23"/>
      <c r="BT165" s="23"/>
      <c r="BU165" s="23"/>
      <c r="BV165" s="23"/>
      <c r="BW165" s="23"/>
      <c r="BX165" s="23"/>
      <c r="BY165" s="23"/>
      <c r="BZ165" s="23"/>
      <c r="CA165" s="133"/>
      <c r="CB165" s="133"/>
      <c r="CC165" s="133"/>
    </row>
    <row r="166" spans="3:81" s="27" customFormat="1" outlineLevel="1">
      <c r="C166" s="80" t="s">
        <v>115</v>
      </c>
      <c r="D166" s="200">
        <f>SUM(E166:AK166)</f>
        <v>0</v>
      </c>
      <c r="E166" s="133"/>
      <c r="F166" s="133"/>
      <c r="G166" s="133"/>
      <c r="H166" s="199"/>
      <c r="I166" s="199"/>
      <c r="J166" s="199"/>
      <c r="K166" s="199"/>
      <c r="L166" s="168"/>
      <c r="M166" s="200">
        <f>'Debt Structure'!D106</f>
        <v>0</v>
      </c>
      <c r="N166" s="200">
        <f>'Debt Structure'!D107</f>
        <v>0</v>
      </c>
      <c r="O166" s="200">
        <f>'Debt Structure'!D108</f>
        <v>0</v>
      </c>
      <c r="P166" s="200">
        <f>'Debt Structure'!D109</f>
        <v>0</v>
      </c>
      <c r="Q166" s="168"/>
      <c r="R166" s="200">
        <f>'Debt Structure'!D110</f>
        <v>0</v>
      </c>
      <c r="S166" s="200">
        <f>'Debt Structure'!D111</f>
        <v>0</v>
      </c>
      <c r="T166" s="200">
        <f>'Debt Structure'!D112</f>
        <v>0</v>
      </c>
      <c r="U166" s="200">
        <f>'Debt Structure'!D113</f>
        <v>0</v>
      </c>
      <c r="V166" s="168"/>
      <c r="W166" s="200">
        <f>'Debt Structure'!D114</f>
        <v>0</v>
      </c>
      <c r="X166" s="200">
        <f>'Debt Structure'!D115</f>
        <v>0</v>
      </c>
      <c r="Y166" s="200">
        <f>'Debt Structure'!D116</f>
        <v>0</v>
      </c>
      <c r="Z166" s="200">
        <f>'Debt Structure'!D117</f>
        <v>0</v>
      </c>
      <c r="AA166" s="168"/>
      <c r="AB166" s="200">
        <f>'Debt Structure'!D118</f>
        <v>0</v>
      </c>
      <c r="AC166" s="200">
        <f>'Debt Structure'!D119</f>
        <v>0</v>
      </c>
      <c r="AD166" s="200">
        <f>'Debt Structure'!D120</f>
        <v>0</v>
      </c>
      <c r="AE166" s="200">
        <f>'Debt Structure'!D121</f>
        <v>0</v>
      </c>
      <c r="AF166" s="168"/>
      <c r="AG166" s="200">
        <f>'Debt Structure'!D122</f>
        <v>0</v>
      </c>
      <c r="AH166" s="200">
        <f>'Debt Structure'!D123</f>
        <v>0</v>
      </c>
      <c r="AI166" s="200">
        <f>'Debt Structure'!D124</f>
        <v>0</v>
      </c>
      <c r="AJ166" s="200">
        <f>'Debt Structure'!D125</f>
        <v>0</v>
      </c>
      <c r="AK166" s="168"/>
      <c r="AL166" s="200">
        <f>+'Debt Structure'!$D$126</f>
        <v>0</v>
      </c>
      <c r="AM166" s="200">
        <f>+'Debt Structure'!$D$127</f>
        <v>0</v>
      </c>
      <c r="AN166" s="200">
        <f>+'Debt Structure'!$D$128</f>
        <v>0</v>
      </c>
      <c r="AO166" s="200">
        <f>+'Debt Structure'!$D$129</f>
        <v>0</v>
      </c>
      <c r="AP166" s="168"/>
      <c r="AQ166" s="200">
        <f>+'Debt Structure'!$D$130</f>
        <v>0</v>
      </c>
      <c r="AR166" s="200">
        <f>+'Debt Structure'!$D$131</f>
        <v>0</v>
      </c>
      <c r="AS166" s="200">
        <f>+'Debt Structure'!$D$132</f>
        <v>0</v>
      </c>
      <c r="AT166" s="200">
        <f>+'Debt Structure'!$D$133</f>
        <v>1</v>
      </c>
      <c r="AU166" s="168"/>
      <c r="AV166" s="23"/>
      <c r="AW166" s="23"/>
      <c r="AX166" s="23"/>
      <c r="AY166" s="23"/>
      <c r="AZ166" s="23"/>
      <c r="BA166" s="23"/>
      <c r="BB166" s="23"/>
      <c r="BC166" s="23"/>
      <c r="BD166" s="23"/>
      <c r="BE166" s="23"/>
      <c r="BF166" s="23"/>
      <c r="BG166" s="23"/>
      <c r="BH166" s="23"/>
      <c r="BI166" s="23"/>
      <c r="BJ166" s="23"/>
      <c r="BK166" s="23"/>
      <c r="BL166" s="23"/>
      <c r="BM166" s="23"/>
      <c r="BN166" s="23"/>
      <c r="BO166" s="23"/>
      <c r="BP166" s="23"/>
      <c r="BQ166" s="23"/>
      <c r="BR166" s="23"/>
      <c r="BS166" s="23"/>
      <c r="BT166" s="23"/>
      <c r="BU166" s="23"/>
      <c r="BV166" s="23"/>
      <c r="BW166" s="23"/>
      <c r="BX166" s="23"/>
      <c r="BY166" s="23"/>
      <c r="BZ166" s="23"/>
      <c r="CA166" s="133"/>
      <c r="CB166" s="133"/>
      <c r="CC166" s="133"/>
    </row>
    <row r="167" spans="3:81" s="83" customFormat="1" outlineLevel="1">
      <c r="C167" s="201" t="s">
        <v>116</v>
      </c>
      <c r="E167" s="202"/>
      <c r="F167" s="202"/>
      <c r="G167" s="202"/>
      <c r="H167" s="202"/>
      <c r="I167" s="202"/>
      <c r="J167" s="202"/>
      <c r="K167" s="202"/>
      <c r="L167" s="203"/>
      <c r="M167" s="202">
        <f>L170</f>
        <v>0</v>
      </c>
      <c r="N167" s="202">
        <f>M170</f>
        <v>2.660355265657568</v>
      </c>
      <c r="O167" s="202">
        <f>N170</f>
        <v>5.3207105313151359</v>
      </c>
      <c r="P167" s="202">
        <f>O170</f>
        <v>7.9810657969727039</v>
      </c>
      <c r="Q167" s="203">
        <f>L170</f>
        <v>0</v>
      </c>
      <c r="R167" s="202">
        <f>Q170</f>
        <v>10.641421062630272</v>
      </c>
      <c r="S167" s="202">
        <f>R170</f>
        <v>16.76695075275428</v>
      </c>
      <c r="T167" s="202">
        <f>S170</f>
        <v>22.892480442878288</v>
      </c>
      <c r="U167" s="202">
        <f>T170</f>
        <v>29.018010133002296</v>
      </c>
      <c r="V167" s="203">
        <f>Q170</f>
        <v>10.641421062630272</v>
      </c>
      <c r="W167" s="202">
        <f>V170</f>
        <v>35.143539823126304</v>
      </c>
      <c r="X167" s="202">
        <f>W170</f>
        <v>38.281170990398358</v>
      </c>
      <c r="Y167" s="202">
        <f>X170</f>
        <v>41.418802157670413</v>
      </c>
      <c r="Z167" s="202">
        <f>Y170</f>
        <v>44.556433324942468</v>
      </c>
      <c r="AA167" s="203">
        <f>V170</f>
        <v>35.143539823126304</v>
      </c>
      <c r="AB167" s="202">
        <f>AA170</f>
        <v>47.694064492214522</v>
      </c>
      <c r="AC167" s="202">
        <f>AB170</f>
        <v>47.694064492214522</v>
      </c>
      <c r="AD167" s="202">
        <f>AC170</f>
        <v>47.694064492214522</v>
      </c>
      <c r="AE167" s="202">
        <f>AD170</f>
        <v>47.694064492214522</v>
      </c>
      <c r="AF167" s="203">
        <f>AA170</f>
        <v>47.694064492214522</v>
      </c>
      <c r="AG167" s="202">
        <f>AF170</f>
        <v>47.694064492214522</v>
      </c>
      <c r="AH167" s="202">
        <f>AG170</f>
        <v>47.694064492214522</v>
      </c>
      <c r="AI167" s="202">
        <f>AH170</f>
        <v>47.694064492214522</v>
      </c>
      <c r="AJ167" s="202">
        <f>AI170</f>
        <v>47.694064492214522</v>
      </c>
      <c r="AK167" s="203">
        <f>AF170</f>
        <v>47.694064492214522</v>
      </c>
      <c r="AL167" s="202">
        <f>AK170</f>
        <v>47.694064492214522</v>
      </c>
      <c r="AM167" s="202">
        <f>AL170</f>
        <v>47.694064492214522</v>
      </c>
      <c r="AN167" s="202">
        <f>AM170</f>
        <v>47.694064492214522</v>
      </c>
      <c r="AO167" s="202">
        <f>AN170</f>
        <v>47.694064492214522</v>
      </c>
      <c r="AP167" s="203">
        <f>AK170</f>
        <v>47.694064492214522</v>
      </c>
      <c r="AQ167" s="202">
        <f>AP170</f>
        <v>47.694064492214522</v>
      </c>
      <c r="AR167" s="202">
        <f>AQ170</f>
        <v>47.694064492214522</v>
      </c>
      <c r="AS167" s="202">
        <f>AR170</f>
        <v>47.694064492214522</v>
      </c>
      <c r="AT167" s="202">
        <f>AS170</f>
        <v>47.694064492214522</v>
      </c>
      <c r="AU167" s="203">
        <f>AP170</f>
        <v>47.694064492214522</v>
      </c>
      <c r="AV167" s="23"/>
      <c r="AW167" s="23"/>
      <c r="AX167" s="23"/>
      <c r="AY167" s="23"/>
      <c r="AZ167" s="23"/>
      <c r="BA167" s="23"/>
      <c r="BB167" s="23"/>
      <c r="BC167" s="23"/>
      <c r="BD167" s="23"/>
      <c r="BE167" s="23"/>
      <c r="BF167" s="23"/>
      <c r="CA167" s="202"/>
      <c r="CB167" s="202"/>
      <c r="CC167" s="202"/>
    </row>
    <row r="168" spans="3:81" s="27" customFormat="1" outlineLevel="1">
      <c r="C168" s="204" t="s">
        <v>117</v>
      </c>
      <c r="D168" s="133"/>
      <c r="E168" s="133"/>
      <c r="F168" s="133"/>
      <c r="G168" s="133"/>
      <c r="H168" s="133"/>
      <c r="I168" s="133"/>
      <c r="J168" s="133"/>
      <c r="K168" s="133"/>
      <c r="L168" s="206"/>
      <c r="M168" s="133">
        <f>-M166*$D$169</f>
        <v>0</v>
      </c>
      <c r="N168" s="133">
        <f>-N166*$D$169</f>
        <v>0</v>
      </c>
      <c r="O168" s="133">
        <f>-O166*$D$169</f>
        <v>0</v>
      </c>
      <c r="P168" s="133">
        <f>-P166*$D$169</f>
        <v>0</v>
      </c>
      <c r="Q168" s="206">
        <f>SUM(M168:P168)</f>
        <v>0</v>
      </c>
      <c r="R168" s="133">
        <f>-R166*$D$169</f>
        <v>0</v>
      </c>
      <c r="S168" s="133">
        <f>-S166*$D$169</f>
        <v>0</v>
      </c>
      <c r="T168" s="133">
        <f>-T166*$D$169</f>
        <v>0</v>
      </c>
      <c r="U168" s="133">
        <f>-U166*$D$169</f>
        <v>0</v>
      </c>
      <c r="V168" s="206">
        <f>SUM(R168:U168)</f>
        <v>0</v>
      </c>
      <c r="W168" s="133">
        <f>-W166*$D$169</f>
        <v>0</v>
      </c>
      <c r="X168" s="133">
        <f>-X166*$D$169</f>
        <v>0</v>
      </c>
      <c r="Y168" s="133">
        <f>-Y166*$D$169</f>
        <v>0</v>
      </c>
      <c r="Z168" s="133">
        <f>-Z166*$D$169</f>
        <v>0</v>
      </c>
      <c r="AA168" s="206">
        <f>SUM(W168:Z168)</f>
        <v>0</v>
      </c>
      <c r="AB168" s="133">
        <f>-AB166*$D$169</f>
        <v>0</v>
      </c>
      <c r="AC168" s="133">
        <f>-AC166*$D$169</f>
        <v>0</v>
      </c>
      <c r="AD168" s="133">
        <f>-AD166*$D$169</f>
        <v>0</v>
      </c>
      <c r="AE168" s="133">
        <f>-AE166*$D$169</f>
        <v>0</v>
      </c>
      <c r="AF168" s="206">
        <f>SUM(AB168:AE168)</f>
        <v>0</v>
      </c>
      <c r="AG168" s="133">
        <f>-AG166*$D$169</f>
        <v>0</v>
      </c>
      <c r="AH168" s="133">
        <f>-AH166*$D$169</f>
        <v>0</v>
      </c>
      <c r="AI168" s="133">
        <f>-AI166*$D$169</f>
        <v>0</v>
      </c>
      <c r="AJ168" s="133">
        <f>-AJ166*$D$169</f>
        <v>0</v>
      </c>
      <c r="AK168" s="206">
        <f>SUM(AG168:AJ168)</f>
        <v>0</v>
      </c>
      <c r="AL168" s="133">
        <f>-AL166*$D$169</f>
        <v>0</v>
      </c>
      <c r="AM168" s="133">
        <f>-AM166*$D$169</f>
        <v>0</v>
      </c>
      <c r="AN168" s="133">
        <f>-AN166*$D$169</f>
        <v>0</v>
      </c>
      <c r="AO168" s="133">
        <f>-AO166*$D$169</f>
        <v>0</v>
      </c>
      <c r="AP168" s="206">
        <f>SUM(AL168:AO168)</f>
        <v>0</v>
      </c>
      <c r="AQ168" s="133">
        <f>-AQ166*$D$169</f>
        <v>0</v>
      </c>
      <c r="AR168" s="133">
        <f>-AR166*$D$169</f>
        <v>0</v>
      </c>
      <c r="AS168" s="133">
        <f>-AS166*$D$169</f>
        <v>0</v>
      </c>
      <c r="AT168" s="133">
        <f>-AT166*$D$169</f>
        <v>-47.694064492214522</v>
      </c>
      <c r="AU168" s="206">
        <f>SUM(AQ168:AT168)</f>
        <v>-47.694064492214522</v>
      </c>
      <c r="AV168" s="23"/>
      <c r="AW168" s="23"/>
      <c r="AX168" s="23"/>
      <c r="AY168" s="23"/>
      <c r="AZ168" s="23"/>
      <c r="BA168" s="23"/>
      <c r="BB168" s="23"/>
      <c r="BC168" s="23"/>
      <c r="BD168" s="23"/>
      <c r="BE168" s="23"/>
      <c r="BF168" s="23"/>
      <c r="BG168" s="23"/>
      <c r="BH168" s="23"/>
      <c r="BI168" s="23"/>
      <c r="BJ168" s="23"/>
      <c r="BK168" s="23"/>
      <c r="BL168" s="23"/>
      <c r="BM168" s="23"/>
      <c r="BN168" s="23"/>
      <c r="BO168" s="23"/>
      <c r="BP168" s="23"/>
      <c r="BQ168" s="23"/>
      <c r="BR168" s="23"/>
      <c r="BS168" s="23"/>
      <c r="BT168" s="23"/>
      <c r="BU168" s="23"/>
      <c r="BV168" s="23"/>
      <c r="BW168" s="23"/>
      <c r="BX168" s="23"/>
      <c r="BY168" s="23"/>
      <c r="BZ168" s="23"/>
      <c r="CA168" s="133"/>
      <c r="CB168" s="133"/>
      <c r="CC168" s="133"/>
    </row>
    <row r="169" spans="3:81" s="27" customFormat="1" outlineLevel="1">
      <c r="C169" s="80" t="s">
        <v>118</v>
      </c>
      <c r="D169" s="223">
        <f>SUM(M169:P169,R169:U169,W169:Z169,AB169:AE169,AG169:AJ169)</f>
        <v>47.694064492214522</v>
      </c>
      <c r="E169" s="133"/>
      <c r="F169" s="133"/>
      <c r="G169" s="133"/>
      <c r="H169" s="133"/>
      <c r="I169" s="133"/>
      <c r="J169" s="133"/>
      <c r="K169" s="181"/>
      <c r="L169" s="206"/>
      <c r="M169" s="133">
        <f>M163</f>
        <v>2.660355265657568</v>
      </c>
      <c r="N169" s="133">
        <f t="shared" ref="N169:AK169" si="82">N163</f>
        <v>2.660355265657568</v>
      </c>
      <c r="O169" s="133">
        <f t="shared" si="82"/>
        <v>2.660355265657568</v>
      </c>
      <c r="P169" s="133">
        <f t="shared" si="82"/>
        <v>2.660355265657568</v>
      </c>
      <c r="Q169" s="206">
        <f t="shared" si="82"/>
        <v>10.641421062630272</v>
      </c>
      <c r="R169" s="133">
        <f t="shared" si="82"/>
        <v>6.1255296901240079</v>
      </c>
      <c r="S169" s="133">
        <f t="shared" si="82"/>
        <v>6.1255296901240079</v>
      </c>
      <c r="T169" s="133">
        <f t="shared" si="82"/>
        <v>6.1255296901240079</v>
      </c>
      <c r="U169" s="133">
        <f t="shared" si="82"/>
        <v>6.1255296901240079</v>
      </c>
      <c r="V169" s="206">
        <f t="shared" si="82"/>
        <v>24.502118760496032</v>
      </c>
      <c r="W169" s="133">
        <f t="shared" si="82"/>
        <v>3.1376311672720547</v>
      </c>
      <c r="X169" s="133">
        <f t="shared" si="82"/>
        <v>3.1376311672720547</v>
      </c>
      <c r="Y169" s="133">
        <f t="shared" si="82"/>
        <v>3.1376311672720547</v>
      </c>
      <c r="Z169" s="133">
        <f t="shared" si="82"/>
        <v>3.1376311672720547</v>
      </c>
      <c r="AA169" s="206">
        <f t="shared" si="82"/>
        <v>12.550524669088219</v>
      </c>
      <c r="AB169" s="133">
        <f t="shared" si="82"/>
        <v>0</v>
      </c>
      <c r="AC169" s="133">
        <f t="shared" si="82"/>
        <v>0</v>
      </c>
      <c r="AD169" s="133">
        <f t="shared" si="82"/>
        <v>0</v>
      </c>
      <c r="AE169" s="133">
        <f t="shared" si="82"/>
        <v>0</v>
      </c>
      <c r="AF169" s="206">
        <f t="shared" si="82"/>
        <v>0</v>
      </c>
      <c r="AG169" s="133">
        <f t="shared" si="82"/>
        <v>0</v>
      </c>
      <c r="AH169" s="133">
        <f t="shared" si="82"/>
        <v>0</v>
      </c>
      <c r="AI169" s="133">
        <f t="shared" si="82"/>
        <v>0</v>
      </c>
      <c r="AJ169" s="133">
        <f t="shared" si="82"/>
        <v>0</v>
      </c>
      <c r="AK169" s="206">
        <f t="shared" si="82"/>
        <v>0</v>
      </c>
      <c r="AL169" s="133">
        <f t="shared" ref="AL169:AU169" si="83">AL163</f>
        <v>0</v>
      </c>
      <c r="AM169" s="133">
        <f t="shared" si="83"/>
        <v>0</v>
      </c>
      <c r="AN169" s="133">
        <f t="shared" si="83"/>
        <v>0</v>
      </c>
      <c r="AO169" s="133">
        <f t="shared" si="83"/>
        <v>0</v>
      </c>
      <c r="AP169" s="206">
        <f t="shared" si="83"/>
        <v>0</v>
      </c>
      <c r="AQ169" s="133">
        <f t="shared" si="83"/>
        <v>0</v>
      </c>
      <c r="AR169" s="133">
        <f t="shared" si="83"/>
        <v>0</v>
      </c>
      <c r="AS169" s="133">
        <f t="shared" si="83"/>
        <v>0</v>
      </c>
      <c r="AT169" s="133">
        <f t="shared" si="83"/>
        <v>0</v>
      </c>
      <c r="AU169" s="206">
        <f t="shared" si="83"/>
        <v>0</v>
      </c>
      <c r="AV169" s="23"/>
      <c r="AW169" s="23"/>
      <c r="AX169" s="23"/>
      <c r="AY169" s="23"/>
      <c r="AZ169" s="23"/>
      <c r="BA169" s="23"/>
      <c r="BB169" s="23"/>
      <c r="BC169" s="23"/>
      <c r="BD169" s="23"/>
      <c r="BE169" s="23"/>
      <c r="BF169" s="23"/>
      <c r="BG169" s="23"/>
      <c r="BH169" s="23"/>
      <c r="BI169" s="23"/>
      <c r="BJ169" s="23"/>
      <c r="BK169" s="23"/>
      <c r="BL169" s="23"/>
      <c r="BM169" s="23"/>
      <c r="BN169" s="23"/>
      <c r="BO169" s="23"/>
      <c r="BP169" s="23"/>
      <c r="BQ169" s="23"/>
      <c r="BR169" s="23"/>
      <c r="BS169" s="23"/>
      <c r="BT169" s="23"/>
      <c r="BU169" s="23"/>
      <c r="BV169" s="23"/>
      <c r="BW169" s="23"/>
      <c r="BX169" s="23"/>
      <c r="BY169" s="23"/>
      <c r="BZ169" s="23"/>
      <c r="CA169" s="133"/>
      <c r="CB169" s="133"/>
      <c r="CC169" s="133"/>
    </row>
    <row r="170" spans="3:81" s="84" customFormat="1" outlineLevel="1">
      <c r="C170" s="193" t="s">
        <v>119</v>
      </c>
      <c r="D170" s="132"/>
      <c r="E170" s="132"/>
      <c r="F170" s="132"/>
      <c r="G170" s="132"/>
      <c r="H170" s="132"/>
      <c r="I170" s="132"/>
      <c r="J170" s="132"/>
      <c r="K170" s="132"/>
      <c r="L170" s="206"/>
      <c r="M170" s="132">
        <f t="shared" ref="M170:AK170" si="84">M167+M168+M169</f>
        <v>2.660355265657568</v>
      </c>
      <c r="N170" s="132">
        <f t="shared" si="84"/>
        <v>5.3207105313151359</v>
      </c>
      <c r="O170" s="132">
        <f t="shared" si="84"/>
        <v>7.9810657969727039</v>
      </c>
      <c r="P170" s="132">
        <f t="shared" si="84"/>
        <v>10.641421062630272</v>
      </c>
      <c r="Q170" s="203">
        <f t="shared" si="84"/>
        <v>10.641421062630272</v>
      </c>
      <c r="R170" s="132">
        <f t="shared" si="84"/>
        <v>16.76695075275428</v>
      </c>
      <c r="S170" s="132">
        <f t="shared" si="84"/>
        <v>22.892480442878288</v>
      </c>
      <c r="T170" s="132">
        <f t="shared" si="84"/>
        <v>29.018010133002296</v>
      </c>
      <c r="U170" s="132">
        <f t="shared" si="84"/>
        <v>35.143539823126304</v>
      </c>
      <c r="V170" s="203">
        <f t="shared" si="84"/>
        <v>35.143539823126304</v>
      </c>
      <c r="W170" s="132">
        <f t="shared" si="84"/>
        <v>38.281170990398358</v>
      </c>
      <c r="X170" s="132">
        <f t="shared" si="84"/>
        <v>41.418802157670413</v>
      </c>
      <c r="Y170" s="132">
        <f t="shared" si="84"/>
        <v>44.556433324942468</v>
      </c>
      <c r="Z170" s="132">
        <f t="shared" si="84"/>
        <v>47.694064492214522</v>
      </c>
      <c r="AA170" s="203">
        <f t="shared" si="84"/>
        <v>47.694064492214522</v>
      </c>
      <c r="AB170" s="132">
        <f t="shared" si="84"/>
        <v>47.694064492214522</v>
      </c>
      <c r="AC170" s="132">
        <f t="shared" si="84"/>
        <v>47.694064492214522</v>
      </c>
      <c r="AD170" s="132">
        <f t="shared" si="84"/>
        <v>47.694064492214522</v>
      </c>
      <c r="AE170" s="132">
        <f t="shared" si="84"/>
        <v>47.694064492214522</v>
      </c>
      <c r="AF170" s="203">
        <f t="shared" si="84"/>
        <v>47.694064492214522</v>
      </c>
      <c r="AG170" s="132">
        <f t="shared" si="84"/>
        <v>47.694064492214522</v>
      </c>
      <c r="AH170" s="132">
        <f t="shared" si="84"/>
        <v>47.694064492214522</v>
      </c>
      <c r="AI170" s="132">
        <f t="shared" si="84"/>
        <v>47.694064492214522</v>
      </c>
      <c r="AJ170" s="132">
        <f t="shared" si="84"/>
        <v>47.694064492214522</v>
      </c>
      <c r="AK170" s="203">
        <f t="shared" si="84"/>
        <v>47.694064492214522</v>
      </c>
      <c r="AL170" s="132">
        <f t="shared" ref="AL170:AU170" si="85">AL167+AL168+AL169</f>
        <v>47.694064492214522</v>
      </c>
      <c r="AM170" s="132">
        <f t="shared" si="85"/>
        <v>47.694064492214522</v>
      </c>
      <c r="AN170" s="132">
        <f t="shared" si="85"/>
        <v>47.694064492214522</v>
      </c>
      <c r="AO170" s="132">
        <f t="shared" si="85"/>
        <v>47.694064492214522</v>
      </c>
      <c r="AP170" s="203">
        <f t="shared" si="85"/>
        <v>47.694064492214522</v>
      </c>
      <c r="AQ170" s="132">
        <f t="shared" si="85"/>
        <v>47.694064492214522</v>
      </c>
      <c r="AR170" s="132">
        <f t="shared" si="85"/>
        <v>47.694064492214522</v>
      </c>
      <c r="AS170" s="132">
        <f t="shared" si="85"/>
        <v>47.694064492214522</v>
      </c>
      <c r="AT170" s="132">
        <f t="shared" si="85"/>
        <v>0</v>
      </c>
      <c r="AU170" s="203">
        <f t="shared" si="85"/>
        <v>0</v>
      </c>
      <c r="AV170" s="23"/>
      <c r="AW170" s="23"/>
      <c r="AX170" s="23"/>
      <c r="AY170" s="23"/>
      <c r="AZ170" s="23"/>
      <c r="BA170" s="23"/>
      <c r="BB170" s="23"/>
      <c r="BC170" s="23"/>
      <c r="BD170" s="23"/>
      <c r="BE170" s="23"/>
      <c r="BF170" s="23"/>
      <c r="CA170" s="132"/>
      <c r="CB170" s="132"/>
      <c r="CC170" s="132"/>
    </row>
    <row r="171" spans="3:81" s="27" customFormat="1" outlineLevel="1">
      <c r="C171" s="193"/>
      <c r="E171" s="133"/>
      <c r="F171" s="133"/>
      <c r="G171" s="133"/>
      <c r="H171" s="133"/>
      <c r="I171" s="133"/>
      <c r="J171" s="133"/>
      <c r="K171" s="133"/>
      <c r="L171" s="168"/>
      <c r="M171" s="133"/>
      <c r="N171" s="133"/>
      <c r="O171" s="133"/>
      <c r="P171" s="133"/>
      <c r="Q171" s="168"/>
      <c r="R171" s="133"/>
      <c r="S171" s="133"/>
      <c r="T171" s="133"/>
      <c r="U171" s="133"/>
      <c r="V171" s="168"/>
      <c r="W171" s="133"/>
      <c r="X171" s="133"/>
      <c r="Y171" s="133"/>
      <c r="Z171" s="133"/>
      <c r="AA171" s="168"/>
      <c r="AB171" s="133"/>
      <c r="AC171" s="133"/>
      <c r="AD171" s="133"/>
      <c r="AE171" s="133"/>
      <c r="AF171" s="168"/>
      <c r="AG171" s="133"/>
      <c r="AH171" s="133"/>
      <c r="AI171" s="133"/>
      <c r="AJ171" s="133"/>
      <c r="AK171" s="168"/>
      <c r="AL171" s="133"/>
      <c r="AM171" s="133"/>
      <c r="AN171" s="133"/>
      <c r="AO171" s="133"/>
      <c r="AP171" s="168"/>
      <c r="AQ171" s="133"/>
      <c r="AR171" s="133"/>
      <c r="AS171" s="133"/>
      <c r="AT171" s="133"/>
      <c r="AU171" s="168"/>
      <c r="AV171" s="23"/>
      <c r="AW171" s="23"/>
      <c r="AX171" s="23"/>
      <c r="AY171" s="23"/>
      <c r="AZ171" s="23"/>
      <c r="BA171" s="23"/>
      <c r="BB171" s="23"/>
      <c r="BC171" s="23"/>
      <c r="BD171" s="23"/>
      <c r="BE171" s="23"/>
      <c r="BF171" s="23"/>
      <c r="BG171" s="23"/>
      <c r="BH171" s="23"/>
      <c r="BI171" s="23"/>
      <c r="BJ171" s="23"/>
      <c r="BK171" s="23"/>
      <c r="BL171" s="23"/>
      <c r="BM171" s="23"/>
      <c r="BN171" s="23"/>
      <c r="BO171" s="23"/>
      <c r="BP171" s="23"/>
      <c r="BQ171" s="23"/>
      <c r="BR171" s="23"/>
      <c r="BS171" s="23"/>
      <c r="BT171" s="23"/>
      <c r="BU171" s="23"/>
      <c r="BV171" s="23"/>
      <c r="BW171" s="23"/>
      <c r="BX171" s="23"/>
      <c r="BY171" s="23"/>
      <c r="BZ171" s="23"/>
      <c r="CA171" s="133"/>
      <c r="CB171" s="133"/>
      <c r="CC171" s="133"/>
    </row>
    <row r="172" spans="3:81" s="27" customFormat="1" outlineLevel="1">
      <c r="C172" s="209" t="s">
        <v>120</v>
      </c>
      <c r="D172" s="170"/>
      <c r="E172" s="166"/>
      <c r="F172" s="166"/>
      <c r="G172" s="166"/>
      <c r="H172" s="171"/>
      <c r="I172" s="171"/>
      <c r="J172" s="171"/>
      <c r="K172" s="171"/>
      <c r="L172" s="189"/>
      <c r="M172" s="171">
        <f>(-M174*AVERAGE(M167,M170))</f>
        <v>-1.66272204103598E-2</v>
      </c>
      <c r="N172" s="171">
        <f>(-N174*AVERAGE(N167,N170))</f>
        <v>-4.9881661231079399E-2</v>
      </c>
      <c r="O172" s="171">
        <f>(-O174*AVERAGE(O167,O170))</f>
        <v>-8.3136102051798999E-2</v>
      </c>
      <c r="P172" s="171">
        <f>(-P174*AVERAGE(P167,P170))</f>
        <v>-0.1163905428725186</v>
      </c>
      <c r="Q172" s="189">
        <f>SUM(M172:P172)</f>
        <v>-0.2660355265657568</v>
      </c>
      <c r="R172" s="171">
        <f>(-R174*AVERAGE(R167,R170))</f>
        <v>-0.17130232384615346</v>
      </c>
      <c r="S172" s="171">
        <f>(-S174*AVERAGE(S167,S170))</f>
        <v>-0.24787144497270353</v>
      </c>
      <c r="T172" s="171">
        <f>(-T174*AVERAGE(T167,T170))</f>
        <v>-0.3244405660992537</v>
      </c>
      <c r="U172" s="171">
        <f>(-U174*AVERAGE(U167,U170))</f>
        <v>-0.40100968722580377</v>
      </c>
      <c r="V172" s="189">
        <f>SUM(R172:U172)</f>
        <v>-1.1446240221439146</v>
      </c>
      <c r="W172" s="171">
        <f>(-W174*AVERAGE(W167,W170))</f>
        <v>-0.45890444258452912</v>
      </c>
      <c r="X172" s="171">
        <f>(-X174*AVERAGE(X167,X170))</f>
        <v>-0.49812483217542991</v>
      </c>
      <c r="Y172" s="171">
        <f>(-Y174*AVERAGE(Y167,Y170))</f>
        <v>-0.53734522176633048</v>
      </c>
      <c r="Z172" s="171">
        <f>(-Z174*AVERAGE(Z167,Z170))</f>
        <v>-0.57656561135723128</v>
      </c>
      <c r="AA172" s="189">
        <f>SUM(W172:Z172)</f>
        <v>-2.070940107883521</v>
      </c>
      <c r="AB172" s="171">
        <f>(-AB174*AVERAGE(AB167,AB170))</f>
        <v>-0.59617580615268151</v>
      </c>
      <c r="AC172" s="171">
        <f>(-AC174*AVERAGE(AC167,AC170))</f>
        <v>-0.59617580615268151</v>
      </c>
      <c r="AD172" s="171">
        <f>(-AD174*AVERAGE(AD167,AD170))</f>
        <v>-0.59617580615268151</v>
      </c>
      <c r="AE172" s="171">
        <f>(-AE174*AVERAGE(AE167,AE170))</f>
        <v>-0.59617580615268151</v>
      </c>
      <c r="AF172" s="189">
        <f>SUM(AB172:AE172)</f>
        <v>-2.384703224610726</v>
      </c>
      <c r="AG172" s="171">
        <f>(-AG174*AVERAGE(AG167,AG170))</f>
        <v>-0.59617580615268151</v>
      </c>
      <c r="AH172" s="171">
        <f>(-AH174*AVERAGE(AH167,AH170))</f>
        <v>-0.59617580615268151</v>
      </c>
      <c r="AI172" s="171">
        <f>(-AI174*AVERAGE(AI167,AI170))</f>
        <v>-0.59617580615268151</v>
      </c>
      <c r="AJ172" s="171">
        <f>(-AJ174*AVERAGE(AJ167,AJ170))</f>
        <v>-0.59617580615268151</v>
      </c>
      <c r="AK172" s="189">
        <f>SUM(AG172:AJ172)</f>
        <v>-2.384703224610726</v>
      </c>
      <c r="AL172" s="171">
        <f>(-AL174*AVERAGE(AL167,AL170))</f>
        <v>-0.59617580615268151</v>
      </c>
      <c r="AM172" s="171">
        <f>(-AM174*AVERAGE(AM167,AM170))</f>
        <v>-0.59617580615268151</v>
      </c>
      <c r="AN172" s="171">
        <f>(-AN174*AVERAGE(AN167,AN170))</f>
        <v>-0.59617580615268151</v>
      </c>
      <c r="AO172" s="171">
        <f>(-AO174*AVERAGE(AO167,AO170))</f>
        <v>-0.59617580615268151</v>
      </c>
      <c r="AP172" s="189">
        <f>SUM(AL172:AO172)</f>
        <v>-2.384703224610726</v>
      </c>
      <c r="AQ172" s="171">
        <f>(-AQ174*AVERAGE(AQ167,AQ170))</f>
        <v>-0.59617580615268151</v>
      </c>
      <c r="AR172" s="171">
        <f>(-AR174*AVERAGE(AR167,AR170))</f>
        <v>-0.59617580615268151</v>
      </c>
      <c r="AS172" s="171">
        <f>(-AS174*AVERAGE(AS167,AS170))</f>
        <v>-0.59617580615268151</v>
      </c>
      <c r="AT172" s="171">
        <f>(-AT174*AVERAGE(AT167,AT170))</f>
        <v>-0.29808790307634075</v>
      </c>
      <c r="AU172" s="189">
        <f>SUM(AQ172:AT172)</f>
        <v>-2.086615321534385</v>
      </c>
      <c r="AV172" s="23"/>
      <c r="AW172" s="23"/>
      <c r="AX172" s="23"/>
      <c r="AY172" s="23"/>
      <c r="AZ172" s="23"/>
      <c r="BA172" s="23"/>
      <c r="BB172" s="23"/>
      <c r="BC172" s="23"/>
      <c r="BD172" s="23"/>
      <c r="BE172" s="23"/>
      <c r="BF172" s="23"/>
      <c r="BG172" s="23"/>
      <c r="BH172" s="23"/>
      <c r="BI172" s="23"/>
      <c r="BJ172" s="23"/>
      <c r="BK172" s="23"/>
      <c r="BL172" s="23"/>
      <c r="BM172" s="23"/>
      <c r="BN172" s="23"/>
      <c r="BO172" s="23"/>
      <c r="BP172" s="23"/>
      <c r="BQ172" s="23"/>
      <c r="BR172" s="23"/>
      <c r="BS172" s="23"/>
      <c r="BT172" s="23"/>
      <c r="BU172" s="23"/>
      <c r="BV172" s="23"/>
      <c r="BW172" s="23"/>
      <c r="BX172" s="23"/>
      <c r="BY172" s="23"/>
      <c r="BZ172" s="23"/>
      <c r="CA172" s="133"/>
      <c r="CB172" s="133"/>
      <c r="CC172" s="133"/>
    </row>
    <row r="173" spans="3:81" s="27" customFormat="1" outlineLevel="1">
      <c r="C173" s="193"/>
      <c r="E173" s="132"/>
      <c r="F173" s="132"/>
      <c r="G173" s="132"/>
      <c r="H173" s="133"/>
      <c r="I173" s="133"/>
      <c r="J173" s="133"/>
      <c r="K173" s="133"/>
      <c r="L173" s="203"/>
      <c r="M173" s="133"/>
      <c r="N173" s="133"/>
      <c r="O173" s="133"/>
      <c r="P173" s="133"/>
      <c r="Q173" s="203"/>
      <c r="R173" s="133"/>
      <c r="S173" s="133"/>
      <c r="T173" s="133"/>
      <c r="U173" s="133"/>
      <c r="V173" s="203"/>
      <c r="W173" s="133"/>
      <c r="X173" s="133"/>
      <c r="Y173" s="133"/>
      <c r="Z173" s="133"/>
      <c r="AA173" s="203"/>
      <c r="AB173" s="133"/>
      <c r="AC173" s="133"/>
      <c r="AD173" s="133"/>
      <c r="AE173" s="133"/>
      <c r="AF173" s="203"/>
      <c r="AG173" s="133"/>
      <c r="AH173" s="133"/>
      <c r="AI173" s="133"/>
      <c r="AJ173" s="133"/>
      <c r="AK173" s="203"/>
      <c r="AL173" s="133"/>
      <c r="AM173" s="133"/>
      <c r="AN173" s="133"/>
      <c r="AO173" s="133"/>
      <c r="AP173" s="203"/>
      <c r="AQ173" s="133"/>
      <c r="AR173" s="133"/>
      <c r="AS173" s="133"/>
      <c r="AT173" s="133"/>
      <c r="AU173" s="203"/>
      <c r="AV173" s="23"/>
      <c r="AW173" s="23"/>
      <c r="AX173" s="23"/>
      <c r="AY173" s="23"/>
      <c r="AZ173" s="23"/>
      <c r="BA173" s="23"/>
      <c r="BB173" s="23"/>
      <c r="BC173" s="23"/>
      <c r="BD173" s="23"/>
      <c r="BE173" s="23"/>
      <c r="BF173" s="23"/>
      <c r="BG173" s="23"/>
      <c r="BH173" s="23"/>
      <c r="BI173" s="23"/>
      <c r="BJ173" s="23"/>
      <c r="BK173" s="23"/>
      <c r="BL173" s="23"/>
      <c r="BM173" s="23"/>
      <c r="BN173" s="23"/>
      <c r="BO173" s="23"/>
      <c r="BP173" s="23"/>
      <c r="BQ173" s="23"/>
      <c r="BR173" s="23"/>
      <c r="BS173" s="23"/>
      <c r="BT173" s="23"/>
      <c r="BU173" s="23"/>
      <c r="BV173" s="23"/>
      <c r="BW173" s="23"/>
      <c r="BX173" s="23"/>
      <c r="BY173" s="23"/>
      <c r="BZ173" s="23"/>
      <c r="CA173" s="133"/>
      <c r="CB173" s="133"/>
      <c r="CC173" s="133"/>
    </row>
    <row r="174" spans="3:81" s="84" customFormat="1" outlineLevel="1">
      <c r="C174" s="165" t="s">
        <v>121</v>
      </c>
      <c r="D174" s="165"/>
      <c r="E174" s="166"/>
      <c r="F174" s="166"/>
      <c r="G174" s="166"/>
      <c r="H174" s="210"/>
      <c r="I174" s="210"/>
      <c r="J174" s="210"/>
      <c r="K174" s="210"/>
      <c r="L174" s="167"/>
      <c r="M174" s="210">
        <f>M175+M176</f>
        <v>1.2500000000000001E-2</v>
      </c>
      <c r="N174" s="210">
        <f>N175+N176</f>
        <v>1.2500000000000001E-2</v>
      </c>
      <c r="O174" s="210">
        <f>O175+O176</f>
        <v>1.2500000000000001E-2</v>
      </c>
      <c r="P174" s="210">
        <f>P175+P176</f>
        <v>1.2500000000000001E-2</v>
      </c>
      <c r="Q174" s="211">
        <f>SUM(M174:P174)</f>
        <v>0.05</v>
      </c>
      <c r="R174" s="210">
        <f>R175+R176</f>
        <v>1.2500000000000001E-2</v>
      </c>
      <c r="S174" s="210">
        <f>S175+S176</f>
        <v>1.2500000000000001E-2</v>
      </c>
      <c r="T174" s="210">
        <f>T175+T176</f>
        <v>1.2500000000000001E-2</v>
      </c>
      <c r="U174" s="210">
        <f>U175+U176</f>
        <v>1.2500000000000001E-2</v>
      </c>
      <c r="V174" s="211">
        <f>SUM(R174:U174)</f>
        <v>0.05</v>
      </c>
      <c r="W174" s="210">
        <f>W175+W176</f>
        <v>1.2500000000000001E-2</v>
      </c>
      <c r="X174" s="210">
        <f>X175+X176</f>
        <v>1.2500000000000001E-2</v>
      </c>
      <c r="Y174" s="210">
        <f>Y175+Y176</f>
        <v>1.2500000000000001E-2</v>
      </c>
      <c r="Z174" s="210">
        <f>Z175+Z176</f>
        <v>1.2500000000000001E-2</v>
      </c>
      <c r="AA174" s="211">
        <f>SUM(W174:Z174)</f>
        <v>0.05</v>
      </c>
      <c r="AB174" s="210">
        <f>AB175+AB176</f>
        <v>1.2500000000000001E-2</v>
      </c>
      <c r="AC174" s="210">
        <f>AC175+AC176</f>
        <v>1.2500000000000001E-2</v>
      </c>
      <c r="AD174" s="210">
        <f>AD175+AD176</f>
        <v>1.2500000000000001E-2</v>
      </c>
      <c r="AE174" s="210">
        <f>AE175+AE176</f>
        <v>1.2500000000000001E-2</v>
      </c>
      <c r="AF174" s="211">
        <f>SUM(AB174:AE174)</f>
        <v>0.05</v>
      </c>
      <c r="AG174" s="210">
        <f>AG175+AG176</f>
        <v>1.2500000000000001E-2</v>
      </c>
      <c r="AH174" s="210">
        <f>AH175+AH176</f>
        <v>1.2500000000000001E-2</v>
      </c>
      <c r="AI174" s="210">
        <f>AI175+AI176</f>
        <v>1.2500000000000001E-2</v>
      </c>
      <c r="AJ174" s="210">
        <f>AJ175+AJ176</f>
        <v>1.2500000000000001E-2</v>
      </c>
      <c r="AK174" s="211">
        <f>SUM(AG174:AJ174)</f>
        <v>0.05</v>
      </c>
      <c r="AL174" s="210">
        <f>AL175+AL176</f>
        <v>1.2500000000000001E-2</v>
      </c>
      <c r="AM174" s="210">
        <f>AM175+AM176</f>
        <v>1.2500000000000001E-2</v>
      </c>
      <c r="AN174" s="210">
        <f>AN175+AN176</f>
        <v>1.2500000000000001E-2</v>
      </c>
      <c r="AO174" s="210">
        <f>AO175+AO176</f>
        <v>1.2500000000000001E-2</v>
      </c>
      <c r="AP174" s="211">
        <f>SUM(AL174:AO174)</f>
        <v>0.05</v>
      </c>
      <c r="AQ174" s="210">
        <f>AQ175+AQ176</f>
        <v>1.2500000000000001E-2</v>
      </c>
      <c r="AR174" s="210">
        <f>AR175+AR176</f>
        <v>1.2500000000000001E-2</v>
      </c>
      <c r="AS174" s="210">
        <f>AS175+AS176</f>
        <v>1.2500000000000001E-2</v>
      </c>
      <c r="AT174" s="210">
        <f>AT175+AT176</f>
        <v>1.2500000000000001E-2</v>
      </c>
      <c r="AU174" s="211">
        <f>SUM(AQ174:AT174)</f>
        <v>0.05</v>
      </c>
      <c r="AV174" s="23"/>
      <c r="AW174" s="23"/>
      <c r="AX174" s="23"/>
      <c r="AY174" s="23"/>
      <c r="AZ174" s="23"/>
      <c r="BA174" s="23"/>
      <c r="BB174" s="23"/>
      <c r="BC174" s="23"/>
      <c r="BD174" s="23"/>
      <c r="BE174" s="23"/>
      <c r="BF174" s="23"/>
      <c r="CA174" s="132"/>
      <c r="CB174" s="132"/>
      <c r="CC174" s="132"/>
    </row>
    <row r="175" spans="3:81" s="27" customFormat="1" outlineLevel="1">
      <c r="C175" s="80" t="s">
        <v>122</v>
      </c>
      <c r="D175" s="212">
        <f>'Debt Structure'!F33</f>
        <v>0.03</v>
      </c>
      <c r="E175" s="133"/>
      <c r="F175" s="133"/>
      <c r="G175" s="133"/>
      <c r="H175" s="213"/>
      <c r="I175" s="213"/>
      <c r="J175" s="213"/>
      <c r="K175" s="213"/>
      <c r="L175" s="168"/>
      <c r="M175" s="213">
        <f>$D$175/4</f>
        <v>7.4999999999999997E-3</v>
      </c>
      <c r="N175" s="213">
        <f>$D$175/4</f>
        <v>7.4999999999999997E-3</v>
      </c>
      <c r="O175" s="213">
        <f>$D$175/4</f>
        <v>7.4999999999999997E-3</v>
      </c>
      <c r="P175" s="213">
        <f>$D$175/4</f>
        <v>7.4999999999999997E-3</v>
      </c>
      <c r="Q175" s="214">
        <f>SUM(M175:P175)</f>
        <v>0.03</v>
      </c>
      <c r="R175" s="213">
        <f>$D$175/4</f>
        <v>7.4999999999999997E-3</v>
      </c>
      <c r="S175" s="213">
        <f>$D$175/4</f>
        <v>7.4999999999999997E-3</v>
      </c>
      <c r="T175" s="213">
        <f>$D$175/4</f>
        <v>7.4999999999999997E-3</v>
      </c>
      <c r="U175" s="213">
        <f>$D$175/4</f>
        <v>7.4999999999999997E-3</v>
      </c>
      <c r="V175" s="214">
        <f>SUM(R175:U175)</f>
        <v>0.03</v>
      </c>
      <c r="W175" s="213">
        <f>$D$175/4</f>
        <v>7.4999999999999997E-3</v>
      </c>
      <c r="X175" s="213">
        <f>$D$175/4</f>
        <v>7.4999999999999997E-3</v>
      </c>
      <c r="Y175" s="213">
        <f>$D$175/4</f>
        <v>7.4999999999999997E-3</v>
      </c>
      <c r="Z175" s="213">
        <f>$D$175/4</f>
        <v>7.4999999999999997E-3</v>
      </c>
      <c r="AA175" s="214">
        <f>SUM(W175:Z175)</f>
        <v>0.03</v>
      </c>
      <c r="AB175" s="213">
        <f>$D$175/4</f>
        <v>7.4999999999999997E-3</v>
      </c>
      <c r="AC175" s="213">
        <f>$D$175/4</f>
        <v>7.4999999999999997E-3</v>
      </c>
      <c r="AD175" s="213">
        <f>$D$175/4</f>
        <v>7.4999999999999997E-3</v>
      </c>
      <c r="AE175" s="213">
        <f>$D$175/4</f>
        <v>7.4999999999999997E-3</v>
      </c>
      <c r="AF175" s="214">
        <f>SUM(AB175:AE175)</f>
        <v>0.03</v>
      </c>
      <c r="AG175" s="213">
        <f>$D$175/4</f>
        <v>7.4999999999999997E-3</v>
      </c>
      <c r="AH175" s="213">
        <f>$D$175/4</f>
        <v>7.4999999999999997E-3</v>
      </c>
      <c r="AI175" s="213">
        <f>$D$175/4</f>
        <v>7.4999999999999997E-3</v>
      </c>
      <c r="AJ175" s="213">
        <f>$D$175/4</f>
        <v>7.4999999999999997E-3</v>
      </c>
      <c r="AK175" s="214">
        <f>SUM(AG175:AJ175)</f>
        <v>0.03</v>
      </c>
      <c r="AL175" s="213">
        <f>$D$175/4</f>
        <v>7.4999999999999997E-3</v>
      </c>
      <c r="AM175" s="213">
        <f>$D$175/4</f>
        <v>7.4999999999999997E-3</v>
      </c>
      <c r="AN175" s="213">
        <f>$D$175/4</f>
        <v>7.4999999999999997E-3</v>
      </c>
      <c r="AO175" s="213">
        <f>$D$175/4</f>
        <v>7.4999999999999997E-3</v>
      </c>
      <c r="AP175" s="214">
        <f>SUM(AL175:AO175)</f>
        <v>0.03</v>
      </c>
      <c r="AQ175" s="213">
        <f>$D$175/4</f>
        <v>7.4999999999999997E-3</v>
      </c>
      <c r="AR175" s="213">
        <f>$D$175/4</f>
        <v>7.4999999999999997E-3</v>
      </c>
      <c r="AS175" s="213">
        <f>$D$175/4</f>
        <v>7.4999999999999997E-3</v>
      </c>
      <c r="AT175" s="213">
        <f>$D$175/4</f>
        <v>7.4999999999999997E-3</v>
      </c>
      <c r="AU175" s="214">
        <f>SUM(AQ175:AT175)</f>
        <v>0.03</v>
      </c>
      <c r="AV175" s="23"/>
      <c r="AW175" s="23"/>
      <c r="AX175" s="23"/>
      <c r="AY175" s="23"/>
      <c r="AZ175" s="23"/>
      <c r="BA175" s="23"/>
      <c r="BB175" s="23"/>
      <c r="BC175" s="23"/>
      <c r="BD175" s="23"/>
      <c r="BE175" s="23"/>
      <c r="BF175" s="23"/>
      <c r="BG175" s="23"/>
      <c r="BH175" s="23"/>
      <c r="BI175" s="23"/>
      <c r="BJ175" s="23"/>
      <c r="BK175" s="23"/>
      <c r="BL175" s="23"/>
      <c r="BM175" s="23"/>
      <c r="BN175" s="23"/>
      <c r="BO175" s="23"/>
      <c r="BP175" s="23"/>
      <c r="BQ175" s="23"/>
      <c r="BR175" s="23"/>
      <c r="BS175" s="23"/>
      <c r="BT175" s="23"/>
      <c r="BU175" s="23"/>
      <c r="BV175" s="23"/>
      <c r="BW175" s="23"/>
      <c r="BX175" s="23"/>
      <c r="BY175" s="23"/>
      <c r="BZ175" s="23"/>
      <c r="CA175" s="133"/>
      <c r="CB175" s="133"/>
      <c r="CC175" s="133"/>
    </row>
    <row r="176" spans="3:81" s="567" customFormat="1" outlineLevel="1">
      <c r="C176" s="687" t="s">
        <v>123</v>
      </c>
      <c r="D176" s="688"/>
      <c r="E176" s="688"/>
      <c r="F176" s="688"/>
      <c r="G176" s="688"/>
      <c r="H176" s="689"/>
      <c r="I176" s="689"/>
      <c r="J176" s="689"/>
      <c r="K176" s="689"/>
      <c r="L176" s="690"/>
      <c r="M176" s="691" cm="1">
        <f t="array" ref="M176:P176">TRANSPOSE('Debt Structure'!I65:I68)</f>
        <v>5.0000000000000001E-3</v>
      </c>
      <c r="N176" s="691">
        <v>5.0000000000000001E-3</v>
      </c>
      <c r="O176" s="691">
        <v>5.0000000000000001E-3</v>
      </c>
      <c r="P176" s="691">
        <v>5.0000000000000001E-3</v>
      </c>
      <c r="Q176" s="690">
        <f>SUM(M176:P176)</f>
        <v>0.02</v>
      </c>
      <c r="R176" s="691" cm="1">
        <f t="array" ref="R176:U176">TRANSPOSE('Debt Structure'!I69:I72)</f>
        <v>5.0000000000000001E-3</v>
      </c>
      <c r="S176" s="691">
        <v>5.0000000000000001E-3</v>
      </c>
      <c r="T176" s="691">
        <v>5.0000000000000001E-3</v>
      </c>
      <c r="U176" s="691">
        <v>5.0000000000000001E-3</v>
      </c>
      <c r="V176" s="690">
        <f>SUM(R176:U176)</f>
        <v>0.02</v>
      </c>
      <c r="W176" s="691" cm="1">
        <f t="array" ref="W176:Z176">TRANSPOSE('Debt Structure'!I73:I76)</f>
        <v>5.0000000000000001E-3</v>
      </c>
      <c r="X176" s="691">
        <v>5.0000000000000001E-3</v>
      </c>
      <c r="Y176" s="691">
        <v>5.0000000000000001E-3</v>
      </c>
      <c r="Z176" s="691">
        <v>5.0000000000000001E-3</v>
      </c>
      <c r="AA176" s="690">
        <f>SUM(W176:Z176)</f>
        <v>0.02</v>
      </c>
      <c r="AB176" s="691" cm="1">
        <f t="array" ref="AB176:AE176">TRANSPOSE('Debt Structure'!I77:I80)</f>
        <v>5.0000000000000001E-3</v>
      </c>
      <c r="AC176" s="691">
        <v>5.0000000000000001E-3</v>
      </c>
      <c r="AD176" s="691">
        <v>5.0000000000000001E-3</v>
      </c>
      <c r="AE176" s="691">
        <v>5.0000000000000001E-3</v>
      </c>
      <c r="AF176" s="690">
        <f>SUM(AB176:AE176)</f>
        <v>0.02</v>
      </c>
      <c r="AG176" s="691" cm="1">
        <f t="array" ref="AG176:AJ176">TRANSPOSE('Debt Structure'!I81:I84)</f>
        <v>5.0000000000000001E-3</v>
      </c>
      <c r="AH176" s="691">
        <v>5.0000000000000001E-3</v>
      </c>
      <c r="AI176" s="691">
        <v>5.0000000000000001E-3</v>
      </c>
      <c r="AJ176" s="691">
        <v>5.0000000000000001E-3</v>
      </c>
      <c r="AK176" s="690">
        <f>SUM(AG176:AJ176)</f>
        <v>0.02</v>
      </c>
      <c r="AL176" s="691" cm="1">
        <f t="array" ref="AL176:AO176">+TRANSPOSE('Debt Structure'!$I$85:$I$88)</f>
        <v>5.0000000000000001E-3</v>
      </c>
      <c r="AM176" s="691">
        <v>5.0000000000000001E-3</v>
      </c>
      <c r="AN176" s="691">
        <v>5.0000000000000001E-3</v>
      </c>
      <c r="AO176" s="691">
        <v>5.0000000000000001E-3</v>
      </c>
      <c r="AP176" s="690">
        <f>SUM(AL176:AO176)</f>
        <v>0.02</v>
      </c>
      <c r="AQ176" s="691" cm="1">
        <f t="array" ref="AQ176:AT176">+TRANSPOSE('Debt Structure'!$I$89:$I$92)</f>
        <v>5.0000000000000001E-3</v>
      </c>
      <c r="AR176" s="691">
        <v>5.0000000000000001E-3</v>
      </c>
      <c r="AS176" s="691">
        <v>5.0000000000000001E-3</v>
      </c>
      <c r="AT176" s="691">
        <v>5.0000000000000001E-3</v>
      </c>
      <c r="AU176" s="690">
        <f>SUM(AQ176:AT176)</f>
        <v>0.02</v>
      </c>
      <c r="AV176" s="540"/>
      <c r="AW176" s="540"/>
      <c r="AX176" s="540"/>
      <c r="AY176" s="540"/>
      <c r="AZ176" s="540"/>
      <c r="BA176" s="540"/>
      <c r="BB176" s="540"/>
      <c r="BC176" s="540"/>
      <c r="BD176" s="540"/>
      <c r="BE176" s="540"/>
      <c r="BF176" s="540"/>
      <c r="BG176" s="540"/>
      <c r="BH176" s="540"/>
      <c r="BI176" s="540"/>
      <c r="BJ176" s="540"/>
      <c r="BK176" s="540"/>
      <c r="BL176" s="540"/>
      <c r="BM176" s="540"/>
      <c r="BN176" s="540"/>
      <c r="BO176" s="540"/>
      <c r="BP176" s="540"/>
      <c r="BQ176" s="540"/>
      <c r="BR176" s="540"/>
      <c r="BS176" s="540"/>
      <c r="BT176" s="540"/>
      <c r="BU176" s="540"/>
      <c r="BV176" s="540"/>
      <c r="BW176" s="540"/>
      <c r="BX176" s="540"/>
      <c r="BY176" s="540"/>
      <c r="BZ176" s="540"/>
      <c r="CA176" s="642"/>
      <c r="CB176" s="642"/>
      <c r="CC176" s="642"/>
    </row>
    <row r="177" spans="1:81" s="27" customFormat="1" outlineLevel="1">
      <c r="C177" s="193"/>
      <c r="E177" s="132"/>
      <c r="F177" s="132"/>
      <c r="G177" s="132"/>
      <c r="H177" s="133"/>
      <c r="I177" s="133"/>
      <c r="J177" s="133"/>
      <c r="K177" s="133"/>
      <c r="L177" s="203"/>
      <c r="M177" s="133"/>
      <c r="N177" s="133"/>
      <c r="O177" s="133"/>
      <c r="P177" s="133"/>
      <c r="Q177" s="203"/>
      <c r="R177" s="133"/>
      <c r="S177" s="133"/>
      <c r="T177" s="133"/>
      <c r="U177" s="133"/>
      <c r="V177" s="203"/>
      <c r="W177" s="133"/>
      <c r="X177" s="133"/>
      <c r="Y177" s="133"/>
      <c r="Z177" s="133"/>
      <c r="AA177" s="203"/>
      <c r="AB177" s="133"/>
      <c r="AC177" s="133"/>
      <c r="AD177" s="133"/>
      <c r="AE177" s="133"/>
      <c r="AF177" s="203"/>
      <c r="AG177" s="133"/>
      <c r="AH177" s="133"/>
      <c r="AI177" s="133"/>
      <c r="AJ177" s="133"/>
      <c r="AK177" s="203"/>
      <c r="AL177" s="133"/>
      <c r="AM177" s="133"/>
      <c r="AN177" s="133"/>
      <c r="AO177" s="133"/>
      <c r="AP177" s="203"/>
      <c r="AQ177" s="133"/>
      <c r="AR177" s="133"/>
      <c r="AS177" s="133"/>
      <c r="AT177" s="133"/>
      <c r="AU177" s="203"/>
      <c r="AV177" s="23"/>
      <c r="AW177" s="23"/>
      <c r="AX177" s="23"/>
      <c r="AY177" s="23"/>
      <c r="AZ177" s="23"/>
      <c r="BA177" s="23"/>
      <c r="BB177" s="23"/>
      <c r="BC177" s="23"/>
      <c r="BD177" s="23"/>
      <c r="BE177" s="23"/>
      <c r="BF177" s="23"/>
      <c r="BG177" s="23"/>
      <c r="BH177" s="23"/>
      <c r="BI177" s="23"/>
      <c r="BJ177" s="23"/>
      <c r="BK177" s="23"/>
      <c r="BL177" s="23"/>
      <c r="BM177" s="23"/>
      <c r="BN177" s="23"/>
      <c r="BO177" s="23"/>
      <c r="BP177" s="23"/>
      <c r="BQ177" s="23"/>
      <c r="BR177" s="23"/>
      <c r="BS177" s="23"/>
      <c r="BT177" s="23"/>
      <c r="BU177" s="23"/>
      <c r="BV177" s="23"/>
      <c r="BW177" s="23"/>
      <c r="BX177" s="23"/>
      <c r="BY177" s="23"/>
      <c r="BZ177" s="23"/>
      <c r="CA177" s="133"/>
      <c r="CB177" s="133"/>
      <c r="CC177" s="133"/>
    </row>
    <row r="178" spans="1:81" s="84" customFormat="1" outlineLevel="1">
      <c r="C178" s="165" t="s">
        <v>126</v>
      </c>
      <c r="D178" s="165"/>
      <c r="E178" s="166"/>
      <c r="F178" s="166"/>
      <c r="G178" s="166"/>
      <c r="H178" s="224"/>
      <c r="I178" s="210"/>
      <c r="J178" s="166"/>
      <c r="K178" s="166"/>
      <c r="L178" s="225"/>
      <c r="M178" s="166">
        <f>-M179*M164</f>
        <v>-0.11834911183585607</v>
      </c>
      <c r="N178" s="166">
        <f>-N179*N164</f>
        <v>-0.11169822367171216</v>
      </c>
      <c r="O178" s="166">
        <f>-O179*O164</f>
        <v>-0.10504733550756826</v>
      </c>
      <c r="P178" s="166">
        <f>-P179*P164</f>
        <v>-9.8396447343424329E-2</v>
      </c>
      <c r="Q178" s="189">
        <f>SUM(M178:P178)</f>
        <v>-0.4334911183585608</v>
      </c>
      <c r="R178" s="166">
        <f>-R179*R164</f>
        <v>-8.308262311811429E-2</v>
      </c>
      <c r="S178" s="166">
        <f>-S179*S164</f>
        <v>-6.776879889280428E-2</v>
      </c>
      <c r="T178" s="166">
        <f>-T179*T164</f>
        <v>-5.2454974667494263E-2</v>
      </c>
      <c r="U178" s="166">
        <f>-U179*U164</f>
        <v>-3.7141150442184238E-2</v>
      </c>
      <c r="V178" s="189">
        <f>SUM(R178:U178)</f>
        <v>-0.24044754712059707</v>
      </c>
      <c r="W178" s="166">
        <f>-W179*W164</f>
        <v>-2.9297072524004104E-2</v>
      </c>
      <c r="X178" s="166">
        <f>-X179*X164</f>
        <v>-2.1452994605823967E-2</v>
      </c>
      <c r="Y178" s="166">
        <f>-Y179*Y164</f>
        <v>-1.3608916687643831E-2</v>
      </c>
      <c r="Z178" s="166">
        <f>-Z179*Z164</f>
        <v>-5.7648387694636937E-3</v>
      </c>
      <c r="AA178" s="189">
        <f>SUM(W178:Z178)</f>
        <v>-7.01238225869356E-2</v>
      </c>
      <c r="AB178" s="166">
        <f>-AB179*AB164</f>
        <v>0</v>
      </c>
      <c r="AC178" s="166">
        <f>-AC179*AC164</f>
        <v>0</v>
      </c>
      <c r="AD178" s="166">
        <f>-AD179*AD164</f>
        <v>0</v>
      </c>
      <c r="AE178" s="166">
        <f>-AE179*AE164</f>
        <v>0</v>
      </c>
      <c r="AF178" s="189">
        <f>SUM(AB178:AE178)</f>
        <v>0</v>
      </c>
      <c r="AG178" s="166">
        <f>-AG179*AG164</f>
        <v>0</v>
      </c>
      <c r="AH178" s="166">
        <f>-AH179*AH164</f>
        <v>0</v>
      </c>
      <c r="AI178" s="166">
        <f>-AI179*AI164</f>
        <v>0</v>
      </c>
      <c r="AJ178" s="166">
        <f>-AJ179*AJ164</f>
        <v>0</v>
      </c>
      <c r="AK178" s="189">
        <f>SUM(AG178:AJ178)</f>
        <v>0</v>
      </c>
      <c r="AL178" s="166">
        <f>-AL179*AL164</f>
        <v>0</v>
      </c>
      <c r="AM178" s="166">
        <f>-AM179*AM164</f>
        <v>0</v>
      </c>
      <c r="AN178" s="166">
        <f>-AN179*AN164</f>
        <v>0</v>
      </c>
      <c r="AO178" s="166">
        <f>-AO179*AO164</f>
        <v>0</v>
      </c>
      <c r="AP178" s="189">
        <f>SUM(AL178:AO178)</f>
        <v>0</v>
      </c>
      <c r="AQ178" s="166">
        <f>-AQ179*AQ164</f>
        <v>0</v>
      </c>
      <c r="AR178" s="166">
        <f>-AR179*AR164</f>
        <v>0</v>
      </c>
      <c r="AS178" s="166">
        <f>-AS179*AS164</f>
        <v>0</v>
      </c>
      <c r="AT178" s="166">
        <f>-AT179*AT164</f>
        <v>0</v>
      </c>
      <c r="AU178" s="189">
        <f>SUM(AQ178:AT178)</f>
        <v>0</v>
      </c>
      <c r="AV178" s="23"/>
      <c r="AW178" s="23"/>
      <c r="AX178" s="23"/>
      <c r="AY178" s="23"/>
      <c r="AZ178" s="23"/>
      <c r="BA178" s="23"/>
      <c r="BB178" s="23"/>
      <c r="BC178" s="23"/>
      <c r="BD178" s="23"/>
      <c r="BE178" s="23"/>
      <c r="BF178" s="23"/>
      <c r="CA178" s="132"/>
      <c r="CB178" s="132"/>
      <c r="CC178" s="132"/>
    </row>
    <row r="179" spans="1:81" s="27" customFormat="1" outlineLevel="1">
      <c r="C179" s="80" t="s">
        <v>127</v>
      </c>
      <c r="D179" s="212">
        <f>'Debt Structure'!I33</f>
        <v>0.01</v>
      </c>
      <c r="E179" s="133"/>
      <c r="F179" s="133"/>
      <c r="G179" s="133"/>
      <c r="H179" s="213"/>
      <c r="I179" s="213"/>
      <c r="J179" s="213"/>
      <c r="K179" s="213"/>
      <c r="L179" s="168"/>
      <c r="M179" s="213">
        <f>$D$179/4*M160</f>
        <v>2.5000000000000001E-3</v>
      </c>
      <c r="N179" s="213">
        <f t="shared" ref="N179:AU179" si="86">$D$179/4*N160</f>
        <v>2.5000000000000001E-3</v>
      </c>
      <c r="O179" s="213">
        <f t="shared" si="86"/>
        <v>2.5000000000000001E-3</v>
      </c>
      <c r="P179" s="213">
        <f t="shared" si="86"/>
        <v>2.5000000000000001E-3</v>
      </c>
      <c r="Q179" s="226">
        <f t="shared" si="86"/>
        <v>2.5000000000000001E-3</v>
      </c>
      <c r="R179" s="213">
        <f t="shared" si="86"/>
        <v>2.5000000000000001E-3</v>
      </c>
      <c r="S179" s="213">
        <f t="shared" si="86"/>
        <v>2.5000000000000001E-3</v>
      </c>
      <c r="T179" s="213">
        <f t="shared" si="86"/>
        <v>2.5000000000000001E-3</v>
      </c>
      <c r="U179" s="213">
        <f t="shared" si="86"/>
        <v>2.5000000000000001E-3</v>
      </c>
      <c r="V179" s="226">
        <f t="shared" si="86"/>
        <v>2.5000000000000001E-3</v>
      </c>
      <c r="W179" s="213">
        <f t="shared" si="86"/>
        <v>2.5000000000000001E-3</v>
      </c>
      <c r="X179" s="213">
        <f t="shared" si="86"/>
        <v>2.5000000000000001E-3</v>
      </c>
      <c r="Y179" s="213">
        <f t="shared" si="86"/>
        <v>2.5000000000000001E-3</v>
      </c>
      <c r="Z179" s="213">
        <f t="shared" si="86"/>
        <v>2.5000000000000001E-3</v>
      </c>
      <c r="AA179" s="226">
        <f t="shared" si="86"/>
        <v>2.5000000000000001E-3</v>
      </c>
      <c r="AB179" s="213">
        <f t="shared" si="86"/>
        <v>0</v>
      </c>
      <c r="AC179" s="213">
        <f t="shared" si="86"/>
        <v>0</v>
      </c>
      <c r="AD179" s="213">
        <f t="shared" si="86"/>
        <v>0</v>
      </c>
      <c r="AE179" s="213">
        <f t="shared" si="86"/>
        <v>0</v>
      </c>
      <c r="AF179" s="226">
        <f t="shared" si="86"/>
        <v>0</v>
      </c>
      <c r="AG179" s="213">
        <f t="shared" si="86"/>
        <v>0</v>
      </c>
      <c r="AH179" s="213">
        <f t="shared" si="86"/>
        <v>0</v>
      </c>
      <c r="AI179" s="213">
        <f t="shared" si="86"/>
        <v>0</v>
      </c>
      <c r="AJ179" s="213">
        <f t="shared" si="86"/>
        <v>0</v>
      </c>
      <c r="AK179" s="226">
        <f t="shared" si="86"/>
        <v>0</v>
      </c>
      <c r="AL179" s="213">
        <f t="shared" si="86"/>
        <v>0</v>
      </c>
      <c r="AM179" s="213">
        <f t="shared" si="86"/>
        <v>0</v>
      </c>
      <c r="AN179" s="213">
        <f t="shared" si="86"/>
        <v>0</v>
      </c>
      <c r="AO179" s="213">
        <f t="shared" si="86"/>
        <v>0</v>
      </c>
      <c r="AP179" s="226">
        <f t="shared" si="86"/>
        <v>0</v>
      </c>
      <c r="AQ179" s="213">
        <f t="shared" si="86"/>
        <v>0</v>
      </c>
      <c r="AR179" s="213">
        <f t="shared" si="86"/>
        <v>0</v>
      </c>
      <c r="AS179" s="213">
        <f t="shared" si="86"/>
        <v>0</v>
      </c>
      <c r="AT179" s="213">
        <f t="shared" si="86"/>
        <v>0</v>
      </c>
      <c r="AU179" s="226">
        <f t="shared" si="86"/>
        <v>0</v>
      </c>
      <c r="AV179" s="23"/>
      <c r="AW179" s="23"/>
      <c r="AX179" s="23"/>
      <c r="AY179" s="23"/>
      <c r="AZ179" s="23"/>
      <c r="BA179" s="23"/>
      <c r="BB179" s="23"/>
      <c r="BC179" s="23"/>
      <c r="BD179" s="23"/>
      <c r="BE179" s="23"/>
      <c r="BF179" s="23"/>
      <c r="BG179" s="23"/>
      <c r="BH179" s="23"/>
      <c r="BI179" s="23"/>
      <c r="BJ179" s="23"/>
      <c r="BK179" s="23"/>
      <c r="BL179" s="23"/>
      <c r="BM179" s="23"/>
      <c r="BN179" s="23"/>
      <c r="BO179" s="23"/>
      <c r="BP179" s="23"/>
      <c r="BQ179" s="23"/>
      <c r="BR179" s="23"/>
      <c r="BS179" s="23"/>
      <c r="BT179" s="23"/>
      <c r="BU179" s="23"/>
      <c r="BV179" s="23"/>
      <c r="BW179" s="23"/>
      <c r="BX179" s="23"/>
      <c r="BY179" s="23"/>
      <c r="BZ179" s="23"/>
      <c r="CA179" s="133"/>
      <c r="CB179" s="133"/>
      <c r="CC179" s="133"/>
    </row>
    <row r="180" spans="1:81" s="27" customFormat="1" outlineLevel="1">
      <c r="C180" s="215"/>
      <c r="D180" s="184"/>
      <c r="E180" s="184"/>
      <c r="F180" s="184"/>
      <c r="G180" s="184"/>
      <c r="H180" s="216"/>
      <c r="I180" s="216"/>
      <c r="J180" s="216"/>
      <c r="K180" s="216"/>
      <c r="L180" s="217"/>
      <c r="M180" s="218"/>
      <c r="N180" s="218"/>
      <c r="O180" s="218"/>
      <c r="P180" s="218"/>
      <c r="Q180" s="217"/>
      <c r="R180" s="218"/>
      <c r="S180" s="218"/>
      <c r="T180" s="218"/>
      <c r="U180" s="218"/>
      <c r="V180" s="217"/>
      <c r="W180" s="218"/>
      <c r="X180" s="218"/>
      <c r="Y180" s="218"/>
      <c r="Z180" s="218"/>
      <c r="AA180" s="217"/>
      <c r="AB180" s="218"/>
      <c r="AC180" s="218"/>
      <c r="AD180" s="218"/>
      <c r="AE180" s="218"/>
      <c r="AF180" s="217"/>
      <c r="AG180" s="218"/>
      <c r="AH180" s="218"/>
      <c r="AI180" s="218"/>
      <c r="AJ180" s="218"/>
      <c r="AK180" s="217"/>
      <c r="AL180" s="218"/>
      <c r="AM180" s="218"/>
      <c r="AN180" s="218"/>
      <c r="AO180" s="218"/>
      <c r="AP180" s="217"/>
      <c r="AQ180" s="218"/>
      <c r="AR180" s="218"/>
      <c r="AS180" s="218"/>
      <c r="AT180" s="218"/>
      <c r="AU180" s="217"/>
      <c r="AV180" s="23"/>
      <c r="AW180" s="23"/>
      <c r="AX180" s="23"/>
      <c r="AY180" s="23"/>
      <c r="AZ180" s="23"/>
      <c r="BA180" s="23"/>
      <c r="BB180" s="23"/>
      <c r="BC180" s="23"/>
      <c r="BD180" s="23"/>
      <c r="BE180" s="23"/>
      <c r="BF180" s="23"/>
      <c r="BG180" s="23"/>
      <c r="BH180" s="23"/>
      <c r="BI180" s="23"/>
      <c r="BJ180" s="23"/>
      <c r="BK180" s="23"/>
      <c r="BL180" s="23"/>
      <c r="BM180" s="23"/>
      <c r="BN180" s="23"/>
      <c r="BO180" s="23"/>
      <c r="BP180" s="23"/>
      <c r="BQ180" s="23"/>
      <c r="BR180" s="23"/>
      <c r="BS180" s="23"/>
      <c r="BT180" s="23"/>
      <c r="BU180" s="23"/>
      <c r="BV180" s="23"/>
      <c r="BW180" s="23"/>
      <c r="BX180" s="23"/>
      <c r="BY180" s="23"/>
      <c r="BZ180" s="23"/>
      <c r="CA180" s="133"/>
      <c r="CB180" s="133"/>
      <c r="CC180" s="133"/>
    </row>
    <row r="181" spans="1:81" s="27" customFormat="1">
      <c r="E181" s="133"/>
      <c r="F181" s="133"/>
      <c r="G181" s="133"/>
      <c r="H181" s="133"/>
      <c r="I181" s="133"/>
      <c r="J181" s="133"/>
      <c r="K181" s="133"/>
      <c r="L181" s="133"/>
      <c r="M181" s="133"/>
      <c r="N181" s="133"/>
      <c r="O181" s="133"/>
      <c r="P181" s="133"/>
      <c r="Q181" s="133"/>
      <c r="R181" s="133"/>
      <c r="S181" s="133"/>
      <c r="T181" s="133"/>
      <c r="U181" s="133"/>
      <c r="V181" s="133"/>
      <c r="W181" s="133"/>
      <c r="X181" s="133"/>
      <c r="Y181" s="133"/>
      <c r="Z181" s="133"/>
      <c r="AA181" s="133"/>
      <c r="AB181" s="133"/>
      <c r="AC181" s="133"/>
      <c r="AD181" s="133"/>
      <c r="AE181" s="133"/>
      <c r="AF181" s="133"/>
      <c r="AG181" s="133"/>
      <c r="AH181" s="133"/>
      <c r="AI181" s="133"/>
      <c r="AJ181" s="133"/>
      <c r="AK181" s="133"/>
      <c r="AL181" s="133"/>
      <c r="AM181" s="133"/>
      <c r="AN181" s="133"/>
      <c r="AO181" s="133"/>
      <c r="AP181" s="133"/>
      <c r="AQ181" s="133"/>
      <c r="AR181" s="133"/>
      <c r="AS181" s="133"/>
      <c r="AT181" s="133"/>
      <c r="AU181" s="133"/>
      <c r="AV181" s="23"/>
      <c r="AW181" s="23"/>
      <c r="AX181" s="23"/>
      <c r="AY181" s="23"/>
      <c r="AZ181" s="23"/>
      <c r="BA181" s="23"/>
      <c r="BB181" s="23"/>
      <c r="BC181" s="23"/>
      <c r="BD181" s="23"/>
      <c r="BE181" s="23"/>
      <c r="BF181" s="23"/>
      <c r="BG181" s="23"/>
      <c r="BH181" s="23"/>
      <c r="BI181" s="23"/>
      <c r="BJ181" s="23"/>
      <c r="BK181" s="23"/>
      <c r="BL181" s="23"/>
      <c r="BM181" s="23"/>
      <c r="BN181" s="23"/>
      <c r="BO181" s="23"/>
      <c r="BP181" s="23"/>
      <c r="BQ181" s="23"/>
      <c r="BR181" s="23"/>
      <c r="BS181" s="23"/>
      <c r="BT181" s="23"/>
      <c r="BU181" s="23"/>
      <c r="BV181" s="23"/>
      <c r="BW181" s="23"/>
      <c r="BX181" s="23"/>
      <c r="BY181" s="23"/>
      <c r="BZ181" s="23"/>
      <c r="CA181" s="133"/>
      <c r="CB181" s="133"/>
      <c r="CC181" s="133"/>
    </row>
    <row r="182" spans="1:81" s="27" customFormat="1">
      <c r="E182" s="133"/>
      <c r="F182" s="133"/>
      <c r="G182" s="133"/>
      <c r="H182" s="133"/>
      <c r="I182" s="133"/>
      <c r="J182" s="133"/>
      <c r="K182" s="133"/>
      <c r="L182" s="133"/>
      <c r="M182" s="133"/>
      <c r="N182" s="133"/>
      <c r="O182" s="133"/>
      <c r="P182" s="133"/>
      <c r="Q182" s="133"/>
      <c r="R182" s="133"/>
      <c r="S182" s="133"/>
      <c r="T182" s="133"/>
      <c r="U182" s="133"/>
      <c r="V182" s="133"/>
      <c r="W182" s="133"/>
      <c r="X182" s="133"/>
      <c r="Y182" s="133"/>
      <c r="Z182" s="133"/>
      <c r="AA182" s="133"/>
      <c r="AB182" s="133"/>
      <c r="AC182" s="133"/>
      <c r="AD182" s="133"/>
      <c r="AE182" s="133"/>
      <c r="AF182" s="133"/>
      <c r="AG182" s="133"/>
      <c r="AH182" s="133"/>
      <c r="AI182" s="133"/>
      <c r="AJ182" s="133"/>
      <c r="AK182" s="133"/>
      <c r="AL182" s="133"/>
      <c r="AM182" s="133"/>
      <c r="AN182" s="133"/>
      <c r="AO182" s="133"/>
      <c r="AP182" s="133"/>
      <c r="AQ182" s="133"/>
      <c r="AR182" s="133"/>
      <c r="AS182" s="133"/>
      <c r="AT182" s="133"/>
      <c r="AU182" s="133"/>
      <c r="AV182" s="23"/>
      <c r="AW182" s="23"/>
      <c r="AX182" s="23"/>
      <c r="AY182" s="23"/>
      <c r="AZ182" s="23"/>
      <c r="BA182" s="23"/>
      <c r="BB182" s="23"/>
      <c r="BC182" s="23"/>
      <c r="BD182" s="23"/>
      <c r="BE182" s="23"/>
      <c r="BF182" s="23"/>
      <c r="BG182" s="23"/>
      <c r="BH182" s="23"/>
      <c r="BI182" s="23"/>
      <c r="BJ182" s="23"/>
      <c r="BK182" s="23"/>
      <c r="BL182" s="23"/>
      <c r="BM182" s="23"/>
      <c r="BN182" s="23"/>
      <c r="BO182" s="23"/>
      <c r="BP182" s="23"/>
      <c r="BQ182" s="23"/>
      <c r="BR182" s="23"/>
      <c r="BS182" s="23"/>
      <c r="BT182" s="23"/>
      <c r="BU182" s="23"/>
      <c r="BV182" s="23"/>
      <c r="BW182" s="23"/>
      <c r="BX182" s="23"/>
      <c r="BY182" s="23"/>
      <c r="BZ182" s="23"/>
      <c r="CA182" s="133"/>
      <c r="CB182" s="133"/>
      <c r="CC182" s="133"/>
    </row>
    <row r="183" spans="1:81" s="27" customFormat="1">
      <c r="C183" s="141" t="str">
        <f>C113</f>
        <v>RCF</v>
      </c>
      <c r="D183" s="141"/>
      <c r="E183" s="141"/>
      <c r="F183" s="141"/>
      <c r="G183" s="141"/>
      <c r="H183" s="141"/>
      <c r="I183" s="141"/>
      <c r="J183" s="141"/>
      <c r="K183" s="141"/>
      <c r="L183" s="141"/>
      <c r="M183" s="141"/>
      <c r="N183" s="141"/>
      <c r="O183" s="141"/>
      <c r="P183" s="141"/>
      <c r="Q183" s="141"/>
      <c r="R183" s="141"/>
      <c r="S183" s="141"/>
      <c r="T183" s="141"/>
      <c r="U183" s="141"/>
      <c r="V183" s="141"/>
      <c r="W183" s="141"/>
      <c r="X183" s="141"/>
      <c r="Y183" s="141"/>
      <c r="Z183" s="141"/>
      <c r="AA183" s="141"/>
      <c r="AB183" s="141"/>
      <c r="AC183" s="141"/>
      <c r="AD183" s="141"/>
      <c r="AE183" s="141"/>
      <c r="AF183" s="141"/>
      <c r="AG183" s="141"/>
      <c r="AH183" s="141"/>
      <c r="AI183" s="141"/>
      <c r="AJ183" s="141"/>
      <c r="AK183" s="141"/>
      <c r="AL183" s="141"/>
      <c r="AM183" s="141"/>
      <c r="AN183" s="141"/>
      <c r="AO183" s="141"/>
      <c r="AP183" s="141"/>
      <c r="AQ183" s="141"/>
      <c r="AR183" s="141"/>
      <c r="AS183" s="141"/>
      <c r="AT183" s="141"/>
      <c r="AU183" s="141"/>
      <c r="AV183" s="23"/>
      <c r="AW183" s="23"/>
      <c r="AX183" s="23"/>
      <c r="AY183" s="23"/>
      <c r="AZ183" s="23"/>
      <c r="BA183" s="23"/>
      <c r="BB183" s="23"/>
      <c r="BC183" s="23"/>
      <c r="BD183" s="23"/>
      <c r="BE183" s="23"/>
      <c r="BF183" s="23"/>
      <c r="BG183" s="23"/>
      <c r="BH183" s="23"/>
      <c r="BI183" s="23"/>
      <c r="BJ183" s="23"/>
      <c r="BK183" s="23"/>
      <c r="BL183" s="23"/>
      <c r="BM183" s="23"/>
      <c r="BN183" s="23"/>
      <c r="BO183" s="23"/>
      <c r="BP183" s="23"/>
      <c r="BQ183" s="23"/>
      <c r="BR183" s="23"/>
      <c r="BS183" s="23"/>
      <c r="BT183" s="23"/>
      <c r="BU183" s="23"/>
      <c r="BV183" s="23"/>
      <c r="BW183" s="23"/>
      <c r="BX183" s="23"/>
      <c r="BY183" s="23"/>
      <c r="BZ183" s="23"/>
      <c r="CA183" s="133"/>
      <c r="CB183" s="133"/>
      <c r="CC183" s="133"/>
    </row>
    <row r="184" spans="1:81" s="27" customFormat="1" ht="10.8" outlineLevel="1" thickBot="1">
      <c r="E184" s="133"/>
      <c r="F184" s="133"/>
      <c r="G184" s="133"/>
      <c r="H184" s="133"/>
      <c r="I184" s="133"/>
      <c r="J184" s="133"/>
      <c r="K184" s="133"/>
      <c r="L184" s="133"/>
      <c r="M184" s="133"/>
      <c r="N184" s="133"/>
      <c r="O184" s="133"/>
      <c r="P184" s="133"/>
      <c r="Q184" s="133"/>
      <c r="R184" s="133"/>
      <c r="S184" s="133"/>
      <c r="T184" s="133"/>
      <c r="U184" s="133"/>
      <c r="V184" s="133"/>
      <c r="W184" s="133"/>
      <c r="X184" s="133"/>
      <c r="Y184" s="133"/>
      <c r="Z184" s="133"/>
      <c r="AA184" s="133"/>
      <c r="AB184" s="133"/>
      <c r="AC184" s="133"/>
      <c r="AD184" s="133"/>
      <c r="AE184" s="133"/>
      <c r="AF184" s="133"/>
      <c r="AG184" s="133"/>
      <c r="AH184" s="133"/>
      <c r="AI184" s="133"/>
      <c r="AJ184" s="133"/>
      <c r="AK184" s="133"/>
      <c r="AL184" s="133"/>
      <c r="AM184" s="133"/>
      <c r="AN184" s="133"/>
      <c r="AO184" s="133"/>
      <c r="AP184" s="133"/>
      <c r="AQ184" s="133"/>
      <c r="AR184" s="133"/>
      <c r="AS184" s="133"/>
      <c r="AT184" s="133"/>
      <c r="AU184" s="133"/>
      <c r="AV184" s="23"/>
      <c r="AW184" s="23"/>
      <c r="AX184" s="23"/>
      <c r="AY184" s="23"/>
      <c r="AZ184" s="23"/>
      <c r="BA184" s="23"/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/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3"/>
      <c r="CA184" s="133"/>
      <c r="CB184" s="133"/>
      <c r="CC184" s="133"/>
    </row>
    <row r="185" spans="1:81" ht="10.8" outlineLevel="1" thickBot="1">
      <c r="A185" s="18"/>
      <c r="B185" s="18"/>
      <c r="C185" s="45"/>
      <c r="D185" s="45"/>
      <c r="E185" s="104"/>
      <c r="F185" s="104"/>
      <c r="G185" s="104"/>
      <c r="H185" s="30" t="s">
        <v>80</v>
      </c>
      <c r="I185" s="105" t="s">
        <v>81</v>
      </c>
      <c r="J185" s="105" t="s">
        <v>82</v>
      </c>
      <c r="K185" s="106" t="s">
        <v>77</v>
      </c>
      <c r="L185" s="30" t="s">
        <v>95</v>
      </c>
      <c r="M185" s="30" t="s">
        <v>80</v>
      </c>
      <c r="N185" s="105" t="s">
        <v>81</v>
      </c>
      <c r="O185" s="105" t="s">
        <v>82</v>
      </c>
      <c r="P185" s="105" t="s">
        <v>83</v>
      </c>
      <c r="Q185" s="30" t="s">
        <v>95</v>
      </c>
      <c r="R185" s="30" t="s">
        <v>80</v>
      </c>
      <c r="S185" s="105" t="s">
        <v>81</v>
      </c>
      <c r="T185" s="105" t="s">
        <v>82</v>
      </c>
      <c r="U185" s="105" t="s">
        <v>83</v>
      </c>
      <c r="V185" s="30" t="s">
        <v>95</v>
      </c>
      <c r="W185" s="30" t="s">
        <v>80</v>
      </c>
      <c r="X185" s="105" t="s">
        <v>81</v>
      </c>
      <c r="Y185" s="105" t="s">
        <v>82</v>
      </c>
      <c r="Z185" s="105" t="s">
        <v>83</v>
      </c>
      <c r="AA185" s="30" t="s">
        <v>95</v>
      </c>
      <c r="AB185" s="30" t="s">
        <v>80</v>
      </c>
      <c r="AC185" s="105" t="s">
        <v>81</v>
      </c>
      <c r="AD185" s="105" t="s">
        <v>82</v>
      </c>
      <c r="AE185" s="105" t="s">
        <v>83</v>
      </c>
      <c r="AF185" s="30" t="s">
        <v>95</v>
      </c>
      <c r="AG185" s="30" t="s">
        <v>80</v>
      </c>
      <c r="AH185" s="105" t="s">
        <v>81</v>
      </c>
      <c r="AI185" s="105" t="s">
        <v>82</v>
      </c>
      <c r="AJ185" s="105" t="s">
        <v>83</v>
      </c>
      <c r="AK185" s="30" t="s">
        <v>95</v>
      </c>
      <c r="AL185" s="30" t="s">
        <v>80</v>
      </c>
      <c r="AM185" s="105" t="s">
        <v>81</v>
      </c>
      <c r="AN185" s="105" t="s">
        <v>82</v>
      </c>
      <c r="AO185" s="105" t="s">
        <v>83</v>
      </c>
      <c r="AP185" s="30" t="s">
        <v>95</v>
      </c>
      <c r="AQ185" s="30" t="s">
        <v>80</v>
      </c>
      <c r="AR185" s="105" t="s">
        <v>81</v>
      </c>
      <c r="AS185" s="105" t="s">
        <v>82</v>
      </c>
      <c r="AT185" s="105" t="s">
        <v>83</v>
      </c>
      <c r="AU185" s="30" t="s">
        <v>95</v>
      </c>
    </row>
    <row r="186" spans="1:81" ht="10.8" outlineLevel="1" thickBot="1">
      <c r="E186" s="107"/>
      <c r="F186" s="107"/>
      <c r="G186" s="107"/>
      <c r="H186" s="130">
        <v>45747</v>
      </c>
      <c r="I186" s="130">
        <v>45838</v>
      </c>
      <c r="J186" s="130">
        <v>45930</v>
      </c>
      <c r="K186" s="130">
        <v>46022</v>
      </c>
      <c r="L186" s="130">
        <f>K186</f>
        <v>46022</v>
      </c>
      <c r="M186" s="130">
        <f>EOMONTH(L186,3)</f>
        <v>46112</v>
      </c>
      <c r="N186" s="130">
        <f>EOMONTH(M186,3)</f>
        <v>46203</v>
      </c>
      <c r="O186" s="130">
        <f>EOMONTH(N186,3)</f>
        <v>46295</v>
      </c>
      <c r="P186" s="130">
        <f>EOMONTH(O186,3)</f>
        <v>46387</v>
      </c>
      <c r="Q186" s="130">
        <f>P186</f>
        <v>46387</v>
      </c>
      <c r="R186" s="130">
        <f>EOMONTH(Q186,3)</f>
        <v>46477</v>
      </c>
      <c r="S186" s="130">
        <f>EOMONTH(R186,3)</f>
        <v>46568</v>
      </c>
      <c r="T186" s="130">
        <f>EOMONTH(S186,3)</f>
        <v>46660</v>
      </c>
      <c r="U186" s="130">
        <f>EOMONTH(T186,3)</f>
        <v>46752</v>
      </c>
      <c r="V186" s="130">
        <f>U186</f>
        <v>46752</v>
      </c>
      <c r="W186" s="130">
        <f>EOMONTH(V186,3)</f>
        <v>46843</v>
      </c>
      <c r="X186" s="130">
        <f>EOMONTH(W186,3)</f>
        <v>46934</v>
      </c>
      <c r="Y186" s="130">
        <f>EOMONTH(X186,3)</f>
        <v>47026</v>
      </c>
      <c r="Z186" s="130">
        <f>EOMONTH(Y186,3)</f>
        <v>47118</v>
      </c>
      <c r="AA186" s="130">
        <f>Z186</f>
        <v>47118</v>
      </c>
      <c r="AB186" s="130">
        <f>EOMONTH(AA186,3)</f>
        <v>47208</v>
      </c>
      <c r="AC186" s="130">
        <f>EOMONTH(AB186,3)</f>
        <v>47299</v>
      </c>
      <c r="AD186" s="130">
        <f>EOMONTH(AC186,3)</f>
        <v>47391</v>
      </c>
      <c r="AE186" s="130">
        <f>EOMONTH(AD186,3)</f>
        <v>47483</v>
      </c>
      <c r="AF186" s="130">
        <f>AE186</f>
        <v>47483</v>
      </c>
      <c r="AG186" s="130">
        <f>EOMONTH(AF186,3)</f>
        <v>47573</v>
      </c>
      <c r="AH186" s="130">
        <f>EOMONTH(AG186,3)</f>
        <v>47664</v>
      </c>
      <c r="AI186" s="130">
        <f>EOMONTH(AH186,3)</f>
        <v>47756</v>
      </c>
      <c r="AJ186" s="130">
        <f>EOMONTH(AI186,3)</f>
        <v>47848</v>
      </c>
      <c r="AK186" s="130">
        <f>AJ186</f>
        <v>47848</v>
      </c>
      <c r="AL186" s="130">
        <f>EOMONTH(AK186,3)</f>
        <v>47938</v>
      </c>
      <c r="AM186" s="130">
        <f>EOMONTH(AL186,3)</f>
        <v>48029</v>
      </c>
      <c r="AN186" s="130">
        <f>EOMONTH(AM186,3)</f>
        <v>48121</v>
      </c>
      <c r="AO186" s="130">
        <f>EOMONTH(AN186,3)</f>
        <v>48213</v>
      </c>
      <c r="AP186" s="130">
        <f>AO186</f>
        <v>48213</v>
      </c>
      <c r="AQ186" s="130">
        <f>EOMONTH(AP186,3)</f>
        <v>48304</v>
      </c>
      <c r="AR186" s="130">
        <f>EOMONTH(AQ186,3)</f>
        <v>48395</v>
      </c>
      <c r="AS186" s="130">
        <f>EOMONTH(AR186,3)</f>
        <v>48487</v>
      </c>
      <c r="AT186" s="130">
        <f>EOMONTH(AS186,3)</f>
        <v>48579</v>
      </c>
      <c r="AU186" s="130">
        <f>AT186</f>
        <v>48579</v>
      </c>
    </row>
    <row r="187" spans="1:81" s="27" customFormat="1" ht="10.8" outlineLevel="1" thickBot="1">
      <c r="E187" s="133"/>
      <c r="F187" s="133"/>
      <c r="G187" s="133"/>
      <c r="H187" s="133"/>
      <c r="I187" s="133"/>
      <c r="J187" s="133"/>
      <c r="K187" s="133"/>
      <c r="L187" s="168"/>
      <c r="M187" s="133"/>
      <c r="N187" s="133"/>
      <c r="O187" s="133"/>
      <c r="P187" s="133"/>
      <c r="Q187" s="168"/>
      <c r="R187" s="133"/>
      <c r="S187" s="133"/>
      <c r="T187" s="133"/>
      <c r="U187" s="133"/>
      <c r="V187" s="168"/>
      <c r="W187" s="133"/>
      <c r="X187" s="133"/>
      <c r="Y187" s="133"/>
      <c r="Z187" s="133"/>
      <c r="AA187" s="168"/>
      <c r="AB187" s="133"/>
      <c r="AC187" s="133"/>
      <c r="AD187" s="133"/>
      <c r="AE187" s="133"/>
      <c r="AF187" s="168"/>
      <c r="AG187" s="133"/>
      <c r="AH187" s="133"/>
      <c r="AI187" s="133"/>
      <c r="AJ187" s="133"/>
      <c r="AK187" s="168"/>
      <c r="AL187" s="133"/>
      <c r="AM187" s="133"/>
      <c r="AN187" s="133"/>
      <c r="AO187" s="133"/>
      <c r="AP187" s="168"/>
      <c r="AQ187" s="133"/>
      <c r="AR187" s="133"/>
      <c r="AS187" s="133"/>
      <c r="AT187" s="133"/>
      <c r="AU187" s="168"/>
      <c r="AV187" s="23"/>
      <c r="AW187" s="23"/>
      <c r="AX187" s="23"/>
      <c r="AY187" s="23"/>
      <c r="AZ187" s="23"/>
      <c r="BA187" s="23"/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/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3"/>
      <c r="CA187" s="133"/>
      <c r="CB187" s="133"/>
      <c r="CC187" s="133"/>
    </row>
    <row r="188" spans="1:81" s="27" customFormat="1" outlineLevel="1">
      <c r="C188" s="27" t="s">
        <v>128</v>
      </c>
      <c r="D188" s="227">
        <v>45291</v>
      </c>
      <c r="E188" s="133"/>
      <c r="F188" s="133"/>
      <c r="G188" s="133"/>
      <c r="H188" s="133"/>
      <c r="I188" s="133"/>
      <c r="J188" s="133"/>
      <c r="L188" s="168"/>
      <c r="M188" s="133"/>
      <c r="N188" s="133"/>
      <c r="O188" s="133"/>
      <c r="P188" s="133"/>
      <c r="Q188" s="168"/>
      <c r="R188" s="133"/>
      <c r="S188" s="133"/>
      <c r="T188" s="133"/>
      <c r="U188" s="133"/>
      <c r="V188" s="168"/>
      <c r="W188" s="133"/>
      <c r="X188" s="133"/>
      <c r="Y188" s="133"/>
      <c r="Z188" s="133"/>
      <c r="AA188" s="168"/>
      <c r="AB188" s="133"/>
      <c r="AC188" s="133"/>
      <c r="AD188" s="133"/>
      <c r="AE188" s="133"/>
      <c r="AF188" s="168"/>
      <c r="AG188" s="133"/>
      <c r="AH188" s="133"/>
      <c r="AI188" s="133"/>
      <c r="AJ188" s="133"/>
      <c r="AK188" s="168"/>
      <c r="AL188" s="133"/>
      <c r="AM188" s="133"/>
      <c r="AN188" s="133"/>
      <c r="AO188" s="133"/>
      <c r="AP188" s="168"/>
      <c r="AQ188" s="133"/>
      <c r="AR188" s="133"/>
      <c r="AS188" s="133"/>
      <c r="AT188" s="133"/>
      <c r="AU188" s="168"/>
      <c r="AV188" s="23"/>
      <c r="AW188" s="23"/>
      <c r="AX188" s="23"/>
      <c r="AY188" s="23"/>
      <c r="AZ188" s="23"/>
      <c r="BA188" s="23"/>
      <c r="BB188" s="23"/>
      <c r="BC188" s="23"/>
      <c r="BD188" s="23"/>
      <c r="BE188" s="23"/>
      <c r="BF188" s="23"/>
      <c r="BG188" s="23"/>
      <c r="BH188" s="23"/>
      <c r="BI188" s="23"/>
      <c r="BJ188" s="23"/>
      <c r="BK188" s="23"/>
      <c r="BL188" s="23"/>
      <c r="BM188" s="23"/>
      <c r="BN188" s="23"/>
      <c r="BO188" s="23"/>
      <c r="BP188" s="23"/>
      <c r="BQ188" s="23"/>
      <c r="BR188" s="23"/>
      <c r="BS188" s="23"/>
      <c r="BT188" s="23"/>
      <c r="BU188" s="23"/>
      <c r="BV188" s="23"/>
      <c r="BW188" s="23"/>
      <c r="BX188" s="23"/>
      <c r="BY188" s="23"/>
      <c r="BZ188" s="23"/>
      <c r="CA188" s="133"/>
      <c r="CB188" s="133"/>
      <c r="CC188" s="133"/>
    </row>
    <row r="189" spans="1:81" s="27" customFormat="1" outlineLevel="1">
      <c r="C189" s="27" t="s">
        <v>129</v>
      </c>
      <c r="D189" s="543">
        <v>47573</v>
      </c>
      <c r="E189" s="228">
        <v>0</v>
      </c>
      <c r="F189" s="133"/>
      <c r="G189" s="133"/>
      <c r="H189" s="133"/>
      <c r="I189" s="133"/>
      <c r="J189" s="133"/>
      <c r="L189" s="168"/>
      <c r="M189" s="199"/>
      <c r="N189" s="199"/>
      <c r="O189" s="199"/>
      <c r="P189" s="199"/>
      <c r="Q189" s="168"/>
      <c r="R189" s="199"/>
      <c r="S189" s="199"/>
      <c r="T189" s="199"/>
      <c r="U189" s="199"/>
      <c r="V189" s="168"/>
      <c r="W189" s="199"/>
      <c r="X189" s="199"/>
      <c r="Y189" s="199"/>
      <c r="Z189" s="199"/>
      <c r="AA189" s="168"/>
      <c r="AB189" s="199"/>
      <c r="AC189" s="199"/>
      <c r="AD189" s="199"/>
      <c r="AE189" s="199"/>
      <c r="AF189" s="168"/>
      <c r="AG189" s="199"/>
      <c r="AH189" s="199"/>
      <c r="AI189" s="199"/>
      <c r="AJ189" s="199"/>
      <c r="AK189" s="168"/>
      <c r="AL189" s="199"/>
      <c r="AM189" s="199"/>
      <c r="AN189" s="199"/>
      <c r="AO189" s="199"/>
      <c r="AP189" s="168"/>
      <c r="AQ189" s="199"/>
      <c r="AR189" s="199"/>
      <c r="AS189" s="199"/>
      <c r="AT189" s="199"/>
      <c r="AU189" s="168"/>
      <c r="AV189" s="23"/>
      <c r="AW189" s="23"/>
      <c r="AX189" s="23"/>
      <c r="AY189" s="23"/>
      <c r="AZ189" s="23"/>
      <c r="BA189" s="23"/>
      <c r="BB189" s="23"/>
      <c r="BC189" s="23"/>
      <c r="BD189" s="23"/>
      <c r="BE189" s="23"/>
      <c r="BF189" s="23"/>
      <c r="BG189" s="23"/>
      <c r="BH189" s="23"/>
      <c r="BI189" s="23"/>
      <c r="BJ189" s="23"/>
      <c r="BK189" s="23"/>
      <c r="BL189" s="23"/>
      <c r="BM189" s="23"/>
      <c r="BN189" s="23"/>
      <c r="BO189" s="23"/>
      <c r="BP189" s="23"/>
      <c r="BQ189" s="23"/>
      <c r="BR189" s="23"/>
      <c r="BS189" s="23"/>
      <c r="BT189" s="23"/>
      <c r="BU189" s="23"/>
      <c r="BV189" s="23"/>
      <c r="BW189" s="23"/>
      <c r="BX189" s="23"/>
      <c r="BY189" s="23"/>
      <c r="BZ189" s="23"/>
      <c r="CA189" s="133"/>
      <c r="CB189" s="133"/>
      <c r="CC189" s="133"/>
    </row>
    <row r="190" spans="1:81" s="27" customFormat="1" outlineLevel="1">
      <c r="C190" s="27" t="s">
        <v>130</v>
      </c>
      <c r="D190" s="514">
        <f>AJ186</f>
        <v>47848</v>
      </c>
      <c r="E190" s="228">
        <v>0</v>
      </c>
      <c r="F190" s="133"/>
      <c r="G190" s="133"/>
      <c r="H190" s="133"/>
      <c r="I190" s="133"/>
      <c r="J190" s="133"/>
      <c r="L190" s="168"/>
      <c r="M190" s="199"/>
      <c r="N190" s="199"/>
      <c r="O190" s="199"/>
      <c r="P190" s="199"/>
      <c r="Q190" s="168"/>
      <c r="R190" s="199"/>
      <c r="S190" s="199"/>
      <c r="T190" s="199"/>
      <c r="U190" s="199"/>
      <c r="V190" s="168"/>
      <c r="W190" s="199"/>
      <c r="X190" s="199"/>
      <c r="Y190" s="199"/>
      <c r="Z190" s="199"/>
      <c r="AA190" s="168"/>
      <c r="AB190" s="199"/>
      <c r="AC190" s="199"/>
      <c r="AD190" s="199"/>
      <c r="AE190" s="199"/>
      <c r="AF190" s="168"/>
      <c r="AG190" s="199"/>
      <c r="AH190" s="199"/>
      <c r="AI190" s="199"/>
      <c r="AJ190" s="199"/>
      <c r="AK190" s="168"/>
      <c r="AL190" s="199"/>
      <c r="AM190" s="199"/>
      <c r="AN190" s="199"/>
      <c r="AO190" s="199"/>
      <c r="AP190" s="168"/>
      <c r="AQ190" s="199"/>
      <c r="AR190" s="199"/>
      <c r="AS190" s="199"/>
      <c r="AT190" s="199"/>
      <c r="AU190" s="168"/>
      <c r="AV190" s="23"/>
      <c r="AW190" s="23"/>
      <c r="AX190" s="23"/>
      <c r="AY190" s="23"/>
      <c r="AZ190" s="23"/>
      <c r="BA190" s="23"/>
      <c r="BB190" s="23"/>
      <c r="BC190" s="23"/>
      <c r="BD190" s="23"/>
      <c r="BE190" s="23"/>
      <c r="BF190" s="23"/>
      <c r="BG190" s="23"/>
      <c r="BH190" s="23"/>
      <c r="BI190" s="23"/>
      <c r="BJ190" s="23"/>
      <c r="BK190" s="23"/>
      <c r="BL190" s="23"/>
      <c r="BM190" s="23"/>
      <c r="BN190" s="23"/>
      <c r="BO190" s="23"/>
      <c r="BP190" s="23"/>
      <c r="BQ190" s="23"/>
      <c r="BR190" s="23"/>
      <c r="BS190" s="23"/>
      <c r="BT190" s="23"/>
      <c r="BU190" s="23"/>
      <c r="BV190" s="23"/>
      <c r="BW190" s="23"/>
      <c r="BX190" s="23"/>
      <c r="BY190" s="23"/>
      <c r="BZ190" s="23"/>
      <c r="CA190" s="133"/>
      <c r="CB190" s="133"/>
      <c r="CC190" s="133"/>
    </row>
    <row r="191" spans="1:81" s="27" customFormat="1" outlineLevel="1">
      <c r="C191" s="80" t="s">
        <v>115</v>
      </c>
      <c r="D191" s="133"/>
      <c r="E191" s="133"/>
      <c r="F191" s="199"/>
      <c r="G191" s="199"/>
      <c r="H191" s="199"/>
      <c r="I191" s="199"/>
      <c r="J191" s="199"/>
      <c r="K191" s="199"/>
      <c r="L191" s="168"/>
      <c r="M191" s="199">
        <f>IF(M186=$D$189,$E$189,0)+IF(M186=$D$190,$E$190,0)</f>
        <v>0</v>
      </c>
      <c r="N191" s="199">
        <f>IF(N186=$D$189,$E$189,0)+IF(N186=$D$190,$E$190,0)</f>
        <v>0</v>
      </c>
      <c r="O191" s="199">
        <f>IF(O186=$D$189,$E$189,0)+IF(O186=$D$190,$E$190,0)</f>
        <v>0</v>
      </c>
      <c r="P191" s="199">
        <f>IF(P186=$D$189,$E$189,0)+IF(P186=$D$190,$E$190,0)</f>
        <v>0</v>
      </c>
      <c r="Q191" s="168"/>
      <c r="R191" s="199">
        <f>IF(R186=$D$189,$E$189,0)+IF(R186=$D$190,$E$190,0)</f>
        <v>0</v>
      </c>
      <c r="S191" s="199">
        <f>IF(S186=$D$189,$E$189,0)+IF(S186=$D$190,$E$190,0)</f>
        <v>0</v>
      </c>
      <c r="T191" s="199">
        <f>IF(T186=$D$189,$E$189,0)+IF(T186=$D$190,$E$190,0)</f>
        <v>0</v>
      </c>
      <c r="U191" s="199">
        <f>IF(U186=$D$189,$E$189,0)+IF(U186=$D$190,$E$190,0)</f>
        <v>0</v>
      </c>
      <c r="V191" s="168"/>
      <c r="W191" s="199">
        <f>IF(W186=$D$189,$E$189,0)+IF(W186=$D$190,$E$190,0)</f>
        <v>0</v>
      </c>
      <c r="X191" s="199">
        <f>IF(X186=$D$189,$E$189,0)+IF(X186=$D$190,$E$190,0)</f>
        <v>0</v>
      </c>
      <c r="Y191" s="199">
        <f>IF(Y186=$D$189,$E$189,0)+IF(Y186=$D$190,$E$190,0)</f>
        <v>0</v>
      </c>
      <c r="Z191" s="199">
        <f>IF(Z186=$D$189,$E$189,0)+IF(Z186=$D$190,$E$190,0)</f>
        <v>0</v>
      </c>
      <c r="AA191" s="168"/>
      <c r="AB191" s="199">
        <f>IF(AB186=$D$189,$E$189,0)+IF(AB186=$D$190,$E$190,0)</f>
        <v>0</v>
      </c>
      <c r="AC191" s="199">
        <f>IF(AC186=$D$189,$E$189,0)+IF(AC186=$D$190,$E$190,0)</f>
        <v>0</v>
      </c>
      <c r="AD191" s="199">
        <f>IF(AD186=$D$189,$E$189,0)+IF(AD186=$D$190,$E$190,0)</f>
        <v>0</v>
      </c>
      <c r="AE191" s="199">
        <f>IF(AE186=$D$189,$E$189,0)+IF(AE186=$D$190,$E$190,0)</f>
        <v>0</v>
      </c>
      <c r="AF191" s="168"/>
      <c r="AG191" s="199">
        <f>IF(AG186=$D$189,$E$189,0)+IF(AG186=$D$190,$E$190,0)</f>
        <v>0</v>
      </c>
      <c r="AH191" s="199">
        <f>IF(AH186=$D$189,$E$189,0)+IF(AH186=$D$190,$E$190,0)</f>
        <v>0</v>
      </c>
      <c r="AI191" s="199">
        <f>IF(AI186=$D$189,$E$189,0)+IF(AI186=$D$190,$E$190,0)</f>
        <v>0</v>
      </c>
      <c r="AJ191" s="199">
        <f>IF(AJ186=$D$189,$E$189,0)+IF(AJ186=$D$190,$E$190,0)</f>
        <v>0</v>
      </c>
      <c r="AK191" s="168"/>
      <c r="AL191" s="199">
        <f>IF(AL186=$D$189,$E$189,0)+IF(AL186=$D$190,$E$190,0)</f>
        <v>0</v>
      </c>
      <c r="AM191" s="199">
        <f>IF(AM186=$D$189,$E$189,0)+IF(AM186=$D$190,$E$190,0)</f>
        <v>0</v>
      </c>
      <c r="AN191" s="199">
        <f>IF(AN186=$D$189,$E$189,0)+IF(AN186=$D$190,$E$190,0)</f>
        <v>0</v>
      </c>
      <c r="AO191" s="199">
        <f>IF(AO186=$D$189,$E$189,0)+IF(AO186=$D$190,$E$190,0)</f>
        <v>0</v>
      </c>
      <c r="AP191" s="168"/>
      <c r="AQ191" s="199">
        <f>IF(AQ186=$D$189,$E$189,0)+IF(AQ186=$D$190,$E$190,0)</f>
        <v>0</v>
      </c>
      <c r="AR191" s="199">
        <f>IF(AR186=$D$189,$E$189,0)+IF(AR186=$D$190,$E$190,0)</f>
        <v>0</v>
      </c>
      <c r="AS191" s="199">
        <f>IF(AS186=$D$189,$E$189,0)+IF(AS186=$D$190,$E$190,0)</f>
        <v>0</v>
      </c>
      <c r="AT191" s="199">
        <f>IF(AT186=$D$189,$E$189,0)+IF(AT186=$D$190,$E$190,0)</f>
        <v>0</v>
      </c>
      <c r="AU191" s="168"/>
      <c r="AV191" s="23"/>
      <c r="AW191" s="23"/>
      <c r="AX191" s="23"/>
      <c r="AY191" s="23"/>
      <c r="AZ191" s="23"/>
      <c r="BA191" s="23"/>
      <c r="BB191" s="23"/>
      <c r="BC191" s="23"/>
      <c r="BD191" s="23"/>
      <c r="BE191" s="23"/>
      <c r="BF191" s="23"/>
      <c r="BG191" s="23"/>
      <c r="BH191" s="23"/>
      <c r="BI191" s="23"/>
      <c r="BJ191" s="23"/>
      <c r="BK191" s="23"/>
      <c r="BL191" s="23"/>
      <c r="BM191" s="23"/>
      <c r="BN191" s="23"/>
      <c r="BO191" s="23"/>
      <c r="BP191" s="23"/>
      <c r="BQ191" s="23"/>
      <c r="BR191" s="23"/>
      <c r="BS191" s="23"/>
      <c r="BT191" s="23"/>
      <c r="BU191" s="23"/>
      <c r="BV191" s="23"/>
      <c r="BW191" s="23"/>
      <c r="BX191" s="23"/>
      <c r="BY191" s="23"/>
      <c r="BZ191" s="23"/>
      <c r="CA191" s="133"/>
      <c r="CB191" s="133"/>
      <c r="CC191" s="133"/>
    </row>
    <row r="192" spans="1:81" s="27" customFormat="1" outlineLevel="1">
      <c r="C192" s="80"/>
      <c r="D192" s="133"/>
      <c r="E192" s="133"/>
      <c r="F192" s="133"/>
      <c r="G192" s="133"/>
      <c r="H192" s="133"/>
      <c r="I192" s="133"/>
      <c r="J192" s="133"/>
      <c r="K192" s="133"/>
      <c r="L192" s="168"/>
      <c r="M192" s="133"/>
      <c r="N192" s="133"/>
      <c r="O192" s="133"/>
      <c r="P192" s="133"/>
      <c r="Q192" s="168"/>
      <c r="R192" s="133"/>
      <c r="S192" s="133"/>
      <c r="T192" s="133"/>
      <c r="U192" s="133"/>
      <c r="V192" s="168"/>
      <c r="W192" s="133"/>
      <c r="X192" s="133"/>
      <c r="Y192" s="133"/>
      <c r="Z192" s="133"/>
      <c r="AA192" s="168"/>
      <c r="AB192" s="133"/>
      <c r="AC192" s="133"/>
      <c r="AD192" s="133"/>
      <c r="AE192" s="133"/>
      <c r="AF192" s="168"/>
      <c r="AG192" s="133"/>
      <c r="AH192" s="133"/>
      <c r="AI192" s="133"/>
      <c r="AJ192" s="133"/>
      <c r="AK192" s="168"/>
      <c r="AL192" s="133"/>
      <c r="AM192" s="133"/>
      <c r="AN192" s="133"/>
      <c r="AO192" s="133"/>
      <c r="AP192" s="168"/>
      <c r="AQ192" s="133"/>
      <c r="AR192" s="133"/>
      <c r="AS192" s="133"/>
      <c r="AT192" s="133"/>
      <c r="AU192" s="168"/>
      <c r="AV192" s="23"/>
      <c r="AW192" s="23"/>
      <c r="AX192" s="23"/>
      <c r="AY192" s="23"/>
      <c r="AZ192" s="23"/>
      <c r="BA192" s="23"/>
      <c r="BB192" s="23"/>
      <c r="BC192" s="23"/>
      <c r="BD192" s="23"/>
      <c r="BE192" s="23"/>
      <c r="BF192" s="23"/>
      <c r="BG192" s="23"/>
      <c r="BH192" s="23"/>
      <c r="BI192" s="23"/>
      <c r="BJ192" s="23"/>
      <c r="BK192" s="23"/>
      <c r="BL192" s="23"/>
      <c r="BM192" s="23"/>
      <c r="BN192" s="23"/>
      <c r="BO192" s="23"/>
      <c r="BP192" s="23"/>
      <c r="BQ192" s="23"/>
      <c r="BR192" s="23"/>
      <c r="BS192" s="23"/>
      <c r="BT192" s="23"/>
      <c r="BU192" s="23"/>
      <c r="BV192" s="23"/>
      <c r="BW192" s="23"/>
      <c r="BX192" s="23"/>
      <c r="BY192" s="23"/>
      <c r="BZ192" s="23"/>
      <c r="CA192" s="133"/>
      <c r="CB192" s="133"/>
      <c r="CC192" s="133"/>
    </row>
    <row r="193" spans="3:81" s="84" customFormat="1" outlineLevel="1">
      <c r="C193" s="165" t="s">
        <v>116</v>
      </c>
      <c r="D193" s="166"/>
      <c r="E193" s="166"/>
      <c r="F193" s="166"/>
      <c r="G193" s="166"/>
      <c r="H193" s="166"/>
      <c r="I193" s="166"/>
      <c r="J193" s="166"/>
      <c r="K193" s="166"/>
      <c r="L193" s="167">
        <v>0</v>
      </c>
      <c r="M193" s="166">
        <f>L195</f>
        <v>0</v>
      </c>
      <c r="N193" s="166">
        <f>M195</f>
        <v>0</v>
      </c>
      <c r="O193" s="166">
        <f>N195</f>
        <v>0</v>
      </c>
      <c r="P193" s="166">
        <f>M195</f>
        <v>0</v>
      </c>
      <c r="Q193" s="167">
        <f>L195</f>
        <v>0</v>
      </c>
      <c r="R193" s="166">
        <f>Q195</f>
        <v>0</v>
      </c>
      <c r="S193" s="166">
        <f>R195</f>
        <v>0</v>
      </c>
      <c r="T193" s="166">
        <f>S195</f>
        <v>0</v>
      </c>
      <c r="U193" s="166">
        <f>R195</f>
        <v>0</v>
      </c>
      <c r="V193" s="167">
        <f>Q195</f>
        <v>0</v>
      </c>
      <c r="W193" s="166">
        <f>V195</f>
        <v>0</v>
      </c>
      <c r="X193" s="166">
        <f>W195</f>
        <v>0</v>
      </c>
      <c r="Y193" s="166">
        <f>X195</f>
        <v>0</v>
      </c>
      <c r="Z193" s="166">
        <f>W195</f>
        <v>0</v>
      </c>
      <c r="AA193" s="167">
        <f>V195</f>
        <v>0</v>
      </c>
      <c r="AB193" s="166">
        <f>AA195</f>
        <v>0</v>
      </c>
      <c r="AC193" s="166">
        <f>AB195</f>
        <v>0</v>
      </c>
      <c r="AD193" s="166">
        <f>AC195</f>
        <v>0</v>
      </c>
      <c r="AE193" s="166">
        <f>AB195</f>
        <v>0</v>
      </c>
      <c r="AF193" s="167">
        <f>AA195</f>
        <v>0</v>
      </c>
      <c r="AG193" s="166">
        <f>AF195</f>
        <v>0</v>
      </c>
      <c r="AH193" s="166">
        <f>AG195</f>
        <v>0</v>
      </c>
      <c r="AI193" s="166">
        <f>AH195</f>
        <v>0</v>
      </c>
      <c r="AJ193" s="166">
        <f>AG195</f>
        <v>0</v>
      </c>
      <c r="AK193" s="167">
        <f>AF195</f>
        <v>0</v>
      </c>
      <c r="AL193" s="166">
        <f>AK195</f>
        <v>0</v>
      </c>
      <c r="AM193" s="166">
        <f>AL195</f>
        <v>0</v>
      </c>
      <c r="AN193" s="166">
        <f>AM195</f>
        <v>0</v>
      </c>
      <c r="AO193" s="166">
        <f>AL195</f>
        <v>0</v>
      </c>
      <c r="AP193" s="167">
        <f>AK195</f>
        <v>0</v>
      </c>
      <c r="AQ193" s="166">
        <f>AP195</f>
        <v>0</v>
      </c>
      <c r="AR193" s="166">
        <f>AQ195</f>
        <v>0</v>
      </c>
      <c r="AS193" s="166">
        <f>AR195</f>
        <v>0</v>
      </c>
      <c r="AT193" s="166">
        <f>AQ195</f>
        <v>0</v>
      </c>
      <c r="AU193" s="167">
        <f>AP195</f>
        <v>0</v>
      </c>
      <c r="AV193" s="23"/>
      <c r="AW193" s="23"/>
      <c r="AX193" s="23"/>
      <c r="AY193" s="23"/>
      <c r="AZ193" s="23"/>
      <c r="BA193" s="23"/>
      <c r="BB193" s="23"/>
      <c r="BC193" s="23"/>
      <c r="BD193" s="23"/>
      <c r="BE193" s="23"/>
      <c r="BF193" s="23"/>
      <c r="CA193" s="132"/>
      <c r="CB193" s="132"/>
      <c r="CC193" s="132"/>
    </row>
    <row r="194" spans="3:81" s="27" customFormat="1" outlineLevel="1">
      <c r="C194" s="80" t="s">
        <v>117</v>
      </c>
      <c r="E194" s="133"/>
      <c r="F194" s="133"/>
      <c r="G194" s="133"/>
      <c r="H194" s="133"/>
      <c r="I194" s="133"/>
      <c r="J194" s="133"/>
      <c r="K194" s="133"/>
      <c r="L194" s="168">
        <f>SUM(H194:K194)</f>
        <v>0</v>
      </c>
      <c r="M194" s="133">
        <f>M191*-$D$195</f>
        <v>0</v>
      </c>
      <c r="N194" s="133">
        <f>N191*-$D$195</f>
        <v>0</v>
      </c>
      <c r="O194" s="133">
        <f>O191*-$D$195</f>
        <v>0</v>
      </c>
      <c r="P194" s="133">
        <f>P191*-$D$195</f>
        <v>0</v>
      </c>
      <c r="Q194" s="168">
        <f>SUM(M194:P194)</f>
        <v>0</v>
      </c>
      <c r="R194" s="133">
        <f>R191*-$D$195</f>
        <v>0</v>
      </c>
      <c r="S194" s="133">
        <f>S191*-$D$195</f>
        <v>0</v>
      </c>
      <c r="T194" s="133">
        <f>T191*-$D$195</f>
        <v>0</v>
      </c>
      <c r="U194" s="133">
        <f>U191*-$D$195</f>
        <v>0</v>
      </c>
      <c r="V194" s="168">
        <f>SUM(R194:U194)</f>
        <v>0</v>
      </c>
      <c r="W194" s="133">
        <f>W191*-$D$195</f>
        <v>0</v>
      </c>
      <c r="X194" s="133">
        <f>X191*-$D$195</f>
        <v>0</v>
      </c>
      <c r="Y194" s="133">
        <f>Y191*-$D$195</f>
        <v>0</v>
      </c>
      <c r="Z194" s="133">
        <f>Z191*-$D$195</f>
        <v>0</v>
      </c>
      <c r="AA194" s="168">
        <f>SUM(W194:Z194)</f>
        <v>0</v>
      </c>
      <c r="AB194" s="133">
        <f>AB191*-$D$195</f>
        <v>0</v>
      </c>
      <c r="AC194" s="133">
        <f>AC191*-$D$195</f>
        <v>0</v>
      </c>
      <c r="AD194" s="133">
        <f>AD191*-$D$195</f>
        <v>0</v>
      </c>
      <c r="AE194" s="133">
        <f>AE191*-$D$195</f>
        <v>0</v>
      </c>
      <c r="AF194" s="168">
        <f>SUM(AB194:AE194)</f>
        <v>0</v>
      </c>
      <c r="AG194" s="133">
        <f>AG191*-$D$195</f>
        <v>0</v>
      </c>
      <c r="AH194" s="133">
        <f>AH191*-$D$195</f>
        <v>0</v>
      </c>
      <c r="AI194" s="133">
        <f>AI191*-$D$195</f>
        <v>0</v>
      </c>
      <c r="AJ194" s="133">
        <f>AJ191*-$D$195</f>
        <v>0</v>
      </c>
      <c r="AK194" s="168">
        <f>SUM(AG194:AJ194)</f>
        <v>0</v>
      </c>
      <c r="AL194" s="133">
        <f>AL191*-$D$195</f>
        <v>0</v>
      </c>
      <c r="AM194" s="133">
        <f>AM191*-$D$195</f>
        <v>0</v>
      </c>
      <c r="AN194" s="133">
        <f>AN191*-$D$195</f>
        <v>0</v>
      </c>
      <c r="AO194" s="133">
        <f>AO191*-$D$195</f>
        <v>0</v>
      </c>
      <c r="AP194" s="168">
        <f>SUM(AL194:AO194)</f>
        <v>0</v>
      </c>
      <c r="AQ194" s="133">
        <f>AQ191*-$D$195</f>
        <v>0</v>
      </c>
      <c r="AR194" s="133">
        <f>AR191*-$D$195</f>
        <v>0</v>
      </c>
      <c r="AS194" s="133">
        <f>AS191*-$D$195</f>
        <v>0</v>
      </c>
      <c r="AT194" s="133">
        <f>AT191*-$D$195</f>
        <v>0</v>
      </c>
      <c r="AU194" s="168">
        <f>SUM(AQ194:AT194)</f>
        <v>0</v>
      </c>
      <c r="AV194" s="23"/>
      <c r="AW194" s="23"/>
      <c r="AX194" s="23"/>
      <c r="AY194" s="23"/>
      <c r="AZ194" s="23"/>
      <c r="BA194" s="23"/>
      <c r="BB194" s="23"/>
      <c r="BC194" s="23"/>
      <c r="BD194" s="23"/>
      <c r="BE194" s="23"/>
      <c r="BF194" s="23"/>
      <c r="BG194" s="23"/>
      <c r="BH194" s="23"/>
      <c r="BI194" s="23"/>
      <c r="BJ194" s="23"/>
      <c r="BK194" s="23"/>
      <c r="BL194" s="23"/>
      <c r="BM194" s="23"/>
      <c r="BN194" s="23"/>
      <c r="BO194" s="23"/>
      <c r="BP194" s="23"/>
      <c r="BQ194" s="23"/>
      <c r="BR194" s="23"/>
      <c r="BS194" s="23"/>
      <c r="BT194" s="23"/>
      <c r="BU194" s="23"/>
      <c r="BV194" s="23"/>
      <c r="BW194" s="23"/>
      <c r="BX194" s="23"/>
      <c r="BY194" s="23"/>
      <c r="BZ194" s="23"/>
      <c r="CA194" s="133"/>
      <c r="CB194" s="133"/>
      <c r="CC194" s="133"/>
    </row>
    <row r="195" spans="3:81" s="84" customFormat="1" outlineLevel="1">
      <c r="C195" s="165" t="s">
        <v>119</v>
      </c>
      <c r="D195" s="207">
        <f>'Debt Structure'!D32</f>
        <v>20</v>
      </c>
      <c r="E195" s="166"/>
      <c r="F195" s="166"/>
      <c r="G195" s="166"/>
      <c r="H195" s="166"/>
      <c r="I195" s="166"/>
      <c r="J195" s="166"/>
      <c r="K195" s="166"/>
      <c r="L195" s="167">
        <f>L193+L194</f>
        <v>0</v>
      </c>
      <c r="M195" s="166">
        <f>M194+M193</f>
        <v>0</v>
      </c>
      <c r="N195" s="166">
        <f>N194+N193</f>
        <v>0</v>
      </c>
      <c r="O195" s="166">
        <f>O194+O193</f>
        <v>0</v>
      </c>
      <c r="P195" s="166">
        <f>P194+P193</f>
        <v>0</v>
      </c>
      <c r="Q195" s="167">
        <f>Q193+Q194</f>
        <v>0</v>
      </c>
      <c r="R195" s="166">
        <f>R194+R193</f>
        <v>0</v>
      </c>
      <c r="S195" s="166">
        <f>S194+S193</f>
        <v>0</v>
      </c>
      <c r="T195" s="166">
        <f>T194+T193</f>
        <v>0</v>
      </c>
      <c r="U195" s="166">
        <f>U194+U193</f>
        <v>0</v>
      </c>
      <c r="V195" s="167">
        <f>V193+V194</f>
        <v>0</v>
      </c>
      <c r="W195" s="166">
        <f>W194+W193</f>
        <v>0</v>
      </c>
      <c r="X195" s="166">
        <f>X194+X193</f>
        <v>0</v>
      </c>
      <c r="Y195" s="166">
        <f>Y194+Y193</f>
        <v>0</v>
      </c>
      <c r="Z195" s="166">
        <f>Z194+Z193</f>
        <v>0</v>
      </c>
      <c r="AA195" s="167">
        <f>AA193+AA194</f>
        <v>0</v>
      </c>
      <c r="AB195" s="166">
        <f>AB194+AB193</f>
        <v>0</v>
      </c>
      <c r="AC195" s="166">
        <f>AC194+AC193</f>
        <v>0</v>
      </c>
      <c r="AD195" s="166">
        <f>AD194+AD193</f>
        <v>0</v>
      </c>
      <c r="AE195" s="166">
        <f>AE194+AE193</f>
        <v>0</v>
      </c>
      <c r="AF195" s="167">
        <f>AF193+AF194</f>
        <v>0</v>
      </c>
      <c r="AG195" s="166">
        <f>AG194+AG193</f>
        <v>0</v>
      </c>
      <c r="AH195" s="166">
        <f>AH194+AH193</f>
        <v>0</v>
      </c>
      <c r="AI195" s="166">
        <f>AI194+AI193</f>
        <v>0</v>
      </c>
      <c r="AJ195" s="166">
        <f>AJ194+AJ193</f>
        <v>0</v>
      </c>
      <c r="AK195" s="167">
        <f>AK193+AK194</f>
        <v>0</v>
      </c>
      <c r="AL195" s="166">
        <f>AL194+AL193</f>
        <v>0</v>
      </c>
      <c r="AM195" s="166">
        <f>AM194+AM193</f>
        <v>0</v>
      </c>
      <c r="AN195" s="166">
        <f>AN194+AN193</f>
        <v>0</v>
      </c>
      <c r="AO195" s="166">
        <f>AO194+AO193</f>
        <v>0</v>
      </c>
      <c r="AP195" s="167">
        <f>AP193+AP194</f>
        <v>0</v>
      </c>
      <c r="AQ195" s="166">
        <f>AQ194+AQ193</f>
        <v>0</v>
      </c>
      <c r="AR195" s="166">
        <f>AR194+AR193</f>
        <v>0</v>
      </c>
      <c r="AS195" s="166">
        <f>AS194+AS193</f>
        <v>0</v>
      </c>
      <c r="AT195" s="166">
        <f>AT194+AT193</f>
        <v>0</v>
      </c>
      <c r="AU195" s="167">
        <f>AU193+AU194</f>
        <v>0</v>
      </c>
      <c r="AV195" s="23"/>
      <c r="AW195" s="23"/>
      <c r="AX195" s="23"/>
      <c r="AY195" s="23"/>
      <c r="AZ195" s="23"/>
      <c r="BA195" s="23"/>
      <c r="BB195" s="23"/>
      <c r="BC195" s="23"/>
      <c r="BD195" s="23"/>
      <c r="BE195" s="23"/>
      <c r="BF195" s="23"/>
      <c r="CA195" s="132"/>
      <c r="CB195" s="132"/>
      <c r="CC195" s="132"/>
    </row>
    <row r="196" spans="3:81" s="27" customFormat="1" outlineLevel="1">
      <c r="E196" s="133"/>
      <c r="F196" s="133"/>
      <c r="G196" s="133"/>
      <c r="H196" s="133"/>
      <c r="I196" s="133"/>
      <c r="J196" s="133"/>
      <c r="K196" s="133"/>
      <c r="L196" s="168"/>
      <c r="M196" s="133"/>
      <c r="N196" s="133"/>
      <c r="O196" s="133"/>
      <c r="P196" s="133"/>
      <c r="Q196" s="168"/>
      <c r="R196" s="133"/>
      <c r="S196" s="133"/>
      <c r="T196" s="133"/>
      <c r="U196" s="133"/>
      <c r="V196" s="168"/>
      <c r="W196" s="133"/>
      <c r="X196" s="133"/>
      <c r="Y196" s="133"/>
      <c r="Z196" s="133"/>
      <c r="AA196" s="168"/>
      <c r="AB196" s="133"/>
      <c r="AC196" s="133"/>
      <c r="AD196" s="133"/>
      <c r="AE196" s="133"/>
      <c r="AF196" s="168"/>
      <c r="AG196" s="133"/>
      <c r="AH196" s="133"/>
      <c r="AI196" s="133"/>
      <c r="AJ196" s="133"/>
      <c r="AK196" s="168"/>
      <c r="AL196" s="133"/>
      <c r="AM196" s="133"/>
      <c r="AN196" s="133"/>
      <c r="AO196" s="133"/>
      <c r="AP196" s="168"/>
      <c r="AQ196" s="133"/>
      <c r="AR196" s="133"/>
      <c r="AS196" s="133"/>
      <c r="AT196" s="133"/>
      <c r="AU196" s="168"/>
      <c r="AV196" s="23"/>
      <c r="AW196" s="23"/>
      <c r="AX196" s="23"/>
      <c r="AY196" s="23"/>
      <c r="AZ196" s="23"/>
      <c r="BA196" s="23"/>
      <c r="BB196" s="23"/>
      <c r="BC196" s="23"/>
      <c r="BD196" s="23"/>
      <c r="BE196" s="23"/>
      <c r="BF196" s="23"/>
      <c r="BG196" s="23"/>
      <c r="BH196" s="23"/>
      <c r="BI196" s="23"/>
      <c r="BJ196" s="23"/>
      <c r="BK196" s="23"/>
      <c r="BL196" s="23"/>
      <c r="BM196" s="23"/>
      <c r="BN196" s="23"/>
      <c r="BO196" s="23"/>
      <c r="BP196" s="23"/>
      <c r="BQ196" s="23"/>
      <c r="BR196" s="23"/>
      <c r="BS196" s="23"/>
      <c r="BT196" s="23"/>
      <c r="BU196" s="23"/>
      <c r="BV196" s="23"/>
      <c r="BW196" s="23"/>
      <c r="BX196" s="23"/>
      <c r="BY196" s="23"/>
      <c r="BZ196" s="23"/>
      <c r="CA196" s="133"/>
      <c r="CB196" s="133"/>
      <c r="CC196" s="133"/>
    </row>
    <row r="197" spans="3:81" s="84" customFormat="1" outlineLevel="1">
      <c r="C197" s="165" t="s">
        <v>131</v>
      </c>
      <c r="D197" s="165"/>
      <c r="E197" s="166"/>
      <c r="F197" s="171"/>
      <c r="G197" s="171"/>
      <c r="H197" s="171"/>
      <c r="I197" s="171"/>
      <c r="J197" s="171"/>
      <c r="K197" s="229"/>
      <c r="L197" s="167">
        <f>SUM(H197:K197)</f>
        <v>0</v>
      </c>
      <c r="M197" s="230">
        <f>-M200*AVERAGE(M193,M195)</f>
        <v>0</v>
      </c>
      <c r="N197" s="171">
        <f>-N200*AVERAGE(N193,N195)</f>
        <v>0</v>
      </c>
      <c r="O197" s="171">
        <f>-O200*AVERAGE(O193,O195)</f>
        <v>0</v>
      </c>
      <c r="P197" s="229">
        <f>-P200*AVERAGE(P193,P195)</f>
        <v>0</v>
      </c>
      <c r="Q197" s="167">
        <f>SUM(M197:P197)</f>
        <v>0</v>
      </c>
      <c r="R197" s="230">
        <f>-R200*AVERAGE(R193,R195)</f>
        <v>0</v>
      </c>
      <c r="S197" s="171">
        <f>-S200*AVERAGE(S193,S195)</f>
        <v>0</v>
      </c>
      <c r="T197" s="171">
        <f>-T200*AVERAGE(T193,T195)</f>
        <v>0</v>
      </c>
      <c r="U197" s="229">
        <f>-U200*AVERAGE(U193,U195)</f>
        <v>0</v>
      </c>
      <c r="V197" s="167">
        <f>SUM(R197:U197)</f>
        <v>0</v>
      </c>
      <c r="W197" s="230">
        <f>-W200*AVERAGE(W193,W195)</f>
        <v>0</v>
      </c>
      <c r="X197" s="171">
        <f>-X200*AVERAGE(X193,X195)</f>
        <v>0</v>
      </c>
      <c r="Y197" s="171">
        <f>-Y200*AVERAGE(Y193,Y195)</f>
        <v>0</v>
      </c>
      <c r="Z197" s="229">
        <f>-Z200*AVERAGE(Z193,Z195)</f>
        <v>0</v>
      </c>
      <c r="AA197" s="167">
        <f>SUM(W197:Z197)</f>
        <v>0</v>
      </c>
      <c r="AB197" s="230">
        <f>-AB200*AVERAGE(AB193,AB195)</f>
        <v>0</v>
      </c>
      <c r="AC197" s="171">
        <f>-AC200*AVERAGE(AC193,AC195)</f>
        <v>0</v>
      </c>
      <c r="AD197" s="171">
        <f>-AD200*AVERAGE(AD193,AD195)</f>
        <v>0</v>
      </c>
      <c r="AE197" s="229">
        <f>-AE200*AVERAGE(AE193,AE195)</f>
        <v>0</v>
      </c>
      <c r="AF197" s="167">
        <f>SUM(AB197:AE197)</f>
        <v>0</v>
      </c>
      <c r="AG197" s="230">
        <f>-AG200*AVERAGE(AG193,AG195)</f>
        <v>0</v>
      </c>
      <c r="AH197" s="171">
        <f>-AH200*AVERAGE(AH193,AH195)</f>
        <v>0</v>
      </c>
      <c r="AI197" s="171">
        <f>-AI200*AVERAGE(AI193,AI195)</f>
        <v>0</v>
      </c>
      <c r="AJ197" s="229">
        <f>-AJ200*AVERAGE(AJ193,AJ195)</f>
        <v>0</v>
      </c>
      <c r="AK197" s="167">
        <f>SUM(AG197:AJ197)</f>
        <v>0</v>
      </c>
      <c r="AL197" s="230">
        <f>-AL200*AVERAGE(AL193,AL195)</f>
        <v>0</v>
      </c>
      <c r="AM197" s="171">
        <f>-AM200*AVERAGE(AM193,AM195)</f>
        <v>0</v>
      </c>
      <c r="AN197" s="171">
        <f>-AN200*AVERAGE(AN193,AN195)</f>
        <v>0</v>
      </c>
      <c r="AO197" s="229">
        <f>-AO200*AVERAGE(AO193,AO195)</f>
        <v>0</v>
      </c>
      <c r="AP197" s="167">
        <f>SUM(AL197:AO197)</f>
        <v>0</v>
      </c>
      <c r="AQ197" s="230">
        <f>-AQ200*AVERAGE(AQ193,AQ195)</f>
        <v>0</v>
      </c>
      <c r="AR197" s="171">
        <f>-AR200*AVERAGE(AR193,AR195)</f>
        <v>0</v>
      </c>
      <c r="AS197" s="171">
        <f>-AS200*AVERAGE(AS193,AS195)</f>
        <v>0</v>
      </c>
      <c r="AT197" s="229">
        <f>-AT200*AVERAGE(AT193,AT195)</f>
        <v>0</v>
      </c>
      <c r="AU197" s="167">
        <f>SUM(AQ197:AT197)</f>
        <v>0</v>
      </c>
      <c r="AV197" s="23"/>
      <c r="AW197" s="23"/>
      <c r="AX197" s="23"/>
      <c r="AY197" s="23"/>
      <c r="AZ197" s="23"/>
      <c r="BA197" s="23"/>
      <c r="BB197" s="23"/>
      <c r="BC197" s="23"/>
      <c r="BD197" s="23"/>
      <c r="BE197" s="23"/>
      <c r="BF197" s="23"/>
      <c r="CA197" s="132"/>
      <c r="CB197" s="132"/>
      <c r="CC197" s="132"/>
    </row>
    <row r="198" spans="3:81" s="27" customFormat="1" outlineLevel="1">
      <c r="C198" s="80" t="s">
        <v>132</v>
      </c>
      <c r="D198" s="133"/>
      <c r="E198" s="133"/>
      <c r="F198" s="133"/>
      <c r="G198" s="133"/>
      <c r="H198" s="133"/>
      <c r="I198" s="133"/>
      <c r="J198" s="133"/>
      <c r="K198" s="133"/>
      <c r="L198" s="168"/>
      <c r="M198" s="133"/>
      <c r="N198" s="133"/>
      <c r="O198" s="133"/>
      <c r="P198" s="133"/>
      <c r="Q198" s="168"/>
      <c r="R198" s="133"/>
      <c r="S198" s="133"/>
      <c r="T198" s="133"/>
      <c r="U198" s="133"/>
      <c r="V198" s="168"/>
      <c r="W198" s="133"/>
      <c r="X198" s="133"/>
      <c r="Y198" s="133"/>
      <c r="Z198" s="133"/>
      <c r="AA198" s="168"/>
      <c r="AB198" s="133"/>
      <c r="AC198" s="133"/>
      <c r="AD198" s="133"/>
      <c r="AE198" s="133"/>
      <c r="AF198" s="168"/>
      <c r="AG198" s="133"/>
      <c r="AH198" s="133"/>
      <c r="AI198" s="133"/>
      <c r="AJ198" s="133"/>
      <c r="AK198" s="168"/>
      <c r="AL198" s="133"/>
      <c r="AM198" s="133"/>
      <c r="AN198" s="133"/>
      <c r="AO198" s="133"/>
      <c r="AP198" s="168"/>
      <c r="AQ198" s="133"/>
      <c r="AR198" s="133"/>
      <c r="AS198" s="133"/>
      <c r="AT198" s="133"/>
      <c r="AU198" s="168"/>
      <c r="AV198" s="23"/>
      <c r="AW198" s="23"/>
      <c r="AX198" s="23"/>
      <c r="AY198" s="23"/>
      <c r="AZ198" s="23"/>
      <c r="BA198" s="23"/>
      <c r="BB198" s="23"/>
      <c r="BC198" s="23"/>
      <c r="BD198" s="23"/>
      <c r="BE198" s="23"/>
      <c r="BF198" s="23"/>
      <c r="BG198" s="23"/>
      <c r="BH198" s="23"/>
      <c r="BI198" s="23"/>
      <c r="BJ198" s="23"/>
      <c r="BK198" s="23"/>
      <c r="BL198" s="23"/>
      <c r="BM198" s="23"/>
      <c r="BN198" s="23"/>
      <c r="BO198" s="23"/>
      <c r="BP198" s="23"/>
      <c r="BQ198" s="23"/>
      <c r="BR198" s="23"/>
      <c r="BS198" s="23"/>
      <c r="BT198" s="23"/>
      <c r="BU198" s="23"/>
      <c r="BV198" s="23"/>
      <c r="BW198" s="23"/>
      <c r="BX198" s="23"/>
      <c r="BY198" s="23"/>
      <c r="BZ198" s="23"/>
      <c r="CA198" s="133"/>
      <c r="CB198" s="133"/>
      <c r="CC198" s="133"/>
    </row>
    <row r="199" spans="3:81" s="27" customFormat="1" outlineLevel="1">
      <c r="E199" s="133"/>
      <c r="F199" s="133"/>
      <c r="G199" s="133"/>
      <c r="H199" s="133"/>
      <c r="I199" s="133"/>
      <c r="J199" s="133"/>
      <c r="K199" s="133"/>
      <c r="L199" s="168"/>
      <c r="M199" s="133"/>
      <c r="N199" s="133"/>
      <c r="O199" s="133"/>
      <c r="P199" s="133"/>
      <c r="Q199" s="168"/>
      <c r="R199" s="133"/>
      <c r="S199" s="133"/>
      <c r="T199" s="133"/>
      <c r="U199" s="133"/>
      <c r="V199" s="168"/>
      <c r="W199" s="133"/>
      <c r="X199" s="133"/>
      <c r="Y199" s="133"/>
      <c r="Z199" s="133"/>
      <c r="AA199" s="168"/>
      <c r="AB199" s="133"/>
      <c r="AC199" s="133"/>
      <c r="AD199" s="133"/>
      <c r="AE199" s="133"/>
      <c r="AF199" s="168"/>
      <c r="AG199" s="133"/>
      <c r="AH199" s="133"/>
      <c r="AI199" s="133"/>
      <c r="AJ199" s="133"/>
      <c r="AK199" s="168"/>
      <c r="AL199" s="133"/>
      <c r="AM199" s="133"/>
      <c r="AN199" s="133"/>
      <c r="AO199" s="133"/>
      <c r="AP199" s="168"/>
      <c r="AQ199" s="133"/>
      <c r="AR199" s="133"/>
      <c r="AS199" s="133"/>
      <c r="AT199" s="133"/>
      <c r="AU199" s="168"/>
      <c r="AV199" s="23"/>
      <c r="AW199" s="23"/>
      <c r="AX199" s="23"/>
      <c r="AY199" s="23"/>
      <c r="AZ199" s="23"/>
      <c r="BA199" s="23"/>
      <c r="BB199" s="23"/>
      <c r="BC199" s="23"/>
      <c r="BD199" s="23"/>
      <c r="BE199" s="23"/>
      <c r="BF199" s="23"/>
      <c r="BG199" s="23"/>
      <c r="BH199" s="23"/>
      <c r="BI199" s="23"/>
      <c r="BJ199" s="23"/>
      <c r="BK199" s="23"/>
      <c r="BL199" s="23"/>
      <c r="BM199" s="23"/>
      <c r="BN199" s="23"/>
      <c r="BO199" s="23"/>
      <c r="BP199" s="23"/>
      <c r="BQ199" s="23"/>
      <c r="BR199" s="23"/>
      <c r="BS199" s="23"/>
      <c r="BT199" s="23"/>
      <c r="BU199" s="23"/>
      <c r="BV199" s="23"/>
      <c r="BW199" s="23"/>
      <c r="BX199" s="23"/>
      <c r="BY199" s="23"/>
      <c r="BZ199" s="23"/>
      <c r="CA199" s="133"/>
      <c r="CB199" s="133"/>
      <c r="CC199" s="133"/>
    </row>
    <row r="200" spans="3:81" s="84" customFormat="1" outlineLevel="1">
      <c r="C200" s="165" t="s">
        <v>121</v>
      </c>
      <c r="D200" s="165"/>
      <c r="E200" s="166"/>
      <c r="F200" s="231"/>
      <c r="G200" s="231"/>
      <c r="H200" s="231"/>
      <c r="I200" s="231"/>
      <c r="J200" s="231"/>
      <c r="K200" s="231"/>
      <c r="L200" s="232">
        <f>SUM(H200:K200)</f>
        <v>0</v>
      </c>
      <c r="M200" s="231">
        <f>M201+M202</f>
        <v>1.2500000000000001E-2</v>
      </c>
      <c r="N200" s="231">
        <f>N201+N202</f>
        <v>1.2500000000000001E-2</v>
      </c>
      <c r="O200" s="231">
        <f>O201+O202</f>
        <v>1.2500000000000001E-2</v>
      </c>
      <c r="P200" s="231">
        <f>P201+P202</f>
        <v>1.2500000000000001E-2</v>
      </c>
      <c r="Q200" s="232">
        <f>SUM(M200:P200)</f>
        <v>0.05</v>
      </c>
      <c r="R200" s="231">
        <f>R201+R202</f>
        <v>1.2500000000000001E-2</v>
      </c>
      <c r="S200" s="231">
        <f>S201+S202</f>
        <v>1.2500000000000001E-2</v>
      </c>
      <c r="T200" s="231">
        <f>T201+T202</f>
        <v>1.2500000000000001E-2</v>
      </c>
      <c r="U200" s="231">
        <f>U201+U202</f>
        <v>1.2500000000000001E-2</v>
      </c>
      <c r="V200" s="232">
        <f>SUM(R200:U200)</f>
        <v>0.05</v>
      </c>
      <c r="W200" s="231">
        <f>W201+W202</f>
        <v>1.2500000000000001E-2</v>
      </c>
      <c r="X200" s="231">
        <f>X201+X202</f>
        <v>1.2500000000000001E-2</v>
      </c>
      <c r="Y200" s="231">
        <f>Y201+Y202</f>
        <v>1.2500000000000001E-2</v>
      </c>
      <c r="Z200" s="231">
        <f>Z201+Z202</f>
        <v>1.2500000000000001E-2</v>
      </c>
      <c r="AA200" s="232">
        <f>SUM(W200:Z200)</f>
        <v>0.05</v>
      </c>
      <c r="AB200" s="231">
        <f>AB201+AB202</f>
        <v>1.2500000000000001E-2</v>
      </c>
      <c r="AC200" s="231">
        <f>AC201+AC202</f>
        <v>1.2500000000000001E-2</v>
      </c>
      <c r="AD200" s="231">
        <f>AD201+AD202</f>
        <v>1.2500000000000001E-2</v>
      </c>
      <c r="AE200" s="231">
        <f>AE201+AE202</f>
        <v>1.2500000000000001E-2</v>
      </c>
      <c r="AF200" s="232">
        <f>SUM(AB200:AE200)</f>
        <v>0.05</v>
      </c>
      <c r="AG200" s="231">
        <f>AG201+AG202</f>
        <v>1.2500000000000001E-2</v>
      </c>
      <c r="AH200" s="231">
        <f>AH201+AH202</f>
        <v>1.2500000000000001E-2</v>
      </c>
      <c r="AI200" s="231">
        <f>AI201+AI202</f>
        <v>1.2500000000000001E-2</v>
      </c>
      <c r="AJ200" s="231">
        <f>AJ201+AJ202</f>
        <v>1.2500000000000001E-2</v>
      </c>
      <c r="AK200" s="232">
        <f>SUM(AG200:AJ200)</f>
        <v>0.05</v>
      </c>
      <c r="AL200" s="231">
        <f>AL201+AL202</f>
        <v>1.2500000000000001E-2</v>
      </c>
      <c r="AM200" s="231">
        <f>AM201+AM202</f>
        <v>1.2500000000000001E-2</v>
      </c>
      <c r="AN200" s="231">
        <f>AN201+AN202</f>
        <v>1.2500000000000001E-2</v>
      </c>
      <c r="AO200" s="231">
        <f>AO201+AO202</f>
        <v>1.2500000000000001E-2</v>
      </c>
      <c r="AP200" s="232">
        <f>SUM(AL200:AO200)</f>
        <v>0.05</v>
      </c>
      <c r="AQ200" s="231">
        <f>AQ201+AQ202</f>
        <v>1.2500000000000001E-2</v>
      </c>
      <c r="AR200" s="231">
        <f>AR201+AR202</f>
        <v>1.2500000000000001E-2</v>
      </c>
      <c r="AS200" s="231">
        <f>AS201+AS202</f>
        <v>1.2500000000000001E-2</v>
      </c>
      <c r="AT200" s="231">
        <f>AT201+AT202</f>
        <v>1.2500000000000001E-2</v>
      </c>
      <c r="AU200" s="232">
        <f>SUM(AQ200:AT200)</f>
        <v>0.05</v>
      </c>
      <c r="AV200" s="23"/>
      <c r="AW200" s="23"/>
      <c r="AX200" s="23"/>
      <c r="AY200" s="23"/>
      <c r="AZ200" s="23"/>
      <c r="BA200" s="23"/>
      <c r="BB200" s="23"/>
      <c r="BC200" s="23"/>
      <c r="BD200" s="23"/>
      <c r="BE200" s="23"/>
      <c r="BF200" s="23"/>
      <c r="CA200" s="132"/>
      <c r="CB200" s="132"/>
      <c r="CC200" s="132"/>
    </row>
    <row r="201" spans="3:81" s="27" customFormat="1" outlineLevel="1">
      <c r="C201" s="80" t="s">
        <v>122</v>
      </c>
      <c r="D201" s="212">
        <f>'Debt Structure'!F32</f>
        <v>0.03</v>
      </c>
      <c r="E201" s="133"/>
      <c r="F201" s="233"/>
      <c r="G201" s="233"/>
      <c r="H201" s="233"/>
      <c r="I201" s="233"/>
      <c r="J201" s="233"/>
      <c r="K201" s="233"/>
      <c r="L201" s="234">
        <f>SUM(H201:K201)</f>
        <v>0</v>
      </c>
      <c r="M201" s="233">
        <f>$D$201/4</f>
        <v>7.4999999999999997E-3</v>
      </c>
      <c r="N201" s="233">
        <f>$D$201/4</f>
        <v>7.4999999999999997E-3</v>
      </c>
      <c r="O201" s="233">
        <f>$D$201/4</f>
        <v>7.4999999999999997E-3</v>
      </c>
      <c r="P201" s="233">
        <f>$D$201/4</f>
        <v>7.4999999999999997E-3</v>
      </c>
      <c r="Q201" s="234">
        <f>SUM(M201:P201)</f>
        <v>0.03</v>
      </c>
      <c r="R201" s="233">
        <f>$D$201/4</f>
        <v>7.4999999999999997E-3</v>
      </c>
      <c r="S201" s="233">
        <f>$D$201/4</f>
        <v>7.4999999999999997E-3</v>
      </c>
      <c r="T201" s="233">
        <f>$D$201/4</f>
        <v>7.4999999999999997E-3</v>
      </c>
      <c r="U201" s="233">
        <f>$D$201/4</f>
        <v>7.4999999999999997E-3</v>
      </c>
      <c r="V201" s="234">
        <f>SUM(R201:U201)</f>
        <v>0.03</v>
      </c>
      <c r="W201" s="233">
        <f>$D$201/4</f>
        <v>7.4999999999999997E-3</v>
      </c>
      <c r="X201" s="233">
        <f>$D$201/4</f>
        <v>7.4999999999999997E-3</v>
      </c>
      <c r="Y201" s="233">
        <f>$D$201/4</f>
        <v>7.4999999999999997E-3</v>
      </c>
      <c r="Z201" s="233">
        <f>$D$201/4</f>
        <v>7.4999999999999997E-3</v>
      </c>
      <c r="AA201" s="234">
        <f>SUM(W201:Z201)</f>
        <v>0.03</v>
      </c>
      <c r="AB201" s="233">
        <f>$D$201/4</f>
        <v>7.4999999999999997E-3</v>
      </c>
      <c r="AC201" s="233">
        <f>$D$201/4</f>
        <v>7.4999999999999997E-3</v>
      </c>
      <c r="AD201" s="233">
        <f>$D$201/4</f>
        <v>7.4999999999999997E-3</v>
      </c>
      <c r="AE201" s="233">
        <f>$D$201/4</f>
        <v>7.4999999999999997E-3</v>
      </c>
      <c r="AF201" s="234">
        <f>SUM(AB201:AE201)</f>
        <v>0.03</v>
      </c>
      <c r="AG201" s="233">
        <f>$D$201/4</f>
        <v>7.4999999999999997E-3</v>
      </c>
      <c r="AH201" s="233">
        <f>$D$201/4</f>
        <v>7.4999999999999997E-3</v>
      </c>
      <c r="AI201" s="233">
        <f>$D$201/4</f>
        <v>7.4999999999999997E-3</v>
      </c>
      <c r="AJ201" s="233">
        <f>$D$201/4</f>
        <v>7.4999999999999997E-3</v>
      </c>
      <c r="AK201" s="234">
        <f>SUM(AG201:AJ201)</f>
        <v>0.03</v>
      </c>
      <c r="AL201" s="233">
        <f>$D$201/4</f>
        <v>7.4999999999999997E-3</v>
      </c>
      <c r="AM201" s="233">
        <f>$D$201/4</f>
        <v>7.4999999999999997E-3</v>
      </c>
      <c r="AN201" s="233">
        <f>$D$201/4</f>
        <v>7.4999999999999997E-3</v>
      </c>
      <c r="AO201" s="233">
        <f>$D$201/4</f>
        <v>7.4999999999999997E-3</v>
      </c>
      <c r="AP201" s="234">
        <f>SUM(AL201:AO201)</f>
        <v>0.03</v>
      </c>
      <c r="AQ201" s="233">
        <f>$D$201/4</f>
        <v>7.4999999999999997E-3</v>
      </c>
      <c r="AR201" s="233">
        <f>$D$201/4</f>
        <v>7.4999999999999997E-3</v>
      </c>
      <c r="AS201" s="233">
        <f>$D$201/4</f>
        <v>7.4999999999999997E-3</v>
      </c>
      <c r="AT201" s="233">
        <f>$D$201/4</f>
        <v>7.4999999999999997E-3</v>
      </c>
      <c r="AU201" s="234">
        <f>SUM(AQ201:AT201)</f>
        <v>0.03</v>
      </c>
      <c r="AV201" s="23"/>
      <c r="AW201" s="23"/>
      <c r="AX201" s="23"/>
      <c r="AY201" s="23"/>
      <c r="AZ201" s="23"/>
      <c r="BA201" s="23"/>
      <c r="BB201" s="23"/>
      <c r="BC201" s="23"/>
      <c r="BD201" s="23"/>
      <c r="BE201" s="23"/>
      <c r="BF201" s="23"/>
      <c r="BG201" s="23"/>
      <c r="BH201" s="23"/>
      <c r="BI201" s="23"/>
      <c r="BJ201" s="23"/>
      <c r="BK201" s="23"/>
      <c r="BL201" s="23"/>
      <c r="BM201" s="23"/>
      <c r="BN201" s="23"/>
      <c r="BO201" s="23"/>
      <c r="BP201" s="23"/>
      <c r="BQ201" s="23"/>
      <c r="BR201" s="23"/>
      <c r="BS201" s="23"/>
      <c r="BT201" s="23"/>
      <c r="BU201" s="23"/>
      <c r="BV201" s="23"/>
      <c r="BW201" s="23"/>
      <c r="BX201" s="23"/>
      <c r="BY201" s="23"/>
      <c r="BZ201" s="23"/>
      <c r="CA201" s="133"/>
      <c r="CB201" s="133"/>
      <c r="CC201" s="133"/>
    </row>
    <row r="202" spans="3:81" s="567" customFormat="1" outlineLevel="1">
      <c r="C202" s="687" t="s">
        <v>123</v>
      </c>
      <c r="D202" s="688"/>
      <c r="E202" s="688"/>
      <c r="F202" s="689"/>
      <c r="G202" s="689"/>
      <c r="H202" s="689"/>
      <c r="I202" s="689"/>
      <c r="J202" s="689"/>
      <c r="K202" s="689"/>
      <c r="L202" s="690"/>
      <c r="M202" s="691" cm="1">
        <f t="array" ref="M202:P202">TRANSPOSE('Debt Structure'!I65:I68)</f>
        <v>5.0000000000000001E-3</v>
      </c>
      <c r="N202" s="691">
        <v>5.0000000000000001E-3</v>
      </c>
      <c r="O202" s="691">
        <v>5.0000000000000001E-3</v>
      </c>
      <c r="P202" s="691">
        <v>5.0000000000000001E-3</v>
      </c>
      <c r="Q202" s="690">
        <f>SUM(M202:P202)</f>
        <v>0.02</v>
      </c>
      <c r="R202" s="691" cm="1">
        <f t="array" ref="R202:U202">TRANSPOSE('Debt Structure'!I69:I72)</f>
        <v>5.0000000000000001E-3</v>
      </c>
      <c r="S202" s="691">
        <v>5.0000000000000001E-3</v>
      </c>
      <c r="T202" s="691">
        <v>5.0000000000000001E-3</v>
      </c>
      <c r="U202" s="691">
        <v>5.0000000000000001E-3</v>
      </c>
      <c r="V202" s="690">
        <f>SUM(R202:U202)</f>
        <v>0.02</v>
      </c>
      <c r="W202" s="691" cm="1">
        <f t="array" ref="W202:Z202">TRANSPOSE('Debt Structure'!I73:I76)</f>
        <v>5.0000000000000001E-3</v>
      </c>
      <c r="X202" s="691">
        <v>5.0000000000000001E-3</v>
      </c>
      <c r="Y202" s="691">
        <v>5.0000000000000001E-3</v>
      </c>
      <c r="Z202" s="691">
        <v>5.0000000000000001E-3</v>
      </c>
      <c r="AA202" s="690">
        <f>SUM(W202:Z202)</f>
        <v>0.02</v>
      </c>
      <c r="AB202" s="691" cm="1">
        <f t="array" ref="AB202:AE202">TRANSPOSE('Debt Structure'!I77:I80)</f>
        <v>5.0000000000000001E-3</v>
      </c>
      <c r="AC202" s="691">
        <v>5.0000000000000001E-3</v>
      </c>
      <c r="AD202" s="691">
        <v>5.0000000000000001E-3</v>
      </c>
      <c r="AE202" s="691">
        <v>5.0000000000000001E-3</v>
      </c>
      <c r="AF202" s="690">
        <f>SUM(AB202:AE202)</f>
        <v>0.02</v>
      </c>
      <c r="AG202" s="691" cm="1">
        <f t="array" ref="AG202:AJ202">TRANSPOSE('Debt Structure'!I81:I84)</f>
        <v>5.0000000000000001E-3</v>
      </c>
      <c r="AH202" s="691">
        <v>5.0000000000000001E-3</v>
      </c>
      <c r="AI202" s="691">
        <v>5.0000000000000001E-3</v>
      </c>
      <c r="AJ202" s="691">
        <v>5.0000000000000001E-3</v>
      </c>
      <c r="AK202" s="690">
        <f>SUM(AG202:AJ202)</f>
        <v>0.02</v>
      </c>
      <c r="AL202" s="691" cm="1">
        <f t="array" ref="AL202:AO202">+TRANSPOSE('Debt Structure'!$I$85:$I$88)</f>
        <v>5.0000000000000001E-3</v>
      </c>
      <c r="AM202" s="691">
        <v>5.0000000000000001E-3</v>
      </c>
      <c r="AN202" s="691">
        <v>5.0000000000000001E-3</v>
      </c>
      <c r="AO202" s="691">
        <v>5.0000000000000001E-3</v>
      </c>
      <c r="AP202" s="690">
        <f>SUM(AL202:AO202)</f>
        <v>0.02</v>
      </c>
      <c r="AQ202" s="691" cm="1">
        <f t="array" ref="AQ202:AT202">+TRANSPOSE('Debt Structure'!$I$89:$I$92)</f>
        <v>5.0000000000000001E-3</v>
      </c>
      <c r="AR202" s="691">
        <v>5.0000000000000001E-3</v>
      </c>
      <c r="AS202" s="691">
        <v>5.0000000000000001E-3</v>
      </c>
      <c r="AT202" s="691">
        <v>5.0000000000000001E-3</v>
      </c>
      <c r="AU202" s="690">
        <f>SUM(AQ202:AT202)</f>
        <v>0.02</v>
      </c>
      <c r="AV202" s="540"/>
      <c r="AW202" s="540"/>
      <c r="AX202" s="540"/>
      <c r="AY202" s="540"/>
      <c r="AZ202" s="540"/>
      <c r="BA202" s="540"/>
      <c r="BB202" s="540"/>
      <c r="BC202" s="540"/>
      <c r="BD202" s="540"/>
      <c r="BE202" s="540"/>
      <c r="BF202" s="540"/>
      <c r="BG202" s="540"/>
      <c r="BH202" s="540"/>
      <c r="BI202" s="540"/>
      <c r="BJ202" s="540"/>
      <c r="BK202" s="540"/>
      <c r="BL202" s="540"/>
      <c r="BM202" s="540"/>
      <c r="BN202" s="540"/>
      <c r="BO202" s="540"/>
      <c r="BP202" s="540"/>
      <c r="BQ202" s="540"/>
      <c r="BR202" s="540"/>
      <c r="BS202" s="540"/>
      <c r="BT202" s="540"/>
      <c r="BU202" s="540"/>
      <c r="BV202" s="540"/>
      <c r="BW202" s="540"/>
      <c r="BX202" s="540"/>
      <c r="BY202" s="540"/>
      <c r="BZ202" s="540"/>
      <c r="CA202" s="642"/>
      <c r="CB202" s="642"/>
      <c r="CC202" s="642"/>
    </row>
    <row r="203" spans="3:81" s="27" customFormat="1" outlineLevel="1">
      <c r="C203" s="84"/>
      <c r="E203" s="132"/>
      <c r="F203" s="132"/>
      <c r="G203" s="132"/>
      <c r="H203" s="133"/>
      <c r="I203" s="133"/>
      <c r="J203" s="133"/>
      <c r="K203" s="133"/>
      <c r="L203" s="203"/>
      <c r="M203" s="133"/>
      <c r="N203" s="133"/>
      <c r="O203" s="133"/>
      <c r="P203" s="133"/>
      <c r="Q203" s="203"/>
      <c r="R203" s="133"/>
      <c r="S203" s="133"/>
      <c r="T203" s="133"/>
      <c r="U203" s="133"/>
      <c r="V203" s="203"/>
      <c r="W203" s="133"/>
      <c r="X203" s="133"/>
      <c r="Y203" s="133"/>
      <c r="Z203" s="133"/>
      <c r="AA203" s="203"/>
      <c r="AB203" s="133"/>
      <c r="AC203" s="133"/>
      <c r="AD203" s="133"/>
      <c r="AE203" s="133"/>
      <c r="AF203" s="203"/>
      <c r="AG203" s="133"/>
      <c r="AH203" s="133"/>
      <c r="AI203" s="133"/>
      <c r="AJ203" s="133"/>
      <c r="AK203" s="203"/>
      <c r="AL203" s="133"/>
      <c r="AM203" s="133"/>
      <c r="AN203" s="133"/>
      <c r="AO203" s="133"/>
      <c r="AP203" s="203"/>
      <c r="AQ203" s="133"/>
      <c r="AR203" s="133"/>
      <c r="AS203" s="133"/>
      <c r="AT203" s="133"/>
      <c r="AU203" s="203"/>
      <c r="AV203" s="23"/>
      <c r="AW203" s="23"/>
      <c r="AX203" s="23"/>
      <c r="AY203" s="23"/>
      <c r="AZ203" s="23"/>
      <c r="BA203" s="23"/>
      <c r="BB203" s="23"/>
      <c r="BC203" s="23"/>
      <c r="BD203" s="23"/>
      <c r="BE203" s="23"/>
      <c r="BF203" s="23"/>
      <c r="BG203" s="23"/>
      <c r="BH203" s="23"/>
      <c r="BI203" s="23"/>
      <c r="BJ203" s="23"/>
      <c r="BK203" s="23"/>
      <c r="BL203" s="23"/>
      <c r="BM203" s="23"/>
      <c r="BN203" s="23"/>
      <c r="BO203" s="23"/>
      <c r="BP203" s="23"/>
      <c r="BQ203" s="23"/>
      <c r="BR203" s="23"/>
      <c r="BS203" s="23"/>
      <c r="BT203" s="23"/>
      <c r="BU203" s="23"/>
      <c r="BV203" s="23"/>
      <c r="BW203" s="23"/>
      <c r="BX203" s="23"/>
      <c r="BY203" s="23"/>
      <c r="BZ203" s="23"/>
      <c r="CA203" s="133"/>
      <c r="CB203" s="133"/>
      <c r="CC203" s="133"/>
    </row>
    <row r="204" spans="3:81" s="84" customFormat="1" outlineLevel="1">
      <c r="C204" s="165" t="s">
        <v>126</v>
      </c>
      <c r="D204" s="165"/>
      <c r="E204" s="166"/>
      <c r="F204" s="166"/>
      <c r="G204" s="166"/>
      <c r="H204" s="231"/>
      <c r="I204" s="231"/>
      <c r="J204" s="166"/>
      <c r="K204" s="166"/>
      <c r="L204" s="225"/>
      <c r="M204" s="166">
        <f>($D$195-AVERAGE(M193,M195))*-M205</f>
        <v>-0.05</v>
      </c>
      <c r="N204" s="166">
        <f>($D$195-AVERAGE(N193,N195))*-N205</f>
        <v>-0.05</v>
      </c>
      <c r="O204" s="166">
        <f>($D$195-AVERAGE(O193,O195))*-O205</f>
        <v>-0.05</v>
      </c>
      <c r="P204" s="166">
        <f>($D$195-AVERAGE(P193,P195))*-P205</f>
        <v>-0.05</v>
      </c>
      <c r="Q204" s="189">
        <f>SUM(M204:P204)</f>
        <v>-0.2</v>
      </c>
      <c r="R204" s="166">
        <f>($D$195-AVERAGE(R193,R195))*-R205</f>
        <v>-0.05</v>
      </c>
      <c r="S204" s="166">
        <f>($D$195-AVERAGE(S193,S195))*-S205</f>
        <v>-0.05</v>
      </c>
      <c r="T204" s="166">
        <f>($D$195-AVERAGE(T193,T195))*-T205</f>
        <v>-0.05</v>
      </c>
      <c r="U204" s="166">
        <f>($D$195-AVERAGE(U193,U195))*-U205</f>
        <v>-0.05</v>
      </c>
      <c r="V204" s="189">
        <f>SUM(R204:U204)</f>
        <v>-0.2</v>
      </c>
      <c r="W204" s="166">
        <f>($D$195-AVERAGE(W193,W195))*-W205</f>
        <v>-0.05</v>
      </c>
      <c r="X204" s="166">
        <f>($D$195-AVERAGE(X193,X195))*-X205</f>
        <v>-0.05</v>
      </c>
      <c r="Y204" s="166">
        <f>($D$195-AVERAGE(Y193,Y195))*-Y205</f>
        <v>-0.05</v>
      </c>
      <c r="Z204" s="166">
        <f>($D$195-AVERAGE(Z193,Z195))*-Z205</f>
        <v>-0.05</v>
      </c>
      <c r="AA204" s="189">
        <f>SUM(W204:Z204)</f>
        <v>-0.2</v>
      </c>
      <c r="AB204" s="166">
        <f>($D$195-AVERAGE(AB193,AB195))*-AB205</f>
        <v>-0.05</v>
      </c>
      <c r="AC204" s="166">
        <f>($D$195-AVERAGE(AC193,AC195))*-AC205</f>
        <v>-0.05</v>
      </c>
      <c r="AD204" s="166">
        <f>($D$195-AVERAGE(AD193,AD195))*-AD205</f>
        <v>-0.05</v>
      </c>
      <c r="AE204" s="166">
        <f>($D$195-AVERAGE(AE193,AE195))*-AE205</f>
        <v>-0.05</v>
      </c>
      <c r="AF204" s="189">
        <f>SUM(AB204:AE204)</f>
        <v>-0.2</v>
      </c>
      <c r="AG204" s="166">
        <f>($D$195-AVERAGE(AG193,AG195))*-AG205</f>
        <v>-0.05</v>
      </c>
      <c r="AH204" s="166">
        <f>($D$195-AVERAGE(AH193,AH195))*-AH205</f>
        <v>-0.05</v>
      </c>
      <c r="AI204" s="166">
        <f>($D$195-AVERAGE(AI193,AI195))*-AI205</f>
        <v>-0.05</v>
      </c>
      <c r="AJ204" s="166">
        <f>($D$195-AVERAGE(AJ193,AJ195))*-AJ205</f>
        <v>-0.05</v>
      </c>
      <c r="AK204" s="189">
        <f>SUM(AG204:AJ204)</f>
        <v>-0.2</v>
      </c>
      <c r="AL204" s="166">
        <f>($D$195-AVERAGE(AL193,AL195))*-AL205</f>
        <v>-0.05</v>
      </c>
      <c r="AM204" s="166">
        <f>($D$195-AVERAGE(AM193,AM195))*-AM205</f>
        <v>-0.05</v>
      </c>
      <c r="AN204" s="166">
        <f>($D$195-AVERAGE(AN193,AN195))*-AN205</f>
        <v>-0.05</v>
      </c>
      <c r="AO204" s="166">
        <f>($D$195-AVERAGE(AO193,AO195))*-AO205</f>
        <v>-0.05</v>
      </c>
      <c r="AP204" s="189">
        <f>SUM(AL204:AO204)</f>
        <v>-0.2</v>
      </c>
      <c r="AQ204" s="166">
        <f>($D$195-AVERAGE(AQ193,AQ195))*-AQ205</f>
        <v>-0.05</v>
      </c>
      <c r="AR204" s="166">
        <f>($D$195-AVERAGE(AR193,AR195))*-AR205</f>
        <v>-0.05</v>
      </c>
      <c r="AS204" s="166">
        <f>($D$195-AVERAGE(AS193,AS195))*-AS205</f>
        <v>-0.05</v>
      </c>
      <c r="AT204" s="166">
        <f>($D$195-AVERAGE(AT193,AT195))*-AT205</f>
        <v>-0.05</v>
      </c>
      <c r="AU204" s="189">
        <f>SUM(AQ204:AT204)</f>
        <v>-0.2</v>
      </c>
      <c r="AV204" s="23"/>
      <c r="AW204" s="23"/>
      <c r="AX204" s="23"/>
      <c r="AY204" s="23"/>
      <c r="AZ204" s="23"/>
      <c r="BA204" s="23"/>
      <c r="BB204" s="23"/>
      <c r="BC204" s="23"/>
      <c r="BD204" s="23"/>
      <c r="BE204" s="23"/>
      <c r="BF204" s="23"/>
      <c r="CA204" s="132"/>
      <c r="CB204" s="132"/>
      <c r="CC204" s="132"/>
    </row>
    <row r="205" spans="3:81" s="27" customFormat="1" outlineLevel="1">
      <c r="C205" s="80" t="s">
        <v>127</v>
      </c>
      <c r="D205" s="212">
        <f>'Debt Structure'!I32</f>
        <v>0.01</v>
      </c>
      <c r="E205" s="133"/>
      <c r="F205" s="133"/>
      <c r="G205" s="133"/>
      <c r="H205" s="233"/>
      <c r="I205" s="233"/>
      <c r="J205" s="233"/>
      <c r="K205" s="233"/>
      <c r="L205" s="168"/>
      <c r="M205" s="233">
        <f>$D$205/4</f>
        <v>2.5000000000000001E-3</v>
      </c>
      <c r="N205" s="233">
        <f>$D$205/4</f>
        <v>2.5000000000000001E-3</v>
      </c>
      <c r="O205" s="233">
        <f>$D$205/4</f>
        <v>2.5000000000000001E-3</v>
      </c>
      <c r="P205" s="233">
        <f>$D$205/4</f>
        <v>2.5000000000000001E-3</v>
      </c>
      <c r="Q205" s="235">
        <f>SUM(M205:P205)</f>
        <v>0.01</v>
      </c>
      <c r="R205" s="233">
        <f>$D$205/4</f>
        <v>2.5000000000000001E-3</v>
      </c>
      <c r="S205" s="233">
        <f>$D$205/4</f>
        <v>2.5000000000000001E-3</v>
      </c>
      <c r="T205" s="233">
        <f>$D$205/4</f>
        <v>2.5000000000000001E-3</v>
      </c>
      <c r="U205" s="233">
        <f>$D$205/4</f>
        <v>2.5000000000000001E-3</v>
      </c>
      <c r="V205" s="235">
        <f>SUM(R205:U205)</f>
        <v>0.01</v>
      </c>
      <c r="W205" s="233">
        <f>$D$205/4</f>
        <v>2.5000000000000001E-3</v>
      </c>
      <c r="X205" s="233">
        <f>$D$205/4</f>
        <v>2.5000000000000001E-3</v>
      </c>
      <c r="Y205" s="233">
        <f>$D$205/4</f>
        <v>2.5000000000000001E-3</v>
      </c>
      <c r="Z205" s="233">
        <f>$D$205/4</f>
        <v>2.5000000000000001E-3</v>
      </c>
      <c r="AA205" s="235">
        <f>SUM(W205:Z205)</f>
        <v>0.01</v>
      </c>
      <c r="AB205" s="233">
        <f>$D$205/4</f>
        <v>2.5000000000000001E-3</v>
      </c>
      <c r="AC205" s="233">
        <f>$D$205/4</f>
        <v>2.5000000000000001E-3</v>
      </c>
      <c r="AD205" s="233">
        <f>$D$205/4</f>
        <v>2.5000000000000001E-3</v>
      </c>
      <c r="AE205" s="233">
        <f>$D$205/4</f>
        <v>2.5000000000000001E-3</v>
      </c>
      <c r="AF205" s="235">
        <f>SUM(AB205:AE205)</f>
        <v>0.01</v>
      </c>
      <c r="AG205" s="233">
        <f>$D$205/4</f>
        <v>2.5000000000000001E-3</v>
      </c>
      <c r="AH205" s="233">
        <f>$D$205/4</f>
        <v>2.5000000000000001E-3</v>
      </c>
      <c r="AI205" s="233">
        <f>$D$205/4</f>
        <v>2.5000000000000001E-3</v>
      </c>
      <c r="AJ205" s="233">
        <f>$D$205/4</f>
        <v>2.5000000000000001E-3</v>
      </c>
      <c r="AK205" s="235">
        <f>SUM(AG205:AJ205)</f>
        <v>0.01</v>
      </c>
      <c r="AL205" s="233">
        <f>$D$205/4</f>
        <v>2.5000000000000001E-3</v>
      </c>
      <c r="AM205" s="233">
        <f>$D$205/4</f>
        <v>2.5000000000000001E-3</v>
      </c>
      <c r="AN205" s="233">
        <f>$D$205/4</f>
        <v>2.5000000000000001E-3</v>
      </c>
      <c r="AO205" s="233">
        <f>$D$205/4</f>
        <v>2.5000000000000001E-3</v>
      </c>
      <c r="AP205" s="235">
        <f>SUM(AL205:AO205)</f>
        <v>0.01</v>
      </c>
      <c r="AQ205" s="233">
        <f>$D$205/4</f>
        <v>2.5000000000000001E-3</v>
      </c>
      <c r="AR205" s="233">
        <f>$D$205/4</f>
        <v>2.5000000000000001E-3</v>
      </c>
      <c r="AS205" s="233">
        <f>$D$205/4</f>
        <v>2.5000000000000001E-3</v>
      </c>
      <c r="AT205" s="233">
        <f>$D$205/4</f>
        <v>2.5000000000000001E-3</v>
      </c>
      <c r="AU205" s="235">
        <f>SUM(AQ205:AT205)</f>
        <v>0.01</v>
      </c>
      <c r="AV205" s="23"/>
      <c r="AW205" s="23"/>
      <c r="AX205" s="23"/>
      <c r="AY205" s="23"/>
      <c r="AZ205" s="23"/>
      <c r="BA205" s="23"/>
      <c r="BB205" s="23"/>
      <c r="BC205" s="23"/>
      <c r="BD205" s="23"/>
      <c r="BE205" s="23"/>
      <c r="BF205" s="23"/>
      <c r="BG205" s="23"/>
      <c r="BH205" s="23"/>
      <c r="BI205" s="23"/>
      <c r="BJ205" s="23"/>
      <c r="BK205" s="23"/>
      <c r="BL205" s="23"/>
      <c r="BM205" s="23"/>
      <c r="BN205" s="23"/>
      <c r="BO205" s="23"/>
      <c r="BP205" s="23"/>
      <c r="BQ205" s="23"/>
      <c r="BR205" s="23"/>
      <c r="BS205" s="23"/>
      <c r="BT205" s="23"/>
      <c r="BU205" s="23"/>
      <c r="BV205" s="23"/>
      <c r="BW205" s="23"/>
      <c r="BX205" s="23"/>
      <c r="BY205" s="23"/>
      <c r="BZ205" s="23"/>
      <c r="CA205" s="133"/>
      <c r="CB205" s="133"/>
      <c r="CC205" s="133"/>
    </row>
    <row r="206" spans="3:81" s="27" customFormat="1" outlineLevel="1">
      <c r="C206" s="215"/>
      <c r="D206" s="184"/>
      <c r="E206" s="184"/>
      <c r="F206" s="184"/>
      <c r="G206" s="184"/>
      <c r="H206" s="216"/>
      <c r="I206" s="216"/>
      <c r="J206" s="216"/>
      <c r="K206" s="216"/>
      <c r="L206" s="217"/>
      <c r="M206" s="218"/>
      <c r="N206" s="218"/>
      <c r="O206" s="218"/>
      <c r="P206" s="218"/>
      <c r="Q206" s="217"/>
      <c r="R206" s="218"/>
      <c r="S206" s="218"/>
      <c r="T206" s="218"/>
      <c r="U206" s="218"/>
      <c r="V206" s="217"/>
      <c r="W206" s="218"/>
      <c r="X206" s="218"/>
      <c r="Y206" s="218"/>
      <c r="Z206" s="218"/>
      <c r="AA206" s="217"/>
      <c r="AB206" s="218"/>
      <c r="AC206" s="218"/>
      <c r="AD206" s="218"/>
      <c r="AE206" s="218"/>
      <c r="AF206" s="217"/>
      <c r="AG206" s="218"/>
      <c r="AH206" s="218"/>
      <c r="AI206" s="218"/>
      <c r="AJ206" s="218"/>
      <c r="AK206" s="217"/>
      <c r="AL206" s="218"/>
      <c r="AM206" s="218"/>
      <c r="AN206" s="218"/>
      <c r="AO206" s="218"/>
      <c r="AP206" s="217"/>
      <c r="AQ206" s="218"/>
      <c r="AR206" s="218"/>
      <c r="AS206" s="218"/>
      <c r="AT206" s="218"/>
      <c r="AU206" s="217"/>
      <c r="AV206" s="23"/>
      <c r="AW206" s="23"/>
      <c r="AX206" s="23"/>
      <c r="AY206" s="23"/>
      <c r="AZ206" s="23"/>
      <c r="BA206" s="23"/>
      <c r="BB206" s="23"/>
      <c r="BC206" s="23"/>
      <c r="BD206" s="23"/>
      <c r="BE206" s="23"/>
      <c r="BF206" s="23"/>
      <c r="BG206" s="23"/>
      <c r="BH206" s="23"/>
      <c r="BI206" s="23"/>
      <c r="BJ206" s="23"/>
      <c r="BK206" s="23"/>
      <c r="BL206" s="23"/>
      <c r="BM206" s="23"/>
      <c r="BN206" s="23"/>
      <c r="BO206" s="23"/>
      <c r="BP206" s="23"/>
      <c r="BQ206" s="23"/>
      <c r="BR206" s="23"/>
      <c r="BS206" s="23"/>
      <c r="BT206" s="23"/>
      <c r="BU206" s="23"/>
      <c r="BV206" s="23"/>
      <c r="BW206" s="23"/>
      <c r="BX206" s="23"/>
      <c r="BY206" s="23"/>
      <c r="BZ206" s="23"/>
      <c r="CA206" s="133"/>
      <c r="CB206" s="133"/>
      <c r="CC206" s="133"/>
    </row>
    <row r="207" spans="3:81" s="27" customFormat="1">
      <c r="E207" s="133"/>
      <c r="F207" s="133"/>
      <c r="G207" s="133"/>
      <c r="H207" s="133"/>
      <c r="I207" s="133"/>
      <c r="J207" s="133"/>
      <c r="K207" s="133"/>
      <c r="L207" s="133"/>
      <c r="M207" s="133"/>
      <c r="N207" s="133"/>
      <c r="O207" s="133"/>
      <c r="P207" s="133"/>
      <c r="Q207" s="133"/>
      <c r="R207" s="133"/>
      <c r="S207" s="133"/>
      <c r="T207" s="133"/>
      <c r="U207" s="133"/>
      <c r="V207" s="133"/>
      <c r="W207" s="133"/>
      <c r="X207" s="133"/>
      <c r="Y207" s="133"/>
      <c r="Z207" s="133"/>
      <c r="AA207" s="133"/>
      <c r="AB207" s="133"/>
      <c r="AC207" s="133"/>
      <c r="AD207" s="133"/>
      <c r="AE207" s="133"/>
      <c r="AF207" s="133"/>
      <c r="AG207" s="133"/>
      <c r="AH207" s="133"/>
      <c r="AI207" s="133"/>
      <c r="AJ207" s="133"/>
      <c r="AK207" s="133"/>
      <c r="AL207" s="133"/>
      <c r="AM207" s="133"/>
      <c r="AN207" s="133"/>
      <c r="AO207" s="133"/>
      <c r="AP207" s="133"/>
      <c r="AQ207" s="133"/>
      <c r="AR207" s="133"/>
      <c r="AS207" s="133"/>
      <c r="AT207" s="133"/>
      <c r="AU207" s="133"/>
      <c r="AV207" s="23"/>
      <c r="AW207" s="23"/>
      <c r="AX207" s="23"/>
      <c r="AY207" s="23"/>
      <c r="AZ207" s="23"/>
      <c r="BA207" s="23"/>
      <c r="BB207" s="23"/>
      <c r="BC207" s="23"/>
      <c r="BD207" s="23"/>
      <c r="BE207" s="23"/>
      <c r="BF207" s="23"/>
      <c r="BG207" s="23"/>
      <c r="BH207" s="23"/>
      <c r="BI207" s="23"/>
      <c r="BJ207" s="23"/>
      <c r="BK207" s="23"/>
      <c r="BL207" s="23"/>
      <c r="BM207" s="23"/>
      <c r="BN207" s="23"/>
      <c r="BO207" s="23"/>
      <c r="BP207" s="23"/>
      <c r="BQ207" s="23"/>
      <c r="BR207" s="23"/>
      <c r="BS207" s="23"/>
      <c r="BT207" s="23"/>
      <c r="BU207" s="23"/>
      <c r="BV207" s="23"/>
      <c r="BW207" s="23"/>
      <c r="BX207" s="23"/>
      <c r="BY207" s="23"/>
      <c r="BZ207" s="23"/>
      <c r="CA207" s="133"/>
      <c r="CB207" s="133"/>
      <c r="CC207" s="133"/>
    </row>
    <row r="208" spans="3:81" s="27" customFormat="1">
      <c r="E208" s="133"/>
      <c r="F208" s="133"/>
      <c r="G208" s="133"/>
      <c r="H208" s="133"/>
      <c r="I208" s="133"/>
      <c r="J208" s="133"/>
      <c r="K208" s="133"/>
      <c r="L208" s="133"/>
      <c r="M208" s="133"/>
      <c r="N208" s="133"/>
      <c r="O208" s="133"/>
      <c r="P208" s="133"/>
      <c r="Q208" s="133"/>
      <c r="R208" s="133"/>
      <c r="S208" s="133"/>
      <c r="T208" s="133"/>
      <c r="U208" s="133"/>
      <c r="V208" s="133"/>
      <c r="W208" s="133"/>
      <c r="X208" s="133"/>
      <c r="Y208" s="133"/>
      <c r="Z208" s="133"/>
      <c r="AA208" s="133"/>
      <c r="AB208" s="133"/>
      <c r="AC208" s="133"/>
      <c r="AD208" s="133"/>
      <c r="AE208" s="133"/>
      <c r="AF208" s="133"/>
      <c r="AG208" s="133"/>
      <c r="AH208" s="133"/>
      <c r="AI208" s="133"/>
      <c r="AJ208" s="133"/>
      <c r="AK208" s="133"/>
      <c r="AL208" s="133"/>
      <c r="AM208" s="133"/>
      <c r="AN208" s="133"/>
      <c r="AO208" s="133"/>
      <c r="AP208" s="133"/>
      <c r="AQ208" s="133"/>
      <c r="AR208" s="133"/>
      <c r="AS208" s="133"/>
      <c r="AT208" s="133"/>
      <c r="AU208" s="133"/>
      <c r="AV208" s="23"/>
      <c r="AW208" s="23"/>
      <c r="AX208" s="23"/>
      <c r="AY208" s="23"/>
      <c r="AZ208" s="23"/>
      <c r="BA208" s="23"/>
      <c r="BB208" s="23"/>
      <c r="BC208" s="23"/>
      <c r="BD208" s="23"/>
      <c r="BE208" s="23"/>
      <c r="BF208" s="23"/>
      <c r="BG208" s="23"/>
      <c r="BH208" s="23"/>
      <c r="BI208" s="23"/>
      <c r="BJ208" s="23"/>
      <c r="BK208" s="23"/>
      <c r="BL208" s="23"/>
      <c r="BM208" s="23"/>
      <c r="BN208" s="23"/>
      <c r="BO208" s="23"/>
      <c r="BP208" s="23"/>
      <c r="BQ208" s="23"/>
      <c r="BR208" s="23"/>
      <c r="BS208" s="23"/>
      <c r="BT208" s="23"/>
      <c r="BU208" s="23"/>
      <c r="BV208" s="23"/>
      <c r="BW208" s="23"/>
      <c r="BX208" s="23"/>
      <c r="BY208" s="23"/>
      <c r="BZ208" s="23"/>
      <c r="CA208" s="133"/>
      <c r="CB208" s="133"/>
      <c r="CC208" s="133"/>
    </row>
    <row r="209" spans="5:81" s="27" customFormat="1" hidden="1">
      <c r="E209" s="133"/>
      <c r="F209" s="133"/>
      <c r="G209" s="133"/>
      <c r="H209" s="133"/>
      <c r="I209" s="133"/>
      <c r="J209" s="133"/>
      <c r="K209" s="133"/>
      <c r="L209" s="133"/>
      <c r="M209" s="133"/>
      <c r="N209" s="133"/>
      <c r="O209" s="133"/>
      <c r="P209" s="133"/>
      <c r="Q209" s="133"/>
      <c r="R209" s="133"/>
      <c r="S209" s="133"/>
      <c r="T209" s="133"/>
      <c r="U209" s="133"/>
      <c r="V209" s="133"/>
      <c r="W209" s="133"/>
      <c r="X209" s="133"/>
      <c r="Y209" s="133"/>
      <c r="Z209" s="133"/>
      <c r="AA209" s="133"/>
      <c r="AB209" s="133"/>
      <c r="AC209" s="133"/>
      <c r="AD209" s="133"/>
      <c r="AE209" s="133"/>
      <c r="AF209" s="133"/>
      <c r="AG209" s="133"/>
      <c r="AH209" s="133"/>
      <c r="AI209" s="133"/>
      <c r="AJ209" s="133"/>
      <c r="AK209" s="133"/>
      <c r="AL209" s="133"/>
      <c r="AM209" s="133"/>
      <c r="AN209" s="133"/>
      <c r="AO209" s="133"/>
      <c r="AP209" s="133"/>
      <c r="AQ209" s="133"/>
      <c r="AR209" s="133"/>
      <c r="AS209" s="133"/>
      <c r="AT209" s="133"/>
      <c r="AU209" s="133"/>
      <c r="AV209" s="23"/>
      <c r="AW209" s="23"/>
      <c r="AX209" s="23"/>
      <c r="AY209" s="23"/>
      <c r="AZ209" s="23"/>
      <c r="BA209" s="23"/>
      <c r="BB209" s="23"/>
      <c r="BC209" s="23"/>
      <c r="BD209" s="23"/>
      <c r="BE209" s="23"/>
      <c r="BF209" s="23"/>
      <c r="BG209" s="23"/>
      <c r="BH209" s="23"/>
      <c r="BI209" s="23"/>
      <c r="BJ209" s="23"/>
      <c r="BK209" s="23"/>
      <c r="BL209" s="23"/>
      <c r="BM209" s="23"/>
      <c r="BN209" s="23"/>
      <c r="BO209" s="23"/>
      <c r="BP209" s="23"/>
      <c r="BQ209" s="23"/>
      <c r="BR209" s="23"/>
      <c r="BS209" s="23"/>
      <c r="BT209" s="23"/>
      <c r="BU209" s="23"/>
      <c r="BV209" s="23"/>
      <c r="BW209" s="23"/>
      <c r="BX209" s="23"/>
      <c r="BY209" s="23"/>
      <c r="BZ209" s="23"/>
      <c r="CA209" s="133"/>
      <c r="CB209" s="133"/>
      <c r="CC209" s="133"/>
    </row>
    <row r="210" spans="5:81" s="27" customFormat="1" hidden="1">
      <c r="E210" s="133"/>
      <c r="F210" s="133"/>
      <c r="G210" s="133"/>
      <c r="H210" s="133"/>
      <c r="I210" s="133"/>
      <c r="J210" s="133"/>
      <c r="K210" s="133"/>
      <c r="L210" s="133"/>
      <c r="M210" s="133"/>
      <c r="N210" s="133"/>
      <c r="O210" s="133"/>
      <c r="P210" s="133"/>
      <c r="Q210" s="133"/>
      <c r="R210" s="133"/>
      <c r="S210" s="133"/>
      <c r="T210" s="133"/>
      <c r="U210" s="133"/>
      <c r="V210" s="133"/>
      <c r="W210" s="133"/>
      <c r="X210" s="133"/>
      <c r="Y210" s="133"/>
      <c r="Z210" s="133"/>
      <c r="AA210" s="133"/>
      <c r="AB210" s="133"/>
      <c r="AC210" s="133"/>
      <c r="AD210" s="133"/>
      <c r="AE210" s="133"/>
      <c r="AF210" s="133"/>
      <c r="AG210" s="133"/>
      <c r="AH210" s="133"/>
      <c r="AI210" s="133"/>
      <c r="AJ210" s="133"/>
      <c r="AK210" s="133"/>
      <c r="AL210" s="133"/>
      <c r="AM210" s="133"/>
      <c r="AN210" s="133"/>
      <c r="AO210" s="133"/>
      <c r="AP210" s="133"/>
      <c r="AQ210" s="133"/>
      <c r="AR210" s="133"/>
      <c r="AS210" s="133"/>
      <c r="AT210" s="133"/>
      <c r="AU210" s="133"/>
      <c r="AV210" s="23"/>
      <c r="AW210" s="23"/>
      <c r="AX210" s="23"/>
      <c r="AY210" s="23"/>
      <c r="AZ210" s="23"/>
      <c r="BA210" s="23"/>
      <c r="BB210" s="23"/>
      <c r="BC210" s="23"/>
      <c r="BD210" s="23"/>
      <c r="BE210" s="23"/>
      <c r="BF210" s="23"/>
      <c r="BG210" s="23"/>
      <c r="BH210" s="23"/>
      <c r="BI210" s="23"/>
      <c r="BJ210" s="23"/>
      <c r="BK210" s="23"/>
      <c r="BL210" s="23"/>
      <c r="BM210" s="23"/>
      <c r="BN210" s="23"/>
      <c r="BO210" s="23"/>
      <c r="BP210" s="23"/>
      <c r="BQ210" s="23"/>
      <c r="BR210" s="23"/>
      <c r="BS210" s="23"/>
      <c r="BT210" s="23"/>
      <c r="BU210" s="23"/>
      <c r="BV210" s="23"/>
      <c r="BW210" s="23"/>
      <c r="BX210" s="23"/>
      <c r="BY210" s="23"/>
      <c r="BZ210" s="23"/>
      <c r="CA210" s="133"/>
      <c r="CB210" s="133"/>
      <c r="CC210" s="133"/>
    </row>
    <row r="211" spans="5:81" s="27" customFormat="1" hidden="1">
      <c r="E211" s="133"/>
      <c r="F211" s="133"/>
      <c r="G211" s="133"/>
      <c r="H211" s="133"/>
      <c r="I211" s="133"/>
      <c r="J211" s="133"/>
      <c r="K211" s="133"/>
      <c r="L211" s="133"/>
      <c r="M211" s="133"/>
      <c r="N211" s="133"/>
      <c r="O211" s="133"/>
      <c r="P211" s="133"/>
      <c r="Q211" s="133"/>
      <c r="R211" s="133"/>
      <c r="S211" s="133"/>
      <c r="T211" s="133"/>
      <c r="U211" s="133"/>
      <c r="V211" s="133"/>
      <c r="W211" s="133"/>
      <c r="X211" s="133"/>
      <c r="Y211" s="133"/>
      <c r="Z211" s="133"/>
      <c r="AA211" s="133"/>
      <c r="AB211" s="133"/>
      <c r="AC211" s="133"/>
      <c r="AD211" s="133"/>
      <c r="AE211" s="133"/>
      <c r="AF211" s="133"/>
      <c r="AG211" s="133"/>
      <c r="AH211" s="133"/>
      <c r="AI211" s="133"/>
      <c r="AJ211" s="133"/>
      <c r="AK211" s="133"/>
      <c r="AL211" s="133"/>
      <c r="AM211" s="133"/>
      <c r="AN211" s="133"/>
      <c r="AO211" s="133"/>
      <c r="AP211" s="133"/>
      <c r="AQ211" s="133"/>
      <c r="AR211" s="133"/>
      <c r="AS211" s="133"/>
      <c r="AT211" s="133"/>
      <c r="AU211" s="133"/>
      <c r="AV211" s="23"/>
      <c r="AW211" s="23"/>
      <c r="AX211" s="23"/>
      <c r="AY211" s="23"/>
      <c r="AZ211" s="23"/>
      <c r="BA211" s="23"/>
      <c r="BB211" s="23"/>
      <c r="BC211" s="23"/>
      <c r="BD211" s="23"/>
      <c r="BE211" s="23"/>
      <c r="BF211" s="23"/>
      <c r="BG211" s="23"/>
      <c r="BH211" s="23"/>
      <c r="BI211" s="23"/>
      <c r="BJ211" s="23"/>
      <c r="BK211" s="23"/>
      <c r="BL211" s="23"/>
      <c r="BM211" s="23"/>
      <c r="BN211" s="23"/>
      <c r="BO211" s="23"/>
      <c r="BP211" s="23"/>
      <c r="BQ211" s="23"/>
      <c r="BR211" s="23"/>
      <c r="BS211" s="23"/>
      <c r="BT211" s="23"/>
      <c r="BU211" s="23"/>
      <c r="BV211" s="23"/>
      <c r="BW211" s="23"/>
      <c r="BX211" s="23"/>
      <c r="BY211" s="23"/>
      <c r="BZ211" s="23"/>
      <c r="CA211" s="133"/>
      <c r="CB211" s="133"/>
      <c r="CC211" s="133"/>
    </row>
    <row r="212" spans="5:81" s="27" customFormat="1" hidden="1">
      <c r="E212" s="133"/>
      <c r="F212" s="133"/>
      <c r="G212" s="133"/>
      <c r="H212" s="133"/>
      <c r="I212" s="133"/>
      <c r="J212" s="133"/>
      <c r="K212" s="133"/>
      <c r="L212" s="133"/>
      <c r="M212" s="133"/>
      <c r="N212" s="133"/>
      <c r="O212" s="133"/>
      <c r="P212" s="133"/>
      <c r="Q212" s="133"/>
      <c r="R212" s="133"/>
      <c r="S212" s="133"/>
      <c r="T212" s="133"/>
      <c r="U212" s="133"/>
      <c r="V212" s="133"/>
      <c r="W212" s="133"/>
      <c r="X212" s="133"/>
      <c r="Y212" s="133"/>
      <c r="Z212" s="133"/>
      <c r="AA212" s="133"/>
      <c r="AB212" s="133"/>
      <c r="AC212" s="133"/>
      <c r="AD212" s="133"/>
      <c r="AE212" s="133"/>
      <c r="AF212" s="133"/>
      <c r="AG212" s="133"/>
      <c r="AH212" s="133"/>
      <c r="AI212" s="133"/>
      <c r="AJ212" s="133"/>
      <c r="AK212" s="133"/>
      <c r="AL212" s="133"/>
      <c r="AM212" s="133"/>
      <c r="AN212" s="133"/>
      <c r="AO212" s="133"/>
      <c r="AP212" s="133"/>
      <c r="AQ212" s="133"/>
      <c r="AR212" s="133"/>
      <c r="AS212" s="133"/>
      <c r="AT212" s="133"/>
      <c r="AU212" s="133"/>
      <c r="AV212" s="23"/>
      <c r="AW212" s="23"/>
      <c r="AX212" s="23"/>
      <c r="AY212" s="23"/>
      <c r="AZ212" s="23"/>
      <c r="BA212" s="23"/>
      <c r="BB212" s="23"/>
      <c r="BC212" s="23"/>
      <c r="BD212" s="23"/>
      <c r="BE212" s="23"/>
      <c r="BF212" s="23"/>
      <c r="BG212" s="23"/>
      <c r="BH212" s="23"/>
      <c r="BI212" s="23"/>
      <c r="BJ212" s="23"/>
      <c r="BK212" s="23"/>
      <c r="BL212" s="23"/>
      <c r="BM212" s="23"/>
      <c r="BN212" s="23"/>
      <c r="BO212" s="23"/>
      <c r="BP212" s="23"/>
      <c r="BQ212" s="23"/>
      <c r="BR212" s="23"/>
      <c r="BS212" s="23"/>
      <c r="BT212" s="23"/>
      <c r="BU212" s="23"/>
      <c r="BV212" s="23"/>
      <c r="BW212" s="23"/>
      <c r="BX212" s="23"/>
      <c r="BY212" s="23"/>
      <c r="BZ212" s="23"/>
      <c r="CA212" s="133"/>
      <c r="CB212" s="133"/>
      <c r="CC212" s="133"/>
    </row>
    <row r="213" spans="5:81" s="27" customFormat="1" hidden="1">
      <c r="E213" s="133"/>
      <c r="F213" s="133"/>
      <c r="G213" s="133"/>
      <c r="H213" s="133"/>
      <c r="I213" s="133"/>
      <c r="J213" s="133"/>
      <c r="K213" s="133"/>
      <c r="L213" s="133"/>
      <c r="M213" s="133"/>
      <c r="N213" s="133"/>
      <c r="O213" s="133"/>
      <c r="P213" s="133"/>
      <c r="Q213" s="133"/>
      <c r="R213" s="133"/>
      <c r="S213" s="133"/>
      <c r="T213" s="133"/>
      <c r="U213" s="133"/>
      <c r="V213" s="133"/>
      <c r="W213" s="133"/>
      <c r="X213" s="133"/>
      <c r="Y213" s="133"/>
      <c r="Z213" s="133"/>
      <c r="AA213" s="133"/>
      <c r="AB213" s="133"/>
      <c r="AC213" s="133"/>
      <c r="AD213" s="133"/>
      <c r="AE213" s="133"/>
      <c r="AF213" s="133"/>
      <c r="AG213" s="133"/>
      <c r="AH213" s="133"/>
      <c r="AI213" s="133"/>
      <c r="AJ213" s="133"/>
      <c r="AK213" s="133"/>
      <c r="AL213" s="133"/>
      <c r="AM213" s="133"/>
      <c r="AN213" s="133"/>
      <c r="AO213" s="133"/>
      <c r="AP213" s="133"/>
      <c r="AQ213" s="133"/>
      <c r="AR213" s="133"/>
      <c r="AS213" s="133"/>
      <c r="AT213" s="133"/>
      <c r="AU213" s="133"/>
      <c r="AV213" s="23"/>
      <c r="AW213" s="23"/>
      <c r="AX213" s="23"/>
      <c r="AY213" s="23"/>
      <c r="AZ213" s="23"/>
      <c r="BA213" s="23"/>
      <c r="BB213" s="23"/>
      <c r="BC213" s="23"/>
      <c r="BD213" s="23"/>
      <c r="BE213" s="23"/>
      <c r="BF213" s="23"/>
      <c r="BG213" s="23"/>
      <c r="BH213" s="23"/>
      <c r="BI213" s="23"/>
      <c r="BJ213" s="23"/>
      <c r="BK213" s="23"/>
      <c r="BL213" s="23"/>
      <c r="BM213" s="23"/>
      <c r="BN213" s="23"/>
      <c r="BO213" s="23"/>
      <c r="BP213" s="23"/>
      <c r="BQ213" s="23"/>
      <c r="BR213" s="23"/>
      <c r="BS213" s="23"/>
      <c r="BT213" s="23"/>
      <c r="BU213" s="23"/>
      <c r="BV213" s="23"/>
      <c r="BW213" s="23"/>
      <c r="BX213" s="23"/>
      <c r="BY213" s="23"/>
      <c r="BZ213" s="23"/>
      <c r="CA213" s="133"/>
      <c r="CB213" s="133"/>
      <c r="CC213" s="133"/>
    </row>
    <row r="214" spans="5:81" s="27" customFormat="1" hidden="1">
      <c r="E214" s="133"/>
      <c r="F214" s="133"/>
      <c r="G214" s="133"/>
      <c r="H214" s="133"/>
      <c r="I214" s="133"/>
      <c r="J214" s="133"/>
      <c r="K214" s="133"/>
      <c r="L214" s="133"/>
      <c r="M214" s="133"/>
      <c r="N214" s="133"/>
      <c r="O214" s="133"/>
      <c r="P214" s="133"/>
      <c r="Q214" s="133"/>
      <c r="R214" s="133"/>
      <c r="S214" s="133"/>
      <c r="T214" s="133"/>
      <c r="U214" s="133"/>
      <c r="V214" s="133"/>
      <c r="W214" s="133"/>
      <c r="X214" s="133"/>
      <c r="Y214" s="133"/>
      <c r="Z214" s="133"/>
      <c r="AA214" s="133"/>
      <c r="AB214" s="133"/>
      <c r="AC214" s="133"/>
      <c r="AD214" s="133"/>
      <c r="AE214" s="133"/>
      <c r="AF214" s="133"/>
      <c r="AG214" s="133"/>
      <c r="AH214" s="133"/>
      <c r="AI214" s="133"/>
      <c r="AJ214" s="133"/>
      <c r="AK214" s="133"/>
      <c r="AL214" s="133"/>
      <c r="AM214" s="133"/>
      <c r="AN214" s="133"/>
      <c r="AO214" s="133"/>
      <c r="AP214" s="133"/>
      <c r="AQ214" s="133"/>
      <c r="AR214" s="133"/>
      <c r="AS214" s="133"/>
      <c r="AT214" s="133"/>
      <c r="AU214" s="133"/>
      <c r="AV214" s="23"/>
      <c r="AW214" s="23"/>
      <c r="AX214" s="23"/>
      <c r="AY214" s="23"/>
      <c r="AZ214" s="23"/>
      <c r="BA214" s="23"/>
      <c r="BB214" s="23"/>
      <c r="BC214" s="23"/>
      <c r="BD214" s="23"/>
      <c r="BE214" s="23"/>
      <c r="BF214" s="23"/>
      <c r="BG214" s="23"/>
      <c r="BH214" s="23"/>
      <c r="BI214" s="23"/>
      <c r="BJ214" s="23"/>
      <c r="BK214" s="23"/>
      <c r="BL214" s="23"/>
      <c r="BM214" s="23"/>
      <c r="BN214" s="23"/>
      <c r="BO214" s="23"/>
      <c r="BP214" s="23"/>
      <c r="BQ214" s="23"/>
      <c r="BR214" s="23"/>
      <c r="BS214" s="23"/>
      <c r="BT214" s="23"/>
      <c r="BU214" s="23"/>
      <c r="BV214" s="23"/>
      <c r="BW214" s="23"/>
      <c r="BX214" s="23"/>
      <c r="BY214" s="23"/>
      <c r="BZ214" s="23"/>
      <c r="CA214" s="133"/>
      <c r="CB214" s="133"/>
      <c r="CC214" s="133"/>
    </row>
    <row r="215" spans="5:81" s="27" customFormat="1" hidden="1">
      <c r="E215" s="133"/>
      <c r="F215" s="133"/>
      <c r="G215" s="133"/>
      <c r="H215" s="133"/>
      <c r="I215" s="133"/>
      <c r="J215" s="133"/>
      <c r="K215" s="133"/>
      <c r="L215" s="133"/>
      <c r="M215" s="133"/>
      <c r="N215" s="133"/>
      <c r="O215" s="133"/>
      <c r="P215" s="133"/>
      <c r="Q215" s="133"/>
      <c r="R215" s="133"/>
      <c r="S215" s="133"/>
      <c r="T215" s="133"/>
      <c r="U215" s="133"/>
      <c r="V215" s="133"/>
      <c r="W215" s="133"/>
      <c r="X215" s="133"/>
      <c r="Y215" s="133"/>
      <c r="Z215" s="133"/>
      <c r="AA215" s="133"/>
      <c r="AB215" s="133"/>
      <c r="AC215" s="133"/>
      <c r="AD215" s="133"/>
      <c r="AE215" s="133"/>
      <c r="AF215" s="133"/>
      <c r="AG215" s="133"/>
      <c r="AH215" s="133"/>
      <c r="AI215" s="133"/>
      <c r="AJ215" s="133"/>
      <c r="AK215" s="133"/>
      <c r="AL215" s="133"/>
      <c r="AM215" s="133"/>
      <c r="AN215" s="133"/>
      <c r="AO215" s="133"/>
      <c r="AP215" s="133"/>
      <c r="AQ215" s="133"/>
      <c r="AR215" s="133"/>
      <c r="AS215" s="133"/>
      <c r="AT215" s="133"/>
      <c r="AU215" s="133"/>
      <c r="AV215" s="23"/>
      <c r="AW215" s="23"/>
      <c r="AX215" s="23"/>
      <c r="AY215" s="23"/>
      <c r="AZ215" s="23"/>
      <c r="BA215" s="23"/>
      <c r="BB215" s="23"/>
      <c r="BC215" s="23"/>
      <c r="BD215" s="23"/>
      <c r="BE215" s="23"/>
      <c r="BF215" s="23"/>
      <c r="BG215" s="23"/>
      <c r="BH215" s="23"/>
      <c r="BI215" s="23"/>
      <c r="BJ215" s="23"/>
      <c r="BK215" s="23"/>
      <c r="BL215" s="23"/>
      <c r="BM215" s="23"/>
      <c r="BN215" s="23"/>
      <c r="BO215" s="23"/>
      <c r="BP215" s="23"/>
      <c r="BQ215" s="23"/>
      <c r="BR215" s="23"/>
      <c r="BS215" s="23"/>
      <c r="BT215" s="23"/>
      <c r="BU215" s="23"/>
      <c r="BV215" s="23"/>
      <c r="BW215" s="23"/>
      <c r="BX215" s="23"/>
      <c r="BY215" s="23"/>
      <c r="BZ215" s="23"/>
      <c r="CA215" s="133"/>
      <c r="CB215" s="133"/>
      <c r="CC215" s="133"/>
    </row>
    <row r="216" spans="5:81" s="27" customFormat="1" hidden="1">
      <c r="E216" s="133"/>
      <c r="F216" s="133"/>
      <c r="G216" s="133"/>
      <c r="H216" s="133"/>
      <c r="I216" s="133"/>
      <c r="J216" s="133"/>
      <c r="K216" s="133"/>
      <c r="L216" s="133"/>
      <c r="M216" s="133"/>
      <c r="N216" s="133"/>
      <c r="O216" s="133"/>
      <c r="P216" s="133"/>
      <c r="Q216" s="133"/>
      <c r="R216" s="133"/>
      <c r="S216" s="133"/>
      <c r="T216" s="133"/>
      <c r="U216" s="133"/>
      <c r="V216" s="133"/>
      <c r="W216" s="133"/>
      <c r="X216" s="133"/>
      <c r="Y216" s="133"/>
      <c r="Z216" s="133"/>
      <c r="AA216" s="133"/>
      <c r="AB216" s="133"/>
      <c r="AC216" s="133"/>
      <c r="AD216" s="133"/>
      <c r="AE216" s="133"/>
      <c r="AF216" s="133"/>
      <c r="AG216" s="133"/>
      <c r="AH216" s="133"/>
      <c r="AI216" s="133"/>
      <c r="AJ216" s="133"/>
      <c r="AK216" s="133"/>
      <c r="AL216" s="133"/>
      <c r="AM216" s="133"/>
      <c r="AN216" s="133"/>
      <c r="AO216" s="133"/>
      <c r="AP216" s="133"/>
      <c r="AQ216" s="133"/>
      <c r="AR216" s="133"/>
      <c r="AS216" s="133"/>
      <c r="AT216" s="133"/>
      <c r="AU216" s="133"/>
      <c r="AV216" s="23"/>
      <c r="AW216" s="23"/>
      <c r="AX216" s="23"/>
      <c r="AY216" s="23"/>
      <c r="AZ216" s="23"/>
      <c r="BA216" s="23"/>
      <c r="BB216" s="23"/>
      <c r="BC216" s="23"/>
      <c r="BD216" s="23"/>
      <c r="BE216" s="23"/>
      <c r="BF216" s="23"/>
      <c r="BG216" s="23"/>
      <c r="BH216" s="23"/>
      <c r="BI216" s="23"/>
      <c r="BJ216" s="23"/>
      <c r="BK216" s="23"/>
      <c r="BL216" s="23"/>
      <c r="BM216" s="23"/>
      <c r="BN216" s="23"/>
      <c r="BO216" s="23"/>
      <c r="BP216" s="23"/>
      <c r="BQ216" s="23"/>
      <c r="BR216" s="23"/>
      <c r="BS216" s="23"/>
      <c r="BT216" s="23"/>
      <c r="BU216" s="23"/>
      <c r="BV216" s="23"/>
      <c r="BW216" s="23"/>
      <c r="BX216" s="23"/>
      <c r="BY216" s="23"/>
      <c r="BZ216" s="23"/>
      <c r="CA216" s="133"/>
      <c r="CB216" s="133"/>
      <c r="CC216" s="133"/>
    </row>
    <row r="217" spans="5:81" s="27" customFormat="1" hidden="1">
      <c r="E217" s="133"/>
      <c r="F217" s="133"/>
      <c r="G217" s="133"/>
      <c r="H217" s="133"/>
      <c r="I217" s="133"/>
      <c r="J217" s="133"/>
      <c r="K217" s="133"/>
      <c r="L217" s="133"/>
      <c r="M217" s="133"/>
      <c r="N217" s="133"/>
      <c r="O217" s="133"/>
      <c r="P217" s="133"/>
      <c r="Q217" s="133"/>
      <c r="R217" s="133"/>
      <c r="S217" s="133"/>
      <c r="T217" s="133"/>
      <c r="U217" s="133"/>
      <c r="V217" s="133"/>
      <c r="W217" s="133"/>
      <c r="X217" s="133"/>
      <c r="Y217" s="133"/>
      <c r="Z217" s="133"/>
      <c r="AA217" s="133"/>
      <c r="AB217" s="133"/>
      <c r="AC217" s="133"/>
      <c r="AD217" s="133"/>
      <c r="AE217" s="133"/>
      <c r="AF217" s="133"/>
      <c r="AG217" s="133"/>
      <c r="AH217" s="133"/>
      <c r="AI217" s="133"/>
      <c r="AJ217" s="133"/>
      <c r="AK217" s="133"/>
      <c r="AL217" s="133"/>
      <c r="AM217" s="133"/>
      <c r="AN217" s="133"/>
      <c r="AO217" s="133"/>
      <c r="AP217" s="133"/>
      <c r="AQ217" s="133"/>
      <c r="AR217" s="133"/>
      <c r="AS217" s="133"/>
      <c r="AT217" s="133"/>
      <c r="AU217" s="133"/>
      <c r="AV217" s="23"/>
      <c r="AW217" s="23"/>
      <c r="AX217" s="23"/>
      <c r="AY217" s="23"/>
      <c r="AZ217" s="23"/>
      <c r="BA217" s="23"/>
      <c r="BB217" s="23"/>
      <c r="BC217" s="23"/>
      <c r="BD217" s="23"/>
      <c r="BE217" s="23"/>
      <c r="BF217" s="23"/>
      <c r="BG217" s="23"/>
      <c r="BH217" s="23"/>
      <c r="BI217" s="23"/>
      <c r="BJ217" s="23"/>
      <c r="BK217" s="23"/>
      <c r="BL217" s="23"/>
      <c r="BM217" s="23"/>
      <c r="BN217" s="23"/>
      <c r="BO217" s="23"/>
      <c r="BP217" s="23"/>
      <c r="BQ217" s="23"/>
      <c r="BR217" s="23"/>
      <c r="BS217" s="23"/>
      <c r="BT217" s="23"/>
      <c r="BU217" s="23"/>
      <c r="BV217" s="23"/>
      <c r="BW217" s="23"/>
      <c r="BX217" s="23"/>
      <c r="BY217" s="23"/>
      <c r="BZ217" s="23"/>
      <c r="CA217" s="133"/>
      <c r="CB217" s="133"/>
      <c r="CC217" s="133"/>
    </row>
    <row r="218" spans="5:81" s="27" customFormat="1" hidden="1">
      <c r="E218" s="133"/>
      <c r="F218" s="133"/>
      <c r="G218" s="133"/>
      <c r="H218" s="133"/>
      <c r="I218" s="133"/>
      <c r="J218" s="133"/>
      <c r="K218" s="133"/>
      <c r="L218" s="133"/>
      <c r="M218" s="133"/>
      <c r="N218" s="133"/>
      <c r="O218" s="133"/>
      <c r="P218" s="133"/>
      <c r="Q218" s="133"/>
      <c r="R218" s="133"/>
      <c r="S218" s="133"/>
      <c r="T218" s="133"/>
      <c r="U218" s="133"/>
      <c r="V218" s="133"/>
      <c r="W218" s="133"/>
      <c r="X218" s="133"/>
      <c r="Y218" s="133"/>
      <c r="Z218" s="133"/>
      <c r="AA218" s="133"/>
      <c r="AB218" s="133"/>
      <c r="AC218" s="133"/>
      <c r="AD218" s="133"/>
      <c r="AE218" s="133"/>
      <c r="AF218" s="133"/>
      <c r="AG218" s="133"/>
      <c r="AH218" s="133"/>
      <c r="AI218" s="133"/>
      <c r="AJ218" s="133"/>
      <c r="AK218" s="133"/>
      <c r="AL218" s="133"/>
      <c r="AM218" s="133"/>
      <c r="AN218" s="133"/>
      <c r="AO218" s="133"/>
      <c r="AP218" s="133"/>
      <c r="AQ218" s="133"/>
      <c r="AR218" s="133"/>
      <c r="AS218" s="133"/>
      <c r="AT218" s="133"/>
      <c r="AU218" s="133"/>
      <c r="AV218" s="23"/>
      <c r="AW218" s="23"/>
      <c r="AX218" s="23"/>
      <c r="AY218" s="23"/>
      <c r="AZ218" s="23"/>
      <c r="BA218" s="23"/>
      <c r="BB218" s="23"/>
      <c r="BC218" s="23"/>
      <c r="BD218" s="23"/>
      <c r="BE218" s="23"/>
      <c r="BF218" s="23"/>
      <c r="BG218" s="23"/>
      <c r="BH218" s="23"/>
      <c r="BI218" s="23"/>
      <c r="BJ218" s="23"/>
      <c r="BK218" s="23"/>
      <c r="BL218" s="23"/>
      <c r="BM218" s="23"/>
      <c r="BN218" s="23"/>
      <c r="BO218" s="23"/>
      <c r="BP218" s="23"/>
      <c r="BQ218" s="23"/>
      <c r="BR218" s="23"/>
      <c r="BS218" s="23"/>
      <c r="BT218" s="23"/>
      <c r="BU218" s="23"/>
      <c r="BV218" s="23"/>
      <c r="BW218" s="23"/>
      <c r="BX218" s="23"/>
      <c r="BY218" s="23"/>
      <c r="BZ218" s="23"/>
      <c r="CA218" s="133"/>
      <c r="CB218" s="133"/>
      <c r="CC218" s="133"/>
    </row>
    <row r="219" spans="5:81" s="27" customFormat="1" hidden="1">
      <c r="E219" s="133"/>
      <c r="F219" s="133"/>
      <c r="G219" s="133"/>
      <c r="H219" s="133"/>
      <c r="I219" s="133"/>
      <c r="J219" s="133"/>
      <c r="K219" s="133"/>
      <c r="L219" s="133"/>
      <c r="M219" s="133"/>
      <c r="N219" s="133"/>
      <c r="O219" s="133"/>
      <c r="P219" s="133"/>
      <c r="Q219" s="133"/>
      <c r="R219" s="133"/>
      <c r="S219" s="133"/>
      <c r="T219" s="133"/>
      <c r="U219" s="133"/>
      <c r="V219" s="133"/>
      <c r="W219" s="133"/>
      <c r="X219" s="133"/>
      <c r="Y219" s="133"/>
      <c r="Z219" s="133"/>
      <c r="AA219" s="133"/>
      <c r="AB219" s="133"/>
      <c r="AC219" s="133"/>
      <c r="AD219" s="133"/>
      <c r="AE219" s="133"/>
      <c r="AF219" s="133"/>
      <c r="AG219" s="133"/>
      <c r="AH219" s="133"/>
      <c r="AI219" s="133"/>
      <c r="AJ219" s="133"/>
      <c r="AK219" s="133"/>
      <c r="AL219" s="133"/>
      <c r="AM219" s="133"/>
      <c r="AN219" s="133"/>
      <c r="AO219" s="133"/>
      <c r="AP219" s="133"/>
      <c r="AQ219" s="133"/>
      <c r="AR219" s="133"/>
      <c r="AS219" s="133"/>
      <c r="AT219" s="133"/>
      <c r="AU219" s="133"/>
      <c r="AV219" s="23"/>
      <c r="AW219" s="23"/>
      <c r="AX219" s="23"/>
      <c r="AY219" s="23"/>
      <c r="AZ219" s="23"/>
      <c r="BA219" s="23"/>
      <c r="BB219" s="23"/>
      <c r="BC219" s="23"/>
      <c r="BD219" s="23"/>
      <c r="BE219" s="23"/>
      <c r="BF219" s="23"/>
      <c r="BG219" s="23"/>
      <c r="BH219" s="23"/>
      <c r="BI219" s="23"/>
      <c r="BJ219" s="23"/>
      <c r="BK219" s="23"/>
      <c r="BL219" s="23"/>
      <c r="BM219" s="23"/>
      <c r="BN219" s="23"/>
      <c r="BO219" s="23"/>
      <c r="BP219" s="23"/>
      <c r="BQ219" s="23"/>
      <c r="BR219" s="23"/>
      <c r="BS219" s="23"/>
      <c r="BT219" s="23"/>
      <c r="BU219" s="23"/>
      <c r="BV219" s="23"/>
      <c r="BW219" s="23"/>
      <c r="BX219" s="23"/>
      <c r="BY219" s="23"/>
      <c r="BZ219" s="23"/>
      <c r="CA219" s="133"/>
      <c r="CB219" s="133"/>
      <c r="CC219" s="133"/>
    </row>
    <row r="220" spans="5:81" s="27" customFormat="1" hidden="1">
      <c r="E220" s="133"/>
      <c r="F220" s="133"/>
      <c r="G220" s="133"/>
      <c r="H220" s="133"/>
      <c r="I220" s="133"/>
      <c r="J220" s="133"/>
      <c r="K220" s="133"/>
      <c r="L220" s="133"/>
      <c r="M220" s="133"/>
      <c r="N220" s="133"/>
      <c r="O220" s="133"/>
      <c r="P220" s="133"/>
      <c r="Q220" s="133"/>
      <c r="R220" s="133"/>
      <c r="S220" s="133"/>
      <c r="T220" s="133"/>
      <c r="U220" s="133"/>
      <c r="V220" s="133"/>
      <c r="W220" s="133"/>
      <c r="X220" s="133"/>
      <c r="Y220" s="133"/>
      <c r="Z220" s="133"/>
      <c r="AA220" s="133"/>
      <c r="AB220" s="133"/>
      <c r="AC220" s="133"/>
      <c r="AD220" s="133"/>
      <c r="AE220" s="133"/>
      <c r="AF220" s="133"/>
      <c r="AG220" s="133"/>
      <c r="AH220" s="133"/>
      <c r="AI220" s="133"/>
      <c r="AJ220" s="133"/>
      <c r="AK220" s="133"/>
      <c r="AL220" s="133"/>
      <c r="AM220" s="133"/>
      <c r="AN220" s="133"/>
      <c r="AO220" s="133"/>
      <c r="AP220" s="133"/>
      <c r="AQ220" s="133"/>
      <c r="AR220" s="133"/>
      <c r="AS220" s="133"/>
      <c r="AT220" s="133"/>
      <c r="AU220" s="133"/>
      <c r="AV220" s="23"/>
      <c r="AW220" s="23"/>
      <c r="AX220" s="23"/>
      <c r="AY220" s="23"/>
      <c r="AZ220" s="23"/>
      <c r="BA220" s="23"/>
      <c r="BB220" s="23"/>
      <c r="BC220" s="23"/>
      <c r="BD220" s="23"/>
      <c r="BE220" s="23"/>
      <c r="BF220" s="23"/>
      <c r="BG220" s="23"/>
      <c r="BH220" s="23"/>
      <c r="BI220" s="23"/>
      <c r="BJ220" s="23"/>
      <c r="BK220" s="23"/>
      <c r="BL220" s="23"/>
      <c r="BM220" s="23"/>
      <c r="BN220" s="23"/>
      <c r="BO220" s="23"/>
      <c r="BP220" s="23"/>
      <c r="BQ220" s="23"/>
      <c r="BR220" s="23"/>
      <c r="BS220" s="23"/>
      <c r="BT220" s="23"/>
      <c r="BU220" s="23"/>
      <c r="BV220" s="23"/>
      <c r="BW220" s="23"/>
      <c r="BX220" s="23"/>
      <c r="BY220" s="23"/>
      <c r="BZ220" s="23"/>
      <c r="CA220" s="133"/>
      <c r="CB220" s="133"/>
      <c r="CC220" s="133"/>
    </row>
    <row r="221" spans="5:81" s="27" customFormat="1" hidden="1">
      <c r="E221" s="133"/>
      <c r="F221" s="133"/>
      <c r="G221" s="133"/>
      <c r="H221" s="133"/>
      <c r="I221" s="133"/>
      <c r="J221" s="133"/>
      <c r="K221" s="133"/>
      <c r="L221" s="133"/>
      <c r="M221" s="133"/>
      <c r="N221" s="133"/>
      <c r="O221" s="133"/>
      <c r="P221" s="133"/>
      <c r="Q221" s="133"/>
      <c r="R221" s="133"/>
      <c r="S221" s="133"/>
      <c r="T221" s="133"/>
      <c r="U221" s="133"/>
      <c r="V221" s="133"/>
      <c r="W221" s="133"/>
      <c r="X221" s="133"/>
      <c r="Y221" s="133"/>
      <c r="Z221" s="133"/>
      <c r="AA221" s="133"/>
      <c r="AB221" s="133"/>
      <c r="AC221" s="133"/>
      <c r="AD221" s="133"/>
      <c r="AE221" s="133"/>
      <c r="AF221" s="133"/>
      <c r="AG221" s="133"/>
      <c r="AH221" s="133"/>
      <c r="AI221" s="133"/>
      <c r="AJ221" s="133"/>
      <c r="AK221" s="133"/>
      <c r="AL221" s="133"/>
      <c r="AM221" s="133"/>
      <c r="AN221" s="133"/>
      <c r="AO221" s="133"/>
      <c r="AP221" s="133"/>
      <c r="AQ221" s="133"/>
      <c r="AR221" s="133"/>
      <c r="AS221" s="133"/>
      <c r="AT221" s="133"/>
      <c r="AU221" s="133"/>
      <c r="AV221" s="23"/>
      <c r="AW221" s="23"/>
      <c r="AX221" s="23"/>
      <c r="AY221" s="23"/>
      <c r="AZ221" s="23"/>
      <c r="BA221" s="23"/>
      <c r="BB221" s="23"/>
      <c r="BC221" s="23"/>
      <c r="BD221" s="23"/>
      <c r="BE221" s="23"/>
      <c r="BF221" s="23"/>
      <c r="BG221" s="23"/>
      <c r="BH221" s="23"/>
      <c r="BI221" s="23"/>
      <c r="BJ221" s="23"/>
      <c r="BK221" s="23"/>
      <c r="BL221" s="23"/>
      <c r="BM221" s="23"/>
      <c r="BN221" s="23"/>
      <c r="BO221" s="23"/>
      <c r="BP221" s="23"/>
      <c r="BQ221" s="23"/>
      <c r="BR221" s="23"/>
      <c r="BS221" s="23"/>
      <c r="BT221" s="23"/>
      <c r="BU221" s="23"/>
      <c r="BV221" s="23"/>
      <c r="BW221" s="23"/>
      <c r="BX221" s="23"/>
      <c r="BY221" s="23"/>
      <c r="BZ221" s="23"/>
      <c r="CA221" s="133"/>
      <c r="CB221" s="133"/>
      <c r="CC221" s="133"/>
    </row>
    <row r="222" spans="5:81" s="27" customFormat="1" hidden="1">
      <c r="E222" s="133"/>
      <c r="F222" s="133"/>
      <c r="G222" s="133"/>
      <c r="H222" s="133"/>
      <c r="I222" s="133"/>
      <c r="J222" s="133"/>
      <c r="K222" s="133"/>
      <c r="L222" s="133"/>
      <c r="M222" s="133"/>
      <c r="N222" s="133"/>
      <c r="O222" s="133"/>
      <c r="P222" s="133"/>
      <c r="Q222" s="133"/>
      <c r="R222" s="133"/>
      <c r="S222" s="133"/>
      <c r="T222" s="133"/>
      <c r="U222" s="133"/>
      <c r="V222" s="133"/>
      <c r="W222" s="133"/>
      <c r="X222" s="133"/>
      <c r="Y222" s="133"/>
      <c r="Z222" s="133"/>
      <c r="AA222" s="133"/>
      <c r="AB222" s="133"/>
      <c r="AC222" s="133"/>
      <c r="AD222" s="133"/>
      <c r="AE222" s="133"/>
      <c r="AF222" s="133"/>
      <c r="AG222" s="133"/>
      <c r="AH222" s="133"/>
      <c r="AI222" s="133"/>
      <c r="AJ222" s="133"/>
      <c r="AK222" s="133"/>
      <c r="AL222" s="133"/>
      <c r="AM222" s="133"/>
      <c r="AN222" s="133"/>
      <c r="AO222" s="133"/>
      <c r="AP222" s="133"/>
      <c r="AQ222" s="133"/>
      <c r="AR222" s="133"/>
      <c r="AS222" s="133"/>
      <c r="AT222" s="133"/>
      <c r="AU222" s="133"/>
      <c r="AV222" s="23"/>
      <c r="AW222" s="23"/>
      <c r="AX222" s="23"/>
      <c r="AY222" s="23"/>
      <c r="AZ222" s="23"/>
      <c r="BA222" s="23"/>
      <c r="BB222" s="23"/>
      <c r="BC222" s="23"/>
      <c r="BD222" s="23"/>
      <c r="BE222" s="23"/>
      <c r="BF222" s="23"/>
      <c r="BG222" s="23"/>
      <c r="BH222" s="23"/>
      <c r="BI222" s="23"/>
      <c r="BJ222" s="23"/>
      <c r="BK222" s="23"/>
      <c r="BL222" s="23"/>
      <c r="BM222" s="23"/>
      <c r="BN222" s="23"/>
      <c r="BO222" s="23"/>
      <c r="BP222" s="23"/>
      <c r="BQ222" s="23"/>
      <c r="BR222" s="23"/>
      <c r="BS222" s="23"/>
      <c r="BT222" s="23"/>
      <c r="BU222" s="23"/>
      <c r="BV222" s="23"/>
      <c r="BW222" s="23"/>
      <c r="BX222" s="23"/>
      <c r="BY222" s="23"/>
      <c r="BZ222" s="23"/>
      <c r="CA222" s="133"/>
      <c r="CB222" s="133"/>
      <c r="CC222" s="133"/>
    </row>
    <row r="223" spans="5:81" s="27" customFormat="1" hidden="1">
      <c r="E223" s="133"/>
      <c r="F223" s="133"/>
      <c r="G223" s="133"/>
      <c r="H223" s="133"/>
      <c r="I223" s="133"/>
      <c r="J223" s="133"/>
      <c r="K223" s="133"/>
      <c r="L223" s="133"/>
      <c r="M223" s="133"/>
      <c r="N223" s="133"/>
      <c r="O223" s="133"/>
      <c r="P223" s="133"/>
      <c r="Q223" s="133"/>
      <c r="R223" s="133"/>
      <c r="S223" s="133"/>
      <c r="T223" s="133"/>
      <c r="U223" s="133"/>
      <c r="V223" s="133"/>
      <c r="W223" s="133"/>
      <c r="X223" s="133"/>
      <c r="Y223" s="133"/>
      <c r="Z223" s="133"/>
      <c r="AA223" s="133"/>
      <c r="AB223" s="133"/>
      <c r="AC223" s="133"/>
      <c r="AD223" s="133"/>
      <c r="AE223" s="133"/>
      <c r="AF223" s="133"/>
      <c r="AG223" s="133"/>
      <c r="AH223" s="133"/>
      <c r="AI223" s="133"/>
      <c r="AJ223" s="133"/>
      <c r="AK223" s="133"/>
      <c r="AL223" s="133"/>
      <c r="AM223" s="133"/>
      <c r="AN223" s="133"/>
      <c r="AO223" s="133"/>
      <c r="AP223" s="133"/>
      <c r="AQ223" s="133"/>
      <c r="AR223" s="133"/>
      <c r="AS223" s="133"/>
      <c r="AT223" s="133"/>
      <c r="AU223" s="133"/>
      <c r="AV223" s="23"/>
      <c r="AW223" s="23"/>
      <c r="AX223" s="23"/>
      <c r="AY223" s="23"/>
      <c r="AZ223" s="23"/>
      <c r="BA223" s="23"/>
      <c r="BB223" s="23"/>
      <c r="BC223" s="23"/>
      <c r="BD223" s="23"/>
      <c r="BE223" s="23"/>
      <c r="BF223" s="23"/>
      <c r="BG223" s="23"/>
      <c r="BH223" s="23"/>
      <c r="BI223" s="23"/>
      <c r="BJ223" s="23"/>
      <c r="BK223" s="23"/>
      <c r="BL223" s="23"/>
      <c r="BM223" s="23"/>
      <c r="BN223" s="23"/>
      <c r="BO223" s="23"/>
      <c r="BP223" s="23"/>
      <c r="BQ223" s="23"/>
      <c r="BR223" s="23"/>
      <c r="BS223" s="23"/>
      <c r="BT223" s="23"/>
      <c r="BU223" s="23"/>
      <c r="BV223" s="23"/>
      <c r="BW223" s="23"/>
      <c r="BX223" s="23"/>
      <c r="BY223" s="23"/>
      <c r="BZ223" s="23"/>
      <c r="CA223" s="133"/>
      <c r="CB223" s="133"/>
      <c r="CC223" s="133"/>
    </row>
    <row r="224" spans="5:81" s="27" customFormat="1" hidden="1">
      <c r="E224" s="133"/>
      <c r="F224" s="133"/>
      <c r="G224" s="133"/>
      <c r="H224" s="133"/>
      <c r="I224" s="133"/>
      <c r="J224" s="133"/>
      <c r="K224" s="133"/>
      <c r="L224" s="133"/>
      <c r="M224" s="133"/>
      <c r="N224" s="133"/>
      <c r="O224" s="133"/>
      <c r="P224" s="133"/>
      <c r="Q224" s="133"/>
      <c r="R224" s="133"/>
      <c r="S224" s="133"/>
      <c r="T224" s="133"/>
      <c r="U224" s="133"/>
      <c r="V224" s="133"/>
      <c r="W224" s="133"/>
      <c r="X224" s="133"/>
      <c r="Y224" s="133"/>
      <c r="Z224" s="133"/>
      <c r="AA224" s="133"/>
      <c r="AB224" s="133"/>
      <c r="AC224" s="133"/>
      <c r="AD224" s="133"/>
      <c r="AE224" s="133"/>
      <c r="AF224" s="133"/>
      <c r="AG224" s="133"/>
      <c r="AH224" s="133"/>
      <c r="AI224" s="133"/>
      <c r="AJ224" s="133"/>
      <c r="AK224" s="133"/>
      <c r="AL224" s="133"/>
      <c r="AM224" s="133"/>
      <c r="AN224" s="133"/>
      <c r="AO224" s="133"/>
      <c r="AP224" s="133"/>
      <c r="AQ224" s="133"/>
      <c r="AR224" s="133"/>
      <c r="AS224" s="133"/>
      <c r="AT224" s="133"/>
      <c r="AU224" s="133"/>
      <c r="AV224" s="23"/>
      <c r="AW224" s="23"/>
      <c r="AX224" s="23"/>
      <c r="AY224" s="23"/>
      <c r="AZ224" s="23"/>
      <c r="BA224" s="23"/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/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3"/>
      <c r="CA224" s="133"/>
      <c r="CB224" s="133"/>
      <c r="CC224" s="133"/>
    </row>
    <row r="225" spans="5:81" s="27" customFormat="1" hidden="1">
      <c r="E225" s="133"/>
      <c r="F225" s="133"/>
      <c r="G225" s="133"/>
      <c r="H225" s="133"/>
      <c r="I225" s="133"/>
      <c r="J225" s="133"/>
      <c r="K225" s="133"/>
      <c r="L225" s="133"/>
      <c r="M225" s="133"/>
      <c r="N225" s="133"/>
      <c r="O225" s="133"/>
      <c r="P225" s="133"/>
      <c r="Q225" s="133"/>
      <c r="R225" s="133"/>
      <c r="S225" s="133"/>
      <c r="T225" s="133"/>
      <c r="U225" s="133"/>
      <c r="V225" s="133"/>
      <c r="W225" s="133"/>
      <c r="X225" s="133"/>
      <c r="Y225" s="133"/>
      <c r="Z225" s="133"/>
      <c r="AA225" s="133"/>
      <c r="AB225" s="133"/>
      <c r="AC225" s="133"/>
      <c r="AD225" s="133"/>
      <c r="AE225" s="133"/>
      <c r="AF225" s="133"/>
      <c r="AG225" s="133"/>
      <c r="AH225" s="133"/>
      <c r="AI225" s="133"/>
      <c r="AJ225" s="133"/>
      <c r="AK225" s="133"/>
      <c r="AL225" s="133"/>
      <c r="AM225" s="133"/>
      <c r="AN225" s="133"/>
      <c r="AO225" s="133"/>
      <c r="AP225" s="133"/>
      <c r="AQ225" s="133"/>
      <c r="AR225" s="133"/>
      <c r="AS225" s="133"/>
      <c r="AT225" s="133"/>
      <c r="AU225" s="133"/>
      <c r="AV225" s="23"/>
      <c r="AW225" s="23"/>
      <c r="AX225" s="23"/>
      <c r="AY225" s="23"/>
      <c r="AZ225" s="23"/>
      <c r="BA225" s="23"/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/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3"/>
      <c r="CA225" s="133"/>
      <c r="CB225" s="133"/>
      <c r="CC225" s="133"/>
    </row>
    <row r="226" spans="5:81" s="27" customFormat="1" hidden="1">
      <c r="E226" s="133"/>
      <c r="F226" s="133"/>
      <c r="G226" s="133"/>
      <c r="H226" s="133"/>
      <c r="I226" s="133"/>
      <c r="J226" s="133"/>
      <c r="K226" s="133"/>
      <c r="L226" s="133"/>
      <c r="M226" s="133"/>
      <c r="N226" s="133"/>
      <c r="O226" s="133"/>
      <c r="P226" s="133"/>
      <c r="Q226" s="133"/>
      <c r="R226" s="133"/>
      <c r="S226" s="133"/>
      <c r="T226" s="133"/>
      <c r="U226" s="133"/>
      <c r="V226" s="133"/>
      <c r="W226" s="133"/>
      <c r="X226" s="133"/>
      <c r="Y226" s="133"/>
      <c r="Z226" s="133"/>
      <c r="AA226" s="133"/>
      <c r="AB226" s="133"/>
      <c r="AC226" s="133"/>
      <c r="AD226" s="133"/>
      <c r="AE226" s="133"/>
      <c r="AF226" s="133"/>
      <c r="AG226" s="133"/>
      <c r="AH226" s="133"/>
      <c r="AI226" s="133"/>
      <c r="AJ226" s="133"/>
      <c r="AK226" s="133"/>
      <c r="AL226" s="133"/>
      <c r="AM226" s="133"/>
      <c r="AN226" s="133"/>
      <c r="AO226" s="133"/>
      <c r="AP226" s="133"/>
      <c r="AQ226" s="133"/>
      <c r="AR226" s="133"/>
      <c r="AS226" s="133"/>
      <c r="AT226" s="133"/>
      <c r="AU226" s="133"/>
      <c r="AV226" s="23"/>
      <c r="AW226" s="23"/>
      <c r="AX226" s="23"/>
      <c r="AY226" s="23"/>
      <c r="AZ226" s="23"/>
      <c r="BA226" s="23"/>
      <c r="BB226" s="23"/>
      <c r="BC226" s="23"/>
      <c r="BD226" s="23"/>
      <c r="BE226" s="23"/>
      <c r="BF226" s="23"/>
      <c r="BG226" s="23"/>
      <c r="BH226" s="23"/>
      <c r="BI226" s="23"/>
      <c r="BJ226" s="23"/>
      <c r="BK226" s="23"/>
      <c r="BL226" s="23"/>
      <c r="BM226" s="23"/>
      <c r="BN226" s="23"/>
      <c r="BO226" s="23"/>
      <c r="BP226" s="23"/>
      <c r="BQ226" s="23"/>
      <c r="BR226" s="23"/>
      <c r="BS226" s="23"/>
      <c r="BT226" s="23"/>
      <c r="BU226" s="23"/>
      <c r="BV226" s="23"/>
      <c r="BW226" s="23"/>
      <c r="BX226" s="23"/>
      <c r="BY226" s="23"/>
      <c r="BZ226" s="23"/>
      <c r="CA226" s="133"/>
      <c r="CB226" s="133"/>
      <c r="CC226" s="133"/>
    </row>
    <row r="227" spans="5:81" s="27" customFormat="1" hidden="1">
      <c r="E227" s="133"/>
      <c r="F227" s="133"/>
      <c r="G227" s="133"/>
      <c r="H227" s="133"/>
      <c r="I227" s="133"/>
      <c r="J227" s="133"/>
      <c r="K227" s="133"/>
      <c r="L227" s="133"/>
      <c r="M227" s="133"/>
      <c r="N227" s="133"/>
      <c r="O227" s="133"/>
      <c r="P227" s="133"/>
      <c r="Q227" s="133"/>
      <c r="R227" s="133"/>
      <c r="S227" s="133"/>
      <c r="T227" s="133"/>
      <c r="U227" s="133"/>
      <c r="V227" s="133"/>
      <c r="W227" s="133"/>
      <c r="X227" s="133"/>
      <c r="Y227" s="133"/>
      <c r="Z227" s="133"/>
      <c r="AA227" s="133"/>
      <c r="AB227" s="133"/>
      <c r="AC227" s="133"/>
      <c r="AD227" s="133"/>
      <c r="AE227" s="133"/>
      <c r="AF227" s="133"/>
      <c r="AG227" s="133"/>
      <c r="AH227" s="133"/>
      <c r="AI227" s="133"/>
      <c r="AJ227" s="133"/>
      <c r="AK227" s="133"/>
      <c r="AL227" s="133"/>
      <c r="AM227" s="133"/>
      <c r="AN227" s="133"/>
      <c r="AO227" s="133"/>
      <c r="AP227" s="133"/>
      <c r="AQ227" s="133"/>
      <c r="AR227" s="133"/>
      <c r="AS227" s="133"/>
      <c r="AT227" s="133"/>
      <c r="AU227" s="133"/>
      <c r="AV227" s="23"/>
      <c r="AW227" s="23"/>
      <c r="AX227" s="23"/>
      <c r="AY227" s="23"/>
      <c r="AZ227" s="23"/>
      <c r="BA227" s="23"/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/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3"/>
      <c r="CA227" s="133"/>
      <c r="CB227" s="133"/>
      <c r="CC227" s="133"/>
    </row>
    <row r="228" spans="5:81" s="27" customFormat="1" hidden="1">
      <c r="E228" s="133"/>
      <c r="F228" s="133"/>
      <c r="G228" s="133"/>
      <c r="H228" s="133"/>
      <c r="I228" s="133"/>
      <c r="J228" s="133"/>
      <c r="K228" s="133"/>
      <c r="L228" s="133"/>
      <c r="M228" s="133"/>
      <c r="N228" s="133"/>
      <c r="O228" s="133"/>
      <c r="P228" s="133"/>
      <c r="Q228" s="133"/>
      <c r="R228" s="133"/>
      <c r="S228" s="133"/>
      <c r="T228" s="133"/>
      <c r="U228" s="133"/>
      <c r="V228" s="133"/>
      <c r="W228" s="133"/>
      <c r="X228" s="133"/>
      <c r="Y228" s="133"/>
      <c r="Z228" s="133"/>
      <c r="AA228" s="133"/>
      <c r="AB228" s="133"/>
      <c r="AC228" s="133"/>
      <c r="AD228" s="133"/>
      <c r="AE228" s="133"/>
      <c r="AF228" s="133"/>
      <c r="AG228" s="133"/>
      <c r="AH228" s="133"/>
      <c r="AI228" s="133"/>
      <c r="AJ228" s="133"/>
      <c r="AK228" s="133"/>
      <c r="AL228" s="133"/>
      <c r="AM228" s="133"/>
      <c r="AN228" s="133"/>
      <c r="AO228" s="133"/>
      <c r="AP228" s="133"/>
      <c r="AQ228" s="133"/>
      <c r="AR228" s="133"/>
      <c r="AS228" s="133"/>
      <c r="AT228" s="133"/>
      <c r="AU228" s="133"/>
      <c r="AV228" s="23"/>
      <c r="AW228" s="23"/>
      <c r="AX228" s="23"/>
      <c r="AY228" s="23"/>
      <c r="AZ228" s="23"/>
      <c r="BA228" s="23"/>
      <c r="BB228" s="23"/>
      <c r="BC228" s="23"/>
      <c r="BD228" s="23"/>
      <c r="BE228" s="23"/>
      <c r="BF228" s="23"/>
      <c r="BG228" s="23"/>
      <c r="BH228" s="23"/>
      <c r="BI228" s="23"/>
      <c r="BJ228" s="23"/>
      <c r="BK228" s="23"/>
      <c r="BL228" s="23"/>
      <c r="BM228" s="23"/>
      <c r="BN228" s="23"/>
      <c r="BO228" s="23"/>
      <c r="BP228" s="23"/>
      <c r="BQ228" s="23"/>
      <c r="BR228" s="23"/>
      <c r="BS228" s="23"/>
      <c r="BT228" s="23"/>
      <c r="BU228" s="23"/>
      <c r="BV228" s="23"/>
      <c r="BW228" s="23"/>
      <c r="BX228" s="23"/>
      <c r="BY228" s="23"/>
      <c r="BZ228" s="23"/>
      <c r="CA228" s="133"/>
      <c r="CB228" s="133"/>
      <c r="CC228" s="133"/>
    </row>
    <row r="229" spans="5:81" s="27" customFormat="1" hidden="1">
      <c r="E229" s="133"/>
      <c r="F229" s="133"/>
      <c r="G229" s="133"/>
      <c r="H229" s="133"/>
      <c r="I229" s="133"/>
      <c r="J229" s="133"/>
      <c r="K229" s="133"/>
      <c r="L229" s="133"/>
      <c r="M229" s="133"/>
      <c r="N229" s="133"/>
      <c r="O229" s="133"/>
      <c r="P229" s="133"/>
      <c r="Q229" s="133"/>
      <c r="R229" s="133"/>
      <c r="S229" s="133"/>
      <c r="T229" s="133"/>
      <c r="U229" s="133"/>
      <c r="V229" s="133"/>
      <c r="W229" s="133"/>
      <c r="X229" s="133"/>
      <c r="Y229" s="133"/>
      <c r="Z229" s="133"/>
      <c r="AA229" s="133"/>
      <c r="AB229" s="133"/>
      <c r="AC229" s="133"/>
      <c r="AD229" s="133"/>
      <c r="AE229" s="133"/>
      <c r="AF229" s="133"/>
      <c r="AG229" s="133"/>
      <c r="AH229" s="133"/>
      <c r="AI229" s="133"/>
      <c r="AJ229" s="133"/>
      <c r="AK229" s="133"/>
      <c r="AL229" s="133"/>
      <c r="AM229" s="133"/>
      <c r="AN229" s="133"/>
      <c r="AO229" s="133"/>
      <c r="AP229" s="133"/>
      <c r="AQ229" s="133"/>
      <c r="AR229" s="133"/>
      <c r="AS229" s="133"/>
      <c r="AT229" s="133"/>
      <c r="AU229" s="133"/>
      <c r="AV229" s="23"/>
      <c r="AW229" s="23"/>
      <c r="AX229" s="23"/>
      <c r="AY229" s="23"/>
      <c r="AZ229" s="23"/>
      <c r="BA229" s="23"/>
      <c r="BB229" s="23"/>
      <c r="BC229" s="23"/>
      <c r="BD229" s="23"/>
      <c r="BE229" s="23"/>
      <c r="BF229" s="23"/>
      <c r="BG229" s="23"/>
      <c r="BH229" s="23"/>
      <c r="BI229" s="23"/>
      <c r="BJ229" s="23"/>
      <c r="BK229" s="23"/>
      <c r="BL229" s="23"/>
      <c r="BM229" s="23"/>
      <c r="BN229" s="23"/>
      <c r="BO229" s="23"/>
      <c r="BP229" s="23"/>
      <c r="BQ229" s="23"/>
      <c r="BR229" s="23"/>
      <c r="BS229" s="23"/>
      <c r="BT229" s="23"/>
      <c r="BU229" s="23"/>
      <c r="BV229" s="23"/>
      <c r="BW229" s="23"/>
      <c r="BX229" s="23"/>
      <c r="BY229" s="23"/>
      <c r="BZ229" s="23"/>
      <c r="CA229" s="133"/>
      <c r="CB229" s="133"/>
      <c r="CC229" s="133"/>
    </row>
    <row r="230" spans="5:81" s="27" customFormat="1" hidden="1">
      <c r="E230" s="133"/>
      <c r="F230" s="133"/>
      <c r="G230" s="133"/>
      <c r="H230" s="133"/>
      <c r="I230" s="133"/>
      <c r="J230" s="133"/>
      <c r="K230" s="133"/>
      <c r="L230" s="133"/>
      <c r="M230" s="133"/>
      <c r="N230" s="133"/>
      <c r="O230" s="133"/>
      <c r="P230" s="133"/>
      <c r="Q230" s="133"/>
      <c r="R230" s="133"/>
      <c r="S230" s="133"/>
      <c r="T230" s="133"/>
      <c r="U230" s="133"/>
      <c r="V230" s="133"/>
      <c r="W230" s="133"/>
      <c r="X230" s="133"/>
      <c r="Y230" s="133"/>
      <c r="Z230" s="133"/>
      <c r="AA230" s="133"/>
      <c r="AB230" s="133"/>
      <c r="AC230" s="133"/>
      <c r="AD230" s="133"/>
      <c r="AE230" s="133"/>
      <c r="AF230" s="133"/>
      <c r="AG230" s="133"/>
      <c r="AH230" s="133"/>
      <c r="AI230" s="133"/>
      <c r="AJ230" s="133"/>
      <c r="AK230" s="133"/>
      <c r="AL230" s="133"/>
      <c r="AM230" s="133"/>
      <c r="AN230" s="133"/>
      <c r="AO230" s="133"/>
      <c r="AP230" s="133"/>
      <c r="AQ230" s="133"/>
      <c r="AR230" s="133"/>
      <c r="AS230" s="133"/>
      <c r="AT230" s="133"/>
      <c r="AU230" s="133"/>
      <c r="AV230" s="23"/>
      <c r="AW230" s="23"/>
      <c r="AX230" s="23"/>
      <c r="AY230" s="23"/>
      <c r="AZ230" s="23"/>
      <c r="BA230" s="23"/>
      <c r="BB230" s="23"/>
      <c r="BC230" s="23"/>
      <c r="BD230" s="23"/>
      <c r="BE230" s="23"/>
      <c r="BF230" s="23"/>
      <c r="BG230" s="23"/>
      <c r="BH230" s="23"/>
      <c r="BI230" s="23"/>
      <c r="BJ230" s="23"/>
      <c r="BK230" s="23"/>
      <c r="BL230" s="23"/>
      <c r="BM230" s="23"/>
      <c r="BN230" s="23"/>
      <c r="BO230" s="23"/>
      <c r="BP230" s="23"/>
      <c r="BQ230" s="23"/>
      <c r="BR230" s="23"/>
      <c r="BS230" s="23"/>
      <c r="BT230" s="23"/>
      <c r="BU230" s="23"/>
      <c r="BV230" s="23"/>
      <c r="BW230" s="23"/>
      <c r="BX230" s="23"/>
      <c r="BY230" s="23"/>
      <c r="BZ230" s="23"/>
      <c r="CA230" s="133"/>
      <c r="CB230" s="133"/>
      <c r="CC230" s="133"/>
    </row>
    <row r="231" spans="5:81" s="27" customFormat="1" hidden="1">
      <c r="E231" s="133"/>
      <c r="F231" s="133"/>
      <c r="G231" s="133"/>
      <c r="H231" s="133"/>
      <c r="I231" s="133"/>
      <c r="J231" s="133"/>
      <c r="K231" s="133"/>
      <c r="L231" s="133"/>
      <c r="M231" s="133"/>
      <c r="N231" s="133"/>
      <c r="O231" s="133"/>
      <c r="P231" s="133"/>
      <c r="Q231" s="133"/>
      <c r="R231" s="133"/>
      <c r="S231" s="133"/>
      <c r="T231" s="133"/>
      <c r="U231" s="133"/>
      <c r="V231" s="133"/>
      <c r="W231" s="133"/>
      <c r="X231" s="133"/>
      <c r="Y231" s="133"/>
      <c r="Z231" s="133"/>
      <c r="AA231" s="133"/>
      <c r="AB231" s="133"/>
      <c r="AC231" s="133"/>
      <c r="AD231" s="133"/>
      <c r="AE231" s="133"/>
      <c r="AF231" s="133"/>
      <c r="AG231" s="133"/>
      <c r="AH231" s="133"/>
      <c r="AI231" s="133"/>
      <c r="AJ231" s="133"/>
      <c r="AK231" s="133"/>
      <c r="AL231" s="133"/>
      <c r="AM231" s="133"/>
      <c r="AN231" s="133"/>
      <c r="AO231" s="133"/>
      <c r="AP231" s="133"/>
      <c r="AQ231" s="133"/>
      <c r="AR231" s="133"/>
      <c r="AS231" s="133"/>
      <c r="AT231" s="133"/>
      <c r="AU231" s="133"/>
      <c r="AV231" s="23"/>
      <c r="AW231" s="23"/>
      <c r="AX231" s="23"/>
      <c r="AY231" s="23"/>
      <c r="AZ231" s="23"/>
      <c r="BA231" s="23"/>
      <c r="BB231" s="23"/>
      <c r="BC231" s="23"/>
      <c r="BD231" s="23"/>
      <c r="BE231" s="23"/>
      <c r="BF231" s="23"/>
      <c r="BG231" s="133"/>
      <c r="BH231" s="133"/>
      <c r="BI231" s="133"/>
      <c r="BJ231" s="133"/>
      <c r="BK231" s="133"/>
      <c r="BL231" s="133"/>
      <c r="BM231" s="133"/>
      <c r="BN231" s="133"/>
      <c r="BO231" s="133"/>
      <c r="BP231" s="133"/>
      <c r="BQ231" s="133"/>
      <c r="BR231" s="133"/>
      <c r="BS231" s="133"/>
      <c r="BT231" s="133"/>
      <c r="BU231" s="133"/>
      <c r="BV231" s="133"/>
      <c r="BW231" s="133"/>
      <c r="BX231" s="133"/>
      <c r="BY231" s="133"/>
      <c r="BZ231" s="133"/>
      <c r="CA231" s="133"/>
      <c r="CB231" s="133"/>
      <c r="CC231" s="133"/>
    </row>
    <row r="232" spans="5:81" s="27" customFormat="1" hidden="1">
      <c r="AV232" s="23"/>
      <c r="AW232" s="23"/>
      <c r="AX232" s="23"/>
      <c r="AY232" s="23"/>
      <c r="AZ232" s="23"/>
      <c r="BA232" s="23"/>
      <c r="BB232" s="23"/>
      <c r="BC232" s="23"/>
      <c r="BD232" s="23"/>
      <c r="BE232" s="23"/>
      <c r="BF232" s="23"/>
    </row>
    <row r="233" spans="5:81" s="27" customFormat="1" hidden="1">
      <c r="AV233" s="23"/>
      <c r="AW233" s="23"/>
      <c r="AX233" s="23"/>
      <c r="AY233" s="23"/>
      <c r="AZ233" s="23"/>
      <c r="BA233" s="23"/>
      <c r="BB233" s="23"/>
      <c r="BC233" s="23"/>
      <c r="BD233" s="23"/>
      <c r="BE233" s="23"/>
      <c r="BF233" s="23"/>
    </row>
    <row r="234" spans="5:81" s="27" customFormat="1" hidden="1">
      <c r="AV234" s="23"/>
      <c r="AW234" s="23"/>
      <c r="AX234" s="23"/>
      <c r="AY234" s="23"/>
      <c r="AZ234" s="23"/>
      <c r="BA234" s="23"/>
      <c r="BB234" s="23"/>
      <c r="BC234" s="23"/>
      <c r="BD234" s="23"/>
      <c r="BE234" s="23"/>
      <c r="BF234" s="23"/>
    </row>
    <row r="235" spans="5:81" s="27" customFormat="1" hidden="1">
      <c r="AV235" s="23"/>
      <c r="AW235" s="23"/>
      <c r="AX235" s="23"/>
      <c r="AY235" s="23"/>
      <c r="AZ235" s="23"/>
      <c r="BA235" s="23"/>
      <c r="BB235" s="23"/>
      <c r="BC235" s="23"/>
      <c r="BD235" s="23"/>
      <c r="BE235" s="23"/>
      <c r="BF235" s="23"/>
    </row>
    <row r="236" spans="5:81" s="27" customFormat="1" hidden="1">
      <c r="AV236" s="23"/>
      <c r="AW236" s="23"/>
      <c r="AX236" s="23"/>
      <c r="AY236" s="23"/>
      <c r="AZ236" s="23"/>
      <c r="BA236" s="23"/>
      <c r="BB236" s="23"/>
      <c r="BC236" s="23"/>
      <c r="BD236" s="23"/>
      <c r="BE236" s="23"/>
      <c r="BF236" s="23"/>
    </row>
    <row r="237" spans="5:81" s="27" customFormat="1" hidden="1">
      <c r="AV237" s="23"/>
      <c r="AW237" s="23"/>
      <c r="AX237" s="23"/>
      <c r="AY237" s="23"/>
      <c r="AZ237" s="23"/>
      <c r="BA237" s="23"/>
      <c r="BB237" s="23"/>
      <c r="BC237" s="23"/>
      <c r="BD237" s="23"/>
      <c r="BE237" s="23"/>
      <c r="BF237" s="23"/>
    </row>
    <row r="238" spans="5:81"/>
    <row r="239" spans="5:81"/>
    <row r="240" spans="5:81"/>
    <row r="241"/>
    <row r="242"/>
  </sheetData>
  <conditionalFormatting sqref="E27:AW27">
    <cfRule type="cellIs" dxfId="15" priority="10" operator="lessThan">
      <formula>0</formula>
    </cfRule>
  </conditionalFormatting>
  <conditionalFormatting sqref="K9">
    <cfRule type="containsText" dxfId="14" priority="1" operator="containsText" text="Closing">
      <formula>NOT(ISERROR(SEARCH("Closing",K9)))</formula>
    </cfRule>
  </conditionalFormatting>
  <conditionalFormatting sqref="K22">
    <cfRule type="containsText" dxfId="13" priority="2" operator="containsText" text="Closing">
      <formula>NOT(ISERROR(SEARCH("Closing",K22)))</formula>
    </cfRule>
  </conditionalFormatting>
  <conditionalFormatting sqref="K35">
    <cfRule type="containsText" dxfId="12" priority="11" operator="containsText" text="Closing">
      <formula>NOT(ISERROR(SEARCH("Closing",K35)))</formula>
    </cfRule>
  </conditionalFormatting>
  <conditionalFormatting sqref="K49">
    <cfRule type="containsText" dxfId="11" priority="9" operator="containsText" text="Closing">
      <formula>NOT(ISERROR(SEARCH("Closing",K49)))</formula>
    </cfRule>
  </conditionalFormatting>
  <conditionalFormatting sqref="K71">
    <cfRule type="containsText" dxfId="10" priority="8" operator="containsText" text="Closing">
      <formula>NOT(ISERROR(SEARCH("Closing",K71)))</formula>
    </cfRule>
  </conditionalFormatting>
  <conditionalFormatting sqref="K106">
    <cfRule type="containsText" dxfId="9" priority="7" operator="containsText" text="Closing">
      <formula>NOT(ISERROR(SEARCH("Closing",K106)))</formula>
    </cfRule>
  </conditionalFormatting>
  <conditionalFormatting sqref="K120">
    <cfRule type="containsText" dxfId="8" priority="6" operator="containsText" text="Closing">
      <formula>NOT(ISERROR(SEARCH("Closing",K120)))</formula>
    </cfRule>
  </conditionalFormatting>
  <conditionalFormatting sqref="K137">
    <cfRule type="containsText" dxfId="7" priority="5" operator="containsText" text="Closing">
      <formula>NOT(ISERROR(SEARCH("Closing",K137)))</formula>
    </cfRule>
  </conditionalFormatting>
  <conditionalFormatting sqref="K154">
    <cfRule type="containsText" dxfId="6" priority="4" operator="containsText" text="Closing">
      <formula>NOT(ISERROR(SEARCH("Closing",K154)))</formula>
    </cfRule>
  </conditionalFormatting>
  <conditionalFormatting sqref="K185">
    <cfRule type="containsText" dxfId="5" priority="3" operator="containsText" text="Closing">
      <formula>NOT(ISERROR(SEARCH("Closing",K185)))</formula>
    </cfRule>
  </conditionalFormatting>
  <pageMargins left="0.7" right="0.7" top="0.75" bottom="0.75" header="0.3" footer="0.3"/>
  <pageSetup paperSize="9" orientation="portrait" r:id="rId1"/>
  <ignoredErrors>
    <ignoredError sqref="K26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D951D-EAF7-47E9-8F74-D104059A3F9F}">
  <sheetPr codeName="Sheet30"/>
  <dimension ref="A1:AD144"/>
  <sheetViews>
    <sheetView showGridLines="0" zoomScale="90" zoomScaleNormal="90" workbookViewId="0">
      <selection activeCell="M38" sqref="M38"/>
    </sheetView>
  </sheetViews>
  <sheetFormatPr defaultColWidth="0" defaultRowHeight="10.199999999999999" zeroHeight="1"/>
  <cols>
    <col min="1" max="2" width="2.375" style="237" customWidth="1"/>
    <col min="3" max="3" width="21.75" style="237" customWidth="1"/>
    <col min="4" max="5" width="10" style="237" bestFit="1" customWidth="1"/>
    <col min="6" max="6" width="18.875" style="237" customWidth="1"/>
    <col min="7" max="7" width="11.875" style="237" customWidth="1"/>
    <col min="8" max="8" width="10.375" style="238" customWidth="1"/>
    <col min="9" max="9" width="8.625" style="238" customWidth="1"/>
    <col min="10" max="10" width="1.75" style="237" customWidth="1"/>
    <col min="11" max="11" width="0.375" style="237" customWidth="1"/>
    <col min="12" max="12" width="2.75" style="237" customWidth="1"/>
    <col min="13" max="13" width="21.75" style="237" customWidth="1"/>
    <col min="14" max="15" width="10" style="237" bestFit="1" customWidth="1"/>
    <col min="16" max="16" width="18.875" style="237" customWidth="1"/>
    <col min="17" max="17" width="11.875" style="237" customWidth="1"/>
    <col min="18" max="18" width="10.625" style="238" customWidth="1"/>
    <col min="19" max="19" width="8.625" style="238" customWidth="1"/>
    <col min="20" max="21" width="9.75" style="23" customWidth="1"/>
    <col min="22" max="30" width="0" style="23" hidden="1" customWidth="1"/>
    <col min="31" max="16384" width="9" style="23" hidden="1"/>
  </cols>
  <sheetData>
    <row r="1" spans="1:19">
      <c r="A1" s="236"/>
    </row>
    <row r="2" spans="1:19">
      <c r="A2" s="18"/>
      <c r="B2" s="18"/>
      <c r="C2" s="239" t="str">
        <f ca="1">RIGHT(CELL("filename",D1), LEN(CELL("filename", D1))- FIND("]", CELL("filename", D1), 1))</f>
        <v>Debt Structure</v>
      </c>
      <c r="D2" s="239"/>
      <c r="E2" s="239"/>
      <c r="F2" s="239"/>
      <c r="G2" s="239"/>
      <c r="H2" s="240"/>
      <c r="I2" s="240"/>
      <c r="K2" s="520"/>
      <c r="M2" s="239" t="s">
        <v>274</v>
      </c>
      <c r="N2" s="239"/>
      <c r="O2" s="239"/>
      <c r="P2" s="239"/>
      <c r="Q2" s="239"/>
      <c r="R2" s="240"/>
      <c r="S2" s="240"/>
    </row>
    <row r="3" spans="1:19">
      <c r="K3" s="520"/>
    </row>
    <row r="4" spans="1:19">
      <c r="C4" s="530">
        <f>+'Debt Summary'!D6</f>
        <v>46022</v>
      </c>
      <c r="K4" s="520"/>
      <c r="M4" s="241">
        <f>+C4</f>
        <v>46022</v>
      </c>
    </row>
    <row r="5" spans="1:19">
      <c r="C5" s="239" t="s">
        <v>133</v>
      </c>
      <c r="D5" s="239"/>
      <c r="E5" s="239"/>
      <c r="F5" s="239"/>
      <c r="G5" s="239"/>
      <c r="H5" s="240"/>
      <c r="I5" s="240"/>
      <c r="K5" s="520"/>
      <c r="M5" s="239" t="s">
        <v>134</v>
      </c>
      <c r="N5" s="239"/>
      <c r="O5" s="239"/>
      <c r="P5" s="239"/>
      <c r="Q5" s="239"/>
      <c r="R5" s="240"/>
      <c r="S5" s="240"/>
    </row>
    <row r="6" spans="1:19">
      <c r="K6" s="520"/>
    </row>
    <row r="7" spans="1:19">
      <c r="C7" s="243" t="s">
        <v>233</v>
      </c>
      <c r="D7" s="747">
        <f>+'Active Case'!F17</f>
        <v>51.3</v>
      </c>
      <c r="E7" s="245"/>
      <c r="K7" s="520"/>
      <c r="M7" s="243" t="s">
        <v>233</v>
      </c>
      <c r="N7" s="644">
        <f>+'Active Case'!F17</f>
        <v>51.3</v>
      </c>
      <c r="O7" s="246"/>
    </row>
    <row r="8" spans="1:19">
      <c r="K8" s="520"/>
    </row>
    <row r="9" spans="1:19">
      <c r="C9" s="65" t="s">
        <v>137</v>
      </c>
      <c r="D9" s="65"/>
      <c r="E9" s="65"/>
      <c r="F9" s="65"/>
      <c r="G9" s="65"/>
      <c r="H9" s="242"/>
      <c r="I9" s="242"/>
      <c r="K9" s="520"/>
      <c r="M9" s="65" t="s">
        <v>137</v>
      </c>
      <c r="N9" s="65"/>
      <c r="O9" s="65"/>
      <c r="P9" s="65"/>
      <c r="Q9" s="65"/>
      <c r="R9" s="242"/>
      <c r="S9" s="242"/>
    </row>
    <row r="10" spans="1:19">
      <c r="K10" s="520"/>
    </row>
    <row r="11" spans="1:19">
      <c r="C11" s="251"/>
      <c r="D11" s="252" t="s">
        <v>135</v>
      </c>
      <c r="E11" s="252" t="s">
        <v>138</v>
      </c>
      <c r="F11" s="252" t="s">
        <v>139</v>
      </c>
      <c r="K11" s="520"/>
      <c r="M11" s="251"/>
      <c r="N11" s="252" t="s">
        <v>135</v>
      </c>
      <c r="O11" s="252" t="s">
        <v>138</v>
      </c>
      <c r="P11" s="252" t="s">
        <v>139</v>
      </c>
    </row>
    <row r="12" spans="1:19">
      <c r="C12" s="253" t="s">
        <v>136</v>
      </c>
      <c r="D12" s="549">
        <f t="shared" ref="D12:F15" si="0">+N12</f>
        <v>0</v>
      </c>
      <c r="E12" s="555">
        <f t="shared" si="0"/>
        <v>1.4999999999999999E-2</v>
      </c>
      <c r="F12" s="255">
        <f t="shared" si="0"/>
        <v>0</v>
      </c>
      <c r="H12" s="255"/>
      <c r="I12" s="255"/>
      <c r="K12" s="520"/>
      <c r="M12" s="68" t="s">
        <v>136</v>
      </c>
      <c r="N12" s="549">
        <f>N22</f>
        <v>0</v>
      </c>
      <c r="O12" s="548">
        <v>1.4999999999999999E-2</v>
      </c>
      <c r="P12" s="255">
        <f>O12*N12</f>
        <v>0</v>
      </c>
      <c r="R12" s="255"/>
      <c r="S12" s="255"/>
    </row>
    <row r="13" spans="1:19">
      <c r="C13" s="253" t="s">
        <v>134</v>
      </c>
      <c r="D13" s="549">
        <f t="shared" si="0"/>
        <v>256.5</v>
      </c>
      <c r="E13" s="555">
        <f t="shared" si="0"/>
        <v>1.4999999999999999E-2</v>
      </c>
      <c r="F13" s="255">
        <f t="shared" si="0"/>
        <v>3.8474999999999997</v>
      </c>
      <c r="H13" s="255"/>
      <c r="I13" s="255"/>
      <c r="K13" s="520"/>
      <c r="M13" s="68" t="s">
        <v>134</v>
      </c>
      <c r="N13" s="549">
        <f>N23</f>
        <v>256.5</v>
      </c>
      <c r="O13" s="548">
        <v>1.4999999999999999E-2</v>
      </c>
      <c r="P13" s="255">
        <f>O13*N13</f>
        <v>3.8474999999999997</v>
      </c>
      <c r="R13" s="255"/>
      <c r="S13" s="255"/>
    </row>
    <row r="14" spans="1:19">
      <c r="C14" s="253" t="s">
        <v>272</v>
      </c>
      <c r="D14" s="549">
        <f t="shared" si="0"/>
        <v>50</v>
      </c>
      <c r="E14" s="555">
        <f t="shared" si="0"/>
        <v>1.4999999999999999E-2</v>
      </c>
      <c r="F14" s="255">
        <f t="shared" si="0"/>
        <v>0.75</v>
      </c>
      <c r="H14" s="255"/>
      <c r="I14" s="255"/>
      <c r="K14" s="520"/>
      <c r="M14" s="68" t="s">
        <v>272</v>
      </c>
      <c r="N14" s="549">
        <f>N33</f>
        <v>50</v>
      </c>
      <c r="O14" s="548">
        <v>1.4999999999999999E-2</v>
      </c>
      <c r="P14" s="255">
        <f>O14*N14</f>
        <v>0.75</v>
      </c>
      <c r="R14" s="255"/>
      <c r="S14" s="255"/>
    </row>
    <row r="15" spans="1:19" ht="10.8" thickBot="1">
      <c r="C15" s="253" t="s">
        <v>102</v>
      </c>
      <c r="D15" s="549">
        <f t="shared" si="0"/>
        <v>20</v>
      </c>
      <c r="E15" s="555">
        <f t="shared" si="0"/>
        <v>1.4999999999999999E-2</v>
      </c>
      <c r="F15" s="255">
        <f t="shared" si="0"/>
        <v>0.3</v>
      </c>
      <c r="H15" s="255"/>
      <c r="I15" s="255"/>
      <c r="K15" s="520"/>
      <c r="M15" s="68" t="s">
        <v>102</v>
      </c>
      <c r="N15" s="549">
        <f>N32</f>
        <v>20</v>
      </c>
      <c r="O15" s="707">
        <v>1.4999999999999999E-2</v>
      </c>
      <c r="P15" s="255">
        <f>O15*N15</f>
        <v>0.3</v>
      </c>
      <c r="R15" s="255"/>
      <c r="S15" s="255"/>
    </row>
    <row r="16" spans="1:19" ht="10.8" thickBot="1">
      <c r="C16" s="248" t="s">
        <v>49</v>
      </c>
      <c r="D16" s="557">
        <f>SUM(D12:D15)</f>
        <v>326.5</v>
      </c>
      <c r="E16" s="556">
        <f>+O16</f>
        <v>1.4999999999999999E-2</v>
      </c>
      <c r="F16" s="557">
        <f>SUM(F12:F15)</f>
        <v>4.8975</v>
      </c>
      <c r="K16" s="520"/>
      <c r="M16" s="248" t="s">
        <v>49</v>
      </c>
      <c r="N16" s="557">
        <f>SUM(N12:N15)</f>
        <v>326.5</v>
      </c>
      <c r="O16" s="708">
        <f>+P16/N16</f>
        <v>1.4999999999999999E-2</v>
      </c>
      <c r="P16" s="557">
        <f>SUM(P12:P15)</f>
        <v>4.8975</v>
      </c>
    </row>
    <row r="17" spans="2:19">
      <c r="C17" s="257"/>
      <c r="D17" s="258"/>
      <c r="E17" s="259"/>
      <c r="F17" s="258"/>
      <c r="K17" s="520"/>
      <c r="M17" s="257"/>
      <c r="N17" s="258"/>
      <c r="O17" s="259"/>
      <c r="P17" s="258"/>
    </row>
    <row r="18" spans="2:19">
      <c r="C18" s="257"/>
      <c r="D18" s="258"/>
      <c r="E18" s="259"/>
      <c r="F18" s="258"/>
      <c r="K18" s="520"/>
      <c r="M18" s="257"/>
      <c r="N18" s="258"/>
      <c r="O18" s="259"/>
      <c r="P18" s="258"/>
    </row>
    <row r="19" spans="2:19">
      <c r="C19" s="65" t="s">
        <v>56</v>
      </c>
      <c r="D19" s="65"/>
      <c r="E19" s="65"/>
      <c r="F19" s="65"/>
      <c r="G19" s="65"/>
      <c r="H19" s="242"/>
      <c r="I19" s="242"/>
      <c r="K19" s="520"/>
      <c r="M19" s="65" t="s">
        <v>56</v>
      </c>
      <c r="N19" s="65"/>
      <c r="O19" s="65"/>
      <c r="P19" s="65"/>
      <c r="Q19" s="65"/>
      <c r="R19" s="242"/>
      <c r="S19" s="242"/>
    </row>
    <row r="20" spans="2:19">
      <c r="K20" s="520"/>
    </row>
    <row r="21" spans="2:19">
      <c r="C21" s="243" t="s">
        <v>54</v>
      </c>
      <c r="D21" s="244" t="s">
        <v>58</v>
      </c>
      <c r="E21" s="244" t="s">
        <v>59</v>
      </c>
      <c r="F21" s="244" t="s">
        <v>122</v>
      </c>
      <c r="G21" s="244" t="s">
        <v>130</v>
      </c>
      <c r="K21" s="520"/>
      <c r="M21" s="243" t="s">
        <v>54</v>
      </c>
      <c r="N21" s="244" t="s">
        <v>58</v>
      </c>
      <c r="O21" s="244" t="s">
        <v>59</v>
      </c>
      <c r="P21" s="244" t="s">
        <v>122</v>
      </c>
      <c r="Q21" s="244" t="s">
        <v>130</v>
      </c>
    </row>
    <row r="22" spans="2:19">
      <c r="C22" s="68" t="s">
        <v>136</v>
      </c>
      <c r="D22" s="69">
        <f t="shared" ref="D22:H23" si="1">+N22</f>
        <v>0</v>
      </c>
      <c r="E22" s="551">
        <f t="shared" si="1"/>
        <v>0</v>
      </c>
      <c r="F22" s="552">
        <f t="shared" si="1"/>
        <v>0</v>
      </c>
      <c r="G22" s="261">
        <f t="shared" si="1"/>
        <v>46022</v>
      </c>
      <c r="H22" s="262">
        <f t="shared" si="1"/>
        <v>0</v>
      </c>
      <c r="K22" s="520"/>
      <c r="M22" s="68" t="s">
        <v>136</v>
      </c>
      <c r="N22" s="69">
        <f>N7*O22</f>
        <v>0</v>
      </c>
      <c r="O22" s="515">
        <v>0</v>
      </c>
      <c r="P22" s="256">
        <v>0</v>
      </c>
      <c r="Q22" s="261">
        <f>+EOMONTH($M$4,R22*12)</f>
        <v>46022</v>
      </c>
      <c r="R22" s="263">
        <v>0</v>
      </c>
    </row>
    <row r="23" spans="2:19">
      <c r="C23" s="68" t="s">
        <v>134</v>
      </c>
      <c r="D23" s="69">
        <f t="shared" si="1"/>
        <v>256.5</v>
      </c>
      <c r="E23" s="553">
        <f t="shared" si="1"/>
        <v>5</v>
      </c>
      <c r="F23" s="554">
        <f t="shared" si="1"/>
        <v>3.5000000000000003E-2</v>
      </c>
      <c r="G23" s="261">
        <f t="shared" si="1"/>
        <v>48579</v>
      </c>
      <c r="H23" s="262">
        <f t="shared" si="1"/>
        <v>7</v>
      </c>
      <c r="K23" s="520"/>
      <c r="M23" s="68" t="s">
        <v>134</v>
      </c>
      <c r="N23" s="69">
        <f>N7*O23</f>
        <v>256.5</v>
      </c>
      <c r="O23" s="517">
        <v>5</v>
      </c>
      <c r="P23" s="256">
        <v>3.5000000000000003E-2</v>
      </c>
      <c r="Q23" s="261">
        <f>+EOMONTH($M$4,R23*12)</f>
        <v>48579</v>
      </c>
      <c r="R23" s="263">
        <v>7</v>
      </c>
    </row>
    <row r="24" spans="2:19">
      <c r="C24" s="264" t="s">
        <v>219</v>
      </c>
      <c r="D24" s="265">
        <f>SUM(D22:D23)</f>
        <v>256.5</v>
      </c>
      <c r="E24" s="266">
        <f>+D24/D$7</f>
        <v>5</v>
      </c>
      <c r="F24" s="267"/>
      <c r="G24" s="268"/>
      <c r="H24" s="250"/>
      <c r="I24" s="250"/>
      <c r="K24" s="520"/>
      <c r="M24" s="264" t="s">
        <v>219</v>
      </c>
      <c r="N24" s="265">
        <f>SUM(N22:N23)</f>
        <v>256.5</v>
      </c>
      <c r="O24" s="516">
        <f>+N24/N$7</f>
        <v>5</v>
      </c>
      <c r="P24" s="267"/>
      <c r="Q24" s="268"/>
      <c r="R24" s="250"/>
      <c r="S24" s="250"/>
    </row>
    <row r="25" spans="2:19">
      <c r="C25" s="68"/>
      <c r="D25" s="247"/>
      <c r="E25" s="260"/>
      <c r="F25" s="269"/>
      <c r="G25" s="68"/>
      <c r="K25" s="520"/>
      <c r="M25" s="68"/>
      <c r="N25" s="247"/>
      <c r="O25" s="260"/>
      <c r="P25" s="269"/>
      <c r="Q25" s="68"/>
      <c r="S25" s="23"/>
    </row>
    <row r="26" spans="2:19">
      <c r="C26" s="68" t="s">
        <v>76</v>
      </c>
      <c r="D26" s="254">
        <f>+N26</f>
        <v>0</v>
      </c>
      <c r="E26" s="254">
        <f>+O26</f>
        <v>0</v>
      </c>
      <c r="F26" s="269"/>
      <c r="G26" s="269"/>
      <c r="K26" s="520"/>
      <c r="M26" s="68" t="s">
        <v>76</v>
      </c>
      <c r="N26" s="518">
        <v>0</v>
      </c>
      <c r="O26" s="260">
        <f>+N26/N$7</f>
        <v>0</v>
      </c>
      <c r="P26" s="269"/>
      <c r="Q26" s="269"/>
    </row>
    <row r="27" spans="2:19" ht="10.8" thickBot="1">
      <c r="C27" s="248" t="s">
        <v>141</v>
      </c>
      <c r="D27" s="249">
        <f>+D24+D26</f>
        <v>256.5</v>
      </c>
      <c r="E27" s="270">
        <f>+D27/D$7</f>
        <v>5</v>
      </c>
      <c r="F27" s="271"/>
      <c r="G27" s="271"/>
      <c r="K27" s="520"/>
      <c r="M27" s="248" t="s">
        <v>141</v>
      </c>
      <c r="N27" s="249">
        <f>+N24+N26</f>
        <v>256.5</v>
      </c>
      <c r="O27" s="270">
        <f>+N27/$N7</f>
        <v>5</v>
      </c>
      <c r="P27" s="271"/>
      <c r="Q27" s="271"/>
    </row>
    <row r="28" spans="2:19">
      <c r="I28" s="244" t="s">
        <v>140</v>
      </c>
      <c r="K28" s="520"/>
      <c r="S28" s="244" t="s">
        <v>140</v>
      </c>
    </row>
    <row r="29" spans="2:19">
      <c r="B29" s="544"/>
      <c r="C29" s="545" t="s">
        <v>220</v>
      </c>
      <c r="D29" s="254">
        <f>+N29</f>
        <v>0</v>
      </c>
      <c r="E29" s="254">
        <f>+O29</f>
        <v>0</v>
      </c>
      <c r="F29" s="254"/>
      <c r="G29" s="546"/>
      <c r="H29" s="262"/>
      <c r="I29" s="262"/>
      <c r="K29" s="520"/>
      <c r="M29" s="68" t="s">
        <v>220</v>
      </c>
      <c r="N29" s="69">
        <f>N7*O29</f>
        <v>0</v>
      </c>
      <c r="O29" s="517">
        <v>0</v>
      </c>
      <c r="P29" s="269"/>
      <c r="Q29" s="68"/>
      <c r="S29" s="23"/>
    </row>
    <row r="30" spans="2:19">
      <c r="C30" s="264" t="s">
        <v>141</v>
      </c>
      <c r="D30" s="265">
        <f>+D27+D29</f>
        <v>256.5</v>
      </c>
      <c r="E30" s="266">
        <f>+D30/D$7</f>
        <v>5</v>
      </c>
      <c r="F30" s="267"/>
      <c r="G30" s="268"/>
      <c r="H30" s="250"/>
      <c r="I30" s="250"/>
      <c r="K30" s="520"/>
      <c r="M30" s="264" t="s">
        <v>141</v>
      </c>
      <c r="N30" s="265">
        <f>+N27+N29</f>
        <v>256.5</v>
      </c>
      <c r="O30" s="266">
        <f>+N30/N$7</f>
        <v>5</v>
      </c>
      <c r="P30" s="267"/>
      <c r="Q30" s="268"/>
      <c r="R30" s="250"/>
      <c r="S30" s="250"/>
    </row>
    <row r="31" spans="2:19">
      <c r="C31" s="68"/>
      <c r="D31" s="247"/>
      <c r="E31" s="260"/>
      <c r="F31" s="269"/>
      <c r="G31" s="68"/>
      <c r="K31" s="520"/>
      <c r="M31" s="68"/>
      <c r="N31" s="247"/>
      <c r="O31" s="260"/>
      <c r="P31" s="269"/>
      <c r="Q31" s="68"/>
    </row>
    <row r="32" spans="2:19">
      <c r="C32" s="68" t="s">
        <v>102</v>
      </c>
      <c r="D32" s="254">
        <f t="shared" ref="D32:F33" si="2">+N32</f>
        <v>20</v>
      </c>
      <c r="E32" s="551">
        <f t="shared" si="2"/>
        <v>0.38986354775828463</v>
      </c>
      <c r="F32" s="704">
        <f t="shared" si="2"/>
        <v>0.03</v>
      </c>
      <c r="G32" s="261"/>
      <c r="H32" s="262"/>
      <c r="I32" s="550">
        <f>+S32</f>
        <v>0.01</v>
      </c>
      <c r="K32" s="520"/>
      <c r="M32" s="68" t="s">
        <v>102</v>
      </c>
      <c r="N32" s="69">
        <v>20</v>
      </c>
      <c r="O32" s="260">
        <f>+N32/N$7</f>
        <v>0.38986354775828463</v>
      </c>
      <c r="P32" s="256">
        <v>0.03</v>
      </c>
      <c r="Q32" s="261"/>
      <c r="R32" s="519"/>
      <c r="S32" s="256">
        <v>0.01</v>
      </c>
    </row>
    <row r="33" spans="3:19">
      <c r="C33" s="68" t="s">
        <v>272</v>
      </c>
      <c r="D33" s="254">
        <f t="shared" si="2"/>
        <v>50</v>
      </c>
      <c r="E33" s="551">
        <f t="shared" si="2"/>
        <v>0.97465886939571156</v>
      </c>
      <c r="F33" s="704">
        <f t="shared" si="2"/>
        <v>0.03</v>
      </c>
      <c r="G33" s="261"/>
      <c r="H33" s="262">
        <f>+R33</f>
        <v>3</v>
      </c>
      <c r="I33" s="550">
        <f>+S33</f>
        <v>0.01</v>
      </c>
      <c r="K33" s="520"/>
      <c r="M33" s="68" t="s">
        <v>272</v>
      </c>
      <c r="N33" s="69">
        <v>50</v>
      </c>
      <c r="O33" s="260">
        <f>+N33/N$7</f>
        <v>0.97465886939571156</v>
      </c>
      <c r="P33" s="256">
        <v>0.03</v>
      </c>
      <c r="Q33" s="261"/>
      <c r="R33" s="263">
        <v>3</v>
      </c>
      <c r="S33" s="256">
        <v>0.01</v>
      </c>
    </row>
    <row r="34" spans="3:19" ht="10.8" thickBot="1">
      <c r="C34" s="248" t="s">
        <v>2</v>
      </c>
      <c r="D34" s="249">
        <f>+D27+SUM(D32:D33)</f>
        <v>326.5</v>
      </c>
      <c r="E34" s="270">
        <f>+D34/D$7</f>
        <v>6.3645224171539967</v>
      </c>
      <c r="F34" s="271"/>
      <c r="G34" s="271"/>
      <c r="K34" s="520"/>
      <c r="M34" s="248" t="s">
        <v>2</v>
      </c>
      <c r="N34" s="249">
        <f>+N27+SUM(N32:N33)</f>
        <v>326.5</v>
      </c>
      <c r="O34" s="270">
        <f>+N34/N$7</f>
        <v>6.3645224171539967</v>
      </c>
      <c r="P34" s="271"/>
      <c r="Q34" s="271"/>
    </row>
    <row r="35" spans="3:19">
      <c r="K35" s="520"/>
    </row>
    <row r="36" spans="3:19">
      <c r="K36" s="520"/>
    </row>
    <row r="37" spans="3:19" ht="11.4">
      <c r="C37" s="532" t="s">
        <v>268</v>
      </c>
      <c r="D37" s="531"/>
      <c r="E37" s="531"/>
      <c r="F37" s="531"/>
      <c r="G37" s="531"/>
      <c r="H37" s="531"/>
      <c r="I37" s="531"/>
      <c r="K37" s="520"/>
      <c r="M37" s="532" t="s">
        <v>268</v>
      </c>
      <c r="N37" s="531"/>
      <c r="O37" s="531"/>
      <c r="P37" s="531"/>
      <c r="Q37" s="531"/>
      <c r="R37" s="531"/>
      <c r="S37" s="531"/>
    </row>
    <row r="38" spans="3:19">
      <c r="K38" s="520"/>
    </row>
    <row r="39" spans="3:19">
      <c r="C39" s="23"/>
      <c r="D39" s="244" t="str">
        <f t="shared" ref="D39:D44" si="3">+N39</f>
        <v>Higher than</v>
      </c>
      <c r="E39" s="244" t="str">
        <f>+O39</f>
        <v>Lower than</v>
      </c>
      <c r="F39" s="244" t="str">
        <f>+P39</f>
        <v>% of FCF</v>
      </c>
      <c r="K39" s="520"/>
      <c r="M39" s="23"/>
      <c r="N39" s="244" t="s">
        <v>245</v>
      </c>
      <c r="O39" s="244" t="s">
        <v>246</v>
      </c>
      <c r="P39" s="244" t="s">
        <v>244</v>
      </c>
    </row>
    <row r="40" spans="3:19">
      <c r="C40" s="237" t="str">
        <f>+M40</f>
        <v>Range 1</v>
      </c>
      <c r="D40" s="575">
        <f t="shared" si="3"/>
        <v>4</v>
      </c>
      <c r="F40" s="576">
        <f>+P40</f>
        <v>0</v>
      </c>
      <c r="K40" s="520"/>
      <c r="M40" s="237" t="s">
        <v>241</v>
      </c>
      <c r="N40" s="515">
        <v>4</v>
      </c>
      <c r="P40" s="548">
        <v>0</v>
      </c>
    </row>
    <row r="41" spans="3:19">
      <c r="C41" s="237" t="str">
        <f>+M41</f>
        <v>Range 2</v>
      </c>
      <c r="D41" s="575">
        <f t="shared" si="3"/>
        <v>3</v>
      </c>
      <c r="E41" s="575">
        <f>+O41</f>
        <v>4</v>
      </c>
      <c r="F41" s="576">
        <f>+P41</f>
        <v>0.5</v>
      </c>
      <c r="K41" s="520"/>
      <c r="M41" s="237" t="s">
        <v>242</v>
      </c>
      <c r="N41" s="515">
        <v>3</v>
      </c>
      <c r="O41" s="575">
        <f>+N40</f>
        <v>4</v>
      </c>
      <c r="P41" s="548">
        <v>0.5</v>
      </c>
    </row>
    <row r="42" spans="3:19">
      <c r="C42" s="237" t="str">
        <f>+M42</f>
        <v>Range 3</v>
      </c>
      <c r="E42" s="575">
        <f>+O42</f>
        <v>3</v>
      </c>
      <c r="F42" s="576">
        <f>+P42</f>
        <v>1</v>
      </c>
      <c r="K42" s="520"/>
      <c r="M42" s="237" t="s">
        <v>243</v>
      </c>
      <c r="O42" s="575">
        <f>+N41</f>
        <v>3</v>
      </c>
      <c r="P42" s="548">
        <v>1</v>
      </c>
    </row>
    <row r="43" spans="3:19">
      <c r="K43" s="520"/>
    </row>
    <row r="44" spans="3:19">
      <c r="C44" s="577" t="str">
        <f>+M44</f>
        <v>Min Cash on Balance (€m)</v>
      </c>
      <c r="D44" s="579">
        <f t="shared" si="3"/>
        <v>10</v>
      </c>
      <c r="K44" s="520"/>
      <c r="M44" s="577" t="s">
        <v>247</v>
      </c>
      <c r="N44" s="578">
        <v>10</v>
      </c>
      <c r="O44" s="646"/>
    </row>
    <row r="45" spans="3:19">
      <c r="K45" s="520"/>
    </row>
    <row r="46" spans="3:19">
      <c r="K46" s="520"/>
    </row>
    <row r="47" spans="3:19" ht="11.4">
      <c r="C47" s="532" t="s">
        <v>222</v>
      </c>
      <c r="D47" s="531"/>
      <c r="E47" s="531"/>
      <c r="F47" s="531"/>
      <c r="G47" s="531"/>
      <c r="H47" s="531"/>
      <c r="I47" s="531"/>
      <c r="K47" s="520"/>
      <c r="M47" s="532" t="s">
        <v>222</v>
      </c>
      <c r="N47" s="531"/>
      <c r="O47" s="531"/>
      <c r="P47" s="531"/>
      <c r="Q47" s="531"/>
      <c r="R47" s="531"/>
      <c r="S47" s="531"/>
    </row>
    <row r="48" spans="3:19">
      <c r="K48" s="520"/>
    </row>
    <row r="49" spans="3:19">
      <c r="C49" s="533" t="s">
        <v>45</v>
      </c>
      <c r="D49" s="534" t="s">
        <v>223</v>
      </c>
      <c r="E49" s="23"/>
      <c r="F49" s="533" t="s">
        <v>46</v>
      </c>
      <c r="G49" s="534" t="s">
        <v>223</v>
      </c>
      <c r="K49" s="520"/>
      <c r="M49" s="533" t="s">
        <v>45</v>
      </c>
      <c r="N49" s="534" t="s">
        <v>223</v>
      </c>
      <c r="O49" s="23"/>
      <c r="P49" s="533" t="s">
        <v>46</v>
      </c>
      <c r="Q49" s="534" t="s">
        <v>223</v>
      </c>
    </row>
    <row r="50" spans="3:19">
      <c r="C50" s="23"/>
      <c r="D50" s="23"/>
      <c r="E50" s="23"/>
      <c r="F50" s="23"/>
      <c r="G50" s="23"/>
      <c r="K50" s="520"/>
      <c r="M50" s="23"/>
      <c r="N50" s="23"/>
      <c r="O50" s="23"/>
      <c r="P50" s="23"/>
      <c r="Q50" s="23"/>
    </row>
    <row r="51" spans="3:19">
      <c r="C51" s="23" t="s">
        <v>261</v>
      </c>
      <c r="D51" s="538">
        <f>+N51</f>
        <v>296.49750000000006</v>
      </c>
      <c r="E51" s="23"/>
      <c r="F51" s="23" t="s">
        <v>224</v>
      </c>
      <c r="G51" s="705">
        <v>540</v>
      </c>
      <c r="K51" s="520"/>
      <c r="M51" s="23" t="s">
        <v>261</v>
      </c>
      <c r="N51" s="538">
        <f>+N56-SUM(N52:N55)</f>
        <v>296.49750000000006</v>
      </c>
      <c r="O51" s="23"/>
      <c r="P51" s="23" t="s">
        <v>224</v>
      </c>
      <c r="Q51" s="535">
        <f>+$G51</f>
        <v>540</v>
      </c>
    </row>
    <row r="52" spans="3:19">
      <c r="C52" s="23" t="s">
        <v>136</v>
      </c>
      <c r="D52" s="535">
        <f>+N52</f>
        <v>0</v>
      </c>
      <c r="E52" s="23"/>
      <c r="F52" s="23" t="s">
        <v>225</v>
      </c>
      <c r="G52" s="535">
        <f>+Q52</f>
        <v>4.8975</v>
      </c>
      <c r="K52" s="520"/>
      <c r="M52" s="23" t="s">
        <v>136</v>
      </c>
      <c r="N52" s="535">
        <f>+N22</f>
        <v>0</v>
      </c>
      <c r="O52" s="23"/>
      <c r="P52" s="23" t="s">
        <v>225</v>
      </c>
      <c r="Q52" s="535">
        <f>+P16</f>
        <v>4.8975</v>
      </c>
    </row>
    <row r="53" spans="3:19">
      <c r="C53" s="23" t="s">
        <v>134</v>
      </c>
      <c r="D53" s="535">
        <f>+N53</f>
        <v>256.5</v>
      </c>
      <c r="E53" s="23"/>
      <c r="F53" s="23"/>
      <c r="G53" s="23"/>
      <c r="K53" s="520"/>
      <c r="M53" s="23" t="s">
        <v>134</v>
      </c>
      <c r="N53" s="535">
        <f>+N23</f>
        <v>256.5</v>
      </c>
      <c r="O53" s="23"/>
      <c r="P53" s="23"/>
      <c r="Q53" s="23"/>
    </row>
    <row r="54" spans="3:19">
      <c r="C54" s="23" t="s">
        <v>226</v>
      </c>
      <c r="D54" s="535">
        <f>+N54</f>
        <v>0</v>
      </c>
      <c r="E54" s="23"/>
      <c r="F54" s="23" t="s">
        <v>227</v>
      </c>
      <c r="G54" s="535">
        <f>+Q54</f>
        <v>8.1</v>
      </c>
      <c r="H54" s="547"/>
      <c r="K54" s="520"/>
      <c r="M54" s="23" t="s">
        <v>226</v>
      </c>
      <c r="N54" s="535">
        <f>+N29</f>
        <v>0</v>
      </c>
      <c r="O54" s="23"/>
      <c r="P54" s="23" t="s">
        <v>227</v>
      </c>
      <c r="Q54" s="709">
        <v>8.1</v>
      </c>
    </row>
    <row r="55" spans="3:19">
      <c r="C55" s="23"/>
      <c r="D55" s="535"/>
      <c r="E55" s="23"/>
      <c r="F55" s="23"/>
      <c r="G55" s="23"/>
      <c r="K55" s="520"/>
      <c r="M55" s="23"/>
      <c r="N55" s="535"/>
      <c r="O55" s="23"/>
      <c r="P55" s="23"/>
      <c r="Q55" s="23"/>
    </row>
    <row r="56" spans="3:19" ht="10.8" thickBot="1">
      <c r="C56" s="536" t="s">
        <v>2</v>
      </c>
      <c r="D56" s="537">
        <f>+G56</f>
        <v>552.99750000000006</v>
      </c>
      <c r="E56" s="23"/>
      <c r="F56" s="536" t="s">
        <v>2</v>
      </c>
      <c r="G56" s="537">
        <f>+SUM(G51:G55)</f>
        <v>552.99750000000006</v>
      </c>
      <c r="K56" s="520"/>
      <c r="M56" s="536" t="s">
        <v>2</v>
      </c>
      <c r="N56" s="537">
        <f>+Q56</f>
        <v>552.99750000000006</v>
      </c>
      <c r="O56" s="23"/>
      <c r="P56" s="536" t="s">
        <v>2</v>
      </c>
      <c r="Q56" s="537">
        <f>+SUM(Q51:Q55)</f>
        <v>552.99750000000006</v>
      </c>
    </row>
    <row r="57" spans="3:19">
      <c r="K57" s="520"/>
    </row>
    <row r="58" spans="3:19">
      <c r="K58" s="520"/>
    </row>
    <row r="59" spans="3:19">
      <c r="C59" s="65" t="s">
        <v>142</v>
      </c>
      <c r="D59" s="65"/>
      <c r="E59" s="65"/>
      <c r="F59" s="65"/>
      <c r="G59" s="65"/>
      <c r="H59" s="242"/>
      <c r="I59" s="242"/>
      <c r="K59" s="520"/>
      <c r="M59" s="65" t="s">
        <v>142</v>
      </c>
      <c r="N59" s="65"/>
      <c r="O59" s="65"/>
      <c r="P59" s="65"/>
      <c r="Q59" s="65"/>
      <c r="R59" s="242"/>
      <c r="S59" s="242"/>
    </row>
    <row r="60" spans="3:19">
      <c r="K60" s="520"/>
    </row>
    <row r="61" spans="3:19">
      <c r="C61" s="685" t="s">
        <v>271</v>
      </c>
      <c r="D61" s="686">
        <v>0.02</v>
      </c>
      <c r="K61" s="520"/>
    </row>
    <row r="62" spans="3:19">
      <c r="K62" s="520"/>
    </row>
    <row r="63" spans="3:19" ht="20.399999999999999">
      <c r="C63" s="272" t="str">
        <f>C22</f>
        <v>TLA</v>
      </c>
      <c r="D63" s="272" t="s">
        <v>0</v>
      </c>
      <c r="E63" s="273"/>
      <c r="F63" s="272" t="str">
        <f>C23</f>
        <v>TLB</v>
      </c>
      <c r="G63" s="272" t="s">
        <v>0</v>
      </c>
      <c r="I63" s="272" t="s">
        <v>143</v>
      </c>
      <c r="K63" s="520"/>
      <c r="M63" s="272" t="str">
        <f>M22</f>
        <v>TLA</v>
      </c>
      <c r="N63" s="272" t="s">
        <v>0</v>
      </c>
      <c r="O63" s="273"/>
      <c r="P63" s="272" t="str">
        <f>M23</f>
        <v>TLB</v>
      </c>
      <c r="Q63" s="272" t="s">
        <v>0</v>
      </c>
    </row>
    <row r="64" spans="3:19" ht="10.8" thickBot="1">
      <c r="C64" s="140"/>
      <c r="D64" s="274">
        <f>+SUM(D65:D84)</f>
        <v>0</v>
      </c>
      <c r="E64" s="140"/>
      <c r="F64" s="140"/>
      <c r="G64" s="274">
        <f>+SUM(G65:G84)</f>
        <v>0</v>
      </c>
      <c r="K64" s="520"/>
      <c r="M64" s="140"/>
      <c r="N64" s="274">
        <f>+SUM(N65:N92)</f>
        <v>0</v>
      </c>
      <c r="O64" s="140"/>
      <c r="P64" s="140"/>
      <c r="Q64" s="274">
        <f>+SUM(Q65:Q92)</f>
        <v>1</v>
      </c>
    </row>
    <row r="65" spans="1:21" ht="10.8" thickBot="1">
      <c r="B65" s="275">
        <v>3</v>
      </c>
      <c r="C65" s="276">
        <f>+M65</f>
        <v>46752</v>
      </c>
      <c r="D65" s="277">
        <f>+N65</f>
        <v>0</v>
      </c>
      <c r="E65" s="273"/>
      <c r="F65" s="276">
        <f>+P65</f>
        <v>46752</v>
      </c>
      <c r="G65" s="277">
        <f>+Q65</f>
        <v>0</v>
      </c>
      <c r="I65" s="710">
        <f t="shared" ref="I65:I92" si="4">+$D$61/4</f>
        <v>5.0000000000000001E-3</v>
      </c>
      <c r="K65" s="520"/>
      <c r="M65" s="276">
        <f>Model!U36</f>
        <v>46752</v>
      </c>
      <c r="N65" s="278">
        <v>0</v>
      </c>
      <c r="O65" s="273"/>
      <c r="P65" s="276">
        <f>Model!U36</f>
        <v>46752</v>
      </c>
      <c r="Q65" s="278">
        <v>0</v>
      </c>
    </row>
    <row r="66" spans="1:21" ht="10.8" thickBot="1">
      <c r="B66" s="275">
        <f>B65+3</f>
        <v>6</v>
      </c>
      <c r="C66" s="276">
        <f t="shared" ref="C66:C92" si="5">+M66</f>
        <v>46843</v>
      </c>
      <c r="D66" s="277">
        <f t="shared" ref="D66:D92" si="6">+N66</f>
        <v>0</v>
      </c>
      <c r="E66" s="273"/>
      <c r="F66" s="276">
        <f t="shared" ref="F66:F92" si="7">+P66</f>
        <v>46843</v>
      </c>
      <c r="G66" s="277">
        <f t="shared" ref="G66:G92" si="8">+Q66</f>
        <v>0</v>
      </c>
      <c r="I66" s="710">
        <f t="shared" si="4"/>
        <v>5.0000000000000001E-3</v>
      </c>
      <c r="K66" s="520"/>
      <c r="M66" s="276">
        <f t="shared" ref="M66:M92" si="9">EOMONTH(M65,3)</f>
        <v>46843</v>
      </c>
      <c r="N66" s="278">
        <v>0</v>
      </c>
      <c r="O66" s="273"/>
      <c r="P66" s="276">
        <f t="shared" ref="P66:P92" si="10">EOMONTH(P65,3)</f>
        <v>46843</v>
      </c>
      <c r="Q66" s="278">
        <v>0</v>
      </c>
    </row>
    <row r="67" spans="1:21" s="238" customFormat="1" ht="10.8" thickBot="1">
      <c r="A67" s="237"/>
      <c r="B67" s="275">
        <f t="shared" ref="B67:B92" si="11">B66+3</f>
        <v>9</v>
      </c>
      <c r="C67" s="276">
        <f t="shared" si="5"/>
        <v>46934</v>
      </c>
      <c r="D67" s="277">
        <f t="shared" si="6"/>
        <v>0</v>
      </c>
      <c r="E67" s="273"/>
      <c r="F67" s="276">
        <f t="shared" si="7"/>
        <v>46934</v>
      </c>
      <c r="G67" s="277">
        <f t="shared" si="8"/>
        <v>0</v>
      </c>
      <c r="I67" s="710">
        <f t="shared" si="4"/>
        <v>5.0000000000000001E-3</v>
      </c>
      <c r="J67" s="237"/>
      <c r="K67" s="520"/>
      <c r="L67" s="237"/>
      <c r="M67" s="276">
        <f t="shared" si="9"/>
        <v>46934</v>
      </c>
      <c r="N67" s="278">
        <v>0</v>
      </c>
      <c r="O67" s="273"/>
      <c r="P67" s="276">
        <f t="shared" si="10"/>
        <v>46934</v>
      </c>
      <c r="Q67" s="278">
        <v>0</v>
      </c>
      <c r="T67" s="23"/>
      <c r="U67" s="23"/>
    </row>
    <row r="68" spans="1:21" s="238" customFormat="1" ht="10.8" thickBot="1">
      <c r="A68" s="237"/>
      <c r="B68" s="275">
        <f t="shared" si="11"/>
        <v>12</v>
      </c>
      <c r="C68" s="276">
        <f t="shared" si="5"/>
        <v>47026</v>
      </c>
      <c r="D68" s="277">
        <f t="shared" si="6"/>
        <v>0</v>
      </c>
      <c r="E68" s="273"/>
      <c r="F68" s="276">
        <f t="shared" si="7"/>
        <v>47026</v>
      </c>
      <c r="G68" s="277">
        <f t="shared" si="8"/>
        <v>0</v>
      </c>
      <c r="I68" s="710">
        <f t="shared" si="4"/>
        <v>5.0000000000000001E-3</v>
      </c>
      <c r="J68" s="237"/>
      <c r="K68" s="520"/>
      <c r="L68" s="237"/>
      <c r="M68" s="276">
        <f t="shared" si="9"/>
        <v>47026</v>
      </c>
      <c r="N68" s="278">
        <v>0</v>
      </c>
      <c r="O68" s="273"/>
      <c r="P68" s="276">
        <f t="shared" si="10"/>
        <v>47026</v>
      </c>
      <c r="Q68" s="278">
        <v>0</v>
      </c>
      <c r="T68" s="23"/>
      <c r="U68" s="23"/>
    </row>
    <row r="69" spans="1:21" s="238" customFormat="1" ht="10.8" thickBot="1">
      <c r="A69" s="237"/>
      <c r="B69" s="275">
        <f t="shared" si="11"/>
        <v>15</v>
      </c>
      <c r="C69" s="276">
        <f t="shared" si="5"/>
        <v>47118</v>
      </c>
      <c r="D69" s="277">
        <f t="shared" si="6"/>
        <v>0</v>
      </c>
      <c r="E69" s="273"/>
      <c r="F69" s="276">
        <f t="shared" si="7"/>
        <v>47118</v>
      </c>
      <c r="G69" s="277">
        <f t="shared" si="8"/>
        <v>0</v>
      </c>
      <c r="I69" s="710">
        <f t="shared" si="4"/>
        <v>5.0000000000000001E-3</v>
      </c>
      <c r="J69" s="237"/>
      <c r="K69" s="520"/>
      <c r="L69" s="237"/>
      <c r="M69" s="276">
        <f t="shared" si="9"/>
        <v>47118</v>
      </c>
      <c r="N69" s="278">
        <v>0</v>
      </c>
      <c r="O69" s="273"/>
      <c r="P69" s="276">
        <f t="shared" si="10"/>
        <v>47118</v>
      </c>
      <c r="Q69" s="278">
        <v>0</v>
      </c>
      <c r="T69" s="23"/>
      <c r="U69" s="23"/>
    </row>
    <row r="70" spans="1:21" s="238" customFormat="1" ht="10.8" thickBot="1">
      <c r="A70" s="237"/>
      <c r="B70" s="275">
        <f t="shared" si="11"/>
        <v>18</v>
      </c>
      <c r="C70" s="276">
        <f t="shared" si="5"/>
        <v>47208</v>
      </c>
      <c r="D70" s="277">
        <f t="shared" si="6"/>
        <v>0</v>
      </c>
      <c r="E70" s="273"/>
      <c r="F70" s="276">
        <f t="shared" si="7"/>
        <v>47208</v>
      </c>
      <c r="G70" s="277">
        <f t="shared" si="8"/>
        <v>0</v>
      </c>
      <c r="I70" s="710">
        <f t="shared" si="4"/>
        <v>5.0000000000000001E-3</v>
      </c>
      <c r="J70" s="237"/>
      <c r="K70" s="520"/>
      <c r="L70" s="237"/>
      <c r="M70" s="276">
        <f t="shared" si="9"/>
        <v>47208</v>
      </c>
      <c r="N70" s="278">
        <v>0</v>
      </c>
      <c r="O70" s="273"/>
      <c r="P70" s="276">
        <f t="shared" si="10"/>
        <v>47208</v>
      </c>
      <c r="Q70" s="278">
        <v>0</v>
      </c>
      <c r="T70" s="23"/>
      <c r="U70" s="23"/>
    </row>
    <row r="71" spans="1:21" s="238" customFormat="1" ht="10.8" thickBot="1">
      <c r="A71" s="237"/>
      <c r="B71" s="275">
        <f t="shared" si="11"/>
        <v>21</v>
      </c>
      <c r="C71" s="276">
        <f t="shared" si="5"/>
        <v>47299</v>
      </c>
      <c r="D71" s="277">
        <f t="shared" si="6"/>
        <v>0</v>
      </c>
      <c r="E71" s="273"/>
      <c r="F71" s="276">
        <f t="shared" si="7"/>
        <v>47299</v>
      </c>
      <c r="G71" s="277">
        <f t="shared" si="8"/>
        <v>0</v>
      </c>
      <c r="I71" s="710">
        <f t="shared" si="4"/>
        <v>5.0000000000000001E-3</v>
      </c>
      <c r="J71" s="237"/>
      <c r="K71" s="520"/>
      <c r="L71" s="237"/>
      <c r="M71" s="276">
        <f t="shared" si="9"/>
        <v>47299</v>
      </c>
      <c r="N71" s="278">
        <v>0</v>
      </c>
      <c r="O71" s="273"/>
      <c r="P71" s="276">
        <f t="shared" si="10"/>
        <v>47299</v>
      </c>
      <c r="Q71" s="278">
        <v>0</v>
      </c>
      <c r="T71" s="23"/>
      <c r="U71" s="23"/>
    </row>
    <row r="72" spans="1:21" s="238" customFormat="1" ht="10.8" thickBot="1">
      <c r="A72" s="237"/>
      <c r="B72" s="275">
        <f t="shared" si="11"/>
        <v>24</v>
      </c>
      <c r="C72" s="276">
        <f t="shared" si="5"/>
        <v>47391</v>
      </c>
      <c r="D72" s="277">
        <f t="shared" si="6"/>
        <v>0</v>
      </c>
      <c r="E72" s="273"/>
      <c r="F72" s="276">
        <f t="shared" si="7"/>
        <v>47391</v>
      </c>
      <c r="G72" s="277">
        <f t="shared" si="8"/>
        <v>0</v>
      </c>
      <c r="I72" s="710">
        <f t="shared" si="4"/>
        <v>5.0000000000000001E-3</v>
      </c>
      <c r="J72" s="237"/>
      <c r="K72" s="520"/>
      <c r="L72" s="237"/>
      <c r="M72" s="276">
        <f t="shared" si="9"/>
        <v>47391</v>
      </c>
      <c r="N72" s="278">
        <v>0</v>
      </c>
      <c r="O72" s="273"/>
      <c r="P72" s="276">
        <f t="shared" si="10"/>
        <v>47391</v>
      </c>
      <c r="Q72" s="278">
        <v>0</v>
      </c>
      <c r="T72" s="23"/>
      <c r="U72" s="23"/>
    </row>
    <row r="73" spans="1:21" s="238" customFormat="1" ht="10.8" thickBot="1">
      <c r="A73" s="237"/>
      <c r="B73" s="275">
        <f t="shared" si="11"/>
        <v>27</v>
      </c>
      <c r="C73" s="276">
        <f t="shared" si="5"/>
        <v>47483</v>
      </c>
      <c r="D73" s="277">
        <f t="shared" si="6"/>
        <v>0</v>
      </c>
      <c r="E73" s="273"/>
      <c r="F73" s="276">
        <f t="shared" si="7"/>
        <v>47483</v>
      </c>
      <c r="G73" s="277">
        <f t="shared" si="8"/>
        <v>0</v>
      </c>
      <c r="I73" s="710">
        <f t="shared" si="4"/>
        <v>5.0000000000000001E-3</v>
      </c>
      <c r="J73" s="237"/>
      <c r="K73" s="520"/>
      <c r="L73" s="237"/>
      <c r="M73" s="276">
        <f t="shared" si="9"/>
        <v>47483</v>
      </c>
      <c r="N73" s="278">
        <v>0</v>
      </c>
      <c r="O73" s="273"/>
      <c r="P73" s="276">
        <f t="shared" si="10"/>
        <v>47483</v>
      </c>
      <c r="Q73" s="278">
        <v>0</v>
      </c>
      <c r="T73" s="23"/>
      <c r="U73" s="23"/>
    </row>
    <row r="74" spans="1:21" s="238" customFormat="1" ht="10.8" thickBot="1">
      <c r="A74" s="237"/>
      <c r="B74" s="275">
        <f t="shared" si="11"/>
        <v>30</v>
      </c>
      <c r="C74" s="276">
        <f t="shared" si="5"/>
        <v>47573</v>
      </c>
      <c r="D74" s="277">
        <f t="shared" si="6"/>
        <v>0</v>
      </c>
      <c r="E74" s="273"/>
      <c r="F74" s="276">
        <f t="shared" si="7"/>
        <v>47573</v>
      </c>
      <c r="G74" s="277">
        <f t="shared" si="8"/>
        <v>0</v>
      </c>
      <c r="I74" s="710">
        <f t="shared" si="4"/>
        <v>5.0000000000000001E-3</v>
      </c>
      <c r="J74" s="237"/>
      <c r="K74" s="520"/>
      <c r="L74" s="237"/>
      <c r="M74" s="276">
        <f t="shared" si="9"/>
        <v>47573</v>
      </c>
      <c r="N74" s="278">
        <v>0</v>
      </c>
      <c r="O74" s="273"/>
      <c r="P74" s="276">
        <f t="shared" si="10"/>
        <v>47573</v>
      </c>
      <c r="Q74" s="278">
        <v>0</v>
      </c>
      <c r="T74" s="23"/>
      <c r="U74" s="23"/>
    </row>
    <row r="75" spans="1:21" s="238" customFormat="1" ht="10.8" thickBot="1">
      <c r="A75" s="237"/>
      <c r="B75" s="275">
        <f t="shared" si="11"/>
        <v>33</v>
      </c>
      <c r="C75" s="276">
        <f t="shared" si="5"/>
        <v>47664</v>
      </c>
      <c r="D75" s="277">
        <f t="shared" si="6"/>
        <v>0</v>
      </c>
      <c r="E75" s="273"/>
      <c r="F75" s="276">
        <f t="shared" si="7"/>
        <v>47664</v>
      </c>
      <c r="G75" s="277">
        <f t="shared" si="8"/>
        <v>0</v>
      </c>
      <c r="I75" s="710">
        <f t="shared" si="4"/>
        <v>5.0000000000000001E-3</v>
      </c>
      <c r="J75" s="237"/>
      <c r="K75" s="520"/>
      <c r="L75" s="237"/>
      <c r="M75" s="276">
        <f t="shared" si="9"/>
        <v>47664</v>
      </c>
      <c r="N75" s="278">
        <v>0</v>
      </c>
      <c r="O75" s="273"/>
      <c r="P75" s="276">
        <f t="shared" si="10"/>
        <v>47664</v>
      </c>
      <c r="Q75" s="278">
        <v>0</v>
      </c>
      <c r="T75" s="23"/>
      <c r="U75" s="23"/>
    </row>
    <row r="76" spans="1:21" s="238" customFormat="1" ht="10.8" thickBot="1">
      <c r="A76" s="237"/>
      <c r="B76" s="275">
        <f t="shared" si="11"/>
        <v>36</v>
      </c>
      <c r="C76" s="276">
        <f t="shared" si="5"/>
        <v>47756</v>
      </c>
      <c r="D76" s="277">
        <f t="shared" si="6"/>
        <v>0</v>
      </c>
      <c r="E76" s="273"/>
      <c r="F76" s="276">
        <f t="shared" si="7"/>
        <v>47756</v>
      </c>
      <c r="G76" s="277">
        <f t="shared" si="8"/>
        <v>0</v>
      </c>
      <c r="I76" s="710">
        <f t="shared" si="4"/>
        <v>5.0000000000000001E-3</v>
      </c>
      <c r="J76" s="237"/>
      <c r="K76" s="520"/>
      <c r="L76" s="237"/>
      <c r="M76" s="276">
        <f t="shared" si="9"/>
        <v>47756</v>
      </c>
      <c r="N76" s="278">
        <v>0</v>
      </c>
      <c r="O76" s="273"/>
      <c r="P76" s="276">
        <f t="shared" si="10"/>
        <v>47756</v>
      </c>
      <c r="Q76" s="278">
        <v>0</v>
      </c>
      <c r="T76" s="23"/>
      <c r="U76" s="23"/>
    </row>
    <row r="77" spans="1:21" s="238" customFormat="1" ht="10.8" thickBot="1">
      <c r="A77" s="237"/>
      <c r="B77" s="275">
        <f t="shared" si="11"/>
        <v>39</v>
      </c>
      <c r="C77" s="276">
        <f t="shared" si="5"/>
        <v>47848</v>
      </c>
      <c r="D77" s="277">
        <f t="shared" si="6"/>
        <v>0</v>
      </c>
      <c r="E77" s="273"/>
      <c r="F77" s="276">
        <f t="shared" si="7"/>
        <v>47848</v>
      </c>
      <c r="G77" s="277">
        <f t="shared" si="8"/>
        <v>0</v>
      </c>
      <c r="I77" s="710">
        <f t="shared" si="4"/>
        <v>5.0000000000000001E-3</v>
      </c>
      <c r="J77" s="237"/>
      <c r="K77" s="520"/>
      <c r="L77" s="237"/>
      <c r="M77" s="276">
        <f t="shared" si="9"/>
        <v>47848</v>
      </c>
      <c r="N77" s="278">
        <v>0</v>
      </c>
      <c r="O77" s="273"/>
      <c r="P77" s="276">
        <f t="shared" si="10"/>
        <v>47848</v>
      </c>
      <c r="Q77" s="278">
        <v>0</v>
      </c>
      <c r="T77" s="23"/>
      <c r="U77" s="23"/>
    </row>
    <row r="78" spans="1:21" s="238" customFormat="1" ht="10.8" thickBot="1">
      <c r="A78" s="237"/>
      <c r="B78" s="275">
        <f t="shared" si="11"/>
        <v>42</v>
      </c>
      <c r="C78" s="276">
        <f t="shared" si="5"/>
        <v>47938</v>
      </c>
      <c r="D78" s="277">
        <f t="shared" si="6"/>
        <v>0</v>
      </c>
      <c r="E78" s="273"/>
      <c r="F78" s="276">
        <f t="shared" si="7"/>
        <v>47938</v>
      </c>
      <c r="G78" s="277">
        <f t="shared" si="8"/>
        <v>0</v>
      </c>
      <c r="I78" s="710">
        <f t="shared" si="4"/>
        <v>5.0000000000000001E-3</v>
      </c>
      <c r="J78" s="237"/>
      <c r="K78" s="520"/>
      <c r="L78" s="237"/>
      <c r="M78" s="276">
        <f t="shared" si="9"/>
        <v>47938</v>
      </c>
      <c r="N78" s="278">
        <v>0</v>
      </c>
      <c r="O78" s="273"/>
      <c r="P78" s="276">
        <f t="shared" si="10"/>
        <v>47938</v>
      </c>
      <c r="Q78" s="278">
        <v>0</v>
      </c>
      <c r="T78" s="23"/>
      <c r="U78" s="23"/>
    </row>
    <row r="79" spans="1:21" s="238" customFormat="1" ht="10.8" thickBot="1">
      <c r="A79" s="237"/>
      <c r="B79" s="275">
        <f t="shared" si="11"/>
        <v>45</v>
      </c>
      <c r="C79" s="276">
        <f t="shared" si="5"/>
        <v>48029</v>
      </c>
      <c r="D79" s="277">
        <f t="shared" si="6"/>
        <v>0</v>
      </c>
      <c r="E79" s="273"/>
      <c r="F79" s="276">
        <f t="shared" si="7"/>
        <v>48029</v>
      </c>
      <c r="G79" s="277">
        <f t="shared" si="8"/>
        <v>0</v>
      </c>
      <c r="I79" s="710">
        <f t="shared" si="4"/>
        <v>5.0000000000000001E-3</v>
      </c>
      <c r="J79" s="237"/>
      <c r="K79" s="520"/>
      <c r="L79" s="237"/>
      <c r="M79" s="276">
        <f t="shared" si="9"/>
        <v>48029</v>
      </c>
      <c r="N79" s="278">
        <v>0</v>
      </c>
      <c r="O79" s="273"/>
      <c r="P79" s="276">
        <f t="shared" si="10"/>
        <v>48029</v>
      </c>
      <c r="Q79" s="278">
        <v>0</v>
      </c>
      <c r="T79" s="23"/>
      <c r="U79" s="23"/>
    </row>
    <row r="80" spans="1:21" s="238" customFormat="1" ht="10.8" thickBot="1">
      <c r="A80" s="237"/>
      <c r="B80" s="275">
        <f t="shared" si="11"/>
        <v>48</v>
      </c>
      <c r="C80" s="276">
        <f t="shared" si="5"/>
        <v>48121</v>
      </c>
      <c r="D80" s="277">
        <f t="shared" si="6"/>
        <v>0</v>
      </c>
      <c r="E80" s="273"/>
      <c r="F80" s="276">
        <f t="shared" si="7"/>
        <v>48121</v>
      </c>
      <c r="G80" s="277">
        <f t="shared" si="8"/>
        <v>0</v>
      </c>
      <c r="I80" s="710">
        <f t="shared" si="4"/>
        <v>5.0000000000000001E-3</v>
      </c>
      <c r="J80" s="237"/>
      <c r="K80" s="520"/>
      <c r="L80" s="237"/>
      <c r="M80" s="276">
        <f t="shared" si="9"/>
        <v>48121</v>
      </c>
      <c r="N80" s="278">
        <v>0</v>
      </c>
      <c r="O80" s="273"/>
      <c r="P80" s="276">
        <f t="shared" si="10"/>
        <v>48121</v>
      </c>
      <c r="Q80" s="278">
        <v>0</v>
      </c>
      <c r="T80" s="23"/>
      <c r="U80" s="23"/>
    </row>
    <row r="81" spans="1:21" s="238" customFormat="1" ht="10.8" thickBot="1">
      <c r="A81" s="237"/>
      <c r="B81" s="275">
        <f t="shared" si="11"/>
        <v>51</v>
      </c>
      <c r="C81" s="276">
        <f t="shared" si="5"/>
        <v>48213</v>
      </c>
      <c r="D81" s="277">
        <f t="shared" si="6"/>
        <v>0</v>
      </c>
      <c r="E81" s="273"/>
      <c r="F81" s="276">
        <f t="shared" si="7"/>
        <v>48213</v>
      </c>
      <c r="G81" s="277">
        <f t="shared" si="8"/>
        <v>0</v>
      </c>
      <c r="I81" s="710">
        <f t="shared" si="4"/>
        <v>5.0000000000000001E-3</v>
      </c>
      <c r="J81" s="237"/>
      <c r="K81" s="520"/>
      <c r="L81" s="237"/>
      <c r="M81" s="276">
        <f t="shared" si="9"/>
        <v>48213</v>
      </c>
      <c r="N81" s="278">
        <v>0</v>
      </c>
      <c r="O81" s="273"/>
      <c r="P81" s="276">
        <f t="shared" si="10"/>
        <v>48213</v>
      </c>
      <c r="Q81" s="278">
        <v>0</v>
      </c>
      <c r="T81" s="23"/>
      <c r="U81" s="23"/>
    </row>
    <row r="82" spans="1:21" s="238" customFormat="1" ht="10.8" thickBot="1">
      <c r="A82" s="237"/>
      <c r="B82" s="275">
        <f t="shared" si="11"/>
        <v>54</v>
      </c>
      <c r="C82" s="276">
        <f t="shared" si="5"/>
        <v>48304</v>
      </c>
      <c r="D82" s="277">
        <f t="shared" si="6"/>
        <v>0</v>
      </c>
      <c r="E82" s="273"/>
      <c r="F82" s="276">
        <f t="shared" si="7"/>
        <v>48304</v>
      </c>
      <c r="G82" s="277">
        <f t="shared" si="8"/>
        <v>0</v>
      </c>
      <c r="I82" s="710">
        <f t="shared" si="4"/>
        <v>5.0000000000000001E-3</v>
      </c>
      <c r="J82" s="237"/>
      <c r="K82" s="520"/>
      <c r="L82" s="237"/>
      <c r="M82" s="276">
        <f t="shared" si="9"/>
        <v>48304</v>
      </c>
      <c r="N82" s="278">
        <v>0</v>
      </c>
      <c r="O82" s="273"/>
      <c r="P82" s="276">
        <f t="shared" si="10"/>
        <v>48304</v>
      </c>
      <c r="Q82" s="278">
        <v>0</v>
      </c>
      <c r="T82" s="23"/>
      <c r="U82" s="23"/>
    </row>
    <row r="83" spans="1:21" s="238" customFormat="1" ht="10.8" thickBot="1">
      <c r="A83" s="237"/>
      <c r="B83" s="275">
        <f t="shared" si="11"/>
        <v>57</v>
      </c>
      <c r="C83" s="276">
        <f t="shared" si="5"/>
        <v>48395</v>
      </c>
      <c r="D83" s="277">
        <f t="shared" si="6"/>
        <v>0</v>
      </c>
      <c r="E83" s="273"/>
      <c r="F83" s="276">
        <f t="shared" si="7"/>
        <v>48395</v>
      </c>
      <c r="G83" s="277">
        <f t="shared" si="8"/>
        <v>0</v>
      </c>
      <c r="I83" s="710">
        <f t="shared" si="4"/>
        <v>5.0000000000000001E-3</v>
      </c>
      <c r="J83" s="237"/>
      <c r="K83" s="520"/>
      <c r="L83" s="237"/>
      <c r="M83" s="276">
        <f t="shared" si="9"/>
        <v>48395</v>
      </c>
      <c r="N83" s="278">
        <v>0</v>
      </c>
      <c r="O83" s="273"/>
      <c r="P83" s="276">
        <f t="shared" si="10"/>
        <v>48395</v>
      </c>
      <c r="Q83" s="278">
        <v>0</v>
      </c>
      <c r="T83" s="23"/>
      <c r="U83" s="23"/>
    </row>
    <row r="84" spans="1:21" s="238" customFormat="1" ht="10.8" thickBot="1">
      <c r="A84" s="237"/>
      <c r="B84" s="275">
        <f t="shared" si="11"/>
        <v>60</v>
      </c>
      <c r="C84" s="276">
        <f t="shared" si="5"/>
        <v>48487</v>
      </c>
      <c r="D84" s="277">
        <f t="shared" si="6"/>
        <v>0</v>
      </c>
      <c r="E84" s="273"/>
      <c r="F84" s="276">
        <f t="shared" si="7"/>
        <v>48487</v>
      </c>
      <c r="G84" s="277">
        <f t="shared" si="8"/>
        <v>0</v>
      </c>
      <c r="I84" s="710">
        <f t="shared" si="4"/>
        <v>5.0000000000000001E-3</v>
      </c>
      <c r="J84" s="237"/>
      <c r="K84" s="520"/>
      <c r="L84" s="237"/>
      <c r="M84" s="276">
        <f t="shared" si="9"/>
        <v>48487</v>
      </c>
      <c r="N84" s="278">
        <v>0</v>
      </c>
      <c r="O84" s="273"/>
      <c r="P84" s="276">
        <f t="shared" si="10"/>
        <v>48487</v>
      </c>
      <c r="Q84" s="278">
        <v>0</v>
      </c>
      <c r="T84" s="23"/>
      <c r="U84" s="23"/>
    </row>
    <row r="85" spans="1:21" s="238" customFormat="1" ht="10.8" thickBot="1">
      <c r="A85" s="237"/>
      <c r="B85" s="275">
        <f t="shared" si="11"/>
        <v>63</v>
      </c>
      <c r="C85" s="276">
        <f t="shared" si="5"/>
        <v>48579</v>
      </c>
      <c r="D85" s="277">
        <f t="shared" si="6"/>
        <v>0</v>
      </c>
      <c r="E85" s="273"/>
      <c r="F85" s="276">
        <f t="shared" si="7"/>
        <v>48579</v>
      </c>
      <c r="G85" s="277">
        <f t="shared" si="8"/>
        <v>0</v>
      </c>
      <c r="I85" s="710">
        <f t="shared" si="4"/>
        <v>5.0000000000000001E-3</v>
      </c>
      <c r="J85" s="237"/>
      <c r="K85" s="520"/>
      <c r="L85" s="237"/>
      <c r="M85" s="276">
        <f t="shared" si="9"/>
        <v>48579</v>
      </c>
      <c r="N85" s="278">
        <v>0</v>
      </c>
      <c r="O85" s="273"/>
      <c r="P85" s="276">
        <f t="shared" si="10"/>
        <v>48579</v>
      </c>
      <c r="Q85" s="278">
        <v>0</v>
      </c>
      <c r="T85" s="23"/>
      <c r="U85" s="23"/>
    </row>
    <row r="86" spans="1:21" s="238" customFormat="1" ht="10.8" thickBot="1">
      <c r="A86" s="237"/>
      <c r="B86" s="275">
        <f t="shared" si="11"/>
        <v>66</v>
      </c>
      <c r="C86" s="276">
        <f t="shared" si="5"/>
        <v>48669</v>
      </c>
      <c r="D86" s="277">
        <f t="shared" si="6"/>
        <v>0</v>
      </c>
      <c r="E86" s="273"/>
      <c r="F86" s="276">
        <f t="shared" si="7"/>
        <v>48669</v>
      </c>
      <c r="G86" s="277">
        <f t="shared" si="8"/>
        <v>0</v>
      </c>
      <c r="I86" s="710">
        <f t="shared" si="4"/>
        <v>5.0000000000000001E-3</v>
      </c>
      <c r="J86" s="237"/>
      <c r="K86" s="520"/>
      <c r="L86" s="237"/>
      <c r="M86" s="276">
        <f t="shared" si="9"/>
        <v>48669</v>
      </c>
      <c r="N86" s="278">
        <v>0</v>
      </c>
      <c r="O86" s="273"/>
      <c r="P86" s="276">
        <f t="shared" si="10"/>
        <v>48669</v>
      </c>
      <c r="Q86" s="278">
        <v>0</v>
      </c>
      <c r="T86" s="23"/>
      <c r="U86" s="23"/>
    </row>
    <row r="87" spans="1:21" s="238" customFormat="1" ht="10.8" thickBot="1">
      <c r="A87" s="237"/>
      <c r="B87" s="275">
        <f t="shared" si="11"/>
        <v>69</v>
      </c>
      <c r="C87" s="276">
        <f t="shared" si="5"/>
        <v>48760</v>
      </c>
      <c r="D87" s="277">
        <f t="shared" si="6"/>
        <v>0</v>
      </c>
      <c r="E87" s="273"/>
      <c r="F87" s="276">
        <f t="shared" si="7"/>
        <v>48760</v>
      </c>
      <c r="G87" s="277">
        <f t="shared" si="8"/>
        <v>0</v>
      </c>
      <c r="I87" s="710">
        <f t="shared" si="4"/>
        <v>5.0000000000000001E-3</v>
      </c>
      <c r="J87" s="237"/>
      <c r="K87" s="520"/>
      <c r="L87" s="237"/>
      <c r="M87" s="276">
        <f t="shared" si="9"/>
        <v>48760</v>
      </c>
      <c r="N87" s="278">
        <v>0</v>
      </c>
      <c r="O87" s="273"/>
      <c r="P87" s="276">
        <f t="shared" si="10"/>
        <v>48760</v>
      </c>
      <c r="Q87" s="278">
        <v>0</v>
      </c>
      <c r="T87" s="23"/>
      <c r="U87" s="23"/>
    </row>
    <row r="88" spans="1:21" s="238" customFormat="1" ht="10.8" thickBot="1">
      <c r="A88" s="237"/>
      <c r="B88" s="275">
        <f t="shared" si="11"/>
        <v>72</v>
      </c>
      <c r="C88" s="276">
        <f t="shared" si="5"/>
        <v>48852</v>
      </c>
      <c r="D88" s="277">
        <f t="shared" si="6"/>
        <v>0</v>
      </c>
      <c r="E88" s="273"/>
      <c r="F88" s="276">
        <f t="shared" si="7"/>
        <v>48852</v>
      </c>
      <c r="G88" s="277">
        <f t="shared" si="8"/>
        <v>0</v>
      </c>
      <c r="I88" s="710">
        <f t="shared" si="4"/>
        <v>5.0000000000000001E-3</v>
      </c>
      <c r="J88" s="237"/>
      <c r="K88" s="520"/>
      <c r="L88" s="237"/>
      <c r="M88" s="276">
        <f t="shared" si="9"/>
        <v>48852</v>
      </c>
      <c r="N88" s="278">
        <v>0</v>
      </c>
      <c r="O88" s="273"/>
      <c r="P88" s="276">
        <f t="shared" si="10"/>
        <v>48852</v>
      </c>
      <c r="Q88" s="278">
        <v>0</v>
      </c>
      <c r="T88" s="23"/>
      <c r="U88" s="23"/>
    </row>
    <row r="89" spans="1:21" s="238" customFormat="1" ht="10.8" thickBot="1">
      <c r="A89" s="237"/>
      <c r="B89" s="275">
        <f t="shared" si="11"/>
        <v>75</v>
      </c>
      <c r="C89" s="276">
        <f t="shared" si="5"/>
        <v>48944</v>
      </c>
      <c r="D89" s="277">
        <f t="shared" si="6"/>
        <v>0</v>
      </c>
      <c r="E89" s="273"/>
      <c r="F89" s="276">
        <f t="shared" si="7"/>
        <v>48944</v>
      </c>
      <c r="G89" s="277">
        <f t="shared" si="8"/>
        <v>0</v>
      </c>
      <c r="I89" s="710">
        <f t="shared" si="4"/>
        <v>5.0000000000000001E-3</v>
      </c>
      <c r="J89" s="237"/>
      <c r="K89" s="520"/>
      <c r="L89" s="237"/>
      <c r="M89" s="276">
        <f t="shared" si="9"/>
        <v>48944</v>
      </c>
      <c r="N89" s="278">
        <v>0</v>
      </c>
      <c r="O89" s="273"/>
      <c r="P89" s="276">
        <f t="shared" si="10"/>
        <v>48944</v>
      </c>
      <c r="Q89" s="278">
        <v>0</v>
      </c>
      <c r="T89" s="23"/>
      <c r="U89" s="23"/>
    </row>
    <row r="90" spans="1:21" s="238" customFormat="1" ht="10.8" thickBot="1">
      <c r="A90" s="237"/>
      <c r="B90" s="275">
        <f t="shared" si="11"/>
        <v>78</v>
      </c>
      <c r="C90" s="276">
        <f t="shared" si="5"/>
        <v>49034</v>
      </c>
      <c r="D90" s="277">
        <f t="shared" si="6"/>
        <v>0</v>
      </c>
      <c r="E90" s="273"/>
      <c r="F90" s="276">
        <f t="shared" si="7"/>
        <v>49034</v>
      </c>
      <c r="G90" s="277">
        <f t="shared" si="8"/>
        <v>0</v>
      </c>
      <c r="I90" s="710">
        <f t="shared" si="4"/>
        <v>5.0000000000000001E-3</v>
      </c>
      <c r="J90" s="237"/>
      <c r="K90" s="520"/>
      <c r="L90" s="237"/>
      <c r="M90" s="276">
        <f t="shared" si="9"/>
        <v>49034</v>
      </c>
      <c r="N90" s="278">
        <v>0</v>
      </c>
      <c r="O90" s="273"/>
      <c r="P90" s="276">
        <f t="shared" si="10"/>
        <v>49034</v>
      </c>
      <c r="Q90" s="278">
        <v>0</v>
      </c>
      <c r="T90" s="23"/>
      <c r="U90" s="23"/>
    </row>
    <row r="91" spans="1:21" s="238" customFormat="1" ht="10.8" thickBot="1">
      <c r="A91" s="237"/>
      <c r="B91" s="275">
        <f t="shared" si="11"/>
        <v>81</v>
      </c>
      <c r="C91" s="276">
        <f t="shared" si="5"/>
        <v>49125</v>
      </c>
      <c r="D91" s="277">
        <f t="shared" si="6"/>
        <v>0</v>
      </c>
      <c r="E91" s="273"/>
      <c r="F91" s="276">
        <f t="shared" si="7"/>
        <v>49125</v>
      </c>
      <c r="G91" s="277">
        <f t="shared" si="8"/>
        <v>0</v>
      </c>
      <c r="I91" s="710">
        <f t="shared" si="4"/>
        <v>5.0000000000000001E-3</v>
      </c>
      <c r="J91" s="237"/>
      <c r="K91" s="520"/>
      <c r="L91" s="237"/>
      <c r="M91" s="276">
        <f t="shared" si="9"/>
        <v>49125</v>
      </c>
      <c r="N91" s="278">
        <v>0</v>
      </c>
      <c r="O91" s="273"/>
      <c r="P91" s="276">
        <f t="shared" si="10"/>
        <v>49125</v>
      </c>
      <c r="Q91" s="278">
        <v>0</v>
      </c>
      <c r="T91" s="23"/>
      <c r="U91" s="23"/>
    </row>
    <row r="92" spans="1:21" s="238" customFormat="1" ht="10.8" thickBot="1">
      <c r="A92" s="237"/>
      <c r="B92" s="275">
        <f t="shared" si="11"/>
        <v>84</v>
      </c>
      <c r="C92" s="276">
        <f t="shared" si="5"/>
        <v>49217</v>
      </c>
      <c r="D92" s="277">
        <f t="shared" si="6"/>
        <v>0</v>
      </c>
      <c r="E92" s="273"/>
      <c r="F92" s="276">
        <f t="shared" si="7"/>
        <v>49217</v>
      </c>
      <c r="G92" s="277">
        <f t="shared" si="8"/>
        <v>1</v>
      </c>
      <c r="I92" s="710">
        <f t="shared" si="4"/>
        <v>5.0000000000000001E-3</v>
      </c>
      <c r="J92" s="237"/>
      <c r="K92" s="520"/>
      <c r="L92" s="237"/>
      <c r="M92" s="276">
        <f t="shared" si="9"/>
        <v>49217</v>
      </c>
      <c r="N92" s="278">
        <v>0</v>
      </c>
      <c r="O92" s="273"/>
      <c r="P92" s="276">
        <f t="shared" si="10"/>
        <v>49217</v>
      </c>
      <c r="Q92" s="278">
        <v>1</v>
      </c>
      <c r="T92" s="23"/>
      <c r="U92" s="23"/>
    </row>
    <row r="93" spans="1:21" s="238" customFormat="1">
      <c r="A93" s="237"/>
      <c r="B93" s="237"/>
      <c r="C93" s="140"/>
      <c r="D93" s="140"/>
      <c r="E93" s="140"/>
      <c r="F93" s="140"/>
      <c r="G93" s="140"/>
      <c r="J93" s="237"/>
      <c r="K93" s="520"/>
      <c r="L93" s="237"/>
      <c r="M93" s="140"/>
      <c r="N93" s="140"/>
      <c r="O93" s="140"/>
      <c r="P93" s="140"/>
      <c r="Q93" s="140"/>
      <c r="T93" s="23"/>
      <c r="U93" s="23"/>
    </row>
    <row r="94" spans="1:21" s="238" customFormat="1">
      <c r="A94" s="237"/>
      <c r="B94" s="237"/>
      <c r="C94" s="140"/>
      <c r="D94" s="140"/>
      <c r="E94" s="140"/>
      <c r="F94" s="140"/>
      <c r="G94" s="140"/>
      <c r="J94" s="237"/>
      <c r="K94" s="520"/>
      <c r="L94" s="237"/>
      <c r="M94" s="140"/>
      <c r="N94" s="140"/>
      <c r="O94" s="140"/>
      <c r="P94" s="140"/>
      <c r="Q94" s="140"/>
      <c r="T94" s="23"/>
      <c r="U94" s="23"/>
    </row>
    <row r="95" spans="1:21" s="238" customFormat="1">
      <c r="A95" s="237"/>
      <c r="B95" s="237"/>
      <c r="C95" s="280" t="s">
        <v>144</v>
      </c>
      <c r="D95" s="281">
        <f>+SUMPRODUCT(D65:D92,$B65:$B92)/12</f>
        <v>0</v>
      </c>
      <c r="E95" s="163"/>
      <c r="F95" s="280" t="s">
        <v>144</v>
      </c>
      <c r="G95" s="281">
        <f>+SUMPRODUCT(G65:G92,$B65:$B92)/12</f>
        <v>7</v>
      </c>
      <c r="J95" s="237"/>
      <c r="K95" s="520"/>
      <c r="L95" s="237"/>
      <c r="M95" s="280" t="s">
        <v>144</v>
      </c>
      <c r="N95" s="281">
        <f>+SUMPRODUCT(N65:N92,$B65:$B92)/12</f>
        <v>0</v>
      </c>
      <c r="O95" s="163"/>
      <c r="P95" s="280" t="s">
        <v>144</v>
      </c>
      <c r="Q95" s="281">
        <f>+SUMPRODUCT(Q65:Q92,$B65:$B92)/12</f>
        <v>7</v>
      </c>
      <c r="T95" s="23"/>
      <c r="U95" s="23"/>
    </row>
    <row r="96" spans="1:21" s="238" customFormat="1">
      <c r="A96" s="237"/>
      <c r="B96" s="237"/>
      <c r="C96" s="273"/>
      <c r="D96" s="282"/>
      <c r="E96" s="140"/>
      <c r="F96" s="273"/>
      <c r="G96" s="282"/>
      <c r="J96" s="237"/>
      <c r="K96" s="520"/>
      <c r="L96" s="237"/>
      <c r="M96" s="273"/>
      <c r="N96" s="282"/>
      <c r="O96" s="140"/>
      <c r="P96" s="273"/>
      <c r="Q96" s="282"/>
      <c r="T96" s="23"/>
      <c r="U96" s="23"/>
    </row>
    <row r="97" spans="1:21" s="238" customFormat="1">
      <c r="A97" s="237"/>
      <c r="B97" s="237"/>
      <c r="C97" s="163" t="s">
        <v>135</v>
      </c>
      <c r="D97" s="283">
        <f>+D22</f>
        <v>0</v>
      </c>
      <c r="E97" s="140"/>
      <c r="F97" s="163" t="s">
        <v>135</v>
      </c>
      <c r="G97" s="283">
        <f>+D23</f>
        <v>256.5</v>
      </c>
      <c r="J97" s="237"/>
      <c r="K97" s="520"/>
      <c r="L97" s="237"/>
      <c r="M97" s="163" t="s">
        <v>135</v>
      </c>
      <c r="N97" s="283">
        <f>+N22</f>
        <v>0</v>
      </c>
      <c r="O97" s="140"/>
      <c r="P97" s="163" t="s">
        <v>135</v>
      </c>
      <c r="Q97" s="283">
        <f>+N23</f>
        <v>256.5</v>
      </c>
      <c r="T97" s="23"/>
      <c r="U97" s="23"/>
    </row>
    <row r="98" spans="1:21" s="238" customFormat="1">
      <c r="A98" s="237"/>
      <c r="B98" s="237"/>
      <c r="C98" s="140"/>
      <c r="D98" s="140"/>
      <c r="E98" s="140"/>
      <c r="F98" s="140"/>
      <c r="G98" s="140"/>
      <c r="J98" s="237"/>
      <c r="K98" s="520"/>
      <c r="L98" s="237"/>
      <c r="M98" s="140"/>
      <c r="N98" s="140"/>
      <c r="O98" s="140"/>
      <c r="P98" s="273"/>
      <c r="Q98" s="273"/>
      <c r="T98" s="23"/>
      <c r="U98" s="23"/>
    </row>
    <row r="99" spans="1:21" s="238" customFormat="1">
      <c r="A99" s="237"/>
      <c r="B99" s="237"/>
      <c r="C99" s="163" t="s">
        <v>145</v>
      </c>
      <c r="D99" s="284">
        <f>+(D95*D97+G95*G97)/SUM(D97,G97)</f>
        <v>7</v>
      </c>
      <c r="E99" s="140"/>
      <c r="F99" s="163"/>
      <c r="G99" s="284"/>
      <c r="J99" s="237"/>
      <c r="K99" s="520"/>
      <c r="L99" s="237"/>
      <c r="M99" s="163" t="s">
        <v>145</v>
      </c>
      <c r="N99" s="284">
        <f>+(N95*N97+Q95*Q97)/SUM(N97,Q97)</f>
        <v>7</v>
      </c>
      <c r="O99" s="140"/>
      <c r="P99" s="273"/>
      <c r="Q99" s="273"/>
      <c r="T99" s="23"/>
      <c r="U99" s="23"/>
    </row>
    <row r="100" spans="1:21">
      <c r="K100" s="520"/>
    </row>
    <row r="101" spans="1:21">
      <c r="C101" s="65" t="s">
        <v>142</v>
      </c>
      <c r="D101" s="65"/>
      <c r="E101" s="65"/>
      <c r="F101" s="65"/>
      <c r="G101" s="65"/>
      <c r="H101" s="242"/>
      <c r="I101" s="242"/>
      <c r="K101" s="520"/>
      <c r="M101" s="65" t="s">
        <v>142</v>
      </c>
      <c r="N101" s="65"/>
      <c r="O101" s="65"/>
      <c r="P101" s="65"/>
      <c r="Q101" s="65"/>
      <c r="R101" s="242"/>
      <c r="S101" s="242"/>
    </row>
    <row r="102" spans="1:21">
      <c r="K102" s="520"/>
    </row>
    <row r="103" spans="1:21">
      <c r="H103" s="237"/>
      <c r="I103" s="237"/>
      <c r="K103" s="520"/>
    </row>
    <row r="104" spans="1:21">
      <c r="C104" s="272" t="str">
        <f>C33</f>
        <v>CAF</v>
      </c>
      <c r="D104" s="272" t="s">
        <v>0</v>
      </c>
      <c r="H104" s="237"/>
      <c r="I104" s="237"/>
      <c r="K104" s="520"/>
      <c r="M104" s="272" t="str">
        <f>M33</f>
        <v>CAF</v>
      </c>
      <c r="N104" s="272" t="s">
        <v>0</v>
      </c>
      <c r="O104" s="273"/>
      <c r="P104" s="238"/>
      <c r="Q104" s="238"/>
    </row>
    <row r="105" spans="1:21" ht="10.8" thickBot="1">
      <c r="C105" s="140"/>
      <c r="D105" s="274">
        <f>+SUM(D106:D133)</f>
        <v>1</v>
      </c>
      <c r="H105" s="237"/>
      <c r="I105" s="237"/>
      <c r="K105" s="520"/>
      <c r="M105" s="140"/>
      <c r="N105" s="274">
        <f>+SUM(N106:N133)</f>
        <v>1</v>
      </c>
      <c r="O105" s="140"/>
      <c r="P105" s="238"/>
      <c r="Q105" s="238"/>
    </row>
    <row r="106" spans="1:21" ht="10.8" thickBot="1">
      <c r="B106" s="275">
        <v>3</v>
      </c>
      <c r="C106" s="276">
        <f>+M106</f>
        <v>46752</v>
      </c>
      <c r="D106" s="277">
        <f>+N106</f>
        <v>0</v>
      </c>
      <c r="H106" s="237"/>
      <c r="I106" s="237"/>
      <c r="K106" s="520"/>
      <c r="M106" s="276">
        <f>Model!U72</f>
        <v>46752</v>
      </c>
      <c r="N106" s="278">
        <v>0</v>
      </c>
      <c r="O106" s="273"/>
      <c r="P106" s="238"/>
      <c r="Q106" s="238"/>
    </row>
    <row r="107" spans="1:21" ht="10.8" thickBot="1">
      <c r="B107" s="275">
        <f>B106+3</f>
        <v>6</v>
      </c>
      <c r="C107" s="276">
        <f t="shared" ref="C107:C133" si="12">+M107</f>
        <v>46843</v>
      </c>
      <c r="D107" s="277">
        <f t="shared" ref="D107:D133" si="13">+N107</f>
        <v>0</v>
      </c>
      <c r="H107" s="237"/>
      <c r="I107" s="237"/>
      <c r="K107" s="520"/>
      <c r="M107" s="276">
        <f t="shared" ref="M107:M133" si="14">EOMONTH(M106,3)</f>
        <v>46843</v>
      </c>
      <c r="N107" s="278">
        <v>0</v>
      </c>
      <c r="O107" s="273"/>
      <c r="P107" s="238"/>
      <c r="Q107" s="238"/>
    </row>
    <row r="108" spans="1:21" s="238" customFormat="1" ht="10.8" thickBot="1">
      <c r="A108" s="237"/>
      <c r="B108" s="275">
        <f t="shared" ref="B108:B133" si="15">B107+3</f>
        <v>9</v>
      </c>
      <c r="C108" s="276">
        <f t="shared" si="12"/>
        <v>46934</v>
      </c>
      <c r="D108" s="277">
        <f t="shared" si="13"/>
        <v>0</v>
      </c>
      <c r="E108" s="237"/>
      <c r="F108" s="237"/>
      <c r="G108" s="237"/>
      <c r="H108" s="237"/>
      <c r="I108" s="237"/>
      <c r="J108" s="237"/>
      <c r="K108" s="520"/>
      <c r="L108" s="237"/>
      <c r="M108" s="276">
        <f t="shared" si="14"/>
        <v>46934</v>
      </c>
      <c r="N108" s="278">
        <v>0</v>
      </c>
      <c r="O108" s="273"/>
      <c r="T108" s="23"/>
      <c r="U108" s="23"/>
    </row>
    <row r="109" spans="1:21" s="238" customFormat="1" ht="10.8" thickBot="1">
      <c r="A109" s="237"/>
      <c r="B109" s="275">
        <f t="shared" si="15"/>
        <v>12</v>
      </c>
      <c r="C109" s="276">
        <f t="shared" si="12"/>
        <v>47026</v>
      </c>
      <c r="D109" s="277">
        <f t="shared" si="13"/>
        <v>0</v>
      </c>
      <c r="E109" s="237"/>
      <c r="F109" s="237"/>
      <c r="G109" s="237"/>
      <c r="H109" s="237"/>
      <c r="I109" s="237"/>
      <c r="J109" s="237"/>
      <c r="K109" s="520"/>
      <c r="L109" s="237"/>
      <c r="M109" s="276">
        <f t="shared" si="14"/>
        <v>47026</v>
      </c>
      <c r="N109" s="278">
        <v>0</v>
      </c>
      <c r="O109" s="273"/>
      <c r="T109" s="23"/>
      <c r="U109" s="23"/>
    </row>
    <row r="110" spans="1:21" s="238" customFormat="1" ht="10.8" thickBot="1">
      <c r="A110" s="237"/>
      <c r="B110" s="275">
        <f t="shared" si="15"/>
        <v>15</v>
      </c>
      <c r="C110" s="276">
        <f t="shared" si="12"/>
        <v>47118</v>
      </c>
      <c r="D110" s="277">
        <f t="shared" si="13"/>
        <v>0</v>
      </c>
      <c r="E110" s="237"/>
      <c r="F110" s="237"/>
      <c r="G110" s="237"/>
      <c r="H110" s="237"/>
      <c r="I110" s="237"/>
      <c r="J110" s="237"/>
      <c r="K110" s="520"/>
      <c r="L110" s="237"/>
      <c r="M110" s="276">
        <f t="shared" si="14"/>
        <v>47118</v>
      </c>
      <c r="N110" s="278">
        <v>0</v>
      </c>
      <c r="O110" s="273"/>
      <c r="T110" s="23"/>
      <c r="U110" s="23"/>
    </row>
    <row r="111" spans="1:21" s="238" customFormat="1" ht="10.8" thickBot="1">
      <c r="A111" s="237"/>
      <c r="B111" s="275">
        <f t="shared" si="15"/>
        <v>18</v>
      </c>
      <c r="C111" s="276">
        <f t="shared" si="12"/>
        <v>47208</v>
      </c>
      <c r="D111" s="277">
        <f t="shared" si="13"/>
        <v>0</v>
      </c>
      <c r="E111" s="237"/>
      <c r="F111" s="237"/>
      <c r="G111" s="237"/>
      <c r="H111" s="237"/>
      <c r="I111" s="237"/>
      <c r="J111" s="237"/>
      <c r="K111" s="520"/>
      <c r="L111" s="237"/>
      <c r="M111" s="276">
        <f t="shared" si="14"/>
        <v>47208</v>
      </c>
      <c r="N111" s="278">
        <v>0</v>
      </c>
      <c r="O111" s="273"/>
      <c r="T111" s="23"/>
      <c r="U111" s="23"/>
    </row>
    <row r="112" spans="1:21" s="238" customFormat="1" ht="10.8" thickBot="1">
      <c r="A112" s="237"/>
      <c r="B112" s="275">
        <f t="shared" si="15"/>
        <v>21</v>
      </c>
      <c r="C112" s="276">
        <f t="shared" si="12"/>
        <v>47299</v>
      </c>
      <c r="D112" s="277">
        <f t="shared" si="13"/>
        <v>0</v>
      </c>
      <c r="E112" s="237"/>
      <c r="F112" s="237"/>
      <c r="G112" s="237"/>
      <c r="H112" s="237"/>
      <c r="I112" s="237"/>
      <c r="J112" s="237"/>
      <c r="K112" s="520"/>
      <c r="L112" s="237"/>
      <c r="M112" s="276">
        <f t="shared" si="14"/>
        <v>47299</v>
      </c>
      <c r="N112" s="278">
        <v>0</v>
      </c>
      <c r="O112" s="273"/>
      <c r="T112" s="23"/>
      <c r="U112" s="23"/>
    </row>
    <row r="113" spans="1:21" s="238" customFormat="1" ht="10.8" thickBot="1">
      <c r="A113" s="237"/>
      <c r="B113" s="275">
        <f t="shared" si="15"/>
        <v>24</v>
      </c>
      <c r="C113" s="276">
        <f t="shared" si="12"/>
        <v>47391</v>
      </c>
      <c r="D113" s="277">
        <f t="shared" si="13"/>
        <v>0</v>
      </c>
      <c r="E113" s="237"/>
      <c r="F113" s="237"/>
      <c r="G113" s="237"/>
      <c r="H113" s="237"/>
      <c r="I113" s="237"/>
      <c r="J113" s="237"/>
      <c r="K113" s="520"/>
      <c r="L113" s="237"/>
      <c r="M113" s="276">
        <f t="shared" si="14"/>
        <v>47391</v>
      </c>
      <c r="N113" s="278">
        <v>0</v>
      </c>
      <c r="O113" s="273"/>
      <c r="T113" s="23"/>
      <c r="U113" s="23"/>
    </row>
    <row r="114" spans="1:21" s="238" customFormat="1" ht="10.8" thickBot="1">
      <c r="A114" s="237"/>
      <c r="B114" s="275">
        <f t="shared" si="15"/>
        <v>27</v>
      </c>
      <c r="C114" s="276">
        <f t="shared" si="12"/>
        <v>47483</v>
      </c>
      <c r="D114" s="277">
        <f t="shared" si="13"/>
        <v>0</v>
      </c>
      <c r="E114" s="237"/>
      <c r="F114" s="237"/>
      <c r="G114" s="237"/>
      <c r="H114" s="237"/>
      <c r="I114" s="237"/>
      <c r="J114" s="237"/>
      <c r="K114" s="520"/>
      <c r="L114" s="237"/>
      <c r="M114" s="276">
        <f t="shared" si="14"/>
        <v>47483</v>
      </c>
      <c r="N114" s="278">
        <v>0</v>
      </c>
      <c r="O114" s="273"/>
      <c r="T114" s="23"/>
      <c r="U114" s="23"/>
    </row>
    <row r="115" spans="1:21" s="238" customFormat="1" ht="10.8" thickBot="1">
      <c r="A115" s="237"/>
      <c r="B115" s="275">
        <f t="shared" si="15"/>
        <v>30</v>
      </c>
      <c r="C115" s="276">
        <f t="shared" si="12"/>
        <v>47573</v>
      </c>
      <c r="D115" s="277">
        <f t="shared" si="13"/>
        <v>0</v>
      </c>
      <c r="E115" s="237"/>
      <c r="F115" s="237"/>
      <c r="G115" s="237"/>
      <c r="H115" s="237"/>
      <c r="I115" s="237"/>
      <c r="J115" s="237"/>
      <c r="K115" s="520"/>
      <c r="L115" s="237"/>
      <c r="M115" s="276">
        <f t="shared" si="14"/>
        <v>47573</v>
      </c>
      <c r="N115" s="278">
        <v>0</v>
      </c>
      <c r="O115" s="273"/>
      <c r="T115" s="23"/>
      <c r="U115" s="23"/>
    </row>
    <row r="116" spans="1:21" s="238" customFormat="1" ht="10.8" thickBot="1">
      <c r="A116" s="237"/>
      <c r="B116" s="275">
        <f t="shared" si="15"/>
        <v>33</v>
      </c>
      <c r="C116" s="276">
        <f t="shared" si="12"/>
        <v>47664</v>
      </c>
      <c r="D116" s="277">
        <f t="shared" si="13"/>
        <v>0</v>
      </c>
      <c r="E116" s="237"/>
      <c r="F116" s="237"/>
      <c r="G116" s="237"/>
      <c r="H116" s="237"/>
      <c r="I116" s="237"/>
      <c r="J116" s="237"/>
      <c r="K116" s="520"/>
      <c r="L116" s="237"/>
      <c r="M116" s="276">
        <f t="shared" si="14"/>
        <v>47664</v>
      </c>
      <c r="N116" s="278">
        <v>0</v>
      </c>
      <c r="O116" s="273"/>
      <c r="T116" s="23"/>
      <c r="U116" s="23"/>
    </row>
    <row r="117" spans="1:21" s="238" customFormat="1" ht="10.8" thickBot="1">
      <c r="A117" s="237"/>
      <c r="B117" s="275">
        <f t="shared" si="15"/>
        <v>36</v>
      </c>
      <c r="C117" s="276">
        <f t="shared" si="12"/>
        <v>47756</v>
      </c>
      <c r="D117" s="277">
        <f t="shared" si="13"/>
        <v>0</v>
      </c>
      <c r="E117" s="237"/>
      <c r="F117" s="237"/>
      <c r="G117" s="237"/>
      <c r="H117" s="237"/>
      <c r="I117" s="237"/>
      <c r="J117" s="237"/>
      <c r="K117" s="520"/>
      <c r="L117" s="237"/>
      <c r="M117" s="276">
        <f t="shared" si="14"/>
        <v>47756</v>
      </c>
      <c r="N117" s="278">
        <v>0</v>
      </c>
      <c r="O117" s="273"/>
      <c r="T117" s="23"/>
      <c r="U117" s="23"/>
    </row>
    <row r="118" spans="1:21" s="238" customFormat="1" ht="10.8" thickBot="1">
      <c r="A118" s="237"/>
      <c r="B118" s="275">
        <f t="shared" si="15"/>
        <v>39</v>
      </c>
      <c r="C118" s="276">
        <f t="shared" si="12"/>
        <v>47848</v>
      </c>
      <c r="D118" s="277">
        <f t="shared" si="13"/>
        <v>0</v>
      </c>
      <c r="E118" s="237"/>
      <c r="F118" s="237"/>
      <c r="G118" s="237"/>
      <c r="H118" s="237"/>
      <c r="I118" s="237"/>
      <c r="J118" s="237"/>
      <c r="K118" s="520"/>
      <c r="L118" s="237"/>
      <c r="M118" s="276">
        <f t="shared" si="14"/>
        <v>47848</v>
      </c>
      <c r="N118" s="278">
        <v>0</v>
      </c>
      <c r="O118" s="273"/>
      <c r="T118" s="23"/>
      <c r="U118" s="23"/>
    </row>
    <row r="119" spans="1:21" s="238" customFormat="1" ht="10.8" thickBot="1">
      <c r="A119" s="237"/>
      <c r="B119" s="275">
        <f t="shared" si="15"/>
        <v>42</v>
      </c>
      <c r="C119" s="276">
        <f t="shared" si="12"/>
        <v>47938</v>
      </c>
      <c r="D119" s="277">
        <f t="shared" si="13"/>
        <v>0</v>
      </c>
      <c r="E119" s="237"/>
      <c r="F119" s="237"/>
      <c r="G119" s="237"/>
      <c r="H119" s="237"/>
      <c r="I119" s="237"/>
      <c r="J119" s="237"/>
      <c r="K119" s="520"/>
      <c r="L119" s="237"/>
      <c r="M119" s="276">
        <f t="shared" si="14"/>
        <v>47938</v>
      </c>
      <c r="N119" s="278">
        <v>0</v>
      </c>
      <c r="O119" s="273"/>
      <c r="T119" s="23"/>
      <c r="U119" s="23"/>
    </row>
    <row r="120" spans="1:21" s="238" customFormat="1" ht="10.8" thickBot="1">
      <c r="A120" s="237"/>
      <c r="B120" s="275">
        <f t="shared" si="15"/>
        <v>45</v>
      </c>
      <c r="C120" s="276">
        <f t="shared" si="12"/>
        <v>48029</v>
      </c>
      <c r="D120" s="277">
        <f t="shared" si="13"/>
        <v>0</v>
      </c>
      <c r="E120" s="237"/>
      <c r="F120" s="237"/>
      <c r="G120" s="237"/>
      <c r="H120" s="237"/>
      <c r="I120" s="237"/>
      <c r="J120" s="237"/>
      <c r="K120" s="520"/>
      <c r="L120" s="237"/>
      <c r="M120" s="276">
        <f t="shared" si="14"/>
        <v>48029</v>
      </c>
      <c r="N120" s="278">
        <v>0</v>
      </c>
      <c r="O120" s="273"/>
      <c r="T120" s="23"/>
      <c r="U120" s="23"/>
    </row>
    <row r="121" spans="1:21" s="238" customFormat="1" ht="10.8" thickBot="1">
      <c r="A121" s="237"/>
      <c r="B121" s="275">
        <f t="shared" si="15"/>
        <v>48</v>
      </c>
      <c r="C121" s="276">
        <f t="shared" si="12"/>
        <v>48121</v>
      </c>
      <c r="D121" s="277">
        <f t="shared" si="13"/>
        <v>0</v>
      </c>
      <c r="E121" s="237"/>
      <c r="F121" s="237"/>
      <c r="G121" s="237"/>
      <c r="H121" s="237"/>
      <c r="I121" s="237"/>
      <c r="J121" s="237"/>
      <c r="K121" s="520"/>
      <c r="L121" s="237"/>
      <c r="M121" s="276">
        <f t="shared" si="14"/>
        <v>48121</v>
      </c>
      <c r="N121" s="278">
        <v>0</v>
      </c>
      <c r="O121" s="273"/>
      <c r="T121" s="23"/>
      <c r="U121" s="23"/>
    </row>
    <row r="122" spans="1:21" s="238" customFormat="1" ht="10.8" thickBot="1">
      <c r="A122" s="237"/>
      <c r="B122" s="275">
        <f t="shared" si="15"/>
        <v>51</v>
      </c>
      <c r="C122" s="276">
        <f t="shared" si="12"/>
        <v>48213</v>
      </c>
      <c r="D122" s="277">
        <f t="shared" si="13"/>
        <v>0</v>
      </c>
      <c r="E122" s="237"/>
      <c r="F122" s="237"/>
      <c r="G122" s="237"/>
      <c r="H122" s="237"/>
      <c r="I122" s="237"/>
      <c r="J122" s="237"/>
      <c r="K122" s="520"/>
      <c r="L122" s="237"/>
      <c r="M122" s="276">
        <f t="shared" si="14"/>
        <v>48213</v>
      </c>
      <c r="N122" s="278">
        <v>0</v>
      </c>
      <c r="O122" s="273"/>
      <c r="T122" s="23"/>
      <c r="U122" s="23"/>
    </row>
    <row r="123" spans="1:21" s="238" customFormat="1" ht="10.8" thickBot="1">
      <c r="A123" s="237"/>
      <c r="B123" s="275">
        <f t="shared" si="15"/>
        <v>54</v>
      </c>
      <c r="C123" s="276">
        <f t="shared" si="12"/>
        <v>48304</v>
      </c>
      <c r="D123" s="277">
        <f t="shared" si="13"/>
        <v>0</v>
      </c>
      <c r="E123" s="237"/>
      <c r="F123" s="237"/>
      <c r="G123" s="237"/>
      <c r="H123" s="237"/>
      <c r="I123" s="237"/>
      <c r="J123" s="237"/>
      <c r="K123" s="520"/>
      <c r="L123" s="237"/>
      <c r="M123" s="276">
        <f t="shared" si="14"/>
        <v>48304</v>
      </c>
      <c r="N123" s="278">
        <v>0</v>
      </c>
      <c r="O123" s="273"/>
      <c r="T123" s="23"/>
      <c r="U123" s="23"/>
    </row>
    <row r="124" spans="1:21" s="238" customFormat="1" ht="10.8" thickBot="1">
      <c r="A124" s="237"/>
      <c r="B124" s="275">
        <f t="shared" si="15"/>
        <v>57</v>
      </c>
      <c r="C124" s="276">
        <f t="shared" si="12"/>
        <v>48395</v>
      </c>
      <c r="D124" s="277">
        <f t="shared" si="13"/>
        <v>0</v>
      </c>
      <c r="E124" s="237"/>
      <c r="F124" s="237"/>
      <c r="G124" s="237"/>
      <c r="H124" s="237"/>
      <c r="I124" s="237"/>
      <c r="J124" s="237"/>
      <c r="K124" s="520"/>
      <c r="L124" s="237"/>
      <c r="M124" s="276">
        <f t="shared" si="14"/>
        <v>48395</v>
      </c>
      <c r="N124" s="278">
        <v>0</v>
      </c>
      <c r="O124" s="273"/>
      <c r="T124" s="23"/>
      <c r="U124" s="23"/>
    </row>
    <row r="125" spans="1:21" s="238" customFormat="1" ht="10.8" thickBot="1">
      <c r="A125" s="237"/>
      <c r="B125" s="275">
        <f t="shared" si="15"/>
        <v>60</v>
      </c>
      <c r="C125" s="276">
        <f t="shared" si="12"/>
        <v>48487</v>
      </c>
      <c r="D125" s="277">
        <f t="shared" si="13"/>
        <v>0</v>
      </c>
      <c r="E125" s="237"/>
      <c r="F125" s="237"/>
      <c r="G125" s="237"/>
      <c r="H125" s="237"/>
      <c r="I125" s="237"/>
      <c r="J125" s="237"/>
      <c r="K125" s="520"/>
      <c r="L125" s="237"/>
      <c r="M125" s="276">
        <f t="shared" si="14"/>
        <v>48487</v>
      </c>
      <c r="N125" s="278">
        <v>0</v>
      </c>
      <c r="O125" s="273"/>
      <c r="T125" s="23"/>
      <c r="U125" s="23"/>
    </row>
    <row r="126" spans="1:21" s="238" customFormat="1" ht="10.8" thickBot="1">
      <c r="A126" s="237"/>
      <c r="B126" s="275">
        <f t="shared" si="15"/>
        <v>63</v>
      </c>
      <c r="C126" s="276">
        <f t="shared" si="12"/>
        <v>48579</v>
      </c>
      <c r="D126" s="277">
        <f t="shared" si="13"/>
        <v>0</v>
      </c>
      <c r="E126" s="237"/>
      <c r="F126" s="237"/>
      <c r="G126" s="237"/>
      <c r="H126" s="237"/>
      <c r="I126" s="237"/>
      <c r="J126" s="237"/>
      <c r="K126" s="520"/>
      <c r="L126" s="237"/>
      <c r="M126" s="276">
        <f t="shared" si="14"/>
        <v>48579</v>
      </c>
      <c r="N126" s="278">
        <v>0</v>
      </c>
      <c r="O126" s="273"/>
      <c r="T126" s="23"/>
      <c r="U126" s="23"/>
    </row>
    <row r="127" spans="1:21" s="238" customFormat="1" ht="10.8" thickBot="1">
      <c r="A127" s="237"/>
      <c r="B127" s="275">
        <f t="shared" si="15"/>
        <v>66</v>
      </c>
      <c r="C127" s="276">
        <f t="shared" si="12"/>
        <v>48669</v>
      </c>
      <c r="D127" s="277">
        <f t="shared" si="13"/>
        <v>0</v>
      </c>
      <c r="E127" s="237"/>
      <c r="F127" s="237"/>
      <c r="G127" s="237"/>
      <c r="H127" s="237"/>
      <c r="I127" s="237"/>
      <c r="J127" s="237"/>
      <c r="K127" s="520"/>
      <c r="L127" s="237"/>
      <c r="M127" s="276">
        <f t="shared" si="14"/>
        <v>48669</v>
      </c>
      <c r="N127" s="278">
        <v>0</v>
      </c>
      <c r="O127" s="273"/>
      <c r="T127" s="23"/>
      <c r="U127" s="23"/>
    </row>
    <row r="128" spans="1:21" s="238" customFormat="1" ht="10.8" thickBot="1">
      <c r="A128" s="237"/>
      <c r="B128" s="275">
        <f t="shared" si="15"/>
        <v>69</v>
      </c>
      <c r="C128" s="276">
        <f t="shared" si="12"/>
        <v>48760</v>
      </c>
      <c r="D128" s="277">
        <f t="shared" si="13"/>
        <v>0</v>
      </c>
      <c r="E128" s="237"/>
      <c r="F128" s="237"/>
      <c r="G128" s="237"/>
      <c r="H128" s="237"/>
      <c r="I128" s="237"/>
      <c r="J128" s="237"/>
      <c r="K128" s="520"/>
      <c r="L128" s="237"/>
      <c r="M128" s="276">
        <f t="shared" si="14"/>
        <v>48760</v>
      </c>
      <c r="N128" s="278">
        <v>0</v>
      </c>
      <c r="O128" s="273"/>
      <c r="T128" s="23"/>
      <c r="U128" s="23"/>
    </row>
    <row r="129" spans="1:21" s="238" customFormat="1" ht="10.8" thickBot="1">
      <c r="A129" s="237"/>
      <c r="B129" s="275">
        <f t="shared" si="15"/>
        <v>72</v>
      </c>
      <c r="C129" s="276">
        <f t="shared" si="12"/>
        <v>48852</v>
      </c>
      <c r="D129" s="277">
        <f t="shared" si="13"/>
        <v>0</v>
      </c>
      <c r="E129" s="237"/>
      <c r="F129" s="237"/>
      <c r="G129" s="237"/>
      <c r="H129" s="237"/>
      <c r="I129" s="237"/>
      <c r="J129" s="237"/>
      <c r="K129" s="520"/>
      <c r="L129" s="237"/>
      <c r="M129" s="276">
        <f t="shared" si="14"/>
        <v>48852</v>
      </c>
      <c r="N129" s="278">
        <v>0</v>
      </c>
      <c r="O129" s="273"/>
      <c r="T129" s="23"/>
      <c r="U129" s="23"/>
    </row>
    <row r="130" spans="1:21" s="238" customFormat="1" ht="10.8" thickBot="1">
      <c r="A130" s="237"/>
      <c r="B130" s="275">
        <f t="shared" si="15"/>
        <v>75</v>
      </c>
      <c r="C130" s="276">
        <f t="shared" si="12"/>
        <v>48944</v>
      </c>
      <c r="D130" s="277">
        <f t="shared" si="13"/>
        <v>0</v>
      </c>
      <c r="E130" s="237"/>
      <c r="F130" s="237"/>
      <c r="G130" s="237"/>
      <c r="H130" s="237"/>
      <c r="I130" s="237"/>
      <c r="J130" s="237"/>
      <c r="K130" s="520"/>
      <c r="L130" s="237"/>
      <c r="M130" s="276">
        <f t="shared" si="14"/>
        <v>48944</v>
      </c>
      <c r="N130" s="278">
        <v>0</v>
      </c>
      <c r="O130" s="273"/>
      <c r="T130" s="23"/>
      <c r="U130" s="23"/>
    </row>
    <row r="131" spans="1:21" s="238" customFormat="1" ht="10.8" thickBot="1">
      <c r="A131" s="237"/>
      <c r="B131" s="275">
        <f t="shared" si="15"/>
        <v>78</v>
      </c>
      <c r="C131" s="276">
        <f t="shared" si="12"/>
        <v>49034</v>
      </c>
      <c r="D131" s="277">
        <f t="shared" si="13"/>
        <v>0</v>
      </c>
      <c r="E131" s="237"/>
      <c r="F131" s="237"/>
      <c r="G131" s="237"/>
      <c r="H131" s="237"/>
      <c r="I131" s="237"/>
      <c r="J131" s="237"/>
      <c r="K131" s="520"/>
      <c r="L131" s="237"/>
      <c r="M131" s="276">
        <f t="shared" si="14"/>
        <v>49034</v>
      </c>
      <c r="N131" s="278">
        <v>0</v>
      </c>
      <c r="O131" s="273"/>
      <c r="T131" s="23"/>
      <c r="U131" s="23"/>
    </row>
    <row r="132" spans="1:21" s="238" customFormat="1" ht="10.8" thickBot="1">
      <c r="A132" s="237"/>
      <c r="B132" s="275">
        <f t="shared" si="15"/>
        <v>81</v>
      </c>
      <c r="C132" s="276">
        <f t="shared" si="12"/>
        <v>49125</v>
      </c>
      <c r="D132" s="277">
        <f t="shared" si="13"/>
        <v>0</v>
      </c>
      <c r="E132" s="237"/>
      <c r="F132" s="237"/>
      <c r="G132" s="237"/>
      <c r="H132" s="237"/>
      <c r="I132" s="237"/>
      <c r="J132" s="237"/>
      <c r="K132" s="520"/>
      <c r="L132" s="237"/>
      <c r="M132" s="276">
        <f t="shared" si="14"/>
        <v>49125</v>
      </c>
      <c r="N132" s="278">
        <v>0</v>
      </c>
      <c r="O132" s="273"/>
      <c r="T132" s="23"/>
      <c r="U132" s="23"/>
    </row>
    <row r="133" spans="1:21" s="238" customFormat="1" ht="10.8" thickBot="1">
      <c r="A133" s="237"/>
      <c r="B133" s="275">
        <f t="shared" si="15"/>
        <v>84</v>
      </c>
      <c r="C133" s="276">
        <f t="shared" si="12"/>
        <v>49217</v>
      </c>
      <c r="D133" s="277">
        <f t="shared" si="13"/>
        <v>1</v>
      </c>
      <c r="E133" s="237"/>
      <c r="F133" s="237"/>
      <c r="G133" s="237"/>
      <c r="H133" s="237"/>
      <c r="I133" s="237"/>
      <c r="J133" s="237"/>
      <c r="K133" s="520"/>
      <c r="L133" s="237"/>
      <c r="M133" s="276">
        <f t="shared" si="14"/>
        <v>49217</v>
      </c>
      <c r="N133" s="278">
        <v>1</v>
      </c>
      <c r="O133" s="273"/>
      <c r="T133" s="23"/>
      <c r="U133" s="23"/>
    </row>
    <row r="134" spans="1:21" s="238" customFormat="1">
      <c r="A134" s="237"/>
      <c r="B134" s="237"/>
      <c r="C134" s="140"/>
      <c r="D134" s="140"/>
      <c r="E134" s="237"/>
      <c r="F134" s="237"/>
      <c r="G134" s="237"/>
      <c r="H134" s="237"/>
      <c r="I134" s="237"/>
      <c r="J134" s="237"/>
      <c r="K134" s="520"/>
      <c r="L134" s="237"/>
      <c r="M134" s="140"/>
      <c r="N134" s="140"/>
      <c r="O134" s="140"/>
      <c r="T134" s="23"/>
      <c r="U134" s="23"/>
    </row>
    <row r="135" spans="1:21" s="238" customFormat="1">
      <c r="A135" s="237"/>
      <c r="B135" s="237"/>
      <c r="C135" s="280" t="s">
        <v>144</v>
      </c>
      <c r="D135" s="281">
        <f>+SUMPRODUCT(D106:D133,$B106:$B133)/12</f>
        <v>7</v>
      </c>
      <c r="E135" s="237"/>
      <c r="F135" s="237"/>
      <c r="G135" s="237"/>
      <c r="H135" s="237"/>
      <c r="I135" s="237"/>
      <c r="J135" s="237"/>
      <c r="K135" s="520"/>
      <c r="L135" s="237"/>
      <c r="M135" s="280" t="s">
        <v>144</v>
      </c>
      <c r="N135" s="281">
        <f>+SUMPRODUCT(N106:N133,$B106:$B133)/12</f>
        <v>7</v>
      </c>
      <c r="O135" s="163"/>
      <c r="T135" s="23"/>
      <c r="U135" s="23"/>
    </row>
    <row r="136" spans="1:21" s="238" customFormat="1">
      <c r="A136" s="237"/>
      <c r="B136" s="237"/>
      <c r="C136" s="273"/>
      <c r="D136" s="282"/>
      <c r="E136" s="237"/>
      <c r="F136" s="237"/>
      <c r="G136" s="237"/>
      <c r="H136" s="237"/>
      <c r="I136" s="237"/>
      <c r="J136" s="237"/>
      <c r="K136" s="520"/>
      <c r="L136" s="237"/>
      <c r="M136" s="273"/>
      <c r="N136" s="282"/>
      <c r="O136" s="140"/>
      <c r="T136" s="23"/>
      <c r="U136" s="23"/>
    </row>
    <row r="137" spans="1:21" s="238" customFormat="1">
      <c r="A137" s="237"/>
      <c r="B137" s="237"/>
      <c r="C137" s="163" t="s">
        <v>135</v>
      </c>
      <c r="D137" s="283">
        <f>+D33</f>
        <v>50</v>
      </c>
      <c r="E137" s="237"/>
      <c r="F137" s="237"/>
      <c r="G137" s="237"/>
      <c r="H137" s="237"/>
      <c r="I137" s="237"/>
      <c r="J137" s="237"/>
      <c r="K137" s="520"/>
      <c r="L137" s="237"/>
      <c r="M137" s="163" t="s">
        <v>135</v>
      </c>
      <c r="N137" s="283">
        <f>+N33</f>
        <v>50</v>
      </c>
      <c r="O137" s="140"/>
      <c r="T137" s="23"/>
      <c r="U137" s="23"/>
    </row>
    <row r="138" spans="1:21" s="238" customFormat="1">
      <c r="A138" s="237"/>
      <c r="B138" s="237"/>
      <c r="C138" s="140"/>
      <c r="D138" s="140"/>
      <c r="E138" s="237"/>
      <c r="F138" s="237"/>
      <c r="G138" s="237"/>
      <c r="H138" s="237"/>
      <c r="I138" s="237"/>
      <c r="J138" s="237"/>
      <c r="K138" s="520"/>
      <c r="L138" s="237"/>
      <c r="M138" s="140"/>
      <c r="N138" s="140"/>
      <c r="O138" s="140"/>
      <c r="T138" s="23"/>
      <c r="U138" s="23"/>
    </row>
    <row r="139" spans="1:21"/>
    <row r="140" spans="1:21">
      <c r="C140" s="65" t="s">
        <v>269</v>
      </c>
      <c r="D140" s="65"/>
      <c r="E140" s="65"/>
      <c r="F140" s="65"/>
      <c r="G140" s="65"/>
      <c r="H140" s="242"/>
      <c r="I140" s="242"/>
      <c r="M140" s="65" t="s">
        <v>269</v>
      </c>
      <c r="N140" s="65"/>
      <c r="O140" s="65"/>
      <c r="P140" s="65"/>
      <c r="Q140" s="65"/>
      <c r="R140" s="242"/>
      <c r="S140" s="242"/>
    </row>
    <row r="141" spans="1:21"/>
    <row r="142" spans="1:21">
      <c r="C142" s="237" t="s">
        <v>85</v>
      </c>
      <c r="D142" s="277">
        <f>+N142</f>
        <v>0.4</v>
      </c>
      <c r="M142" s="237" t="s">
        <v>85</v>
      </c>
      <c r="N142" s="278">
        <v>0.4</v>
      </c>
    </row>
    <row r="143" spans="1:21"/>
    <row r="144" spans="1:21"/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E731A-FFEE-4586-AEC6-6FA95B325BB7}">
  <sheetPr codeName="Sheet2">
    <pageSetUpPr fitToPage="1"/>
  </sheetPr>
  <dimension ref="A1:W82"/>
  <sheetViews>
    <sheetView showGridLines="0" showOutlineSymbols="0" showWhiteSpace="0" zoomScale="85" zoomScaleNormal="85" workbookViewId="0">
      <pane xSplit="4" ySplit="5" topLeftCell="E6" activePane="bottomRight" state="frozen"/>
      <selection activeCell="N1" sqref="N1:N1048576"/>
      <selection pane="topRight" activeCell="N1" sqref="N1:N1048576"/>
      <selection pane="bottomLeft" activeCell="N1" sqref="N1:N1048576"/>
      <selection pane="bottomRight" activeCell="F17" sqref="F17"/>
    </sheetView>
  </sheetViews>
  <sheetFormatPr defaultColWidth="9.75" defaultRowHeight="11.4" zeroHeight="1"/>
  <cols>
    <col min="1" max="2" width="2.375" style="287" customWidth="1"/>
    <col min="3" max="3" width="32" style="287" customWidth="1"/>
    <col min="4" max="5" width="11.875" style="287" customWidth="1"/>
    <col min="6" max="13" width="10.375" style="287" customWidth="1"/>
    <col min="14" max="14" width="1.625" style="287" customWidth="1"/>
    <col min="15" max="16" width="10.375" style="287" customWidth="1"/>
    <col min="17" max="17" width="4.375" style="287" customWidth="1"/>
    <col min="18" max="23" width="10.375" style="287" hidden="1" customWidth="1"/>
    <col min="24" max="24" width="1.625" style="287" customWidth="1"/>
    <col min="25" max="26" width="10.375" style="287" customWidth="1"/>
    <col min="27" max="27" width="4" style="287" customWidth="1"/>
    <col min="28" max="37" width="9.375" style="287" customWidth="1"/>
    <col min="38" max="16384" width="9.75" style="287"/>
  </cols>
  <sheetData>
    <row r="1" spans="1:19"/>
    <row r="2" spans="1:19" ht="12">
      <c r="C2" s="349" t="str">
        <f ca="1">RIGHT(CELL("filename",C1), LEN(CELL("filename", C1))- FIND("]", CELL("filename", C1), 1))</f>
        <v>Active Case</v>
      </c>
      <c r="D2" s="349"/>
      <c r="E2" s="349"/>
      <c r="F2" s="349"/>
      <c r="G2" s="350"/>
      <c r="H2" s="351"/>
      <c r="I2" s="349"/>
      <c r="J2" s="349"/>
      <c r="K2" s="349"/>
      <c r="L2" s="349"/>
      <c r="M2" s="349"/>
      <c r="N2" s="349"/>
      <c r="O2" s="349"/>
      <c r="P2" s="349"/>
      <c r="Q2" s="288"/>
    </row>
    <row r="3" spans="1:19" ht="12" thickBot="1"/>
    <row r="4" spans="1:19" s="289" customFormat="1" ht="25.5" customHeight="1" thickBot="1">
      <c r="C4" s="352" t="s">
        <v>195</v>
      </c>
      <c r="D4" s="352"/>
      <c r="E4" s="352"/>
      <c r="F4" s="353" t="s">
        <v>36</v>
      </c>
      <c r="G4" s="353" t="s">
        <v>37</v>
      </c>
      <c r="H4" s="353" t="s">
        <v>38</v>
      </c>
      <c r="I4" s="353" t="s">
        <v>39</v>
      </c>
      <c r="J4" s="353" t="s">
        <v>40</v>
      </c>
      <c r="K4" s="353" t="s">
        <v>41</v>
      </c>
      <c r="L4" s="353" t="s">
        <v>230</v>
      </c>
      <c r="M4" s="353" t="s">
        <v>231</v>
      </c>
      <c r="O4" s="711" t="s">
        <v>237</v>
      </c>
      <c r="P4" s="712"/>
      <c r="Q4" s="290"/>
    </row>
    <row r="5" spans="1:19" s="289" customFormat="1" ht="25.5" customHeight="1" thickBot="1">
      <c r="F5" s="291" t="s">
        <v>273</v>
      </c>
      <c r="G5" s="291" t="s">
        <v>273</v>
      </c>
      <c r="H5" s="291" t="s">
        <v>273</v>
      </c>
      <c r="I5" s="291" t="s">
        <v>273</v>
      </c>
      <c r="J5" s="291" t="s">
        <v>273</v>
      </c>
      <c r="K5" s="291" t="s">
        <v>273</v>
      </c>
      <c r="L5" s="291" t="s">
        <v>273</v>
      </c>
      <c r="M5" s="291" t="s">
        <v>273</v>
      </c>
      <c r="O5" s="292" t="s">
        <v>150</v>
      </c>
      <c r="P5" s="292" t="s">
        <v>6</v>
      </c>
      <c r="Q5" s="293"/>
    </row>
    <row r="6" spans="1:19" s="289" customFormat="1" ht="12">
      <c r="C6" s="294"/>
      <c r="D6" s="294"/>
      <c r="E6" s="294"/>
      <c r="F6" s="294"/>
      <c r="G6" s="294"/>
      <c r="H6" s="294"/>
      <c r="I6" s="294"/>
      <c r="J6" s="294"/>
      <c r="K6" s="294"/>
      <c r="L6" s="294"/>
      <c r="M6" s="294"/>
      <c r="O6" s="294"/>
      <c r="P6" s="294"/>
      <c r="Q6" s="295"/>
    </row>
    <row r="7" spans="1:19" s="289" customFormat="1" ht="12">
      <c r="B7" s="359" t="s">
        <v>146</v>
      </c>
      <c r="C7" s="354" t="s">
        <v>151</v>
      </c>
      <c r="D7" s="354"/>
      <c r="E7" s="354"/>
      <c r="F7" s="355"/>
      <c r="G7" s="355"/>
      <c r="H7" s="355"/>
      <c r="I7" s="355"/>
      <c r="J7" s="355"/>
      <c r="K7" s="355"/>
      <c r="L7" s="355"/>
      <c r="M7" s="355"/>
      <c r="O7" s="355"/>
      <c r="P7" s="355"/>
      <c r="Q7" s="296"/>
    </row>
    <row r="8" spans="1:19" s="297" customFormat="1" ht="12">
      <c r="B8" s="298"/>
      <c r="C8" s="298"/>
      <c r="D8" s="298"/>
      <c r="E8" s="298"/>
      <c r="F8" s="299"/>
      <c r="G8" s="299"/>
      <c r="H8" s="299"/>
      <c r="I8" s="300"/>
      <c r="J8" s="300"/>
      <c r="K8" s="299"/>
      <c r="L8" s="299"/>
      <c r="M8" s="299"/>
      <c r="N8" s="289"/>
      <c r="O8" s="299"/>
      <c r="P8" s="299"/>
      <c r="Q8" s="301"/>
      <c r="S8" s="289"/>
    </row>
    <row r="9" spans="1:19" s="297" customFormat="1" ht="12">
      <c r="B9" s="359" t="s">
        <v>156</v>
      </c>
      <c r="C9" s="302" t="s">
        <v>152</v>
      </c>
      <c r="D9" s="302"/>
      <c r="E9" s="302"/>
      <c r="F9" s="700">
        <v>267.66925614825271</v>
      </c>
      <c r="G9" s="700">
        <v>300.63698049159871</v>
      </c>
      <c r="H9" s="700">
        <v>344.37964501609071</v>
      </c>
      <c r="I9" s="700">
        <v>386.42074228226841</v>
      </c>
      <c r="J9" s="700">
        <v>411.17115090445213</v>
      </c>
      <c r="K9" s="700">
        <v>438.65809816113892</v>
      </c>
      <c r="L9" s="700">
        <v>447.4312601243617</v>
      </c>
      <c r="M9" s="700">
        <v>456.37988532684892</v>
      </c>
      <c r="N9" s="287"/>
      <c r="O9" s="303">
        <f>+SUM(F9:K9)</f>
        <v>2148.935873003802</v>
      </c>
      <c r="P9" s="348">
        <f>+IFERROR((K9/F9)^(1/5)-1,0)</f>
        <v>0.10383848583534094</v>
      </c>
      <c r="Q9" s="305"/>
      <c r="S9" s="289"/>
    </row>
    <row r="10" spans="1:19" s="297" customFormat="1">
      <c r="B10" s="287"/>
      <c r="C10" s="306" t="s">
        <v>153</v>
      </c>
      <c r="D10" s="306"/>
      <c r="E10" s="306"/>
      <c r="F10" s="307"/>
      <c r="G10" s="307">
        <f t="shared" ref="G10:M10" si="0">G9/F9-1</f>
        <v>0.12316589816010226</v>
      </c>
      <c r="H10" s="307">
        <f t="shared" si="0"/>
        <v>0.14549994632385022</v>
      </c>
      <c r="I10" s="307">
        <f t="shared" si="0"/>
        <v>0.12207776468383713</v>
      </c>
      <c r="J10" s="307">
        <f t="shared" si="0"/>
        <v>6.4050414260899968E-2</v>
      </c>
      <c r="K10" s="307">
        <f t="shared" si="0"/>
        <v>6.6850378963173362E-2</v>
      </c>
      <c r="L10" s="307">
        <f t="shared" si="0"/>
        <v>2.0000000000000018E-2</v>
      </c>
      <c r="M10" s="307">
        <f t="shared" si="0"/>
        <v>2.0000000000000018E-2</v>
      </c>
      <c r="O10" s="308"/>
      <c r="P10" s="309"/>
      <c r="Q10" s="310"/>
    </row>
    <row r="11" spans="1:19" s="297" customFormat="1">
      <c r="B11" s="311"/>
      <c r="C11" s="312"/>
      <c r="D11" s="312"/>
      <c r="E11" s="312"/>
      <c r="F11" s="361"/>
      <c r="G11" s="299"/>
      <c r="H11" s="299"/>
      <c r="I11" s="300"/>
      <c r="J11" s="300"/>
      <c r="K11" s="299"/>
      <c r="L11" s="299"/>
      <c r="M11" s="299"/>
      <c r="O11" s="313"/>
      <c r="P11" s="314"/>
      <c r="Q11" s="301"/>
    </row>
    <row r="12" spans="1:19" ht="12">
      <c r="A12" s="297"/>
      <c r="B12" s="359" t="s">
        <v>184</v>
      </c>
      <c r="C12" s="302" t="s">
        <v>197</v>
      </c>
      <c r="D12" s="302"/>
      <c r="E12" s="302"/>
      <c r="F12" s="700">
        <v>45.111660831986867</v>
      </c>
      <c r="G12" s="700">
        <v>52.243319264117702</v>
      </c>
      <c r="H12" s="700">
        <v>61.7132853779801</v>
      </c>
      <c r="I12" s="700">
        <v>73.285082498468938</v>
      </c>
      <c r="J12" s="700">
        <v>79.587751834913689</v>
      </c>
      <c r="K12" s="700">
        <v>87.783623965317773</v>
      </c>
      <c r="L12" s="700">
        <v>89.539296444624128</v>
      </c>
      <c r="M12" s="700">
        <v>91.330082373516603</v>
      </c>
      <c r="O12" s="303">
        <f>+SUM(F12:K12)</f>
        <v>399.72472377278507</v>
      </c>
      <c r="P12" s="348">
        <f>+IFERROR((K12/F12)^(1/5)-1,0)</f>
        <v>0.14241773861791573</v>
      </c>
      <c r="Q12" s="318"/>
    </row>
    <row r="13" spans="1:19">
      <c r="C13" s="306" t="s">
        <v>196</v>
      </c>
      <c r="D13" s="306"/>
      <c r="E13" s="306"/>
      <c r="F13" s="315">
        <f t="shared" ref="F13:K13" si="1">F12/F$9</f>
        <v>0.16853508498189679</v>
      </c>
      <c r="G13" s="315">
        <f t="shared" si="1"/>
        <v>0.17377542569343907</v>
      </c>
      <c r="H13" s="315">
        <f t="shared" si="1"/>
        <v>0.1792013153829014</v>
      </c>
      <c r="I13" s="315">
        <f t="shared" si="1"/>
        <v>0.18965100596213971</v>
      </c>
      <c r="J13" s="315">
        <f t="shared" si="1"/>
        <v>0.1935635602348188</v>
      </c>
      <c r="K13" s="315">
        <f t="shared" si="1"/>
        <v>0.20011855322700753</v>
      </c>
      <c r="L13" s="315">
        <f>L12/L$9</f>
        <v>0.20011855322700753</v>
      </c>
      <c r="M13" s="315">
        <f>M12/M$9</f>
        <v>0.20011855322700753</v>
      </c>
      <c r="O13" s="320"/>
      <c r="P13" s="321"/>
      <c r="Q13" s="322"/>
    </row>
    <row r="14" spans="1:19" ht="12">
      <c r="B14" s="289"/>
      <c r="C14" s="306" t="s">
        <v>153</v>
      </c>
      <c r="D14" s="306"/>
      <c r="E14" s="306"/>
      <c r="F14" s="323"/>
      <c r="G14" s="323">
        <f t="shared" ref="G14:M14" si="2">G12/F12-1</f>
        <v>0.15808902400405667</v>
      </c>
      <c r="H14" s="323">
        <f t="shared" si="2"/>
        <v>0.18126654751752458</v>
      </c>
      <c r="I14" s="323">
        <f t="shared" si="2"/>
        <v>0.18750901122204344</v>
      </c>
      <c r="J14" s="323">
        <f t="shared" si="2"/>
        <v>8.600207738834742E-2</v>
      </c>
      <c r="K14" s="323">
        <f t="shared" si="2"/>
        <v>0.10297906325340755</v>
      </c>
      <c r="L14" s="323">
        <f t="shared" si="2"/>
        <v>2.0000000000000018E-2</v>
      </c>
      <c r="M14" s="323">
        <f t="shared" si="2"/>
        <v>2.0000000000000018E-2</v>
      </c>
      <c r="O14" s="324"/>
      <c r="P14" s="325"/>
      <c r="Q14" s="326"/>
    </row>
    <row r="15" spans="1:19" ht="12">
      <c r="B15" s="289"/>
      <c r="C15" s="306"/>
      <c r="D15" s="306"/>
      <c r="E15" s="306"/>
      <c r="F15" s="323"/>
      <c r="G15" s="323"/>
      <c r="H15" s="323"/>
      <c r="I15" s="323"/>
      <c r="J15" s="323"/>
      <c r="K15" s="323"/>
      <c r="L15" s="323"/>
      <c r="M15" s="323"/>
      <c r="O15" s="324"/>
      <c r="P15" s="325"/>
      <c r="Q15" s="326"/>
    </row>
    <row r="16" spans="1:19" ht="12">
      <c r="B16" s="289"/>
      <c r="C16" s="306" t="s">
        <v>232</v>
      </c>
      <c r="D16" s="306"/>
      <c r="E16" s="306"/>
      <c r="F16" s="701">
        <v>6.1883391680131297</v>
      </c>
      <c r="G16" s="701">
        <v>0</v>
      </c>
      <c r="H16" s="701">
        <v>0</v>
      </c>
      <c r="I16" s="701">
        <v>0</v>
      </c>
      <c r="J16" s="701">
        <v>0</v>
      </c>
      <c r="K16" s="701">
        <v>0</v>
      </c>
      <c r="L16" s="701">
        <v>0</v>
      </c>
      <c r="M16" s="701">
        <v>0</v>
      </c>
      <c r="O16" s="324"/>
      <c r="P16" s="325"/>
      <c r="Q16" s="326"/>
    </row>
    <row r="17" spans="1:17" ht="12">
      <c r="B17" s="359" t="s">
        <v>184</v>
      </c>
      <c r="C17" s="302" t="s">
        <v>233</v>
      </c>
      <c r="D17" s="302"/>
      <c r="E17" s="302"/>
      <c r="F17" s="559">
        <f t="shared" ref="F17:M17" si="3">+F16+F12</f>
        <v>51.3</v>
      </c>
      <c r="G17" s="558">
        <f t="shared" si="3"/>
        <v>52.243319264117702</v>
      </c>
      <c r="H17" s="558">
        <f t="shared" si="3"/>
        <v>61.7132853779801</v>
      </c>
      <c r="I17" s="558">
        <f t="shared" si="3"/>
        <v>73.285082498468938</v>
      </c>
      <c r="J17" s="558">
        <f t="shared" si="3"/>
        <v>79.587751834913689</v>
      </c>
      <c r="K17" s="558">
        <f t="shared" si="3"/>
        <v>87.783623965317773</v>
      </c>
      <c r="L17" s="558">
        <f t="shared" si="3"/>
        <v>89.539296444624128</v>
      </c>
      <c r="M17" s="558">
        <f t="shared" si="3"/>
        <v>91.330082373516603</v>
      </c>
      <c r="O17" s="303">
        <f>+SUM(F17:K17)</f>
        <v>405.91306294079817</v>
      </c>
      <c r="P17" s="348">
        <f>+IFERROR((K17/F17)^(1/5)-1,0)</f>
        <v>0.11342053841797672</v>
      </c>
      <c r="Q17" s="326"/>
    </row>
    <row r="18" spans="1:17" ht="12">
      <c r="B18" s="289"/>
      <c r="C18" s="306"/>
      <c r="D18" s="306"/>
      <c r="E18" s="306"/>
      <c r="F18" s="323"/>
      <c r="G18" s="323"/>
      <c r="H18" s="323"/>
      <c r="I18" s="323"/>
      <c r="J18" s="323"/>
      <c r="K18" s="323"/>
      <c r="L18" s="323"/>
      <c r="M18" s="323"/>
      <c r="O18" s="324"/>
      <c r="P18" s="325"/>
      <c r="Q18" s="326"/>
    </row>
    <row r="19" spans="1:17">
      <c r="C19" s="312"/>
      <c r="D19" s="312"/>
      <c r="E19" s="312"/>
      <c r="F19" s="298"/>
      <c r="G19" s="298"/>
      <c r="H19" s="298"/>
      <c r="I19" s="298"/>
      <c r="J19" s="298"/>
      <c r="K19" s="298"/>
      <c r="L19" s="298"/>
      <c r="M19" s="298"/>
      <c r="O19" s="327"/>
      <c r="P19" s="328"/>
      <c r="Q19" s="329"/>
    </row>
    <row r="20" spans="1:17" ht="12">
      <c r="C20" s="294" t="s">
        <v>96</v>
      </c>
      <c r="D20" s="312"/>
      <c r="E20" s="312"/>
      <c r="F20" s="702">
        <v>-13.186759839277881</v>
      </c>
      <c r="G20" s="702">
        <v>-13.766899874358014</v>
      </c>
      <c r="H20" s="702">
        <v>-14.777273316340812</v>
      </c>
      <c r="I20" s="702">
        <v>-15.749307565717007</v>
      </c>
      <c r="J20" s="702">
        <v>-16.12052909757502</v>
      </c>
      <c r="K20" s="702">
        <v>-16.308984193578162</v>
      </c>
      <c r="L20" s="702">
        <v>-16.308984193578162</v>
      </c>
      <c r="M20" s="702">
        <v>-16.308984193578162</v>
      </c>
      <c r="O20" s="330">
        <f>+SUM(F20:K20)</f>
        <v>-89.909753886846886</v>
      </c>
      <c r="P20" s="331">
        <f>+IFERROR((K20/F20)^(1/5)-1,0)</f>
        <v>4.3416651071057855E-2</v>
      </c>
      <c r="Q20" s="329"/>
    </row>
    <row r="21" spans="1:17">
      <c r="C21" s="332" t="s">
        <v>154</v>
      </c>
      <c r="D21" s="312"/>
      <c r="E21" s="312"/>
      <c r="F21" s="315">
        <f t="shared" ref="F21:M21" si="4">-F20/F$9</f>
        <v>4.9265126780096827E-2</v>
      </c>
      <c r="G21" s="315">
        <f t="shared" si="4"/>
        <v>4.579243661856406E-2</v>
      </c>
      <c r="H21" s="315">
        <f t="shared" si="4"/>
        <v>4.2909833755274247E-2</v>
      </c>
      <c r="I21" s="315">
        <f t="shared" si="4"/>
        <v>4.0756889686352875E-2</v>
      </c>
      <c r="J21" s="319">
        <f t="shared" si="4"/>
        <v>3.9206371998898107E-2</v>
      </c>
      <c r="K21" s="315">
        <f t="shared" si="4"/>
        <v>3.7179261620714762E-2</v>
      </c>
      <c r="L21" s="315">
        <f t="shared" si="4"/>
        <v>3.645025649089683E-2</v>
      </c>
      <c r="M21" s="315">
        <f t="shared" si="4"/>
        <v>3.5735545579310614E-2</v>
      </c>
      <c r="O21" s="327"/>
      <c r="P21" s="328"/>
      <c r="Q21" s="329"/>
    </row>
    <row r="22" spans="1:17">
      <c r="C22" s="312"/>
      <c r="D22" s="312"/>
      <c r="E22" s="312"/>
      <c r="F22" s="298"/>
      <c r="G22" s="298"/>
      <c r="H22" s="298"/>
      <c r="I22" s="298"/>
      <c r="J22" s="298"/>
      <c r="K22" s="298"/>
      <c r="L22" s="298"/>
      <c r="M22" s="298"/>
      <c r="O22" s="327"/>
      <c r="P22" s="328"/>
      <c r="Q22" s="329"/>
    </row>
    <row r="23" spans="1:17" ht="12">
      <c r="C23" s="294" t="s">
        <v>97</v>
      </c>
      <c r="D23" s="312"/>
      <c r="E23" s="312"/>
      <c r="F23" s="703">
        <v>-8.2650987630678809</v>
      </c>
      <c r="G23" s="703">
        <v>-3.7039729122669787</v>
      </c>
      <c r="H23" s="703">
        <v>-5.6672514600211628</v>
      </c>
      <c r="I23" s="703">
        <v>-9.116753898834423</v>
      </c>
      <c r="J23" s="703">
        <v>-10.349509356279407</v>
      </c>
      <c r="K23" s="703">
        <v>-12.041849251839722</v>
      </c>
      <c r="L23" s="703">
        <v>-12.687668449770644</v>
      </c>
      <c r="M23" s="703">
        <v>-14.216824092049084</v>
      </c>
      <c r="O23" s="330">
        <f>+SUM(F23:K23)</f>
        <v>-49.144435642309574</v>
      </c>
      <c r="P23" s="331">
        <f>+IFERROR((K23/F23)^(1/5)-1,0)</f>
        <v>7.8174429603943718E-2</v>
      </c>
      <c r="Q23" s="333"/>
    </row>
    <row r="24" spans="1:17">
      <c r="C24" s="332" t="s">
        <v>154</v>
      </c>
      <c r="D24" s="312"/>
      <c r="E24" s="312"/>
      <c r="F24" s="319">
        <f t="shared" ref="F24:M24" si="5">-F23/F$9</f>
        <v>3.0878027914009405E-2</v>
      </c>
      <c r="G24" s="319">
        <f t="shared" si="5"/>
        <v>1.2320416823673115E-2</v>
      </c>
      <c r="H24" s="319">
        <f t="shared" si="5"/>
        <v>1.6456406590919063E-2</v>
      </c>
      <c r="I24" s="319">
        <f t="shared" si="5"/>
        <v>2.3592817106528191E-2</v>
      </c>
      <c r="J24" s="319">
        <f t="shared" si="5"/>
        <v>2.5170806204456751E-2</v>
      </c>
      <c r="K24" s="319">
        <f t="shared" si="5"/>
        <v>2.7451560343509734E-2</v>
      </c>
      <c r="L24" s="319">
        <f t="shared" si="5"/>
        <v>2.8356687564128083E-2</v>
      </c>
      <c r="M24" s="319">
        <f t="shared" si="5"/>
        <v>3.1151294237841611E-2</v>
      </c>
      <c r="O24" s="316"/>
      <c r="P24" s="316"/>
      <c r="Q24" s="317"/>
    </row>
    <row r="25" spans="1:17">
      <c r="C25" s="312"/>
      <c r="D25" s="312"/>
      <c r="E25" s="312"/>
      <c r="F25" s="298"/>
      <c r="G25" s="298"/>
      <c r="H25" s="298"/>
      <c r="I25" s="298"/>
      <c r="J25" s="298"/>
      <c r="K25" s="298"/>
      <c r="L25" s="298"/>
      <c r="M25" s="298"/>
      <c r="O25" s="327"/>
      <c r="P25" s="327"/>
      <c r="Q25" s="329"/>
    </row>
    <row r="26" spans="1:17" s="297" customFormat="1" ht="12">
      <c r="A26" s="289"/>
      <c r="B26" s="359" t="s">
        <v>147</v>
      </c>
      <c r="C26" s="354" t="s">
        <v>155</v>
      </c>
      <c r="D26" s="354"/>
      <c r="E26" s="354"/>
      <c r="F26" s="355"/>
      <c r="G26" s="355"/>
      <c r="H26" s="355"/>
      <c r="I26" s="355"/>
      <c r="J26" s="355"/>
      <c r="K26" s="355"/>
      <c r="L26" s="355"/>
      <c r="M26" s="355"/>
      <c r="O26" s="356"/>
      <c r="P26" s="356"/>
      <c r="Q26" s="296"/>
    </row>
    <row r="27" spans="1:17" ht="12">
      <c r="B27" s="298"/>
      <c r="C27" s="298"/>
      <c r="D27" s="298"/>
      <c r="E27" s="298"/>
      <c r="F27" s="298"/>
      <c r="G27" s="298"/>
      <c r="H27" s="298"/>
      <c r="I27" s="334"/>
      <c r="J27" s="298"/>
      <c r="K27" s="298"/>
      <c r="L27" s="298"/>
      <c r="M27" s="298"/>
      <c r="O27" s="303"/>
      <c r="P27" s="327"/>
      <c r="Q27" s="329"/>
    </row>
    <row r="28" spans="1:17" ht="12">
      <c r="B28" s="359" t="s">
        <v>156</v>
      </c>
      <c r="C28" s="302" t="s">
        <v>197</v>
      </c>
      <c r="D28" s="302"/>
      <c r="E28" s="302"/>
      <c r="F28" s="335">
        <f t="shared" ref="F28:K28" si="6">+F12</f>
        <v>45.111660831986867</v>
      </c>
      <c r="G28" s="335">
        <f t="shared" si="6"/>
        <v>52.243319264117702</v>
      </c>
      <c r="H28" s="335">
        <f t="shared" si="6"/>
        <v>61.7132853779801</v>
      </c>
      <c r="I28" s="335">
        <f t="shared" si="6"/>
        <v>73.285082498468938</v>
      </c>
      <c r="J28" s="335">
        <f t="shared" si="6"/>
        <v>79.587751834913689</v>
      </c>
      <c r="K28" s="335">
        <f t="shared" si="6"/>
        <v>87.783623965317773</v>
      </c>
      <c r="L28" s="335">
        <f>+L12</f>
        <v>89.539296444624128</v>
      </c>
      <c r="M28" s="335">
        <f>+M12</f>
        <v>91.330082373516603</v>
      </c>
      <c r="O28" s="303">
        <f>+SUM(F28:K28)</f>
        <v>399.72472377278507</v>
      </c>
      <c r="P28" s="304">
        <f>+IFERROR((K28/F28)^(1/5)-1,0)</f>
        <v>0.14241773861791573</v>
      </c>
      <c r="Q28" s="318"/>
    </row>
    <row r="29" spans="1:17">
      <c r="A29" s="336"/>
      <c r="B29" s="336"/>
      <c r="C29" s="337"/>
      <c r="D29" s="337"/>
      <c r="E29" s="337"/>
      <c r="F29" s="338"/>
      <c r="G29" s="338"/>
      <c r="H29" s="338"/>
      <c r="I29" s="339"/>
      <c r="J29" s="338"/>
      <c r="O29" s="297"/>
      <c r="P29" s="340"/>
    </row>
    <row r="30" spans="1:17" ht="12">
      <c r="B30" s="289"/>
      <c r="C30" s="312" t="s">
        <v>47</v>
      </c>
      <c r="D30" s="312"/>
      <c r="E30" s="312"/>
      <c r="F30" s="702">
        <v>-5.829985368542264</v>
      </c>
      <c r="G30" s="702">
        <v>-5.0017418512492444</v>
      </c>
      <c r="H30" s="702">
        <v>-6.8476120922720733</v>
      </c>
      <c r="I30" s="702">
        <v>-6.1780845624569771</v>
      </c>
      <c r="J30" s="702">
        <v>-2.5470105535414187</v>
      </c>
      <c r="K30" s="702">
        <v>-2.9852206145091404</v>
      </c>
      <c r="L30" s="702">
        <v>-1.566009410435266</v>
      </c>
      <c r="M30" s="702">
        <v>-1.5973295986439713</v>
      </c>
      <c r="O30" s="330">
        <f>+SUM(F30:K30)</f>
        <v>-29.389655042571121</v>
      </c>
      <c r="P30" s="331">
        <f>+IFERROR((K30/F30)^(1/5)-1,0)</f>
        <v>-0.12529462863831375</v>
      </c>
      <c r="Q30" s="341"/>
    </row>
    <row r="31" spans="1:17" s="289" customFormat="1" ht="12">
      <c r="A31" s="336"/>
      <c r="B31" s="336"/>
      <c r="C31" s="306" t="s">
        <v>157</v>
      </c>
      <c r="D31" s="306"/>
      <c r="E31" s="306"/>
      <c r="F31" s="319">
        <f t="shared" ref="F31:K31" si="7">F30/F$9</f>
        <v>-2.1780556543681794E-2</v>
      </c>
      <c r="G31" s="319">
        <f t="shared" si="7"/>
        <v>-1.6637147709075723E-2</v>
      </c>
      <c r="H31" s="319">
        <f t="shared" si="7"/>
        <v>-1.9883904845630837E-2</v>
      </c>
      <c r="I31" s="319">
        <f t="shared" si="7"/>
        <v>-1.5987973435297832E-2</v>
      </c>
      <c r="J31" s="319">
        <f t="shared" si="7"/>
        <v>-6.1945264105683628E-3</v>
      </c>
      <c r="K31" s="319">
        <f t="shared" si="7"/>
        <v>-6.8053470961170629E-3</v>
      </c>
      <c r="L31" s="319">
        <f>L30/L$9</f>
        <v>-3.5000000000000001E-3</v>
      </c>
      <c r="M31" s="319">
        <f>M30/M$9</f>
        <v>-3.5000000000000001E-3</v>
      </c>
      <c r="O31" s="320"/>
      <c r="P31" s="321"/>
      <c r="Q31" s="322"/>
    </row>
    <row r="32" spans="1:17" ht="12">
      <c r="B32" s="289"/>
      <c r="C32" s="306"/>
      <c r="D32" s="306"/>
      <c r="E32" s="306"/>
      <c r="F32" s="298"/>
      <c r="G32" s="298"/>
      <c r="H32" s="298"/>
      <c r="I32" s="298"/>
      <c r="J32" s="298"/>
      <c r="K32" s="298"/>
      <c r="L32" s="298"/>
      <c r="M32" s="298"/>
      <c r="O32" s="327"/>
      <c r="P32" s="342"/>
      <c r="Q32" s="329"/>
    </row>
    <row r="33" spans="1:17" ht="12">
      <c r="C33" s="312" t="s">
        <v>13</v>
      </c>
      <c r="D33" s="312"/>
      <c r="E33" s="312"/>
      <c r="F33" s="702">
        <v>-4.1859999999999999</v>
      </c>
      <c r="G33" s="702">
        <v>-6.0127396098319768</v>
      </c>
      <c r="H33" s="702">
        <v>-6.8875929003218141</v>
      </c>
      <c r="I33" s="702">
        <v>-7.7284148456453687</v>
      </c>
      <c r="J33" s="702">
        <v>-8.2234230180890435</v>
      </c>
      <c r="K33" s="702">
        <v>-8.7731619632227762</v>
      </c>
      <c r="L33" s="702">
        <v>-8.7731619632227762</v>
      </c>
      <c r="M33" s="702">
        <v>-8.7731619632227762</v>
      </c>
      <c r="O33" s="330">
        <f>+SUM(F33:K33)</f>
        <v>-41.811332337110983</v>
      </c>
      <c r="P33" s="331">
        <f>+IFERROR((K33/F33)^(1/5)-1,0)</f>
        <v>0.15950168636408146</v>
      </c>
      <c r="Q33" s="318"/>
    </row>
    <row r="34" spans="1:17">
      <c r="C34" s="332" t="s">
        <v>157</v>
      </c>
      <c r="D34" s="332"/>
      <c r="E34" s="332"/>
      <c r="F34" s="319">
        <f t="shared" ref="F34:K34" si="8">F33/F$9</f>
        <v>-1.5638703003237397E-2</v>
      </c>
      <c r="G34" s="319">
        <f t="shared" si="8"/>
        <v>-2.0000000000000007E-2</v>
      </c>
      <c r="H34" s="319">
        <f t="shared" si="8"/>
        <v>-0.02</v>
      </c>
      <c r="I34" s="319">
        <f t="shared" si="8"/>
        <v>-0.02</v>
      </c>
      <c r="J34" s="319">
        <f t="shared" si="8"/>
        <v>-0.02</v>
      </c>
      <c r="K34" s="319">
        <f t="shared" si="8"/>
        <v>-1.9999999999999993E-2</v>
      </c>
      <c r="L34" s="319">
        <f>L33/L$9</f>
        <v>-1.9607843137254898E-2</v>
      </c>
      <c r="M34" s="319">
        <f>M33/M$9</f>
        <v>-1.9223375624759703E-2</v>
      </c>
      <c r="O34" s="320"/>
      <c r="P34" s="321"/>
      <c r="Q34" s="343"/>
    </row>
    <row r="35" spans="1:17">
      <c r="C35" s="332"/>
      <c r="D35" s="332"/>
      <c r="E35" s="332"/>
      <c r="F35" s="319"/>
      <c r="G35" s="319"/>
      <c r="H35" s="319"/>
      <c r="I35" s="319"/>
      <c r="J35" s="319"/>
      <c r="K35" s="319"/>
      <c r="L35" s="319"/>
      <c r="M35" s="319"/>
      <c r="O35" s="320"/>
      <c r="P35" s="321"/>
      <c r="Q35" s="343"/>
    </row>
    <row r="36" spans="1:17">
      <c r="C36" s="312" t="s">
        <v>263</v>
      </c>
      <c r="D36" s="332"/>
      <c r="E36" s="332"/>
      <c r="F36" s="702">
        <v>-9.6199999999999992</v>
      </c>
      <c r="G36" s="702">
        <v>-4.6286814527982951</v>
      </c>
      <c r="H36" s="702">
        <v>-17.614525860174219</v>
      </c>
      <c r="I36" s="702">
        <v>-4.8221098234428412</v>
      </c>
      <c r="J36" s="702">
        <v>-8.2464023467477681</v>
      </c>
      <c r="K36" s="702">
        <v>-2.2279713830635193</v>
      </c>
      <c r="L36" s="702">
        <v>0</v>
      </c>
      <c r="M36" s="702">
        <v>0</v>
      </c>
      <c r="O36" s="330">
        <f>+SUM(F36:K36)</f>
        <v>-47.15969086622664</v>
      </c>
      <c r="P36" s="331">
        <f>+IFERROR((K36/F36)^(1/5)-1,0)</f>
        <v>-0.25364248980146487</v>
      </c>
      <c r="Q36" s="343"/>
    </row>
    <row r="37" spans="1:17">
      <c r="C37" s="332" t="s">
        <v>157</v>
      </c>
      <c r="D37" s="332"/>
      <c r="E37" s="332"/>
      <c r="F37" s="315">
        <f t="shared" ref="F37:K37" si="9">F36/F$9</f>
        <v>-3.5939876467067311E-2</v>
      </c>
      <c r="G37" s="319">
        <f>G36/G$9</f>
        <v>-1.5396247810996237E-2</v>
      </c>
      <c r="H37" s="319">
        <f t="shared" si="9"/>
        <v>-5.1148568491471681E-2</v>
      </c>
      <c r="I37" s="319">
        <f>I36/I$9</f>
        <v>-1.2478910409836227E-2</v>
      </c>
      <c r="J37" s="319">
        <f>J36/J$9</f>
        <v>-2.0055887502341004E-2</v>
      </c>
      <c r="K37" s="319">
        <f t="shared" si="9"/>
        <v>-5.0790613290925381E-3</v>
      </c>
      <c r="L37" s="319">
        <f>L36/L$9</f>
        <v>0</v>
      </c>
      <c r="M37" s="319">
        <f>M36/M$9</f>
        <v>0</v>
      </c>
      <c r="O37" s="320"/>
      <c r="P37" s="321"/>
      <c r="Q37" s="343"/>
    </row>
    <row r="38" spans="1:17">
      <c r="C38" s="306"/>
      <c r="D38" s="306"/>
      <c r="E38" s="306"/>
      <c r="F38" s="298"/>
      <c r="G38" s="298"/>
      <c r="H38" s="298"/>
      <c r="I38" s="298"/>
      <c r="J38" s="298"/>
      <c r="K38" s="298"/>
      <c r="L38" s="298"/>
      <c r="M38" s="298"/>
      <c r="O38" s="327"/>
      <c r="P38" s="342"/>
      <c r="Q38" s="329"/>
    </row>
    <row r="39" spans="1:17" ht="12">
      <c r="B39" s="359" t="s">
        <v>158</v>
      </c>
      <c r="C39" s="302" t="s">
        <v>159</v>
      </c>
      <c r="D39" s="302"/>
      <c r="E39" s="302"/>
      <c r="F39" s="344">
        <f t="shared" ref="F39:M39" si="10">F28+F30+F33+F36</f>
        <v>25.475675463444603</v>
      </c>
      <c r="G39" s="344">
        <f t="shared" si="10"/>
        <v>36.600156350238187</v>
      </c>
      <c r="H39" s="344">
        <f t="shared" si="10"/>
        <v>30.363554525211995</v>
      </c>
      <c r="I39" s="344">
        <f t="shared" si="10"/>
        <v>54.556473266923753</v>
      </c>
      <c r="J39" s="344">
        <f t="shared" si="10"/>
        <v>60.570915916535455</v>
      </c>
      <c r="K39" s="344">
        <f t="shared" si="10"/>
        <v>73.797270004522332</v>
      </c>
      <c r="L39" s="344">
        <f t="shared" si="10"/>
        <v>79.200125070966081</v>
      </c>
      <c r="M39" s="344">
        <f t="shared" si="10"/>
        <v>80.959590811649861</v>
      </c>
      <c r="O39" s="303">
        <f>+SUM(F39:K39)</f>
        <v>281.36404552687634</v>
      </c>
      <c r="P39" s="304">
        <f>+IFERROR((K39/F39)^(1/5)-1,0)</f>
        <v>0.23703764954550643</v>
      </c>
      <c r="Q39" s="318"/>
    </row>
    <row r="40" spans="1:17" ht="12">
      <c r="B40" s="289"/>
      <c r="C40" s="306" t="s">
        <v>160</v>
      </c>
      <c r="D40" s="306"/>
      <c r="E40" s="306"/>
      <c r="F40" s="320">
        <f t="shared" ref="F40:K40" si="11">F39/F28</f>
        <v>0.56472484039826842</v>
      </c>
      <c r="G40" s="320">
        <f t="shared" si="11"/>
        <v>0.70057103694359413</v>
      </c>
      <c r="H40" s="320">
        <f t="shared" si="11"/>
        <v>0.49201001598346289</v>
      </c>
      <c r="I40" s="320">
        <f t="shared" si="11"/>
        <v>0.74444172547753551</v>
      </c>
      <c r="J40" s="320">
        <f t="shared" si="11"/>
        <v>0.76105825984600939</v>
      </c>
      <c r="K40" s="320">
        <f t="shared" si="11"/>
        <v>0.84067240187849523</v>
      </c>
      <c r="L40" s="320">
        <f>L39/L28</f>
        <v>0.88452923147489393</v>
      </c>
      <c r="M40" s="320">
        <f>M39/M28</f>
        <v>0.88645043021581771</v>
      </c>
      <c r="O40" s="345"/>
      <c r="P40" s="345"/>
      <c r="Q40" s="322"/>
    </row>
    <row r="41" spans="1:17" ht="12">
      <c r="B41" s="289"/>
      <c r="C41" s="312"/>
      <c r="D41" s="312"/>
      <c r="E41" s="312"/>
      <c r="F41" s="298"/>
      <c r="G41" s="298"/>
      <c r="H41" s="298"/>
      <c r="I41" s="298"/>
      <c r="J41" s="298"/>
      <c r="K41" s="298"/>
      <c r="L41" s="298"/>
      <c r="M41" s="298"/>
      <c r="O41" s="298"/>
      <c r="P41" s="298"/>
      <c r="Q41" s="329"/>
    </row>
    <row r="42" spans="1:17" s="297" customFormat="1" ht="12">
      <c r="A42" s="289"/>
      <c r="B42" s="359" t="s">
        <v>148</v>
      </c>
      <c r="C42" s="354" t="s">
        <v>149</v>
      </c>
      <c r="D42" s="354"/>
      <c r="E42" s="584"/>
      <c r="F42" s="357"/>
      <c r="G42" s="357"/>
      <c r="H42" s="357"/>
      <c r="I42" s="357"/>
      <c r="J42" s="357"/>
      <c r="K42" s="357"/>
      <c r="L42" s="357"/>
      <c r="M42" s="357"/>
      <c r="N42" s="358"/>
      <c r="O42" s="357"/>
      <c r="P42" s="357"/>
      <c r="Q42" s="287"/>
    </row>
    <row r="43" spans="1:17" ht="12">
      <c r="B43" s="289"/>
      <c r="C43" s="312"/>
      <c r="D43" s="312"/>
      <c r="E43" s="312"/>
      <c r="F43" s="346"/>
      <c r="G43" s="346"/>
      <c r="H43" s="346"/>
      <c r="I43" s="346"/>
      <c r="J43" s="346"/>
      <c r="K43" s="346"/>
      <c r="L43" s="346"/>
      <c r="M43" s="346"/>
      <c r="O43" s="346"/>
      <c r="P43" s="346"/>
      <c r="Q43" s="346"/>
    </row>
    <row r="47" spans="1:17"/>
    <row r="48" spans="1:17" s="297" customFormat="1" ht="12">
      <c r="A48" s="289"/>
      <c r="B48" s="359" t="s">
        <v>249</v>
      </c>
      <c r="C48" s="354" t="s">
        <v>240</v>
      </c>
      <c r="D48" s="354"/>
      <c r="E48" s="584"/>
      <c r="F48" s="357"/>
      <c r="G48" s="357"/>
      <c r="H48" s="357"/>
      <c r="I48" s="357"/>
      <c r="J48" s="357"/>
      <c r="K48" s="357"/>
      <c r="L48" s="357"/>
      <c r="M48" s="357"/>
      <c r="N48" s="358"/>
      <c r="O48" s="357"/>
      <c r="P48" s="357"/>
      <c r="Q48" s="287"/>
    </row>
    <row r="49" spans="3:15"/>
    <row r="50" spans="3:15"/>
    <row r="51" spans="3:15">
      <c r="C51" s="287" t="s">
        <v>250</v>
      </c>
      <c r="G51" s="683">
        <f>+'Debt Summary'!M54</f>
        <v>5</v>
      </c>
      <c r="H51" s="683">
        <f>+'Debt Summary'!N54</f>
        <v>4.5672986817826162</v>
      </c>
      <c r="I51" s="683">
        <f>+'Debt Summary'!O54</f>
        <v>3.7205459133270007</v>
      </c>
      <c r="J51" s="683">
        <f>+'Debt Summary'!P54</f>
        <v>2.9526717982651141</v>
      </c>
      <c r="K51" s="683">
        <f>+'Debt Summary'!Q54</f>
        <v>3.6964741145402855</v>
      </c>
      <c r="L51" s="683">
        <f>+'Debt Summary'!R54</f>
        <v>3.0377243918926577</v>
      </c>
      <c r="M51" s="683">
        <f>+'Debt Summary'!S54</f>
        <v>2.6441164765718983</v>
      </c>
    </row>
    <row r="52" spans="3:15">
      <c r="C52" s="287" t="s">
        <v>57</v>
      </c>
      <c r="G52" s="664">
        <f>+N('Debt Summary'!N27&gt;0)*'Debt Summary'!N27</f>
        <v>28.530577855677159</v>
      </c>
      <c r="H52" s="664">
        <f>+N('Debt Summary'!O27&gt;0)*'Debt Summary'!O27</f>
        <v>33.505850256422349</v>
      </c>
      <c r="I52" s="664">
        <f>+N('Debt Summary'!P27&gt;0)*'Debt Summary'!P27</f>
        <v>41.541680106707091</v>
      </c>
      <c r="J52" s="664">
        <f>+N('Debt Summary'!Q27&gt;0)*'Debt Summary'!Q27</f>
        <v>33.52920333564532</v>
      </c>
      <c r="K52" s="664">
        <f>+N('Debt Summary'!R27&gt;0)*'Debt Summary'!R27</f>
        <v>45.063217528071888</v>
      </c>
      <c r="L52" s="664">
        <f>+N('Debt Summary'!S27&gt;0)*'Debt Summary'!S27</f>
        <v>49.820253396584718</v>
      </c>
      <c r="M52" s="664">
        <f>+N('Debt Summary'!T27&gt;0)*'Debt Summary'!T27</f>
        <v>0</v>
      </c>
    </row>
    <row r="53" spans="3:15">
      <c r="C53" s="287" t="s">
        <v>251</v>
      </c>
      <c r="G53" s="664">
        <f>+N('Debt Summary'!N32&gt;0)*'Debt Summary'!N32</f>
        <v>0</v>
      </c>
      <c r="H53" s="664">
        <f>+N('Debt Summary'!O32&gt;0)*'Debt Summary'!O32</f>
        <v>28.530577855677159</v>
      </c>
      <c r="I53" s="664">
        <f>+N('Debt Summary'!P32&gt;0)*'Debt Summary'!P32</f>
        <v>62.036428112099507</v>
      </c>
      <c r="J53" s="664">
        <f>+N('Debt Summary'!Q32&gt;0)*'Debt Summary'!Q32</f>
        <v>87.807268165453053</v>
      </c>
      <c r="K53" s="664">
        <f>+N('Debt Summary'!R32&gt;0)*'Debt Summary'!R32</f>
        <v>10</v>
      </c>
      <c r="L53" s="664">
        <f>+N('Debt Summary'!S32&gt;0)*'Debt Summary'!S32</f>
        <v>37.531608764035944</v>
      </c>
      <c r="M53" s="664">
        <f>+N('Debt Summary'!T32&gt;0)*'Debt Summary'!T32</f>
        <v>67.44173546232831</v>
      </c>
    </row>
    <row r="54" spans="3:15" ht="12">
      <c r="C54" s="581" t="s">
        <v>259</v>
      </c>
      <c r="D54" s="581"/>
      <c r="E54" s="581"/>
      <c r="F54" s="581"/>
      <c r="G54" s="665">
        <f>+SUM(G52:G53)*N(G52&gt;0)</f>
        <v>28.530577855677159</v>
      </c>
      <c r="H54" s="665">
        <f t="shared" ref="H54:M54" si="12">+SUM(H52:H53)*N(H52&gt;0)</f>
        <v>62.036428112099507</v>
      </c>
      <c r="I54" s="665">
        <f t="shared" si="12"/>
        <v>103.57810821880659</v>
      </c>
      <c r="J54" s="665">
        <f t="shared" si="12"/>
        <v>121.33647150109837</v>
      </c>
      <c r="K54" s="665">
        <f t="shared" si="12"/>
        <v>55.063217528071888</v>
      </c>
      <c r="L54" s="665">
        <f t="shared" si="12"/>
        <v>87.351862160620669</v>
      </c>
      <c r="M54" s="665">
        <f t="shared" si="12"/>
        <v>0</v>
      </c>
    </row>
    <row r="55" spans="3:15">
      <c r="C55" s="287" t="s">
        <v>252</v>
      </c>
      <c r="F55" s="583">
        <f>+'Debt Structure'!$D$44</f>
        <v>10</v>
      </c>
      <c r="G55" s="662">
        <f>+$F55</f>
        <v>10</v>
      </c>
      <c r="H55" s="662">
        <f t="shared" ref="H55:M55" si="13">+$F55</f>
        <v>10</v>
      </c>
      <c r="I55" s="662">
        <f t="shared" si="13"/>
        <v>10</v>
      </c>
      <c r="J55" s="662">
        <f t="shared" si="13"/>
        <v>10</v>
      </c>
      <c r="K55" s="662">
        <f t="shared" si="13"/>
        <v>10</v>
      </c>
      <c r="L55" s="662">
        <f t="shared" si="13"/>
        <v>10</v>
      </c>
      <c r="M55" s="662">
        <f t="shared" si="13"/>
        <v>10</v>
      </c>
    </row>
    <row r="56" spans="3:15" ht="12">
      <c r="C56" s="582" t="s">
        <v>258</v>
      </c>
      <c r="D56" s="582"/>
      <c r="E56" s="582"/>
      <c r="F56" s="582"/>
      <c r="G56" s="666">
        <f>+MAX(G54-G55,0)</f>
        <v>18.530577855677159</v>
      </c>
      <c r="H56" s="666">
        <f t="shared" ref="H56:M56" si="14">+MAX(H54-H55,0)</f>
        <v>52.036428112099507</v>
      </c>
      <c r="I56" s="666">
        <f t="shared" si="14"/>
        <v>93.578108218806591</v>
      </c>
      <c r="J56" s="666">
        <f t="shared" si="14"/>
        <v>111.33647150109837</v>
      </c>
      <c r="K56" s="666">
        <f t="shared" si="14"/>
        <v>45.063217528071888</v>
      </c>
      <c r="L56" s="666">
        <f t="shared" si="14"/>
        <v>77.351862160620669</v>
      </c>
      <c r="M56" s="666">
        <f t="shared" si="14"/>
        <v>0</v>
      </c>
    </row>
    <row r="57" spans="3:15">
      <c r="G57" s="661"/>
      <c r="H57" s="661"/>
      <c r="I57" s="661"/>
      <c r="J57" s="661"/>
      <c r="K57" s="661"/>
      <c r="L57" s="661"/>
      <c r="M57" s="661"/>
    </row>
    <row r="58" spans="3:15" ht="12">
      <c r="C58" s="667" t="s">
        <v>270</v>
      </c>
      <c r="G58" s="661"/>
      <c r="H58" s="661"/>
      <c r="I58" s="661"/>
      <c r="J58" s="661"/>
      <c r="K58" s="661"/>
      <c r="L58" s="661"/>
      <c r="M58" s="661"/>
    </row>
    <row r="59" spans="3:15" ht="12">
      <c r="D59" s="668" t="s">
        <v>245</v>
      </c>
      <c r="E59" s="668" t="s">
        <v>246</v>
      </c>
      <c r="F59" s="668" t="s">
        <v>257</v>
      </c>
      <c r="G59" s="661"/>
      <c r="H59" s="661"/>
      <c r="I59" s="661"/>
      <c r="J59" s="661"/>
      <c r="K59" s="661"/>
      <c r="L59" s="661"/>
      <c r="M59" s="661"/>
      <c r="O59" s="296" t="s">
        <v>2</v>
      </c>
    </row>
    <row r="60" spans="3:15">
      <c r="C60" s="669" t="s">
        <v>253</v>
      </c>
      <c r="D60" s="670">
        <f>+'Debt Structure'!$D$40</f>
        <v>4</v>
      </c>
      <c r="E60" s="671"/>
      <c r="F60" s="672">
        <f>+'Debt Structure'!$F$40</f>
        <v>0</v>
      </c>
      <c r="G60" s="673">
        <f>+N(G$51&gt;$D60)*$F60*(G$56-G53)</f>
        <v>0</v>
      </c>
      <c r="H60" s="674">
        <f t="shared" ref="H60:M60" si="15">+N(H$51&gt;$D60)*$F60*(H$56-H53)</f>
        <v>0</v>
      </c>
      <c r="I60" s="674">
        <f t="shared" si="15"/>
        <v>0</v>
      </c>
      <c r="J60" s="674">
        <f t="shared" si="15"/>
        <v>0</v>
      </c>
      <c r="K60" s="674">
        <f t="shared" si="15"/>
        <v>0</v>
      </c>
      <c r="L60" s="674">
        <f t="shared" si="15"/>
        <v>0</v>
      </c>
      <c r="M60" s="674">
        <f t="shared" si="15"/>
        <v>0</v>
      </c>
    </row>
    <row r="61" spans="3:15" s="693" customFormat="1">
      <c r="C61" s="693" t="s">
        <v>254</v>
      </c>
      <c r="D61" s="694">
        <f>+'Debt Structure'!$D$41</f>
        <v>3</v>
      </c>
      <c r="E61" s="695">
        <f>+'Debt Structure'!$E$41</f>
        <v>4</v>
      </c>
      <c r="F61" s="696">
        <f>+'Debt Structure'!$F$41</f>
        <v>0.5</v>
      </c>
      <c r="G61" s="697">
        <f>+N(AND(G$51&gt;$D61,G$51&lt;=$E61))*(G$56-G53)*$F61</f>
        <v>0</v>
      </c>
      <c r="H61" s="698">
        <f t="shared" ref="H61:M61" si="16">+N(AND(H$51&gt;$D61,H$51&lt;=$E61))*(H$56-H53)*$F61</f>
        <v>0</v>
      </c>
      <c r="I61" s="698">
        <f t="shared" si="16"/>
        <v>15.770840053353542</v>
      </c>
      <c r="J61" s="698">
        <f t="shared" si="16"/>
        <v>0</v>
      </c>
      <c r="K61" s="698">
        <f t="shared" si="16"/>
        <v>17.531608764035944</v>
      </c>
      <c r="L61" s="698">
        <f t="shared" si="16"/>
        <v>19.910126698292363</v>
      </c>
      <c r="M61" s="698">
        <f t="shared" si="16"/>
        <v>0</v>
      </c>
    </row>
    <row r="62" spans="3:15">
      <c r="C62" s="676" t="s">
        <v>255</v>
      </c>
      <c r="D62" s="677"/>
      <c r="E62" s="675">
        <f>+'Debt Structure'!$E$42</f>
        <v>3</v>
      </c>
      <c r="F62" s="672">
        <f>+'Debt Structure'!$F$42</f>
        <v>1</v>
      </c>
      <c r="G62" s="678">
        <f>+N(G$51&lt;=$E62)*$F62*(G$56)</f>
        <v>0</v>
      </c>
      <c r="H62" s="679">
        <f t="shared" ref="H62:M62" si="17">+N(H$51&lt;=$E62)*$F62*(H$56)</f>
        <v>0</v>
      </c>
      <c r="I62" s="679">
        <f t="shared" si="17"/>
        <v>0</v>
      </c>
      <c r="J62" s="679">
        <f t="shared" si="17"/>
        <v>111.33647150109837</v>
      </c>
      <c r="K62" s="679">
        <f t="shared" si="17"/>
        <v>0</v>
      </c>
      <c r="L62" s="679">
        <f t="shared" si="17"/>
        <v>0</v>
      </c>
      <c r="M62" s="679">
        <f t="shared" si="17"/>
        <v>0</v>
      </c>
    </row>
    <row r="63" spans="3:15" ht="12">
      <c r="C63" s="581" t="s">
        <v>256</v>
      </c>
      <c r="D63" s="581"/>
      <c r="E63" s="581"/>
      <c r="F63" s="581"/>
      <c r="G63" s="680">
        <f>+MAX(SUM(G60:G62),0)</f>
        <v>0</v>
      </c>
      <c r="H63" s="680">
        <f t="shared" ref="H63:M63" si="18">+MAX(SUM(H60:H62),0)</f>
        <v>0</v>
      </c>
      <c r="I63" s="680">
        <f t="shared" si="18"/>
        <v>15.770840053353542</v>
      </c>
      <c r="J63" s="680">
        <f t="shared" si="18"/>
        <v>111.33647150109837</v>
      </c>
      <c r="K63" s="680">
        <f t="shared" si="18"/>
        <v>17.531608764035944</v>
      </c>
      <c r="L63" s="680">
        <f t="shared" si="18"/>
        <v>19.910126698292363</v>
      </c>
      <c r="M63" s="680">
        <f t="shared" si="18"/>
        <v>0</v>
      </c>
      <c r="N63" s="289"/>
      <c r="O63" s="585">
        <f>+SUM(G63:M63)</f>
        <v>164.54904701678024</v>
      </c>
    </row>
    <row r="64" spans="3:15">
      <c r="G64" s="662"/>
      <c r="H64" s="662"/>
      <c r="I64" s="662"/>
      <c r="J64" s="662"/>
      <c r="K64" s="662"/>
      <c r="L64" s="662"/>
      <c r="M64" s="662"/>
    </row>
    <row r="65" spans="3:15" ht="12">
      <c r="C65" s="590" t="s">
        <v>260</v>
      </c>
      <c r="D65" s="590"/>
      <c r="E65" s="590"/>
      <c r="F65" s="590"/>
      <c r="G65" s="663">
        <f>+G63</f>
        <v>0</v>
      </c>
      <c r="H65" s="663">
        <f t="shared" ref="H65:M65" si="19">+H63</f>
        <v>0</v>
      </c>
      <c r="I65" s="663">
        <f t="shared" si="19"/>
        <v>15.770840053353542</v>
      </c>
      <c r="J65" s="663">
        <f t="shared" si="19"/>
        <v>111.33647150109837</v>
      </c>
      <c r="K65" s="663">
        <f t="shared" si="19"/>
        <v>17.531608764035944</v>
      </c>
      <c r="L65" s="663">
        <f t="shared" si="19"/>
        <v>19.910126698292363</v>
      </c>
      <c r="M65" s="663">
        <f t="shared" si="19"/>
        <v>0</v>
      </c>
      <c r="N65" s="589"/>
      <c r="O65" s="585">
        <f>+SUM(G65:M65)</f>
        <v>164.54904701678024</v>
      </c>
    </row>
    <row r="66" spans="3:15"/>
    <row r="67" spans="3:15">
      <c r="G67" s="681"/>
      <c r="H67" s="681"/>
      <c r="I67" s="681"/>
      <c r="J67" s="681"/>
      <c r="K67" s="681"/>
      <c r="L67" s="681"/>
      <c r="M67" s="681"/>
    </row>
    <row r="68" spans="3:15"/>
    <row r="69" spans="3:15"/>
    <row r="70" spans="3:15"/>
    <row r="71" spans="3:15"/>
    <row r="72" spans="3:15"/>
    <row r="73" spans="3:15"/>
    <row r="74" spans="3:15"/>
    <row r="75" spans="3:15"/>
    <row r="76" spans="3:15"/>
    <row r="77" spans="3:15"/>
    <row r="78" spans="3:15"/>
    <row r="79" spans="3:15"/>
    <row r="80" spans="3:15"/>
    <row r="81"/>
    <row r="82"/>
  </sheetData>
  <mergeCells count="1">
    <mergeCell ref="O4:P4"/>
  </mergeCells>
  <pageMargins left="0.11811023622047245" right="0.11811023622047245" top="0.74803149606299213" bottom="0.74803149606299213" header="0.31496062992125984" footer="0.31496062992125984"/>
  <pageSetup scale="88" orientation="landscape" r:id="rId1"/>
  <headerFooter>
    <oddFooter>&amp;L&amp;A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C87B5-8810-4B4A-83F4-59FF6A156145}">
  <sheetPr codeName="Sheet33"/>
  <dimension ref="A1:AN131"/>
  <sheetViews>
    <sheetView showGridLines="0" showWhiteSpace="0" zoomScale="85" zoomScaleNormal="85" workbookViewId="0">
      <selection activeCell="B6" sqref="B6"/>
    </sheetView>
  </sheetViews>
  <sheetFormatPr defaultColWidth="0" defaultRowHeight="11.4" zeroHeight="1" outlineLevelRow="1"/>
  <cols>
    <col min="1" max="1" width="1.75" style="362" customWidth="1"/>
    <col min="2" max="2" width="3.375" style="362" bestFit="1" customWidth="1"/>
    <col min="3" max="3" width="1.75" style="362" customWidth="1"/>
    <col min="4" max="4" width="40.75" style="362" bestFit="1" customWidth="1"/>
    <col min="5" max="6" width="7.375" style="363" customWidth="1"/>
    <col min="7" max="7" width="11.375" style="362" customWidth="1"/>
    <col min="8" max="8" width="10.25" style="362" bestFit="1" customWidth="1"/>
    <col min="9" max="16" width="9.25" style="362" customWidth="1"/>
    <col min="17" max="17" width="12.25" style="362" customWidth="1"/>
    <col min="18" max="20" width="12.375" style="362" hidden="1" customWidth="1"/>
    <col min="21" max="21" width="56" style="362" hidden="1" customWidth="1"/>
    <col min="22" max="25" width="12.375" style="362" hidden="1" customWidth="1"/>
    <col min="26" max="40" width="10.625" style="362" hidden="1" customWidth="1"/>
    <col min="41" max="16384" width="12.375" style="362" hidden="1"/>
  </cols>
  <sheetData>
    <row r="1" spans="1:36"/>
    <row r="2" spans="1:36" s="364" customFormat="1" ht="12">
      <c r="A2" s="362"/>
      <c r="B2" s="349" t="str">
        <f ca="1">RIGHT(CELL("filename",B1), LEN(CELL("filename", B1))- FIND("]", CELL("filename", B1), 1))</f>
        <v>Tax Model</v>
      </c>
      <c r="C2" s="349"/>
      <c r="D2" s="349"/>
      <c r="E2" s="360"/>
      <c r="F2" s="360"/>
      <c r="G2" s="349"/>
      <c r="H2" s="349"/>
      <c r="I2" s="349"/>
      <c r="J2" s="349"/>
      <c r="K2" s="349"/>
      <c r="L2" s="349"/>
      <c r="M2" s="349"/>
      <c r="N2" s="349"/>
      <c r="O2" s="349"/>
      <c r="P2" s="349"/>
      <c r="Q2" s="288"/>
      <c r="R2" s="288"/>
      <c r="S2" s="288"/>
      <c r="T2" s="288"/>
      <c r="U2" s="288"/>
      <c r="V2" s="288"/>
      <c r="W2" s="288"/>
      <c r="X2" s="288"/>
      <c r="Y2" s="288"/>
      <c r="Z2" s="288"/>
      <c r="AA2" s="288"/>
      <c r="AB2" s="288"/>
      <c r="AC2" s="288"/>
      <c r="AD2" s="288"/>
      <c r="AE2" s="288"/>
      <c r="AF2" s="288"/>
      <c r="AG2" s="288"/>
      <c r="AH2" s="288"/>
      <c r="AI2" s="288"/>
      <c r="AJ2" s="288"/>
    </row>
    <row r="3" spans="1:36"/>
    <row r="4" spans="1:36" ht="12">
      <c r="D4" s="347"/>
      <c r="E4" s="365"/>
      <c r="F4" s="365"/>
      <c r="G4" s="347"/>
      <c r="H4" s="366">
        <v>45657</v>
      </c>
      <c r="I4" s="510">
        <f t="shared" ref="I4:N4" si="0">EDATE(H4,12)</f>
        <v>46022</v>
      </c>
      <c r="J4" s="511">
        <f t="shared" si="0"/>
        <v>46387</v>
      </c>
      <c r="K4" s="511">
        <f t="shared" si="0"/>
        <v>46752</v>
      </c>
      <c r="L4" s="511">
        <f t="shared" si="0"/>
        <v>47118</v>
      </c>
      <c r="M4" s="511">
        <f t="shared" si="0"/>
        <v>47483</v>
      </c>
      <c r="N4" s="511">
        <f t="shared" si="0"/>
        <v>47848</v>
      </c>
      <c r="O4" s="511">
        <f>EDATE(N4,12)</f>
        <v>48213</v>
      </c>
      <c r="P4" s="511">
        <f>EDATE(O4,12)</f>
        <v>48579</v>
      </c>
    </row>
    <row r="5" spans="1:36" ht="12">
      <c r="H5" s="367"/>
      <c r="I5" s="367"/>
      <c r="J5" s="367"/>
      <c r="K5" s="367"/>
      <c r="L5" s="367"/>
      <c r="M5" s="367"/>
      <c r="N5" s="367"/>
      <c r="O5" s="367"/>
      <c r="P5" s="367"/>
    </row>
    <row r="6" spans="1:36" ht="12">
      <c r="B6" s="368">
        <v>1</v>
      </c>
      <c r="C6" s="363"/>
      <c r="D6" s="369" t="s">
        <v>161</v>
      </c>
      <c r="E6" s="370"/>
      <c r="F6" s="370"/>
      <c r="G6" s="371"/>
      <c r="H6" s="371"/>
      <c r="I6" s="371"/>
      <c r="J6" s="371"/>
      <c r="K6" s="371"/>
      <c r="L6" s="371"/>
      <c r="M6" s="371"/>
      <c r="N6" s="371"/>
      <c r="O6" s="371"/>
      <c r="P6" s="371"/>
    </row>
    <row r="7" spans="1:36" ht="12">
      <c r="U7" s="372"/>
      <c r="V7" s="372"/>
      <c r="W7" s="372"/>
      <c r="X7" s="372"/>
      <c r="Y7" s="372"/>
      <c r="Z7" s="372"/>
      <c r="AA7" s="372"/>
      <c r="AB7" s="372"/>
      <c r="AC7" s="372"/>
      <c r="AD7" s="372"/>
      <c r="AE7" s="372"/>
      <c r="AF7" s="372"/>
      <c r="AG7" s="372"/>
    </row>
    <row r="8" spans="1:36" ht="12">
      <c r="D8" s="373" t="s">
        <v>1</v>
      </c>
      <c r="H8" s="374"/>
      <c r="I8" s="497">
        <f>'Active Case'!F28</f>
        <v>45.111660831986867</v>
      </c>
      <c r="J8" s="375">
        <f>'Active Case'!G28</f>
        <v>52.243319264117702</v>
      </c>
      <c r="K8" s="375">
        <f>'Active Case'!H28</f>
        <v>61.7132853779801</v>
      </c>
      <c r="L8" s="375">
        <f>'Active Case'!I28</f>
        <v>73.285082498468938</v>
      </c>
      <c r="M8" s="375">
        <f>'Active Case'!J28</f>
        <v>79.587751834913689</v>
      </c>
      <c r="N8" s="375">
        <f>'Active Case'!K28</f>
        <v>87.783623965317773</v>
      </c>
      <c r="O8" s="375">
        <f>'Active Case'!L28</f>
        <v>89.539296444624128</v>
      </c>
      <c r="P8" s="375">
        <f>'Active Case'!M28</f>
        <v>91.330082373516603</v>
      </c>
      <c r="U8" s="481"/>
      <c r="V8" s="482"/>
      <c r="W8" s="482"/>
      <c r="X8" s="482"/>
      <c r="Y8" s="482"/>
      <c r="Z8" s="483"/>
      <c r="AA8" s="483"/>
      <c r="AB8" s="483"/>
      <c r="AC8" s="483"/>
      <c r="AD8" s="483"/>
      <c r="AE8" s="483"/>
      <c r="AF8" s="483"/>
      <c r="AG8" s="483"/>
    </row>
    <row r="9" spans="1:36" ht="12">
      <c r="C9" s="376"/>
      <c r="D9" s="373" t="s">
        <v>96</v>
      </c>
      <c r="H9" s="374"/>
      <c r="I9" s="375">
        <f>'Active Case'!F20</f>
        <v>-13.186759839277881</v>
      </c>
      <c r="J9" s="375">
        <f>'Active Case'!G20</f>
        <v>-13.766899874358014</v>
      </c>
      <c r="K9" s="375">
        <f>'Active Case'!H20</f>
        <v>-14.777273316340812</v>
      </c>
      <c r="L9" s="375">
        <f>'Active Case'!I20</f>
        <v>-15.749307565717007</v>
      </c>
      <c r="M9" s="375">
        <f>'Active Case'!J20</f>
        <v>-16.12052909757502</v>
      </c>
      <c r="N9" s="375">
        <f>'Active Case'!K20</f>
        <v>-16.308984193578162</v>
      </c>
      <c r="O9" s="375">
        <f>'Active Case'!L20</f>
        <v>-16.308984193578162</v>
      </c>
      <c r="P9" s="375">
        <f>'Active Case'!M20</f>
        <v>-16.308984193578162</v>
      </c>
      <c r="U9" s="481"/>
      <c r="V9" s="484"/>
      <c r="W9" s="484"/>
      <c r="X9" s="484"/>
      <c r="Y9" s="484"/>
      <c r="Z9" s="485"/>
      <c r="AA9" s="485"/>
      <c r="AB9" s="485"/>
      <c r="AC9" s="485"/>
      <c r="AD9" s="485"/>
      <c r="AE9" s="485"/>
      <c r="AF9" s="485"/>
      <c r="AG9" s="485"/>
    </row>
    <row r="10" spans="1:36">
      <c r="D10" s="373" t="s">
        <v>162</v>
      </c>
      <c r="H10" s="377"/>
      <c r="I10" s="498">
        <f>Model!L58</f>
        <v>0</v>
      </c>
      <c r="J10" s="498">
        <f>Model!Q58</f>
        <v>-15.007026644924318</v>
      </c>
      <c r="K10" s="498">
        <f>Model!V58</f>
        <v>-15.692571569264512</v>
      </c>
      <c r="L10" s="498">
        <f>Model!AA58</f>
        <v>-16.448563930470456</v>
      </c>
      <c r="M10" s="498">
        <f>Model!AF58</f>
        <v>-16.692203224610726</v>
      </c>
      <c r="N10" s="498">
        <f>Model!AK58</f>
        <v>-16.692203224610726</v>
      </c>
      <c r="O10" s="498">
        <f>+Model!AP58</f>
        <v>-16.692203224610726</v>
      </c>
      <c r="P10" s="498">
        <f>+Model!AU58</f>
        <v>-14.630677821534386</v>
      </c>
      <c r="Q10" s="377"/>
      <c r="U10" s="486"/>
      <c r="V10" s="486"/>
      <c r="W10" s="486"/>
      <c r="X10" s="486"/>
      <c r="Y10" s="486"/>
      <c r="Z10" s="486"/>
      <c r="AA10" s="486"/>
      <c r="AB10" s="486"/>
      <c r="AC10" s="486"/>
      <c r="AD10" s="486"/>
      <c r="AE10" s="486"/>
      <c r="AF10" s="486"/>
      <c r="AG10" s="486"/>
    </row>
    <row r="11" spans="1:36">
      <c r="D11" s="373" t="s">
        <v>198</v>
      </c>
      <c r="H11" s="378"/>
      <c r="I11" s="379">
        <f t="shared" ref="I11:P11" si="1">-I130</f>
        <v>0</v>
      </c>
      <c r="J11" s="379">
        <f t="shared" si="1"/>
        <v>-0.42857142857142855</v>
      </c>
      <c r="K11" s="379">
        <f t="shared" si="1"/>
        <v>-0.42857142857142855</v>
      </c>
      <c r="L11" s="379">
        <f t="shared" si="1"/>
        <v>-0.42974559686888447</v>
      </c>
      <c r="M11" s="379">
        <f t="shared" si="1"/>
        <v>-0.4285714285714286</v>
      </c>
      <c r="N11" s="379">
        <f t="shared" si="1"/>
        <v>-0.42857142857142838</v>
      </c>
      <c r="O11" s="379">
        <f t="shared" si="1"/>
        <v>-0.42857142857142883</v>
      </c>
      <c r="P11" s="379">
        <f t="shared" si="1"/>
        <v>-0.42739726027397262</v>
      </c>
      <c r="Z11" s="487"/>
      <c r="AA11" s="487"/>
      <c r="AB11" s="487"/>
      <c r="AC11" s="487"/>
      <c r="AD11" s="487"/>
      <c r="AE11" s="487"/>
      <c r="AF11" s="487"/>
      <c r="AG11" s="487"/>
    </row>
    <row r="12" spans="1:36">
      <c r="D12" s="380" t="s">
        <v>163</v>
      </c>
      <c r="E12" s="381"/>
      <c r="F12" s="381"/>
      <c r="G12" s="380"/>
      <c r="H12" s="382"/>
      <c r="I12" s="383">
        <f t="shared" ref="I12:P12" si="2">+I8+I9+I10+I11</f>
        <v>31.924900992708984</v>
      </c>
      <c r="J12" s="383">
        <f t="shared" si="2"/>
        <v>23.040821316263941</v>
      </c>
      <c r="K12" s="383">
        <f t="shared" si="2"/>
        <v>30.81486906380335</v>
      </c>
      <c r="L12" s="383">
        <f t="shared" si="2"/>
        <v>40.657465405412594</v>
      </c>
      <c r="M12" s="383">
        <f t="shared" si="2"/>
        <v>46.346448084156521</v>
      </c>
      <c r="N12" s="383">
        <f t="shared" si="2"/>
        <v>54.353865118557465</v>
      </c>
      <c r="O12" s="383">
        <f t="shared" si="2"/>
        <v>56.10953759786382</v>
      </c>
      <c r="P12" s="383">
        <f t="shared" si="2"/>
        <v>59.96302309813008</v>
      </c>
      <c r="Z12" s="488"/>
      <c r="AA12" s="488"/>
      <c r="AB12" s="488"/>
      <c r="AC12" s="488"/>
      <c r="AD12" s="488"/>
      <c r="AE12" s="488"/>
      <c r="AF12" s="488"/>
      <c r="AG12" s="488"/>
    </row>
    <row r="13" spans="1:36" ht="12">
      <c r="D13" s="384" t="s">
        <v>164</v>
      </c>
      <c r="E13" s="385"/>
      <c r="F13" s="385"/>
      <c r="I13" s="386">
        <f t="shared" ref="I13:P13" si="3">+I43+I47</f>
        <v>0</v>
      </c>
      <c r="J13" s="386">
        <f t="shared" si="3"/>
        <v>0</v>
      </c>
      <c r="K13" s="386">
        <f t="shared" si="3"/>
        <v>0</v>
      </c>
      <c r="L13" s="386">
        <f t="shared" si="3"/>
        <v>0</v>
      </c>
      <c r="M13" s="386">
        <f t="shared" si="3"/>
        <v>0</v>
      </c>
      <c r="N13" s="386">
        <f t="shared" si="3"/>
        <v>0</v>
      </c>
      <c r="O13" s="386">
        <f t="shared" si="3"/>
        <v>0</v>
      </c>
      <c r="P13" s="386">
        <f t="shared" si="3"/>
        <v>0</v>
      </c>
      <c r="U13" s="372"/>
      <c r="V13" s="372"/>
      <c r="W13" s="372"/>
      <c r="X13" s="372"/>
      <c r="Y13" s="372"/>
      <c r="Z13" s="372"/>
      <c r="AA13" s="372"/>
      <c r="AB13" s="372"/>
      <c r="AC13" s="372"/>
      <c r="AD13" s="372"/>
      <c r="AE13" s="372"/>
      <c r="AF13" s="372"/>
      <c r="AG13" s="372"/>
    </row>
    <row r="14" spans="1:36" ht="12">
      <c r="D14" s="384" t="s">
        <v>199</v>
      </c>
      <c r="E14" s="385"/>
      <c r="F14" s="385"/>
      <c r="I14" s="387"/>
      <c r="J14" s="387"/>
      <c r="K14" s="387"/>
      <c r="L14" s="387"/>
      <c r="M14" s="387"/>
      <c r="N14" s="387"/>
      <c r="O14" s="387"/>
      <c r="P14" s="387"/>
      <c r="U14" s="372"/>
      <c r="V14" s="372"/>
      <c r="W14" s="372"/>
      <c r="X14" s="372"/>
      <c r="Y14" s="372"/>
      <c r="Z14" s="372"/>
      <c r="AA14" s="372"/>
      <c r="AB14" s="372"/>
      <c r="AC14" s="372"/>
      <c r="AD14" s="372"/>
      <c r="AE14" s="372"/>
      <c r="AF14" s="372"/>
      <c r="AG14" s="372"/>
    </row>
    <row r="15" spans="1:36" ht="12">
      <c r="D15" s="384" t="s">
        <v>165</v>
      </c>
      <c r="E15" s="385"/>
      <c r="F15" s="385"/>
      <c r="I15" s="386">
        <f t="shared" ref="I15:N15" si="4">+I102</f>
        <v>0</v>
      </c>
      <c r="J15" s="386">
        <f t="shared" si="4"/>
        <v>0</v>
      </c>
      <c r="K15" s="386">
        <f t="shared" si="4"/>
        <v>0</v>
      </c>
      <c r="L15" s="386">
        <f t="shared" si="4"/>
        <v>0</v>
      </c>
      <c r="M15" s="386">
        <f t="shared" si="4"/>
        <v>0</v>
      </c>
      <c r="N15" s="386">
        <f t="shared" si="4"/>
        <v>0</v>
      </c>
      <c r="O15" s="386">
        <f>+O102</f>
        <v>0</v>
      </c>
      <c r="P15" s="386">
        <f>+P102</f>
        <v>0</v>
      </c>
      <c r="U15" s="372"/>
      <c r="V15" s="372"/>
      <c r="W15" s="372"/>
      <c r="X15" s="372"/>
      <c r="Y15" s="372"/>
      <c r="Z15" s="372"/>
      <c r="AA15" s="372"/>
      <c r="AB15" s="372"/>
      <c r="AC15" s="372"/>
      <c r="AD15" s="372"/>
      <c r="AE15" s="372"/>
      <c r="AF15" s="372"/>
      <c r="AG15" s="372"/>
    </row>
    <row r="16" spans="1:36" ht="12">
      <c r="D16" s="388" t="s">
        <v>166</v>
      </c>
      <c r="E16" s="389"/>
      <c r="F16" s="389"/>
      <c r="G16" s="390"/>
      <c r="H16" s="390"/>
      <c r="I16" s="391">
        <f t="shared" ref="I16:P16" si="5">+SUM(I12:I15)</f>
        <v>31.924900992708984</v>
      </c>
      <c r="J16" s="391">
        <f t="shared" si="5"/>
        <v>23.040821316263941</v>
      </c>
      <c r="K16" s="391">
        <f t="shared" si="5"/>
        <v>30.81486906380335</v>
      </c>
      <c r="L16" s="391">
        <f t="shared" si="5"/>
        <v>40.657465405412594</v>
      </c>
      <c r="M16" s="391">
        <f t="shared" si="5"/>
        <v>46.346448084156521</v>
      </c>
      <c r="N16" s="391">
        <f t="shared" si="5"/>
        <v>54.353865118557465</v>
      </c>
      <c r="O16" s="391">
        <f t="shared" si="5"/>
        <v>56.10953759786382</v>
      </c>
      <c r="P16" s="391">
        <f t="shared" si="5"/>
        <v>59.96302309813008</v>
      </c>
      <c r="U16" s="372"/>
      <c r="V16" s="372"/>
      <c r="W16" s="372"/>
      <c r="X16" s="372"/>
      <c r="Y16" s="372"/>
      <c r="Z16" s="372"/>
      <c r="AA16" s="372"/>
      <c r="AB16" s="372"/>
      <c r="AC16" s="372"/>
      <c r="AD16" s="372"/>
      <c r="AE16" s="372"/>
      <c r="AF16" s="372"/>
      <c r="AG16" s="372"/>
    </row>
    <row r="17" spans="4:33" ht="12">
      <c r="D17" s="392"/>
      <c r="E17" s="393"/>
      <c r="F17" s="393"/>
      <c r="I17" s="394"/>
      <c r="J17" s="394"/>
      <c r="K17" s="394"/>
      <c r="L17" s="394"/>
      <c r="M17" s="394"/>
      <c r="N17" s="394"/>
      <c r="O17" s="394"/>
      <c r="P17" s="394"/>
      <c r="U17" s="372"/>
      <c r="V17" s="372"/>
      <c r="W17" s="372"/>
      <c r="X17" s="372"/>
      <c r="Y17" s="372"/>
      <c r="Z17" s="372"/>
      <c r="AA17" s="372"/>
      <c r="AB17" s="372"/>
      <c r="AC17" s="372"/>
      <c r="AD17" s="372"/>
      <c r="AE17" s="372"/>
      <c r="AF17" s="372"/>
      <c r="AG17" s="372"/>
    </row>
    <row r="18" spans="4:33" ht="12">
      <c r="D18" s="395" t="s">
        <v>200</v>
      </c>
      <c r="E18" s="499">
        <v>1.4999999999999999E-2</v>
      </c>
      <c r="F18" s="396"/>
      <c r="I18" s="397">
        <f t="shared" ref="I18:P18" si="6">+-MAX(0,I16)*$E$18</f>
        <v>-0.47887351489063473</v>
      </c>
      <c r="J18" s="397">
        <f t="shared" si="6"/>
        <v>-0.34561231974395912</v>
      </c>
      <c r="K18" s="397">
        <f t="shared" si="6"/>
        <v>-0.46222303595705022</v>
      </c>
      <c r="L18" s="397">
        <f t="shared" si="6"/>
        <v>-0.60986198108118894</v>
      </c>
      <c r="M18" s="397">
        <f t="shared" si="6"/>
        <v>-0.69519672126234777</v>
      </c>
      <c r="N18" s="397">
        <f t="shared" si="6"/>
        <v>-0.81530797677836198</v>
      </c>
      <c r="O18" s="397">
        <f t="shared" si="6"/>
        <v>-0.84164306396795729</v>
      </c>
      <c r="P18" s="397">
        <f t="shared" si="6"/>
        <v>-0.89944534647195118</v>
      </c>
      <c r="U18" s="372"/>
      <c r="V18" s="372"/>
      <c r="W18" s="372"/>
      <c r="X18" s="372"/>
      <c r="Y18" s="372"/>
      <c r="Z18" s="372"/>
      <c r="AA18" s="372"/>
      <c r="AB18" s="372"/>
      <c r="AC18" s="372"/>
      <c r="AD18" s="372"/>
      <c r="AE18" s="372"/>
      <c r="AF18" s="372"/>
      <c r="AG18" s="372"/>
    </row>
    <row r="19" spans="4:33" ht="12">
      <c r="D19" s="395"/>
      <c r="E19" s="398"/>
      <c r="F19" s="396"/>
      <c r="I19" s="397"/>
      <c r="J19" s="397"/>
      <c r="K19" s="397"/>
      <c r="L19" s="397"/>
      <c r="M19" s="397"/>
      <c r="N19" s="397"/>
      <c r="O19" s="397"/>
      <c r="P19" s="397"/>
      <c r="U19" s="372"/>
      <c r="V19" s="372"/>
      <c r="W19" s="372"/>
      <c r="X19" s="372"/>
      <c r="Y19" s="372"/>
      <c r="Z19" s="372"/>
      <c r="AA19" s="372"/>
      <c r="AB19" s="372"/>
      <c r="AC19" s="372"/>
      <c r="AD19" s="372"/>
      <c r="AE19" s="372"/>
      <c r="AF19" s="372"/>
      <c r="AG19" s="372"/>
    </row>
    <row r="20" spans="4:33" ht="12">
      <c r="D20" s="395" t="s">
        <v>201</v>
      </c>
      <c r="E20" s="396" t="s">
        <v>202</v>
      </c>
      <c r="F20" s="396"/>
      <c r="I20" s="399"/>
      <c r="J20" s="399"/>
      <c r="K20" s="399"/>
      <c r="L20" s="399"/>
      <c r="M20" s="399"/>
      <c r="N20" s="399"/>
      <c r="O20" s="399"/>
      <c r="P20" s="399"/>
      <c r="U20" s="372"/>
      <c r="V20" s="372"/>
      <c r="W20" s="372"/>
      <c r="X20" s="372"/>
      <c r="Y20" s="372"/>
      <c r="Z20" s="372"/>
      <c r="AA20" s="372"/>
      <c r="AB20" s="372"/>
      <c r="AC20" s="372"/>
      <c r="AD20" s="372"/>
      <c r="AE20" s="372"/>
      <c r="AF20" s="372"/>
      <c r="AG20" s="372"/>
    </row>
    <row r="21" spans="4:33" ht="12">
      <c r="D21" s="395" t="s">
        <v>203</v>
      </c>
      <c r="E21" s="499">
        <v>0.03</v>
      </c>
      <c r="F21" s="500">
        <v>1.5</v>
      </c>
      <c r="I21" s="397">
        <f>+IF(I$16&gt;$F21,MIN($F22,I$16)-$F21,0)</f>
        <v>6</v>
      </c>
      <c r="J21" s="397">
        <f t="shared" ref="J21:P22" si="7">+IF(J$16&gt;$F21,MIN($F22,J$16)-$F21,0)</f>
        <v>6</v>
      </c>
      <c r="K21" s="397">
        <f t="shared" si="7"/>
        <v>6</v>
      </c>
      <c r="L21" s="397">
        <f t="shared" si="7"/>
        <v>6</v>
      </c>
      <c r="M21" s="397">
        <f t="shared" si="7"/>
        <v>6</v>
      </c>
      <c r="N21" s="397">
        <f t="shared" si="7"/>
        <v>6</v>
      </c>
      <c r="O21" s="397">
        <f t="shared" si="7"/>
        <v>6</v>
      </c>
      <c r="P21" s="397">
        <f t="shared" si="7"/>
        <v>6</v>
      </c>
      <c r="U21" s="372"/>
      <c r="V21" s="372"/>
      <c r="W21" s="372"/>
      <c r="X21" s="372"/>
      <c r="Y21" s="372"/>
      <c r="Z21" s="372"/>
      <c r="AA21" s="372"/>
      <c r="AB21" s="372"/>
      <c r="AC21" s="372"/>
      <c r="AD21" s="372"/>
      <c r="AE21" s="372"/>
      <c r="AF21" s="372"/>
      <c r="AG21" s="372"/>
    </row>
    <row r="22" spans="4:33" ht="12">
      <c r="D22" s="395" t="s">
        <v>204</v>
      </c>
      <c r="E22" s="499">
        <v>0.05</v>
      </c>
      <c r="F22" s="500">
        <v>7.5</v>
      </c>
      <c r="I22" s="397">
        <f>+IF(I$16&gt;$F22,MIN($F23,I$16)-$F22,0)</f>
        <v>24.424900992708984</v>
      </c>
      <c r="J22" s="397">
        <f t="shared" si="7"/>
        <v>15.540821316263941</v>
      </c>
      <c r="K22" s="397">
        <f t="shared" si="7"/>
        <v>23.31486906380335</v>
      </c>
      <c r="L22" s="397">
        <f t="shared" si="7"/>
        <v>27.5</v>
      </c>
      <c r="M22" s="397">
        <f t="shared" si="7"/>
        <v>27.5</v>
      </c>
      <c r="N22" s="397">
        <f t="shared" si="7"/>
        <v>27.5</v>
      </c>
      <c r="O22" s="397">
        <f t="shared" si="7"/>
        <v>27.5</v>
      </c>
      <c r="P22" s="397">
        <f t="shared" si="7"/>
        <v>27.5</v>
      </c>
      <c r="U22" s="372"/>
      <c r="V22" s="372"/>
      <c r="W22" s="372"/>
      <c r="X22" s="372"/>
      <c r="Y22" s="372"/>
      <c r="Z22" s="372"/>
      <c r="AA22" s="372"/>
      <c r="AB22" s="372"/>
      <c r="AC22" s="372"/>
      <c r="AD22" s="372"/>
      <c r="AE22" s="372"/>
      <c r="AF22" s="372"/>
      <c r="AG22" s="372"/>
    </row>
    <row r="23" spans="4:33" ht="12">
      <c r="D23" s="395" t="s">
        <v>205</v>
      </c>
      <c r="E23" s="499">
        <v>0.09</v>
      </c>
      <c r="F23" s="500">
        <v>35</v>
      </c>
      <c r="I23" s="400">
        <f>+IF(I$16&gt;$F23,I$16-$F23,0)</f>
        <v>0</v>
      </c>
      <c r="J23" s="400">
        <f t="shared" ref="J23:P23" si="8">+IF(J$16&gt;$F23,J$16-$F23,0)</f>
        <v>0</v>
      </c>
      <c r="K23" s="400">
        <f t="shared" si="8"/>
        <v>0</v>
      </c>
      <c r="L23" s="400">
        <f t="shared" si="8"/>
        <v>5.6574654054125944</v>
      </c>
      <c r="M23" s="400">
        <f t="shared" si="8"/>
        <v>11.346448084156521</v>
      </c>
      <c r="N23" s="400">
        <f t="shared" si="8"/>
        <v>19.353865118557465</v>
      </c>
      <c r="O23" s="400">
        <f t="shared" si="8"/>
        <v>21.10953759786382</v>
      </c>
      <c r="P23" s="400">
        <f t="shared" si="8"/>
        <v>24.96302309813008</v>
      </c>
      <c r="U23" s="372"/>
      <c r="V23" s="372"/>
      <c r="W23" s="372"/>
      <c r="X23" s="372"/>
      <c r="Y23" s="372"/>
      <c r="Z23" s="372"/>
      <c r="AA23" s="372"/>
      <c r="AB23" s="372"/>
      <c r="AC23" s="372"/>
      <c r="AD23" s="372"/>
      <c r="AE23" s="372"/>
      <c r="AF23" s="372"/>
      <c r="AG23" s="372"/>
    </row>
    <row r="24" spans="4:33" ht="12">
      <c r="D24" s="401" t="s">
        <v>206</v>
      </c>
      <c r="E24" s="402"/>
      <c r="F24" s="402"/>
      <c r="G24" s="390"/>
      <c r="H24" s="390"/>
      <c r="I24" s="403">
        <f t="shared" ref="I24:P24" si="9">-+SUMPRODUCT($E$21:$E$23,I21:I23)</f>
        <v>-1.4012450496354492</v>
      </c>
      <c r="J24" s="403">
        <f t="shared" si="9"/>
        <v>-0.95704106581319714</v>
      </c>
      <c r="K24" s="403">
        <f t="shared" si="9"/>
        <v>-1.3457434531901675</v>
      </c>
      <c r="L24" s="403">
        <f t="shared" si="9"/>
        <v>-2.0641718864871335</v>
      </c>
      <c r="M24" s="403">
        <f t="shared" si="9"/>
        <v>-2.5761803275740869</v>
      </c>
      <c r="N24" s="403">
        <f t="shared" si="9"/>
        <v>-3.2968478606701717</v>
      </c>
      <c r="O24" s="403">
        <f t="shared" si="9"/>
        <v>-3.4548583838077436</v>
      </c>
      <c r="P24" s="403">
        <f t="shared" si="9"/>
        <v>-3.8016720788317073</v>
      </c>
      <c r="U24" s="372"/>
      <c r="V24" s="372"/>
      <c r="W24" s="372"/>
      <c r="X24" s="372"/>
      <c r="Y24" s="372"/>
      <c r="Z24" s="372"/>
      <c r="AA24" s="372"/>
      <c r="AB24" s="372"/>
      <c r="AC24" s="372"/>
      <c r="AD24" s="372"/>
      <c r="AE24" s="372"/>
      <c r="AF24" s="372"/>
      <c r="AG24" s="372"/>
    </row>
    <row r="25" spans="4:33" ht="12">
      <c r="D25" s="395"/>
      <c r="E25" s="396"/>
      <c r="F25" s="396"/>
      <c r="I25" s="399"/>
      <c r="J25" s="399"/>
      <c r="K25" s="397"/>
      <c r="L25" s="397"/>
      <c r="M25" s="397"/>
      <c r="N25" s="397"/>
      <c r="O25" s="397"/>
      <c r="P25" s="397"/>
      <c r="U25" s="372"/>
      <c r="V25" s="372"/>
      <c r="W25" s="372"/>
      <c r="X25" s="372"/>
      <c r="Y25" s="372"/>
      <c r="Z25" s="372"/>
      <c r="AA25" s="372"/>
      <c r="AB25" s="372"/>
      <c r="AC25" s="372"/>
      <c r="AD25" s="372"/>
      <c r="AE25" s="372"/>
      <c r="AF25" s="372"/>
      <c r="AG25" s="372"/>
    </row>
    <row r="26" spans="4:33" ht="12">
      <c r="D26" s="395" t="s">
        <v>207</v>
      </c>
      <c r="E26" s="396"/>
      <c r="F26" s="396"/>
      <c r="I26" s="397">
        <f t="shared" ref="I26:P26" si="10">+I18+I24</f>
        <v>-1.8801185645260838</v>
      </c>
      <c r="J26" s="397">
        <f t="shared" si="10"/>
        <v>-1.3026533855571563</v>
      </c>
      <c r="K26" s="397">
        <f t="shared" si="10"/>
        <v>-1.8079664891472178</v>
      </c>
      <c r="L26" s="397">
        <f t="shared" si="10"/>
        <v>-2.6740338675683226</v>
      </c>
      <c r="M26" s="397">
        <f t="shared" si="10"/>
        <v>-3.2713770488364347</v>
      </c>
      <c r="N26" s="397">
        <f t="shared" si="10"/>
        <v>-4.1121558374485332</v>
      </c>
      <c r="O26" s="397">
        <f t="shared" si="10"/>
        <v>-4.2965014477757011</v>
      </c>
      <c r="P26" s="397">
        <f t="shared" si="10"/>
        <v>-4.7011174253036589</v>
      </c>
      <c r="U26" s="372"/>
      <c r="V26" s="372"/>
      <c r="W26" s="372"/>
      <c r="X26" s="372"/>
      <c r="Y26" s="372"/>
      <c r="Z26" s="372"/>
      <c r="AA26" s="372"/>
      <c r="AB26" s="372"/>
      <c r="AC26" s="372"/>
      <c r="AD26" s="372"/>
      <c r="AE26" s="372"/>
      <c r="AF26" s="372"/>
      <c r="AG26" s="372"/>
    </row>
    <row r="27" spans="4:33" ht="12">
      <c r="D27" s="395"/>
      <c r="E27" s="396"/>
      <c r="F27" s="396"/>
      <c r="I27" s="399"/>
      <c r="J27" s="399"/>
      <c r="K27" s="399"/>
      <c r="L27" s="399"/>
      <c r="M27" s="399"/>
      <c r="N27" s="399"/>
      <c r="O27" s="399"/>
      <c r="P27" s="399"/>
      <c r="U27" s="372"/>
      <c r="V27" s="372"/>
      <c r="W27" s="372"/>
      <c r="X27" s="372"/>
      <c r="Y27" s="372"/>
      <c r="Z27" s="372"/>
      <c r="AA27" s="372"/>
      <c r="AB27" s="372"/>
      <c r="AC27" s="372"/>
      <c r="AD27" s="372"/>
      <c r="AE27" s="372"/>
      <c r="AF27" s="372"/>
      <c r="AG27" s="372"/>
    </row>
    <row r="28" spans="4:33" ht="12">
      <c r="D28" s="395" t="s">
        <v>218</v>
      </c>
      <c r="E28" s="501">
        <v>0.2</v>
      </c>
      <c r="F28" s="396"/>
      <c r="I28" s="397">
        <f t="shared" ref="I28:P28" si="11">+MAX(0,I16)*-$E$28</f>
        <v>-6.3849801985417969</v>
      </c>
      <c r="J28" s="397">
        <f t="shared" si="11"/>
        <v>-4.6081642632527879</v>
      </c>
      <c r="K28" s="397">
        <f t="shared" si="11"/>
        <v>-6.1629738127606704</v>
      </c>
      <c r="L28" s="397">
        <f t="shared" si="11"/>
        <v>-8.1314930810825192</v>
      </c>
      <c r="M28" s="397">
        <f t="shared" si="11"/>
        <v>-9.2692896168313048</v>
      </c>
      <c r="N28" s="397">
        <f t="shared" si="11"/>
        <v>-10.870773023711493</v>
      </c>
      <c r="O28" s="397">
        <f t="shared" si="11"/>
        <v>-11.221907519572765</v>
      </c>
      <c r="P28" s="397">
        <f t="shared" si="11"/>
        <v>-11.992604619626016</v>
      </c>
      <c r="U28" s="372"/>
      <c r="V28" s="372"/>
      <c r="W28" s="372"/>
      <c r="X28" s="372"/>
      <c r="Y28" s="372"/>
      <c r="Z28" s="372"/>
      <c r="AA28" s="372"/>
      <c r="AB28" s="372"/>
      <c r="AC28" s="372"/>
      <c r="AD28" s="372"/>
      <c r="AE28" s="372"/>
      <c r="AF28" s="372"/>
      <c r="AG28" s="372"/>
    </row>
    <row r="29" spans="4:33" ht="12">
      <c r="D29" s="395"/>
      <c r="E29" s="404"/>
      <c r="F29" s="396"/>
      <c r="I29" s="397"/>
      <c r="J29" s="397"/>
      <c r="K29" s="397"/>
      <c r="L29" s="397"/>
      <c r="M29" s="397"/>
      <c r="N29" s="397"/>
      <c r="O29" s="397"/>
      <c r="P29" s="397"/>
      <c r="U29" s="372"/>
      <c r="V29" s="372"/>
      <c r="W29" s="372"/>
      <c r="X29" s="372"/>
      <c r="Y29" s="372"/>
      <c r="Z29" s="372"/>
      <c r="AA29" s="372"/>
      <c r="AB29" s="372"/>
      <c r="AC29" s="372"/>
      <c r="AD29" s="372"/>
      <c r="AE29" s="372"/>
      <c r="AF29" s="372"/>
      <c r="AG29" s="372"/>
    </row>
    <row r="30" spans="4:33" ht="12">
      <c r="D30" s="388" t="s">
        <v>167</v>
      </c>
      <c r="E30" s="389"/>
      <c r="F30" s="389"/>
      <c r="G30" s="390"/>
      <c r="H30" s="390"/>
      <c r="I30" s="405">
        <f t="shared" ref="I30:N30" si="12">+I28+I26</f>
        <v>-8.2650987630678809</v>
      </c>
      <c r="J30" s="405">
        <f t="shared" si="12"/>
        <v>-5.9108176488099442</v>
      </c>
      <c r="K30" s="405">
        <f t="shared" si="12"/>
        <v>-7.9709403019078877</v>
      </c>
      <c r="L30" s="405">
        <f t="shared" si="12"/>
        <v>-10.805526948650842</v>
      </c>
      <c r="M30" s="405">
        <f t="shared" si="12"/>
        <v>-12.540666665667739</v>
      </c>
      <c r="N30" s="405">
        <f t="shared" si="12"/>
        <v>-14.982928861160026</v>
      </c>
      <c r="O30" s="405">
        <f>+O28+O26</f>
        <v>-15.518408967348467</v>
      </c>
      <c r="P30" s="405">
        <f>+P28+P26</f>
        <v>-16.693722044929675</v>
      </c>
      <c r="U30" s="372"/>
      <c r="V30" s="372"/>
      <c r="W30" s="372"/>
      <c r="X30" s="372"/>
      <c r="Y30" s="372"/>
      <c r="Z30" s="372"/>
      <c r="AA30" s="372"/>
      <c r="AB30" s="372"/>
      <c r="AC30" s="372"/>
      <c r="AD30" s="372"/>
      <c r="AE30" s="372"/>
      <c r="AF30" s="372"/>
      <c r="AG30" s="372"/>
    </row>
    <row r="31" spans="4:33" ht="12">
      <c r="I31" s="406">
        <f t="shared" ref="I31:P31" si="13">-I30/I12</f>
        <v>0.25889191527815436</v>
      </c>
      <c r="J31" s="406">
        <f t="shared" si="13"/>
        <v>0.25653676002589565</v>
      </c>
      <c r="K31" s="406">
        <f t="shared" si="13"/>
        <v>0.25867188614054321</v>
      </c>
      <c r="L31" s="406">
        <f t="shared" si="13"/>
        <v>0.26576981228181373</v>
      </c>
      <c r="M31" s="406">
        <f t="shared" si="13"/>
        <v>0.27058528072952265</v>
      </c>
      <c r="N31" s="406">
        <f t="shared" si="13"/>
        <v>0.27565526073406255</v>
      </c>
      <c r="O31" s="406">
        <f t="shared" si="13"/>
        <v>0.27657346026567997</v>
      </c>
      <c r="P31" s="406">
        <f t="shared" si="13"/>
        <v>0.27840027374220666</v>
      </c>
      <c r="U31" s="372"/>
      <c r="V31" s="372"/>
      <c r="W31" s="372"/>
      <c r="X31" s="372"/>
      <c r="Y31" s="372"/>
      <c r="Z31" s="372"/>
      <c r="AA31" s="372"/>
      <c r="AB31" s="372"/>
      <c r="AC31" s="372"/>
      <c r="AD31" s="372"/>
      <c r="AE31" s="372"/>
      <c r="AF31" s="372"/>
      <c r="AG31" s="372"/>
    </row>
    <row r="32" spans="4:33">
      <c r="U32" s="482"/>
      <c r="V32" s="482"/>
      <c r="W32" s="482"/>
      <c r="X32" s="713"/>
      <c r="Y32" s="713"/>
      <c r="Z32" s="489"/>
      <c r="AA32" s="489"/>
      <c r="AB32" s="489"/>
      <c r="AC32" s="489"/>
      <c r="AD32" s="489"/>
      <c r="AE32" s="489"/>
      <c r="AF32" s="489"/>
      <c r="AG32" s="489"/>
    </row>
    <row r="33" spans="2:33" ht="12">
      <c r="B33" s="504" t="s">
        <v>8</v>
      </c>
      <c r="C33" s="363"/>
      <c r="D33" s="505" t="s">
        <v>168</v>
      </c>
      <c r="E33" s="506"/>
      <c r="F33" s="506"/>
      <c r="G33" s="507"/>
      <c r="H33" s="507"/>
      <c r="I33" s="507"/>
      <c r="J33" s="507"/>
      <c r="K33" s="507"/>
      <c r="L33" s="507"/>
      <c r="M33" s="507"/>
      <c r="N33" s="507"/>
      <c r="O33" s="507"/>
      <c r="P33" s="507"/>
      <c r="Q33" s="490"/>
      <c r="U33" s="482"/>
      <c r="V33" s="481"/>
      <c r="W33" s="481"/>
      <c r="X33" s="491"/>
      <c r="Y33" s="491"/>
      <c r="Z33" s="489"/>
      <c r="AA33" s="489"/>
      <c r="AB33" s="489"/>
      <c r="AC33" s="489"/>
      <c r="AD33" s="489"/>
      <c r="AE33" s="489"/>
      <c r="AF33" s="489"/>
      <c r="AG33" s="489"/>
    </row>
    <row r="34" spans="2:33" ht="12" outlineLevel="1">
      <c r="D34" s="407"/>
      <c r="E34" s="408"/>
      <c r="F34" s="408"/>
      <c r="G34" s="407"/>
      <c r="H34" s="409"/>
      <c r="I34" s="409"/>
      <c r="J34" s="409"/>
      <c r="K34" s="409"/>
      <c r="L34" s="409"/>
      <c r="M34" s="409"/>
      <c r="N34" s="409"/>
      <c r="O34" s="409"/>
      <c r="P34" s="409"/>
      <c r="Q34" s="490"/>
      <c r="U34" s="492"/>
      <c r="V34" s="493"/>
      <c r="W34" s="493"/>
      <c r="X34" s="493"/>
      <c r="Y34" s="493"/>
      <c r="Z34" s="493"/>
      <c r="AA34" s="493"/>
      <c r="AB34" s="493"/>
      <c r="AC34" s="493"/>
      <c r="AD34" s="493"/>
      <c r="AE34" s="493"/>
      <c r="AF34" s="493"/>
      <c r="AG34" s="493"/>
    </row>
    <row r="35" spans="2:33" outlineLevel="1">
      <c r="D35" s="362" t="s">
        <v>29</v>
      </c>
      <c r="H35" s="410"/>
      <c r="I35" s="410">
        <f t="shared" ref="I35:N35" si="14">+I8</f>
        <v>45.111660831986867</v>
      </c>
      <c r="J35" s="410">
        <f t="shared" si="14"/>
        <v>52.243319264117702</v>
      </c>
      <c r="K35" s="410">
        <f t="shared" si="14"/>
        <v>61.7132853779801</v>
      </c>
      <c r="L35" s="410">
        <f t="shared" si="14"/>
        <v>73.285082498468938</v>
      </c>
      <c r="M35" s="410">
        <f t="shared" si="14"/>
        <v>79.587751834913689</v>
      </c>
      <c r="N35" s="410">
        <f t="shared" si="14"/>
        <v>87.783623965317773</v>
      </c>
      <c r="O35" s="410">
        <f>+O8</f>
        <v>89.539296444624128</v>
      </c>
      <c r="P35" s="410">
        <f>+P8</f>
        <v>91.330082373516603</v>
      </c>
      <c r="U35" s="482"/>
      <c r="Z35" s="494"/>
      <c r="AA35" s="495"/>
      <c r="AB35" s="495"/>
      <c r="AC35" s="495"/>
      <c r="AD35" s="495"/>
      <c r="AE35" s="495"/>
      <c r="AF35" s="495"/>
      <c r="AG35" s="495"/>
    </row>
    <row r="36" spans="2:33" outlineLevel="1">
      <c r="H36" s="411"/>
      <c r="I36" s="411"/>
      <c r="J36" s="411"/>
      <c r="K36" s="411"/>
      <c r="L36" s="411"/>
      <c r="M36" s="411"/>
      <c r="N36" s="411"/>
      <c r="O36" s="411"/>
      <c r="P36" s="411"/>
    </row>
    <row r="37" spans="2:33" outlineLevel="1">
      <c r="D37" s="362" t="s">
        <v>169</v>
      </c>
      <c r="G37" s="502">
        <v>1</v>
      </c>
      <c r="I37" s="412">
        <f>G37</f>
        <v>1</v>
      </c>
      <c r="J37" s="412">
        <f t="shared" ref="J37:N38" si="15">I37</f>
        <v>1</v>
      </c>
      <c r="K37" s="412">
        <f t="shared" si="15"/>
        <v>1</v>
      </c>
      <c r="L37" s="412">
        <f t="shared" si="15"/>
        <v>1</v>
      </c>
      <c r="M37" s="412">
        <f t="shared" si="15"/>
        <v>1</v>
      </c>
      <c r="N37" s="412">
        <f t="shared" si="15"/>
        <v>1</v>
      </c>
      <c r="O37" s="412">
        <f>N37</f>
        <v>1</v>
      </c>
      <c r="P37" s="412">
        <f>O37</f>
        <v>1</v>
      </c>
      <c r="U37" s="482"/>
      <c r="W37" s="496"/>
      <c r="X37" s="496"/>
    </row>
    <row r="38" spans="2:33" outlineLevel="1">
      <c r="D38" s="362" t="s">
        <v>170</v>
      </c>
      <c r="G38" s="503">
        <v>0.3</v>
      </c>
      <c r="I38" s="414">
        <f>G38</f>
        <v>0.3</v>
      </c>
      <c r="J38" s="414">
        <f t="shared" si="15"/>
        <v>0.3</v>
      </c>
      <c r="K38" s="414">
        <f t="shared" si="15"/>
        <v>0.3</v>
      </c>
      <c r="L38" s="414">
        <f t="shared" si="15"/>
        <v>0.3</v>
      </c>
      <c r="M38" s="414">
        <f t="shared" si="15"/>
        <v>0.3</v>
      </c>
      <c r="N38" s="414">
        <f t="shared" si="15"/>
        <v>0.3</v>
      </c>
      <c r="O38" s="414">
        <f>N38</f>
        <v>0.3</v>
      </c>
      <c r="P38" s="414">
        <f>O38</f>
        <v>0.3</v>
      </c>
    </row>
    <row r="39" spans="2:33" outlineLevel="1">
      <c r="D39" s="362" t="s">
        <v>208</v>
      </c>
      <c r="H39" s="415"/>
      <c r="I39" s="415">
        <f t="shared" ref="I39:N39" si="16">IF(I35&lt;0,0,+I38*I35)</f>
        <v>13.533498249596059</v>
      </c>
      <c r="J39" s="415">
        <f t="shared" si="16"/>
        <v>15.672995779235309</v>
      </c>
      <c r="K39" s="415">
        <f t="shared" si="16"/>
        <v>18.513985613394031</v>
      </c>
      <c r="L39" s="415">
        <f t="shared" si="16"/>
        <v>21.98552474954068</v>
      </c>
      <c r="M39" s="415">
        <f t="shared" si="16"/>
        <v>23.876325550474107</v>
      </c>
      <c r="N39" s="415">
        <f t="shared" si="16"/>
        <v>26.335087189595331</v>
      </c>
      <c r="O39" s="415">
        <f>IF(O35&lt;0,0,+O38*O35)</f>
        <v>26.861788933387238</v>
      </c>
      <c r="P39" s="415">
        <f>IF(P35&lt;0,0,+P38*P35)</f>
        <v>27.399024712054981</v>
      </c>
    </row>
    <row r="40" spans="2:33" outlineLevel="1">
      <c r="H40" s="416"/>
      <c r="I40" s="416"/>
      <c r="J40" s="416"/>
      <c r="K40" s="416"/>
      <c r="L40" s="416"/>
      <c r="M40" s="416"/>
      <c r="N40" s="416"/>
      <c r="O40" s="416"/>
      <c r="P40" s="416"/>
    </row>
    <row r="41" spans="2:33" outlineLevel="1">
      <c r="D41" s="362" t="s">
        <v>171</v>
      </c>
      <c r="H41" s="412"/>
      <c r="I41" s="412">
        <f t="shared" ref="I41:N41" si="17">I10</f>
        <v>0</v>
      </c>
      <c r="J41" s="412">
        <f t="shared" si="17"/>
        <v>-15.007026644924318</v>
      </c>
      <c r="K41" s="412">
        <f t="shared" si="17"/>
        <v>-15.692571569264512</v>
      </c>
      <c r="L41" s="412">
        <f t="shared" si="17"/>
        <v>-16.448563930470456</v>
      </c>
      <c r="M41" s="412">
        <f t="shared" si="17"/>
        <v>-16.692203224610726</v>
      </c>
      <c r="N41" s="412">
        <f t="shared" si="17"/>
        <v>-16.692203224610726</v>
      </c>
      <c r="O41" s="412">
        <f>O10</f>
        <v>-16.692203224610726</v>
      </c>
      <c r="P41" s="412">
        <f>P10</f>
        <v>-14.630677821534386</v>
      </c>
    </row>
    <row r="42" spans="2:33" ht="12" outlineLevel="1">
      <c r="B42" s="417"/>
      <c r="C42" s="363"/>
      <c r="D42" s="362" t="s">
        <v>170</v>
      </c>
      <c r="H42" s="418"/>
      <c r="I42" s="418">
        <f t="shared" ref="I42:N42" si="18">MAX(+I39,I37)</f>
        <v>13.533498249596059</v>
      </c>
      <c r="J42" s="418">
        <f t="shared" si="18"/>
        <v>15.672995779235309</v>
      </c>
      <c r="K42" s="418">
        <f t="shared" si="18"/>
        <v>18.513985613394031</v>
      </c>
      <c r="L42" s="418">
        <f t="shared" si="18"/>
        <v>21.98552474954068</v>
      </c>
      <c r="M42" s="418">
        <f t="shared" si="18"/>
        <v>23.876325550474107</v>
      </c>
      <c r="N42" s="418">
        <f t="shared" si="18"/>
        <v>26.335087189595331</v>
      </c>
      <c r="O42" s="418">
        <f>MAX(+O39,O37)</f>
        <v>26.861788933387238</v>
      </c>
      <c r="P42" s="418">
        <f>MAX(+P39,P37)</f>
        <v>27.399024712054981</v>
      </c>
    </row>
    <row r="43" spans="2:33" ht="12" outlineLevel="1">
      <c r="D43" s="419" t="s">
        <v>172</v>
      </c>
      <c r="E43" s="420"/>
      <c r="F43" s="420"/>
      <c r="G43" s="419"/>
      <c r="H43" s="421"/>
      <c r="I43" s="421">
        <f t="shared" ref="I43:P43" si="19">IF(-I41-I42&lt;0,0,-I41-I42)</f>
        <v>0</v>
      </c>
      <c r="J43" s="421">
        <f t="shared" si="19"/>
        <v>0</v>
      </c>
      <c r="K43" s="421">
        <f t="shared" si="19"/>
        <v>0</v>
      </c>
      <c r="L43" s="421">
        <f t="shared" si="19"/>
        <v>0</v>
      </c>
      <c r="M43" s="421">
        <f t="shared" si="19"/>
        <v>0</v>
      </c>
      <c r="N43" s="421">
        <f t="shared" si="19"/>
        <v>0</v>
      </c>
      <c r="O43" s="421">
        <f t="shared" si="19"/>
        <v>0</v>
      </c>
      <c r="P43" s="421">
        <f t="shared" si="19"/>
        <v>0</v>
      </c>
    </row>
    <row r="44" spans="2:33" ht="12" outlineLevel="1">
      <c r="D44" s="422" t="s">
        <v>173</v>
      </c>
      <c r="E44" s="423"/>
      <c r="F44" s="423"/>
      <c r="G44" s="422"/>
      <c r="H44" s="424"/>
      <c r="I44" s="424">
        <f t="shared" ref="I44:P44" si="20">-+IF(-I41-I42&gt;0,0,-I41-I42)</f>
        <v>13.533498249596059</v>
      </c>
      <c r="J44" s="424">
        <f t="shared" si="20"/>
        <v>0.66596913431099125</v>
      </c>
      <c r="K44" s="424">
        <f t="shared" si="20"/>
        <v>2.8214140441295186</v>
      </c>
      <c r="L44" s="424">
        <f t="shared" si="20"/>
        <v>5.5369608190702237</v>
      </c>
      <c r="M44" s="424">
        <f t="shared" si="20"/>
        <v>7.1841223258633811</v>
      </c>
      <c r="N44" s="424">
        <f t="shared" si="20"/>
        <v>9.6428839649846054</v>
      </c>
      <c r="O44" s="424">
        <f t="shared" si="20"/>
        <v>10.169585708776513</v>
      </c>
      <c r="P44" s="424">
        <f t="shared" si="20"/>
        <v>12.768346890520595</v>
      </c>
    </row>
    <row r="45" spans="2:33" outlineLevel="1">
      <c r="H45" s="425"/>
      <c r="I45" s="425"/>
      <c r="J45" s="425"/>
      <c r="K45" s="425"/>
      <c r="L45" s="425"/>
      <c r="M45" s="425"/>
      <c r="N45" s="425"/>
      <c r="O45" s="425"/>
      <c r="P45" s="425"/>
    </row>
    <row r="46" spans="2:33" outlineLevel="1">
      <c r="D46" s="362" t="s">
        <v>174</v>
      </c>
      <c r="E46" s="426"/>
      <c r="F46" s="426"/>
      <c r="G46" s="427"/>
      <c r="H46" s="415"/>
      <c r="I46" s="415">
        <f t="shared" ref="I46:N46" si="21">+H46+I43+I47</f>
        <v>0</v>
      </c>
      <c r="J46" s="415">
        <f t="shared" si="21"/>
        <v>0</v>
      </c>
      <c r="K46" s="415">
        <f t="shared" si="21"/>
        <v>0</v>
      </c>
      <c r="L46" s="415">
        <f t="shared" si="21"/>
        <v>0</v>
      </c>
      <c r="M46" s="415">
        <f t="shared" si="21"/>
        <v>0</v>
      </c>
      <c r="N46" s="415">
        <f t="shared" si="21"/>
        <v>0</v>
      </c>
      <c r="O46" s="415">
        <f>+N46+O43+O47</f>
        <v>0</v>
      </c>
      <c r="P46" s="415">
        <f>+O46+P43+P47</f>
        <v>0</v>
      </c>
    </row>
    <row r="47" spans="2:33" ht="12" outlineLevel="1">
      <c r="B47" s="417"/>
      <c r="C47" s="363"/>
      <c r="D47" s="362" t="s">
        <v>175</v>
      </c>
      <c r="H47" s="415"/>
      <c r="I47" s="415">
        <f t="shared" ref="I47:P47" si="22">I58+I65+I72+I79+I86+I93</f>
        <v>0</v>
      </c>
      <c r="J47" s="415">
        <f t="shared" si="22"/>
        <v>0</v>
      </c>
      <c r="K47" s="415">
        <f t="shared" si="22"/>
        <v>0</v>
      </c>
      <c r="L47" s="415">
        <f t="shared" si="22"/>
        <v>0</v>
      </c>
      <c r="M47" s="415">
        <f t="shared" si="22"/>
        <v>0</v>
      </c>
      <c r="N47" s="415">
        <f t="shared" si="22"/>
        <v>0</v>
      </c>
      <c r="O47" s="415">
        <f t="shared" si="22"/>
        <v>0</v>
      </c>
      <c r="P47" s="415">
        <f t="shared" si="22"/>
        <v>0</v>
      </c>
    </row>
    <row r="48" spans="2:33" outlineLevel="1">
      <c r="H48" s="425"/>
      <c r="I48" s="425"/>
      <c r="J48" s="425"/>
      <c r="K48" s="425"/>
      <c r="L48" s="425"/>
      <c r="M48" s="425"/>
      <c r="N48" s="425"/>
      <c r="O48" s="425"/>
      <c r="P48" s="425"/>
    </row>
    <row r="49" spans="1:36" outlineLevel="1">
      <c r="D49" s="362" t="s">
        <v>176</v>
      </c>
      <c r="E49" s="426"/>
      <c r="F49" s="426"/>
      <c r="G49" s="427"/>
      <c r="H49" s="428"/>
      <c r="I49" s="428">
        <f t="shared" ref="I49:N49" si="23">+I44</f>
        <v>13.533498249596059</v>
      </c>
      <c r="J49" s="428">
        <f t="shared" si="23"/>
        <v>0.66596913431099125</v>
      </c>
      <c r="K49" s="428">
        <f t="shared" si="23"/>
        <v>2.8214140441295186</v>
      </c>
      <c r="L49" s="428">
        <f t="shared" si="23"/>
        <v>5.5369608190702237</v>
      </c>
      <c r="M49" s="428">
        <f t="shared" si="23"/>
        <v>7.1841223258633811</v>
      </c>
      <c r="N49" s="428">
        <f t="shared" si="23"/>
        <v>9.6428839649846054</v>
      </c>
      <c r="O49" s="428">
        <f>+O44</f>
        <v>10.169585708776513</v>
      </c>
      <c r="P49" s="428">
        <f>+P44</f>
        <v>12.768346890520595</v>
      </c>
    </row>
    <row r="50" spans="1:36" outlineLevel="1">
      <c r="D50" s="362" t="s">
        <v>177</v>
      </c>
      <c r="H50" s="415"/>
      <c r="I50" s="415">
        <f t="shared" ref="I50:P50" si="24">I60+I67+I74+I81+I88+I95</f>
        <v>13.533498249596059</v>
      </c>
      <c r="J50" s="415">
        <f t="shared" si="24"/>
        <v>14.19946738390705</v>
      </c>
      <c r="K50" s="415">
        <f t="shared" si="24"/>
        <v>17.020881428036567</v>
      </c>
      <c r="L50" s="415">
        <f t="shared" si="24"/>
        <v>22.557842247106791</v>
      </c>
      <c r="M50" s="415">
        <f t="shared" si="24"/>
        <v>29.741964572970172</v>
      </c>
      <c r="N50" s="415">
        <f t="shared" si="24"/>
        <v>25.85135028835872</v>
      </c>
      <c r="O50" s="415">
        <f t="shared" si="24"/>
        <v>15.542497189063123</v>
      </c>
      <c r="P50" s="415">
        <f t="shared" si="24"/>
        <v>12.721083144933605</v>
      </c>
    </row>
    <row r="51" spans="1:36">
      <c r="E51" s="426"/>
      <c r="F51" s="426"/>
      <c r="G51" s="427"/>
      <c r="H51" s="429"/>
      <c r="I51" s="429"/>
      <c r="J51" s="429"/>
      <c r="K51" s="429"/>
      <c r="L51" s="429"/>
      <c r="M51" s="429"/>
      <c r="N51" s="429"/>
      <c r="O51" s="429"/>
      <c r="P51" s="429"/>
    </row>
    <row r="52" spans="1:36" ht="12">
      <c r="B52" s="504" t="s">
        <v>8</v>
      </c>
      <c r="C52" s="363"/>
      <c r="D52" s="505" t="s">
        <v>178</v>
      </c>
      <c r="E52" s="506"/>
      <c r="F52" s="506"/>
      <c r="G52" s="507"/>
      <c r="H52" s="507"/>
      <c r="I52" s="507"/>
      <c r="J52" s="507"/>
      <c r="K52" s="507"/>
      <c r="L52" s="507"/>
      <c r="M52" s="507"/>
      <c r="N52" s="507"/>
      <c r="O52" s="507"/>
      <c r="P52" s="507"/>
    </row>
    <row r="53" spans="1:36" ht="12" outlineLevel="1">
      <c r="D53" s="430"/>
      <c r="E53" s="431"/>
      <c r="F53" s="431"/>
      <c r="G53" s="432"/>
      <c r="H53" s="433">
        <f t="shared" ref="H53:N53" si="25">+H4</f>
        <v>45657</v>
      </c>
      <c r="I53" s="433">
        <f t="shared" si="25"/>
        <v>46022</v>
      </c>
      <c r="J53" s="433">
        <f t="shared" si="25"/>
        <v>46387</v>
      </c>
      <c r="K53" s="433">
        <f t="shared" si="25"/>
        <v>46752</v>
      </c>
      <c r="L53" s="433">
        <f t="shared" si="25"/>
        <v>47118</v>
      </c>
      <c r="M53" s="433">
        <f t="shared" si="25"/>
        <v>47483</v>
      </c>
      <c r="N53" s="433">
        <f t="shared" si="25"/>
        <v>47848</v>
      </c>
      <c r="O53" s="433">
        <f>+O4</f>
        <v>48213</v>
      </c>
      <c r="P53" s="433">
        <f>+P4</f>
        <v>48579</v>
      </c>
    </row>
    <row r="54" spans="1:36" s="438" customFormat="1" ht="12" outlineLevel="1">
      <c r="A54" s="362"/>
      <c r="B54" s="362"/>
      <c r="C54" s="362"/>
      <c r="D54" s="434"/>
      <c r="E54" s="435"/>
      <c r="F54" s="435"/>
      <c r="G54" s="436"/>
      <c r="H54" s="437"/>
      <c r="I54" s="437"/>
      <c r="J54" s="437"/>
      <c r="K54" s="437"/>
      <c r="Q54" s="362"/>
      <c r="R54" s="362"/>
      <c r="S54" s="362"/>
      <c r="T54" s="362"/>
      <c r="U54" s="362"/>
      <c r="V54" s="362"/>
      <c r="W54" s="362"/>
      <c r="X54" s="362"/>
      <c r="Y54" s="362"/>
      <c r="Z54" s="362"/>
      <c r="AA54" s="362"/>
      <c r="AB54" s="362"/>
      <c r="AC54" s="362"/>
      <c r="AD54" s="362"/>
      <c r="AE54" s="362"/>
      <c r="AF54" s="362"/>
      <c r="AG54" s="362"/>
      <c r="AH54" s="362"/>
      <c r="AI54" s="362"/>
      <c r="AJ54" s="362"/>
    </row>
    <row r="55" spans="1:36" ht="12" outlineLevel="1">
      <c r="D55" s="439">
        <f>+I53</f>
        <v>46022</v>
      </c>
      <c r="E55" s="440"/>
      <c r="F55" s="440"/>
      <c r="G55" s="372"/>
      <c r="H55" s="441"/>
      <c r="I55" s="441"/>
      <c r="J55" s="441"/>
      <c r="K55" s="441"/>
    </row>
    <row r="56" spans="1:36" ht="12" outlineLevel="1">
      <c r="D56" s="362" t="s">
        <v>179</v>
      </c>
      <c r="H56" s="452"/>
      <c r="I56" s="442"/>
      <c r="J56" s="443">
        <f t="shared" ref="J56:P56" si="26">+I60</f>
        <v>13.533498249596059</v>
      </c>
      <c r="K56" s="443">
        <f t="shared" si="26"/>
        <v>13.533498249596059</v>
      </c>
      <c r="L56" s="443">
        <f t="shared" si="26"/>
        <v>13.533498249596059</v>
      </c>
      <c r="M56" s="443">
        <f t="shared" si="26"/>
        <v>13.533498249596059</v>
      </c>
      <c r="N56" s="443">
        <f t="shared" si="26"/>
        <v>13.533498249596059</v>
      </c>
      <c r="O56" s="443">
        <f t="shared" si="26"/>
        <v>0</v>
      </c>
      <c r="P56" s="443">
        <f t="shared" si="26"/>
        <v>0</v>
      </c>
    </row>
    <row r="57" spans="1:36" ht="12" outlineLevel="1">
      <c r="D57" s="373" t="s">
        <v>180</v>
      </c>
      <c r="H57" s="452"/>
      <c r="I57" s="441">
        <f t="shared" ref="I57:N57" si="27">+IF(I$53=$D55,I$49,0)</f>
        <v>13.533498249596059</v>
      </c>
      <c r="J57" s="441">
        <f>+IF(J$53=$D55,J$49,0)</f>
        <v>0</v>
      </c>
      <c r="K57" s="441">
        <f>+IF(K$53=$D55,K$49,0)</f>
        <v>0</v>
      </c>
      <c r="L57" s="441">
        <f t="shared" si="27"/>
        <v>0</v>
      </c>
      <c r="M57" s="441">
        <f t="shared" si="27"/>
        <v>0</v>
      </c>
      <c r="N57" s="441">
        <f t="shared" si="27"/>
        <v>0</v>
      </c>
      <c r="O57" s="441">
        <f>+IF(O$53=$D55,O$49,0)</f>
        <v>0</v>
      </c>
      <c r="P57" s="441">
        <f>+IF(P$53=$D55,P$49,0)</f>
        <v>0</v>
      </c>
    </row>
    <row r="58" spans="1:36" ht="12" outlineLevel="1">
      <c r="D58" s="373" t="s">
        <v>181</v>
      </c>
      <c r="E58" s="440"/>
      <c r="F58" s="440"/>
      <c r="G58" s="372"/>
      <c r="H58" s="452"/>
      <c r="I58" s="441">
        <f t="shared" ref="I58:P58" si="28">-IF(I$43+H$46&gt;0,MIN(I$43+H$46,I56+I57),0)</f>
        <v>0</v>
      </c>
      <c r="J58" s="441">
        <f t="shared" si="28"/>
        <v>0</v>
      </c>
      <c r="K58" s="441">
        <f t="shared" si="28"/>
        <v>0</v>
      </c>
      <c r="L58" s="441">
        <f t="shared" si="28"/>
        <v>0</v>
      </c>
      <c r="M58" s="441">
        <f t="shared" si="28"/>
        <v>0</v>
      </c>
      <c r="N58" s="441">
        <f t="shared" si="28"/>
        <v>0</v>
      </c>
      <c r="O58" s="441">
        <f t="shared" si="28"/>
        <v>0</v>
      </c>
      <c r="P58" s="441">
        <f t="shared" si="28"/>
        <v>0</v>
      </c>
    </row>
    <row r="59" spans="1:36" ht="12" outlineLevel="1">
      <c r="D59" s="444" t="s">
        <v>182</v>
      </c>
      <c r="E59" s="445"/>
      <c r="F59" s="445"/>
      <c r="G59" s="446"/>
      <c r="H59" s="453"/>
      <c r="I59" s="447">
        <f t="shared" ref="I59:P59" si="29">+IF(I$4-$D55&gt;DATE(5,0,1),-SUM(I56:I58),0)</f>
        <v>0</v>
      </c>
      <c r="J59" s="447">
        <f t="shared" si="29"/>
        <v>0</v>
      </c>
      <c r="K59" s="447">
        <f t="shared" si="29"/>
        <v>0</v>
      </c>
      <c r="L59" s="447">
        <f t="shared" si="29"/>
        <v>0</v>
      </c>
      <c r="M59" s="447">
        <f t="shared" si="29"/>
        <v>0</v>
      </c>
      <c r="N59" s="447">
        <f t="shared" si="29"/>
        <v>-13.533498249596059</v>
      </c>
      <c r="O59" s="447">
        <f t="shared" si="29"/>
        <v>0</v>
      </c>
      <c r="P59" s="447">
        <f t="shared" si="29"/>
        <v>0</v>
      </c>
    </row>
    <row r="60" spans="1:36" ht="12" outlineLevel="1">
      <c r="D60" s="448" t="s">
        <v>183</v>
      </c>
      <c r="E60" s="449"/>
      <c r="F60" s="449"/>
      <c r="G60" s="448"/>
      <c r="H60" s="450">
        <f t="shared" ref="H60:P60" si="30">+SUM(H56:H59)</f>
        <v>0</v>
      </c>
      <c r="I60" s="450">
        <f t="shared" si="30"/>
        <v>13.533498249596059</v>
      </c>
      <c r="J60" s="450">
        <f t="shared" si="30"/>
        <v>13.533498249596059</v>
      </c>
      <c r="K60" s="450">
        <f t="shared" si="30"/>
        <v>13.533498249596059</v>
      </c>
      <c r="L60" s="450">
        <f t="shared" si="30"/>
        <v>13.533498249596059</v>
      </c>
      <c r="M60" s="450">
        <f t="shared" si="30"/>
        <v>13.533498249596059</v>
      </c>
      <c r="N60" s="450">
        <f t="shared" si="30"/>
        <v>0</v>
      </c>
      <c r="O60" s="450">
        <f t="shared" si="30"/>
        <v>0</v>
      </c>
      <c r="P60" s="450">
        <f t="shared" si="30"/>
        <v>0</v>
      </c>
    </row>
    <row r="61" spans="1:36" ht="12" outlineLevel="1">
      <c r="D61" s="451"/>
      <c r="E61" s="440"/>
      <c r="F61" s="440"/>
      <c r="G61" s="372"/>
      <c r="H61" s="441"/>
      <c r="I61" s="441"/>
      <c r="J61" s="441"/>
      <c r="K61" s="441"/>
    </row>
    <row r="62" spans="1:36" ht="12" outlineLevel="1">
      <c r="D62" s="439">
        <f>+J53</f>
        <v>46387</v>
      </c>
      <c r="E62" s="440"/>
      <c r="F62" s="440"/>
      <c r="G62" s="372"/>
      <c r="H62" s="441"/>
      <c r="I62" s="441"/>
      <c r="J62" s="441"/>
      <c r="K62" s="441"/>
    </row>
    <row r="63" spans="1:36" ht="12" outlineLevel="1">
      <c r="D63" s="373" t="s">
        <v>179</v>
      </c>
      <c r="H63" s="452"/>
      <c r="I63" s="452"/>
      <c r="J63" s="442"/>
      <c r="K63" s="443">
        <f t="shared" ref="K63:P63" si="31">+J67</f>
        <v>0.66596913431099125</v>
      </c>
      <c r="L63" s="443">
        <f t="shared" si="31"/>
        <v>0.66596913431099125</v>
      </c>
      <c r="M63" s="443">
        <f t="shared" si="31"/>
        <v>0.66596913431099125</v>
      </c>
      <c r="N63" s="443">
        <f t="shared" si="31"/>
        <v>0.66596913431099125</v>
      </c>
      <c r="O63" s="443">
        <f t="shared" si="31"/>
        <v>0.66596913431099125</v>
      </c>
      <c r="P63" s="443">
        <f t="shared" si="31"/>
        <v>0</v>
      </c>
    </row>
    <row r="64" spans="1:36" ht="12" outlineLevel="1">
      <c r="D64" s="373" t="s">
        <v>180</v>
      </c>
      <c r="H64" s="452"/>
      <c r="I64" s="452"/>
      <c r="J64" s="441">
        <f t="shared" ref="J64:P64" si="32">+IF(J$53=$D62,J$49,0)</f>
        <v>0.66596913431099125</v>
      </c>
      <c r="K64" s="441">
        <f t="shared" si="32"/>
        <v>0</v>
      </c>
      <c r="L64" s="441">
        <f t="shared" si="32"/>
        <v>0</v>
      </c>
      <c r="M64" s="441">
        <f t="shared" si="32"/>
        <v>0</v>
      </c>
      <c r="N64" s="441">
        <f t="shared" si="32"/>
        <v>0</v>
      </c>
      <c r="O64" s="441">
        <f t="shared" si="32"/>
        <v>0</v>
      </c>
      <c r="P64" s="441">
        <f t="shared" si="32"/>
        <v>0</v>
      </c>
    </row>
    <row r="65" spans="4:16" ht="12" outlineLevel="1">
      <c r="D65" s="373" t="s">
        <v>181</v>
      </c>
      <c r="E65" s="440"/>
      <c r="F65" s="440"/>
      <c r="G65" s="372"/>
      <c r="H65" s="452"/>
      <c r="I65" s="452"/>
      <c r="J65" s="441">
        <f t="shared" ref="J65:P65" si="33">-IF(J$43+I$46&gt;0,MIN(J$43+I$46+J58,J63+J64),0)</f>
        <v>0</v>
      </c>
      <c r="K65" s="441">
        <f t="shared" si="33"/>
        <v>0</v>
      </c>
      <c r="L65" s="441">
        <f t="shared" si="33"/>
        <v>0</v>
      </c>
      <c r="M65" s="441">
        <f t="shared" si="33"/>
        <v>0</v>
      </c>
      <c r="N65" s="441">
        <f t="shared" si="33"/>
        <v>0</v>
      </c>
      <c r="O65" s="441">
        <f t="shared" si="33"/>
        <v>0</v>
      </c>
      <c r="P65" s="441">
        <f t="shared" si="33"/>
        <v>0</v>
      </c>
    </row>
    <row r="66" spans="4:16" ht="12" outlineLevel="1">
      <c r="D66" s="444" t="s">
        <v>182</v>
      </c>
      <c r="E66" s="445"/>
      <c r="F66" s="445"/>
      <c r="G66" s="446"/>
      <c r="H66" s="453"/>
      <c r="I66" s="453"/>
      <c r="J66" s="447">
        <f t="shared" ref="J66:P66" si="34">+IF(J$4-$D62&gt;DATE(5,0,1),-SUM(J63:J65),0)</f>
        <v>0</v>
      </c>
      <c r="K66" s="447">
        <f t="shared" si="34"/>
        <v>0</v>
      </c>
      <c r="L66" s="447">
        <f t="shared" si="34"/>
        <v>0</v>
      </c>
      <c r="M66" s="447">
        <f t="shared" si="34"/>
        <v>0</v>
      </c>
      <c r="N66" s="447">
        <f t="shared" si="34"/>
        <v>0</v>
      </c>
      <c r="O66" s="447">
        <f t="shared" si="34"/>
        <v>-0.66596913431099125</v>
      </c>
      <c r="P66" s="447">
        <f t="shared" si="34"/>
        <v>0</v>
      </c>
    </row>
    <row r="67" spans="4:16" ht="12" outlineLevel="1">
      <c r="D67" s="454" t="s">
        <v>183</v>
      </c>
      <c r="E67" s="449"/>
      <c r="F67" s="449"/>
      <c r="G67" s="448"/>
      <c r="H67" s="450">
        <f t="shared" ref="H67:P67" si="35">+SUM(H63:H66)</f>
        <v>0</v>
      </c>
      <c r="I67" s="450">
        <f t="shared" si="35"/>
        <v>0</v>
      </c>
      <c r="J67" s="450">
        <f t="shared" si="35"/>
        <v>0.66596913431099125</v>
      </c>
      <c r="K67" s="450">
        <f t="shared" si="35"/>
        <v>0.66596913431099125</v>
      </c>
      <c r="L67" s="450">
        <f t="shared" si="35"/>
        <v>0.66596913431099125</v>
      </c>
      <c r="M67" s="450">
        <f t="shared" si="35"/>
        <v>0.66596913431099125</v>
      </c>
      <c r="N67" s="450">
        <f t="shared" si="35"/>
        <v>0.66596913431099125</v>
      </c>
      <c r="O67" s="450">
        <f t="shared" si="35"/>
        <v>0</v>
      </c>
      <c r="P67" s="450">
        <f t="shared" si="35"/>
        <v>0</v>
      </c>
    </row>
    <row r="68" spans="4:16" ht="12" outlineLevel="1">
      <c r="D68" s="451"/>
      <c r="E68" s="440"/>
      <c r="F68" s="440"/>
      <c r="G68" s="372"/>
      <c r="H68" s="441"/>
      <c r="I68" s="441"/>
      <c r="J68" s="441"/>
      <c r="K68" s="441"/>
    </row>
    <row r="69" spans="4:16" ht="12" outlineLevel="1">
      <c r="D69" s="439">
        <f>+K53</f>
        <v>46752</v>
      </c>
      <c r="E69" s="440"/>
      <c r="F69" s="440"/>
      <c r="G69" s="372"/>
      <c r="H69" s="441"/>
      <c r="I69" s="441"/>
      <c r="J69" s="441"/>
      <c r="K69" s="441"/>
    </row>
    <row r="70" spans="4:16" ht="12" outlineLevel="1">
      <c r="D70" s="362" t="s">
        <v>179</v>
      </c>
      <c r="H70" s="452"/>
      <c r="I70" s="452"/>
      <c r="J70" s="452"/>
      <c r="K70" s="442"/>
      <c r="L70" s="443">
        <f>+K74</f>
        <v>2.8214140441295186</v>
      </c>
      <c r="M70" s="443">
        <f>+L74</f>
        <v>2.8214140441295186</v>
      </c>
      <c r="N70" s="443">
        <f>+M74</f>
        <v>2.8214140441295186</v>
      </c>
      <c r="O70" s="443">
        <f>+N74</f>
        <v>2.8214140441295186</v>
      </c>
      <c r="P70" s="443">
        <f>+O74</f>
        <v>2.8214140441295186</v>
      </c>
    </row>
    <row r="71" spans="4:16" ht="12" outlineLevel="1">
      <c r="D71" s="373" t="s">
        <v>180</v>
      </c>
      <c r="H71" s="452"/>
      <c r="I71" s="452"/>
      <c r="J71" s="452"/>
      <c r="K71" s="441">
        <f t="shared" ref="K71:P71" si="36">+IF(K$53=$D69,K$49,0)</f>
        <v>2.8214140441295186</v>
      </c>
      <c r="L71" s="441">
        <f t="shared" si="36"/>
        <v>0</v>
      </c>
      <c r="M71" s="441">
        <f t="shared" si="36"/>
        <v>0</v>
      </c>
      <c r="N71" s="441">
        <f t="shared" si="36"/>
        <v>0</v>
      </c>
      <c r="O71" s="441">
        <f t="shared" si="36"/>
        <v>0</v>
      </c>
      <c r="P71" s="441">
        <f t="shared" si="36"/>
        <v>0</v>
      </c>
    </row>
    <row r="72" spans="4:16" ht="12" outlineLevel="1">
      <c r="D72" s="373" t="s">
        <v>181</v>
      </c>
      <c r="E72" s="440"/>
      <c r="F72" s="440"/>
      <c r="G72" s="372"/>
      <c r="H72" s="452"/>
      <c r="I72" s="452"/>
      <c r="J72" s="452"/>
      <c r="K72" s="441">
        <f t="shared" ref="K72:P72" si="37">-IF(K$43+J$46&gt;0,MIN(K$43+J$46+K58+K65,K70+K71),0)</f>
        <v>0</v>
      </c>
      <c r="L72" s="441">
        <f t="shared" si="37"/>
        <v>0</v>
      </c>
      <c r="M72" s="441">
        <f t="shared" si="37"/>
        <v>0</v>
      </c>
      <c r="N72" s="441">
        <f t="shared" si="37"/>
        <v>0</v>
      </c>
      <c r="O72" s="441">
        <f t="shared" si="37"/>
        <v>0</v>
      </c>
      <c r="P72" s="441">
        <f t="shared" si="37"/>
        <v>0</v>
      </c>
    </row>
    <row r="73" spans="4:16" ht="12" outlineLevel="1">
      <c r="D73" s="444" t="s">
        <v>182</v>
      </c>
      <c r="E73" s="445"/>
      <c r="F73" s="445"/>
      <c r="G73" s="446"/>
      <c r="H73" s="453"/>
      <c r="I73" s="453"/>
      <c r="J73" s="453"/>
      <c r="K73" s="447">
        <f t="shared" ref="K73:P73" si="38">+IF(K$4-$D69&gt;DATE(5,0,1),-SUM(K70:K72),0)</f>
        <v>0</v>
      </c>
      <c r="L73" s="447">
        <f t="shared" si="38"/>
        <v>0</v>
      </c>
      <c r="M73" s="447">
        <f t="shared" si="38"/>
        <v>0</v>
      </c>
      <c r="N73" s="447">
        <f t="shared" si="38"/>
        <v>0</v>
      </c>
      <c r="O73" s="447">
        <f t="shared" si="38"/>
        <v>0</v>
      </c>
      <c r="P73" s="447">
        <f t="shared" si="38"/>
        <v>-2.8214140441295186</v>
      </c>
    </row>
    <row r="74" spans="4:16" ht="12" outlineLevel="1">
      <c r="D74" s="448" t="s">
        <v>183</v>
      </c>
      <c r="E74" s="449"/>
      <c r="F74" s="449"/>
      <c r="G74" s="448"/>
      <c r="H74" s="450">
        <f t="shared" ref="H74:P74" si="39">+SUM(H70:H73)</f>
        <v>0</v>
      </c>
      <c r="I74" s="450">
        <f t="shared" si="39"/>
        <v>0</v>
      </c>
      <c r="J74" s="450">
        <f t="shared" si="39"/>
        <v>0</v>
      </c>
      <c r="K74" s="450">
        <f t="shared" si="39"/>
        <v>2.8214140441295186</v>
      </c>
      <c r="L74" s="450">
        <f t="shared" si="39"/>
        <v>2.8214140441295186</v>
      </c>
      <c r="M74" s="450">
        <f t="shared" si="39"/>
        <v>2.8214140441295186</v>
      </c>
      <c r="N74" s="450">
        <f t="shared" si="39"/>
        <v>2.8214140441295186</v>
      </c>
      <c r="O74" s="450">
        <f t="shared" si="39"/>
        <v>2.8214140441295186</v>
      </c>
      <c r="P74" s="450">
        <f t="shared" si="39"/>
        <v>0</v>
      </c>
    </row>
    <row r="75" spans="4:16" ht="12" outlineLevel="1">
      <c r="D75" s="451"/>
      <c r="E75" s="440"/>
      <c r="F75" s="440"/>
      <c r="G75" s="372"/>
      <c r="H75" s="441"/>
      <c r="I75" s="441"/>
      <c r="J75" s="441"/>
      <c r="K75" s="441"/>
    </row>
    <row r="76" spans="4:16" ht="12" outlineLevel="1">
      <c r="D76" s="439">
        <f>+L53</f>
        <v>47118</v>
      </c>
      <c r="E76" s="440"/>
      <c r="F76" s="440"/>
      <c r="G76" s="372"/>
      <c r="H76" s="441"/>
      <c r="I76" s="441"/>
      <c r="J76" s="441"/>
      <c r="K76" s="441"/>
    </row>
    <row r="77" spans="4:16" ht="12" outlineLevel="1">
      <c r="D77" s="362" t="s">
        <v>179</v>
      </c>
      <c r="H77" s="452"/>
      <c r="I77" s="452"/>
      <c r="J77" s="452"/>
      <c r="K77" s="452"/>
      <c r="L77" s="442"/>
      <c r="M77" s="443">
        <f>+L81</f>
        <v>5.5369608190702237</v>
      </c>
      <c r="N77" s="443">
        <f>+M81</f>
        <v>5.5369608190702237</v>
      </c>
      <c r="O77" s="443">
        <f>+N81</f>
        <v>5.5369608190702237</v>
      </c>
      <c r="P77" s="443">
        <f>+O81</f>
        <v>5.5369608190702237</v>
      </c>
    </row>
    <row r="78" spans="4:16" ht="12" outlineLevel="1">
      <c r="D78" s="373" t="s">
        <v>180</v>
      </c>
      <c r="H78" s="452"/>
      <c r="I78" s="452"/>
      <c r="J78" s="452"/>
      <c r="K78" s="452"/>
      <c r="L78" s="441">
        <f>+IF(L$53=$D76,L$49,0)</f>
        <v>5.5369608190702237</v>
      </c>
      <c r="M78" s="441">
        <f>+IF(M$53=$D76,M$49,0)</f>
        <v>0</v>
      </c>
      <c r="N78" s="441">
        <f>+IF(N$53=$D76,N$49,0)</f>
        <v>0</v>
      </c>
      <c r="O78" s="441">
        <f>+IF(O$53=$D76,O$49,0)</f>
        <v>0</v>
      </c>
      <c r="P78" s="441">
        <f>+IF(P$53=$D76,P$49,0)</f>
        <v>0</v>
      </c>
    </row>
    <row r="79" spans="4:16" ht="12" outlineLevel="1">
      <c r="D79" s="373" t="s">
        <v>181</v>
      </c>
      <c r="E79" s="440"/>
      <c r="F79" s="440"/>
      <c r="G79" s="372"/>
      <c r="H79" s="452"/>
      <c r="I79" s="452"/>
      <c r="J79" s="452"/>
      <c r="K79" s="452"/>
      <c r="L79" s="441">
        <f>-IF(L$43+K$46&gt;0,MIN(L$43+K$46+L58+L65+L72,L77+L78),0)</f>
        <v>0</v>
      </c>
      <c r="M79" s="441">
        <f>-IF(M$43+L$46&gt;0,MIN(M$43+L$46+M58+M65+M72,M77+M78),0)</f>
        <v>0</v>
      </c>
      <c r="N79" s="441">
        <f>-IF(N$43+M$46&gt;0,MIN(N$43+M$46+N58+N65+N72,N77+N78),0)</f>
        <v>0</v>
      </c>
      <c r="O79" s="441">
        <f>-IF(O$43+N$46&gt;0,MIN(O$43+N$46+O58+O65+O72,O77+O78),0)</f>
        <v>0</v>
      </c>
      <c r="P79" s="441">
        <f>-IF(P$43+O$46&gt;0,MIN(P$43+O$46+P58+P65+P72,P77+P78),0)</f>
        <v>0</v>
      </c>
    </row>
    <row r="80" spans="4:16" ht="12" outlineLevel="1">
      <c r="D80" s="444" t="s">
        <v>182</v>
      </c>
      <c r="E80" s="445"/>
      <c r="F80" s="445"/>
      <c r="G80" s="446"/>
      <c r="H80" s="453"/>
      <c r="I80" s="453"/>
      <c r="J80" s="453"/>
      <c r="K80" s="453"/>
      <c r="L80" s="447">
        <f>+IF(L$4-$D76&gt;DATE(5,0,1),-SUM(L77:L79),0)</f>
        <v>0</v>
      </c>
      <c r="M80" s="447">
        <f>+IF(M$4-$D76&gt;DATE(5,0,1),-SUM(M77:M79),0)</f>
        <v>0</v>
      </c>
      <c r="N80" s="447">
        <f>+IF(N$4-$D76&gt;DATE(5,0,1),-SUM(N77:N79),0)</f>
        <v>0</v>
      </c>
      <c r="O80" s="447">
        <f>+IF(O$4-$D76&gt;DATE(5,0,1),-SUM(O77:O79),0)</f>
        <v>0</v>
      </c>
      <c r="P80" s="447">
        <f>+IF(P$4-$D76&gt;DATE(5,0,1),-SUM(P77:P79),0)</f>
        <v>0</v>
      </c>
    </row>
    <row r="81" spans="4:16" ht="12" outlineLevel="1">
      <c r="D81" s="448" t="s">
        <v>183</v>
      </c>
      <c r="E81" s="449"/>
      <c r="F81" s="449"/>
      <c r="G81" s="448"/>
      <c r="H81" s="450">
        <f t="shared" ref="H81:P81" si="40">+SUM(H77:H80)</f>
        <v>0</v>
      </c>
      <c r="I81" s="450">
        <f t="shared" si="40"/>
        <v>0</v>
      </c>
      <c r="J81" s="450">
        <f t="shared" si="40"/>
        <v>0</v>
      </c>
      <c r="K81" s="450">
        <f t="shared" si="40"/>
        <v>0</v>
      </c>
      <c r="L81" s="450">
        <f t="shared" si="40"/>
        <v>5.5369608190702237</v>
      </c>
      <c r="M81" s="450">
        <f t="shared" si="40"/>
        <v>5.5369608190702237</v>
      </c>
      <c r="N81" s="450">
        <f t="shared" si="40"/>
        <v>5.5369608190702237</v>
      </c>
      <c r="O81" s="450">
        <f t="shared" si="40"/>
        <v>5.5369608190702237</v>
      </c>
      <c r="P81" s="450">
        <f t="shared" si="40"/>
        <v>5.5369608190702237</v>
      </c>
    </row>
    <row r="82" spans="4:16" ht="12" outlineLevel="1">
      <c r="D82" s="451"/>
      <c r="E82" s="440"/>
      <c r="F82" s="440"/>
      <c r="G82" s="372"/>
      <c r="H82" s="441"/>
      <c r="I82" s="441"/>
      <c r="J82" s="441"/>
      <c r="K82" s="441"/>
    </row>
    <row r="83" spans="4:16" ht="12" outlineLevel="1">
      <c r="D83" s="439">
        <f>+M53</f>
        <v>47483</v>
      </c>
      <c r="E83" s="440"/>
      <c r="F83" s="440"/>
      <c r="G83" s="372"/>
      <c r="H83" s="441"/>
      <c r="I83" s="441"/>
      <c r="J83" s="441"/>
      <c r="K83" s="441"/>
    </row>
    <row r="84" spans="4:16" ht="12" outlineLevel="1">
      <c r="D84" s="362" t="s">
        <v>179</v>
      </c>
      <c r="H84" s="452"/>
      <c r="I84" s="452"/>
      <c r="J84" s="452"/>
      <c r="K84" s="452"/>
      <c r="L84" s="452"/>
      <c r="M84" s="442"/>
      <c r="N84" s="443">
        <f>+M88</f>
        <v>7.1841223258633811</v>
      </c>
      <c r="O84" s="443">
        <f>+N88</f>
        <v>7.1841223258633811</v>
      </c>
      <c r="P84" s="443">
        <f>+O88</f>
        <v>7.1841223258633811</v>
      </c>
    </row>
    <row r="85" spans="4:16" ht="12" outlineLevel="1">
      <c r="D85" s="373" t="s">
        <v>180</v>
      </c>
      <c r="H85" s="452"/>
      <c r="I85" s="452"/>
      <c r="J85" s="452"/>
      <c r="K85" s="452"/>
      <c r="L85" s="452"/>
      <c r="M85" s="441">
        <f>+IF(M$53=$D83,M$49,0)</f>
        <v>7.1841223258633811</v>
      </c>
      <c r="N85" s="441">
        <f>+IF(N$53=$D83,N$49,0)</f>
        <v>0</v>
      </c>
      <c r="O85" s="441">
        <f>+IF(O$53=$D83,O$49,0)</f>
        <v>0</v>
      </c>
      <c r="P85" s="441">
        <f>+IF(P$53=$D83,P$49,0)</f>
        <v>0</v>
      </c>
    </row>
    <row r="86" spans="4:16" ht="12" outlineLevel="1">
      <c r="D86" s="373" t="s">
        <v>181</v>
      </c>
      <c r="E86" s="440"/>
      <c r="F86" s="440"/>
      <c r="G86" s="372"/>
      <c r="H86" s="452"/>
      <c r="I86" s="452"/>
      <c r="J86" s="452"/>
      <c r="K86" s="452"/>
      <c r="L86" s="452"/>
      <c r="M86" s="441">
        <f>-IF(M$43+L$46&gt;0,MIN(M$43+L$46+M58+M65+M72+M79,M84+M85),0)</f>
        <v>0</v>
      </c>
      <c r="N86" s="441">
        <f>-IF(N$43+M$46&gt;0,MIN(N$43+M$46+N58+N65+N72+N79,N84+N85),0)</f>
        <v>0</v>
      </c>
      <c r="O86" s="441">
        <f>-IF(O$43+N$46&gt;0,MIN(O$43+N$46+O58+O65+O72+O79,O84+O85),0)</f>
        <v>0</v>
      </c>
      <c r="P86" s="441">
        <f>-IF(P$43+O$46&gt;0,MIN(P$43+O$46+P58+P65+P72+P79,P84+P85),0)</f>
        <v>0</v>
      </c>
    </row>
    <row r="87" spans="4:16" ht="12" outlineLevel="1">
      <c r="D87" s="444" t="s">
        <v>182</v>
      </c>
      <c r="E87" s="445"/>
      <c r="F87" s="445"/>
      <c r="G87" s="446"/>
      <c r="H87" s="453"/>
      <c r="I87" s="453"/>
      <c r="J87" s="453"/>
      <c r="K87" s="453"/>
      <c r="L87" s="453"/>
      <c r="M87" s="447">
        <f>+IF(M$4-$D83&gt;DATE(5,0,1),-SUM(M84:M86),0)</f>
        <v>0</v>
      </c>
      <c r="N87" s="447">
        <f>+IF(N$4-$D83&gt;DATE(5,0,1),-SUM(N84:N86),0)</f>
        <v>0</v>
      </c>
      <c r="O87" s="447">
        <f>+IF(O$4-$D83&gt;DATE(5,0,1),-SUM(O84:O86),0)</f>
        <v>0</v>
      </c>
      <c r="P87" s="447">
        <f>+IF(P$4-$D83&gt;DATE(5,0,1),-SUM(P84:P86),0)</f>
        <v>0</v>
      </c>
    </row>
    <row r="88" spans="4:16" ht="12" outlineLevel="1">
      <c r="D88" s="448" t="s">
        <v>183</v>
      </c>
      <c r="E88" s="449"/>
      <c r="F88" s="449"/>
      <c r="G88" s="448"/>
      <c r="H88" s="450">
        <f t="shared" ref="H88:P88" si="41">+SUM(H84:H87)</f>
        <v>0</v>
      </c>
      <c r="I88" s="450">
        <f t="shared" si="41"/>
        <v>0</v>
      </c>
      <c r="J88" s="450">
        <f t="shared" si="41"/>
        <v>0</v>
      </c>
      <c r="K88" s="450">
        <f t="shared" si="41"/>
        <v>0</v>
      </c>
      <c r="L88" s="450">
        <f t="shared" si="41"/>
        <v>0</v>
      </c>
      <c r="M88" s="450">
        <f t="shared" si="41"/>
        <v>7.1841223258633811</v>
      </c>
      <c r="N88" s="450">
        <f t="shared" si="41"/>
        <v>7.1841223258633811</v>
      </c>
      <c r="O88" s="450">
        <f t="shared" si="41"/>
        <v>7.1841223258633811</v>
      </c>
      <c r="P88" s="450">
        <f t="shared" si="41"/>
        <v>7.1841223258633811</v>
      </c>
    </row>
    <row r="89" spans="4:16" ht="12" outlineLevel="1">
      <c r="D89" s="451"/>
      <c r="E89" s="440"/>
      <c r="F89" s="440"/>
      <c r="G89" s="372"/>
      <c r="H89" s="441"/>
      <c r="I89" s="441"/>
      <c r="J89" s="441"/>
      <c r="K89" s="441"/>
    </row>
    <row r="90" spans="4:16" ht="12" outlineLevel="1">
      <c r="D90" s="439">
        <f>+$N$53</f>
        <v>47848</v>
      </c>
      <c r="E90" s="440"/>
      <c r="F90" s="440"/>
      <c r="G90" s="372"/>
      <c r="H90" s="441"/>
      <c r="I90" s="441"/>
      <c r="J90" s="441"/>
      <c r="K90" s="441"/>
    </row>
    <row r="91" spans="4:16" ht="12" outlineLevel="1">
      <c r="D91" s="362" t="s">
        <v>179</v>
      </c>
      <c r="H91" s="452"/>
      <c r="I91" s="452"/>
      <c r="J91" s="452"/>
      <c r="K91" s="452"/>
      <c r="L91" s="452"/>
      <c r="M91" s="442"/>
      <c r="N91" s="442"/>
      <c r="O91" s="442"/>
      <c r="P91" s="442"/>
    </row>
    <row r="92" spans="4:16" ht="12" outlineLevel="1">
      <c r="D92" s="373" t="s">
        <v>180</v>
      </c>
      <c r="H92" s="452"/>
      <c r="I92" s="452"/>
      <c r="J92" s="452"/>
      <c r="K92" s="452"/>
      <c r="L92" s="452"/>
      <c r="M92" s="452"/>
      <c r="N92" s="441">
        <f>+IF(N$53=$D90,N$49,0)</f>
        <v>9.6428839649846054</v>
      </c>
      <c r="O92" s="441">
        <f>+IF(O$53=$D90,O$49,0)</f>
        <v>0</v>
      </c>
      <c r="P92" s="441">
        <f>+IF(P$53=$D90,P$49,0)</f>
        <v>0</v>
      </c>
    </row>
    <row r="93" spans="4:16" ht="12" outlineLevel="1">
      <c r="D93" s="373" t="s">
        <v>181</v>
      </c>
      <c r="E93" s="440"/>
      <c r="F93" s="440"/>
      <c r="G93" s="372"/>
      <c r="H93" s="452"/>
      <c r="I93" s="452"/>
      <c r="J93" s="452"/>
      <c r="K93" s="452"/>
      <c r="L93" s="452"/>
      <c r="M93" s="452"/>
      <c r="N93" s="441">
        <f>-IF(N$43+M$46&gt;0,MIN(N$43+M$46+N58+N65+N72+N79+N86,N91+N92),0)</f>
        <v>0</v>
      </c>
      <c r="O93" s="441">
        <f>-IF(O$43+N$46&gt;0,MIN(O$43+N$46+O58+O65+O72+O79+O86,O91+O92),0)</f>
        <v>0</v>
      </c>
      <c r="P93" s="441">
        <f>-IF(P$43+O$46&gt;0,MIN(P$43+O$46+P58+P65+P72+P79+P86,P91+P92),0)</f>
        <v>0</v>
      </c>
    </row>
    <row r="94" spans="4:16" ht="12" outlineLevel="1">
      <c r="D94" s="444" t="s">
        <v>182</v>
      </c>
      <c r="E94" s="445"/>
      <c r="F94" s="445"/>
      <c r="G94" s="446"/>
      <c r="H94" s="453"/>
      <c r="I94" s="453"/>
      <c r="J94" s="453"/>
      <c r="K94" s="453"/>
      <c r="L94" s="453"/>
      <c r="M94" s="453"/>
      <c r="N94" s="447">
        <f>+IF(N$4-$D90&gt;DATE(5,0,1),-SUM(N91:N93),0)</f>
        <v>0</v>
      </c>
      <c r="O94" s="447">
        <f>+IF(O$4-$D90&gt;DATE(5,0,1),-SUM(O91:O93),0)</f>
        <v>0</v>
      </c>
      <c r="P94" s="447">
        <f>+IF(P$4-$D90&gt;DATE(5,0,1),-SUM(P91:P93),0)</f>
        <v>0</v>
      </c>
    </row>
    <row r="95" spans="4:16" ht="12" outlineLevel="1">
      <c r="D95" s="448" t="s">
        <v>183</v>
      </c>
      <c r="E95" s="449"/>
      <c r="F95" s="449"/>
      <c r="G95" s="448"/>
      <c r="H95" s="450">
        <f t="shared" ref="H95:P95" si="42">+SUM(H91:H94)</f>
        <v>0</v>
      </c>
      <c r="I95" s="450">
        <f t="shared" si="42"/>
        <v>0</v>
      </c>
      <c r="J95" s="450">
        <f t="shared" si="42"/>
        <v>0</v>
      </c>
      <c r="K95" s="450">
        <f t="shared" si="42"/>
        <v>0</v>
      </c>
      <c r="L95" s="450">
        <f t="shared" si="42"/>
        <v>0</v>
      </c>
      <c r="M95" s="450">
        <f t="shared" si="42"/>
        <v>0</v>
      </c>
      <c r="N95" s="450">
        <f t="shared" si="42"/>
        <v>9.6428839649846054</v>
      </c>
      <c r="O95" s="450">
        <f t="shared" si="42"/>
        <v>0</v>
      </c>
      <c r="P95" s="450">
        <f t="shared" si="42"/>
        <v>0</v>
      </c>
    </row>
    <row r="96" spans="4:16" ht="12">
      <c r="D96" s="451"/>
      <c r="E96" s="440"/>
      <c r="F96" s="440"/>
      <c r="G96" s="372"/>
      <c r="H96" s="441"/>
      <c r="I96" s="441"/>
      <c r="J96" s="441"/>
      <c r="K96" s="441"/>
    </row>
    <row r="97" spans="1:16" ht="12">
      <c r="B97" s="504" t="s">
        <v>8</v>
      </c>
      <c r="C97" s="363"/>
      <c r="D97" s="505" t="s">
        <v>185</v>
      </c>
      <c r="E97" s="506"/>
      <c r="F97" s="506"/>
      <c r="G97" s="507"/>
      <c r="H97" s="507"/>
      <c r="I97" s="507"/>
      <c r="J97" s="507"/>
      <c r="K97" s="507"/>
      <c r="L97" s="507"/>
      <c r="M97" s="507"/>
      <c r="N97" s="507"/>
      <c r="O97" s="507"/>
      <c r="P97" s="507"/>
    </row>
    <row r="98" spans="1:16" outlineLevel="1"/>
    <row r="99" spans="1:16" outlineLevel="1">
      <c r="D99" s="362" t="s">
        <v>185</v>
      </c>
      <c r="H99" s="455"/>
      <c r="I99" s="455"/>
      <c r="J99" s="455"/>
      <c r="K99" s="455"/>
      <c r="L99" s="455"/>
      <c r="M99" s="455"/>
      <c r="N99" s="455"/>
      <c r="O99" s="455"/>
      <c r="P99" s="455"/>
    </row>
    <row r="100" spans="1:16" outlineLevel="1">
      <c r="D100" s="373" t="s">
        <v>186</v>
      </c>
      <c r="H100" s="456"/>
      <c r="I100" s="456">
        <f t="shared" ref="I100:N100" si="43">+H103</f>
        <v>0</v>
      </c>
      <c r="J100" s="456">
        <f t="shared" si="43"/>
        <v>0</v>
      </c>
      <c r="K100" s="456">
        <f t="shared" si="43"/>
        <v>0</v>
      </c>
      <c r="L100" s="456">
        <f t="shared" si="43"/>
        <v>0</v>
      </c>
      <c r="M100" s="456">
        <f t="shared" si="43"/>
        <v>0</v>
      </c>
      <c r="N100" s="456">
        <f t="shared" si="43"/>
        <v>0</v>
      </c>
      <c r="O100" s="456">
        <f>+N103</f>
        <v>0</v>
      </c>
      <c r="P100" s="456">
        <f>+O103</f>
        <v>0</v>
      </c>
    </row>
    <row r="101" spans="1:16" outlineLevel="1">
      <c r="D101" s="373" t="s">
        <v>187</v>
      </c>
      <c r="H101" s="457"/>
      <c r="I101" s="457">
        <f t="shared" ref="I101:N101" si="44">+IF(I111&gt;0,0,-I111)</f>
        <v>0</v>
      </c>
      <c r="J101" s="457">
        <f t="shared" si="44"/>
        <v>0</v>
      </c>
      <c r="K101" s="457">
        <f t="shared" si="44"/>
        <v>0</v>
      </c>
      <c r="L101" s="457">
        <f t="shared" si="44"/>
        <v>0</v>
      </c>
      <c r="M101" s="457">
        <f t="shared" si="44"/>
        <v>0</v>
      </c>
      <c r="N101" s="457">
        <f t="shared" si="44"/>
        <v>0</v>
      </c>
      <c r="O101" s="457">
        <f>+IF(O111&gt;0,0,-O111)</f>
        <v>0</v>
      </c>
      <c r="P101" s="457">
        <f>+IF(P111&gt;0,0,-P111)</f>
        <v>0</v>
      </c>
    </row>
    <row r="102" spans="1:16" outlineLevel="1">
      <c r="D102" s="373" t="s">
        <v>188</v>
      </c>
      <c r="H102" s="457"/>
      <c r="I102" s="457">
        <f t="shared" ref="I102:N102" si="45">-MIN(I100,I113)</f>
        <v>0</v>
      </c>
      <c r="J102" s="457">
        <f>-MIN(J100,J113)</f>
        <v>0</v>
      </c>
      <c r="K102" s="457">
        <f t="shared" si="45"/>
        <v>0</v>
      </c>
      <c r="L102" s="457">
        <f t="shared" si="45"/>
        <v>0</v>
      </c>
      <c r="M102" s="457">
        <f t="shared" si="45"/>
        <v>0</v>
      </c>
      <c r="N102" s="457">
        <f t="shared" si="45"/>
        <v>0</v>
      </c>
      <c r="O102" s="457">
        <f>-MIN(O100,O113)</f>
        <v>0</v>
      </c>
      <c r="P102" s="457">
        <f>-MIN(P100,P113)</f>
        <v>0</v>
      </c>
    </row>
    <row r="103" spans="1:16" s="372" customFormat="1" ht="12" outlineLevel="1">
      <c r="A103" s="362"/>
      <c r="B103" s="362"/>
      <c r="C103" s="362"/>
      <c r="D103" s="458" t="s">
        <v>189</v>
      </c>
      <c r="E103" s="459"/>
      <c r="F103" s="459"/>
      <c r="G103" s="458"/>
      <c r="H103" s="460">
        <v>0</v>
      </c>
      <c r="I103" s="461">
        <f t="shared" ref="I103:N103" si="46">+I100+I101+I102</f>
        <v>0</v>
      </c>
      <c r="J103" s="461">
        <f t="shared" si="46"/>
        <v>0</v>
      </c>
      <c r="K103" s="461">
        <f t="shared" si="46"/>
        <v>0</v>
      </c>
      <c r="L103" s="461">
        <f t="shared" si="46"/>
        <v>0</v>
      </c>
      <c r="M103" s="461">
        <f t="shared" si="46"/>
        <v>0</v>
      </c>
      <c r="N103" s="461">
        <f t="shared" si="46"/>
        <v>0</v>
      </c>
      <c r="O103" s="461">
        <f>+O100+O101+O102</f>
        <v>0</v>
      </c>
      <c r="P103" s="461">
        <f>+P100+P101+P102</f>
        <v>0</v>
      </c>
    </row>
    <row r="104" spans="1:16" outlineLevel="1"/>
    <row r="105" spans="1:16" ht="12" outlineLevel="1">
      <c r="D105" s="372" t="s">
        <v>190</v>
      </c>
    </row>
    <row r="106" spans="1:16" outlineLevel="1">
      <c r="D106" s="373" t="str">
        <f>+"Revenues &lt;"&amp;+G106 &amp; "m"</f>
        <v>Revenues &lt;20m</v>
      </c>
      <c r="G106" s="462">
        <v>20</v>
      </c>
      <c r="H106" s="413">
        <v>0.7</v>
      </c>
      <c r="I106" s="463">
        <f t="shared" ref="I106:N108" si="47">H106</f>
        <v>0.7</v>
      </c>
      <c r="J106" s="463">
        <f t="shared" si="47"/>
        <v>0.7</v>
      </c>
      <c r="K106" s="463">
        <f t="shared" si="47"/>
        <v>0.7</v>
      </c>
      <c r="L106" s="463">
        <f t="shared" si="47"/>
        <v>0.7</v>
      </c>
      <c r="M106" s="463">
        <f t="shared" si="47"/>
        <v>0.7</v>
      </c>
      <c r="N106" s="463">
        <f t="shared" si="47"/>
        <v>0.7</v>
      </c>
      <c r="O106" s="463">
        <f t="shared" ref="O106:P108" si="48">N106</f>
        <v>0.7</v>
      </c>
      <c r="P106" s="463">
        <f t="shared" si="48"/>
        <v>0.7</v>
      </c>
    </row>
    <row r="107" spans="1:16" outlineLevel="1">
      <c r="D107" s="373" t="str">
        <f>+"Revenues "&amp;+G106 &amp; "m-"&amp;G108&amp;"m"</f>
        <v>Revenues 20m-60m</v>
      </c>
      <c r="G107" s="363"/>
      <c r="H107" s="413">
        <v>0.5</v>
      </c>
      <c r="I107" s="463">
        <f t="shared" si="47"/>
        <v>0.5</v>
      </c>
      <c r="J107" s="463">
        <f t="shared" si="47"/>
        <v>0.5</v>
      </c>
      <c r="K107" s="463">
        <f t="shared" si="47"/>
        <v>0.5</v>
      </c>
      <c r="L107" s="463">
        <f t="shared" si="47"/>
        <v>0.5</v>
      </c>
      <c r="M107" s="463">
        <f t="shared" si="47"/>
        <v>0.5</v>
      </c>
      <c r="N107" s="463">
        <f t="shared" si="47"/>
        <v>0.5</v>
      </c>
      <c r="O107" s="463">
        <f t="shared" si="48"/>
        <v>0.5</v>
      </c>
      <c r="P107" s="463">
        <f t="shared" si="48"/>
        <v>0.5</v>
      </c>
    </row>
    <row r="108" spans="1:16" outlineLevel="1">
      <c r="D108" s="373" t="str">
        <f>+"Revenues &gt;"&amp;+G108 &amp; "m"</f>
        <v>Revenues &gt;60m</v>
      </c>
      <c r="G108" s="462">
        <v>60</v>
      </c>
      <c r="H108" s="464">
        <v>0.25</v>
      </c>
      <c r="I108" s="465">
        <f t="shared" si="47"/>
        <v>0.25</v>
      </c>
      <c r="J108" s="465">
        <f t="shared" si="47"/>
        <v>0.25</v>
      </c>
      <c r="K108" s="465">
        <f t="shared" si="47"/>
        <v>0.25</v>
      </c>
      <c r="L108" s="465">
        <f t="shared" si="47"/>
        <v>0.25</v>
      </c>
      <c r="M108" s="465">
        <f t="shared" si="47"/>
        <v>0.25</v>
      </c>
      <c r="N108" s="465">
        <f t="shared" si="47"/>
        <v>0.25</v>
      </c>
      <c r="O108" s="465">
        <f t="shared" si="48"/>
        <v>0.25</v>
      </c>
      <c r="P108" s="465">
        <f t="shared" si="48"/>
        <v>0.25</v>
      </c>
    </row>
    <row r="109" spans="1:16" s="372" customFormat="1" ht="12" outlineLevel="1">
      <c r="A109" s="362"/>
      <c r="B109" s="362"/>
      <c r="C109" s="362"/>
      <c r="D109" s="458" t="s">
        <v>191</v>
      </c>
      <c r="E109" s="459"/>
      <c r="F109" s="459"/>
      <c r="G109" s="448"/>
      <c r="H109" s="466">
        <v>0.25</v>
      </c>
      <c r="I109" s="466">
        <v>0.25</v>
      </c>
      <c r="J109" s="466">
        <v>0.25</v>
      </c>
      <c r="K109" s="466">
        <v>0.25</v>
      </c>
      <c r="L109" s="466">
        <v>0.25</v>
      </c>
      <c r="M109" s="466">
        <v>0.25</v>
      </c>
      <c r="N109" s="466">
        <v>0.25</v>
      </c>
      <c r="O109" s="466">
        <v>0.25</v>
      </c>
      <c r="P109" s="466">
        <v>0.25</v>
      </c>
    </row>
    <row r="110" spans="1:16" s="372" customFormat="1" ht="12" outlineLevel="1">
      <c r="A110" s="362"/>
      <c r="B110" s="362"/>
      <c r="C110" s="362"/>
      <c r="E110" s="440"/>
      <c r="F110" s="440"/>
      <c r="H110" s="467"/>
      <c r="I110" s="467"/>
      <c r="J110" s="467"/>
      <c r="K110" s="467"/>
      <c r="L110" s="467"/>
      <c r="M110" s="467"/>
      <c r="N110" s="467"/>
      <c r="O110" s="467"/>
      <c r="P110" s="467"/>
    </row>
    <row r="111" spans="1:16" outlineLevel="1">
      <c r="D111" s="362" t="s">
        <v>192</v>
      </c>
      <c r="H111" s="468">
        <f t="shared" ref="H111:N111" si="49">+H12+H13</f>
        <v>0</v>
      </c>
      <c r="I111" s="468">
        <f t="shared" si="49"/>
        <v>31.924900992708984</v>
      </c>
      <c r="J111" s="468">
        <f t="shared" si="49"/>
        <v>23.040821316263941</v>
      </c>
      <c r="K111" s="468">
        <f t="shared" si="49"/>
        <v>30.81486906380335</v>
      </c>
      <c r="L111" s="468">
        <f t="shared" si="49"/>
        <v>40.657465405412594</v>
      </c>
      <c r="M111" s="468">
        <f t="shared" si="49"/>
        <v>46.346448084156521</v>
      </c>
      <c r="N111" s="468">
        <f t="shared" si="49"/>
        <v>54.353865118557465</v>
      </c>
      <c r="O111" s="468">
        <f>+O12+O13</f>
        <v>56.10953759786382</v>
      </c>
      <c r="P111" s="468">
        <f>+P12+P13</f>
        <v>59.96302309813008</v>
      </c>
    </row>
    <row r="112" spans="1:16" outlineLevel="1">
      <c r="D112" s="362" t="s">
        <v>193</v>
      </c>
      <c r="H112" s="469">
        <v>1</v>
      </c>
      <c r="I112" s="470">
        <f t="shared" ref="I112:N112" si="50">H112</f>
        <v>1</v>
      </c>
      <c r="J112" s="470">
        <f t="shared" si="50"/>
        <v>1</v>
      </c>
      <c r="K112" s="470">
        <f t="shared" si="50"/>
        <v>1</v>
      </c>
      <c r="L112" s="470">
        <f t="shared" si="50"/>
        <v>1</v>
      </c>
      <c r="M112" s="470">
        <f t="shared" si="50"/>
        <v>1</v>
      </c>
      <c r="N112" s="470">
        <f t="shared" si="50"/>
        <v>1</v>
      </c>
      <c r="O112" s="470">
        <f>N112</f>
        <v>1</v>
      </c>
      <c r="P112" s="470">
        <f>O112</f>
        <v>1</v>
      </c>
    </row>
    <row r="113" spans="2:16" outlineLevel="1">
      <c r="D113" s="362" t="s">
        <v>194</v>
      </c>
      <c r="H113" s="418">
        <f t="shared" ref="H113:N113" si="51">IF(H111&gt;0,MAX(+H111*H109,H112),0)</f>
        <v>0</v>
      </c>
      <c r="I113" s="418">
        <f t="shared" si="51"/>
        <v>7.9812252481772461</v>
      </c>
      <c r="J113" s="418">
        <f>IF(J111&gt;0,MAX(+J111*J109,J112),0)</f>
        <v>5.7602053290659851</v>
      </c>
      <c r="K113" s="418">
        <f t="shared" si="51"/>
        <v>7.7037172659508375</v>
      </c>
      <c r="L113" s="418">
        <f t="shared" si="51"/>
        <v>10.164366351353149</v>
      </c>
      <c r="M113" s="418">
        <f t="shared" si="51"/>
        <v>11.58661202103913</v>
      </c>
      <c r="N113" s="418">
        <f t="shared" si="51"/>
        <v>13.588466279639366</v>
      </c>
      <c r="O113" s="418">
        <f>IF(O111&gt;0,MAX(+O111*O109,O112),0)</f>
        <v>14.027384399465955</v>
      </c>
      <c r="P113" s="418">
        <f>IF(P111&gt;0,MAX(+P111*P109,P112),0)</f>
        <v>14.99075577453252</v>
      </c>
    </row>
    <row r="114" spans="2:16"/>
    <row r="115" spans="2:16" ht="12">
      <c r="B115" s="504" t="s">
        <v>8</v>
      </c>
      <c r="C115" s="363"/>
      <c r="D115" s="505" t="s">
        <v>209</v>
      </c>
      <c r="E115" s="506"/>
      <c r="F115" s="506"/>
      <c r="G115" s="507"/>
      <c r="H115" s="507"/>
      <c r="I115" s="507"/>
      <c r="J115" s="507"/>
      <c r="K115" s="507"/>
      <c r="L115" s="507"/>
      <c r="M115" s="507"/>
      <c r="N115" s="507"/>
      <c r="O115" s="507"/>
      <c r="P115" s="507"/>
    </row>
    <row r="116" spans="2:16" ht="12" outlineLevel="1">
      <c r="D116" s="471"/>
      <c r="E116" s="408"/>
      <c r="F116" s="408"/>
      <c r="G116" s="472"/>
      <c r="H116" s="367"/>
      <c r="I116" s="367"/>
      <c r="J116" s="367"/>
      <c r="K116" s="367"/>
      <c r="L116" s="367"/>
      <c r="M116" s="367"/>
      <c r="N116" s="367"/>
      <c r="O116" s="367"/>
      <c r="P116" s="367"/>
    </row>
    <row r="117" spans="2:16" outlineLevel="1">
      <c r="D117" s="362" t="s">
        <v>210</v>
      </c>
      <c r="G117" s="473">
        <v>0</v>
      </c>
    </row>
    <row r="118" spans="2:16" outlineLevel="1">
      <c r="D118" s="362" t="s">
        <v>211</v>
      </c>
      <c r="G118" s="462">
        <v>20</v>
      </c>
    </row>
    <row r="119" spans="2:16" outlineLevel="1">
      <c r="D119" s="362" t="s">
        <v>212</v>
      </c>
      <c r="G119" s="474">
        <v>0.5</v>
      </c>
    </row>
    <row r="120" spans="2:16" outlineLevel="1">
      <c r="F120" s="475"/>
    </row>
    <row r="121" spans="2:16" ht="12" outlineLevel="1">
      <c r="D121" s="372" t="s">
        <v>213</v>
      </c>
      <c r="E121" s="440"/>
      <c r="F121" s="440"/>
      <c r="G121" s="372"/>
      <c r="H121" s="508">
        <v>0</v>
      </c>
      <c r="I121" s="509">
        <v>0</v>
      </c>
      <c r="J121" s="509">
        <v>0</v>
      </c>
      <c r="K121" s="509">
        <v>0</v>
      </c>
      <c r="L121" s="509">
        <v>0</v>
      </c>
      <c r="M121" s="509">
        <v>0</v>
      </c>
      <c r="N121" s="509">
        <v>0</v>
      </c>
      <c r="O121" s="509">
        <v>0</v>
      </c>
      <c r="P121" s="509">
        <v>0</v>
      </c>
    </row>
    <row r="122" spans="2:16"/>
    <row r="123" spans="2:16" ht="12">
      <c r="B123" s="504" t="s">
        <v>8</v>
      </c>
      <c r="C123" s="363"/>
      <c r="D123" s="505" t="s">
        <v>214</v>
      </c>
      <c r="E123" s="506"/>
      <c r="F123" s="506"/>
      <c r="G123" s="507"/>
      <c r="H123" s="507"/>
      <c r="I123" s="507"/>
      <c r="J123" s="507"/>
      <c r="K123" s="507"/>
      <c r="L123" s="507"/>
      <c r="M123" s="507"/>
      <c r="N123" s="507"/>
      <c r="O123" s="507"/>
      <c r="P123" s="507"/>
    </row>
    <row r="124" spans="2:16" ht="12" outlineLevel="1">
      <c r="D124" s="471"/>
      <c r="E124" s="408"/>
      <c r="F124" s="408"/>
      <c r="G124" s="472"/>
      <c r="H124" s="367"/>
      <c r="I124" s="367"/>
      <c r="J124" s="367"/>
      <c r="K124" s="367"/>
      <c r="L124" s="367"/>
      <c r="M124" s="367"/>
      <c r="N124" s="367"/>
      <c r="O124" s="367"/>
      <c r="P124" s="367"/>
    </row>
    <row r="125" spans="2:16" ht="12" outlineLevel="1">
      <c r="D125" s="471" t="s">
        <v>77</v>
      </c>
      <c r="E125" s="408"/>
      <c r="F125" s="408"/>
      <c r="G125" s="525">
        <f>'Debt Summary'!D6</f>
        <v>46022</v>
      </c>
      <c r="H125" s="367"/>
      <c r="I125" s="367"/>
      <c r="J125" s="367"/>
      <c r="K125" s="367"/>
      <c r="L125" s="367"/>
      <c r="M125" s="367"/>
      <c r="N125" s="367"/>
      <c r="O125" s="367"/>
      <c r="P125" s="367"/>
    </row>
    <row r="126" spans="2:16" ht="12" outlineLevel="1">
      <c r="D126" s="471" t="s">
        <v>215</v>
      </c>
      <c r="E126" s="408"/>
      <c r="F126" s="408"/>
      <c r="G126" s="476"/>
      <c r="H126" s="367"/>
      <c r="I126" s="477">
        <f t="shared" ref="I126:N126" si="52">+(I4-$G$125)/365</f>
        <v>0</v>
      </c>
      <c r="J126" s="477">
        <f t="shared" si="52"/>
        <v>1</v>
      </c>
      <c r="K126" s="477">
        <f t="shared" si="52"/>
        <v>2</v>
      </c>
      <c r="L126" s="477">
        <f t="shared" si="52"/>
        <v>3.0027397260273974</v>
      </c>
      <c r="M126" s="477">
        <f t="shared" si="52"/>
        <v>4.0027397260273974</v>
      </c>
      <c r="N126" s="477">
        <f t="shared" si="52"/>
        <v>5.0027397260273974</v>
      </c>
      <c r="O126" s="477">
        <f>+(O4-$G$125)/365</f>
        <v>6.0027397260273974</v>
      </c>
      <c r="P126" s="477">
        <f>+(P4-$G$125)/365</f>
        <v>7.0054794520547947</v>
      </c>
    </row>
    <row r="127" spans="2:16" ht="12" outlineLevel="1">
      <c r="D127" s="471" t="s">
        <v>216</v>
      </c>
      <c r="E127" s="408"/>
      <c r="F127" s="408"/>
      <c r="G127" s="476"/>
      <c r="H127" s="367"/>
      <c r="I127" s="477">
        <f t="shared" ref="I127:N127" si="53">+IF(YEAR(I4)&gt;YEAR($H$130),0,1)</f>
        <v>1</v>
      </c>
      <c r="J127" s="477">
        <f t="shared" si="53"/>
        <v>1</v>
      </c>
      <c r="K127" s="477">
        <f t="shared" si="53"/>
        <v>1</v>
      </c>
      <c r="L127" s="477">
        <f t="shared" si="53"/>
        <v>1</v>
      </c>
      <c r="M127" s="477">
        <f t="shared" si="53"/>
        <v>1</v>
      </c>
      <c r="N127" s="477">
        <f t="shared" si="53"/>
        <v>1</v>
      </c>
      <c r="O127" s="477">
        <f>+IF(YEAR(O4)&gt;YEAR($H$130),0,1)</f>
        <v>1</v>
      </c>
      <c r="P127" s="477">
        <f>+IF(YEAR(P4)&gt;YEAR($H$130),0,1)</f>
        <v>1</v>
      </c>
    </row>
    <row r="128" spans="2:16" ht="12" outlineLevel="1">
      <c r="D128" s="471"/>
      <c r="E128" s="408"/>
      <c r="F128" s="408"/>
      <c r="G128" s="472"/>
      <c r="H128" s="367"/>
      <c r="I128" s="367"/>
      <c r="J128" s="367"/>
      <c r="K128" s="367"/>
      <c r="L128" s="367"/>
      <c r="M128" s="367"/>
      <c r="N128" s="367"/>
      <c r="O128" s="367"/>
      <c r="P128" s="367"/>
    </row>
    <row r="129" spans="4:16" ht="12" outlineLevel="1">
      <c r="D129" s="372" t="s">
        <v>214</v>
      </c>
      <c r="E129" s="440"/>
      <c r="F129" s="440"/>
      <c r="G129" s="478">
        <v>3</v>
      </c>
      <c r="I129" s="479">
        <f t="shared" ref="I129:N129" si="54">+IF(AND(I126&gt;$G$130,YEAR(I4)=YEAR($H$130)),$G$129/$G$130*$G$130,IF(YEAR(I4)&gt;YEAR($H$130),0,$G$129/$G$130*I126))</f>
        <v>0</v>
      </c>
      <c r="J129" s="479">
        <f t="shared" si="54"/>
        <v>0.42857142857142855</v>
      </c>
      <c r="K129" s="479">
        <f t="shared" si="54"/>
        <v>0.8571428571428571</v>
      </c>
      <c r="L129" s="479">
        <f t="shared" si="54"/>
        <v>1.2868884540117416</v>
      </c>
      <c r="M129" s="479">
        <f t="shared" si="54"/>
        <v>1.7154598825831702</v>
      </c>
      <c r="N129" s="479">
        <f t="shared" si="54"/>
        <v>2.1440313111545986</v>
      </c>
      <c r="O129" s="479">
        <f>+IF(AND(O126&gt;$G$130,YEAR(O4)=YEAR($H$130)),$G$129/$G$130*$G$130,IF(YEAR(O4)&gt;YEAR($H$130),0,$G$129/$G$130*O126))</f>
        <v>2.5726027397260274</v>
      </c>
      <c r="P129" s="479">
        <f>+IF(AND(P126&gt;$G$130,YEAR(P4)=YEAR($H$130)),$G$129/$G$130*$G$130,IF(YEAR(P4)&gt;YEAR($H$130),0,$G$129/$G$130*P126))</f>
        <v>3</v>
      </c>
    </row>
    <row r="130" spans="4:16" ht="12" outlineLevel="1">
      <c r="D130" s="362" t="s">
        <v>217</v>
      </c>
      <c r="G130" s="478">
        <v>7</v>
      </c>
      <c r="H130" s="476">
        <f>+EOMONTH(G125,G130*12)</f>
        <v>48579</v>
      </c>
      <c r="I130" s="480">
        <f t="shared" ref="I130:P130" si="55">+(I129-H129)*I127</f>
        <v>0</v>
      </c>
      <c r="J130" s="480">
        <f t="shared" si="55"/>
        <v>0.42857142857142855</v>
      </c>
      <c r="K130" s="480">
        <f t="shared" si="55"/>
        <v>0.42857142857142855</v>
      </c>
      <c r="L130" s="480">
        <f t="shared" si="55"/>
        <v>0.42974559686888447</v>
      </c>
      <c r="M130" s="480">
        <f t="shared" si="55"/>
        <v>0.4285714285714286</v>
      </c>
      <c r="N130" s="480">
        <f t="shared" si="55"/>
        <v>0.42857142857142838</v>
      </c>
      <c r="O130" s="480">
        <f t="shared" si="55"/>
        <v>0.42857142857142883</v>
      </c>
      <c r="P130" s="480">
        <f t="shared" si="55"/>
        <v>0.42739726027397262</v>
      </c>
    </row>
    <row r="131" spans="4:16" ht="10.95" customHeight="1"/>
  </sheetData>
  <mergeCells count="1">
    <mergeCell ref="X32:Y32"/>
  </mergeCells>
  <conditionalFormatting sqref="K6:P6 M33:P33">
    <cfRule type="cellIs" dxfId="4" priority="6" operator="notEqual">
      <formula>0</formula>
    </cfRule>
  </conditionalFormatting>
  <conditionalFormatting sqref="M52:P52">
    <cfRule type="cellIs" dxfId="3" priority="5" operator="notEqual">
      <formula>0</formula>
    </cfRule>
  </conditionalFormatting>
  <conditionalFormatting sqref="M97:P97">
    <cfRule type="cellIs" dxfId="2" priority="4" operator="notEqual">
      <formula>0</formula>
    </cfRule>
  </conditionalFormatting>
  <conditionalFormatting sqref="M115:P115">
    <cfRule type="cellIs" dxfId="1" priority="3" operator="notEqual">
      <formula>0</formula>
    </cfRule>
  </conditionalFormatting>
  <conditionalFormatting sqref="M123:P123">
    <cfRule type="cellIs" dxfId="0" priority="1" operator="notEqual">
      <formula>0</formula>
    </cfRule>
  </conditionalFormatting>
  <pageMargins left="0.15748031496062992" right="0.15748031496062992" top="0.31496062992125984" bottom="0.31496062992125984" header="0.31496062992125984" footer="0.31496062992125984"/>
  <pageSetup paperSize="9" scale="51" orientation="landscape" r:id="rId1"/>
  <headerFooter>
    <oddFooter>&amp;L&amp;F&amp;C&amp;P&amp;R&amp;D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4D486-AF7C-4ACD-9D73-078ADB1068B5}">
  <sheetPr codeName="Sheet34"/>
  <dimension ref="A1:V43"/>
  <sheetViews>
    <sheetView workbookViewId="0">
      <selection activeCell="R43" sqref="R43"/>
    </sheetView>
  </sheetViews>
  <sheetFormatPr defaultRowHeight="11.4"/>
  <cols>
    <col min="11" max="11" width="13.75" customWidth="1"/>
    <col min="18" max="18" width="13.75" customWidth="1"/>
    <col min="22" max="22" width="10.75" customWidth="1"/>
  </cols>
  <sheetData>
    <row r="1" spans="1:22">
      <c r="A1">
        <v>43</v>
      </c>
      <c r="B1">
        <v>22</v>
      </c>
    </row>
    <row r="13" spans="1:22">
      <c r="V13" s="47"/>
    </row>
    <row r="14" spans="1:22">
      <c r="V14" s="47"/>
    </row>
    <row r="15" spans="1:22">
      <c r="V15" s="47"/>
    </row>
    <row r="39" spans="11:18">
      <c r="K39" s="523"/>
      <c r="R39" s="286"/>
    </row>
    <row r="43" spans="11:18">
      <c r="R43" s="52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CA523-4BF8-4497-9181-F4048E5F57B8}">
  <sheetPr codeName="Sheet35"/>
  <dimension ref="A1:V43"/>
  <sheetViews>
    <sheetView workbookViewId="0">
      <selection activeCell="R43" sqref="R43"/>
    </sheetView>
  </sheetViews>
  <sheetFormatPr defaultRowHeight="11.4"/>
  <cols>
    <col min="11" max="11" width="13.75" customWidth="1"/>
    <col min="18" max="18" width="13.75" customWidth="1"/>
    <col min="22" max="22" width="10.75" customWidth="1"/>
  </cols>
  <sheetData>
    <row r="1" spans="1:22">
      <c r="A1">
        <v>43</v>
      </c>
      <c r="B1">
        <v>22</v>
      </c>
    </row>
    <row r="13" spans="1:22">
      <c r="V13" s="47"/>
    </row>
    <row r="14" spans="1:22">
      <c r="V14" s="47"/>
    </row>
    <row r="15" spans="1:22">
      <c r="V15" s="47"/>
    </row>
    <row r="39" spans="11:18">
      <c r="K39" s="523"/>
      <c r="R39" s="286"/>
    </row>
    <row r="43" spans="11:18">
      <c r="R43" s="52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5839918-17c0-4ac0-809d-7a0fb0e8441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DA30B5B9AE3849AA08CB1E8DA45539" ma:contentTypeVersion="18" ma:contentTypeDescription="Create a new document." ma:contentTypeScope="" ma:versionID="1ea59a32caa38f7e84931e4c32f4c9d6">
  <xsd:schema xmlns:xsd="http://www.w3.org/2001/XMLSchema" xmlns:xs="http://www.w3.org/2001/XMLSchema" xmlns:p="http://schemas.microsoft.com/office/2006/metadata/properties" xmlns:ns3="a074d935-9228-4cea-916c-f210b23a9a0f" xmlns:ns4="b5839918-17c0-4ac0-809d-7a0fb0e84413" targetNamespace="http://schemas.microsoft.com/office/2006/metadata/properties" ma:root="true" ma:fieldsID="851b2f029896a5af9e942d7c614d16cc" ns3:_="" ns4:_="">
    <xsd:import namespace="a074d935-9228-4cea-916c-f210b23a9a0f"/>
    <xsd:import namespace="b5839918-17c0-4ac0-809d-7a0fb0e84413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KeyPoints" minOccurs="0"/>
                <xsd:element ref="ns4:MediaServiceKeyPoints" minOccurs="0"/>
                <xsd:element ref="ns4:_activity" minOccurs="0"/>
                <xsd:element ref="ns4:MediaServiceObjectDetectorVersions" minOccurs="0"/>
                <xsd:element ref="ns4:MediaServiceAutoTags" minOccurs="0"/>
                <xsd:element ref="ns4:MediaLengthInSeconds" minOccurs="0"/>
                <xsd:element ref="ns4:MediaServiceSearchProperties" minOccurs="0"/>
                <xsd:element ref="ns4:MediaServiceDateTaken" minOccurs="0"/>
                <xsd:element ref="ns4:MediaServiceSystem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74d935-9228-4cea-916c-f210b23a9a0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839918-17c0-4ac0-809d-7a0fb0e844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4617C83-7782-4E4C-BF14-557B9C26114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B600145-7545-4094-8735-696DBCA803D5}">
  <ds:schemaRefs>
    <ds:schemaRef ds:uri="http://purl.org/dc/elements/1.1/"/>
    <ds:schemaRef ds:uri="http://schemas.openxmlformats.org/package/2006/metadata/core-properties"/>
    <ds:schemaRef ds:uri="http://purl.org/dc/terms/"/>
    <ds:schemaRef ds:uri="b5839918-17c0-4ac0-809d-7a0fb0e84413"/>
    <ds:schemaRef ds:uri="http://schemas.microsoft.com/office/2006/documentManagement/types"/>
    <ds:schemaRef ds:uri="http://schemas.microsoft.com/office/2006/metadata/properties"/>
    <ds:schemaRef ds:uri="a074d935-9228-4cea-916c-f210b23a9a0f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FAD1E197-5436-4441-919D-4B4B6C51B8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074d935-9228-4cea-916c-f210b23a9a0f"/>
    <ds:schemaRef ds:uri="b5839918-17c0-4ac0-809d-7a0fb0e844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Check</vt:lpstr>
      <vt:lpstr>Cover</vt:lpstr>
      <vt:lpstr>LBO Model &gt;</vt:lpstr>
      <vt:lpstr>LBO</vt:lpstr>
      <vt:lpstr>Debt Summary</vt:lpstr>
      <vt:lpstr>Model</vt:lpstr>
      <vt:lpstr>Debt Structure</vt:lpstr>
      <vt:lpstr>Active Case</vt:lpstr>
      <vt:lpstr>Tax Model</vt:lpstr>
      <vt:lpstr>UPSLIDE_UndoFormatting</vt:lpstr>
      <vt:lpstr>UPSLIDE_Undo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Fontanilla, Pedro</dc:creator>
  <cp:lastModifiedBy>Borja Tejedor</cp:lastModifiedBy>
  <cp:lastPrinted>2025-10-02T14:03:50Z</cp:lastPrinted>
  <dcterms:created xsi:type="dcterms:W3CDTF">2015-06-05T18:17:20Z</dcterms:created>
  <dcterms:modified xsi:type="dcterms:W3CDTF">2025-10-12T18:19:00Z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0x01010098DA30B5B9AE3849AA08CB1E8DA45539</vt:lpwstr>
  </property>
</Properties>
</file>